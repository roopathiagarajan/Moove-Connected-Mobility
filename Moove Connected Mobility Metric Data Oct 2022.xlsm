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omments3.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5.xml" ContentType="application/vnd.openxmlformats-officedocument.drawing+xml"/>
  <Override PartName="/xl/ctrlProps/ctrlProp6.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6.xml" ContentType="application/vnd.openxmlformats-officedocument.drawing+xml"/>
  <Override PartName="/xl/ctrlProps/ctrlProp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7.xml" ContentType="application/vnd.openxmlformats-officedocument.drawing+xml"/>
  <Override PartName="/xl/ctrlProps/ctrlProp8.xml" ContentType="application/vnd.ms-excel.controlproperties+xml"/>
  <Override PartName="/xl/charts/chart25.xml" ContentType="application/vnd.openxmlformats-officedocument.drawingml.chart+xml"/>
  <Override PartName="/xl/charts/chart26.xml" ContentType="application/vnd.openxmlformats-officedocument.drawingml.chart+xml"/>
  <Override PartName="/xl/pivotTables/pivotTable28.xml" ContentType="application/vnd.openxmlformats-officedocument.spreadsheetml.pivotTable+xml"/>
  <Override PartName="/xl/drawings/drawing8.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omments4.xml" ContentType="application/vnd.openxmlformats-officedocument.spreadsheetml.comments+xml"/>
  <Override PartName="/xl/charts/chart27.xml" ContentType="application/vnd.openxmlformats-officedocument.drawingml.chart+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06" codeName="{00000000-0000-0000-0000-000000000000}"/>
  <workbookPr codeName="ThisWorkbook" hidePivotFieldList="1"/>
  <xr:revisionPtr revIDLastSave="381" documentId="11_EA5061F8A0156481ECF490FC2D21EE09211647DC" xr6:coauthVersionLast="47" xr6:coauthVersionMax="47" xr10:uidLastSave="{1E751DF7-0851-4E76-80F4-4DC5305434F9}"/>
  <bookViews>
    <workbookView xWindow="0" yWindow="0" windowWidth="19200" windowHeight="6620" tabRatio="853" firstSheet="8" activeTab="9" xr2:uid="{00000000-000D-0000-FFFF-FFFF00000000}"/>
  </bookViews>
  <sheets>
    <sheet name="Guidelines" sheetId="6" state="hidden" r:id="rId1"/>
    <sheet name="Coversheet" sheetId="1" r:id="rId2"/>
    <sheet name="Guidelines   " sheetId="28" r:id="rId3"/>
    <sheet name="Metric Dashboard" sheetId="2" r:id="rId4"/>
    <sheet name="Holidays" sheetId="7" state="hidden" r:id="rId5"/>
    <sheet name="Sheet1" sheetId="11" state="hidden" r:id="rId6"/>
    <sheet name="RCA" sheetId="26" r:id="rId7"/>
    <sheet name="Measurement Values" sheetId="3" r:id="rId8"/>
    <sheet name="Task Report" sheetId="4" r:id="rId9"/>
    <sheet name="Task Report 2" sheetId="8" r:id="rId10"/>
    <sheet name="Defect Report" sheetId="5" r:id="rId11"/>
    <sheet name="Effort Schedule" sheetId="13" r:id="rId12"/>
    <sheet name="Rev_Rew_Proj_Conf" sheetId="25" r:id="rId13"/>
    <sheet name="Security Metrics" sheetId="22" r:id="rId14"/>
    <sheet name="Defect Trend" sheetId="23" r:id="rId15"/>
    <sheet name="RSI Productivity Trend" sheetId="24" r:id="rId16"/>
    <sheet name="L'd Factor" sheetId="20" r:id="rId17"/>
    <sheet name="Production Support" sheetId="27" r:id="rId18"/>
  </sheets>
  <externalReferences>
    <externalReference r:id="rId19"/>
    <externalReference r:id="rId20"/>
  </externalReferences>
  <definedNames>
    <definedName name="Coding">Guidelines!$C$105:$C$107</definedName>
    <definedName name="ConfigurationManagement">Guidelines!$C$133</definedName>
    <definedName name="DefectCategory" localSheetId="16">[1]Guidelines!$C$64:$C$74</definedName>
    <definedName name="DefectCategory">Guidelines!$C$64:$C$74</definedName>
    <definedName name="DefectClassification" localSheetId="16">[1]Guidelines!$C$60:$C$61</definedName>
    <definedName name="DefectClassification">Guidelines!$C$60:$C$61</definedName>
    <definedName name="DefectStatus" localSheetId="16">[1]Guidelines!$C$14:$C$20</definedName>
    <definedName name="DefectStatus">Guidelines!$C$14:$C$19</definedName>
    <definedName name="DefectType" localSheetId="16">[1]Guidelines!$C$9:$C$10</definedName>
    <definedName name="DefectType">Guidelines!$C$9:$C$10</definedName>
    <definedName name="Design">Guidelines!$C$98:$C$101</definedName>
    <definedName name="DetectedPhase" localSheetId="16">[1]Guidelines!$C$47:$C$54</definedName>
    <definedName name="DetectedPhase">Guidelines!$C$47:$C$54</definedName>
    <definedName name="InjectedPhase" localSheetId="16">[1]Guidelines!$C$37:$C$43</definedName>
    <definedName name="InjectedPhase">Guidelines!$C$37:$C$43</definedName>
    <definedName name="MaintenanceType" localSheetId="16">[1]Guidelines!$C$136:$C$140</definedName>
    <definedName name="MaintenanceType">Guidelines!$C$136:$C$140</definedName>
    <definedName name="Major">Guidelines!$C$143:$C$145</definedName>
    <definedName name="Priority" localSheetId="16">[1]Guidelines!$C$30:$C$33</definedName>
    <definedName name="Priority">Guidelines!$C$30:$C$33</definedName>
    <definedName name="ProjectManagement">Guidelines!$C$125:$C$130</definedName>
    <definedName name="Release">Guidelines!$C$122</definedName>
    <definedName name="Requirements">Guidelines!$C$91:$C$95</definedName>
    <definedName name="Severity" localSheetId="16">[1]Guidelines!$C$24:$C$27</definedName>
    <definedName name="Severity">Guidelines!$C$23:$C$27</definedName>
    <definedName name="Tasks" localSheetId="16">[1]Guidelines!$C$79:$C$88</definedName>
    <definedName name="Tasks">Guidelines!$C$79:$C$88</definedName>
    <definedName name="Testing">Guidelines!$C$116:$C$119</definedName>
    <definedName name="UnitTesting">Guidelines!$C$110:$C$113</definedName>
  </definedNames>
  <calcPr calcId="191028"/>
  <pivotCaches>
    <pivotCache cacheId="532" r:id="rId21"/>
    <pivotCache cacheId="533" r:id="rId22"/>
    <pivotCache cacheId="534" r:id="rId23"/>
    <pivotCache cacheId="535" r:id="rId24"/>
    <pivotCache cacheId="536" r:id="rId25"/>
    <pivotCache cacheId="537" r:id="rId26"/>
    <pivotCache cacheId="538" r:id="rId27"/>
    <pivotCache cacheId="539" r:id="rId28"/>
    <pivotCache cacheId="540" r:id="rId2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 l="1"/>
  <c r="K942" i="20"/>
  <c r="I942" i="20"/>
  <c r="K941" i="20"/>
  <c r="I941" i="20"/>
  <c r="K940" i="20"/>
  <c r="I940" i="20"/>
  <c r="I939" i="20"/>
  <c r="I938" i="20"/>
  <c r="K937" i="20"/>
  <c r="I937" i="20"/>
  <c r="K936" i="20"/>
  <c r="I936" i="20"/>
  <c r="K935" i="20"/>
  <c r="I935" i="20"/>
  <c r="K934" i="20"/>
  <c r="I934" i="20"/>
  <c r="K933" i="20"/>
  <c r="I933" i="20"/>
  <c r="K932" i="20"/>
  <c r="I932" i="20"/>
  <c r="K931" i="20"/>
  <c r="I931" i="20"/>
  <c r="K930" i="20"/>
  <c r="I930" i="20"/>
  <c r="K929" i="20"/>
  <c r="I929" i="20"/>
  <c r="K928" i="20"/>
  <c r="I928" i="20"/>
  <c r="K927" i="20"/>
  <c r="I927" i="20"/>
  <c r="K926" i="20"/>
  <c r="I926" i="20"/>
  <c r="K925" i="20"/>
  <c r="I925" i="20"/>
  <c r="K924" i="20"/>
  <c r="I924" i="20"/>
  <c r="K923" i="20"/>
  <c r="I923" i="20"/>
  <c r="K922" i="20"/>
  <c r="I922" i="20"/>
  <c r="K921" i="20"/>
  <c r="I921" i="20"/>
  <c r="K920" i="20"/>
  <c r="I920" i="20"/>
  <c r="K919" i="20"/>
  <c r="I919" i="20"/>
  <c r="K918" i="20"/>
  <c r="I918" i="20"/>
  <c r="K917" i="20"/>
  <c r="I917" i="20"/>
  <c r="K916" i="20"/>
  <c r="I916" i="20"/>
  <c r="K915" i="20"/>
  <c r="I915" i="20"/>
  <c r="K914" i="20"/>
  <c r="I914" i="20"/>
  <c r="K913" i="20"/>
  <c r="I913" i="20"/>
  <c r="K912" i="20"/>
  <c r="I912" i="20"/>
  <c r="K911" i="20"/>
  <c r="I911" i="20"/>
  <c r="K910" i="20"/>
  <c r="I910" i="20"/>
  <c r="K909" i="20"/>
  <c r="I909" i="20"/>
  <c r="K908" i="20"/>
  <c r="I908" i="20"/>
  <c r="K907" i="20"/>
  <c r="I907" i="20"/>
  <c r="K906" i="20"/>
  <c r="I906" i="20"/>
  <c r="K905" i="20"/>
  <c r="I905" i="20"/>
  <c r="K904" i="20"/>
  <c r="I904" i="20"/>
  <c r="K903" i="20"/>
  <c r="I903" i="20"/>
  <c r="K902" i="20"/>
  <c r="I902" i="20"/>
  <c r="K901" i="20"/>
  <c r="I901" i="20"/>
  <c r="K900" i="20"/>
  <c r="I900" i="20"/>
  <c r="K899" i="20"/>
  <c r="I899" i="20"/>
  <c r="K898" i="20"/>
  <c r="I898" i="20"/>
  <c r="K897" i="20"/>
  <c r="I897" i="20"/>
  <c r="K896" i="20"/>
  <c r="I896" i="20"/>
  <c r="K895" i="20"/>
  <c r="I895" i="20"/>
  <c r="K894" i="20"/>
  <c r="I894" i="20"/>
  <c r="K893" i="20"/>
  <c r="I893" i="20"/>
  <c r="K892" i="20"/>
  <c r="I892" i="20"/>
  <c r="K891" i="20"/>
  <c r="I891" i="20"/>
  <c r="K890" i="20"/>
  <c r="I890" i="20"/>
  <c r="K889" i="20"/>
  <c r="I889" i="20"/>
  <c r="K888" i="20"/>
  <c r="I888" i="20"/>
  <c r="K887" i="20"/>
  <c r="I887" i="20"/>
  <c r="K886" i="20"/>
  <c r="I886" i="20"/>
  <c r="K885" i="20"/>
  <c r="I885" i="20"/>
  <c r="K884" i="20"/>
  <c r="I884" i="20"/>
  <c r="K883" i="20"/>
  <c r="I883" i="20"/>
  <c r="K882" i="20"/>
  <c r="I882" i="20"/>
  <c r="K881" i="20"/>
  <c r="I881" i="20"/>
  <c r="K880" i="20"/>
  <c r="I880" i="20"/>
  <c r="K879" i="20"/>
  <c r="I879" i="20"/>
  <c r="K878" i="20"/>
  <c r="I878" i="20"/>
  <c r="K877" i="20"/>
  <c r="I877" i="20"/>
  <c r="K876" i="20"/>
  <c r="I876" i="20"/>
  <c r="K875" i="20"/>
  <c r="I875" i="20"/>
  <c r="K874" i="20"/>
  <c r="I874" i="20"/>
  <c r="K873" i="20"/>
  <c r="I873" i="20"/>
  <c r="K872" i="20"/>
  <c r="I872" i="20"/>
  <c r="K871" i="20"/>
  <c r="I871" i="20"/>
  <c r="K870" i="20"/>
  <c r="I870" i="20"/>
  <c r="K869" i="20"/>
  <c r="I869" i="20"/>
  <c r="K868" i="20"/>
  <c r="I868" i="20"/>
  <c r="K867" i="20"/>
  <c r="I867" i="20"/>
  <c r="K866" i="20"/>
  <c r="I866" i="20"/>
  <c r="K865" i="20"/>
  <c r="I865" i="20"/>
  <c r="K864" i="20"/>
  <c r="I864" i="20"/>
  <c r="K863" i="20"/>
  <c r="I863" i="20"/>
  <c r="K862" i="20"/>
  <c r="I862" i="20"/>
  <c r="K861" i="20"/>
  <c r="I861" i="20"/>
  <c r="K860" i="20"/>
  <c r="I860" i="20"/>
  <c r="K859" i="20"/>
  <c r="I859" i="20"/>
  <c r="K858" i="20"/>
  <c r="I858" i="20"/>
  <c r="K857" i="20"/>
  <c r="I857" i="20"/>
  <c r="K856" i="20"/>
  <c r="I856" i="20"/>
  <c r="K855" i="20"/>
  <c r="I855" i="20"/>
  <c r="K854" i="20"/>
  <c r="I854" i="20"/>
  <c r="K853" i="20"/>
  <c r="I853" i="20"/>
  <c r="K852" i="20"/>
  <c r="I852" i="20"/>
  <c r="K851" i="20"/>
  <c r="I851" i="20"/>
  <c r="K850" i="20"/>
  <c r="I850" i="20"/>
  <c r="K849" i="20"/>
  <c r="I849" i="20"/>
  <c r="K848" i="20"/>
  <c r="I848" i="20"/>
  <c r="K847" i="20"/>
  <c r="I847" i="20"/>
  <c r="K846" i="20"/>
  <c r="I846" i="20"/>
  <c r="K845" i="20"/>
  <c r="I845" i="20"/>
  <c r="K844" i="20"/>
  <c r="I844" i="20"/>
  <c r="K843" i="20"/>
  <c r="I843" i="20"/>
  <c r="K842" i="20"/>
  <c r="I842" i="20"/>
  <c r="K841" i="20"/>
  <c r="I841" i="20"/>
  <c r="K840" i="20"/>
  <c r="I840" i="20"/>
  <c r="K839" i="20"/>
  <c r="I839" i="20"/>
  <c r="K838" i="20"/>
  <c r="I838" i="20"/>
  <c r="K837" i="20"/>
  <c r="I837" i="20"/>
  <c r="K836" i="20"/>
  <c r="I836" i="20"/>
  <c r="K835" i="20"/>
  <c r="I835" i="20"/>
  <c r="K834" i="20"/>
  <c r="I834" i="20"/>
  <c r="K833" i="20"/>
  <c r="I833" i="20"/>
  <c r="K832" i="20"/>
  <c r="I832" i="20"/>
  <c r="K831" i="20"/>
  <c r="I831" i="20"/>
  <c r="K830" i="20"/>
  <c r="I830" i="20"/>
  <c r="K829" i="20"/>
  <c r="I829" i="20"/>
  <c r="K828" i="20"/>
  <c r="I828" i="20"/>
  <c r="K827" i="20"/>
  <c r="I827" i="20"/>
  <c r="K826" i="20"/>
  <c r="I826" i="20"/>
  <c r="K825" i="20"/>
  <c r="I825" i="20"/>
  <c r="K824" i="20"/>
  <c r="I824" i="20"/>
  <c r="K823" i="20"/>
  <c r="I823" i="20"/>
  <c r="K822" i="20"/>
  <c r="I822" i="20"/>
  <c r="K821" i="20"/>
  <c r="I821" i="20"/>
  <c r="K820" i="20"/>
  <c r="I820" i="20"/>
  <c r="K819" i="20"/>
  <c r="I819" i="20"/>
  <c r="K818" i="20"/>
  <c r="I818" i="20"/>
  <c r="K817" i="20"/>
  <c r="I817" i="20"/>
  <c r="K816" i="20"/>
  <c r="I816" i="20"/>
  <c r="K815" i="20"/>
  <c r="I815" i="20"/>
  <c r="K814" i="20"/>
  <c r="I814" i="20"/>
  <c r="K813" i="20"/>
  <c r="I813" i="20"/>
  <c r="K812" i="20"/>
  <c r="I812" i="20"/>
  <c r="K811" i="20"/>
  <c r="I811" i="20"/>
  <c r="K810" i="20"/>
  <c r="I810" i="20"/>
  <c r="K809" i="20"/>
  <c r="I809" i="20"/>
  <c r="K808" i="20"/>
  <c r="I808" i="20"/>
  <c r="K807" i="20"/>
  <c r="I807" i="20"/>
  <c r="K806" i="20"/>
  <c r="I806" i="20"/>
  <c r="K805" i="20"/>
  <c r="I805" i="20"/>
  <c r="K804" i="20"/>
  <c r="I804" i="20"/>
  <c r="K803" i="20"/>
  <c r="I803" i="20"/>
  <c r="K802" i="20"/>
  <c r="I802" i="20"/>
  <c r="K801" i="20"/>
  <c r="I801" i="20"/>
  <c r="K800" i="20"/>
  <c r="I800" i="20"/>
  <c r="K799" i="20"/>
  <c r="I799" i="20"/>
  <c r="K798" i="20"/>
  <c r="I798" i="20"/>
  <c r="K797" i="20"/>
  <c r="I797" i="20"/>
  <c r="K796" i="20"/>
  <c r="I796" i="20"/>
  <c r="K795" i="20"/>
  <c r="I795" i="20"/>
  <c r="K794" i="20"/>
  <c r="I794" i="20"/>
  <c r="K793" i="20"/>
  <c r="I793" i="20"/>
  <c r="K792" i="20"/>
  <c r="I792" i="20"/>
  <c r="K791" i="20"/>
  <c r="I791" i="20"/>
  <c r="K790" i="20"/>
  <c r="I790" i="20"/>
  <c r="K789" i="20"/>
  <c r="I789" i="20"/>
  <c r="K788" i="20"/>
  <c r="I788" i="20"/>
  <c r="K787" i="20"/>
  <c r="I787" i="20"/>
  <c r="K786" i="20"/>
  <c r="I786" i="20"/>
  <c r="K785" i="20"/>
  <c r="I785" i="20"/>
  <c r="K784" i="20"/>
  <c r="I784" i="20"/>
  <c r="K783" i="20"/>
  <c r="I783" i="20"/>
  <c r="K782" i="20"/>
  <c r="I782" i="20"/>
  <c r="K781" i="20"/>
  <c r="I781" i="20"/>
  <c r="K780" i="20"/>
  <c r="I780" i="20"/>
  <c r="K779" i="20"/>
  <c r="I779" i="20"/>
  <c r="K778" i="20"/>
  <c r="I778" i="20"/>
  <c r="K777" i="20"/>
  <c r="I777" i="20"/>
  <c r="K776" i="20"/>
  <c r="I776" i="20"/>
  <c r="K775" i="20"/>
  <c r="I775" i="20"/>
  <c r="K774" i="20"/>
  <c r="I774" i="20"/>
  <c r="K773" i="20"/>
  <c r="I773" i="20"/>
  <c r="K772" i="20"/>
  <c r="I772" i="20"/>
  <c r="K771" i="20"/>
  <c r="I771" i="20"/>
  <c r="K770" i="20"/>
  <c r="I770" i="20"/>
  <c r="K769" i="20"/>
  <c r="I769" i="20"/>
  <c r="K768" i="20"/>
  <c r="I768" i="20"/>
  <c r="K767" i="20"/>
  <c r="I767" i="20"/>
  <c r="K766" i="20"/>
  <c r="I766" i="20"/>
  <c r="K765" i="20"/>
  <c r="I765" i="20"/>
  <c r="K764" i="20"/>
  <c r="I764" i="20"/>
  <c r="K763" i="20"/>
  <c r="I763" i="20"/>
  <c r="K762" i="20"/>
  <c r="I762" i="20"/>
  <c r="K761" i="20"/>
  <c r="I761" i="20"/>
  <c r="K760" i="20"/>
  <c r="I760" i="20"/>
  <c r="K759" i="20"/>
  <c r="I759" i="20"/>
  <c r="K758" i="20"/>
  <c r="I758" i="20"/>
  <c r="K757" i="20"/>
  <c r="I757" i="20"/>
  <c r="K756" i="20"/>
  <c r="I756" i="20"/>
  <c r="K755" i="20"/>
  <c r="I755" i="20"/>
  <c r="K754" i="20"/>
  <c r="I754" i="20"/>
  <c r="K753" i="20"/>
  <c r="I753" i="20"/>
  <c r="K752" i="20"/>
  <c r="I752" i="20"/>
  <c r="K751" i="20"/>
  <c r="I751" i="20"/>
  <c r="K750" i="20"/>
  <c r="I750" i="20"/>
  <c r="K749" i="20"/>
  <c r="I749" i="20"/>
  <c r="K748" i="20"/>
  <c r="I748" i="20"/>
  <c r="K747" i="20"/>
  <c r="I747" i="20"/>
  <c r="K746" i="20"/>
  <c r="I746" i="20"/>
  <c r="K745" i="20"/>
  <c r="I745" i="20"/>
  <c r="K744" i="20"/>
  <c r="I744" i="20"/>
  <c r="K743" i="20"/>
  <c r="I743" i="20"/>
  <c r="K742" i="20"/>
  <c r="I742" i="20"/>
  <c r="K741" i="20"/>
  <c r="I741" i="20"/>
  <c r="K740" i="20"/>
  <c r="I740" i="20"/>
  <c r="K739" i="20"/>
  <c r="I739" i="20"/>
  <c r="K738" i="20"/>
  <c r="I738" i="20"/>
  <c r="K737" i="20"/>
  <c r="I737" i="20"/>
  <c r="K736" i="20"/>
  <c r="I736" i="20"/>
  <c r="K735" i="20"/>
  <c r="I735" i="20"/>
  <c r="K734" i="20"/>
  <c r="I734" i="20"/>
  <c r="K733" i="20"/>
  <c r="I733" i="20"/>
  <c r="K732" i="20"/>
  <c r="I732" i="20"/>
  <c r="K731" i="20"/>
  <c r="I731" i="20"/>
  <c r="K730" i="20"/>
  <c r="I730" i="20"/>
  <c r="K729" i="20"/>
  <c r="I729" i="20"/>
  <c r="K728" i="20"/>
  <c r="I728" i="20"/>
  <c r="K727" i="20"/>
  <c r="I727" i="20"/>
  <c r="K726" i="20"/>
  <c r="I726" i="20"/>
  <c r="K725" i="20"/>
  <c r="I725" i="20"/>
  <c r="K724" i="20"/>
  <c r="I724" i="20"/>
  <c r="K723" i="20"/>
  <c r="I723" i="20"/>
  <c r="K722" i="20"/>
  <c r="I722" i="20"/>
  <c r="K721" i="20"/>
  <c r="I721" i="20"/>
  <c r="K720" i="20"/>
  <c r="I720" i="20"/>
  <c r="K719" i="20"/>
  <c r="I719" i="20"/>
  <c r="K718" i="20"/>
  <c r="I718" i="20"/>
  <c r="K717" i="20"/>
  <c r="I717" i="20"/>
  <c r="K716" i="20"/>
  <c r="I716" i="20"/>
  <c r="K715" i="20"/>
  <c r="I715" i="20"/>
  <c r="K714" i="20"/>
  <c r="I714" i="20"/>
  <c r="K713" i="20"/>
  <c r="I713" i="20"/>
  <c r="K712" i="20"/>
  <c r="I712" i="20"/>
  <c r="K711" i="20"/>
  <c r="I711" i="20"/>
  <c r="K710" i="20"/>
  <c r="I710" i="20"/>
  <c r="K709" i="20"/>
  <c r="I709" i="20"/>
  <c r="K708" i="20"/>
  <c r="I708" i="20"/>
  <c r="K707" i="20"/>
  <c r="I707" i="20"/>
  <c r="K706" i="20"/>
  <c r="I706" i="20"/>
  <c r="K705" i="20"/>
  <c r="I705" i="20"/>
  <c r="K704" i="20"/>
  <c r="I704" i="20"/>
  <c r="K703" i="20"/>
  <c r="I703" i="20"/>
  <c r="K702" i="20"/>
  <c r="I702" i="20"/>
  <c r="K701" i="20"/>
  <c r="I701" i="20"/>
  <c r="K700" i="20"/>
  <c r="I700" i="20"/>
  <c r="K699" i="20"/>
  <c r="I699" i="20"/>
  <c r="K698" i="20"/>
  <c r="I698" i="20"/>
  <c r="K697" i="20"/>
  <c r="I697" i="20"/>
  <c r="K696" i="20"/>
  <c r="I696" i="20"/>
  <c r="K695" i="20"/>
  <c r="I695" i="20"/>
  <c r="K694" i="20"/>
  <c r="I694" i="20"/>
  <c r="K693" i="20"/>
  <c r="I693" i="20"/>
  <c r="K692" i="20"/>
  <c r="I692" i="20"/>
  <c r="K691" i="20"/>
  <c r="I691" i="20"/>
  <c r="K690" i="20"/>
  <c r="I690" i="20"/>
  <c r="K689" i="20"/>
  <c r="I689" i="20"/>
  <c r="K688" i="20"/>
  <c r="I688" i="20"/>
  <c r="K687" i="20"/>
  <c r="I687" i="20"/>
  <c r="K686" i="20"/>
  <c r="I686" i="20"/>
  <c r="K685" i="20"/>
  <c r="I685" i="20"/>
  <c r="K684" i="20"/>
  <c r="I684" i="20"/>
  <c r="K683" i="20"/>
  <c r="I683" i="20"/>
  <c r="K682" i="20"/>
  <c r="I682" i="20"/>
  <c r="K681" i="20"/>
  <c r="I681" i="20"/>
  <c r="K680" i="20"/>
  <c r="I680" i="20"/>
  <c r="K679" i="20"/>
  <c r="I679" i="20"/>
  <c r="K678" i="20"/>
  <c r="I678" i="20"/>
  <c r="K677" i="20"/>
  <c r="I677" i="20"/>
  <c r="K676" i="20"/>
  <c r="I676" i="20"/>
  <c r="K675" i="20"/>
  <c r="I675" i="20"/>
  <c r="K674" i="20"/>
  <c r="I674" i="20"/>
  <c r="K673" i="20"/>
  <c r="I673" i="20"/>
  <c r="K672" i="20"/>
  <c r="I672" i="20"/>
  <c r="K671" i="20"/>
  <c r="I671" i="20"/>
  <c r="K670" i="20"/>
  <c r="I670" i="20"/>
  <c r="K669" i="20"/>
  <c r="I669" i="20"/>
  <c r="K668" i="20"/>
  <c r="I668" i="20"/>
  <c r="K667" i="20"/>
  <c r="I667" i="20"/>
  <c r="K666" i="20"/>
  <c r="I666" i="20"/>
  <c r="K665" i="20"/>
  <c r="I665" i="20"/>
  <c r="K664" i="20"/>
  <c r="I664" i="20"/>
  <c r="K663" i="20"/>
  <c r="I663" i="20"/>
  <c r="K662" i="20"/>
  <c r="I662" i="20"/>
  <c r="K661" i="20"/>
  <c r="I661" i="20"/>
  <c r="K660" i="20"/>
  <c r="I660" i="20"/>
  <c r="K659" i="20"/>
  <c r="I659" i="20"/>
  <c r="K658" i="20"/>
  <c r="I658" i="20"/>
  <c r="K657" i="20"/>
  <c r="I657" i="20"/>
  <c r="K656" i="20"/>
  <c r="I656" i="20"/>
  <c r="K655" i="20"/>
  <c r="I655" i="20"/>
  <c r="K654" i="20"/>
  <c r="I654" i="20"/>
  <c r="K653" i="20"/>
  <c r="I653" i="20"/>
  <c r="K652" i="20"/>
  <c r="I652" i="20"/>
  <c r="K651" i="20"/>
  <c r="I651" i="20"/>
  <c r="K650" i="20"/>
  <c r="I650" i="20"/>
  <c r="K649" i="20"/>
  <c r="I649" i="20"/>
  <c r="K648" i="20"/>
  <c r="I648" i="20"/>
  <c r="K647" i="20"/>
  <c r="I647" i="20"/>
  <c r="K646" i="20"/>
  <c r="I646" i="20"/>
  <c r="K645" i="20"/>
  <c r="I645" i="20"/>
  <c r="K644" i="20"/>
  <c r="I644" i="20"/>
  <c r="K643" i="20"/>
  <c r="I643" i="20"/>
  <c r="K642" i="20"/>
  <c r="I642" i="20"/>
  <c r="K641" i="20"/>
  <c r="I641" i="20"/>
  <c r="K640" i="20"/>
  <c r="I640" i="20"/>
  <c r="K639" i="20"/>
  <c r="I639" i="20"/>
  <c r="K638" i="20"/>
  <c r="I638" i="20"/>
  <c r="K637" i="20"/>
  <c r="I637" i="20"/>
  <c r="K636" i="20"/>
  <c r="I636" i="20"/>
  <c r="K635" i="20"/>
  <c r="I635" i="20"/>
  <c r="K634" i="20"/>
  <c r="I634" i="20"/>
  <c r="K633" i="20"/>
  <c r="I633" i="20"/>
  <c r="K632" i="20"/>
  <c r="I632" i="20"/>
  <c r="K631" i="20"/>
  <c r="I631" i="20"/>
  <c r="K630" i="20"/>
  <c r="I630" i="20"/>
  <c r="K629" i="20"/>
  <c r="I629" i="20"/>
  <c r="K628" i="20"/>
  <c r="I628" i="20"/>
  <c r="K627" i="20"/>
  <c r="I627" i="20"/>
  <c r="K626" i="20"/>
  <c r="I626" i="20"/>
  <c r="K625" i="20"/>
  <c r="I625" i="20"/>
  <c r="K624" i="20"/>
  <c r="I624" i="20"/>
  <c r="K623" i="20"/>
  <c r="I623" i="20"/>
  <c r="K622" i="20"/>
  <c r="I622" i="20"/>
  <c r="K621" i="20"/>
  <c r="I621" i="20"/>
  <c r="K620" i="20"/>
  <c r="I620" i="20"/>
  <c r="K619" i="20"/>
  <c r="I619" i="20"/>
  <c r="K618" i="20"/>
  <c r="I618" i="20"/>
  <c r="K617" i="20"/>
  <c r="I617" i="20"/>
  <c r="K616" i="20"/>
  <c r="I616" i="20"/>
  <c r="K615" i="20"/>
  <c r="I615" i="20"/>
  <c r="K614" i="20"/>
  <c r="I614" i="20"/>
  <c r="K613" i="20"/>
  <c r="I613" i="20"/>
  <c r="K612" i="20"/>
  <c r="I612" i="20"/>
  <c r="K611" i="20"/>
  <c r="I611" i="20"/>
  <c r="K610" i="20"/>
  <c r="I610" i="20"/>
  <c r="K609" i="20"/>
  <c r="I609" i="20"/>
  <c r="K608" i="20"/>
  <c r="I608" i="20"/>
  <c r="K607" i="20"/>
  <c r="I607" i="20"/>
  <c r="K606" i="20"/>
  <c r="I606" i="20"/>
  <c r="K605" i="20"/>
  <c r="I605" i="20"/>
  <c r="K604" i="20"/>
  <c r="I604" i="20"/>
  <c r="K603" i="20"/>
  <c r="I603" i="20"/>
  <c r="K602" i="20"/>
  <c r="I602" i="20"/>
  <c r="K601" i="20"/>
  <c r="I601" i="20"/>
  <c r="K600" i="20"/>
  <c r="I600" i="20"/>
  <c r="K599" i="20"/>
  <c r="I599" i="20"/>
  <c r="K598" i="20"/>
  <c r="I598" i="20"/>
  <c r="K597" i="20"/>
  <c r="I597" i="20"/>
  <c r="K596" i="20"/>
  <c r="I596" i="20"/>
  <c r="K595" i="20"/>
  <c r="I595" i="20"/>
  <c r="K594" i="20"/>
  <c r="I594" i="20"/>
  <c r="K593" i="20"/>
  <c r="I593" i="20"/>
  <c r="K592" i="20"/>
  <c r="I592" i="20"/>
  <c r="K591" i="20"/>
  <c r="I591" i="20"/>
  <c r="K590" i="20"/>
  <c r="I590" i="20"/>
  <c r="K589" i="20"/>
  <c r="I589" i="20"/>
  <c r="K588" i="20"/>
  <c r="I588" i="20"/>
  <c r="K587" i="20"/>
  <c r="I587" i="20"/>
  <c r="K586" i="20"/>
  <c r="I586" i="20"/>
  <c r="K585" i="20"/>
  <c r="I585" i="20"/>
  <c r="K584" i="20"/>
  <c r="I584" i="20"/>
  <c r="K583" i="20"/>
  <c r="I583" i="20"/>
  <c r="K582" i="20"/>
  <c r="I582" i="20"/>
  <c r="K581" i="20"/>
  <c r="I581" i="20"/>
  <c r="K580" i="20"/>
  <c r="I580" i="20"/>
  <c r="K579" i="20"/>
  <c r="I579" i="20"/>
  <c r="K578" i="20"/>
  <c r="I578" i="20"/>
  <c r="K577" i="20"/>
  <c r="I577" i="20"/>
  <c r="K576" i="20"/>
  <c r="I576" i="20"/>
  <c r="K575" i="20"/>
  <c r="I575" i="20"/>
  <c r="K574" i="20"/>
  <c r="I574" i="20"/>
  <c r="K573" i="20"/>
  <c r="I573" i="20"/>
  <c r="K572" i="20"/>
  <c r="I572" i="20"/>
  <c r="K571" i="20"/>
  <c r="I571" i="20"/>
  <c r="K570" i="20"/>
  <c r="I570" i="20"/>
  <c r="K569" i="20"/>
  <c r="I569" i="20"/>
  <c r="K568" i="20"/>
  <c r="I568" i="20"/>
  <c r="K567" i="20"/>
  <c r="I567" i="20"/>
  <c r="K566" i="20"/>
  <c r="I566" i="20"/>
  <c r="K565" i="20"/>
  <c r="I565" i="20"/>
  <c r="K564" i="20"/>
  <c r="I564" i="20"/>
  <c r="K563" i="20"/>
  <c r="I563" i="20"/>
  <c r="K562" i="20"/>
  <c r="I562" i="20"/>
  <c r="K561" i="20"/>
  <c r="I561" i="20"/>
  <c r="K560" i="20"/>
  <c r="I560" i="20"/>
  <c r="K559" i="20"/>
  <c r="I559" i="20"/>
  <c r="K558" i="20"/>
  <c r="I558" i="20"/>
  <c r="K557" i="20"/>
  <c r="I557" i="20"/>
  <c r="K556" i="20"/>
  <c r="I556" i="20"/>
  <c r="K555" i="20"/>
  <c r="I555" i="20"/>
  <c r="K554" i="20"/>
  <c r="I554" i="20"/>
  <c r="K553" i="20"/>
  <c r="I553" i="20"/>
  <c r="K552" i="20"/>
  <c r="I552" i="20"/>
  <c r="K551" i="20"/>
  <c r="I551" i="20"/>
  <c r="K550" i="20"/>
  <c r="I550" i="20"/>
  <c r="K549" i="20"/>
  <c r="I549" i="20"/>
  <c r="K548" i="20"/>
  <c r="I548" i="20"/>
  <c r="K547" i="20"/>
  <c r="I547" i="20"/>
  <c r="K546" i="20"/>
  <c r="I546" i="20"/>
  <c r="K545" i="20"/>
  <c r="I545" i="20"/>
  <c r="K544" i="20"/>
  <c r="I544" i="20"/>
  <c r="K543" i="20"/>
  <c r="I543" i="20"/>
  <c r="K542" i="20"/>
  <c r="I542" i="20"/>
  <c r="K541" i="20"/>
  <c r="I541" i="20"/>
  <c r="K540" i="20"/>
  <c r="I540" i="20"/>
  <c r="K539" i="20"/>
  <c r="I539" i="20"/>
  <c r="K538" i="20"/>
  <c r="I538" i="20"/>
  <c r="K537" i="20"/>
  <c r="I537" i="20"/>
  <c r="K536" i="20"/>
  <c r="I536" i="20"/>
  <c r="K535" i="20"/>
  <c r="I535" i="20"/>
  <c r="K534" i="20"/>
  <c r="I534" i="20"/>
  <c r="K533" i="20"/>
  <c r="I533" i="20"/>
  <c r="K532" i="20"/>
  <c r="I532" i="20"/>
  <c r="K531" i="20"/>
  <c r="I531" i="20"/>
  <c r="K530" i="20"/>
  <c r="I530" i="20"/>
  <c r="K529" i="20"/>
  <c r="I529" i="20"/>
  <c r="K528" i="20"/>
  <c r="I528" i="20"/>
  <c r="K527" i="20"/>
  <c r="I527" i="20"/>
  <c r="K526" i="20"/>
  <c r="I526" i="20"/>
  <c r="K525" i="20"/>
  <c r="I525" i="20"/>
  <c r="K524" i="20"/>
  <c r="I524" i="20"/>
  <c r="K523" i="20"/>
  <c r="I523" i="20"/>
  <c r="K522" i="20"/>
  <c r="I522" i="20"/>
  <c r="K521" i="20"/>
  <c r="I521" i="20"/>
  <c r="K520" i="20"/>
  <c r="I520" i="20"/>
  <c r="K519" i="20"/>
  <c r="I519" i="20"/>
  <c r="K518" i="20"/>
  <c r="I518" i="20"/>
  <c r="K517" i="20"/>
  <c r="I517" i="20"/>
  <c r="K516" i="20"/>
  <c r="I516" i="20"/>
  <c r="K515" i="20"/>
  <c r="I515" i="20"/>
  <c r="K514" i="20"/>
  <c r="I514" i="20"/>
  <c r="K513" i="20"/>
  <c r="I513" i="20"/>
  <c r="K512" i="20"/>
  <c r="I512" i="20"/>
  <c r="K511" i="20"/>
  <c r="I511" i="20"/>
  <c r="K510" i="20"/>
  <c r="I510" i="20"/>
  <c r="K509" i="20"/>
  <c r="I509" i="20"/>
  <c r="K508" i="20"/>
  <c r="I508" i="20"/>
  <c r="K507" i="20"/>
  <c r="I507" i="20"/>
  <c r="K506" i="20"/>
  <c r="I506" i="20"/>
  <c r="K505" i="20"/>
  <c r="I505" i="20"/>
  <c r="K504" i="20"/>
  <c r="I504" i="20"/>
  <c r="K503" i="20"/>
  <c r="I503" i="20"/>
  <c r="K502" i="20"/>
  <c r="I502" i="20"/>
  <c r="K501" i="20"/>
  <c r="I501" i="20"/>
  <c r="K500" i="20"/>
  <c r="I500" i="20"/>
  <c r="K499" i="20"/>
  <c r="I499" i="20"/>
  <c r="K498" i="20"/>
  <c r="I498" i="20"/>
  <c r="K497" i="20"/>
  <c r="I497" i="20"/>
  <c r="K496" i="20"/>
  <c r="I496" i="20"/>
  <c r="K495" i="20"/>
  <c r="I495" i="20"/>
  <c r="K494" i="20"/>
  <c r="I494" i="20"/>
  <c r="K493" i="20"/>
  <c r="I493" i="20"/>
  <c r="K492" i="20"/>
  <c r="I492" i="20"/>
  <c r="K491" i="20"/>
  <c r="I491" i="20"/>
  <c r="K490" i="20"/>
  <c r="I490" i="20"/>
  <c r="K489" i="20"/>
  <c r="I489" i="20"/>
  <c r="K488" i="20"/>
  <c r="I488" i="20"/>
  <c r="K487" i="20"/>
  <c r="I487" i="20"/>
  <c r="K486" i="20"/>
  <c r="I486" i="20"/>
  <c r="K485" i="20"/>
  <c r="I485" i="20"/>
  <c r="K484" i="20"/>
  <c r="I484" i="20"/>
  <c r="K483" i="20"/>
  <c r="I483" i="20"/>
  <c r="K482" i="20"/>
  <c r="I482" i="20"/>
  <c r="K481" i="20"/>
  <c r="I481" i="20"/>
  <c r="K480" i="20"/>
  <c r="I480" i="20"/>
  <c r="K479" i="20"/>
  <c r="I479" i="20"/>
  <c r="K478" i="20"/>
  <c r="I478" i="20"/>
  <c r="K477" i="20"/>
  <c r="I477" i="20"/>
  <c r="K476" i="20"/>
  <c r="I476" i="20"/>
  <c r="K475" i="20"/>
  <c r="I475" i="20"/>
  <c r="K474" i="20"/>
  <c r="I474" i="20"/>
  <c r="K473" i="20"/>
  <c r="I473" i="20"/>
  <c r="K472" i="20"/>
  <c r="I472" i="20"/>
  <c r="K471" i="20"/>
  <c r="I471" i="20"/>
  <c r="K470" i="20"/>
  <c r="I470" i="20"/>
  <c r="K469" i="20"/>
  <c r="I469" i="20"/>
  <c r="K468" i="20"/>
  <c r="I468" i="20"/>
  <c r="K467" i="20"/>
  <c r="I467" i="20"/>
  <c r="K466" i="20"/>
  <c r="I466" i="20"/>
  <c r="K465" i="20"/>
  <c r="I465" i="20"/>
  <c r="K464" i="20"/>
  <c r="I464" i="20"/>
  <c r="K463" i="20"/>
  <c r="I463" i="20"/>
  <c r="K462" i="20"/>
  <c r="I462" i="20"/>
  <c r="K461" i="20"/>
  <c r="I461" i="20"/>
  <c r="K460" i="20"/>
  <c r="I460" i="20"/>
  <c r="K459" i="20"/>
  <c r="I459" i="20"/>
  <c r="K458" i="20"/>
  <c r="I458" i="20"/>
  <c r="K457" i="20"/>
  <c r="I457" i="20"/>
  <c r="K456" i="20"/>
  <c r="I456" i="20"/>
  <c r="K455" i="20"/>
  <c r="I455" i="20"/>
  <c r="K454" i="20"/>
  <c r="I454" i="20"/>
  <c r="K453" i="20"/>
  <c r="I453" i="20"/>
  <c r="K452" i="20"/>
  <c r="I452" i="20"/>
  <c r="K451" i="20"/>
  <c r="I451" i="20"/>
  <c r="K450" i="20"/>
  <c r="I450" i="20"/>
  <c r="K449" i="20"/>
  <c r="I449" i="20"/>
  <c r="K448" i="20"/>
  <c r="I448" i="20"/>
  <c r="K447" i="20"/>
  <c r="I447" i="20"/>
  <c r="K446" i="20"/>
  <c r="I446" i="20"/>
  <c r="K445" i="20"/>
  <c r="I445" i="20"/>
  <c r="K444" i="20"/>
  <c r="I444" i="20"/>
  <c r="K443" i="20"/>
  <c r="I443" i="20"/>
  <c r="K442" i="20"/>
  <c r="I442" i="20"/>
  <c r="K441" i="20"/>
  <c r="I441" i="20"/>
  <c r="K440" i="20"/>
  <c r="I440" i="20"/>
  <c r="K439" i="20"/>
  <c r="I439" i="20"/>
  <c r="K438" i="20"/>
  <c r="I438" i="20"/>
  <c r="K437" i="20"/>
  <c r="I437" i="20"/>
  <c r="K436" i="20"/>
  <c r="I436" i="20"/>
  <c r="K435" i="20"/>
  <c r="I435" i="20"/>
  <c r="K434" i="20"/>
  <c r="I434" i="20"/>
  <c r="K433" i="20"/>
  <c r="I433" i="20"/>
  <c r="K432" i="20"/>
  <c r="I432" i="20"/>
  <c r="K431" i="20"/>
  <c r="I431" i="20"/>
  <c r="K430" i="20"/>
  <c r="I430" i="20"/>
  <c r="K429" i="20"/>
  <c r="I429" i="20"/>
  <c r="K428" i="20"/>
  <c r="I428" i="20"/>
  <c r="K427" i="20"/>
  <c r="I427" i="20"/>
  <c r="K426" i="20"/>
  <c r="I426" i="20"/>
  <c r="K425" i="20"/>
  <c r="I425" i="20"/>
  <c r="K424" i="20"/>
  <c r="I424" i="20"/>
  <c r="K423" i="20"/>
  <c r="I423" i="20"/>
  <c r="K422" i="20"/>
  <c r="I422" i="20"/>
  <c r="K421" i="20"/>
  <c r="I421" i="20"/>
  <c r="K420" i="20"/>
  <c r="I420" i="20"/>
  <c r="K419" i="20"/>
  <c r="I419" i="20"/>
  <c r="K418" i="20"/>
  <c r="I418" i="20"/>
  <c r="K417" i="20"/>
  <c r="I417" i="20"/>
  <c r="K416" i="20"/>
  <c r="I416" i="20"/>
  <c r="K415" i="20"/>
  <c r="I415" i="20"/>
  <c r="K414" i="20"/>
  <c r="I414" i="20"/>
  <c r="K413" i="20"/>
  <c r="I413" i="20"/>
  <c r="K412" i="20"/>
  <c r="I412" i="20"/>
  <c r="K411" i="20"/>
  <c r="I411" i="20"/>
  <c r="K410" i="20"/>
  <c r="I410" i="20"/>
  <c r="K409" i="20"/>
  <c r="I409" i="20"/>
  <c r="K408" i="20"/>
  <c r="I408" i="20"/>
  <c r="K407" i="20"/>
  <c r="I407" i="20"/>
  <c r="K406" i="20"/>
  <c r="I406" i="20"/>
  <c r="K405" i="20"/>
  <c r="I405" i="20"/>
  <c r="K404" i="20"/>
  <c r="I404" i="20"/>
  <c r="K403" i="20"/>
  <c r="I403" i="20"/>
  <c r="K402" i="20"/>
  <c r="I402" i="20"/>
  <c r="K401" i="20"/>
  <c r="I401" i="20"/>
  <c r="K400" i="20"/>
  <c r="I400" i="20"/>
  <c r="K399" i="20"/>
  <c r="I399" i="20"/>
  <c r="K398" i="20"/>
  <c r="I398" i="20"/>
  <c r="K397" i="20"/>
  <c r="I397" i="20"/>
  <c r="K396" i="20"/>
  <c r="I396" i="20"/>
  <c r="K395" i="20"/>
  <c r="I395" i="20"/>
  <c r="K394" i="20"/>
  <c r="I394" i="20"/>
  <c r="K393" i="20"/>
  <c r="I393" i="20"/>
  <c r="K392" i="20"/>
  <c r="I392" i="20"/>
  <c r="K391" i="20"/>
  <c r="I391" i="20"/>
  <c r="K390" i="20"/>
  <c r="I390" i="20"/>
  <c r="K389" i="20"/>
  <c r="I389" i="20"/>
  <c r="K388" i="20"/>
  <c r="I388" i="20"/>
  <c r="K387" i="20"/>
  <c r="I387" i="20"/>
  <c r="K386" i="20"/>
  <c r="I386" i="20"/>
  <c r="K385" i="20"/>
  <c r="I385" i="20"/>
  <c r="K384" i="20"/>
  <c r="I384" i="20"/>
  <c r="K383" i="20"/>
  <c r="I383" i="20"/>
  <c r="K382" i="20"/>
  <c r="I382" i="20"/>
  <c r="K381" i="20"/>
  <c r="I381" i="20"/>
  <c r="K380" i="20"/>
  <c r="I380" i="20"/>
  <c r="K379" i="20"/>
  <c r="I379" i="20"/>
  <c r="K378" i="20"/>
  <c r="I378" i="20"/>
  <c r="K377" i="20"/>
  <c r="I377" i="20"/>
  <c r="K376" i="20"/>
  <c r="I376" i="20"/>
  <c r="K375" i="20"/>
  <c r="I375" i="20"/>
  <c r="K374" i="20"/>
  <c r="I374" i="20"/>
  <c r="K373" i="20"/>
  <c r="I373" i="20"/>
  <c r="K372" i="20"/>
  <c r="I372" i="20"/>
  <c r="K371" i="20"/>
  <c r="I371" i="20"/>
  <c r="K370" i="20"/>
  <c r="I370" i="20"/>
  <c r="K369" i="20"/>
  <c r="I369" i="20"/>
  <c r="K368" i="20"/>
  <c r="I368" i="20"/>
  <c r="K367" i="20"/>
  <c r="I367" i="20"/>
  <c r="K366" i="20"/>
  <c r="I366" i="20"/>
  <c r="K365" i="20"/>
  <c r="I365" i="20"/>
  <c r="K364" i="20"/>
  <c r="I364" i="20"/>
  <c r="K363" i="20"/>
  <c r="I363" i="20"/>
  <c r="K362" i="20"/>
  <c r="I362" i="20"/>
  <c r="K361" i="20"/>
  <c r="I361" i="20"/>
  <c r="K360" i="20"/>
  <c r="I360" i="20"/>
  <c r="K359" i="20"/>
  <c r="I359" i="20"/>
  <c r="K358" i="20"/>
  <c r="I358" i="20"/>
  <c r="K357" i="20"/>
  <c r="I357" i="20"/>
  <c r="K356" i="20"/>
  <c r="I356" i="20"/>
  <c r="K355" i="20"/>
  <c r="I355" i="20"/>
  <c r="K354" i="20"/>
  <c r="I354" i="20"/>
  <c r="K353" i="20"/>
  <c r="I353" i="20"/>
  <c r="K352" i="20"/>
  <c r="I352" i="20"/>
  <c r="K351" i="20"/>
  <c r="I351" i="20"/>
  <c r="K350" i="20"/>
  <c r="I350" i="20"/>
  <c r="K349" i="20"/>
  <c r="I349" i="20"/>
  <c r="K348" i="20"/>
  <c r="I348" i="20"/>
  <c r="K347" i="20"/>
  <c r="I347" i="20"/>
  <c r="K346" i="20"/>
  <c r="I346" i="20"/>
  <c r="K345" i="20"/>
  <c r="I345" i="20"/>
  <c r="K344" i="20"/>
  <c r="I344" i="20"/>
  <c r="K343" i="20"/>
  <c r="I343" i="20"/>
  <c r="K342" i="20"/>
  <c r="I342" i="20"/>
  <c r="K341" i="20"/>
  <c r="I341" i="20"/>
  <c r="K340" i="20"/>
  <c r="I340" i="20"/>
  <c r="K339" i="20"/>
  <c r="I339" i="20"/>
  <c r="K338" i="20"/>
  <c r="I338" i="20"/>
  <c r="K337" i="20"/>
  <c r="I337" i="20"/>
  <c r="K336" i="20"/>
  <c r="I336" i="20"/>
  <c r="K335" i="20"/>
  <c r="I335" i="20"/>
  <c r="K334" i="20"/>
  <c r="I334" i="20"/>
  <c r="K333" i="20"/>
  <c r="I333" i="20"/>
  <c r="K332" i="20"/>
  <c r="I332" i="20"/>
  <c r="K331" i="20"/>
  <c r="I331" i="20"/>
  <c r="K330" i="20"/>
  <c r="I330" i="20"/>
  <c r="K329" i="20"/>
  <c r="I329" i="20"/>
  <c r="K328" i="20"/>
  <c r="I328" i="20"/>
  <c r="K327" i="20"/>
  <c r="I327" i="20"/>
  <c r="K326" i="20"/>
  <c r="I326" i="20"/>
  <c r="K325" i="20"/>
  <c r="I325" i="20"/>
  <c r="K324" i="20"/>
  <c r="I324" i="20"/>
  <c r="K323" i="20"/>
  <c r="I323" i="20"/>
  <c r="K322" i="20"/>
  <c r="I322" i="20"/>
  <c r="K321" i="20"/>
  <c r="I321" i="20"/>
  <c r="K320" i="20"/>
  <c r="I320" i="20"/>
  <c r="K319" i="20"/>
  <c r="I319" i="20"/>
  <c r="K318" i="20"/>
  <c r="I318" i="20"/>
  <c r="K317" i="20"/>
  <c r="I317" i="20"/>
  <c r="K316" i="20"/>
  <c r="I316" i="20"/>
  <c r="K315" i="20"/>
  <c r="I315" i="20"/>
  <c r="K314" i="20"/>
  <c r="I314" i="20"/>
  <c r="K313" i="20"/>
  <c r="I313" i="20"/>
  <c r="K312" i="20"/>
  <c r="I312" i="20"/>
  <c r="K311" i="20"/>
  <c r="I311" i="20"/>
  <c r="K310" i="20"/>
  <c r="I310" i="20"/>
  <c r="K309" i="20"/>
  <c r="I309" i="20"/>
  <c r="K308" i="20"/>
  <c r="I308" i="20"/>
  <c r="K307" i="20"/>
  <c r="I307" i="20"/>
  <c r="K306" i="20"/>
  <c r="I306" i="20"/>
  <c r="K305" i="20"/>
  <c r="I305" i="20"/>
  <c r="K304" i="20"/>
  <c r="I304" i="20"/>
  <c r="K303" i="20"/>
  <c r="I303" i="20"/>
  <c r="K302" i="20"/>
  <c r="I302" i="20"/>
  <c r="K301" i="20"/>
  <c r="I301" i="20"/>
  <c r="K300" i="20"/>
  <c r="I300" i="20"/>
  <c r="K299" i="20"/>
  <c r="I299" i="20"/>
  <c r="K298" i="20"/>
  <c r="I298" i="20"/>
  <c r="K297" i="20"/>
  <c r="I297" i="20"/>
  <c r="K296" i="20"/>
  <c r="I296" i="20"/>
  <c r="K295" i="20"/>
  <c r="I295" i="20"/>
  <c r="K294" i="20"/>
  <c r="I294" i="20"/>
  <c r="K293" i="20"/>
  <c r="I293" i="20"/>
  <c r="K292" i="20"/>
  <c r="I292" i="20"/>
  <c r="K291" i="20"/>
  <c r="I291" i="20"/>
  <c r="K290" i="20"/>
  <c r="I290" i="20"/>
  <c r="K289" i="20"/>
  <c r="I289" i="20"/>
  <c r="K288" i="20"/>
  <c r="I288" i="20"/>
  <c r="K287" i="20"/>
  <c r="I287" i="20"/>
  <c r="K286" i="20"/>
  <c r="I286" i="20"/>
  <c r="K285" i="20"/>
  <c r="I285" i="20"/>
  <c r="K284" i="20"/>
  <c r="I284" i="20"/>
  <c r="K283" i="20"/>
  <c r="I283" i="20"/>
  <c r="K282" i="20"/>
  <c r="I282" i="20"/>
  <c r="K281" i="20"/>
  <c r="I281" i="20"/>
  <c r="K280" i="20"/>
  <c r="I280" i="20"/>
  <c r="K279" i="20"/>
  <c r="I279" i="20"/>
  <c r="K278" i="20"/>
  <c r="I278" i="20"/>
  <c r="K277" i="20"/>
  <c r="I277" i="20"/>
  <c r="K276" i="20"/>
  <c r="I276" i="20"/>
  <c r="K275" i="20"/>
  <c r="I275" i="20"/>
  <c r="K274" i="20"/>
  <c r="I274" i="20"/>
  <c r="K273" i="20"/>
  <c r="I273" i="20"/>
  <c r="K272" i="20"/>
  <c r="I272" i="20"/>
  <c r="K271" i="20"/>
  <c r="I271" i="20"/>
  <c r="K270" i="20"/>
  <c r="I270" i="20"/>
  <c r="K269" i="20"/>
  <c r="I269" i="20"/>
  <c r="K268" i="20"/>
  <c r="I268" i="20"/>
  <c r="K267" i="20"/>
  <c r="I267" i="20"/>
  <c r="K266" i="20"/>
  <c r="I266" i="20"/>
  <c r="K265" i="20"/>
  <c r="I265" i="20"/>
  <c r="K264" i="20"/>
  <c r="I264" i="20"/>
  <c r="K263" i="20"/>
  <c r="I263" i="20"/>
  <c r="K262" i="20"/>
  <c r="I262" i="20"/>
  <c r="K261" i="20"/>
  <c r="I261" i="20"/>
  <c r="K260" i="20"/>
  <c r="I260" i="20"/>
  <c r="K259" i="20"/>
  <c r="I259" i="20"/>
  <c r="K258" i="20"/>
  <c r="I258" i="20"/>
  <c r="K257" i="20"/>
  <c r="I257" i="20"/>
  <c r="K256" i="20"/>
  <c r="I256" i="20"/>
  <c r="K255" i="20"/>
  <c r="I255" i="20"/>
  <c r="K254" i="20"/>
  <c r="I254" i="20"/>
  <c r="K253" i="20"/>
  <c r="I253" i="20"/>
  <c r="K252" i="20"/>
  <c r="I252" i="20"/>
  <c r="K251" i="20"/>
  <c r="I251" i="20"/>
  <c r="K250" i="20"/>
  <c r="I250" i="20"/>
  <c r="K249" i="20"/>
  <c r="I249" i="20"/>
  <c r="K248" i="20"/>
  <c r="I248" i="20"/>
  <c r="K247" i="20"/>
  <c r="I247" i="20"/>
  <c r="K246" i="20"/>
  <c r="I246" i="20"/>
  <c r="K245" i="20"/>
  <c r="I245" i="20"/>
  <c r="K244" i="20"/>
  <c r="I244" i="20"/>
  <c r="K243" i="20"/>
  <c r="I243" i="20"/>
  <c r="K242" i="20"/>
  <c r="I242" i="20"/>
  <c r="K241" i="20"/>
  <c r="I241" i="20"/>
  <c r="K240" i="20"/>
  <c r="I240" i="20"/>
  <c r="K239" i="20"/>
  <c r="I239" i="20"/>
  <c r="K238" i="20"/>
  <c r="I238" i="20"/>
  <c r="K237" i="20"/>
  <c r="I237" i="20"/>
  <c r="K236" i="20"/>
  <c r="I236" i="20"/>
  <c r="K235" i="20"/>
  <c r="I235" i="20"/>
  <c r="K234" i="20"/>
  <c r="I234" i="20"/>
  <c r="K233" i="20"/>
  <c r="I233" i="20"/>
  <c r="K232" i="20"/>
  <c r="I232" i="20"/>
  <c r="K231" i="20"/>
  <c r="I231" i="20"/>
  <c r="K230" i="20"/>
  <c r="I230" i="20"/>
  <c r="K229" i="20"/>
  <c r="I229" i="20"/>
  <c r="K228" i="20"/>
  <c r="I228" i="20"/>
  <c r="K227" i="20"/>
  <c r="I227" i="20"/>
  <c r="K226" i="20"/>
  <c r="I226" i="20"/>
  <c r="K225" i="20"/>
  <c r="I225" i="20"/>
  <c r="K224" i="20"/>
  <c r="I224" i="20"/>
  <c r="K223" i="20"/>
  <c r="I223" i="20"/>
  <c r="K222" i="20"/>
  <c r="I222" i="20"/>
  <c r="K221" i="20"/>
  <c r="I221" i="20"/>
  <c r="K220" i="20"/>
  <c r="I220" i="20"/>
  <c r="K219" i="20"/>
  <c r="I219" i="20"/>
  <c r="K218" i="20"/>
  <c r="I218" i="20"/>
  <c r="K217" i="20"/>
  <c r="I217" i="20"/>
  <c r="K216" i="20"/>
  <c r="I216" i="20"/>
  <c r="K215" i="20"/>
  <c r="I215" i="20"/>
  <c r="K214" i="20"/>
  <c r="I214" i="20"/>
  <c r="K213" i="20"/>
  <c r="I213" i="20"/>
  <c r="K212" i="20"/>
  <c r="I212" i="20"/>
  <c r="K211" i="20"/>
  <c r="I211" i="20"/>
  <c r="K210" i="20"/>
  <c r="I210" i="20"/>
  <c r="K209" i="20"/>
  <c r="I209" i="20"/>
  <c r="K208" i="20"/>
  <c r="I208" i="20"/>
  <c r="K207" i="20"/>
  <c r="I207" i="20"/>
  <c r="K206" i="20"/>
  <c r="I206" i="20"/>
  <c r="K205" i="20"/>
  <c r="I205" i="20"/>
  <c r="K204" i="20"/>
  <c r="I204" i="20"/>
  <c r="K203" i="20"/>
  <c r="I203" i="20"/>
  <c r="K202" i="20"/>
  <c r="I202" i="20"/>
  <c r="K201" i="20"/>
  <c r="I201" i="20"/>
  <c r="K200" i="20"/>
  <c r="I200" i="20"/>
  <c r="K199" i="20"/>
  <c r="I199" i="20"/>
  <c r="K198" i="20"/>
  <c r="I198" i="20"/>
  <c r="K197" i="20"/>
  <c r="I197" i="20"/>
  <c r="K196" i="20"/>
  <c r="I196" i="20"/>
  <c r="K195" i="20"/>
  <c r="I195" i="20"/>
  <c r="K194" i="20"/>
  <c r="I194" i="20"/>
  <c r="K193" i="20"/>
  <c r="I193" i="20"/>
  <c r="K192" i="20"/>
  <c r="I192" i="20"/>
  <c r="K191" i="20"/>
  <c r="I191" i="20"/>
  <c r="K190" i="20"/>
  <c r="I190" i="20"/>
  <c r="K189" i="20"/>
  <c r="I189" i="20"/>
  <c r="K188" i="20"/>
  <c r="I188" i="20"/>
  <c r="K187" i="20"/>
  <c r="I187" i="20"/>
  <c r="K186" i="20"/>
  <c r="I186" i="20"/>
  <c r="K185" i="20"/>
  <c r="I185" i="20"/>
  <c r="K184" i="20"/>
  <c r="I184" i="20"/>
  <c r="K183" i="20"/>
  <c r="I183" i="20"/>
  <c r="K182" i="20"/>
  <c r="I182" i="20"/>
  <c r="K181" i="20"/>
  <c r="I181" i="20"/>
  <c r="K180" i="20"/>
  <c r="I180" i="20"/>
  <c r="K179" i="20"/>
  <c r="I179" i="20"/>
  <c r="K178" i="20"/>
  <c r="I178" i="20"/>
  <c r="K177" i="20"/>
  <c r="I177" i="20"/>
  <c r="K176" i="20"/>
  <c r="I176" i="20"/>
  <c r="K175" i="20"/>
  <c r="I175" i="20"/>
  <c r="K174" i="20"/>
  <c r="I174" i="20"/>
  <c r="K173" i="20"/>
  <c r="I173" i="20"/>
  <c r="K172" i="20"/>
  <c r="I172" i="20"/>
  <c r="K171" i="20"/>
  <c r="I171" i="20"/>
  <c r="K170" i="20"/>
  <c r="I170" i="20"/>
  <c r="K169" i="20"/>
  <c r="I169" i="20"/>
  <c r="K168" i="20"/>
  <c r="I168" i="20"/>
  <c r="K167" i="20"/>
  <c r="I167" i="20"/>
  <c r="K166" i="20"/>
  <c r="I166" i="20"/>
  <c r="K165" i="20"/>
  <c r="I165" i="20"/>
  <c r="K164" i="20"/>
  <c r="I164" i="20"/>
  <c r="K163" i="20"/>
  <c r="I163" i="20"/>
  <c r="K162" i="20"/>
  <c r="I162" i="20"/>
  <c r="K161" i="20"/>
  <c r="I161" i="20"/>
  <c r="K160" i="20"/>
  <c r="I160" i="20"/>
  <c r="K159" i="20"/>
  <c r="I159" i="20"/>
  <c r="K158" i="20"/>
  <c r="I158" i="20"/>
  <c r="K157" i="20"/>
  <c r="I157" i="20"/>
  <c r="K156" i="20"/>
  <c r="I156" i="20"/>
  <c r="K155" i="20"/>
  <c r="I155" i="20"/>
  <c r="K154" i="20"/>
  <c r="I154" i="20"/>
  <c r="K153" i="20"/>
  <c r="I153" i="20"/>
  <c r="K152" i="20"/>
  <c r="I152" i="20"/>
  <c r="K151" i="20"/>
  <c r="I151" i="20"/>
  <c r="K150" i="20"/>
  <c r="I150" i="20"/>
  <c r="K149" i="20"/>
  <c r="I149" i="20"/>
  <c r="K148" i="20"/>
  <c r="I148" i="20"/>
  <c r="K147" i="20"/>
  <c r="I147" i="20"/>
  <c r="K146" i="20"/>
  <c r="I146" i="20"/>
  <c r="K145" i="20"/>
  <c r="I145" i="20"/>
  <c r="K144" i="20"/>
  <c r="I144" i="20"/>
  <c r="K143" i="20"/>
  <c r="I143" i="20"/>
  <c r="K142" i="20"/>
  <c r="I142" i="20"/>
  <c r="K141" i="20"/>
  <c r="I141" i="20"/>
  <c r="K140" i="20"/>
  <c r="I140" i="20"/>
  <c r="K139" i="20"/>
  <c r="I139" i="20"/>
  <c r="K138" i="20"/>
  <c r="I138" i="20"/>
  <c r="K137" i="20"/>
  <c r="I137" i="20"/>
  <c r="K136" i="20"/>
  <c r="I136" i="20"/>
  <c r="K135" i="20"/>
  <c r="I135" i="20"/>
  <c r="K134" i="20"/>
  <c r="I134" i="20"/>
  <c r="K133" i="20"/>
  <c r="I133" i="20"/>
  <c r="K132" i="20"/>
  <c r="I132" i="20"/>
  <c r="K131" i="20"/>
  <c r="I131" i="20"/>
  <c r="K130" i="20"/>
  <c r="I130" i="20"/>
  <c r="K129" i="20"/>
  <c r="I129" i="20"/>
  <c r="K128" i="20"/>
  <c r="I128" i="20"/>
  <c r="K127" i="20"/>
  <c r="I127" i="20"/>
  <c r="K126" i="20"/>
  <c r="I126" i="20"/>
  <c r="K125" i="20"/>
  <c r="I125" i="20"/>
  <c r="K124" i="20"/>
  <c r="I124" i="20"/>
  <c r="K123" i="20"/>
  <c r="I123" i="20"/>
  <c r="K122" i="20"/>
  <c r="I122" i="20"/>
  <c r="K121" i="20"/>
  <c r="I121" i="20"/>
  <c r="K120" i="20"/>
  <c r="I120" i="20"/>
  <c r="K119" i="20"/>
  <c r="I119" i="20"/>
  <c r="K118" i="20"/>
  <c r="I118" i="20"/>
  <c r="K117" i="20"/>
  <c r="I117" i="20"/>
  <c r="K116" i="20"/>
  <c r="I116" i="20"/>
  <c r="K115" i="20"/>
  <c r="I115" i="20"/>
  <c r="K114" i="20"/>
  <c r="I114" i="20"/>
  <c r="K113" i="20"/>
  <c r="I113" i="20"/>
  <c r="K112" i="20"/>
  <c r="I112" i="20"/>
  <c r="K111" i="20"/>
  <c r="I111" i="20"/>
  <c r="K110" i="20"/>
  <c r="I110" i="20"/>
  <c r="K109" i="20"/>
  <c r="I109" i="20"/>
  <c r="K108" i="20"/>
  <c r="I108" i="20"/>
  <c r="K107" i="20"/>
  <c r="I107" i="20"/>
  <c r="K106" i="20"/>
  <c r="I106" i="20"/>
  <c r="K105" i="20"/>
  <c r="I105" i="20"/>
  <c r="K104" i="20"/>
  <c r="I104" i="20"/>
  <c r="K103" i="20"/>
  <c r="I103" i="20"/>
  <c r="K102" i="20"/>
  <c r="I102" i="20"/>
  <c r="K101" i="20"/>
  <c r="I101" i="20"/>
  <c r="K100" i="20"/>
  <c r="I100" i="20"/>
  <c r="K99" i="20"/>
  <c r="I99" i="20"/>
  <c r="K98" i="20"/>
  <c r="I98" i="20"/>
  <c r="K97" i="20"/>
  <c r="I97" i="20"/>
  <c r="K96" i="20"/>
  <c r="I96" i="20"/>
  <c r="K95" i="20"/>
  <c r="I95" i="20"/>
  <c r="K94" i="20"/>
  <c r="I94" i="20"/>
  <c r="K93" i="20"/>
  <c r="I93" i="20"/>
  <c r="K92" i="20"/>
  <c r="I92" i="20"/>
  <c r="K91" i="20"/>
  <c r="I91" i="20"/>
  <c r="K90" i="20"/>
  <c r="I90" i="20"/>
  <c r="K89" i="20"/>
  <c r="I89" i="20"/>
  <c r="K88" i="20"/>
  <c r="I88" i="20"/>
  <c r="K87" i="20"/>
  <c r="I87" i="20"/>
  <c r="K86" i="20"/>
  <c r="I86" i="20"/>
  <c r="K85" i="20"/>
  <c r="I85" i="20"/>
  <c r="K84" i="20"/>
  <c r="I84" i="20"/>
  <c r="K83" i="20"/>
  <c r="I83" i="20"/>
  <c r="K82" i="20"/>
  <c r="I82" i="20"/>
  <c r="K81" i="20"/>
  <c r="I81" i="20"/>
  <c r="K80" i="20"/>
  <c r="I80" i="20"/>
  <c r="K79" i="20"/>
  <c r="I79" i="20"/>
  <c r="K78" i="20"/>
  <c r="I78" i="20"/>
  <c r="K77" i="20"/>
  <c r="I77" i="20"/>
  <c r="K76" i="20"/>
  <c r="I76" i="20"/>
  <c r="K75" i="20"/>
  <c r="I75" i="20"/>
  <c r="K74" i="20"/>
  <c r="I74" i="20"/>
  <c r="K73" i="20"/>
  <c r="I73" i="20"/>
  <c r="K72" i="20"/>
  <c r="I72" i="20"/>
  <c r="K71" i="20"/>
  <c r="I71" i="20"/>
  <c r="K70" i="20"/>
  <c r="I70" i="20"/>
  <c r="K69" i="20"/>
  <c r="I69" i="20"/>
  <c r="K68" i="20"/>
  <c r="I68" i="20"/>
  <c r="K67" i="20"/>
  <c r="I67" i="20"/>
  <c r="K66" i="20"/>
  <c r="I66" i="20"/>
  <c r="K65" i="20"/>
  <c r="I65" i="20"/>
  <c r="K64" i="20"/>
  <c r="I64" i="20"/>
  <c r="K63" i="20"/>
  <c r="I63" i="20"/>
  <c r="K62" i="20"/>
  <c r="I62" i="20"/>
  <c r="K61" i="20"/>
  <c r="I61" i="20"/>
  <c r="K60" i="20"/>
  <c r="I60" i="20"/>
  <c r="K59" i="20"/>
  <c r="I59" i="20"/>
  <c r="K58" i="20"/>
  <c r="I58" i="20"/>
  <c r="K57" i="20"/>
  <c r="I57" i="20"/>
  <c r="K56" i="20"/>
  <c r="I56" i="20"/>
  <c r="K55" i="20"/>
  <c r="I55" i="20"/>
  <c r="K54" i="20"/>
  <c r="I54" i="20"/>
  <c r="K53" i="20"/>
  <c r="I53" i="20"/>
  <c r="K52" i="20"/>
  <c r="I52" i="20"/>
  <c r="K51" i="20"/>
  <c r="I51" i="20"/>
  <c r="K50" i="20"/>
  <c r="I50" i="20"/>
  <c r="K49" i="20"/>
  <c r="I49" i="20"/>
  <c r="K48" i="20"/>
  <c r="I48" i="20"/>
  <c r="K47" i="20"/>
  <c r="I47" i="20"/>
  <c r="K46" i="20"/>
  <c r="I46" i="20"/>
  <c r="K45" i="20"/>
  <c r="I45" i="20"/>
  <c r="K44" i="20"/>
  <c r="I44" i="20"/>
  <c r="K43" i="20"/>
  <c r="I43" i="20"/>
  <c r="K42" i="20"/>
  <c r="I42" i="20"/>
  <c r="K41" i="20"/>
  <c r="I41" i="20"/>
  <c r="K40" i="20"/>
  <c r="I40" i="20"/>
  <c r="K39" i="20"/>
  <c r="I39" i="20"/>
  <c r="K38" i="20"/>
  <c r="I38" i="20"/>
  <c r="K37" i="20"/>
  <c r="I37" i="20"/>
  <c r="K36" i="20"/>
  <c r="I36" i="20"/>
  <c r="K35" i="20"/>
  <c r="I35" i="20"/>
  <c r="K34" i="20"/>
  <c r="I34" i="20"/>
  <c r="K33" i="20"/>
  <c r="I33" i="20"/>
  <c r="K32" i="20"/>
  <c r="I32" i="20"/>
  <c r="I270" i="22"/>
  <c r="H270" i="22"/>
  <c r="D270" i="22"/>
  <c r="I269" i="22"/>
  <c r="H269" i="22"/>
  <c r="D269" i="22"/>
  <c r="I268" i="22"/>
  <c r="H268" i="22"/>
  <c r="D268" i="22"/>
  <c r="I267" i="22"/>
  <c r="H267" i="22"/>
  <c r="D267" i="22"/>
  <c r="I266" i="22"/>
  <c r="H266" i="22"/>
  <c r="D266" i="22"/>
  <c r="I265" i="22"/>
  <c r="H265" i="22"/>
  <c r="D265" i="22"/>
  <c r="I264" i="22"/>
  <c r="H264" i="22"/>
  <c r="D264" i="22"/>
  <c r="I263" i="22"/>
  <c r="H263" i="22"/>
  <c r="D263" i="22"/>
  <c r="I262" i="22"/>
  <c r="H262" i="22"/>
  <c r="D262" i="22"/>
  <c r="I261" i="22"/>
  <c r="H261" i="22"/>
  <c r="D261" i="22"/>
  <c r="I260" i="22"/>
  <c r="H260" i="22"/>
  <c r="D260" i="22"/>
  <c r="I259" i="22"/>
  <c r="H259" i="22"/>
  <c r="D259" i="22"/>
  <c r="I258" i="22"/>
  <c r="H258" i="22"/>
  <c r="D258" i="22"/>
  <c r="I257" i="22"/>
  <c r="H257" i="22"/>
  <c r="D257" i="22"/>
  <c r="I256" i="22"/>
  <c r="H256" i="22"/>
  <c r="D256" i="22"/>
  <c r="I255" i="22"/>
  <c r="H255" i="22"/>
  <c r="D255" i="22"/>
  <c r="I254" i="22"/>
  <c r="H254" i="22"/>
  <c r="D254" i="22"/>
  <c r="I253" i="22"/>
  <c r="H253" i="22"/>
  <c r="D253" i="22"/>
  <c r="I252" i="22"/>
  <c r="H252" i="22"/>
  <c r="D252" i="22"/>
  <c r="I251" i="22"/>
  <c r="H251" i="22"/>
  <c r="D251" i="22"/>
  <c r="I250" i="22"/>
  <c r="H250" i="22"/>
  <c r="D250" i="22"/>
  <c r="I249" i="22"/>
  <c r="H249" i="22"/>
  <c r="D249" i="22"/>
  <c r="I248" i="22"/>
  <c r="H248" i="22"/>
  <c r="D248" i="22"/>
  <c r="I247" i="22"/>
  <c r="H247" i="22"/>
  <c r="D247" i="22"/>
  <c r="I246" i="22"/>
  <c r="H246" i="22"/>
  <c r="D246" i="22"/>
  <c r="I245" i="22"/>
  <c r="H245" i="22"/>
  <c r="D245" i="22"/>
  <c r="I244" i="22"/>
  <c r="H244" i="22"/>
  <c r="D244" i="22"/>
  <c r="I243" i="22"/>
  <c r="H243" i="22"/>
  <c r="D243" i="22"/>
  <c r="I242" i="22"/>
  <c r="H242" i="22"/>
  <c r="D242" i="22"/>
  <c r="I241" i="22"/>
  <c r="H241" i="22"/>
  <c r="D241" i="22"/>
  <c r="I240" i="22"/>
  <c r="H240" i="22"/>
  <c r="D240" i="22"/>
  <c r="I239" i="22"/>
  <c r="H239" i="22"/>
  <c r="D239" i="22"/>
  <c r="I238" i="22"/>
  <c r="H238" i="22"/>
  <c r="D238" i="22"/>
  <c r="I237" i="22"/>
  <c r="H237" i="22"/>
  <c r="D237" i="22"/>
  <c r="I236" i="22"/>
  <c r="H236" i="22"/>
  <c r="D236" i="22"/>
  <c r="I235" i="22"/>
  <c r="H235" i="22"/>
  <c r="D235" i="22"/>
  <c r="I234" i="22"/>
  <c r="H234" i="22"/>
  <c r="D234" i="22"/>
  <c r="I233" i="22"/>
  <c r="H233" i="22"/>
  <c r="D233" i="22"/>
  <c r="I232" i="22"/>
  <c r="H232" i="22"/>
  <c r="D232" i="22"/>
  <c r="I231" i="22"/>
  <c r="H231" i="22"/>
  <c r="D231" i="22"/>
  <c r="I230" i="22"/>
  <c r="H230" i="22"/>
  <c r="D230" i="22"/>
  <c r="I229" i="22"/>
  <c r="H229" i="22"/>
  <c r="D229" i="22"/>
  <c r="I228" i="22"/>
  <c r="H228" i="22"/>
  <c r="D228" i="22"/>
  <c r="I227" i="22"/>
  <c r="H227" i="22"/>
  <c r="D227" i="22"/>
  <c r="I226" i="22"/>
  <c r="H226" i="22"/>
  <c r="D226" i="22"/>
  <c r="I225" i="22"/>
  <c r="H225" i="22"/>
  <c r="D225" i="22"/>
  <c r="I224" i="22"/>
  <c r="H224" i="22"/>
  <c r="D224" i="22"/>
  <c r="I223" i="22"/>
  <c r="H223" i="22"/>
  <c r="D223" i="22"/>
  <c r="I222" i="22"/>
  <c r="H222" i="22"/>
  <c r="D222" i="22"/>
  <c r="I221" i="22"/>
  <c r="H221" i="22"/>
  <c r="D221" i="22"/>
  <c r="I220" i="22"/>
  <c r="H220" i="22"/>
  <c r="D220" i="22"/>
  <c r="I219" i="22"/>
  <c r="H219" i="22"/>
  <c r="D219" i="22"/>
  <c r="I218" i="22"/>
  <c r="H218" i="22"/>
  <c r="D218" i="22"/>
  <c r="I217" i="22"/>
  <c r="H217" i="22"/>
  <c r="D217" i="22"/>
  <c r="I216" i="22"/>
  <c r="H216" i="22"/>
  <c r="D216" i="22"/>
  <c r="I215" i="22"/>
  <c r="H215" i="22"/>
  <c r="D215" i="22"/>
  <c r="I214" i="22"/>
  <c r="H214" i="22"/>
  <c r="D214" i="22"/>
  <c r="I213" i="22"/>
  <c r="H213" i="22"/>
  <c r="D213" i="22"/>
  <c r="I212" i="22"/>
  <c r="H212" i="22"/>
  <c r="D212" i="22"/>
  <c r="I211" i="22"/>
  <c r="H211" i="22"/>
  <c r="D211" i="22"/>
  <c r="I210" i="22"/>
  <c r="H210" i="22"/>
  <c r="D210" i="22"/>
  <c r="I209" i="22"/>
  <c r="H209" i="22"/>
  <c r="D209" i="22"/>
  <c r="I208" i="22"/>
  <c r="H208" i="22"/>
  <c r="D208" i="22"/>
  <c r="I207" i="22"/>
  <c r="H207" i="22"/>
  <c r="D207" i="22"/>
  <c r="I206" i="22"/>
  <c r="H206" i="22"/>
  <c r="D206" i="22"/>
  <c r="I205" i="22"/>
  <c r="H205" i="22"/>
  <c r="D205" i="22"/>
  <c r="I204" i="22"/>
  <c r="H204" i="22"/>
  <c r="D204" i="22"/>
  <c r="I203" i="22"/>
  <c r="H203" i="22"/>
  <c r="D203" i="22"/>
  <c r="I202" i="22"/>
  <c r="H202" i="22"/>
  <c r="D202" i="22"/>
  <c r="I201" i="22"/>
  <c r="H201" i="22"/>
  <c r="D201" i="22"/>
  <c r="I200" i="22"/>
  <c r="H200" i="22"/>
  <c r="D200" i="22"/>
  <c r="I199" i="22"/>
  <c r="H199" i="22"/>
  <c r="D199" i="22"/>
  <c r="I198" i="22"/>
  <c r="H198" i="22"/>
  <c r="D198" i="22"/>
  <c r="I197" i="22"/>
  <c r="H197" i="22"/>
  <c r="D197" i="22"/>
  <c r="I196" i="22"/>
  <c r="H196" i="22"/>
  <c r="D196" i="22"/>
  <c r="I195" i="22"/>
  <c r="H195" i="22"/>
  <c r="D195" i="22"/>
  <c r="I194" i="22"/>
  <c r="H194" i="22"/>
  <c r="D194" i="22"/>
  <c r="I193" i="22"/>
  <c r="H193" i="22"/>
  <c r="D193" i="22"/>
  <c r="I192" i="22"/>
  <c r="H192" i="22"/>
  <c r="D192" i="22"/>
  <c r="I191" i="22"/>
  <c r="H191" i="22"/>
  <c r="D191" i="22"/>
  <c r="I190" i="22"/>
  <c r="H190" i="22"/>
  <c r="D190" i="22"/>
  <c r="O189" i="22"/>
  <c r="I189" i="22"/>
  <c r="H189" i="22"/>
  <c r="D189" i="22"/>
  <c r="O188" i="22"/>
  <c r="I188" i="22"/>
  <c r="H188" i="22"/>
  <c r="D188" i="22"/>
  <c r="O187" i="22"/>
  <c r="I187" i="22"/>
  <c r="H187" i="22"/>
  <c r="D187" i="22"/>
  <c r="O186" i="22"/>
  <c r="I186" i="22"/>
  <c r="H186" i="22"/>
  <c r="D186" i="22"/>
  <c r="O185" i="22"/>
  <c r="I185" i="22"/>
  <c r="H185" i="22"/>
  <c r="D185" i="22"/>
  <c r="O184" i="22"/>
  <c r="I184" i="22"/>
  <c r="H184" i="22"/>
  <c r="D184" i="22"/>
  <c r="O183" i="22"/>
  <c r="I183" i="22"/>
  <c r="H183" i="22"/>
  <c r="D183" i="22"/>
  <c r="O182" i="22"/>
  <c r="I182" i="22"/>
  <c r="H182" i="22"/>
  <c r="D182" i="22"/>
  <c r="O181" i="22"/>
  <c r="I181" i="22"/>
  <c r="H181" i="22"/>
  <c r="D181" i="22"/>
  <c r="O180" i="22"/>
  <c r="I180" i="22"/>
  <c r="H180" i="22"/>
  <c r="D180" i="22"/>
  <c r="O179" i="22"/>
  <c r="I179" i="22"/>
  <c r="H179" i="22"/>
  <c r="D179" i="22"/>
  <c r="O178" i="22"/>
  <c r="I178" i="22"/>
  <c r="H178" i="22"/>
  <c r="D178" i="22"/>
  <c r="O177" i="22"/>
  <c r="I177" i="22"/>
  <c r="H177" i="22"/>
  <c r="D177" i="22"/>
  <c r="O176" i="22"/>
  <c r="I176" i="22"/>
  <c r="H176" i="22"/>
  <c r="D176" i="22"/>
  <c r="O175" i="22"/>
  <c r="I175" i="22"/>
  <c r="H175" i="22"/>
  <c r="D175" i="22"/>
  <c r="O174" i="22"/>
  <c r="I174" i="22"/>
  <c r="H174" i="22"/>
  <c r="D174" i="22"/>
  <c r="O173" i="22"/>
  <c r="I173" i="22"/>
  <c r="H173" i="22"/>
  <c r="D173" i="22"/>
  <c r="O172" i="22"/>
  <c r="I172" i="22"/>
  <c r="H172" i="22"/>
  <c r="D172" i="22"/>
  <c r="O171" i="22"/>
  <c r="I171" i="22"/>
  <c r="H171" i="22"/>
  <c r="D171" i="22"/>
  <c r="O170" i="22"/>
  <c r="I170" i="22"/>
  <c r="H170" i="22"/>
  <c r="D170" i="22"/>
  <c r="O169" i="22"/>
  <c r="I169" i="22"/>
  <c r="H169" i="22"/>
  <c r="D169" i="22"/>
  <c r="O168" i="22"/>
  <c r="I168" i="22"/>
  <c r="H168" i="22"/>
  <c r="D168" i="22"/>
  <c r="O167" i="22"/>
  <c r="I167" i="22"/>
  <c r="H167" i="22"/>
  <c r="D167" i="22"/>
  <c r="O166" i="22"/>
  <c r="I166" i="22"/>
  <c r="H166" i="22"/>
  <c r="D166" i="22"/>
  <c r="O165" i="22"/>
  <c r="I165" i="22"/>
  <c r="H165" i="22"/>
  <c r="D165" i="22"/>
  <c r="O164" i="22"/>
  <c r="I164" i="22"/>
  <c r="H164" i="22"/>
  <c r="D164" i="22"/>
  <c r="O163" i="22"/>
  <c r="I163" i="22"/>
  <c r="H163" i="22"/>
  <c r="D163" i="22"/>
  <c r="O162" i="22"/>
  <c r="I162" i="22"/>
  <c r="H162" i="22"/>
  <c r="D162" i="22"/>
  <c r="O161" i="22"/>
  <c r="I161" i="22"/>
  <c r="H161" i="22"/>
  <c r="D161" i="22"/>
  <c r="O160" i="22"/>
  <c r="I160" i="22"/>
  <c r="H160" i="22"/>
  <c r="D160" i="22"/>
  <c r="O159" i="22"/>
  <c r="I159" i="22"/>
  <c r="H159" i="22"/>
  <c r="D159" i="22"/>
  <c r="O158" i="22"/>
  <c r="I158" i="22"/>
  <c r="H158" i="22"/>
  <c r="D158" i="22"/>
  <c r="O157" i="22"/>
  <c r="I157" i="22"/>
  <c r="H157" i="22"/>
  <c r="D157" i="22"/>
  <c r="O156" i="22"/>
  <c r="I156" i="22"/>
  <c r="H156" i="22"/>
  <c r="D156" i="22"/>
  <c r="O155" i="22"/>
  <c r="I155" i="22"/>
  <c r="H155" i="22"/>
  <c r="D155" i="22"/>
  <c r="O154" i="22"/>
  <c r="I154" i="22"/>
  <c r="H154" i="22"/>
  <c r="D154" i="22"/>
  <c r="O153" i="22"/>
  <c r="I153" i="22"/>
  <c r="H153" i="22"/>
  <c r="D153" i="22"/>
  <c r="O152" i="22"/>
  <c r="I152" i="22"/>
  <c r="H152" i="22"/>
  <c r="D152" i="22"/>
  <c r="O151" i="22"/>
  <c r="I151" i="22"/>
  <c r="H151" i="22"/>
  <c r="D151" i="22"/>
  <c r="O150" i="22"/>
  <c r="I150" i="22"/>
  <c r="H150" i="22"/>
  <c r="D150" i="22"/>
  <c r="O149" i="22"/>
  <c r="I149" i="22"/>
  <c r="H149" i="22"/>
  <c r="D149" i="22"/>
  <c r="O148" i="22"/>
  <c r="I148" i="22"/>
  <c r="H148" i="22"/>
  <c r="D148" i="22"/>
  <c r="O147" i="22"/>
  <c r="I147" i="22"/>
  <c r="H147" i="22"/>
  <c r="D147" i="22"/>
  <c r="O146" i="22"/>
  <c r="I146" i="22"/>
  <c r="H146" i="22"/>
  <c r="D146" i="22"/>
  <c r="O145" i="22"/>
  <c r="I145" i="22"/>
  <c r="H145" i="22"/>
  <c r="D145" i="22"/>
  <c r="O144" i="22"/>
  <c r="I144" i="22"/>
  <c r="H144" i="22"/>
  <c r="D144" i="22"/>
  <c r="O143" i="22"/>
  <c r="I143" i="22"/>
  <c r="H143" i="22"/>
  <c r="D143" i="22"/>
  <c r="O142" i="22"/>
  <c r="I142" i="22"/>
  <c r="H142" i="22"/>
  <c r="D142" i="22"/>
  <c r="O141" i="22"/>
  <c r="I141" i="22"/>
  <c r="H141" i="22"/>
  <c r="D141" i="22"/>
  <c r="O140" i="22"/>
  <c r="I140" i="22"/>
  <c r="H140" i="22"/>
  <c r="D140" i="22"/>
  <c r="O139" i="22"/>
  <c r="I139" i="22"/>
  <c r="H139" i="22"/>
  <c r="D139" i="22"/>
  <c r="O138" i="22"/>
  <c r="I138" i="22"/>
  <c r="H138" i="22"/>
  <c r="D138" i="22"/>
  <c r="O137" i="22"/>
  <c r="I137" i="22"/>
  <c r="H137" i="22"/>
  <c r="D137" i="22"/>
  <c r="O136" i="22"/>
  <c r="I136" i="22"/>
  <c r="H136" i="22"/>
  <c r="D136" i="22"/>
  <c r="O135" i="22"/>
  <c r="I135" i="22"/>
  <c r="H135" i="22"/>
  <c r="D135" i="22"/>
  <c r="O134" i="22"/>
  <c r="I134" i="22"/>
  <c r="H134" i="22"/>
  <c r="D134" i="22"/>
  <c r="O133" i="22"/>
  <c r="I133" i="22"/>
  <c r="H133" i="22"/>
  <c r="D133" i="22"/>
  <c r="O132" i="22"/>
  <c r="I132" i="22"/>
  <c r="H132" i="22"/>
  <c r="D132" i="22"/>
  <c r="O131" i="22"/>
  <c r="I131" i="22"/>
  <c r="H131" i="22"/>
  <c r="D131" i="22"/>
  <c r="O130" i="22"/>
  <c r="I130" i="22"/>
  <c r="H130" i="22"/>
  <c r="D130" i="22"/>
  <c r="O129" i="22"/>
  <c r="I129" i="22"/>
  <c r="H129" i="22"/>
  <c r="D129" i="22"/>
  <c r="O128" i="22"/>
  <c r="I128" i="22"/>
  <c r="H128" i="22"/>
  <c r="D128" i="22"/>
  <c r="O127" i="22"/>
  <c r="I127" i="22"/>
  <c r="H127" i="22"/>
  <c r="D127" i="22"/>
  <c r="O126" i="22"/>
  <c r="I126" i="22"/>
  <c r="H126" i="22"/>
  <c r="D126" i="22"/>
  <c r="O125" i="22"/>
  <c r="I125" i="22"/>
  <c r="H125" i="22"/>
  <c r="D125" i="22"/>
  <c r="O124" i="22"/>
  <c r="I124" i="22"/>
  <c r="H124" i="22"/>
  <c r="D124" i="22"/>
  <c r="O123" i="22"/>
  <c r="I123" i="22"/>
  <c r="H123" i="22"/>
  <c r="D123" i="22"/>
  <c r="O122" i="22"/>
  <c r="I122" i="22"/>
  <c r="H122" i="22"/>
  <c r="D122" i="22"/>
  <c r="O121" i="22"/>
  <c r="I121" i="22"/>
  <c r="H121" i="22"/>
  <c r="D121" i="22"/>
  <c r="O120" i="22"/>
  <c r="I120" i="22"/>
  <c r="H120" i="22"/>
  <c r="D120" i="22"/>
  <c r="O119" i="22"/>
  <c r="I119" i="22"/>
  <c r="H119" i="22"/>
  <c r="D119" i="22"/>
  <c r="O118" i="22"/>
  <c r="I118" i="22"/>
  <c r="H118" i="22"/>
  <c r="D118" i="22"/>
  <c r="O117" i="22"/>
  <c r="I117" i="22"/>
  <c r="H117" i="22"/>
  <c r="D117" i="22"/>
  <c r="O116" i="22"/>
  <c r="I116" i="22"/>
  <c r="H116" i="22"/>
  <c r="D116" i="22"/>
  <c r="O115" i="22"/>
  <c r="I115" i="22"/>
  <c r="H115" i="22"/>
  <c r="D115" i="22"/>
  <c r="O114" i="22"/>
  <c r="I114" i="22"/>
  <c r="H114" i="22"/>
  <c r="D114" i="22"/>
  <c r="O113" i="22"/>
  <c r="I113" i="22"/>
  <c r="H113" i="22"/>
  <c r="D113" i="22"/>
  <c r="O112" i="22"/>
  <c r="I112" i="22"/>
  <c r="H112" i="22"/>
  <c r="D112" i="22"/>
  <c r="O111" i="22"/>
  <c r="I111" i="22"/>
  <c r="H111" i="22"/>
  <c r="D111" i="22"/>
  <c r="O110" i="22"/>
  <c r="I110" i="22"/>
  <c r="H110" i="22"/>
  <c r="D110" i="22"/>
  <c r="O109" i="22"/>
  <c r="I109" i="22"/>
  <c r="H109" i="22"/>
  <c r="D109" i="22"/>
  <c r="O108" i="22"/>
  <c r="I108" i="22"/>
  <c r="H108" i="22"/>
  <c r="D108" i="22"/>
  <c r="O107" i="22"/>
  <c r="I107" i="22"/>
  <c r="H107" i="22"/>
  <c r="D107" i="22"/>
  <c r="O106" i="22"/>
  <c r="I106" i="22"/>
  <c r="H106" i="22"/>
  <c r="D106" i="22"/>
  <c r="O105" i="22"/>
  <c r="I105" i="22"/>
  <c r="H105" i="22"/>
  <c r="D105" i="22"/>
  <c r="O104" i="22"/>
  <c r="I104" i="22"/>
  <c r="H104" i="22"/>
  <c r="D104" i="22"/>
  <c r="O103" i="22"/>
  <c r="I103" i="22"/>
  <c r="H103" i="22"/>
  <c r="D103" i="22"/>
  <c r="O102" i="22"/>
  <c r="I102" i="22"/>
  <c r="H102" i="22"/>
  <c r="D102" i="22"/>
  <c r="O101" i="22"/>
  <c r="I101" i="22"/>
  <c r="H101" i="22"/>
  <c r="D101" i="22"/>
  <c r="O100" i="22"/>
  <c r="I100" i="22"/>
  <c r="H100" i="22"/>
  <c r="D100" i="22"/>
  <c r="O99" i="22"/>
  <c r="I99" i="22"/>
  <c r="H99" i="22"/>
  <c r="D99" i="22"/>
  <c r="O98" i="22"/>
  <c r="I98" i="22"/>
  <c r="H98" i="22"/>
  <c r="D98" i="22"/>
  <c r="O97" i="22"/>
  <c r="I97" i="22"/>
  <c r="H97" i="22"/>
  <c r="D97" i="22"/>
  <c r="O96" i="22"/>
  <c r="I96" i="22"/>
  <c r="H96" i="22"/>
  <c r="D96" i="22"/>
  <c r="O95" i="22"/>
  <c r="I95" i="22"/>
  <c r="H95" i="22"/>
  <c r="D95" i="22"/>
  <c r="O94" i="22"/>
  <c r="I94" i="22"/>
  <c r="H94" i="22"/>
  <c r="D94" i="22"/>
  <c r="O93" i="22"/>
  <c r="I93" i="22"/>
  <c r="H93" i="22"/>
  <c r="D93" i="22"/>
  <c r="O92" i="22"/>
  <c r="I92" i="22"/>
  <c r="H92" i="22"/>
  <c r="D92" i="22"/>
  <c r="O91" i="22"/>
  <c r="I91" i="22"/>
  <c r="H91" i="22"/>
  <c r="D91" i="22"/>
  <c r="O90" i="22"/>
  <c r="I90" i="22"/>
  <c r="H90" i="22"/>
  <c r="D90" i="22"/>
  <c r="O89" i="22"/>
  <c r="I89" i="22"/>
  <c r="H89" i="22"/>
  <c r="D89" i="22"/>
  <c r="O88" i="22"/>
  <c r="I88" i="22"/>
  <c r="H88" i="22"/>
  <c r="D88" i="22"/>
  <c r="O87" i="22"/>
  <c r="I87" i="22"/>
  <c r="H87" i="22"/>
  <c r="D87" i="22"/>
  <c r="O86" i="22"/>
  <c r="I86" i="22"/>
  <c r="H86" i="22"/>
  <c r="D86" i="22"/>
  <c r="O85" i="22"/>
  <c r="I85" i="22"/>
  <c r="H85" i="22"/>
  <c r="D85" i="22"/>
  <c r="O84" i="22"/>
  <c r="I84" i="22"/>
  <c r="H84" i="22"/>
  <c r="D84" i="22"/>
  <c r="O83" i="22"/>
  <c r="I83" i="22"/>
  <c r="H83" i="22"/>
  <c r="D83" i="22"/>
  <c r="O82" i="22"/>
  <c r="I82" i="22"/>
  <c r="H82" i="22"/>
  <c r="D82" i="22"/>
  <c r="O81" i="22"/>
  <c r="I81" i="22"/>
  <c r="H81" i="22"/>
  <c r="D81" i="22"/>
  <c r="O80" i="22"/>
  <c r="I80" i="22"/>
  <c r="H80" i="22"/>
  <c r="D80" i="22"/>
  <c r="O79" i="22"/>
  <c r="I79" i="22"/>
  <c r="H79" i="22"/>
  <c r="D79" i="22"/>
  <c r="O78" i="22"/>
  <c r="I78" i="22"/>
  <c r="H78" i="22"/>
  <c r="D78" i="22"/>
  <c r="O77" i="22"/>
  <c r="I77" i="22"/>
  <c r="H77" i="22"/>
  <c r="D77" i="22"/>
  <c r="O76" i="22"/>
  <c r="I76" i="22"/>
  <c r="H76" i="22"/>
  <c r="D76" i="22"/>
  <c r="O75" i="22"/>
  <c r="I75" i="22"/>
  <c r="H75" i="22"/>
  <c r="D75" i="22"/>
  <c r="O74" i="22"/>
  <c r="I74" i="22"/>
  <c r="H74" i="22"/>
  <c r="D74" i="22"/>
  <c r="O73" i="22"/>
  <c r="I73" i="22"/>
  <c r="H73" i="22"/>
  <c r="D73" i="22"/>
  <c r="O72" i="22"/>
  <c r="I72" i="22"/>
  <c r="H72" i="22"/>
  <c r="D72" i="22"/>
  <c r="O71" i="22"/>
  <c r="I71" i="22"/>
  <c r="H71" i="22"/>
  <c r="D71" i="22"/>
  <c r="O70" i="22"/>
  <c r="I70" i="22"/>
  <c r="H70" i="22"/>
  <c r="D70" i="22"/>
  <c r="O69" i="22"/>
  <c r="I69" i="22"/>
  <c r="H69" i="22"/>
  <c r="D69" i="22"/>
  <c r="L166" i="25"/>
  <c r="K166" i="25"/>
  <c r="D166" i="25"/>
  <c r="C166" i="25"/>
  <c r="L165" i="25"/>
  <c r="K165" i="25"/>
  <c r="D165" i="25"/>
  <c r="C165" i="25"/>
  <c r="L164" i="25"/>
  <c r="K164" i="25"/>
  <c r="D164" i="25"/>
  <c r="C164" i="25"/>
  <c r="L163" i="25"/>
  <c r="K163" i="25"/>
  <c r="D163" i="25"/>
  <c r="C163" i="25"/>
  <c r="L162" i="25"/>
  <c r="K162" i="25"/>
  <c r="D162" i="25"/>
  <c r="C162" i="25"/>
  <c r="L161" i="25"/>
  <c r="K161" i="25"/>
  <c r="D161" i="25"/>
  <c r="C161" i="25"/>
  <c r="L160" i="25"/>
  <c r="K160" i="25"/>
  <c r="D160" i="25"/>
  <c r="C160" i="25"/>
  <c r="L159" i="25"/>
  <c r="K159" i="25"/>
  <c r="D159" i="25"/>
  <c r="C159" i="25"/>
  <c r="L158" i="25"/>
  <c r="K158" i="25"/>
  <c r="D158" i="25"/>
  <c r="C158" i="25"/>
  <c r="L157" i="25"/>
  <c r="K157" i="25"/>
  <c r="D157" i="25"/>
  <c r="C157" i="25"/>
  <c r="L156" i="25"/>
  <c r="K156" i="25"/>
  <c r="D156" i="25"/>
  <c r="C156" i="25"/>
  <c r="L155" i="25"/>
  <c r="K155" i="25"/>
  <c r="D155" i="25"/>
  <c r="C155" i="25"/>
  <c r="L154" i="25"/>
  <c r="K154" i="25"/>
  <c r="D154" i="25"/>
  <c r="C154" i="25"/>
  <c r="L153" i="25"/>
  <c r="K153" i="25"/>
  <c r="D153" i="25"/>
  <c r="C153" i="25"/>
  <c r="L152" i="25"/>
  <c r="K152" i="25"/>
  <c r="D152" i="25"/>
  <c r="C152" i="25"/>
  <c r="L151" i="25"/>
  <c r="K151" i="25"/>
  <c r="D151" i="25"/>
  <c r="C151" i="25"/>
  <c r="L150" i="25"/>
  <c r="K150" i="25"/>
  <c r="D150" i="25"/>
  <c r="C150" i="25"/>
  <c r="L149" i="25"/>
  <c r="K149" i="25"/>
  <c r="D149" i="25"/>
  <c r="C149" i="25"/>
  <c r="L148" i="25"/>
  <c r="K148" i="25"/>
  <c r="D148" i="25"/>
  <c r="C148" i="25"/>
  <c r="L147" i="25"/>
  <c r="K147" i="25"/>
  <c r="D147" i="25"/>
  <c r="C147" i="25"/>
  <c r="L146" i="25"/>
  <c r="K146" i="25"/>
  <c r="D146" i="25"/>
  <c r="C146" i="25"/>
  <c r="L145" i="25"/>
  <c r="K145" i="25"/>
  <c r="D145" i="25"/>
  <c r="C145" i="25"/>
  <c r="L144" i="25"/>
  <c r="K144" i="25"/>
  <c r="D144" i="25"/>
  <c r="C144" i="25"/>
  <c r="L143" i="25"/>
  <c r="K143" i="25"/>
  <c r="D143" i="25"/>
  <c r="C143" i="25"/>
  <c r="L142" i="25"/>
  <c r="K142" i="25"/>
  <c r="D142" i="25"/>
  <c r="C142" i="25"/>
  <c r="L141" i="25"/>
  <c r="K141" i="25"/>
  <c r="D141" i="25"/>
  <c r="C141" i="25"/>
  <c r="L140" i="25"/>
  <c r="K140" i="25"/>
  <c r="D140" i="25"/>
  <c r="C140" i="25"/>
  <c r="L139" i="25"/>
  <c r="K139" i="25"/>
  <c r="D139" i="25"/>
  <c r="C139" i="25"/>
  <c r="L138" i="25"/>
  <c r="K138" i="25"/>
  <c r="D138" i="25"/>
  <c r="C138" i="25"/>
  <c r="L137" i="25"/>
  <c r="K137" i="25"/>
  <c r="D137" i="25"/>
  <c r="C137" i="25"/>
  <c r="L136" i="25"/>
  <c r="K136" i="25"/>
  <c r="D136" i="25"/>
  <c r="C136" i="25"/>
  <c r="L135" i="25"/>
  <c r="K135" i="25"/>
  <c r="D135" i="25"/>
  <c r="C135" i="25"/>
  <c r="L134" i="25"/>
  <c r="K134" i="25"/>
  <c r="D134" i="25"/>
  <c r="C134" i="25"/>
  <c r="L133" i="25"/>
  <c r="K133" i="25"/>
  <c r="D133" i="25"/>
  <c r="C133" i="25"/>
  <c r="L132" i="25"/>
  <c r="K132" i="25"/>
  <c r="D132" i="25"/>
  <c r="C132" i="25"/>
  <c r="L131" i="25"/>
  <c r="K131" i="25"/>
  <c r="F131" i="25"/>
  <c r="E131" i="25"/>
  <c r="L130" i="25"/>
  <c r="K130" i="25"/>
  <c r="D130" i="25"/>
  <c r="C130" i="25"/>
  <c r="L129" i="25"/>
  <c r="K129" i="25"/>
  <c r="F129" i="25"/>
  <c r="E129" i="25"/>
  <c r="L128" i="25"/>
  <c r="K128" i="25"/>
  <c r="F128" i="25"/>
  <c r="E128" i="25"/>
  <c r="L127" i="25"/>
  <c r="K127" i="25"/>
  <c r="F127" i="25"/>
  <c r="E127" i="25"/>
  <c r="L126" i="25"/>
  <c r="K126" i="25"/>
  <c r="F126" i="25"/>
  <c r="E126" i="25"/>
  <c r="L125" i="25"/>
  <c r="K125" i="25"/>
  <c r="F125" i="25"/>
  <c r="E125" i="25"/>
  <c r="L124" i="25"/>
  <c r="K124" i="25"/>
  <c r="F124" i="25"/>
  <c r="E124" i="25"/>
  <c r="L123" i="25"/>
  <c r="K123" i="25"/>
  <c r="F123" i="25"/>
  <c r="E123" i="25"/>
  <c r="L122" i="25"/>
  <c r="K122" i="25"/>
  <c r="F122" i="25"/>
  <c r="E122" i="25"/>
  <c r="L121" i="25"/>
  <c r="K121" i="25"/>
  <c r="F121" i="25"/>
  <c r="E121" i="25"/>
  <c r="L120" i="25"/>
  <c r="K120" i="25"/>
  <c r="F120" i="25"/>
  <c r="E120" i="25"/>
  <c r="L119" i="25"/>
  <c r="K119" i="25"/>
  <c r="F119" i="25"/>
  <c r="E119" i="25"/>
  <c r="L118" i="25"/>
  <c r="K118" i="25"/>
  <c r="F118" i="25"/>
  <c r="E118" i="25"/>
  <c r="L117" i="25"/>
  <c r="K117" i="25"/>
  <c r="F117" i="25"/>
  <c r="E117" i="25"/>
  <c r="L116" i="25"/>
  <c r="K116" i="25"/>
  <c r="F116" i="25"/>
  <c r="E116" i="25"/>
  <c r="L115" i="25"/>
  <c r="K115" i="25"/>
  <c r="F115" i="25"/>
  <c r="E115" i="25"/>
  <c r="L114" i="25"/>
  <c r="K114" i="25"/>
  <c r="F114" i="25"/>
  <c r="E114" i="25"/>
  <c r="L113" i="25"/>
  <c r="K113" i="25"/>
  <c r="F113" i="25"/>
  <c r="E113" i="25"/>
  <c r="L112" i="25"/>
  <c r="K112" i="25"/>
  <c r="F112" i="25"/>
  <c r="E112" i="25"/>
  <c r="L111" i="25"/>
  <c r="K111" i="25"/>
  <c r="F111" i="25"/>
  <c r="E111" i="25"/>
  <c r="L110" i="25"/>
  <c r="K110" i="25"/>
  <c r="F110" i="25"/>
  <c r="E110" i="25"/>
  <c r="L109" i="25"/>
  <c r="K109" i="25"/>
  <c r="F109" i="25"/>
  <c r="E109" i="25"/>
  <c r="L108" i="25"/>
  <c r="K108" i="25"/>
  <c r="F108" i="25"/>
  <c r="E108" i="25"/>
  <c r="L107" i="25"/>
  <c r="K107" i="25"/>
  <c r="F107" i="25"/>
  <c r="E107" i="25"/>
  <c r="L106" i="25"/>
  <c r="K106" i="25"/>
  <c r="F106" i="25"/>
  <c r="E106" i="25"/>
  <c r="L105" i="25"/>
  <c r="K105" i="25"/>
  <c r="F105" i="25"/>
  <c r="E105" i="25"/>
  <c r="L104" i="25"/>
  <c r="K104" i="25"/>
  <c r="L103" i="25"/>
  <c r="K103" i="25"/>
  <c r="L102" i="25"/>
  <c r="K102" i="25"/>
  <c r="L101" i="25"/>
  <c r="K101" i="25"/>
  <c r="L100" i="25"/>
  <c r="K100" i="25"/>
  <c r="L99" i="25"/>
  <c r="K99" i="25"/>
  <c r="F99" i="25"/>
  <c r="E99" i="25"/>
  <c r="L98" i="25"/>
  <c r="K98" i="25"/>
  <c r="L97" i="25"/>
  <c r="K97" i="25"/>
  <c r="L96" i="25"/>
  <c r="K96" i="25"/>
  <c r="L95" i="25"/>
  <c r="K95" i="25"/>
  <c r="L94" i="25"/>
  <c r="K94" i="25"/>
  <c r="F94" i="25"/>
  <c r="L93" i="25"/>
  <c r="K93" i="25"/>
  <c r="F93" i="25"/>
  <c r="E93" i="25"/>
  <c r="L92" i="25"/>
  <c r="K92" i="25"/>
  <c r="L91" i="25"/>
  <c r="K91" i="25"/>
  <c r="L90" i="25"/>
  <c r="K90" i="25"/>
  <c r="L89" i="25"/>
  <c r="K89" i="25"/>
  <c r="L88" i="25"/>
  <c r="K88" i="25"/>
  <c r="L87" i="25"/>
  <c r="K87" i="25"/>
  <c r="L86" i="25"/>
  <c r="K86" i="25"/>
  <c r="L85" i="25"/>
  <c r="K85" i="25"/>
  <c r="L84" i="25"/>
  <c r="K84" i="25"/>
  <c r="L83" i="25"/>
  <c r="K83" i="25"/>
  <c r="L82" i="25"/>
  <c r="K82" i="25"/>
  <c r="L81" i="25"/>
  <c r="K81" i="25"/>
  <c r="L80" i="25"/>
  <c r="K80" i="25"/>
  <c r="AB601" i="5"/>
  <c r="AA601" i="5"/>
  <c r="S601" i="5"/>
  <c r="R601" i="5"/>
  <c r="AB600" i="5"/>
  <c r="AA600" i="5"/>
  <c r="S600" i="5"/>
  <c r="R600" i="5"/>
  <c r="AB599" i="5"/>
  <c r="AA599" i="5"/>
  <c r="S599" i="5"/>
  <c r="R599" i="5"/>
  <c r="AB598" i="5"/>
  <c r="AA598" i="5"/>
  <c r="S598" i="5"/>
  <c r="R598" i="5"/>
  <c r="AB597" i="5"/>
  <c r="AA597" i="5"/>
  <c r="S597" i="5"/>
  <c r="R597" i="5"/>
  <c r="AB596" i="5"/>
  <c r="AA596" i="5"/>
  <c r="S596" i="5"/>
  <c r="R596" i="5"/>
  <c r="AB595" i="5"/>
  <c r="AA595" i="5"/>
  <c r="S595" i="5"/>
  <c r="R595" i="5"/>
  <c r="AB594" i="5"/>
  <c r="AA594" i="5"/>
  <c r="S594" i="5"/>
  <c r="R594" i="5"/>
  <c r="AB593" i="5"/>
  <c r="AA593" i="5"/>
  <c r="S593" i="5"/>
  <c r="R593" i="5"/>
  <c r="AB592" i="5"/>
  <c r="AA592" i="5"/>
  <c r="S592" i="5"/>
  <c r="R592" i="5"/>
  <c r="AB591" i="5"/>
  <c r="AA591" i="5"/>
  <c r="S591" i="5"/>
  <c r="R591" i="5"/>
  <c r="AB590" i="5"/>
  <c r="AA590" i="5"/>
  <c r="S590" i="5"/>
  <c r="R590" i="5"/>
  <c r="AB589" i="5"/>
  <c r="AA589" i="5"/>
  <c r="S589" i="5"/>
  <c r="R589" i="5"/>
  <c r="AB588" i="5"/>
  <c r="AA588" i="5"/>
  <c r="S588" i="5"/>
  <c r="R588" i="5"/>
  <c r="AB587" i="5"/>
  <c r="AA587" i="5"/>
  <c r="S587" i="5"/>
  <c r="R587" i="5"/>
  <c r="AB586" i="5"/>
  <c r="AA586" i="5"/>
  <c r="S586" i="5"/>
  <c r="R586" i="5"/>
  <c r="AB585" i="5"/>
  <c r="AA585" i="5"/>
  <c r="S585" i="5"/>
  <c r="R585" i="5"/>
  <c r="AB584" i="5"/>
  <c r="AA584" i="5"/>
  <c r="S584" i="5"/>
  <c r="R584" i="5"/>
  <c r="AB583" i="5"/>
  <c r="AA583" i="5"/>
  <c r="S583" i="5"/>
  <c r="R583" i="5"/>
  <c r="AB582" i="5"/>
  <c r="AA582" i="5"/>
  <c r="S582" i="5"/>
  <c r="R582" i="5"/>
  <c r="AB581" i="5"/>
  <c r="AA581" i="5"/>
  <c r="S581" i="5"/>
  <c r="R581" i="5"/>
  <c r="AB580" i="5"/>
  <c r="AA580" i="5"/>
  <c r="S580" i="5"/>
  <c r="R580" i="5"/>
  <c r="AB579" i="5"/>
  <c r="AA579" i="5"/>
  <c r="S579" i="5"/>
  <c r="R579" i="5"/>
  <c r="AB578" i="5"/>
  <c r="AA578" i="5"/>
  <c r="S578" i="5"/>
  <c r="R578" i="5"/>
  <c r="AB577" i="5"/>
  <c r="AA577" i="5"/>
  <c r="S577" i="5"/>
  <c r="R577" i="5"/>
  <c r="AB576" i="5"/>
  <c r="AA576" i="5"/>
  <c r="S576" i="5"/>
  <c r="R576" i="5"/>
  <c r="AB575" i="5"/>
  <c r="AA575" i="5"/>
  <c r="S575" i="5"/>
  <c r="R575" i="5"/>
  <c r="AB574" i="5"/>
  <c r="AA574" i="5"/>
  <c r="S574" i="5"/>
  <c r="R574" i="5"/>
  <c r="AB573" i="5"/>
  <c r="AA573" i="5"/>
  <c r="S573" i="5"/>
  <c r="R573" i="5"/>
  <c r="AB572" i="5"/>
  <c r="AA572" i="5"/>
  <c r="S572" i="5"/>
  <c r="R572" i="5"/>
  <c r="AB571" i="5"/>
  <c r="AA571" i="5"/>
  <c r="S571" i="5"/>
  <c r="R571" i="5"/>
  <c r="AB570" i="5"/>
  <c r="AA570" i="5"/>
  <c r="S570" i="5"/>
  <c r="R570" i="5"/>
  <c r="AB569" i="5"/>
  <c r="AA569" i="5"/>
  <c r="S569" i="5"/>
  <c r="R569" i="5"/>
  <c r="AB568" i="5"/>
  <c r="AA568" i="5"/>
  <c r="S568" i="5"/>
  <c r="R568" i="5"/>
  <c r="AB567" i="5"/>
  <c r="AA567" i="5"/>
  <c r="S567" i="5"/>
  <c r="R567" i="5"/>
  <c r="AB566" i="5"/>
  <c r="AA566" i="5"/>
  <c r="S566" i="5"/>
  <c r="R566" i="5"/>
  <c r="AB565" i="5"/>
  <c r="AA565" i="5"/>
  <c r="S565" i="5"/>
  <c r="R565" i="5"/>
  <c r="AB564" i="5"/>
  <c r="AA564" i="5"/>
  <c r="S564" i="5"/>
  <c r="R564" i="5"/>
  <c r="AB563" i="5"/>
  <c r="AA563" i="5"/>
  <c r="S563" i="5"/>
  <c r="R563" i="5"/>
  <c r="AB562" i="5"/>
  <c r="AA562" i="5"/>
  <c r="S562" i="5"/>
  <c r="R562" i="5"/>
  <c r="AB561" i="5"/>
  <c r="AA561" i="5"/>
  <c r="S561" i="5"/>
  <c r="R561" i="5"/>
  <c r="AB560" i="5"/>
  <c r="AA560" i="5"/>
  <c r="S560" i="5"/>
  <c r="R560" i="5"/>
  <c r="AB559" i="5"/>
  <c r="AA559" i="5"/>
  <c r="S559" i="5"/>
  <c r="R559" i="5"/>
  <c r="AB558" i="5"/>
  <c r="AA558" i="5"/>
  <c r="S558" i="5"/>
  <c r="R558" i="5"/>
  <c r="AB557" i="5"/>
  <c r="AA557" i="5"/>
  <c r="S557" i="5"/>
  <c r="R557" i="5"/>
  <c r="AB556" i="5"/>
  <c r="AA556" i="5"/>
  <c r="S556" i="5"/>
  <c r="R556" i="5"/>
  <c r="AB555" i="5"/>
  <c r="AA555" i="5"/>
  <c r="S555" i="5"/>
  <c r="R555" i="5"/>
  <c r="AB554" i="5"/>
  <c r="AA554" i="5"/>
  <c r="S554" i="5"/>
  <c r="R554" i="5"/>
  <c r="AB553" i="5"/>
  <c r="AA553" i="5"/>
  <c r="S553" i="5"/>
  <c r="R553" i="5"/>
  <c r="AB552" i="5"/>
  <c r="AA552" i="5"/>
  <c r="S552" i="5"/>
  <c r="R552" i="5"/>
  <c r="AB551" i="5"/>
  <c r="AA551" i="5"/>
  <c r="S551" i="5"/>
  <c r="R551" i="5"/>
  <c r="AB550" i="5"/>
  <c r="AA550" i="5"/>
  <c r="S550" i="5"/>
  <c r="R550" i="5"/>
  <c r="AB549" i="5"/>
  <c r="AA549" i="5"/>
  <c r="S549" i="5"/>
  <c r="R549" i="5"/>
  <c r="AB548" i="5"/>
  <c r="AA548" i="5"/>
  <c r="S548" i="5"/>
  <c r="R548" i="5"/>
  <c r="AB547" i="5"/>
  <c r="AA547" i="5"/>
  <c r="S547" i="5"/>
  <c r="R547" i="5"/>
  <c r="AB546" i="5"/>
  <c r="AA546" i="5"/>
  <c r="S546" i="5"/>
  <c r="R546" i="5"/>
  <c r="AB545" i="5"/>
  <c r="AA545" i="5"/>
  <c r="S545" i="5"/>
  <c r="R545" i="5"/>
  <c r="AB544" i="5"/>
  <c r="AA544" i="5"/>
  <c r="S544" i="5"/>
  <c r="R544" i="5"/>
  <c r="AB543" i="5"/>
  <c r="AA543" i="5"/>
  <c r="S543" i="5"/>
  <c r="R543" i="5"/>
  <c r="AB542" i="5"/>
  <c r="AA542" i="5"/>
  <c r="S542" i="5"/>
  <c r="R542" i="5"/>
  <c r="AB541" i="5"/>
  <c r="AA541" i="5"/>
  <c r="S541" i="5"/>
  <c r="R541" i="5"/>
  <c r="AB540" i="5"/>
  <c r="AA540" i="5"/>
  <c r="S540" i="5"/>
  <c r="R540" i="5"/>
  <c r="AB539" i="5"/>
  <c r="AA539" i="5"/>
  <c r="S539" i="5"/>
  <c r="R539" i="5"/>
  <c r="AB538" i="5"/>
  <c r="AA538" i="5"/>
  <c r="S538" i="5"/>
  <c r="R538" i="5"/>
  <c r="AB537" i="5"/>
  <c r="AA537" i="5"/>
  <c r="S537" i="5"/>
  <c r="R537" i="5"/>
  <c r="AB536" i="5"/>
  <c r="AA536" i="5"/>
  <c r="S536" i="5"/>
  <c r="R536" i="5"/>
  <c r="AB535" i="5"/>
  <c r="AA535" i="5"/>
  <c r="S535" i="5"/>
  <c r="R535" i="5"/>
  <c r="AB534" i="5"/>
  <c r="AA534" i="5"/>
  <c r="S534" i="5"/>
  <c r="R534" i="5"/>
  <c r="AB533" i="5"/>
  <c r="AA533" i="5"/>
  <c r="S533" i="5"/>
  <c r="R533" i="5"/>
  <c r="AB532" i="5"/>
  <c r="AA532" i="5"/>
  <c r="S532" i="5"/>
  <c r="R532" i="5"/>
  <c r="AB531" i="5"/>
  <c r="AA531" i="5"/>
  <c r="S531" i="5"/>
  <c r="R531" i="5"/>
  <c r="AB530" i="5"/>
  <c r="AA530" i="5"/>
  <c r="S530" i="5"/>
  <c r="R530" i="5"/>
  <c r="AB529" i="5"/>
  <c r="AA529" i="5"/>
  <c r="S529" i="5"/>
  <c r="R529" i="5"/>
  <c r="AB528" i="5"/>
  <c r="AA528" i="5"/>
  <c r="S528" i="5"/>
  <c r="R528" i="5"/>
  <c r="AB527" i="5"/>
  <c r="AA527" i="5"/>
  <c r="S527" i="5"/>
  <c r="R527" i="5"/>
  <c r="AB526" i="5"/>
  <c r="AA526" i="5"/>
  <c r="S526" i="5"/>
  <c r="R526" i="5"/>
  <c r="AB525" i="5"/>
  <c r="AA525" i="5"/>
  <c r="S525" i="5"/>
  <c r="R525" i="5"/>
  <c r="AB524" i="5"/>
  <c r="AA524" i="5"/>
  <c r="S524" i="5"/>
  <c r="R524" i="5"/>
  <c r="AB523" i="5"/>
  <c r="AA523" i="5"/>
  <c r="S523" i="5"/>
  <c r="R523" i="5"/>
  <c r="AB522" i="5"/>
  <c r="AA522" i="5"/>
  <c r="S522" i="5"/>
  <c r="R522" i="5"/>
  <c r="AB521" i="5"/>
  <c r="AA521" i="5"/>
  <c r="S521" i="5"/>
  <c r="R521" i="5"/>
  <c r="AB520" i="5"/>
  <c r="AA520" i="5"/>
  <c r="S520" i="5"/>
  <c r="R520" i="5"/>
  <c r="AB519" i="5"/>
  <c r="AA519" i="5"/>
  <c r="S519" i="5"/>
  <c r="R519" i="5"/>
  <c r="AB518" i="5"/>
  <c r="AA518" i="5"/>
  <c r="S518" i="5"/>
  <c r="R518" i="5"/>
  <c r="AB517" i="5"/>
  <c r="AA517" i="5"/>
  <c r="S517" i="5"/>
  <c r="R517" i="5"/>
  <c r="AB516" i="5"/>
  <c r="AA516" i="5"/>
  <c r="S516" i="5"/>
  <c r="R516" i="5"/>
  <c r="AB515" i="5"/>
  <c r="AA515" i="5"/>
  <c r="S515" i="5"/>
  <c r="R515" i="5"/>
  <c r="AB514" i="5"/>
  <c r="AA514" i="5"/>
  <c r="S514" i="5"/>
  <c r="R514" i="5"/>
  <c r="AB513" i="5"/>
  <c r="AA513" i="5"/>
  <c r="S513" i="5"/>
  <c r="R513" i="5"/>
  <c r="AB512" i="5"/>
  <c r="AA512" i="5"/>
  <c r="S512" i="5"/>
  <c r="R512" i="5"/>
  <c r="AB511" i="5"/>
  <c r="AA511" i="5"/>
  <c r="S511" i="5"/>
  <c r="R511" i="5"/>
  <c r="AB510" i="5"/>
  <c r="AA510" i="5"/>
  <c r="S510" i="5"/>
  <c r="R510" i="5"/>
  <c r="AB509" i="5"/>
  <c r="AA509" i="5"/>
  <c r="S509" i="5"/>
  <c r="R509" i="5"/>
  <c r="AB508" i="5"/>
  <c r="AA508" i="5"/>
  <c r="S508" i="5"/>
  <c r="R508" i="5"/>
  <c r="AB507" i="5"/>
  <c r="AA507" i="5"/>
  <c r="S507" i="5"/>
  <c r="R507" i="5"/>
  <c r="AB506" i="5"/>
  <c r="AA506" i="5"/>
  <c r="S506" i="5"/>
  <c r="R506" i="5"/>
  <c r="AB505" i="5"/>
  <c r="AA505" i="5"/>
  <c r="S505" i="5"/>
  <c r="R505" i="5"/>
  <c r="AB504" i="5"/>
  <c r="AA504" i="5"/>
  <c r="S504" i="5"/>
  <c r="R504" i="5"/>
  <c r="AB503" i="5"/>
  <c r="AA503" i="5"/>
  <c r="S503" i="5"/>
  <c r="R503" i="5"/>
  <c r="AB502" i="5"/>
  <c r="AA502" i="5"/>
  <c r="S502" i="5"/>
  <c r="R502" i="5"/>
  <c r="AB501" i="5"/>
  <c r="AA501" i="5"/>
  <c r="S501" i="5"/>
  <c r="R501" i="5"/>
  <c r="AB500" i="5"/>
  <c r="AA500" i="5"/>
  <c r="S500" i="5"/>
  <c r="R500" i="5"/>
  <c r="AB499" i="5"/>
  <c r="AA499" i="5"/>
  <c r="S499" i="5"/>
  <c r="R499" i="5"/>
  <c r="AB498" i="5"/>
  <c r="AA498" i="5"/>
  <c r="S498" i="5"/>
  <c r="R498" i="5"/>
  <c r="AB497" i="5"/>
  <c r="AA497" i="5"/>
  <c r="S497" i="5"/>
  <c r="R497" i="5"/>
  <c r="AB496" i="5"/>
  <c r="AA496" i="5"/>
  <c r="S496" i="5"/>
  <c r="R496" i="5"/>
  <c r="AB495" i="5"/>
  <c r="AA495" i="5"/>
  <c r="S495" i="5"/>
  <c r="R495" i="5"/>
  <c r="AB494" i="5"/>
  <c r="AA494" i="5"/>
  <c r="S494" i="5"/>
  <c r="R494" i="5"/>
  <c r="AB493" i="5"/>
  <c r="AA493" i="5"/>
  <c r="S493" i="5"/>
  <c r="R493" i="5"/>
  <c r="AB492" i="5"/>
  <c r="AA492" i="5"/>
  <c r="S492" i="5"/>
  <c r="R492" i="5"/>
  <c r="AB491" i="5"/>
  <c r="AA491" i="5"/>
  <c r="S491" i="5"/>
  <c r="R491" i="5"/>
  <c r="AB490" i="5"/>
  <c r="AA490" i="5"/>
  <c r="S490" i="5"/>
  <c r="R490" i="5"/>
  <c r="AB489" i="5"/>
  <c r="AA489" i="5"/>
  <c r="S489" i="5"/>
  <c r="R489" i="5"/>
  <c r="AB488" i="5"/>
  <c r="AA488" i="5"/>
  <c r="S488" i="5"/>
  <c r="R488" i="5"/>
  <c r="AB487" i="5"/>
  <c r="AA487" i="5"/>
  <c r="S487" i="5"/>
  <c r="R487" i="5"/>
  <c r="AB486" i="5"/>
  <c r="AA486" i="5"/>
  <c r="S486" i="5"/>
  <c r="R486" i="5"/>
  <c r="AB485" i="5"/>
  <c r="AA485" i="5"/>
  <c r="S485" i="5"/>
  <c r="R485" i="5"/>
  <c r="AB484" i="5"/>
  <c r="AA484" i="5"/>
  <c r="S484" i="5"/>
  <c r="R484" i="5"/>
  <c r="AB483" i="5"/>
  <c r="AA483" i="5"/>
  <c r="S483" i="5"/>
  <c r="R483" i="5"/>
  <c r="AB482" i="5"/>
  <c r="AA482" i="5"/>
  <c r="S482" i="5"/>
  <c r="R482" i="5"/>
  <c r="AB481" i="5"/>
  <c r="AA481" i="5"/>
  <c r="S481" i="5"/>
  <c r="R481" i="5"/>
  <c r="AB480" i="5"/>
  <c r="AA480" i="5"/>
  <c r="S480" i="5"/>
  <c r="R480" i="5"/>
  <c r="AB479" i="5"/>
  <c r="AA479" i="5"/>
  <c r="S479" i="5"/>
  <c r="R479" i="5"/>
  <c r="AB478" i="5"/>
  <c r="AA478" i="5"/>
  <c r="S478" i="5"/>
  <c r="R478" i="5"/>
  <c r="AB477" i="5"/>
  <c r="AA477" i="5"/>
  <c r="S477" i="5"/>
  <c r="R477" i="5"/>
  <c r="AB476" i="5"/>
  <c r="AA476" i="5"/>
  <c r="S476" i="5"/>
  <c r="R476" i="5"/>
  <c r="AB475" i="5"/>
  <c r="AA475" i="5"/>
  <c r="S475" i="5"/>
  <c r="R475" i="5"/>
  <c r="AB474" i="5"/>
  <c r="AA474" i="5"/>
  <c r="S474" i="5"/>
  <c r="R474" i="5"/>
  <c r="AB473" i="5"/>
  <c r="AA473" i="5"/>
  <c r="S473" i="5"/>
  <c r="R473" i="5"/>
  <c r="AB472" i="5"/>
  <c r="AA472" i="5"/>
  <c r="S472" i="5"/>
  <c r="R472" i="5"/>
  <c r="AB471" i="5"/>
  <c r="AA471" i="5"/>
  <c r="S471" i="5"/>
  <c r="R471" i="5"/>
  <c r="AB470" i="5"/>
  <c r="AA470" i="5"/>
  <c r="S470" i="5"/>
  <c r="R470" i="5"/>
  <c r="AB469" i="5"/>
  <c r="AA469" i="5"/>
  <c r="S469" i="5"/>
  <c r="R469" i="5"/>
  <c r="AB468" i="5"/>
  <c r="AA468" i="5"/>
  <c r="S468" i="5"/>
  <c r="R468" i="5"/>
  <c r="AB467" i="5"/>
  <c r="AA467" i="5"/>
  <c r="S467" i="5"/>
  <c r="R467" i="5"/>
  <c r="AB466" i="5"/>
  <c r="AA466" i="5"/>
  <c r="S466" i="5"/>
  <c r="R466" i="5"/>
  <c r="AB465" i="5"/>
  <c r="AA465" i="5"/>
  <c r="S465" i="5"/>
  <c r="R465" i="5"/>
  <c r="AB464" i="5"/>
  <c r="AA464" i="5"/>
  <c r="S464" i="5"/>
  <c r="R464" i="5"/>
  <c r="AB463" i="5"/>
  <c r="AA463" i="5"/>
  <c r="S463" i="5"/>
  <c r="R463" i="5"/>
  <c r="AB462" i="5"/>
  <c r="AA462" i="5"/>
  <c r="S462" i="5"/>
  <c r="R462" i="5"/>
  <c r="AB461" i="5"/>
  <c r="AA461" i="5"/>
  <c r="S461" i="5"/>
  <c r="R461" i="5"/>
  <c r="AB460" i="5"/>
  <c r="AA460" i="5"/>
  <c r="S460" i="5"/>
  <c r="R460" i="5"/>
  <c r="AB459" i="5"/>
  <c r="AA459" i="5"/>
  <c r="S459" i="5"/>
  <c r="R459" i="5"/>
  <c r="AB458" i="5"/>
  <c r="AA458" i="5"/>
  <c r="S458" i="5"/>
  <c r="R458" i="5"/>
  <c r="AB457" i="5"/>
  <c r="AA457" i="5"/>
  <c r="S457" i="5"/>
  <c r="R457" i="5"/>
  <c r="AB456" i="5"/>
  <c r="AA456" i="5"/>
  <c r="S456" i="5"/>
  <c r="R456" i="5"/>
  <c r="AB455" i="5"/>
  <c r="AA455" i="5"/>
  <c r="S455" i="5"/>
  <c r="R455" i="5"/>
  <c r="AB454" i="5"/>
  <c r="AA454" i="5"/>
  <c r="S454" i="5"/>
  <c r="R454" i="5"/>
  <c r="AB453" i="5"/>
  <c r="AA453" i="5"/>
  <c r="S453" i="5"/>
  <c r="R453" i="5"/>
  <c r="AB452" i="5"/>
  <c r="AA452" i="5"/>
  <c r="S452" i="5"/>
  <c r="R452" i="5"/>
  <c r="AB451" i="5"/>
  <c r="AA451" i="5"/>
  <c r="S451" i="5"/>
  <c r="R451" i="5"/>
  <c r="AB450" i="5"/>
  <c r="AA450" i="5"/>
  <c r="S450" i="5"/>
  <c r="R450" i="5"/>
  <c r="AB449" i="5"/>
  <c r="AA449" i="5"/>
  <c r="S449" i="5"/>
  <c r="R449" i="5"/>
  <c r="AB448" i="5"/>
  <c r="AA448" i="5"/>
  <c r="S448" i="5"/>
  <c r="R448" i="5"/>
  <c r="AB447" i="5"/>
  <c r="AA447" i="5"/>
  <c r="S447" i="5"/>
  <c r="R447" i="5"/>
  <c r="AB446" i="5"/>
  <c r="AA446" i="5"/>
  <c r="S446" i="5"/>
  <c r="R446" i="5"/>
  <c r="AB445" i="5"/>
  <c r="AA445" i="5"/>
  <c r="S445" i="5"/>
  <c r="R445" i="5"/>
  <c r="AB444" i="5"/>
  <c r="AA444" i="5"/>
  <c r="S444" i="5"/>
  <c r="R444" i="5"/>
  <c r="AB443" i="5"/>
  <c r="AA443" i="5"/>
  <c r="S443" i="5"/>
  <c r="R443" i="5"/>
  <c r="AB442" i="5"/>
  <c r="AA442" i="5"/>
  <c r="S442" i="5"/>
  <c r="R442" i="5"/>
  <c r="AB441" i="5"/>
  <c r="AA441" i="5"/>
  <c r="S441" i="5"/>
  <c r="R441" i="5"/>
  <c r="AB440" i="5"/>
  <c r="AA440" i="5"/>
  <c r="S440" i="5"/>
  <c r="R440" i="5"/>
  <c r="AB439" i="5"/>
  <c r="AA439" i="5"/>
  <c r="S439" i="5"/>
  <c r="R439" i="5"/>
  <c r="AB438" i="5"/>
  <c r="AA438" i="5"/>
  <c r="S438" i="5"/>
  <c r="R438" i="5"/>
  <c r="AB437" i="5"/>
  <c r="AA437" i="5"/>
  <c r="S437" i="5"/>
  <c r="R437" i="5"/>
  <c r="AB436" i="5"/>
  <c r="AA436" i="5"/>
  <c r="S436" i="5"/>
  <c r="R436" i="5"/>
  <c r="AB435" i="5"/>
  <c r="AA435" i="5"/>
  <c r="S435" i="5"/>
  <c r="R435" i="5"/>
  <c r="AB434" i="5"/>
  <c r="AA434" i="5"/>
  <c r="S434" i="5"/>
  <c r="R434" i="5"/>
  <c r="AB433" i="5"/>
  <c r="AA433" i="5"/>
  <c r="S433" i="5"/>
  <c r="R433" i="5"/>
  <c r="AB432" i="5"/>
  <c r="AA432" i="5"/>
  <c r="S432" i="5"/>
  <c r="R432" i="5"/>
  <c r="AB431" i="5"/>
  <c r="AA431" i="5"/>
  <c r="S431" i="5"/>
  <c r="R431" i="5"/>
  <c r="AB430" i="5"/>
  <c r="AA430" i="5"/>
  <c r="S430" i="5"/>
  <c r="R430" i="5"/>
  <c r="AB429" i="5"/>
  <c r="AA429" i="5"/>
  <c r="S429" i="5"/>
  <c r="R429" i="5"/>
  <c r="AB428" i="5"/>
  <c r="AA428" i="5"/>
  <c r="S428" i="5"/>
  <c r="R428" i="5"/>
  <c r="AB427" i="5"/>
  <c r="AA427" i="5"/>
  <c r="S427" i="5"/>
  <c r="R427" i="5"/>
  <c r="AB426" i="5"/>
  <c r="AA426" i="5"/>
  <c r="S426" i="5"/>
  <c r="R426" i="5"/>
  <c r="AB425" i="5"/>
  <c r="AA425" i="5"/>
  <c r="S425" i="5"/>
  <c r="R425" i="5"/>
  <c r="AB424" i="5"/>
  <c r="AA424" i="5"/>
  <c r="S424" i="5"/>
  <c r="R424" i="5"/>
  <c r="AB423" i="5"/>
  <c r="AA423" i="5"/>
  <c r="S423" i="5"/>
  <c r="R423" i="5"/>
  <c r="AB422" i="5"/>
  <c r="AA422" i="5"/>
  <c r="S422" i="5"/>
  <c r="R422" i="5"/>
  <c r="AB421" i="5"/>
  <c r="AA421" i="5"/>
  <c r="S421" i="5"/>
  <c r="R421" i="5"/>
  <c r="AB420" i="5"/>
  <c r="AA420" i="5"/>
  <c r="S420" i="5"/>
  <c r="R420" i="5"/>
  <c r="AB419" i="5"/>
  <c r="AA419" i="5"/>
  <c r="S419" i="5"/>
  <c r="R419" i="5"/>
  <c r="AB418" i="5"/>
  <c r="AA418" i="5"/>
  <c r="S418" i="5"/>
  <c r="R418" i="5"/>
  <c r="AB417" i="5"/>
  <c r="AA417" i="5"/>
  <c r="S417" i="5"/>
  <c r="R417" i="5"/>
  <c r="AB416" i="5"/>
  <c r="AA416" i="5"/>
  <c r="S416" i="5"/>
  <c r="R416" i="5"/>
  <c r="AB415" i="5"/>
  <c r="AA415" i="5"/>
  <c r="S415" i="5"/>
  <c r="R415" i="5"/>
  <c r="AB414" i="5"/>
  <c r="AA414" i="5"/>
  <c r="S414" i="5"/>
  <c r="R414" i="5"/>
  <c r="AB413" i="5"/>
  <c r="AA413" i="5"/>
  <c r="S413" i="5"/>
  <c r="R413" i="5"/>
  <c r="AB412" i="5"/>
  <c r="AA412" i="5"/>
  <c r="S412" i="5"/>
  <c r="R412" i="5"/>
  <c r="AB411" i="5"/>
  <c r="AA411" i="5"/>
  <c r="S411" i="5"/>
  <c r="R411" i="5"/>
  <c r="AB410" i="5"/>
  <c r="AA410" i="5"/>
  <c r="S410" i="5"/>
  <c r="R410" i="5"/>
  <c r="AB409" i="5"/>
  <c r="AA409" i="5"/>
  <c r="S409" i="5"/>
  <c r="R409" i="5"/>
  <c r="AB408" i="5"/>
  <c r="AA408" i="5"/>
  <c r="S408" i="5"/>
  <c r="R408" i="5"/>
  <c r="AB407" i="5"/>
  <c r="AA407" i="5"/>
  <c r="S407" i="5"/>
  <c r="R407" i="5"/>
  <c r="AB406" i="5"/>
  <c r="AA406" i="5"/>
  <c r="S406" i="5"/>
  <c r="R406" i="5"/>
  <c r="AB405" i="5"/>
  <c r="AA405" i="5"/>
  <c r="S405" i="5"/>
  <c r="R405" i="5"/>
  <c r="AB404" i="5"/>
  <c r="AA404" i="5"/>
  <c r="S404" i="5"/>
  <c r="R404" i="5"/>
  <c r="AB403" i="5"/>
  <c r="AA403" i="5"/>
  <c r="S403" i="5"/>
  <c r="R403" i="5"/>
  <c r="AB402" i="5"/>
  <c r="AA402" i="5"/>
  <c r="S402" i="5"/>
  <c r="R402" i="5"/>
  <c r="AB401" i="5"/>
  <c r="AA401" i="5"/>
  <c r="S401" i="5"/>
  <c r="R401" i="5"/>
  <c r="AB400" i="5"/>
  <c r="AA400" i="5"/>
  <c r="S400" i="5"/>
  <c r="R400" i="5"/>
  <c r="AB399" i="5"/>
  <c r="AA399" i="5"/>
  <c r="S399" i="5"/>
  <c r="R399" i="5"/>
  <c r="AB398" i="5"/>
  <c r="AA398" i="5"/>
  <c r="S398" i="5"/>
  <c r="R398" i="5"/>
  <c r="AB397" i="5"/>
  <c r="AA397" i="5"/>
  <c r="S397" i="5"/>
  <c r="R397" i="5"/>
  <c r="AB396" i="5"/>
  <c r="AA396" i="5"/>
  <c r="S396" i="5"/>
  <c r="R396" i="5"/>
  <c r="AB395" i="5"/>
  <c r="AA395" i="5"/>
  <c r="S395" i="5"/>
  <c r="R395" i="5"/>
  <c r="AB394" i="5"/>
  <c r="AA394" i="5"/>
  <c r="S394" i="5"/>
  <c r="R394" i="5"/>
  <c r="AB393" i="5"/>
  <c r="AA393" i="5"/>
  <c r="S393" i="5"/>
  <c r="R393" i="5"/>
  <c r="AB392" i="5"/>
  <c r="AA392" i="5"/>
  <c r="S392" i="5"/>
  <c r="R392" i="5"/>
  <c r="AB391" i="5"/>
  <c r="AA391" i="5"/>
  <c r="S391" i="5"/>
  <c r="R391" i="5"/>
  <c r="AB390" i="5"/>
  <c r="AA390" i="5"/>
  <c r="S390" i="5"/>
  <c r="R390" i="5"/>
  <c r="AB389" i="5"/>
  <c r="AA389" i="5"/>
  <c r="S389" i="5"/>
  <c r="R389" i="5"/>
  <c r="AB388" i="5"/>
  <c r="AA388" i="5"/>
  <c r="S388" i="5"/>
  <c r="R388" i="5"/>
  <c r="AB387" i="5"/>
  <c r="AA387" i="5"/>
  <c r="S387" i="5"/>
  <c r="R387" i="5"/>
  <c r="AB386" i="5"/>
  <c r="AA386" i="5"/>
  <c r="S386" i="5"/>
  <c r="R386" i="5"/>
  <c r="AB385" i="5"/>
  <c r="AA385" i="5"/>
  <c r="S385" i="5"/>
  <c r="R385" i="5"/>
  <c r="AB384" i="5"/>
  <c r="AA384" i="5"/>
  <c r="S384" i="5"/>
  <c r="R384" i="5"/>
  <c r="AB383" i="5"/>
  <c r="AA383" i="5"/>
  <c r="S383" i="5"/>
  <c r="R383" i="5"/>
  <c r="AB382" i="5"/>
  <c r="AA382" i="5"/>
  <c r="S382" i="5"/>
  <c r="R382" i="5"/>
  <c r="AB381" i="5"/>
  <c r="AA381" i="5"/>
  <c r="S381" i="5"/>
  <c r="R381" i="5"/>
  <c r="AB380" i="5"/>
  <c r="AA380" i="5"/>
  <c r="S380" i="5"/>
  <c r="R380" i="5"/>
  <c r="AB379" i="5"/>
  <c r="AA379" i="5"/>
  <c r="S379" i="5"/>
  <c r="R379" i="5"/>
  <c r="AB378" i="5"/>
  <c r="AA378" i="5"/>
  <c r="S378" i="5"/>
  <c r="R378" i="5"/>
  <c r="AB377" i="5"/>
  <c r="AA377" i="5"/>
  <c r="S377" i="5"/>
  <c r="R377" i="5"/>
  <c r="AB376" i="5"/>
  <c r="AA376" i="5"/>
  <c r="S376" i="5"/>
  <c r="R376" i="5"/>
  <c r="AB375" i="5"/>
  <c r="AA375" i="5"/>
  <c r="S375" i="5"/>
  <c r="R375" i="5"/>
  <c r="AB374" i="5"/>
  <c r="AA374" i="5"/>
  <c r="S374" i="5"/>
  <c r="R374" i="5"/>
  <c r="AB373" i="5"/>
  <c r="AA373" i="5"/>
  <c r="S373" i="5"/>
  <c r="R373" i="5"/>
  <c r="AB372" i="5"/>
  <c r="AA372" i="5"/>
  <c r="S372" i="5"/>
  <c r="R372" i="5"/>
  <c r="AB371" i="5"/>
  <c r="AA371" i="5"/>
  <c r="S371" i="5"/>
  <c r="R371" i="5"/>
  <c r="AB370" i="5"/>
  <c r="AA370" i="5"/>
  <c r="S370" i="5"/>
  <c r="R370" i="5"/>
  <c r="AB369" i="5"/>
  <c r="AA369" i="5"/>
  <c r="S369" i="5"/>
  <c r="R369" i="5"/>
  <c r="AB368" i="5"/>
  <c r="AA368" i="5"/>
  <c r="S368" i="5"/>
  <c r="R368" i="5"/>
  <c r="AB367" i="5"/>
  <c r="AA367" i="5"/>
  <c r="S367" i="5"/>
  <c r="R367" i="5"/>
  <c r="AB366" i="5"/>
  <c r="AA366" i="5"/>
  <c r="S366" i="5"/>
  <c r="R366" i="5"/>
  <c r="AB365" i="5"/>
  <c r="AA365" i="5"/>
  <c r="S365" i="5"/>
  <c r="R365" i="5"/>
  <c r="AB364" i="5"/>
  <c r="AA364" i="5"/>
  <c r="S364" i="5"/>
  <c r="R364" i="5"/>
  <c r="AB363" i="5"/>
  <c r="AA363" i="5"/>
  <c r="S363" i="5"/>
  <c r="R363" i="5"/>
  <c r="AB362" i="5"/>
  <c r="AA362" i="5"/>
  <c r="S362" i="5"/>
  <c r="R362" i="5"/>
  <c r="AB361" i="5"/>
  <c r="AA361" i="5"/>
  <c r="S361" i="5"/>
  <c r="R361" i="5"/>
  <c r="AB360" i="5"/>
  <c r="AA360" i="5"/>
  <c r="S360" i="5"/>
  <c r="R360" i="5"/>
  <c r="AB359" i="5"/>
  <c r="AA359" i="5"/>
  <c r="S359" i="5"/>
  <c r="R359" i="5"/>
  <c r="AB358" i="5"/>
  <c r="AA358" i="5"/>
  <c r="S358" i="5"/>
  <c r="R358" i="5"/>
  <c r="AB357" i="5"/>
  <c r="AA357" i="5"/>
  <c r="S357" i="5"/>
  <c r="R357" i="5"/>
  <c r="AB356" i="5"/>
  <c r="AA356" i="5"/>
  <c r="S356" i="5"/>
  <c r="R356" i="5"/>
  <c r="AB355" i="5"/>
  <c r="AA355" i="5"/>
  <c r="S355" i="5"/>
  <c r="R355" i="5"/>
  <c r="AB354" i="5"/>
  <c r="AA354" i="5"/>
  <c r="S354" i="5"/>
  <c r="R354" i="5"/>
  <c r="AB353" i="5"/>
  <c r="AA353" i="5"/>
  <c r="S353" i="5"/>
  <c r="R353" i="5"/>
  <c r="AB352" i="5"/>
  <c r="AA352" i="5"/>
  <c r="S352" i="5"/>
  <c r="R352" i="5"/>
  <c r="AB351" i="5"/>
  <c r="AA351" i="5"/>
  <c r="S351" i="5"/>
  <c r="R351" i="5"/>
  <c r="AB350" i="5"/>
  <c r="AA350" i="5"/>
  <c r="S350" i="5"/>
  <c r="R350" i="5"/>
  <c r="AB349" i="5"/>
  <c r="AA349" i="5"/>
  <c r="S349" i="5"/>
  <c r="R349" i="5"/>
  <c r="AB348" i="5"/>
  <c r="AA348" i="5"/>
  <c r="S348" i="5"/>
  <c r="R348" i="5"/>
  <c r="AB347" i="5"/>
  <c r="AA347" i="5"/>
  <c r="S347" i="5"/>
  <c r="R347" i="5"/>
  <c r="AB346" i="5"/>
  <c r="AA346" i="5"/>
  <c r="S346" i="5"/>
  <c r="R346" i="5"/>
  <c r="AB345" i="5"/>
  <c r="AA345" i="5"/>
  <c r="S345" i="5"/>
  <c r="R345" i="5"/>
  <c r="AB344" i="5"/>
  <c r="AA344" i="5"/>
  <c r="S344" i="5"/>
  <c r="R344" i="5"/>
  <c r="AB343" i="5"/>
  <c r="AA343" i="5"/>
  <c r="S343" i="5"/>
  <c r="R343" i="5"/>
  <c r="AB342" i="5"/>
  <c r="AA342" i="5"/>
  <c r="S342" i="5"/>
  <c r="R342" i="5"/>
  <c r="AB341" i="5"/>
  <c r="AA341" i="5"/>
  <c r="S341" i="5"/>
  <c r="R341" i="5"/>
  <c r="AB340" i="5"/>
  <c r="AA340" i="5"/>
  <c r="S340" i="5"/>
  <c r="R340" i="5"/>
  <c r="AB339" i="5"/>
  <c r="AA339" i="5"/>
  <c r="S339" i="5"/>
  <c r="R339" i="5"/>
  <c r="AB338" i="5"/>
  <c r="AA338" i="5"/>
  <c r="S338" i="5"/>
  <c r="R338" i="5"/>
  <c r="AB337" i="5"/>
  <c r="AA337" i="5"/>
  <c r="S337" i="5"/>
  <c r="R337" i="5"/>
  <c r="AB336" i="5"/>
  <c r="AA336" i="5"/>
  <c r="S336" i="5"/>
  <c r="R336" i="5"/>
  <c r="AB335" i="5"/>
  <c r="AA335" i="5"/>
  <c r="S335" i="5"/>
  <c r="R335" i="5"/>
  <c r="AB334" i="5"/>
  <c r="AA334" i="5"/>
  <c r="S334" i="5"/>
  <c r="R334" i="5"/>
  <c r="AB333" i="5"/>
  <c r="AA333" i="5"/>
  <c r="S333" i="5"/>
  <c r="R333" i="5"/>
  <c r="AB332" i="5"/>
  <c r="AA332" i="5"/>
  <c r="S332" i="5"/>
  <c r="R332" i="5"/>
  <c r="AB331" i="5"/>
  <c r="AA331" i="5"/>
  <c r="S331" i="5"/>
  <c r="R331" i="5"/>
  <c r="AB330" i="5"/>
  <c r="AA330" i="5"/>
  <c r="S330" i="5"/>
  <c r="R330" i="5"/>
  <c r="AB329" i="5"/>
  <c r="AA329" i="5"/>
  <c r="S329" i="5"/>
  <c r="R329" i="5"/>
  <c r="AB328" i="5"/>
  <c r="AA328" i="5"/>
  <c r="S328" i="5"/>
  <c r="R328" i="5"/>
  <c r="AB327" i="5"/>
  <c r="AA327" i="5"/>
  <c r="S327" i="5"/>
  <c r="R327" i="5"/>
  <c r="AB326" i="5"/>
  <c r="AA326" i="5"/>
  <c r="S326" i="5"/>
  <c r="R326" i="5"/>
  <c r="AB325" i="5"/>
  <c r="AA325" i="5"/>
  <c r="S325" i="5"/>
  <c r="R325" i="5"/>
  <c r="AB324" i="5"/>
  <c r="AA324" i="5"/>
  <c r="S324" i="5"/>
  <c r="R324" i="5"/>
  <c r="AB323" i="5"/>
  <c r="AA323" i="5"/>
  <c r="S323" i="5"/>
  <c r="R323" i="5"/>
  <c r="AB322" i="5"/>
  <c r="AA322" i="5"/>
  <c r="S322" i="5"/>
  <c r="R322" i="5"/>
  <c r="AB321" i="5"/>
  <c r="AA321" i="5"/>
  <c r="S321" i="5"/>
  <c r="R321" i="5"/>
  <c r="AB320" i="5"/>
  <c r="AA320" i="5"/>
  <c r="S320" i="5"/>
  <c r="R320" i="5"/>
  <c r="AB319" i="5"/>
  <c r="AA319" i="5"/>
  <c r="S319" i="5"/>
  <c r="R319" i="5"/>
  <c r="AB318" i="5"/>
  <c r="AA318" i="5"/>
  <c r="S318" i="5"/>
  <c r="R318" i="5"/>
  <c r="AB317" i="5"/>
  <c r="AA317" i="5"/>
  <c r="S317" i="5"/>
  <c r="R317" i="5"/>
  <c r="AB316" i="5"/>
  <c r="AA316" i="5"/>
  <c r="S316" i="5"/>
  <c r="R316" i="5"/>
  <c r="AB315" i="5"/>
  <c r="AA315" i="5"/>
  <c r="S315" i="5"/>
  <c r="R315" i="5"/>
  <c r="AB314" i="5"/>
  <c r="AA314" i="5"/>
  <c r="S314" i="5"/>
  <c r="R314" i="5"/>
  <c r="AB313" i="5"/>
  <c r="AA313" i="5"/>
  <c r="S313" i="5"/>
  <c r="R313" i="5"/>
  <c r="AB312" i="5"/>
  <c r="AA312" i="5"/>
  <c r="S312" i="5"/>
  <c r="R312" i="5"/>
  <c r="AB311" i="5"/>
  <c r="AA311" i="5"/>
  <c r="S311" i="5"/>
  <c r="R311" i="5"/>
  <c r="AB310" i="5"/>
  <c r="AA310" i="5"/>
  <c r="S310" i="5"/>
  <c r="R310" i="5"/>
  <c r="AB309" i="5"/>
  <c r="AA309" i="5"/>
  <c r="S309" i="5"/>
  <c r="R309" i="5"/>
  <c r="AB308" i="5"/>
  <c r="AA308" i="5"/>
  <c r="S308" i="5"/>
  <c r="R308" i="5"/>
  <c r="AB307" i="5"/>
  <c r="AA307" i="5"/>
  <c r="S307" i="5"/>
  <c r="R307" i="5"/>
  <c r="AB306" i="5"/>
  <c r="AA306" i="5"/>
  <c r="S306" i="5"/>
  <c r="R306" i="5"/>
  <c r="AB305" i="5"/>
  <c r="AA305" i="5"/>
  <c r="S305" i="5"/>
  <c r="R305" i="5"/>
  <c r="AB304" i="5"/>
  <c r="AA304" i="5"/>
  <c r="S304" i="5"/>
  <c r="R304" i="5"/>
  <c r="AB303" i="5"/>
  <c r="AA303" i="5"/>
  <c r="S303" i="5"/>
  <c r="R303" i="5"/>
  <c r="AB302" i="5"/>
  <c r="AA302" i="5"/>
  <c r="S302" i="5"/>
  <c r="R302" i="5"/>
  <c r="AB301" i="5"/>
  <c r="AA301" i="5"/>
  <c r="S301" i="5"/>
  <c r="R301" i="5"/>
  <c r="AB300" i="5"/>
  <c r="AA300" i="5"/>
  <c r="S300" i="5"/>
  <c r="R300" i="5"/>
  <c r="AB299" i="5"/>
  <c r="AA299" i="5"/>
  <c r="S299" i="5"/>
  <c r="R299" i="5"/>
  <c r="AB298" i="5"/>
  <c r="AA298" i="5"/>
  <c r="S298" i="5"/>
  <c r="R298" i="5"/>
  <c r="AB297" i="5"/>
  <c r="AA297" i="5"/>
  <c r="S297" i="5"/>
  <c r="R297" i="5"/>
  <c r="AB296" i="5"/>
  <c r="AA296" i="5"/>
  <c r="S296" i="5"/>
  <c r="R296" i="5"/>
  <c r="AB295" i="5"/>
  <c r="AA295" i="5"/>
  <c r="S295" i="5"/>
  <c r="R295" i="5"/>
  <c r="AB294" i="5"/>
  <c r="AA294" i="5"/>
  <c r="S294" i="5"/>
  <c r="R294" i="5"/>
  <c r="AB293" i="5"/>
  <c r="AA293" i="5"/>
  <c r="S293" i="5"/>
  <c r="R293" i="5"/>
  <c r="AB292" i="5"/>
  <c r="AA292" i="5"/>
  <c r="S292" i="5"/>
  <c r="R292" i="5"/>
  <c r="AB291" i="5"/>
  <c r="AA291" i="5"/>
  <c r="S291" i="5"/>
  <c r="R291" i="5"/>
  <c r="AB290" i="5"/>
  <c r="AA290" i="5"/>
  <c r="S290" i="5"/>
  <c r="R290" i="5"/>
  <c r="AB289" i="5"/>
  <c r="AA289" i="5"/>
  <c r="S289" i="5"/>
  <c r="R289" i="5"/>
  <c r="AB288" i="5"/>
  <c r="AA288" i="5"/>
  <c r="S288" i="5"/>
  <c r="R288" i="5"/>
  <c r="AB287" i="5"/>
  <c r="AA287" i="5"/>
  <c r="S287" i="5"/>
  <c r="R287" i="5"/>
  <c r="AB286" i="5"/>
  <c r="AA286" i="5"/>
  <c r="S286" i="5"/>
  <c r="R286" i="5"/>
  <c r="AB285" i="5"/>
  <c r="AA285" i="5"/>
  <c r="S285" i="5"/>
  <c r="R285" i="5"/>
  <c r="AB284" i="5"/>
  <c r="AA284" i="5"/>
  <c r="S284" i="5"/>
  <c r="R284" i="5"/>
  <c r="AB283" i="5"/>
  <c r="AA283" i="5"/>
  <c r="S283" i="5"/>
  <c r="R283" i="5"/>
  <c r="AB282" i="5"/>
  <c r="AA282" i="5"/>
  <c r="S282" i="5"/>
  <c r="R282" i="5"/>
  <c r="AB281" i="5"/>
  <c r="AA281" i="5"/>
  <c r="S281" i="5"/>
  <c r="R281" i="5"/>
  <c r="AB280" i="5"/>
  <c r="AA280" i="5"/>
  <c r="S280" i="5"/>
  <c r="R280" i="5"/>
  <c r="AB279" i="5"/>
  <c r="AA279" i="5"/>
  <c r="S279" i="5"/>
  <c r="R279" i="5"/>
  <c r="AB278" i="5"/>
  <c r="AA278" i="5"/>
  <c r="S278" i="5"/>
  <c r="R278" i="5"/>
  <c r="AB277" i="5"/>
  <c r="AA277" i="5"/>
  <c r="S277" i="5"/>
  <c r="R277" i="5"/>
  <c r="AB276" i="5"/>
  <c r="AA276" i="5"/>
  <c r="S276" i="5"/>
  <c r="R276" i="5"/>
  <c r="AB275" i="5"/>
  <c r="AA275" i="5"/>
  <c r="S275" i="5"/>
  <c r="R275" i="5"/>
  <c r="AB274" i="5"/>
  <c r="AA274" i="5"/>
  <c r="S274" i="5"/>
  <c r="R274" i="5"/>
  <c r="AB273" i="5"/>
  <c r="AA273" i="5"/>
  <c r="S273" i="5"/>
  <c r="R273" i="5"/>
  <c r="AB272" i="5"/>
  <c r="AA272" i="5"/>
  <c r="S272" i="5"/>
  <c r="R272" i="5"/>
  <c r="AB271" i="5"/>
  <c r="AA271" i="5"/>
  <c r="S271" i="5"/>
  <c r="R271" i="5"/>
  <c r="AB270" i="5"/>
  <c r="AA270" i="5"/>
  <c r="S270" i="5"/>
  <c r="R270" i="5"/>
  <c r="AB269" i="5"/>
  <c r="AA269" i="5"/>
  <c r="S269" i="5"/>
  <c r="R269" i="5"/>
  <c r="AB268" i="5"/>
  <c r="AA268" i="5"/>
  <c r="S268" i="5"/>
  <c r="R268" i="5"/>
  <c r="AB267" i="5"/>
  <c r="AA267" i="5"/>
  <c r="S267" i="5"/>
  <c r="R267" i="5"/>
  <c r="AB266" i="5"/>
  <c r="AA266" i="5"/>
  <c r="S266" i="5"/>
  <c r="R266" i="5"/>
  <c r="AB265" i="5"/>
  <c r="AA265" i="5"/>
  <c r="S265" i="5"/>
  <c r="R265" i="5"/>
  <c r="AB264" i="5"/>
  <c r="AA264" i="5"/>
  <c r="S264" i="5"/>
  <c r="R264" i="5"/>
  <c r="AB263" i="5"/>
  <c r="AA263" i="5"/>
  <c r="S263" i="5"/>
  <c r="R263" i="5"/>
  <c r="AB262" i="5"/>
  <c r="AA262" i="5"/>
  <c r="S262" i="5"/>
  <c r="R262" i="5"/>
  <c r="AB261" i="5"/>
  <c r="AA261" i="5"/>
  <c r="S261" i="5"/>
  <c r="R261" i="5"/>
  <c r="AB260" i="5"/>
  <c r="AA260" i="5"/>
  <c r="S260" i="5"/>
  <c r="R260" i="5"/>
  <c r="AB259" i="5"/>
  <c r="AA259" i="5"/>
  <c r="S259" i="5"/>
  <c r="R259" i="5"/>
  <c r="AB258" i="5"/>
  <c r="AA258" i="5"/>
  <c r="S258" i="5"/>
  <c r="R258" i="5"/>
  <c r="AB257" i="5"/>
  <c r="AA257" i="5"/>
  <c r="S257" i="5"/>
  <c r="R257" i="5"/>
  <c r="AB256" i="5"/>
  <c r="AA256" i="5"/>
  <c r="S256" i="5"/>
  <c r="R256" i="5"/>
  <c r="AB255" i="5"/>
  <c r="AA255" i="5"/>
  <c r="S255" i="5"/>
  <c r="R255" i="5"/>
  <c r="AB254" i="5"/>
  <c r="AA254" i="5"/>
  <c r="S254" i="5"/>
  <c r="R254" i="5"/>
  <c r="AB253" i="5"/>
  <c r="AA253" i="5"/>
  <c r="S253" i="5"/>
  <c r="R253" i="5"/>
  <c r="AB252" i="5"/>
  <c r="AA252" i="5"/>
  <c r="S252" i="5"/>
  <c r="R252" i="5"/>
  <c r="AB251" i="5"/>
  <c r="AA251" i="5"/>
  <c r="S251" i="5"/>
  <c r="R251" i="5"/>
  <c r="AB250" i="5"/>
  <c r="AA250" i="5"/>
  <c r="S250" i="5"/>
  <c r="R250" i="5"/>
  <c r="AB249" i="5"/>
  <c r="AA249" i="5"/>
  <c r="S249" i="5"/>
  <c r="R249" i="5"/>
  <c r="AB248" i="5"/>
  <c r="AA248" i="5"/>
  <c r="S248" i="5"/>
  <c r="R248" i="5"/>
  <c r="AB247" i="5"/>
  <c r="AA247" i="5"/>
  <c r="S247" i="5"/>
  <c r="R247" i="5"/>
  <c r="AB246" i="5"/>
  <c r="AA246" i="5"/>
  <c r="S246" i="5"/>
  <c r="R246" i="5"/>
  <c r="AB245" i="5"/>
  <c r="AA245" i="5"/>
  <c r="S245" i="5"/>
  <c r="R245" i="5"/>
  <c r="AB244" i="5"/>
  <c r="AA244" i="5"/>
  <c r="S244" i="5"/>
  <c r="R244" i="5"/>
  <c r="AB243" i="5"/>
  <c r="AA243" i="5"/>
  <c r="S243" i="5"/>
  <c r="R243" i="5"/>
  <c r="AB242" i="5"/>
  <c r="AA242" i="5"/>
  <c r="S242" i="5"/>
  <c r="R242" i="5"/>
  <c r="AB241" i="5"/>
  <c r="AA241" i="5"/>
  <c r="S241" i="5"/>
  <c r="R241" i="5"/>
  <c r="AB240" i="5"/>
  <c r="AA240" i="5"/>
  <c r="S240" i="5"/>
  <c r="R240" i="5"/>
  <c r="AB239" i="5"/>
  <c r="AA239" i="5"/>
  <c r="S239" i="5"/>
  <c r="R239" i="5"/>
  <c r="AB238" i="5"/>
  <c r="AA238" i="5"/>
  <c r="S238" i="5"/>
  <c r="R238" i="5"/>
  <c r="AB237" i="5"/>
  <c r="AA237" i="5"/>
  <c r="S237" i="5"/>
  <c r="R237" i="5"/>
  <c r="AB236" i="5"/>
  <c r="AA236" i="5"/>
  <c r="S236" i="5"/>
  <c r="R236" i="5"/>
  <c r="AB235" i="5"/>
  <c r="AA235" i="5"/>
  <c r="S235" i="5"/>
  <c r="R235" i="5"/>
  <c r="AB234" i="5"/>
  <c r="AA234" i="5"/>
  <c r="S234" i="5"/>
  <c r="R234" i="5"/>
  <c r="AB233" i="5"/>
  <c r="AA233" i="5"/>
  <c r="S233" i="5"/>
  <c r="R233" i="5"/>
  <c r="AB232" i="5"/>
  <c r="AA232" i="5"/>
  <c r="S232" i="5"/>
  <c r="R232" i="5"/>
  <c r="AB231" i="5"/>
  <c r="AA231" i="5"/>
  <c r="S231" i="5"/>
  <c r="R231" i="5"/>
  <c r="AB230" i="5"/>
  <c r="AA230" i="5"/>
  <c r="S230" i="5"/>
  <c r="R230" i="5"/>
  <c r="AB229" i="5"/>
  <c r="AA229" i="5"/>
  <c r="S229" i="5"/>
  <c r="R229" i="5"/>
  <c r="AB228" i="5"/>
  <c r="AA228" i="5"/>
  <c r="S228" i="5"/>
  <c r="R228" i="5"/>
  <c r="AB227" i="5"/>
  <c r="AA227" i="5"/>
  <c r="S227" i="5"/>
  <c r="R227" i="5"/>
  <c r="AB226" i="5"/>
  <c r="AA226" i="5"/>
  <c r="S226" i="5"/>
  <c r="R226" i="5"/>
  <c r="AB225" i="5"/>
  <c r="AA225" i="5"/>
  <c r="S225" i="5"/>
  <c r="R225" i="5"/>
  <c r="AB224" i="5"/>
  <c r="AA224" i="5"/>
  <c r="S224" i="5"/>
  <c r="R224" i="5"/>
  <c r="AB223" i="5"/>
  <c r="AA223" i="5"/>
  <c r="S223" i="5"/>
  <c r="R223" i="5"/>
  <c r="AB222" i="5"/>
  <c r="AA222" i="5"/>
  <c r="S222" i="5"/>
  <c r="R222" i="5"/>
  <c r="AB221" i="5"/>
  <c r="AA221" i="5"/>
  <c r="S221" i="5"/>
  <c r="R221" i="5"/>
  <c r="AB220" i="5"/>
  <c r="AA220" i="5"/>
  <c r="S220" i="5"/>
  <c r="R220" i="5"/>
  <c r="AB219" i="5"/>
  <c r="AA219" i="5"/>
  <c r="S219" i="5"/>
  <c r="R219" i="5"/>
  <c r="AB218" i="5"/>
  <c r="AA218" i="5"/>
  <c r="S218" i="5"/>
  <c r="R218" i="5"/>
  <c r="AB217" i="5"/>
  <c r="AA217" i="5"/>
  <c r="S217" i="5"/>
  <c r="R217" i="5"/>
  <c r="AB216" i="5"/>
  <c r="AA216" i="5"/>
  <c r="S216" i="5"/>
  <c r="R216" i="5"/>
  <c r="AB215" i="5"/>
  <c r="AA215" i="5"/>
  <c r="S215" i="5"/>
  <c r="R215" i="5"/>
  <c r="AB214" i="5"/>
  <c r="AA214" i="5"/>
  <c r="S214" i="5"/>
  <c r="R214" i="5"/>
  <c r="AB213" i="5"/>
  <c r="AA213" i="5"/>
  <c r="S213" i="5"/>
  <c r="R213" i="5"/>
  <c r="AB212" i="5"/>
  <c r="AA212" i="5"/>
  <c r="S212" i="5"/>
  <c r="R212" i="5"/>
  <c r="AB211" i="5"/>
  <c r="AA211" i="5"/>
  <c r="S211" i="5"/>
  <c r="R211" i="5"/>
  <c r="AB210" i="5"/>
  <c r="AA210" i="5"/>
  <c r="S210" i="5"/>
  <c r="R210" i="5"/>
  <c r="AB209" i="5"/>
  <c r="AA209" i="5"/>
  <c r="S209" i="5"/>
  <c r="R209" i="5"/>
  <c r="AB208" i="5"/>
  <c r="AA208" i="5"/>
  <c r="S208" i="5"/>
  <c r="R208" i="5"/>
  <c r="AB207" i="5"/>
  <c r="AA207" i="5"/>
  <c r="S207" i="5"/>
  <c r="R207" i="5"/>
  <c r="AB206" i="5"/>
  <c r="AA206" i="5"/>
  <c r="S206" i="5"/>
  <c r="R206" i="5"/>
  <c r="AB205" i="5"/>
  <c r="AA205" i="5"/>
  <c r="S205" i="5"/>
  <c r="R205" i="5"/>
  <c r="AB204" i="5"/>
  <c r="AA204" i="5"/>
  <c r="S204" i="5"/>
  <c r="R204" i="5"/>
  <c r="AB203" i="5"/>
  <c r="AA203" i="5"/>
  <c r="S203" i="5"/>
  <c r="R203" i="5"/>
  <c r="AB202" i="5"/>
  <c r="AA202" i="5"/>
  <c r="S202" i="5"/>
  <c r="R202" i="5"/>
  <c r="AB201" i="5"/>
  <c r="AA201" i="5"/>
  <c r="S201" i="5"/>
  <c r="R201" i="5"/>
  <c r="AB200" i="5"/>
  <c r="AA200" i="5"/>
  <c r="S200" i="5"/>
  <c r="R200" i="5"/>
  <c r="AB199" i="5"/>
  <c r="AA199" i="5"/>
  <c r="S199" i="5"/>
  <c r="R199" i="5"/>
  <c r="AB198" i="5"/>
  <c r="AA198" i="5"/>
  <c r="S198" i="5"/>
  <c r="R198" i="5"/>
  <c r="AB197" i="5"/>
  <c r="AA197" i="5"/>
  <c r="S197" i="5"/>
  <c r="R197" i="5"/>
  <c r="AB196" i="5"/>
  <c r="AA196" i="5"/>
  <c r="S196" i="5"/>
  <c r="R196" i="5"/>
  <c r="AB195" i="5"/>
  <c r="AA195" i="5"/>
  <c r="S195" i="5"/>
  <c r="R195" i="5"/>
  <c r="AB194" i="5"/>
  <c r="AA194" i="5"/>
  <c r="S194" i="5"/>
  <c r="R194" i="5"/>
  <c r="AB193" i="5"/>
  <c r="AA193" i="5"/>
  <c r="S193" i="5"/>
  <c r="R193" i="5"/>
  <c r="AB192" i="5"/>
  <c r="AA192" i="5"/>
  <c r="S192" i="5"/>
  <c r="R192" i="5"/>
  <c r="AB191" i="5"/>
  <c r="AA191" i="5"/>
  <c r="AB190" i="5"/>
  <c r="AA190" i="5"/>
  <c r="AB189" i="5"/>
  <c r="AA189" i="5"/>
  <c r="AB188" i="5"/>
  <c r="AA188" i="5"/>
  <c r="AB187" i="5"/>
  <c r="AA187" i="5"/>
  <c r="AB186" i="5"/>
  <c r="AA186" i="5"/>
  <c r="AB185" i="5"/>
  <c r="AA185" i="5"/>
  <c r="AB184" i="5"/>
  <c r="AA184" i="5"/>
  <c r="AB183" i="5"/>
  <c r="AA183" i="5"/>
  <c r="AB182" i="5"/>
  <c r="AA182" i="5"/>
  <c r="AB181" i="5"/>
  <c r="AA181" i="5"/>
  <c r="AB180" i="5"/>
  <c r="AA180" i="5"/>
  <c r="AB179" i="5"/>
  <c r="AA179" i="5"/>
  <c r="AB178" i="5"/>
  <c r="AA178" i="5"/>
  <c r="AB177" i="5"/>
  <c r="AA177" i="5"/>
  <c r="AB176" i="5"/>
  <c r="AA176" i="5"/>
  <c r="AB175" i="5"/>
  <c r="AA175" i="5"/>
  <c r="AB174" i="5"/>
  <c r="AA174" i="5"/>
  <c r="AB173" i="5"/>
  <c r="AA173" i="5"/>
  <c r="AB172" i="5"/>
  <c r="AA172" i="5"/>
  <c r="AB171" i="5"/>
  <c r="AA171" i="5"/>
  <c r="AB170" i="5"/>
  <c r="AA170" i="5"/>
  <c r="AB169" i="5"/>
  <c r="AA169" i="5"/>
  <c r="AB168" i="5"/>
  <c r="AA168" i="5"/>
  <c r="AB167" i="5"/>
  <c r="AA167" i="5"/>
  <c r="AB166" i="5"/>
  <c r="AA166" i="5"/>
  <c r="AB165" i="5"/>
  <c r="AA165" i="5"/>
  <c r="AB164" i="5"/>
  <c r="AA164" i="5"/>
  <c r="AB163" i="5"/>
  <c r="AA163" i="5"/>
  <c r="AB162" i="5"/>
  <c r="AA162" i="5"/>
  <c r="AB161" i="5"/>
  <c r="AA161" i="5"/>
  <c r="AB160" i="5"/>
  <c r="AA160" i="5"/>
  <c r="AB159" i="5"/>
  <c r="AA159" i="5"/>
  <c r="AB158" i="5"/>
  <c r="AA158" i="5"/>
  <c r="AB157" i="5"/>
  <c r="AA157" i="5"/>
  <c r="AB156" i="5"/>
  <c r="AA156" i="5"/>
  <c r="AB155" i="5"/>
  <c r="AA155" i="5"/>
  <c r="AB154" i="5"/>
  <c r="AA154" i="5"/>
  <c r="AB153" i="5"/>
  <c r="AA153" i="5"/>
  <c r="AB152" i="5"/>
  <c r="AA152" i="5"/>
  <c r="AB151" i="5"/>
  <c r="AA151" i="5"/>
  <c r="AB150" i="5"/>
  <c r="AA150" i="5"/>
  <c r="AB149" i="5"/>
  <c r="AA149" i="5"/>
  <c r="AB148" i="5"/>
  <c r="AA148" i="5"/>
  <c r="AB147" i="5"/>
  <c r="AA147" i="5"/>
  <c r="AB146" i="5"/>
  <c r="AA146" i="5"/>
  <c r="AB145" i="5"/>
  <c r="AA145" i="5"/>
  <c r="AB144" i="5"/>
  <c r="AA144" i="5"/>
  <c r="AB143" i="5"/>
  <c r="AA143" i="5"/>
  <c r="AB142" i="5"/>
  <c r="AA142" i="5"/>
  <c r="AB141" i="5"/>
  <c r="AA141" i="5"/>
  <c r="AB140" i="5"/>
  <c r="AA140" i="5"/>
  <c r="AB139" i="5"/>
  <c r="AA139" i="5"/>
  <c r="AB138" i="5"/>
  <c r="AA138" i="5"/>
  <c r="AB137" i="5"/>
  <c r="AA137" i="5"/>
  <c r="AB136" i="5"/>
  <c r="AA136" i="5"/>
  <c r="AB135" i="5"/>
  <c r="AA135" i="5"/>
  <c r="AB134" i="5"/>
  <c r="AA134" i="5"/>
  <c r="AB133" i="5"/>
  <c r="AA133" i="5"/>
  <c r="AB132" i="5"/>
  <c r="AA132" i="5"/>
  <c r="AB131" i="5"/>
  <c r="AA131" i="5"/>
  <c r="AB130" i="5"/>
  <c r="AA130" i="5"/>
  <c r="AB129" i="5"/>
  <c r="AA129" i="5"/>
  <c r="AB128" i="5"/>
  <c r="AA128" i="5"/>
  <c r="AB127" i="5"/>
  <c r="AA127" i="5"/>
  <c r="AB126" i="5"/>
  <c r="AA126" i="5"/>
  <c r="AB125" i="5"/>
  <c r="AA125" i="5"/>
  <c r="AB124" i="5"/>
  <c r="AA124" i="5"/>
  <c r="AB123" i="5"/>
  <c r="AA123" i="5"/>
  <c r="AB122" i="5"/>
  <c r="AA122" i="5"/>
  <c r="AB121" i="5"/>
  <c r="AA121" i="5"/>
  <c r="AB120" i="5"/>
  <c r="AA120" i="5"/>
  <c r="AB119" i="5"/>
  <c r="AA119" i="5"/>
  <c r="AB118" i="5"/>
  <c r="AA118" i="5"/>
  <c r="AB117" i="5"/>
  <c r="AA117" i="5"/>
  <c r="AB116" i="5"/>
  <c r="AA116" i="5"/>
  <c r="AB115" i="5"/>
  <c r="AA115" i="5"/>
  <c r="AB114" i="5"/>
  <c r="AA114" i="5"/>
  <c r="AB113" i="5"/>
  <c r="AA113" i="5"/>
  <c r="AB112" i="5"/>
  <c r="AA112" i="5"/>
  <c r="AB111" i="5"/>
  <c r="AA111" i="5"/>
  <c r="AB110" i="5"/>
  <c r="AA110" i="5"/>
  <c r="AB109" i="5"/>
  <c r="AA109" i="5"/>
  <c r="AB108" i="5"/>
  <c r="AA108" i="5"/>
  <c r="AB107" i="5"/>
  <c r="AA107" i="5"/>
  <c r="AB106" i="5"/>
  <c r="AA106" i="5"/>
  <c r="AB105" i="5"/>
  <c r="AA105" i="5"/>
  <c r="AB104" i="5"/>
  <c r="AA104" i="5"/>
  <c r="AB103" i="5"/>
  <c r="AA103" i="5"/>
  <c r="AB102" i="5"/>
  <c r="AA102" i="5"/>
  <c r="AB101" i="5"/>
  <c r="AA101" i="5"/>
  <c r="AB100" i="5"/>
  <c r="AA100" i="5"/>
  <c r="AB99" i="5"/>
  <c r="AA99" i="5"/>
  <c r="AB98" i="5"/>
  <c r="AA98" i="5"/>
  <c r="AB97" i="5"/>
  <c r="AA97" i="5"/>
  <c r="AB96" i="5"/>
  <c r="AA96" i="5"/>
  <c r="AB95" i="5"/>
  <c r="AA95" i="5"/>
  <c r="AB94" i="5"/>
  <c r="AA94" i="5"/>
  <c r="AB93" i="5"/>
  <c r="AA93" i="5"/>
  <c r="AB92" i="5"/>
  <c r="AA92" i="5"/>
  <c r="AB91" i="5"/>
  <c r="AA91" i="5"/>
  <c r="AB90" i="5"/>
  <c r="AA90" i="5"/>
  <c r="AB89" i="5"/>
  <c r="AA89" i="5"/>
  <c r="AB88" i="5"/>
  <c r="AA88" i="5"/>
  <c r="AB87" i="5"/>
  <c r="AA87" i="5"/>
  <c r="AB86" i="5"/>
  <c r="AA86" i="5"/>
  <c r="AB85" i="5"/>
  <c r="AA85" i="5"/>
  <c r="AB84" i="5"/>
  <c r="AA84" i="5"/>
  <c r="AB83" i="5"/>
  <c r="AA83" i="5"/>
  <c r="AB82" i="5"/>
  <c r="AA82" i="5"/>
  <c r="AB81" i="5"/>
  <c r="AA81" i="5"/>
  <c r="AB80" i="5"/>
  <c r="AA80" i="5"/>
  <c r="AB79" i="5"/>
  <c r="AA79" i="5"/>
  <c r="AB78" i="5"/>
  <c r="AA78" i="5"/>
  <c r="AB77" i="5"/>
  <c r="AA77" i="5"/>
  <c r="AB76" i="5"/>
  <c r="AA76" i="5"/>
  <c r="AB75" i="5"/>
  <c r="AA75" i="5"/>
  <c r="AB74" i="5"/>
  <c r="AA74" i="5"/>
  <c r="AB73" i="5"/>
  <c r="AA73" i="5"/>
  <c r="AB72" i="5"/>
  <c r="AA72" i="5"/>
  <c r="AB71" i="5"/>
  <c r="AA71" i="5"/>
  <c r="AB70" i="5"/>
  <c r="AA70" i="5"/>
  <c r="AB69" i="5"/>
  <c r="AA69" i="5"/>
  <c r="AB68" i="5"/>
  <c r="AA68" i="5"/>
  <c r="AB67" i="5"/>
  <c r="AA67" i="5"/>
  <c r="AB66" i="5"/>
  <c r="AA66" i="5"/>
  <c r="AB65" i="5"/>
  <c r="AA65" i="5"/>
  <c r="AB64" i="5"/>
  <c r="AA64" i="5"/>
  <c r="AB63" i="5"/>
  <c r="AA63" i="5"/>
  <c r="AB62" i="5"/>
  <c r="AA62" i="5"/>
  <c r="AB61" i="5"/>
  <c r="AA61" i="5"/>
  <c r="AB60" i="5"/>
  <c r="AA60" i="5"/>
  <c r="AB59" i="5"/>
  <c r="AA59" i="5"/>
  <c r="AB58" i="5"/>
  <c r="AB57" i="5"/>
  <c r="AB56" i="5"/>
  <c r="AB55" i="5"/>
  <c r="AB54" i="5"/>
  <c r="AB53" i="5"/>
  <c r="AB52" i="5"/>
  <c r="AB51" i="5"/>
  <c r="AB50" i="5"/>
  <c r="AB49" i="5"/>
  <c r="AB48" i="5"/>
  <c r="AB47" i="5"/>
  <c r="AB46" i="5"/>
  <c r="AB45" i="5"/>
  <c r="AA45" i="5"/>
  <c r="AB44" i="5"/>
  <c r="AA44" i="5"/>
  <c r="AB43" i="5"/>
  <c r="AB42" i="5"/>
  <c r="AB41" i="5"/>
  <c r="AB40" i="5"/>
  <c r="AB39" i="5"/>
  <c r="AB38" i="5"/>
  <c r="AB37" i="5"/>
  <c r="AB36" i="5"/>
  <c r="AB35" i="5"/>
  <c r="AB34" i="5"/>
  <c r="AB33" i="5"/>
  <c r="AB32" i="5"/>
  <c r="AB31" i="5"/>
  <c r="AB30" i="5"/>
  <c r="AB29" i="5"/>
  <c r="AB28" i="5"/>
  <c r="AB27" i="5"/>
  <c r="AB26" i="5"/>
  <c r="AB25" i="5"/>
  <c r="AB24" i="5"/>
  <c r="AB23" i="5"/>
  <c r="AA23" i="5"/>
  <c r="AB22" i="5"/>
  <c r="AA22" i="5"/>
  <c r="AB21" i="5"/>
  <c r="AA21" i="5"/>
  <c r="AB20" i="5"/>
  <c r="AA20" i="5"/>
  <c r="AB19" i="5"/>
  <c r="AA19" i="5"/>
  <c r="AB18" i="5"/>
  <c r="AA18" i="5"/>
  <c r="AB17" i="5"/>
  <c r="AA17" i="5"/>
  <c r="AB16" i="5"/>
  <c r="AA16" i="5"/>
  <c r="AB15" i="5"/>
  <c r="AA15" i="5"/>
  <c r="AB14" i="5"/>
  <c r="AA14" i="5"/>
  <c r="E9" i="5"/>
  <c r="F9" i="5" s="1"/>
  <c r="E8" i="5"/>
  <c r="F8" i="5" s="1"/>
  <c r="E7" i="5"/>
  <c r="F7" i="5" s="1"/>
  <c r="E6" i="5"/>
  <c r="F6" i="5" s="1"/>
  <c r="E5" i="5"/>
  <c r="O1595" i="8"/>
  <c r="N1595" i="8"/>
  <c r="O1594" i="8"/>
  <c r="N1594" i="8"/>
  <c r="O1593" i="8"/>
  <c r="N1593" i="8"/>
  <c r="O1592" i="8"/>
  <c r="N1592" i="8"/>
  <c r="O1591" i="8"/>
  <c r="N1591" i="8"/>
  <c r="O1590" i="8"/>
  <c r="N1590" i="8"/>
  <c r="O1589" i="8"/>
  <c r="N1589" i="8"/>
  <c r="O1588" i="8"/>
  <c r="N1588" i="8"/>
  <c r="O1587" i="8"/>
  <c r="N1587" i="8"/>
  <c r="O1586" i="8"/>
  <c r="N1586" i="8"/>
  <c r="O1585" i="8"/>
  <c r="N1585" i="8"/>
  <c r="O1584" i="8"/>
  <c r="N1584" i="8"/>
  <c r="O1583" i="8"/>
  <c r="N1583" i="8"/>
  <c r="O1582" i="8"/>
  <c r="N1582" i="8"/>
  <c r="O1581" i="8"/>
  <c r="N1581" i="8"/>
  <c r="O1580" i="8"/>
  <c r="N1580" i="8"/>
  <c r="O1579" i="8"/>
  <c r="N1579" i="8"/>
  <c r="O1578" i="8"/>
  <c r="N1578" i="8"/>
  <c r="O1577" i="8"/>
  <c r="N1577" i="8"/>
  <c r="O1576" i="8"/>
  <c r="N1576" i="8"/>
  <c r="O1575" i="8"/>
  <c r="N1575" i="8"/>
  <c r="O1574" i="8"/>
  <c r="N1574" i="8"/>
  <c r="O1573" i="8"/>
  <c r="N1573" i="8"/>
  <c r="O1572" i="8"/>
  <c r="N1572" i="8"/>
  <c r="O1571" i="8"/>
  <c r="N1571" i="8"/>
  <c r="O1570" i="8"/>
  <c r="N1570" i="8"/>
  <c r="O1569" i="8"/>
  <c r="N1569" i="8"/>
  <c r="O1568" i="8"/>
  <c r="N1568" i="8"/>
  <c r="O1567" i="8"/>
  <c r="N1567" i="8"/>
  <c r="O1566" i="8"/>
  <c r="N1566" i="8"/>
  <c r="O1565" i="8"/>
  <c r="N1565" i="8"/>
  <c r="O1564" i="8"/>
  <c r="N1564" i="8"/>
  <c r="O1563" i="8"/>
  <c r="N1563" i="8"/>
  <c r="O1562" i="8"/>
  <c r="N1562" i="8"/>
  <c r="O1561" i="8"/>
  <c r="N1561" i="8"/>
  <c r="O1560" i="8"/>
  <c r="N1560" i="8"/>
  <c r="O1559" i="8"/>
  <c r="N1559" i="8"/>
  <c r="O1558" i="8"/>
  <c r="N1558" i="8"/>
  <c r="O1557" i="8"/>
  <c r="N1557" i="8"/>
  <c r="O1556" i="8"/>
  <c r="N1556" i="8"/>
  <c r="O1555" i="8"/>
  <c r="N1555" i="8"/>
  <c r="O1554" i="8"/>
  <c r="N1554" i="8"/>
  <c r="O1553" i="8"/>
  <c r="N1553" i="8"/>
  <c r="O1552" i="8"/>
  <c r="N1552" i="8"/>
  <c r="O1551" i="8"/>
  <c r="N1551" i="8"/>
  <c r="O1550" i="8"/>
  <c r="N1550" i="8"/>
  <c r="O1549" i="8"/>
  <c r="N1549" i="8"/>
  <c r="O1548" i="8"/>
  <c r="N1548" i="8"/>
  <c r="O1547" i="8"/>
  <c r="N1547" i="8"/>
  <c r="O1546" i="8"/>
  <c r="N1546" i="8"/>
  <c r="O1545" i="8"/>
  <c r="N1545" i="8"/>
  <c r="O1544" i="8"/>
  <c r="N1544" i="8"/>
  <c r="O1543" i="8"/>
  <c r="N1543" i="8"/>
  <c r="O1542" i="8"/>
  <c r="N1542" i="8"/>
  <c r="O1541" i="8"/>
  <c r="N1541" i="8"/>
  <c r="O1540" i="8"/>
  <c r="N1540" i="8"/>
  <c r="O1539" i="8"/>
  <c r="N1539" i="8"/>
  <c r="O1538" i="8"/>
  <c r="N1538" i="8"/>
  <c r="O1537" i="8"/>
  <c r="N1537" i="8"/>
  <c r="O1536" i="8"/>
  <c r="N1536" i="8"/>
  <c r="O1535" i="8"/>
  <c r="N1535" i="8"/>
  <c r="O1534" i="8"/>
  <c r="N1534" i="8"/>
  <c r="O1533" i="8"/>
  <c r="N1533" i="8"/>
  <c r="O1532" i="8"/>
  <c r="N1532" i="8"/>
  <c r="O1531" i="8"/>
  <c r="N1531" i="8"/>
  <c r="O1530" i="8"/>
  <c r="N1530" i="8"/>
  <c r="O1529" i="8"/>
  <c r="N1529" i="8"/>
  <c r="O1528" i="8"/>
  <c r="N1528" i="8"/>
  <c r="O1527" i="8"/>
  <c r="N1527" i="8"/>
  <c r="O1526" i="8"/>
  <c r="N1526" i="8"/>
  <c r="O1525" i="8"/>
  <c r="N1525" i="8"/>
  <c r="O1524" i="8"/>
  <c r="N1524" i="8"/>
  <c r="O1523" i="8"/>
  <c r="N1523" i="8"/>
  <c r="O1522" i="8"/>
  <c r="N1522" i="8"/>
  <c r="O1521" i="8"/>
  <c r="N1521" i="8"/>
  <c r="O1520" i="8"/>
  <c r="N1520" i="8"/>
  <c r="O1519" i="8"/>
  <c r="N1519" i="8"/>
  <c r="O1518" i="8"/>
  <c r="N1518" i="8"/>
  <c r="O1517" i="8"/>
  <c r="N1517" i="8"/>
  <c r="O1516" i="8"/>
  <c r="N1516" i="8"/>
  <c r="O1515" i="8"/>
  <c r="N1515" i="8"/>
  <c r="O1514" i="8"/>
  <c r="N1514" i="8"/>
  <c r="O1513" i="8"/>
  <c r="N1513" i="8"/>
  <c r="O1512" i="8"/>
  <c r="N1512" i="8"/>
  <c r="O1511" i="8"/>
  <c r="N1511" i="8"/>
  <c r="O1510" i="8"/>
  <c r="N1510" i="8"/>
  <c r="O1509" i="8"/>
  <c r="N1509" i="8"/>
  <c r="O1508" i="8"/>
  <c r="N1508" i="8"/>
  <c r="O1507" i="8"/>
  <c r="N1507" i="8"/>
  <c r="O1506" i="8"/>
  <c r="N1506" i="8"/>
  <c r="O1505" i="8"/>
  <c r="N1505" i="8"/>
  <c r="O1504" i="8"/>
  <c r="N1504" i="8"/>
  <c r="O1503" i="8"/>
  <c r="N1503" i="8"/>
  <c r="O1502" i="8"/>
  <c r="N1502" i="8"/>
  <c r="O1501" i="8"/>
  <c r="N1501" i="8"/>
  <c r="O1500" i="8"/>
  <c r="N1500" i="8"/>
  <c r="O1499" i="8"/>
  <c r="N1499" i="8"/>
  <c r="O1498" i="8"/>
  <c r="N1498" i="8"/>
  <c r="O1497" i="8"/>
  <c r="N1497" i="8"/>
  <c r="O1496" i="8"/>
  <c r="N1496" i="8"/>
  <c r="O1495" i="8"/>
  <c r="N1495" i="8"/>
  <c r="O1494" i="8"/>
  <c r="N1494" i="8"/>
  <c r="O1493" i="8"/>
  <c r="N1493" i="8"/>
  <c r="O1492" i="8"/>
  <c r="N1492" i="8"/>
  <c r="O1491" i="8"/>
  <c r="N1491" i="8"/>
  <c r="O1490" i="8"/>
  <c r="N1490" i="8"/>
  <c r="O1489" i="8"/>
  <c r="N1489" i="8"/>
  <c r="O1488" i="8"/>
  <c r="N1488" i="8"/>
  <c r="O1487" i="8"/>
  <c r="N1487" i="8"/>
  <c r="O1486" i="8"/>
  <c r="N1486" i="8"/>
  <c r="O1485" i="8"/>
  <c r="N1485" i="8"/>
  <c r="O1484" i="8"/>
  <c r="N1484" i="8"/>
  <c r="O1483" i="8"/>
  <c r="N1483" i="8"/>
  <c r="O1482" i="8"/>
  <c r="N1482" i="8"/>
  <c r="O1481" i="8"/>
  <c r="N1481" i="8"/>
  <c r="O1480" i="8"/>
  <c r="N1480" i="8"/>
  <c r="O1479" i="8"/>
  <c r="N1479" i="8"/>
  <c r="O1478" i="8"/>
  <c r="N1478" i="8"/>
  <c r="O1477" i="8"/>
  <c r="N1477" i="8"/>
  <c r="O1476" i="8"/>
  <c r="N1476" i="8"/>
  <c r="O1475" i="8"/>
  <c r="N1475" i="8"/>
  <c r="O1474" i="8"/>
  <c r="N1474" i="8"/>
  <c r="O1473" i="8"/>
  <c r="N1473" i="8"/>
  <c r="O1472" i="8"/>
  <c r="N1472" i="8"/>
  <c r="O1471" i="8"/>
  <c r="N1471" i="8"/>
  <c r="O1470" i="8"/>
  <c r="N1470" i="8"/>
  <c r="O1469" i="8"/>
  <c r="N1469" i="8"/>
  <c r="O1468" i="8"/>
  <c r="N1468" i="8"/>
  <c r="O1467" i="8"/>
  <c r="N1467" i="8"/>
  <c r="O1466" i="8"/>
  <c r="N1466" i="8"/>
  <c r="O1465" i="8"/>
  <c r="N1465" i="8"/>
  <c r="O1464" i="8"/>
  <c r="N1464" i="8"/>
  <c r="O1463" i="8"/>
  <c r="N1463" i="8"/>
  <c r="O1462" i="8"/>
  <c r="N1462" i="8"/>
  <c r="O1461" i="8"/>
  <c r="N1461" i="8"/>
  <c r="O1460" i="8"/>
  <c r="N1460" i="8"/>
  <c r="O1459" i="8"/>
  <c r="N1459" i="8"/>
  <c r="O1458" i="8"/>
  <c r="N1458" i="8"/>
  <c r="O1457" i="8"/>
  <c r="N1457" i="8"/>
  <c r="O1456" i="8"/>
  <c r="N1456" i="8"/>
  <c r="O1455" i="8"/>
  <c r="N1455" i="8"/>
  <c r="O1454" i="8"/>
  <c r="N1454" i="8"/>
  <c r="O1453" i="8"/>
  <c r="N1453" i="8"/>
  <c r="O1452" i="8"/>
  <c r="N1452" i="8"/>
  <c r="O1451" i="8"/>
  <c r="N1451" i="8"/>
  <c r="O1450" i="8"/>
  <c r="N1450" i="8"/>
  <c r="O1449" i="8"/>
  <c r="N1449" i="8"/>
  <c r="O1448" i="8"/>
  <c r="N1448" i="8"/>
  <c r="O1447" i="8"/>
  <c r="N1447" i="8"/>
  <c r="O1446" i="8"/>
  <c r="N1446" i="8"/>
  <c r="O1445" i="8"/>
  <c r="N1445" i="8"/>
  <c r="O1444" i="8"/>
  <c r="N1444" i="8"/>
  <c r="O1443" i="8"/>
  <c r="N1443" i="8"/>
  <c r="O1442" i="8"/>
  <c r="N1442" i="8"/>
  <c r="O1441" i="8"/>
  <c r="N1441" i="8"/>
  <c r="O1440" i="8"/>
  <c r="N1440" i="8"/>
  <c r="O1439" i="8"/>
  <c r="N1439" i="8"/>
  <c r="O1438" i="8"/>
  <c r="N1438" i="8"/>
  <c r="O1437" i="8"/>
  <c r="N1437" i="8"/>
  <c r="O1436" i="8"/>
  <c r="N1436" i="8"/>
  <c r="O1435" i="8"/>
  <c r="N1435" i="8"/>
  <c r="O1434" i="8"/>
  <c r="N1434" i="8"/>
  <c r="O1433" i="8"/>
  <c r="N1433" i="8"/>
  <c r="O1432" i="8"/>
  <c r="N1432" i="8"/>
  <c r="O1431" i="8"/>
  <c r="N1431" i="8"/>
  <c r="O1430" i="8"/>
  <c r="N1430" i="8"/>
  <c r="O1429" i="8"/>
  <c r="N1429" i="8"/>
  <c r="O1428" i="8"/>
  <c r="N1428" i="8"/>
  <c r="O1427" i="8"/>
  <c r="N1427" i="8"/>
  <c r="O1426" i="8"/>
  <c r="N1426" i="8"/>
  <c r="O1425" i="8"/>
  <c r="N1425" i="8"/>
  <c r="O1424" i="8"/>
  <c r="N1424" i="8"/>
  <c r="O1423" i="8"/>
  <c r="N1423" i="8"/>
  <c r="O1422" i="8"/>
  <c r="N1422" i="8"/>
  <c r="O1421" i="8"/>
  <c r="N1421" i="8"/>
  <c r="O1420" i="8"/>
  <c r="N1420" i="8"/>
  <c r="O1419" i="8"/>
  <c r="N1419" i="8"/>
  <c r="O1418" i="8"/>
  <c r="N1418" i="8"/>
  <c r="O1417" i="8"/>
  <c r="N1417" i="8"/>
  <c r="O1416" i="8"/>
  <c r="N1416" i="8"/>
  <c r="O1415" i="8"/>
  <c r="N1415" i="8"/>
  <c r="O1414" i="8"/>
  <c r="N1414" i="8"/>
  <c r="O1413" i="8"/>
  <c r="N1413" i="8"/>
  <c r="O1412" i="8"/>
  <c r="N1412" i="8"/>
  <c r="O1411" i="8"/>
  <c r="N1411" i="8"/>
  <c r="O1410" i="8"/>
  <c r="N1410" i="8"/>
  <c r="O1409" i="8"/>
  <c r="N1409" i="8"/>
  <c r="O1408" i="8"/>
  <c r="N1408" i="8"/>
  <c r="O1407" i="8"/>
  <c r="N1407" i="8"/>
  <c r="O1406" i="8"/>
  <c r="N1406" i="8"/>
  <c r="O1405" i="8"/>
  <c r="N1405" i="8"/>
  <c r="O1404" i="8"/>
  <c r="N1404" i="8"/>
  <c r="O1403" i="8"/>
  <c r="N1403" i="8"/>
  <c r="O1402" i="8"/>
  <c r="N1402" i="8"/>
  <c r="O1401" i="8"/>
  <c r="N1401" i="8"/>
  <c r="O1400" i="8"/>
  <c r="N1400" i="8"/>
  <c r="O1399" i="8"/>
  <c r="N1399" i="8"/>
  <c r="O1398" i="8"/>
  <c r="N1398" i="8"/>
  <c r="O1397" i="8"/>
  <c r="N1397" i="8"/>
  <c r="O1396" i="8"/>
  <c r="N1396" i="8"/>
  <c r="O1395" i="8"/>
  <c r="N1395" i="8"/>
  <c r="O1394" i="8"/>
  <c r="N1394" i="8"/>
  <c r="O1393" i="8"/>
  <c r="N1393" i="8"/>
  <c r="O1392" i="8"/>
  <c r="N1392" i="8"/>
  <c r="O1391" i="8"/>
  <c r="N1391" i="8"/>
  <c r="O1390" i="8"/>
  <c r="N1390" i="8"/>
  <c r="O1389" i="8"/>
  <c r="N1389" i="8"/>
  <c r="O1388" i="8"/>
  <c r="N1388" i="8"/>
  <c r="O1387" i="8"/>
  <c r="N1387" i="8"/>
  <c r="O1386" i="8"/>
  <c r="N1386" i="8"/>
  <c r="O1385" i="8"/>
  <c r="N1385" i="8"/>
  <c r="O1384" i="8"/>
  <c r="N1384" i="8"/>
  <c r="O1383" i="8"/>
  <c r="N1383" i="8"/>
  <c r="O1382" i="8"/>
  <c r="N1382" i="8"/>
  <c r="O1381" i="8"/>
  <c r="N1381" i="8"/>
  <c r="O1380" i="8"/>
  <c r="N1380" i="8"/>
  <c r="O1379" i="8"/>
  <c r="N1379" i="8"/>
  <c r="O1378" i="8"/>
  <c r="N1378" i="8"/>
  <c r="O1377" i="8"/>
  <c r="N1377" i="8"/>
  <c r="O1376" i="8"/>
  <c r="N1376" i="8"/>
  <c r="O1375" i="8"/>
  <c r="N1375" i="8"/>
  <c r="O1374" i="8"/>
  <c r="N1374" i="8"/>
  <c r="O1373" i="8"/>
  <c r="N1373" i="8"/>
  <c r="O1372" i="8"/>
  <c r="N1372" i="8"/>
  <c r="O1371" i="8"/>
  <c r="N1371" i="8"/>
  <c r="O1370" i="8"/>
  <c r="N1370" i="8"/>
  <c r="O1369" i="8"/>
  <c r="N1369" i="8"/>
  <c r="O1368" i="8"/>
  <c r="N1368" i="8"/>
  <c r="O1367" i="8"/>
  <c r="N1367" i="8"/>
  <c r="O1366" i="8"/>
  <c r="N1366" i="8"/>
  <c r="O1365" i="8"/>
  <c r="N1365" i="8"/>
  <c r="O1364" i="8"/>
  <c r="N1364" i="8"/>
  <c r="O1363" i="8"/>
  <c r="N1363" i="8"/>
  <c r="O1362" i="8"/>
  <c r="N1362" i="8"/>
  <c r="O1361" i="8"/>
  <c r="N1361" i="8"/>
  <c r="O1360" i="8"/>
  <c r="N1360" i="8"/>
  <c r="O1359" i="8"/>
  <c r="N1359" i="8"/>
  <c r="O1358" i="8"/>
  <c r="N1358" i="8"/>
  <c r="O1357" i="8"/>
  <c r="N1357" i="8"/>
  <c r="O1356" i="8"/>
  <c r="N1356" i="8"/>
  <c r="O1355" i="8"/>
  <c r="N1355" i="8"/>
  <c r="O1354" i="8"/>
  <c r="N1354" i="8"/>
  <c r="O1353" i="8"/>
  <c r="N1353" i="8"/>
  <c r="O1352" i="8"/>
  <c r="N1352" i="8"/>
  <c r="O1351" i="8"/>
  <c r="N1351" i="8"/>
  <c r="O1350" i="8"/>
  <c r="N1350" i="8"/>
  <c r="O1349" i="8"/>
  <c r="N1349" i="8"/>
  <c r="O1348" i="8"/>
  <c r="N1348" i="8"/>
  <c r="O1347" i="8"/>
  <c r="N1347" i="8"/>
  <c r="O1346" i="8"/>
  <c r="N1346" i="8"/>
  <c r="O1345" i="8"/>
  <c r="N1345" i="8"/>
  <c r="O1344" i="8"/>
  <c r="N1344" i="8"/>
  <c r="O1343" i="8"/>
  <c r="N1343" i="8"/>
  <c r="O1342" i="8"/>
  <c r="N1342" i="8"/>
  <c r="O1341" i="8"/>
  <c r="N1341" i="8"/>
  <c r="O1340" i="8"/>
  <c r="N1340" i="8"/>
  <c r="O1339" i="8"/>
  <c r="N1339" i="8"/>
  <c r="O1338" i="8"/>
  <c r="N1338" i="8"/>
  <c r="O1337" i="8"/>
  <c r="N1337" i="8"/>
  <c r="O1336" i="8"/>
  <c r="N1336" i="8"/>
  <c r="O1335" i="8"/>
  <c r="N1335" i="8"/>
  <c r="O1334" i="8"/>
  <c r="N1334" i="8"/>
  <c r="O1333" i="8"/>
  <c r="N1333" i="8"/>
  <c r="O1332" i="8"/>
  <c r="N1332" i="8"/>
  <c r="O1331" i="8"/>
  <c r="N1331" i="8"/>
  <c r="O1330" i="8"/>
  <c r="N1330" i="8"/>
  <c r="O1329" i="8"/>
  <c r="N1329" i="8"/>
  <c r="O1328" i="8"/>
  <c r="N1328" i="8"/>
  <c r="O1327" i="8"/>
  <c r="N1327" i="8"/>
  <c r="O1326" i="8"/>
  <c r="N1326" i="8"/>
  <c r="O1325" i="8"/>
  <c r="N1325" i="8"/>
  <c r="O1324" i="8"/>
  <c r="N1324" i="8"/>
  <c r="O1323" i="8"/>
  <c r="N1323" i="8"/>
  <c r="O1322" i="8"/>
  <c r="N1322" i="8"/>
  <c r="O1321" i="8"/>
  <c r="N1321" i="8"/>
  <c r="O1320" i="8"/>
  <c r="N1320" i="8"/>
  <c r="O1319" i="8"/>
  <c r="N1319" i="8"/>
  <c r="O1318" i="8"/>
  <c r="N1318" i="8"/>
  <c r="O1317" i="8"/>
  <c r="N1317" i="8"/>
  <c r="O1316" i="8"/>
  <c r="N1316" i="8"/>
  <c r="O1315" i="8"/>
  <c r="N1315" i="8"/>
  <c r="O1314" i="8"/>
  <c r="N1314" i="8"/>
  <c r="O1313" i="8"/>
  <c r="N1313" i="8"/>
  <c r="O1312" i="8"/>
  <c r="N1312" i="8"/>
  <c r="O1311" i="8"/>
  <c r="N1311" i="8"/>
  <c r="O1310" i="8"/>
  <c r="N1310" i="8"/>
  <c r="O1309" i="8"/>
  <c r="N1309" i="8"/>
  <c r="O1308" i="8"/>
  <c r="N1308" i="8"/>
  <c r="O1307" i="8"/>
  <c r="N1307" i="8"/>
  <c r="O1306" i="8"/>
  <c r="N1306" i="8"/>
  <c r="O1305" i="8"/>
  <c r="N1305" i="8"/>
  <c r="O1304" i="8"/>
  <c r="N1304" i="8"/>
  <c r="O1303" i="8"/>
  <c r="N1303" i="8"/>
  <c r="O1302" i="8"/>
  <c r="N1302" i="8"/>
  <c r="O1301" i="8"/>
  <c r="N1301" i="8"/>
  <c r="O1300" i="8"/>
  <c r="N1300" i="8"/>
  <c r="O1299" i="8"/>
  <c r="N1299" i="8"/>
  <c r="O1298" i="8"/>
  <c r="N1298" i="8"/>
  <c r="O1297" i="8"/>
  <c r="N1297" i="8"/>
  <c r="O1296" i="8"/>
  <c r="N1296" i="8"/>
  <c r="O1295" i="8"/>
  <c r="N1295" i="8"/>
  <c r="O1294" i="8"/>
  <c r="N1294" i="8"/>
  <c r="O1293" i="8"/>
  <c r="N1293" i="8"/>
  <c r="O1292" i="8"/>
  <c r="N1292" i="8"/>
  <c r="O1291" i="8"/>
  <c r="N1291" i="8"/>
  <c r="O1290" i="8"/>
  <c r="N1290" i="8"/>
  <c r="O1289" i="8"/>
  <c r="N1289" i="8"/>
  <c r="O1288" i="8"/>
  <c r="N1288" i="8"/>
  <c r="O1287" i="8"/>
  <c r="N1287" i="8"/>
  <c r="O1286" i="8"/>
  <c r="N1286" i="8"/>
  <c r="O1285" i="8"/>
  <c r="N1285" i="8"/>
  <c r="O1284" i="8"/>
  <c r="N1284" i="8"/>
  <c r="O1283" i="8"/>
  <c r="N1283" i="8"/>
  <c r="O1282" i="8"/>
  <c r="N1282" i="8"/>
  <c r="O1281" i="8"/>
  <c r="N1281" i="8"/>
  <c r="O1280" i="8"/>
  <c r="N1280" i="8"/>
  <c r="O1279" i="8"/>
  <c r="N1279" i="8"/>
  <c r="O1278" i="8"/>
  <c r="N1278" i="8"/>
  <c r="O1277" i="8"/>
  <c r="N1277" i="8"/>
  <c r="O1276" i="8"/>
  <c r="N1276" i="8"/>
  <c r="O1275" i="8"/>
  <c r="N1275" i="8"/>
  <c r="O1274" i="8"/>
  <c r="N1274" i="8"/>
  <c r="O1273" i="8"/>
  <c r="N1273" i="8"/>
  <c r="O1272" i="8"/>
  <c r="N1272" i="8"/>
  <c r="O1271" i="8"/>
  <c r="N1271" i="8"/>
  <c r="O1270" i="8"/>
  <c r="N1270" i="8"/>
  <c r="O1269" i="8"/>
  <c r="N1269" i="8"/>
  <c r="O1268" i="8"/>
  <c r="N1268" i="8"/>
  <c r="O1267" i="8"/>
  <c r="N1267" i="8"/>
  <c r="O1266" i="8"/>
  <c r="N1266" i="8"/>
  <c r="O1265" i="8"/>
  <c r="N1265" i="8"/>
  <c r="O1264" i="8"/>
  <c r="N1264" i="8"/>
  <c r="O1263" i="8"/>
  <c r="N1263" i="8"/>
  <c r="O1262" i="8"/>
  <c r="N1262" i="8"/>
  <c r="O1261" i="8"/>
  <c r="N1261" i="8"/>
  <c r="O1260" i="8"/>
  <c r="N1260" i="8"/>
  <c r="O1259" i="8"/>
  <c r="N1259" i="8"/>
  <c r="O1258" i="8"/>
  <c r="N1258" i="8"/>
  <c r="O1257" i="8"/>
  <c r="N1257" i="8"/>
  <c r="O1256" i="8"/>
  <c r="N1256" i="8"/>
  <c r="O1255" i="8"/>
  <c r="N1255" i="8"/>
  <c r="O1254" i="8"/>
  <c r="N1254" i="8"/>
  <c r="O1253" i="8"/>
  <c r="N1253" i="8"/>
  <c r="O1252" i="8"/>
  <c r="N1252" i="8"/>
  <c r="O1251" i="8"/>
  <c r="N1251" i="8"/>
  <c r="O1250" i="8"/>
  <c r="N1250" i="8"/>
  <c r="O1249" i="8"/>
  <c r="N1249" i="8"/>
  <c r="O1248" i="8"/>
  <c r="N1248" i="8"/>
  <c r="O1247" i="8"/>
  <c r="N1247" i="8"/>
  <c r="O1246" i="8"/>
  <c r="N1246" i="8"/>
  <c r="O1245" i="8"/>
  <c r="N1245" i="8"/>
  <c r="O1244" i="8"/>
  <c r="N1244" i="8"/>
  <c r="O1243" i="8"/>
  <c r="N1243" i="8"/>
  <c r="O1242" i="8"/>
  <c r="N1242" i="8"/>
  <c r="O1241" i="8"/>
  <c r="N1241" i="8"/>
  <c r="O1240" i="8"/>
  <c r="N1240" i="8"/>
  <c r="O1239" i="8"/>
  <c r="N1239" i="8"/>
  <c r="O1238" i="8"/>
  <c r="N1238" i="8"/>
  <c r="O1237" i="8"/>
  <c r="N1237" i="8"/>
  <c r="O1236" i="8"/>
  <c r="N1236" i="8"/>
  <c r="O1235" i="8"/>
  <c r="N1235" i="8"/>
  <c r="O1234" i="8"/>
  <c r="N1234" i="8"/>
  <c r="O1233" i="8"/>
  <c r="N1233" i="8"/>
  <c r="O1232" i="8"/>
  <c r="N1232" i="8"/>
  <c r="O1231" i="8"/>
  <c r="N1231" i="8"/>
  <c r="O1230" i="8"/>
  <c r="N1230" i="8"/>
  <c r="O1229" i="8"/>
  <c r="N1229" i="8"/>
  <c r="O1228" i="8"/>
  <c r="N1228" i="8"/>
  <c r="O1227" i="8"/>
  <c r="N1227" i="8"/>
  <c r="O1226" i="8"/>
  <c r="N1226" i="8"/>
  <c r="O1225" i="8"/>
  <c r="N1225" i="8"/>
  <c r="O1224" i="8"/>
  <c r="N1224" i="8"/>
  <c r="O1223" i="8"/>
  <c r="N1223" i="8"/>
  <c r="O1222" i="8"/>
  <c r="N1222" i="8"/>
  <c r="O1221" i="8"/>
  <c r="N1221" i="8"/>
  <c r="O1220" i="8"/>
  <c r="N1220" i="8"/>
  <c r="O1219" i="8"/>
  <c r="N1219" i="8"/>
  <c r="O1218" i="8"/>
  <c r="N1218" i="8"/>
  <c r="O1217" i="8"/>
  <c r="N1217" i="8"/>
  <c r="O1216" i="8"/>
  <c r="N1216" i="8"/>
  <c r="O1215" i="8"/>
  <c r="N1215" i="8"/>
  <c r="O1214" i="8"/>
  <c r="N1214" i="8"/>
  <c r="O1213" i="8"/>
  <c r="N1213" i="8"/>
  <c r="O1212" i="8"/>
  <c r="N1212" i="8"/>
  <c r="O1211" i="8"/>
  <c r="N1211" i="8"/>
  <c r="O1210" i="8"/>
  <c r="N1210" i="8"/>
  <c r="O1209" i="8"/>
  <c r="N1209" i="8"/>
  <c r="O1208" i="8"/>
  <c r="N1208" i="8"/>
  <c r="O1207" i="8"/>
  <c r="N1207" i="8"/>
  <c r="O1206" i="8"/>
  <c r="N1206" i="8"/>
  <c r="O1205" i="8"/>
  <c r="N1205" i="8"/>
  <c r="O1204" i="8"/>
  <c r="N1204" i="8"/>
  <c r="O1203" i="8"/>
  <c r="N1203" i="8"/>
  <c r="O1202" i="8"/>
  <c r="N1202" i="8"/>
  <c r="O1201" i="8"/>
  <c r="N1201" i="8"/>
  <c r="O1200" i="8"/>
  <c r="N1200" i="8"/>
  <c r="O1199" i="8"/>
  <c r="N1199" i="8"/>
  <c r="O1198" i="8"/>
  <c r="N1198" i="8"/>
  <c r="O1197" i="8"/>
  <c r="N1197" i="8"/>
  <c r="O1196" i="8"/>
  <c r="N1196" i="8"/>
  <c r="O1195" i="8"/>
  <c r="N1195" i="8"/>
  <c r="O1194" i="8"/>
  <c r="N1194" i="8"/>
  <c r="O1193" i="8"/>
  <c r="N1193" i="8"/>
  <c r="O1192" i="8"/>
  <c r="N1192" i="8"/>
  <c r="O1191" i="8"/>
  <c r="N1191" i="8"/>
  <c r="O1190" i="8"/>
  <c r="N1190" i="8"/>
  <c r="O1189" i="8"/>
  <c r="N1189" i="8"/>
  <c r="O1188" i="8"/>
  <c r="N1188" i="8"/>
  <c r="O1187" i="8"/>
  <c r="N1187" i="8"/>
  <c r="O1186" i="8"/>
  <c r="N1186" i="8"/>
  <c r="O1185" i="8"/>
  <c r="N1185" i="8"/>
  <c r="O1184" i="8"/>
  <c r="N1184" i="8"/>
  <c r="O1183" i="8"/>
  <c r="N1183" i="8"/>
  <c r="O1182" i="8"/>
  <c r="N1182" i="8"/>
  <c r="O1181" i="8"/>
  <c r="N1181" i="8"/>
  <c r="O1180" i="8"/>
  <c r="N1180" i="8"/>
  <c r="O1179" i="8"/>
  <c r="N1179" i="8"/>
  <c r="O1178" i="8"/>
  <c r="N1178" i="8"/>
  <c r="O1177" i="8"/>
  <c r="N1177" i="8"/>
  <c r="O1176" i="8"/>
  <c r="N1176" i="8"/>
  <c r="O1175" i="8"/>
  <c r="N1175" i="8"/>
  <c r="O1174" i="8"/>
  <c r="N1174" i="8"/>
  <c r="O1173" i="8"/>
  <c r="N1173" i="8"/>
  <c r="O1172" i="8"/>
  <c r="N1172" i="8"/>
  <c r="O1171" i="8"/>
  <c r="N1171" i="8"/>
  <c r="O1170" i="8"/>
  <c r="N1170" i="8"/>
  <c r="O1169" i="8"/>
  <c r="N1169" i="8"/>
  <c r="O1168" i="8"/>
  <c r="N1168" i="8"/>
  <c r="O1167" i="8"/>
  <c r="N1167" i="8"/>
  <c r="O1166" i="8"/>
  <c r="N1166" i="8"/>
  <c r="O1165" i="8"/>
  <c r="N1165" i="8"/>
  <c r="O1164" i="8"/>
  <c r="N1164" i="8"/>
  <c r="O1163" i="8"/>
  <c r="N1163" i="8"/>
  <c r="O1162" i="8"/>
  <c r="N1162" i="8"/>
  <c r="O1161" i="8"/>
  <c r="N1161" i="8"/>
  <c r="O1160" i="8"/>
  <c r="N1160" i="8"/>
  <c r="O1159" i="8"/>
  <c r="N1159" i="8"/>
  <c r="O1158" i="8"/>
  <c r="N1158" i="8"/>
  <c r="O1157" i="8"/>
  <c r="N1157" i="8"/>
  <c r="O1156" i="8"/>
  <c r="N1156" i="8"/>
  <c r="O1155" i="8"/>
  <c r="N1155" i="8"/>
  <c r="O1154" i="8"/>
  <c r="N1154" i="8"/>
  <c r="O1153" i="8"/>
  <c r="N1153" i="8"/>
  <c r="O1152" i="8"/>
  <c r="N1152" i="8"/>
  <c r="O1151" i="8"/>
  <c r="N1151" i="8"/>
  <c r="O1150" i="8"/>
  <c r="N1150" i="8"/>
  <c r="O1149" i="8"/>
  <c r="N1149" i="8"/>
  <c r="O1148" i="8"/>
  <c r="N1148" i="8"/>
  <c r="O1147" i="8"/>
  <c r="N1147" i="8"/>
  <c r="O1146" i="8"/>
  <c r="N1146" i="8"/>
  <c r="O1145" i="8"/>
  <c r="N1145" i="8"/>
  <c r="O1144" i="8"/>
  <c r="N1144" i="8"/>
  <c r="O1143" i="8"/>
  <c r="N1143" i="8"/>
  <c r="O1142" i="8"/>
  <c r="N1142" i="8"/>
  <c r="O1141" i="8"/>
  <c r="N1141" i="8"/>
  <c r="O1140" i="8"/>
  <c r="N1140" i="8"/>
  <c r="O1139" i="8"/>
  <c r="N1139" i="8"/>
  <c r="O1138" i="8"/>
  <c r="N1138" i="8"/>
  <c r="O1137" i="8"/>
  <c r="N1137" i="8"/>
  <c r="O1136" i="8"/>
  <c r="N1136" i="8"/>
  <c r="O1135" i="8"/>
  <c r="N1135" i="8"/>
  <c r="O1134" i="8"/>
  <c r="N1134" i="8"/>
  <c r="O1133" i="8"/>
  <c r="N1133" i="8"/>
  <c r="O1132" i="8"/>
  <c r="N1132" i="8"/>
  <c r="O1131" i="8"/>
  <c r="N1131" i="8"/>
  <c r="O1130" i="8"/>
  <c r="N1130" i="8"/>
  <c r="O1129" i="8"/>
  <c r="N1129" i="8"/>
  <c r="O1128" i="8"/>
  <c r="N1128" i="8"/>
  <c r="O1127" i="8"/>
  <c r="N1127" i="8"/>
  <c r="O1126" i="8"/>
  <c r="N1126" i="8"/>
  <c r="O1125" i="8"/>
  <c r="N1125" i="8"/>
  <c r="O1124" i="8"/>
  <c r="N1124" i="8"/>
  <c r="O1123" i="8"/>
  <c r="N1123" i="8"/>
  <c r="O1122" i="8"/>
  <c r="N1122" i="8"/>
  <c r="O1121" i="8"/>
  <c r="N1121" i="8"/>
  <c r="O1120" i="8"/>
  <c r="N1120" i="8"/>
  <c r="O1119" i="8"/>
  <c r="N1119" i="8"/>
  <c r="O1118" i="8"/>
  <c r="N1118" i="8"/>
  <c r="O1117" i="8"/>
  <c r="N1117" i="8"/>
  <c r="O1116" i="8"/>
  <c r="N1116" i="8"/>
  <c r="O1115" i="8"/>
  <c r="N1115" i="8"/>
  <c r="O1114" i="8"/>
  <c r="N1114" i="8"/>
  <c r="O1113" i="8"/>
  <c r="N1113" i="8"/>
  <c r="O1112" i="8"/>
  <c r="N1112" i="8"/>
  <c r="O1111" i="8"/>
  <c r="N1111" i="8"/>
  <c r="O1110" i="8"/>
  <c r="N1110" i="8"/>
  <c r="O1109" i="8"/>
  <c r="N1109" i="8"/>
  <c r="O1108" i="8"/>
  <c r="N1108" i="8"/>
  <c r="O1107" i="8"/>
  <c r="N1107" i="8"/>
  <c r="O1106" i="8"/>
  <c r="N1106" i="8"/>
  <c r="O1105" i="8"/>
  <c r="N1105" i="8"/>
  <c r="O1104" i="8"/>
  <c r="N1104" i="8"/>
  <c r="O1103" i="8"/>
  <c r="N1103" i="8"/>
  <c r="O1102" i="8"/>
  <c r="N1102" i="8"/>
  <c r="O1101" i="8"/>
  <c r="N1101" i="8"/>
  <c r="O1100" i="8"/>
  <c r="N1100" i="8"/>
  <c r="O1099" i="8"/>
  <c r="N1099" i="8"/>
  <c r="O1098" i="8"/>
  <c r="N1098" i="8"/>
  <c r="O1097" i="8"/>
  <c r="N1097" i="8"/>
  <c r="O1096" i="8"/>
  <c r="N1096" i="8"/>
  <c r="O1095" i="8"/>
  <c r="N1095" i="8"/>
  <c r="O1094" i="8"/>
  <c r="N1094" i="8"/>
  <c r="O1093" i="8"/>
  <c r="N1093" i="8"/>
  <c r="O1092" i="8"/>
  <c r="N1092" i="8"/>
  <c r="O1091" i="8"/>
  <c r="N1091" i="8"/>
  <c r="O1090" i="8"/>
  <c r="N1090" i="8"/>
  <c r="O1089" i="8"/>
  <c r="N1089" i="8"/>
  <c r="O1088" i="8"/>
  <c r="N1088" i="8"/>
  <c r="O1087" i="8"/>
  <c r="N1087" i="8"/>
  <c r="O1086" i="8"/>
  <c r="N1086" i="8"/>
  <c r="O1085" i="8"/>
  <c r="N1085" i="8"/>
  <c r="O1084" i="8"/>
  <c r="N1084" i="8"/>
  <c r="O1083" i="8"/>
  <c r="N1083" i="8"/>
  <c r="O1082" i="8"/>
  <c r="N1082" i="8"/>
  <c r="O1081" i="8"/>
  <c r="N1081" i="8"/>
  <c r="O1080" i="8"/>
  <c r="N1080" i="8"/>
  <c r="O1079" i="8"/>
  <c r="N1079" i="8"/>
  <c r="O1078" i="8"/>
  <c r="N1078" i="8"/>
  <c r="O1077" i="8"/>
  <c r="N1077" i="8"/>
  <c r="O1076" i="8"/>
  <c r="N1076" i="8"/>
  <c r="O1075" i="8"/>
  <c r="N1075" i="8"/>
  <c r="O1074" i="8"/>
  <c r="N1074" i="8"/>
  <c r="O1073" i="8"/>
  <c r="N1073" i="8"/>
  <c r="O1072" i="8"/>
  <c r="N1072" i="8"/>
  <c r="O1071" i="8"/>
  <c r="N1071" i="8"/>
  <c r="O1070" i="8"/>
  <c r="N1070" i="8"/>
  <c r="O1069" i="8"/>
  <c r="N1069" i="8"/>
  <c r="O1068" i="8"/>
  <c r="N1068" i="8"/>
  <c r="O1067" i="8"/>
  <c r="N1067" i="8"/>
  <c r="O1066" i="8"/>
  <c r="N1066" i="8"/>
  <c r="O1065" i="8"/>
  <c r="N1065" i="8"/>
  <c r="O1064" i="8"/>
  <c r="N1064" i="8"/>
  <c r="O1063" i="8"/>
  <c r="N1063" i="8"/>
  <c r="O1062" i="8"/>
  <c r="N1062" i="8"/>
  <c r="O1061" i="8"/>
  <c r="N1061" i="8"/>
  <c r="O1060" i="8"/>
  <c r="N1060" i="8"/>
  <c r="O1059" i="8"/>
  <c r="N1059" i="8"/>
  <c r="O1058" i="8"/>
  <c r="N1058" i="8"/>
  <c r="O1057" i="8"/>
  <c r="N1057" i="8"/>
  <c r="O1056" i="8"/>
  <c r="N1056" i="8"/>
  <c r="O1055" i="8"/>
  <c r="N1055" i="8"/>
  <c r="O1054" i="8"/>
  <c r="N1054" i="8"/>
  <c r="O1053" i="8"/>
  <c r="N1053" i="8"/>
  <c r="O1052" i="8"/>
  <c r="N1052" i="8"/>
  <c r="O1051" i="8"/>
  <c r="N1051" i="8"/>
  <c r="O1050" i="8"/>
  <c r="N1050" i="8"/>
  <c r="O1049" i="8"/>
  <c r="N1049" i="8"/>
  <c r="O1048" i="8"/>
  <c r="N1048" i="8"/>
  <c r="O1047" i="8"/>
  <c r="N1047" i="8"/>
  <c r="O1046" i="8"/>
  <c r="N1046" i="8"/>
  <c r="O1045" i="8"/>
  <c r="N1045" i="8"/>
  <c r="O1044" i="8"/>
  <c r="N1044" i="8"/>
  <c r="O1043" i="8"/>
  <c r="N1043" i="8"/>
  <c r="O1042" i="8"/>
  <c r="N1042" i="8"/>
  <c r="O1041" i="8"/>
  <c r="N1041" i="8"/>
  <c r="O1040" i="8"/>
  <c r="N1040" i="8"/>
  <c r="O1039" i="8"/>
  <c r="N1039" i="8"/>
  <c r="O1038" i="8"/>
  <c r="N1038" i="8"/>
  <c r="O1037" i="8"/>
  <c r="N1037" i="8"/>
  <c r="O1036" i="8"/>
  <c r="N1036" i="8"/>
  <c r="O1035" i="8"/>
  <c r="N1035" i="8"/>
  <c r="O1034" i="8"/>
  <c r="N1034" i="8"/>
  <c r="O1033" i="8"/>
  <c r="N1033" i="8"/>
  <c r="O1032" i="8"/>
  <c r="N1032" i="8"/>
  <c r="O1031" i="8"/>
  <c r="N1031" i="8"/>
  <c r="O1030" i="8"/>
  <c r="N1030" i="8"/>
  <c r="O1029" i="8"/>
  <c r="N1029" i="8"/>
  <c r="O1028" i="8"/>
  <c r="N1028" i="8"/>
  <c r="O1027" i="8"/>
  <c r="N1027" i="8"/>
  <c r="O1026" i="8"/>
  <c r="N1026" i="8"/>
  <c r="O1025" i="8"/>
  <c r="N1025" i="8"/>
  <c r="O1024" i="8"/>
  <c r="N1024" i="8"/>
  <c r="O1023" i="8"/>
  <c r="N1023" i="8"/>
  <c r="O1022" i="8"/>
  <c r="N1022" i="8"/>
  <c r="O1021" i="8"/>
  <c r="N1021" i="8"/>
  <c r="O1020" i="8"/>
  <c r="N1020" i="8"/>
  <c r="O1019" i="8"/>
  <c r="N1019" i="8"/>
  <c r="O1018" i="8"/>
  <c r="N1018" i="8"/>
  <c r="O1017" i="8"/>
  <c r="N1017" i="8"/>
  <c r="O1016" i="8"/>
  <c r="N1016" i="8"/>
  <c r="O1015" i="8"/>
  <c r="N1015" i="8"/>
  <c r="O1014" i="8"/>
  <c r="N1014" i="8"/>
  <c r="O1013" i="8"/>
  <c r="N1013" i="8"/>
  <c r="O1012" i="8"/>
  <c r="N1012" i="8"/>
  <c r="O1011" i="8"/>
  <c r="N1011" i="8"/>
  <c r="O1010" i="8"/>
  <c r="N1010" i="8"/>
  <c r="O1009" i="8"/>
  <c r="N1009" i="8"/>
  <c r="O1008" i="8"/>
  <c r="N1008" i="8"/>
  <c r="O1007" i="8"/>
  <c r="N1007" i="8"/>
  <c r="O1006" i="8"/>
  <c r="N1006" i="8"/>
  <c r="O1005" i="8"/>
  <c r="N1005" i="8"/>
  <c r="O1004" i="8"/>
  <c r="N1004" i="8"/>
  <c r="O1003" i="8"/>
  <c r="N1003" i="8"/>
  <c r="O1002" i="8"/>
  <c r="N1002" i="8"/>
  <c r="O1001" i="8"/>
  <c r="N1001" i="8"/>
  <c r="O1000" i="8"/>
  <c r="N1000" i="8"/>
  <c r="O999" i="8"/>
  <c r="N999" i="8"/>
  <c r="O998" i="8"/>
  <c r="N998" i="8"/>
  <c r="O997" i="8"/>
  <c r="N997" i="8"/>
  <c r="O996" i="8"/>
  <c r="N996" i="8"/>
  <c r="O995" i="8"/>
  <c r="N995" i="8"/>
  <c r="O994" i="8"/>
  <c r="N994" i="8"/>
  <c r="O993" i="8"/>
  <c r="N993" i="8"/>
  <c r="O992" i="8"/>
  <c r="N992" i="8"/>
  <c r="O991" i="8"/>
  <c r="N991" i="8"/>
  <c r="O990" i="8"/>
  <c r="N990" i="8"/>
  <c r="O989" i="8"/>
  <c r="N989" i="8"/>
  <c r="O988" i="8"/>
  <c r="N988" i="8"/>
  <c r="O987" i="8"/>
  <c r="N987" i="8"/>
  <c r="O986" i="8"/>
  <c r="N986" i="8"/>
  <c r="O985" i="8"/>
  <c r="N985" i="8"/>
  <c r="O984" i="8"/>
  <c r="N984" i="8"/>
  <c r="O983" i="8"/>
  <c r="N983" i="8"/>
  <c r="O982" i="8"/>
  <c r="N982" i="8"/>
  <c r="O981" i="8"/>
  <c r="N981" i="8"/>
  <c r="O980" i="8"/>
  <c r="N980" i="8"/>
  <c r="O979" i="8"/>
  <c r="N979" i="8"/>
  <c r="O978" i="8"/>
  <c r="N978" i="8"/>
  <c r="O977" i="8"/>
  <c r="N977" i="8"/>
  <c r="O976" i="8"/>
  <c r="N976" i="8"/>
  <c r="O975" i="8"/>
  <c r="N975" i="8"/>
  <c r="O974" i="8"/>
  <c r="N974" i="8"/>
  <c r="O973" i="8"/>
  <c r="N973" i="8"/>
  <c r="O972" i="8"/>
  <c r="N972" i="8"/>
  <c r="O971" i="8"/>
  <c r="N971" i="8"/>
  <c r="O970" i="8"/>
  <c r="N970" i="8"/>
  <c r="O969" i="8"/>
  <c r="N969" i="8"/>
  <c r="O968" i="8"/>
  <c r="N968" i="8"/>
  <c r="O967" i="8"/>
  <c r="N967" i="8"/>
  <c r="O966" i="8"/>
  <c r="N966" i="8"/>
  <c r="O965" i="8"/>
  <c r="N965" i="8"/>
  <c r="O964" i="8"/>
  <c r="N964" i="8"/>
  <c r="O963" i="8"/>
  <c r="N963" i="8"/>
  <c r="O962" i="8"/>
  <c r="N962" i="8"/>
  <c r="O961" i="8"/>
  <c r="N961" i="8"/>
  <c r="O960" i="8"/>
  <c r="N960" i="8"/>
  <c r="O959" i="8"/>
  <c r="N959" i="8"/>
  <c r="O958" i="8"/>
  <c r="N958" i="8"/>
  <c r="O957" i="8"/>
  <c r="N957" i="8"/>
  <c r="O956" i="8"/>
  <c r="N956" i="8"/>
  <c r="O955" i="8"/>
  <c r="N955" i="8"/>
  <c r="O954" i="8"/>
  <c r="N954" i="8"/>
  <c r="O953" i="8"/>
  <c r="N953" i="8"/>
  <c r="O952" i="8"/>
  <c r="N952" i="8"/>
  <c r="O951" i="8"/>
  <c r="N951" i="8"/>
  <c r="O950" i="8"/>
  <c r="N950" i="8"/>
  <c r="O949" i="8"/>
  <c r="N949" i="8"/>
  <c r="O948" i="8"/>
  <c r="N948" i="8"/>
  <c r="O947" i="8"/>
  <c r="N947" i="8"/>
  <c r="O946" i="8"/>
  <c r="N946" i="8"/>
  <c r="O945" i="8"/>
  <c r="N945" i="8"/>
  <c r="O944" i="8"/>
  <c r="N944" i="8"/>
  <c r="O943" i="8"/>
  <c r="N943" i="8"/>
  <c r="O942" i="8"/>
  <c r="N942" i="8"/>
  <c r="O941" i="8"/>
  <c r="N941" i="8"/>
  <c r="O940" i="8"/>
  <c r="N940" i="8"/>
  <c r="O939" i="8"/>
  <c r="N939" i="8"/>
  <c r="O938" i="8"/>
  <c r="N938" i="8"/>
  <c r="O937" i="8"/>
  <c r="N937" i="8"/>
  <c r="O936" i="8"/>
  <c r="N936" i="8"/>
  <c r="O935" i="8"/>
  <c r="N935" i="8"/>
  <c r="O934" i="8"/>
  <c r="N934" i="8"/>
  <c r="O933" i="8"/>
  <c r="N933" i="8"/>
  <c r="O932" i="8"/>
  <c r="N932" i="8"/>
  <c r="O931" i="8"/>
  <c r="N931" i="8"/>
  <c r="O930" i="8"/>
  <c r="N930" i="8"/>
  <c r="O929" i="8"/>
  <c r="N929" i="8"/>
  <c r="O928" i="8"/>
  <c r="N928" i="8"/>
  <c r="O927" i="8"/>
  <c r="N927" i="8"/>
  <c r="O926" i="8"/>
  <c r="N926" i="8"/>
  <c r="O925" i="8"/>
  <c r="N925" i="8"/>
  <c r="O924" i="8"/>
  <c r="N924" i="8"/>
  <c r="O923" i="8"/>
  <c r="N923" i="8"/>
  <c r="O922" i="8"/>
  <c r="N922" i="8"/>
  <c r="O921" i="8"/>
  <c r="N921" i="8"/>
  <c r="O920" i="8"/>
  <c r="N920" i="8"/>
  <c r="O919" i="8"/>
  <c r="N919" i="8"/>
  <c r="O918" i="8"/>
  <c r="N918" i="8"/>
  <c r="O917" i="8"/>
  <c r="N917" i="8"/>
  <c r="O916" i="8"/>
  <c r="N916" i="8"/>
  <c r="O915" i="8"/>
  <c r="N915" i="8"/>
  <c r="O914" i="8"/>
  <c r="N914" i="8"/>
  <c r="O913" i="8"/>
  <c r="N913" i="8"/>
  <c r="O912" i="8"/>
  <c r="N912" i="8"/>
  <c r="O911" i="8"/>
  <c r="N911" i="8"/>
  <c r="O910" i="8"/>
  <c r="N910" i="8"/>
  <c r="O909" i="8"/>
  <c r="N909" i="8"/>
  <c r="O908" i="8"/>
  <c r="N908" i="8"/>
  <c r="O907" i="8"/>
  <c r="N907" i="8"/>
  <c r="O906" i="8"/>
  <c r="N906" i="8"/>
  <c r="O905" i="8"/>
  <c r="N905" i="8"/>
  <c r="O904" i="8"/>
  <c r="N904" i="8"/>
  <c r="O903" i="8"/>
  <c r="N903" i="8"/>
  <c r="O902" i="8"/>
  <c r="N902" i="8"/>
  <c r="O901" i="8"/>
  <c r="N901" i="8"/>
  <c r="O900" i="8"/>
  <c r="N900" i="8"/>
  <c r="O899" i="8"/>
  <c r="N899" i="8"/>
  <c r="O898" i="8"/>
  <c r="N898" i="8"/>
  <c r="O897" i="8"/>
  <c r="N897" i="8"/>
  <c r="O896" i="8"/>
  <c r="N896" i="8"/>
  <c r="O895" i="8"/>
  <c r="N895" i="8"/>
  <c r="O894" i="8"/>
  <c r="N894" i="8"/>
  <c r="O893" i="8"/>
  <c r="N893" i="8"/>
  <c r="O892" i="8"/>
  <c r="N892" i="8"/>
  <c r="O891" i="8"/>
  <c r="N891" i="8"/>
  <c r="O890" i="8"/>
  <c r="N890" i="8"/>
  <c r="O889" i="8"/>
  <c r="N889" i="8"/>
  <c r="O888" i="8"/>
  <c r="N888" i="8"/>
  <c r="O887" i="8"/>
  <c r="N887" i="8"/>
  <c r="O886" i="8"/>
  <c r="N886" i="8"/>
  <c r="O885" i="8"/>
  <c r="N885" i="8"/>
  <c r="O884" i="8"/>
  <c r="N884" i="8"/>
  <c r="O883" i="8"/>
  <c r="N883" i="8"/>
  <c r="O882" i="8"/>
  <c r="N882" i="8"/>
  <c r="O881" i="8"/>
  <c r="N881" i="8"/>
  <c r="O880" i="8"/>
  <c r="N880" i="8"/>
  <c r="O879" i="8"/>
  <c r="N879" i="8"/>
  <c r="O878" i="8"/>
  <c r="N878" i="8"/>
  <c r="O877" i="8"/>
  <c r="N877" i="8"/>
  <c r="O876" i="8"/>
  <c r="N876" i="8"/>
  <c r="O875" i="8"/>
  <c r="N875" i="8"/>
  <c r="O874" i="8"/>
  <c r="N874" i="8"/>
  <c r="O873" i="8"/>
  <c r="N873" i="8"/>
  <c r="O872" i="8"/>
  <c r="N872" i="8"/>
  <c r="O871" i="8"/>
  <c r="N871" i="8"/>
  <c r="O870" i="8"/>
  <c r="N870" i="8"/>
  <c r="O869" i="8"/>
  <c r="N869" i="8"/>
  <c r="O868" i="8"/>
  <c r="N868" i="8"/>
  <c r="O867" i="8"/>
  <c r="N867" i="8"/>
  <c r="O866" i="8"/>
  <c r="N866" i="8"/>
  <c r="O865" i="8"/>
  <c r="N865" i="8"/>
  <c r="O864" i="8"/>
  <c r="N864" i="8"/>
  <c r="O863" i="8"/>
  <c r="N863" i="8"/>
  <c r="O862" i="8"/>
  <c r="N862" i="8"/>
  <c r="O861" i="8"/>
  <c r="N861" i="8"/>
  <c r="O860" i="8"/>
  <c r="N860" i="8"/>
  <c r="O859" i="8"/>
  <c r="N859" i="8"/>
  <c r="O858" i="8"/>
  <c r="N858" i="8"/>
  <c r="O857" i="8"/>
  <c r="N857" i="8"/>
  <c r="O856" i="8"/>
  <c r="N856" i="8"/>
  <c r="O855" i="8"/>
  <c r="N855" i="8"/>
  <c r="O854" i="8"/>
  <c r="N854" i="8"/>
  <c r="O853" i="8"/>
  <c r="N853" i="8"/>
  <c r="O852" i="8"/>
  <c r="N852" i="8"/>
  <c r="O851" i="8"/>
  <c r="N851" i="8"/>
  <c r="O850" i="8"/>
  <c r="N850" i="8"/>
  <c r="O849" i="8"/>
  <c r="N849" i="8"/>
  <c r="O848" i="8"/>
  <c r="N848" i="8"/>
  <c r="O847" i="8"/>
  <c r="N847" i="8"/>
  <c r="O846" i="8"/>
  <c r="N846" i="8"/>
  <c r="O845" i="8"/>
  <c r="N845" i="8"/>
  <c r="O844" i="8"/>
  <c r="N844" i="8"/>
  <c r="O843" i="8"/>
  <c r="N843" i="8"/>
  <c r="O842" i="8"/>
  <c r="N842" i="8"/>
  <c r="O841" i="8"/>
  <c r="N841" i="8"/>
  <c r="O840" i="8"/>
  <c r="N840" i="8"/>
  <c r="O839" i="8"/>
  <c r="N839" i="8"/>
  <c r="O838" i="8"/>
  <c r="N838" i="8"/>
  <c r="O837" i="8"/>
  <c r="N837" i="8"/>
  <c r="O836" i="8"/>
  <c r="N836" i="8"/>
  <c r="O835" i="8"/>
  <c r="N835" i="8"/>
  <c r="O834" i="8"/>
  <c r="N834" i="8"/>
  <c r="O833" i="8"/>
  <c r="N833" i="8"/>
  <c r="O832" i="8"/>
  <c r="N832" i="8"/>
  <c r="O831" i="8"/>
  <c r="N831" i="8"/>
  <c r="O830" i="8"/>
  <c r="N830" i="8"/>
  <c r="O829" i="8"/>
  <c r="N829" i="8"/>
  <c r="O828" i="8"/>
  <c r="N828" i="8"/>
  <c r="O827" i="8"/>
  <c r="N827" i="8"/>
  <c r="O826" i="8"/>
  <c r="N826" i="8"/>
  <c r="O825" i="8"/>
  <c r="N825" i="8"/>
  <c r="O824" i="8"/>
  <c r="N824" i="8"/>
  <c r="O823" i="8"/>
  <c r="N823" i="8"/>
  <c r="O822" i="8"/>
  <c r="N822" i="8"/>
  <c r="O821" i="8"/>
  <c r="N821" i="8"/>
  <c r="O820" i="8"/>
  <c r="N820" i="8"/>
  <c r="O819" i="8"/>
  <c r="N819" i="8"/>
  <c r="O818" i="8"/>
  <c r="N818" i="8"/>
  <c r="O817" i="8"/>
  <c r="N817" i="8"/>
  <c r="O816" i="8"/>
  <c r="N816" i="8"/>
  <c r="O815" i="8"/>
  <c r="N815" i="8"/>
  <c r="O814" i="8"/>
  <c r="N814" i="8"/>
  <c r="O813" i="8"/>
  <c r="N813" i="8"/>
  <c r="O812" i="8"/>
  <c r="N812" i="8"/>
  <c r="O811" i="8"/>
  <c r="N811" i="8"/>
  <c r="O810" i="8"/>
  <c r="N810" i="8"/>
  <c r="O809" i="8"/>
  <c r="N809" i="8"/>
  <c r="O808" i="8"/>
  <c r="N808" i="8"/>
  <c r="O807" i="8"/>
  <c r="N807" i="8"/>
  <c r="O806" i="8"/>
  <c r="N806" i="8"/>
  <c r="O805" i="8"/>
  <c r="N805" i="8"/>
  <c r="O804" i="8"/>
  <c r="N804" i="8"/>
  <c r="O803" i="8"/>
  <c r="N803" i="8"/>
  <c r="O802" i="8"/>
  <c r="N802" i="8"/>
  <c r="O801" i="8"/>
  <c r="N801" i="8"/>
  <c r="O800" i="8"/>
  <c r="N800" i="8"/>
  <c r="O799" i="8"/>
  <c r="N799" i="8"/>
  <c r="O798" i="8"/>
  <c r="N798" i="8"/>
  <c r="O797" i="8"/>
  <c r="N797" i="8"/>
  <c r="O796" i="8"/>
  <c r="N796" i="8"/>
  <c r="O795" i="8"/>
  <c r="N795" i="8"/>
  <c r="O794" i="8"/>
  <c r="N794" i="8"/>
  <c r="O793" i="8"/>
  <c r="N793" i="8"/>
  <c r="O792" i="8"/>
  <c r="N792" i="8"/>
  <c r="O791" i="8"/>
  <c r="N791" i="8"/>
  <c r="O790" i="8"/>
  <c r="N790" i="8"/>
  <c r="O789" i="8"/>
  <c r="N789" i="8"/>
  <c r="O788" i="8"/>
  <c r="N788" i="8"/>
  <c r="O787" i="8"/>
  <c r="N787" i="8"/>
  <c r="O786" i="8"/>
  <c r="N786" i="8"/>
  <c r="O785" i="8"/>
  <c r="N785" i="8"/>
  <c r="O784" i="8"/>
  <c r="N784" i="8"/>
  <c r="O783" i="8"/>
  <c r="N783" i="8"/>
  <c r="O782" i="8"/>
  <c r="N782" i="8"/>
  <c r="O781" i="8"/>
  <c r="N781" i="8"/>
  <c r="O780" i="8"/>
  <c r="N780" i="8"/>
  <c r="O779" i="8"/>
  <c r="N779" i="8"/>
  <c r="O778" i="8"/>
  <c r="N778" i="8"/>
  <c r="O777" i="8"/>
  <c r="N777" i="8"/>
  <c r="O776" i="8"/>
  <c r="N776" i="8"/>
  <c r="O775" i="8"/>
  <c r="N775" i="8"/>
  <c r="O774" i="8"/>
  <c r="N774" i="8"/>
  <c r="O773" i="8"/>
  <c r="N773" i="8"/>
  <c r="O772" i="8"/>
  <c r="N772" i="8"/>
  <c r="O771" i="8"/>
  <c r="N771" i="8"/>
  <c r="O770" i="8"/>
  <c r="N770" i="8"/>
  <c r="O769" i="8"/>
  <c r="N769" i="8"/>
  <c r="O768" i="8"/>
  <c r="N768" i="8"/>
  <c r="O767" i="8"/>
  <c r="N767" i="8"/>
  <c r="O766" i="8"/>
  <c r="N766" i="8"/>
  <c r="O765" i="8"/>
  <c r="N765" i="8"/>
  <c r="O764" i="8"/>
  <c r="N764" i="8"/>
  <c r="O763" i="8"/>
  <c r="N763" i="8"/>
  <c r="O762" i="8"/>
  <c r="N762" i="8"/>
  <c r="O761" i="8"/>
  <c r="N761" i="8"/>
  <c r="O760" i="8"/>
  <c r="N760" i="8"/>
  <c r="O759" i="8"/>
  <c r="N759" i="8"/>
  <c r="O758" i="8"/>
  <c r="N758" i="8"/>
  <c r="O757" i="8"/>
  <c r="N757" i="8"/>
  <c r="O756" i="8"/>
  <c r="N756" i="8"/>
  <c r="O755" i="8"/>
  <c r="N755" i="8"/>
  <c r="O754" i="8"/>
  <c r="N754" i="8"/>
  <c r="O753" i="8"/>
  <c r="N753" i="8"/>
  <c r="O752" i="8"/>
  <c r="N752" i="8"/>
  <c r="O751" i="8"/>
  <c r="N751" i="8"/>
  <c r="O750" i="8"/>
  <c r="N750" i="8"/>
  <c r="O749" i="8"/>
  <c r="N749" i="8"/>
  <c r="O748" i="8"/>
  <c r="N748" i="8"/>
  <c r="O747" i="8"/>
  <c r="N747" i="8"/>
  <c r="O746" i="8"/>
  <c r="N746" i="8"/>
  <c r="O745" i="8"/>
  <c r="N745" i="8"/>
  <c r="O744" i="8"/>
  <c r="N744" i="8"/>
  <c r="O743" i="8"/>
  <c r="N743" i="8"/>
  <c r="O742" i="8"/>
  <c r="N742" i="8"/>
  <c r="O741" i="8"/>
  <c r="N741" i="8"/>
  <c r="O740" i="8"/>
  <c r="N740" i="8"/>
  <c r="O739" i="8"/>
  <c r="N739" i="8"/>
  <c r="O738" i="8"/>
  <c r="N738" i="8"/>
  <c r="O737" i="8"/>
  <c r="N737" i="8"/>
  <c r="O736" i="8"/>
  <c r="N736" i="8"/>
  <c r="O735" i="8"/>
  <c r="N735" i="8"/>
  <c r="O734" i="8"/>
  <c r="N734" i="8"/>
  <c r="O733" i="8"/>
  <c r="N733" i="8"/>
  <c r="O732" i="8"/>
  <c r="N732" i="8"/>
  <c r="O731" i="8"/>
  <c r="N731" i="8"/>
  <c r="O730" i="8"/>
  <c r="N730" i="8"/>
  <c r="O729" i="8"/>
  <c r="N729" i="8"/>
  <c r="O728" i="8"/>
  <c r="N728" i="8"/>
  <c r="O727" i="8"/>
  <c r="N727" i="8"/>
  <c r="O726" i="8"/>
  <c r="N726" i="8"/>
  <c r="O725" i="8"/>
  <c r="N725" i="8"/>
  <c r="O724" i="8"/>
  <c r="N724" i="8"/>
  <c r="O723" i="8"/>
  <c r="N723" i="8"/>
  <c r="O722" i="8"/>
  <c r="N722" i="8"/>
  <c r="O721" i="8"/>
  <c r="N721" i="8"/>
  <c r="O720" i="8"/>
  <c r="N720" i="8"/>
  <c r="O719" i="8"/>
  <c r="N719" i="8"/>
  <c r="O718" i="8"/>
  <c r="N718" i="8"/>
  <c r="O717" i="8"/>
  <c r="N717" i="8"/>
  <c r="O716" i="8"/>
  <c r="N716" i="8"/>
  <c r="O715" i="8"/>
  <c r="N715" i="8"/>
  <c r="O714" i="8"/>
  <c r="N714" i="8"/>
  <c r="O713" i="8"/>
  <c r="N713" i="8"/>
  <c r="O712" i="8"/>
  <c r="N712" i="8"/>
  <c r="O711" i="8"/>
  <c r="N711" i="8"/>
  <c r="O710" i="8"/>
  <c r="N710" i="8"/>
  <c r="O709" i="8"/>
  <c r="N709" i="8"/>
  <c r="O708" i="8"/>
  <c r="N708" i="8"/>
  <c r="O707" i="8"/>
  <c r="N707" i="8"/>
  <c r="O706" i="8"/>
  <c r="N706" i="8"/>
  <c r="O705" i="8"/>
  <c r="N705" i="8"/>
  <c r="O704" i="8"/>
  <c r="N704" i="8"/>
  <c r="O703" i="8"/>
  <c r="N703" i="8"/>
  <c r="O702" i="8"/>
  <c r="N702" i="8"/>
  <c r="O701" i="8"/>
  <c r="N701" i="8"/>
  <c r="O700" i="8"/>
  <c r="N700" i="8"/>
  <c r="O699" i="8"/>
  <c r="N699" i="8"/>
  <c r="O698" i="8"/>
  <c r="N698" i="8"/>
  <c r="O697" i="8"/>
  <c r="N697" i="8"/>
  <c r="O696" i="8"/>
  <c r="N696" i="8"/>
  <c r="O695" i="8"/>
  <c r="N695" i="8"/>
  <c r="O694" i="8"/>
  <c r="N694" i="8"/>
  <c r="O693" i="8"/>
  <c r="N693" i="8"/>
  <c r="O692" i="8"/>
  <c r="N692" i="8"/>
  <c r="O691" i="8"/>
  <c r="N691" i="8"/>
  <c r="O690" i="8"/>
  <c r="N690" i="8"/>
  <c r="O689" i="8"/>
  <c r="N689" i="8"/>
  <c r="O688" i="8"/>
  <c r="N688" i="8"/>
  <c r="O687" i="8"/>
  <c r="N687" i="8"/>
  <c r="O686" i="8"/>
  <c r="N686" i="8"/>
  <c r="O685" i="8"/>
  <c r="N685" i="8"/>
  <c r="O684" i="8"/>
  <c r="N684" i="8"/>
  <c r="O683" i="8"/>
  <c r="N683" i="8"/>
  <c r="O682" i="8"/>
  <c r="N682" i="8"/>
  <c r="O681" i="8"/>
  <c r="N681" i="8"/>
  <c r="O680" i="8"/>
  <c r="N680" i="8"/>
  <c r="O679" i="8"/>
  <c r="N679" i="8"/>
  <c r="O678" i="8"/>
  <c r="N678" i="8"/>
  <c r="O677" i="8"/>
  <c r="N677" i="8"/>
  <c r="O676" i="8"/>
  <c r="N676" i="8"/>
  <c r="O675" i="8"/>
  <c r="N675" i="8"/>
  <c r="O674" i="8"/>
  <c r="N674" i="8"/>
  <c r="O673" i="8"/>
  <c r="N673" i="8"/>
  <c r="O672" i="8"/>
  <c r="N672" i="8"/>
  <c r="O671" i="8"/>
  <c r="N671" i="8"/>
  <c r="O670" i="8"/>
  <c r="N670" i="8"/>
  <c r="O669" i="8"/>
  <c r="N669" i="8"/>
  <c r="O668" i="8"/>
  <c r="N668" i="8"/>
  <c r="O667" i="8"/>
  <c r="N667" i="8"/>
  <c r="O666" i="8"/>
  <c r="N666" i="8"/>
  <c r="O665" i="8"/>
  <c r="N665" i="8"/>
  <c r="O664" i="8"/>
  <c r="N664" i="8"/>
  <c r="O663" i="8"/>
  <c r="N663" i="8"/>
  <c r="O662" i="8"/>
  <c r="N662" i="8"/>
  <c r="O661" i="8"/>
  <c r="N661" i="8"/>
  <c r="O660" i="8"/>
  <c r="N660" i="8"/>
  <c r="O659" i="8"/>
  <c r="N659" i="8"/>
  <c r="O658" i="8"/>
  <c r="N658" i="8"/>
  <c r="O657" i="8"/>
  <c r="N657" i="8"/>
  <c r="O656" i="8"/>
  <c r="N656" i="8"/>
  <c r="O655" i="8"/>
  <c r="N655" i="8"/>
  <c r="O654" i="8"/>
  <c r="N654" i="8"/>
  <c r="O653" i="8"/>
  <c r="N653" i="8"/>
  <c r="O652" i="8"/>
  <c r="N652" i="8"/>
  <c r="O651" i="8"/>
  <c r="N651" i="8"/>
  <c r="O650" i="8"/>
  <c r="N650" i="8"/>
  <c r="O649" i="8"/>
  <c r="N649" i="8"/>
  <c r="O648" i="8"/>
  <c r="N648" i="8"/>
  <c r="O647" i="8"/>
  <c r="N647" i="8"/>
  <c r="O646" i="8"/>
  <c r="N646" i="8"/>
  <c r="O645" i="8"/>
  <c r="N645" i="8"/>
  <c r="O644" i="8"/>
  <c r="N644" i="8"/>
  <c r="O643" i="8"/>
  <c r="N643" i="8"/>
  <c r="O642" i="8"/>
  <c r="N642" i="8"/>
  <c r="O641" i="8"/>
  <c r="N641" i="8"/>
  <c r="O640" i="8"/>
  <c r="N640" i="8"/>
  <c r="O639" i="8"/>
  <c r="N639" i="8"/>
  <c r="O638" i="8"/>
  <c r="N638" i="8"/>
  <c r="O637" i="8"/>
  <c r="N637" i="8"/>
  <c r="O636" i="8"/>
  <c r="N636" i="8"/>
  <c r="O635" i="8"/>
  <c r="N635" i="8"/>
  <c r="O634" i="8"/>
  <c r="N634" i="8"/>
  <c r="O633" i="8"/>
  <c r="N633" i="8"/>
  <c r="O632" i="8"/>
  <c r="N632" i="8"/>
  <c r="O631" i="8"/>
  <c r="N631" i="8"/>
  <c r="O630" i="8"/>
  <c r="N630" i="8"/>
  <c r="O629" i="8"/>
  <c r="N629" i="8"/>
  <c r="O628" i="8"/>
  <c r="N628" i="8"/>
  <c r="O627" i="8"/>
  <c r="N627" i="8"/>
  <c r="O626" i="8"/>
  <c r="N626" i="8"/>
  <c r="O625" i="8"/>
  <c r="N625" i="8"/>
  <c r="O624" i="8"/>
  <c r="N624" i="8"/>
  <c r="O623" i="8"/>
  <c r="N623" i="8"/>
  <c r="O622" i="8"/>
  <c r="N622" i="8"/>
  <c r="O621" i="8"/>
  <c r="N621" i="8"/>
  <c r="O620" i="8"/>
  <c r="N620" i="8"/>
  <c r="O619" i="8"/>
  <c r="N619" i="8"/>
  <c r="O618" i="8"/>
  <c r="N618" i="8"/>
  <c r="O617" i="8"/>
  <c r="N617" i="8"/>
  <c r="O616" i="8"/>
  <c r="N616" i="8"/>
  <c r="O615" i="8"/>
  <c r="N615" i="8"/>
  <c r="O614" i="8"/>
  <c r="N614" i="8"/>
  <c r="O613" i="8"/>
  <c r="N613" i="8"/>
  <c r="O612" i="8"/>
  <c r="N612" i="8"/>
  <c r="O611" i="8"/>
  <c r="N611" i="8"/>
  <c r="O610" i="8"/>
  <c r="N610" i="8"/>
  <c r="O609" i="8"/>
  <c r="N609" i="8"/>
  <c r="O608" i="8"/>
  <c r="N608" i="8"/>
  <c r="O607" i="8"/>
  <c r="N607" i="8"/>
  <c r="O606" i="8"/>
  <c r="N606" i="8"/>
  <c r="O605" i="8"/>
  <c r="N605" i="8"/>
  <c r="O604" i="8"/>
  <c r="N604" i="8"/>
  <c r="O603" i="8"/>
  <c r="N603" i="8"/>
  <c r="O602" i="8"/>
  <c r="N602" i="8"/>
  <c r="O601" i="8"/>
  <c r="N601" i="8"/>
  <c r="O600" i="8"/>
  <c r="N600" i="8"/>
  <c r="O599" i="8"/>
  <c r="N599" i="8"/>
  <c r="O598" i="8"/>
  <c r="N598" i="8"/>
  <c r="O597" i="8"/>
  <c r="N597" i="8"/>
  <c r="O596" i="8"/>
  <c r="N596" i="8"/>
  <c r="O595" i="8"/>
  <c r="N595" i="8"/>
  <c r="O594" i="8"/>
  <c r="N594" i="8"/>
  <c r="O593" i="8"/>
  <c r="N593" i="8"/>
  <c r="O592" i="8"/>
  <c r="N592" i="8"/>
  <c r="O591" i="8"/>
  <c r="N591" i="8"/>
  <c r="O590" i="8"/>
  <c r="N590" i="8"/>
  <c r="O589" i="8"/>
  <c r="N589" i="8"/>
  <c r="O588" i="8"/>
  <c r="N588" i="8"/>
  <c r="O587" i="8"/>
  <c r="N587" i="8"/>
  <c r="O586" i="8"/>
  <c r="N586" i="8"/>
  <c r="O585" i="8"/>
  <c r="N585" i="8"/>
  <c r="O584" i="8"/>
  <c r="N584" i="8"/>
  <c r="O583" i="8"/>
  <c r="N583" i="8"/>
  <c r="O582" i="8"/>
  <c r="N582" i="8"/>
  <c r="O581" i="8"/>
  <c r="N581" i="8"/>
  <c r="O580" i="8"/>
  <c r="N580" i="8"/>
  <c r="O579" i="8"/>
  <c r="N579" i="8"/>
  <c r="O578" i="8"/>
  <c r="N578" i="8"/>
  <c r="O577" i="8"/>
  <c r="N577" i="8"/>
  <c r="O576" i="8"/>
  <c r="N576" i="8"/>
  <c r="O575" i="8"/>
  <c r="N575" i="8"/>
  <c r="O574" i="8"/>
  <c r="N574" i="8"/>
  <c r="O573" i="8"/>
  <c r="N573" i="8"/>
  <c r="O572" i="8"/>
  <c r="N572" i="8"/>
  <c r="O571" i="8"/>
  <c r="N571" i="8"/>
  <c r="O570" i="8"/>
  <c r="N570" i="8"/>
  <c r="O569" i="8"/>
  <c r="N569" i="8"/>
  <c r="O568" i="8"/>
  <c r="N568" i="8"/>
  <c r="O567" i="8"/>
  <c r="N567" i="8"/>
  <c r="O566" i="8"/>
  <c r="N566" i="8"/>
  <c r="O565" i="8"/>
  <c r="N565" i="8"/>
  <c r="O564" i="8"/>
  <c r="N564" i="8"/>
  <c r="O563" i="8"/>
  <c r="N563" i="8"/>
  <c r="O562" i="8"/>
  <c r="N562" i="8"/>
  <c r="O561" i="8"/>
  <c r="N561" i="8"/>
  <c r="O560" i="8"/>
  <c r="N560" i="8"/>
  <c r="O559" i="8"/>
  <c r="N559" i="8"/>
  <c r="O558" i="8"/>
  <c r="N558" i="8"/>
  <c r="O557" i="8"/>
  <c r="N557" i="8"/>
  <c r="O556" i="8"/>
  <c r="N556" i="8"/>
  <c r="O555" i="8"/>
  <c r="N555" i="8"/>
  <c r="O554" i="8"/>
  <c r="N554" i="8"/>
  <c r="O553" i="8"/>
  <c r="N553" i="8"/>
  <c r="O552" i="8"/>
  <c r="N552" i="8"/>
  <c r="O551" i="8"/>
  <c r="N551" i="8"/>
  <c r="O550" i="8"/>
  <c r="N550" i="8"/>
  <c r="O549" i="8"/>
  <c r="N549" i="8"/>
  <c r="O548" i="8"/>
  <c r="N548" i="8"/>
  <c r="O547" i="8"/>
  <c r="N547" i="8"/>
  <c r="O546" i="8"/>
  <c r="N546" i="8"/>
  <c r="O545" i="8"/>
  <c r="N545" i="8"/>
  <c r="O544" i="8"/>
  <c r="N544" i="8"/>
  <c r="O543" i="8"/>
  <c r="N543" i="8"/>
  <c r="O542" i="8"/>
  <c r="N542" i="8"/>
  <c r="O541" i="8"/>
  <c r="N541" i="8"/>
  <c r="O540" i="8"/>
  <c r="N540" i="8"/>
  <c r="O539" i="8"/>
  <c r="N539" i="8"/>
  <c r="O538" i="8"/>
  <c r="N538" i="8"/>
  <c r="O537" i="8"/>
  <c r="N537" i="8"/>
  <c r="O536" i="8"/>
  <c r="N536" i="8"/>
  <c r="O535" i="8"/>
  <c r="N535" i="8"/>
  <c r="O534" i="8"/>
  <c r="N534" i="8"/>
  <c r="O533" i="8"/>
  <c r="N533" i="8"/>
  <c r="O532" i="8"/>
  <c r="N532" i="8"/>
  <c r="O531" i="8"/>
  <c r="N531" i="8"/>
  <c r="O530" i="8"/>
  <c r="N530" i="8"/>
  <c r="O529" i="8"/>
  <c r="N529" i="8"/>
  <c r="O528" i="8"/>
  <c r="N528" i="8"/>
  <c r="O527" i="8"/>
  <c r="N527" i="8"/>
  <c r="O526" i="8"/>
  <c r="N526" i="8"/>
  <c r="O525" i="8"/>
  <c r="N525" i="8"/>
  <c r="O524" i="8"/>
  <c r="N524" i="8"/>
  <c r="O523" i="8"/>
  <c r="N523" i="8"/>
  <c r="O522" i="8"/>
  <c r="N522" i="8"/>
  <c r="O521" i="8"/>
  <c r="N521" i="8"/>
  <c r="O520" i="8"/>
  <c r="N520" i="8"/>
  <c r="O519" i="8"/>
  <c r="N519" i="8"/>
  <c r="O518" i="8"/>
  <c r="N518" i="8"/>
  <c r="O517" i="8"/>
  <c r="N517" i="8"/>
  <c r="O516" i="8"/>
  <c r="N516" i="8"/>
  <c r="O515" i="8"/>
  <c r="N515" i="8"/>
  <c r="O514" i="8"/>
  <c r="N514" i="8"/>
  <c r="O513" i="8"/>
  <c r="N513" i="8"/>
  <c r="O512" i="8"/>
  <c r="N512" i="8"/>
  <c r="O511" i="8"/>
  <c r="N511" i="8"/>
  <c r="O510" i="8"/>
  <c r="N510" i="8"/>
  <c r="O509" i="8"/>
  <c r="N509" i="8"/>
  <c r="O508" i="8"/>
  <c r="N508" i="8"/>
  <c r="O507" i="8"/>
  <c r="N507" i="8"/>
  <c r="O506" i="8"/>
  <c r="N506" i="8"/>
  <c r="O505" i="8"/>
  <c r="N505" i="8"/>
  <c r="O504" i="8"/>
  <c r="N504" i="8"/>
  <c r="O503" i="8"/>
  <c r="N503" i="8"/>
  <c r="O502" i="8"/>
  <c r="N502" i="8"/>
  <c r="O501" i="8"/>
  <c r="N501" i="8"/>
  <c r="O500" i="8"/>
  <c r="N500" i="8"/>
  <c r="O499" i="8"/>
  <c r="N499" i="8"/>
  <c r="O498" i="8"/>
  <c r="N498" i="8"/>
  <c r="O497" i="8"/>
  <c r="N497" i="8"/>
  <c r="O496" i="8"/>
  <c r="N496" i="8"/>
  <c r="O495" i="8"/>
  <c r="N495" i="8"/>
  <c r="O494" i="8"/>
  <c r="N494" i="8"/>
  <c r="O493" i="8"/>
  <c r="N493" i="8"/>
  <c r="O492" i="8"/>
  <c r="N492" i="8"/>
  <c r="O491" i="8"/>
  <c r="N491" i="8"/>
  <c r="O490" i="8"/>
  <c r="N490" i="8"/>
  <c r="O489" i="8"/>
  <c r="N489" i="8"/>
  <c r="O488" i="8"/>
  <c r="N488" i="8"/>
  <c r="O487" i="8"/>
  <c r="N487" i="8"/>
  <c r="O486" i="8"/>
  <c r="N486" i="8"/>
  <c r="O485" i="8"/>
  <c r="N485" i="8"/>
  <c r="O484" i="8"/>
  <c r="N484" i="8"/>
  <c r="O483" i="8"/>
  <c r="N483" i="8"/>
  <c r="O482" i="8"/>
  <c r="N482" i="8"/>
  <c r="O481" i="8"/>
  <c r="N481" i="8"/>
  <c r="O480" i="8"/>
  <c r="N480" i="8"/>
  <c r="O479" i="8"/>
  <c r="N479" i="8"/>
  <c r="O478" i="8"/>
  <c r="N478" i="8"/>
  <c r="O477" i="8"/>
  <c r="N477" i="8"/>
  <c r="O476" i="8"/>
  <c r="N476" i="8"/>
  <c r="O475" i="8"/>
  <c r="N475" i="8"/>
  <c r="O474" i="8"/>
  <c r="N474" i="8"/>
  <c r="O473" i="8"/>
  <c r="N473" i="8"/>
  <c r="O472" i="8"/>
  <c r="N472" i="8"/>
  <c r="O471" i="8"/>
  <c r="N471" i="8"/>
  <c r="O470" i="8"/>
  <c r="N470" i="8"/>
  <c r="O469" i="8"/>
  <c r="N469" i="8"/>
  <c r="O468" i="8"/>
  <c r="N468" i="8"/>
  <c r="O467" i="8"/>
  <c r="N467" i="8"/>
  <c r="O466" i="8"/>
  <c r="N466" i="8"/>
  <c r="O465" i="8"/>
  <c r="N465" i="8"/>
  <c r="O464" i="8"/>
  <c r="N464" i="8"/>
  <c r="O463" i="8"/>
  <c r="N463" i="8"/>
  <c r="O462" i="8"/>
  <c r="N462" i="8"/>
  <c r="O461" i="8"/>
  <c r="N461" i="8"/>
  <c r="O460" i="8"/>
  <c r="N460" i="8"/>
  <c r="O459" i="8"/>
  <c r="N459" i="8"/>
  <c r="O458" i="8"/>
  <c r="N458" i="8"/>
  <c r="O457" i="8"/>
  <c r="N457" i="8"/>
  <c r="O456" i="8"/>
  <c r="N456" i="8"/>
  <c r="O455" i="8"/>
  <c r="N455" i="8"/>
  <c r="O454" i="8"/>
  <c r="N454" i="8"/>
  <c r="O453" i="8"/>
  <c r="N453" i="8"/>
  <c r="O452" i="8"/>
  <c r="N452" i="8"/>
  <c r="O451" i="8"/>
  <c r="N451" i="8"/>
  <c r="O450" i="8"/>
  <c r="N450" i="8"/>
  <c r="O449" i="8"/>
  <c r="N449" i="8"/>
  <c r="O448" i="8"/>
  <c r="N448" i="8"/>
  <c r="O447" i="8"/>
  <c r="N447" i="8"/>
  <c r="O446" i="8"/>
  <c r="N446" i="8"/>
  <c r="O445" i="8"/>
  <c r="N445" i="8"/>
  <c r="O444" i="8"/>
  <c r="N444" i="8"/>
  <c r="O443" i="8"/>
  <c r="N443" i="8"/>
  <c r="O442" i="8"/>
  <c r="N442" i="8"/>
  <c r="O441" i="8"/>
  <c r="N441" i="8"/>
  <c r="O440" i="8"/>
  <c r="N440" i="8"/>
  <c r="O439" i="8"/>
  <c r="N439" i="8"/>
  <c r="O438" i="8"/>
  <c r="N438" i="8"/>
  <c r="O437" i="8"/>
  <c r="N437" i="8"/>
  <c r="O436" i="8"/>
  <c r="N436" i="8"/>
  <c r="O435" i="8"/>
  <c r="N435" i="8"/>
  <c r="O434" i="8"/>
  <c r="N434" i="8"/>
  <c r="O433" i="8"/>
  <c r="N433" i="8"/>
  <c r="O432" i="8"/>
  <c r="N432" i="8"/>
  <c r="O431" i="8"/>
  <c r="N431" i="8"/>
  <c r="O430" i="8"/>
  <c r="N430" i="8"/>
  <c r="O429" i="8"/>
  <c r="N429" i="8"/>
  <c r="O428" i="8"/>
  <c r="N428" i="8"/>
  <c r="O427" i="8"/>
  <c r="N427" i="8"/>
  <c r="O426" i="8"/>
  <c r="N426" i="8"/>
  <c r="O425" i="8"/>
  <c r="N425" i="8"/>
  <c r="O424" i="8"/>
  <c r="N424" i="8"/>
  <c r="O423" i="8"/>
  <c r="N423" i="8"/>
  <c r="O422" i="8"/>
  <c r="N422" i="8"/>
  <c r="O421" i="8"/>
  <c r="N421" i="8"/>
  <c r="O420" i="8"/>
  <c r="N420" i="8"/>
  <c r="O419" i="8"/>
  <c r="N419" i="8"/>
  <c r="O418" i="8"/>
  <c r="N418" i="8"/>
  <c r="O417" i="8"/>
  <c r="N417" i="8"/>
  <c r="O416" i="8"/>
  <c r="N416" i="8"/>
  <c r="O415" i="8"/>
  <c r="N415" i="8"/>
  <c r="O414" i="8"/>
  <c r="N414" i="8"/>
  <c r="O413" i="8"/>
  <c r="N413" i="8"/>
  <c r="O412" i="8"/>
  <c r="N412" i="8"/>
  <c r="O411" i="8"/>
  <c r="N411" i="8"/>
  <c r="O410" i="8"/>
  <c r="N410" i="8"/>
  <c r="O409" i="8"/>
  <c r="N409" i="8"/>
  <c r="O408" i="8"/>
  <c r="N408" i="8"/>
  <c r="O407" i="8"/>
  <c r="N407" i="8"/>
  <c r="O406" i="8"/>
  <c r="N406" i="8"/>
  <c r="O405" i="8"/>
  <c r="N405" i="8"/>
  <c r="O404" i="8"/>
  <c r="N404" i="8"/>
  <c r="O403" i="8"/>
  <c r="N403" i="8"/>
  <c r="O402" i="8"/>
  <c r="N402" i="8"/>
  <c r="O401" i="8"/>
  <c r="N401" i="8"/>
  <c r="O400" i="8"/>
  <c r="N400" i="8"/>
  <c r="O399" i="8"/>
  <c r="N399" i="8"/>
  <c r="O398" i="8"/>
  <c r="N398" i="8"/>
  <c r="O397" i="8"/>
  <c r="N397" i="8"/>
  <c r="O396" i="8"/>
  <c r="N396" i="8"/>
  <c r="O395" i="8"/>
  <c r="N395" i="8"/>
  <c r="O394" i="8"/>
  <c r="N394" i="8"/>
  <c r="O393" i="8"/>
  <c r="N393" i="8"/>
  <c r="O392" i="8"/>
  <c r="N392" i="8"/>
  <c r="O391" i="8"/>
  <c r="N391" i="8"/>
  <c r="O390" i="8"/>
  <c r="N390" i="8"/>
  <c r="O389" i="8"/>
  <c r="N389" i="8"/>
  <c r="O388" i="8"/>
  <c r="N388" i="8"/>
  <c r="O387" i="8"/>
  <c r="N387" i="8"/>
  <c r="O386" i="8"/>
  <c r="N386" i="8"/>
  <c r="O385" i="8"/>
  <c r="N385" i="8"/>
  <c r="O384" i="8"/>
  <c r="N384" i="8"/>
  <c r="O383" i="8"/>
  <c r="N383" i="8"/>
  <c r="O382" i="8"/>
  <c r="N382" i="8"/>
  <c r="O381" i="8"/>
  <c r="N381" i="8"/>
  <c r="O380" i="8"/>
  <c r="N380" i="8"/>
  <c r="O379" i="8"/>
  <c r="N379" i="8"/>
  <c r="O378" i="8"/>
  <c r="N378" i="8"/>
  <c r="O377" i="8"/>
  <c r="N377" i="8"/>
  <c r="O376" i="8"/>
  <c r="N376" i="8"/>
  <c r="O375" i="8"/>
  <c r="N375" i="8"/>
  <c r="O374" i="8"/>
  <c r="N374" i="8"/>
  <c r="O373" i="8"/>
  <c r="N373" i="8"/>
  <c r="O372" i="8"/>
  <c r="N372" i="8"/>
  <c r="O371" i="8"/>
  <c r="N371" i="8"/>
  <c r="O370" i="8"/>
  <c r="N370" i="8"/>
  <c r="O369" i="8"/>
  <c r="N369" i="8"/>
  <c r="O368" i="8"/>
  <c r="N368" i="8"/>
  <c r="O367" i="8"/>
  <c r="N367" i="8"/>
  <c r="O366" i="8"/>
  <c r="N366" i="8"/>
  <c r="O365" i="8"/>
  <c r="N365" i="8"/>
  <c r="O364" i="8"/>
  <c r="N364" i="8"/>
  <c r="O363" i="8"/>
  <c r="N363" i="8"/>
  <c r="O362" i="8"/>
  <c r="N362" i="8"/>
  <c r="O361" i="8"/>
  <c r="N361" i="8"/>
  <c r="O360" i="8"/>
  <c r="N360" i="8"/>
  <c r="O359" i="8"/>
  <c r="N359" i="8"/>
  <c r="O358" i="8"/>
  <c r="N358" i="8"/>
  <c r="O357" i="8"/>
  <c r="N357" i="8"/>
  <c r="O356" i="8"/>
  <c r="N356" i="8"/>
  <c r="O355" i="8"/>
  <c r="N355" i="8"/>
  <c r="O354" i="8"/>
  <c r="N354" i="8"/>
  <c r="O353" i="8"/>
  <c r="N353" i="8"/>
  <c r="O352" i="8"/>
  <c r="N352" i="8"/>
  <c r="O351" i="8"/>
  <c r="N351" i="8"/>
  <c r="O350" i="8"/>
  <c r="N350" i="8"/>
  <c r="O349" i="8"/>
  <c r="N349" i="8"/>
  <c r="O348" i="8"/>
  <c r="N348" i="8"/>
  <c r="O347" i="8"/>
  <c r="N347" i="8"/>
  <c r="O346" i="8"/>
  <c r="N346" i="8"/>
  <c r="O345" i="8"/>
  <c r="N345" i="8"/>
  <c r="O344" i="8"/>
  <c r="N344" i="8"/>
  <c r="O343" i="8"/>
  <c r="N343" i="8"/>
  <c r="O342" i="8"/>
  <c r="N342" i="8"/>
  <c r="O341" i="8"/>
  <c r="N341" i="8"/>
  <c r="O340" i="8"/>
  <c r="N340" i="8"/>
  <c r="O339" i="8"/>
  <c r="N339" i="8"/>
  <c r="O338" i="8"/>
  <c r="N338" i="8"/>
  <c r="O337" i="8"/>
  <c r="N337" i="8"/>
  <c r="O336" i="8"/>
  <c r="N336" i="8"/>
  <c r="O335" i="8"/>
  <c r="N335" i="8"/>
  <c r="O334" i="8"/>
  <c r="N334" i="8"/>
  <c r="O333" i="8"/>
  <c r="N333" i="8"/>
  <c r="O332" i="8"/>
  <c r="N332" i="8"/>
  <c r="O331" i="8"/>
  <c r="N331" i="8"/>
  <c r="O330" i="8"/>
  <c r="N330" i="8"/>
  <c r="O329" i="8"/>
  <c r="N329" i="8"/>
  <c r="O328" i="8"/>
  <c r="N328" i="8"/>
  <c r="O327" i="8"/>
  <c r="N327" i="8"/>
  <c r="O326" i="8"/>
  <c r="N326" i="8"/>
  <c r="O325" i="8"/>
  <c r="N325" i="8"/>
  <c r="O324" i="8"/>
  <c r="N324" i="8"/>
  <c r="O323" i="8"/>
  <c r="N323" i="8"/>
  <c r="O322" i="8"/>
  <c r="N322" i="8"/>
  <c r="O321" i="8"/>
  <c r="N321" i="8"/>
  <c r="O320" i="8"/>
  <c r="N320" i="8"/>
  <c r="O319" i="8"/>
  <c r="N319" i="8"/>
  <c r="O318" i="8"/>
  <c r="N318" i="8"/>
  <c r="O317" i="8"/>
  <c r="N317" i="8"/>
  <c r="O316" i="8"/>
  <c r="N316" i="8"/>
  <c r="O315" i="8"/>
  <c r="N315" i="8"/>
  <c r="O314" i="8"/>
  <c r="N314" i="8"/>
  <c r="O313" i="8"/>
  <c r="N313" i="8"/>
  <c r="O312" i="8"/>
  <c r="N312" i="8"/>
  <c r="O311" i="8"/>
  <c r="N311" i="8"/>
  <c r="O310" i="8"/>
  <c r="N310" i="8"/>
  <c r="O309" i="8"/>
  <c r="N309" i="8"/>
  <c r="O308" i="8"/>
  <c r="N308" i="8"/>
  <c r="O307" i="8"/>
  <c r="N307" i="8"/>
  <c r="O306" i="8"/>
  <c r="N306" i="8"/>
  <c r="O305" i="8"/>
  <c r="N305" i="8"/>
  <c r="O304" i="8"/>
  <c r="N304" i="8"/>
  <c r="O303" i="8"/>
  <c r="N303" i="8"/>
  <c r="O302" i="8"/>
  <c r="N302" i="8"/>
  <c r="O301" i="8"/>
  <c r="N301" i="8"/>
  <c r="O300" i="8"/>
  <c r="N300" i="8"/>
  <c r="O299" i="8"/>
  <c r="N299" i="8"/>
  <c r="O298" i="8"/>
  <c r="N298" i="8"/>
  <c r="O297" i="8"/>
  <c r="N297" i="8"/>
  <c r="O296" i="8"/>
  <c r="N296" i="8"/>
  <c r="O295" i="8"/>
  <c r="N295" i="8"/>
  <c r="O294" i="8"/>
  <c r="N294" i="8"/>
  <c r="O293" i="8"/>
  <c r="N293" i="8"/>
  <c r="O292" i="8"/>
  <c r="N292" i="8"/>
  <c r="O291" i="8"/>
  <c r="N291" i="8"/>
  <c r="O290" i="8"/>
  <c r="N290" i="8"/>
  <c r="O289" i="8"/>
  <c r="N289" i="8"/>
  <c r="O288" i="8"/>
  <c r="N288" i="8"/>
  <c r="O287" i="8"/>
  <c r="N287" i="8"/>
  <c r="O286" i="8"/>
  <c r="N286" i="8"/>
  <c r="O285" i="8"/>
  <c r="N285" i="8"/>
  <c r="O284" i="8"/>
  <c r="N284" i="8"/>
  <c r="O283" i="8"/>
  <c r="N283" i="8"/>
  <c r="O282" i="8"/>
  <c r="N282" i="8"/>
  <c r="O281" i="8"/>
  <c r="N281" i="8"/>
  <c r="O280" i="8"/>
  <c r="N280" i="8"/>
  <c r="O279" i="8"/>
  <c r="N279" i="8"/>
  <c r="O278" i="8"/>
  <c r="N278" i="8"/>
  <c r="O277" i="8"/>
  <c r="N277" i="8"/>
  <c r="O276" i="8"/>
  <c r="N276" i="8"/>
  <c r="O275" i="8"/>
  <c r="N275" i="8"/>
  <c r="O274" i="8"/>
  <c r="N274" i="8"/>
  <c r="O273" i="8"/>
  <c r="N273" i="8"/>
  <c r="O272" i="8"/>
  <c r="N272" i="8"/>
  <c r="O271" i="8"/>
  <c r="N271" i="8"/>
  <c r="O270" i="8"/>
  <c r="N270" i="8"/>
  <c r="O269" i="8"/>
  <c r="N269" i="8"/>
  <c r="O268" i="8"/>
  <c r="N268" i="8"/>
  <c r="O267" i="8"/>
  <c r="N267" i="8"/>
  <c r="O266" i="8"/>
  <c r="N266" i="8"/>
  <c r="O265" i="8"/>
  <c r="N265" i="8"/>
  <c r="O264" i="8"/>
  <c r="N264" i="8"/>
  <c r="O263" i="8"/>
  <c r="N263" i="8"/>
  <c r="O262" i="8"/>
  <c r="N262" i="8"/>
  <c r="O261" i="8"/>
  <c r="N261" i="8"/>
  <c r="O260" i="8"/>
  <c r="N260" i="8"/>
  <c r="O259" i="8"/>
  <c r="N259" i="8"/>
  <c r="O258" i="8"/>
  <c r="N258" i="8"/>
  <c r="O257" i="8"/>
  <c r="N257" i="8"/>
  <c r="O256" i="8"/>
  <c r="N256" i="8"/>
  <c r="O255" i="8"/>
  <c r="N255" i="8"/>
  <c r="O254" i="8"/>
  <c r="N254" i="8"/>
  <c r="O253" i="8"/>
  <c r="N253" i="8"/>
  <c r="O252" i="8"/>
  <c r="N252" i="8"/>
  <c r="O251" i="8"/>
  <c r="N251" i="8"/>
  <c r="O250" i="8"/>
  <c r="N250" i="8"/>
  <c r="O249" i="8"/>
  <c r="N249" i="8"/>
  <c r="O248" i="8"/>
  <c r="N248" i="8"/>
  <c r="O247" i="8"/>
  <c r="N247" i="8"/>
  <c r="O246" i="8"/>
  <c r="N246" i="8"/>
  <c r="O245" i="8"/>
  <c r="N245" i="8"/>
  <c r="O244" i="8"/>
  <c r="N244" i="8"/>
  <c r="O243" i="8"/>
  <c r="N243" i="8"/>
  <c r="O242" i="8"/>
  <c r="N242" i="8"/>
  <c r="O241" i="8"/>
  <c r="N241" i="8"/>
  <c r="O240" i="8"/>
  <c r="N240" i="8"/>
  <c r="O239" i="8"/>
  <c r="N239" i="8"/>
  <c r="O238" i="8"/>
  <c r="N238" i="8"/>
  <c r="O237" i="8"/>
  <c r="N237" i="8"/>
  <c r="O236" i="8"/>
  <c r="N236" i="8"/>
  <c r="O235" i="8"/>
  <c r="N235" i="8"/>
  <c r="O234" i="8"/>
  <c r="N234" i="8"/>
  <c r="O233" i="8"/>
  <c r="N233" i="8"/>
  <c r="O232" i="8"/>
  <c r="N232" i="8"/>
  <c r="O231" i="8"/>
  <c r="N231" i="8"/>
  <c r="O230" i="8"/>
  <c r="N230" i="8"/>
  <c r="O229" i="8"/>
  <c r="N229" i="8"/>
  <c r="O228" i="8"/>
  <c r="N228" i="8"/>
  <c r="O227" i="8"/>
  <c r="N227" i="8"/>
  <c r="O226" i="8"/>
  <c r="N226" i="8"/>
  <c r="O225" i="8"/>
  <c r="N225" i="8"/>
  <c r="O224" i="8"/>
  <c r="N224" i="8"/>
  <c r="O223" i="8"/>
  <c r="N223" i="8"/>
  <c r="O222" i="8"/>
  <c r="N222" i="8"/>
  <c r="O221" i="8"/>
  <c r="N221" i="8"/>
  <c r="O220" i="8"/>
  <c r="N220" i="8"/>
  <c r="O219" i="8"/>
  <c r="N219" i="8"/>
  <c r="O218" i="8"/>
  <c r="N218" i="8"/>
  <c r="O217" i="8"/>
  <c r="N217" i="8"/>
  <c r="O216" i="8"/>
  <c r="N216" i="8"/>
  <c r="O215" i="8"/>
  <c r="N215" i="8"/>
  <c r="O214" i="8"/>
  <c r="N214" i="8"/>
  <c r="O213" i="8"/>
  <c r="N213" i="8"/>
  <c r="O212" i="8"/>
  <c r="N212" i="8"/>
  <c r="O211" i="8"/>
  <c r="N211" i="8"/>
  <c r="O210" i="8"/>
  <c r="N210" i="8"/>
  <c r="O209" i="8"/>
  <c r="N209" i="8"/>
  <c r="O208" i="8"/>
  <c r="N208" i="8"/>
  <c r="O207" i="8"/>
  <c r="N207" i="8"/>
  <c r="O206" i="8"/>
  <c r="N206" i="8"/>
  <c r="O205" i="8"/>
  <c r="N205" i="8"/>
  <c r="O204" i="8"/>
  <c r="N204" i="8"/>
  <c r="O203" i="8"/>
  <c r="N203" i="8"/>
  <c r="O202" i="8"/>
  <c r="N202" i="8"/>
  <c r="O201" i="8"/>
  <c r="N201" i="8"/>
  <c r="O200" i="8"/>
  <c r="N200" i="8"/>
  <c r="O199" i="8"/>
  <c r="N199" i="8"/>
  <c r="O198" i="8"/>
  <c r="N198" i="8"/>
  <c r="O197" i="8"/>
  <c r="N197" i="8"/>
  <c r="O196" i="8"/>
  <c r="N196" i="8"/>
  <c r="O195" i="8"/>
  <c r="N195" i="8"/>
  <c r="O194" i="8"/>
  <c r="N194" i="8"/>
  <c r="O193" i="8"/>
  <c r="N193" i="8"/>
  <c r="O192" i="8"/>
  <c r="N192" i="8"/>
  <c r="O191" i="8"/>
  <c r="N191" i="8"/>
  <c r="O190" i="8"/>
  <c r="N190" i="8"/>
  <c r="O189" i="8"/>
  <c r="N189" i="8"/>
  <c r="O188" i="8"/>
  <c r="N188" i="8"/>
  <c r="O187" i="8"/>
  <c r="N187" i="8"/>
  <c r="O186" i="8"/>
  <c r="N186" i="8"/>
  <c r="O185" i="8"/>
  <c r="N185" i="8"/>
  <c r="O184" i="8"/>
  <c r="N184" i="8"/>
  <c r="O183" i="8"/>
  <c r="N183" i="8"/>
  <c r="O182" i="8"/>
  <c r="N182" i="8"/>
  <c r="O181" i="8"/>
  <c r="N181" i="8"/>
  <c r="O180" i="8"/>
  <c r="N180" i="8"/>
  <c r="O179" i="8"/>
  <c r="N179" i="8"/>
  <c r="O178" i="8"/>
  <c r="N178" i="8"/>
  <c r="O177" i="8"/>
  <c r="N177" i="8"/>
  <c r="O176" i="8"/>
  <c r="N176" i="8"/>
  <c r="O175" i="8"/>
  <c r="N175" i="8"/>
  <c r="O174" i="8"/>
  <c r="N174" i="8"/>
  <c r="O173" i="8"/>
  <c r="N173" i="8"/>
  <c r="O172" i="8"/>
  <c r="N172" i="8"/>
  <c r="O171" i="8"/>
  <c r="N171" i="8"/>
  <c r="O170" i="8"/>
  <c r="N170" i="8"/>
  <c r="O169" i="8"/>
  <c r="N169" i="8"/>
  <c r="O168" i="8"/>
  <c r="N168" i="8"/>
  <c r="O167" i="8"/>
  <c r="N167" i="8"/>
  <c r="O166" i="8"/>
  <c r="N166" i="8"/>
  <c r="O165" i="8"/>
  <c r="N165" i="8"/>
  <c r="O164" i="8"/>
  <c r="N164" i="8"/>
  <c r="O163" i="8"/>
  <c r="N163" i="8"/>
  <c r="O162" i="8"/>
  <c r="N162" i="8"/>
  <c r="O161" i="8"/>
  <c r="N161" i="8"/>
  <c r="O160" i="8"/>
  <c r="N160" i="8"/>
  <c r="O159" i="8"/>
  <c r="N159" i="8"/>
  <c r="O158" i="8"/>
  <c r="N158" i="8"/>
  <c r="O157" i="8"/>
  <c r="N157" i="8"/>
  <c r="O156" i="8"/>
  <c r="N156" i="8"/>
  <c r="O155" i="8"/>
  <c r="N155" i="8"/>
  <c r="O154" i="8"/>
  <c r="N154" i="8"/>
  <c r="O153" i="8"/>
  <c r="N153" i="8"/>
  <c r="O152" i="8"/>
  <c r="N152" i="8"/>
  <c r="O151" i="8"/>
  <c r="N151" i="8"/>
  <c r="O150" i="8"/>
  <c r="N150" i="8"/>
  <c r="O149" i="8"/>
  <c r="N149" i="8"/>
  <c r="O148" i="8"/>
  <c r="N148" i="8"/>
  <c r="O147" i="8"/>
  <c r="N147" i="8"/>
  <c r="O146" i="8"/>
  <c r="N146" i="8"/>
  <c r="O145" i="8"/>
  <c r="N145" i="8"/>
  <c r="O144" i="8"/>
  <c r="N144" i="8"/>
  <c r="O143" i="8"/>
  <c r="N143" i="8"/>
  <c r="O142" i="8"/>
  <c r="N142" i="8"/>
  <c r="O141" i="8"/>
  <c r="N141" i="8"/>
  <c r="O140" i="8"/>
  <c r="N140" i="8"/>
  <c r="O139" i="8"/>
  <c r="N139" i="8"/>
  <c r="O138" i="8"/>
  <c r="N138" i="8"/>
  <c r="O137" i="8"/>
  <c r="N137" i="8"/>
  <c r="O136" i="8"/>
  <c r="N136" i="8"/>
  <c r="O135" i="8"/>
  <c r="N135" i="8"/>
  <c r="O134" i="8"/>
  <c r="O133" i="8"/>
  <c r="O132" i="8"/>
  <c r="O131" i="8"/>
  <c r="O130" i="8"/>
  <c r="N130" i="8"/>
  <c r="O129" i="8"/>
  <c r="N129" i="8"/>
  <c r="O128" i="8"/>
  <c r="O127" i="8"/>
  <c r="O126" i="8"/>
  <c r="O125" i="8"/>
  <c r="O124" i="8"/>
  <c r="N124" i="8"/>
  <c r="O123" i="8"/>
  <c r="N123" i="8"/>
  <c r="O122" i="8"/>
  <c r="N122" i="8"/>
  <c r="O121" i="8"/>
  <c r="O120" i="8"/>
  <c r="O119" i="8"/>
  <c r="O118" i="8"/>
  <c r="O117" i="8"/>
  <c r="N117" i="8"/>
  <c r="O116" i="8"/>
  <c r="N116" i="8"/>
  <c r="O115" i="8"/>
  <c r="N115" i="8"/>
  <c r="O114" i="8"/>
  <c r="O113" i="8"/>
  <c r="O112" i="8"/>
  <c r="O111" i="8"/>
  <c r="N111" i="8"/>
  <c r="O110" i="8"/>
  <c r="N110" i="8"/>
  <c r="O109" i="8"/>
  <c r="O108" i="8"/>
  <c r="O107" i="8"/>
  <c r="N107" i="8"/>
  <c r="O106" i="8"/>
  <c r="N106" i="8"/>
  <c r="O105" i="8"/>
  <c r="N105" i="8"/>
  <c r="O104" i="8"/>
  <c r="N104" i="8"/>
  <c r="O103" i="8"/>
  <c r="O102" i="8"/>
  <c r="O101" i="8"/>
  <c r="N101" i="8"/>
  <c r="O100" i="8"/>
  <c r="N100" i="8"/>
  <c r="O99" i="8"/>
  <c r="O98" i="8"/>
  <c r="O97" i="8"/>
  <c r="N97" i="8"/>
  <c r="O96" i="8"/>
  <c r="N96" i="8"/>
  <c r="O95" i="8"/>
  <c r="O94" i="8"/>
  <c r="N94" i="8"/>
  <c r="O93" i="8"/>
  <c r="O92" i="8"/>
  <c r="N92" i="8"/>
  <c r="O91" i="8"/>
  <c r="N91" i="8"/>
  <c r="O90" i="8"/>
  <c r="O89" i="8"/>
  <c r="N89" i="8"/>
  <c r="O88" i="8"/>
  <c r="N88" i="8"/>
  <c r="O87" i="8"/>
  <c r="O86" i="8"/>
  <c r="N86" i="8"/>
  <c r="O85" i="8"/>
  <c r="N85" i="8"/>
  <c r="O84" i="8"/>
  <c r="N84" i="8"/>
  <c r="O83" i="8"/>
  <c r="N83" i="8"/>
  <c r="O82" i="8"/>
  <c r="N82" i="8"/>
  <c r="O81" i="8"/>
  <c r="O80" i="8"/>
  <c r="N80" i="8"/>
  <c r="O79" i="8"/>
  <c r="O78" i="8"/>
  <c r="O77" i="8"/>
  <c r="N77" i="8"/>
  <c r="O76" i="8"/>
  <c r="O75" i="8"/>
  <c r="O74" i="8"/>
  <c r="O73" i="8"/>
  <c r="O72" i="8"/>
  <c r="N72" i="8"/>
  <c r="O71" i="8"/>
  <c r="N71" i="8"/>
  <c r="O70" i="8"/>
  <c r="N70" i="8"/>
  <c r="O69" i="8"/>
  <c r="N69" i="8"/>
  <c r="O68" i="8"/>
  <c r="N68" i="8"/>
  <c r="O67" i="8"/>
  <c r="O66" i="8"/>
  <c r="O65" i="8"/>
  <c r="O64" i="8"/>
  <c r="O63" i="8"/>
  <c r="O62" i="8"/>
  <c r="O61" i="8"/>
  <c r="N61" i="8"/>
  <c r="O60" i="8"/>
  <c r="N60" i="8"/>
  <c r="O59" i="8"/>
  <c r="O58" i="8"/>
  <c r="O57" i="8"/>
  <c r="N57" i="8"/>
  <c r="O56" i="8"/>
  <c r="N56" i="8"/>
  <c r="O55" i="8"/>
  <c r="N55" i="8"/>
  <c r="O54" i="8"/>
  <c r="N54" i="8"/>
  <c r="O53" i="8"/>
  <c r="O52" i="8"/>
  <c r="O51" i="8"/>
  <c r="N51" i="8"/>
  <c r="O50" i="8"/>
  <c r="N50" i="8"/>
  <c r="O49" i="8"/>
  <c r="N49" i="8"/>
  <c r="O48" i="8"/>
  <c r="O47" i="8"/>
  <c r="O46" i="8"/>
  <c r="O45" i="8"/>
  <c r="N45" i="8"/>
  <c r="O44" i="8"/>
  <c r="N44" i="8"/>
  <c r="O43" i="8"/>
  <c r="N43" i="8"/>
  <c r="O42" i="8"/>
  <c r="O41" i="8"/>
  <c r="O40" i="8"/>
  <c r="O39" i="8"/>
  <c r="O38" i="8"/>
  <c r="N38" i="8"/>
  <c r="O37" i="8"/>
  <c r="N37" i="8"/>
  <c r="O36" i="8"/>
  <c r="O35" i="8"/>
  <c r="O34" i="8"/>
  <c r="O33" i="8"/>
  <c r="N33" i="8"/>
  <c r="O32" i="8"/>
  <c r="N32" i="8"/>
  <c r="O31" i="8"/>
  <c r="N31" i="8"/>
  <c r="O30" i="8"/>
  <c r="N30" i="8"/>
  <c r="O29" i="8"/>
  <c r="N29" i="8"/>
  <c r="O28" i="8"/>
  <c r="N28" i="8"/>
  <c r="O27" i="8"/>
  <c r="N27" i="8"/>
  <c r="F82" i="25" s="1"/>
  <c r="O26" i="8"/>
  <c r="N26" i="8"/>
  <c r="O25" i="8"/>
  <c r="N25" i="8"/>
  <c r="O24" i="8"/>
  <c r="N24" i="8"/>
  <c r="O23" i="8"/>
  <c r="O22" i="8"/>
  <c r="O21" i="8"/>
  <c r="O20" i="8"/>
  <c r="O19" i="8"/>
  <c r="O18" i="8"/>
  <c r="O17" i="8"/>
  <c r="O16" i="8"/>
  <c r="O15" i="8"/>
  <c r="O14" i="8"/>
  <c r="O13" i="8"/>
  <c r="O12" i="8"/>
  <c r="O11" i="8"/>
  <c r="O10" i="8"/>
  <c r="O9" i="8"/>
  <c r="O8" i="8"/>
  <c r="O7" i="8"/>
  <c r="O6" i="8"/>
  <c r="O5" i="8"/>
  <c r="U1928" i="4"/>
  <c r="T1928" i="4"/>
  <c r="S1928" i="4"/>
  <c r="R1928" i="4"/>
  <c r="P1928" i="4"/>
  <c r="O1928" i="4"/>
  <c r="N1928" i="4"/>
  <c r="U1927" i="4"/>
  <c r="T1927" i="4"/>
  <c r="S1927" i="4"/>
  <c r="R1927" i="4"/>
  <c r="P1927" i="4"/>
  <c r="O1927" i="4"/>
  <c r="N1927" i="4"/>
  <c r="U1926" i="4"/>
  <c r="T1926" i="4"/>
  <c r="S1926" i="4"/>
  <c r="R1926" i="4"/>
  <c r="P1926" i="4"/>
  <c r="O1926" i="4"/>
  <c r="N1926" i="4"/>
  <c r="U1925" i="4"/>
  <c r="T1925" i="4"/>
  <c r="S1925" i="4"/>
  <c r="R1925" i="4"/>
  <c r="P1925" i="4"/>
  <c r="O1925" i="4"/>
  <c r="N1925" i="4"/>
  <c r="U1924" i="4"/>
  <c r="T1924" i="4"/>
  <c r="S1924" i="4"/>
  <c r="R1924" i="4"/>
  <c r="P1924" i="4"/>
  <c r="O1924" i="4"/>
  <c r="N1924" i="4"/>
  <c r="U1923" i="4"/>
  <c r="T1923" i="4"/>
  <c r="S1923" i="4"/>
  <c r="R1923" i="4"/>
  <c r="P1923" i="4"/>
  <c r="O1923" i="4"/>
  <c r="N1923" i="4"/>
  <c r="U1922" i="4"/>
  <c r="T1922" i="4"/>
  <c r="S1922" i="4"/>
  <c r="R1922" i="4"/>
  <c r="P1922" i="4"/>
  <c r="O1922" i="4"/>
  <c r="N1922" i="4"/>
  <c r="U1921" i="4"/>
  <c r="T1921" i="4"/>
  <c r="S1921" i="4"/>
  <c r="R1921" i="4"/>
  <c r="P1921" i="4"/>
  <c r="O1921" i="4"/>
  <c r="N1921" i="4"/>
  <c r="U1920" i="4"/>
  <c r="T1920" i="4"/>
  <c r="S1920" i="4"/>
  <c r="R1920" i="4"/>
  <c r="P1920" i="4"/>
  <c r="O1920" i="4"/>
  <c r="N1920" i="4"/>
  <c r="U1919" i="4"/>
  <c r="T1919" i="4"/>
  <c r="S1919" i="4"/>
  <c r="R1919" i="4"/>
  <c r="P1919" i="4"/>
  <c r="O1919" i="4"/>
  <c r="N1919" i="4"/>
  <c r="U1918" i="4"/>
  <c r="T1918" i="4"/>
  <c r="S1918" i="4"/>
  <c r="R1918" i="4"/>
  <c r="P1918" i="4"/>
  <c r="O1918" i="4"/>
  <c r="N1918" i="4"/>
  <c r="U1917" i="4"/>
  <c r="T1917" i="4"/>
  <c r="S1917" i="4"/>
  <c r="R1917" i="4"/>
  <c r="P1917" i="4"/>
  <c r="O1917" i="4"/>
  <c r="N1917" i="4"/>
  <c r="U1916" i="4"/>
  <c r="T1916" i="4"/>
  <c r="S1916" i="4"/>
  <c r="R1916" i="4"/>
  <c r="P1916" i="4"/>
  <c r="O1916" i="4"/>
  <c r="N1916" i="4"/>
  <c r="U1915" i="4"/>
  <c r="T1915" i="4"/>
  <c r="S1915" i="4"/>
  <c r="R1915" i="4"/>
  <c r="P1915" i="4"/>
  <c r="O1915" i="4"/>
  <c r="N1915" i="4"/>
  <c r="U1914" i="4"/>
  <c r="T1914" i="4"/>
  <c r="S1914" i="4"/>
  <c r="R1914" i="4"/>
  <c r="P1914" i="4"/>
  <c r="O1914" i="4"/>
  <c r="N1914" i="4"/>
  <c r="U1913" i="4"/>
  <c r="T1913" i="4"/>
  <c r="S1913" i="4"/>
  <c r="R1913" i="4"/>
  <c r="P1913" i="4"/>
  <c r="O1913" i="4"/>
  <c r="N1913" i="4"/>
  <c r="U1912" i="4"/>
  <c r="T1912" i="4"/>
  <c r="S1912" i="4"/>
  <c r="R1912" i="4"/>
  <c r="P1912" i="4"/>
  <c r="O1912" i="4"/>
  <c r="N1912" i="4"/>
  <c r="U1911" i="4"/>
  <c r="T1911" i="4"/>
  <c r="S1911" i="4"/>
  <c r="R1911" i="4"/>
  <c r="P1911" i="4"/>
  <c r="O1911" i="4"/>
  <c r="N1911" i="4"/>
  <c r="U1910" i="4"/>
  <c r="T1910" i="4"/>
  <c r="S1910" i="4"/>
  <c r="R1910" i="4"/>
  <c r="P1910" i="4"/>
  <c r="O1910" i="4"/>
  <c r="N1910" i="4"/>
  <c r="U1909" i="4"/>
  <c r="T1909" i="4"/>
  <c r="S1909" i="4"/>
  <c r="R1909" i="4"/>
  <c r="P1909" i="4"/>
  <c r="O1909" i="4"/>
  <c r="N1909" i="4"/>
  <c r="U1908" i="4"/>
  <c r="T1908" i="4"/>
  <c r="S1908" i="4"/>
  <c r="R1908" i="4"/>
  <c r="P1908" i="4"/>
  <c r="O1908" i="4"/>
  <c r="N1908" i="4"/>
  <c r="U1907" i="4"/>
  <c r="T1907" i="4"/>
  <c r="S1907" i="4"/>
  <c r="R1907" i="4"/>
  <c r="P1907" i="4"/>
  <c r="O1907" i="4"/>
  <c r="N1907" i="4"/>
  <c r="U1906" i="4"/>
  <c r="T1906" i="4"/>
  <c r="S1906" i="4"/>
  <c r="R1906" i="4"/>
  <c r="P1906" i="4"/>
  <c r="O1906" i="4"/>
  <c r="N1906" i="4"/>
  <c r="U1905" i="4"/>
  <c r="T1905" i="4"/>
  <c r="S1905" i="4"/>
  <c r="R1905" i="4"/>
  <c r="P1905" i="4"/>
  <c r="O1905" i="4"/>
  <c r="N1905" i="4"/>
  <c r="U1904" i="4"/>
  <c r="T1904" i="4"/>
  <c r="S1904" i="4"/>
  <c r="R1904" i="4"/>
  <c r="P1904" i="4"/>
  <c r="O1904" i="4"/>
  <c r="N1904" i="4"/>
  <c r="U1903" i="4"/>
  <c r="T1903" i="4"/>
  <c r="S1903" i="4"/>
  <c r="R1903" i="4"/>
  <c r="P1903" i="4"/>
  <c r="O1903" i="4"/>
  <c r="N1903" i="4"/>
  <c r="U1902" i="4"/>
  <c r="T1902" i="4"/>
  <c r="S1902" i="4"/>
  <c r="R1902" i="4"/>
  <c r="P1902" i="4"/>
  <c r="O1902" i="4"/>
  <c r="N1902" i="4"/>
  <c r="U1901" i="4"/>
  <c r="T1901" i="4"/>
  <c r="S1901" i="4"/>
  <c r="R1901" i="4"/>
  <c r="P1901" i="4"/>
  <c r="O1901" i="4"/>
  <c r="N1901" i="4"/>
  <c r="U1900" i="4"/>
  <c r="T1900" i="4"/>
  <c r="S1900" i="4"/>
  <c r="R1900" i="4"/>
  <c r="P1900" i="4"/>
  <c r="O1900" i="4"/>
  <c r="N1900" i="4"/>
  <c r="U1899" i="4"/>
  <c r="T1899" i="4"/>
  <c r="S1899" i="4"/>
  <c r="R1899" i="4"/>
  <c r="P1899" i="4"/>
  <c r="O1899" i="4"/>
  <c r="N1899" i="4"/>
  <c r="U1898" i="4"/>
  <c r="T1898" i="4"/>
  <c r="S1898" i="4"/>
  <c r="R1898" i="4"/>
  <c r="P1898" i="4"/>
  <c r="O1898" i="4"/>
  <c r="N1898" i="4"/>
  <c r="U1897" i="4"/>
  <c r="T1897" i="4"/>
  <c r="S1897" i="4"/>
  <c r="R1897" i="4"/>
  <c r="P1897" i="4"/>
  <c r="O1897" i="4"/>
  <c r="N1897" i="4"/>
  <c r="U1896" i="4"/>
  <c r="T1896" i="4"/>
  <c r="S1896" i="4"/>
  <c r="R1896" i="4"/>
  <c r="P1896" i="4"/>
  <c r="O1896" i="4"/>
  <c r="N1896" i="4"/>
  <c r="U1895" i="4"/>
  <c r="T1895" i="4"/>
  <c r="S1895" i="4"/>
  <c r="R1895" i="4"/>
  <c r="P1895" i="4"/>
  <c r="O1895" i="4"/>
  <c r="N1895" i="4"/>
  <c r="U1894" i="4"/>
  <c r="T1894" i="4"/>
  <c r="S1894" i="4"/>
  <c r="R1894" i="4"/>
  <c r="P1894" i="4"/>
  <c r="O1894" i="4"/>
  <c r="N1894" i="4"/>
  <c r="U1893" i="4"/>
  <c r="T1893" i="4"/>
  <c r="S1893" i="4"/>
  <c r="R1893" i="4"/>
  <c r="P1893" i="4"/>
  <c r="O1893" i="4"/>
  <c r="N1893" i="4"/>
  <c r="U1892" i="4"/>
  <c r="T1892" i="4"/>
  <c r="S1892" i="4"/>
  <c r="R1892" i="4"/>
  <c r="P1892" i="4"/>
  <c r="O1892" i="4"/>
  <c r="N1892" i="4"/>
  <c r="U1891" i="4"/>
  <c r="T1891" i="4"/>
  <c r="S1891" i="4"/>
  <c r="R1891" i="4"/>
  <c r="P1891" i="4"/>
  <c r="O1891" i="4"/>
  <c r="N1891" i="4"/>
  <c r="U1890" i="4"/>
  <c r="T1890" i="4"/>
  <c r="S1890" i="4"/>
  <c r="R1890" i="4"/>
  <c r="P1890" i="4"/>
  <c r="O1890" i="4"/>
  <c r="N1890" i="4"/>
  <c r="U1889" i="4"/>
  <c r="T1889" i="4"/>
  <c r="S1889" i="4"/>
  <c r="R1889" i="4"/>
  <c r="P1889" i="4"/>
  <c r="O1889" i="4"/>
  <c r="N1889" i="4"/>
  <c r="U1888" i="4"/>
  <c r="T1888" i="4"/>
  <c r="S1888" i="4"/>
  <c r="R1888" i="4"/>
  <c r="P1888" i="4"/>
  <c r="O1888" i="4"/>
  <c r="N1888" i="4"/>
  <c r="U1887" i="4"/>
  <c r="T1887" i="4"/>
  <c r="S1887" i="4"/>
  <c r="R1887" i="4"/>
  <c r="P1887" i="4"/>
  <c r="O1887" i="4"/>
  <c r="N1887" i="4"/>
  <c r="U1886" i="4"/>
  <c r="T1886" i="4"/>
  <c r="S1886" i="4"/>
  <c r="R1886" i="4"/>
  <c r="P1886" i="4"/>
  <c r="O1886" i="4"/>
  <c r="N1886" i="4"/>
  <c r="U1885" i="4"/>
  <c r="T1885" i="4"/>
  <c r="S1885" i="4"/>
  <c r="R1885" i="4"/>
  <c r="P1885" i="4"/>
  <c r="O1885" i="4"/>
  <c r="N1885" i="4"/>
  <c r="U1884" i="4"/>
  <c r="T1884" i="4"/>
  <c r="S1884" i="4"/>
  <c r="R1884" i="4"/>
  <c r="P1884" i="4"/>
  <c r="O1884" i="4"/>
  <c r="N1884" i="4"/>
  <c r="U1883" i="4"/>
  <c r="T1883" i="4"/>
  <c r="S1883" i="4"/>
  <c r="R1883" i="4"/>
  <c r="P1883" i="4"/>
  <c r="O1883" i="4"/>
  <c r="N1883" i="4"/>
  <c r="U1882" i="4"/>
  <c r="T1882" i="4"/>
  <c r="S1882" i="4"/>
  <c r="R1882" i="4"/>
  <c r="P1882" i="4"/>
  <c r="O1882" i="4"/>
  <c r="N1882" i="4"/>
  <c r="U1881" i="4"/>
  <c r="T1881" i="4"/>
  <c r="S1881" i="4"/>
  <c r="R1881" i="4"/>
  <c r="P1881" i="4"/>
  <c r="O1881" i="4"/>
  <c r="N1881" i="4"/>
  <c r="U1880" i="4"/>
  <c r="T1880" i="4"/>
  <c r="S1880" i="4"/>
  <c r="R1880" i="4"/>
  <c r="P1880" i="4"/>
  <c r="O1880" i="4"/>
  <c r="N1880" i="4"/>
  <c r="U1879" i="4"/>
  <c r="T1879" i="4"/>
  <c r="S1879" i="4"/>
  <c r="R1879" i="4"/>
  <c r="P1879" i="4"/>
  <c r="O1879" i="4"/>
  <c r="N1879" i="4"/>
  <c r="U1878" i="4"/>
  <c r="T1878" i="4"/>
  <c r="S1878" i="4"/>
  <c r="R1878" i="4"/>
  <c r="P1878" i="4"/>
  <c r="O1878" i="4"/>
  <c r="N1878" i="4"/>
  <c r="U1877" i="4"/>
  <c r="T1877" i="4"/>
  <c r="S1877" i="4"/>
  <c r="R1877" i="4"/>
  <c r="P1877" i="4"/>
  <c r="O1877" i="4"/>
  <c r="N1877" i="4"/>
  <c r="U1876" i="4"/>
  <c r="T1876" i="4"/>
  <c r="S1876" i="4"/>
  <c r="R1876" i="4"/>
  <c r="P1876" i="4"/>
  <c r="O1876" i="4"/>
  <c r="N1876" i="4"/>
  <c r="U1875" i="4"/>
  <c r="T1875" i="4"/>
  <c r="S1875" i="4"/>
  <c r="R1875" i="4"/>
  <c r="P1875" i="4"/>
  <c r="O1875" i="4"/>
  <c r="N1875" i="4"/>
  <c r="U1874" i="4"/>
  <c r="T1874" i="4"/>
  <c r="S1874" i="4"/>
  <c r="R1874" i="4"/>
  <c r="P1874" i="4"/>
  <c r="O1874" i="4"/>
  <c r="N1874" i="4"/>
  <c r="U1873" i="4"/>
  <c r="T1873" i="4"/>
  <c r="S1873" i="4"/>
  <c r="R1873" i="4"/>
  <c r="P1873" i="4"/>
  <c r="O1873" i="4"/>
  <c r="N1873" i="4"/>
  <c r="U1872" i="4"/>
  <c r="T1872" i="4"/>
  <c r="S1872" i="4"/>
  <c r="R1872" i="4"/>
  <c r="P1872" i="4"/>
  <c r="O1872" i="4"/>
  <c r="N1872" i="4"/>
  <c r="U1871" i="4"/>
  <c r="T1871" i="4"/>
  <c r="S1871" i="4"/>
  <c r="R1871" i="4"/>
  <c r="P1871" i="4"/>
  <c r="O1871" i="4"/>
  <c r="N1871" i="4"/>
  <c r="U1870" i="4"/>
  <c r="T1870" i="4"/>
  <c r="S1870" i="4"/>
  <c r="R1870" i="4"/>
  <c r="P1870" i="4"/>
  <c r="O1870" i="4"/>
  <c r="N1870" i="4"/>
  <c r="U1869" i="4"/>
  <c r="T1869" i="4"/>
  <c r="S1869" i="4"/>
  <c r="R1869" i="4"/>
  <c r="P1869" i="4"/>
  <c r="O1869" i="4"/>
  <c r="N1869" i="4"/>
  <c r="U1868" i="4"/>
  <c r="T1868" i="4"/>
  <c r="S1868" i="4"/>
  <c r="R1868" i="4"/>
  <c r="P1868" i="4"/>
  <c r="O1868" i="4"/>
  <c r="N1868" i="4"/>
  <c r="U1867" i="4"/>
  <c r="T1867" i="4"/>
  <c r="S1867" i="4"/>
  <c r="R1867" i="4"/>
  <c r="P1867" i="4"/>
  <c r="O1867" i="4"/>
  <c r="N1867" i="4"/>
  <c r="U1866" i="4"/>
  <c r="T1866" i="4"/>
  <c r="S1866" i="4"/>
  <c r="R1866" i="4"/>
  <c r="P1866" i="4"/>
  <c r="O1866" i="4"/>
  <c r="N1866" i="4"/>
  <c r="U1865" i="4"/>
  <c r="T1865" i="4"/>
  <c r="S1865" i="4"/>
  <c r="R1865" i="4"/>
  <c r="P1865" i="4"/>
  <c r="O1865" i="4"/>
  <c r="N1865" i="4"/>
  <c r="U1864" i="4"/>
  <c r="T1864" i="4"/>
  <c r="S1864" i="4"/>
  <c r="R1864" i="4"/>
  <c r="P1864" i="4"/>
  <c r="O1864" i="4"/>
  <c r="N1864" i="4"/>
  <c r="U1863" i="4"/>
  <c r="T1863" i="4"/>
  <c r="S1863" i="4"/>
  <c r="R1863" i="4"/>
  <c r="P1863" i="4"/>
  <c r="O1863" i="4"/>
  <c r="N1863" i="4"/>
  <c r="U1862" i="4"/>
  <c r="T1862" i="4"/>
  <c r="S1862" i="4"/>
  <c r="R1862" i="4"/>
  <c r="P1862" i="4"/>
  <c r="O1862" i="4"/>
  <c r="N1862" i="4"/>
  <c r="U1861" i="4"/>
  <c r="T1861" i="4"/>
  <c r="S1861" i="4"/>
  <c r="R1861" i="4"/>
  <c r="P1861" i="4"/>
  <c r="O1861" i="4"/>
  <c r="N1861" i="4"/>
  <c r="U1860" i="4"/>
  <c r="T1860" i="4"/>
  <c r="S1860" i="4"/>
  <c r="R1860" i="4"/>
  <c r="P1860" i="4"/>
  <c r="O1860" i="4"/>
  <c r="N1860" i="4"/>
  <c r="U1859" i="4"/>
  <c r="T1859" i="4"/>
  <c r="S1859" i="4"/>
  <c r="R1859" i="4"/>
  <c r="P1859" i="4"/>
  <c r="O1859" i="4"/>
  <c r="N1859" i="4"/>
  <c r="U1858" i="4"/>
  <c r="T1858" i="4"/>
  <c r="S1858" i="4"/>
  <c r="R1858" i="4"/>
  <c r="P1858" i="4"/>
  <c r="O1858" i="4"/>
  <c r="N1858" i="4"/>
  <c r="U1857" i="4"/>
  <c r="T1857" i="4"/>
  <c r="S1857" i="4"/>
  <c r="R1857" i="4"/>
  <c r="P1857" i="4"/>
  <c r="O1857" i="4"/>
  <c r="N1857" i="4"/>
  <c r="U1856" i="4"/>
  <c r="T1856" i="4"/>
  <c r="S1856" i="4"/>
  <c r="R1856" i="4"/>
  <c r="P1856" i="4"/>
  <c r="O1856" i="4"/>
  <c r="N1856" i="4"/>
  <c r="U1855" i="4"/>
  <c r="T1855" i="4"/>
  <c r="S1855" i="4"/>
  <c r="R1855" i="4"/>
  <c r="P1855" i="4"/>
  <c r="O1855" i="4"/>
  <c r="N1855" i="4"/>
  <c r="U1854" i="4"/>
  <c r="T1854" i="4"/>
  <c r="S1854" i="4"/>
  <c r="R1854" i="4"/>
  <c r="P1854" i="4"/>
  <c r="O1854" i="4"/>
  <c r="N1854" i="4"/>
  <c r="U1853" i="4"/>
  <c r="T1853" i="4"/>
  <c r="S1853" i="4"/>
  <c r="R1853" i="4"/>
  <c r="P1853" i="4"/>
  <c r="O1853" i="4"/>
  <c r="N1853" i="4"/>
  <c r="U1852" i="4"/>
  <c r="T1852" i="4"/>
  <c r="S1852" i="4"/>
  <c r="R1852" i="4"/>
  <c r="P1852" i="4"/>
  <c r="O1852" i="4"/>
  <c r="N1852" i="4"/>
  <c r="U1851" i="4"/>
  <c r="T1851" i="4"/>
  <c r="S1851" i="4"/>
  <c r="R1851" i="4"/>
  <c r="P1851" i="4"/>
  <c r="O1851" i="4"/>
  <c r="N1851" i="4"/>
  <c r="U1850" i="4"/>
  <c r="T1850" i="4"/>
  <c r="S1850" i="4"/>
  <c r="R1850" i="4"/>
  <c r="P1850" i="4"/>
  <c r="O1850" i="4"/>
  <c r="N1850" i="4"/>
  <c r="U1849" i="4"/>
  <c r="T1849" i="4"/>
  <c r="S1849" i="4"/>
  <c r="R1849" i="4"/>
  <c r="P1849" i="4"/>
  <c r="O1849" i="4"/>
  <c r="N1849" i="4"/>
  <c r="U1848" i="4"/>
  <c r="T1848" i="4"/>
  <c r="S1848" i="4"/>
  <c r="R1848" i="4"/>
  <c r="P1848" i="4"/>
  <c r="O1848" i="4"/>
  <c r="N1848" i="4"/>
  <c r="U1847" i="4"/>
  <c r="T1847" i="4"/>
  <c r="S1847" i="4"/>
  <c r="R1847" i="4"/>
  <c r="P1847" i="4"/>
  <c r="O1847" i="4"/>
  <c r="N1847" i="4"/>
  <c r="U1846" i="4"/>
  <c r="T1846" i="4"/>
  <c r="S1846" i="4"/>
  <c r="R1846" i="4"/>
  <c r="P1846" i="4"/>
  <c r="O1846" i="4"/>
  <c r="N1846" i="4"/>
  <c r="U1845" i="4"/>
  <c r="T1845" i="4"/>
  <c r="S1845" i="4"/>
  <c r="R1845" i="4"/>
  <c r="P1845" i="4"/>
  <c r="O1845" i="4"/>
  <c r="N1845" i="4"/>
  <c r="U1844" i="4"/>
  <c r="T1844" i="4"/>
  <c r="S1844" i="4"/>
  <c r="R1844" i="4"/>
  <c r="P1844" i="4"/>
  <c r="O1844" i="4"/>
  <c r="N1844" i="4"/>
  <c r="U1843" i="4"/>
  <c r="T1843" i="4"/>
  <c r="S1843" i="4"/>
  <c r="R1843" i="4"/>
  <c r="P1843" i="4"/>
  <c r="O1843" i="4"/>
  <c r="N1843" i="4"/>
  <c r="U1842" i="4"/>
  <c r="T1842" i="4"/>
  <c r="S1842" i="4"/>
  <c r="R1842" i="4"/>
  <c r="P1842" i="4"/>
  <c r="O1842" i="4"/>
  <c r="N1842" i="4"/>
  <c r="U1841" i="4"/>
  <c r="T1841" i="4"/>
  <c r="S1841" i="4"/>
  <c r="R1841" i="4"/>
  <c r="P1841" i="4"/>
  <c r="O1841" i="4"/>
  <c r="N1841" i="4"/>
  <c r="U1840" i="4"/>
  <c r="T1840" i="4"/>
  <c r="S1840" i="4"/>
  <c r="R1840" i="4"/>
  <c r="P1840" i="4"/>
  <c r="O1840" i="4"/>
  <c r="N1840" i="4"/>
  <c r="U1839" i="4"/>
  <c r="T1839" i="4"/>
  <c r="S1839" i="4"/>
  <c r="R1839" i="4"/>
  <c r="P1839" i="4"/>
  <c r="O1839" i="4"/>
  <c r="N1839" i="4"/>
  <c r="U1838" i="4"/>
  <c r="T1838" i="4"/>
  <c r="S1838" i="4"/>
  <c r="R1838" i="4"/>
  <c r="P1838" i="4"/>
  <c r="O1838" i="4"/>
  <c r="N1838" i="4"/>
  <c r="U1837" i="4"/>
  <c r="T1837" i="4"/>
  <c r="S1837" i="4"/>
  <c r="R1837" i="4"/>
  <c r="P1837" i="4"/>
  <c r="O1837" i="4"/>
  <c r="N1837" i="4"/>
  <c r="U1836" i="4"/>
  <c r="T1836" i="4"/>
  <c r="S1836" i="4"/>
  <c r="R1836" i="4"/>
  <c r="P1836" i="4"/>
  <c r="O1836" i="4"/>
  <c r="N1836" i="4"/>
  <c r="U1835" i="4"/>
  <c r="T1835" i="4"/>
  <c r="S1835" i="4"/>
  <c r="R1835" i="4"/>
  <c r="P1835" i="4"/>
  <c r="O1835" i="4"/>
  <c r="N1835" i="4"/>
  <c r="U1834" i="4"/>
  <c r="T1834" i="4"/>
  <c r="S1834" i="4"/>
  <c r="R1834" i="4"/>
  <c r="P1834" i="4"/>
  <c r="O1834" i="4"/>
  <c r="N1834" i="4"/>
  <c r="U1833" i="4"/>
  <c r="T1833" i="4"/>
  <c r="S1833" i="4"/>
  <c r="R1833" i="4"/>
  <c r="P1833" i="4"/>
  <c r="O1833" i="4"/>
  <c r="N1833" i="4"/>
  <c r="U1832" i="4"/>
  <c r="T1832" i="4"/>
  <c r="S1832" i="4"/>
  <c r="R1832" i="4"/>
  <c r="P1832" i="4"/>
  <c r="O1832" i="4"/>
  <c r="N1832" i="4"/>
  <c r="U1831" i="4"/>
  <c r="T1831" i="4"/>
  <c r="S1831" i="4"/>
  <c r="R1831" i="4"/>
  <c r="P1831" i="4"/>
  <c r="O1831" i="4"/>
  <c r="N1831" i="4"/>
  <c r="U1830" i="4"/>
  <c r="T1830" i="4"/>
  <c r="S1830" i="4"/>
  <c r="R1830" i="4"/>
  <c r="P1830" i="4"/>
  <c r="O1830" i="4"/>
  <c r="N1830" i="4"/>
  <c r="U1829" i="4"/>
  <c r="T1829" i="4"/>
  <c r="S1829" i="4"/>
  <c r="R1829" i="4"/>
  <c r="P1829" i="4"/>
  <c r="O1829" i="4"/>
  <c r="N1829" i="4"/>
  <c r="U1828" i="4"/>
  <c r="T1828" i="4"/>
  <c r="S1828" i="4"/>
  <c r="R1828" i="4"/>
  <c r="P1828" i="4"/>
  <c r="O1828" i="4"/>
  <c r="N1828" i="4"/>
  <c r="U1827" i="4"/>
  <c r="T1827" i="4"/>
  <c r="S1827" i="4"/>
  <c r="R1827" i="4"/>
  <c r="P1827" i="4"/>
  <c r="O1827" i="4"/>
  <c r="N1827" i="4"/>
  <c r="U1826" i="4"/>
  <c r="T1826" i="4"/>
  <c r="S1826" i="4"/>
  <c r="R1826" i="4"/>
  <c r="P1826" i="4"/>
  <c r="O1826" i="4"/>
  <c r="N1826" i="4"/>
  <c r="U1825" i="4"/>
  <c r="T1825" i="4"/>
  <c r="S1825" i="4"/>
  <c r="R1825" i="4"/>
  <c r="P1825" i="4"/>
  <c r="O1825" i="4"/>
  <c r="N1825" i="4"/>
  <c r="U1824" i="4"/>
  <c r="T1824" i="4"/>
  <c r="S1824" i="4"/>
  <c r="R1824" i="4"/>
  <c r="P1824" i="4"/>
  <c r="O1824" i="4"/>
  <c r="N1824" i="4"/>
  <c r="U1823" i="4"/>
  <c r="T1823" i="4"/>
  <c r="S1823" i="4"/>
  <c r="R1823" i="4"/>
  <c r="P1823" i="4"/>
  <c r="O1823" i="4"/>
  <c r="N1823" i="4"/>
  <c r="U1822" i="4"/>
  <c r="T1822" i="4"/>
  <c r="S1822" i="4"/>
  <c r="R1822" i="4"/>
  <c r="P1822" i="4"/>
  <c r="O1822" i="4"/>
  <c r="N1822" i="4"/>
  <c r="U1821" i="4"/>
  <c r="T1821" i="4"/>
  <c r="S1821" i="4"/>
  <c r="R1821" i="4"/>
  <c r="P1821" i="4"/>
  <c r="O1821" i="4"/>
  <c r="N1821" i="4"/>
  <c r="U1820" i="4"/>
  <c r="T1820" i="4"/>
  <c r="S1820" i="4"/>
  <c r="R1820" i="4"/>
  <c r="P1820" i="4"/>
  <c r="O1820" i="4"/>
  <c r="N1820" i="4"/>
  <c r="U1819" i="4"/>
  <c r="T1819" i="4"/>
  <c r="S1819" i="4"/>
  <c r="R1819" i="4"/>
  <c r="P1819" i="4"/>
  <c r="O1819" i="4"/>
  <c r="N1819" i="4"/>
  <c r="U1818" i="4"/>
  <c r="T1818" i="4"/>
  <c r="S1818" i="4"/>
  <c r="R1818" i="4"/>
  <c r="P1818" i="4"/>
  <c r="O1818" i="4"/>
  <c r="N1818" i="4"/>
  <c r="U1817" i="4"/>
  <c r="T1817" i="4"/>
  <c r="S1817" i="4"/>
  <c r="R1817" i="4"/>
  <c r="P1817" i="4"/>
  <c r="O1817" i="4"/>
  <c r="N1817" i="4"/>
  <c r="U1816" i="4"/>
  <c r="T1816" i="4"/>
  <c r="S1816" i="4"/>
  <c r="R1816" i="4"/>
  <c r="P1816" i="4"/>
  <c r="O1816" i="4"/>
  <c r="N1816" i="4"/>
  <c r="U1815" i="4"/>
  <c r="T1815" i="4"/>
  <c r="S1815" i="4"/>
  <c r="R1815" i="4"/>
  <c r="P1815" i="4"/>
  <c r="O1815" i="4"/>
  <c r="N1815" i="4"/>
  <c r="U1814" i="4"/>
  <c r="T1814" i="4"/>
  <c r="S1814" i="4"/>
  <c r="R1814" i="4"/>
  <c r="P1814" i="4"/>
  <c r="O1814" i="4"/>
  <c r="N1814" i="4"/>
  <c r="U1813" i="4"/>
  <c r="T1813" i="4"/>
  <c r="S1813" i="4"/>
  <c r="R1813" i="4"/>
  <c r="P1813" i="4"/>
  <c r="O1813" i="4"/>
  <c r="N1813" i="4"/>
  <c r="U1812" i="4"/>
  <c r="T1812" i="4"/>
  <c r="S1812" i="4"/>
  <c r="R1812" i="4"/>
  <c r="P1812" i="4"/>
  <c r="O1812" i="4"/>
  <c r="N1812" i="4"/>
  <c r="U1811" i="4"/>
  <c r="T1811" i="4"/>
  <c r="S1811" i="4"/>
  <c r="R1811" i="4"/>
  <c r="P1811" i="4"/>
  <c r="O1811" i="4"/>
  <c r="N1811" i="4"/>
  <c r="U1810" i="4"/>
  <c r="T1810" i="4"/>
  <c r="S1810" i="4"/>
  <c r="R1810" i="4"/>
  <c r="P1810" i="4"/>
  <c r="O1810" i="4"/>
  <c r="N1810" i="4"/>
  <c r="U1809" i="4"/>
  <c r="T1809" i="4"/>
  <c r="S1809" i="4"/>
  <c r="R1809" i="4"/>
  <c r="P1809" i="4"/>
  <c r="O1809" i="4"/>
  <c r="N1809" i="4"/>
  <c r="U1808" i="4"/>
  <c r="T1808" i="4"/>
  <c r="S1808" i="4"/>
  <c r="R1808" i="4"/>
  <c r="P1808" i="4"/>
  <c r="O1808" i="4"/>
  <c r="N1808" i="4"/>
  <c r="U1807" i="4"/>
  <c r="T1807" i="4"/>
  <c r="S1807" i="4"/>
  <c r="R1807" i="4"/>
  <c r="P1807" i="4"/>
  <c r="O1807" i="4"/>
  <c r="N1807" i="4"/>
  <c r="U1806" i="4"/>
  <c r="T1806" i="4"/>
  <c r="S1806" i="4"/>
  <c r="R1806" i="4"/>
  <c r="P1806" i="4"/>
  <c r="O1806" i="4"/>
  <c r="N1806" i="4"/>
  <c r="U1805" i="4"/>
  <c r="T1805" i="4"/>
  <c r="S1805" i="4"/>
  <c r="R1805" i="4"/>
  <c r="P1805" i="4"/>
  <c r="O1805" i="4"/>
  <c r="N1805" i="4"/>
  <c r="U1804" i="4"/>
  <c r="T1804" i="4"/>
  <c r="S1804" i="4"/>
  <c r="R1804" i="4"/>
  <c r="P1804" i="4"/>
  <c r="O1804" i="4"/>
  <c r="N1804" i="4"/>
  <c r="U1803" i="4"/>
  <c r="T1803" i="4"/>
  <c r="S1803" i="4"/>
  <c r="R1803" i="4"/>
  <c r="P1803" i="4"/>
  <c r="O1803" i="4"/>
  <c r="N1803" i="4"/>
  <c r="U1802" i="4"/>
  <c r="T1802" i="4"/>
  <c r="S1802" i="4"/>
  <c r="R1802" i="4"/>
  <c r="P1802" i="4"/>
  <c r="O1802" i="4"/>
  <c r="N1802" i="4"/>
  <c r="U1801" i="4"/>
  <c r="T1801" i="4"/>
  <c r="S1801" i="4"/>
  <c r="R1801" i="4"/>
  <c r="P1801" i="4"/>
  <c r="O1801" i="4"/>
  <c r="N1801" i="4"/>
  <c r="U1800" i="4"/>
  <c r="T1800" i="4"/>
  <c r="S1800" i="4"/>
  <c r="R1800" i="4"/>
  <c r="P1800" i="4"/>
  <c r="O1800" i="4"/>
  <c r="N1800" i="4"/>
  <c r="U1799" i="4"/>
  <c r="T1799" i="4"/>
  <c r="S1799" i="4"/>
  <c r="R1799" i="4"/>
  <c r="P1799" i="4"/>
  <c r="O1799" i="4"/>
  <c r="N1799" i="4"/>
  <c r="U1798" i="4"/>
  <c r="T1798" i="4"/>
  <c r="S1798" i="4"/>
  <c r="R1798" i="4"/>
  <c r="P1798" i="4"/>
  <c r="O1798" i="4"/>
  <c r="N1798" i="4"/>
  <c r="U1797" i="4"/>
  <c r="T1797" i="4"/>
  <c r="S1797" i="4"/>
  <c r="R1797" i="4"/>
  <c r="P1797" i="4"/>
  <c r="O1797" i="4"/>
  <c r="N1797" i="4"/>
  <c r="U1796" i="4"/>
  <c r="T1796" i="4"/>
  <c r="S1796" i="4"/>
  <c r="R1796" i="4"/>
  <c r="P1796" i="4"/>
  <c r="O1796" i="4"/>
  <c r="N1796" i="4"/>
  <c r="U1795" i="4"/>
  <c r="T1795" i="4"/>
  <c r="S1795" i="4"/>
  <c r="R1795" i="4"/>
  <c r="P1795" i="4"/>
  <c r="O1795" i="4"/>
  <c r="N1795" i="4"/>
  <c r="U1794" i="4"/>
  <c r="T1794" i="4"/>
  <c r="S1794" i="4"/>
  <c r="R1794" i="4"/>
  <c r="P1794" i="4"/>
  <c r="O1794" i="4"/>
  <c r="N1794" i="4"/>
  <c r="U1793" i="4"/>
  <c r="T1793" i="4"/>
  <c r="S1793" i="4"/>
  <c r="R1793" i="4"/>
  <c r="P1793" i="4"/>
  <c r="O1793" i="4"/>
  <c r="N1793" i="4"/>
  <c r="U1792" i="4"/>
  <c r="T1792" i="4"/>
  <c r="S1792" i="4"/>
  <c r="R1792" i="4"/>
  <c r="P1792" i="4"/>
  <c r="O1792" i="4"/>
  <c r="N1792" i="4"/>
  <c r="U1791" i="4"/>
  <c r="T1791" i="4"/>
  <c r="S1791" i="4"/>
  <c r="R1791" i="4"/>
  <c r="P1791" i="4"/>
  <c r="O1791" i="4"/>
  <c r="N1791" i="4"/>
  <c r="U1790" i="4"/>
  <c r="T1790" i="4"/>
  <c r="S1790" i="4"/>
  <c r="R1790" i="4"/>
  <c r="P1790" i="4"/>
  <c r="O1790" i="4"/>
  <c r="N1790" i="4"/>
  <c r="U1789" i="4"/>
  <c r="T1789" i="4"/>
  <c r="S1789" i="4"/>
  <c r="R1789" i="4"/>
  <c r="P1789" i="4"/>
  <c r="O1789" i="4"/>
  <c r="N1789" i="4"/>
  <c r="U1788" i="4"/>
  <c r="T1788" i="4"/>
  <c r="S1788" i="4"/>
  <c r="R1788" i="4"/>
  <c r="P1788" i="4"/>
  <c r="O1788" i="4"/>
  <c r="N1788" i="4"/>
  <c r="U1787" i="4"/>
  <c r="T1787" i="4"/>
  <c r="S1787" i="4"/>
  <c r="R1787" i="4"/>
  <c r="P1787" i="4"/>
  <c r="O1787" i="4"/>
  <c r="N1787" i="4"/>
  <c r="U1786" i="4"/>
  <c r="T1786" i="4"/>
  <c r="S1786" i="4"/>
  <c r="R1786" i="4"/>
  <c r="P1786" i="4"/>
  <c r="O1786" i="4"/>
  <c r="N1786" i="4"/>
  <c r="U1785" i="4"/>
  <c r="T1785" i="4"/>
  <c r="S1785" i="4"/>
  <c r="R1785" i="4"/>
  <c r="P1785" i="4"/>
  <c r="O1785" i="4"/>
  <c r="N1785" i="4"/>
  <c r="U1784" i="4"/>
  <c r="T1784" i="4"/>
  <c r="S1784" i="4"/>
  <c r="R1784" i="4"/>
  <c r="P1784" i="4"/>
  <c r="O1784" i="4"/>
  <c r="N1784" i="4"/>
  <c r="U1783" i="4"/>
  <c r="T1783" i="4"/>
  <c r="S1783" i="4"/>
  <c r="R1783" i="4"/>
  <c r="P1783" i="4"/>
  <c r="O1783" i="4"/>
  <c r="N1783" i="4"/>
  <c r="U1782" i="4"/>
  <c r="T1782" i="4"/>
  <c r="S1782" i="4"/>
  <c r="R1782" i="4"/>
  <c r="P1782" i="4"/>
  <c r="O1782" i="4"/>
  <c r="N1782" i="4"/>
  <c r="U1781" i="4"/>
  <c r="T1781" i="4"/>
  <c r="S1781" i="4"/>
  <c r="R1781" i="4"/>
  <c r="P1781" i="4"/>
  <c r="O1781" i="4"/>
  <c r="N1781" i="4"/>
  <c r="U1780" i="4"/>
  <c r="T1780" i="4"/>
  <c r="S1780" i="4"/>
  <c r="R1780" i="4"/>
  <c r="P1780" i="4"/>
  <c r="O1780" i="4"/>
  <c r="N1780" i="4"/>
  <c r="U1779" i="4"/>
  <c r="T1779" i="4"/>
  <c r="S1779" i="4"/>
  <c r="R1779" i="4"/>
  <c r="P1779" i="4"/>
  <c r="O1779" i="4"/>
  <c r="N1779" i="4"/>
  <c r="U1778" i="4"/>
  <c r="T1778" i="4"/>
  <c r="S1778" i="4"/>
  <c r="R1778" i="4"/>
  <c r="P1778" i="4"/>
  <c r="O1778" i="4"/>
  <c r="N1778" i="4"/>
  <c r="U1777" i="4"/>
  <c r="T1777" i="4"/>
  <c r="S1777" i="4"/>
  <c r="R1777" i="4"/>
  <c r="P1777" i="4"/>
  <c r="O1777" i="4"/>
  <c r="N1777" i="4"/>
  <c r="U1776" i="4"/>
  <c r="T1776" i="4"/>
  <c r="S1776" i="4"/>
  <c r="R1776" i="4"/>
  <c r="P1776" i="4"/>
  <c r="O1776" i="4"/>
  <c r="N1776" i="4"/>
  <c r="U1775" i="4"/>
  <c r="T1775" i="4"/>
  <c r="S1775" i="4"/>
  <c r="R1775" i="4"/>
  <c r="P1775" i="4"/>
  <c r="O1775" i="4"/>
  <c r="N1775" i="4"/>
  <c r="U1774" i="4"/>
  <c r="T1774" i="4"/>
  <c r="S1774" i="4"/>
  <c r="R1774" i="4"/>
  <c r="P1774" i="4"/>
  <c r="O1774" i="4"/>
  <c r="N1774" i="4"/>
  <c r="U1773" i="4"/>
  <c r="T1773" i="4"/>
  <c r="S1773" i="4"/>
  <c r="R1773" i="4"/>
  <c r="P1773" i="4"/>
  <c r="O1773" i="4"/>
  <c r="N1773" i="4"/>
  <c r="U1772" i="4"/>
  <c r="T1772" i="4"/>
  <c r="S1772" i="4"/>
  <c r="R1772" i="4"/>
  <c r="P1772" i="4"/>
  <c r="O1772" i="4"/>
  <c r="N1772" i="4"/>
  <c r="U1771" i="4"/>
  <c r="T1771" i="4"/>
  <c r="S1771" i="4"/>
  <c r="R1771" i="4"/>
  <c r="P1771" i="4"/>
  <c r="O1771" i="4"/>
  <c r="N1771" i="4"/>
  <c r="U1770" i="4"/>
  <c r="T1770" i="4"/>
  <c r="S1770" i="4"/>
  <c r="R1770" i="4"/>
  <c r="P1770" i="4"/>
  <c r="O1770" i="4"/>
  <c r="N1770" i="4"/>
  <c r="U1769" i="4"/>
  <c r="T1769" i="4"/>
  <c r="S1769" i="4"/>
  <c r="R1769" i="4"/>
  <c r="P1769" i="4"/>
  <c r="O1769" i="4"/>
  <c r="N1769" i="4"/>
  <c r="U1768" i="4"/>
  <c r="T1768" i="4"/>
  <c r="S1768" i="4"/>
  <c r="R1768" i="4"/>
  <c r="P1768" i="4"/>
  <c r="O1768" i="4"/>
  <c r="N1768" i="4"/>
  <c r="U1767" i="4"/>
  <c r="T1767" i="4"/>
  <c r="S1767" i="4"/>
  <c r="R1767" i="4"/>
  <c r="P1767" i="4"/>
  <c r="O1767" i="4"/>
  <c r="N1767" i="4"/>
  <c r="U1766" i="4"/>
  <c r="T1766" i="4"/>
  <c r="S1766" i="4"/>
  <c r="R1766" i="4"/>
  <c r="P1766" i="4"/>
  <c r="O1766" i="4"/>
  <c r="N1766" i="4"/>
  <c r="U1765" i="4"/>
  <c r="T1765" i="4"/>
  <c r="S1765" i="4"/>
  <c r="R1765" i="4"/>
  <c r="P1765" i="4"/>
  <c r="O1765" i="4"/>
  <c r="N1765" i="4"/>
  <c r="U1764" i="4"/>
  <c r="T1764" i="4"/>
  <c r="S1764" i="4"/>
  <c r="R1764" i="4"/>
  <c r="P1764" i="4"/>
  <c r="O1764" i="4"/>
  <c r="N1764" i="4"/>
  <c r="U1763" i="4"/>
  <c r="T1763" i="4"/>
  <c r="S1763" i="4"/>
  <c r="R1763" i="4"/>
  <c r="P1763" i="4"/>
  <c r="O1763" i="4"/>
  <c r="N1763" i="4"/>
  <c r="U1762" i="4"/>
  <c r="T1762" i="4"/>
  <c r="S1762" i="4"/>
  <c r="R1762" i="4"/>
  <c r="P1762" i="4"/>
  <c r="O1762" i="4"/>
  <c r="N1762" i="4"/>
  <c r="U1761" i="4"/>
  <c r="T1761" i="4"/>
  <c r="S1761" i="4"/>
  <c r="R1761" i="4"/>
  <c r="P1761" i="4"/>
  <c r="O1761" i="4"/>
  <c r="N1761" i="4"/>
  <c r="U1760" i="4"/>
  <c r="T1760" i="4"/>
  <c r="S1760" i="4"/>
  <c r="R1760" i="4"/>
  <c r="P1760" i="4"/>
  <c r="O1760" i="4"/>
  <c r="N1760" i="4"/>
  <c r="U1759" i="4"/>
  <c r="T1759" i="4"/>
  <c r="S1759" i="4"/>
  <c r="R1759" i="4"/>
  <c r="P1759" i="4"/>
  <c r="O1759" i="4"/>
  <c r="N1759" i="4"/>
  <c r="U1758" i="4"/>
  <c r="T1758" i="4"/>
  <c r="S1758" i="4"/>
  <c r="R1758" i="4"/>
  <c r="P1758" i="4"/>
  <c r="O1758" i="4"/>
  <c r="N1758" i="4"/>
  <c r="U1757" i="4"/>
  <c r="T1757" i="4"/>
  <c r="S1757" i="4"/>
  <c r="R1757" i="4"/>
  <c r="P1757" i="4"/>
  <c r="O1757" i="4"/>
  <c r="N1757" i="4"/>
  <c r="U1756" i="4"/>
  <c r="T1756" i="4"/>
  <c r="S1756" i="4"/>
  <c r="R1756" i="4"/>
  <c r="P1756" i="4"/>
  <c r="O1756" i="4"/>
  <c r="N1756" i="4"/>
  <c r="U1755" i="4"/>
  <c r="T1755" i="4"/>
  <c r="S1755" i="4"/>
  <c r="R1755" i="4"/>
  <c r="P1755" i="4"/>
  <c r="O1755" i="4"/>
  <c r="N1755" i="4"/>
  <c r="U1754" i="4"/>
  <c r="T1754" i="4"/>
  <c r="S1754" i="4"/>
  <c r="R1754" i="4"/>
  <c r="P1754" i="4"/>
  <c r="O1754" i="4"/>
  <c r="N1754" i="4"/>
  <c r="U1753" i="4"/>
  <c r="T1753" i="4"/>
  <c r="S1753" i="4"/>
  <c r="R1753" i="4"/>
  <c r="P1753" i="4"/>
  <c r="O1753" i="4"/>
  <c r="N1753" i="4"/>
  <c r="U1752" i="4"/>
  <c r="T1752" i="4"/>
  <c r="S1752" i="4"/>
  <c r="R1752" i="4"/>
  <c r="P1752" i="4"/>
  <c r="O1752" i="4"/>
  <c r="N1752" i="4"/>
  <c r="U1751" i="4"/>
  <c r="T1751" i="4"/>
  <c r="S1751" i="4"/>
  <c r="R1751" i="4"/>
  <c r="P1751" i="4"/>
  <c r="O1751" i="4"/>
  <c r="N1751" i="4"/>
  <c r="U1750" i="4"/>
  <c r="T1750" i="4"/>
  <c r="S1750" i="4"/>
  <c r="R1750" i="4"/>
  <c r="P1750" i="4"/>
  <c r="O1750" i="4"/>
  <c r="N1750" i="4"/>
  <c r="U1749" i="4"/>
  <c r="T1749" i="4"/>
  <c r="S1749" i="4"/>
  <c r="R1749" i="4"/>
  <c r="P1749" i="4"/>
  <c r="O1749" i="4"/>
  <c r="N1749" i="4"/>
  <c r="U1748" i="4"/>
  <c r="T1748" i="4"/>
  <c r="S1748" i="4"/>
  <c r="R1748" i="4"/>
  <c r="P1748" i="4"/>
  <c r="O1748" i="4"/>
  <c r="N1748" i="4"/>
  <c r="U1747" i="4"/>
  <c r="T1747" i="4"/>
  <c r="S1747" i="4"/>
  <c r="R1747" i="4"/>
  <c r="P1747" i="4"/>
  <c r="O1747" i="4"/>
  <c r="N1747" i="4"/>
  <c r="U1746" i="4"/>
  <c r="T1746" i="4"/>
  <c r="S1746" i="4"/>
  <c r="R1746" i="4"/>
  <c r="P1746" i="4"/>
  <c r="O1746" i="4"/>
  <c r="N1746" i="4"/>
  <c r="U1745" i="4"/>
  <c r="T1745" i="4"/>
  <c r="S1745" i="4"/>
  <c r="R1745" i="4"/>
  <c r="P1745" i="4"/>
  <c r="O1745" i="4"/>
  <c r="N1745" i="4"/>
  <c r="U1744" i="4"/>
  <c r="T1744" i="4"/>
  <c r="S1744" i="4"/>
  <c r="R1744" i="4"/>
  <c r="P1744" i="4"/>
  <c r="O1744" i="4"/>
  <c r="N1744" i="4"/>
  <c r="U1743" i="4"/>
  <c r="T1743" i="4"/>
  <c r="S1743" i="4"/>
  <c r="R1743" i="4"/>
  <c r="P1743" i="4"/>
  <c r="O1743" i="4"/>
  <c r="N1743" i="4"/>
  <c r="U1742" i="4"/>
  <c r="T1742" i="4"/>
  <c r="S1742" i="4"/>
  <c r="R1742" i="4"/>
  <c r="P1742" i="4"/>
  <c r="O1742" i="4"/>
  <c r="N1742" i="4"/>
  <c r="U1741" i="4"/>
  <c r="T1741" i="4"/>
  <c r="S1741" i="4"/>
  <c r="R1741" i="4"/>
  <c r="P1741" i="4"/>
  <c r="O1741" i="4"/>
  <c r="N1741" i="4"/>
  <c r="U1740" i="4"/>
  <c r="T1740" i="4"/>
  <c r="S1740" i="4"/>
  <c r="R1740" i="4"/>
  <c r="P1740" i="4"/>
  <c r="O1740" i="4"/>
  <c r="N1740" i="4"/>
  <c r="U1739" i="4"/>
  <c r="T1739" i="4"/>
  <c r="S1739" i="4"/>
  <c r="R1739" i="4"/>
  <c r="P1739" i="4"/>
  <c r="O1739" i="4"/>
  <c r="N1739" i="4"/>
  <c r="U1738" i="4"/>
  <c r="T1738" i="4"/>
  <c r="S1738" i="4"/>
  <c r="R1738" i="4"/>
  <c r="P1738" i="4"/>
  <c r="O1738" i="4"/>
  <c r="N1738" i="4"/>
  <c r="U1737" i="4"/>
  <c r="T1737" i="4"/>
  <c r="S1737" i="4"/>
  <c r="R1737" i="4"/>
  <c r="P1737" i="4"/>
  <c r="O1737" i="4"/>
  <c r="N1737" i="4"/>
  <c r="U1736" i="4"/>
  <c r="T1736" i="4"/>
  <c r="S1736" i="4"/>
  <c r="R1736" i="4"/>
  <c r="P1736" i="4"/>
  <c r="O1736" i="4"/>
  <c r="N1736" i="4"/>
  <c r="U1735" i="4"/>
  <c r="T1735" i="4"/>
  <c r="S1735" i="4"/>
  <c r="R1735" i="4"/>
  <c r="P1735" i="4"/>
  <c r="O1735" i="4"/>
  <c r="N1735" i="4"/>
  <c r="U1734" i="4"/>
  <c r="T1734" i="4"/>
  <c r="S1734" i="4"/>
  <c r="R1734" i="4"/>
  <c r="P1734" i="4"/>
  <c r="O1734" i="4"/>
  <c r="N1734" i="4"/>
  <c r="U1733" i="4"/>
  <c r="T1733" i="4"/>
  <c r="S1733" i="4"/>
  <c r="R1733" i="4"/>
  <c r="P1733" i="4"/>
  <c r="O1733" i="4"/>
  <c r="N1733" i="4"/>
  <c r="U1732" i="4"/>
  <c r="T1732" i="4"/>
  <c r="S1732" i="4"/>
  <c r="R1732" i="4"/>
  <c r="P1732" i="4"/>
  <c r="O1732" i="4"/>
  <c r="N1732" i="4"/>
  <c r="U1731" i="4"/>
  <c r="T1731" i="4"/>
  <c r="S1731" i="4"/>
  <c r="R1731" i="4"/>
  <c r="P1731" i="4"/>
  <c r="O1731" i="4"/>
  <c r="N1731" i="4"/>
  <c r="U1730" i="4"/>
  <c r="T1730" i="4"/>
  <c r="S1730" i="4"/>
  <c r="R1730" i="4"/>
  <c r="P1730" i="4"/>
  <c r="O1730" i="4"/>
  <c r="N1730" i="4"/>
  <c r="U1729" i="4"/>
  <c r="T1729" i="4"/>
  <c r="S1729" i="4"/>
  <c r="R1729" i="4"/>
  <c r="P1729" i="4"/>
  <c r="O1729" i="4"/>
  <c r="N1729" i="4"/>
  <c r="U1728" i="4"/>
  <c r="T1728" i="4"/>
  <c r="S1728" i="4"/>
  <c r="R1728" i="4"/>
  <c r="P1728" i="4"/>
  <c r="O1728" i="4"/>
  <c r="N1728" i="4"/>
  <c r="U1727" i="4"/>
  <c r="T1727" i="4"/>
  <c r="S1727" i="4"/>
  <c r="R1727" i="4"/>
  <c r="P1727" i="4"/>
  <c r="O1727" i="4"/>
  <c r="N1727" i="4"/>
  <c r="U1726" i="4"/>
  <c r="T1726" i="4"/>
  <c r="S1726" i="4"/>
  <c r="R1726" i="4"/>
  <c r="P1726" i="4"/>
  <c r="O1726" i="4"/>
  <c r="N1726" i="4"/>
  <c r="U1725" i="4"/>
  <c r="T1725" i="4"/>
  <c r="S1725" i="4"/>
  <c r="R1725" i="4"/>
  <c r="P1725" i="4"/>
  <c r="O1725" i="4"/>
  <c r="N1725" i="4"/>
  <c r="U1724" i="4"/>
  <c r="T1724" i="4"/>
  <c r="S1724" i="4"/>
  <c r="R1724" i="4"/>
  <c r="P1724" i="4"/>
  <c r="O1724" i="4"/>
  <c r="N1724" i="4"/>
  <c r="U1723" i="4"/>
  <c r="T1723" i="4"/>
  <c r="S1723" i="4"/>
  <c r="R1723" i="4"/>
  <c r="P1723" i="4"/>
  <c r="O1723" i="4"/>
  <c r="N1723" i="4"/>
  <c r="U1722" i="4"/>
  <c r="T1722" i="4"/>
  <c r="S1722" i="4"/>
  <c r="R1722" i="4"/>
  <c r="P1722" i="4"/>
  <c r="O1722" i="4"/>
  <c r="N1722" i="4"/>
  <c r="U1721" i="4"/>
  <c r="T1721" i="4"/>
  <c r="S1721" i="4"/>
  <c r="R1721" i="4"/>
  <c r="P1721" i="4"/>
  <c r="O1721" i="4"/>
  <c r="N1721" i="4"/>
  <c r="U1720" i="4"/>
  <c r="T1720" i="4"/>
  <c r="S1720" i="4"/>
  <c r="R1720" i="4"/>
  <c r="P1720" i="4"/>
  <c r="O1720" i="4"/>
  <c r="N1720" i="4"/>
  <c r="U1719" i="4"/>
  <c r="T1719" i="4"/>
  <c r="S1719" i="4"/>
  <c r="R1719" i="4"/>
  <c r="P1719" i="4"/>
  <c r="O1719" i="4"/>
  <c r="N1719" i="4"/>
  <c r="U1718" i="4"/>
  <c r="T1718" i="4"/>
  <c r="S1718" i="4"/>
  <c r="R1718" i="4"/>
  <c r="P1718" i="4"/>
  <c r="O1718" i="4"/>
  <c r="N1718" i="4"/>
  <c r="U1717" i="4"/>
  <c r="T1717" i="4"/>
  <c r="S1717" i="4"/>
  <c r="R1717" i="4"/>
  <c r="P1717" i="4"/>
  <c r="O1717" i="4"/>
  <c r="N1717" i="4"/>
  <c r="U1716" i="4"/>
  <c r="T1716" i="4"/>
  <c r="S1716" i="4"/>
  <c r="R1716" i="4"/>
  <c r="P1716" i="4"/>
  <c r="O1716" i="4"/>
  <c r="N1716" i="4"/>
  <c r="U1715" i="4"/>
  <c r="T1715" i="4"/>
  <c r="S1715" i="4"/>
  <c r="R1715" i="4"/>
  <c r="P1715" i="4"/>
  <c r="O1715" i="4"/>
  <c r="N1715" i="4"/>
  <c r="U1714" i="4"/>
  <c r="T1714" i="4"/>
  <c r="S1714" i="4"/>
  <c r="R1714" i="4"/>
  <c r="P1714" i="4"/>
  <c r="O1714" i="4"/>
  <c r="N1714" i="4"/>
  <c r="U1713" i="4"/>
  <c r="T1713" i="4"/>
  <c r="S1713" i="4"/>
  <c r="R1713" i="4"/>
  <c r="P1713" i="4"/>
  <c r="O1713" i="4"/>
  <c r="N1713" i="4"/>
  <c r="U1712" i="4"/>
  <c r="T1712" i="4"/>
  <c r="S1712" i="4"/>
  <c r="R1712" i="4"/>
  <c r="P1712" i="4"/>
  <c r="O1712" i="4"/>
  <c r="N1712" i="4"/>
  <c r="U1711" i="4"/>
  <c r="T1711" i="4"/>
  <c r="S1711" i="4"/>
  <c r="R1711" i="4"/>
  <c r="P1711" i="4"/>
  <c r="O1711" i="4"/>
  <c r="N1711" i="4"/>
  <c r="U1710" i="4"/>
  <c r="T1710" i="4"/>
  <c r="S1710" i="4"/>
  <c r="R1710" i="4"/>
  <c r="P1710" i="4"/>
  <c r="O1710" i="4"/>
  <c r="N1710" i="4"/>
  <c r="U1709" i="4"/>
  <c r="T1709" i="4"/>
  <c r="S1709" i="4"/>
  <c r="R1709" i="4"/>
  <c r="P1709" i="4"/>
  <c r="O1709" i="4"/>
  <c r="N1709" i="4"/>
  <c r="U1708" i="4"/>
  <c r="T1708" i="4"/>
  <c r="S1708" i="4"/>
  <c r="R1708" i="4"/>
  <c r="P1708" i="4"/>
  <c r="O1708" i="4"/>
  <c r="N1708" i="4"/>
  <c r="U1707" i="4"/>
  <c r="T1707" i="4"/>
  <c r="S1707" i="4"/>
  <c r="R1707" i="4"/>
  <c r="P1707" i="4"/>
  <c r="O1707" i="4"/>
  <c r="N1707" i="4"/>
  <c r="U1706" i="4"/>
  <c r="T1706" i="4"/>
  <c r="S1706" i="4"/>
  <c r="R1706" i="4"/>
  <c r="P1706" i="4"/>
  <c r="O1706" i="4"/>
  <c r="N1706" i="4"/>
  <c r="U1705" i="4"/>
  <c r="T1705" i="4"/>
  <c r="S1705" i="4"/>
  <c r="R1705" i="4"/>
  <c r="P1705" i="4"/>
  <c r="O1705" i="4"/>
  <c r="N1705" i="4"/>
  <c r="U1704" i="4"/>
  <c r="T1704" i="4"/>
  <c r="S1704" i="4"/>
  <c r="R1704" i="4"/>
  <c r="P1704" i="4"/>
  <c r="O1704" i="4"/>
  <c r="N1704" i="4"/>
  <c r="U1703" i="4"/>
  <c r="T1703" i="4"/>
  <c r="S1703" i="4"/>
  <c r="R1703" i="4"/>
  <c r="P1703" i="4"/>
  <c r="O1703" i="4"/>
  <c r="N1703" i="4"/>
  <c r="U1702" i="4"/>
  <c r="T1702" i="4"/>
  <c r="S1702" i="4"/>
  <c r="R1702" i="4"/>
  <c r="P1702" i="4"/>
  <c r="O1702" i="4"/>
  <c r="N1702" i="4"/>
  <c r="U1701" i="4"/>
  <c r="T1701" i="4"/>
  <c r="S1701" i="4"/>
  <c r="R1701" i="4"/>
  <c r="P1701" i="4"/>
  <c r="O1701" i="4"/>
  <c r="N1701" i="4"/>
  <c r="U1700" i="4"/>
  <c r="T1700" i="4"/>
  <c r="S1700" i="4"/>
  <c r="R1700" i="4"/>
  <c r="P1700" i="4"/>
  <c r="O1700" i="4"/>
  <c r="N1700" i="4"/>
  <c r="U1699" i="4"/>
  <c r="T1699" i="4"/>
  <c r="S1699" i="4"/>
  <c r="R1699" i="4"/>
  <c r="P1699" i="4"/>
  <c r="O1699" i="4"/>
  <c r="N1699" i="4"/>
  <c r="U1698" i="4"/>
  <c r="T1698" i="4"/>
  <c r="S1698" i="4"/>
  <c r="R1698" i="4"/>
  <c r="P1698" i="4"/>
  <c r="O1698" i="4"/>
  <c r="N1698" i="4"/>
  <c r="U1697" i="4"/>
  <c r="T1697" i="4"/>
  <c r="S1697" i="4"/>
  <c r="R1697" i="4"/>
  <c r="P1697" i="4"/>
  <c r="O1697" i="4"/>
  <c r="N1697" i="4"/>
  <c r="U1696" i="4"/>
  <c r="T1696" i="4"/>
  <c r="S1696" i="4"/>
  <c r="R1696" i="4"/>
  <c r="P1696" i="4"/>
  <c r="O1696" i="4"/>
  <c r="N1696" i="4"/>
  <c r="U1695" i="4"/>
  <c r="T1695" i="4"/>
  <c r="S1695" i="4"/>
  <c r="R1695" i="4"/>
  <c r="P1695" i="4"/>
  <c r="O1695" i="4"/>
  <c r="N1695" i="4"/>
  <c r="U1694" i="4"/>
  <c r="T1694" i="4"/>
  <c r="S1694" i="4"/>
  <c r="R1694" i="4"/>
  <c r="P1694" i="4"/>
  <c r="O1694" i="4"/>
  <c r="N1694" i="4"/>
  <c r="U1693" i="4"/>
  <c r="T1693" i="4"/>
  <c r="S1693" i="4"/>
  <c r="R1693" i="4"/>
  <c r="P1693" i="4"/>
  <c r="O1693" i="4"/>
  <c r="N1693" i="4"/>
  <c r="U1692" i="4"/>
  <c r="T1692" i="4"/>
  <c r="S1692" i="4"/>
  <c r="R1692" i="4"/>
  <c r="P1692" i="4"/>
  <c r="O1692" i="4"/>
  <c r="N1692" i="4"/>
  <c r="U1691" i="4"/>
  <c r="T1691" i="4"/>
  <c r="S1691" i="4"/>
  <c r="R1691" i="4"/>
  <c r="P1691" i="4"/>
  <c r="O1691" i="4"/>
  <c r="N1691" i="4"/>
  <c r="U1690" i="4"/>
  <c r="T1690" i="4"/>
  <c r="S1690" i="4"/>
  <c r="R1690" i="4"/>
  <c r="P1690" i="4"/>
  <c r="O1690" i="4"/>
  <c r="N1690" i="4"/>
  <c r="U1689" i="4"/>
  <c r="T1689" i="4"/>
  <c r="S1689" i="4"/>
  <c r="R1689" i="4"/>
  <c r="P1689" i="4"/>
  <c r="O1689" i="4"/>
  <c r="N1689" i="4"/>
  <c r="U1688" i="4"/>
  <c r="T1688" i="4"/>
  <c r="S1688" i="4"/>
  <c r="R1688" i="4"/>
  <c r="P1688" i="4"/>
  <c r="O1688" i="4"/>
  <c r="N1688" i="4"/>
  <c r="U1687" i="4"/>
  <c r="T1687" i="4"/>
  <c r="S1687" i="4"/>
  <c r="R1687" i="4"/>
  <c r="P1687" i="4"/>
  <c r="O1687" i="4"/>
  <c r="N1687" i="4"/>
  <c r="U1686" i="4"/>
  <c r="T1686" i="4"/>
  <c r="S1686" i="4"/>
  <c r="R1686" i="4"/>
  <c r="P1686" i="4"/>
  <c r="O1686" i="4"/>
  <c r="N1686" i="4"/>
  <c r="U1685" i="4"/>
  <c r="T1685" i="4"/>
  <c r="S1685" i="4"/>
  <c r="R1685" i="4"/>
  <c r="P1685" i="4"/>
  <c r="O1685" i="4"/>
  <c r="N1685" i="4"/>
  <c r="U1684" i="4"/>
  <c r="T1684" i="4"/>
  <c r="S1684" i="4"/>
  <c r="R1684" i="4"/>
  <c r="P1684" i="4"/>
  <c r="O1684" i="4"/>
  <c r="N1684" i="4"/>
  <c r="U1683" i="4"/>
  <c r="T1683" i="4"/>
  <c r="S1683" i="4"/>
  <c r="R1683" i="4"/>
  <c r="P1683" i="4"/>
  <c r="O1683" i="4"/>
  <c r="N1683" i="4"/>
  <c r="U1682" i="4"/>
  <c r="T1682" i="4"/>
  <c r="S1682" i="4"/>
  <c r="R1682" i="4"/>
  <c r="P1682" i="4"/>
  <c r="O1682" i="4"/>
  <c r="N1682" i="4"/>
  <c r="U1681" i="4"/>
  <c r="T1681" i="4"/>
  <c r="S1681" i="4"/>
  <c r="R1681" i="4"/>
  <c r="P1681" i="4"/>
  <c r="O1681" i="4"/>
  <c r="N1681" i="4"/>
  <c r="U1680" i="4"/>
  <c r="T1680" i="4"/>
  <c r="S1680" i="4"/>
  <c r="R1680" i="4"/>
  <c r="P1680" i="4"/>
  <c r="O1680" i="4"/>
  <c r="N1680" i="4"/>
  <c r="U1679" i="4"/>
  <c r="T1679" i="4"/>
  <c r="S1679" i="4"/>
  <c r="R1679" i="4"/>
  <c r="P1679" i="4"/>
  <c r="O1679" i="4"/>
  <c r="N1679" i="4"/>
  <c r="U1678" i="4"/>
  <c r="T1678" i="4"/>
  <c r="S1678" i="4"/>
  <c r="R1678" i="4"/>
  <c r="P1678" i="4"/>
  <c r="O1678" i="4"/>
  <c r="N1678" i="4"/>
  <c r="U1677" i="4"/>
  <c r="T1677" i="4"/>
  <c r="S1677" i="4"/>
  <c r="R1677" i="4"/>
  <c r="P1677" i="4"/>
  <c r="O1677" i="4"/>
  <c r="N1677" i="4"/>
  <c r="U1676" i="4"/>
  <c r="T1676" i="4"/>
  <c r="S1676" i="4"/>
  <c r="R1676" i="4"/>
  <c r="P1676" i="4"/>
  <c r="O1676" i="4"/>
  <c r="N1676" i="4"/>
  <c r="U1675" i="4"/>
  <c r="T1675" i="4"/>
  <c r="S1675" i="4"/>
  <c r="R1675" i="4"/>
  <c r="P1675" i="4"/>
  <c r="O1675" i="4"/>
  <c r="N1675" i="4"/>
  <c r="U1674" i="4"/>
  <c r="T1674" i="4"/>
  <c r="S1674" i="4"/>
  <c r="R1674" i="4"/>
  <c r="P1674" i="4"/>
  <c r="O1674" i="4"/>
  <c r="N1674" i="4"/>
  <c r="U1673" i="4"/>
  <c r="T1673" i="4"/>
  <c r="S1673" i="4"/>
  <c r="R1673" i="4"/>
  <c r="P1673" i="4"/>
  <c r="O1673" i="4"/>
  <c r="N1673" i="4"/>
  <c r="U1672" i="4"/>
  <c r="T1672" i="4"/>
  <c r="S1672" i="4"/>
  <c r="R1672" i="4"/>
  <c r="P1672" i="4"/>
  <c r="O1672" i="4"/>
  <c r="N1672" i="4"/>
  <c r="U1671" i="4"/>
  <c r="T1671" i="4"/>
  <c r="S1671" i="4"/>
  <c r="R1671" i="4"/>
  <c r="P1671" i="4"/>
  <c r="O1671" i="4"/>
  <c r="N1671" i="4"/>
  <c r="U1670" i="4"/>
  <c r="T1670" i="4"/>
  <c r="S1670" i="4"/>
  <c r="R1670" i="4"/>
  <c r="P1670" i="4"/>
  <c r="O1670" i="4"/>
  <c r="N1670" i="4"/>
  <c r="U1669" i="4"/>
  <c r="T1669" i="4"/>
  <c r="S1669" i="4"/>
  <c r="R1669" i="4"/>
  <c r="P1669" i="4"/>
  <c r="O1669" i="4"/>
  <c r="N1669" i="4"/>
  <c r="U1668" i="4"/>
  <c r="T1668" i="4"/>
  <c r="S1668" i="4"/>
  <c r="R1668" i="4"/>
  <c r="P1668" i="4"/>
  <c r="O1668" i="4"/>
  <c r="N1668" i="4"/>
  <c r="U1667" i="4"/>
  <c r="T1667" i="4"/>
  <c r="S1667" i="4"/>
  <c r="R1667" i="4"/>
  <c r="P1667" i="4"/>
  <c r="O1667" i="4"/>
  <c r="N1667" i="4"/>
  <c r="U1666" i="4"/>
  <c r="T1666" i="4"/>
  <c r="S1666" i="4"/>
  <c r="R1666" i="4"/>
  <c r="P1666" i="4"/>
  <c r="O1666" i="4"/>
  <c r="N1666" i="4"/>
  <c r="U1665" i="4"/>
  <c r="T1665" i="4"/>
  <c r="S1665" i="4"/>
  <c r="R1665" i="4"/>
  <c r="P1665" i="4"/>
  <c r="O1665" i="4"/>
  <c r="N1665" i="4"/>
  <c r="U1664" i="4"/>
  <c r="T1664" i="4"/>
  <c r="S1664" i="4"/>
  <c r="R1664" i="4"/>
  <c r="P1664" i="4"/>
  <c r="O1664" i="4"/>
  <c r="N1664" i="4"/>
  <c r="U1663" i="4"/>
  <c r="T1663" i="4"/>
  <c r="S1663" i="4"/>
  <c r="R1663" i="4"/>
  <c r="P1663" i="4"/>
  <c r="O1663" i="4"/>
  <c r="N1663" i="4"/>
  <c r="U1662" i="4"/>
  <c r="T1662" i="4"/>
  <c r="S1662" i="4"/>
  <c r="R1662" i="4"/>
  <c r="P1662" i="4"/>
  <c r="O1662" i="4"/>
  <c r="N1662" i="4"/>
  <c r="U1661" i="4"/>
  <c r="T1661" i="4"/>
  <c r="S1661" i="4"/>
  <c r="R1661" i="4"/>
  <c r="P1661" i="4"/>
  <c r="O1661" i="4"/>
  <c r="N1661" i="4"/>
  <c r="U1660" i="4"/>
  <c r="T1660" i="4"/>
  <c r="S1660" i="4"/>
  <c r="R1660" i="4"/>
  <c r="P1660" i="4"/>
  <c r="O1660" i="4"/>
  <c r="N1660" i="4"/>
  <c r="U1659" i="4"/>
  <c r="T1659" i="4"/>
  <c r="S1659" i="4"/>
  <c r="R1659" i="4"/>
  <c r="P1659" i="4"/>
  <c r="O1659" i="4"/>
  <c r="N1659" i="4"/>
  <c r="U1658" i="4"/>
  <c r="T1658" i="4"/>
  <c r="S1658" i="4"/>
  <c r="R1658" i="4"/>
  <c r="P1658" i="4"/>
  <c r="O1658" i="4"/>
  <c r="N1658" i="4"/>
  <c r="U1657" i="4"/>
  <c r="T1657" i="4"/>
  <c r="S1657" i="4"/>
  <c r="R1657" i="4"/>
  <c r="P1657" i="4"/>
  <c r="O1657" i="4"/>
  <c r="N1657" i="4"/>
  <c r="U1656" i="4"/>
  <c r="T1656" i="4"/>
  <c r="S1656" i="4"/>
  <c r="R1656" i="4"/>
  <c r="P1656" i="4"/>
  <c r="O1656" i="4"/>
  <c r="N1656" i="4"/>
  <c r="U1655" i="4"/>
  <c r="T1655" i="4"/>
  <c r="S1655" i="4"/>
  <c r="R1655" i="4"/>
  <c r="P1655" i="4"/>
  <c r="O1655" i="4"/>
  <c r="N1655" i="4"/>
  <c r="U1654" i="4"/>
  <c r="T1654" i="4"/>
  <c r="S1654" i="4"/>
  <c r="R1654" i="4"/>
  <c r="P1654" i="4"/>
  <c r="O1654" i="4"/>
  <c r="N1654" i="4"/>
  <c r="U1653" i="4"/>
  <c r="T1653" i="4"/>
  <c r="S1653" i="4"/>
  <c r="R1653" i="4"/>
  <c r="P1653" i="4"/>
  <c r="O1653" i="4"/>
  <c r="N1653" i="4"/>
  <c r="U1652" i="4"/>
  <c r="T1652" i="4"/>
  <c r="S1652" i="4"/>
  <c r="R1652" i="4"/>
  <c r="P1652" i="4"/>
  <c r="O1652" i="4"/>
  <c r="N1652" i="4"/>
  <c r="U1651" i="4"/>
  <c r="T1651" i="4"/>
  <c r="S1651" i="4"/>
  <c r="R1651" i="4"/>
  <c r="P1651" i="4"/>
  <c r="O1651" i="4"/>
  <c r="N1651" i="4"/>
  <c r="U1650" i="4"/>
  <c r="T1650" i="4"/>
  <c r="S1650" i="4"/>
  <c r="R1650" i="4"/>
  <c r="P1650" i="4"/>
  <c r="O1650" i="4"/>
  <c r="N1650" i="4"/>
  <c r="U1649" i="4"/>
  <c r="T1649" i="4"/>
  <c r="S1649" i="4"/>
  <c r="R1649" i="4"/>
  <c r="P1649" i="4"/>
  <c r="O1649" i="4"/>
  <c r="N1649" i="4"/>
  <c r="U1648" i="4"/>
  <c r="T1648" i="4"/>
  <c r="S1648" i="4"/>
  <c r="R1648" i="4"/>
  <c r="P1648" i="4"/>
  <c r="O1648" i="4"/>
  <c r="N1648" i="4"/>
  <c r="U1647" i="4"/>
  <c r="T1647" i="4"/>
  <c r="S1647" i="4"/>
  <c r="R1647" i="4"/>
  <c r="P1647" i="4"/>
  <c r="O1647" i="4"/>
  <c r="N1647" i="4"/>
  <c r="U1646" i="4"/>
  <c r="T1646" i="4"/>
  <c r="S1646" i="4"/>
  <c r="R1646" i="4"/>
  <c r="P1646" i="4"/>
  <c r="O1646" i="4"/>
  <c r="N1646" i="4"/>
  <c r="U1645" i="4"/>
  <c r="T1645" i="4"/>
  <c r="S1645" i="4"/>
  <c r="R1645" i="4"/>
  <c r="P1645" i="4"/>
  <c r="O1645" i="4"/>
  <c r="N1645" i="4"/>
  <c r="U1644" i="4"/>
  <c r="T1644" i="4"/>
  <c r="S1644" i="4"/>
  <c r="R1644" i="4"/>
  <c r="P1644" i="4"/>
  <c r="O1644" i="4"/>
  <c r="N1644" i="4"/>
  <c r="U1643" i="4"/>
  <c r="T1643" i="4"/>
  <c r="S1643" i="4"/>
  <c r="R1643" i="4"/>
  <c r="P1643" i="4"/>
  <c r="O1643" i="4"/>
  <c r="N1643" i="4"/>
  <c r="U1642" i="4"/>
  <c r="T1642" i="4"/>
  <c r="S1642" i="4"/>
  <c r="R1642" i="4"/>
  <c r="P1642" i="4"/>
  <c r="O1642" i="4"/>
  <c r="N1642" i="4"/>
  <c r="U1641" i="4"/>
  <c r="T1641" i="4"/>
  <c r="S1641" i="4"/>
  <c r="R1641" i="4"/>
  <c r="P1641" i="4"/>
  <c r="O1641" i="4"/>
  <c r="N1641" i="4"/>
  <c r="U1640" i="4"/>
  <c r="T1640" i="4"/>
  <c r="S1640" i="4"/>
  <c r="R1640" i="4"/>
  <c r="P1640" i="4"/>
  <c r="O1640" i="4"/>
  <c r="N1640" i="4"/>
  <c r="U1639" i="4"/>
  <c r="T1639" i="4"/>
  <c r="S1639" i="4"/>
  <c r="R1639" i="4"/>
  <c r="P1639" i="4"/>
  <c r="O1639" i="4"/>
  <c r="N1639" i="4"/>
  <c r="U1638" i="4"/>
  <c r="T1638" i="4"/>
  <c r="S1638" i="4"/>
  <c r="R1638" i="4"/>
  <c r="P1638" i="4"/>
  <c r="O1638" i="4"/>
  <c r="N1638" i="4"/>
  <c r="U1637" i="4"/>
  <c r="T1637" i="4"/>
  <c r="S1637" i="4"/>
  <c r="R1637" i="4"/>
  <c r="P1637" i="4"/>
  <c r="O1637" i="4"/>
  <c r="N1637" i="4"/>
  <c r="U1636" i="4"/>
  <c r="T1636" i="4"/>
  <c r="S1636" i="4"/>
  <c r="R1636" i="4"/>
  <c r="P1636" i="4"/>
  <c r="O1636" i="4"/>
  <c r="N1636" i="4"/>
  <c r="U1635" i="4"/>
  <c r="T1635" i="4"/>
  <c r="S1635" i="4"/>
  <c r="R1635" i="4"/>
  <c r="P1635" i="4"/>
  <c r="O1635" i="4"/>
  <c r="N1635" i="4"/>
  <c r="U1634" i="4"/>
  <c r="T1634" i="4"/>
  <c r="S1634" i="4"/>
  <c r="R1634" i="4"/>
  <c r="P1634" i="4"/>
  <c r="O1634" i="4"/>
  <c r="N1634" i="4"/>
  <c r="U1633" i="4"/>
  <c r="T1633" i="4"/>
  <c r="S1633" i="4"/>
  <c r="R1633" i="4"/>
  <c r="P1633" i="4"/>
  <c r="O1633" i="4"/>
  <c r="N1633" i="4"/>
  <c r="U1632" i="4"/>
  <c r="T1632" i="4"/>
  <c r="S1632" i="4"/>
  <c r="R1632" i="4"/>
  <c r="P1632" i="4"/>
  <c r="O1632" i="4"/>
  <c r="N1632" i="4"/>
  <c r="U1631" i="4"/>
  <c r="T1631" i="4"/>
  <c r="S1631" i="4"/>
  <c r="R1631" i="4"/>
  <c r="P1631" i="4"/>
  <c r="O1631" i="4"/>
  <c r="N1631" i="4"/>
  <c r="U1630" i="4"/>
  <c r="T1630" i="4"/>
  <c r="S1630" i="4"/>
  <c r="R1630" i="4"/>
  <c r="P1630" i="4"/>
  <c r="O1630" i="4"/>
  <c r="N1630" i="4"/>
  <c r="U1629" i="4"/>
  <c r="T1629" i="4"/>
  <c r="S1629" i="4"/>
  <c r="R1629" i="4"/>
  <c r="P1629" i="4"/>
  <c r="O1629" i="4"/>
  <c r="N1629" i="4"/>
  <c r="U1628" i="4"/>
  <c r="T1628" i="4"/>
  <c r="S1628" i="4"/>
  <c r="R1628" i="4"/>
  <c r="P1628" i="4"/>
  <c r="O1628" i="4"/>
  <c r="N1628" i="4"/>
  <c r="U1627" i="4"/>
  <c r="T1627" i="4"/>
  <c r="S1627" i="4"/>
  <c r="R1627" i="4"/>
  <c r="P1627" i="4"/>
  <c r="O1627" i="4"/>
  <c r="N1627" i="4"/>
  <c r="U1626" i="4"/>
  <c r="T1626" i="4"/>
  <c r="S1626" i="4"/>
  <c r="R1626" i="4"/>
  <c r="P1626" i="4"/>
  <c r="O1626" i="4"/>
  <c r="N1626" i="4"/>
  <c r="U1625" i="4"/>
  <c r="T1625" i="4"/>
  <c r="S1625" i="4"/>
  <c r="R1625" i="4"/>
  <c r="P1625" i="4"/>
  <c r="O1625" i="4"/>
  <c r="N1625" i="4"/>
  <c r="U1624" i="4"/>
  <c r="T1624" i="4"/>
  <c r="S1624" i="4"/>
  <c r="R1624" i="4"/>
  <c r="P1624" i="4"/>
  <c r="O1624" i="4"/>
  <c r="N1624" i="4"/>
  <c r="U1623" i="4"/>
  <c r="T1623" i="4"/>
  <c r="S1623" i="4"/>
  <c r="R1623" i="4"/>
  <c r="P1623" i="4"/>
  <c r="O1623" i="4"/>
  <c r="N1623" i="4"/>
  <c r="U1622" i="4"/>
  <c r="T1622" i="4"/>
  <c r="S1622" i="4"/>
  <c r="R1622" i="4"/>
  <c r="P1622" i="4"/>
  <c r="O1622" i="4"/>
  <c r="N1622" i="4"/>
  <c r="U1621" i="4"/>
  <c r="T1621" i="4"/>
  <c r="S1621" i="4"/>
  <c r="R1621" i="4"/>
  <c r="P1621" i="4"/>
  <c r="O1621" i="4"/>
  <c r="N1621" i="4"/>
  <c r="U1620" i="4"/>
  <c r="T1620" i="4"/>
  <c r="S1620" i="4"/>
  <c r="R1620" i="4"/>
  <c r="P1620" i="4"/>
  <c r="O1620" i="4"/>
  <c r="N1620" i="4"/>
  <c r="U1619" i="4"/>
  <c r="T1619" i="4"/>
  <c r="S1619" i="4"/>
  <c r="R1619" i="4"/>
  <c r="P1619" i="4"/>
  <c r="O1619" i="4"/>
  <c r="N1619" i="4"/>
  <c r="U1618" i="4"/>
  <c r="T1618" i="4"/>
  <c r="S1618" i="4"/>
  <c r="R1618" i="4"/>
  <c r="P1618" i="4"/>
  <c r="O1618" i="4"/>
  <c r="N1618" i="4"/>
  <c r="U1617" i="4"/>
  <c r="T1617" i="4"/>
  <c r="S1617" i="4"/>
  <c r="R1617" i="4"/>
  <c r="P1617" i="4"/>
  <c r="O1617" i="4"/>
  <c r="N1617" i="4"/>
  <c r="U1616" i="4"/>
  <c r="T1616" i="4"/>
  <c r="S1616" i="4"/>
  <c r="R1616" i="4"/>
  <c r="P1616" i="4"/>
  <c r="O1616" i="4"/>
  <c r="N1616" i="4"/>
  <c r="U1615" i="4"/>
  <c r="T1615" i="4"/>
  <c r="S1615" i="4"/>
  <c r="R1615" i="4"/>
  <c r="P1615" i="4"/>
  <c r="O1615" i="4"/>
  <c r="N1615" i="4"/>
  <c r="U1614" i="4"/>
  <c r="T1614" i="4"/>
  <c r="S1614" i="4"/>
  <c r="R1614" i="4"/>
  <c r="P1614" i="4"/>
  <c r="O1614" i="4"/>
  <c r="N1614" i="4"/>
  <c r="U1613" i="4"/>
  <c r="T1613" i="4"/>
  <c r="S1613" i="4"/>
  <c r="R1613" i="4"/>
  <c r="P1613" i="4"/>
  <c r="O1613" i="4"/>
  <c r="N1613" i="4"/>
  <c r="U1612" i="4"/>
  <c r="T1612" i="4"/>
  <c r="S1612" i="4"/>
  <c r="R1612" i="4"/>
  <c r="P1612" i="4"/>
  <c r="O1612" i="4"/>
  <c r="N1612" i="4"/>
  <c r="U1611" i="4"/>
  <c r="T1611" i="4"/>
  <c r="S1611" i="4"/>
  <c r="R1611" i="4"/>
  <c r="P1611" i="4"/>
  <c r="O1611" i="4"/>
  <c r="N1611" i="4"/>
  <c r="U1610" i="4"/>
  <c r="T1610" i="4"/>
  <c r="S1610" i="4"/>
  <c r="R1610" i="4"/>
  <c r="P1610" i="4"/>
  <c r="O1610" i="4"/>
  <c r="N1610" i="4"/>
  <c r="U1609" i="4"/>
  <c r="T1609" i="4"/>
  <c r="S1609" i="4"/>
  <c r="R1609" i="4"/>
  <c r="P1609" i="4"/>
  <c r="O1609" i="4"/>
  <c r="N1609" i="4"/>
  <c r="U1608" i="4"/>
  <c r="T1608" i="4"/>
  <c r="S1608" i="4"/>
  <c r="R1608" i="4"/>
  <c r="P1608" i="4"/>
  <c r="O1608" i="4"/>
  <c r="N1608" i="4"/>
  <c r="U1607" i="4"/>
  <c r="T1607" i="4"/>
  <c r="S1607" i="4"/>
  <c r="R1607" i="4"/>
  <c r="P1607" i="4"/>
  <c r="O1607" i="4"/>
  <c r="N1607" i="4"/>
  <c r="U1606" i="4"/>
  <c r="T1606" i="4"/>
  <c r="S1606" i="4"/>
  <c r="R1606" i="4"/>
  <c r="P1606" i="4"/>
  <c r="O1606" i="4"/>
  <c r="N1606" i="4"/>
  <c r="U1605" i="4"/>
  <c r="T1605" i="4"/>
  <c r="S1605" i="4"/>
  <c r="R1605" i="4"/>
  <c r="P1605" i="4"/>
  <c r="O1605" i="4"/>
  <c r="N1605" i="4"/>
  <c r="U1604" i="4"/>
  <c r="T1604" i="4"/>
  <c r="S1604" i="4"/>
  <c r="R1604" i="4"/>
  <c r="P1604" i="4"/>
  <c r="O1604" i="4"/>
  <c r="N1604" i="4"/>
  <c r="U1603" i="4"/>
  <c r="T1603" i="4"/>
  <c r="S1603" i="4"/>
  <c r="R1603" i="4"/>
  <c r="P1603" i="4"/>
  <c r="O1603" i="4"/>
  <c r="N1603" i="4"/>
  <c r="U1602" i="4"/>
  <c r="T1602" i="4"/>
  <c r="S1602" i="4"/>
  <c r="R1602" i="4"/>
  <c r="P1602" i="4"/>
  <c r="O1602" i="4"/>
  <c r="N1602" i="4"/>
  <c r="U1601" i="4"/>
  <c r="T1601" i="4"/>
  <c r="S1601" i="4"/>
  <c r="R1601" i="4"/>
  <c r="P1601" i="4"/>
  <c r="O1601" i="4"/>
  <c r="N1601" i="4"/>
  <c r="U1600" i="4"/>
  <c r="T1600" i="4"/>
  <c r="S1600" i="4"/>
  <c r="R1600" i="4"/>
  <c r="P1600" i="4"/>
  <c r="O1600" i="4"/>
  <c r="N1600" i="4"/>
  <c r="U1599" i="4"/>
  <c r="T1599" i="4"/>
  <c r="S1599" i="4"/>
  <c r="R1599" i="4"/>
  <c r="P1599" i="4"/>
  <c r="O1599" i="4"/>
  <c r="N1599" i="4"/>
  <c r="U1598" i="4"/>
  <c r="T1598" i="4"/>
  <c r="S1598" i="4"/>
  <c r="R1598" i="4"/>
  <c r="P1598" i="4"/>
  <c r="O1598" i="4"/>
  <c r="N1598" i="4"/>
  <c r="U1597" i="4"/>
  <c r="T1597" i="4"/>
  <c r="S1597" i="4"/>
  <c r="R1597" i="4"/>
  <c r="P1597" i="4"/>
  <c r="O1597" i="4"/>
  <c r="N1597" i="4"/>
  <c r="U1596" i="4"/>
  <c r="T1596" i="4"/>
  <c r="S1596" i="4"/>
  <c r="R1596" i="4"/>
  <c r="P1596" i="4"/>
  <c r="O1596" i="4"/>
  <c r="N1596" i="4"/>
  <c r="U1595" i="4"/>
  <c r="T1595" i="4"/>
  <c r="S1595" i="4"/>
  <c r="R1595" i="4"/>
  <c r="P1595" i="4"/>
  <c r="O1595" i="4"/>
  <c r="N1595" i="4"/>
  <c r="U1594" i="4"/>
  <c r="T1594" i="4"/>
  <c r="S1594" i="4"/>
  <c r="R1594" i="4"/>
  <c r="P1594" i="4"/>
  <c r="O1594" i="4"/>
  <c r="N1594" i="4"/>
  <c r="U1593" i="4"/>
  <c r="T1593" i="4"/>
  <c r="S1593" i="4"/>
  <c r="R1593" i="4"/>
  <c r="P1593" i="4"/>
  <c r="O1593" i="4"/>
  <c r="N1593" i="4"/>
  <c r="U1592" i="4"/>
  <c r="T1592" i="4"/>
  <c r="S1592" i="4"/>
  <c r="R1592" i="4"/>
  <c r="P1592" i="4"/>
  <c r="O1592" i="4"/>
  <c r="N1592" i="4"/>
  <c r="U1591" i="4"/>
  <c r="T1591" i="4"/>
  <c r="S1591" i="4"/>
  <c r="R1591" i="4"/>
  <c r="P1591" i="4"/>
  <c r="O1591" i="4"/>
  <c r="N1591" i="4"/>
  <c r="U1590" i="4"/>
  <c r="T1590" i="4"/>
  <c r="S1590" i="4"/>
  <c r="R1590" i="4"/>
  <c r="P1590" i="4"/>
  <c r="O1590" i="4"/>
  <c r="N1590" i="4"/>
  <c r="U1589" i="4"/>
  <c r="T1589" i="4"/>
  <c r="S1589" i="4"/>
  <c r="R1589" i="4"/>
  <c r="P1589" i="4"/>
  <c r="O1589" i="4"/>
  <c r="N1589" i="4"/>
  <c r="U1588" i="4"/>
  <c r="T1588" i="4"/>
  <c r="S1588" i="4"/>
  <c r="R1588" i="4"/>
  <c r="P1588" i="4"/>
  <c r="O1588" i="4"/>
  <c r="N1588" i="4"/>
  <c r="U1587" i="4"/>
  <c r="T1587" i="4"/>
  <c r="S1587" i="4"/>
  <c r="R1587" i="4"/>
  <c r="P1587" i="4"/>
  <c r="O1587" i="4"/>
  <c r="N1587" i="4"/>
  <c r="U1586" i="4"/>
  <c r="T1586" i="4"/>
  <c r="S1586" i="4"/>
  <c r="R1586" i="4"/>
  <c r="P1586" i="4"/>
  <c r="O1586" i="4"/>
  <c r="N1586" i="4"/>
  <c r="U1585" i="4"/>
  <c r="T1585" i="4"/>
  <c r="S1585" i="4"/>
  <c r="R1585" i="4"/>
  <c r="P1585" i="4"/>
  <c r="O1585" i="4"/>
  <c r="N1585" i="4"/>
  <c r="U1584" i="4"/>
  <c r="T1584" i="4"/>
  <c r="S1584" i="4"/>
  <c r="R1584" i="4"/>
  <c r="P1584" i="4"/>
  <c r="O1584" i="4"/>
  <c r="N1584" i="4"/>
  <c r="U1583" i="4"/>
  <c r="T1583" i="4"/>
  <c r="S1583" i="4"/>
  <c r="R1583" i="4"/>
  <c r="P1583" i="4"/>
  <c r="O1583" i="4"/>
  <c r="N1583" i="4"/>
  <c r="U1582" i="4"/>
  <c r="T1582" i="4"/>
  <c r="S1582" i="4"/>
  <c r="R1582" i="4"/>
  <c r="P1582" i="4"/>
  <c r="O1582" i="4"/>
  <c r="N1582" i="4"/>
  <c r="U1581" i="4"/>
  <c r="T1581" i="4"/>
  <c r="S1581" i="4"/>
  <c r="R1581" i="4"/>
  <c r="P1581" i="4"/>
  <c r="O1581" i="4"/>
  <c r="N1581" i="4"/>
  <c r="U1580" i="4"/>
  <c r="T1580" i="4"/>
  <c r="S1580" i="4"/>
  <c r="R1580" i="4"/>
  <c r="P1580" i="4"/>
  <c r="O1580" i="4"/>
  <c r="N1580" i="4"/>
  <c r="U1579" i="4"/>
  <c r="T1579" i="4"/>
  <c r="S1579" i="4"/>
  <c r="R1579" i="4"/>
  <c r="P1579" i="4"/>
  <c r="O1579" i="4"/>
  <c r="N1579" i="4"/>
  <c r="U1578" i="4"/>
  <c r="T1578" i="4"/>
  <c r="S1578" i="4"/>
  <c r="R1578" i="4"/>
  <c r="P1578" i="4"/>
  <c r="O1578" i="4"/>
  <c r="N1578" i="4"/>
  <c r="U1577" i="4"/>
  <c r="T1577" i="4"/>
  <c r="S1577" i="4"/>
  <c r="R1577" i="4"/>
  <c r="P1577" i="4"/>
  <c r="O1577" i="4"/>
  <c r="N1577" i="4"/>
  <c r="U1576" i="4"/>
  <c r="T1576" i="4"/>
  <c r="S1576" i="4"/>
  <c r="R1576" i="4"/>
  <c r="P1576" i="4"/>
  <c r="O1576" i="4"/>
  <c r="N1576" i="4"/>
  <c r="U1575" i="4"/>
  <c r="T1575" i="4"/>
  <c r="S1575" i="4"/>
  <c r="R1575" i="4"/>
  <c r="P1575" i="4"/>
  <c r="O1575" i="4"/>
  <c r="N1575" i="4"/>
  <c r="U1574" i="4"/>
  <c r="T1574" i="4"/>
  <c r="S1574" i="4"/>
  <c r="R1574" i="4"/>
  <c r="P1574" i="4"/>
  <c r="O1574" i="4"/>
  <c r="N1574" i="4"/>
  <c r="U1573" i="4"/>
  <c r="T1573" i="4"/>
  <c r="S1573" i="4"/>
  <c r="R1573" i="4"/>
  <c r="P1573" i="4"/>
  <c r="O1573" i="4"/>
  <c r="N1573" i="4"/>
  <c r="U1572" i="4"/>
  <c r="T1572" i="4"/>
  <c r="S1572" i="4"/>
  <c r="R1572" i="4"/>
  <c r="P1572" i="4"/>
  <c r="O1572" i="4"/>
  <c r="N1572" i="4"/>
  <c r="U1571" i="4"/>
  <c r="T1571" i="4"/>
  <c r="S1571" i="4"/>
  <c r="R1571" i="4"/>
  <c r="P1571" i="4"/>
  <c r="O1571" i="4"/>
  <c r="N1571" i="4"/>
  <c r="U1570" i="4"/>
  <c r="T1570" i="4"/>
  <c r="S1570" i="4"/>
  <c r="R1570" i="4"/>
  <c r="P1570" i="4"/>
  <c r="O1570" i="4"/>
  <c r="N1570" i="4"/>
  <c r="U1569" i="4"/>
  <c r="T1569" i="4"/>
  <c r="S1569" i="4"/>
  <c r="R1569" i="4"/>
  <c r="P1569" i="4"/>
  <c r="O1569" i="4"/>
  <c r="N1569" i="4"/>
  <c r="U1568" i="4"/>
  <c r="T1568" i="4"/>
  <c r="S1568" i="4"/>
  <c r="R1568" i="4"/>
  <c r="P1568" i="4"/>
  <c r="O1568" i="4"/>
  <c r="N1568" i="4"/>
  <c r="U1567" i="4"/>
  <c r="T1567" i="4"/>
  <c r="S1567" i="4"/>
  <c r="R1567" i="4"/>
  <c r="P1567" i="4"/>
  <c r="O1567" i="4"/>
  <c r="N1567" i="4"/>
  <c r="U1566" i="4"/>
  <c r="T1566" i="4"/>
  <c r="S1566" i="4"/>
  <c r="R1566" i="4"/>
  <c r="P1566" i="4"/>
  <c r="O1566" i="4"/>
  <c r="N1566" i="4"/>
  <c r="U1565" i="4"/>
  <c r="T1565" i="4"/>
  <c r="S1565" i="4"/>
  <c r="R1565" i="4"/>
  <c r="P1565" i="4"/>
  <c r="O1565" i="4"/>
  <c r="N1565" i="4"/>
  <c r="U1564" i="4"/>
  <c r="T1564" i="4"/>
  <c r="S1564" i="4"/>
  <c r="R1564" i="4"/>
  <c r="P1564" i="4"/>
  <c r="O1564" i="4"/>
  <c r="N1564" i="4"/>
  <c r="U1563" i="4"/>
  <c r="T1563" i="4"/>
  <c r="S1563" i="4"/>
  <c r="R1563" i="4"/>
  <c r="P1563" i="4"/>
  <c r="O1563" i="4"/>
  <c r="N1563" i="4"/>
  <c r="U1562" i="4"/>
  <c r="T1562" i="4"/>
  <c r="S1562" i="4"/>
  <c r="R1562" i="4"/>
  <c r="P1562" i="4"/>
  <c r="O1562" i="4"/>
  <c r="N1562" i="4"/>
  <c r="U1561" i="4"/>
  <c r="T1561" i="4"/>
  <c r="S1561" i="4"/>
  <c r="R1561" i="4"/>
  <c r="P1561" i="4"/>
  <c r="O1561" i="4"/>
  <c r="N1561" i="4"/>
  <c r="U1560" i="4"/>
  <c r="T1560" i="4"/>
  <c r="S1560" i="4"/>
  <c r="R1560" i="4"/>
  <c r="P1560" i="4"/>
  <c r="O1560" i="4"/>
  <c r="N1560" i="4"/>
  <c r="U1559" i="4"/>
  <c r="T1559" i="4"/>
  <c r="S1559" i="4"/>
  <c r="R1559" i="4"/>
  <c r="P1559" i="4"/>
  <c r="O1559" i="4"/>
  <c r="N1559" i="4"/>
  <c r="U1558" i="4"/>
  <c r="T1558" i="4"/>
  <c r="S1558" i="4"/>
  <c r="R1558" i="4"/>
  <c r="P1558" i="4"/>
  <c r="O1558" i="4"/>
  <c r="N1558" i="4"/>
  <c r="U1557" i="4"/>
  <c r="T1557" i="4"/>
  <c r="S1557" i="4"/>
  <c r="R1557" i="4"/>
  <c r="P1557" i="4"/>
  <c r="O1557" i="4"/>
  <c r="N1557" i="4"/>
  <c r="U1556" i="4"/>
  <c r="T1556" i="4"/>
  <c r="S1556" i="4"/>
  <c r="R1556" i="4"/>
  <c r="P1556" i="4"/>
  <c r="O1556" i="4"/>
  <c r="N1556" i="4"/>
  <c r="U1555" i="4"/>
  <c r="T1555" i="4"/>
  <c r="S1555" i="4"/>
  <c r="R1555" i="4"/>
  <c r="P1555" i="4"/>
  <c r="O1555" i="4"/>
  <c r="N1555" i="4"/>
  <c r="U1554" i="4"/>
  <c r="T1554" i="4"/>
  <c r="S1554" i="4"/>
  <c r="R1554" i="4"/>
  <c r="P1554" i="4"/>
  <c r="O1554" i="4"/>
  <c r="N1554" i="4"/>
  <c r="U1553" i="4"/>
  <c r="T1553" i="4"/>
  <c r="S1553" i="4"/>
  <c r="R1553" i="4"/>
  <c r="P1553" i="4"/>
  <c r="O1553" i="4"/>
  <c r="N1553" i="4"/>
  <c r="U1552" i="4"/>
  <c r="T1552" i="4"/>
  <c r="S1552" i="4"/>
  <c r="R1552" i="4"/>
  <c r="P1552" i="4"/>
  <c r="O1552" i="4"/>
  <c r="N1552" i="4"/>
  <c r="U1551" i="4"/>
  <c r="T1551" i="4"/>
  <c r="S1551" i="4"/>
  <c r="R1551" i="4"/>
  <c r="P1551" i="4"/>
  <c r="O1551" i="4"/>
  <c r="N1551" i="4"/>
  <c r="U1550" i="4"/>
  <c r="T1550" i="4"/>
  <c r="S1550" i="4"/>
  <c r="R1550" i="4"/>
  <c r="P1550" i="4"/>
  <c r="O1550" i="4"/>
  <c r="N1550" i="4"/>
  <c r="U1549" i="4"/>
  <c r="T1549" i="4"/>
  <c r="S1549" i="4"/>
  <c r="R1549" i="4"/>
  <c r="P1549" i="4"/>
  <c r="O1549" i="4"/>
  <c r="N1549" i="4"/>
  <c r="U1548" i="4"/>
  <c r="T1548" i="4"/>
  <c r="S1548" i="4"/>
  <c r="R1548" i="4"/>
  <c r="P1548" i="4"/>
  <c r="O1548" i="4"/>
  <c r="N1548" i="4"/>
  <c r="U1547" i="4"/>
  <c r="T1547" i="4"/>
  <c r="S1547" i="4"/>
  <c r="R1547" i="4"/>
  <c r="P1547" i="4"/>
  <c r="O1547" i="4"/>
  <c r="N1547" i="4"/>
  <c r="U1546" i="4"/>
  <c r="T1546" i="4"/>
  <c r="S1546" i="4"/>
  <c r="R1546" i="4"/>
  <c r="P1546" i="4"/>
  <c r="O1546" i="4"/>
  <c r="N1546" i="4"/>
  <c r="U1545" i="4"/>
  <c r="T1545" i="4"/>
  <c r="S1545" i="4"/>
  <c r="R1545" i="4"/>
  <c r="P1545" i="4"/>
  <c r="O1545" i="4"/>
  <c r="N1545" i="4"/>
  <c r="U1544" i="4"/>
  <c r="T1544" i="4"/>
  <c r="S1544" i="4"/>
  <c r="R1544" i="4"/>
  <c r="P1544" i="4"/>
  <c r="O1544" i="4"/>
  <c r="N1544" i="4"/>
  <c r="U1543" i="4"/>
  <c r="T1543" i="4"/>
  <c r="S1543" i="4"/>
  <c r="R1543" i="4"/>
  <c r="P1543" i="4"/>
  <c r="O1543" i="4"/>
  <c r="N1543" i="4"/>
  <c r="U1542" i="4"/>
  <c r="T1542" i="4"/>
  <c r="S1542" i="4"/>
  <c r="R1542" i="4"/>
  <c r="P1542" i="4"/>
  <c r="O1542" i="4"/>
  <c r="N1542" i="4"/>
  <c r="U1541" i="4"/>
  <c r="T1541" i="4"/>
  <c r="S1541" i="4"/>
  <c r="R1541" i="4"/>
  <c r="P1541" i="4"/>
  <c r="O1541" i="4"/>
  <c r="N1541" i="4"/>
  <c r="U1540" i="4"/>
  <c r="T1540" i="4"/>
  <c r="S1540" i="4"/>
  <c r="R1540" i="4"/>
  <c r="P1540" i="4"/>
  <c r="O1540" i="4"/>
  <c r="N1540" i="4"/>
  <c r="U1539" i="4"/>
  <c r="T1539" i="4"/>
  <c r="S1539" i="4"/>
  <c r="R1539" i="4"/>
  <c r="P1539" i="4"/>
  <c r="O1539" i="4"/>
  <c r="N1539" i="4"/>
  <c r="U1538" i="4"/>
  <c r="T1538" i="4"/>
  <c r="S1538" i="4"/>
  <c r="R1538" i="4"/>
  <c r="P1538" i="4"/>
  <c r="O1538" i="4"/>
  <c r="N1538" i="4"/>
  <c r="U1537" i="4"/>
  <c r="T1537" i="4"/>
  <c r="S1537" i="4"/>
  <c r="R1537" i="4"/>
  <c r="P1537" i="4"/>
  <c r="O1537" i="4"/>
  <c r="N1537" i="4"/>
  <c r="U1536" i="4"/>
  <c r="T1536" i="4"/>
  <c r="S1536" i="4"/>
  <c r="R1536" i="4"/>
  <c r="P1536" i="4"/>
  <c r="O1536" i="4"/>
  <c r="N1536" i="4"/>
  <c r="U1535" i="4"/>
  <c r="T1535" i="4"/>
  <c r="S1535" i="4"/>
  <c r="R1535" i="4"/>
  <c r="P1535" i="4"/>
  <c r="O1535" i="4"/>
  <c r="N1535" i="4"/>
  <c r="U1534" i="4"/>
  <c r="T1534" i="4"/>
  <c r="S1534" i="4"/>
  <c r="R1534" i="4"/>
  <c r="P1534" i="4"/>
  <c r="O1534" i="4"/>
  <c r="N1534" i="4"/>
  <c r="U1533" i="4"/>
  <c r="T1533" i="4"/>
  <c r="S1533" i="4"/>
  <c r="R1533" i="4"/>
  <c r="P1533" i="4"/>
  <c r="O1533" i="4"/>
  <c r="N1533" i="4"/>
  <c r="U1532" i="4"/>
  <c r="T1532" i="4"/>
  <c r="S1532" i="4"/>
  <c r="R1532" i="4"/>
  <c r="P1532" i="4"/>
  <c r="O1532" i="4"/>
  <c r="N1532" i="4"/>
  <c r="U1531" i="4"/>
  <c r="T1531" i="4"/>
  <c r="S1531" i="4"/>
  <c r="R1531" i="4"/>
  <c r="P1531" i="4"/>
  <c r="O1531" i="4"/>
  <c r="N1531" i="4"/>
  <c r="U1530" i="4"/>
  <c r="T1530" i="4"/>
  <c r="S1530" i="4"/>
  <c r="R1530" i="4"/>
  <c r="P1530" i="4"/>
  <c r="O1530" i="4"/>
  <c r="N1530" i="4"/>
  <c r="U1529" i="4"/>
  <c r="T1529" i="4"/>
  <c r="S1529" i="4"/>
  <c r="R1529" i="4"/>
  <c r="P1529" i="4"/>
  <c r="O1529" i="4"/>
  <c r="N1529" i="4"/>
  <c r="U1528" i="4"/>
  <c r="T1528" i="4"/>
  <c r="S1528" i="4"/>
  <c r="R1528" i="4"/>
  <c r="P1528" i="4"/>
  <c r="O1528" i="4"/>
  <c r="N1528" i="4"/>
  <c r="U1527" i="4"/>
  <c r="T1527" i="4"/>
  <c r="S1527" i="4"/>
  <c r="R1527" i="4"/>
  <c r="P1527" i="4"/>
  <c r="O1527" i="4"/>
  <c r="N1527" i="4"/>
  <c r="U1526" i="4"/>
  <c r="T1526" i="4"/>
  <c r="S1526" i="4"/>
  <c r="R1526" i="4"/>
  <c r="P1526" i="4"/>
  <c r="O1526" i="4"/>
  <c r="N1526" i="4"/>
  <c r="U1525" i="4"/>
  <c r="T1525" i="4"/>
  <c r="S1525" i="4"/>
  <c r="R1525" i="4"/>
  <c r="P1525" i="4"/>
  <c r="O1525" i="4"/>
  <c r="N1525" i="4"/>
  <c r="U1524" i="4"/>
  <c r="T1524" i="4"/>
  <c r="S1524" i="4"/>
  <c r="R1524" i="4"/>
  <c r="P1524" i="4"/>
  <c r="O1524" i="4"/>
  <c r="N1524" i="4"/>
  <c r="U1523" i="4"/>
  <c r="T1523" i="4"/>
  <c r="S1523" i="4"/>
  <c r="R1523" i="4"/>
  <c r="P1523" i="4"/>
  <c r="O1523" i="4"/>
  <c r="N1523" i="4"/>
  <c r="U1522" i="4"/>
  <c r="T1522" i="4"/>
  <c r="S1522" i="4"/>
  <c r="R1522" i="4"/>
  <c r="P1522" i="4"/>
  <c r="O1522" i="4"/>
  <c r="N1522" i="4"/>
  <c r="U1521" i="4"/>
  <c r="T1521" i="4"/>
  <c r="S1521" i="4"/>
  <c r="R1521" i="4"/>
  <c r="P1521" i="4"/>
  <c r="O1521" i="4"/>
  <c r="N1521" i="4"/>
  <c r="U1520" i="4"/>
  <c r="T1520" i="4"/>
  <c r="S1520" i="4"/>
  <c r="R1520" i="4"/>
  <c r="P1520" i="4"/>
  <c r="O1520" i="4"/>
  <c r="N1520" i="4"/>
  <c r="U1519" i="4"/>
  <c r="T1519" i="4"/>
  <c r="S1519" i="4"/>
  <c r="R1519" i="4"/>
  <c r="P1519" i="4"/>
  <c r="O1519" i="4"/>
  <c r="N1519" i="4"/>
  <c r="U1518" i="4"/>
  <c r="T1518" i="4"/>
  <c r="S1518" i="4"/>
  <c r="R1518" i="4"/>
  <c r="P1518" i="4"/>
  <c r="O1518" i="4"/>
  <c r="N1518" i="4"/>
  <c r="U1517" i="4"/>
  <c r="T1517" i="4"/>
  <c r="S1517" i="4"/>
  <c r="R1517" i="4"/>
  <c r="P1517" i="4"/>
  <c r="O1517" i="4"/>
  <c r="N1517" i="4"/>
  <c r="U1516" i="4"/>
  <c r="T1516" i="4"/>
  <c r="S1516" i="4"/>
  <c r="R1516" i="4"/>
  <c r="P1516" i="4"/>
  <c r="O1516" i="4"/>
  <c r="N1516" i="4"/>
  <c r="U1515" i="4"/>
  <c r="T1515" i="4"/>
  <c r="S1515" i="4"/>
  <c r="R1515" i="4"/>
  <c r="P1515" i="4"/>
  <c r="O1515" i="4"/>
  <c r="N1515" i="4"/>
  <c r="U1514" i="4"/>
  <c r="T1514" i="4"/>
  <c r="S1514" i="4"/>
  <c r="R1514" i="4"/>
  <c r="P1514" i="4"/>
  <c r="O1514" i="4"/>
  <c r="N1514" i="4"/>
  <c r="U1513" i="4"/>
  <c r="T1513" i="4"/>
  <c r="S1513" i="4"/>
  <c r="R1513" i="4"/>
  <c r="P1513" i="4"/>
  <c r="O1513" i="4"/>
  <c r="N1513" i="4"/>
  <c r="U1512" i="4"/>
  <c r="T1512" i="4"/>
  <c r="S1512" i="4"/>
  <c r="R1512" i="4"/>
  <c r="P1512" i="4"/>
  <c r="O1512" i="4"/>
  <c r="N1512" i="4"/>
  <c r="U1511" i="4"/>
  <c r="T1511" i="4"/>
  <c r="S1511" i="4"/>
  <c r="R1511" i="4"/>
  <c r="P1511" i="4"/>
  <c r="O1511" i="4"/>
  <c r="N1511" i="4"/>
  <c r="U1510" i="4"/>
  <c r="T1510" i="4"/>
  <c r="S1510" i="4"/>
  <c r="R1510" i="4"/>
  <c r="P1510" i="4"/>
  <c r="O1510" i="4"/>
  <c r="N1510" i="4"/>
  <c r="U1509" i="4"/>
  <c r="T1509" i="4"/>
  <c r="S1509" i="4"/>
  <c r="R1509" i="4"/>
  <c r="P1509" i="4"/>
  <c r="O1509" i="4"/>
  <c r="N1509" i="4"/>
  <c r="U1508" i="4"/>
  <c r="T1508" i="4"/>
  <c r="S1508" i="4"/>
  <c r="R1508" i="4"/>
  <c r="P1508" i="4"/>
  <c r="O1508" i="4"/>
  <c r="N1508" i="4"/>
  <c r="U1507" i="4"/>
  <c r="T1507" i="4"/>
  <c r="S1507" i="4"/>
  <c r="R1507" i="4"/>
  <c r="P1507" i="4"/>
  <c r="O1507" i="4"/>
  <c r="N1507" i="4"/>
  <c r="U1506" i="4"/>
  <c r="T1506" i="4"/>
  <c r="S1506" i="4"/>
  <c r="R1506" i="4"/>
  <c r="P1506" i="4"/>
  <c r="O1506" i="4"/>
  <c r="N1506" i="4"/>
  <c r="U1505" i="4"/>
  <c r="T1505" i="4"/>
  <c r="S1505" i="4"/>
  <c r="R1505" i="4"/>
  <c r="P1505" i="4"/>
  <c r="O1505" i="4"/>
  <c r="N1505" i="4"/>
  <c r="U1504" i="4"/>
  <c r="T1504" i="4"/>
  <c r="S1504" i="4"/>
  <c r="R1504" i="4"/>
  <c r="P1504" i="4"/>
  <c r="O1504" i="4"/>
  <c r="N1504" i="4"/>
  <c r="U1503" i="4"/>
  <c r="T1503" i="4"/>
  <c r="S1503" i="4"/>
  <c r="R1503" i="4"/>
  <c r="P1503" i="4"/>
  <c r="O1503" i="4"/>
  <c r="N1503" i="4"/>
  <c r="U1502" i="4"/>
  <c r="T1502" i="4"/>
  <c r="S1502" i="4"/>
  <c r="R1502" i="4"/>
  <c r="P1502" i="4"/>
  <c r="O1502" i="4"/>
  <c r="N1502" i="4"/>
  <c r="U1501" i="4"/>
  <c r="T1501" i="4"/>
  <c r="S1501" i="4"/>
  <c r="R1501" i="4"/>
  <c r="P1501" i="4"/>
  <c r="O1501" i="4"/>
  <c r="N1501" i="4"/>
  <c r="U1500" i="4"/>
  <c r="T1500" i="4"/>
  <c r="S1500" i="4"/>
  <c r="R1500" i="4"/>
  <c r="P1500" i="4"/>
  <c r="O1500" i="4"/>
  <c r="N1500" i="4"/>
  <c r="U1499" i="4"/>
  <c r="T1499" i="4"/>
  <c r="S1499" i="4"/>
  <c r="R1499" i="4"/>
  <c r="P1499" i="4"/>
  <c r="O1499" i="4"/>
  <c r="N1499" i="4"/>
  <c r="U1498" i="4"/>
  <c r="T1498" i="4"/>
  <c r="S1498" i="4"/>
  <c r="R1498" i="4"/>
  <c r="P1498" i="4"/>
  <c r="O1498" i="4"/>
  <c r="N1498" i="4"/>
  <c r="U1497" i="4"/>
  <c r="T1497" i="4"/>
  <c r="S1497" i="4"/>
  <c r="R1497" i="4"/>
  <c r="P1497" i="4"/>
  <c r="O1497" i="4"/>
  <c r="N1497" i="4"/>
  <c r="U1496" i="4"/>
  <c r="T1496" i="4"/>
  <c r="S1496" i="4"/>
  <c r="R1496" i="4"/>
  <c r="P1496" i="4"/>
  <c r="O1496" i="4"/>
  <c r="N1496" i="4"/>
  <c r="U1495" i="4"/>
  <c r="T1495" i="4"/>
  <c r="S1495" i="4"/>
  <c r="R1495" i="4"/>
  <c r="P1495" i="4"/>
  <c r="O1495" i="4"/>
  <c r="N1495" i="4"/>
  <c r="U1494" i="4"/>
  <c r="T1494" i="4"/>
  <c r="S1494" i="4"/>
  <c r="R1494" i="4"/>
  <c r="P1494" i="4"/>
  <c r="O1494" i="4"/>
  <c r="N1494" i="4"/>
  <c r="U1493" i="4"/>
  <c r="T1493" i="4"/>
  <c r="S1493" i="4"/>
  <c r="R1493" i="4"/>
  <c r="P1493" i="4"/>
  <c r="O1493" i="4"/>
  <c r="N1493" i="4"/>
  <c r="U1492" i="4"/>
  <c r="T1492" i="4"/>
  <c r="S1492" i="4"/>
  <c r="R1492" i="4"/>
  <c r="P1492" i="4"/>
  <c r="O1492" i="4"/>
  <c r="N1492" i="4"/>
  <c r="U1491" i="4"/>
  <c r="T1491" i="4"/>
  <c r="S1491" i="4"/>
  <c r="R1491" i="4"/>
  <c r="P1491" i="4"/>
  <c r="O1491" i="4"/>
  <c r="N1491" i="4"/>
  <c r="U1490" i="4"/>
  <c r="T1490" i="4"/>
  <c r="S1490" i="4"/>
  <c r="R1490" i="4"/>
  <c r="P1490" i="4"/>
  <c r="O1490" i="4"/>
  <c r="N1490" i="4"/>
  <c r="U1489" i="4"/>
  <c r="T1489" i="4"/>
  <c r="S1489" i="4"/>
  <c r="R1489" i="4"/>
  <c r="P1489" i="4"/>
  <c r="O1489" i="4"/>
  <c r="N1489" i="4"/>
  <c r="U1488" i="4"/>
  <c r="T1488" i="4"/>
  <c r="S1488" i="4"/>
  <c r="R1488" i="4"/>
  <c r="P1488" i="4"/>
  <c r="O1488" i="4"/>
  <c r="N1488" i="4"/>
  <c r="U1487" i="4"/>
  <c r="T1487" i="4"/>
  <c r="S1487" i="4"/>
  <c r="R1487" i="4"/>
  <c r="P1487" i="4"/>
  <c r="O1487" i="4"/>
  <c r="N1487" i="4"/>
  <c r="U1486" i="4"/>
  <c r="T1486" i="4"/>
  <c r="S1486" i="4"/>
  <c r="R1486" i="4"/>
  <c r="P1486" i="4"/>
  <c r="O1486" i="4"/>
  <c r="N1486" i="4"/>
  <c r="U1485" i="4"/>
  <c r="T1485" i="4"/>
  <c r="S1485" i="4"/>
  <c r="R1485" i="4"/>
  <c r="P1485" i="4"/>
  <c r="O1485" i="4"/>
  <c r="N1485" i="4"/>
  <c r="U1484" i="4"/>
  <c r="T1484" i="4"/>
  <c r="S1484" i="4"/>
  <c r="R1484" i="4"/>
  <c r="P1484" i="4"/>
  <c r="O1484" i="4"/>
  <c r="N1484" i="4"/>
  <c r="U1483" i="4"/>
  <c r="T1483" i="4"/>
  <c r="S1483" i="4"/>
  <c r="R1483" i="4"/>
  <c r="P1483" i="4"/>
  <c r="O1483" i="4"/>
  <c r="N1483" i="4"/>
  <c r="U1482" i="4"/>
  <c r="T1482" i="4"/>
  <c r="S1482" i="4"/>
  <c r="R1482" i="4"/>
  <c r="P1482" i="4"/>
  <c r="O1482" i="4"/>
  <c r="N1482" i="4"/>
  <c r="U1481" i="4"/>
  <c r="T1481" i="4"/>
  <c r="S1481" i="4"/>
  <c r="R1481" i="4"/>
  <c r="P1481" i="4"/>
  <c r="O1481" i="4"/>
  <c r="N1481" i="4"/>
  <c r="U1480" i="4"/>
  <c r="T1480" i="4"/>
  <c r="S1480" i="4"/>
  <c r="R1480" i="4"/>
  <c r="P1480" i="4"/>
  <c r="O1480" i="4"/>
  <c r="N1480" i="4"/>
  <c r="U1479" i="4"/>
  <c r="T1479" i="4"/>
  <c r="S1479" i="4"/>
  <c r="R1479" i="4"/>
  <c r="P1479" i="4"/>
  <c r="O1479" i="4"/>
  <c r="N1479" i="4"/>
  <c r="U1478" i="4"/>
  <c r="T1478" i="4"/>
  <c r="S1478" i="4"/>
  <c r="R1478" i="4"/>
  <c r="P1478" i="4"/>
  <c r="O1478" i="4"/>
  <c r="N1478" i="4"/>
  <c r="U1477" i="4"/>
  <c r="T1477" i="4"/>
  <c r="S1477" i="4"/>
  <c r="R1477" i="4"/>
  <c r="P1477" i="4"/>
  <c r="O1477" i="4"/>
  <c r="N1477" i="4"/>
  <c r="U1476" i="4"/>
  <c r="T1476" i="4"/>
  <c r="S1476" i="4"/>
  <c r="R1476" i="4"/>
  <c r="P1476" i="4"/>
  <c r="O1476" i="4"/>
  <c r="N1476" i="4"/>
  <c r="U1475" i="4"/>
  <c r="T1475" i="4"/>
  <c r="S1475" i="4"/>
  <c r="R1475" i="4"/>
  <c r="P1475" i="4"/>
  <c r="O1475" i="4"/>
  <c r="N1475" i="4"/>
  <c r="U1474" i="4"/>
  <c r="T1474" i="4"/>
  <c r="S1474" i="4"/>
  <c r="R1474" i="4"/>
  <c r="P1474" i="4"/>
  <c r="O1474" i="4"/>
  <c r="N1474" i="4"/>
  <c r="U1473" i="4"/>
  <c r="T1473" i="4"/>
  <c r="S1473" i="4"/>
  <c r="R1473" i="4"/>
  <c r="P1473" i="4"/>
  <c r="O1473" i="4"/>
  <c r="N1473" i="4"/>
  <c r="U1472" i="4"/>
  <c r="T1472" i="4"/>
  <c r="S1472" i="4"/>
  <c r="R1472" i="4"/>
  <c r="P1472" i="4"/>
  <c r="O1472" i="4"/>
  <c r="N1472" i="4"/>
  <c r="U1471" i="4"/>
  <c r="T1471" i="4"/>
  <c r="S1471" i="4"/>
  <c r="R1471" i="4"/>
  <c r="P1471" i="4"/>
  <c r="O1471" i="4"/>
  <c r="N1471" i="4"/>
  <c r="U1470" i="4"/>
  <c r="T1470" i="4"/>
  <c r="S1470" i="4"/>
  <c r="R1470" i="4"/>
  <c r="P1470" i="4"/>
  <c r="O1470" i="4"/>
  <c r="N1470" i="4"/>
  <c r="U1469" i="4"/>
  <c r="T1469" i="4"/>
  <c r="S1469" i="4"/>
  <c r="R1469" i="4"/>
  <c r="P1469" i="4"/>
  <c r="O1469" i="4"/>
  <c r="N1469" i="4"/>
  <c r="U1468" i="4"/>
  <c r="T1468" i="4"/>
  <c r="S1468" i="4"/>
  <c r="R1468" i="4"/>
  <c r="P1468" i="4"/>
  <c r="O1468" i="4"/>
  <c r="N1468" i="4"/>
  <c r="U1467" i="4"/>
  <c r="T1467" i="4"/>
  <c r="S1467" i="4"/>
  <c r="R1467" i="4"/>
  <c r="P1467" i="4"/>
  <c r="O1467" i="4"/>
  <c r="N1467" i="4"/>
  <c r="U1466" i="4"/>
  <c r="T1466" i="4"/>
  <c r="S1466" i="4"/>
  <c r="R1466" i="4"/>
  <c r="P1466" i="4"/>
  <c r="O1466" i="4"/>
  <c r="N1466" i="4"/>
  <c r="U1465" i="4"/>
  <c r="T1465" i="4"/>
  <c r="S1465" i="4"/>
  <c r="R1465" i="4"/>
  <c r="P1465" i="4"/>
  <c r="O1465" i="4"/>
  <c r="N1465" i="4"/>
  <c r="U1464" i="4"/>
  <c r="T1464" i="4"/>
  <c r="S1464" i="4"/>
  <c r="R1464" i="4"/>
  <c r="P1464" i="4"/>
  <c r="O1464" i="4"/>
  <c r="N1464" i="4"/>
  <c r="U1463" i="4"/>
  <c r="T1463" i="4"/>
  <c r="S1463" i="4"/>
  <c r="R1463" i="4"/>
  <c r="P1463" i="4"/>
  <c r="O1463" i="4"/>
  <c r="N1463" i="4"/>
  <c r="U1462" i="4"/>
  <c r="T1462" i="4"/>
  <c r="S1462" i="4"/>
  <c r="R1462" i="4"/>
  <c r="P1462" i="4"/>
  <c r="O1462" i="4"/>
  <c r="N1462" i="4"/>
  <c r="U1461" i="4"/>
  <c r="T1461" i="4"/>
  <c r="S1461" i="4"/>
  <c r="R1461" i="4"/>
  <c r="P1461" i="4"/>
  <c r="O1461" i="4"/>
  <c r="N1461" i="4"/>
  <c r="U1460" i="4"/>
  <c r="T1460" i="4"/>
  <c r="S1460" i="4"/>
  <c r="R1460" i="4"/>
  <c r="P1460" i="4"/>
  <c r="O1460" i="4"/>
  <c r="N1460" i="4"/>
  <c r="U1459" i="4"/>
  <c r="T1459" i="4"/>
  <c r="S1459" i="4"/>
  <c r="R1459" i="4"/>
  <c r="P1459" i="4"/>
  <c r="O1459" i="4"/>
  <c r="N1459" i="4"/>
  <c r="U1458" i="4"/>
  <c r="T1458" i="4"/>
  <c r="S1458" i="4"/>
  <c r="R1458" i="4"/>
  <c r="P1458" i="4"/>
  <c r="O1458" i="4"/>
  <c r="N1458" i="4"/>
  <c r="U1457" i="4"/>
  <c r="T1457" i="4"/>
  <c r="S1457" i="4"/>
  <c r="R1457" i="4"/>
  <c r="P1457" i="4"/>
  <c r="O1457" i="4"/>
  <c r="N1457" i="4"/>
  <c r="U1456" i="4"/>
  <c r="T1456" i="4"/>
  <c r="S1456" i="4"/>
  <c r="R1456" i="4"/>
  <c r="P1456" i="4"/>
  <c r="O1456" i="4"/>
  <c r="N1456" i="4"/>
  <c r="U1455" i="4"/>
  <c r="T1455" i="4"/>
  <c r="S1455" i="4"/>
  <c r="R1455" i="4"/>
  <c r="P1455" i="4"/>
  <c r="O1455" i="4"/>
  <c r="N1455" i="4"/>
  <c r="U1454" i="4"/>
  <c r="T1454" i="4"/>
  <c r="S1454" i="4"/>
  <c r="R1454" i="4"/>
  <c r="P1454" i="4"/>
  <c r="O1454" i="4"/>
  <c r="N1454" i="4"/>
  <c r="U1453" i="4"/>
  <c r="T1453" i="4"/>
  <c r="S1453" i="4"/>
  <c r="R1453" i="4"/>
  <c r="P1453" i="4"/>
  <c r="O1453" i="4"/>
  <c r="N1453" i="4"/>
  <c r="U1452" i="4"/>
  <c r="T1452" i="4"/>
  <c r="S1452" i="4"/>
  <c r="R1452" i="4"/>
  <c r="P1452" i="4"/>
  <c r="O1452" i="4"/>
  <c r="N1452" i="4"/>
  <c r="U1451" i="4"/>
  <c r="T1451" i="4"/>
  <c r="S1451" i="4"/>
  <c r="R1451" i="4"/>
  <c r="P1451" i="4"/>
  <c r="O1451" i="4"/>
  <c r="N1451" i="4"/>
  <c r="U1450" i="4"/>
  <c r="T1450" i="4"/>
  <c r="S1450" i="4"/>
  <c r="R1450" i="4"/>
  <c r="P1450" i="4"/>
  <c r="O1450" i="4"/>
  <c r="N1450" i="4"/>
  <c r="U1449" i="4"/>
  <c r="T1449" i="4"/>
  <c r="S1449" i="4"/>
  <c r="R1449" i="4"/>
  <c r="P1449" i="4"/>
  <c r="O1449" i="4"/>
  <c r="N1449" i="4"/>
  <c r="U1448" i="4"/>
  <c r="T1448" i="4"/>
  <c r="S1448" i="4"/>
  <c r="R1448" i="4"/>
  <c r="P1448" i="4"/>
  <c r="O1448" i="4"/>
  <c r="N1448" i="4"/>
  <c r="U1447" i="4"/>
  <c r="T1447" i="4"/>
  <c r="S1447" i="4"/>
  <c r="R1447" i="4"/>
  <c r="P1447" i="4"/>
  <c r="O1447" i="4"/>
  <c r="N1447" i="4"/>
  <c r="U1446" i="4"/>
  <c r="T1446" i="4"/>
  <c r="S1446" i="4"/>
  <c r="R1446" i="4"/>
  <c r="P1446" i="4"/>
  <c r="O1446" i="4"/>
  <c r="N1446" i="4"/>
  <c r="U1445" i="4"/>
  <c r="T1445" i="4"/>
  <c r="S1445" i="4"/>
  <c r="R1445" i="4"/>
  <c r="P1445" i="4"/>
  <c r="O1445" i="4"/>
  <c r="N1445" i="4"/>
  <c r="U1444" i="4"/>
  <c r="T1444" i="4"/>
  <c r="S1444" i="4"/>
  <c r="R1444" i="4"/>
  <c r="P1444" i="4"/>
  <c r="O1444" i="4"/>
  <c r="N1444" i="4"/>
  <c r="U1443" i="4"/>
  <c r="T1443" i="4"/>
  <c r="S1443" i="4"/>
  <c r="R1443" i="4"/>
  <c r="P1443" i="4"/>
  <c r="O1443" i="4"/>
  <c r="N1443" i="4"/>
  <c r="U1442" i="4"/>
  <c r="T1442" i="4"/>
  <c r="S1442" i="4"/>
  <c r="R1442" i="4"/>
  <c r="P1442" i="4"/>
  <c r="O1442" i="4"/>
  <c r="N1442" i="4"/>
  <c r="U1441" i="4"/>
  <c r="T1441" i="4"/>
  <c r="S1441" i="4"/>
  <c r="R1441" i="4"/>
  <c r="P1441" i="4"/>
  <c r="O1441" i="4"/>
  <c r="N1441" i="4"/>
  <c r="U1440" i="4"/>
  <c r="T1440" i="4"/>
  <c r="S1440" i="4"/>
  <c r="R1440" i="4"/>
  <c r="P1440" i="4"/>
  <c r="O1440" i="4"/>
  <c r="N1440" i="4"/>
  <c r="U1439" i="4"/>
  <c r="T1439" i="4"/>
  <c r="S1439" i="4"/>
  <c r="R1439" i="4"/>
  <c r="P1439" i="4"/>
  <c r="O1439" i="4"/>
  <c r="N1439" i="4"/>
  <c r="U1438" i="4"/>
  <c r="T1438" i="4"/>
  <c r="S1438" i="4"/>
  <c r="R1438" i="4"/>
  <c r="P1438" i="4"/>
  <c r="O1438" i="4"/>
  <c r="N1438" i="4"/>
  <c r="U1437" i="4"/>
  <c r="T1437" i="4"/>
  <c r="S1437" i="4"/>
  <c r="R1437" i="4"/>
  <c r="P1437" i="4"/>
  <c r="O1437" i="4"/>
  <c r="N1437" i="4"/>
  <c r="U1436" i="4"/>
  <c r="T1436" i="4"/>
  <c r="S1436" i="4"/>
  <c r="R1436" i="4"/>
  <c r="P1436" i="4"/>
  <c r="O1436" i="4"/>
  <c r="N1436" i="4"/>
  <c r="U1435" i="4"/>
  <c r="T1435" i="4"/>
  <c r="S1435" i="4"/>
  <c r="R1435" i="4"/>
  <c r="P1435" i="4"/>
  <c r="O1435" i="4"/>
  <c r="N1435" i="4"/>
  <c r="U1434" i="4"/>
  <c r="T1434" i="4"/>
  <c r="S1434" i="4"/>
  <c r="R1434" i="4"/>
  <c r="P1434" i="4"/>
  <c r="O1434" i="4"/>
  <c r="N1434" i="4"/>
  <c r="U1433" i="4"/>
  <c r="T1433" i="4"/>
  <c r="S1433" i="4"/>
  <c r="R1433" i="4"/>
  <c r="P1433" i="4"/>
  <c r="O1433" i="4"/>
  <c r="N1433" i="4"/>
  <c r="U1432" i="4"/>
  <c r="T1432" i="4"/>
  <c r="S1432" i="4"/>
  <c r="R1432" i="4"/>
  <c r="P1432" i="4"/>
  <c r="O1432" i="4"/>
  <c r="N1432" i="4"/>
  <c r="U1431" i="4"/>
  <c r="T1431" i="4"/>
  <c r="S1431" i="4"/>
  <c r="R1431" i="4"/>
  <c r="P1431" i="4"/>
  <c r="O1431" i="4"/>
  <c r="N1431" i="4"/>
  <c r="U1430" i="4"/>
  <c r="T1430" i="4"/>
  <c r="S1430" i="4"/>
  <c r="R1430" i="4"/>
  <c r="P1430" i="4"/>
  <c r="O1430" i="4"/>
  <c r="N1430" i="4"/>
  <c r="U1429" i="4"/>
  <c r="T1429" i="4"/>
  <c r="S1429" i="4"/>
  <c r="R1429" i="4"/>
  <c r="P1429" i="4"/>
  <c r="O1429" i="4"/>
  <c r="N1429" i="4"/>
  <c r="U1428" i="4"/>
  <c r="T1428" i="4"/>
  <c r="S1428" i="4"/>
  <c r="R1428" i="4"/>
  <c r="P1428" i="4"/>
  <c r="O1428" i="4"/>
  <c r="N1428" i="4"/>
  <c r="U1427" i="4"/>
  <c r="T1427" i="4"/>
  <c r="S1427" i="4"/>
  <c r="R1427" i="4"/>
  <c r="P1427" i="4"/>
  <c r="O1427" i="4"/>
  <c r="N1427" i="4"/>
  <c r="U1426" i="4"/>
  <c r="T1426" i="4"/>
  <c r="S1426" i="4"/>
  <c r="R1426" i="4"/>
  <c r="P1426" i="4"/>
  <c r="O1426" i="4"/>
  <c r="N1426" i="4"/>
  <c r="U1425" i="4"/>
  <c r="T1425" i="4"/>
  <c r="S1425" i="4"/>
  <c r="R1425" i="4"/>
  <c r="P1425" i="4"/>
  <c r="O1425" i="4"/>
  <c r="N1425" i="4"/>
  <c r="U1424" i="4"/>
  <c r="T1424" i="4"/>
  <c r="S1424" i="4"/>
  <c r="R1424" i="4"/>
  <c r="P1424" i="4"/>
  <c r="O1424" i="4"/>
  <c r="N1424" i="4"/>
  <c r="U1423" i="4"/>
  <c r="T1423" i="4"/>
  <c r="S1423" i="4"/>
  <c r="R1423" i="4"/>
  <c r="P1423" i="4"/>
  <c r="O1423" i="4"/>
  <c r="N1423" i="4"/>
  <c r="U1422" i="4"/>
  <c r="T1422" i="4"/>
  <c r="S1422" i="4"/>
  <c r="R1422" i="4"/>
  <c r="P1422" i="4"/>
  <c r="O1422" i="4"/>
  <c r="N1422" i="4"/>
  <c r="U1421" i="4"/>
  <c r="T1421" i="4"/>
  <c r="S1421" i="4"/>
  <c r="R1421" i="4"/>
  <c r="P1421" i="4"/>
  <c r="O1421" i="4"/>
  <c r="N1421" i="4"/>
  <c r="U1420" i="4"/>
  <c r="T1420" i="4"/>
  <c r="S1420" i="4"/>
  <c r="R1420" i="4"/>
  <c r="P1420" i="4"/>
  <c r="O1420" i="4"/>
  <c r="N1420" i="4"/>
  <c r="U1419" i="4"/>
  <c r="T1419" i="4"/>
  <c r="S1419" i="4"/>
  <c r="R1419" i="4"/>
  <c r="P1419" i="4"/>
  <c r="O1419" i="4"/>
  <c r="N1419" i="4"/>
  <c r="U1418" i="4"/>
  <c r="T1418" i="4"/>
  <c r="S1418" i="4"/>
  <c r="R1418" i="4"/>
  <c r="P1418" i="4"/>
  <c r="O1418" i="4"/>
  <c r="N1418" i="4"/>
  <c r="U1417" i="4"/>
  <c r="T1417" i="4"/>
  <c r="S1417" i="4"/>
  <c r="R1417" i="4"/>
  <c r="P1417" i="4"/>
  <c r="O1417" i="4"/>
  <c r="N1417" i="4"/>
  <c r="U1416" i="4"/>
  <c r="T1416" i="4"/>
  <c r="S1416" i="4"/>
  <c r="R1416" i="4"/>
  <c r="P1416" i="4"/>
  <c r="O1416" i="4"/>
  <c r="N1416" i="4"/>
  <c r="U1415" i="4"/>
  <c r="T1415" i="4"/>
  <c r="S1415" i="4"/>
  <c r="R1415" i="4"/>
  <c r="P1415" i="4"/>
  <c r="O1415" i="4"/>
  <c r="N1415" i="4"/>
  <c r="U1414" i="4"/>
  <c r="T1414" i="4"/>
  <c r="S1414" i="4"/>
  <c r="R1414" i="4"/>
  <c r="P1414" i="4"/>
  <c r="O1414" i="4"/>
  <c r="N1414" i="4"/>
  <c r="U1413" i="4"/>
  <c r="T1413" i="4"/>
  <c r="S1413" i="4"/>
  <c r="R1413" i="4"/>
  <c r="P1413" i="4"/>
  <c r="O1413" i="4"/>
  <c r="N1413" i="4"/>
  <c r="U1412" i="4"/>
  <c r="T1412" i="4"/>
  <c r="S1412" i="4"/>
  <c r="R1412" i="4"/>
  <c r="P1412" i="4"/>
  <c r="O1412" i="4"/>
  <c r="N1412" i="4"/>
  <c r="U1411" i="4"/>
  <c r="T1411" i="4"/>
  <c r="S1411" i="4"/>
  <c r="R1411" i="4"/>
  <c r="P1411" i="4"/>
  <c r="O1411" i="4"/>
  <c r="N1411" i="4"/>
  <c r="U1410" i="4"/>
  <c r="T1410" i="4"/>
  <c r="S1410" i="4"/>
  <c r="R1410" i="4"/>
  <c r="P1410" i="4"/>
  <c r="O1410" i="4"/>
  <c r="N1410" i="4"/>
  <c r="U1409" i="4"/>
  <c r="T1409" i="4"/>
  <c r="S1409" i="4"/>
  <c r="R1409" i="4"/>
  <c r="P1409" i="4"/>
  <c r="O1409" i="4"/>
  <c r="N1409" i="4"/>
  <c r="U1408" i="4"/>
  <c r="T1408" i="4"/>
  <c r="S1408" i="4"/>
  <c r="R1408" i="4"/>
  <c r="P1408" i="4"/>
  <c r="O1408" i="4"/>
  <c r="N1408" i="4"/>
  <c r="U1407" i="4"/>
  <c r="T1407" i="4"/>
  <c r="S1407" i="4"/>
  <c r="R1407" i="4"/>
  <c r="P1407" i="4"/>
  <c r="O1407" i="4"/>
  <c r="N1407" i="4"/>
  <c r="U1406" i="4"/>
  <c r="T1406" i="4"/>
  <c r="S1406" i="4"/>
  <c r="R1406" i="4"/>
  <c r="P1406" i="4"/>
  <c r="O1406" i="4"/>
  <c r="N1406" i="4"/>
  <c r="U1405" i="4"/>
  <c r="T1405" i="4"/>
  <c r="S1405" i="4"/>
  <c r="R1405" i="4"/>
  <c r="P1405" i="4"/>
  <c r="O1405" i="4"/>
  <c r="N1405" i="4"/>
  <c r="U1404" i="4"/>
  <c r="T1404" i="4"/>
  <c r="S1404" i="4"/>
  <c r="R1404" i="4"/>
  <c r="P1404" i="4"/>
  <c r="O1404" i="4"/>
  <c r="N1404" i="4"/>
  <c r="U1403" i="4"/>
  <c r="T1403" i="4"/>
  <c r="S1403" i="4"/>
  <c r="R1403" i="4"/>
  <c r="P1403" i="4"/>
  <c r="O1403" i="4"/>
  <c r="N1403" i="4"/>
  <c r="U1402" i="4"/>
  <c r="T1402" i="4"/>
  <c r="S1402" i="4"/>
  <c r="R1402" i="4"/>
  <c r="P1402" i="4"/>
  <c r="O1402" i="4"/>
  <c r="N1402" i="4"/>
  <c r="U1401" i="4"/>
  <c r="T1401" i="4"/>
  <c r="S1401" i="4"/>
  <c r="R1401" i="4"/>
  <c r="P1401" i="4"/>
  <c r="O1401" i="4"/>
  <c r="N1401" i="4"/>
  <c r="U1400" i="4"/>
  <c r="T1400" i="4"/>
  <c r="S1400" i="4"/>
  <c r="R1400" i="4"/>
  <c r="P1400" i="4"/>
  <c r="O1400" i="4"/>
  <c r="N1400" i="4"/>
  <c r="U1399" i="4"/>
  <c r="T1399" i="4"/>
  <c r="S1399" i="4"/>
  <c r="R1399" i="4"/>
  <c r="P1399" i="4"/>
  <c r="O1399" i="4"/>
  <c r="N1399" i="4"/>
  <c r="U1398" i="4"/>
  <c r="T1398" i="4"/>
  <c r="S1398" i="4"/>
  <c r="R1398" i="4"/>
  <c r="P1398" i="4"/>
  <c r="O1398" i="4"/>
  <c r="N1398" i="4"/>
  <c r="U1397" i="4"/>
  <c r="T1397" i="4"/>
  <c r="S1397" i="4"/>
  <c r="R1397" i="4"/>
  <c r="P1397" i="4"/>
  <c r="O1397" i="4"/>
  <c r="N1397" i="4"/>
  <c r="U1396" i="4"/>
  <c r="T1396" i="4"/>
  <c r="S1396" i="4"/>
  <c r="R1396" i="4"/>
  <c r="P1396" i="4"/>
  <c r="O1396" i="4"/>
  <c r="N1396" i="4"/>
  <c r="U1395" i="4"/>
  <c r="T1395" i="4"/>
  <c r="S1395" i="4"/>
  <c r="R1395" i="4"/>
  <c r="P1395" i="4"/>
  <c r="O1395" i="4"/>
  <c r="N1395" i="4"/>
  <c r="U1394" i="4"/>
  <c r="T1394" i="4"/>
  <c r="S1394" i="4"/>
  <c r="R1394" i="4"/>
  <c r="P1394" i="4"/>
  <c r="O1394" i="4"/>
  <c r="N1394" i="4"/>
  <c r="U1393" i="4"/>
  <c r="T1393" i="4"/>
  <c r="S1393" i="4"/>
  <c r="R1393" i="4"/>
  <c r="P1393" i="4"/>
  <c r="O1393" i="4"/>
  <c r="N1393" i="4"/>
  <c r="U1392" i="4"/>
  <c r="T1392" i="4"/>
  <c r="S1392" i="4"/>
  <c r="R1392" i="4"/>
  <c r="P1392" i="4"/>
  <c r="O1392" i="4"/>
  <c r="N1392" i="4"/>
  <c r="U1391" i="4"/>
  <c r="T1391" i="4"/>
  <c r="S1391" i="4"/>
  <c r="R1391" i="4"/>
  <c r="P1391" i="4"/>
  <c r="O1391" i="4"/>
  <c r="N1391" i="4"/>
  <c r="U1390" i="4"/>
  <c r="T1390" i="4"/>
  <c r="S1390" i="4"/>
  <c r="R1390" i="4"/>
  <c r="P1390" i="4"/>
  <c r="O1390" i="4"/>
  <c r="N1390" i="4"/>
  <c r="U1389" i="4"/>
  <c r="T1389" i="4"/>
  <c r="S1389" i="4"/>
  <c r="R1389" i="4"/>
  <c r="P1389" i="4"/>
  <c r="O1389" i="4"/>
  <c r="N1389" i="4"/>
  <c r="U1388" i="4"/>
  <c r="T1388" i="4"/>
  <c r="S1388" i="4"/>
  <c r="R1388" i="4"/>
  <c r="P1388" i="4"/>
  <c r="O1388" i="4"/>
  <c r="N1388" i="4"/>
  <c r="U1387" i="4"/>
  <c r="T1387" i="4"/>
  <c r="S1387" i="4"/>
  <c r="R1387" i="4"/>
  <c r="P1387" i="4"/>
  <c r="O1387" i="4"/>
  <c r="N1387" i="4"/>
  <c r="U1386" i="4"/>
  <c r="T1386" i="4"/>
  <c r="S1386" i="4"/>
  <c r="R1386" i="4"/>
  <c r="P1386" i="4"/>
  <c r="O1386" i="4"/>
  <c r="N1386" i="4"/>
  <c r="U1385" i="4"/>
  <c r="T1385" i="4"/>
  <c r="S1385" i="4"/>
  <c r="R1385" i="4"/>
  <c r="P1385" i="4"/>
  <c r="O1385" i="4"/>
  <c r="N1385" i="4"/>
  <c r="U1384" i="4"/>
  <c r="T1384" i="4"/>
  <c r="S1384" i="4"/>
  <c r="R1384" i="4"/>
  <c r="P1384" i="4"/>
  <c r="O1384" i="4"/>
  <c r="N1384" i="4"/>
  <c r="U1383" i="4"/>
  <c r="T1383" i="4"/>
  <c r="S1383" i="4"/>
  <c r="R1383" i="4"/>
  <c r="P1383" i="4"/>
  <c r="O1383" i="4"/>
  <c r="N1383" i="4"/>
  <c r="U1382" i="4"/>
  <c r="T1382" i="4"/>
  <c r="S1382" i="4"/>
  <c r="R1382" i="4"/>
  <c r="P1382" i="4"/>
  <c r="O1382" i="4"/>
  <c r="N1382" i="4"/>
  <c r="U1381" i="4"/>
  <c r="T1381" i="4"/>
  <c r="S1381" i="4"/>
  <c r="R1381" i="4"/>
  <c r="P1381" i="4"/>
  <c r="O1381" i="4"/>
  <c r="N1381" i="4"/>
  <c r="U1380" i="4"/>
  <c r="T1380" i="4"/>
  <c r="S1380" i="4"/>
  <c r="R1380" i="4"/>
  <c r="P1380" i="4"/>
  <c r="O1380" i="4"/>
  <c r="N1380" i="4"/>
  <c r="U1379" i="4"/>
  <c r="T1379" i="4"/>
  <c r="S1379" i="4"/>
  <c r="R1379" i="4"/>
  <c r="P1379" i="4"/>
  <c r="O1379" i="4"/>
  <c r="N1379" i="4"/>
  <c r="U1378" i="4"/>
  <c r="T1378" i="4"/>
  <c r="S1378" i="4"/>
  <c r="R1378" i="4"/>
  <c r="P1378" i="4"/>
  <c r="O1378" i="4"/>
  <c r="N1378" i="4"/>
  <c r="U1377" i="4"/>
  <c r="T1377" i="4"/>
  <c r="S1377" i="4"/>
  <c r="R1377" i="4"/>
  <c r="P1377" i="4"/>
  <c r="O1377" i="4"/>
  <c r="N1377" i="4"/>
  <c r="U1376" i="4"/>
  <c r="T1376" i="4"/>
  <c r="S1376" i="4"/>
  <c r="R1376" i="4"/>
  <c r="P1376" i="4"/>
  <c r="O1376" i="4"/>
  <c r="N1376" i="4"/>
  <c r="U1375" i="4"/>
  <c r="T1375" i="4"/>
  <c r="S1375" i="4"/>
  <c r="R1375" i="4"/>
  <c r="P1375" i="4"/>
  <c r="O1375" i="4"/>
  <c r="N1375" i="4"/>
  <c r="U1374" i="4"/>
  <c r="T1374" i="4"/>
  <c r="S1374" i="4"/>
  <c r="R1374" i="4"/>
  <c r="P1374" i="4"/>
  <c r="O1374" i="4"/>
  <c r="N1374" i="4"/>
  <c r="U1373" i="4"/>
  <c r="T1373" i="4"/>
  <c r="S1373" i="4"/>
  <c r="R1373" i="4"/>
  <c r="P1373" i="4"/>
  <c r="O1373" i="4"/>
  <c r="N1373" i="4"/>
  <c r="U1372" i="4"/>
  <c r="T1372" i="4"/>
  <c r="S1372" i="4"/>
  <c r="R1372" i="4"/>
  <c r="P1372" i="4"/>
  <c r="O1372" i="4"/>
  <c r="N1372" i="4"/>
  <c r="U1371" i="4"/>
  <c r="T1371" i="4"/>
  <c r="S1371" i="4"/>
  <c r="R1371" i="4"/>
  <c r="P1371" i="4"/>
  <c r="O1371" i="4"/>
  <c r="N1371" i="4"/>
  <c r="U1370" i="4"/>
  <c r="T1370" i="4"/>
  <c r="S1370" i="4"/>
  <c r="R1370" i="4"/>
  <c r="P1370" i="4"/>
  <c r="O1370" i="4"/>
  <c r="N1370" i="4"/>
  <c r="U1369" i="4"/>
  <c r="T1369" i="4"/>
  <c r="S1369" i="4"/>
  <c r="R1369" i="4"/>
  <c r="P1369" i="4"/>
  <c r="O1369" i="4"/>
  <c r="N1369" i="4"/>
  <c r="U1368" i="4"/>
  <c r="T1368" i="4"/>
  <c r="S1368" i="4"/>
  <c r="R1368" i="4"/>
  <c r="P1368" i="4"/>
  <c r="O1368" i="4"/>
  <c r="N1368" i="4"/>
  <c r="U1367" i="4"/>
  <c r="T1367" i="4"/>
  <c r="S1367" i="4"/>
  <c r="R1367" i="4"/>
  <c r="P1367" i="4"/>
  <c r="O1367" i="4"/>
  <c r="N1367" i="4"/>
  <c r="U1366" i="4"/>
  <c r="T1366" i="4"/>
  <c r="S1366" i="4"/>
  <c r="R1366" i="4"/>
  <c r="P1366" i="4"/>
  <c r="O1366" i="4"/>
  <c r="N1366" i="4"/>
  <c r="U1365" i="4"/>
  <c r="T1365" i="4"/>
  <c r="S1365" i="4"/>
  <c r="R1365" i="4"/>
  <c r="P1365" i="4"/>
  <c r="O1365" i="4"/>
  <c r="N1365" i="4"/>
  <c r="U1364" i="4"/>
  <c r="T1364" i="4"/>
  <c r="S1364" i="4"/>
  <c r="R1364" i="4"/>
  <c r="P1364" i="4"/>
  <c r="O1364" i="4"/>
  <c r="N1364" i="4"/>
  <c r="U1363" i="4"/>
  <c r="T1363" i="4"/>
  <c r="S1363" i="4"/>
  <c r="R1363" i="4"/>
  <c r="P1363" i="4"/>
  <c r="O1363" i="4"/>
  <c r="N1363" i="4"/>
  <c r="U1362" i="4"/>
  <c r="T1362" i="4"/>
  <c r="S1362" i="4"/>
  <c r="R1362" i="4"/>
  <c r="P1362" i="4"/>
  <c r="O1362" i="4"/>
  <c r="N1362" i="4"/>
  <c r="U1361" i="4"/>
  <c r="T1361" i="4"/>
  <c r="S1361" i="4"/>
  <c r="R1361" i="4"/>
  <c r="P1361" i="4"/>
  <c r="O1361" i="4"/>
  <c r="N1361" i="4"/>
  <c r="U1360" i="4"/>
  <c r="T1360" i="4"/>
  <c r="S1360" i="4"/>
  <c r="R1360" i="4"/>
  <c r="P1360" i="4"/>
  <c r="O1360" i="4"/>
  <c r="N1360" i="4"/>
  <c r="U1359" i="4"/>
  <c r="T1359" i="4"/>
  <c r="S1359" i="4"/>
  <c r="R1359" i="4"/>
  <c r="P1359" i="4"/>
  <c r="O1359" i="4"/>
  <c r="N1359" i="4"/>
  <c r="U1358" i="4"/>
  <c r="T1358" i="4"/>
  <c r="S1358" i="4"/>
  <c r="R1358" i="4"/>
  <c r="P1358" i="4"/>
  <c r="O1358" i="4"/>
  <c r="N1358" i="4"/>
  <c r="U1357" i="4"/>
  <c r="T1357" i="4"/>
  <c r="S1357" i="4"/>
  <c r="R1357" i="4"/>
  <c r="P1357" i="4"/>
  <c r="O1357" i="4"/>
  <c r="N1357" i="4"/>
  <c r="U1356" i="4"/>
  <c r="T1356" i="4"/>
  <c r="S1356" i="4"/>
  <c r="R1356" i="4"/>
  <c r="P1356" i="4"/>
  <c r="O1356" i="4"/>
  <c r="N1356" i="4"/>
  <c r="U1355" i="4"/>
  <c r="T1355" i="4"/>
  <c r="S1355" i="4"/>
  <c r="R1355" i="4"/>
  <c r="P1355" i="4"/>
  <c r="O1355" i="4"/>
  <c r="N1355" i="4"/>
  <c r="U1354" i="4"/>
  <c r="T1354" i="4"/>
  <c r="S1354" i="4"/>
  <c r="R1354" i="4"/>
  <c r="P1354" i="4"/>
  <c r="O1354" i="4"/>
  <c r="N1354" i="4"/>
  <c r="U1353" i="4"/>
  <c r="T1353" i="4"/>
  <c r="S1353" i="4"/>
  <c r="R1353" i="4"/>
  <c r="P1353" i="4"/>
  <c r="O1353" i="4"/>
  <c r="N1353" i="4"/>
  <c r="U1352" i="4"/>
  <c r="T1352" i="4"/>
  <c r="S1352" i="4"/>
  <c r="R1352" i="4"/>
  <c r="P1352" i="4"/>
  <c r="O1352" i="4"/>
  <c r="N1352" i="4"/>
  <c r="U1351" i="4"/>
  <c r="T1351" i="4"/>
  <c r="S1351" i="4"/>
  <c r="R1351" i="4"/>
  <c r="P1351" i="4"/>
  <c r="O1351" i="4"/>
  <c r="N1351" i="4"/>
  <c r="U1350" i="4"/>
  <c r="T1350" i="4"/>
  <c r="S1350" i="4"/>
  <c r="R1350" i="4"/>
  <c r="P1350" i="4"/>
  <c r="O1350" i="4"/>
  <c r="N1350" i="4"/>
  <c r="U1349" i="4"/>
  <c r="T1349" i="4"/>
  <c r="S1349" i="4"/>
  <c r="R1349" i="4"/>
  <c r="P1349" i="4"/>
  <c r="O1349" i="4"/>
  <c r="N1349" i="4"/>
  <c r="U1348" i="4"/>
  <c r="T1348" i="4"/>
  <c r="S1348" i="4"/>
  <c r="R1348" i="4"/>
  <c r="P1348" i="4"/>
  <c r="O1348" i="4"/>
  <c r="N1348" i="4"/>
  <c r="U1347" i="4"/>
  <c r="T1347" i="4"/>
  <c r="S1347" i="4"/>
  <c r="R1347" i="4"/>
  <c r="P1347" i="4"/>
  <c r="O1347" i="4"/>
  <c r="N1347" i="4"/>
  <c r="U1346" i="4"/>
  <c r="T1346" i="4"/>
  <c r="S1346" i="4"/>
  <c r="R1346" i="4"/>
  <c r="P1346" i="4"/>
  <c r="O1346" i="4"/>
  <c r="N1346" i="4"/>
  <c r="U1345" i="4"/>
  <c r="T1345" i="4"/>
  <c r="S1345" i="4"/>
  <c r="R1345" i="4"/>
  <c r="P1345" i="4"/>
  <c r="O1345" i="4"/>
  <c r="N1345" i="4"/>
  <c r="U1344" i="4"/>
  <c r="T1344" i="4"/>
  <c r="S1344" i="4"/>
  <c r="R1344" i="4"/>
  <c r="P1344" i="4"/>
  <c r="O1344" i="4"/>
  <c r="N1344" i="4"/>
  <c r="U1343" i="4"/>
  <c r="T1343" i="4"/>
  <c r="S1343" i="4"/>
  <c r="R1343" i="4"/>
  <c r="P1343" i="4"/>
  <c r="O1343" i="4"/>
  <c r="N1343" i="4"/>
  <c r="U1342" i="4"/>
  <c r="T1342" i="4"/>
  <c r="S1342" i="4"/>
  <c r="R1342" i="4"/>
  <c r="P1342" i="4"/>
  <c r="O1342" i="4"/>
  <c r="N1342" i="4"/>
  <c r="U1341" i="4"/>
  <c r="T1341" i="4"/>
  <c r="S1341" i="4"/>
  <c r="R1341" i="4"/>
  <c r="P1341" i="4"/>
  <c r="O1341" i="4"/>
  <c r="N1341" i="4"/>
  <c r="U1340" i="4"/>
  <c r="T1340" i="4"/>
  <c r="S1340" i="4"/>
  <c r="R1340" i="4"/>
  <c r="P1340" i="4"/>
  <c r="O1340" i="4"/>
  <c r="N1340" i="4"/>
  <c r="U1339" i="4"/>
  <c r="T1339" i="4"/>
  <c r="S1339" i="4"/>
  <c r="R1339" i="4"/>
  <c r="P1339" i="4"/>
  <c r="O1339" i="4"/>
  <c r="N1339" i="4"/>
  <c r="U1338" i="4"/>
  <c r="T1338" i="4"/>
  <c r="S1338" i="4"/>
  <c r="R1338" i="4"/>
  <c r="P1338" i="4"/>
  <c r="O1338" i="4"/>
  <c r="N1338" i="4"/>
  <c r="U1337" i="4"/>
  <c r="T1337" i="4"/>
  <c r="S1337" i="4"/>
  <c r="R1337" i="4"/>
  <c r="P1337" i="4"/>
  <c r="O1337" i="4"/>
  <c r="N1337" i="4"/>
  <c r="U1336" i="4"/>
  <c r="T1336" i="4"/>
  <c r="S1336" i="4"/>
  <c r="R1336" i="4"/>
  <c r="P1336" i="4"/>
  <c r="O1336" i="4"/>
  <c r="N1336" i="4"/>
  <c r="U1335" i="4"/>
  <c r="T1335" i="4"/>
  <c r="S1335" i="4"/>
  <c r="R1335" i="4"/>
  <c r="P1335" i="4"/>
  <c r="O1335" i="4"/>
  <c r="N1335" i="4"/>
  <c r="U1334" i="4"/>
  <c r="T1334" i="4"/>
  <c r="S1334" i="4"/>
  <c r="R1334" i="4"/>
  <c r="P1334" i="4"/>
  <c r="O1334" i="4"/>
  <c r="N1334" i="4"/>
  <c r="U1333" i="4"/>
  <c r="T1333" i="4"/>
  <c r="S1333" i="4"/>
  <c r="R1333" i="4"/>
  <c r="P1333" i="4"/>
  <c r="O1333" i="4"/>
  <c r="N1333" i="4"/>
  <c r="U1332" i="4"/>
  <c r="T1332" i="4"/>
  <c r="S1332" i="4"/>
  <c r="R1332" i="4"/>
  <c r="P1332" i="4"/>
  <c r="O1332" i="4"/>
  <c r="N1332" i="4"/>
  <c r="U1331" i="4"/>
  <c r="T1331" i="4"/>
  <c r="S1331" i="4"/>
  <c r="R1331" i="4"/>
  <c r="P1331" i="4"/>
  <c r="O1331" i="4"/>
  <c r="N1331" i="4"/>
  <c r="U1330" i="4"/>
  <c r="T1330" i="4"/>
  <c r="S1330" i="4"/>
  <c r="R1330" i="4"/>
  <c r="P1330" i="4"/>
  <c r="O1330" i="4"/>
  <c r="N1330" i="4"/>
  <c r="U1329" i="4"/>
  <c r="T1329" i="4"/>
  <c r="S1329" i="4"/>
  <c r="R1329" i="4"/>
  <c r="P1329" i="4"/>
  <c r="O1329" i="4"/>
  <c r="N1329" i="4"/>
  <c r="U1328" i="4"/>
  <c r="T1328" i="4"/>
  <c r="S1328" i="4"/>
  <c r="R1328" i="4"/>
  <c r="P1328" i="4"/>
  <c r="O1328" i="4"/>
  <c r="N1328" i="4"/>
  <c r="U1327" i="4"/>
  <c r="T1327" i="4"/>
  <c r="S1327" i="4"/>
  <c r="R1327" i="4"/>
  <c r="P1327" i="4"/>
  <c r="O1327" i="4"/>
  <c r="N1327" i="4"/>
  <c r="U1326" i="4"/>
  <c r="T1326" i="4"/>
  <c r="S1326" i="4"/>
  <c r="R1326" i="4"/>
  <c r="P1326" i="4"/>
  <c r="O1326" i="4"/>
  <c r="N1326" i="4"/>
  <c r="U1325" i="4"/>
  <c r="T1325" i="4"/>
  <c r="S1325" i="4"/>
  <c r="R1325" i="4"/>
  <c r="P1325" i="4"/>
  <c r="O1325" i="4"/>
  <c r="N1325" i="4"/>
  <c r="U1324" i="4"/>
  <c r="T1324" i="4"/>
  <c r="S1324" i="4"/>
  <c r="R1324" i="4"/>
  <c r="P1324" i="4"/>
  <c r="O1324" i="4"/>
  <c r="N1324" i="4"/>
  <c r="U1323" i="4"/>
  <c r="T1323" i="4"/>
  <c r="S1323" i="4"/>
  <c r="R1323" i="4"/>
  <c r="P1323" i="4"/>
  <c r="O1323" i="4"/>
  <c r="N1323" i="4"/>
  <c r="U1322" i="4"/>
  <c r="T1322" i="4"/>
  <c r="S1322" i="4"/>
  <c r="R1322" i="4"/>
  <c r="P1322" i="4"/>
  <c r="O1322" i="4"/>
  <c r="N1322" i="4"/>
  <c r="U1321" i="4"/>
  <c r="T1321" i="4"/>
  <c r="S1321" i="4"/>
  <c r="R1321" i="4"/>
  <c r="P1321" i="4"/>
  <c r="O1321" i="4"/>
  <c r="N1321" i="4"/>
  <c r="U1320" i="4"/>
  <c r="T1320" i="4"/>
  <c r="S1320" i="4"/>
  <c r="R1320" i="4"/>
  <c r="P1320" i="4"/>
  <c r="O1320" i="4"/>
  <c r="N1320" i="4"/>
  <c r="U1319" i="4"/>
  <c r="T1319" i="4"/>
  <c r="S1319" i="4"/>
  <c r="R1319" i="4"/>
  <c r="P1319" i="4"/>
  <c r="O1319" i="4"/>
  <c r="N1319" i="4"/>
  <c r="U1318" i="4"/>
  <c r="T1318" i="4"/>
  <c r="S1318" i="4"/>
  <c r="R1318" i="4"/>
  <c r="P1318" i="4"/>
  <c r="O1318" i="4"/>
  <c r="N1318" i="4"/>
  <c r="U1317" i="4"/>
  <c r="T1317" i="4"/>
  <c r="S1317" i="4"/>
  <c r="R1317" i="4"/>
  <c r="P1317" i="4"/>
  <c r="O1317" i="4"/>
  <c r="N1317" i="4"/>
  <c r="U1316" i="4"/>
  <c r="T1316" i="4"/>
  <c r="S1316" i="4"/>
  <c r="R1316" i="4"/>
  <c r="P1316" i="4"/>
  <c r="O1316" i="4"/>
  <c r="N1316" i="4"/>
  <c r="U1315" i="4"/>
  <c r="T1315" i="4"/>
  <c r="S1315" i="4"/>
  <c r="R1315" i="4"/>
  <c r="P1315" i="4"/>
  <c r="O1315" i="4"/>
  <c r="N1315" i="4"/>
  <c r="U1314" i="4"/>
  <c r="T1314" i="4"/>
  <c r="S1314" i="4"/>
  <c r="R1314" i="4"/>
  <c r="P1314" i="4"/>
  <c r="O1314" i="4"/>
  <c r="N1314" i="4"/>
  <c r="U1313" i="4"/>
  <c r="T1313" i="4"/>
  <c r="S1313" i="4"/>
  <c r="R1313" i="4"/>
  <c r="P1313" i="4"/>
  <c r="O1313" i="4"/>
  <c r="N1313" i="4"/>
  <c r="U1312" i="4"/>
  <c r="T1312" i="4"/>
  <c r="S1312" i="4"/>
  <c r="R1312" i="4"/>
  <c r="P1312" i="4"/>
  <c r="O1312" i="4"/>
  <c r="N1312" i="4"/>
  <c r="U1311" i="4"/>
  <c r="T1311" i="4"/>
  <c r="S1311" i="4"/>
  <c r="R1311" i="4"/>
  <c r="P1311" i="4"/>
  <c r="O1311" i="4"/>
  <c r="N1311" i="4"/>
  <c r="U1310" i="4"/>
  <c r="T1310" i="4"/>
  <c r="S1310" i="4"/>
  <c r="R1310" i="4"/>
  <c r="P1310" i="4"/>
  <c r="O1310" i="4"/>
  <c r="N1310" i="4"/>
  <c r="U1309" i="4"/>
  <c r="T1309" i="4"/>
  <c r="S1309" i="4"/>
  <c r="R1309" i="4"/>
  <c r="P1309" i="4"/>
  <c r="O1309" i="4"/>
  <c r="N1309" i="4"/>
  <c r="U1308" i="4"/>
  <c r="T1308" i="4"/>
  <c r="S1308" i="4"/>
  <c r="R1308" i="4"/>
  <c r="P1308" i="4"/>
  <c r="O1308" i="4"/>
  <c r="N1308" i="4"/>
  <c r="U1307" i="4"/>
  <c r="T1307" i="4"/>
  <c r="S1307" i="4"/>
  <c r="R1307" i="4"/>
  <c r="P1307" i="4"/>
  <c r="O1307" i="4"/>
  <c r="N1307" i="4"/>
  <c r="U1306" i="4"/>
  <c r="T1306" i="4"/>
  <c r="S1306" i="4"/>
  <c r="R1306" i="4"/>
  <c r="P1306" i="4"/>
  <c r="O1306" i="4"/>
  <c r="N1306" i="4"/>
  <c r="U1305" i="4"/>
  <c r="T1305" i="4"/>
  <c r="S1305" i="4"/>
  <c r="R1305" i="4"/>
  <c r="P1305" i="4"/>
  <c r="O1305" i="4"/>
  <c r="N1305" i="4"/>
  <c r="U1304" i="4"/>
  <c r="T1304" i="4"/>
  <c r="S1304" i="4"/>
  <c r="R1304" i="4"/>
  <c r="P1304" i="4"/>
  <c r="O1304" i="4"/>
  <c r="N1304" i="4"/>
  <c r="U1303" i="4"/>
  <c r="T1303" i="4"/>
  <c r="S1303" i="4"/>
  <c r="R1303" i="4"/>
  <c r="P1303" i="4"/>
  <c r="O1303" i="4"/>
  <c r="N1303" i="4"/>
  <c r="U1302" i="4"/>
  <c r="T1302" i="4"/>
  <c r="S1302" i="4"/>
  <c r="R1302" i="4"/>
  <c r="P1302" i="4"/>
  <c r="O1302" i="4"/>
  <c r="N1302" i="4"/>
  <c r="U1301" i="4"/>
  <c r="T1301" i="4"/>
  <c r="S1301" i="4"/>
  <c r="R1301" i="4"/>
  <c r="P1301" i="4"/>
  <c r="O1301" i="4"/>
  <c r="N1301" i="4"/>
  <c r="U1300" i="4"/>
  <c r="T1300" i="4"/>
  <c r="S1300" i="4"/>
  <c r="R1300" i="4"/>
  <c r="P1300" i="4"/>
  <c r="O1300" i="4"/>
  <c r="N1300" i="4"/>
  <c r="U1299" i="4"/>
  <c r="T1299" i="4"/>
  <c r="S1299" i="4"/>
  <c r="R1299" i="4"/>
  <c r="P1299" i="4"/>
  <c r="O1299" i="4"/>
  <c r="N1299" i="4"/>
  <c r="U1298" i="4"/>
  <c r="T1298" i="4"/>
  <c r="S1298" i="4"/>
  <c r="R1298" i="4"/>
  <c r="P1298" i="4"/>
  <c r="O1298" i="4"/>
  <c r="N1298" i="4"/>
  <c r="U1297" i="4"/>
  <c r="T1297" i="4"/>
  <c r="S1297" i="4"/>
  <c r="R1297" i="4"/>
  <c r="P1297" i="4"/>
  <c r="O1297" i="4"/>
  <c r="N1297" i="4"/>
  <c r="U1296" i="4"/>
  <c r="T1296" i="4"/>
  <c r="S1296" i="4"/>
  <c r="R1296" i="4"/>
  <c r="P1296" i="4"/>
  <c r="O1296" i="4"/>
  <c r="N1296" i="4"/>
  <c r="U1295" i="4"/>
  <c r="T1295" i="4"/>
  <c r="S1295" i="4"/>
  <c r="R1295" i="4"/>
  <c r="P1295" i="4"/>
  <c r="O1295" i="4"/>
  <c r="N1295" i="4"/>
  <c r="U1294" i="4"/>
  <c r="T1294" i="4"/>
  <c r="S1294" i="4"/>
  <c r="R1294" i="4"/>
  <c r="P1294" i="4"/>
  <c r="O1294" i="4"/>
  <c r="N1294" i="4"/>
  <c r="U1293" i="4"/>
  <c r="T1293" i="4"/>
  <c r="S1293" i="4"/>
  <c r="R1293" i="4"/>
  <c r="P1293" i="4"/>
  <c r="O1293" i="4"/>
  <c r="N1293" i="4"/>
  <c r="U1292" i="4"/>
  <c r="T1292" i="4"/>
  <c r="S1292" i="4"/>
  <c r="R1292" i="4"/>
  <c r="P1292" i="4"/>
  <c r="O1292" i="4"/>
  <c r="N1292" i="4"/>
  <c r="U1291" i="4"/>
  <c r="T1291" i="4"/>
  <c r="S1291" i="4"/>
  <c r="R1291" i="4"/>
  <c r="P1291" i="4"/>
  <c r="O1291" i="4"/>
  <c r="N1291" i="4"/>
  <c r="U1290" i="4"/>
  <c r="T1290" i="4"/>
  <c r="S1290" i="4"/>
  <c r="R1290" i="4"/>
  <c r="P1290" i="4"/>
  <c r="O1290" i="4"/>
  <c r="N1290" i="4"/>
  <c r="U1289" i="4"/>
  <c r="T1289" i="4"/>
  <c r="S1289" i="4"/>
  <c r="R1289" i="4"/>
  <c r="P1289" i="4"/>
  <c r="O1289" i="4"/>
  <c r="N1289" i="4"/>
  <c r="U1288" i="4"/>
  <c r="T1288" i="4"/>
  <c r="S1288" i="4"/>
  <c r="R1288" i="4"/>
  <c r="P1288" i="4"/>
  <c r="O1288" i="4"/>
  <c r="N1288" i="4"/>
  <c r="U1287" i="4"/>
  <c r="T1287" i="4"/>
  <c r="S1287" i="4"/>
  <c r="R1287" i="4"/>
  <c r="P1287" i="4"/>
  <c r="O1287" i="4"/>
  <c r="N1287" i="4"/>
  <c r="U1286" i="4"/>
  <c r="T1286" i="4"/>
  <c r="S1286" i="4"/>
  <c r="R1286" i="4"/>
  <c r="P1286" i="4"/>
  <c r="O1286" i="4"/>
  <c r="N1286" i="4"/>
  <c r="U1285" i="4"/>
  <c r="T1285" i="4"/>
  <c r="S1285" i="4"/>
  <c r="R1285" i="4"/>
  <c r="P1285" i="4"/>
  <c r="O1285" i="4"/>
  <c r="N1285" i="4"/>
  <c r="U1284" i="4"/>
  <c r="T1284" i="4"/>
  <c r="S1284" i="4"/>
  <c r="R1284" i="4"/>
  <c r="P1284" i="4"/>
  <c r="O1284" i="4"/>
  <c r="N1284" i="4"/>
  <c r="U1283" i="4"/>
  <c r="T1283" i="4"/>
  <c r="S1283" i="4"/>
  <c r="R1283" i="4"/>
  <c r="P1283" i="4"/>
  <c r="O1283" i="4"/>
  <c r="N1283" i="4"/>
  <c r="U1282" i="4"/>
  <c r="T1282" i="4"/>
  <c r="S1282" i="4"/>
  <c r="R1282" i="4"/>
  <c r="P1282" i="4"/>
  <c r="O1282" i="4"/>
  <c r="N1282" i="4"/>
  <c r="U1281" i="4"/>
  <c r="T1281" i="4"/>
  <c r="S1281" i="4"/>
  <c r="R1281" i="4"/>
  <c r="P1281" i="4"/>
  <c r="O1281" i="4"/>
  <c r="N1281" i="4"/>
  <c r="U1280" i="4"/>
  <c r="T1280" i="4"/>
  <c r="S1280" i="4"/>
  <c r="R1280" i="4"/>
  <c r="P1280" i="4"/>
  <c r="O1280" i="4"/>
  <c r="N1280" i="4"/>
  <c r="U1279" i="4"/>
  <c r="T1279" i="4"/>
  <c r="S1279" i="4"/>
  <c r="R1279" i="4"/>
  <c r="P1279" i="4"/>
  <c r="O1279" i="4"/>
  <c r="N1279" i="4"/>
  <c r="U1278" i="4"/>
  <c r="T1278" i="4"/>
  <c r="S1278" i="4"/>
  <c r="R1278" i="4"/>
  <c r="P1278" i="4"/>
  <c r="O1278" i="4"/>
  <c r="N1278" i="4"/>
  <c r="U1277" i="4"/>
  <c r="T1277" i="4"/>
  <c r="S1277" i="4"/>
  <c r="R1277" i="4"/>
  <c r="P1277" i="4"/>
  <c r="O1277" i="4"/>
  <c r="N1277" i="4"/>
  <c r="U1276" i="4"/>
  <c r="T1276" i="4"/>
  <c r="S1276" i="4"/>
  <c r="R1276" i="4"/>
  <c r="P1276" i="4"/>
  <c r="O1276" i="4"/>
  <c r="N1276" i="4"/>
  <c r="U1275" i="4"/>
  <c r="T1275" i="4"/>
  <c r="S1275" i="4"/>
  <c r="R1275" i="4"/>
  <c r="P1275" i="4"/>
  <c r="O1275" i="4"/>
  <c r="N1275" i="4"/>
  <c r="U1274" i="4"/>
  <c r="T1274" i="4"/>
  <c r="S1274" i="4"/>
  <c r="R1274" i="4"/>
  <c r="P1274" i="4"/>
  <c r="O1274" i="4"/>
  <c r="N1274" i="4"/>
  <c r="U1273" i="4"/>
  <c r="T1273" i="4"/>
  <c r="S1273" i="4"/>
  <c r="R1273" i="4"/>
  <c r="P1273" i="4"/>
  <c r="O1273" i="4"/>
  <c r="N1273" i="4"/>
  <c r="U1272" i="4"/>
  <c r="T1272" i="4"/>
  <c r="S1272" i="4"/>
  <c r="R1272" i="4"/>
  <c r="P1272" i="4"/>
  <c r="O1272" i="4"/>
  <c r="N1272" i="4"/>
  <c r="U1271" i="4"/>
  <c r="T1271" i="4"/>
  <c r="S1271" i="4"/>
  <c r="R1271" i="4"/>
  <c r="P1271" i="4"/>
  <c r="O1271" i="4"/>
  <c r="N1271" i="4"/>
  <c r="U1270" i="4"/>
  <c r="T1270" i="4"/>
  <c r="S1270" i="4"/>
  <c r="R1270" i="4"/>
  <c r="P1270" i="4"/>
  <c r="O1270" i="4"/>
  <c r="N1270" i="4"/>
  <c r="U1269" i="4"/>
  <c r="T1269" i="4"/>
  <c r="S1269" i="4"/>
  <c r="R1269" i="4"/>
  <c r="P1269" i="4"/>
  <c r="O1269" i="4"/>
  <c r="N1269" i="4"/>
  <c r="U1268" i="4"/>
  <c r="T1268" i="4"/>
  <c r="S1268" i="4"/>
  <c r="R1268" i="4"/>
  <c r="P1268" i="4"/>
  <c r="O1268" i="4"/>
  <c r="N1268" i="4"/>
  <c r="U1267" i="4"/>
  <c r="T1267" i="4"/>
  <c r="S1267" i="4"/>
  <c r="R1267" i="4"/>
  <c r="P1267" i="4"/>
  <c r="O1267" i="4"/>
  <c r="N1267" i="4"/>
  <c r="U1266" i="4"/>
  <c r="T1266" i="4"/>
  <c r="S1266" i="4"/>
  <c r="R1266" i="4"/>
  <c r="P1266" i="4"/>
  <c r="O1266" i="4"/>
  <c r="N1266" i="4"/>
  <c r="U1265" i="4"/>
  <c r="T1265" i="4"/>
  <c r="S1265" i="4"/>
  <c r="R1265" i="4"/>
  <c r="P1265" i="4"/>
  <c r="O1265" i="4"/>
  <c r="N1265" i="4"/>
  <c r="U1264" i="4"/>
  <c r="T1264" i="4"/>
  <c r="S1264" i="4"/>
  <c r="R1264" i="4"/>
  <c r="P1264" i="4"/>
  <c r="O1264" i="4"/>
  <c r="N1264" i="4"/>
  <c r="U1263" i="4"/>
  <c r="T1263" i="4"/>
  <c r="S1263" i="4"/>
  <c r="R1263" i="4"/>
  <c r="P1263" i="4"/>
  <c r="O1263" i="4"/>
  <c r="N1263" i="4"/>
  <c r="U1262" i="4"/>
  <c r="T1262" i="4"/>
  <c r="S1262" i="4"/>
  <c r="R1262" i="4"/>
  <c r="P1262" i="4"/>
  <c r="O1262" i="4"/>
  <c r="N1262" i="4"/>
  <c r="U1261" i="4"/>
  <c r="T1261" i="4"/>
  <c r="S1261" i="4"/>
  <c r="R1261" i="4"/>
  <c r="P1261" i="4"/>
  <c r="O1261" i="4"/>
  <c r="N1261" i="4"/>
  <c r="U1260" i="4"/>
  <c r="T1260" i="4"/>
  <c r="S1260" i="4"/>
  <c r="R1260" i="4"/>
  <c r="P1260" i="4"/>
  <c r="O1260" i="4"/>
  <c r="N1260" i="4"/>
  <c r="U1259" i="4"/>
  <c r="T1259" i="4"/>
  <c r="S1259" i="4"/>
  <c r="R1259" i="4"/>
  <c r="P1259" i="4"/>
  <c r="O1259" i="4"/>
  <c r="N1259" i="4"/>
  <c r="U1258" i="4"/>
  <c r="T1258" i="4"/>
  <c r="S1258" i="4"/>
  <c r="R1258" i="4"/>
  <c r="P1258" i="4"/>
  <c r="O1258" i="4"/>
  <c r="N1258" i="4"/>
  <c r="U1257" i="4"/>
  <c r="T1257" i="4"/>
  <c r="S1257" i="4"/>
  <c r="R1257" i="4"/>
  <c r="P1257" i="4"/>
  <c r="O1257" i="4"/>
  <c r="N1257" i="4"/>
  <c r="U1256" i="4"/>
  <c r="T1256" i="4"/>
  <c r="S1256" i="4"/>
  <c r="R1256" i="4"/>
  <c r="P1256" i="4"/>
  <c r="O1256" i="4"/>
  <c r="N1256" i="4"/>
  <c r="U1255" i="4"/>
  <c r="T1255" i="4"/>
  <c r="S1255" i="4"/>
  <c r="R1255" i="4"/>
  <c r="P1255" i="4"/>
  <c r="O1255" i="4"/>
  <c r="N1255" i="4"/>
  <c r="U1254" i="4"/>
  <c r="T1254" i="4"/>
  <c r="S1254" i="4"/>
  <c r="R1254" i="4"/>
  <c r="P1254" i="4"/>
  <c r="O1254" i="4"/>
  <c r="N1254" i="4"/>
  <c r="U1253" i="4"/>
  <c r="T1253" i="4"/>
  <c r="S1253" i="4"/>
  <c r="R1253" i="4"/>
  <c r="P1253" i="4"/>
  <c r="O1253" i="4"/>
  <c r="N1253" i="4"/>
  <c r="U1252" i="4"/>
  <c r="T1252" i="4"/>
  <c r="S1252" i="4"/>
  <c r="R1252" i="4"/>
  <c r="P1252" i="4"/>
  <c r="O1252" i="4"/>
  <c r="N1252" i="4"/>
  <c r="U1251" i="4"/>
  <c r="T1251" i="4"/>
  <c r="S1251" i="4"/>
  <c r="R1251" i="4"/>
  <c r="P1251" i="4"/>
  <c r="O1251" i="4"/>
  <c r="N1251" i="4"/>
  <c r="U1250" i="4"/>
  <c r="T1250" i="4"/>
  <c r="S1250" i="4"/>
  <c r="R1250" i="4"/>
  <c r="P1250" i="4"/>
  <c r="O1250" i="4"/>
  <c r="N1250" i="4"/>
  <c r="U1249" i="4"/>
  <c r="T1249" i="4"/>
  <c r="S1249" i="4"/>
  <c r="R1249" i="4"/>
  <c r="P1249" i="4"/>
  <c r="O1249" i="4"/>
  <c r="N1249" i="4"/>
  <c r="U1248" i="4"/>
  <c r="T1248" i="4"/>
  <c r="S1248" i="4"/>
  <c r="R1248" i="4"/>
  <c r="P1248" i="4"/>
  <c r="O1248" i="4"/>
  <c r="N1248" i="4"/>
  <c r="U1247" i="4"/>
  <c r="T1247" i="4"/>
  <c r="S1247" i="4"/>
  <c r="R1247" i="4"/>
  <c r="P1247" i="4"/>
  <c r="O1247" i="4"/>
  <c r="N1247" i="4"/>
  <c r="U1246" i="4"/>
  <c r="T1246" i="4"/>
  <c r="S1246" i="4"/>
  <c r="R1246" i="4"/>
  <c r="P1246" i="4"/>
  <c r="O1246" i="4"/>
  <c r="N1246" i="4"/>
  <c r="U1245" i="4"/>
  <c r="T1245" i="4"/>
  <c r="S1245" i="4"/>
  <c r="R1245" i="4"/>
  <c r="P1245" i="4"/>
  <c r="O1245" i="4"/>
  <c r="N1245" i="4"/>
  <c r="U1244" i="4"/>
  <c r="T1244" i="4"/>
  <c r="S1244" i="4"/>
  <c r="R1244" i="4"/>
  <c r="P1244" i="4"/>
  <c r="O1244" i="4"/>
  <c r="N1244" i="4"/>
  <c r="U1243" i="4"/>
  <c r="T1243" i="4"/>
  <c r="S1243" i="4"/>
  <c r="R1243" i="4"/>
  <c r="P1243" i="4"/>
  <c r="O1243" i="4"/>
  <c r="N1243" i="4"/>
  <c r="U1242" i="4"/>
  <c r="T1242" i="4"/>
  <c r="S1242" i="4"/>
  <c r="R1242" i="4"/>
  <c r="P1242" i="4"/>
  <c r="O1242" i="4"/>
  <c r="N1242" i="4"/>
  <c r="U1241" i="4"/>
  <c r="T1241" i="4"/>
  <c r="S1241" i="4"/>
  <c r="R1241" i="4"/>
  <c r="P1241" i="4"/>
  <c r="O1241" i="4"/>
  <c r="N1241" i="4"/>
  <c r="U1240" i="4"/>
  <c r="T1240" i="4"/>
  <c r="S1240" i="4"/>
  <c r="R1240" i="4"/>
  <c r="P1240" i="4"/>
  <c r="O1240" i="4"/>
  <c r="N1240" i="4"/>
  <c r="U1239" i="4"/>
  <c r="T1239" i="4"/>
  <c r="S1239" i="4"/>
  <c r="R1239" i="4"/>
  <c r="P1239" i="4"/>
  <c r="O1239" i="4"/>
  <c r="N1239" i="4"/>
  <c r="U1238" i="4"/>
  <c r="T1238" i="4"/>
  <c r="S1238" i="4"/>
  <c r="R1238" i="4"/>
  <c r="P1238" i="4"/>
  <c r="O1238" i="4"/>
  <c r="N1238" i="4"/>
  <c r="U1237" i="4"/>
  <c r="T1237" i="4"/>
  <c r="S1237" i="4"/>
  <c r="R1237" i="4"/>
  <c r="P1237" i="4"/>
  <c r="O1237" i="4"/>
  <c r="N1237" i="4"/>
  <c r="U1236" i="4"/>
  <c r="T1236" i="4"/>
  <c r="S1236" i="4"/>
  <c r="R1236" i="4"/>
  <c r="P1236" i="4"/>
  <c r="O1236" i="4"/>
  <c r="N1236" i="4"/>
  <c r="U1235" i="4"/>
  <c r="T1235" i="4"/>
  <c r="S1235" i="4"/>
  <c r="R1235" i="4"/>
  <c r="P1235" i="4"/>
  <c r="O1235" i="4"/>
  <c r="N1235" i="4"/>
  <c r="U1234" i="4"/>
  <c r="T1234" i="4"/>
  <c r="S1234" i="4"/>
  <c r="R1234" i="4"/>
  <c r="P1234" i="4"/>
  <c r="O1234" i="4"/>
  <c r="N1234" i="4"/>
  <c r="U1233" i="4"/>
  <c r="T1233" i="4"/>
  <c r="S1233" i="4"/>
  <c r="R1233" i="4"/>
  <c r="P1233" i="4"/>
  <c r="O1233" i="4"/>
  <c r="N1233" i="4"/>
  <c r="U1232" i="4"/>
  <c r="T1232" i="4"/>
  <c r="S1232" i="4"/>
  <c r="R1232" i="4"/>
  <c r="P1232" i="4"/>
  <c r="O1232" i="4"/>
  <c r="N1232" i="4"/>
  <c r="U1231" i="4"/>
  <c r="T1231" i="4"/>
  <c r="S1231" i="4"/>
  <c r="R1231" i="4"/>
  <c r="P1231" i="4"/>
  <c r="O1231" i="4"/>
  <c r="N1231" i="4"/>
  <c r="U1230" i="4"/>
  <c r="T1230" i="4"/>
  <c r="S1230" i="4"/>
  <c r="R1230" i="4"/>
  <c r="P1230" i="4"/>
  <c r="O1230" i="4"/>
  <c r="N1230" i="4"/>
  <c r="U1229" i="4"/>
  <c r="T1229" i="4"/>
  <c r="S1229" i="4"/>
  <c r="R1229" i="4"/>
  <c r="P1229" i="4"/>
  <c r="O1229" i="4"/>
  <c r="N1229" i="4"/>
  <c r="U1228" i="4"/>
  <c r="T1228" i="4"/>
  <c r="S1228" i="4"/>
  <c r="R1228" i="4"/>
  <c r="P1228" i="4"/>
  <c r="O1228" i="4"/>
  <c r="N1228" i="4"/>
  <c r="U1227" i="4"/>
  <c r="T1227" i="4"/>
  <c r="S1227" i="4"/>
  <c r="R1227" i="4"/>
  <c r="P1227" i="4"/>
  <c r="O1227" i="4"/>
  <c r="N1227" i="4"/>
  <c r="U1226" i="4"/>
  <c r="T1226" i="4"/>
  <c r="S1226" i="4"/>
  <c r="R1226" i="4"/>
  <c r="P1226" i="4"/>
  <c r="O1226" i="4"/>
  <c r="N1226" i="4"/>
  <c r="U1225" i="4"/>
  <c r="T1225" i="4"/>
  <c r="S1225" i="4"/>
  <c r="R1225" i="4"/>
  <c r="P1225" i="4"/>
  <c r="O1225" i="4"/>
  <c r="N1225" i="4"/>
  <c r="U1224" i="4"/>
  <c r="T1224" i="4"/>
  <c r="S1224" i="4"/>
  <c r="R1224" i="4"/>
  <c r="P1224" i="4"/>
  <c r="O1224" i="4"/>
  <c r="N1224" i="4"/>
  <c r="U1223" i="4"/>
  <c r="T1223" i="4"/>
  <c r="S1223" i="4"/>
  <c r="R1223" i="4"/>
  <c r="P1223" i="4"/>
  <c r="O1223" i="4"/>
  <c r="N1223" i="4"/>
  <c r="U1222" i="4"/>
  <c r="T1222" i="4"/>
  <c r="S1222" i="4"/>
  <c r="R1222" i="4"/>
  <c r="P1222" i="4"/>
  <c r="O1222" i="4"/>
  <c r="N1222" i="4"/>
  <c r="U1221" i="4"/>
  <c r="T1221" i="4"/>
  <c r="S1221" i="4"/>
  <c r="R1221" i="4"/>
  <c r="P1221" i="4"/>
  <c r="O1221" i="4"/>
  <c r="N1221" i="4"/>
  <c r="U1220" i="4"/>
  <c r="T1220" i="4"/>
  <c r="S1220" i="4"/>
  <c r="R1220" i="4"/>
  <c r="P1220" i="4"/>
  <c r="O1220" i="4"/>
  <c r="N1220" i="4"/>
  <c r="U1219" i="4"/>
  <c r="T1219" i="4"/>
  <c r="S1219" i="4"/>
  <c r="R1219" i="4"/>
  <c r="P1219" i="4"/>
  <c r="O1219" i="4"/>
  <c r="N1219" i="4"/>
  <c r="U1218" i="4"/>
  <c r="T1218" i="4"/>
  <c r="S1218" i="4"/>
  <c r="R1218" i="4"/>
  <c r="P1218" i="4"/>
  <c r="O1218" i="4"/>
  <c r="N1218" i="4"/>
  <c r="U1217" i="4"/>
  <c r="T1217" i="4"/>
  <c r="S1217" i="4"/>
  <c r="R1217" i="4"/>
  <c r="P1217" i="4"/>
  <c r="O1217" i="4"/>
  <c r="N1217" i="4"/>
  <c r="U1216" i="4"/>
  <c r="T1216" i="4"/>
  <c r="S1216" i="4"/>
  <c r="R1216" i="4"/>
  <c r="P1216" i="4"/>
  <c r="O1216" i="4"/>
  <c r="N1216" i="4"/>
  <c r="U1215" i="4"/>
  <c r="T1215" i="4"/>
  <c r="S1215" i="4"/>
  <c r="R1215" i="4"/>
  <c r="P1215" i="4"/>
  <c r="O1215" i="4"/>
  <c r="N1215" i="4"/>
  <c r="U1214" i="4"/>
  <c r="T1214" i="4"/>
  <c r="S1214" i="4"/>
  <c r="R1214" i="4"/>
  <c r="P1214" i="4"/>
  <c r="O1214" i="4"/>
  <c r="N1214" i="4"/>
  <c r="U1213" i="4"/>
  <c r="T1213" i="4"/>
  <c r="S1213" i="4"/>
  <c r="R1213" i="4"/>
  <c r="P1213" i="4"/>
  <c r="O1213" i="4"/>
  <c r="N1213" i="4"/>
  <c r="U1212" i="4"/>
  <c r="T1212" i="4"/>
  <c r="S1212" i="4"/>
  <c r="R1212" i="4"/>
  <c r="P1212" i="4"/>
  <c r="O1212" i="4"/>
  <c r="N1212" i="4"/>
  <c r="U1211" i="4"/>
  <c r="T1211" i="4"/>
  <c r="S1211" i="4"/>
  <c r="R1211" i="4"/>
  <c r="P1211" i="4"/>
  <c r="O1211" i="4"/>
  <c r="N1211" i="4"/>
  <c r="U1210" i="4"/>
  <c r="T1210" i="4"/>
  <c r="S1210" i="4"/>
  <c r="R1210" i="4"/>
  <c r="P1210" i="4"/>
  <c r="O1210" i="4"/>
  <c r="N1210" i="4"/>
  <c r="U1209" i="4"/>
  <c r="T1209" i="4"/>
  <c r="S1209" i="4"/>
  <c r="R1209" i="4"/>
  <c r="P1209" i="4"/>
  <c r="O1209" i="4"/>
  <c r="N1209" i="4"/>
  <c r="U1208" i="4"/>
  <c r="T1208" i="4"/>
  <c r="S1208" i="4"/>
  <c r="R1208" i="4"/>
  <c r="P1208" i="4"/>
  <c r="O1208" i="4"/>
  <c r="N1208" i="4"/>
  <c r="U1207" i="4"/>
  <c r="T1207" i="4"/>
  <c r="S1207" i="4"/>
  <c r="R1207" i="4"/>
  <c r="P1207" i="4"/>
  <c r="O1207" i="4"/>
  <c r="N1207" i="4"/>
  <c r="U1206" i="4"/>
  <c r="T1206" i="4"/>
  <c r="S1206" i="4"/>
  <c r="R1206" i="4"/>
  <c r="P1206" i="4"/>
  <c r="O1206" i="4"/>
  <c r="N1206" i="4"/>
  <c r="U1205" i="4"/>
  <c r="T1205" i="4"/>
  <c r="S1205" i="4"/>
  <c r="R1205" i="4"/>
  <c r="P1205" i="4"/>
  <c r="O1205" i="4"/>
  <c r="N1205" i="4"/>
  <c r="U1204" i="4"/>
  <c r="T1204" i="4"/>
  <c r="S1204" i="4"/>
  <c r="R1204" i="4"/>
  <c r="P1204" i="4"/>
  <c r="O1204" i="4"/>
  <c r="N1204" i="4"/>
  <c r="U1203" i="4"/>
  <c r="T1203" i="4"/>
  <c r="S1203" i="4"/>
  <c r="R1203" i="4"/>
  <c r="P1203" i="4"/>
  <c r="O1203" i="4"/>
  <c r="N1203" i="4"/>
  <c r="U1202" i="4"/>
  <c r="T1202" i="4"/>
  <c r="S1202" i="4"/>
  <c r="R1202" i="4"/>
  <c r="P1202" i="4"/>
  <c r="O1202" i="4"/>
  <c r="N1202" i="4"/>
  <c r="U1201" i="4"/>
  <c r="T1201" i="4"/>
  <c r="S1201" i="4"/>
  <c r="R1201" i="4"/>
  <c r="P1201" i="4"/>
  <c r="O1201" i="4"/>
  <c r="N1201" i="4"/>
  <c r="U1200" i="4"/>
  <c r="T1200" i="4"/>
  <c r="S1200" i="4"/>
  <c r="R1200" i="4"/>
  <c r="P1200" i="4"/>
  <c r="O1200" i="4"/>
  <c r="N1200" i="4"/>
  <c r="U1199" i="4"/>
  <c r="T1199" i="4"/>
  <c r="S1199" i="4"/>
  <c r="R1199" i="4"/>
  <c r="P1199" i="4"/>
  <c r="O1199" i="4"/>
  <c r="N1199" i="4"/>
  <c r="U1198" i="4"/>
  <c r="T1198" i="4"/>
  <c r="S1198" i="4"/>
  <c r="R1198" i="4"/>
  <c r="P1198" i="4"/>
  <c r="O1198" i="4"/>
  <c r="N1198" i="4"/>
  <c r="U1197" i="4"/>
  <c r="T1197" i="4"/>
  <c r="S1197" i="4"/>
  <c r="R1197" i="4"/>
  <c r="P1197" i="4"/>
  <c r="O1197" i="4"/>
  <c r="N1197" i="4"/>
  <c r="U1196" i="4"/>
  <c r="T1196" i="4"/>
  <c r="S1196" i="4"/>
  <c r="R1196" i="4"/>
  <c r="P1196" i="4"/>
  <c r="O1196" i="4"/>
  <c r="N1196" i="4"/>
  <c r="U1195" i="4"/>
  <c r="T1195" i="4"/>
  <c r="S1195" i="4"/>
  <c r="R1195" i="4"/>
  <c r="P1195" i="4"/>
  <c r="O1195" i="4"/>
  <c r="N1195" i="4"/>
  <c r="U1194" i="4"/>
  <c r="T1194" i="4"/>
  <c r="S1194" i="4"/>
  <c r="R1194" i="4"/>
  <c r="P1194" i="4"/>
  <c r="O1194" i="4"/>
  <c r="N1194" i="4"/>
  <c r="U1193" i="4"/>
  <c r="T1193" i="4"/>
  <c r="S1193" i="4"/>
  <c r="R1193" i="4"/>
  <c r="P1193" i="4"/>
  <c r="O1193" i="4"/>
  <c r="N1193" i="4"/>
  <c r="U1192" i="4"/>
  <c r="T1192" i="4"/>
  <c r="S1192" i="4"/>
  <c r="R1192" i="4"/>
  <c r="P1192" i="4"/>
  <c r="O1192" i="4"/>
  <c r="N1192" i="4"/>
  <c r="U1191" i="4"/>
  <c r="T1191" i="4"/>
  <c r="S1191" i="4"/>
  <c r="R1191" i="4"/>
  <c r="P1191" i="4"/>
  <c r="O1191" i="4"/>
  <c r="N1191" i="4"/>
  <c r="U1190" i="4"/>
  <c r="T1190" i="4"/>
  <c r="S1190" i="4"/>
  <c r="R1190" i="4"/>
  <c r="P1190" i="4"/>
  <c r="O1190" i="4"/>
  <c r="N1190" i="4"/>
  <c r="U1189" i="4"/>
  <c r="T1189" i="4"/>
  <c r="S1189" i="4"/>
  <c r="R1189" i="4"/>
  <c r="P1189" i="4"/>
  <c r="O1189" i="4"/>
  <c r="N1189" i="4"/>
  <c r="U1188" i="4"/>
  <c r="T1188" i="4"/>
  <c r="S1188" i="4"/>
  <c r="R1188" i="4"/>
  <c r="P1188" i="4"/>
  <c r="O1188" i="4"/>
  <c r="N1188" i="4"/>
  <c r="U1187" i="4"/>
  <c r="T1187" i="4"/>
  <c r="S1187" i="4"/>
  <c r="R1187" i="4"/>
  <c r="P1187" i="4"/>
  <c r="O1187" i="4"/>
  <c r="N1187" i="4"/>
  <c r="U1186" i="4"/>
  <c r="T1186" i="4"/>
  <c r="S1186" i="4"/>
  <c r="R1186" i="4"/>
  <c r="P1186" i="4"/>
  <c r="O1186" i="4"/>
  <c r="N1186" i="4"/>
  <c r="U1185" i="4"/>
  <c r="T1185" i="4"/>
  <c r="S1185" i="4"/>
  <c r="R1185" i="4"/>
  <c r="P1185" i="4"/>
  <c r="O1185" i="4"/>
  <c r="N1185" i="4"/>
  <c r="U1184" i="4"/>
  <c r="T1184" i="4"/>
  <c r="S1184" i="4"/>
  <c r="R1184" i="4"/>
  <c r="P1184" i="4"/>
  <c r="O1184" i="4"/>
  <c r="N1184" i="4"/>
  <c r="U1183" i="4"/>
  <c r="T1183" i="4"/>
  <c r="S1183" i="4"/>
  <c r="R1183" i="4"/>
  <c r="P1183" i="4"/>
  <c r="O1183" i="4"/>
  <c r="N1183" i="4"/>
  <c r="U1182" i="4"/>
  <c r="T1182" i="4"/>
  <c r="S1182" i="4"/>
  <c r="R1182" i="4"/>
  <c r="P1182" i="4"/>
  <c r="O1182" i="4"/>
  <c r="N1182" i="4"/>
  <c r="U1181" i="4"/>
  <c r="T1181" i="4"/>
  <c r="S1181" i="4"/>
  <c r="R1181" i="4"/>
  <c r="P1181" i="4"/>
  <c r="O1181" i="4"/>
  <c r="N1181" i="4"/>
  <c r="U1180" i="4"/>
  <c r="T1180" i="4"/>
  <c r="S1180" i="4"/>
  <c r="R1180" i="4"/>
  <c r="P1180" i="4"/>
  <c r="O1180" i="4"/>
  <c r="N1180" i="4"/>
  <c r="U1179" i="4"/>
  <c r="T1179" i="4"/>
  <c r="S1179" i="4"/>
  <c r="R1179" i="4"/>
  <c r="P1179" i="4"/>
  <c r="O1179" i="4"/>
  <c r="N1179" i="4"/>
  <c r="U1178" i="4"/>
  <c r="T1178" i="4"/>
  <c r="S1178" i="4"/>
  <c r="R1178" i="4"/>
  <c r="P1178" i="4"/>
  <c r="O1178" i="4"/>
  <c r="N1178" i="4"/>
  <c r="U1177" i="4"/>
  <c r="T1177" i="4"/>
  <c r="S1177" i="4"/>
  <c r="R1177" i="4"/>
  <c r="P1177" i="4"/>
  <c r="O1177" i="4"/>
  <c r="N1177" i="4"/>
  <c r="U1176" i="4"/>
  <c r="T1176" i="4"/>
  <c r="S1176" i="4"/>
  <c r="R1176" i="4"/>
  <c r="P1176" i="4"/>
  <c r="O1176" i="4"/>
  <c r="N1176" i="4"/>
  <c r="U1175" i="4"/>
  <c r="T1175" i="4"/>
  <c r="S1175" i="4"/>
  <c r="R1175" i="4"/>
  <c r="P1175" i="4"/>
  <c r="O1175" i="4"/>
  <c r="N1175" i="4"/>
  <c r="U1174" i="4"/>
  <c r="T1174" i="4"/>
  <c r="S1174" i="4"/>
  <c r="R1174" i="4"/>
  <c r="P1174" i="4"/>
  <c r="O1174" i="4"/>
  <c r="N1174" i="4"/>
  <c r="U1173" i="4"/>
  <c r="T1173" i="4"/>
  <c r="S1173" i="4"/>
  <c r="R1173" i="4"/>
  <c r="P1173" i="4"/>
  <c r="O1173" i="4"/>
  <c r="N1173" i="4"/>
  <c r="U1172" i="4"/>
  <c r="T1172" i="4"/>
  <c r="S1172" i="4"/>
  <c r="R1172" i="4"/>
  <c r="P1172" i="4"/>
  <c r="O1172" i="4"/>
  <c r="N1172" i="4"/>
  <c r="U1171" i="4"/>
  <c r="T1171" i="4"/>
  <c r="S1171" i="4"/>
  <c r="R1171" i="4"/>
  <c r="P1171" i="4"/>
  <c r="O1171" i="4"/>
  <c r="N1171" i="4"/>
  <c r="U1170" i="4"/>
  <c r="T1170" i="4"/>
  <c r="S1170" i="4"/>
  <c r="R1170" i="4"/>
  <c r="P1170" i="4"/>
  <c r="O1170" i="4"/>
  <c r="N1170" i="4"/>
  <c r="U1169" i="4"/>
  <c r="T1169" i="4"/>
  <c r="S1169" i="4"/>
  <c r="R1169" i="4"/>
  <c r="P1169" i="4"/>
  <c r="O1169" i="4"/>
  <c r="N1169" i="4"/>
  <c r="U1168" i="4"/>
  <c r="T1168" i="4"/>
  <c r="S1168" i="4"/>
  <c r="R1168" i="4"/>
  <c r="P1168" i="4"/>
  <c r="O1168" i="4"/>
  <c r="N1168" i="4"/>
  <c r="U1167" i="4"/>
  <c r="T1167" i="4"/>
  <c r="S1167" i="4"/>
  <c r="R1167" i="4"/>
  <c r="P1167" i="4"/>
  <c r="O1167" i="4"/>
  <c r="N1167" i="4"/>
  <c r="U1166" i="4"/>
  <c r="T1166" i="4"/>
  <c r="S1166" i="4"/>
  <c r="R1166" i="4"/>
  <c r="P1166" i="4"/>
  <c r="O1166" i="4"/>
  <c r="N1166" i="4"/>
  <c r="U1165" i="4"/>
  <c r="T1165" i="4"/>
  <c r="S1165" i="4"/>
  <c r="R1165" i="4"/>
  <c r="P1165" i="4"/>
  <c r="O1165" i="4"/>
  <c r="N1165" i="4"/>
  <c r="U1164" i="4"/>
  <c r="T1164" i="4"/>
  <c r="S1164" i="4"/>
  <c r="R1164" i="4"/>
  <c r="P1164" i="4"/>
  <c r="O1164" i="4"/>
  <c r="N1164" i="4"/>
  <c r="U1163" i="4"/>
  <c r="T1163" i="4"/>
  <c r="S1163" i="4"/>
  <c r="R1163" i="4"/>
  <c r="P1163" i="4"/>
  <c r="O1163" i="4"/>
  <c r="N1163" i="4"/>
  <c r="U1162" i="4"/>
  <c r="T1162" i="4"/>
  <c r="S1162" i="4"/>
  <c r="R1162" i="4"/>
  <c r="P1162" i="4"/>
  <c r="O1162" i="4"/>
  <c r="N1162" i="4"/>
  <c r="U1161" i="4"/>
  <c r="T1161" i="4"/>
  <c r="S1161" i="4"/>
  <c r="R1161" i="4"/>
  <c r="P1161" i="4"/>
  <c r="O1161" i="4"/>
  <c r="N1161" i="4"/>
  <c r="U1160" i="4"/>
  <c r="T1160" i="4"/>
  <c r="S1160" i="4"/>
  <c r="R1160" i="4"/>
  <c r="P1160" i="4"/>
  <c r="O1160" i="4"/>
  <c r="N1160" i="4"/>
  <c r="U1159" i="4"/>
  <c r="T1159" i="4"/>
  <c r="S1159" i="4"/>
  <c r="R1159" i="4"/>
  <c r="P1159" i="4"/>
  <c r="O1159" i="4"/>
  <c r="N1159" i="4"/>
  <c r="U1158" i="4"/>
  <c r="T1158" i="4"/>
  <c r="S1158" i="4"/>
  <c r="R1158" i="4"/>
  <c r="P1158" i="4"/>
  <c r="O1158" i="4"/>
  <c r="N1158" i="4"/>
  <c r="U1157" i="4"/>
  <c r="T1157" i="4"/>
  <c r="S1157" i="4"/>
  <c r="R1157" i="4"/>
  <c r="P1157" i="4"/>
  <c r="O1157" i="4"/>
  <c r="N1157" i="4"/>
  <c r="U1156" i="4"/>
  <c r="T1156" i="4"/>
  <c r="S1156" i="4"/>
  <c r="R1156" i="4"/>
  <c r="P1156" i="4"/>
  <c r="O1156" i="4"/>
  <c r="N1156" i="4"/>
  <c r="U1155" i="4"/>
  <c r="T1155" i="4"/>
  <c r="S1155" i="4"/>
  <c r="R1155" i="4"/>
  <c r="P1155" i="4"/>
  <c r="O1155" i="4"/>
  <c r="N1155" i="4"/>
  <c r="U1154" i="4"/>
  <c r="T1154" i="4"/>
  <c r="S1154" i="4"/>
  <c r="R1154" i="4"/>
  <c r="P1154" i="4"/>
  <c r="O1154" i="4"/>
  <c r="N1154" i="4"/>
  <c r="U1153" i="4"/>
  <c r="T1153" i="4"/>
  <c r="S1153" i="4"/>
  <c r="R1153" i="4"/>
  <c r="P1153" i="4"/>
  <c r="O1153" i="4"/>
  <c r="N1153" i="4"/>
  <c r="U1152" i="4"/>
  <c r="T1152" i="4"/>
  <c r="S1152" i="4"/>
  <c r="R1152" i="4"/>
  <c r="P1152" i="4"/>
  <c r="O1152" i="4"/>
  <c r="N1152" i="4"/>
  <c r="U1151" i="4"/>
  <c r="T1151" i="4"/>
  <c r="S1151" i="4"/>
  <c r="R1151" i="4"/>
  <c r="P1151" i="4"/>
  <c r="O1151" i="4"/>
  <c r="N1151" i="4"/>
  <c r="U1150" i="4"/>
  <c r="T1150" i="4"/>
  <c r="S1150" i="4"/>
  <c r="R1150" i="4"/>
  <c r="P1150" i="4"/>
  <c r="O1150" i="4"/>
  <c r="N1150" i="4"/>
  <c r="U1149" i="4"/>
  <c r="T1149" i="4"/>
  <c r="S1149" i="4"/>
  <c r="R1149" i="4"/>
  <c r="P1149" i="4"/>
  <c r="O1149" i="4"/>
  <c r="N1149" i="4"/>
  <c r="U1148" i="4"/>
  <c r="T1148" i="4"/>
  <c r="S1148" i="4"/>
  <c r="R1148" i="4"/>
  <c r="P1148" i="4"/>
  <c r="O1148" i="4"/>
  <c r="N1148" i="4"/>
  <c r="U1147" i="4"/>
  <c r="T1147" i="4"/>
  <c r="S1147" i="4"/>
  <c r="R1147" i="4"/>
  <c r="P1147" i="4"/>
  <c r="O1147" i="4"/>
  <c r="N1147" i="4"/>
  <c r="U1146" i="4"/>
  <c r="T1146" i="4"/>
  <c r="S1146" i="4"/>
  <c r="R1146" i="4"/>
  <c r="P1146" i="4"/>
  <c r="O1146" i="4"/>
  <c r="N1146" i="4"/>
  <c r="U1145" i="4"/>
  <c r="T1145" i="4"/>
  <c r="S1145" i="4"/>
  <c r="R1145" i="4"/>
  <c r="P1145" i="4"/>
  <c r="O1145" i="4"/>
  <c r="N1145" i="4"/>
  <c r="U1144" i="4"/>
  <c r="T1144" i="4"/>
  <c r="S1144" i="4"/>
  <c r="R1144" i="4"/>
  <c r="P1144" i="4"/>
  <c r="O1144" i="4"/>
  <c r="N1144" i="4"/>
  <c r="U1143" i="4"/>
  <c r="T1143" i="4"/>
  <c r="S1143" i="4"/>
  <c r="R1143" i="4"/>
  <c r="P1143" i="4"/>
  <c r="O1143" i="4"/>
  <c r="N1143" i="4"/>
  <c r="U1142" i="4"/>
  <c r="T1142" i="4"/>
  <c r="S1142" i="4"/>
  <c r="R1142" i="4"/>
  <c r="P1142" i="4"/>
  <c r="O1142" i="4"/>
  <c r="N1142" i="4"/>
  <c r="U1141" i="4"/>
  <c r="T1141" i="4"/>
  <c r="S1141" i="4"/>
  <c r="R1141" i="4"/>
  <c r="P1141" i="4"/>
  <c r="O1141" i="4"/>
  <c r="N1141" i="4"/>
  <c r="U1140" i="4"/>
  <c r="T1140" i="4"/>
  <c r="S1140" i="4"/>
  <c r="R1140" i="4"/>
  <c r="P1140" i="4"/>
  <c r="O1140" i="4"/>
  <c r="N1140" i="4"/>
  <c r="U1139" i="4"/>
  <c r="T1139" i="4"/>
  <c r="S1139" i="4"/>
  <c r="R1139" i="4"/>
  <c r="P1139" i="4"/>
  <c r="O1139" i="4"/>
  <c r="N1139" i="4"/>
  <c r="U1138" i="4"/>
  <c r="T1138" i="4"/>
  <c r="S1138" i="4"/>
  <c r="R1138" i="4"/>
  <c r="P1138" i="4"/>
  <c r="O1138" i="4"/>
  <c r="N1138" i="4"/>
  <c r="U1137" i="4"/>
  <c r="T1137" i="4"/>
  <c r="S1137" i="4"/>
  <c r="R1137" i="4"/>
  <c r="P1137" i="4"/>
  <c r="O1137" i="4"/>
  <c r="N1137" i="4"/>
  <c r="U1136" i="4"/>
  <c r="T1136" i="4"/>
  <c r="S1136" i="4"/>
  <c r="R1136" i="4"/>
  <c r="P1136" i="4"/>
  <c r="O1136" i="4"/>
  <c r="N1136" i="4"/>
  <c r="U1135" i="4"/>
  <c r="T1135" i="4"/>
  <c r="S1135" i="4"/>
  <c r="R1135" i="4"/>
  <c r="P1135" i="4"/>
  <c r="O1135" i="4"/>
  <c r="N1135" i="4"/>
  <c r="U1134" i="4"/>
  <c r="T1134" i="4"/>
  <c r="S1134" i="4"/>
  <c r="R1134" i="4"/>
  <c r="P1134" i="4"/>
  <c r="O1134" i="4"/>
  <c r="N1134" i="4"/>
  <c r="U1133" i="4"/>
  <c r="T1133" i="4"/>
  <c r="S1133" i="4"/>
  <c r="R1133" i="4"/>
  <c r="P1133" i="4"/>
  <c r="O1133" i="4"/>
  <c r="N1133" i="4"/>
  <c r="U1132" i="4"/>
  <c r="T1132" i="4"/>
  <c r="S1132" i="4"/>
  <c r="R1132" i="4"/>
  <c r="P1132" i="4"/>
  <c r="O1132" i="4"/>
  <c r="N1132" i="4"/>
  <c r="U1131" i="4"/>
  <c r="T1131" i="4"/>
  <c r="S1131" i="4"/>
  <c r="R1131" i="4"/>
  <c r="P1131" i="4"/>
  <c r="O1131" i="4"/>
  <c r="N1131" i="4"/>
  <c r="U1130" i="4"/>
  <c r="T1130" i="4"/>
  <c r="S1130" i="4"/>
  <c r="R1130" i="4"/>
  <c r="P1130" i="4"/>
  <c r="O1130" i="4"/>
  <c r="N1130" i="4"/>
  <c r="U1129" i="4"/>
  <c r="T1129" i="4"/>
  <c r="S1129" i="4"/>
  <c r="R1129" i="4"/>
  <c r="P1129" i="4"/>
  <c r="O1129" i="4"/>
  <c r="N1129" i="4"/>
  <c r="U1128" i="4"/>
  <c r="T1128" i="4"/>
  <c r="S1128" i="4"/>
  <c r="R1128" i="4"/>
  <c r="P1128" i="4"/>
  <c r="O1128" i="4"/>
  <c r="N1128" i="4"/>
  <c r="U1127" i="4"/>
  <c r="T1127" i="4"/>
  <c r="S1127" i="4"/>
  <c r="R1127" i="4"/>
  <c r="P1127" i="4"/>
  <c r="O1127" i="4"/>
  <c r="N1127" i="4"/>
  <c r="U1126" i="4"/>
  <c r="T1126" i="4"/>
  <c r="S1126" i="4"/>
  <c r="R1126" i="4"/>
  <c r="P1126" i="4"/>
  <c r="O1126" i="4"/>
  <c r="N1126" i="4"/>
  <c r="U1125" i="4"/>
  <c r="T1125" i="4"/>
  <c r="S1125" i="4"/>
  <c r="R1125" i="4"/>
  <c r="P1125" i="4"/>
  <c r="O1125" i="4"/>
  <c r="N1125" i="4"/>
  <c r="U1124" i="4"/>
  <c r="T1124" i="4"/>
  <c r="S1124" i="4"/>
  <c r="R1124" i="4"/>
  <c r="P1124" i="4"/>
  <c r="O1124" i="4"/>
  <c r="N1124" i="4"/>
  <c r="U1123" i="4"/>
  <c r="T1123" i="4"/>
  <c r="S1123" i="4"/>
  <c r="R1123" i="4"/>
  <c r="P1123" i="4"/>
  <c r="O1123" i="4"/>
  <c r="N1123" i="4"/>
  <c r="U1122" i="4"/>
  <c r="T1122" i="4"/>
  <c r="S1122" i="4"/>
  <c r="R1122" i="4"/>
  <c r="P1122" i="4"/>
  <c r="O1122" i="4"/>
  <c r="N1122" i="4"/>
  <c r="U1121" i="4"/>
  <c r="T1121" i="4"/>
  <c r="S1121" i="4"/>
  <c r="R1121" i="4"/>
  <c r="P1121" i="4"/>
  <c r="O1121" i="4"/>
  <c r="N1121" i="4"/>
  <c r="U1120" i="4"/>
  <c r="T1120" i="4"/>
  <c r="S1120" i="4"/>
  <c r="R1120" i="4"/>
  <c r="P1120" i="4"/>
  <c r="O1120" i="4"/>
  <c r="N1120" i="4"/>
  <c r="U1119" i="4"/>
  <c r="T1119" i="4"/>
  <c r="S1119" i="4"/>
  <c r="R1119" i="4"/>
  <c r="P1119" i="4"/>
  <c r="O1119" i="4"/>
  <c r="N1119" i="4"/>
  <c r="U1118" i="4"/>
  <c r="T1118" i="4"/>
  <c r="S1118" i="4"/>
  <c r="R1118" i="4"/>
  <c r="P1118" i="4"/>
  <c r="O1118" i="4"/>
  <c r="N1118" i="4"/>
  <c r="U1117" i="4"/>
  <c r="T1117" i="4"/>
  <c r="S1117" i="4"/>
  <c r="R1117" i="4"/>
  <c r="P1117" i="4"/>
  <c r="O1117" i="4"/>
  <c r="N1117" i="4"/>
  <c r="U1116" i="4"/>
  <c r="T1116" i="4"/>
  <c r="S1116" i="4"/>
  <c r="R1116" i="4"/>
  <c r="P1116" i="4"/>
  <c r="O1116" i="4"/>
  <c r="N1116" i="4"/>
  <c r="U1115" i="4"/>
  <c r="T1115" i="4"/>
  <c r="S1115" i="4"/>
  <c r="R1115" i="4"/>
  <c r="P1115" i="4"/>
  <c r="O1115" i="4"/>
  <c r="N1115" i="4"/>
  <c r="U1114" i="4"/>
  <c r="T1114" i="4"/>
  <c r="S1114" i="4"/>
  <c r="R1114" i="4"/>
  <c r="P1114" i="4"/>
  <c r="O1114" i="4"/>
  <c r="N1114" i="4"/>
  <c r="U1113" i="4"/>
  <c r="T1113" i="4"/>
  <c r="S1113" i="4"/>
  <c r="R1113" i="4"/>
  <c r="P1113" i="4"/>
  <c r="O1113" i="4"/>
  <c r="N1113" i="4"/>
  <c r="U1112" i="4"/>
  <c r="T1112" i="4"/>
  <c r="S1112" i="4"/>
  <c r="R1112" i="4"/>
  <c r="P1112" i="4"/>
  <c r="O1112" i="4"/>
  <c r="N1112" i="4"/>
  <c r="U1111" i="4"/>
  <c r="T1111" i="4"/>
  <c r="S1111" i="4"/>
  <c r="R1111" i="4"/>
  <c r="P1111" i="4"/>
  <c r="O1111" i="4"/>
  <c r="N1111" i="4"/>
  <c r="U1110" i="4"/>
  <c r="T1110" i="4"/>
  <c r="S1110" i="4"/>
  <c r="R1110" i="4"/>
  <c r="P1110" i="4"/>
  <c r="O1110" i="4"/>
  <c r="N1110" i="4"/>
  <c r="U1109" i="4"/>
  <c r="T1109" i="4"/>
  <c r="S1109" i="4"/>
  <c r="R1109" i="4"/>
  <c r="P1109" i="4"/>
  <c r="O1109" i="4"/>
  <c r="N1109" i="4"/>
  <c r="U1108" i="4"/>
  <c r="T1108" i="4"/>
  <c r="S1108" i="4"/>
  <c r="R1108" i="4"/>
  <c r="P1108" i="4"/>
  <c r="O1108" i="4"/>
  <c r="N1108" i="4"/>
  <c r="U1107" i="4"/>
  <c r="T1107" i="4"/>
  <c r="S1107" i="4"/>
  <c r="R1107" i="4"/>
  <c r="P1107" i="4"/>
  <c r="O1107" i="4"/>
  <c r="N1107" i="4"/>
  <c r="U1106" i="4"/>
  <c r="T1106" i="4"/>
  <c r="S1106" i="4"/>
  <c r="R1106" i="4"/>
  <c r="P1106" i="4"/>
  <c r="O1106" i="4"/>
  <c r="N1106" i="4"/>
  <c r="U1105" i="4"/>
  <c r="T1105" i="4"/>
  <c r="S1105" i="4"/>
  <c r="R1105" i="4"/>
  <c r="P1105" i="4"/>
  <c r="O1105" i="4"/>
  <c r="N1105" i="4"/>
  <c r="U1104" i="4"/>
  <c r="T1104" i="4"/>
  <c r="S1104" i="4"/>
  <c r="R1104" i="4"/>
  <c r="P1104" i="4"/>
  <c r="O1104" i="4"/>
  <c r="N1104" i="4"/>
  <c r="U1103" i="4"/>
  <c r="T1103" i="4"/>
  <c r="S1103" i="4"/>
  <c r="R1103" i="4"/>
  <c r="P1103" i="4"/>
  <c r="O1103" i="4"/>
  <c r="N1103" i="4"/>
  <c r="U1102" i="4"/>
  <c r="T1102" i="4"/>
  <c r="S1102" i="4"/>
  <c r="R1102" i="4"/>
  <c r="P1102" i="4"/>
  <c r="O1102" i="4"/>
  <c r="N1102" i="4"/>
  <c r="U1101" i="4"/>
  <c r="T1101" i="4"/>
  <c r="S1101" i="4"/>
  <c r="R1101" i="4"/>
  <c r="P1101" i="4"/>
  <c r="O1101" i="4"/>
  <c r="N1101" i="4"/>
  <c r="U1100" i="4"/>
  <c r="T1100" i="4"/>
  <c r="S1100" i="4"/>
  <c r="R1100" i="4"/>
  <c r="P1100" i="4"/>
  <c r="O1100" i="4"/>
  <c r="N1100" i="4"/>
  <c r="U1099" i="4"/>
  <c r="T1099" i="4"/>
  <c r="S1099" i="4"/>
  <c r="R1099" i="4"/>
  <c r="P1099" i="4"/>
  <c r="O1099" i="4"/>
  <c r="N1099" i="4"/>
  <c r="U1098" i="4"/>
  <c r="T1098" i="4"/>
  <c r="S1098" i="4"/>
  <c r="R1098" i="4"/>
  <c r="P1098" i="4"/>
  <c r="O1098" i="4"/>
  <c r="N1098" i="4"/>
  <c r="U1097" i="4"/>
  <c r="T1097" i="4"/>
  <c r="S1097" i="4"/>
  <c r="R1097" i="4"/>
  <c r="P1097" i="4"/>
  <c r="O1097" i="4"/>
  <c r="N1097" i="4"/>
  <c r="U1096" i="4"/>
  <c r="T1096" i="4"/>
  <c r="S1096" i="4"/>
  <c r="R1096" i="4"/>
  <c r="P1096" i="4"/>
  <c r="O1096" i="4"/>
  <c r="N1096" i="4"/>
  <c r="U1095" i="4"/>
  <c r="T1095" i="4"/>
  <c r="S1095" i="4"/>
  <c r="R1095" i="4"/>
  <c r="P1095" i="4"/>
  <c r="O1095" i="4"/>
  <c r="N1095" i="4"/>
  <c r="U1094" i="4"/>
  <c r="T1094" i="4"/>
  <c r="S1094" i="4"/>
  <c r="R1094" i="4"/>
  <c r="P1094" i="4"/>
  <c r="O1094" i="4"/>
  <c r="N1094" i="4"/>
  <c r="U1093" i="4"/>
  <c r="T1093" i="4"/>
  <c r="S1093" i="4"/>
  <c r="R1093" i="4"/>
  <c r="P1093" i="4"/>
  <c r="O1093" i="4"/>
  <c r="N1093" i="4"/>
  <c r="U1092" i="4"/>
  <c r="T1092" i="4"/>
  <c r="S1092" i="4"/>
  <c r="R1092" i="4"/>
  <c r="P1092" i="4"/>
  <c r="O1092" i="4"/>
  <c r="N1092" i="4"/>
  <c r="U1091" i="4"/>
  <c r="T1091" i="4"/>
  <c r="S1091" i="4"/>
  <c r="R1091" i="4"/>
  <c r="P1091" i="4"/>
  <c r="O1091" i="4"/>
  <c r="N1091" i="4"/>
  <c r="U1090" i="4"/>
  <c r="T1090" i="4"/>
  <c r="S1090" i="4"/>
  <c r="R1090" i="4"/>
  <c r="P1090" i="4"/>
  <c r="O1090" i="4"/>
  <c r="N1090" i="4"/>
  <c r="U1089" i="4"/>
  <c r="T1089" i="4"/>
  <c r="S1089" i="4"/>
  <c r="R1089" i="4"/>
  <c r="P1089" i="4"/>
  <c r="O1089" i="4"/>
  <c r="N1089" i="4"/>
  <c r="U1088" i="4"/>
  <c r="T1088" i="4"/>
  <c r="S1088" i="4"/>
  <c r="R1088" i="4"/>
  <c r="P1088" i="4"/>
  <c r="O1088" i="4"/>
  <c r="N1088" i="4"/>
  <c r="U1087" i="4"/>
  <c r="T1087" i="4"/>
  <c r="S1087" i="4"/>
  <c r="R1087" i="4"/>
  <c r="P1087" i="4"/>
  <c r="O1087" i="4"/>
  <c r="N1087" i="4"/>
  <c r="U1086" i="4"/>
  <c r="T1086" i="4"/>
  <c r="S1086" i="4"/>
  <c r="R1086" i="4"/>
  <c r="P1086" i="4"/>
  <c r="O1086" i="4"/>
  <c r="N1086" i="4"/>
  <c r="U1085" i="4"/>
  <c r="T1085" i="4"/>
  <c r="S1085" i="4"/>
  <c r="R1085" i="4"/>
  <c r="P1085" i="4"/>
  <c r="O1085" i="4"/>
  <c r="N1085" i="4"/>
  <c r="U1084" i="4"/>
  <c r="T1084" i="4"/>
  <c r="S1084" i="4"/>
  <c r="R1084" i="4"/>
  <c r="P1084" i="4"/>
  <c r="O1084" i="4"/>
  <c r="N1084" i="4"/>
  <c r="U1083" i="4"/>
  <c r="T1083" i="4"/>
  <c r="S1083" i="4"/>
  <c r="R1083" i="4"/>
  <c r="P1083" i="4"/>
  <c r="O1083" i="4"/>
  <c r="N1083" i="4"/>
  <c r="U1082" i="4"/>
  <c r="T1082" i="4"/>
  <c r="S1082" i="4"/>
  <c r="R1082" i="4"/>
  <c r="P1082" i="4"/>
  <c r="O1082" i="4"/>
  <c r="N1082" i="4"/>
  <c r="U1081" i="4"/>
  <c r="T1081" i="4"/>
  <c r="S1081" i="4"/>
  <c r="R1081" i="4"/>
  <c r="P1081" i="4"/>
  <c r="O1081" i="4"/>
  <c r="N1081" i="4"/>
  <c r="U1080" i="4"/>
  <c r="T1080" i="4"/>
  <c r="S1080" i="4"/>
  <c r="R1080" i="4"/>
  <c r="P1080" i="4"/>
  <c r="O1080" i="4"/>
  <c r="N1080" i="4"/>
  <c r="U1079" i="4"/>
  <c r="T1079" i="4"/>
  <c r="S1079" i="4"/>
  <c r="R1079" i="4"/>
  <c r="P1079" i="4"/>
  <c r="O1079" i="4"/>
  <c r="N1079" i="4"/>
  <c r="U1078" i="4"/>
  <c r="T1078" i="4"/>
  <c r="S1078" i="4"/>
  <c r="R1078" i="4"/>
  <c r="P1078" i="4"/>
  <c r="O1078" i="4"/>
  <c r="N1078" i="4"/>
  <c r="U1077" i="4"/>
  <c r="T1077" i="4"/>
  <c r="S1077" i="4"/>
  <c r="R1077" i="4"/>
  <c r="P1077" i="4"/>
  <c r="O1077" i="4"/>
  <c r="N1077" i="4"/>
  <c r="U1076" i="4"/>
  <c r="T1076" i="4"/>
  <c r="S1076" i="4"/>
  <c r="R1076" i="4"/>
  <c r="P1076" i="4"/>
  <c r="O1076" i="4"/>
  <c r="N1076" i="4"/>
  <c r="U1075" i="4"/>
  <c r="T1075" i="4"/>
  <c r="S1075" i="4"/>
  <c r="R1075" i="4"/>
  <c r="P1075" i="4"/>
  <c r="O1075" i="4"/>
  <c r="N1075" i="4"/>
  <c r="U1074" i="4"/>
  <c r="T1074" i="4"/>
  <c r="S1074" i="4"/>
  <c r="R1074" i="4"/>
  <c r="P1074" i="4"/>
  <c r="O1074" i="4"/>
  <c r="N1074" i="4"/>
  <c r="U1073" i="4"/>
  <c r="T1073" i="4"/>
  <c r="S1073" i="4"/>
  <c r="R1073" i="4"/>
  <c r="P1073" i="4"/>
  <c r="O1073" i="4"/>
  <c r="N1073" i="4"/>
  <c r="U1072" i="4"/>
  <c r="T1072" i="4"/>
  <c r="S1072" i="4"/>
  <c r="R1072" i="4"/>
  <c r="P1072" i="4"/>
  <c r="O1072" i="4"/>
  <c r="N1072" i="4"/>
  <c r="U1071" i="4"/>
  <c r="T1071" i="4"/>
  <c r="S1071" i="4"/>
  <c r="R1071" i="4"/>
  <c r="P1071" i="4"/>
  <c r="O1071" i="4"/>
  <c r="N1071" i="4"/>
  <c r="U1070" i="4"/>
  <c r="T1070" i="4"/>
  <c r="S1070" i="4"/>
  <c r="R1070" i="4"/>
  <c r="P1070" i="4"/>
  <c r="O1070" i="4"/>
  <c r="N1070" i="4"/>
  <c r="U1069" i="4"/>
  <c r="T1069" i="4"/>
  <c r="S1069" i="4"/>
  <c r="R1069" i="4"/>
  <c r="P1069" i="4"/>
  <c r="O1069" i="4"/>
  <c r="N1069" i="4"/>
  <c r="U1068" i="4"/>
  <c r="T1068" i="4"/>
  <c r="S1068" i="4"/>
  <c r="R1068" i="4"/>
  <c r="P1068" i="4"/>
  <c r="O1068" i="4"/>
  <c r="N1068" i="4"/>
  <c r="U1067" i="4"/>
  <c r="T1067" i="4"/>
  <c r="S1067" i="4"/>
  <c r="R1067" i="4"/>
  <c r="P1067" i="4"/>
  <c r="O1067" i="4"/>
  <c r="N1067" i="4"/>
  <c r="U1066" i="4"/>
  <c r="T1066" i="4"/>
  <c r="S1066" i="4"/>
  <c r="R1066" i="4"/>
  <c r="P1066" i="4"/>
  <c r="O1066" i="4"/>
  <c r="N1066" i="4"/>
  <c r="U1065" i="4"/>
  <c r="T1065" i="4"/>
  <c r="S1065" i="4"/>
  <c r="R1065" i="4"/>
  <c r="P1065" i="4"/>
  <c r="O1065" i="4"/>
  <c r="N1065" i="4"/>
  <c r="U1064" i="4"/>
  <c r="T1064" i="4"/>
  <c r="S1064" i="4"/>
  <c r="R1064" i="4"/>
  <c r="P1064" i="4"/>
  <c r="O1064" i="4"/>
  <c r="N1064" i="4"/>
  <c r="U1063" i="4"/>
  <c r="T1063" i="4"/>
  <c r="S1063" i="4"/>
  <c r="R1063" i="4"/>
  <c r="P1063" i="4"/>
  <c r="O1063" i="4"/>
  <c r="N1063" i="4"/>
  <c r="U1062" i="4"/>
  <c r="T1062" i="4"/>
  <c r="S1062" i="4"/>
  <c r="R1062" i="4"/>
  <c r="P1062" i="4"/>
  <c r="O1062" i="4"/>
  <c r="N1062" i="4"/>
  <c r="U1061" i="4"/>
  <c r="T1061" i="4"/>
  <c r="S1061" i="4"/>
  <c r="R1061" i="4"/>
  <c r="P1061" i="4"/>
  <c r="O1061" i="4"/>
  <c r="N1061" i="4"/>
  <c r="U1060" i="4"/>
  <c r="T1060" i="4"/>
  <c r="S1060" i="4"/>
  <c r="R1060" i="4"/>
  <c r="P1060" i="4"/>
  <c r="O1060" i="4"/>
  <c r="N1060" i="4"/>
  <c r="U1059" i="4"/>
  <c r="T1059" i="4"/>
  <c r="S1059" i="4"/>
  <c r="R1059" i="4"/>
  <c r="P1059" i="4"/>
  <c r="O1059" i="4"/>
  <c r="N1059" i="4"/>
  <c r="U1058" i="4"/>
  <c r="T1058" i="4"/>
  <c r="S1058" i="4"/>
  <c r="R1058" i="4"/>
  <c r="P1058" i="4"/>
  <c r="O1058" i="4"/>
  <c r="N1058" i="4"/>
  <c r="U1057" i="4"/>
  <c r="T1057" i="4"/>
  <c r="S1057" i="4"/>
  <c r="R1057" i="4"/>
  <c r="P1057" i="4"/>
  <c r="O1057" i="4"/>
  <c r="N1057" i="4"/>
  <c r="U1056" i="4"/>
  <c r="T1056" i="4"/>
  <c r="S1056" i="4"/>
  <c r="R1056" i="4"/>
  <c r="P1056" i="4"/>
  <c r="O1056" i="4"/>
  <c r="N1056" i="4"/>
  <c r="U1055" i="4"/>
  <c r="T1055" i="4"/>
  <c r="S1055" i="4"/>
  <c r="R1055" i="4"/>
  <c r="P1055" i="4"/>
  <c r="O1055" i="4"/>
  <c r="N1055" i="4"/>
  <c r="U1054" i="4"/>
  <c r="T1054" i="4"/>
  <c r="S1054" i="4"/>
  <c r="R1054" i="4"/>
  <c r="P1054" i="4"/>
  <c r="O1054" i="4"/>
  <c r="N1054" i="4"/>
  <c r="U1053" i="4"/>
  <c r="T1053" i="4"/>
  <c r="S1053" i="4"/>
  <c r="R1053" i="4"/>
  <c r="P1053" i="4"/>
  <c r="O1053" i="4"/>
  <c r="N1053" i="4"/>
  <c r="U1052" i="4"/>
  <c r="T1052" i="4"/>
  <c r="S1052" i="4"/>
  <c r="R1052" i="4"/>
  <c r="P1052" i="4"/>
  <c r="O1052" i="4"/>
  <c r="N1052" i="4"/>
  <c r="U1051" i="4"/>
  <c r="T1051" i="4"/>
  <c r="S1051" i="4"/>
  <c r="R1051" i="4"/>
  <c r="P1051" i="4"/>
  <c r="O1051" i="4"/>
  <c r="N1051" i="4"/>
  <c r="U1050" i="4"/>
  <c r="T1050" i="4"/>
  <c r="S1050" i="4"/>
  <c r="R1050" i="4"/>
  <c r="P1050" i="4"/>
  <c r="O1050" i="4"/>
  <c r="N1050" i="4"/>
  <c r="U1049" i="4"/>
  <c r="T1049" i="4"/>
  <c r="S1049" i="4"/>
  <c r="R1049" i="4"/>
  <c r="P1049" i="4"/>
  <c r="O1049" i="4"/>
  <c r="N1049" i="4"/>
  <c r="U1048" i="4"/>
  <c r="T1048" i="4"/>
  <c r="S1048" i="4"/>
  <c r="R1048" i="4"/>
  <c r="P1048" i="4"/>
  <c r="O1048" i="4"/>
  <c r="N1048" i="4"/>
  <c r="U1047" i="4"/>
  <c r="T1047" i="4"/>
  <c r="S1047" i="4"/>
  <c r="R1047" i="4"/>
  <c r="P1047" i="4"/>
  <c r="O1047" i="4"/>
  <c r="N1047" i="4"/>
  <c r="U1046" i="4"/>
  <c r="T1046" i="4"/>
  <c r="S1046" i="4"/>
  <c r="R1046" i="4"/>
  <c r="P1046" i="4"/>
  <c r="O1046" i="4"/>
  <c r="N1046" i="4"/>
  <c r="U1045" i="4"/>
  <c r="T1045" i="4"/>
  <c r="S1045" i="4"/>
  <c r="R1045" i="4"/>
  <c r="P1045" i="4"/>
  <c r="O1045" i="4"/>
  <c r="N1045" i="4"/>
  <c r="U1044" i="4"/>
  <c r="T1044" i="4"/>
  <c r="S1044" i="4"/>
  <c r="R1044" i="4"/>
  <c r="P1044" i="4"/>
  <c r="O1044" i="4"/>
  <c r="N1044" i="4"/>
  <c r="U1043" i="4"/>
  <c r="T1043" i="4"/>
  <c r="S1043" i="4"/>
  <c r="R1043" i="4"/>
  <c r="P1043" i="4"/>
  <c r="O1043" i="4"/>
  <c r="N1043" i="4"/>
  <c r="U1042" i="4"/>
  <c r="T1042" i="4"/>
  <c r="S1042" i="4"/>
  <c r="R1042" i="4"/>
  <c r="P1042" i="4"/>
  <c r="O1042" i="4"/>
  <c r="N1042" i="4"/>
  <c r="U1041" i="4"/>
  <c r="T1041" i="4"/>
  <c r="S1041" i="4"/>
  <c r="R1041" i="4"/>
  <c r="P1041" i="4"/>
  <c r="O1041" i="4"/>
  <c r="N1041" i="4"/>
  <c r="U1040" i="4"/>
  <c r="T1040" i="4"/>
  <c r="S1040" i="4"/>
  <c r="R1040" i="4"/>
  <c r="P1040" i="4"/>
  <c r="O1040" i="4"/>
  <c r="N1040" i="4"/>
  <c r="U1039" i="4"/>
  <c r="T1039" i="4"/>
  <c r="S1039" i="4"/>
  <c r="R1039" i="4"/>
  <c r="P1039" i="4"/>
  <c r="O1039" i="4"/>
  <c r="N1039" i="4"/>
  <c r="U1038" i="4"/>
  <c r="T1038" i="4"/>
  <c r="S1038" i="4"/>
  <c r="R1038" i="4"/>
  <c r="P1038" i="4"/>
  <c r="O1038" i="4"/>
  <c r="N1038" i="4"/>
  <c r="U1037" i="4"/>
  <c r="T1037" i="4"/>
  <c r="S1037" i="4"/>
  <c r="R1037" i="4"/>
  <c r="P1037" i="4"/>
  <c r="O1037" i="4"/>
  <c r="N1037" i="4"/>
  <c r="U1036" i="4"/>
  <c r="T1036" i="4"/>
  <c r="S1036" i="4"/>
  <c r="R1036" i="4"/>
  <c r="P1036" i="4"/>
  <c r="O1036" i="4"/>
  <c r="N1036" i="4"/>
  <c r="U1035" i="4"/>
  <c r="T1035" i="4"/>
  <c r="S1035" i="4"/>
  <c r="R1035" i="4"/>
  <c r="P1035" i="4"/>
  <c r="O1035" i="4"/>
  <c r="N1035" i="4"/>
  <c r="U1034" i="4"/>
  <c r="T1034" i="4"/>
  <c r="S1034" i="4"/>
  <c r="R1034" i="4"/>
  <c r="P1034" i="4"/>
  <c r="O1034" i="4"/>
  <c r="N1034" i="4"/>
  <c r="U1033" i="4"/>
  <c r="T1033" i="4"/>
  <c r="S1033" i="4"/>
  <c r="R1033" i="4"/>
  <c r="P1033" i="4"/>
  <c r="O1033" i="4"/>
  <c r="N1033" i="4"/>
  <c r="U1032" i="4"/>
  <c r="T1032" i="4"/>
  <c r="S1032" i="4"/>
  <c r="R1032" i="4"/>
  <c r="P1032" i="4"/>
  <c r="O1032" i="4"/>
  <c r="N1032" i="4"/>
  <c r="U1031" i="4"/>
  <c r="T1031" i="4"/>
  <c r="S1031" i="4"/>
  <c r="R1031" i="4"/>
  <c r="P1031" i="4"/>
  <c r="O1031" i="4"/>
  <c r="N1031" i="4"/>
  <c r="U1030" i="4"/>
  <c r="T1030" i="4"/>
  <c r="S1030" i="4"/>
  <c r="R1030" i="4"/>
  <c r="P1030" i="4"/>
  <c r="O1030" i="4"/>
  <c r="N1030" i="4"/>
  <c r="U1029" i="4"/>
  <c r="T1029" i="4"/>
  <c r="S1029" i="4"/>
  <c r="R1029" i="4"/>
  <c r="P1029" i="4"/>
  <c r="O1029" i="4"/>
  <c r="N1029" i="4"/>
  <c r="U1028" i="4"/>
  <c r="T1028" i="4"/>
  <c r="S1028" i="4"/>
  <c r="R1028" i="4"/>
  <c r="P1028" i="4"/>
  <c r="O1028" i="4"/>
  <c r="N1028" i="4"/>
  <c r="U1027" i="4"/>
  <c r="T1027" i="4"/>
  <c r="S1027" i="4"/>
  <c r="R1027" i="4"/>
  <c r="P1027" i="4"/>
  <c r="O1027" i="4"/>
  <c r="N1027" i="4"/>
  <c r="U1026" i="4"/>
  <c r="T1026" i="4"/>
  <c r="S1026" i="4"/>
  <c r="R1026" i="4"/>
  <c r="P1026" i="4"/>
  <c r="O1026" i="4"/>
  <c r="N1026" i="4"/>
  <c r="U1025" i="4"/>
  <c r="T1025" i="4"/>
  <c r="S1025" i="4"/>
  <c r="R1025" i="4"/>
  <c r="P1025" i="4"/>
  <c r="O1025" i="4"/>
  <c r="N1025" i="4"/>
  <c r="U1024" i="4"/>
  <c r="T1024" i="4"/>
  <c r="S1024" i="4"/>
  <c r="R1024" i="4"/>
  <c r="P1024" i="4"/>
  <c r="O1024" i="4"/>
  <c r="N1024" i="4"/>
  <c r="U1023" i="4"/>
  <c r="T1023" i="4"/>
  <c r="S1023" i="4"/>
  <c r="R1023" i="4"/>
  <c r="P1023" i="4"/>
  <c r="O1023" i="4"/>
  <c r="N1023" i="4"/>
  <c r="U1022" i="4"/>
  <c r="T1022" i="4"/>
  <c r="S1022" i="4"/>
  <c r="R1022" i="4"/>
  <c r="P1022" i="4"/>
  <c r="O1022" i="4"/>
  <c r="N1022" i="4"/>
  <c r="U1021" i="4"/>
  <c r="T1021" i="4"/>
  <c r="S1021" i="4"/>
  <c r="R1021" i="4"/>
  <c r="P1021" i="4"/>
  <c r="O1021" i="4"/>
  <c r="N1021" i="4"/>
  <c r="U1020" i="4"/>
  <c r="T1020" i="4"/>
  <c r="S1020" i="4"/>
  <c r="R1020" i="4"/>
  <c r="P1020" i="4"/>
  <c r="O1020" i="4"/>
  <c r="N1020" i="4"/>
  <c r="U1019" i="4"/>
  <c r="T1019" i="4"/>
  <c r="S1019" i="4"/>
  <c r="R1019" i="4"/>
  <c r="P1019" i="4"/>
  <c r="O1019" i="4"/>
  <c r="N1019" i="4"/>
  <c r="U1018" i="4"/>
  <c r="T1018" i="4"/>
  <c r="S1018" i="4"/>
  <c r="R1018" i="4"/>
  <c r="P1018" i="4"/>
  <c r="O1018" i="4"/>
  <c r="N1018" i="4"/>
  <c r="U1017" i="4"/>
  <c r="T1017" i="4"/>
  <c r="S1017" i="4"/>
  <c r="R1017" i="4"/>
  <c r="P1017" i="4"/>
  <c r="O1017" i="4"/>
  <c r="N1017" i="4"/>
  <c r="U1016" i="4"/>
  <c r="T1016" i="4"/>
  <c r="S1016" i="4"/>
  <c r="R1016" i="4"/>
  <c r="P1016" i="4"/>
  <c r="O1016" i="4"/>
  <c r="N1016" i="4"/>
  <c r="U1015" i="4"/>
  <c r="T1015" i="4"/>
  <c r="S1015" i="4"/>
  <c r="R1015" i="4"/>
  <c r="P1015" i="4"/>
  <c r="O1015" i="4"/>
  <c r="N1015" i="4"/>
  <c r="U1014" i="4"/>
  <c r="T1014" i="4"/>
  <c r="S1014" i="4"/>
  <c r="R1014" i="4"/>
  <c r="P1014" i="4"/>
  <c r="O1014" i="4"/>
  <c r="N1014" i="4"/>
  <c r="U1013" i="4"/>
  <c r="T1013" i="4"/>
  <c r="S1013" i="4"/>
  <c r="R1013" i="4"/>
  <c r="P1013" i="4"/>
  <c r="O1013" i="4"/>
  <c r="N1013" i="4"/>
  <c r="U1012" i="4"/>
  <c r="T1012" i="4"/>
  <c r="S1012" i="4"/>
  <c r="R1012" i="4"/>
  <c r="P1012" i="4"/>
  <c r="O1012" i="4"/>
  <c r="N1012" i="4"/>
  <c r="U1011" i="4"/>
  <c r="T1011" i="4"/>
  <c r="S1011" i="4"/>
  <c r="R1011" i="4"/>
  <c r="P1011" i="4"/>
  <c r="O1011" i="4"/>
  <c r="N1011" i="4"/>
  <c r="U1010" i="4"/>
  <c r="T1010" i="4"/>
  <c r="S1010" i="4"/>
  <c r="R1010" i="4"/>
  <c r="P1010" i="4"/>
  <c r="O1010" i="4"/>
  <c r="N1010" i="4"/>
  <c r="U1009" i="4"/>
  <c r="T1009" i="4"/>
  <c r="S1009" i="4"/>
  <c r="R1009" i="4"/>
  <c r="P1009" i="4"/>
  <c r="O1009" i="4"/>
  <c r="N1009" i="4"/>
  <c r="U1008" i="4"/>
  <c r="T1008" i="4"/>
  <c r="S1008" i="4"/>
  <c r="R1008" i="4"/>
  <c r="P1008" i="4"/>
  <c r="O1008" i="4"/>
  <c r="N1008" i="4"/>
  <c r="U1007" i="4"/>
  <c r="T1007" i="4"/>
  <c r="S1007" i="4"/>
  <c r="R1007" i="4"/>
  <c r="P1007" i="4"/>
  <c r="O1007" i="4"/>
  <c r="N1007" i="4"/>
  <c r="U1006" i="4"/>
  <c r="T1006" i="4"/>
  <c r="S1006" i="4"/>
  <c r="R1006" i="4"/>
  <c r="P1006" i="4"/>
  <c r="O1006" i="4"/>
  <c r="N1006" i="4"/>
  <c r="U1005" i="4"/>
  <c r="T1005" i="4"/>
  <c r="S1005" i="4"/>
  <c r="R1005" i="4"/>
  <c r="P1005" i="4"/>
  <c r="O1005" i="4"/>
  <c r="N1005" i="4"/>
  <c r="U1004" i="4"/>
  <c r="T1004" i="4"/>
  <c r="S1004" i="4"/>
  <c r="R1004" i="4"/>
  <c r="P1004" i="4"/>
  <c r="O1004" i="4"/>
  <c r="N1004" i="4"/>
  <c r="U1003" i="4"/>
  <c r="T1003" i="4"/>
  <c r="S1003" i="4"/>
  <c r="R1003" i="4"/>
  <c r="P1003" i="4"/>
  <c r="O1003" i="4"/>
  <c r="N1003" i="4"/>
  <c r="U1002" i="4"/>
  <c r="T1002" i="4"/>
  <c r="S1002" i="4"/>
  <c r="R1002" i="4"/>
  <c r="P1002" i="4"/>
  <c r="O1002" i="4"/>
  <c r="N1002" i="4"/>
  <c r="U1001" i="4"/>
  <c r="T1001" i="4"/>
  <c r="S1001" i="4"/>
  <c r="R1001" i="4"/>
  <c r="P1001" i="4"/>
  <c r="O1001" i="4"/>
  <c r="N1001" i="4"/>
  <c r="U1000" i="4"/>
  <c r="T1000" i="4"/>
  <c r="S1000" i="4"/>
  <c r="R1000" i="4"/>
  <c r="P1000" i="4"/>
  <c r="O1000" i="4"/>
  <c r="N1000" i="4"/>
  <c r="U999" i="4"/>
  <c r="T999" i="4"/>
  <c r="S999" i="4"/>
  <c r="R999" i="4"/>
  <c r="P999" i="4"/>
  <c r="O999" i="4"/>
  <c r="N999" i="4"/>
  <c r="U998" i="4"/>
  <c r="T998" i="4"/>
  <c r="S998" i="4"/>
  <c r="R998" i="4"/>
  <c r="P998" i="4"/>
  <c r="O998" i="4"/>
  <c r="N998" i="4"/>
  <c r="U997" i="4"/>
  <c r="T997" i="4"/>
  <c r="S997" i="4"/>
  <c r="R997" i="4"/>
  <c r="P997" i="4"/>
  <c r="O997" i="4"/>
  <c r="N997" i="4"/>
  <c r="U996" i="4"/>
  <c r="T996" i="4"/>
  <c r="S996" i="4"/>
  <c r="R996" i="4"/>
  <c r="P996" i="4"/>
  <c r="O996" i="4"/>
  <c r="N996" i="4"/>
  <c r="U995" i="4"/>
  <c r="T995" i="4"/>
  <c r="S995" i="4"/>
  <c r="R995" i="4"/>
  <c r="P995" i="4"/>
  <c r="O995" i="4"/>
  <c r="N995" i="4"/>
  <c r="U994" i="4"/>
  <c r="T994" i="4"/>
  <c r="S994" i="4"/>
  <c r="R994" i="4"/>
  <c r="P994" i="4"/>
  <c r="O994" i="4"/>
  <c r="N994" i="4"/>
  <c r="U993" i="4"/>
  <c r="T993" i="4"/>
  <c r="S993" i="4"/>
  <c r="R993" i="4"/>
  <c r="P993" i="4"/>
  <c r="O993" i="4"/>
  <c r="N993" i="4"/>
  <c r="U992" i="4"/>
  <c r="T992" i="4"/>
  <c r="S992" i="4"/>
  <c r="R992" i="4"/>
  <c r="P992" i="4"/>
  <c r="O992" i="4"/>
  <c r="N992" i="4"/>
  <c r="U991" i="4"/>
  <c r="T991" i="4"/>
  <c r="S991" i="4"/>
  <c r="R991" i="4"/>
  <c r="P991" i="4"/>
  <c r="O991" i="4"/>
  <c r="N991" i="4"/>
  <c r="U990" i="4"/>
  <c r="T990" i="4"/>
  <c r="S990" i="4"/>
  <c r="R990" i="4"/>
  <c r="P990" i="4"/>
  <c r="O990" i="4"/>
  <c r="N990" i="4"/>
  <c r="U989" i="4"/>
  <c r="T989" i="4"/>
  <c r="S989" i="4"/>
  <c r="R989" i="4"/>
  <c r="P989" i="4"/>
  <c r="O989" i="4"/>
  <c r="N989" i="4"/>
  <c r="U988" i="4"/>
  <c r="T988" i="4"/>
  <c r="S988" i="4"/>
  <c r="R988" i="4"/>
  <c r="P988" i="4"/>
  <c r="O988" i="4"/>
  <c r="N988" i="4"/>
  <c r="U987" i="4"/>
  <c r="T987" i="4"/>
  <c r="S987" i="4"/>
  <c r="R987" i="4"/>
  <c r="P987" i="4"/>
  <c r="O987" i="4"/>
  <c r="N987" i="4"/>
  <c r="U986" i="4"/>
  <c r="T986" i="4"/>
  <c r="S986" i="4"/>
  <c r="R986" i="4"/>
  <c r="P986" i="4"/>
  <c r="O986" i="4"/>
  <c r="N986" i="4"/>
  <c r="U985" i="4"/>
  <c r="T985" i="4"/>
  <c r="S985" i="4"/>
  <c r="R985" i="4"/>
  <c r="P985" i="4"/>
  <c r="O985" i="4"/>
  <c r="N985" i="4"/>
  <c r="U984" i="4"/>
  <c r="T984" i="4"/>
  <c r="S984" i="4"/>
  <c r="R984" i="4"/>
  <c r="P984" i="4"/>
  <c r="O984" i="4"/>
  <c r="N984" i="4"/>
  <c r="U983" i="4"/>
  <c r="T983" i="4"/>
  <c r="S983" i="4"/>
  <c r="R983" i="4"/>
  <c r="P983" i="4"/>
  <c r="O983" i="4"/>
  <c r="N983" i="4"/>
  <c r="U982" i="4"/>
  <c r="T982" i="4"/>
  <c r="S982" i="4"/>
  <c r="R982" i="4"/>
  <c r="P982" i="4"/>
  <c r="O982" i="4"/>
  <c r="N982" i="4"/>
  <c r="U981" i="4"/>
  <c r="T981" i="4"/>
  <c r="S981" i="4"/>
  <c r="R981" i="4"/>
  <c r="P981" i="4"/>
  <c r="O981" i="4"/>
  <c r="N981" i="4"/>
  <c r="U980" i="4"/>
  <c r="T980" i="4"/>
  <c r="S980" i="4"/>
  <c r="R980" i="4"/>
  <c r="P980" i="4"/>
  <c r="O980" i="4"/>
  <c r="N980" i="4"/>
  <c r="U979" i="4"/>
  <c r="T979" i="4"/>
  <c r="S979" i="4"/>
  <c r="R979" i="4"/>
  <c r="P979" i="4"/>
  <c r="O979" i="4"/>
  <c r="N979" i="4"/>
  <c r="U978" i="4"/>
  <c r="T978" i="4"/>
  <c r="S978" i="4"/>
  <c r="R978" i="4"/>
  <c r="P978" i="4"/>
  <c r="O978" i="4"/>
  <c r="N978" i="4"/>
  <c r="U977" i="4"/>
  <c r="T977" i="4"/>
  <c r="S977" i="4"/>
  <c r="R977" i="4"/>
  <c r="P977" i="4"/>
  <c r="O977" i="4"/>
  <c r="N977" i="4"/>
  <c r="U976" i="4"/>
  <c r="T976" i="4"/>
  <c r="S976" i="4"/>
  <c r="R976" i="4"/>
  <c r="P976" i="4"/>
  <c r="O976" i="4"/>
  <c r="N976" i="4"/>
  <c r="U975" i="4"/>
  <c r="T975" i="4"/>
  <c r="S975" i="4"/>
  <c r="R975" i="4"/>
  <c r="P975" i="4"/>
  <c r="O975" i="4"/>
  <c r="N975" i="4"/>
  <c r="U974" i="4"/>
  <c r="T974" i="4"/>
  <c r="S974" i="4"/>
  <c r="R974" i="4"/>
  <c r="P974" i="4"/>
  <c r="O974" i="4"/>
  <c r="N974" i="4"/>
  <c r="U973" i="4"/>
  <c r="T973" i="4"/>
  <c r="S973" i="4"/>
  <c r="R973" i="4"/>
  <c r="P973" i="4"/>
  <c r="O973" i="4"/>
  <c r="N973" i="4"/>
  <c r="U972" i="4"/>
  <c r="T972" i="4"/>
  <c r="S972" i="4"/>
  <c r="R972" i="4"/>
  <c r="P972" i="4"/>
  <c r="O972" i="4"/>
  <c r="N972" i="4"/>
  <c r="U971" i="4"/>
  <c r="T971" i="4"/>
  <c r="S971" i="4"/>
  <c r="R971" i="4"/>
  <c r="P971" i="4"/>
  <c r="O971" i="4"/>
  <c r="N971" i="4"/>
  <c r="U970" i="4"/>
  <c r="T970" i="4"/>
  <c r="S970" i="4"/>
  <c r="R970" i="4"/>
  <c r="P970" i="4"/>
  <c r="O970" i="4"/>
  <c r="N970" i="4"/>
  <c r="U969" i="4"/>
  <c r="T969" i="4"/>
  <c r="S969" i="4"/>
  <c r="R969" i="4"/>
  <c r="P969" i="4"/>
  <c r="O969" i="4"/>
  <c r="N969" i="4"/>
  <c r="U968" i="4"/>
  <c r="T968" i="4"/>
  <c r="S968" i="4"/>
  <c r="R968" i="4"/>
  <c r="P968" i="4"/>
  <c r="O968" i="4"/>
  <c r="N968" i="4"/>
  <c r="U967" i="4"/>
  <c r="T967" i="4"/>
  <c r="S967" i="4"/>
  <c r="R967" i="4"/>
  <c r="P967" i="4"/>
  <c r="O967" i="4"/>
  <c r="N967" i="4"/>
  <c r="U966" i="4"/>
  <c r="T966" i="4"/>
  <c r="S966" i="4"/>
  <c r="R966" i="4"/>
  <c r="P966" i="4"/>
  <c r="O966" i="4"/>
  <c r="N966" i="4"/>
  <c r="U965" i="4"/>
  <c r="T965" i="4"/>
  <c r="S965" i="4"/>
  <c r="R965" i="4"/>
  <c r="P965" i="4"/>
  <c r="O965" i="4"/>
  <c r="N965" i="4"/>
  <c r="U964" i="4"/>
  <c r="T964" i="4"/>
  <c r="S964" i="4"/>
  <c r="R964" i="4"/>
  <c r="P964" i="4"/>
  <c r="O964" i="4"/>
  <c r="N964" i="4"/>
  <c r="U963" i="4"/>
  <c r="T963" i="4"/>
  <c r="S963" i="4"/>
  <c r="R963" i="4"/>
  <c r="P963" i="4"/>
  <c r="O963" i="4"/>
  <c r="N963" i="4"/>
  <c r="U962" i="4"/>
  <c r="T962" i="4"/>
  <c r="S962" i="4"/>
  <c r="R962" i="4"/>
  <c r="P962" i="4"/>
  <c r="O962" i="4"/>
  <c r="N962" i="4"/>
  <c r="U961" i="4"/>
  <c r="T961" i="4"/>
  <c r="S961" i="4"/>
  <c r="R961" i="4"/>
  <c r="P961" i="4"/>
  <c r="O961" i="4"/>
  <c r="N961" i="4"/>
  <c r="U960" i="4"/>
  <c r="T960" i="4"/>
  <c r="S960" i="4"/>
  <c r="R960" i="4"/>
  <c r="P960" i="4"/>
  <c r="O960" i="4"/>
  <c r="N960" i="4"/>
  <c r="U959" i="4"/>
  <c r="T959" i="4"/>
  <c r="S959" i="4"/>
  <c r="R959" i="4"/>
  <c r="P959" i="4"/>
  <c r="O959" i="4"/>
  <c r="N959" i="4"/>
  <c r="U958" i="4"/>
  <c r="T958" i="4"/>
  <c r="S958" i="4"/>
  <c r="R958" i="4"/>
  <c r="P958" i="4"/>
  <c r="O958" i="4"/>
  <c r="N958" i="4"/>
  <c r="U957" i="4"/>
  <c r="T957" i="4"/>
  <c r="S957" i="4"/>
  <c r="R957" i="4"/>
  <c r="P957" i="4"/>
  <c r="O957" i="4"/>
  <c r="N957" i="4"/>
  <c r="U956" i="4"/>
  <c r="T956" i="4"/>
  <c r="S956" i="4"/>
  <c r="R956" i="4"/>
  <c r="P956" i="4"/>
  <c r="O956" i="4"/>
  <c r="N956" i="4"/>
  <c r="U955" i="4"/>
  <c r="T955" i="4"/>
  <c r="S955" i="4"/>
  <c r="R955" i="4"/>
  <c r="P955" i="4"/>
  <c r="O955" i="4"/>
  <c r="N955" i="4"/>
  <c r="U954" i="4"/>
  <c r="T954" i="4"/>
  <c r="S954" i="4"/>
  <c r="R954" i="4"/>
  <c r="P954" i="4"/>
  <c r="O954" i="4"/>
  <c r="N954" i="4"/>
  <c r="U953" i="4"/>
  <c r="T953" i="4"/>
  <c r="S953" i="4"/>
  <c r="R953" i="4"/>
  <c r="P953" i="4"/>
  <c r="O953" i="4"/>
  <c r="N953" i="4"/>
  <c r="U952" i="4"/>
  <c r="T952" i="4"/>
  <c r="S952" i="4"/>
  <c r="R952" i="4"/>
  <c r="P952" i="4"/>
  <c r="O952" i="4"/>
  <c r="N952" i="4"/>
  <c r="U951" i="4"/>
  <c r="T951" i="4"/>
  <c r="S951" i="4"/>
  <c r="R951" i="4"/>
  <c r="P951" i="4"/>
  <c r="O951" i="4"/>
  <c r="N951" i="4"/>
  <c r="U950" i="4"/>
  <c r="T950" i="4"/>
  <c r="S950" i="4"/>
  <c r="R950" i="4"/>
  <c r="P950" i="4"/>
  <c r="O950" i="4"/>
  <c r="N950" i="4"/>
  <c r="U949" i="4"/>
  <c r="T949" i="4"/>
  <c r="S949" i="4"/>
  <c r="R949" i="4"/>
  <c r="P949" i="4"/>
  <c r="O949" i="4"/>
  <c r="N949" i="4"/>
  <c r="U948" i="4"/>
  <c r="T948" i="4"/>
  <c r="S948" i="4"/>
  <c r="R948" i="4"/>
  <c r="P948" i="4"/>
  <c r="O948" i="4"/>
  <c r="N948" i="4"/>
  <c r="U947" i="4"/>
  <c r="T947" i="4"/>
  <c r="S947" i="4"/>
  <c r="R947" i="4"/>
  <c r="P947" i="4"/>
  <c r="O947" i="4"/>
  <c r="N947" i="4"/>
  <c r="U946" i="4"/>
  <c r="T946" i="4"/>
  <c r="S946" i="4"/>
  <c r="R946" i="4"/>
  <c r="P946" i="4"/>
  <c r="O946" i="4"/>
  <c r="N946" i="4"/>
  <c r="U945" i="4"/>
  <c r="T945" i="4"/>
  <c r="S945" i="4"/>
  <c r="R945" i="4"/>
  <c r="P945" i="4"/>
  <c r="O945" i="4"/>
  <c r="N945" i="4"/>
  <c r="U944" i="4"/>
  <c r="T944" i="4"/>
  <c r="S944" i="4"/>
  <c r="R944" i="4"/>
  <c r="P944" i="4"/>
  <c r="O944" i="4"/>
  <c r="N944" i="4"/>
  <c r="U943" i="4"/>
  <c r="T943" i="4"/>
  <c r="S943" i="4"/>
  <c r="R943" i="4"/>
  <c r="P943" i="4"/>
  <c r="O943" i="4"/>
  <c r="N943" i="4"/>
  <c r="U942" i="4"/>
  <c r="T942" i="4"/>
  <c r="S942" i="4"/>
  <c r="R942" i="4"/>
  <c r="P942" i="4"/>
  <c r="O942" i="4"/>
  <c r="N942" i="4"/>
  <c r="U941" i="4"/>
  <c r="T941" i="4"/>
  <c r="S941" i="4"/>
  <c r="R941" i="4"/>
  <c r="P941" i="4"/>
  <c r="O941" i="4"/>
  <c r="N941" i="4"/>
  <c r="U940" i="4"/>
  <c r="T940" i="4"/>
  <c r="S940" i="4"/>
  <c r="R940" i="4"/>
  <c r="P940" i="4"/>
  <c r="O940" i="4"/>
  <c r="N940" i="4"/>
  <c r="U939" i="4"/>
  <c r="T939" i="4"/>
  <c r="S939" i="4"/>
  <c r="R939" i="4"/>
  <c r="P939" i="4"/>
  <c r="O939" i="4"/>
  <c r="N939" i="4"/>
  <c r="U938" i="4"/>
  <c r="T938" i="4"/>
  <c r="S938" i="4"/>
  <c r="R938" i="4"/>
  <c r="P938" i="4"/>
  <c r="O938" i="4"/>
  <c r="N938" i="4"/>
  <c r="U937" i="4"/>
  <c r="T937" i="4"/>
  <c r="S937" i="4"/>
  <c r="R937" i="4"/>
  <c r="P937" i="4"/>
  <c r="O937" i="4"/>
  <c r="N937" i="4"/>
  <c r="U936" i="4"/>
  <c r="T936" i="4"/>
  <c r="S936" i="4"/>
  <c r="R936" i="4"/>
  <c r="P936" i="4"/>
  <c r="O936" i="4"/>
  <c r="N936" i="4"/>
  <c r="U935" i="4"/>
  <c r="T935" i="4"/>
  <c r="S935" i="4"/>
  <c r="R935" i="4"/>
  <c r="P935" i="4"/>
  <c r="O935" i="4"/>
  <c r="N935" i="4"/>
  <c r="U934" i="4"/>
  <c r="T934" i="4"/>
  <c r="S934" i="4"/>
  <c r="R934" i="4"/>
  <c r="P934" i="4"/>
  <c r="O934" i="4"/>
  <c r="N934" i="4"/>
  <c r="U933" i="4"/>
  <c r="T933" i="4"/>
  <c r="S933" i="4"/>
  <c r="R933" i="4"/>
  <c r="P933" i="4"/>
  <c r="O933" i="4"/>
  <c r="N933" i="4"/>
  <c r="U932" i="4"/>
  <c r="T932" i="4"/>
  <c r="S932" i="4"/>
  <c r="R932" i="4"/>
  <c r="P932" i="4"/>
  <c r="O932" i="4"/>
  <c r="N932" i="4"/>
  <c r="U931" i="4"/>
  <c r="T931" i="4"/>
  <c r="S931" i="4"/>
  <c r="R931" i="4"/>
  <c r="P931" i="4"/>
  <c r="O931" i="4"/>
  <c r="N931" i="4"/>
  <c r="U930" i="4"/>
  <c r="T930" i="4"/>
  <c r="S930" i="4"/>
  <c r="R930" i="4"/>
  <c r="P930" i="4"/>
  <c r="O930" i="4"/>
  <c r="N930" i="4"/>
  <c r="U929" i="4"/>
  <c r="T929" i="4"/>
  <c r="S929" i="4"/>
  <c r="R929" i="4"/>
  <c r="P929" i="4"/>
  <c r="O929" i="4"/>
  <c r="N929" i="4"/>
  <c r="U928" i="4"/>
  <c r="T928" i="4"/>
  <c r="S928" i="4"/>
  <c r="R928" i="4"/>
  <c r="P928" i="4"/>
  <c r="O928" i="4"/>
  <c r="N928" i="4"/>
  <c r="U927" i="4"/>
  <c r="T927" i="4"/>
  <c r="S927" i="4"/>
  <c r="R927" i="4"/>
  <c r="P927" i="4"/>
  <c r="O927" i="4"/>
  <c r="N927" i="4"/>
  <c r="U926" i="4"/>
  <c r="T926" i="4"/>
  <c r="S926" i="4"/>
  <c r="R926" i="4"/>
  <c r="P926" i="4"/>
  <c r="O926" i="4"/>
  <c r="N926" i="4"/>
  <c r="U925" i="4"/>
  <c r="T925" i="4"/>
  <c r="S925" i="4"/>
  <c r="R925" i="4"/>
  <c r="P925" i="4"/>
  <c r="O925" i="4"/>
  <c r="N925" i="4"/>
  <c r="U924" i="4"/>
  <c r="T924" i="4"/>
  <c r="S924" i="4"/>
  <c r="R924" i="4"/>
  <c r="P924" i="4"/>
  <c r="O924" i="4"/>
  <c r="N924" i="4"/>
  <c r="U923" i="4"/>
  <c r="T923" i="4"/>
  <c r="S923" i="4"/>
  <c r="R923" i="4"/>
  <c r="P923" i="4"/>
  <c r="O923" i="4"/>
  <c r="N923" i="4"/>
  <c r="U922" i="4"/>
  <c r="T922" i="4"/>
  <c r="S922" i="4"/>
  <c r="R922" i="4"/>
  <c r="P922" i="4"/>
  <c r="O922" i="4"/>
  <c r="N922" i="4"/>
  <c r="U921" i="4"/>
  <c r="T921" i="4"/>
  <c r="S921" i="4"/>
  <c r="R921" i="4"/>
  <c r="P921" i="4"/>
  <c r="O921" i="4"/>
  <c r="N921" i="4"/>
  <c r="U920" i="4"/>
  <c r="T920" i="4"/>
  <c r="S920" i="4"/>
  <c r="R920" i="4"/>
  <c r="P920" i="4"/>
  <c r="O920" i="4"/>
  <c r="N920" i="4"/>
  <c r="U919" i="4"/>
  <c r="T919" i="4"/>
  <c r="S919" i="4"/>
  <c r="R919" i="4"/>
  <c r="P919" i="4"/>
  <c r="O919" i="4"/>
  <c r="N919" i="4"/>
  <c r="U918" i="4"/>
  <c r="T918" i="4"/>
  <c r="S918" i="4"/>
  <c r="R918" i="4"/>
  <c r="P918" i="4"/>
  <c r="O918" i="4"/>
  <c r="N918" i="4"/>
  <c r="U917" i="4"/>
  <c r="T917" i="4"/>
  <c r="S917" i="4"/>
  <c r="R917" i="4"/>
  <c r="P917" i="4"/>
  <c r="O917" i="4"/>
  <c r="N917" i="4"/>
  <c r="U916" i="4"/>
  <c r="T916" i="4"/>
  <c r="S916" i="4"/>
  <c r="R916" i="4"/>
  <c r="P916" i="4"/>
  <c r="O916" i="4"/>
  <c r="N916" i="4"/>
  <c r="U915" i="4"/>
  <c r="T915" i="4"/>
  <c r="S915" i="4"/>
  <c r="R915" i="4"/>
  <c r="P915" i="4"/>
  <c r="O915" i="4"/>
  <c r="N915" i="4"/>
  <c r="U914" i="4"/>
  <c r="T914" i="4"/>
  <c r="S914" i="4"/>
  <c r="R914" i="4"/>
  <c r="P914" i="4"/>
  <c r="O914" i="4"/>
  <c r="N914" i="4"/>
  <c r="U913" i="4"/>
  <c r="T913" i="4"/>
  <c r="S913" i="4"/>
  <c r="R913" i="4"/>
  <c r="P913" i="4"/>
  <c r="O913" i="4"/>
  <c r="N913" i="4"/>
  <c r="U912" i="4"/>
  <c r="T912" i="4"/>
  <c r="S912" i="4"/>
  <c r="R912" i="4"/>
  <c r="P912" i="4"/>
  <c r="O912" i="4"/>
  <c r="N912" i="4"/>
  <c r="U911" i="4"/>
  <c r="T911" i="4"/>
  <c r="S911" i="4"/>
  <c r="R911" i="4"/>
  <c r="P911" i="4"/>
  <c r="O911" i="4"/>
  <c r="N911" i="4"/>
  <c r="U910" i="4"/>
  <c r="T910" i="4"/>
  <c r="S910" i="4"/>
  <c r="R910" i="4"/>
  <c r="P910" i="4"/>
  <c r="O910" i="4"/>
  <c r="N910" i="4"/>
  <c r="U909" i="4"/>
  <c r="T909" i="4"/>
  <c r="S909" i="4"/>
  <c r="R909" i="4"/>
  <c r="P909" i="4"/>
  <c r="O909" i="4"/>
  <c r="N909" i="4"/>
  <c r="U908" i="4"/>
  <c r="T908" i="4"/>
  <c r="S908" i="4"/>
  <c r="R908" i="4"/>
  <c r="P908" i="4"/>
  <c r="O908" i="4"/>
  <c r="N908" i="4"/>
  <c r="U907" i="4"/>
  <c r="T907" i="4"/>
  <c r="S907" i="4"/>
  <c r="R907" i="4"/>
  <c r="P907" i="4"/>
  <c r="O907" i="4"/>
  <c r="N907" i="4"/>
  <c r="U906" i="4"/>
  <c r="T906" i="4"/>
  <c r="S906" i="4"/>
  <c r="R906" i="4"/>
  <c r="P906" i="4"/>
  <c r="O906" i="4"/>
  <c r="N906" i="4"/>
  <c r="U905" i="4"/>
  <c r="T905" i="4"/>
  <c r="S905" i="4"/>
  <c r="R905" i="4"/>
  <c r="P905" i="4"/>
  <c r="O905" i="4"/>
  <c r="N905" i="4"/>
  <c r="U904" i="4"/>
  <c r="T904" i="4"/>
  <c r="S904" i="4"/>
  <c r="R904" i="4"/>
  <c r="P904" i="4"/>
  <c r="O904" i="4"/>
  <c r="N904" i="4"/>
  <c r="U903" i="4"/>
  <c r="T903" i="4"/>
  <c r="S903" i="4"/>
  <c r="R903" i="4"/>
  <c r="P903" i="4"/>
  <c r="O903" i="4"/>
  <c r="N903" i="4"/>
  <c r="U902" i="4"/>
  <c r="T902" i="4"/>
  <c r="S902" i="4"/>
  <c r="R902" i="4"/>
  <c r="P902" i="4"/>
  <c r="O902" i="4"/>
  <c r="N902" i="4"/>
  <c r="U901" i="4"/>
  <c r="T901" i="4"/>
  <c r="S901" i="4"/>
  <c r="R901" i="4"/>
  <c r="P901" i="4"/>
  <c r="O901" i="4"/>
  <c r="N901" i="4"/>
  <c r="U900" i="4"/>
  <c r="T900" i="4"/>
  <c r="S900" i="4"/>
  <c r="R900" i="4"/>
  <c r="P900" i="4"/>
  <c r="O900" i="4"/>
  <c r="N900" i="4"/>
  <c r="U899" i="4"/>
  <c r="T899" i="4"/>
  <c r="S899" i="4"/>
  <c r="R899" i="4"/>
  <c r="P899" i="4"/>
  <c r="O899" i="4"/>
  <c r="N899" i="4"/>
  <c r="U898" i="4"/>
  <c r="T898" i="4"/>
  <c r="S898" i="4"/>
  <c r="R898" i="4"/>
  <c r="P898" i="4"/>
  <c r="O898" i="4"/>
  <c r="N898" i="4"/>
  <c r="U897" i="4"/>
  <c r="T897" i="4"/>
  <c r="S897" i="4"/>
  <c r="R897" i="4"/>
  <c r="P897" i="4"/>
  <c r="O897" i="4"/>
  <c r="N897" i="4"/>
  <c r="U896" i="4"/>
  <c r="T896" i="4"/>
  <c r="S896" i="4"/>
  <c r="R896" i="4"/>
  <c r="P896" i="4"/>
  <c r="O896" i="4"/>
  <c r="N896" i="4"/>
  <c r="U895" i="4"/>
  <c r="T895" i="4"/>
  <c r="S895" i="4"/>
  <c r="R895" i="4"/>
  <c r="P895" i="4"/>
  <c r="O895" i="4"/>
  <c r="N895" i="4"/>
  <c r="U894" i="4"/>
  <c r="T894" i="4"/>
  <c r="S894" i="4"/>
  <c r="R894" i="4"/>
  <c r="P894" i="4"/>
  <c r="O894" i="4"/>
  <c r="N894" i="4"/>
  <c r="U893" i="4"/>
  <c r="T893" i="4"/>
  <c r="S893" i="4"/>
  <c r="R893" i="4"/>
  <c r="P893" i="4"/>
  <c r="O893" i="4"/>
  <c r="N893" i="4"/>
  <c r="U892" i="4"/>
  <c r="T892" i="4"/>
  <c r="S892" i="4"/>
  <c r="R892" i="4"/>
  <c r="P892" i="4"/>
  <c r="O892" i="4"/>
  <c r="N892" i="4"/>
  <c r="U891" i="4"/>
  <c r="T891" i="4"/>
  <c r="S891" i="4"/>
  <c r="R891" i="4"/>
  <c r="P891" i="4"/>
  <c r="O891" i="4"/>
  <c r="N891" i="4"/>
  <c r="U890" i="4"/>
  <c r="T890" i="4"/>
  <c r="S890" i="4"/>
  <c r="R890" i="4"/>
  <c r="P890" i="4"/>
  <c r="O890" i="4"/>
  <c r="N890" i="4"/>
  <c r="U889" i="4"/>
  <c r="T889" i="4"/>
  <c r="S889" i="4"/>
  <c r="R889" i="4"/>
  <c r="P889" i="4"/>
  <c r="O889" i="4"/>
  <c r="N889" i="4"/>
  <c r="U888" i="4"/>
  <c r="T888" i="4"/>
  <c r="S888" i="4"/>
  <c r="R888" i="4"/>
  <c r="P888" i="4"/>
  <c r="O888" i="4"/>
  <c r="N888" i="4"/>
  <c r="U887" i="4"/>
  <c r="T887" i="4"/>
  <c r="S887" i="4"/>
  <c r="R887" i="4"/>
  <c r="P887" i="4"/>
  <c r="O887" i="4"/>
  <c r="N887" i="4"/>
  <c r="U886" i="4"/>
  <c r="T886" i="4"/>
  <c r="S886" i="4"/>
  <c r="R886" i="4"/>
  <c r="P886" i="4"/>
  <c r="O886" i="4"/>
  <c r="N886" i="4"/>
  <c r="U885" i="4"/>
  <c r="T885" i="4"/>
  <c r="S885" i="4"/>
  <c r="R885" i="4"/>
  <c r="P885" i="4"/>
  <c r="O885" i="4"/>
  <c r="N885" i="4"/>
  <c r="U884" i="4"/>
  <c r="T884" i="4"/>
  <c r="S884" i="4"/>
  <c r="R884" i="4"/>
  <c r="P884" i="4"/>
  <c r="O884" i="4"/>
  <c r="N884" i="4"/>
  <c r="U883" i="4"/>
  <c r="T883" i="4"/>
  <c r="S883" i="4"/>
  <c r="R883" i="4"/>
  <c r="P883" i="4"/>
  <c r="O883" i="4"/>
  <c r="N883" i="4"/>
  <c r="U882" i="4"/>
  <c r="T882" i="4"/>
  <c r="S882" i="4"/>
  <c r="R882" i="4"/>
  <c r="P882" i="4"/>
  <c r="O882" i="4"/>
  <c r="N882" i="4"/>
  <c r="U881" i="4"/>
  <c r="T881" i="4"/>
  <c r="S881" i="4"/>
  <c r="R881" i="4"/>
  <c r="P881" i="4"/>
  <c r="O881" i="4"/>
  <c r="N881" i="4"/>
  <c r="U880" i="4"/>
  <c r="T880" i="4"/>
  <c r="S880" i="4"/>
  <c r="R880" i="4"/>
  <c r="P880" i="4"/>
  <c r="O880" i="4"/>
  <c r="N880" i="4"/>
  <c r="U879" i="4"/>
  <c r="T879" i="4"/>
  <c r="S879" i="4"/>
  <c r="R879" i="4"/>
  <c r="P879" i="4"/>
  <c r="O879" i="4"/>
  <c r="N879" i="4"/>
  <c r="U878" i="4"/>
  <c r="T878" i="4"/>
  <c r="S878" i="4"/>
  <c r="R878" i="4"/>
  <c r="P878" i="4"/>
  <c r="O878" i="4"/>
  <c r="N878" i="4"/>
  <c r="U877" i="4"/>
  <c r="T877" i="4"/>
  <c r="S877" i="4"/>
  <c r="R877" i="4"/>
  <c r="P877" i="4"/>
  <c r="O877" i="4"/>
  <c r="N877" i="4"/>
  <c r="U876" i="4"/>
  <c r="T876" i="4"/>
  <c r="S876" i="4"/>
  <c r="R876" i="4"/>
  <c r="P876" i="4"/>
  <c r="O876" i="4"/>
  <c r="N876" i="4"/>
  <c r="U875" i="4"/>
  <c r="T875" i="4"/>
  <c r="S875" i="4"/>
  <c r="R875" i="4"/>
  <c r="P875" i="4"/>
  <c r="O875" i="4"/>
  <c r="N875" i="4"/>
  <c r="U874" i="4"/>
  <c r="T874" i="4"/>
  <c r="S874" i="4"/>
  <c r="R874" i="4"/>
  <c r="P874" i="4"/>
  <c r="O874" i="4"/>
  <c r="N874" i="4"/>
  <c r="U873" i="4"/>
  <c r="T873" i="4"/>
  <c r="S873" i="4"/>
  <c r="R873" i="4"/>
  <c r="P873" i="4"/>
  <c r="O873" i="4"/>
  <c r="N873" i="4"/>
  <c r="U872" i="4"/>
  <c r="T872" i="4"/>
  <c r="S872" i="4"/>
  <c r="R872" i="4"/>
  <c r="P872" i="4"/>
  <c r="O872" i="4"/>
  <c r="N872" i="4"/>
  <c r="U871" i="4"/>
  <c r="T871" i="4"/>
  <c r="S871" i="4"/>
  <c r="R871" i="4"/>
  <c r="P871" i="4"/>
  <c r="O871" i="4"/>
  <c r="N871" i="4"/>
  <c r="U870" i="4"/>
  <c r="T870" i="4"/>
  <c r="S870" i="4"/>
  <c r="R870" i="4"/>
  <c r="P870" i="4"/>
  <c r="O870" i="4"/>
  <c r="N870" i="4"/>
  <c r="U869" i="4"/>
  <c r="T869" i="4"/>
  <c r="S869" i="4"/>
  <c r="R869" i="4"/>
  <c r="P869" i="4"/>
  <c r="O869" i="4"/>
  <c r="N869" i="4"/>
  <c r="U868" i="4"/>
  <c r="T868" i="4"/>
  <c r="S868" i="4"/>
  <c r="R868" i="4"/>
  <c r="P868" i="4"/>
  <c r="O868" i="4"/>
  <c r="N868" i="4"/>
  <c r="U867" i="4"/>
  <c r="T867" i="4"/>
  <c r="S867" i="4"/>
  <c r="R867" i="4"/>
  <c r="P867" i="4"/>
  <c r="O867" i="4"/>
  <c r="N867" i="4"/>
  <c r="U866" i="4"/>
  <c r="T866" i="4"/>
  <c r="S866" i="4"/>
  <c r="R866" i="4"/>
  <c r="P866" i="4"/>
  <c r="O866" i="4"/>
  <c r="N866" i="4"/>
  <c r="U865" i="4"/>
  <c r="T865" i="4"/>
  <c r="S865" i="4"/>
  <c r="R865" i="4"/>
  <c r="P865" i="4"/>
  <c r="O865" i="4"/>
  <c r="N865" i="4"/>
  <c r="U864" i="4"/>
  <c r="T864" i="4"/>
  <c r="S864" i="4"/>
  <c r="R864" i="4"/>
  <c r="P864" i="4"/>
  <c r="O864" i="4"/>
  <c r="N864" i="4"/>
  <c r="U863" i="4"/>
  <c r="T863" i="4"/>
  <c r="S863" i="4"/>
  <c r="R863" i="4"/>
  <c r="P863" i="4"/>
  <c r="O863" i="4"/>
  <c r="N863" i="4"/>
  <c r="U862" i="4"/>
  <c r="T862" i="4"/>
  <c r="S862" i="4"/>
  <c r="R862" i="4"/>
  <c r="P862" i="4"/>
  <c r="O862" i="4"/>
  <c r="N862" i="4"/>
  <c r="U861" i="4"/>
  <c r="T861" i="4"/>
  <c r="S861" i="4"/>
  <c r="R861" i="4"/>
  <c r="P861" i="4"/>
  <c r="O861" i="4"/>
  <c r="N861" i="4"/>
  <c r="U860" i="4"/>
  <c r="T860" i="4"/>
  <c r="S860" i="4"/>
  <c r="R860" i="4"/>
  <c r="P860" i="4"/>
  <c r="O860" i="4"/>
  <c r="N860" i="4"/>
  <c r="U859" i="4"/>
  <c r="T859" i="4"/>
  <c r="S859" i="4"/>
  <c r="R859" i="4"/>
  <c r="P859" i="4"/>
  <c r="O859" i="4"/>
  <c r="N859" i="4"/>
  <c r="U858" i="4"/>
  <c r="T858" i="4"/>
  <c r="S858" i="4"/>
  <c r="R858" i="4"/>
  <c r="P858" i="4"/>
  <c r="O858" i="4"/>
  <c r="N858" i="4"/>
  <c r="U857" i="4"/>
  <c r="T857" i="4"/>
  <c r="S857" i="4"/>
  <c r="R857" i="4"/>
  <c r="P857" i="4"/>
  <c r="O857" i="4"/>
  <c r="N857" i="4"/>
  <c r="U856" i="4"/>
  <c r="T856" i="4"/>
  <c r="S856" i="4"/>
  <c r="R856" i="4"/>
  <c r="P856" i="4"/>
  <c r="O856" i="4"/>
  <c r="N856" i="4"/>
  <c r="U855" i="4"/>
  <c r="T855" i="4"/>
  <c r="S855" i="4"/>
  <c r="R855" i="4"/>
  <c r="P855" i="4"/>
  <c r="O855" i="4"/>
  <c r="N855" i="4"/>
  <c r="U854" i="4"/>
  <c r="T854" i="4"/>
  <c r="S854" i="4"/>
  <c r="R854" i="4"/>
  <c r="P854" i="4"/>
  <c r="O854" i="4"/>
  <c r="N854" i="4"/>
  <c r="U853" i="4"/>
  <c r="T853" i="4"/>
  <c r="S853" i="4"/>
  <c r="R853" i="4"/>
  <c r="P853" i="4"/>
  <c r="O853" i="4"/>
  <c r="N853" i="4"/>
  <c r="U852" i="4"/>
  <c r="T852" i="4"/>
  <c r="S852" i="4"/>
  <c r="R852" i="4"/>
  <c r="P852" i="4"/>
  <c r="O852" i="4"/>
  <c r="N852" i="4"/>
  <c r="U851" i="4"/>
  <c r="T851" i="4"/>
  <c r="S851" i="4"/>
  <c r="R851" i="4"/>
  <c r="P851" i="4"/>
  <c r="O851" i="4"/>
  <c r="N851" i="4"/>
  <c r="U850" i="4"/>
  <c r="T850" i="4"/>
  <c r="S850" i="4"/>
  <c r="R850" i="4"/>
  <c r="P850" i="4"/>
  <c r="O850" i="4"/>
  <c r="N850" i="4"/>
  <c r="U849" i="4"/>
  <c r="T849" i="4"/>
  <c r="S849" i="4"/>
  <c r="R849" i="4"/>
  <c r="P849" i="4"/>
  <c r="O849" i="4"/>
  <c r="N849" i="4"/>
  <c r="U848" i="4"/>
  <c r="T848" i="4"/>
  <c r="S848" i="4"/>
  <c r="R848" i="4"/>
  <c r="P848" i="4"/>
  <c r="O848" i="4"/>
  <c r="N848" i="4"/>
  <c r="U847" i="4"/>
  <c r="T847" i="4"/>
  <c r="S847" i="4"/>
  <c r="R847" i="4"/>
  <c r="P847" i="4"/>
  <c r="O847" i="4"/>
  <c r="N847" i="4"/>
  <c r="U846" i="4"/>
  <c r="T846" i="4"/>
  <c r="S846" i="4"/>
  <c r="R846" i="4"/>
  <c r="P846" i="4"/>
  <c r="O846" i="4"/>
  <c r="N846" i="4"/>
  <c r="U845" i="4"/>
  <c r="T845" i="4"/>
  <c r="S845" i="4"/>
  <c r="R845" i="4"/>
  <c r="P845" i="4"/>
  <c r="O845" i="4"/>
  <c r="N845" i="4"/>
  <c r="U844" i="4"/>
  <c r="T844" i="4"/>
  <c r="S844" i="4"/>
  <c r="R844" i="4"/>
  <c r="P844" i="4"/>
  <c r="O844" i="4"/>
  <c r="N844" i="4"/>
  <c r="U843" i="4"/>
  <c r="T843" i="4"/>
  <c r="S843" i="4"/>
  <c r="R843" i="4"/>
  <c r="P843" i="4"/>
  <c r="O843" i="4"/>
  <c r="N843" i="4"/>
  <c r="U842" i="4"/>
  <c r="T842" i="4"/>
  <c r="S842" i="4"/>
  <c r="R842" i="4"/>
  <c r="P842" i="4"/>
  <c r="O842" i="4"/>
  <c r="N842" i="4"/>
  <c r="U841" i="4"/>
  <c r="T841" i="4"/>
  <c r="S841" i="4"/>
  <c r="R841" i="4"/>
  <c r="P841" i="4"/>
  <c r="O841" i="4"/>
  <c r="N841" i="4"/>
  <c r="U840" i="4"/>
  <c r="T840" i="4"/>
  <c r="S840" i="4"/>
  <c r="R840" i="4"/>
  <c r="P840" i="4"/>
  <c r="O840" i="4"/>
  <c r="N840" i="4"/>
  <c r="U839" i="4"/>
  <c r="T839" i="4"/>
  <c r="S839" i="4"/>
  <c r="R839" i="4"/>
  <c r="P839" i="4"/>
  <c r="O839" i="4"/>
  <c r="N839" i="4"/>
  <c r="U838" i="4"/>
  <c r="T838" i="4"/>
  <c r="S838" i="4"/>
  <c r="R838" i="4"/>
  <c r="P838" i="4"/>
  <c r="O838" i="4"/>
  <c r="N838" i="4"/>
  <c r="U837" i="4"/>
  <c r="T837" i="4"/>
  <c r="S837" i="4"/>
  <c r="R837" i="4"/>
  <c r="P837" i="4"/>
  <c r="O837" i="4"/>
  <c r="N837" i="4"/>
  <c r="U836" i="4"/>
  <c r="T836" i="4"/>
  <c r="S836" i="4"/>
  <c r="R836" i="4"/>
  <c r="P836" i="4"/>
  <c r="O836" i="4"/>
  <c r="N836" i="4"/>
  <c r="U835" i="4"/>
  <c r="T835" i="4"/>
  <c r="S835" i="4"/>
  <c r="R835" i="4"/>
  <c r="P835" i="4"/>
  <c r="O835" i="4"/>
  <c r="N835" i="4"/>
  <c r="U834" i="4"/>
  <c r="T834" i="4"/>
  <c r="S834" i="4"/>
  <c r="R834" i="4"/>
  <c r="P834" i="4"/>
  <c r="O834" i="4"/>
  <c r="N834" i="4"/>
  <c r="U833" i="4"/>
  <c r="T833" i="4"/>
  <c r="S833" i="4"/>
  <c r="R833" i="4"/>
  <c r="P833" i="4"/>
  <c r="O833" i="4"/>
  <c r="N833" i="4"/>
  <c r="U832" i="4"/>
  <c r="T832" i="4"/>
  <c r="S832" i="4"/>
  <c r="R832" i="4"/>
  <c r="P832" i="4"/>
  <c r="O832" i="4"/>
  <c r="N832" i="4"/>
  <c r="U831" i="4"/>
  <c r="T831" i="4"/>
  <c r="S831" i="4"/>
  <c r="R831" i="4"/>
  <c r="P831" i="4"/>
  <c r="O831" i="4"/>
  <c r="N831" i="4"/>
  <c r="U830" i="4"/>
  <c r="T830" i="4"/>
  <c r="S830" i="4"/>
  <c r="R830" i="4"/>
  <c r="P830" i="4"/>
  <c r="O830" i="4"/>
  <c r="N830" i="4"/>
  <c r="U829" i="4"/>
  <c r="T829" i="4"/>
  <c r="S829" i="4"/>
  <c r="R829" i="4"/>
  <c r="P829" i="4"/>
  <c r="O829" i="4"/>
  <c r="N829" i="4"/>
  <c r="U828" i="4"/>
  <c r="T828" i="4"/>
  <c r="S828" i="4"/>
  <c r="R828" i="4"/>
  <c r="P828" i="4"/>
  <c r="O828" i="4"/>
  <c r="N828" i="4"/>
  <c r="U827" i="4"/>
  <c r="T827" i="4"/>
  <c r="S827" i="4"/>
  <c r="R827" i="4"/>
  <c r="P827" i="4"/>
  <c r="O827" i="4"/>
  <c r="N827" i="4"/>
  <c r="U826" i="4"/>
  <c r="T826" i="4"/>
  <c r="S826" i="4"/>
  <c r="R826" i="4"/>
  <c r="P826" i="4"/>
  <c r="O826" i="4"/>
  <c r="N826" i="4"/>
  <c r="U825" i="4"/>
  <c r="T825" i="4"/>
  <c r="S825" i="4"/>
  <c r="R825" i="4"/>
  <c r="P825" i="4"/>
  <c r="O825" i="4"/>
  <c r="N825" i="4"/>
  <c r="U824" i="4"/>
  <c r="T824" i="4"/>
  <c r="S824" i="4"/>
  <c r="R824" i="4"/>
  <c r="P824" i="4"/>
  <c r="O824" i="4"/>
  <c r="N824" i="4"/>
  <c r="U823" i="4"/>
  <c r="T823" i="4"/>
  <c r="S823" i="4"/>
  <c r="R823" i="4"/>
  <c r="P823" i="4"/>
  <c r="O823" i="4"/>
  <c r="N823" i="4"/>
  <c r="U822" i="4"/>
  <c r="T822" i="4"/>
  <c r="S822" i="4"/>
  <c r="R822" i="4"/>
  <c r="P822" i="4"/>
  <c r="O822" i="4"/>
  <c r="N822" i="4"/>
  <c r="U821" i="4"/>
  <c r="T821" i="4"/>
  <c r="S821" i="4"/>
  <c r="R821" i="4"/>
  <c r="P821" i="4"/>
  <c r="O821" i="4"/>
  <c r="N821" i="4"/>
  <c r="U820" i="4"/>
  <c r="T820" i="4"/>
  <c r="S820" i="4"/>
  <c r="R820" i="4"/>
  <c r="P820" i="4"/>
  <c r="O820" i="4"/>
  <c r="N820" i="4"/>
  <c r="U819" i="4"/>
  <c r="T819" i="4"/>
  <c r="S819" i="4"/>
  <c r="R819" i="4"/>
  <c r="P819" i="4"/>
  <c r="O819" i="4"/>
  <c r="N819" i="4"/>
  <c r="U818" i="4"/>
  <c r="T818" i="4"/>
  <c r="S818" i="4"/>
  <c r="R818" i="4"/>
  <c r="P818" i="4"/>
  <c r="O818" i="4"/>
  <c r="N818" i="4"/>
  <c r="U817" i="4"/>
  <c r="T817" i="4"/>
  <c r="S817" i="4"/>
  <c r="R817" i="4"/>
  <c r="P817" i="4"/>
  <c r="O817" i="4"/>
  <c r="N817" i="4"/>
  <c r="U816" i="4"/>
  <c r="T816" i="4"/>
  <c r="S816" i="4"/>
  <c r="R816" i="4"/>
  <c r="P816" i="4"/>
  <c r="O816" i="4"/>
  <c r="N816" i="4"/>
  <c r="U815" i="4"/>
  <c r="T815" i="4"/>
  <c r="S815" i="4"/>
  <c r="R815" i="4"/>
  <c r="P815" i="4"/>
  <c r="O815" i="4"/>
  <c r="N815" i="4"/>
  <c r="U814" i="4"/>
  <c r="T814" i="4"/>
  <c r="S814" i="4"/>
  <c r="R814" i="4"/>
  <c r="P814" i="4"/>
  <c r="O814" i="4"/>
  <c r="N814" i="4"/>
  <c r="U813" i="4"/>
  <c r="T813" i="4"/>
  <c r="S813" i="4"/>
  <c r="R813" i="4"/>
  <c r="P813" i="4"/>
  <c r="O813" i="4"/>
  <c r="N813" i="4"/>
  <c r="U812" i="4"/>
  <c r="T812" i="4"/>
  <c r="S812" i="4"/>
  <c r="R812" i="4"/>
  <c r="P812" i="4"/>
  <c r="O812" i="4"/>
  <c r="N812" i="4"/>
  <c r="U811" i="4"/>
  <c r="T811" i="4"/>
  <c r="S811" i="4"/>
  <c r="R811" i="4"/>
  <c r="P811" i="4"/>
  <c r="O811" i="4"/>
  <c r="N811" i="4"/>
  <c r="U810" i="4"/>
  <c r="T810" i="4"/>
  <c r="S810" i="4"/>
  <c r="R810" i="4"/>
  <c r="P810" i="4"/>
  <c r="O810" i="4"/>
  <c r="N810" i="4"/>
  <c r="U809" i="4"/>
  <c r="T809" i="4"/>
  <c r="S809" i="4"/>
  <c r="R809" i="4"/>
  <c r="P809" i="4"/>
  <c r="O809" i="4"/>
  <c r="N809" i="4"/>
  <c r="U808" i="4"/>
  <c r="T808" i="4"/>
  <c r="S808" i="4"/>
  <c r="R808" i="4"/>
  <c r="P808" i="4"/>
  <c r="O808" i="4"/>
  <c r="N808" i="4"/>
  <c r="U807" i="4"/>
  <c r="T807" i="4"/>
  <c r="S807" i="4"/>
  <c r="R807" i="4"/>
  <c r="P807" i="4"/>
  <c r="O807" i="4"/>
  <c r="N807" i="4"/>
  <c r="U806" i="4"/>
  <c r="T806" i="4"/>
  <c r="S806" i="4"/>
  <c r="R806" i="4"/>
  <c r="P806" i="4"/>
  <c r="O806" i="4"/>
  <c r="N806" i="4"/>
  <c r="U805" i="4"/>
  <c r="T805" i="4"/>
  <c r="S805" i="4"/>
  <c r="R805" i="4"/>
  <c r="P805" i="4"/>
  <c r="O805" i="4"/>
  <c r="N805" i="4"/>
  <c r="U804" i="4"/>
  <c r="T804" i="4"/>
  <c r="S804" i="4"/>
  <c r="R804" i="4"/>
  <c r="P804" i="4"/>
  <c r="O804" i="4"/>
  <c r="N804" i="4"/>
  <c r="U803" i="4"/>
  <c r="T803" i="4"/>
  <c r="S803" i="4"/>
  <c r="R803" i="4"/>
  <c r="P803" i="4"/>
  <c r="O803" i="4"/>
  <c r="N803" i="4"/>
  <c r="U802" i="4"/>
  <c r="T802" i="4"/>
  <c r="S802" i="4"/>
  <c r="R802" i="4"/>
  <c r="P802" i="4"/>
  <c r="O802" i="4"/>
  <c r="N802" i="4"/>
  <c r="U801" i="4"/>
  <c r="T801" i="4"/>
  <c r="S801" i="4"/>
  <c r="R801" i="4"/>
  <c r="P801" i="4"/>
  <c r="O801" i="4"/>
  <c r="N801" i="4"/>
  <c r="U800" i="4"/>
  <c r="T800" i="4"/>
  <c r="S800" i="4"/>
  <c r="R800" i="4"/>
  <c r="P800" i="4"/>
  <c r="O800" i="4"/>
  <c r="N800" i="4"/>
  <c r="U799" i="4"/>
  <c r="T799" i="4"/>
  <c r="S799" i="4"/>
  <c r="R799" i="4"/>
  <c r="P799" i="4"/>
  <c r="O799" i="4"/>
  <c r="N799" i="4"/>
  <c r="U798" i="4"/>
  <c r="T798" i="4"/>
  <c r="S798" i="4"/>
  <c r="R798" i="4"/>
  <c r="P798" i="4"/>
  <c r="O798" i="4"/>
  <c r="N798" i="4"/>
  <c r="U797" i="4"/>
  <c r="T797" i="4"/>
  <c r="S797" i="4"/>
  <c r="R797" i="4"/>
  <c r="P797" i="4"/>
  <c r="O797" i="4"/>
  <c r="N797" i="4"/>
  <c r="U796" i="4"/>
  <c r="T796" i="4"/>
  <c r="S796" i="4"/>
  <c r="R796" i="4"/>
  <c r="P796" i="4"/>
  <c r="O796" i="4"/>
  <c r="N796" i="4"/>
  <c r="U795" i="4"/>
  <c r="T795" i="4"/>
  <c r="S795" i="4"/>
  <c r="R795" i="4"/>
  <c r="P795" i="4"/>
  <c r="O795" i="4"/>
  <c r="N795" i="4"/>
  <c r="U794" i="4"/>
  <c r="T794" i="4"/>
  <c r="S794" i="4"/>
  <c r="R794" i="4"/>
  <c r="P794" i="4"/>
  <c r="O794" i="4"/>
  <c r="N794" i="4"/>
  <c r="U793" i="4"/>
  <c r="T793" i="4"/>
  <c r="S793" i="4"/>
  <c r="R793" i="4"/>
  <c r="P793" i="4"/>
  <c r="O793" i="4"/>
  <c r="N793" i="4"/>
  <c r="U792" i="4"/>
  <c r="T792" i="4"/>
  <c r="S792" i="4"/>
  <c r="R792" i="4"/>
  <c r="P792" i="4"/>
  <c r="O792" i="4"/>
  <c r="N792" i="4"/>
  <c r="U791" i="4"/>
  <c r="T791" i="4"/>
  <c r="S791" i="4"/>
  <c r="R791" i="4"/>
  <c r="P791" i="4"/>
  <c r="O791" i="4"/>
  <c r="N791" i="4"/>
  <c r="U790" i="4"/>
  <c r="T790" i="4"/>
  <c r="S790" i="4"/>
  <c r="R790" i="4"/>
  <c r="P790" i="4"/>
  <c r="O790" i="4"/>
  <c r="N790" i="4"/>
  <c r="U789" i="4"/>
  <c r="T789" i="4"/>
  <c r="S789" i="4"/>
  <c r="R789" i="4"/>
  <c r="P789" i="4"/>
  <c r="O789" i="4"/>
  <c r="N789" i="4"/>
  <c r="U788" i="4"/>
  <c r="T788" i="4"/>
  <c r="S788" i="4"/>
  <c r="R788" i="4"/>
  <c r="P788" i="4"/>
  <c r="O788" i="4"/>
  <c r="N788" i="4"/>
  <c r="U787" i="4"/>
  <c r="T787" i="4"/>
  <c r="S787" i="4"/>
  <c r="R787" i="4"/>
  <c r="P787" i="4"/>
  <c r="O787" i="4"/>
  <c r="N787" i="4"/>
  <c r="U786" i="4"/>
  <c r="T786" i="4"/>
  <c r="S786" i="4"/>
  <c r="R786" i="4"/>
  <c r="P786" i="4"/>
  <c r="O786" i="4"/>
  <c r="N786" i="4"/>
  <c r="U785" i="4"/>
  <c r="T785" i="4"/>
  <c r="S785" i="4"/>
  <c r="R785" i="4"/>
  <c r="P785" i="4"/>
  <c r="O785" i="4"/>
  <c r="N785" i="4"/>
  <c r="U784" i="4"/>
  <c r="T784" i="4"/>
  <c r="S784" i="4"/>
  <c r="R784" i="4"/>
  <c r="P784" i="4"/>
  <c r="O784" i="4"/>
  <c r="N784" i="4"/>
  <c r="U783" i="4"/>
  <c r="T783" i="4"/>
  <c r="S783" i="4"/>
  <c r="R783" i="4"/>
  <c r="P783" i="4"/>
  <c r="O783" i="4"/>
  <c r="N783" i="4"/>
  <c r="U782" i="4"/>
  <c r="T782" i="4"/>
  <c r="S782" i="4"/>
  <c r="R782" i="4"/>
  <c r="P782" i="4"/>
  <c r="O782" i="4"/>
  <c r="N782" i="4"/>
  <c r="U781" i="4"/>
  <c r="T781" i="4"/>
  <c r="S781" i="4"/>
  <c r="R781" i="4"/>
  <c r="P781" i="4"/>
  <c r="O781" i="4"/>
  <c r="N781" i="4"/>
  <c r="U780" i="4"/>
  <c r="T780" i="4"/>
  <c r="S780" i="4"/>
  <c r="R780" i="4"/>
  <c r="P780" i="4"/>
  <c r="O780" i="4"/>
  <c r="N780" i="4"/>
  <c r="U779" i="4"/>
  <c r="T779" i="4"/>
  <c r="S779" i="4"/>
  <c r="R779" i="4"/>
  <c r="P779" i="4"/>
  <c r="O779" i="4"/>
  <c r="N779" i="4"/>
  <c r="U778" i="4"/>
  <c r="T778" i="4"/>
  <c r="S778" i="4"/>
  <c r="R778" i="4"/>
  <c r="P778" i="4"/>
  <c r="O778" i="4"/>
  <c r="N778" i="4"/>
  <c r="U777" i="4"/>
  <c r="T777" i="4"/>
  <c r="S777" i="4"/>
  <c r="R777" i="4"/>
  <c r="P777" i="4"/>
  <c r="O777" i="4"/>
  <c r="N777" i="4"/>
  <c r="U776" i="4"/>
  <c r="T776" i="4"/>
  <c r="S776" i="4"/>
  <c r="R776" i="4"/>
  <c r="P776" i="4"/>
  <c r="O776" i="4"/>
  <c r="N776" i="4"/>
  <c r="U775" i="4"/>
  <c r="T775" i="4"/>
  <c r="S775" i="4"/>
  <c r="R775" i="4"/>
  <c r="P775" i="4"/>
  <c r="O775" i="4"/>
  <c r="N775" i="4"/>
  <c r="U774" i="4"/>
  <c r="T774" i="4"/>
  <c r="S774" i="4"/>
  <c r="R774" i="4"/>
  <c r="P774" i="4"/>
  <c r="O774" i="4"/>
  <c r="N774" i="4"/>
  <c r="U773" i="4"/>
  <c r="T773" i="4"/>
  <c r="S773" i="4"/>
  <c r="R773" i="4"/>
  <c r="P773" i="4"/>
  <c r="O773" i="4"/>
  <c r="N773" i="4"/>
  <c r="U772" i="4"/>
  <c r="T772" i="4"/>
  <c r="S772" i="4"/>
  <c r="R772" i="4"/>
  <c r="P772" i="4"/>
  <c r="O772" i="4"/>
  <c r="N772" i="4"/>
  <c r="U771" i="4"/>
  <c r="T771" i="4"/>
  <c r="S771" i="4"/>
  <c r="R771" i="4"/>
  <c r="P771" i="4"/>
  <c r="O771" i="4"/>
  <c r="N771" i="4"/>
  <c r="U770" i="4"/>
  <c r="T770" i="4"/>
  <c r="S770" i="4"/>
  <c r="R770" i="4"/>
  <c r="P770" i="4"/>
  <c r="O770" i="4"/>
  <c r="N770" i="4"/>
  <c r="U769" i="4"/>
  <c r="T769" i="4"/>
  <c r="S769" i="4"/>
  <c r="R769" i="4"/>
  <c r="P769" i="4"/>
  <c r="O769" i="4"/>
  <c r="N769" i="4"/>
  <c r="U768" i="4"/>
  <c r="T768" i="4"/>
  <c r="S768" i="4"/>
  <c r="R768" i="4"/>
  <c r="P768" i="4"/>
  <c r="O768" i="4"/>
  <c r="N768" i="4"/>
  <c r="U767" i="4"/>
  <c r="T767" i="4"/>
  <c r="S767" i="4"/>
  <c r="R767" i="4"/>
  <c r="P767" i="4"/>
  <c r="O767" i="4"/>
  <c r="N767" i="4"/>
  <c r="U766" i="4"/>
  <c r="T766" i="4"/>
  <c r="S766" i="4"/>
  <c r="R766" i="4"/>
  <c r="P766" i="4"/>
  <c r="O766" i="4"/>
  <c r="N766" i="4"/>
  <c r="U765" i="4"/>
  <c r="T765" i="4"/>
  <c r="S765" i="4"/>
  <c r="R765" i="4"/>
  <c r="P765" i="4"/>
  <c r="O765" i="4"/>
  <c r="N765" i="4"/>
  <c r="U764" i="4"/>
  <c r="T764" i="4"/>
  <c r="S764" i="4"/>
  <c r="R764" i="4"/>
  <c r="P764" i="4"/>
  <c r="O764" i="4"/>
  <c r="N764" i="4"/>
  <c r="U763" i="4"/>
  <c r="T763" i="4"/>
  <c r="S763" i="4"/>
  <c r="R763" i="4"/>
  <c r="P763" i="4"/>
  <c r="O763" i="4"/>
  <c r="N763" i="4"/>
  <c r="U762" i="4"/>
  <c r="T762" i="4"/>
  <c r="S762" i="4"/>
  <c r="R762" i="4"/>
  <c r="P762" i="4"/>
  <c r="O762" i="4"/>
  <c r="N762" i="4"/>
  <c r="U761" i="4"/>
  <c r="T761" i="4"/>
  <c r="S761" i="4"/>
  <c r="R761" i="4"/>
  <c r="P761" i="4"/>
  <c r="O761" i="4"/>
  <c r="N761" i="4"/>
  <c r="U760" i="4"/>
  <c r="T760" i="4"/>
  <c r="S760" i="4"/>
  <c r="R760" i="4"/>
  <c r="P760" i="4"/>
  <c r="O760" i="4"/>
  <c r="N760" i="4"/>
  <c r="U759" i="4"/>
  <c r="T759" i="4"/>
  <c r="S759" i="4"/>
  <c r="R759" i="4"/>
  <c r="P759" i="4"/>
  <c r="O759" i="4"/>
  <c r="N759" i="4"/>
  <c r="U758" i="4"/>
  <c r="T758" i="4"/>
  <c r="S758" i="4"/>
  <c r="R758" i="4"/>
  <c r="P758" i="4"/>
  <c r="O758" i="4"/>
  <c r="N758" i="4"/>
  <c r="U757" i="4"/>
  <c r="T757" i="4"/>
  <c r="S757" i="4"/>
  <c r="R757" i="4"/>
  <c r="P757" i="4"/>
  <c r="O757" i="4"/>
  <c r="N757" i="4"/>
  <c r="U756" i="4"/>
  <c r="T756" i="4"/>
  <c r="S756" i="4"/>
  <c r="R756" i="4"/>
  <c r="P756" i="4"/>
  <c r="O756" i="4"/>
  <c r="N756" i="4"/>
  <c r="U755" i="4"/>
  <c r="T755" i="4"/>
  <c r="S755" i="4"/>
  <c r="R755" i="4"/>
  <c r="P755" i="4"/>
  <c r="O755" i="4"/>
  <c r="N755" i="4"/>
  <c r="U754" i="4"/>
  <c r="T754" i="4"/>
  <c r="S754" i="4"/>
  <c r="R754" i="4"/>
  <c r="P754" i="4"/>
  <c r="O754" i="4"/>
  <c r="N754" i="4"/>
  <c r="U753" i="4"/>
  <c r="T753" i="4"/>
  <c r="S753" i="4"/>
  <c r="R753" i="4"/>
  <c r="P753" i="4"/>
  <c r="O753" i="4"/>
  <c r="N753" i="4"/>
  <c r="U752" i="4"/>
  <c r="T752" i="4"/>
  <c r="S752" i="4"/>
  <c r="R752" i="4"/>
  <c r="P752" i="4"/>
  <c r="O752" i="4"/>
  <c r="N752" i="4"/>
  <c r="U751" i="4"/>
  <c r="T751" i="4"/>
  <c r="S751" i="4"/>
  <c r="R751" i="4"/>
  <c r="P751" i="4"/>
  <c r="O751" i="4"/>
  <c r="N751" i="4"/>
  <c r="U750" i="4"/>
  <c r="T750" i="4"/>
  <c r="S750" i="4"/>
  <c r="R750" i="4"/>
  <c r="P750" i="4"/>
  <c r="O750" i="4"/>
  <c r="N750" i="4"/>
  <c r="U749" i="4"/>
  <c r="T749" i="4"/>
  <c r="S749" i="4"/>
  <c r="R749" i="4"/>
  <c r="P749" i="4"/>
  <c r="O749" i="4"/>
  <c r="N749" i="4"/>
  <c r="U748" i="4"/>
  <c r="T748" i="4"/>
  <c r="S748" i="4"/>
  <c r="R748" i="4"/>
  <c r="P748" i="4"/>
  <c r="O748" i="4"/>
  <c r="N748" i="4"/>
  <c r="U747" i="4"/>
  <c r="T747" i="4"/>
  <c r="S747" i="4"/>
  <c r="R747" i="4"/>
  <c r="P747" i="4"/>
  <c r="O747" i="4"/>
  <c r="N747" i="4"/>
  <c r="U746" i="4"/>
  <c r="T746" i="4"/>
  <c r="S746" i="4"/>
  <c r="R746" i="4"/>
  <c r="P746" i="4"/>
  <c r="O746" i="4"/>
  <c r="N746" i="4"/>
  <c r="U745" i="4"/>
  <c r="T745" i="4"/>
  <c r="S745" i="4"/>
  <c r="R745" i="4"/>
  <c r="P745" i="4"/>
  <c r="O745" i="4"/>
  <c r="N745" i="4"/>
  <c r="U744" i="4"/>
  <c r="T744" i="4"/>
  <c r="S744" i="4"/>
  <c r="R744" i="4"/>
  <c r="P744" i="4"/>
  <c r="O744" i="4"/>
  <c r="N744" i="4"/>
  <c r="U743" i="4"/>
  <c r="T743" i="4"/>
  <c r="S743" i="4"/>
  <c r="R743" i="4"/>
  <c r="P743" i="4"/>
  <c r="O743" i="4"/>
  <c r="N743" i="4"/>
  <c r="U742" i="4"/>
  <c r="T742" i="4"/>
  <c r="S742" i="4"/>
  <c r="R742" i="4"/>
  <c r="P742" i="4"/>
  <c r="O742" i="4"/>
  <c r="N742" i="4"/>
  <c r="U741" i="4"/>
  <c r="T741" i="4"/>
  <c r="S741" i="4"/>
  <c r="R741" i="4"/>
  <c r="P741" i="4"/>
  <c r="O741" i="4"/>
  <c r="N741" i="4"/>
  <c r="U740" i="4"/>
  <c r="T740" i="4"/>
  <c r="S740" i="4"/>
  <c r="R740" i="4"/>
  <c r="P740" i="4"/>
  <c r="O740" i="4"/>
  <c r="N740" i="4"/>
  <c r="U739" i="4"/>
  <c r="T739" i="4"/>
  <c r="S739" i="4"/>
  <c r="R739" i="4"/>
  <c r="P739" i="4"/>
  <c r="O739" i="4"/>
  <c r="N739" i="4"/>
  <c r="U738" i="4"/>
  <c r="T738" i="4"/>
  <c r="S738" i="4"/>
  <c r="R738" i="4"/>
  <c r="P738" i="4"/>
  <c r="O738" i="4"/>
  <c r="N738" i="4"/>
  <c r="U737" i="4"/>
  <c r="T737" i="4"/>
  <c r="S737" i="4"/>
  <c r="R737" i="4"/>
  <c r="P737" i="4"/>
  <c r="O737" i="4"/>
  <c r="N737" i="4"/>
  <c r="U736" i="4"/>
  <c r="T736" i="4"/>
  <c r="S736" i="4"/>
  <c r="R736" i="4"/>
  <c r="P736" i="4"/>
  <c r="O736" i="4"/>
  <c r="N736" i="4"/>
  <c r="U735" i="4"/>
  <c r="T735" i="4"/>
  <c r="S735" i="4"/>
  <c r="R735" i="4"/>
  <c r="P735" i="4"/>
  <c r="O735" i="4"/>
  <c r="N735" i="4"/>
  <c r="U734" i="4"/>
  <c r="T734" i="4"/>
  <c r="S734" i="4"/>
  <c r="R734" i="4"/>
  <c r="P734" i="4"/>
  <c r="O734" i="4"/>
  <c r="N734" i="4"/>
  <c r="U733" i="4"/>
  <c r="T733" i="4"/>
  <c r="S733" i="4"/>
  <c r="R733" i="4"/>
  <c r="P733" i="4"/>
  <c r="O733" i="4"/>
  <c r="N733" i="4"/>
  <c r="U732" i="4"/>
  <c r="T732" i="4"/>
  <c r="S732" i="4"/>
  <c r="R732" i="4"/>
  <c r="P732" i="4"/>
  <c r="O732" i="4"/>
  <c r="N732" i="4"/>
  <c r="U731" i="4"/>
  <c r="T731" i="4"/>
  <c r="S731" i="4"/>
  <c r="R731" i="4"/>
  <c r="P731" i="4"/>
  <c r="O731" i="4"/>
  <c r="N731" i="4"/>
  <c r="U730" i="4"/>
  <c r="T730" i="4"/>
  <c r="S730" i="4"/>
  <c r="R730" i="4"/>
  <c r="P730" i="4"/>
  <c r="O730" i="4"/>
  <c r="N730" i="4"/>
  <c r="U729" i="4"/>
  <c r="T729" i="4"/>
  <c r="S729" i="4"/>
  <c r="R729" i="4"/>
  <c r="P729" i="4"/>
  <c r="O729" i="4"/>
  <c r="N729" i="4"/>
  <c r="U728" i="4"/>
  <c r="T728" i="4"/>
  <c r="S728" i="4"/>
  <c r="R728" i="4"/>
  <c r="P728" i="4"/>
  <c r="O728" i="4"/>
  <c r="N728" i="4"/>
  <c r="U727" i="4"/>
  <c r="T727" i="4"/>
  <c r="S727" i="4"/>
  <c r="R727" i="4"/>
  <c r="P727" i="4"/>
  <c r="O727" i="4"/>
  <c r="N727" i="4"/>
  <c r="U726" i="4"/>
  <c r="T726" i="4"/>
  <c r="S726" i="4"/>
  <c r="R726" i="4"/>
  <c r="P726" i="4"/>
  <c r="O726" i="4"/>
  <c r="N726" i="4"/>
  <c r="U725" i="4"/>
  <c r="T725" i="4"/>
  <c r="S725" i="4"/>
  <c r="R725" i="4"/>
  <c r="P725" i="4"/>
  <c r="O725" i="4"/>
  <c r="N725" i="4"/>
  <c r="U724" i="4"/>
  <c r="T724" i="4"/>
  <c r="S724" i="4"/>
  <c r="R724" i="4"/>
  <c r="P724" i="4"/>
  <c r="O724" i="4"/>
  <c r="N724" i="4"/>
  <c r="U723" i="4"/>
  <c r="T723" i="4"/>
  <c r="S723" i="4"/>
  <c r="R723" i="4"/>
  <c r="P723" i="4"/>
  <c r="O723" i="4"/>
  <c r="N723" i="4"/>
  <c r="U722" i="4"/>
  <c r="T722" i="4"/>
  <c r="S722" i="4"/>
  <c r="R722" i="4"/>
  <c r="P722" i="4"/>
  <c r="O722" i="4"/>
  <c r="N722" i="4"/>
  <c r="U721" i="4"/>
  <c r="T721" i="4"/>
  <c r="S721" i="4"/>
  <c r="R721" i="4"/>
  <c r="P721" i="4"/>
  <c r="O721" i="4"/>
  <c r="N721" i="4"/>
  <c r="U720" i="4"/>
  <c r="T720" i="4"/>
  <c r="S720" i="4"/>
  <c r="R720" i="4"/>
  <c r="P720" i="4"/>
  <c r="O720" i="4"/>
  <c r="N720" i="4"/>
  <c r="U719" i="4"/>
  <c r="T719" i="4"/>
  <c r="S719" i="4"/>
  <c r="R719" i="4"/>
  <c r="P719" i="4"/>
  <c r="O719" i="4"/>
  <c r="N719" i="4"/>
  <c r="U718" i="4"/>
  <c r="T718" i="4"/>
  <c r="S718" i="4"/>
  <c r="R718" i="4"/>
  <c r="P718" i="4"/>
  <c r="O718" i="4"/>
  <c r="N718" i="4"/>
  <c r="U717" i="4"/>
  <c r="T717" i="4"/>
  <c r="S717" i="4"/>
  <c r="R717" i="4"/>
  <c r="P717" i="4"/>
  <c r="O717" i="4"/>
  <c r="N717" i="4"/>
  <c r="U716" i="4"/>
  <c r="T716" i="4"/>
  <c r="S716" i="4"/>
  <c r="R716" i="4"/>
  <c r="P716" i="4"/>
  <c r="O716" i="4"/>
  <c r="N716" i="4"/>
  <c r="U715" i="4"/>
  <c r="T715" i="4"/>
  <c r="S715" i="4"/>
  <c r="R715" i="4"/>
  <c r="P715" i="4"/>
  <c r="O715" i="4"/>
  <c r="N715" i="4"/>
  <c r="U714" i="4"/>
  <c r="T714" i="4"/>
  <c r="S714" i="4"/>
  <c r="R714" i="4"/>
  <c r="P714" i="4"/>
  <c r="O714" i="4"/>
  <c r="N714" i="4"/>
  <c r="U713" i="4"/>
  <c r="T713" i="4"/>
  <c r="S713" i="4"/>
  <c r="R713" i="4"/>
  <c r="P713" i="4"/>
  <c r="O713" i="4"/>
  <c r="N713" i="4"/>
  <c r="U712" i="4"/>
  <c r="T712" i="4"/>
  <c r="S712" i="4"/>
  <c r="R712" i="4"/>
  <c r="P712" i="4"/>
  <c r="O712" i="4"/>
  <c r="N712" i="4"/>
  <c r="U711" i="4"/>
  <c r="T711" i="4"/>
  <c r="S711" i="4"/>
  <c r="R711" i="4"/>
  <c r="P711" i="4"/>
  <c r="O711" i="4"/>
  <c r="N711" i="4"/>
  <c r="U710" i="4"/>
  <c r="T710" i="4"/>
  <c r="S710" i="4"/>
  <c r="R710" i="4"/>
  <c r="P710" i="4"/>
  <c r="O710" i="4"/>
  <c r="N710" i="4"/>
  <c r="U709" i="4"/>
  <c r="T709" i="4"/>
  <c r="S709" i="4"/>
  <c r="R709" i="4"/>
  <c r="P709" i="4"/>
  <c r="O709" i="4"/>
  <c r="N709" i="4"/>
  <c r="U708" i="4"/>
  <c r="T708" i="4"/>
  <c r="S708" i="4"/>
  <c r="R708" i="4"/>
  <c r="P708" i="4"/>
  <c r="O708" i="4"/>
  <c r="N708" i="4"/>
  <c r="U707" i="4"/>
  <c r="T707" i="4"/>
  <c r="S707" i="4"/>
  <c r="R707" i="4"/>
  <c r="P707" i="4"/>
  <c r="O707" i="4"/>
  <c r="N707" i="4"/>
  <c r="U706" i="4"/>
  <c r="T706" i="4"/>
  <c r="S706" i="4"/>
  <c r="R706" i="4"/>
  <c r="P706" i="4"/>
  <c r="O706" i="4"/>
  <c r="N706" i="4"/>
  <c r="U705" i="4"/>
  <c r="T705" i="4"/>
  <c r="S705" i="4"/>
  <c r="R705" i="4"/>
  <c r="P705" i="4"/>
  <c r="O705" i="4"/>
  <c r="N705" i="4"/>
  <c r="U704" i="4"/>
  <c r="T704" i="4"/>
  <c r="S704" i="4"/>
  <c r="R704" i="4"/>
  <c r="P704" i="4"/>
  <c r="O704" i="4"/>
  <c r="N704" i="4"/>
  <c r="U703" i="4"/>
  <c r="T703" i="4"/>
  <c r="S703" i="4"/>
  <c r="R703" i="4"/>
  <c r="P703" i="4"/>
  <c r="O703" i="4"/>
  <c r="N703" i="4"/>
  <c r="U702" i="4"/>
  <c r="T702" i="4"/>
  <c r="S702" i="4"/>
  <c r="R702" i="4"/>
  <c r="P702" i="4"/>
  <c r="O702" i="4"/>
  <c r="N702" i="4"/>
  <c r="U701" i="4"/>
  <c r="T701" i="4"/>
  <c r="S701" i="4"/>
  <c r="R701" i="4"/>
  <c r="P701" i="4"/>
  <c r="O701" i="4"/>
  <c r="N701" i="4"/>
  <c r="U700" i="4"/>
  <c r="T700" i="4"/>
  <c r="S700" i="4"/>
  <c r="R700" i="4"/>
  <c r="P700" i="4"/>
  <c r="O700" i="4"/>
  <c r="N700" i="4"/>
  <c r="U699" i="4"/>
  <c r="T699" i="4"/>
  <c r="S699" i="4"/>
  <c r="R699" i="4"/>
  <c r="P699" i="4"/>
  <c r="O699" i="4"/>
  <c r="N699" i="4"/>
  <c r="U698" i="4"/>
  <c r="T698" i="4"/>
  <c r="S698" i="4"/>
  <c r="R698" i="4"/>
  <c r="P698" i="4"/>
  <c r="O698" i="4"/>
  <c r="N698" i="4"/>
  <c r="U697" i="4"/>
  <c r="T697" i="4"/>
  <c r="S697" i="4"/>
  <c r="R697" i="4"/>
  <c r="P697" i="4"/>
  <c r="O697" i="4"/>
  <c r="N697" i="4"/>
  <c r="U696" i="4"/>
  <c r="T696" i="4"/>
  <c r="S696" i="4"/>
  <c r="R696" i="4"/>
  <c r="P696" i="4"/>
  <c r="O696" i="4"/>
  <c r="N696" i="4"/>
  <c r="U695" i="4"/>
  <c r="T695" i="4"/>
  <c r="S695" i="4"/>
  <c r="R695" i="4"/>
  <c r="P695" i="4"/>
  <c r="O695" i="4"/>
  <c r="N695" i="4"/>
  <c r="U694" i="4"/>
  <c r="T694" i="4"/>
  <c r="S694" i="4"/>
  <c r="R694" i="4"/>
  <c r="P694" i="4"/>
  <c r="O694" i="4"/>
  <c r="N694" i="4"/>
  <c r="U693" i="4"/>
  <c r="T693" i="4"/>
  <c r="S693" i="4"/>
  <c r="R693" i="4"/>
  <c r="P693" i="4"/>
  <c r="O693" i="4"/>
  <c r="N693" i="4"/>
  <c r="U692" i="4"/>
  <c r="T692" i="4"/>
  <c r="S692" i="4"/>
  <c r="R692" i="4"/>
  <c r="P692" i="4"/>
  <c r="O692" i="4"/>
  <c r="N692" i="4"/>
  <c r="U691" i="4"/>
  <c r="T691" i="4"/>
  <c r="S691" i="4"/>
  <c r="R691" i="4"/>
  <c r="P691" i="4"/>
  <c r="O691" i="4"/>
  <c r="N691" i="4"/>
  <c r="U690" i="4"/>
  <c r="T690" i="4"/>
  <c r="S690" i="4"/>
  <c r="R690" i="4"/>
  <c r="P690" i="4"/>
  <c r="O690" i="4"/>
  <c r="N690" i="4"/>
  <c r="U689" i="4"/>
  <c r="T689" i="4"/>
  <c r="S689" i="4"/>
  <c r="R689" i="4"/>
  <c r="P689" i="4"/>
  <c r="O689" i="4"/>
  <c r="N689" i="4"/>
  <c r="U688" i="4"/>
  <c r="T688" i="4"/>
  <c r="S688" i="4"/>
  <c r="R688" i="4"/>
  <c r="P688" i="4"/>
  <c r="O688" i="4"/>
  <c r="N688" i="4"/>
  <c r="U687" i="4"/>
  <c r="T687" i="4"/>
  <c r="S687" i="4"/>
  <c r="R687" i="4"/>
  <c r="P687" i="4"/>
  <c r="O687" i="4"/>
  <c r="N687" i="4"/>
  <c r="U686" i="4"/>
  <c r="T686" i="4"/>
  <c r="S686" i="4"/>
  <c r="R686" i="4"/>
  <c r="P686" i="4"/>
  <c r="O686" i="4"/>
  <c r="N686" i="4"/>
  <c r="U685" i="4"/>
  <c r="T685" i="4"/>
  <c r="S685" i="4"/>
  <c r="R685" i="4"/>
  <c r="P685" i="4"/>
  <c r="O685" i="4"/>
  <c r="N685" i="4"/>
  <c r="U684" i="4"/>
  <c r="T684" i="4"/>
  <c r="S684" i="4"/>
  <c r="R684" i="4"/>
  <c r="P684" i="4"/>
  <c r="O684" i="4"/>
  <c r="N684" i="4"/>
  <c r="U683" i="4"/>
  <c r="T683" i="4"/>
  <c r="S683" i="4"/>
  <c r="R683" i="4"/>
  <c r="P683" i="4"/>
  <c r="O683" i="4"/>
  <c r="N683" i="4"/>
  <c r="U682" i="4"/>
  <c r="T682" i="4"/>
  <c r="S682" i="4"/>
  <c r="R682" i="4"/>
  <c r="P682" i="4"/>
  <c r="O682" i="4"/>
  <c r="N682" i="4"/>
  <c r="U681" i="4"/>
  <c r="T681" i="4"/>
  <c r="S681" i="4"/>
  <c r="R681" i="4"/>
  <c r="P681" i="4"/>
  <c r="O681" i="4"/>
  <c r="N681" i="4"/>
  <c r="U680" i="4"/>
  <c r="T680" i="4"/>
  <c r="S680" i="4"/>
  <c r="R680" i="4"/>
  <c r="P680" i="4"/>
  <c r="O680" i="4"/>
  <c r="N680" i="4"/>
  <c r="U679" i="4"/>
  <c r="T679" i="4"/>
  <c r="S679" i="4"/>
  <c r="R679" i="4"/>
  <c r="P679" i="4"/>
  <c r="O679" i="4"/>
  <c r="N679" i="4"/>
  <c r="U678" i="4"/>
  <c r="T678" i="4"/>
  <c r="S678" i="4"/>
  <c r="R678" i="4"/>
  <c r="P678" i="4"/>
  <c r="O678" i="4"/>
  <c r="N678" i="4"/>
  <c r="U677" i="4"/>
  <c r="T677" i="4"/>
  <c r="S677" i="4"/>
  <c r="R677" i="4"/>
  <c r="P677" i="4"/>
  <c r="O677" i="4"/>
  <c r="N677" i="4"/>
  <c r="U676" i="4"/>
  <c r="T676" i="4"/>
  <c r="S676" i="4"/>
  <c r="R676" i="4"/>
  <c r="P676" i="4"/>
  <c r="O676" i="4"/>
  <c r="N676" i="4"/>
  <c r="U675" i="4"/>
  <c r="T675" i="4"/>
  <c r="S675" i="4"/>
  <c r="R675" i="4"/>
  <c r="P675" i="4"/>
  <c r="O675" i="4"/>
  <c r="N675" i="4"/>
  <c r="U674" i="4"/>
  <c r="T674" i="4"/>
  <c r="S674" i="4"/>
  <c r="R674" i="4"/>
  <c r="P674" i="4"/>
  <c r="O674" i="4"/>
  <c r="N674" i="4"/>
  <c r="U673" i="4"/>
  <c r="T673" i="4"/>
  <c r="S673" i="4"/>
  <c r="R673" i="4"/>
  <c r="P673" i="4"/>
  <c r="O673" i="4"/>
  <c r="N673" i="4"/>
  <c r="U672" i="4"/>
  <c r="T672" i="4"/>
  <c r="S672" i="4"/>
  <c r="R672" i="4"/>
  <c r="P672" i="4"/>
  <c r="O672" i="4"/>
  <c r="N672" i="4"/>
  <c r="U671" i="4"/>
  <c r="T671" i="4"/>
  <c r="S671" i="4"/>
  <c r="R671" i="4"/>
  <c r="P671" i="4"/>
  <c r="O671" i="4"/>
  <c r="N671" i="4"/>
  <c r="U670" i="4"/>
  <c r="T670" i="4"/>
  <c r="S670" i="4"/>
  <c r="R670" i="4"/>
  <c r="P670" i="4"/>
  <c r="O670" i="4"/>
  <c r="N670" i="4"/>
  <c r="U669" i="4"/>
  <c r="T669" i="4"/>
  <c r="S669" i="4"/>
  <c r="R669" i="4"/>
  <c r="P669" i="4"/>
  <c r="O669" i="4"/>
  <c r="N669" i="4"/>
  <c r="U668" i="4"/>
  <c r="T668" i="4"/>
  <c r="S668" i="4"/>
  <c r="R668" i="4"/>
  <c r="P668" i="4"/>
  <c r="O668" i="4"/>
  <c r="N668" i="4"/>
  <c r="U667" i="4"/>
  <c r="T667" i="4"/>
  <c r="S667" i="4"/>
  <c r="R667" i="4"/>
  <c r="P667" i="4"/>
  <c r="O667" i="4"/>
  <c r="N667" i="4"/>
  <c r="U666" i="4"/>
  <c r="T666" i="4"/>
  <c r="S666" i="4"/>
  <c r="R666" i="4"/>
  <c r="P666" i="4"/>
  <c r="O666" i="4"/>
  <c r="N666" i="4"/>
  <c r="U665" i="4"/>
  <c r="T665" i="4"/>
  <c r="S665" i="4"/>
  <c r="R665" i="4"/>
  <c r="P665" i="4"/>
  <c r="O665" i="4"/>
  <c r="N665" i="4"/>
  <c r="U664" i="4"/>
  <c r="T664" i="4"/>
  <c r="S664" i="4"/>
  <c r="R664" i="4"/>
  <c r="P664" i="4"/>
  <c r="O664" i="4"/>
  <c r="N664" i="4"/>
  <c r="U663" i="4"/>
  <c r="T663" i="4"/>
  <c r="S663" i="4"/>
  <c r="R663" i="4"/>
  <c r="P663" i="4"/>
  <c r="O663" i="4"/>
  <c r="N663" i="4"/>
  <c r="U662" i="4"/>
  <c r="T662" i="4"/>
  <c r="S662" i="4"/>
  <c r="R662" i="4"/>
  <c r="P662" i="4"/>
  <c r="O662" i="4"/>
  <c r="N662" i="4"/>
  <c r="U661" i="4"/>
  <c r="T661" i="4"/>
  <c r="S661" i="4"/>
  <c r="R661" i="4"/>
  <c r="P661" i="4"/>
  <c r="O661" i="4"/>
  <c r="N661" i="4"/>
  <c r="U660" i="4"/>
  <c r="T660" i="4"/>
  <c r="S660" i="4"/>
  <c r="R660" i="4"/>
  <c r="P660" i="4"/>
  <c r="O660" i="4"/>
  <c r="N660" i="4"/>
  <c r="U659" i="4"/>
  <c r="T659" i="4"/>
  <c r="S659" i="4"/>
  <c r="R659" i="4"/>
  <c r="P659" i="4"/>
  <c r="O659" i="4"/>
  <c r="N659" i="4"/>
  <c r="U658" i="4"/>
  <c r="T658" i="4"/>
  <c r="S658" i="4"/>
  <c r="R658" i="4"/>
  <c r="P658" i="4"/>
  <c r="O658" i="4"/>
  <c r="N658" i="4"/>
  <c r="U657" i="4"/>
  <c r="T657" i="4"/>
  <c r="S657" i="4"/>
  <c r="R657" i="4"/>
  <c r="P657" i="4"/>
  <c r="O657" i="4"/>
  <c r="N657" i="4"/>
  <c r="U656" i="4"/>
  <c r="T656" i="4"/>
  <c r="S656" i="4"/>
  <c r="R656" i="4"/>
  <c r="P656" i="4"/>
  <c r="O656" i="4"/>
  <c r="N656" i="4"/>
  <c r="U655" i="4"/>
  <c r="T655" i="4"/>
  <c r="S655" i="4"/>
  <c r="R655" i="4"/>
  <c r="P655" i="4"/>
  <c r="O655" i="4"/>
  <c r="N655" i="4"/>
  <c r="U654" i="4"/>
  <c r="T654" i="4"/>
  <c r="S654" i="4"/>
  <c r="R654" i="4"/>
  <c r="P654" i="4"/>
  <c r="O654" i="4"/>
  <c r="N654" i="4"/>
  <c r="U653" i="4"/>
  <c r="T653" i="4"/>
  <c r="S653" i="4"/>
  <c r="R653" i="4"/>
  <c r="P653" i="4"/>
  <c r="O653" i="4"/>
  <c r="N653" i="4"/>
  <c r="U652" i="4"/>
  <c r="T652" i="4"/>
  <c r="S652" i="4"/>
  <c r="R652" i="4"/>
  <c r="P652" i="4"/>
  <c r="O652" i="4"/>
  <c r="N652" i="4"/>
  <c r="U651" i="4"/>
  <c r="T651" i="4"/>
  <c r="S651" i="4"/>
  <c r="R651" i="4"/>
  <c r="P651" i="4"/>
  <c r="O651" i="4"/>
  <c r="N651" i="4"/>
  <c r="U650" i="4"/>
  <c r="T650" i="4"/>
  <c r="S650" i="4"/>
  <c r="R650" i="4"/>
  <c r="P650" i="4"/>
  <c r="O650" i="4"/>
  <c r="N650" i="4"/>
  <c r="U649" i="4"/>
  <c r="T649" i="4"/>
  <c r="S649" i="4"/>
  <c r="R649" i="4"/>
  <c r="P649" i="4"/>
  <c r="O649" i="4"/>
  <c r="N649" i="4"/>
  <c r="U648" i="4"/>
  <c r="T648" i="4"/>
  <c r="S648" i="4"/>
  <c r="R648" i="4"/>
  <c r="P648" i="4"/>
  <c r="O648" i="4"/>
  <c r="N648" i="4"/>
  <c r="U647" i="4"/>
  <c r="T647" i="4"/>
  <c r="S647" i="4"/>
  <c r="R647" i="4"/>
  <c r="P647" i="4"/>
  <c r="O647" i="4"/>
  <c r="N647" i="4"/>
  <c r="U646" i="4"/>
  <c r="T646" i="4"/>
  <c r="S646" i="4"/>
  <c r="R646" i="4"/>
  <c r="P646" i="4"/>
  <c r="O646" i="4"/>
  <c r="N646" i="4"/>
  <c r="U645" i="4"/>
  <c r="T645" i="4"/>
  <c r="S645" i="4"/>
  <c r="R645" i="4"/>
  <c r="P645" i="4"/>
  <c r="O645" i="4"/>
  <c r="N645" i="4"/>
  <c r="U644" i="4"/>
  <c r="T644" i="4"/>
  <c r="S644" i="4"/>
  <c r="R644" i="4"/>
  <c r="P644" i="4"/>
  <c r="O644" i="4"/>
  <c r="N644" i="4"/>
  <c r="U643" i="4"/>
  <c r="T643" i="4"/>
  <c r="S643" i="4"/>
  <c r="R643" i="4"/>
  <c r="P643" i="4"/>
  <c r="O643" i="4"/>
  <c r="N643" i="4"/>
  <c r="U642" i="4"/>
  <c r="T642" i="4"/>
  <c r="S642" i="4"/>
  <c r="R642" i="4"/>
  <c r="P642" i="4"/>
  <c r="O642" i="4"/>
  <c r="N642" i="4"/>
  <c r="U641" i="4"/>
  <c r="T641" i="4"/>
  <c r="S641" i="4"/>
  <c r="R641" i="4"/>
  <c r="P641" i="4"/>
  <c r="O641" i="4"/>
  <c r="N641" i="4"/>
  <c r="U640" i="4"/>
  <c r="T640" i="4"/>
  <c r="S640" i="4"/>
  <c r="R640" i="4"/>
  <c r="P640" i="4"/>
  <c r="O640" i="4"/>
  <c r="N640" i="4"/>
  <c r="U639" i="4"/>
  <c r="T639" i="4"/>
  <c r="S639" i="4"/>
  <c r="R639" i="4"/>
  <c r="P639" i="4"/>
  <c r="O639" i="4"/>
  <c r="N639" i="4"/>
  <c r="U638" i="4"/>
  <c r="T638" i="4"/>
  <c r="S638" i="4"/>
  <c r="R638" i="4"/>
  <c r="P638" i="4"/>
  <c r="O638" i="4"/>
  <c r="N638" i="4"/>
  <c r="U637" i="4"/>
  <c r="T637" i="4"/>
  <c r="S637" i="4"/>
  <c r="R637" i="4"/>
  <c r="P637" i="4"/>
  <c r="O637" i="4"/>
  <c r="N637" i="4"/>
  <c r="U636" i="4"/>
  <c r="T636" i="4"/>
  <c r="S636" i="4"/>
  <c r="R636" i="4"/>
  <c r="P636" i="4"/>
  <c r="O636" i="4"/>
  <c r="N636" i="4"/>
  <c r="U635" i="4"/>
  <c r="T635" i="4"/>
  <c r="S635" i="4"/>
  <c r="R635" i="4"/>
  <c r="P635" i="4"/>
  <c r="O635" i="4"/>
  <c r="N635" i="4"/>
  <c r="U634" i="4"/>
  <c r="T634" i="4"/>
  <c r="S634" i="4"/>
  <c r="R634" i="4"/>
  <c r="P634" i="4"/>
  <c r="O634" i="4"/>
  <c r="N634" i="4"/>
  <c r="U633" i="4"/>
  <c r="T633" i="4"/>
  <c r="S633" i="4"/>
  <c r="R633" i="4"/>
  <c r="P633" i="4"/>
  <c r="O633" i="4"/>
  <c r="N633" i="4"/>
  <c r="U632" i="4"/>
  <c r="T632" i="4"/>
  <c r="S632" i="4"/>
  <c r="R632" i="4"/>
  <c r="P632" i="4"/>
  <c r="O632" i="4"/>
  <c r="N632" i="4"/>
  <c r="U631" i="4"/>
  <c r="T631" i="4"/>
  <c r="S631" i="4"/>
  <c r="R631" i="4"/>
  <c r="P631" i="4"/>
  <c r="O631" i="4"/>
  <c r="N631" i="4"/>
  <c r="U630" i="4"/>
  <c r="T630" i="4"/>
  <c r="S630" i="4"/>
  <c r="R630" i="4"/>
  <c r="P630" i="4"/>
  <c r="O630" i="4"/>
  <c r="N630" i="4"/>
  <c r="U629" i="4"/>
  <c r="T629" i="4"/>
  <c r="S629" i="4"/>
  <c r="R629" i="4"/>
  <c r="P629" i="4"/>
  <c r="O629" i="4"/>
  <c r="N629" i="4"/>
  <c r="U628" i="4"/>
  <c r="T628" i="4"/>
  <c r="S628" i="4"/>
  <c r="R628" i="4"/>
  <c r="P628" i="4"/>
  <c r="O628" i="4"/>
  <c r="N628" i="4"/>
  <c r="U627" i="4"/>
  <c r="T627" i="4"/>
  <c r="S627" i="4"/>
  <c r="R627" i="4"/>
  <c r="P627" i="4"/>
  <c r="O627" i="4"/>
  <c r="N627" i="4"/>
  <c r="U626" i="4"/>
  <c r="T626" i="4"/>
  <c r="S626" i="4"/>
  <c r="R626" i="4"/>
  <c r="P626" i="4"/>
  <c r="O626" i="4"/>
  <c r="N626" i="4"/>
  <c r="U625" i="4"/>
  <c r="T625" i="4"/>
  <c r="S625" i="4"/>
  <c r="R625" i="4"/>
  <c r="P625" i="4"/>
  <c r="O625" i="4"/>
  <c r="N625" i="4"/>
  <c r="U624" i="4"/>
  <c r="T624" i="4"/>
  <c r="S624" i="4"/>
  <c r="R624" i="4"/>
  <c r="P624" i="4"/>
  <c r="O624" i="4"/>
  <c r="N624" i="4"/>
  <c r="U623" i="4"/>
  <c r="T623" i="4"/>
  <c r="S623" i="4"/>
  <c r="R623" i="4"/>
  <c r="P623" i="4"/>
  <c r="O623" i="4"/>
  <c r="N623" i="4"/>
  <c r="U622" i="4"/>
  <c r="T622" i="4"/>
  <c r="S622" i="4"/>
  <c r="R622" i="4"/>
  <c r="P622" i="4"/>
  <c r="O622" i="4"/>
  <c r="N622" i="4"/>
  <c r="U621" i="4"/>
  <c r="T621" i="4"/>
  <c r="S621" i="4"/>
  <c r="R621" i="4"/>
  <c r="P621" i="4"/>
  <c r="O621" i="4"/>
  <c r="N621" i="4"/>
  <c r="U620" i="4"/>
  <c r="T620" i="4"/>
  <c r="S620" i="4"/>
  <c r="R620" i="4"/>
  <c r="P620" i="4"/>
  <c r="O620" i="4"/>
  <c r="N620" i="4"/>
  <c r="U619" i="4"/>
  <c r="T619" i="4"/>
  <c r="S619" i="4"/>
  <c r="R619" i="4"/>
  <c r="P619" i="4"/>
  <c r="O619" i="4"/>
  <c r="N619" i="4"/>
  <c r="U618" i="4"/>
  <c r="T618" i="4"/>
  <c r="S618" i="4"/>
  <c r="R618" i="4"/>
  <c r="P618" i="4"/>
  <c r="O618" i="4"/>
  <c r="N618" i="4"/>
  <c r="U617" i="4"/>
  <c r="T617" i="4"/>
  <c r="S617" i="4"/>
  <c r="R617" i="4"/>
  <c r="P617" i="4"/>
  <c r="O617" i="4"/>
  <c r="N617" i="4"/>
  <c r="U616" i="4"/>
  <c r="T616" i="4"/>
  <c r="S616" i="4"/>
  <c r="R616" i="4"/>
  <c r="P616" i="4"/>
  <c r="O616" i="4"/>
  <c r="N616" i="4"/>
  <c r="U615" i="4"/>
  <c r="T615" i="4"/>
  <c r="S615" i="4"/>
  <c r="R615" i="4"/>
  <c r="P615" i="4"/>
  <c r="O615" i="4"/>
  <c r="N615" i="4"/>
  <c r="U614" i="4"/>
  <c r="T614" i="4"/>
  <c r="S614" i="4"/>
  <c r="R614" i="4"/>
  <c r="P614" i="4"/>
  <c r="O614" i="4"/>
  <c r="N614" i="4"/>
  <c r="U613" i="4"/>
  <c r="T613" i="4"/>
  <c r="S613" i="4"/>
  <c r="R613" i="4"/>
  <c r="P613" i="4"/>
  <c r="O613" i="4"/>
  <c r="N613" i="4"/>
  <c r="U612" i="4"/>
  <c r="T612" i="4"/>
  <c r="S612" i="4"/>
  <c r="R612" i="4"/>
  <c r="P612" i="4"/>
  <c r="O612" i="4"/>
  <c r="N612" i="4"/>
  <c r="U611" i="4"/>
  <c r="T611" i="4"/>
  <c r="S611" i="4"/>
  <c r="R611" i="4"/>
  <c r="P611" i="4"/>
  <c r="O611" i="4"/>
  <c r="N611" i="4"/>
  <c r="U610" i="4"/>
  <c r="T610" i="4"/>
  <c r="S610" i="4"/>
  <c r="R610" i="4"/>
  <c r="P610" i="4"/>
  <c r="O610" i="4"/>
  <c r="N610" i="4"/>
  <c r="U609" i="4"/>
  <c r="T609" i="4"/>
  <c r="S609" i="4"/>
  <c r="R609" i="4"/>
  <c r="P609" i="4"/>
  <c r="O609" i="4"/>
  <c r="N609" i="4"/>
  <c r="U608" i="4"/>
  <c r="T608" i="4"/>
  <c r="S608" i="4"/>
  <c r="R608" i="4"/>
  <c r="P608" i="4"/>
  <c r="O608" i="4"/>
  <c r="N608" i="4"/>
  <c r="U607" i="4"/>
  <c r="T607" i="4"/>
  <c r="S607" i="4"/>
  <c r="R607" i="4"/>
  <c r="P607" i="4"/>
  <c r="O607" i="4"/>
  <c r="N607" i="4"/>
  <c r="U606" i="4"/>
  <c r="T606" i="4"/>
  <c r="S606" i="4"/>
  <c r="R606" i="4"/>
  <c r="P606" i="4"/>
  <c r="O606" i="4"/>
  <c r="N606" i="4"/>
  <c r="U605" i="4"/>
  <c r="T605" i="4"/>
  <c r="S605" i="4"/>
  <c r="R605" i="4"/>
  <c r="P605" i="4"/>
  <c r="O605" i="4"/>
  <c r="N605" i="4"/>
  <c r="U604" i="4"/>
  <c r="T604" i="4"/>
  <c r="S604" i="4"/>
  <c r="R604" i="4"/>
  <c r="P604" i="4"/>
  <c r="O604" i="4"/>
  <c r="N604" i="4"/>
  <c r="U603" i="4"/>
  <c r="T603" i="4"/>
  <c r="S603" i="4"/>
  <c r="R603" i="4"/>
  <c r="P603" i="4"/>
  <c r="O603" i="4"/>
  <c r="N603" i="4"/>
  <c r="U602" i="4"/>
  <c r="T602" i="4"/>
  <c r="S602" i="4"/>
  <c r="R602" i="4"/>
  <c r="P602" i="4"/>
  <c r="O602" i="4"/>
  <c r="N602" i="4"/>
  <c r="U601" i="4"/>
  <c r="T601" i="4"/>
  <c r="S601" i="4"/>
  <c r="R601" i="4"/>
  <c r="P601" i="4"/>
  <c r="O601" i="4"/>
  <c r="N601" i="4"/>
  <c r="U600" i="4"/>
  <c r="T600" i="4"/>
  <c r="S600" i="4"/>
  <c r="R600" i="4"/>
  <c r="P600" i="4"/>
  <c r="O600" i="4"/>
  <c r="N600" i="4"/>
  <c r="U599" i="4"/>
  <c r="T599" i="4"/>
  <c r="S599" i="4"/>
  <c r="R599" i="4"/>
  <c r="P599" i="4"/>
  <c r="O599" i="4"/>
  <c r="N599" i="4"/>
  <c r="U598" i="4"/>
  <c r="T598" i="4"/>
  <c r="S598" i="4"/>
  <c r="R598" i="4"/>
  <c r="P598" i="4"/>
  <c r="O598" i="4"/>
  <c r="N598" i="4"/>
  <c r="U597" i="4"/>
  <c r="T597" i="4"/>
  <c r="S597" i="4"/>
  <c r="R597" i="4"/>
  <c r="P597" i="4"/>
  <c r="O597" i="4"/>
  <c r="N597" i="4"/>
  <c r="U596" i="4"/>
  <c r="T596" i="4"/>
  <c r="S596" i="4"/>
  <c r="R596" i="4"/>
  <c r="P596" i="4"/>
  <c r="O596" i="4"/>
  <c r="N596" i="4"/>
  <c r="U595" i="4"/>
  <c r="T595" i="4"/>
  <c r="S595" i="4"/>
  <c r="R595" i="4"/>
  <c r="P595" i="4"/>
  <c r="O595" i="4"/>
  <c r="N595" i="4"/>
  <c r="U594" i="4"/>
  <c r="T594" i="4"/>
  <c r="S594" i="4"/>
  <c r="R594" i="4"/>
  <c r="P594" i="4"/>
  <c r="O594" i="4"/>
  <c r="N594" i="4"/>
  <c r="U593" i="4"/>
  <c r="T593" i="4"/>
  <c r="S593" i="4"/>
  <c r="R593" i="4"/>
  <c r="P593" i="4"/>
  <c r="O593" i="4"/>
  <c r="N593" i="4"/>
  <c r="U592" i="4"/>
  <c r="T592" i="4"/>
  <c r="S592" i="4"/>
  <c r="R592" i="4"/>
  <c r="P592" i="4"/>
  <c r="O592" i="4"/>
  <c r="N592" i="4"/>
  <c r="U591" i="4"/>
  <c r="T591" i="4"/>
  <c r="S591" i="4"/>
  <c r="R591" i="4"/>
  <c r="P591" i="4"/>
  <c r="O591" i="4"/>
  <c r="N591" i="4"/>
  <c r="U590" i="4"/>
  <c r="T590" i="4"/>
  <c r="S590" i="4"/>
  <c r="R590" i="4"/>
  <c r="P590" i="4"/>
  <c r="O590" i="4"/>
  <c r="N590" i="4"/>
  <c r="U589" i="4"/>
  <c r="T589" i="4"/>
  <c r="S589" i="4"/>
  <c r="R589" i="4"/>
  <c r="P589" i="4"/>
  <c r="O589" i="4"/>
  <c r="N589" i="4"/>
  <c r="U588" i="4"/>
  <c r="T588" i="4"/>
  <c r="S588" i="4"/>
  <c r="R588" i="4"/>
  <c r="P588" i="4"/>
  <c r="O588" i="4"/>
  <c r="N588" i="4"/>
  <c r="U587" i="4"/>
  <c r="T587" i="4"/>
  <c r="S587" i="4"/>
  <c r="R587" i="4"/>
  <c r="P587" i="4"/>
  <c r="O587" i="4"/>
  <c r="N587" i="4"/>
  <c r="U586" i="4"/>
  <c r="T586" i="4"/>
  <c r="S586" i="4"/>
  <c r="R586" i="4"/>
  <c r="P586" i="4"/>
  <c r="O586" i="4"/>
  <c r="N586" i="4"/>
  <c r="U585" i="4"/>
  <c r="T585" i="4"/>
  <c r="S585" i="4"/>
  <c r="R585" i="4"/>
  <c r="P585" i="4"/>
  <c r="O585" i="4"/>
  <c r="N585" i="4"/>
  <c r="U584" i="4"/>
  <c r="T584" i="4"/>
  <c r="S584" i="4"/>
  <c r="R584" i="4"/>
  <c r="P584" i="4"/>
  <c r="O584" i="4"/>
  <c r="N584" i="4"/>
  <c r="U583" i="4"/>
  <c r="T583" i="4"/>
  <c r="S583" i="4"/>
  <c r="R583" i="4"/>
  <c r="P583" i="4"/>
  <c r="O583" i="4"/>
  <c r="N583" i="4"/>
  <c r="U582" i="4"/>
  <c r="T582" i="4"/>
  <c r="S582" i="4"/>
  <c r="R582" i="4"/>
  <c r="P582" i="4"/>
  <c r="O582" i="4"/>
  <c r="N582" i="4"/>
  <c r="U581" i="4"/>
  <c r="T581" i="4"/>
  <c r="S581" i="4"/>
  <c r="R581" i="4"/>
  <c r="P581" i="4"/>
  <c r="O581" i="4"/>
  <c r="N581" i="4"/>
  <c r="U580" i="4"/>
  <c r="T580" i="4"/>
  <c r="S580" i="4"/>
  <c r="R580" i="4"/>
  <c r="P580" i="4"/>
  <c r="O580" i="4"/>
  <c r="N580" i="4"/>
  <c r="U579" i="4"/>
  <c r="T579" i="4"/>
  <c r="S579" i="4"/>
  <c r="R579" i="4"/>
  <c r="P579" i="4"/>
  <c r="O579" i="4"/>
  <c r="N579" i="4"/>
  <c r="U578" i="4"/>
  <c r="T578" i="4"/>
  <c r="S578" i="4"/>
  <c r="R578" i="4"/>
  <c r="P578" i="4"/>
  <c r="O578" i="4"/>
  <c r="N578" i="4"/>
  <c r="U577" i="4"/>
  <c r="T577" i="4"/>
  <c r="S577" i="4"/>
  <c r="R577" i="4"/>
  <c r="P577" i="4"/>
  <c r="O577" i="4"/>
  <c r="N577" i="4"/>
  <c r="U576" i="4"/>
  <c r="T576" i="4"/>
  <c r="S576" i="4"/>
  <c r="R576" i="4"/>
  <c r="P576" i="4"/>
  <c r="O576" i="4"/>
  <c r="N576" i="4"/>
  <c r="U575" i="4"/>
  <c r="T575" i="4"/>
  <c r="S575" i="4"/>
  <c r="R575" i="4"/>
  <c r="P575" i="4"/>
  <c r="O575" i="4"/>
  <c r="N575" i="4"/>
  <c r="U574" i="4"/>
  <c r="T574" i="4"/>
  <c r="S574" i="4"/>
  <c r="R574" i="4"/>
  <c r="P574" i="4"/>
  <c r="O574" i="4"/>
  <c r="N574" i="4"/>
  <c r="U573" i="4"/>
  <c r="T573" i="4"/>
  <c r="S573" i="4"/>
  <c r="R573" i="4"/>
  <c r="P573" i="4"/>
  <c r="O573" i="4"/>
  <c r="N573" i="4"/>
  <c r="U572" i="4"/>
  <c r="T572" i="4"/>
  <c r="S572" i="4"/>
  <c r="R572" i="4"/>
  <c r="P572" i="4"/>
  <c r="O572" i="4"/>
  <c r="N572" i="4"/>
  <c r="U571" i="4"/>
  <c r="T571" i="4"/>
  <c r="S571" i="4"/>
  <c r="R571" i="4"/>
  <c r="P571" i="4"/>
  <c r="O571" i="4"/>
  <c r="N571" i="4"/>
  <c r="U570" i="4"/>
  <c r="T570" i="4"/>
  <c r="S570" i="4"/>
  <c r="R570" i="4"/>
  <c r="P570" i="4"/>
  <c r="O570" i="4"/>
  <c r="N570" i="4"/>
  <c r="U569" i="4"/>
  <c r="T569" i="4"/>
  <c r="S569" i="4"/>
  <c r="R569" i="4"/>
  <c r="P569" i="4"/>
  <c r="O569" i="4"/>
  <c r="N569" i="4"/>
  <c r="U568" i="4"/>
  <c r="T568" i="4"/>
  <c r="S568" i="4"/>
  <c r="R568" i="4"/>
  <c r="P568" i="4"/>
  <c r="O568" i="4"/>
  <c r="N568" i="4"/>
  <c r="U567" i="4"/>
  <c r="T567" i="4"/>
  <c r="S567" i="4"/>
  <c r="R567" i="4"/>
  <c r="P567" i="4"/>
  <c r="O567" i="4"/>
  <c r="N567" i="4"/>
  <c r="U566" i="4"/>
  <c r="T566" i="4"/>
  <c r="S566" i="4"/>
  <c r="R566" i="4"/>
  <c r="P566" i="4"/>
  <c r="O566" i="4"/>
  <c r="N566" i="4"/>
  <c r="U565" i="4"/>
  <c r="T565" i="4"/>
  <c r="S565" i="4"/>
  <c r="R565" i="4"/>
  <c r="P565" i="4"/>
  <c r="O565" i="4"/>
  <c r="N565" i="4"/>
  <c r="U564" i="4"/>
  <c r="T564" i="4"/>
  <c r="S564" i="4"/>
  <c r="R564" i="4"/>
  <c r="P564" i="4"/>
  <c r="O564" i="4"/>
  <c r="N564" i="4"/>
  <c r="U563" i="4"/>
  <c r="T563" i="4"/>
  <c r="S563" i="4"/>
  <c r="R563" i="4"/>
  <c r="P563" i="4"/>
  <c r="O563" i="4"/>
  <c r="N563" i="4"/>
  <c r="U562" i="4"/>
  <c r="T562" i="4"/>
  <c r="S562" i="4"/>
  <c r="R562" i="4"/>
  <c r="P562" i="4"/>
  <c r="O562" i="4"/>
  <c r="N562" i="4"/>
  <c r="U561" i="4"/>
  <c r="T561" i="4"/>
  <c r="S561" i="4"/>
  <c r="R561" i="4"/>
  <c r="P561" i="4"/>
  <c r="O561" i="4"/>
  <c r="N561" i="4"/>
  <c r="U560" i="4"/>
  <c r="T560" i="4"/>
  <c r="S560" i="4"/>
  <c r="R560" i="4"/>
  <c r="P560" i="4"/>
  <c r="O560" i="4"/>
  <c r="N560" i="4"/>
  <c r="U559" i="4"/>
  <c r="T559" i="4"/>
  <c r="S559" i="4"/>
  <c r="R559" i="4"/>
  <c r="P559" i="4"/>
  <c r="O559" i="4"/>
  <c r="N559" i="4"/>
  <c r="U558" i="4"/>
  <c r="T558" i="4"/>
  <c r="S558" i="4"/>
  <c r="R558" i="4"/>
  <c r="P558" i="4"/>
  <c r="O558" i="4"/>
  <c r="N558" i="4"/>
  <c r="U557" i="4"/>
  <c r="T557" i="4"/>
  <c r="S557" i="4"/>
  <c r="R557" i="4"/>
  <c r="P557" i="4"/>
  <c r="O557" i="4"/>
  <c r="N557" i="4"/>
  <c r="U556" i="4"/>
  <c r="T556" i="4"/>
  <c r="S556" i="4"/>
  <c r="R556" i="4"/>
  <c r="P556" i="4"/>
  <c r="O556" i="4"/>
  <c r="N556" i="4"/>
  <c r="U555" i="4"/>
  <c r="T555" i="4"/>
  <c r="S555" i="4"/>
  <c r="R555" i="4"/>
  <c r="P555" i="4"/>
  <c r="O555" i="4"/>
  <c r="N555" i="4"/>
  <c r="U554" i="4"/>
  <c r="T554" i="4"/>
  <c r="S554" i="4"/>
  <c r="R554" i="4"/>
  <c r="P554" i="4"/>
  <c r="O554" i="4"/>
  <c r="N554" i="4"/>
  <c r="U553" i="4"/>
  <c r="T553" i="4"/>
  <c r="S553" i="4"/>
  <c r="R553" i="4"/>
  <c r="P553" i="4"/>
  <c r="O553" i="4"/>
  <c r="N553" i="4"/>
  <c r="U552" i="4"/>
  <c r="T552" i="4"/>
  <c r="S552" i="4"/>
  <c r="R552" i="4"/>
  <c r="P552" i="4"/>
  <c r="O552" i="4"/>
  <c r="N552" i="4"/>
  <c r="U551" i="4"/>
  <c r="T551" i="4"/>
  <c r="S551" i="4"/>
  <c r="R551" i="4"/>
  <c r="P551" i="4"/>
  <c r="O551" i="4"/>
  <c r="N551" i="4"/>
  <c r="U550" i="4"/>
  <c r="T550" i="4"/>
  <c r="S550" i="4"/>
  <c r="R550" i="4"/>
  <c r="P550" i="4"/>
  <c r="O550" i="4"/>
  <c r="N550" i="4"/>
  <c r="U549" i="4"/>
  <c r="T549" i="4"/>
  <c r="S549" i="4"/>
  <c r="R549" i="4"/>
  <c r="P549" i="4"/>
  <c r="O549" i="4"/>
  <c r="N549" i="4"/>
  <c r="U548" i="4"/>
  <c r="T548" i="4"/>
  <c r="S548" i="4"/>
  <c r="R548" i="4"/>
  <c r="P548" i="4"/>
  <c r="O548" i="4"/>
  <c r="N548" i="4"/>
  <c r="U547" i="4"/>
  <c r="T547" i="4"/>
  <c r="S547" i="4"/>
  <c r="R547" i="4"/>
  <c r="P547" i="4"/>
  <c r="O547" i="4"/>
  <c r="N547" i="4"/>
  <c r="U546" i="4"/>
  <c r="T546" i="4"/>
  <c r="S546" i="4"/>
  <c r="R546" i="4"/>
  <c r="P546" i="4"/>
  <c r="O546" i="4"/>
  <c r="N546" i="4"/>
  <c r="U545" i="4"/>
  <c r="T545" i="4"/>
  <c r="S545" i="4"/>
  <c r="R545" i="4"/>
  <c r="P545" i="4"/>
  <c r="O545" i="4"/>
  <c r="N545" i="4"/>
  <c r="U544" i="4"/>
  <c r="T544" i="4"/>
  <c r="S544" i="4"/>
  <c r="R544" i="4"/>
  <c r="P544" i="4"/>
  <c r="O544" i="4"/>
  <c r="N544" i="4"/>
  <c r="U543" i="4"/>
  <c r="T543" i="4"/>
  <c r="S543" i="4"/>
  <c r="R543" i="4"/>
  <c r="P543" i="4"/>
  <c r="O543" i="4"/>
  <c r="N543" i="4"/>
  <c r="U542" i="4"/>
  <c r="T542" i="4"/>
  <c r="S542" i="4"/>
  <c r="R542" i="4"/>
  <c r="P542" i="4"/>
  <c r="O542" i="4"/>
  <c r="N542" i="4"/>
  <c r="U541" i="4"/>
  <c r="T541" i="4"/>
  <c r="S541" i="4"/>
  <c r="R541" i="4"/>
  <c r="P541" i="4"/>
  <c r="O541" i="4"/>
  <c r="N541" i="4"/>
  <c r="U540" i="4"/>
  <c r="T540" i="4"/>
  <c r="S540" i="4"/>
  <c r="R540" i="4"/>
  <c r="P540" i="4"/>
  <c r="O540" i="4"/>
  <c r="N540" i="4"/>
  <c r="U539" i="4"/>
  <c r="T539" i="4"/>
  <c r="S539" i="4"/>
  <c r="R539" i="4"/>
  <c r="P539" i="4"/>
  <c r="O539" i="4"/>
  <c r="N539" i="4"/>
  <c r="U538" i="4"/>
  <c r="T538" i="4"/>
  <c r="S538" i="4"/>
  <c r="R538" i="4"/>
  <c r="P538" i="4"/>
  <c r="O538" i="4"/>
  <c r="N538" i="4"/>
  <c r="U537" i="4"/>
  <c r="T537" i="4"/>
  <c r="S537" i="4"/>
  <c r="R537" i="4"/>
  <c r="P537" i="4"/>
  <c r="O537" i="4"/>
  <c r="N537" i="4"/>
  <c r="U536" i="4"/>
  <c r="T536" i="4"/>
  <c r="S536" i="4"/>
  <c r="R536" i="4"/>
  <c r="P536" i="4"/>
  <c r="O536" i="4"/>
  <c r="N536" i="4"/>
  <c r="U535" i="4"/>
  <c r="T535" i="4"/>
  <c r="S535" i="4"/>
  <c r="R535" i="4"/>
  <c r="P535" i="4"/>
  <c r="O535" i="4"/>
  <c r="N535" i="4"/>
  <c r="U534" i="4"/>
  <c r="T534" i="4"/>
  <c r="S534" i="4"/>
  <c r="R534" i="4"/>
  <c r="P534" i="4"/>
  <c r="O534" i="4"/>
  <c r="N534" i="4"/>
  <c r="U533" i="4"/>
  <c r="T533" i="4"/>
  <c r="S533" i="4"/>
  <c r="R533" i="4"/>
  <c r="P533" i="4"/>
  <c r="O533" i="4"/>
  <c r="N533" i="4"/>
  <c r="U532" i="4"/>
  <c r="T532" i="4"/>
  <c r="S532" i="4"/>
  <c r="R532" i="4"/>
  <c r="P532" i="4"/>
  <c r="O532" i="4"/>
  <c r="N532" i="4"/>
  <c r="U531" i="4"/>
  <c r="T531" i="4"/>
  <c r="S531" i="4"/>
  <c r="R531" i="4"/>
  <c r="P531" i="4"/>
  <c r="O531" i="4"/>
  <c r="N531" i="4"/>
  <c r="U530" i="4"/>
  <c r="T530" i="4"/>
  <c r="S530" i="4"/>
  <c r="R530" i="4"/>
  <c r="P530" i="4"/>
  <c r="O530" i="4"/>
  <c r="N530" i="4"/>
  <c r="U529" i="4"/>
  <c r="T529" i="4"/>
  <c r="S529" i="4"/>
  <c r="R529" i="4"/>
  <c r="P529" i="4"/>
  <c r="O529" i="4"/>
  <c r="N529" i="4"/>
  <c r="U528" i="4"/>
  <c r="T528" i="4"/>
  <c r="S528" i="4"/>
  <c r="R528" i="4"/>
  <c r="P528" i="4"/>
  <c r="O528" i="4"/>
  <c r="N528" i="4"/>
  <c r="U527" i="4"/>
  <c r="T527" i="4"/>
  <c r="S527" i="4"/>
  <c r="R527" i="4"/>
  <c r="P527" i="4"/>
  <c r="O527" i="4"/>
  <c r="N527" i="4"/>
  <c r="U526" i="4"/>
  <c r="T526" i="4"/>
  <c r="S526" i="4"/>
  <c r="R526" i="4"/>
  <c r="P526" i="4"/>
  <c r="O526" i="4"/>
  <c r="N526" i="4"/>
  <c r="U525" i="4"/>
  <c r="T525" i="4"/>
  <c r="S525" i="4"/>
  <c r="R525" i="4"/>
  <c r="P525" i="4"/>
  <c r="O525" i="4"/>
  <c r="N525" i="4"/>
  <c r="U524" i="4"/>
  <c r="T524" i="4"/>
  <c r="S524" i="4"/>
  <c r="R524" i="4"/>
  <c r="P524" i="4"/>
  <c r="O524" i="4"/>
  <c r="N524" i="4"/>
  <c r="U523" i="4"/>
  <c r="T523" i="4"/>
  <c r="S523" i="4"/>
  <c r="R523" i="4"/>
  <c r="P523" i="4"/>
  <c r="O523" i="4"/>
  <c r="N523" i="4"/>
  <c r="U522" i="4"/>
  <c r="T522" i="4"/>
  <c r="S522" i="4"/>
  <c r="R522" i="4"/>
  <c r="P522" i="4"/>
  <c r="O522" i="4"/>
  <c r="N522" i="4"/>
  <c r="U521" i="4"/>
  <c r="T521" i="4"/>
  <c r="S521" i="4"/>
  <c r="R521" i="4"/>
  <c r="P521" i="4"/>
  <c r="O521" i="4"/>
  <c r="N521" i="4"/>
  <c r="U520" i="4"/>
  <c r="T520" i="4"/>
  <c r="S520" i="4"/>
  <c r="R520" i="4"/>
  <c r="P520" i="4"/>
  <c r="O520" i="4"/>
  <c r="N520" i="4"/>
  <c r="U519" i="4"/>
  <c r="T519" i="4"/>
  <c r="S519" i="4"/>
  <c r="R519" i="4"/>
  <c r="P519" i="4"/>
  <c r="O519" i="4"/>
  <c r="N519" i="4"/>
  <c r="U518" i="4"/>
  <c r="T518" i="4"/>
  <c r="S518" i="4"/>
  <c r="R518" i="4"/>
  <c r="P518" i="4"/>
  <c r="O518" i="4"/>
  <c r="N518" i="4"/>
  <c r="U517" i="4"/>
  <c r="T517" i="4"/>
  <c r="S517" i="4"/>
  <c r="R517" i="4"/>
  <c r="P517" i="4"/>
  <c r="O517" i="4"/>
  <c r="N517" i="4"/>
  <c r="U516" i="4"/>
  <c r="T516" i="4"/>
  <c r="S516" i="4"/>
  <c r="R516" i="4"/>
  <c r="P516" i="4"/>
  <c r="O516" i="4"/>
  <c r="N516" i="4"/>
  <c r="U515" i="4"/>
  <c r="T515" i="4"/>
  <c r="S515" i="4"/>
  <c r="R515" i="4"/>
  <c r="P515" i="4"/>
  <c r="O515" i="4"/>
  <c r="N515" i="4"/>
  <c r="U514" i="4"/>
  <c r="T514" i="4"/>
  <c r="S514" i="4"/>
  <c r="R514" i="4"/>
  <c r="P514" i="4"/>
  <c r="O514" i="4"/>
  <c r="N514" i="4"/>
  <c r="U513" i="4"/>
  <c r="T513" i="4"/>
  <c r="S513" i="4"/>
  <c r="R513" i="4"/>
  <c r="P513" i="4"/>
  <c r="O513" i="4"/>
  <c r="N513" i="4"/>
  <c r="U512" i="4"/>
  <c r="T512" i="4"/>
  <c r="S512" i="4"/>
  <c r="R512" i="4"/>
  <c r="P512" i="4"/>
  <c r="O512" i="4"/>
  <c r="N512" i="4"/>
  <c r="U511" i="4"/>
  <c r="T511" i="4"/>
  <c r="S511" i="4"/>
  <c r="R511" i="4"/>
  <c r="P511" i="4"/>
  <c r="O511" i="4"/>
  <c r="N511" i="4"/>
  <c r="U510" i="4"/>
  <c r="T510" i="4"/>
  <c r="S510" i="4"/>
  <c r="R510" i="4"/>
  <c r="P510" i="4"/>
  <c r="O510" i="4"/>
  <c r="N510" i="4"/>
  <c r="U509" i="4"/>
  <c r="T509" i="4"/>
  <c r="S509" i="4"/>
  <c r="R509" i="4"/>
  <c r="P509" i="4"/>
  <c r="O509" i="4"/>
  <c r="N509" i="4"/>
  <c r="U508" i="4"/>
  <c r="T508" i="4"/>
  <c r="S508" i="4"/>
  <c r="R508" i="4"/>
  <c r="P508" i="4"/>
  <c r="O508" i="4"/>
  <c r="N508" i="4"/>
  <c r="U507" i="4"/>
  <c r="T507" i="4"/>
  <c r="S507" i="4"/>
  <c r="R507" i="4"/>
  <c r="P507" i="4"/>
  <c r="O507" i="4"/>
  <c r="N507" i="4"/>
  <c r="U506" i="4"/>
  <c r="T506" i="4"/>
  <c r="S506" i="4"/>
  <c r="R506" i="4"/>
  <c r="P506" i="4"/>
  <c r="O506" i="4"/>
  <c r="N506" i="4"/>
  <c r="U505" i="4"/>
  <c r="T505" i="4"/>
  <c r="S505" i="4"/>
  <c r="R505" i="4"/>
  <c r="P505" i="4"/>
  <c r="O505" i="4"/>
  <c r="N505" i="4"/>
  <c r="U504" i="4"/>
  <c r="T504" i="4"/>
  <c r="S504" i="4"/>
  <c r="R504" i="4"/>
  <c r="P504" i="4"/>
  <c r="O504" i="4"/>
  <c r="N504" i="4"/>
  <c r="U503" i="4"/>
  <c r="T503" i="4"/>
  <c r="S503" i="4"/>
  <c r="R503" i="4"/>
  <c r="P503" i="4"/>
  <c r="O503" i="4"/>
  <c r="N503" i="4"/>
  <c r="U502" i="4"/>
  <c r="T502" i="4"/>
  <c r="S502" i="4"/>
  <c r="R502" i="4"/>
  <c r="P502" i="4"/>
  <c r="O502" i="4"/>
  <c r="N502" i="4"/>
  <c r="U501" i="4"/>
  <c r="T501" i="4"/>
  <c r="S501" i="4"/>
  <c r="R501" i="4"/>
  <c r="P501" i="4"/>
  <c r="O501" i="4"/>
  <c r="N501" i="4"/>
  <c r="U500" i="4"/>
  <c r="T500" i="4"/>
  <c r="S500" i="4"/>
  <c r="R500" i="4"/>
  <c r="P500" i="4"/>
  <c r="O500" i="4"/>
  <c r="N500" i="4"/>
  <c r="U499" i="4"/>
  <c r="T499" i="4"/>
  <c r="S499" i="4"/>
  <c r="R499" i="4"/>
  <c r="P499" i="4"/>
  <c r="O499" i="4"/>
  <c r="N499" i="4"/>
  <c r="U498" i="4"/>
  <c r="T498" i="4"/>
  <c r="S498" i="4"/>
  <c r="R498" i="4"/>
  <c r="P498" i="4"/>
  <c r="O498" i="4"/>
  <c r="N498" i="4"/>
  <c r="U497" i="4"/>
  <c r="T497" i="4"/>
  <c r="S497" i="4"/>
  <c r="R497" i="4"/>
  <c r="P497" i="4"/>
  <c r="O497" i="4"/>
  <c r="N497" i="4"/>
  <c r="U496" i="4"/>
  <c r="T496" i="4"/>
  <c r="S496" i="4"/>
  <c r="R496" i="4"/>
  <c r="P496" i="4"/>
  <c r="O496" i="4"/>
  <c r="N496" i="4"/>
  <c r="U495" i="4"/>
  <c r="T495" i="4"/>
  <c r="S495" i="4"/>
  <c r="R495" i="4"/>
  <c r="P495" i="4"/>
  <c r="O495" i="4"/>
  <c r="N495" i="4"/>
  <c r="U494" i="4"/>
  <c r="T494" i="4"/>
  <c r="S494" i="4"/>
  <c r="R494" i="4"/>
  <c r="P494" i="4"/>
  <c r="O494" i="4"/>
  <c r="N494" i="4"/>
  <c r="U493" i="4"/>
  <c r="T493" i="4"/>
  <c r="S493" i="4"/>
  <c r="R493" i="4"/>
  <c r="P493" i="4"/>
  <c r="O493" i="4"/>
  <c r="N493" i="4"/>
  <c r="U492" i="4"/>
  <c r="T492" i="4"/>
  <c r="S492" i="4"/>
  <c r="R492" i="4"/>
  <c r="P492" i="4"/>
  <c r="O492" i="4"/>
  <c r="N492" i="4"/>
  <c r="U491" i="4"/>
  <c r="T491" i="4"/>
  <c r="S491" i="4"/>
  <c r="R491" i="4"/>
  <c r="P491" i="4"/>
  <c r="O491" i="4"/>
  <c r="N491" i="4"/>
  <c r="U490" i="4"/>
  <c r="T490" i="4"/>
  <c r="S490" i="4"/>
  <c r="R490" i="4"/>
  <c r="P490" i="4"/>
  <c r="O490" i="4"/>
  <c r="N490" i="4"/>
  <c r="U489" i="4"/>
  <c r="T489" i="4"/>
  <c r="S489" i="4"/>
  <c r="R489" i="4"/>
  <c r="P489" i="4"/>
  <c r="O489" i="4"/>
  <c r="N489" i="4"/>
  <c r="U488" i="4"/>
  <c r="T488" i="4"/>
  <c r="S488" i="4"/>
  <c r="R488" i="4"/>
  <c r="P488" i="4"/>
  <c r="O488" i="4"/>
  <c r="N488" i="4"/>
  <c r="U487" i="4"/>
  <c r="T487" i="4"/>
  <c r="S487" i="4"/>
  <c r="R487" i="4"/>
  <c r="P487" i="4"/>
  <c r="O487" i="4"/>
  <c r="N487" i="4"/>
  <c r="U486" i="4"/>
  <c r="T486" i="4"/>
  <c r="S486" i="4"/>
  <c r="R486" i="4"/>
  <c r="P486" i="4"/>
  <c r="O486" i="4"/>
  <c r="N486" i="4"/>
  <c r="U485" i="4"/>
  <c r="T485" i="4"/>
  <c r="S485" i="4"/>
  <c r="R485" i="4"/>
  <c r="P485" i="4"/>
  <c r="O485" i="4"/>
  <c r="N485" i="4"/>
  <c r="U484" i="4"/>
  <c r="T484" i="4"/>
  <c r="S484" i="4"/>
  <c r="R484" i="4"/>
  <c r="P484" i="4"/>
  <c r="O484" i="4"/>
  <c r="N484" i="4"/>
  <c r="U483" i="4"/>
  <c r="T483" i="4"/>
  <c r="S483" i="4"/>
  <c r="R483" i="4"/>
  <c r="P483" i="4"/>
  <c r="O483" i="4"/>
  <c r="N483" i="4"/>
  <c r="U482" i="4"/>
  <c r="T482" i="4"/>
  <c r="S482" i="4"/>
  <c r="R482" i="4"/>
  <c r="P482" i="4"/>
  <c r="O482" i="4"/>
  <c r="N482" i="4"/>
  <c r="U481" i="4"/>
  <c r="T481" i="4"/>
  <c r="S481" i="4"/>
  <c r="R481" i="4"/>
  <c r="P481" i="4"/>
  <c r="O481" i="4"/>
  <c r="N481" i="4"/>
  <c r="U480" i="4"/>
  <c r="T480" i="4"/>
  <c r="S480" i="4"/>
  <c r="R480" i="4"/>
  <c r="P480" i="4"/>
  <c r="O480" i="4"/>
  <c r="N480" i="4"/>
  <c r="U479" i="4"/>
  <c r="T479" i="4"/>
  <c r="S479" i="4"/>
  <c r="R479" i="4"/>
  <c r="P479" i="4"/>
  <c r="O479" i="4"/>
  <c r="N479" i="4"/>
  <c r="U478" i="4"/>
  <c r="T478" i="4"/>
  <c r="S478" i="4"/>
  <c r="R478" i="4"/>
  <c r="P478" i="4"/>
  <c r="O478" i="4"/>
  <c r="N478" i="4"/>
  <c r="U477" i="4"/>
  <c r="T477" i="4"/>
  <c r="S477" i="4"/>
  <c r="R477" i="4"/>
  <c r="P477" i="4"/>
  <c r="O477" i="4"/>
  <c r="N477" i="4"/>
  <c r="U476" i="4"/>
  <c r="T476" i="4"/>
  <c r="S476" i="4"/>
  <c r="R476" i="4"/>
  <c r="P476" i="4"/>
  <c r="O476" i="4"/>
  <c r="N476" i="4"/>
  <c r="U475" i="4"/>
  <c r="T475" i="4"/>
  <c r="S475" i="4"/>
  <c r="R475" i="4"/>
  <c r="P475" i="4"/>
  <c r="O475" i="4"/>
  <c r="N475" i="4"/>
  <c r="U474" i="4"/>
  <c r="T474" i="4"/>
  <c r="S474" i="4"/>
  <c r="R474" i="4"/>
  <c r="P474" i="4"/>
  <c r="O474" i="4"/>
  <c r="N474" i="4"/>
  <c r="U473" i="4"/>
  <c r="T473" i="4"/>
  <c r="S473" i="4"/>
  <c r="R473" i="4"/>
  <c r="P473" i="4"/>
  <c r="O473" i="4"/>
  <c r="N473" i="4"/>
  <c r="U472" i="4"/>
  <c r="T472" i="4"/>
  <c r="S472" i="4"/>
  <c r="R472" i="4"/>
  <c r="P472" i="4"/>
  <c r="O472" i="4"/>
  <c r="N472" i="4"/>
  <c r="U471" i="4"/>
  <c r="T471" i="4"/>
  <c r="S471" i="4"/>
  <c r="R471" i="4"/>
  <c r="P471" i="4"/>
  <c r="O471" i="4"/>
  <c r="N471" i="4"/>
  <c r="U470" i="4"/>
  <c r="T470" i="4"/>
  <c r="S470" i="4"/>
  <c r="R470" i="4"/>
  <c r="P470" i="4"/>
  <c r="O470" i="4"/>
  <c r="N470" i="4"/>
  <c r="U469" i="4"/>
  <c r="T469" i="4"/>
  <c r="S469" i="4"/>
  <c r="R469" i="4"/>
  <c r="P469" i="4"/>
  <c r="O469" i="4"/>
  <c r="N469" i="4"/>
  <c r="U468" i="4"/>
  <c r="T468" i="4"/>
  <c r="S468" i="4"/>
  <c r="R468" i="4"/>
  <c r="P468" i="4"/>
  <c r="O468" i="4"/>
  <c r="N468" i="4"/>
  <c r="U467" i="4"/>
  <c r="T467" i="4"/>
  <c r="S467" i="4"/>
  <c r="R467" i="4"/>
  <c r="P467" i="4"/>
  <c r="O467" i="4"/>
  <c r="N467" i="4"/>
  <c r="U466" i="4"/>
  <c r="T466" i="4"/>
  <c r="S466" i="4"/>
  <c r="R466" i="4"/>
  <c r="P466" i="4"/>
  <c r="O466" i="4"/>
  <c r="N466" i="4"/>
  <c r="U465" i="4"/>
  <c r="T465" i="4"/>
  <c r="S465" i="4"/>
  <c r="R465" i="4"/>
  <c r="P465" i="4"/>
  <c r="O465" i="4"/>
  <c r="N465" i="4"/>
  <c r="U464" i="4"/>
  <c r="T464" i="4"/>
  <c r="S464" i="4"/>
  <c r="R464" i="4"/>
  <c r="P464" i="4"/>
  <c r="O464" i="4"/>
  <c r="N464" i="4"/>
  <c r="U463" i="4"/>
  <c r="T463" i="4"/>
  <c r="S463" i="4"/>
  <c r="R463" i="4"/>
  <c r="P463" i="4"/>
  <c r="O463" i="4"/>
  <c r="N463" i="4"/>
  <c r="U462" i="4"/>
  <c r="T462" i="4"/>
  <c r="S462" i="4"/>
  <c r="R462" i="4"/>
  <c r="P462" i="4"/>
  <c r="O462" i="4"/>
  <c r="N462" i="4"/>
  <c r="U461" i="4"/>
  <c r="T461" i="4"/>
  <c r="S461" i="4"/>
  <c r="R461" i="4"/>
  <c r="P461" i="4"/>
  <c r="O461" i="4"/>
  <c r="N461" i="4"/>
  <c r="U460" i="4"/>
  <c r="T460" i="4"/>
  <c r="S460" i="4"/>
  <c r="R460" i="4"/>
  <c r="P460" i="4"/>
  <c r="O460" i="4"/>
  <c r="N460" i="4"/>
  <c r="U459" i="4"/>
  <c r="T459" i="4"/>
  <c r="S459" i="4"/>
  <c r="R459" i="4"/>
  <c r="P459" i="4"/>
  <c r="O459" i="4"/>
  <c r="N459" i="4"/>
  <c r="U458" i="4"/>
  <c r="T458" i="4"/>
  <c r="S458" i="4"/>
  <c r="R458" i="4"/>
  <c r="P458" i="4"/>
  <c r="O458" i="4"/>
  <c r="N458" i="4"/>
  <c r="U457" i="4"/>
  <c r="T457" i="4"/>
  <c r="S457" i="4"/>
  <c r="R457" i="4"/>
  <c r="P457" i="4"/>
  <c r="O457" i="4"/>
  <c r="N457" i="4"/>
  <c r="U456" i="4"/>
  <c r="T456" i="4"/>
  <c r="S456" i="4"/>
  <c r="R456" i="4"/>
  <c r="P456" i="4"/>
  <c r="O456" i="4"/>
  <c r="N456" i="4"/>
  <c r="U455" i="4"/>
  <c r="T455" i="4"/>
  <c r="S455" i="4"/>
  <c r="R455" i="4"/>
  <c r="P455" i="4"/>
  <c r="O455" i="4"/>
  <c r="N455" i="4"/>
  <c r="U454" i="4"/>
  <c r="T454" i="4"/>
  <c r="S454" i="4"/>
  <c r="R454" i="4"/>
  <c r="P454" i="4"/>
  <c r="O454" i="4"/>
  <c r="N454" i="4"/>
  <c r="U453" i="4"/>
  <c r="T453" i="4"/>
  <c r="S453" i="4"/>
  <c r="R453" i="4"/>
  <c r="P453" i="4"/>
  <c r="O453" i="4"/>
  <c r="N453" i="4"/>
  <c r="U452" i="4"/>
  <c r="T452" i="4"/>
  <c r="S452" i="4"/>
  <c r="R452" i="4"/>
  <c r="P452" i="4"/>
  <c r="O452" i="4"/>
  <c r="N452" i="4"/>
  <c r="U451" i="4"/>
  <c r="T451" i="4"/>
  <c r="S451" i="4"/>
  <c r="R451" i="4"/>
  <c r="P451" i="4"/>
  <c r="O451" i="4"/>
  <c r="N451" i="4"/>
  <c r="U450" i="4"/>
  <c r="T450" i="4"/>
  <c r="S450" i="4"/>
  <c r="R450" i="4"/>
  <c r="P450" i="4"/>
  <c r="O450" i="4"/>
  <c r="N450" i="4"/>
  <c r="U449" i="4"/>
  <c r="T449" i="4"/>
  <c r="S449" i="4"/>
  <c r="R449" i="4"/>
  <c r="P449" i="4"/>
  <c r="O449" i="4"/>
  <c r="N449" i="4"/>
  <c r="U448" i="4"/>
  <c r="T448" i="4"/>
  <c r="S448" i="4"/>
  <c r="R448" i="4"/>
  <c r="P448" i="4"/>
  <c r="O448" i="4"/>
  <c r="N448" i="4"/>
  <c r="U447" i="4"/>
  <c r="T447" i="4"/>
  <c r="S447" i="4"/>
  <c r="R447" i="4"/>
  <c r="P447" i="4"/>
  <c r="O447" i="4"/>
  <c r="N447" i="4"/>
  <c r="U446" i="4"/>
  <c r="T446" i="4"/>
  <c r="S446" i="4"/>
  <c r="R446" i="4"/>
  <c r="P446" i="4"/>
  <c r="O446" i="4"/>
  <c r="N446" i="4"/>
  <c r="U445" i="4"/>
  <c r="T445" i="4"/>
  <c r="S445" i="4"/>
  <c r="R445" i="4"/>
  <c r="P445" i="4"/>
  <c r="O445" i="4"/>
  <c r="N445" i="4"/>
  <c r="U444" i="4"/>
  <c r="T444" i="4"/>
  <c r="S444" i="4"/>
  <c r="R444" i="4"/>
  <c r="P444" i="4"/>
  <c r="O444" i="4"/>
  <c r="N444" i="4"/>
  <c r="U443" i="4"/>
  <c r="T443" i="4"/>
  <c r="S443" i="4"/>
  <c r="R443" i="4"/>
  <c r="P443" i="4"/>
  <c r="O443" i="4"/>
  <c r="N443" i="4"/>
  <c r="U442" i="4"/>
  <c r="T442" i="4"/>
  <c r="S442" i="4"/>
  <c r="R442" i="4"/>
  <c r="P442" i="4"/>
  <c r="O442" i="4"/>
  <c r="N442" i="4"/>
  <c r="U441" i="4"/>
  <c r="T441" i="4"/>
  <c r="S441" i="4"/>
  <c r="R441" i="4"/>
  <c r="P441" i="4"/>
  <c r="O441" i="4"/>
  <c r="N441" i="4"/>
  <c r="U440" i="4"/>
  <c r="T440" i="4"/>
  <c r="S440" i="4"/>
  <c r="R440" i="4"/>
  <c r="P440" i="4"/>
  <c r="O440" i="4"/>
  <c r="N440" i="4"/>
  <c r="U439" i="4"/>
  <c r="T439" i="4"/>
  <c r="S439" i="4"/>
  <c r="R439" i="4"/>
  <c r="P439" i="4"/>
  <c r="O439" i="4"/>
  <c r="N439" i="4"/>
  <c r="U438" i="4"/>
  <c r="T438" i="4"/>
  <c r="S438" i="4"/>
  <c r="R438" i="4"/>
  <c r="P438" i="4"/>
  <c r="O438" i="4"/>
  <c r="N438" i="4"/>
  <c r="U437" i="4"/>
  <c r="T437" i="4"/>
  <c r="S437" i="4"/>
  <c r="R437" i="4"/>
  <c r="P437" i="4"/>
  <c r="O437" i="4"/>
  <c r="N437" i="4"/>
  <c r="U436" i="4"/>
  <c r="T436" i="4"/>
  <c r="S436" i="4"/>
  <c r="R436" i="4"/>
  <c r="P436" i="4"/>
  <c r="O436" i="4"/>
  <c r="N436" i="4"/>
  <c r="U435" i="4"/>
  <c r="T435" i="4"/>
  <c r="S435" i="4"/>
  <c r="R435" i="4"/>
  <c r="P435" i="4"/>
  <c r="O435" i="4"/>
  <c r="N435" i="4"/>
  <c r="U434" i="4"/>
  <c r="T434" i="4"/>
  <c r="S434" i="4"/>
  <c r="R434" i="4"/>
  <c r="P434" i="4"/>
  <c r="O434" i="4"/>
  <c r="N434" i="4"/>
  <c r="U433" i="4"/>
  <c r="T433" i="4"/>
  <c r="S433" i="4"/>
  <c r="R433" i="4"/>
  <c r="P433" i="4"/>
  <c r="O433" i="4"/>
  <c r="N433" i="4"/>
  <c r="U432" i="4"/>
  <c r="T432" i="4"/>
  <c r="S432" i="4"/>
  <c r="R432" i="4"/>
  <c r="P432" i="4"/>
  <c r="O432" i="4"/>
  <c r="N432" i="4"/>
  <c r="U431" i="4"/>
  <c r="T431" i="4"/>
  <c r="S431" i="4"/>
  <c r="R431" i="4"/>
  <c r="P431" i="4"/>
  <c r="O431" i="4"/>
  <c r="N431" i="4"/>
  <c r="U430" i="4"/>
  <c r="T430" i="4"/>
  <c r="S430" i="4"/>
  <c r="R430" i="4"/>
  <c r="P430" i="4"/>
  <c r="O430" i="4"/>
  <c r="N430" i="4"/>
  <c r="U429" i="4"/>
  <c r="T429" i="4"/>
  <c r="S429" i="4"/>
  <c r="R429" i="4"/>
  <c r="P429" i="4"/>
  <c r="O429" i="4"/>
  <c r="N429" i="4"/>
  <c r="U428" i="4"/>
  <c r="T428" i="4"/>
  <c r="S428" i="4"/>
  <c r="R428" i="4"/>
  <c r="P428" i="4"/>
  <c r="O428" i="4"/>
  <c r="N428" i="4"/>
  <c r="U427" i="4"/>
  <c r="T427" i="4"/>
  <c r="S427" i="4"/>
  <c r="R427" i="4"/>
  <c r="P427" i="4"/>
  <c r="O427" i="4"/>
  <c r="N427" i="4"/>
  <c r="U426" i="4"/>
  <c r="T426" i="4"/>
  <c r="S426" i="4"/>
  <c r="R426" i="4"/>
  <c r="P426" i="4"/>
  <c r="O426" i="4"/>
  <c r="N426" i="4"/>
  <c r="U425" i="4"/>
  <c r="T425" i="4"/>
  <c r="S425" i="4"/>
  <c r="R425" i="4"/>
  <c r="P425" i="4"/>
  <c r="O425" i="4"/>
  <c r="N425" i="4"/>
  <c r="U424" i="4"/>
  <c r="T424" i="4"/>
  <c r="S424" i="4"/>
  <c r="R424" i="4"/>
  <c r="P424" i="4"/>
  <c r="O424" i="4"/>
  <c r="N424" i="4"/>
  <c r="U423" i="4"/>
  <c r="T423" i="4"/>
  <c r="S423" i="4"/>
  <c r="R423" i="4"/>
  <c r="P423" i="4"/>
  <c r="O423" i="4"/>
  <c r="N423" i="4"/>
  <c r="U422" i="4"/>
  <c r="T422" i="4"/>
  <c r="S422" i="4"/>
  <c r="R422" i="4"/>
  <c r="P422" i="4"/>
  <c r="O422" i="4"/>
  <c r="N422" i="4"/>
  <c r="U421" i="4"/>
  <c r="T421" i="4"/>
  <c r="S421" i="4"/>
  <c r="R421" i="4"/>
  <c r="P421" i="4"/>
  <c r="O421" i="4"/>
  <c r="N421" i="4"/>
  <c r="U420" i="4"/>
  <c r="T420" i="4"/>
  <c r="S420" i="4"/>
  <c r="R420" i="4"/>
  <c r="P420" i="4"/>
  <c r="O420" i="4"/>
  <c r="N420" i="4"/>
  <c r="U419" i="4"/>
  <c r="T419" i="4"/>
  <c r="S419" i="4"/>
  <c r="R419" i="4"/>
  <c r="P419" i="4"/>
  <c r="O419" i="4"/>
  <c r="N419" i="4"/>
  <c r="U418" i="4"/>
  <c r="T418" i="4"/>
  <c r="S418" i="4"/>
  <c r="R418" i="4"/>
  <c r="P418" i="4"/>
  <c r="O418" i="4"/>
  <c r="N418" i="4"/>
  <c r="U417" i="4"/>
  <c r="T417" i="4"/>
  <c r="S417" i="4"/>
  <c r="R417" i="4"/>
  <c r="P417" i="4"/>
  <c r="O417" i="4"/>
  <c r="N417" i="4"/>
  <c r="U416" i="4"/>
  <c r="T416" i="4"/>
  <c r="S416" i="4"/>
  <c r="R416" i="4"/>
  <c r="P416" i="4"/>
  <c r="O416" i="4"/>
  <c r="N416" i="4"/>
  <c r="U415" i="4"/>
  <c r="T415" i="4"/>
  <c r="S415" i="4"/>
  <c r="R415" i="4"/>
  <c r="P415" i="4"/>
  <c r="O415" i="4"/>
  <c r="N415" i="4"/>
  <c r="U414" i="4"/>
  <c r="T414" i="4"/>
  <c r="S414" i="4"/>
  <c r="R414" i="4"/>
  <c r="P414" i="4"/>
  <c r="O414" i="4"/>
  <c r="N414" i="4"/>
  <c r="U413" i="4"/>
  <c r="T413" i="4"/>
  <c r="S413" i="4"/>
  <c r="R413" i="4"/>
  <c r="P413" i="4"/>
  <c r="O413" i="4"/>
  <c r="N413" i="4"/>
  <c r="U412" i="4"/>
  <c r="T412" i="4"/>
  <c r="S412" i="4"/>
  <c r="R412" i="4"/>
  <c r="P412" i="4"/>
  <c r="O412" i="4"/>
  <c r="N412" i="4"/>
  <c r="U411" i="4"/>
  <c r="T411" i="4"/>
  <c r="S411" i="4"/>
  <c r="R411" i="4"/>
  <c r="P411" i="4"/>
  <c r="O411" i="4"/>
  <c r="N411" i="4"/>
  <c r="U410" i="4"/>
  <c r="T410" i="4"/>
  <c r="S410" i="4"/>
  <c r="R410" i="4"/>
  <c r="P410" i="4"/>
  <c r="O410" i="4"/>
  <c r="N410" i="4"/>
  <c r="U409" i="4"/>
  <c r="T409" i="4"/>
  <c r="S409" i="4"/>
  <c r="R409" i="4"/>
  <c r="P409" i="4"/>
  <c r="O409" i="4"/>
  <c r="N409" i="4"/>
  <c r="U408" i="4"/>
  <c r="T408" i="4"/>
  <c r="S408" i="4"/>
  <c r="R408" i="4"/>
  <c r="P408" i="4"/>
  <c r="O408" i="4"/>
  <c r="N408" i="4"/>
  <c r="U407" i="4"/>
  <c r="T407" i="4"/>
  <c r="S407" i="4"/>
  <c r="R407" i="4"/>
  <c r="P407" i="4"/>
  <c r="O407" i="4"/>
  <c r="N407" i="4"/>
  <c r="U406" i="4"/>
  <c r="T406" i="4"/>
  <c r="S406" i="4"/>
  <c r="R406" i="4"/>
  <c r="P406" i="4"/>
  <c r="O406" i="4"/>
  <c r="N406" i="4"/>
  <c r="U405" i="4"/>
  <c r="T405" i="4"/>
  <c r="S405" i="4"/>
  <c r="R405" i="4"/>
  <c r="P405" i="4"/>
  <c r="O405" i="4"/>
  <c r="N405" i="4"/>
  <c r="U404" i="4"/>
  <c r="T404" i="4"/>
  <c r="S404" i="4"/>
  <c r="R404" i="4"/>
  <c r="P404" i="4"/>
  <c r="O404" i="4"/>
  <c r="N404" i="4"/>
  <c r="U403" i="4"/>
  <c r="T403" i="4"/>
  <c r="S403" i="4"/>
  <c r="R403" i="4"/>
  <c r="P403" i="4"/>
  <c r="O403" i="4"/>
  <c r="N403" i="4"/>
  <c r="U402" i="4"/>
  <c r="T402" i="4"/>
  <c r="S402" i="4"/>
  <c r="R402" i="4"/>
  <c r="P402" i="4"/>
  <c r="O402" i="4"/>
  <c r="N402" i="4"/>
  <c r="U401" i="4"/>
  <c r="T401" i="4"/>
  <c r="S401" i="4"/>
  <c r="R401" i="4"/>
  <c r="P401" i="4"/>
  <c r="O401" i="4"/>
  <c r="N401" i="4"/>
  <c r="U400" i="4"/>
  <c r="T400" i="4"/>
  <c r="S400" i="4"/>
  <c r="R400" i="4"/>
  <c r="P400" i="4"/>
  <c r="O400" i="4"/>
  <c r="N400" i="4"/>
  <c r="U399" i="4"/>
  <c r="T399" i="4"/>
  <c r="S399" i="4"/>
  <c r="R399" i="4"/>
  <c r="P399" i="4"/>
  <c r="O399" i="4"/>
  <c r="N399" i="4"/>
  <c r="U398" i="4"/>
  <c r="T398" i="4"/>
  <c r="S398" i="4"/>
  <c r="R398" i="4"/>
  <c r="P398" i="4"/>
  <c r="O398" i="4"/>
  <c r="N398" i="4"/>
  <c r="U397" i="4"/>
  <c r="T397" i="4"/>
  <c r="S397" i="4"/>
  <c r="R397" i="4"/>
  <c r="P397" i="4"/>
  <c r="O397" i="4"/>
  <c r="N397" i="4"/>
  <c r="U396" i="4"/>
  <c r="T396" i="4"/>
  <c r="S396" i="4"/>
  <c r="R396" i="4"/>
  <c r="P396" i="4"/>
  <c r="O396" i="4"/>
  <c r="N396" i="4"/>
  <c r="U395" i="4"/>
  <c r="T395" i="4"/>
  <c r="S395" i="4"/>
  <c r="R395" i="4"/>
  <c r="P395" i="4"/>
  <c r="O395" i="4"/>
  <c r="N395" i="4"/>
  <c r="U394" i="4"/>
  <c r="T394" i="4"/>
  <c r="S394" i="4"/>
  <c r="R394" i="4"/>
  <c r="P394" i="4"/>
  <c r="O394" i="4"/>
  <c r="N394" i="4"/>
  <c r="U393" i="4"/>
  <c r="T393" i="4"/>
  <c r="S393" i="4"/>
  <c r="R393" i="4"/>
  <c r="P393" i="4"/>
  <c r="O393" i="4"/>
  <c r="N393" i="4"/>
  <c r="U392" i="4"/>
  <c r="T392" i="4"/>
  <c r="S392" i="4"/>
  <c r="R392" i="4"/>
  <c r="P392" i="4"/>
  <c r="O392" i="4"/>
  <c r="N392" i="4"/>
  <c r="U391" i="4"/>
  <c r="T391" i="4"/>
  <c r="S391" i="4"/>
  <c r="R391" i="4"/>
  <c r="P391" i="4"/>
  <c r="O391" i="4"/>
  <c r="N391" i="4"/>
  <c r="U390" i="4"/>
  <c r="T390" i="4"/>
  <c r="S390" i="4"/>
  <c r="R390" i="4"/>
  <c r="P390" i="4"/>
  <c r="O390" i="4"/>
  <c r="N390" i="4"/>
  <c r="U389" i="4"/>
  <c r="T389" i="4"/>
  <c r="S389" i="4"/>
  <c r="R389" i="4"/>
  <c r="P389" i="4"/>
  <c r="O389" i="4"/>
  <c r="N389" i="4"/>
  <c r="U388" i="4"/>
  <c r="T388" i="4"/>
  <c r="S388" i="4"/>
  <c r="R388" i="4"/>
  <c r="P388" i="4"/>
  <c r="O388" i="4"/>
  <c r="N388" i="4"/>
  <c r="U387" i="4"/>
  <c r="T387" i="4"/>
  <c r="S387" i="4"/>
  <c r="R387" i="4"/>
  <c r="P387" i="4"/>
  <c r="O387" i="4"/>
  <c r="N387" i="4"/>
  <c r="U386" i="4"/>
  <c r="T386" i="4"/>
  <c r="S386" i="4"/>
  <c r="R386" i="4"/>
  <c r="P386" i="4"/>
  <c r="O386" i="4"/>
  <c r="N386" i="4"/>
  <c r="U385" i="4"/>
  <c r="T385" i="4"/>
  <c r="S385" i="4"/>
  <c r="R385" i="4"/>
  <c r="P385" i="4"/>
  <c r="O385" i="4"/>
  <c r="N385" i="4"/>
  <c r="U384" i="4"/>
  <c r="T384" i="4"/>
  <c r="S384" i="4"/>
  <c r="R384" i="4"/>
  <c r="P384" i="4"/>
  <c r="O384" i="4"/>
  <c r="N384" i="4"/>
  <c r="U383" i="4"/>
  <c r="T383" i="4"/>
  <c r="S383" i="4"/>
  <c r="R383" i="4"/>
  <c r="P383" i="4"/>
  <c r="O383" i="4"/>
  <c r="N383" i="4"/>
  <c r="U382" i="4"/>
  <c r="T382" i="4"/>
  <c r="S382" i="4"/>
  <c r="R382" i="4"/>
  <c r="P382" i="4"/>
  <c r="O382" i="4"/>
  <c r="N382" i="4"/>
  <c r="U381" i="4"/>
  <c r="T381" i="4"/>
  <c r="S381" i="4"/>
  <c r="R381" i="4"/>
  <c r="P381" i="4"/>
  <c r="O381" i="4"/>
  <c r="N381" i="4"/>
  <c r="U380" i="4"/>
  <c r="T380" i="4"/>
  <c r="S380" i="4"/>
  <c r="R380" i="4"/>
  <c r="P380" i="4"/>
  <c r="O380" i="4"/>
  <c r="N380" i="4"/>
  <c r="U379" i="4"/>
  <c r="T379" i="4"/>
  <c r="S379" i="4"/>
  <c r="R379" i="4"/>
  <c r="P379" i="4"/>
  <c r="O379" i="4"/>
  <c r="N379" i="4"/>
  <c r="U378" i="4"/>
  <c r="T378" i="4"/>
  <c r="S378" i="4"/>
  <c r="R378" i="4"/>
  <c r="P378" i="4"/>
  <c r="O378" i="4"/>
  <c r="N378" i="4"/>
  <c r="U377" i="4"/>
  <c r="T377" i="4"/>
  <c r="S377" i="4"/>
  <c r="R377" i="4"/>
  <c r="P377" i="4"/>
  <c r="O377" i="4"/>
  <c r="N377" i="4"/>
  <c r="U376" i="4"/>
  <c r="T376" i="4"/>
  <c r="S376" i="4"/>
  <c r="R376" i="4"/>
  <c r="P376" i="4"/>
  <c r="O376" i="4"/>
  <c r="N376" i="4"/>
  <c r="U375" i="4"/>
  <c r="T375" i="4"/>
  <c r="S375" i="4"/>
  <c r="R375" i="4"/>
  <c r="P375" i="4"/>
  <c r="O375" i="4"/>
  <c r="N375" i="4"/>
  <c r="U374" i="4"/>
  <c r="T374" i="4"/>
  <c r="S374" i="4"/>
  <c r="R374" i="4"/>
  <c r="P374" i="4"/>
  <c r="O374" i="4"/>
  <c r="N374" i="4"/>
  <c r="U373" i="4"/>
  <c r="T373" i="4"/>
  <c r="S373" i="4"/>
  <c r="R373" i="4"/>
  <c r="P373" i="4"/>
  <c r="O373" i="4"/>
  <c r="N373" i="4"/>
  <c r="U372" i="4"/>
  <c r="T372" i="4"/>
  <c r="S372" i="4"/>
  <c r="R372" i="4"/>
  <c r="P372" i="4"/>
  <c r="O372" i="4"/>
  <c r="N372" i="4"/>
  <c r="U371" i="4"/>
  <c r="T371" i="4"/>
  <c r="S371" i="4"/>
  <c r="R371" i="4"/>
  <c r="P371" i="4"/>
  <c r="O371" i="4"/>
  <c r="N371" i="4"/>
  <c r="U370" i="4"/>
  <c r="T370" i="4"/>
  <c r="S370" i="4"/>
  <c r="R370" i="4"/>
  <c r="P370" i="4"/>
  <c r="O370" i="4"/>
  <c r="N370" i="4"/>
  <c r="U369" i="4"/>
  <c r="T369" i="4"/>
  <c r="S369" i="4"/>
  <c r="R369" i="4"/>
  <c r="P369" i="4"/>
  <c r="O369" i="4"/>
  <c r="N369" i="4"/>
  <c r="U368" i="4"/>
  <c r="T368" i="4"/>
  <c r="S368" i="4"/>
  <c r="R368" i="4"/>
  <c r="P368" i="4"/>
  <c r="O368" i="4"/>
  <c r="N368" i="4"/>
  <c r="U367" i="4"/>
  <c r="T367" i="4"/>
  <c r="S367" i="4"/>
  <c r="R367" i="4"/>
  <c r="P367" i="4"/>
  <c r="O367" i="4"/>
  <c r="N367" i="4"/>
  <c r="U366" i="4"/>
  <c r="T366" i="4"/>
  <c r="S366" i="4"/>
  <c r="R366" i="4"/>
  <c r="P366" i="4"/>
  <c r="O366" i="4"/>
  <c r="N366" i="4"/>
  <c r="U365" i="4"/>
  <c r="T365" i="4"/>
  <c r="S365" i="4"/>
  <c r="R365" i="4"/>
  <c r="P365" i="4"/>
  <c r="O365" i="4"/>
  <c r="N365" i="4"/>
  <c r="U364" i="4"/>
  <c r="T364" i="4"/>
  <c r="S364" i="4"/>
  <c r="R364" i="4"/>
  <c r="P364" i="4"/>
  <c r="O364" i="4"/>
  <c r="N364" i="4"/>
  <c r="U363" i="4"/>
  <c r="T363" i="4"/>
  <c r="S363" i="4"/>
  <c r="R363" i="4"/>
  <c r="P363" i="4"/>
  <c r="O363" i="4"/>
  <c r="N363" i="4"/>
  <c r="U362" i="4"/>
  <c r="T362" i="4"/>
  <c r="S362" i="4"/>
  <c r="R362" i="4"/>
  <c r="P362" i="4"/>
  <c r="O362" i="4"/>
  <c r="N362" i="4"/>
  <c r="U361" i="4"/>
  <c r="T361" i="4"/>
  <c r="S361" i="4"/>
  <c r="R361" i="4"/>
  <c r="P361" i="4"/>
  <c r="O361" i="4"/>
  <c r="N361" i="4"/>
  <c r="U360" i="4"/>
  <c r="T360" i="4"/>
  <c r="S360" i="4"/>
  <c r="R360" i="4"/>
  <c r="P360" i="4"/>
  <c r="O360" i="4"/>
  <c r="N360" i="4"/>
  <c r="U359" i="4"/>
  <c r="T359" i="4"/>
  <c r="S359" i="4"/>
  <c r="R359" i="4"/>
  <c r="P359" i="4"/>
  <c r="O359" i="4"/>
  <c r="N359" i="4"/>
  <c r="U358" i="4"/>
  <c r="T358" i="4"/>
  <c r="S358" i="4"/>
  <c r="R358" i="4"/>
  <c r="P358" i="4"/>
  <c r="O358" i="4"/>
  <c r="N358" i="4"/>
  <c r="U357" i="4"/>
  <c r="T357" i="4"/>
  <c r="S357" i="4"/>
  <c r="R357" i="4"/>
  <c r="P357" i="4"/>
  <c r="O357" i="4"/>
  <c r="N357" i="4"/>
  <c r="U356" i="4"/>
  <c r="T356" i="4"/>
  <c r="S356" i="4"/>
  <c r="R356" i="4"/>
  <c r="P356" i="4"/>
  <c r="O356" i="4"/>
  <c r="N356" i="4"/>
  <c r="U355" i="4"/>
  <c r="T355" i="4"/>
  <c r="S355" i="4"/>
  <c r="R355" i="4"/>
  <c r="P355" i="4"/>
  <c r="O355" i="4"/>
  <c r="N355" i="4"/>
  <c r="U354" i="4"/>
  <c r="T354" i="4"/>
  <c r="S354" i="4"/>
  <c r="R354" i="4"/>
  <c r="P354" i="4"/>
  <c r="O354" i="4"/>
  <c r="N354" i="4"/>
  <c r="U353" i="4"/>
  <c r="T353" i="4"/>
  <c r="S353" i="4"/>
  <c r="R353" i="4"/>
  <c r="P353" i="4"/>
  <c r="O353" i="4"/>
  <c r="N353" i="4"/>
  <c r="U352" i="4"/>
  <c r="T352" i="4"/>
  <c r="S352" i="4"/>
  <c r="R352" i="4"/>
  <c r="P352" i="4"/>
  <c r="O352" i="4"/>
  <c r="N352" i="4"/>
  <c r="U351" i="4"/>
  <c r="T351" i="4"/>
  <c r="S351" i="4"/>
  <c r="R351" i="4"/>
  <c r="P351" i="4"/>
  <c r="O351" i="4"/>
  <c r="N351" i="4"/>
  <c r="U350" i="4"/>
  <c r="T350" i="4"/>
  <c r="S350" i="4"/>
  <c r="R350" i="4"/>
  <c r="P350" i="4"/>
  <c r="O350" i="4"/>
  <c r="N350" i="4"/>
  <c r="U349" i="4"/>
  <c r="T349" i="4"/>
  <c r="S349" i="4"/>
  <c r="R349" i="4"/>
  <c r="P349" i="4"/>
  <c r="O349" i="4"/>
  <c r="N349" i="4"/>
  <c r="U348" i="4"/>
  <c r="T348" i="4"/>
  <c r="S348" i="4"/>
  <c r="R348" i="4"/>
  <c r="P348" i="4"/>
  <c r="O348" i="4"/>
  <c r="N348" i="4"/>
  <c r="U347" i="4"/>
  <c r="T347" i="4"/>
  <c r="S347" i="4"/>
  <c r="R347" i="4"/>
  <c r="P347" i="4"/>
  <c r="O347" i="4"/>
  <c r="N347" i="4"/>
  <c r="U346" i="4"/>
  <c r="T346" i="4"/>
  <c r="S346" i="4"/>
  <c r="R346" i="4"/>
  <c r="P346" i="4"/>
  <c r="O346" i="4"/>
  <c r="N346" i="4"/>
  <c r="U345" i="4"/>
  <c r="T345" i="4"/>
  <c r="S345" i="4"/>
  <c r="R345" i="4"/>
  <c r="P345" i="4"/>
  <c r="O345" i="4"/>
  <c r="N345" i="4"/>
  <c r="U344" i="4"/>
  <c r="T344" i="4"/>
  <c r="S344" i="4"/>
  <c r="R344" i="4"/>
  <c r="P344" i="4"/>
  <c r="O344" i="4"/>
  <c r="N344" i="4"/>
  <c r="U343" i="4"/>
  <c r="T343" i="4"/>
  <c r="S343" i="4"/>
  <c r="R343" i="4"/>
  <c r="P343" i="4"/>
  <c r="O343" i="4"/>
  <c r="N343" i="4"/>
  <c r="U342" i="4"/>
  <c r="T342" i="4"/>
  <c r="S342" i="4"/>
  <c r="R342" i="4"/>
  <c r="P342" i="4"/>
  <c r="O342" i="4"/>
  <c r="N342" i="4"/>
  <c r="U341" i="4"/>
  <c r="T341" i="4"/>
  <c r="S341" i="4"/>
  <c r="R341" i="4"/>
  <c r="P341" i="4"/>
  <c r="O341" i="4"/>
  <c r="N341" i="4"/>
  <c r="U340" i="4"/>
  <c r="T340" i="4"/>
  <c r="S340" i="4"/>
  <c r="R340" i="4"/>
  <c r="P340" i="4"/>
  <c r="O340" i="4"/>
  <c r="N340" i="4"/>
  <c r="U339" i="4"/>
  <c r="T339" i="4"/>
  <c r="S339" i="4"/>
  <c r="R339" i="4"/>
  <c r="P339" i="4"/>
  <c r="O339" i="4"/>
  <c r="N339" i="4"/>
  <c r="U338" i="4"/>
  <c r="T338" i="4"/>
  <c r="S338" i="4"/>
  <c r="R338" i="4"/>
  <c r="P338" i="4"/>
  <c r="O338" i="4"/>
  <c r="N338" i="4"/>
  <c r="U337" i="4"/>
  <c r="T337" i="4"/>
  <c r="S337" i="4"/>
  <c r="R337" i="4"/>
  <c r="P337" i="4"/>
  <c r="O337" i="4"/>
  <c r="N337" i="4"/>
  <c r="U336" i="4"/>
  <c r="T336" i="4"/>
  <c r="S336" i="4"/>
  <c r="R336" i="4"/>
  <c r="P336" i="4"/>
  <c r="O336" i="4"/>
  <c r="N336" i="4"/>
  <c r="U335" i="4"/>
  <c r="T335" i="4"/>
  <c r="S335" i="4"/>
  <c r="R335" i="4"/>
  <c r="P335" i="4"/>
  <c r="O335" i="4"/>
  <c r="N335" i="4"/>
  <c r="U334" i="4"/>
  <c r="T334" i="4"/>
  <c r="S334" i="4"/>
  <c r="R334" i="4"/>
  <c r="P334" i="4"/>
  <c r="O334" i="4"/>
  <c r="N334" i="4"/>
  <c r="U333" i="4"/>
  <c r="T333" i="4"/>
  <c r="S333" i="4"/>
  <c r="R333" i="4"/>
  <c r="P333" i="4"/>
  <c r="O333" i="4"/>
  <c r="N333" i="4"/>
  <c r="U332" i="4"/>
  <c r="T332" i="4"/>
  <c r="S332" i="4"/>
  <c r="R332" i="4"/>
  <c r="P332" i="4"/>
  <c r="O332" i="4"/>
  <c r="N332" i="4"/>
  <c r="U331" i="4"/>
  <c r="T331" i="4"/>
  <c r="S331" i="4"/>
  <c r="R331" i="4"/>
  <c r="P331" i="4"/>
  <c r="O331" i="4"/>
  <c r="N331" i="4"/>
  <c r="U330" i="4"/>
  <c r="T330" i="4"/>
  <c r="S330" i="4"/>
  <c r="R330" i="4"/>
  <c r="P330" i="4"/>
  <c r="O330" i="4"/>
  <c r="N330" i="4"/>
  <c r="U329" i="4"/>
  <c r="T329" i="4"/>
  <c r="S329" i="4"/>
  <c r="R329" i="4"/>
  <c r="P329" i="4"/>
  <c r="O329" i="4"/>
  <c r="N329" i="4"/>
  <c r="U328" i="4"/>
  <c r="T328" i="4"/>
  <c r="S328" i="4"/>
  <c r="R328" i="4"/>
  <c r="P328" i="4"/>
  <c r="O328" i="4"/>
  <c r="N328" i="4"/>
  <c r="U327" i="4"/>
  <c r="T327" i="4"/>
  <c r="S327" i="4"/>
  <c r="R327" i="4"/>
  <c r="P327" i="4"/>
  <c r="O327" i="4"/>
  <c r="N327" i="4"/>
  <c r="U326" i="4"/>
  <c r="T326" i="4"/>
  <c r="S326" i="4"/>
  <c r="R326" i="4"/>
  <c r="P326" i="4"/>
  <c r="O326" i="4"/>
  <c r="N326" i="4"/>
  <c r="U325" i="4"/>
  <c r="T325" i="4"/>
  <c r="S325" i="4"/>
  <c r="R325" i="4"/>
  <c r="P325" i="4"/>
  <c r="O325" i="4"/>
  <c r="N325" i="4"/>
  <c r="U324" i="4"/>
  <c r="T324" i="4"/>
  <c r="S324" i="4"/>
  <c r="R324" i="4"/>
  <c r="P324" i="4"/>
  <c r="O324" i="4"/>
  <c r="N324" i="4"/>
  <c r="U323" i="4"/>
  <c r="T323" i="4"/>
  <c r="S323" i="4"/>
  <c r="R323" i="4"/>
  <c r="P323" i="4"/>
  <c r="O323" i="4"/>
  <c r="N323" i="4"/>
  <c r="U322" i="4"/>
  <c r="T322" i="4"/>
  <c r="S322" i="4"/>
  <c r="R322" i="4"/>
  <c r="P322" i="4"/>
  <c r="O322" i="4"/>
  <c r="N322" i="4"/>
  <c r="U321" i="4"/>
  <c r="T321" i="4"/>
  <c r="S321" i="4"/>
  <c r="R321" i="4"/>
  <c r="P321" i="4"/>
  <c r="O321" i="4"/>
  <c r="N321" i="4"/>
  <c r="U320" i="4"/>
  <c r="T320" i="4"/>
  <c r="S320" i="4"/>
  <c r="R320" i="4"/>
  <c r="P320" i="4"/>
  <c r="O320" i="4"/>
  <c r="N320" i="4"/>
  <c r="U319" i="4"/>
  <c r="T319" i="4"/>
  <c r="S319" i="4"/>
  <c r="R319" i="4"/>
  <c r="P319" i="4"/>
  <c r="O319" i="4"/>
  <c r="N319" i="4"/>
  <c r="U318" i="4"/>
  <c r="T318" i="4"/>
  <c r="S318" i="4"/>
  <c r="R318" i="4"/>
  <c r="P318" i="4"/>
  <c r="O318" i="4"/>
  <c r="N318" i="4"/>
  <c r="U317" i="4"/>
  <c r="T317" i="4"/>
  <c r="S317" i="4"/>
  <c r="R317" i="4"/>
  <c r="P317" i="4"/>
  <c r="O317" i="4"/>
  <c r="N317" i="4"/>
  <c r="U316" i="4"/>
  <c r="T316" i="4"/>
  <c r="S316" i="4"/>
  <c r="R316" i="4"/>
  <c r="P316" i="4"/>
  <c r="O316" i="4"/>
  <c r="N316" i="4"/>
  <c r="U315" i="4"/>
  <c r="T315" i="4"/>
  <c r="S315" i="4"/>
  <c r="R315" i="4"/>
  <c r="P315" i="4"/>
  <c r="O315" i="4"/>
  <c r="N315" i="4"/>
  <c r="U314" i="4"/>
  <c r="T314" i="4"/>
  <c r="S314" i="4"/>
  <c r="R314" i="4"/>
  <c r="P314" i="4"/>
  <c r="O314" i="4"/>
  <c r="N314" i="4"/>
  <c r="U313" i="4"/>
  <c r="T313" i="4"/>
  <c r="S313" i="4"/>
  <c r="R313" i="4"/>
  <c r="P313" i="4"/>
  <c r="O313" i="4"/>
  <c r="N313" i="4"/>
  <c r="U312" i="4"/>
  <c r="T312" i="4"/>
  <c r="S312" i="4"/>
  <c r="R312" i="4"/>
  <c r="P312" i="4"/>
  <c r="O312" i="4"/>
  <c r="N312" i="4"/>
  <c r="U311" i="4"/>
  <c r="T311" i="4"/>
  <c r="S311" i="4"/>
  <c r="R311" i="4"/>
  <c r="P311" i="4"/>
  <c r="O311" i="4"/>
  <c r="N311" i="4"/>
  <c r="U310" i="4"/>
  <c r="T310" i="4"/>
  <c r="S310" i="4"/>
  <c r="R310" i="4"/>
  <c r="P310" i="4"/>
  <c r="O310" i="4"/>
  <c r="N310" i="4"/>
  <c r="U309" i="4"/>
  <c r="T309" i="4"/>
  <c r="S309" i="4"/>
  <c r="R309" i="4"/>
  <c r="P309" i="4"/>
  <c r="O309" i="4"/>
  <c r="N309" i="4"/>
  <c r="U308" i="4"/>
  <c r="T308" i="4"/>
  <c r="S308" i="4"/>
  <c r="R308" i="4"/>
  <c r="P308" i="4"/>
  <c r="O308" i="4"/>
  <c r="N308" i="4"/>
  <c r="U307" i="4"/>
  <c r="T307" i="4"/>
  <c r="S307" i="4"/>
  <c r="R307" i="4"/>
  <c r="P307" i="4"/>
  <c r="O307" i="4"/>
  <c r="N307" i="4"/>
  <c r="U306" i="4"/>
  <c r="T306" i="4"/>
  <c r="S306" i="4"/>
  <c r="R306" i="4"/>
  <c r="P306" i="4"/>
  <c r="O306" i="4"/>
  <c r="N306" i="4"/>
  <c r="U305" i="4"/>
  <c r="T305" i="4"/>
  <c r="S305" i="4"/>
  <c r="R305" i="4"/>
  <c r="P305" i="4"/>
  <c r="O305" i="4"/>
  <c r="N305" i="4"/>
  <c r="U304" i="4"/>
  <c r="T304" i="4"/>
  <c r="S304" i="4"/>
  <c r="R304" i="4"/>
  <c r="P304" i="4"/>
  <c r="O304" i="4"/>
  <c r="N304" i="4"/>
  <c r="U303" i="4"/>
  <c r="T303" i="4"/>
  <c r="S303" i="4"/>
  <c r="R303" i="4"/>
  <c r="P303" i="4"/>
  <c r="O303" i="4"/>
  <c r="N303" i="4"/>
  <c r="U302" i="4"/>
  <c r="T302" i="4"/>
  <c r="S302" i="4"/>
  <c r="R302" i="4"/>
  <c r="P302" i="4"/>
  <c r="O302" i="4"/>
  <c r="N302" i="4"/>
  <c r="U301" i="4"/>
  <c r="T301" i="4"/>
  <c r="S301" i="4"/>
  <c r="R301" i="4"/>
  <c r="P301" i="4"/>
  <c r="O301" i="4"/>
  <c r="N301" i="4"/>
  <c r="U300" i="4"/>
  <c r="T300" i="4"/>
  <c r="S300" i="4"/>
  <c r="R300" i="4"/>
  <c r="P300" i="4"/>
  <c r="O300" i="4"/>
  <c r="N300" i="4"/>
  <c r="U299" i="4"/>
  <c r="T299" i="4"/>
  <c r="S299" i="4"/>
  <c r="R299" i="4"/>
  <c r="P299" i="4"/>
  <c r="O299" i="4"/>
  <c r="N299" i="4"/>
  <c r="U298" i="4"/>
  <c r="T298" i="4"/>
  <c r="S298" i="4"/>
  <c r="R298" i="4"/>
  <c r="P298" i="4"/>
  <c r="O298" i="4"/>
  <c r="N298" i="4"/>
  <c r="U297" i="4"/>
  <c r="T297" i="4"/>
  <c r="S297" i="4"/>
  <c r="R297" i="4"/>
  <c r="P297" i="4"/>
  <c r="O297" i="4"/>
  <c r="N297" i="4"/>
  <c r="U296" i="4"/>
  <c r="T296" i="4"/>
  <c r="S296" i="4"/>
  <c r="R296" i="4"/>
  <c r="P296" i="4"/>
  <c r="O296" i="4"/>
  <c r="N296" i="4"/>
  <c r="U295" i="4"/>
  <c r="T295" i="4"/>
  <c r="S295" i="4"/>
  <c r="R295" i="4"/>
  <c r="P295" i="4"/>
  <c r="O295" i="4"/>
  <c r="N295" i="4"/>
  <c r="U294" i="4"/>
  <c r="T294" i="4"/>
  <c r="S294" i="4"/>
  <c r="R294" i="4"/>
  <c r="P294" i="4"/>
  <c r="O294" i="4"/>
  <c r="N294" i="4"/>
  <c r="U293" i="4"/>
  <c r="T293" i="4"/>
  <c r="S293" i="4"/>
  <c r="R293" i="4"/>
  <c r="P293" i="4"/>
  <c r="O293" i="4"/>
  <c r="N293" i="4"/>
  <c r="U292" i="4"/>
  <c r="T292" i="4"/>
  <c r="S292" i="4"/>
  <c r="R292" i="4"/>
  <c r="P292" i="4"/>
  <c r="O292" i="4"/>
  <c r="N292" i="4"/>
  <c r="U291" i="4"/>
  <c r="T291" i="4"/>
  <c r="S291" i="4"/>
  <c r="R291" i="4"/>
  <c r="P291" i="4"/>
  <c r="O291" i="4"/>
  <c r="N291" i="4"/>
  <c r="U290" i="4"/>
  <c r="T290" i="4"/>
  <c r="S290" i="4"/>
  <c r="R290" i="4"/>
  <c r="P290" i="4"/>
  <c r="O290" i="4"/>
  <c r="N290" i="4"/>
  <c r="U289" i="4"/>
  <c r="T289" i="4"/>
  <c r="S289" i="4"/>
  <c r="R289" i="4"/>
  <c r="P289" i="4"/>
  <c r="O289" i="4"/>
  <c r="N289" i="4"/>
  <c r="U288" i="4"/>
  <c r="T288" i="4"/>
  <c r="S288" i="4"/>
  <c r="R288" i="4"/>
  <c r="P288" i="4"/>
  <c r="O288" i="4"/>
  <c r="N288" i="4"/>
  <c r="U287" i="4"/>
  <c r="T287" i="4"/>
  <c r="S287" i="4"/>
  <c r="R287" i="4"/>
  <c r="P287" i="4"/>
  <c r="O287" i="4"/>
  <c r="N287" i="4"/>
  <c r="U286" i="4"/>
  <c r="T286" i="4"/>
  <c r="S286" i="4"/>
  <c r="R286" i="4"/>
  <c r="P286" i="4"/>
  <c r="O286" i="4"/>
  <c r="N286" i="4"/>
  <c r="U285" i="4"/>
  <c r="T285" i="4"/>
  <c r="S285" i="4"/>
  <c r="R285" i="4"/>
  <c r="P285" i="4"/>
  <c r="O285" i="4"/>
  <c r="N285" i="4"/>
  <c r="U284" i="4"/>
  <c r="T284" i="4"/>
  <c r="S284" i="4"/>
  <c r="R284" i="4"/>
  <c r="P284" i="4"/>
  <c r="O284" i="4"/>
  <c r="N284" i="4"/>
  <c r="U283" i="4"/>
  <c r="T283" i="4"/>
  <c r="S283" i="4"/>
  <c r="R283" i="4"/>
  <c r="P283" i="4"/>
  <c r="O283" i="4"/>
  <c r="N283" i="4"/>
  <c r="U282" i="4"/>
  <c r="T282" i="4"/>
  <c r="S282" i="4"/>
  <c r="R282" i="4"/>
  <c r="P282" i="4"/>
  <c r="O282" i="4"/>
  <c r="N282" i="4"/>
  <c r="U281" i="4"/>
  <c r="T281" i="4"/>
  <c r="S281" i="4"/>
  <c r="R281" i="4"/>
  <c r="P281" i="4"/>
  <c r="O281" i="4"/>
  <c r="N281" i="4"/>
  <c r="U280" i="4"/>
  <c r="T280" i="4"/>
  <c r="S280" i="4"/>
  <c r="R280" i="4"/>
  <c r="P280" i="4"/>
  <c r="O280" i="4"/>
  <c r="N280" i="4"/>
  <c r="U279" i="4"/>
  <c r="T279" i="4"/>
  <c r="S279" i="4"/>
  <c r="R279" i="4"/>
  <c r="P279" i="4"/>
  <c r="O279" i="4"/>
  <c r="N279" i="4"/>
  <c r="U278" i="4"/>
  <c r="T278" i="4"/>
  <c r="S278" i="4"/>
  <c r="R278" i="4"/>
  <c r="P278" i="4"/>
  <c r="O278" i="4"/>
  <c r="N278" i="4"/>
  <c r="U277" i="4"/>
  <c r="T277" i="4"/>
  <c r="S277" i="4"/>
  <c r="R277" i="4"/>
  <c r="P277" i="4"/>
  <c r="O277" i="4"/>
  <c r="N277" i="4"/>
  <c r="U276" i="4"/>
  <c r="T276" i="4"/>
  <c r="S276" i="4"/>
  <c r="R276" i="4"/>
  <c r="P276" i="4"/>
  <c r="O276" i="4"/>
  <c r="N276" i="4"/>
  <c r="U275" i="4"/>
  <c r="T275" i="4"/>
  <c r="S275" i="4"/>
  <c r="R275" i="4"/>
  <c r="P275" i="4"/>
  <c r="O275" i="4"/>
  <c r="N275" i="4"/>
  <c r="U274" i="4"/>
  <c r="T274" i="4"/>
  <c r="S274" i="4"/>
  <c r="R274" i="4"/>
  <c r="P274" i="4"/>
  <c r="O274" i="4"/>
  <c r="N274" i="4"/>
  <c r="U273" i="4"/>
  <c r="T273" i="4"/>
  <c r="S273" i="4"/>
  <c r="R273" i="4"/>
  <c r="P273" i="4"/>
  <c r="O273" i="4"/>
  <c r="N273" i="4"/>
  <c r="U272" i="4"/>
  <c r="T272" i="4"/>
  <c r="S272" i="4"/>
  <c r="R272" i="4"/>
  <c r="P272" i="4"/>
  <c r="O272" i="4"/>
  <c r="N272" i="4"/>
  <c r="U271" i="4"/>
  <c r="T271" i="4"/>
  <c r="S271" i="4"/>
  <c r="R271" i="4"/>
  <c r="P271" i="4"/>
  <c r="O271" i="4"/>
  <c r="N271" i="4"/>
  <c r="U270" i="4"/>
  <c r="T270" i="4"/>
  <c r="S270" i="4"/>
  <c r="R270" i="4"/>
  <c r="P270" i="4"/>
  <c r="O270" i="4"/>
  <c r="N270" i="4"/>
  <c r="U269" i="4"/>
  <c r="T269" i="4"/>
  <c r="S269" i="4"/>
  <c r="R269" i="4"/>
  <c r="P269" i="4"/>
  <c r="O269" i="4"/>
  <c r="N269" i="4"/>
  <c r="U268" i="4"/>
  <c r="T268" i="4"/>
  <c r="S268" i="4"/>
  <c r="R268" i="4"/>
  <c r="P268" i="4"/>
  <c r="O268" i="4"/>
  <c r="N268" i="4"/>
  <c r="U267" i="4"/>
  <c r="T267" i="4"/>
  <c r="S267" i="4"/>
  <c r="R267" i="4"/>
  <c r="P267" i="4"/>
  <c r="O267" i="4"/>
  <c r="N267" i="4"/>
  <c r="U266" i="4"/>
  <c r="T266" i="4"/>
  <c r="S266" i="4"/>
  <c r="R266" i="4"/>
  <c r="P266" i="4"/>
  <c r="O266" i="4"/>
  <c r="N266" i="4"/>
  <c r="U265" i="4"/>
  <c r="T265" i="4"/>
  <c r="S265" i="4"/>
  <c r="R265" i="4"/>
  <c r="P265" i="4"/>
  <c r="O265" i="4"/>
  <c r="N265" i="4"/>
  <c r="U264" i="4"/>
  <c r="T264" i="4"/>
  <c r="S264" i="4"/>
  <c r="R264" i="4"/>
  <c r="P264" i="4"/>
  <c r="O264" i="4"/>
  <c r="N264" i="4"/>
  <c r="U263" i="4"/>
  <c r="T263" i="4"/>
  <c r="S263" i="4"/>
  <c r="R263" i="4"/>
  <c r="P263" i="4"/>
  <c r="O263" i="4"/>
  <c r="N263" i="4"/>
  <c r="U262" i="4"/>
  <c r="T262" i="4"/>
  <c r="S262" i="4"/>
  <c r="R262" i="4"/>
  <c r="P262" i="4"/>
  <c r="O262" i="4"/>
  <c r="N262" i="4"/>
  <c r="U261" i="4"/>
  <c r="T261" i="4"/>
  <c r="S261" i="4"/>
  <c r="R261" i="4"/>
  <c r="P261" i="4"/>
  <c r="O261" i="4"/>
  <c r="N261" i="4"/>
  <c r="U260" i="4"/>
  <c r="T260" i="4"/>
  <c r="S260" i="4"/>
  <c r="R260" i="4"/>
  <c r="P260" i="4"/>
  <c r="O260" i="4"/>
  <c r="N260" i="4"/>
  <c r="U259" i="4"/>
  <c r="T259" i="4"/>
  <c r="S259" i="4"/>
  <c r="R259" i="4"/>
  <c r="P259" i="4"/>
  <c r="O259" i="4"/>
  <c r="N259" i="4"/>
  <c r="U258" i="4"/>
  <c r="T258" i="4"/>
  <c r="S258" i="4"/>
  <c r="R258" i="4"/>
  <c r="P258" i="4"/>
  <c r="O258" i="4"/>
  <c r="N258" i="4"/>
  <c r="U257" i="4"/>
  <c r="T257" i="4"/>
  <c r="S257" i="4"/>
  <c r="R257" i="4"/>
  <c r="P257" i="4"/>
  <c r="O257" i="4"/>
  <c r="N257" i="4"/>
  <c r="U256" i="4"/>
  <c r="T256" i="4"/>
  <c r="S256" i="4"/>
  <c r="R256" i="4"/>
  <c r="P256" i="4"/>
  <c r="O256" i="4"/>
  <c r="N256" i="4"/>
  <c r="U255" i="4"/>
  <c r="T255" i="4"/>
  <c r="S255" i="4"/>
  <c r="R255" i="4"/>
  <c r="P255" i="4"/>
  <c r="O255" i="4"/>
  <c r="N255" i="4"/>
  <c r="U254" i="4"/>
  <c r="T254" i="4"/>
  <c r="S254" i="4"/>
  <c r="R254" i="4"/>
  <c r="P254" i="4"/>
  <c r="O254" i="4"/>
  <c r="N254" i="4"/>
  <c r="U253" i="4"/>
  <c r="T253" i="4"/>
  <c r="S253" i="4"/>
  <c r="R253" i="4"/>
  <c r="P253" i="4"/>
  <c r="O253" i="4"/>
  <c r="N253" i="4"/>
  <c r="U252" i="4"/>
  <c r="T252" i="4"/>
  <c r="S252" i="4"/>
  <c r="R252" i="4"/>
  <c r="P252" i="4"/>
  <c r="O252" i="4"/>
  <c r="N252" i="4"/>
  <c r="U251" i="4"/>
  <c r="T251" i="4"/>
  <c r="S251" i="4"/>
  <c r="R251" i="4"/>
  <c r="P251" i="4"/>
  <c r="O251" i="4"/>
  <c r="N251" i="4"/>
  <c r="U250" i="4"/>
  <c r="T250" i="4"/>
  <c r="S250" i="4"/>
  <c r="R250" i="4"/>
  <c r="P250" i="4"/>
  <c r="O250" i="4"/>
  <c r="N250" i="4"/>
  <c r="U249" i="4"/>
  <c r="T249" i="4"/>
  <c r="S249" i="4"/>
  <c r="R249" i="4"/>
  <c r="P249" i="4"/>
  <c r="O249" i="4"/>
  <c r="N249" i="4"/>
  <c r="U248" i="4"/>
  <c r="T248" i="4"/>
  <c r="S248" i="4"/>
  <c r="R248" i="4"/>
  <c r="P248" i="4"/>
  <c r="O248" i="4"/>
  <c r="N248" i="4"/>
  <c r="U247" i="4"/>
  <c r="T247" i="4"/>
  <c r="S247" i="4"/>
  <c r="R247" i="4"/>
  <c r="P247" i="4"/>
  <c r="O247" i="4"/>
  <c r="N247" i="4"/>
  <c r="U246" i="4"/>
  <c r="T246" i="4"/>
  <c r="S246" i="4"/>
  <c r="R246" i="4"/>
  <c r="P246" i="4"/>
  <c r="O246" i="4"/>
  <c r="N246" i="4"/>
  <c r="U245" i="4"/>
  <c r="T245" i="4"/>
  <c r="S245" i="4"/>
  <c r="R245" i="4"/>
  <c r="P245" i="4"/>
  <c r="O245" i="4"/>
  <c r="N245" i="4"/>
  <c r="U244" i="4"/>
  <c r="T244" i="4"/>
  <c r="S244" i="4"/>
  <c r="R244" i="4"/>
  <c r="P244" i="4"/>
  <c r="O244" i="4"/>
  <c r="N244" i="4"/>
  <c r="U243" i="4"/>
  <c r="T243" i="4"/>
  <c r="S243" i="4"/>
  <c r="R243" i="4"/>
  <c r="P243" i="4"/>
  <c r="O243" i="4"/>
  <c r="N243" i="4"/>
  <c r="U242" i="4"/>
  <c r="T242" i="4"/>
  <c r="S242" i="4"/>
  <c r="R242" i="4"/>
  <c r="P242" i="4"/>
  <c r="O242" i="4"/>
  <c r="N242" i="4"/>
  <c r="U241" i="4"/>
  <c r="T241" i="4"/>
  <c r="S241" i="4"/>
  <c r="R241" i="4"/>
  <c r="P241" i="4"/>
  <c r="O241" i="4"/>
  <c r="N241" i="4"/>
  <c r="U240" i="4"/>
  <c r="T240" i="4"/>
  <c r="S240" i="4"/>
  <c r="R240" i="4"/>
  <c r="P240" i="4"/>
  <c r="O240" i="4"/>
  <c r="N240" i="4"/>
  <c r="U239" i="4"/>
  <c r="T239" i="4"/>
  <c r="S239" i="4"/>
  <c r="R239" i="4"/>
  <c r="P239" i="4"/>
  <c r="O239" i="4"/>
  <c r="N239" i="4"/>
  <c r="U238" i="4"/>
  <c r="T238" i="4"/>
  <c r="S238" i="4"/>
  <c r="R238" i="4"/>
  <c r="P238" i="4"/>
  <c r="O238" i="4"/>
  <c r="N238" i="4"/>
  <c r="U237" i="4"/>
  <c r="T237" i="4"/>
  <c r="S237" i="4"/>
  <c r="R237" i="4"/>
  <c r="P237" i="4"/>
  <c r="O237" i="4"/>
  <c r="N237" i="4"/>
  <c r="U236" i="4"/>
  <c r="T236" i="4"/>
  <c r="S236" i="4"/>
  <c r="R236" i="4"/>
  <c r="P236" i="4"/>
  <c r="O236" i="4"/>
  <c r="N236" i="4"/>
  <c r="U235" i="4"/>
  <c r="T235" i="4"/>
  <c r="S235" i="4"/>
  <c r="R235" i="4"/>
  <c r="P235" i="4"/>
  <c r="O235" i="4"/>
  <c r="N235" i="4"/>
  <c r="U234" i="4"/>
  <c r="T234" i="4"/>
  <c r="S234" i="4"/>
  <c r="R234" i="4"/>
  <c r="P234" i="4"/>
  <c r="O234" i="4"/>
  <c r="N234" i="4"/>
  <c r="U233" i="4"/>
  <c r="T233" i="4"/>
  <c r="S233" i="4"/>
  <c r="R233" i="4"/>
  <c r="P233" i="4"/>
  <c r="O233" i="4"/>
  <c r="N233" i="4"/>
  <c r="U232" i="4"/>
  <c r="T232" i="4"/>
  <c r="S232" i="4"/>
  <c r="R232" i="4"/>
  <c r="P232" i="4"/>
  <c r="O232" i="4"/>
  <c r="N232" i="4"/>
  <c r="U231" i="4"/>
  <c r="T231" i="4"/>
  <c r="S231" i="4"/>
  <c r="R231" i="4"/>
  <c r="P231" i="4"/>
  <c r="O231" i="4"/>
  <c r="N231" i="4"/>
  <c r="U230" i="4"/>
  <c r="T230" i="4"/>
  <c r="S230" i="4"/>
  <c r="R230" i="4"/>
  <c r="P230" i="4"/>
  <c r="O230" i="4"/>
  <c r="N230" i="4"/>
  <c r="U229" i="4"/>
  <c r="T229" i="4"/>
  <c r="S229" i="4"/>
  <c r="R229" i="4"/>
  <c r="P229" i="4"/>
  <c r="O229" i="4"/>
  <c r="N229" i="4"/>
  <c r="U228" i="4"/>
  <c r="T228" i="4"/>
  <c r="S228" i="4"/>
  <c r="R228" i="4"/>
  <c r="P228" i="4"/>
  <c r="O228" i="4"/>
  <c r="N228" i="4"/>
  <c r="U227" i="4"/>
  <c r="T227" i="4"/>
  <c r="S227" i="4"/>
  <c r="R227" i="4"/>
  <c r="P227" i="4"/>
  <c r="O227" i="4"/>
  <c r="N227" i="4"/>
  <c r="U226" i="4"/>
  <c r="T226" i="4"/>
  <c r="S226" i="4"/>
  <c r="R226" i="4"/>
  <c r="P226" i="4"/>
  <c r="O226" i="4"/>
  <c r="N226" i="4"/>
  <c r="U225" i="4"/>
  <c r="T225" i="4"/>
  <c r="S225" i="4"/>
  <c r="R225" i="4"/>
  <c r="P225" i="4"/>
  <c r="O225" i="4"/>
  <c r="N225" i="4"/>
  <c r="U224" i="4"/>
  <c r="T224" i="4"/>
  <c r="S224" i="4"/>
  <c r="R224" i="4"/>
  <c r="P224" i="4"/>
  <c r="O224" i="4"/>
  <c r="N224" i="4"/>
  <c r="U223" i="4"/>
  <c r="T223" i="4"/>
  <c r="S223" i="4"/>
  <c r="R223" i="4"/>
  <c r="P223" i="4"/>
  <c r="O223" i="4"/>
  <c r="N223" i="4"/>
  <c r="U222" i="4"/>
  <c r="T222" i="4"/>
  <c r="S222" i="4"/>
  <c r="R222" i="4"/>
  <c r="P222" i="4"/>
  <c r="O222" i="4"/>
  <c r="N222" i="4"/>
  <c r="U221" i="4"/>
  <c r="T221" i="4"/>
  <c r="S221" i="4"/>
  <c r="R221" i="4"/>
  <c r="P221" i="4"/>
  <c r="O221" i="4"/>
  <c r="N221" i="4"/>
  <c r="U220" i="4"/>
  <c r="T220" i="4"/>
  <c r="S220" i="4"/>
  <c r="R220" i="4"/>
  <c r="P220" i="4"/>
  <c r="O220" i="4"/>
  <c r="N220" i="4"/>
  <c r="U219" i="4"/>
  <c r="T219" i="4"/>
  <c r="S219" i="4"/>
  <c r="R219" i="4"/>
  <c r="P219" i="4"/>
  <c r="O219" i="4"/>
  <c r="N219" i="4"/>
  <c r="U218" i="4"/>
  <c r="T218" i="4"/>
  <c r="S218" i="4"/>
  <c r="R218" i="4"/>
  <c r="P218" i="4"/>
  <c r="O218" i="4"/>
  <c r="N218" i="4"/>
  <c r="U217" i="4"/>
  <c r="T217" i="4"/>
  <c r="S217" i="4"/>
  <c r="R217" i="4"/>
  <c r="P217" i="4"/>
  <c r="O217" i="4"/>
  <c r="N217" i="4"/>
  <c r="U216" i="4"/>
  <c r="T216" i="4"/>
  <c r="S216" i="4"/>
  <c r="R216" i="4"/>
  <c r="P216" i="4"/>
  <c r="O216" i="4"/>
  <c r="N216" i="4"/>
  <c r="U215" i="4"/>
  <c r="T215" i="4"/>
  <c r="S215" i="4"/>
  <c r="R215" i="4"/>
  <c r="P215" i="4"/>
  <c r="O215" i="4"/>
  <c r="N215" i="4"/>
  <c r="U214" i="4"/>
  <c r="T214" i="4"/>
  <c r="S214" i="4"/>
  <c r="R214" i="4"/>
  <c r="P214" i="4"/>
  <c r="O214" i="4"/>
  <c r="N214" i="4"/>
  <c r="U213" i="4"/>
  <c r="T213" i="4"/>
  <c r="S213" i="4"/>
  <c r="R213" i="4"/>
  <c r="P213" i="4"/>
  <c r="O213" i="4"/>
  <c r="N213" i="4"/>
  <c r="U212" i="4"/>
  <c r="T212" i="4"/>
  <c r="S212" i="4"/>
  <c r="R212" i="4"/>
  <c r="P212" i="4"/>
  <c r="O212" i="4"/>
  <c r="N212" i="4"/>
  <c r="U211" i="4"/>
  <c r="T211" i="4"/>
  <c r="S211" i="4"/>
  <c r="R211" i="4"/>
  <c r="P211" i="4"/>
  <c r="O211" i="4"/>
  <c r="N211" i="4"/>
  <c r="U210" i="4"/>
  <c r="T210" i="4"/>
  <c r="S210" i="4"/>
  <c r="R210" i="4"/>
  <c r="P210" i="4"/>
  <c r="O210" i="4"/>
  <c r="N210" i="4"/>
  <c r="U209" i="4"/>
  <c r="T209" i="4"/>
  <c r="S209" i="4"/>
  <c r="R209" i="4"/>
  <c r="P209" i="4"/>
  <c r="O209" i="4"/>
  <c r="N209" i="4"/>
  <c r="U208" i="4"/>
  <c r="T208" i="4"/>
  <c r="S208" i="4"/>
  <c r="R208" i="4"/>
  <c r="P208" i="4"/>
  <c r="O208" i="4"/>
  <c r="N208" i="4"/>
  <c r="U207" i="4"/>
  <c r="T207" i="4"/>
  <c r="S207" i="4"/>
  <c r="R207" i="4"/>
  <c r="P207" i="4"/>
  <c r="O207" i="4"/>
  <c r="N207" i="4"/>
  <c r="U206" i="4"/>
  <c r="T206" i="4"/>
  <c r="S206" i="4"/>
  <c r="R206" i="4"/>
  <c r="P206" i="4"/>
  <c r="O206" i="4"/>
  <c r="N206" i="4"/>
  <c r="U205" i="4"/>
  <c r="T205" i="4"/>
  <c r="S205" i="4"/>
  <c r="R205" i="4"/>
  <c r="P205" i="4"/>
  <c r="O205" i="4"/>
  <c r="N205" i="4"/>
  <c r="U204" i="4"/>
  <c r="T204" i="4"/>
  <c r="S204" i="4"/>
  <c r="R204" i="4"/>
  <c r="P204" i="4"/>
  <c r="O204" i="4"/>
  <c r="N204" i="4"/>
  <c r="U203" i="4"/>
  <c r="T203" i="4"/>
  <c r="S203" i="4"/>
  <c r="R203" i="4"/>
  <c r="P203" i="4"/>
  <c r="O203" i="4"/>
  <c r="N203" i="4"/>
  <c r="U202" i="4"/>
  <c r="T202" i="4"/>
  <c r="S202" i="4"/>
  <c r="R202" i="4"/>
  <c r="P202" i="4"/>
  <c r="O202" i="4"/>
  <c r="N202" i="4"/>
  <c r="U201" i="4"/>
  <c r="T201" i="4"/>
  <c r="S201" i="4"/>
  <c r="R201" i="4"/>
  <c r="P201" i="4"/>
  <c r="O201" i="4"/>
  <c r="N201" i="4"/>
  <c r="U200" i="4"/>
  <c r="T200" i="4"/>
  <c r="S200" i="4"/>
  <c r="R200" i="4"/>
  <c r="P200" i="4"/>
  <c r="O200" i="4"/>
  <c r="N200" i="4"/>
  <c r="U199" i="4"/>
  <c r="T199" i="4"/>
  <c r="S199" i="4"/>
  <c r="R199" i="4"/>
  <c r="P199" i="4"/>
  <c r="O199" i="4"/>
  <c r="N199" i="4"/>
  <c r="U198" i="4"/>
  <c r="T198" i="4"/>
  <c r="S198" i="4"/>
  <c r="R198" i="4"/>
  <c r="P198" i="4"/>
  <c r="O198" i="4"/>
  <c r="N198" i="4"/>
  <c r="U197" i="4"/>
  <c r="T197" i="4"/>
  <c r="S197" i="4"/>
  <c r="R197" i="4"/>
  <c r="P197" i="4"/>
  <c r="O197" i="4"/>
  <c r="N197" i="4"/>
  <c r="U196" i="4"/>
  <c r="T196" i="4"/>
  <c r="S196" i="4"/>
  <c r="R196" i="4"/>
  <c r="P196" i="4"/>
  <c r="O196" i="4"/>
  <c r="N196" i="4"/>
  <c r="U195" i="4"/>
  <c r="T195" i="4"/>
  <c r="S195" i="4"/>
  <c r="R195" i="4"/>
  <c r="P195" i="4"/>
  <c r="O195" i="4"/>
  <c r="N195" i="4"/>
  <c r="U194" i="4"/>
  <c r="T194" i="4"/>
  <c r="S194" i="4"/>
  <c r="R194" i="4"/>
  <c r="P194" i="4"/>
  <c r="O194" i="4"/>
  <c r="N194" i="4"/>
  <c r="U193" i="4"/>
  <c r="T193" i="4"/>
  <c r="S193" i="4"/>
  <c r="R193" i="4"/>
  <c r="P193" i="4"/>
  <c r="O193" i="4"/>
  <c r="N193" i="4"/>
  <c r="U192" i="4"/>
  <c r="T192" i="4"/>
  <c r="S192" i="4"/>
  <c r="R192" i="4"/>
  <c r="P192" i="4"/>
  <c r="O192" i="4"/>
  <c r="N192" i="4"/>
  <c r="U191" i="4"/>
  <c r="T191" i="4"/>
  <c r="S191" i="4"/>
  <c r="R191" i="4"/>
  <c r="P191" i="4"/>
  <c r="O191" i="4"/>
  <c r="N191" i="4"/>
  <c r="U190" i="4"/>
  <c r="T190" i="4"/>
  <c r="S190" i="4"/>
  <c r="R190" i="4"/>
  <c r="P190" i="4"/>
  <c r="O190" i="4"/>
  <c r="N190" i="4"/>
  <c r="U189" i="4"/>
  <c r="T189" i="4"/>
  <c r="S189" i="4"/>
  <c r="R189" i="4"/>
  <c r="P189" i="4"/>
  <c r="O189" i="4"/>
  <c r="N189" i="4"/>
  <c r="U188" i="4"/>
  <c r="T188" i="4"/>
  <c r="S188" i="4"/>
  <c r="R188" i="4"/>
  <c r="P188" i="4"/>
  <c r="O188" i="4"/>
  <c r="N188" i="4"/>
  <c r="U187" i="4"/>
  <c r="T187" i="4"/>
  <c r="S187" i="4"/>
  <c r="R187" i="4"/>
  <c r="P187" i="4"/>
  <c r="O187" i="4"/>
  <c r="N187" i="4"/>
  <c r="U186" i="4"/>
  <c r="T186" i="4"/>
  <c r="S186" i="4"/>
  <c r="R186" i="4"/>
  <c r="P186" i="4"/>
  <c r="O186" i="4"/>
  <c r="N186" i="4"/>
  <c r="U185" i="4"/>
  <c r="T185" i="4"/>
  <c r="S185" i="4"/>
  <c r="R185" i="4"/>
  <c r="P185" i="4"/>
  <c r="O185" i="4"/>
  <c r="N185" i="4"/>
  <c r="U184" i="4"/>
  <c r="T184" i="4"/>
  <c r="S184" i="4"/>
  <c r="R184" i="4"/>
  <c r="P184" i="4"/>
  <c r="O184" i="4"/>
  <c r="N184" i="4"/>
  <c r="U183" i="4"/>
  <c r="T183" i="4"/>
  <c r="S183" i="4"/>
  <c r="R183" i="4"/>
  <c r="P183" i="4"/>
  <c r="O183" i="4"/>
  <c r="N183" i="4"/>
  <c r="U182" i="4"/>
  <c r="T182" i="4"/>
  <c r="S182" i="4"/>
  <c r="R182" i="4"/>
  <c r="P182" i="4"/>
  <c r="O182" i="4"/>
  <c r="N182" i="4"/>
  <c r="U181" i="4"/>
  <c r="T181" i="4"/>
  <c r="S181" i="4"/>
  <c r="R181" i="4"/>
  <c r="P181" i="4"/>
  <c r="O181" i="4"/>
  <c r="N181" i="4"/>
  <c r="U180" i="4"/>
  <c r="T180" i="4"/>
  <c r="S180" i="4"/>
  <c r="R180" i="4"/>
  <c r="P180" i="4"/>
  <c r="O180" i="4"/>
  <c r="N180" i="4"/>
  <c r="U179" i="4"/>
  <c r="T179" i="4"/>
  <c r="S179" i="4"/>
  <c r="R179" i="4"/>
  <c r="P179" i="4"/>
  <c r="O179" i="4"/>
  <c r="N179" i="4"/>
  <c r="U178" i="4"/>
  <c r="T178" i="4"/>
  <c r="S178" i="4"/>
  <c r="R178" i="4"/>
  <c r="P178" i="4"/>
  <c r="O178" i="4"/>
  <c r="N178" i="4"/>
  <c r="U177" i="4"/>
  <c r="T177" i="4"/>
  <c r="S177" i="4"/>
  <c r="R177" i="4"/>
  <c r="P177" i="4"/>
  <c r="O177" i="4"/>
  <c r="N177" i="4"/>
  <c r="U176" i="4"/>
  <c r="T176" i="4"/>
  <c r="S176" i="4"/>
  <c r="R176" i="4"/>
  <c r="P176" i="4"/>
  <c r="O176" i="4"/>
  <c r="N176" i="4"/>
  <c r="U175" i="4"/>
  <c r="T175" i="4"/>
  <c r="S175" i="4"/>
  <c r="R175" i="4"/>
  <c r="P175" i="4"/>
  <c r="O175" i="4"/>
  <c r="N175" i="4"/>
  <c r="U174" i="4"/>
  <c r="T174" i="4"/>
  <c r="S174" i="4"/>
  <c r="R174" i="4"/>
  <c r="P174" i="4"/>
  <c r="O174" i="4"/>
  <c r="N174" i="4"/>
  <c r="U173" i="4"/>
  <c r="T173" i="4"/>
  <c r="S173" i="4"/>
  <c r="R173" i="4"/>
  <c r="P173" i="4"/>
  <c r="O173" i="4"/>
  <c r="N173" i="4"/>
  <c r="U172" i="4"/>
  <c r="T172" i="4"/>
  <c r="S172" i="4"/>
  <c r="R172" i="4"/>
  <c r="P172" i="4"/>
  <c r="O172" i="4"/>
  <c r="N172" i="4"/>
  <c r="U171" i="4"/>
  <c r="T171" i="4"/>
  <c r="S171" i="4"/>
  <c r="R171" i="4"/>
  <c r="P171" i="4"/>
  <c r="O171" i="4"/>
  <c r="N171" i="4"/>
  <c r="U170" i="4"/>
  <c r="T170" i="4"/>
  <c r="S170" i="4"/>
  <c r="R170" i="4"/>
  <c r="P170" i="4"/>
  <c r="O170" i="4"/>
  <c r="N170" i="4"/>
  <c r="U169" i="4"/>
  <c r="T169" i="4"/>
  <c r="S169" i="4"/>
  <c r="R169" i="4"/>
  <c r="P169" i="4"/>
  <c r="O169" i="4"/>
  <c r="N169" i="4"/>
  <c r="U168" i="4"/>
  <c r="T168" i="4"/>
  <c r="S168" i="4"/>
  <c r="R168" i="4"/>
  <c r="P168" i="4"/>
  <c r="O168" i="4"/>
  <c r="N168" i="4"/>
  <c r="U167" i="4"/>
  <c r="T167" i="4"/>
  <c r="S167" i="4"/>
  <c r="R167" i="4"/>
  <c r="P167" i="4"/>
  <c r="O167" i="4"/>
  <c r="N167" i="4"/>
  <c r="U166" i="4"/>
  <c r="T166" i="4"/>
  <c r="S166" i="4"/>
  <c r="R166" i="4"/>
  <c r="P166" i="4"/>
  <c r="O166" i="4"/>
  <c r="N166" i="4"/>
  <c r="U165" i="4"/>
  <c r="T165" i="4"/>
  <c r="S165" i="4"/>
  <c r="R165" i="4"/>
  <c r="P165" i="4"/>
  <c r="O165" i="4"/>
  <c r="N165" i="4"/>
  <c r="U164" i="4"/>
  <c r="T164" i="4"/>
  <c r="S164" i="4"/>
  <c r="R164" i="4"/>
  <c r="P164" i="4"/>
  <c r="O164" i="4"/>
  <c r="N164" i="4"/>
  <c r="U163" i="4"/>
  <c r="T163" i="4"/>
  <c r="S163" i="4"/>
  <c r="R163" i="4"/>
  <c r="P163" i="4"/>
  <c r="O163" i="4"/>
  <c r="N163" i="4"/>
  <c r="U162" i="4"/>
  <c r="T162" i="4"/>
  <c r="S162" i="4"/>
  <c r="R162" i="4"/>
  <c r="P162" i="4"/>
  <c r="O162" i="4"/>
  <c r="N162" i="4"/>
  <c r="U161" i="4"/>
  <c r="T161" i="4"/>
  <c r="S161" i="4"/>
  <c r="R161" i="4"/>
  <c r="P161" i="4"/>
  <c r="O161" i="4"/>
  <c r="N161" i="4"/>
  <c r="U160" i="4"/>
  <c r="T160" i="4"/>
  <c r="S160" i="4"/>
  <c r="R160" i="4"/>
  <c r="P160" i="4"/>
  <c r="O160" i="4"/>
  <c r="N160" i="4"/>
  <c r="U159" i="4"/>
  <c r="T159" i="4"/>
  <c r="S159" i="4"/>
  <c r="R159" i="4"/>
  <c r="P159" i="4"/>
  <c r="O159" i="4"/>
  <c r="N159" i="4"/>
  <c r="U158" i="4"/>
  <c r="T158" i="4"/>
  <c r="S158" i="4"/>
  <c r="R158" i="4"/>
  <c r="P158" i="4"/>
  <c r="O158" i="4"/>
  <c r="N158" i="4"/>
  <c r="U157" i="4"/>
  <c r="T157" i="4"/>
  <c r="S157" i="4"/>
  <c r="R157" i="4"/>
  <c r="P157" i="4"/>
  <c r="O157" i="4"/>
  <c r="N157" i="4"/>
  <c r="U156" i="4"/>
  <c r="T156" i="4"/>
  <c r="S156" i="4"/>
  <c r="R156" i="4"/>
  <c r="P156" i="4"/>
  <c r="O156" i="4"/>
  <c r="N156" i="4"/>
  <c r="U155" i="4"/>
  <c r="T155" i="4"/>
  <c r="S155" i="4"/>
  <c r="R155" i="4"/>
  <c r="P155" i="4"/>
  <c r="O155" i="4"/>
  <c r="N155" i="4"/>
  <c r="U154" i="4"/>
  <c r="T154" i="4"/>
  <c r="S154" i="4"/>
  <c r="R154" i="4"/>
  <c r="P154" i="4"/>
  <c r="O154" i="4"/>
  <c r="N154" i="4"/>
  <c r="U153" i="4"/>
  <c r="T153" i="4"/>
  <c r="S153" i="4"/>
  <c r="R153" i="4"/>
  <c r="P153" i="4"/>
  <c r="O153" i="4"/>
  <c r="N153" i="4"/>
  <c r="U152" i="4"/>
  <c r="T152" i="4"/>
  <c r="S152" i="4"/>
  <c r="R152" i="4"/>
  <c r="P152" i="4"/>
  <c r="O152" i="4"/>
  <c r="N152" i="4"/>
  <c r="U151" i="4"/>
  <c r="T151" i="4"/>
  <c r="S151" i="4"/>
  <c r="R151" i="4"/>
  <c r="P151" i="4"/>
  <c r="O151" i="4"/>
  <c r="N151" i="4"/>
  <c r="U150" i="4"/>
  <c r="T150" i="4"/>
  <c r="S150" i="4"/>
  <c r="R150" i="4"/>
  <c r="P150" i="4"/>
  <c r="O150" i="4"/>
  <c r="N150" i="4"/>
  <c r="U149" i="4"/>
  <c r="T149" i="4"/>
  <c r="S149" i="4"/>
  <c r="R149" i="4"/>
  <c r="P149" i="4"/>
  <c r="O149" i="4"/>
  <c r="N149" i="4"/>
  <c r="U148" i="4"/>
  <c r="T148" i="4"/>
  <c r="S148" i="4"/>
  <c r="R148" i="4"/>
  <c r="P148" i="4"/>
  <c r="O148" i="4"/>
  <c r="N148" i="4"/>
  <c r="U147" i="4"/>
  <c r="T147" i="4"/>
  <c r="S147" i="4"/>
  <c r="R147" i="4"/>
  <c r="P147" i="4"/>
  <c r="O147" i="4"/>
  <c r="N147" i="4"/>
  <c r="U146" i="4"/>
  <c r="T146" i="4"/>
  <c r="S146" i="4"/>
  <c r="R146" i="4"/>
  <c r="P146" i="4"/>
  <c r="O146" i="4"/>
  <c r="N146" i="4"/>
  <c r="U145" i="4"/>
  <c r="T145" i="4"/>
  <c r="S145" i="4"/>
  <c r="R145" i="4"/>
  <c r="P145" i="4"/>
  <c r="O145" i="4"/>
  <c r="N145" i="4"/>
  <c r="U144" i="4"/>
  <c r="T144" i="4"/>
  <c r="S144" i="4"/>
  <c r="R144" i="4"/>
  <c r="P144" i="4"/>
  <c r="O144" i="4"/>
  <c r="N144" i="4"/>
  <c r="U143" i="4"/>
  <c r="T143" i="4"/>
  <c r="S143" i="4"/>
  <c r="R143" i="4"/>
  <c r="P143" i="4"/>
  <c r="O143" i="4"/>
  <c r="N143" i="4"/>
  <c r="U142" i="4"/>
  <c r="T142" i="4"/>
  <c r="S142" i="4"/>
  <c r="R142" i="4"/>
  <c r="P142" i="4"/>
  <c r="O142" i="4"/>
  <c r="N142" i="4"/>
  <c r="U141" i="4"/>
  <c r="T141" i="4"/>
  <c r="S141" i="4"/>
  <c r="R141" i="4"/>
  <c r="P141" i="4"/>
  <c r="O141" i="4"/>
  <c r="N141" i="4"/>
  <c r="U140" i="4"/>
  <c r="T140" i="4"/>
  <c r="S140" i="4"/>
  <c r="R140" i="4"/>
  <c r="P140" i="4"/>
  <c r="O140" i="4"/>
  <c r="N140" i="4"/>
  <c r="U139" i="4"/>
  <c r="T139" i="4"/>
  <c r="S139" i="4"/>
  <c r="R139" i="4"/>
  <c r="P139" i="4"/>
  <c r="O139" i="4"/>
  <c r="N139" i="4"/>
  <c r="U138" i="4"/>
  <c r="T138" i="4"/>
  <c r="S138" i="4"/>
  <c r="R138" i="4"/>
  <c r="P138" i="4"/>
  <c r="O138" i="4"/>
  <c r="N138" i="4"/>
  <c r="U137" i="4"/>
  <c r="T137" i="4"/>
  <c r="S137" i="4"/>
  <c r="R137" i="4"/>
  <c r="P137" i="4"/>
  <c r="O137" i="4"/>
  <c r="N137" i="4"/>
  <c r="U136" i="4"/>
  <c r="T136" i="4"/>
  <c r="S136" i="4"/>
  <c r="R136" i="4"/>
  <c r="P136" i="4"/>
  <c r="O136" i="4"/>
  <c r="N136" i="4"/>
  <c r="U135" i="4"/>
  <c r="T135" i="4"/>
  <c r="S135" i="4"/>
  <c r="R135" i="4"/>
  <c r="P135" i="4"/>
  <c r="O135" i="4"/>
  <c r="N135" i="4"/>
  <c r="U134" i="4"/>
  <c r="T134" i="4"/>
  <c r="S134" i="4"/>
  <c r="R134" i="4"/>
  <c r="P134" i="4"/>
  <c r="O134" i="4"/>
  <c r="N134" i="4"/>
  <c r="U133" i="4"/>
  <c r="T133" i="4"/>
  <c r="S133" i="4"/>
  <c r="R133" i="4"/>
  <c r="P133" i="4"/>
  <c r="O133" i="4"/>
  <c r="N133" i="4"/>
  <c r="U132" i="4"/>
  <c r="T132" i="4"/>
  <c r="S132" i="4"/>
  <c r="R132" i="4"/>
  <c r="P132" i="4"/>
  <c r="O132" i="4"/>
  <c r="N132" i="4"/>
  <c r="U131" i="4"/>
  <c r="T131" i="4"/>
  <c r="S131" i="4"/>
  <c r="R131" i="4"/>
  <c r="P131" i="4"/>
  <c r="O131" i="4"/>
  <c r="N131" i="4"/>
  <c r="U130" i="4"/>
  <c r="T130" i="4"/>
  <c r="S130" i="4"/>
  <c r="R130" i="4"/>
  <c r="P130" i="4"/>
  <c r="O130" i="4"/>
  <c r="N130" i="4"/>
  <c r="U129" i="4"/>
  <c r="T129" i="4"/>
  <c r="S129" i="4"/>
  <c r="R129" i="4"/>
  <c r="P129" i="4"/>
  <c r="O129" i="4"/>
  <c r="N129" i="4"/>
  <c r="U128" i="4"/>
  <c r="T128" i="4"/>
  <c r="S128" i="4"/>
  <c r="R128" i="4"/>
  <c r="P128" i="4"/>
  <c r="O128" i="4"/>
  <c r="N128" i="4"/>
  <c r="U127" i="4"/>
  <c r="T127" i="4"/>
  <c r="S127" i="4"/>
  <c r="R127" i="4"/>
  <c r="P127" i="4"/>
  <c r="O127" i="4"/>
  <c r="N127" i="4"/>
  <c r="U126" i="4"/>
  <c r="T126" i="4"/>
  <c r="S126" i="4"/>
  <c r="R126" i="4"/>
  <c r="P126" i="4"/>
  <c r="O126" i="4"/>
  <c r="N126" i="4"/>
  <c r="U125" i="4"/>
  <c r="T125" i="4"/>
  <c r="S125" i="4"/>
  <c r="R125" i="4"/>
  <c r="P125" i="4"/>
  <c r="O125" i="4"/>
  <c r="N125" i="4"/>
  <c r="U124" i="4"/>
  <c r="T124" i="4"/>
  <c r="S124" i="4"/>
  <c r="R124" i="4"/>
  <c r="P124" i="4"/>
  <c r="O124" i="4"/>
  <c r="N124" i="4"/>
  <c r="U123" i="4"/>
  <c r="T123" i="4"/>
  <c r="S123" i="4"/>
  <c r="R123" i="4"/>
  <c r="P123" i="4"/>
  <c r="O123" i="4"/>
  <c r="N123" i="4"/>
  <c r="U122" i="4"/>
  <c r="T122" i="4"/>
  <c r="S122" i="4"/>
  <c r="R122" i="4"/>
  <c r="P122" i="4"/>
  <c r="O122" i="4"/>
  <c r="N122" i="4"/>
  <c r="U121" i="4"/>
  <c r="T121" i="4"/>
  <c r="S121" i="4"/>
  <c r="R121" i="4"/>
  <c r="P121" i="4"/>
  <c r="O121" i="4"/>
  <c r="N121" i="4"/>
  <c r="U120" i="4"/>
  <c r="T120" i="4"/>
  <c r="S120" i="4"/>
  <c r="R120" i="4"/>
  <c r="P120" i="4"/>
  <c r="O120" i="4"/>
  <c r="N120" i="4"/>
  <c r="U119" i="4"/>
  <c r="T119" i="4"/>
  <c r="S119" i="4"/>
  <c r="R119" i="4"/>
  <c r="P119" i="4"/>
  <c r="O119" i="4"/>
  <c r="N119" i="4"/>
  <c r="U118" i="4"/>
  <c r="T118" i="4"/>
  <c r="S118" i="4"/>
  <c r="R118" i="4"/>
  <c r="P118" i="4"/>
  <c r="O118" i="4"/>
  <c r="N118" i="4"/>
  <c r="U117" i="4"/>
  <c r="T117" i="4"/>
  <c r="S117" i="4"/>
  <c r="R117" i="4"/>
  <c r="P117" i="4"/>
  <c r="O117" i="4"/>
  <c r="N117" i="4"/>
  <c r="U116" i="4"/>
  <c r="T116" i="4"/>
  <c r="S116" i="4"/>
  <c r="R116" i="4"/>
  <c r="P116" i="4"/>
  <c r="O116" i="4"/>
  <c r="N116" i="4"/>
  <c r="U115" i="4"/>
  <c r="T115" i="4"/>
  <c r="S115" i="4"/>
  <c r="R115" i="4"/>
  <c r="P115" i="4"/>
  <c r="O115" i="4"/>
  <c r="N115" i="4"/>
  <c r="U114" i="4"/>
  <c r="T114" i="4"/>
  <c r="S114" i="4"/>
  <c r="R114" i="4"/>
  <c r="P114" i="4"/>
  <c r="O114" i="4"/>
  <c r="N114" i="4"/>
  <c r="U113" i="4"/>
  <c r="T113" i="4"/>
  <c r="S113" i="4"/>
  <c r="R113" i="4"/>
  <c r="P113" i="4"/>
  <c r="O113" i="4"/>
  <c r="N113" i="4"/>
  <c r="U112" i="4"/>
  <c r="T112" i="4"/>
  <c r="S112" i="4"/>
  <c r="R112" i="4"/>
  <c r="P112" i="4"/>
  <c r="O112" i="4"/>
  <c r="N112" i="4"/>
  <c r="U111" i="4"/>
  <c r="T111" i="4"/>
  <c r="S111" i="4"/>
  <c r="R111" i="4"/>
  <c r="P111" i="4"/>
  <c r="O111" i="4"/>
  <c r="N111" i="4"/>
  <c r="U110" i="4"/>
  <c r="T110" i="4"/>
  <c r="S110" i="4"/>
  <c r="R110" i="4"/>
  <c r="P110" i="4"/>
  <c r="O110" i="4"/>
  <c r="N110" i="4"/>
  <c r="U109" i="4"/>
  <c r="T109" i="4"/>
  <c r="S109" i="4"/>
  <c r="R109" i="4"/>
  <c r="N90" i="8" s="1"/>
  <c r="E94" i="25" s="1"/>
  <c r="P109" i="4"/>
  <c r="O109" i="4"/>
  <c r="N109" i="4"/>
  <c r="U108" i="4"/>
  <c r="T108" i="4"/>
  <c r="S108" i="4"/>
  <c r="R108" i="4"/>
  <c r="P108" i="4"/>
  <c r="O108" i="4"/>
  <c r="N108" i="4"/>
  <c r="U107" i="4"/>
  <c r="T107" i="4"/>
  <c r="S107" i="4"/>
  <c r="R107" i="4"/>
  <c r="AA48" i="5" s="1"/>
  <c r="P107" i="4"/>
  <c r="O107" i="4"/>
  <c r="U106" i="4"/>
  <c r="T106" i="4"/>
  <c r="S106" i="4"/>
  <c r="R106" i="4"/>
  <c r="P106" i="4"/>
  <c r="O106" i="4"/>
  <c r="U105" i="4"/>
  <c r="T105" i="4"/>
  <c r="S105" i="4"/>
  <c r="R105" i="4"/>
  <c r="P105" i="4"/>
  <c r="O105" i="4"/>
  <c r="U104" i="4"/>
  <c r="T104" i="4"/>
  <c r="S104" i="4"/>
  <c r="R104" i="4"/>
  <c r="P104" i="4"/>
  <c r="O104" i="4"/>
  <c r="U103" i="4"/>
  <c r="T103" i="4"/>
  <c r="S103" i="4"/>
  <c r="R103" i="4"/>
  <c r="P103" i="4"/>
  <c r="O103" i="4"/>
  <c r="U102" i="4"/>
  <c r="T102" i="4"/>
  <c r="S102" i="4"/>
  <c r="R102" i="4"/>
  <c r="P102" i="4"/>
  <c r="O102" i="4"/>
  <c r="U101" i="4"/>
  <c r="T101" i="4"/>
  <c r="S101" i="4"/>
  <c r="R101" i="4"/>
  <c r="P101" i="4"/>
  <c r="O101" i="4"/>
  <c r="U100" i="4"/>
  <c r="T100" i="4"/>
  <c r="S100" i="4"/>
  <c r="R100" i="4"/>
  <c r="P100" i="4"/>
  <c r="O100" i="4"/>
  <c r="U99" i="4"/>
  <c r="T99" i="4"/>
  <c r="S99" i="4"/>
  <c r="R99" i="4"/>
  <c r="P99" i="4"/>
  <c r="O99" i="4"/>
  <c r="U98" i="4"/>
  <c r="T98" i="4"/>
  <c r="S98" i="4"/>
  <c r="R98" i="4"/>
  <c r="P98" i="4"/>
  <c r="O98" i="4"/>
  <c r="U97" i="4"/>
  <c r="T97" i="4"/>
  <c r="S97" i="4"/>
  <c r="R97" i="4"/>
  <c r="P97" i="4"/>
  <c r="O97" i="4"/>
  <c r="U96" i="4"/>
  <c r="T96" i="4"/>
  <c r="S96" i="4"/>
  <c r="R96" i="4"/>
  <c r="N87" i="8" s="1"/>
  <c r="P96" i="4"/>
  <c r="O96" i="4"/>
  <c r="U95" i="4"/>
  <c r="T95" i="4"/>
  <c r="S95" i="4"/>
  <c r="R95" i="4"/>
  <c r="P95" i="4"/>
  <c r="O95" i="4"/>
  <c r="U94" i="4"/>
  <c r="T94" i="4"/>
  <c r="S94" i="4"/>
  <c r="R94" i="4"/>
  <c r="P94" i="4"/>
  <c r="O94" i="4"/>
  <c r="N94" i="4"/>
  <c r="U93" i="4"/>
  <c r="T93" i="4"/>
  <c r="S93" i="4"/>
  <c r="R93" i="4"/>
  <c r="AA36" i="5" s="1"/>
  <c r="P93" i="4"/>
  <c r="O93" i="4"/>
  <c r="N93" i="4"/>
  <c r="U92" i="4"/>
  <c r="T92" i="4"/>
  <c r="S92" i="4"/>
  <c r="R92" i="4"/>
  <c r="P92" i="4"/>
  <c r="O92" i="4"/>
  <c r="N92" i="4"/>
  <c r="U91" i="4"/>
  <c r="T91" i="4"/>
  <c r="S91" i="4"/>
  <c r="R91" i="4"/>
  <c r="P91" i="4"/>
  <c r="O91" i="4"/>
  <c r="N91" i="4"/>
  <c r="U90" i="4"/>
  <c r="T90" i="4"/>
  <c r="S90" i="4"/>
  <c r="R90" i="4"/>
  <c r="P90" i="4"/>
  <c r="O90" i="4"/>
  <c r="N90" i="4"/>
  <c r="U89" i="4"/>
  <c r="T89" i="4"/>
  <c r="S89" i="4"/>
  <c r="R89" i="4"/>
  <c r="P89" i="4"/>
  <c r="O89" i="4"/>
  <c r="N89" i="4"/>
  <c r="U88" i="4"/>
  <c r="T88" i="4"/>
  <c r="S88" i="4"/>
  <c r="R88" i="4"/>
  <c r="P88" i="4"/>
  <c r="O88" i="4"/>
  <c r="N88" i="4"/>
  <c r="U87" i="4"/>
  <c r="T87" i="4"/>
  <c r="S87" i="4"/>
  <c r="R87" i="4"/>
  <c r="P87" i="4"/>
  <c r="O87" i="4"/>
  <c r="N87" i="4"/>
  <c r="U86" i="4"/>
  <c r="T86" i="4"/>
  <c r="S86" i="4"/>
  <c r="R86" i="4"/>
  <c r="P86" i="4"/>
  <c r="O86" i="4"/>
  <c r="N86" i="4"/>
  <c r="U85" i="4"/>
  <c r="T85" i="4"/>
  <c r="S85" i="4"/>
  <c r="R85" i="4"/>
  <c r="P85" i="4"/>
  <c r="O85" i="4"/>
  <c r="N85" i="4"/>
  <c r="U84" i="4"/>
  <c r="T84" i="4"/>
  <c r="S84" i="4"/>
  <c r="R84" i="4"/>
  <c r="P84" i="4"/>
  <c r="O84" i="4"/>
  <c r="N84" i="4"/>
  <c r="U83" i="4"/>
  <c r="T83" i="4"/>
  <c r="S83" i="4"/>
  <c r="R83" i="4"/>
  <c r="P83" i="4"/>
  <c r="O83" i="4"/>
  <c r="N83" i="4"/>
  <c r="U82" i="4"/>
  <c r="T82" i="4"/>
  <c r="S82" i="4"/>
  <c r="R82" i="4"/>
  <c r="P82" i="4"/>
  <c r="O82" i="4"/>
  <c r="N82" i="4"/>
  <c r="U81" i="4"/>
  <c r="T81" i="4"/>
  <c r="S81" i="4"/>
  <c r="R81" i="4"/>
  <c r="P81" i="4"/>
  <c r="O81" i="4"/>
  <c r="N81" i="4"/>
  <c r="U80" i="4"/>
  <c r="T80" i="4"/>
  <c r="S80" i="4"/>
  <c r="R80" i="4"/>
  <c r="P80" i="4"/>
  <c r="O80" i="4"/>
  <c r="N80" i="4"/>
  <c r="U79" i="4"/>
  <c r="T79" i="4"/>
  <c r="S79" i="4"/>
  <c r="R79" i="4"/>
  <c r="P79" i="4"/>
  <c r="O79" i="4"/>
  <c r="N79" i="4"/>
  <c r="U78" i="4"/>
  <c r="T78" i="4"/>
  <c r="S78" i="4"/>
  <c r="R78" i="4"/>
  <c r="P78" i="4"/>
  <c r="O78" i="4"/>
  <c r="N78" i="4"/>
  <c r="U77" i="4"/>
  <c r="T77" i="4"/>
  <c r="S77" i="4"/>
  <c r="R77" i="4"/>
  <c r="P77" i="4"/>
  <c r="O77" i="4"/>
  <c r="N77" i="4"/>
  <c r="U76" i="4"/>
  <c r="T76" i="4"/>
  <c r="S76" i="4"/>
  <c r="R76" i="4"/>
  <c r="P76" i="4"/>
  <c r="O76" i="4"/>
  <c r="N76" i="4"/>
  <c r="U75" i="4"/>
  <c r="T75" i="4"/>
  <c r="S75" i="4"/>
  <c r="R75" i="4"/>
  <c r="P75" i="4"/>
  <c r="O75" i="4"/>
  <c r="N75" i="4"/>
  <c r="U74" i="4"/>
  <c r="T74" i="4"/>
  <c r="S74" i="4"/>
  <c r="R74" i="4"/>
  <c r="P74" i="4"/>
  <c r="O74" i="4"/>
  <c r="N74" i="4"/>
  <c r="U73" i="4"/>
  <c r="T73" i="4"/>
  <c r="S73" i="4"/>
  <c r="R73" i="4"/>
  <c r="P73" i="4"/>
  <c r="O73" i="4"/>
  <c r="N73" i="4"/>
  <c r="U72" i="4"/>
  <c r="T72" i="4"/>
  <c r="S72" i="4"/>
  <c r="R72" i="4"/>
  <c r="AA30" i="5" s="1"/>
  <c r="P72" i="4"/>
  <c r="O72" i="4"/>
  <c r="N72" i="4"/>
  <c r="U71" i="4"/>
  <c r="T71" i="4"/>
  <c r="S71" i="4"/>
  <c r="R71" i="4"/>
  <c r="P71" i="4"/>
  <c r="O71" i="4"/>
  <c r="N71" i="4"/>
  <c r="U70" i="4"/>
  <c r="T70" i="4"/>
  <c r="S70" i="4"/>
  <c r="R70" i="4"/>
  <c r="AA27" i="5" s="1"/>
  <c r="P70" i="4"/>
  <c r="O70" i="4"/>
  <c r="N70" i="4"/>
  <c r="U69" i="4"/>
  <c r="T69" i="4"/>
  <c r="S69" i="4"/>
  <c r="R69" i="4"/>
  <c r="AA26" i="5" s="1"/>
  <c r="P69" i="4"/>
  <c r="O69" i="4"/>
  <c r="N69" i="4"/>
  <c r="U68" i="4"/>
  <c r="T68" i="4"/>
  <c r="S68" i="4"/>
  <c r="R68" i="4"/>
  <c r="P68" i="4"/>
  <c r="O68" i="4"/>
  <c r="N68" i="4"/>
  <c r="U67" i="4"/>
  <c r="T67" i="4"/>
  <c r="S67" i="4"/>
  <c r="R67" i="4"/>
  <c r="P67" i="4"/>
  <c r="O67" i="4"/>
  <c r="N67" i="4"/>
  <c r="U66" i="4"/>
  <c r="T66" i="4"/>
  <c r="S66" i="4"/>
  <c r="R66" i="4"/>
  <c r="P66" i="4"/>
  <c r="O66" i="4"/>
  <c r="N66" i="4"/>
  <c r="U65" i="4"/>
  <c r="T65" i="4"/>
  <c r="S65" i="4"/>
  <c r="R65" i="4"/>
  <c r="P65" i="4"/>
  <c r="O65" i="4"/>
  <c r="N65" i="4"/>
  <c r="U64" i="4"/>
  <c r="T64" i="4"/>
  <c r="S64" i="4"/>
  <c r="R64" i="4"/>
  <c r="AA24" i="5" s="1"/>
  <c r="P64" i="4"/>
  <c r="O64" i="4"/>
  <c r="N64" i="4"/>
  <c r="U63" i="4"/>
  <c r="T63" i="4"/>
  <c r="S63" i="4"/>
  <c r="R63" i="4"/>
  <c r="AA25" i="5" s="1"/>
  <c r="P63" i="4"/>
  <c r="O63" i="4"/>
  <c r="N63" i="4"/>
  <c r="U62" i="4"/>
  <c r="T62" i="4"/>
  <c r="S62" i="4"/>
  <c r="R62" i="4"/>
  <c r="P62" i="4"/>
  <c r="O62" i="4"/>
  <c r="N62" i="4"/>
  <c r="U61" i="4"/>
  <c r="T61" i="4"/>
  <c r="S61" i="4"/>
  <c r="R61" i="4"/>
  <c r="P61" i="4"/>
  <c r="O61" i="4"/>
  <c r="N61" i="4"/>
  <c r="U60" i="4"/>
  <c r="T60" i="4"/>
  <c r="S60" i="4"/>
  <c r="R60" i="4"/>
  <c r="P60" i="4"/>
  <c r="O60" i="4"/>
  <c r="N60" i="4"/>
  <c r="U59" i="4"/>
  <c r="T59" i="4"/>
  <c r="S59" i="4"/>
  <c r="R59" i="4"/>
  <c r="P59" i="4"/>
  <c r="O59" i="4"/>
  <c r="N59" i="4"/>
  <c r="U58" i="4"/>
  <c r="T58" i="4"/>
  <c r="S58" i="4"/>
  <c r="R58" i="4"/>
  <c r="P58" i="4"/>
  <c r="O58" i="4"/>
  <c r="N58" i="4"/>
  <c r="U57" i="4"/>
  <c r="T57" i="4"/>
  <c r="S57" i="4"/>
  <c r="R57" i="4"/>
  <c r="P57" i="4"/>
  <c r="O57" i="4"/>
  <c r="N57" i="4"/>
  <c r="U56" i="4"/>
  <c r="T56" i="4"/>
  <c r="S56" i="4"/>
  <c r="R56" i="4"/>
  <c r="P56" i="4"/>
  <c r="O56" i="4"/>
  <c r="N56" i="4"/>
  <c r="U55" i="4"/>
  <c r="T55" i="4"/>
  <c r="S55" i="4"/>
  <c r="R55" i="4"/>
  <c r="P55" i="4"/>
  <c r="O55" i="4"/>
  <c r="N55" i="4"/>
  <c r="U54" i="4"/>
  <c r="T54" i="4"/>
  <c r="S54" i="4"/>
  <c r="R54" i="4"/>
  <c r="P54" i="4"/>
  <c r="O54" i="4"/>
  <c r="N54" i="4"/>
  <c r="U53" i="4"/>
  <c r="T53" i="4"/>
  <c r="S53" i="4"/>
  <c r="R53" i="4"/>
  <c r="P53" i="4"/>
  <c r="O53" i="4"/>
  <c r="N53" i="4"/>
  <c r="U52" i="4"/>
  <c r="T52" i="4"/>
  <c r="S52" i="4"/>
  <c r="R52" i="4"/>
  <c r="P52" i="4"/>
  <c r="O52" i="4"/>
  <c r="N52" i="4"/>
  <c r="U51" i="4"/>
  <c r="T51" i="4"/>
  <c r="S51" i="4"/>
  <c r="R51" i="4"/>
  <c r="P51" i="4"/>
  <c r="O51" i="4"/>
  <c r="N51" i="4"/>
  <c r="U50" i="4"/>
  <c r="T50" i="4"/>
  <c r="S50" i="4"/>
  <c r="R50" i="4"/>
  <c r="P50" i="4"/>
  <c r="O50" i="4"/>
  <c r="N50" i="4"/>
  <c r="U49" i="4"/>
  <c r="T49" i="4"/>
  <c r="S49" i="4"/>
  <c r="R49" i="4"/>
  <c r="P49" i="4"/>
  <c r="O49" i="4"/>
  <c r="N49" i="4"/>
  <c r="U48" i="4"/>
  <c r="T48" i="4"/>
  <c r="S48" i="4"/>
  <c r="R48" i="4"/>
  <c r="P48" i="4"/>
  <c r="O48" i="4"/>
  <c r="N48" i="4"/>
  <c r="U47" i="4"/>
  <c r="T47" i="4"/>
  <c r="S47" i="4"/>
  <c r="R47" i="4"/>
  <c r="P47" i="4"/>
  <c r="O47" i="4"/>
  <c r="N47" i="4"/>
  <c r="U46" i="4"/>
  <c r="T46" i="4"/>
  <c r="S46" i="4"/>
  <c r="R46" i="4"/>
  <c r="P46" i="4"/>
  <c r="O46" i="4"/>
  <c r="N46" i="4"/>
  <c r="U45" i="4"/>
  <c r="T45" i="4"/>
  <c r="S45" i="4"/>
  <c r="R45" i="4"/>
  <c r="P45" i="4"/>
  <c r="O45" i="4"/>
  <c r="N45" i="4"/>
  <c r="U44" i="4"/>
  <c r="T44" i="4"/>
  <c r="S44" i="4"/>
  <c r="R44" i="4"/>
  <c r="P44" i="4"/>
  <c r="O44" i="4"/>
  <c r="N44" i="4"/>
  <c r="U43" i="4"/>
  <c r="T43" i="4"/>
  <c r="S43" i="4"/>
  <c r="R43" i="4"/>
  <c r="P43" i="4"/>
  <c r="O43" i="4"/>
  <c r="N43" i="4"/>
  <c r="U42" i="4"/>
  <c r="T42" i="4"/>
  <c r="S42" i="4"/>
  <c r="R42" i="4"/>
  <c r="P42" i="4"/>
  <c r="O42" i="4"/>
  <c r="N42" i="4"/>
  <c r="U41" i="4"/>
  <c r="T41" i="4"/>
  <c r="S41" i="4"/>
  <c r="R41" i="4"/>
  <c r="P41" i="4"/>
  <c r="O41" i="4"/>
  <c r="N41" i="4"/>
  <c r="U40" i="4"/>
  <c r="T40" i="4"/>
  <c r="S40" i="4"/>
  <c r="R40" i="4"/>
  <c r="P40" i="4"/>
  <c r="O40" i="4"/>
  <c r="N40" i="4"/>
  <c r="U39" i="4"/>
  <c r="T39" i="4"/>
  <c r="S39" i="4"/>
  <c r="R39" i="4"/>
  <c r="P39" i="4"/>
  <c r="O39" i="4"/>
  <c r="N39" i="4"/>
  <c r="U38" i="4"/>
  <c r="T38" i="4"/>
  <c r="S38" i="4"/>
  <c r="R38" i="4"/>
  <c r="P38" i="4"/>
  <c r="O38" i="4"/>
  <c r="N38" i="4"/>
  <c r="U37" i="4"/>
  <c r="T37" i="4"/>
  <c r="S37" i="4"/>
  <c r="R37" i="4"/>
  <c r="P37" i="4"/>
  <c r="O37" i="4"/>
  <c r="N37" i="4"/>
  <c r="U36" i="4"/>
  <c r="T36" i="4"/>
  <c r="S36" i="4"/>
  <c r="R36" i="4"/>
  <c r="N34" i="8" s="1"/>
  <c r="P36" i="4"/>
  <c r="O36" i="4"/>
  <c r="N36" i="4"/>
  <c r="U35" i="4"/>
  <c r="T35" i="4"/>
  <c r="S35" i="4"/>
  <c r="R35" i="4"/>
  <c r="E82" i="25" s="1"/>
  <c r="P35" i="4"/>
  <c r="O35" i="4"/>
  <c r="N35" i="4"/>
  <c r="U34" i="4"/>
  <c r="T34" i="4"/>
  <c r="S34" i="4"/>
  <c r="R34" i="4"/>
  <c r="P34" i="4"/>
  <c r="O34" i="4"/>
  <c r="N34" i="4"/>
  <c r="U33" i="4"/>
  <c r="T33" i="4"/>
  <c r="S33" i="4"/>
  <c r="R33" i="4"/>
  <c r="P33" i="4"/>
  <c r="O33" i="4"/>
  <c r="N33" i="4"/>
  <c r="U32" i="4"/>
  <c r="T32" i="4"/>
  <c r="S32" i="4"/>
  <c r="R32" i="4"/>
  <c r="P32" i="4"/>
  <c r="O32" i="4"/>
  <c r="N32" i="4"/>
  <c r="U31" i="4"/>
  <c r="T31" i="4"/>
  <c r="S31" i="4"/>
  <c r="R31" i="4"/>
  <c r="P31" i="4"/>
  <c r="O31" i="4"/>
  <c r="N31" i="4"/>
  <c r="U30" i="4"/>
  <c r="T30" i="4"/>
  <c r="S30" i="4"/>
  <c r="R30" i="4"/>
  <c r="P30" i="4"/>
  <c r="O30" i="4"/>
  <c r="N30" i="4"/>
  <c r="U29" i="4"/>
  <c r="T29" i="4"/>
  <c r="S29" i="4"/>
  <c r="R29" i="4"/>
  <c r="P29" i="4"/>
  <c r="O29" i="4"/>
  <c r="N29" i="4"/>
  <c r="U28" i="4"/>
  <c r="T28" i="4"/>
  <c r="S28" i="4"/>
  <c r="R28" i="4"/>
  <c r="P28" i="4"/>
  <c r="O28" i="4"/>
  <c r="N28" i="4"/>
  <c r="U27" i="4"/>
  <c r="T27" i="4"/>
  <c r="S27" i="4"/>
  <c r="R27" i="4"/>
  <c r="P27" i="4"/>
  <c r="O27" i="4"/>
  <c r="N27" i="4"/>
  <c r="U26" i="4"/>
  <c r="T26" i="4"/>
  <c r="S26" i="4"/>
  <c r="R26" i="4"/>
  <c r="P26" i="4"/>
  <c r="O26" i="4"/>
  <c r="N26" i="4"/>
  <c r="U25" i="4"/>
  <c r="T25" i="4"/>
  <c r="S25" i="4"/>
  <c r="R25" i="4"/>
  <c r="P25" i="4"/>
  <c r="O25" i="4"/>
  <c r="N25" i="4"/>
  <c r="U24" i="4"/>
  <c r="T24" i="4"/>
  <c r="S24" i="4"/>
  <c r="R24" i="4"/>
  <c r="P24" i="4"/>
  <c r="O24" i="4"/>
  <c r="N24" i="4"/>
  <c r="U23" i="4"/>
  <c r="T23" i="4"/>
  <c r="S23" i="4"/>
  <c r="R23" i="4"/>
  <c r="P23" i="4"/>
  <c r="O23" i="4"/>
  <c r="N23" i="4"/>
  <c r="U22" i="4"/>
  <c r="T22" i="4"/>
  <c r="S22" i="4"/>
  <c r="R22" i="4"/>
  <c r="P22" i="4"/>
  <c r="O22" i="4"/>
  <c r="N22" i="4"/>
  <c r="U21" i="4"/>
  <c r="T21" i="4"/>
  <c r="S21" i="4"/>
  <c r="R21" i="4"/>
  <c r="P21" i="4"/>
  <c r="O21" i="4"/>
  <c r="N21" i="4"/>
  <c r="U20" i="4"/>
  <c r="T20" i="4"/>
  <c r="S20" i="4"/>
  <c r="R20" i="4"/>
  <c r="P20" i="4"/>
  <c r="O20" i="4"/>
  <c r="N20" i="4"/>
  <c r="U19" i="4"/>
  <c r="T19" i="4"/>
  <c r="S19" i="4"/>
  <c r="R19" i="4"/>
  <c r="P19" i="4"/>
  <c r="O19" i="4"/>
  <c r="N19" i="4"/>
  <c r="U18" i="4"/>
  <c r="T18" i="4"/>
  <c r="S18" i="4"/>
  <c r="R18" i="4"/>
  <c r="P18" i="4"/>
  <c r="O18" i="4"/>
  <c r="N18" i="4"/>
  <c r="U17" i="4"/>
  <c r="T17" i="4"/>
  <c r="S17" i="4"/>
  <c r="R17" i="4"/>
  <c r="P17" i="4"/>
  <c r="O17" i="4"/>
  <c r="N17" i="4"/>
  <c r="U16" i="4"/>
  <c r="T16" i="4"/>
  <c r="S16" i="4"/>
  <c r="R16" i="4"/>
  <c r="P16" i="4"/>
  <c r="O16" i="4"/>
  <c r="N16" i="4"/>
  <c r="U15" i="4"/>
  <c r="T15" i="4"/>
  <c r="S15" i="4"/>
  <c r="R15" i="4"/>
  <c r="P15" i="4"/>
  <c r="O15" i="4"/>
  <c r="N15" i="4"/>
  <c r="R11" i="4"/>
  <c r="D11" i="4"/>
  <c r="R10" i="4"/>
  <c r="D10" i="4"/>
  <c r="R9" i="4"/>
  <c r="D9" i="4"/>
  <c r="G7" i="4"/>
  <c r="D7" i="4"/>
  <c r="G603" i="3"/>
  <c r="F603" i="3"/>
  <c r="AO602" i="3"/>
  <c r="AN602" i="3"/>
  <c r="AM602" i="3"/>
  <c r="AL602" i="3"/>
  <c r="AI602" i="3"/>
  <c r="AH602" i="3"/>
  <c r="AG602" i="3"/>
  <c r="AF602" i="3"/>
  <c r="AD602" i="3"/>
  <c r="AC602" i="3"/>
  <c r="AK602" i="3" s="1"/>
  <c r="AB602" i="3"/>
  <c r="AJ602" i="3" s="1"/>
  <c r="R602" i="3"/>
  <c r="P602" i="3"/>
  <c r="N602" i="3"/>
  <c r="AE602" i="3" s="1"/>
  <c r="G602" i="3"/>
  <c r="F602" i="3"/>
  <c r="AO601" i="3"/>
  <c r="AN601" i="3"/>
  <c r="AM601" i="3"/>
  <c r="AL601" i="3"/>
  <c r="AI601" i="3"/>
  <c r="AH601" i="3"/>
  <c r="AG601" i="3"/>
  <c r="AF601" i="3"/>
  <c r="AD601" i="3"/>
  <c r="AC601" i="3"/>
  <c r="AK601" i="3" s="1"/>
  <c r="AB601" i="3"/>
  <c r="AJ601" i="3" s="1"/>
  <c r="R601" i="3"/>
  <c r="P601" i="3"/>
  <c r="N601" i="3"/>
  <c r="AE601" i="3" s="1"/>
  <c r="G601" i="3"/>
  <c r="F601" i="3"/>
  <c r="AO600" i="3"/>
  <c r="AN600" i="3"/>
  <c r="AM600" i="3"/>
  <c r="AL600" i="3"/>
  <c r="AI600" i="3"/>
  <c r="AH600" i="3"/>
  <c r="AG600" i="3"/>
  <c r="AF600" i="3"/>
  <c r="AD600" i="3"/>
  <c r="AC600" i="3"/>
  <c r="AK600" i="3" s="1"/>
  <c r="AB600" i="3"/>
  <c r="AJ600" i="3" s="1"/>
  <c r="R600" i="3"/>
  <c r="P600" i="3"/>
  <c r="N600" i="3"/>
  <c r="AE600" i="3" s="1"/>
  <c r="G600" i="3"/>
  <c r="F600" i="3"/>
  <c r="AO599" i="3"/>
  <c r="AN599" i="3"/>
  <c r="AM599" i="3"/>
  <c r="AL599" i="3"/>
  <c r="AI599" i="3"/>
  <c r="AH599" i="3"/>
  <c r="AG599" i="3"/>
  <c r="AF599" i="3"/>
  <c r="AD599" i="3"/>
  <c r="AC599" i="3"/>
  <c r="AK599" i="3" s="1"/>
  <c r="AB599" i="3"/>
  <c r="AJ599" i="3" s="1"/>
  <c r="R599" i="3"/>
  <c r="P599" i="3"/>
  <c r="N599" i="3"/>
  <c r="AE599" i="3" s="1"/>
  <c r="G599" i="3"/>
  <c r="F599" i="3"/>
  <c r="AO598" i="3"/>
  <c r="AN598" i="3"/>
  <c r="AM598" i="3"/>
  <c r="AL598" i="3"/>
  <c r="AI598" i="3"/>
  <c r="AH598" i="3"/>
  <c r="AG598" i="3"/>
  <c r="AF598" i="3"/>
  <c r="AD598" i="3"/>
  <c r="AC598" i="3"/>
  <c r="AK598" i="3" s="1"/>
  <c r="AB598" i="3"/>
  <c r="AJ598" i="3" s="1"/>
  <c r="R598" i="3"/>
  <c r="P598" i="3"/>
  <c r="N598" i="3"/>
  <c r="AE598" i="3" s="1"/>
  <c r="G598" i="3"/>
  <c r="F598" i="3"/>
  <c r="AO597" i="3"/>
  <c r="AN597" i="3"/>
  <c r="AM597" i="3"/>
  <c r="AL597" i="3"/>
  <c r="AI597" i="3"/>
  <c r="AH597" i="3"/>
  <c r="AG597" i="3"/>
  <c r="AF597" i="3"/>
  <c r="AD597" i="3"/>
  <c r="AC597" i="3"/>
  <c r="AK597" i="3" s="1"/>
  <c r="AB597" i="3"/>
  <c r="AJ597" i="3" s="1"/>
  <c r="R597" i="3"/>
  <c r="P597" i="3"/>
  <c r="N597" i="3"/>
  <c r="AE597" i="3" s="1"/>
  <c r="G597" i="3"/>
  <c r="F597" i="3"/>
  <c r="AO596" i="3"/>
  <c r="AN596" i="3"/>
  <c r="AM596" i="3"/>
  <c r="AL596" i="3"/>
  <c r="AI596" i="3"/>
  <c r="AH596" i="3"/>
  <c r="AG596" i="3"/>
  <c r="AF596" i="3"/>
  <c r="AD596" i="3"/>
  <c r="AC596" i="3"/>
  <c r="AK596" i="3" s="1"/>
  <c r="AB596" i="3"/>
  <c r="AJ596" i="3" s="1"/>
  <c r="R596" i="3"/>
  <c r="P596" i="3"/>
  <c r="N596" i="3"/>
  <c r="AE596" i="3" s="1"/>
  <c r="G596" i="3"/>
  <c r="F596" i="3"/>
  <c r="AO595" i="3"/>
  <c r="AN595" i="3"/>
  <c r="AM595" i="3"/>
  <c r="AL595" i="3"/>
  <c r="AI595" i="3"/>
  <c r="AH595" i="3"/>
  <c r="AG595" i="3"/>
  <c r="AF595" i="3"/>
  <c r="AD595" i="3"/>
  <c r="AC595" i="3"/>
  <c r="AK595" i="3" s="1"/>
  <c r="AB595" i="3"/>
  <c r="AJ595" i="3" s="1"/>
  <c r="R595" i="3"/>
  <c r="P595" i="3"/>
  <c r="N595" i="3"/>
  <c r="AE595" i="3" s="1"/>
  <c r="G595" i="3"/>
  <c r="F595" i="3"/>
  <c r="AO594" i="3"/>
  <c r="AN594" i="3"/>
  <c r="AM594" i="3"/>
  <c r="AL594" i="3"/>
  <c r="AI594" i="3"/>
  <c r="AH594" i="3"/>
  <c r="AG594" i="3"/>
  <c r="AF594" i="3"/>
  <c r="AD594" i="3"/>
  <c r="AC594" i="3"/>
  <c r="AK594" i="3" s="1"/>
  <c r="AB594" i="3"/>
  <c r="AJ594" i="3" s="1"/>
  <c r="R594" i="3"/>
  <c r="P594" i="3"/>
  <c r="N594" i="3"/>
  <c r="AE594" i="3" s="1"/>
  <c r="G594" i="3"/>
  <c r="F594" i="3"/>
  <c r="AO593" i="3"/>
  <c r="AN593" i="3"/>
  <c r="AM593" i="3"/>
  <c r="AL593" i="3"/>
  <c r="AI593" i="3"/>
  <c r="AH593" i="3"/>
  <c r="AG593" i="3"/>
  <c r="AF593" i="3"/>
  <c r="AD593" i="3"/>
  <c r="AC593" i="3"/>
  <c r="AK593" i="3" s="1"/>
  <c r="AB593" i="3"/>
  <c r="AJ593" i="3" s="1"/>
  <c r="R593" i="3"/>
  <c r="P593" i="3"/>
  <c r="N593" i="3"/>
  <c r="AE593" i="3" s="1"/>
  <c r="G593" i="3"/>
  <c r="F593" i="3"/>
  <c r="AO592" i="3"/>
  <c r="AN592" i="3"/>
  <c r="AM592" i="3"/>
  <c r="AL592" i="3"/>
  <c r="AI592" i="3"/>
  <c r="AH592" i="3"/>
  <c r="AG592" i="3"/>
  <c r="AF592" i="3"/>
  <c r="AD592" i="3"/>
  <c r="AC592" i="3"/>
  <c r="AK592" i="3" s="1"/>
  <c r="AB592" i="3"/>
  <c r="AJ592" i="3" s="1"/>
  <c r="R592" i="3"/>
  <c r="P592" i="3"/>
  <c r="N592" i="3"/>
  <c r="AE592" i="3" s="1"/>
  <c r="G592" i="3"/>
  <c r="F592" i="3"/>
  <c r="AO591" i="3"/>
  <c r="AN591" i="3"/>
  <c r="AM591" i="3"/>
  <c r="AL591" i="3"/>
  <c r="AI591" i="3"/>
  <c r="AH591" i="3"/>
  <c r="AG591" i="3"/>
  <c r="AF591" i="3"/>
  <c r="AD591" i="3"/>
  <c r="AC591" i="3"/>
  <c r="AK591" i="3" s="1"/>
  <c r="AB591" i="3"/>
  <c r="AJ591" i="3" s="1"/>
  <c r="R591" i="3"/>
  <c r="P591" i="3"/>
  <c r="N591" i="3"/>
  <c r="AE591" i="3" s="1"/>
  <c r="G591" i="3"/>
  <c r="F591" i="3"/>
  <c r="AO590" i="3"/>
  <c r="AN590" i="3"/>
  <c r="AM590" i="3"/>
  <c r="AL590" i="3"/>
  <c r="AI590" i="3"/>
  <c r="AH590" i="3"/>
  <c r="AG590" i="3"/>
  <c r="AF590" i="3"/>
  <c r="AD590" i="3"/>
  <c r="AC590" i="3"/>
  <c r="AK590" i="3" s="1"/>
  <c r="AB590" i="3"/>
  <c r="AJ590" i="3" s="1"/>
  <c r="R590" i="3"/>
  <c r="P590" i="3"/>
  <c r="N590" i="3"/>
  <c r="AE590" i="3" s="1"/>
  <c r="G590" i="3"/>
  <c r="F590" i="3"/>
  <c r="AO589" i="3"/>
  <c r="AN589" i="3"/>
  <c r="AM589" i="3"/>
  <c r="AL589" i="3"/>
  <c r="AI589" i="3"/>
  <c r="AH589" i="3"/>
  <c r="AG589" i="3"/>
  <c r="AF589" i="3"/>
  <c r="AD589" i="3"/>
  <c r="AC589" i="3"/>
  <c r="AK589" i="3" s="1"/>
  <c r="AB589" i="3"/>
  <c r="AJ589" i="3" s="1"/>
  <c r="R589" i="3"/>
  <c r="P589" i="3"/>
  <c r="N589" i="3"/>
  <c r="AE589" i="3" s="1"/>
  <c r="G589" i="3"/>
  <c r="F589" i="3"/>
  <c r="AO588" i="3"/>
  <c r="AN588" i="3"/>
  <c r="AM588" i="3"/>
  <c r="AL588" i="3"/>
  <c r="AI588" i="3"/>
  <c r="AH588" i="3"/>
  <c r="AG588" i="3"/>
  <c r="AF588" i="3"/>
  <c r="AD588" i="3"/>
  <c r="AC588" i="3"/>
  <c r="AK588" i="3" s="1"/>
  <c r="AB588" i="3"/>
  <c r="AJ588" i="3" s="1"/>
  <c r="R588" i="3"/>
  <c r="P588" i="3"/>
  <c r="N588" i="3"/>
  <c r="AE588" i="3" s="1"/>
  <c r="G588" i="3"/>
  <c r="F588" i="3"/>
  <c r="AO587" i="3"/>
  <c r="AN587" i="3"/>
  <c r="AM587" i="3"/>
  <c r="AL587" i="3"/>
  <c r="AI587" i="3"/>
  <c r="AH587" i="3"/>
  <c r="AG587" i="3"/>
  <c r="AF587" i="3"/>
  <c r="AD587" i="3"/>
  <c r="AC587" i="3"/>
  <c r="AK587" i="3" s="1"/>
  <c r="AB587" i="3"/>
  <c r="AJ587" i="3" s="1"/>
  <c r="R587" i="3"/>
  <c r="P587" i="3"/>
  <c r="N587" i="3"/>
  <c r="AE587" i="3" s="1"/>
  <c r="G587" i="3"/>
  <c r="F587" i="3"/>
  <c r="AO586" i="3"/>
  <c r="AN586" i="3"/>
  <c r="AM586" i="3"/>
  <c r="AL586" i="3"/>
  <c r="AI586" i="3"/>
  <c r="AH586" i="3"/>
  <c r="AG586" i="3"/>
  <c r="AF586" i="3"/>
  <c r="AD586" i="3"/>
  <c r="AC586" i="3"/>
  <c r="AK586" i="3" s="1"/>
  <c r="AB586" i="3"/>
  <c r="AJ586" i="3" s="1"/>
  <c r="R586" i="3"/>
  <c r="P586" i="3"/>
  <c r="N586" i="3"/>
  <c r="AE586" i="3" s="1"/>
  <c r="G586" i="3"/>
  <c r="F586" i="3"/>
  <c r="AO585" i="3"/>
  <c r="AN585" i="3"/>
  <c r="AM585" i="3"/>
  <c r="AL585" i="3"/>
  <c r="AI585" i="3"/>
  <c r="AH585" i="3"/>
  <c r="AG585" i="3"/>
  <c r="AF585" i="3"/>
  <c r="AD585" i="3"/>
  <c r="AC585" i="3"/>
  <c r="AK585" i="3" s="1"/>
  <c r="AB585" i="3"/>
  <c r="AJ585" i="3" s="1"/>
  <c r="R585" i="3"/>
  <c r="P585" i="3"/>
  <c r="N585" i="3"/>
  <c r="AE585" i="3" s="1"/>
  <c r="G585" i="3"/>
  <c r="F585" i="3"/>
  <c r="AO584" i="3"/>
  <c r="AN584" i="3"/>
  <c r="AM584" i="3"/>
  <c r="AL584" i="3"/>
  <c r="AI584" i="3"/>
  <c r="AH584" i="3"/>
  <c r="AG584" i="3"/>
  <c r="AF584" i="3"/>
  <c r="AD584" i="3"/>
  <c r="AC584" i="3"/>
  <c r="AK584" i="3" s="1"/>
  <c r="AB584" i="3"/>
  <c r="AJ584" i="3" s="1"/>
  <c r="R584" i="3"/>
  <c r="P584" i="3"/>
  <c r="N584" i="3"/>
  <c r="AE584" i="3" s="1"/>
  <c r="G584" i="3"/>
  <c r="F584" i="3"/>
  <c r="AO583" i="3"/>
  <c r="AN583" i="3"/>
  <c r="AM583" i="3"/>
  <c r="AL583" i="3"/>
  <c r="AI583" i="3"/>
  <c r="AH583" i="3"/>
  <c r="AG583" i="3"/>
  <c r="AF583" i="3"/>
  <c r="AD583" i="3"/>
  <c r="AC583" i="3"/>
  <c r="AK583" i="3" s="1"/>
  <c r="AB583" i="3"/>
  <c r="AJ583" i="3" s="1"/>
  <c r="R583" i="3"/>
  <c r="P583" i="3"/>
  <c r="N583" i="3"/>
  <c r="AE583" i="3" s="1"/>
  <c r="G583" i="3"/>
  <c r="F583" i="3"/>
  <c r="AO582" i="3"/>
  <c r="AN582" i="3"/>
  <c r="AM582" i="3"/>
  <c r="AL582" i="3"/>
  <c r="AI582" i="3"/>
  <c r="AH582" i="3"/>
  <c r="AG582" i="3"/>
  <c r="AF582" i="3"/>
  <c r="AD582" i="3"/>
  <c r="AC582" i="3"/>
  <c r="AK582" i="3" s="1"/>
  <c r="AB582" i="3"/>
  <c r="AJ582" i="3" s="1"/>
  <c r="R582" i="3"/>
  <c r="P582" i="3"/>
  <c r="N582" i="3"/>
  <c r="AE582" i="3" s="1"/>
  <c r="G582" i="3"/>
  <c r="F582" i="3"/>
  <c r="AO581" i="3"/>
  <c r="AN581" i="3"/>
  <c r="AM581" i="3"/>
  <c r="AL581" i="3"/>
  <c r="AI581" i="3"/>
  <c r="AH581" i="3"/>
  <c r="AG581" i="3"/>
  <c r="AF581" i="3"/>
  <c r="AD581" i="3"/>
  <c r="AC581" i="3"/>
  <c r="AK581" i="3" s="1"/>
  <c r="AB581" i="3"/>
  <c r="AJ581" i="3" s="1"/>
  <c r="R581" i="3"/>
  <c r="P581" i="3"/>
  <c r="N581" i="3"/>
  <c r="AE581" i="3" s="1"/>
  <c r="G581" i="3"/>
  <c r="F581" i="3"/>
  <c r="AO580" i="3"/>
  <c r="AN580" i="3"/>
  <c r="AM580" i="3"/>
  <c r="AL580" i="3"/>
  <c r="AI580" i="3"/>
  <c r="AH580" i="3"/>
  <c r="AG580" i="3"/>
  <c r="AF580" i="3"/>
  <c r="AD580" i="3"/>
  <c r="AC580" i="3"/>
  <c r="AK580" i="3" s="1"/>
  <c r="AB580" i="3"/>
  <c r="AJ580" i="3" s="1"/>
  <c r="R580" i="3"/>
  <c r="P580" i="3"/>
  <c r="N580" i="3"/>
  <c r="AE580" i="3" s="1"/>
  <c r="G580" i="3"/>
  <c r="F580" i="3"/>
  <c r="AO579" i="3"/>
  <c r="AN579" i="3"/>
  <c r="AM579" i="3"/>
  <c r="AL579" i="3"/>
  <c r="AI579" i="3"/>
  <c r="AH579" i="3"/>
  <c r="AG579" i="3"/>
  <c r="AF579" i="3"/>
  <c r="AD579" i="3"/>
  <c r="AC579" i="3"/>
  <c r="AK579" i="3" s="1"/>
  <c r="AB579" i="3"/>
  <c r="AJ579" i="3" s="1"/>
  <c r="R579" i="3"/>
  <c r="P579" i="3"/>
  <c r="N579" i="3"/>
  <c r="AE579" i="3" s="1"/>
  <c r="G579" i="3"/>
  <c r="F579" i="3"/>
  <c r="AO578" i="3"/>
  <c r="AN578" i="3"/>
  <c r="AM578" i="3"/>
  <c r="AL578" i="3"/>
  <c r="AI578" i="3"/>
  <c r="AH578" i="3"/>
  <c r="AG578" i="3"/>
  <c r="AF578" i="3"/>
  <c r="AD578" i="3"/>
  <c r="AC578" i="3"/>
  <c r="AK578" i="3" s="1"/>
  <c r="AB578" i="3"/>
  <c r="AJ578" i="3" s="1"/>
  <c r="R578" i="3"/>
  <c r="P578" i="3"/>
  <c r="N578" i="3"/>
  <c r="AE578" i="3" s="1"/>
  <c r="G578" i="3"/>
  <c r="F578" i="3"/>
  <c r="AO577" i="3"/>
  <c r="AN577" i="3"/>
  <c r="AM577" i="3"/>
  <c r="AL577" i="3"/>
  <c r="AI577" i="3"/>
  <c r="AH577" i="3"/>
  <c r="AG577" i="3"/>
  <c r="AF577" i="3"/>
  <c r="AD577" i="3"/>
  <c r="AC577" i="3"/>
  <c r="AK577" i="3" s="1"/>
  <c r="AB577" i="3"/>
  <c r="AJ577" i="3" s="1"/>
  <c r="R577" i="3"/>
  <c r="P577" i="3"/>
  <c r="N577" i="3"/>
  <c r="AE577" i="3" s="1"/>
  <c r="G577" i="3"/>
  <c r="F577" i="3"/>
  <c r="AO576" i="3"/>
  <c r="AN576" i="3"/>
  <c r="AM576" i="3"/>
  <c r="AL576" i="3"/>
  <c r="AI576" i="3"/>
  <c r="AH576" i="3"/>
  <c r="AG576" i="3"/>
  <c r="AF576" i="3"/>
  <c r="AD576" i="3"/>
  <c r="AC576" i="3"/>
  <c r="AK576" i="3" s="1"/>
  <c r="AB576" i="3"/>
  <c r="AJ576" i="3" s="1"/>
  <c r="R576" i="3"/>
  <c r="P576" i="3"/>
  <c r="N576" i="3"/>
  <c r="AE576" i="3" s="1"/>
  <c r="G576" i="3"/>
  <c r="F576" i="3"/>
  <c r="AO575" i="3"/>
  <c r="AN575" i="3"/>
  <c r="AM575" i="3"/>
  <c r="AL575" i="3"/>
  <c r="AI575" i="3"/>
  <c r="AH575" i="3"/>
  <c r="AG575" i="3"/>
  <c r="AF575" i="3"/>
  <c r="AD575" i="3"/>
  <c r="AC575" i="3"/>
  <c r="AK575" i="3" s="1"/>
  <c r="AB575" i="3"/>
  <c r="AJ575" i="3" s="1"/>
  <c r="R575" i="3"/>
  <c r="P575" i="3"/>
  <c r="N575" i="3"/>
  <c r="AE575" i="3" s="1"/>
  <c r="G575" i="3"/>
  <c r="F575" i="3"/>
  <c r="AO574" i="3"/>
  <c r="AN574" i="3"/>
  <c r="AM574" i="3"/>
  <c r="AL574" i="3"/>
  <c r="AI574" i="3"/>
  <c r="AH574" i="3"/>
  <c r="AG574" i="3"/>
  <c r="AF574" i="3"/>
  <c r="AD574" i="3"/>
  <c r="AC574" i="3"/>
  <c r="AK574" i="3" s="1"/>
  <c r="AB574" i="3"/>
  <c r="AJ574" i="3" s="1"/>
  <c r="R574" i="3"/>
  <c r="P574" i="3"/>
  <c r="N574" i="3"/>
  <c r="AE574" i="3" s="1"/>
  <c r="G574" i="3"/>
  <c r="F574" i="3"/>
  <c r="AO573" i="3"/>
  <c r="AN573" i="3"/>
  <c r="AM573" i="3"/>
  <c r="AL573" i="3"/>
  <c r="AI573" i="3"/>
  <c r="AH573" i="3"/>
  <c r="AG573" i="3"/>
  <c r="AF573" i="3"/>
  <c r="AD573" i="3"/>
  <c r="AC573" i="3"/>
  <c r="AK573" i="3" s="1"/>
  <c r="AB573" i="3"/>
  <c r="AJ573" i="3" s="1"/>
  <c r="R573" i="3"/>
  <c r="P573" i="3"/>
  <c r="N573" i="3"/>
  <c r="AE573" i="3" s="1"/>
  <c r="G573" i="3"/>
  <c r="F573" i="3"/>
  <c r="AO572" i="3"/>
  <c r="AN572" i="3"/>
  <c r="AM572" i="3"/>
  <c r="AL572" i="3"/>
  <c r="AI572" i="3"/>
  <c r="AH572" i="3"/>
  <c r="AG572" i="3"/>
  <c r="AF572" i="3"/>
  <c r="AD572" i="3"/>
  <c r="AC572" i="3"/>
  <c r="AK572" i="3" s="1"/>
  <c r="AB572" i="3"/>
  <c r="AJ572" i="3" s="1"/>
  <c r="R572" i="3"/>
  <c r="P572" i="3"/>
  <c r="N572" i="3"/>
  <c r="AE572" i="3" s="1"/>
  <c r="G572" i="3"/>
  <c r="F572" i="3"/>
  <c r="AO571" i="3"/>
  <c r="AN571" i="3"/>
  <c r="AM571" i="3"/>
  <c r="AL571" i="3"/>
  <c r="AI571" i="3"/>
  <c r="AH571" i="3"/>
  <c r="AG571" i="3"/>
  <c r="AF571" i="3"/>
  <c r="AD571" i="3"/>
  <c r="AC571" i="3"/>
  <c r="AK571" i="3" s="1"/>
  <c r="AB571" i="3"/>
  <c r="AJ571" i="3" s="1"/>
  <c r="R571" i="3"/>
  <c r="P571" i="3"/>
  <c r="N571" i="3"/>
  <c r="AE571" i="3" s="1"/>
  <c r="G571" i="3"/>
  <c r="F571" i="3"/>
  <c r="AO570" i="3"/>
  <c r="AN570" i="3"/>
  <c r="AM570" i="3"/>
  <c r="AL570" i="3"/>
  <c r="AI570" i="3"/>
  <c r="AH570" i="3"/>
  <c r="AG570" i="3"/>
  <c r="AF570" i="3"/>
  <c r="AD570" i="3"/>
  <c r="AC570" i="3"/>
  <c r="AK570" i="3" s="1"/>
  <c r="AB570" i="3"/>
  <c r="AJ570" i="3" s="1"/>
  <c r="R570" i="3"/>
  <c r="P570" i="3"/>
  <c r="N570" i="3"/>
  <c r="AE570" i="3" s="1"/>
  <c r="G570" i="3"/>
  <c r="F570" i="3"/>
  <c r="AO569" i="3"/>
  <c r="AN569" i="3"/>
  <c r="AM569" i="3"/>
  <c r="AL569" i="3"/>
  <c r="AI569" i="3"/>
  <c r="AH569" i="3"/>
  <c r="AG569" i="3"/>
  <c r="AF569" i="3"/>
  <c r="AD569" i="3"/>
  <c r="AC569" i="3"/>
  <c r="AK569" i="3" s="1"/>
  <c r="AB569" i="3"/>
  <c r="AJ569" i="3" s="1"/>
  <c r="R569" i="3"/>
  <c r="P569" i="3"/>
  <c r="N569" i="3"/>
  <c r="AE569" i="3" s="1"/>
  <c r="G569" i="3"/>
  <c r="F569" i="3"/>
  <c r="AO568" i="3"/>
  <c r="AN568" i="3"/>
  <c r="AM568" i="3"/>
  <c r="AL568" i="3"/>
  <c r="AI568" i="3"/>
  <c r="AH568" i="3"/>
  <c r="AG568" i="3"/>
  <c r="AF568" i="3"/>
  <c r="AD568" i="3"/>
  <c r="AC568" i="3"/>
  <c r="AK568" i="3" s="1"/>
  <c r="AB568" i="3"/>
  <c r="AJ568" i="3" s="1"/>
  <c r="R568" i="3"/>
  <c r="P568" i="3"/>
  <c r="N568" i="3"/>
  <c r="AE568" i="3" s="1"/>
  <c r="G568" i="3"/>
  <c r="F568" i="3"/>
  <c r="AO567" i="3"/>
  <c r="AN567" i="3"/>
  <c r="AM567" i="3"/>
  <c r="AL567" i="3"/>
  <c r="AI567" i="3"/>
  <c r="AH567" i="3"/>
  <c r="AG567" i="3"/>
  <c r="AF567" i="3"/>
  <c r="AD567" i="3"/>
  <c r="AC567" i="3"/>
  <c r="AK567" i="3" s="1"/>
  <c r="AB567" i="3"/>
  <c r="AJ567" i="3" s="1"/>
  <c r="R567" i="3"/>
  <c r="P567" i="3"/>
  <c r="N567" i="3"/>
  <c r="AE567" i="3" s="1"/>
  <c r="G567" i="3"/>
  <c r="F567" i="3"/>
  <c r="AO566" i="3"/>
  <c r="AN566" i="3"/>
  <c r="AM566" i="3"/>
  <c r="AL566" i="3"/>
  <c r="AI566" i="3"/>
  <c r="AH566" i="3"/>
  <c r="AG566" i="3"/>
  <c r="AF566" i="3"/>
  <c r="AD566" i="3"/>
  <c r="AC566" i="3"/>
  <c r="AK566" i="3" s="1"/>
  <c r="AB566" i="3"/>
  <c r="AJ566" i="3" s="1"/>
  <c r="R566" i="3"/>
  <c r="P566" i="3"/>
  <c r="N566" i="3"/>
  <c r="AE566" i="3" s="1"/>
  <c r="G566" i="3"/>
  <c r="F566" i="3"/>
  <c r="AO565" i="3"/>
  <c r="AN565" i="3"/>
  <c r="AM565" i="3"/>
  <c r="AL565" i="3"/>
  <c r="AI565" i="3"/>
  <c r="AH565" i="3"/>
  <c r="AG565" i="3"/>
  <c r="AF565" i="3"/>
  <c r="AD565" i="3"/>
  <c r="AC565" i="3"/>
  <c r="AK565" i="3" s="1"/>
  <c r="AB565" i="3"/>
  <c r="AJ565" i="3" s="1"/>
  <c r="R565" i="3"/>
  <c r="P565" i="3"/>
  <c r="N565" i="3"/>
  <c r="AE565" i="3" s="1"/>
  <c r="G565" i="3"/>
  <c r="F565" i="3"/>
  <c r="AO564" i="3"/>
  <c r="AN564" i="3"/>
  <c r="AM564" i="3"/>
  <c r="AL564" i="3"/>
  <c r="AI564" i="3"/>
  <c r="AH564" i="3"/>
  <c r="AG564" i="3"/>
  <c r="AF564" i="3"/>
  <c r="AD564" i="3"/>
  <c r="AC564" i="3"/>
  <c r="AK564" i="3" s="1"/>
  <c r="AB564" i="3"/>
  <c r="AJ564" i="3" s="1"/>
  <c r="R564" i="3"/>
  <c r="P564" i="3"/>
  <c r="N564" i="3"/>
  <c r="AE564" i="3" s="1"/>
  <c r="G564" i="3"/>
  <c r="F564" i="3"/>
  <c r="AO563" i="3"/>
  <c r="AN563" i="3"/>
  <c r="AM563" i="3"/>
  <c r="AL563" i="3"/>
  <c r="AI563" i="3"/>
  <c r="AH563" i="3"/>
  <c r="AG563" i="3"/>
  <c r="AF563" i="3"/>
  <c r="AD563" i="3"/>
  <c r="AC563" i="3"/>
  <c r="AK563" i="3" s="1"/>
  <c r="AB563" i="3"/>
  <c r="AJ563" i="3" s="1"/>
  <c r="R563" i="3"/>
  <c r="P563" i="3"/>
  <c r="N563" i="3"/>
  <c r="AE563" i="3" s="1"/>
  <c r="G563" i="3"/>
  <c r="F563" i="3"/>
  <c r="AO562" i="3"/>
  <c r="AN562" i="3"/>
  <c r="AM562" i="3"/>
  <c r="AL562" i="3"/>
  <c r="AI562" i="3"/>
  <c r="AH562" i="3"/>
  <c r="AG562" i="3"/>
  <c r="AF562" i="3"/>
  <c r="AD562" i="3"/>
  <c r="AC562" i="3"/>
  <c r="AK562" i="3" s="1"/>
  <c r="AB562" i="3"/>
  <c r="AJ562" i="3" s="1"/>
  <c r="R562" i="3"/>
  <c r="P562" i="3"/>
  <c r="N562" i="3"/>
  <c r="AE562" i="3" s="1"/>
  <c r="G562" i="3"/>
  <c r="F562" i="3"/>
  <c r="AO561" i="3"/>
  <c r="AN561" i="3"/>
  <c r="AM561" i="3"/>
  <c r="AL561" i="3"/>
  <c r="AI561" i="3"/>
  <c r="AH561" i="3"/>
  <c r="AG561" i="3"/>
  <c r="AF561" i="3"/>
  <c r="AD561" i="3"/>
  <c r="AC561" i="3"/>
  <c r="AK561" i="3" s="1"/>
  <c r="AB561" i="3"/>
  <c r="AJ561" i="3" s="1"/>
  <c r="R561" i="3"/>
  <c r="P561" i="3"/>
  <c r="N561" i="3"/>
  <c r="AE561" i="3" s="1"/>
  <c r="G561" i="3"/>
  <c r="F561" i="3"/>
  <c r="AO560" i="3"/>
  <c r="AN560" i="3"/>
  <c r="AM560" i="3"/>
  <c r="AL560" i="3"/>
  <c r="AI560" i="3"/>
  <c r="AH560" i="3"/>
  <c r="AG560" i="3"/>
  <c r="AF560" i="3"/>
  <c r="AD560" i="3"/>
  <c r="AC560" i="3"/>
  <c r="AK560" i="3" s="1"/>
  <c r="AB560" i="3"/>
  <c r="AJ560" i="3" s="1"/>
  <c r="R560" i="3"/>
  <c r="P560" i="3"/>
  <c r="N560" i="3"/>
  <c r="AE560" i="3" s="1"/>
  <c r="G560" i="3"/>
  <c r="F560" i="3"/>
  <c r="AO559" i="3"/>
  <c r="AN559" i="3"/>
  <c r="AM559" i="3"/>
  <c r="AL559" i="3"/>
  <c r="AI559" i="3"/>
  <c r="AH559" i="3"/>
  <c r="AG559" i="3"/>
  <c r="AF559" i="3"/>
  <c r="AD559" i="3"/>
  <c r="AC559" i="3"/>
  <c r="AK559" i="3" s="1"/>
  <c r="AB559" i="3"/>
  <c r="AJ559" i="3" s="1"/>
  <c r="R559" i="3"/>
  <c r="P559" i="3"/>
  <c r="N559" i="3"/>
  <c r="AE559" i="3" s="1"/>
  <c r="G559" i="3"/>
  <c r="F559" i="3"/>
  <c r="AO558" i="3"/>
  <c r="AN558" i="3"/>
  <c r="AM558" i="3"/>
  <c r="AL558" i="3"/>
  <c r="AI558" i="3"/>
  <c r="AH558" i="3"/>
  <c r="AG558" i="3"/>
  <c r="AF558" i="3"/>
  <c r="AD558" i="3"/>
  <c r="AC558" i="3"/>
  <c r="AK558" i="3" s="1"/>
  <c r="AB558" i="3"/>
  <c r="AJ558" i="3" s="1"/>
  <c r="R558" i="3"/>
  <c r="P558" i="3"/>
  <c r="N558" i="3"/>
  <c r="AE558" i="3" s="1"/>
  <c r="G558" i="3"/>
  <c r="F558" i="3"/>
  <c r="AO557" i="3"/>
  <c r="AN557" i="3"/>
  <c r="AM557" i="3"/>
  <c r="AL557" i="3"/>
  <c r="AI557" i="3"/>
  <c r="AH557" i="3"/>
  <c r="AG557" i="3"/>
  <c r="AF557" i="3"/>
  <c r="AD557" i="3"/>
  <c r="AC557" i="3"/>
  <c r="AK557" i="3" s="1"/>
  <c r="AB557" i="3"/>
  <c r="AJ557" i="3" s="1"/>
  <c r="R557" i="3"/>
  <c r="P557" i="3"/>
  <c r="N557" i="3"/>
  <c r="AE557" i="3" s="1"/>
  <c r="G557" i="3"/>
  <c r="F557" i="3"/>
  <c r="AO556" i="3"/>
  <c r="AN556" i="3"/>
  <c r="AM556" i="3"/>
  <c r="AL556" i="3"/>
  <c r="AI556" i="3"/>
  <c r="AH556" i="3"/>
  <c r="AG556" i="3"/>
  <c r="AF556" i="3"/>
  <c r="AD556" i="3"/>
  <c r="AC556" i="3"/>
  <c r="AK556" i="3" s="1"/>
  <c r="AB556" i="3"/>
  <c r="AJ556" i="3" s="1"/>
  <c r="R556" i="3"/>
  <c r="P556" i="3"/>
  <c r="N556" i="3"/>
  <c r="AE556" i="3" s="1"/>
  <c r="G556" i="3"/>
  <c r="F556" i="3"/>
  <c r="AO555" i="3"/>
  <c r="AN555" i="3"/>
  <c r="AM555" i="3"/>
  <c r="AL555" i="3"/>
  <c r="AI555" i="3"/>
  <c r="AH555" i="3"/>
  <c r="AG555" i="3"/>
  <c r="AF555" i="3"/>
  <c r="AD555" i="3"/>
  <c r="AC555" i="3"/>
  <c r="AK555" i="3" s="1"/>
  <c r="AB555" i="3"/>
  <c r="AJ555" i="3" s="1"/>
  <c r="R555" i="3"/>
  <c r="P555" i="3"/>
  <c r="N555" i="3"/>
  <c r="AE555" i="3" s="1"/>
  <c r="G555" i="3"/>
  <c r="F555" i="3"/>
  <c r="AO554" i="3"/>
  <c r="AN554" i="3"/>
  <c r="AM554" i="3"/>
  <c r="AL554" i="3"/>
  <c r="AI554" i="3"/>
  <c r="AH554" i="3"/>
  <c r="AG554" i="3"/>
  <c r="AF554" i="3"/>
  <c r="AD554" i="3"/>
  <c r="AC554" i="3"/>
  <c r="AK554" i="3" s="1"/>
  <c r="AB554" i="3"/>
  <c r="AJ554" i="3" s="1"/>
  <c r="R554" i="3"/>
  <c r="P554" i="3"/>
  <c r="N554" i="3"/>
  <c r="AE554" i="3" s="1"/>
  <c r="G554" i="3"/>
  <c r="F554" i="3"/>
  <c r="AO553" i="3"/>
  <c r="AN553" i="3"/>
  <c r="AM553" i="3"/>
  <c r="AL553" i="3"/>
  <c r="AI553" i="3"/>
  <c r="AH553" i="3"/>
  <c r="AG553" i="3"/>
  <c r="AF553" i="3"/>
  <c r="AD553" i="3"/>
  <c r="AC553" i="3"/>
  <c r="AK553" i="3" s="1"/>
  <c r="AB553" i="3"/>
  <c r="AJ553" i="3" s="1"/>
  <c r="R553" i="3"/>
  <c r="P553" i="3"/>
  <c r="N553" i="3"/>
  <c r="AE553" i="3" s="1"/>
  <c r="G553" i="3"/>
  <c r="F553" i="3"/>
  <c r="AO552" i="3"/>
  <c r="AN552" i="3"/>
  <c r="AM552" i="3"/>
  <c r="AL552" i="3"/>
  <c r="AI552" i="3"/>
  <c r="AH552" i="3"/>
  <c r="AG552" i="3"/>
  <c r="AF552" i="3"/>
  <c r="AD552" i="3"/>
  <c r="AC552" i="3"/>
  <c r="AK552" i="3" s="1"/>
  <c r="AB552" i="3"/>
  <c r="AJ552" i="3" s="1"/>
  <c r="R552" i="3"/>
  <c r="P552" i="3"/>
  <c r="N552" i="3"/>
  <c r="AE552" i="3" s="1"/>
  <c r="G552" i="3"/>
  <c r="F552" i="3"/>
  <c r="AO551" i="3"/>
  <c r="AN551" i="3"/>
  <c r="AM551" i="3"/>
  <c r="AL551" i="3"/>
  <c r="AI551" i="3"/>
  <c r="AH551" i="3"/>
  <c r="AG551" i="3"/>
  <c r="AF551" i="3"/>
  <c r="AD551" i="3"/>
  <c r="AC551" i="3"/>
  <c r="AK551" i="3" s="1"/>
  <c r="AB551" i="3"/>
  <c r="AJ551" i="3" s="1"/>
  <c r="R551" i="3"/>
  <c r="P551" i="3"/>
  <c r="N551" i="3"/>
  <c r="AE551" i="3" s="1"/>
  <c r="G551" i="3"/>
  <c r="F551" i="3"/>
  <c r="AO550" i="3"/>
  <c r="AN550" i="3"/>
  <c r="AM550" i="3"/>
  <c r="AL550" i="3"/>
  <c r="AI550" i="3"/>
  <c r="AH550" i="3"/>
  <c r="AG550" i="3"/>
  <c r="AF550" i="3"/>
  <c r="AD550" i="3"/>
  <c r="AC550" i="3"/>
  <c r="AK550" i="3" s="1"/>
  <c r="AB550" i="3"/>
  <c r="AJ550" i="3" s="1"/>
  <c r="R550" i="3"/>
  <c r="P550" i="3"/>
  <c r="N550" i="3"/>
  <c r="AE550" i="3" s="1"/>
  <c r="G550" i="3"/>
  <c r="F550" i="3"/>
  <c r="AO549" i="3"/>
  <c r="AN549" i="3"/>
  <c r="AM549" i="3"/>
  <c r="AL549" i="3"/>
  <c r="AI549" i="3"/>
  <c r="AH549" i="3"/>
  <c r="AG549" i="3"/>
  <c r="AF549" i="3"/>
  <c r="AD549" i="3"/>
  <c r="AC549" i="3"/>
  <c r="AK549" i="3" s="1"/>
  <c r="AB549" i="3"/>
  <c r="AJ549" i="3" s="1"/>
  <c r="R549" i="3"/>
  <c r="P549" i="3"/>
  <c r="N549" i="3"/>
  <c r="AE549" i="3" s="1"/>
  <c r="G549" i="3"/>
  <c r="F549" i="3"/>
  <c r="AO548" i="3"/>
  <c r="AN548" i="3"/>
  <c r="AM548" i="3"/>
  <c r="AL548" i="3"/>
  <c r="AI548" i="3"/>
  <c r="AH548" i="3"/>
  <c r="AG548" i="3"/>
  <c r="AF548" i="3"/>
  <c r="AD548" i="3"/>
  <c r="AC548" i="3"/>
  <c r="AK548" i="3" s="1"/>
  <c r="AB548" i="3"/>
  <c r="AJ548" i="3" s="1"/>
  <c r="R548" i="3"/>
  <c r="P548" i="3"/>
  <c r="N548" i="3"/>
  <c r="AE548" i="3" s="1"/>
  <c r="G548" i="3"/>
  <c r="F548" i="3"/>
  <c r="AO547" i="3"/>
  <c r="AN547" i="3"/>
  <c r="AM547" i="3"/>
  <c r="AL547" i="3"/>
  <c r="AI547" i="3"/>
  <c r="AH547" i="3"/>
  <c r="AG547" i="3"/>
  <c r="AF547" i="3"/>
  <c r="AD547" i="3"/>
  <c r="AC547" i="3"/>
  <c r="AK547" i="3" s="1"/>
  <c r="AB547" i="3"/>
  <c r="AJ547" i="3" s="1"/>
  <c r="R547" i="3"/>
  <c r="P547" i="3"/>
  <c r="N547" i="3"/>
  <c r="AE547" i="3" s="1"/>
  <c r="G547" i="3"/>
  <c r="F547" i="3"/>
  <c r="AO546" i="3"/>
  <c r="AN546" i="3"/>
  <c r="AM546" i="3"/>
  <c r="AL546" i="3"/>
  <c r="AI546" i="3"/>
  <c r="AH546" i="3"/>
  <c r="AG546" i="3"/>
  <c r="AF546" i="3"/>
  <c r="AD546" i="3"/>
  <c r="AC546" i="3"/>
  <c r="AK546" i="3" s="1"/>
  <c r="AB546" i="3"/>
  <c r="AJ546" i="3" s="1"/>
  <c r="R546" i="3"/>
  <c r="P546" i="3"/>
  <c r="N546" i="3"/>
  <c r="AE546" i="3" s="1"/>
  <c r="G546" i="3"/>
  <c r="F546" i="3"/>
  <c r="AO545" i="3"/>
  <c r="AN545" i="3"/>
  <c r="AM545" i="3"/>
  <c r="AL545" i="3"/>
  <c r="AI545" i="3"/>
  <c r="AH545" i="3"/>
  <c r="AG545" i="3"/>
  <c r="AF545" i="3"/>
  <c r="AD545" i="3"/>
  <c r="AC545" i="3"/>
  <c r="AK545" i="3" s="1"/>
  <c r="AB545" i="3"/>
  <c r="AJ545" i="3" s="1"/>
  <c r="R545" i="3"/>
  <c r="P545" i="3"/>
  <c r="N545" i="3"/>
  <c r="AE545" i="3" s="1"/>
  <c r="G545" i="3"/>
  <c r="F545" i="3"/>
  <c r="AO544" i="3"/>
  <c r="AN544" i="3"/>
  <c r="AM544" i="3"/>
  <c r="AL544" i="3"/>
  <c r="AI544" i="3"/>
  <c r="AH544" i="3"/>
  <c r="AG544" i="3"/>
  <c r="AF544" i="3"/>
  <c r="AD544" i="3"/>
  <c r="AC544" i="3"/>
  <c r="AK544" i="3" s="1"/>
  <c r="AB544" i="3"/>
  <c r="AJ544" i="3" s="1"/>
  <c r="R544" i="3"/>
  <c r="P544" i="3"/>
  <c r="N544" i="3"/>
  <c r="AE544" i="3" s="1"/>
  <c r="G544" i="3"/>
  <c r="F544" i="3"/>
  <c r="AO543" i="3"/>
  <c r="AN543" i="3"/>
  <c r="AM543" i="3"/>
  <c r="AL543" i="3"/>
  <c r="AI543" i="3"/>
  <c r="AH543" i="3"/>
  <c r="AG543" i="3"/>
  <c r="AF543" i="3"/>
  <c r="AD543" i="3"/>
  <c r="AC543" i="3"/>
  <c r="AK543" i="3" s="1"/>
  <c r="AB543" i="3"/>
  <c r="AJ543" i="3" s="1"/>
  <c r="R543" i="3"/>
  <c r="P543" i="3"/>
  <c r="N543" i="3"/>
  <c r="AE543" i="3" s="1"/>
  <c r="G543" i="3"/>
  <c r="F543" i="3"/>
  <c r="AO542" i="3"/>
  <c r="AN542" i="3"/>
  <c r="AM542" i="3"/>
  <c r="AL542" i="3"/>
  <c r="AI542" i="3"/>
  <c r="AH542" i="3"/>
  <c r="AG542" i="3"/>
  <c r="AF542" i="3"/>
  <c r="AD542" i="3"/>
  <c r="AC542" i="3"/>
  <c r="AK542" i="3" s="1"/>
  <c r="AB542" i="3"/>
  <c r="AJ542" i="3" s="1"/>
  <c r="R542" i="3"/>
  <c r="P542" i="3"/>
  <c r="N542" i="3"/>
  <c r="AE542" i="3" s="1"/>
  <c r="G542" i="3"/>
  <c r="F542" i="3"/>
  <c r="AO541" i="3"/>
  <c r="AN541" i="3"/>
  <c r="AM541" i="3"/>
  <c r="AL541" i="3"/>
  <c r="AI541" i="3"/>
  <c r="AH541" i="3"/>
  <c r="AG541" i="3"/>
  <c r="AF541" i="3"/>
  <c r="AD541" i="3"/>
  <c r="AC541" i="3"/>
  <c r="AK541" i="3" s="1"/>
  <c r="AB541" i="3"/>
  <c r="AJ541" i="3" s="1"/>
  <c r="R541" i="3"/>
  <c r="P541" i="3"/>
  <c r="N541" i="3"/>
  <c r="AE541" i="3" s="1"/>
  <c r="G541" i="3"/>
  <c r="F541" i="3"/>
  <c r="AO540" i="3"/>
  <c r="AN540" i="3"/>
  <c r="AM540" i="3"/>
  <c r="AL540" i="3"/>
  <c r="AI540" i="3"/>
  <c r="AH540" i="3"/>
  <c r="AG540" i="3"/>
  <c r="AF540" i="3"/>
  <c r="AD540" i="3"/>
  <c r="AC540" i="3"/>
  <c r="AK540" i="3" s="1"/>
  <c r="AB540" i="3"/>
  <c r="AJ540" i="3" s="1"/>
  <c r="R540" i="3"/>
  <c r="P540" i="3"/>
  <c r="N540" i="3"/>
  <c r="AE540" i="3" s="1"/>
  <c r="G540" i="3"/>
  <c r="F540" i="3"/>
  <c r="AO539" i="3"/>
  <c r="AN539" i="3"/>
  <c r="AM539" i="3"/>
  <c r="AL539" i="3"/>
  <c r="AI539" i="3"/>
  <c r="AH539" i="3"/>
  <c r="AG539" i="3"/>
  <c r="AF539" i="3"/>
  <c r="AD539" i="3"/>
  <c r="AC539" i="3"/>
  <c r="AK539" i="3" s="1"/>
  <c r="AB539" i="3"/>
  <c r="AJ539" i="3" s="1"/>
  <c r="R539" i="3"/>
  <c r="P539" i="3"/>
  <c r="N539" i="3"/>
  <c r="AE539" i="3" s="1"/>
  <c r="G539" i="3"/>
  <c r="F539" i="3"/>
  <c r="AO538" i="3"/>
  <c r="AN538" i="3"/>
  <c r="AM538" i="3"/>
  <c r="AL538" i="3"/>
  <c r="AI538" i="3"/>
  <c r="AH538" i="3"/>
  <c r="AG538" i="3"/>
  <c r="AF538" i="3"/>
  <c r="AD538" i="3"/>
  <c r="AC538" i="3"/>
  <c r="AK538" i="3" s="1"/>
  <c r="AB538" i="3"/>
  <c r="AJ538" i="3" s="1"/>
  <c r="R538" i="3"/>
  <c r="P538" i="3"/>
  <c r="N538" i="3"/>
  <c r="AE538" i="3" s="1"/>
  <c r="G538" i="3"/>
  <c r="F538" i="3"/>
  <c r="AO537" i="3"/>
  <c r="AN537" i="3"/>
  <c r="AM537" i="3"/>
  <c r="AL537" i="3"/>
  <c r="AI537" i="3"/>
  <c r="AH537" i="3"/>
  <c r="AG537" i="3"/>
  <c r="AF537" i="3"/>
  <c r="AD537" i="3"/>
  <c r="AC537" i="3"/>
  <c r="AK537" i="3" s="1"/>
  <c r="AB537" i="3"/>
  <c r="AJ537" i="3" s="1"/>
  <c r="R537" i="3"/>
  <c r="P537" i="3"/>
  <c r="N537" i="3"/>
  <c r="AE537" i="3" s="1"/>
  <c r="G537" i="3"/>
  <c r="F537" i="3"/>
  <c r="AO536" i="3"/>
  <c r="AN536" i="3"/>
  <c r="AM536" i="3"/>
  <c r="AL536" i="3"/>
  <c r="AI536" i="3"/>
  <c r="AH536" i="3"/>
  <c r="AG536" i="3"/>
  <c r="AF536" i="3"/>
  <c r="AD536" i="3"/>
  <c r="AC536" i="3"/>
  <c r="AK536" i="3" s="1"/>
  <c r="AB536" i="3"/>
  <c r="AJ536" i="3" s="1"/>
  <c r="R536" i="3"/>
  <c r="P536" i="3"/>
  <c r="N536" i="3"/>
  <c r="AE536" i="3" s="1"/>
  <c r="G536" i="3"/>
  <c r="F536" i="3"/>
  <c r="AO535" i="3"/>
  <c r="AN535" i="3"/>
  <c r="AM535" i="3"/>
  <c r="AL535" i="3"/>
  <c r="AI535" i="3"/>
  <c r="AH535" i="3"/>
  <c r="AG535" i="3"/>
  <c r="AF535" i="3"/>
  <c r="AD535" i="3"/>
  <c r="AC535" i="3"/>
  <c r="AK535" i="3" s="1"/>
  <c r="AB535" i="3"/>
  <c r="AJ535" i="3" s="1"/>
  <c r="R535" i="3"/>
  <c r="P535" i="3"/>
  <c r="N535" i="3"/>
  <c r="AE535" i="3" s="1"/>
  <c r="G535" i="3"/>
  <c r="F535" i="3"/>
  <c r="AO534" i="3"/>
  <c r="AN534" i="3"/>
  <c r="AM534" i="3"/>
  <c r="AL534" i="3"/>
  <c r="AI534" i="3"/>
  <c r="AH534" i="3"/>
  <c r="AG534" i="3"/>
  <c r="AF534" i="3"/>
  <c r="AD534" i="3"/>
  <c r="AC534" i="3"/>
  <c r="AK534" i="3" s="1"/>
  <c r="AB534" i="3"/>
  <c r="AJ534" i="3" s="1"/>
  <c r="R534" i="3"/>
  <c r="P534" i="3"/>
  <c r="N534" i="3"/>
  <c r="AE534" i="3" s="1"/>
  <c r="G534" i="3"/>
  <c r="F534" i="3"/>
  <c r="AO533" i="3"/>
  <c r="AN533" i="3"/>
  <c r="AM533" i="3"/>
  <c r="AL533" i="3"/>
  <c r="AI533" i="3"/>
  <c r="AH533" i="3"/>
  <c r="AG533" i="3"/>
  <c r="AF533" i="3"/>
  <c r="AD533" i="3"/>
  <c r="AC533" i="3"/>
  <c r="AK533" i="3" s="1"/>
  <c r="AB533" i="3"/>
  <c r="AJ533" i="3" s="1"/>
  <c r="R533" i="3"/>
  <c r="P533" i="3"/>
  <c r="N533" i="3"/>
  <c r="AE533" i="3" s="1"/>
  <c r="G533" i="3"/>
  <c r="F533" i="3"/>
  <c r="AO532" i="3"/>
  <c r="AN532" i="3"/>
  <c r="AM532" i="3"/>
  <c r="AL532" i="3"/>
  <c r="AI532" i="3"/>
  <c r="AH532" i="3"/>
  <c r="AG532" i="3"/>
  <c r="AF532" i="3"/>
  <c r="AD532" i="3"/>
  <c r="AC532" i="3"/>
  <c r="AK532" i="3" s="1"/>
  <c r="AB532" i="3"/>
  <c r="AJ532" i="3" s="1"/>
  <c r="R532" i="3"/>
  <c r="P532" i="3"/>
  <c r="N532" i="3"/>
  <c r="AE532" i="3" s="1"/>
  <c r="G532" i="3"/>
  <c r="F532" i="3"/>
  <c r="AO531" i="3"/>
  <c r="AN531" i="3"/>
  <c r="AM531" i="3"/>
  <c r="AL531" i="3"/>
  <c r="AI531" i="3"/>
  <c r="AH531" i="3"/>
  <c r="AG531" i="3"/>
  <c r="AF531" i="3"/>
  <c r="AD531" i="3"/>
  <c r="AC531" i="3"/>
  <c r="AK531" i="3" s="1"/>
  <c r="AB531" i="3"/>
  <c r="AJ531" i="3" s="1"/>
  <c r="R531" i="3"/>
  <c r="P531" i="3"/>
  <c r="N531" i="3"/>
  <c r="AE531" i="3" s="1"/>
  <c r="G531" i="3"/>
  <c r="F531" i="3"/>
  <c r="AO530" i="3"/>
  <c r="AN530" i="3"/>
  <c r="AM530" i="3"/>
  <c r="AL530" i="3"/>
  <c r="AI530" i="3"/>
  <c r="AH530" i="3"/>
  <c r="AG530" i="3"/>
  <c r="AF530" i="3"/>
  <c r="AD530" i="3"/>
  <c r="AC530" i="3"/>
  <c r="AK530" i="3" s="1"/>
  <c r="AB530" i="3"/>
  <c r="AJ530" i="3" s="1"/>
  <c r="R530" i="3"/>
  <c r="P530" i="3"/>
  <c r="N530" i="3"/>
  <c r="AE530" i="3" s="1"/>
  <c r="G530" i="3"/>
  <c r="F530" i="3"/>
  <c r="AO529" i="3"/>
  <c r="AN529" i="3"/>
  <c r="AM529" i="3"/>
  <c r="AL529" i="3"/>
  <c r="AI529" i="3"/>
  <c r="AH529" i="3"/>
  <c r="AG529" i="3"/>
  <c r="AF529" i="3"/>
  <c r="AD529" i="3"/>
  <c r="AC529" i="3"/>
  <c r="AK529" i="3" s="1"/>
  <c r="AB529" i="3"/>
  <c r="AJ529" i="3" s="1"/>
  <c r="R529" i="3"/>
  <c r="P529" i="3"/>
  <c r="N529" i="3"/>
  <c r="AE529" i="3" s="1"/>
  <c r="G529" i="3"/>
  <c r="F529" i="3"/>
  <c r="AO528" i="3"/>
  <c r="AN528" i="3"/>
  <c r="AM528" i="3"/>
  <c r="AL528" i="3"/>
  <c r="AI528" i="3"/>
  <c r="AH528" i="3"/>
  <c r="AG528" i="3"/>
  <c r="AF528" i="3"/>
  <c r="AD528" i="3"/>
  <c r="AC528" i="3"/>
  <c r="AK528" i="3" s="1"/>
  <c r="AB528" i="3"/>
  <c r="AJ528" i="3" s="1"/>
  <c r="R528" i="3"/>
  <c r="P528" i="3"/>
  <c r="N528" i="3"/>
  <c r="AE528" i="3" s="1"/>
  <c r="G528" i="3"/>
  <c r="F528" i="3"/>
  <c r="AO527" i="3"/>
  <c r="AN527" i="3"/>
  <c r="AM527" i="3"/>
  <c r="AL527" i="3"/>
  <c r="AI527" i="3"/>
  <c r="AH527" i="3"/>
  <c r="AG527" i="3"/>
  <c r="AF527" i="3"/>
  <c r="AD527" i="3"/>
  <c r="AC527" i="3"/>
  <c r="AK527" i="3" s="1"/>
  <c r="AB527" i="3"/>
  <c r="AJ527" i="3" s="1"/>
  <c r="R527" i="3"/>
  <c r="P527" i="3"/>
  <c r="N527" i="3"/>
  <c r="AE527" i="3" s="1"/>
  <c r="G527" i="3"/>
  <c r="F527" i="3"/>
  <c r="AO526" i="3"/>
  <c r="AN526" i="3"/>
  <c r="AM526" i="3"/>
  <c r="AL526" i="3"/>
  <c r="AI526" i="3"/>
  <c r="AH526" i="3"/>
  <c r="AG526" i="3"/>
  <c r="AF526" i="3"/>
  <c r="AD526" i="3"/>
  <c r="AC526" i="3"/>
  <c r="AK526" i="3" s="1"/>
  <c r="AB526" i="3"/>
  <c r="AJ526" i="3" s="1"/>
  <c r="R526" i="3"/>
  <c r="P526" i="3"/>
  <c r="N526" i="3"/>
  <c r="AE526" i="3" s="1"/>
  <c r="G526" i="3"/>
  <c r="F526" i="3"/>
  <c r="AO525" i="3"/>
  <c r="AN525" i="3"/>
  <c r="AM525" i="3"/>
  <c r="AL525" i="3"/>
  <c r="AI525" i="3"/>
  <c r="AH525" i="3"/>
  <c r="AG525" i="3"/>
  <c r="AF525" i="3"/>
  <c r="AD525" i="3"/>
  <c r="AC525" i="3"/>
  <c r="AK525" i="3" s="1"/>
  <c r="AB525" i="3"/>
  <c r="AJ525" i="3" s="1"/>
  <c r="R525" i="3"/>
  <c r="P525" i="3"/>
  <c r="N525" i="3"/>
  <c r="AE525" i="3" s="1"/>
  <c r="G525" i="3"/>
  <c r="F525" i="3"/>
  <c r="AO524" i="3"/>
  <c r="AN524" i="3"/>
  <c r="AM524" i="3"/>
  <c r="AL524" i="3"/>
  <c r="AI524" i="3"/>
  <c r="AH524" i="3"/>
  <c r="AG524" i="3"/>
  <c r="AF524" i="3"/>
  <c r="AD524" i="3"/>
  <c r="AC524" i="3"/>
  <c r="AK524" i="3" s="1"/>
  <c r="AB524" i="3"/>
  <c r="AJ524" i="3" s="1"/>
  <c r="R524" i="3"/>
  <c r="P524" i="3"/>
  <c r="N524" i="3"/>
  <c r="AE524" i="3" s="1"/>
  <c r="G524" i="3"/>
  <c r="F524" i="3"/>
  <c r="AO523" i="3"/>
  <c r="AN523" i="3"/>
  <c r="AM523" i="3"/>
  <c r="AL523" i="3"/>
  <c r="AI523" i="3"/>
  <c r="AH523" i="3"/>
  <c r="AG523" i="3"/>
  <c r="AF523" i="3"/>
  <c r="AD523" i="3"/>
  <c r="AC523" i="3"/>
  <c r="AK523" i="3" s="1"/>
  <c r="AB523" i="3"/>
  <c r="AJ523" i="3" s="1"/>
  <c r="R523" i="3"/>
  <c r="P523" i="3"/>
  <c r="N523" i="3"/>
  <c r="AE523" i="3" s="1"/>
  <c r="G523" i="3"/>
  <c r="F523" i="3"/>
  <c r="AO522" i="3"/>
  <c r="AN522" i="3"/>
  <c r="AM522" i="3"/>
  <c r="AL522" i="3"/>
  <c r="AI522" i="3"/>
  <c r="AH522" i="3"/>
  <c r="AG522" i="3"/>
  <c r="AF522" i="3"/>
  <c r="AD522" i="3"/>
  <c r="AC522" i="3"/>
  <c r="AK522" i="3" s="1"/>
  <c r="AB522" i="3"/>
  <c r="AJ522" i="3" s="1"/>
  <c r="R522" i="3"/>
  <c r="P522" i="3"/>
  <c r="N522" i="3"/>
  <c r="AE522" i="3" s="1"/>
  <c r="G522" i="3"/>
  <c r="F522" i="3"/>
  <c r="AO521" i="3"/>
  <c r="AN521" i="3"/>
  <c r="AM521" i="3"/>
  <c r="AL521" i="3"/>
  <c r="AI521" i="3"/>
  <c r="AH521" i="3"/>
  <c r="AG521" i="3"/>
  <c r="AF521" i="3"/>
  <c r="AD521" i="3"/>
  <c r="AC521" i="3"/>
  <c r="AK521" i="3" s="1"/>
  <c r="AB521" i="3"/>
  <c r="AJ521" i="3" s="1"/>
  <c r="R521" i="3"/>
  <c r="P521" i="3"/>
  <c r="N521" i="3"/>
  <c r="AE521" i="3" s="1"/>
  <c r="G521" i="3"/>
  <c r="F521" i="3"/>
  <c r="AO520" i="3"/>
  <c r="AN520" i="3"/>
  <c r="AM520" i="3"/>
  <c r="AL520" i="3"/>
  <c r="AI520" i="3"/>
  <c r="AH520" i="3"/>
  <c r="AG520" i="3"/>
  <c r="AF520" i="3"/>
  <c r="AD520" i="3"/>
  <c r="AC520" i="3"/>
  <c r="AK520" i="3" s="1"/>
  <c r="AB520" i="3"/>
  <c r="AJ520" i="3" s="1"/>
  <c r="R520" i="3"/>
  <c r="P520" i="3"/>
  <c r="N520" i="3"/>
  <c r="AE520" i="3" s="1"/>
  <c r="G520" i="3"/>
  <c r="F520" i="3"/>
  <c r="AO519" i="3"/>
  <c r="AN519" i="3"/>
  <c r="AM519" i="3"/>
  <c r="AL519" i="3"/>
  <c r="AI519" i="3"/>
  <c r="AH519" i="3"/>
  <c r="AG519" i="3"/>
  <c r="AF519" i="3"/>
  <c r="AD519" i="3"/>
  <c r="AC519" i="3"/>
  <c r="AK519" i="3" s="1"/>
  <c r="AB519" i="3"/>
  <c r="AJ519" i="3" s="1"/>
  <c r="R519" i="3"/>
  <c r="P519" i="3"/>
  <c r="N519" i="3"/>
  <c r="AE519" i="3" s="1"/>
  <c r="G519" i="3"/>
  <c r="F519" i="3"/>
  <c r="AO518" i="3"/>
  <c r="AN518" i="3"/>
  <c r="AM518" i="3"/>
  <c r="AL518" i="3"/>
  <c r="AI518" i="3"/>
  <c r="AH518" i="3"/>
  <c r="AG518" i="3"/>
  <c r="AF518" i="3"/>
  <c r="AD518" i="3"/>
  <c r="AC518" i="3"/>
  <c r="AK518" i="3" s="1"/>
  <c r="AB518" i="3"/>
  <c r="AJ518" i="3" s="1"/>
  <c r="R518" i="3"/>
  <c r="P518" i="3"/>
  <c r="N518" i="3"/>
  <c r="AE518" i="3" s="1"/>
  <c r="G518" i="3"/>
  <c r="F518" i="3"/>
  <c r="AO517" i="3"/>
  <c r="AN517" i="3"/>
  <c r="AM517" i="3"/>
  <c r="AL517" i="3"/>
  <c r="AI517" i="3"/>
  <c r="AH517" i="3"/>
  <c r="AG517" i="3"/>
  <c r="AF517" i="3"/>
  <c r="AD517" i="3"/>
  <c r="AC517" i="3"/>
  <c r="AK517" i="3" s="1"/>
  <c r="AB517" i="3"/>
  <c r="AJ517" i="3" s="1"/>
  <c r="R517" i="3"/>
  <c r="P517" i="3"/>
  <c r="N517" i="3"/>
  <c r="AE517" i="3" s="1"/>
  <c r="G517" i="3"/>
  <c r="F517" i="3"/>
  <c r="AO516" i="3"/>
  <c r="AN516" i="3"/>
  <c r="AM516" i="3"/>
  <c r="AL516" i="3"/>
  <c r="AI516" i="3"/>
  <c r="AH516" i="3"/>
  <c r="AG516" i="3"/>
  <c r="AF516" i="3"/>
  <c r="AD516" i="3"/>
  <c r="AC516" i="3"/>
  <c r="AK516" i="3" s="1"/>
  <c r="AB516" i="3"/>
  <c r="AJ516" i="3" s="1"/>
  <c r="R516" i="3"/>
  <c r="P516" i="3"/>
  <c r="N516" i="3"/>
  <c r="AE516" i="3" s="1"/>
  <c r="G516" i="3"/>
  <c r="F516" i="3"/>
  <c r="AO515" i="3"/>
  <c r="AN515" i="3"/>
  <c r="AM515" i="3"/>
  <c r="AL515" i="3"/>
  <c r="AI515" i="3"/>
  <c r="AH515" i="3"/>
  <c r="AG515" i="3"/>
  <c r="AF515" i="3"/>
  <c r="AD515" i="3"/>
  <c r="AC515" i="3"/>
  <c r="AK515" i="3" s="1"/>
  <c r="AB515" i="3"/>
  <c r="AJ515" i="3" s="1"/>
  <c r="R515" i="3"/>
  <c r="P515" i="3"/>
  <c r="N515" i="3"/>
  <c r="AE515" i="3" s="1"/>
  <c r="G515" i="3"/>
  <c r="F515" i="3"/>
  <c r="AO514" i="3"/>
  <c r="AN514" i="3"/>
  <c r="AM514" i="3"/>
  <c r="AL514" i="3"/>
  <c r="AI514" i="3"/>
  <c r="AH514" i="3"/>
  <c r="AG514" i="3"/>
  <c r="AF514" i="3"/>
  <c r="AD514" i="3"/>
  <c r="AC514" i="3"/>
  <c r="AK514" i="3" s="1"/>
  <c r="AB514" i="3"/>
  <c r="AJ514" i="3" s="1"/>
  <c r="R514" i="3"/>
  <c r="P514" i="3"/>
  <c r="N514" i="3"/>
  <c r="AE514" i="3" s="1"/>
  <c r="G514" i="3"/>
  <c r="F514" i="3"/>
  <c r="AO513" i="3"/>
  <c r="AN513" i="3"/>
  <c r="AM513" i="3"/>
  <c r="AL513" i="3"/>
  <c r="AI513" i="3"/>
  <c r="AH513" i="3"/>
  <c r="AG513" i="3"/>
  <c r="AF513" i="3"/>
  <c r="AD513" i="3"/>
  <c r="AC513" i="3"/>
  <c r="AK513" i="3" s="1"/>
  <c r="AB513" i="3"/>
  <c r="AJ513" i="3" s="1"/>
  <c r="R513" i="3"/>
  <c r="P513" i="3"/>
  <c r="N513" i="3"/>
  <c r="AE513" i="3" s="1"/>
  <c r="G513" i="3"/>
  <c r="F513" i="3"/>
  <c r="AO512" i="3"/>
  <c r="AN512" i="3"/>
  <c r="AM512" i="3"/>
  <c r="AL512" i="3"/>
  <c r="AI512" i="3"/>
  <c r="AH512" i="3"/>
  <c r="AG512" i="3"/>
  <c r="AF512" i="3"/>
  <c r="AD512" i="3"/>
  <c r="AC512" i="3"/>
  <c r="AK512" i="3" s="1"/>
  <c r="AB512" i="3"/>
  <c r="AJ512" i="3" s="1"/>
  <c r="R512" i="3"/>
  <c r="P512" i="3"/>
  <c r="N512" i="3"/>
  <c r="AE512" i="3" s="1"/>
  <c r="G512" i="3"/>
  <c r="F512" i="3"/>
  <c r="AO511" i="3"/>
  <c r="AN511" i="3"/>
  <c r="AM511" i="3"/>
  <c r="AL511" i="3"/>
  <c r="AI511" i="3"/>
  <c r="AH511" i="3"/>
  <c r="AG511" i="3"/>
  <c r="AF511" i="3"/>
  <c r="AD511" i="3"/>
  <c r="AC511" i="3"/>
  <c r="AK511" i="3" s="1"/>
  <c r="AB511" i="3"/>
  <c r="AJ511" i="3" s="1"/>
  <c r="R511" i="3"/>
  <c r="P511" i="3"/>
  <c r="N511" i="3"/>
  <c r="AE511" i="3" s="1"/>
  <c r="G511" i="3"/>
  <c r="F511" i="3"/>
  <c r="AO510" i="3"/>
  <c r="AN510" i="3"/>
  <c r="AM510" i="3"/>
  <c r="AL510" i="3"/>
  <c r="AI510" i="3"/>
  <c r="AH510" i="3"/>
  <c r="AG510" i="3"/>
  <c r="AF510" i="3"/>
  <c r="AD510" i="3"/>
  <c r="AC510" i="3"/>
  <c r="AK510" i="3" s="1"/>
  <c r="AB510" i="3"/>
  <c r="AJ510" i="3" s="1"/>
  <c r="R510" i="3"/>
  <c r="P510" i="3"/>
  <c r="N510" i="3"/>
  <c r="AE510" i="3" s="1"/>
  <c r="G510" i="3"/>
  <c r="F510" i="3"/>
  <c r="AO509" i="3"/>
  <c r="AN509" i="3"/>
  <c r="AM509" i="3"/>
  <c r="AL509" i="3"/>
  <c r="AI509" i="3"/>
  <c r="AH509" i="3"/>
  <c r="AG509" i="3"/>
  <c r="AF509" i="3"/>
  <c r="AD509" i="3"/>
  <c r="AC509" i="3"/>
  <c r="AK509" i="3" s="1"/>
  <c r="AB509" i="3"/>
  <c r="AJ509" i="3" s="1"/>
  <c r="R509" i="3"/>
  <c r="P509" i="3"/>
  <c r="N509" i="3"/>
  <c r="AE509" i="3" s="1"/>
  <c r="G509" i="3"/>
  <c r="F509" i="3"/>
  <c r="AO508" i="3"/>
  <c r="AN508" i="3"/>
  <c r="AM508" i="3"/>
  <c r="AL508" i="3"/>
  <c r="AI508" i="3"/>
  <c r="AH508" i="3"/>
  <c r="AG508" i="3"/>
  <c r="AF508" i="3"/>
  <c r="AD508" i="3"/>
  <c r="AC508" i="3"/>
  <c r="AK508" i="3" s="1"/>
  <c r="AB508" i="3"/>
  <c r="AJ508" i="3" s="1"/>
  <c r="R508" i="3"/>
  <c r="P508" i="3"/>
  <c r="N508" i="3"/>
  <c r="AE508" i="3" s="1"/>
  <c r="G508" i="3"/>
  <c r="F508" i="3"/>
  <c r="AO507" i="3"/>
  <c r="AN507" i="3"/>
  <c r="AM507" i="3"/>
  <c r="AL507" i="3"/>
  <c r="AI507" i="3"/>
  <c r="AH507" i="3"/>
  <c r="AG507" i="3"/>
  <c r="AF507" i="3"/>
  <c r="AD507" i="3"/>
  <c r="AC507" i="3"/>
  <c r="AK507" i="3" s="1"/>
  <c r="AB507" i="3"/>
  <c r="AJ507" i="3" s="1"/>
  <c r="R507" i="3"/>
  <c r="P507" i="3"/>
  <c r="N507" i="3"/>
  <c r="AE507" i="3" s="1"/>
  <c r="G507" i="3"/>
  <c r="F507" i="3"/>
  <c r="AO506" i="3"/>
  <c r="AN506" i="3"/>
  <c r="AM506" i="3"/>
  <c r="AL506" i="3"/>
  <c r="AI506" i="3"/>
  <c r="AH506" i="3"/>
  <c r="AG506" i="3"/>
  <c r="AF506" i="3"/>
  <c r="AD506" i="3"/>
  <c r="AC506" i="3"/>
  <c r="AK506" i="3" s="1"/>
  <c r="AB506" i="3"/>
  <c r="AJ506" i="3" s="1"/>
  <c r="R506" i="3"/>
  <c r="P506" i="3"/>
  <c r="N506" i="3"/>
  <c r="AE506" i="3" s="1"/>
  <c r="G506" i="3"/>
  <c r="F506" i="3"/>
  <c r="AO505" i="3"/>
  <c r="AN505" i="3"/>
  <c r="AM505" i="3"/>
  <c r="AL505" i="3"/>
  <c r="AI505" i="3"/>
  <c r="AH505" i="3"/>
  <c r="AG505" i="3"/>
  <c r="AF505" i="3"/>
  <c r="AD505" i="3"/>
  <c r="AC505" i="3"/>
  <c r="AK505" i="3" s="1"/>
  <c r="AB505" i="3"/>
  <c r="AJ505" i="3" s="1"/>
  <c r="R505" i="3"/>
  <c r="P505" i="3"/>
  <c r="N505" i="3"/>
  <c r="AE505" i="3" s="1"/>
  <c r="G505" i="3"/>
  <c r="F505" i="3"/>
  <c r="AO504" i="3"/>
  <c r="AN504" i="3"/>
  <c r="AM504" i="3"/>
  <c r="AL504" i="3"/>
  <c r="AI504" i="3"/>
  <c r="AH504" i="3"/>
  <c r="AG504" i="3"/>
  <c r="AF504" i="3"/>
  <c r="AD504" i="3"/>
  <c r="AC504" i="3"/>
  <c r="AK504" i="3" s="1"/>
  <c r="AB504" i="3"/>
  <c r="AJ504" i="3" s="1"/>
  <c r="R504" i="3"/>
  <c r="P504" i="3"/>
  <c r="N504" i="3"/>
  <c r="AE504" i="3" s="1"/>
  <c r="G504" i="3"/>
  <c r="F504" i="3"/>
  <c r="AO503" i="3"/>
  <c r="AN503" i="3"/>
  <c r="AM503" i="3"/>
  <c r="AL503" i="3"/>
  <c r="AI503" i="3"/>
  <c r="AH503" i="3"/>
  <c r="AG503" i="3"/>
  <c r="AF503" i="3"/>
  <c r="AD503" i="3"/>
  <c r="AC503" i="3"/>
  <c r="AK503" i="3" s="1"/>
  <c r="AB503" i="3"/>
  <c r="AJ503" i="3" s="1"/>
  <c r="R503" i="3"/>
  <c r="P503" i="3"/>
  <c r="N503" i="3"/>
  <c r="AE503" i="3" s="1"/>
  <c r="G503" i="3"/>
  <c r="F503" i="3"/>
  <c r="AO502" i="3"/>
  <c r="AN502" i="3"/>
  <c r="AM502" i="3"/>
  <c r="AL502" i="3"/>
  <c r="AI502" i="3"/>
  <c r="AH502" i="3"/>
  <c r="AG502" i="3"/>
  <c r="AF502" i="3"/>
  <c r="AD502" i="3"/>
  <c r="AC502" i="3"/>
  <c r="AK502" i="3" s="1"/>
  <c r="AB502" i="3"/>
  <c r="AJ502" i="3" s="1"/>
  <c r="R502" i="3"/>
  <c r="P502" i="3"/>
  <c r="N502" i="3"/>
  <c r="AE502" i="3" s="1"/>
  <c r="G502" i="3"/>
  <c r="F502" i="3"/>
  <c r="AO501" i="3"/>
  <c r="AN501" i="3"/>
  <c r="AM501" i="3"/>
  <c r="AL501" i="3"/>
  <c r="AI501" i="3"/>
  <c r="AH501" i="3"/>
  <c r="AG501" i="3"/>
  <c r="AF501" i="3"/>
  <c r="AD501" i="3"/>
  <c r="AC501" i="3"/>
  <c r="AK501" i="3" s="1"/>
  <c r="AB501" i="3"/>
  <c r="AJ501" i="3" s="1"/>
  <c r="R501" i="3"/>
  <c r="P501" i="3"/>
  <c r="N501" i="3"/>
  <c r="AE501" i="3" s="1"/>
  <c r="G501" i="3"/>
  <c r="F501" i="3"/>
  <c r="AO500" i="3"/>
  <c r="AN500" i="3"/>
  <c r="AM500" i="3"/>
  <c r="AL500" i="3"/>
  <c r="AI500" i="3"/>
  <c r="AH500" i="3"/>
  <c r="AG500" i="3"/>
  <c r="AF500" i="3"/>
  <c r="AD500" i="3"/>
  <c r="AC500" i="3"/>
  <c r="AK500" i="3" s="1"/>
  <c r="AB500" i="3"/>
  <c r="AJ500" i="3" s="1"/>
  <c r="R500" i="3"/>
  <c r="P500" i="3"/>
  <c r="N500" i="3"/>
  <c r="AE500" i="3" s="1"/>
  <c r="G500" i="3"/>
  <c r="F500" i="3"/>
  <c r="AO499" i="3"/>
  <c r="AN499" i="3"/>
  <c r="AM499" i="3"/>
  <c r="AL499" i="3"/>
  <c r="AI499" i="3"/>
  <c r="AH499" i="3"/>
  <c r="AG499" i="3"/>
  <c r="AF499" i="3"/>
  <c r="AD499" i="3"/>
  <c r="AC499" i="3"/>
  <c r="AK499" i="3" s="1"/>
  <c r="AB499" i="3"/>
  <c r="AJ499" i="3" s="1"/>
  <c r="R499" i="3"/>
  <c r="P499" i="3"/>
  <c r="N499" i="3"/>
  <c r="AE499" i="3" s="1"/>
  <c r="G499" i="3"/>
  <c r="F499" i="3"/>
  <c r="AO498" i="3"/>
  <c r="AN498" i="3"/>
  <c r="AM498" i="3"/>
  <c r="AL498" i="3"/>
  <c r="AI498" i="3"/>
  <c r="AH498" i="3"/>
  <c r="AG498" i="3"/>
  <c r="AF498" i="3"/>
  <c r="AD498" i="3"/>
  <c r="AC498" i="3"/>
  <c r="AK498" i="3" s="1"/>
  <c r="AB498" i="3"/>
  <c r="AJ498" i="3" s="1"/>
  <c r="R498" i="3"/>
  <c r="P498" i="3"/>
  <c r="N498" i="3"/>
  <c r="AE498" i="3" s="1"/>
  <c r="G498" i="3"/>
  <c r="F498" i="3"/>
  <c r="AO497" i="3"/>
  <c r="AN497" i="3"/>
  <c r="AM497" i="3"/>
  <c r="AL497" i="3"/>
  <c r="AI497" i="3"/>
  <c r="AH497" i="3"/>
  <c r="AG497" i="3"/>
  <c r="AF497" i="3"/>
  <c r="AD497" i="3"/>
  <c r="AC497" i="3"/>
  <c r="AK497" i="3" s="1"/>
  <c r="AB497" i="3"/>
  <c r="AJ497" i="3" s="1"/>
  <c r="R497" i="3"/>
  <c r="P497" i="3"/>
  <c r="N497" i="3"/>
  <c r="AE497" i="3" s="1"/>
  <c r="G497" i="3"/>
  <c r="F497" i="3"/>
  <c r="AO496" i="3"/>
  <c r="AN496" i="3"/>
  <c r="AM496" i="3"/>
  <c r="AL496" i="3"/>
  <c r="AI496" i="3"/>
  <c r="AH496" i="3"/>
  <c r="AG496" i="3"/>
  <c r="AF496" i="3"/>
  <c r="AD496" i="3"/>
  <c r="AC496" i="3"/>
  <c r="AK496" i="3" s="1"/>
  <c r="AB496" i="3"/>
  <c r="AJ496" i="3" s="1"/>
  <c r="R496" i="3"/>
  <c r="P496" i="3"/>
  <c r="N496" i="3"/>
  <c r="AE496" i="3" s="1"/>
  <c r="G496" i="3"/>
  <c r="F496" i="3"/>
  <c r="AO495" i="3"/>
  <c r="AN495" i="3"/>
  <c r="AM495" i="3"/>
  <c r="AL495" i="3"/>
  <c r="AI495" i="3"/>
  <c r="AH495" i="3"/>
  <c r="AG495" i="3"/>
  <c r="AF495" i="3"/>
  <c r="AD495" i="3"/>
  <c r="AC495" i="3"/>
  <c r="AK495" i="3" s="1"/>
  <c r="AB495" i="3"/>
  <c r="AJ495" i="3" s="1"/>
  <c r="R495" i="3"/>
  <c r="P495" i="3"/>
  <c r="N495" i="3"/>
  <c r="AE495" i="3" s="1"/>
  <c r="G495" i="3"/>
  <c r="F495" i="3"/>
  <c r="AO494" i="3"/>
  <c r="AN494" i="3"/>
  <c r="AM494" i="3"/>
  <c r="AL494" i="3"/>
  <c r="AI494" i="3"/>
  <c r="AH494" i="3"/>
  <c r="AG494" i="3"/>
  <c r="AF494" i="3"/>
  <c r="AD494" i="3"/>
  <c r="AC494" i="3"/>
  <c r="AK494" i="3" s="1"/>
  <c r="AB494" i="3"/>
  <c r="AJ494" i="3" s="1"/>
  <c r="R494" i="3"/>
  <c r="P494" i="3"/>
  <c r="N494" i="3"/>
  <c r="AE494" i="3" s="1"/>
  <c r="G494" i="3"/>
  <c r="F494" i="3"/>
  <c r="AO493" i="3"/>
  <c r="AN493" i="3"/>
  <c r="AM493" i="3"/>
  <c r="AL493" i="3"/>
  <c r="AI493" i="3"/>
  <c r="AH493" i="3"/>
  <c r="AG493" i="3"/>
  <c r="AF493" i="3"/>
  <c r="AD493" i="3"/>
  <c r="AC493" i="3"/>
  <c r="AK493" i="3" s="1"/>
  <c r="AB493" i="3"/>
  <c r="AJ493" i="3" s="1"/>
  <c r="R493" i="3"/>
  <c r="P493" i="3"/>
  <c r="N493" i="3"/>
  <c r="AE493" i="3" s="1"/>
  <c r="G493" i="3"/>
  <c r="F493" i="3"/>
  <c r="AO492" i="3"/>
  <c r="AN492" i="3"/>
  <c r="AM492" i="3"/>
  <c r="AL492" i="3"/>
  <c r="AI492" i="3"/>
  <c r="AH492" i="3"/>
  <c r="AG492" i="3"/>
  <c r="AF492" i="3"/>
  <c r="AD492" i="3"/>
  <c r="AC492" i="3"/>
  <c r="AK492" i="3" s="1"/>
  <c r="AB492" i="3"/>
  <c r="AJ492" i="3" s="1"/>
  <c r="R492" i="3"/>
  <c r="P492" i="3"/>
  <c r="N492" i="3"/>
  <c r="AE492" i="3" s="1"/>
  <c r="G492" i="3"/>
  <c r="F492" i="3"/>
  <c r="AO491" i="3"/>
  <c r="AN491" i="3"/>
  <c r="AM491" i="3"/>
  <c r="AL491" i="3"/>
  <c r="AI491" i="3"/>
  <c r="AH491" i="3"/>
  <c r="AG491" i="3"/>
  <c r="AF491" i="3"/>
  <c r="AD491" i="3"/>
  <c r="AC491" i="3"/>
  <c r="AK491" i="3" s="1"/>
  <c r="AB491" i="3"/>
  <c r="AJ491" i="3" s="1"/>
  <c r="R491" i="3"/>
  <c r="P491" i="3"/>
  <c r="N491" i="3"/>
  <c r="AE491" i="3" s="1"/>
  <c r="G491" i="3"/>
  <c r="F491" i="3"/>
  <c r="AO490" i="3"/>
  <c r="AN490" i="3"/>
  <c r="AM490" i="3"/>
  <c r="AL490" i="3"/>
  <c r="AI490" i="3"/>
  <c r="AH490" i="3"/>
  <c r="AG490" i="3"/>
  <c r="AF490" i="3"/>
  <c r="AD490" i="3"/>
  <c r="AC490" i="3"/>
  <c r="AK490" i="3" s="1"/>
  <c r="AB490" i="3"/>
  <c r="AJ490" i="3" s="1"/>
  <c r="R490" i="3"/>
  <c r="P490" i="3"/>
  <c r="N490" i="3"/>
  <c r="AE490" i="3" s="1"/>
  <c r="G490" i="3"/>
  <c r="F490" i="3"/>
  <c r="AO489" i="3"/>
  <c r="AN489" i="3"/>
  <c r="AM489" i="3"/>
  <c r="AL489" i="3"/>
  <c r="AI489" i="3"/>
  <c r="AH489" i="3"/>
  <c r="AG489" i="3"/>
  <c r="AF489" i="3"/>
  <c r="AD489" i="3"/>
  <c r="AC489" i="3"/>
  <c r="AK489" i="3" s="1"/>
  <c r="AB489" i="3"/>
  <c r="AJ489" i="3" s="1"/>
  <c r="R489" i="3"/>
  <c r="P489" i="3"/>
  <c r="N489" i="3"/>
  <c r="AE489" i="3" s="1"/>
  <c r="G489" i="3"/>
  <c r="F489" i="3"/>
  <c r="AO488" i="3"/>
  <c r="AN488" i="3"/>
  <c r="AM488" i="3"/>
  <c r="AL488" i="3"/>
  <c r="AI488" i="3"/>
  <c r="AH488" i="3"/>
  <c r="AG488" i="3"/>
  <c r="AF488" i="3"/>
  <c r="AD488" i="3"/>
  <c r="AC488" i="3"/>
  <c r="AK488" i="3" s="1"/>
  <c r="AB488" i="3"/>
  <c r="AJ488" i="3" s="1"/>
  <c r="R488" i="3"/>
  <c r="P488" i="3"/>
  <c r="N488" i="3"/>
  <c r="AE488" i="3" s="1"/>
  <c r="G488" i="3"/>
  <c r="F488" i="3"/>
  <c r="AO487" i="3"/>
  <c r="AN487" i="3"/>
  <c r="AM487" i="3"/>
  <c r="AL487" i="3"/>
  <c r="AI487" i="3"/>
  <c r="AH487" i="3"/>
  <c r="AG487" i="3"/>
  <c r="AF487" i="3"/>
  <c r="AD487" i="3"/>
  <c r="AC487" i="3"/>
  <c r="AK487" i="3" s="1"/>
  <c r="AB487" i="3"/>
  <c r="AJ487" i="3" s="1"/>
  <c r="R487" i="3"/>
  <c r="P487" i="3"/>
  <c r="N487" i="3"/>
  <c r="AE487" i="3" s="1"/>
  <c r="G487" i="3"/>
  <c r="F487" i="3"/>
  <c r="AO486" i="3"/>
  <c r="AN486" i="3"/>
  <c r="AM486" i="3"/>
  <c r="AL486" i="3"/>
  <c r="AI486" i="3"/>
  <c r="AH486" i="3"/>
  <c r="AG486" i="3"/>
  <c r="AF486" i="3"/>
  <c r="AD486" i="3"/>
  <c r="AC486" i="3"/>
  <c r="AK486" i="3" s="1"/>
  <c r="AB486" i="3"/>
  <c r="AJ486" i="3" s="1"/>
  <c r="R486" i="3"/>
  <c r="P486" i="3"/>
  <c r="N486" i="3"/>
  <c r="AE486" i="3" s="1"/>
  <c r="G486" i="3"/>
  <c r="F486" i="3"/>
  <c r="AO485" i="3"/>
  <c r="AN485" i="3"/>
  <c r="AM485" i="3"/>
  <c r="AL485" i="3"/>
  <c r="AI485" i="3"/>
  <c r="AH485" i="3"/>
  <c r="AG485" i="3"/>
  <c r="AF485" i="3"/>
  <c r="AD485" i="3"/>
  <c r="AC485" i="3"/>
  <c r="AK485" i="3" s="1"/>
  <c r="AB485" i="3"/>
  <c r="AJ485" i="3" s="1"/>
  <c r="R485" i="3"/>
  <c r="P485" i="3"/>
  <c r="N485" i="3"/>
  <c r="AE485" i="3" s="1"/>
  <c r="G485" i="3"/>
  <c r="F485" i="3"/>
  <c r="AO484" i="3"/>
  <c r="AN484" i="3"/>
  <c r="AM484" i="3"/>
  <c r="AL484" i="3"/>
  <c r="AI484" i="3"/>
  <c r="AH484" i="3"/>
  <c r="AG484" i="3"/>
  <c r="AF484" i="3"/>
  <c r="AD484" i="3"/>
  <c r="AC484" i="3"/>
  <c r="AK484" i="3" s="1"/>
  <c r="AB484" i="3"/>
  <c r="AJ484" i="3" s="1"/>
  <c r="R484" i="3"/>
  <c r="P484" i="3"/>
  <c r="N484" i="3"/>
  <c r="AE484" i="3" s="1"/>
  <c r="G484" i="3"/>
  <c r="F484" i="3"/>
  <c r="AO483" i="3"/>
  <c r="AN483" i="3"/>
  <c r="AM483" i="3"/>
  <c r="AL483" i="3"/>
  <c r="AI483" i="3"/>
  <c r="AH483" i="3"/>
  <c r="AG483" i="3"/>
  <c r="AF483" i="3"/>
  <c r="AD483" i="3"/>
  <c r="AC483" i="3"/>
  <c r="AK483" i="3" s="1"/>
  <c r="AB483" i="3"/>
  <c r="AJ483" i="3" s="1"/>
  <c r="R483" i="3"/>
  <c r="P483" i="3"/>
  <c r="N483" i="3"/>
  <c r="AE483" i="3" s="1"/>
  <c r="G483" i="3"/>
  <c r="F483" i="3"/>
  <c r="AO482" i="3"/>
  <c r="AN482" i="3"/>
  <c r="AM482" i="3"/>
  <c r="AL482" i="3"/>
  <c r="AI482" i="3"/>
  <c r="AH482" i="3"/>
  <c r="AG482" i="3"/>
  <c r="AF482" i="3"/>
  <c r="AD482" i="3"/>
  <c r="AC482" i="3"/>
  <c r="AK482" i="3" s="1"/>
  <c r="AB482" i="3"/>
  <c r="AJ482" i="3" s="1"/>
  <c r="R482" i="3"/>
  <c r="P482" i="3"/>
  <c r="N482" i="3"/>
  <c r="AE482" i="3" s="1"/>
  <c r="G482" i="3"/>
  <c r="F482" i="3"/>
  <c r="AO481" i="3"/>
  <c r="AN481" i="3"/>
  <c r="AM481" i="3"/>
  <c r="AL481" i="3"/>
  <c r="AI481" i="3"/>
  <c r="AH481" i="3"/>
  <c r="AG481" i="3"/>
  <c r="AF481" i="3"/>
  <c r="AD481" i="3"/>
  <c r="AC481" i="3"/>
  <c r="AK481" i="3" s="1"/>
  <c r="AB481" i="3"/>
  <c r="AJ481" i="3" s="1"/>
  <c r="R481" i="3"/>
  <c r="P481" i="3"/>
  <c r="N481" i="3"/>
  <c r="AE481" i="3" s="1"/>
  <c r="G481" i="3"/>
  <c r="F481" i="3"/>
  <c r="AO480" i="3"/>
  <c r="AN480" i="3"/>
  <c r="AM480" i="3"/>
  <c r="AL480" i="3"/>
  <c r="AI480" i="3"/>
  <c r="AH480" i="3"/>
  <c r="AG480" i="3"/>
  <c r="AF480" i="3"/>
  <c r="AD480" i="3"/>
  <c r="AC480" i="3"/>
  <c r="AK480" i="3" s="1"/>
  <c r="AB480" i="3"/>
  <c r="AJ480" i="3" s="1"/>
  <c r="R480" i="3"/>
  <c r="P480" i="3"/>
  <c r="N480" i="3"/>
  <c r="AE480" i="3" s="1"/>
  <c r="G480" i="3"/>
  <c r="F480" i="3"/>
  <c r="AO479" i="3"/>
  <c r="AN479" i="3"/>
  <c r="AM479" i="3"/>
  <c r="AL479" i="3"/>
  <c r="AI479" i="3"/>
  <c r="AH479" i="3"/>
  <c r="AG479" i="3"/>
  <c r="AF479" i="3"/>
  <c r="AD479" i="3"/>
  <c r="AC479" i="3"/>
  <c r="AK479" i="3" s="1"/>
  <c r="AB479" i="3"/>
  <c r="AJ479" i="3" s="1"/>
  <c r="R479" i="3"/>
  <c r="P479" i="3"/>
  <c r="N479" i="3"/>
  <c r="AE479" i="3" s="1"/>
  <c r="G479" i="3"/>
  <c r="F479" i="3"/>
  <c r="AO478" i="3"/>
  <c r="AN478" i="3"/>
  <c r="AM478" i="3"/>
  <c r="AL478" i="3"/>
  <c r="AI478" i="3"/>
  <c r="AH478" i="3"/>
  <c r="AG478" i="3"/>
  <c r="AF478" i="3"/>
  <c r="AD478" i="3"/>
  <c r="AC478" i="3"/>
  <c r="AK478" i="3" s="1"/>
  <c r="AB478" i="3"/>
  <c r="AJ478" i="3" s="1"/>
  <c r="R478" i="3"/>
  <c r="P478" i="3"/>
  <c r="N478" i="3"/>
  <c r="AE478" i="3" s="1"/>
  <c r="G478" i="3"/>
  <c r="F478" i="3"/>
  <c r="AO477" i="3"/>
  <c r="AN477" i="3"/>
  <c r="AM477" i="3"/>
  <c r="AL477" i="3"/>
  <c r="AI477" i="3"/>
  <c r="AH477" i="3"/>
  <c r="AG477" i="3"/>
  <c r="AF477" i="3"/>
  <c r="AD477" i="3"/>
  <c r="AC477" i="3"/>
  <c r="AK477" i="3" s="1"/>
  <c r="AB477" i="3"/>
  <c r="AJ477" i="3" s="1"/>
  <c r="R477" i="3"/>
  <c r="P477" i="3"/>
  <c r="N477" i="3"/>
  <c r="AE477" i="3" s="1"/>
  <c r="G477" i="3"/>
  <c r="F477" i="3"/>
  <c r="AO476" i="3"/>
  <c r="AN476" i="3"/>
  <c r="AM476" i="3"/>
  <c r="AL476" i="3"/>
  <c r="AI476" i="3"/>
  <c r="AH476" i="3"/>
  <c r="AG476" i="3"/>
  <c r="AF476" i="3"/>
  <c r="AD476" i="3"/>
  <c r="AC476" i="3"/>
  <c r="AK476" i="3" s="1"/>
  <c r="AB476" i="3"/>
  <c r="AJ476" i="3" s="1"/>
  <c r="R476" i="3"/>
  <c r="P476" i="3"/>
  <c r="N476" i="3"/>
  <c r="AE476" i="3" s="1"/>
  <c r="G476" i="3"/>
  <c r="F476" i="3"/>
  <c r="AO475" i="3"/>
  <c r="AN475" i="3"/>
  <c r="AM475" i="3"/>
  <c r="AL475" i="3"/>
  <c r="AI475" i="3"/>
  <c r="AH475" i="3"/>
  <c r="AG475" i="3"/>
  <c r="AF475" i="3"/>
  <c r="AD475" i="3"/>
  <c r="AC475" i="3"/>
  <c r="AK475" i="3" s="1"/>
  <c r="AB475" i="3"/>
  <c r="AJ475" i="3" s="1"/>
  <c r="R475" i="3"/>
  <c r="P475" i="3"/>
  <c r="N475" i="3"/>
  <c r="AE475" i="3" s="1"/>
  <c r="G475" i="3"/>
  <c r="F475" i="3"/>
  <c r="AO474" i="3"/>
  <c r="AN474" i="3"/>
  <c r="AM474" i="3"/>
  <c r="AL474" i="3"/>
  <c r="AI474" i="3"/>
  <c r="AH474" i="3"/>
  <c r="AG474" i="3"/>
  <c r="AF474" i="3"/>
  <c r="AD474" i="3"/>
  <c r="AC474" i="3"/>
  <c r="AK474" i="3" s="1"/>
  <c r="AB474" i="3"/>
  <c r="AJ474" i="3" s="1"/>
  <c r="R474" i="3"/>
  <c r="P474" i="3"/>
  <c r="N474" i="3"/>
  <c r="AE474" i="3" s="1"/>
  <c r="G474" i="3"/>
  <c r="F474" i="3"/>
  <c r="AO473" i="3"/>
  <c r="AN473" i="3"/>
  <c r="AM473" i="3"/>
  <c r="AL473" i="3"/>
  <c r="AI473" i="3"/>
  <c r="AH473" i="3"/>
  <c r="AG473" i="3"/>
  <c r="AF473" i="3"/>
  <c r="AD473" i="3"/>
  <c r="AC473" i="3"/>
  <c r="AK473" i="3" s="1"/>
  <c r="AB473" i="3"/>
  <c r="AJ473" i="3" s="1"/>
  <c r="R473" i="3"/>
  <c r="P473" i="3"/>
  <c r="N473" i="3"/>
  <c r="AE473" i="3" s="1"/>
  <c r="G473" i="3"/>
  <c r="F473" i="3"/>
  <c r="AO472" i="3"/>
  <c r="AN472" i="3"/>
  <c r="AM472" i="3"/>
  <c r="AL472" i="3"/>
  <c r="AI472" i="3"/>
  <c r="AH472" i="3"/>
  <c r="AG472" i="3"/>
  <c r="AF472" i="3"/>
  <c r="AD472" i="3"/>
  <c r="AC472" i="3"/>
  <c r="AK472" i="3" s="1"/>
  <c r="AB472" i="3"/>
  <c r="AJ472" i="3" s="1"/>
  <c r="R472" i="3"/>
  <c r="P472" i="3"/>
  <c r="N472" i="3"/>
  <c r="AE472" i="3" s="1"/>
  <c r="G472" i="3"/>
  <c r="F472" i="3"/>
  <c r="AO471" i="3"/>
  <c r="AN471" i="3"/>
  <c r="AM471" i="3"/>
  <c r="AL471" i="3"/>
  <c r="AI471" i="3"/>
  <c r="AH471" i="3"/>
  <c r="AG471" i="3"/>
  <c r="AF471" i="3"/>
  <c r="AD471" i="3"/>
  <c r="AC471" i="3"/>
  <c r="AK471" i="3" s="1"/>
  <c r="AB471" i="3"/>
  <c r="AJ471" i="3" s="1"/>
  <c r="R471" i="3"/>
  <c r="P471" i="3"/>
  <c r="N471" i="3"/>
  <c r="AE471" i="3" s="1"/>
  <c r="G471" i="3"/>
  <c r="F471" i="3"/>
  <c r="AO470" i="3"/>
  <c r="AN470" i="3"/>
  <c r="AM470" i="3"/>
  <c r="AL470" i="3"/>
  <c r="AI470" i="3"/>
  <c r="AH470" i="3"/>
  <c r="AG470" i="3"/>
  <c r="AF470" i="3"/>
  <c r="AD470" i="3"/>
  <c r="AC470" i="3"/>
  <c r="AK470" i="3" s="1"/>
  <c r="AB470" i="3"/>
  <c r="AJ470" i="3" s="1"/>
  <c r="R470" i="3"/>
  <c r="P470" i="3"/>
  <c r="N470" i="3"/>
  <c r="AE470" i="3" s="1"/>
  <c r="G470" i="3"/>
  <c r="F470" i="3"/>
  <c r="AO469" i="3"/>
  <c r="AN469" i="3"/>
  <c r="AM469" i="3"/>
  <c r="AL469" i="3"/>
  <c r="AI469" i="3"/>
  <c r="AH469" i="3"/>
  <c r="AG469" i="3"/>
  <c r="AF469" i="3"/>
  <c r="AD469" i="3"/>
  <c r="AC469" i="3"/>
  <c r="AK469" i="3" s="1"/>
  <c r="AB469" i="3"/>
  <c r="AJ469" i="3" s="1"/>
  <c r="R469" i="3"/>
  <c r="P469" i="3"/>
  <c r="N469" i="3"/>
  <c r="AE469" i="3" s="1"/>
  <c r="G469" i="3"/>
  <c r="F469" i="3"/>
  <c r="AO468" i="3"/>
  <c r="AN468" i="3"/>
  <c r="AM468" i="3"/>
  <c r="AL468" i="3"/>
  <c r="AI468" i="3"/>
  <c r="AH468" i="3"/>
  <c r="AG468" i="3"/>
  <c r="AF468" i="3"/>
  <c r="AD468" i="3"/>
  <c r="AC468" i="3"/>
  <c r="AK468" i="3" s="1"/>
  <c r="AB468" i="3"/>
  <c r="AJ468" i="3" s="1"/>
  <c r="R468" i="3"/>
  <c r="P468" i="3"/>
  <c r="N468" i="3"/>
  <c r="AE468" i="3" s="1"/>
  <c r="G468" i="3"/>
  <c r="F468" i="3"/>
  <c r="AO467" i="3"/>
  <c r="AN467" i="3"/>
  <c r="AM467" i="3"/>
  <c r="AL467" i="3"/>
  <c r="AI467" i="3"/>
  <c r="AH467" i="3"/>
  <c r="AG467" i="3"/>
  <c r="AF467" i="3"/>
  <c r="AD467" i="3"/>
  <c r="AC467" i="3"/>
  <c r="AK467" i="3" s="1"/>
  <c r="AB467" i="3"/>
  <c r="AJ467" i="3" s="1"/>
  <c r="R467" i="3"/>
  <c r="P467" i="3"/>
  <c r="N467" i="3"/>
  <c r="AE467" i="3" s="1"/>
  <c r="G467" i="3"/>
  <c r="F467" i="3"/>
  <c r="AO466" i="3"/>
  <c r="AN466" i="3"/>
  <c r="AM466" i="3"/>
  <c r="AL466" i="3"/>
  <c r="AI466" i="3"/>
  <c r="AH466" i="3"/>
  <c r="AG466" i="3"/>
  <c r="AF466" i="3"/>
  <c r="AD466" i="3"/>
  <c r="AC466" i="3"/>
  <c r="AK466" i="3" s="1"/>
  <c r="AB466" i="3"/>
  <c r="AJ466" i="3" s="1"/>
  <c r="R466" i="3"/>
  <c r="P466" i="3"/>
  <c r="N466" i="3"/>
  <c r="AE466" i="3" s="1"/>
  <c r="G466" i="3"/>
  <c r="F466" i="3"/>
  <c r="AO465" i="3"/>
  <c r="AN465" i="3"/>
  <c r="AM465" i="3"/>
  <c r="AL465" i="3"/>
  <c r="AI465" i="3"/>
  <c r="AH465" i="3"/>
  <c r="AG465" i="3"/>
  <c r="AF465" i="3"/>
  <c r="AD465" i="3"/>
  <c r="AC465" i="3"/>
  <c r="AK465" i="3" s="1"/>
  <c r="AB465" i="3"/>
  <c r="AJ465" i="3" s="1"/>
  <c r="R465" i="3"/>
  <c r="P465" i="3"/>
  <c r="N465" i="3"/>
  <c r="AE465" i="3" s="1"/>
  <c r="G465" i="3"/>
  <c r="F465" i="3"/>
  <c r="AO464" i="3"/>
  <c r="AN464" i="3"/>
  <c r="AM464" i="3"/>
  <c r="AL464" i="3"/>
  <c r="AI464" i="3"/>
  <c r="AH464" i="3"/>
  <c r="AG464" i="3"/>
  <c r="AF464" i="3"/>
  <c r="AD464" i="3"/>
  <c r="AC464" i="3"/>
  <c r="AK464" i="3" s="1"/>
  <c r="AB464" i="3"/>
  <c r="AJ464" i="3" s="1"/>
  <c r="R464" i="3"/>
  <c r="P464" i="3"/>
  <c r="N464" i="3"/>
  <c r="AE464" i="3" s="1"/>
  <c r="G464" i="3"/>
  <c r="F464" i="3"/>
  <c r="AO463" i="3"/>
  <c r="AN463" i="3"/>
  <c r="AM463" i="3"/>
  <c r="AL463" i="3"/>
  <c r="AI463" i="3"/>
  <c r="AH463" i="3"/>
  <c r="AG463" i="3"/>
  <c r="AF463" i="3"/>
  <c r="AD463" i="3"/>
  <c r="AC463" i="3"/>
  <c r="AK463" i="3" s="1"/>
  <c r="AB463" i="3"/>
  <c r="AJ463" i="3" s="1"/>
  <c r="R463" i="3"/>
  <c r="P463" i="3"/>
  <c r="N463" i="3"/>
  <c r="AE463" i="3" s="1"/>
  <c r="G463" i="3"/>
  <c r="F463" i="3"/>
  <c r="AO462" i="3"/>
  <c r="AN462" i="3"/>
  <c r="AM462" i="3"/>
  <c r="AL462" i="3"/>
  <c r="AI462" i="3"/>
  <c r="AH462" i="3"/>
  <c r="AG462" i="3"/>
  <c r="AF462" i="3"/>
  <c r="AD462" i="3"/>
  <c r="AC462" i="3"/>
  <c r="AK462" i="3" s="1"/>
  <c r="AB462" i="3"/>
  <c r="AJ462" i="3" s="1"/>
  <c r="R462" i="3"/>
  <c r="P462" i="3"/>
  <c r="N462" i="3"/>
  <c r="AE462" i="3" s="1"/>
  <c r="G462" i="3"/>
  <c r="F462" i="3"/>
  <c r="AO461" i="3"/>
  <c r="AN461" i="3"/>
  <c r="AM461" i="3"/>
  <c r="AL461" i="3"/>
  <c r="AI461" i="3"/>
  <c r="AH461" i="3"/>
  <c r="AG461" i="3"/>
  <c r="AF461" i="3"/>
  <c r="AD461" i="3"/>
  <c r="AC461" i="3"/>
  <c r="AK461" i="3" s="1"/>
  <c r="AB461" i="3"/>
  <c r="AJ461" i="3" s="1"/>
  <c r="R461" i="3"/>
  <c r="P461" i="3"/>
  <c r="N461" i="3"/>
  <c r="AE461" i="3" s="1"/>
  <c r="G461" i="3"/>
  <c r="F461" i="3"/>
  <c r="AO460" i="3"/>
  <c r="AN460" i="3"/>
  <c r="AM460" i="3"/>
  <c r="AL460" i="3"/>
  <c r="AI460" i="3"/>
  <c r="AH460" i="3"/>
  <c r="AG460" i="3"/>
  <c r="AF460" i="3"/>
  <c r="AD460" i="3"/>
  <c r="AC460" i="3"/>
  <c r="AK460" i="3" s="1"/>
  <c r="AB460" i="3"/>
  <c r="AJ460" i="3" s="1"/>
  <c r="R460" i="3"/>
  <c r="P460" i="3"/>
  <c r="N460" i="3"/>
  <c r="AE460" i="3" s="1"/>
  <c r="G460" i="3"/>
  <c r="F460" i="3"/>
  <c r="AO459" i="3"/>
  <c r="AN459" i="3"/>
  <c r="AM459" i="3"/>
  <c r="AL459" i="3"/>
  <c r="AI459" i="3"/>
  <c r="AH459" i="3"/>
  <c r="AG459" i="3"/>
  <c r="AF459" i="3"/>
  <c r="AD459" i="3"/>
  <c r="AC459" i="3"/>
  <c r="AK459" i="3" s="1"/>
  <c r="AB459" i="3"/>
  <c r="AJ459" i="3" s="1"/>
  <c r="R459" i="3"/>
  <c r="P459" i="3"/>
  <c r="N459" i="3"/>
  <c r="AE459" i="3" s="1"/>
  <c r="G459" i="3"/>
  <c r="F459" i="3"/>
  <c r="AO458" i="3"/>
  <c r="AN458" i="3"/>
  <c r="AM458" i="3"/>
  <c r="AL458" i="3"/>
  <c r="AI458" i="3"/>
  <c r="AH458" i="3"/>
  <c r="AG458" i="3"/>
  <c r="AF458" i="3"/>
  <c r="AD458" i="3"/>
  <c r="AC458" i="3"/>
  <c r="AK458" i="3" s="1"/>
  <c r="AB458" i="3"/>
  <c r="AJ458" i="3" s="1"/>
  <c r="R458" i="3"/>
  <c r="P458" i="3"/>
  <c r="N458" i="3"/>
  <c r="AE458" i="3" s="1"/>
  <c r="G458" i="3"/>
  <c r="F458" i="3"/>
  <c r="AO457" i="3"/>
  <c r="AN457" i="3"/>
  <c r="AM457" i="3"/>
  <c r="AL457" i="3"/>
  <c r="AI457" i="3"/>
  <c r="AH457" i="3"/>
  <c r="AG457" i="3"/>
  <c r="AF457" i="3"/>
  <c r="AD457" i="3"/>
  <c r="AC457" i="3"/>
  <c r="AK457" i="3" s="1"/>
  <c r="AB457" i="3"/>
  <c r="AJ457" i="3" s="1"/>
  <c r="R457" i="3"/>
  <c r="P457" i="3"/>
  <c r="N457" i="3"/>
  <c r="AE457" i="3" s="1"/>
  <c r="G457" i="3"/>
  <c r="F457" i="3"/>
  <c r="AO456" i="3"/>
  <c r="AN456" i="3"/>
  <c r="AM456" i="3"/>
  <c r="AL456" i="3"/>
  <c r="AI456" i="3"/>
  <c r="AH456" i="3"/>
  <c r="AG456" i="3"/>
  <c r="AF456" i="3"/>
  <c r="AD456" i="3"/>
  <c r="AC456" i="3"/>
  <c r="AK456" i="3" s="1"/>
  <c r="AB456" i="3"/>
  <c r="AJ456" i="3" s="1"/>
  <c r="R456" i="3"/>
  <c r="P456" i="3"/>
  <c r="N456" i="3"/>
  <c r="AE456" i="3" s="1"/>
  <c r="G456" i="3"/>
  <c r="F456" i="3"/>
  <c r="AO455" i="3"/>
  <c r="AN455" i="3"/>
  <c r="AM455" i="3"/>
  <c r="AL455" i="3"/>
  <c r="AI455" i="3"/>
  <c r="AH455" i="3"/>
  <c r="AG455" i="3"/>
  <c r="AF455" i="3"/>
  <c r="AD455" i="3"/>
  <c r="AC455" i="3"/>
  <c r="AK455" i="3" s="1"/>
  <c r="AB455" i="3"/>
  <c r="AJ455" i="3" s="1"/>
  <c r="R455" i="3"/>
  <c r="P455" i="3"/>
  <c r="N455" i="3"/>
  <c r="AE455" i="3" s="1"/>
  <c r="G455" i="3"/>
  <c r="F455" i="3"/>
  <c r="AO454" i="3"/>
  <c r="AN454" i="3"/>
  <c r="AM454" i="3"/>
  <c r="AL454" i="3"/>
  <c r="AI454" i="3"/>
  <c r="AH454" i="3"/>
  <c r="AG454" i="3"/>
  <c r="AF454" i="3"/>
  <c r="AD454" i="3"/>
  <c r="AC454" i="3"/>
  <c r="AK454" i="3" s="1"/>
  <c r="AB454" i="3"/>
  <c r="AJ454" i="3" s="1"/>
  <c r="R454" i="3"/>
  <c r="P454" i="3"/>
  <c r="N454" i="3"/>
  <c r="AE454" i="3" s="1"/>
  <c r="G454" i="3"/>
  <c r="F454" i="3"/>
  <c r="AO453" i="3"/>
  <c r="AN453" i="3"/>
  <c r="AM453" i="3"/>
  <c r="AL453" i="3"/>
  <c r="AI453" i="3"/>
  <c r="AH453" i="3"/>
  <c r="AG453" i="3"/>
  <c r="AF453" i="3"/>
  <c r="AD453" i="3"/>
  <c r="AC453" i="3"/>
  <c r="AK453" i="3" s="1"/>
  <c r="AB453" i="3"/>
  <c r="AJ453" i="3" s="1"/>
  <c r="R453" i="3"/>
  <c r="P453" i="3"/>
  <c r="N453" i="3"/>
  <c r="AE453" i="3" s="1"/>
  <c r="G453" i="3"/>
  <c r="F453" i="3"/>
  <c r="AO452" i="3"/>
  <c r="AN452" i="3"/>
  <c r="AM452" i="3"/>
  <c r="AL452" i="3"/>
  <c r="AI452" i="3"/>
  <c r="AH452" i="3"/>
  <c r="AG452" i="3"/>
  <c r="AF452" i="3"/>
  <c r="AD452" i="3"/>
  <c r="AC452" i="3"/>
  <c r="AK452" i="3" s="1"/>
  <c r="AB452" i="3"/>
  <c r="AJ452" i="3" s="1"/>
  <c r="R452" i="3"/>
  <c r="P452" i="3"/>
  <c r="N452" i="3"/>
  <c r="AE452" i="3" s="1"/>
  <c r="G452" i="3"/>
  <c r="F452" i="3"/>
  <c r="AO451" i="3"/>
  <c r="AN451" i="3"/>
  <c r="AM451" i="3"/>
  <c r="AL451" i="3"/>
  <c r="AI451" i="3"/>
  <c r="AH451" i="3"/>
  <c r="AG451" i="3"/>
  <c r="AF451" i="3"/>
  <c r="AD451" i="3"/>
  <c r="AC451" i="3"/>
  <c r="AK451" i="3" s="1"/>
  <c r="AB451" i="3"/>
  <c r="AJ451" i="3" s="1"/>
  <c r="R451" i="3"/>
  <c r="P451" i="3"/>
  <c r="N451" i="3"/>
  <c r="AE451" i="3" s="1"/>
  <c r="G451" i="3"/>
  <c r="F451" i="3"/>
  <c r="AO450" i="3"/>
  <c r="AN450" i="3"/>
  <c r="AM450" i="3"/>
  <c r="AL450" i="3"/>
  <c r="AI450" i="3"/>
  <c r="AH450" i="3"/>
  <c r="AG450" i="3"/>
  <c r="AF450" i="3"/>
  <c r="AD450" i="3"/>
  <c r="AC450" i="3"/>
  <c r="AK450" i="3" s="1"/>
  <c r="AB450" i="3"/>
  <c r="AJ450" i="3" s="1"/>
  <c r="R450" i="3"/>
  <c r="P450" i="3"/>
  <c r="N450" i="3"/>
  <c r="AE450" i="3" s="1"/>
  <c r="G450" i="3"/>
  <c r="F450" i="3"/>
  <c r="AO449" i="3"/>
  <c r="AN449" i="3"/>
  <c r="AM449" i="3"/>
  <c r="AL449" i="3"/>
  <c r="AI449" i="3"/>
  <c r="AH449" i="3"/>
  <c r="AG449" i="3"/>
  <c r="AF449" i="3"/>
  <c r="AD449" i="3"/>
  <c r="AC449" i="3"/>
  <c r="AK449" i="3" s="1"/>
  <c r="AB449" i="3"/>
  <c r="AJ449" i="3" s="1"/>
  <c r="R449" i="3"/>
  <c r="P449" i="3"/>
  <c r="N449" i="3"/>
  <c r="AE449" i="3" s="1"/>
  <c r="G449" i="3"/>
  <c r="F449" i="3"/>
  <c r="AO448" i="3"/>
  <c r="AN448" i="3"/>
  <c r="AM448" i="3"/>
  <c r="AL448" i="3"/>
  <c r="AI448" i="3"/>
  <c r="AH448" i="3"/>
  <c r="AG448" i="3"/>
  <c r="AF448" i="3"/>
  <c r="AD448" i="3"/>
  <c r="AC448" i="3"/>
  <c r="AK448" i="3" s="1"/>
  <c r="AB448" i="3"/>
  <c r="AJ448" i="3" s="1"/>
  <c r="R448" i="3"/>
  <c r="P448" i="3"/>
  <c r="N448" i="3"/>
  <c r="AE448" i="3" s="1"/>
  <c r="G448" i="3"/>
  <c r="F448" i="3"/>
  <c r="AO447" i="3"/>
  <c r="AN447" i="3"/>
  <c r="AM447" i="3"/>
  <c r="AL447" i="3"/>
  <c r="AI447" i="3"/>
  <c r="AH447" i="3"/>
  <c r="AG447" i="3"/>
  <c r="AF447" i="3"/>
  <c r="AD447" i="3"/>
  <c r="AC447" i="3"/>
  <c r="AK447" i="3" s="1"/>
  <c r="AB447" i="3"/>
  <c r="AJ447" i="3" s="1"/>
  <c r="R447" i="3"/>
  <c r="P447" i="3"/>
  <c r="N447" i="3"/>
  <c r="AE447" i="3" s="1"/>
  <c r="G447" i="3"/>
  <c r="F447" i="3"/>
  <c r="AO446" i="3"/>
  <c r="AN446" i="3"/>
  <c r="AM446" i="3"/>
  <c r="AL446" i="3"/>
  <c r="AI446" i="3"/>
  <c r="AH446" i="3"/>
  <c r="AG446" i="3"/>
  <c r="AF446" i="3"/>
  <c r="AD446" i="3"/>
  <c r="AC446" i="3"/>
  <c r="AK446" i="3" s="1"/>
  <c r="AB446" i="3"/>
  <c r="AJ446" i="3" s="1"/>
  <c r="R446" i="3"/>
  <c r="P446" i="3"/>
  <c r="N446" i="3"/>
  <c r="AE446" i="3" s="1"/>
  <c r="G446" i="3"/>
  <c r="F446" i="3"/>
  <c r="AO445" i="3"/>
  <c r="AN445" i="3"/>
  <c r="AM445" i="3"/>
  <c r="AL445" i="3"/>
  <c r="AI445" i="3"/>
  <c r="AH445" i="3"/>
  <c r="AG445" i="3"/>
  <c r="AF445" i="3"/>
  <c r="AD445" i="3"/>
  <c r="AC445" i="3"/>
  <c r="AK445" i="3" s="1"/>
  <c r="AB445" i="3"/>
  <c r="AJ445" i="3" s="1"/>
  <c r="R445" i="3"/>
  <c r="P445" i="3"/>
  <c r="N445" i="3"/>
  <c r="AE445" i="3" s="1"/>
  <c r="G445" i="3"/>
  <c r="F445" i="3"/>
  <c r="AO444" i="3"/>
  <c r="AN444" i="3"/>
  <c r="AM444" i="3"/>
  <c r="AL444" i="3"/>
  <c r="AI444" i="3"/>
  <c r="AH444" i="3"/>
  <c r="AG444" i="3"/>
  <c r="AF444" i="3"/>
  <c r="AD444" i="3"/>
  <c r="AC444" i="3"/>
  <c r="AK444" i="3" s="1"/>
  <c r="AB444" i="3"/>
  <c r="AJ444" i="3" s="1"/>
  <c r="R444" i="3"/>
  <c r="P444" i="3"/>
  <c r="N444" i="3"/>
  <c r="AE444" i="3" s="1"/>
  <c r="G444" i="3"/>
  <c r="F444" i="3"/>
  <c r="AO443" i="3"/>
  <c r="AN443" i="3"/>
  <c r="AM443" i="3"/>
  <c r="AL443" i="3"/>
  <c r="AI443" i="3"/>
  <c r="AH443" i="3"/>
  <c r="AG443" i="3"/>
  <c r="AF443" i="3"/>
  <c r="AD443" i="3"/>
  <c r="AC443" i="3"/>
  <c r="AK443" i="3" s="1"/>
  <c r="AB443" i="3"/>
  <c r="AJ443" i="3" s="1"/>
  <c r="R443" i="3"/>
  <c r="P443" i="3"/>
  <c r="N443" i="3"/>
  <c r="AE443" i="3" s="1"/>
  <c r="G443" i="3"/>
  <c r="F443" i="3"/>
  <c r="AO442" i="3"/>
  <c r="AN442" i="3"/>
  <c r="AM442" i="3"/>
  <c r="AL442" i="3"/>
  <c r="AI442" i="3"/>
  <c r="AH442" i="3"/>
  <c r="AG442" i="3"/>
  <c r="AF442" i="3"/>
  <c r="AD442" i="3"/>
  <c r="AC442" i="3"/>
  <c r="AK442" i="3" s="1"/>
  <c r="AB442" i="3"/>
  <c r="AJ442" i="3" s="1"/>
  <c r="R442" i="3"/>
  <c r="P442" i="3"/>
  <c r="N442" i="3"/>
  <c r="AE442" i="3" s="1"/>
  <c r="G442" i="3"/>
  <c r="F442" i="3"/>
  <c r="AO441" i="3"/>
  <c r="AN441" i="3"/>
  <c r="AM441" i="3"/>
  <c r="AL441" i="3"/>
  <c r="AI441" i="3"/>
  <c r="AH441" i="3"/>
  <c r="AG441" i="3"/>
  <c r="AF441" i="3"/>
  <c r="AD441" i="3"/>
  <c r="AC441" i="3"/>
  <c r="AK441" i="3" s="1"/>
  <c r="AB441" i="3"/>
  <c r="AJ441" i="3" s="1"/>
  <c r="R441" i="3"/>
  <c r="P441" i="3"/>
  <c r="N441" i="3"/>
  <c r="AE441" i="3" s="1"/>
  <c r="G441" i="3"/>
  <c r="F441" i="3"/>
  <c r="AO440" i="3"/>
  <c r="AN440" i="3"/>
  <c r="AM440" i="3"/>
  <c r="AL440" i="3"/>
  <c r="AI440" i="3"/>
  <c r="AH440" i="3"/>
  <c r="AG440" i="3"/>
  <c r="AF440" i="3"/>
  <c r="AD440" i="3"/>
  <c r="AC440" i="3"/>
  <c r="AK440" i="3" s="1"/>
  <c r="AB440" i="3"/>
  <c r="AJ440" i="3" s="1"/>
  <c r="R440" i="3"/>
  <c r="P440" i="3"/>
  <c r="N440" i="3"/>
  <c r="AE440" i="3" s="1"/>
  <c r="G440" i="3"/>
  <c r="F440" i="3"/>
  <c r="AO439" i="3"/>
  <c r="AN439" i="3"/>
  <c r="AM439" i="3"/>
  <c r="AL439" i="3"/>
  <c r="AI439" i="3"/>
  <c r="AH439" i="3"/>
  <c r="AG439" i="3"/>
  <c r="AF439" i="3"/>
  <c r="AD439" i="3"/>
  <c r="AC439" i="3"/>
  <c r="AK439" i="3" s="1"/>
  <c r="AB439" i="3"/>
  <c r="AJ439" i="3" s="1"/>
  <c r="R439" i="3"/>
  <c r="P439" i="3"/>
  <c r="N439" i="3"/>
  <c r="AE439" i="3" s="1"/>
  <c r="G439" i="3"/>
  <c r="F439" i="3"/>
  <c r="AO438" i="3"/>
  <c r="AN438" i="3"/>
  <c r="AM438" i="3"/>
  <c r="AL438" i="3"/>
  <c r="AI438" i="3"/>
  <c r="AH438" i="3"/>
  <c r="AG438" i="3"/>
  <c r="AF438" i="3"/>
  <c r="AD438" i="3"/>
  <c r="AC438" i="3"/>
  <c r="AK438" i="3" s="1"/>
  <c r="AB438" i="3"/>
  <c r="AJ438" i="3" s="1"/>
  <c r="R438" i="3"/>
  <c r="P438" i="3"/>
  <c r="N438" i="3"/>
  <c r="AE438" i="3" s="1"/>
  <c r="G438" i="3"/>
  <c r="F438" i="3"/>
  <c r="AO437" i="3"/>
  <c r="AN437" i="3"/>
  <c r="AM437" i="3"/>
  <c r="AL437" i="3"/>
  <c r="AI437" i="3"/>
  <c r="AH437" i="3"/>
  <c r="AG437" i="3"/>
  <c r="AF437" i="3"/>
  <c r="AD437" i="3"/>
  <c r="AC437" i="3"/>
  <c r="AK437" i="3" s="1"/>
  <c r="AB437" i="3"/>
  <c r="AJ437" i="3" s="1"/>
  <c r="R437" i="3"/>
  <c r="P437" i="3"/>
  <c r="N437" i="3"/>
  <c r="AE437" i="3" s="1"/>
  <c r="G437" i="3"/>
  <c r="F437" i="3"/>
  <c r="AO436" i="3"/>
  <c r="AN436" i="3"/>
  <c r="AM436" i="3"/>
  <c r="AL436" i="3"/>
  <c r="AI436" i="3"/>
  <c r="AH436" i="3"/>
  <c r="AG436" i="3"/>
  <c r="AF436" i="3"/>
  <c r="AD436" i="3"/>
  <c r="AC436" i="3"/>
  <c r="AK436" i="3" s="1"/>
  <c r="AB436" i="3"/>
  <c r="AJ436" i="3" s="1"/>
  <c r="R436" i="3"/>
  <c r="P436" i="3"/>
  <c r="N436" i="3"/>
  <c r="AE436" i="3" s="1"/>
  <c r="G436" i="3"/>
  <c r="F436" i="3"/>
  <c r="AO435" i="3"/>
  <c r="AN435" i="3"/>
  <c r="AM435" i="3"/>
  <c r="AL435" i="3"/>
  <c r="AI435" i="3"/>
  <c r="AH435" i="3"/>
  <c r="AG435" i="3"/>
  <c r="AF435" i="3"/>
  <c r="AD435" i="3"/>
  <c r="AC435" i="3"/>
  <c r="AK435" i="3" s="1"/>
  <c r="AB435" i="3"/>
  <c r="AJ435" i="3" s="1"/>
  <c r="R435" i="3"/>
  <c r="P435" i="3"/>
  <c r="N435" i="3"/>
  <c r="AE435" i="3" s="1"/>
  <c r="G435" i="3"/>
  <c r="F435" i="3"/>
  <c r="AO434" i="3"/>
  <c r="AN434" i="3"/>
  <c r="AM434" i="3"/>
  <c r="AL434" i="3"/>
  <c r="AI434" i="3"/>
  <c r="AH434" i="3"/>
  <c r="AG434" i="3"/>
  <c r="AF434" i="3"/>
  <c r="AD434" i="3"/>
  <c r="AC434" i="3"/>
  <c r="AK434" i="3" s="1"/>
  <c r="AB434" i="3"/>
  <c r="AJ434" i="3" s="1"/>
  <c r="R434" i="3"/>
  <c r="P434" i="3"/>
  <c r="N434" i="3"/>
  <c r="AE434" i="3" s="1"/>
  <c r="G434" i="3"/>
  <c r="F434" i="3"/>
  <c r="AO433" i="3"/>
  <c r="AN433" i="3"/>
  <c r="AM433" i="3"/>
  <c r="AL433" i="3"/>
  <c r="AI433" i="3"/>
  <c r="AH433" i="3"/>
  <c r="AG433" i="3"/>
  <c r="AF433" i="3"/>
  <c r="AD433" i="3"/>
  <c r="AC433" i="3"/>
  <c r="AK433" i="3" s="1"/>
  <c r="AB433" i="3"/>
  <c r="AJ433" i="3" s="1"/>
  <c r="R433" i="3"/>
  <c r="P433" i="3"/>
  <c r="N433" i="3"/>
  <c r="AE433" i="3" s="1"/>
  <c r="G433" i="3"/>
  <c r="F433" i="3"/>
  <c r="AO432" i="3"/>
  <c r="AN432" i="3"/>
  <c r="AM432" i="3"/>
  <c r="AL432" i="3"/>
  <c r="AI432" i="3"/>
  <c r="AH432" i="3"/>
  <c r="AG432" i="3"/>
  <c r="AF432" i="3"/>
  <c r="AD432" i="3"/>
  <c r="AC432" i="3"/>
  <c r="AK432" i="3" s="1"/>
  <c r="AB432" i="3"/>
  <c r="AJ432" i="3" s="1"/>
  <c r="R432" i="3"/>
  <c r="P432" i="3"/>
  <c r="N432" i="3"/>
  <c r="AE432" i="3" s="1"/>
  <c r="G432" i="3"/>
  <c r="F432" i="3"/>
  <c r="AO431" i="3"/>
  <c r="AN431" i="3"/>
  <c r="AM431" i="3"/>
  <c r="AL431" i="3"/>
  <c r="AI431" i="3"/>
  <c r="AH431" i="3"/>
  <c r="AG431" i="3"/>
  <c r="AF431" i="3"/>
  <c r="AD431" i="3"/>
  <c r="AC431" i="3"/>
  <c r="AK431" i="3" s="1"/>
  <c r="AB431" i="3"/>
  <c r="AJ431" i="3" s="1"/>
  <c r="R431" i="3"/>
  <c r="P431" i="3"/>
  <c r="N431" i="3"/>
  <c r="AE431" i="3" s="1"/>
  <c r="G431" i="3"/>
  <c r="F431" i="3"/>
  <c r="AO430" i="3"/>
  <c r="AN430" i="3"/>
  <c r="AM430" i="3"/>
  <c r="AL430" i="3"/>
  <c r="AI430" i="3"/>
  <c r="AH430" i="3"/>
  <c r="AG430" i="3"/>
  <c r="AF430" i="3"/>
  <c r="AD430" i="3"/>
  <c r="AC430" i="3"/>
  <c r="AK430" i="3" s="1"/>
  <c r="AB430" i="3"/>
  <c r="AJ430" i="3" s="1"/>
  <c r="R430" i="3"/>
  <c r="P430" i="3"/>
  <c r="N430" i="3"/>
  <c r="AE430" i="3" s="1"/>
  <c r="G430" i="3"/>
  <c r="F430" i="3"/>
  <c r="AO429" i="3"/>
  <c r="AN429" i="3"/>
  <c r="AM429" i="3"/>
  <c r="AL429" i="3"/>
  <c r="AI429" i="3"/>
  <c r="AH429" i="3"/>
  <c r="AG429" i="3"/>
  <c r="AF429" i="3"/>
  <c r="AD429" i="3"/>
  <c r="AC429" i="3"/>
  <c r="AK429" i="3" s="1"/>
  <c r="AB429" i="3"/>
  <c r="AJ429" i="3" s="1"/>
  <c r="R429" i="3"/>
  <c r="P429" i="3"/>
  <c r="N429" i="3"/>
  <c r="AE429" i="3" s="1"/>
  <c r="G429" i="3"/>
  <c r="F429" i="3"/>
  <c r="AO428" i="3"/>
  <c r="AN428" i="3"/>
  <c r="AM428" i="3"/>
  <c r="AL428" i="3"/>
  <c r="AI428" i="3"/>
  <c r="AH428" i="3"/>
  <c r="AG428" i="3"/>
  <c r="AF428" i="3"/>
  <c r="AD428" i="3"/>
  <c r="AC428" i="3"/>
  <c r="AK428" i="3" s="1"/>
  <c r="AB428" i="3"/>
  <c r="AJ428" i="3" s="1"/>
  <c r="R428" i="3"/>
  <c r="P428" i="3"/>
  <c r="N428" i="3"/>
  <c r="AE428" i="3" s="1"/>
  <c r="G428" i="3"/>
  <c r="F428" i="3"/>
  <c r="AO427" i="3"/>
  <c r="AN427" i="3"/>
  <c r="AM427" i="3"/>
  <c r="AL427" i="3"/>
  <c r="AI427" i="3"/>
  <c r="AH427" i="3"/>
  <c r="AG427" i="3"/>
  <c r="AF427" i="3"/>
  <c r="AD427" i="3"/>
  <c r="AC427" i="3"/>
  <c r="AK427" i="3" s="1"/>
  <c r="AB427" i="3"/>
  <c r="AJ427" i="3" s="1"/>
  <c r="R427" i="3"/>
  <c r="P427" i="3"/>
  <c r="N427" i="3"/>
  <c r="AE427" i="3" s="1"/>
  <c r="G427" i="3"/>
  <c r="F427" i="3"/>
  <c r="AO426" i="3"/>
  <c r="AN426" i="3"/>
  <c r="AM426" i="3"/>
  <c r="AL426" i="3"/>
  <c r="AI426" i="3"/>
  <c r="AH426" i="3"/>
  <c r="AG426" i="3"/>
  <c r="AF426" i="3"/>
  <c r="AD426" i="3"/>
  <c r="AC426" i="3"/>
  <c r="AK426" i="3" s="1"/>
  <c r="AB426" i="3"/>
  <c r="AJ426" i="3" s="1"/>
  <c r="R426" i="3"/>
  <c r="P426" i="3"/>
  <c r="N426" i="3"/>
  <c r="AE426" i="3" s="1"/>
  <c r="G426" i="3"/>
  <c r="F426" i="3"/>
  <c r="AO425" i="3"/>
  <c r="AN425" i="3"/>
  <c r="AM425" i="3"/>
  <c r="AL425" i="3"/>
  <c r="AI425" i="3"/>
  <c r="AH425" i="3"/>
  <c r="AG425" i="3"/>
  <c r="AF425" i="3"/>
  <c r="AD425" i="3"/>
  <c r="AC425" i="3"/>
  <c r="AK425" i="3" s="1"/>
  <c r="AB425" i="3"/>
  <c r="AJ425" i="3" s="1"/>
  <c r="R425" i="3"/>
  <c r="P425" i="3"/>
  <c r="N425" i="3"/>
  <c r="AE425" i="3" s="1"/>
  <c r="G425" i="3"/>
  <c r="F425" i="3"/>
  <c r="AO424" i="3"/>
  <c r="AN424" i="3"/>
  <c r="AM424" i="3"/>
  <c r="AL424" i="3"/>
  <c r="AI424" i="3"/>
  <c r="AH424" i="3"/>
  <c r="AG424" i="3"/>
  <c r="AF424" i="3"/>
  <c r="AD424" i="3"/>
  <c r="AC424" i="3"/>
  <c r="AK424" i="3" s="1"/>
  <c r="AB424" i="3"/>
  <c r="AJ424" i="3" s="1"/>
  <c r="R424" i="3"/>
  <c r="P424" i="3"/>
  <c r="N424" i="3"/>
  <c r="AE424" i="3" s="1"/>
  <c r="G424" i="3"/>
  <c r="F424" i="3"/>
  <c r="AO423" i="3"/>
  <c r="AN423" i="3"/>
  <c r="AM423" i="3"/>
  <c r="AL423" i="3"/>
  <c r="AI423" i="3"/>
  <c r="AH423" i="3"/>
  <c r="AG423" i="3"/>
  <c r="AF423" i="3"/>
  <c r="AD423" i="3"/>
  <c r="AC423" i="3"/>
  <c r="AK423" i="3" s="1"/>
  <c r="AB423" i="3"/>
  <c r="AJ423" i="3" s="1"/>
  <c r="R423" i="3"/>
  <c r="P423" i="3"/>
  <c r="N423" i="3"/>
  <c r="AE423" i="3" s="1"/>
  <c r="G423" i="3"/>
  <c r="F423" i="3"/>
  <c r="AO422" i="3"/>
  <c r="AN422" i="3"/>
  <c r="AM422" i="3"/>
  <c r="AL422" i="3"/>
  <c r="AI422" i="3"/>
  <c r="AH422" i="3"/>
  <c r="AG422" i="3"/>
  <c r="AF422" i="3"/>
  <c r="AD422" i="3"/>
  <c r="AC422" i="3"/>
  <c r="AK422" i="3" s="1"/>
  <c r="AB422" i="3"/>
  <c r="AJ422" i="3" s="1"/>
  <c r="R422" i="3"/>
  <c r="P422" i="3"/>
  <c r="N422" i="3"/>
  <c r="AE422" i="3" s="1"/>
  <c r="G422" i="3"/>
  <c r="F422" i="3"/>
  <c r="AO421" i="3"/>
  <c r="AN421" i="3"/>
  <c r="AM421" i="3"/>
  <c r="AL421" i="3"/>
  <c r="AI421" i="3"/>
  <c r="AH421" i="3"/>
  <c r="AG421" i="3"/>
  <c r="AF421" i="3"/>
  <c r="AD421" i="3"/>
  <c r="AC421" i="3"/>
  <c r="AK421" i="3" s="1"/>
  <c r="AB421" i="3"/>
  <c r="AJ421" i="3" s="1"/>
  <c r="R421" i="3"/>
  <c r="P421" i="3"/>
  <c r="N421" i="3"/>
  <c r="AE421" i="3" s="1"/>
  <c r="G421" i="3"/>
  <c r="F421" i="3"/>
  <c r="AO420" i="3"/>
  <c r="AN420" i="3"/>
  <c r="AM420" i="3"/>
  <c r="AL420" i="3"/>
  <c r="AI420" i="3"/>
  <c r="AH420" i="3"/>
  <c r="AG420" i="3"/>
  <c r="AF420" i="3"/>
  <c r="AD420" i="3"/>
  <c r="AC420" i="3"/>
  <c r="AK420" i="3" s="1"/>
  <c r="AB420" i="3"/>
  <c r="AJ420" i="3" s="1"/>
  <c r="R420" i="3"/>
  <c r="P420" i="3"/>
  <c r="N420" i="3"/>
  <c r="AE420" i="3" s="1"/>
  <c r="G420" i="3"/>
  <c r="F420" i="3"/>
  <c r="AO419" i="3"/>
  <c r="AN419" i="3"/>
  <c r="AM419" i="3"/>
  <c r="AL419" i="3"/>
  <c r="AI419" i="3"/>
  <c r="AH419" i="3"/>
  <c r="AG419" i="3"/>
  <c r="AF419" i="3"/>
  <c r="AD419" i="3"/>
  <c r="AC419" i="3"/>
  <c r="AK419" i="3" s="1"/>
  <c r="AB419" i="3"/>
  <c r="AJ419" i="3" s="1"/>
  <c r="R419" i="3"/>
  <c r="P419" i="3"/>
  <c r="N419" i="3"/>
  <c r="AE419" i="3" s="1"/>
  <c r="G419" i="3"/>
  <c r="F419" i="3"/>
  <c r="AO418" i="3"/>
  <c r="AN418" i="3"/>
  <c r="AM418" i="3"/>
  <c r="AL418" i="3"/>
  <c r="AI418" i="3"/>
  <c r="AH418" i="3"/>
  <c r="AG418" i="3"/>
  <c r="AF418" i="3"/>
  <c r="AD418" i="3"/>
  <c r="AC418" i="3"/>
  <c r="AK418" i="3" s="1"/>
  <c r="AB418" i="3"/>
  <c r="AJ418" i="3" s="1"/>
  <c r="R418" i="3"/>
  <c r="P418" i="3"/>
  <c r="N418" i="3"/>
  <c r="AE418" i="3" s="1"/>
  <c r="G418" i="3"/>
  <c r="F418" i="3"/>
  <c r="AO417" i="3"/>
  <c r="AN417" i="3"/>
  <c r="AM417" i="3"/>
  <c r="AL417" i="3"/>
  <c r="AI417" i="3"/>
  <c r="AH417" i="3"/>
  <c r="AG417" i="3"/>
  <c r="AF417" i="3"/>
  <c r="AD417" i="3"/>
  <c r="AC417" i="3"/>
  <c r="AK417" i="3" s="1"/>
  <c r="AB417" i="3"/>
  <c r="AJ417" i="3" s="1"/>
  <c r="R417" i="3"/>
  <c r="P417" i="3"/>
  <c r="N417" i="3"/>
  <c r="AE417" i="3" s="1"/>
  <c r="G417" i="3"/>
  <c r="F417" i="3"/>
  <c r="AO416" i="3"/>
  <c r="AN416" i="3"/>
  <c r="AM416" i="3"/>
  <c r="AL416" i="3"/>
  <c r="AI416" i="3"/>
  <c r="AH416" i="3"/>
  <c r="AG416" i="3"/>
  <c r="AF416" i="3"/>
  <c r="AD416" i="3"/>
  <c r="AC416" i="3"/>
  <c r="AK416" i="3" s="1"/>
  <c r="AB416" i="3"/>
  <c r="AJ416" i="3" s="1"/>
  <c r="R416" i="3"/>
  <c r="P416" i="3"/>
  <c r="N416" i="3"/>
  <c r="AE416" i="3" s="1"/>
  <c r="G416" i="3"/>
  <c r="F416" i="3"/>
  <c r="AO415" i="3"/>
  <c r="AN415" i="3"/>
  <c r="AM415" i="3"/>
  <c r="AL415" i="3"/>
  <c r="AI415" i="3"/>
  <c r="AH415" i="3"/>
  <c r="AG415" i="3"/>
  <c r="AF415" i="3"/>
  <c r="AD415" i="3"/>
  <c r="AC415" i="3"/>
  <c r="AK415" i="3" s="1"/>
  <c r="AB415" i="3"/>
  <c r="AJ415" i="3" s="1"/>
  <c r="R415" i="3"/>
  <c r="P415" i="3"/>
  <c r="N415" i="3"/>
  <c r="AE415" i="3" s="1"/>
  <c r="G415" i="3"/>
  <c r="F415" i="3"/>
  <c r="AO414" i="3"/>
  <c r="AN414" i="3"/>
  <c r="AM414" i="3"/>
  <c r="AL414" i="3"/>
  <c r="AI414" i="3"/>
  <c r="AH414" i="3"/>
  <c r="AG414" i="3"/>
  <c r="AF414" i="3"/>
  <c r="AD414" i="3"/>
  <c r="AC414" i="3"/>
  <c r="AK414" i="3" s="1"/>
  <c r="AB414" i="3"/>
  <c r="AJ414" i="3" s="1"/>
  <c r="R414" i="3"/>
  <c r="P414" i="3"/>
  <c r="N414" i="3"/>
  <c r="AE414" i="3" s="1"/>
  <c r="G414" i="3"/>
  <c r="F414" i="3"/>
  <c r="AO413" i="3"/>
  <c r="AN413" i="3"/>
  <c r="AM413" i="3"/>
  <c r="AL413" i="3"/>
  <c r="AI413" i="3"/>
  <c r="AH413" i="3"/>
  <c r="AG413" i="3"/>
  <c r="AF413" i="3"/>
  <c r="AD413" i="3"/>
  <c r="AC413" i="3"/>
  <c r="AK413" i="3" s="1"/>
  <c r="AB413" i="3"/>
  <c r="AJ413" i="3" s="1"/>
  <c r="R413" i="3"/>
  <c r="P413" i="3"/>
  <c r="N413" i="3"/>
  <c r="AE413" i="3" s="1"/>
  <c r="G413" i="3"/>
  <c r="F413" i="3"/>
  <c r="AO412" i="3"/>
  <c r="AN412" i="3"/>
  <c r="AM412" i="3"/>
  <c r="AL412" i="3"/>
  <c r="AI412" i="3"/>
  <c r="AH412" i="3"/>
  <c r="AG412" i="3"/>
  <c r="AF412" i="3"/>
  <c r="AD412" i="3"/>
  <c r="AC412" i="3"/>
  <c r="AK412" i="3" s="1"/>
  <c r="AB412" i="3"/>
  <c r="AJ412" i="3" s="1"/>
  <c r="R412" i="3"/>
  <c r="P412" i="3"/>
  <c r="N412" i="3"/>
  <c r="AE412" i="3" s="1"/>
  <c r="G412" i="3"/>
  <c r="F412" i="3"/>
  <c r="AO411" i="3"/>
  <c r="AN411" i="3"/>
  <c r="AM411" i="3"/>
  <c r="AL411" i="3"/>
  <c r="AI411" i="3"/>
  <c r="AH411" i="3"/>
  <c r="AG411" i="3"/>
  <c r="AF411" i="3"/>
  <c r="AD411" i="3"/>
  <c r="AC411" i="3"/>
  <c r="AK411" i="3" s="1"/>
  <c r="AB411" i="3"/>
  <c r="AJ411" i="3" s="1"/>
  <c r="R411" i="3"/>
  <c r="P411" i="3"/>
  <c r="N411" i="3"/>
  <c r="AE411" i="3" s="1"/>
  <c r="G411" i="3"/>
  <c r="F411" i="3"/>
  <c r="AO410" i="3"/>
  <c r="AN410" i="3"/>
  <c r="AM410" i="3"/>
  <c r="AL410" i="3"/>
  <c r="AI410" i="3"/>
  <c r="AH410" i="3"/>
  <c r="AG410" i="3"/>
  <c r="AF410" i="3"/>
  <c r="AD410" i="3"/>
  <c r="AC410" i="3"/>
  <c r="AK410" i="3" s="1"/>
  <c r="AB410" i="3"/>
  <c r="AJ410" i="3" s="1"/>
  <c r="R410" i="3"/>
  <c r="P410" i="3"/>
  <c r="N410" i="3"/>
  <c r="AE410" i="3" s="1"/>
  <c r="G410" i="3"/>
  <c r="F410" i="3"/>
  <c r="AO409" i="3"/>
  <c r="AN409" i="3"/>
  <c r="AM409" i="3"/>
  <c r="AL409" i="3"/>
  <c r="AI409" i="3"/>
  <c r="AH409" i="3"/>
  <c r="AG409" i="3"/>
  <c r="AF409" i="3"/>
  <c r="AD409" i="3"/>
  <c r="AC409" i="3"/>
  <c r="AK409" i="3" s="1"/>
  <c r="AB409" i="3"/>
  <c r="AJ409" i="3" s="1"/>
  <c r="R409" i="3"/>
  <c r="P409" i="3"/>
  <c r="N409" i="3"/>
  <c r="AE409" i="3" s="1"/>
  <c r="G409" i="3"/>
  <c r="F409" i="3"/>
  <c r="AO408" i="3"/>
  <c r="AN408" i="3"/>
  <c r="AM408" i="3"/>
  <c r="AL408" i="3"/>
  <c r="AI408" i="3"/>
  <c r="AH408" i="3"/>
  <c r="AG408" i="3"/>
  <c r="AF408" i="3"/>
  <c r="AD408" i="3"/>
  <c r="AC408" i="3"/>
  <c r="AK408" i="3" s="1"/>
  <c r="AB408" i="3"/>
  <c r="AJ408" i="3" s="1"/>
  <c r="R408" i="3"/>
  <c r="P408" i="3"/>
  <c r="N408" i="3"/>
  <c r="AE408" i="3" s="1"/>
  <c r="G408" i="3"/>
  <c r="F408" i="3"/>
  <c r="AO407" i="3"/>
  <c r="AN407" i="3"/>
  <c r="AM407" i="3"/>
  <c r="AL407" i="3"/>
  <c r="AI407" i="3"/>
  <c r="AH407" i="3"/>
  <c r="AG407" i="3"/>
  <c r="AF407" i="3"/>
  <c r="AD407" i="3"/>
  <c r="AC407" i="3"/>
  <c r="AK407" i="3" s="1"/>
  <c r="AB407" i="3"/>
  <c r="AJ407" i="3" s="1"/>
  <c r="R407" i="3"/>
  <c r="P407" i="3"/>
  <c r="N407" i="3"/>
  <c r="AE407" i="3" s="1"/>
  <c r="G407" i="3"/>
  <c r="F407" i="3"/>
  <c r="AO406" i="3"/>
  <c r="AN406" i="3"/>
  <c r="AM406" i="3"/>
  <c r="AL406" i="3"/>
  <c r="AI406" i="3"/>
  <c r="AH406" i="3"/>
  <c r="AG406" i="3"/>
  <c r="AF406" i="3"/>
  <c r="AD406" i="3"/>
  <c r="AC406" i="3"/>
  <c r="AK406" i="3" s="1"/>
  <c r="AB406" i="3"/>
  <c r="AJ406" i="3" s="1"/>
  <c r="R406" i="3"/>
  <c r="P406" i="3"/>
  <c r="N406" i="3"/>
  <c r="AE406" i="3" s="1"/>
  <c r="G406" i="3"/>
  <c r="F406" i="3"/>
  <c r="AO405" i="3"/>
  <c r="AN405" i="3"/>
  <c r="AM405" i="3"/>
  <c r="AL405" i="3"/>
  <c r="AI405" i="3"/>
  <c r="AH405" i="3"/>
  <c r="AG405" i="3"/>
  <c r="AF405" i="3"/>
  <c r="AD405" i="3"/>
  <c r="AC405" i="3"/>
  <c r="AK405" i="3" s="1"/>
  <c r="AB405" i="3"/>
  <c r="AJ405" i="3" s="1"/>
  <c r="R405" i="3"/>
  <c r="P405" i="3"/>
  <c r="N405" i="3"/>
  <c r="AE405" i="3" s="1"/>
  <c r="G405" i="3"/>
  <c r="F405" i="3"/>
  <c r="AO404" i="3"/>
  <c r="AN404" i="3"/>
  <c r="AM404" i="3"/>
  <c r="AL404" i="3"/>
  <c r="AI404" i="3"/>
  <c r="AH404" i="3"/>
  <c r="AG404" i="3"/>
  <c r="AF404" i="3"/>
  <c r="AD404" i="3"/>
  <c r="AC404" i="3"/>
  <c r="AK404" i="3" s="1"/>
  <c r="AB404" i="3"/>
  <c r="AJ404" i="3" s="1"/>
  <c r="R404" i="3"/>
  <c r="P404" i="3"/>
  <c r="N404" i="3"/>
  <c r="AE404" i="3" s="1"/>
  <c r="G404" i="3"/>
  <c r="F404" i="3"/>
  <c r="AO403" i="3"/>
  <c r="AN403" i="3"/>
  <c r="AM403" i="3"/>
  <c r="AL403" i="3"/>
  <c r="AI403" i="3"/>
  <c r="AH403" i="3"/>
  <c r="AG403" i="3"/>
  <c r="AF403" i="3"/>
  <c r="AD403" i="3"/>
  <c r="AC403" i="3"/>
  <c r="AK403" i="3" s="1"/>
  <c r="AB403" i="3"/>
  <c r="AJ403" i="3" s="1"/>
  <c r="R403" i="3"/>
  <c r="P403" i="3"/>
  <c r="N403" i="3"/>
  <c r="AE403" i="3" s="1"/>
  <c r="G403" i="3"/>
  <c r="F403" i="3"/>
  <c r="AO402" i="3"/>
  <c r="AN402" i="3"/>
  <c r="AM402" i="3"/>
  <c r="AL402" i="3"/>
  <c r="AI402" i="3"/>
  <c r="AH402" i="3"/>
  <c r="AG402" i="3"/>
  <c r="AF402" i="3"/>
  <c r="AD402" i="3"/>
  <c r="AC402" i="3"/>
  <c r="AK402" i="3" s="1"/>
  <c r="AB402" i="3"/>
  <c r="AJ402" i="3" s="1"/>
  <c r="R402" i="3"/>
  <c r="P402" i="3"/>
  <c r="N402" i="3"/>
  <c r="AE402" i="3" s="1"/>
  <c r="G402" i="3"/>
  <c r="F402" i="3"/>
  <c r="AO401" i="3"/>
  <c r="AN401" i="3"/>
  <c r="AM401" i="3"/>
  <c r="AL401" i="3"/>
  <c r="AI401" i="3"/>
  <c r="AH401" i="3"/>
  <c r="AG401" i="3"/>
  <c r="AF401" i="3"/>
  <c r="AD401" i="3"/>
  <c r="AC401" i="3"/>
  <c r="AK401" i="3" s="1"/>
  <c r="AB401" i="3"/>
  <c r="AJ401" i="3" s="1"/>
  <c r="R401" i="3"/>
  <c r="P401" i="3"/>
  <c r="N401" i="3"/>
  <c r="AE401" i="3" s="1"/>
  <c r="G401" i="3"/>
  <c r="F401" i="3"/>
  <c r="AO400" i="3"/>
  <c r="AN400" i="3"/>
  <c r="AM400" i="3"/>
  <c r="AL400" i="3"/>
  <c r="AI400" i="3"/>
  <c r="AH400" i="3"/>
  <c r="AG400" i="3"/>
  <c r="AF400" i="3"/>
  <c r="AD400" i="3"/>
  <c r="AC400" i="3"/>
  <c r="AK400" i="3" s="1"/>
  <c r="AB400" i="3"/>
  <c r="AJ400" i="3" s="1"/>
  <c r="R400" i="3"/>
  <c r="P400" i="3"/>
  <c r="N400" i="3"/>
  <c r="AE400" i="3" s="1"/>
  <c r="G400" i="3"/>
  <c r="F400" i="3"/>
  <c r="AO399" i="3"/>
  <c r="AN399" i="3"/>
  <c r="AM399" i="3"/>
  <c r="AL399" i="3"/>
  <c r="AI399" i="3"/>
  <c r="AH399" i="3"/>
  <c r="AG399" i="3"/>
  <c r="AF399" i="3"/>
  <c r="AD399" i="3"/>
  <c r="AC399" i="3"/>
  <c r="AK399" i="3" s="1"/>
  <c r="AB399" i="3"/>
  <c r="AJ399" i="3" s="1"/>
  <c r="R399" i="3"/>
  <c r="P399" i="3"/>
  <c r="N399" i="3"/>
  <c r="AE399" i="3" s="1"/>
  <c r="G399" i="3"/>
  <c r="F399" i="3"/>
  <c r="AO398" i="3"/>
  <c r="AN398" i="3"/>
  <c r="AM398" i="3"/>
  <c r="AL398" i="3"/>
  <c r="AI398" i="3"/>
  <c r="AH398" i="3"/>
  <c r="AG398" i="3"/>
  <c r="AF398" i="3"/>
  <c r="AD398" i="3"/>
  <c r="AC398" i="3"/>
  <c r="AK398" i="3" s="1"/>
  <c r="AB398" i="3"/>
  <c r="AJ398" i="3" s="1"/>
  <c r="R398" i="3"/>
  <c r="P398" i="3"/>
  <c r="N398" i="3"/>
  <c r="AE398" i="3" s="1"/>
  <c r="G398" i="3"/>
  <c r="F398" i="3"/>
  <c r="AO397" i="3"/>
  <c r="AN397" i="3"/>
  <c r="AM397" i="3"/>
  <c r="AL397" i="3"/>
  <c r="AI397" i="3"/>
  <c r="AH397" i="3"/>
  <c r="AG397" i="3"/>
  <c r="AF397" i="3"/>
  <c r="AD397" i="3"/>
  <c r="AC397" i="3"/>
  <c r="AK397" i="3" s="1"/>
  <c r="AB397" i="3"/>
  <c r="AJ397" i="3" s="1"/>
  <c r="R397" i="3"/>
  <c r="P397" i="3"/>
  <c r="N397" i="3"/>
  <c r="AE397" i="3" s="1"/>
  <c r="G397" i="3"/>
  <c r="F397" i="3"/>
  <c r="AO396" i="3"/>
  <c r="AN396" i="3"/>
  <c r="AM396" i="3"/>
  <c r="AL396" i="3"/>
  <c r="AI396" i="3"/>
  <c r="AH396" i="3"/>
  <c r="AG396" i="3"/>
  <c r="AF396" i="3"/>
  <c r="AD396" i="3"/>
  <c r="AC396" i="3"/>
  <c r="AK396" i="3" s="1"/>
  <c r="AB396" i="3"/>
  <c r="AJ396" i="3" s="1"/>
  <c r="R396" i="3"/>
  <c r="P396" i="3"/>
  <c r="N396" i="3"/>
  <c r="AE396" i="3" s="1"/>
  <c r="G396" i="3"/>
  <c r="F396" i="3"/>
  <c r="AO395" i="3"/>
  <c r="AN395" i="3"/>
  <c r="AM395" i="3"/>
  <c r="AL395" i="3"/>
  <c r="AI395" i="3"/>
  <c r="AH395" i="3"/>
  <c r="AG395" i="3"/>
  <c r="AF395" i="3"/>
  <c r="AD395" i="3"/>
  <c r="AC395" i="3"/>
  <c r="AK395" i="3" s="1"/>
  <c r="AB395" i="3"/>
  <c r="AJ395" i="3" s="1"/>
  <c r="R395" i="3"/>
  <c r="P395" i="3"/>
  <c r="N395" i="3"/>
  <c r="AE395" i="3" s="1"/>
  <c r="G395" i="3"/>
  <c r="F395" i="3"/>
  <c r="AO394" i="3"/>
  <c r="AN394" i="3"/>
  <c r="AM394" i="3"/>
  <c r="AL394" i="3"/>
  <c r="AI394" i="3"/>
  <c r="AH394" i="3"/>
  <c r="AG394" i="3"/>
  <c r="AF394" i="3"/>
  <c r="AD394" i="3"/>
  <c r="AC394" i="3"/>
  <c r="AK394" i="3" s="1"/>
  <c r="AB394" i="3"/>
  <c r="AJ394" i="3" s="1"/>
  <c r="R394" i="3"/>
  <c r="P394" i="3"/>
  <c r="N394" i="3"/>
  <c r="AE394" i="3" s="1"/>
  <c r="G394" i="3"/>
  <c r="F394" i="3"/>
  <c r="AO393" i="3"/>
  <c r="AN393" i="3"/>
  <c r="AM393" i="3"/>
  <c r="AL393" i="3"/>
  <c r="AI393" i="3"/>
  <c r="AH393" i="3"/>
  <c r="AG393" i="3"/>
  <c r="AF393" i="3"/>
  <c r="AD393" i="3"/>
  <c r="AC393" i="3"/>
  <c r="AK393" i="3" s="1"/>
  <c r="AB393" i="3"/>
  <c r="AJ393" i="3" s="1"/>
  <c r="R393" i="3"/>
  <c r="P393" i="3"/>
  <c r="N393" i="3"/>
  <c r="AE393" i="3" s="1"/>
  <c r="G393" i="3"/>
  <c r="F393" i="3"/>
  <c r="AO392" i="3"/>
  <c r="AN392" i="3"/>
  <c r="AM392" i="3"/>
  <c r="AL392" i="3"/>
  <c r="AI392" i="3"/>
  <c r="AH392" i="3"/>
  <c r="AG392" i="3"/>
  <c r="AF392" i="3"/>
  <c r="AD392" i="3"/>
  <c r="AC392" i="3"/>
  <c r="AK392" i="3" s="1"/>
  <c r="AB392" i="3"/>
  <c r="AJ392" i="3" s="1"/>
  <c r="R392" i="3"/>
  <c r="P392" i="3"/>
  <c r="N392" i="3"/>
  <c r="AE392" i="3" s="1"/>
  <c r="G392" i="3"/>
  <c r="F392" i="3"/>
  <c r="AO391" i="3"/>
  <c r="AN391" i="3"/>
  <c r="AM391" i="3"/>
  <c r="AL391" i="3"/>
  <c r="AI391" i="3"/>
  <c r="AH391" i="3"/>
  <c r="AG391" i="3"/>
  <c r="AF391" i="3"/>
  <c r="AD391" i="3"/>
  <c r="AC391" i="3"/>
  <c r="AK391" i="3" s="1"/>
  <c r="AB391" i="3"/>
  <c r="AJ391" i="3" s="1"/>
  <c r="R391" i="3"/>
  <c r="P391" i="3"/>
  <c r="N391" i="3"/>
  <c r="AE391" i="3" s="1"/>
  <c r="G391" i="3"/>
  <c r="F391" i="3"/>
  <c r="AO390" i="3"/>
  <c r="AN390" i="3"/>
  <c r="AM390" i="3"/>
  <c r="AL390" i="3"/>
  <c r="AI390" i="3"/>
  <c r="AH390" i="3"/>
  <c r="AG390" i="3"/>
  <c r="AF390" i="3"/>
  <c r="AD390" i="3"/>
  <c r="AC390" i="3"/>
  <c r="AK390" i="3" s="1"/>
  <c r="AB390" i="3"/>
  <c r="AJ390" i="3" s="1"/>
  <c r="R390" i="3"/>
  <c r="P390" i="3"/>
  <c r="N390" i="3"/>
  <c r="AE390" i="3" s="1"/>
  <c r="G390" i="3"/>
  <c r="F390" i="3"/>
  <c r="AO389" i="3"/>
  <c r="AN389" i="3"/>
  <c r="AM389" i="3"/>
  <c r="AL389" i="3"/>
  <c r="AI389" i="3"/>
  <c r="AH389" i="3"/>
  <c r="AG389" i="3"/>
  <c r="AF389" i="3"/>
  <c r="AD389" i="3"/>
  <c r="AC389" i="3"/>
  <c r="AK389" i="3" s="1"/>
  <c r="AB389" i="3"/>
  <c r="AJ389" i="3" s="1"/>
  <c r="R389" i="3"/>
  <c r="P389" i="3"/>
  <c r="N389" i="3"/>
  <c r="AE389" i="3" s="1"/>
  <c r="G389" i="3"/>
  <c r="F389" i="3"/>
  <c r="AO388" i="3"/>
  <c r="AN388" i="3"/>
  <c r="AM388" i="3"/>
  <c r="AL388" i="3"/>
  <c r="AI388" i="3"/>
  <c r="AH388" i="3"/>
  <c r="AG388" i="3"/>
  <c r="AF388" i="3"/>
  <c r="AD388" i="3"/>
  <c r="AC388" i="3"/>
  <c r="AK388" i="3" s="1"/>
  <c r="AB388" i="3"/>
  <c r="AJ388" i="3" s="1"/>
  <c r="R388" i="3"/>
  <c r="P388" i="3"/>
  <c r="N388" i="3"/>
  <c r="AE388" i="3" s="1"/>
  <c r="G388" i="3"/>
  <c r="F388" i="3"/>
  <c r="AO387" i="3"/>
  <c r="AN387" i="3"/>
  <c r="AM387" i="3"/>
  <c r="AL387" i="3"/>
  <c r="AI387" i="3"/>
  <c r="AH387" i="3"/>
  <c r="AG387" i="3"/>
  <c r="AF387" i="3"/>
  <c r="AD387" i="3"/>
  <c r="AC387" i="3"/>
  <c r="AK387" i="3" s="1"/>
  <c r="AB387" i="3"/>
  <c r="AJ387" i="3" s="1"/>
  <c r="R387" i="3"/>
  <c r="P387" i="3"/>
  <c r="N387" i="3"/>
  <c r="AE387" i="3" s="1"/>
  <c r="G387" i="3"/>
  <c r="F387" i="3"/>
  <c r="AO386" i="3"/>
  <c r="AN386" i="3"/>
  <c r="AM386" i="3"/>
  <c r="AL386" i="3"/>
  <c r="AI386" i="3"/>
  <c r="AH386" i="3"/>
  <c r="AG386" i="3"/>
  <c r="AF386" i="3"/>
  <c r="AD386" i="3"/>
  <c r="AC386" i="3"/>
  <c r="AK386" i="3" s="1"/>
  <c r="AB386" i="3"/>
  <c r="AJ386" i="3" s="1"/>
  <c r="R386" i="3"/>
  <c r="P386" i="3"/>
  <c r="N386" i="3"/>
  <c r="AE386" i="3" s="1"/>
  <c r="G386" i="3"/>
  <c r="F386" i="3"/>
  <c r="AO385" i="3"/>
  <c r="AN385" i="3"/>
  <c r="AM385" i="3"/>
  <c r="AL385" i="3"/>
  <c r="AI385" i="3"/>
  <c r="AH385" i="3"/>
  <c r="AG385" i="3"/>
  <c r="AF385" i="3"/>
  <c r="AD385" i="3"/>
  <c r="AC385" i="3"/>
  <c r="AK385" i="3" s="1"/>
  <c r="AB385" i="3"/>
  <c r="AJ385" i="3" s="1"/>
  <c r="R385" i="3"/>
  <c r="P385" i="3"/>
  <c r="N385" i="3"/>
  <c r="AE385" i="3" s="1"/>
  <c r="G385" i="3"/>
  <c r="F385" i="3"/>
  <c r="AO384" i="3"/>
  <c r="AN384" i="3"/>
  <c r="AM384" i="3"/>
  <c r="AL384" i="3"/>
  <c r="AI384" i="3"/>
  <c r="AH384" i="3"/>
  <c r="AG384" i="3"/>
  <c r="AF384" i="3"/>
  <c r="AD384" i="3"/>
  <c r="AC384" i="3"/>
  <c r="AK384" i="3" s="1"/>
  <c r="AB384" i="3"/>
  <c r="AJ384" i="3" s="1"/>
  <c r="R384" i="3"/>
  <c r="P384" i="3"/>
  <c r="N384" i="3"/>
  <c r="AE384" i="3" s="1"/>
  <c r="G384" i="3"/>
  <c r="F384" i="3"/>
  <c r="AO383" i="3"/>
  <c r="AN383" i="3"/>
  <c r="AM383" i="3"/>
  <c r="AL383" i="3"/>
  <c r="AI383" i="3"/>
  <c r="AH383" i="3"/>
  <c r="AG383" i="3"/>
  <c r="AF383" i="3"/>
  <c r="AD383" i="3"/>
  <c r="AC383" i="3"/>
  <c r="AK383" i="3" s="1"/>
  <c r="AB383" i="3"/>
  <c r="AJ383" i="3" s="1"/>
  <c r="R383" i="3"/>
  <c r="P383" i="3"/>
  <c r="N383" i="3"/>
  <c r="AE383" i="3" s="1"/>
  <c r="G383" i="3"/>
  <c r="F383" i="3"/>
  <c r="AO382" i="3"/>
  <c r="AN382" i="3"/>
  <c r="AM382" i="3"/>
  <c r="AL382" i="3"/>
  <c r="AI382" i="3"/>
  <c r="AH382" i="3"/>
  <c r="AG382" i="3"/>
  <c r="AF382" i="3"/>
  <c r="AD382" i="3"/>
  <c r="AC382" i="3"/>
  <c r="AK382" i="3" s="1"/>
  <c r="AB382" i="3"/>
  <c r="AJ382" i="3" s="1"/>
  <c r="R382" i="3"/>
  <c r="P382" i="3"/>
  <c r="N382" i="3"/>
  <c r="AE382" i="3" s="1"/>
  <c r="G382" i="3"/>
  <c r="F382" i="3"/>
  <c r="AO381" i="3"/>
  <c r="AN381" i="3"/>
  <c r="AM381" i="3"/>
  <c r="AL381" i="3"/>
  <c r="AI381" i="3"/>
  <c r="AH381" i="3"/>
  <c r="AG381" i="3"/>
  <c r="AF381" i="3"/>
  <c r="AD381" i="3"/>
  <c r="AC381" i="3"/>
  <c r="AK381" i="3" s="1"/>
  <c r="AB381" i="3"/>
  <c r="AJ381" i="3" s="1"/>
  <c r="R381" i="3"/>
  <c r="P381" i="3"/>
  <c r="N381" i="3"/>
  <c r="AE381" i="3" s="1"/>
  <c r="G381" i="3"/>
  <c r="F381" i="3"/>
  <c r="AO380" i="3"/>
  <c r="AN380" i="3"/>
  <c r="AM380" i="3"/>
  <c r="AL380" i="3"/>
  <c r="AI380" i="3"/>
  <c r="AH380" i="3"/>
  <c r="AG380" i="3"/>
  <c r="AF380" i="3"/>
  <c r="AD380" i="3"/>
  <c r="AC380" i="3"/>
  <c r="AK380" i="3" s="1"/>
  <c r="AB380" i="3"/>
  <c r="AJ380" i="3" s="1"/>
  <c r="R380" i="3"/>
  <c r="P380" i="3"/>
  <c r="N380" i="3"/>
  <c r="AE380" i="3" s="1"/>
  <c r="G380" i="3"/>
  <c r="F380" i="3"/>
  <c r="AO379" i="3"/>
  <c r="AN379" i="3"/>
  <c r="AM379" i="3"/>
  <c r="AL379" i="3"/>
  <c r="AI379" i="3"/>
  <c r="AH379" i="3"/>
  <c r="AG379" i="3"/>
  <c r="AF379" i="3"/>
  <c r="AD379" i="3"/>
  <c r="AC379" i="3"/>
  <c r="AK379" i="3" s="1"/>
  <c r="AB379" i="3"/>
  <c r="AJ379" i="3" s="1"/>
  <c r="R379" i="3"/>
  <c r="P379" i="3"/>
  <c r="N379" i="3"/>
  <c r="AE379" i="3" s="1"/>
  <c r="G379" i="3"/>
  <c r="F379" i="3"/>
  <c r="AO378" i="3"/>
  <c r="AN378" i="3"/>
  <c r="AM378" i="3"/>
  <c r="AL378" i="3"/>
  <c r="AI378" i="3"/>
  <c r="AH378" i="3"/>
  <c r="AG378" i="3"/>
  <c r="AF378" i="3"/>
  <c r="AD378" i="3"/>
  <c r="AC378" i="3"/>
  <c r="AK378" i="3" s="1"/>
  <c r="AB378" i="3"/>
  <c r="AJ378" i="3" s="1"/>
  <c r="R378" i="3"/>
  <c r="P378" i="3"/>
  <c r="N378" i="3"/>
  <c r="AE378" i="3" s="1"/>
  <c r="G378" i="3"/>
  <c r="F378" i="3"/>
  <c r="AO377" i="3"/>
  <c r="AN377" i="3"/>
  <c r="AM377" i="3"/>
  <c r="AL377" i="3"/>
  <c r="AI377" i="3"/>
  <c r="AH377" i="3"/>
  <c r="AG377" i="3"/>
  <c r="AF377" i="3"/>
  <c r="AD377" i="3"/>
  <c r="AC377" i="3"/>
  <c r="AK377" i="3" s="1"/>
  <c r="AB377" i="3"/>
  <c r="AJ377" i="3" s="1"/>
  <c r="R377" i="3"/>
  <c r="P377" i="3"/>
  <c r="N377" i="3"/>
  <c r="AE377" i="3" s="1"/>
  <c r="G377" i="3"/>
  <c r="F377" i="3"/>
  <c r="AO376" i="3"/>
  <c r="AN376" i="3"/>
  <c r="AM376" i="3"/>
  <c r="AL376" i="3"/>
  <c r="AI376" i="3"/>
  <c r="AH376" i="3"/>
  <c r="AG376" i="3"/>
  <c r="AF376" i="3"/>
  <c r="AD376" i="3"/>
  <c r="AC376" i="3"/>
  <c r="AK376" i="3" s="1"/>
  <c r="AB376" i="3"/>
  <c r="AJ376" i="3" s="1"/>
  <c r="R376" i="3"/>
  <c r="P376" i="3"/>
  <c r="N376" i="3"/>
  <c r="AE376" i="3" s="1"/>
  <c r="G376" i="3"/>
  <c r="F376" i="3"/>
  <c r="AO375" i="3"/>
  <c r="AN375" i="3"/>
  <c r="AM375" i="3"/>
  <c r="AL375" i="3"/>
  <c r="AI375" i="3"/>
  <c r="AH375" i="3"/>
  <c r="AG375" i="3"/>
  <c r="AF375" i="3"/>
  <c r="AD375" i="3"/>
  <c r="AC375" i="3"/>
  <c r="AK375" i="3" s="1"/>
  <c r="AB375" i="3"/>
  <c r="AJ375" i="3" s="1"/>
  <c r="R375" i="3"/>
  <c r="P375" i="3"/>
  <c r="N375" i="3"/>
  <c r="AE375" i="3" s="1"/>
  <c r="G375" i="3"/>
  <c r="F375" i="3"/>
  <c r="AO374" i="3"/>
  <c r="AN374" i="3"/>
  <c r="AM374" i="3"/>
  <c r="AL374" i="3"/>
  <c r="AI374" i="3"/>
  <c r="AH374" i="3"/>
  <c r="AG374" i="3"/>
  <c r="AF374" i="3"/>
  <c r="AD374" i="3"/>
  <c r="AC374" i="3"/>
  <c r="AK374" i="3" s="1"/>
  <c r="AB374" i="3"/>
  <c r="AJ374" i="3" s="1"/>
  <c r="R374" i="3"/>
  <c r="P374" i="3"/>
  <c r="N374" i="3"/>
  <c r="AE374" i="3" s="1"/>
  <c r="G374" i="3"/>
  <c r="F374" i="3"/>
  <c r="AO373" i="3"/>
  <c r="AN373" i="3"/>
  <c r="AM373" i="3"/>
  <c r="AL373" i="3"/>
  <c r="AI373" i="3"/>
  <c r="AH373" i="3"/>
  <c r="AG373" i="3"/>
  <c r="AF373" i="3"/>
  <c r="AD373" i="3"/>
  <c r="AC373" i="3"/>
  <c r="AK373" i="3" s="1"/>
  <c r="AB373" i="3"/>
  <c r="AJ373" i="3" s="1"/>
  <c r="R373" i="3"/>
  <c r="P373" i="3"/>
  <c r="N373" i="3"/>
  <c r="AE373" i="3" s="1"/>
  <c r="G373" i="3"/>
  <c r="F373" i="3"/>
  <c r="AO372" i="3"/>
  <c r="AN372" i="3"/>
  <c r="AM372" i="3"/>
  <c r="AL372" i="3"/>
  <c r="AI372" i="3"/>
  <c r="AH372" i="3"/>
  <c r="AG372" i="3"/>
  <c r="AF372" i="3"/>
  <c r="AD372" i="3"/>
  <c r="AC372" i="3"/>
  <c r="AK372" i="3" s="1"/>
  <c r="AB372" i="3"/>
  <c r="AJ372" i="3" s="1"/>
  <c r="R372" i="3"/>
  <c r="P372" i="3"/>
  <c r="N372" i="3"/>
  <c r="AE372" i="3" s="1"/>
  <c r="G372" i="3"/>
  <c r="F372" i="3"/>
  <c r="AO371" i="3"/>
  <c r="AN371" i="3"/>
  <c r="AM371" i="3"/>
  <c r="AL371" i="3"/>
  <c r="AI371" i="3"/>
  <c r="AH371" i="3"/>
  <c r="AG371" i="3"/>
  <c r="AF371" i="3"/>
  <c r="AD371" i="3"/>
  <c r="AC371" i="3"/>
  <c r="AK371" i="3" s="1"/>
  <c r="AB371" i="3"/>
  <c r="AJ371" i="3" s="1"/>
  <c r="R371" i="3"/>
  <c r="P371" i="3"/>
  <c r="N371" i="3"/>
  <c r="AE371" i="3" s="1"/>
  <c r="G371" i="3"/>
  <c r="F371" i="3"/>
  <c r="AO370" i="3"/>
  <c r="AN370" i="3"/>
  <c r="AM370" i="3"/>
  <c r="AL370" i="3"/>
  <c r="AI370" i="3"/>
  <c r="AH370" i="3"/>
  <c r="AG370" i="3"/>
  <c r="AF370" i="3"/>
  <c r="AD370" i="3"/>
  <c r="AC370" i="3"/>
  <c r="AK370" i="3" s="1"/>
  <c r="AB370" i="3"/>
  <c r="AJ370" i="3" s="1"/>
  <c r="R370" i="3"/>
  <c r="P370" i="3"/>
  <c r="N370" i="3"/>
  <c r="AE370" i="3" s="1"/>
  <c r="G370" i="3"/>
  <c r="F370" i="3"/>
  <c r="AO369" i="3"/>
  <c r="AN369" i="3"/>
  <c r="AM369" i="3"/>
  <c r="AL369" i="3"/>
  <c r="AI369" i="3"/>
  <c r="AH369" i="3"/>
  <c r="AG369" i="3"/>
  <c r="AF369" i="3"/>
  <c r="AD369" i="3"/>
  <c r="AC369" i="3"/>
  <c r="AK369" i="3" s="1"/>
  <c r="AB369" i="3"/>
  <c r="AJ369" i="3" s="1"/>
  <c r="R369" i="3"/>
  <c r="P369" i="3"/>
  <c r="N369" i="3"/>
  <c r="AE369" i="3" s="1"/>
  <c r="G369" i="3"/>
  <c r="F369" i="3"/>
  <c r="AO368" i="3"/>
  <c r="AN368" i="3"/>
  <c r="AM368" i="3"/>
  <c r="AL368" i="3"/>
  <c r="AI368" i="3"/>
  <c r="AH368" i="3"/>
  <c r="AG368" i="3"/>
  <c r="AF368" i="3"/>
  <c r="AD368" i="3"/>
  <c r="AC368" i="3"/>
  <c r="AK368" i="3" s="1"/>
  <c r="AB368" i="3"/>
  <c r="AJ368" i="3" s="1"/>
  <c r="R368" i="3"/>
  <c r="P368" i="3"/>
  <c r="N368" i="3"/>
  <c r="AE368" i="3" s="1"/>
  <c r="G368" i="3"/>
  <c r="F368" i="3"/>
  <c r="AO367" i="3"/>
  <c r="AN367" i="3"/>
  <c r="AM367" i="3"/>
  <c r="AL367" i="3"/>
  <c r="AI367" i="3"/>
  <c r="AH367" i="3"/>
  <c r="AG367" i="3"/>
  <c r="AF367" i="3"/>
  <c r="AD367" i="3"/>
  <c r="AC367" i="3"/>
  <c r="AK367" i="3" s="1"/>
  <c r="AB367" i="3"/>
  <c r="AJ367" i="3" s="1"/>
  <c r="R367" i="3"/>
  <c r="P367" i="3"/>
  <c r="N367" i="3"/>
  <c r="AE367" i="3" s="1"/>
  <c r="G367" i="3"/>
  <c r="F367" i="3"/>
  <c r="AO366" i="3"/>
  <c r="AN366" i="3"/>
  <c r="AM366" i="3"/>
  <c r="AL366" i="3"/>
  <c r="AI366" i="3"/>
  <c r="AH366" i="3"/>
  <c r="AG366" i="3"/>
  <c r="AF366" i="3"/>
  <c r="AD366" i="3"/>
  <c r="AC366" i="3"/>
  <c r="AK366" i="3" s="1"/>
  <c r="AB366" i="3"/>
  <c r="AJ366" i="3" s="1"/>
  <c r="R366" i="3"/>
  <c r="P366" i="3"/>
  <c r="N366" i="3"/>
  <c r="AE366" i="3" s="1"/>
  <c r="G366" i="3"/>
  <c r="F366" i="3"/>
  <c r="AO365" i="3"/>
  <c r="AN365" i="3"/>
  <c r="AM365" i="3"/>
  <c r="AL365" i="3"/>
  <c r="AI365" i="3"/>
  <c r="AH365" i="3"/>
  <c r="AG365" i="3"/>
  <c r="AF365" i="3"/>
  <c r="AD365" i="3"/>
  <c r="AC365" i="3"/>
  <c r="AK365" i="3" s="1"/>
  <c r="AB365" i="3"/>
  <c r="AJ365" i="3" s="1"/>
  <c r="R365" i="3"/>
  <c r="P365" i="3"/>
  <c r="N365" i="3"/>
  <c r="AE365" i="3" s="1"/>
  <c r="G365" i="3"/>
  <c r="F365" i="3"/>
  <c r="AO364" i="3"/>
  <c r="AN364" i="3"/>
  <c r="AM364" i="3"/>
  <c r="AL364" i="3"/>
  <c r="AI364" i="3"/>
  <c r="AH364" i="3"/>
  <c r="AG364" i="3"/>
  <c r="AF364" i="3"/>
  <c r="AD364" i="3"/>
  <c r="AC364" i="3"/>
  <c r="AK364" i="3" s="1"/>
  <c r="AB364" i="3"/>
  <c r="AJ364" i="3" s="1"/>
  <c r="R364" i="3"/>
  <c r="P364" i="3"/>
  <c r="N364" i="3"/>
  <c r="AE364" i="3" s="1"/>
  <c r="G364" i="3"/>
  <c r="F364" i="3"/>
  <c r="AO363" i="3"/>
  <c r="AN363" i="3"/>
  <c r="AM363" i="3"/>
  <c r="AL363" i="3"/>
  <c r="AI363" i="3"/>
  <c r="AH363" i="3"/>
  <c r="AG363" i="3"/>
  <c r="AF363" i="3"/>
  <c r="AD363" i="3"/>
  <c r="AC363" i="3"/>
  <c r="AK363" i="3" s="1"/>
  <c r="AB363" i="3"/>
  <c r="AJ363" i="3" s="1"/>
  <c r="R363" i="3"/>
  <c r="P363" i="3"/>
  <c r="N363" i="3"/>
  <c r="AE363" i="3" s="1"/>
  <c r="G363" i="3"/>
  <c r="F363" i="3"/>
  <c r="AO362" i="3"/>
  <c r="AN362" i="3"/>
  <c r="AM362" i="3"/>
  <c r="AL362" i="3"/>
  <c r="AI362" i="3"/>
  <c r="AH362" i="3"/>
  <c r="AG362" i="3"/>
  <c r="AF362" i="3"/>
  <c r="AD362" i="3"/>
  <c r="AC362" i="3"/>
  <c r="AK362" i="3" s="1"/>
  <c r="AB362" i="3"/>
  <c r="AJ362" i="3" s="1"/>
  <c r="R362" i="3"/>
  <c r="P362" i="3"/>
  <c r="N362" i="3"/>
  <c r="AE362" i="3" s="1"/>
  <c r="G362" i="3"/>
  <c r="F362" i="3"/>
  <c r="AO361" i="3"/>
  <c r="AN361" i="3"/>
  <c r="AM361" i="3"/>
  <c r="AL361" i="3"/>
  <c r="AI361" i="3"/>
  <c r="AH361" i="3"/>
  <c r="AG361" i="3"/>
  <c r="AF361" i="3"/>
  <c r="AD361" i="3"/>
  <c r="AC361" i="3"/>
  <c r="AK361" i="3" s="1"/>
  <c r="AB361" i="3"/>
  <c r="AJ361" i="3" s="1"/>
  <c r="R361" i="3"/>
  <c r="P361" i="3"/>
  <c r="N361" i="3"/>
  <c r="AE361" i="3" s="1"/>
  <c r="G361" i="3"/>
  <c r="F361" i="3"/>
  <c r="AO360" i="3"/>
  <c r="AN360" i="3"/>
  <c r="AM360" i="3"/>
  <c r="AL360" i="3"/>
  <c r="AI360" i="3"/>
  <c r="AH360" i="3"/>
  <c r="AG360" i="3"/>
  <c r="AF360" i="3"/>
  <c r="AD360" i="3"/>
  <c r="AC360" i="3"/>
  <c r="AK360" i="3" s="1"/>
  <c r="AB360" i="3"/>
  <c r="AJ360" i="3" s="1"/>
  <c r="R360" i="3"/>
  <c r="P360" i="3"/>
  <c r="N360" i="3"/>
  <c r="AE360" i="3" s="1"/>
  <c r="G360" i="3"/>
  <c r="F360" i="3"/>
  <c r="AO359" i="3"/>
  <c r="AN359" i="3"/>
  <c r="AM359" i="3"/>
  <c r="AL359" i="3"/>
  <c r="AI359" i="3"/>
  <c r="AH359" i="3"/>
  <c r="AG359" i="3"/>
  <c r="AF359" i="3"/>
  <c r="AD359" i="3"/>
  <c r="AC359" i="3"/>
  <c r="AK359" i="3" s="1"/>
  <c r="AB359" i="3"/>
  <c r="AJ359" i="3" s="1"/>
  <c r="R359" i="3"/>
  <c r="P359" i="3"/>
  <c r="N359" i="3"/>
  <c r="AE359" i="3" s="1"/>
  <c r="G359" i="3"/>
  <c r="F359" i="3"/>
  <c r="AO358" i="3"/>
  <c r="AN358" i="3"/>
  <c r="AM358" i="3"/>
  <c r="AL358" i="3"/>
  <c r="AI358" i="3"/>
  <c r="AH358" i="3"/>
  <c r="AG358" i="3"/>
  <c r="AF358" i="3"/>
  <c r="AD358" i="3"/>
  <c r="AC358" i="3"/>
  <c r="AK358" i="3" s="1"/>
  <c r="AB358" i="3"/>
  <c r="AJ358" i="3" s="1"/>
  <c r="R358" i="3"/>
  <c r="P358" i="3"/>
  <c r="N358" i="3"/>
  <c r="AE358" i="3" s="1"/>
  <c r="G358" i="3"/>
  <c r="F358" i="3"/>
  <c r="AO357" i="3"/>
  <c r="AN357" i="3"/>
  <c r="AM357" i="3"/>
  <c r="AL357" i="3"/>
  <c r="AI357" i="3"/>
  <c r="AH357" i="3"/>
  <c r="AG357" i="3"/>
  <c r="AF357" i="3"/>
  <c r="AD357" i="3"/>
  <c r="AC357" i="3"/>
  <c r="AK357" i="3" s="1"/>
  <c r="AB357" i="3"/>
  <c r="AJ357" i="3" s="1"/>
  <c r="R357" i="3"/>
  <c r="P357" i="3"/>
  <c r="N357" i="3"/>
  <c r="AE357" i="3" s="1"/>
  <c r="G357" i="3"/>
  <c r="F357" i="3"/>
  <c r="AO356" i="3"/>
  <c r="AN356" i="3"/>
  <c r="AM356" i="3"/>
  <c r="AL356" i="3"/>
  <c r="AI356" i="3"/>
  <c r="AH356" i="3"/>
  <c r="AG356" i="3"/>
  <c r="AF356" i="3"/>
  <c r="AD356" i="3"/>
  <c r="AC356" i="3"/>
  <c r="AK356" i="3" s="1"/>
  <c r="AB356" i="3"/>
  <c r="AJ356" i="3" s="1"/>
  <c r="R356" i="3"/>
  <c r="P356" i="3"/>
  <c r="N356" i="3"/>
  <c r="AE356" i="3" s="1"/>
  <c r="G356" i="3"/>
  <c r="F356" i="3"/>
  <c r="AO355" i="3"/>
  <c r="AN355" i="3"/>
  <c r="AM355" i="3"/>
  <c r="AL355" i="3"/>
  <c r="AI355" i="3"/>
  <c r="AH355" i="3"/>
  <c r="AG355" i="3"/>
  <c r="AF355" i="3"/>
  <c r="AD355" i="3"/>
  <c r="AC355" i="3"/>
  <c r="AK355" i="3" s="1"/>
  <c r="AB355" i="3"/>
  <c r="AJ355" i="3" s="1"/>
  <c r="R355" i="3"/>
  <c r="P355" i="3"/>
  <c r="N355" i="3"/>
  <c r="AE355" i="3" s="1"/>
  <c r="G355" i="3"/>
  <c r="F355" i="3"/>
  <c r="AO354" i="3"/>
  <c r="AN354" i="3"/>
  <c r="AM354" i="3"/>
  <c r="AL354" i="3"/>
  <c r="AI354" i="3"/>
  <c r="AH354" i="3"/>
  <c r="AG354" i="3"/>
  <c r="AF354" i="3"/>
  <c r="AD354" i="3"/>
  <c r="AC354" i="3"/>
  <c r="AK354" i="3" s="1"/>
  <c r="AB354" i="3"/>
  <c r="AJ354" i="3" s="1"/>
  <c r="R354" i="3"/>
  <c r="P354" i="3"/>
  <c r="N354" i="3"/>
  <c r="AE354" i="3" s="1"/>
  <c r="G354" i="3"/>
  <c r="F354" i="3"/>
  <c r="AO353" i="3"/>
  <c r="AN353" i="3"/>
  <c r="AM353" i="3"/>
  <c r="AL353" i="3"/>
  <c r="AI353" i="3"/>
  <c r="AH353" i="3"/>
  <c r="AG353" i="3"/>
  <c r="AF353" i="3"/>
  <c r="AD353" i="3"/>
  <c r="AC353" i="3"/>
  <c r="AK353" i="3" s="1"/>
  <c r="AB353" i="3"/>
  <c r="AJ353" i="3" s="1"/>
  <c r="R353" i="3"/>
  <c r="P353" i="3"/>
  <c r="N353" i="3"/>
  <c r="AE353" i="3" s="1"/>
  <c r="G353" i="3"/>
  <c r="F353" i="3"/>
  <c r="AO352" i="3"/>
  <c r="AN352" i="3"/>
  <c r="AM352" i="3"/>
  <c r="AL352" i="3"/>
  <c r="AI352" i="3"/>
  <c r="AH352" i="3"/>
  <c r="AG352" i="3"/>
  <c r="AF352" i="3"/>
  <c r="AD352" i="3"/>
  <c r="AC352" i="3"/>
  <c r="AK352" i="3" s="1"/>
  <c r="AB352" i="3"/>
  <c r="AJ352" i="3" s="1"/>
  <c r="R352" i="3"/>
  <c r="P352" i="3"/>
  <c r="N352" i="3"/>
  <c r="AE352" i="3" s="1"/>
  <c r="G352" i="3"/>
  <c r="F352" i="3"/>
  <c r="AO351" i="3"/>
  <c r="AN351" i="3"/>
  <c r="AM351" i="3"/>
  <c r="AL351" i="3"/>
  <c r="AI351" i="3"/>
  <c r="AH351" i="3"/>
  <c r="AG351" i="3"/>
  <c r="AF351" i="3"/>
  <c r="AD351" i="3"/>
  <c r="AC351" i="3"/>
  <c r="AK351" i="3" s="1"/>
  <c r="AB351" i="3"/>
  <c r="AJ351" i="3" s="1"/>
  <c r="R351" i="3"/>
  <c r="P351" i="3"/>
  <c r="N351" i="3"/>
  <c r="AE351" i="3" s="1"/>
  <c r="G351" i="3"/>
  <c r="F351" i="3"/>
  <c r="AO350" i="3"/>
  <c r="AN350" i="3"/>
  <c r="AM350" i="3"/>
  <c r="AL350" i="3"/>
  <c r="AI350" i="3"/>
  <c r="AH350" i="3"/>
  <c r="AG350" i="3"/>
  <c r="AF350" i="3"/>
  <c r="AD350" i="3"/>
  <c r="AC350" i="3"/>
  <c r="AK350" i="3" s="1"/>
  <c r="AB350" i="3"/>
  <c r="AJ350" i="3" s="1"/>
  <c r="R350" i="3"/>
  <c r="P350" i="3"/>
  <c r="N350" i="3"/>
  <c r="AE350" i="3" s="1"/>
  <c r="G350" i="3"/>
  <c r="F350" i="3"/>
  <c r="AO349" i="3"/>
  <c r="AN349" i="3"/>
  <c r="AM349" i="3"/>
  <c r="AL349" i="3"/>
  <c r="AI349" i="3"/>
  <c r="AH349" i="3"/>
  <c r="AG349" i="3"/>
  <c r="AF349" i="3"/>
  <c r="AD349" i="3"/>
  <c r="AC349" i="3"/>
  <c r="AK349" i="3" s="1"/>
  <c r="AB349" i="3"/>
  <c r="AJ349" i="3" s="1"/>
  <c r="R349" i="3"/>
  <c r="P349" i="3"/>
  <c r="N349" i="3"/>
  <c r="AE349" i="3" s="1"/>
  <c r="G349" i="3"/>
  <c r="F349" i="3"/>
  <c r="AO348" i="3"/>
  <c r="AN348" i="3"/>
  <c r="AM348" i="3"/>
  <c r="AL348" i="3"/>
  <c r="AI348" i="3"/>
  <c r="AH348" i="3"/>
  <c r="AG348" i="3"/>
  <c r="AF348" i="3"/>
  <c r="AD348" i="3"/>
  <c r="AC348" i="3"/>
  <c r="AK348" i="3" s="1"/>
  <c r="AB348" i="3"/>
  <c r="AJ348" i="3" s="1"/>
  <c r="R348" i="3"/>
  <c r="P348" i="3"/>
  <c r="N348" i="3"/>
  <c r="AE348" i="3" s="1"/>
  <c r="G348" i="3"/>
  <c r="F348" i="3"/>
  <c r="AO347" i="3"/>
  <c r="AN347" i="3"/>
  <c r="AM347" i="3"/>
  <c r="AL347" i="3"/>
  <c r="AI347" i="3"/>
  <c r="AH347" i="3"/>
  <c r="AG347" i="3"/>
  <c r="AF347" i="3"/>
  <c r="AD347" i="3"/>
  <c r="AC347" i="3"/>
  <c r="AK347" i="3" s="1"/>
  <c r="AB347" i="3"/>
  <c r="AJ347" i="3" s="1"/>
  <c r="R347" i="3"/>
  <c r="P347" i="3"/>
  <c r="N347" i="3"/>
  <c r="AE347" i="3" s="1"/>
  <c r="G347" i="3"/>
  <c r="F347" i="3"/>
  <c r="AO346" i="3"/>
  <c r="AN346" i="3"/>
  <c r="AM346" i="3"/>
  <c r="AL346" i="3"/>
  <c r="AI346" i="3"/>
  <c r="AH346" i="3"/>
  <c r="AG346" i="3"/>
  <c r="AF346" i="3"/>
  <c r="AD346" i="3"/>
  <c r="AC346" i="3"/>
  <c r="AK346" i="3" s="1"/>
  <c r="AB346" i="3"/>
  <c r="AJ346" i="3" s="1"/>
  <c r="R346" i="3"/>
  <c r="P346" i="3"/>
  <c r="N346" i="3"/>
  <c r="AE346" i="3" s="1"/>
  <c r="G346" i="3"/>
  <c r="F346" i="3"/>
  <c r="AO345" i="3"/>
  <c r="AN345" i="3"/>
  <c r="AM345" i="3"/>
  <c r="AL345" i="3"/>
  <c r="AI345" i="3"/>
  <c r="AH345" i="3"/>
  <c r="AG345" i="3"/>
  <c r="AF345" i="3"/>
  <c r="AD345" i="3"/>
  <c r="AC345" i="3"/>
  <c r="AK345" i="3" s="1"/>
  <c r="AB345" i="3"/>
  <c r="AJ345" i="3" s="1"/>
  <c r="R345" i="3"/>
  <c r="P345" i="3"/>
  <c r="N345" i="3"/>
  <c r="AE345" i="3" s="1"/>
  <c r="G345" i="3"/>
  <c r="F345" i="3"/>
  <c r="AO344" i="3"/>
  <c r="AN344" i="3"/>
  <c r="AM344" i="3"/>
  <c r="AL344" i="3"/>
  <c r="AI344" i="3"/>
  <c r="AH344" i="3"/>
  <c r="AG344" i="3"/>
  <c r="AF344" i="3"/>
  <c r="AD344" i="3"/>
  <c r="AC344" i="3"/>
  <c r="AK344" i="3" s="1"/>
  <c r="AB344" i="3"/>
  <c r="AJ344" i="3" s="1"/>
  <c r="R344" i="3"/>
  <c r="P344" i="3"/>
  <c r="N344" i="3"/>
  <c r="AE344" i="3" s="1"/>
  <c r="G344" i="3"/>
  <c r="F344" i="3"/>
  <c r="AO343" i="3"/>
  <c r="AN343" i="3"/>
  <c r="AM343" i="3"/>
  <c r="AL343" i="3"/>
  <c r="AI343" i="3"/>
  <c r="AH343" i="3"/>
  <c r="AG343" i="3"/>
  <c r="AF343" i="3"/>
  <c r="AD343" i="3"/>
  <c r="AC343" i="3"/>
  <c r="AK343" i="3" s="1"/>
  <c r="AB343" i="3"/>
  <c r="AJ343" i="3" s="1"/>
  <c r="R343" i="3"/>
  <c r="P343" i="3"/>
  <c r="N343" i="3"/>
  <c r="AE343" i="3" s="1"/>
  <c r="G343" i="3"/>
  <c r="F343" i="3"/>
  <c r="AO342" i="3"/>
  <c r="AN342" i="3"/>
  <c r="AM342" i="3"/>
  <c r="AL342" i="3"/>
  <c r="AI342" i="3"/>
  <c r="AH342" i="3"/>
  <c r="AG342" i="3"/>
  <c r="AF342" i="3"/>
  <c r="AD342" i="3"/>
  <c r="AC342" i="3"/>
  <c r="AK342" i="3" s="1"/>
  <c r="AB342" i="3"/>
  <c r="AJ342" i="3" s="1"/>
  <c r="R342" i="3"/>
  <c r="P342" i="3"/>
  <c r="N342" i="3"/>
  <c r="AE342" i="3" s="1"/>
  <c r="G342" i="3"/>
  <c r="F342" i="3"/>
  <c r="AO341" i="3"/>
  <c r="AN341" i="3"/>
  <c r="AM341" i="3"/>
  <c r="AL341" i="3"/>
  <c r="AI341" i="3"/>
  <c r="AH341" i="3"/>
  <c r="AG341" i="3"/>
  <c r="AF341" i="3"/>
  <c r="AD341" i="3"/>
  <c r="AC341" i="3"/>
  <c r="AK341" i="3" s="1"/>
  <c r="AB341" i="3"/>
  <c r="AJ341" i="3" s="1"/>
  <c r="R341" i="3"/>
  <c r="P341" i="3"/>
  <c r="N341" i="3"/>
  <c r="AE341" i="3" s="1"/>
  <c r="G341" i="3"/>
  <c r="F341" i="3"/>
  <c r="AO340" i="3"/>
  <c r="AN340" i="3"/>
  <c r="AM340" i="3"/>
  <c r="AL340" i="3"/>
  <c r="AI340" i="3"/>
  <c r="AH340" i="3"/>
  <c r="AG340" i="3"/>
  <c r="AF340" i="3"/>
  <c r="AD340" i="3"/>
  <c r="AC340" i="3"/>
  <c r="AK340" i="3" s="1"/>
  <c r="AB340" i="3"/>
  <c r="AJ340" i="3" s="1"/>
  <c r="R340" i="3"/>
  <c r="P340" i="3"/>
  <c r="N340" i="3"/>
  <c r="AE340" i="3" s="1"/>
  <c r="G340" i="3"/>
  <c r="F340" i="3"/>
  <c r="AO339" i="3"/>
  <c r="AN339" i="3"/>
  <c r="AM339" i="3"/>
  <c r="AL339" i="3"/>
  <c r="AI339" i="3"/>
  <c r="AH339" i="3"/>
  <c r="AG339" i="3"/>
  <c r="AF339" i="3"/>
  <c r="AD339" i="3"/>
  <c r="AC339" i="3"/>
  <c r="AK339" i="3" s="1"/>
  <c r="AB339" i="3"/>
  <c r="AJ339" i="3" s="1"/>
  <c r="R339" i="3"/>
  <c r="P339" i="3"/>
  <c r="N339" i="3"/>
  <c r="AE339" i="3" s="1"/>
  <c r="G339" i="3"/>
  <c r="F339" i="3"/>
  <c r="AO338" i="3"/>
  <c r="AN338" i="3"/>
  <c r="AM338" i="3"/>
  <c r="AL338" i="3"/>
  <c r="AI338" i="3"/>
  <c r="AH338" i="3"/>
  <c r="AG338" i="3"/>
  <c r="AF338" i="3"/>
  <c r="AD338" i="3"/>
  <c r="AC338" i="3"/>
  <c r="AK338" i="3" s="1"/>
  <c r="AB338" i="3"/>
  <c r="AJ338" i="3" s="1"/>
  <c r="R338" i="3"/>
  <c r="P338" i="3"/>
  <c r="N338" i="3"/>
  <c r="AE338" i="3" s="1"/>
  <c r="G338" i="3"/>
  <c r="F338" i="3"/>
  <c r="AO337" i="3"/>
  <c r="AN337" i="3"/>
  <c r="AM337" i="3"/>
  <c r="AL337" i="3"/>
  <c r="AI337" i="3"/>
  <c r="AH337" i="3"/>
  <c r="AG337" i="3"/>
  <c r="AF337" i="3"/>
  <c r="AD337" i="3"/>
  <c r="AC337" i="3"/>
  <c r="AK337" i="3" s="1"/>
  <c r="AB337" i="3"/>
  <c r="AJ337" i="3" s="1"/>
  <c r="R337" i="3"/>
  <c r="P337" i="3"/>
  <c r="N337" i="3"/>
  <c r="AE337" i="3" s="1"/>
  <c r="G337" i="3"/>
  <c r="F337" i="3"/>
  <c r="AO336" i="3"/>
  <c r="AN336" i="3"/>
  <c r="AM336" i="3"/>
  <c r="AL336" i="3"/>
  <c r="AI336" i="3"/>
  <c r="AH336" i="3"/>
  <c r="AG336" i="3"/>
  <c r="AF336" i="3"/>
  <c r="AD336" i="3"/>
  <c r="AC336" i="3"/>
  <c r="AK336" i="3" s="1"/>
  <c r="AB336" i="3"/>
  <c r="AJ336" i="3" s="1"/>
  <c r="R336" i="3"/>
  <c r="P336" i="3"/>
  <c r="N336" i="3"/>
  <c r="AE336" i="3" s="1"/>
  <c r="G336" i="3"/>
  <c r="F336" i="3"/>
  <c r="AO335" i="3"/>
  <c r="AN335" i="3"/>
  <c r="AM335" i="3"/>
  <c r="AL335" i="3"/>
  <c r="AI335" i="3"/>
  <c r="AH335" i="3"/>
  <c r="AG335" i="3"/>
  <c r="AF335" i="3"/>
  <c r="AD335" i="3"/>
  <c r="AC335" i="3"/>
  <c r="AK335" i="3" s="1"/>
  <c r="AB335" i="3"/>
  <c r="AJ335" i="3" s="1"/>
  <c r="R335" i="3"/>
  <c r="P335" i="3"/>
  <c r="N335" i="3"/>
  <c r="AE335" i="3" s="1"/>
  <c r="G335" i="3"/>
  <c r="F335" i="3"/>
  <c r="AO334" i="3"/>
  <c r="AN334" i="3"/>
  <c r="AM334" i="3"/>
  <c r="AL334" i="3"/>
  <c r="AI334" i="3"/>
  <c r="AH334" i="3"/>
  <c r="AG334" i="3"/>
  <c r="AF334" i="3"/>
  <c r="AD334" i="3"/>
  <c r="AC334" i="3"/>
  <c r="AK334" i="3" s="1"/>
  <c r="AB334" i="3"/>
  <c r="AJ334" i="3" s="1"/>
  <c r="R334" i="3"/>
  <c r="P334" i="3"/>
  <c r="N334" i="3"/>
  <c r="AE334" i="3" s="1"/>
  <c r="G334" i="3"/>
  <c r="F334" i="3"/>
  <c r="AO333" i="3"/>
  <c r="AN333" i="3"/>
  <c r="AM333" i="3"/>
  <c r="AL333" i="3"/>
  <c r="AI333" i="3"/>
  <c r="AH333" i="3"/>
  <c r="AG333" i="3"/>
  <c r="AF333" i="3"/>
  <c r="AD333" i="3"/>
  <c r="AC333" i="3"/>
  <c r="AK333" i="3" s="1"/>
  <c r="AB333" i="3"/>
  <c r="AJ333" i="3" s="1"/>
  <c r="R333" i="3"/>
  <c r="P333" i="3"/>
  <c r="N333" i="3"/>
  <c r="AE333" i="3" s="1"/>
  <c r="G333" i="3"/>
  <c r="F333" i="3"/>
  <c r="AO332" i="3"/>
  <c r="AN332" i="3"/>
  <c r="AM332" i="3"/>
  <c r="AL332" i="3"/>
  <c r="AI332" i="3"/>
  <c r="AH332" i="3"/>
  <c r="AG332" i="3"/>
  <c r="AF332" i="3"/>
  <c r="AD332" i="3"/>
  <c r="AC332" i="3"/>
  <c r="AK332" i="3" s="1"/>
  <c r="AB332" i="3"/>
  <c r="AJ332" i="3" s="1"/>
  <c r="R332" i="3"/>
  <c r="P332" i="3"/>
  <c r="N332" i="3"/>
  <c r="AE332" i="3" s="1"/>
  <c r="G332" i="3"/>
  <c r="F332" i="3"/>
  <c r="AO331" i="3"/>
  <c r="AN331" i="3"/>
  <c r="AM331" i="3"/>
  <c r="AL331" i="3"/>
  <c r="AI331" i="3"/>
  <c r="AH331" i="3"/>
  <c r="AG331" i="3"/>
  <c r="AF331" i="3"/>
  <c r="AD331" i="3"/>
  <c r="AC331" i="3"/>
  <c r="AK331" i="3" s="1"/>
  <c r="AB331" i="3"/>
  <c r="AJ331" i="3" s="1"/>
  <c r="R331" i="3"/>
  <c r="P331" i="3"/>
  <c r="N331" i="3"/>
  <c r="AE331" i="3" s="1"/>
  <c r="G331" i="3"/>
  <c r="F331" i="3"/>
  <c r="AO330" i="3"/>
  <c r="AN330" i="3"/>
  <c r="AM330" i="3"/>
  <c r="AL330" i="3"/>
  <c r="AI330" i="3"/>
  <c r="AH330" i="3"/>
  <c r="AG330" i="3"/>
  <c r="AF330" i="3"/>
  <c r="AD330" i="3"/>
  <c r="AC330" i="3"/>
  <c r="AK330" i="3" s="1"/>
  <c r="AB330" i="3"/>
  <c r="AJ330" i="3" s="1"/>
  <c r="R330" i="3"/>
  <c r="P330" i="3"/>
  <c r="N330" i="3"/>
  <c r="AE330" i="3" s="1"/>
  <c r="G330" i="3"/>
  <c r="F330" i="3"/>
  <c r="AO329" i="3"/>
  <c r="AN329" i="3"/>
  <c r="AM329" i="3"/>
  <c r="AL329" i="3"/>
  <c r="AI329" i="3"/>
  <c r="AH329" i="3"/>
  <c r="AG329" i="3"/>
  <c r="AF329" i="3"/>
  <c r="AD329" i="3"/>
  <c r="AC329" i="3"/>
  <c r="AK329" i="3" s="1"/>
  <c r="AB329" i="3"/>
  <c r="AJ329" i="3" s="1"/>
  <c r="R329" i="3"/>
  <c r="P329" i="3"/>
  <c r="N329" i="3"/>
  <c r="AE329" i="3" s="1"/>
  <c r="G329" i="3"/>
  <c r="F329" i="3"/>
  <c r="AO328" i="3"/>
  <c r="AN328" i="3"/>
  <c r="AM328" i="3"/>
  <c r="AL328" i="3"/>
  <c r="AI328" i="3"/>
  <c r="AH328" i="3"/>
  <c r="AG328" i="3"/>
  <c r="AF328" i="3"/>
  <c r="AD328" i="3"/>
  <c r="AC328" i="3"/>
  <c r="AK328" i="3" s="1"/>
  <c r="AB328" i="3"/>
  <c r="AJ328" i="3" s="1"/>
  <c r="R328" i="3"/>
  <c r="P328" i="3"/>
  <c r="N328" i="3"/>
  <c r="AE328" i="3" s="1"/>
  <c r="G328" i="3"/>
  <c r="F328" i="3"/>
  <c r="AO327" i="3"/>
  <c r="AN327" i="3"/>
  <c r="AM327" i="3"/>
  <c r="AL327" i="3"/>
  <c r="AI327" i="3"/>
  <c r="AH327" i="3"/>
  <c r="AG327" i="3"/>
  <c r="AF327" i="3"/>
  <c r="AD327" i="3"/>
  <c r="AC327" i="3"/>
  <c r="AK327" i="3" s="1"/>
  <c r="AB327" i="3"/>
  <c r="AJ327" i="3" s="1"/>
  <c r="R327" i="3"/>
  <c r="P327" i="3"/>
  <c r="N327" i="3"/>
  <c r="AE327" i="3" s="1"/>
  <c r="G327" i="3"/>
  <c r="F327" i="3"/>
  <c r="AO326" i="3"/>
  <c r="AN326" i="3"/>
  <c r="AM326" i="3"/>
  <c r="AL326" i="3"/>
  <c r="AI326" i="3"/>
  <c r="AH326" i="3"/>
  <c r="AG326" i="3"/>
  <c r="AF326" i="3"/>
  <c r="AD326" i="3"/>
  <c r="AC326" i="3"/>
  <c r="AK326" i="3" s="1"/>
  <c r="AB326" i="3"/>
  <c r="AJ326" i="3" s="1"/>
  <c r="R326" i="3"/>
  <c r="P326" i="3"/>
  <c r="N326" i="3"/>
  <c r="AE326" i="3" s="1"/>
  <c r="G326" i="3"/>
  <c r="F326" i="3"/>
  <c r="AO325" i="3"/>
  <c r="AN325" i="3"/>
  <c r="AM325" i="3"/>
  <c r="AL325" i="3"/>
  <c r="AI325" i="3"/>
  <c r="AH325" i="3"/>
  <c r="AG325" i="3"/>
  <c r="AF325" i="3"/>
  <c r="AD325" i="3"/>
  <c r="AC325" i="3"/>
  <c r="AK325" i="3" s="1"/>
  <c r="AB325" i="3"/>
  <c r="AJ325" i="3" s="1"/>
  <c r="R325" i="3"/>
  <c r="P325" i="3"/>
  <c r="N325" i="3"/>
  <c r="AE325" i="3" s="1"/>
  <c r="G325" i="3"/>
  <c r="F325" i="3"/>
  <c r="AO324" i="3"/>
  <c r="AN324" i="3"/>
  <c r="AM324" i="3"/>
  <c r="AL324" i="3"/>
  <c r="AI324" i="3"/>
  <c r="AH324" i="3"/>
  <c r="AG324" i="3"/>
  <c r="AF324" i="3"/>
  <c r="AD324" i="3"/>
  <c r="AC324" i="3"/>
  <c r="AK324" i="3" s="1"/>
  <c r="AB324" i="3"/>
  <c r="AJ324" i="3" s="1"/>
  <c r="R324" i="3"/>
  <c r="P324" i="3"/>
  <c r="N324" i="3"/>
  <c r="AE324" i="3" s="1"/>
  <c r="G324" i="3"/>
  <c r="F324" i="3"/>
  <c r="AO323" i="3"/>
  <c r="AN323" i="3"/>
  <c r="AM323" i="3"/>
  <c r="AL323" i="3"/>
  <c r="AI323" i="3"/>
  <c r="AH323" i="3"/>
  <c r="AG323" i="3"/>
  <c r="AF323" i="3"/>
  <c r="AD323" i="3"/>
  <c r="AC323" i="3"/>
  <c r="AK323" i="3" s="1"/>
  <c r="AB323" i="3"/>
  <c r="AJ323" i="3" s="1"/>
  <c r="R323" i="3"/>
  <c r="P323" i="3"/>
  <c r="N323" i="3"/>
  <c r="AE323" i="3" s="1"/>
  <c r="G323" i="3"/>
  <c r="F323" i="3"/>
  <c r="AO322" i="3"/>
  <c r="AN322" i="3"/>
  <c r="AM322" i="3"/>
  <c r="AL322" i="3"/>
  <c r="AI322" i="3"/>
  <c r="AH322" i="3"/>
  <c r="AG322" i="3"/>
  <c r="AF322" i="3"/>
  <c r="AD322" i="3"/>
  <c r="AC322" i="3"/>
  <c r="AK322" i="3" s="1"/>
  <c r="AB322" i="3"/>
  <c r="AJ322" i="3" s="1"/>
  <c r="R322" i="3"/>
  <c r="P322" i="3"/>
  <c r="N322" i="3"/>
  <c r="AE322" i="3" s="1"/>
  <c r="G322" i="3"/>
  <c r="F322" i="3"/>
  <c r="AO321" i="3"/>
  <c r="AN321" i="3"/>
  <c r="AM321" i="3"/>
  <c r="AL321" i="3"/>
  <c r="AI321" i="3"/>
  <c r="AH321" i="3"/>
  <c r="AG321" i="3"/>
  <c r="AF321" i="3"/>
  <c r="AD321" i="3"/>
  <c r="AC321" i="3"/>
  <c r="AK321" i="3" s="1"/>
  <c r="AB321" i="3"/>
  <c r="AJ321" i="3" s="1"/>
  <c r="R321" i="3"/>
  <c r="P321" i="3"/>
  <c r="N321" i="3"/>
  <c r="AE321" i="3" s="1"/>
  <c r="G321" i="3"/>
  <c r="F321" i="3"/>
  <c r="AO320" i="3"/>
  <c r="AN320" i="3"/>
  <c r="AM320" i="3"/>
  <c r="AL320" i="3"/>
  <c r="AI320" i="3"/>
  <c r="AH320" i="3"/>
  <c r="AG320" i="3"/>
  <c r="AF320" i="3"/>
  <c r="AD320" i="3"/>
  <c r="AC320" i="3"/>
  <c r="AK320" i="3" s="1"/>
  <c r="AB320" i="3"/>
  <c r="AJ320" i="3" s="1"/>
  <c r="R320" i="3"/>
  <c r="P320" i="3"/>
  <c r="N320" i="3"/>
  <c r="AE320" i="3" s="1"/>
  <c r="G320" i="3"/>
  <c r="F320" i="3"/>
  <c r="AO319" i="3"/>
  <c r="AN319" i="3"/>
  <c r="AM319" i="3"/>
  <c r="AL319" i="3"/>
  <c r="AI319" i="3"/>
  <c r="AH319" i="3"/>
  <c r="AG319" i="3"/>
  <c r="AF319" i="3"/>
  <c r="AD319" i="3"/>
  <c r="AC319" i="3"/>
  <c r="AK319" i="3" s="1"/>
  <c r="AB319" i="3"/>
  <c r="AJ319" i="3" s="1"/>
  <c r="R319" i="3"/>
  <c r="P319" i="3"/>
  <c r="N319" i="3"/>
  <c r="AE319" i="3" s="1"/>
  <c r="G319" i="3"/>
  <c r="F319" i="3"/>
  <c r="AO318" i="3"/>
  <c r="AN318" i="3"/>
  <c r="AM318" i="3"/>
  <c r="AL318" i="3"/>
  <c r="AI318" i="3"/>
  <c r="AH318" i="3"/>
  <c r="AG318" i="3"/>
  <c r="AF318" i="3"/>
  <c r="AD318" i="3"/>
  <c r="AC318" i="3"/>
  <c r="AK318" i="3" s="1"/>
  <c r="AB318" i="3"/>
  <c r="AJ318" i="3" s="1"/>
  <c r="R318" i="3"/>
  <c r="P318" i="3"/>
  <c r="N318" i="3"/>
  <c r="AE318" i="3" s="1"/>
  <c r="G318" i="3"/>
  <c r="F318" i="3"/>
  <c r="AO317" i="3"/>
  <c r="AN317" i="3"/>
  <c r="AM317" i="3"/>
  <c r="AL317" i="3"/>
  <c r="AI317" i="3"/>
  <c r="AH317" i="3"/>
  <c r="AG317" i="3"/>
  <c r="AF317" i="3"/>
  <c r="AD317" i="3"/>
  <c r="AC317" i="3"/>
  <c r="AK317" i="3" s="1"/>
  <c r="AB317" i="3"/>
  <c r="AJ317" i="3" s="1"/>
  <c r="R317" i="3"/>
  <c r="P317" i="3"/>
  <c r="N317" i="3"/>
  <c r="AE317" i="3" s="1"/>
  <c r="G317" i="3"/>
  <c r="F317" i="3"/>
  <c r="AO316" i="3"/>
  <c r="AN316" i="3"/>
  <c r="AM316" i="3"/>
  <c r="AL316" i="3"/>
  <c r="AI316" i="3"/>
  <c r="AH316" i="3"/>
  <c r="AG316" i="3"/>
  <c r="AF316" i="3"/>
  <c r="AD316" i="3"/>
  <c r="AC316" i="3"/>
  <c r="AK316" i="3" s="1"/>
  <c r="AB316" i="3"/>
  <c r="AJ316" i="3" s="1"/>
  <c r="R316" i="3"/>
  <c r="P316" i="3"/>
  <c r="N316" i="3"/>
  <c r="AE316" i="3" s="1"/>
  <c r="G316" i="3"/>
  <c r="F316" i="3"/>
  <c r="AO315" i="3"/>
  <c r="AN315" i="3"/>
  <c r="AM315" i="3"/>
  <c r="AL315" i="3"/>
  <c r="AI315" i="3"/>
  <c r="AH315" i="3"/>
  <c r="AG315" i="3"/>
  <c r="AF315" i="3"/>
  <c r="AD315" i="3"/>
  <c r="AC315" i="3"/>
  <c r="AK315" i="3" s="1"/>
  <c r="AB315" i="3"/>
  <c r="AJ315" i="3" s="1"/>
  <c r="R315" i="3"/>
  <c r="P315" i="3"/>
  <c r="N315" i="3"/>
  <c r="AE315" i="3" s="1"/>
  <c r="G315" i="3"/>
  <c r="F315" i="3"/>
  <c r="AO314" i="3"/>
  <c r="AN314" i="3"/>
  <c r="AM314" i="3"/>
  <c r="AL314" i="3"/>
  <c r="AI314" i="3"/>
  <c r="AH314" i="3"/>
  <c r="AG314" i="3"/>
  <c r="AF314" i="3"/>
  <c r="AD314" i="3"/>
  <c r="AC314" i="3"/>
  <c r="AK314" i="3" s="1"/>
  <c r="AB314" i="3"/>
  <c r="AJ314" i="3" s="1"/>
  <c r="R314" i="3"/>
  <c r="P314" i="3"/>
  <c r="N314" i="3"/>
  <c r="AE314" i="3" s="1"/>
  <c r="G314" i="3"/>
  <c r="F314" i="3"/>
  <c r="AO313" i="3"/>
  <c r="AN313" i="3"/>
  <c r="AM313" i="3"/>
  <c r="AL313" i="3"/>
  <c r="AI313" i="3"/>
  <c r="AH313" i="3"/>
  <c r="AG313" i="3"/>
  <c r="AF313" i="3"/>
  <c r="AD313" i="3"/>
  <c r="AC313" i="3"/>
  <c r="AK313" i="3" s="1"/>
  <c r="AB313" i="3"/>
  <c r="AJ313" i="3" s="1"/>
  <c r="R313" i="3"/>
  <c r="P313" i="3"/>
  <c r="N313" i="3"/>
  <c r="AE313" i="3" s="1"/>
  <c r="G313" i="3"/>
  <c r="F313" i="3"/>
  <c r="AO312" i="3"/>
  <c r="AN312" i="3"/>
  <c r="AM312" i="3"/>
  <c r="AL312" i="3"/>
  <c r="AI312" i="3"/>
  <c r="AH312" i="3"/>
  <c r="AG312" i="3"/>
  <c r="AF312" i="3"/>
  <c r="AD312" i="3"/>
  <c r="AC312" i="3"/>
  <c r="AK312" i="3" s="1"/>
  <c r="AB312" i="3"/>
  <c r="AJ312" i="3" s="1"/>
  <c r="R312" i="3"/>
  <c r="P312" i="3"/>
  <c r="N312" i="3"/>
  <c r="AE312" i="3" s="1"/>
  <c r="G312" i="3"/>
  <c r="F312" i="3"/>
  <c r="AO311" i="3"/>
  <c r="AN311" i="3"/>
  <c r="AM311" i="3"/>
  <c r="AL311" i="3"/>
  <c r="AI311" i="3"/>
  <c r="AH311" i="3"/>
  <c r="AG311" i="3"/>
  <c r="AF311" i="3"/>
  <c r="AD311" i="3"/>
  <c r="AC311" i="3"/>
  <c r="AK311" i="3" s="1"/>
  <c r="AB311" i="3"/>
  <c r="AJ311" i="3" s="1"/>
  <c r="R311" i="3"/>
  <c r="P311" i="3"/>
  <c r="N311" i="3"/>
  <c r="AE311" i="3" s="1"/>
  <c r="G311" i="3"/>
  <c r="F311" i="3"/>
  <c r="AO310" i="3"/>
  <c r="AN310" i="3"/>
  <c r="AM310" i="3"/>
  <c r="AL310" i="3"/>
  <c r="AI310" i="3"/>
  <c r="AH310" i="3"/>
  <c r="AG310" i="3"/>
  <c r="AF310" i="3"/>
  <c r="AD310" i="3"/>
  <c r="AC310" i="3"/>
  <c r="AK310" i="3" s="1"/>
  <c r="AB310" i="3"/>
  <c r="AJ310" i="3" s="1"/>
  <c r="R310" i="3"/>
  <c r="P310" i="3"/>
  <c r="N310" i="3"/>
  <c r="AE310" i="3" s="1"/>
  <c r="G310" i="3"/>
  <c r="F310" i="3"/>
  <c r="AO309" i="3"/>
  <c r="AN309" i="3"/>
  <c r="AM309" i="3"/>
  <c r="AL309" i="3"/>
  <c r="AI309" i="3"/>
  <c r="AH309" i="3"/>
  <c r="AG309" i="3"/>
  <c r="AF309" i="3"/>
  <c r="AD309" i="3"/>
  <c r="AC309" i="3"/>
  <c r="AK309" i="3" s="1"/>
  <c r="AB309" i="3"/>
  <c r="AJ309" i="3" s="1"/>
  <c r="R309" i="3"/>
  <c r="P309" i="3"/>
  <c r="N309" i="3"/>
  <c r="AE309" i="3" s="1"/>
  <c r="G309" i="3"/>
  <c r="F309" i="3"/>
  <c r="AO308" i="3"/>
  <c r="AN308" i="3"/>
  <c r="AM308" i="3"/>
  <c r="AL308" i="3"/>
  <c r="AI308" i="3"/>
  <c r="AH308" i="3"/>
  <c r="AG308" i="3"/>
  <c r="AF308" i="3"/>
  <c r="AD308" i="3"/>
  <c r="AC308" i="3"/>
  <c r="AK308" i="3" s="1"/>
  <c r="AB308" i="3"/>
  <c r="AJ308" i="3" s="1"/>
  <c r="R308" i="3"/>
  <c r="P308" i="3"/>
  <c r="N308" i="3"/>
  <c r="AE308" i="3" s="1"/>
  <c r="G308" i="3"/>
  <c r="F308" i="3"/>
  <c r="AO307" i="3"/>
  <c r="AN307" i="3"/>
  <c r="AM307" i="3"/>
  <c r="AL307" i="3"/>
  <c r="AI307" i="3"/>
  <c r="AH307" i="3"/>
  <c r="AG307" i="3"/>
  <c r="AF307" i="3"/>
  <c r="AD307" i="3"/>
  <c r="AC307" i="3"/>
  <c r="AK307" i="3" s="1"/>
  <c r="AB307" i="3"/>
  <c r="AJ307" i="3" s="1"/>
  <c r="R307" i="3"/>
  <c r="P307" i="3"/>
  <c r="N307" i="3"/>
  <c r="AE307" i="3" s="1"/>
  <c r="G307" i="3"/>
  <c r="F307" i="3"/>
  <c r="AO306" i="3"/>
  <c r="AN306" i="3"/>
  <c r="AM306" i="3"/>
  <c r="AL306" i="3"/>
  <c r="AI306" i="3"/>
  <c r="AH306" i="3"/>
  <c r="AG306" i="3"/>
  <c r="AF306" i="3"/>
  <c r="AD306" i="3"/>
  <c r="AC306" i="3"/>
  <c r="AK306" i="3" s="1"/>
  <c r="AB306" i="3"/>
  <c r="AJ306" i="3" s="1"/>
  <c r="R306" i="3"/>
  <c r="P306" i="3"/>
  <c r="N306" i="3"/>
  <c r="AE306" i="3" s="1"/>
  <c r="G306" i="3"/>
  <c r="F306" i="3"/>
  <c r="AO305" i="3"/>
  <c r="AN305" i="3"/>
  <c r="AM305" i="3"/>
  <c r="AL305" i="3"/>
  <c r="AI305" i="3"/>
  <c r="AH305" i="3"/>
  <c r="AG305" i="3"/>
  <c r="AF305" i="3"/>
  <c r="AD305" i="3"/>
  <c r="AC305" i="3"/>
  <c r="AK305" i="3" s="1"/>
  <c r="AB305" i="3"/>
  <c r="AJ305" i="3" s="1"/>
  <c r="R305" i="3"/>
  <c r="P305" i="3"/>
  <c r="N305" i="3"/>
  <c r="AE305" i="3" s="1"/>
  <c r="G305" i="3"/>
  <c r="F305" i="3"/>
  <c r="AO304" i="3"/>
  <c r="AN304" i="3"/>
  <c r="AM304" i="3"/>
  <c r="AL304" i="3"/>
  <c r="AI304" i="3"/>
  <c r="AH304" i="3"/>
  <c r="AG304" i="3"/>
  <c r="AF304" i="3"/>
  <c r="AD304" i="3"/>
  <c r="AC304" i="3"/>
  <c r="AK304" i="3" s="1"/>
  <c r="AB304" i="3"/>
  <c r="AJ304" i="3" s="1"/>
  <c r="R304" i="3"/>
  <c r="P304" i="3"/>
  <c r="N304" i="3"/>
  <c r="AE304" i="3" s="1"/>
  <c r="G304" i="3"/>
  <c r="F304" i="3"/>
  <c r="AO303" i="3"/>
  <c r="AN303" i="3"/>
  <c r="AM303" i="3"/>
  <c r="AL303" i="3"/>
  <c r="AI303" i="3"/>
  <c r="AH303" i="3"/>
  <c r="AG303" i="3"/>
  <c r="AF303" i="3"/>
  <c r="AD303" i="3"/>
  <c r="AC303" i="3"/>
  <c r="AK303" i="3" s="1"/>
  <c r="AB303" i="3"/>
  <c r="AJ303" i="3" s="1"/>
  <c r="R303" i="3"/>
  <c r="P303" i="3"/>
  <c r="N303" i="3"/>
  <c r="AE303" i="3" s="1"/>
  <c r="G303" i="3"/>
  <c r="F303" i="3"/>
  <c r="AO302" i="3"/>
  <c r="AN302" i="3"/>
  <c r="AM302" i="3"/>
  <c r="AL302" i="3"/>
  <c r="AI302" i="3"/>
  <c r="AH302" i="3"/>
  <c r="AG302" i="3"/>
  <c r="AF302" i="3"/>
  <c r="AD302" i="3"/>
  <c r="AC302" i="3"/>
  <c r="AK302" i="3" s="1"/>
  <c r="AB302" i="3"/>
  <c r="AJ302" i="3" s="1"/>
  <c r="R302" i="3"/>
  <c r="P302" i="3"/>
  <c r="N302" i="3"/>
  <c r="AE302" i="3" s="1"/>
  <c r="G302" i="3"/>
  <c r="F302" i="3"/>
  <c r="AO301" i="3"/>
  <c r="AN301" i="3"/>
  <c r="AM301" i="3"/>
  <c r="AL301" i="3"/>
  <c r="AI301" i="3"/>
  <c r="AH301" i="3"/>
  <c r="AG301" i="3"/>
  <c r="AF301" i="3"/>
  <c r="AD301" i="3"/>
  <c r="AC301" i="3"/>
  <c r="AK301" i="3" s="1"/>
  <c r="AB301" i="3"/>
  <c r="AJ301" i="3" s="1"/>
  <c r="R301" i="3"/>
  <c r="P301" i="3"/>
  <c r="N301" i="3"/>
  <c r="AE301" i="3" s="1"/>
  <c r="G301" i="3"/>
  <c r="F301" i="3"/>
  <c r="AO300" i="3"/>
  <c r="AN300" i="3"/>
  <c r="AM300" i="3"/>
  <c r="AL300" i="3"/>
  <c r="AI300" i="3"/>
  <c r="AH300" i="3"/>
  <c r="AG300" i="3"/>
  <c r="AF300" i="3"/>
  <c r="AD300" i="3"/>
  <c r="AC300" i="3"/>
  <c r="AK300" i="3" s="1"/>
  <c r="AB300" i="3"/>
  <c r="AJ300" i="3" s="1"/>
  <c r="R300" i="3"/>
  <c r="P300" i="3"/>
  <c r="N300" i="3"/>
  <c r="AE300" i="3" s="1"/>
  <c r="G300" i="3"/>
  <c r="F300" i="3"/>
  <c r="AO299" i="3"/>
  <c r="AN299" i="3"/>
  <c r="AM299" i="3"/>
  <c r="AL299" i="3"/>
  <c r="AI299" i="3"/>
  <c r="AH299" i="3"/>
  <c r="AG299" i="3"/>
  <c r="AF299" i="3"/>
  <c r="AD299" i="3"/>
  <c r="AC299" i="3"/>
  <c r="AK299" i="3" s="1"/>
  <c r="AB299" i="3"/>
  <c r="AJ299" i="3" s="1"/>
  <c r="R299" i="3"/>
  <c r="P299" i="3"/>
  <c r="N299" i="3"/>
  <c r="AE299" i="3" s="1"/>
  <c r="G299" i="3"/>
  <c r="F299" i="3"/>
  <c r="AO298" i="3"/>
  <c r="AN298" i="3"/>
  <c r="AM298" i="3"/>
  <c r="AL298" i="3"/>
  <c r="AI298" i="3"/>
  <c r="AH298" i="3"/>
  <c r="AG298" i="3"/>
  <c r="AF298" i="3"/>
  <c r="AD298" i="3"/>
  <c r="AC298" i="3"/>
  <c r="AK298" i="3" s="1"/>
  <c r="AB298" i="3"/>
  <c r="AJ298" i="3" s="1"/>
  <c r="R298" i="3"/>
  <c r="P298" i="3"/>
  <c r="N298" i="3"/>
  <c r="AE298" i="3" s="1"/>
  <c r="G298" i="3"/>
  <c r="F298" i="3"/>
  <c r="AO297" i="3"/>
  <c r="AN297" i="3"/>
  <c r="AM297" i="3"/>
  <c r="AL297" i="3"/>
  <c r="AI297" i="3"/>
  <c r="AH297" i="3"/>
  <c r="AG297" i="3"/>
  <c r="AF297" i="3"/>
  <c r="AD297" i="3"/>
  <c r="AC297" i="3"/>
  <c r="AK297" i="3" s="1"/>
  <c r="AB297" i="3"/>
  <c r="AJ297" i="3" s="1"/>
  <c r="R297" i="3"/>
  <c r="P297" i="3"/>
  <c r="N297" i="3"/>
  <c r="AE297" i="3" s="1"/>
  <c r="G297" i="3"/>
  <c r="F297" i="3"/>
  <c r="AO296" i="3"/>
  <c r="AN296" i="3"/>
  <c r="AM296" i="3"/>
  <c r="AL296" i="3"/>
  <c r="AI296" i="3"/>
  <c r="AH296" i="3"/>
  <c r="AG296" i="3"/>
  <c r="AF296" i="3"/>
  <c r="AD296" i="3"/>
  <c r="AC296" i="3"/>
  <c r="AK296" i="3" s="1"/>
  <c r="AB296" i="3"/>
  <c r="AJ296" i="3" s="1"/>
  <c r="R296" i="3"/>
  <c r="P296" i="3"/>
  <c r="N296" i="3"/>
  <c r="AE296" i="3" s="1"/>
  <c r="G296" i="3"/>
  <c r="F296" i="3"/>
  <c r="AO295" i="3"/>
  <c r="AN295" i="3"/>
  <c r="AM295" i="3"/>
  <c r="AL295" i="3"/>
  <c r="AI295" i="3"/>
  <c r="AH295" i="3"/>
  <c r="AG295" i="3"/>
  <c r="AF295" i="3"/>
  <c r="AD295" i="3"/>
  <c r="AC295" i="3"/>
  <c r="AK295" i="3" s="1"/>
  <c r="AB295" i="3"/>
  <c r="AJ295" i="3" s="1"/>
  <c r="R295" i="3"/>
  <c r="P295" i="3"/>
  <c r="N295" i="3"/>
  <c r="AE295" i="3" s="1"/>
  <c r="G295" i="3"/>
  <c r="F295" i="3"/>
  <c r="AO294" i="3"/>
  <c r="AN294" i="3"/>
  <c r="AM294" i="3"/>
  <c r="AL294" i="3"/>
  <c r="AI294" i="3"/>
  <c r="AH294" i="3"/>
  <c r="AG294" i="3"/>
  <c r="AF294" i="3"/>
  <c r="AD294" i="3"/>
  <c r="AC294" i="3"/>
  <c r="AK294" i="3" s="1"/>
  <c r="AB294" i="3"/>
  <c r="AJ294" i="3" s="1"/>
  <c r="R294" i="3"/>
  <c r="P294" i="3"/>
  <c r="N294" i="3"/>
  <c r="AE294" i="3" s="1"/>
  <c r="G294" i="3"/>
  <c r="F294" i="3"/>
  <c r="AO293" i="3"/>
  <c r="AN293" i="3"/>
  <c r="AM293" i="3"/>
  <c r="AL293" i="3"/>
  <c r="AI293" i="3"/>
  <c r="AH293" i="3"/>
  <c r="AG293" i="3"/>
  <c r="AF293" i="3"/>
  <c r="AD293" i="3"/>
  <c r="AC293" i="3"/>
  <c r="AK293" i="3" s="1"/>
  <c r="AB293" i="3"/>
  <c r="AJ293" i="3" s="1"/>
  <c r="R293" i="3"/>
  <c r="P293" i="3"/>
  <c r="N293" i="3"/>
  <c r="AE293" i="3" s="1"/>
  <c r="G293" i="3"/>
  <c r="F293" i="3"/>
  <c r="AO292" i="3"/>
  <c r="AN292" i="3"/>
  <c r="AM292" i="3"/>
  <c r="AL292" i="3"/>
  <c r="AI292" i="3"/>
  <c r="AH292" i="3"/>
  <c r="AG292" i="3"/>
  <c r="AF292" i="3"/>
  <c r="AD292" i="3"/>
  <c r="AC292" i="3"/>
  <c r="AK292" i="3" s="1"/>
  <c r="AB292" i="3"/>
  <c r="AJ292" i="3" s="1"/>
  <c r="R292" i="3"/>
  <c r="P292" i="3"/>
  <c r="N292" i="3"/>
  <c r="AE292" i="3" s="1"/>
  <c r="G292" i="3"/>
  <c r="F292" i="3"/>
  <c r="AO291" i="3"/>
  <c r="AN291" i="3"/>
  <c r="AM291" i="3"/>
  <c r="AL291" i="3"/>
  <c r="AI291" i="3"/>
  <c r="AH291" i="3"/>
  <c r="AG291" i="3"/>
  <c r="AF291" i="3"/>
  <c r="AD291" i="3"/>
  <c r="AC291" i="3"/>
  <c r="AK291" i="3" s="1"/>
  <c r="AB291" i="3"/>
  <c r="AJ291" i="3" s="1"/>
  <c r="R291" i="3"/>
  <c r="P291" i="3"/>
  <c r="N291" i="3"/>
  <c r="AE291" i="3" s="1"/>
  <c r="G291" i="3"/>
  <c r="F291" i="3"/>
  <c r="AO290" i="3"/>
  <c r="AN290" i="3"/>
  <c r="AM290" i="3"/>
  <c r="AL290" i="3"/>
  <c r="AI290" i="3"/>
  <c r="AH290" i="3"/>
  <c r="AG290" i="3"/>
  <c r="AF290" i="3"/>
  <c r="AD290" i="3"/>
  <c r="AC290" i="3"/>
  <c r="AK290" i="3" s="1"/>
  <c r="AB290" i="3"/>
  <c r="AJ290" i="3" s="1"/>
  <c r="R290" i="3"/>
  <c r="P290" i="3"/>
  <c r="N290" i="3"/>
  <c r="AE290" i="3" s="1"/>
  <c r="G290" i="3"/>
  <c r="F290" i="3"/>
  <c r="AO289" i="3"/>
  <c r="AN289" i="3"/>
  <c r="AM289" i="3"/>
  <c r="AL289" i="3"/>
  <c r="AI289" i="3"/>
  <c r="AH289" i="3"/>
  <c r="AG289" i="3"/>
  <c r="AF289" i="3"/>
  <c r="AD289" i="3"/>
  <c r="AC289" i="3"/>
  <c r="AK289" i="3" s="1"/>
  <c r="AB289" i="3"/>
  <c r="AJ289" i="3" s="1"/>
  <c r="R289" i="3"/>
  <c r="P289" i="3"/>
  <c r="N289" i="3"/>
  <c r="AE289" i="3" s="1"/>
  <c r="G289" i="3"/>
  <c r="F289" i="3"/>
  <c r="AO288" i="3"/>
  <c r="AN288" i="3"/>
  <c r="AM288" i="3"/>
  <c r="AL288" i="3"/>
  <c r="AI288" i="3"/>
  <c r="AH288" i="3"/>
  <c r="AG288" i="3"/>
  <c r="AF288" i="3"/>
  <c r="AD288" i="3"/>
  <c r="AC288" i="3"/>
  <c r="AK288" i="3" s="1"/>
  <c r="AB288" i="3"/>
  <c r="AJ288" i="3" s="1"/>
  <c r="R288" i="3"/>
  <c r="P288" i="3"/>
  <c r="N288" i="3"/>
  <c r="AE288" i="3" s="1"/>
  <c r="G288" i="3"/>
  <c r="F288" i="3"/>
  <c r="AO287" i="3"/>
  <c r="AN287" i="3"/>
  <c r="AM287" i="3"/>
  <c r="AL287" i="3"/>
  <c r="AI287" i="3"/>
  <c r="AH287" i="3"/>
  <c r="AG287" i="3"/>
  <c r="AF287" i="3"/>
  <c r="AD287" i="3"/>
  <c r="AC287" i="3"/>
  <c r="AK287" i="3" s="1"/>
  <c r="AB287" i="3"/>
  <c r="AJ287" i="3" s="1"/>
  <c r="R287" i="3"/>
  <c r="P287" i="3"/>
  <c r="N287" i="3"/>
  <c r="AE287" i="3" s="1"/>
  <c r="G287" i="3"/>
  <c r="F287" i="3"/>
  <c r="AO286" i="3"/>
  <c r="AN286" i="3"/>
  <c r="AM286" i="3"/>
  <c r="AL286" i="3"/>
  <c r="AI286" i="3"/>
  <c r="AH286" i="3"/>
  <c r="AG286" i="3"/>
  <c r="AF286" i="3"/>
  <c r="AD286" i="3"/>
  <c r="AC286" i="3"/>
  <c r="AK286" i="3" s="1"/>
  <c r="AB286" i="3"/>
  <c r="AJ286" i="3" s="1"/>
  <c r="R286" i="3"/>
  <c r="P286" i="3"/>
  <c r="N286" i="3"/>
  <c r="AE286" i="3" s="1"/>
  <c r="G286" i="3"/>
  <c r="F286" i="3"/>
  <c r="AO285" i="3"/>
  <c r="AN285" i="3"/>
  <c r="AM285" i="3"/>
  <c r="AL285" i="3"/>
  <c r="AI285" i="3"/>
  <c r="AH285" i="3"/>
  <c r="AG285" i="3"/>
  <c r="AF285" i="3"/>
  <c r="AD285" i="3"/>
  <c r="AC285" i="3"/>
  <c r="AK285" i="3" s="1"/>
  <c r="AB285" i="3"/>
  <c r="AJ285" i="3" s="1"/>
  <c r="R285" i="3"/>
  <c r="P285" i="3"/>
  <c r="N285" i="3"/>
  <c r="AE285" i="3" s="1"/>
  <c r="G285" i="3"/>
  <c r="F285" i="3"/>
  <c r="AO284" i="3"/>
  <c r="AN284" i="3"/>
  <c r="AM284" i="3"/>
  <c r="AL284" i="3"/>
  <c r="AI284" i="3"/>
  <c r="AH284" i="3"/>
  <c r="AG284" i="3"/>
  <c r="AF284" i="3"/>
  <c r="AD284" i="3"/>
  <c r="AC284" i="3"/>
  <c r="AK284" i="3" s="1"/>
  <c r="AB284" i="3"/>
  <c r="AJ284" i="3" s="1"/>
  <c r="R284" i="3"/>
  <c r="P284" i="3"/>
  <c r="N284" i="3"/>
  <c r="AE284" i="3" s="1"/>
  <c r="G284" i="3"/>
  <c r="F284" i="3"/>
  <c r="AO283" i="3"/>
  <c r="AN283" i="3"/>
  <c r="AM283" i="3"/>
  <c r="AL283" i="3"/>
  <c r="AI283" i="3"/>
  <c r="AH283" i="3"/>
  <c r="AG283" i="3"/>
  <c r="AF283" i="3"/>
  <c r="AD283" i="3"/>
  <c r="AC283" i="3"/>
  <c r="AK283" i="3" s="1"/>
  <c r="AB283" i="3"/>
  <c r="AJ283" i="3" s="1"/>
  <c r="R283" i="3"/>
  <c r="P283" i="3"/>
  <c r="N283" i="3"/>
  <c r="AE283" i="3" s="1"/>
  <c r="G283" i="3"/>
  <c r="F283" i="3"/>
  <c r="AO282" i="3"/>
  <c r="AN282" i="3"/>
  <c r="AM282" i="3"/>
  <c r="AL282" i="3"/>
  <c r="AI282" i="3"/>
  <c r="AH282" i="3"/>
  <c r="AG282" i="3"/>
  <c r="AF282" i="3"/>
  <c r="AD282" i="3"/>
  <c r="AC282" i="3"/>
  <c r="AK282" i="3" s="1"/>
  <c r="AB282" i="3"/>
  <c r="AJ282" i="3" s="1"/>
  <c r="R282" i="3"/>
  <c r="P282" i="3"/>
  <c r="N282" i="3"/>
  <c r="AE282" i="3" s="1"/>
  <c r="G282" i="3"/>
  <c r="F282" i="3"/>
  <c r="AO281" i="3"/>
  <c r="AN281" i="3"/>
  <c r="AM281" i="3"/>
  <c r="AL281" i="3"/>
  <c r="AI281" i="3"/>
  <c r="AH281" i="3"/>
  <c r="AG281" i="3"/>
  <c r="AF281" i="3"/>
  <c r="AD281" i="3"/>
  <c r="AC281" i="3"/>
  <c r="AK281" i="3" s="1"/>
  <c r="AB281" i="3"/>
  <c r="AJ281" i="3" s="1"/>
  <c r="R281" i="3"/>
  <c r="P281" i="3"/>
  <c r="N281" i="3"/>
  <c r="AE281" i="3" s="1"/>
  <c r="G281" i="3"/>
  <c r="F281" i="3"/>
  <c r="AO280" i="3"/>
  <c r="AN280" i="3"/>
  <c r="AM280" i="3"/>
  <c r="AL280" i="3"/>
  <c r="AI280" i="3"/>
  <c r="AH280" i="3"/>
  <c r="AG280" i="3"/>
  <c r="AF280" i="3"/>
  <c r="AD280" i="3"/>
  <c r="AC280" i="3"/>
  <c r="AK280" i="3" s="1"/>
  <c r="AB280" i="3"/>
  <c r="AJ280" i="3" s="1"/>
  <c r="R280" i="3"/>
  <c r="P280" i="3"/>
  <c r="N280" i="3"/>
  <c r="AE280" i="3" s="1"/>
  <c r="G280" i="3"/>
  <c r="F280" i="3"/>
  <c r="AO279" i="3"/>
  <c r="AN279" i="3"/>
  <c r="AM279" i="3"/>
  <c r="AL279" i="3"/>
  <c r="AI279" i="3"/>
  <c r="AH279" i="3"/>
  <c r="AG279" i="3"/>
  <c r="AF279" i="3"/>
  <c r="AD279" i="3"/>
  <c r="AC279" i="3"/>
  <c r="AK279" i="3" s="1"/>
  <c r="AB279" i="3"/>
  <c r="AJ279" i="3" s="1"/>
  <c r="R279" i="3"/>
  <c r="P279" i="3"/>
  <c r="N279" i="3"/>
  <c r="AE279" i="3" s="1"/>
  <c r="G279" i="3"/>
  <c r="F279" i="3"/>
  <c r="AO278" i="3"/>
  <c r="AN278" i="3"/>
  <c r="AM278" i="3"/>
  <c r="AL278" i="3"/>
  <c r="AI278" i="3"/>
  <c r="AH278" i="3"/>
  <c r="AG278" i="3"/>
  <c r="AF278" i="3"/>
  <c r="AD278" i="3"/>
  <c r="AC278" i="3"/>
  <c r="AK278" i="3" s="1"/>
  <c r="AB278" i="3"/>
  <c r="AJ278" i="3" s="1"/>
  <c r="R278" i="3"/>
  <c r="P278" i="3"/>
  <c r="N278" i="3"/>
  <c r="AE278" i="3" s="1"/>
  <c r="G278" i="3"/>
  <c r="F278" i="3"/>
  <c r="AO277" i="3"/>
  <c r="AN277" i="3"/>
  <c r="AM277" i="3"/>
  <c r="AL277" i="3"/>
  <c r="AI277" i="3"/>
  <c r="AH277" i="3"/>
  <c r="AG277" i="3"/>
  <c r="AF277" i="3"/>
  <c r="AD277" i="3"/>
  <c r="AC277" i="3"/>
  <c r="AK277" i="3" s="1"/>
  <c r="AB277" i="3"/>
  <c r="AJ277" i="3" s="1"/>
  <c r="R277" i="3"/>
  <c r="P277" i="3"/>
  <c r="N277" i="3"/>
  <c r="AE277" i="3" s="1"/>
  <c r="G277" i="3"/>
  <c r="F277" i="3"/>
  <c r="AO276" i="3"/>
  <c r="AN276" i="3"/>
  <c r="AM276" i="3"/>
  <c r="AL276" i="3"/>
  <c r="AI276" i="3"/>
  <c r="AH276" i="3"/>
  <c r="AG276" i="3"/>
  <c r="AF276" i="3"/>
  <c r="AD276" i="3"/>
  <c r="AC276" i="3"/>
  <c r="AK276" i="3" s="1"/>
  <c r="AB276" i="3"/>
  <c r="AJ276" i="3" s="1"/>
  <c r="R276" i="3"/>
  <c r="P276" i="3"/>
  <c r="N276" i="3"/>
  <c r="AE276" i="3" s="1"/>
  <c r="G276" i="3"/>
  <c r="F276" i="3"/>
  <c r="AO275" i="3"/>
  <c r="AN275" i="3"/>
  <c r="AM275" i="3"/>
  <c r="AL275" i="3"/>
  <c r="AI275" i="3"/>
  <c r="AH275" i="3"/>
  <c r="AG275" i="3"/>
  <c r="AF275" i="3"/>
  <c r="AD275" i="3"/>
  <c r="AC275" i="3"/>
  <c r="AK275" i="3" s="1"/>
  <c r="AB275" i="3"/>
  <c r="AJ275" i="3" s="1"/>
  <c r="R275" i="3"/>
  <c r="P275" i="3"/>
  <c r="N275" i="3"/>
  <c r="AE275" i="3" s="1"/>
  <c r="G275" i="3"/>
  <c r="F275" i="3"/>
  <c r="AO274" i="3"/>
  <c r="AN274" i="3"/>
  <c r="AM274" i="3"/>
  <c r="AL274" i="3"/>
  <c r="AI274" i="3"/>
  <c r="AH274" i="3"/>
  <c r="AG274" i="3"/>
  <c r="AF274" i="3"/>
  <c r="AD274" i="3"/>
  <c r="AC274" i="3"/>
  <c r="AK274" i="3" s="1"/>
  <c r="AB274" i="3"/>
  <c r="AJ274" i="3" s="1"/>
  <c r="R274" i="3"/>
  <c r="P274" i="3"/>
  <c r="N274" i="3"/>
  <c r="AE274" i="3" s="1"/>
  <c r="G274" i="3"/>
  <c r="F274" i="3"/>
  <c r="AO273" i="3"/>
  <c r="AN273" i="3"/>
  <c r="AM273" i="3"/>
  <c r="AL273" i="3"/>
  <c r="AI273" i="3"/>
  <c r="AH273" i="3"/>
  <c r="AG273" i="3"/>
  <c r="AF273" i="3"/>
  <c r="AD273" i="3"/>
  <c r="AC273" i="3"/>
  <c r="AK273" i="3" s="1"/>
  <c r="AB273" i="3"/>
  <c r="AJ273" i="3" s="1"/>
  <c r="R273" i="3"/>
  <c r="P273" i="3"/>
  <c r="N273" i="3"/>
  <c r="AE273" i="3" s="1"/>
  <c r="G273" i="3"/>
  <c r="F273" i="3"/>
  <c r="AO272" i="3"/>
  <c r="AN272" i="3"/>
  <c r="AM272" i="3"/>
  <c r="AL272" i="3"/>
  <c r="AI272" i="3"/>
  <c r="AH272" i="3"/>
  <c r="AG272" i="3"/>
  <c r="AF272" i="3"/>
  <c r="AD272" i="3"/>
  <c r="AC272" i="3"/>
  <c r="AK272" i="3" s="1"/>
  <c r="AB272" i="3"/>
  <c r="AJ272" i="3" s="1"/>
  <c r="R272" i="3"/>
  <c r="P272" i="3"/>
  <c r="N272" i="3"/>
  <c r="AE272" i="3" s="1"/>
  <c r="G272" i="3"/>
  <c r="F272" i="3"/>
  <c r="AO271" i="3"/>
  <c r="AN271" i="3"/>
  <c r="AM271" i="3"/>
  <c r="AL271" i="3"/>
  <c r="AI271" i="3"/>
  <c r="AH271" i="3"/>
  <c r="AG271" i="3"/>
  <c r="AF271" i="3"/>
  <c r="AD271" i="3"/>
  <c r="AC271" i="3"/>
  <c r="AK271" i="3" s="1"/>
  <c r="AB271" i="3"/>
  <c r="AJ271" i="3" s="1"/>
  <c r="R271" i="3"/>
  <c r="P271" i="3"/>
  <c r="N271" i="3"/>
  <c r="AE271" i="3" s="1"/>
  <c r="G271" i="3"/>
  <c r="F271" i="3"/>
  <c r="AO270" i="3"/>
  <c r="AN270" i="3"/>
  <c r="AM270" i="3"/>
  <c r="AL270" i="3"/>
  <c r="AI270" i="3"/>
  <c r="AH270" i="3"/>
  <c r="AG270" i="3"/>
  <c r="AF270" i="3"/>
  <c r="AD270" i="3"/>
  <c r="AC270" i="3"/>
  <c r="AK270" i="3" s="1"/>
  <c r="AB270" i="3"/>
  <c r="AJ270" i="3" s="1"/>
  <c r="R270" i="3"/>
  <c r="P270" i="3"/>
  <c r="N270" i="3"/>
  <c r="AE270" i="3" s="1"/>
  <c r="G270" i="3"/>
  <c r="F270" i="3"/>
  <c r="AO269" i="3"/>
  <c r="AN269" i="3"/>
  <c r="AM269" i="3"/>
  <c r="AL269" i="3"/>
  <c r="AI269" i="3"/>
  <c r="AH269" i="3"/>
  <c r="AG269" i="3"/>
  <c r="AF269" i="3"/>
  <c r="AD269" i="3"/>
  <c r="AC269" i="3"/>
  <c r="AK269" i="3" s="1"/>
  <c r="AB269" i="3"/>
  <c r="AJ269" i="3" s="1"/>
  <c r="R269" i="3"/>
  <c r="P269" i="3"/>
  <c r="N269" i="3"/>
  <c r="AE269" i="3" s="1"/>
  <c r="G269" i="3"/>
  <c r="F269" i="3"/>
  <c r="AO268" i="3"/>
  <c r="AN268" i="3"/>
  <c r="AM268" i="3"/>
  <c r="AL268" i="3"/>
  <c r="AI268" i="3"/>
  <c r="AH268" i="3"/>
  <c r="AG268" i="3"/>
  <c r="AF268" i="3"/>
  <c r="AD268" i="3"/>
  <c r="AC268" i="3"/>
  <c r="AK268" i="3" s="1"/>
  <c r="AB268" i="3"/>
  <c r="AJ268" i="3" s="1"/>
  <c r="R268" i="3"/>
  <c r="P268" i="3"/>
  <c r="N268" i="3"/>
  <c r="AE268" i="3" s="1"/>
  <c r="G268" i="3"/>
  <c r="F268" i="3"/>
  <c r="AO267" i="3"/>
  <c r="AN267" i="3"/>
  <c r="AM267" i="3"/>
  <c r="AL267" i="3"/>
  <c r="AI267" i="3"/>
  <c r="AH267" i="3"/>
  <c r="AG267" i="3"/>
  <c r="AF267" i="3"/>
  <c r="AD267" i="3"/>
  <c r="AC267" i="3"/>
  <c r="AK267" i="3" s="1"/>
  <c r="AB267" i="3"/>
  <c r="AJ267" i="3" s="1"/>
  <c r="R267" i="3"/>
  <c r="P267" i="3"/>
  <c r="N267" i="3"/>
  <c r="AE267" i="3" s="1"/>
  <c r="G267" i="3"/>
  <c r="F267" i="3"/>
  <c r="AO266" i="3"/>
  <c r="AN266" i="3"/>
  <c r="AM266" i="3"/>
  <c r="AL266" i="3"/>
  <c r="AI266" i="3"/>
  <c r="AH266" i="3"/>
  <c r="AG266" i="3"/>
  <c r="AF266" i="3"/>
  <c r="AD266" i="3"/>
  <c r="AC266" i="3"/>
  <c r="AK266" i="3" s="1"/>
  <c r="AB266" i="3"/>
  <c r="AJ266" i="3" s="1"/>
  <c r="R266" i="3"/>
  <c r="P266" i="3"/>
  <c r="N266" i="3"/>
  <c r="AE266" i="3" s="1"/>
  <c r="G266" i="3"/>
  <c r="F266" i="3"/>
  <c r="AO265" i="3"/>
  <c r="AN265" i="3"/>
  <c r="AM265" i="3"/>
  <c r="AL265" i="3"/>
  <c r="AI265" i="3"/>
  <c r="AH265" i="3"/>
  <c r="AG265" i="3"/>
  <c r="AF265" i="3"/>
  <c r="AD265" i="3"/>
  <c r="AC265" i="3"/>
  <c r="AK265" i="3" s="1"/>
  <c r="AB265" i="3"/>
  <c r="AJ265" i="3" s="1"/>
  <c r="R265" i="3"/>
  <c r="P265" i="3"/>
  <c r="N265" i="3"/>
  <c r="AE265" i="3" s="1"/>
  <c r="G265" i="3"/>
  <c r="F265" i="3"/>
  <c r="AO264" i="3"/>
  <c r="AN264" i="3"/>
  <c r="AM264" i="3"/>
  <c r="AL264" i="3"/>
  <c r="AI264" i="3"/>
  <c r="AH264" i="3"/>
  <c r="AG264" i="3"/>
  <c r="AF264" i="3"/>
  <c r="AD264" i="3"/>
  <c r="AC264" i="3"/>
  <c r="AK264" i="3" s="1"/>
  <c r="AB264" i="3"/>
  <c r="AJ264" i="3" s="1"/>
  <c r="R264" i="3"/>
  <c r="P264" i="3"/>
  <c r="N264" i="3"/>
  <c r="AE264" i="3" s="1"/>
  <c r="G264" i="3"/>
  <c r="F264" i="3"/>
  <c r="AO263" i="3"/>
  <c r="AN263" i="3"/>
  <c r="AM263" i="3"/>
  <c r="AL263" i="3"/>
  <c r="AI263" i="3"/>
  <c r="AH263" i="3"/>
  <c r="AG263" i="3"/>
  <c r="AF263" i="3"/>
  <c r="AD263" i="3"/>
  <c r="AC263" i="3"/>
  <c r="AK263" i="3" s="1"/>
  <c r="AB263" i="3"/>
  <c r="AJ263" i="3" s="1"/>
  <c r="R263" i="3"/>
  <c r="P263" i="3"/>
  <c r="N263" i="3"/>
  <c r="AE263" i="3" s="1"/>
  <c r="G263" i="3"/>
  <c r="F263" i="3"/>
  <c r="AO262" i="3"/>
  <c r="AN262" i="3"/>
  <c r="AM262" i="3"/>
  <c r="AL262" i="3"/>
  <c r="AI262" i="3"/>
  <c r="AH262" i="3"/>
  <c r="AG262" i="3"/>
  <c r="AF262" i="3"/>
  <c r="AD262" i="3"/>
  <c r="AC262" i="3"/>
  <c r="AK262" i="3" s="1"/>
  <c r="AB262" i="3"/>
  <c r="AJ262" i="3" s="1"/>
  <c r="R262" i="3"/>
  <c r="P262" i="3"/>
  <c r="N262" i="3"/>
  <c r="AE262" i="3" s="1"/>
  <c r="G262" i="3"/>
  <c r="F262" i="3"/>
  <c r="AO261" i="3"/>
  <c r="AN261" i="3"/>
  <c r="AM261" i="3"/>
  <c r="AL261" i="3"/>
  <c r="AI261" i="3"/>
  <c r="AH261" i="3"/>
  <c r="AG261" i="3"/>
  <c r="AF261" i="3"/>
  <c r="AD261" i="3"/>
  <c r="AC261" i="3"/>
  <c r="AK261" i="3" s="1"/>
  <c r="AB261" i="3"/>
  <c r="AJ261" i="3" s="1"/>
  <c r="R261" i="3"/>
  <c r="P261" i="3"/>
  <c r="N261" i="3"/>
  <c r="AE261" i="3" s="1"/>
  <c r="G261" i="3"/>
  <c r="F261" i="3"/>
  <c r="AO260" i="3"/>
  <c r="AN260" i="3"/>
  <c r="AM260" i="3"/>
  <c r="AL260" i="3"/>
  <c r="AI260" i="3"/>
  <c r="AH260" i="3"/>
  <c r="AG260" i="3"/>
  <c r="AF260" i="3"/>
  <c r="AD260" i="3"/>
  <c r="AC260" i="3"/>
  <c r="AK260" i="3" s="1"/>
  <c r="AB260" i="3"/>
  <c r="AJ260" i="3" s="1"/>
  <c r="R260" i="3"/>
  <c r="P260" i="3"/>
  <c r="N260" i="3"/>
  <c r="AE260" i="3" s="1"/>
  <c r="G260" i="3"/>
  <c r="F260" i="3"/>
  <c r="AO259" i="3"/>
  <c r="AN259" i="3"/>
  <c r="AM259" i="3"/>
  <c r="AL259" i="3"/>
  <c r="AI259" i="3"/>
  <c r="AH259" i="3"/>
  <c r="AG259" i="3"/>
  <c r="AF259" i="3"/>
  <c r="AD259" i="3"/>
  <c r="AC259" i="3"/>
  <c r="AK259" i="3" s="1"/>
  <c r="AB259" i="3"/>
  <c r="AJ259" i="3" s="1"/>
  <c r="R259" i="3"/>
  <c r="P259" i="3"/>
  <c r="N259" i="3"/>
  <c r="AE259" i="3" s="1"/>
  <c r="G259" i="3"/>
  <c r="F259" i="3"/>
  <c r="AO258" i="3"/>
  <c r="AN258" i="3"/>
  <c r="AM258" i="3"/>
  <c r="AL258" i="3"/>
  <c r="AI258" i="3"/>
  <c r="AH258" i="3"/>
  <c r="AG258" i="3"/>
  <c r="AF258" i="3"/>
  <c r="AD258" i="3"/>
  <c r="AC258" i="3"/>
  <c r="AK258" i="3" s="1"/>
  <c r="AB258" i="3"/>
  <c r="AJ258" i="3" s="1"/>
  <c r="R258" i="3"/>
  <c r="P258" i="3"/>
  <c r="N258" i="3"/>
  <c r="AE258" i="3" s="1"/>
  <c r="G258" i="3"/>
  <c r="F258" i="3"/>
  <c r="AO257" i="3"/>
  <c r="AN257" i="3"/>
  <c r="AM257" i="3"/>
  <c r="AL257" i="3"/>
  <c r="AI257" i="3"/>
  <c r="AH257" i="3"/>
  <c r="AG257" i="3"/>
  <c r="AF257" i="3"/>
  <c r="AD257" i="3"/>
  <c r="AC257" i="3"/>
  <c r="AK257" i="3" s="1"/>
  <c r="AB257" i="3"/>
  <c r="AJ257" i="3" s="1"/>
  <c r="R257" i="3"/>
  <c r="P257" i="3"/>
  <c r="N257" i="3"/>
  <c r="AE257" i="3" s="1"/>
  <c r="G257" i="3"/>
  <c r="F257" i="3"/>
  <c r="AO256" i="3"/>
  <c r="AN256" i="3"/>
  <c r="AM256" i="3"/>
  <c r="AL256" i="3"/>
  <c r="AI256" i="3"/>
  <c r="AH256" i="3"/>
  <c r="AG256" i="3"/>
  <c r="AF256" i="3"/>
  <c r="AD256" i="3"/>
  <c r="AC256" i="3"/>
  <c r="AK256" i="3" s="1"/>
  <c r="AB256" i="3"/>
  <c r="AJ256" i="3" s="1"/>
  <c r="R256" i="3"/>
  <c r="P256" i="3"/>
  <c r="N256" i="3"/>
  <c r="AE256" i="3" s="1"/>
  <c r="G256" i="3"/>
  <c r="F256" i="3"/>
  <c r="AO255" i="3"/>
  <c r="AN255" i="3"/>
  <c r="AM255" i="3"/>
  <c r="AL255" i="3"/>
  <c r="AI255" i="3"/>
  <c r="AH255" i="3"/>
  <c r="AG255" i="3"/>
  <c r="AF255" i="3"/>
  <c r="AD255" i="3"/>
  <c r="AC255" i="3"/>
  <c r="AK255" i="3" s="1"/>
  <c r="AB255" i="3"/>
  <c r="AJ255" i="3" s="1"/>
  <c r="R255" i="3"/>
  <c r="P255" i="3"/>
  <c r="N255" i="3"/>
  <c r="AE255" i="3" s="1"/>
  <c r="G255" i="3"/>
  <c r="F255" i="3"/>
  <c r="AO254" i="3"/>
  <c r="AN254" i="3"/>
  <c r="AM254" i="3"/>
  <c r="AL254" i="3"/>
  <c r="AI254" i="3"/>
  <c r="AH254" i="3"/>
  <c r="AG254" i="3"/>
  <c r="AF254" i="3"/>
  <c r="AD254" i="3"/>
  <c r="AC254" i="3"/>
  <c r="AK254" i="3" s="1"/>
  <c r="AB254" i="3"/>
  <c r="AJ254" i="3" s="1"/>
  <c r="R254" i="3"/>
  <c r="P254" i="3"/>
  <c r="N254" i="3"/>
  <c r="AE254" i="3" s="1"/>
  <c r="G254" i="3"/>
  <c r="F254" i="3"/>
  <c r="AO253" i="3"/>
  <c r="AN253" i="3"/>
  <c r="AM253" i="3"/>
  <c r="AL253" i="3"/>
  <c r="AI253" i="3"/>
  <c r="AH253" i="3"/>
  <c r="AG253" i="3"/>
  <c r="AF253" i="3"/>
  <c r="AD253" i="3"/>
  <c r="AC253" i="3"/>
  <c r="AK253" i="3" s="1"/>
  <c r="AB253" i="3"/>
  <c r="AJ253" i="3" s="1"/>
  <c r="R253" i="3"/>
  <c r="P253" i="3"/>
  <c r="N253" i="3"/>
  <c r="AE253" i="3" s="1"/>
  <c r="G253" i="3"/>
  <c r="F253" i="3"/>
  <c r="AO252" i="3"/>
  <c r="AN252" i="3"/>
  <c r="AM252" i="3"/>
  <c r="AL252" i="3"/>
  <c r="AI252" i="3"/>
  <c r="AH252" i="3"/>
  <c r="AG252" i="3"/>
  <c r="AF252" i="3"/>
  <c r="AD252" i="3"/>
  <c r="AC252" i="3"/>
  <c r="AK252" i="3" s="1"/>
  <c r="AB252" i="3"/>
  <c r="AJ252" i="3" s="1"/>
  <c r="R252" i="3"/>
  <c r="P252" i="3"/>
  <c r="N252" i="3"/>
  <c r="AE252" i="3" s="1"/>
  <c r="G252" i="3"/>
  <c r="F252" i="3"/>
  <c r="AO251" i="3"/>
  <c r="AN251" i="3"/>
  <c r="AM251" i="3"/>
  <c r="AL251" i="3"/>
  <c r="AI251" i="3"/>
  <c r="AH251" i="3"/>
  <c r="AG251" i="3"/>
  <c r="AF251" i="3"/>
  <c r="AD251" i="3"/>
  <c r="AC251" i="3"/>
  <c r="AK251" i="3" s="1"/>
  <c r="AB251" i="3"/>
  <c r="AJ251" i="3" s="1"/>
  <c r="R251" i="3"/>
  <c r="P251" i="3"/>
  <c r="N251" i="3"/>
  <c r="AE251" i="3" s="1"/>
  <c r="G251" i="3"/>
  <c r="F251" i="3"/>
  <c r="AO250" i="3"/>
  <c r="AN250" i="3"/>
  <c r="AM250" i="3"/>
  <c r="AL250" i="3"/>
  <c r="AI250" i="3"/>
  <c r="AH250" i="3"/>
  <c r="AG250" i="3"/>
  <c r="AF250" i="3"/>
  <c r="AD250" i="3"/>
  <c r="AC250" i="3"/>
  <c r="AK250" i="3" s="1"/>
  <c r="AB250" i="3"/>
  <c r="AJ250" i="3" s="1"/>
  <c r="R250" i="3"/>
  <c r="P250" i="3"/>
  <c r="N250" i="3"/>
  <c r="AE250" i="3" s="1"/>
  <c r="G250" i="3"/>
  <c r="F250" i="3"/>
  <c r="AO249" i="3"/>
  <c r="AN249" i="3"/>
  <c r="AM249" i="3"/>
  <c r="AL249" i="3"/>
  <c r="AI249" i="3"/>
  <c r="AH249" i="3"/>
  <c r="AG249" i="3"/>
  <c r="AF249" i="3"/>
  <c r="AD249" i="3"/>
  <c r="AC249" i="3"/>
  <c r="AK249" i="3" s="1"/>
  <c r="AB249" i="3"/>
  <c r="AJ249" i="3" s="1"/>
  <c r="R249" i="3"/>
  <c r="P249" i="3"/>
  <c r="N249" i="3"/>
  <c r="AE249" i="3" s="1"/>
  <c r="G249" i="3"/>
  <c r="F249" i="3"/>
  <c r="AO248" i="3"/>
  <c r="AN248" i="3"/>
  <c r="AM248" i="3"/>
  <c r="AL248" i="3"/>
  <c r="AI248" i="3"/>
  <c r="AH248" i="3"/>
  <c r="AG248" i="3"/>
  <c r="AF248" i="3"/>
  <c r="AD248" i="3"/>
  <c r="AC248" i="3"/>
  <c r="AK248" i="3" s="1"/>
  <c r="AB248" i="3"/>
  <c r="AJ248" i="3" s="1"/>
  <c r="R248" i="3"/>
  <c r="P248" i="3"/>
  <c r="N248" i="3"/>
  <c r="AE248" i="3" s="1"/>
  <c r="G248" i="3"/>
  <c r="F248" i="3"/>
  <c r="AO247" i="3"/>
  <c r="AN247" i="3"/>
  <c r="AM247" i="3"/>
  <c r="AL247" i="3"/>
  <c r="AI247" i="3"/>
  <c r="AH247" i="3"/>
  <c r="AG247" i="3"/>
  <c r="AF247" i="3"/>
  <c r="AD247" i="3"/>
  <c r="AC247" i="3"/>
  <c r="AK247" i="3" s="1"/>
  <c r="AB247" i="3"/>
  <c r="AJ247" i="3" s="1"/>
  <c r="R247" i="3"/>
  <c r="P247" i="3"/>
  <c r="N247" i="3"/>
  <c r="AE247" i="3" s="1"/>
  <c r="G247" i="3"/>
  <c r="F247" i="3"/>
  <c r="AO246" i="3"/>
  <c r="AN246" i="3"/>
  <c r="AM246" i="3"/>
  <c r="AL246" i="3"/>
  <c r="AI246" i="3"/>
  <c r="AH246" i="3"/>
  <c r="AG246" i="3"/>
  <c r="AF246" i="3"/>
  <c r="AD246" i="3"/>
  <c r="AC246" i="3"/>
  <c r="AK246" i="3" s="1"/>
  <c r="AB246" i="3"/>
  <c r="AJ246" i="3" s="1"/>
  <c r="R246" i="3"/>
  <c r="P246" i="3"/>
  <c r="N246" i="3"/>
  <c r="AE246" i="3" s="1"/>
  <c r="G246" i="3"/>
  <c r="F246" i="3"/>
  <c r="AO245" i="3"/>
  <c r="AN245" i="3"/>
  <c r="AM245" i="3"/>
  <c r="AL245" i="3"/>
  <c r="AI245" i="3"/>
  <c r="AH245" i="3"/>
  <c r="AG245" i="3"/>
  <c r="AF245" i="3"/>
  <c r="AD245" i="3"/>
  <c r="AC245" i="3"/>
  <c r="AK245" i="3" s="1"/>
  <c r="AB245" i="3"/>
  <c r="AJ245" i="3" s="1"/>
  <c r="R245" i="3"/>
  <c r="P245" i="3"/>
  <c r="N245" i="3"/>
  <c r="AE245" i="3" s="1"/>
  <c r="G245" i="3"/>
  <c r="F245" i="3"/>
  <c r="AO244" i="3"/>
  <c r="AN244" i="3"/>
  <c r="AM244" i="3"/>
  <c r="AL244" i="3"/>
  <c r="AI244" i="3"/>
  <c r="AH244" i="3"/>
  <c r="AG244" i="3"/>
  <c r="AF244" i="3"/>
  <c r="AD244" i="3"/>
  <c r="AC244" i="3"/>
  <c r="AK244" i="3" s="1"/>
  <c r="AB244" i="3"/>
  <c r="AJ244" i="3" s="1"/>
  <c r="R244" i="3"/>
  <c r="P244" i="3"/>
  <c r="N244" i="3"/>
  <c r="AE244" i="3" s="1"/>
  <c r="G244" i="3"/>
  <c r="F244" i="3"/>
  <c r="AO243" i="3"/>
  <c r="AN243" i="3"/>
  <c r="AM243" i="3"/>
  <c r="AL243" i="3"/>
  <c r="AI243" i="3"/>
  <c r="AH243" i="3"/>
  <c r="AG243" i="3"/>
  <c r="AF243" i="3"/>
  <c r="AD243" i="3"/>
  <c r="AC243" i="3"/>
  <c r="AK243" i="3" s="1"/>
  <c r="AB243" i="3"/>
  <c r="AJ243" i="3" s="1"/>
  <c r="R243" i="3"/>
  <c r="P243" i="3"/>
  <c r="N243" i="3"/>
  <c r="AE243" i="3" s="1"/>
  <c r="G243" i="3"/>
  <c r="F243" i="3"/>
  <c r="AO242" i="3"/>
  <c r="AN242" i="3"/>
  <c r="AM242" i="3"/>
  <c r="AL242" i="3"/>
  <c r="AI242" i="3"/>
  <c r="AH242" i="3"/>
  <c r="AG242" i="3"/>
  <c r="AF242" i="3"/>
  <c r="AD242" i="3"/>
  <c r="AC242" i="3"/>
  <c r="AK242" i="3" s="1"/>
  <c r="AB242" i="3"/>
  <c r="AJ242" i="3" s="1"/>
  <c r="R242" i="3"/>
  <c r="P242" i="3"/>
  <c r="N242" i="3"/>
  <c r="AE242" i="3" s="1"/>
  <c r="G242" i="3"/>
  <c r="F242" i="3"/>
  <c r="AO241" i="3"/>
  <c r="AN241" i="3"/>
  <c r="AM241" i="3"/>
  <c r="AL241" i="3"/>
  <c r="AI241" i="3"/>
  <c r="AH241" i="3"/>
  <c r="AG241" i="3"/>
  <c r="AF241" i="3"/>
  <c r="AD241" i="3"/>
  <c r="AC241" i="3"/>
  <c r="AK241" i="3" s="1"/>
  <c r="AB241" i="3"/>
  <c r="AJ241" i="3" s="1"/>
  <c r="R241" i="3"/>
  <c r="P241" i="3"/>
  <c r="N241" i="3"/>
  <c r="AE241" i="3" s="1"/>
  <c r="G241" i="3"/>
  <c r="F241" i="3"/>
  <c r="AO240" i="3"/>
  <c r="AN240" i="3"/>
  <c r="AM240" i="3"/>
  <c r="AL240" i="3"/>
  <c r="AI240" i="3"/>
  <c r="AH240" i="3"/>
  <c r="AG240" i="3"/>
  <c r="AF240" i="3"/>
  <c r="AD240" i="3"/>
  <c r="AC240" i="3"/>
  <c r="AK240" i="3" s="1"/>
  <c r="AB240" i="3"/>
  <c r="AJ240" i="3" s="1"/>
  <c r="R240" i="3"/>
  <c r="P240" i="3"/>
  <c r="N240" i="3"/>
  <c r="AE240" i="3" s="1"/>
  <c r="G240" i="3"/>
  <c r="F240" i="3"/>
  <c r="AO239" i="3"/>
  <c r="AN239" i="3"/>
  <c r="AM239" i="3"/>
  <c r="AL239" i="3"/>
  <c r="AI239" i="3"/>
  <c r="AH239" i="3"/>
  <c r="AG239" i="3"/>
  <c r="AF239" i="3"/>
  <c r="AD239" i="3"/>
  <c r="AC239" i="3"/>
  <c r="AK239" i="3" s="1"/>
  <c r="AB239" i="3"/>
  <c r="AJ239" i="3" s="1"/>
  <c r="R239" i="3"/>
  <c r="P239" i="3"/>
  <c r="N239" i="3"/>
  <c r="AE239" i="3" s="1"/>
  <c r="G239" i="3"/>
  <c r="F239" i="3"/>
  <c r="AO238" i="3"/>
  <c r="AN238" i="3"/>
  <c r="AM238" i="3"/>
  <c r="AL238" i="3"/>
  <c r="AI238" i="3"/>
  <c r="AH238" i="3"/>
  <c r="AG238" i="3"/>
  <c r="AF238" i="3"/>
  <c r="AD238" i="3"/>
  <c r="AC238" i="3"/>
  <c r="AK238" i="3" s="1"/>
  <c r="AB238" i="3"/>
  <c r="AJ238" i="3" s="1"/>
  <c r="R238" i="3"/>
  <c r="P238" i="3"/>
  <c r="N238" i="3"/>
  <c r="AE238" i="3" s="1"/>
  <c r="G238" i="3"/>
  <c r="F238" i="3"/>
  <c r="AO237" i="3"/>
  <c r="AN237" i="3"/>
  <c r="AM237" i="3"/>
  <c r="AL237" i="3"/>
  <c r="AI237" i="3"/>
  <c r="AH237" i="3"/>
  <c r="AG237" i="3"/>
  <c r="AF237" i="3"/>
  <c r="AD237" i="3"/>
  <c r="AC237" i="3"/>
  <c r="AK237" i="3" s="1"/>
  <c r="AB237" i="3"/>
  <c r="AJ237" i="3" s="1"/>
  <c r="R237" i="3"/>
  <c r="P237" i="3"/>
  <c r="N237" i="3"/>
  <c r="AE237" i="3" s="1"/>
  <c r="G237" i="3"/>
  <c r="F237" i="3"/>
  <c r="AO236" i="3"/>
  <c r="AN236" i="3"/>
  <c r="AM236" i="3"/>
  <c r="AL236" i="3"/>
  <c r="AI236" i="3"/>
  <c r="AH236" i="3"/>
  <c r="AG236" i="3"/>
  <c r="AF236" i="3"/>
  <c r="AD236" i="3"/>
  <c r="AC236" i="3"/>
  <c r="AK236" i="3" s="1"/>
  <c r="AB236" i="3"/>
  <c r="AJ236" i="3" s="1"/>
  <c r="R236" i="3"/>
  <c r="P236" i="3"/>
  <c r="N236" i="3"/>
  <c r="AE236" i="3" s="1"/>
  <c r="G236" i="3"/>
  <c r="F236" i="3"/>
  <c r="AO235" i="3"/>
  <c r="AN235" i="3"/>
  <c r="AM235" i="3"/>
  <c r="AL235" i="3"/>
  <c r="AI235" i="3"/>
  <c r="AH235" i="3"/>
  <c r="AG235" i="3"/>
  <c r="AF235" i="3"/>
  <c r="AD235" i="3"/>
  <c r="AC235" i="3"/>
  <c r="AK235" i="3" s="1"/>
  <c r="AB235" i="3"/>
  <c r="AJ235" i="3" s="1"/>
  <c r="R235" i="3"/>
  <c r="P235" i="3"/>
  <c r="N235" i="3"/>
  <c r="AE235" i="3" s="1"/>
  <c r="G235" i="3"/>
  <c r="F235" i="3"/>
  <c r="AO234" i="3"/>
  <c r="AN234" i="3"/>
  <c r="AM234" i="3"/>
  <c r="AL234" i="3"/>
  <c r="AI234" i="3"/>
  <c r="AH234" i="3"/>
  <c r="AG234" i="3"/>
  <c r="AF234" i="3"/>
  <c r="AD234" i="3"/>
  <c r="AC234" i="3"/>
  <c r="AK234" i="3" s="1"/>
  <c r="AB234" i="3"/>
  <c r="AJ234" i="3" s="1"/>
  <c r="R234" i="3"/>
  <c r="P234" i="3"/>
  <c r="N234" i="3"/>
  <c r="AE234" i="3" s="1"/>
  <c r="G234" i="3"/>
  <c r="F234" i="3"/>
  <c r="AO233" i="3"/>
  <c r="AN233" i="3"/>
  <c r="AM233" i="3"/>
  <c r="AL233" i="3"/>
  <c r="AI233" i="3"/>
  <c r="AH233" i="3"/>
  <c r="AG233" i="3"/>
  <c r="AF233" i="3"/>
  <c r="AD233" i="3"/>
  <c r="AC233" i="3"/>
  <c r="AK233" i="3" s="1"/>
  <c r="AB233" i="3"/>
  <c r="AJ233" i="3" s="1"/>
  <c r="R233" i="3"/>
  <c r="P233" i="3"/>
  <c r="N233" i="3"/>
  <c r="AE233" i="3" s="1"/>
  <c r="G233" i="3"/>
  <c r="F233" i="3"/>
  <c r="AO232" i="3"/>
  <c r="AN232" i="3"/>
  <c r="AM232" i="3"/>
  <c r="AL232" i="3"/>
  <c r="AI232" i="3"/>
  <c r="AH232" i="3"/>
  <c r="AG232" i="3"/>
  <c r="AF232" i="3"/>
  <c r="AD232" i="3"/>
  <c r="AC232" i="3"/>
  <c r="AK232" i="3" s="1"/>
  <c r="AB232" i="3"/>
  <c r="AJ232" i="3" s="1"/>
  <c r="R232" i="3"/>
  <c r="P232" i="3"/>
  <c r="N232" i="3"/>
  <c r="AE232" i="3" s="1"/>
  <c r="G232" i="3"/>
  <c r="F232" i="3"/>
  <c r="AO231" i="3"/>
  <c r="AN231" i="3"/>
  <c r="AM231" i="3"/>
  <c r="AL231" i="3"/>
  <c r="AI231" i="3"/>
  <c r="AH231" i="3"/>
  <c r="AG231" i="3"/>
  <c r="AF231" i="3"/>
  <c r="AD231" i="3"/>
  <c r="AC231" i="3"/>
  <c r="AK231" i="3" s="1"/>
  <c r="AB231" i="3"/>
  <c r="AJ231" i="3" s="1"/>
  <c r="R231" i="3"/>
  <c r="P231" i="3"/>
  <c r="N231" i="3"/>
  <c r="AE231" i="3" s="1"/>
  <c r="G231" i="3"/>
  <c r="F231" i="3"/>
  <c r="AO230" i="3"/>
  <c r="AN230" i="3"/>
  <c r="AM230" i="3"/>
  <c r="AL230" i="3"/>
  <c r="AI230" i="3"/>
  <c r="AH230" i="3"/>
  <c r="AG230" i="3"/>
  <c r="AF230" i="3"/>
  <c r="AD230" i="3"/>
  <c r="AC230" i="3"/>
  <c r="AK230" i="3" s="1"/>
  <c r="AB230" i="3"/>
  <c r="AJ230" i="3" s="1"/>
  <c r="R230" i="3"/>
  <c r="P230" i="3"/>
  <c r="N230" i="3"/>
  <c r="AE230" i="3" s="1"/>
  <c r="G230" i="3"/>
  <c r="F230" i="3"/>
  <c r="AO229" i="3"/>
  <c r="AN229" i="3"/>
  <c r="AM229" i="3"/>
  <c r="AL229" i="3"/>
  <c r="AI229" i="3"/>
  <c r="AH229" i="3"/>
  <c r="AG229" i="3"/>
  <c r="AF229" i="3"/>
  <c r="AD229" i="3"/>
  <c r="AC229" i="3"/>
  <c r="AK229" i="3" s="1"/>
  <c r="AB229" i="3"/>
  <c r="AJ229" i="3" s="1"/>
  <c r="R229" i="3"/>
  <c r="P229" i="3"/>
  <c r="N229" i="3"/>
  <c r="AE229" i="3" s="1"/>
  <c r="G229" i="3"/>
  <c r="F229" i="3"/>
  <c r="AO228" i="3"/>
  <c r="AN228" i="3"/>
  <c r="AM228" i="3"/>
  <c r="AL228" i="3"/>
  <c r="AI228" i="3"/>
  <c r="AH228" i="3"/>
  <c r="AG228" i="3"/>
  <c r="AF228" i="3"/>
  <c r="AD228" i="3"/>
  <c r="AC228" i="3"/>
  <c r="AK228" i="3" s="1"/>
  <c r="AB228" i="3"/>
  <c r="AJ228" i="3" s="1"/>
  <c r="R228" i="3"/>
  <c r="P228" i="3"/>
  <c r="N228" i="3"/>
  <c r="AE228" i="3" s="1"/>
  <c r="G228" i="3"/>
  <c r="F228" i="3"/>
  <c r="AO227" i="3"/>
  <c r="AN227" i="3"/>
  <c r="AM227" i="3"/>
  <c r="AL227" i="3"/>
  <c r="AI227" i="3"/>
  <c r="AH227" i="3"/>
  <c r="AG227" i="3"/>
  <c r="AF227" i="3"/>
  <c r="AD227" i="3"/>
  <c r="AC227" i="3"/>
  <c r="AK227" i="3" s="1"/>
  <c r="AB227" i="3"/>
  <c r="AJ227" i="3" s="1"/>
  <c r="R227" i="3"/>
  <c r="P227" i="3"/>
  <c r="N227" i="3"/>
  <c r="AE227" i="3" s="1"/>
  <c r="G227" i="3"/>
  <c r="F227" i="3"/>
  <c r="AO226" i="3"/>
  <c r="AN226" i="3"/>
  <c r="AM226" i="3"/>
  <c r="AL226" i="3"/>
  <c r="AI226" i="3"/>
  <c r="AH226" i="3"/>
  <c r="AG226" i="3"/>
  <c r="AF226" i="3"/>
  <c r="AD226" i="3"/>
  <c r="AC226" i="3"/>
  <c r="AK226" i="3" s="1"/>
  <c r="AB226" i="3"/>
  <c r="AJ226" i="3" s="1"/>
  <c r="R226" i="3"/>
  <c r="P226" i="3"/>
  <c r="N226" i="3"/>
  <c r="AE226" i="3" s="1"/>
  <c r="G226" i="3"/>
  <c r="F226" i="3"/>
  <c r="AO225" i="3"/>
  <c r="AN225" i="3"/>
  <c r="AM225" i="3"/>
  <c r="AL225" i="3"/>
  <c r="AI225" i="3"/>
  <c r="AH225" i="3"/>
  <c r="AG225" i="3"/>
  <c r="AF225" i="3"/>
  <c r="AD225" i="3"/>
  <c r="AC225" i="3"/>
  <c r="AK225" i="3" s="1"/>
  <c r="AB225" i="3"/>
  <c r="AJ225" i="3" s="1"/>
  <c r="R225" i="3"/>
  <c r="P225" i="3"/>
  <c r="N225" i="3"/>
  <c r="AE225" i="3" s="1"/>
  <c r="G225" i="3"/>
  <c r="F225" i="3"/>
  <c r="AO224" i="3"/>
  <c r="AN224" i="3"/>
  <c r="AM224" i="3"/>
  <c r="AL224" i="3"/>
  <c r="AI224" i="3"/>
  <c r="AH224" i="3"/>
  <c r="AG224" i="3"/>
  <c r="AF224" i="3"/>
  <c r="AD224" i="3"/>
  <c r="AC224" i="3"/>
  <c r="AK224" i="3" s="1"/>
  <c r="AB224" i="3"/>
  <c r="AJ224" i="3" s="1"/>
  <c r="R224" i="3"/>
  <c r="P224" i="3"/>
  <c r="N224" i="3"/>
  <c r="AE224" i="3" s="1"/>
  <c r="G224" i="3"/>
  <c r="F224" i="3"/>
  <c r="AO223" i="3"/>
  <c r="AN223" i="3"/>
  <c r="AM223" i="3"/>
  <c r="AL223" i="3"/>
  <c r="AI223" i="3"/>
  <c r="AH223" i="3"/>
  <c r="AG223" i="3"/>
  <c r="AF223" i="3"/>
  <c r="AD223" i="3"/>
  <c r="AC223" i="3"/>
  <c r="AK223" i="3" s="1"/>
  <c r="AB223" i="3"/>
  <c r="AJ223" i="3" s="1"/>
  <c r="R223" i="3"/>
  <c r="P223" i="3"/>
  <c r="N223" i="3"/>
  <c r="AE223" i="3" s="1"/>
  <c r="G223" i="3"/>
  <c r="F223" i="3"/>
  <c r="AO222" i="3"/>
  <c r="AN222" i="3"/>
  <c r="AM222" i="3"/>
  <c r="AL222" i="3"/>
  <c r="AI222" i="3"/>
  <c r="AH222" i="3"/>
  <c r="AG222" i="3"/>
  <c r="AF222" i="3"/>
  <c r="AD222" i="3"/>
  <c r="AC222" i="3"/>
  <c r="AK222" i="3" s="1"/>
  <c r="AB222" i="3"/>
  <c r="AJ222" i="3" s="1"/>
  <c r="R222" i="3"/>
  <c r="P222" i="3"/>
  <c r="N222" i="3"/>
  <c r="AE222" i="3" s="1"/>
  <c r="G222" i="3"/>
  <c r="F222" i="3"/>
  <c r="AO221" i="3"/>
  <c r="AN221" i="3"/>
  <c r="AM221" i="3"/>
  <c r="AL221" i="3"/>
  <c r="AI221" i="3"/>
  <c r="AH221" i="3"/>
  <c r="AG221" i="3"/>
  <c r="AF221" i="3"/>
  <c r="AD221" i="3"/>
  <c r="AC221" i="3"/>
  <c r="AK221" i="3" s="1"/>
  <c r="AB221" i="3"/>
  <c r="AJ221" i="3" s="1"/>
  <c r="R221" i="3"/>
  <c r="P221" i="3"/>
  <c r="N221" i="3"/>
  <c r="AE221" i="3" s="1"/>
  <c r="G221" i="3"/>
  <c r="F221" i="3"/>
  <c r="AO220" i="3"/>
  <c r="AN220" i="3"/>
  <c r="AM220" i="3"/>
  <c r="AL220" i="3"/>
  <c r="AI220" i="3"/>
  <c r="AH220" i="3"/>
  <c r="AG220" i="3"/>
  <c r="AF220" i="3"/>
  <c r="AD220" i="3"/>
  <c r="AC220" i="3"/>
  <c r="AK220" i="3" s="1"/>
  <c r="AB220" i="3"/>
  <c r="AJ220" i="3" s="1"/>
  <c r="R220" i="3"/>
  <c r="P220" i="3"/>
  <c r="N220" i="3"/>
  <c r="AE220" i="3" s="1"/>
  <c r="G220" i="3"/>
  <c r="F220" i="3"/>
  <c r="AO219" i="3"/>
  <c r="AN219" i="3"/>
  <c r="AM219" i="3"/>
  <c r="AL219" i="3"/>
  <c r="AI219" i="3"/>
  <c r="AH219" i="3"/>
  <c r="AG219" i="3"/>
  <c r="AF219" i="3"/>
  <c r="AD219" i="3"/>
  <c r="AC219" i="3"/>
  <c r="AK219" i="3" s="1"/>
  <c r="AB219" i="3"/>
  <c r="AJ219" i="3" s="1"/>
  <c r="R219" i="3"/>
  <c r="P219" i="3"/>
  <c r="N219" i="3"/>
  <c r="AE219" i="3" s="1"/>
  <c r="G219" i="3"/>
  <c r="F219" i="3"/>
  <c r="AO218" i="3"/>
  <c r="AN218" i="3"/>
  <c r="AM218" i="3"/>
  <c r="AL218" i="3"/>
  <c r="AI218" i="3"/>
  <c r="AH218" i="3"/>
  <c r="AG218" i="3"/>
  <c r="AF218" i="3"/>
  <c r="AD218" i="3"/>
  <c r="AC218" i="3"/>
  <c r="AK218" i="3" s="1"/>
  <c r="AB218" i="3"/>
  <c r="AJ218" i="3" s="1"/>
  <c r="R218" i="3"/>
  <c r="P218" i="3"/>
  <c r="N218" i="3"/>
  <c r="AE218" i="3" s="1"/>
  <c r="G218" i="3"/>
  <c r="F218" i="3"/>
  <c r="AO217" i="3"/>
  <c r="AN217" i="3"/>
  <c r="AM217" i="3"/>
  <c r="AL217" i="3"/>
  <c r="AI217" i="3"/>
  <c r="AH217" i="3"/>
  <c r="AG217" i="3"/>
  <c r="AF217" i="3"/>
  <c r="AD217" i="3"/>
  <c r="AC217" i="3"/>
  <c r="AK217" i="3" s="1"/>
  <c r="AB217" i="3"/>
  <c r="AJ217" i="3" s="1"/>
  <c r="R217" i="3"/>
  <c r="P217" i="3"/>
  <c r="N217" i="3"/>
  <c r="AE217" i="3" s="1"/>
  <c r="G217" i="3"/>
  <c r="F217" i="3"/>
  <c r="AO216" i="3"/>
  <c r="AN216" i="3"/>
  <c r="AM216" i="3"/>
  <c r="AL216" i="3"/>
  <c r="AI216" i="3"/>
  <c r="AH216" i="3"/>
  <c r="AG216" i="3"/>
  <c r="AF216" i="3"/>
  <c r="AD216" i="3"/>
  <c r="AC216" i="3"/>
  <c r="AK216" i="3" s="1"/>
  <c r="AB216" i="3"/>
  <c r="AJ216" i="3" s="1"/>
  <c r="R216" i="3"/>
  <c r="P216" i="3"/>
  <c r="N216" i="3"/>
  <c r="AE216" i="3" s="1"/>
  <c r="G216" i="3"/>
  <c r="F216" i="3"/>
  <c r="AO215" i="3"/>
  <c r="AN215" i="3"/>
  <c r="AM215" i="3"/>
  <c r="AL215" i="3"/>
  <c r="AI215" i="3"/>
  <c r="AH215" i="3"/>
  <c r="AG215" i="3"/>
  <c r="AF215" i="3"/>
  <c r="AD215" i="3"/>
  <c r="AC215" i="3"/>
  <c r="AK215" i="3" s="1"/>
  <c r="AB215" i="3"/>
  <c r="AJ215" i="3" s="1"/>
  <c r="R215" i="3"/>
  <c r="P215" i="3"/>
  <c r="N215" i="3"/>
  <c r="AE215" i="3" s="1"/>
  <c r="G215" i="3"/>
  <c r="F215" i="3"/>
  <c r="AO214" i="3"/>
  <c r="AN214" i="3"/>
  <c r="AM214" i="3"/>
  <c r="AL214" i="3"/>
  <c r="AI214" i="3"/>
  <c r="AH214" i="3"/>
  <c r="AG214" i="3"/>
  <c r="AF214" i="3"/>
  <c r="AD214" i="3"/>
  <c r="AC214" i="3"/>
  <c r="AK214" i="3" s="1"/>
  <c r="AB214" i="3"/>
  <c r="AJ214" i="3" s="1"/>
  <c r="R214" i="3"/>
  <c r="P214" i="3"/>
  <c r="N214" i="3"/>
  <c r="AE214" i="3" s="1"/>
  <c r="G214" i="3"/>
  <c r="F214" i="3"/>
  <c r="AO213" i="3"/>
  <c r="AN213" i="3"/>
  <c r="AM213" i="3"/>
  <c r="AL213" i="3"/>
  <c r="AI213" i="3"/>
  <c r="AH213" i="3"/>
  <c r="AG213" i="3"/>
  <c r="AF213" i="3"/>
  <c r="AD213" i="3"/>
  <c r="AC213" i="3"/>
  <c r="AK213" i="3" s="1"/>
  <c r="AB213" i="3"/>
  <c r="AJ213" i="3" s="1"/>
  <c r="R213" i="3"/>
  <c r="P213" i="3"/>
  <c r="N213" i="3"/>
  <c r="AE213" i="3" s="1"/>
  <c r="G213" i="3"/>
  <c r="F213" i="3"/>
  <c r="AO212" i="3"/>
  <c r="AN212" i="3"/>
  <c r="AM212" i="3"/>
  <c r="AL212" i="3"/>
  <c r="AI212" i="3"/>
  <c r="AH212" i="3"/>
  <c r="AG212" i="3"/>
  <c r="AF212" i="3"/>
  <c r="AD212" i="3"/>
  <c r="AC212" i="3"/>
  <c r="AK212" i="3" s="1"/>
  <c r="AB212" i="3"/>
  <c r="AJ212" i="3" s="1"/>
  <c r="R212" i="3"/>
  <c r="P212" i="3"/>
  <c r="N212" i="3"/>
  <c r="AE212" i="3" s="1"/>
  <c r="G212" i="3"/>
  <c r="F212" i="3"/>
  <c r="AO211" i="3"/>
  <c r="AN211" i="3"/>
  <c r="AM211" i="3"/>
  <c r="AL211" i="3"/>
  <c r="AI211" i="3"/>
  <c r="AH211" i="3"/>
  <c r="AG211" i="3"/>
  <c r="AF211" i="3"/>
  <c r="AD211" i="3"/>
  <c r="AC211" i="3"/>
  <c r="AK211" i="3" s="1"/>
  <c r="AB211" i="3"/>
  <c r="AJ211" i="3" s="1"/>
  <c r="R211" i="3"/>
  <c r="P211" i="3"/>
  <c r="N211" i="3"/>
  <c r="AE211" i="3" s="1"/>
  <c r="G211" i="3"/>
  <c r="F211" i="3"/>
  <c r="AO210" i="3"/>
  <c r="AN210" i="3"/>
  <c r="AM210" i="3"/>
  <c r="AL210" i="3"/>
  <c r="AI210" i="3"/>
  <c r="AH210" i="3"/>
  <c r="AG210" i="3"/>
  <c r="AF210" i="3"/>
  <c r="AD210" i="3"/>
  <c r="AC210" i="3"/>
  <c r="AK210" i="3" s="1"/>
  <c r="AB210" i="3"/>
  <c r="AJ210" i="3" s="1"/>
  <c r="R210" i="3"/>
  <c r="P210" i="3"/>
  <c r="N210" i="3"/>
  <c r="AE210" i="3" s="1"/>
  <c r="G210" i="3"/>
  <c r="F210" i="3"/>
  <c r="AO209" i="3"/>
  <c r="AN209" i="3"/>
  <c r="AM209" i="3"/>
  <c r="AL209" i="3"/>
  <c r="AI209" i="3"/>
  <c r="AH209" i="3"/>
  <c r="AG209" i="3"/>
  <c r="AF209" i="3"/>
  <c r="AD209" i="3"/>
  <c r="AC209" i="3"/>
  <c r="AK209" i="3" s="1"/>
  <c r="AB209" i="3"/>
  <c r="AJ209" i="3" s="1"/>
  <c r="R209" i="3"/>
  <c r="P209" i="3"/>
  <c r="N209" i="3"/>
  <c r="AE209" i="3" s="1"/>
  <c r="G209" i="3"/>
  <c r="F209" i="3"/>
  <c r="AO208" i="3"/>
  <c r="AN208" i="3"/>
  <c r="AM208" i="3"/>
  <c r="AL208" i="3"/>
  <c r="AI208" i="3"/>
  <c r="AH208" i="3"/>
  <c r="AG208" i="3"/>
  <c r="AF208" i="3"/>
  <c r="AD208" i="3"/>
  <c r="AC208" i="3"/>
  <c r="AK208" i="3" s="1"/>
  <c r="AB208" i="3"/>
  <c r="AJ208" i="3" s="1"/>
  <c r="R208" i="3"/>
  <c r="P208" i="3"/>
  <c r="N208" i="3"/>
  <c r="AE208" i="3" s="1"/>
  <c r="G208" i="3"/>
  <c r="F208" i="3"/>
  <c r="AO207" i="3"/>
  <c r="AN207" i="3"/>
  <c r="AM207" i="3"/>
  <c r="AL207" i="3"/>
  <c r="AI207" i="3"/>
  <c r="AH207" i="3"/>
  <c r="AG207" i="3"/>
  <c r="AF207" i="3"/>
  <c r="AD207" i="3"/>
  <c r="AC207" i="3"/>
  <c r="AK207" i="3" s="1"/>
  <c r="AB207" i="3"/>
  <c r="AJ207" i="3" s="1"/>
  <c r="R207" i="3"/>
  <c r="P207" i="3"/>
  <c r="N207" i="3"/>
  <c r="AE207" i="3" s="1"/>
  <c r="G207" i="3"/>
  <c r="F207" i="3"/>
  <c r="AO206" i="3"/>
  <c r="AN206" i="3"/>
  <c r="AM206" i="3"/>
  <c r="AL206" i="3"/>
  <c r="AI206" i="3"/>
  <c r="AH206" i="3"/>
  <c r="AG206" i="3"/>
  <c r="AF206" i="3"/>
  <c r="AD206" i="3"/>
  <c r="AC206" i="3"/>
  <c r="AK206" i="3" s="1"/>
  <c r="AB206" i="3"/>
  <c r="AJ206" i="3" s="1"/>
  <c r="R206" i="3"/>
  <c r="P206" i="3"/>
  <c r="N206" i="3"/>
  <c r="AE206" i="3" s="1"/>
  <c r="G206" i="3"/>
  <c r="F206" i="3"/>
  <c r="AO205" i="3"/>
  <c r="AN205" i="3"/>
  <c r="AM205" i="3"/>
  <c r="AL205" i="3"/>
  <c r="AI205" i="3"/>
  <c r="AH205" i="3"/>
  <c r="AG205" i="3"/>
  <c r="AF205" i="3"/>
  <c r="AD205" i="3"/>
  <c r="AC205" i="3"/>
  <c r="AK205" i="3" s="1"/>
  <c r="AB205" i="3"/>
  <c r="AJ205" i="3" s="1"/>
  <c r="R205" i="3"/>
  <c r="P205" i="3"/>
  <c r="N205" i="3"/>
  <c r="AE205" i="3" s="1"/>
  <c r="G205" i="3"/>
  <c r="F205" i="3"/>
  <c r="AO204" i="3"/>
  <c r="AN204" i="3"/>
  <c r="AM204" i="3"/>
  <c r="AL204" i="3"/>
  <c r="AI204" i="3"/>
  <c r="AH204" i="3"/>
  <c r="AG204" i="3"/>
  <c r="AF204" i="3"/>
  <c r="AD204" i="3"/>
  <c r="AC204" i="3"/>
  <c r="AK204" i="3" s="1"/>
  <c r="AB204" i="3"/>
  <c r="AJ204" i="3" s="1"/>
  <c r="R204" i="3"/>
  <c r="P204" i="3"/>
  <c r="N204" i="3"/>
  <c r="AE204" i="3" s="1"/>
  <c r="G204" i="3"/>
  <c r="F204" i="3"/>
  <c r="AO203" i="3"/>
  <c r="AN203" i="3"/>
  <c r="AM203" i="3"/>
  <c r="AL203" i="3"/>
  <c r="AI203" i="3"/>
  <c r="AH203" i="3"/>
  <c r="AG203" i="3"/>
  <c r="AF203" i="3"/>
  <c r="AD203" i="3"/>
  <c r="AC203" i="3"/>
  <c r="AK203" i="3" s="1"/>
  <c r="AB203" i="3"/>
  <c r="AJ203" i="3" s="1"/>
  <c r="R203" i="3"/>
  <c r="P203" i="3"/>
  <c r="N203" i="3"/>
  <c r="AE203" i="3" s="1"/>
  <c r="G203" i="3"/>
  <c r="F203" i="3"/>
  <c r="AO202" i="3"/>
  <c r="AN202" i="3"/>
  <c r="AM202" i="3"/>
  <c r="AL202" i="3"/>
  <c r="AI202" i="3"/>
  <c r="AH202" i="3"/>
  <c r="AG202" i="3"/>
  <c r="AF202" i="3"/>
  <c r="AD202" i="3"/>
  <c r="AC202" i="3"/>
  <c r="AK202" i="3" s="1"/>
  <c r="AB202" i="3"/>
  <c r="AJ202" i="3" s="1"/>
  <c r="R202" i="3"/>
  <c r="P202" i="3"/>
  <c r="N202" i="3"/>
  <c r="AE202" i="3" s="1"/>
  <c r="G202" i="3"/>
  <c r="F202" i="3"/>
  <c r="AO201" i="3"/>
  <c r="AN201" i="3"/>
  <c r="AM201" i="3"/>
  <c r="AL201" i="3"/>
  <c r="AI201" i="3"/>
  <c r="AH201" i="3"/>
  <c r="AG201" i="3"/>
  <c r="AF201" i="3"/>
  <c r="AD201" i="3"/>
  <c r="AC201" i="3"/>
  <c r="AK201" i="3" s="1"/>
  <c r="AB201" i="3"/>
  <c r="AJ201" i="3" s="1"/>
  <c r="R201" i="3"/>
  <c r="P201" i="3"/>
  <c r="N201" i="3"/>
  <c r="AE201" i="3" s="1"/>
  <c r="G201" i="3"/>
  <c r="F201" i="3"/>
  <c r="AO200" i="3"/>
  <c r="AN200" i="3"/>
  <c r="AM200" i="3"/>
  <c r="AL200" i="3"/>
  <c r="AI200" i="3"/>
  <c r="AH200" i="3"/>
  <c r="AG200" i="3"/>
  <c r="AF200" i="3"/>
  <c r="AD200" i="3"/>
  <c r="AC200" i="3"/>
  <c r="AK200" i="3" s="1"/>
  <c r="AB200" i="3"/>
  <c r="AJ200" i="3" s="1"/>
  <c r="R200" i="3"/>
  <c r="P200" i="3"/>
  <c r="N200" i="3"/>
  <c r="AE200" i="3" s="1"/>
  <c r="G200" i="3"/>
  <c r="F200" i="3"/>
  <c r="AO199" i="3"/>
  <c r="AN199" i="3"/>
  <c r="AM199" i="3"/>
  <c r="AL199" i="3"/>
  <c r="AI199" i="3"/>
  <c r="AH199" i="3"/>
  <c r="AG199" i="3"/>
  <c r="AF199" i="3"/>
  <c r="AD199" i="3"/>
  <c r="AC199" i="3"/>
  <c r="AK199" i="3" s="1"/>
  <c r="AB199" i="3"/>
  <c r="AJ199" i="3" s="1"/>
  <c r="R199" i="3"/>
  <c r="P199" i="3"/>
  <c r="N199" i="3"/>
  <c r="AE199" i="3" s="1"/>
  <c r="G199" i="3"/>
  <c r="F199" i="3"/>
  <c r="AO198" i="3"/>
  <c r="AN198" i="3"/>
  <c r="AM198" i="3"/>
  <c r="AL198" i="3"/>
  <c r="AI198" i="3"/>
  <c r="AH198" i="3"/>
  <c r="AG198" i="3"/>
  <c r="AF198" i="3"/>
  <c r="AD198" i="3"/>
  <c r="AC198" i="3"/>
  <c r="AK198" i="3" s="1"/>
  <c r="AB198" i="3"/>
  <c r="AJ198" i="3" s="1"/>
  <c r="R198" i="3"/>
  <c r="P198" i="3"/>
  <c r="N198" i="3"/>
  <c r="AE198" i="3" s="1"/>
  <c r="G198" i="3"/>
  <c r="F198" i="3"/>
  <c r="AO197" i="3"/>
  <c r="AN197" i="3"/>
  <c r="AM197" i="3"/>
  <c r="AL197" i="3"/>
  <c r="AI197" i="3"/>
  <c r="AH197" i="3"/>
  <c r="AG197" i="3"/>
  <c r="AF197" i="3"/>
  <c r="AD197" i="3"/>
  <c r="AC197" i="3"/>
  <c r="AK197" i="3" s="1"/>
  <c r="AB197" i="3"/>
  <c r="AJ197" i="3" s="1"/>
  <c r="R197" i="3"/>
  <c r="P197" i="3"/>
  <c r="N197" i="3"/>
  <c r="AE197" i="3" s="1"/>
  <c r="G197" i="3"/>
  <c r="F197" i="3"/>
  <c r="AO196" i="3"/>
  <c r="AN196" i="3"/>
  <c r="AM196" i="3"/>
  <c r="AL196" i="3"/>
  <c r="AI196" i="3"/>
  <c r="AH196" i="3"/>
  <c r="AG196" i="3"/>
  <c r="AF196" i="3"/>
  <c r="AD196" i="3"/>
  <c r="AC196" i="3"/>
  <c r="AK196" i="3" s="1"/>
  <c r="AB196" i="3"/>
  <c r="AJ196" i="3" s="1"/>
  <c r="R196" i="3"/>
  <c r="P196" i="3"/>
  <c r="N196" i="3"/>
  <c r="AE196" i="3" s="1"/>
  <c r="G196" i="3"/>
  <c r="F196" i="3"/>
  <c r="AO195" i="3"/>
  <c r="AN195" i="3"/>
  <c r="AM195" i="3"/>
  <c r="AL195" i="3"/>
  <c r="AI195" i="3"/>
  <c r="AH195" i="3"/>
  <c r="AG195" i="3"/>
  <c r="AF195" i="3"/>
  <c r="AD195" i="3"/>
  <c r="AC195" i="3"/>
  <c r="AK195" i="3" s="1"/>
  <c r="AB195" i="3"/>
  <c r="AJ195" i="3" s="1"/>
  <c r="R195" i="3"/>
  <c r="P195" i="3"/>
  <c r="N195" i="3"/>
  <c r="AE195" i="3" s="1"/>
  <c r="G195" i="3"/>
  <c r="F195" i="3"/>
  <c r="AO194" i="3"/>
  <c r="AN194" i="3"/>
  <c r="AM194" i="3"/>
  <c r="AL194" i="3"/>
  <c r="AI194" i="3"/>
  <c r="AH194" i="3"/>
  <c r="AG194" i="3"/>
  <c r="AF194" i="3"/>
  <c r="AD194" i="3"/>
  <c r="AC194" i="3"/>
  <c r="AK194" i="3" s="1"/>
  <c r="AB194" i="3"/>
  <c r="AJ194" i="3" s="1"/>
  <c r="R194" i="3"/>
  <c r="P194" i="3"/>
  <c r="N194" i="3"/>
  <c r="AE194" i="3" s="1"/>
  <c r="G194" i="3"/>
  <c r="F194" i="3"/>
  <c r="AO193" i="3"/>
  <c r="AN193" i="3"/>
  <c r="AM193" i="3"/>
  <c r="AL193" i="3"/>
  <c r="AI193" i="3"/>
  <c r="AH193" i="3"/>
  <c r="AG193" i="3"/>
  <c r="AF193" i="3"/>
  <c r="AD193" i="3"/>
  <c r="AC193" i="3"/>
  <c r="AK193" i="3" s="1"/>
  <c r="AB193" i="3"/>
  <c r="AJ193" i="3" s="1"/>
  <c r="R193" i="3"/>
  <c r="P193" i="3"/>
  <c r="N193" i="3"/>
  <c r="AE193" i="3" s="1"/>
  <c r="G193" i="3"/>
  <c r="F193" i="3"/>
  <c r="AO192" i="3"/>
  <c r="AN192" i="3"/>
  <c r="AM192" i="3"/>
  <c r="AL192" i="3"/>
  <c r="AI192" i="3"/>
  <c r="AH192" i="3"/>
  <c r="AG192" i="3"/>
  <c r="AF192" i="3"/>
  <c r="AD192" i="3"/>
  <c r="AC192" i="3"/>
  <c r="AK192" i="3" s="1"/>
  <c r="AB192" i="3"/>
  <c r="AJ192" i="3" s="1"/>
  <c r="R192" i="3"/>
  <c r="P192" i="3"/>
  <c r="N192" i="3"/>
  <c r="AE192" i="3" s="1"/>
  <c r="G192" i="3"/>
  <c r="F192" i="3"/>
  <c r="AO191" i="3"/>
  <c r="AN191" i="3"/>
  <c r="AM191" i="3"/>
  <c r="AL191" i="3"/>
  <c r="AI191" i="3"/>
  <c r="AH191" i="3"/>
  <c r="AG191" i="3"/>
  <c r="AF191" i="3"/>
  <c r="AD191" i="3"/>
  <c r="AC191" i="3"/>
  <c r="AK191" i="3" s="1"/>
  <c r="AB191" i="3"/>
  <c r="AJ191" i="3" s="1"/>
  <c r="R191" i="3"/>
  <c r="P191" i="3"/>
  <c r="N191" i="3"/>
  <c r="AE191" i="3" s="1"/>
  <c r="G191" i="3"/>
  <c r="F191" i="3"/>
  <c r="AO190" i="3"/>
  <c r="AN190" i="3"/>
  <c r="AM190" i="3"/>
  <c r="AL190" i="3"/>
  <c r="AI190" i="3"/>
  <c r="AH190" i="3"/>
  <c r="AG190" i="3"/>
  <c r="AF190" i="3"/>
  <c r="AD190" i="3"/>
  <c r="AC190" i="3"/>
  <c r="AK190" i="3" s="1"/>
  <c r="AB190" i="3"/>
  <c r="AJ190" i="3" s="1"/>
  <c r="R190" i="3"/>
  <c r="P190" i="3"/>
  <c r="N190" i="3"/>
  <c r="AE190" i="3" s="1"/>
  <c r="G190" i="3"/>
  <c r="F190" i="3"/>
  <c r="AO189" i="3"/>
  <c r="AN189" i="3"/>
  <c r="AM189" i="3"/>
  <c r="AL189" i="3"/>
  <c r="AI189" i="3"/>
  <c r="AH189" i="3"/>
  <c r="AG189" i="3"/>
  <c r="AF189" i="3"/>
  <c r="AD189" i="3"/>
  <c r="AC189" i="3"/>
  <c r="AK189" i="3" s="1"/>
  <c r="AB189" i="3"/>
  <c r="AJ189" i="3" s="1"/>
  <c r="R189" i="3"/>
  <c r="P189" i="3"/>
  <c r="N189" i="3"/>
  <c r="AE189" i="3" s="1"/>
  <c r="G189" i="3"/>
  <c r="F189" i="3"/>
  <c r="AO188" i="3"/>
  <c r="AN188" i="3"/>
  <c r="AM188" i="3"/>
  <c r="AL188" i="3"/>
  <c r="AI188" i="3"/>
  <c r="AH188" i="3"/>
  <c r="AG188" i="3"/>
  <c r="AF188" i="3"/>
  <c r="AD188" i="3"/>
  <c r="AC188" i="3"/>
  <c r="AK188" i="3" s="1"/>
  <c r="AB188" i="3"/>
  <c r="AJ188" i="3" s="1"/>
  <c r="R188" i="3"/>
  <c r="P188" i="3"/>
  <c r="N188" i="3"/>
  <c r="AE188" i="3" s="1"/>
  <c r="G188" i="3"/>
  <c r="F188" i="3"/>
  <c r="AO187" i="3"/>
  <c r="AN187" i="3"/>
  <c r="AM187" i="3"/>
  <c r="AL187" i="3"/>
  <c r="AI187" i="3"/>
  <c r="AH187" i="3"/>
  <c r="AG187" i="3"/>
  <c r="AF187" i="3"/>
  <c r="AD187" i="3"/>
  <c r="AC187" i="3"/>
  <c r="AK187" i="3" s="1"/>
  <c r="AB187" i="3"/>
  <c r="AJ187" i="3" s="1"/>
  <c r="R187" i="3"/>
  <c r="P187" i="3"/>
  <c r="N187" i="3"/>
  <c r="AE187" i="3" s="1"/>
  <c r="G187" i="3"/>
  <c r="F187" i="3"/>
  <c r="AO186" i="3"/>
  <c r="AN186" i="3"/>
  <c r="AM186" i="3"/>
  <c r="AL186" i="3"/>
  <c r="AI186" i="3"/>
  <c r="AH186" i="3"/>
  <c r="AG186" i="3"/>
  <c r="AF186" i="3"/>
  <c r="AD186" i="3"/>
  <c r="AC186" i="3"/>
  <c r="AK186" i="3" s="1"/>
  <c r="AB186" i="3"/>
  <c r="AJ186" i="3" s="1"/>
  <c r="R186" i="3"/>
  <c r="P186" i="3"/>
  <c r="N186" i="3"/>
  <c r="AE186" i="3" s="1"/>
  <c r="G186" i="3"/>
  <c r="F186" i="3"/>
  <c r="AO185" i="3"/>
  <c r="AN185" i="3"/>
  <c r="AM185" i="3"/>
  <c r="AL185" i="3"/>
  <c r="AI185" i="3"/>
  <c r="AH185" i="3"/>
  <c r="AG185" i="3"/>
  <c r="AF185" i="3"/>
  <c r="AD185" i="3"/>
  <c r="AC185" i="3"/>
  <c r="AK185" i="3" s="1"/>
  <c r="AB185" i="3"/>
  <c r="AJ185" i="3" s="1"/>
  <c r="R185" i="3"/>
  <c r="P185" i="3"/>
  <c r="N185" i="3"/>
  <c r="AE185" i="3" s="1"/>
  <c r="G185" i="3"/>
  <c r="F185" i="3"/>
  <c r="AO184" i="3"/>
  <c r="AN184" i="3"/>
  <c r="AM184" i="3"/>
  <c r="AL184" i="3"/>
  <c r="AI184" i="3"/>
  <c r="AH184" i="3"/>
  <c r="AG184" i="3"/>
  <c r="AF184" i="3"/>
  <c r="AD184" i="3"/>
  <c r="AC184" i="3"/>
  <c r="AK184" i="3" s="1"/>
  <c r="AB184" i="3"/>
  <c r="AJ184" i="3" s="1"/>
  <c r="R184" i="3"/>
  <c r="P184" i="3"/>
  <c r="N184" i="3"/>
  <c r="AE184" i="3" s="1"/>
  <c r="G184" i="3"/>
  <c r="F184" i="3"/>
  <c r="AO183" i="3"/>
  <c r="AN183" i="3"/>
  <c r="AM183" i="3"/>
  <c r="AL183" i="3"/>
  <c r="AI183" i="3"/>
  <c r="AH183" i="3"/>
  <c r="AG183" i="3"/>
  <c r="AF183" i="3"/>
  <c r="AD183" i="3"/>
  <c r="AC183" i="3"/>
  <c r="AK183" i="3" s="1"/>
  <c r="AB183" i="3"/>
  <c r="AJ183" i="3" s="1"/>
  <c r="R183" i="3"/>
  <c r="P183" i="3"/>
  <c r="N183" i="3"/>
  <c r="AE183" i="3" s="1"/>
  <c r="G183" i="3"/>
  <c r="F183" i="3"/>
  <c r="AO182" i="3"/>
  <c r="AN182" i="3"/>
  <c r="AM182" i="3"/>
  <c r="AL182" i="3"/>
  <c r="AI182" i="3"/>
  <c r="AH182" i="3"/>
  <c r="AG182" i="3"/>
  <c r="AF182" i="3"/>
  <c r="AD182" i="3"/>
  <c r="AC182" i="3"/>
  <c r="AK182" i="3" s="1"/>
  <c r="AB182" i="3"/>
  <c r="AJ182" i="3" s="1"/>
  <c r="R182" i="3"/>
  <c r="P182" i="3"/>
  <c r="N182" i="3"/>
  <c r="AE182" i="3" s="1"/>
  <c r="G182" i="3"/>
  <c r="F182" i="3"/>
  <c r="AO181" i="3"/>
  <c r="AN181" i="3"/>
  <c r="AM181" i="3"/>
  <c r="AL181" i="3"/>
  <c r="AI181" i="3"/>
  <c r="AH181" i="3"/>
  <c r="AG181" i="3"/>
  <c r="AF181" i="3"/>
  <c r="AD181" i="3"/>
  <c r="AC181" i="3"/>
  <c r="AK181" i="3" s="1"/>
  <c r="AB181" i="3"/>
  <c r="AJ181" i="3" s="1"/>
  <c r="R181" i="3"/>
  <c r="P181" i="3"/>
  <c r="N181" i="3"/>
  <c r="AE181" i="3" s="1"/>
  <c r="G181" i="3"/>
  <c r="F181" i="3"/>
  <c r="AO180" i="3"/>
  <c r="AN180" i="3"/>
  <c r="AM180" i="3"/>
  <c r="AL180" i="3"/>
  <c r="AI180" i="3"/>
  <c r="AH180" i="3"/>
  <c r="AG180" i="3"/>
  <c r="AF180" i="3"/>
  <c r="AD180" i="3"/>
  <c r="AC180" i="3"/>
  <c r="AK180" i="3" s="1"/>
  <c r="AB180" i="3"/>
  <c r="AJ180" i="3" s="1"/>
  <c r="R180" i="3"/>
  <c r="P180" i="3"/>
  <c r="N180" i="3"/>
  <c r="AE180" i="3" s="1"/>
  <c r="G180" i="3"/>
  <c r="F180" i="3"/>
  <c r="AO179" i="3"/>
  <c r="AN179" i="3"/>
  <c r="AM179" i="3"/>
  <c r="AL179" i="3"/>
  <c r="AI179" i="3"/>
  <c r="AH179" i="3"/>
  <c r="AG179" i="3"/>
  <c r="AF179" i="3"/>
  <c r="AD179" i="3"/>
  <c r="AC179" i="3"/>
  <c r="AK179" i="3" s="1"/>
  <c r="AB179" i="3"/>
  <c r="AJ179" i="3" s="1"/>
  <c r="R179" i="3"/>
  <c r="P179" i="3"/>
  <c r="N179" i="3"/>
  <c r="AE179" i="3" s="1"/>
  <c r="G179" i="3"/>
  <c r="F179" i="3"/>
  <c r="AO178" i="3"/>
  <c r="AN178" i="3"/>
  <c r="AM178" i="3"/>
  <c r="AL178" i="3"/>
  <c r="AI178" i="3"/>
  <c r="AH178" i="3"/>
  <c r="AG178" i="3"/>
  <c r="AF178" i="3"/>
  <c r="AD178" i="3"/>
  <c r="AC178" i="3"/>
  <c r="AK178" i="3" s="1"/>
  <c r="AB178" i="3"/>
  <c r="AJ178" i="3" s="1"/>
  <c r="R178" i="3"/>
  <c r="P178" i="3"/>
  <c r="N178" i="3"/>
  <c r="AE178" i="3" s="1"/>
  <c r="G178" i="3"/>
  <c r="F178" i="3"/>
  <c r="AO177" i="3"/>
  <c r="AN177" i="3"/>
  <c r="AM177" i="3"/>
  <c r="AL177" i="3"/>
  <c r="AI177" i="3"/>
  <c r="AH177" i="3"/>
  <c r="AG177" i="3"/>
  <c r="AF177" i="3"/>
  <c r="AD177" i="3"/>
  <c r="AC177" i="3"/>
  <c r="AK177" i="3" s="1"/>
  <c r="AB177" i="3"/>
  <c r="AJ177" i="3" s="1"/>
  <c r="R177" i="3"/>
  <c r="P177" i="3"/>
  <c r="N177" i="3"/>
  <c r="AE177" i="3" s="1"/>
  <c r="G177" i="3"/>
  <c r="F177" i="3"/>
  <c r="AO176" i="3"/>
  <c r="AN176" i="3"/>
  <c r="AM176" i="3"/>
  <c r="AL176" i="3"/>
  <c r="AI176" i="3"/>
  <c r="AH176" i="3"/>
  <c r="AG176" i="3"/>
  <c r="AF176" i="3"/>
  <c r="AD176" i="3"/>
  <c r="AC176" i="3"/>
  <c r="AK176" i="3" s="1"/>
  <c r="AB176" i="3"/>
  <c r="AJ176" i="3" s="1"/>
  <c r="R176" i="3"/>
  <c r="P176" i="3"/>
  <c r="N176" i="3"/>
  <c r="AE176" i="3" s="1"/>
  <c r="G176" i="3"/>
  <c r="F176" i="3"/>
  <c r="AO175" i="3"/>
  <c r="AN175" i="3"/>
  <c r="AM175" i="3"/>
  <c r="AL175" i="3"/>
  <c r="AI175" i="3"/>
  <c r="AH175" i="3"/>
  <c r="AG175" i="3"/>
  <c r="AF175" i="3"/>
  <c r="AD175" i="3"/>
  <c r="AC175" i="3"/>
  <c r="AK175" i="3" s="1"/>
  <c r="AB175" i="3"/>
  <c r="AJ175" i="3" s="1"/>
  <c r="R175" i="3"/>
  <c r="P175" i="3"/>
  <c r="N175" i="3"/>
  <c r="AE175" i="3" s="1"/>
  <c r="G175" i="3"/>
  <c r="F175" i="3"/>
  <c r="AO174" i="3"/>
  <c r="AN174" i="3"/>
  <c r="AM174" i="3"/>
  <c r="AL174" i="3"/>
  <c r="AI174" i="3"/>
  <c r="AH174" i="3"/>
  <c r="AG174" i="3"/>
  <c r="AF174" i="3"/>
  <c r="AD174" i="3"/>
  <c r="AC174" i="3"/>
  <c r="AK174" i="3" s="1"/>
  <c r="AB174" i="3"/>
  <c r="AJ174" i="3" s="1"/>
  <c r="R174" i="3"/>
  <c r="P174" i="3"/>
  <c r="N174" i="3"/>
  <c r="AE174" i="3" s="1"/>
  <c r="G174" i="3"/>
  <c r="F174" i="3"/>
  <c r="AO173" i="3"/>
  <c r="AN173" i="3"/>
  <c r="AM173" i="3"/>
  <c r="AL173" i="3"/>
  <c r="AI173" i="3"/>
  <c r="AH173" i="3"/>
  <c r="AG173" i="3"/>
  <c r="AF173" i="3"/>
  <c r="AD173" i="3"/>
  <c r="AC173" i="3"/>
  <c r="AK173" i="3" s="1"/>
  <c r="AB173" i="3"/>
  <c r="AJ173" i="3" s="1"/>
  <c r="R173" i="3"/>
  <c r="P173" i="3"/>
  <c r="N173" i="3"/>
  <c r="AE173" i="3" s="1"/>
  <c r="G173" i="3"/>
  <c r="F173" i="3"/>
  <c r="AO172" i="3"/>
  <c r="AN172" i="3"/>
  <c r="AM172" i="3"/>
  <c r="AL172" i="3"/>
  <c r="AI172" i="3"/>
  <c r="AH172" i="3"/>
  <c r="AG172" i="3"/>
  <c r="AF172" i="3"/>
  <c r="AD172" i="3"/>
  <c r="AC172" i="3"/>
  <c r="AK172" i="3" s="1"/>
  <c r="AB172" i="3"/>
  <c r="AJ172" i="3" s="1"/>
  <c r="R172" i="3"/>
  <c r="P172" i="3"/>
  <c r="N172" i="3"/>
  <c r="AE172" i="3" s="1"/>
  <c r="G172" i="3"/>
  <c r="F172" i="3"/>
  <c r="AO171" i="3"/>
  <c r="AN171" i="3"/>
  <c r="AM171" i="3"/>
  <c r="AL171" i="3"/>
  <c r="AI171" i="3"/>
  <c r="AH171" i="3"/>
  <c r="AG171" i="3"/>
  <c r="AF171" i="3"/>
  <c r="AD171" i="3"/>
  <c r="AC171" i="3"/>
  <c r="AK171" i="3" s="1"/>
  <c r="AB171" i="3"/>
  <c r="AJ171" i="3" s="1"/>
  <c r="R171" i="3"/>
  <c r="P171" i="3"/>
  <c r="N171" i="3"/>
  <c r="AE171" i="3" s="1"/>
  <c r="G171" i="3"/>
  <c r="F171" i="3"/>
  <c r="AO170" i="3"/>
  <c r="AN170" i="3"/>
  <c r="AM170" i="3"/>
  <c r="AL170" i="3"/>
  <c r="AI170" i="3"/>
  <c r="AH170" i="3"/>
  <c r="AG170" i="3"/>
  <c r="AF170" i="3"/>
  <c r="AD170" i="3"/>
  <c r="AC170" i="3"/>
  <c r="AK170" i="3" s="1"/>
  <c r="AB170" i="3"/>
  <c r="AJ170" i="3" s="1"/>
  <c r="R170" i="3"/>
  <c r="P170" i="3"/>
  <c r="N170" i="3"/>
  <c r="AE170" i="3" s="1"/>
  <c r="G170" i="3"/>
  <c r="F170" i="3"/>
  <c r="AO169" i="3"/>
  <c r="AN169" i="3"/>
  <c r="AM169" i="3"/>
  <c r="AL169" i="3"/>
  <c r="AI169" i="3"/>
  <c r="AH169" i="3"/>
  <c r="AG169" i="3"/>
  <c r="AF169" i="3"/>
  <c r="AD169" i="3"/>
  <c r="AC169" i="3"/>
  <c r="AK169" i="3" s="1"/>
  <c r="AB169" i="3"/>
  <c r="AJ169" i="3" s="1"/>
  <c r="R169" i="3"/>
  <c r="P169" i="3"/>
  <c r="N169" i="3"/>
  <c r="AE169" i="3" s="1"/>
  <c r="G169" i="3"/>
  <c r="F169" i="3"/>
  <c r="AO168" i="3"/>
  <c r="AN168" i="3"/>
  <c r="AM168" i="3"/>
  <c r="AL168" i="3"/>
  <c r="AI168" i="3"/>
  <c r="AH168" i="3"/>
  <c r="AG168" i="3"/>
  <c r="AF168" i="3"/>
  <c r="AD168" i="3"/>
  <c r="AC168" i="3"/>
  <c r="AK168" i="3" s="1"/>
  <c r="AB168" i="3"/>
  <c r="AJ168" i="3" s="1"/>
  <c r="R168" i="3"/>
  <c r="P168" i="3"/>
  <c r="N168" i="3"/>
  <c r="AE168" i="3" s="1"/>
  <c r="G168" i="3"/>
  <c r="F168" i="3"/>
  <c r="AO167" i="3"/>
  <c r="AN167" i="3"/>
  <c r="AM167" i="3"/>
  <c r="AL167" i="3"/>
  <c r="AI167" i="3"/>
  <c r="AH167" i="3"/>
  <c r="AG167" i="3"/>
  <c r="AF167" i="3"/>
  <c r="AD167" i="3"/>
  <c r="AC167" i="3"/>
  <c r="AK167" i="3" s="1"/>
  <c r="AB167" i="3"/>
  <c r="AJ167" i="3" s="1"/>
  <c r="R167" i="3"/>
  <c r="P167" i="3"/>
  <c r="N167" i="3"/>
  <c r="AE167" i="3" s="1"/>
  <c r="G167" i="3"/>
  <c r="F167" i="3"/>
  <c r="AO166" i="3"/>
  <c r="AN166" i="3"/>
  <c r="AM166" i="3"/>
  <c r="AL166" i="3"/>
  <c r="AI166" i="3"/>
  <c r="AH166" i="3"/>
  <c r="AG166" i="3"/>
  <c r="AF166" i="3"/>
  <c r="AD166" i="3"/>
  <c r="AC166" i="3"/>
  <c r="AK166" i="3" s="1"/>
  <c r="AB166" i="3"/>
  <c r="AJ166" i="3" s="1"/>
  <c r="R166" i="3"/>
  <c r="P166" i="3"/>
  <c r="N166" i="3"/>
  <c r="AE166" i="3" s="1"/>
  <c r="G166" i="3"/>
  <c r="F166" i="3"/>
  <c r="AO165" i="3"/>
  <c r="AN165" i="3"/>
  <c r="AM165" i="3"/>
  <c r="AL165" i="3"/>
  <c r="AI165" i="3"/>
  <c r="AH165" i="3"/>
  <c r="AG165" i="3"/>
  <c r="AF165" i="3"/>
  <c r="AD165" i="3"/>
  <c r="AC165" i="3"/>
  <c r="AK165" i="3" s="1"/>
  <c r="AB165" i="3"/>
  <c r="AJ165" i="3" s="1"/>
  <c r="R165" i="3"/>
  <c r="P165" i="3"/>
  <c r="N165" i="3"/>
  <c r="AE165" i="3" s="1"/>
  <c r="G165" i="3"/>
  <c r="F165" i="3"/>
  <c r="AO164" i="3"/>
  <c r="AN164" i="3"/>
  <c r="AM164" i="3"/>
  <c r="AL164" i="3"/>
  <c r="AI164" i="3"/>
  <c r="AH164" i="3"/>
  <c r="AG164" i="3"/>
  <c r="AF164" i="3"/>
  <c r="AD164" i="3"/>
  <c r="AC164" i="3"/>
  <c r="AK164" i="3" s="1"/>
  <c r="AB164" i="3"/>
  <c r="AJ164" i="3" s="1"/>
  <c r="R164" i="3"/>
  <c r="P164" i="3"/>
  <c r="N164" i="3"/>
  <c r="AE164" i="3" s="1"/>
  <c r="G164" i="3"/>
  <c r="F164" i="3"/>
  <c r="AO163" i="3"/>
  <c r="AN163" i="3"/>
  <c r="AM163" i="3"/>
  <c r="AL163" i="3"/>
  <c r="AI163" i="3"/>
  <c r="AH163" i="3"/>
  <c r="AG163" i="3"/>
  <c r="AF163" i="3"/>
  <c r="AD163" i="3"/>
  <c r="AC163" i="3"/>
  <c r="AK163" i="3" s="1"/>
  <c r="AB163" i="3"/>
  <c r="AJ163" i="3" s="1"/>
  <c r="R163" i="3"/>
  <c r="P163" i="3"/>
  <c r="N163" i="3"/>
  <c r="AE163" i="3" s="1"/>
  <c r="G163" i="3"/>
  <c r="F163" i="3"/>
  <c r="AO162" i="3"/>
  <c r="AN162" i="3"/>
  <c r="AM162" i="3"/>
  <c r="AL162" i="3"/>
  <c r="AI162" i="3"/>
  <c r="AH162" i="3"/>
  <c r="AG162" i="3"/>
  <c r="AF162" i="3"/>
  <c r="AD162" i="3"/>
  <c r="AC162" i="3"/>
  <c r="AK162" i="3" s="1"/>
  <c r="AB162" i="3"/>
  <c r="AJ162" i="3" s="1"/>
  <c r="R162" i="3"/>
  <c r="P162" i="3"/>
  <c r="N162" i="3"/>
  <c r="AE162" i="3" s="1"/>
  <c r="G162" i="3"/>
  <c r="F162" i="3"/>
  <c r="AO161" i="3"/>
  <c r="AN161" i="3"/>
  <c r="AM161" i="3"/>
  <c r="AL161" i="3"/>
  <c r="AI161" i="3"/>
  <c r="AH161" i="3"/>
  <c r="AG161" i="3"/>
  <c r="AF161" i="3"/>
  <c r="AD161" i="3"/>
  <c r="AC161" i="3"/>
  <c r="AK161" i="3" s="1"/>
  <c r="AB161" i="3"/>
  <c r="AJ161" i="3" s="1"/>
  <c r="R161" i="3"/>
  <c r="P161" i="3"/>
  <c r="N161" i="3"/>
  <c r="AE161" i="3" s="1"/>
  <c r="G161" i="3"/>
  <c r="F161" i="3"/>
  <c r="AO160" i="3"/>
  <c r="AN160" i="3"/>
  <c r="AM160" i="3"/>
  <c r="AL160" i="3"/>
  <c r="AI160" i="3"/>
  <c r="AH160" i="3"/>
  <c r="AG160" i="3"/>
  <c r="AF160" i="3"/>
  <c r="AD160" i="3"/>
  <c r="AC160" i="3"/>
  <c r="AK160" i="3" s="1"/>
  <c r="AB160" i="3"/>
  <c r="AJ160" i="3" s="1"/>
  <c r="R160" i="3"/>
  <c r="P160" i="3"/>
  <c r="N160" i="3"/>
  <c r="AE160" i="3" s="1"/>
  <c r="G160" i="3"/>
  <c r="F160" i="3"/>
  <c r="AO159" i="3"/>
  <c r="AN159" i="3"/>
  <c r="AM159" i="3"/>
  <c r="AL159" i="3"/>
  <c r="AI159" i="3"/>
  <c r="AH159" i="3"/>
  <c r="AG159" i="3"/>
  <c r="AF159" i="3"/>
  <c r="AD159" i="3"/>
  <c r="AC159" i="3"/>
  <c r="AK159" i="3" s="1"/>
  <c r="AB159" i="3"/>
  <c r="AJ159" i="3" s="1"/>
  <c r="R159" i="3"/>
  <c r="P159" i="3"/>
  <c r="N159" i="3"/>
  <c r="AE159" i="3" s="1"/>
  <c r="G159" i="3"/>
  <c r="F159" i="3"/>
  <c r="AO158" i="3"/>
  <c r="AN158" i="3"/>
  <c r="AM158" i="3"/>
  <c r="AL158" i="3"/>
  <c r="AI158" i="3"/>
  <c r="AH158" i="3"/>
  <c r="AG158" i="3"/>
  <c r="AF158" i="3"/>
  <c r="AD158" i="3"/>
  <c r="AC158" i="3"/>
  <c r="AK158" i="3" s="1"/>
  <c r="AB158" i="3"/>
  <c r="AJ158" i="3" s="1"/>
  <c r="R158" i="3"/>
  <c r="P158" i="3"/>
  <c r="N158" i="3"/>
  <c r="AE158" i="3" s="1"/>
  <c r="G158" i="3"/>
  <c r="F158" i="3"/>
  <c r="AO157" i="3"/>
  <c r="AN157" i="3"/>
  <c r="AM157" i="3"/>
  <c r="AL157" i="3"/>
  <c r="AI157" i="3"/>
  <c r="AH157" i="3"/>
  <c r="AG157" i="3"/>
  <c r="AF157" i="3"/>
  <c r="AD157" i="3"/>
  <c r="AC157" i="3"/>
  <c r="AK157" i="3" s="1"/>
  <c r="AB157" i="3"/>
  <c r="AJ157" i="3" s="1"/>
  <c r="R157" i="3"/>
  <c r="P157" i="3"/>
  <c r="N157" i="3"/>
  <c r="AE157" i="3" s="1"/>
  <c r="G157" i="3"/>
  <c r="F157" i="3"/>
  <c r="AO156" i="3"/>
  <c r="AN156" i="3"/>
  <c r="AM156" i="3"/>
  <c r="AL156" i="3"/>
  <c r="AI156" i="3"/>
  <c r="AH156" i="3"/>
  <c r="AG156" i="3"/>
  <c r="AF156" i="3"/>
  <c r="AE156" i="3"/>
  <c r="AD156" i="3"/>
  <c r="AC156" i="3"/>
  <c r="AK156" i="3" s="1"/>
  <c r="AB156" i="3"/>
  <c r="AJ156" i="3" s="1"/>
  <c r="G156" i="3"/>
  <c r="F156" i="3"/>
  <c r="AO155" i="3"/>
  <c r="AN155" i="3"/>
  <c r="AM155" i="3"/>
  <c r="AL155" i="3"/>
  <c r="AI155" i="3"/>
  <c r="AH155" i="3"/>
  <c r="AG155" i="3"/>
  <c r="AF155" i="3"/>
  <c r="AE155" i="3"/>
  <c r="AD155" i="3"/>
  <c r="AC155" i="3"/>
  <c r="AK155" i="3" s="1"/>
  <c r="AB155" i="3"/>
  <c r="AJ155" i="3" s="1"/>
  <c r="G155" i="3"/>
  <c r="F155" i="3"/>
  <c r="AO154" i="3"/>
  <c r="AN154" i="3"/>
  <c r="AM154" i="3"/>
  <c r="AL154" i="3"/>
  <c r="AI154" i="3"/>
  <c r="AH154" i="3"/>
  <c r="AG154" i="3"/>
  <c r="AF154" i="3"/>
  <c r="AE154" i="3"/>
  <c r="AD154" i="3"/>
  <c r="AC154" i="3"/>
  <c r="AK154" i="3" s="1"/>
  <c r="AB154" i="3"/>
  <c r="AJ154" i="3" s="1"/>
  <c r="G154" i="3"/>
  <c r="F154" i="3"/>
  <c r="AO153" i="3"/>
  <c r="AN153" i="3"/>
  <c r="AM153" i="3"/>
  <c r="AL153" i="3"/>
  <c r="AI153" i="3"/>
  <c r="AH153" i="3"/>
  <c r="AG153" i="3"/>
  <c r="AF153" i="3"/>
  <c r="AE153" i="3"/>
  <c r="AD153" i="3"/>
  <c r="AC153" i="3"/>
  <c r="AK153" i="3" s="1"/>
  <c r="AB153" i="3"/>
  <c r="AJ153" i="3" s="1"/>
  <c r="G153" i="3"/>
  <c r="F153" i="3"/>
  <c r="AO152" i="3"/>
  <c r="AN152" i="3"/>
  <c r="AM152" i="3"/>
  <c r="AL152" i="3"/>
  <c r="AI152" i="3"/>
  <c r="AH152" i="3"/>
  <c r="AG152" i="3"/>
  <c r="AF152" i="3"/>
  <c r="AE152" i="3"/>
  <c r="AD152" i="3"/>
  <c r="AC152" i="3"/>
  <c r="AK152" i="3" s="1"/>
  <c r="AB152" i="3"/>
  <c r="AJ152" i="3" s="1"/>
  <c r="G152" i="3"/>
  <c r="F152" i="3"/>
  <c r="AO151" i="3"/>
  <c r="AN151" i="3"/>
  <c r="AM151" i="3"/>
  <c r="AL151" i="3"/>
  <c r="AI151" i="3"/>
  <c r="AH151" i="3"/>
  <c r="AG151" i="3"/>
  <c r="AF151" i="3"/>
  <c r="AE151" i="3"/>
  <c r="AD151" i="3"/>
  <c r="AC151" i="3"/>
  <c r="AK151" i="3" s="1"/>
  <c r="AB151" i="3"/>
  <c r="AJ151" i="3" s="1"/>
  <c r="G151" i="3"/>
  <c r="F151" i="3"/>
  <c r="AO150" i="3"/>
  <c r="AN150" i="3"/>
  <c r="AM150" i="3"/>
  <c r="AL150" i="3"/>
  <c r="AI150" i="3"/>
  <c r="AH150" i="3"/>
  <c r="AG150" i="3"/>
  <c r="AF150" i="3"/>
  <c r="AE150" i="3"/>
  <c r="AD150" i="3"/>
  <c r="AC150" i="3"/>
  <c r="AK150" i="3" s="1"/>
  <c r="AB150" i="3"/>
  <c r="AJ150" i="3" s="1"/>
  <c r="G150" i="3"/>
  <c r="F150" i="3"/>
  <c r="AO149" i="3"/>
  <c r="AN149" i="3"/>
  <c r="AM149" i="3"/>
  <c r="AL149" i="3"/>
  <c r="AI149" i="3"/>
  <c r="AH149" i="3"/>
  <c r="AG149" i="3"/>
  <c r="AF149" i="3"/>
  <c r="AE149" i="3"/>
  <c r="AD149" i="3"/>
  <c r="AC149" i="3"/>
  <c r="AK149" i="3" s="1"/>
  <c r="AB149" i="3"/>
  <c r="AJ149" i="3" s="1"/>
  <c r="G149" i="3"/>
  <c r="F149" i="3"/>
  <c r="AO148" i="3"/>
  <c r="AN148" i="3"/>
  <c r="AM148" i="3"/>
  <c r="AL148" i="3"/>
  <c r="AI148" i="3"/>
  <c r="AH148" i="3"/>
  <c r="AG148" i="3"/>
  <c r="AF148" i="3"/>
  <c r="AE148" i="3"/>
  <c r="AD148" i="3"/>
  <c r="AC148" i="3"/>
  <c r="AK148" i="3" s="1"/>
  <c r="AB148" i="3"/>
  <c r="AJ148" i="3" s="1"/>
  <c r="G148" i="3"/>
  <c r="F148" i="3"/>
  <c r="AO147" i="3"/>
  <c r="AN147" i="3"/>
  <c r="AM147" i="3"/>
  <c r="AL147" i="3"/>
  <c r="AI147" i="3"/>
  <c r="AH147" i="3"/>
  <c r="AG147" i="3"/>
  <c r="AF147" i="3"/>
  <c r="AE147" i="3"/>
  <c r="AD147" i="3"/>
  <c r="AC147" i="3"/>
  <c r="AK147" i="3" s="1"/>
  <c r="AB147" i="3"/>
  <c r="AJ147" i="3" s="1"/>
  <c r="G147" i="3"/>
  <c r="F147" i="3"/>
  <c r="AO146" i="3"/>
  <c r="AN146" i="3"/>
  <c r="AM146" i="3"/>
  <c r="AL146" i="3"/>
  <c r="AI146" i="3"/>
  <c r="AH146" i="3"/>
  <c r="AG146" i="3"/>
  <c r="AF146" i="3"/>
  <c r="AE146" i="3"/>
  <c r="AD146" i="3"/>
  <c r="AC146" i="3"/>
  <c r="AK146" i="3" s="1"/>
  <c r="AB146" i="3"/>
  <c r="AJ146" i="3" s="1"/>
  <c r="G146" i="3"/>
  <c r="F146" i="3"/>
  <c r="AO145" i="3"/>
  <c r="AN145" i="3"/>
  <c r="AM145" i="3"/>
  <c r="AL145" i="3"/>
  <c r="AI145" i="3"/>
  <c r="AH145" i="3"/>
  <c r="AG145" i="3"/>
  <c r="AF145" i="3"/>
  <c r="AE145" i="3"/>
  <c r="AD145" i="3"/>
  <c r="AC145" i="3"/>
  <c r="AK145" i="3" s="1"/>
  <c r="AB145" i="3"/>
  <c r="AJ145" i="3" s="1"/>
  <c r="G145" i="3"/>
  <c r="F145" i="3"/>
  <c r="AO144" i="3"/>
  <c r="AN144" i="3"/>
  <c r="AM144" i="3"/>
  <c r="AL144" i="3"/>
  <c r="AI144" i="3"/>
  <c r="AH144" i="3"/>
  <c r="AG144" i="3"/>
  <c r="AF144" i="3"/>
  <c r="AE144" i="3"/>
  <c r="AD144" i="3"/>
  <c r="AC144" i="3"/>
  <c r="AK144" i="3" s="1"/>
  <c r="AB144" i="3"/>
  <c r="AJ144" i="3" s="1"/>
  <c r="G144" i="3"/>
  <c r="F144" i="3"/>
  <c r="AO143" i="3"/>
  <c r="AN143" i="3"/>
  <c r="AM143" i="3"/>
  <c r="AL143" i="3"/>
  <c r="AI143" i="3"/>
  <c r="AH143" i="3"/>
  <c r="AG143" i="3"/>
  <c r="AF143" i="3"/>
  <c r="AE143" i="3"/>
  <c r="AD143" i="3"/>
  <c r="AC143" i="3"/>
  <c r="AK143" i="3" s="1"/>
  <c r="AB143" i="3"/>
  <c r="AJ143" i="3" s="1"/>
  <c r="G143" i="3"/>
  <c r="F143" i="3"/>
  <c r="AO142" i="3"/>
  <c r="AN142" i="3"/>
  <c r="AM142" i="3"/>
  <c r="AL142" i="3"/>
  <c r="AI142" i="3"/>
  <c r="AH142" i="3"/>
  <c r="AG142" i="3"/>
  <c r="AF142" i="3"/>
  <c r="AE142" i="3"/>
  <c r="AD142" i="3"/>
  <c r="AC142" i="3"/>
  <c r="AK142" i="3" s="1"/>
  <c r="AB142" i="3"/>
  <c r="AJ142" i="3" s="1"/>
  <c r="G142" i="3"/>
  <c r="F142" i="3"/>
  <c r="AO141" i="3"/>
  <c r="AN141" i="3"/>
  <c r="AM141" i="3"/>
  <c r="AL141" i="3"/>
  <c r="AI141" i="3"/>
  <c r="AH141" i="3"/>
  <c r="AG141" i="3"/>
  <c r="AF141" i="3"/>
  <c r="AE141" i="3"/>
  <c r="AD141" i="3"/>
  <c r="AC141" i="3"/>
  <c r="AK141" i="3" s="1"/>
  <c r="AB141" i="3"/>
  <c r="AJ141" i="3" s="1"/>
  <c r="G141" i="3"/>
  <c r="F141" i="3"/>
  <c r="AO140" i="3"/>
  <c r="AN140" i="3"/>
  <c r="AM140" i="3"/>
  <c r="AL140" i="3"/>
  <c r="AI140" i="3"/>
  <c r="AH140" i="3"/>
  <c r="AG140" i="3"/>
  <c r="AF140" i="3"/>
  <c r="AE140" i="3"/>
  <c r="AD140" i="3"/>
  <c r="AC140" i="3"/>
  <c r="AK140" i="3" s="1"/>
  <c r="AB140" i="3"/>
  <c r="AJ140" i="3" s="1"/>
  <c r="G140" i="3"/>
  <c r="F140" i="3"/>
  <c r="AO139" i="3"/>
  <c r="AN139" i="3"/>
  <c r="AM139" i="3"/>
  <c r="AL139" i="3"/>
  <c r="AI139" i="3"/>
  <c r="AH139" i="3"/>
  <c r="AG139" i="3"/>
  <c r="AF139" i="3"/>
  <c r="AE139" i="3"/>
  <c r="AD139" i="3"/>
  <c r="AC139" i="3"/>
  <c r="AK139" i="3" s="1"/>
  <c r="AB139" i="3"/>
  <c r="AJ139" i="3" s="1"/>
  <c r="G139" i="3"/>
  <c r="F139" i="3"/>
  <c r="AO138" i="3"/>
  <c r="AN138" i="3"/>
  <c r="AM138" i="3"/>
  <c r="AL138" i="3"/>
  <c r="AI138" i="3"/>
  <c r="AH138" i="3"/>
  <c r="AG138" i="3"/>
  <c r="AF138" i="3"/>
  <c r="AE138" i="3"/>
  <c r="AD138" i="3"/>
  <c r="AC138" i="3"/>
  <c r="AK138" i="3" s="1"/>
  <c r="AB138" i="3"/>
  <c r="AJ138" i="3" s="1"/>
  <c r="G138" i="3"/>
  <c r="F138" i="3"/>
  <c r="AO137" i="3"/>
  <c r="AN137" i="3"/>
  <c r="AM137" i="3"/>
  <c r="AL137" i="3"/>
  <c r="AI137" i="3"/>
  <c r="AH137" i="3"/>
  <c r="AG137" i="3"/>
  <c r="AF137" i="3"/>
  <c r="AE137" i="3"/>
  <c r="AD137" i="3"/>
  <c r="AC137" i="3"/>
  <c r="AK137" i="3" s="1"/>
  <c r="AB137" i="3"/>
  <c r="AJ137" i="3" s="1"/>
  <c r="G137" i="3"/>
  <c r="F137" i="3"/>
  <c r="AO136" i="3"/>
  <c r="AN136" i="3"/>
  <c r="AM136" i="3"/>
  <c r="AL136" i="3"/>
  <c r="AI136" i="3"/>
  <c r="AH136" i="3"/>
  <c r="AG136" i="3"/>
  <c r="AF136" i="3"/>
  <c r="AE136" i="3"/>
  <c r="AD136" i="3"/>
  <c r="AC136" i="3"/>
  <c r="AK136" i="3" s="1"/>
  <c r="AB136" i="3"/>
  <c r="AJ136" i="3" s="1"/>
  <c r="G136" i="3"/>
  <c r="F136" i="3"/>
  <c r="AO135" i="3"/>
  <c r="AN135" i="3"/>
  <c r="AM135" i="3"/>
  <c r="AL135" i="3"/>
  <c r="AI135" i="3"/>
  <c r="AH135" i="3"/>
  <c r="AG135" i="3"/>
  <c r="AF135" i="3"/>
  <c r="AE135" i="3"/>
  <c r="AD135" i="3"/>
  <c r="AC135" i="3"/>
  <c r="AK135" i="3" s="1"/>
  <c r="AB135" i="3"/>
  <c r="AJ135" i="3" s="1"/>
  <c r="G135" i="3"/>
  <c r="F135" i="3"/>
  <c r="AO134" i="3"/>
  <c r="AN134" i="3"/>
  <c r="AM134" i="3"/>
  <c r="AL134" i="3"/>
  <c r="AI134" i="3"/>
  <c r="AH134" i="3"/>
  <c r="AG134" i="3"/>
  <c r="AF134" i="3"/>
  <c r="AE134" i="3"/>
  <c r="AD134" i="3"/>
  <c r="AC134" i="3"/>
  <c r="AK134" i="3" s="1"/>
  <c r="AB134" i="3"/>
  <c r="AJ134" i="3" s="1"/>
  <c r="G134" i="3"/>
  <c r="F134" i="3"/>
  <c r="AO133" i="3"/>
  <c r="AN133" i="3"/>
  <c r="AM133" i="3"/>
  <c r="AL133" i="3"/>
  <c r="AI133" i="3"/>
  <c r="AH133" i="3"/>
  <c r="AG133" i="3"/>
  <c r="AF133" i="3"/>
  <c r="AE133" i="3"/>
  <c r="AD133" i="3"/>
  <c r="AC133" i="3"/>
  <c r="AK133" i="3" s="1"/>
  <c r="AB133" i="3"/>
  <c r="AJ133" i="3" s="1"/>
  <c r="G133" i="3"/>
  <c r="F133" i="3"/>
  <c r="AO132" i="3"/>
  <c r="AN132" i="3"/>
  <c r="AM132" i="3"/>
  <c r="AL132" i="3"/>
  <c r="AI132" i="3"/>
  <c r="AH132" i="3"/>
  <c r="AG132" i="3"/>
  <c r="AF132" i="3"/>
  <c r="AE132" i="3"/>
  <c r="AD132" i="3"/>
  <c r="AC132" i="3"/>
  <c r="AK132" i="3" s="1"/>
  <c r="AB132" i="3"/>
  <c r="AJ132" i="3" s="1"/>
  <c r="G132" i="3"/>
  <c r="F132" i="3"/>
  <c r="AO131" i="3"/>
  <c r="AN131" i="3"/>
  <c r="AM131" i="3"/>
  <c r="AL131" i="3"/>
  <c r="AI131" i="3"/>
  <c r="AH131" i="3"/>
  <c r="AG131" i="3"/>
  <c r="AF131" i="3"/>
  <c r="AE131" i="3"/>
  <c r="AD131" i="3"/>
  <c r="AC131" i="3"/>
  <c r="AK131" i="3" s="1"/>
  <c r="AB131" i="3"/>
  <c r="AJ131" i="3" s="1"/>
  <c r="G131" i="3"/>
  <c r="F131" i="3"/>
  <c r="AO130" i="3"/>
  <c r="AN130" i="3"/>
  <c r="AM130" i="3"/>
  <c r="AL130" i="3"/>
  <c r="AI130" i="3"/>
  <c r="AH130" i="3"/>
  <c r="AG130" i="3"/>
  <c r="AF130" i="3"/>
  <c r="AE130" i="3"/>
  <c r="AD130" i="3"/>
  <c r="AC130" i="3"/>
  <c r="AK130" i="3" s="1"/>
  <c r="AB130" i="3"/>
  <c r="AJ130" i="3" s="1"/>
  <c r="G130" i="3"/>
  <c r="F130" i="3"/>
  <c r="AO129" i="3"/>
  <c r="AN129" i="3"/>
  <c r="AM129" i="3"/>
  <c r="AL129" i="3"/>
  <c r="AI129" i="3"/>
  <c r="AH129" i="3"/>
  <c r="AG129" i="3"/>
  <c r="AF129" i="3"/>
  <c r="AE129" i="3"/>
  <c r="AD129" i="3"/>
  <c r="AC129" i="3"/>
  <c r="AK129" i="3" s="1"/>
  <c r="AB129" i="3"/>
  <c r="AJ129" i="3" s="1"/>
  <c r="G129" i="3"/>
  <c r="F129" i="3"/>
  <c r="AO128" i="3"/>
  <c r="AN128" i="3"/>
  <c r="AM128" i="3"/>
  <c r="AL128" i="3"/>
  <c r="AI128" i="3"/>
  <c r="AH128" i="3"/>
  <c r="AG128" i="3"/>
  <c r="AF128" i="3"/>
  <c r="AE128" i="3"/>
  <c r="AD128" i="3"/>
  <c r="AC128" i="3"/>
  <c r="AK128" i="3" s="1"/>
  <c r="AB128" i="3"/>
  <c r="AJ128" i="3" s="1"/>
  <c r="G128" i="3"/>
  <c r="F128" i="3"/>
  <c r="AO127" i="3"/>
  <c r="AN127" i="3"/>
  <c r="AM127" i="3"/>
  <c r="AL127" i="3"/>
  <c r="AI127" i="3"/>
  <c r="AH127" i="3"/>
  <c r="AG127" i="3"/>
  <c r="AF127" i="3"/>
  <c r="AE127" i="3"/>
  <c r="AD127" i="3"/>
  <c r="AC127" i="3"/>
  <c r="AK127" i="3" s="1"/>
  <c r="AB127" i="3"/>
  <c r="AJ127" i="3" s="1"/>
  <c r="G127" i="3"/>
  <c r="F127" i="3"/>
  <c r="AO126" i="3"/>
  <c r="AN126" i="3"/>
  <c r="AM126" i="3"/>
  <c r="AL126" i="3"/>
  <c r="AI126" i="3"/>
  <c r="AH126" i="3"/>
  <c r="AG126" i="3"/>
  <c r="AF126" i="3"/>
  <c r="AE126" i="3"/>
  <c r="AD126" i="3"/>
  <c r="AC126" i="3"/>
  <c r="AK126" i="3" s="1"/>
  <c r="AB126" i="3"/>
  <c r="AJ126" i="3" s="1"/>
  <c r="G126" i="3"/>
  <c r="F126" i="3"/>
  <c r="AO125" i="3"/>
  <c r="AN125" i="3"/>
  <c r="AM125" i="3"/>
  <c r="AL125" i="3"/>
  <c r="AI125" i="3"/>
  <c r="AH125" i="3"/>
  <c r="AG125" i="3"/>
  <c r="AF125" i="3"/>
  <c r="AE125" i="3"/>
  <c r="AD125" i="3"/>
  <c r="AC125" i="3"/>
  <c r="AK125" i="3" s="1"/>
  <c r="AB125" i="3"/>
  <c r="AJ125" i="3" s="1"/>
  <c r="G125" i="3"/>
  <c r="F125" i="3"/>
  <c r="AO124" i="3"/>
  <c r="AN124" i="3"/>
  <c r="AM124" i="3"/>
  <c r="AL124" i="3"/>
  <c r="AI124" i="3"/>
  <c r="AH124" i="3"/>
  <c r="AG124" i="3"/>
  <c r="AF124" i="3"/>
  <c r="AE124" i="3"/>
  <c r="AD124" i="3"/>
  <c r="AC124" i="3"/>
  <c r="AK124" i="3" s="1"/>
  <c r="AB124" i="3"/>
  <c r="AJ124" i="3" s="1"/>
  <c r="G124" i="3"/>
  <c r="F124" i="3"/>
  <c r="AO123" i="3"/>
  <c r="AN123" i="3"/>
  <c r="AM123" i="3"/>
  <c r="AL123" i="3"/>
  <c r="AI123" i="3"/>
  <c r="AH123" i="3"/>
  <c r="AG123" i="3"/>
  <c r="AF123" i="3"/>
  <c r="AE123" i="3"/>
  <c r="AD123" i="3"/>
  <c r="AC123" i="3"/>
  <c r="AK123" i="3" s="1"/>
  <c r="AB123" i="3"/>
  <c r="AJ123" i="3" s="1"/>
  <c r="G123" i="3"/>
  <c r="F123" i="3"/>
  <c r="AO122" i="3"/>
  <c r="AN122" i="3"/>
  <c r="AM122" i="3"/>
  <c r="AL122" i="3"/>
  <c r="AI122" i="3"/>
  <c r="AH122" i="3"/>
  <c r="AG122" i="3"/>
  <c r="AF122" i="3"/>
  <c r="AE122" i="3"/>
  <c r="AD122" i="3"/>
  <c r="AC122" i="3"/>
  <c r="AK122" i="3" s="1"/>
  <c r="AB122" i="3"/>
  <c r="AJ122" i="3" s="1"/>
  <c r="G122" i="3"/>
  <c r="F122" i="3"/>
  <c r="AO121" i="3"/>
  <c r="AN121" i="3"/>
  <c r="AM121" i="3"/>
  <c r="AL121" i="3"/>
  <c r="AI121" i="3"/>
  <c r="AH121" i="3"/>
  <c r="AG121" i="3"/>
  <c r="AF121" i="3"/>
  <c r="AE121" i="3"/>
  <c r="AD121" i="3"/>
  <c r="AC121" i="3"/>
  <c r="AK121" i="3" s="1"/>
  <c r="AB121" i="3"/>
  <c r="AJ121" i="3" s="1"/>
  <c r="G121" i="3"/>
  <c r="F121" i="3"/>
  <c r="AO120" i="3"/>
  <c r="AN120" i="3"/>
  <c r="AM120" i="3"/>
  <c r="AL120" i="3"/>
  <c r="AI120" i="3"/>
  <c r="AH120" i="3"/>
  <c r="AG120" i="3"/>
  <c r="AF120" i="3"/>
  <c r="AE120" i="3"/>
  <c r="AD120" i="3"/>
  <c r="AC120" i="3"/>
  <c r="AK120" i="3" s="1"/>
  <c r="AB120" i="3"/>
  <c r="AJ120" i="3" s="1"/>
  <c r="G120" i="3"/>
  <c r="F120" i="3"/>
  <c r="AO119" i="3"/>
  <c r="AN119" i="3"/>
  <c r="AM119" i="3"/>
  <c r="AL119" i="3"/>
  <c r="AI119" i="3"/>
  <c r="AH119" i="3"/>
  <c r="AG119" i="3"/>
  <c r="AF119" i="3"/>
  <c r="AE119" i="3"/>
  <c r="AD119" i="3"/>
  <c r="AC119" i="3"/>
  <c r="AK119" i="3" s="1"/>
  <c r="AB119" i="3"/>
  <c r="AJ119" i="3" s="1"/>
  <c r="G119" i="3"/>
  <c r="F119" i="3"/>
  <c r="AO118" i="3"/>
  <c r="AN118" i="3"/>
  <c r="AM118" i="3"/>
  <c r="AL118" i="3"/>
  <c r="AI118" i="3"/>
  <c r="AH118" i="3"/>
  <c r="AG118" i="3"/>
  <c r="AF118" i="3"/>
  <c r="AE118" i="3"/>
  <c r="AD118" i="3"/>
  <c r="AC118" i="3"/>
  <c r="AK118" i="3" s="1"/>
  <c r="AB118" i="3"/>
  <c r="AJ118" i="3" s="1"/>
  <c r="G118" i="3"/>
  <c r="F118" i="3"/>
  <c r="AO117" i="3"/>
  <c r="AN117" i="3"/>
  <c r="AM117" i="3"/>
  <c r="AL117" i="3"/>
  <c r="AI117" i="3"/>
  <c r="AH117" i="3"/>
  <c r="AG117" i="3"/>
  <c r="AF117" i="3"/>
  <c r="AE117" i="3"/>
  <c r="AD117" i="3"/>
  <c r="AC117" i="3"/>
  <c r="AK117" i="3" s="1"/>
  <c r="AB117" i="3"/>
  <c r="AJ117" i="3" s="1"/>
  <c r="G117" i="3"/>
  <c r="F117" i="3"/>
  <c r="AO116" i="3"/>
  <c r="AN116" i="3"/>
  <c r="AM116" i="3"/>
  <c r="AL116" i="3"/>
  <c r="AI116" i="3"/>
  <c r="AH116" i="3"/>
  <c r="AG116" i="3"/>
  <c r="AF116" i="3"/>
  <c r="AE116" i="3"/>
  <c r="AD116" i="3"/>
  <c r="AC116" i="3"/>
  <c r="AK116" i="3" s="1"/>
  <c r="AB116" i="3"/>
  <c r="AJ116" i="3" s="1"/>
  <c r="G116" i="3"/>
  <c r="F116" i="3"/>
  <c r="AO115" i="3"/>
  <c r="AN115" i="3"/>
  <c r="AM115" i="3"/>
  <c r="AL115" i="3"/>
  <c r="AI115" i="3"/>
  <c r="AH115" i="3"/>
  <c r="AG115" i="3"/>
  <c r="AF115" i="3"/>
  <c r="AE115" i="3"/>
  <c r="AD115" i="3"/>
  <c r="AC115" i="3"/>
  <c r="AK115" i="3" s="1"/>
  <c r="AB115" i="3"/>
  <c r="AJ115" i="3" s="1"/>
  <c r="G115" i="3"/>
  <c r="F115" i="3"/>
  <c r="AO114" i="3"/>
  <c r="AN114" i="3"/>
  <c r="AM114" i="3"/>
  <c r="AL114" i="3"/>
  <c r="AI114" i="3"/>
  <c r="AH114" i="3"/>
  <c r="AG114" i="3"/>
  <c r="AF114" i="3"/>
  <c r="AE114" i="3"/>
  <c r="AD114" i="3"/>
  <c r="AC114" i="3"/>
  <c r="AK114" i="3" s="1"/>
  <c r="AB114" i="3"/>
  <c r="AJ114" i="3" s="1"/>
  <c r="G114" i="3"/>
  <c r="F114" i="3"/>
  <c r="AO113" i="3"/>
  <c r="AN113" i="3"/>
  <c r="AM113" i="3"/>
  <c r="AL113" i="3"/>
  <c r="AI113" i="3"/>
  <c r="AH113" i="3"/>
  <c r="AG113" i="3"/>
  <c r="AF113" i="3"/>
  <c r="AE113" i="3"/>
  <c r="AD113" i="3"/>
  <c r="AC113" i="3"/>
  <c r="AK113" i="3" s="1"/>
  <c r="AB113" i="3"/>
  <c r="AJ113" i="3" s="1"/>
  <c r="G113" i="3"/>
  <c r="F113" i="3"/>
  <c r="AO112" i="3"/>
  <c r="AN112" i="3"/>
  <c r="AM112" i="3"/>
  <c r="AL112" i="3"/>
  <c r="AI112" i="3"/>
  <c r="AH112" i="3"/>
  <c r="AG112" i="3"/>
  <c r="AF112" i="3"/>
  <c r="AE112" i="3"/>
  <c r="AD112" i="3"/>
  <c r="AC112" i="3"/>
  <c r="AK112" i="3" s="1"/>
  <c r="AB112" i="3"/>
  <c r="AJ112" i="3" s="1"/>
  <c r="G112" i="3"/>
  <c r="F112" i="3"/>
  <c r="AO111" i="3"/>
  <c r="AN111" i="3"/>
  <c r="AM111" i="3"/>
  <c r="AL111" i="3"/>
  <c r="AI111" i="3"/>
  <c r="AH111" i="3"/>
  <c r="AG111" i="3"/>
  <c r="AF111" i="3"/>
  <c r="AE111" i="3"/>
  <c r="AD111" i="3"/>
  <c r="AC111" i="3"/>
  <c r="AK111" i="3" s="1"/>
  <c r="AB111" i="3"/>
  <c r="AJ111" i="3" s="1"/>
  <c r="G111" i="3"/>
  <c r="F111" i="3"/>
  <c r="AO110" i="3"/>
  <c r="AN110" i="3"/>
  <c r="AM110" i="3"/>
  <c r="AL110" i="3"/>
  <c r="AI110" i="3"/>
  <c r="AH110" i="3"/>
  <c r="AG110" i="3"/>
  <c r="AF110" i="3"/>
  <c r="AE110" i="3"/>
  <c r="AD110" i="3"/>
  <c r="AC110" i="3"/>
  <c r="AK110" i="3" s="1"/>
  <c r="AB110" i="3"/>
  <c r="AJ110" i="3" s="1"/>
  <c r="G110" i="3"/>
  <c r="F110" i="3"/>
  <c r="AO109" i="3"/>
  <c r="AN109" i="3"/>
  <c r="AM109" i="3"/>
  <c r="AL109" i="3"/>
  <c r="AI109" i="3"/>
  <c r="AH109" i="3"/>
  <c r="AG109" i="3"/>
  <c r="AF109" i="3"/>
  <c r="AE109" i="3"/>
  <c r="AD109" i="3"/>
  <c r="AC109" i="3"/>
  <c r="AK109" i="3" s="1"/>
  <c r="AB109" i="3"/>
  <c r="AJ109" i="3" s="1"/>
  <c r="G109" i="3"/>
  <c r="F109" i="3"/>
  <c r="AO108" i="3"/>
  <c r="AN108" i="3"/>
  <c r="AM108" i="3"/>
  <c r="AL108" i="3"/>
  <c r="AI108" i="3"/>
  <c r="AH108" i="3"/>
  <c r="AG108" i="3"/>
  <c r="AF108" i="3"/>
  <c r="AE108" i="3"/>
  <c r="AD108" i="3"/>
  <c r="AC108" i="3"/>
  <c r="AK108" i="3" s="1"/>
  <c r="AB108" i="3"/>
  <c r="AJ108" i="3" s="1"/>
  <c r="G108" i="3"/>
  <c r="F108" i="3"/>
  <c r="AO107" i="3"/>
  <c r="AN107" i="3"/>
  <c r="AM107" i="3"/>
  <c r="AL107" i="3"/>
  <c r="AI107" i="3"/>
  <c r="AH107" i="3"/>
  <c r="AG107" i="3"/>
  <c r="AF107" i="3"/>
  <c r="AE107" i="3"/>
  <c r="AD107" i="3"/>
  <c r="AC107" i="3"/>
  <c r="AK107" i="3" s="1"/>
  <c r="AB107" i="3"/>
  <c r="AJ107" i="3" s="1"/>
  <c r="G107" i="3"/>
  <c r="F107" i="3"/>
  <c r="AO106" i="3"/>
  <c r="AN106" i="3"/>
  <c r="AM106" i="3"/>
  <c r="AL106" i="3"/>
  <c r="AI106" i="3"/>
  <c r="AH106" i="3"/>
  <c r="AG106" i="3"/>
  <c r="AF106" i="3"/>
  <c r="AE106" i="3"/>
  <c r="AD106" i="3"/>
  <c r="AC106" i="3"/>
  <c r="AK106" i="3" s="1"/>
  <c r="AB106" i="3"/>
  <c r="AJ106" i="3" s="1"/>
  <c r="G106" i="3"/>
  <c r="F106" i="3"/>
  <c r="AO105" i="3"/>
  <c r="AN105" i="3"/>
  <c r="AM105" i="3"/>
  <c r="AL105" i="3"/>
  <c r="AI105" i="3"/>
  <c r="AH105" i="3"/>
  <c r="AG105" i="3"/>
  <c r="AF105" i="3"/>
  <c r="AE105" i="3"/>
  <c r="AD105" i="3"/>
  <c r="AC105" i="3"/>
  <c r="AK105" i="3" s="1"/>
  <c r="AB105" i="3"/>
  <c r="AJ105" i="3" s="1"/>
  <c r="G105" i="3"/>
  <c r="F105" i="3"/>
  <c r="AO104" i="3"/>
  <c r="AN104" i="3"/>
  <c r="AM104" i="3"/>
  <c r="AL104" i="3"/>
  <c r="AI104" i="3"/>
  <c r="AH104" i="3"/>
  <c r="AG104" i="3"/>
  <c r="AF104" i="3"/>
  <c r="AE104" i="3"/>
  <c r="AD104" i="3"/>
  <c r="AC104" i="3"/>
  <c r="AK104" i="3" s="1"/>
  <c r="AB104" i="3"/>
  <c r="AJ104" i="3" s="1"/>
  <c r="G104" i="3"/>
  <c r="F104" i="3"/>
  <c r="AO103" i="3"/>
  <c r="AN103" i="3"/>
  <c r="AM103" i="3"/>
  <c r="AL103" i="3"/>
  <c r="AI103" i="3"/>
  <c r="AH103" i="3"/>
  <c r="AG103" i="3"/>
  <c r="AF103" i="3"/>
  <c r="AE103" i="3"/>
  <c r="AD103" i="3"/>
  <c r="AC103" i="3"/>
  <c r="AK103" i="3" s="1"/>
  <c r="AB103" i="3"/>
  <c r="AJ103" i="3" s="1"/>
  <c r="G103" i="3"/>
  <c r="F103" i="3"/>
  <c r="AO102" i="3"/>
  <c r="AN102" i="3"/>
  <c r="AM102" i="3"/>
  <c r="AL102" i="3"/>
  <c r="AI102" i="3"/>
  <c r="AH102" i="3"/>
  <c r="AG102" i="3"/>
  <c r="AF102" i="3"/>
  <c r="AE102" i="3"/>
  <c r="AD102" i="3"/>
  <c r="AC102" i="3"/>
  <c r="AK102" i="3" s="1"/>
  <c r="AB102" i="3"/>
  <c r="AJ102" i="3" s="1"/>
  <c r="G102" i="3"/>
  <c r="F102" i="3"/>
  <c r="AO101" i="3"/>
  <c r="AN101" i="3"/>
  <c r="AM101" i="3"/>
  <c r="AL101" i="3"/>
  <c r="AI101" i="3"/>
  <c r="AH101" i="3"/>
  <c r="AG101" i="3"/>
  <c r="AF101" i="3"/>
  <c r="AE101" i="3"/>
  <c r="AD101" i="3"/>
  <c r="AC101" i="3"/>
  <c r="AK101" i="3" s="1"/>
  <c r="AB101" i="3"/>
  <c r="AJ101" i="3" s="1"/>
  <c r="G101" i="3"/>
  <c r="F101" i="3"/>
  <c r="AO100" i="3"/>
  <c r="AN100" i="3"/>
  <c r="AM100" i="3"/>
  <c r="AL100" i="3"/>
  <c r="AI100" i="3"/>
  <c r="AH100" i="3"/>
  <c r="AG100" i="3"/>
  <c r="AF100" i="3"/>
  <c r="AE100" i="3"/>
  <c r="AD100" i="3"/>
  <c r="AC100" i="3"/>
  <c r="AK100" i="3" s="1"/>
  <c r="AB100" i="3"/>
  <c r="AJ100" i="3" s="1"/>
  <c r="G100" i="3"/>
  <c r="F100" i="3"/>
  <c r="AO99" i="3"/>
  <c r="AN99" i="3"/>
  <c r="AM99" i="3"/>
  <c r="AL99" i="3"/>
  <c r="AI99" i="3"/>
  <c r="AH99" i="3"/>
  <c r="AG99" i="3"/>
  <c r="AF99" i="3"/>
  <c r="AE99" i="3"/>
  <c r="AD99" i="3"/>
  <c r="AC99" i="3"/>
  <c r="AK99" i="3" s="1"/>
  <c r="AB99" i="3"/>
  <c r="AJ99" i="3" s="1"/>
  <c r="G99" i="3"/>
  <c r="F99" i="3"/>
  <c r="AO98" i="3"/>
  <c r="AN98" i="3"/>
  <c r="AM98" i="3"/>
  <c r="AL98" i="3"/>
  <c r="AI98" i="3"/>
  <c r="AH98" i="3"/>
  <c r="AG98" i="3"/>
  <c r="AF98" i="3"/>
  <c r="AE98" i="3"/>
  <c r="AD98" i="3"/>
  <c r="AC98" i="3"/>
  <c r="AK98" i="3" s="1"/>
  <c r="AB98" i="3"/>
  <c r="AJ98" i="3" s="1"/>
  <c r="G98" i="3"/>
  <c r="F98" i="3"/>
  <c r="AO97" i="3"/>
  <c r="AN97" i="3"/>
  <c r="AM97" i="3"/>
  <c r="AL97" i="3"/>
  <c r="AI97" i="3"/>
  <c r="AH97" i="3"/>
  <c r="AG97" i="3"/>
  <c r="AF97" i="3"/>
  <c r="AE97" i="3"/>
  <c r="AD97" i="3"/>
  <c r="AC97" i="3"/>
  <c r="AK97" i="3" s="1"/>
  <c r="AB97" i="3"/>
  <c r="AJ97" i="3" s="1"/>
  <c r="G97" i="3"/>
  <c r="F97" i="3"/>
  <c r="AO96" i="3"/>
  <c r="AN96" i="3"/>
  <c r="AM96" i="3"/>
  <c r="AL96" i="3"/>
  <c r="AI96" i="3"/>
  <c r="AH96" i="3"/>
  <c r="AG96" i="3"/>
  <c r="AF96" i="3"/>
  <c r="AE96" i="3"/>
  <c r="AD96" i="3"/>
  <c r="AC96" i="3"/>
  <c r="AK96" i="3" s="1"/>
  <c r="AB96" i="3"/>
  <c r="AJ96" i="3" s="1"/>
  <c r="G96" i="3"/>
  <c r="F96" i="3"/>
  <c r="AO95" i="3"/>
  <c r="AN95" i="3"/>
  <c r="AM95" i="3"/>
  <c r="AL95" i="3"/>
  <c r="AI95" i="3"/>
  <c r="AH95" i="3"/>
  <c r="AG95" i="3"/>
  <c r="AF95" i="3"/>
  <c r="AE95" i="3"/>
  <c r="AD95" i="3"/>
  <c r="AC95" i="3"/>
  <c r="AK95" i="3" s="1"/>
  <c r="AB95" i="3"/>
  <c r="AJ95" i="3" s="1"/>
  <c r="G95" i="3"/>
  <c r="F95" i="3"/>
  <c r="AO94" i="3"/>
  <c r="AN94" i="3"/>
  <c r="AM94" i="3"/>
  <c r="AL94" i="3"/>
  <c r="AI94" i="3"/>
  <c r="AH94" i="3"/>
  <c r="AG94" i="3"/>
  <c r="AF94" i="3"/>
  <c r="AE94" i="3"/>
  <c r="AD94" i="3"/>
  <c r="AC94" i="3"/>
  <c r="AK94" i="3" s="1"/>
  <c r="AB94" i="3"/>
  <c r="AJ94" i="3" s="1"/>
  <c r="G94" i="3"/>
  <c r="F94" i="3"/>
  <c r="AO93" i="3"/>
  <c r="AN93" i="3"/>
  <c r="AM93" i="3"/>
  <c r="AL93" i="3"/>
  <c r="AI93" i="3"/>
  <c r="AH93" i="3"/>
  <c r="AG93" i="3"/>
  <c r="AF93" i="3"/>
  <c r="AE93" i="3"/>
  <c r="AD93" i="3"/>
  <c r="AC93" i="3"/>
  <c r="AK93" i="3" s="1"/>
  <c r="AB93" i="3"/>
  <c r="AJ93" i="3" s="1"/>
  <c r="G93" i="3"/>
  <c r="F93" i="3"/>
  <c r="AO92" i="3"/>
  <c r="AN92" i="3"/>
  <c r="AM92" i="3"/>
  <c r="AL92" i="3"/>
  <c r="AI92" i="3"/>
  <c r="AH92" i="3"/>
  <c r="AG92" i="3"/>
  <c r="AF92" i="3"/>
  <c r="AE92" i="3"/>
  <c r="AD92" i="3"/>
  <c r="AC92" i="3"/>
  <c r="AK92" i="3" s="1"/>
  <c r="AB92" i="3"/>
  <c r="AJ92" i="3" s="1"/>
  <c r="G92" i="3"/>
  <c r="F92" i="3"/>
  <c r="AO91" i="3"/>
  <c r="AN91" i="3"/>
  <c r="AM91" i="3"/>
  <c r="AL91" i="3"/>
  <c r="AI91" i="3"/>
  <c r="AH91" i="3"/>
  <c r="AG91" i="3"/>
  <c r="AF91" i="3"/>
  <c r="AE91" i="3"/>
  <c r="AD91" i="3"/>
  <c r="AC91" i="3"/>
  <c r="AK91" i="3" s="1"/>
  <c r="AB91" i="3"/>
  <c r="AJ91" i="3" s="1"/>
  <c r="G91" i="3"/>
  <c r="F91" i="3"/>
  <c r="AO90" i="3"/>
  <c r="AN90" i="3"/>
  <c r="AM90" i="3"/>
  <c r="AL90" i="3"/>
  <c r="AI90" i="3"/>
  <c r="AH90" i="3"/>
  <c r="AG90" i="3"/>
  <c r="AF90" i="3"/>
  <c r="AE90" i="3"/>
  <c r="AD90" i="3"/>
  <c r="AC90" i="3"/>
  <c r="AK90" i="3" s="1"/>
  <c r="AB90" i="3"/>
  <c r="AJ90" i="3" s="1"/>
  <c r="G90" i="3"/>
  <c r="F90" i="3"/>
  <c r="AO89" i="3"/>
  <c r="AN89" i="3"/>
  <c r="AM89" i="3"/>
  <c r="AL89" i="3"/>
  <c r="AI89" i="3"/>
  <c r="AH89" i="3"/>
  <c r="AG89" i="3"/>
  <c r="AF89" i="3"/>
  <c r="AE89" i="3"/>
  <c r="AD89" i="3"/>
  <c r="AC89" i="3"/>
  <c r="AK89" i="3" s="1"/>
  <c r="AB89" i="3"/>
  <c r="AJ89" i="3" s="1"/>
  <c r="G89" i="3"/>
  <c r="F89" i="3"/>
  <c r="AO88" i="3"/>
  <c r="AN88" i="3"/>
  <c r="AM88" i="3"/>
  <c r="AL88" i="3"/>
  <c r="AI88" i="3"/>
  <c r="AH88" i="3"/>
  <c r="AG88" i="3"/>
  <c r="AF88" i="3"/>
  <c r="AE88" i="3"/>
  <c r="AD88" i="3"/>
  <c r="AC88" i="3"/>
  <c r="AK88" i="3" s="1"/>
  <c r="AB88" i="3"/>
  <c r="AJ88" i="3" s="1"/>
  <c r="G88" i="3"/>
  <c r="F88" i="3"/>
  <c r="AO87" i="3"/>
  <c r="AN87" i="3"/>
  <c r="AM87" i="3"/>
  <c r="AL87" i="3"/>
  <c r="AI87" i="3"/>
  <c r="AH87" i="3"/>
  <c r="AG87" i="3"/>
  <c r="AF87" i="3"/>
  <c r="AE87" i="3"/>
  <c r="AD87" i="3"/>
  <c r="AC87" i="3"/>
  <c r="AK87" i="3" s="1"/>
  <c r="AB87" i="3"/>
  <c r="AJ87" i="3" s="1"/>
  <c r="G87" i="3"/>
  <c r="F87" i="3"/>
  <c r="AO86" i="3"/>
  <c r="AN86" i="3"/>
  <c r="AM86" i="3"/>
  <c r="AL86" i="3"/>
  <c r="AI86" i="3"/>
  <c r="AH86" i="3"/>
  <c r="AG86" i="3"/>
  <c r="AF86" i="3"/>
  <c r="AE86" i="3"/>
  <c r="AD86" i="3"/>
  <c r="AC86" i="3"/>
  <c r="AK86" i="3" s="1"/>
  <c r="AB86" i="3"/>
  <c r="AJ86" i="3" s="1"/>
  <c r="G86" i="3"/>
  <c r="F86" i="3"/>
  <c r="AO85" i="3"/>
  <c r="AN85" i="3"/>
  <c r="AM85" i="3"/>
  <c r="AL85" i="3"/>
  <c r="AI85" i="3"/>
  <c r="AH85" i="3"/>
  <c r="AG85" i="3"/>
  <c r="AF85" i="3"/>
  <c r="AE85" i="3"/>
  <c r="AD85" i="3"/>
  <c r="AC85" i="3"/>
  <c r="AK85" i="3" s="1"/>
  <c r="AB85" i="3"/>
  <c r="AJ85" i="3" s="1"/>
  <c r="G85" i="3"/>
  <c r="F85" i="3"/>
  <c r="AO84" i="3"/>
  <c r="AN84" i="3"/>
  <c r="AM84" i="3"/>
  <c r="AL84" i="3"/>
  <c r="AI84" i="3"/>
  <c r="AH84" i="3"/>
  <c r="AG84" i="3"/>
  <c r="AF84" i="3"/>
  <c r="AE84" i="3"/>
  <c r="AD84" i="3"/>
  <c r="AC84" i="3"/>
  <c r="AK84" i="3" s="1"/>
  <c r="AB84" i="3"/>
  <c r="AJ84" i="3" s="1"/>
  <c r="G84" i="3"/>
  <c r="F84" i="3"/>
  <c r="AO83" i="3"/>
  <c r="AN83" i="3"/>
  <c r="AM83" i="3"/>
  <c r="AL83" i="3"/>
  <c r="AI83" i="3"/>
  <c r="AH83" i="3"/>
  <c r="AG83" i="3"/>
  <c r="AF83" i="3"/>
  <c r="AE83" i="3"/>
  <c r="AD83" i="3"/>
  <c r="AC83" i="3"/>
  <c r="AK83" i="3" s="1"/>
  <c r="AB83" i="3"/>
  <c r="AJ83" i="3" s="1"/>
  <c r="G83" i="3"/>
  <c r="F83" i="3"/>
  <c r="AO82" i="3"/>
  <c r="AN82" i="3"/>
  <c r="AM82" i="3"/>
  <c r="AL82" i="3"/>
  <c r="AI82" i="3"/>
  <c r="AH82" i="3"/>
  <c r="AG82" i="3"/>
  <c r="AF82" i="3"/>
  <c r="AE82" i="3"/>
  <c r="AD82" i="3"/>
  <c r="AC82" i="3"/>
  <c r="AK82" i="3" s="1"/>
  <c r="AB82" i="3"/>
  <c r="AJ82" i="3" s="1"/>
  <c r="G82" i="3"/>
  <c r="F82" i="3"/>
  <c r="AO81" i="3"/>
  <c r="AN81" i="3"/>
  <c r="AM81" i="3"/>
  <c r="AL81" i="3"/>
  <c r="AI81" i="3"/>
  <c r="AH81" i="3"/>
  <c r="AG81" i="3"/>
  <c r="AF81" i="3"/>
  <c r="AE81" i="3"/>
  <c r="AD81" i="3"/>
  <c r="AC81" i="3"/>
  <c r="AK81" i="3" s="1"/>
  <c r="AB81" i="3"/>
  <c r="AJ81" i="3" s="1"/>
  <c r="G81" i="3"/>
  <c r="F81" i="3"/>
  <c r="AO80" i="3"/>
  <c r="AN80" i="3"/>
  <c r="AM80" i="3"/>
  <c r="AL80" i="3"/>
  <c r="AI80" i="3"/>
  <c r="AH80" i="3"/>
  <c r="AG80" i="3"/>
  <c r="AF80" i="3"/>
  <c r="AE80" i="3"/>
  <c r="AD80" i="3"/>
  <c r="AC80" i="3"/>
  <c r="AK80" i="3" s="1"/>
  <c r="AB80" i="3"/>
  <c r="AJ80" i="3" s="1"/>
  <c r="G80" i="3"/>
  <c r="F80" i="3"/>
  <c r="AO79" i="3"/>
  <c r="AN79" i="3"/>
  <c r="AM79" i="3"/>
  <c r="AL79" i="3"/>
  <c r="AI79" i="3"/>
  <c r="AH79" i="3"/>
  <c r="AG79" i="3"/>
  <c r="AF79" i="3"/>
  <c r="AE79" i="3"/>
  <c r="AD79" i="3"/>
  <c r="AC79" i="3"/>
  <c r="AK79" i="3" s="1"/>
  <c r="AB79" i="3"/>
  <c r="AJ79" i="3" s="1"/>
  <c r="G79" i="3"/>
  <c r="F79" i="3"/>
  <c r="AO78" i="3"/>
  <c r="AN78" i="3"/>
  <c r="AM78" i="3"/>
  <c r="AL78" i="3"/>
  <c r="AI78" i="3"/>
  <c r="AH78" i="3"/>
  <c r="AG78" i="3"/>
  <c r="AF78" i="3"/>
  <c r="AE78" i="3"/>
  <c r="AD78" i="3"/>
  <c r="AC78" i="3"/>
  <c r="AK78" i="3" s="1"/>
  <c r="AB78" i="3"/>
  <c r="AJ78" i="3" s="1"/>
  <c r="G78" i="3"/>
  <c r="F78" i="3"/>
  <c r="AO77" i="3"/>
  <c r="AN77" i="3"/>
  <c r="AM77" i="3"/>
  <c r="AL77" i="3"/>
  <c r="AI77" i="3"/>
  <c r="AH77" i="3"/>
  <c r="AG77" i="3"/>
  <c r="AF77" i="3"/>
  <c r="AE77" i="3"/>
  <c r="AD77" i="3"/>
  <c r="AC77" i="3"/>
  <c r="AK77" i="3" s="1"/>
  <c r="AB77" i="3"/>
  <c r="AJ77" i="3" s="1"/>
  <c r="G77" i="3"/>
  <c r="F77" i="3"/>
  <c r="AO76" i="3"/>
  <c r="AN76" i="3"/>
  <c r="AM76" i="3"/>
  <c r="AL76" i="3"/>
  <c r="AI76" i="3"/>
  <c r="AH76" i="3"/>
  <c r="AG76" i="3"/>
  <c r="AF76" i="3"/>
  <c r="AE76" i="3"/>
  <c r="AD76" i="3"/>
  <c r="AC76" i="3"/>
  <c r="AK76" i="3" s="1"/>
  <c r="AB76" i="3"/>
  <c r="AJ76" i="3" s="1"/>
  <c r="G76" i="3"/>
  <c r="F76" i="3"/>
  <c r="AO75" i="3"/>
  <c r="AN75" i="3"/>
  <c r="AM75" i="3"/>
  <c r="AL75" i="3"/>
  <c r="AI75" i="3"/>
  <c r="AH75" i="3"/>
  <c r="AG75" i="3"/>
  <c r="AF75" i="3"/>
  <c r="AE75" i="3"/>
  <c r="AD75" i="3"/>
  <c r="AC75" i="3"/>
  <c r="AK75" i="3" s="1"/>
  <c r="AB75" i="3"/>
  <c r="AJ75" i="3" s="1"/>
  <c r="G75" i="3"/>
  <c r="F75" i="3"/>
  <c r="AO74" i="3"/>
  <c r="AN74" i="3"/>
  <c r="AM74" i="3"/>
  <c r="AL74" i="3"/>
  <c r="AI74" i="3"/>
  <c r="AH74" i="3"/>
  <c r="AG74" i="3"/>
  <c r="AF74" i="3"/>
  <c r="AE74" i="3"/>
  <c r="AD74" i="3"/>
  <c r="AC74" i="3"/>
  <c r="AK74" i="3" s="1"/>
  <c r="AB74" i="3"/>
  <c r="AJ74" i="3" s="1"/>
  <c r="G74" i="3"/>
  <c r="F74" i="3"/>
  <c r="AO73" i="3"/>
  <c r="AN73" i="3"/>
  <c r="AM73" i="3"/>
  <c r="AL73" i="3"/>
  <c r="AI73" i="3"/>
  <c r="AH73" i="3"/>
  <c r="AG73" i="3"/>
  <c r="AF73" i="3"/>
  <c r="AE73" i="3"/>
  <c r="AD73" i="3"/>
  <c r="AC73" i="3"/>
  <c r="AK73" i="3" s="1"/>
  <c r="AB73" i="3"/>
  <c r="AJ73" i="3" s="1"/>
  <c r="G73" i="3"/>
  <c r="F73" i="3"/>
  <c r="AO72" i="3"/>
  <c r="AN72" i="3"/>
  <c r="AM72" i="3"/>
  <c r="AL72" i="3"/>
  <c r="AI72" i="3"/>
  <c r="AH72" i="3"/>
  <c r="AG72" i="3"/>
  <c r="AF72" i="3"/>
  <c r="AE72" i="3"/>
  <c r="AD72" i="3"/>
  <c r="AC72" i="3"/>
  <c r="AK72" i="3" s="1"/>
  <c r="AB72" i="3"/>
  <c r="AJ72" i="3" s="1"/>
  <c r="G72" i="3"/>
  <c r="F72" i="3"/>
  <c r="AO71" i="3"/>
  <c r="AN71" i="3"/>
  <c r="AM71" i="3"/>
  <c r="AL71" i="3"/>
  <c r="AI71" i="3"/>
  <c r="AH71" i="3"/>
  <c r="AG71" i="3"/>
  <c r="AF71" i="3"/>
  <c r="AE71" i="3"/>
  <c r="AD71" i="3"/>
  <c r="AC71" i="3"/>
  <c r="AK71" i="3" s="1"/>
  <c r="AB71" i="3"/>
  <c r="AJ71" i="3" s="1"/>
  <c r="G71" i="3"/>
  <c r="F71" i="3"/>
  <c r="AO70" i="3"/>
  <c r="AN70" i="3"/>
  <c r="AM70" i="3"/>
  <c r="AL70" i="3"/>
  <c r="AI70" i="3"/>
  <c r="AH70" i="3"/>
  <c r="AG70" i="3"/>
  <c r="AF70" i="3"/>
  <c r="AE70" i="3"/>
  <c r="AD70" i="3"/>
  <c r="AC70" i="3"/>
  <c r="AK70" i="3" s="1"/>
  <c r="AB70" i="3"/>
  <c r="AJ70" i="3" s="1"/>
  <c r="G70" i="3"/>
  <c r="F70" i="3"/>
  <c r="AO69" i="3"/>
  <c r="AN69" i="3"/>
  <c r="AM69" i="3"/>
  <c r="AL69" i="3"/>
  <c r="AI69" i="3"/>
  <c r="AH69" i="3"/>
  <c r="AG69" i="3"/>
  <c r="AF69" i="3"/>
  <c r="AE69" i="3"/>
  <c r="AD69" i="3"/>
  <c r="AC69" i="3"/>
  <c r="AK69" i="3" s="1"/>
  <c r="AB69" i="3"/>
  <c r="AJ69" i="3" s="1"/>
  <c r="G69" i="3"/>
  <c r="F69" i="3"/>
  <c r="AO68" i="3"/>
  <c r="AN68" i="3"/>
  <c r="AM68" i="3"/>
  <c r="AL68" i="3"/>
  <c r="AI68" i="3"/>
  <c r="AH68" i="3"/>
  <c r="AG68" i="3"/>
  <c r="AF68" i="3"/>
  <c r="AE68" i="3"/>
  <c r="AD68" i="3"/>
  <c r="AC68" i="3"/>
  <c r="AK68" i="3" s="1"/>
  <c r="AB68" i="3"/>
  <c r="AJ68" i="3" s="1"/>
  <c r="G68" i="3"/>
  <c r="F68" i="3"/>
  <c r="AO67" i="3"/>
  <c r="AN67" i="3"/>
  <c r="AM67" i="3"/>
  <c r="AL67" i="3"/>
  <c r="AI67" i="3"/>
  <c r="AH67" i="3"/>
  <c r="AG67" i="3"/>
  <c r="AF67" i="3"/>
  <c r="AE67" i="3"/>
  <c r="AD67" i="3"/>
  <c r="AC67" i="3"/>
  <c r="AK67" i="3" s="1"/>
  <c r="AB67" i="3"/>
  <c r="AJ67" i="3" s="1"/>
  <c r="G67" i="3"/>
  <c r="F67" i="3"/>
  <c r="AO66" i="3"/>
  <c r="AN66" i="3"/>
  <c r="AM66" i="3"/>
  <c r="AL66" i="3"/>
  <c r="AI66" i="3"/>
  <c r="AH66" i="3"/>
  <c r="AG66" i="3"/>
  <c r="AF66" i="3"/>
  <c r="AE66" i="3"/>
  <c r="AD66" i="3"/>
  <c r="AC66" i="3"/>
  <c r="AK66" i="3" s="1"/>
  <c r="AB66" i="3"/>
  <c r="AJ66" i="3" s="1"/>
  <c r="G66" i="3"/>
  <c r="F66" i="3"/>
  <c r="AO65" i="3"/>
  <c r="AN65" i="3"/>
  <c r="AM65" i="3"/>
  <c r="AL65" i="3"/>
  <c r="AI65" i="3"/>
  <c r="AH65" i="3"/>
  <c r="AG65" i="3"/>
  <c r="AF65" i="3"/>
  <c r="AE65" i="3"/>
  <c r="AD65" i="3"/>
  <c r="AC65" i="3"/>
  <c r="AK65" i="3" s="1"/>
  <c r="AB65" i="3"/>
  <c r="AJ65" i="3" s="1"/>
  <c r="G65" i="3"/>
  <c r="F65" i="3"/>
  <c r="AO64" i="3"/>
  <c r="AN64" i="3"/>
  <c r="AM64" i="3"/>
  <c r="AL64" i="3"/>
  <c r="AI64" i="3"/>
  <c r="AH64" i="3"/>
  <c r="AG64" i="3"/>
  <c r="AF64" i="3"/>
  <c r="AE64" i="3"/>
  <c r="AD64" i="3"/>
  <c r="AC64" i="3"/>
  <c r="AK64" i="3" s="1"/>
  <c r="AB64" i="3"/>
  <c r="AJ64" i="3" s="1"/>
  <c r="G64" i="3"/>
  <c r="F64" i="3"/>
  <c r="AO63" i="3"/>
  <c r="AN63" i="3"/>
  <c r="AM63" i="3"/>
  <c r="AL63" i="3"/>
  <c r="AI63" i="3"/>
  <c r="AH63" i="3"/>
  <c r="AG63" i="3"/>
  <c r="AF63" i="3"/>
  <c r="AE63" i="3"/>
  <c r="AD63" i="3"/>
  <c r="AC63" i="3"/>
  <c r="AK63" i="3" s="1"/>
  <c r="AB63" i="3"/>
  <c r="AJ63" i="3" s="1"/>
  <c r="G63" i="3"/>
  <c r="F63" i="3"/>
  <c r="AO62" i="3"/>
  <c r="AN62" i="3"/>
  <c r="AM62" i="3"/>
  <c r="AL62" i="3"/>
  <c r="AI62" i="3"/>
  <c r="AH62" i="3"/>
  <c r="AG62" i="3"/>
  <c r="AF62" i="3"/>
  <c r="AE62" i="3"/>
  <c r="AD62" i="3"/>
  <c r="AC62" i="3"/>
  <c r="AK62" i="3" s="1"/>
  <c r="AB62" i="3"/>
  <c r="AJ62" i="3" s="1"/>
  <c r="G62" i="3"/>
  <c r="F62" i="3"/>
  <c r="AO61" i="3"/>
  <c r="AN61" i="3"/>
  <c r="AM61" i="3"/>
  <c r="AL61" i="3"/>
  <c r="AI61" i="3"/>
  <c r="AH61" i="3"/>
  <c r="AG61" i="3"/>
  <c r="AF61" i="3"/>
  <c r="AE61" i="3"/>
  <c r="AD61" i="3"/>
  <c r="AC61" i="3"/>
  <c r="AK61" i="3" s="1"/>
  <c r="AB61" i="3"/>
  <c r="AJ61" i="3" s="1"/>
  <c r="G61" i="3"/>
  <c r="F61" i="3"/>
  <c r="AO60" i="3"/>
  <c r="AN60" i="3"/>
  <c r="AM60" i="3"/>
  <c r="AL60" i="3"/>
  <c r="AI60" i="3"/>
  <c r="AH60" i="3"/>
  <c r="AG60" i="3"/>
  <c r="AF60" i="3"/>
  <c r="AE60" i="3"/>
  <c r="AD60" i="3"/>
  <c r="AC60" i="3"/>
  <c r="AK60" i="3" s="1"/>
  <c r="AB60" i="3"/>
  <c r="AJ60" i="3" s="1"/>
  <c r="G60" i="3"/>
  <c r="F60" i="3"/>
  <c r="AO59" i="3"/>
  <c r="AN59" i="3"/>
  <c r="AM59" i="3"/>
  <c r="AL59" i="3"/>
  <c r="AI59" i="3"/>
  <c r="AH59" i="3"/>
  <c r="AG59" i="3"/>
  <c r="AF59" i="3"/>
  <c r="AE59" i="3"/>
  <c r="AD59" i="3"/>
  <c r="AC59" i="3"/>
  <c r="AK59" i="3" s="1"/>
  <c r="AB59" i="3"/>
  <c r="AJ59" i="3" s="1"/>
  <c r="G59" i="3"/>
  <c r="F59" i="3"/>
  <c r="AO58" i="3"/>
  <c r="AN58" i="3"/>
  <c r="AM58" i="3"/>
  <c r="AL58" i="3"/>
  <c r="AI58" i="3"/>
  <c r="AH58" i="3"/>
  <c r="AG58" i="3"/>
  <c r="AF58" i="3"/>
  <c r="AE58" i="3"/>
  <c r="AD58" i="3"/>
  <c r="AC58" i="3"/>
  <c r="AK58" i="3" s="1"/>
  <c r="AB58" i="3"/>
  <c r="AJ58" i="3" s="1"/>
  <c r="G58" i="3"/>
  <c r="F58" i="3"/>
  <c r="AO57" i="3"/>
  <c r="AN57" i="3"/>
  <c r="AM57" i="3"/>
  <c r="AL57" i="3"/>
  <c r="AI57" i="3"/>
  <c r="AH57" i="3"/>
  <c r="AG57" i="3"/>
  <c r="AF57" i="3"/>
  <c r="AE57" i="3"/>
  <c r="AD57" i="3"/>
  <c r="AC57" i="3"/>
  <c r="AK57" i="3" s="1"/>
  <c r="AB57" i="3"/>
  <c r="AJ57" i="3" s="1"/>
  <c r="G57" i="3"/>
  <c r="F57" i="3"/>
  <c r="AO56" i="3"/>
  <c r="AN56" i="3"/>
  <c r="AM56" i="3"/>
  <c r="AL56" i="3"/>
  <c r="AI56" i="3"/>
  <c r="AH56" i="3"/>
  <c r="AG56" i="3"/>
  <c r="AF56" i="3"/>
  <c r="AE56" i="3"/>
  <c r="AD56" i="3"/>
  <c r="AC56" i="3"/>
  <c r="AK56" i="3" s="1"/>
  <c r="AB56" i="3"/>
  <c r="AJ56" i="3" s="1"/>
  <c r="G56" i="3"/>
  <c r="F56" i="3"/>
  <c r="AO55" i="3"/>
  <c r="AN55" i="3"/>
  <c r="AM55" i="3"/>
  <c r="AL55" i="3"/>
  <c r="AI55" i="3"/>
  <c r="AH55" i="3"/>
  <c r="AG55" i="3"/>
  <c r="AF55" i="3"/>
  <c r="AE55" i="3"/>
  <c r="AD55" i="3"/>
  <c r="AC55" i="3"/>
  <c r="AK55" i="3" s="1"/>
  <c r="AB55" i="3"/>
  <c r="AJ55" i="3" s="1"/>
  <c r="G55" i="3"/>
  <c r="F55" i="3"/>
  <c r="AO54" i="3"/>
  <c r="AN54" i="3"/>
  <c r="AM54" i="3"/>
  <c r="AL54" i="3"/>
  <c r="AI54" i="3"/>
  <c r="AH54" i="3"/>
  <c r="AG54" i="3"/>
  <c r="AF54" i="3"/>
  <c r="AE54" i="3"/>
  <c r="AD54" i="3"/>
  <c r="AC54" i="3"/>
  <c r="AK54" i="3" s="1"/>
  <c r="AB54" i="3"/>
  <c r="AJ54" i="3" s="1"/>
  <c r="G54" i="3"/>
  <c r="F54" i="3"/>
  <c r="AO53" i="3"/>
  <c r="AN53" i="3"/>
  <c r="AM53" i="3"/>
  <c r="AL53" i="3"/>
  <c r="AI53" i="3"/>
  <c r="AH53" i="3"/>
  <c r="AG53" i="3"/>
  <c r="AF53" i="3"/>
  <c r="AE53" i="3"/>
  <c r="AD53" i="3"/>
  <c r="AC53" i="3"/>
  <c r="AK53" i="3" s="1"/>
  <c r="AB53" i="3"/>
  <c r="AJ53" i="3" s="1"/>
  <c r="G53" i="3"/>
  <c r="F53" i="3"/>
  <c r="AO52" i="3"/>
  <c r="AN52" i="3"/>
  <c r="AM52" i="3"/>
  <c r="AL52" i="3"/>
  <c r="AI52" i="3"/>
  <c r="AH52" i="3"/>
  <c r="AG52" i="3"/>
  <c r="AF52" i="3"/>
  <c r="AE52" i="3"/>
  <c r="AD52" i="3"/>
  <c r="AC52" i="3"/>
  <c r="AK52" i="3" s="1"/>
  <c r="AB52" i="3"/>
  <c r="AJ52" i="3" s="1"/>
  <c r="G52" i="3"/>
  <c r="F52" i="3"/>
  <c r="AO51" i="3"/>
  <c r="AN51" i="3"/>
  <c r="AM51" i="3"/>
  <c r="AL51" i="3"/>
  <c r="AI51" i="3"/>
  <c r="AH51" i="3"/>
  <c r="AG51" i="3"/>
  <c r="AF51" i="3"/>
  <c r="AE51" i="3"/>
  <c r="AD51" i="3"/>
  <c r="AC51" i="3"/>
  <c r="AK51" i="3" s="1"/>
  <c r="AB51" i="3"/>
  <c r="AJ51" i="3" s="1"/>
  <c r="G51" i="3"/>
  <c r="F51" i="3"/>
  <c r="AO50" i="3"/>
  <c r="AN50" i="3"/>
  <c r="AM50" i="3"/>
  <c r="AL50" i="3"/>
  <c r="AI50" i="3"/>
  <c r="AH50" i="3"/>
  <c r="AG50" i="3"/>
  <c r="AF50" i="3"/>
  <c r="AE50" i="3"/>
  <c r="AD50" i="3"/>
  <c r="AC50" i="3"/>
  <c r="AK50" i="3" s="1"/>
  <c r="AB50" i="3"/>
  <c r="AJ50" i="3" s="1"/>
  <c r="G50" i="3"/>
  <c r="F50" i="3"/>
  <c r="AO49" i="3"/>
  <c r="AN49" i="3"/>
  <c r="AM49" i="3"/>
  <c r="AL49" i="3"/>
  <c r="AI49" i="3"/>
  <c r="AH49" i="3"/>
  <c r="AG49" i="3"/>
  <c r="AF49" i="3"/>
  <c r="AE49" i="3"/>
  <c r="AD49" i="3"/>
  <c r="AC49" i="3"/>
  <c r="AK49" i="3" s="1"/>
  <c r="AB49" i="3"/>
  <c r="AJ49" i="3" s="1"/>
  <c r="G49" i="3"/>
  <c r="F49" i="3"/>
  <c r="AO48" i="3"/>
  <c r="AN48" i="3"/>
  <c r="AM48" i="3"/>
  <c r="AL48" i="3"/>
  <c r="AI48" i="3"/>
  <c r="AH48" i="3"/>
  <c r="AG48" i="3"/>
  <c r="AF48" i="3"/>
  <c r="AE48" i="3"/>
  <c r="AD48" i="3"/>
  <c r="AC48" i="3"/>
  <c r="AK48" i="3" s="1"/>
  <c r="AB48" i="3"/>
  <c r="AJ48" i="3" s="1"/>
  <c r="G48" i="3"/>
  <c r="F48" i="3"/>
  <c r="AO47" i="3"/>
  <c r="AN47" i="3"/>
  <c r="AM47" i="3"/>
  <c r="AL47" i="3"/>
  <c r="AI47" i="3"/>
  <c r="AH47" i="3"/>
  <c r="AG47" i="3"/>
  <c r="AF47" i="3"/>
  <c r="AE47" i="3"/>
  <c r="AD47" i="3"/>
  <c r="AC47" i="3"/>
  <c r="AK47" i="3" s="1"/>
  <c r="AB47" i="3"/>
  <c r="AJ47" i="3" s="1"/>
  <c r="G47" i="3"/>
  <c r="F47" i="3"/>
  <c r="AO46" i="3"/>
  <c r="AN46" i="3"/>
  <c r="AM46" i="3"/>
  <c r="AL46" i="3"/>
  <c r="AI46" i="3"/>
  <c r="AH46" i="3"/>
  <c r="AG46" i="3"/>
  <c r="AF46" i="3"/>
  <c r="AE46" i="3"/>
  <c r="AD46" i="3"/>
  <c r="AC46" i="3"/>
  <c r="AK46" i="3" s="1"/>
  <c r="AB46" i="3"/>
  <c r="AJ46" i="3" s="1"/>
  <c r="G46" i="3"/>
  <c r="F46" i="3"/>
  <c r="AO45" i="3"/>
  <c r="AN45" i="3"/>
  <c r="AM45" i="3"/>
  <c r="AL45" i="3"/>
  <c r="AI45" i="3"/>
  <c r="AH45" i="3"/>
  <c r="AG45" i="3"/>
  <c r="AF45" i="3"/>
  <c r="AE45" i="3"/>
  <c r="AD45" i="3"/>
  <c r="AC45" i="3"/>
  <c r="AK45" i="3" s="1"/>
  <c r="AB45" i="3"/>
  <c r="AJ45" i="3" s="1"/>
  <c r="G45" i="3"/>
  <c r="F45" i="3"/>
  <c r="AO44" i="3"/>
  <c r="AN44" i="3"/>
  <c r="AM44" i="3"/>
  <c r="AL44" i="3"/>
  <c r="AI44" i="3"/>
  <c r="AH44" i="3"/>
  <c r="AG44" i="3"/>
  <c r="AF44" i="3"/>
  <c r="AE44" i="3"/>
  <c r="AD44" i="3"/>
  <c r="AC44" i="3"/>
  <c r="AK44" i="3" s="1"/>
  <c r="AB44" i="3"/>
  <c r="AJ44" i="3" s="1"/>
  <c r="G44" i="3"/>
  <c r="F44" i="3"/>
  <c r="AO43" i="3"/>
  <c r="AN43" i="3"/>
  <c r="AM43" i="3"/>
  <c r="AL43" i="3"/>
  <c r="AI43" i="3"/>
  <c r="AH43" i="3"/>
  <c r="AG43" i="3"/>
  <c r="AF43" i="3"/>
  <c r="AE43" i="3"/>
  <c r="AD43" i="3"/>
  <c r="AC43" i="3"/>
  <c r="AK43" i="3" s="1"/>
  <c r="AB43" i="3"/>
  <c r="AJ43" i="3" s="1"/>
  <c r="G43" i="3"/>
  <c r="F43" i="3"/>
  <c r="AO42" i="3"/>
  <c r="AN42" i="3"/>
  <c r="AM42" i="3"/>
  <c r="AL42" i="3"/>
  <c r="AI42" i="3"/>
  <c r="AH42" i="3"/>
  <c r="AG42" i="3"/>
  <c r="AF42" i="3"/>
  <c r="AE42" i="3"/>
  <c r="AD42" i="3"/>
  <c r="AC42" i="3"/>
  <c r="AK42" i="3" s="1"/>
  <c r="AB42" i="3"/>
  <c r="AJ42" i="3" s="1"/>
  <c r="G42" i="3"/>
  <c r="F42" i="3"/>
  <c r="AO41" i="3"/>
  <c r="AN41" i="3"/>
  <c r="AM41" i="3"/>
  <c r="AL41" i="3"/>
  <c r="AI41" i="3"/>
  <c r="AH41" i="3"/>
  <c r="AG41" i="3"/>
  <c r="AF41" i="3"/>
  <c r="AE41" i="3"/>
  <c r="AD41" i="3"/>
  <c r="AC41" i="3"/>
  <c r="AK41" i="3" s="1"/>
  <c r="AB41" i="3"/>
  <c r="AJ41" i="3" s="1"/>
  <c r="G41" i="3"/>
  <c r="F41" i="3"/>
  <c r="AO40" i="3"/>
  <c r="AN40" i="3"/>
  <c r="AM40" i="3"/>
  <c r="AL40" i="3"/>
  <c r="AI40" i="3"/>
  <c r="AH40" i="3"/>
  <c r="AG40" i="3"/>
  <c r="AF40" i="3"/>
  <c r="AE40" i="3"/>
  <c r="AD40" i="3"/>
  <c r="AC40" i="3"/>
  <c r="AK40" i="3" s="1"/>
  <c r="AB40" i="3"/>
  <c r="AJ40" i="3" s="1"/>
  <c r="G40" i="3"/>
  <c r="F40" i="3"/>
  <c r="AO39" i="3"/>
  <c r="AN39" i="3"/>
  <c r="AM39" i="3"/>
  <c r="AL39" i="3"/>
  <c r="AI39" i="3"/>
  <c r="AH39" i="3"/>
  <c r="AG39" i="3"/>
  <c r="AF39" i="3"/>
  <c r="AE39" i="3"/>
  <c r="AD39" i="3"/>
  <c r="AC39" i="3"/>
  <c r="AK39" i="3" s="1"/>
  <c r="AB39" i="3"/>
  <c r="AJ39" i="3" s="1"/>
  <c r="G39" i="3"/>
  <c r="F39" i="3"/>
  <c r="AO38" i="3"/>
  <c r="AN38" i="3"/>
  <c r="AM38" i="3"/>
  <c r="AL38" i="3"/>
  <c r="AI38" i="3"/>
  <c r="AH38" i="3"/>
  <c r="AG38" i="3"/>
  <c r="AF38" i="3"/>
  <c r="AE38" i="3"/>
  <c r="AD38" i="3"/>
  <c r="AC38" i="3"/>
  <c r="AK38" i="3" s="1"/>
  <c r="AB38" i="3"/>
  <c r="AJ38" i="3" s="1"/>
  <c r="G38" i="3"/>
  <c r="F38" i="3"/>
  <c r="AO37" i="3"/>
  <c r="AN37" i="3"/>
  <c r="AM37" i="3"/>
  <c r="AL37" i="3"/>
  <c r="AI37" i="3"/>
  <c r="AH37" i="3"/>
  <c r="AG37" i="3"/>
  <c r="AF37" i="3"/>
  <c r="AE37" i="3"/>
  <c r="AD37" i="3"/>
  <c r="AC37" i="3"/>
  <c r="AK37" i="3" s="1"/>
  <c r="AB37" i="3"/>
  <c r="AJ37" i="3" s="1"/>
  <c r="G37" i="3"/>
  <c r="F37" i="3"/>
  <c r="AO36" i="3"/>
  <c r="AN36" i="3"/>
  <c r="AM36" i="3"/>
  <c r="AL36" i="3"/>
  <c r="AI36" i="3"/>
  <c r="AH36" i="3"/>
  <c r="AG36" i="3"/>
  <c r="AF36" i="3"/>
  <c r="AE36" i="3"/>
  <c r="AD36" i="3"/>
  <c r="AC36" i="3"/>
  <c r="AK36" i="3" s="1"/>
  <c r="AB36" i="3"/>
  <c r="AJ36" i="3" s="1"/>
  <c r="G36" i="3"/>
  <c r="F36" i="3"/>
  <c r="AN35" i="3"/>
  <c r="AM35" i="3"/>
  <c r="AI35" i="3"/>
  <c r="AH35" i="3"/>
  <c r="AC35" i="3"/>
  <c r="AK35" i="3" s="1"/>
  <c r="AB35" i="3"/>
  <c r="AJ35" i="3" s="1"/>
  <c r="AA35" i="3"/>
  <c r="Y35" i="3"/>
  <c r="X35" i="3"/>
  <c r="W35" i="3"/>
  <c r="V35" i="3"/>
  <c r="U35" i="3"/>
  <c r="AG35" i="3" s="1"/>
  <c r="G35" i="3"/>
  <c r="F35" i="3"/>
  <c r="AN34" i="3"/>
  <c r="AM34" i="3"/>
  <c r="AI34" i="3"/>
  <c r="AH34" i="3"/>
  <c r="AC34" i="3"/>
  <c r="AK34" i="3" s="1"/>
  <c r="AB34" i="3"/>
  <c r="AJ34" i="3" s="1"/>
  <c r="AA34" i="3"/>
  <c r="Y34" i="3"/>
  <c r="X34" i="3"/>
  <c r="W34" i="3"/>
  <c r="V34" i="3"/>
  <c r="U34" i="3"/>
  <c r="G34" i="3"/>
  <c r="F34" i="3"/>
  <c r="AN33" i="3"/>
  <c r="AM33" i="3"/>
  <c r="AI33" i="3"/>
  <c r="AH33" i="3"/>
  <c r="AC33" i="3"/>
  <c r="AK33" i="3" s="1"/>
  <c r="AB33" i="3"/>
  <c r="AJ33" i="3" s="1"/>
  <c r="AA33" i="3"/>
  <c r="Y33" i="3"/>
  <c r="X33" i="3"/>
  <c r="W33" i="3"/>
  <c r="V33" i="3"/>
  <c r="U33" i="3"/>
  <c r="AO33" i="3" s="1"/>
  <c r="G33" i="3"/>
  <c r="F33" i="3"/>
  <c r="AM32" i="3"/>
  <c r="AI32" i="3"/>
  <c r="AH32" i="3"/>
  <c r="AC32" i="3"/>
  <c r="AK32" i="3" s="1"/>
  <c r="AB32" i="3"/>
  <c r="AJ32" i="3" s="1"/>
  <c r="AA32" i="3"/>
  <c r="Y32" i="3"/>
  <c r="X32" i="3"/>
  <c r="W32" i="3"/>
  <c r="V32" i="3"/>
  <c r="U32" i="3"/>
  <c r="T32" i="3"/>
  <c r="AN32" i="3" s="1"/>
  <c r="G32" i="3"/>
  <c r="F32" i="3"/>
  <c r="AM31" i="3"/>
  <c r="AC31" i="3"/>
  <c r="AK31" i="3" s="1"/>
  <c r="AB31" i="3"/>
  <c r="AJ31" i="3" s="1"/>
  <c r="AA31" i="3"/>
  <c r="Z31" i="3"/>
  <c r="Y31" i="3"/>
  <c r="X31" i="3"/>
  <c r="W31" i="3"/>
  <c r="V31" i="3"/>
  <c r="U31" i="3"/>
  <c r="T31" i="3"/>
  <c r="S31" i="3"/>
  <c r="AI31" i="3" s="1"/>
  <c r="G31" i="3"/>
  <c r="F31" i="3"/>
  <c r="AM30" i="3"/>
  <c r="AC30" i="3"/>
  <c r="AK30" i="3" s="1"/>
  <c r="AB30" i="3"/>
  <c r="AJ30" i="3" s="1"/>
  <c r="AA30" i="3"/>
  <c r="Z30" i="3"/>
  <c r="Y30" i="3"/>
  <c r="X30" i="3"/>
  <c r="W30" i="3"/>
  <c r="V30" i="3"/>
  <c r="U30" i="3"/>
  <c r="T30" i="3"/>
  <c r="S30" i="3"/>
  <c r="G30" i="3"/>
  <c r="F30" i="3"/>
  <c r="AM29" i="3"/>
  <c r="AC29" i="3"/>
  <c r="AK29" i="3" s="1"/>
  <c r="AB29" i="3"/>
  <c r="AJ29" i="3" s="1"/>
  <c r="AA29" i="3"/>
  <c r="Z29" i="3"/>
  <c r="Y29" i="3"/>
  <c r="X29" i="3"/>
  <c r="W29" i="3"/>
  <c r="V29" i="3"/>
  <c r="U29" i="3"/>
  <c r="T29" i="3"/>
  <c r="S29" i="3"/>
  <c r="AI29" i="3" s="1"/>
  <c r="G29" i="3"/>
  <c r="F29" i="3"/>
  <c r="AM28" i="3"/>
  <c r="AC28" i="3"/>
  <c r="AK28" i="3" s="1"/>
  <c r="AB28" i="3"/>
  <c r="AJ28" i="3" s="1"/>
  <c r="AA28" i="3"/>
  <c r="Z28" i="3"/>
  <c r="Y28" i="3"/>
  <c r="X28" i="3"/>
  <c r="W28" i="3"/>
  <c r="V28" i="3"/>
  <c r="U28" i="3"/>
  <c r="AG28" i="3" s="1"/>
  <c r="T28" i="3"/>
  <c r="S28" i="3"/>
  <c r="G28" i="3"/>
  <c r="F28" i="3"/>
  <c r="AM27" i="3"/>
  <c r="AC27" i="3"/>
  <c r="AK27" i="3" s="1"/>
  <c r="AB27" i="3"/>
  <c r="AJ27" i="3" s="1"/>
  <c r="AA27" i="3"/>
  <c r="Z27" i="3"/>
  <c r="Y27" i="3"/>
  <c r="X27" i="3"/>
  <c r="W27" i="3"/>
  <c r="V27" i="3"/>
  <c r="U27" i="3"/>
  <c r="AG27" i="3" s="1"/>
  <c r="T27" i="3"/>
  <c r="S27" i="3"/>
  <c r="G27" i="3"/>
  <c r="F27" i="3"/>
  <c r="AM26" i="3"/>
  <c r="AC26" i="3"/>
  <c r="AK26" i="3" s="1"/>
  <c r="AB26" i="3"/>
  <c r="AJ26" i="3" s="1"/>
  <c r="AA26" i="3"/>
  <c r="Z26" i="3"/>
  <c r="Y26" i="3"/>
  <c r="X26" i="3"/>
  <c r="W26" i="3"/>
  <c r="V26" i="3"/>
  <c r="U26" i="3"/>
  <c r="T26" i="3"/>
  <c r="S26" i="3"/>
  <c r="G26" i="3"/>
  <c r="F26" i="3"/>
  <c r="AM25" i="3"/>
  <c r="AJ25" i="3"/>
  <c r="AC25" i="3"/>
  <c r="AK25" i="3" s="1"/>
  <c r="AA25" i="3"/>
  <c r="Z25" i="3"/>
  <c r="Y25" i="3"/>
  <c r="X25" i="3"/>
  <c r="W25" i="3"/>
  <c r="V25" i="3"/>
  <c r="U25" i="3"/>
  <c r="T25" i="3"/>
  <c r="S25" i="3"/>
  <c r="AI25" i="3" s="1"/>
  <c r="R25" i="3"/>
  <c r="Q25" i="3"/>
  <c r="P25" i="3"/>
  <c r="O25" i="3"/>
  <c r="N25" i="3"/>
  <c r="G25" i="3"/>
  <c r="F25" i="3"/>
  <c r="R19" i="3"/>
  <c r="R18" i="3"/>
  <c r="T18" i="3" s="1"/>
  <c r="Q18" i="3"/>
  <c r="R17" i="3"/>
  <c r="Q17" i="3"/>
  <c r="P17" i="3"/>
  <c r="R16" i="3"/>
  <c r="Q16" i="3"/>
  <c r="P16" i="3"/>
  <c r="O16" i="3"/>
  <c r="R15" i="3"/>
  <c r="Q15" i="3"/>
  <c r="P15" i="3"/>
  <c r="O15" i="3"/>
  <c r="N15" i="3"/>
  <c r="R14" i="3"/>
  <c r="Q14" i="3"/>
  <c r="P14" i="3"/>
  <c r="O14" i="3"/>
  <c r="N14" i="3"/>
  <c r="M14" i="3"/>
  <c r="G10" i="3"/>
  <c r="F10" i="3"/>
  <c r="E10" i="3"/>
  <c r="D10" i="3"/>
  <c r="G9" i="3"/>
  <c r="F9" i="3"/>
  <c r="E9" i="3"/>
  <c r="D9" i="3"/>
  <c r="J32" i="2"/>
  <c r="S32" i="2" s="1"/>
  <c r="J31" i="2"/>
  <c r="S31" i="2" s="1"/>
  <c r="J30" i="2"/>
  <c r="S30" i="2" s="1"/>
  <c r="J28" i="2"/>
  <c r="S28" i="2" s="1"/>
  <c r="J25" i="2"/>
  <c r="S25" i="2" s="1"/>
  <c r="J24" i="2"/>
  <c r="S24" i="2" s="1"/>
  <c r="J23" i="2"/>
  <c r="S23" i="2" s="1"/>
  <c r="N18" i="2"/>
  <c r="M18" i="2"/>
  <c r="L18" i="2"/>
  <c r="K18" i="2"/>
  <c r="J18" i="2"/>
  <c r="J15" i="2"/>
  <c r="S15" i="2" s="1"/>
  <c r="J14" i="2"/>
  <c r="S14" i="2" s="1"/>
  <c r="N13" i="2"/>
  <c r="J13" i="2"/>
  <c r="N12" i="2"/>
  <c r="K12" i="2"/>
  <c r="J12" i="2"/>
  <c r="N11" i="2"/>
  <c r="M11" i="2"/>
  <c r="J11" i="2"/>
  <c r="N9" i="2"/>
  <c r="M9" i="2"/>
  <c r="L9" i="2"/>
  <c r="K9" i="2"/>
  <c r="J9" i="2"/>
  <c r="N8" i="2"/>
  <c r="M8" i="2"/>
  <c r="L8" i="2"/>
  <c r="K8" i="2"/>
  <c r="J8" i="2"/>
  <c r="I4" i="2"/>
  <c r="J10" i="2" s="1"/>
  <c r="S10" i="2" s="1"/>
  <c r="E11" i="3" l="1"/>
  <c r="AL35" i="3"/>
  <c r="AO26" i="3"/>
  <c r="AO27" i="3"/>
  <c r="AO28" i="3"/>
  <c r="AF31" i="3"/>
  <c r="AL34" i="3"/>
  <c r="S11" i="2"/>
  <c r="D11" i="3"/>
  <c r="G11" i="3"/>
  <c r="T14" i="3"/>
  <c r="T17" i="3"/>
  <c r="AL33" i="3"/>
  <c r="S9" i="2"/>
  <c r="S16" i="3"/>
  <c r="AL26" i="3"/>
  <c r="AL27" i="3"/>
  <c r="AL28" i="3"/>
  <c r="S8" i="2"/>
  <c r="S18" i="2"/>
  <c r="F11" i="3"/>
  <c r="S14" i="3"/>
  <c r="S15" i="3"/>
  <c r="T16" i="3"/>
  <c r="U16" i="3" s="1"/>
  <c r="S17" i="3"/>
  <c r="S18" i="3"/>
  <c r="U18" i="3" s="1"/>
  <c r="AF25" i="3"/>
  <c r="J21" i="2" s="1"/>
  <c r="S21" i="2" s="1"/>
  <c r="AF26" i="3"/>
  <c r="AL31" i="3"/>
  <c r="T15" i="3"/>
  <c r="T19" i="3"/>
  <c r="S19" i="3"/>
  <c r="AO25" i="3"/>
  <c r="J16" i="2" s="1"/>
  <c r="S16" i="2" s="1"/>
  <c r="AL25" i="3"/>
  <c r="J27" i="2" s="1"/>
  <c r="S27" i="2" s="1"/>
  <c r="AF27" i="3"/>
  <c r="AF28" i="3"/>
  <c r="AF29" i="3"/>
  <c r="AO31" i="3"/>
  <c r="AG32" i="3"/>
  <c r="AO32" i="3"/>
  <c r="AF32" i="3"/>
  <c r="AL32" i="3"/>
  <c r="AE34" i="3"/>
  <c r="AG34" i="3"/>
  <c r="AD34" i="3"/>
  <c r="U14" i="3"/>
  <c r="AD25" i="3"/>
  <c r="J19" i="2" s="1"/>
  <c r="S19" i="2" s="1"/>
  <c r="AG25" i="3"/>
  <c r="J22" i="2" s="1"/>
  <c r="S22" i="2" s="1"/>
  <c r="AD26" i="3"/>
  <c r="AG26" i="3"/>
  <c r="AD27" i="3"/>
  <c r="AD28" i="3"/>
  <c r="AG29" i="3"/>
  <c r="AD29" i="3"/>
  <c r="AO29" i="3"/>
  <c r="AE29" i="3"/>
  <c r="AF30" i="3"/>
  <c r="AO30" i="3"/>
  <c r="AE25" i="3"/>
  <c r="J20" i="2" s="1"/>
  <c r="S20" i="2" s="1"/>
  <c r="AH25" i="3"/>
  <c r="J26" i="2" s="1"/>
  <c r="S26" i="2" s="1"/>
  <c r="AN25" i="3"/>
  <c r="J29" i="2" s="1"/>
  <c r="S29" i="2" s="1"/>
  <c r="AE26" i="3"/>
  <c r="AH26" i="3"/>
  <c r="AN26" i="3"/>
  <c r="AE27" i="3"/>
  <c r="AH27" i="3"/>
  <c r="AN27" i="3"/>
  <c r="AE28" i="3"/>
  <c r="AH28" i="3"/>
  <c r="AN28" i="3"/>
  <c r="AI30" i="3"/>
  <c r="AN30" i="3"/>
  <c r="AH30" i="3"/>
  <c r="AE30" i="3"/>
  <c r="AI26" i="3"/>
  <c r="AI27" i="3"/>
  <c r="AI28" i="3"/>
  <c r="AL29" i="3"/>
  <c r="AH29" i="3"/>
  <c r="AN29" i="3"/>
  <c r="AL30" i="3"/>
  <c r="AD30" i="3"/>
  <c r="AG30" i="3"/>
  <c r="AD31" i="3"/>
  <c r="AG31" i="3"/>
  <c r="AE32" i="3"/>
  <c r="AD33" i="3"/>
  <c r="AG33" i="3"/>
  <c r="AF34" i="3"/>
  <c r="AO34" i="3"/>
  <c r="AE35" i="3"/>
  <c r="AE31" i="3"/>
  <c r="AH31" i="3"/>
  <c r="AN31" i="3"/>
  <c r="AE33" i="3"/>
  <c r="AF35" i="3"/>
  <c r="AO35" i="3"/>
  <c r="AD32" i="3"/>
  <c r="AF33" i="3"/>
  <c r="AD35" i="3"/>
  <c r="N36" i="8"/>
  <c r="N35" i="8"/>
  <c r="E84" i="25" s="1"/>
  <c r="N42" i="8"/>
  <c r="F85" i="25" s="1"/>
  <c r="N41" i="8"/>
  <c r="N40" i="8"/>
  <c r="N39" i="8"/>
  <c r="N48" i="8"/>
  <c r="F86" i="25" s="1"/>
  <c r="N47" i="8"/>
  <c r="N46" i="8"/>
  <c r="AA31" i="5"/>
  <c r="AA29" i="5"/>
  <c r="AA28" i="5"/>
  <c r="N53" i="8"/>
  <c r="F87" i="25" s="1"/>
  <c r="N52" i="8"/>
  <c r="E87" i="25" s="1"/>
  <c r="N63" i="8"/>
  <c r="N62" i="8"/>
  <c r="N59" i="8"/>
  <c r="N58" i="8"/>
  <c r="AA35" i="5"/>
  <c r="AA34" i="5"/>
  <c r="AA33" i="5"/>
  <c r="AA32" i="5"/>
  <c r="N67" i="8"/>
  <c r="F90" i="25" s="1"/>
  <c r="N66" i="8"/>
  <c r="N65" i="8"/>
  <c r="N64" i="8"/>
  <c r="AA40" i="5"/>
  <c r="AA39" i="5"/>
  <c r="AA38" i="5"/>
  <c r="AA37" i="5"/>
  <c r="N76" i="8"/>
  <c r="F91" i="25" s="1"/>
  <c r="N75" i="8"/>
  <c r="N74" i="8"/>
  <c r="N73" i="8"/>
  <c r="N95" i="8"/>
  <c r="F95" i="25" s="1"/>
  <c r="N81" i="8"/>
  <c r="F92" i="25" s="1"/>
  <c r="N79" i="8"/>
  <c r="N78" i="8"/>
  <c r="AA43" i="5"/>
  <c r="AA42" i="5"/>
  <c r="AA41" i="5"/>
  <c r="AA49" i="5"/>
  <c r="N93" i="8"/>
  <c r="E95" i="25" s="1"/>
  <c r="N121" i="8"/>
  <c r="N120" i="8"/>
  <c r="AA50" i="5"/>
  <c r="N99" i="8"/>
  <c r="F96" i="25" s="1"/>
  <c r="N98" i="8"/>
  <c r="E96" i="25" s="1"/>
  <c r="AA51" i="5"/>
  <c r="N103" i="8"/>
  <c r="F97" i="25" s="1"/>
  <c r="N102" i="8"/>
  <c r="E97" i="25" s="1"/>
  <c r="AA52" i="5"/>
  <c r="N109" i="8"/>
  <c r="F98" i="25" s="1"/>
  <c r="N108" i="8"/>
  <c r="E98" i="25" s="1"/>
  <c r="AA55" i="5"/>
  <c r="AA54" i="5"/>
  <c r="N119" i="8"/>
  <c r="N118" i="8"/>
  <c r="AA56" i="5"/>
  <c r="N126" i="8"/>
  <c r="N125" i="8"/>
  <c r="AA58" i="5"/>
  <c r="AA57" i="5"/>
  <c r="N134" i="8"/>
  <c r="N133" i="8"/>
  <c r="N128" i="8"/>
  <c r="N127" i="8"/>
  <c r="N132" i="8"/>
  <c r="F104" i="25" s="1"/>
  <c r="N131" i="8"/>
  <c r="E83" i="25"/>
  <c r="E10" i="5"/>
  <c r="F5" i="5"/>
  <c r="F10" i="5" s="1"/>
  <c r="E80" i="25"/>
  <c r="F81" i="25"/>
  <c r="E81" i="25"/>
  <c r="F130" i="25"/>
  <c r="E130" i="25"/>
  <c r="F132" i="25"/>
  <c r="E132" i="25"/>
  <c r="F133" i="25"/>
  <c r="E133" i="25"/>
  <c r="F134" i="25"/>
  <c r="E134" i="25"/>
  <c r="F135" i="25"/>
  <c r="E135" i="25"/>
  <c r="F136" i="25"/>
  <c r="E136" i="25"/>
  <c r="F137" i="25"/>
  <c r="E137" i="25"/>
  <c r="F138" i="25"/>
  <c r="E138" i="25"/>
  <c r="F139" i="25"/>
  <c r="E139" i="25"/>
  <c r="F140" i="25"/>
  <c r="E140" i="25"/>
  <c r="F141" i="25"/>
  <c r="E141" i="25"/>
  <c r="F142" i="25"/>
  <c r="E142" i="25"/>
  <c r="F143" i="25"/>
  <c r="E143" i="25"/>
  <c r="F144" i="25"/>
  <c r="E144" i="25"/>
  <c r="F145" i="25"/>
  <c r="E145" i="25"/>
  <c r="F146" i="25"/>
  <c r="E146" i="25"/>
  <c r="F147" i="25"/>
  <c r="E147" i="25"/>
  <c r="F148" i="25"/>
  <c r="E148" i="25"/>
  <c r="F149" i="25"/>
  <c r="E149" i="25"/>
  <c r="F150" i="25"/>
  <c r="E150" i="25"/>
  <c r="F151" i="25"/>
  <c r="E151" i="25"/>
  <c r="F152" i="25"/>
  <c r="E152" i="25"/>
  <c r="F153" i="25"/>
  <c r="E153" i="25"/>
  <c r="M13" i="2" s="1"/>
  <c r="F154" i="25"/>
  <c r="E154" i="25"/>
  <c r="F155" i="25"/>
  <c r="E155" i="25"/>
  <c r="F156" i="25"/>
  <c r="E156" i="25"/>
  <c r="F157" i="25"/>
  <c r="E157" i="25"/>
  <c r="F158" i="25"/>
  <c r="E158" i="25"/>
  <c r="F159" i="25"/>
  <c r="E159" i="25"/>
  <c r="F160" i="25"/>
  <c r="E160" i="25"/>
  <c r="F161" i="25"/>
  <c r="E161" i="25"/>
  <c r="F162" i="25"/>
  <c r="E162" i="25"/>
  <c r="F163" i="25"/>
  <c r="E163" i="25"/>
  <c r="F164" i="25"/>
  <c r="E164" i="25"/>
  <c r="F165" i="25"/>
  <c r="E165" i="25"/>
  <c r="F166" i="25"/>
  <c r="E166" i="25"/>
  <c r="F80" i="25" l="1"/>
  <c r="M12" i="2" s="1"/>
  <c r="T20" i="3"/>
  <c r="U17" i="3"/>
  <c r="E86" i="25"/>
  <c r="U15" i="3"/>
  <c r="E91" i="25"/>
  <c r="E85" i="25"/>
  <c r="E104" i="25"/>
  <c r="S20" i="3"/>
  <c r="U20" i="3" s="1"/>
  <c r="J17" i="2" s="1"/>
  <c r="S17" i="2" s="1"/>
  <c r="U19" i="3"/>
  <c r="E103" i="25"/>
  <c r="E102" i="25"/>
  <c r="E101" i="25"/>
  <c r="E100" i="25"/>
  <c r="F84" i="25"/>
  <c r="F83" i="25"/>
  <c r="L13" i="2"/>
  <c r="S13" i="2" s="1"/>
  <c r="F103" i="25"/>
  <c r="F102" i="25"/>
  <c r="F101" i="25"/>
  <c r="F100" i="25"/>
  <c r="E89" i="25"/>
  <c r="E88" i="25"/>
  <c r="L12" i="2"/>
  <c r="S12" i="2" s="1"/>
  <c r="E92" i="25"/>
  <c r="E90" i="25"/>
  <c r="F89" i="25"/>
  <c r="F8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0000000-0006-0000-0300-000001000000}">
      <text>
        <r>
          <rPr>
            <b/>
            <sz val="9"/>
            <rFont val="Tahoma"/>
            <charset val="134"/>
          </rPr>
          <t>Author:</t>
        </r>
        <r>
          <rPr>
            <sz val="9"/>
            <rFont val="Tahoma"/>
            <charset val="134"/>
          </rPr>
          <t xml:space="preserve">
Enter the exact release name as you mentioned in
 1) Sprint-Measures
 2) Defect Metrics report
 3) Security-Metrics</t>
        </r>
      </text>
    </comment>
    <comment ref="H7" authorId="0" shapeId="0" xr:uid="{00000000-0006-0000-0300-000002000000}">
      <text>
        <r>
          <rPr>
            <b/>
            <sz val="9"/>
            <rFont val="Tahoma"/>
            <charset val="134"/>
          </rPr>
          <t>Author:</t>
        </r>
        <r>
          <rPr>
            <sz val="9"/>
            <rFont val="Tahoma"/>
            <charset val="134"/>
          </rPr>
          <t xml:space="preserve">
Enter the project Goals in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Sivam Varadarajan</author>
  </authors>
  <commentList>
    <comment ref="N4" authorId="0" shapeId="0" xr:uid="{00000000-0006-0000-0900-000001000000}">
      <text>
        <r>
          <rPr>
            <b/>
            <sz val="9"/>
            <rFont val="Tahoma"/>
            <charset val="134"/>
          </rPr>
          <t xml:space="preserve">Sivam Varadarajan:
</t>
        </r>
        <r>
          <rPr>
            <sz val="9"/>
            <rFont val="Tahoma"/>
            <charset val="134"/>
          </rPr>
          <t>It is not applicable for Project management and configuration management hours</t>
        </r>
        <r>
          <rPr>
            <b/>
            <sz val="9"/>
            <rFont val="Tahoma"/>
            <charset val="134"/>
          </rPr>
          <t xml:space="preserve">
</t>
        </r>
        <r>
          <rPr>
            <sz val="9"/>
            <rFont val="Tahoma"/>
            <charset val="134"/>
          </rPr>
          <t xml:space="preserve">If maintenance Types are not filled automatically, it means the corresponding ticket is not available in Task Report sheet. In such case, ensure the completeness of Task report 1. 
This column can be manually filled if the values are known.
Caution: On over writing, the formula in the cells would be lost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13" authorId="0" shapeId="0" xr:uid="{00000000-0006-0000-0A00-000001000000}">
      <text>
        <r>
          <rPr>
            <sz val="8"/>
            <rFont val="Tahoma"/>
            <charset val="134"/>
          </rPr>
          <t xml:space="preserve">&lt;New/ Open/ Assigned, Fixed/ Closed/Rejected/ Deferred&gt;
</t>
        </r>
      </text>
    </comment>
    <comment ref="L13" authorId="0" shapeId="0" xr:uid="{00000000-0006-0000-0A00-000002000000}">
      <text>
        <r>
          <rPr>
            <sz val="8"/>
            <rFont val="Tahoma"/>
            <charset val="134"/>
          </rPr>
          <t xml:space="preserve">Critical/Major/Minor/Trivial
</t>
        </r>
      </text>
    </comment>
    <comment ref="M13" authorId="0" shapeId="0" xr:uid="{00000000-0006-0000-0A00-000003000000}">
      <text>
        <r>
          <rPr>
            <sz val="8"/>
            <rFont val="Tahoma"/>
            <charset val="134"/>
          </rPr>
          <t xml:space="preserve">High/Critical/Medium/Low
</t>
        </r>
      </text>
    </comment>
    <comment ref="N13" authorId="0" shapeId="0" xr:uid="{00000000-0006-0000-0A00-000004000000}">
      <text>
        <r>
          <rPr>
            <sz val="8"/>
            <rFont val="Tahoma"/>
            <charset val="134"/>
          </rPr>
          <t xml:space="preserve">Development/Integration Test/System Test/Pre-Production/ UAT/Production
</t>
        </r>
      </text>
    </comment>
    <comment ref="O13" authorId="0" shapeId="0" xr:uid="{00000000-0006-0000-0A00-000005000000}">
      <text>
        <r>
          <rPr>
            <sz val="8"/>
            <rFont val="Tahoma"/>
            <charset val="134"/>
          </rPr>
          <t>NA for Third Party Testing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31" authorId="0" shapeId="0" xr:uid="{00000000-0006-0000-1000-000001000000}">
      <text>
        <r>
          <rPr>
            <b/>
            <sz val="9"/>
            <rFont val="Tahoma"/>
            <charset val="134"/>
          </rPr>
          <t>Author:</t>
        </r>
        <r>
          <rPr>
            <sz val="9"/>
            <rFont val="Tahoma"/>
            <charset val="134"/>
          </rPr>
          <t xml:space="preserve">
Remove Leaves and Holidays</t>
        </r>
      </text>
    </comment>
    <comment ref="J31" authorId="0" shapeId="0" xr:uid="{00000000-0006-0000-1000-000002000000}">
      <text>
        <r>
          <rPr>
            <b/>
            <sz val="9"/>
            <rFont val="Tahoma"/>
            <charset val="134"/>
          </rPr>
          <t>Author:</t>
        </r>
        <r>
          <rPr>
            <sz val="9"/>
            <rFont val="Tahoma"/>
            <charset val="134"/>
          </rPr>
          <t xml:space="preserve">
As Entered in timesheet
Remove Leaves and Holidays</t>
        </r>
      </text>
    </comment>
  </commentList>
</comments>
</file>

<file path=xl/sharedStrings.xml><?xml version="1.0" encoding="utf-8"?>
<sst xmlns="http://schemas.openxmlformats.org/spreadsheetml/2006/main" count="987" uniqueCount="458">
  <si>
    <t>Defect Type</t>
  </si>
  <si>
    <t>Review</t>
  </si>
  <si>
    <t>Testing</t>
  </si>
  <si>
    <t>Defect Status</t>
  </si>
  <si>
    <t>New</t>
  </si>
  <si>
    <t>Approved</t>
  </si>
  <si>
    <t>As Designed</t>
  </si>
  <si>
    <t>Duplicate</t>
  </si>
  <si>
    <t>Reject</t>
  </si>
  <si>
    <t>Deferred</t>
  </si>
  <si>
    <t>Defect Severity</t>
  </si>
  <si>
    <t>Critical</t>
  </si>
  <si>
    <t>Blocker</t>
  </si>
  <si>
    <t>Major</t>
  </si>
  <si>
    <t>Minor</t>
  </si>
  <si>
    <t>Trivial</t>
  </si>
  <si>
    <t>Defect Priority</t>
  </si>
  <si>
    <t>Immediate</t>
  </si>
  <si>
    <t>High</t>
  </si>
  <si>
    <t>Medium</t>
  </si>
  <si>
    <t>Low</t>
  </si>
  <si>
    <t>Defect Injected Phase</t>
  </si>
  <si>
    <t>Requirement</t>
  </si>
  <si>
    <t>Design</t>
  </si>
  <si>
    <t>Coding</t>
  </si>
  <si>
    <t>Unit Testing</t>
  </si>
  <si>
    <t>System Testing</t>
  </si>
  <si>
    <t>UAT</t>
  </si>
  <si>
    <t>Production</t>
  </si>
  <si>
    <t>Defect Detected Phase</t>
  </si>
  <si>
    <t>Release</t>
  </si>
  <si>
    <t>Defect Classification</t>
  </si>
  <si>
    <t>Internal</t>
  </si>
  <si>
    <t>External</t>
  </si>
  <si>
    <t>Defect Category</t>
  </si>
  <si>
    <t>Missed Requirements</t>
  </si>
  <si>
    <t>UI</t>
  </si>
  <si>
    <t>Functional</t>
  </si>
  <si>
    <t>Performance</t>
  </si>
  <si>
    <t>Security</t>
  </si>
  <si>
    <t>Environment</t>
  </si>
  <si>
    <t>Upgrade</t>
  </si>
  <si>
    <t>Cosmetic</t>
  </si>
  <si>
    <t>Database</t>
  </si>
  <si>
    <t>Data</t>
  </si>
  <si>
    <t>Deployments</t>
  </si>
  <si>
    <t>Task Type</t>
  </si>
  <si>
    <t>Analysis</t>
  </si>
  <si>
    <t>Rework</t>
  </si>
  <si>
    <t>ProjectManagement</t>
  </si>
  <si>
    <t>ConfigurationManagement</t>
  </si>
  <si>
    <t>Requirements</t>
  </si>
  <si>
    <t>Creation</t>
  </si>
  <si>
    <t>Updation</t>
  </si>
  <si>
    <t>Code</t>
  </si>
  <si>
    <t>UnitTesting</t>
  </si>
  <si>
    <t>Test Case Creation</t>
  </si>
  <si>
    <t>Test Case Review</t>
  </si>
  <si>
    <t>Test Execution</t>
  </si>
  <si>
    <t>Reports</t>
  </si>
  <si>
    <t>Meetings</t>
  </si>
  <si>
    <t>Client coordination &amp; collaboration</t>
  </si>
  <si>
    <t>Task Assignment</t>
  </si>
  <si>
    <t>Team coordination &amp; collaboration</t>
  </si>
  <si>
    <t>Task status review</t>
  </si>
  <si>
    <t>MaintenanceType</t>
  </si>
  <si>
    <t>L1</t>
  </si>
  <si>
    <t>L2</t>
  </si>
  <si>
    <t>L3</t>
  </si>
  <si>
    <t>L4</t>
  </si>
  <si>
    <t>L5</t>
  </si>
  <si>
    <t>Simple</t>
  </si>
  <si>
    <t>Complex</t>
  </si>
  <si>
    <t>Document Name:</t>
  </si>
  <si>
    <t>EU-MCM-S2-LAMP-TM-Dev</t>
  </si>
  <si>
    <t>Document ID:</t>
  </si>
  <si>
    <t>Document Version:</t>
  </si>
  <si>
    <t>Date:</t>
  </si>
  <si>
    <t>Data Classification:</t>
  </si>
  <si>
    <t>Modification History</t>
  </si>
  <si>
    <t>(Kindly remove this table as this is the modification history of the template)</t>
  </si>
  <si>
    <t>Purpose of the Template</t>
  </si>
  <si>
    <t>This template is used to collect metrics for maintenance projects</t>
  </si>
  <si>
    <t>Date</t>
  </si>
  <si>
    <t>Author(s)</t>
  </si>
  <si>
    <t>Change Description</t>
  </si>
  <si>
    <t>Version</t>
  </si>
  <si>
    <t>Roopa Thiagarajan</t>
  </si>
  <si>
    <t>Metrics for Oct 2022</t>
  </si>
  <si>
    <t>Satrughna Nagam</t>
  </si>
  <si>
    <t>STEP 1</t>
  </si>
  <si>
    <r>
      <rPr>
        <sz val="11"/>
        <color theme="1"/>
        <rFont val="Calibri"/>
        <charset val="134"/>
        <scheme val="minor"/>
      </rPr>
      <t xml:space="preserve">Go to </t>
    </r>
    <r>
      <rPr>
        <b/>
        <i/>
        <sz val="11"/>
        <color theme="1"/>
        <rFont val="Calibri"/>
        <charset val="134"/>
        <scheme val="minor"/>
      </rPr>
      <t xml:space="preserve">Metrics Dashboard </t>
    </r>
    <r>
      <rPr>
        <sz val="11"/>
        <color theme="1"/>
        <rFont val="Calibri"/>
        <charset val="134"/>
        <scheme val="minor"/>
      </rPr>
      <t>work sheet</t>
    </r>
  </si>
  <si>
    <t>Select the required lifecycle from the checkboxes available</t>
  </si>
  <si>
    <t>Maintenance Enhancements - Dev</t>
  </si>
  <si>
    <t>Maintenance Metrics Enhancements- Testing</t>
  </si>
  <si>
    <t>STEP 2</t>
  </si>
  <si>
    <t>If you have custom metrics added for the project, Ensure it is added in the Dashboard</t>
  </si>
  <si>
    <t>STEP 3</t>
  </si>
  <si>
    <r>
      <rPr>
        <sz val="11"/>
        <color theme="1"/>
        <rFont val="Calibri"/>
        <charset val="134"/>
        <scheme val="minor"/>
      </rPr>
      <t>Go to Task Report</t>
    </r>
    <r>
      <rPr>
        <b/>
        <i/>
        <sz val="11"/>
        <color theme="1"/>
        <rFont val="Calibri"/>
        <charset val="134"/>
        <scheme val="minor"/>
      </rPr>
      <t xml:space="preserve"> </t>
    </r>
    <r>
      <rPr>
        <sz val="11"/>
        <color theme="1"/>
        <rFont val="Calibri"/>
        <charset val="134"/>
        <scheme val="minor"/>
      </rPr>
      <t>work sheet</t>
    </r>
  </si>
  <si>
    <t xml:space="preserve">Fill the following </t>
  </si>
  <si>
    <t>Task ID</t>
  </si>
  <si>
    <t>Customer Task ID</t>
  </si>
  <si>
    <t>Product Name</t>
  </si>
  <si>
    <t>Release Name</t>
  </si>
  <si>
    <t>Task Summary</t>
  </si>
  <si>
    <t>Size</t>
  </si>
  <si>
    <t>Planned Start Date</t>
  </si>
  <si>
    <t>Planned End Date</t>
  </si>
  <si>
    <t>Estimated Effort (Hours)</t>
  </si>
  <si>
    <t>Actual Start Date</t>
  </si>
  <si>
    <t>Actual End Date</t>
  </si>
  <si>
    <t>Actual Effort (Hours)</t>
  </si>
  <si>
    <t>We have a Query available to fetch these information in a report from PRISM</t>
  </si>
  <si>
    <t>STEP 4</t>
  </si>
  <si>
    <r>
      <rPr>
        <sz val="11"/>
        <color theme="1"/>
        <rFont val="Calibri"/>
        <charset val="134"/>
        <scheme val="minor"/>
      </rPr>
      <t>Go to Task Report2</t>
    </r>
    <r>
      <rPr>
        <b/>
        <i/>
        <sz val="11"/>
        <color theme="1"/>
        <rFont val="Calibri"/>
        <charset val="134"/>
        <scheme val="minor"/>
      </rPr>
      <t xml:space="preserve"> </t>
    </r>
    <r>
      <rPr>
        <sz val="11"/>
        <color theme="1"/>
        <rFont val="Calibri"/>
        <charset val="134"/>
        <scheme val="minor"/>
      </rPr>
      <t>work sheet</t>
    </r>
  </si>
  <si>
    <t>S.No</t>
  </si>
  <si>
    <t>Ticket</t>
  </si>
  <si>
    <t>Customer Task Id</t>
  </si>
  <si>
    <t>Estimated Effort</t>
  </si>
  <si>
    <t>Hours Worked</t>
  </si>
  <si>
    <t>STEP 5</t>
  </si>
  <si>
    <r>
      <rPr>
        <sz val="11"/>
        <color theme="1"/>
        <rFont val="Calibri"/>
        <charset val="134"/>
        <scheme val="minor"/>
      </rPr>
      <t xml:space="preserve">Go to </t>
    </r>
    <r>
      <rPr>
        <b/>
        <i/>
        <sz val="11"/>
        <color theme="1"/>
        <rFont val="Calibri"/>
        <charset val="134"/>
        <scheme val="minor"/>
      </rPr>
      <t xml:space="preserve">Defect Metrics Report </t>
    </r>
    <r>
      <rPr>
        <sz val="11"/>
        <color theme="1"/>
        <rFont val="Calibri"/>
        <charset val="134"/>
        <scheme val="minor"/>
      </rPr>
      <t>work sheet</t>
    </r>
  </si>
  <si>
    <t xml:space="preserve">Defect Id </t>
  </si>
  <si>
    <t>Defect Title</t>
  </si>
  <si>
    <t>Task Subtype</t>
  </si>
  <si>
    <t>Detailed Defect Description</t>
  </si>
  <si>
    <t>Related Module / Component</t>
  </si>
  <si>
    <t>Defect Environment</t>
  </si>
  <si>
    <t xml:space="preserve">Defect Injected Phase </t>
  </si>
  <si>
    <t>Detected By</t>
  </si>
  <si>
    <t>Detected in Phase</t>
  </si>
  <si>
    <t>Detected in Version / Build</t>
  </si>
  <si>
    <t xml:space="preserve">Defect Detected On Date </t>
  </si>
  <si>
    <t>Fixed in version / Build No</t>
  </si>
  <si>
    <t>Fixed on Date</t>
  </si>
  <si>
    <t>Assigned to</t>
  </si>
  <si>
    <t>STEP 6</t>
  </si>
  <si>
    <r>
      <rPr>
        <sz val="11"/>
        <color theme="1"/>
        <rFont val="Calibri"/>
        <charset val="134"/>
        <scheme val="minor"/>
      </rPr>
      <t xml:space="preserve">Go to </t>
    </r>
    <r>
      <rPr>
        <b/>
        <i/>
        <sz val="11"/>
        <color theme="1"/>
        <rFont val="Calibri"/>
        <charset val="134"/>
        <scheme val="minor"/>
      </rPr>
      <t xml:space="preserve">L'd Factor &amp; Plan'g Commitment </t>
    </r>
    <r>
      <rPr>
        <sz val="11"/>
        <color theme="1"/>
        <rFont val="Calibri"/>
        <charset val="134"/>
        <scheme val="minor"/>
      </rPr>
      <t>work sheet</t>
    </r>
  </si>
  <si>
    <t>Resource Name</t>
  </si>
  <si>
    <t>% Allocation</t>
  </si>
  <si>
    <t>Number of working days</t>
  </si>
  <si>
    <t>Standard Work hour</t>
  </si>
  <si>
    <t>Month-Year</t>
  </si>
  <si>
    <t>Actual Effort</t>
  </si>
  <si>
    <t>STEP 7</t>
  </si>
  <si>
    <r>
      <rPr>
        <sz val="11"/>
        <color theme="1"/>
        <rFont val="Calibri"/>
        <charset val="134"/>
        <scheme val="minor"/>
      </rPr>
      <t xml:space="preserve">Go to </t>
    </r>
    <r>
      <rPr>
        <b/>
        <i/>
        <sz val="11"/>
        <color theme="1"/>
        <rFont val="Calibri"/>
        <charset val="134"/>
        <scheme val="minor"/>
      </rPr>
      <t xml:space="preserve">Security-Metrics </t>
    </r>
    <r>
      <rPr>
        <sz val="11"/>
        <color theme="1"/>
        <rFont val="Calibri"/>
        <charset val="134"/>
        <scheme val="minor"/>
      </rPr>
      <t>work sheet</t>
    </r>
  </si>
  <si>
    <t>Fill the following in Leftside table</t>
  </si>
  <si>
    <t xml:space="preserve">Month-Year </t>
  </si>
  <si>
    <t>No. of Resources De-allocated</t>
  </si>
  <si>
    <t>No. of Resources for whom access were removed on time</t>
  </si>
  <si>
    <t>No. of Resources for whom assets were returned on time</t>
  </si>
  <si>
    <t>STEP 8</t>
  </si>
  <si>
    <t>Fill the following in Right side table</t>
  </si>
  <si>
    <t>Sprint</t>
  </si>
  <si>
    <t xml:space="preserve">No. of Internal Security Defects  </t>
  </si>
  <si>
    <t>No. of External security Defects</t>
  </si>
  <si>
    <t>STEP 9</t>
  </si>
  <si>
    <r>
      <rPr>
        <sz val="11"/>
        <color theme="1"/>
        <rFont val="Calibri"/>
        <charset val="134"/>
        <scheme val="minor"/>
      </rPr>
      <t xml:space="preserve">Go to </t>
    </r>
    <r>
      <rPr>
        <b/>
        <i/>
        <sz val="11"/>
        <color theme="1"/>
        <rFont val="Calibri"/>
        <charset val="134"/>
        <scheme val="minor"/>
      </rPr>
      <t xml:space="preserve">Sprint Burndown </t>
    </r>
    <r>
      <rPr>
        <sz val="11"/>
        <color theme="1"/>
        <rFont val="Calibri"/>
        <charset val="134"/>
        <scheme val="minor"/>
      </rPr>
      <t>work sheet</t>
    </r>
  </si>
  <si>
    <t>This is just a placeholder to place the snapshot of Sprint burndown chart from the tool</t>
  </si>
  <si>
    <t>Just append the snapshots for subsequent sprints with relevant information as provided in the first placeholder</t>
  </si>
  <si>
    <t>STEP 10</t>
  </si>
  <si>
    <r>
      <rPr>
        <sz val="11"/>
        <color theme="1"/>
        <rFont val="Calibri"/>
        <charset val="134"/>
        <scheme val="minor"/>
      </rPr>
      <t xml:space="preserve">Go to </t>
    </r>
    <r>
      <rPr>
        <b/>
        <i/>
        <sz val="11"/>
        <color theme="1"/>
        <rFont val="Calibri"/>
        <charset val="134"/>
        <scheme val="minor"/>
      </rPr>
      <t xml:space="preserve">Metrics-Dashboard </t>
    </r>
    <r>
      <rPr>
        <sz val="11"/>
        <color theme="1"/>
        <rFont val="Calibri"/>
        <charset val="134"/>
        <scheme val="minor"/>
      </rPr>
      <t>work sheet</t>
    </r>
  </si>
  <si>
    <t>Fill the Release name and Month as given in the Sprint-Measure/ Defect Metrics Report   and L'dFactor and Plan'g commitment sheets</t>
  </si>
  <si>
    <t>STEP 11</t>
  </si>
  <si>
    <r>
      <rPr>
        <sz val="11"/>
        <color theme="1"/>
        <rFont val="Calibri"/>
        <charset val="134"/>
        <scheme val="minor"/>
      </rPr>
      <t xml:space="preserve">In </t>
    </r>
    <r>
      <rPr>
        <b/>
        <i/>
        <sz val="11"/>
        <color theme="1"/>
        <rFont val="Calibri"/>
        <charset val="134"/>
        <scheme val="minor"/>
      </rPr>
      <t xml:space="preserve">Metrics-Dashboard </t>
    </r>
    <r>
      <rPr>
        <sz val="11"/>
        <color theme="1"/>
        <rFont val="Calibri"/>
        <charset val="134"/>
        <scheme val="minor"/>
      </rPr>
      <t>work sheet</t>
    </r>
  </si>
  <si>
    <t>Analyse the metrics and Provide the Root cause, Corrective action and Status of Corrective Action</t>
  </si>
  <si>
    <t>The Actual value in metrics Dashboard are highlighted with various colors depending on its status of meeting the goal</t>
  </si>
  <si>
    <t>For HB Metrics</t>
  </si>
  <si>
    <t>For LB Metrics</t>
  </si>
  <si>
    <t>For NB Metrics</t>
  </si>
  <si>
    <t>Actual Value</t>
  </si>
  <si>
    <r>
      <rPr>
        <sz val="11"/>
        <color theme="1"/>
        <rFont val="Calibri"/>
        <charset val="134"/>
        <scheme val="minor"/>
      </rPr>
      <t xml:space="preserve">Greater than </t>
    </r>
    <r>
      <rPr>
        <i/>
        <sz val="11"/>
        <color theme="1"/>
        <rFont val="Calibri"/>
        <charset val="134"/>
        <scheme val="minor"/>
      </rPr>
      <t>OR</t>
    </r>
    <r>
      <rPr>
        <sz val="11"/>
        <color theme="1"/>
        <rFont val="Calibri"/>
        <charset val="134"/>
        <scheme val="minor"/>
      </rPr>
      <t xml:space="preserve"> Equal to Goal</t>
    </r>
  </si>
  <si>
    <r>
      <rPr>
        <sz val="11"/>
        <color theme="1"/>
        <rFont val="Calibri"/>
        <charset val="134"/>
        <scheme val="minor"/>
      </rPr>
      <t xml:space="preserve">Lesser than </t>
    </r>
    <r>
      <rPr>
        <i/>
        <sz val="11"/>
        <color theme="1"/>
        <rFont val="Calibri"/>
        <charset val="134"/>
        <scheme val="minor"/>
      </rPr>
      <t>OR</t>
    </r>
    <r>
      <rPr>
        <sz val="11"/>
        <color theme="1"/>
        <rFont val="Calibri"/>
        <charset val="134"/>
        <scheme val="minor"/>
      </rPr>
      <t xml:space="preserve"> Equal to Goal
</t>
    </r>
    <r>
      <rPr>
        <i/>
        <sz val="11"/>
        <color theme="1"/>
        <rFont val="Calibri"/>
        <charset val="134"/>
        <scheme val="minor"/>
      </rPr>
      <t>AND</t>
    </r>
    <r>
      <rPr>
        <sz val="11"/>
        <color theme="1"/>
        <rFont val="Calibri"/>
        <charset val="134"/>
        <scheme val="minor"/>
      </rPr>
      <t xml:space="preserve">
Greater than </t>
    </r>
    <r>
      <rPr>
        <i/>
        <sz val="11"/>
        <color theme="1"/>
        <rFont val="Calibri"/>
        <charset val="134"/>
        <scheme val="minor"/>
      </rPr>
      <t xml:space="preserve">OR </t>
    </r>
    <r>
      <rPr>
        <sz val="11"/>
        <color theme="1"/>
        <rFont val="Calibri"/>
        <charset val="134"/>
        <scheme val="minor"/>
      </rPr>
      <t>Equal to LSL</t>
    </r>
  </si>
  <si>
    <t>Equal to Goal</t>
  </si>
  <si>
    <r>
      <rPr>
        <sz val="11"/>
        <color theme="1"/>
        <rFont val="Calibri"/>
        <charset val="134"/>
        <scheme val="minor"/>
      </rPr>
      <t xml:space="preserve">Lesser than Goal
 </t>
    </r>
    <r>
      <rPr>
        <i/>
        <sz val="11"/>
        <color theme="1"/>
        <rFont val="Calibri"/>
        <charset val="134"/>
        <scheme val="minor"/>
      </rPr>
      <t>AND
G</t>
    </r>
    <r>
      <rPr>
        <sz val="11"/>
        <color theme="1"/>
        <rFont val="Calibri"/>
        <charset val="134"/>
        <scheme val="minor"/>
      </rPr>
      <t xml:space="preserve">reater than </t>
    </r>
    <r>
      <rPr>
        <i/>
        <sz val="11"/>
        <color theme="1"/>
        <rFont val="Calibri"/>
        <charset val="134"/>
        <scheme val="minor"/>
      </rPr>
      <t xml:space="preserve">OR </t>
    </r>
    <r>
      <rPr>
        <sz val="11"/>
        <color theme="1"/>
        <rFont val="Calibri"/>
        <charset val="134"/>
        <scheme val="minor"/>
      </rPr>
      <t>Equal to LSL</t>
    </r>
  </si>
  <si>
    <r>
      <rPr>
        <sz val="11"/>
        <color theme="1"/>
        <rFont val="Calibri"/>
        <charset val="134"/>
        <scheme val="minor"/>
      </rPr>
      <t xml:space="preserve">Greater than Goal
</t>
    </r>
    <r>
      <rPr>
        <i/>
        <sz val="11"/>
        <color theme="1"/>
        <rFont val="Calibri"/>
        <charset val="134"/>
        <scheme val="minor"/>
      </rPr>
      <t>AND</t>
    </r>
    <r>
      <rPr>
        <sz val="11"/>
        <color theme="1"/>
        <rFont val="Calibri"/>
        <charset val="134"/>
        <scheme val="minor"/>
      </rPr>
      <t xml:space="preserve">
Lesser than OR Equal to USL</t>
    </r>
  </si>
  <si>
    <r>
      <rPr>
        <sz val="11"/>
        <color theme="1"/>
        <rFont val="Calibri"/>
        <charset val="134"/>
        <scheme val="minor"/>
      </rPr>
      <t xml:space="preserve">Not Equal to Goal
</t>
    </r>
    <r>
      <rPr>
        <i/>
        <sz val="11"/>
        <color theme="1"/>
        <rFont val="Calibri"/>
        <charset val="134"/>
        <scheme val="minor"/>
      </rPr>
      <t>AND</t>
    </r>
    <r>
      <rPr>
        <sz val="11"/>
        <color theme="1"/>
        <rFont val="Calibri"/>
        <charset val="134"/>
        <scheme val="minor"/>
      </rPr>
      <t xml:space="preserve">
Within USL / LSL</t>
    </r>
  </si>
  <si>
    <t>Lesser than LSL</t>
  </si>
  <si>
    <r>
      <rPr>
        <sz val="11"/>
        <color theme="1"/>
        <rFont val="Calibri"/>
        <charset val="134"/>
        <scheme val="minor"/>
      </rPr>
      <t xml:space="preserve">Greater than USL
</t>
    </r>
    <r>
      <rPr>
        <i/>
        <sz val="11"/>
        <color theme="1"/>
        <rFont val="Calibri"/>
        <charset val="134"/>
        <scheme val="minor"/>
      </rPr>
      <t>OR</t>
    </r>
    <r>
      <rPr>
        <sz val="11"/>
        <color theme="1"/>
        <rFont val="Calibri"/>
        <charset val="134"/>
        <scheme val="minor"/>
      </rPr>
      <t xml:space="preserve">
Lesser than LSL</t>
    </r>
  </si>
  <si>
    <t>STEP 12</t>
  </si>
  <si>
    <r>
      <rPr>
        <sz val="11"/>
        <color theme="1"/>
        <rFont val="Calibri"/>
        <charset val="134"/>
        <scheme val="minor"/>
      </rPr>
      <t xml:space="preserve">After Completing STEP 11 for the given release, Press the "Append" button. This will push the Rootcause, Corrective action and Status of Corrective action to </t>
    </r>
    <r>
      <rPr>
        <b/>
        <i/>
        <sz val="11"/>
        <color theme="1"/>
        <rFont val="Calibri"/>
        <charset val="134"/>
        <scheme val="minor"/>
      </rPr>
      <t>RCA</t>
    </r>
    <r>
      <rPr>
        <sz val="11"/>
        <color theme="1"/>
        <rFont val="Calibri"/>
        <charset val="134"/>
        <scheme val="minor"/>
      </rPr>
      <t xml:space="preserve"> sheet</t>
    </r>
  </si>
  <si>
    <t>STEP 13</t>
  </si>
  <si>
    <t>After completing the RCA. Follow from Step1 with another release name and Month name</t>
  </si>
  <si>
    <t>Status of Corrective Action</t>
  </si>
  <si>
    <t>Not Started</t>
  </si>
  <si>
    <t>Inprogress</t>
  </si>
  <si>
    <t>Completed</t>
  </si>
  <si>
    <t>Cycle 01</t>
  </si>
  <si>
    <t>Month</t>
  </si>
  <si>
    <t>QMS Metrics</t>
  </si>
  <si>
    <t>HB/LB/NB</t>
  </si>
  <si>
    <t>Unit Of Measure</t>
  </si>
  <si>
    <t>Org Goal</t>
  </si>
  <si>
    <t>Project Goal</t>
  </si>
  <si>
    <t>LSL</t>
  </si>
  <si>
    <t>USL</t>
  </si>
  <si>
    <t xml:space="preserve">Root Cause </t>
  </si>
  <si>
    <t>Corrective Action</t>
  </si>
  <si>
    <t>Conditional Formatting</t>
  </si>
  <si>
    <t>D1</t>
  </si>
  <si>
    <t>T1</t>
  </si>
  <si>
    <t>Schedule Variation</t>
  </si>
  <si>
    <t>LB</t>
  </si>
  <si>
    <t>Working Fine</t>
  </si>
  <si>
    <t>D2</t>
  </si>
  <si>
    <t>T2</t>
  </si>
  <si>
    <t>Effort Variation</t>
  </si>
  <si>
    <t>D16</t>
  </si>
  <si>
    <t>T17</t>
  </si>
  <si>
    <t>Load Factor</t>
  </si>
  <si>
    <t>NB</t>
  </si>
  <si>
    <t>D6</t>
  </si>
  <si>
    <t>T4</t>
  </si>
  <si>
    <t>Requirement Stability Index</t>
  </si>
  <si>
    <t>D8</t>
  </si>
  <si>
    <t>T6</t>
  </si>
  <si>
    <t>% of Rework Effort</t>
  </si>
  <si>
    <t>D9</t>
  </si>
  <si>
    <t>T7</t>
  </si>
  <si>
    <t>% of Review Effort</t>
  </si>
  <si>
    <t>Lack of Knowledge</t>
  </si>
  <si>
    <t>Updated precommit hooks</t>
  </si>
  <si>
    <t>D10</t>
  </si>
  <si>
    <t>T8</t>
  </si>
  <si>
    <t>% of Project Management Effort</t>
  </si>
  <si>
    <t>D11</t>
  </si>
  <si>
    <t>T9</t>
  </si>
  <si>
    <t>% of Configuration Management Effort</t>
  </si>
  <si>
    <t>D12</t>
  </si>
  <si>
    <t>T10</t>
  </si>
  <si>
    <t>Defect Leakage</t>
  </si>
  <si>
    <t>D13</t>
  </si>
  <si>
    <t>Escape Rate</t>
  </si>
  <si>
    <t>D5</t>
  </si>
  <si>
    <t>Productivity ***</t>
  </si>
  <si>
    <t>HB</t>
  </si>
  <si>
    <t>Project Specific</t>
  </si>
  <si>
    <t>D4</t>
  </si>
  <si>
    <t>Defect Density by Effort ( Dev )</t>
  </si>
  <si>
    <t>Defects / Person days</t>
  </si>
  <si>
    <t>D3</t>
  </si>
  <si>
    <t>Defect Density by Size ( Dev )***</t>
  </si>
  <si>
    <t>Defects / size</t>
  </si>
  <si>
    <t>D7</t>
  </si>
  <si>
    <t>Overall Review Efficiency ( Dev )</t>
  </si>
  <si>
    <t>T5</t>
  </si>
  <si>
    <t>Overall Review Efficiency ( Test )</t>
  </si>
  <si>
    <t>T3</t>
  </si>
  <si>
    <t>Defect Density by size (Test)***</t>
  </si>
  <si>
    <t>D14</t>
  </si>
  <si>
    <t>T11</t>
  </si>
  <si>
    <t>Test Case Creation Productivity</t>
  </si>
  <si>
    <t>Assumptions</t>
  </si>
  <si>
    <t>will add more test cases in future implementations</t>
  </si>
  <si>
    <t>D15</t>
  </si>
  <si>
    <t>T12</t>
  </si>
  <si>
    <t>Test Execution Productivity</t>
  </si>
  <si>
    <t>T13</t>
  </si>
  <si>
    <t>Defect Density by Effort (Test )***</t>
  </si>
  <si>
    <t>T16</t>
  </si>
  <si>
    <t>Defect Severity Index</t>
  </si>
  <si>
    <t>T14</t>
  </si>
  <si>
    <t>Defect Validation Productivity</t>
  </si>
  <si>
    <t>T15</t>
  </si>
  <si>
    <t>Defect Acceptance Rate</t>
  </si>
  <si>
    <t>%</t>
  </si>
  <si>
    <t>D17</t>
  </si>
  <si>
    <t>T18</t>
  </si>
  <si>
    <t>% of Ontime Removal of Access</t>
  </si>
  <si>
    <t>D18</t>
  </si>
  <si>
    <t>T19</t>
  </si>
  <si>
    <t>% of Ontime Return of Assets</t>
  </si>
  <si>
    <t>D19</t>
  </si>
  <si>
    <t>T20</t>
  </si>
  <si>
    <t>Security Defect Leakage</t>
  </si>
  <si>
    <t>Legends</t>
  </si>
  <si>
    <t>Cells that should be filled in by users</t>
  </si>
  <si>
    <t>Applicable only for Development</t>
  </si>
  <si>
    <t>Applicable for DevQA and Third party Testing</t>
  </si>
  <si>
    <t>Applicable only for Third party Testing</t>
  </si>
  <si>
    <t>***</t>
  </si>
  <si>
    <t>Optional metrics</t>
  </si>
  <si>
    <t xml:space="preserve">Guidelines for Minor and Major Enhancements </t>
  </si>
  <si>
    <t xml:space="preserve">Categorization </t>
  </si>
  <si>
    <t xml:space="preserve">Criteria </t>
  </si>
  <si>
    <t>&lt; 20 Hrs</t>
  </si>
  <si>
    <t>20 to 49 hrs</t>
  </si>
  <si>
    <t>50 to 149 hrs</t>
  </si>
  <si>
    <t>150 to 299 hrs</t>
  </si>
  <si>
    <t>&gt;=300 hrs</t>
  </si>
  <si>
    <t xml:space="preserve">Criteria can be changed based on the project needs upon approval from SLO and QA </t>
  </si>
  <si>
    <t>Applicable only for</t>
  </si>
  <si>
    <t>Development metrics</t>
  </si>
  <si>
    <t>Dev-QA Metrics</t>
  </si>
  <si>
    <t>Independent Testing Metrics</t>
  </si>
  <si>
    <t>(All)</t>
  </si>
  <si>
    <t>Release ID / Sprint No.</t>
  </si>
  <si>
    <t>Reason for Holidays</t>
  </si>
  <si>
    <t>Sum of Effort Variation (%)</t>
  </si>
  <si>
    <t>Networkdays</t>
  </si>
  <si>
    <t>Load factor in percent</t>
  </si>
  <si>
    <t>Cell lock</t>
  </si>
  <si>
    <t>Holiday list</t>
  </si>
  <si>
    <t>Error handling</t>
  </si>
  <si>
    <t>Average ticket size</t>
  </si>
  <si>
    <t>Month Year</t>
  </si>
  <si>
    <t>Actual value</t>
  </si>
  <si>
    <t>Root Cause Analysis</t>
  </si>
  <si>
    <t>&lt;----- Please provide the Root cause and Corrective action</t>
  </si>
  <si>
    <t>Autofilled cells</t>
  </si>
  <si>
    <t>Editable Cells with formula</t>
  </si>
  <si>
    <r>
      <rPr>
        <b/>
        <sz val="14"/>
        <color theme="1"/>
        <rFont val="Calibri"/>
        <charset val="134"/>
        <scheme val="minor"/>
      </rPr>
      <t xml:space="preserve">Metrics Addressed: </t>
    </r>
    <r>
      <rPr>
        <sz val="14"/>
        <color theme="1"/>
        <rFont val="Calibri"/>
        <charset val="134"/>
        <scheme val="minor"/>
      </rPr>
      <t>Escape Rate</t>
    </r>
  </si>
  <si>
    <t>Result</t>
  </si>
  <si>
    <t>CUT</t>
  </si>
  <si>
    <t>Total Defects</t>
  </si>
  <si>
    <t>Escape Rate by Activity</t>
  </si>
  <si>
    <t>Escape Rate (%)</t>
  </si>
  <si>
    <t>Overall Actual Effort</t>
  </si>
  <si>
    <t>Total No Of Tasks</t>
  </si>
  <si>
    <t>Avg Hours per ticket</t>
  </si>
  <si>
    <t>Project Level Escape Rate</t>
  </si>
  <si>
    <t xml:space="preserve">                                  Initial and modified Requirements can be filled only for L3 and L4  Maintenance Types
</t>
  </si>
  <si>
    <r>
      <rPr>
        <b/>
        <sz val="14"/>
        <color theme="1"/>
        <rFont val="Calibri"/>
        <charset val="134"/>
        <scheme val="minor"/>
      </rPr>
      <t xml:space="preserve">Metrics Addressed: </t>
    </r>
    <r>
      <rPr>
        <sz val="14"/>
        <color theme="1"/>
        <rFont val="Cambria"/>
        <charset val="134"/>
        <scheme val="major"/>
      </rPr>
      <t>Requirement Stability Index and Productivity</t>
    </r>
  </si>
  <si>
    <r>
      <rPr>
        <b/>
        <sz val="14"/>
        <color theme="1"/>
        <rFont val="Cambria"/>
        <charset val="134"/>
        <scheme val="major"/>
      </rPr>
      <t xml:space="preserve">Metrics Addressed: </t>
    </r>
    <r>
      <rPr>
        <sz val="14"/>
        <color theme="1"/>
        <rFont val="Cambria"/>
        <charset val="134"/>
        <scheme val="major"/>
      </rPr>
      <t xml:space="preserve">
Defect Density by Effort (Dev), Defect Density by Size (Dev), Overall Review Efficiency (Dev), Overall Review Efficiency (Tst), Defect Density by Effort (Tst), Defect Density by Size (Tst), Testcase Creation Productivity, Testcase Execution Productivity, Defect Severity Index, Defect Validation Productivity, Defect Acceptance Rate and Defect Leakage, % of Project Management, % of Configuration Management, % of Rework, % of Review</t>
    </r>
  </si>
  <si>
    <t>Maintenance Type</t>
  </si>
  <si>
    <t>Initial No. of Requirements</t>
  </si>
  <si>
    <t>Modified Requirements( Added / Deleted /Modified)</t>
  </si>
  <si>
    <t>Productivity</t>
  </si>
  <si>
    <t>Overall Actual Effort for the release</t>
  </si>
  <si>
    <t>No. of Testcases Created</t>
  </si>
  <si>
    <t>No. of Testcases Executed</t>
  </si>
  <si>
    <t>No. of Defects Validated</t>
  </si>
  <si>
    <t>No. of Valid Internal Review Defects</t>
  </si>
  <si>
    <t>No. of Invalid Internal Review Defects</t>
  </si>
  <si>
    <t>No. of  Valid External Review Defects</t>
  </si>
  <si>
    <t>No. of  Invalid External Review Defects</t>
  </si>
  <si>
    <t>No. of Valid  Internal Testing Defects</t>
  </si>
  <si>
    <t>No. of Invalid Internal Testing Defects</t>
  </si>
  <si>
    <t>No. of Valid External Testing Defects</t>
  </si>
  <si>
    <t>No. of Invalid External Testing Defects</t>
  </si>
  <si>
    <t>No. of Valid Critical defects</t>
  </si>
  <si>
    <t>No. of Valid Blocker defects</t>
  </si>
  <si>
    <t>No. of  Valid Major defects</t>
  </si>
  <si>
    <t>No. of Valid Minor defects</t>
  </si>
  <si>
    <t>No. of Valid Trivial defects</t>
  </si>
  <si>
    <t>Effort for Testcase Creation</t>
  </si>
  <si>
    <t>Effort for Testcase Execution</t>
  </si>
  <si>
    <t>Defect Density by Effort (Dev)</t>
  </si>
  <si>
    <t>Defect Density by Size (Dev)</t>
  </si>
  <si>
    <t>Overall Review Efficiency (Dev)</t>
  </si>
  <si>
    <t>Overall Review Efficiency (Tst)</t>
  </si>
  <si>
    <t>Defect Density by Effort (Tst)</t>
  </si>
  <si>
    <t>Defect Density by Size (Tst)</t>
  </si>
  <si>
    <t>Testcase Creation Productivity</t>
  </si>
  <si>
    <t>Testcase Execution Productivity</t>
  </si>
  <si>
    <t>Task Report - Crain October, 2022</t>
  </si>
  <si>
    <t>Cutoff day</t>
  </si>
  <si>
    <t>Planned Start date</t>
  </si>
  <si>
    <r>
      <rPr>
        <b/>
        <sz val="14"/>
        <rFont val="Verdana"/>
        <charset val="134"/>
      </rPr>
      <t xml:space="preserve">Metrics Addressed: </t>
    </r>
    <r>
      <rPr>
        <sz val="14"/>
        <rFont val="Verdana"/>
        <charset val="134"/>
      </rPr>
      <t>Effort Variation, Schedule Variation</t>
    </r>
  </si>
  <si>
    <t>Per day Effort</t>
  </si>
  <si>
    <t>Total Days Planned</t>
  </si>
  <si>
    <t>Actual days till cutoff days</t>
  </si>
  <si>
    <t>Percentage of Completion</t>
  </si>
  <si>
    <t>Month of end date</t>
  </si>
  <si>
    <t>Schedule Variation (%)</t>
  </si>
  <si>
    <t>Effort Variation (%)</t>
  </si>
  <si>
    <t>MIT-747</t>
  </si>
  <si>
    <t>FIS</t>
  </si>
  <si>
    <t>fetch uuid from database directly</t>
  </si>
  <si>
    <t>New Build</t>
  </si>
  <si>
    <t>MIT-724</t>
  </si>
  <si>
    <t>frontend geotab addin</t>
  </si>
  <si>
    <t>MIT-746</t>
  </si>
  <si>
    <t>update API to accept gdatabase parameter</t>
  </si>
  <si>
    <t>MIT-758</t>
  </si>
  <si>
    <t>HF</t>
  </si>
  <si>
    <t>Create the Polling Agent</t>
  </si>
  <si>
    <t>NA</t>
  </si>
  <si>
    <t>Delete API</t>
  </si>
  <si>
    <t>gdatabase parameter implementation</t>
  </si>
  <si>
    <t>Enhancement</t>
  </si>
  <si>
    <t>Docker implementation and cloud,db setup,API versioning</t>
  </si>
  <si>
    <r>
      <rPr>
        <b/>
        <sz val="14"/>
        <color theme="1"/>
        <rFont val="Calibri"/>
        <charset val="134"/>
        <scheme val="minor"/>
      </rPr>
      <t xml:space="preserve">Metrics:  </t>
    </r>
    <r>
      <rPr>
        <sz val="14"/>
        <color theme="1"/>
        <rFont val="Calibri"/>
        <charset val="134"/>
        <scheme val="minor"/>
      </rPr>
      <t>of Review, % of Rework, % of Project Management, % of Configuration Management, Defect Validation Productivity, Test case creation productivity, Test case execution productivity</t>
    </r>
  </si>
  <si>
    <t>Project Management</t>
  </si>
  <si>
    <t>code refactoring</t>
  </si>
  <si>
    <t>Release 31</t>
  </si>
  <si>
    <t>Defect Report - EducationDynamic September, 2022</t>
  </si>
  <si>
    <t>Total Valid defects</t>
  </si>
  <si>
    <t xml:space="preserve">Severity value </t>
  </si>
  <si>
    <r>
      <rPr>
        <b/>
        <sz val="14"/>
        <color indexed="18"/>
        <rFont val="Verdana"/>
        <charset val="134"/>
      </rPr>
      <t xml:space="preserve">Metrics: </t>
    </r>
    <r>
      <rPr>
        <sz val="14"/>
        <color indexed="18"/>
        <rFont val="Verdana"/>
        <charset val="134"/>
      </rPr>
      <t>All Defect associated metrics</t>
    </r>
  </si>
  <si>
    <t>Metric Dashboard</t>
  </si>
  <si>
    <t>Average of Effort Variation (%)</t>
  </si>
  <si>
    <t>Column Labels</t>
  </si>
  <si>
    <t>Row Labels</t>
  </si>
  <si>
    <t>Grand Total</t>
  </si>
  <si>
    <t>Average of Schedule Variation (%)</t>
  </si>
  <si>
    <t>(blank)</t>
  </si>
  <si>
    <t>Cycle 02.03.2</t>
  </si>
  <si>
    <t>Cycle 03</t>
  </si>
  <si>
    <t>Cycle 04</t>
  </si>
  <si>
    <t>Jan-21</t>
  </si>
  <si>
    <t>Feb-21</t>
  </si>
  <si>
    <t>Sum of % of Review</t>
  </si>
  <si>
    <t>Sum of % of Rework</t>
  </si>
  <si>
    <t>Sum of % of Project Management</t>
  </si>
  <si>
    <t>Sum of % of Configuration Management</t>
  </si>
  <si>
    <r>
      <rPr>
        <b/>
        <sz val="14"/>
        <color theme="1"/>
        <rFont val="Calibri"/>
        <charset val="134"/>
        <scheme val="minor"/>
      </rPr>
      <t>Metrics Addressed :</t>
    </r>
    <r>
      <rPr>
        <sz val="14"/>
        <color theme="1"/>
        <rFont val="Calibri"/>
        <charset val="134"/>
        <scheme val="minor"/>
      </rPr>
      <t xml:space="preserve"> % of Review and % of Rework</t>
    </r>
  </si>
  <si>
    <r>
      <rPr>
        <b/>
        <sz val="14"/>
        <color theme="1"/>
        <rFont val="Calibri"/>
        <charset val="134"/>
        <scheme val="minor"/>
      </rPr>
      <t>Metrics Addressed :</t>
    </r>
    <r>
      <rPr>
        <sz val="14"/>
        <color theme="1"/>
        <rFont val="Calibri"/>
        <charset val="134"/>
        <scheme val="minor"/>
      </rPr>
      <t xml:space="preserve"> % of Project Management and % of Configuration Management</t>
    </r>
  </si>
  <si>
    <t>% of Review</t>
  </si>
  <si>
    <t>% of Rework</t>
  </si>
  <si>
    <t>% of Project Management</t>
  </si>
  <si>
    <t>% of Configuration Management</t>
  </si>
  <si>
    <t>back to Metrics Dashboard</t>
  </si>
  <si>
    <t xml:space="preserve">Sum of % of On time Access Removal </t>
  </si>
  <si>
    <t>Mar-21</t>
  </si>
  <si>
    <t>Apr-21</t>
  </si>
  <si>
    <t>May-21</t>
  </si>
  <si>
    <t>Jun-21</t>
  </si>
  <si>
    <t>Jul-21</t>
  </si>
  <si>
    <t>Sum of % of On Time asset returned</t>
  </si>
  <si>
    <t>Sum of Security Defect Leakage</t>
  </si>
  <si>
    <t>Cycle 05</t>
  </si>
  <si>
    <t>Cycle 06</t>
  </si>
  <si>
    <t>Cycle 07</t>
  </si>
  <si>
    <t>Cycle 08</t>
  </si>
  <si>
    <t>Metrics Covered:  % of Ontime Access Removal and % of On Time Asset Returned</t>
  </si>
  <si>
    <t>Metrics Covered: Security Defect Leakage</t>
  </si>
  <si>
    <t>Month - Year</t>
  </si>
  <si>
    <t>Month Year for Graph</t>
  </si>
  <si>
    <t xml:space="preserve">% of On time Access Removal </t>
  </si>
  <si>
    <t>% of On Time asset returned</t>
  </si>
  <si>
    <t>Sum of Defect Density by Size (Dev)</t>
  </si>
  <si>
    <t>Sum of Defect Density by Effort (Dev)</t>
  </si>
  <si>
    <t>Sum of Overall Review Efficiency (Tst)</t>
  </si>
  <si>
    <t>Sum of Overall Review Efficiency (Dev)</t>
  </si>
  <si>
    <t>Sum of Defect Density by Effort (Tst)</t>
  </si>
  <si>
    <t>Sum of Defect Density by Size (Tst)</t>
  </si>
  <si>
    <t>Sum of Effort for Testcase Execution</t>
  </si>
  <si>
    <t>Sum of Testcase Creation Productivity</t>
  </si>
  <si>
    <t>Sum of Defect Severity Index</t>
  </si>
  <si>
    <t>Sum of Defect Leakage</t>
  </si>
  <si>
    <t>Sum of Defect Acceptance Rate</t>
  </si>
  <si>
    <t>Sum of Defect Validation Productivity</t>
  </si>
  <si>
    <t>Average of Requirement Stability Index</t>
  </si>
  <si>
    <t>Sum of Productivity</t>
  </si>
  <si>
    <t>Sum of LoadFactor</t>
  </si>
  <si>
    <r>
      <rPr>
        <b/>
        <sz val="11"/>
        <color theme="1"/>
        <rFont val="Calibri"/>
        <charset val="134"/>
        <scheme val="minor"/>
      </rPr>
      <t xml:space="preserve">Metrics Addressed: </t>
    </r>
    <r>
      <rPr>
        <sz val="11"/>
        <color theme="1"/>
        <rFont val="Calibri"/>
        <charset val="134"/>
        <scheme val="minor"/>
      </rPr>
      <t>Load Factor</t>
    </r>
  </si>
  <si>
    <t>Month-Year for Graph</t>
  </si>
  <si>
    <t>Allocation Hours</t>
  </si>
  <si>
    <t>PRODUCTION SUPPORT METRICS</t>
  </si>
  <si>
    <t>Please Enter the actual values from the tool used for tracking the project</t>
  </si>
  <si>
    <t>Metrics Name</t>
  </si>
  <si>
    <t>% of Bad Fixes</t>
  </si>
  <si>
    <t>% of Resolution Time SLA Met</t>
  </si>
  <si>
    <t>Request Closure Rate</t>
  </si>
  <si>
    <t>Average Age of Open Requests</t>
  </si>
  <si>
    <t>Average Resolution Time(By Priority)</t>
  </si>
  <si>
    <t>Average Productivity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</si>
</sst>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m\ d\,\ yyyy"/>
    <numFmt numFmtId="165" formatCode="[$-409]mmm/yy;@"/>
    <numFmt numFmtId="166" formatCode="dd/mmm"/>
    <numFmt numFmtId="167" formatCode="[$-409]d/mmm/yy;@"/>
    <numFmt numFmtId="168" formatCode="dd/mmm/yy"/>
    <numFmt numFmtId="169" formatCode="dd/mm/yyyy"/>
    <numFmt numFmtId="170" formatCode="[$-409]dd/mmm/yy;@"/>
    <numFmt numFmtId="171" formatCode="mmm"/>
  </numFmts>
  <fonts count="59">
    <font>
      <sz val="11"/>
      <color theme="1"/>
      <name val="Calibri"/>
      <charset val="134"/>
      <scheme val="minor"/>
    </font>
    <font>
      <b/>
      <sz val="18"/>
      <color theme="1"/>
      <name val="Calibri"/>
      <charset val="134"/>
      <scheme val="minor"/>
    </font>
    <font>
      <b/>
      <sz val="11"/>
      <color theme="0"/>
      <name val="Calibri"/>
      <charset val="134"/>
      <scheme val="minor"/>
    </font>
    <font>
      <sz val="8.5"/>
      <name val="Verdana"/>
      <charset val="134"/>
    </font>
    <font>
      <b/>
      <sz val="11"/>
      <color theme="1"/>
      <name val="Calibri"/>
      <charset val="134"/>
      <scheme val="minor"/>
    </font>
    <font>
      <b/>
      <sz val="11"/>
      <name val="Calibri"/>
      <charset val="134"/>
    </font>
    <font>
      <sz val="10"/>
      <name val="Arial"/>
      <charset val="134"/>
    </font>
    <font>
      <sz val="14"/>
      <color theme="1"/>
      <name val="Calibri"/>
      <charset val="134"/>
      <scheme val="minor"/>
    </font>
    <font>
      <u/>
      <sz val="11"/>
      <color theme="10"/>
      <name val="Calibri"/>
      <charset val="134"/>
      <scheme val="minor"/>
    </font>
    <font>
      <b/>
      <sz val="14"/>
      <color theme="1"/>
      <name val="Calibri"/>
      <charset val="134"/>
      <scheme val="minor"/>
    </font>
    <font>
      <sz val="10"/>
      <name val="Verdana"/>
      <charset val="134"/>
    </font>
    <font>
      <b/>
      <sz val="10"/>
      <color indexed="9"/>
      <name val="Verdana"/>
      <charset val="134"/>
    </font>
    <font>
      <sz val="10"/>
      <color indexed="18"/>
      <name val="Verdana"/>
      <charset val="134"/>
    </font>
    <font>
      <b/>
      <sz val="10"/>
      <color indexed="18"/>
      <name val="Verdana"/>
      <charset val="134"/>
    </font>
    <font>
      <sz val="11"/>
      <color rgb="FF1F497D"/>
      <name val="Calibri"/>
      <charset val="134"/>
      <scheme val="minor"/>
    </font>
    <font>
      <b/>
      <sz val="14"/>
      <color indexed="18"/>
      <name val="Verdana"/>
      <charset val="134"/>
    </font>
    <font>
      <b/>
      <sz val="8"/>
      <color indexed="9"/>
      <name val="Verdana"/>
      <charset val="134"/>
    </font>
    <font>
      <sz val="8"/>
      <color indexed="18"/>
      <name val="Verdana"/>
      <charset val="134"/>
    </font>
    <font>
      <sz val="8"/>
      <color rgb="FF000080"/>
      <name val="Verdana"/>
      <charset val="1"/>
    </font>
    <font>
      <sz val="11"/>
      <name val="Calibri"/>
      <charset val="134"/>
      <scheme val="minor"/>
    </font>
    <font>
      <sz val="9"/>
      <color rgb="FF000000"/>
      <name val="Arial"/>
      <charset val="134"/>
    </font>
    <font>
      <sz val="14"/>
      <name val="Verdana"/>
      <charset val="134"/>
    </font>
    <font>
      <sz val="8"/>
      <name val="Verdana"/>
      <charset val="134"/>
    </font>
    <font>
      <b/>
      <sz val="12"/>
      <color theme="0" tint="-0.34998626667073579"/>
      <name val="Verdana"/>
      <charset val="134"/>
    </font>
    <font>
      <sz val="16"/>
      <color theme="0" tint="-0.34998626667073579"/>
      <name val="Verdana"/>
      <charset val="134"/>
    </font>
    <font>
      <sz val="11"/>
      <color theme="0" tint="-0.34998626667073579"/>
      <name val="Calibri"/>
      <charset val="134"/>
      <scheme val="minor"/>
    </font>
    <font>
      <b/>
      <sz val="10"/>
      <color theme="0" tint="-0.34998626667073579"/>
      <name val="Verdana"/>
      <charset val="134"/>
    </font>
    <font>
      <b/>
      <sz val="10"/>
      <color rgb="FFFF0000"/>
      <name val="Verdana"/>
      <charset val="134"/>
    </font>
    <font>
      <b/>
      <sz val="14"/>
      <name val="Verdana"/>
      <charset val="134"/>
    </font>
    <font>
      <b/>
      <sz val="14"/>
      <color indexed="9"/>
      <name val="Verdana"/>
      <charset val="134"/>
    </font>
    <font>
      <b/>
      <sz val="10"/>
      <color theme="9" tint="-0.249977111117893"/>
      <name val="Verdana"/>
      <charset val="134"/>
    </font>
    <font>
      <b/>
      <sz val="9"/>
      <color theme="0"/>
      <name val="Verdana"/>
      <charset val="134"/>
    </font>
    <font>
      <b/>
      <sz val="11"/>
      <name val="Calibri"/>
      <charset val="134"/>
      <scheme val="minor"/>
    </font>
    <font>
      <b/>
      <sz val="11"/>
      <color rgb="FFFF0000"/>
      <name val="Calibri"/>
      <charset val="134"/>
      <scheme val="minor"/>
    </font>
    <font>
      <sz val="9"/>
      <name val="Verdana"/>
      <charset val="134"/>
    </font>
    <font>
      <sz val="14"/>
      <color theme="1"/>
      <name val="Cambria"/>
      <charset val="134"/>
      <scheme val="major"/>
    </font>
    <font>
      <sz val="11"/>
      <color rgb="FFFF0000"/>
      <name val="Calibri"/>
      <charset val="134"/>
      <scheme val="minor"/>
    </font>
    <font>
      <sz val="11"/>
      <color theme="0"/>
      <name val="Calibri"/>
      <charset val="134"/>
      <scheme val="minor"/>
    </font>
    <font>
      <sz val="8.5"/>
      <color theme="0"/>
      <name val="Verdana"/>
      <charset val="134"/>
    </font>
    <font>
      <sz val="8.5"/>
      <color theme="1"/>
      <name val="Verdana"/>
      <charset val="134"/>
    </font>
    <font>
      <b/>
      <sz val="8.5"/>
      <name val="Verdana"/>
      <charset val="134"/>
    </font>
    <font>
      <sz val="11"/>
      <color rgb="FF000000"/>
      <name val="Calibri"/>
      <charset val="134"/>
    </font>
    <font>
      <sz val="8.5"/>
      <color theme="1" tint="0.34998626667073579"/>
      <name val="Calibri"/>
      <charset val="134"/>
      <scheme val="minor"/>
    </font>
    <font>
      <sz val="11"/>
      <color theme="1" tint="0.34998626667073579"/>
      <name val="Calibri"/>
      <charset val="134"/>
      <scheme val="minor"/>
    </font>
    <font>
      <i/>
      <sz val="11"/>
      <color theme="1"/>
      <name val="Calibri"/>
      <charset val="134"/>
      <scheme val="minor"/>
    </font>
    <font>
      <b/>
      <sz val="16"/>
      <color theme="1"/>
      <name val="Calibri"/>
      <charset val="134"/>
      <scheme val="minor"/>
    </font>
    <font>
      <b/>
      <sz val="10"/>
      <name val="Verdana"/>
      <charset val="134"/>
    </font>
    <font>
      <i/>
      <sz val="8.5"/>
      <name val="Verdana"/>
      <charset val="134"/>
    </font>
    <font>
      <sz val="10"/>
      <color theme="1"/>
      <name val="Calibri"/>
      <charset val="134"/>
      <scheme val="minor"/>
    </font>
    <font>
      <sz val="11"/>
      <color theme="1"/>
      <name val="Calibri"/>
      <charset val="134"/>
      <scheme val="minor"/>
    </font>
    <font>
      <sz val="14"/>
      <color indexed="18"/>
      <name val="Verdana"/>
      <charset val="134"/>
    </font>
    <font>
      <b/>
      <sz val="14"/>
      <color theme="1"/>
      <name val="Cambria"/>
      <charset val="134"/>
      <scheme val="major"/>
    </font>
    <font>
      <b/>
      <i/>
      <sz val="11"/>
      <color theme="1"/>
      <name val="Calibri"/>
      <charset val="134"/>
      <scheme val="minor"/>
    </font>
    <font>
      <sz val="8"/>
      <name val="Tahoma"/>
      <charset val="134"/>
    </font>
    <font>
      <b/>
      <sz val="9"/>
      <name val="Tahoma"/>
      <charset val="134"/>
    </font>
    <font>
      <sz val="9"/>
      <name val="Tahoma"/>
      <charset val="134"/>
    </font>
    <font>
      <sz val="10"/>
      <color rgb="FF000000"/>
      <name val="Calibri"/>
      <charset val="1"/>
    </font>
    <font>
      <sz val="8"/>
      <color indexed="18"/>
      <name val="Verdana"/>
    </font>
    <font>
      <b/>
      <sz val="8.5"/>
      <name val="Verdana"/>
    </font>
  </fonts>
  <fills count="34">
    <fill>
      <patternFill patternType="none"/>
    </fill>
    <fill>
      <patternFill patternType="gray125"/>
    </fill>
    <fill>
      <patternFill patternType="solid">
        <fgColor theme="3"/>
        <bgColor indexed="64"/>
      </patternFill>
    </fill>
    <fill>
      <patternFill patternType="solid">
        <fgColor rgb="FFC3F9A5"/>
        <bgColor indexed="64"/>
      </patternFill>
    </fill>
    <fill>
      <patternFill patternType="solid">
        <fgColor rgb="FFFFFF66"/>
        <bgColor indexed="64"/>
      </patternFill>
    </fill>
    <fill>
      <patternFill patternType="solid">
        <fgColor theme="0" tint="-0.249977111117893"/>
        <bgColor indexed="64"/>
      </patternFill>
    </fill>
    <fill>
      <patternFill patternType="solid">
        <fgColor rgb="FFE7B14F"/>
        <bgColor indexed="64"/>
      </patternFill>
    </fill>
    <fill>
      <patternFill patternType="solid">
        <fgColor indexed="54"/>
        <bgColor indexed="64"/>
      </patternFill>
    </fill>
    <fill>
      <patternFill patternType="solid">
        <fgColor rgb="FFEFCC8D"/>
        <bgColor indexed="64"/>
      </patternFill>
    </fill>
    <fill>
      <patternFill patternType="solid">
        <fgColor theme="4" tint="0.79995117038483843"/>
        <bgColor theme="4" tint="0.79995117038483843"/>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theme="4" tint="0.79995117038483843"/>
      </patternFill>
    </fill>
    <fill>
      <patternFill patternType="solid">
        <fgColor rgb="FFFFFF66"/>
        <bgColor theme="8" tint="0.79995117038483843"/>
      </patternFill>
    </fill>
    <fill>
      <patternFill patternType="solid">
        <fgColor theme="8" tint="0.79995117038483843"/>
        <bgColor theme="8" tint="0.79995117038483843"/>
      </patternFill>
    </fill>
    <fill>
      <patternFill patternType="solid">
        <fgColor rgb="FF002060"/>
        <bgColor indexed="64"/>
      </patternFill>
    </fill>
    <fill>
      <patternFill patternType="solid">
        <fgColor theme="3" tint="0.59999389629810485"/>
        <bgColor indexed="64"/>
      </patternFill>
    </fill>
    <fill>
      <patternFill patternType="solid">
        <fgColor theme="0" tint="-0.14996795556505021"/>
        <bgColor indexed="64"/>
      </patternFill>
    </fill>
    <fill>
      <patternFill patternType="solid">
        <fgColor rgb="FFDCE6F1"/>
        <bgColor indexed="64"/>
      </patternFill>
    </fill>
    <fill>
      <patternFill patternType="solid">
        <fgColor rgb="FFEBF1DE"/>
        <bgColor indexed="64"/>
      </patternFill>
    </fill>
    <fill>
      <patternFill patternType="solid">
        <fgColor rgb="FFBDE9AD"/>
        <bgColor indexed="64"/>
      </patternFill>
    </fill>
    <fill>
      <patternFill patternType="solid">
        <fgColor theme="3" tint="0.79995117038483843"/>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indexed="22"/>
        <bgColor indexed="64"/>
      </patternFill>
    </fill>
    <fill>
      <patternFill patternType="solid">
        <fgColor theme="3" tint="-0.249977111117893"/>
        <bgColor indexed="64"/>
      </patternFill>
    </fill>
    <fill>
      <patternFill patternType="solid">
        <fgColor theme="6" tint="0.59999389629810485"/>
        <bgColor indexed="64"/>
      </patternFill>
    </fill>
    <fill>
      <patternFill patternType="solid">
        <fgColor theme="7" tint="0.39994506668294322"/>
        <bgColor indexed="64"/>
      </patternFill>
    </fill>
    <fill>
      <patternFill patternType="solid">
        <fgColor theme="4" tint="0.59999389629810485"/>
        <bgColor indexed="64"/>
      </patternFill>
    </fill>
    <fill>
      <patternFill patternType="solid">
        <fgColor theme="4"/>
        <bgColor indexed="64"/>
      </patternFill>
    </fill>
    <fill>
      <patternFill patternType="solid">
        <fgColor theme="4" tint="0.79995117038483843"/>
        <bgColor indexed="64"/>
      </patternFill>
    </fill>
    <fill>
      <patternFill patternType="solid">
        <fgColor theme="9" tint="0.39994506668294322"/>
        <bgColor indexed="64"/>
      </patternFill>
    </fill>
    <fill>
      <patternFill patternType="solid">
        <fgColor rgb="FFFFFFFF"/>
        <bgColor indexed="64"/>
      </patternFill>
    </fill>
  </fills>
  <borders count="70">
    <border>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style="medium">
        <color auto="1"/>
      </left>
      <right style="medium">
        <color auto="1"/>
      </right>
      <top style="medium">
        <color auto="1"/>
      </top>
      <bottom/>
      <diagonal/>
    </border>
    <border>
      <left/>
      <right/>
      <top/>
      <bottom style="medium">
        <color auto="1"/>
      </bottom>
      <diagonal/>
    </border>
    <border>
      <left style="medium">
        <color auto="1"/>
      </left>
      <right/>
      <top style="medium">
        <color auto="1"/>
      </top>
      <bottom style="medium">
        <color auto="1"/>
      </bottom>
      <diagonal/>
    </border>
    <border>
      <left style="medium">
        <color auto="1"/>
      </left>
      <right/>
      <top style="medium">
        <color auto="1"/>
      </top>
      <bottom/>
      <diagonal/>
    </border>
    <border>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medium">
        <color auto="1"/>
      </top>
      <bottom/>
      <diagonal/>
    </border>
    <border>
      <left style="medium">
        <color auto="1"/>
      </left>
      <right/>
      <top/>
      <bottom style="medium">
        <color auto="1"/>
      </bottom>
      <diagonal/>
    </border>
    <border>
      <left/>
      <right/>
      <top style="thin">
        <color theme="8" tint="0.39994506668294322"/>
      </top>
      <bottom style="thin">
        <color theme="8" tint="0.39994506668294322"/>
      </bottom>
      <diagonal/>
    </border>
    <border>
      <left style="thin">
        <color theme="0"/>
      </left>
      <right style="thin">
        <color theme="0"/>
      </right>
      <top style="thin">
        <color theme="0"/>
      </top>
      <bottom style="thin">
        <color theme="0"/>
      </bottom>
      <diagonal/>
    </border>
    <border>
      <left style="thin">
        <color theme="8"/>
      </left>
      <right style="thin">
        <color theme="8"/>
      </right>
      <top style="thin">
        <color theme="8"/>
      </top>
      <bottom style="thin">
        <color theme="8"/>
      </bottom>
      <diagonal/>
    </border>
    <border>
      <left style="thin">
        <color auto="1"/>
      </left>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diagonal/>
    </border>
    <border>
      <left style="thin">
        <color auto="1"/>
      </left>
      <right style="thin">
        <color auto="1"/>
      </right>
      <top style="thin">
        <color auto="1"/>
      </top>
      <bottom/>
      <diagonal/>
    </border>
    <border>
      <left/>
      <right style="medium">
        <color auto="1"/>
      </right>
      <top/>
      <bottom/>
      <diagonal/>
    </border>
    <border>
      <left style="thin">
        <color auto="1"/>
      </left>
      <right style="thin">
        <color auto="1"/>
      </right>
      <top style="thin">
        <color theme="0"/>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rgb="FF000000"/>
      </left>
      <right style="thin">
        <color rgb="FF000000"/>
      </right>
      <top style="thin">
        <color rgb="FF000000"/>
      </top>
      <bottom style="thin">
        <color rgb="FF000000"/>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s>
  <cellStyleXfs count="5">
    <xf numFmtId="0" fontId="0" fillId="0" borderId="0"/>
    <xf numFmtId="9" fontId="49" fillId="0" borderId="0" applyFont="0" applyFill="0" applyBorder="0" applyAlignment="0" applyProtection="0"/>
    <xf numFmtId="0" fontId="8" fillId="0" borderId="0" applyNumberFormat="0" applyFill="0" applyBorder="0" applyAlignment="0" applyProtection="0"/>
    <xf numFmtId="0" fontId="6" fillId="0" borderId="0"/>
    <xf numFmtId="0" fontId="6" fillId="0" borderId="0" applyNumberFormat="0" applyFill="0" applyBorder="0" applyAlignment="0" applyProtection="0"/>
  </cellStyleXfs>
  <cellXfs count="532">
    <xf numFmtId="0" fontId="0" fillId="0" borderId="0" xfId="0"/>
    <xf numFmtId="0" fontId="0" fillId="0" borderId="0" xfId="0" applyAlignment="1">
      <alignment horizontal="center"/>
    </xf>
    <xf numFmtId="0" fontId="1" fillId="0" borderId="0" xfId="0" applyFont="1"/>
    <xf numFmtId="0" fontId="2" fillId="2" borderId="1" xfId="0" applyFont="1" applyFill="1" applyBorder="1"/>
    <xf numFmtId="0" fontId="2" fillId="2" borderId="2" xfId="0" applyFont="1" applyFill="1" applyBorder="1"/>
    <xf numFmtId="0" fontId="2" fillId="2" borderId="2" xfId="0" applyFont="1" applyFill="1" applyBorder="1" applyAlignment="1">
      <alignment horizontal="center"/>
    </xf>
    <xf numFmtId="0" fontId="3" fillId="3" borderId="3" xfId="0" applyFont="1" applyFill="1" applyBorder="1" applyAlignment="1">
      <alignment horizontal="center"/>
    </xf>
    <xf numFmtId="0" fontId="3" fillId="3" borderId="4" xfId="0" applyFont="1" applyFill="1" applyBorder="1" applyAlignment="1">
      <alignment wrapText="1"/>
    </xf>
    <xf numFmtId="9" fontId="3" fillId="3" borderId="4" xfId="1" applyFont="1" applyFill="1" applyBorder="1" applyAlignment="1">
      <alignment horizontal="center" vertical="center"/>
    </xf>
    <xf numFmtId="9" fontId="0" fillId="3" borderId="4" xfId="1" applyFont="1" applyFill="1" applyBorder="1" applyAlignment="1">
      <alignment horizontal="center"/>
    </xf>
    <xf numFmtId="9" fontId="0" fillId="4" borderId="4" xfId="1" applyFont="1" applyFill="1" applyBorder="1" applyAlignment="1" applyProtection="1">
      <alignment horizontal="center"/>
      <protection locked="0"/>
    </xf>
    <xf numFmtId="0" fontId="3" fillId="3" borderId="4" xfId="0" applyFont="1" applyFill="1" applyBorder="1"/>
    <xf numFmtId="0" fontId="3" fillId="3" borderId="4" xfId="0" applyFont="1" applyFill="1" applyBorder="1" applyAlignment="1">
      <alignment horizontal="center" vertical="center"/>
    </xf>
    <xf numFmtId="0" fontId="0" fillId="3" borderId="4" xfId="0" applyFill="1" applyBorder="1" applyAlignment="1">
      <alignment horizontal="center"/>
    </xf>
    <xf numFmtId="0" fontId="0" fillId="4" borderId="4" xfId="0" applyFill="1" applyBorder="1" applyAlignment="1" applyProtection="1">
      <alignment horizontal="center"/>
      <protection locked="0"/>
    </xf>
    <xf numFmtId="0" fontId="3" fillId="3" borderId="5" xfId="0" applyFont="1" applyFill="1" applyBorder="1" applyAlignment="1">
      <alignment horizontal="center"/>
    </xf>
    <xf numFmtId="0" fontId="3" fillId="3" borderId="6" xfId="0" applyFont="1" applyFill="1" applyBorder="1"/>
    <xf numFmtId="9" fontId="0" fillId="3" borderId="6" xfId="1" applyFont="1" applyFill="1" applyBorder="1" applyAlignment="1">
      <alignment horizontal="center"/>
    </xf>
    <xf numFmtId="0" fontId="0" fillId="3" borderId="6" xfId="0" applyFill="1" applyBorder="1" applyAlignment="1">
      <alignment horizontal="center"/>
    </xf>
    <xf numFmtId="0" fontId="0" fillId="4" borderId="6" xfId="0" applyFill="1" applyBorder="1" applyAlignment="1" applyProtection="1">
      <alignment horizontal="center"/>
      <protection locked="0"/>
    </xf>
    <xf numFmtId="0" fontId="2" fillId="2" borderId="7" xfId="0" applyFont="1" applyFill="1" applyBorder="1" applyAlignment="1">
      <alignment horizontal="center"/>
    </xf>
    <xf numFmtId="9" fontId="0" fillId="4" borderId="8" xfId="1" applyFont="1" applyFill="1" applyBorder="1" applyAlignment="1" applyProtection="1">
      <alignment horizontal="center"/>
      <protection locked="0"/>
    </xf>
    <xf numFmtId="0" fontId="0" fillId="4" borderId="8" xfId="0" applyFill="1" applyBorder="1" applyAlignment="1" applyProtection="1">
      <alignment horizontal="center"/>
      <protection locked="0"/>
    </xf>
    <xf numFmtId="0" fontId="0" fillId="4" borderId="9" xfId="0" applyFill="1" applyBorder="1" applyAlignment="1" applyProtection="1">
      <alignment horizontal="center"/>
      <protection locked="0"/>
    </xf>
    <xf numFmtId="9" fontId="0" fillId="0" borderId="0" xfId="0" applyNumberFormat="1"/>
    <xf numFmtId="0" fontId="0" fillId="0" borderId="0" xfId="0" applyAlignment="1">
      <alignment horizontal="left"/>
    </xf>
    <xf numFmtId="0" fontId="4" fillId="0" borderId="0" xfId="0" applyFont="1"/>
    <xf numFmtId="0" fontId="5" fillId="5" borderId="10" xfId="0" applyFont="1" applyFill="1" applyBorder="1" applyAlignment="1">
      <alignment horizontal="center" vertical="center" wrapText="1"/>
    </xf>
    <xf numFmtId="0" fontId="5" fillId="5" borderId="11" xfId="0" applyFont="1" applyFill="1" applyBorder="1" applyAlignment="1">
      <alignment horizontal="center" vertical="center" wrapText="1"/>
    </xf>
    <xf numFmtId="0" fontId="5" fillId="4" borderId="12" xfId="0" applyFont="1" applyFill="1" applyBorder="1" applyAlignment="1" applyProtection="1">
      <alignment horizontal="center" vertical="center" wrapText="1"/>
      <protection locked="0"/>
    </xf>
    <xf numFmtId="0" fontId="5" fillId="4" borderId="13" xfId="0" applyFont="1" applyFill="1" applyBorder="1" applyAlignment="1" applyProtection="1">
      <alignment horizontal="center" vertical="center" wrapText="1"/>
      <protection locked="0"/>
    </xf>
    <xf numFmtId="0" fontId="0" fillId="4" borderId="13" xfId="0" applyFill="1" applyBorder="1" applyAlignment="1" applyProtection="1">
      <alignment horizontal="center"/>
      <protection locked="0"/>
    </xf>
    <xf numFmtId="1" fontId="0" fillId="4" borderId="13" xfId="0" applyNumberFormat="1" applyFill="1" applyBorder="1" applyAlignment="1" applyProtection="1">
      <alignment horizontal="center"/>
      <protection locked="0"/>
    </xf>
    <xf numFmtId="165" fontId="0" fillId="4" borderId="13" xfId="0" applyNumberFormat="1" applyFill="1" applyBorder="1" applyAlignment="1" applyProtection="1">
      <alignment horizontal="center"/>
      <protection locked="0"/>
    </xf>
    <xf numFmtId="0" fontId="5" fillId="4" borderId="14" xfId="0" applyFont="1" applyFill="1" applyBorder="1" applyAlignment="1" applyProtection="1">
      <alignment horizontal="center" vertical="center" wrapText="1"/>
      <protection locked="0"/>
    </xf>
    <xf numFmtId="0" fontId="0" fillId="4" borderId="15" xfId="0"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5" fillId="5" borderId="16" xfId="0" applyFont="1" applyFill="1" applyBorder="1" applyAlignment="1">
      <alignment horizontal="center" vertical="center" wrapText="1"/>
    </xf>
    <xf numFmtId="165" fontId="0" fillId="3" borderId="13" xfId="0" applyNumberFormat="1" applyFill="1" applyBorder="1" applyAlignment="1">
      <alignment horizontal="center"/>
    </xf>
    <xf numFmtId="0" fontId="6" fillId="3" borderId="17" xfId="0" applyFont="1" applyFill="1" applyBorder="1" applyAlignment="1">
      <alignment horizontal="center"/>
    </xf>
    <xf numFmtId="0" fontId="6" fillId="3" borderId="18" xfId="0" applyFont="1" applyFill="1" applyBorder="1" applyAlignment="1">
      <alignment horizontal="center"/>
    </xf>
    <xf numFmtId="165" fontId="0" fillId="3" borderId="15" xfId="0" applyNumberFormat="1" applyFill="1" applyBorder="1" applyAlignment="1">
      <alignment horizontal="center"/>
    </xf>
    <xf numFmtId="0" fontId="5" fillId="4" borderId="15" xfId="0" applyFont="1" applyFill="1" applyBorder="1" applyAlignment="1" applyProtection="1">
      <alignment horizontal="center" vertical="center" wrapText="1"/>
      <protection locked="0"/>
    </xf>
    <xf numFmtId="166" fontId="0" fillId="4" borderId="13" xfId="0" applyNumberFormat="1" applyFill="1" applyBorder="1" applyAlignment="1" applyProtection="1">
      <alignment horizontal="center"/>
      <protection locked="0"/>
    </xf>
    <xf numFmtId="166" fontId="0" fillId="4" borderId="15" xfId="0" applyNumberFormat="1" applyFill="1" applyBorder="1" applyAlignment="1" applyProtection="1">
      <alignment horizontal="center"/>
      <protection locked="0"/>
    </xf>
    <xf numFmtId="10" fontId="0" fillId="0" borderId="0" xfId="0" applyNumberFormat="1"/>
    <xf numFmtId="0" fontId="7" fillId="0" borderId="0" xfId="0" applyFont="1"/>
    <xf numFmtId="0" fontId="0" fillId="0" borderId="0" xfId="0" applyAlignment="1">
      <alignment vertical="center"/>
    </xf>
    <xf numFmtId="0" fontId="0" fillId="0" borderId="0" xfId="0" applyAlignment="1">
      <alignment horizontal="center" wrapText="1"/>
    </xf>
    <xf numFmtId="0" fontId="0" fillId="0" borderId="0" xfId="0" applyAlignment="1">
      <alignment wrapText="1"/>
    </xf>
    <xf numFmtId="0" fontId="8" fillId="0" borderId="0" xfId="2" applyAlignment="1"/>
    <xf numFmtId="0" fontId="9" fillId="0" borderId="0" xfId="0" applyFont="1"/>
    <xf numFmtId="0" fontId="7" fillId="0" borderId="0" xfId="0" applyFont="1" applyAlignment="1">
      <alignment horizontal="center" wrapText="1"/>
    </xf>
    <xf numFmtId="0" fontId="0" fillId="0" borderId="0" xfId="0" applyAlignment="1">
      <alignment horizontal="center" vertical="center" wrapText="1"/>
    </xf>
    <xf numFmtId="0" fontId="0" fillId="4" borderId="4" xfId="0" applyFill="1" applyBorder="1" applyAlignment="1" applyProtection="1">
      <alignment horizontal="center" wrapText="1"/>
      <protection locked="0"/>
    </xf>
    <xf numFmtId="165" fontId="0" fillId="4" borderId="19" xfId="0" applyNumberFormat="1" applyFill="1" applyBorder="1" applyAlignment="1" applyProtection="1">
      <alignment horizontal="center" wrapText="1"/>
      <protection locked="0"/>
    </xf>
    <xf numFmtId="0" fontId="0" fillId="3" borderId="4" xfId="0" applyFill="1" applyBorder="1" applyAlignment="1">
      <alignment horizontal="center" wrapText="1"/>
    </xf>
    <xf numFmtId="9" fontId="0" fillId="3" borderId="4" xfId="1" applyFont="1" applyFill="1" applyBorder="1" applyAlignment="1">
      <alignment horizontal="center" wrapText="1"/>
    </xf>
    <xf numFmtId="165" fontId="0" fillId="4" borderId="4" xfId="0" applyNumberFormat="1" applyFill="1" applyBorder="1" applyAlignment="1" applyProtection="1">
      <alignment horizontal="center" wrapText="1"/>
      <protection locked="0"/>
    </xf>
    <xf numFmtId="0" fontId="7" fillId="0" borderId="0" xfId="0" applyFont="1" applyAlignment="1">
      <alignment wrapText="1"/>
    </xf>
    <xf numFmtId="0" fontId="0" fillId="0" borderId="0" xfId="0" applyAlignment="1">
      <alignment vertical="center" wrapText="1"/>
    </xf>
    <xf numFmtId="0" fontId="7" fillId="0" borderId="0" xfId="0" applyFont="1" applyProtection="1">
      <protection locked="0"/>
    </xf>
    <xf numFmtId="0" fontId="0" fillId="0" borderId="0" xfId="0" applyAlignment="1" applyProtection="1">
      <alignment horizontal="center" vertical="center" wrapText="1"/>
      <protection locked="0"/>
    </xf>
    <xf numFmtId="0" fontId="0" fillId="0" borderId="0" xfId="0" applyProtection="1">
      <protection locked="0"/>
    </xf>
    <xf numFmtId="0" fontId="0" fillId="0" borderId="0" xfId="0" applyAlignment="1" applyProtection="1">
      <alignment horizontal="center"/>
      <protection locked="0"/>
    </xf>
    <xf numFmtId="9" fontId="0" fillId="0" borderId="0" xfId="1" applyFont="1" applyProtection="1">
      <protection locked="0"/>
    </xf>
    <xf numFmtId="0" fontId="0" fillId="0" borderId="0" xfId="0" applyAlignment="1" applyProtection="1">
      <alignment horizontal="left"/>
      <protection locked="0"/>
    </xf>
    <xf numFmtId="0" fontId="0" fillId="2" borderId="20" xfId="0" applyFill="1" applyBorder="1" applyAlignment="1">
      <alignment horizontal="center" vertical="center" wrapText="1"/>
    </xf>
    <xf numFmtId="0" fontId="0" fillId="2" borderId="21" xfId="0" applyFill="1" applyBorder="1" applyAlignment="1">
      <alignment horizontal="center" vertical="center" wrapText="1"/>
    </xf>
    <xf numFmtId="0" fontId="0" fillId="6" borderId="4" xfId="0" applyFill="1" applyBorder="1" applyAlignment="1" applyProtection="1">
      <alignment horizontal="center"/>
      <protection locked="0"/>
    </xf>
    <xf numFmtId="10" fontId="0" fillId="3" borderId="4" xfId="1" applyNumberFormat="1" applyFont="1" applyFill="1" applyBorder="1" applyAlignment="1" applyProtection="1">
      <alignment horizontal="center"/>
    </xf>
    <xf numFmtId="10" fontId="0" fillId="3" borderId="4" xfId="1" applyNumberFormat="1" applyFont="1" applyFill="1" applyBorder="1" applyAlignment="1" applyProtection="1">
      <alignment horizontal="center"/>
      <protection locked="0"/>
    </xf>
    <xf numFmtId="9" fontId="7" fillId="0" borderId="0" xfId="1" applyFont="1" applyProtection="1">
      <protection locked="0"/>
    </xf>
    <xf numFmtId="0" fontId="4" fillId="2" borderId="19" xfId="0" applyFont="1" applyFill="1" applyBorder="1" applyAlignment="1">
      <alignment horizontal="center" vertical="center" wrapText="1"/>
    </xf>
    <xf numFmtId="9" fontId="4" fillId="2" borderId="22" xfId="1" applyFont="1" applyFill="1" applyBorder="1" applyAlignment="1" applyProtection="1">
      <alignment horizontal="center" vertical="center" wrapText="1"/>
    </xf>
    <xf numFmtId="0" fontId="4" fillId="2" borderId="23" xfId="0" applyFont="1" applyFill="1" applyBorder="1" applyAlignment="1">
      <alignment horizontal="center" vertical="center" wrapText="1"/>
    </xf>
    <xf numFmtId="10" fontId="0" fillId="3" borderId="24" xfId="1" applyNumberFormat="1" applyFont="1" applyFill="1" applyBorder="1" applyAlignment="1" applyProtection="1">
      <alignment horizontal="center"/>
    </xf>
    <xf numFmtId="0" fontId="0" fillId="6" borderId="25" xfId="0" applyFill="1" applyBorder="1" applyAlignment="1" applyProtection="1">
      <alignment horizontal="center"/>
      <protection locked="0"/>
    </xf>
    <xf numFmtId="10" fontId="0" fillId="0" borderId="0" xfId="1" applyNumberFormat="1" applyFont="1" applyProtection="1">
      <protection locked="0"/>
    </xf>
    <xf numFmtId="0" fontId="0" fillId="6" borderId="26" xfId="0" applyFill="1" applyBorder="1" applyAlignment="1" applyProtection="1">
      <alignment horizontal="center"/>
      <protection locked="0"/>
    </xf>
    <xf numFmtId="10" fontId="0" fillId="3" borderId="24" xfId="1" applyNumberFormat="1" applyFont="1" applyFill="1" applyBorder="1" applyAlignment="1" applyProtection="1">
      <alignment horizontal="center"/>
      <protection locked="0"/>
    </xf>
    <xf numFmtId="9" fontId="0" fillId="0" borderId="0" xfId="0" applyNumberFormat="1" applyAlignment="1">
      <alignment horizontal="center"/>
    </xf>
    <xf numFmtId="0" fontId="8" fillId="0" borderId="0" xfId="2"/>
    <xf numFmtId="0" fontId="10" fillId="0" borderId="0" xfId="3" applyFont="1"/>
    <xf numFmtId="0" fontId="12" fillId="0" borderId="0" xfId="3" applyFont="1" applyAlignment="1">
      <alignment horizontal="center"/>
    </xf>
    <xf numFmtId="0" fontId="12" fillId="0" borderId="28" xfId="3" applyFont="1" applyBorder="1"/>
    <xf numFmtId="0" fontId="12" fillId="0" borderId="0" xfId="3" applyFont="1"/>
    <xf numFmtId="0" fontId="13" fillId="0" borderId="1" xfId="3" applyFont="1" applyBorder="1" applyAlignment="1">
      <alignment horizontal="center" wrapText="1"/>
    </xf>
    <xf numFmtId="0" fontId="13" fillId="0" borderId="2" xfId="3" applyFont="1" applyBorder="1" applyAlignment="1">
      <alignment horizontal="center" wrapText="1"/>
    </xf>
    <xf numFmtId="0" fontId="13" fillId="0" borderId="7" xfId="3" applyFont="1" applyBorder="1" applyAlignment="1">
      <alignment horizontal="center" wrapText="1"/>
    </xf>
    <xf numFmtId="0" fontId="14" fillId="0" borderId="0" xfId="0" applyFont="1"/>
    <xf numFmtId="0" fontId="12" fillId="0" borderId="3" xfId="3" applyFont="1" applyBorder="1" applyAlignment="1">
      <alignment horizontal="center"/>
    </xf>
    <xf numFmtId="0" fontId="12" fillId="0" borderId="4" xfId="3" applyFont="1" applyBorder="1" applyAlignment="1">
      <alignment horizontal="center"/>
    </xf>
    <xf numFmtId="0" fontId="12" fillId="0" borderId="8" xfId="3" applyFont="1" applyBorder="1" applyAlignment="1">
      <alignment horizontal="center"/>
    </xf>
    <xf numFmtId="0" fontId="12" fillId="0" borderId="29" xfId="3" applyFont="1" applyBorder="1" applyAlignment="1">
      <alignment horizontal="center"/>
    </xf>
    <xf numFmtId="0" fontId="13" fillId="0" borderId="16" xfId="3" applyFont="1" applyBorder="1" applyAlignment="1">
      <alignment horizontal="center"/>
    </xf>
    <xf numFmtId="0" fontId="13" fillId="0" borderId="10" xfId="3" applyFont="1" applyBorder="1" applyAlignment="1">
      <alignment horizontal="center"/>
    </xf>
    <xf numFmtId="0" fontId="15" fillId="0" borderId="0" xfId="3" applyFont="1" applyAlignment="1">
      <alignment horizontal="left"/>
    </xf>
    <xf numFmtId="0" fontId="16" fillId="7" borderId="19" xfId="3" applyFont="1" applyFill="1" applyBorder="1" applyAlignment="1">
      <alignment horizontal="center" vertical="center" wrapText="1"/>
    </xf>
    <xf numFmtId="0" fontId="16" fillId="7" borderId="22" xfId="3" applyFont="1" applyFill="1" applyBorder="1" applyAlignment="1">
      <alignment horizontal="center" vertical="center" wrapText="1"/>
    </xf>
    <xf numFmtId="0" fontId="0" fillId="0" borderId="4" xfId="0" applyBorder="1" applyAlignment="1" applyProtection="1">
      <alignment horizontal="center"/>
      <protection locked="0"/>
    </xf>
    <xf numFmtId="0" fontId="0" fillId="0" borderId="4" xfId="0" applyBorder="1" applyProtection="1">
      <protection locked="0"/>
    </xf>
    <xf numFmtId="0" fontId="17" fillId="0" borderId="4" xfId="3" applyFont="1" applyBorder="1" applyAlignment="1" applyProtection="1">
      <alignment horizontal="center"/>
      <protection locked="0"/>
    </xf>
    <xf numFmtId="0" fontId="18" fillId="0" borderId="4" xfId="3" applyFont="1" applyBorder="1" applyAlignment="1" applyProtection="1">
      <alignment horizontal="center"/>
      <protection locked="0"/>
    </xf>
    <xf numFmtId="1" fontId="16" fillId="7" borderId="22" xfId="3" applyNumberFormat="1" applyFont="1" applyFill="1" applyBorder="1" applyAlignment="1">
      <alignment horizontal="center" vertical="center" wrapText="1"/>
    </xf>
    <xf numFmtId="0" fontId="11" fillId="7" borderId="12" xfId="3" applyFont="1" applyFill="1" applyBorder="1" applyProtection="1">
      <protection locked="0"/>
    </xf>
    <xf numFmtId="0" fontId="0" fillId="3" borderId="4" xfId="0" applyFill="1" applyBorder="1" applyAlignment="1" applyProtection="1">
      <alignment horizontal="center"/>
      <protection locked="0"/>
    </xf>
    <xf numFmtId="166" fontId="0" fillId="0" borderId="4" xfId="0" applyNumberFormat="1" applyBorder="1" applyProtection="1">
      <protection locked="0"/>
    </xf>
    <xf numFmtId="166" fontId="0" fillId="0" borderId="4" xfId="0" applyNumberFormat="1" applyBorder="1" applyAlignment="1" applyProtection="1">
      <alignment horizontal="center"/>
      <protection locked="0"/>
    </xf>
    <xf numFmtId="167" fontId="19" fillId="0" borderId="4" xfId="3" applyNumberFormat="1" applyFont="1" applyBorder="1" applyAlignment="1" applyProtection="1">
      <alignment horizontal="center"/>
      <protection locked="0"/>
    </xf>
    <xf numFmtId="167" fontId="17" fillId="0" borderId="4" xfId="3" applyNumberFormat="1" applyFont="1" applyBorder="1" applyAlignment="1" applyProtection="1">
      <alignment horizontal="center"/>
      <protection locked="0"/>
    </xf>
    <xf numFmtId="1" fontId="16" fillId="7" borderId="23" xfId="3" applyNumberFormat="1" applyFont="1" applyFill="1" applyBorder="1" applyAlignment="1">
      <alignment horizontal="center" vertical="center" wrapText="1"/>
    </xf>
    <xf numFmtId="0" fontId="17" fillId="3" borderId="4" xfId="3" applyFont="1" applyFill="1" applyBorder="1" applyAlignment="1">
      <alignment horizontal="center"/>
    </xf>
    <xf numFmtId="167" fontId="17" fillId="3" borderId="4" xfId="3" applyNumberFormat="1" applyFont="1" applyFill="1" applyBorder="1"/>
    <xf numFmtId="167" fontId="17" fillId="3" borderId="4" xfId="3" applyNumberFormat="1" applyFont="1" applyFill="1" applyBorder="1" applyAlignment="1">
      <alignment horizontal="left"/>
    </xf>
    <xf numFmtId="167" fontId="0" fillId="3" borderId="4" xfId="0" applyNumberFormat="1" applyFill="1" applyBorder="1"/>
    <xf numFmtId="0" fontId="6" fillId="0" borderId="0" xfId="0" applyFont="1" applyProtection="1">
      <protection locked="0"/>
    </xf>
    <xf numFmtId="0" fontId="20" fillId="0" borderId="0" xfId="0" applyFont="1" applyProtection="1">
      <protection locked="0"/>
    </xf>
    <xf numFmtId="168" fontId="0" fillId="0" borderId="0" xfId="0" applyNumberFormat="1" applyProtection="1">
      <protection locked="0"/>
    </xf>
    <xf numFmtId="168" fontId="0" fillId="0" borderId="4" xfId="0" applyNumberFormat="1" applyBorder="1" applyAlignment="1" applyProtection="1">
      <alignment horizontal="center"/>
      <protection locked="0"/>
    </xf>
    <xf numFmtId="0" fontId="6" fillId="0" borderId="30" xfId="0" applyFont="1" applyBorder="1" applyProtection="1">
      <protection locked="0"/>
    </xf>
    <xf numFmtId="168" fontId="6" fillId="0" borderId="0" xfId="0" applyNumberFormat="1" applyFont="1" applyProtection="1">
      <protection locked="0"/>
    </xf>
    <xf numFmtId="0" fontId="4" fillId="0" borderId="0" xfId="0" applyFont="1" applyAlignment="1">
      <alignment horizontal="center"/>
    </xf>
    <xf numFmtId="0" fontId="17" fillId="0" borderId="0" xfId="3" applyFont="1" applyProtection="1">
      <protection locked="0"/>
    </xf>
    <xf numFmtId="167" fontId="17" fillId="0" borderId="0" xfId="3" applyNumberFormat="1" applyFont="1" applyAlignment="1" applyProtection="1">
      <alignment horizontal="center"/>
      <protection locked="0"/>
    </xf>
    <xf numFmtId="0" fontId="17" fillId="0" borderId="0" xfId="3" applyFont="1" applyAlignment="1" applyProtection="1">
      <alignment horizontal="center"/>
      <protection locked="0"/>
    </xf>
    <xf numFmtId="0" fontId="18" fillId="0" borderId="0" xfId="3" applyFont="1" applyProtection="1">
      <protection locked="0"/>
    </xf>
    <xf numFmtId="0" fontId="0" fillId="8" borderId="0" xfId="0" applyFill="1" applyAlignment="1" applyProtection="1">
      <alignment horizontal="center"/>
      <protection locked="0"/>
    </xf>
    <xf numFmtId="169" fontId="0" fillId="3" borderId="0" xfId="0" applyNumberFormat="1" applyFill="1" applyAlignment="1">
      <alignment horizontal="center"/>
    </xf>
    <xf numFmtId="2" fontId="17" fillId="0" borderId="0" xfId="3" applyNumberFormat="1" applyFont="1" applyAlignment="1" applyProtection="1">
      <alignment horizontal="center"/>
      <protection locked="0"/>
    </xf>
    <xf numFmtId="169" fontId="0" fillId="0" borderId="0" xfId="0" applyNumberFormat="1" applyAlignment="1" applyProtection="1">
      <alignment horizontal="center"/>
      <protection locked="0"/>
    </xf>
    <xf numFmtId="0" fontId="6" fillId="0" borderId="0" xfId="4" applyFill="1" applyBorder="1" applyAlignment="1" applyProtection="1">
      <protection locked="0"/>
    </xf>
    <xf numFmtId="0" fontId="0" fillId="9" borderId="31" xfId="0" applyFill="1" applyBorder="1" applyAlignment="1" applyProtection="1">
      <alignment horizontal="center"/>
      <protection locked="0"/>
    </xf>
    <xf numFmtId="0" fontId="17" fillId="9" borderId="31" xfId="3" applyFont="1" applyFill="1" applyBorder="1" applyAlignment="1" applyProtection="1">
      <alignment horizontal="center"/>
      <protection locked="0"/>
    </xf>
    <xf numFmtId="0" fontId="17" fillId="9" borderId="31" xfId="3" applyFont="1" applyFill="1" applyBorder="1" applyProtection="1">
      <protection locked="0"/>
    </xf>
    <xf numFmtId="169" fontId="0" fillId="9" borderId="31" xfId="0" applyNumberFormat="1" applyFill="1" applyBorder="1" applyAlignment="1" applyProtection="1">
      <alignment horizontal="center"/>
      <protection locked="0"/>
    </xf>
    <xf numFmtId="0" fontId="0" fillId="10" borderId="31" xfId="0" applyFill="1" applyBorder="1" applyAlignment="1" applyProtection="1">
      <alignment horizontal="center"/>
      <protection locked="0"/>
    </xf>
    <xf numFmtId="0" fontId="17" fillId="10" borderId="31" xfId="3" applyFont="1" applyFill="1" applyBorder="1" applyAlignment="1" applyProtection="1">
      <alignment horizontal="center"/>
      <protection locked="0"/>
    </xf>
    <xf numFmtId="0" fontId="17" fillId="10" borderId="31" xfId="3" applyFont="1" applyFill="1" applyBorder="1" applyProtection="1">
      <protection locked="0"/>
    </xf>
    <xf numFmtId="169" fontId="0" fillId="10" borderId="31" xfId="0" applyNumberFormat="1" applyFill="1" applyBorder="1" applyAlignment="1" applyProtection="1">
      <alignment horizontal="center"/>
      <protection locked="0"/>
    </xf>
    <xf numFmtId="170" fontId="0" fillId="10" borderId="31" xfId="0" applyNumberFormat="1" applyFill="1" applyBorder="1" applyAlignment="1" applyProtection="1">
      <alignment horizontal="center"/>
      <protection locked="0"/>
    </xf>
    <xf numFmtId="170" fontId="0" fillId="9" borderId="31" xfId="0" applyNumberFormat="1" applyFill="1" applyBorder="1" applyAlignment="1" applyProtection="1">
      <alignment horizontal="center"/>
      <protection locked="0"/>
    </xf>
    <xf numFmtId="10" fontId="0" fillId="0" borderId="0" xfId="1" applyNumberFormat="1" applyFont="1" applyAlignment="1">
      <alignment horizontal="center"/>
    </xf>
    <xf numFmtId="10" fontId="17" fillId="0" borderId="0" xfId="3" applyNumberFormat="1" applyFont="1" applyProtection="1">
      <protection locked="0"/>
    </xf>
    <xf numFmtId="168" fontId="0" fillId="0" borderId="0" xfId="0" applyNumberFormat="1" applyAlignment="1" applyProtection="1">
      <alignment horizontal="center"/>
      <protection locked="0"/>
    </xf>
    <xf numFmtId="0" fontId="10" fillId="0" borderId="0" xfId="3" applyFont="1" applyAlignment="1">
      <alignment horizontal="center" vertical="center"/>
    </xf>
    <xf numFmtId="0" fontId="10" fillId="0" borderId="0" xfId="3" applyFont="1" applyAlignment="1">
      <alignment horizontal="center" vertical="center" wrapText="1"/>
    </xf>
    <xf numFmtId="0" fontId="21" fillId="0" borderId="0" xfId="3" applyFont="1" applyAlignment="1">
      <alignment horizontal="center" vertical="center"/>
    </xf>
    <xf numFmtId="0" fontId="22" fillId="0" borderId="0" xfId="3" applyFont="1" applyProtection="1">
      <protection locked="0"/>
    </xf>
    <xf numFmtId="0" fontId="12" fillId="0" borderId="0" xfId="3" applyFont="1" applyProtection="1">
      <protection locked="0"/>
    </xf>
    <xf numFmtId="0" fontId="12" fillId="0" borderId="0" xfId="3" applyFont="1" applyAlignment="1" applyProtection="1">
      <alignment horizontal="center" wrapText="1"/>
      <protection locked="0"/>
    </xf>
    <xf numFmtId="0" fontId="12" fillId="0" borderId="0" xfId="3" applyFont="1" applyAlignment="1" applyProtection="1">
      <alignment wrapText="1"/>
      <protection locked="0"/>
    </xf>
    <xf numFmtId="1" fontId="12" fillId="0" borderId="0" xfId="3" applyNumberFormat="1" applyFont="1" applyAlignment="1" applyProtection="1">
      <alignment horizontal="center" wrapText="1"/>
      <protection locked="0"/>
    </xf>
    <xf numFmtId="10" fontId="12" fillId="0" borderId="0" xfId="3" applyNumberFormat="1" applyFont="1" applyAlignment="1" applyProtection="1">
      <alignment horizontal="center"/>
      <protection locked="0"/>
    </xf>
    <xf numFmtId="0" fontId="12" fillId="0" borderId="0" xfId="3" applyFont="1" applyAlignment="1" applyProtection="1">
      <alignment horizontal="center"/>
      <protection locked="0"/>
    </xf>
    <xf numFmtId="1" fontId="12" fillId="0" borderId="0" xfId="3" applyNumberFormat="1" applyFont="1" applyProtection="1">
      <protection locked="0"/>
    </xf>
    <xf numFmtId="0" fontId="11" fillId="0" borderId="0" xfId="3" applyFont="1" applyAlignment="1">
      <alignment horizontal="center" vertical="center"/>
    </xf>
    <xf numFmtId="0" fontId="11" fillId="0" borderId="0" xfId="3" applyFont="1" applyAlignment="1">
      <alignment horizontal="center" vertical="center" wrapText="1"/>
    </xf>
    <xf numFmtId="0" fontId="23" fillId="11" borderId="4" xfId="3" applyFont="1" applyFill="1" applyBorder="1" applyAlignment="1">
      <alignment horizontal="center" vertical="center" wrapText="1"/>
    </xf>
    <xf numFmtId="9" fontId="24" fillId="12" borderId="4" xfId="1" applyFont="1" applyFill="1" applyBorder="1" applyAlignment="1" applyProtection="1">
      <alignment horizontal="center" vertical="center" wrapText="1"/>
    </xf>
    <xf numFmtId="0" fontId="23" fillId="11" borderId="4" xfId="3" applyFont="1" applyFill="1" applyBorder="1" applyAlignment="1">
      <alignment horizontal="center" vertical="center"/>
    </xf>
    <xf numFmtId="167" fontId="25" fillId="12" borderId="4" xfId="3" applyNumberFormat="1" applyFont="1" applyFill="1" applyBorder="1" applyAlignment="1">
      <alignment horizontal="center" vertical="center" wrapText="1"/>
    </xf>
    <xf numFmtId="0" fontId="26" fillId="0" borderId="0" xfId="3" applyFont="1" applyAlignment="1">
      <alignment horizontal="center" vertical="center"/>
    </xf>
    <xf numFmtId="2" fontId="27" fillId="0" borderId="0" xfId="3" applyNumberFormat="1" applyFont="1" applyAlignment="1">
      <alignment horizontal="center" vertical="center"/>
    </xf>
    <xf numFmtId="1" fontId="24" fillId="12" borderId="4" xfId="3" applyNumberFormat="1" applyFont="1" applyFill="1" applyBorder="1" applyAlignment="1">
      <alignment horizontal="center" vertical="center" wrapText="1"/>
    </xf>
    <xf numFmtId="0" fontId="28" fillId="0" borderId="0" xfId="3" applyFont="1" applyAlignment="1">
      <alignment horizontal="left" vertical="center"/>
    </xf>
    <xf numFmtId="0" fontId="29" fillId="0" borderId="0" xfId="3" applyFont="1" applyAlignment="1">
      <alignment horizontal="center" vertical="center"/>
    </xf>
    <xf numFmtId="0" fontId="10" fillId="0" borderId="0" xfId="3" applyFont="1" applyProtection="1">
      <protection locked="0"/>
    </xf>
    <xf numFmtId="0" fontId="17" fillId="0" borderId="4" xfId="3" applyFont="1" applyBorder="1" applyProtection="1">
      <protection locked="0"/>
    </xf>
    <xf numFmtId="1" fontId="10" fillId="0" borderId="0" xfId="3" applyNumberFormat="1" applyFont="1"/>
    <xf numFmtId="0" fontId="11" fillId="0" borderId="12" xfId="3" applyFont="1" applyBorder="1" applyAlignment="1">
      <alignment vertical="center"/>
    </xf>
    <xf numFmtId="1" fontId="10" fillId="0" borderId="0" xfId="3" applyNumberFormat="1" applyFont="1" applyAlignment="1">
      <alignment horizontal="center" vertical="center"/>
    </xf>
    <xf numFmtId="10" fontId="11" fillId="0" borderId="0" xfId="3" applyNumberFormat="1" applyFont="1" applyAlignment="1">
      <alignment horizontal="center" vertical="center"/>
    </xf>
    <xf numFmtId="10" fontId="11" fillId="0" borderId="0" xfId="3" applyNumberFormat="1" applyFont="1" applyAlignment="1">
      <alignment horizontal="center" vertical="center" wrapText="1"/>
    </xf>
    <xf numFmtId="0" fontId="30" fillId="0" borderId="0" xfId="3" applyFont="1" applyAlignment="1">
      <alignment horizontal="center" vertical="center" wrapText="1"/>
    </xf>
    <xf numFmtId="167" fontId="17" fillId="13" borderId="32" xfId="3" applyNumberFormat="1" applyFont="1" applyFill="1" applyBorder="1" applyAlignment="1">
      <alignment horizontal="center" vertical="center" wrapText="1"/>
    </xf>
    <xf numFmtId="10" fontId="29" fillId="0" borderId="0" xfId="3" applyNumberFormat="1" applyFont="1" applyAlignment="1">
      <alignment horizontal="center" vertical="center"/>
    </xf>
    <xf numFmtId="1" fontId="21" fillId="0" borderId="0" xfId="3" applyNumberFormat="1" applyFont="1" applyAlignment="1">
      <alignment horizontal="center" vertical="center"/>
    </xf>
    <xf numFmtId="1" fontId="17" fillId="0" borderId="0" xfId="3" applyNumberFormat="1" applyFont="1" applyAlignment="1" applyProtection="1">
      <alignment horizontal="center"/>
      <protection locked="0"/>
    </xf>
    <xf numFmtId="1" fontId="17" fillId="0" borderId="4" xfId="3" applyNumberFormat="1" applyFont="1" applyBorder="1" applyAlignment="1" applyProtection="1">
      <alignment horizontal="center"/>
      <protection locked="0"/>
    </xf>
    <xf numFmtId="0" fontId="24" fillId="12" borderId="4" xfId="3" applyFont="1" applyFill="1" applyBorder="1" applyAlignment="1">
      <alignment horizontal="center" vertical="center" wrapText="1"/>
    </xf>
    <xf numFmtId="1" fontId="16" fillId="0" borderId="0" xfId="3" applyNumberFormat="1" applyFont="1" applyAlignment="1">
      <alignment horizontal="center" vertical="center" wrapText="1"/>
    </xf>
    <xf numFmtId="10" fontId="17" fillId="0" borderId="0" xfId="3" applyNumberFormat="1" applyFont="1" applyAlignment="1" applyProtection="1">
      <alignment horizontal="center"/>
      <protection locked="0"/>
    </xf>
    <xf numFmtId="10" fontId="17" fillId="3" borderId="0" xfId="3" applyNumberFormat="1" applyFont="1" applyFill="1" applyAlignment="1">
      <alignment horizontal="center"/>
    </xf>
    <xf numFmtId="171" fontId="17" fillId="3" borderId="0" xfId="3" applyNumberFormat="1" applyFont="1" applyFill="1"/>
    <xf numFmtId="10" fontId="22" fillId="3" borderId="0" xfId="3" applyNumberFormat="1" applyFont="1" applyFill="1" applyAlignment="1">
      <alignment horizontal="center"/>
    </xf>
    <xf numFmtId="167" fontId="17" fillId="0" borderId="0" xfId="3" applyNumberFormat="1" applyFont="1" applyAlignment="1">
      <alignment horizontal="center"/>
    </xf>
    <xf numFmtId="0" fontId="16" fillId="0" borderId="0" xfId="3" applyFont="1" applyAlignment="1">
      <alignment horizontal="center" vertical="center" wrapText="1"/>
    </xf>
    <xf numFmtId="10" fontId="16" fillId="0" borderId="0" xfId="3" applyNumberFormat="1" applyFont="1" applyAlignment="1">
      <alignment horizontal="center" vertical="center" wrapText="1"/>
    </xf>
    <xf numFmtId="2" fontId="17" fillId="0" borderId="0" xfId="3" applyNumberFormat="1" applyFont="1" applyAlignment="1">
      <alignment horizontal="center"/>
    </xf>
    <xf numFmtId="10" fontId="22" fillId="0" borderId="0" xfId="3" applyNumberFormat="1" applyFont="1" applyAlignment="1">
      <alignment horizontal="center"/>
    </xf>
    <xf numFmtId="167" fontId="17" fillId="0" borderId="0" xfId="3" applyNumberFormat="1" applyFont="1"/>
    <xf numFmtId="3" fontId="17" fillId="0" borderId="4" xfId="3" applyNumberFormat="1" applyFont="1" applyBorder="1" applyAlignment="1" applyProtection="1">
      <alignment horizontal="center"/>
      <protection locked="0"/>
    </xf>
    <xf numFmtId="167" fontId="17" fillId="14" borderId="32" xfId="3" applyNumberFormat="1" applyFont="1" applyFill="1" applyBorder="1" applyAlignment="1" applyProtection="1">
      <alignment horizontal="center"/>
      <protection locked="0"/>
    </xf>
    <xf numFmtId="167" fontId="17" fillId="0" borderId="0" xfId="3" applyNumberFormat="1" applyFont="1" applyProtection="1">
      <protection locked="0"/>
    </xf>
    <xf numFmtId="0" fontId="0" fillId="0" borderId="32" xfId="0" applyBorder="1" applyAlignment="1" applyProtection="1">
      <alignment horizontal="center"/>
      <protection locked="0"/>
    </xf>
    <xf numFmtId="0" fontId="17" fillId="0" borderId="32" xfId="3" applyFont="1" applyBorder="1" applyAlignment="1" applyProtection="1">
      <alignment horizontal="center"/>
      <protection locked="0"/>
    </xf>
    <xf numFmtId="10" fontId="17" fillId="0" borderId="32" xfId="3" applyNumberFormat="1" applyFont="1" applyBorder="1" applyProtection="1">
      <protection locked="0"/>
    </xf>
    <xf numFmtId="0" fontId="17" fillId="0" borderId="32" xfId="3" applyFont="1" applyBorder="1" applyProtection="1">
      <protection locked="0"/>
    </xf>
    <xf numFmtId="167" fontId="17" fillId="0" borderId="32" xfId="3" applyNumberFormat="1" applyFont="1" applyBorder="1" applyAlignment="1" applyProtection="1">
      <alignment horizontal="center"/>
      <protection locked="0"/>
    </xf>
    <xf numFmtId="0" fontId="17" fillId="14" borderId="32" xfId="3" applyFont="1" applyFill="1" applyBorder="1" applyAlignment="1" applyProtection="1">
      <alignment horizontal="center"/>
      <protection locked="0"/>
    </xf>
    <xf numFmtId="0" fontId="17" fillId="14" borderId="32" xfId="3" applyFont="1" applyFill="1" applyBorder="1" applyProtection="1">
      <protection locked="0"/>
    </xf>
    <xf numFmtId="10" fontId="17" fillId="14" borderId="32" xfId="3" applyNumberFormat="1" applyFont="1" applyFill="1" applyBorder="1" applyProtection="1">
      <protection locked="0"/>
    </xf>
    <xf numFmtId="2" fontId="17" fillId="14" borderId="32" xfId="3" applyNumberFormat="1" applyFont="1" applyFill="1" applyBorder="1" applyAlignment="1" applyProtection="1">
      <alignment horizontal="center"/>
      <protection locked="0"/>
    </xf>
    <xf numFmtId="2" fontId="17" fillId="0" borderId="32" xfId="3" applyNumberFormat="1" applyFont="1" applyBorder="1" applyAlignment="1" applyProtection="1">
      <alignment horizontal="center"/>
      <protection locked="0"/>
    </xf>
    <xf numFmtId="167" fontId="17" fillId="14" borderId="32" xfId="3" applyNumberFormat="1" applyFont="1" applyFill="1" applyBorder="1" applyProtection="1">
      <protection locked="0"/>
    </xf>
    <xf numFmtId="0" fontId="0" fillId="0" borderId="0" xfId="0" applyAlignment="1">
      <alignment horizontal="center" vertical="center"/>
    </xf>
    <xf numFmtId="0" fontId="0" fillId="0" borderId="4" xfId="0" applyBorder="1"/>
    <xf numFmtId="0" fontId="32" fillId="3" borderId="4" xfId="0" applyFont="1" applyFill="1" applyBorder="1"/>
    <xf numFmtId="0" fontId="32" fillId="8" borderId="4" xfId="0" applyFont="1" applyFill="1" applyBorder="1"/>
    <xf numFmtId="0" fontId="0" fillId="0" borderId="18" xfId="0" applyBorder="1" applyAlignment="1">
      <alignment horizontal="center"/>
    </xf>
    <xf numFmtId="0" fontId="0" fillId="0" borderId="28" xfId="0" applyBorder="1" applyAlignment="1">
      <alignment horizontal="center"/>
    </xf>
    <xf numFmtId="0" fontId="0" fillId="0" borderId="35" xfId="0" applyBorder="1" applyAlignment="1">
      <alignment horizontal="center"/>
    </xf>
    <xf numFmtId="2" fontId="3" fillId="3" borderId="4" xfId="1" applyNumberFormat="1" applyFont="1" applyFill="1" applyBorder="1" applyAlignment="1" applyProtection="1">
      <alignment horizontal="center"/>
    </xf>
    <xf numFmtId="2" fontId="3" fillId="3" borderId="8" xfId="1" applyNumberFormat="1" applyFont="1" applyFill="1" applyBorder="1" applyAlignment="1" applyProtection="1">
      <alignment horizontal="center"/>
    </xf>
    <xf numFmtId="1" fontId="3" fillId="3" borderId="4" xfId="1" applyNumberFormat="1" applyFont="1" applyFill="1" applyBorder="1" applyAlignment="1" applyProtection="1">
      <alignment horizontal="center"/>
    </xf>
    <xf numFmtId="1" fontId="3" fillId="3" borderId="8" xfId="1" applyNumberFormat="1" applyFont="1" applyFill="1" applyBorder="1" applyAlignment="1" applyProtection="1">
      <alignment horizontal="center"/>
    </xf>
    <xf numFmtId="2" fontId="3" fillId="3" borderId="6" xfId="1" applyNumberFormat="1" applyFont="1" applyFill="1" applyBorder="1" applyAlignment="1" applyProtection="1">
      <alignment horizontal="center"/>
    </xf>
    <xf numFmtId="2" fontId="3" fillId="3" borderId="9" xfId="1" applyNumberFormat="1" applyFont="1" applyFill="1" applyBorder="1" applyAlignment="1" applyProtection="1">
      <alignment horizontal="center"/>
    </xf>
    <xf numFmtId="2" fontId="3" fillId="0" borderId="0" xfId="1" applyNumberFormat="1" applyFont="1" applyFill="1" applyBorder="1" applyAlignment="1" applyProtection="1">
      <alignment horizontal="center"/>
    </xf>
    <xf numFmtId="0" fontId="33" fillId="0" borderId="0" xfId="0" applyFont="1"/>
    <xf numFmtId="169" fontId="4" fillId="0" borderId="0" xfId="0" applyNumberFormat="1" applyFont="1"/>
    <xf numFmtId="2" fontId="4" fillId="0" borderId="0" xfId="0" applyNumberFormat="1" applyFont="1"/>
    <xf numFmtId="0" fontId="0" fillId="2" borderId="35" xfId="0" applyFill="1" applyBorder="1" applyAlignment="1">
      <alignment horizontal="center" vertical="center" wrapText="1"/>
    </xf>
    <xf numFmtId="0" fontId="0" fillId="2" borderId="40" xfId="0" applyFill="1" applyBorder="1" applyAlignment="1">
      <alignment horizontal="center" vertical="center" wrapText="1"/>
    </xf>
    <xf numFmtId="0" fontId="0" fillId="4" borderId="3" xfId="0" applyFill="1" applyBorder="1" applyProtection="1">
      <protection locked="0"/>
    </xf>
    <xf numFmtId="0" fontId="0" fillId="4" borderId="2" xfId="0" applyFill="1" applyBorder="1" applyAlignment="1" applyProtection="1">
      <alignment horizontal="center"/>
      <protection locked="0"/>
    </xf>
    <xf numFmtId="0" fontId="0" fillId="4" borderId="22" xfId="0" applyFill="1" applyBorder="1" applyAlignment="1" applyProtection="1">
      <alignment horizontal="center"/>
      <protection locked="0"/>
    </xf>
    <xf numFmtId="2" fontId="0" fillId="3" borderId="2" xfId="0" applyNumberFormat="1" applyFill="1" applyBorder="1" applyAlignment="1">
      <alignment horizontal="center"/>
    </xf>
    <xf numFmtId="2" fontId="0" fillId="3" borderId="7" xfId="0" applyNumberFormat="1" applyFill="1" applyBorder="1" applyAlignment="1">
      <alignment horizontal="center"/>
    </xf>
    <xf numFmtId="2" fontId="0" fillId="3" borderId="4" xfId="0" applyNumberFormat="1" applyFill="1" applyBorder="1" applyAlignment="1">
      <alignment horizontal="center"/>
    </xf>
    <xf numFmtId="2" fontId="0" fillId="3" borderId="8" xfId="0" applyNumberFormat="1" applyFill="1" applyBorder="1" applyAlignment="1">
      <alignment horizontal="center"/>
    </xf>
    <xf numFmtId="0" fontId="0" fillId="4" borderId="5" xfId="0" applyFill="1" applyBorder="1" applyProtection="1">
      <protection locked="0"/>
    </xf>
    <xf numFmtId="2" fontId="0" fillId="3" borderId="6" xfId="0" applyNumberFormat="1" applyFill="1" applyBorder="1" applyAlignment="1">
      <alignment horizontal="center"/>
    </xf>
    <xf numFmtId="2" fontId="0" fillId="3" borderId="9" xfId="0" applyNumberFormat="1" applyFill="1" applyBorder="1" applyAlignment="1">
      <alignment horizontal="center"/>
    </xf>
    <xf numFmtId="2" fontId="0" fillId="3" borderId="22" xfId="0" applyNumberFormat="1" applyFill="1" applyBorder="1" applyAlignment="1">
      <alignment horizontal="center"/>
    </xf>
    <xf numFmtId="2" fontId="0" fillId="3" borderId="41" xfId="0" applyNumberFormat="1" applyFill="1" applyBorder="1" applyAlignment="1">
      <alignment horizontal="center"/>
    </xf>
    <xf numFmtId="0" fontId="0" fillId="4" borderId="4" xfId="0" applyFill="1" applyBorder="1" applyProtection="1">
      <protection locked="0"/>
    </xf>
    <xf numFmtId="0" fontId="6" fillId="16" borderId="13" xfId="0" applyFont="1" applyFill="1" applyBorder="1"/>
    <xf numFmtId="0" fontId="0" fillId="8" borderId="13" xfId="0" applyFill="1" applyBorder="1" applyAlignment="1" applyProtection="1">
      <alignment horizontal="center" vertical="center"/>
      <protection locked="0"/>
    </xf>
    <xf numFmtId="0" fontId="0" fillId="17" borderId="13" xfId="0" applyFill="1" applyBorder="1" applyAlignment="1" applyProtection="1">
      <alignment horizontal="center" vertical="center"/>
      <protection locked="0"/>
    </xf>
    <xf numFmtId="0" fontId="34" fillId="16" borderId="43" xfId="0" applyFont="1" applyFill="1" applyBorder="1" applyAlignment="1" applyProtection="1">
      <alignment horizontal="left" wrapText="1"/>
      <protection hidden="1"/>
    </xf>
    <xf numFmtId="0" fontId="6" fillId="16" borderId="15" xfId="0" applyFont="1" applyFill="1" applyBorder="1"/>
    <xf numFmtId="0" fontId="0" fillId="16" borderId="12" xfId="0" applyFill="1" applyBorder="1"/>
    <xf numFmtId="0" fontId="6" fillId="0" borderId="0" xfId="0" applyFont="1" applyAlignment="1">
      <alignment horizontal="center"/>
    </xf>
    <xf numFmtId="0" fontId="2" fillId="2" borderId="19"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0" fillId="4" borderId="25" xfId="0" applyFill="1" applyBorder="1" applyAlignment="1" applyProtection="1">
      <alignment horizontal="center"/>
      <protection locked="0"/>
    </xf>
    <xf numFmtId="0" fontId="0" fillId="8" borderId="4" xfId="0" applyFill="1" applyBorder="1" applyAlignment="1" applyProtection="1">
      <alignment horizontal="center"/>
      <protection locked="0"/>
    </xf>
    <xf numFmtId="0" fontId="0" fillId="4" borderId="26" xfId="0" applyFill="1" applyBorder="1" applyAlignment="1" applyProtection="1">
      <alignment horizontal="center"/>
      <protection locked="0"/>
    </xf>
    <xf numFmtId="0" fontId="0" fillId="4" borderId="41" xfId="0" applyFill="1" applyBorder="1" applyAlignment="1" applyProtection="1">
      <alignment horizontal="center"/>
      <protection locked="0"/>
    </xf>
    <xf numFmtId="0" fontId="0" fillId="3" borderId="13" xfId="0" applyFill="1" applyBorder="1" applyAlignment="1">
      <alignment horizontal="center" vertical="center"/>
    </xf>
    <xf numFmtId="10" fontId="0" fillId="3" borderId="13" xfId="0" applyNumberFormat="1" applyFill="1" applyBorder="1" applyAlignment="1">
      <alignment horizontal="center" vertical="center"/>
    </xf>
    <xf numFmtId="10" fontId="0" fillId="0" borderId="0" xfId="0" applyNumberFormat="1" applyAlignment="1">
      <alignment horizontal="center" vertical="center"/>
    </xf>
    <xf numFmtId="0" fontId="2" fillId="2" borderId="23" xfId="0" applyFont="1" applyFill="1" applyBorder="1" applyAlignment="1">
      <alignment horizontal="center" vertical="center" wrapText="1"/>
    </xf>
    <xf numFmtId="0" fontId="0" fillId="3" borderId="24" xfId="0" applyFill="1" applyBorder="1" applyAlignment="1">
      <alignment horizontal="center"/>
    </xf>
    <xf numFmtId="2" fontId="0" fillId="3" borderId="23" xfId="0" applyNumberFormat="1" applyFill="1" applyBorder="1" applyAlignment="1">
      <alignment horizontal="center"/>
    </xf>
    <xf numFmtId="10" fontId="0" fillId="3" borderId="23" xfId="1" applyNumberFormat="1" applyFont="1" applyFill="1" applyBorder="1" applyAlignment="1" applyProtection="1">
      <alignment horizontal="center"/>
    </xf>
    <xf numFmtId="9" fontId="0" fillId="3" borderId="23" xfId="1" applyFont="1" applyFill="1" applyBorder="1" applyAlignment="1" applyProtection="1">
      <alignment horizontal="center"/>
    </xf>
    <xf numFmtId="0" fontId="0" fillId="3" borderId="23" xfId="0" applyFill="1" applyBorder="1" applyAlignment="1">
      <alignment horizontal="center"/>
    </xf>
    <xf numFmtId="0" fontId="0" fillId="0" borderId="44" xfId="0" applyBorder="1"/>
    <xf numFmtId="0" fontId="0" fillId="0" borderId="45" xfId="0" applyBorder="1"/>
    <xf numFmtId="0" fontId="0" fillId="0" borderId="46"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36" fillId="0" borderId="0" xfId="0" applyFont="1"/>
    <xf numFmtId="0" fontId="31" fillId="15" borderId="53" xfId="0" applyFont="1" applyFill="1" applyBorder="1" applyAlignment="1">
      <alignment horizontal="center" vertical="center"/>
    </xf>
    <xf numFmtId="49" fontId="31" fillId="15" borderId="53" xfId="0" applyNumberFormat="1" applyFont="1" applyFill="1" applyBorder="1" applyAlignment="1">
      <alignment horizontal="center" vertical="center"/>
    </xf>
    <xf numFmtId="0" fontId="31" fillId="15" borderId="54" xfId="0" applyFont="1" applyFill="1" applyBorder="1" applyAlignment="1">
      <alignment horizontal="center" vertical="center"/>
    </xf>
    <xf numFmtId="0" fontId="0" fillId="0" borderId="55" xfId="0" applyBorder="1"/>
    <xf numFmtId="166" fontId="0" fillId="0" borderId="55" xfId="0" applyNumberFormat="1" applyBorder="1"/>
    <xf numFmtId="0" fontId="0" fillId="18" borderId="55" xfId="0" applyFill="1" applyBorder="1"/>
    <xf numFmtId="10" fontId="0" fillId="19" borderId="55" xfId="0" applyNumberFormat="1" applyFill="1" applyBorder="1"/>
    <xf numFmtId="10" fontId="0" fillId="0" borderId="55" xfId="0" applyNumberFormat="1" applyBorder="1"/>
    <xf numFmtId="2" fontId="0" fillId="19" borderId="55" xfId="0" applyNumberFormat="1" applyFill="1" applyBorder="1"/>
    <xf numFmtId="2" fontId="0" fillId="0" borderId="55" xfId="0" applyNumberFormat="1" applyBorder="1"/>
    <xf numFmtId="0" fontId="0" fillId="19" borderId="55" xfId="0" applyFill="1" applyBorder="1"/>
    <xf numFmtId="0" fontId="31" fillId="15" borderId="34" xfId="0" applyFont="1" applyFill="1" applyBorder="1" applyAlignment="1">
      <alignment horizontal="center" vertical="center"/>
    </xf>
    <xf numFmtId="0" fontId="0" fillId="4" borderId="55" xfId="0" applyFill="1" applyBorder="1" applyAlignment="1">
      <alignment wrapText="1"/>
    </xf>
    <xf numFmtId="0" fontId="0" fillId="4" borderId="55" xfId="0" applyFill="1" applyBorder="1"/>
    <xf numFmtId="2" fontId="0" fillId="19" borderId="55" xfId="0" applyNumberFormat="1" applyFill="1" applyBorder="1" applyAlignment="1">
      <alignment horizontal="center"/>
    </xf>
    <xf numFmtId="2" fontId="0" fillId="0" borderId="55" xfId="0" applyNumberFormat="1" applyBorder="1" applyAlignment="1">
      <alignment horizontal="center"/>
    </xf>
    <xf numFmtId="0" fontId="0" fillId="19" borderId="55" xfId="0" applyFill="1" applyBorder="1" applyAlignment="1">
      <alignment horizontal="center"/>
    </xf>
    <xf numFmtId="10" fontId="0" fillId="0" borderId="55" xfId="0" applyNumberFormat="1" applyBorder="1" applyAlignment="1">
      <alignment horizontal="center"/>
    </xf>
    <xf numFmtId="10" fontId="0" fillId="19" borderId="55" xfId="0" applyNumberFormat="1" applyFill="1" applyBorder="1" applyAlignment="1">
      <alignment horizontal="center"/>
    </xf>
    <xf numFmtId="0" fontId="0" fillId="4" borderId="55" xfId="0" applyFill="1" applyBorder="1" applyProtection="1">
      <protection locked="0"/>
    </xf>
    <xf numFmtId="0" fontId="4" fillId="0" borderId="56" xfId="0" applyFont="1" applyBorder="1" applyAlignment="1">
      <alignment horizontal="center"/>
    </xf>
    <xf numFmtId="0" fontId="4" fillId="0" borderId="57" xfId="0" applyFont="1" applyBorder="1" applyAlignment="1">
      <alignment horizontal="center"/>
    </xf>
    <xf numFmtId="0" fontId="4" fillId="0" borderId="58" xfId="0" applyFont="1" applyBorder="1" applyAlignment="1">
      <alignment horizontal="center"/>
    </xf>
    <xf numFmtId="0" fontId="0" fillId="0" borderId="59" xfId="0" applyBorder="1"/>
    <xf numFmtId="0" fontId="0" fillId="0" borderId="22" xfId="0" applyBorder="1"/>
    <xf numFmtId="0" fontId="0" fillId="0" borderId="36" xfId="0" applyBorder="1"/>
    <xf numFmtId="0" fontId="0" fillId="0" borderId="3" xfId="0" applyBorder="1"/>
    <xf numFmtId="0" fontId="0" fillId="0" borderId="8" xfId="0" applyBorder="1"/>
    <xf numFmtId="0" fontId="0" fillId="0" borderId="5" xfId="0" applyBorder="1"/>
    <xf numFmtId="0" fontId="0" fillId="0" borderId="6" xfId="0" applyBorder="1"/>
    <xf numFmtId="0" fontId="0" fillId="0" borderId="9" xfId="0" applyBorder="1"/>
    <xf numFmtId="0" fontId="0" fillId="0" borderId="0" xfId="0" applyAlignment="1" applyProtection="1">
      <alignment horizontal="center"/>
      <protection hidden="1"/>
    </xf>
    <xf numFmtId="0" fontId="33" fillId="0" borderId="0" xfId="0" applyFont="1" applyProtection="1">
      <protection hidden="1"/>
    </xf>
    <xf numFmtId="0" fontId="0" fillId="0" borderId="0" xfId="0" applyAlignment="1" applyProtection="1">
      <alignment vertical="center"/>
      <protection hidden="1"/>
    </xf>
    <xf numFmtId="0" fontId="0" fillId="0" borderId="0" xfId="0" applyAlignment="1" applyProtection="1">
      <alignment horizontal="center" wrapText="1"/>
      <protection hidden="1"/>
    </xf>
    <xf numFmtId="0" fontId="0" fillId="0" borderId="0" xfId="0" applyProtection="1">
      <protection hidden="1"/>
    </xf>
    <xf numFmtId="0" fontId="31" fillId="0" borderId="0" xfId="0" applyFont="1" applyAlignment="1" applyProtection="1">
      <alignment horizontal="center" vertical="center" wrapText="1"/>
      <protection hidden="1"/>
    </xf>
    <xf numFmtId="0" fontId="31" fillId="15" borderId="4" xfId="0" applyFont="1" applyFill="1" applyBorder="1" applyAlignment="1" applyProtection="1">
      <alignment horizontal="center" vertical="center" wrapText="1"/>
      <protection hidden="1"/>
    </xf>
    <xf numFmtId="0" fontId="31" fillId="15" borderId="4" xfId="0" applyFont="1" applyFill="1" applyBorder="1" applyAlignment="1">
      <alignment horizontal="center" vertical="center" wrapText="1"/>
    </xf>
    <xf numFmtId="0" fontId="37" fillId="0" borderId="0" xfId="0" applyFont="1" applyAlignment="1" applyProtection="1">
      <alignment horizontal="center" wrapText="1"/>
      <protection hidden="1"/>
    </xf>
    <xf numFmtId="0" fontId="38" fillId="0" borderId="0" xfId="0" applyFont="1" applyAlignment="1" applyProtection="1">
      <alignment horizontal="center"/>
      <protection hidden="1"/>
    </xf>
    <xf numFmtId="0" fontId="8" fillId="0" borderId="4" xfId="2" applyFill="1" applyBorder="1" applyProtection="1">
      <protection hidden="1"/>
    </xf>
    <xf numFmtId="10" fontId="39" fillId="0" borderId="4" xfId="1" applyNumberFormat="1" applyFont="1" applyFill="1" applyBorder="1" applyAlignment="1" applyProtection="1">
      <alignment horizontal="center" vertical="center"/>
    </xf>
    <xf numFmtId="10" fontId="39" fillId="0" borderId="4" xfId="1" applyNumberFormat="1" applyFont="1" applyFill="1" applyBorder="1" applyAlignment="1" applyProtection="1">
      <alignment horizontal="center"/>
    </xf>
    <xf numFmtId="10" fontId="39" fillId="4" borderId="4" xfId="1" applyNumberFormat="1" applyFont="1" applyFill="1" applyBorder="1" applyAlignment="1" applyProtection="1">
      <alignment horizontal="center"/>
    </xf>
    <xf numFmtId="0" fontId="4" fillId="0" borderId="0" xfId="0" applyFont="1" applyAlignment="1" applyProtection="1">
      <alignment horizontal="center" wrapText="1"/>
      <protection hidden="1"/>
    </xf>
    <xf numFmtId="10" fontId="39" fillId="0" borderId="4" xfId="0" applyNumberFormat="1" applyFont="1" applyBorder="1" applyAlignment="1">
      <alignment horizontal="center"/>
    </xf>
    <xf numFmtId="2" fontId="39" fillId="0" borderId="4" xfId="0" applyNumberFormat="1" applyFont="1" applyBorder="1" applyAlignment="1">
      <alignment horizontal="center"/>
    </xf>
    <xf numFmtId="2" fontId="39" fillId="4" borderId="4" xfId="0" applyNumberFormat="1" applyFont="1" applyFill="1" applyBorder="1" applyAlignment="1">
      <alignment horizontal="center"/>
    </xf>
    <xf numFmtId="0" fontId="8" fillId="0" borderId="4" xfId="2" applyFill="1" applyBorder="1" applyAlignment="1" applyProtection="1">
      <alignment wrapText="1"/>
      <protection hidden="1"/>
    </xf>
    <xf numFmtId="0" fontId="38" fillId="0" borderId="0" xfId="0" applyFont="1" applyAlignment="1" applyProtection="1">
      <alignment horizontal="center" vertical="center"/>
      <protection hidden="1"/>
    </xf>
    <xf numFmtId="2" fontId="39" fillId="4" borderId="4" xfId="1" applyNumberFormat="1" applyFont="1" applyFill="1" applyBorder="1" applyAlignment="1" applyProtection="1">
      <alignment horizontal="center" wrapText="1"/>
    </xf>
    <xf numFmtId="0" fontId="39" fillId="4" borderId="4" xfId="0" applyFont="1" applyFill="1" applyBorder="1" applyAlignment="1">
      <alignment horizontal="center"/>
    </xf>
    <xf numFmtId="2" fontId="39" fillId="4" borderId="4" xfId="1" applyNumberFormat="1" applyFont="1" applyFill="1" applyBorder="1" applyAlignment="1" applyProtection="1">
      <alignment horizontal="center"/>
    </xf>
    <xf numFmtId="0" fontId="8" fillId="20" borderId="4" xfId="2" applyFill="1" applyBorder="1" applyProtection="1">
      <protection hidden="1"/>
    </xf>
    <xf numFmtId="10" fontId="39" fillId="20" borderId="4" xfId="0" applyNumberFormat="1" applyFont="1" applyFill="1" applyBorder="1" applyAlignment="1">
      <alignment horizontal="center"/>
    </xf>
    <xf numFmtId="2" fontId="39" fillId="20" borderId="4" xfId="0" applyNumberFormat="1" applyFont="1" applyFill="1" applyBorder="1" applyAlignment="1">
      <alignment horizontal="center"/>
    </xf>
    <xf numFmtId="0" fontId="4" fillId="0" borderId="0" xfId="0" applyFont="1" applyAlignment="1" applyProtection="1">
      <alignment horizontal="center" vertical="center" wrapText="1"/>
      <protection hidden="1"/>
    </xf>
    <xf numFmtId="0" fontId="37" fillId="0" borderId="0" xfId="0" applyFont="1" applyAlignment="1" applyProtection="1">
      <alignment horizontal="center" vertical="center" wrapText="1"/>
      <protection hidden="1"/>
    </xf>
    <xf numFmtId="0" fontId="8" fillId="8" borderId="4" xfId="2" applyFill="1" applyBorder="1" applyAlignment="1" applyProtection="1">
      <alignment vertical="center"/>
      <protection hidden="1"/>
    </xf>
    <xf numFmtId="2" fontId="39" fillId="8" borderId="4" xfId="0" applyNumberFormat="1" applyFont="1" applyFill="1" applyBorder="1" applyAlignment="1">
      <alignment horizontal="center"/>
    </xf>
    <xf numFmtId="2" fontId="39" fillId="8" borderId="4" xfId="0" applyNumberFormat="1" applyFont="1" applyFill="1" applyBorder="1" applyAlignment="1">
      <alignment horizontal="center" wrapText="1"/>
    </xf>
    <xf numFmtId="0" fontId="8" fillId="8" borderId="4" xfId="2" applyFill="1" applyBorder="1" applyProtection="1">
      <protection hidden="1"/>
    </xf>
    <xf numFmtId="10" fontId="39" fillId="8" borderId="4" xfId="0" applyNumberFormat="1" applyFont="1" applyFill="1" applyBorder="1" applyAlignment="1">
      <alignment horizontal="center"/>
    </xf>
    <xf numFmtId="0" fontId="8" fillId="0" borderId="4" xfId="2" applyFill="1" applyBorder="1" applyProtection="1"/>
    <xf numFmtId="0" fontId="39" fillId="0" borderId="4" xfId="0" applyFont="1" applyBorder="1" applyAlignment="1">
      <alignment horizontal="center"/>
    </xf>
    <xf numFmtId="9" fontId="39" fillId="0" borderId="4" xfId="1" applyFont="1" applyFill="1" applyBorder="1" applyAlignment="1" applyProtection="1">
      <alignment horizontal="center"/>
    </xf>
    <xf numFmtId="9" fontId="39" fillId="4" borderId="4" xfId="0" applyNumberFormat="1" applyFont="1" applyFill="1" applyBorder="1" applyAlignment="1">
      <alignment horizontal="center"/>
    </xf>
    <xf numFmtId="0" fontId="39" fillId="0" borderId="0" xfId="0" applyFont="1" applyAlignment="1" applyProtection="1">
      <alignment horizontal="center" vertical="center"/>
      <protection hidden="1"/>
    </xf>
    <xf numFmtId="0" fontId="3" fillId="0" borderId="0" xfId="0" applyFont="1" applyProtection="1">
      <protection hidden="1"/>
    </xf>
    <xf numFmtId="0" fontId="3" fillId="0" borderId="0" xfId="0" applyFont="1" applyAlignment="1" applyProtection="1">
      <alignment horizontal="center"/>
      <protection hidden="1"/>
    </xf>
    <xf numFmtId="10" fontId="3" fillId="0" borderId="0" xfId="0" applyNumberFormat="1" applyFont="1" applyAlignment="1">
      <alignment horizontal="center"/>
    </xf>
    <xf numFmtId="0" fontId="3" fillId="4" borderId="4" xfId="0" applyFont="1" applyFill="1" applyBorder="1" applyAlignment="1" applyProtection="1">
      <alignment horizontal="center"/>
      <protection locked="0"/>
    </xf>
    <xf numFmtId="0" fontId="3" fillId="0" borderId="0" xfId="0" applyFont="1" applyAlignment="1">
      <alignment horizontal="center" wrapText="1"/>
    </xf>
    <xf numFmtId="0" fontId="3" fillId="20" borderId="4" xfId="0" applyFont="1" applyFill="1" applyBorder="1" applyProtection="1">
      <protection hidden="1"/>
    </xf>
    <xf numFmtId="2" fontId="0" fillId="8" borderId="4" xfId="0" applyNumberFormat="1" applyFill="1" applyBorder="1" applyAlignment="1" applyProtection="1">
      <alignment horizontal="center"/>
      <protection hidden="1"/>
    </xf>
    <xf numFmtId="0" fontId="0" fillId="0" borderId="4" xfId="0" applyBorder="1" applyProtection="1">
      <protection hidden="1"/>
    </xf>
    <xf numFmtId="0" fontId="3" fillId="0" borderId="4" xfId="0" applyFont="1" applyBorder="1" applyAlignment="1">
      <alignment horizontal="center" vertical="center"/>
    </xf>
    <xf numFmtId="0" fontId="3" fillId="0" borderId="0" xfId="0" applyFont="1" applyAlignment="1">
      <alignment horizontal="center"/>
    </xf>
    <xf numFmtId="0" fontId="3" fillId="0" borderId="0" xfId="0" applyFont="1"/>
    <xf numFmtId="0" fontId="3" fillId="0" borderId="0" xfId="0" applyFont="1" applyAlignment="1">
      <alignment vertical="center"/>
    </xf>
    <xf numFmtId="0" fontId="0" fillId="0" borderId="12" xfId="0" applyBorder="1" applyAlignment="1" applyProtection="1">
      <alignment horizontal="center" vertical="top"/>
      <protection locked="0"/>
    </xf>
    <xf numFmtId="165" fontId="0" fillId="0" borderId="12" xfId="0" applyNumberFormat="1" applyBorder="1" applyAlignment="1" applyProtection="1">
      <alignment horizontal="center"/>
      <protection locked="0"/>
    </xf>
    <xf numFmtId="166" fontId="41" fillId="0" borderId="12" xfId="0" applyNumberFormat="1" applyFont="1" applyBorder="1" applyProtection="1">
      <protection locked="0"/>
    </xf>
    <xf numFmtId="10" fontId="40" fillId="0" borderId="4" xfId="1" applyNumberFormat="1" applyFont="1" applyFill="1" applyBorder="1" applyAlignment="1" applyProtection="1">
      <alignment horizontal="center"/>
    </xf>
    <xf numFmtId="10" fontId="3" fillId="4" borderId="4" xfId="1" applyNumberFormat="1" applyFont="1" applyFill="1" applyBorder="1" applyAlignment="1" applyProtection="1">
      <alignment horizontal="center" wrapText="1"/>
      <protection locked="0"/>
    </xf>
    <xf numFmtId="10" fontId="3" fillId="0" borderId="4" xfId="0" applyNumberFormat="1" applyFont="1" applyBorder="1" applyAlignment="1">
      <alignment horizontal="center"/>
    </xf>
    <xf numFmtId="2" fontId="3" fillId="0" borderId="4" xfId="0" applyNumberFormat="1" applyFont="1" applyBorder="1" applyAlignment="1">
      <alignment horizontal="center"/>
    </xf>
    <xf numFmtId="2" fontId="42" fillId="17" borderId="4" xfId="0" applyNumberFormat="1" applyFont="1" applyFill="1" applyBorder="1" applyAlignment="1">
      <alignment horizontal="center"/>
    </xf>
    <xf numFmtId="10" fontId="3" fillId="0" borderId="4" xfId="1" applyNumberFormat="1" applyFont="1" applyFill="1" applyBorder="1" applyAlignment="1" applyProtection="1">
      <alignment horizontal="center"/>
    </xf>
    <xf numFmtId="10" fontId="3" fillId="20" borderId="4" xfId="1" applyNumberFormat="1" applyFont="1" applyFill="1" applyBorder="1" applyAlignment="1" applyProtection="1">
      <alignment horizontal="center"/>
    </xf>
    <xf numFmtId="2" fontId="3" fillId="20" borderId="4" xfId="1" applyNumberFormat="1" applyFont="1" applyFill="1" applyBorder="1" applyAlignment="1" applyProtection="1">
      <alignment horizontal="center"/>
    </xf>
    <xf numFmtId="2" fontId="3" fillId="8" borderId="4" xfId="1" applyNumberFormat="1" applyFont="1" applyFill="1" applyBorder="1" applyAlignment="1" applyProtection="1">
      <alignment horizontal="center"/>
    </xf>
    <xf numFmtId="9" fontId="3" fillId="8" borderId="4" xfId="1" applyFont="1" applyFill="1" applyBorder="1" applyAlignment="1" applyProtection="1">
      <alignment horizontal="center"/>
    </xf>
    <xf numFmtId="9" fontId="0" fillId="0" borderId="4" xfId="1" applyFont="1" applyFill="1" applyBorder="1" applyAlignment="1" applyProtection="1">
      <alignment horizontal="center"/>
    </xf>
    <xf numFmtId="9" fontId="39" fillId="0" borderId="4" xfId="0" applyNumberFormat="1" applyFont="1" applyBorder="1" applyAlignment="1">
      <alignment horizontal="center"/>
    </xf>
    <xf numFmtId="10" fontId="0" fillId="0" borderId="4" xfId="1" applyNumberFormat="1" applyFont="1" applyFill="1" applyBorder="1" applyAlignment="1" applyProtection="1">
      <alignment horizontal="center"/>
    </xf>
    <xf numFmtId="0" fontId="43" fillId="0" borderId="0" xfId="0" applyFont="1" applyAlignment="1" applyProtection="1">
      <alignment horizontal="center"/>
      <protection hidden="1"/>
    </xf>
    <xf numFmtId="0" fontId="37" fillId="0" borderId="0" xfId="0" applyFont="1" applyAlignment="1" applyProtection="1">
      <alignment horizontal="center"/>
      <protection hidden="1"/>
    </xf>
    <xf numFmtId="10" fontId="3" fillId="4" borderId="4" xfId="0" applyNumberFormat="1" applyFont="1" applyFill="1" applyBorder="1" applyAlignment="1" applyProtection="1">
      <alignment horizontal="center"/>
      <protection locked="0"/>
    </xf>
    <xf numFmtId="10" fontId="3" fillId="4" borderId="4" xfId="1" applyNumberFormat="1" applyFont="1" applyFill="1" applyBorder="1" applyAlignment="1" applyProtection="1">
      <alignment horizontal="center"/>
      <protection locked="0"/>
    </xf>
    <xf numFmtId="0" fontId="37" fillId="0" borderId="0" xfId="0" applyFont="1" applyProtection="1">
      <protection hidden="1"/>
    </xf>
    <xf numFmtId="2" fontId="3" fillId="4" borderId="4" xfId="0" applyNumberFormat="1" applyFont="1" applyFill="1" applyBorder="1" applyAlignment="1" applyProtection="1">
      <alignment horizontal="center"/>
      <protection locked="0"/>
    </xf>
    <xf numFmtId="2" fontId="3" fillId="4" borderId="4" xfId="1" applyNumberFormat="1" applyFont="1" applyFill="1" applyBorder="1" applyAlignment="1" applyProtection="1">
      <alignment horizontal="center"/>
      <protection locked="0"/>
    </xf>
    <xf numFmtId="2" fontId="3" fillId="4" borderId="4" xfId="0" applyNumberFormat="1"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0" fillId="0" borderId="28" xfId="0" applyBorder="1"/>
    <xf numFmtId="0" fontId="0" fillId="0" borderId="16" xfId="0" applyBorder="1"/>
    <xf numFmtId="0" fontId="44" fillId="0" borderId="0" xfId="0" applyFont="1" applyAlignment="1">
      <alignment horizontal="left" wrapText="1" indent="2"/>
    </xf>
    <xf numFmtId="0" fontId="0" fillId="0" borderId="14" xfId="0" applyBorder="1"/>
    <xf numFmtId="0" fontId="0" fillId="0" borderId="42" xfId="0" applyBorder="1"/>
    <xf numFmtId="0" fontId="0" fillId="0" borderId="10" xfId="0" applyBorder="1"/>
    <xf numFmtId="0" fontId="44" fillId="0" borderId="0" xfId="0" applyFont="1" applyAlignment="1">
      <alignment horizontal="left" indent="2"/>
    </xf>
    <xf numFmtId="0" fontId="0" fillId="0" borderId="0" xfId="0" applyAlignment="1">
      <alignment horizontal="left" indent="2"/>
    </xf>
    <xf numFmtId="0" fontId="0" fillId="0" borderId="4" xfId="0" applyBorder="1" applyAlignment="1">
      <alignment horizontal="left" indent="2"/>
    </xf>
    <xf numFmtId="0" fontId="2" fillId="22" borderId="4" xfId="0" applyFont="1" applyFill="1" applyBorder="1" applyAlignment="1">
      <alignment horizontal="center" vertical="center"/>
    </xf>
    <xf numFmtId="0" fontId="4" fillId="23" borderId="4" xfId="0" applyFont="1" applyFill="1" applyBorder="1" applyAlignment="1">
      <alignment horizontal="center" vertical="center"/>
    </xf>
    <xf numFmtId="0" fontId="4" fillId="24" borderId="4" xfId="0" applyFont="1" applyFill="1" applyBorder="1" applyAlignment="1">
      <alignment horizontal="center" vertical="center"/>
    </xf>
    <xf numFmtId="0" fontId="40" fillId="25" borderId="53" xfId="0" applyFont="1" applyFill="1" applyBorder="1" applyAlignment="1">
      <alignment horizontal="center"/>
    </xf>
    <xf numFmtId="0" fontId="40" fillId="25" borderId="54" xfId="0" applyFont="1" applyFill="1" applyBorder="1" applyAlignment="1">
      <alignment horizontal="center"/>
    </xf>
    <xf numFmtId="0" fontId="40" fillId="25" borderId="34" xfId="0" applyFont="1" applyFill="1" applyBorder="1" applyAlignment="1">
      <alignment horizontal="center"/>
    </xf>
    <xf numFmtId="164" fontId="3" fillId="0" borderId="4" xfId="0" applyNumberFormat="1" applyFont="1" applyBorder="1" applyAlignment="1">
      <alignment horizontal="center" vertical="center"/>
    </xf>
    <xf numFmtId="0" fontId="3" fillId="0" borderId="4" xfId="0" applyFont="1" applyBorder="1" applyAlignment="1">
      <alignment horizontal="left" vertical="center"/>
    </xf>
    <xf numFmtId="0" fontId="3" fillId="0" borderId="4" xfId="0" applyFont="1" applyBorder="1" applyAlignment="1">
      <alignment horizontal="left" vertical="center" wrapText="1"/>
    </xf>
    <xf numFmtId="0" fontId="48" fillId="0" borderId="4" xfId="0" applyFont="1" applyBorder="1" applyAlignment="1">
      <alignment horizontal="center"/>
    </xf>
    <xf numFmtId="0" fontId="48" fillId="0" borderId="4" xfId="0" applyFont="1" applyBorder="1" applyAlignment="1">
      <alignment horizontal="left"/>
    </xf>
    <xf numFmtId="0" fontId="2" fillId="26" borderId="66" xfId="0" applyFont="1" applyFill="1" applyBorder="1"/>
    <xf numFmtId="0" fontId="0" fillId="0" borderId="67" xfId="0" applyBorder="1"/>
    <xf numFmtId="0" fontId="6" fillId="0" borderId="67" xfId="0" applyFont="1" applyBorder="1"/>
    <xf numFmtId="0" fontId="6" fillId="0" borderId="68" xfId="0" applyFont="1" applyBorder="1"/>
    <xf numFmtId="0" fontId="2" fillId="26" borderId="15" xfId="0" applyFont="1" applyFill="1" applyBorder="1"/>
    <xf numFmtId="0" fontId="0" fillId="0" borderId="66" xfId="0" applyBorder="1"/>
    <xf numFmtId="0" fontId="0" fillId="0" borderId="69" xfId="0" applyBorder="1"/>
    <xf numFmtId="0" fontId="0" fillId="0" borderId="68" xfId="0" applyBorder="1"/>
    <xf numFmtId="0" fontId="0" fillId="0" borderId="64" xfId="0" applyBorder="1"/>
    <xf numFmtId="0" fontId="0" fillId="0" borderId="37" xfId="0" applyBorder="1"/>
    <xf numFmtId="0" fontId="0" fillId="0" borderId="38" xfId="0" applyBorder="1"/>
    <xf numFmtId="0" fontId="2" fillId="26" borderId="4" xfId="0" applyFont="1" applyFill="1" applyBorder="1"/>
    <xf numFmtId="10" fontId="17" fillId="0" borderId="0" xfId="3" quotePrefix="1" applyNumberFormat="1" applyFont="1" applyProtection="1">
      <protection locked="0"/>
    </xf>
    <xf numFmtId="0" fontId="0" fillId="6" borderId="4" xfId="0" quotePrefix="1" applyFill="1" applyBorder="1" applyAlignment="1" applyProtection="1">
      <alignment horizontal="center"/>
      <protection locked="0"/>
    </xf>
    <xf numFmtId="10" fontId="57" fillId="0" borderId="0" xfId="3" applyNumberFormat="1" applyFont="1" applyProtection="1">
      <protection locked="0"/>
    </xf>
    <xf numFmtId="0" fontId="57" fillId="0" borderId="4" xfId="3" applyFont="1" applyBorder="1" applyProtection="1">
      <protection locked="0"/>
    </xf>
    <xf numFmtId="0" fontId="3" fillId="31" borderId="4" xfId="0" applyFont="1" applyFill="1" applyBorder="1" applyProtection="1">
      <protection hidden="1"/>
    </xf>
    <xf numFmtId="10" fontId="39" fillId="31" borderId="4" xfId="0" applyNumberFormat="1" applyFont="1" applyFill="1" applyBorder="1" applyAlignment="1">
      <alignment horizontal="center"/>
    </xf>
    <xf numFmtId="10" fontId="3" fillId="31" borderId="4" xfId="1" applyNumberFormat="1" applyFont="1" applyFill="1" applyBorder="1" applyAlignment="1" applyProtection="1">
      <alignment horizontal="center"/>
    </xf>
    <xf numFmtId="0" fontId="8" fillId="31" borderId="4" xfId="2" applyFill="1" applyBorder="1" applyAlignment="1" applyProtection="1">
      <alignment vertical="center"/>
      <protection hidden="1"/>
    </xf>
    <xf numFmtId="2" fontId="39" fillId="31" borderId="4" xfId="0" applyNumberFormat="1" applyFont="1" applyFill="1" applyBorder="1" applyAlignment="1">
      <alignment horizontal="center" wrapText="1"/>
    </xf>
    <xf numFmtId="2" fontId="3" fillId="31" borderId="4" xfId="1" applyNumberFormat="1" applyFont="1" applyFill="1" applyBorder="1" applyAlignment="1" applyProtection="1">
      <alignment horizontal="center"/>
    </xf>
    <xf numFmtId="0" fontId="8" fillId="31" borderId="4" xfId="2" applyFill="1" applyBorder="1" applyProtection="1">
      <protection hidden="1"/>
    </xf>
    <xf numFmtId="2" fontId="39" fillId="31" borderId="4" xfId="0" applyNumberFormat="1" applyFont="1" applyFill="1" applyBorder="1" applyAlignment="1">
      <alignment horizontal="center"/>
    </xf>
    <xf numFmtId="0" fontId="8" fillId="31" borderId="4" xfId="2" applyFill="1" applyBorder="1" applyProtection="1"/>
    <xf numFmtId="10" fontId="39" fillId="31" borderId="4" xfId="1" applyNumberFormat="1" applyFont="1" applyFill="1" applyBorder="1" applyAlignment="1" applyProtection="1">
      <alignment horizontal="center"/>
    </xf>
    <xf numFmtId="2" fontId="39" fillId="31" borderId="4" xfId="1" applyNumberFormat="1" applyFont="1" applyFill="1" applyBorder="1" applyAlignment="1" applyProtection="1">
      <alignment horizontal="center"/>
    </xf>
    <xf numFmtId="0" fontId="40" fillId="27" borderId="4" xfId="0" applyFont="1" applyFill="1" applyBorder="1" applyAlignment="1">
      <alignment horizontal="left" vertical="center"/>
    </xf>
    <xf numFmtId="0" fontId="0" fillId="29" borderId="17" xfId="0" applyFill="1" applyBorder="1"/>
    <xf numFmtId="0" fontId="11" fillId="30" borderId="12" xfId="3" applyFont="1" applyFill="1" applyBorder="1" applyProtection="1">
      <protection locked="0"/>
    </xf>
    <xf numFmtId="0" fontId="16" fillId="30" borderId="0" xfId="3" applyFont="1" applyFill="1" applyAlignment="1">
      <alignment horizontal="center" vertical="center" wrapText="1"/>
    </xf>
    <xf numFmtId="1" fontId="16" fillId="30" borderId="0" xfId="3" applyNumberFormat="1" applyFont="1" applyFill="1" applyAlignment="1">
      <alignment horizontal="center" vertical="center" wrapText="1"/>
    </xf>
    <xf numFmtId="10" fontId="16" fillId="30" borderId="0" xfId="3" applyNumberFormat="1" applyFont="1" applyFill="1" applyAlignment="1">
      <alignment horizontal="center" vertical="center" wrapText="1"/>
    </xf>
    <xf numFmtId="0" fontId="18" fillId="0" borderId="0" xfId="0" applyFont="1" applyProtection="1">
      <protection locked="0"/>
    </xf>
    <xf numFmtId="0" fontId="58" fillId="4" borderId="4" xfId="0" applyFont="1" applyFill="1" applyBorder="1" applyAlignment="1" applyProtection="1">
      <alignment horizontal="center" vertical="center"/>
      <protection locked="0"/>
    </xf>
    <xf numFmtId="0" fontId="40" fillId="25" borderId="1" xfId="0" applyFont="1" applyFill="1" applyBorder="1" applyAlignment="1">
      <alignment horizontal="left"/>
    </xf>
    <xf numFmtId="0" fontId="40" fillId="25" borderId="7" xfId="0" applyFont="1" applyFill="1" applyBorder="1" applyAlignment="1">
      <alignment horizontal="left"/>
    </xf>
    <xf numFmtId="0" fontId="56" fillId="33" borderId="61" xfId="0" applyFont="1" applyFill="1" applyBorder="1" applyAlignment="1">
      <alignment horizontal="left"/>
    </xf>
    <xf numFmtId="0" fontId="3" fillId="0" borderId="7" xfId="0" applyFont="1" applyBorder="1" applyAlignment="1">
      <alignment horizontal="left"/>
    </xf>
    <xf numFmtId="0" fontId="40" fillId="25" borderId="3" xfId="0" applyFont="1" applyFill="1" applyBorder="1" applyAlignment="1">
      <alignment horizontal="left"/>
    </xf>
    <xf numFmtId="0" fontId="40" fillId="25" borderId="8" xfId="0" applyFont="1" applyFill="1" applyBorder="1" applyAlignment="1">
      <alignment horizontal="left"/>
    </xf>
    <xf numFmtId="0" fontId="3" fillId="0" borderId="25" xfId="0" applyFont="1" applyBorder="1" applyAlignment="1">
      <alignment horizontal="left" wrapText="1"/>
    </xf>
    <xf numFmtId="0" fontId="3" fillId="0" borderId="8" xfId="0" applyFont="1" applyBorder="1" applyAlignment="1">
      <alignment horizontal="left" wrapText="1"/>
    </xf>
    <xf numFmtId="0" fontId="3" fillId="0" borderId="37" xfId="0" applyFont="1" applyBorder="1" applyAlignment="1">
      <alignment horizontal="left" wrapText="1"/>
    </xf>
    <xf numFmtId="0" fontId="3" fillId="0" borderId="62" xfId="0" applyFont="1" applyBorder="1" applyAlignment="1">
      <alignment horizontal="left" wrapText="1"/>
    </xf>
    <xf numFmtId="0" fontId="47" fillId="25" borderId="17" xfId="0" applyFont="1" applyFill="1" applyBorder="1" applyAlignment="1">
      <alignment horizontal="center"/>
    </xf>
    <xf numFmtId="0" fontId="47" fillId="25" borderId="27" xfId="0" applyFont="1" applyFill="1" applyBorder="1" applyAlignment="1">
      <alignment horizontal="center"/>
    </xf>
    <xf numFmtId="0" fontId="47" fillId="25" borderId="12" xfId="0" applyFont="1" applyFill="1" applyBorder="1" applyAlignment="1">
      <alignment horizontal="center"/>
    </xf>
    <xf numFmtId="0" fontId="40" fillId="25" borderId="64" xfId="0" applyFont="1" applyFill="1" applyBorder="1" applyAlignment="1">
      <alignment horizontal="left" vertical="center"/>
    </xf>
    <xf numFmtId="0" fontId="40" fillId="25" borderId="65" xfId="0" applyFont="1" applyFill="1" applyBorder="1" applyAlignment="1">
      <alignment horizontal="left" vertical="center"/>
    </xf>
    <xf numFmtId="0" fontId="3" fillId="0" borderId="17" xfId="0" applyFont="1" applyBorder="1" applyAlignment="1">
      <alignment horizontal="left" vertical="center" wrapText="1"/>
    </xf>
    <xf numFmtId="0" fontId="3" fillId="0" borderId="12" xfId="0" applyFont="1" applyBorder="1" applyAlignment="1">
      <alignment horizontal="left" vertical="center" wrapText="1"/>
    </xf>
    <xf numFmtId="164" fontId="3" fillId="0" borderId="37" xfId="0" applyNumberFormat="1" applyFont="1" applyBorder="1" applyAlignment="1">
      <alignment horizontal="left" wrapText="1"/>
    </xf>
    <xf numFmtId="0" fontId="40" fillId="25" borderId="5" xfId="0" applyFont="1" applyFill="1" applyBorder="1" applyAlignment="1">
      <alignment horizontal="left"/>
    </xf>
    <xf numFmtId="0" fontId="40" fillId="25" borderId="9" xfId="0" applyFont="1" applyFill="1" applyBorder="1" applyAlignment="1">
      <alignment horizontal="left"/>
    </xf>
    <xf numFmtId="0" fontId="3" fillId="0" borderId="38" xfId="0" applyFont="1" applyBorder="1" applyAlignment="1">
      <alignment horizontal="left" wrapText="1"/>
    </xf>
    <xf numFmtId="0" fontId="3" fillId="0" borderId="63" xfId="0" applyFont="1" applyBorder="1" applyAlignment="1">
      <alignment horizontal="left" wrapText="1"/>
    </xf>
    <xf numFmtId="0" fontId="46" fillId="25" borderId="18" xfId="0" applyFont="1" applyFill="1" applyBorder="1" applyAlignment="1">
      <alignment horizontal="center" vertical="center"/>
    </xf>
    <xf numFmtId="0" fontId="46" fillId="25" borderId="28" xfId="0" applyFont="1" applyFill="1" applyBorder="1" applyAlignment="1">
      <alignment horizontal="center" vertical="center"/>
    </xf>
    <xf numFmtId="0" fontId="46" fillId="25" borderId="14" xfId="0" applyFont="1" applyFill="1" applyBorder="1" applyAlignment="1">
      <alignment horizontal="center" vertical="center"/>
    </xf>
    <xf numFmtId="0" fontId="45" fillId="0" borderId="24" xfId="0" applyFont="1" applyBorder="1" applyAlignment="1">
      <alignment horizontal="center"/>
    </xf>
    <xf numFmtId="0" fontId="45" fillId="0" borderId="60" xfId="0" applyFont="1" applyBorder="1" applyAlignment="1">
      <alignment horizontal="center"/>
    </xf>
    <xf numFmtId="0" fontId="45" fillId="0" borderId="25" xfId="0" applyFont="1" applyBorder="1" applyAlignment="1">
      <alignment horizontal="center"/>
    </xf>
    <xf numFmtId="0" fontId="0" fillId="0" borderId="24" xfId="0" applyBorder="1" applyAlignment="1">
      <alignment horizontal="center" vertical="center"/>
    </xf>
    <xf numFmtId="0" fontId="0" fillId="0" borderId="60" xfId="0" applyBorder="1" applyAlignment="1">
      <alignment horizontal="center" vertical="center"/>
    </xf>
    <xf numFmtId="0" fontId="0" fillId="0" borderId="25" xfId="0" applyBorder="1" applyAlignment="1">
      <alignment horizontal="center" vertical="center"/>
    </xf>
    <xf numFmtId="0" fontId="0" fillId="0" borderId="24" xfId="0" applyBorder="1" applyAlignment="1">
      <alignment horizontal="center" vertical="center" wrapText="1"/>
    </xf>
    <xf numFmtId="0" fontId="0" fillId="0" borderId="4" xfId="0" applyBorder="1" applyAlignment="1">
      <alignment horizontal="center" vertical="center" wrapText="1"/>
    </xf>
    <xf numFmtId="0" fontId="0" fillId="0" borderId="4" xfId="0" applyBorder="1" applyAlignment="1">
      <alignment horizontal="center" vertical="center"/>
    </xf>
    <xf numFmtId="0" fontId="0" fillId="21" borderId="15" xfId="0" applyFill="1" applyBorder="1" applyAlignment="1">
      <alignment horizontal="center" vertical="center"/>
    </xf>
    <xf numFmtId="0" fontId="0" fillId="21" borderId="40" xfId="0" applyFill="1" applyBorder="1" applyAlignment="1">
      <alignment horizontal="center" vertical="center"/>
    </xf>
    <xf numFmtId="0" fontId="0" fillId="21" borderId="11" xfId="0" applyFill="1" applyBorder="1" applyAlignment="1">
      <alignment horizontal="center" vertical="center"/>
    </xf>
    <xf numFmtId="0" fontId="31" fillId="15" borderId="17" xfId="0" applyFont="1" applyFill="1" applyBorder="1" applyAlignment="1" applyProtection="1">
      <alignment horizontal="center"/>
      <protection locked="0"/>
    </xf>
    <xf numFmtId="0" fontId="31" fillId="15" borderId="27" xfId="0" applyFont="1" applyFill="1" applyBorder="1" applyAlignment="1" applyProtection="1">
      <alignment horizontal="center"/>
      <protection locked="0"/>
    </xf>
    <xf numFmtId="10" fontId="3" fillId="17" borderId="4" xfId="1" applyNumberFormat="1" applyFont="1" applyFill="1" applyBorder="1" applyAlignment="1" applyProtection="1">
      <alignment horizontal="center"/>
    </xf>
    <xf numFmtId="10" fontId="40" fillId="17" borderId="4" xfId="1" applyNumberFormat="1" applyFont="1" applyFill="1" applyBorder="1" applyAlignment="1" applyProtection="1">
      <alignment horizontal="center"/>
    </xf>
    <xf numFmtId="0" fontId="31" fillId="15" borderId="24" xfId="0" applyFont="1" applyFill="1" applyBorder="1" applyAlignment="1" applyProtection="1">
      <alignment horizontal="center" vertical="center" wrapText="1"/>
      <protection hidden="1"/>
    </xf>
    <xf numFmtId="0" fontId="31" fillId="15" borderId="60" xfId="0" applyFont="1" applyFill="1" applyBorder="1" applyAlignment="1" applyProtection="1">
      <alignment horizontal="center" vertical="center" wrapText="1"/>
      <protection hidden="1"/>
    </xf>
    <xf numFmtId="0" fontId="31" fillId="15" borderId="25" xfId="0" applyFont="1" applyFill="1" applyBorder="1" applyAlignment="1" applyProtection="1">
      <alignment horizontal="center" vertical="center" wrapText="1"/>
      <protection hidden="1"/>
    </xf>
    <xf numFmtId="0" fontId="0" fillId="0" borderId="4" xfId="0" applyBorder="1" applyAlignment="1" applyProtection="1">
      <alignment horizontal="center"/>
      <protection hidden="1"/>
    </xf>
    <xf numFmtId="0" fontId="40" fillId="32" borderId="4" xfId="0" applyFont="1" applyFill="1" applyBorder="1" applyAlignment="1">
      <alignment horizontal="center" vertical="center" wrapText="1"/>
    </xf>
    <xf numFmtId="0" fontId="40" fillId="27" borderId="4" xfId="0" applyFont="1" applyFill="1" applyBorder="1" applyAlignment="1">
      <alignment horizontal="left" vertical="center"/>
    </xf>
    <xf numFmtId="0" fontId="40" fillId="27" borderId="4" xfId="0" applyFont="1" applyFill="1" applyBorder="1" applyAlignment="1">
      <alignment horizontal="center" vertical="center"/>
    </xf>
    <xf numFmtId="0" fontId="3" fillId="0" borderId="4" xfId="0" applyFont="1" applyBorder="1" applyAlignment="1">
      <alignment horizontal="center" vertical="center"/>
    </xf>
    <xf numFmtId="0" fontId="3" fillId="0" borderId="4" xfId="0" applyFont="1" applyBorder="1" applyAlignment="1">
      <alignment horizontal="center"/>
    </xf>
    <xf numFmtId="0" fontId="3" fillId="28" borderId="4" xfId="0" applyFont="1" applyFill="1" applyBorder="1" applyAlignment="1">
      <alignment horizontal="left" vertical="center"/>
    </xf>
    <xf numFmtId="0" fontId="31" fillId="15" borderId="4" xfId="0" applyFont="1" applyFill="1" applyBorder="1" applyAlignment="1">
      <alignment horizontal="left" vertical="center" wrapText="1"/>
    </xf>
    <xf numFmtId="0" fontId="6" fillId="16" borderId="12" xfId="0" applyFont="1" applyFill="1" applyBorder="1" applyAlignment="1">
      <alignment horizontal="center" vertical="center"/>
    </xf>
    <xf numFmtId="0" fontId="0" fillId="16" borderId="13" xfId="0" applyFill="1" applyBorder="1" applyAlignment="1">
      <alignment horizontal="center" vertical="center"/>
    </xf>
    <xf numFmtId="0" fontId="6" fillId="29" borderId="13" xfId="0" applyFont="1" applyFill="1" applyBorder="1" applyAlignment="1">
      <alignment horizontal="center" vertical="center"/>
    </xf>
    <xf numFmtId="0" fontId="0" fillId="0" borderId="37" xfId="0" applyBorder="1" applyAlignment="1">
      <alignment horizontal="center"/>
    </xf>
    <xf numFmtId="0" fontId="0" fillId="0" borderId="25" xfId="0" applyBorder="1" applyAlignment="1">
      <alignment horizontal="center"/>
    </xf>
    <xf numFmtId="0" fontId="6" fillId="29" borderId="13" xfId="0" applyFont="1" applyFill="1" applyBorder="1" applyAlignment="1">
      <alignment horizontal="center" vertical="center" textRotation="90"/>
    </xf>
    <xf numFmtId="0" fontId="6" fillId="29" borderId="13" xfId="0" applyFont="1" applyFill="1" applyBorder="1" applyAlignment="1">
      <alignment horizontal="center" vertical="center" textRotation="90" wrapText="1"/>
    </xf>
    <xf numFmtId="0" fontId="35" fillId="11" borderId="18" xfId="0" applyFont="1" applyFill="1" applyBorder="1" applyAlignment="1">
      <alignment horizontal="left" vertical="top" wrapText="1"/>
    </xf>
    <xf numFmtId="0" fontId="35" fillId="11" borderId="28" xfId="0" applyFont="1" applyFill="1" applyBorder="1" applyAlignment="1">
      <alignment horizontal="left" vertical="top" wrapText="1"/>
    </xf>
    <xf numFmtId="0" fontId="35" fillId="11" borderId="14" xfId="0" applyFont="1" applyFill="1" applyBorder="1" applyAlignment="1">
      <alignment horizontal="left" vertical="top" wrapText="1"/>
    </xf>
    <xf numFmtId="0" fontId="35" fillId="11" borderId="29" xfId="0" applyFont="1" applyFill="1" applyBorder="1" applyAlignment="1">
      <alignment horizontal="left" vertical="top" wrapText="1"/>
    </xf>
    <xf numFmtId="0" fontId="35" fillId="11" borderId="16" xfId="0" applyFont="1" applyFill="1" applyBorder="1" applyAlignment="1">
      <alignment horizontal="left" vertical="top" wrapText="1"/>
    </xf>
    <xf numFmtId="0" fontId="35" fillId="11" borderId="10" xfId="0" applyFont="1" applyFill="1" applyBorder="1" applyAlignment="1">
      <alignment horizontal="left" vertical="top" wrapText="1"/>
    </xf>
    <xf numFmtId="0" fontId="9" fillId="11" borderId="18" xfId="0" applyFont="1" applyFill="1" applyBorder="1" applyAlignment="1">
      <alignment horizontal="left" vertical="top"/>
    </xf>
    <xf numFmtId="0" fontId="9" fillId="11" borderId="28" xfId="0" applyFont="1" applyFill="1" applyBorder="1" applyAlignment="1">
      <alignment horizontal="left" vertical="top"/>
    </xf>
    <xf numFmtId="0" fontId="9" fillId="11" borderId="14" xfId="0" applyFont="1" applyFill="1" applyBorder="1" applyAlignment="1">
      <alignment horizontal="left" vertical="top"/>
    </xf>
    <xf numFmtId="0" fontId="9" fillId="11" borderId="29" xfId="0" applyFont="1" applyFill="1" applyBorder="1" applyAlignment="1">
      <alignment horizontal="left" vertical="top"/>
    </xf>
    <xf numFmtId="0" fontId="9" fillId="11" borderId="16" xfId="0" applyFont="1" applyFill="1" applyBorder="1" applyAlignment="1">
      <alignment horizontal="left" vertical="top"/>
    </xf>
    <xf numFmtId="0" fontId="9" fillId="11" borderId="10" xfId="0" applyFont="1" applyFill="1" applyBorder="1" applyAlignment="1">
      <alignment horizontal="left" vertical="top"/>
    </xf>
    <xf numFmtId="0" fontId="0" fillId="0" borderId="38" xfId="0" applyBorder="1" applyAlignment="1">
      <alignment horizontal="center"/>
    </xf>
    <xf numFmtId="0" fontId="0" fillId="0" borderId="39" xfId="0" applyBorder="1" applyAlignment="1">
      <alignment horizontal="center"/>
    </xf>
    <xf numFmtId="0" fontId="6" fillId="16" borderId="13" xfId="0" applyFont="1" applyFill="1" applyBorder="1" applyAlignment="1">
      <alignment horizontal="center"/>
    </xf>
    <xf numFmtId="0" fontId="0" fillId="16" borderId="13" xfId="0" applyFill="1" applyBorder="1" applyAlignment="1">
      <alignment horizontal="center"/>
    </xf>
    <xf numFmtId="0" fontId="31" fillId="15" borderId="33" xfId="0" applyFont="1" applyFill="1" applyBorder="1" applyAlignment="1" applyProtection="1">
      <alignment horizontal="center" vertical="center" wrapText="1"/>
      <protection hidden="1"/>
    </xf>
    <xf numFmtId="0" fontId="31" fillId="15" borderId="23" xfId="0" applyFont="1" applyFill="1" applyBorder="1" applyAlignment="1" applyProtection="1">
      <alignment horizontal="center" vertical="center" wrapText="1"/>
      <protection hidden="1"/>
    </xf>
    <xf numFmtId="0" fontId="31" fillId="15" borderId="34" xfId="0" applyFont="1" applyFill="1" applyBorder="1" applyAlignment="1" applyProtection="1">
      <alignment horizontal="center" vertical="center" wrapText="1"/>
      <protection hidden="1"/>
    </xf>
    <xf numFmtId="0" fontId="31" fillId="15" borderId="36" xfId="0" applyFont="1" applyFill="1" applyBorder="1" applyAlignment="1" applyProtection="1">
      <alignment horizontal="center" vertical="center" wrapText="1"/>
      <protection hidden="1"/>
    </xf>
    <xf numFmtId="0" fontId="6" fillId="16" borderId="15" xfId="0" applyFont="1" applyFill="1" applyBorder="1" applyAlignment="1">
      <alignment horizontal="center" textRotation="90" wrapText="1"/>
    </xf>
    <xf numFmtId="0" fontId="6" fillId="16" borderId="40" xfId="0" applyFont="1" applyFill="1" applyBorder="1" applyAlignment="1">
      <alignment horizontal="center" textRotation="90" wrapText="1"/>
    </xf>
    <xf numFmtId="0" fontId="6" fillId="16" borderId="12" xfId="0" applyFont="1" applyFill="1" applyBorder="1" applyAlignment="1">
      <alignment horizontal="center" vertical="center" textRotation="90"/>
    </xf>
    <xf numFmtId="0" fontId="6" fillId="16" borderId="13" xfId="0" applyFont="1" applyFill="1" applyBorder="1" applyAlignment="1">
      <alignment horizontal="center" vertical="center" textRotation="90"/>
    </xf>
    <xf numFmtId="0" fontId="6" fillId="16" borderId="15" xfId="0" applyFont="1" applyFill="1" applyBorder="1" applyAlignment="1">
      <alignment horizontal="center" vertical="center" textRotation="90" wrapText="1"/>
    </xf>
    <xf numFmtId="0" fontId="6" fillId="16" borderId="40" xfId="0" applyFont="1" applyFill="1" applyBorder="1" applyAlignment="1">
      <alignment horizontal="center" vertical="center" textRotation="90" wrapText="1"/>
    </xf>
    <xf numFmtId="0" fontId="6" fillId="16" borderId="11" xfId="0" applyFont="1" applyFill="1" applyBorder="1" applyAlignment="1">
      <alignment horizontal="center" vertical="center" textRotation="90" wrapText="1"/>
    </xf>
    <xf numFmtId="0" fontId="6" fillId="16" borderId="13" xfId="0" applyFont="1" applyFill="1" applyBorder="1" applyAlignment="1">
      <alignment horizontal="center" vertical="center" textRotation="90" wrapText="1"/>
    </xf>
    <xf numFmtId="0" fontId="6" fillId="5" borderId="18" xfId="0" applyFont="1" applyFill="1" applyBorder="1" applyAlignment="1">
      <alignment horizontal="center" vertical="center"/>
    </xf>
    <xf numFmtId="0" fontId="6" fillId="5" borderId="14" xfId="0" applyFont="1" applyFill="1" applyBorder="1" applyAlignment="1">
      <alignment horizontal="center" vertical="center"/>
    </xf>
    <xf numFmtId="0" fontId="6" fillId="5" borderId="35" xfId="0" applyFont="1" applyFill="1" applyBorder="1" applyAlignment="1">
      <alignment horizontal="center" vertical="center"/>
    </xf>
    <xf numFmtId="0" fontId="6" fillId="5" borderId="42" xfId="0" applyFont="1" applyFill="1" applyBorder="1" applyAlignment="1">
      <alignment horizontal="center" vertical="center"/>
    </xf>
    <xf numFmtId="0" fontId="6" fillId="5" borderId="29" xfId="0" applyFont="1" applyFill="1" applyBorder="1" applyAlignment="1">
      <alignment horizontal="center" vertical="center"/>
    </xf>
    <xf numFmtId="0" fontId="6" fillId="5" borderId="10" xfId="0" applyFont="1" applyFill="1" applyBorder="1" applyAlignment="1">
      <alignment horizontal="center" vertical="center"/>
    </xf>
    <xf numFmtId="0" fontId="11" fillId="30" borderId="17" xfId="3" applyFont="1" applyFill="1" applyBorder="1" applyAlignment="1" applyProtection="1">
      <alignment horizontal="center"/>
      <protection locked="0"/>
    </xf>
    <xf numFmtId="0" fontId="11" fillId="30" borderId="27" xfId="3" applyFont="1" applyFill="1" applyBorder="1" applyAlignment="1" applyProtection="1">
      <alignment horizontal="center"/>
      <protection locked="0"/>
    </xf>
    <xf numFmtId="0" fontId="11" fillId="0" borderId="17" xfId="3" applyFont="1" applyBorder="1" applyAlignment="1">
      <alignment horizontal="center" vertical="center"/>
    </xf>
    <xf numFmtId="0" fontId="11" fillId="0" borderId="27" xfId="3" applyFont="1" applyBorder="1" applyAlignment="1">
      <alignment horizontal="center" vertical="center"/>
    </xf>
    <xf numFmtId="0" fontId="11" fillId="0" borderId="12" xfId="3" applyFont="1" applyBorder="1" applyAlignment="1">
      <alignment horizontal="center" vertical="center"/>
    </xf>
    <xf numFmtId="0" fontId="9" fillId="0" borderId="0" xfId="0" applyFont="1" applyAlignment="1">
      <alignment horizontal="left" wrapText="1"/>
    </xf>
    <xf numFmtId="0" fontId="11" fillId="7" borderId="17" xfId="3" applyFont="1" applyFill="1" applyBorder="1" applyAlignment="1" applyProtection="1">
      <alignment horizontal="center"/>
      <protection locked="0"/>
    </xf>
    <xf numFmtId="0" fontId="11" fillId="7" borderId="27" xfId="3" applyFont="1" applyFill="1" applyBorder="1" applyAlignment="1" applyProtection="1">
      <alignment horizontal="center"/>
      <protection locked="0"/>
    </xf>
  </cellXfs>
  <cellStyles count="5">
    <cellStyle name="Hyperlink" xfId="2" builtinId="8"/>
    <cellStyle name="Normal" xfId="0" builtinId="0"/>
    <cellStyle name="Normal 2" xfId="3" xr:uid="{00000000-0005-0000-0000-000020000000}"/>
    <cellStyle name="Normal 3" xfId="4" xr:uid="{00000000-0005-0000-0000-000025000000}"/>
    <cellStyle name="Percent" xfId="1" builtinId="5"/>
  </cellStyles>
  <dxfs count="235">
    <dxf>
      <font>
        <b val="0"/>
        <i val="0"/>
        <strike val="0"/>
        <u val="none"/>
        <sz val="10"/>
        <color auto="1"/>
        <name val="Arial"/>
        <scheme val="none"/>
      </font>
      <fill>
        <patternFill patternType="solid">
          <bgColor rgb="FFC3F9A5"/>
        </patternFill>
      </fill>
      <alignment horizontal="center"/>
      <border>
        <left style="medium">
          <color auto="1"/>
        </left>
        <right/>
        <top style="medium">
          <color auto="1"/>
        </top>
        <bottom style="medium">
          <color auto="1"/>
        </bottom>
      </border>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dxf>
    <dxf>
      <numFmt numFmtId="165" formatCode="[$-409]mmm/yy;@"/>
      <fill>
        <patternFill patternType="solid">
          <bgColor rgb="FFC3F9A5"/>
        </patternFill>
      </fill>
      <alignment horizontal="center"/>
      <border>
        <left style="medium">
          <color auto="1"/>
        </left>
        <right style="medium">
          <color auto="1"/>
        </right>
        <top style="medium">
          <color auto="1"/>
        </top>
        <bottom/>
      </border>
    </dxf>
    <dxf>
      <numFmt numFmtId="172" formatCode="d/mmm"/>
      <fill>
        <patternFill patternType="solid">
          <bgColor rgb="FFFFFF66"/>
        </patternFill>
      </fill>
      <alignment horizontal="center"/>
      <border>
        <left style="medium">
          <color auto="1"/>
        </left>
        <right style="medium">
          <color auto="1"/>
        </right>
        <top style="medium">
          <color auto="1"/>
        </top>
        <bottom style="medium">
          <color auto="1"/>
        </bottom>
      </border>
      <protection locked="0"/>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dxf>
    <dxf>
      <fill>
        <patternFill patternType="solid">
          <bgColor rgb="FFFFFF66"/>
        </patternFill>
      </fill>
      <alignment horizontal="center"/>
      <border>
        <left style="medium">
          <color auto="1"/>
        </left>
        <right style="medium">
          <color auto="1"/>
        </right>
        <top style="medium">
          <color auto="1"/>
        </top>
        <bottom style="medium">
          <color auto="1"/>
        </bottom>
      </border>
      <protection locked="0"/>
    </dxf>
    <dxf>
      <font>
        <b/>
        <i val="0"/>
        <strike val="0"/>
        <u val="none"/>
        <sz val="11"/>
        <color auto="1"/>
        <name val="Calibri"/>
        <scheme val="none"/>
      </font>
      <fill>
        <patternFill patternType="solid">
          <bgColor rgb="FFFFFF66"/>
        </patternFill>
      </fill>
      <alignment horizontal="center" vertical="center" wrapText="1"/>
      <border>
        <left style="medium">
          <color auto="1"/>
        </left>
        <right style="medium">
          <color auto="1"/>
        </right>
        <top style="medium">
          <color auto="1"/>
        </top>
        <bottom style="medium">
          <color auto="1"/>
        </bottom>
      </border>
      <protection locked="0"/>
    </dxf>
    <dxf>
      <font>
        <b/>
        <i val="0"/>
        <strike val="0"/>
        <u val="none"/>
        <sz val="11"/>
        <color auto="1"/>
        <name val="Calibri"/>
        <scheme val="none"/>
      </font>
      <fill>
        <patternFill patternType="solid">
          <bgColor rgb="FFFFFF66"/>
        </patternFill>
      </fill>
      <alignment horizontal="center" vertical="center" wrapText="1"/>
      <border>
        <left/>
        <right style="medium">
          <color auto="1"/>
        </right>
        <top style="medium">
          <color auto="1"/>
        </top>
        <bottom style="medium">
          <color auto="1"/>
        </bottom>
      </border>
      <protection locked="0"/>
    </dxf>
    <dxf>
      <fill>
        <patternFill patternType="solid">
          <bgColor rgb="FFC3F9A5"/>
        </patternFill>
      </fill>
      <alignment horizontal="center" wrapText="1"/>
      <border>
        <left style="thin">
          <color auto="1"/>
        </left>
        <right style="thin">
          <color auto="1"/>
        </right>
        <top style="thin">
          <color auto="1"/>
        </top>
        <bottom style="thin">
          <color auto="1"/>
        </bottom>
      </border>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fill>
        <patternFill patternType="solid">
          <bgColor rgb="FFC3F9A5"/>
        </patternFill>
      </fill>
      <alignment horizontal="center" wrapText="1"/>
      <border>
        <left style="thin">
          <color auto="1"/>
        </left>
        <right style="thin">
          <color auto="1"/>
        </right>
        <top style="thin">
          <color auto="1"/>
        </top>
        <bottom style="thin">
          <color auto="1"/>
        </bottom>
      </border>
    </dxf>
    <dxf>
      <fill>
        <patternFill patternType="solid">
          <bgColor rgb="FFC3F9A5"/>
        </patternFill>
      </fill>
      <alignment horizontal="center" wrapText="1"/>
      <border>
        <left style="thin">
          <color auto="1"/>
        </left>
        <right style="thin">
          <color auto="1"/>
        </right>
        <top style="thin">
          <color auto="1"/>
        </top>
        <bottom style="thin">
          <color auto="1"/>
        </bottom>
      </border>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numFmt numFmtId="0" formatCode="General"/>
      <fill>
        <patternFill patternType="solid">
          <bgColor rgb="FFC3F9A5"/>
        </patternFill>
      </fill>
      <alignment horizontal="center" wrapText="1"/>
      <border>
        <left style="thin">
          <color auto="1"/>
        </left>
        <right style="thin">
          <color auto="1"/>
        </right>
        <top style="thin">
          <color auto="1"/>
        </top>
        <bottom style="thin">
          <color auto="1"/>
        </bottom>
      </border>
    </dxf>
    <dxf>
      <numFmt numFmtId="165" formatCode="[$-409]mmm/yy;@"/>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fill>
        <patternFill patternType="solid">
          <bgColor rgb="FFFFFF66"/>
        </patternFill>
      </fill>
      <alignment horizontal="center" wrapText="1"/>
      <border>
        <left style="thin">
          <color auto="1"/>
        </left>
        <right style="thin">
          <color auto="1"/>
        </right>
        <top style="thin">
          <color auto="1"/>
        </top>
        <bottom style="thin">
          <color auto="1"/>
        </bottom>
      </border>
      <protection locked="0"/>
    </dxf>
    <dxf>
      <numFmt numFmtId="14" formatCode="0.00%"/>
      <fill>
        <patternFill patternType="solid">
          <bgColor rgb="FFC3F9A5"/>
        </patternFill>
      </fill>
      <alignment horizontal="center"/>
      <border>
        <left style="thin">
          <color auto="1"/>
        </left>
        <right/>
        <top style="thin">
          <color auto="1"/>
        </top>
        <bottom style="thin">
          <color auto="1"/>
        </bottom>
      </border>
    </dxf>
    <dxf>
      <numFmt numFmtId="14" formatCode="0.00%"/>
      <fill>
        <patternFill patternType="solid">
          <bgColor rgb="FFC3F9A5"/>
        </patternFill>
      </fill>
      <alignment horizontal="center"/>
      <border>
        <left style="thin">
          <color auto="1"/>
        </left>
        <right style="thin">
          <color auto="1"/>
        </right>
        <top style="thin">
          <color auto="1"/>
        </top>
        <bottom style="thin">
          <color auto="1"/>
        </bottom>
      </border>
    </dxf>
    <dxf>
      <fill>
        <patternFill patternType="solid">
          <bgColor rgb="FFE7B14F"/>
        </patternFill>
      </fill>
      <alignment horizontal="center"/>
      <border>
        <left/>
        <right style="thin">
          <color auto="1"/>
        </right>
        <top style="thin">
          <color auto="1"/>
        </top>
        <bottom style="thin">
          <color auto="1"/>
        </bottom>
      </border>
      <protection locked="0"/>
    </dxf>
    <dxf>
      <numFmt numFmtId="14" formatCode="0.00%"/>
      <fill>
        <patternFill patternType="solid">
          <bgColor rgb="FFC3F9A5"/>
        </patternFill>
      </fill>
      <alignment horizontal="center"/>
      <border>
        <left style="thin">
          <color auto="1"/>
        </left>
        <right style="thin">
          <color auto="1"/>
        </right>
        <top style="thin">
          <color auto="1"/>
        </top>
        <bottom style="thin">
          <color auto="1"/>
        </bottom>
      </border>
    </dxf>
    <dxf>
      <numFmt numFmtId="14" formatCode="0.00%"/>
      <fill>
        <patternFill patternType="solid">
          <bgColor rgb="FFC3F9A5"/>
        </patternFill>
      </fill>
      <alignment horizontal="center"/>
      <border>
        <left style="thin">
          <color auto="1"/>
        </left>
        <right style="thin">
          <color auto="1"/>
        </right>
        <top style="thin">
          <color auto="1"/>
        </top>
        <bottom style="thin">
          <color auto="1"/>
        </bottom>
      </border>
    </dxf>
    <dxf>
      <numFmt numFmtId="0" formatCode="General"/>
      <fill>
        <patternFill patternType="solid">
          <bgColor rgb="FFE7B14F"/>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7B14F"/>
        </patternFill>
      </fill>
      <alignment horizontal="center"/>
      <border>
        <left style="thin">
          <color auto="1"/>
        </left>
        <right style="thin">
          <color auto="1"/>
        </right>
        <top style="thin">
          <color auto="1"/>
        </top>
        <bottom style="thin">
          <color auto="1"/>
        </bottom>
      </border>
      <protection locked="0"/>
    </dxf>
    <dxf>
      <numFmt numFmtId="167" formatCode="[$-409]d/mmm/yy;@"/>
      <fill>
        <patternFill patternType="solid">
          <bgColor rgb="FFC3F9A5"/>
        </patternFill>
      </fill>
      <border>
        <left style="thin">
          <color auto="1"/>
        </left>
        <right style="thin">
          <color auto="1"/>
        </right>
        <top style="thin">
          <color auto="1"/>
        </top>
        <bottom style="thin">
          <color auto="1"/>
        </bottom>
      </border>
    </dxf>
    <dxf>
      <font>
        <sz val="8"/>
        <color indexed="18"/>
        <name val="Verdana"/>
        <scheme val="none"/>
      </font>
      <numFmt numFmtId="0" formatCode="General"/>
      <fill>
        <patternFill patternType="solid">
          <bgColor rgb="FFC3F9A5"/>
        </patternFill>
      </fill>
      <alignment horizont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alignment horizontal="center"/>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C3F9A5"/>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C3F9A5"/>
        </patternFill>
      </fill>
      <alignment horizontal="center"/>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alignment horizontal="center"/>
      <border>
        <left style="thin">
          <color auto="1"/>
        </left>
        <right style="thin">
          <color auto="1"/>
        </right>
        <top style="thin">
          <color auto="1"/>
        </top>
        <bottom style="thin">
          <color auto="1"/>
        </bottom>
      </border>
      <protection locked="0"/>
    </dxf>
    <dxf>
      <numFmt numFmtId="0" formatCode="General"/>
      <alignment horizontal="center"/>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border>
        <left style="thin">
          <color auto="1"/>
        </left>
        <right style="thin">
          <color auto="1"/>
        </right>
        <top style="thin">
          <color auto="1"/>
        </top>
        <bottom style="thin">
          <color auto="1"/>
        </bottom>
      </border>
      <protection locked="0"/>
    </dxf>
    <dxf>
      <alignment horizontal="center"/>
      <border>
        <left style="thin">
          <color auto="1"/>
        </left>
        <right style="thin">
          <color auto="1"/>
        </right>
        <top style="thin">
          <color auto="1"/>
        </top>
        <bottom style="thin">
          <color auto="1"/>
        </bottom>
      </border>
      <protection locked="0"/>
    </dxf>
    <dxf>
      <alignment horizontal="center"/>
      <border>
        <left style="thin">
          <color auto="1"/>
        </left>
        <right style="thin">
          <color auto="1"/>
        </right>
        <top style="thin">
          <color auto="1"/>
        </top>
        <bottom style="thin">
          <color auto="1"/>
        </bottom>
      </border>
      <protection locked="0"/>
    </dxf>
    <dxf>
      <numFmt numFmtId="19" formatCode="m/d/yyyy"/>
      <fill>
        <patternFill patternType="solid">
          <bgColor rgb="FFC3F9A5"/>
        </patternFill>
      </fill>
      <alignment horizontal="center"/>
    </dxf>
    <dxf>
      <numFmt numFmtId="0" formatCode="General"/>
      <fill>
        <patternFill patternType="solid">
          <bgColor rgb="FFEFCC8D"/>
        </patternFill>
      </fill>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alignment horizontal="center"/>
      <protection locked="0"/>
    </dxf>
    <dxf>
      <font>
        <b val="0"/>
        <i val="0"/>
        <strike val="0"/>
        <u val="none"/>
        <sz val="8"/>
        <color auto="1"/>
        <name val="Verdana"/>
        <scheme val="none"/>
      </font>
      <numFmt numFmtId="14" formatCode="0.00%"/>
      <fill>
        <patternFill patternType="solid">
          <bgColor rgb="FFC3F9A5"/>
        </patternFill>
      </fill>
      <alignment horizontal="center"/>
    </dxf>
    <dxf>
      <font>
        <b val="0"/>
        <i val="0"/>
        <strike val="0"/>
        <u val="none"/>
        <sz val="8"/>
        <color auto="1"/>
        <name val="Verdana"/>
        <scheme val="none"/>
      </font>
      <numFmt numFmtId="14" formatCode="0.00%"/>
      <fill>
        <patternFill patternType="solid">
          <bgColor rgb="FFC3F9A5"/>
        </patternFill>
      </fill>
      <alignment horizontal="center"/>
    </dxf>
    <dxf>
      <font>
        <b val="0"/>
        <i val="0"/>
        <strike val="0"/>
        <u val="none"/>
        <sz val="8"/>
        <color indexed="18"/>
        <name val="Verdana"/>
        <scheme val="none"/>
      </font>
      <numFmt numFmtId="171" formatCode="mmm"/>
      <fill>
        <patternFill patternType="solid">
          <bgColor rgb="FFC3F9A5"/>
        </patternFill>
      </fill>
      <alignment horizontal="center"/>
    </dxf>
    <dxf>
      <font>
        <b val="0"/>
        <i val="0"/>
        <strike val="0"/>
        <u val="none"/>
        <sz val="8"/>
        <color indexed="18"/>
        <name val="Verdana"/>
        <scheme val="none"/>
      </font>
      <numFmt numFmtId="14" formatCode="0.00%"/>
      <fill>
        <patternFill patternType="solid">
          <bgColor rgb="FFC3F9A5"/>
        </patternFill>
      </fill>
      <alignment horizontal="center"/>
    </dxf>
    <dxf>
      <font>
        <b val="0"/>
        <i val="0"/>
        <strike val="0"/>
        <u val="none"/>
        <sz val="8"/>
        <color indexed="18"/>
        <name val="Verdana"/>
        <scheme val="none"/>
      </font>
      <numFmt numFmtId="2" formatCode="0.00"/>
      <fill>
        <patternFill patternType="none"/>
      </fill>
      <alignment horizontal="center"/>
      <protection locked="0"/>
    </dxf>
    <dxf>
      <font>
        <b val="0"/>
        <i val="0"/>
        <strike val="0"/>
        <u val="none"/>
        <sz val="8"/>
        <color indexed="18"/>
        <name val="Verdana"/>
        <scheme val="none"/>
      </font>
      <numFmt numFmtId="1" formatCode="0"/>
      <fill>
        <patternFill patternType="none"/>
      </fill>
      <alignment horizontal="center"/>
      <protection locked="0"/>
    </dxf>
    <dxf>
      <font>
        <b val="0"/>
        <i val="0"/>
        <strike val="0"/>
        <u val="none"/>
        <sz val="8"/>
        <color indexed="18"/>
        <name val="Verdana"/>
        <scheme val="none"/>
      </font>
      <numFmt numFmtId="1" formatCode="0"/>
      <fill>
        <patternFill patternType="none"/>
      </fill>
      <alignment horizontal="center"/>
      <protection locked="0"/>
    </dxf>
    <dxf>
      <font>
        <b val="0"/>
        <i val="0"/>
        <strike val="0"/>
        <u val="none"/>
        <sz val="8"/>
        <color indexed="18"/>
        <name val="Verdana"/>
        <scheme val="none"/>
      </font>
      <numFmt numFmtId="2" formatCode="0.00"/>
      <fill>
        <patternFill patternType="none"/>
      </fill>
      <alignment horizontal="center"/>
      <protection locked="0"/>
    </dxf>
    <dxf>
      <font>
        <b val="0"/>
        <i val="0"/>
        <strike val="0"/>
        <u val="none"/>
        <sz val="8"/>
        <color indexed="18"/>
        <name val="Verdana"/>
        <scheme val="none"/>
      </font>
      <numFmt numFmtId="2" formatCode="0.00"/>
      <alignment horizontal="center"/>
      <protection locked="0"/>
    </dxf>
    <dxf>
      <font>
        <b val="0"/>
        <i val="0"/>
        <strike val="0"/>
        <u val="none"/>
        <sz val="8"/>
        <color indexed="18"/>
        <name val="Verdana"/>
        <scheme val="none"/>
      </font>
      <numFmt numFmtId="167" formatCode="[$-409]d/mmm/yy;@"/>
      <protection locked="0"/>
    </dxf>
    <dxf>
      <font>
        <b val="0"/>
        <i val="0"/>
        <strike val="0"/>
        <u val="none"/>
        <sz val="8"/>
        <color indexed="18"/>
        <name val="Verdana"/>
        <scheme val="none"/>
      </font>
      <numFmt numFmtId="167" formatCode="[$-409]d/mmm/yy;@"/>
      <protection locked="0"/>
    </dxf>
    <dxf>
      <font>
        <b val="0"/>
        <i val="0"/>
        <strike val="0"/>
        <u val="none"/>
        <sz val="8"/>
        <color indexed="18"/>
        <name val="Verdana"/>
        <scheme val="none"/>
      </font>
      <numFmt numFmtId="2" formatCode="0.00"/>
      <alignment horizontal="center"/>
      <protection locked="0"/>
    </dxf>
    <dxf>
      <font>
        <b val="0"/>
        <i val="0"/>
        <strike val="0"/>
        <u val="none"/>
        <sz val="8"/>
        <color indexed="18"/>
        <name val="Verdana"/>
        <scheme val="none"/>
      </font>
      <numFmt numFmtId="167" formatCode="[$-409]d/mmm/yy;@"/>
      <alignment horizontal="center"/>
      <protection locked="0"/>
    </dxf>
    <dxf>
      <font>
        <b val="0"/>
        <i val="0"/>
        <strike val="0"/>
        <u val="none"/>
        <sz val="8"/>
        <color indexed="18"/>
        <name val="Verdana"/>
        <scheme val="none"/>
      </font>
      <numFmt numFmtId="167" formatCode="[$-409]d/mmm/yy;@"/>
      <alignment horizontal="center"/>
      <protection locked="0"/>
    </dxf>
    <dxf>
      <font>
        <b val="0"/>
        <i val="0"/>
        <strike val="0"/>
        <u val="none"/>
        <sz val="8"/>
        <color indexed="18"/>
        <name val="Verdana"/>
        <scheme val="none"/>
      </font>
      <numFmt numFmtId="2" formatCode="0.00"/>
      <alignment horizontal="center"/>
      <protection locked="0"/>
    </dxf>
    <dxf>
      <font>
        <b val="0"/>
        <i val="0"/>
        <strike val="0"/>
        <u val="none"/>
        <sz val="8"/>
        <color indexed="18"/>
        <name val="Verdana"/>
        <scheme val="none"/>
      </font>
      <numFmt numFmtId="14" formatCode="0.00%"/>
      <fill>
        <patternFill patternType="none"/>
      </fill>
      <protection locked="0"/>
    </dxf>
    <dxf>
      <font>
        <b val="0"/>
        <i val="0"/>
        <strike val="0"/>
        <u val="none"/>
        <sz val="8"/>
        <color indexed="18"/>
        <name val="Verdana"/>
        <scheme val="none"/>
      </font>
      <numFmt numFmtId="0" formatCode="General"/>
      <fill>
        <patternFill patternType="none"/>
      </fill>
      <protection locked="0"/>
    </dxf>
    <dxf>
      <font>
        <b val="0"/>
        <i val="0"/>
        <strike val="0"/>
        <u val="none"/>
        <sz val="8"/>
        <color indexed="18"/>
        <name val="Verdana"/>
        <scheme val="none"/>
      </font>
      <numFmt numFmtId="14" formatCode="0.00%"/>
      <fill>
        <patternFill patternType="none"/>
      </fill>
      <protection locked="0"/>
    </dxf>
    <dxf>
      <font>
        <b val="0"/>
        <i val="0"/>
        <strike val="0"/>
        <u val="none"/>
        <sz val="8"/>
        <color indexed="18"/>
        <name val="Verdana"/>
        <scheme val="none"/>
      </font>
      <numFmt numFmtId="0" formatCode="General"/>
      <protection locked="0"/>
    </dxf>
    <dxf>
      <font>
        <b val="0"/>
        <i val="0"/>
        <strike val="0"/>
        <u val="none"/>
        <sz val="8"/>
        <color indexed="18"/>
        <name val="Verdana"/>
        <scheme val="none"/>
      </font>
      <numFmt numFmtId="0" formatCode="General"/>
      <alignment horizontal="center"/>
      <protection locked="0"/>
    </dxf>
    <dxf>
      <numFmt numFmtId="0" formatCode="General"/>
      <fill>
        <patternFill patternType="solid">
          <bgColor rgb="FFC3F9A5"/>
        </patternFill>
      </fill>
      <alignment horizontal="center"/>
      <border>
        <left style="thin">
          <color auto="1"/>
        </left>
        <right style="thin">
          <color auto="1"/>
        </right>
        <top style="thin">
          <color auto="1"/>
        </top>
        <bottom style="thin">
          <color auto="1"/>
        </bottom>
      </border>
    </dxf>
    <dxf>
      <numFmt numFmtId="13" formatCode="0%"/>
      <fill>
        <patternFill patternType="solid">
          <bgColor rgb="FFC3F9A5"/>
        </patternFill>
      </fill>
      <alignment horizontal="center"/>
      <border>
        <left style="thin">
          <color auto="1"/>
        </left>
        <right/>
        <top style="thin">
          <color auto="1"/>
        </top>
        <bottom style="thin">
          <color auto="1"/>
        </bottom>
      </border>
    </dxf>
    <dxf>
      <numFmt numFmtId="0" formatCode="General"/>
      <fill>
        <patternFill patternType="solid">
          <bgColor rgb="FFC3F9A5"/>
        </patternFill>
      </fill>
      <alignment horizontal="center"/>
      <border>
        <left style="thin">
          <color auto="1"/>
        </left>
        <right/>
        <top style="thin">
          <color auto="1"/>
        </top>
        <bottom style="thin">
          <color auto="1"/>
        </bottom>
      </border>
    </dxf>
    <dxf>
      <numFmt numFmtId="0" formatCode="General"/>
      <fill>
        <patternFill patternType="solid">
          <bgColor rgb="FFC3F9A5"/>
        </patternFill>
      </fill>
      <alignment horizontal="center"/>
      <border>
        <left style="thin">
          <color auto="1"/>
        </left>
        <right/>
        <top style="thin">
          <color auto="1"/>
        </top>
        <bottom style="thin">
          <color auto="1"/>
        </bottom>
      </border>
    </dxf>
    <dxf>
      <numFmt numFmtId="0" formatCode="General"/>
      <fill>
        <patternFill patternType="solid">
          <bgColor rgb="FFC3F9A5"/>
        </patternFill>
      </fill>
      <alignment horizontal="center"/>
      <border>
        <left style="thin">
          <color auto="1"/>
        </left>
        <right/>
        <top style="thin">
          <color auto="1"/>
        </top>
        <bottom style="thin">
          <color auto="1"/>
        </bottom>
      </border>
    </dxf>
    <dxf>
      <numFmt numFmtId="0" formatCode="General"/>
      <fill>
        <patternFill patternType="solid">
          <bgColor rgb="FFC3F9A5"/>
        </patternFill>
      </fill>
      <alignment horizontal="center"/>
      <border>
        <left/>
        <right/>
        <top style="thin">
          <color auto="1"/>
        </top>
        <bottom style="thin">
          <color auto="1"/>
        </bottom>
      </border>
    </dxf>
    <dxf>
      <numFmt numFmtId="2" formatCode="0.00"/>
      <fill>
        <patternFill patternType="solid">
          <bgColor rgb="FFC3F9A5"/>
        </patternFill>
      </fill>
      <alignment horizontal="center"/>
      <border>
        <left/>
        <right/>
        <top style="thin">
          <color auto="1"/>
        </top>
        <bottom style="thin">
          <color auto="1"/>
        </bottom>
      </border>
    </dxf>
    <dxf>
      <numFmt numFmtId="2" formatCode="0.00"/>
      <fill>
        <patternFill patternType="solid">
          <bgColor rgb="FFC3F9A5"/>
        </patternFill>
      </fill>
      <alignment horizontal="center"/>
      <border>
        <left style="thin">
          <color auto="1"/>
        </left>
        <right style="thin">
          <color auto="1"/>
        </right>
        <top style="thin">
          <color auto="1"/>
        </top>
        <bottom style="thin">
          <color auto="1"/>
        </bottom>
      </border>
    </dxf>
    <dxf>
      <numFmt numFmtId="13" formatCode="0%"/>
      <fill>
        <patternFill patternType="solid">
          <bgColor rgb="FFC3F9A5"/>
        </patternFill>
      </fill>
      <alignment horizontal="center"/>
      <border>
        <left/>
        <right style="thin">
          <color auto="1"/>
        </right>
        <top style="thin">
          <color auto="1"/>
        </top>
        <bottom style="thin">
          <color auto="1"/>
        </bottom>
      </border>
    </dxf>
    <dxf>
      <numFmt numFmtId="14" formatCode="0.00%"/>
      <fill>
        <patternFill patternType="solid">
          <bgColor rgb="FFC3F9A5"/>
        </patternFill>
      </fill>
      <alignment horizontal="center"/>
      <border>
        <left/>
        <right/>
        <top style="thin">
          <color auto="1"/>
        </top>
        <bottom style="thin">
          <color auto="1"/>
        </bottom>
      </border>
    </dxf>
    <dxf>
      <numFmt numFmtId="2" formatCode="0.00"/>
      <fill>
        <patternFill patternType="solid">
          <bgColor rgb="FFC3F9A5"/>
        </patternFill>
      </fill>
      <alignment horizontal="center"/>
      <border>
        <left/>
        <right style="thin">
          <color auto="1"/>
        </right>
        <top style="thin">
          <color auto="1"/>
        </top>
        <bottom style="thin">
          <color auto="1"/>
        </bottom>
      </border>
    </dxf>
    <dxf>
      <numFmt numFmtId="2" formatCode="0.00"/>
      <fill>
        <patternFill patternType="solid">
          <bgColor rgb="FFC3F9A5"/>
        </patternFill>
      </fill>
      <alignment horizontal="center"/>
      <border>
        <left style="thin">
          <color auto="1"/>
        </left>
        <right style="thin">
          <color auto="1"/>
        </right>
        <top style="thin">
          <color auto="1"/>
        </top>
        <bottom style="thin">
          <color auto="1"/>
        </bottom>
      </border>
    </dxf>
    <dxf>
      <numFmt numFmtId="0" formatCode="General"/>
      <fill>
        <patternFill patternType="solid">
          <bgColor rgb="FFC3F9A5"/>
        </patternFill>
      </fill>
      <alignment horizontal="center"/>
      <border>
        <left style="thin">
          <color auto="1"/>
        </left>
        <right style="thin">
          <color auto="1"/>
        </right>
        <top style="thin">
          <color auto="1"/>
        </top>
        <bottom style="thin">
          <color auto="1"/>
        </bottom>
      </border>
    </dxf>
    <dxf>
      <numFmt numFmtId="0" formatCode="General"/>
      <fill>
        <patternFill patternType="solid">
          <bgColor rgb="FFC3F9A5"/>
        </patternFill>
      </fill>
      <alignment horizontal="center"/>
      <border>
        <left style="thin">
          <color auto="1"/>
        </left>
        <right style="thin">
          <color auto="1"/>
        </right>
        <top style="thin">
          <color auto="1"/>
        </top>
        <bottom style="thin">
          <color auto="1"/>
        </bottom>
      </border>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numFmt numFmtId="0" formatCode="General"/>
      <fill>
        <patternFill patternType="solid">
          <bgColor rgb="FFEFCC8D"/>
        </patternFill>
      </fill>
      <alignment horizontal="center"/>
      <border>
        <left style="thin">
          <color auto="1"/>
        </left>
        <right style="thin">
          <color auto="1"/>
        </right>
        <top style="thin">
          <color auto="1"/>
        </top>
        <bottom style="thin">
          <color auto="1"/>
        </bottom>
      </border>
      <protection locked="0"/>
    </dxf>
    <dxf>
      <fill>
        <patternFill patternType="solid">
          <bgColor rgb="FFFFFF66"/>
        </patternFill>
      </fill>
      <alignment horizontal="center"/>
      <border>
        <left style="thin">
          <color auto="1"/>
        </left>
        <right style="thin">
          <color auto="1"/>
        </right>
        <top style="thin">
          <color auto="1"/>
        </top>
        <bottom style="thin">
          <color auto="1"/>
        </bottom>
      </border>
      <protection locked="0"/>
    </dxf>
    <dxf>
      <fill>
        <patternFill patternType="solid">
          <bgColor rgb="FFFFFF66"/>
        </patternFill>
      </fill>
      <alignment horizontal="center"/>
      <border>
        <left style="thin">
          <color auto="1"/>
        </left>
        <right style="thin">
          <color auto="1"/>
        </right>
        <top style="thin">
          <color auto="1"/>
        </top>
        <bottom style="thin">
          <color auto="1"/>
        </bottom>
      </border>
      <protection locked="0"/>
    </dxf>
    <dxf>
      <fill>
        <patternFill patternType="solid">
          <bgColor rgb="FFFFFF66"/>
        </patternFill>
      </fill>
      <alignment horizontal="center"/>
      <border>
        <left style="thin">
          <color auto="1"/>
        </left>
        <right style="thin">
          <color auto="1"/>
        </right>
        <top style="thin">
          <color auto="1"/>
        </top>
        <bottom style="thin">
          <color auto="1"/>
        </bottom>
      </border>
      <protection locked="0"/>
    </dxf>
    <dxf>
      <fill>
        <patternFill patternType="solid">
          <bgColor rgb="FFFFFF66"/>
        </patternFill>
      </fill>
      <alignment horizontal="center"/>
      <border>
        <left/>
        <right style="thin">
          <color auto="1"/>
        </right>
        <top style="thin">
          <color auto="1"/>
        </top>
        <bottom style="thin">
          <color auto="1"/>
        </bottom>
      </border>
      <protection locked="0"/>
    </dxf>
    <dxf>
      <fill>
        <patternFill patternType="solid">
          <bgColor rgb="FFFFFF66"/>
        </patternFill>
      </fill>
      <alignment horizontal="center"/>
      <border>
        <left/>
        <right style="thin">
          <color auto="1"/>
        </right>
        <top style="thin">
          <color auto="1"/>
        </top>
        <bottom style="thin">
          <color auto="1"/>
        </bottom>
      </border>
      <protection locked="0"/>
    </dxf>
    <dxf>
      <numFmt numFmtId="2" formatCode="0.00"/>
      <fill>
        <patternFill patternType="solid">
          <bgColor rgb="FFC3F9A5"/>
        </patternFill>
      </fill>
      <alignment horizontal="center"/>
      <border>
        <left style="thin">
          <color auto="1"/>
        </left>
        <right style="thin">
          <color auto="1"/>
        </right>
        <top style="thin">
          <color auto="1"/>
        </top>
        <bottom style="thin">
          <color auto="1"/>
        </bottom>
      </border>
    </dxf>
    <dxf>
      <numFmt numFmtId="2" formatCode="0.00"/>
      <fill>
        <patternFill patternType="solid">
          <bgColor rgb="FFC3F9A5"/>
        </patternFill>
      </fill>
      <alignment horizontal="center"/>
      <border>
        <left style="thin">
          <color auto="1"/>
        </left>
        <right style="thin">
          <color auto="1"/>
        </right>
        <top style="thin">
          <color auto="1"/>
        </top>
        <bottom style="thin">
          <color auto="1"/>
        </bottom>
      </border>
    </dxf>
    <dxf>
      <fill>
        <patternFill patternType="solid">
          <bgColor rgb="FFFFFF66"/>
        </patternFill>
      </fill>
      <alignment horizontal="center"/>
      <border>
        <left style="thin">
          <color auto="1"/>
        </left>
        <right style="thin">
          <color auto="1"/>
        </right>
        <top style="thin">
          <color auto="1"/>
        </top>
        <bottom style="thin">
          <color auto="1"/>
        </bottom>
      </border>
      <protection locked="0"/>
    </dxf>
    <dxf>
      <fill>
        <patternFill patternType="solid">
          <bgColor rgb="FFFFFF66"/>
        </patternFill>
      </fill>
      <alignment horizontal="center"/>
      <border>
        <left style="thin">
          <color auto="1"/>
        </left>
        <right style="thin">
          <color auto="1"/>
        </right>
        <top style="thin">
          <color auto="1"/>
        </top>
        <bottom style="thin">
          <color auto="1"/>
        </bottom>
      </border>
      <protection locked="0"/>
    </dxf>
    <dxf>
      <fill>
        <patternFill patternType="solid">
          <bgColor rgb="FFFFFF66"/>
        </patternFill>
      </fill>
      <alignment horizontal="center"/>
      <border>
        <left style="thin">
          <color auto="1"/>
        </left>
        <right style="thin">
          <color auto="1"/>
        </right>
        <top style="thin">
          <color auto="1"/>
        </top>
        <bottom style="thin">
          <color auto="1"/>
        </bottom>
      </border>
      <protection locked="0"/>
    </dxf>
    <dxf>
      <fill>
        <patternFill patternType="solid">
          <bgColor rgb="FFFFFF66"/>
        </patternFill>
      </fill>
      <border>
        <left style="thin">
          <color auto="1"/>
        </left>
        <right style="thin">
          <color auto="1"/>
        </right>
        <top style="thin">
          <color auto="1"/>
        </top>
        <bottom style="thin">
          <color auto="1"/>
        </bottom>
      </border>
      <protection locked="0"/>
    </dxf>
    <dxf>
      <font>
        <b/>
        <i val="0"/>
        <color theme="9"/>
      </font>
    </dxf>
    <dxf>
      <font>
        <b/>
        <i val="0"/>
        <color rgb="FFFF0000"/>
      </font>
    </dxf>
    <dxf>
      <font>
        <b/>
        <i val="0"/>
        <color rgb="FF00B050"/>
      </font>
    </dxf>
    <dxf>
      <font>
        <b/>
        <i val="0"/>
        <color rgb="FFFF0000"/>
      </font>
    </dxf>
    <dxf>
      <font>
        <b/>
        <i val="0"/>
        <color theme="9" tint="-0.24994659260841701"/>
      </font>
    </dxf>
    <dxf>
      <font>
        <b/>
        <i val="0"/>
        <color rgb="FF00B050"/>
      </font>
    </dxf>
    <dxf>
      <font>
        <b/>
        <i val="0"/>
        <color rgb="FFFF0000"/>
      </font>
    </dxf>
    <dxf>
      <font>
        <color rgb="FF00B050"/>
      </font>
    </dxf>
    <dxf>
      <font>
        <color rgb="FFFF0000"/>
      </font>
    </dxf>
    <dxf>
      <font>
        <color theme="9" tint="-0.24994659260841701"/>
      </font>
    </dxf>
    <dxf>
      <font>
        <color rgb="FF00B050"/>
      </font>
    </dxf>
    <dxf>
      <font>
        <color rgb="FFFF0000"/>
      </font>
    </dxf>
    <dxf>
      <font>
        <color theme="9" tint="-0.24994659260841701"/>
      </font>
    </dxf>
    <dxf>
      <font>
        <b/>
        <i val="0"/>
        <color theme="9"/>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color rgb="FF00B050"/>
      </font>
    </dxf>
    <dxf>
      <font>
        <color rgb="FFFF0000"/>
      </font>
    </dxf>
    <dxf>
      <font>
        <color theme="9" tint="-0.24994659260841701"/>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theme="9"/>
      </font>
    </dxf>
    <dxf>
      <font>
        <b/>
        <i val="0"/>
        <color rgb="FFFF0000"/>
      </font>
    </dxf>
    <dxf>
      <font>
        <b/>
        <i val="0"/>
        <color rgb="FF00B050"/>
      </font>
    </dxf>
    <dxf>
      <font>
        <b/>
        <i val="0"/>
        <color rgb="FFFF0000"/>
      </font>
    </dxf>
    <dxf>
      <font>
        <b/>
        <i val="0"/>
        <color theme="9"/>
      </font>
    </dxf>
    <dxf>
      <font>
        <b/>
        <i val="0"/>
        <color rgb="FF00B050"/>
      </font>
    </dxf>
    <dxf>
      <font>
        <b/>
        <i val="0"/>
        <color theme="9" tint="-0.24994659260841701"/>
      </font>
    </dxf>
    <dxf>
      <font>
        <b/>
        <i val="0"/>
        <color theme="6" tint="-0.499984740745262"/>
      </font>
    </dxf>
    <dxf>
      <font>
        <b/>
        <i val="0"/>
        <color rgb="FFFF0000"/>
      </font>
    </dxf>
    <dxf>
      <font>
        <b/>
        <i val="0"/>
        <color rgb="FFFF0000"/>
      </font>
    </dxf>
    <dxf>
      <font>
        <b/>
        <i val="0"/>
        <color rgb="FFFFC000"/>
      </font>
    </dxf>
    <dxf>
      <font>
        <b/>
        <i val="0"/>
        <color rgb="FF00B050"/>
      </font>
    </dxf>
    <dxf>
      <font>
        <b/>
        <i val="0"/>
        <color rgb="FFFF0000"/>
      </font>
    </dxf>
    <dxf>
      <font>
        <b/>
        <i val="0"/>
        <color rgb="FFFF0000"/>
      </font>
    </dxf>
    <dxf>
      <font>
        <b/>
        <i val="0"/>
        <color rgb="FFFF0000"/>
      </font>
    </dxf>
    <dxf>
      <font>
        <b/>
        <i val="0"/>
        <color rgb="FFFF0000"/>
      </font>
    </dxf>
    <dxf>
      <font>
        <b/>
        <i val="0"/>
        <color theme="9"/>
      </font>
    </dxf>
    <dxf>
      <font>
        <b/>
        <i val="0"/>
        <color rgb="FF00B050"/>
      </font>
    </dxf>
    <dxf>
      <font>
        <b/>
        <i val="0"/>
        <color rgb="FFFF0000"/>
      </font>
    </dxf>
    <dxf>
      <font>
        <b/>
        <i val="0"/>
        <color rgb="FFFF0000"/>
      </font>
    </dxf>
    <dxf>
      <font>
        <b/>
        <i val="0"/>
        <color theme="9"/>
      </font>
    </dxf>
    <dxf>
      <font>
        <b/>
        <i val="0"/>
        <color rgb="FF00B050"/>
      </font>
    </dxf>
    <dxf>
      <numFmt numFmtId="13" formatCode="0%"/>
    </dxf>
    <dxf>
      <protection locked="0"/>
    </dxf>
    <dxf>
      <protection locked="0"/>
    </dxf>
    <dxf>
      <protection locked="0"/>
    </dxf>
    <dxf>
      <alignment horizontal="center"/>
    </dxf>
    <dxf>
      <alignment horizontal="center"/>
    </dxf>
    <dxf>
      <alignment horizontal="center"/>
    </dxf>
    <dxf>
      <alignment horizontal="center"/>
    </dxf>
    <dxf>
      <protection locked="0"/>
    </dxf>
    <dxf>
      <alignment horizontal="center"/>
    </dxf>
    <dxf>
      <alignment horizontal="center"/>
    </dxf>
    <dxf>
      <alignment horizontal="center"/>
    </dxf>
    <dxf>
      <alignment horizontal="center"/>
    </dxf>
    <dxf>
      <alignment horizontal="center"/>
    </dxf>
    <dxf>
      <alignment horizontal="center"/>
    </dxf>
    <dxf>
      <numFmt numFmtId="13" formatCode="0%"/>
    </dxf>
  </dxfs>
  <tableStyles count="0" defaultTableStyle="TableStyleMedium2" defaultPivotStyle="PivotStyleMedium9"/>
  <colors>
    <mruColors>
      <color rgb="FFBDE9AD"/>
      <color rgb="FFEFCC8D"/>
      <color rgb="FFC3F9A5"/>
      <color rgb="FFE7B14F"/>
      <color rgb="FFFFFF66"/>
      <color rgb="FFA6DF87"/>
      <color rgb="FFFFFFFF"/>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pivotCacheDefinition" Target="pivotCache/pivotCacheDefinition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2022.xlsm]Holidays!PivotTable1</c:name>
    <c:fmtId val="0"/>
  </c:pivotSource>
  <c:chart>
    <c:title>
      <c:overlay val="0"/>
      <c:txPr>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150"/>
        <c:axId val="246241280"/>
        <c:axId val="224790208"/>
      </c:barChart>
      <c:catAx>
        <c:axId val="24624128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24790208"/>
        <c:crosses val="autoZero"/>
        <c:auto val="1"/>
        <c:lblAlgn val="ctr"/>
        <c:lblOffset val="100"/>
        <c:noMultiLvlLbl val="0"/>
      </c:catAx>
      <c:valAx>
        <c:axId val="224790208"/>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6241280"/>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2022.xlsm]Effort Schedule!PivotTable3</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Effort Variation</a:t>
            </a:r>
          </a:p>
        </c:rich>
      </c:tx>
      <c:overlay val="1"/>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s>
    <c:plotArea>
      <c:layout>
        <c:manualLayout>
          <c:layoutTarget val="inner"/>
          <c:xMode val="edge"/>
          <c:yMode val="edge"/>
          <c:x val="4.9143933503444197E-2"/>
          <c:y val="0.30387321376494603"/>
          <c:w val="0.74591510061242305"/>
          <c:h val="0.47908027121609797"/>
        </c:manualLayout>
      </c:layout>
      <c:lineChart>
        <c:grouping val="standard"/>
        <c:varyColors val="0"/>
        <c:ser>
          <c:idx val="0"/>
          <c:order val="0"/>
          <c:tx>
            <c:strRef>
              <c:f>'Effort Schedule'!$F$24:$F$25</c:f>
              <c:strCache>
                <c:ptCount val="1"/>
              </c:strCache>
            </c:strRef>
          </c:tx>
          <c:cat>
            <c:strRef>
              <c:f>'Effort Schedule'!$E$26:$E$30</c:f>
              <c:strCache>
                <c:ptCount val="4"/>
                <c:pt idx="0">
                  <c:v>(blank)</c:v>
                </c:pt>
                <c:pt idx="1">
                  <c:v>Cycle 02.03.2</c:v>
                </c:pt>
                <c:pt idx="2">
                  <c:v>Cycle 03</c:v>
                </c:pt>
                <c:pt idx="3">
                  <c:v>Cycle 04</c:v>
                </c:pt>
              </c:strCache>
            </c:strRef>
          </c:cat>
          <c:val>
            <c:numRef>
              <c:f>'Effort Schedule'!$F$26:$F$30</c:f>
              <c:numCache>
                <c:formatCode>0%</c:formatCode>
                <c:ptCount val="4"/>
                <c:pt idx="0">
                  <c:v>0</c:v>
                </c:pt>
                <c:pt idx="3">
                  <c:v>-1</c:v>
                </c:pt>
              </c:numCache>
            </c:numRef>
          </c:val>
          <c:smooth val="0"/>
          <c:extLst>
            <c:ext xmlns:c16="http://schemas.microsoft.com/office/drawing/2014/chart" uri="{C3380CC4-5D6E-409C-BE32-E72D297353CC}">
              <c16:uniqueId val="{00000000-BDD1-41E5-ACC7-5C7512FE8F3C}"/>
            </c:ext>
          </c:extLst>
        </c:ser>
        <c:ser>
          <c:idx val="1"/>
          <c:order val="1"/>
          <c:tx>
            <c:strRef>
              <c:f>'Effort Schedule'!$G$24:$G$25</c:f>
              <c:strCache>
                <c:ptCount val="1"/>
                <c:pt idx="0">
                  <c:v>L1</c:v>
                </c:pt>
              </c:strCache>
            </c:strRef>
          </c:tx>
          <c:cat>
            <c:strRef>
              <c:f>'Effort Schedule'!$E$26:$E$30</c:f>
              <c:strCache>
                <c:ptCount val="4"/>
                <c:pt idx="0">
                  <c:v>(blank)</c:v>
                </c:pt>
                <c:pt idx="1">
                  <c:v>Cycle 02.03.2</c:v>
                </c:pt>
                <c:pt idx="2">
                  <c:v>Cycle 03</c:v>
                </c:pt>
                <c:pt idx="3">
                  <c:v>Cycle 04</c:v>
                </c:pt>
              </c:strCache>
            </c:strRef>
          </c:cat>
          <c:val>
            <c:numRef>
              <c:f>'Effort Schedule'!$G$26:$G$30</c:f>
              <c:numCache>
                <c:formatCode>0%</c:formatCode>
                <c:ptCount val="4"/>
                <c:pt idx="2">
                  <c:v>0</c:v>
                </c:pt>
              </c:numCache>
            </c:numRef>
          </c:val>
          <c:smooth val="0"/>
          <c:extLst>
            <c:ext xmlns:c16="http://schemas.microsoft.com/office/drawing/2014/chart" uri="{C3380CC4-5D6E-409C-BE32-E72D297353CC}">
              <c16:uniqueId val="{00000001-BDD1-41E5-ACC7-5C7512FE8F3C}"/>
            </c:ext>
          </c:extLst>
        </c:ser>
        <c:ser>
          <c:idx val="2"/>
          <c:order val="2"/>
          <c:tx>
            <c:strRef>
              <c:f>'Effort Schedule'!$H$24:$H$25</c:f>
              <c:strCache>
                <c:ptCount val="1"/>
                <c:pt idx="0">
                  <c:v>L2</c:v>
                </c:pt>
              </c:strCache>
            </c:strRef>
          </c:tx>
          <c:cat>
            <c:strRef>
              <c:f>'Effort Schedule'!$E$26:$E$30</c:f>
              <c:strCache>
                <c:ptCount val="4"/>
                <c:pt idx="0">
                  <c:v>(blank)</c:v>
                </c:pt>
                <c:pt idx="1">
                  <c:v>Cycle 02.03.2</c:v>
                </c:pt>
                <c:pt idx="2">
                  <c:v>Cycle 03</c:v>
                </c:pt>
                <c:pt idx="3">
                  <c:v>Cycle 04</c:v>
                </c:pt>
              </c:strCache>
            </c:strRef>
          </c:cat>
          <c:val>
            <c:numRef>
              <c:f>'Effort Schedule'!$H$26:$H$30</c:f>
              <c:numCache>
                <c:formatCode>0%</c:formatCode>
                <c:ptCount val="4"/>
                <c:pt idx="1">
                  <c:v>0</c:v>
                </c:pt>
              </c:numCache>
            </c:numRef>
          </c:val>
          <c:smooth val="0"/>
          <c:extLst>
            <c:ext xmlns:c16="http://schemas.microsoft.com/office/drawing/2014/chart" uri="{C3380CC4-5D6E-409C-BE32-E72D297353CC}">
              <c16:uniqueId val="{00000002-BDD1-41E5-ACC7-5C7512FE8F3C}"/>
            </c:ext>
          </c:extLst>
        </c:ser>
        <c:ser>
          <c:idx val="3"/>
          <c:order val="3"/>
          <c:tx>
            <c:strRef>
              <c:f>'Effort Schedule'!$I$24:$I$25</c:f>
              <c:strCache>
                <c:ptCount val="1"/>
                <c:pt idx="0">
                  <c:v>L3</c:v>
                </c:pt>
              </c:strCache>
            </c:strRef>
          </c:tx>
          <c:cat>
            <c:strRef>
              <c:f>'Effort Schedule'!$E$26:$E$30</c:f>
              <c:strCache>
                <c:ptCount val="4"/>
                <c:pt idx="0">
                  <c:v>(blank)</c:v>
                </c:pt>
                <c:pt idx="1">
                  <c:v>Cycle 02.03.2</c:v>
                </c:pt>
                <c:pt idx="2">
                  <c:v>Cycle 03</c:v>
                </c:pt>
                <c:pt idx="3">
                  <c:v>Cycle 04</c:v>
                </c:pt>
              </c:strCache>
            </c:strRef>
          </c:cat>
          <c:val>
            <c:numRef>
              <c:f>'Effort Schedule'!$I$26:$I$30</c:f>
              <c:numCache>
                <c:formatCode>0%</c:formatCode>
                <c:ptCount val="4"/>
                <c:pt idx="1">
                  <c:v>-2.0833333333333301E-2</c:v>
                </c:pt>
                <c:pt idx="2">
                  <c:v>5.0285714285714302E-2</c:v>
                </c:pt>
              </c:numCache>
            </c:numRef>
          </c:val>
          <c:smooth val="0"/>
          <c:extLst>
            <c:ext xmlns:c16="http://schemas.microsoft.com/office/drawing/2014/chart" uri="{C3380CC4-5D6E-409C-BE32-E72D297353CC}">
              <c16:uniqueId val="{00000003-BDD1-41E5-ACC7-5C7512FE8F3C}"/>
            </c:ext>
          </c:extLst>
        </c:ser>
        <c:dLbls>
          <c:showLegendKey val="0"/>
          <c:showVal val="0"/>
          <c:showCatName val="0"/>
          <c:showSerName val="0"/>
          <c:showPercent val="0"/>
          <c:showBubbleSize val="0"/>
        </c:dLbls>
        <c:marker val="1"/>
        <c:smooth val="0"/>
        <c:axId val="246806016"/>
        <c:axId val="224792512"/>
      </c:lineChart>
      <c:catAx>
        <c:axId val="246806016"/>
        <c:scaling>
          <c:orientation val="minMax"/>
        </c:scaling>
        <c:delete val="0"/>
        <c:axPos val="b"/>
        <c:numFmt formatCode="mmm"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24792512"/>
        <c:crosses val="autoZero"/>
        <c:auto val="1"/>
        <c:lblAlgn val="ctr"/>
        <c:lblOffset val="100"/>
        <c:noMultiLvlLbl val="0"/>
      </c:catAx>
      <c:valAx>
        <c:axId val="224792512"/>
        <c:scaling>
          <c:orientation val="minMax"/>
        </c:scaling>
        <c:delete val="0"/>
        <c:axPos val="l"/>
        <c:majorGridlines/>
        <c:numFmt formatCode="0.0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6806016"/>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2022.xlsm]Effort Schedule!PivotTable26</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Schedule Variation</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s>
    <c:plotArea>
      <c:layout/>
      <c:lineChart>
        <c:grouping val="stacked"/>
        <c:varyColors val="0"/>
        <c:ser>
          <c:idx val="0"/>
          <c:order val="0"/>
          <c:tx>
            <c:strRef>
              <c:f>'Effort Schedule'!$O$25:$O$26</c:f>
              <c:strCache>
                <c:ptCount val="1"/>
              </c:strCache>
            </c:strRef>
          </c:tx>
          <c:cat>
            <c:strRef>
              <c:f>'Effort Schedule'!$N$27:$N$31</c:f>
              <c:strCache>
                <c:ptCount val="4"/>
                <c:pt idx="0">
                  <c:v>(blank)</c:v>
                </c:pt>
                <c:pt idx="1">
                  <c:v>Cycle 02.03.2</c:v>
                </c:pt>
                <c:pt idx="2">
                  <c:v>Cycle 03</c:v>
                </c:pt>
                <c:pt idx="3">
                  <c:v>Cycle 04</c:v>
                </c:pt>
              </c:strCache>
            </c:strRef>
          </c:cat>
          <c:val>
            <c:numRef>
              <c:f>'Effort Schedule'!$O$27:$O$31</c:f>
              <c:numCache>
                <c:formatCode>0.00%</c:formatCode>
                <c:ptCount val="4"/>
              </c:numCache>
            </c:numRef>
          </c:val>
          <c:smooth val="0"/>
          <c:extLst>
            <c:ext xmlns:c16="http://schemas.microsoft.com/office/drawing/2014/chart" uri="{C3380CC4-5D6E-409C-BE32-E72D297353CC}">
              <c16:uniqueId val="{00000000-2F96-474D-B9FC-CEEC30191119}"/>
            </c:ext>
          </c:extLst>
        </c:ser>
        <c:ser>
          <c:idx val="1"/>
          <c:order val="1"/>
          <c:tx>
            <c:strRef>
              <c:f>'Effort Schedule'!$P$25:$P$26</c:f>
              <c:strCache>
                <c:ptCount val="1"/>
                <c:pt idx="0">
                  <c:v>L1</c:v>
                </c:pt>
              </c:strCache>
            </c:strRef>
          </c:tx>
          <c:cat>
            <c:strRef>
              <c:f>'Effort Schedule'!$N$27:$N$31</c:f>
              <c:strCache>
                <c:ptCount val="4"/>
                <c:pt idx="0">
                  <c:v>(blank)</c:v>
                </c:pt>
                <c:pt idx="1">
                  <c:v>Cycle 02.03.2</c:v>
                </c:pt>
                <c:pt idx="2">
                  <c:v>Cycle 03</c:v>
                </c:pt>
                <c:pt idx="3">
                  <c:v>Cycle 04</c:v>
                </c:pt>
              </c:strCache>
            </c:strRef>
          </c:cat>
          <c:val>
            <c:numRef>
              <c:f>'Effort Schedule'!$P$27:$P$31</c:f>
              <c:numCache>
                <c:formatCode>0.00%</c:formatCode>
                <c:ptCount val="4"/>
                <c:pt idx="2">
                  <c:v>0</c:v>
                </c:pt>
              </c:numCache>
            </c:numRef>
          </c:val>
          <c:smooth val="0"/>
          <c:extLst>
            <c:ext xmlns:c16="http://schemas.microsoft.com/office/drawing/2014/chart" uri="{C3380CC4-5D6E-409C-BE32-E72D297353CC}">
              <c16:uniqueId val="{00000001-2F96-474D-B9FC-CEEC30191119}"/>
            </c:ext>
          </c:extLst>
        </c:ser>
        <c:ser>
          <c:idx val="2"/>
          <c:order val="2"/>
          <c:tx>
            <c:strRef>
              <c:f>'Effort Schedule'!$Q$25:$Q$26</c:f>
              <c:strCache>
                <c:ptCount val="1"/>
                <c:pt idx="0">
                  <c:v>L2</c:v>
                </c:pt>
              </c:strCache>
            </c:strRef>
          </c:tx>
          <c:cat>
            <c:strRef>
              <c:f>'Effort Schedule'!$N$27:$N$31</c:f>
              <c:strCache>
                <c:ptCount val="4"/>
                <c:pt idx="0">
                  <c:v>(blank)</c:v>
                </c:pt>
                <c:pt idx="1">
                  <c:v>Cycle 02.03.2</c:v>
                </c:pt>
                <c:pt idx="2">
                  <c:v>Cycle 03</c:v>
                </c:pt>
                <c:pt idx="3">
                  <c:v>Cycle 04</c:v>
                </c:pt>
              </c:strCache>
            </c:strRef>
          </c:cat>
          <c:val>
            <c:numRef>
              <c:f>'Effort Schedule'!$Q$27:$Q$31</c:f>
              <c:numCache>
                <c:formatCode>0.00%</c:formatCode>
                <c:ptCount val="4"/>
                <c:pt idx="1">
                  <c:v>0</c:v>
                </c:pt>
              </c:numCache>
            </c:numRef>
          </c:val>
          <c:smooth val="0"/>
          <c:extLst>
            <c:ext xmlns:c16="http://schemas.microsoft.com/office/drawing/2014/chart" uri="{C3380CC4-5D6E-409C-BE32-E72D297353CC}">
              <c16:uniqueId val="{00000002-2F96-474D-B9FC-CEEC30191119}"/>
            </c:ext>
          </c:extLst>
        </c:ser>
        <c:ser>
          <c:idx val="3"/>
          <c:order val="3"/>
          <c:tx>
            <c:strRef>
              <c:f>'Effort Schedule'!$R$25:$R$26</c:f>
              <c:strCache>
                <c:ptCount val="1"/>
                <c:pt idx="0">
                  <c:v>L3</c:v>
                </c:pt>
              </c:strCache>
            </c:strRef>
          </c:tx>
          <c:cat>
            <c:strRef>
              <c:f>'Effort Schedule'!$N$27:$N$31</c:f>
              <c:strCache>
                <c:ptCount val="4"/>
                <c:pt idx="0">
                  <c:v>(blank)</c:v>
                </c:pt>
                <c:pt idx="1">
                  <c:v>Cycle 02.03.2</c:v>
                </c:pt>
                <c:pt idx="2">
                  <c:v>Cycle 03</c:v>
                </c:pt>
                <c:pt idx="3">
                  <c:v>Cycle 04</c:v>
                </c:pt>
              </c:strCache>
            </c:strRef>
          </c:cat>
          <c:val>
            <c:numRef>
              <c:f>'Effort Schedule'!$R$27:$R$31</c:f>
              <c:numCache>
                <c:formatCode>0.00%</c:formatCode>
                <c:ptCount val="4"/>
                <c:pt idx="1">
                  <c:v>-0.14970760233918101</c:v>
                </c:pt>
                <c:pt idx="2">
                  <c:v>0.12727272727272701</c:v>
                </c:pt>
              </c:numCache>
            </c:numRef>
          </c:val>
          <c:smooth val="0"/>
          <c:extLst>
            <c:ext xmlns:c16="http://schemas.microsoft.com/office/drawing/2014/chart" uri="{C3380CC4-5D6E-409C-BE32-E72D297353CC}">
              <c16:uniqueId val="{00000003-2F96-474D-B9FC-CEEC30191119}"/>
            </c:ext>
          </c:extLst>
        </c:ser>
        <c:dLbls>
          <c:showLegendKey val="0"/>
          <c:showVal val="0"/>
          <c:showCatName val="0"/>
          <c:showSerName val="0"/>
          <c:showPercent val="0"/>
          <c:showBubbleSize val="0"/>
        </c:dLbls>
        <c:marker val="1"/>
        <c:smooth val="0"/>
        <c:axId val="246808064"/>
        <c:axId val="224793664"/>
      </c:lineChart>
      <c:catAx>
        <c:axId val="24680806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24793664"/>
        <c:crosses val="autoZero"/>
        <c:auto val="1"/>
        <c:lblAlgn val="ctr"/>
        <c:lblOffset val="100"/>
        <c:noMultiLvlLbl val="0"/>
      </c:catAx>
      <c:valAx>
        <c:axId val="224793664"/>
        <c:scaling>
          <c:orientation val="minMax"/>
        </c:scaling>
        <c:delete val="0"/>
        <c:axPos val="l"/>
        <c:majorGridlines/>
        <c:numFmt formatCode="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6808064"/>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2022.xlsm]Effort Schedule!PivotTable1</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Effort</a:t>
            </a:r>
            <a:r>
              <a:rPr lang="en-US" baseline="0"/>
              <a:t> Variation Release and Month </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'Effort Schedule'!$F$46</c:f>
              <c:strCache>
                <c:ptCount val="1"/>
                <c:pt idx="0">
                  <c:v>Total</c:v>
                </c:pt>
              </c:strCache>
            </c:strRef>
          </c:tx>
          <c:cat>
            <c:strRef>
              <c:f>'Effort Schedule'!$E$47:$E$50</c:f>
              <c:strCache>
                <c:ptCount val="3"/>
                <c:pt idx="1">
                  <c:v>Jan-21</c:v>
                </c:pt>
                <c:pt idx="2">
                  <c:v>Feb-21</c:v>
                </c:pt>
              </c:strCache>
            </c:strRef>
          </c:cat>
          <c:val>
            <c:numRef>
              <c:f>'Effort Schedule'!$F$47:$F$50</c:f>
              <c:numCache>
                <c:formatCode>General</c:formatCode>
                <c:ptCount val="3"/>
                <c:pt idx="0">
                  <c:v>-1</c:v>
                </c:pt>
                <c:pt idx="1">
                  <c:v>-1.5625E-2</c:v>
                </c:pt>
                <c:pt idx="2">
                  <c:v>4.1904761904761903E-2</c:v>
                </c:pt>
              </c:numCache>
            </c:numRef>
          </c:val>
          <c:smooth val="0"/>
          <c:extLst>
            <c:ext xmlns:c16="http://schemas.microsoft.com/office/drawing/2014/chart" uri="{C3380CC4-5D6E-409C-BE32-E72D297353CC}">
              <c16:uniqueId val="{00000000-69EC-4DB3-AD49-09EC09413B76}"/>
            </c:ext>
          </c:extLst>
        </c:ser>
        <c:dLbls>
          <c:showLegendKey val="0"/>
          <c:showVal val="0"/>
          <c:showCatName val="0"/>
          <c:showSerName val="0"/>
          <c:showPercent val="0"/>
          <c:showBubbleSize val="0"/>
        </c:dLbls>
        <c:marker val="1"/>
        <c:smooth val="0"/>
        <c:axId val="246981632"/>
        <c:axId val="224795392"/>
      </c:lineChart>
      <c:catAx>
        <c:axId val="24698163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600" b="0" i="0" u="none" strike="noStrike" kern="1200" baseline="0">
                <a:solidFill>
                  <a:schemeClr val="tx1"/>
                </a:solidFill>
                <a:latin typeface="+mn-lt"/>
                <a:ea typeface="+mn-ea"/>
                <a:cs typeface="+mn-cs"/>
              </a:defRPr>
            </a:pPr>
            <a:endParaRPr lang="en-US"/>
          </a:p>
        </c:txPr>
        <c:crossAx val="224795392"/>
        <c:crosses val="autoZero"/>
        <c:auto val="1"/>
        <c:lblAlgn val="ctr"/>
        <c:lblOffset val="100"/>
        <c:noMultiLvlLbl val="0"/>
      </c:catAx>
      <c:valAx>
        <c:axId val="224795392"/>
        <c:scaling>
          <c:orientation val="minMax"/>
        </c:scaling>
        <c:delete val="0"/>
        <c:axPos val="l"/>
        <c:majorGridlines>
          <c:spPr>
            <a:ln w="9525" cap="flat" cmpd="sng" algn="ctr">
              <a:solidFill>
                <a:schemeClr val="accent1">
                  <a:alpha val="42000"/>
                </a:schemeClr>
              </a:solidFill>
              <a:prstDash val="solid"/>
              <a:round/>
            </a:ln>
          </c:spPr>
        </c:majorGridlines>
        <c:numFmt formatCode="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6981632"/>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2022.xlsm]Effort Schedule!PivotTable2</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Schedule Variation Release and Month</a:t>
            </a:r>
          </a:p>
        </c:rich>
      </c:tx>
      <c:overlay val="0"/>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'Effort Schedule'!$N$41</c:f>
              <c:strCache>
                <c:ptCount val="1"/>
                <c:pt idx="0">
                  <c:v>Total</c:v>
                </c:pt>
              </c:strCache>
            </c:strRef>
          </c:tx>
          <c:cat>
            <c:strRef>
              <c:f>'Effort Schedule'!$M$42:$M$45</c:f>
              <c:strCache>
                <c:ptCount val="3"/>
                <c:pt idx="1">
                  <c:v>Jan-21</c:v>
                </c:pt>
                <c:pt idx="2">
                  <c:v>Feb-21</c:v>
                </c:pt>
              </c:strCache>
            </c:strRef>
          </c:cat>
          <c:val>
            <c:numRef>
              <c:f>'Effort Schedule'!$N$42:$N$45</c:f>
              <c:numCache>
                <c:formatCode>General</c:formatCode>
                <c:ptCount val="3"/>
                <c:pt idx="0">
                  <c:v>0</c:v>
                </c:pt>
                <c:pt idx="1">
                  <c:v>-0.11228070175438599</c:v>
                </c:pt>
                <c:pt idx="2">
                  <c:v>0.10606060606060599</c:v>
                </c:pt>
              </c:numCache>
            </c:numRef>
          </c:val>
          <c:smooth val="0"/>
          <c:extLst>
            <c:ext xmlns:c16="http://schemas.microsoft.com/office/drawing/2014/chart" uri="{C3380CC4-5D6E-409C-BE32-E72D297353CC}">
              <c16:uniqueId val="{00000000-E92A-4993-A79F-1D21DEA4FDA4}"/>
            </c:ext>
          </c:extLst>
        </c:ser>
        <c:dLbls>
          <c:showLegendKey val="0"/>
          <c:showVal val="0"/>
          <c:showCatName val="0"/>
          <c:showSerName val="0"/>
          <c:showPercent val="0"/>
          <c:showBubbleSize val="0"/>
        </c:dLbls>
        <c:marker val="1"/>
        <c:smooth val="0"/>
        <c:axId val="246982144"/>
        <c:axId val="247054912"/>
      </c:lineChart>
      <c:catAx>
        <c:axId val="24698214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054912"/>
        <c:crosses val="autoZero"/>
        <c:auto val="1"/>
        <c:lblAlgn val="ctr"/>
        <c:lblOffset val="100"/>
        <c:noMultiLvlLbl val="0"/>
      </c:catAx>
      <c:valAx>
        <c:axId val="247054912"/>
        <c:scaling>
          <c:orientation val="minMax"/>
        </c:scaling>
        <c:delete val="0"/>
        <c:axPos val="l"/>
        <c:majorGridlines>
          <c:spPr>
            <a:ln w="9525" cap="flat" cmpd="sng" algn="ctr">
              <a:solidFill>
                <a:schemeClr val="accent1">
                  <a:alpha val="43000"/>
                </a:schemeClr>
              </a:solidFill>
              <a:prstDash val="solid"/>
              <a:round/>
            </a:ln>
          </c:spPr>
        </c:majorGridlines>
        <c:numFmt formatCode="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6982144"/>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2022.xlsm]Rev_Rew_Proj_Conf!PivotTable22</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Review</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Rev_Rew_Proj_Conf!$E$7:$E$8</c:f>
              <c:strCache>
                <c:ptCount val="1"/>
              </c:strCache>
            </c:strRef>
          </c:tx>
          <c:cat>
            <c:strRef>
              <c:f>Rev_Rew_Proj_Conf!$D$9:$D$12</c:f>
              <c:strCache>
                <c:ptCount val="3"/>
                <c:pt idx="1">
                  <c:v>(blank)</c:v>
                </c:pt>
                <c:pt idx="2">
                  <c:v>Cycle 03</c:v>
                </c:pt>
              </c:strCache>
            </c:strRef>
          </c:cat>
          <c:val>
            <c:numRef>
              <c:f>Rev_Rew_Proj_Conf!$E$9:$E$12</c:f>
              <c:numCache>
                <c:formatCode>General</c:formatCode>
                <c:ptCount val="3"/>
                <c:pt idx="0">
                  <c:v>0</c:v>
                </c:pt>
              </c:numCache>
            </c:numRef>
          </c:val>
          <c:smooth val="0"/>
          <c:extLst>
            <c:ext xmlns:c16="http://schemas.microsoft.com/office/drawing/2014/chart" uri="{C3380CC4-5D6E-409C-BE32-E72D297353CC}">
              <c16:uniqueId val="{00000000-76BA-4D32-BC40-6F50DE86DDE6}"/>
            </c:ext>
          </c:extLst>
        </c:ser>
        <c:ser>
          <c:idx val="1"/>
          <c:order val="1"/>
          <c:tx>
            <c:strRef>
              <c:f>Rev_Rew_Proj_Conf!$F$7:$F$8</c:f>
              <c:strCache>
                <c:ptCount val="1"/>
                <c:pt idx="0">
                  <c:v>(blank)</c:v>
                </c:pt>
              </c:strCache>
            </c:strRef>
          </c:tx>
          <c:cat>
            <c:strRef>
              <c:f>Rev_Rew_Proj_Conf!$D$9:$D$12</c:f>
              <c:strCache>
                <c:ptCount val="3"/>
                <c:pt idx="1">
                  <c:v>(blank)</c:v>
                </c:pt>
                <c:pt idx="2">
                  <c:v>Cycle 03</c:v>
                </c:pt>
              </c:strCache>
            </c:strRef>
          </c:cat>
          <c:val>
            <c:numRef>
              <c:f>Rev_Rew_Proj_Conf!$F$9:$F$12</c:f>
              <c:numCache>
                <c:formatCode>General</c:formatCode>
                <c:ptCount val="3"/>
                <c:pt idx="1">
                  <c:v>0</c:v>
                </c:pt>
              </c:numCache>
            </c:numRef>
          </c:val>
          <c:smooth val="0"/>
          <c:extLst>
            <c:ext xmlns:c16="http://schemas.microsoft.com/office/drawing/2014/chart" uri="{C3380CC4-5D6E-409C-BE32-E72D297353CC}">
              <c16:uniqueId val="{00000001-76BA-4D32-BC40-6F50DE86DDE6}"/>
            </c:ext>
          </c:extLst>
        </c:ser>
        <c:ser>
          <c:idx val="2"/>
          <c:order val="2"/>
          <c:tx>
            <c:strRef>
              <c:f>Rev_Rew_Proj_Conf!$G$7:$G$8</c:f>
              <c:strCache>
                <c:ptCount val="1"/>
                <c:pt idx="0">
                  <c:v>L3</c:v>
                </c:pt>
              </c:strCache>
            </c:strRef>
          </c:tx>
          <c:cat>
            <c:strRef>
              <c:f>Rev_Rew_Proj_Conf!$D$9:$D$12</c:f>
              <c:strCache>
                <c:ptCount val="3"/>
                <c:pt idx="1">
                  <c:v>(blank)</c:v>
                </c:pt>
                <c:pt idx="2">
                  <c:v>Cycle 03</c:v>
                </c:pt>
              </c:strCache>
            </c:strRef>
          </c:cat>
          <c:val>
            <c:numRef>
              <c:f>Rev_Rew_Proj_Conf!$G$9:$G$12</c:f>
              <c:numCache>
                <c:formatCode>General</c:formatCode>
                <c:ptCount val="3"/>
                <c:pt idx="2">
                  <c:v>3.9150943396226399E-3</c:v>
                </c:pt>
              </c:numCache>
            </c:numRef>
          </c:val>
          <c:smooth val="0"/>
          <c:extLst>
            <c:ext xmlns:c16="http://schemas.microsoft.com/office/drawing/2014/chart" uri="{C3380CC4-5D6E-409C-BE32-E72D297353CC}">
              <c16:uniqueId val="{00000002-76BA-4D32-BC40-6F50DE86DDE6}"/>
            </c:ext>
          </c:extLst>
        </c:ser>
        <c:dLbls>
          <c:showLegendKey val="0"/>
          <c:showVal val="0"/>
          <c:showCatName val="0"/>
          <c:showSerName val="0"/>
          <c:showPercent val="0"/>
          <c:showBubbleSize val="0"/>
        </c:dLbls>
        <c:marker val="1"/>
        <c:smooth val="0"/>
        <c:axId val="176643584"/>
        <c:axId val="247057792"/>
      </c:lineChart>
      <c:catAx>
        <c:axId val="17664358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057792"/>
        <c:crosses val="autoZero"/>
        <c:auto val="1"/>
        <c:lblAlgn val="ctr"/>
        <c:lblOffset val="100"/>
        <c:noMultiLvlLbl val="0"/>
      </c:catAx>
      <c:valAx>
        <c:axId val="247057792"/>
        <c:scaling>
          <c:orientation val="minMax"/>
        </c:scaling>
        <c:delete val="0"/>
        <c:axPos val="l"/>
        <c:majorGridlines/>
        <c:numFmt formatCode="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76643584"/>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2022.xlsm]Rev_Rew_Proj_Conf!PivotTable23</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a:t>
            </a:r>
            <a:r>
              <a:rPr lang="en-US" baseline="0"/>
              <a:t> of Rework</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Rev_Rew_Proj_Conf!$E$26:$E$27</c:f>
              <c:strCache>
                <c:ptCount val="1"/>
              </c:strCache>
            </c:strRef>
          </c:tx>
          <c:cat>
            <c:strRef>
              <c:f>Rev_Rew_Proj_Conf!$D$28:$D$31</c:f>
              <c:strCache>
                <c:ptCount val="3"/>
                <c:pt idx="1">
                  <c:v>(blank)</c:v>
                </c:pt>
                <c:pt idx="2">
                  <c:v>Cycle 03</c:v>
                </c:pt>
              </c:strCache>
            </c:strRef>
          </c:cat>
          <c:val>
            <c:numRef>
              <c:f>Rev_Rew_Proj_Conf!$E$28:$E$31</c:f>
              <c:numCache>
                <c:formatCode>General</c:formatCode>
                <c:ptCount val="3"/>
                <c:pt idx="0">
                  <c:v>0</c:v>
                </c:pt>
              </c:numCache>
            </c:numRef>
          </c:val>
          <c:smooth val="0"/>
          <c:extLst>
            <c:ext xmlns:c16="http://schemas.microsoft.com/office/drawing/2014/chart" uri="{C3380CC4-5D6E-409C-BE32-E72D297353CC}">
              <c16:uniqueId val="{00000000-9FD9-4709-8222-11B2D7DDEB9C}"/>
            </c:ext>
          </c:extLst>
        </c:ser>
        <c:ser>
          <c:idx val="1"/>
          <c:order val="1"/>
          <c:tx>
            <c:strRef>
              <c:f>Rev_Rew_Proj_Conf!$F$26:$F$27</c:f>
              <c:strCache>
                <c:ptCount val="1"/>
                <c:pt idx="0">
                  <c:v>(blank)</c:v>
                </c:pt>
              </c:strCache>
            </c:strRef>
          </c:tx>
          <c:cat>
            <c:strRef>
              <c:f>Rev_Rew_Proj_Conf!$D$28:$D$31</c:f>
              <c:strCache>
                <c:ptCount val="3"/>
                <c:pt idx="1">
                  <c:v>(blank)</c:v>
                </c:pt>
                <c:pt idx="2">
                  <c:v>Cycle 03</c:v>
                </c:pt>
              </c:strCache>
            </c:strRef>
          </c:cat>
          <c:val>
            <c:numRef>
              <c:f>Rev_Rew_Proj_Conf!$F$28:$F$31</c:f>
              <c:numCache>
                <c:formatCode>General</c:formatCode>
                <c:ptCount val="3"/>
                <c:pt idx="1">
                  <c:v>0</c:v>
                </c:pt>
              </c:numCache>
            </c:numRef>
          </c:val>
          <c:smooth val="0"/>
          <c:extLst>
            <c:ext xmlns:c16="http://schemas.microsoft.com/office/drawing/2014/chart" uri="{C3380CC4-5D6E-409C-BE32-E72D297353CC}">
              <c16:uniqueId val="{00000001-9FD9-4709-8222-11B2D7DDEB9C}"/>
            </c:ext>
          </c:extLst>
        </c:ser>
        <c:ser>
          <c:idx val="2"/>
          <c:order val="2"/>
          <c:tx>
            <c:strRef>
              <c:f>Rev_Rew_Proj_Conf!$G$26:$G$27</c:f>
              <c:strCache>
                <c:ptCount val="1"/>
                <c:pt idx="0">
                  <c:v>L3</c:v>
                </c:pt>
              </c:strCache>
            </c:strRef>
          </c:tx>
          <c:cat>
            <c:strRef>
              <c:f>Rev_Rew_Proj_Conf!$D$28:$D$31</c:f>
              <c:strCache>
                <c:ptCount val="3"/>
                <c:pt idx="1">
                  <c:v>(blank)</c:v>
                </c:pt>
                <c:pt idx="2">
                  <c:v>Cycle 03</c:v>
                </c:pt>
              </c:strCache>
            </c:strRef>
          </c:cat>
          <c:val>
            <c:numRef>
              <c:f>Rev_Rew_Proj_Conf!$G$28:$G$31</c:f>
              <c:numCache>
                <c:formatCode>General</c:formatCode>
                <c:ptCount val="3"/>
                <c:pt idx="2">
                  <c:v>4.7169811320754698E-3</c:v>
                </c:pt>
              </c:numCache>
            </c:numRef>
          </c:val>
          <c:smooth val="0"/>
          <c:extLst>
            <c:ext xmlns:c16="http://schemas.microsoft.com/office/drawing/2014/chart" uri="{C3380CC4-5D6E-409C-BE32-E72D297353CC}">
              <c16:uniqueId val="{00000002-9FD9-4709-8222-11B2D7DDEB9C}"/>
            </c:ext>
          </c:extLst>
        </c:ser>
        <c:dLbls>
          <c:showLegendKey val="0"/>
          <c:showVal val="0"/>
          <c:showCatName val="0"/>
          <c:showSerName val="0"/>
          <c:showPercent val="0"/>
          <c:showBubbleSize val="0"/>
        </c:dLbls>
        <c:marker val="1"/>
        <c:smooth val="0"/>
        <c:axId val="248538112"/>
        <c:axId val="247059520"/>
      </c:lineChart>
      <c:catAx>
        <c:axId val="24853811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059520"/>
        <c:crosses val="autoZero"/>
        <c:auto val="1"/>
        <c:lblAlgn val="ctr"/>
        <c:lblOffset val="100"/>
        <c:noMultiLvlLbl val="0"/>
      </c:catAx>
      <c:valAx>
        <c:axId val="247059520"/>
        <c:scaling>
          <c:orientation val="minMax"/>
        </c:scaling>
        <c:delete val="0"/>
        <c:axPos val="l"/>
        <c:majorGridlines/>
        <c:numFmt formatCode="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538112"/>
        <c:crosses val="autoZero"/>
        <c:crossBetween val="between"/>
      </c:valAx>
    </c:plotArea>
    <c:legend>
      <c:legendPos val="r"/>
      <c:overlay val="0"/>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2022.xlsm]Rev_Rew_Proj_Conf!PivotTable24</c:name>
    <c:fmtId val="2"/>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a:t>
            </a:r>
            <a:r>
              <a:rPr lang="en-US" baseline="0"/>
              <a:t> of Project Management</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Rev_Rew_Proj_Conf!$E$43</c:f>
              <c:strCache>
                <c:ptCount val="1"/>
                <c:pt idx="0">
                  <c:v>Total</c:v>
                </c:pt>
              </c:strCache>
            </c:strRef>
          </c:tx>
          <c:cat>
            <c:strRef>
              <c:f>Rev_Rew_Proj_Conf!$D$44:$D$46</c:f>
              <c:strCache>
                <c:ptCount val="2"/>
                <c:pt idx="0">
                  <c:v>(blank)</c:v>
                </c:pt>
                <c:pt idx="1">
                  <c:v>Cycle 03</c:v>
                </c:pt>
              </c:strCache>
            </c:strRef>
          </c:cat>
          <c:val>
            <c:numRef>
              <c:f>Rev_Rew_Proj_Conf!$E$44:$E$46</c:f>
              <c:numCache>
                <c:formatCode>General</c:formatCode>
                <c:ptCount val="2"/>
                <c:pt idx="0">
                  <c:v>0</c:v>
                </c:pt>
                <c:pt idx="1">
                  <c:v>1.6509433962264199E-2</c:v>
                </c:pt>
              </c:numCache>
            </c:numRef>
          </c:val>
          <c:smooth val="0"/>
          <c:extLst>
            <c:ext xmlns:c16="http://schemas.microsoft.com/office/drawing/2014/chart" uri="{C3380CC4-5D6E-409C-BE32-E72D297353CC}">
              <c16:uniqueId val="{00000000-51FB-4D87-A081-079DA1B659E3}"/>
            </c:ext>
          </c:extLst>
        </c:ser>
        <c:dLbls>
          <c:showLegendKey val="0"/>
          <c:showVal val="0"/>
          <c:showCatName val="0"/>
          <c:showSerName val="0"/>
          <c:showPercent val="0"/>
          <c:showBubbleSize val="0"/>
        </c:dLbls>
        <c:marker val="1"/>
        <c:smooth val="0"/>
        <c:axId val="248538624"/>
        <c:axId val="247061248"/>
      </c:lineChart>
      <c:catAx>
        <c:axId val="24853862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061248"/>
        <c:crosses val="autoZero"/>
        <c:auto val="1"/>
        <c:lblAlgn val="ctr"/>
        <c:lblOffset val="100"/>
        <c:noMultiLvlLbl val="0"/>
      </c:catAx>
      <c:valAx>
        <c:axId val="247061248"/>
        <c:scaling>
          <c:orientation val="minMax"/>
        </c:scaling>
        <c:delete val="0"/>
        <c:axPos val="l"/>
        <c:majorGridlines/>
        <c:numFmt formatCode="0.0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538624"/>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2022.xlsm]Rev_Rew_Proj_Conf!PivotTable25</c:name>
    <c:fmtId val="2"/>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Configuration Management</a:t>
            </a:r>
          </a:p>
        </c:rich>
      </c:tx>
      <c:overlay val="0"/>
    </c:title>
    <c:autoTitleDeleted val="0"/>
    <c:pivotFmts>
      <c:pivotFmt>
        <c:idx val="0"/>
        <c:dLbl>
          <c:idx val="0"/>
          <c:delete val="1"/>
          <c:extLst>
            <c:ext xmlns:c15="http://schemas.microsoft.com/office/drawing/2012/chart" uri="{CE6537A1-D6FC-4f65-9D91-7224C49458BB}"/>
          </c:extLst>
        </c:dLbl>
      </c:pivotFmt>
    </c:pivotFmts>
    <c:plotArea>
      <c:layout/>
      <c:lineChart>
        <c:grouping val="stacked"/>
        <c:varyColors val="0"/>
        <c:ser>
          <c:idx val="0"/>
          <c:order val="0"/>
          <c:tx>
            <c:strRef>
              <c:f>Rev_Rew_Proj_Conf!$E$59</c:f>
              <c:strCache>
                <c:ptCount val="1"/>
                <c:pt idx="0">
                  <c:v>Total</c:v>
                </c:pt>
              </c:strCache>
            </c:strRef>
          </c:tx>
          <c:cat>
            <c:strRef>
              <c:f>Rev_Rew_Proj_Conf!$D$60:$D$62</c:f>
              <c:strCache>
                <c:ptCount val="2"/>
                <c:pt idx="0">
                  <c:v>(blank)</c:v>
                </c:pt>
                <c:pt idx="1">
                  <c:v>Cycle 03</c:v>
                </c:pt>
              </c:strCache>
            </c:strRef>
          </c:cat>
          <c:val>
            <c:numRef>
              <c:f>Rev_Rew_Proj_Conf!$E$60:$E$62</c:f>
              <c:numCache>
                <c:formatCode>General</c:formatCode>
                <c:ptCount val="2"/>
                <c:pt idx="0">
                  <c:v>0</c:v>
                </c:pt>
                <c:pt idx="1">
                  <c:v>0</c:v>
                </c:pt>
              </c:numCache>
            </c:numRef>
          </c:val>
          <c:smooth val="0"/>
          <c:extLst>
            <c:ext xmlns:c16="http://schemas.microsoft.com/office/drawing/2014/chart" uri="{C3380CC4-5D6E-409C-BE32-E72D297353CC}">
              <c16:uniqueId val="{00000000-D0D6-4762-8792-174D5BAF295B}"/>
            </c:ext>
          </c:extLst>
        </c:ser>
        <c:dLbls>
          <c:showLegendKey val="0"/>
          <c:showVal val="0"/>
          <c:showCatName val="0"/>
          <c:showSerName val="0"/>
          <c:showPercent val="0"/>
          <c:showBubbleSize val="0"/>
        </c:dLbls>
        <c:marker val="1"/>
        <c:smooth val="0"/>
        <c:axId val="248539136"/>
        <c:axId val="247636544"/>
      </c:lineChart>
      <c:catAx>
        <c:axId val="24853913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636544"/>
        <c:crosses val="autoZero"/>
        <c:auto val="1"/>
        <c:lblAlgn val="ctr"/>
        <c:lblOffset val="100"/>
        <c:noMultiLvlLbl val="0"/>
      </c:catAx>
      <c:valAx>
        <c:axId val="247636544"/>
        <c:scaling>
          <c:orientation val="minMax"/>
        </c:scaling>
        <c:delete val="0"/>
        <c:axPos val="l"/>
        <c:majorGridlines/>
        <c:numFmt formatCode="0.0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539136"/>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7"/>
    </mc:Choice>
    <mc:Fallback>
      <c:style val="27"/>
    </mc:Fallback>
  </mc:AlternateContent>
  <c:pivotSource>
    <c:name>[Moove Connected Mobility Metric Data Oct 2022.xlsm]Security Metrics!PivotTable2</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On Time Access Removal</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s>
    <c:plotArea>
      <c:layout/>
      <c:lineChart>
        <c:grouping val="stacked"/>
        <c:varyColors val="0"/>
        <c:ser>
          <c:idx val="0"/>
          <c:order val="0"/>
          <c:tx>
            <c:strRef>
              <c:f>'Security Metrics'!$F$4</c:f>
              <c:strCache>
                <c:ptCount val="1"/>
                <c:pt idx="0">
                  <c:v>Total</c:v>
                </c:pt>
              </c:strCache>
            </c:strRef>
          </c:tx>
          <c:cat>
            <c:strRef>
              <c:f>'Security Metrics'!$E$5:$E$12</c:f>
              <c:strCache>
                <c:ptCount val="7"/>
                <c:pt idx="1">
                  <c:v>Feb-21</c:v>
                </c:pt>
                <c:pt idx="2">
                  <c:v>Mar-21</c:v>
                </c:pt>
                <c:pt idx="3">
                  <c:v>Apr-21</c:v>
                </c:pt>
                <c:pt idx="4">
                  <c:v>May-21</c:v>
                </c:pt>
                <c:pt idx="5">
                  <c:v>Jun-21</c:v>
                </c:pt>
                <c:pt idx="6">
                  <c:v>Jul-21</c:v>
                </c:pt>
              </c:strCache>
            </c:strRef>
          </c:cat>
          <c:val>
            <c:numRef>
              <c:f>'Security Metrics'!$F$5:$F$12</c:f>
              <c:numCache>
                <c:formatCode>0.00%</c:formatCode>
                <c:ptCount val="7"/>
                <c:pt idx="0">
                  <c:v>0</c:v>
                </c:pt>
                <c:pt idx="1">
                  <c:v>0</c:v>
                </c:pt>
                <c:pt idx="2">
                  <c:v>0</c:v>
                </c:pt>
                <c:pt idx="3">
                  <c:v>0</c:v>
                </c:pt>
                <c:pt idx="4">
                  <c:v>0</c:v>
                </c:pt>
                <c:pt idx="5">
                  <c:v>0</c:v>
                </c:pt>
                <c:pt idx="6">
                  <c:v>1</c:v>
                </c:pt>
              </c:numCache>
            </c:numRef>
          </c:val>
          <c:smooth val="0"/>
          <c:extLst>
            <c:ext xmlns:c16="http://schemas.microsoft.com/office/drawing/2014/chart" uri="{C3380CC4-5D6E-409C-BE32-E72D297353CC}">
              <c16:uniqueId val="{00000000-74A5-4E54-92A3-0CB95A35B006}"/>
            </c:ext>
          </c:extLst>
        </c:ser>
        <c:dLbls>
          <c:showLegendKey val="0"/>
          <c:showVal val="0"/>
          <c:showCatName val="0"/>
          <c:showSerName val="0"/>
          <c:showPercent val="0"/>
          <c:showBubbleSize val="0"/>
        </c:dLbls>
        <c:marker val="1"/>
        <c:smooth val="0"/>
        <c:axId val="248539648"/>
        <c:axId val="247640000"/>
      </c:lineChart>
      <c:catAx>
        <c:axId val="248539648"/>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640000"/>
        <c:crosses val="autoZero"/>
        <c:auto val="1"/>
        <c:lblAlgn val="ctr"/>
        <c:lblOffset val="100"/>
        <c:noMultiLvlLbl val="0"/>
      </c:catAx>
      <c:valAx>
        <c:axId val="247640000"/>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539648"/>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[Moove Connected Mobility Metric Data Oct 2022.xlsm]Security Metrics!PivotTable5</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Security Defect Leakage</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s>
    <c:plotArea>
      <c:layout/>
      <c:lineChart>
        <c:grouping val="stacked"/>
        <c:varyColors val="0"/>
        <c:ser>
          <c:idx val="0"/>
          <c:order val="0"/>
          <c:tx>
            <c:strRef>
              <c:f>'Security Metrics'!$E$48</c:f>
              <c:strCache>
                <c:ptCount val="1"/>
                <c:pt idx="0">
                  <c:v>Total</c:v>
                </c:pt>
              </c:strCache>
            </c:strRef>
          </c:tx>
          <c:cat>
            <c:strRef>
              <c:f>'Security Metrics'!$D$49:$D$56</c:f>
              <c:strCache>
                <c:ptCount val="7"/>
                <c:pt idx="0">
                  <c:v>(blank)</c:v>
                </c:pt>
                <c:pt idx="1">
                  <c:v>Cycle 03</c:v>
                </c:pt>
                <c:pt idx="2">
                  <c:v>Cycle 04</c:v>
                </c:pt>
                <c:pt idx="3">
                  <c:v>Cycle 05</c:v>
                </c:pt>
                <c:pt idx="4">
                  <c:v>Cycle 06</c:v>
                </c:pt>
                <c:pt idx="5">
                  <c:v>Cycle 07</c:v>
                </c:pt>
                <c:pt idx="6">
                  <c:v>Cycle 08</c:v>
                </c:pt>
              </c:strCache>
            </c:strRef>
          </c:cat>
          <c:val>
            <c:numRef>
              <c:f>'Security Metrics'!$E$49:$E$56</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290D-455E-8DE9-5242710D7B3B}"/>
            </c:ext>
          </c:extLst>
        </c:ser>
        <c:dLbls>
          <c:showLegendKey val="0"/>
          <c:showVal val="0"/>
          <c:showCatName val="0"/>
          <c:showSerName val="0"/>
          <c:showPercent val="0"/>
          <c:showBubbleSize val="0"/>
        </c:dLbls>
        <c:marker val="1"/>
        <c:smooth val="0"/>
        <c:axId val="249533440"/>
        <c:axId val="247641728"/>
      </c:lineChart>
      <c:catAx>
        <c:axId val="24953344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641728"/>
        <c:crosses val="autoZero"/>
        <c:auto val="1"/>
        <c:lblAlgn val="ctr"/>
        <c:lblOffset val="100"/>
        <c:noMultiLvlLbl val="0"/>
      </c:catAx>
      <c:valAx>
        <c:axId val="247641728"/>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9533440"/>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[Moove Connected Mobility Metric Data Oct 2022.xlsm]Security Metrics!PivotTable3</c:name>
    <c:fmtId val="2"/>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 of Ontime Asset Returned</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s>
    <c:plotArea>
      <c:layout/>
      <c:lineChart>
        <c:grouping val="stacked"/>
        <c:varyColors val="0"/>
        <c:ser>
          <c:idx val="0"/>
          <c:order val="0"/>
          <c:tx>
            <c:strRef>
              <c:f>'Security Metrics'!$F$27</c:f>
              <c:strCache>
                <c:ptCount val="1"/>
                <c:pt idx="0">
                  <c:v>Total</c:v>
                </c:pt>
              </c:strCache>
            </c:strRef>
          </c:tx>
          <c:cat>
            <c:strRef>
              <c:f>'Security Metrics'!$E$28:$E$35</c:f>
              <c:strCache>
                <c:ptCount val="7"/>
                <c:pt idx="1">
                  <c:v>Feb-21</c:v>
                </c:pt>
                <c:pt idx="2">
                  <c:v>Mar-21</c:v>
                </c:pt>
                <c:pt idx="3">
                  <c:v>Apr-21</c:v>
                </c:pt>
                <c:pt idx="4">
                  <c:v>May-21</c:v>
                </c:pt>
                <c:pt idx="5">
                  <c:v>Jun-21</c:v>
                </c:pt>
                <c:pt idx="6">
                  <c:v>Jul-21</c:v>
                </c:pt>
              </c:strCache>
            </c:strRef>
          </c:cat>
          <c:val>
            <c:numRef>
              <c:f>'Security Metrics'!$F$28:$F$35</c:f>
              <c:numCache>
                <c:formatCode>General</c:formatCode>
                <c:ptCount val="7"/>
                <c:pt idx="0">
                  <c:v>0</c:v>
                </c:pt>
                <c:pt idx="1">
                  <c:v>0</c:v>
                </c:pt>
                <c:pt idx="2">
                  <c:v>0</c:v>
                </c:pt>
                <c:pt idx="3">
                  <c:v>0</c:v>
                </c:pt>
                <c:pt idx="4">
                  <c:v>0</c:v>
                </c:pt>
                <c:pt idx="5">
                  <c:v>0</c:v>
                </c:pt>
                <c:pt idx="6">
                  <c:v>1</c:v>
                </c:pt>
              </c:numCache>
            </c:numRef>
          </c:val>
          <c:smooth val="0"/>
          <c:extLst>
            <c:ext xmlns:c16="http://schemas.microsoft.com/office/drawing/2014/chart" uri="{C3380CC4-5D6E-409C-BE32-E72D297353CC}">
              <c16:uniqueId val="{00000000-00EB-4530-AE9F-F252CDFC483A}"/>
            </c:ext>
          </c:extLst>
        </c:ser>
        <c:dLbls>
          <c:showLegendKey val="0"/>
          <c:showVal val="0"/>
          <c:showCatName val="0"/>
          <c:showSerName val="0"/>
          <c:showPercent val="0"/>
          <c:showBubbleSize val="0"/>
        </c:dLbls>
        <c:marker val="1"/>
        <c:smooth val="0"/>
        <c:axId val="249533952"/>
        <c:axId val="247643456"/>
      </c:lineChart>
      <c:catAx>
        <c:axId val="24953395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7643456"/>
        <c:crosses val="autoZero"/>
        <c:auto val="1"/>
        <c:lblAlgn val="ctr"/>
        <c:lblOffset val="100"/>
        <c:noMultiLvlLbl val="0"/>
      </c:catAx>
      <c:valAx>
        <c:axId val="247643456"/>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9533952"/>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Trend!PivotTable6</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Density</a:t>
            </a:r>
            <a:r>
              <a:rPr lang="en-US" baseline="0"/>
              <a:t> by Effort ( Dev )</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Trend'!$D$8</c:f>
              <c:strCache>
                <c:ptCount val="1"/>
                <c:pt idx="0">
                  <c:v>Total</c:v>
                </c:pt>
              </c:strCache>
            </c:strRef>
          </c:tx>
          <c:cat>
            <c:strRef>
              <c:f>'Defect Trend'!$C$9:$C$11</c:f>
              <c:strCache>
                <c:ptCount val="2"/>
                <c:pt idx="0">
                  <c:v>(blank)</c:v>
                </c:pt>
                <c:pt idx="1">
                  <c:v>Cycle 03</c:v>
                </c:pt>
              </c:strCache>
            </c:strRef>
          </c:cat>
          <c:val>
            <c:numRef>
              <c:f>'Defect Trend'!$D$9:$D$11</c:f>
              <c:numCache>
                <c:formatCode>General</c:formatCode>
                <c:ptCount val="2"/>
                <c:pt idx="0">
                  <c:v>0</c:v>
                </c:pt>
                <c:pt idx="1">
                  <c:v>0</c:v>
                </c:pt>
              </c:numCache>
            </c:numRef>
          </c:val>
          <c:smooth val="0"/>
          <c:extLst>
            <c:ext xmlns:c16="http://schemas.microsoft.com/office/drawing/2014/chart" uri="{C3380CC4-5D6E-409C-BE32-E72D297353CC}">
              <c16:uniqueId val="{00000000-674F-410E-8A5F-43F5C0A9E255}"/>
            </c:ext>
          </c:extLst>
        </c:ser>
        <c:dLbls>
          <c:showLegendKey val="0"/>
          <c:showVal val="0"/>
          <c:showCatName val="0"/>
          <c:showSerName val="0"/>
          <c:showPercent val="0"/>
          <c:showBubbleSize val="0"/>
        </c:dLbls>
        <c:marker val="1"/>
        <c:smooth val="0"/>
        <c:axId val="249721856"/>
        <c:axId val="248931456"/>
      </c:lineChart>
      <c:catAx>
        <c:axId val="24972185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931456"/>
        <c:crosses val="autoZero"/>
        <c:auto val="1"/>
        <c:lblAlgn val="ctr"/>
        <c:lblOffset val="100"/>
        <c:noMultiLvlLbl val="0"/>
      </c:catAx>
      <c:valAx>
        <c:axId val="248931456"/>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9721856"/>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Trend!PivotTable7</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Density by Size ( Dev)</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Trend'!$I$7</c:f>
              <c:strCache>
                <c:ptCount val="1"/>
                <c:pt idx="0">
                  <c:v>Total</c:v>
                </c:pt>
              </c:strCache>
            </c:strRef>
          </c:tx>
          <c:cat>
            <c:strRef>
              <c:f>'Defect Trend'!$H$8:$H$10</c:f>
              <c:strCache>
                <c:ptCount val="2"/>
                <c:pt idx="0">
                  <c:v>(blank)</c:v>
                </c:pt>
                <c:pt idx="1">
                  <c:v>Cycle 03</c:v>
                </c:pt>
              </c:strCache>
            </c:strRef>
          </c:cat>
          <c:val>
            <c:numRef>
              <c:f>'Defect Trend'!$I$8:$I$10</c:f>
              <c:numCache>
                <c:formatCode>General</c:formatCode>
                <c:ptCount val="2"/>
                <c:pt idx="0">
                  <c:v>0</c:v>
                </c:pt>
                <c:pt idx="1">
                  <c:v>0</c:v>
                </c:pt>
              </c:numCache>
            </c:numRef>
          </c:val>
          <c:smooth val="0"/>
          <c:extLst>
            <c:ext xmlns:c16="http://schemas.microsoft.com/office/drawing/2014/chart" uri="{C3380CC4-5D6E-409C-BE32-E72D297353CC}">
              <c16:uniqueId val="{00000000-0D05-421A-AA96-F00206B94044}"/>
            </c:ext>
          </c:extLst>
        </c:ser>
        <c:dLbls>
          <c:showLegendKey val="0"/>
          <c:showVal val="0"/>
          <c:showCatName val="0"/>
          <c:showSerName val="0"/>
          <c:showPercent val="0"/>
          <c:showBubbleSize val="0"/>
        </c:dLbls>
        <c:marker val="1"/>
        <c:smooth val="0"/>
        <c:axId val="249722880"/>
        <c:axId val="248933184"/>
      </c:lineChart>
      <c:catAx>
        <c:axId val="24972288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933184"/>
        <c:crosses val="autoZero"/>
        <c:auto val="1"/>
        <c:lblAlgn val="ctr"/>
        <c:lblOffset val="100"/>
        <c:noMultiLvlLbl val="0"/>
      </c:catAx>
      <c:valAx>
        <c:axId val="248933184"/>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9722880"/>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Trend!PivotTable8</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Overall</a:t>
            </a:r>
            <a:r>
              <a:rPr lang="en-US" baseline="0"/>
              <a:t> Review Efficiency (Dev)</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Trend'!$D$27</c:f>
              <c:strCache>
                <c:ptCount val="1"/>
                <c:pt idx="0">
                  <c:v>Total</c:v>
                </c:pt>
              </c:strCache>
            </c:strRef>
          </c:tx>
          <c:cat>
            <c:strRef>
              <c:f>'Defect Trend'!$C$28:$C$30</c:f>
              <c:strCache>
                <c:ptCount val="2"/>
                <c:pt idx="0">
                  <c:v>(blank)</c:v>
                </c:pt>
                <c:pt idx="1">
                  <c:v>Cycle 03</c:v>
                </c:pt>
              </c:strCache>
            </c:strRef>
          </c:cat>
          <c:val>
            <c:numRef>
              <c:f>'Defect Trend'!$D$28:$D$30</c:f>
              <c:numCache>
                <c:formatCode>General</c:formatCode>
                <c:ptCount val="2"/>
                <c:pt idx="0">
                  <c:v>0</c:v>
                </c:pt>
                <c:pt idx="1">
                  <c:v>0</c:v>
                </c:pt>
              </c:numCache>
            </c:numRef>
          </c:val>
          <c:smooth val="0"/>
          <c:extLst>
            <c:ext xmlns:c16="http://schemas.microsoft.com/office/drawing/2014/chart" uri="{C3380CC4-5D6E-409C-BE32-E72D297353CC}">
              <c16:uniqueId val="{00000000-F71E-425B-BA93-5CB92C2AE7BD}"/>
            </c:ext>
          </c:extLst>
        </c:ser>
        <c:dLbls>
          <c:showLegendKey val="0"/>
          <c:showVal val="0"/>
          <c:showCatName val="0"/>
          <c:showSerName val="0"/>
          <c:showPercent val="0"/>
          <c:showBubbleSize val="0"/>
        </c:dLbls>
        <c:marker val="1"/>
        <c:smooth val="0"/>
        <c:axId val="249723392"/>
        <c:axId val="248934912"/>
      </c:lineChart>
      <c:catAx>
        <c:axId val="24972339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934912"/>
        <c:crosses val="autoZero"/>
        <c:auto val="1"/>
        <c:lblAlgn val="ctr"/>
        <c:lblOffset val="100"/>
        <c:noMultiLvlLbl val="0"/>
      </c:catAx>
      <c:valAx>
        <c:axId val="248934912"/>
        <c:scaling>
          <c:orientation val="minMax"/>
        </c:scaling>
        <c:delete val="0"/>
        <c:axPos val="l"/>
        <c:majorGridlines/>
        <c:numFmt formatCode="0.00%"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9723392"/>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Trend!PivotTable9</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Overall Review</a:t>
            </a:r>
            <a:r>
              <a:rPr lang="en-US" baseline="0"/>
              <a:t> Efficiency (Test)</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Trend'!$I$24</c:f>
              <c:strCache>
                <c:ptCount val="1"/>
                <c:pt idx="0">
                  <c:v>Total</c:v>
                </c:pt>
              </c:strCache>
            </c:strRef>
          </c:tx>
          <c:cat>
            <c:strRef>
              <c:f>'Defect Trend'!$H$25:$H$27</c:f>
              <c:strCache>
                <c:ptCount val="2"/>
                <c:pt idx="0">
                  <c:v>(blank)</c:v>
                </c:pt>
                <c:pt idx="1">
                  <c:v>Cycle 03</c:v>
                </c:pt>
              </c:strCache>
            </c:strRef>
          </c:cat>
          <c:val>
            <c:numRef>
              <c:f>'Defect Trend'!$I$25:$I$27</c:f>
              <c:numCache>
                <c:formatCode>0.00%</c:formatCode>
                <c:ptCount val="2"/>
                <c:pt idx="0">
                  <c:v>0</c:v>
                </c:pt>
                <c:pt idx="1">
                  <c:v>0</c:v>
                </c:pt>
              </c:numCache>
            </c:numRef>
          </c:val>
          <c:smooth val="0"/>
          <c:extLst>
            <c:ext xmlns:c16="http://schemas.microsoft.com/office/drawing/2014/chart" uri="{C3380CC4-5D6E-409C-BE32-E72D297353CC}">
              <c16:uniqueId val="{00000000-6EFD-4B7E-AABA-4FFBEB8013C4}"/>
            </c:ext>
          </c:extLst>
        </c:ser>
        <c:dLbls>
          <c:showLegendKey val="0"/>
          <c:showVal val="0"/>
          <c:showCatName val="0"/>
          <c:showSerName val="0"/>
          <c:showPercent val="0"/>
          <c:showBubbleSize val="0"/>
        </c:dLbls>
        <c:marker val="1"/>
        <c:smooth val="0"/>
        <c:axId val="249724416"/>
        <c:axId val="248936640"/>
      </c:lineChart>
      <c:catAx>
        <c:axId val="24972441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8936640"/>
        <c:crosses val="autoZero"/>
        <c:auto val="1"/>
        <c:lblAlgn val="ctr"/>
        <c:lblOffset val="100"/>
        <c:noMultiLvlLbl val="0"/>
      </c:catAx>
      <c:valAx>
        <c:axId val="248936640"/>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9724416"/>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Trend!PivotTable10</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a:t>
            </a:r>
            <a:r>
              <a:rPr lang="en-US" baseline="0"/>
              <a:t> Density by Effort (Test)</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Trend'!$C$40</c:f>
              <c:strCache>
                <c:ptCount val="1"/>
                <c:pt idx="0">
                  <c:v>Total</c:v>
                </c:pt>
              </c:strCache>
            </c:strRef>
          </c:tx>
          <c:cat>
            <c:strRef>
              <c:f>'Defect Trend'!$B$41:$B$43</c:f>
              <c:strCache>
                <c:ptCount val="2"/>
                <c:pt idx="0">
                  <c:v>(blank)</c:v>
                </c:pt>
                <c:pt idx="1">
                  <c:v>Cycle 03</c:v>
                </c:pt>
              </c:strCache>
            </c:strRef>
          </c:cat>
          <c:val>
            <c:numRef>
              <c:f>'Defect Trend'!$C$41:$C$43</c:f>
              <c:numCache>
                <c:formatCode>General</c:formatCode>
                <c:ptCount val="2"/>
                <c:pt idx="0">
                  <c:v>0</c:v>
                </c:pt>
                <c:pt idx="1">
                  <c:v>0</c:v>
                </c:pt>
              </c:numCache>
            </c:numRef>
          </c:val>
          <c:smooth val="0"/>
          <c:extLst>
            <c:ext xmlns:c16="http://schemas.microsoft.com/office/drawing/2014/chart" uri="{C3380CC4-5D6E-409C-BE32-E72D297353CC}">
              <c16:uniqueId val="{00000000-C3FC-47DA-9851-826C1870B15D}"/>
            </c:ext>
          </c:extLst>
        </c:ser>
        <c:dLbls>
          <c:showLegendKey val="0"/>
          <c:showVal val="0"/>
          <c:showCatName val="0"/>
          <c:showSerName val="0"/>
          <c:showPercent val="0"/>
          <c:showBubbleSize val="0"/>
        </c:dLbls>
        <c:marker val="1"/>
        <c:smooth val="0"/>
        <c:axId val="250441728"/>
        <c:axId val="250380288"/>
      </c:lineChart>
      <c:catAx>
        <c:axId val="250441728"/>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380288"/>
        <c:crosses val="autoZero"/>
        <c:auto val="1"/>
        <c:lblAlgn val="ctr"/>
        <c:lblOffset val="100"/>
        <c:noMultiLvlLbl val="0"/>
      </c:catAx>
      <c:valAx>
        <c:axId val="250380288"/>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1728"/>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Trend!PivotTable11</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a:t>
            </a:r>
            <a:r>
              <a:rPr lang="en-US" baseline="0"/>
              <a:t> Density by Size (Test)</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Trend'!$I$40</c:f>
              <c:strCache>
                <c:ptCount val="1"/>
                <c:pt idx="0">
                  <c:v>Total</c:v>
                </c:pt>
              </c:strCache>
            </c:strRef>
          </c:tx>
          <c:cat>
            <c:strRef>
              <c:f>'Defect Trend'!$H$41:$H$43</c:f>
              <c:strCache>
                <c:ptCount val="2"/>
                <c:pt idx="0">
                  <c:v>(blank)</c:v>
                </c:pt>
                <c:pt idx="1">
                  <c:v>Cycle 03</c:v>
                </c:pt>
              </c:strCache>
            </c:strRef>
          </c:cat>
          <c:val>
            <c:numRef>
              <c:f>'Defect Trend'!$I$41:$I$43</c:f>
              <c:numCache>
                <c:formatCode>General</c:formatCode>
                <c:ptCount val="2"/>
                <c:pt idx="0">
                  <c:v>0</c:v>
                </c:pt>
                <c:pt idx="1">
                  <c:v>0</c:v>
                </c:pt>
              </c:numCache>
            </c:numRef>
          </c:val>
          <c:smooth val="0"/>
          <c:extLst>
            <c:ext xmlns:c16="http://schemas.microsoft.com/office/drawing/2014/chart" uri="{C3380CC4-5D6E-409C-BE32-E72D297353CC}">
              <c16:uniqueId val="{00000000-8BF6-4138-A4B0-F01D1CB68A4A}"/>
            </c:ext>
          </c:extLst>
        </c:ser>
        <c:dLbls>
          <c:showLegendKey val="0"/>
          <c:showVal val="0"/>
          <c:showCatName val="0"/>
          <c:showSerName val="0"/>
          <c:showPercent val="0"/>
          <c:showBubbleSize val="0"/>
        </c:dLbls>
        <c:marker val="1"/>
        <c:smooth val="0"/>
        <c:axId val="250442240"/>
        <c:axId val="250382016"/>
      </c:lineChart>
      <c:catAx>
        <c:axId val="25044224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382016"/>
        <c:crosses val="autoZero"/>
        <c:auto val="1"/>
        <c:lblAlgn val="ctr"/>
        <c:lblOffset val="100"/>
        <c:noMultiLvlLbl val="0"/>
      </c:catAx>
      <c:valAx>
        <c:axId val="250382016"/>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2240"/>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Trend!PivotTable12</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Testcase Creation Productivity</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Trend'!$D$57</c:f>
              <c:strCache>
                <c:ptCount val="1"/>
                <c:pt idx="0">
                  <c:v>Total</c:v>
                </c:pt>
              </c:strCache>
            </c:strRef>
          </c:tx>
          <c:cat>
            <c:strRef>
              <c:f>'Defect Trend'!$C$58:$C$60</c:f>
              <c:strCache>
                <c:ptCount val="2"/>
                <c:pt idx="0">
                  <c:v>(blank)</c:v>
                </c:pt>
                <c:pt idx="1">
                  <c:v>Cycle 03</c:v>
                </c:pt>
              </c:strCache>
            </c:strRef>
          </c:cat>
          <c:val>
            <c:numRef>
              <c:f>'Defect Trend'!$D$58:$D$60</c:f>
              <c:numCache>
                <c:formatCode>General</c:formatCode>
                <c:ptCount val="2"/>
                <c:pt idx="0">
                  <c:v>0</c:v>
                </c:pt>
                <c:pt idx="1">
                  <c:v>0</c:v>
                </c:pt>
              </c:numCache>
            </c:numRef>
          </c:val>
          <c:smooth val="0"/>
          <c:extLst>
            <c:ext xmlns:c16="http://schemas.microsoft.com/office/drawing/2014/chart" uri="{C3380CC4-5D6E-409C-BE32-E72D297353CC}">
              <c16:uniqueId val="{00000000-E6D7-45D7-B535-A8F711EF2A4F}"/>
            </c:ext>
          </c:extLst>
        </c:ser>
        <c:dLbls>
          <c:showLegendKey val="0"/>
          <c:showVal val="0"/>
          <c:showCatName val="0"/>
          <c:showSerName val="0"/>
          <c:showPercent val="0"/>
          <c:showBubbleSize val="0"/>
        </c:dLbls>
        <c:marker val="1"/>
        <c:smooth val="0"/>
        <c:axId val="250442752"/>
        <c:axId val="250383744"/>
      </c:lineChart>
      <c:catAx>
        <c:axId val="25044275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383744"/>
        <c:crosses val="autoZero"/>
        <c:auto val="1"/>
        <c:lblAlgn val="ctr"/>
        <c:lblOffset val="100"/>
        <c:noMultiLvlLbl val="0"/>
      </c:catAx>
      <c:valAx>
        <c:axId val="250383744"/>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2752"/>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Trend!PivotTable13</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Test</a:t>
            </a:r>
            <a:r>
              <a:rPr lang="en-US" baseline="0"/>
              <a:t> case execution productivity</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Trend'!$I$56</c:f>
              <c:strCache>
                <c:ptCount val="1"/>
                <c:pt idx="0">
                  <c:v>Total</c:v>
                </c:pt>
              </c:strCache>
            </c:strRef>
          </c:tx>
          <c:cat>
            <c:strRef>
              <c:f>'Defect Trend'!$H$57:$H$59</c:f>
              <c:strCache>
                <c:ptCount val="2"/>
                <c:pt idx="0">
                  <c:v>(blank)</c:v>
                </c:pt>
                <c:pt idx="1">
                  <c:v>Cycle 03</c:v>
                </c:pt>
              </c:strCache>
            </c:strRef>
          </c:cat>
          <c:val>
            <c:numRef>
              <c:f>'Defect Trend'!$I$57:$I$59</c:f>
              <c:numCache>
                <c:formatCode>General</c:formatCode>
                <c:ptCount val="2"/>
                <c:pt idx="0">
                  <c:v>0</c:v>
                </c:pt>
                <c:pt idx="1">
                  <c:v>0</c:v>
                </c:pt>
              </c:numCache>
            </c:numRef>
          </c:val>
          <c:smooth val="0"/>
          <c:extLst>
            <c:ext xmlns:c16="http://schemas.microsoft.com/office/drawing/2014/chart" uri="{C3380CC4-5D6E-409C-BE32-E72D297353CC}">
              <c16:uniqueId val="{00000000-8326-4FBA-AF06-F90082848BA3}"/>
            </c:ext>
          </c:extLst>
        </c:ser>
        <c:dLbls>
          <c:showLegendKey val="0"/>
          <c:showVal val="0"/>
          <c:showCatName val="0"/>
          <c:showSerName val="0"/>
          <c:showPercent val="0"/>
          <c:showBubbleSize val="0"/>
        </c:dLbls>
        <c:marker val="1"/>
        <c:smooth val="0"/>
        <c:axId val="250443264"/>
        <c:axId val="250385472"/>
      </c:lineChart>
      <c:catAx>
        <c:axId val="25044326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385472"/>
        <c:crosses val="autoZero"/>
        <c:auto val="1"/>
        <c:lblAlgn val="ctr"/>
        <c:lblOffset val="100"/>
        <c:noMultiLvlLbl val="0"/>
      </c:catAx>
      <c:valAx>
        <c:axId val="250385472"/>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3264"/>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Trend!PivotTable15</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Leakage</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Trend'!$D$73</c:f>
              <c:strCache>
                <c:ptCount val="1"/>
                <c:pt idx="0">
                  <c:v>Total</c:v>
                </c:pt>
              </c:strCache>
            </c:strRef>
          </c:tx>
          <c:cat>
            <c:strRef>
              <c:f>'Defect Trend'!$C$74:$C$76</c:f>
              <c:strCache>
                <c:ptCount val="2"/>
                <c:pt idx="0">
                  <c:v>(blank)</c:v>
                </c:pt>
                <c:pt idx="1">
                  <c:v>Cycle 03</c:v>
                </c:pt>
              </c:strCache>
            </c:strRef>
          </c:cat>
          <c:val>
            <c:numRef>
              <c:f>'Defect Trend'!$D$74:$D$76</c:f>
              <c:numCache>
                <c:formatCode>General</c:formatCode>
                <c:ptCount val="2"/>
                <c:pt idx="0">
                  <c:v>0</c:v>
                </c:pt>
                <c:pt idx="1">
                  <c:v>0</c:v>
                </c:pt>
              </c:numCache>
            </c:numRef>
          </c:val>
          <c:smooth val="0"/>
          <c:extLst>
            <c:ext xmlns:c16="http://schemas.microsoft.com/office/drawing/2014/chart" uri="{C3380CC4-5D6E-409C-BE32-E72D297353CC}">
              <c16:uniqueId val="{00000000-0BD7-4AC5-AE6A-E78737936B0A}"/>
            </c:ext>
          </c:extLst>
        </c:ser>
        <c:dLbls>
          <c:showLegendKey val="0"/>
          <c:showVal val="0"/>
          <c:showCatName val="0"/>
          <c:showSerName val="0"/>
          <c:showPercent val="0"/>
          <c:showBubbleSize val="0"/>
        </c:dLbls>
        <c:marker val="1"/>
        <c:smooth val="0"/>
        <c:axId val="250443776"/>
        <c:axId val="250387200"/>
      </c:lineChart>
      <c:catAx>
        <c:axId val="25044377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387200"/>
        <c:crosses val="autoZero"/>
        <c:auto val="1"/>
        <c:lblAlgn val="ctr"/>
        <c:lblOffset val="100"/>
        <c:noMultiLvlLbl val="0"/>
      </c:catAx>
      <c:valAx>
        <c:axId val="250387200"/>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3776"/>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Trend!PivotTable16</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Severity Index</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Trend'!$I$72</c:f>
              <c:strCache>
                <c:ptCount val="1"/>
                <c:pt idx="0">
                  <c:v>Total</c:v>
                </c:pt>
              </c:strCache>
            </c:strRef>
          </c:tx>
          <c:cat>
            <c:strRef>
              <c:f>'Defect Trend'!$H$73:$H$75</c:f>
              <c:strCache>
                <c:ptCount val="2"/>
                <c:pt idx="0">
                  <c:v>(blank)</c:v>
                </c:pt>
                <c:pt idx="1">
                  <c:v>Cycle 03</c:v>
                </c:pt>
              </c:strCache>
            </c:strRef>
          </c:cat>
          <c:val>
            <c:numRef>
              <c:f>'Defect Trend'!$I$73:$I$75</c:f>
              <c:numCache>
                <c:formatCode>General</c:formatCode>
                <c:ptCount val="2"/>
                <c:pt idx="0">
                  <c:v>0</c:v>
                </c:pt>
                <c:pt idx="1">
                  <c:v>0</c:v>
                </c:pt>
              </c:numCache>
            </c:numRef>
          </c:val>
          <c:smooth val="0"/>
          <c:extLst>
            <c:ext xmlns:c16="http://schemas.microsoft.com/office/drawing/2014/chart" uri="{C3380CC4-5D6E-409C-BE32-E72D297353CC}">
              <c16:uniqueId val="{00000000-49AD-4F8E-A919-8FD03E3BDC62}"/>
            </c:ext>
          </c:extLst>
        </c:ser>
        <c:dLbls>
          <c:showLegendKey val="0"/>
          <c:showVal val="0"/>
          <c:showCatName val="0"/>
          <c:showSerName val="0"/>
          <c:showPercent val="0"/>
          <c:showBubbleSize val="0"/>
        </c:dLbls>
        <c:marker val="1"/>
        <c:smooth val="0"/>
        <c:axId val="250444288"/>
        <c:axId val="250806848"/>
      </c:lineChart>
      <c:catAx>
        <c:axId val="250444288"/>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806848"/>
        <c:crosses val="autoZero"/>
        <c:auto val="1"/>
        <c:lblAlgn val="ctr"/>
        <c:lblOffset val="100"/>
        <c:noMultiLvlLbl val="0"/>
      </c:catAx>
      <c:valAx>
        <c:axId val="250806848"/>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4288"/>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Trend!PivotTable17</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Validation Productivity</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Trend'!$D$92</c:f>
              <c:strCache>
                <c:ptCount val="1"/>
                <c:pt idx="0">
                  <c:v>Total</c:v>
                </c:pt>
              </c:strCache>
            </c:strRef>
          </c:tx>
          <c:cat>
            <c:strRef>
              <c:f>'Defect Trend'!$C$93:$C$95</c:f>
              <c:strCache>
                <c:ptCount val="2"/>
                <c:pt idx="0">
                  <c:v>(blank)</c:v>
                </c:pt>
                <c:pt idx="1">
                  <c:v>Cycle 03</c:v>
                </c:pt>
              </c:strCache>
            </c:strRef>
          </c:cat>
          <c:val>
            <c:numRef>
              <c:f>'Defect Trend'!$D$93:$D$95</c:f>
              <c:numCache>
                <c:formatCode>General</c:formatCode>
                <c:ptCount val="2"/>
                <c:pt idx="0">
                  <c:v>0</c:v>
                </c:pt>
                <c:pt idx="1">
                  <c:v>0</c:v>
                </c:pt>
              </c:numCache>
            </c:numRef>
          </c:val>
          <c:smooth val="0"/>
          <c:extLst>
            <c:ext xmlns:c16="http://schemas.microsoft.com/office/drawing/2014/chart" uri="{C3380CC4-5D6E-409C-BE32-E72D297353CC}">
              <c16:uniqueId val="{00000000-CB6F-4BEE-A5B7-C153B4DE34E5}"/>
            </c:ext>
          </c:extLst>
        </c:ser>
        <c:dLbls>
          <c:showLegendKey val="0"/>
          <c:showVal val="0"/>
          <c:showCatName val="0"/>
          <c:showSerName val="0"/>
          <c:showPercent val="0"/>
          <c:showBubbleSize val="0"/>
        </c:dLbls>
        <c:marker val="1"/>
        <c:smooth val="0"/>
        <c:axId val="250444800"/>
        <c:axId val="250808576"/>
      </c:lineChart>
      <c:catAx>
        <c:axId val="25044480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808576"/>
        <c:crosses val="autoZero"/>
        <c:auto val="1"/>
        <c:lblAlgn val="ctr"/>
        <c:lblOffset val="100"/>
        <c:noMultiLvlLbl val="0"/>
      </c:catAx>
      <c:valAx>
        <c:axId val="250808576"/>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4800"/>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2022.xlsm]Defect Trend!PivotTable18</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Defect Acceptance</a:t>
            </a:r>
            <a:r>
              <a:rPr lang="en-US" baseline="0"/>
              <a:t> Rate</a:t>
            </a:r>
            <a:endParaRPr lang="en-US"/>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cked"/>
        <c:varyColors val="0"/>
        <c:ser>
          <c:idx val="0"/>
          <c:order val="0"/>
          <c:tx>
            <c:strRef>
              <c:f>'Defect Trend'!$I$88</c:f>
              <c:strCache>
                <c:ptCount val="1"/>
                <c:pt idx="0">
                  <c:v>Total</c:v>
                </c:pt>
              </c:strCache>
            </c:strRef>
          </c:tx>
          <c:cat>
            <c:strRef>
              <c:f>'Defect Trend'!$H$89:$H$91</c:f>
              <c:strCache>
                <c:ptCount val="2"/>
                <c:pt idx="0">
                  <c:v>(blank)</c:v>
                </c:pt>
                <c:pt idx="1">
                  <c:v>Cycle 03</c:v>
                </c:pt>
              </c:strCache>
            </c:strRef>
          </c:cat>
          <c:val>
            <c:numRef>
              <c:f>'Defect Trend'!$I$89:$I$91</c:f>
              <c:numCache>
                <c:formatCode>General</c:formatCode>
                <c:ptCount val="2"/>
                <c:pt idx="0">
                  <c:v>0</c:v>
                </c:pt>
                <c:pt idx="1">
                  <c:v>0</c:v>
                </c:pt>
              </c:numCache>
            </c:numRef>
          </c:val>
          <c:smooth val="0"/>
          <c:extLst>
            <c:ext xmlns:c16="http://schemas.microsoft.com/office/drawing/2014/chart" uri="{C3380CC4-5D6E-409C-BE32-E72D297353CC}">
              <c16:uniqueId val="{00000000-E870-416D-88B8-1AA0142FBD29}"/>
            </c:ext>
          </c:extLst>
        </c:ser>
        <c:dLbls>
          <c:showLegendKey val="0"/>
          <c:showVal val="0"/>
          <c:showCatName val="0"/>
          <c:showSerName val="0"/>
          <c:showPercent val="0"/>
          <c:showBubbleSize val="0"/>
        </c:dLbls>
        <c:marker val="1"/>
        <c:smooth val="0"/>
        <c:axId val="250445312"/>
        <c:axId val="250810304"/>
      </c:lineChart>
      <c:catAx>
        <c:axId val="25044531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810304"/>
        <c:crosses val="autoZero"/>
        <c:auto val="1"/>
        <c:lblAlgn val="ctr"/>
        <c:lblOffset val="100"/>
        <c:noMultiLvlLbl val="0"/>
      </c:catAx>
      <c:valAx>
        <c:axId val="250810304"/>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445312"/>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2022.xlsm]RSI Productivity Trend!PivotTable19</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Requirement Stability Index</a:t>
            </a:r>
          </a:p>
        </c:rich>
      </c:tx>
      <c:overlay val="0"/>
    </c:title>
    <c:autoTitleDeleted val="0"/>
    <c:pivotFmts>
      <c:pivotFmt>
        <c:idx val="0"/>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1631253964651E-2"/>
          <c:y val="0.23742053489772699"/>
          <c:w val="0.94169864576240603"/>
          <c:h val="0.59702259597153795"/>
        </c:manualLayout>
      </c:layout>
      <c:lineChart>
        <c:grouping val="stacked"/>
        <c:varyColors val="0"/>
        <c:ser>
          <c:idx val="0"/>
          <c:order val="0"/>
          <c:tx>
            <c:strRef>
              <c:f>'RSI Productivity Trend'!$E$9:$E$10</c:f>
              <c:strCache>
                <c:ptCount val="1"/>
                <c:pt idx="0">
                  <c:v>L1</c:v>
                </c:pt>
              </c:strCache>
            </c:strRef>
          </c:tx>
          <c:dLbls>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'RSI Productivity Trend'!$D$11:$D$12</c:f>
              <c:strCache>
                <c:ptCount val="1"/>
                <c:pt idx="0">
                  <c:v>Cycle 03</c:v>
                </c:pt>
              </c:strCache>
            </c:strRef>
          </c:cat>
          <c:val>
            <c:numRef>
              <c:f>'RSI Productivity Trend'!$E$11:$E$12</c:f>
              <c:numCache>
                <c:formatCode>General</c:formatCode>
                <c:ptCount val="1"/>
                <c:pt idx="0">
                  <c:v>1</c:v>
                </c:pt>
              </c:numCache>
            </c:numRef>
          </c:val>
          <c:smooth val="0"/>
          <c:extLst>
            <c:ext xmlns:c16="http://schemas.microsoft.com/office/drawing/2014/chart" uri="{C3380CC4-5D6E-409C-BE32-E72D297353CC}">
              <c16:uniqueId val="{00000000-0267-4774-BD3E-4B47F4F4DBE6}"/>
            </c:ext>
          </c:extLst>
        </c:ser>
        <c:ser>
          <c:idx val="1"/>
          <c:order val="1"/>
          <c:tx>
            <c:strRef>
              <c:f>'RSI Productivity Trend'!$F$9:$F$10</c:f>
              <c:strCache>
                <c:ptCount val="1"/>
                <c:pt idx="0">
                  <c:v>L3</c:v>
                </c:pt>
              </c:strCache>
            </c:strRef>
          </c:tx>
          <c:dLbls>
            <c:numFmt formatCode="#,##0.00" sourceLinked="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'RSI Productivity Trend'!$D$11:$D$12</c:f>
              <c:strCache>
                <c:ptCount val="1"/>
                <c:pt idx="0">
                  <c:v>Cycle 03</c:v>
                </c:pt>
              </c:strCache>
            </c:strRef>
          </c:cat>
          <c:val>
            <c:numRef>
              <c:f>'RSI Productivity Trend'!$F$11:$F$12</c:f>
              <c:numCache>
                <c:formatCode>General</c:formatCode>
                <c:ptCount val="1"/>
                <c:pt idx="0">
                  <c:v>1</c:v>
                </c:pt>
              </c:numCache>
            </c:numRef>
          </c:val>
          <c:smooth val="0"/>
          <c:extLst>
            <c:ext xmlns:c16="http://schemas.microsoft.com/office/drawing/2014/chart" uri="{C3380CC4-5D6E-409C-BE32-E72D297353CC}">
              <c16:uniqueId val="{00000001-0267-4774-BD3E-4B47F4F4DBE6}"/>
            </c:ext>
          </c:extLst>
        </c:ser>
        <c:dLbls>
          <c:showLegendKey val="0"/>
          <c:showVal val="0"/>
          <c:showCatName val="0"/>
          <c:showSerName val="0"/>
          <c:showPercent val="0"/>
          <c:showBubbleSize val="0"/>
        </c:dLbls>
        <c:marker val="1"/>
        <c:smooth val="0"/>
        <c:axId val="249723904"/>
        <c:axId val="250812032"/>
      </c:lineChart>
      <c:catAx>
        <c:axId val="24972390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crossAx val="250812032"/>
        <c:crosses val="autoZero"/>
        <c:auto val="1"/>
        <c:lblAlgn val="ctr"/>
        <c:lblOffset val="100"/>
        <c:noMultiLvlLbl val="0"/>
      </c:catAx>
      <c:valAx>
        <c:axId val="250812032"/>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49723904"/>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2022.xlsm]RSI Productivity Trend!PivotTable20</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Productivity</a:t>
            </a:r>
          </a:p>
        </c:rich>
      </c:tx>
      <c:overlay val="0"/>
    </c:title>
    <c:autoTitleDeleted val="0"/>
    <c:pivotFmts>
      <c:pivotFmt>
        <c:idx val="0"/>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dLbl>
          <c:idx val="0"/>
          <c:numFmt formatCode="#,##0.00" sourceLinked="0"/>
          <c:spPr>
            <a:noFill/>
            <a:ln>
              <a:noFill/>
            </a:ln>
            <a:effectLst/>
          </c:spPr>
          <c:txPr>
            <a:bodyPr rot="0" spcFirstLastPara="0" vertOverflow="ellipsis" vert="horz" wrap="square" lIns="38100" tIns="19050" rIns="38100" bIns="19050" anchor="ctr" anchorCtr="1"/>
            <a:lstStyle/>
            <a:p>
              <a:pPr>
                <a:defRPr lang="en-US" sz="10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'RSI Productivity Trend'!$G$28</c:f>
              <c:strCache>
                <c:ptCount val="1"/>
                <c:pt idx="0">
                  <c:v>Total</c:v>
                </c:pt>
              </c:strCache>
            </c:strRef>
          </c:tx>
          <c:dLbls>
            <c:numFmt formatCode="#,##0.00" sourceLinked="0"/>
            <c:spPr>
              <a:noFill/>
              <a:ln>
                <a:noFill/>
              </a:ln>
              <a:effectLst/>
            </c:spPr>
            <c:txPr>
              <a:bodyPr rot="0" spcFirstLastPara="0" vertOverflow="ellipsis" vert="horz" wrap="square" lIns="38100" tIns="19050" rIns="38100" bIns="19050" anchor="ctr" anchorCtr="1"/>
              <a:lstStyle/>
              <a:p>
                <a:pPr>
                  <a:defRPr lang="en-US" sz="100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'RSI Productivity Trend'!$F$29:$F$30</c:f>
              <c:strCache>
                <c:ptCount val="1"/>
                <c:pt idx="0">
                  <c:v>Cycle 03</c:v>
                </c:pt>
              </c:strCache>
            </c:strRef>
          </c:cat>
          <c:val>
            <c:numRef>
              <c:f>'RSI Productivity Trend'!$G$29:$G$30</c:f>
              <c:numCache>
                <c:formatCode>General</c:formatCode>
                <c:ptCount val="1"/>
                <c:pt idx="0">
                  <c:v>0</c:v>
                </c:pt>
              </c:numCache>
            </c:numRef>
          </c:val>
          <c:smooth val="0"/>
          <c:extLst>
            <c:ext xmlns:c16="http://schemas.microsoft.com/office/drawing/2014/chart" uri="{C3380CC4-5D6E-409C-BE32-E72D297353CC}">
              <c16:uniqueId val="{00000000-4F19-43DC-8A5F-55C8F678CEB9}"/>
            </c:ext>
          </c:extLst>
        </c:ser>
        <c:dLbls>
          <c:showLegendKey val="0"/>
          <c:showVal val="0"/>
          <c:showCatName val="0"/>
          <c:showSerName val="0"/>
          <c:showPercent val="0"/>
          <c:showBubbleSize val="0"/>
        </c:dLbls>
        <c:marker val="1"/>
        <c:smooth val="0"/>
        <c:axId val="250942976"/>
        <c:axId val="250813760"/>
      </c:lineChart>
      <c:catAx>
        <c:axId val="25094297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813760"/>
        <c:crosses val="autoZero"/>
        <c:auto val="1"/>
        <c:lblAlgn val="ctr"/>
        <c:lblOffset val="100"/>
        <c:noMultiLvlLbl val="0"/>
      </c:catAx>
      <c:valAx>
        <c:axId val="250813760"/>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942976"/>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[Moove Connected Mobility Metric Data Oct 2022.xlsm]L'd Factor!PivotTable1</c:name>
    <c:fmtId val="0"/>
  </c:pivotSource>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t>Load Factor</a:t>
            </a:r>
          </a:p>
        </c:rich>
      </c:tx>
      <c:overlay val="0"/>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manualLayout>
          <c:layoutTarget val="inner"/>
          <c:xMode val="edge"/>
          <c:yMode val="edge"/>
          <c:x val="0.11041883325905"/>
          <c:y val="0.244708734324876"/>
          <c:w val="0.87123735122732304"/>
          <c:h val="0.41875801983085398"/>
        </c:manualLayout>
      </c:layout>
      <c:lineChart>
        <c:grouping val="stacked"/>
        <c:varyColors val="0"/>
        <c:ser>
          <c:idx val="0"/>
          <c:order val="0"/>
          <c:tx>
            <c:strRef>
              <c:f>'L''d Factor'!$E$6</c:f>
              <c:strCache>
                <c:ptCount val="1"/>
                <c:pt idx="0">
                  <c:v>Total</c:v>
                </c:pt>
              </c:strCache>
            </c:strRef>
          </c:tx>
          <c:cat>
            <c:strRef>
              <c:f>'L''d Factor'!$D$7:$D$10</c:f>
              <c:strCache>
                <c:ptCount val="3"/>
                <c:pt idx="1">
                  <c:v>Jan-21</c:v>
                </c:pt>
                <c:pt idx="2">
                  <c:v>Feb-21</c:v>
                </c:pt>
              </c:strCache>
            </c:strRef>
          </c:cat>
          <c:val>
            <c:numRef>
              <c:f>'L''d Factor'!$E$7:$E$10</c:f>
              <c:numCache>
                <c:formatCode>0%</c:formatCode>
                <c:ptCount val="3"/>
                <c:pt idx="0">
                  <c:v>0</c:v>
                </c:pt>
                <c:pt idx="1">
                  <c:v>0</c:v>
                </c:pt>
                <c:pt idx="2">
                  <c:v>0</c:v>
                </c:pt>
              </c:numCache>
            </c:numRef>
          </c:val>
          <c:smooth val="0"/>
          <c:extLst>
            <c:ext xmlns:c16="http://schemas.microsoft.com/office/drawing/2014/chart" uri="{C3380CC4-5D6E-409C-BE32-E72D297353CC}">
              <c16:uniqueId val="{00000000-D3FB-44F8-9DD9-750EE524C2BD}"/>
            </c:ext>
          </c:extLst>
        </c:ser>
        <c:dLbls>
          <c:showLegendKey val="0"/>
          <c:showVal val="0"/>
          <c:showCatName val="0"/>
          <c:showSerName val="0"/>
          <c:showPercent val="0"/>
          <c:showBubbleSize val="0"/>
        </c:dLbls>
        <c:marker val="1"/>
        <c:smooth val="0"/>
        <c:axId val="251109376"/>
        <c:axId val="250225216"/>
      </c:lineChart>
      <c:catAx>
        <c:axId val="25110937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0225216"/>
        <c:crosses val="autoZero"/>
        <c:auto val="1"/>
        <c:lblAlgn val="ctr"/>
        <c:lblOffset val="100"/>
        <c:noMultiLvlLbl val="0"/>
      </c:catAx>
      <c:valAx>
        <c:axId val="250225216"/>
        <c:scaling>
          <c:orientation val="minMax"/>
        </c:scaling>
        <c:delete val="0"/>
        <c:axPos val="l"/>
        <c:majorGridlines/>
        <c:numFmt formatCode="0%" sourceLinked="1"/>
        <c:majorTickMark val="out"/>
        <c:minorTickMark val="none"/>
        <c:tickLblPos val="nextTo"/>
        <c:txPr>
          <a:bodyPr rot="-6000000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251109376"/>
        <c:crosses val="autoZero"/>
        <c:crossBetween val="between"/>
      </c:valAx>
    </c:plotArea>
    <c:plotVisOnly val="1"/>
    <c:dispBlanksAs val="gap"/>
    <c:showDLblsOverMax val="0"/>
  </c:chart>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390525</xdr:colOff>
          <xdr:row>1</xdr:row>
          <xdr:rowOff>171450</xdr:rowOff>
        </xdr:from>
        <xdr:to>
          <xdr:col>12</xdr:col>
          <xdr:colOff>323850</xdr:colOff>
          <xdr:row>4</xdr:row>
          <xdr:rowOff>9525</xdr:rowOff>
        </xdr:to>
        <xdr:sp macro="" textlink="">
          <xdr:nvSpPr>
            <xdr:cNvPr id="6147" name="chk_Dev"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Maintenance - Enhancements - 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xdr:row>
          <xdr:rowOff>161925</xdr:rowOff>
        </xdr:from>
        <xdr:to>
          <xdr:col>12</xdr:col>
          <xdr:colOff>323850</xdr:colOff>
          <xdr:row>5</xdr:row>
          <xdr:rowOff>9525</xdr:rowOff>
        </xdr:to>
        <xdr:sp macro="" textlink="">
          <xdr:nvSpPr>
            <xdr:cNvPr id="6148" name="chk_Test"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Maintenance Metrics Enhancement- Testing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352425</xdr:colOff>
          <xdr:row>4</xdr:row>
          <xdr:rowOff>57150</xdr:rowOff>
        </xdr:from>
        <xdr:to>
          <xdr:col>15</xdr:col>
          <xdr:colOff>914400</xdr:colOff>
          <xdr:row>5</xdr:row>
          <xdr:rowOff>76200</xdr:rowOff>
        </xdr:to>
        <xdr:sp macro="" textlink="">
          <xdr:nvSpPr>
            <xdr:cNvPr id="6150" name="btnAppend"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Append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561975</xdr:colOff>
      <xdr:row>22</xdr:row>
      <xdr:rowOff>161925</xdr:rowOff>
    </xdr:from>
    <xdr:to>
      <xdr:col>14</xdr:col>
      <xdr:colOff>257175</xdr:colOff>
      <xdr:row>37</xdr:row>
      <xdr:rowOff>47625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104776</xdr:colOff>
      <xdr:row>3</xdr:row>
      <xdr:rowOff>42861</xdr:rowOff>
    </xdr:from>
    <xdr:to>
      <xdr:col>9</xdr:col>
      <xdr:colOff>76201</xdr:colOff>
      <xdr:row>20</xdr:row>
      <xdr:rowOff>28574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438151</xdr:colOff>
      <xdr:row>3</xdr:row>
      <xdr:rowOff>0</xdr:rowOff>
    </xdr:from>
    <xdr:to>
      <xdr:col>18</xdr:col>
      <xdr:colOff>1</xdr:colOff>
      <xdr:row>20</xdr:row>
      <xdr:rowOff>28575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47625</xdr:colOff>
          <xdr:row>0</xdr:row>
          <xdr:rowOff>180975</xdr:rowOff>
        </xdr:from>
        <xdr:to>
          <xdr:col>5</xdr:col>
          <xdr:colOff>0</xdr:colOff>
          <xdr:row>2</xdr:row>
          <xdr:rowOff>28575</xdr:rowOff>
        </xdr:to>
        <xdr:sp macro="" textlink="">
          <xdr:nvSpPr>
            <xdr:cNvPr id="11265" name="btnEffortRefresh"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Refresh Pivot</a:t>
              </a:r>
            </a:p>
          </xdr:txBody>
        </xdr:sp>
        <xdr:clientData fPrintsWithSheet="0"/>
      </xdr:twoCellAnchor>
    </mc:Choice>
    <mc:Fallback/>
  </mc:AlternateContent>
  <xdr:twoCellAnchor>
    <xdr:from>
      <xdr:col>0</xdr:col>
      <xdr:colOff>371475</xdr:colOff>
      <xdr:row>38</xdr:row>
      <xdr:rowOff>38100</xdr:rowOff>
    </xdr:from>
    <xdr:to>
      <xdr:col>10</xdr:col>
      <xdr:colOff>66674</xdr:colOff>
      <xdr:row>54</xdr:row>
      <xdr:rowOff>95249</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47625</xdr:colOff>
      <xdr:row>38</xdr:row>
      <xdr:rowOff>104774</xdr:rowOff>
    </xdr:from>
    <xdr:to>
      <xdr:col>17</xdr:col>
      <xdr:colOff>180975</xdr:colOff>
      <xdr:row>54</xdr:row>
      <xdr:rowOff>38099</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485775</xdr:colOff>
      <xdr:row>2</xdr:row>
      <xdr:rowOff>123825</xdr:rowOff>
    </xdr:from>
    <xdr:to>
      <xdr:col>10</xdr:col>
      <xdr:colOff>83820</xdr:colOff>
      <xdr:row>17</xdr:row>
      <xdr:rowOff>9525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457200</xdr:colOff>
      <xdr:row>19</xdr:row>
      <xdr:rowOff>66675</xdr:rowOff>
    </xdr:from>
    <xdr:to>
      <xdr:col>10</xdr:col>
      <xdr:colOff>55245</xdr:colOff>
      <xdr:row>33</xdr:row>
      <xdr:rowOff>142875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47625</xdr:colOff>
          <xdr:row>0</xdr:row>
          <xdr:rowOff>161925</xdr:rowOff>
        </xdr:from>
        <xdr:to>
          <xdr:col>5</xdr:col>
          <xdr:colOff>9525</xdr:colOff>
          <xdr:row>1</xdr:row>
          <xdr:rowOff>180975</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Refresh Pivot</a:t>
              </a:r>
            </a:p>
          </xdr:txBody>
        </xdr:sp>
        <xdr:clientData fPrintsWithSheet="0"/>
      </xdr:twoCellAnchor>
    </mc:Choice>
    <mc:Fallback/>
  </mc:AlternateContent>
  <xdr:twoCellAnchor>
    <xdr:from>
      <xdr:col>2</xdr:col>
      <xdr:colOff>485775</xdr:colOff>
      <xdr:row>37</xdr:row>
      <xdr:rowOff>104775</xdr:rowOff>
    </xdr:from>
    <xdr:to>
      <xdr:col>10</xdr:col>
      <xdr:colOff>133350</xdr:colOff>
      <xdr:row>51</xdr:row>
      <xdr:rowOff>180975</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495300</xdr:colOff>
      <xdr:row>56</xdr:row>
      <xdr:rowOff>0</xdr:rowOff>
    </xdr:from>
    <xdr:to>
      <xdr:col>10</xdr:col>
      <xdr:colOff>161925</xdr:colOff>
      <xdr:row>70</xdr:row>
      <xdr:rowOff>76200</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638174</xdr:colOff>
      <xdr:row>2</xdr:row>
      <xdr:rowOff>171450</xdr:rowOff>
    </xdr:from>
    <xdr:to>
      <xdr:col>7</xdr:col>
      <xdr:colOff>552450</xdr:colOff>
      <xdr:row>19</xdr:row>
      <xdr:rowOff>57150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552449</xdr:colOff>
      <xdr:row>42</xdr:row>
      <xdr:rowOff>38099</xdr:rowOff>
    </xdr:from>
    <xdr:to>
      <xdr:col>7</xdr:col>
      <xdr:colOff>685800</xdr:colOff>
      <xdr:row>60</xdr:row>
      <xdr:rowOff>104774</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161925</xdr:colOff>
          <xdr:row>1</xdr:row>
          <xdr:rowOff>0</xdr:rowOff>
        </xdr:from>
        <xdr:to>
          <xdr:col>5</xdr:col>
          <xdr:colOff>76200</xdr:colOff>
          <xdr:row>2</xdr:row>
          <xdr:rowOff>28575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Refresh Pivot</a:t>
              </a:r>
            </a:p>
          </xdr:txBody>
        </xdr:sp>
        <xdr:clientData fPrintsWithSheet="0"/>
      </xdr:twoCellAnchor>
    </mc:Choice>
    <mc:Fallback/>
  </mc:AlternateContent>
  <xdr:twoCellAnchor>
    <xdr:from>
      <xdr:col>1</xdr:col>
      <xdr:colOff>647700</xdr:colOff>
      <xdr:row>23</xdr:row>
      <xdr:rowOff>0</xdr:rowOff>
    </xdr:from>
    <xdr:to>
      <xdr:col>7</xdr:col>
      <xdr:colOff>647699</xdr:colOff>
      <xdr:row>39</xdr:row>
      <xdr:rowOff>133350</xdr:rowOff>
    </xdr:to>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99483</xdr:colOff>
      <xdr:row>2</xdr:row>
      <xdr:rowOff>179917</xdr:rowOff>
    </xdr:from>
    <xdr:to>
      <xdr:col>10</xdr:col>
      <xdr:colOff>76411</xdr:colOff>
      <xdr:row>17</xdr:row>
      <xdr:rowOff>65617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209549</xdr:colOff>
      <xdr:row>3</xdr:row>
      <xdr:rowOff>6351</xdr:rowOff>
    </xdr:from>
    <xdr:to>
      <xdr:col>4</xdr:col>
      <xdr:colOff>285961</xdr:colOff>
      <xdr:row>17</xdr:row>
      <xdr:rowOff>82551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119592</xdr:colOff>
      <xdr:row>18</xdr:row>
      <xdr:rowOff>161925</xdr:rowOff>
    </xdr:from>
    <xdr:to>
      <xdr:col>4</xdr:col>
      <xdr:colOff>277495</xdr:colOff>
      <xdr:row>33</xdr:row>
      <xdr:rowOff>47625</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77257</xdr:colOff>
      <xdr:row>18</xdr:row>
      <xdr:rowOff>161925</xdr:rowOff>
    </xdr:from>
    <xdr:to>
      <xdr:col>9</xdr:col>
      <xdr:colOff>601344</xdr:colOff>
      <xdr:row>33</xdr:row>
      <xdr:rowOff>47625</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133349</xdr:colOff>
      <xdr:row>34</xdr:row>
      <xdr:rowOff>117475</xdr:rowOff>
    </xdr:from>
    <xdr:to>
      <xdr:col>4</xdr:col>
      <xdr:colOff>291252</xdr:colOff>
      <xdr:row>49</xdr:row>
      <xdr:rowOff>3175</xdr:rowOff>
    </xdr:to>
    <xdr:graphicFrame macro="">
      <xdr:nvGraphicFramePr>
        <xdr:cNvPr id="6" name="Chart 5">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510115</xdr:colOff>
      <xdr:row>34</xdr:row>
      <xdr:rowOff>149226</xdr:rowOff>
    </xdr:from>
    <xdr:to>
      <xdr:col>9</xdr:col>
      <xdr:colOff>424602</xdr:colOff>
      <xdr:row>49</xdr:row>
      <xdr:rowOff>34926</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82550</xdr:colOff>
      <xdr:row>50</xdr:row>
      <xdr:rowOff>180975</xdr:rowOff>
    </xdr:from>
    <xdr:to>
      <xdr:col>4</xdr:col>
      <xdr:colOff>240453</xdr:colOff>
      <xdr:row>65</xdr:row>
      <xdr:rowOff>66675</xdr:rowOff>
    </xdr:to>
    <xdr:graphicFrame macro="">
      <xdr:nvGraphicFramePr>
        <xdr:cNvPr id="8" name="Chart 7">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436033</xdr:colOff>
      <xdr:row>50</xdr:row>
      <xdr:rowOff>177800</xdr:rowOff>
    </xdr:from>
    <xdr:to>
      <xdr:col>9</xdr:col>
      <xdr:colOff>350520</xdr:colOff>
      <xdr:row>65</xdr:row>
      <xdr:rowOff>63500</xdr:rowOff>
    </xdr:to>
    <xdr:graphicFrame macro="">
      <xdr:nvGraphicFramePr>
        <xdr:cNvPr id="9" name="Chart 8">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52917</xdr:colOff>
      <xdr:row>67</xdr:row>
      <xdr:rowOff>98425</xdr:rowOff>
    </xdr:from>
    <xdr:to>
      <xdr:col>4</xdr:col>
      <xdr:colOff>210820</xdr:colOff>
      <xdr:row>81</xdr:row>
      <xdr:rowOff>174625</xdr:rowOff>
    </xdr:to>
    <xdr:graphicFrame macro="">
      <xdr:nvGraphicFramePr>
        <xdr:cNvPr id="10" name="Chart 9">
          <a:extLst>
            <a:ext uri="{FF2B5EF4-FFF2-40B4-BE49-F238E27FC236}">
              <a16:creationId xmlns:a16="http://schemas.microsoft.com/office/drawing/2014/main" id="{00000000-0008-0000-0E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330198</xdr:colOff>
      <xdr:row>67</xdr:row>
      <xdr:rowOff>94192</xdr:rowOff>
    </xdr:from>
    <xdr:to>
      <xdr:col>9</xdr:col>
      <xdr:colOff>244685</xdr:colOff>
      <xdr:row>81</xdr:row>
      <xdr:rowOff>170392</xdr:rowOff>
    </xdr:to>
    <xdr:graphicFrame macro="">
      <xdr:nvGraphicFramePr>
        <xdr:cNvPr id="11" name="Chart 10">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60325</xdr:colOff>
      <xdr:row>83</xdr:row>
      <xdr:rowOff>156633</xdr:rowOff>
    </xdr:from>
    <xdr:to>
      <xdr:col>4</xdr:col>
      <xdr:colOff>218228</xdr:colOff>
      <xdr:row>98</xdr:row>
      <xdr:rowOff>42333</xdr:rowOff>
    </xdr:to>
    <xdr:graphicFrame macro="">
      <xdr:nvGraphicFramePr>
        <xdr:cNvPr id="12" name="Chart 11">
          <a:extLst>
            <a:ext uri="{FF2B5EF4-FFF2-40B4-BE49-F238E27FC236}">
              <a16:creationId xmlns:a16="http://schemas.microsoft.com/office/drawing/2014/main" id="{00000000-0008-0000-0E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335491</xdr:colOff>
      <xdr:row>83</xdr:row>
      <xdr:rowOff>142875</xdr:rowOff>
    </xdr:from>
    <xdr:to>
      <xdr:col>9</xdr:col>
      <xdr:colOff>249978</xdr:colOff>
      <xdr:row>98</xdr:row>
      <xdr:rowOff>28575</xdr:rowOff>
    </xdr:to>
    <xdr:graphicFrame macro="">
      <xdr:nvGraphicFramePr>
        <xdr:cNvPr id="13" name="Chart 12">
          <a:extLst>
            <a:ext uri="{FF2B5EF4-FFF2-40B4-BE49-F238E27FC236}">
              <a16:creationId xmlns:a16="http://schemas.microsoft.com/office/drawing/2014/main" id="{00000000-0008-0000-0E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3</xdr:col>
          <xdr:colOff>285750</xdr:colOff>
          <xdr:row>0</xdr:row>
          <xdr:rowOff>152400</xdr:rowOff>
        </xdr:from>
        <xdr:to>
          <xdr:col>4</xdr:col>
          <xdr:colOff>0</xdr:colOff>
          <xdr:row>1</xdr:row>
          <xdr:rowOff>180975</xdr:rowOff>
        </xdr:to>
        <xdr:sp macro="" textlink="">
          <xdr:nvSpPr>
            <xdr:cNvPr id="30721" name="btnDefectRefresh"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Refresh Pivot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476250</xdr:colOff>
      <xdr:row>4</xdr:row>
      <xdr:rowOff>28574</xdr:rowOff>
    </xdr:from>
    <xdr:to>
      <xdr:col>10</xdr:col>
      <xdr:colOff>695325</xdr:colOff>
      <xdr:row>21</xdr:row>
      <xdr:rowOff>152399</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26</xdr:row>
      <xdr:rowOff>152400</xdr:rowOff>
    </xdr:from>
    <xdr:to>
      <xdr:col>4</xdr:col>
      <xdr:colOff>617220</xdr:colOff>
      <xdr:row>41</xdr:row>
      <xdr:rowOff>38100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361950</xdr:colOff>
          <xdr:row>0</xdr:row>
          <xdr:rowOff>152400</xdr:rowOff>
        </xdr:from>
        <xdr:to>
          <xdr:col>5</xdr:col>
          <xdr:colOff>0</xdr:colOff>
          <xdr:row>1</xdr:row>
          <xdr:rowOff>171450</xdr:rowOff>
        </xdr:to>
        <xdr:sp macro="" textlink="">
          <xdr:nvSpPr>
            <xdr:cNvPr id="31745" name="btnRSIRefresh"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Refresh Pivot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5</xdr:col>
      <xdr:colOff>895351</xdr:colOff>
      <xdr:row>2</xdr:row>
      <xdr:rowOff>104774</xdr:rowOff>
    </xdr:from>
    <xdr:to>
      <xdr:col>10</xdr:col>
      <xdr:colOff>121921</xdr:colOff>
      <xdr:row>16</xdr:row>
      <xdr:rowOff>180974</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85725</xdr:colOff>
          <xdr:row>0</xdr:row>
          <xdr:rowOff>123825</xdr:rowOff>
        </xdr:from>
        <xdr:to>
          <xdr:col>4</xdr:col>
          <xdr:colOff>1152525</xdr:colOff>
          <xdr:row>1</xdr:row>
          <xdr:rowOff>133350</xdr:rowOff>
        </xdr:to>
        <xdr:sp macro="" textlink="">
          <xdr:nvSpPr>
            <xdr:cNvPr id="15363" name="btnLoadRefresh"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anose="020F0502020204030204"/>
                  <a:cs typeface="Calibri" panose="020F0502020204030204"/>
                </a:rPr>
                <a:t>Refresh Pivot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Q:\Users\anandha.duraipandi\AppData\Local\Microsoft\Windows\INetCache\Content.Outlook\2XXUOA69\Aspire%20Metrics%2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ucation%20Dynamic%20Metric%20Data%20February%20202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sheet"/>
      <sheetName val="Guidelines"/>
      <sheetName val="Metric Dashboard"/>
      <sheetName val="Measurement Values"/>
      <sheetName val="Metric Review tips"/>
      <sheetName val="Task Report"/>
      <sheetName val="Task Report 2"/>
      <sheetName val="Defect Report"/>
      <sheetName val="Holidays"/>
      <sheetName val="Prospective Metrics"/>
      <sheetName val="EffortVariation Trend"/>
      <sheetName val="ScheduleVariation Trend"/>
      <sheetName val="Sheet1"/>
      <sheetName val="DefectLeakage Trend"/>
      <sheetName val="%of Effort"/>
      <sheetName val="% 0f Effort New"/>
      <sheetName val="L'd Factor"/>
      <sheetName val="RS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sheet"/>
      <sheetName val="Guidelines"/>
      <sheetName val="Guidelines   "/>
      <sheetName val="Metric Dashboard"/>
      <sheetName val="RCA"/>
      <sheetName val="Measurement Values"/>
      <sheetName val="Task Report"/>
      <sheetName val="Task Report 2"/>
      <sheetName val="Defect Report"/>
      <sheetName val="Holidays"/>
      <sheetName val="Sheet1"/>
      <sheetName val="Effort Schedule"/>
      <sheetName val="Rev_Rew_Proj_Conf"/>
      <sheetName val="Security Metrics"/>
      <sheetName val="Defect Trend"/>
      <sheetName val="RSI Productivity Trend"/>
      <sheetName val="L'd Factor"/>
      <sheetName val="Production Support"/>
      <sheetName val="Template Change Log"/>
      <sheetName val="Education Dynamic Metric Data F"/>
    </sheetNames>
    <sheetDataSet>
      <sheetData sheetId="0" refreshError="1"/>
      <sheetData sheetId="1" refreshError="1"/>
      <sheetData sheetId="2" refreshError="1"/>
      <sheetData sheetId="3" refreshError="1"/>
      <sheetData sheetId="4" refreshError="1"/>
      <sheetData sheetId="5" refreshError="1">
        <row r="25">
          <cell r="C25" t="str">
            <v>L3</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2" Type="http://schemas.microsoft.com/office/2006/relationships/xlExternalLinkPath/xlPathMissing" Target="Education%20Dynamic%20Metric%20Data%20Jan%202022.xlsm" TargetMode="External"/><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0.770309027801" createdVersion="4" refreshedVersion="4" minRefreshableVersion="3" recordCount="11" xr:uid="{00000000-000A-0000-FFFF-FFFF00000000}">
  <cacheSource type="worksheet">
    <worksheetSource ref="B14:U25" sheet="Task Report"/>
  </cacheSource>
  <cacheFields count="16">
    <cacheField name="Task ID" numFmtId="0">
      <sharedItems containsSemiMixedTypes="0" containsNonDate="0" containsString="0"/>
    </cacheField>
    <cacheField name="Customer Task ID" numFmtId="0">
      <sharedItems containsSemiMixedTypes="0" containsNonDate="0" containsString="0"/>
    </cacheField>
    <cacheField name="Product Name" numFmtId="10">
      <sharedItems containsNonDate="0" containsString="0" containsBlank="1" count="1">
        <m/>
      </sharedItems>
    </cacheField>
    <cacheField name="Release ID / Sprint No." numFmtId="10">
      <sharedItems containsNonDate="0" containsString="0" containsBlank="1" count="1">
        <m/>
      </sharedItems>
    </cacheField>
    <cacheField name="Task Summary" numFmtId="10">
      <sharedItems containsSemiMixedTypes="0" containsNonDate="0" containsString="0"/>
    </cacheField>
    <cacheField name="Maintenance Type" numFmtId="10">
      <sharedItems containsSemiMixedTypes="0" containsNonDate="0" containsString="0"/>
    </cacheField>
    <cacheField name="Major-Subtype" numFmtId="10">
      <sharedItems containsSemiMixedTypes="0" containsNonDate="0" containsString="0"/>
    </cacheField>
    <cacheField name="Planned Start Date" numFmtId="167">
      <sharedItems containsSemiMixedTypes="0" containsNonDate="0" containsString="0"/>
    </cacheField>
    <cacheField name="Planned End Date" numFmtId="167">
      <sharedItems containsSemiMixedTypes="0" containsNonDate="0" containsDate="1" containsString="0" minDate="2017-06-01T00:00:00" maxDate="2017-10-12T00:00:00" count="11">
        <d v="2017-06-01T00:00:00"/>
        <d v="2017-06-09T00:00:00"/>
        <d v="2017-06-08T00:00:00"/>
        <d v="2017-06-05T00:00:00"/>
        <d v="2017-06-07T00:00:00"/>
        <d v="2017-10-12T00:00:00"/>
        <d v="2017-07-12T00:00:00"/>
        <d v="2017-06-13T00:00:00"/>
        <d v="2017-09-14T00:00:00"/>
        <d v="2017-06-14T00:00:00"/>
        <d v="2017-06-12T00:00:00" u="1"/>
      </sharedItems>
    </cacheField>
    <cacheField name="Estimated Effort (Hours)" numFmtId="2">
      <sharedItems containsSemiMixedTypes="0" containsNonDate="0" containsString="0"/>
    </cacheField>
    <cacheField name="Actual Start Date" numFmtId="167">
      <sharedItems containsSemiMixedTypes="0" containsNonDate="0" containsString="0"/>
    </cacheField>
    <cacheField name="Actual End Date" numFmtId="167">
      <sharedItems containsSemiMixedTypes="0" containsNonDate="0" containsString="0"/>
    </cacheField>
    <cacheField name="Actual Effort (Hours)" numFmtId="2">
      <sharedItems containsSemiMixedTypes="0" containsNonDate="0" containsString="0"/>
    </cacheField>
    <cacheField name="Percentage of Completion" numFmtId="0">
      <sharedItems containsSemiMixedTypes="0" containsNonDate="0" containsString="0"/>
    </cacheField>
    <cacheField name="Schedule Variation (%)" numFmtId="10">
      <sharedItems containsSemiMixedTypes="0" containsNonDate="0" containsString="0"/>
    </cacheField>
    <cacheField name="Effort Variation (%)" numFmtId="10">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269.808540856502" createdVersion="4" refreshedVersion="4" minRefreshableVersion="3" recordCount="911" xr:uid="{00000000-000A-0000-FFFF-FFFF01000000}">
  <cacheSource type="worksheet">
    <worksheetSource name="Table46" r:id="rId2"/>
  </cacheSource>
  <cacheFields count="10">
    <cacheField name="S.No" numFmtId="0">
      <sharedItems containsSemiMixedTypes="0" containsNonDate="0" containsString="0"/>
    </cacheField>
    <cacheField name="Resource Name" numFmtId="0">
      <sharedItems containsSemiMixedTypes="0" containsNonDate="0" containsString="0"/>
    </cacheField>
    <cacheField name="% Allocation" numFmtId="0">
      <sharedItems containsSemiMixedTypes="0" containsNonDate="0" containsString="0"/>
    </cacheField>
    <cacheField name="Number of working days" numFmtId="0">
      <sharedItems containsSemiMixedTypes="0" containsNonDate="0" containsString="0"/>
    </cacheField>
    <cacheField name="Standard Work hour" numFmtId="0">
      <sharedItems containsSemiMixedTypes="0" containsNonDate="0" containsString="0"/>
    </cacheField>
    <cacheField name="Month-Year" numFmtId="0">
      <sharedItems containsSemiMixedTypes="0" containsNonDate="0" containsString="0"/>
    </cacheField>
    <cacheField name="Month-Year for Graph" numFmtId="165">
      <sharedItems count="3">
        <s v="Jan-21"/>
        <s v="Feb-21"/>
        <s v=""/>
      </sharedItems>
    </cacheField>
    <cacheField name="Actual Effort" numFmtId="0">
      <sharedItems containsSemiMixedTypes="0" containsNonDate="0" containsString="0"/>
    </cacheField>
    <cacheField name="Allocation Hours" numFmtId="0">
      <sharedItems containsSemiMixedTypes="0" containsNonDate="0" containsString="0"/>
    </cacheField>
    <cacheField name="LoadFactor" numFmtId="0" formula="'Actual Effort'/'Allocation Hours'"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uthor" refreshedDate="44270.457652893499" createdVersion="4" refreshedVersion="4" minRefreshableVersion="3" recordCount="1914" xr:uid="{00000000-000A-0000-FFFF-FFFF02000000}">
  <cacheSource type="worksheet">
    <worksheetSource name="Table1" r:id="rId2"/>
  </cacheSource>
  <cacheFields count="20">
    <cacheField name="Task ID" numFmtId="0">
      <sharedItems containsSemiMixedTypes="0" containsNonDate="0" containsString="0"/>
    </cacheField>
    <cacheField name="Customer Task ID" numFmtId="0">
      <sharedItems containsSemiMixedTypes="0" containsNonDate="0" containsString="0"/>
    </cacheField>
    <cacheField name="Product Name" numFmtId="0">
      <sharedItems containsSemiMixedTypes="0" containsNonDate="0" containsString="0"/>
    </cacheField>
    <cacheField name="Release Name" numFmtId="0">
      <sharedItems containsBlank="1" count="4">
        <s v="Cycle 02.03.2"/>
        <s v="Cycle 03"/>
        <s v="Cycle 04"/>
        <m/>
      </sharedItems>
    </cacheField>
    <cacheField name="Task Summary" numFmtId="0">
      <sharedItems containsSemiMixedTypes="0" containsNonDate="0" containsString="0"/>
    </cacheField>
    <cacheField name="Size" numFmtId="0">
      <sharedItems containsSemiMixedTypes="0" containsNonDate="0" containsString="0"/>
    </cacheField>
    <cacheField name="Planned Start Date" numFmtId="167">
      <sharedItems containsSemiMixedTypes="0" containsNonDate="0" containsString="0"/>
    </cacheField>
    <cacheField name="Planned End Date" numFmtId="167">
      <sharedItems containsSemiMixedTypes="0" containsNonDate="0" containsString="0"/>
    </cacheField>
    <cacheField name="Estimated Effort (Hours)" numFmtId="0">
      <sharedItems containsSemiMixedTypes="0" containsNonDate="0" containsString="0"/>
    </cacheField>
    <cacheField name="Actual Start Date" numFmtId="167">
      <sharedItems containsSemiMixedTypes="0" containsNonDate="0" containsString="0"/>
    </cacheField>
    <cacheField name="Actual End Date" numFmtId="167">
      <sharedItems containsSemiMixedTypes="0" containsNonDate="0" containsString="0"/>
    </cacheField>
    <cacheField name="Actual Effort (Hours)" numFmtId="0">
      <sharedItems containsSemiMixedTypes="0" containsNonDate="0" containsString="0"/>
    </cacheField>
    <cacheField name="Per day Effort" numFmtId="0">
      <sharedItems containsSemiMixedTypes="0" containsNonDate="0" containsString="0"/>
    </cacheField>
    <cacheField name="Total Days Planned" numFmtId="1">
      <sharedItems containsSemiMixedTypes="0" containsNonDate="0" containsString="0"/>
    </cacheField>
    <cacheField name="Actual days till cutoff days" numFmtId="1">
      <sharedItems containsSemiMixedTypes="0" containsNonDate="0" containsString="0"/>
    </cacheField>
    <cacheField name="Percentage of Completion" numFmtId="0">
      <sharedItems containsSemiMixedTypes="0" containsNonDate="0" containsString="0"/>
    </cacheField>
    <cacheField name="Maintenance Type" numFmtId="10">
      <sharedItems count="4">
        <s v="L3"/>
        <s v="L2"/>
        <s v="L1"/>
        <s v=""/>
      </sharedItems>
    </cacheField>
    <cacheField name="Month of end date" numFmtId="171">
      <sharedItems count="3">
        <s v="Jan-21"/>
        <s v="Feb-21"/>
        <s v=""/>
      </sharedItems>
    </cacheField>
    <cacheField name="Schedule Variation (%)" numFmtId="10">
      <sharedItems containsSemiMixedTypes="0" containsNonDate="0" containsString="0"/>
    </cacheField>
    <cacheField name="Effort Variation (%)" numFmtId="10">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270.457777430602" createdVersion="4" refreshedVersion="4" minRefreshableVersion="3" recordCount="87" xr:uid="{00000000-000A-0000-FFFF-FFFF03000000}">
  <cacheSource type="worksheet">
    <worksheetSource name="Table11" r:id="rId2"/>
  </cacheSource>
  <cacheFields count="3">
    <cacheField name="Release Name" numFmtId="0">
      <sharedItems containsBlank="1" count="2">
        <s v="Cycle 03"/>
        <m/>
      </sharedItems>
    </cacheField>
    <cacheField name="% of Project Management" numFmtId="10">
      <sharedItems containsSemiMixedTypes="0" containsNonDate="0" containsString="0"/>
    </cacheField>
    <cacheField name="% of Configuration Management" numFmtId="10">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270.457780092598" createdVersion="4" refreshedVersion="4" minRefreshableVersion="3" recordCount="87" xr:uid="{00000000-000A-0000-FFFF-FFFF04000000}">
  <cacheSource type="worksheet">
    <worksheetSource name="Table10" r:id="rId2"/>
  </cacheSource>
  <cacheFields count="4">
    <cacheField name="Release Name" numFmtId="0">
      <sharedItems containsBlank="1" count="3">
        <s v="Cycle 03"/>
        <m/>
        <s v=""/>
      </sharedItems>
    </cacheField>
    <cacheField name="Maintenance Type" numFmtId="0">
      <sharedItems containsBlank="1" count="3">
        <s v="L3"/>
        <m/>
        <s v=""/>
      </sharedItems>
    </cacheField>
    <cacheField name="% of Review" numFmtId="10">
      <sharedItems containsSemiMixedTypes="0" containsNonDate="0" containsString="0"/>
    </cacheField>
    <cacheField name="% of Rework" numFmtId="10">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uthor" refreshedDate="44270.4585576389" createdVersion="4" refreshedVersion="4" minRefreshableVersion="3" recordCount="578" xr:uid="{00000000-000A-0000-FFFF-FFFF05000000}">
  <cacheSource type="worksheet">
    <worksheetSource name="Table7" r:id="rId2"/>
  </cacheSource>
  <cacheFields count="33">
    <cacheField name="Release Name" numFmtId="0">
      <sharedItems containsBlank="1" count="2">
        <s v="Cycle 03"/>
        <m/>
      </sharedItems>
    </cacheField>
    <cacheField name="Overall Actual Effort for the release" numFmtId="0">
      <sharedItems containsSemiMixedTypes="0" containsNonDate="0" containsString="0"/>
    </cacheField>
    <cacheField name="No. of Testcases Created" numFmtId="0">
      <sharedItems containsSemiMixedTypes="0" containsNonDate="0" containsString="0"/>
    </cacheField>
    <cacheField name="No. of Testcases Executed" numFmtId="0">
      <sharedItems containsSemiMixedTypes="0" containsNonDate="0" containsString="0"/>
    </cacheField>
    <cacheField name="No. of Defects Validated" numFmtId="0">
      <sharedItems containsSemiMixedTypes="0" containsNonDate="0" containsString="0"/>
    </cacheField>
    <cacheField name="Size" numFmtId="0">
      <sharedItems containsSemiMixedTypes="0" containsNonDate="0" containsString="0"/>
    </cacheField>
    <cacheField name="No. of Valid Internal Review Defects" numFmtId="0">
      <sharedItems containsSemiMixedTypes="0" containsNonDate="0" containsString="0"/>
    </cacheField>
    <cacheField name="No. of Invalid Internal Review Defects" numFmtId="0">
      <sharedItems containsSemiMixedTypes="0" containsNonDate="0" containsString="0"/>
    </cacheField>
    <cacheField name="No. of  Valid External Review Defects" numFmtId="0">
      <sharedItems containsSemiMixedTypes="0" containsNonDate="0" containsString="0"/>
    </cacheField>
    <cacheField name="No. of  Invalid External Review Defects" numFmtId="0">
      <sharedItems containsSemiMixedTypes="0" containsNonDate="0" containsString="0"/>
    </cacheField>
    <cacheField name="No. of Valid  Internal Testing Defects" numFmtId="0">
      <sharedItems containsSemiMixedTypes="0" containsNonDate="0" containsString="0"/>
    </cacheField>
    <cacheField name="No. of Invalid Internal Testing Defects" numFmtId="0">
      <sharedItems containsSemiMixedTypes="0" containsNonDate="0" containsString="0"/>
    </cacheField>
    <cacheField name="No. of Valid External Testing Defects" numFmtId="0">
      <sharedItems containsSemiMixedTypes="0" containsNonDate="0" containsString="0"/>
    </cacheField>
    <cacheField name="No. of Invalid External Testing Defects" numFmtId="0">
      <sharedItems containsSemiMixedTypes="0" containsNonDate="0" containsString="0"/>
    </cacheField>
    <cacheField name="No. of Valid Critical defects" numFmtId="0">
      <sharedItems containsSemiMixedTypes="0" containsNonDate="0" containsString="0"/>
    </cacheField>
    <cacheField name="No. of Valid Blocker defects" numFmtId="0">
      <sharedItems containsSemiMixedTypes="0" containsNonDate="0" containsString="0"/>
    </cacheField>
    <cacheField name="No. of  Valid Major defects" numFmtId="0">
      <sharedItems containsSemiMixedTypes="0" containsNonDate="0" containsString="0"/>
    </cacheField>
    <cacheField name="No. of Valid Minor defects" numFmtId="0">
      <sharedItems containsSemiMixedTypes="0" containsNonDate="0" containsString="0"/>
    </cacheField>
    <cacheField name="No. of Valid Trivial defects" numFmtId="0">
      <sharedItems containsSemiMixedTypes="0" containsNonDate="0" containsString="0"/>
    </cacheField>
    <cacheField name="Effort for Testcase Creation" numFmtId="0">
      <sharedItems containsSemiMixedTypes="0" containsNonDate="0" containsString="0"/>
    </cacheField>
    <cacheField name="Effort for Testcase Execution" numFmtId="0">
      <sharedItems containsSemiMixedTypes="0" containsNonDate="0" containsString="0"/>
    </cacheField>
    <cacheField name="Defect Density by Effort (Dev)" numFmtId="2">
      <sharedItems containsSemiMixedTypes="0" containsNonDate="0" containsString="0"/>
    </cacheField>
    <cacheField name="Defect Density by Size (Dev)" numFmtId="2">
      <sharedItems containsSemiMixedTypes="0" containsNonDate="0" containsString="0"/>
    </cacheField>
    <cacheField name="Overall Review Efficiency (Dev)" numFmtId="10">
      <sharedItems containsSemiMixedTypes="0" containsNonDate="0" containsString="0"/>
    </cacheField>
    <cacheField name="Overall Review Efficiency (Tst)" numFmtId="9">
      <sharedItems containsSemiMixedTypes="0" containsNonDate="0" containsString="0"/>
    </cacheField>
    <cacheField name="Defect Density by Effort (Tst)" numFmtId="2">
      <sharedItems containsSemiMixedTypes="0" containsNonDate="0" containsString="0"/>
    </cacheField>
    <cacheField name="Defect Density by Size (Tst)" numFmtId="2">
      <sharedItems containsSemiMixedTypes="0" containsNonDate="0" containsString="0"/>
    </cacheField>
    <cacheField name="Testcase Creation Productivity" numFmtId="0">
      <sharedItems containsSemiMixedTypes="0" containsNonDate="0" containsString="0"/>
    </cacheField>
    <cacheField name="Testcase Execution Productivity" numFmtId="2">
      <sharedItems containsSemiMixedTypes="0" containsNonDate="0" containsString="0"/>
    </cacheField>
    <cacheField name="Defect Severity Index" numFmtId="0">
      <sharedItems containsSemiMixedTypes="0" containsNonDate="0" containsString="0"/>
    </cacheField>
    <cacheField name="Defect Validation Productivity" numFmtId="0">
      <sharedItems containsSemiMixedTypes="0" containsNonDate="0" containsString="0"/>
    </cacheField>
    <cacheField name="Defect Acceptance Rate" numFmtId="9">
      <sharedItems containsSemiMixedTypes="0" containsNonDate="0" containsString="0"/>
    </cacheField>
    <cacheField name="Defect Leakage" numFmtId="9">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270.459802199097" createdVersion="4" refreshedVersion="4" minRefreshableVersion="3" recordCount="579" xr:uid="{00000000-000A-0000-FFFF-FFFF06000000}">
  <cacheSource type="worksheet">
    <worksheetSource name="Table47" r:id="rId2"/>
  </cacheSource>
  <cacheFields count="6">
    <cacheField name="Release Name" numFmtId="0">
      <sharedItems containsBlank="1" count="35">
        <s v="Cycle 03"/>
        <m/>
        <s v="Release 16" u="1"/>
        <s v="Feb.21" u="1"/>
        <s v="Release 17" u="1"/>
        <s v="Release 1" u="1"/>
        <s v="Release 18" u="1"/>
        <s v="Release 20" u="1"/>
        <s v="Release 4" u="1"/>
        <s v="Release 19" u="1"/>
        <s v="Release 7" u="1"/>
        <s v="Release 21" u="1"/>
        <s v="x4.2" u="1"/>
        <s v="Release 22" u="1"/>
        <s v="Release 23" u="1"/>
        <s v="Release 10" u="1"/>
        <s v="Release 3" u="1"/>
        <s v="Release 24" u="1"/>
        <s v="Release 6" u="1"/>
        <s v="Release 11" u="1"/>
        <s v="Release 25" u="1"/>
        <s v="Release 9" u="1"/>
        <s v="Release 12" u="1"/>
        <s v="Release 26" u="1"/>
        <s v="Release 13" u="1"/>
        <s v="Release 27" u="1"/>
        <s v="Release 2" u="1"/>
        <s v="Release 14" u="1"/>
        <s v="Release 28" u="1"/>
        <s v="Release 30" u="1"/>
        <s v="Release 5" u="1"/>
        <s v="Release 15" u="1"/>
        <s v="Release 29" u="1"/>
        <s v="Release 8" u="1"/>
        <s v="Release 31" u="1"/>
      </sharedItems>
    </cacheField>
    <cacheField name="Maintenance Type" numFmtId="0">
      <sharedItems containsBlank="1" count="6">
        <s v="L3"/>
        <s v="L1"/>
        <m/>
        <s v="L5" u="1"/>
        <s v="L2" u="1"/>
        <s v="L4" u="1"/>
      </sharedItems>
    </cacheField>
    <cacheField name="Initial No. of Requirements" numFmtId="0">
      <sharedItems containsSemiMixedTypes="0" containsNonDate="0" containsString="0"/>
    </cacheField>
    <cacheField name="Modified Requirements( Added / Deleted /Modified)" numFmtId="0">
      <sharedItems containsSemiMixedTypes="0" containsNonDate="0" containsString="0"/>
    </cacheField>
    <cacheField name="Requirement Stability Index" numFmtId="2">
      <sharedItems containsSemiMixedTypes="0" containsNonDate="0" containsString="0"/>
    </cacheField>
    <cacheField name="Productivity" numFmtId="2">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417.637949074102" createdVersion="4" refreshedVersion="4" minRefreshableVersion="3" recordCount="121" xr:uid="{00000000-000A-0000-FFFF-FFFF07000000}">
  <cacheSource type="worksheet">
    <worksheetSource name="Table9" r:id="rId2"/>
  </cacheSource>
  <cacheFields count="5">
    <cacheField name="S.No" numFmtId="0">
      <sharedItems containsSemiMixedTypes="0" containsNonDate="0" containsString="0"/>
    </cacheField>
    <cacheField name="Release" numFmtId="0">
      <sharedItems containsBlank="1" count="7">
        <s v="Cycle 03"/>
        <s v="Cycle 04"/>
        <s v="Cycle 05"/>
        <s v="Cycle 06"/>
        <s v="Cycle 07"/>
        <s v="Cycle 08"/>
        <m/>
      </sharedItems>
    </cacheField>
    <cacheField name="No. of Internal Security Defects  " numFmtId="0">
      <sharedItems containsSemiMixedTypes="0" containsNonDate="0" containsString="0"/>
    </cacheField>
    <cacheField name="No. of External security Defects" numFmtId="0">
      <sharedItems containsSemiMixedTypes="0" containsNonDate="0" containsString="0"/>
    </cacheField>
    <cacheField name="Security Defect Leakage" numFmtId="9">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417.637951388897" createdVersion="4" refreshedVersion="4" minRefreshableVersion="3" recordCount="202" xr:uid="{00000000-000A-0000-FFFF-FFFF08000000}">
  <cacheSource type="worksheet">
    <worksheetSource name="Table8" r:id="rId2"/>
  </cacheSource>
  <cacheFields count="8">
    <cacheField name="S.No" numFmtId="0">
      <sharedItems containsSemiMixedTypes="0" containsNonDate="0" containsString="0"/>
    </cacheField>
    <cacheField name="Month - Year" numFmtId="165">
      <sharedItems containsSemiMixedTypes="0" containsNonDate="0" containsString="0"/>
    </cacheField>
    <cacheField name="Month Year for Graph" numFmtId="0">
      <sharedItems count="7">
        <s v="Feb-21"/>
        <s v="Mar-21"/>
        <s v="Apr-21"/>
        <s v="May-21"/>
        <s v="Jun-21"/>
        <s v="Jul-21"/>
        <s v=""/>
      </sharedItems>
    </cacheField>
    <cacheField name="No. of Resources De-allocated" numFmtId="0">
      <sharedItems containsSemiMixedTypes="0" containsNonDate="0" containsString="0"/>
    </cacheField>
    <cacheField name="No. of Resources for whom access were removed on time" numFmtId="0">
      <sharedItems containsSemiMixedTypes="0" containsNonDate="0" containsString="0"/>
    </cacheField>
    <cacheField name="No. of Resources for whom assets were returned on time" numFmtId="0">
      <sharedItems containsSemiMixedTypes="0" containsNonDate="0" containsString="0"/>
    </cacheField>
    <cacheField name="% of On time Access Removal " numFmtId="9">
      <sharedItems containsSemiMixedTypes="0" containsNonDate="0" containsString="0"/>
    </cacheField>
    <cacheField name="% of On Time asset returned" numFmtId="9">
      <sharedItems containsSemiMixedTypes="0" containsNonDate="0" containsString="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s v="#3394"/>
    <s v="MT-17339"/>
    <x v="0"/>
    <x v="0"/>
    <s v="MT-17339: Milestone 4 : Add support for configuring negative invoices"/>
    <s v="Major"/>
    <s v="Simple"/>
    <d v="2017-05-31T00:00:00"/>
    <x v="0"/>
    <n v="8"/>
    <d v="2017-06-01T00:00:00"/>
    <d v="2017-06-01T00:00:00"/>
    <n v="4"/>
    <n v="0.5"/>
    <n v="0"/>
    <n v="-0.5"/>
  </r>
  <r>
    <s v="#3405"/>
    <s v="MT-17330"/>
    <x v="0"/>
    <x v="0"/>
    <s v="MT-17330 Issues identified during development testing of POGP"/>
    <s v="Major"/>
    <s v="Medium"/>
    <d v="2017-06-06T00:00:00"/>
    <x v="1"/>
    <n v="40"/>
    <d v="2017-06-06T00:00:00"/>
    <d v="2017-06-12T00:00:00"/>
    <n v="40"/>
    <m/>
    <n v="0.75"/>
    <n v="0"/>
  </r>
  <r>
    <s v="#3406"/>
    <s v="MT-17401"/>
    <x v="0"/>
    <x v="0"/>
    <s v="MT-17401 : Invoice Note input field on Invoice details auto-closes every few seconds"/>
    <s v="Bug"/>
    <m/>
    <d v="2017-06-08T00:00:00"/>
    <x v="2"/>
    <n v="6"/>
    <d v="2017-06-08T00:00:00"/>
    <d v="2017-06-08T00:00:00"/>
    <n v="6"/>
    <m/>
    <n v="0"/>
    <n v="0"/>
  </r>
  <r>
    <s v="#3411"/>
    <s v="MT-17362"/>
    <x v="0"/>
    <x v="0"/>
    <s v="MT-17362: iPay registration fails in VendorDetailRedesign code base when state is a valid two digit code (MA)"/>
    <s v="Major"/>
    <s v="Medium"/>
    <d v="2017-06-05T00:00:00"/>
    <x v="3"/>
    <n v="6"/>
    <d v="2017-06-05T00:00:00"/>
    <d v="2017-06-05T00:00:00"/>
    <n v="6"/>
    <m/>
    <n v="0"/>
    <n v="0"/>
  </r>
  <r>
    <s v="#3413"/>
    <s v="MT-17363"/>
    <x v="0"/>
    <x v="0"/>
    <s v="MT-17363: Vendor enrollment shell script not setting the default_card_subchannel correctly"/>
    <s v="Minor"/>
    <m/>
    <d v="2017-06-05T00:00:00"/>
    <x v="4"/>
    <n v="12"/>
    <d v="2017-06-05T00:00:00"/>
    <d v="2017-06-07T00:00:00"/>
    <n v="12"/>
    <m/>
    <n v="0"/>
    <n v="0"/>
  </r>
  <r>
    <s v="#3414"/>
    <s v="MT-17378"/>
    <x v="0"/>
    <x v="0"/>
    <s v="MT-17378: AM: Not all the Invoices are selected for Pay, only few invoices selected upon checking Post Check box in invoices tab"/>
    <s v="Minor"/>
    <m/>
    <d v="2017-06-06T00:00:00"/>
    <x v="2"/>
    <n v="10"/>
    <d v="2017-06-06T00:00:00"/>
    <d v="2017-06-08T00:00:00"/>
    <n v="10"/>
    <m/>
    <n v="0"/>
    <n v="0"/>
  </r>
  <r>
    <s v="#3415"/>
    <s v="MT-17385"/>
    <x v="0"/>
    <x v="0"/>
    <s v="MT-17385: Correct the enablement behavior for the payment while add or update vendor"/>
    <s v="Minor"/>
    <m/>
    <d v="2017-06-08T00:00:00"/>
    <x v="5"/>
    <n v="30"/>
    <d v="2017-06-08T00:00:00"/>
    <d v="2017-06-12T00:00:00"/>
    <n v="30"/>
    <m/>
    <n v="-0.96062992125984248"/>
    <n v="0"/>
  </r>
  <r>
    <s v="#3423"/>
    <s v="MT-17400"/>
    <x v="0"/>
    <x v="0"/>
    <s v="MT-17400: Remove mandatory sign from all the dimensions fields in vendor detail page."/>
    <s v="Minor"/>
    <m/>
    <d v="2017-06-12T00:00:00"/>
    <x v="6"/>
    <n v="2"/>
    <d v="2017-06-12T00:00:00"/>
    <d v="2017-06-12T00:00:00"/>
    <n v="2"/>
    <m/>
    <n v="-0.967741935483871"/>
    <n v="0"/>
  </r>
  <r>
    <s v="#3424"/>
    <s v="MT-17384"/>
    <x v="0"/>
    <x v="0"/>
    <s v="MT-17384: Script for correcting payment type enablement"/>
    <s v="Bug"/>
    <m/>
    <d v="2017-06-13T00:00:00"/>
    <x v="7"/>
    <n v="8"/>
    <d v="2017-06-13T00:00:00"/>
    <d v="2017-06-13T00:00:00"/>
    <n v="8"/>
    <m/>
    <n v="0"/>
    <n v="0"/>
  </r>
  <r>
    <s v="#3425"/>
    <s v="MT-17436"/>
    <x v="0"/>
    <x v="0"/>
    <s v="MT-17436: Script for correcting vendor ach payment type enablement"/>
    <s v="Bug"/>
    <m/>
    <d v="2017-06-14T00:00:00"/>
    <x v="8"/>
    <n v="9"/>
    <d v="2017-06-14T00:00:00"/>
    <d v="2017-06-14T00:00:00"/>
    <n v="9"/>
    <m/>
    <n v="-0.989247311827957"/>
    <n v="0"/>
  </r>
  <r>
    <s v="#3426"/>
    <s v="MT-17437"/>
    <x v="0"/>
    <x v="0"/>
    <s v="MT-17437: Remove Phone &amp; Fax number Validation in new Vendor Detail Redesign page"/>
    <s v="Bug"/>
    <m/>
    <d v="2017-06-14T00:00:00"/>
    <x v="9"/>
    <n v="2"/>
    <d v="2017-06-14T00:00:00"/>
    <d v="2017-06-14T00:00:00"/>
    <n v="2"/>
    <m/>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1">
  <r>
    <n v="1"/>
    <s v="Bhavan Kumar"/>
    <n v="100"/>
    <n v="17"/>
    <n v="8"/>
    <d v="2021-01-01T00:00:00"/>
    <x v="0"/>
    <m/>
    <n v="136"/>
  </r>
  <r>
    <n v="2"/>
    <s v="Aravind Duraisamy"/>
    <n v="100"/>
    <n v="17"/>
    <n v="8"/>
    <d v="2021-01-01T00:00:00"/>
    <x v="0"/>
    <m/>
    <n v="136"/>
  </r>
  <r>
    <n v="3"/>
    <s v="Muthulakshmi Murugan"/>
    <n v="100"/>
    <n v="19"/>
    <n v="8"/>
    <d v="2021-01-01T00:00:00"/>
    <x v="0"/>
    <m/>
    <n v="152"/>
  </r>
  <r>
    <n v="1"/>
    <s v="Bhavan Kumar"/>
    <n v="100"/>
    <n v="18"/>
    <n v="8"/>
    <d v="2021-02-01T00:00:00"/>
    <x v="1"/>
    <m/>
    <n v="144"/>
  </r>
  <r>
    <n v="2"/>
    <s v="Aravind Duraisamy"/>
    <n v="100"/>
    <n v="18"/>
    <n v="8"/>
    <d v="2021-02-01T00:00:00"/>
    <x v="1"/>
    <m/>
    <n v="144"/>
  </r>
  <r>
    <n v="3"/>
    <s v="Muthulakshmi Murugan"/>
    <n v="100"/>
    <n v="17"/>
    <n v="8"/>
    <d v="2021-02-01T00:00:00"/>
    <x v="1"/>
    <m/>
    <n v="136"/>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n v="0"/>
  </r>
  <r>
    <m/>
    <m/>
    <m/>
    <m/>
    <m/>
    <m/>
    <x v="2"/>
    <m/>
    <m/>
  </r>
  <r>
    <m/>
    <m/>
    <m/>
    <m/>
    <m/>
    <m/>
    <x v="2"/>
    <m/>
    <m/>
  </r>
  <r>
    <m/>
    <m/>
    <m/>
    <m/>
    <m/>
    <m/>
    <x v="2"/>
    <m/>
    <n v="0"/>
  </r>
  <r>
    <m/>
    <m/>
    <m/>
    <m/>
    <m/>
    <m/>
    <x v="2"/>
    <m/>
    <n v="0"/>
  </r>
  <r>
    <m/>
    <m/>
    <m/>
    <m/>
    <m/>
    <m/>
    <x v="2"/>
    <m/>
    <n v="0"/>
  </r>
</pivotCacheRecords>
</file>

<file path=xl/pivotCache/pivotCacheRecords3.xml><?xml version="1.0" encoding="utf-8"?>
<pivotCacheRecords xmlns="http://schemas.openxmlformats.org/spreadsheetml/2006/main" xmlns:r="http://schemas.openxmlformats.org/officeDocument/2006/relationships" count="1914">
  <r>
    <n v="114"/>
    <n v="1502"/>
    <s v="PPC"/>
    <x v="0"/>
    <s v=" Keiser University Project"/>
    <s v="New Build"/>
    <d v="2021-01-04T00:00:00"/>
    <d v="2021-01-22T00:00:00"/>
    <n v="80"/>
    <d v="2021-01-04T00:00:00"/>
    <d v="2021-01-20T00:00:00"/>
    <n v="75"/>
    <n v="5.33333333333333"/>
    <n v="15"/>
    <n v="-929"/>
    <n v="1"/>
    <x v="0"/>
    <x v="0"/>
    <n v="-0.133333333333333"/>
    <n v="-0.0625"/>
  </r>
  <r>
    <n v="115"/>
    <n v="1825"/>
    <s v="PPC"/>
    <x v="0"/>
    <s v="Central Michigan University"/>
    <s v="New Build"/>
    <d v="2021-01-04T00:00:00"/>
    <d v="2021-01-28T00:00:00"/>
    <n v="120"/>
    <d v="2021-01-04T00:00:00"/>
    <d v="2021-01-20T00:00:00"/>
    <n v="120"/>
    <n v="6.31578947368421"/>
    <n v="19"/>
    <n v="-929"/>
    <n v="0.6"/>
    <x v="0"/>
    <x v="0"/>
    <n v="-0.315789473684211"/>
    <n v="0"/>
  </r>
  <r>
    <n v="116"/>
    <n v="111740"/>
    <s v="SEO"/>
    <x v="0"/>
    <s v="Unigo Medical Assistants support"/>
    <s v="Enhancements"/>
    <d v="2021-01-18T00:00:00"/>
    <d v="2021-01-22T00:00:00"/>
    <n v="32"/>
    <d v="2021-01-18T00:00:00"/>
    <d v="2021-01-22T00:00:00"/>
    <n v="32"/>
    <n v="6.4"/>
    <n v="5"/>
    <n v="-939"/>
    <n v="1"/>
    <x v="1"/>
    <x v="0"/>
    <n v="0"/>
    <n v="0"/>
  </r>
  <r>
    <n v="112"/>
    <n v="121224"/>
    <s v="E learn"/>
    <x v="0"/>
    <s v="Online degree accounting"/>
    <s v="Major Enhancement"/>
    <d v="2021-01-04T00:00:00"/>
    <d v="2021-01-25T00:00:00"/>
    <n v="80"/>
    <d v="2021-01-04T00:00:00"/>
    <d v="2021-01-25T00:00:00"/>
    <n v="80"/>
    <n v="5"/>
    <n v="16"/>
    <n v="-929"/>
    <n v="1"/>
    <x v="0"/>
    <x v="0"/>
    <n v="0"/>
    <n v="0"/>
  </r>
  <r>
    <n v="120"/>
    <n v="1504"/>
    <s v="PPC"/>
    <x v="1"/>
    <s v=" Flagship WP Build"/>
    <s v="New Build"/>
    <d v="2021-01-25T00:00:00"/>
    <d v="2021-02-22T00:00:00"/>
    <n v="100"/>
    <d v="2021-01-25T00:00:00"/>
    <d v="2021-02-22T00:00:00"/>
    <n v="96"/>
    <n v="4.76190476190476"/>
    <n v="21"/>
    <n v="-944"/>
    <n v="1"/>
    <x v="0"/>
    <x v="1"/>
    <n v="0"/>
    <n v="-0.04"/>
  </r>
  <r>
    <n v="119"/>
    <n v="1505"/>
    <s v="PPC"/>
    <x v="1"/>
    <s v="Chiropractic WP Build"/>
    <s v="New Build"/>
    <d v="2021-01-25T00:00:00"/>
    <d v="2021-02-19T00:00:00"/>
    <n v="80"/>
    <d v="2021-01-25T00:00:00"/>
    <d v="2021-02-19T00:00:00"/>
    <n v="80"/>
    <n v="4"/>
    <n v="20"/>
    <n v="-944"/>
    <n v="1"/>
    <x v="0"/>
    <x v="1"/>
    <n v="0"/>
    <n v="0"/>
  </r>
  <r>
    <n v="2348"/>
    <n v="2348"/>
    <s v="PPC"/>
    <x v="1"/>
    <s v="Post University Updates"/>
    <s v="Enhancement"/>
    <d v="2021-02-10T00:00:00"/>
    <d v="2021-02-12T00:00:00"/>
    <n v="16"/>
    <d v="2021-02-11T00:00:00"/>
    <d v="2021-02-12T00:00:00"/>
    <n v="16"/>
    <n v="5.33333333333333"/>
    <n v="3"/>
    <n v="-956"/>
    <n v="1"/>
    <x v="2"/>
    <x v="1"/>
    <n v="0"/>
    <n v="0"/>
  </r>
  <r>
    <n v="1825"/>
    <n v="1825"/>
    <s v="PPC"/>
    <x v="1"/>
    <s v="Central Michigan University Revisions"/>
    <s v="Enhancement"/>
    <d v="2021-02-01T00:00:00"/>
    <d v="2021-02-15T00:00:00"/>
    <n v="64"/>
    <d v="2021-02-01T00:00:00"/>
    <d v="2021-02-24T00:00:00"/>
    <n v="80"/>
    <n v="5.81818181818182"/>
    <n v="11"/>
    <n v="-949"/>
    <n v="1"/>
    <x v="0"/>
    <x v="1"/>
    <n v="0.636363636363636"/>
    <n v="0.25"/>
  </r>
  <r>
    <n v="1502"/>
    <n v="1502"/>
    <s v="PPC"/>
    <x v="1"/>
    <s v="Keiser University Updates"/>
    <s v="Major Enhancement"/>
    <d v="2021-02-12T00:00:00"/>
    <d v="2021-02-19T00:00:00"/>
    <n v="56"/>
    <d v="2021-02-12T00:00:00"/>
    <d v="2021-02-19T00:00:00"/>
    <n v="60"/>
    <n v="9.33333333333333"/>
    <n v="6"/>
    <n v="-958"/>
    <n v="1"/>
    <x v="0"/>
    <x v="1"/>
    <n v="0"/>
    <n v="0.0714285714285714"/>
  </r>
  <r>
    <n v="231"/>
    <n v="231"/>
    <s v="PPC"/>
    <x v="1"/>
    <s v="Unigo Wp build support"/>
    <s v="Major Enhancement"/>
    <d v="2021-02-01T00:00:00"/>
    <d v="2021-02-26T00:00:00"/>
    <n v="100"/>
    <d v="2021-02-01T00:00:00"/>
    <d v="2021-02-26T00:00:00"/>
    <n v="97"/>
    <n v="5"/>
    <n v="20"/>
    <n v="-949"/>
    <n v="1"/>
    <x v="0"/>
    <x v="1"/>
    <n v="0"/>
    <n v="-0.03"/>
  </r>
  <r>
    <n v="1506"/>
    <n v="1506"/>
    <s v="PPC"/>
    <x v="2"/>
    <s v="Everglades WP Build "/>
    <s v="New Build"/>
    <d v="2021-02-24T00:00:00"/>
    <d v="2021-03-22T00:00:00"/>
    <n v="90"/>
    <d v="2021-02-24T00:00:00"/>
    <m/>
    <m/>
    <n v="4.73684210526316"/>
    <n v="19"/>
    <n v="-966"/>
    <n v="1"/>
    <x v="3"/>
    <x v="2"/>
    <s v=""/>
    <n v="-1"/>
  </r>
  <r>
    <m/>
    <m/>
    <m/>
    <x v="3"/>
    <m/>
    <m/>
    <m/>
    <m/>
    <m/>
    <m/>
    <m/>
    <m/>
    <e v="#DIV/0!"/>
    <n v="0"/>
    <n v="30643"/>
    <n v="1"/>
    <x v="3"/>
    <x v="2"/>
    <s v=""/>
    <s v=""/>
  </r>
  <r>
    <m/>
    <m/>
    <m/>
    <x v="3"/>
    <m/>
    <m/>
    <m/>
    <m/>
    <m/>
    <m/>
    <m/>
    <m/>
    <e v="#DIV/0!"/>
    <n v="0"/>
    <n v="30643"/>
    <n v="1"/>
    <x v="3"/>
    <x v="2"/>
    <s v=""/>
    <s v=""/>
  </r>
  <r>
    <m/>
    <m/>
    <m/>
    <x v="3"/>
    <m/>
    <m/>
    <m/>
    <m/>
    <m/>
    <m/>
    <m/>
    <m/>
    <e v="#DIV/0!"/>
    <n v="0"/>
    <n v="30643"/>
    <n v="1"/>
    <x v="3"/>
    <x v="2"/>
    <s v=""/>
    <s v=""/>
  </r>
  <r>
    <m/>
    <m/>
    <m/>
    <x v="3"/>
    <m/>
    <m/>
    <m/>
    <m/>
    <m/>
    <m/>
    <m/>
    <m/>
    <e v="#DIV/0!"/>
    <n v="0"/>
    <n v="30643"/>
    <n v="1"/>
    <x v="3"/>
    <x v="2"/>
    <s v=""/>
    <s v=""/>
  </r>
  <r>
    <m/>
    <m/>
    <m/>
    <x v="3"/>
    <m/>
    <m/>
    <m/>
    <m/>
    <m/>
    <m/>
    <m/>
    <m/>
    <e v="#DIV/0!"/>
    <n v="0"/>
    <n v="30643"/>
    <n v="1"/>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n v="43.5"/>
    <n v="0"/>
    <n v="30643"/>
    <m/>
    <x v="3"/>
    <x v="2"/>
    <s v=""/>
    <s v=""/>
  </r>
  <r>
    <m/>
    <m/>
    <m/>
    <x v="3"/>
    <m/>
    <m/>
    <m/>
    <m/>
    <m/>
    <m/>
    <m/>
    <m/>
    <n v="8.42"/>
    <n v="0"/>
    <n v="30643"/>
    <m/>
    <x v="3"/>
    <x v="2"/>
    <s v=""/>
    <s v=""/>
  </r>
  <r>
    <m/>
    <m/>
    <m/>
    <x v="3"/>
    <m/>
    <m/>
    <m/>
    <m/>
    <m/>
    <m/>
    <m/>
    <m/>
    <n v="41.17"/>
    <n v="0"/>
    <n v="30643"/>
    <m/>
    <x v="3"/>
    <x v="2"/>
    <s v=""/>
    <s v=""/>
  </r>
  <r>
    <m/>
    <m/>
    <m/>
    <x v="3"/>
    <m/>
    <m/>
    <m/>
    <m/>
    <m/>
    <m/>
    <m/>
    <m/>
    <n v="2.5"/>
    <n v="0"/>
    <n v="30643"/>
    <m/>
    <x v="3"/>
    <x v="2"/>
    <s v=""/>
    <s v=""/>
  </r>
  <r>
    <m/>
    <m/>
    <m/>
    <x v="3"/>
    <m/>
    <m/>
    <m/>
    <m/>
    <m/>
    <m/>
    <m/>
    <m/>
    <n v="7.58"/>
    <n v="0"/>
    <n v="30643"/>
    <m/>
    <x v="3"/>
    <x v="2"/>
    <s v=""/>
    <s v=""/>
  </r>
  <r>
    <m/>
    <m/>
    <m/>
    <x v="3"/>
    <m/>
    <m/>
    <m/>
    <m/>
    <m/>
    <m/>
    <m/>
    <m/>
    <n v="1.92"/>
    <n v="0"/>
    <n v="30643"/>
    <m/>
    <x v="3"/>
    <x v="2"/>
    <s v=""/>
    <s v=""/>
  </r>
  <r>
    <m/>
    <m/>
    <m/>
    <x v="3"/>
    <m/>
    <m/>
    <m/>
    <m/>
    <m/>
    <m/>
    <m/>
    <m/>
    <n v="3"/>
    <n v="0"/>
    <n v="30643"/>
    <m/>
    <x v="3"/>
    <x v="2"/>
    <s v=""/>
    <s v=""/>
  </r>
  <r>
    <m/>
    <m/>
    <m/>
    <x v="3"/>
    <m/>
    <m/>
    <m/>
    <m/>
    <m/>
    <m/>
    <m/>
    <m/>
    <n v="2.17"/>
    <n v="0"/>
    <n v="30643"/>
    <m/>
    <x v="3"/>
    <x v="2"/>
    <s v=""/>
    <s v=""/>
  </r>
  <r>
    <m/>
    <m/>
    <m/>
    <x v="3"/>
    <m/>
    <m/>
    <m/>
    <m/>
    <m/>
    <m/>
    <m/>
    <m/>
    <n v="10.17"/>
    <n v="0"/>
    <n v="30643"/>
    <m/>
    <x v="3"/>
    <x v="2"/>
    <s v=""/>
    <s v=""/>
  </r>
  <r>
    <m/>
    <m/>
    <m/>
    <x v="3"/>
    <m/>
    <m/>
    <m/>
    <m/>
    <m/>
    <m/>
    <m/>
    <m/>
    <n v="20.08"/>
    <n v="0"/>
    <n v="30643"/>
    <m/>
    <x v="3"/>
    <x v="2"/>
    <s v=""/>
    <s v=""/>
  </r>
  <r>
    <m/>
    <m/>
    <m/>
    <x v="3"/>
    <m/>
    <m/>
    <m/>
    <m/>
    <m/>
    <m/>
    <m/>
    <m/>
    <n v="2.08"/>
    <n v="0"/>
    <n v="30643"/>
    <m/>
    <x v="3"/>
    <x v="2"/>
    <s v=""/>
    <s v=""/>
  </r>
  <r>
    <m/>
    <m/>
    <m/>
    <x v="3"/>
    <m/>
    <m/>
    <m/>
    <m/>
    <m/>
    <m/>
    <m/>
    <m/>
    <n v="8.33"/>
    <n v="0"/>
    <n v="30643"/>
    <m/>
    <x v="3"/>
    <x v="2"/>
    <s v=""/>
    <s v=""/>
  </r>
  <r>
    <m/>
    <m/>
    <m/>
    <x v="3"/>
    <m/>
    <m/>
    <m/>
    <m/>
    <m/>
    <m/>
    <m/>
    <m/>
    <n v="3.17"/>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r>
    <m/>
    <m/>
    <m/>
    <x v="3"/>
    <m/>
    <m/>
    <m/>
    <m/>
    <m/>
    <m/>
    <m/>
    <m/>
    <e v="#DIV/0!"/>
    <n v="0"/>
    <n v="30643"/>
    <m/>
    <x v="3"/>
    <x v="2"/>
    <s v=""/>
    <s v=""/>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n v="1.6509433962264151E-2"/>
    <n v="0"/>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r>
    <x v="1"/>
    <s v=""/>
    <s v=""/>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x v="0"/>
    <n v="1.9575471698113208E-3"/>
    <n v="2.3584905660377358E-3"/>
  </r>
  <r>
    <x v="0"/>
    <x v="0"/>
    <n v="1.9575471698113208E-3"/>
    <n v="2.3584905660377358E-3"/>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1"/>
    <x v="1"/>
    <s v=""/>
    <s v=""/>
  </r>
  <r>
    <x v="2"/>
    <x v="2"/>
    <s v=""/>
    <s v=""/>
  </r>
  <r>
    <x v="1"/>
    <x v="1"/>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r>
    <x v="2"/>
    <x v="2"/>
    <s v=""/>
    <s v=""/>
  </r>
</pivotCacheRecords>
</file>

<file path=xl/pivotCache/pivotCacheRecords6.xml><?xml version="1.0" encoding="utf-8"?>
<pivotCacheRecords xmlns="http://schemas.openxmlformats.org/spreadsheetml/2006/main" xmlns:r="http://schemas.openxmlformats.org/officeDocument/2006/relationships" count="578">
  <r>
    <x v="0"/>
    <n v="424"/>
    <n v="0"/>
    <n v="0"/>
    <n v="0"/>
    <e v="#REF!"/>
    <n v="0"/>
    <e v="#REF!"/>
    <n v="0"/>
    <e v="#REF!"/>
    <e v="#REF!"/>
    <e v="#REF!"/>
    <n v="0"/>
    <e v="#REF!"/>
    <e v="#REF!"/>
    <e v="#REF!"/>
    <e v="#REF!"/>
    <n v="2"/>
    <e v="#REF!"/>
    <n v="40"/>
    <n v="0"/>
    <s v=""/>
    <s v=""/>
    <s v=""/>
    <s v=""/>
    <s v=""/>
    <s v=""/>
    <n v="0"/>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r>
    <x v="1"/>
    <m/>
    <m/>
    <m/>
    <m/>
    <m/>
    <m/>
    <m/>
    <m/>
    <m/>
    <m/>
    <m/>
    <m/>
    <m/>
    <m/>
    <m/>
    <m/>
    <m/>
    <m/>
    <n v="0"/>
    <n v="0"/>
    <s v=""/>
    <s v=""/>
    <s v=""/>
    <s v=""/>
    <s v=""/>
    <s v=""/>
    <s v=""/>
    <s v=""/>
    <s v=""/>
    <s v=""/>
    <s v=""/>
    <s v=""/>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9">
  <r>
    <x v="0"/>
    <x v="0"/>
    <n v="9"/>
    <m/>
    <n v="1"/>
    <s v=""/>
  </r>
  <r>
    <x v="0"/>
    <x v="0"/>
    <n v="4"/>
    <m/>
    <n v="1"/>
    <s v=""/>
  </r>
  <r>
    <x v="0"/>
    <x v="0"/>
    <n v="2"/>
    <m/>
    <n v="1"/>
    <s v=""/>
  </r>
  <r>
    <x v="0"/>
    <x v="0"/>
    <n v="4"/>
    <m/>
    <n v="1"/>
    <s v=""/>
  </r>
  <r>
    <x v="0"/>
    <x v="1"/>
    <n v="1"/>
    <m/>
    <n v="1"/>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r>
    <x v="1"/>
    <x v="2"/>
    <m/>
    <m/>
    <s v=""/>
    <s v=""/>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
  <r>
    <n v="1"/>
    <x v="0"/>
    <n v="0"/>
    <n v="0"/>
    <s v=""/>
  </r>
  <r>
    <n v="2"/>
    <x v="1"/>
    <n v="0"/>
    <n v="0"/>
    <s v=""/>
  </r>
  <r>
    <n v="3"/>
    <x v="2"/>
    <n v="0"/>
    <n v="0"/>
    <s v=""/>
  </r>
  <r>
    <n v="4"/>
    <x v="3"/>
    <n v="0"/>
    <n v="0"/>
    <s v=""/>
  </r>
  <r>
    <n v="5"/>
    <x v="4"/>
    <n v="0"/>
    <n v="0"/>
    <s v=""/>
  </r>
  <r>
    <n v="6"/>
    <x v="5"/>
    <n v="2"/>
    <n v="0"/>
    <n v="0"/>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r>
    <m/>
    <x v="6"/>
    <m/>
    <m/>
    <s v=""/>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2">
  <r>
    <n v="1"/>
    <d v="2021-02-28T00:00:00"/>
    <x v="0"/>
    <n v="0"/>
    <n v="0"/>
    <n v="0"/>
    <s v=""/>
    <s v=""/>
  </r>
  <r>
    <n v="2"/>
    <d v="2021-03-28T00:00:00"/>
    <x v="1"/>
    <n v="0"/>
    <n v="0"/>
    <n v="0"/>
    <s v=""/>
    <s v=""/>
  </r>
  <r>
    <n v="3"/>
    <d v="2021-04-30T00:00:00"/>
    <x v="2"/>
    <n v="0"/>
    <n v="0"/>
    <n v="0"/>
    <s v=""/>
    <s v=""/>
  </r>
  <r>
    <n v="4"/>
    <d v="2021-05-30T00:00:00"/>
    <x v="3"/>
    <n v="0"/>
    <n v="0"/>
    <n v="0"/>
    <s v=""/>
    <s v=""/>
  </r>
  <r>
    <n v="5"/>
    <d v="2021-06-30T00:00:00"/>
    <x v="4"/>
    <n v="0"/>
    <n v="0"/>
    <n v="0"/>
    <s v=""/>
    <s v=""/>
  </r>
  <r>
    <n v="6"/>
    <d v="2021-07-30T00:00:00"/>
    <x v="5"/>
    <n v="1"/>
    <n v="1"/>
    <n v="1"/>
    <n v="1"/>
    <n v="1"/>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r>
    <m/>
    <m/>
    <x v="6"/>
    <m/>
    <m/>
    <m/>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532"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G5:G6" firstHeaderRow="1" firstDataRow="1" firstDataCol="0" rowPageCount="3" colPageCount="1"/>
  <pivotFields count="16">
    <pivotField showAll="0"/>
    <pivotField showAll="0"/>
    <pivotField axis="axisPage" showAll="0">
      <items count="2">
        <item x="0"/>
        <item t="default"/>
      </items>
    </pivotField>
    <pivotField axis="axisPage" showAll="0">
      <items count="2">
        <item x="0"/>
        <item t="default"/>
      </items>
    </pivotField>
    <pivotField showAll="0"/>
    <pivotField showAll="0"/>
    <pivotField showAll="0"/>
    <pivotField numFmtId="167" showAll="0"/>
    <pivotField axis="axisPage" numFmtId="167" showAll="0">
      <items count="12">
        <item x="0"/>
        <item x="3"/>
        <item x="4"/>
        <item x="2"/>
        <item x="1"/>
        <item m="1" x="10"/>
        <item x="7"/>
        <item x="9"/>
        <item x="5"/>
        <item x="6"/>
        <item x="8"/>
        <item t="default"/>
      </items>
    </pivotField>
    <pivotField numFmtId="2" showAll="0"/>
    <pivotField numFmtId="167" showAll="0"/>
    <pivotField numFmtId="167" showAll="0"/>
    <pivotField numFmtId="2" showAll="0"/>
    <pivotField showAll="0"/>
    <pivotField numFmtId="10" showAll="0"/>
    <pivotField dataField="1" numFmtId="10" showAll="0"/>
  </pivotFields>
  <pageFields count="3">
    <pageField fld="2" hier="0"/>
    <pageField fld="3" hier="0"/>
    <pageField fld="8" hier="0"/>
  </pageFields>
  <dataFields count="1">
    <dataField name="Sum of Effort Variation (%)" fld="15"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6"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location ref="I603:K620" firstHeaderRow="1" firstDataRow="1" firstDataCol="0"/>
  <pivotFields count="33">
    <pivotField showAll="0"/>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 cacheId="534"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E46:F50" firstHeaderRow="1" firstDataRow="1" firstDataCol="1"/>
  <pivotFields count="2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axis="axisRow" showAll="0">
      <items count="4">
        <item x="2"/>
        <item x="0"/>
        <item x="1"/>
        <item t="default"/>
      </items>
    </pivotField>
    <pivotField showAll="0"/>
    <pivotField dataField="1" showAll="0"/>
  </pivotFields>
  <rowFields count="1">
    <field x="17"/>
  </rowFields>
  <rowItems count="4">
    <i>
      <x/>
    </i>
    <i>
      <x v="1"/>
    </i>
    <i>
      <x v="2"/>
    </i>
    <i t="grand">
      <x/>
    </i>
  </rowItems>
  <colItems count="1">
    <i/>
  </colItems>
  <dataFields count="1">
    <dataField name="Average of Effort Variation (%)" fld="19"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ivotTable26" cacheId="534" applyNumberFormats="0" applyBorderFormats="0" applyFontFormats="0" applyPatternFormats="0" applyAlignmentFormats="0" applyWidthHeightFormats="1" dataCaption="Values" showError="1" updatedVersion="4" minRefreshableVersion="3" useAutoFormatting="1" createdVersion="4" indent="0" outline="1" outlineData="1" multipleFieldFilters="0" chartFormat="1">
  <location ref="N25:S31" firstHeaderRow="1" firstDataRow="2" firstDataCol="1"/>
  <pivotFields count="20">
    <pivotField showAll="0"/>
    <pivotField showAll="0"/>
    <pivotField showAll="0"/>
    <pivotField axis="axisRow" showAll="0" defaultSubtotal="0">
      <items count="4">
        <item x="3"/>
        <item x="0"/>
        <item x="1"/>
        <item x="2"/>
      </items>
    </pivotField>
    <pivotField showAll="0"/>
    <pivotField showAll="0"/>
    <pivotField showAll="0"/>
    <pivotField showAll="0"/>
    <pivotField showAll="0"/>
    <pivotField showAll="0"/>
    <pivotField showAll="0"/>
    <pivotField showAll="0"/>
    <pivotField showAll="0" defaultSubtotal="0"/>
    <pivotField numFmtId="1" showAll="0" defaultSubtotal="0"/>
    <pivotField numFmtId="1" showAll="0" defaultSubtotal="0"/>
    <pivotField showAll="0"/>
    <pivotField axis="axisCol" showAll="0">
      <items count="5">
        <item x="3"/>
        <item x="2"/>
        <item x="1"/>
        <item x="0"/>
        <item t="default"/>
      </items>
    </pivotField>
    <pivotField showAll="0"/>
    <pivotField dataField="1" showAll="0"/>
    <pivotField showAll="0"/>
  </pivotFields>
  <rowFields count="1">
    <field x="3"/>
  </rowFields>
  <rowItems count="5">
    <i>
      <x/>
    </i>
    <i>
      <x v="1"/>
    </i>
    <i>
      <x v="2"/>
    </i>
    <i>
      <x v="3"/>
    </i>
    <i t="grand">
      <x/>
    </i>
  </rowItems>
  <colFields count="1">
    <field x="16"/>
  </colFields>
  <colItems count="5">
    <i>
      <x/>
    </i>
    <i>
      <x v="1"/>
    </i>
    <i>
      <x v="2"/>
    </i>
    <i>
      <x v="3"/>
    </i>
    <i t="grand">
      <x/>
    </i>
  </colItems>
  <dataFields count="1">
    <dataField name="Average of Schedule Variation (%)" fld="18" subtotal="average" baseField="3" baseItem="1" numFmtId="10"/>
  </dataFields>
  <chartFormats count="4">
    <chartFormat chart="0" format="0" series="1">
      <pivotArea type="data" outline="0" fieldPosition="0">
        <references count="2">
          <reference field="4294967294" count="1" selected="0">
            <x v="0"/>
          </reference>
          <reference field="16" count="1" selected="0">
            <x v="0"/>
          </reference>
        </references>
      </pivotArea>
    </chartFormat>
    <chartFormat chart="0" format="1" series="1">
      <pivotArea type="data" outline="0" fieldPosition="0">
        <references count="2">
          <reference field="4294967294" count="1" selected="0">
            <x v="0"/>
          </reference>
          <reference field="16" count="1" selected="0">
            <x v="1"/>
          </reference>
        </references>
      </pivotArea>
    </chartFormat>
    <chartFormat chart="0" format="2" series="1">
      <pivotArea type="data" outline="0" fieldPosition="0">
        <references count="2">
          <reference field="4294967294" count="1" selected="0">
            <x v="0"/>
          </reference>
          <reference field="16" count="1" selected="0">
            <x v="2"/>
          </reference>
        </references>
      </pivotArea>
    </chartFormat>
    <chartFormat chart="0" format="3" series="1">
      <pivotArea type="data" outline="0" fieldPosition="0">
        <references count="2">
          <reference field="4294967294" count="1" selected="0">
            <x v="0"/>
          </reference>
          <reference field="16"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ivotTable3" cacheId="534"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E24:J30" firstHeaderRow="1" firstDataRow="2" firstDataCol="1"/>
  <pivotFields count="20">
    <pivotField showAll="0"/>
    <pivotField showAll="0"/>
    <pivotField multipleItemSelectionAllowed="1" showAll="0"/>
    <pivotField axis="axisRow" showAll="0" defaultSubtotal="0">
      <items count="4">
        <item x="3"/>
        <item x="0"/>
        <item x="1"/>
        <item x="2"/>
      </items>
    </pivotField>
    <pivotField showAll="0"/>
    <pivotField showAll="0" defaultSubtotal="0"/>
    <pivotField showAll="0"/>
    <pivotField showAll="0"/>
    <pivotField showAll="0"/>
    <pivotField showAll="0"/>
    <pivotField showAll="0"/>
    <pivotField showAll="0"/>
    <pivotField showAll="0" defaultSubtotal="0"/>
    <pivotField numFmtId="1" showAll="0" defaultSubtotal="0"/>
    <pivotField numFmtId="1" showAll="0" defaultSubtotal="0"/>
    <pivotField showAll="0"/>
    <pivotField axis="axisCol" multipleItemSelectionAllowed="1" showAll="0">
      <items count="5">
        <item x="3"/>
        <item x="2"/>
        <item x="1"/>
        <item x="0"/>
        <item t="default"/>
      </items>
    </pivotField>
    <pivotField showAll="0" defaultSubtotal="0"/>
    <pivotField showAll="0"/>
    <pivotField dataField="1" showAll="0"/>
  </pivotFields>
  <rowFields count="1">
    <field x="3"/>
  </rowFields>
  <rowItems count="5">
    <i>
      <x/>
    </i>
    <i>
      <x v="1"/>
    </i>
    <i>
      <x v="2"/>
    </i>
    <i>
      <x v="3"/>
    </i>
    <i t="grand">
      <x/>
    </i>
  </rowItems>
  <colFields count="1">
    <field x="16"/>
  </colFields>
  <colItems count="5">
    <i>
      <x/>
    </i>
    <i>
      <x v="1"/>
    </i>
    <i>
      <x v="2"/>
    </i>
    <i>
      <x v="3"/>
    </i>
    <i t="grand">
      <x/>
    </i>
  </colItems>
  <dataFields count="1">
    <dataField name="Average of Effort Variation (%)" fld="19" subtotal="average" baseField="0" baseItem="0" numFmtId="9"/>
  </dataFields>
  <formats count="3">
    <format dxfId="232">
      <pivotArea outline="0" collapsedLevelsAreSubtotals="1" fieldPosition="0"/>
    </format>
    <format dxfId="233">
      <pivotArea dataOnly="0" labelOnly="1" grandRow="1" outline="0" fieldPosition="0"/>
    </format>
    <format dxfId="234">
      <pivotArea outline="0" collapsedLevelsAreSubtotals="1" fieldPosition="0"/>
    </format>
  </formats>
  <chartFormats count="4">
    <chartFormat chart="0" format="0" series="1">
      <pivotArea type="data" outline="0" fieldPosition="0">
        <references count="2">
          <reference field="4294967294" count="1" selected="0">
            <x v="0"/>
          </reference>
          <reference field="16" count="1" selected="0">
            <x v="0"/>
          </reference>
        </references>
      </pivotArea>
    </chartFormat>
    <chartFormat chart="0" format="1" series="1">
      <pivotArea type="data" outline="0" fieldPosition="0">
        <references count="2">
          <reference field="4294967294" count="1" selected="0">
            <x v="0"/>
          </reference>
          <reference field="16" count="1" selected="0">
            <x v="1"/>
          </reference>
        </references>
      </pivotArea>
    </chartFormat>
    <chartFormat chart="0" format="2" series="1">
      <pivotArea type="data" outline="0" fieldPosition="0">
        <references count="2">
          <reference field="4294967294" count="1" selected="0">
            <x v="0"/>
          </reference>
          <reference field="16" count="1" selected="0">
            <x v="2"/>
          </reference>
        </references>
      </pivotArea>
    </chartFormat>
    <chartFormat chart="0" format="3" series="1">
      <pivotArea type="data" outline="0" fieldPosition="0">
        <references count="2">
          <reference field="4294967294" count="1" selected="0">
            <x v="0"/>
          </reference>
          <reference field="16"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2" cacheId="534"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M41:N45" firstHeaderRow="1" firstDataRow="1" firstDataCol="1"/>
  <pivotFields count="2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axis="axisRow" showAll="0">
      <items count="4">
        <item x="2"/>
        <item x="0"/>
        <item x="1"/>
        <item t="default"/>
      </items>
    </pivotField>
    <pivotField dataField="1" showAll="0"/>
    <pivotField showAll="0"/>
  </pivotFields>
  <rowFields count="1">
    <field x="17"/>
  </rowFields>
  <rowItems count="4">
    <i>
      <x/>
    </i>
    <i>
      <x v="1"/>
    </i>
    <i>
      <x v="2"/>
    </i>
    <i t="grand">
      <x/>
    </i>
  </rowItems>
  <colItems count="1">
    <i/>
  </colItems>
  <dataFields count="1">
    <dataField name="Average of Schedule Variation (%)" fld="18"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3" cacheId="536"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D26:H31" firstHeaderRow="1" firstDataRow="2" firstDataCol="1"/>
  <pivotFields count="4">
    <pivotField axis="axisRow" showAll="0">
      <items count="4">
        <item x="2"/>
        <item x="1"/>
        <item x="0"/>
        <item t="default"/>
      </items>
    </pivotField>
    <pivotField axis="axisCol" showAll="0">
      <items count="4">
        <item x="2"/>
        <item x="1"/>
        <item x="0"/>
        <item t="default"/>
      </items>
    </pivotField>
    <pivotField showAll="0"/>
    <pivotField dataField="1" showAll="0"/>
  </pivotFields>
  <rowFields count="1">
    <field x="0"/>
  </rowFields>
  <rowItems count="4">
    <i>
      <x/>
    </i>
    <i>
      <x v="1"/>
    </i>
    <i>
      <x v="2"/>
    </i>
    <i t="grand">
      <x/>
    </i>
  </rowItems>
  <colFields count="1">
    <field x="1"/>
  </colFields>
  <colItems count="4">
    <i>
      <x/>
    </i>
    <i>
      <x v="1"/>
    </i>
    <i>
      <x v="2"/>
    </i>
    <i t="grand">
      <x/>
    </i>
  </colItems>
  <dataFields count="1">
    <dataField name="Sum of % of Rework" fld="3" baseField="0" baseItem="0"/>
  </dataFields>
  <formats count="5">
    <format dxfId="227">
      <pivotArea type="all" dataOnly="0" outline="0" fieldPosition="0"/>
    </format>
    <format dxfId="228">
      <pivotArea type="origin" dataOnly="0" labelOnly="1" outline="0" fieldPosition="0"/>
    </format>
    <format dxfId="229">
      <pivotArea field="0" type="button" dataOnly="0" labelOnly="1" outline="0" fieldPosition="0"/>
    </format>
    <format dxfId="230">
      <pivotArea dataOnly="0" labelOnly="1" fieldPosition="0">
        <references count="1">
          <reference field="0" count="0"/>
        </references>
      </pivotArea>
    </format>
    <format dxfId="231">
      <pivotArea dataOnly="0" labelOnly="1" grandRow="1" outline="0" fieldPosition="0"/>
    </format>
  </format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22" cacheId="536"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D7:H12" firstHeaderRow="1" firstDataRow="2" firstDataCol="1"/>
  <pivotFields count="4">
    <pivotField axis="axisRow" showAll="0">
      <items count="4">
        <item x="2"/>
        <item x="1"/>
        <item x="0"/>
        <item t="default"/>
      </items>
    </pivotField>
    <pivotField axis="axisCol" showAll="0">
      <items count="4">
        <item x="2"/>
        <item x="1"/>
        <item x="0"/>
        <item t="default"/>
      </items>
    </pivotField>
    <pivotField dataField="1" showAll="0"/>
    <pivotField showAll="0"/>
  </pivotFields>
  <rowFields count="1">
    <field x="0"/>
  </rowFields>
  <rowItems count="4">
    <i>
      <x/>
    </i>
    <i>
      <x v="1"/>
    </i>
    <i>
      <x v="2"/>
    </i>
    <i t="grand">
      <x/>
    </i>
  </rowItems>
  <colFields count="1">
    <field x="1"/>
  </colFields>
  <colItems count="4">
    <i>
      <x/>
    </i>
    <i>
      <x v="1"/>
    </i>
    <i>
      <x v="2"/>
    </i>
    <i t="grand">
      <x/>
    </i>
  </colItems>
  <dataFields count="1">
    <dataField name="Sum of % of Review" fld="2" baseField="0" baseItem="0"/>
  </dataFields>
  <formats count="5">
    <format dxfId="222">
      <pivotArea type="all" dataOnly="0" outline="0" fieldPosition="0"/>
    </format>
    <format dxfId="223">
      <pivotArea type="origin" dataOnly="0" labelOnly="1" outline="0" fieldPosition="0"/>
    </format>
    <format dxfId="224">
      <pivotArea field="0" type="button" dataOnly="0" labelOnly="1" outline="0" fieldPosition="0"/>
    </format>
    <format dxfId="225">
      <pivotArea dataOnly="0" labelOnly="1" fieldPosition="0">
        <references count="1">
          <reference field="0" count="0"/>
        </references>
      </pivotArea>
    </format>
    <format dxfId="226">
      <pivotArea dataOnly="0" labelOnly="1" grandRow="1" outline="0" fieldPosition="0"/>
    </format>
  </format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25" cacheId="535"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3">
  <location ref="D59:E62" firstHeaderRow="1" firstDataRow="1" firstDataCol="1"/>
  <pivotFields count="3">
    <pivotField axis="axisRow" showAll="0">
      <items count="3">
        <item x="1"/>
        <item x="0"/>
        <item t="default"/>
      </items>
    </pivotField>
    <pivotField showAll="0"/>
    <pivotField dataField="1" showAll="0"/>
  </pivotFields>
  <rowFields count="1">
    <field x="0"/>
  </rowFields>
  <rowItems count="3">
    <i>
      <x/>
    </i>
    <i>
      <x v="1"/>
    </i>
    <i t="grand">
      <x/>
    </i>
  </rowItems>
  <colItems count="1">
    <i/>
  </colItems>
  <dataFields count="1">
    <dataField name="Sum of % of Configuration Management" fld="2" baseField="0" baseItem="0"/>
  </dataFields>
  <formats count="1">
    <format dxfId="221">
      <pivotArea type="all" dataOnly="0" outline="0"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24" cacheId="535"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3">
  <location ref="D43:E46" firstHeaderRow="1" firstDataRow="1" firstDataCol="1"/>
  <pivotFields count="3">
    <pivotField axis="axisRow" showAll="0">
      <items count="3">
        <item x="1"/>
        <item x="0"/>
        <item t="default"/>
      </items>
    </pivotField>
    <pivotField dataField="1" showAll="0"/>
    <pivotField showAll="0"/>
  </pivotFields>
  <rowFields count="1">
    <field x="0"/>
  </rowFields>
  <rowItems count="3">
    <i>
      <x/>
    </i>
    <i>
      <x v="1"/>
    </i>
    <i t="grand">
      <x/>
    </i>
  </rowItems>
  <colItems count="1">
    <i/>
  </colItems>
  <dataFields count="1">
    <dataField name="Sum of % of Project Management" fld="1" baseField="0" baseItem="0"/>
  </dataFields>
  <formats count="1">
    <format dxfId="220">
      <pivotArea type="all" dataOnly="0" outline="0"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2" cacheId="540"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E4:F12" firstHeaderRow="1" firstDataRow="1" firstDataCol="1"/>
  <pivotFields count="8">
    <pivotField showAll="0"/>
    <pivotField numFmtId="165" showAll="0"/>
    <pivotField axis="axisRow" showAll="0">
      <items count="8">
        <item x="6"/>
        <item x="0"/>
        <item x="1"/>
        <item x="2"/>
        <item x="3"/>
        <item x="4"/>
        <item x="5"/>
        <item t="default"/>
      </items>
    </pivotField>
    <pivotField showAll="0"/>
    <pivotField showAll="0"/>
    <pivotField showAll="0"/>
    <pivotField dataField="1" numFmtId="9" showAll="0"/>
    <pivotField numFmtId="9" showAll="0"/>
  </pivotFields>
  <rowFields count="1">
    <field x="2"/>
  </rowFields>
  <rowItems count="8">
    <i>
      <x/>
    </i>
    <i>
      <x v="1"/>
    </i>
    <i>
      <x v="2"/>
    </i>
    <i>
      <x v="3"/>
    </i>
    <i>
      <x v="4"/>
    </i>
    <i>
      <x v="5"/>
    </i>
    <i>
      <x v="6"/>
    </i>
    <i t="grand">
      <x/>
    </i>
  </rowItems>
  <colItems count="1">
    <i/>
  </colItems>
  <dataFields count="1">
    <dataField name="Sum of % of On time Access Removal " fld="6" baseField="0" baseItem="0"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D00-000002000000}" name="PivotTable5" cacheId="539"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D48:E56" firstHeaderRow="1" firstDataRow="1" firstDataCol="1"/>
  <pivotFields count="5">
    <pivotField showAll="0"/>
    <pivotField axis="axisRow" showAll="0">
      <items count="8">
        <item x="6"/>
        <item x="0"/>
        <item x="1"/>
        <item x="2"/>
        <item x="3"/>
        <item x="4"/>
        <item x="5"/>
        <item t="default"/>
      </items>
    </pivotField>
    <pivotField showAll="0"/>
    <pivotField showAll="0"/>
    <pivotField dataField="1" numFmtId="9" showAll="0"/>
  </pivotFields>
  <rowFields count="1">
    <field x="1"/>
  </rowFields>
  <rowItems count="8">
    <i>
      <x/>
    </i>
    <i>
      <x v="1"/>
    </i>
    <i>
      <x v="2"/>
    </i>
    <i>
      <x v="3"/>
    </i>
    <i>
      <x v="4"/>
    </i>
    <i>
      <x v="5"/>
    </i>
    <i>
      <x v="6"/>
    </i>
    <i t="grand">
      <x/>
    </i>
  </rowItems>
  <colItems count="1">
    <i/>
  </colItems>
  <dataFields count="1">
    <dataField name="Sum of Security Defect Leakage" fld="4"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ivotTable3" cacheId="540"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3">
  <location ref="E27:F35" firstHeaderRow="1" firstDataRow="1" firstDataCol="1"/>
  <pivotFields count="8">
    <pivotField showAll="0"/>
    <pivotField numFmtId="165" showAll="0"/>
    <pivotField axis="axisRow" showAll="0">
      <items count="8">
        <item x="6"/>
        <item x="0"/>
        <item x="1"/>
        <item x="2"/>
        <item x="3"/>
        <item x="4"/>
        <item x="5"/>
        <item t="default"/>
      </items>
    </pivotField>
    <pivotField showAll="0"/>
    <pivotField showAll="0"/>
    <pivotField showAll="0"/>
    <pivotField numFmtId="9" showAll="0"/>
    <pivotField dataField="1" numFmtId="9" showAll="0"/>
  </pivotFields>
  <rowFields count="1">
    <field x="2"/>
  </rowFields>
  <rowItems count="8">
    <i>
      <x/>
    </i>
    <i>
      <x v="1"/>
    </i>
    <i>
      <x v="2"/>
    </i>
    <i>
      <x v="3"/>
    </i>
    <i>
      <x v="4"/>
    </i>
    <i>
      <x v="5"/>
    </i>
    <i>
      <x v="6"/>
    </i>
    <i t="grand">
      <x/>
    </i>
  </rowItems>
  <colItems count="1">
    <i/>
  </colItems>
  <dataFields count="1">
    <dataField name="Sum of % of On Time asset returned" fld="7"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PivotTable17"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C92:D95"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3">
    <i>
      <x/>
    </i>
    <i>
      <x v="1"/>
    </i>
    <i t="grand">
      <x/>
    </i>
  </rowItems>
  <colItems count="1">
    <i/>
  </colItems>
  <dataFields count="1">
    <dataField name="Sum of Defect Validation Productivity" fld="30"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B000000}" name="PivotTable9"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H24:I27"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Sum of Overall Review Efficiency (Tst)" fld="24" baseField="0" baseItem="0" numFmtId="1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A000000}" name="PivotTable8"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C27:D30"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Sum of Overall Review Efficiency (Dev)" fld="23"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11"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H40:I43"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Sum of Defect Density by Size (Tst)" fld="26"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PivotTable16"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H72:I75"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0"/>
  </rowFields>
  <rowItems count="3">
    <i>
      <x/>
    </i>
    <i>
      <x v="1"/>
    </i>
    <i t="grand">
      <x/>
    </i>
  </rowItems>
  <colItems count="1">
    <i/>
  </colItems>
  <dataFields count="1">
    <dataField name="Sum of Defect Severity Index" fld="29"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PivotTable18"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H88:I91"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3">
    <i>
      <x/>
    </i>
    <i>
      <x v="1"/>
    </i>
    <i t="grand">
      <x/>
    </i>
  </rowItems>
  <colItems count="1">
    <i/>
  </colItems>
  <dataFields count="1">
    <dataField name="Sum of Defect Acceptance Rate" fld="31"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ivotTable13"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H56:I59"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Sum of Effort for Testcase Execution" fld="20"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PivotTable7"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H7:I10"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Sum of Defect Density by Size (Dev)" fld="22"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ivotTable12"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C57:D60"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0"/>
  </rowFields>
  <rowItems count="3">
    <i>
      <x/>
    </i>
    <i>
      <x v="1"/>
    </i>
    <i t="grand">
      <x/>
    </i>
  </rowItems>
  <colItems count="1">
    <i/>
  </colItems>
  <dataFields count="1">
    <dataField name="Sum of Testcase Creation Productivity" fld="27"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0"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B40:C43"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Sum of Defect Density by Effort (Tst)" fld="25"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PivotTable15"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C73:D76"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0"/>
  </rowFields>
  <rowItems count="3">
    <i>
      <x/>
    </i>
    <i>
      <x v="1"/>
    </i>
    <i t="grand">
      <x/>
    </i>
  </rowItems>
  <colItems count="1">
    <i/>
  </colItems>
  <dataFields count="1">
    <dataField name="Sum of Defect Leakage" fld="32"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PivotTable6" cacheId="537"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C8:D11" firstHeaderRow="1" firstDataRow="1" firstDataCol="1"/>
  <pivotFields count="33">
    <pivotField axis="axisRow" showAll="0">
      <items count="3">
        <item x="1"/>
        <item x="0"/>
        <item t="default"/>
      </items>
    </pivotField>
    <pivotField showAll="0" defaultSubtota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
    <i>
      <x/>
    </i>
    <i>
      <x v="1"/>
    </i>
    <i t="grand">
      <x/>
    </i>
  </rowItems>
  <colItems count="1">
    <i/>
  </colItems>
  <dataFields count="1">
    <dataField name="Sum of Defect Density by Effort (Dev)" fld="21" baseField="0" baseItem="1"/>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F00-000001000000}" name="PivotTable20" cacheId="538"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F28:G30" firstHeaderRow="1" firstDataRow="1" firstDataCol="1"/>
  <pivotFields count="6">
    <pivotField axis="axisRow" showAll="0">
      <items count="36">
        <item h="1" m="1" x="5"/>
        <item h="1" m="1" x="26"/>
        <item h="1" x="1"/>
        <item h="1" m="1" x="12"/>
        <item h="1" m="1" x="16"/>
        <item h="1" m="1" x="8"/>
        <item h="1" m="1" x="30"/>
        <item h="1" m="1" x="18"/>
        <item h="1" m="1" x="10"/>
        <item h="1" m="1" x="33"/>
        <item h="1" m="1" x="21"/>
        <item h="1" m="1" x="15"/>
        <item h="1" m="1" x="19"/>
        <item h="1" m="1" x="22"/>
        <item h="1" m="1" x="24"/>
        <item h="1" m="1" x="27"/>
        <item h="1" m="1" x="31"/>
        <item h="1" m="1" x="2"/>
        <item h="1" m="1" x="4"/>
        <item h="1" m="1" x="6"/>
        <item h="1" m="1" x="9"/>
        <item h="1" m="1" x="7"/>
        <item h="1" m="1" x="11"/>
        <item h="1" m="1" x="13"/>
        <item h="1" m="1" x="14"/>
        <item h="1" m="1" x="17"/>
        <item h="1" m="1" x="20"/>
        <item h="1" m="1" x="23"/>
        <item h="1" m="1" x="25"/>
        <item h="1" m="1" x="28"/>
        <item h="1" m="1" x="32"/>
        <item h="1" m="1" x="29"/>
        <item h="1" m="1" x="34"/>
        <item h="1" m="1" x="3"/>
        <item x="0"/>
        <item t="default"/>
      </items>
    </pivotField>
    <pivotField showAll="0"/>
    <pivotField showAll="0"/>
    <pivotField showAll="0"/>
    <pivotField showAll="0"/>
    <pivotField dataField="1" showAll="0"/>
  </pivotFields>
  <rowFields count="1">
    <field x="0"/>
  </rowFields>
  <rowItems count="2">
    <i>
      <x v="34"/>
    </i>
    <i t="grand">
      <x/>
    </i>
  </rowItems>
  <colItems count="1">
    <i/>
  </colItems>
  <dataFields count="1">
    <dataField name="Sum of Productivity" fld="5"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9" cacheId="538"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D9:G12" firstHeaderRow="1" firstDataRow="2" firstDataCol="1"/>
  <pivotFields count="6">
    <pivotField axis="axisRow" showAll="0">
      <items count="36">
        <item h="1" m="1" x="5"/>
        <item h="1" m="1" x="26"/>
        <item h="1" x="1"/>
        <item h="1" m="1" x="12"/>
        <item h="1" m="1" x="16"/>
        <item h="1" m="1" x="8"/>
        <item h="1" m="1" x="30"/>
        <item h="1" m="1" x="18"/>
        <item h="1" m="1" x="10"/>
        <item h="1" m="1" x="33"/>
        <item h="1" m="1" x="21"/>
        <item h="1" m="1" x="15"/>
        <item h="1" m="1" x="19"/>
        <item h="1" m="1" x="22"/>
        <item h="1" m="1" x="24"/>
        <item h="1" m="1" x="27"/>
        <item h="1" m="1" x="31"/>
        <item h="1" m="1" x="2"/>
        <item h="1" m="1" x="4"/>
        <item h="1" m="1" x="6"/>
        <item h="1" m="1" x="9"/>
        <item h="1" m="1" x="7"/>
        <item h="1" m="1" x="11"/>
        <item h="1" m="1" x="13"/>
        <item h="1" m="1" x="14"/>
        <item h="1" m="1" x="17"/>
        <item h="1" m="1" x="20"/>
        <item h="1" m="1" x="23"/>
        <item h="1" m="1" x="25"/>
        <item h="1" m="1" x="28"/>
        <item h="1" m="1" x="32"/>
        <item h="1" m="1" x="29"/>
        <item h="1" m="1" x="34"/>
        <item h="1" m="1" x="3"/>
        <item x="0"/>
        <item t="default"/>
      </items>
    </pivotField>
    <pivotField axis="axisCol" showAll="0">
      <items count="7">
        <item x="1"/>
        <item m="1" x="4"/>
        <item x="0"/>
        <item m="1" x="5"/>
        <item m="1" x="3"/>
        <item x="2"/>
        <item t="default"/>
      </items>
    </pivotField>
    <pivotField showAll="0"/>
    <pivotField showAll="0"/>
    <pivotField dataField="1" showAll="0"/>
    <pivotField showAll="0"/>
  </pivotFields>
  <rowFields count="1">
    <field x="0"/>
  </rowFields>
  <rowItems count="2">
    <i>
      <x v="34"/>
    </i>
    <i t="grand">
      <x/>
    </i>
  </rowItems>
  <colFields count="1">
    <field x="1"/>
  </colFields>
  <colItems count="3">
    <i>
      <x/>
    </i>
    <i>
      <x v="2"/>
    </i>
    <i t="grand">
      <x/>
    </i>
  </colItems>
  <dataFields count="1">
    <dataField name="Average of Requirement Stability Index" fld="4" subtotal="average" baseField="0" baseItem="0"/>
  </dataFields>
  <chartFormats count="2">
    <chartFormat chart="0" format="4" series="1">
      <pivotArea type="data" outline="0" fieldPosition="0">
        <references count="2">
          <reference field="4294967294" count="1" selected="0">
            <x v="0"/>
          </reference>
          <reference field="1" count="1" selected="0">
            <x v="0"/>
          </reference>
        </references>
      </pivotArea>
    </chartFormat>
    <chartFormat chart="0" format="5" series="1">
      <pivotArea type="data" outline="0" fieldPosition="0">
        <references count="2">
          <reference field="4294967294" count="1" selected="0">
            <x v="0"/>
          </reference>
          <reference field="1"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 cacheId="533" applyNumberFormats="0" applyBorderFormats="0" applyFontFormats="0" applyPatternFormats="0" applyAlignmentFormats="0" applyWidthHeightFormats="1" dataCaption="Values" updatedVersion="4" minRefreshableVersion="3" useAutoFormatting="1" createdVersion="4" indent="0" outline="1" outlineData="1" multipleFieldFilters="0" chartFormat="1">
  <location ref="D6:E10" firstHeaderRow="1" firstDataRow="1" firstDataCol="1"/>
  <pivotFields count="10">
    <pivotField showAll="0"/>
    <pivotField showAll="0"/>
    <pivotField showAll="0"/>
    <pivotField showAll="0"/>
    <pivotField showAll="0"/>
    <pivotField showAll="0"/>
    <pivotField axis="axisRow" showAll="0">
      <items count="4">
        <item x="2"/>
        <item x="0"/>
        <item x="1"/>
        <item t="default"/>
      </items>
    </pivotField>
    <pivotField showAll="0"/>
    <pivotField showAll="0"/>
    <pivotField dataField="1" dragToRow="0" dragToCol="0" dragToPage="0" showAll="0" defaultSubtotal="0"/>
  </pivotFields>
  <rowFields count="1">
    <field x="6"/>
  </rowFields>
  <rowItems count="4">
    <i>
      <x/>
    </i>
    <i>
      <x v="1"/>
    </i>
    <i>
      <x v="2"/>
    </i>
    <i t="grand">
      <x/>
    </i>
  </rowItems>
  <colItems count="1">
    <i/>
  </colItems>
  <dataFields count="1">
    <dataField name="Sum of LoadFactor" fld="9" baseField="0" baseItem="0" numFmtId="9"/>
  </dataFields>
  <formats count="1">
    <format dxfId="219">
      <pivotArea dataOnly="0"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47" displayName="Table47" ref="B24:G603" totalsRowShown="0">
  <autoFilter ref="B24:G603" xr:uid="{00000000-0009-0000-0100-000006000000}"/>
  <tableColumns count="6">
    <tableColumn id="1" xr3:uid="{00000000-0010-0000-0000-000001000000}" name="Release Name" dataDxfId="128"/>
    <tableColumn id="5" xr3:uid="{00000000-0010-0000-0000-000005000000}" name="Maintenance Type" dataDxfId="127"/>
    <tableColumn id="2" xr3:uid="{00000000-0010-0000-0000-000002000000}" name="Initial No. of Requirements" dataDxfId="126"/>
    <tableColumn id="3" xr3:uid="{00000000-0010-0000-0000-000003000000}" name="Modified Requirements( Added / Deleted /Modified)" dataDxfId="125"/>
    <tableColumn id="4" xr3:uid="{00000000-0010-0000-0000-000004000000}" name="Requirement Stability Index" dataDxfId="124"/>
    <tableColumn id="6" xr3:uid="{00000000-0010-0000-0000-000006000000}" name="Productivity" dataDxfId="1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7" displayName="Table7" ref="I24:AO602" totalsRowShown="0">
  <autoFilter ref="I24:AO602" xr:uid="{00000000-0009-0000-0100-000007000000}"/>
  <tableColumns count="33">
    <tableColumn id="1" xr3:uid="{00000000-0010-0000-0100-000001000000}" name="Release Name" dataDxfId="122"/>
    <tableColumn id="32" xr3:uid="{00000000-0010-0000-0100-000020000000}" name="Overall Actual Effort for the release" dataDxfId="121"/>
    <tableColumn id="2" xr3:uid="{00000000-0010-0000-0100-000002000000}" name="No. of Testcases Created" dataDxfId="120"/>
    <tableColumn id="3" xr3:uid="{00000000-0010-0000-0100-000003000000}" name="No. of Testcases Executed" dataDxfId="119"/>
    <tableColumn id="11" xr3:uid="{00000000-0010-0000-0100-00000B000000}" name="No. of Defects Validated" dataDxfId="118"/>
    <tableColumn id="33" xr3:uid="{00000000-0010-0000-0100-000021000000}" name="Size" dataDxfId="117"/>
    <tableColumn id="31" xr3:uid="{00000000-0010-0000-0100-00001F000000}" name="No. of Valid Internal Review Defects" dataDxfId="116"/>
    <tableColumn id="30" xr3:uid="{00000000-0010-0000-0100-00001E000000}" name="No. of Invalid Internal Review Defects" dataDxfId="115"/>
    <tableColumn id="29" xr3:uid="{00000000-0010-0000-0100-00001D000000}" name="No. of  Valid External Review Defects" dataDxfId="114"/>
    <tableColumn id="28" xr3:uid="{00000000-0010-0000-0100-00001C000000}" name="No. of  Invalid External Review Defects" dataDxfId="113"/>
    <tableColumn id="27" xr3:uid="{00000000-0010-0000-0100-00001B000000}" name="No. of Valid  Internal Testing Defects" dataDxfId="112"/>
    <tableColumn id="26" xr3:uid="{00000000-0010-0000-0100-00001A000000}" name="No. of Invalid Internal Testing Defects" dataDxfId="111"/>
    <tableColumn id="25" xr3:uid="{00000000-0010-0000-0100-000019000000}" name="No. of Valid External Testing Defects" dataDxfId="110"/>
    <tableColumn id="24" xr3:uid="{00000000-0010-0000-0100-000018000000}" name="No. of Invalid External Testing Defects" dataDxfId="109"/>
    <tableColumn id="23" xr3:uid="{00000000-0010-0000-0100-000017000000}" name="No. of Valid Critical defects" dataDxfId="108"/>
    <tableColumn id="22" xr3:uid="{00000000-0010-0000-0100-000016000000}" name="No. of Valid Blocker defects" dataDxfId="107"/>
    <tableColumn id="21" xr3:uid="{00000000-0010-0000-0100-000015000000}" name="No. of  Valid Major defects" dataDxfId="106"/>
    <tableColumn id="20" xr3:uid="{00000000-0010-0000-0100-000014000000}" name="No. of Valid Minor defects" dataDxfId="105"/>
    <tableColumn id="19" xr3:uid="{00000000-0010-0000-0100-000013000000}" name="No. of Valid Trivial defects" dataDxfId="104"/>
    <tableColumn id="4" xr3:uid="{00000000-0010-0000-0100-000004000000}" name="Effort for Testcase Creation" dataDxfId="103"/>
    <tableColumn id="5" xr3:uid="{00000000-0010-0000-0100-000005000000}" name="Effort for Testcase Execution" dataDxfId="102"/>
    <tableColumn id="17" xr3:uid="{00000000-0010-0000-0100-000011000000}" name="Defect Density by Effort (Dev)" dataDxfId="101"/>
    <tableColumn id="16" xr3:uid="{00000000-0010-0000-0100-000010000000}" name="Defect Density by Size (Dev)" dataDxfId="100"/>
    <tableColumn id="15" xr3:uid="{00000000-0010-0000-0100-00000F000000}" name="Overall Review Efficiency (Dev)" dataDxfId="99"/>
    <tableColumn id="14" xr3:uid="{00000000-0010-0000-0100-00000E000000}" name="Overall Review Efficiency (Tst)" dataDxfId="98"/>
    <tableColumn id="9" xr3:uid="{00000000-0010-0000-0100-000009000000}" name="Defect Density by Effort (Tst)" dataDxfId="97"/>
    <tableColumn id="8" xr3:uid="{00000000-0010-0000-0100-000008000000}" name="Defect Density by Size (Tst)" dataDxfId="96"/>
    <tableColumn id="7" xr3:uid="{00000000-0010-0000-0100-000007000000}" name="Testcase Creation Productivity" dataDxfId="95"/>
    <tableColumn id="6" xr3:uid="{00000000-0010-0000-0100-000006000000}" name="Testcase Execution Productivity" dataDxfId="94"/>
    <tableColumn id="10" xr3:uid="{00000000-0010-0000-0100-00000A000000}" name="Defect Severity Index" dataDxfId="93"/>
    <tableColumn id="12" xr3:uid="{00000000-0010-0000-0100-00000C000000}" name="Defect Validation Productivity" dataDxfId="92"/>
    <tableColumn id="13" xr3:uid="{00000000-0010-0000-0100-00000D000000}" name="Defect Acceptance Rate" dataDxfId="91"/>
    <tableColumn id="18" xr3:uid="{00000000-0010-0000-0100-000012000000}" name="Defect Leakage" dataDxfId="9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 displayName="Table1" ref="B14:U1928" totalsRowShown="0">
  <sortState xmlns:xlrd2="http://schemas.microsoft.com/office/spreadsheetml/2017/richdata2" ref="B14:U1928">
    <sortCondition ref="H14:H501"/>
  </sortState>
  <tableColumns count="20">
    <tableColumn id="1" xr3:uid="{00000000-0010-0000-0200-000001000000}" name="Task ID" dataDxfId="89"/>
    <tableColumn id="2" xr3:uid="{00000000-0010-0000-0200-000002000000}" name="Customer Task ID" dataDxfId="88"/>
    <tableColumn id="17" xr3:uid="{00000000-0010-0000-0200-000011000000}" name="Product Name" dataDxfId="87"/>
    <tableColumn id="16" xr3:uid="{00000000-0010-0000-0200-000010000000}" name="Release Name" dataDxfId="86"/>
    <tableColumn id="3" xr3:uid="{00000000-0010-0000-0200-000003000000}" name="Task Summary" dataDxfId="85"/>
    <tableColumn id="14" xr3:uid="{00000000-0010-0000-0200-00000E000000}" name="Size" dataDxfId="84"/>
    <tableColumn id="6" xr3:uid="{00000000-0010-0000-0200-000006000000}" name="Planned Start Date" dataDxfId="83"/>
    <tableColumn id="7" xr3:uid="{00000000-0010-0000-0200-000007000000}" name="Planned End Date" dataDxfId="82"/>
    <tableColumn id="8" xr3:uid="{00000000-0010-0000-0200-000008000000}" name="Estimated Effort (Hours)" dataDxfId="81"/>
    <tableColumn id="9" xr3:uid="{00000000-0010-0000-0200-000009000000}" name="Actual Start Date" dataDxfId="80"/>
    <tableColumn id="10" xr3:uid="{00000000-0010-0000-0200-00000A000000}" name="Actual End Date" dataDxfId="79"/>
    <tableColumn id="11" xr3:uid="{00000000-0010-0000-0200-00000B000000}" name="Actual Effort (Hours)" dataDxfId="78"/>
    <tableColumn id="18" xr3:uid="{00000000-0010-0000-0200-000012000000}" name="Per day Effort" dataDxfId="77"/>
    <tableColumn id="19" xr3:uid="{00000000-0010-0000-0200-000013000000}" name="Total Days Planned" dataDxfId="76"/>
    <tableColumn id="20" xr3:uid="{00000000-0010-0000-0200-000014000000}" name="Actual days till cutoff days" dataDxfId="75"/>
    <tableColumn id="4" xr3:uid="{00000000-0010-0000-0200-000004000000}" name="Percentage of Completion" dataDxfId="74"/>
    <tableColumn id="15" xr3:uid="{00000000-0010-0000-0200-00000F000000}" name="Maintenance Type" dataDxfId="73"/>
    <tableColumn id="5" xr3:uid="{00000000-0010-0000-0200-000005000000}" name="Month of end date" dataDxfId="72"/>
    <tableColumn id="12" xr3:uid="{00000000-0010-0000-0200-00000C000000}" name="Schedule Variation (%)" dataDxfId="71"/>
    <tableColumn id="13" xr3:uid="{00000000-0010-0000-0200-00000D000000}" name="Effort Variation (%)" dataDxfId="70"/>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B4:O1595" totalsRowShown="0">
  <tableColumns count="14">
    <tableColumn id="1" xr3:uid="{00000000-0010-0000-0300-000001000000}" name="S.No" dataDxfId="69"/>
    <tableColumn id="2" xr3:uid="{00000000-0010-0000-0300-000002000000}" name="Ticket" dataDxfId="68"/>
    <tableColumn id="3" xr3:uid="{00000000-0010-0000-0300-000003000000}" name="Customer Task Id" dataDxfId="67"/>
    <tableColumn id="4" xr3:uid="{00000000-0010-0000-0300-000004000000}" name="Task Type" dataDxfId="66"/>
    <tableColumn id="13" xr3:uid="{00000000-0010-0000-0300-00000D000000}" name="Release Name" dataDxfId="65"/>
    <tableColumn id="5" xr3:uid="{00000000-0010-0000-0300-000005000000}" name="Task Summary" dataDxfId="64"/>
    <tableColumn id="7" xr3:uid="{00000000-0010-0000-0300-000007000000}" name="Planned Start Date" dataDxfId="63"/>
    <tableColumn id="8" xr3:uid="{00000000-0010-0000-0300-000008000000}" name="Planned End Date" dataDxfId="62"/>
    <tableColumn id="9" xr3:uid="{00000000-0010-0000-0300-000009000000}" name="Estimated Effort" dataDxfId="61"/>
    <tableColumn id="10" xr3:uid="{00000000-0010-0000-0300-00000A000000}" name="Actual Start Date" dataDxfId="60"/>
    <tableColumn id="11" xr3:uid="{00000000-0010-0000-0300-00000B000000}" name="Actual End Date" dataDxfId="59"/>
    <tableColumn id="12" xr3:uid="{00000000-0010-0000-0300-00000C000000}" name="Hours Worked" dataDxfId="58"/>
    <tableColumn id="6" xr3:uid="{00000000-0010-0000-0300-000006000000}" name="Maintenance Type" dataDxfId="57"/>
    <tableColumn id="14" xr3:uid="{00000000-0010-0000-0300-00000E000000}" name="Month" dataDxfId="5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2" displayName="Table2" ref="B13:AB601" totalsRowShown="0">
  <tableColumns count="27">
    <tableColumn id="1" xr3:uid="{00000000-0010-0000-0400-000001000000}" name="Defect Id " dataDxfId="55"/>
    <tableColumn id="27" xr3:uid="{00000000-0010-0000-0400-00001B000000}" name="Task ID" dataDxfId="54"/>
    <tableColumn id="2" xr3:uid="{00000000-0010-0000-0400-000002000000}" name="Defect Title" dataDxfId="53"/>
    <tableColumn id="23" xr3:uid="{00000000-0010-0000-0400-000017000000}" name="Product Name" dataDxfId="52"/>
    <tableColumn id="22" xr3:uid="{00000000-0010-0000-0400-000016000000}" name="Release Name" dataDxfId="51"/>
    <tableColumn id="20" xr3:uid="{00000000-0010-0000-0400-000014000000}" name="Task Subtype" dataDxfId="50"/>
    <tableColumn id="3" xr3:uid="{00000000-0010-0000-0400-000003000000}" name="Detailed Defect Description" dataDxfId="49"/>
    <tableColumn id="4" xr3:uid="{00000000-0010-0000-0400-000004000000}" name="Related Module / Component" dataDxfId="48"/>
    <tableColumn id="5" xr3:uid="{00000000-0010-0000-0400-000005000000}" name="Defect Type" dataDxfId="47"/>
    <tableColumn id="6" xr3:uid="{00000000-0010-0000-0400-000006000000}" name="Defect Status" dataDxfId="46"/>
    <tableColumn id="7" xr3:uid="{00000000-0010-0000-0400-000007000000}" name="Defect Severity" dataDxfId="45"/>
    <tableColumn id="8" xr3:uid="{00000000-0010-0000-0400-000008000000}" name="Defect Priority" dataDxfId="44"/>
    <tableColumn id="9" xr3:uid="{00000000-0010-0000-0400-000009000000}" name="Defect Environment" dataDxfId="43"/>
    <tableColumn id="10" xr3:uid="{00000000-0010-0000-0400-00000A000000}" name="Defect Injected Phase " dataDxfId="42"/>
    <tableColumn id="11" xr3:uid="{00000000-0010-0000-0400-00000B000000}" name="Detected By" dataDxfId="41"/>
    <tableColumn id="12" xr3:uid="{00000000-0010-0000-0400-00000C000000}" name="Defect Classification" dataDxfId="40"/>
    <tableColumn id="24" xr3:uid="{00000000-0010-0000-0400-000018000000}" name="Internal" dataDxfId="39"/>
    <tableColumn id="25" xr3:uid="{00000000-0010-0000-0400-000019000000}" name="External" dataDxfId="38"/>
    <tableColumn id="13" xr3:uid="{00000000-0010-0000-0400-00000D000000}" name="Detected in Phase" dataDxfId="37"/>
    <tableColumn id="14" xr3:uid="{00000000-0010-0000-0400-00000E000000}" name="Detected in Version / Build" dataDxfId="36"/>
    <tableColumn id="15" xr3:uid="{00000000-0010-0000-0400-00000F000000}" name="Defect Detected On Date " dataDxfId="35"/>
    <tableColumn id="16" xr3:uid="{00000000-0010-0000-0400-000010000000}" name="Fixed in version / Build No" dataDxfId="34"/>
    <tableColumn id="17" xr3:uid="{00000000-0010-0000-0400-000011000000}" name="Defect Category" dataDxfId="33"/>
    <tableColumn id="18" xr3:uid="{00000000-0010-0000-0400-000012000000}" name="Fixed on Date" dataDxfId="32"/>
    <tableColumn id="19" xr3:uid="{00000000-0010-0000-0400-000013000000}" name="Assigned to" dataDxfId="31"/>
    <tableColumn id="21" xr3:uid="{00000000-0010-0000-0400-000015000000}" name="Maintenance Type" dataDxfId="30"/>
    <tableColumn id="26" xr3:uid="{00000000-0010-0000-0400-00001A000000}" name="Month" dataDxfId="29"/>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able10" displayName="Table10" ref="C79:F166" totalsRowShown="0">
  <autoFilter ref="C79:F166" xr:uid="{00000000-0009-0000-0100-00000A000000}"/>
  <tableColumns count="4">
    <tableColumn id="1" xr3:uid="{00000000-0010-0000-0500-000001000000}" name="Release Name" dataDxfId="28"/>
    <tableColumn id="2" xr3:uid="{00000000-0010-0000-0500-000002000000}" name="Maintenance Type" dataDxfId="27"/>
    <tableColumn id="3" xr3:uid="{00000000-0010-0000-0500-000003000000}" name="% of Review" dataDxfId="26"/>
    <tableColumn id="4" xr3:uid="{00000000-0010-0000-0500-000004000000}" name="% of Rework" dataDxfId="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e11" displayName="Table11" ref="J79:L166" totalsRowShown="0">
  <autoFilter ref="J79:L166" xr:uid="{00000000-0009-0000-0100-00000B000000}"/>
  <tableColumns count="3">
    <tableColumn id="1" xr3:uid="{00000000-0010-0000-0600-000001000000}" name="Release Name" dataDxfId="24"/>
    <tableColumn id="2" xr3:uid="{00000000-0010-0000-0600-000002000000}" name="% of Project Management" dataDxfId="23"/>
    <tableColumn id="3" xr3:uid="{00000000-0010-0000-0600-000003000000}" name="% of Configuration Management"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B68:I270" totalsRowShown="0">
  <autoFilter ref="B68:I270" xr:uid="{00000000-0009-0000-0100-000008000000}"/>
  <tableColumns count="8">
    <tableColumn id="1" xr3:uid="{00000000-0010-0000-0700-000001000000}" name="S.No" dataDxfId="21"/>
    <tableColumn id="2" xr3:uid="{00000000-0010-0000-0700-000002000000}" name="Month - Year" dataDxfId="20"/>
    <tableColumn id="3" xr3:uid="{00000000-0010-0000-0700-000003000000}" name="Month Year for Graph" dataDxfId="19"/>
    <tableColumn id="4" xr3:uid="{00000000-0010-0000-0700-000004000000}" name="No. of Resources De-allocated" dataDxfId="18"/>
    <tableColumn id="5" xr3:uid="{00000000-0010-0000-0700-000005000000}" name="No. of Resources for whom access were removed on time" dataDxfId="17"/>
    <tableColumn id="6" xr3:uid="{00000000-0010-0000-0700-000006000000}" name="No. of Resources for whom assets were returned on time" dataDxfId="16"/>
    <tableColumn id="7" xr3:uid="{00000000-0010-0000-0700-000007000000}" name="% of On time Access Removal " dataDxfId="15"/>
    <tableColumn id="8" xr3:uid="{00000000-0010-0000-0700-000008000000}" name="% of On Time asset returned" dataDxfId="1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K68:O189" totalsRowShown="0">
  <autoFilter ref="K68:O189" xr:uid="{00000000-0009-0000-0100-000009000000}"/>
  <tableColumns count="5">
    <tableColumn id="1" xr3:uid="{00000000-0010-0000-0800-000001000000}" name="S.No" dataDxfId="13"/>
    <tableColumn id="3" xr3:uid="{00000000-0010-0000-0800-000003000000}" name="Release" dataDxfId="12"/>
    <tableColumn id="4" xr3:uid="{00000000-0010-0000-0800-000004000000}" name="No. of Internal Security Defects  " dataDxfId="11"/>
    <tableColumn id="5" xr3:uid="{00000000-0010-0000-0800-000005000000}" name="No. of External security Defects" dataDxfId="10"/>
    <tableColumn id="6" xr3:uid="{00000000-0010-0000-0800-000006000000}" name="Security Defect Leakage"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9000000}" name="Table46" displayName="Table46" ref="C31:K942" totalsRowShown="0">
  <autoFilter ref="C31:K942" xr:uid="{00000000-0009-0000-0100-000005000000}"/>
  <tableColumns count="9">
    <tableColumn id="1" xr3:uid="{00000000-0010-0000-0900-000001000000}" name="S.No" dataDxfId="8"/>
    <tableColumn id="2" xr3:uid="{00000000-0010-0000-0900-000002000000}" name="Resource Name" dataDxfId="7"/>
    <tableColumn id="3" xr3:uid="{00000000-0010-0000-0900-000003000000}" name="% Allocation" dataDxfId="6"/>
    <tableColumn id="4" xr3:uid="{00000000-0010-0000-0900-000004000000}" name="Number of working days" dataDxfId="5"/>
    <tableColumn id="5" xr3:uid="{00000000-0010-0000-0900-000005000000}" name="Standard Work hour" dataDxfId="4"/>
    <tableColumn id="6" xr3:uid="{00000000-0010-0000-0900-000006000000}" name="Month-Year" dataDxfId="3"/>
    <tableColumn id="9" xr3:uid="{00000000-0010-0000-0900-000009000000}" name="Month-Year for Graph" dataDxfId="2"/>
    <tableColumn id="7" xr3:uid="{00000000-0010-0000-0900-000007000000}" name="Actual Effort" dataDxfId="1"/>
    <tableColumn id="8" xr3:uid="{00000000-0010-0000-0900-000008000000}" name="Allocation Hour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ctrlProp" Target="../ctrlProps/ctrlProp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vmlDrawing" Target="../drawings/vmlDrawing4.vml"/><Relationship Id="rId5" Type="http://schemas.openxmlformats.org/officeDocument/2006/relationships/drawing" Target="../drawings/drawing3.xml"/><Relationship Id="rId4"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pivotTable" Target="../pivotTables/pivotTable9.xml"/><Relationship Id="rId7" Type="http://schemas.openxmlformats.org/officeDocument/2006/relationships/ctrlProp" Target="../ctrlProps/ctrlProp5.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ivotTable" Target="../pivotTables/pivotTable10.xml"/><Relationship Id="rId9"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pivotTable" Target="../pivotTables/pivotTable13.xml"/><Relationship Id="rId7" Type="http://schemas.openxmlformats.org/officeDocument/2006/relationships/table" Target="../tables/table8.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ctrlProp" Target="../ctrlProps/ctrlProp6.xml"/><Relationship Id="rId5" Type="http://schemas.openxmlformats.org/officeDocument/2006/relationships/vmlDrawing" Target="../drawings/vmlDrawing6.vml"/><Relationship Id="rId4"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21.xml"/><Relationship Id="rId13" Type="http://schemas.openxmlformats.org/officeDocument/2006/relationships/drawing" Target="../drawings/drawing6.xml"/><Relationship Id="rId3" Type="http://schemas.openxmlformats.org/officeDocument/2006/relationships/pivotTable" Target="../pivotTables/pivotTable16.xml"/><Relationship Id="rId7" Type="http://schemas.openxmlformats.org/officeDocument/2006/relationships/pivotTable" Target="../pivotTables/pivotTable20.xml"/><Relationship Id="rId12" Type="http://schemas.openxmlformats.org/officeDocument/2006/relationships/pivotTable" Target="../pivotTables/pivotTable25.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11" Type="http://schemas.openxmlformats.org/officeDocument/2006/relationships/pivotTable" Target="../pivotTables/pivotTable24.xml"/><Relationship Id="rId5" Type="http://schemas.openxmlformats.org/officeDocument/2006/relationships/pivotTable" Target="../pivotTables/pivotTable18.xml"/><Relationship Id="rId15" Type="http://schemas.openxmlformats.org/officeDocument/2006/relationships/ctrlProp" Target="../ctrlProps/ctrlProp7.xml"/><Relationship Id="rId10" Type="http://schemas.openxmlformats.org/officeDocument/2006/relationships/pivotTable" Target="../pivotTables/pivotTable23.xml"/><Relationship Id="rId4" Type="http://schemas.openxmlformats.org/officeDocument/2006/relationships/pivotTable" Target="../pivotTables/pivotTable17.xml"/><Relationship Id="rId9" Type="http://schemas.openxmlformats.org/officeDocument/2006/relationships/pivotTable" Target="../pivotTables/pivotTable22.xml"/><Relationship Id="rId14"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ivotTable" Target="../pivotTables/pivotTable28.xml"/><Relationship Id="rId6" Type="http://schemas.openxmlformats.org/officeDocument/2006/relationships/comments" Target="../comments4.xml"/><Relationship Id="rId5" Type="http://schemas.openxmlformats.org/officeDocument/2006/relationships/table" Target="../tables/table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7:F145"/>
  <sheetViews>
    <sheetView showGridLines="0" topLeftCell="A8" workbookViewId="0">
      <selection activeCell="C18" sqref="C18"/>
    </sheetView>
  </sheetViews>
  <sheetFormatPr defaultColWidth="9" defaultRowHeight="14.45"/>
  <cols>
    <col min="3" max="3" width="32.75" customWidth="1"/>
  </cols>
  <sheetData>
    <row r="7" spans="3:5" ht="15.2"/>
    <row r="8" spans="3:5">
      <c r="C8" s="396" t="s">
        <v>0</v>
      </c>
    </row>
    <row r="9" spans="3:5">
      <c r="C9" s="207" t="s">
        <v>1</v>
      </c>
    </row>
    <row r="10" spans="3:5">
      <c r="C10" s="207" t="s">
        <v>2</v>
      </c>
    </row>
    <row r="12" spans="3:5" ht="15.2"/>
    <row r="13" spans="3:5">
      <c r="C13" s="396" t="s">
        <v>3</v>
      </c>
    </row>
    <row r="14" spans="3:5">
      <c r="C14" s="207" t="s">
        <v>4</v>
      </c>
      <c r="E14" s="90"/>
    </row>
    <row r="15" spans="3:5">
      <c r="C15" s="207" t="s">
        <v>5</v>
      </c>
    </row>
    <row r="16" spans="3:5">
      <c r="C16" s="207" t="s">
        <v>6</v>
      </c>
    </row>
    <row r="17" spans="3:6">
      <c r="C17" s="207" t="s">
        <v>7</v>
      </c>
    </row>
    <row r="18" spans="3:6">
      <c r="C18" s="207" t="s">
        <v>8</v>
      </c>
    </row>
    <row r="19" spans="3:6">
      <c r="C19" s="207" t="s">
        <v>9</v>
      </c>
    </row>
    <row r="21" spans="3:6" ht="15.2"/>
    <row r="22" spans="3:6">
      <c r="C22" s="396" t="s">
        <v>10</v>
      </c>
    </row>
    <row r="23" spans="3:6">
      <c r="C23" s="207" t="s">
        <v>11</v>
      </c>
      <c r="D23">
        <v>10</v>
      </c>
      <c r="F23" s="90"/>
    </row>
    <row r="24" spans="3:6">
      <c r="C24" s="207" t="s">
        <v>12</v>
      </c>
      <c r="D24">
        <v>8</v>
      </c>
      <c r="F24" s="90"/>
    </row>
    <row r="25" spans="3:6">
      <c r="C25" s="207" t="s">
        <v>13</v>
      </c>
      <c r="D25">
        <v>5</v>
      </c>
    </row>
    <row r="26" spans="3:6">
      <c r="C26" s="207" t="s">
        <v>14</v>
      </c>
      <c r="D26">
        <v>3</v>
      </c>
    </row>
    <row r="27" spans="3:6">
      <c r="C27" s="207" t="s">
        <v>15</v>
      </c>
      <c r="D27">
        <v>1</v>
      </c>
    </row>
    <row r="28" spans="3:6" ht="15.2"/>
    <row r="29" spans="3:6">
      <c r="C29" s="396" t="s">
        <v>16</v>
      </c>
    </row>
    <row r="30" spans="3:6">
      <c r="C30" s="207" t="s">
        <v>17</v>
      </c>
    </row>
    <row r="31" spans="3:6">
      <c r="C31" s="207" t="s">
        <v>18</v>
      </c>
    </row>
    <row r="32" spans="3:6">
      <c r="C32" s="207" t="s">
        <v>19</v>
      </c>
    </row>
    <row r="33" spans="3:3">
      <c r="C33" s="207" t="s">
        <v>20</v>
      </c>
    </row>
    <row r="35" spans="3:3" ht="15.2"/>
    <row r="36" spans="3:3">
      <c r="C36" s="396" t="s">
        <v>21</v>
      </c>
    </row>
    <row r="37" spans="3:3">
      <c r="C37" s="207" t="s">
        <v>22</v>
      </c>
    </row>
    <row r="38" spans="3:3">
      <c r="C38" s="207" t="s">
        <v>23</v>
      </c>
    </row>
    <row r="39" spans="3:3">
      <c r="C39" s="207" t="s">
        <v>24</v>
      </c>
    </row>
    <row r="40" spans="3:3">
      <c r="C40" s="207" t="s">
        <v>25</v>
      </c>
    </row>
    <row r="41" spans="3:3">
      <c r="C41" s="207" t="s">
        <v>26</v>
      </c>
    </row>
    <row r="42" spans="3:3">
      <c r="C42" s="207" t="s">
        <v>27</v>
      </c>
    </row>
    <row r="43" spans="3:3">
      <c r="C43" s="207" t="s">
        <v>28</v>
      </c>
    </row>
    <row r="45" spans="3:3" ht="15.2"/>
    <row r="46" spans="3:3">
      <c r="C46" s="396" t="s">
        <v>29</v>
      </c>
    </row>
    <row r="47" spans="3:3">
      <c r="C47" s="207" t="s">
        <v>22</v>
      </c>
    </row>
    <row r="48" spans="3:3">
      <c r="C48" s="207" t="s">
        <v>23</v>
      </c>
    </row>
    <row r="49" spans="3:3">
      <c r="C49" s="207" t="s">
        <v>24</v>
      </c>
    </row>
    <row r="50" spans="3:3">
      <c r="C50" s="207" t="s">
        <v>25</v>
      </c>
    </row>
    <row r="51" spans="3:3">
      <c r="C51" s="207" t="s">
        <v>26</v>
      </c>
    </row>
    <row r="52" spans="3:3">
      <c r="C52" s="207" t="s">
        <v>30</v>
      </c>
    </row>
    <row r="53" spans="3:3">
      <c r="C53" s="207" t="s">
        <v>27</v>
      </c>
    </row>
    <row r="54" spans="3:3">
      <c r="C54" s="207" t="s">
        <v>28</v>
      </c>
    </row>
    <row r="58" spans="3:3" ht="15.2"/>
    <row r="59" spans="3:3">
      <c r="C59" s="396" t="s">
        <v>31</v>
      </c>
    </row>
    <row r="60" spans="3:3">
      <c r="C60" s="397" t="s">
        <v>32</v>
      </c>
    </row>
    <row r="61" spans="3:3">
      <c r="C61" s="398" t="s">
        <v>33</v>
      </c>
    </row>
    <row r="62" spans="3:3" ht="15.2"/>
    <row r="63" spans="3:3">
      <c r="C63" s="396" t="s">
        <v>34</v>
      </c>
    </row>
    <row r="64" spans="3:3">
      <c r="C64" s="397" t="s">
        <v>35</v>
      </c>
    </row>
    <row r="65" spans="3:3">
      <c r="C65" s="398" t="s">
        <v>36</v>
      </c>
    </row>
    <row r="66" spans="3:3">
      <c r="C66" s="398" t="s">
        <v>37</v>
      </c>
    </row>
    <row r="67" spans="3:3">
      <c r="C67" s="398" t="s">
        <v>38</v>
      </c>
    </row>
    <row r="68" spans="3:3">
      <c r="C68" s="397" t="s">
        <v>39</v>
      </c>
    </row>
    <row r="69" spans="3:3">
      <c r="C69" s="398" t="s">
        <v>40</v>
      </c>
    </row>
    <row r="70" spans="3:3">
      <c r="C70" s="398" t="s">
        <v>41</v>
      </c>
    </row>
    <row r="71" spans="3:3">
      <c r="C71" s="398" t="s">
        <v>42</v>
      </c>
    </row>
    <row r="72" spans="3:3">
      <c r="C72" s="398" t="s">
        <v>43</v>
      </c>
    </row>
    <row r="73" spans="3:3">
      <c r="C73" s="398" t="s">
        <v>44</v>
      </c>
    </row>
    <row r="74" spans="3:3" ht="15.2">
      <c r="C74" s="399" t="s">
        <v>45</v>
      </c>
    </row>
    <row r="77" spans="3:3" ht="15.2"/>
    <row r="78" spans="3:3" ht="15.2">
      <c r="C78" s="400" t="s">
        <v>46</v>
      </c>
    </row>
    <row r="79" spans="3:3">
      <c r="C79" s="401" t="s">
        <v>22</v>
      </c>
    </row>
    <row r="80" spans="3:3">
      <c r="C80" s="402" t="s">
        <v>47</v>
      </c>
    </row>
    <row r="81" spans="3:3">
      <c r="C81" s="402" t="s">
        <v>1</v>
      </c>
    </row>
    <row r="82" spans="3:3">
      <c r="C82" s="397" t="s">
        <v>23</v>
      </c>
    </row>
    <row r="83" spans="3:3">
      <c r="C83" s="397" t="s">
        <v>24</v>
      </c>
    </row>
    <row r="84" spans="3:3">
      <c r="C84" s="397" t="s">
        <v>48</v>
      </c>
    </row>
    <row r="85" spans="3:3">
      <c r="C85" s="397" t="s">
        <v>2</v>
      </c>
    </row>
    <row r="86" spans="3:3">
      <c r="C86" s="397" t="s">
        <v>30</v>
      </c>
    </row>
    <row r="87" spans="3:3">
      <c r="C87" s="397" t="s">
        <v>49</v>
      </c>
    </row>
    <row r="88" spans="3:3" ht="15.2">
      <c r="C88" s="403" t="s">
        <v>50</v>
      </c>
    </row>
    <row r="89" spans="3:3" ht="15.2"/>
    <row r="90" spans="3:3" ht="15.2">
      <c r="C90" s="400" t="s">
        <v>51</v>
      </c>
    </row>
    <row r="91" spans="3:3">
      <c r="C91" s="404" t="s">
        <v>47</v>
      </c>
    </row>
    <row r="92" spans="3:3">
      <c r="C92" s="405" t="s">
        <v>52</v>
      </c>
    </row>
    <row r="93" spans="3:3">
      <c r="C93" s="405" t="s">
        <v>53</v>
      </c>
    </row>
    <row r="94" spans="3:3">
      <c r="C94" s="405" t="s">
        <v>1</v>
      </c>
    </row>
    <row r="95" spans="3:3" ht="15.2">
      <c r="C95" s="403" t="s">
        <v>48</v>
      </c>
    </row>
    <row r="96" spans="3:3" ht="15.2"/>
    <row r="97" spans="3:3" ht="15.2">
      <c r="C97" s="400" t="s">
        <v>23</v>
      </c>
    </row>
    <row r="98" spans="3:3">
      <c r="C98" s="404" t="s">
        <v>47</v>
      </c>
    </row>
    <row r="99" spans="3:3">
      <c r="C99" s="405" t="s">
        <v>52</v>
      </c>
    </row>
    <row r="100" spans="3:3">
      <c r="C100" s="405" t="s">
        <v>1</v>
      </c>
    </row>
    <row r="101" spans="3:3" ht="15.2">
      <c r="C101" s="403" t="s">
        <v>48</v>
      </c>
    </row>
    <row r="103" spans="3:3" ht="15.2"/>
    <row r="104" spans="3:3" ht="15.2">
      <c r="C104" s="400" t="s">
        <v>24</v>
      </c>
    </row>
    <row r="105" spans="3:3">
      <c r="C105" s="404" t="s">
        <v>54</v>
      </c>
    </row>
    <row r="106" spans="3:3">
      <c r="C106" s="405" t="s">
        <v>1</v>
      </c>
    </row>
    <row r="107" spans="3:3" ht="15.2">
      <c r="C107" s="406" t="s">
        <v>48</v>
      </c>
    </row>
    <row r="108" spans="3:3" ht="15.2"/>
    <row r="109" spans="3:3" ht="15.2">
      <c r="C109" s="400" t="s">
        <v>55</v>
      </c>
    </row>
    <row r="110" spans="3:3">
      <c r="C110" s="404" t="s">
        <v>56</v>
      </c>
    </row>
    <row r="111" spans="3:3">
      <c r="C111" s="405" t="s">
        <v>57</v>
      </c>
    </row>
    <row r="112" spans="3:3">
      <c r="C112" s="405" t="s">
        <v>58</v>
      </c>
    </row>
    <row r="113" spans="3:3" ht="15.2">
      <c r="C113" s="406" t="s">
        <v>48</v>
      </c>
    </row>
    <row r="115" spans="3:3">
      <c r="C115" s="407" t="s">
        <v>2</v>
      </c>
    </row>
    <row r="116" spans="3:3">
      <c r="C116" s="207" t="s">
        <v>56</v>
      </c>
    </row>
    <row r="117" spans="3:3">
      <c r="C117" s="207" t="s">
        <v>58</v>
      </c>
    </row>
    <row r="118" spans="3:3">
      <c r="C118" s="207" t="s">
        <v>1</v>
      </c>
    </row>
    <row r="119" spans="3:3">
      <c r="C119" s="207" t="s">
        <v>48</v>
      </c>
    </row>
    <row r="121" spans="3:3">
      <c r="C121" s="407" t="s">
        <v>30</v>
      </c>
    </row>
    <row r="122" spans="3:3">
      <c r="C122" s="207" t="s">
        <v>30</v>
      </c>
    </row>
    <row r="124" spans="3:3">
      <c r="C124" s="407" t="s">
        <v>49</v>
      </c>
    </row>
    <row r="125" spans="3:3">
      <c r="C125" s="207" t="s">
        <v>59</v>
      </c>
    </row>
    <row r="126" spans="3:3">
      <c r="C126" s="207" t="s">
        <v>60</v>
      </c>
    </row>
    <row r="127" spans="3:3">
      <c r="C127" s="207" t="s">
        <v>61</v>
      </c>
    </row>
    <row r="128" spans="3:3">
      <c r="C128" s="207" t="s">
        <v>62</v>
      </c>
    </row>
    <row r="129" spans="3:3">
      <c r="C129" s="207" t="s">
        <v>63</v>
      </c>
    </row>
    <row r="130" spans="3:3">
      <c r="C130" s="207" t="s">
        <v>64</v>
      </c>
    </row>
    <row r="132" spans="3:3">
      <c r="C132" s="407" t="s">
        <v>50</v>
      </c>
    </row>
    <row r="133" spans="3:3">
      <c r="C133" s="207" t="s">
        <v>50</v>
      </c>
    </row>
    <row r="135" spans="3:3">
      <c r="C135" s="407" t="s">
        <v>65</v>
      </c>
    </row>
    <row r="136" spans="3:3">
      <c r="C136" s="207" t="s">
        <v>66</v>
      </c>
    </row>
    <row r="137" spans="3:3">
      <c r="C137" s="207" t="s">
        <v>67</v>
      </c>
    </row>
    <row r="138" spans="3:3">
      <c r="C138" s="207" t="s">
        <v>68</v>
      </c>
    </row>
    <row r="139" spans="3:3">
      <c r="C139" s="207" t="s">
        <v>69</v>
      </c>
    </row>
    <row r="140" spans="3:3">
      <c r="C140" s="207" t="s">
        <v>70</v>
      </c>
    </row>
    <row r="142" spans="3:3">
      <c r="C142" s="407" t="s">
        <v>13</v>
      </c>
    </row>
    <row r="143" spans="3:3">
      <c r="C143" s="207" t="s">
        <v>71</v>
      </c>
    </row>
    <row r="144" spans="3:3">
      <c r="C144" s="207" t="s">
        <v>19</v>
      </c>
    </row>
    <row r="145" spans="3:3">
      <c r="C145" s="207" t="s">
        <v>72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2:F36"/>
  <sheetViews>
    <sheetView showGridLines="0" topLeftCell="A11" workbookViewId="0">
      <selection activeCell="C16" sqref="C16"/>
    </sheetView>
  </sheetViews>
  <sheetFormatPr defaultColWidth="9" defaultRowHeight="14.45"/>
  <cols>
    <col min="3" max="3" width="21.25" style="1" customWidth="1"/>
    <col min="4" max="4" width="24.875" style="1" customWidth="1"/>
    <col min="5" max="5" width="54.25" customWidth="1"/>
    <col min="6" max="6" width="21.125" style="1" customWidth="1"/>
    <col min="259" max="259" width="21.25" customWidth="1"/>
    <col min="260" max="260" width="24.875" customWidth="1"/>
    <col min="261" max="261" width="49.25" customWidth="1"/>
    <col min="262" max="262" width="21.125" customWidth="1"/>
    <col min="515" max="515" width="21.25" customWidth="1"/>
    <col min="516" max="516" width="24.875" customWidth="1"/>
    <col min="517" max="517" width="49.25" customWidth="1"/>
    <col min="518" max="518" width="21.125" customWidth="1"/>
    <col min="771" max="771" width="21.25" customWidth="1"/>
    <col min="772" max="772" width="24.875" customWidth="1"/>
    <col min="773" max="773" width="49.25" customWidth="1"/>
    <col min="774" max="774" width="21.125" customWidth="1"/>
    <col min="1027" max="1027" width="21.25" customWidth="1"/>
    <col min="1028" max="1028" width="24.875" customWidth="1"/>
    <col min="1029" max="1029" width="49.25" customWidth="1"/>
    <col min="1030" max="1030" width="21.125" customWidth="1"/>
    <col min="1283" max="1283" width="21.25" customWidth="1"/>
    <col min="1284" max="1284" width="24.875" customWidth="1"/>
    <col min="1285" max="1285" width="49.25" customWidth="1"/>
    <col min="1286" max="1286" width="21.125" customWidth="1"/>
    <col min="1539" max="1539" width="21.25" customWidth="1"/>
    <col min="1540" max="1540" width="24.875" customWidth="1"/>
    <col min="1541" max="1541" width="49.25" customWidth="1"/>
    <col min="1542" max="1542" width="21.125" customWidth="1"/>
    <col min="1795" max="1795" width="21.25" customWidth="1"/>
    <col min="1796" max="1796" width="24.875" customWidth="1"/>
    <col min="1797" max="1797" width="49.25" customWidth="1"/>
    <col min="1798" max="1798" width="21.125" customWidth="1"/>
    <col min="2051" max="2051" width="21.25" customWidth="1"/>
    <col min="2052" max="2052" width="24.875" customWidth="1"/>
    <col min="2053" max="2053" width="49.25" customWidth="1"/>
    <col min="2054" max="2054" width="21.125" customWidth="1"/>
    <col min="2307" max="2307" width="21.25" customWidth="1"/>
    <col min="2308" max="2308" width="24.875" customWidth="1"/>
    <col min="2309" max="2309" width="49.25" customWidth="1"/>
    <col min="2310" max="2310" width="21.125" customWidth="1"/>
    <col min="2563" max="2563" width="21.25" customWidth="1"/>
    <col min="2564" max="2564" width="24.875" customWidth="1"/>
    <col min="2565" max="2565" width="49.25" customWidth="1"/>
    <col min="2566" max="2566" width="21.125" customWidth="1"/>
    <col min="2819" max="2819" width="21.25" customWidth="1"/>
    <col min="2820" max="2820" width="24.875" customWidth="1"/>
    <col min="2821" max="2821" width="49.25" customWidth="1"/>
    <col min="2822" max="2822" width="21.125" customWidth="1"/>
    <col min="3075" max="3075" width="21.25" customWidth="1"/>
    <col min="3076" max="3076" width="24.875" customWidth="1"/>
    <col min="3077" max="3077" width="49.25" customWidth="1"/>
    <col min="3078" max="3078" width="21.125" customWidth="1"/>
    <col min="3331" max="3331" width="21.25" customWidth="1"/>
    <col min="3332" max="3332" width="24.875" customWidth="1"/>
    <col min="3333" max="3333" width="49.25" customWidth="1"/>
    <col min="3334" max="3334" width="21.125" customWidth="1"/>
    <col min="3587" max="3587" width="21.25" customWidth="1"/>
    <col min="3588" max="3588" width="24.875" customWidth="1"/>
    <col min="3589" max="3589" width="49.25" customWidth="1"/>
    <col min="3590" max="3590" width="21.125" customWidth="1"/>
    <col min="3843" max="3843" width="21.25" customWidth="1"/>
    <col min="3844" max="3844" width="24.875" customWidth="1"/>
    <col min="3845" max="3845" width="49.25" customWidth="1"/>
    <col min="3846" max="3846" width="21.125" customWidth="1"/>
    <col min="4099" max="4099" width="21.25" customWidth="1"/>
    <col min="4100" max="4100" width="24.875" customWidth="1"/>
    <col min="4101" max="4101" width="49.25" customWidth="1"/>
    <col min="4102" max="4102" width="21.125" customWidth="1"/>
    <col min="4355" max="4355" width="21.25" customWidth="1"/>
    <col min="4356" max="4356" width="24.875" customWidth="1"/>
    <col min="4357" max="4357" width="49.25" customWidth="1"/>
    <col min="4358" max="4358" width="21.125" customWidth="1"/>
    <col min="4611" max="4611" width="21.25" customWidth="1"/>
    <col min="4612" max="4612" width="24.875" customWidth="1"/>
    <col min="4613" max="4613" width="49.25" customWidth="1"/>
    <col min="4614" max="4614" width="21.125" customWidth="1"/>
    <col min="4867" max="4867" width="21.25" customWidth="1"/>
    <col min="4868" max="4868" width="24.875" customWidth="1"/>
    <col min="4869" max="4869" width="49.25" customWidth="1"/>
    <col min="4870" max="4870" width="21.125" customWidth="1"/>
    <col min="5123" max="5123" width="21.25" customWidth="1"/>
    <col min="5124" max="5124" width="24.875" customWidth="1"/>
    <col min="5125" max="5125" width="49.25" customWidth="1"/>
    <col min="5126" max="5126" width="21.125" customWidth="1"/>
    <col min="5379" max="5379" width="21.25" customWidth="1"/>
    <col min="5380" max="5380" width="24.875" customWidth="1"/>
    <col min="5381" max="5381" width="49.25" customWidth="1"/>
    <col min="5382" max="5382" width="21.125" customWidth="1"/>
    <col min="5635" max="5635" width="21.25" customWidth="1"/>
    <col min="5636" max="5636" width="24.875" customWidth="1"/>
    <col min="5637" max="5637" width="49.25" customWidth="1"/>
    <col min="5638" max="5638" width="21.125" customWidth="1"/>
    <col min="5891" max="5891" width="21.25" customWidth="1"/>
    <col min="5892" max="5892" width="24.875" customWidth="1"/>
    <col min="5893" max="5893" width="49.25" customWidth="1"/>
    <col min="5894" max="5894" width="21.125" customWidth="1"/>
    <col min="6147" max="6147" width="21.25" customWidth="1"/>
    <col min="6148" max="6148" width="24.875" customWidth="1"/>
    <col min="6149" max="6149" width="49.25" customWidth="1"/>
    <col min="6150" max="6150" width="21.125" customWidth="1"/>
    <col min="6403" max="6403" width="21.25" customWidth="1"/>
    <col min="6404" max="6404" width="24.875" customWidth="1"/>
    <col min="6405" max="6405" width="49.25" customWidth="1"/>
    <col min="6406" max="6406" width="21.125" customWidth="1"/>
    <col min="6659" max="6659" width="21.25" customWidth="1"/>
    <col min="6660" max="6660" width="24.875" customWidth="1"/>
    <col min="6661" max="6661" width="49.25" customWidth="1"/>
    <col min="6662" max="6662" width="21.125" customWidth="1"/>
    <col min="6915" max="6915" width="21.25" customWidth="1"/>
    <col min="6916" max="6916" width="24.875" customWidth="1"/>
    <col min="6917" max="6917" width="49.25" customWidth="1"/>
    <col min="6918" max="6918" width="21.125" customWidth="1"/>
    <col min="7171" max="7171" width="21.25" customWidth="1"/>
    <col min="7172" max="7172" width="24.875" customWidth="1"/>
    <col min="7173" max="7173" width="49.25" customWidth="1"/>
    <col min="7174" max="7174" width="21.125" customWidth="1"/>
    <col min="7427" max="7427" width="21.25" customWidth="1"/>
    <col min="7428" max="7428" width="24.875" customWidth="1"/>
    <col min="7429" max="7429" width="49.25" customWidth="1"/>
    <col min="7430" max="7430" width="21.125" customWidth="1"/>
    <col min="7683" max="7683" width="21.25" customWidth="1"/>
    <col min="7684" max="7684" width="24.875" customWidth="1"/>
    <col min="7685" max="7685" width="49.25" customWidth="1"/>
    <col min="7686" max="7686" width="21.125" customWidth="1"/>
    <col min="7939" max="7939" width="21.25" customWidth="1"/>
    <col min="7940" max="7940" width="24.875" customWidth="1"/>
    <col min="7941" max="7941" width="49.25" customWidth="1"/>
    <col min="7942" max="7942" width="21.125" customWidth="1"/>
    <col min="8195" max="8195" width="21.25" customWidth="1"/>
    <col min="8196" max="8196" width="24.875" customWidth="1"/>
    <col min="8197" max="8197" width="49.25" customWidth="1"/>
    <col min="8198" max="8198" width="21.125" customWidth="1"/>
    <col min="8451" max="8451" width="21.25" customWidth="1"/>
    <col min="8452" max="8452" width="24.875" customWidth="1"/>
    <col min="8453" max="8453" width="49.25" customWidth="1"/>
    <col min="8454" max="8454" width="21.125" customWidth="1"/>
    <col min="8707" max="8707" width="21.25" customWidth="1"/>
    <col min="8708" max="8708" width="24.875" customWidth="1"/>
    <col min="8709" max="8709" width="49.25" customWidth="1"/>
    <col min="8710" max="8710" width="21.125" customWidth="1"/>
    <col min="8963" max="8963" width="21.25" customWidth="1"/>
    <col min="8964" max="8964" width="24.875" customWidth="1"/>
    <col min="8965" max="8965" width="49.25" customWidth="1"/>
    <col min="8966" max="8966" width="21.125" customWidth="1"/>
    <col min="9219" max="9219" width="21.25" customWidth="1"/>
    <col min="9220" max="9220" width="24.875" customWidth="1"/>
    <col min="9221" max="9221" width="49.25" customWidth="1"/>
    <col min="9222" max="9222" width="21.125" customWidth="1"/>
    <col min="9475" max="9475" width="21.25" customWidth="1"/>
    <col min="9476" max="9476" width="24.875" customWidth="1"/>
    <col min="9477" max="9477" width="49.25" customWidth="1"/>
    <col min="9478" max="9478" width="21.125" customWidth="1"/>
    <col min="9731" max="9731" width="21.25" customWidth="1"/>
    <col min="9732" max="9732" width="24.875" customWidth="1"/>
    <col min="9733" max="9733" width="49.25" customWidth="1"/>
    <col min="9734" max="9734" width="21.125" customWidth="1"/>
    <col min="9987" max="9987" width="21.25" customWidth="1"/>
    <col min="9988" max="9988" width="24.875" customWidth="1"/>
    <col min="9989" max="9989" width="49.25" customWidth="1"/>
    <col min="9990" max="9990" width="21.125" customWidth="1"/>
    <col min="10243" max="10243" width="21.25" customWidth="1"/>
    <col min="10244" max="10244" width="24.875" customWidth="1"/>
    <col min="10245" max="10245" width="49.25" customWidth="1"/>
    <col min="10246" max="10246" width="21.125" customWidth="1"/>
    <col min="10499" max="10499" width="21.25" customWidth="1"/>
    <col min="10500" max="10500" width="24.875" customWidth="1"/>
    <col min="10501" max="10501" width="49.25" customWidth="1"/>
    <col min="10502" max="10502" width="21.125" customWidth="1"/>
    <col min="10755" max="10755" width="21.25" customWidth="1"/>
    <col min="10756" max="10756" width="24.875" customWidth="1"/>
    <col min="10757" max="10757" width="49.25" customWidth="1"/>
    <col min="10758" max="10758" width="21.125" customWidth="1"/>
    <col min="11011" max="11011" width="21.25" customWidth="1"/>
    <col min="11012" max="11012" width="24.875" customWidth="1"/>
    <col min="11013" max="11013" width="49.25" customWidth="1"/>
    <col min="11014" max="11014" width="21.125" customWidth="1"/>
    <col min="11267" max="11267" width="21.25" customWidth="1"/>
    <col min="11268" max="11268" width="24.875" customWidth="1"/>
    <col min="11269" max="11269" width="49.25" customWidth="1"/>
    <col min="11270" max="11270" width="21.125" customWidth="1"/>
    <col min="11523" max="11523" width="21.25" customWidth="1"/>
    <col min="11524" max="11524" width="24.875" customWidth="1"/>
    <col min="11525" max="11525" width="49.25" customWidth="1"/>
    <col min="11526" max="11526" width="21.125" customWidth="1"/>
    <col min="11779" max="11779" width="21.25" customWidth="1"/>
    <col min="11780" max="11780" width="24.875" customWidth="1"/>
    <col min="11781" max="11781" width="49.25" customWidth="1"/>
    <col min="11782" max="11782" width="21.125" customWidth="1"/>
    <col min="12035" max="12035" width="21.25" customWidth="1"/>
    <col min="12036" max="12036" width="24.875" customWidth="1"/>
    <col min="12037" max="12037" width="49.25" customWidth="1"/>
    <col min="12038" max="12038" width="21.125" customWidth="1"/>
    <col min="12291" max="12291" width="21.25" customWidth="1"/>
    <col min="12292" max="12292" width="24.875" customWidth="1"/>
    <col min="12293" max="12293" width="49.25" customWidth="1"/>
    <col min="12294" max="12294" width="21.125" customWidth="1"/>
    <col min="12547" max="12547" width="21.25" customWidth="1"/>
    <col min="12548" max="12548" width="24.875" customWidth="1"/>
    <col min="12549" max="12549" width="49.25" customWidth="1"/>
    <col min="12550" max="12550" width="21.125" customWidth="1"/>
    <col min="12803" max="12803" width="21.25" customWidth="1"/>
    <col min="12804" max="12804" width="24.875" customWidth="1"/>
    <col min="12805" max="12805" width="49.25" customWidth="1"/>
    <col min="12806" max="12806" width="21.125" customWidth="1"/>
    <col min="13059" max="13059" width="21.25" customWidth="1"/>
    <col min="13060" max="13060" width="24.875" customWidth="1"/>
    <col min="13061" max="13061" width="49.25" customWidth="1"/>
    <col min="13062" max="13062" width="21.125" customWidth="1"/>
    <col min="13315" max="13315" width="21.25" customWidth="1"/>
    <col min="13316" max="13316" width="24.875" customWidth="1"/>
    <col min="13317" max="13317" width="49.25" customWidth="1"/>
    <col min="13318" max="13318" width="21.125" customWidth="1"/>
    <col min="13571" max="13571" width="21.25" customWidth="1"/>
    <col min="13572" max="13572" width="24.875" customWidth="1"/>
    <col min="13573" max="13573" width="49.25" customWidth="1"/>
    <col min="13574" max="13574" width="21.125" customWidth="1"/>
    <col min="13827" max="13827" width="21.25" customWidth="1"/>
    <col min="13828" max="13828" width="24.875" customWidth="1"/>
    <col min="13829" max="13829" width="49.25" customWidth="1"/>
    <col min="13830" max="13830" width="21.125" customWidth="1"/>
    <col min="14083" max="14083" width="21.25" customWidth="1"/>
    <col min="14084" max="14084" width="24.875" customWidth="1"/>
    <col min="14085" max="14085" width="49.25" customWidth="1"/>
    <col min="14086" max="14086" width="21.125" customWidth="1"/>
    <col min="14339" max="14339" width="21.25" customWidth="1"/>
    <col min="14340" max="14340" width="24.875" customWidth="1"/>
    <col min="14341" max="14341" width="49.25" customWidth="1"/>
    <col min="14342" max="14342" width="21.125" customWidth="1"/>
    <col min="14595" max="14595" width="21.25" customWidth="1"/>
    <col min="14596" max="14596" width="24.875" customWidth="1"/>
    <col min="14597" max="14597" width="49.25" customWidth="1"/>
    <col min="14598" max="14598" width="21.125" customWidth="1"/>
    <col min="14851" max="14851" width="21.25" customWidth="1"/>
    <col min="14852" max="14852" width="24.875" customWidth="1"/>
    <col min="14853" max="14853" width="49.25" customWidth="1"/>
    <col min="14854" max="14854" width="21.125" customWidth="1"/>
    <col min="15107" max="15107" width="21.25" customWidth="1"/>
    <col min="15108" max="15108" width="24.875" customWidth="1"/>
    <col min="15109" max="15109" width="49.25" customWidth="1"/>
    <col min="15110" max="15110" width="21.125" customWidth="1"/>
    <col min="15363" max="15363" width="21.25" customWidth="1"/>
    <col min="15364" max="15364" width="24.875" customWidth="1"/>
    <col min="15365" max="15365" width="49.25" customWidth="1"/>
    <col min="15366" max="15366" width="21.125" customWidth="1"/>
    <col min="15619" max="15619" width="21.25" customWidth="1"/>
    <col min="15620" max="15620" width="24.875" customWidth="1"/>
    <col min="15621" max="15621" width="49.25" customWidth="1"/>
    <col min="15622" max="15622" width="21.125" customWidth="1"/>
    <col min="15875" max="15875" width="21.25" customWidth="1"/>
    <col min="15876" max="15876" width="24.875" customWidth="1"/>
    <col min="15877" max="15877" width="49.25" customWidth="1"/>
    <col min="15878" max="15878" width="21.125" customWidth="1"/>
    <col min="16131" max="16131" width="21.25" customWidth="1"/>
    <col min="16132" max="16132" width="24.875" customWidth="1"/>
    <col min="16133" max="16133" width="49.25" customWidth="1"/>
    <col min="16134" max="16134" width="21.125" customWidth="1"/>
  </cols>
  <sheetData>
    <row r="2" spans="3:6" ht="15.2"/>
    <row r="3" spans="3:6" ht="14.25">
      <c r="C3" s="431" t="s">
        <v>73</v>
      </c>
      <c r="D3" s="432"/>
      <c r="E3" s="433" t="s">
        <v>74</v>
      </c>
      <c r="F3" s="434"/>
    </row>
    <row r="4" spans="3:6" ht="13.5">
      <c r="C4" s="435" t="s">
        <v>75</v>
      </c>
      <c r="D4" s="436"/>
      <c r="E4" s="437" t="s">
        <v>74</v>
      </c>
      <c r="F4" s="438"/>
    </row>
    <row r="5" spans="3:6" ht="13.5">
      <c r="C5" s="435" t="s">
        <v>76</v>
      </c>
      <c r="D5" s="436"/>
      <c r="E5" s="439">
        <v>1</v>
      </c>
      <c r="F5" s="440"/>
    </row>
    <row r="6" spans="3:6" ht="13.5">
      <c r="C6" s="435" t="s">
        <v>77</v>
      </c>
      <c r="D6" s="436"/>
      <c r="E6" s="448">
        <f>MAX(C13:C27)</f>
        <v>44868</v>
      </c>
      <c r="F6" s="440"/>
    </row>
    <row r="7" spans="3:6" ht="15.2">
      <c r="C7" s="449" t="s">
        <v>78</v>
      </c>
      <c r="D7" s="450"/>
      <c r="E7" s="451" t="s">
        <v>32</v>
      </c>
      <c r="F7" s="452"/>
    </row>
    <row r="8" spans="3:6" ht="15.2"/>
    <row r="9" spans="3:6" ht="15.2">
      <c r="C9" s="453" t="s">
        <v>79</v>
      </c>
      <c r="D9" s="454"/>
      <c r="E9" s="454"/>
      <c r="F9" s="455"/>
    </row>
    <row r="10" spans="3:6" ht="15.2">
      <c r="C10" s="441" t="s">
        <v>80</v>
      </c>
      <c r="D10" s="442"/>
      <c r="E10" s="442"/>
      <c r="F10" s="443"/>
    </row>
    <row r="11" spans="3:6" ht="21.75" customHeight="1">
      <c r="C11" s="444" t="s">
        <v>81</v>
      </c>
      <c r="D11" s="445"/>
      <c r="E11" s="446" t="s">
        <v>82</v>
      </c>
      <c r="F11" s="447"/>
    </row>
    <row r="12" spans="3:6">
      <c r="C12" s="388" t="s">
        <v>83</v>
      </c>
      <c r="D12" s="389" t="s">
        <v>84</v>
      </c>
      <c r="E12" s="389" t="s">
        <v>85</v>
      </c>
      <c r="F12" s="390" t="s">
        <v>86</v>
      </c>
    </row>
    <row r="13" spans="3:6">
      <c r="C13" s="391">
        <v>44868</v>
      </c>
      <c r="D13" s="347" t="s">
        <v>87</v>
      </c>
      <c r="E13" s="392" t="s">
        <v>88</v>
      </c>
      <c r="F13" s="347">
        <v>1</v>
      </c>
    </row>
    <row r="14" spans="3:6">
      <c r="C14" s="391">
        <v>44868</v>
      </c>
      <c r="D14" s="347" t="s">
        <v>89</v>
      </c>
      <c r="E14" s="392" t="s">
        <v>88</v>
      </c>
      <c r="F14" s="347">
        <v>1</v>
      </c>
    </row>
    <row r="15" spans="3:6" ht="13.5">
      <c r="C15" s="391"/>
      <c r="D15" s="347"/>
      <c r="E15" s="393"/>
      <c r="F15" s="394"/>
    </row>
    <row r="16" spans="3:6">
      <c r="C16" s="391"/>
      <c r="D16" s="347"/>
      <c r="E16" s="393"/>
      <c r="F16" s="394"/>
    </row>
    <row r="17" spans="3:6">
      <c r="C17" s="391"/>
      <c r="D17" s="347"/>
      <c r="E17" s="395"/>
      <c r="F17" s="394"/>
    </row>
    <row r="18" spans="3:6">
      <c r="C18" s="391"/>
      <c r="D18" s="347"/>
      <c r="E18" s="395"/>
      <c r="F18" s="394"/>
    </row>
    <row r="19" spans="3:6">
      <c r="C19" s="391"/>
      <c r="D19" s="347"/>
      <c r="E19" s="395"/>
      <c r="F19" s="394"/>
    </row>
    <row r="20" spans="3:6">
      <c r="C20" s="391"/>
      <c r="D20" s="347"/>
      <c r="E20" s="395"/>
      <c r="F20" s="394"/>
    </row>
    <row r="21" spans="3:6">
      <c r="C21" s="391"/>
      <c r="D21" s="347"/>
      <c r="E21" s="395"/>
      <c r="F21" s="394"/>
    </row>
    <row r="22" spans="3:6" ht="13.5"/>
    <row r="23" spans="3:6" ht="13.5"/>
    <row r="24" spans="3:6" ht="13.5"/>
    <row r="25" spans="3:6" ht="13.5"/>
    <row r="26" spans="3:6" ht="13.5"/>
    <row r="27" spans="3:6" ht="13.5"/>
    <row r="28" spans="3:6" ht="13.5"/>
    <row r="29" spans="3:6" ht="13.5"/>
    <row r="30" spans="3:6" ht="13.5"/>
    <row r="31" spans="3:6" ht="13.5"/>
    <row r="32" spans="3:6" ht="13.5"/>
    <row r="33" ht="13.5"/>
    <row r="34" ht="13.5"/>
    <row r="35" ht="13.5"/>
    <row r="36" ht="13.5"/>
  </sheetData>
  <mergeCells count="14">
    <mergeCell ref="C10:F10"/>
    <mergeCell ref="C11:D11"/>
    <mergeCell ref="E11:F11"/>
    <mergeCell ref="C6:D6"/>
    <mergeCell ref="E6:F6"/>
    <mergeCell ref="C7:D7"/>
    <mergeCell ref="E7:F7"/>
    <mergeCell ref="C9:F9"/>
    <mergeCell ref="C3:D3"/>
    <mergeCell ref="E3:F3"/>
    <mergeCell ref="C4:D4"/>
    <mergeCell ref="E4:F4"/>
    <mergeCell ref="C5:D5"/>
    <mergeCell ref="E5:F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B3:N399"/>
  <sheetViews>
    <sheetView showGridLines="0" topLeftCell="C145" workbookViewId="0">
      <selection activeCell="J153" sqref="J153"/>
    </sheetView>
  </sheetViews>
  <sheetFormatPr defaultColWidth="9" defaultRowHeight="14.45"/>
  <cols>
    <col min="2" max="2" width="12.875" customWidth="1"/>
    <col min="3" max="3" width="24.875" customWidth="1"/>
    <col min="4" max="4" width="30.75" customWidth="1"/>
    <col min="10" max="10" width="9.625" customWidth="1"/>
  </cols>
  <sheetData>
    <row r="3" spans="2:14" ht="15.2"/>
    <row r="4" spans="2:14">
      <c r="B4" s="465" t="s">
        <v>90</v>
      </c>
      <c r="C4" s="376" t="s">
        <v>91</v>
      </c>
      <c r="D4" s="376"/>
      <c r="E4" s="376"/>
      <c r="F4" s="376"/>
      <c r="G4" s="376"/>
      <c r="H4" s="376"/>
      <c r="I4" s="376"/>
      <c r="J4" s="376"/>
      <c r="K4" s="376"/>
      <c r="L4" s="376"/>
      <c r="M4" s="376"/>
      <c r="N4" s="379"/>
    </row>
    <row r="5" spans="2:14">
      <c r="B5" s="466"/>
      <c r="N5" s="380"/>
    </row>
    <row r="6" spans="2:14">
      <c r="B6" s="466"/>
      <c r="C6" t="s">
        <v>92</v>
      </c>
      <c r="N6" s="380"/>
    </row>
    <row r="7" spans="2:14">
      <c r="B7" s="466"/>
      <c r="N7" s="380"/>
    </row>
    <row r="8" spans="2:14" ht="15.2">
      <c r="B8" s="467"/>
      <c r="C8" s="377" t="s">
        <v>93</v>
      </c>
      <c r="D8" s="377"/>
      <c r="E8" s="377" t="s">
        <v>94</v>
      </c>
      <c r="F8" s="377"/>
      <c r="G8" s="377"/>
      <c r="H8" s="377"/>
      <c r="I8" s="377"/>
      <c r="J8" s="377"/>
      <c r="K8" s="377"/>
      <c r="L8" s="377"/>
      <c r="M8" s="377"/>
      <c r="N8" s="381"/>
    </row>
    <row r="9" spans="2:14" ht="15.2"/>
    <row r="10" spans="2:14">
      <c r="B10" s="465" t="s">
        <v>95</v>
      </c>
      <c r="C10" s="376"/>
      <c r="D10" s="376"/>
      <c r="E10" s="376"/>
      <c r="F10" s="376"/>
      <c r="G10" s="376"/>
      <c r="H10" s="376"/>
      <c r="I10" s="376"/>
      <c r="J10" s="376"/>
      <c r="K10" s="376"/>
      <c r="L10" s="376"/>
      <c r="M10" s="376"/>
      <c r="N10" s="379"/>
    </row>
    <row r="11" spans="2:14">
      <c r="B11" s="466"/>
      <c r="C11" t="s">
        <v>96</v>
      </c>
      <c r="N11" s="380"/>
    </row>
    <row r="12" spans="2:14">
      <c r="B12" s="466"/>
      <c r="N12" s="380"/>
    </row>
    <row r="13" spans="2:14">
      <c r="B13" s="466"/>
      <c r="N13" s="380"/>
    </row>
    <row r="14" spans="2:14" ht="15.2">
      <c r="B14" s="467"/>
      <c r="C14" s="377"/>
      <c r="D14" s="377"/>
      <c r="E14" s="377"/>
      <c r="F14" s="377"/>
      <c r="G14" s="377"/>
      <c r="H14" s="377"/>
      <c r="I14" s="377"/>
      <c r="J14" s="377"/>
      <c r="K14" s="377"/>
      <c r="L14" s="377"/>
      <c r="M14" s="377"/>
      <c r="N14" s="381"/>
    </row>
    <row r="15" spans="2:14" ht="15.2"/>
    <row r="16" spans="2:14">
      <c r="B16" s="465" t="s">
        <v>97</v>
      </c>
      <c r="C16" s="376" t="s">
        <v>98</v>
      </c>
      <c r="D16" s="376"/>
      <c r="E16" s="376"/>
      <c r="F16" s="376"/>
      <c r="G16" s="376"/>
      <c r="H16" s="376"/>
      <c r="I16" s="376"/>
      <c r="J16" s="376"/>
      <c r="K16" s="376"/>
      <c r="L16" s="376"/>
      <c r="M16" s="376"/>
      <c r="N16" s="379"/>
    </row>
    <row r="17" spans="2:14">
      <c r="B17" s="466"/>
      <c r="N17" s="380"/>
    </row>
    <row r="18" spans="2:14">
      <c r="B18" s="466"/>
      <c r="C18" s="26" t="s">
        <v>99</v>
      </c>
      <c r="N18" s="380"/>
    </row>
    <row r="19" spans="2:14">
      <c r="B19" s="466"/>
      <c r="C19">
        <v>1</v>
      </c>
      <c r="D19" t="s">
        <v>100</v>
      </c>
      <c r="N19" s="380"/>
    </row>
    <row r="20" spans="2:14">
      <c r="B20" s="466"/>
      <c r="C20">
        <v>2</v>
      </c>
      <c r="D20" t="s">
        <v>101</v>
      </c>
      <c r="N20" s="380"/>
    </row>
    <row r="21" spans="2:14">
      <c r="B21" s="466"/>
      <c r="C21">
        <v>3</v>
      </c>
      <c r="D21" t="s">
        <v>102</v>
      </c>
      <c r="N21" s="380"/>
    </row>
    <row r="22" spans="2:14">
      <c r="B22" s="466"/>
      <c r="C22">
        <v>4</v>
      </c>
      <c r="D22" t="s">
        <v>103</v>
      </c>
      <c r="N22" s="380"/>
    </row>
    <row r="23" spans="2:14">
      <c r="B23" s="466"/>
      <c r="C23">
        <v>5</v>
      </c>
      <c r="D23" t="s">
        <v>104</v>
      </c>
      <c r="N23" s="380"/>
    </row>
    <row r="24" spans="2:14">
      <c r="B24" s="466"/>
      <c r="C24">
        <v>6</v>
      </c>
      <c r="D24" t="s">
        <v>105</v>
      </c>
      <c r="N24" s="380"/>
    </row>
    <row r="25" spans="2:14">
      <c r="B25" s="466"/>
      <c r="C25">
        <v>7</v>
      </c>
      <c r="D25" t="s">
        <v>106</v>
      </c>
      <c r="N25" s="380"/>
    </row>
    <row r="26" spans="2:14">
      <c r="B26" s="466"/>
      <c r="C26">
        <v>8</v>
      </c>
      <c r="D26" t="s">
        <v>107</v>
      </c>
      <c r="N26" s="380"/>
    </row>
    <row r="27" spans="2:14">
      <c r="B27" s="466"/>
      <c r="C27">
        <v>9</v>
      </c>
      <c r="D27" t="s">
        <v>108</v>
      </c>
      <c r="N27" s="380"/>
    </row>
    <row r="28" spans="2:14">
      <c r="B28" s="466"/>
      <c r="C28">
        <v>10</v>
      </c>
      <c r="D28" t="s">
        <v>109</v>
      </c>
      <c r="N28" s="380"/>
    </row>
    <row r="29" spans="2:14">
      <c r="B29" s="466"/>
      <c r="C29">
        <v>11</v>
      </c>
      <c r="D29" t="s">
        <v>110</v>
      </c>
      <c r="N29" s="380"/>
    </row>
    <row r="30" spans="2:14">
      <c r="B30" s="466"/>
      <c r="C30">
        <v>12</v>
      </c>
      <c r="D30" t="s">
        <v>111</v>
      </c>
      <c r="N30" s="380"/>
    </row>
    <row r="31" spans="2:14">
      <c r="B31" s="466"/>
      <c r="N31" s="380"/>
    </row>
    <row r="32" spans="2:14">
      <c r="B32" s="466"/>
      <c r="N32" s="380"/>
    </row>
    <row r="33" spans="2:14">
      <c r="B33" s="466"/>
      <c r="C33" t="s">
        <v>112</v>
      </c>
      <c r="N33" s="380"/>
    </row>
    <row r="34" spans="2:14" ht="15.2">
      <c r="B34" s="467"/>
      <c r="C34" s="377"/>
      <c r="D34" s="377"/>
      <c r="E34" s="377"/>
      <c r="F34" s="377"/>
      <c r="G34" s="377"/>
      <c r="H34" s="377"/>
      <c r="I34" s="377"/>
      <c r="J34" s="377"/>
      <c r="K34" s="377"/>
      <c r="L34" s="377"/>
      <c r="M34" s="377"/>
      <c r="N34" s="381"/>
    </row>
    <row r="36" spans="2:14" ht="15.2"/>
    <row r="37" spans="2:14">
      <c r="B37" s="465" t="s">
        <v>113</v>
      </c>
      <c r="C37" s="376" t="s">
        <v>114</v>
      </c>
      <c r="D37" s="376"/>
      <c r="E37" s="376"/>
      <c r="F37" s="376"/>
      <c r="G37" s="376"/>
      <c r="H37" s="376"/>
      <c r="I37" s="376"/>
      <c r="J37" s="376"/>
      <c r="K37" s="376"/>
      <c r="L37" s="376"/>
      <c r="M37" s="376"/>
      <c r="N37" s="379"/>
    </row>
    <row r="38" spans="2:14">
      <c r="B38" s="466"/>
      <c r="N38" s="380"/>
    </row>
    <row r="39" spans="2:14">
      <c r="B39" s="466"/>
      <c r="C39" t="s">
        <v>99</v>
      </c>
      <c r="N39" s="380"/>
    </row>
    <row r="40" spans="2:14">
      <c r="B40" s="466"/>
      <c r="C40">
        <v>1</v>
      </c>
      <c r="D40" t="s">
        <v>115</v>
      </c>
      <c r="N40" s="380"/>
    </row>
    <row r="41" spans="2:14">
      <c r="B41" s="466"/>
      <c r="C41">
        <v>2</v>
      </c>
      <c r="D41" t="s">
        <v>116</v>
      </c>
      <c r="N41" s="380"/>
    </row>
    <row r="42" spans="2:14">
      <c r="B42" s="466"/>
      <c r="C42">
        <v>3</v>
      </c>
      <c r="D42" t="s">
        <v>117</v>
      </c>
      <c r="N42" s="380"/>
    </row>
    <row r="43" spans="2:14">
      <c r="B43" s="466"/>
      <c r="C43">
        <v>4</v>
      </c>
      <c r="D43" t="s">
        <v>46</v>
      </c>
      <c r="N43" s="380"/>
    </row>
    <row r="44" spans="2:14">
      <c r="B44" s="466"/>
      <c r="C44">
        <v>5</v>
      </c>
      <c r="D44" t="s">
        <v>103</v>
      </c>
      <c r="N44" s="380"/>
    </row>
    <row r="45" spans="2:14">
      <c r="B45" s="466"/>
      <c r="C45">
        <v>6</v>
      </c>
      <c r="D45" t="s">
        <v>104</v>
      </c>
      <c r="N45" s="380"/>
    </row>
    <row r="46" spans="2:14">
      <c r="B46" s="466"/>
      <c r="C46">
        <v>7</v>
      </c>
      <c r="D46" t="s">
        <v>106</v>
      </c>
      <c r="N46" s="380"/>
    </row>
    <row r="47" spans="2:14">
      <c r="B47" s="466"/>
      <c r="C47">
        <v>8</v>
      </c>
      <c r="D47" t="s">
        <v>107</v>
      </c>
      <c r="N47" s="380"/>
    </row>
    <row r="48" spans="2:14">
      <c r="B48" s="466"/>
      <c r="C48">
        <v>9</v>
      </c>
      <c r="D48" t="s">
        <v>118</v>
      </c>
      <c r="N48" s="380"/>
    </row>
    <row r="49" spans="2:14">
      <c r="B49" s="466"/>
      <c r="C49">
        <v>10</v>
      </c>
      <c r="D49" t="s">
        <v>109</v>
      </c>
      <c r="N49" s="380"/>
    </row>
    <row r="50" spans="2:14">
      <c r="B50" s="466"/>
      <c r="C50">
        <v>11</v>
      </c>
      <c r="D50" t="s">
        <v>110</v>
      </c>
      <c r="N50" s="380"/>
    </row>
    <row r="51" spans="2:14">
      <c r="B51" s="466"/>
      <c r="C51">
        <v>12</v>
      </c>
      <c r="D51" t="s">
        <v>119</v>
      </c>
      <c r="N51" s="380"/>
    </row>
    <row r="52" spans="2:14">
      <c r="B52" s="466"/>
      <c r="C52" t="s">
        <v>112</v>
      </c>
      <c r="D52" s="378"/>
      <c r="N52" s="380"/>
    </row>
    <row r="53" spans="2:14" ht="15.2">
      <c r="B53" s="467"/>
      <c r="C53" s="377"/>
      <c r="D53" s="377"/>
      <c r="E53" s="377"/>
      <c r="F53" s="377"/>
      <c r="G53" s="377"/>
      <c r="H53" s="377"/>
      <c r="I53" s="377"/>
      <c r="J53" s="377"/>
      <c r="K53" s="377"/>
      <c r="L53" s="377"/>
      <c r="M53" s="377"/>
      <c r="N53" s="381"/>
    </row>
    <row r="55" spans="2:14" ht="15.2"/>
    <row r="56" spans="2:14">
      <c r="B56" s="465" t="s">
        <v>120</v>
      </c>
      <c r="C56" s="376" t="s">
        <v>121</v>
      </c>
      <c r="D56" s="376"/>
      <c r="E56" s="376"/>
      <c r="F56" s="376"/>
      <c r="G56" s="376"/>
      <c r="H56" s="376"/>
      <c r="I56" s="376"/>
      <c r="J56" s="376"/>
      <c r="K56" s="376"/>
      <c r="L56" s="376"/>
      <c r="M56" s="376"/>
      <c r="N56" s="379"/>
    </row>
    <row r="57" spans="2:14">
      <c r="B57" s="466"/>
      <c r="N57" s="380"/>
    </row>
    <row r="58" spans="2:14">
      <c r="B58" s="466"/>
      <c r="C58" t="s">
        <v>99</v>
      </c>
      <c r="N58" s="380"/>
    </row>
    <row r="59" spans="2:14">
      <c r="B59" s="466"/>
      <c r="C59">
        <v>1</v>
      </c>
      <c r="D59" t="s">
        <v>122</v>
      </c>
      <c r="N59" s="380"/>
    </row>
    <row r="60" spans="2:14">
      <c r="B60" s="466"/>
      <c r="C60">
        <v>2</v>
      </c>
      <c r="D60" t="s">
        <v>100</v>
      </c>
      <c r="N60" s="380"/>
    </row>
    <row r="61" spans="2:14">
      <c r="B61" s="466"/>
      <c r="C61">
        <v>3</v>
      </c>
      <c r="D61" t="s">
        <v>123</v>
      </c>
      <c r="N61" s="380"/>
    </row>
    <row r="62" spans="2:14">
      <c r="B62" s="466"/>
      <c r="C62">
        <v>4</v>
      </c>
      <c r="D62" t="s">
        <v>102</v>
      </c>
      <c r="N62" s="380"/>
    </row>
    <row r="63" spans="2:14">
      <c r="B63" s="466"/>
      <c r="C63">
        <v>5</v>
      </c>
      <c r="D63" t="s">
        <v>103</v>
      </c>
      <c r="N63" s="380"/>
    </row>
    <row r="64" spans="2:14">
      <c r="B64" s="466"/>
      <c r="C64">
        <v>6</v>
      </c>
      <c r="D64" t="s">
        <v>124</v>
      </c>
      <c r="N64" s="380"/>
    </row>
    <row r="65" spans="2:14">
      <c r="B65" s="466"/>
      <c r="C65">
        <v>7</v>
      </c>
      <c r="D65" t="s">
        <v>125</v>
      </c>
      <c r="N65" s="380"/>
    </row>
    <row r="66" spans="2:14">
      <c r="B66" s="466"/>
      <c r="C66">
        <v>8</v>
      </c>
      <c r="D66" t="s">
        <v>126</v>
      </c>
      <c r="N66" s="380"/>
    </row>
    <row r="67" spans="2:14">
      <c r="B67" s="466"/>
      <c r="C67">
        <v>9</v>
      </c>
      <c r="D67" t="s">
        <v>0</v>
      </c>
      <c r="N67" s="380"/>
    </row>
    <row r="68" spans="2:14">
      <c r="B68" s="466"/>
      <c r="C68">
        <v>10</v>
      </c>
      <c r="D68" t="s">
        <v>3</v>
      </c>
      <c r="N68" s="380"/>
    </row>
    <row r="69" spans="2:14">
      <c r="B69" s="466"/>
      <c r="C69">
        <v>11</v>
      </c>
      <c r="D69" t="s">
        <v>10</v>
      </c>
      <c r="N69" s="380"/>
    </row>
    <row r="70" spans="2:14">
      <c r="B70" s="466"/>
      <c r="C70">
        <v>12</v>
      </c>
      <c r="D70" t="s">
        <v>16</v>
      </c>
      <c r="N70" s="380"/>
    </row>
    <row r="71" spans="2:14">
      <c r="B71" s="466"/>
      <c r="C71">
        <v>13</v>
      </c>
      <c r="D71" t="s">
        <v>127</v>
      </c>
      <c r="N71" s="380"/>
    </row>
    <row r="72" spans="2:14">
      <c r="B72" s="466"/>
      <c r="C72">
        <v>14</v>
      </c>
      <c r="D72" t="s">
        <v>128</v>
      </c>
      <c r="N72" s="380"/>
    </row>
    <row r="73" spans="2:14">
      <c r="B73" s="466"/>
      <c r="C73">
        <v>15</v>
      </c>
      <c r="D73" t="s">
        <v>129</v>
      </c>
      <c r="N73" s="380"/>
    </row>
    <row r="74" spans="2:14">
      <c r="B74" s="466"/>
      <c r="C74">
        <v>16</v>
      </c>
      <c r="D74" t="s">
        <v>31</v>
      </c>
      <c r="N74" s="380"/>
    </row>
    <row r="75" spans="2:14">
      <c r="B75" s="466"/>
      <c r="C75">
        <v>17</v>
      </c>
      <c r="D75" t="s">
        <v>32</v>
      </c>
      <c r="N75" s="380"/>
    </row>
    <row r="76" spans="2:14">
      <c r="B76" s="466"/>
      <c r="C76">
        <v>18</v>
      </c>
      <c r="D76" t="s">
        <v>33</v>
      </c>
      <c r="N76" s="380"/>
    </row>
    <row r="77" spans="2:14">
      <c r="B77" s="466"/>
      <c r="C77">
        <v>19</v>
      </c>
      <c r="D77" t="s">
        <v>130</v>
      </c>
      <c r="N77" s="380"/>
    </row>
    <row r="78" spans="2:14">
      <c r="B78" s="466"/>
      <c r="C78">
        <v>20</v>
      </c>
      <c r="D78" t="s">
        <v>131</v>
      </c>
      <c r="N78" s="380"/>
    </row>
    <row r="79" spans="2:14">
      <c r="B79" s="466"/>
      <c r="C79">
        <v>21</v>
      </c>
      <c r="D79" t="s">
        <v>132</v>
      </c>
      <c r="N79" s="380"/>
    </row>
    <row r="80" spans="2:14">
      <c r="B80" s="466"/>
      <c r="C80">
        <v>22</v>
      </c>
      <c r="D80" t="s">
        <v>133</v>
      </c>
      <c r="N80" s="380"/>
    </row>
    <row r="81" spans="2:14">
      <c r="B81" s="466"/>
      <c r="C81">
        <v>23</v>
      </c>
      <c r="D81" t="s">
        <v>34</v>
      </c>
      <c r="N81" s="380"/>
    </row>
    <row r="82" spans="2:14">
      <c r="B82" s="466"/>
      <c r="C82">
        <v>24</v>
      </c>
      <c r="D82" t="s">
        <v>134</v>
      </c>
      <c r="N82" s="380"/>
    </row>
    <row r="83" spans="2:14">
      <c r="B83" s="466"/>
      <c r="C83">
        <v>25</v>
      </c>
      <c r="D83" t="s">
        <v>135</v>
      </c>
      <c r="N83" s="380"/>
    </row>
    <row r="84" spans="2:14">
      <c r="B84" s="466"/>
      <c r="N84" s="380"/>
    </row>
    <row r="85" spans="2:14">
      <c r="B85" s="466"/>
      <c r="D85" t="s">
        <v>112</v>
      </c>
      <c r="N85" s="380"/>
    </row>
    <row r="86" spans="2:14" ht="15.2">
      <c r="B86" s="467"/>
      <c r="C86" s="377"/>
      <c r="D86" s="377"/>
      <c r="E86" s="377"/>
      <c r="F86" s="377"/>
      <c r="G86" s="377"/>
      <c r="H86" s="377"/>
      <c r="I86" s="377"/>
      <c r="J86" s="377"/>
      <c r="K86" s="377"/>
      <c r="L86" s="377"/>
      <c r="M86" s="377"/>
      <c r="N86" s="381"/>
    </row>
    <row r="87" spans="2:14" ht="15.2"/>
    <row r="88" spans="2:14">
      <c r="B88" s="465" t="s">
        <v>136</v>
      </c>
      <c r="C88" s="376" t="s">
        <v>137</v>
      </c>
      <c r="D88" s="376"/>
      <c r="E88" s="376"/>
      <c r="F88" s="376"/>
      <c r="G88" s="376"/>
      <c r="H88" s="376"/>
      <c r="I88" s="376"/>
      <c r="J88" s="376"/>
      <c r="K88" s="376"/>
      <c r="L88" s="376"/>
      <c r="M88" s="376"/>
      <c r="N88" s="379"/>
    </row>
    <row r="89" spans="2:14">
      <c r="B89" s="466"/>
      <c r="N89" s="380"/>
    </row>
    <row r="90" spans="2:14">
      <c r="B90" s="466"/>
      <c r="C90" t="s">
        <v>99</v>
      </c>
      <c r="N90" s="380"/>
    </row>
    <row r="91" spans="2:14">
      <c r="B91" s="466"/>
      <c r="C91">
        <v>1</v>
      </c>
      <c r="D91" s="382" t="s">
        <v>115</v>
      </c>
      <c r="N91" s="380"/>
    </row>
    <row r="92" spans="2:14">
      <c r="B92" s="466"/>
      <c r="C92">
        <v>2</v>
      </c>
      <c r="D92" s="382" t="s">
        <v>138</v>
      </c>
      <c r="N92" s="380"/>
    </row>
    <row r="93" spans="2:14">
      <c r="B93" s="466"/>
      <c r="C93">
        <v>3</v>
      </c>
      <c r="D93" s="382" t="s">
        <v>139</v>
      </c>
      <c r="N93" s="380"/>
    </row>
    <row r="94" spans="2:14">
      <c r="B94" s="466"/>
      <c r="C94">
        <v>4</v>
      </c>
      <c r="D94" s="382" t="s">
        <v>140</v>
      </c>
      <c r="N94" s="380"/>
    </row>
    <row r="95" spans="2:14">
      <c r="B95" s="466"/>
      <c r="C95">
        <v>5</v>
      </c>
      <c r="D95" s="382" t="s">
        <v>141</v>
      </c>
      <c r="N95" s="380"/>
    </row>
    <row r="96" spans="2:14">
      <c r="B96" s="466"/>
      <c r="C96">
        <v>6</v>
      </c>
      <c r="D96" s="382" t="s">
        <v>142</v>
      </c>
      <c r="N96" s="380"/>
    </row>
    <row r="97" spans="2:14">
      <c r="B97" s="466"/>
      <c r="C97">
        <v>7</v>
      </c>
      <c r="D97" s="382" t="s">
        <v>143</v>
      </c>
      <c r="N97" s="380"/>
    </row>
    <row r="98" spans="2:14" ht="15.2">
      <c r="B98" s="467"/>
      <c r="C98" s="377"/>
      <c r="D98" s="377"/>
      <c r="E98" s="377"/>
      <c r="F98" s="377"/>
      <c r="G98" s="377"/>
      <c r="H98" s="377"/>
      <c r="I98" s="377"/>
      <c r="J98" s="377"/>
      <c r="K98" s="377"/>
      <c r="L98" s="377"/>
      <c r="M98" s="377"/>
      <c r="N98" s="381"/>
    </row>
    <row r="99" spans="2:14" ht="15.2"/>
    <row r="100" spans="2:14">
      <c r="B100" s="465" t="s">
        <v>144</v>
      </c>
      <c r="C100" s="376" t="s">
        <v>145</v>
      </c>
      <c r="D100" s="376"/>
      <c r="E100" s="376"/>
      <c r="F100" s="376"/>
      <c r="G100" s="376"/>
      <c r="H100" s="376"/>
      <c r="I100" s="376"/>
      <c r="J100" s="376"/>
      <c r="K100" s="376"/>
      <c r="L100" s="376"/>
      <c r="M100" s="376"/>
      <c r="N100" s="379"/>
    </row>
    <row r="101" spans="2:14">
      <c r="B101" s="466"/>
      <c r="N101" s="380"/>
    </row>
    <row r="102" spans="2:14">
      <c r="B102" s="466"/>
      <c r="C102" t="s">
        <v>146</v>
      </c>
      <c r="N102" s="380"/>
    </row>
    <row r="103" spans="2:14">
      <c r="B103" s="466"/>
      <c r="C103">
        <v>1</v>
      </c>
      <c r="D103" s="382" t="s">
        <v>115</v>
      </c>
      <c r="N103" s="380"/>
    </row>
    <row r="104" spans="2:14">
      <c r="B104" s="466"/>
      <c r="C104">
        <v>2</v>
      </c>
      <c r="D104" s="382" t="s">
        <v>147</v>
      </c>
      <c r="N104" s="380"/>
    </row>
    <row r="105" spans="2:14">
      <c r="B105" s="466"/>
      <c r="C105">
        <v>3</v>
      </c>
      <c r="D105" s="382" t="s">
        <v>148</v>
      </c>
      <c r="N105" s="380"/>
    </row>
    <row r="106" spans="2:14">
      <c r="B106" s="466"/>
      <c r="C106">
        <v>4</v>
      </c>
      <c r="D106" s="382" t="s">
        <v>149</v>
      </c>
      <c r="N106" s="380"/>
    </row>
    <row r="107" spans="2:14">
      <c r="B107" s="466"/>
      <c r="C107">
        <v>5</v>
      </c>
      <c r="D107" s="382" t="s">
        <v>150</v>
      </c>
      <c r="N107" s="380"/>
    </row>
    <row r="108" spans="2:14" ht="15.2">
      <c r="B108" s="467"/>
      <c r="C108" s="377"/>
      <c r="D108" s="377"/>
      <c r="E108" s="377"/>
      <c r="F108" s="377"/>
      <c r="G108" s="377"/>
      <c r="H108" s="377"/>
      <c r="I108" s="377"/>
      <c r="J108" s="377"/>
      <c r="K108" s="377"/>
      <c r="L108" s="377"/>
      <c r="M108" s="377"/>
      <c r="N108" s="381"/>
    </row>
    <row r="109" spans="2:14" ht="15.2"/>
    <row r="110" spans="2:14">
      <c r="B110" s="465" t="s">
        <v>151</v>
      </c>
      <c r="C110" s="376" t="s">
        <v>145</v>
      </c>
      <c r="D110" s="376"/>
      <c r="E110" s="376"/>
      <c r="F110" s="376"/>
      <c r="G110" s="376"/>
      <c r="H110" s="376"/>
      <c r="I110" s="376"/>
      <c r="J110" s="376"/>
      <c r="K110" s="376"/>
      <c r="L110" s="376"/>
      <c r="M110" s="376"/>
      <c r="N110" s="379"/>
    </row>
    <row r="111" spans="2:14">
      <c r="B111" s="466"/>
      <c r="N111" s="380"/>
    </row>
    <row r="112" spans="2:14">
      <c r="B112" s="466"/>
      <c r="C112" t="s">
        <v>152</v>
      </c>
      <c r="N112" s="380"/>
    </row>
    <row r="113" spans="2:14">
      <c r="B113" s="466"/>
      <c r="C113">
        <v>1</v>
      </c>
      <c r="D113" s="383" t="s">
        <v>115</v>
      </c>
      <c r="N113" s="380"/>
    </row>
    <row r="114" spans="2:14">
      <c r="B114" s="466"/>
      <c r="C114">
        <v>2</v>
      </c>
      <c r="D114" s="383" t="s">
        <v>153</v>
      </c>
      <c r="N114" s="380"/>
    </row>
    <row r="115" spans="2:14">
      <c r="B115" s="466"/>
      <c r="C115">
        <v>3</v>
      </c>
      <c r="D115" s="383" t="s">
        <v>30</v>
      </c>
      <c r="N115" s="380"/>
    </row>
    <row r="116" spans="2:14">
      <c r="B116" s="466"/>
      <c r="C116">
        <v>4</v>
      </c>
      <c r="D116" s="383" t="s">
        <v>154</v>
      </c>
      <c r="N116" s="380"/>
    </row>
    <row r="117" spans="2:14">
      <c r="B117" s="466"/>
      <c r="C117">
        <v>5</v>
      </c>
      <c r="D117" s="383" t="s">
        <v>155</v>
      </c>
      <c r="N117" s="380"/>
    </row>
    <row r="118" spans="2:14" ht="15.2">
      <c r="B118" s="467"/>
      <c r="C118" s="377"/>
      <c r="D118" s="377"/>
      <c r="E118" s="377"/>
      <c r="F118" s="377"/>
      <c r="G118" s="377"/>
      <c r="H118" s="377"/>
      <c r="I118" s="377"/>
      <c r="J118" s="377"/>
      <c r="K118" s="377"/>
      <c r="L118" s="377"/>
      <c r="M118" s="377"/>
      <c r="N118" s="381"/>
    </row>
    <row r="119" spans="2:14" ht="15.2"/>
    <row r="120" spans="2:14">
      <c r="B120" s="465" t="s">
        <v>156</v>
      </c>
      <c r="C120" s="376" t="s">
        <v>157</v>
      </c>
      <c r="D120" s="376"/>
      <c r="E120" s="376"/>
      <c r="F120" s="376"/>
      <c r="G120" s="376"/>
      <c r="H120" s="376"/>
      <c r="I120" s="376"/>
      <c r="J120" s="376"/>
      <c r="K120" s="376"/>
      <c r="L120" s="376"/>
      <c r="M120" s="376"/>
      <c r="N120" s="379"/>
    </row>
    <row r="121" spans="2:14">
      <c r="B121" s="466"/>
      <c r="N121" s="380"/>
    </row>
    <row r="122" spans="2:14">
      <c r="B122" s="466"/>
      <c r="C122" t="s">
        <v>158</v>
      </c>
      <c r="N122" s="380"/>
    </row>
    <row r="123" spans="2:14">
      <c r="B123" s="466"/>
      <c r="C123" t="s">
        <v>159</v>
      </c>
      <c r="D123" s="383"/>
      <c r="N123" s="380"/>
    </row>
    <row r="124" spans="2:14">
      <c r="B124" s="466"/>
      <c r="D124" s="383"/>
      <c r="N124" s="380"/>
    </row>
    <row r="125" spans="2:14" ht="15.2">
      <c r="B125" s="467"/>
      <c r="C125" s="377"/>
      <c r="D125" s="377"/>
      <c r="E125" s="377"/>
      <c r="F125" s="377"/>
      <c r="G125" s="377"/>
      <c r="H125" s="377"/>
      <c r="I125" s="377"/>
      <c r="J125" s="377"/>
      <c r="K125" s="377"/>
      <c r="L125" s="377"/>
      <c r="M125" s="377"/>
      <c r="N125" s="381"/>
    </row>
    <row r="127" spans="2:14" ht="15.2"/>
    <row r="128" spans="2:14">
      <c r="B128" s="465" t="s">
        <v>160</v>
      </c>
      <c r="C128" s="376" t="s">
        <v>161</v>
      </c>
      <c r="D128" s="376"/>
      <c r="E128" s="376"/>
      <c r="F128" s="376"/>
      <c r="G128" s="376"/>
      <c r="H128" s="376"/>
      <c r="I128" s="376"/>
      <c r="J128" s="376"/>
      <c r="K128" s="376"/>
      <c r="L128" s="376"/>
      <c r="M128" s="376"/>
      <c r="N128" s="379"/>
    </row>
    <row r="129" spans="2:14">
      <c r="B129" s="466"/>
      <c r="N129" s="380"/>
    </row>
    <row r="130" spans="2:14">
      <c r="B130" s="466"/>
      <c r="C130" t="s">
        <v>162</v>
      </c>
      <c r="N130" s="380"/>
    </row>
    <row r="131" spans="2:14">
      <c r="B131" s="466"/>
      <c r="D131" s="383"/>
      <c r="N131" s="380"/>
    </row>
    <row r="132" spans="2:14">
      <c r="B132" s="466"/>
      <c r="D132" s="383"/>
      <c r="N132" s="380"/>
    </row>
    <row r="133" spans="2:14" ht="15.2">
      <c r="B133" s="467"/>
      <c r="C133" s="377"/>
      <c r="D133" s="377"/>
      <c r="E133" s="377"/>
      <c r="F133" s="377"/>
      <c r="G133" s="377"/>
      <c r="H133" s="377"/>
      <c r="I133" s="377"/>
      <c r="J133" s="377"/>
      <c r="K133" s="377"/>
      <c r="L133" s="377"/>
      <c r="M133" s="377"/>
      <c r="N133" s="381"/>
    </row>
    <row r="134" spans="2:14" ht="15.2"/>
    <row r="135" spans="2:14">
      <c r="B135" s="465" t="s">
        <v>163</v>
      </c>
      <c r="C135" s="376" t="s">
        <v>164</v>
      </c>
      <c r="D135" s="376"/>
      <c r="E135" s="376"/>
      <c r="F135" s="376"/>
      <c r="G135" s="376"/>
      <c r="H135" s="376"/>
      <c r="I135" s="376"/>
      <c r="J135" s="376"/>
      <c r="K135" s="376"/>
      <c r="L135" s="376"/>
      <c r="M135" s="376"/>
      <c r="N135" s="379"/>
    </row>
    <row r="136" spans="2:14">
      <c r="B136" s="466"/>
      <c r="N136" s="380"/>
    </row>
    <row r="137" spans="2:14">
      <c r="B137" s="466"/>
      <c r="C137" t="s">
        <v>165</v>
      </c>
      <c r="N137" s="380"/>
    </row>
    <row r="138" spans="2:14">
      <c r="B138" s="466"/>
      <c r="D138" s="383"/>
      <c r="N138" s="380"/>
    </row>
    <row r="139" spans="2:14">
      <c r="B139" s="466"/>
      <c r="C139" t="s">
        <v>166</v>
      </c>
      <c r="D139" s="383"/>
      <c r="N139" s="380"/>
    </row>
    <row r="140" spans="2:14">
      <c r="B140" s="466"/>
      <c r="D140" s="383"/>
      <c r="N140" s="380"/>
    </row>
    <row r="141" spans="2:14" ht="21">
      <c r="B141" s="466"/>
      <c r="D141" s="384"/>
      <c r="E141" s="456" t="s">
        <v>167</v>
      </c>
      <c r="F141" s="457"/>
      <c r="G141" s="458"/>
      <c r="H141" s="456" t="s">
        <v>168</v>
      </c>
      <c r="I141" s="457"/>
      <c r="J141" s="458"/>
      <c r="K141" s="456" t="s">
        <v>169</v>
      </c>
      <c r="L141" s="457"/>
      <c r="M141" s="458"/>
      <c r="N141" s="380"/>
    </row>
    <row r="142" spans="2:14" ht="62.25" customHeight="1">
      <c r="B142" s="466"/>
      <c r="D142" s="385" t="s">
        <v>170</v>
      </c>
      <c r="E142" s="459" t="s">
        <v>171</v>
      </c>
      <c r="F142" s="460"/>
      <c r="G142" s="461"/>
      <c r="H142" s="462" t="s">
        <v>172</v>
      </c>
      <c r="I142" s="460"/>
      <c r="J142" s="461"/>
      <c r="K142" s="459" t="s">
        <v>173</v>
      </c>
      <c r="L142" s="460"/>
      <c r="M142" s="461"/>
      <c r="N142" s="380"/>
    </row>
    <row r="143" spans="2:14" ht="51" customHeight="1">
      <c r="B143" s="466"/>
      <c r="D143" s="386" t="s">
        <v>170</v>
      </c>
      <c r="E143" s="462" t="s">
        <v>174</v>
      </c>
      <c r="F143" s="460"/>
      <c r="G143" s="461"/>
      <c r="H143" s="462" t="s">
        <v>175</v>
      </c>
      <c r="I143" s="460"/>
      <c r="J143" s="461"/>
      <c r="K143" s="463" t="s">
        <v>176</v>
      </c>
      <c r="L143" s="464"/>
      <c r="M143" s="464"/>
      <c r="N143" s="380"/>
    </row>
    <row r="144" spans="2:14" ht="53.25" customHeight="1">
      <c r="B144" s="466"/>
      <c r="D144" s="387" t="s">
        <v>170</v>
      </c>
      <c r="E144" s="459" t="s">
        <v>177</v>
      </c>
      <c r="F144" s="460"/>
      <c r="G144" s="461"/>
      <c r="H144" s="463" t="s">
        <v>178</v>
      </c>
      <c r="I144" s="464"/>
      <c r="J144" s="464"/>
      <c r="K144" s="463" t="s">
        <v>178</v>
      </c>
      <c r="L144" s="464"/>
      <c r="M144" s="464"/>
      <c r="N144" s="380"/>
    </row>
    <row r="145" spans="2:14" ht="15.2">
      <c r="B145" s="467"/>
      <c r="C145" s="377"/>
      <c r="D145" s="377"/>
      <c r="E145" s="377"/>
      <c r="F145" s="377"/>
      <c r="G145" s="377"/>
      <c r="H145" s="377"/>
      <c r="I145" s="377"/>
      <c r="J145" s="377"/>
      <c r="K145" s="377"/>
      <c r="L145" s="377"/>
      <c r="M145" s="377"/>
      <c r="N145" s="381"/>
    </row>
    <row r="146" spans="2:14" ht="15.2"/>
    <row r="147" spans="2:14">
      <c r="B147" s="465" t="s">
        <v>179</v>
      </c>
      <c r="C147" s="376" t="s">
        <v>164</v>
      </c>
      <c r="D147" s="376"/>
      <c r="E147" s="376"/>
      <c r="F147" s="376"/>
      <c r="G147" s="376"/>
      <c r="H147" s="376"/>
      <c r="I147" s="376"/>
      <c r="J147" s="376"/>
      <c r="K147" s="376"/>
      <c r="L147" s="376"/>
      <c r="M147" s="376"/>
      <c r="N147" s="379"/>
    </row>
    <row r="148" spans="2:14">
      <c r="B148" s="466"/>
      <c r="N148" s="380"/>
    </row>
    <row r="149" spans="2:14">
      <c r="B149" s="466"/>
      <c r="C149" t="s">
        <v>180</v>
      </c>
      <c r="N149" s="380"/>
    </row>
    <row r="150" spans="2:14">
      <c r="B150" s="466"/>
      <c r="D150" s="383"/>
      <c r="N150" s="380"/>
    </row>
    <row r="151" spans="2:14">
      <c r="B151" s="466"/>
      <c r="D151" s="383"/>
      <c r="N151" s="380"/>
    </row>
    <row r="152" spans="2:14" ht="15.2">
      <c r="B152" s="467"/>
      <c r="C152" s="377"/>
      <c r="D152" s="377"/>
      <c r="E152" s="377"/>
      <c r="F152" s="377"/>
      <c r="G152" s="377"/>
      <c r="H152" s="377"/>
      <c r="I152" s="377"/>
      <c r="J152" s="377"/>
      <c r="K152" s="377"/>
      <c r="L152" s="377"/>
      <c r="M152" s="377"/>
      <c r="N152" s="381"/>
    </row>
    <row r="153" spans="2:14" ht="15.2"/>
    <row r="154" spans="2:14">
      <c r="B154" s="465" t="s">
        <v>181</v>
      </c>
      <c r="C154" s="376" t="s">
        <v>164</v>
      </c>
      <c r="D154" s="376"/>
      <c r="E154" s="376"/>
      <c r="F154" s="376"/>
      <c r="G154" s="376"/>
      <c r="H154" s="376"/>
      <c r="I154" s="376"/>
      <c r="J154" s="376"/>
      <c r="K154" s="376"/>
      <c r="L154" s="376"/>
      <c r="M154" s="376"/>
      <c r="N154" s="379"/>
    </row>
    <row r="155" spans="2:14">
      <c r="B155" s="466"/>
      <c r="N155" s="380"/>
    </row>
    <row r="156" spans="2:14">
      <c r="B156" s="466"/>
      <c r="C156" t="s">
        <v>182</v>
      </c>
      <c r="N156" s="380"/>
    </row>
    <row r="157" spans="2:14">
      <c r="B157" s="466"/>
      <c r="D157" s="383"/>
      <c r="N157" s="380"/>
    </row>
    <row r="158" spans="2:14">
      <c r="B158" s="466"/>
      <c r="D158" s="383"/>
      <c r="N158" s="380"/>
    </row>
    <row r="159" spans="2:14" ht="15.2">
      <c r="B159" s="467"/>
      <c r="C159" s="377"/>
      <c r="D159" s="377"/>
      <c r="E159" s="377"/>
      <c r="F159" s="377"/>
      <c r="G159" s="377"/>
      <c r="H159" s="377"/>
      <c r="I159" s="377"/>
      <c r="J159" s="377"/>
      <c r="K159" s="377"/>
      <c r="L159" s="377"/>
      <c r="M159" s="377"/>
      <c r="N159" s="381"/>
    </row>
    <row r="396" spans="3:3">
      <c r="C396" s="26" t="s">
        <v>183</v>
      </c>
    </row>
    <row r="397" spans="3:3">
      <c r="C397" t="s">
        <v>184</v>
      </c>
    </row>
    <row r="398" spans="3:3">
      <c r="C398" t="s">
        <v>185</v>
      </c>
    </row>
    <row r="399" spans="3:3">
      <c r="C399" t="s">
        <v>186</v>
      </c>
    </row>
  </sheetData>
  <mergeCells count="25">
    <mergeCell ref="B135:B145"/>
    <mergeCell ref="B147:B152"/>
    <mergeCell ref="B154:B159"/>
    <mergeCell ref="B88:B98"/>
    <mergeCell ref="B100:B108"/>
    <mergeCell ref="B110:B118"/>
    <mergeCell ref="B120:B125"/>
    <mergeCell ref="B128:B133"/>
    <mergeCell ref="B4:B8"/>
    <mergeCell ref="B10:B14"/>
    <mergeCell ref="B16:B34"/>
    <mergeCell ref="B37:B53"/>
    <mergeCell ref="B56:B86"/>
    <mergeCell ref="E143:G143"/>
    <mergeCell ref="H143:J143"/>
    <mergeCell ref="K143:M143"/>
    <mergeCell ref="E144:G144"/>
    <mergeCell ref="H144:J144"/>
    <mergeCell ref="K144:M144"/>
    <mergeCell ref="E141:G141"/>
    <mergeCell ref="H141:J141"/>
    <mergeCell ref="K141:M141"/>
    <mergeCell ref="E142:G142"/>
    <mergeCell ref="H142:J142"/>
    <mergeCell ref="K142:M14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T95"/>
  <sheetViews>
    <sheetView showGridLines="0" topLeftCell="B1" workbookViewId="0">
      <pane xSplit="5" ySplit="7" topLeftCell="M19" activePane="bottomRight" state="frozen"/>
      <selection pane="bottomRight" activeCell="P24" sqref="P24"/>
      <selection pane="bottomLeft"/>
      <selection pane="topRight"/>
    </sheetView>
  </sheetViews>
  <sheetFormatPr defaultColWidth="9.125" defaultRowHeight="14.45"/>
  <cols>
    <col min="1" max="1" width="7.875" style="304" customWidth="1"/>
    <col min="2" max="2" width="4.375" style="304" customWidth="1"/>
    <col min="3" max="3" width="4" style="305" customWidth="1"/>
    <col min="4" max="4" width="35.875" style="305" customWidth="1"/>
    <col min="5" max="5" width="8" style="303" customWidth="1"/>
    <col min="6" max="6" width="11.875" style="305" hidden="1" customWidth="1"/>
    <col min="7" max="7" width="10.25" style="305" customWidth="1"/>
    <col min="8" max="8" width="10.375" style="1" customWidth="1"/>
    <col min="9" max="9" width="11.125" style="305" customWidth="1"/>
    <col min="10" max="10" width="11.75" style="305" customWidth="1"/>
    <col min="11" max="11" width="10.375" style="305" customWidth="1"/>
    <col min="12" max="12" width="9" style="305" customWidth="1"/>
    <col min="13" max="13" width="8.875" style="301" customWidth="1"/>
    <col min="14" max="14" width="10.75" style="305" customWidth="1"/>
    <col min="15" max="15" width="9" style="305" customWidth="1"/>
    <col min="16" max="16" width="22" style="305" customWidth="1"/>
    <col min="17" max="17" width="18.125" style="305" customWidth="1"/>
    <col min="18" max="18" width="15.25" style="305" customWidth="1"/>
    <col min="19" max="19" width="13.625" style="305" customWidth="1"/>
    <col min="20" max="16384" width="9.125" style="305"/>
  </cols>
  <sheetData>
    <row r="2" spans="1:20" ht="15.2"/>
    <row r="3" spans="1:20" ht="15.2">
      <c r="G3" s="468" t="s">
        <v>103</v>
      </c>
      <c r="H3" s="469"/>
      <c r="I3" s="351" t="s">
        <v>187</v>
      </c>
    </row>
    <row r="4" spans="1:20" ht="15.2" hidden="1">
      <c r="G4" s="468" t="s">
        <v>188</v>
      </c>
      <c r="H4" s="469"/>
      <c r="I4" s="352" t="str">
        <f>IF(I5="","",TEXT(I5,"MMM-YY"))</f>
        <v>Oct-22</v>
      </c>
    </row>
    <row r="5" spans="1:20">
      <c r="G5" s="468" t="s">
        <v>188</v>
      </c>
      <c r="H5" s="469"/>
      <c r="I5" s="353">
        <v>44835</v>
      </c>
    </row>
    <row r="7" spans="1:20" s="301" customFormat="1" ht="42" customHeight="1">
      <c r="A7" s="304"/>
      <c r="B7" s="304"/>
      <c r="C7" s="306"/>
      <c r="D7" s="307" t="s">
        <v>189</v>
      </c>
      <c r="E7" s="308" t="s">
        <v>190</v>
      </c>
      <c r="F7" s="308" t="s">
        <v>191</v>
      </c>
      <c r="G7" s="307" t="s">
        <v>192</v>
      </c>
      <c r="H7" s="307" t="s">
        <v>193</v>
      </c>
      <c r="I7" s="307" t="s">
        <v>194</v>
      </c>
      <c r="J7" s="308" t="s">
        <v>170</v>
      </c>
      <c r="K7" s="307" t="s">
        <v>66</v>
      </c>
      <c r="L7" s="307" t="s">
        <v>67</v>
      </c>
      <c r="M7" s="307" t="s">
        <v>68</v>
      </c>
      <c r="N7" s="307" t="s">
        <v>69</v>
      </c>
      <c r="O7" s="307" t="s">
        <v>195</v>
      </c>
      <c r="P7" s="307" t="s">
        <v>196</v>
      </c>
      <c r="Q7" s="307" t="s">
        <v>197</v>
      </c>
      <c r="R7" s="307" t="s">
        <v>183</v>
      </c>
      <c r="S7" s="368"/>
      <c r="T7" s="368" t="s">
        <v>198</v>
      </c>
    </row>
    <row r="8" spans="1:20">
      <c r="B8" s="309" t="s">
        <v>199</v>
      </c>
      <c r="C8" s="310" t="s">
        <v>200</v>
      </c>
      <c r="D8" s="311" t="s">
        <v>201</v>
      </c>
      <c r="E8" s="312" t="s">
        <v>202</v>
      </c>
      <c r="F8" s="313"/>
      <c r="G8" s="313">
        <v>7.0000000000000007E-2</v>
      </c>
      <c r="H8" s="314">
        <v>7.0000000000000007E-2</v>
      </c>
      <c r="I8" s="313">
        <v>-0.1</v>
      </c>
      <c r="J8" s="354">
        <f>IFERROR(AVERAGEIFS(Table1[Schedule Variation (%)],Table1[Release Name],$I$3),"")</f>
        <v>0</v>
      </c>
      <c r="K8" s="354">
        <f>IFERROR(AVERAGEIFS(Table1[Schedule Variation (%)],Table1[Maintenance Type],K7,Table1[Release Name],$I$3),"")</f>
        <v>0</v>
      </c>
      <c r="L8" s="354">
        <f>IFERROR(AVERAGEIFS(Table1[Schedule Variation (%)],Table1[Maintenance Type],L7,Table1[Release Name],$I$3),"")</f>
        <v>0</v>
      </c>
      <c r="M8" s="354" t="str">
        <f>IFERROR(AVERAGEIFS(Table1[Schedule Variation (%)],Table1[Maintenance Type],M7,Table1[Release Name],$I$3),"")</f>
        <v/>
      </c>
      <c r="N8" s="354" t="str">
        <f>IFERROR(AVERAGEIFS(Table1[Schedule Variation (%)],Table1[Maintenance Type],N7,Table1[Release Name],$I$3),"")</f>
        <v/>
      </c>
      <c r="O8" s="313">
        <v>0.1</v>
      </c>
      <c r="P8" s="355"/>
      <c r="Q8" s="369"/>
      <c r="R8" s="370"/>
      <c r="S8" s="220" t="str">
        <f>IFERROR(IF(AND(J8="",K8="",L8="",M8="",N8=""),"",IF(OR(OR((J8&gt;H8),(K8&gt;H8),(L8&gt;H8),(M8&gt;H8),(N8&gt;H8)),OR((J8&lt;I8),(K8&lt;I8),(L8&lt;I8),(M8&lt;I8),(N8&lt;I8))),IF(OR(P8="",Q8=""),"&lt;----- Please provide the Root cause and Corrective action",""),"")),"")</f>
        <v>&lt;----- Please provide the Root cause and Corrective action</v>
      </c>
      <c r="T8" s="371" t="s">
        <v>203</v>
      </c>
    </row>
    <row r="9" spans="1:20">
      <c r="A9" s="315"/>
      <c r="B9" s="309" t="s">
        <v>204</v>
      </c>
      <c r="C9" s="310" t="s">
        <v>205</v>
      </c>
      <c r="D9" s="311" t="s">
        <v>206</v>
      </c>
      <c r="E9" s="313" t="s">
        <v>202</v>
      </c>
      <c r="F9" s="313"/>
      <c r="G9" s="313">
        <v>7.0000000000000007E-2</v>
      </c>
      <c r="H9" s="314">
        <v>7.0000000000000007E-2</v>
      </c>
      <c r="I9" s="313">
        <v>-0.1</v>
      </c>
      <c r="J9" s="354">
        <f>IFERROR((SUMIFS(Table1[Actual Effort (Hours)],Table1[Release Name],I3)-SUMIFS(Table1[Estimated Effort (Hours)],Table1[Release Name],I3))/SUMIFS(Table1[Estimated Effort (Hours)],Table1[Release Name],I3),"")</f>
        <v>0</v>
      </c>
      <c r="K9" s="354">
        <f>IFERROR(((SUMIFS(Table1[Actual Effort (Hours)],Table1[Release Name],I3,Table1[Maintenance Type],K7))-(SUMIFS(Table1[Estimated Effort (Hours)],Table1[Release Name],I3,Table1[Maintenance Type],K7)))/((SUMIFS(Table1[Estimated Effort (Hours)],Table1[Release Name],I3,Table1[Maintenance Type],K7))),"")</f>
        <v>0</v>
      </c>
      <c r="L9" s="354">
        <f>IFERROR(((SUMIFS(Table1[Actual Effort (Hours)],Table1[Release Name],I3,Table1[Maintenance Type],L7))-(SUMIFS(Table1[Estimated Effort (Hours)],Table1[Release Name],I3,Table1[Maintenance Type],L7)))/((SUMIFS(Table1[Estimated Effort (Hours)],Table1[Release Name],I3,Table1[Maintenance Type],L7))),"")</f>
        <v>0</v>
      </c>
      <c r="M9" s="354" t="str">
        <f>IFERROR(((SUMIFS(Table1[Actual Effort (Hours)],Table1[Release Name],I3,Table1[Maintenance Type],M7))-(SUMIFS(Table1[Estimated Effort (Hours)],Table1[Release Name],I3,Table1[Maintenance Type],M7)))/((SUMIFS(Table1[Estimated Effort (Hours)],Table1[Release Name],I3,Table1[Maintenance Type],M7))),"")</f>
        <v/>
      </c>
      <c r="N9" s="354" t="str">
        <f>IFERROR(((SUMIFS(Table1[Actual Effort (Hours)],Table1[Release Name],I3,Table1[Maintenance Type],N7))-(SUMIFS(Table1[Estimated Effort (Hours)],Table1[Release Name],I3,Table1[Maintenance Type],N7)))/((SUMIFS(Table1[Estimated Effort (Hours)],Table1[Release Name],I3,Table1[Maintenance Type],N7))),"")</f>
        <v/>
      </c>
      <c r="O9" s="313">
        <v>0.1</v>
      </c>
      <c r="P9" s="355"/>
      <c r="Q9" s="369"/>
      <c r="R9" s="370"/>
      <c r="S9" s="220" t="str">
        <f>IFERROR(IF(AND(J9="",K9="",L9="",M9="",N9=""),"",IF(OR(OR((J9&gt;H9),(K9&gt;H9),(L9&gt;H9),(M9&gt;H9),(N9&gt;H9)),OR((J9&lt;I9),(K9&lt;I9),(L9&lt;I9),(M9&lt;I9),(N9&lt;I9))),IF(OR(P9="",Q9=""),"&lt;----- Please provide the Root cause and Corrective action",""),"")),"")</f>
        <v>&lt;----- Please provide the Root cause and Corrective action</v>
      </c>
      <c r="T9" s="371" t="s">
        <v>203</v>
      </c>
    </row>
    <row r="10" spans="1:20">
      <c r="A10" s="315"/>
      <c r="B10" s="309" t="s">
        <v>207</v>
      </c>
      <c r="C10" s="310" t="s">
        <v>208</v>
      </c>
      <c r="D10" s="311" t="s">
        <v>209</v>
      </c>
      <c r="E10" s="316" t="s">
        <v>210</v>
      </c>
      <c r="F10" s="316"/>
      <c r="G10" s="313">
        <v>0.95</v>
      </c>
      <c r="H10" s="314">
        <v>0.95</v>
      </c>
      <c r="I10" s="316">
        <v>0.8</v>
      </c>
      <c r="J10" s="356">
        <f>IFERROR(SUMIFS('L''d Factor'!J32:J942,'L''d Factor'!I32:I942,'Metric Dashboard'!I4)/SUMIFS('L''d Factor'!K32:K942,'L''d Factor'!I32:I942,'Metric Dashboard'!I4),"")</f>
        <v>1</v>
      </c>
      <c r="K10" s="470"/>
      <c r="L10" s="470"/>
      <c r="M10" s="470"/>
      <c r="N10" s="470"/>
      <c r="O10" s="316">
        <v>1</v>
      </c>
      <c r="P10" s="355"/>
      <c r="Q10" s="369"/>
      <c r="R10" s="370"/>
      <c r="S10" s="220" t="str">
        <f>IFERROR(IF(J10="","",IF(AND(OR(J10&lt;H10,J10&gt;O10),OR(K10="",L10="")),"&lt;----- Please provide the Root cause and Corrective action","")),"")</f>
        <v/>
      </c>
      <c r="T10" s="371" t="s">
        <v>203</v>
      </c>
    </row>
    <row r="11" spans="1:20" s="302" customFormat="1">
      <c r="A11" s="315"/>
      <c r="B11" s="309" t="s">
        <v>211</v>
      </c>
      <c r="C11" s="310" t="s">
        <v>212</v>
      </c>
      <c r="D11" s="311" t="s">
        <v>213</v>
      </c>
      <c r="E11" s="316" t="s">
        <v>210</v>
      </c>
      <c r="F11" s="316"/>
      <c r="G11" s="317">
        <v>1</v>
      </c>
      <c r="H11" s="318">
        <v>1</v>
      </c>
      <c r="I11" s="317">
        <v>1</v>
      </c>
      <c r="J11" s="357">
        <f>IFERROR((SUMIFS(Table47[Initial No. of Requirements],Table47[Release Name],I3)+SUMIFS(Table47[Modified Requirements( Added / Deleted /Modified)],Table47[Release Name],I3))/SUMIFS(Table47[Initial No. of Requirements],Table47[Release Name],I3),"")</f>
        <v>1.1111111111111112</v>
      </c>
      <c r="K11" s="358"/>
      <c r="L11" s="358"/>
      <c r="M11" s="357">
        <f>IFERROR((SUMIFS(Table47[Initial No. of Requirements],Table47[Release Name],I3,Table47[Maintenance Type],M7)+SUMIFS(Table47[Modified Requirements( Added / Deleted /Modified)],Table47[Release Name],I3,Table47[Maintenance Type],M7))/SUMIFS(Table47[Initial No. of Requirements],Table47[Release Name],I3,Table47[Maintenance Type],M7),"")</f>
        <v>1.1111111111111112</v>
      </c>
      <c r="N11" s="357" t="str">
        <f>IFERROR((SUMIFS(Table47[Initial No. of Requirements],Table47[Release Name],I3,Table47[Maintenance Type],N7)+SUMIFS(Table47[Modified Requirements( Added / Deleted /Modified)],Table47[Release Name],I3,Table47[Maintenance Type],N7))/SUMIFS(Table47[Initial No. of Requirements],Table47[Release Name],I3,Table47[Maintenance Type],N7),"")</f>
        <v/>
      </c>
      <c r="O11" s="317">
        <v>1.5</v>
      </c>
      <c r="P11" s="355"/>
      <c r="Q11" s="369"/>
      <c r="R11" s="370"/>
      <c r="S11" s="220" t="str">
        <f>IFERROR(IF(AND(J11="",M11="",N11=""),"",IF(OR(J11&lt;&gt;H11,M11&lt;&gt;H11,N11&lt;&gt;H11),IF(OR(P11="",Q11=""),"&lt;----- Please provide the Root cause and Corrective action",""),"")),"")</f>
        <v>&lt;----- Please provide the Root cause and Corrective action</v>
      </c>
      <c r="T11" s="371" t="s">
        <v>203</v>
      </c>
    </row>
    <row r="12" spans="1:20">
      <c r="A12" s="315"/>
      <c r="B12" s="309" t="s">
        <v>214</v>
      </c>
      <c r="C12" s="310" t="s">
        <v>215</v>
      </c>
      <c r="D12" s="311" t="s">
        <v>216</v>
      </c>
      <c r="E12" s="316" t="s">
        <v>202</v>
      </c>
      <c r="F12" s="316"/>
      <c r="G12" s="316">
        <v>0.05</v>
      </c>
      <c r="H12" s="314">
        <v>0.05</v>
      </c>
      <c r="I12" s="316">
        <v>0.01</v>
      </c>
      <c r="J12" s="359">
        <f>IFERROR(IF(SUMIFS(Table3[Hours Worked],Table3[Release Name],I3,Table3[Task Type],"Rework")&gt;0,SUMIFS(Table3[Hours Worked],Table3[Release Name],I3,Table3[Task Type],"Rework")/VLOOKUP(I3,Table7[],2,FALSE),""),"")</f>
        <v>3.2679738562091505E-2</v>
      </c>
      <c r="K12" s="359" t="str">
        <f>IFERROR(IF(COUNTIFS(Table10[Release Name],'Metric Dashboard'!I3,Table10[Maintenance Type],'Metric Dashboard'!K7)&gt;0,SUMIFS(Table10[% of Rework],Table10[Release Name],'Metric Dashboard'!I3,Table10[Maintenance Type],'Metric Dashboard'!K7),""),"")</f>
        <v/>
      </c>
      <c r="L12" s="359" t="str">
        <f>IFERROR(IF(COUNTIFS(Table10[Release Name],'Metric Dashboard'!I3,Table10[Maintenance Type],'Metric Dashboard'!L7)&gt;0,SUMIFS(Table10[% of Rework],Table10[Release Name],'Metric Dashboard'!I3,Table10[Maintenance Type],'Metric Dashboard'!L7),""),"")</f>
        <v/>
      </c>
      <c r="M12" s="359">
        <f>IFERROR(IF(COUNTIFS(Table10[Release Name],'Metric Dashboard'!I3,Table10[Maintenance Type],'Metric Dashboard'!M7)&gt;0,SUMIFS(Table10[% of Rework],Table10[Release Name],'Metric Dashboard'!I3,Table10[Maintenance Type],'Metric Dashboard'!M7),""),"")</f>
        <v>0</v>
      </c>
      <c r="N12" s="359" t="str">
        <f>IFERROR(IF(COUNTIFS(Table10[Release Name],'Metric Dashboard'!I3,Table10[Maintenance Type],'Metric Dashboard'!N7)&gt;0,SUMIFS(Table10[% of Rework],Table10[Release Name],'Metric Dashboard'!I3,Table10[Maintenance Type],'Metric Dashboard'!N7),""),"")</f>
        <v/>
      </c>
      <c r="O12" s="316">
        <v>7.0000000000000007E-2</v>
      </c>
      <c r="P12" s="355"/>
      <c r="Q12" s="369"/>
      <c r="R12" s="370"/>
      <c r="S12" s="220" t="str">
        <f>IFERROR(IF(AND(J12="",K12="",L12="",M12="",N12=""),"",IF(OR((J12&gt;H12),(K12&gt;H12),(L12&gt;H12),(M12&gt;H12),(N12&gt;H12)),IF(OR(P12="",Q12=""),"&lt;----- Please provide the Root cause and Corrective action",""),"")),"")</f>
        <v>&lt;----- Please provide the Root cause and Corrective action</v>
      </c>
      <c r="T12" s="371" t="s">
        <v>203</v>
      </c>
    </row>
    <row r="13" spans="1:20" ht="16.5">
      <c r="A13" s="315"/>
      <c r="B13" s="309" t="s">
        <v>217</v>
      </c>
      <c r="C13" s="310" t="s">
        <v>218</v>
      </c>
      <c r="D13" s="311" t="s">
        <v>219</v>
      </c>
      <c r="E13" s="316" t="s">
        <v>202</v>
      </c>
      <c r="F13" s="316"/>
      <c r="G13" s="316">
        <v>0.05</v>
      </c>
      <c r="H13" s="314">
        <v>0.05</v>
      </c>
      <c r="I13" s="316">
        <v>0.01</v>
      </c>
      <c r="J13" s="359" t="str">
        <f>IFERROR(IF(SUMIFS(Table3[Hours Worked],Table3[Release Name],I3,Table3[Task Type],"Review")&gt;0,SUMIFS(Table3[Hours Worked],Table3[Release Name],I3,Table3[Task Type],"Review")/VLOOKUP(I3,Table7[],2,FALSE),""),"")</f>
        <v/>
      </c>
      <c r="K13" s="358"/>
      <c r="L13" s="359" t="str">
        <f>IFERROR(IF(COUNTIFS(Table10[Release Name],'Metric Dashboard'!I3,Table10[Maintenance Type],'Metric Dashboard'!L7)&gt;0,SUMIFS(Table10[% of Review],Table10[Release Name],'Metric Dashboard'!I3,Table10[Maintenance Type],'Metric Dashboard'!L7),""),"")</f>
        <v/>
      </c>
      <c r="M13" s="359">
        <f>IFERROR(IF(COUNTIFS(Table10[Release Name],'Metric Dashboard'!I3,Table10[Maintenance Type],'Metric Dashboard'!M7)&gt;0,SUMIFS(Table10[% of Review],Table10[Release Name],'Metric Dashboard'!I3,Table10[Maintenance Type],'Metric Dashboard'!M7),""),"")</f>
        <v>0</v>
      </c>
      <c r="N13" s="359" t="str">
        <f>IFERROR(IF(COUNTIFS(Table10[Release Name],'Metric Dashboard'!I3,Table10[Maintenance Type],'Metric Dashboard'!N7)&gt;0,SUMIFS(Table10[% of Review],Table10[Release Name],'Metric Dashboard'!I3,Table10[Maintenance Type],'Metric Dashboard'!N7),""),"")</f>
        <v/>
      </c>
      <c r="O13" s="316">
        <v>7.0000000000000007E-2</v>
      </c>
      <c r="P13" s="355" t="s">
        <v>220</v>
      </c>
      <c r="Q13" s="369" t="s">
        <v>221</v>
      </c>
      <c r="R13" s="370" t="s">
        <v>186</v>
      </c>
      <c r="S13" s="220" t="str">
        <f>IFERROR(IF(AND(J13="",K13="",L13="",M13="",N13=""),"",IF(OR((J13&gt;H13),(K13&gt;H13),(L13&gt;H13),(M13&gt;H13),(N13&gt;H13)),IF(OR(P13="",Q13=""),"&lt;----- Please provide the Root cause and Corrective action",""),"")),"")</f>
        <v/>
      </c>
      <c r="T13" s="371" t="s">
        <v>203</v>
      </c>
    </row>
    <row r="14" spans="1:20" ht="16.5">
      <c r="A14" s="315"/>
      <c r="B14" s="309" t="s">
        <v>222</v>
      </c>
      <c r="C14" s="310" t="s">
        <v>223</v>
      </c>
      <c r="D14" s="311" t="s">
        <v>224</v>
      </c>
      <c r="E14" s="316" t="s">
        <v>202</v>
      </c>
      <c r="F14" s="316"/>
      <c r="G14" s="316">
        <v>0.08</v>
      </c>
      <c r="H14" s="314">
        <v>0.08</v>
      </c>
      <c r="I14" s="316">
        <v>0.05</v>
      </c>
      <c r="J14" s="359">
        <f>IFERROR(IF(SUMIFS(Table3[Hours Worked],Table3[Release Name],I3,Table3[Task Type],"Project Management")&gt;0,SUMIFS(Table3[Hours Worked],Table3[Release Name],I3,Table3[Task Type],"Project Management")/VLOOKUP(I3,Table7[],2,FALSE),""),"")</f>
        <v>0.28758169934640521</v>
      </c>
      <c r="K14" s="471"/>
      <c r="L14" s="471"/>
      <c r="M14" s="471"/>
      <c r="N14" s="471"/>
      <c r="O14" s="316">
        <v>0.1</v>
      </c>
      <c r="P14" s="355"/>
      <c r="Q14" s="369"/>
      <c r="R14" s="370" t="s">
        <v>185</v>
      </c>
      <c r="S14" s="220" t="str">
        <f>IFERROR(IF(J14="","",IF(J14&gt;H14,IF(OR(P14="",Q14=""),"&lt;----- Please provide the Root cause and Corrective action",""),"")),"")</f>
        <v>&lt;----- Please provide the Root cause and Corrective action</v>
      </c>
      <c r="T14" s="371" t="s">
        <v>203</v>
      </c>
    </row>
    <row r="15" spans="1:20">
      <c r="A15" s="315"/>
      <c r="B15" s="309" t="s">
        <v>225</v>
      </c>
      <c r="C15" s="310" t="s">
        <v>226</v>
      </c>
      <c r="D15" s="311" t="s">
        <v>227</v>
      </c>
      <c r="E15" s="316" t="s">
        <v>202</v>
      </c>
      <c r="F15" s="316"/>
      <c r="G15" s="316">
        <v>0.02</v>
      </c>
      <c r="H15" s="314">
        <v>0.02</v>
      </c>
      <c r="I15" s="316">
        <v>0.01</v>
      </c>
      <c r="J15" s="359" t="str">
        <f>IFERROR(IF(SUMIFS(Table3[Hours Worked],Table3[Release Name],I3,Table3[Task Type],"Configuration Management")&gt;0,SUMIFS(Table3[Hours Worked],Table3[Release Name],I3,Table3[Task Type],"Configuration Management")/VLOOKUP(I3,Table7[],2,FALSE),""),"")</f>
        <v/>
      </c>
      <c r="K15" s="471"/>
      <c r="L15" s="471"/>
      <c r="M15" s="471"/>
      <c r="N15" s="471"/>
      <c r="O15" s="316">
        <v>0.03</v>
      </c>
      <c r="P15" s="355"/>
      <c r="Q15" s="369"/>
      <c r="R15" s="370"/>
      <c r="S15" s="220" t="str">
        <f>IFERROR(IF(J15="","",IF(J15&gt;H15,IF(OR(P15="",Q15=""),"&lt;----- Please provide the Root cause and Corrective action",""),"")),"")</f>
        <v/>
      </c>
      <c r="T15" s="371" t="s">
        <v>203</v>
      </c>
    </row>
    <row r="16" spans="1:20">
      <c r="A16" s="315"/>
      <c r="B16" s="309" t="s">
        <v>228</v>
      </c>
      <c r="C16" s="310" t="s">
        <v>229</v>
      </c>
      <c r="D16" s="319" t="s">
        <v>230</v>
      </c>
      <c r="E16" s="316" t="s">
        <v>202</v>
      </c>
      <c r="F16" s="316"/>
      <c r="G16" s="316">
        <v>0.05</v>
      </c>
      <c r="H16" s="314">
        <v>0.05</v>
      </c>
      <c r="I16" s="316">
        <v>0</v>
      </c>
      <c r="J16" s="359" t="str">
        <f>IFERROR(VLOOKUP(I3,'Measurement Values'!I25:AO59,33,FALSE),"")</f>
        <v/>
      </c>
      <c r="K16" s="471"/>
      <c r="L16" s="471"/>
      <c r="M16" s="471"/>
      <c r="N16" s="471"/>
      <c r="O16" s="316">
        <v>7.0000000000000007E-2</v>
      </c>
      <c r="P16" s="355"/>
      <c r="Q16" s="369"/>
      <c r="R16" s="370"/>
      <c r="S16" s="220" t="str">
        <f>IFERROR(IF(J16="","",IF(J16&gt;H16,IF(OR(P16="",Q16=""),"&lt;----- Please provide the Root cause and Corrective action",""),"")),"")</f>
        <v/>
      </c>
      <c r="T16" s="371" t="s">
        <v>203</v>
      </c>
    </row>
    <row r="17" spans="1:20">
      <c r="A17" s="315"/>
      <c r="B17" s="309" t="s">
        <v>231</v>
      </c>
      <c r="C17" s="310"/>
      <c r="D17" s="412" t="s">
        <v>232</v>
      </c>
      <c r="E17" s="413" t="s">
        <v>202</v>
      </c>
      <c r="F17" s="413"/>
      <c r="G17" s="413">
        <v>0.1</v>
      </c>
      <c r="H17" s="314">
        <v>0.1</v>
      </c>
      <c r="I17" s="413">
        <v>0</v>
      </c>
      <c r="J17" s="414" t="str">
        <f>IFERROR('Measurement Values'!U20,"")</f>
        <v/>
      </c>
      <c r="K17" s="471"/>
      <c r="L17" s="471"/>
      <c r="M17" s="471"/>
      <c r="N17" s="471"/>
      <c r="O17" s="413">
        <v>0.2</v>
      </c>
      <c r="P17" s="355"/>
      <c r="Q17" s="369"/>
      <c r="R17" s="370"/>
      <c r="S17" s="220" t="str">
        <f>IFERROR(IF(J17="","",IF(J17&gt;H17,IF(OR(P17="",Q17=""),"&lt;----- Please provide the Root cause and Corrective action",""),"")),"")</f>
        <v/>
      </c>
      <c r="T17" s="371" t="s">
        <v>203</v>
      </c>
    </row>
    <row r="18" spans="1:20" ht="21">
      <c r="A18" s="315"/>
      <c r="B18" s="309" t="s">
        <v>233</v>
      </c>
      <c r="C18" s="320"/>
      <c r="D18" s="415" t="s">
        <v>234</v>
      </c>
      <c r="E18" s="413" t="s">
        <v>235</v>
      </c>
      <c r="F18" s="413"/>
      <c r="G18" s="416" t="s">
        <v>236</v>
      </c>
      <c r="H18" s="321" t="s">
        <v>236</v>
      </c>
      <c r="I18" s="416" t="s">
        <v>236</v>
      </c>
      <c r="J18" s="417" t="str">
        <f>IFERROR(IF(SUMIFS(Table1[Size],Table1[Release Name],I3)&gt;0,SUMIFS(Table1[Size],Table1[Release Name],I3)/SUMIFS(Table1[Actual Effort (Hours)],Table1[Release Name],I3),""),"")</f>
        <v/>
      </c>
      <c r="K18" s="417" t="str">
        <f>IFERROR(IF(SUMIFS(Table1[Size],Table1[Release Name],I3,Table1[Maintenance Type],K7)&gt;0,SUMIFS(Table1[Size],Table1[Release Name],I3,Table1[Maintenance Type],K7)/SUMIFS(Table1[Actual Effort (Hours)],Table1[Release Name],I3,Table1[Maintenance Type],K7),""),"")</f>
        <v/>
      </c>
      <c r="L18" s="417" t="str">
        <f>IFERROR(IF(SUMIFS(Table1[Size],Table1[Release Name],I3,Table1[Maintenance Type],L7)&gt;0,SUMIFS(Table1[Size],Table1[Release Name],I3,Table1[Maintenance Type],L7)/SUMIFS(Table1[Actual Effort (Hours)],Table1[Release Name],I3,Table1[Maintenance Type],L7),""),"")</f>
        <v/>
      </c>
      <c r="M18" s="417" t="str">
        <f>IFERROR(IF(SUMIFS(Table1[Size],Table1[Release Name],I3,Table1[Maintenance Type],M7)&gt;0,SUMIFS(Table1[Size],Table1[Release Name],I3,Table1[Maintenance Type],M7)/SUMIFS(Table1[Actual Effort (Hours)],Table1[Release Name],I3,Table1[Maintenance Type],M7),""),"")</f>
        <v/>
      </c>
      <c r="N18" s="417" t="str">
        <f>IFERROR(IF(SUMIFS(Table1[Size],Table1[Release Name],I3,Table1[Maintenance Type],N7)&gt;0,SUMIFS(Table1[Size],Table1[Release Name],I3,Table1[Maintenance Type],N7)/SUMIFS(Table1[Actual Effort (Hours)],Table1[Release Name],I3,Table1[Maintenance Type],N7),""),"")</f>
        <v/>
      </c>
      <c r="O18" s="416" t="s">
        <v>236</v>
      </c>
      <c r="P18" s="355"/>
      <c r="Q18" s="369"/>
      <c r="R18" s="370"/>
      <c r="S18" s="220" t="str">
        <f>IFERROR(IF(AND(J18="",K18="",L18="",M18="",N18=""),"",IF(OR((J18&lt;H18),(K18&lt;H18),(L18&lt;H18),(M18&lt;H18),(N18&lt;H18)),IF(OR(P18="",Q18=""),"&lt;----- Please provide the Root cause and Corrective action",""),"")),"")</f>
        <v/>
      </c>
      <c r="T18" s="371" t="s">
        <v>203</v>
      </c>
    </row>
    <row r="19" spans="1:20" ht="23.25" customHeight="1">
      <c r="A19" s="315"/>
      <c r="B19" s="309" t="s">
        <v>237</v>
      </c>
      <c r="C19" s="310"/>
      <c r="D19" s="418" t="s">
        <v>238</v>
      </c>
      <c r="E19" s="419" t="s">
        <v>202</v>
      </c>
      <c r="F19" s="416" t="s">
        <v>239</v>
      </c>
      <c r="G19" s="419">
        <v>0.39</v>
      </c>
      <c r="H19" s="322">
        <v>0.39</v>
      </c>
      <c r="I19" s="419">
        <v>0.32</v>
      </c>
      <c r="J19" s="417">
        <f>IFERROR(VLOOKUP(I3,'Measurement Values'!I25:AN59,22,FALSE),"")</f>
        <v>0</v>
      </c>
      <c r="K19" s="471"/>
      <c r="L19" s="471"/>
      <c r="M19" s="471"/>
      <c r="N19" s="471"/>
      <c r="O19" s="419">
        <v>0.42</v>
      </c>
      <c r="P19" s="355"/>
      <c r="Q19" s="372"/>
      <c r="R19" s="370"/>
      <c r="S19" s="220" t="str">
        <f>IFERROR(IF(J19="","",IF(J19&gt;H19,IF(OR(P19="",Q19=""),"&lt;----- Please provide the Root cause and Corrective action",""),"")),"")</f>
        <v/>
      </c>
      <c r="T19" s="371" t="s">
        <v>203</v>
      </c>
    </row>
    <row r="20" spans="1:20" ht="17.25" customHeight="1">
      <c r="A20" s="315"/>
      <c r="B20" s="309" t="s">
        <v>240</v>
      </c>
      <c r="C20" s="310"/>
      <c r="D20" s="420" t="s">
        <v>241</v>
      </c>
      <c r="E20" s="421" t="s">
        <v>202</v>
      </c>
      <c r="F20" s="416" t="s">
        <v>242</v>
      </c>
      <c r="G20" s="422">
        <v>0.23</v>
      </c>
      <c r="H20" s="323">
        <v>0.23</v>
      </c>
      <c r="I20" s="422">
        <v>0.19</v>
      </c>
      <c r="J20" s="417" t="str">
        <f>IFERROR(VLOOKUP('Metric Dashboard'!I3,'Measurement Values'!I25:AN59,23,FALSE),"")</f>
        <v/>
      </c>
      <c r="K20" s="471"/>
      <c r="L20" s="471"/>
      <c r="M20" s="471"/>
      <c r="N20" s="471"/>
      <c r="O20" s="422">
        <v>0.27</v>
      </c>
      <c r="P20" s="355"/>
      <c r="Q20" s="373"/>
      <c r="R20" s="370"/>
      <c r="S20" s="220" t="str">
        <f>IFERROR(IF(J20="","",IF(J20&gt;H20,IF(OR(P20="",Q20=""),"&lt;----- Please provide the Root cause and Corrective action",""),"")),"")</f>
        <v/>
      </c>
      <c r="T20" s="371" t="s">
        <v>203</v>
      </c>
    </row>
    <row r="21" spans="1:20">
      <c r="A21" s="315"/>
      <c r="B21" s="309" t="s">
        <v>243</v>
      </c>
      <c r="C21" s="310"/>
      <c r="D21" s="420" t="s">
        <v>244</v>
      </c>
      <c r="E21" s="413" t="s">
        <v>235</v>
      </c>
      <c r="F21" s="413"/>
      <c r="G21" s="413">
        <v>0.9</v>
      </c>
      <c r="H21" s="314">
        <v>0.9</v>
      </c>
      <c r="I21" s="413">
        <v>0.8</v>
      </c>
      <c r="J21" s="414" t="str">
        <f>IFERROR(VLOOKUP(I3,'Measurement Values'!I25:AN59,24,FALSE),"")</f>
        <v/>
      </c>
      <c r="K21" s="471"/>
      <c r="L21" s="471"/>
      <c r="M21" s="471"/>
      <c r="N21" s="471"/>
      <c r="O21" s="413">
        <v>0.97</v>
      </c>
      <c r="P21" s="355"/>
      <c r="Q21" s="369"/>
      <c r="R21" s="370"/>
      <c r="S21" s="220" t="str">
        <f>IFERROR(IF(J21="","",IF(J21&lt;H21,IF(OR(P21="",Q21=""),"&lt;----- Please provide the Root cause and Corrective action",""),"")),"")</f>
        <v/>
      </c>
      <c r="T21" s="371" t="s">
        <v>203</v>
      </c>
    </row>
    <row r="22" spans="1:20" hidden="1">
      <c r="A22" s="315"/>
      <c r="B22" s="309"/>
      <c r="C22" s="310" t="s">
        <v>245</v>
      </c>
      <c r="D22" s="324" t="s">
        <v>246</v>
      </c>
      <c r="E22" s="325" t="s">
        <v>235</v>
      </c>
      <c r="F22" s="325"/>
      <c r="G22" s="325">
        <v>0.9</v>
      </c>
      <c r="H22" s="314">
        <v>0.9</v>
      </c>
      <c r="I22" s="325">
        <v>0.8</v>
      </c>
      <c r="J22" s="360" t="str">
        <f>IFERROR(VLOOKUP(I3,'Measurement Values'!I25:AN59,25,FALSE),"")</f>
        <v/>
      </c>
      <c r="K22" s="471"/>
      <c r="L22" s="471"/>
      <c r="M22" s="471"/>
      <c r="N22" s="471"/>
      <c r="O22" s="325">
        <v>0.97</v>
      </c>
      <c r="P22" s="355"/>
      <c r="Q22" s="369"/>
      <c r="R22" s="370"/>
      <c r="S22" s="220" t="str">
        <f t="shared" ref="S22:S31" si="0">IFERROR(IF(J22="","",IF(J22&lt;H22,IF(OR(P22="",Q22=""),"&lt;----- Please provide the Root cause and Corrective action",""),"")),"")</f>
        <v/>
      </c>
      <c r="T22" s="371" t="s">
        <v>203</v>
      </c>
    </row>
    <row r="23" spans="1:20" hidden="1">
      <c r="A23" s="315"/>
      <c r="B23" s="309"/>
      <c r="C23" s="310" t="s">
        <v>247</v>
      </c>
      <c r="D23" s="324" t="s">
        <v>248</v>
      </c>
      <c r="E23" s="326" t="s">
        <v>235</v>
      </c>
      <c r="F23" s="326"/>
      <c r="G23" s="326">
        <v>0.5</v>
      </c>
      <c r="H23" s="318">
        <v>1</v>
      </c>
      <c r="I23" s="326">
        <v>0.5</v>
      </c>
      <c r="J23" s="361">
        <f>IFERROR(VLOOKUP(I3,'Measurement Values'!I25:AK59,27,FALSE),"")</f>
        <v>0</v>
      </c>
      <c r="K23" s="471"/>
      <c r="L23" s="471"/>
      <c r="M23" s="471"/>
      <c r="N23" s="471"/>
      <c r="O23" s="326">
        <v>1.5</v>
      </c>
      <c r="P23" s="355"/>
      <c r="Q23" s="372"/>
      <c r="R23" s="370"/>
      <c r="S23" s="220" t="str">
        <f t="shared" si="0"/>
        <v>&lt;----- Please provide the Root cause and Corrective action</v>
      </c>
      <c r="T23" s="371" t="s">
        <v>203</v>
      </c>
    </row>
    <row r="24" spans="1:20" ht="16.5">
      <c r="A24" s="315"/>
      <c r="B24" s="309" t="s">
        <v>249</v>
      </c>
      <c r="C24" s="310" t="s">
        <v>250</v>
      </c>
      <c r="D24" s="324" t="s">
        <v>251</v>
      </c>
      <c r="E24" s="326" t="s">
        <v>235</v>
      </c>
      <c r="F24" s="326"/>
      <c r="G24" s="326">
        <v>20</v>
      </c>
      <c r="H24" s="322">
        <v>20</v>
      </c>
      <c r="I24" s="326">
        <v>15</v>
      </c>
      <c r="J24" s="361">
        <f>IFERROR(VLOOKUP(I3,'Measurement Values'!I25:AK59,28,FALSE),"")</f>
        <v>2.4750000000000001</v>
      </c>
      <c r="K24" s="471"/>
      <c r="L24" s="471"/>
      <c r="M24" s="471"/>
      <c r="N24" s="471"/>
      <c r="O24" s="326">
        <v>25</v>
      </c>
      <c r="P24" s="355" t="s">
        <v>252</v>
      </c>
      <c r="Q24" s="369" t="s">
        <v>253</v>
      </c>
      <c r="R24" s="370" t="s">
        <v>185</v>
      </c>
      <c r="S24" s="220" t="str">
        <f t="shared" si="0"/>
        <v/>
      </c>
      <c r="T24" s="371" t="s">
        <v>203</v>
      </c>
    </row>
    <row r="25" spans="1:20">
      <c r="A25" s="315"/>
      <c r="B25" s="309" t="s">
        <v>254</v>
      </c>
      <c r="C25" s="310" t="s">
        <v>255</v>
      </c>
      <c r="D25" s="324" t="s">
        <v>256</v>
      </c>
      <c r="E25" s="326" t="s">
        <v>235</v>
      </c>
      <c r="F25" s="326"/>
      <c r="G25" s="326">
        <v>15</v>
      </c>
      <c r="H25" s="322">
        <v>15</v>
      </c>
      <c r="I25" s="326">
        <v>10</v>
      </c>
      <c r="J25" s="361" t="str">
        <f>IFERROR(VLOOKUP(I3,'Measurement Values'!I25:AK59,29,FALSE),"")</f>
        <v/>
      </c>
      <c r="K25" s="471"/>
      <c r="L25" s="471"/>
      <c r="M25" s="471"/>
      <c r="N25" s="471"/>
      <c r="O25" s="326">
        <v>20</v>
      </c>
      <c r="P25" s="355"/>
      <c r="Q25" s="372"/>
      <c r="R25" s="370"/>
      <c r="S25" s="220" t="str">
        <f t="shared" si="0"/>
        <v/>
      </c>
      <c r="T25" s="371" t="s">
        <v>203</v>
      </c>
    </row>
    <row r="26" spans="1:20" s="303" customFormat="1" ht="21" hidden="1">
      <c r="A26" s="327"/>
      <c r="B26" s="328"/>
      <c r="C26" s="320" t="s">
        <v>257</v>
      </c>
      <c r="D26" s="329" t="s">
        <v>258</v>
      </c>
      <c r="E26" s="330" t="s">
        <v>235</v>
      </c>
      <c r="F26" s="331" t="s">
        <v>239</v>
      </c>
      <c r="G26" s="330">
        <v>0.5</v>
      </c>
      <c r="H26" s="322">
        <v>1</v>
      </c>
      <c r="I26" s="330">
        <v>0.5</v>
      </c>
      <c r="J26" s="362">
        <f>IFERROR(VLOOKUP(I3,'Measurement Values'!I25:AN59,26,FALSE),"")</f>
        <v>0</v>
      </c>
      <c r="K26" s="471"/>
      <c r="L26" s="471"/>
      <c r="M26" s="471"/>
      <c r="N26" s="471"/>
      <c r="O26" s="330">
        <v>1.5</v>
      </c>
      <c r="P26" s="355"/>
      <c r="Q26" s="374"/>
      <c r="R26" s="370"/>
      <c r="S26" s="220" t="str">
        <f t="shared" si="0"/>
        <v>&lt;----- Please provide the Root cause and Corrective action</v>
      </c>
      <c r="T26" s="371" t="s">
        <v>203</v>
      </c>
    </row>
    <row r="27" spans="1:20" hidden="1">
      <c r="A27" s="315"/>
      <c r="B27" s="309"/>
      <c r="C27" s="310" t="s">
        <v>259</v>
      </c>
      <c r="D27" s="332" t="s">
        <v>260</v>
      </c>
      <c r="E27" s="330" t="s">
        <v>235</v>
      </c>
      <c r="F27" s="330"/>
      <c r="G27" s="330">
        <v>5</v>
      </c>
      <c r="H27" s="322">
        <v>5</v>
      </c>
      <c r="I27" s="330">
        <v>3</v>
      </c>
      <c r="J27" s="362" t="str">
        <f>IFERROR(VLOOKUP(I3,'Measurement Values'!I25:AL59,30,FALSE),"")</f>
        <v/>
      </c>
      <c r="K27" s="471"/>
      <c r="L27" s="471"/>
      <c r="M27" s="471"/>
      <c r="N27" s="471"/>
      <c r="O27" s="330">
        <v>7</v>
      </c>
      <c r="P27" s="355"/>
      <c r="Q27" s="372"/>
      <c r="R27" s="370"/>
      <c r="S27" s="220" t="str">
        <f t="shared" si="0"/>
        <v/>
      </c>
      <c r="T27" s="371" t="s">
        <v>203</v>
      </c>
    </row>
    <row r="28" spans="1:20" ht="21" hidden="1">
      <c r="A28" s="315"/>
      <c r="B28" s="309"/>
      <c r="C28" s="310" t="s">
        <v>261</v>
      </c>
      <c r="D28" s="332" t="s">
        <v>262</v>
      </c>
      <c r="E28" s="330" t="s">
        <v>235</v>
      </c>
      <c r="F28" s="331" t="s">
        <v>239</v>
      </c>
      <c r="G28" s="330">
        <v>15</v>
      </c>
      <c r="H28" s="322">
        <v>15</v>
      </c>
      <c r="I28" s="330">
        <v>10</v>
      </c>
      <c r="J28" s="362" t="str">
        <f>IFERROR(VLOOKUP(I3,'Measurement Values'!I25:AM59,31,FALSE),"")</f>
        <v/>
      </c>
      <c r="K28" s="471"/>
      <c r="L28" s="471"/>
      <c r="M28" s="471"/>
      <c r="N28" s="471"/>
      <c r="O28" s="330">
        <v>20</v>
      </c>
      <c r="P28" s="355"/>
      <c r="Q28" s="372"/>
      <c r="R28" s="370"/>
      <c r="S28" s="220" t="str">
        <f t="shared" si="0"/>
        <v/>
      </c>
      <c r="T28" s="371" t="s">
        <v>203</v>
      </c>
    </row>
    <row r="29" spans="1:20" hidden="1">
      <c r="A29" s="315"/>
      <c r="B29" s="309"/>
      <c r="C29" s="310" t="s">
        <v>263</v>
      </c>
      <c r="D29" s="332" t="s">
        <v>264</v>
      </c>
      <c r="E29" s="333" t="s">
        <v>235</v>
      </c>
      <c r="F29" s="331" t="s">
        <v>265</v>
      </c>
      <c r="G29" s="333">
        <v>0.85</v>
      </c>
      <c r="H29" s="314">
        <v>0.85</v>
      </c>
      <c r="I29" s="333">
        <v>0.8</v>
      </c>
      <c r="J29" s="363" t="str">
        <f>IFERROR(VLOOKUP(I3,'Measurement Values'!I25:AN59,32,FALSE),"")</f>
        <v/>
      </c>
      <c r="K29" s="471"/>
      <c r="L29" s="471"/>
      <c r="M29" s="471"/>
      <c r="N29" s="471"/>
      <c r="O29" s="333">
        <v>0.9</v>
      </c>
      <c r="P29" s="355"/>
      <c r="Q29" s="369"/>
      <c r="R29" s="370"/>
      <c r="S29" s="220" t="str">
        <f t="shared" si="0"/>
        <v/>
      </c>
      <c r="T29" s="371" t="s">
        <v>203</v>
      </c>
    </row>
    <row r="30" spans="1:20">
      <c r="A30" s="315"/>
      <c r="B30" s="309" t="s">
        <v>266</v>
      </c>
      <c r="C30" s="310" t="s">
        <v>267</v>
      </c>
      <c r="D30" s="334" t="s">
        <v>268</v>
      </c>
      <c r="E30" s="335" t="s">
        <v>235</v>
      </c>
      <c r="F30" s="335"/>
      <c r="G30" s="336">
        <v>1</v>
      </c>
      <c r="H30" s="314">
        <v>1</v>
      </c>
      <c r="I30" s="336"/>
      <c r="J30" s="364">
        <f>IFERROR(VLOOKUP(I5,'Security Metrics'!C69:I270,6,FALSE),"")</f>
        <v>0</v>
      </c>
      <c r="K30" s="471"/>
      <c r="L30" s="471"/>
      <c r="M30" s="471"/>
      <c r="N30" s="471"/>
      <c r="O30" s="335"/>
      <c r="P30" s="355"/>
      <c r="Q30" s="375"/>
      <c r="R30" s="370"/>
      <c r="S30" s="220" t="str">
        <f t="shared" si="0"/>
        <v>&lt;----- Please provide the Root cause and Corrective action</v>
      </c>
      <c r="T30" s="371" t="s">
        <v>203</v>
      </c>
    </row>
    <row r="31" spans="1:20">
      <c r="A31" s="315"/>
      <c r="B31" s="309" t="s">
        <v>269</v>
      </c>
      <c r="C31" s="310" t="s">
        <v>270</v>
      </c>
      <c r="D31" s="334" t="s">
        <v>271</v>
      </c>
      <c r="E31" s="335" t="s">
        <v>235</v>
      </c>
      <c r="F31" s="335"/>
      <c r="G31" s="336">
        <v>1</v>
      </c>
      <c r="H31" s="314">
        <v>1</v>
      </c>
      <c r="I31" s="336"/>
      <c r="J31" s="364">
        <f>IFERROR(VLOOKUP(I5,'Security Metrics'!C69:I269,7,FALSE),"")</f>
        <v>0</v>
      </c>
      <c r="K31" s="471"/>
      <c r="L31" s="471"/>
      <c r="M31" s="471"/>
      <c r="N31" s="471"/>
      <c r="O31" s="335"/>
      <c r="P31" s="355"/>
      <c r="Q31" s="375"/>
      <c r="R31" s="370"/>
      <c r="S31" s="220" t="str">
        <f t="shared" si="0"/>
        <v>&lt;----- Please provide the Root cause and Corrective action</v>
      </c>
      <c r="T31" s="371" t="s">
        <v>203</v>
      </c>
    </row>
    <row r="32" spans="1:20">
      <c r="A32" s="315"/>
      <c r="B32" s="309" t="s">
        <v>272</v>
      </c>
      <c r="C32" s="310" t="s">
        <v>273</v>
      </c>
      <c r="D32" s="334" t="s">
        <v>274</v>
      </c>
      <c r="E32" s="335" t="s">
        <v>202</v>
      </c>
      <c r="F32" s="335"/>
      <c r="G32" s="335">
        <v>1</v>
      </c>
      <c r="H32" s="337">
        <v>0.01</v>
      </c>
      <c r="I32" s="365">
        <v>0</v>
      </c>
      <c r="J32" s="366" t="str">
        <f>IFERROR(VLOOKUP(I3,'Security Metrics'!L68:O189,4,FALSE),"")</f>
        <v/>
      </c>
      <c r="K32" s="471"/>
      <c r="L32" s="471"/>
      <c r="M32" s="471"/>
      <c r="N32" s="471"/>
      <c r="O32" s="365">
        <v>0.02</v>
      </c>
      <c r="P32" s="355"/>
      <c r="Q32" s="375"/>
      <c r="R32" s="370"/>
      <c r="S32" s="220" t="str">
        <f>IFERROR(IF(J32="","",IF(J32&gt;H32,IF(OR(P32="",Q32=""),"&lt;----- Please provide the Root cause and Corrective action",""),"")),"")</f>
        <v/>
      </c>
      <c r="T32" s="371" t="s">
        <v>203</v>
      </c>
    </row>
    <row r="33" spans="1:15">
      <c r="C33" s="338"/>
      <c r="D33" s="339"/>
      <c r="E33" s="340"/>
      <c r="F33" s="340"/>
      <c r="G33" s="301"/>
      <c r="H33" s="341"/>
      <c r="I33" s="301"/>
      <c r="J33" s="301"/>
      <c r="K33" s="301"/>
      <c r="L33" s="301"/>
      <c r="N33" s="301"/>
      <c r="O33" s="367"/>
    </row>
    <row r="34" spans="1:15">
      <c r="E34" s="301"/>
      <c r="F34" s="301"/>
      <c r="G34" s="301"/>
      <c r="I34" s="301"/>
      <c r="J34" s="301"/>
      <c r="K34" s="301"/>
      <c r="L34" s="301"/>
      <c r="N34" s="301"/>
      <c r="O34" s="367"/>
    </row>
    <row r="35" spans="1:15">
      <c r="C35" s="472" t="s">
        <v>275</v>
      </c>
      <c r="D35" s="473"/>
      <c r="E35" s="474"/>
    </row>
    <row r="36" spans="1:15">
      <c r="C36" s="342"/>
      <c r="D36" s="475" t="s">
        <v>276</v>
      </c>
      <c r="E36" s="475"/>
      <c r="F36" s="301"/>
    </row>
    <row r="37" spans="1:15">
      <c r="C37" s="412"/>
      <c r="D37" s="475" t="s">
        <v>277</v>
      </c>
      <c r="E37" s="475"/>
      <c r="F37" s="301"/>
    </row>
    <row r="38" spans="1:15">
      <c r="A38" s="343"/>
      <c r="B38" s="343"/>
      <c r="C38" s="344"/>
      <c r="D38" s="475" t="s">
        <v>278</v>
      </c>
      <c r="E38" s="475"/>
      <c r="F38" s="301"/>
    </row>
    <row r="39" spans="1:15">
      <c r="A39" s="343"/>
      <c r="B39" s="343"/>
      <c r="C39" s="345"/>
      <c r="D39" s="475" t="s">
        <v>279</v>
      </c>
      <c r="E39" s="475"/>
      <c r="F39" s="301"/>
    </row>
    <row r="40" spans="1:15">
      <c r="A40" s="343"/>
      <c r="B40" s="343"/>
      <c r="C40" s="346" t="s">
        <v>280</v>
      </c>
      <c r="D40" s="475" t="s">
        <v>281</v>
      </c>
      <c r="E40" s="475"/>
      <c r="F40" s="301"/>
    </row>
    <row r="41" spans="1:15">
      <c r="A41" s="343"/>
      <c r="B41" s="343"/>
    </row>
    <row r="42" spans="1:15">
      <c r="A42" s="343"/>
      <c r="B42" s="343"/>
    </row>
    <row r="43" spans="1:15">
      <c r="A43" s="343"/>
      <c r="B43" s="343"/>
      <c r="C43" s="476" t="s">
        <v>282</v>
      </c>
      <c r="D43" s="476"/>
      <c r="E43" s="476"/>
      <c r="F43" s="476"/>
      <c r="G43" s="476"/>
      <c r="H43" s="476"/>
      <c r="I43" s="476"/>
      <c r="J43" s="476"/>
      <c r="K43" s="349"/>
    </row>
    <row r="44" spans="1:15">
      <c r="A44" s="343"/>
      <c r="B44" s="343"/>
      <c r="C44" s="477" t="s">
        <v>283</v>
      </c>
      <c r="D44" s="477"/>
      <c r="E44" s="423"/>
      <c r="F44" s="423"/>
      <c r="G44" s="478" t="s">
        <v>284</v>
      </c>
      <c r="H44" s="478"/>
      <c r="I44" s="478"/>
      <c r="J44" s="478"/>
      <c r="K44" s="349"/>
    </row>
    <row r="45" spans="1:15">
      <c r="A45" s="343"/>
      <c r="B45" s="343"/>
      <c r="C45" s="479" t="s">
        <v>66</v>
      </c>
      <c r="D45" s="479"/>
      <c r="E45" s="347"/>
      <c r="F45" s="347"/>
      <c r="G45" s="480" t="s">
        <v>285</v>
      </c>
      <c r="H45" s="480"/>
      <c r="I45" s="480"/>
      <c r="J45" s="480"/>
      <c r="K45" s="349"/>
    </row>
    <row r="46" spans="1:15">
      <c r="A46" s="343"/>
      <c r="B46" s="343"/>
      <c r="C46" s="479" t="s">
        <v>67</v>
      </c>
      <c r="D46" s="479"/>
      <c r="E46" s="347"/>
      <c r="F46" s="347"/>
      <c r="G46" s="480" t="s">
        <v>286</v>
      </c>
      <c r="H46" s="480"/>
      <c r="I46" s="480"/>
      <c r="J46" s="480"/>
      <c r="K46" s="349"/>
    </row>
    <row r="47" spans="1:15">
      <c r="C47" s="479" t="s">
        <v>68</v>
      </c>
      <c r="D47" s="479"/>
      <c r="E47" s="347"/>
      <c r="F47" s="347"/>
      <c r="G47" s="480" t="s">
        <v>287</v>
      </c>
      <c r="H47" s="480"/>
      <c r="I47" s="480"/>
      <c r="J47" s="480"/>
      <c r="K47" s="349"/>
    </row>
    <row r="48" spans="1:15">
      <c r="C48" s="479" t="s">
        <v>69</v>
      </c>
      <c r="D48" s="479"/>
      <c r="E48" s="347"/>
      <c r="F48" s="347"/>
      <c r="G48" s="480" t="s">
        <v>288</v>
      </c>
      <c r="H48" s="480"/>
      <c r="I48" s="480"/>
      <c r="J48" s="480"/>
      <c r="K48" s="349"/>
    </row>
    <row r="49" spans="3:13">
      <c r="C49" s="479" t="s">
        <v>70</v>
      </c>
      <c r="D49" s="479"/>
      <c r="E49" s="347"/>
      <c r="F49" s="347"/>
      <c r="G49" s="480" t="s">
        <v>289</v>
      </c>
      <c r="H49" s="480"/>
      <c r="I49" s="480"/>
      <c r="J49" s="480"/>
      <c r="K49" s="349"/>
    </row>
    <row r="50" spans="3:13">
      <c r="C50" s="348"/>
      <c r="D50" s="349"/>
      <c r="E50" s="350"/>
      <c r="F50" s="349"/>
      <c r="G50" s="349"/>
      <c r="H50" s="348"/>
      <c r="I50" s="349"/>
      <c r="J50" s="348"/>
      <c r="K50" s="349"/>
    </row>
    <row r="51" spans="3:13">
      <c r="C51" s="481" t="s">
        <v>290</v>
      </c>
      <c r="D51" s="481"/>
      <c r="E51" s="481"/>
      <c r="F51" s="481"/>
      <c r="G51" s="481"/>
      <c r="H51" s="481"/>
      <c r="I51" s="481"/>
      <c r="J51" s="481"/>
      <c r="K51" s="349"/>
    </row>
    <row r="62" spans="3:13">
      <c r="M62" s="305"/>
    </row>
    <row r="63" spans="3:13">
      <c r="M63" s="305"/>
    </row>
    <row r="64" spans="3:13">
      <c r="M64" s="305"/>
    </row>
    <row r="65" spans="13:13">
      <c r="M65" s="305"/>
    </row>
    <row r="66" spans="13:13">
      <c r="M66" s="305"/>
    </row>
    <row r="67" spans="13:13">
      <c r="M67" s="305"/>
    </row>
    <row r="68" spans="13:13">
      <c r="M68" s="305"/>
    </row>
    <row r="69" spans="13:13">
      <c r="M69" s="305"/>
    </row>
    <row r="70" spans="13:13">
      <c r="M70" s="305"/>
    </row>
    <row r="71" spans="13:13">
      <c r="M71" s="305"/>
    </row>
    <row r="72" spans="13:13">
      <c r="M72" s="305"/>
    </row>
    <row r="73" spans="13:13">
      <c r="M73" s="305"/>
    </row>
    <row r="74" spans="13:13">
      <c r="M74" s="305"/>
    </row>
    <row r="75" spans="13:13">
      <c r="M75" s="305"/>
    </row>
    <row r="76" spans="13:13">
      <c r="M76" s="305"/>
    </row>
    <row r="77" spans="13:13">
      <c r="M77" s="305"/>
    </row>
    <row r="78" spans="13:13">
      <c r="M78" s="305"/>
    </row>
    <row r="79" spans="13:13">
      <c r="M79" s="305"/>
    </row>
    <row r="80" spans="13:13">
      <c r="M80" s="305"/>
    </row>
    <row r="81" spans="4:13">
      <c r="M81" s="305"/>
    </row>
    <row r="82" spans="4:13">
      <c r="M82" s="305"/>
    </row>
    <row r="83" spans="4:13">
      <c r="M83" s="305"/>
    </row>
    <row r="84" spans="4:13">
      <c r="M84" s="305"/>
    </row>
    <row r="85" spans="4:13">
      <c r="M85" s="305"/>
    </row>
    <row r="86" spans="4:13">
      <c r="M86" s="305"/>
    </row>
    <row r="87" spans="4:13">
      <c r="H87" s="301"/>
      <c r="M87" s="305"/>
    </row>
    <row r="88" spans="4:13">
      <c r="M88" s="305"/>
    </row>
    <row r="89" spans="4:13">
      <c r="M89" s="305"/>
    </row>
    <row r="90" spans="4:13">
      <c r="M90" s="305"/>
    </row>
    <row r="91" spans="4:13">
      <c r="D91" s="305" t="s">
        <v>291</v>
      </c>
      <c r="M91" s="305"/>
    </row>
    <row r="92" spans="4:13">
      <c r="D92" s="305" t="s">
        <v>292</v>
      </c>
      <c r="M92" s="305"/>
    </row>
    <row r="93" spans="4:13">
      <c r="D93" s="305" t="s">
        <v>293</v>
      </c>
      <c r="M93" s="305"/>
    </row>
    <row r="94" spans="4:13">
      <c r="D94" s="305" t="s">
        <v>294</v>
      </c>
      <c r="M94" s="305"/>
    </row>
    <row r="95" spans="4:13">
      <c r="M95" s="305"/>
    </row>
  </sheetData>
  <sheetProtection password="E15D" sheet="1" objects="1" scenarios="1" sort="0" autoFilter="0"/>
  <mergeCells count="42">
    <mergeCell ref="C48:D48"/>
    <mergeCell ref="G48:J48"/>
    <mergeCell ref="C49:D49"/>
    <mergeCell ref="G49:J49"/>
    <mergeCell ref="C51:J51"/>
    <mergeCell ref="C45:D45"/>
    <mergeCell ref="G45:J45"/>
    <mergeCell ref="C46:D46"/>
    <mergeCell ref="G46:J46"/>
    <mergeCell ref="C47:D47"/>
    <mergeCell ref="G47:J47"/>
    <mergeCell ref="D38:E38"/>
    <mergeCell ref="D39:E39"/>
    <mergeCell ref="D40:E40"/>
    <mergeCell ref="C43:J43"/>
    <mergeCell ref="C44:D44"/>
    <mergeCell ref="G44:J44"/>
    <mergeCell ref="K31:N31"/>
    <mergeCell ref="K32:N32"/>
    <mergeCell ref="C35:E35"/>
    <mergeCell ref="D36:E36"/>
    <mergeCell ref="D37:E37"/>
    <mergeCell ref="K26:N26"/>
    <mergeCell ref="K27:N27"/>
    <mergeCell ref="K28:N28"/>
    <mergeCell ref="K29:N29"/>
    <mergeCell ref="K30:N30"/>
    <mergeCell ref="K21:N21"/>
    <mergeCell ref="K22:N22"/>
    <mergeCell ref="K23:N23"/>
    <mergeCell ref="K24:N24"/>
    <mergeCell ref="K25:N25"/>
    <mergeCell ref="K15:N15"/>
    <mergeCell ref="K16:N16"/>
    <mergeCell ref="K17:N17"/>
    <mergeCell ref="K19:N19"/>
    <mergeCell ref="K20:N20"/>
    <mergeCell ref="G3:H3"/>
    <mergeCell ref="G4:H4"/>
    <mergeCell ref="G5:H5"/>
    <mergeCell ref="K10:N10"/>
    <mergeCell ref="K14:N14"/>
  </mergeCells>
  <conditionalFormatting sqref="J8:N8">
    <cfRule type="cellIs" dxfId="218" priority="97" operator="between">
      <formula>$H$8</formula>
      <formula>$I$8</formula>
    </cfRule>
    <cfRule type="cellIs" dxfId="217" priority="98" operator="between">
      <formula>$H$8</formula>
      <formula>$O$8</formula>
    </cfRule>
    <cfRule type="cellIs" dxfId="216" priority="99" operator="lessThan">
      <formula>$I$8</formula>
    </cfRule>
    <cfRule type="cellIs" dxfId="215" priority="100" operator="greaterThan">
      <formula>$O$8</formula>
    </cfRule>
  </conditionalFormatting>
  <conditionalFormatting sqref="J9:N9">
    <cfRule type="cellIs" dxfId="214" priority="93" operator="between">
      <formula>$H$9</formula>
      <formula>$I$9</formula>
    </cfRule>
    <cfRule type="cellIs" dxfId="213" priority="94" operator="between">
      <formula>$H$9</formula>
      <formula>$O$9</formula>
    </cfRule>
    <cfRule type="cellIs" dxfId="212" priority="95" operator="lessThan">
      <formula>$I$9</formula>
    </cfRule>
    <cfRule type="cellIs" dxfId="211" priority="96" operator="greaterThan">
      <formula>$O$9</formula>
    </cfRule>
  </conditionalFormatting>
  <conditionalFormatting sqref="J10">
    <cfRule type="cellIs" dxfId="210" priority="111" operator="lessThan">
      <formula>$I$10</formula>
    </cfRule>
    <cfRule type="cellIs" dxfId="209" priority="325" stopIfTrue="1" operator="greaterThan">
      <formula>$O$10</formula>
    </cfRule>
    <cfRule type="cellIs" dxfId="208" priority="326" stopIfTrue="1" operator="greaterThanOrEqual">
      <formula>$H$10</formula>
    </cfRule>
    <cfRule type="cellIs" dxfId="207" priority="327" stopIfTrue="1" operator="between">
      <formula>$I$10</formula>
      <formula>$H$10</formula>
    </cfRule>
  </conditionalFormatting>
  <conditionalFormatting sqref="K10">
    <cfRule type="cellIs" dxfId="206" priority="370" operator="lessThan">
      <formula>$I$10</formula>
    </cfRule>
    <cfRule type="cellIs" dxfId="205" priority="371" operator="greaterThan">
      <formula>$O$10</formula>
    </cfRule>
    <cfRule type="cellIs" dxfId="204" priority="372" operator="equal">
      <formula>$H$10</formula>
    </cfRule>
    <cfRule type="cellIs" dxfId="203" priority="373" operator="between">
      <formula>$I$10</formula>
      <formula>$O$10</formula>
    </cfRule>
  </conditionalFormatting>
  <conditionalFormatting sqref="J12:N12">
    <cfRule type="cellIs" dxfId="202" priority="90" operator="lessThanOrEqual">
      <formula>$H12</formula>
    </cfRule>
    <cfRule type="cellIs" dxfId="201" priority="91" operator="between">
      <formula>$H12</formula>
      <formula>$O12</formula>
    </cfRule>
    <cfRule type="cellIs" dxfId="200" priority="92" operator="greaterThan">
      <formula>$O$12</formula>
    </cfRule>
  </conditionalFormatting>
  <conditionalFormatting sqref="J14">
    <cfRule type="cellIs" dxfId="199" priority="81" operator="lessThan">
      <formula>$H14</formula>
    </cfRule>
    <cfRule type="cellIs" dxfId="198" priority="82" operator="greaterThan">
      <formula>$O14</formula>
    </cfRule>
    <cfRule type="cellIs" dxfId="197" priority="83" operator="between">
      <formula>$H14</formula>
      <formula>$O14</formula>
    </cfRule>
  </conditionalFormatting>
  <conditionalFormatting sqref="J15">
    <cfRule type="cellIs" dxfId="196" priority="13" operator="lessThan">
      <formula>$H15</formula>
    </cfRule>
    <cfRule type="cellIs" dxfId="195" priority="14" operator="greaterThan">
      <formula>$O15</formula>
    </cfRule>
    <cfRule type="cellIs" dxfId="194" priority="15" operator="between">
      <formula>$H15</formula>
      <formula>$O15</formula>
    </cfRule>
  </conditionalFormatting>
  <conditionalFormatting sqref="J16">
    <cfRule type="cellIs" dxfId="193" priority="10" operator="lessThan">
      <formula>$H16</formula>
    </cfRule>
    <cfRule type="cellIs" dxfId="192" priority="11" operator="greaterThan">
      <formula>$O16</formula>
    </cfRule>
    <cfRule type="cellIs" dxfId="191" priority="12" operator="between">
      <formula>$H16</formula>
      <formula>$O16</formula>
    </cfRule>
  </conditionalFormatting>
  <conditionalFormatting sqref="J17">
    <cfRule type="cellIs" dxfId="190" priority="4" operator="lessThan">
      <formula>$H17</formula>
    </cfRule>
    <cfRule type="cellIs" dxfId="189" priority="5" operator="greaterThan">
      <formula>$O17</formula>
    </cfRule>
    <cfRule type="cellIs" dxfId="188" priority="6" operator="between">
      <formula>$H17</formula>
      <formula>$O17</formula>
    </cfRule>
  </conditionalFormatting>
  <conditionalFormatting sqref="J18:N18">
    <cfRule type="cellIs" dxfId="187" priority="60" operator="greaterThanOrEqual">
      <formula>$H18</formula>
    </cfRule>
    <cfRule type="cellIs" dxfId="186" priority="61" operator="lessThan">
      <formula>$I18</formula>
    </cfRule>
    <cfRule type="cellIs" dxfId="185" priority="62" operator="between">
      <formula>$H18</formula>
      <formula>$I18</formula>
    </cfRule>
  </conditionalFormatting>
  <conditionalFormatting sqref="J19">
    <cfRule type="cellIs" dxfId="184" priority="57" operator="lessThanOrEqual">
      <formula>$H$19</formula>
    </cfRule>
    <cfRule type="cellIs" dxfId="183" priority="58" operator="greaterThanOrEqual">
      <formula>$O$19</formula>
    </cfRule>
    <cfRule type="cellIs" dxfId="182" priority="59" operator="between">
      <formula>$H19</formula>
      <formula>$O$19</formula>
    </cfRule>
  </conditionalFormatting>
  <conditionalFormatting sqref="K19">
    <cfRule type="cellIs" dxfId="181" priority="54" stopIfTrue="1" operator="between">
      <formula>$H$9</formula>
      <formula>$O$9</formula>
    </cfRule>
    <cfRule type="cellIs" dxfId="180" priority="55" stopIfTrue="1" operator="greaterThan">
      <formula>$O$9</formula>
    </cfRule>
    <cfRule type="cellIs" dxfId="179" priority="56" stopIfTrue="1" operator="lessThan">
      <formula>$H$9</formula>
    </cfRule>
  </conditionalFormatting>
  <conditionalFormatting sqref="J20">
    <cfRule type="cellIs" dxfId="178" priority="66" operator="lessThanOrEqual">
      <formula>$H20</formula>
    </cfRule>
    <cfRule type="cellIs" dxfId="177" priority="67" operator="greaterThan">
      <formula>$O$20</formula>
    </cfRule>
    <cfRule type="cellIs" dxfId="176" priority="68" operator="between">
      <formula>$H20</formula>
      <formula>$O20</formula>
    </cfRule>
  </conditionalFormatting>
  <conditionalFormatting sqref="J21">
    <cfRule type="cellIs" dxfId="175" priority="51" operator="greaterThanOrEqual">
      <formula>$H21</formula>
    </cfRule>
    <cfRule type="cellIs" dxfId="174" priority="52" operator="lessThan">
      <formula>$I21</formula>
    </cfRule>
    <cfRule type="cellIs" dxfId="173" priority="53" operator="between">
      <formula>$H21</formula>
      <formula>$I21</formula>
    </cfRule>
  </conditionalFormatting>
  <conditionalFormatting sqref="J22">
    <cfRule type="cellIs" dxfId="172" priority="48" operator="greaterThanOrEqual">
      <formula>$H22</formula>
    </cfRule>
    <cfRule type="cellIs" dxfId="171" priority="49" operator="lessThan">
      <formula>$I22</formula>
    </cfRule>
    <cfRule type="cellIs" dxfId="170" priority="50" operator="between">
      <formula>$H22</formula>
      <formula>$I22</formula>
    </cfRule>
  </conditionalFormatting>
  <conditionalFormatting sqref="J23">
    <cfRule type="cellIs" dxfId="169" priority="42" operator="greaterThanOrEqual">
      <formula>$H23</formula>
    </cfRule>
    <cfRule type="cellIs" dxfId="168" priority="43" operator="lessThan">
      <formula>$I23</formula>
    </cfRule>
    <cfRule type="cellIs" dxfId="167" priority="44" operator="between">
      <formula>$H23</formula>
      <formula>$I23</formula>
    </cfRule>
  </conditionalFormatting>
  <conditionalFormatting sqref="J24">
    <cfRule type="cellIs" dxfId="166" priority="39" operator="greaterThanOrEqual">
      <formula>$H24</formula>
    </cfRule>
    <cfRule type="cellIs" dxfId="165" priority="40" operator="lessThan">
      <formula>$I24</formula>
    </cfRule>
    <cfRule type="cellIs" dxfId="164" priority="41" operator="between">
      <formula>$H24</formula>
      <formula>$I24</formula>
    </cfRule>
  </conditionalFormatting>
  <conditionalFormatting sqref="J25">
    <cfRule type="cellIs" dxfId="163" priority="36" operator="greaterThanOrEqual">
      <formula>$H25</formula>
    </cfRule>
    <cfRule type="cellIs" dxfId="162" priority="37" operator="lessThan">
      <formula>$I25</formula>
    </cfRule>
    <cfRule type="cellIs" dxfId="161" priority="38" operator="between">
      <formula>$H25</formula>
      <formula>$I25</formula>
    </cfRule>
  </conditionalFormatting>
  <conditionalFormatting sqref="J26">
    <cfRule type="cellIs" dxfId="160" priority="33" operator="greaterThanOrEqual">
      <formula>$H26</formula>
    </cfRule>
    <cfRule type="cellIs" dxfId="159" priority="34" operator="lessThan">
      <formula>$I26</formula>
    </cfRule>
    <cfRule type="cellIs" dxfId="158" priority="35" operator="between">
      <formula>$H26</formula>
      <formula>$I26</formula>
    </cfRule>
  </conditionalFormatting>
  <conditionalFormatting sqref="J27">
    <cfRule type="cellIs" dxfId="157" priority="30" operator="greaterThanOrEqual">
      <formula>$H27</formula>
    </cfRule>
    <cfRule type="cellIs" dxfId="156" priority="31" operator="lessThan">
      <formula>$I27</formula>
    </cfRule>
    <cfRule type="cellIs" dxfId="155" priority="32" operator="between">
      <formula>$H27</formula>
      <formula>$I27</formula>
    </cfRule>
  </conditionalFormatting>
  <conditionalFormatting sqref="J28">
    <cfRule type="cellIs" dxfId="154" priority="27" operator="greaterThanOrEqual">
      <formula>$H28</formula>
    </cfRule>
    <cfRule type="cellIs" dxfId="153" priority="28" operator="lessThan">
      <formula>$I28</formula>
    </cfRule>
    <cfRule type="cellIs" dxfId="152" priority="29" operator="between">
      <formula>$H28</formula>
      <formula>$I28</formula>
    </cfRule>
  </conditionalFormatting>
  <conditionalFormatting sqref="J29">
    <cfRule type="cellIs" dxfId="151" priority="24" operator="greaterThanOrEqual">
      <formula>$H29</formula>
    </cfRule>
    <cfRule type="cellIs" dxfId="150" priority="25" operator="lessThan">
      <formula>$I29</formula>
    </cfRule>
    <cfRule type="cellIs" dxfId="149" priority="26" operator="between">
      <formula>$H29</formula>
      <formula>$I29</formula>
    </cfRule>
  </conditionalFormatting>
  <conditionalFormatting sqref="J30">
    <cfRule type="cellIs" dxfId="148" priority="21" operator="greaterThanOrEqual">
      <formula>$H30</formula>
    </cfRule>
    <cfRule type="cellIs" dxfId="147" priority="22" operator="lessThan">
      <formula>$H$30</formula>
    </cfRule>
  </conditionalFormatting>
  <conditionalFormatting sqref="J31">
    <cfRule type="cellIs" dxfId="146" priority="16" operator="greaterThanOrEqual">
      <formula>$H31</formula>
    </cfRule>
    <cfRule type="cellIs" dxfId="145" priority="17" operator="lessThan">
      <formula>$H$30</formula>
    </cfRule>
  </conditionalFormatting>
  <conditionalFormatting sqref="J32">
    <cfRule type="cellIs" dxfId="144" priority="1" operator="lessThan">
      <formula>$H32</formula>
    </cfRule>
    <cfRule type="cellIs" dxfId="143" priority="2" operator="greaterThan">
      <formula>$O32</formula>
    </cfRule>
    <cfRule type="cellIs" dxfId="142" priority="3" operator="between">
      <formula>$H32</formula>
      <formula>$O32</formula>
    </cfRule>
  </conditionalFormatting>
  <conditionalFormatting sqref="K14:K17">
    <cfRule type="cellIs" dxfId="141" priority="343" stopIfTrue="1" operator="between">
      <formula>$H$12</formula>
      <formula>$O$12</formula>
    </cfRule>
    <cfRule type="cellIs" dxfId="140" priority="344" stopIfTrue="1" operator="greaterThan">
      <formula>$O$12</formula>
    </cfRule>
    <cfRule type="cellIs" dxfId="139" priority="345" stopIfTrue="1" operator="lessThanOrEqual">
      <formula>$H$9</formula>
    </cfRule>
  </conditionalFormatting>
  <conditionalFormatting sqref="K20:K32">
    <cfRule type="cellIs" dxfId="138" priority="113" stopIfTrue="1" operator="between">
      <formula>$H$9</formula>
      <formula>$O$9</formula>
    </cfRule>
    <cfRule type="cellIs" dxfId="137" priority="114" stopIfTrue="1" operator="greaterThan">
      <formula>$O$9</formula>
    </cfRule>
    <cfRule type="cellIs" dxfId="136" priority="115" stopIfTrue="1" operator="lessThan">
      <formula>$H$9</formula>
    </cfRule>
  </conditionalFormatting>
  <conditionalFormatting sqref="M11:N11 J11">
    <cfRule type="cellIs" dxfId="135" priority="335" stopIfTrue="1" operator="lessThan">
      <formula>$I$11</formula>
    </cfRule>
    <cfRule type="cellIs" dxfId="134" priority="336" stopIfTrue="1" operator="equal">
      <formula>$H$11</formula>
    </cfRule>
    <cfRule type="cellIs" dxfId="133" priority="337" stopIfTrue="1" operator="between">
      <formula>$O$11</formula>
      <formula>$H$11</formula>
    </cfRule>
    <cfRule type="cellIs" dxfId="132" priority="338" stopIfTrue="1" operator="greaterThan">
      <formula>$O$11</formula>
    </cfRule>
  </conditionalFormatting>
  <conditionalFormatting sqref="J13 L13:N13">
    <cfRule type="cellIs" dxfId="131" priority="87" operator="between">
      <formula>$H13</formula>
      <formula>$I13</formula>
    </cfRule>
    <cfRule type="cellIs" dxfId="130" priority="88" operator="notBetween">
      <formula>$I13</formula>
      <formula>$O13</formula>
    </cfRule>
    <cfRule type="cellIs" dxfId="129" priority="89" operator="between">
      <formula>$H13</formula>
      <formula>$O13</formula>
    </cfRule>
  </conditionalFormatting>
  <dataValidations count="2">
    <dataValidation type="list" allowBlank="1" showInputMessage="1" showErrorMessage="1" sqref="P8:P32" xr:uid="{00000000-0002-0000-0300-000000000000}">
      <formula1>"Process Awareness, Oversight, Communication, Assumptions, External Dependency, Scope Changes, Lack of Self Reviews, Lack of Knowledge,Lack of Training, Lack of Expertise, Inadequate Process/ Tools, External Environmnet, Missing Standards/ Guidelines"</formula1>
    </dataValidation>
    <dataValidation type="list" allowBlank="1" showInputMessage="1" showErrorMessage="1" sqref="R8:R32" xr:uid="{00000000-0002-0000-0300-000001000000}">
      <formula1>"Not Started, Inprogress, Completed"</formula1>
    </dataValidation>
  </dataValidations>
  <hyperlinks>
    <hyperlink ref="D8" location="'Effort Schedule'!A1" display="Schedule Variation" xr:uid="{00000000-0004-0000-0300-000000000000}"/>
    <hyperlink ref="D9" location="'Effort Schedule'!A1" display="Effort Variation" xr:uid="{00000000-0004-0000-0300-000001000000}"/>
    <hyperlink ref="D16" location="'Defect Trend'!A1" display="Defect Leakage" xr:uid="{00000000-0004-0000-0300-000002000000}"/>
    <hyperlink ref="D12" location="Rev_Rew_Proj_Conf!A1" display="% of Rework Effort" xr:uid="{00000000-0004-0000-0300-000003000000}"/>
    <hyperlink ref="D13" location="Rev_Rew_Proj_Conf!A1" display="% of Review Effort" xr:uid="{00000000-0004-0000-0300-000004000000}"/>
    <hyperlink ref="D14" location="Rev_Rew_Proj_Conf!A1" display="% of Project Management Effort" xr:uid="{00000000-0004-0000-0300-000005000000}"/>
    <hyperlink ref="D15" location="Rev_Rew_Proj_Conf!A1" display="% of Configuration Management Effort" xr:uid="{00000000-0004-0000-0300-000006000000}"/>
    <hyperlink ref="D10" location="'L''d Factor'!A1" display="Load Factor" xr:uid="{00000000-0004-0000-0300-000007000000}"/>
    <hyperlink ref="D30" location="'Security Metrics'!A1" display="% of Ontime Removal of Access" xr:uid="{00000000-0004-0000-0300-000008000000}"/>
    <hyperlink ref="D31" location="'Security Metrics'!A1" display="% of Ontime Return of Assets" xr:uid="{00000000-0004-0000-0300-000009000000}"/>
    <hyperlink ref="D32" location="'Security Metrics'!A1" display="Security Defect Leakage" xr:uid="{00000000-0004-0000-0300-00000A000000}"/>
    <hyperlink ref="D19:D29" location="'Defect Trend'!A1" display="Defect Density by Effort ( Dev )" xr:uid="{00000000-0004-0000-0300-00000B000000}"/>
    <hyperlink ref="D11" location="'RSI Productivity Trend'!A1" display="Requirement Stability Index" xr:uid="{00000000-0004-0000-0300-00000C000000}"/>
    <hyperlink ref="D18" location="'RSI Productivity Trend'!A1" display="Productivity ***" xr:uid="{00000000-0004-0000-0300-00000D000000}"/>
    <hyperlink ref="D19" location="'Defect Trend'!A1" display="Defect Density by Effort ( Dev )" xr:uid="{00000000-0004-0000-0300-00000E000000}"/>
    <hyperlink ref="D20" location="'Defect Trend'!A1" display="Defect Density by Size ( Dev )***" xr:uid="{00000000-0004-0000-0300-00000F000000}"/>
    <hyperlink ref="D21" location="'Defect Trend'!A1" display="Overall Review Efficiency ( Dev )" xr:uid="{00000000-0004-0000-0300-000010000000}"/>
    <hyperlink ref="D22" location="'Defect Trend'!A1" display="Overall Review Efficiency ( Test )" xr:uid="{00000000-0004-0000-0300-000011000000}"/>
  </hyperlink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7" r:id="rId3" name="chk_Dev">
              <controlPr defaultSize="0">
                <anchor moveWithCells="1">
                  <from>
                    <xdr:col>9</xdr:col>
                    <xdr:colOff>390525</xdr:colOff>
                    <xdr:row>1</xdr:row>
                    <xdr:rowOff>171450</xdr:rowOff>
                  </from>
                  <to>
                    <xdr:col>12</xdr:col>
                    <xdr:colOff>323850</xdr:colOff>
                    <xdr:row>4</xdr:row>
                    <xdr:rowOff>9525</xdr:rowOff>
                  </to>
                </anchor>
              </controlPr>
            </control>
          </mc:Choice>
        </mc:AlternateContent>
        <mc:AlternateContent xmlns:mc="http://schemas.openxmlformats.org/markup-compatibility/2006">
          <mc:Choice Requires="x14">
            <control shapeId="6148" r:id="rId4" name="chk_Test">
              <controlPr defaultSize="0">
                <anchor moveWithCells="1">
                  <from>
                    <xdr:col>9</xdr:col>
                    <xdr:colOff>390525</xdr:colOff>
                    <xdr:row>2</xdr:row>
                    <xdr:rowOff>161925</xdr:rowOff>
                  </from>
                  <to>
                    <xdr:col>12</xdr:col>
                    <xdr:colOff>323850</xdr:colOff>
                    <xdr:row>5</xdr:row>
                    <xdr:rowOff>9525</xdr:rowOff>
                  </to>
                </anchor>
              </controlPr>
            </control>
          </mc:Choice>
        </mc:AlternateContent>
        <mc:AlternateContent xmlns:mc="http://schemas.openxmlformats.org/markup-compatibility/2006">
          <mc:Choice Requires="x14">
            <control shapeId="6150" r:id="rId5" name="btnAppend">
              <controlPr defaultSize="0" print="0">
                <anchor moveWithCells="1" sizeWithCells="1">
                  <from>
                    <xdr:col>14</xdr:col>
                    <xdr:colOff>352425</xdr:colOff>
                    <xdr:row>4</xdr:row>
                    <xdr:rowOff>57150</xdr:rowOff>
                  </from>
                  <to>
                    <xdr:col>15</xdr:col>
                    <xdr:colOff>914400</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H100"/>
  <sheetViews>
    <sheetView showGridLines="0" workbookViewId="0">
      <selection activeCell="F24" sqref="F24"/>
    </sheetView>
  </sheetViews>
  <sheetFormatPr defaultColWidth="9" defaultRowHeight="14.45"/>
  <cols>
    <col min="3" max="3" width="20.375" customWidth="1"/>
    <col min="4" max="4" width="25.125" customWidth="1"/>
    <col min="7" max="7" width="25" customWidth="1"/>
    <col min="8" max="8" width="7.125" customWidth="1"/>
  </cols>
  <sheetData>
    <row r="1" spans="2:8">
      <c r="G1" t="s">
        <v>102</v>
      </c>
      <c r="H1" t="s">
        <v>295</v>
      </c>
    </row>
    <row r="2" spans="2:8" ht="15.2">
      <c r="G2" t="s">
        <v>296</v>
      </c>
      <c r="H2" t="s">
        <v>295</v>
      </c>
    </row>
    <row r="3" spans="2:8" s="1" customFormat="1" ht="15.2">
      <c r="B3" s="290" t="s">
        <v>115</v>
      </c>
      <c r="C3" s="291" t="s">
        <v>83</v>
      </c>
      <c r="D3" s="292" t="s">
        <v>297</v>
      </c>
      <c r="G3" t="s">
        <v>107</v>
      </c>
      <c r="H3" t="s">
        <v>295</v>
      </c>
    </row>
    <row r="4" spans="2:8">
      <c r="B4" s="293"/>
      <c r="C4" s="294"/>
      <c r="D4" s="295"/>
    </row>
    <row r="5" spans="2:8">
      <c r="B5" s="296"/>
      <c r="C5" s="207"/>
      <c r="D5" s="297"/>
      <c r="G5" t="s">
        <v>298</v>
      </c>
    </row>
    <row r="6" spans="2:8">
      <c r="B6" s="296"/>
      <c r="C6" s="207"/>
      <c r="D6" s="297"/>
      <c r="G6">
        <v>-0.5</v>
      </c>
    </row>
    <row r="7" spans="2:8">
      <c r="B7" s="296"/>
      <c r="C7" s="207"/>
      <c r="D7" s="297"/>
    </row>
    <row r="8" spans="2:8">
      <c r="B8" s="296"/>
      <c r="C8" s="207"/>
      <c r="D8" s="297"/>
    </row>
    <row r="9" spans="2:8">
      <c r="B9" s="296"/>
      <c r="C9" s="207"/>
      <c r="D9" s="297"/>
    </row>
    <row r="10" spans="2:8">
      <c r="B10" s="296"/>
      <c r="C10" s="207"/>
      <c r="D10" s="297"/>
    </row>
    <row r="11" spans="2:8">
      <c r="B11" s="296"/>
      <c r="C11" s="207"/>
      <c r="D11" s="297"/>
    </row>
    <row r="12" spans="2:8">
      <c r="B12" s="296"/>
      <c r="C12" s="207"/>
      <c r="D12" s="297"/>
    </row>
    <row r="13" spans="2:8">
      <c r="B13" s="296"/>
      <c r="C13" s="207"/>
      <c r="D13" s="297"/>
    </row>
    <row r="14" spans="2:8">
      <c r="B14" s="296"/>
      <c r="C14" s="207"/>
      <c r="D14" s="297"/>
    </row>
    <row r="15" spans="2:8">
      <c r="B15" s="296"/>
      <c r="C15" s="207"/>
      <c r="D15" s="297"/>
    </row>
    <row r="16" spans="2:8">
      <c r="B16" s="296"/>
      <c r="C16" s="207"/>
      <c r="D16" s="297"/>
    </row>
    <row r="17" spans="2:4">
      <c r="B17" s="296"/>
      <c r="C17" s="207"/>
      <c r="D17" s="297"/>
    </row>
    <row r="18" spans="2:4">
      <c r="B18" s="296"/>
      <c r="C18" s="207"/>
      <c r="D18" s="297"/>
    </row>
    <row r="19" spans="2:4">
      <c r="B19" s="296"/>
      <c r="C19" s="207"/>
      <c r="D19" s="297"/>
    </row>
    <row r="20" spans="2:4">
      <c r="B20" s="296"/>
      <c r="C20" s="207"/>
      <c r="D20" s="297"/>
    </row>
    <row r="21" spans="2:4">
      <c r="B21" s="296"/>
      <c r="C21" s="207"/>
      <c r="D21" s="297"/>
    </row>
    <row r="22" spans="2:4">
      <c r="B22" s="296"/>
      <c r="C22" s="207"/>
      <c r="D22" s="297"/>
    </row>
    <row r="23" spans="2:4">
      <c r="B23" s="296"/>
      <c r="C23" s="207"/>
      <c r="D23" s="297"/>
    </row>
    <row r="24" spans="2:4">
      <c r="B24" s="296"/>
      <c r="C24" s="207"/>
      <c r="D24" s="297"/>
    </row>
    <row r="25" spans="2:4">
      <c r="B25" s="296"/>
      <c r="C25" s="207"/>
      <c r="D25" s="297"/>
    </row>
    <row r="26" spans="2:4">
      <c r="B26" s="296"/>
      <c r="C26" s="207"/>
      <c r="D26" s="297"/>
    </row>
    <row r="27" spans="2:4">
      <c r="B27" s="296"/>
      <c r="C27" s="207"/>
      <c r="D27" s="297"/>
    </row>
    <row r="28" spans="2:4">
      <c r="B28" s="296"/>
      <c r="C28" s="207"/>
      <c r="D28" s="297"/>
    </row>
    <row r="29" spans="2:4">
      <c r="B29" s="296"/>
      <c r="C29" s="207"/>
      <c r="D29" s="297"/>
    </row>
    <row r="30" spans="2:4">
      <c r="B30" s="296"/>
      <c r="C30" s="207"/>
      <c r="D30" s="297"/>
    </row>
    <row r="31" spans="2:4">
      <c r="B31" s="296"/>
      <c r="C31" s="207"/>
      <c r="D31" s="297"/>
    </row>
    <row r="32" spans="2:4">
      <c r="B32" s="296"/>
      <c r="C32" s="207"/>
      <c r="D32" s="297"/>
    </row>
    <row r="33" spans="2:4">
      <c r="B33" s="296"/>
      <c r="C33" s="207"/>
      <c r="D33" s="297"/>
    </row>
    <row r="34" spans="2:4">
      <c r="B34" s="296"/>
      <c r="C34" s="207"/>
      <c r="D34" s="297"/>
    </row>
    <row r="35" spans="2:4">
      <c r="B35" s="296"/>
      <c r="C35" s="207"/>
      <c r="D35" s="297"/>
    </row>
    <row r="36" spans="2:4">
      <c r="B36" s="296"/>
      <c r="C36" s="207"/>
      <c r="D36" s="297"/>
    </row>
    <row r="37" spans="2:4">
      <c r="B37" s="296"/>
      <c r="C37" s="207"/>
      <c r="D37" s="297"/>
    </row>
    <row r="38" spans="2:4">
      <c r="B38" s="296"/>
      <c r="C38" s="207"/>
      <c r="D38" s="297"/>
    </row>
    <row r="39" spans="2:4">
      <c r="B39" s="296"/>
      <c r="C39" s="207"/>
      <c r="D39" s="297"/>
    </row>
    <row r="40" spans="2:4">
      <c r="B40" s="296"/>
      <c r="C40" s="207"/>
      <c r="D40" s="297"/>
    </row>
    <row r="41" spans="2:4">
      <c r="B41" s="296"/>
      <c r="C41" s="207"/>
      <c r="D41" s="297"/>
    </row>
    <row r="42" spans="2:4">
      <c r="B42" s="296"/>
      <c r="C42" s="207"/>
      <c r="D42" s="297"/>
    </row>
    <row r="43" spans="2:4">
      <c r="B43" s="296"/>
      <c r="C43" s="207"/>
      <c r="D43" s="297"/>
    </row>
    <row r="44" spans="2:4">
      <c r="B44" s="296"/>
      <c r="C44" s="207"/>
      <c r="D44" s="297"/>
    </row>
    <row r="45" spans="2:4">
      <c r="B45" s="296"/>
      <c r="C45" s="207"/>
      <c r="D45" s="297"/>
    </row>
    <row r="46" spans="2:4">
      <c r="B46" s="296"/>
      <c r="C46" s="207"/>
      <c r="D46" s="297"/>
    </row>
    <row r="47" spans="2:4">
      <c r="B47" s="296"/>
      <c r="C47" s="207"/>
      <c r="D47" s="297"/>
    </row>
    <row r="48" spans="2:4">
      <c r="B48" s="296"/>
      <c r="C48" s="207"/>
      <c r="D48" s="297"/>
    </row>
    <row r="49" spans="2:4">
      <c r="B49" s="296"/>
      <c r="C49" s="207"/>
      <c r="D49" s="297"/>
    </row>
    <row r="50" spans="2:4">
      <c r="B50" s="296"/>
      <c r="C50" s="207"/>
      <c r="D50" s="297"/>
    </row>
    <row r="51" spans="2:4">
      <c r="B51" s="296"/>
      <c r="C51" s="207"/>
      <c r="D51" s="297"/>
    </row>
    <row r="52" spans="2:4">
      <c r="B52" s="296"/>
      <c r="C52" s="207"/>
      <c r="D52" s="297"/>
    </row>
    <row r="53" spans="2:4">
      <c r="B53" s="296"/>
      <c r="C53" s="207"/>
      <c r="D53" s="297"/>
    </row>
    <row r="54" spans="2:4">
      <c r="B54" s="296"/>
      <c r="C54" s="207"/>
      <c r="D54" s="297"/>
    </row>
    <row r="55" spans="2:4">
      <c r="B55" s="296"/>
      <c r="C55" s="207"/>
      <c r="D55" s="297"/>
    </row>
    <row r="56" spans="2:4">
      <c r="B56" s="296"/>
      <c r="C56" s="207"/>
      <c r="D56" s="297"/>
    </row>
    <row r="57" spans="2:4">
      <c r="B57" s="296"/>
      <c r="C57" s="207"/>
      <c r="D57" s="297"/>
    </row>
    <row r="58" spans="2:4">
      <c r="B58" s="296"/>
      <c r="C58" s="207"/>
      <c r="D58" s="297"/>
    </row>
    <row r="59" spans="2:4">
      <c r="B59" s="296"/>
      <c r="C59" s="207"/>
      <c r="D59" s="297"/>
    </row>
    <row r="60" spans="2:4">
      <c r="B60" s="296"/>
      <c r="C60" s="207"/>
      <c r="D60" s="297"/>
    </row>
    <row r="61" spans="2:4">
      <c r="B61" s="296"/>
      <c r="C61" s="207"/>
      <c r="D61" s="297"/>
    </row>
    <row r="62" spans="2:4">
      <c r="B62" s="296"/>
      <c r="C62" s="207"/>
      <c r="D62" s="297"/>
    </row>
    <row r="63" spans="2:4">
      <c r="B63" s="296"/>
      <c r="C63" s="207"/>
      <c r="D63" s="297"/>
    </row>
    <row r="64" spans="2:4">
      <c r="B64" s="296"/>
      <c r="C64" s="207"/>
      <c r="D64" s="297"/>
    </row>
    <row r="65" spans="2:4">
      <c r="B65" s="296"/>
      <c r="C65" s="207"/>
      <c r="D65" s="297"/>
    </row>
    <row r="66" spans="2:4">
      <c r="B66" s="296"/>
      <c r="C66" s="207"/>
      <c r="D66" s="297"/>
    </row>
    <row r="67" spans="2:4">
      <c r="B67" s="296"/>
      <c r="C67" s="207"/>
      <c r="D67" s="297"/>
    </row>
    <row r="68" spans="2:4">
      <c r="B68" s="296"/>
      <c r="C68" s="207"/>
      <c r="D68" s="297"/>
    </row>
    <row r="69" spans="2:4">
      <c r="B69" s="296"/>
      <c r="C69" s="207"/>
      <c r="D69" s="297"/>
    </row>
    <row r="70" spans="2:4">
      <c r="B70" s="296"/>
      <c r="C70" s="207"/>
      <c r="D70" s="297"/>
    </row>
    <row r="71" spans="2:4">
      <c r="B71" s="296"/>
      <c r="C71" s="207"/>
      <c r="D71" s="297"/>
    </row>
    <row r="72" spans="2:4">
      <c r="B72" s="296"/>
      <c r="C72" s="207"/>
      <c r="D72" s="297"/>
    </row>
    <row r="73" spans="2:4">
      <c r="B73" s="296"/>
      <c r="C73" s="207"/>
      <c r="D73" s="297"/>
    </row>
    <row r="74" spans="2:4">
      <c r="B74" s="296"/>
      <c r="C74" s="207"/>
      <c r="D74" s="297"/>
    </row>
    <row r="75" spans="2:4">
      <c r="B75" s="296"/>
      <c r="C75" s="207"/>
      <c r="D75" s="297"/>
    </row>
    <row r="76" spans="2:4">
      <c r="B76" s="296"/>
      <c r="C76" s="207"/>
      <c r="D76" s="297"/>
    </row>
    <row r="77" spans="2:4">
      <c r="B77" s="296"/>
      <c r="C77" s="207"/>
      <c r="D77" s="297"/>
    </row>
    <row r="78" spans="2:4">
      <c r="B78" s="296"/>
      <c r="C78" s="207"/>
      <c r="D78" s="297"/>
    </row>
    <row r="79" spans="2:4">
      <c r="B79" s="296"/>
      <c r="C79" s="207"/>
      <c r="D79" s="297"/>
    </row>
    <row r="80" spans="2:4">
      <c r="B80" s="296"/>
      <c r="C80" s="207"/>
      <c r="D80" s="297"/>
    </row>
    <row r="81" spans="2:4">
      <c r="B81" s="296"/>
      <c r="C81" s="207"/>
      <c r="D81" s="297"/>
    </row>
    <row r="82" spans="2:4">
      <c r="B82" s="296"/>
      <c r="C82" s="207"/>
      <c r="D82" s="297"/>
    </row>
    <row r="83" spans="2:4">
      <c r="B83" s="296"/>
      <c r="C83" s="207"/>
      <c r="D83" s="297"/>
    </row>
    <row r="84" spans="2:4">
      <c r="B84" s="296"/>
      <c r="C84" s="207"/>
      <c r="D84" s="297"/>
    </row>
    <row r="85" spans="2:4">
      <c r="B85" s="296"/>
      <c r="C85" s="207"/>
      <c r="D85" s="297"/>
    </row>
    <row r="86" spans="2:4">
      <c r="B86" s="296"/>
      <c r="C86" s="207"/>
      <c r="D86" s="297"/>
    </row>
    <row r="87" spans="2:4">
      <c r="B87" s="296"/>
      <c r="C87" s="207"/>
      <c r="D87" s="297"/>
    </row>
    <row r="88" spans="2:4">
      <c r="B88" s="296"/>
      <c r="C88" s="207"/>
      <c r="D88" s="297"/>
    </row>
    <row r="89" spans="2:4">
      <c r="B89" s="296"/>
      <c r="C89" s="207"/>
      <c r="D89" s="297"/>
    </row>
    <row r="90" spans="2:4">
      <c r="B90" s="296"/>
      <c r="C90" s="207"/>
      <c r="D90" s="297"/>
    </row>
    <row r="91" spans="2:4">
      <c r="B91" s="296"/>
      <c r="C91" s="207"/>
      <c r="D91" s="297"/>
    </row>
    <row r="92" spans="2:4">
      <c r="B92" s="296"/>
      <c r="C92" s="207"/>
      <c r="D92" s="297"/>
    </row>
    <row r="93" spans="2:4">
      <c r="B93" s="296"/>
      <c r="C93" s="207"/>
      <c r="D93" s="297"/>
    </row>
    <row r="94" spans="2:4">
      <c r="B94" s="296"/>
      <c r="C94" s="207"/>
      <c r="D94" s="297"/>
    </row>
    <row r="95" spans="2:4">
      <c r="B95" s="296"/>
      <c r="C95" s="207"/>
      <c r="D95" s="297"/>
    </row>
    <row r="96" spans="2:4">
      <c r="B96" s="296"/>
      <c r="C96" s="207"/>
      <c r="D96" s="297"/>
    </row>
    <row r="97" spans="2:4">
      <c r="B97" s="296"/>
      <c r="C97" s="207"/>
      <c r="D97" s="297"/>
    </row>
    <row r="98" spans="2:4">
      <c r="B98" s="296"/>
      <c r="C98" s="207"/>
      <c r="D98" s="297"/>
    </row>
    <row r="99" spans="2:4">
      <c r="B99" s="296"/>
      <c r="C99" s="207"/>
      <c r="D99" s="297"/>
    </row>
    <row r="100" spans="2:4" ht="15.2">
      <c r="B100" s="298"/>
      <c r="C100" s="299"/>
      <c r="D100" s="300"/>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B5:C11"/>
  <sheetViews>
    <sheetView workbookViewId="0">
      <selection activeCell="L16" sqref="L16"/>
    </sheetView>
  </sheetViews>
  <sheetFormatPr defaultColWidth="9" defaultRowHeight="14.45"/>
  <cols>
    <col min="2" max="2" width="12.75" customWidth="1"/>
  </cols>
  <sheetData>
    <row r="5" spans="2:3">
      <c r="B5" t="s">
        <v>299</v>
      </c>
      <c r="C5">
        <v>5</v>
      </c>
    </row>
    <row r="6" spans="2:3">
      <c r="B6" t="s">
        <v>300</v>
      </c>
      <c r="C6">
        <v>0</v>
      </c>
    </row>
    <row r="7" spans="2:3">
      <c r="B7" t="s">
        <v>301</v>
      </c>
      <c r="C7">
        <v>0</v>
      </c>
    </row>
    <row r="8" spans="2:3">
      <c r="B8" t="s">
        <v>185</v>
      </c>
      <c r="C8">
        <v>5</v>
      </c>
    </row>
    <row r="9" spans="2:3">
      <c r="B9" t="s">
        <v>302</v>
      </c>
      <c r="C9">
        <v>5</v>
      </c>
    </row>
    <row r="10" spans="2:3">
      <c r="B10" t="s">
        <v>303</v>
      </c>
      <c r="C10">
        <v>60</v>
      </c>
    </row>
    <row r="11" spans="2:3">
      <c r="B11" t="s">
        <v>304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D1:L415"/>
  <sheetViews>
    <sheetView showGridLines="0" workbookViewId="0">
      <selection activeCell="I3" sqref="I3"/>
    </sheetView>
  </sheetViews>
  <sheetFormatPr defaultColWidth="9" defaultRowHeight="14.45"/>
  <cols>
    <col min="3" max="3" width="10.75" customWidth="1"/>
    <col min="4" max="4" width="14.875" customWidth="1"/>
    <col min="5" max="5" width="12.125" customWidth="1"/>
    <col min="6" max="6" width="13.125" customWidth="1"/>
    <col min="7" max="7" width="14.75" style="1" customWidth="1"/>
    <col min="8" max="8" width="12.875" style="1" customWidth="1"/>
    <col min="9" max="9" width="20.625" customWidth="1"/>
    <col min="10" max="10" width="17.875" customWidth="1"/>
    <col min="11" max="11" width="27.125" customWidth="1"/>
    <col min="12" max="12" width="18.25" style="269" customWidth="1"/>
    <col min="13" max="13" width="19.75" customWidth="1"/>
    <col min="14" max="14" width="20" customWidth="1"/>
  </cols>
  <sheetData>
    <row r="1" spans="4:12" ht="15.2"/>
    <row r="2" spans="4:12">
      <c r="D2" s="270" t="s">
        <v>103</v>
      </c>
      <c r="E2" s="271" t="s">
        <v>305</v>
      </c>
      <c r="F2" s="270" t="s">
        <v>189</v>
      </c>
      <c r="G2" s="272" t="s">
        <v>193</v>
      </c>
      <c r="H2" s="272" t="s">
        <v>306</v>
      </c>
      <c r="I2" s="272" t="s">
        <v>307</v>
      </c>
      <c r="J2" s="272" t="s">
        <v>197</v>
      </c>
      <c r="K2" s="281" t="s">
        <v>183</v>
      </c>
    </row>
    <row r="3" spans="4:12">
      <c r="D3" s="273"/>
      <c r="E3" s="274"/>
      <c r="F3" s="275"/>
      <c r="G3" s="276"/>
      <c r="H3" s="277"/>
      <c r="I3" s="282"/>
      <c r="J3" s="282"/>
      <c r="K3" s="283"/>
    </row>
    <row r="4" spans="4:12">
      <c r="D4" s="273"/>
      <c r="E4" s="274"/>
      <c r="F4" s="275"/>
      <c r="G4" s="276"/>
      <c r="H4" s="277"/>
      <c r="I4" s="282"/>
      <c r="J4" s="283"/>
      <c r="K4" s="283"/>
    </row>
    <row r="5" spans="4:12">
      <c r="D5" s="273"/>
      <c r="E5" s="274"/>
      <c r="F5" s="275"/>
      <c r="G5" s="276"/>
      <c r="H5" s="277"/>
      <c r="I5" s="283"/>
      <c r="J5" s="283"/>
      <c r="K5" s="283"/>
    </row>
    <row r="6" spans="4:12">
      <c r="D6" s="273"/>
      <c r="E6" s="274"/>
      <c r="F6" s="275"/>
      <c r="G6" s="278"/>
      <c r="H6" s="279"/>
      <c r="I6" s="283"/>
      <c r="J6" s="283"/>
      <c r="K6" s="283"/>
      <c r="L6" s="269" t="s">
        <v>308</v>
      </c>
    </row>
    <row r="7" spans="4:12">
      <c r="D7" s="273"/>
      <c r="E7" s="274"/>
      <c r="F7" s="275"/>
      <c r="G7" s="276"/>
      <c r="H7" s="277"/>
      <c r="I7" s="283"/>
      <c r="J7" s="283"/>
      <c r="K7" s="283"/>
    </row>
    <row r="8" spans="4:12">
      <c r="D8" s="273"/>
      <c r="E8" s="274"/>
      <c r="F8" s="275"/>
      <c r="G8" s="276"/>
      <c r="H8" s="277"/>
      <c r="I8" s="283"/>
      <c r="J8" s="283"/>
      <c r="K8" s="283"/>
    </row>
    <row r="9" spans="4:12">
      <c r="D9" s="273"/>
      <c r="E9" s="274"/>
      <c r="F9" s="275"/>
      <c r="G9" s="276"/>
      <c r="H9" s="277"/>
      <c r="I9" s="283"/>
      <c r="J9" s="283"/>
      <c r="K9" s="283"/>
    </row>
    <row r="10" spans="4:12">
      <c r="D10" s="273"/>
      <c r="E10" s="274"/>
      <c r="F10" s="275"/>
      <c r="G10" s="276"/>
      <c r="H10" s="277"/>
      <c r="I10" s="283"/>
      <c r="J10" s="283"/>
      <c r="K10" s="283"/>
    </row>
    <row r="11" spans="4:12">
      <c r="D11" s="273"/>
      <c r="E11" s="274"/>
      <c r="F11" s="275"/>
      <c r="G11" s="276"/>
      <c r="H11" s="277"/>
      <c r="I11" s="283"/>
      <c r="J11" s="283"/>
      <c r="K11" s="283"/>
    </row>
    <row r="12" spans="4:12">
      <c r="D12" s="273"/>
      <c r="E12" s="274"/>
      <c r="F12" s="275"/>
      <c r="G12" s="278"/>
      <c r="H12" s="279"/>
      <c r="I12" s="283"/>
      <c r="J12" s="283"/>
      <c r="K12" s="283"/>
    </row>
    <row r="13" spans="4:12">
      <c r="D13" s="273"/>
      <c r="E13" s="274"/>
      <c r="F13" s="275"/>
      <c r="G13" s="278"/>
      <c r="H13" s="279"/>
      <c r="I13" s="283"/>
      <c r="J13" s="283"/>
      <c r="K13" s="283"/>
    </row>
    <row r="14" spans="4:12">
      <c r="D14" s="273"/>
      <c r="E14" s="274"/>
      <c r="F14" s="275"/>
      <c r="G14" s="278"/>
      <c r="H14" s="279"/>
      <c r="I14" s="283"/>
      <c r="J14" s="283"/>
      <c r="K14" s="283"/>
    </row>
    <row r="15" spans="4:12">
      <c r="D15" s="273"/>
      <c r="E15" s="274"/>
      <c r="F15" s="275"/>
      <c r="G15" s="278"/>
      <c r="H15" s="279"/>
      <c r="I15" s="283"/>
      <c r="J15" s="283"/>
      <c r="K15" s="283"/>
      <c r="L15" s="269" t="s">
        <v>308</v>
      </c>
    </row>
    <row r="16" spans="4:12">
      <c r="D16" s="273"/>
      <c r="E16" s="274"/>
      <c r="F16" s="275"/>
      <c r="G16" s="280"/>
      <c r="H16" s="277"/>
      <c r="I16" s="283"/>
      <c r="J16" s="283"/>
      <c r="K16" s="283"/>
    </row>
    <row r="17" spans="4:12">
      <c r="D17" s="273"/>
      <c r="E17" s="274"/>
      <c r="F17" s="275"/>
      <c r="G17" s="276"/>
      <c r="H17" s="277"/>
      <c r="I17" s="283"/>
      <c r="J17" s="283"/>
      <c r="K17" s="283"/>
    </row>
    <row r="18" spans="4:12">
      <c r="D18" s="273"/>
      <c r="E18" s="274"/>
      <c r="F18" s="275"/>
      <c r="G18" s="276"/>
      <c r="H18" s="277"/>
      <c r="I18" s="283"/>
      <c r="J18" s="283"/>
      <c r="K18" s="283"/>
    </row>
    <row r="19" spans="4:12">
      <c r="D19" s="273"/>
      <c r="E19" s="274"/>
      <c r="F19" s="275"/>
      <c r="G19" s="276"/>
      <c r="H19" s="277"/>
      <c r="I19" s="283"/>
      <c r="J19" s="283"/>
      <c r="K19" s="283"/>
    </row>
    <row r="20" spans="4:12">
      <c r="D20" s="273"/>
      <c r="E20" s="274"/>
      <c r="F20" s="275"/>
      <c r="G20" s="278"/>
      <c r="H20" s="279"/>
      <c r="I20" s="283"/>
      <c r="J20" s="283"/>
      <c r="K20" s="283"/>
      <c r="L20" s="269" t="s">
        <v>308</v>
      </c>
    </row>
    <row r="21" spans="4:12">
      <c r="D21" s="273"/>
      <c r="E21" s="274"/>
      <c r="F21" s="275"/>
      <c r="G21" s="276"/>
      <c r="H21" s="277"/>
      <c r="I21" s="283"/>
      <c r="J21" s="283"/>
      <c r="K21" s="283"/>
      <c r="L21" s="269" t="s">
        <v>308</v>
      </c>
    </row>
    <row r="22" spans="4:12">
      <c r="D22" s="273"/>
      <c r="E22" s="274"/>
      <c r="F22" s="275"/>
      <c r="G22" s="276"/>
      <c r="H22" s="277"/>
      <c r="I22" s="283"/>
      <c r="J22" s="283"/>
      <c r="K22" s="283"/>
    </row>
    <row r="23" spans="4:12">
      <c r="D23" s="273"/>
      <c r="E23" s="274"/>
      <c r="F23" s="275"/>
      <c r="G23" s="276"/>
      <c r="H23" s="277"/>
      <c r="I23" s="283"/>
      <c r="J23" s="283"/>
      <c r="K23" s="283"/>
    </row>
    <row r="24" spans="4:12">
      <c r="D24" s="273"/>
      <c r="E24" s="274"/>
      <c r="F24" s="275"/>
      <c r="G24" s="276"/>
      <c r="H24" s="277"/>
      <c r="I24" s="283"/>
      <c r="J24" s="283"/>
      <c r="K24" s="283"/>
    </row>
    <row r="25" spans="4:12">
      <c r="D25" s="273"/>
      <c r="E25" s="274"/>
      <c r="F25" s="275"/>
      <c r="G25" s="278"/>
      <c r="H25" s="279"/>
      <c r="I25" s="283"/>
      <c r="J25" s="283"/>
      <c r="K25" s="283"/>
    </row>
    <row r="26" spans="4:12">
      <c r="D26" s="273"/>
      <c r="E26" s="274"/>
      <c r="F26" s="275"/>
      <c r="G26" s="278"/>
      <c r="H26" s="279"/>
      <c r="I26" s="283"/>
      <c r="J26" s="283"/>
      <c r="K26" s="283"/>
    </row>
    <row r="27" spans="4:12">
      <c r="D27" s="273"/>
      <c r="E27" s="274"/>
      <c r="F27" s="275"/>
      <c r="G27" s="278"/>
      <c r="H27" s="279"/>
      <c r="I27" s="283"/>
      <c r="J27" s="283"/>
      <c r="K27" s="283"/>
      <c r="L27" s="269" t="s">
        <v>308</v>
      </c>
    </row>
    <row r="28" spans="4:12">
      <c r="D28" s="273"/>
      <c r="E28" s="274"/>
      <c r="F28" s="275"/>
      <c r="G28" s="280"/>
      <c r="H28" s="277"/>
      <c r="I28" s="283"/>
      <c r="J28" s="283"/>
      <c r="K28" s="283"/>
    </row>
    <row r="29" spans="4:12">
      <c r="D29" s="273"/>
      <c r="E29" s="274"/>
      <c r="F29" s="275"/>
      <c r="G29" s="276"/>
      <c r="H29" s="277"/>
      <c r="I29" s="283"/>
      <c r="J29" s="283"/>
      <c r="K29" s="283"/>
      <c r="L29" s="269" t="s">
        <v>308</v>
      </c>
    </row>
    <row r="30" spans="4:12">
      <c r="D30" s="273"/>
      <c r="E30" s="274"/>
      <c r="F30" s="275"/>
      <c r="G30" s="276"/>
      <c r="H30" s="277"/>
      <c r="I30" s="283"/>
      <c r="J30" s="283"/>
      <c r="K30" s="283"/>
      <c r="L30" s="269" t="s">
        <v>308</v>
      </c>
    </row>
    <row r="31" spans="4:12">
      <c r="D31" s="273"/>
      <c r="E31" s="274"/>
      <c r="F31" s="275"/>
      <c r="G31" s="276"/>
      <c r="H31" s="277"/>
      <c r="I31" s="283"/>
      <c r="J31" s="283"/>
      <c r="K31" s="283"/>
    </row>
    <row r="32" spans="4:12">
      <c r="D32" s="273"/>
      <c r="E32" s="274"/>
      <c r="F32" s="275"/>
      <c r="G32" s="278"/>
      <c r="H32" s="279"/>
      <c r="I32" s="283"/>
      <c r="J32" s="283"/>
      <c r="K32" s="283"/>
      <c r="L32" s="269" t="s">
        <v>308</v>
      </c>
    </row>
    <row r="33" spans="4:12">
      <c r="D33" s="273"/>
      <c r="E33" s="274"/>
      <c r="F33" s="275"/>
      <c r="G33" s="276"/>
      <c r="H33" s="277"/>
      <c r="I33" s="283"/>
      <c r="J33" s="283"/>
      <c r="K33" s="283"/>
      <c r="L33" s="269" t="s">
        <v>308</v>
      </c>
    </row>
    <row r="34" spans="4:12">
      <c r="D34" s="273"/>
      <c r="E34" s="274"/>
      <c r="F34" s="275"/>
      <c r="G34" s="276"/>
      <c r="H34" s="277"/>
      <c r="I34" s="283"/>
      <c r="J34" s="283"/>
      <c r="K34" s="283"/>
    </row>
    <row r="35" spans="4:12">
      <c r="D35" s="273"/>
      <c r="E35" s="274"/>
      <c r="F35" s="275"/>
      <c r="G35" s="276"/>
      <c r="H35" s="277"/>
      <c r="I35" s="283"/>
      <c r="J35" s="283"/>
      <c r="K35" s="283"/>
    </row>
    <row r="36" spans="4:12">
      <c r="D36" s="273"/>
      <c r="E36" s="274"/>
      <c r="F36" s="275"/>
      <c r="G36" s="278"/>
      <c r="H36" s="279"/>
      <c r="I36" s="283"/>
      <c r="J36" s="283"/>
      <c r="K36" s="283"/>
    </row>
    <row r="37" spans="4:12">
      <c r="D37" s="273"/>
      <c r="E37" s="274"/>
      <c r="F37" s="275"/>
      <c r="G37" s="278"/>
      <c r="H37" s="279"/>
      <c r="I37" s="283"/>
      <c r="J37" s="283"/>
      <c r="K37" s="283"/>
    </row>
    <row r="38" spans="4:12">
      <c r="D38" s="273"/>
      <c r="E38" s="274"/>
      <c r="F38" s="275"/>
      <c r="G38" s="276"/>
      <c r="H38" s="277"/>
      <c r="I38" s="283"/>
      <c r="J38" s="283"/>
      <c r="K38" s="283"/>
    </row>
    <row r="39" spans="4:12">
      <c r="D39" s="273"/>
      <c r="E39" s="274"/>
      <c r="F39" s="275"/>
      <c r="G39" s="278"/>
      <c r="H39" s="279"/>
      <c r="I39" s="283"/>
      <c r="J39" s="283"/>
      <c r="K39" s="283"/>
      <c r="L39" s="269" t="s">
        <v>308</v>
      </c>
    </row>
    <row r="40" spans="4:12">
      <c r="D40" s="273"/>
      <c r="E40" s="274"/>
      <c r="F40" s="275"/>
      <c r="G40" s="280"/>
      <c r="H40" s="277"/>
      <c r="I40" s="283"/>
      <c r="J40" s="283"/>
      <c r="K40" s="283"/>
    </row>
    <row r="41" spans="4:12">
      <c r="D41" s="273"/>
      <c r="E41" s="274"/>
      <c r="F41" s="275"/>
      <c r="G41" s="276"/>
      <c r="H41" s="277"/>
      <c r="I41" s="283"/>
      <c r="J41" s="283"/>
      <c r="K41" s="283"/>
    </row>
    <row r="42" spans="4:12">
      <c r="D42" s="273"/>
      <c r="E42" s="274"/>
      <c r="F42" s="275"/>
      <c r="G42" s="276"/>
      <c r="H42" s="277"/>
      <c r="I42" s="283"/>
      <c r="J42" s="283"/>
      <c r="K42" s="283"/>
    </row>
    <row r="43" spans="4:12">
      <c r="D43" s="273"/>
      <c r="E43" s="274"/>
      <c r="F43" s="275"/>
      <c r="G43" s="276"/>
      <c r="H43" s="277"/>
      <c r="I43" s="283"/>
      <c r="J43" s="283"/>
      <c r="K43" s="283"/>
    </row>
    <row r="44" spans="4:12">
      <c r="D44" s="273"/>
      <c r="E44" s="274"/>
      <c r="F44" s="275"/>
      <c r="G44" s="278"/>
      <c r="H44" s="279"/>
      <c r="I44" s="283"/>
      <c r="J44" s="283"/>
      <c r="K44" s="283"/>
      <c r="L44" s="269" t="s">
        <v>308</v>
      </c>
    </row>
    <row r="45" spans="4:12">
      <c r="D45" s="273"/>
      <c r="E45" s="274"/>
      <c r="F45" s="275"/>
      <c r="G45" s="276"/>
      <c r="H45" s="277"/>
      <c r="I45" s="283"/>
      <c r="J45" s="283"/>
      <c r="K45" s="283"/>
    </row>
    <row r="46" spans="4:12">
      <c r="D46" s="273"/>
      <c r="E46" s="274"/>
      <c r="F46" s="275"/>
      <c r="G46" s="276"/>
      <c r="H46" s="277"/>
      <c r="I46" s="283"/>
      <c r="J46" s="283"/>
      <c r="K46" s="283"/>
    </row>
    <row r="47" spans="4:12">
      <c r="D47" s="273"/>
      <c r="E47" s="274"/>
      <c r="F47" s="275"/>
      <c r="G47" s="276"/>
      <c r="H47" s="277"/>
      <c r="I47" s="283"/>
      <c r="J47" s="283"/>
      <c r="K47" s="283"/>
    </row>
    <row r="48" spans="4:12">
      <c r="D48" s="273"/>
      <c r="E48" s="274"/>
      <c r="F48" s="275"/>
      <c r="G48" s="276"/>
      <c r="H48" s="277"/>
      <c r="I48" s="283"/>
      <c r="J48" s="283"/>
      <c r="K48" s="283"/>
    </row>
    <row r="49" spans="4:12">
      <c r="D49" s="273"/>
      <c r="E49" s="274"/>
      <c r="F49" s="275"/>
      <c r="G49" s="276"/>
      <c r="H49" s="277"/>
      <c r="I49" s="283"/>
      <c r="J49" s="283"/>
      <c r="K49" s="283"/>
    </row>
    <row r="50" spans="4:12">
      <c r="D50" s="273"/>
      <c r="E50" s="274"/>
      <c r="F50" s="275"/>
      <c r="G50" s="278"/>
      <c r="H50" s="279"/>
      <c r="I50" s="283"/>
      <c r="J50" s="283"/>
      <c r="K50" s="283"/>
    </row>
    <row r="51" spans="4:12">
      <c r="D51" s="273"/>
      <c r="E51" s="274"/>
      <c r="F51" s="275"/>
      <c r="G51" s="278"/>
      <c r="H51" s="279"/>
      <c r="I51" s="283"/>
      <c r="J51" s="283"/>
      <c r="K51" s="283"/>
    </row>
    <row r="52" spans="4:12">
      <c r="D52" s="273"/>
      <c r="E52" s="274"/>
      <c r="F52" s="275"/>
      <c r="G52" s="278"/>
      <c r="H52" s="279"/>
      <c r="I52" s="283"/>
      <c r="J52" s="283"/>
      <c r="K52" s="283"/>
      <c r="L52" s="269" t="s">
        <v>308</v>
      </c>
    </row>
    <row r="53" spans="4:12">
      <c r="D53" s="273"/>
      <c r="E53" s="274"/>
      <c r="F53" s="275"/>
      <c r="G53" s="280"/>
      <c r="H53" s="277"/>
      <c r="I53" s="283"/>
      <c r="J53" s="283"/>
      <c r="K53" s="283"/>
    </row>
    <row r="54" spans="4:12">
      <c r="D54" s="273"/>
      <c r="E54" s="274"/>
      <c r="F54" s="275"/>
      <c r="G54" s="276"/>
      <c r="H54" s="277"/>
      <c r="I54" s="283"/>
      <c r="J54" s="283"/>
      <c r="K54" s="283"/>
      <c r="L54" s="269" t="s">
        <v>308</v>
      </c>
    </row>
    <row r="55" spans="4:12">
      <c r="D55" s="273"/>
      <c r="E55" s="274"/>
      <c r="F55" s="275"/>
      <c r="G55" s="276"/>
      <c r="H55" s="277"/>
      <c r="I55" s="283"/>
      <c r="J55" s="283"/>
      <c r="K55" s="283"/>
      <c r="L55" s="269" t="s">
        <v>308</v>
      </c>
    </row>
    <row r="56" spans="4:12">
      <c r="D56" s="273"/>
      <c r="E56" s="274"/>
      <c r="F56" s="275"/>
      <c r="G56" s="276"/>
      <c r="H56" s="277"/>
      <c r="I56" s="283"/>
      <c r="J56" s="283"/>
      <c r="K56" s="283"/>
    </row>
    <row r="57" spans="4:12">
      <c r="D57" s="273"/>
      <c r="E57" s="274"/>
      <c r="F57" s="275"/>
      <c r="G57" s="278"/>
      <c r="H57" s="279"/>
      <c r="I57" s="283"/>
      <c r="J57" s="283"/>
      <c r="K57" s="283"/>
      <c r="L57" s="269" t="s">
        <v>308</v>
      </c>
    </row>
    <row r="58" spans="4:12">
      <c r="D58" s="273"/>
      <c r="E58" s="274"/>
      <c r="F58" s="275"/>
      <c r="G58" s="276"/>
      <c r="H58" s="277"/>
      <c r="I58" s="283"/>
      <c r="J58" s="283"/>
      <c r="K58" s="283"/>
      <c r="L58" s="269" t="s">
        <v>308</v>
      </c>
    </row>
    <row r="59" spans="4:12">
      <c r="D59" s="273"/>
      <c r="E59" s="274"/>
      <c r="F59" s="275"/>
      <c r="G59" s="276"/>
      <c r="H59" s="277"/>
      <c r="I59" s="283"/>
      <c r="J59" s="283"/>
      <c r="K59" s="283"/>
    </row>
    <row r="60" spans="4:12">
      <c r="D60" s="273"/>
      <c r="E60" s="274"/>
      <c r="F60" s="275"/>
      <c r="G60" s="276"/>
      <c r="H60" s="277"/>
      <c r="I60" s="283"/>
      <c r="J60" s="283"/>
      <c r="K60" s="283"/>
    </row>
    <row r="61" spans="4:12">
      <c r="D61" s="273"/>
      <c r="E61" s="274"/>
      <c r="F61" s="275"/>
      <c r="G61" s="276"/>
      <c r="H61" s="277"/>
      <c r="I61" s="283"/>
      <c r="J61" s="283"/>
      <c r="K61" s="283"/>
    </row>
    <row r="62" spans="4:12">
      <c r="D62" s="273"/>
      <c r="E62" s="274"/>
      <c r="F62" s="275"/>
      <c r="G62" s="276"/>
      <c r="H62" s="277"/>
      <c r="I62" s="283"/>
      <c r="J62" s="283"/>
      <c r="K62" s="283"/>
    </row>
    <row r="63" spans="4:12">
      <c r="D63" s="273"/>
      <c r="E63" s="274"/>
      <c r="F63" s="275"/>
      <c r="G63" s="278"/>
      <c r="H63" s="279"/>
      <c r="I63" s="283"/>
      <c r="J63" s="283"/>
      <c r="K63" s="283"/>
    </row>
    <row r="64" spans="4:12">
      <c r="D64" s="273"/>
      <c r="E64" s="274"/>
      <c r="F64" s="275"/>
      <c r="G64" s="278"/>
      <c r="H64" s="279"/>
      <c r="I64" s="283"/>
      <c r="J64" s="283"/>
      <c r="K64" s="283"/>
    </row>
    <row r="65" spans="4:12">
      <c r="D65" s="273"/>
      <c r="E65" s="274"/>
      <c r="F65" s="275"/>
      <c r="G65" s="278"/>
      <c r="H65" s="279"/>
      <c r="I65" s="283"/>
      <c r="J65" s="283"/>
      <c r="K65" s="283"/>
      <c r="L65" s="269" t="s">
        <v>308</v>
      </c>
    </row>
    <row r="66" spans="4:12">
      <c r="D66" s="273"/>
      <c r="E66" s="274"/>
      <c r="F66" s="275"/>
      <c r="G66" s="280"/>
      <c r="H66" s="277"/>
      <c r="I66" s="283"/>
      <c r="J66" s="283"/>
      <c r="K66" s="283"/>
    </row>
    <row r="67" spans="4:12">
      <c r="D67" s="273"/>
      <c r="E67" s="274"/>
      <c r="F67" s="275"/>
      <c r="G67" s="276"/>
      <c r="H67" s="277"/>
      <c r="I67" s="283"/>
      <c r="J67" s="283"/>
      <c r="K67" s="283"/>
      <c r="L67" s="269" t="s">
        <v>308</v>
      </c>
    </row>
    <row r="68" spans="4:12">
      <c r="D68" s="273"/>
      <c r="E68" s="274"/>
      <c r="F68" s="275"/>
      <c r="G68" s="276"/>
      <c r="H68" s="277"/>
      <c r="I68" s="283"/>
      <c r="J68" s="283"/>
      <c r="K68" s="283"/>
      <c r="L68" s="269" t="s">
        <v>308</v>
      </c>
    </row>
    <row r="69" spans="4:12">
      <c r="D69" s="273"/>
      <c r="E69" s="274"/>
      <c r="F69" s="275"/>
      <c r="G69" s="276"/>
      <c r="H69" s="277"/>
      <c r="I69" s="283"/>
      <c r="J69" s="283"/>
      <c r="K69" s="283"/>
    </row>
    <row r="70" spans="4:12">
      <c r="D70" s="273"/>
      <c r="E70" s="274"/>
      <c r="F70" s="275"/>
      <c r="G70" s="278"/>
      <c r="H70" s="279"/>
      <c r="I70" s="283"/>
      <c r="J70" s="283"/>
      <c r="K70" s="283"/>
      <c r="L70" s="269" t="s">
        <v>308</v>
      </c>
    </row>
    <row r="71" spans="4:12">
      <c r="D71" s="273"/>
      <c r="E71" s="274"/>
      <c r="F71" s="275"/>
      <c r="G71" s="276"/>
      <c r="H71" s="277"/>
      <c r="I71" s="283"/>
      <c r="J71" s="283"/>
      <c r="K71" s="283"/>
      <c r="L71" s="269" t="s">
        <v>308</v>
      </c>
    </row>
    <row r="72" spans="4:12">
      <c r="D72" s="273"/>
      <c r="E72" s="274"/>
      <c r="F72" s="275"/>
      <c r="G72" s="276"/>
      <c r="H72" s="277"/>
      <c r="I72" s="283"/>
      <c r="J72" s="283"/>
      <c r="K72" s="283"/>
    </row>
    <row r="73" spans="4:12">
      <c r="D73" s="273"/>
      <c r="E73" s="274"/>
      <c r="F73" s="275"/>
      <c r="G73" s="276"/>
      <c r="H73" s="277"/>
      <c r="I73" s="283"/>
      <c r="J73" s="283"/>
      <c r="K73" s="283"/>
    </row>
    <row r="74" spans="4:12">
      <c r="D74" s="273"/>
      <c r="E74" s="274"/>
      <c r="F74" s="275"/>
      <c r="G74" s="276"/>
      <c r="H74" s="277"/>
      <c r="I74" s="283"/>
      <c r="J74" s="283"/>
      <c r="K74" s="283"/>
    </row>
    <row r="75" spans="4:12">
      <c r="D75" s="273"/>
      <c r="E75" s="274"/>
      <c r="F75" s="275"/>
      <c r="G75" s="276"/>
      <c r="H75" s="277"/>
      <c r="I75" s="283"/>
      <c r="J75" s="283"/>
      <c r="K75" s="283"/>
    </row>
    <row r="76" spans="4:12">
      <c r="D76" s="273"/>
      <c r="E76" s="274"/>
      <c r="F76" s="275"/>
      <c r="G76" s="278"/>
      <c r="H76" s="279"/>
      <c r="I76" s="283"/>
      <c r="J76" s="283"/>
      <c r="K76" s="283"/>
    </row>
    <row r="77" spans="4:12">
      <c r="D77" s="273"/>
      <c r="E77" s="274"/>
      <c r="F77" s="275"/>
      <c r="G77" s="278"/>
      <c r="H77" s="279"/>
      <c r="I77" s="283"/>
      <c r="J77" s="283"/>
      <c r="K77" s="283"/>
    </row>
    <row r="78" spans="4:12">
      <c r="D78" s="273"/>
      <c r="E78" s="274"/>
      <c r="F78" s="275"/>
      <c r="G78" s="284"/>
      <c r="H78" s="285"/>
      <c r="I78" s="283"/>
      <c r="J78" s="283"/>
      <c r="K78" s="283"/>
      <c r="L78" s="269" t="s">
        <v>308</v>
      </c>
    </row>
    <row r="79" spans="4:12">
      <c r="D79" s="273"/>
      <c r="E79" s="274"/>
      <c r="F79" s="275"/>
      <c r="G79" s="286"/>
      <c r="H79" s="287"/>
      <c r="I79" s="283"/>
      <c r="J79" s="283"/>
      <c r="K79" s="283"/>
    </row>
    <row r="80" spans="4:12">
      <c r="D80" s="273"/>
      <c r="E80" s="274"/>
      <c r="F80" s="275"/>
      <c r="G80" s="288"/>
      <c r="H80" s="287"/>
      <c r="I80" s="283"/>
      <c r="J80" s="283"/>
      <c r="K80" s="283"/>
      <c r="L80" s="269" t="s">
        <v>308</v>
      </c>
    </row>
    <row r="81" spans="4:12">
      <c r="D81" s="273"/>
      <c r="E81" s="274"/>
      <c r="F81" s="275"/>
      <c r="G81" s="288"/>
      <c r="H81" s="287"/>
      <c r="I81" s="283"/>
      <c r="J81" s="283"/>
      <c r="K81" s="283"/>
      <c r="L81" s="269" t="s">
        <v>308</v>
      </c>
    </row>
    <row r="82" spans="4:12">
      <c r="D82" s="273"/>
      <c r="E82" s="274"/>
      <c r="F82" s="275"/>
      <c r="G82" s="288"/>
      <c r="H82" s="287"/>
      <c r="I82" s="283"/>
      <c r="J82" s="283"/>
      <c r="K82" s="283"/>
    </row>
    <row r="83" spans="4:12">
      <c r="D83" s="273"/>
      <c r="E83" s="274"/>
      <c r="F83" s="275"/>
      <c r="G83" s="284"/>
      <c r="H83" s="285"/>
      <c r="I83" s="283"/>
      <c r="J83" s="283"/>
      <c r="K83" s="283"/>
      <c r="L83" s="269" t="s">
        <v>308</v>
      </c>
    </row>
    <row r="84" spans="4:12">
      <c r="D84" s="273"/>
      <c r="E84" s="274"/>
      <c r="F84" s="275"/>
      <c r="G84" s="288"/>
      <c r="H84" s="287"/>
      <c r="I84" s="283"/>
      <c r="J84" s="283"/>
      <c r="K84" s="283"/>
    </row>
    <row r="85" spans="4:12">
      <c r="D85" s="273"/>
      <c r="E85" s="274"/>
      <c r="F85" s="275"/>
      <c r="G85" s="288"/>
      <c r="H85" s="287"/>
      <c r="I85" s="283"/>
      <c r="J85" s="283"/>
      <c r="K85" s="283"/>
    </row>
    <row r="86" spans="4:12">
      <c r="D86" s="273"/>
      <c r="E86" s="274"/>
      <c r="F86" s="275"/>
      <c r="G86" s="288"/>
      <c r="H86" s="287"/>
      <c r="I86" s="283"/>
      <c r="J86" s="283"/>
      <c r="K86" s="283"/>
    </row>
    <row r="87" spans="4:12">
      <c r="D87" s="273"/>
      <c r="E87" s="274"/>
      <c r="F87" s="275"/>
      <c r="G87" s="288"/>
      <c r="H87" s="287"/>
      <c r="I87" s="283"/>
      <c r="J87" s="283"/>
      <c r="K87" s="283"/>
    </row>
    <row r="88" spans="4:12">
      <c r="D88" s="273"/>
      <c r="E88" s="274"/>
      <c r="F88" s="275"/>
      <c r="G88" s="288"/>
      <c r="H88" s="287"/>
      <c r="I88" s="283"/>
      <c r="J88" s="283"/>
      <c r="K88" s="283"/>
    </row>
    <row r="89" spans="4:12">
      <c r="D89" s="273"/>
      <c r="E89" s="274"/>
      <c r="F89" s="275"/>
      <c r="G89" s="284"/>
      <c r="H89" s="285"/>
      <c r="I89" s="283"/>
      <c r="J89" s="283"/>
      <c r="K89" s="283"/>
    </row>
    <row r="90" spans="4:12">
      <c r="D90" s="273"/>
      <c r="E90" s="274"/>
      <c r="F90" s="275"/>
      <c r="G90" s="284"/>
      <c r="H90" s="285"/>
      <c r="I90" s="283"/>
      <c r="J90" s="283"/>
      <c r="K90" s="283"/>
    </row>
    <row r="91" spans="4:12">
      <c r="D91" s="273"/>
      <c r="E91" s="274"/>
      <c r="F91" s="275"/>
      <c r="G91" s="284"/>
      <c r="H91" s="285"/>
      <c r="I91" s="283"/>
      <c r="J91" s="283"/>
      <c r="K91" s="283"/>
      <c r="L91" s="269" t="s">
        <v>308</v>
      </c>
    </row>
    <row r="92" spans="4:12">
      <c r="D92" s="273"/>
      <c r="E92" s="274"/>
      <c r="F92" s="275"/>
      <c r="G92" s="286"/>
      <c r="H92" s="287"/>
      <c r="I92" s="283"/>
      <c r="J92" s="283"/>
      <c r="K92" s="283"/>
    </row>
    <row r="93" spans="4:12">
      <c r="D93" s="273"/>
      <c r="E93" s="274"/>
      <c r="F93" s="275"/>
      <c r="G93" s="288"/>
      <c r="H93" s="287"/>
      <c r="I93" s="283"/>
      <c r="J93" s="283"/>
      <c r="K93" s="283"/>
      <c r="L93" s="269" t="s">
        <v>308</v>
      </c>
    </row>
    <row r="94" spans="4:12">
      <c r="D94" s="273"/>
      <c r="E94" s="274"/>
      <c r="F94" s="275"/>
      <c r="G94" s="288"/>
      <c r="H94" s="287"/>
      <c r="I94" s="283"/>
      <c r="J94" s="283"/>
      <c r="K94" s="283"/>
      <c r="L94" s="269" t="s">
        <v>308</v>
      </c>
    </row>
    <row r="95" spans="4:12">
      <c r="D95" s="273"/>
      <c r="E95" s="274"/>
      <c r="F95" s="275"/>
      <c r="G95" s="288"/>
      <c r="H95" s="287"/>
      <c r="I95" s="283"/>
      <c r="J95" s="283"/>
      <c r="K95" s="283"/>
    </row>
    <row r="96" spans="4:12">
      <c r="D96" s="273"/>
      <c r="E96" s="274"/>
      <c r="F96" s="275"/>
      <c r="G96" s="284"/>
      <c r="H96" s="285"/>
      <c r="I96" s="283"/>
      <c r="J96" s="283"/>
      <c r="K96" s="283"/>
      <c r="L96" s="269" t="s">
        <v>308</v>
      </c>
    </row>
    <row r="97" spans="4:12">
      <c r="D97" s="273"/>
      <c r="E97" s="274"/>
      <c r="F97" s="275"/>
      <c r="G97" s="288"/>
      <c r="H97" s="287"/>
      <c r="I97" s="283"/>
      <c r="J97" s="283"/>
      <c r="K97" s="283"/>
      <c r="L97" s="269" t="s">
        <v>308</v>
      </c>
    </row>
    <row r="98" spans="4:12">
      <c r="D98" s="273"/>
      <c r="E98" s="274"/>
      <c r="F98" s="275"/>
      <c r="G98" s="288"/>
      <c r="H98" s="287"/>
      <c r="I98" s="283"/>
      <c r="J98" s="283"/>
      <c r="K98" s="283"/>
      <c r="L98" s="269" t="s">
        <v>308</v>
      </c>
    </row>
    <row r="99" spans="4:12">
      <c r="D99" s="273"/>
      <c r="E99" s="274"/>
      <c r="F99" s="275"/>
      <c r="G99" s="288"/>
      <c r="H99" s="287"/>
      <c r="I99" s="283"/>
      <c r="J99" s="283"/>
      <c r="K99" s="283"/>
    </row>
    <row r="100" spans="4:12">
      <c r="D100" s="273"/>
      <c r="E100" s="274"/>
      <c r="F100" s="275"/>
      <c r="G100" s="288"/>
      <c r="H100" s="287"/>
      <c r="I100" s="283"/>
      <c r="J100" s="283"/>
      <c r="K100" s="283"/>
    </row>
    <row r="101" spans="4:12">
      <c r="D101" s="273"/>
      <c r="E101" s="274"/>
      <c r="F101" s="275"/>
      <c r="G101" s="288"/>
      <c r="H101" s="287"/>
      <c r="I101" s="283"/>
      <c r="J101" s="283"/>
      <c r="K101" s="283"/>
    </row>
    <row r="102" spans="4:12">
      <c r="D102" s="273"/>
      <c r="E102" s="274"/>
      <c r="F102" s="275"/>
      <c r="G102" s="284"/>
      <c r="H102" s="285"/>
      <c r="I102" s="283"/>
      <c r="J102" s="283"/>
      <c r="K102" s="283"/>
    </row>
    <row r="103" spans="4:12">
      <c r="D103" s="273"/>
      <c r="E103" s="274"/>
      <c r="F103" s="275"/>
      <c r="G103" s="284"/>
      <c r="H103" s="285"/>
      <c r="I103" s="283"/>
      <c r="J103" s="283"/>
      <c r="K103" s="283"/>
    </row>
    <row r="104" spans="4:12">
      <c r="D104" s="273"/>
      <c r="E104" s="274"/>
      <c r="F104" s="275"/>
      <c r="G104" s="284"/>
      <c r="H104" s="285"/>
      <c r="I104" s="283"/>
      <c r="J104" s="283"/>
      <c r="K104" s="283"/>
      <c r="L104" s="269" t="s">
        <v>308</v>
      </c>
    </row>
    <row r="105" spans="4:12">
      <c r="D105" s="273"/>
      <c r="E105" s="274"/>
      <c r="F105" s="275"/>
      <c r="G105" s="286"/>
      <c r="H105" s="287"/>
      <c r="I105" s="283"/>
      <c r="J105" s="283"/>
      <c r="K105" s="283"/>
    </row>
    <row r="106" spans="4:12">
      <c r="D106" s="273"/>
      <c r="E106" s="274"/>
      <c r="F106" s="275"/>
      <c r="G106" s="284"/>
      <c r="H106" s="285"/>
      <c r="I106" s="283"/>
      <c r="J106" s="283"/>
      <c r="K106" s="283"/>
    </row>
    <row r="107" spans="4:12">
      <c r="D107" s="273"/>
      <c r="E107" s="274"/>
      <c r="F107" s="275"/>
      <c r="G107" s="288"/>
      <c r="H107" s="287"/>
      <c r="I107" s="283"/>
      <c r="J107" s="283"/>
      <c r="K107" s="283"/>
    </row>
    <row r="108" spans="4:12">
      <c r="D108" s="273"/>
      <c r="E108" s="274"/>
      <c r="F108" s="275"/>
      <c r="G108" s="288"/>
      <c r="H108" s="287"/>
      <c r="I108" s="283"/>
      <c r="J108" s="283"/>
      <c r="K108" s="283"/>
    </row>
    <row r="109" spans="4:12">
      <c r="D109" s="273"/>
      <c r="E109" s="274"/>
      <c r="F109" s="275"/>
      <c r="G109" s="288"/>
      <c r="H109" s="287"/>
      <c r="I109" s="283"/>
      <c r="J109" s="283"/>
      <c r="K109" s="283"/>
    </row>
    <row r="110" spans="4:12">
      <c r="D110" s="273"/>
      <c r="E110" s="274"/>
      <c r="F110" s="275"/>
      <c r="G110" s="288"/>
      <c r="H110" s="287"/>
      <c r="I110" s="283"/>
      <c r="J110" s="283"/>
      <c r="K110" s="283"/>
    </row>
    <row r="111" spans="4:12">
      <c r="D111" s="273"/>
      <c r="E111" s="274"/>
      <c r="F111" s="275"/>
      <c r="G111" s="288"/>
      <c r="H111" s="287"/>
      <c r="I111" s="283"/>
      <c r="J111" s="283"/>
      <c r="K111" s="283"/>
    </row>
    <row r="112" spans="4:12">
      <c r="D112" s="273"/>
      <c r="E112" s="274"/>
      <c r="F112" s="275"/>
      <c r="G112" s="284"/>
      <c r="H112" s="285"/>
      <c r="I112" s="283"/>
      <c r="J112" s="283"/>
      <c r="K112" s="283"/>
    </row>
    <row r="113" spans="4:11">
      <c r="D113" s="273"/>
      <c r="E113" s="274"/>
      <c r="F113" s="275"/>
      <c r="G113" s="284"/>
      <c r="H113" s="285"/>
      <c r="I113" s="283"/>
      <c r="J113" s="283"/>
      <c r="K113" s="283"/>
    </row>
    <row r="114" spans="4:11">
      <c r="D114" s="273"/>
      <c r="E114" s="274"/>
      <c r="F114" s="275"/>
      <c r="G114" s="288"/>
      <c r="H114" s="287"/>
      <c r="I114" s="283"/>
      <c r="J114" s="283"/>
      <c r="K114" s="283"/>
    </row>
    <row r="115" spans="4:11">
      <c r="D115" s="273"/>
      <c r="E115" s="274"/>
      <c r="F115" s="275"/>
      <c r="G115" s="284"/>
      <c r="H115" s="285"/>
      <c r="I115" s="283"/>
      <c r="J115" s="283"/>
      <c r="K115" s="283"/>
    </row>
    <row r="116" spans="4:11">
      <c r="D116" s="273"/>
      <c r="E116" s="274"/>
      <c r="F116" s="275"/>
      <c r="G116" s="286"/>
      <c r="H116" s="287"/>
      <c r="I116" s="283"/>
      <c r="J116" s="283"/>
      <c r="K116" s="283"/>
    </row>
    <row r="117" spans="4:11">
      <c r="D117" s="273"/>
      <c r="E117" s="274"/>
      <c r="F117" s="275"/>
      <c r="G117" s="288"/>
      <c r="H117" s="287"/>
      <c r="I117" s="283"/>
      <c r="J117" s="283"/>
      <c r="K117" s="283"/>
    </row>
    <row r="118" spans="4:11">
      <c r="D118" s="273"/>
      <c r="E118" s="274"/>
      <c r="F118" s="275"/>
      <c r="G118" s="288"/>
      <c r="H118" s="287"/>
      <c r="I118" s="283"/>
      <c r="J118" s="283"/>
      <c r="K118" s="283"/>
    </row>
    <row r="119" spans="4:11">
      <c r="D119" s="273"/>
      <c r="E119" s="274"/>
      <c r="F119" s="275"/>
      <c r="G119" s="288"/>
      <c r="H119" s="287"/>
      <c r="I119" s="283"/>
      <c r="J119" s="283"/>
      <c r="K119" s="283"/>
    </row>
    <row r="120" spans="4:11">
      <c r="D120" s="273"/>
      <c r="E120" s="274"/>
      <c r="F120" s="275"/>
      <c r="G120" s="284"/>
      <c r="H120" s="285"/>
      <c r="I120" s="283"/>
      <c r="J120" s="283"/>
      <c r="K120" s="283"/>
    </row>
    <row r="121" spans="4:11">
      <c r="D121" s="273"/>
      <c r="E121" s="274"/>
      <c r="F121" s="275"/>
      <c r="G121" s="288"/>
      <c r="H121" s="287"/>
      <c r="I121" s="283"/>
      <c r="J121" s="283"/>
      <c r="K121" s="283"/>
    </row>
    <row r="122" spans="4:11">
      <c r="D122" s="273"/>
      <c r="E122" s="274"/>
      <c r="F122" s="275"/>
      <c r="G122" s="288"/>
      <c r="H122" s="287"/>
      <c r="I122" s="283"/>
      <c r="J122" s="283"/>
      <c r="K122" s="283"/>
    </row>
    <row r="123" spans="4:11">
      <c r="D123" s="273"/>
      <c r="E123" s="274"/>
      <c r="F123" s="275"/>
      <c r="G123" s="288"/>
      <c r="H123" s="287"/>
      <c r="I123" s="283"/>
      <c r="J123" s="283"/>
      <c r="K123" s="283"/>
    </row>
    <row r="124" spans="4:11">
      <c r="D124" s="273"/>
      <c r="E124" s="274"/>
      <c r="F124" s="275"/>
      <c r="G124" s="284"/>
      <c r="H124" s="285"/>
      <c r="I124" s="283"/>
      <c r="J124" s="283"/>
      <c r="K124" s="283"/>
    </row>
    <row r="125" spans="4:11">
      <c r="D125" s="273"/>
      <c r="E125" s="274"/>
      <c r="F125" s="275"/>
      <c r="G125" s="284"/>
      <c r="H125" s="285"/>
      <c r="I125" s="283"/>
      <c r="J125" s="283"/>
      <c r="K125" s="283"/>
    </row>
    <row r="126" spans="4:11">
      <c r="D126" s="273"/>
      <c r="E126" s="274"/>
      <c r="F126" s="275"/>
      <c r="G126" s="288"/>
      <c r="H126" s="287"/>
      <c r="I126" s="283"/>
      <c r="J126" s="283"/>
      <c r="K126" s="283"/>
    </row>
    <row r="127" spans="4:11">
      <c r="D127" s="273"/>
      <c r="E127" s="274"/>
      <c r="F127" s="275"/>
      <c r="G127" s="284"/>
      <c r="H127" s="285"/>
      <c r="I127" s="283"/>
      <c r="J127" s="283"/>
      <c r="K127" s="283"/>
    </row>
    <row r="128" spans="4:11">
      <c r="D128" s="273"/>
      <c r="E128" s="274"/>
      <c r="F128" s="275"/>
      <c r="G128" s="286"/>
      <c r="H128" s="287"/>
      <c r="I128" s="283"/>
      <c r="J128" s="283"/>
      <c r="K128" s="283"/>
    </row>
    <row r="129" spans="4:11">
      <c r="D129" s="273"/>
      <c r="E129" s="274"/>
      <c r="F129" s="275"/>
      <c r="G129" s="288"/>
      <c r="H129" s="287"/>
      <c r="I129" s="283"/>
      <c r="J129" s="283"/>
      <c r="K129" s="283"/>
    </row>
    <row r="130" spans="4:11">
      <c r="D130" s="273"/>
      <c r="E130" s="274"/>
      <c r="F130" s="275"/>
      <c r="G130" s="288"/>
      <c r="H130" s="287"/>
      <c r="I130" s="283"/>
      <c r="J130" s="283"/>
      <c r="K130" s="283"/>
    </row>
    <row r="131" spans="4:11">
      <c r="D131" s="273"/>
      <c r="E131" s="274"/>
      <c r="F131" s="275"/>
      <c r="G131" s="288"/>
      <c r="H131" s="287"/>
      <c r="I131" s="283"/>
      <c r="J131" s="283"/>
      <c r="K131" s="283"/>
    </row>
    <row r="132" spans="4:11">
      <c r="D132" s="273"/>
      <c r="E132" s="274"/>
      <c r="F132" s="275"/>
      <c r="G132" s="284"/>
      <c r="H132" s="285"/>
      <c r="I132" s="283"/>
      <c r="J132" s="283"/>
      <c r="K132" s="283"/>
    </row>
    <row r="133" spans="4:11">
      <c r="D133" s="273"/>
      <c r="E133" s="274"/>
      <c r="F133" s="275"/>
      <c r="G133" s="288"/>
      <c r="H133" s="287"/>
      <c r="I133" s="283"/>
      <c r="J133" s="283"/>
      <c r="K133" s="283"/>
    </row>
    <row r="134" spans="4:11">
      <c r="D134" s="273"/>
      <c r="E134" s="274"/>
      <c r="F134" s="275"/>
      <c r="G134" s="288"/>
      <c r="H134" s="287"/>
      <c r="I134" s="283"/>
      <c r="J134" s="283"/>
      <c r="K134" s="283"/>
    </row>
    <row r="135" spans="4:11">
      <c r="D135" s="273"/>
      <c r="E135" s="274"/>
      <c r="F135" s="275"/>
      <c r="G135" s="284"/>
      <c r="H135" s="285"/>
      <c r="I135" s="283"/>
      <c r="J135" s="283"/>
      <c r="K135" s="283"/>
    </row>
    <row r="136" spans="4:11">
      <c r="D136" s="273"/>
      <c r="E136" s="274"/>
      <c r="F136" s="275"/>
      <c r="G136" s="284"/>
      <c r="H136" s="285"/>
      <c r="I136" s="283"/>
      <c r="J136" s="283"/>
      <c r="K136" s="283"/>
    </row>
    <row r="137" spans="4:11">
      <c r="D137" s="273"/>
      <c r="E137" s="274"/>
      <c r="F137" s="275"/>
      <c r="G137" s="284"/>
      <c r="H137" s="285"/>
      <c r="I137" s="283"/>
      <c r="J137" s="283"/>
      <c r="K137" s="283"/>
    </row>
    <row r="138" spans="4:11">
      <c r="D138" s="273"/>
      <c r="E138" s="274"/>
      <c r="F138" s="275"/>
      <c r="G138" s="286"/>
      <c r="H138" s="287"/>
      <c r="I138" s="283"/>
      <c r="J138" s="283"/>
      <c r="K138" s="283"/>
    </row>
    <row r="139" spans="4:11">
      <c r="D139" s="273"/>
      <c r="E139" s="274"/>
      <c r="F139" s="275"/>
      <c r="G139" s="288"/>
      <c r="H139" s="287"/>
      <c r="I139" s="283"/>
      <c r="J139" s="283"/>
      <c r="K139" s="283"/>
    </row>
    <row r="140" spans="4:11">
      <c r="D140" s="273"/>
      <c r="E140" s="274"/>
      <c r="F140" s="275"/>
      <c r="G140" s="288"/>
      <c r="H140" s="287"/>
      <c r="I140" s="283"/>
      <c r="J140" s="283"/>
      <c r="K140" s="283"/>
    </row>
    <row r="141" spans="4:11">
      <c r="D141" s="273"/>
      <c r="E141" s="274"/>
      <c r="F141" s="275"/>
      <c r="G141" s="288"/>
      <c r="H141" s="287"/>
      <c r="I141" s="283"/>
      <c r="J141" s="283"/>
      <c r="K141" s="283"/>
    </row>
    <row r="142" spans="4:11">
      <c r="D142" s="273"/>
      <c r="E142" s="274"/>
      <c r="F142" s="275"/>
      <c r="G142" s="284"/>
      <c r="H142" s="285"/>
      <c r="I142" s="283"/>
      <c r="J142" s="283"/>
      <c r="K142" s="283"/>
    </row>
    <row r="143" spans="4:11">
      <c r="D143" s="273"/>
      <c r="E143" s="274"/>
      <c r="F143" s="275"/>
      <c r="G143" s="288"/>
      <c r="H143" s="287"/>
      <c r="I143" s="283"/>
      <c r="J143" s="283"/>
      <c r="K143" s="283"/>
    </row>
    <row r="144" spans="4:11">
      <c r="D144" s="273"/>
      <c r="E144" s="274"/>
      <c r="F144" s="275"/>
      <c r="G144" s="288"/>
      <c r="H144" s="287"/>
      <c r="I144" s="283"/>
      <c r="J144" s="283"/>
      <c r="K144" s="283"/>
    </row>
    <row r="145" spans="4:11">
      <c r="D145" s="273"/>
      <c r="E145" s="274"/>
      <c r="F145" s="275"/>
      <c r="G145" s="288"/>
      <c r="H145" s="287"/>
      <c r="I145" s="283"/>
      <c r="J145" s="283"/>
      <c r="K145" s="283"/>
    </row>
    <row r="146" spans="4:11">
      <c r="D146" s="273"/>
      <c r="E146" s="274"/>
      <c r="F146" s="275"/>
      <c r="G146" s="288"/>
      <c r="H146" s="287"/>
      <c r="I146" s="283"/>
      <c r="J146" s="283"/>
      <c r="K146" s="283"/>
    </row>
    <row r="147" spans="4:11">
      <c r="D147" s="273"/>
      <c r="E147" s="274"/>
      <c r="F147" s="275"/>
      <c r="G147" s="284"/>
      <c r="H147" s="285"/>
      <c r="I147" s="283"/>
      <c r="J147" s="283"/>
      <c r="K147" s="283"/>
    </row>
    <row r="148" spans="4:11">
      <c r="D148" s="273"/>
      <c r="E148" s="274"/>
      <c r="F148" s="275"/>
      <c r="G148" s="284"/>
      <c r="H148" s="285"/>
      <c r="I148" s="283"/>
      <c r="J148" s="283"/>
      <c r="K148" s="283"/>
    </row>
    <row r="149" spans="4:11">
      <c r="D149" s="273"/>
      <c r="E149" s="274"/>
      <c r="F149" s="275"/>
      <c r="G149" s="284"/>
      <c r="H149" s="285"/>
      <c r="I149" s="283"/>
      <c r="J149" s="283"/>
      <c r="K149" s="283"/>
    </row>
    <row r="150" spans="4:11">
      <c r="D150" s="273"/>
      <c r="E150" s="274"/>
      <c r="F150" s="275"/>
      <c r="G150" s="286"/>
      <c r="H150" s="287"/>
      <c r="I150" s="283"/>
      <c r="J150" s="283"/>
      <c r="K150" s="283"/>
    </row>
    <row r="151" spans="4:11">
      <c r="D151" s="273"/>
      <c r="E151" s="274"/>
      <c r="F151" s="275"/>
      <c r="G151" s="288"/>
      <c r="H151" s="287"/>
      <c r="I151" s="283"/>
      <c r="J151" s="283"/>
      <c r="K151" s="283"/>
    </row>
    <row r="152" spans="4:11">
      <c r="D152" s="273"/>
      <c r="E152" s="274"/>
      <c r="F152" s="275"/>
      <c r="G152" s="288"/>
      <c r="H152" s="287"/>
      <c r="I152" s="283"/>
      <c r="J152" s="283"/>
      <c r="K152" s="283"/>
    </row>
    <row r="153" spans="4:11">
      <c r="D153" s="273"/>
      <c r="E153" s="274"/>
      <c r="F153" s="275"/>
      <c r="G153" s="288"/>
      <c r="H153" s="287"/>
      <c r="I153" s="283"/>
      <c r="J153" s="283"/>
      <c r="K153" s="283"/>
    </row>
    <row r="154" spans="4:11">
      <c r="D154" s="273"/>
      <c r="E154" s="274"/>
      <c r="F154" s="275"/>
      <c r="G154" s="284"/>
      <c r="H154" s="285"/>
      <c r="I154" s="283"/>
      <c r="J154" s="283"/>
      <c r="K154" s="283"/>
    </row>
    <row r="155" spans="4:11">
      <c r="D155" s="273"/>
      <c r="E155" s="274"/>
      <c r="F155" s="275"/>
      <c r="G155" s="288"/>
      <c r="H155" s="287"/>
      <c r="I155" s="283"/>
      <c r="J155" s="283"/>
      <c r="K155" s="283"/>
    </row>
    <row r="156" spans="4:11">
      <c r="D156" s="273"/>
      <c r="E156" s="274"/>
      <c r="F156" s="275"/>
      <c r="G156" s="288"/>
      <c r="H156" s="287"/>
      <c r="I156" s="283"/>
      <c r="J156" s="283"/>
      <c r="K156" s="283"/>
    </row>
    <row r="157" spans="4:11">
      <c r="D157" s="273"/>
      <c r="E157" s="274"/>
      <c r="F157" s="275"/>
      <c r="G157" s="288"/>
      <c r="H157" s="287"/>
      <c r="I157" s="283"/>
      <c r="J157" s="283"/>
      <c r="K157" s="283"/>
    </row>
    <row r="158" spans="4:11">
      <c r="D158" s="273"/>
      <c r="E158" s="274"/>
      <c r="F158" s="275"/>
      <c r="G158" s="284"/>
      <c r="H158" s="285"/>
      <c r="I158" s="283"/>
      <c r="J158" s="283"/>
      <c r="K158" s="283"/>
    </row>
    <row r="159" spans="4:11">
      <c r="D159" s="273"/>
      <c r="E159" s="274"/>
      <c r="F159" s="275"/>
      <c r="G159" s="284"/>
      <c r="H159" s="285"/>
      <c r="I159" s="283"/>
      <c r="J159" s="283"/>
      <c r="K159" s="283"/>
    </row>
    <row r="160" spans="4:11">
      <c r="D160" s="273"/>
      <c r="E160" s="274"/>
      <c r="F160" s="275"/>
      <c r="G160" s="284"/>
      <c r="H160" s="285"/>
      <c r="I160" s="283"/>
      <c r="J160" s="283"/>
      <c r="K160" s="283"/>
    </row>
    <row r="161" spans="4:11">
      <c r="D161" s="273"/>
      <c r="E161" s="274"/>
      <c r="F161" s="275"/>
      <c r="G161" s="286"/>
      <c r="H161" s="287"/>
      <c r="I161" s="283"/>
      <c r="J161" s="283"/>
      <c r="K161" s="283"/>
    </row>
    <row r="162" spans="4:11">
      <c r="D162" s="273"/>
      <c r="E162" s="274"/>
      <c r="F162" s="275"/>
      <c r="G162" s="288"/>
      <c r="H162" s="287"/>
      <c r="I162" s="283"/>
      <c r="J162" s="283"/>
      <c r="K162" s="283"/>
    </row>
    <row r="163" spans="4:11">
      <c r="D163" s="273"/>
      <c r="E163" s="274"/>
      <c r="F163" s="275"/>
      <c r="G163" s="288"/>
      <c r="H163" s="287"/>
      <c r="I163" s="283"/>
      <c r="J163" s="283"/>
      <c r="K163" s="283"/>
    </row>
    <row r="164" spans="4:11">
      <c r="D164" s="273"/>
      <c r="E164" s="274"/>
      <c r="F164" s="275"/>
      <c r="G164" s="288"/>
      <c r="H164" s="287"/>
      <c r="I164" s="283"/>
      <c r="J164" s="283"/>
      <c r="K164" s="283"/>
    </row>
    <row r="165" spans="4:11">
      <c r="D165" s="273"/>
      <c r="E165" s="274"/>
      <c r="F165" s="275"/>
      <c r="G165" s="284"/>
      <c r="H165" s="285"/>
      <c r="I165" s="283"/>
      <c r="J165" s="283"/>
      <c r="K165" s="283"/>
    </row>
    <row r="166" spans="4:11">
      <c r="D166" s="273"/>
      <c r="E166" s="274"/>
      <c r="F166" s="275"/>
      <c r="G166" s="288"/>
      <c r="H166" s="287"/>
      <c r="I166" s="283"/>
      <c r="J166" s="283"/>
      <c r="K166" s="283"/>
    </row>
    <row r="167" spans="4:11">
      <c r="D167" s="273"/>
      <c r="E167" s="274"/>
      <c r="F167" s="275"/>
      <c r="G167" s="288"/>
      <c r="H167" s="287"/>
      <c r="I167" s="283"/>
      <c r="J167" s="283"/>
      <c r="K167" s="283"/>
    </row>
    <row r="168" spans="4:11">
      <c r="D168" s="273"/>
      <c r="E168" s="274"/>
      <c r="F168" s="275"/>
      <c r="G168" s="288"/>
      <c r="H168" s="287"/>
      <c r="I168" s="283"/>
      <c r="J168" s="283"/>
      <c r="K168" s="283"/>
    </row>
    <row r="169" spans="4:11">
      <c r="D169" s="273"/>
      <c r="E169" s="274"/>
      <c r="F169" s="275"/>
      <c r="G169" s="288"/>
      <c r="H169" s="287"/>
      <c r="I169" s="283"/>
      <c r="J169" s="283"/>
      <c r="K169" s="283"/>
    </row>
    <row r="170" spans="4:11">
      <c r="D170" s="273"/>
      <c r="E170" s="274"/>
      <c r="F170" s="275"/>
      <c r="G170" s="288"/>
      <c r="H170" s="287"/>
      <c r="I170" s="283"/>
      <c r="J170" s="283"/>
      <c r="K170" s="283"/>
    </row>
    <row r="171" spans="4:11">
      <c r="D171" s="273"/>
      <c r="E171" s="274"/>
      <c r="F171" s="275"/>
      <c r="G171" s="284"/>
      <c r="H171" s="285"/>
      <c r="I171" s="283"/>
      <c r="J171" s="283"/>
      <c r="K171" s="283"/>
    </row>
    <row r="172" spans="4:11">
      <c r="D172" s="273"/>
      <c r="E172" s="274"/>
      <c r="F172" s="275"/>
      <c r="G172" s="284"/>
      <c r="H172" s="285"/>
      <c r="I172" s="283"/>
      <c r="J172" s="283"/>
      <c r="K172" s="283"/>
    </row>
    <row r="173" spans="4:11">
      <c r="D173" s="273"/>
      <c r="E173" s="274"/>
      <c r="F173" s="275"/>
      <c r="G173" s="288"/>
      <c r="H173" s="287"/>
      <c r="I173" s="283"/>
      <c r="J173" s="283"/>
      <c r="K173" s="283"/>
    </row>
    <row r="174" spans="4:11">
      <c r="D174" s="273"/>
      <c r="E174" s="274"/>
      <c r="F174" s="275"/>
      <c r="G174" s="284"/>
      <c r="H174" s="285"/>
      <c r="I174" s="283"/>
      <c r="J174" s="283"/>
      <c r="K174" s="283"/>
    </row>
    <row r="175" spans="4:11">
      <c r="D175" s="273"/>
      <c r="E175" s="274"/>
      <c r="F175" s="275"/>
      <c r="G175" s="286"/>
      <c r="H175" s="287"/>
      <c r="I175" s="283"/>
      <c r="J175" s="283"/>
      <c r="K175" s="283"/>
    </row>
    <row r="176" spans="4:11">
      <c r="D176" s="273"/>
      <c r="E176" s="274"/>
      <c r="F176" s="275"/>
      <c r="G176" s="288"/>
      <c r="H176" s="287"/>
      <c r="I176" s="283"/>
      <c r="J176" s="283"/>
      <c r="K176" s="283"/>
    </row>
    <row r="177" spans="4:11">
      <c r="D177" s="273"/>
      <c r="E177" s="274"/>
      <c r="F177" s="275"/>
      <c r="G177" s="288"/>
      <c r="H177" s="287"/>
      <c r="I177" s="283"/>
      <c r="J177" s="283"/>
      <c r="K177" s="283"/>
    </row>
    <row r="178" spans="4:11">
      <c r="D178" s="273"/>
      <c r="E178" s="274"/>
      <c r="F178" s="275"/>
      <c r="G178" s="288"/>
      <c r="H178" s="287"/>
      <c r="I178" s="283"/>
      <c r="J178" s="283"/>
      <c r="K178" s="283"/>
    </row>
    <row r="179" spans="4:11">
      <c r="D179" s="273"/>
      <c r="E179" s="274"/>
      <c r="F179" s="275"/>
      <c r="G179" s="284"/>
      <c r="H179" s="285"/>
      <c r="I179" s="283"/>
      <c r="J179" s="283"/>
      <c r="K179" s="283"/>
    </row>
    <row r="180" spans="4:11">
      <c r="D180" s="273"/>
      <c r="E180" s="274"/>
      <c r="F180" s="275"/>
      <c r="G180" s="288"/>
      <c r="H180" s="287"/>
      <c r="I180" s="283"/>
      <c r="J180" s="283"/>
      <c r="K180" s="283"/>
    </row>
    <row r="181" spans="4:11">
      <c r="D181" s="273"/>
      <c r="E181" s="274"/>
      <c r="F181" s="275"/>
      <c r="G181" s="288"/>
      <c r="H181" s="287"/>
      <c r="I181" s="283"/>
      <c r="J181" s="283"/>
      <c r="K181" s="283"/>
    </row>
    <row r="182" spans="4:11">
      <c r="D182" s="273"/>
      <c r="E182" s="274"/>
      <c r="F182" s="275"/>
      <c r="G182" s="288"/>
      <c r="H182" s="287"/>
      <c r="I182" s="283"/>
      <c r="J182" s="283"/>
      <c r="K182" s="283"/>
    </row>
    <row r="183" spans="4:11">
      <c r="D183" s="273"/>
      <c r="E183" s="274"/>
      <c r="F183" s="275"/>
      <c r="G183" s="284"/>
      <c r="H183" s="285"/>
      <c r="I183" s="283"/>
      <c r="J183" s="283"/>
      <c r="K183" s="283"/>
    </row>
    <row r="184" spans="4:11">
      <c r="D184" s="273"/>
      <c r="E184" s="274"/>
      <c r="F184" s="275"/>
      <c r="G184" s="284"/>
      <c r="H184" s="285"/>
      <c r="I184" s="283"/>
      <c r="J184" s="283"/>
      <c r="K184" s="283"/>
    </row>
    <row r="185" spans="4:11">
      <c r="D185" s="273"/>
      <c r="E185" s="274"/>
      <c r="F185" s="275"/>
      <c r="G185" s="288"/>
      <c r="H185" s="287"/>
      <c r="I185" s="283"/>
      <c r="J185" s="283"/>
      <c r="K185" s="283"/>
    </row>
    <row r="186" spans="4:11">
      <c r="D186" s="273"/>
      <c r="E186" s="274"/>
      <c r="F186" s="275"/>
      <c r="G186" s="284"/>
      <c r="H186" s="285"/>
      <c r="I186" s="283"/>
      <c r="J186" s="283"/>
      <c r="K186" s="283"/>
    </row>
    <row r="187" spans="4:11">
      <c r="D187" s="273"/>
      <c r="E187" s="274"/>
      <c r="F187" s="275"/>
      <c r="G187" s="286"/>
      <c r="H187" s="287"/>
      <c r="I187" s="283"/>
      <c r="J187" s="283"/>
      <c r="K187" s="283"/>
    </row>
    <row r="188" spans="4:11">
      <c r="D188" s="273"/>
      <c r="E188" s="274"/>
      <c r="F188" s="275"/>
      <c r="G188" s="288"/>
      <c r="H188" s="287"/>
      <c r="I188" s="283"/>
      <c r="J188" s="283"/>
      <c r="K188" s="283"/>
    </row>
    <row r="189" spans="4:11">
      <c r="D189" s="273"/>
      <c r="E189" s="274"/>
      <c r="F189" s="275"/>
      <c r="G189" s="288"/>
      <c r="H189" s="287"/>
      <c r="I189" s="283"/>
      <c r="J189" s="283"/>
      <c r="K189" s="283"/>
    </row>
    <row r="190" spans="4:11">
      <c r="D190" s="273"/>
      <c r="E190" s="274"/>
      <c r="F190" s="275"/>
      <c r="G190" s="288"/>
      <c r="H190" s="287"/>
      <c r="I190" s="283"/>
      <c r="J190" s="283"/>
      <c r="K190" s="283"/>
    </row>
    <row r="191" spans="4:11">
      <c r="D191" s="273"/>
      <c r="E191" s="274"/>
      <c r="F191" s="275"/>
      <c r="G191" s="284"/>
      <c r="H191" s="285"/>
      <c r="I191" s="283"/>
      <c r="J191" s="283"/>
      <c r="K191" s="283"/>
    </row>
    <row r="192" spans="4:11">
      <c r="D192" s="273"/>
      <c r="E192" s="274"/>
      <c r="F192" s="275"/>
      <c r="G192" s="288"/>
      <c r="H192" s="287"/>
      <c r="I192" s="283"/>
      <c r="J192" s="283"/>
      <c r="K192" s="283"/>
    </row>
    <row r="193" spans="4:11">
      <c r="D193" s="273"/>
      <c r="E193" s="274"/>
      <c r="F193" s="275"/>
      <c r="G193" s="288"/>
      <c r="H193" s="287"/>
      <c r="I193" s="283"/>
      <c r="J193" s="283"/>
      <c r="K193" s="283"/>
    </row>
    <row r="194" spans="4:11">
      <c r="D194" s="273"/>
      <c r="E194" s="274"/>
      <c r="F194" s="275"/>
      <c r="G194" s="288"/>
      <c r="H194" s="287"/>
      <c r="I194" s="283"/>
      <c r="J194" s="283"/>
      <c r="K194" s="283"/>
    </row>
    <row r="195" spans="4:11">
      <c r="D195" s="273"/>
      <c r="E195" s="274"/>
      <c r="F195" s="275"/>
      <c r="G195" s="284"/>
      <c r="H195" s="285"/>
      <c r="I195" s="283"/>
      <c r="J195" s="283"/>
      <c r="K195" s="283"/>
    </row>
    <row r="196" spans="4:11">
      <c r="D196" s="273"/>
      <c r="E196" s="274"/>
      <c r="F196" s="275"/>
      <c r="G196" s="284"/>
      <c r="H196" s="285"/>
      <c r="I196" s="283"/>
      <c r="J196" s="283"/>
      <c r="K196" s="283"/>
    </row>
    <row r="197" spans="4:11">
      <c r="D197" s="273"/>
      <c r="E197" s="274"/>
      <c r="F197" s="275"/>
      <c r="G197" s="284"/>
      <c r="H197" s="285"/>
      <c r="I197" s="283"/>
      <c r="J197" s="283"/>
      <c r="K197" s="283"/>
    </row>
    <row r="198" spans="4:11">
      <c r="D198" s="273"/>
      <c r="E198" s="274"/>
      <c r="F198" s="275"/>
      <c r="G198" s="286"/>
      <c r="H198" s="287"/>
      <c r="I198" s="283"/>
      <c r="J198" s="283"/>
      <c r="K198" s="283"/>
    </row>
    <row r="199" spans="4:11">
      <c r="D199" s="273"/>
      <c r="E199" s="274"/>
      <c r="F199" s="275"/>
      <c r="G199" s="288"/>
      <c r="H199" s="287"/>
      <c r="I199" s="283"/>
      <c r="J199" s="283"/>
      <c r="K199" s="283"/>
    </row>
    <row r="200" spans="4:11">
      <c r="D200" s="273"/>
      <c r="E200" s="274"/>
      <c r="F200" s="275"/>
      <c r="G200" s="288"/>
      <c r="H200" s="287"/>
      <c r="I200" s="283"/>
      <c r="J200" s="283"/>
      <c r="K200" s="283"/>
    </row>
    <row r="201" spans="4:11">
      <c r="D201" s="273"/>
      <c r="E201" s="274"/>
      <c r="F201" s="275"/>
      <c r="G201" s="288"/>
      <c r="H201" s="287"/>
      <c r="I201" s="283"/>
      <c r="J201" s="283"/>
      <c r="K201" s="283"/>
    </row>
    <row r="202" spans="4:11">
      <c r="D202" s="273"/>
      <c r="E202" s="274"/>
      <c r="F202" s="275"/>
      <c r="G202" s="284"/>
      <c r="H202" s="285"/>
      <c r="I202" s="283"/>
      <c r="J202" s="283"/>
      <c r="K202" s="283"/>
    </row>
    <row r="203" spans="4:11">
      <c r="D203" s="273"/>
      <c r="E203" s="274"/>
      <c r="F203" s="275"/>
      <c r="G203" s="288"/>
      <c r="H203" s="287"/>
      <c r="I203" s="283"/>
      <c r="J203" s="283"/>
      <c r="K203" s="283"/>
    </row>
    <row r="204" spans="4:11">
      <c r="D204" s="273"/>
      <c r="E204" s="274"/>
      <c r="F204" s="275"/>
      <c r="G204" s="288"/>
      <c r="H204" s="287"/>
      <c r="I204" s="283"/>
      <c r="J204" s="283"/>
      <c r="K204" s="283"/>
    </row>
    <row r="205" spans="4:11">
      <c r="D205" s="273"/>
      <c r="E205" s="274"/>
      <c r="F205" s="275"/>
      <c r="G205" s="288"/>
      <c r="H205" s="287"/>
      <c r="I205" s="283"/>
      <c r="J205" s="283"/>
      <c r="K205" s="283"/>
    </row>
    <row r="206" spans="4:11">
      <c r="D206" s="273"/>
      <c r="E206" s="274"/>
      <c r="F206" s="275"/>
      <c r="G206" s="288"/>
      <c r="H206" s="287"/>
      <c r="I206" s="283"/>
      <c r="J206" s="283"/>
      <c r="K206" s="283"/>
    </row>
    <row r="207" spans="4:11">
      <c r="D207" s="273"/>
      <c r="E207" s="274"/>
      <c r="F207" s="275"/>
      <c r="G207" s="284"/>
      <c r="H207" s="285"/>
      <c r="I207" s="283"/>
      <c r="J207" s="283"/>
      <c r="K207" s="283"/>
    </row>
    <row r="208" spans="4:11">
      <c r="D208" s="273"/>
      <c r="E208" s="274"/>
      <c r="F208" s="275"/>
      <c r="G208" s="284"/>
      <c r="H208" s="285"/>
      <c r="I208" s="283"/>
      <c r="J208" s="283"/>
      <c r="K208" s="283"/>
    </row>
    <row r="209" spans="4:11">
      <c r="D209" s="273"/>
      <c r="E209" s="274"/>
      <c r="F209" s="275"/>
      <c r="G209" s="288"/>
      <c r="H209" s="287"/>
      <c r="I209" s="283"/>
      <c r="J209" s="283"/>
      <c r="K209" s="283"/>
    </row>
    <row r="210" spans="4:11">
      <c r="D210" s="273"/>
      <c r="E210" s="274"/>
      <c r="F210" s="275"/>
      <c r="G210" s="288"/>
      <c r="H210" s="287"/>
      <c r="I210" s="283"/>
      <c r="J210" s="283"/>
      <c r="K210" s="283"/>
    </row>
    <row r="211" spans="4:11">
      <c r="D211" s="273"/>
      <c r="E211" s="274"/>
      <c r="F211" s="275"/>
      <c r="G211" s="284"/>
      <c r="H211" s="285"/>
      <c r="I211" s="283"/>
      <c r="J211" s="283"/>
      <c r="K211" s="283"/>
    </row>
    <row r="212" spans="4:11">
      <c r="D212" s="273"/>
      <c r="E212" s="274"/>
      <c r="F212" s="275"/>
      <c r="G212" s="286"/>
      <c r="H212" s="287"/>
      <c r="I212" s="283"/>
      <c r="J212" s="283"/>
      <c r="K212" s="283"/>
    </row>
    <row r="213" spans="4:11">
      <c r="D213" s="273"/>
      <c r="E213" s="274"/>
      <c r="F213" s="275"/>
      <c r="G213" s="288"/>
      <c r="H213" s="287"/>
      <c r="I213" s="283"/>
      <c r="J213" s="283"/>
      <c r="K213" s="283"/>
    </row>
    <row r="214" spans="4:11">
      <c r="D214" s="273"/>
      <c r="E214" s="274"/>
      <c r="F214" s="275"/>
      <c r="G214" s="288"/>
      <c r="H214" s="287"/>
      <c r="I214" s="283"/>
      <c r="J214" s="283"/>
      <c r="K214" s="283"/>
    </row>
    <row r="215" spans="4:11">
      <c r="D215" s="273"/>
      <c r="E215" s="274"/>
      <c r="F215" s="275"/>
      <c r="G215" s="288"/>
      <c r="H215" s="287"/>
      <c r="I215" s="283"/>
      <c r="J215" s="283"/>
      <c r="K215" s="283"/>
    </row>
    <row r="216" spans="4:11">
      <c r="D216" s="273"/>
      <c r="E216" s="274"/>
      <c r="F216" s="275"/>
      <c r="G216" s="284"/>
      <c r="H216" s="285"/>
      <c r="I216" s="283"/>
      <c r="J216" s="283"/>
      <c r="K216" s="283"/>
    </row>
    <row r="217" spans="4:11">
      <c r="D217" s="273"/>
      <c r="E217" s="274"/>
      <c r="F217" s="275"/>
      <c r="G217" s="288"/>
      <c r="H217" s="287"/>
      <c r="I217" s="283"/>
      <c r="J217" s="283"/>
      <c r="K217" s="283"/>
    </row>
    <row r="218" spans="4:11">
      <c r="D218" s="273"/>
      <c r="E218" s="274"/>
      <c r="F218" s="275"/>
      <c r="G218" s="288"/>
      <c r="H218" s="287"/>
      <c r="I218" s="283"/>
      <c r="J218" s="283"/>
      <c r="K218" s="283"/>
    </row>
    <row r="219" spans="4:11">
      <c r="D219" s="273"/>
      <c r="E219" s="274"/>
      <c r="F219" s="275"/>
      <c r="G219" s="288"/>
      <c r="H219" s="287"/>
      <c r="I219" s="283"/>
      <c r="J219" s="283"/>
      <c r="K219" s="283"/>
    </row>
    <row r="220" spans="4:11">
      <c r="D220" s="273"/>
      <c r="E220" s="274"/>
      <c r="F220" s="275"/>
      <c r="G220" s="288"/>
      <c r="H220" s="287"/>
      <c r="I220" s="283"/>
      <c r="J220" s="283"/>
      <c r="K220" s="283"/>
    </row>
    <row r="221" spans="4:11">
      <c r="D221" s="273"/>
      <c r="E221" s="274"/>
      <c r="F221" s="275"/>
      <c r="G221" s="284"/>
      <c r="H221" s="285"/>
      <c r="I221" s="283"/>
      <c r="J221" s="283"/>
      <c r="K221" s="283"/>
    </row>
    <row r="222" spans="4:11">
      <c r="D222" s="273"/>
      <c r="E222" s="274"/>
      <c r="F222" s="275"/>
      <c r="G222" s="284"/>
      <c r="H222" s="285"/>
      <c r="I222" s="283"/>
      <c r="J222" s="283"/>
      <c r="K222" s="283"/>
    </row>
    <row r="223" spans="4:11">
      <c r="D223" s="273"/>
      <c r="E223" s="274"/>
      <c r="F223" s="275"/>
      <c r="G223" s="288"/>
      <c r="H223" s="287"/>
      <c r="I223" s="283"/>
      <c r="J223" s="283"/>
      <c r="K223" s="283"/>
    </row>
    <row r="224" spans="4:11">
      <c r="D224" s="273"/>
      <c r="E224" s="274"/>
      <c r="F224" s="275"/>
      <c r="G224" s="288"/>
      <c r="H224" s="287"/>
      <c r="I224" s="283"/>
      <c r="J224" s="283"/>
      <c r="K224" s="283"/>
    </row>
    <row r="225" spans="4:11">
      <c r="D225" s="273"/>
      <c r="E225" s="274"/>
      <c r="F225" s="275"/>
      <c r="G225" s="284"/>
      <c r="H225" s="285"/>
      <c r="I225" s="283"/>
      <c r="J225" s="283"/>
      <c r="K225" s="283"/>
    </row>
    <row r="226" spans="4:11">
      <c r="D226" s="273"/>
      <c r="E226" s="274"/>
      <c r="F226" s="275"/>
      <c r="G226" s="286"/>
      <c r="H226" s="287"/>
      <c r="I226" s="283"/>
      <c r="J226" s="283"/>
      <c r="K226" s="283"/>
    </row>
    <row r="227" spans="4:11">
      <c r="D227" s="273"/>
      <c r="E227" s="274"/>
      <c r="F227" s="275"/>
      <c r="G227" s="288"/>
      <c r="H227" s="287"/>
      <c r="I227" s="283"/>
      <c r="J227" s="283"/>
      <c r="K227" s="283"/>
    </row>
    <row r="228" spans="4:11">
      <c r="D228" s="273"/>
      <c r="E228" s="274"/>
      <c r="F228" s="275"/>
      <c r="G228" s="288"/>
      <c r="H228" s="287"/>
      <c r="I228" s="283"/>
      <c r="J228" s="283"/>
      <c r="K228" s="283"/>
    </row>
    <row r="229" spans="4:11">
      <c r="D229" s="273"/>
      <c r="E229" s="274"/>
      <c r="F229" s="275"/>
      <c r="G229" s="288"/>
      <c r="H229" s="287"/>
      <c r="I229" s="283"/>
      <c r="J229" s="283"/>
      <c r="K229" s="283"/>
    </row>
    <row r="230" spans="4:11">
      <c r="D230" s="273"/>
      <c r="E230" s="274"/>
      <c r="F230" s="275"/>
      <c r="G230" s="284"/>
      <c r="H230" s="285"/>
      <c r="I230" s="283"/>
      <c r="J230" s="283"/>
      <c r="K230" s="283"/>
    </row>
    <row r="231" spans="4:11">
      <c r="D231" s="273"/>
      <c r="E231" s="274"/>
      <c r="F231" s="275"/>
      <c r="G231" s="288"/>
      <c r="H231" s="287"/>
      <c r="I231" s="283"/>
      <c r="J231" s="283"/>
      <c r="K231" s="283"/>
    </row>
    <row r="232" spans="4:11">
      <c r="D232" s="273"/>
      <c r="E232" s="274"/>
      <c r="F232" s="275"/>
      <c r="G232" s="288"/>
      <c r="H232" s="287"/>
      <c r="I232" s="283"/>
      <c r="J232" s="283"/>
      <c r="K232" s="283"/>
    </row>
    <row r="233" spans="4:11">
      <c r="D233" s="273"/>
      <c r="E233" s="274"/>
      <c r="F233" s="275"/>
      <c r="G233" s="288"/>
      <c r="H233" s="287"/>
      <c r="I233" s="283"/>
      <c r="J233" s="283"/>
      <c r="K233" s="283"/>
    </row>
    <row r="234" spans="4:11">
      <c r="D234" s="273"/>
      <c r="E234" s="274"/>
      <c r="F234" s="275"/>
      <c r="G234" s="288"/>
      <c r="H234" s="287"/>
      <c r="I234" s="283"/>
      <c r="J234" s="283"/>
      <c r="K234" s="283"/>
    </row>
    <row r="235" spans="4:11">
      <c r="D235" s="273"/>
      <c r="E235" s="274"/>
      <c r="F235" s="275"/>
      <c r="G235" s="284"/>
      <c r="H235" s="285"/>
      <c r="I235" s="283"/>
      <c r="J235" s="283"/>
      <c r="K235" s="283"/>
    </row>
    <row r="236" spans="4:11">
      <c r="D236" s="273"/>
      <c r="E236" s="274"/>
      <c r="F236" s="275"/>
      <c r="G236" s="284"/>
      <c r="H236" s="285"/>
      <c r="I236" s="283"/>
      <c r="J236" s="283"/>
      <c r="K236" s="283"/>
    </row>
    <row r="237" spans="4:11">
      <c r="D237" s="273"/>
      <c r="E237" s="274"/>
      <c r="F237" s="275"/>
      <c r="G237" s="284"/>
      <c r="H237" s="285"/>
      <c r="I237" s="283"/>
      <c r="J237" s="283"/>
      <c r="K237" s="283"/>
    </row>
    <row r="238" spans="4:11">
      <c r="D238" s="273"/>
      <c r="E238" s="274"/>
      <c r="F238" s="275"/>
      <c r="G238" s="286"/>
      <c r="H238" s="287"/>
      <c r="I238" s="283"/>
      <c r="J238" s="283"/>
      <c r="K238" s="283"/>
    </row>
    <row r="239" spans="4:11">
      <c r="D239" s="273"/>
      <c r="E239" s="274"/>
      <c r="F239" s="275"/>
      <c r="G239" s="288"/>
      <c r="H239" s="287"/>
      <c r="I239" s="283"/>
      <c r="J239" s="283"/>
      <c r="K239" s="283"/>
    </row>
    <row r="240" spans="4:11">
      <c r="D240" s="273"/>
      <c r="E240" s="274"/>
      <c r="F240" s="275"/>
      <c r="G240" s="288"/>
      <c r="H240" s="287"/>
      <c r="I240" s="283"/>
      <c r="J240" s="283"/>
      <c r="K240" s="283"/>
    </row>
    <row r="241" spans="4:11">
      <c r="D241" s="273"/>
      <c r="E241" s="274"/>
      <c r="F241" s="275"/>
      <c r="G241" s="288"/>
      <c r="H241" s="287"/>
      <c r="I241" s="283"/>
      <c r="J241" s="283"/>
      <c r="K241" s="283"/>
    </row>
    <row r="242" spans="4:11">
      <c r="D242" s="273"/>
      <c r="E242" s="274"/>
      <c r="F242" s="275"/>
      <c r="G242" s="284"/>
      <c r="H242" s="285"/>
      <c r="I242" s="283"/>
      <c r="J242" s="283"/>
      <c r="K242" s="283"/>
    </row>
    <row r="243" spans="4:11">
      <c r="D243" s="273"/>
      <c r="E243" s="274"/>
      <c r="F243" s="275"/>
      <c r="G243" s="288"/>
      <c r="H243" s="287"/>
      <c r="I243" s="283"/>
      <c r="J243" s="283"/>
      <c r="K243" s="283"/>
    </row>
    <row r="244" spans="4:11">
      <c r="D244" s="273"/>
      <c r="E244" s="274"/>
      <c r="F244" s="275"/>
      <c r="G244" s="288"/>
      <c r="H244" s="287"/>
      <c r="I244" s="283"/>
      <c r="J244" s="283"/>
      <c r="K244" s="283"/>
    </row>
    <row r="245" spans="4:11">
      <c r="D245" s="273"/>
      <c r="E245" s="274"/>
      <c r="F245" s="275"/>
      <c r="G245" s="288"/>
      <c r="H245" s="287"/>
      <c r="I245" s="283"/>
      <c r="J245" s="283"/>
      <c r="K245" s="283"/>
    </row>
    <row r="246" spans="4:11">
      <c r="D246" s="273"/>
      <c r="E246" s="274"/>
      <c r="F246" s="275"/>
      <c r="G246" s="284"/>
      <c r="H246" s="285"/>
      <c r="I246" s="283"/>
      <c r="J246" s="283"/>
      <c r="K246" s="283"/>
    </row>
    <row r="247" spans="4:11">
      <c r="D247" s="273"/>
      <c r="E247" s="274"/>
      <c r="F247" s="275"/>
      <c r="G247" s="284"/>
      <c r="H247" s="285"/>
      <c r="I247" s="283"/>
      <c r="J247" s="283"/>
      <c r="K247" s="283"/>
    </row>
    <row r="248" spans="4:11">
      <c r="D248" s="273"/>
      <c r="E248" s="274"/>
      <c r="F248" s="275"/>
      <c r="G248" s="284"/>
      <c r="H248" s="285"/>
      <c r="I248" s="283"/>
      <c r="J248" s="283"/>
      <c r="K248" s="283"/>
    </row>
    <row r="249" spans="4:11">
      <c r="D249" s="273"/>
      <c r="E249" s="274"/>
      <c r="F249" s="275"/>
      <c r="G249" s="286"/>
      <c r="H249" s="287"/>
      <c r="I249" s="283"/>
      <c r="J249" s="283"/>
      <c r="K249" s="283"/>
    </row>
    <row r="250" spans="4:11">
      <c r="D250" s="273"/>
      <c r="E250" s="274"/>
      <c r="F250" s="275"/>
      <c r="G250" s="288"/>
      <c r="H250" s="287"/>
      <c r="I250" s="283"/>
      <c r="J250" s="283"/>
      <c r="K250" s="283"/>
    </row>
    <row r="251" spans="4:11">
      <c r="D251" s="273"/>
      <c r="E251" s="274"/>
      <c r="F251" s="275"/>
      <c r="G251" s="288"/>
      <c r="H251" s="287"/>
      <c r="I251" s="283"/>
      <c r="J251" s="283"/>
      <c r="K251" s="283"/>
    </row>
    <row r="252" spans="4:11">
      <c r="D252" s="273"/>
      <c r="E252" s="274"/>
      <c r="F252" s="275"/>
      <c r="G252" s="288"/>
      <c r="H252" s="287"/>
      <c r="I252" s="283"/>
      <c r="J252" s="283"/>
      <c r="K252" s="283"/>
    </row>
    <row r="253" spans="4:11">
      <c r="D253" s="273"/>
      <c r="E253" s="274"/>
      <c r="F253" s="275"/>
      <c r="G253" s="284"/>
      <c r="H253" s="285"/>
      <c r="I253" s="283"/>
      <c r="J253" s="283"/>
      <c r="K253" s="283"/>
    </row>
    <row r="254" spans="4:11">
      <c r="D254" s="273"/>
      <c r="E254" s="274"/>
      <c r="F254" s="275"/>
      <c r="G254" s="288"/>
      <c r="H254" s="287"/>
      <c r="I254" s="283"/>
      <c r="J254" s="283"/>
      <c r="K254" s="283"/>
    </row>
    <row r="255" spans="4:11">
      <c r="D255" s="273"/>
      <c r="E255" s="274"/>
      <c r="F255" s="275"/>
      <c r="G255" s="288"/>
      <c r="H255" s="287"/>
      <c r="I255" s="283"/>
      <c r="J255" s="283"/>
      <c r="K255" s="283"/>
    </row>
    <row r="256" spans="4:11">
      <c r="D256" s="273"/>
      <c r="E256" s="274"/>
      <c r="F256" s="275"/>
      <c r="G256" s="288"/>
      <c r="H256" s="287"/>
      <c r="I256" s="283"/>
      <c r="J256" s="283"/>
      <c r="K256" s="283"/>
    </row>
    <row r="257" spans="4:11">
      <c r="D257" s="273"/>
      <c r="E257" s="274"/>
      <c r="F257" s="275"/>
      <c r="G257" s="288"/>
      <c r="H257" s="287"/>
      <c r="I257" s="283"/>
      <c r="J257" s="283"/>
      <c r="K257" s="283"/>
    </row>
    <row r="258" spans="4:11">
      <c r="D258" s="273"/>
      <c r="E258" s="274"/>
      <c r="F258" s="275"/>
      <c r="G258" s="284"/>
      <c r="H258" s="285"/>
      <c r="I258" s="283"/>
      <c r="J258" s="283"/>
      <c r="K258" s="283"/>
    </row>
    <row r="259" spans="4:11">
      <c r="D259" s="273"/>
      <c r="E259" s="274"/>
      <c r="F259" s="275"/>
      <c r="G259" s="284"/>
      <c r="H259" s="285"/>
      <c r="I259" s="283"/>
      <c r="J259" s="283"/>
      <c r="K259" s="283"/>
    </row>
    <row r="260" spans="4:11">
      <c r="D260" s="273"/>
      <c r="E260" s="274"/>
      <c r="F260" s="275"/>
      <c r="G260" s="284"/>
      <c r="H260" s="285"/>
      <c r="I260" s="283"/>
      <c r="J260" s="283"/>
      <c r="K260" s="283"/>
    </row>
    <row r="261" spans="4:11">
      <c r="D261" s="273"/>
      <c r="E261" s="274"/>
      <c r="F261" s="275"/>
      <c r="G261" s="286"/>
      <c r="H261" s="287"/>
      <c r="I261" s="283"/>
      <c r="J261" s="283"/>
      <c r="K261" s="283"/>
    </row>
    <row r="262" spans="4:11">
      <c r="D262" s="273"/>
      <c r="E262" s="274"/>
      <c r="F262" s="275"/>
      <c r="G262" s="288"/>
      <c r="H262" s="287"/>
      <c r="I262" s="283"/>
      <c r="J262" s="283"/>
      <c r="K262" s="283"/>
    </row>
    <row r="263" spans="4:11">
      <c r="D263" s="273"/>
      <c r="E263" s="274"/>
      <c r="F263" s="275"/>
      <c r="G263" s="288"/>
      <c r="H263" s="287"/>
      <c r="I263" s="283"/>
      <c r="J263" s="283"/>
      <c r="K263" s="283"/>
    </row>
    <row r="264" spans="4:11">
      <c r="D264" s="273"/>
      <c r="E264" s="274"/>
      <c r="F264" s="275"/>
      <c r="G264" s="288"/>
      <c r="H264" s="287"/>
      <c r="I264" s="283"/>
      <c r="J264" s="283"/>
      <c r="K264" s="283"/>
    </row>
    <row r="265" spans="4:11">
      <c r="D265" s="273"/>
      <c r="E265" s="274"/>
      <c r="F265" s="275"/>
      <c r="G265" s="284"/>
      <c r="H265" s="285"/>
      <c r="I265" s="283"/>
      <c r="J265" s="283"/>
      <c r="K265" s="283"/>
    </row>
    <row r="266" spans="4:11">
      <c r="D266" s="273"/>
      <c r="E266" s="274"/>
      <c r="F266" s="275"/>
      <c r="G266" s="288"/>
      <c r="H266" s="287"/>
      <c r="I266" s="283"/>
      <c r="J266" s="283"/>
      <c r="K266" s="283"/>
    </row>
    <row r="267" spans="4:11">
      <c r="D267" s="273"/>
      <c r="E267" s="274"/>
      <c r="F267" s="275"/>
      <c r="G267" s="288"/>
      <c r="H267" s="287"/>
      <c r="I267" s="283"/>
      <c r="J267" s="283"/>
      <c r="K267" s="283"/>
    </row>
    <row r="268" spans="4:11">
      <c r="D268" s="273"/>
      <c r="E268" s="274"/>
      <c r="F268" s="275"/>
      <c r="G268" s="288"/>
      <c r="H268" s="287"/>
      <c r="I268" s="283"/>
      <c r="J268" s="283"/>
      <c r="K268" s="283"/>
    </row>
    <row r="269" spans="4:11">
      <c r="D269" s="273"/>
      <c r="E269" s="274"/>
      <c r="F269" s="275"/>
      <c r="G269" s="284"/>
      <c r="H269" s="285"/>
      <c r="I269" s="283"/>
      <c r="J269" s="283"/>
      <c r="K269" s="283"/>
    </row>
    <row r="270" spans="4:11">
      <c r="D270" s="273"/>
      <c r="E270" s="274"/>
      <c r="F270" s="275"/>
      <c r="G270" s="284"/>
      <c r="H270" s="285"/>
      <c r="I270" s="283"/>
      <c r="J270" s="283"/>
      <c r="K270" s="283"/>
    </row>
    <row r="271" spans="4:11">
      <c r="D271" s="273"/>
      <c r="E271" s="274"/>
      <c r="F271" s="275"/>
      <c r="G271" s="284"/>
      <c r="H271" s="285"/>
      <c r="I271" s="283"/>
      <c r="J271" s="283"/>
      <c r="K271" s="283"/>
    </row>
    <row r="272" spans="4:11">
      <c r="D272" s="273"/>
      <c r="E272" s="274"/>
      <c r="F272" s="275"/>
      <c r="G272" s="286"/>
      <c r="H272" s="287"/>
      <c r="I272" s="283"/>
      <c r="J272" s="283"/>
      <c r="K272" s="283"/>
    </row>
    <row r="273" spans="4:11">
      <c r="D273" s="273"/>
      <c r="E273" s="274"/>
      <c r="F273" s="275"/>
      <c r="G273" s="288"/>
      <c r="H273" s="287"/>
      <c r="I273" s="283"/>
      <c r="J273" s="283"/>
      <c r="K273" s="283"/>
    </row>
    <row r="274" spans="4:11">
      <c r="D274" s="273"/>
      <c r="E274" s="274"/>
      <c r="F274" s="275"/>
      <c r="G274" s="288"/>
      <c r="H274" s="287"/>
      <c r="I274" s="283"/>
      <c r="J274" s="289"/>
      <c r="K274" s="283"/>
    </row>
    <row r="275" spans="4:11">
      <c r="D275" s="273"/>
      <c r="E275" s="274"/>
      <c r="F275" s="275"/>
      <c r="G275" s="288"/>
      <c r="H275" s="287"/>
      <c r="I275" s="283"/>
      <c r="J275" s="283"/>
      <c r="K275" s="283"/>
    </row>
    <row r="276" spans="4:11">
      <c r="D276" s="273"/>
      <c r="E276" s="274"/>
      <c r="F276" s="275"/>
      <c r="G276" s="284"/>
      <c r="H276" s="285"/>
      <c r="I276" s="283"/>
      <c r="J276" s="283"/>
      <c r="K276" s="283"/>
    </row>
    <row r="277" spans="4:11">
      <c r="D277" s="273"/>
      <c r="E277" s="274"/>
      <c r="F277" s="275"/>
      <c r="G277" s="288"/>
      <c r="H277" s="287"/>
      <c r="I277" s="283"/>
      <c r="J277" s="283"/>
      <c r="K277" s="283"/>
    </row>
    <row r="278" spans="4:11">
      <c r="D278" s="273"/>
      <c r="E278" s="274"/>
      <c r="F278" s="275"/>
      <c r="G278" s="288"/>
      <c r="H278" s="287"/>
      <c r="I278" s="283"/>
      <c r="J278" s="283"/>
      <c r="K278" s="283"/>
    </row>
    <row r="279" spans="4:11">
      <c r="D279" s="273"/>
      <c r="E279" s="274"/>
      <c r="F279" s="275"/>
      <c r="G279" s="284"/>
      <c r="H279" s="285"/>
      <c r="I279" s="283"/>
      <c r="J279" s="283"/>
      <c r="K279" s="283"/>
    </row>
    <row r="280" spans="4:11">
      <c r="D280" s="273"/>
      <c r="E280" s="274"/>
      <c r="F280" s="275"/>
      <c r="G280" s="284"/>
      <c r="H280" s="285"/>
      <c r="I280" s="283"/>
      <c r="J280" s="283"/>
      <c r="K280" s="283"/>
    </row>
    <row r="281" spans="4:11">
      <c r="D281" s="273"/>
      <c r="E281" s="274"/>
      <c r="F281" s="275"/>
      <c r="G281" s="288"/>
      <c r="H281" s="287"/>
      <c r="I281" s="283"/>
      <c r="J281" s="283"/>
      <c r="K281" s="283"/>
    </row>
    <row r="282" spans="4:11">
      <c r="D282" s="273"/>
      <c r="E282" s="274"/>
      <c r="F282" s="275"/>
      <c r="G282" s="284"/>
      <c r="H282" s="285"/>
      <c r="I282" s="283"/>
      <c r="J282" s="283"/>
      <c r="K282" s="283"/>
    </row>
    <row r="283" spans="4:11">
      <c r="D283" s="273"/>
      <c r="E283" s="274"/>
      <c r="F283" s="275"/>
      <c r="G283" s="286"/>
      <c r="H283" s="287"/>
      <c r="I283" s="283"/>
      <c r="J283" s="283"/>
      <c r="K283" s="283"/>
    </row>
    <row r="284" spans="4:11">
      <c r="D284" s="273"/>
      <c r="E284" s="274"/>
      <c r="F284" s="275"/>
      <c r="G284" s="288"/>
      <c r="H284" s="287"/>
      <c r="I284" s="283"/>
      <c r="J284" s="283"/>
      <c r="K284" s="283"/>
    </row>
    <row r="285" spans="4:11">
      <c r="D285" s="273"/>
      <c r="E285" s="274"/>
      <c r="F285" s="275"/>
      <c r="G285" s="288"/>
      <c r="H285" s="287"/>
      <c r="I285" s="283"/>
      <c r="J285" s="283"/>
      <c r="K285" s="283"/>
    </row>
    <row r="286" spans="4:11">
      <c r="D286" s="273"/>
      <c r="E286" s="274"/>
      <c r="F286" s="275"/>
      <c r="G286" s="288"/>
      <c r="H286" s="287"/>
      <c r="I286" s="283"/>
      <c r="J286" s="283"/>
      <c r="K286" s="283"/>
    </row>
    <row r="287" spans="4:11">
      <c r="D287" s="273"/>
      <c r="E287" s="274"/>
      <c r="F287" s="275"/>
      <c r="G287" s="284"/>
      <c r="H287" s="285"/>
      <c r="I287" s="283"/>
      <c r="J287" s="283"/>
      <c r="K287" s="283"/>
    </row>
    <row r="288" spans="4:11">
      <c r="D288" s="273"/>
      <c r="E288" s="274"/>
      <c r="F288" s="275"/>
      <c r="G288" s="288"/>
      <c r="H288" s="287"/>
      <c r="I288" s="283"/>
      <c r="J288" s="283"/>
      <c r="K288" s="283"/>
    </row>
    <row r="289" spans="4:11">
      <c r="D289" s="273"/>
      <c r="E289" s="274"/>
      <c r="F289" s="275"/>
      <c r="G289" s="288"/>
      <c r="H289" s="287"/>
      <c r="I289" s="283"/>
      <c r="J289" s="283"/>
      <c r="K289" s="283"/>
    </row>
    <row r="290" spans="4:11">
      <c r="D290" s="273"/>
      <c r="E290" s="274"/>
      <c r="F290" s="275"/>
      <c r="G290" s="288"/>
      <c r="H290" s="287"/>
      <c r="I290" s="283"/>
      <c r="J290" s="283"/>
      <c r="K290" s="283"/>
    </row>
    <row r="291" spans="4:11">
      <c r="D291" s="273"/>
      <c r="E291" s="274"/>
      <c r="F291" s="275"/>
      <c r="G291" s="284"/>
      <c r="H291" s="285"/>
      <c r="I291" s="283"/>
      <c r="J291" s="283"/>
      <c r="K291" s="283"/>
    </row>
    <row r="292" spans="4:11">
      <c r="D292" s="273"/>
      <c r="E292" s="274"/>
      <c r="F292" s="275"/>
      <c r="G292" s="284"/>
      <c r="H292" s="285"/>
      <c r="I292" s="283"/>
      <c r="J292" s="283"/>
      <c r="K292" s="283"/>
    </row>
    <row r="293" spans="4:11">
      <c r="D293" s="273"/>
      <c r="E293" s="274"/>
      <c r="F293" s="275"/>
      <c r="G293" s="284"/>
      <c r="H293" s="285"/>
      <c r="I293" s="283"/>
      <c r="J293" s="283"/>
      <c r="K293" s="283"/>
    </row>
    <row r="294" spans="4:11">
      <c r="D294" s="273"/>
      <c r="E294" s="274"/>
      <c r="F294" s="275"/>
      <c r="G294" s="286"/>
      <c r="H294" s="287"/>
      <c r="I294" s="283"/>
      <c r="J294" s="283"/>
      <c r="K294" s="283"/>
    </row>
    <row r="295" spans="4:11">
      <c r="D295" s="273"/>
      <c r="E295" s="274"/>
      <c r="F295" s="275"/>
      <c r="G295" s="288"/>
      <c r="H295" s="287"/>
      <c r="I295" s="283"/>
      <c r="J295" s="283"/>
      <c r="K295" s="283"/>
    </row>
    <row r="296" spans="4:11">
      <c r="D296" s="273"/>
      <c r="E296" s="274"/>
      <c r="F296" s="275"/>
      <c r="G296" s="288"/>
      <c r="H296" s="287"/>
      <c r="I296" s="283"/>
      <c r="J296" s="283"/>
      <c r="K296" s="283"/>
    </row>
    <row r="297" spans="4:11">
      <c r="D297" s="273"/>
      <c r="E297" s="274"/>
      <c r="F297" s="275"/>
      <c r="G297" s="288"/>
      <c r="H297" s="287"/>
      <c r="I297" s="283"/>
      <c r="J297" s="283"/>
      <c r="K297" s="283"/>
    </row>
    <row r="298" spans="4:11">
      <c r="D298" s="273"/>
      <c r="E298" s="274"/>
      <c r="F298" s="275"/>
      <c r="G298" s="284"/>
      <c r="H298" s="285"/>
      <c r="I298" s="283"/>
      <c r="J298" s="283"/>
      <c r="K298" s="283"/>
    </row>
    <row r="299" spans="4:11">
      <c r="D299" s="273"/>
      <c r="E299" s="274"/>
      <c r="F299" s="275"/>
      <c r="G299" s="288"/>
      <c r="H299" s="287"/>
      <c r="I299" s="283"/>
      <c r="J299" s="283"/>
      <c r="K299" s="283"/>
    </row>
    <row r="300" spans="4:11">
      <c r="D300" s="273"/>
      <c r="E300" s="274"/>
      <c r="F300" s="275"/>
      <c r="G300" s="288"/>
      <c r="H300" s="287"/>
      <c r="I300" s="283"/>
      <c r="J300" s="283"/>
      <c r="K300" s="283"/>
    </row>
    <row r="301" spans="4:11">
      <c r="D301" s="273"/>
      <c r="E301" s="274"/>
      <c r="F301" s="275"/>
      <c r="G301" s="288"/>
      <c r="H301" s="287"/>
      <c r="I301" s="283"/>
      <c r="J301" s="283"/>
      <c r="K301" s="283"/>
    </row>
    <row r="302" spans="4:11">
      <c r="D302" s="273"/>
      <c r="E302" s="274"/>
      <c r="F302" s="275"/>
      <c r="G302" s="284"/>
      <c r="H302" s="285"/>
      <c r="I302" s="283"/>
      <c r="J302" s="283"/>
      <c r="K302" s="283"/>
    </row>
    <row r="303" spans="4:11">
      <c r="D303" s="273"/>
      <c r="E303" s="274"/>
      <c r="F303" s="275"/>
      <c r="G303" s="284"/>
      <c r="H303" s="285"/>
      <c r="I303" s="283"/>
      <c r="J303" s="283"/>
      <c r="K303" s="283"/>
    </row>
    <row r="304" spans="4:11">
      <c r="D304" s="273"/>
      <c r="E304" s="274"/>
      <c r="F304" s="275"/>
      <c r="G304" s="288"/>
      <c r="H304" s="287"/>
      <c r="I304" s="283"/>
      <c r="J304" s="283"/>
      <c r="K304" s="283"/>
    </row>
    <row r="305" spans="4:12">
      <c r="D305" s="273"/>
      <c r="E305" s="274"/>
      <c r="F305" s="275"/>
      <c r="G305" s="284"/>
      <c r="H305" s="285"/>
      <c r="I305" s="283"/>
      <c r="J305" s="283"/>
      <c r="K305" s="283"/>
    </row>
    <row r="306" spans="4:12">
      <c r="D306" s="273"/>
      <c r="E306" s="274"/>
      <c r="F306" s="275"/>
      <c r="G306" s="286"/>
      <c r="H306" s="287"/>
      <c r="I306" s="283"/>
      <c r="J306" s="283"/>
      <c r="K306" s="283"/>
    </row>
    <row r="307" spans="4:12">
      <c r="D307" s="273"/>
      <c r="E307" s="274"/>
      <c r="F307" s="275"/>
      <c r="G307" s="288"/>
      <c r="H307" s="287"/>
      <c r="I307" s="283"/>
      <c r="J307" s="283"/>
      <c r="K307" s="283"/>
    </row>
    <row r="308" spans="4:12">
      <c r="D308" s="273"/>
      <c r="E308" s="274"/>
      <c r="F308" s="275"/>
      <c r="G308" s="288"/>
      <c r="H308" s="287"/>
      <c r="I308" s="283"/>
      <c r="J308" s="283"/>
      <c r="K308" s="283"/>
    </row>
    <row r="309" spans="4:12">
      <c r="D309" s="273"/>
      <c r="E309" s="274"/>
      <c r="F309" s="275"/>
      <c r="G309" s="288"/>
      <c r="H309" s="287"/>
      <c r="I309" s="283"/>
      <c r="J309" s="283"/>
      <c r="K309" s="283"/>
      <c r="L309" s="269" t="s">
        <v>308</v>
      </c>
    </row>
    <row r="310" spans="4:12">
      <c r="D310" s="273"/>
      <c r="E310" s="274"/>
      <c r="F310" s="275"/>
      <c r="G310" s="284"/>
      <c r="H310" s="285"/>
      <c r="I310" s="283"/>
      <c r="J310" s="283"/>
      <c r="K310" s="283"/>
      <c r="L310" s="269" t="s">
        <v>308</v>
      </c>
    </row>
    <row r="311" spans="4:12">
      <c r="D311" s="273"/>
      <c r="E311" s="274"/>
      <c r="F311" s="275"/>
      <c r="G311" s="288"/>
      <c r="H311" s="287"/>
      <c r="I311" s="283"/>
      <c r="J311" s="283"/>
      <c r="K311" s="283"/>
      <c r="L311" s="269" t="s">
        <v>308</v>
      </c>
    </row>
    <row r="312" spans="4:12">
      <c r="D312" s="273"/>
      <c r="E312" s="274"/>
      <c r="F312" s="275"/>
      <c r="G312" s="288"/>
      <c r="H312" s="287"/>
      <c r="I312" s="283"/>
      <c r="J312" s="283"/>
      <c r="K312" s="283"/>
    </row>
    <row r="313" spans="4:12">
      <c r="D313" s="273"/>
      <c r="E313" s="274"/>
      <c r="F313" s="275"/>
      <c r="G313" s="284"/>
      <c r="H313" s="285"/>
      <c r="I313" s="283"/>
      <c r="J313" s="283"/>
      <c r="K313" s="283"/>
    </row>
    <row r="314" spans="4:12">
      <c r="D314" s="273"/>
      <c r="E314" s="274"/>
      <c r="F314" s="275"/>
      <c r="G314" s="284"/>
      <c r="H314" s="285"/>
      <c r="I314" s="283"/>
      <c r="J314" s="283"/>
      <c r="K314" s="283"/>
    </row>
    <row r="315" spans="4:12">
      <c r="D315" s="273"/>
      <c r="E315" s="274"/>
      <c r="F315" s="275"/>
      <c r="G315" s="288"/>
      <c r="H315" s="287"/>
      <c r="I315" s="283"/>
      <c r="J315" s="283"/>
      <c r="K315" s="283"/>
      <c r="L315" s="269" t="s">
        <v>308</v>
      </c>
    </row>
    <row r="316" spans="4:12">
      <c r="D316" s="273"/>
      <c r="E316" s="274"/>
      <c r="F316" s="275"/>
      <c r="G316" s="284"/>
      <c r="H316" s="285"/>
      <c r="I316" s="283"/>
      <c r="J316" s="283"/>
      <c r="K316" s="283"/>
      <c r="L316" s="269" t="s">
        <v>308</v>
      </c>
    </row>
    <row r="317" spans="4:12">
      <c r="D317" s="273"/>
      <c r="E317" s="274"/>
      <c r="F317" s="275"/>
      <c r="G317" s="286"/>
      <c r="H317" s="287"/>
      <c r="I317" s="283"/>
      <c r="J317" s="283"/>
      <c r="K317" s="283"/>
    </row>
    <row r="318" spans="4:12">
      <c r="D318" s="273"/>
      <c r="E318" s="274"/>
      <c r="F318" s="275"/>
      <c r="G318" s="288"/>
      <c r="H318" s="287"/>
      <c r="I318" s="283"/>
      <c r="J318" s="283"/>
      <c r="K318" s="283"/>
    </row>
    <row r="319" spans="4:12">
      <c r="D319" s="273"/>
      <c r="E319" s="274"/>
      <c r="F319" s="275"/>
      <c r="G319" s="288"/>
      <c r="H319" s="287"/>
      <c r="I319" s="283"/>
      <c r="J319" s="283"/>
      <c r="K319" s="283"/>
    </row>
    <row r="320" spans="4:12">
      <c r="D320" s="273"/>
      <c r="E320" s="274"/>
      <c r="F320" s="275"/>
      <c r="G320" s="288"/>
      <c r="H320" s="287"/>
      <c r="I320" s="283"/>
      <c r="J320" s="283"/>
      <c r="K320" s="283"/>
    </row>
    <row r="321" spans="4:11">
      <c r="D321" s="273"/>
      <c r="E321" s="274"/>
      <c r="F321" s="275"/>
      <c r="G321" s="284"/>
      <c r="H321" s="285"/>
      <c r="I321" s="283"/>
      <c r="J321" s="283"/>
      <c r="K321" s="283"/>
    </row>
    <row r="322" spans="4:11">
      <c r="D322" s="273"/>
      <c r="E322" s="274"/>
      <c r="F322" s="275"/>
      <c r="G322" s="288"/>
      <c r="H322" s="287"/>
      <c r="I322" s="283"/>
      <c r="J322" s="283"/>
      <c r="K322" s="283"/>
    </row>
    <row r="323" spans="4:11">
      <c r="D323" s="273"/>
      <c r="E323" s="274"/>
      <c r="F323" s="275"/>
      <c r="G323" s="288"/>
      <c r="H323" s="287"/>
      <c r="I323" s="283"/>
      <c r="J323" s="283"/>
      <c r="K323" s="283"/>
    </row>
    <row r="324" spans="4:11">
      <c r="D324" s="273"/>
      <c r="E324" s="274"/>
      <c r="F324" s="275"/>
      <c r="G324" s="288"/>
      <c r="H324" s="287"/>
      <c r="I324" s="283"/>
      <c r="J324" s="283"/>
      <c r="K324" s="283"/>
    </row>
    <row r="325" spans="4:11">
      <c r="D325" s="273"/>
      <c r="E325" s="274"/>
      <c r="F325" s="275"/>
      <c r="G325" s="284"/>
      <c r="H325" s="285"/>
      <c r="I325" s="283"/>
      <c r="J325" s="283"/>
      <c r="K325" s="283"/>
    </row>
    <row r="326" spans="4:11">
      <c r="D326" s="273"/>
      <c r="E326" s="274"/>
      <c r="F326" s="275"/>
      <c r="G326" s="284"/>
      <c r="H326" s="285"/>
      <c r="I326" s="283"/>
      <c r="J326" s="283"/>
      <c r="K326" s="283"/>
    </row>
    <row r="327" spans="4:11">
      <c r="D327" s="273"/>
      <c r="E327" s="274"/>
      <c r="F327" s="275"/>
      <c r="G327" s="288"/>
      <c r="H327" s="287"/>
      <c r="I327" s="283"/>
      <c r="J327" s="283"/>
      <c r="K327" s="283"/>
    </row>
    <row r="328" spans="4:11">
      <c r="D328" s="273"/>
      <c r="E328" s="274"/>
      <c r="F328" s="275"/>
      <c r="G328" s="288"/>
      <c r="H328" s="287"/>
      <c r="I328" s="283"/>
      <c r="J328" s="283"/>
      <c r="K328" s="283"/>
    </row>
    <row r="329" spans="4:11">
      <c r="D329" s="273"/>
      <c r="E329" s="274"/>
      <c r="F329" s="275"/>
      <c r="G329" s="284"/>
      <c r="H329" s="285"/>
      <c r="I329" s="283"/>
      <c r="J329" s="283"/>
      <c r="K329" s="283"/>
    </row>
    <row r="330" spans="4:11">
      <c r="D330" s="273"/>
      <c r="E330" s="274"/>
      <c r="F330" s="275"/>
      <c r="G330" s="286"/>
      <c r="H330" s="287"/>
      <c r="I330" s="283"/>
      <c r="J330" s="283"/>
      <c r="K330" s="283"/>
    </row>
    <row r="331" spans="4:11">
      <c r="D331" s="273"/>
      <c r="E331" s="274"/>
      <c r="F331" s="275"/>
      <c r="G331" s="288"/>
      <c r="H331" s="287"/>
      <c r="I331" s="283"/>
      <c r="J331" s="283"/>
      <c r="K331" s="283"/>
    </row>
    <row r="332" spans="4:11">
      <c r="D332" s="273"/>
      <c r="E332" s="274"/>
      <c r="F332" s="275"/>
      <c r="G332" s="288"/>
      <c r="H332" s="287"/>
      <c r="I332" s="283"/>
      <c r="J332" s="283"/>
      <c r="K332" s="283"/>
    </row>
    <row r="333" spans="4:11">
      <c r="D333" s="273"/>
      <c r="E333" s="274"/>
      <c r="F333" s="275"/>
      <c r="G333" s="288"/>
      <c r="H333" s="287"/>
      <c r="I333" s="283"/>
      <c r="J333" s="283"/>
      <c r="K333" s="283"/>
    </row>
    <row r="334" spans="4:11">
      <c r="D334" s="273"/>
      <c r="E334" s="274"/>
      <c r="F334" s="275"/>
      <c r="G334" s="284"/>
      <c r="H334" s="285"/>
      <c r="I334" s="283"/>
      <c r="J334" s="283"/>
      <c r="K334" s="283"/>
    </row>
    <row r="335" spans="4:11">
      <c r="D335" s="273"/>
      <c r="E335" s="274"/>
      <c r="F335" s="275"/>
      <c r="G335" s="288"/>
      <c r="H335" s="287"/>
      <c r="I335" s="283"/>
      <c r="J335" s="283"/>
      <c r="K335" s="283"/>
    </row>
    <row r="336" spans="4:11">
      <c r="D336" s="273"/>
      <c r="E336" s="274"/>
      <c r="F336" s="275"/>
      <c r="G336" s="288"/>
      <c r="H336" s="287"/>
      <c r="I336" s="283"/>
      <c r="J336" s="283"/>
      <c r="K336" s="283"/>
    </row>
    <row r="337" spans="4:12">
      <c r="D337" s="273"/>
      <c r="E337" s="274"/>
      <c r="F337" s="275"/>
      <c r="G337" s="288"/>
      <c r="H337" s="287"/>
      <c r="I337" s="283"/>
      <c r="J337" s="283"/>
      <c r="K337" s="283"/>
    </row>
    <row r="338" spans="4:12">
      <c r="D338" s="273"/>
      <c r="E338" s="274"/>
      <c r="F338" s="275"/>
      <c r="G338" s="288"/>
      <c r="H338" s="287"/>
      <c r="I338" s="283"/>
      <c r="J338" s="283"/>
      <c r="K338" s="283"/>
    </row>
    <row r="339" spans="4:12">
      <c r="D339" s="273"/>
      <c r="E339" s="274"/>
      <c r="F339" s="275"/>
      <c r="G339" s="284"/>
      <c r="H339" s="285"/>
      <c r="I339" s="283"/>
      <c r="J339" s="283"/>
      <c r="K339" s="283"/>
    </row>
    <row r="340" spans="4:12">
      <c r="D340" s="273"/>
      <c r="E340" s="274"/>
      <c r="F340" s="275"/>
      <c r="G340" s="284"/>
      <c r="H340" s="285"/>
      <c r="I340" s="283"/>
      <c r="J340" s="283"/>
      <c r="K340" s="283"/>
    </row>
    <row r="341" spans="4:12">
      <c r="D341" s="273"/>
      <c r="E341" s="274"/>
      <c r="F341" s="275"/>
      <c r="G341" s="284"/>
      <c r="H341" s="285"/>
      <c r="I341" s="283"/>
      <c r="J341" s="283"/>
      <c r="K341" s="283"/>
    </row>
    <row r="342" spans="4:12">
      <c r="D342" s="273"/>
      <c r="E342" s="274"/>
      <c r="F342" s="275"/>
      <c r="G342" s="286"/>
      <c r="H342" s="287"/>
      <c r="I342" s="283"/>
      <c r="J342" s="283"/>
      <c r="K342" s="283"/>
    </row>
    <row r="343" spans="4:12">
      <c r="D343" s="273"/>
      <c r="E343" s="274"/>
      <c r="F343" s="275"/>
      <c r="G343" s="288"/>
      <c r="H343" s="287"/>
      <c r="I343" s="283"/>
      <c r="J343" s="283"/>
      <c r="K343" s="283"/>
      <c r="L343" s="269" t="s">
        <v>308</v>
      </c>
    </row>
    <row r="344" spans="4:12">
      <c r="D344" s="273"/>
      <c r="E344" s="274"/>
      <c r="F344" s="275"/>
      <c r="G344" s="288"/>
      <c r="H344" s="287"/>
      <c r="I344" s="283"/>
      <c r="J344" s="283"/>
      <c r="K344" s="283"/>
    </row>
    <row r="345" spans="4:12">
      <c r="D345" s="273"/>
      <c r="E345" s="274"/>
      <c r="F345" s="275"/>
      <c r="G345" s="288"/>
      <c r="H345" s="287"/>
      <c r="I345" s="283"/>
      <c r="J345" s="283"/>
      <c r="K345" s="283"/>
    </row>
    <row r="346" spans="4:12">
      <c r="D346" s="273"/>
      <c r="E346" s="274"/>
      <c r="F346" s="275"/>
      <c r="G346" s="284"/>
      <c r="H346" s="285"/>
      <c r="I346" s="283"/>
      <c r="J346" s="283"/>
      <c r="K346" s="283"/>
      <c r="L346" s="269" t="s">
        <v>308</v>
      </c>
    </row>
    <row r="347" spans="4:12">
      <c r="D347" s="273"/>
      <c r="E347" s="274"/>
      <c r="F347" s="275"/>
      <c r="G347" s="288"/>
      <c r="H347" s="287"/>
      <c r="I347" s="283"/>
      <c r="J347" s="283"/>
      <c r="K347" s="283"/>
    </row>
    <row r="348" spans="4:12">
      <c r="D348" s="273"/>
      <c r="E348" s="274"/>
      <c r="F348" s="275"/>
      <c r="G348" s="288"/>
      <c r="H348" s="287"/>
      <c r="I348" s="283"/>
      <c r="J348" s="283"/>
      <c r="K348" s="283"/>
    </row>
    <row r="349" spans="4:12">
      <c r="D349" s="273"/>
      <c r="E349" s="274"/>
      <c r="F349" s="275"/>
      <c r="G349" s="288"/>
      <c r="H349" s="287"/>
      <c r="I349" s="283"/>
      <c r="J349" s="283"/>
      <c r="K349" s="283"/>
    </row>
    <row r="350" spans="4:12">
      <c r="D350" s="273"/>
      <c r="E350" s="274"/>
      <c r="F350" s="275"/>
      <c r="G350" s="288"/>
      <c r="H350" s="287"/>
      <c r="I350" s="283"/>
      <c r="J350" s="283"/>
      <c r="K350" s="283"/>
    </row>
    <row r="351" spans="4:12">
      <c r="D351" s="273"/>
      <c r="E351" s="274"/>
      <c r="F351" s="275"/>
      <c r="G351" s="284"/>
      <c r="H351" s="285"/>
      <c r="I351" s="283"/>
      <c r="J351" s="283"/>
      <c r="K351" s="283"/>
    </row>
    <row r="352" spans="4:12">
      <c r="D352" s="273"/>
      <c r="E352" s="274"/>
      <c r="F352" s="275"/>
      <c r="G352" s="284"/>
      <c r="H352" s="285"/>
      <c r="I352" s="283"/>
      <c r="J352" s="283"/>
      <c r="K352" s="283"/>
    </row>
    <row r="353" spans="4:12">
      <c r="D353" s="273"/>
      <c r="E353" s="274"/>
      <c r="F353" s="275"/>
      <c r="G353" s="284"/>
      <c r="H353" s="285"/>
      <c r="I353" s="283"/>
      <c r="J353" s="283"/>
      <c r="K353" s="283"/>
      <c r="L353" s="269" t="s">
        <v>308</v>
      </c>
    </row>
    <row r="354" spans="4:12">
      <c r="D354" s="273"/>
      <c r="E354" s="274"/>
      <c r="F354" s="275"/>
      <c r="G354" s="286"/>
      <c r="H354" s="287"/>
      <c r="I354" s="283"/>
      <c r="J354" s="283"/>
      <c r="K354" s="283"/>
    </row>
    <row r="355" spans="4:12">
      <c r="D355" s="273"/>
      <c r="E355" s="274"/>
      <c r="F355" s="275"/>
      <c r="G355" s="288"/>
      <c r="H355" s="287"/>
      <c r="I355" s="283"/>
      <c r="J355" s="283"/>
      <c r="K355" s="283"/>
      <c r="L355" s="269" t="s">
        <v>308</v>
      </c>
    </row>
    <row r="356" spans="4:12">
      <c r="D356" s="273"/>
      <c r="E356" s="274"/>
      <c r="F356" s="275"/>
      <c r="G356" s="288"/>
      <c r="H356" s="287"/>
      <c r="I356" s="283"/>
      <c r="J356" s="283"/>
      <c r="K356" s="283"/>
      <c r="L356" s="269" t="s">
        <v>308</v>
      </c>
    </row>
    <row r="357" spans="4:12">
      <c r="D357" s="273"/>
      <c r="E357" s="274"/>
      <c r="F357" s="275"/>
      <c r="G357" s="288"/>
      <c r="H357" s="287"/>
      <c r="I357" s="283"/>
      <c r="J357" s="283"/>
      <c r="K357" s="283"/>
    </row>
    <row r="358" spans="4:12">
      <c r="D358" s="273"/>
      <c r="E358" s="274"/>
      <c r="F358" s="275"/>
      <c r="G358" s="284"/>
      <c r="H358" s="285"/>
      <c r="I358" s="283"/>
      <c r="J358" s="283"/>
      <c r="K358" s="283"/>
      <c r="L358" s="269" t="s">
        <v>308</v>
      </c>
    </row>
    <row r="359" spans="4:12">
      <c r="D359" s="273"/>
      <c r="E359" s="274"/>
      <c r="F359" s="275"/>
      <c r="G359" s="288"/>
      <c r="H359" s="287"/>
      <c r="I359" s="283"/>
      <c r="J359" s="283"/>
      <c r="K359" s="283"/>
      <c r="L359" s="269" t="s">
        <v>308</v>
      </c>
    </row>
    <row r="360" spans="4:12">
      <c r="D360" s="273"/>
      <c r="E360" s="274"/>
      <c r="F360" s="275"/>
      <c r="G360" s="288"/>
      <c r="H360" s="287"/>
      <c r="I360" s="283"/>
      <c r="J360" s="283"/>
      <c r="K360" s="283"/>
    </row>
    <row r="361" spans="4:12">
      <c r="D361" s="273"/>
      <c r="E361" s="274"/>
      <c r="F361" s="275"/>
      <c r="G361" s="288"/>
      <c r="H361" s="287"/>
      <c r="I361" s="283"/>
      <c r="J361" s="283"/>
      <c r="K361" s="283"/>
    </row>
    <row r="362" spans="4:12">
      <c r="D362" s="273"/>
      <c r="E362" s="274"/>
      <c r="F362" s="275"/>
      <c r="G362" s="288"/>
      <c r="H362" s="287"/>
      <c r="I362" s="283"/>
      <c r="J362" s="283"/>
      <c r="K362" s="283"/>
    </row>
    <row r="363" spans="4:12">
      <c r="D363" s="273"/>
      <c r="E363" s="274"/>
      <c r="F363" s="275"/>
      <c r="G363" s="284"/>
      <c r="H363" s="285"/>
      <c r="I363" s="283"/>
      <c r="J363" s="283"/>
      <c r="K363" s="283"/>
    </row>
    <row r="364" spans="4:12">
      <c r="D364" s="273"/>
      <c r="E364" s="274"/>
      <c r="F364" s="275"/>
      <c r="G364" s="284"/>
      <c r="H364" s="285"/>
      <c r="I364" s="283"/>
      <c r="J364" s="283"/>
      <c r="K364" s="283"/>
    </row>
    <row r="365" spans="4:12">
      <c r="D365" s="273"/>
      <c r="E365" s="274"/>
      <c r="F365" s="275"/>
      <c r="G365" s="284"/>
      <c r="H365" s="285"/>
      <c r="I365" s="283"/>
      <c r="J365" s="283"/>
      <c r="K365" s="283"/>
      <c r="L365" s="269" t="s">
        <v>308</v>
      </c>
    </row>
    <row r="366" spans="4:12">
      <c r="D366" s="273"/>
      <c r="E366" s="274"/>
      <c r="F366" s="275"/>
      <c r="G366" s="286"/>
      <c r="H366" s="287"/>
      <c r="I366" s="283"/>
      <c r="J366" s="283"/>
      <c r="K366" s="283"/>
    </row>
    <row r="367" spans="4:12">
      <c r="D367" s="273"/>
      <c r="E367" s="274"/>
      <c r="F367" s="275"/>
      <c r="G367" s="288"/>
      <c r="H367" s="287"/>
      <c r="I367" s="283"/>
      <c r="J367" s="283"/>
      <c r="K367" s="283"/>
      <c r="L367" s="269" t="s">
        <v>308</v>
      </c>
    </row>
    <row r="368" spans="4:12">
      <c r="D368" s="273"/>
      <c r="E368" s="274"/>
      <c r="F368" s="275"/>
      <c r="G368" s="288"/>
      <c r="H368" s="287"/>
      <c r="I368" s="283"/>
      <c r="J368" s="283"/>
      <c r="K368" s="283"/>
    </row>
    <row r="369" spans="4:12">
      <c r="D369" s="273"/>
      <c r="E369" s="274"/>
      <c r="F369" s="275"/>
      <c r="G369" s="288"/>
      <c r="H369" s="287"/>
      <c r="I369" s="283"/>
      <c r="J369" s="283"/>
      <c r="K369" s="283"/>
      <c r="L369" s="269" t="s">
        <v>308</v>
      </c>
    </row>
    <row r="370" spans="4:12">
      <c r="D370" s="273"/>
      <c r="E370" s="274"/>
      <c r="F370" s="275"/>
      <c r="G370" s="284"/>
      <c r="H370" s="285"/>
      <c r="I370" s="283"/>
      <c r="J370" s="283"/>
      <c r="K370" s="283"/>
      <c r="L370" s="269" t="s">
        <v>308</v>
      </c>
    </row>
    <row r="371" spans="4:12">
      <c r="D371" s="273"/>
      <c r="E371" s="274"/>
      <c r="F371" s="275"/>
      <c r="G371" s="288"/>
      <c r="H371" s="287"/>
      <c r="I371" s="283"/>
      <c r="J371" s="283"/>
      <c r="K371" s="283"/>
      <c r="L371" s="269" t="s">
        <v>308</v>
      </c>
    </row>
    <row r="372" spans="4:12">
      <c r="D372" s="273"/>
      <c r="E372" s="274"/>
      <c r="F372" s="275"/>
      <c r="G372" s="288"/>
      <c r="H372" s="287"/>
      <c r="I372" s="283"/>
      <c r="J372" s="283"/>
      <c r="K372" s="283"/>
    </row>
    <row r="373" spans="4:12">
      <c r="D373" s="273"/>
      <c r="E373" s="274"/>
      <c r="F373" s="275"/>
      <c r="G373" s="288"/>
      <c r="H373" s="287"/>
      <c r="I373" s="283"/>
      <c r="J373" s="283"/>
      <c r="K373" s="283"/>
    </row>
    <row r="374" spans="4:12">
      <c r="D374" s="273"/>
      <c r="E374" s="274"/>
      <c r="F374" s="275"/>
      <c r="G374" s="288"/>
      <c r="H374" s="287"/>
      <c r="I374" s="283"/>
      <c r="J374" s="283"/>
      <c r="K374" s="283"/>
    </row>
    <row r="375" spans="4:12">
      <c r="D375" s="273"/>
      <c r="E375" s="274"/>
      <c r="F375" s="275"/>
      <c r="G375" s="284"/>
      <c r="H375" s="285"/>
      <c r="I375" s="283"/>
      <c r="J375" s="283"/>
      <c r="K375" s="283"/>
    </row>
    <row r="376" spans="4:12">
      <c r="D376" s="273"/>
      <c r="E376" s="274"/>
      <c r="F376" s="275"/>
      <c r="G376" s="284"/>
      <c r="H376" s="285"/>
      <c r="I376" s="283"/>
      <c r="J376" s="283"/>
      <c r="K376" s="283"/>
    </row>
    <row r="377" spans="4:12">
      <c r="D377" s="273"/>
      <c r="E377" s="274"/>
      <c r="F377" s="275"/>
      <c r="G377" s="284"/>
      <c r="H377" s="285"/>
      <c r="I377" s="283"/>
      <c r="J377" s="283"/>
      <c r="K377" s="283"/>
      <c r="L377" s="269" t="s">
        <v>308</v>
      </c>
    </row>
    <row r="378" spans="4:12">
      <c r="D378" s="273"/>
      <c r="E378" s="274"/>
      <c r="F378" s="275"/>
      <c r="G378" s="286"/>
      <c r="H378" s="287"/>
      <c r="I378" s="283"/>
      <c r="J378" s="283"/>
      <c r="K378" s="283"/>
    </row>
    <row r="379" spans="4:12">
      <c r="D379" s="273"/>
      <c r="E379" s="274"/>
      <c r="F379" s="275"/>
      <c r="G379" s="288"/>
      <c r="H379" s="287"/>
      <c r="I379" s="283"/>
      <c r="J379" s="283"/>
      <c r="K379" s="283"/>
      <c r="L379" s="269" t="s">
        <v>308</v>
      </c>
    </row>
    <row r="380" spans="4:12">
      <c r="D380" s="273"/>
      <c r="E380" s="274"/>
      <c r="F380" s="275"/>
      <c r="G380" s="288"/>
      <c r="H380" s="287"/>
      <c r="I380" s="283"/>
      <c r="J380" s="283"/>
      <c r="K380" s="283"/>
      <c r="L380" s="269" t="s">
        <v>308</v>
      </c>
    </row>
    <row r="381" spans="4:12">
      <c r="D381" s="273"/>
      <c r="E381" s="274"/>
      <c r="F381" s="275"/>
      <c r="G381" s="288"/>
      <c r="H381" s="287"/>
      <c r="I381" s="283"/>
      <c r="J381" s="283"/>
      <c r="K381" s="283"/>
      <c r="L381" s="269" t="s">
        <v>308</v>
      </c>
    </row>
    <row r="382" spans="4:12">
      <c r="D382" s="273"/>
      <c r="E382" s="274"/>
      <c r="F382" s="275"/>
      <c r="G382" s="284"/>
      <c r="H382" s="285"/>
      <c r="I382" s="283"/>
      <c r="J382" s="283"/>
      <c r="K382" s="283"/>
      <c r="L382" s="269" t="s">
        <v>308</v>
      </c>
    </row>
    <row r="383" spans="4:12">
      <c r="D383" s="273"/>
      <c r="E383" s="274"/>
      <c r="F383" s="275"/>
      <c r="G383" s="288"/>
      <c r="H383" s="287"/>
      <c r="I383" s="283"/>
      <c r="J383" s="283"/>
      <c r="K383" s="283"/>
      <c r="L383" s="269" t="s">
        <v>308</v>
      </c>
    </row>
    <row r="384" spans="4:12">
      <c r="D384" s="273"/>
      <c r="E384" s="274"/>
      <c r="F384" s="275"/>
      <c r="G384" s="288"/>
      <c r="H384" s="287"/>
      <c r="I384" s="283"/>
      <c r="J384" s="283"/>
      <c r="K384" s="283"/>
    </row>
    <row r="385" spans="4:12">
      <c r="D385" s="273"/>
      <c r="E385" s="274"/>
      <c r="F385" s="275"/>
      <c r="G385" s="288"/>
      <c r="H385" s="287"/>
      <c r="I385" s="283"/>
      <c r="J385" s="283"/>
      <c r="K385" s="283"/>
    </row>
    <row r="386" spans="4:12">
      <c r="D386" s="273"/>
      <c r="E386" s="274"/>
      <c r="F386" s="275"/>
      <c r="G386" s="288"/>
      <c r="H386" s="287"/>
      <c r="I386" s="283"/>
      <c r="J386" s="283"/>
      <c r="K386" s="283"/>
    </row>
    <row r="387" spans="4:12">
      <c r="D387" s="273"/>
      <c r="E387" s="274"/>
      <c r="F387" s="275"/>
      <c r="G387" s="284"/>
      <c r="H387" s="285"/>
      <c r="I387" s="283"/>
      <c r="J387" s="283"/>
      <c r="K387" s="283"/>
    </row>
    <row r="388" spans="4:12">
      <c r="D388" s="273"/>
      <c r="E388" s="274"/>
      <c r="F388" s="275"/>
      <c r="G388" s="284"/>
      <c r="H388" s="285"/>
      <c r="I388" s="283"/>
      <c r="J388" s="283"/>
      <c r="K388" s="283"/>
    </row>
    <row r="389" spans="4:12">
      <c r="D389" s="273"/>
      <c r="E389" s="274"/>
      <c r="F389" s="275"/>
      <c r="G389" s="284"/>
      <c r="H389" s="285"/>
      <c r="I389" s="283"/>
      <c r="J389" s="283"/>
      <c r="K389" s="283"/>
      <c r="L389" s="269" t="s">
        <v>308</v>
      </c>
    </row>
    <row r="390" spans="4:12">
      <c r="D390" s="273"/>
      <c r="E390" s="274"/>
      <c r="F390" s="275"/>
      <c r="G390" s="286"/>
      <c r="H390" s="287"/>
      <c r="I390" s="283"/>
      <c r="J390" s="283"/>
      <c r="K390" s="283"/>
    </row>
    <row r="391" spans="4:12">
      <c r="D391" s="273"/>
      <c r="E391" s="274"/>
      <c r="F391" s="275"/>
      <c r="G391" s="288"/>
      <c r="H391" s="287"/>
      <c r="I391" s="283"/>
      <c r="J391" s="283"/>
      <c r="K391" s="283"/>
      <c r="L391" s="269" t="s">
        <v>308</v>
      </c>
    </row>
    <row r="392" spans="4:12">
      <c r="D392" s="273"/>
      <c r="E392" s="274"/>
      <c r="F392" s="275"/>
      <c r="G392" s="288"/>
      <c r="H392" s="287"/>
      <c r="I392" s="283"/>
      <c r="J392" s="283"/>
      <c r="K392" s="283"/>
    </row>
    <row r="393" spans="4:12">
      <c r="D393" s="273"/>
      <c r="E393" s="274"/>
      <c r="F393" s="275"/>
      <c r="G393" s="288"/>
      <c r="H393" s="287"/>
      <c r="I393" s="283"/>
      <c r="J393" s="283"/>
      <c r="K393" s="283"/>
    </row>
    <row r="394" spans="4:12">
      <c r="D394" s="273"/>
      <c r="E394" s="274"/>
      <c r="F394" s="275"/>
      <c r="G394" s="284"/>
      <c r="H394" s="285"/>
      <c r="I394" s="283"/>
      <c r="J394" s="283"/>
      <c r="K394" s="283"/>
      <c r="L394" s="269" t="s">
        <v>308</v>
      </c>
    </row>
    <row r="395" spans="4:12">
      <c r="D395" s="273"/>
      <c r="E395" s="274"/>
      <c r="F395" s="275"/>
      <c r="G395" s="288"/>
      <c r="H395" s="287"/>
      <c r="I395" s="283"/>
      <c r="J395" s="283"/>
      <c r="K395" s="283"/>
      <c r="L395" s="269" t="s">
        <v>308</v>
      </c>
    </row>
    <row r="396" spans="4:12">
      <c r="D396" s="273"/>
      <c r="E396" s="274"/>
      <c r="F396" s="275"/>
      <c r="G396" s="288"/>
      <c r="H396" s="287"/>
      <c r="I396" s="283"/>
      <c r="J396" s="283"/>
      <c r="K396" s="283"/>
    </row>
    <row r="397" spans="4:12">
      <c r="D397" s="273"/>
      <c r="E397" s="274"/>
      <c r="F397" s="275"/>
      <c r="G397" s="288"/>
      <c r="H397" s="287"/>
      <c r="I397" s="283"/>
      <c r="J397" s="283"/>
      <c r="K397" s="283"/>
    </row>
    <row r="398" spans="4:12">
      <c r="D398" s="273"/>
      <c r="E398" s="274"/>
      <c r="F398" s="275"/>
      <c r="G398" s="288"/>
      <c r="H398" s="287"/>
      <c r="I398" s="283"/>
      <c r="J398" s="283"/>
      <c r="K398" s="283"/>
    </row>
    <row r="399" spans="4:12">
      <c r="D399" s="273"/>
      <c r="E399" s="274"/>
      <c r="F399" s="275"/>
      <c r="G399" s="288"/>
      <c r="H399" s="287"/>
      <c r="I399" s="283"/>
      <c r="J399" s="283"/>
      <c r="K399" s="283"/>
    </row>
    <row r="400" spans="4:12">
      <c r="D400" s="273"/>
      <c r="E400" s="274"/>
      <c r="F400" s="275"/>
      <c r="G400" s="288"/>
      <c r="H400" s="287"/>
      <c r="I400" s="283"/>
      <c r="J400" s="283"/>
      <c r="K400" s="283"/>
    </row>
    <row r="401" spans="4:12">
      <c r="D401" s="273"/>
      <c r="E401" s="274"/>
      <c r="F401" s="275"/>
      <c r="G401" s="284"/>
      <c r="H401" s="285"/>
      <c r="I401" s="283"/>
      <c r="J401" s="283"/>
      <c r="K401" s="283"/>
    </row>
    <row r="402" spans="4:12">
      <c r="D402" s="273"/>
      <c r="E402" s="274"/>
      <c r="F402" s="275"/>
      <c r="G402" s="284"/>
      <c r="H402" s="285"/>
      <c r="I402" s="283"/>
      <c r="J402" s="283"/>
      <c r="K402" s="283"/>
    </row>
    <row r="403" spans="4:12">
      <c r="D403" s="273"/>
      <c r="E403" s="274"/>
      <c r="F403" s="275"/>
      <c r="G403" s="284"/>
      <c r="H403" s="285"/>
      <c r="I403" s="283"/>
      <c r="J403" s="283"/>
      <c r="K403" s="283"/>
      <c r="L403" s="269" t="s">
        <v>308</v>
      </c>
    </row>
    <row r="404" spans="4:12">
      <c r="D404" s="273"/>
      <c r="E404" s="274"/>
      <c r="F404" s="275"/>
      <c r="G404" s="286"/>
      <c r="H404" s="287"/>
      <c r="I404" s="283"/>
      <c r="J404" s="283"/>
      <c r="K404" s="283"/>
    </row>
    <row r="405" spans="4:12">
      <c r="D405" s="273"/>
      <c r="E405" s="274"/>
      <c r="F405" s="275"/>
      <c r="G405" s="288"/>
      <c r="H405" s="287"/>
      <c r="I405" s="283"/>
      <c r="J405" s="283"/>
      <c r="K405" s="283"/>
    </row>
    <row r="406" spans="4:12">
      <c r="D406" s="273"/>
      <c r="E406" s="274"/>
      <c r="F406" s="275"/>
      <c r="G406" s="288"/>
      <c r="H406" s="287"/>
      <c r="I406" s="283"/>
      <c r="J406" s="283"/>
      <c r="K406" s="283"/>
      <c r="L406" s="269" t="s">
        <v>308</v>
      </c>
    </row>
    <row r="407" spans="4:12">
      <c r="D407" s="273"/>
      <c r="E407" s="274"/>
      <c r="F407" s="275"/>
      <c r="G407" s="288"/>
      <c r="H407" s="287"/>
      <c r="I407" s="283"/>
      <c r="J407" s="283"/>
      <c r="K407" s="283"/>
    </row>
    <row r="408" spans="4:12">
      <c r="D408" s="273"/>
      <c r="E408" s="274"/>
      <c r="F408" s="275"/>
      <c r="G408" s="284"/>
      <c r="H408" s="285"/>
      <c r="I408" s="283"/>
      <c r="J408" s="283"/>
      <c r="K408" s="283"/>
      <c r="L408" s="269" t="s">
        <v>308</v>
      </c>
    </row>
    <row r="409" spans="4:12">
      <c r="D409" s="273"/>
      <c r="E409" s="274"/>
      <c r="F409" s="275"/>
      <c r="G409" s="288"/>
      <c r="H409" s="287"/>
      <c r="I409" s="283"/>
      <c r="J409" s="283"/>
      <c r="K409" s="283"/>
    </row>
    <row r="410" spans="4:12">
      <c r="D410" s="273"/>
      <c r="E410" s="274"/>
      <c r="F410" s="275"/>
      <c r="G410" s="288"/>
      <c r="H410" s="287"/>
      <c r="I410" s="283"/>
      <c r="J410" s="283"/>
      <c r="K410" s="283"/>
      <c r="L410" s="269" t="s">
        <v>308</v>
      </c>
    </row>
    <row r="411" spans="4:12">
      <c r="D411" s="273"/>
      <c r="E411" s="274"/>
      <c r="F411" s="275"/>
      <c r="G411" s="288"/>
      <c r="H411" s="287"/>
      <c r="I411" s="283"/>
      <c r="J411" s="283"/>
      <c r="K411" s="283"/>
    </row>
    <row r="412" spans="4:12">
      <c r="D412" s="273"/>
      <c r="E412" s="274"/>
      <c r="F412" s="275"/>
      <c r="G412" s="284"/>
      <c r="H412" s="285"/>
      <c r="I412" s="283"/>
      <c r="J412" s="283"/>
      <c r="K412" s="283"/>
    </row>
    <row r="413" spans="4:12">
      <c r="D413" s="273"/>
      <c r="E413" s="274"/>
      <c r="F413" s="275"/>
      <c r="G413" s="284"/>
      <c r="H413" s="285"/>
      <c r="I413" s="283"/>
      <c r="J413" s="283"/>
      <c r="K413" s="283"/>
    </row>
    <row r="414" spans="4:12">
      <c r="D414" s="273"/>
      <c r="E414" s="274"/>
      <c r="F414" s="275"/>
      <c r="G414" s="284"/>
      <c r="H414" s="285"/>
      <c r="I414" s="283"/>
      <c r="J414" s="283"/>
      <c r="K414" s="283"/>
      <c r="L414" s="269" t="s">
        <v>308</v>
      </c>
    </row>
    <row r="415" spans="4:12">
      <c r="D415" s="273"/>
      <c r="E415" s="274"/>
      <c r="F415" s="275"/>
      <c r="G415" s="286"/>
      <c r="H415" s="287"/>
      <c r="I415" s="283"/>
      <c r="J415" s="283"/>
      <c r="K415" s="283"/>
    </row>
  </sheetData>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2:AO620"/>
  <sheetViews>
    <sheetView showGridLines="0" topLeftCell="G23" workbookViewId="0">
      <selection activeCell="M25" sqref="M25"/>
    </sheetView>
  </sheetViews>
  <sheetFormatPr defaultColWidth="9" defaultRowHeight="14.45"/>
  <cols>
    <col min="1" max="1" width="3.25" customWidth="1"/>
    <col min="2" max="2" width="33.75" customWidth="1"/>
    <col min="3" max="3" width="13.375" style="1" customWidth="1"/>
    <col min="4" max="7" width="16.25" style="1" customWidth="1"/>
    <col min="8" max="8" width="8.875" style="1" customWidth="1"/>
    <col min="9" max="9" width="16.375" style="1" customWidth="1"/>
    <col min="10" max="10" width="15.875" style="1" customWidth="1"/>
    <col min="11" max="12" width="14.875" customWidth="1"/>
    <col min="13" max="13" width="12.75" customWidth="1"/>
    <col min="14" max="14" width="13.125" customWidth="1"/>
    <col min="15" max="15" width="11.875" customWidth="1"/>
    <col min="16" max="16" width="12.125" customWidth="1"/>
    <col min="17" max="17" width="11.875" customWidth="1"/>
    <col min="18" max="18" width="12.125" customWidth="1"/>
    <col min="19" max="19" width="13.625" customWidth="1"/>
    <col min="20" max="20" width="12.125" customWidth="1"/>
    <col min="21" max="21" width="11.75" customWidth="1"/>
    <col min="23" max="23" width="12.625" customWidth="1"/>
    <col min="24" max="24" width="11.875" customWidth="1"/>
    <col min="29" max="29" width="11" customWidth="1"/>
    <col min="37" max="37" width="9.625" customWidth="1"/>
    <col min="42" max="42" width="13.125" customWidth="1"/>
    <col min="43" max="43" width="13.75" customWidth="1"/>
    <col min="264" max="264" width="47.25" customWidth="1"/>
    <col min="265" max="265" width="16" customWidth="1"/>
    <col min="267" max="267" width="14.875" customWidth="1"/>
    <col min="268" max="268" width="14.125" customWidth="1"/>
    <col min="269" max="269" width="12.75" customWidth="1"/>
    <col min="270" max="270" width="13.125" customWidth="1"/>
    <col min="520" max="520" width="47.25" customWidth="1"/>
    <col min="521" max="521" width="16" customWidth="1"/>
    <col min="523" max="523" width="14.875" customWidth="1"/>
    <col min="524" max="524" width="14.125" customWidth="1"/>
    <col min="525" max="525" width="12.75" customWidth="1"/>
    <col min="526" max="526" width="13.125" customWidth="1"/>
    <col min="776" max="776" width="47.25" customWidth="1"/>
    <col min="777" max="777" width="16" customWidth="1"/>
    <col min="779" max="779" width="14.875" customWidth="1"/>
    <col min="780" max="780" width="14.125" customWidth="1"/>
    <col min="781" max="781" width="12.75" customWidth="1"/>
    <col min="782" max="782" width="13.125" customWidth="1"/>
    <col min="1032" max="1032" width="47.25" customWidth="1"/>
    <col min="1033" max="1033" width="16" customWidth="1"/>
    <col min="1035" max="1035" width="14.875" customWidth="1"/>
    <col min="1036" max="1036" width="14.125" customWidth="1"/>
    <col min="1037" max="1037" width="12.75" customWidth="1"/>
    <col min="1038" max="1038" width="13.125" customWidth="1"/>
    <col min="1288" max="1288" width="47.25" customWidth="1"/>
    <col min="1289" max="1289" width="16" customWidth="1"/>
    <col min="1291" max="1291" width="14.875" customWidth="1"/>
    <col min="1292" max="1292" width="14.125" customWidth="1"/>
    <col min="1293" max="1293" width="12.75" customWidth="1"/>
    <col min="1294" max="1294" width="13.125" customWidth="1"/>
    <col min="1544" max="1544" width="47.25" customWidth="1"/>
    <col min="1545" max="1545" width="16" customWidth="1"/>
    <col min="1547" max="1547" width="14.875" customWidth="1"/>
    <col min="1548" max="1548" width="14.125" customWidth="1"/>
    <col min="1549" max="1549" width="12.75" customWidth="1"/>
    <col min="1550" max="1550" width="13.125" customWidth="1"/>
    <col min="1800" max="1800" width="47.25" customWidth="1"/>
    <col min="1801" max="1801" width="16" customWidth="1"/>
    <col min="1803" max="1803" width="14.875" customWidth="1"/>
    <col min="1804" max="1804" width="14.125" customWidth="1"/>
    <col min="1805" max="1805" width="12.75" customWidth="1"/>
    <col min="1806" max="1806" width="13.125" customWidth="1"/>
    <col min="2056" max="2056" width="47.25" customWidth="1"/>
    <col min="2057" max="2057" width="16" customWidth="1"/>
    <col min="2059" max="2059" width="14.875" customWidth="1"/>
    <col min="2060" max="2060" width="14.125" customWidth="1"/>
    <col min="2061" max="2061" width="12.75" customWidth="1"/>
    <col min="2062" max="2062" width="13.125" customWidth="1"/>
    <col min="2312" max="2312" width="47.25" customWidth="1"/>
    <col min="2313" max="2313" width="16" customWidth="1"/>
    <col min="2315" max="2315" width="14.875" customWidth="1"/>
    <col min="2316" max="2316" width="14.125" customWidth="1"/>
    <col min="2317" max="2317" width="12.75" customWidth="1"/>
    <col min="2318" max="2318" width="13.125" customWidth="1"/>
    <col min="2568" max="2568" width="47.25" customWidth="1"/>
    <col min="2569" max="2569" width="16" customWidth="1"/>
    <col min="2571" max="2571" width="14.875" customWidth="1"/>
    <col min="2572" max="2572" width="14.125" customWidth="1"/>
    <col min="2573" max="2573" width="12.75" customWidth="1"/>
    <col min="2574" max="2574" width="13.125" customWidth="1"/>
    <col min="2824" max="2824" width="47.25" customWidth="1"/>
    <col min="2825" max="2825" width="16" customWidth="1"/>
    <col min="2827" max="2827" width="14.875" customWidth="1"/>
    <col min="2828" max="2828" width="14.125" customWidth="1"/>
    <col min="2829" max="2829" width="12.75" customWidth="1"/>
    <col min="2830" max="2830" width="13.125" customWidth="1"/>
    <col min="3080" max="3080" width="47.25" customWidth="1"/>
    <col min="3081" max="3081" width="16" customWidth="1"/>
    <col min="3083" max="3083" width="14.875" customWidth="1"/>
    <col min="3084" max="3084" width="14.125" customWidth="1"/>
    <col min="3085" max="3085" width="12.75" customWidth="1"/>
    <col min="3086" max="3086" width="13.125" customWidth="1"/>
    <col min="3336" max="3336" width="47.25" customWidth="1"/>
    <col min="3337" max="3337" width="16" customWidth="1"/>
    <col min="3339" max="3339" width="14.875" customWidth="1"/>
    <col min="3340" max="3340" width="14.125" customWidth="1"/>
    <col min="3341" max="3341" width="12.75" customWidth="1"/>
    <col min="3342" max="3342" width="13.125" customWidth="1"/>
    <col min="3592" max="3592" width="47.25" customWidth="1"/>
    <col min="3593" max="3593" width="16" customWidth="1"/>
    <col min="3595" max="3595" width="14.875" customWidth="1"/>
    <col min="3596" max="3596" width="14.125" customWidth="1"/>
    <col min="3597" max="3597" width="12.75" customWidth="1"/>
    <col min="3598" max="3598" width="13.125" customWidth="1"/>
    <col min="3848" max="3848" width="47.25" customWidth="1"/>
    <col min="3849" max="3849" width="16" customWidth="1"/>
    <col min="3851" max="3851" width="14.875" customWidth="1"/>
    <col min="3852" max="3852" width="14.125" customWidth="1"/>
    <col min="3853" max="3853" width="12.75" customWidth="1"/>
    <col min="3854" max="3854" width="13.125" customWidth="1"/>
    <col min="4104" max="4104" width="47.25" customWidth="1"/>
    <col min="4105" max="4105" width="16" customWidth="1"/>
    <col min="4107" max="4107" width="14.875" customWidth="1"/>
    <col min="4108" max="4108" width="14.125" customWidth="1"/>
    <col min="4109" max="4109" width="12.75" customWidth="1"/>
    <col min="4110" max="4110" width="13.125" customWidth="1"/>
    <col min="4360" max="4360" width="47.25" customWidth="1"/>
    <col min="4361" max="4361" width="16" customWidth="1"/>
    <col min="4363" max="4363" width="14.875" customWidth="1"/>
    <col min="4364" max="4364" width="14.125" customWidth="1"/>
    <col min="4365" max="4365" width="12.75" customWidth="1"/>
    <col min="4366" max="4366" width="13.125" customWidth="1"/>
    <col min="4616" max="4616" width="47.25" customWidth="1"/>
    <col min="4617" max="4617" width="16" customWidth="1"/>
    <col min="4619" max="4619" width="14.875" customWidth="1"/>
    <col min="4620" max="4620" width="14.125" customWidth="1"/>
    <col min="4621" max="4621" width="12.75" customWidth="1"/>
    <col min="4622" max="4622" width="13.125" customWidth="1"/>
    <col min="4872" max="4872" width="47.25" customWidth="1"/>
    <col min="4873" max="4873" width="16" customWidth="1"/>
    <col min="4875" max="4875" width="14.875" customWidth="1"/>
    <col min="4876" max="4876" width="14.125" customWidth="1"/>
    <col min="4877" max="4877" width="12.75" customWidth="1"/>
    <col min="4878" max="4878" width="13.125" customWidth="1"/>
    <col min="5128" max="5128" width="47.25" customWidth="1"/>
    <col min="5129" max="5129" width="16" customWidth="1"/>
    <col min="5131" max="5131" width="14.875" customWidth="1"/>
    <col min="5132" max="5132" width="14.125" customWidth="1"/>
    <col min="5133" max="5133" width="12.75" customWidth="1"/>
    <col min="5134" max="5134" width="13.125" customWidth="1"/>
    <col min="5384" max="5384" width="47.25" customWidth="1"/>
    <col min="5385" max="5385" width="16" customWidth="1"/>
    <col min="5387" max="5387" width="14.875" customWidth="1"/>
    <col min="5388" max="5388" width="14.125" customWidth="1"/>
    <col min="5389" max="5389" width="12.75" customWidth="1"/>
    <col min="5390" max="5390" width="13.125" customWidth="1"/>
    <col min="5640" max="5640" width="47.25" customWidth="1"/>
    <col min="5641" max="5641" width="16" customWidth="1"/>
    <col min="5643" max="5643" width="14.875" customWidth="1"/>
    <col min="5644" max="5644" width="14.125" customWidth="1"/>
    <col min="5645" max="5645" width="12.75" customWidth="1"/>
    <col min="5646" max="5646" width="13.125" customWidth="1"/>
    <col min="5896" max="5896" width="47.25" customWidth="1"/>
    <col min="5897" max="5897" width="16" customWidth="1"/>
    <col min="5899" max="5899" width="14.875" customWidth="1"/>
    <col min="5900" max="5900" width="14.125" customWidth="1"/>
    <col min="5901" max="5901" width="12.75" customWidth="1"/>
    <col min="5902" max="5902" width="13.125" customWidth="1"/>
    <col min="6152" max="6152" width="47.25" customWidth="1"/>
    <col min="6153" max="6153" width="16" customWidth="1"/>
    <col min="6155" max="6155" width="14.875" customWidth="1"/>
    <col min="6156" max="6156" width="14.125" customWidth="1"/>
    <col min="6157" max="6157" width="12.75" customWidth="1"/>
    <col min="6158" max="6158" width="13.125" customWidth="1"/>
    <col min="6408" max="6408" width="47.25" customWidth="1"/>
    <col min="6409" max="6409" width="16" customWidth="1"/>
    <col min="6411" max="6411" width="14.875" customWidth="1"/>
    <col min="6412" max="6412" width="14.125" customWidth="1"/>
    <col min="6413" max="6413" width="12.75" customWidth="1"/>
    <col min="6414" max="6414" width="13.125" customWidth="1"/>
    <col min="6664" max="6664" width="47.25" customWidth="1"/>
    <col min="6665" max="6665" width="16" customWidth="1"/>
    <col min="6667" max="6667" width="14.875" customWidth="1"/>
    <col min="6668" max="6668" width="14.125" customWidth="1"/>
    <col min="6669" max="6669" width="12.75" customWidth="1"/>
    <col min="6670" max="6670" width="13.125" customWidth="1"/>
    <col min="6920" max="6920" width="47.25" customWidth="1"/>
    <col min="6921" max="6921" width="16" customWidth="1"/>
    <col min="6923" max="6923" width="14.875" customWidth="1"/>
    <col min="6924" max="6924" width="14.125" customWidth="1"/>
    <col min="6925" max="6925" width="12.75" customWidth="1"/>
    <col min="6926" max="6926" width="13.125" customWidth="1"/>
    <col min="7176" max="7176" width="47.25" customWidth="1"/>
    <col min="7177" max="7177" width="16" customWidth="1"/>
    <col min="7179" max="7179" width="14.875" customWidth="1"/>
    <col min="7180" max="7180" width="14.125" customWidth="1"/>
    <col min="7181" max="7181" width="12.75" customWidth="1"/>
    <col min="7182" max="7182" width="13.125" customWidth="1"/>
    <col min="7432" max="7432" width="47.25" customWidth="1"/>
    <col min="7433" max="7433" width="16" customWidth="1"/>
    <col min="7435" max="7435" width="14.875" customWidth="1"/>
    <col min="7436" max="7436" width="14.125" customWidth="1"/>
    <col min="7437" max="7437" width="12.75" customWidth="1"/>
    <col min="7438" max="7438" width="13.125" customWidth="1"/>
    <col min="7688" max="7688" width="47.25" customWidth="1"/>
    <col min="7689" max="7689" width="16" customWidth="1"/>
    <col min="7691" max="7691" width="14.875" customWidth="1"/>
    <col min="7692" max="7692" width="14.125" customWidth="1"/>
    <col min="7693" max="7693" width="12.75" customWidth="1"/>
    <col min="7694" max="7694" width="13.125" customWidth="1"/>
    <col min="7944" max="7944" width="47.25" customWidth="1"/>
    <col min="7945" max="7945" width="16" customWidth="1"/>
    <col min="7947" max="7947" width="14.875" customWidth="1"/>
    <col min="7948" max="7948" width="14.125" customWidth="1"/>
    <col min="7949" max="7949" width="12.75" customWidth="1"/>
    <col min="7950" max="7950" width="13.125" customWidth="1"/>
    <col min="8200" max="8200" width="47.25" customWidth="1"/>
    <col min="8201" max="8201" width="16" customWidth="1"/>
    <col min="8203" max="8203" width="14.875" customWidth="1"/>
    <col min="8204" max="8204" width="14.125" customWidth="1"/>
    <col min="8205" max="8205" width="12.75" customWidth="1"/>
    <col min="8206" max="8206" width="13.125" customWidth="1"/>
    <col min="8456" max="8456" width="47.25" customWidth="1"/>
    <col min="8457" max="8457" width="16" customWidth="1"/>
    <col min="8459" max="8459" width="14.875" customWidth="1"/>
    <col min="8460" max="8460" width="14.125" customWidth="1"/>
    <col min="8461" max="8461" width="12.75" customWidth="1"/>
    <col min="8462" max="8462" width="13.125" customWidth="1"/>
    <col min="8712" max="8712" width="47.25" customWidth="1"/>
    <col min="8713" max="8713" width="16" customWidth="1"/>
    <col min="8715" max="8715" width="14.875" customWidth="1"/>
    <col min="8716" max="8716" width="14.125" customWidth="1"/>
    <col min="8717" max="8717" width="12.75" customWidth="1"/>
    <col min="8718" max="8718" width="13.125" customWidth="1"/>
    <col min="8968" max="8968" width="47.25" customWidth="1"/>
    <col min="8969" max="8969" width="16" customWidth="1"/>
    <col min="8971" max="8971" width="14.875" customWidth="1"/>
    <col min="8972" max="8972" width="14.125" customWidth="1"/>
    <col min="8973" max="8973" width="12.75" customWidth="1"/>
    <col min="8974" max="8974" width="13.125" customWidth="1"/>
    <col min="9224" max="9224" width="47.25" customWidth="1"/>
    <col min="9225" max="9225" width="16" customWidth="1"/>
    <col min="9227" max="9227" width="14.875" customWidth="1"/>
    <col min="9228" max="9228" width="14.125" customWidth="1"/>
    <col min="9229" max="9229" width="12.75" customWidth="1"/>
    <col min="9230" max="9230" width="13.125" customWidth="1"/>
    <col min="9480" max="9480" width="47.25" customWidth="1"/>
    <col min="9481" max="9481" width="16" customWidth="1"/>
    <col min="9483" max="9483" width="14.875" customWidth="1"/>
    <col min="9484" max="9484" width="14.125" customWidth="1"/>
    <col min="9485" max="9485" width="12.75" customWidth="1"/>
    <col min="9486" max="9486" width="13.125" customWidth="1"/>
    <col min="9736" max="9736" width="47.25" customWidth="1"/>
    <col min="9737" max="9737" width="16" customWidth="1"/>
    <col min="9739" max="9739" width="14.875" customWidth="1"/>
    <col min="9740" max="9740" width="14.125" customWidth="1"/>
    <col min="9741" max="9741" width="12.75" customWidth="1"/>
    <col min="9742" max="9742" width="13.125" customWidth="1"/>
    <col min="9992" max="9992" width="47.25" customWidth="1"/>
    <col min="9993" max="9993" width="16" customWidth="1"/>
    <col min="9995" max="9995" width="14.875" customWidth="1"/>
    <col min="9996" max="9996" width="14.125" customWidth="1"/>
    <col min="9997" max="9997" width="12.75" customWidth="1"/>
    <col min="9998" max="9998" width="13.125" customWidth="1"/>
    <col min="10248" max="10248" width="47.25" customWidth="1"/>
    <col min="10249" max="10249" width="16" customWidth="1"/>
    <col min="10251" max="10251" width="14.875" customWidth="1"/>
    <col min="10252" max="10252" width="14.125" customWidth="1"/>
    <col min="10253" max="10253" width="12.75" customWidth="1"/>
    <col min="10254" max="10254" width="13.125" customWidth="1"/>
    <col min="10504" max="10504" width="47.25" customWidth="1"/>
    <col min="10505" max="10505" width="16" customWidth="1"/>
    <col min="10507" max="10507" width="14.875" customWidth="1"/>
    <col min="10508" max="10508" width="14.125" customWidth="1"/>
    <col min="10509" max="10509" width="12.75" customWidth="1"/>
    <col min="10510" max="10510" width="13.125" customWidth="1"/>
    <col min="10760" max="10760" width="47.25" customWidth="1"/>
    <col min="10761" max="10761" width="16" customWidth="1"/>
    <col min="10763" max="10763" width="14.875" customWidth="1"/>
    <col min="10764" max="10764" width="14.125" customWidth="1"/>
    <col min="10765" max="10765" width="12.75" customWidth="1"/>
    <col min="10766" max="10766" width="13.125" customWidth="1"/>
    <col min="11016" max="11016" width="47.25" customWidth="1"/>
    <col min="11017" max="11017" width="16" customWidth="1"/>
    <col min="11019" max="11019" width="14.875" customWidth="1"/>
    <col min="11020" max="11020" width="14.125" customWidth="1"/>
    <col min="11021" max="11021" width="12.75" customWidth="1"/>
    <col min="11022" max="11022" width="13.125" customWidth="1"/>
    <col min="11272" max="11272" width="47.25" customWidth="1"/>
    <col min="11273" max="11273" width="16" customWidth="1"/>
    <col min="11275" max="11275" width="14.875" customWidth="1"/>
    <col min="11276" max="11276" width="14.125" customWidth="1"/>
    <col min="11277" max="11277" width="12.75" customWidth="1"/>
    <col min="11278" max="11278" width="13.125" customWidth="1"/>
    <col min="11528" max="11528" width="47.25" customWidth="1"/>
    <col min="11529" max="11529" width="16" customWidth="1"/>
    <col min="11531" max="11531" width="14.875" customWidth="1"/>
    <col min="11532" max="11532" width="14.125" customWidth="1"/>
    <col min="11533" max="11533" width="12.75" customWidth="1"/>
    <col min="11534" max="11534" width="13.125" customWidth="1"/>
    <col min="11784" max="11784" width="47.25" customWidth="1"/>
    <col min="11785" max="11785" width="16" customWidth="1"/>
    <col min="11787" max="11787" width="14.875" customWidth="1"/>
    <col min="11788" max="11788" width="14.125" customWidth="1"/>
    <col min="11789" max="11789" width="12.75" customWidth="1"/>
    <col min="11790" max="11790" width="13.125" customWidth="1"/>
    <col min="12040" max="12040" width="47.25" customWidth="1"/>
    <col min="12041" max="12041" width="16" customWidth="1"/>
    <col min="12043" max="12043" width="14.875" customWidth="1"/>
    <col min="12044" max="12044" width="14.125" customWidth="1"/>
    <col min="12045" max="12045" width="12.75" customWidth="1"/>
    <col min="12046" max="12046" width="13.125" customWidth="1"/>
    <col min="12296" max="12296" width="47.25" customWidth="1"/>
    <col min="12297" max="12297" width="16" customWidth="1"/>
    <col min="12299" max="12299" width="14.875" customWidth="1"/>
    <col min="12300" max="12300" width="14.125" customWidth="1"/>
    <col min="12301" max="12301" width="12.75" customWidth="1"/>
    <col min="12302" max="12302" width="13.125" customWidth="1"/>
    <col min="12552" max="12552" width="47.25" customWidth="1"/>
    <col min="12553" max="12553" width="16" customWidth="1"/>
    <col min="12555" max="12555" width="14.875" customWidth="1"/>
    <col min="12556" max="12556" width="14.125" customWidth="1"/>
    <col min="12557" max="12557" width="12.75" customWidth="1"/>
    <col min="12558" max="12558" width="13.125" customWidth="1"/>
    <col min="12808" max="12808" width="47.25" customWidth="1"/>
    <col min="12809" max="12809" width="16" customWidth="1"/>
    <col min="12811" max="12811" width="14.875" customWidth="1"/>
    <col min="12812" max="12812" width="14.125" customWidth="1"/>
    <col min="12813" max="12813" width="12.75" customWidth="1"/>
    <col min="12814" max="12814" width="13.125" customWidth="1"/>
    <col min="13064" max="13064" width="47.25" customWidth="1"/>
    <col min="13065" max="13065" width="16" customWidth="1"/>
    <col min="13067" max="13067" width="14.875" customWidth="1"/>
    <col min="13068" max="13068" width="14.125" customWidth="1"/>
    <col min="13069" max="13069" width="12.75" customWidth="1"/>
    <col min="13070" max="13070" width="13.125" customWidth="1"/>
    <col min="13320" max="13320" width="47.25" customWidth="1"/>
    <col min="13321" max="13321" width="16" customWidth="1"/>
    <col min="13323" max="13323" width="14.875" customWidth="1"/>
    <col min="13324" max="13324" width="14.125" customWidth="1"/>
    <col min="13325" max="13325" width="12.75" customWidth="1"/>
    <col min="13326" max="13326" width="13.125" customWidth="1"/>
    <col min="13576" max="13576" width="47.25" customWidth="1"/>
    <col min="13577" max="13577" width="16" customWidth="1"/>
    <col min="13579" max="13579" width="14.875" customWidth="1"/>
    <col min="13580" max="13580" width="14.125" customWidth="1"/>
    <col min="13581" max="13581" width="12.75" customWidth="1"/>
    <col min="13582" max="13582" width="13.125" customWidth="1"/>
    <col min="13832" max="13832" width="47.25" customWidth="1"/>
    <col min="13833" max="13833" width="16" customWidth="1"/>
    <col min="13835" max="13835" width="14.875" customWidth="1"/>
    <col min="13836" max="13836" width="14.125" customWidth="1"/>
    <col min="13837" max="13837" width="12.75" customWidth="1"/>
    <col min="13838" max="13838" width="13.125" customWidth="1"/>
    <col min="14088" max="14088" width="47.25" customWidth="1"/>
    <col min="14089" max="14089" width="16" customWidth="1"/>
    <col min="14091" max="14091" width="14.875" customWidth="1"/>
    <col min="14092" max="14092" width="14.125" customWidth="1"/>
    <col min="14093" max="14093" width="12.75" customWidth="1"/>
    <col min="14094" max="14094" width="13.125" customWidth="1"/>
    <col min="14344" max="14344" width="47.25" customWidth="1"/>
    <col min="14345" max="14345" width="16" customWidth="1"/>
    <col min="14347" max="14347" width="14.875" customWidth="1"/>
    <col min="14348" max="14348" width="14.125" customWidth="1"/>
    <col min="14349" max="14349" width="12.75" customWidth="1"/>
    <col min="14350" max="14350" width="13.125" customWidth="1"/>
    <col min="14600" max="14600" width="47.25" customWidth="1"/>
    <col min="14601" max="14601" width="16" customWidth="1"/>
    <col min="14603" max="14603" width="14.875" customWidth="1"/>
    <col min="14604" max="14604" width="14.125" customWidth="1"/>
    <col min="14605" max="14605" width="12.75" customWidth="1"/>
    <col min="14606" max="14606" width="13.125" customWidth="1"/>
    <col min="14856" max="14856" width="47.25" customWidth="1"/>
    <col min="14857" max="14857" width="16" customWidth="1"/>
    <col min="14859" max="14859" width="14.875" customWidth="1"/>
    <col min="14860" max="14860" width="14.125" customWidth="1"/>
    <col min="14861" max="14861" width="12.75" customWidth="1"/>
    <col min="14862" max="14862" width="13.125" customWidth="1"/>
    <col min="15112" max="15112" width="47.25" customWidth="1"/>
    <col min="15113" max="15113" width="16" customWidth="1"/>
    <col min="15115" max="15115" width="14.875" customWidth="1"/>
    <col min="15116" max="15116" width="14.125" customWidth="1"/>
    <col min="15117" max="15117" width="12.75" customWidth="1"/>
    <col min="15118" max="15118" width="13.125" customWidth="1"/>
    <col min="15368" max="15368" width="47.25" customWidth="1"/>
    <col min="15369" max="15369" width="16" customWidth="1"/>
    <col min="15371" max="15371" width="14.875" customWidth="1"/>
    <col min="15372" max="15372" width="14.125" customWidth="1"/>
    <col min="15373" max="15373" width="12.75" customWidth="1"/>
    <col min="15374" max="15374" width="13.125" customWidth="1"/>
    <col min="15624" max="15624" width="47.25" customWidth="1"/>
    <col min="15625" max="15625" width="16" customWidth="1"/>
    <col min="15627" max="15627" width="14.875" customWidth="1"/>
    <col min="15628" max="15628" width="14.125" customWidth="1"/>
    <col min="15629" max="15629" width="12.75" customWidth="1"/>
    <col min="15630" max="15630" width="13.125" customWidth="1"/>
    <col min="15880" max="15880" width="47.25" customWidth="1"/>
    <col min="15881" max="15881" width="16" customWidth="1"/>
    <col min="15883" max="15883" width="14.875" customWidth="1"/>
    <col min="15884" max="15884" width="14.125" customWidth="1"/>
    <col min="15885" max="15885" width="12.75" customWidth="1"/>
    <col min="15886" max="15886" width="13.125" customWidth="1"/>
    <col min="16136" max="16136" width="47.25" customWidth="1"/>
    <col min="16137" max="16137" width="16" customWidth="1"/>
    <col min="16139" max="16139" width="14.875" customWidth="1"/>
    <col min="16140" max="16140" width="14.125" customWidth="1"/>
    <col min="16141" max="16141" width="12.75" customWidth="1"/>
    <col min="16142" max="16142" width="13.125" customWidth="1"/>
  </cols>
  <sheetData>
    <row r="2" spans="1:21">
      <c r="B2" s="482" t="s">
        <v>275</v>
      </c>
      <c r="C2" s="482"/>
    </row>
    <row r="3" spans="1:21">
      <c r="B3" s="207" t="s">
        <v>276</v>
      </c>
      <c r="C3" s="14"/>
    </row>
    <row r="4" spans="1:21">
      <c r="B4" s="207" t="s">
        <v>309</v>
      </c>
      <c r="C4" s="208"/>
    </row>
    <row r="5" spans="1:21">
      <c r="A5" s="1"/>
      <c r="B5" s="207" t="s">
        <v>310</v>
      </c>
      <c r="C5" s="209"/>
    </row>
    <row r="6" spans="1:21" ht="19.350000000000001">
      <c r="K6" s="51" t="s">
        <v>311</v>
      </c>
    </row>
    <row r="7" spans="1:21" ht="15.2">
      <c r="B7" s="210"/>
      <c r="C7" s="211"/>
      <c r="D7" s="506" t="s">
        <v>66</v>
      </c>
      <c r="E7" s="506" t="s">
        <v>67</v>
      </c>
      <c r="F7" s="506" t="s">
        <v>68</v>
      </c>
      <c r="G7" s="508" t="s">
        <v>69</v>
      </c>
      <c r="K7" s="518" t="s">
        <v>232</v>
      </c>
      <c r="L7" s="519"/>
      <c r="M7" s="483" t="s">
        <v>29</v>
      </c>
      <c r="N7" s="484"/>
      <c r="O7" s="484"/>
      <c r="P7" s="484"/>
      <c r="Q7" s="484"/>
      <c r="R7" s="484"/>
      <c r="S7" s="485" t="s">
        <v>312</v>
      </c>
      <c r="T7" s="485"/>
      <c r="U7" s="485"/>
    </row>
    <row r="8" spans="1:21" ht="20.25" customHeight="1">
      <c r="B8" s="212"/>
      <c r="D8" s="507"/>
      <c r="E8" s="507"/>
      <c r="F8" s="507"/>
      <c r="G8" s="509"/>
      <c r="K8" s="520"/>
      <c r="L8" s="521"/>
      <c r="M8" s="512" t="s">
        <v>22</v>
      </c>
      <c r="N8" s="513" t="s">
        <v>23</v>
      </c>
      <c r="O8" s="513" t="s">
        <v>313</v>
      </c>
      <c r="P8" s="514" t="s">
        <v>26</v>
      </c>
      <c r="Q8" s="517" t="s">
        <v>27</v>
      </c>
      <c r="R8" s="513" t="s">
        <v>28</v>
      </c>
      <c r="S8" s="488" t="s">
        <v>314</v>
      </c>
      <c r="T8" s="489" t="s">
        <v>315</v>
      </c>
      <c r="U8" s="489" t="s">
        <v>316</v>
      </c>
    </row>
    <row r="9" spans="1:21" ht="15.2">
      <c r="B9" s="486" t="s">
        <v>317</v>
      </c>
      <c r="C9" s="487"/>
      <c r="D9" s="213">
        <f>SUMIFS(Table1[Actual Effort (Hours)],Table1[Maintenance Type],D7,Table1[Release Name],'Metric Dashboard'!$I$3)</f>
        <v>38</v>
      </c>
      <c r="E9" s="213">
        <f>SUMIFS(Table1[Actual Effort (Hours)],Table1[Maintenance Type],E7,Table1[Release Name],'Metric Dashboard'!$I$3)</f>
        <v>111</v>
      </c>
      <c r="F9" s="213">
        <f>SUMIFS(Table1[Actual Effort (Hours)],Table1[Maintenance Type],F7,Table1[Release Name],'Metric Dashboard'!$I$3)</f>
        <v>0</v>
      </c>
      <c r="G9" s="214">
        <f>SUMIFS(Table1[Actual Effort (Hours)],Table1[Maintenance Type],G7,Table1[Release Name],'Metric Dashboard'!$I$3)</f>
        <v>0</v>
      </c>
      <c r="K9" s="520"/>
      <c r="L9" s="521"/>
      <c r="M9" s="512"/>
      <c r="N9" s="513"/>
      <c r="O9" s="513"/>
      <c r="P9" s="515"/>
      <c r="Q9" s="517"/>
      <c r="R9" s="513"/>
      <c r="S9" s="488"/>
      <c r="T9" s="489"/>
      <c r="U9" s="489"/>
    </row>
    <row r="10" spans="1:21" ht="15.2">
      <c r="B10" s="486" t="s">
        <v>318</v>
      </c>
      <c r="C10" s="487"/>
      <c r="D10" s="215">
        <f>COUNTIFS(Table1[Release Name],'Metric Dashboard'!I3,Table1[Maintenance Type],D7)</f>
        <v>4</v>
      </c>
      <c r="E10" s="215">
        <f>COUNTIFS(Table1[Release Name],'Metric Dashboard'!I3,Table1[Maintenance Type],E7)</f>
        <v>3</v>
      </c>
      <c r="F10" s="215">
        <f>COUNTIFS(Table1[Release Name],'Metric Dashboard'!I3,Table1[Maintenance Type],F7)</f>
        <v>0</v>
      </c>
      <c r="G10" s="216">
        <f>COUNTIFS(Table1[Release Name],'Metric Dashboard'!I3,Table1[Maintenance Type],G7)</f>
        <v>0</v>
      </c>
      <c r="K10" s="520"/>
      <c r="L10" s="521"/>
      <c r="M10" s="512"/>
      <c r="N10" s="513"/>
      <c r="O10" s="513"/>
      <c r="P10" s="515"/>
      <c r="Q10" s="517"/>
      <c r="R10" s="513"/>
      <c r="S10" s="488"/>
      <c r="T10" s="489"/>
      <c r="U10" s="489"/>
    </row>
    <row r="11" spans="1:21" ht="15.2">
      <c r="B11" s="502" t="s">
        <v>319</v>
      </c>
      <c r="C11" s="503"/>
      <c r="D11" s="217">
        <f>IFERROR(D9/D10,"")</f>
        <v>9.5</v>
      </c>
      <c r="E11" s="217">
        <f>IFERROR(E9/E10,"")</f>
        <v>37</v>
      </c>
      <c r="F11" s="217" t="str">
        <f>IFERROR(F9/F10,"")</f>
        <v/>
      </c>
      <c r="G11" s="218" t="str">
        <f>IFERROR(G9/G10,"")</f>
        <v/>
      </c>
      <c r="K11" s="520"/>
      <c r="L11" s="521"/>
      <c r="M11" s="512"/>
      <c r="N11" s="513"/>
      <c r="O11" s="513"/>
      <c r="P11" s="515"/>
      <c r="Q11" s="517"/>
      <c r="R11" s="513"/>
      <c r="S11" s="488"/>
      <c r="T11" s="489"/>
      <c r="U11" s="489"/>
    </row>
    <row r="12" spans="1:21" ht="15.2">
      <c r="K12" s="520"/>
      <c r="L12" s="521"/>
      <c r="M12" s="512"/>
      <c r="N12" s="513"/>
      <c r="O12" s="513"/>
      <c r="P12" s="515"/>
      <c r="Q12" s="517"/>
      <c r="R12" s="513"/>
      <c r="S12" s="488"/>
      <c r="T12" s="489"/>
      <c r="U12" s="489"/>
    </row>
    <row r="13" spans="1:21" ht="15.2">
      <c r="K13" s="522"/>
      <c r="L13" s="523"/>
      <c r="M13" s="512"/>
      <c r="N13" s="513" t="s">
        <v>23</v>
      </c>
      <c r="O13" s="513" t="s">
        <v>24</v>
      </c>
      <c r="P13" s="516" t="s">
        <v>25</v>
      </c>
      <c r="Q13" s="517" t="s">
        <v>26</v>
      </c>
      <c r="R13" s="513" t="s">
        <v>27</v>
      </c>
      <c r="S13" s="488"/>
      <c r="T13" s="489"/>
      <c r="U13" s="489"/>
    </row>
    <row r="14" spans="1:21" ht="15.2">
      <c r="K14" s="510" t="s">
        <v>21</v>
      </c>
      <c r="L14" s="238" t="s">
        <v>22</v>
      </c>
      <c r="M14" s="239">
        <f>COUNTIFS(Table2[[Defect Injected Phase ]],L14,Table2[Detected in Phase],L14,Table2[Release Name],'Metric Dashboard'!I3)</f>
        <v>0</v>
      </c>
      <c r="N14" s="239">
        <f>COUNTIFS(Table2[[Defect Injected Phase ]],L14,Table2[Detected in Phase],L15,Table2[Release Name],'Metric Dashboard'!I3)</f>
        <v>0</v>
      </c>
      <c r="O14" s="239">
        <f>COUNTIFS(Table2[[Defect Injected Phase ]],L14,Table2[Detected in Phase],"Coding")+COUNTIFS(Table2[[Defect Injected Phase ]],L14,Table2[Detected in Phase],"Unit Testing",Table2[Release Name],'Metric Dashboard'!I3)</f>
        <v>0</v>
      </c>
      <c r="P14" s="239">
        <f>COUNTIFS(Table2[[Defect Injected Phase ]],L14,Table2[Detected in Phase],L17,Table2[Release Name],'Metric Dashboard'!I3)</f>
        <v>0</v>
      </c>
      <c r="Q14" s="239">
        <f>COUNTIFS(Table2[[Defect Injected Phase ]],L14,Table2[Detected in Phase],L18,Table2[Release Name],'Metric Dashboard'!I3)</f>
        <v>0</v>
      </c>
      <c r="R14" s="239">
        <f>COUNTIFS(Table2[[Defect Injected Phase ]],L14,Table2[Detected in Phase],L19,Table2[Release Name],'Metric Dashboard'!I3)</f>
        <v>0</v>
      </c>
      <c r="S14" s="251">
        <f>IFERROR(IF(OR(M14,N14,O14,P14,Q14,R14),SUM(M14:R14),0),"")</f>
        <v>0</v>
      </c>
      <c r="T14" s="251">
        <f>IFERROR(IF(OR(N14,O14,P14,Q14,R14),SUM(N14:R14),0),"")</f>
        <v>0</v>
      </c>
      <c r="U14" s="252" t="str">
        <f t="shared" ref="U14:U20" si="0">IFERROR(T14/S14,"")</f>
        <v/>
      </c>
    </row>
    <row r="15" spans="1:21" ht="15" customHeight="1">
      <c r="K15" s="511"/>
      <c r="L15" s="238" t="s">
        <v>23</v>
      </c>
      <c r="M15" s="240"/>
      <c r="N15" s="239">
        <f>COUNTIFS(Table2[[Defect Injected Phase ]],L15,Table2[Detected in Phase],L15,Table2[Release Name],'Metric Dashboard'!I3)</f>
        <v>0</v>
      </c>
      <c r="O15" s="239">
        <f>COUNTIFS(Table2[[Defect Injected Phase ]],L15,Table2[Detected in Phase],"Coding")+COUNTIFS(Table2[[Defect Injected Phase ]],L15,Table2[Detected in Phase],"Unit Testing",Table2[Release Name],'Metric Dashboard'!I3)</f>
        <v>0</v>
      </c>
      <c r="P15" s="239">
        <f>COUNTIFS(Table2[[Defect Injected Phase ]],L15,Table2[Detected in Phase],L17,Table2[Release Name],'Metric Dashboard'!I3)</f>
        <v>0</v>
      </c>
      <c r="Q15" s="239">
        <f>COUNTIFS(Table2[[Defect Injected Phase ]],L15,Table2[Detected in Phase],L18,Table2[Release Name],'Metric Dashboard'!I3)</f>
        <v>0</v>
      </c>
      <c r="R15" s="239">
        <f>COUNTIFS(Table2[[Defect Injected Phase ]],L15,Table2[Detected in Phase],L19,Table2[Release Name],'Metric Dashboard'!I3)</f>
        <v>0</v>
      </c>
      <c r="S15" s="251">
        <f>IFERROR(IF(OR(N15,O15,P15,Q15,R15),SUM(N15:R15),0),"")</f>
        <v>0</v>
      </c>
      <c r="T15" s="251">
        <f>IFERROR(IF(OR(O15,P15,Q15,R15),SUM(O15:R15),0),"")</f>
        <v>0</v>
      </c>
      <c r="U15" s="252" t="str">
        <f t="shared" si="0"/>
        <v/>
      </c>
    </row>
    <row r="16" spans="1:21" ht="15.2">
      <c r="K16" s="511"/>
      <c r="L16" s="241" t="s">
        <v>313</v>
      </c>
      <c r="M16" s="240"/>
      <c r="N16" s="240"/>
      <c r="O16" s="239">
        <f>COUNTIFS(Table2[[Defect Injected Phase ]],"Coding",Table2[Detected in Phase],"Coding",Table2[Release Name],'Metric Dashboard'!I3)+COUNTIFS(Table2[[Defect Injected Phase ]],"Coding",Table2[Detected in Phase],"Unit Testing",Table2[Release Name],'Metric Dashboard'!I3)+COUNTIFS(Table2[[Defect Injected Phase ]],"Unit Testing",Table2[Detected in Phase],"Coding",Table2[Release Name],'Metric Dashboard'!I3)+COUNTIFS(Table2[[Defect Injected Phase ]],"Unit Testing",Table2[Detected in Phase],"Unit Testing",Table2[Release Name],'Metric Dashboard'!I3)</f>
        <v>0</v>
      </c>
      <c r="P16" s="239">
        <f>COUNTIFS(Table2[[Defect Injected Phase ]],"Coding",Table2[Detected in Phase],L17,Table2[Release Name],'Metric Dashboard'!I3)+COUNTIFS(Table2[[Defect Injected Phase ]],"Unit Testing",Table2[Detected in Phase],L17,Table2[Release Name],'Metric Dashboard'!I3)</f>
        <v>0</v>
      </c>
      <c r="Q16" s="239">
        <f>COUNTIFS(Table2[[Defect Injected Phase ]],"Coding",Table2[Detected in Phase],L18,Table2[Release Name],'Metric Dashboard'!I3)+COUNTIFS(Table2[[Defect Injected Phase ]],"Unit Testing",Table2[Detected in Phase],L18,Table2[Release Name],'Metric Dashboard'!I3)</f>
        <v>0</v>
      </c>
      <c r="R16" s="239">
        <f>COUNTIFS(Table2[[Defect Injected Phase ]],"Coding",Table2[Detected in Phase],L19,Table2[Release Name],'Metric Dashboard'!I3)+COUNTIFS(Table2[[Defect Injected Phase ]],"Unit Testing",Table2[Detected in Phase],L19,Table2[Release Name],'Metric Dashboard'!I3)</f>
        <v>0</v>
      </c>
      <c r="S16" s="251">
        <f>IFERROR(IF(OR(O16,P16,Q16,R16),SUM(O16:R16),0),"")</f>
        <v>0</v>
      </c>
      <c r="T16" s="251">
        <f>IFERROR(IF(OR(P16,Q16,R16),SUM(P16:R16),0),"")</f>
        <v>0</v>
      </c>
      <c r="U16" s="252" t="str">
        <f t="shared" si="0"/>
        <v/>
      </c>
    </row>
    <row r="17" spans="2:41" ht="15.2">
      <c r="H17"/>
      <c r="K17" s="511"/>
      <c r="L17" s="238" t="s">
        <v>26</v>
      </c>
      <c r="M17" s="240"/>
      <c r="N17" s="240"/>
      <c r="O17" s="240"/>
      <c r="P17" s="239">
        <f>COUNTIFS(Table2[[Defect Injected Phase ]],L17,Table2[Detected in Phase],L17,Table2[Release Name],'Metric Dashboard'!I3)</f>
        <v>0</v>
      </c>
      <c r="Q17" s="239">
        <f>COUNTIFS(Table2[[Defect Injected Phase ]],L18,Table2[Detected in Phase],L18,Table2[Release Name],'Metric Dashboard'!I3)</f>
        <v>0</v>
      </c>
      <c r="R17" s="239">
        <f>COUNTIFS(Table2[[Defect Injected Phase ]],L17,Table2[Detected in Phase],L19,Table2[Release Name],'Metric Dashboard'!I3)</f>
        <v>0</v>
      </c>
      <c r="S17" s="251">
        <f>IFERROR(IF(OR(P17,Q17,R17),SUM(P17:R17),0),"")</f>
        <v>0</v>
      </c>
      <c r="T17" s="251">
        <f>IFERROR(IF(OR(Q17,R17),SUM(Q17:R17),0),"")</f>
        <v>0</v>
      </c>
      <c r="U17" s="252" t="str">
        <f t="shared" si="0"/>
        <v/>
      </c>
    </row>
    <row r="18" spans="2:41" ht="15.2">
      <c r="H18"/>
      <c r="K18" s="511"/>
      <c r="L18" s="238" t="s">
        <v>27</v>
      </c>
      <c r="M18" s="240"/>
      <c r="N18" s="240"/>
      <c r="O18" s="240"/>
      <c r="P18" s="240"/>
      <c r="Q18" s="239">
        <f>COUNTIFS(Table2[[Defect Injected Phase ]],L18,Table2[Detected in Phase],L18,Table2[Release Name],'Metric Dashboard'!I3)</f>
        <v>0</v>
      </c>
      <c r="R18" s="239">
        <f>COUNTIFS(Table2[[Defect Injected Phase ]],L18,Table2[Detected in Phase],L19,Table2[Release Name],'Metric Dashboard'!I3)</f>
        <v>0</v>
      </c>
      <c r="S18" s="251">
        <f>IFERROR(IF(OR(Q18,R18),SUM(Q18:R18),0),"")</f>
        <v>0</v>
      </c>
      <c r="T18" s="251">
        <f>IF(R18="","",R18)</f>
        <v>0</v>
      </c>
      <c r="U18" s="252" t="str">
        <f t="shared" si="0"/>
        <v/>
      </c>
    </row>
    <row r="19" spans="2:41" ht="15.2">
      <c r="C19"/>
      <c r="D19" s="219"/>
      <c r="E19" s="219"/>
      <c r="F19" s="219"/>
      <c r="G19" s="219"/>
      <c r="H19"/>
      <c r="K19" s="511"/>
      <c r="L19" s="242" t="s">
        <v>28</v>
      </c>
      <c r="M19" s="240"/>
      <c r="N19" s="240"/>
      <c r="O19" s="240"/>
      <c r="P19" s="240"/>
      <c r="Q19" s="240"/>
      <c r="R19" s="239">
        <f>COUNTIFS(Table2[[Defect Injected Phase ]],L19,Table2[Detected in Phase],L19,Table2[Release Name],'Metric Dashboard'!I3)</f>
        <v>0</v>
      </c>
      <c r="S19" s="251">
        <f>IF(R19="","",R19)</f>
        <v>0</v>
      </c>
      <c r="T19" s="251">
        <f>IFERROR(IF(OR(N19,O19,P19,Q19,R19),SUM(N19:R19),0),"")</f>
        <v>0</v>
      </c>
      <c r="U19" s="252" t="str">
        <f t="shared" si="0"/>
        <v/>
      </c>
    </row>
    <row r="20" spans="2:41" ht="15.2">
      <c r="K20" s="424"/>
      <c r="L20" s="243"/>
      <c r="M20" s="504" t="s">
        <v>320</v>
      </c>
      <c r="N20" s="505"/>
      <c r="O20" s="505"/>
      <c r="P20" s="505"/>
      <c r="Q20" s="505"/>
      <c r="R20" s="505"/>
      <c r="S20" s="251">
        <f>SUM(S14:S19)</f>
        <v>0</v>
      </c>
      <c r="T20" s="251">
        <f>IFERROR(IF(OR(T14,T15,T16,T17,T18,T19),SUM(T14:T19),0),"")</f>
        <v>0</v>
      </c>
      <c r="U20" s="252" t="str">
        <f t="shared" si="0"/>
        <v/>
      </c>
    </row>
    <row r="21" spans="2:41" ht="15.2">
      <c r="B21" s="220" t="s">
        <v>321</v>
      </c>
      <c r="C21" s="26"/>
      <c r="D21" s="26"/>
      <c r="E21" s="221"/>
      <c r="F21" s="222"/>
      <c r="G21"/>
      <c r="H21"/>
      <c r="M21" s="244"/>
      <c r="N21" s="1"/>
      <c r="O21" s="1"/>
      <c r="P21" s="1"/>
      <c r="Q21" s="1"/>
      <c r="R21" s="1"/>
      <c r="S21" s="206"/>
      <c r="T21" s="206"/>
      <c r="U21" s="253"/>
    </row>
    <row r="22" spans="2:41" ht="75" customHeight="1">
      <c r="B22" s="496" t="s">
        <v>322</v>
      </c>
      <c r="C22" s="497"/>
      <c r="D22" s="497"/>
      <c r="E22" s="497"/>
      <c r="F22" s="497"/>
      <c r="G22" s="498"/>
      <c r="I22" s="490" t="s">
        <v>323</v>
      </c>
      <c r="J22" s="491"/>
      <c r="K22" s="491"/>
      <c r="L22" s="491"/>
      <c r="M22" s="491"/>
      <c r="N22" s="491"/>
      <c r="O22" s="491"/>
      <c r="P22" s="491"/>
      <c r="Q22" s="492"/>
    </row>
    <row r="23" spans="2:41" ht="35.25" customHeight="1">
      <c r="B23" s="499"/>
      <c r="C23" s="500"/>
      <c r="D23" s="500"/>
      <c r="E23" s="500"/>
      <c r="F23" s="500"/>
      <c r="G23" s="501"/>
      <c r="I23" s="493"/>
      <c r="J23" s="494"/>
      <c r="K23" s="494"/>
      <c r="L23" s="494"/>
      <c r="M23" s="494"/>
      <c r="N23" s="494"/>
      <c r="O23" s="494"/>
      <c r="P23" s="494"/>
      <c r="Q23" s="495"/>
    </row>
    <row r="24" spans="2:41" s="206" customFormat="1" ht="82.5">
      <c r="B24" s="223" t="s">
        <v>103</v>
      </c>
      <c r="C24" s="223" t="s">
        <v>324</v>
      </c>
      <c r="D24" s="224" t="s">
        <v>325</v>
      </c>
      <c r="E24" s="224" t="s">
        <v>326</v>
      </c>
      <c r="F24" s="224" t="s">
        <v>213</v>
      </c>
      <c r="G24" s="224" t="s">
        <v>327</v>
      </c>
      <c r="I24" s="245" t="s">
        <v>103</v>
      </c>
      <c r="J24" s="246" t="s">
        <v>328</v>
      </c>
      <c r="K24" s="246" t="s">
        <v>329</v>
      </c>
      <c r="L24" s="246" t="s">
        <v>330</v>
      </c>
      <c r="M24" s="246" t="s">
        <v>331</v>
      </c>
      <c r="N24" s="246" t="s">
        <v>105</v>
      </c>
      <c r="O24" s="246" t="s">
        <v>332</v>
      </c>
      <c r="P24" s="246" t="s">
        <v>333</v>
      </c>
      <c r="Q24" s="246" t="s">
        <v>334</v>
      </c>
      <c r="R24" s="246" t="s">
        <v>335</v>
      </c>
      <c r="S24" s="246" t="s">
        <v>336</v>
      </c>
      <c r="T24" s="246" t="s">
        <v>337</v>
      </c>
      <c r="U24" s="246" t="s">
        <v>338</v>
      </c>
      <c r="V24" s="246" t="s">
        <v>339</v>
      </c>
      <c r="W24" s="246" t="s">
        <v>340</v>
      </c>
      <c r="X24" s="246" t="s">
        <v>341</v>
      </c>
      <c r="Y24" s="246" t="s">
        <v>342</v>
      </c>
      <c r="Z24" s="246" t="s">
        <v>343</v>
      </c>
      <c r="AA24" s="246" t="s">
        <v>344</v>
      </c>
      <c r="AB24" s="246" t="s">
        <v>345</v>
      </c>
      <c r="AC24" s="254" t="s">
        <v>346</v>
      </c>
      <c r="AD24" s="254" t="s">
        <v>347</v>
      </c>
      <c r="AE24" s="254" t="s">
        <v>348</v>
      </c>
      <c r="AF24" s="254" t="s">
        <v>349</v>
      </c>
      <c r="AG24" s="254" t="s">
        <v>350</v>
      </c>
      <c r="AH24" s="254" t="s">
        <v>351</v>
      </c>
      <c r="AI24" s="254" t="s">
        <v>352</v>
      </c>
      <c r="AJ24" s="254" t="s">
        <v>353</v>
      </c>
      <c r="AK24" s="254" t="s">
        <v>354</v>
      </c>
      <c r="AL24" s="254" t="s">
        <v>260</v>
      </c>
      <c r="AM24" s="254" t="s">
        <v>262</v>
      </c>
      <c r="AN24" s="254" t="s">
        <v>264</v>
      </c>
      <c r="AO24" s="254" t="s">
        <v>230</v>
      </c>
    </row>
    <row r="25" spans="2:41" ht="13.5">
      <c r="B25" s="225" t="s">
        <v>187</v>
      </c>
      <c r="C25" s="226" t="s">
        <v>68</v>
      </c>
      <c r="D25" s="226">
        <v>3</v>
      </c>
      <c r="E25" s="227">
        <v>1</v>
      </c>
      <c r="F25" s="228">
        <f>IFERROR((Table47[[#This Row],[Initial No. of Requirements]]+Table47[[#This Row],[Modified Requirements( Added / Deleted /Modified)]])/Table47[[#This Row],[Initial No. of Requirements]],"")</f>
        <v>1.3333333333333333</v>
      </c>
      <c r="G25" s="229"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 s="225" t="s">
        <v>187</v>
      </c>
      <c r="J25" s="31">
        <v>153</v>
      </c>
      <c r="K25" s="14">
        <v>11</v>
      </c>
      <c r="L25" s="14">
        <v>11</v>
      </c>
      <c r="M25" s="14">
        <v>0</v>
      </c>
      <c r="N25" s="248">
        <f>SUMIFS(Table1[Size],Table1[Release Name],Table7[[#This Row],[Release Name]])</f>
        <v>0</v>
      </c>
      <c r="O2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P2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 s="248">
        <f>COUNTIFS(Table2[Defect Classification],"External",Table2[Defect Type],"Review",Table2[Defect Status],"Approved",Table2[Release Name],Table7[[#This Row],[Release Name]])+COUNTIFS(Table2[Defect Classification],"External",Table2[Defect Type],"Review",Table2[Defect Status],"New",Table2[Release Name],Table7[[#This Row],[Release Name]])</f>
        <v>0</v>
      </c>
      <c r="R2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 s="248">
        <f>COUNTIFS(Table2[Defect Classification],"Internal",Table2[Defect Type],"Testing",Table2[Defect Status],"Approved",Table2[Release Name],Table7[[#This Row],[Release Name]])+COUNTIFS(Table2[Defect Classification],"Internal",Table2[Defect Type],"Testing",Table2[Defect Status],"New",Table2[Release Name],Table7[[#This Row],[Release Name]])</f>
        <v>0</v>
      </c>
      <c r="T25"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25"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25"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25" s="248">
        <f>COUNTIFS(Table2[Defect Severity],"Critical",Table2[Release Name],Table7[[#This Row],[Release Name]],Table2[Defect Status],"Approved")+COUNTIFS(Table2[Defect Severity],"Critical",Table2[Release Name],Table7[[#This Row],[Release Name]],Table2[Defect Status],"New")</f>
        <v>0</v>
      </c>
      <c r="X25" s="248">
        <f>COUNTIFS(Table2[Defect Severity],"Blocker",Table2[Release Name],Table7[[#This Row],[Release Name]],Table2[Defect Status],"Approved")+COUNTIFS(Table2[Defect Severity],"Blocker",Table2[Release Name],Table7[[#This Row],[Release Name]],Table2[Defect Status],"New")</f>
        <v>0</v>
      </c>
      <c r="Y25" s="248">
        <f>COUNTIFS(Table2[Defect Severity],"Major",Table2[Release Name],Table7[[#This Row],[Release Name]],Table2[Defect Status],"Approved")+COUNTIFS(Table2[Defect Severity],"Major",Table2[Release Name],Table7[[#This Row],[Release Name]],Table2[Defect Status],"New")</f>
        <v>0</v>
      </c>
      <c r="Z25" s="248">
        <f>COUNTIFS(Table2[Defect Severity],"Minor",Table2[Release Name],Table7[[#This Row],[Release Name]],Table2[Defect Status],"Approved")+COUNTIFS(Table2[Defect Severity],"Minor",Table2[Release Name],Table7[[#This Row],[Release Name]],Table2[Defect Status],"New")</f>
        <v>0</v>
      </c>
      <c r="AA25" s="248">
        <f>COUNTIFS(Table2[Defect Severity],"Trivial",Table2[Release Name],Table7[[#This Row],[Release Name]],Table2[Defect Status],"Approved")+COUNTIFS(Table2[Defect Severity],"Trivial",Table2[Release Name],Table7[[#This Row],[Release Name]],Table2[Defect Status],"New")</f>
        <v>0</v>
      </c>
      <c r="AB25" s="13">
        <v>40</v>
      </c>
      <c r="AC25" s="255">
        <f>SUMIFS(Table3[Hours Worked],Table3[Release Name],Table7[[#This Row],[Release Name]],Table3[Task Type],"Testcase Execution")</f>
        <v>0</v>
      </c>
      <c r="AD25" s="256">
        <f>IFERROR((Table7[[#This Row],[No. of Valid Internal Review Defects]]+Table7[[#This Row],[No. of Valid  Internal Testing Defects]]+Table7[[#This Row],[No. of  Valid External Review Defects]]+Table7[[#This Row],[No. of Valid External Testing Defects]])/Table7[[#This Row],[Overall Actual Effort for the release]],"")</f>
        <v>0</v>
      </c>
      <c r="AE25" s="256" t="str">
        <f>IFERROR((Table7[[#This Row],[No. of Valid Internal Review Defects]]+Table7[[#This Row],[No. of Valid  Internal Testing Defects]]+Table7[[#This Row],[No. of  Valid External Review Defects]]+Table7[[#This Row],[No. of Valid External Testing Defects]])/Table7[[#This Row],[Size]],"")</f>
        <v/>
      </c>
      <c r="AF25" s="257" t="str">
        <f>IFERROR(Table7[[#This Row],[No. of Valid Internal Review Defects]]/(Table7[[#This Row],[No. of Valid Internal Review Defects]]+Table7[[#This Row],[No. of  Valid External Review Defects]]+Table7[[#This Row],[No. of Valid  Internal Testing Defects]]+Table7[[#This Row],[No. of Valid External Testing Defects]]),"")</f>
        <v/>
      </c>
      <c r="AG25" s="258" t="str">
        <f>IFERROR(Table7[[#This Row],[No. of Valid Internal Review Defects]]/(Table7[[#This Row],[No. of Valid Internal Review Defects]]+Table7[[#This Row],[No. of  Valid External Review Defects]]+Table7[[#This Row],[No. of Valid External Testing Defects]]),"")</f>
        <v/>
      </c>
      <c r="AH25" s="256">
        <f>IFERROR(Table7[[#This Row],[No. of Valid  Internal Testing Defects]]/Table7[[#This Row],[Overall Actual Effort for the release]],"")</f>
        <v>0</v>
      </c>
      <c r="AI25" s="256">
        <f>IFERROR(Table7[[#This Row],[No. of Valid  Internal Testing Defects]]/Table7[[#This Row],[No. of Testcases Executed]],"")</f>
        <v>0</v>
      </c>
      <c r="AJ25" s="259">
        <f>IFERROR(IFERROR(Table7[[#This Row],[No. of Testcases Created]]/Table7[[#This Row],[Effort for Testcase Creation]],"")*9,"")</f>
        <v>2.4750000000000001</v>
      </c>
      <c r="AK25" s="256" t="str">
        <f>IFERROR((Table7[[#This Row],[No. of Testcases Executed]]/Table7[[#This Row],[Effort for Testcase Execution]])*9,"")</f>
        <v/>
      </c>
      <c r="AL2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 s="259" t="str">
        <f>IFERROR(Table7[[#This Row],[No. of Defects Validated]]/SUMIFS(Table3[Hours Worked],Table3[Release Name],Table7[[#This Row],[Release Name]],Table3[Task Type],"Defect Validation")*9,"")</f>
        <v/>
      </c>
      <c r="AN25" s="258" t="str">
        <f>IFERROR((Table7[[#This Row],[No. of Valid  Internal Testing Defects]])/(Table7[[#This Row],[No. of Valid  Internal Testing Defects]]+Table7[[#This Row],[No. of Invalid Internal Testing Defects]]),"")</f>
        <v/>
      </c>
      <c r="AO25" s="258" t="str">
        <f>IFERROR(Table7[[#This Row],[No. of Valid External Testing Defects]]/(Table7[[#This Row],[No. of Valid External Testing Defects]]+Table7[[#This Row],[No. of Valid  Internal Testing Defects]]),"")</f>
        <v/>
      </c>
    </row>
    <row r="26" spans="2:41" ht="13.5">
      <c r="B26" s="225" t="s">
        <v>187</v>
      </c>
      <c r="C26" s="226" t="s">
        <v>68</v>
      </c>
      <c r="D26" s="14">
        <v>6</v>
      </c>
      <c r="E26" s="14">
        <v>0</v>
      </c>
      <c r="F26" s="230">
        <f>IFERROR((Table47[[#This Row],[Initial No. of Requirements]]+Table47[[#This Row],[Modified Requirements( Added / Deleted /Modified)]])/Table47[[#This Row],[Initial No. of Requirements]],"")</f>
        <v>1</v>
      </c>
      <c r="G26" s="231"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 s="225" t="s">
        <v>187</v>
      </c>
      <c r="J26" s="31">
        <v>36</v>
      </c>
      <c r="K26" s="14"/>
      <c r="L26" s="14"/>
      <c r="M26" s="14"/>
      <c r="N26" s="248"/>
      <c r="O26" s="248"/>
      <c r="P26" s="248"/>
      <c r="Q26" s="248"/>
      <c r="R26" s="248"/>
      <c r="S26" s="248">
        <f>COUNTIFS(Table2[Defect Classification],"Internal",Table2[Defect Type],"Testing",Table2[Defect Status],"Approved",Table2[Release Name],Table7[[#This Row],[Release Name]])+COUNTIFS(Table2[Defect Classification],"Internal",Table2[Defect Type],"Testing",Table2[Defect Status],"New",Table2[Release Name],Table7[[#This Row],[Release Name]])</f>
        <v>0</v>
      </c>
      <c r="T26"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26"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26"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26" s="248">
        <f>COUNTIFS(Table2[Defect Severity],"Critical",Table2[Release Name],Table7[[#This Row],[Release Name]],Table2[Defect Status],"Approved")+COUNTIFS(Table2[Defect Severity],"Critical",Table2[Release Name],Table7[[#This Row],[Release Name]],Table2[Defect Status],"New")</f>
        <v>0</v>
      </c>
      <c r="X26" s="248">
        <f>COUNTIFS(Table2[Defect Severity],"Blocker",Table2[Release Name],Table7[[#This Row],[Release Name]],Table2[Defect Status],"Approved")+COUNTIFS(Table2[Defect Severity],"Blocker",Table2[Release Name],Table7[[#This Row],[Release Name]],Table2[Defect Status],"New")</f>
        <v>0</v>
      </c>
      <c r="Y26" s="248">
        <f>COUNTIFS(Table2[Defect Severity],"Major",Table2[Release Name],Table7[[#This Row],[Release Name]],Table2[Defect Status],"Approved")+COUNTIFS(Table2[Defect Severity],"Major",Table2[Release Name],Table7[[#This Row],[Release Name]],Table2[Defect Status],"New")</f>
        <v>0</v>
      </c>
      <c r="Z26" s="248">
        <f>COUNTIFS(Table2[Defect Severity],"Minor",Table2[Release Name],Table7[[#This Row],[Release Name]],Table2[Defect Status],"Approved")+COUNTIFS(Table2[Defect Severity],"Minor",Table2[Release Name],Table7[[#This Row],[Release Name]],Table2[Defect Status],"New")</f>
        <v>0</v>
      </c>
      <c r="AA26" s="248">
        <f>COUNTIFS(Table2[Defect Severity],"Trivial",Table2[Release Name],Table7[[#This Row],[Release Name]],Table2[Defect Status],"Approved")+COUNTIFS(Table2[Defect Severity],"Trivial",Table2[Release Name],Table7[[#This Row],[Release Name]],Table2[Defect Status],"New")</f>
        <v>0</v>
      </c>
      <c r="AB26" s="13">
        <f>SUMIFS(Table3[Hours Worked],Table3[Release Name],Table7[[#This Row],[Release Name]],Table3[Task Type],"Testcase Creation")</f>
        <v>0</v>
      </c>
      <c r="AC26" s="255">
        <f>SUMIFS(Table3[Hours Worked],Table3[Release Name],Table7[[#This Row],[Release Name]],Table3[Task Type],"Testcase Execution")</f>
        <v>0</v>
      </c>
      <c r="AD26" s="256">
        <f>IFERROR((Table7[[#This Row],[No. of Valid Internal Review Defects]]+Table7[[#This Row],[No. of Valid  Internal Testing Defects]]+Table7[[#This Row],[No. of  Valid External Review Defects]]+Table7[[#This Row],[No. of Valid External Testing Defects]])/Table7[[#This Row],[Overall Actual Effort for the release]],"")</f>
        <v>0</v>
      </c>
      <c r="AE26" s="256" t="str">
        <f>IFERROR((Table7[[#This Row],[No. of Valid Internal Review Defects]]+Table7[[#This Row],[No. of Valid  Internal Testing Defects]]+Table7[[#This Row],[No. of  Valid External Review Defects]]+Table7[[#This Row],[No. of Valid External Testing Defects]])/Table7[[#This Row],[Size]],"")</f>
        <v/>
      </c>
      <c r="AF26" s="257" t="str">
        <f>IFERROR(Table7[[#This Row],[No. of Valid Internal Review Defects]]/(Table7[[#This Row],[No. of Valid Internal Review Defects]]+Table7[[#This Row],[No. of  Valid External Review Defects]]+Table7[[#This Row],[No. of Valid  Internal Testing Defects]]+Table7[[#This Row],[No. of Valid External Testing Defects]]),"")</f>
        <v/>
      </c>
      <c r="AG26" s="258" t="str">
        <f>IFERROR(Table7[[#This Row],[No. of Valid Internal Review Defects]]/(Table7[[#This Row],[No. of Valid Internal Review Defects]]+Table7[[#This Row],[No. of  Valid External Review Defects]]+Table7[[#This Row],[No. of Valid External Testing Defects]]),"")</f>
        <v/>
      </c>
      <c r="AH26" s="256">
        <f>IFERROR(Table7[[#This Row],[No. of Valid  Internal Testing Defects]]/Table7[[#This Row],[Overall Actual Effort for the release]],"")</f>
        <v>0</v>
      </c>
      <c r="AI26" s="256" t="str">
        <f>IFERROR(Table7[[#This Row],[No. of Valid  Internal Testing Defects]]/Table7[[#This Row],[No. of Testcases Executed]],"")</f>
        <v/>
      </c>
      <c r="AJ26" s="259" t="str">
        <f>IFERROR(IFERROR(Table7[[#This Row],[No. of Testcases Created]]/Table7[[#This Row],[Effort for Testcase Creation]],"")*9,"")</f>
        <v/>
      </c>
      <c r="AK26" s="256" t="str">
        <f>IFERROR((Table7[[#This Row],[No. of Testcases Executed]]/Table7[[#This Row],[Effort for Testcase Execution]])*9,"")</f>
        <v/>
      </c>
      <c r="AL2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 s="259" t="str">
        <f>IFERROR(Table7[[#This Row],[No. of Defects Validated]]/SUMIFS(Table3[Hours Worked],Table3[Release Name],Table7[[#This Row],[Release Name]],Table3[Task Type],"Defect Validation")*9,"")</f>
        <v/>
      </c>
      <c r="AN26" s="258" t="str">
        <f>IFERROR((Table7[[#This Row],[No. of Valid  Internal Testing Defects]])/(Table7[[#This Row],[No. of Valid  Internal Testing Defects]]+Table7[[#This Row],[No. of Invalid Internal Testing Defects]]),"")</f>
        <v/>
      </c>
      <c r="AO26" s="258" t="str">
        <f>IFERROR(Table7[[#This Row],[No. of Valid External Testing Defects]]/(Table7[[#This Row],[No. of Valid External Testing Defects]]+Table7[[#This Row],[No. of Valid  Internal Testing Defects]]),"")</f>
        <v/>
      </c>
    </row>
    <row r="27" spans="2:41" ht="13.5">
      <c r="B27" s="232"/>
      <c r="C27" s="19"/>
      <c r="D27" s="19"/>
      <c r="E27" s="19"/>
      <c r="F27" s="230" t="str">
        <f>IFERROR((Table47[[#This Row],[Initial No. of Requirements]]+Table47[[#This Row],[Modified Requirements( Added / Deleted /Modified)]])/Table47[[#This Row],[Initial No. of Requirements]],"")</f>
        <v/>
      </c>
      <c r="G27" s="231"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 s="225"/>
      <c r="J27" s="247"/>
      <c r="K27" s="14"/>
      <c r="L27" s="14"/>
      <c r="M27" s="14"/>
      <c r="N27" s="248"/>
      <c r="O27" s="248"/>
      <c r="P27" s="248"/>
      <c r="Q27" s="248"/>
      <c r="R27" s="248"/>
      <c r="S27" s="248">
        <f>COUNTIFS(Table2[Defect Classification],"Internal",Table2[Defect Type],"Testing",Table2[Defect Status],"Approved",Table2[Release Name],Table7[[#This Row],[Release Name]])+COUNTIFS(Table2[Defect Classification],"Internal",Table2[Defect Type],"Testing",Table2[Defect Status],"New",Table2[Release Name],Table7[[#This Row],[Release Name]])</f>
        <v>0</v>
      </c>
      <c r="T27"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27"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27"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27" s="248">
        <f>COUNTIFS(Table2[Defect Severity],"Critical",Table2[Release Name],Table7[[#This Row],[Release Name]],Table2[Defect Status],"Approved")+COUNTIFS(Table2[Defect Severity],"Critical",Table2[Release Name],Table7[[#This Row],[Release Name]],Table2[Defect Status],"New")</f>
        <v>0</v>
      </c>
      <c r="X27" s="248">
        <f>COUNTIFS(Table2[Defect Severity],"Blocker",Table2[Release Name],Table7[[#This Row],[Release Name]],Table2[Defect Status],"Approved")+COUNTIFS(Table2[Defect Severity],"Blocker",Table2[Release Name],Table7[[#This Row],[Release Name]],Table2[Defect Status],"New")</f>
        <v>0</v>
      </c>
      <c r="Y27" s="248">
        <f>COUNTIFS(Table2[Defect Severity],"Major",Table2[Release Name],Table7[[#This Row],[Release Name]],Table2[Defect Status],"Approved")+COUNTIFS(Table2[Defect Severity],"Major",Table2[Release Name],Table7[[#This Row],[Release Name]],Table2[Defect Status],"New")</f>
        <v>0</v>
      </c>
      <c r="Z27" s="248">
        <f>COUNTIFS(Table2[Defect Severity],"Minor",Table2[Release Name],Table7[[#This Row],[Release Name]],Table2[Defect Status],"Approved")+COUNTIFS(Table2[Defect Severity],"Minor",Table2[Release Name],Table7[[#This Row],[Release Name]],Table2[Defect Status],"New")</f>
        <v>0</v>
      </c>
      <c r="AA27" s="248">
        <f>COUNTIFS(Table2[Defect Severity],"Trivial",Table2[Release Name],Table7[[#This Row],[Release Name]],Table2[Defect Status],"Approved")+COUNTIFS(Table2[Defect Severity],"Trivial",Table2[Release Name],Table7[[#This Row],[Release Name]],Table2[Defect Status],"New")</f>
        <v>0</v>
      </c>
      <c r="AB27" s="13">
        <f>SUMIFS(Table3[Hours Worked],Table3[Release Name],Table7[[#This Row],[Release Name]],Table3[Task Type],"Testcase Creation")</f>
        <v>0</v>
      </c>
      <c r="AC27" s="255">
        <f>SUMIFS(Table3[Hours Worked],Table3[Release Name],Table7[[#This Row],[Release Name]],Table3[Task Type],"Testcase Execution")</f>
        <v>0</v>
      </c>
      <c r="AD2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 s="256" t="str">
        <f>IFERROR((Table7[[#This Row],[No. of Valid Internal Review Defects]]+Table7[[#This Row],[No. of Valid  Internal Testing Defects]]+Table7[[#This Row],[No. of  Valid External Review Defects]]+Table7[[#This Row],[No. of Valid External Testing Defects]])/Table7[[#This Row],[Size]],"")</f>
        <v/>
      </c>
      <c r="AF27" s="257" t="str">
        <f>IFERROR(Table7[[#This Row],[No. of Valid Internal Review Defects]]/(Table7[[#This Row],[No. of Valid Internal Review Defects]]+Table7[[#This Row],[No. of  Valid External Review Defects]]+Table7[[#This Row],[No. of Valid  Internal Testing Defects]]+Table7[[#This Row],[No. of Valid External Testing Defects]]),"")</f>
        <v/>
      </c>
      <c r="AG27" s="258" t="str">
        <f>IFERROR(Table7[[#This Row],[No. of Valid Internal Review Defects]]/(Table7[[#This Row],[No. of Valid Internal Review Defects]]+Table7[[#This Row],[No. of  Valid External Review Defects]]+Table7[[#This Row],[No. of Valid External Testing Defects]]),"")</f>
        <v/>
      </c>
      <c r="AH27" s="256" t="str">
        <f>IFERROR(Table7[[#This Row],[No. of Valid  Internal Testing Defects]]/Table7[[#This Row],[Overall Actual Effort for the release]],"")</f>
        <v/>
      </c>
      <c r="AI27" s="256" t="str">
        <f>IFERROR(Table7[[#This Row],[No. of Valid  Internal Testing Defects]]/Table7[[#This Row],[No. of Testcases Executed]],"")</f>
        <v/>
      </c>
      <c r="AJ27" s="259" t="str">
        <f>IFERROR(IFERROR(Table7[[#This Row],[No. of Testcases Created]]/Table7[[#This Row],[Effort for Testcase Creation]],"")*9,"")</f>
        <v/>
      </c>
      <c r="AK27" s="256" t="str">
        <f>IFERROR((Table7[[#This Row],[No. of Testcases Executed]]/Table7[[#This Row],[Effort for Testcase Execution]])*9,"")</f>
        <v/>
      </c>
      <c r="AL2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 s="259" t="str">
        <f>IFERROR(Table7[[#This Row],[No. of Defects Validated]]/SUMIFS(Table3[Hours Worked],Table3[Release Name],Table7[[#This Row],[Release Name]],Table3[Task Type],"Defect Validation")*9,"")</f>
        <v/>
      </c>
      <c r="AN27" s="258" t="str">
        <f>IFERROR((Table7[[#This Row],[No. of Valid  Internal Testing Defects]])/(Table7[[#This Row],[No. of Valid  Internal Testing Defects]]+Table7[[#This Row],[No. of Invalid Internal Testing Defects]]),"")</f>
        <v/>
      </c>
      <c r="AO27" s="258" t="str">
        <f>IFERROR(Table7[[#This Row],[No. of Valid External Testing Defects]]/(Table7[[#This Row],[No. of Valid External Testing Defects]]+Table7[[#This Row],[No. of Valid  Internal Testing Defects]]),"")</f>
        <v/>
      </c>
    </row>
    <row r="28" spans="2:41">
      <c r="B28" s="225"/>
      <c r="C28" s="14"/>
      <c r="D28" s="14"/>
      <c r="E28" s="14"/>
      <c r="F28" s="230" t="str">
        <f>IFERROR((Table47[[#This Row],[Initial No. of Requirements]]+Table47[[#This Row],[Modified Requirements( Added / Deleted /Modified)]])/Table47[[#This Row],[Initial No. of Requirements]],"")</f>
        <v/>
      </c>
      <c r="G28" s="231"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 s="225"/>
      <c r="J28" s="247"/>
      <c r="K28" s="14"/>
      <c r="L28" s="14"/>
      <c r="M28" s="14"/>
      <c r="N28" s="248"/>
      <c r="O28" s="248"/>
      <c r="P28" s="248"/>
      <c r="Q28" s="248"/>
      <c r="R28" s="248"/>
      <c r="S28" s="248">
        <f>COUNTIFS(Table2[Defect Classification],"Internal",Table2[Defect Type],"Testing",Table2[Defect Status],"Approved",Table2[Release Name],Table7[[#This Row],[Release Name]])+COUNTIFS(Table2[Defect Classification],"Internal",Table2[Defect Type],"Testing",Table2[Defect Status],"New",Table2[Release Name],Table7[[#This Row],[Release Name]])</f>
        <v>0</v>
      </c>
      <c r="T28"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28"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28"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28" s="248">
        <f>COUNTIFS(Table2[Defect Severity],"Critical",Table2[Release Name],Table7[[#This Row],[Release Name]],Table2[Defect Status],"Approved")+COUNTIFS(Table2[Defect Severity],"Critical",Table2[Release Name],Table7[[#This Row],[Release Name]],Table2[Defect Status],"New")</f>
        <v>0</v>
      </c>
      <c r="X28" s="248">
        <f>COUNTIFS(Table2[Defect Severity],"Blocker",Table2[Release Name],Table7[[#This Row],[Release Name]],Table2[Defect Status],"Approved")+COUNTIFS(Table2[Defect Severity],"Blocker",Table2[Release Name],Table7[[#This Row],[Release Name]],Table2[Defect Status],"New")</f>
        <v>0</v>
      </c>
      <c r="Y28" s="248">
        <f>COUNTIFS(Table2[Defect Severity],"Major",Table2[Release Name],Table7[[#This Row],[Release Name]],Table2[Defect Status],"Approved")+COUNTIFS(Table2[Defect Severity],"Major",Table2[Release Name],Table7[[#This Row],[Release Name]],Table2[Defect Status],"New")</f>
        <v>0</v>
      </c>
      <c r="Z28" s="248">
        <f>COUNTIFS(Table2[Defect Severity],"Minor",Table2[Release Name],Table7[[#This Row],[Release Name]],Table2[Defect Status],"Approved")+COUNTIFS(Table2[Defect Severity],"Minor",Table2[Release Name],Table7[[#This Row],[Release Name]],Table2[Defect Status],"New")</f>
        <v>0</v>
      </c>
      <c r="AA28" s="248">
        <f>COUNTIFS(Table2[Defect Severity],"Trivial",Table2[Release Name],Table7[[#This Row],[Release Name]],Table2[Defect Status],"Approved")+COUNTIFS(Table2[Defect Severity],"Trivial",Table2[Release Name],Table7[[#This Row],[Release Name]],Table2[Defect Status],"New")</f>
        <v>0</v>
      </c>
      <c r="AB28" s="13">
        <f>SUMIFS(Table3[Hours Worked],Table3[Release Name],Table7[[#This Row],[Release Name]],Table3[Task Type],"Testcase Creation")</f>
        <v>0</v>
      </c>
      <c r="AC28" s="255">
        <f>SUMIFS(Table3[Hours Worked],Table3[Release Name],Table7[[#This Row],[Release Name]],Table3[Task Type],"Testcase Execution")</f>
        <v>0</v>
      </c>
      <c r="AD2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 s="256" t="str">
        <f>IFERROR((Table7[[#This Row],[No. of Valid Internal Review Defects]]+Table7[[#This Row],[No. of Valid  Internal Testing Defects]]+Table7[[#This Row],[No. of  Valid External Review Defects]]+Table7[[#This Row],[No. of Valid External Testing Defects]])/Table7[[#This Row],[Size]],"")</f>
        <v/>
      </c>
      <c r="AF28" s="257" t="str">
        <f>IFERROR(Table7[[#This Row],[No. of Valid Internal Review Defects]]/(Table7[[#This Row],[No. of Valid Internal Review Defects]]+Table7[[#This Row],[No. of  Valid External Review Defects]]+Table7[[#This Row],[No. of Valid  Internal Testing Defects]]+Table7[[#This Row],[No. of Valid External Testing Defects]]),"")</f>
        <v/>
      </c>
      <c r="AG28" s="258" t="str">
        <f>IFERROR(Table7[[#This Row],[No. of Valid Internal Review Defects]]/(Table7[[#This Row],[No. of Valid Internal Review Defects]]+Table7[[#This Row],[No. of  Valid External Review Defects]]+Table7[[#This Row],[No. of Valid External Testing Defects]]),"")</f>
        <v/>
      </c>
      <c r="AH28" s="256" t="str">
        <f>IFERROR(Table7[[#This Row],[No. of Valid  Internal Testing Defects]]/Table7[[#This Row],[Overall Actual Effort for the release]],"")</f>
        <v/>
      </c>
      <c r="AI28" s="256" t="str">
        <f>IFERROR(Table7[[#This Row],[No. of Valid  Internal Testing Defects]]/Table7[[#This Row],[No. of Testcases Executed]],"")</f>
        <v/>
      </c>
      <c r="AJ28" s="259" t="str">
        <f>IFERROR(IFERROR(Table7[[#This Row],[No. of Testcases Created]]/Table7[[#This Row],[Effort for Testcase Creation]],"")*9,"")</f>
        <v/>
      </c>
      <c r="AK28" s="256" t="str">
        <f>IFERROR((Table7[[#This Row],[No. of Testcases Executed]]/Table7[[#This Row],[Effort for Testcase Execution]])*9,"")</f>
        <v/>
      </c>
      <c r="AL2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 s="259" t="str">
        <f>IFERROR(Table7[[#This Row],[No. of Defects Validated]]/SUMIFS(Table3[Hours Worked],Table3[Release Name],Table7[[#This Row],[Release Name]],Table3[Task Type],"Defect Validation")*9,"")</f>
        <v/>
      </c>
      <c r="AN28" s="258" t="str">
        <f>IFERROR((Table7[[#This Row],[No. of Valid  Internal Testing Defects]])/(Table7[[#This Row],[No. of Valid  Internal Testing Defects]]+Table7[[#This Row],[No. of Invalid Internal Testing Defects]]),"")</f>
        <v/>
      </c>
      <c r="AO28" s="258" t="str">
        <f>IFERROR(Table7[[#This Row],[No. of Valid External Testing Defects]]/(Table7[[#This Row],[No. of Valid External Testing Defects]]+Table7[[#This Row],[No. of Valid  Internal Testing Defects]]),"")</f>
        <v/>
      </c>
    </row>
    <row r="29" spans="2:41" ht="15.2">
      <c r="B29" s="225"/>
      <c r="C29" s="14"/>
      <c r="D29" s="14"/>
      <c r="E29" s="14"/>
      <c r="F29" s="233" t="str">
        <f>IFERROR((Table47[[#This Row],[Initial No. of Requirements]]+Table47[[#This Row],[Modified Requirements( Added / Deleted /Modified)]])/Table47[[#This Row],[Initial No. of Requirements]],"")</f>
        <v/>
      </c>
      <c r="G29" s="234"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 s="225"/>
      <c r="J29" s="247"/>
      <c r="K29" s="14"/>
      <c r="L29" s="14"/>
      <c r="M29" s="14"/>
      <c r="N29" s="248"/>
      <c r="O29" s="248"/>
      <c r="P29" s="248"/>
      <c r="Q29" s="248"/>
      <c r="R29" s="248"/>
      <c r="S29" s="248">
        <f>COUNTIFS(Table2[Defect Classification],"Internal",Table2[Defect Type],"Testing",Table2[Defect Status],"Approved",Table2[Release Name],Table7[[#This Row],[Release Name]])+COUNTIFS(Table2[Defect Classification],"Internal",Table2[Defect Type],"Testing",Table2[Defect Status],"New",Table2[Release Name],Table7[[#This Row],[Release Name]])</f>
        <v>0</v>
      </c>
      <c r="T29"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29"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29"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29" s="248">
        <f>COUNTIFS(Table2[Defect Severity],"Critical",Table2[Release Name],Table7[[#This Row],[Release Name]],Table2[Defect Status],"Approved")+COUNTIFS(Table2[Defect Severity],"Critical",Table2[Release Name],Table7[[#This Row],[Release Name]],Table2[Defect Status],"New")</f>
        <v>0</v>
      </c>
      <c r="X29" s="248">
        <f>COUNTIFS(Table2[Defect Severity],"Blocker",Table2[Release Name],Table7[[#This Row],[Release Name]],Table2[Defect Status],"Approved")+COUNTIFS(Table2[Defect Severity],"Blocker",Table2[Release Name],Table7[[#This Row],[Release Name]],Table2[Defect Status],"New")</f>
        <v>0</v>
      </c>
      <c r="Y29" s="248">
        <f>COUNTIFS(Table2[Defect Severity],"Major",Table2[Release Name],Table7[[#This Row],[Release Name]],Table2[Defect Status],"Approved")+COUNTIFS(Table2[Defect Severity],"Major",Table2[Release Name],Table7[[#This Row],[Release Name]],Table2[Defect Status],"New")</f>
        <v>0</v>
      </c>
      <c r="Z29" s="248">
        <f>COUNTIFS(Table2[Defect Severity],"Minor",Table2[Release Name],Table7[[#This Row],[Release Name]],Table2[Defect Status],"Approved")+COUNTIFS(Table2[Defect Severity],"Minor",Table2[Release Name],Table7[[#This Row],[Release Name]],Table2[Defect Status],"New")</f>
        <v>0</v>
      </c>
      <c r="AA29" s="248">
        <f>COUNTIFS(Table2[Defect Severity],"Trivial",Table2[Release Name],Table7[[#This Row],[Release Name]],Table2[Defect Status],"Approved")+COUNTIFS(Table2[Defect Severity],"Trivial",Table2[Release Name],Table7[[#This Row],[Release Name]],Table2[Defect Status],"New")</f>
        <v>0</v>
      </c>
      <c r="AB29" s="13">
        <f>SUMIFS(Table3[Hours Worked],Table3[Release Name],Table7[[#This Row],[Release Name]],Table3[Task Type],"Testcase Creation")</f>
        <v>0</v>
      </c>
      <c r="AC29" s="255">
        <f>SUMIFS(Table3[Hours Worked],Table3[Release Name],Table7[[#This Row],[Release Name]],Table3[Task Type],"Testcase Execution")</f>
        <v>0</v>
      </c>
      <c r="AD2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 s="256" t="str">
        <f>IFERROR((Table7[[#This Row],[No. of Valid Internal Review Defects]]+Table7[[#This Row],[No. of Valid  Internal Testing Defects]]+Table7[[#This Row],[No. of  Valid External Review Defects]]+Table7[[#This Row],[No. of Valid External Testing Defects]])/Table7[[#This Row],[Size]],"")</f>
        <v/>
      </c>
      <c r="AF29" s="257" t="str">
        <f>IFERROR(Table7[[#This Row],[No. of Valid Internal Review Defects]]/(Table7[[#This Row],[No. of Valid Internal Review Defects]]+Table7[[#This Row],[No. of  Valid External Review Defects]]+Table7[[#This Row],[No. of Valid  Internal Testing Defects]]+Table7[[#This Row],[No. of Valid External Testing Defects]]),"")</f>
        <v/>
      </c>
      <c r="AG29" s="258" t="str">
        <f>IFERROR(Table7[[#This Row],[No. of Valid Internal Review Defects]]/(Table7[[#This Row],[No. of Valid Internal Review Defects]]+Table7[[#This Row],[No. of  Valid External Review Defects]]+Table7[[#This Row],[No. of Valid External Testing Defects]]),"")</f>
        <v/>
      </c>
      <c r="AH29" s="256" t="str">
        <f>IFERROR(Table7[[#This Row],[No. of Valid  Internal Testing Defects]]/Table7[[#This Row],[Overall Actual Effort for the release]],"")</f>
        <v/>
      </c>
      <c r="AI29" s="256" t="str">
        <f>IFERROR(Table7[[#This Row],[No. of Valid  Internal Testing Defects]]/Table7[[#This Row],[No. of Testcases Executed]],"")</f>
        <v/>
      </c>
      <c r="AJ29" s="259" t="str">
        <f>IFERROR(IFERROR(Table7[[#This Row],[No. of Testcases Created]]/Table7[[#This Row],[Effort for Testcase Creation]],"")*9,"")</f>
        <v/>
      </c>
      <c r="AK29" s="256" t="str">
        <f>IFERROR((Table7[[#This Row],[No. of Testcases Executed]]/Table7[[#This Row],[Effort for Testcase Execution]])*9,"")</f>
        <v/>
      </c>
      <c r="AL2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 s="259" t="str">
        <f>IFERROR(Table7[[#This Row],[No. of Defects Validated]]/SUMIFS(Table3[Hours Worked],Table3[Release Name],Table7[[#This Row],[Release Name]],Table3[Task Type],"Defect Validation")*9,"")</f>
        <v/>
      </c>
      <c r="AN29" s="258" t="str">
        <f>IFERROR((Table7[[#This Row],[No. of Valid  Internal Testing Defects]])/(Table7[[#This Row],[No. of Valid  Internal Testing Defects]]+Table7[[#This Row],[No. of Invalid Internal Testing Defects]]),"")</f>
        <v/>
      </c>
      <c r="AO29" s="258" t="str">
        <f>IFERROR(Table7[[#This Row],[No. of Valid External Testing Defects]]/(Table7[[#This Row],[No. of Valid External Testing Defects]]+Table7[[#This Row],[No. of Valid  Internal Testing Defects]]),"")</f>
        <v/>
      </c>
    </row>
    <row r="30" spans="2:41" ht="15.2">
      <c r="B30" s="225"/>
      <c r="C30" s="226"/>
      <c r="D30" s="226"/>
      <c r="E30" s="226"/>
      <c r="F30" s="228" t="str">
        <f>IFERROR((Table47[[#This Row],[Initial No. of Requirements]]+Table47[[#This Row],[Modified Requirements( Added / Deleted /Modified)]])/Table47[[#This Row],[Initial No. of Requirements]],"")</f>
        <v/>
      </c>
      <c r="G30" s="229"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 s="225"/>
      <c r="J30" s="247"/>
      <c r="K30" s="14"/>
      <c r="L30" s="14"/>
      <c r="M30" s="14"/>
      <c r="N30" s="248"/>
      <c r="O30" s="248"/>
      <c r="P30" s="248"/>
      <c r="Q30" s="248"/>
      <c r="R30" s="248"/>
      <c r="S30" s="248">
        <f>COUNTIFS(Table2[Defect Classification],"Internal",Table2[Defect Type],"Testing",Table2[Defect Status],"Approved",Table2[Release Name],Table7[[#This Row],[Release Name]])+COUNTIFS(Table2[Defect Classification],"Internal",Table2[Defect Type],"Testing",Table2[Defect Status],"New",Table2[Release Name],Table7[[#This Row],[Release Name]])</f>
        <v>0</v>
      </c>
      <c r="T30"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30"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30"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30" s="248">
        <f>COUNTIFS(Table2[Defect Severity],"Critical",Table2[Release Name],Table7[[#This Row],[Release Name]],Table2[Defect Status],"Approved")+COUNTIFS(Table2[Defect Severity],"Critical",Table2[Release Name],Table7[[#This Row],[Release Name]],Table2[Defect Status],"New")</f>
        <v>0</v>
      </c>
      <c r="X30" s="248">
        <f>COUNTIFS(Table2[Defect Severity],"Blocker",Table2[Release Name],Table7[[#This Row],[Release Name]],Table2[Defect Status],"Approved")+COUNTIFS(Table2[Defect Severity],"Blocker",Table2[Release Name],Table7[[#This Row],[Release Name]],Table2[Defect Status],"New")</f>
        <v>0</v>
      </c>
      <c r="Y30" s="248">
        <f>COUNTIFS(Table2[Defect Severity],"Major",Table2[Release Name],Table7[[#This Row],[Release Name]],Table2[Defect Status],"Approved")+COUNTIFS(Table2[Defect Severity],"Major",Table2[Release Name],Table7[[#This Row],[Release Name]],Table2[Defect Status],"New")</f>
        <v>0</v>
      </c>
      <c r="Z30" s="248">
        <f>COUNTIFS(Table2[Defect Severity],"Minor",Table2[Release Name],Table7[[#This Row],[Release Name]],Table2[Defect Status],"Approved")+COUNTIFS(Table2[Defect Severity],"Minor",Table2[Release Name],Table7[[#This Row],[Release Name]],Table2[Defect Status],"New")</f>
        <v>0</v>
      </c>
      <c r="AA30" s="248">
        <f>COUNTIFS(Table2[Defect Severity],"Trivial",Table2[Release Name],Table7[[#This Row],[Release Name]],Table2[Defect Status],"Approved")+COUNTIFS(Table2[Defect Severity],"Trivial",Table2[Release Name],Table7[[#This Row],[Release Name]],Table2[Defect Status],"New")</f>
        <v>0</v>
      </c>
      <c r="AB30" s="13">
        <f>SUMIFS(Table3[Hours Worked],Table3[Release Name],Table7[[#This Row],[Release Name]],Table3[Task Type],"Testcase Creation")</f>
        <v>0</v>
      </c>
      <c r="AC30" s="255">
        <f>SUMIFS(Table3[Hours Worked],Table3[Release Name],Table7[[#This Row],[Release Name]],Table3[Task Type],"Testcase Execution")</f>
        <v>0</v>
      </c>
      <c r="AD3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 s="256" t="str">
        <f>IFERROR((Table7[[#This Row],[No. of Valid Internal Review Defects]]+Table7[[#This Row],[No. of Valid  Internal Testing Defects]]+Table7[[#This Row],[No. of  Valid External Review Defects]]+Table7[[#This Row],[No. of Valid External Testing Defects]])/Table7[[#This Row],[Size]],"")</f>
        <v/>
      </c>
      <c r="AF30" s="257" t="str">
        <f>IFERROR(Table7[[#This Row],[No. of Valid Internal Review Defects]]/(Table7[[#This Row],[No. of Valid Internal Review Defects]]+Table7[[#This Row],[No. of  Valid External Review Defects]]+Table7[[#This Row],[No. of Valid  Internal Testing Defects]]+Table7[[#This Row],[No. of Valid External Testing Defects]]),"")</f>
        <v/>
      </c>
      <c r="AG30" s="258" t="str">
        <f>IFERROR(Table7[[#This Row],[No. of Valid Internal Review Defects]]/(Table7[[#This Row],[No. of Valid Internal Review Defects]]+Table7[[#This Row],[No. of  Valid External Review Defects]]+Table7[[#This Row],[No. of Valid External Testing Defects]]),"")</f>
        <v/>
      </c>
      <c r="AH30" s="256" t="str">
        <f>IFERROR(Table7[[#This Row],[No. of Valid  Internal Testing Defects]]/Table7[[#This Row],[Overall Actual Effort for the release]],"")</f>
        <v/>
      </c>
      <c r="AI30" s="256" t="str">
        <f>IFERROR(Table7[[#This Row],[No. of Valid  Internal Testing Defects]]/Table7[[#This Row],[No. of Testcases Executed]],"")</f>
        <v/>
      </c>
      <c r="AJ30" s="259" t="str">
        <f>IFERROR(IFERROR(Table7[[#This Row],[No. of Testcases Created]]/Table7[[#This Row],[Effort for Testcase Creation]],"")*9,"")</f>
        <v/>
      </c>
      <c r="AK30" s="256" t="str">
        <f>IFERROR((Table7[[#This Row],[No. of Testcases Executed]]/Table7[[#This Row],[Effort for Testcase Execution]])*9,"")</f>
        <v/>
      </c>
      <c r="AL3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 s="259" t="str">
        <f>IFERROR(Table7[[#This Row],[No. of Defects Validated]]/SUMIFS(Table3[Hours Worked],Table3[Release Name],Table7[[#This Row],[Release Name]],Table3[Task Type],"Defect Validation")*9,"")</f>
        <v/>
      </c>
      <c r="AN30" s="258" t="str">
        <f>IFERROR((Table7[[#This Row],[No. of Valid  Internal Testing Defects]])/(Table7[[#This Row],[No. of Valid  Internal Testing Defects]]+Table7[[#This Row],[No. of Invalid Internal Testing Defects]]),"")</f>
        <v/>
      </c>
      <c r="AO30" s="258" t="str">
        <f>IFERROR(Table7[[#This Row],[No. of Valid External Testing Defects]]/(Table7[[#This Row],[No. of Valid External Testing Defects]]+Table7[[#This Row],[No. of Valid  Internal Testing Defects]]),"")</f>
        <v/>
      </c>
    </row>
    <row r="31" spans="2:41" ht="15.2">
      <c r="B31" s="225"/>
      <c r="C31" s="226"/>
      <c r="D31" s="14"/>
      <c r="E31" s="14"/>
      <c r="F31" s="230" t="str">
        <f>IFERROR((Table47[[#This Row],[Initial No. of Requirements]]+Table47[[#This Row],[Modified Requirements( Added / Deleted /Modified)]])/Table47[[#This Row],[Initial No. of Requirements]],"")</f>
        <v/>
      </c>
      <c r="G31" s="231"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 s="225"/>
      <c r="J31" s="247"/>
      <c r="K31" s="14"/>
      <c r="L31" s="14"/>
      <c r="M31" s="14"/>
      <c r="N31" s="248"/>
      <c r="O31" s="248"/>
      <c r="P31" s="248"/>
      <c r="Q31" s="248"/>
      <c r="R31" s="248"/>
      <c r="S31" s="248">
        <f>COUNTIFS(Table2[Defect Classification],"Internal",Table2[Defect Type],"Testing",Table2[Defect Status],"Approved",Table2[Release Name],Table7[[#This Row],[Release Name]])+COUNTIFS(Table2[Defect Classification],"Internal",Table2[Defect Type],"Testing",Table2[Defect Status],"New",Table2[Release Name],Table7[[#This Row],[Release Name]])</f>
        <v>0</v>
      </c>
      <c r="T31"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31"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31"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31" s="248">
        <f>COUNTIFS(Table2[Defect Severity],"Critical",Table2[Release Name],Table7[[#This Row],[Release Name]],Table2[Defect Status],"Approved")+COUNTIFS(Table2[Defect Severity],"Critical",Table2[Release Name],Table7[[#This Row],[Release Name]],Table2[Defect Status],"New")</f>
        <v>0</v>
      </c>
      <c r="X31" s="248">
        <f>COUNTIFS(Table2[Defect Severity],"Blocker",Table2[Release Name],Table7[[#This Row],[Release Name]],Table2[Defect Status],"Approved")+COUNTIFS(Table2[Defect Severity],"Blocker",Table2[Release Name],Table7[[#This Row],[Release Name]],Table2[Defect Status],"New")</f>
        <v>0</v>
      </c>
      <c r="Y31" s="248">
        <f>COUNTIFS(Table2[Defect Severity],"Major",Table2[Release Name],Table7[[#This Row],[Release Name]],Table2[Defect Status],"Approved")+COUNTIFS(Table2[Defect Severity],"Major",Table2[Release Name],Table7[[#This Row],[Release Name]],Table2[Defect Status],"New")</f>
        <v>0</v>
      </c>
      <c r="Z31" s="248">
        <f>COUNTIFS(Table2[Defect Severity],"Minor",Table2[Release Name],Table7[[#This Row],[Release Name]],Table2[Defect Status],"Approved")+COUNTIFS(Table2[Defect Severity],"Minor",Table2[Release Name],Table7[[#This Row],[Release Name]],Table2[Defect Status],"New")</f>
        <v>0</v>
      </c>
      <c r="AA31" s="248">
        <f>COUNTIFS(Table2[Defect Severity],"Trivial",Table2[Release Name],Table7[[#This Row],[Release Name]],Table2[Defect Status],"Approved")+COUNTIFS(Table2[Defect Severity],"Trivial",Table2[Release Name],Table7[[#This Row],[Release Name]],Table2[Defect Status],"New")</f>
        <v>0</v>
      </c>
      <c r="AB31" s="13">
        <f>SUMIFS(Table3[Hours Worked],Table3[Release Name],Table7[[#This Row],[Release Name]],Table3[Task Type],"Testcase Creation")</f>
        <v>0</v>
      </c>
      <c r="AC31" s="255">
        <f>SUMIFS(Table3[Hours Worked],Table3[Release Name],Table7[[#This Row],[Release Name]],Table3[Task Type],"Testcase Execution")</f>
        <v>0</v>
      </c>
      <c r="AD3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 s="256" t="str">
        <f>IFERROR((Table7[[#This Row],[No. of Valid Internal Review Defects]]+Table7[[#This Row],[No. of Valid  Internal Testing Defects]]+Table7[[#This Row],[No. of  Valid External Review Defects]]+Table7[[#This Row],[No. of Valid External Testing Defects]])/Table7[[#This Row],[Size]],"")</f>
        <v/>
      </c>
      <c r="AF31" s="257" t="str">
        <f>IFERROR(Table7[[#This Row],[No. of Valid Internal Review Defects]]/(Table7[[#This Row],[No. of Valid Internal Review Defects]]+Table7[[#This Row],[No. of  Valid External Review Defects]]+Table7[[#This Row],[No. of Valid  Internal Testing Defects]]+Table7[[#This Row],[No. of Valid External Testing Defects]]),"")</f>
        <v/>
      </c>
      <c r="AG31" s="258" t="str">
        <f>IFERROR(Table7[[#This Row],[No. of Valid Internal Review Defects]]/(Table7[[#This Row],[No. of Valid Internal Review Defects]]+Table7[[#This Row],[No. of  Valid External Review Defects]]+Table7[[#This Row],[No. of Valid External Testing Defects]]),"")</f>
        <v/>
      </c>
      <c r="AH31" s="256" t="str">
        <f>IFERROR(Table7[[#This Row],[No. of Valid  Internal Testing Defects]]/Table7[[#This Row],[Overall Actual Effort for the release]],"")</f>
        <v/>
      </c>
      <c r="AI31" s="256" t="str">
        <f>IFERROR(Table7[[#This Row],[No. of Valid  Internal Testing Defects]]/Table7[[#This Row],[No. of Testcases Executed]],"")</f>
        <v/>
      </c>
      <c r="AJ31" s="259" t="str">
        <f>IFERROR(IFERROR(Table7[[#This Row],[No. of Testcases Created]]/Table7[[#This Row],[Effort for Testcase Creation]],"")*9,"")</f>
        <v/>
      </c>
      <c r="AK31" s="256" t="str">
        <f>IFERROR((Table7[[#This Row],[No. of Testcases Executed]]/Table7[[#This Row],[Effort for Testcase Execution]])*9,"")</f>
        <v/>
      </c>
      <c r="AL3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 s="259" t="str">
        <f>IFERROR(Table7[[#This Row],[No. of Defects Validated]]/SUMIFS(Table3[Hours Worked],Table3[Release Name],Table7[[#This Row],[Release Name]],Table3[Task Type],"Defect Validation")*9,"")</f>
        <v/>
      </c>
      <c r="AN31" s="258" t="str">
        <f>IFERROR((Table7[[#This Row],[No. of Valid  Internal Testing Defects]])/(Table7[[#This Row],[No. of Valid  Internal Testing Defects]]+Table7[[#This Row],[No. of Invalid Internal Testing Defects]]),"")</f>
        <v/>
      </c>
      <c r="AO31" s="258" t="str">
        <f>IFERROR(Table7[[#This Row],[No. of Valid External Testing Defects]]/(Table7[[#This Row],[No. of Valid External Testing Defects]]+Table7[[#This Row],[No. of Valid  Internal Testing Defects]]),"")</f>
        <v/>
      </c>
    </row>
    <row r="32" spans="2:41">
      <c r="B32" s="225"/>
      <c r="C32" s="226"/>
      <c r="D32" s="14"/>
      <c r="E32" s="14"/>
      <c r="F32" s="230" t="str">
        <f>IFERROR((Table47[[#This Row],[Initial No. of Requirements]]+Table47[[#This Row],[Modified Requirements( Added / Deleted /Modified)]])/Table47[[#This Row],[Initial No. of Requirements]],"")</f>
        <v/>
      </c>
      <c r="G32" s="231"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 s="225"/>
      <c r="J32" s="247"/>
      <c r="K32" s="14"/>
      <c r="L32" s="14"/>
      <c r="M32" s="14"/>
      <c r="N32" s="248"/>
      <c r="O32" s="248"/>
      <c r="P32" s="248"/>
      <c r="Q32" s="248"/>
      <c r="R32" s="248"/>
      <c r="S32" s="248">
        <v>3</v>
      </c>
      <c r="T32" s="248">
        <f>COUNTIFS(Table2[Defect Classification],"Internal",Table2[Defect Type],"Testing",Table2[Defect Status],"Rejected",Table2[Release Name],Table7[[#This Row],[Release Name]])+COUNTIFS(Table2[Defect Classification],"Internal",Table2[Defect Type],"Testing",Table2[Defect Status],"Duplicate",Table2[Release Name],Table7[[#This Row],[Release Name]])</f>
        <v>0</v>
      </c>
      <c r="U32"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32"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32" s="248">
        <f>COUNTIFS(Table2[Defect Severity],"Critical",Table2[Release Name],Table7[[#This Row],[Release Name]],Table2[Defect Status],"Approved")+COUNTIFS(Table2[Defect Severity],"Critical",Table2[Release Name],Table7[[#This Row],[Release Name]],Table2[Defect Status],"New")</f>
        <v>0</v>
      </c>
      <c r="X32" s="248">
        <f>COUNTIFS(Table2[Defect Severity],"Blocker",Table2[Release Name],Table7[[#This Row],[Release Name]],Table2[Defect Status],"Approved")+COUNTIFS(Table2[Defect Severity],"Blocker",Table2[Release Name],Table7[[#This Row],[Release Name]],Table2[Defect Status],"New")</f>
        <v>0</v>
      </c>
      <c r="Y32" s="248">
        <f>COUNTIFS(Table2[Defect Severity],"Major",Table2[Release Name],Table7[[#This Row],[Release Name]],Table2[Defect Status],"Approved")+COUNTIFS(Table2[Defect Severity],"Major",Table2[Release Name],Table7[[#This Row],[Release Name]],Table2[Defect Status],"New")</f>
        <v>0</v>
      </c>
      <c r="Z32" s="248">
        <v>3</v>
      </c>
      <c r="AA32" s="248">
        <f>COUNTIFS(Table2[Defect Severity],"Trivial",Table2[Release Name],Table7[[#This Row],[Release Name]],Table2[Defect Status],"Approved")+COUNTIFS(Table2[Defect Severity],"Trivial",Table2[Release Name],Table7[[#This Row],[Release Name]],Table2[Defect Status],"New")</f>
        <v>0</v>
      </c>
      <c r="AB32" s="13">
        <f>SUMIFS(Table3[Hours Worked],Table3[Release Name],Table7[[#This Row],[Release Name]],Table3[Task Type],"Testcase Creation")</f>
        <v>0</v>
      </c>
      <c r="AC32" s="255">
        <f>SUMIFS(Table3[Hours Worked],Table3[Release Name],Table7[[#This Row],[Release Name]],Table3[Task Type],"Testcase Execution")</f>
        <v>0</v>
      </c>
      <c r="AD3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 s="256" t="str">
        <f>IFERROR((Table7[[#This Row],[No. of Valid Internal Review Defects]]+Table7[[#This Row],[No. of Valid  Internal Testing Defects]]+Table7[[#This Row],[No. of  Valid External Review Defects]]+Table7[[#This Row],[No. of Valid External Testing Defects]])/Table7[[#This Row],[Size]],"")</f>
        <v/>
      </c>
      <c r="AF32" s="257">
        <f>IFERROR(Table7[[#This Row],[No. of Valid Internal Review Defects]]/(Table7[[#This Row],[No. of Valid Internal Review Defects]]+Table7[[#This Row],[No. of  Valid External Review Defects]]+Table7[[#This Row],[No. of Valid  Internal Testing Defects]]+Table7[[#This Row],[No. of Valid External Testing Defects]]),"")</f>
        <v>0</v>
      </c>
      <c r="AG32" s="258" t="str">
        <f>IFERROR(Table7[[#This Row],[No. of Valid Internal Review Defects]]/(Table7[[#This Row],[No. of Valid Internal Review Defects]]+Table7[[#This Row],[No. of  Valid External Review Defects]]+Table7[[#This Row],[No. of Valid External Testing Defects]]),"")</f>
        <v/>
      </c>
      <c r="AH32" s="256" t="str">
        <f>IFERROR(Table7[[#This Row],[No. of Valid  Internal Testing Defects]]/Table7[[#This Row],[Overall Actual Effort for the release]],"")</f>
        <v/>
      </c>
      <c r="AI32" s="256" t="str">
        <f>IFERROR(Table7[[#This Row],[No. of Valid  Internal Testing Defects]]/Table7[[#This Row],[No. of Testcases Executed]],"")</f>
        <v/>
      </c>
      <c r="AJ32" s="259" t="str">
        <f>IFERROR(IFERROR(Table7[[#This Row],[No. of Testcases Created]]/Table7[[#This Row],[Effort for Testcase Creation]],"")*9,"")</f>
        <v/>
      </c>
      <c r="AK32" s="256" t="str">
        <f>IFERROR((Table7[[#This Row],[No. of Testcases Executed]]/Table7[[#This Row],[Effort for Testcase Execution]])*9,"")</f>
        <v/>
      </c>
      <c r="AL32" s="259">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9</v>
      </c>
      <c r="AM32" s="259" t="str">
        <f>IFERROR(Table7[[#This Row],[No. of Defects Validated]]/SUMIFS(Table3[Hours Worked],Table3[Release Name],Table7[[#This Row],[Release Name]],Table3[Task Type],"Defect Validation")*9,"")</f>
        <v/>
      </c>
      <c r="AN32" s="258">
        <f>IFERROR((Table7[[#This Row],[No. of Valid  Internal Testing Defects]])/(Table7[[#This Row],[No. of Valid  Internal Testing Defects]]+Table7[[#This Row],[No. of Invalid Internal Testing Defects]]),"")</f>
        <v>1</v>
      </c>
      <c r="AO32" s="258">
        <f>IFERROR(Table7[[#This Row],[No. of Valid External Testing Defects]]/(Table7[[#This Row],[No. of Valid External Testing Defects]]+Table7[[#This Row],[No. of Valid  Internal Testing Defects]]),"")</f>
        <v>0</v>
      </c>
    </row>
    <row r="33" spans="2:41">
      <c r="B33" s="225"/>
      <c r="C33" s="14"/>
      <c r="D33" s="14"/>
      <c r="E33" s="14"/>
      <c r="F33" s="230" t="str">
        <f>IFERROR((Table47[[#This Row],[Initial No. of Requirements]]+Table47[[#This Row],[Modified Requirements( Added / Deleted /Modified)]])/Table47[[#This Row],[Initial No. of Requirements]],"")</f>
        <v/>
      </c>
      <c r="G33" s="231"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 s="225"/>
      <c r="J33" s="247"/>
      <c r="K33" s="14"/>
      <c r="L33" s="14"/>
      <c r="M33" s="14"/>
      <c r="N33" s="248"/>
      <c r="O33" s="248"/>
      <c r="P33" s="248"/>
      <c r="Q33" s="248"/>
      <c r="R33" s="248"/>
      <c r="S33" s="248">
        <v>0</v>
      </c>
      <c r="T33" s="248">
        <v>0</v>
      </c>
      <c r="U33"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33"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33" s="248">
        <f>COUNTIFS(Table2[Defect Severity],"Critical",Table2[Release Name],Table7[[#This Row],[Release Name]],Table2[Defect Status],"Approved")+COUNTIFS(Table2[Defect Severity],"Critical",Table2[Release Name],Table7[[#This Row],[Release Name]],Table2[Defect Status],"New")</f>
        <v>0</v>
      </c>
      <c r="X33" s="248">
        <f>COUNTIFS(Table2[Defect Severity],"Blocker",Table2[Release Name],Table7[[#This Row],[Release Name]],Table2[Defect Status],"Approved")+COUNTIFS(Table2[Defect Severity],"Blocker",Table2[Release Name],Table7[[#This Row],[Release Name]],Table2[Defect Status],"New")</f>
        <v>0</v>
      </c>
      <c r="Y33" s="248">
        <f>COUNTIFS(Table2[Defect Severity],"Major",Table2[Release Name],Table7[[#This Row],[Release Name]],Table2[Defect Status],"Approved")+COUNTIFS(Table2[Defect Severity],"Major",Table2[Release Name],Table7[[#This Row],[Release Name]],Table2[Defect Status],"New")</f>
        <v>0</v>
      </c>
      <c r="Z33" s="248">
        <v>0</v>
      </c>
      <c r="AA33" s="248">
        <f>COUNTIFS(Table2[Defect Severity],"Trivial",Table2[Release Name],Table7[[#This Row],[Release Name]],Table2[Defect Status],"Approved")+COUNTIFS(Table2[Defect Severity],"Trivial",Table2[Release Name],Table7[[#This Row],[Release Name]],Table2[Defect Status],"New")</f>
        <v>0</v>
      </c>
      <c r="AB33" s="13">
        <f>SUMIFS(Table3[Hours Worked],Table3[Release Name],Table7[[#This Row],[Release Name]],Table3[Task Type],"Testcase Creation")</f>
        <v>0</v>
      </c>
      <c r="AC33" s="255">
        <f>SUMIFS(Table3[Hours Worked],Table3[Release Name],Table7[[#This Row],[Release Name]],Table3[Task Type],"Testcase Execution")</f>
        <v>0</v>
      </c>
      <c r="AD3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 s="256" t="str">
        <f>IFERROR((Table7[[#This Row],[No. of Valid Internal Review Defects]]+Table7[[#This Row],[No. of Valid  Internal Testing Defects]]+Table7[[#This Row],[No. of  Valid External Review Defects]]+Table7[[#This Row],[No. of Valid External Testing Defects]])/Table7[[#This Row],[Size]],"")</f>
        <v/>
      </c>
      <c r="AF33" s="257" t="str">
        <f>IFERROR(Table7[[#This Row],[No. of Valid Internal Review Defects]]/(Table7[[#This Row],[No. of Valid Internal Review Defects]]+Table7[[#This Row],[No. of  Valid External Review Defects]]+Table7[[#This Row],[No. of Valid  Internal Testing Defects]]+Table7[[#This Row],[No. of Valid External Testing Defects]]),"")</f>
        <v/>
      </c>
      <c r="AG33" s="258" t="str">
        <f>IFERROR(Table7[[#This Row],[No. of Valid Internal Review Defects]]/(Table7[[#This Row],[No. of Valid Internal Review Defects]]+Table7[[#This Row],[No. of  Valid External Review Defects]]+Table7[[#This Row],[No. of Valid External Testing Defects]]),"")</f>
        <v/>
      </c>
      <c r="AH33" s="256" t="str">
        <f>IFERROR(Table7[[#This Row],[No. of Valid  Internal Testing Defects]]/Table7[[#This Row],[Overall Actual Effort for the release]],"")</f>
        <v/>
      </c>
      <c r="AI33" s="256" t="str">
        <f>IFERROR(Table7[[#This Row],[No. of Valid  Internal Testing Defects]]/Table7[[#This Row],[No. of Testcases Executed]],"")</f>
        <v/>
      </c>
      <c r="AJ33" s="259" t="str">
        <f>IFERROR(IFERROR(Table7[[#This Row],[No. of Testcases Created]]/Table7[[#This Row],[Effort for Testcase Creation]],"")*9,"")</f>
        <v/>
      </c>
      <c r="AK33" s="256" t="str">
        <f>IFERROR((Table7[[#This Row],[No. of Testcases Executed]]/Table7[[#This Row],[Effort for Testcase Execution]])*9,"")</f>
        <v/>
      </c>
      <c r="AL3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 s="259" t="str">
        <f>IFERROR(Table7[[#This Row],[No. of Defects Validated]]/SUMIFS(Table3[Hours Worked],Table3[Release Name],Table7[[#This Row],[Release Name]],Table3[Task Type],"Defect Validation")*9,"")</f>
        <v/>
      </c>
      <c r="AN33" s="258" t="str">
        <f>IFERROR((Table7[[#This Row],[No. of Valid  Internal Testing Defects]])/(Table7[[#This Row],[No. of Valid  Internal Testing Defects]]+Table7[[#This Row],[No. of Invalid Internal Testing Defects]]),"")</f>
        <v/>
      </c>
      <c r="AO33" s="258" t="str">
        <f>IFERROR(Table7[[#This Row],[No. of Valid External Testing Defects]]/(Table7[[#This Row],[No. of Valid External Testing Defects]]+Table7[[#This Row],[No. of Valid  Internal Testing Defects]]),"")</f>
        <v/>
      </c>
    </row>
    <row r="34" spans="2:41" ht="15.2">
      <c r="B34" s="225"/>
      <c r="C34" s="14"/>
      <c r="D34" s="19"/>
      <c r="E34" s="19"/>
      <c r="F34" s="233" t="str">
        <f>IFERROR((Table47[[#This Row],[Initial No. of Requirements]]+Table47[[#This Row],[Modified Requirements( Added / Deleted /Modified)]])/Table47[[#This Row],[Initial No. of Requirements]],"")</f>
        <v/>
      </c>
      <c r="G34" s="234"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 s="225"/>
      <c r="J34" s="247"/>
      <c r="K34" s="14"/>
      <c r="L34" s="14"/>
      <c r="M34" s="14"/>
      <c r="N34" s="248"/>
      <c r="O34" s="248"/>
      <c r="P34" s="248"/>
      <c r="Q34" s="248"/>
      <c r="R34" s="248"/>
      <c r="S34" s="248">
        <v>0</v>
      </c>
      <c r="T34" s="248">
        <v>0</v>
      </c>
      <c r="U34"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34"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34" s="248">
        <f>COUNTIFS(Table2[Defect Severity],"Critical",Table2[Release Name],Table7[[#This Row],[Release Name]],Table2[Defect Status],"Approved")+COUNTIFS(Table2[Defect Severity],"Critical",Table2[Release Name],Table7[[#This Row],[Release Name]],Table2[Defect Status],"New")</f>
        <v>0</v>
      </c>
      <c r="X34" s="248">
        <f>COUNTIFS(Table2[Defect Severity],"Blocker",Table2[Release Name],Table7[[#This Row],[Release Name]],Table2[Defect Status],"Approved")+COUNTIFS(Table2[Defect Severity],"Blocker",Table2[Release Name],Table7[[#This Row],[Release Name]],Table2[Defect Status],"New")</f>
        <v>0</v>
      </c>
      <c r="Y34" s="248">
        <f>COUNTIFS(Table2[Defect Severity],"Major",Table2[Release Name],Table7[[#This Row],[Release Name]],Table2[Defect Status],"Approved")+COUNTIFS(Table2[Defect Severity],"Major",Table2[Release Name],Table7[[#This Row],[Release Name]],Table2[Defect Status],"New")</f>
        <v>0</v>
      </c>
      <c r="Z34" s="248">
        <v>0</v>
      </c>
      <c r="AA34" s="248">
        <f>COUNTIFS(Table2[Defect Severity],"Trivial",Table2[Release Name],Table7[[#This Row],[Release Name]],Table2[Defect Status],"Approved")+COUNTIFS(Table2[Defect Severity],"Trivial",Table2[Release Name],Table7[[#This Row],[Release Name]],Table2[Defect Status],"New")</f>
        <v>0</v>
      </c>
      <c r="AB34" s="13">
        <f>SUMIFS(Table3[Hours Worked],Table3[Release Name],Table7[[#This Row],[Release Name]],Table3[Task Type],"Testcase Creation")</f>
        <v>0</v>
      </c>
      <c r="AC34" s="255">
        <f>SUMIFS(Table3[Hours Worked],Table3[Release Name],Table7[[#This Row],[Release Name]],Table3[Task Type],"Testcase Execution")</f>
        <v>0</v>
      </c>
      <c r="AD3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 s="256" t="str">
        <f>IFERROR((Table7[[#This Row],[No. of Valid Internal Review Defects]]+Table7[[#This Row],[No. of Valid  Internal Testing Defects]]+Table7[[#This Row],[No. of  Valid External Review Defects]]+Table7[[#This Row],[No. of Valid External Testing Defects]])/Table7[[#This Row],[Size]],"")</f>
        <v/>
      </c>
      <c r="AF34" s="257" t="str">
        <f>IFERROR(Table7[[#This Row],[No. of Valid Internal Review Defects]]/(Table7[[#This Row],[No. of Valid Internal Review Defects]]+Table7[[#This Row],[No. of  Valid External Review Defects]]+Table7[[#This Row],[No. of Valid  Internal Testing Defects]]+Table7[[#This Row],[No. of Valid External Testing Defects]]),"")</f>
        <v/>
      </c>
      <c r="AG34" s="258" t="str">
        <f>IFERROR(Table7[[#This Row],[No. of Valid Internal Review Defects]]/(Table7[[#This Row],[No. of Valid Internal Review Defects]]+Table7[[#This Row],[No. of  Valid External Review Defects]]+Table7[[#This Row],[No. of Valid External Testing Defects]]),"")</f>
        <v/>
      </c>
      <c r="AH34" s="256" t="str">
        <f>IFERROR(Table7[[#This Row],[No. of Valid  Internal Testing Defects]]/Table7[[#This Row],[Overall Actual Effort for the release]],"")</f>
        <v/>
      </c>
      <c r="AI34" s="256" t="str">
        <f>IFERROR(Table7[[#This Row],[No. of Valid  Internal Testing Defects]]/Table7[[#This Row],[No. of Testcases Executed]],"")</f>
        <v/>
      </c>
      <c r="AJ34" s="259" t="str">
        <f>IFERROR(IFERROR(Table7[[#This Row],[No. of Testcases Created]]/Table7[[#This Row],[Effort for Testcase Creation]],"")*9,"")</f>
        <v/>
      </c>
      <c r="AK34" s="256" t="str">
        <f>IFERROR((Table7[[#This Row],[No. of Testcases Executed]]/Table7[[#This Row],[Effort for Testcase Execution]])*9,"")</f>
        <v/>
      </c>
      <c r="AL3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 s="259" t="str">
        <f>IFERROR(Table7[[#This Row],[No. of Defects Validated]]/SUMIFS(Table3[Hours Worked],Table3[Release Name],Table7[[#This Row],[Release Name]],Table3[Task Type],"Defect Validation")*9,"")</f>
        <v/>
      </c>
      <c r="AN34" s="258" t="str">
        <f>IFERROR((Table7[[#This Row],[No. of Valid  Internal Testing Defects]])/(Table7[[#This Row],[No. of Valid  Internal Testing Defects]]+Table7[[#This Row],[No. of Invalid Internal Testing Defects]]),"")</f>
        <v/>
      </c>
      <c r="AO34" s="258" t="str">
        <f>IFERROR(Table7[[#This Row],[No. of Valid External Testing Defects]]/(Table7[[#This Row],[No. of Valid External Testing Defects]]+Table7[[#This Row],[No. of Valid  Internal Testing Defects]]),"")</f>
        <v/>
      </c>
    </row>
    <row r="35" spans="2:41">
      <c r="B35" s="225"/>
      <c r="C35" s="14"/>
      <c r="D35" s="227"/>
      <c r="E35" s="227"/>
      <c r="F35" s="235" t="str">
        <f>IFERROR((Table47[[#This Row],[Initial No. of Requirements]]+Table47[[#This Row],[Modified Requirements( Added / Deleted /Modified)]])/Table47[[#This Row],[Initial No. of Requirements]],"")</f>
        <v/>
      </c>
      <c r="G35" s="235"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 s="225"/>
      <c r="J35" s="247"/>
      <c r="K35" s="14"/>
      <c r="L35" s="14"/>
      <c r="M35" s="14"/>
      <c r="N35" s="248"/>
      <c r="O35" s="248"/>
      <c r="P35" s="248"/>
      <c r="Q35" s="248"/>
      <c r="R35" s="248"/>
      <c r="S35" s="248">
        <v>0</v>
      </c>
      <c r="T35" s="248">
        <v>0</v>
      </c>
      <c r="U35" s="248">
        <f>COUNTIFS(Table2[Defect Classification],"External",Table2[Defect Type],"Testing",Table2[Defect Status],"Approved",Table2[Release Name],Table7[[#This Row],[Release Name]])+COUNTIFS(Table2[Defect Classification],"External",Table2[Defect Type],"Testing",Table2[Defect Status],"New",Table2[Release Name],Table7[[#This Row],[Release Name]])</f>
        <v>0</v>
      </c>
      <c r="V35" s="248">
        <f>COUNTIFS(Table2[Defect Classification],"External",Table2[Defect Type],"Testing",Table2[Defect Status],"Rejected",Table2[Release Name],Table7[[#This Row],[Release Name]])+COUNTIFS(Table2[Defect Classification],"External",Table2[Defect Type],"Testing",Table2[Defect Status],"Duplicate",Table2[Release Name],Table7[[#This Row],[Release Name]])</f>
        <v>0</v>
      </c>
      <c r="W35" s="248">
        <f>COUNTIFS(Table2[Defect Severity],"Critical",Table2[Release Name],Table7[[#This Row],[Release Name]],Table2[Defect Status],"Approved")+COUNTIFS(Table2[Defect Severity],"Critical",Table2[Release Name],Table7[[#This Row],[Release Name]],Table2[Defect Status],"New")</f>
        <v>0</v>
      </c>
      <c r="X35" s="248">
        <f>COUNTIFS(Table2[Defect Severity],"Blocker",Table2[Release Name],Table7[[#This Row],[Release Name]],Table2[Defect Status],"Approved")+COUNTIFS(Table2[Defect Severity],"Blocker",Table2[Release Name],Table7[[#This Row],[Release Name]],Table2[Defect Status],"New")</f>
        <v>0</v>
      </c>
      <c r="Y35" s="248">
        <f>COUNTIFS(Table2[Defect Severity],"Major",Table2[Release Name],Table7[[#This Row],[Release Name]],Table2[Defect Status],"Approved")+COUNTIFS(Table2[Defect Severity],"Major",Table2[Release Name],Table7[[#This Row],[Release Name]],Table2[Defect Status],"New")</f>
        <v>0</v>
      </c>
      <c r="Z35" s="248">
        <v>0</v>
      </c>
      <c r="AA35" s="248">
        <f>COUNTIFS(Table2[Defect Severity],"Trivial",Table2[Release Name],Table7[[#This Row],[Release Name]],Table2[Defect Status],"Approved")+COUNTIFS(Table2[Defect Severity],"Trivial",Table2[Release Name],Table7[[#This Row],[Release Name]],Table2[Defect Status],"New")</f>
        <v>0</v>
      </c>
      <c r="AB35" s="13">
        <f>SUMIFS(Table3[Hours Worked],Table3[Release Name],Table7[[#This Row],[Release Name]],Table3[Task Type],"Testcase Creation")</f>
        <v>0</v>
      </c>
      <c r="AC35" s="255">
        <f>SUMIFS(Table3[Hours Worked],Table3[Release Name],Table7[[#This Row],[Release Name]],Table3[Task Type],"Testcase Execution")</f>
        <v>0</v>
      </c>
      <c r="AD3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 s="256" t="str">
        <f>IFERROR((Table7[[#This Row],[No. of Valid Internal Review Defects]]+Table7[[#This Row],[No. of Valid  Internal Testing Defects]]+Table7[[#This Row],[No. of  Valid External Review Defects]]+Table7[[#This Row],[No. of Valid External Testing Defects]])/Table7[[#This Row],[Size]],"")</f>
        <v/>
      </c>
      <c r="AF35" s="257" t="str">
        <f>IFERROR(Table7[[#This Row],[No. of Valid Internal Review Defects]]/(Table7[[#This Row],[No. of Valid Internal Review Defects]]+Table7[[#This Row],[No. of  Valid External Review Defects]]+Table7[[#This Row],[No. of Valid  Internal Testing Defects]]+Table7[[#This Row],[No. of Valid External Testing Defects]]),"")</f>
        <v/>
      </c>
      <c r="AG35" s="258" t="str">
        <f>IFERROR(Table7[[#This Row],[No. of Valid Internal Review Defects]]/(Table7[[#This Row],[No. of Valid Internal Review Defects]]+Table7[[#This Row],[No. of  Valid External Review Defects]]+Table7[[#This Row],[No. of Valid External Testing Defects]]),"")</f>
        <v/>
      </c>
      <c r="AH35" s="256" t="str">
        <f>IFERROR(Table7[[#This Row],[No. of Valid  Internal Testing Defects]]/Table7[[#This Row],[Overall Actual Effort for the release]],"")</f>
        <v/>
      </c>
      <c r="AI35" s="256" t="str">
        <f>IFERROR(Table7[[#This Row],[No. of Valid  Internal Testing Defects]]/Table7[[#This Row],[No. of Testcases Executed]],"")</f>
        <v/>
      </c>
      <c r="AJ35" s="259" t="str">
        <f>IFERROR(IFERROR(Table7[[#This Row],[No. of Testcases Created]]/Table7[[#This Row],[Effort for Testcase Creation]],"")*9,"")</f>
        <v/>
      </c>
      <c r="AK35" s="256" t="str">
        <f>IFERROR((Table7[[#This Row],[No. of Testcases Executed]]/Table7[[#This Row],[Effort for Testcase Execution]])*9,"")</f>
        <v/>
      </c>
      <c r="AL3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 s="259" t="str">
        <f>IFERROR(Table7[[#This Row],[No. of Defects Validated]]/SUMIFS(Table3[Hours Worked],Table3[Release Name],Table7[[#This Row],[Release Name]],Table3[Task Type],"Defect Validation")*9,"")</f>
        <v/>
      </c>
      <c r="AN35" s="258" t="str">
        <f>IFERROR((Table7[[#This Row],[No. of Valid  Internal Testing Defects]])/(Table7[[#This Row],[No. of Valid  Internal Testing Defects]]+Table7[[#This Row],[No. of Invalid Internal Testing Defects]]),"")</f>
        <v/>
      </c>
      <c r="AO35" s="258" t="str">
        <f>IFERROR(Table7[[#This Row],[No. of Valid External Testing Defects]]/(Table7[[#This Row],[No. of Valid External Testing Defects]]+Table7[[#This Row],[No. of Valid  Internal Testing Defects]]),"")</f>
        <v/>
      </c>
    </row>
    <row r="36" spans="2:41">
      <c r="B36" s="225"/>
      <c r="C36" s="14"/>
      <c r="D36" s="14"/>
      <c r="E36" s="14"/>
      <c r="F36" s="230" t="str">
        <f>IFERROR((Table47[[#This Row],[Initial No. of Requirements]]+Table47[[#This Row],[Modified Requirements( Added / Deleted /Modified)]])/Table47[[#This Row],[Initial No. of Requirements]],"")</f>
        <v/>
      </c>
      <c r="G36"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 s="225"/>
      <c r="J36" s="247"/>
      <c r="K36" s="14"/>
      <c r="L36" s="14"/>
      <c r="M36" s="14"/>
      <c r="N36" s="248"/>
      <c r="O36" s="248"/>
      <c r="P36" s="248"/>
      <c r="Q36" s="248"/>
      <c r="R36" s="248"/>
      <c r="S36" s="248">
        <v>0</v>
      </c>
      <c r="T36" s="248">
        <v>0</v>
      </c>
      <c r="U36" s="248">
        <v>0</v>
      </c>
      <c r="V36" s="248">
        <v>0</v>
      </c>
      <c r="W36" s="248">
        <v>0</v>
      </c>
      <c r="X36" s="248">
        <v>0</v>
      </c>
      <c r="Y36" s="248">
        <v>0</v>
      </c>
      <c r="Z36" s="248">
        <v>0</v>
      </c>
      <c r="AA36" s="248">
        <v>0</v>
      </c>
      <c r="AB36" s="13">
        <f>SUMIFS(Table3[Hours Worked],Table3[Release Name],Table7[[#This Row],[Release Name]],Table3[Task Type],"Testcase Creation")</f>
        <v>0</v>
      </c>
      <c r="AC36" s="255">
        <f>SUMIFS(Table3[Hours Worked],Table3[Release Name],Table7[[#This Row],[Release Name]],Table3[Task Type],"Testcase Execution")</f>
        <v>0</v>
      </c>
      <c r="AD3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 s="256" t="str">
        <f>IFERROR((Table7[[#This Row],[No. of Valid Internal Review Defects]]+Table7[[#This Row],[No. of Valid  Internal Testing Defects]]+Table7[[#This Row],[No. of  Valid External Review Defects]]+Table7[[#This Row],[No. of Valid External Testing Defects]])/Table7[[#This Row],[Size]],"")</f>
        <v/>
      </c>
      <c r="AF36" s="257" t="str">
        <f>IFERROR(Table7[[#This Row],[No. of Valid Internal Review Defects]]/(Table7[[#This Row],[No. of Valid Internal Review Defects]]+Table7[[#This Row],[No. of  Valid External Review Defects]]+Table7[[#This Row],[No. of Valid  Internal Testing Defects]]+Table7[[#This Row],[No. of Valid External Testing Defects]]),"")</f>
        <v/>
      </c>
      <c r="AG36" s="258" t="str">
        <f>IFERROR(Table7[[#This Row],[No. of Valid Internal Review Defects]]/(Table7[[#This Row],[No. of Valid Internal Review Defects]]+Table7[[#This Row],[No. of  Valid External Review Defects]]+Table7[[#This Row],[No. of Valid External Testing Defects]]),"")</f>
        <v/>
      </c>
      <c r="AH36" s="256" t="str">
        <f>IFERROR(Table7[[#This Row],[No. of Valid  Internal Testing Defects]]/Table7[[#This Row],[Overall Actual Effort for the release]],"")</f>
        <v/>
      </c>
      <c r="AI36" s="256" t="str">
        <f>IFERROR(Table7[[#This Row],[No. of Valid  Internal Testing Defects]]/Table7[[#This Row],[No. of Testcases Executed]],"")</f>
        <v/>
      </c>
      <c r="AJ36" s="259" t="str">
        <f>IFERROR(IFERROR(Table7[[#This Row],[No. of Testcases Created]]/Table7[[#This Row],[Effort for Testcase Creation]],"")*9,"")</f>
        <v/>
      </c>
      <c r="AK36" s="256" t="str">
        <f>IFERROR((Table7[[#This Row],[No. of Testcases Executed]]/Table7[[#This Row],[Effort for Testcase Execution]])*9,"")</f>
        <v/>
      </c>
      <c r="AL3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 s="259" t="str">
        <f>IFERROR(Table7[[#This Row],[No. of Defects Validated]]/SUMIFS(Table3[Hours Worked],Table3[Release Name],Table7[[#This Row],[Release Name]],Table3[Task Type],"Defect Validation")*9,"")</f>
        <v/>
      </c>
      <c r="AN36" s="258" t="str">
        <f>IFERROR((Table7[[#This Row],[No. of Valid  Internal Testing Defects]])/(Table7[[#This Row],[No. of Valid  Internal Testing Defects]]+Table7[[#This Row],[No. of Invalid Internal Testing Defects]]),"")</f>
        <v/>
      </c>
      <c r="AO36" s="258" t="str">
        <f>IFERROR(Table7[[#This Row],[No. of Valid External Testing Defects]]/(Table7[[#This Row],[No. of Valid External Testing Defects]]+Table7[[#This Row],[No. of Valid  Internal Testing Defects]]),"")</f>
        <v/>
      </c>
    </row>
    <row r="37" spans="2:41">
      <c r="B37" s="225"/>
      <c r="C37" s="14"/>
      <c r="D37" s="14"/>
      <c r="E37" s="14"/>
      <c r="F37" s="230" t="str">
        <f>IFERROR((Table47[[#This Row],[Initial No. of Requirements]]+Table47[[#This Row],[Modified Requirements( Added / Deleted /Modified)]])/Table47[[#This Row],[Initial No. of Requirements]],"")</f>
        <v/>
      </c>
      <c r="G37"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 s="237"/>
      <c r="J37" s="247"/>
      <c r="K37" s="14"/>
      <c r="L37" s="14"/>
      <c r="M37" s="14"/>
      <c r="N37" s="248"/>
      <c r="O37" s="248"/>
      <c r="P37" s="248"/>
      <c r="Q37" s="248"/>
      <c r="R37" s="248"/>
      <c r="S37" s="248">
        <v>0</v>
      </c>
      <c r="T37" s="248">
        <v>0</v>
      </c>
      <c r="U37" s="248">
        <v>0</v>
      </c>
      <c r="V37" s="248">
        <v>0</v>
      </c>
      <c r="W37" s="248">
        <v>0</v>
      </c>
      <c r="X37" s="248">
        <v>0</v>
      </c>
      <c r="Y37" s="248">
        <v>0</v>
      </c>
      <c r="Z37" s="248">
        <v>0</v>
      </c>
      <c r="AA37" s="248">
        <v>0</v>
      </c>
      <c r="AB37" s="13">
        <f>SUMIFS(Table3[Hours Worked],Table3[Release Name],Table7[[#This Row],[Release Name]],Table3[Task Type],"Testcase Creation")</f>
        <v>0</v>
      </c>
      <c r="AC37" s="255">
        <f>SUMIFS(Table3[Hours Worked],Table3[Release Name],Table7[[#This Row],[Release Name]],Table3[Task Type],"Testcase Execution")</f>
        <v>0</v>
      </c>
      <c r="AD3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 s="256" t="str">
        <f>IFERROR((Table7[[#This Row],[No. of Valid Internal Review Defects]]+Table7[[#This Row],[No. of Valid  Internal Testing Defects]]+Table7[[#This Row],[No. of  Valid External Review Defects]]+Table7[[#This Row],[No. of Valid External Testing Defects]])/Table7[[#This Row],[Size]],"")</f>
        <v/>
      </c>
      <c r="AF37" s="257" t="str">
        <f>IFERROR(Table7[[#This Row],[No. of Valid Internal Review Defects]]/(Table7[[#This Row],[No. of Valid Internal Review Defects]]+Table7[[#This Row],[No. of  Valid External Review Defects]]+Table7[[#This Row],[No. of Valid  Internal Testing Defects]]+Table7[[#This Row],[No. of Valid External Testing Defects]]),"")</f>
        <v/>
      </c>
      <c r="AG37" s="258" t="str">
        <f>IFERROR(Table7[[#This Row],[No. of Valid Internal Review Defects]]/(Table7[[#This Row],[No. of Valid Internal Review Defects]]+Table7[[#This Row],[No. of  Valid External Review Defects]]+Table7[[#This Row],[No. of Valid External Testing Defects]]),"")</f>
        <v/>
      </c>
      <c r="AH37" s="256" t="str">
        <f>IFERROR(Table7[[#This Row],[No. of Valid  Internal Testing Defects]]/Table7[[#This Row],[Overall Actual Effort for the release]],"")</f>
        <v/>
      </c>
      <c r="AI37" s="256" t="str">
        <f>IFERROR(Table7[[#This Row],[No. of Valid  Internal Testing Defects]]/Table7[[#This Row],[No. of Testcases Executed]],"")</f>
        <v/>
      </c>
      <c r="AJ37" s="259" t="str">
        <f>IFERROR(IFERROR(Table7[[#This Row],[No. of Testcases Created]]/Table7[[#This Row],[Effort for Testcase Creation]],"")*9,"")</f>
        <v/>
      </c>
      <c r="AK37" s="256" t="str">
        <f>IFERROR((Table7[[#This Row],[No. of Testcases Executed]]/Table7[[#This Row],[Effort for Testcase Execution]])*9,"")</f>
        <v/>
      </c>
      <c r="AL3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 s="259" t="str">
        <f>IFERROR(Table7[[#This Row],[No. of Defects Validated]]/SUMIFS(Table3[Hours Worked],Table3[Release Name],Table7[[#This Row],[Release Name]],Table3[Task Type],"Defect Validation")*9,"")</f>
        <v/>
      </c>
      <c r="AN37" s="258" t="str">
        <f>IFERROR((Table7[[#This Row],[No. of Valid  Internal Testing Defects]])/(Table7[[#This Row],[No. of Valid  Internal Testing Defects]]+Table7[[#This Row],[No. of Invalid Internal Testing Defects]]),"")</f>
        <v/>
      </c>
      <c r="AO37" s="258" t="str">
        <f>IFERROR(Table7[[#This Row],[No. of Valid External Testing Defects]]/(Table7[[#This Row],[No. of Valid External Testing Defects]]+Table7[[#This Row],[No. of Valid  Internal Testing Defects]]),"")</f>
        <v/>
      </c>
    </row>
    <row r="38" spans="2:41">
      <c r="B38" s="225"/>
      <c r="C38" s="14"/>
      <c r="D38" s="14"/>
      <c r="E38" s="14"/>
      <c r="F38" s="230" t="str">
        <f>IFERROR((Table47[[#This Row],[Initial No. of Requirements]]+Table47[[#This Row],[Modified Requirements( Added / Deleted /Modified)]])/Table47[[#This Row],[Initial No. of Requirements]],"")</f>
        <v/>
      </c>
      <c r="G38"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 s="237"/>
      <c r="J38" s="247"/>
      <c r="K38" s="14"/>
      <c r="L38" s="14"/>
      <c r="M38" s="14"/>
      <c r="N38" s="248"/>
      <c r="O38" s="248"/>
      <c r="P38" s="248"/>
      <c r="Q38" s="248"/>
      <c r="R38" s="248"/>
      <c r="S38" s="248">
        <v>0</v>
      </c>
      <c r="T38" s="248">
        <v>0</v>
      </c>
      <c r="U38" s="248">
        <v>0</v>
      </c>
      <c r="V38" s="248">
        <v>0</v>
      </c>
      <c r="W38" s="248">
        <v>0</v>
      </c>
      <c r="X38" s="248">
        <v>0</v>
      </c>
      <c r="Y38" s="248">
        <v>0</v>
      </c>
      <c r="Z38" s="248">
        <v>0</v>
      </c>
      <c r="AA38" s="248">
        <v>0</v>
      </c>
      <c r="AB38" s="13">
        <f>SUMIFS(Table3[Hours Worked],Table3[Release Name],Table7[[#This Row],[Release Name]],Table3[Task Type],"Testcase Creation")</f>
        <v>0</v>
      </c>
      <c r="AC38" s="255">
        <f>SUMIFS(Table3[Hours Worked],Table3[Release Name],Table7[[#This Row],[Release Name]],Table3[Task Type],"Testcase Execution")</f>
        <v>0</v>
      </c>
      <c r="AD3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 s="256" t="str">
        <f>IFERROR((Table7[[#This Row],[No. of Valid Internal Review Defects]]+Table7[[#This Row],[No. of Valid  Internal Testing Defects]]+Table7[[#This Row],[No. of  Valid External Review Defects]]+Table7[[#This Row],[No. of Valid External Testing Defects]])/Table7[[#This Row],[Size]],"")</f>
        <v/>
      </c>
      <c r="AF38" s="257" t="str">
        <f>IFERROR(Table7[[#This Row],[No. of Valid Internal Review Defects]]/(Table7[[#This Row],[No. of Valid Internal Review Defects]]+Table7[[#This Row],[No. of  Valid External Review Defects]]+Table7[[#This Row],[No. of Valid  Internal Testing Defects]]+Table7[[#This Row],[No. of Valid External Testing Defects]]),"")</f>
        <v/>
      </c>
      <c r="AG38" s="258" t="str">
        <f>IFERROR(Table7[[#This Row],[No. of Valid Internal Review Defects]]/(Table7[[#This Row],[No. of Valid Internal Review Defects]]+Table7[[#This Row],[No. of  Valid External Review Defects]]+Table7[[#This Row],[No. of Valid External Testing Defects]]),"")</f>
        <v/>
      </c>
      <c r="AH38" s="256" t="str">
        <f>IFERROR(Table7[[#This Row],[No. of Valid  Internal Testing Defects]]/Table7[[#This Row],[Overall Actual Effort for the release]],"")</f>
        <v/>
      </c>
      <c r="AI38" s="256" t="str">
        <f>IFERROR(Table7[[#This Row],[No. of Valid  Internal Testing Defects]]/Table7[[#This Row],[No. of Testcases Executed]],"")</f>
        <v/>
      </c>
      <c r="AJ38" s="259" t="str">
        <f>IFERROR(IFERROR(Table7[[#This Row],[No. of Testcases Created]]/Table7[[#This Row],[Effort for Testcase Creation]],"")*9,"")</f>
        <v/>
      </c>
      <c r="AK38" s="256" t="str">
        <f>IFERROR((Table7[[#This Row],[No. of Testcases Executed]]/Table7[[#This Row],[Effort for Testcase Execution]])*9,"")</f>
        <v/>
      </c>
      <c r="AL3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 s="259" t="str">
        <f>IFERROR(Table7[[#This Row],[No. of Defects Validated]]/SUMIFS(Table3[Hours Worked],Table3[Release Name],Table7[[#This Row],[Release Name]],Table3[Task Type],"Defect Validation")*9,"")</f>
        <v/>
      </c>
      <c r="AN38" s="258" t="str">
        <f>IFERROR((Table7[[#This Row],[No. of Valid  Internal Testing Defects]])/(Table7[[#This Row],[No. of Valid  Internal Testing Defects]]+Table7[[#This Row],[No. of Invalid Internal Testing Defects]]),"")</f>
        <v/>
      </c>
      <c r="AO38" s="258" t="str">
        <f>IFERROR(Table7[[#This Row],[No. of Valid External Testing Defects]]/(Table7[[#This Row],[No. of Valid External Testing Defects]]+Table7[[#This Row],[No. of Valid  Internal Testing Defects]]),"")</f>
        <v/>
      </c>
    </row>
    <row r="39" spans="2:41">
      <c r="B39" s="225"/>
      <c r="C39" s="14"/>
      <c r="D39" s="14"/>
      <c r="E39" s="14"/>
      <c r="F39" s="230" t="str">
        <f>IFERROR((Table47[[#This Row],[Initial No. of Requirements]]+Table47[[#This Row],[Modified Requirements( Added / Deleted /Modified)]])/Table47[[#This Row],[Initial No. of Requirements]],"")</f>
        <v/>
      </c>
      <c r="G39"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 s="237"/>
      <c r="J39" s="247"/>
      <c r="K39" s="14"/>
      <c r="L39" s="14"/>
      <c r="M39" s="14"/>
      <c r="N39" s="248"/>
      <c r="O39" s="248"/>
      <c r="P39" s="248"/>
      <c r="Q39" s="248"/>
      <c r="R39" s="248"/>
      <c r="S39" s="248">
        <v>0</v>
      </c>
      <c r="T39" s="248">
        <v>0</v>
      </c>
      <c r="U39" s="248">
        <v>0</v>
      </c>
      <c r="V39" s="248">
        <v>0</v>
      </c>
      <c r="W39" s="248">
        <v>0</v>
      </c>
      <c r="X39" s="248">
        <v>0</v>
      </c>
      <c r="Y39" s="248">
        <v>0</v>
      </c>
      <c r="Z39" s="248">
        <v>0</v>
      </c>
      <c r="AA39" s="248">
        <v>0</v>
      </c>
      <c r="AB39" s="13">
        <f>SUMIFS(Table3[Hours Worked],Table3[Release Name],Table7[[#This Row],[Release Name]],Table3[Task Type],"Testcase Creation")</f>
        <v>0</v>
      </c>
      <c r="AC39" s="255">
        <f>SUMIFS(Table3[Hours Worked],Table3[Release Name],Table7[[#This Row],[Release Name]],Table3[Task Type],"Testcase Execution")</f>
        <v>0</v>
      </c>
      <c r="AD3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 s="256" t="str">
        <f>IFERROR((Table7[[#This Row],[No. of Valid Internal Review Defects]]+Table7[[#This Row],[No. of Valid  Internal Testing Defects]]+Table7[[#This Row],[No. of  Valid External Review Defects]]+Table7[[#This Row],[No. of Valid External Testing Defects]])/Table7[[#This Row],[Size]],"")</f>
        <v/>
      </c>
      <c r="AF39" s="257" t="str">
        <f>IFERROR(Table7[[#This Row],[No. of Valid Internal Review Defects]]/(Table7[[#This Row],[No. of Valid Internal Review Defects]]+Table7[[#This Row],[No. of  Valid External Review Defects]]+Table7[[#This Row],[No. of Valid  Internal Testing Defects]]+Table7[[#This Row],[No. of Valid External Testing Defects]]),"")</f>
        <v/>
      </c>
      <c r="AG39" s="258" t="str">
        <f>IFERROR(Table7[[#This Row],[No. of Valid Internal Review Defects]]/(Table7[[#This Row],[No. of Valid Internal Review Defects]]+Table7[[#This Row],[No. of  Valid External Review Defects]]+Table7[[#This Row],[No. of Valid External Testing Defects]]),"")</f>
        <v/>
      </c>
      <c r="AH39" s="256" t="str">
        <f>IFERROR(Table7[[#This Row],[No. of Valid  Internal Testing Defects]]/Table7[[#This Row],[Overall Actual Effort for the release]],"")</f>
        <v/>
      </c>
      <c r="AI39" s="256" t="str">
        <f>IFERROR(Table7[[#This Row],[No. of Valid  Internal Testing Defects]]/Table7[[#This Row],[No. of Testcases Executed]],"")</f>
        <v/>
      </c>
      <c r="AJ39" s="259" t="str">
        <f>IFERROR(IFERROR(Table7[[#This Row],[No. of Testcases Created]]/Table7[[#This Row],[Effort for Testcase Creation]],"")*9,"")</f>
        <v/>
      </c>
      <c r="AK39" s="256" t="str">
        <f>IFERROR((Table7[[#This Row],[No. of Testcases Executed]]/Table7[[#This Row],[Effort for Testcase Execution]])*9,"")</f>
        <v/>
      </c>
      <c r="AL3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 s="259" t="str">
        <f>IFERROR(Table7[[#This Row],[No. of Defects Validated]]/SUMIFS(Table3[Hours Worked],Table3[Release Name],Table7[[#This Row],[Release Name]],Table3[Task Type],"Defect Validation")*9,"")</f>
        <v/>
      </c>
      <c r="AN39" s="258" t="str">
        <f>IFERROR((Table7[[#This Row],[No. of Valid  Internal Testing Defects]])/(Table7[[#This Row],[No. of Valid  Internal Testing Defects]]+Table7[[#This Row],[No. of Invalid Internal Testing Defects]]),"")</f>
        <v/>
      </c>
      <c r="AO39" s="258" t="str">
        <f>IFERROR(Table7[[#This Row],[No. of Valid External Testing Defects]]/(Table7[[#This Row],[No. of Valid External Testing Defects]]+Table7[[#This Row],[No. of Valid  Internal Testing Defects]]),"")</f>
        <v/>
      </c>
    </row>
    <row r="40" spans="2:41">
      <c r="B40" s="225"/>
      <c r="C40" s="14"/>
      <c r="D40" s="14"/>
      <c r="E40" s="14"/>
      <c r="F40" s="230" t="str">
        <f>IFERROR((Table47[[#This Row],[Initial No. of Requirements]]+Table47[[#This Row],[Modified Requirements( Added / Deleted /Modified)]])/Table47[[#This Row],[Initial No. of Requirements]],"")</f>
        <v/>
      </c>
      <c r="G40"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 s="237"/>
      <c r="J40" s="247"/>
      <c r="K40" s="14"/>
      <c r="L40" s="14"/>
      <c r="M40" s="14"/>
      <c r="N40" s="248"/>
      <c r="O40" s="248"/>
      <c r="P40" s="248"/>
      <c r="Q40" s="248"/>
      <c r="R40" s="248"/>
      <c r="S40" s="248">
        <v>0</v>
      </c>
      <c r="T40" s="248">
        <v>0</v>
      </c>
      <c r="U40" s="248">
        <v>0</v>
      </c>
      <c r="V40" s="248">
        <v>0</v>
      </c>
      <c r="W40" s="248">
        <v>0</v>
      </c>
      <c r="X40" s="248">
        <v>0</v>
      </c>
      <c r="Y40" s="248">
        <v>0</v>
      </c>
      <c r="Z40" s="248">
        <v>0</v>
      </c>
      <c r="AA40" s="248">
        <v>0</v>
      </c>
      <c r="AB40" s="13">
        <f>SUMIFS(Table3[Hours Worked],Table3[Release Name],Table7[[#This Row],[Release Name]],Table3[Task Type],"Testcase Creation")</f>
        <v>0</v>
      </c>
      <c r="AC40" s="255">
        <f>SUMIFS(Table3[Hours Worked],Table3[Release Name],Table7[[#This Row],[Release Name]],Table3[Task Type],"Testcase Execution")</f>
        <v>0</v>
      </c>
      <c r="AD4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 s="256" t="str">
        <f>IFERROR((Table7[[#This Row],[No. of Valid Internal Review Defects]]+Table7[[#This Row],[No. of Valid  Internal Testing Defects]]+Table7[[#This Row],[No. of  Valid External Review Defects]]+Table7[[#This Row],[No. of Valid External Testing Defects]])/Table7[[#This Row],[Size]],"")</f>
        <v/>
      </c>
      <c r="AF40" s="257" t="str">
        <f>IFERROR(Table7[[#This Row],[No. of Valid Internal Review Defects]]/(Table7[[#This Row],[No. of Valid Internal Review Defects]]+Table7[[#This Row],[No. of  Valid External Review Defects]]+Table7[[#This Row],[No. of Valid  Internal Testing Defects]]+Table7[[#This Row],[No. of Valid External Testing Defects]]),"")</f>
        <v/>
      </c>
      <c r="AG40" s="258" t="str">
        <f>IFERROR(Table7[[#This Row],[No. of Valid Internal Review Defects]]/(Table7[[#This Row],[No. of Valid Internal Review Defects]]+Table7[[#This Row],[No. of  Valid External Review Defects]]+Table7[[#This Row],[No. of Valid External Testing Defects]]),"")</f>
        <v/>
      </c>
      <c r="AH40" s="256" t="str">
        <f>IFERROR(Table7[[#This Row],[No. of Valid  Internal Testing Defects]]/Table7[[#This Row],[Overall Actual Effort for the release]],"")</f>
        <v/>
      </c>
      <c r="AI40" s="256" t="str">
        <f>IFERROR(Table7[[#This Row],[No. of Valid  Internal Testing Defects]]/Table7[[#This Row],[No. of Testcases Executed]],"")</f>
        <v/>
      </c>
      <c r="AJ40" s="259" t="str">
        <f>IFERROR(IFERROR(Table7[[#This Row],[No. of Testcases Created]]/Table7[[#This Row],[Effort for Testcase Creation]],"")*9,"")</f>
        <v/>
      </c>
      <c r="AK40" s="256" t="str">
        <f>IFERROR((Table7[[#This Row],[No. of Testcases Executed]]/Table7[[#This Row],[Effort for Testcase Execution]])*9,"")</f>
        <v/>
      </c>
      <c r="AL4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 s="259" t="str">
        <f>IFERROR(Table7[[#This Row],[No. of Defects Validated]]/SUMIFS(Table3[Hours Worked],Table3[Release Name],Table7[[#This Row],[Release Name]],Table3[Task Type],"Defect Validation")*9,"")</f>
        <v/>
      </c>
      <c r="AN40" s="258" t="str">
        <f>IFERROR((Table7[[#This Row],[No. of Valid  Internal Testing Defects]])/(Table7[[#This Row],[No. of Valid  Internal Testing Defects]]+Table7[[#This Row],[No. of Invalid Internal Testing Defects]]),"")</f>
        <v/>
      </c>
      <c r="AO40" s="258" t="str">
        <f>IFERROR(Table7[[#This Row],[No. of Valid External Testing Defects]]/(Table7[[#This Row],[No. of Valid External Testing Defects]]+Table7[[#This Row],[No. of Valid  Internal Testing Defects]]),"")</f>
        <v/>
      </c>
    </row>
    <row r="41" spans="2:41">
      <c r="B41" s="225"/>
      <c r="C41" s="14"/>
      <c r="D41" s="14"/>
      <c r="E41" s="14"/>
      <c r="F41" s="230" t="str">
        <f>IFERROR((Table47[[#This Row],[Initial No. of Requirements]]+Table47[[#This Row],[Modified Requirements( Added / Deleted /Modified)]])/Table47[[#This Row],[Initial No. of Requirements]],"")</f>
        <v/>
      </c>
      <c r="G41"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 s="237"/>
      <c r="J41" s="247"/>
      <c r="K41" s="14"/>
      <c r="L41" s="14"/>
      <c r="M41" s="14"/>
      <c r="N41" s="248"/>
      <c r="O41" s="248"/>
      <c r="P41" s="248"/>
      <c r="Q41" s="248"/>
      <c r="R41" s="248"/>
      <c r="S41" s="248">
        <v>0</v>
      </c>
      <c r="T41" s="248">
        <v>0</v>
      </c>
      <c r="U41" s="248">
        <v>0</v>
      </c>
      <c r="V41" s="248">
        <v>0</v>
      </c>
      <c r="W41" s="248">
        <v>0</v>
      </c>
      <c r="X41" s="248">
        <v>0</v>
      </c>
      <c r="Y41" s="248">
        <v>0</v>
      </c>
      <c r="Z41" s="248">
        <v>0</v>
      </c>
      <c r="AA41" s="248">
        <v>0</v>
      </c>
      <c r="AB41" s="13">
        <f>SUMIFS(Table3[Hours Worked],Table3[Release Name],Table7[[#This Row],[Release Name]],Table3[Task Type],"Testcase Creation")</f>
        <v>0</v>
      </c>
      <c r="AC41" s="255">
        <f>SUMIFS(Table3[Hours Worked],Table3[Release Name],Table7[[#This Row],[Release Name]],Table3[Task Type],"Testcase Execution")</f>
        <v>0</v>
      </c>
      <c r="AD4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 s="256" t="str">
        <f>IFERROR((Table7[[#This Row],[No. of Valid Internal Review Defects]]+Table7[[#This Row],[No. of Valid  Internal Testing Defects]]+Table7[[#This Row],[No. of  Valid External Review Defects]]+Table7[[#This Row],[No. of Valid External Testing Defects]])/Table7[[#This Row],[Size]],"")</f>
        <v/>
      </c>
      <c r="AF41" s="257" t="str">
        <f>IFERROR(Table7[[#This Row],[No. of Valid Internal Review Defects]]/(Table7[[#This Row],[No. of Valid Internal Review Defects]]+Table7[[#This Row],[No. of  Valid External Review Defects]]+Table7[[#This Row],[No. of Valid  Internal Testing Defects]]+Table7[[#This Row],[No. of Valid External Testing Defects]]),"")</f>
        <v/>
      </c>
      <c r="AG41" s="258" t="str">
        <f>IFERROR(Table7[[#This Row],[No. of Valid Internal Review Defects]]/(Table7[[#This Row],[No. of Valid Internal Review Defects]]+Table7[[#This Row],[No. of  Valid External Review Defects]]+Table7[[#This Row],[No. of Valid External Testing Defects]]),"")</f>
        <v/>
      </c>
      <c r="AH41" s="256" t="str">
        <f>IFERROR(Table7[[#This Row],[No. of Valid  Internal Testing Defects]]/Table7[[#This Row],[Overall Actual Effort for the release]],"")</f>
        <v/>
      </c>
      <c r="AI41" s="256" t="str">
        <f>IFERROR(Table7[[#This Row],[No. of Valid  Internal Testing Defects]]/Table7[[#This Row],[No. of Testcases Executed]],"")</f>
        <v/>
      </c>
      <c r="AJ41" s="259" t="str">
        <f>IFERROR(IFERROR(Table7[[#This Row],[No. of Testcases Created]]/Table7[[#This Row],[Effort for Testcase Creation]],"")*9,"")</f>
        <v/>
      </c>
      <c r="AK41" s="256" t="str">
        <f>IFERROR((Table7[[#This Row],[No. of Testcases Executed]]/Table7[[#This Row],[Effort for Testcase Execution]])*9,"")</f>
        <v/>
      </c>
      <c r="AL4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 s="259" t="str">
        <f>IFERROR(Table7[[#This Row],[No. of Defects Validated]]/SUMIFS(Table3[Hours Worked],Table3[Release Name],Table7[[#This Row],[Release Name]],Table3[Task Type],"Defect Validation")*9,"")</f>
        <v/>
      </c>
      <c r="AN41" s="258" t="str">
        <f>IFERROR((Table7[[#This Row],[No. of Valid  Internal Testing Defects]])/(Table7[[#This Row],[No. of Valid  Internal Testing Defects]]+Table7[[#This Row],[No. of Invalid Internal Testing Defects]]),"")</f>
        <v/>
      </c>
      <c r="AO41" s="258" t="str">
        <f>IFERROR(Table7[[#This Row],[No. of Valid External Testing Defects]]/(Table7[[#This Row],[No. of Valid External Testing Defects]]+Table7[[#This Row],[No. of Valid  Internal Testing Defects]]),"")</f>
        <v/>
      </c>
    </row>
    <row r="42" spans="2:41">
      <c r="B42" s="225"/>
      <c r="C42" s="14"/>
      <c r="D42" s="14"/>
      <c r="E42" s="14"/>
      <c r="F42" s="230" t="str">
        <f>IFERROR((Table47[[#This Row],[Initial No. of Requirements]]+Table47[[#This Row],[Modified Requirements( Added / Deleted /Modified)]])/Table47[[#This Row],[Initial No. of Requirements]],"")</f>
        <v/>
      </c>
      <c r="G42"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 s="237"/>
      <c r="J42" s="247"/>
      <c r="K42" s="14"/>
      <c r="L42" s="14"/>
      <c r="M42" s="14"/>
      <c r="N42" s="248"/>
      <c r="O42" s="248"/>
      <c r="P42" s="248"/>
      <c r="Q42" s="248"/>
      <c r="R42" s="248"/>
      <c r="S42" s="248">
        <v>0</v>
      </c>
      <c r="T42" s="248">
        <v>0</v>
      </c>
      <c r="U42" s="248">
        <v>0</v>
      </c>
      <c r="V42" s="248">
        <v>0</v>
      </c>
      <c r="W42" s="248">
        <v>0</v>
      </c>
      <c r="X42" s="248">
        <v>0</v>
      </c>
      <c r="Y42" s="248">
        <v>0</v>
      </c>
      <c r="Z42" s="248">
        <v>0</v>
      </c>
      <c r="AA42" s="248">
        <v>0</v>
      </c>
      <c r="AB42" s="13">
        <f>SUMIFS(Table3[Hours Worked],Table3[Release Name],Table7[[#This Row],[Release Name]],Table3[Task Type],"Testcase Creation")</f>
        <v>0</v>
      </c>
      <c r="AC42" s="255">
        <f>SUMIFS(Table3[Hours Worked],Table3[Release Name],Table7[[#This Row],[Release Name]],Table3[Task Type],"Testcase Execution")</f>
        <v>0</v>
      </c>
      <c r="AD4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 s="256" t="str">
        <f>IFERROR((Table7[[#This Row],[No. of Valid Internal Review Defects]]+Table7[[#This Row],[No. of Valid  Internal Testing Defects]]+Table7[[#This Row],[No. of  Valid External Review Defects]]+Table7[[#This Row],[No. of Valid External Testing Defects]])/Table7[[#This Row],[Size]],"")</f>
        <v/>
      </c>
      <c r="AF42" s="257" t="str">
        <f>IFERROR(Table7[[#This Row],[No. of Valid Internal Review Defects]]/(Table7[[#This Row],[No. of Valid Internal Review Defects]]+Table7[[#This Row],[No. of  Valid External Review Defects]]+Table7[[#This Row],[No. of Valid  Internal Testing Defects]]+Table7[[#This Row],[No. of Valid External Testing Defects]]),"")</f>
        <v/>
      </c>
      <c r="AG42" s="258" t="str">
        <f>IFERROR(Table7[[#This Row],[No. of Valid Internal Review Defects]]/(Table7[[#This Row],[No. of Valid Internal Review Defects]]+Table7[[#This Row],[No. of  Valid External Review Defects]]+Table7[[#This Row],[No. of Valid External Testing Defects]]),"")</f>
        <v/>
      </c>
      <c r="AH42" s="256" t="str">
        <f>IFERROR(Table7[[#This Row],[No. of Valid  Internal Testing Defects]]/Table7[[#This Row],[Overall Actual Effort for the release]],"")</f>
        <v/>
      </c>
      <c r="AI42" s="256" t="str">
        <f>IFERROR(Table7[[#This Row],[No. of Valid  Internal Testing Defects]]/Table7[[#This Row],[No. of Testcases Executed]],"")</f>
        <v/>
      </c>
      <c r="AJ42" s="259" t="str">
        <f>IFERROR(IFERROR(Table7[[#This Row],[No. of Testcases Created]]/Table7[[#This Row],[Effort for Testcase Creation]],"")*9,"")</f>
        <v/>
      </c>
      <c r="AK42" s="256" t="str">
        <f>IFERROR((Table7[[#This Row],[No. of Testcases Executed]]/Table7[[#This Row],[Effort for Testcase Execution]])*9,"")</f>
        <v/>
      </c>
      <c r="AL4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 s="259" t="str">
        <f>IFERROR(Table7[[#This Row],[No. of Defects Validated]]/SUMIFS(Table3[Hours Worked],Table3[Release Name],Table7[[#This Row],[Release Name]],Table3[Task Type],"Defect Validation")*9,"")</f>
        <v/>
      </c>
      <c r="AN42" s="258" t="str">
        <f>IFERROR((Table7[[#This Row],[No. of Valid  Internal Testing Defects]])/(Table7[[#This Row],[No. of Valid  Internal Testing Defects]]+Table7[[#This Row],[No. of Invalid Internal Testing Defects]]),"")</f>
        <v/>
      </c>
      <c r="AO42" s="258" t="str">
        <f>IFERROR(Table7[[#This Row],[No. of Valid External Testing Defects]]/(Table7[[#This Row],[No. of Valid External Testing Defects]]+Table7[[#This Row],[No. of Valid  Internal Testing Defects]]),"")</f>
        <v/>
      </c>
    </row>
    <row r="43" spans="2:41">
      <c r="B43" s="225"/>
      <c r="C43" s="14"/>
      <c r="D43" s="14"/>
      <c r="E43" s="14"/>
      <c r="F43" s="230" t="str">
        <f>IFERROR((Table47[[#This Row],[Initial No. of Requirements]]+Table47[[#This Row],[Modified Requirements( Added / Deleted /Modified)]])/Table47[[#This Row],[Initial No. of Requirements]],"")</f>
        <v/>
      </c>
      <c r="G43"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 s="237"/>
      <c r="J43" s="247"/>
      <c r="K43" s="14"/>
      <c r="L43" s="14"/>
      <c r="M43" s="14"/>
      <c r="N43" s="248"/>
      <c r="O43" s="248"/>
      <c r="P43" s="248"/>
      <c r="Q43" s="248"/>
      <c r="R43" s="248"/>
      <c r="S43" s="248">
        <v>0</v>
      </c>
      <c r="T43" s="248">
        <v>0</v>
      </c>
      <c r="U43" s="248">
        <v>0</v>
      </c>
      <c r="V43" s="248">
        <v>0</v>
      </c>
      <c r="W43" s="248">
        <v>0</v>
      </c>
      <c r="X43" s="248">
        <v>0</v>
      </c>
      <c r="Y43" s="248">
        <v>0</v>
      </c>
      <c r="Z43" s="248">
        <v>0</v>
      </c>
      <c r="AA43" s="248">
        <v>0</v>
      </c>
      <c r="AB43" s="13">
        <f>SUMIFS(Table3[Hours Worked],Table3[Release Name],Table7[[#This Row],[Release Name]],Table3[Task Type],"Testcase Creation")</f>
        <v>0</v>
      </c>
      <c r="AC43" s="255">
        <f>SUMIFS(Table3[Hours Worked],Table3[Release Name],Table7[[#This Row],[Release Name]],Table3[Task Type],"Testcase Execution")</f>
        <v>0</v>
      </c>
      <c r="AD4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 s="256" t="str">
        <f>IFERROR((Table7[[#This Row],[No. of Valid Internal Review Defects]]+Table7[[#This Row],[No. of Valid  Internal Testing Defects]]+Table7[[#This Row],[No. of  Valid External Review Defects]]+Table7[[#This Row],[No. of Valid External Testing Defects]])/Table7[[#This Row],[Size]],"")</f>
        <v/>
      </c>
      <c r="AF43" s="257" t="str">
        <f>IFERROR(Table7[[#This Row],[No. of Valid Internal Review Defects]]/(Table7[[#This Row],[No. of Valid Internal Review Defects]]+Table7[[#This Row],[No. of  Valid External Review Defects]]+Table7[[#This Row],[No. of Valid  Internal Testing Defects]]+Table7[[#This Row],[No. of Valid External Testing Defects]]),"")</f>
        <v/>
      </c>
      <c r="AG43" s="258" t="str">
        <f>IFERROR(Table7[[#This Row],[No. of Valid Internal Review Defects]]/(Table7[[#This Row],[No. of Valid Internal Review Defects]]+Table7[[#This Row],[No. of  Valid External Review Defects]]+Table7[[#This Row],[No. of Valid External Testing Defects]]),"")</f>
        <v/>
      </c>
      <c r="AH43" s="256" t="str">
        <f>IFERROR(Table7[[#This Row],[No. of Valid  Internal Testing Defects]]/Table7[[#This Row],[Overall Actual Effort for the release]],"")</f>
        <v/>
      </c>
      <c r="AI43" s="256" t="str">
        <f>IFERROR(Table7[[#This Row],[No. of Valid  Internal Testing Defects]]/Table7[[#This Row],[No. of Testcases Executed]],"")</f>
        <v/>
      </c>
      <c r="AJ43" s="259" t="str">
        <f>IFERROR(IFERROR(Table7[[#This Row],[No. of Testcases Created]]/Table7[[#This Row],[Effort for Testcase Creation]],"")*9,"")</f>
        <v/>
      </c>
      <c r="AK43" s="256" t="str">
        <f>IFERROR((Table7[[#This Row],[No. of Testcases Executed]]/Table7[[#This Row],[Effort for Testcase Execution]])*9,"")</f>
        <v/>
      </c>
      <c r="AL4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 s="259" t="str">
        <f>IFERROR(Table7[[#This Row],[No. of Defects Validated]]/SUMIFS(Table3[Hours Worked],Table3[Release Name],Table7[[#This Row],[Release Name]],Table3[Task Type],"Defect Validation")*9,"")</f>
        <v/>
      </c>
      <c r="AN43" s="258" t="str">
        <f>IFERROR((Table7[[#This Row],[No. of Valid  Internal Testing Defects]])/(Table7[[#This Row],[No. of Valid  Internal Testing Defects]]+Table7[[#This Row],[No. of Invalid Internal Testing Defects]]),"")</f>
        <v/>
      </c>
      <c r="AO43" s="258" t="str">
        <f>IFERROR(Table7[[#This Row],[No. of Valid External Testing Defects]]/(Table7[[#This Row],[No. of Valid External Testing Defects]]+Table7[[#This Row],[No. of Valid  Internal Testing Defects]]),"")</f>
        <v/>
      </c>
    </row>
    <row r="44" spans="2:41">
      <c r="B44" s="225"/>
      <c r="C44" s="14"/>
      <c r="D44" s="14"/>
      <c r="E44" s="14"/>
      <c r="F44" s="230" t="str">
        <f>IFERROR((Table47[[#This Row],[Initial No. of Requirements]]+Table47[[#This Row],[Modified Requirements( Added / Deleted /Modified)]])/Table47[[#This Row],[Initial No. of Requirements]],"")</f>
        <v/>
      </c>
      <c r="G44"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 s="237"/>
      <c r="J44" s="247"/>
      <c r="K44" s="14"/>
      <c r="L44" s="14"/>
      <c r="M44" s="14"/>
      <c r="N44" s="248"/>
      <c r="O44" s="248"/>
      <c r="P44" s="248"/>
      <c r="Q44" s="248"/>
      <c r="R44" s="248"/>
      <c r="S44" s="248">
        <v>0</v>
      </c>
      <c r="T44" s="248">
        <v>0</v>
      </c>
      <c r="U44" s="248">
        <v>0</v>
      </c>
      <c r="V44" s="248">
        <v>0</v>
      </c>
      <c r="W44" s="248">
        <v>0</v>
      </c>
      <c r="X44" s="248">
        <v>0</v>
      </c>
      <c r="Y44" s="248">
        <v>0</v>
      </c>
      <c r="Z44" s="248">
        <v>0</v>
      </c>
      <c r="AA44" s="248">
        <v>0</v>
      </c>
      <c r="AB44" s="13">
        <f>SUMIFS(Table3[Hours Worked],Table3[Release Name],Table7[[#This Row],[Release Name]],Table3[Task Type],"Testcase Creation")</f>
        <v>0</v>
      </c>
      <c r="AC44" s="255">
        <f>SUMIFS(Table3[Hours Worked],Table3[Release Name],Table7[[#This Row],[Release Name]],Table3[Task Type],"Testcase Execution")</f>
        <v>0</v>
      </c>
      <c r="AD4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 s="256" t="str">
        <f>IFERROR((Table7[[#This Row],[No. of Valid Internal Review Defects]]+Table7[[#This Row],[No. of Valid  Internal Testing Defects]]+Table7[[#This Row],[No. of  Valid External Review Defects]]+Table7[[#This Row],[No. of Valid External Testing Defects]])/Table7[[#This Row],[Size]],"")</f>
        <v/>
      </c>
      <c r="AF44" s="257" t="str">
        <f>IFERROR(Table7[[#This Row],[No. of Valid Internal Review Defects]]/(Table7[[#This Row],[No. of Valid Internal Review Defects]]+Table7[[#This Row],[No. of  Valid External Review Defects]]+Table7[[#This Row],[No. of Valid  Internal Testing Defects]]+Table7[[#This Row],[No. of Valid External Testing Defects]]),"")</f>
        <v/>
      </c>
      <c r="AG44" s="258" t="str">
        <f>IFERROR(Table7[[#This Row],[No. of Valid Internal Review Defects]]/(Table7[[#This Row],[No. of Valid Internal Review Defects]]+Table7[[#This Row],[No. of  Valid External Review Defects]]+Table7[[#This Row],[No. of Valid External Testing Defects]]),"")</f>
        <v/>
      </c>
      <c r="AH44" s="256" t="str">
        <f>IFERROR(Table7[[#This Row],[No. of Valid  Internal Testing Defects]]/Table7[[#This Row],[Overall Actual Effort for the release]],"")</f>
        <v/>
      </c>
      <c r="AI44" s="256" t="str">
        <f>IFERROR(Table7[[#This Row],[No. of Valid  Internal Testing Defects]]/Table7[[#This Row],[No. of Testcases Executed]],"")</f>
        <v/>
      </c>
      <c r="AJ44" s="259" t="str">
        <f>IFERROR(IFERROR(Table7[[#This Row],[No. of Testcases Created]]/Table7[[#This Row],[Effort for Testcase Creation]],"")*9,"")</f>
        <v/>
      </c>
      <c r="AK44" s="256" t="str">
        <f>IFERROR((Table7[[#This Row],[No. of Testcases Executed]]/Table7[[#This Row],[Effort for Testcase Execution]])*9,"")</f>
        <v/>
      </c>
      <c r="AL4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 s="259" t="str">
        <f>IFERROR(Table7[[#This Row],[No. of Defects Validated]]/SUMIFS(Table3[Hours Worked],Table3[Release Name],Table7[[#This Row],[Release Name]],Table3[Task Type],"Defect Validation")*9,"")</f>
        <v/>
      </c>
      <c r="AN44" s="258" t="str">
        <f>IFERROR((Table7[[#This Row],[No. of Valid  Internal Testing Defects]])/(Table7[[#This Row],[No. of Valid  Internal Testing Defects]]+Table7[[#This Row],[No. of Invalid Internal Testing Defects]]),"")</f>
        <v/>
      </c>
      <c r="AO44" s="258" t="str">
        <f>IFERROR(Table7[[#This Row],[No. of Valid External Testing Defects]]/(Table7[[#This Row],[No. of Valid External Testing Defects]]+Table7[[#This Row],[No. of Valid  Internal Testing Defects]]),"")</f>
        <v/>
      </c>
    </row>
    <row r="45" spans="2:41">
      <c r="B45" s="225"/>
      <c r="C45" s="14"/>
      <c r="D45" s="14"/>
      <c r="E45" s="14"/>
      <c r="F45" s="230" t="str">
        <f>IFERROR((Table47[[#This Row],[Initial No. of Requirements]]+Table47[[#This Row],[Modified Requirements( Added / Deleted /Modified)]])/Table47[[#This Row],[Initial No. of Requirements]],"")</f>
        <v/>
      </c>
      <c r="G45"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 s="237"/>
      <c r="J45" s="247"/>
      <c r="K45" s="14"/>
      <c r="L45" s="14"/>
      <c r="M45" s="14"/>
      <c r="N45" s="248"/>
      <c r="O45" s="248"/>
      <c r="P45" s="248"/>
      <c r="Q45" s="248"/>
      <c r="R45" s="248"/>
      <c r="S45" s="248">
        <v>0</v>
      </c>
      <c r="T45" s="248">
        <v>0</v>
      </c>
      <c r="U45" s="248">
        <v>0</v>
      </c>
      <c r="V45" s="248">
        <v>0</v>
      </c>
      <c r="W45" s="248">
        <v>0</v>
      </c>
      <c r="X45" s="248">
        <v>0</v>
      </c>
      <c r="Y45" s="248">
        <v>0</v>
      </c>
      <c r="Z45" s="248">
        <v>0</v>
      </c>
      <c r="AA45" s="248">
        <v>0</v>
      </c>
      <c r="AB45" s="13">
        <f>SUMIFS(Table3[Hours Worked],Table3[Release Name],Table7[[#This Row],[Release Name]],Table3[Task Type],"Testcase Creation")</f>
        <v>0</v>
      </c>
      <c r="AC45" s="255">
        <f>SUMIFS(Table3[Hours Worked],Table3[Release Name],Table7[[#This Row],[Release Name]],Table3[Task Type],"Testcase Execution")</f>
        <v>0</v>
      </c>
      <c r="AD4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 s="256" t="str">
        <f>IFERROR((Table7[[#This Row],[No. of Valid Internal Review Defects]]+Table7[[#This Row],[No. of Valid  Internal Testing Defects]]+Table7[[#This Row],[No. of  Valid External Review Defects]]+Table7[[#This Row],[No. of Valid External Testing Defects]])/Table7[[#This Row],[Size]],"")</f>
        <v/>
      </c>
      <c r="AF45" s="257" t="str">
        <f>IFERROR(Table7[[#This Row],[No. of Valid Internal Review Defects]]/(Table7[[#This Row],[No. of Valid Internal Review Defects]]+Table7[[#This Row],[No. of  Valid External Review Defects]]+Table7[[#This Row],[No. of Valid  Internal Testing Defects]]+Table7[[#This Row],[No. of Valid External Testing Defects]]),"")</f>
        <v/>
      </c>
      <c r="AG45" s="258" t="str">
        <f>IFERROR(Table7[[#This Row],[No. of Valid Internal Review Defects]]/(Table7[[#This Row],[No. of Valid Internal Review Defects]]+Table7[[#This Row],[No. of  Valid External Review Defects]]+Table7[[#This Row],[No. of Valid External Testing Defects]]),"")</f>
        <v/>
      </c>
      <c r="AH45" s="256" t="str">
        <f>IFERROR(Table7[[#This Row],[No. of Valid  Internal Testing Defects]]/Table7[[#This Row],[Overall Actual Effort for the release]],"")</f>
        <v/>
      </c>
      <c r="AI45" s="256" t="str">
        <f>IFERROR(Table7[[#This Row],[No. of Valid  Internal Testing Defects]]/Table7[[#This Row],[No. of Testcases Executed]],"")</f>
        <v/>
      </c>
      <c r="AJ45" s="259" t="str">
        <f>IFERROR(IFERROR(Table7[[#This Row],[No. of Testcases Created]]/Table7[[#This Row],[Effort for Testcase Creation]],"")*9,"")</f>
        <v/>
      </c>
      <c r="AK45" s="256" t="str">
        <f>IFERROR((Table7[[#This Row],[No. of Testcases Executed]]/Table7[[#This Row],[Effort for Testcase Execution]])*9,"")</f>
        <v/>
      </c>
      <c r="AL4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 s="259" t="str">
        <f>IFERROR(Table7[[#This Row],[No. of Defects Validated]]/SUMIFS(Table3[Hours Worked],Table3[Release Name],Table7[[#This Row],[Release Name]],Table3[Task Type],"Defect Validation")*9,"")</f>
        <v/>
      </c>
      <c r="AN45" s="258" t="str">
        <f>IFERROR((Table7[[#This Row],[No. of Valid  Internal Testing Defects]])/(Table7[[#This Row],[No. of Valid  Internal Testing Defects]]+Table7[[#This Row],[No. of Invalid Internal Testing Defects]]),"")</f>
        <v/>
      </c>
      <c r="AO45" s="258" t="str">
        <f>IFERROR(Table7[[#This Row],[No. of Valid External Testing Defects]]/(Table7[[#This Row],[No. of Valid External Testing Defects]]+Table7[[#This Row],[No. of Valid  Internal Testing Defects]]),"")</f>
        <v/>
      </c>
    </row>
    <row r="46" spans="2:41">
      <c r="B46" s="225"/>
      <c r="C46" s="14"/>
      <c r="D46" s="14"/>
      <c r="E46" s="14"/>
      <c r="F46" s="230" t="str">
        <f>IFERROR((Table47[[#This Row],[Initial No. of Requirements]]+Table47[[#This Row],[Modified Requirements( Added / Deleted /Modified)]])/Table47[[#This Row],[Initial No. of Requirements]],"")</f>
        <v/>
      </c>
      <c r="G46"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 s="247"/>
      <c r="J46" s="247"/>
      <c r="K46" s="14"/>
      <c r="L46" s="14"/>
      <c r="M46" s="14"/>
      <c r="N46" s="248"/>
      <c r="O46" s="248"/>
      <c r="P46" s="248"/>
      <c r="Q46" s="248"/>
      <c r="R46" s="248"/>
      <c r="S46" s="248"/>
      <c r="T46" s="248"/>
      <c r="U46" s="248"/>
      <c r="V46" s="248"/>
      <c r="W46" s="248"/>
      <c r="X46" s="248"/>
      <c r="Y46" s="248"/>
      <c r="Z46" s="248"/>
      <c r="AA46" s="248"/>
      <c r="AB46" s="13">
        <f>SUMIFS(Table3[Hours Worked],Table3[Release Name],Table7[[#This Row],[Release Name]],Table3[Task Type],"Testcase Creation")</f>
        <v>0</v>
      </c>
      <c r="AC46" s="255">
        <f>SUMIFS(Table3[Hours Worked],Table3[Release Name],Table7[[#This Row],[Release Name]],Table3[Task Type],"Testcase Execution")</f>
        <v>0</v>
      </c>
      <c r="AD4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 s="256" t="str">
        <f>IFERROR((Table7[[#This Row],[No. of Valid Internal Review Defects]]+Table7[[#This Row],[No. of Valid  Internal Testing Defects]]+Table7[[#This Row],[No. of  Valid External Review Defects]]+Table7[[#This Row],[No. of Valid External Testing Defects]])/Table7[[#This Row],[Size]],"")</f>
        <v/>
      </c>
      <c r="AF46" s="257" t="str">
        <f>IFERROR(Table7[[#This Row],[No. of Valid Internal Review Defects]]/(Table7[[#This Row],[No. of Valid Internal Review Defects]]+Table7[[#This Row],[No. of  Valid External Review Defects]]+Table7[[#This Row],[No. of Valid  Internal Testing Defects]]+Table7[[#This Row],[No. of Valid External Testing Defects]]),"")</f>
        <v/>
      </c>
      <c r="AG46" s="258" t="str">
        <f>IFERROR(Table7[[#This Row],[No. of Valid Internal Review Defects]]/(Table7[[#This Row],[No. of Valid Internal Review Defects]]+Table7[[#This Row],[No. of  Valid External Review Defects]]+Table7[[#This Row],[No. of Valid External Testing Defects]]),"")</f>
        <v/>
      </c>
      <c r="AH46" s="256" t="str">
        <f>IFERROR(Table7[[#This Row],[No. of Valid  Internal Testing Defects]]/Table7[[#This Row],[Overall Actual Effort for the release]],"")</f>
        <v/>
      </c>
      <c r="AI46" s="256" t="str">
        <f>IFERROR(Table7[[#This Row],[No. of Valid  Internal Testing Defects]]/Table7[[#This Row],[No. of Testcases Executed]],"")</f>
        <v/>
      </c>
      <c r="AJ46" s="259" t="str">
        <f>IFERROR(IFERROR(Table7[[#This Row],[No. of Testcases Created]]/Table7[[#This Row],[Effort for Testcase Creation]],"")*9,"")</f>
        <v/>
      </c>
      <c r="AK46" s="256" t="str">
        <f>IFERROR((Table7[[#This Row],[No. of Testcases Executed]]/Table7[[#This Row],[Effort for Testcase Execution]])*9,"")</f>
        <v/>
      </c>
      <c r="AL4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 s="259" t="str">
        <f>IFERROR(Table7[[#This Row],[No. of Defects Validated]]/SUMIFS(Table3[Hours Worked],Table3[Release Name],Table7[[#This Row],[Release Name]],Table3[Task Type],"Defect Validation")*9,"")</f>
        <v/>
      </c>
      <c r="AN46" s="258" t="str">
        <f>IFERROR((Table7[[#This Row],[No. of Valid  Internal Testing Defects]])/(Table7[[#This Row],[No. of Valid  Internal Testing Defects]]+Table7[[#This Row],[No. of Invalid Internal Testing Defects]]),"")</f>
        <v/>
      </c>
      <c r="AO46" s="258" t="str">
        <f>IFERROR(Table7[[#This Row],[No. of Valid External Testing Defects]]/(Table7[[#This Row],[No. of Valid External Testing Defects]]+Table7[[#This Row],[No. of Valid  Internal Testing Defects]]),"")</f>
        <v/>
      </c>
    </row>
    <row r="47" spans="2:41">
      <c r="B47" s="225"/>
      <c r="C47" s="14"/>
      <c r="D47" s="14"/>
      <c r="E47" s="14"/>
      <c r="F47" s="230" t="str">
        <f>IFERROR((Table47[[#This Row],[Initial No. of Requirements]]+Table47[[#This Row],[Modified Requirements( Added / Deleted /Modified)]])/Table47[[#This Row],[Initial No. of Requirements]],"")</f>
        <v/>
      </c>
      <c r="G47"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 s="247"/>
      <c r="J47" s="247"/>
      <c r="K47" s="14"/>
      <c r="L47" s="14"/>
      <c r="M47" s="14"/>
      <c r="N47" s="248"/>
      <c r="O47" s="248"/>
      <c r="P47" s="248"/>
      <c r="Q47" s="248"/>
      <c r="R47" s="248"/>
      <c r="S47" s="248"/>
      <c r="T47" s="248"/>
      <c r="U47" s="248"/>
      <c r="V47" s="248"/>
      <c r="W47" s="248"/>
      <c r="X47" s="248"/>
      <c r="Y47" s="248"/>
      <c r="Z47" s="248"/>
      <c r="AA47" s="248"/>
      <c r="AB47" s="13">
        <f>SUMIFS(Table3[Hours Worked],Table3[Release Name],Table7[[#This Row],[Release Name]],Table3[Task Type],"Testcase Creation")</f>
        <v>0</v>
      </c>
      <c r="AC47" s="255">
        <f>SUMIFS(Table3[Hours Worked],Table3[Release Name],Table7[[#This Row],[Release Name]],Table3[Task Type],"Testcase Execution")</f>
        <v>0</v>
      </c>
      <c r="AD4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 s="256" t="str">
        <f>IFERROR((Table7[[#This Row],[No. of Valid Internal Review Defects]]+Table7[[#This Row],[No. of Valid  Internal Testing Defects]]+Table7[[#This Row],[No. of  Valid External Review Defects]]+Table7[[#This Row],[No. of Valid External Testing Defects]])/Table7[[#This Row],[Size]],"")</f>
        <v/>
      </c>
      <c r="AF47" s="257" t="str">
        <f>IFERROR(Table7[[#This Row],[No. of Valid Internal Review Defects]]/(Table7[[#This Row],[No. of Valid Internal Review Defects]]+Table7[[#This Row],[No. of  Valid External Review Defects]]+Table7[[#This Row],[No. of Valid  Internal Testing Defects]]+Table7[[#This Row],[No. of Valid External Testing Defects]]),"")</f>
        <v/>
      </c>
      <c r="AG47" s="258" t="str">
        <f>IFERROR(Table7[[#This Row],[No. of Valid Internal Review Defects]]/(Table7[[#This Row],[No. of Valid Internal Review Defects]]+Table7[[#This Row],[No. of  Valid External Review Defects]]+Table7[[#This Row],[No. of Valid External Testing Defects]]),"")</f>
        <v/>
      </c>
      <c r="AH47" s="256" t="str">
        <f>IFERROR(Table7[[#This Row],[No. of Valid  Internal Testing Defects]]/Table7[[#This Row],[Overall Actual Effort for the release]],"")</f>
        <v/>
      </c>
      <c r="AI47" s="256" t="str">
        <f>IFERROR(Table7[[#This Row],[No. of Valid  Internal Testing Defects]]/Table7[[#This Row],[No. of Testcases Executed]],"")</f>
        <v/>
      </c>
      <c r="AJ47" s="259" t="str">
        <f>IFERROR(IFERROR(Table7[[#This Row],[No. of Testcases Created]]/Table7[[#This Row],[Effort for Testcase Creation]],"")*9,"")</f>
        <v/>
      </c>
      <c r="AK47" s="256" t="str">
        <f>IFERROR((Table7[[#This Row],[No. of Testcases Executed]]/Table7[[#This Row],[Effort for Testcase Execution]])*9,"")</f>
        <v/>
      </c>
      <c r="AL4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 s="259" t="str">
        <f>IFERROR(Table7[[#This Row],[No. of Defects Validated]]/SUMIFS(Table3[Hours Worked],Table3[Release Name],Table7[[#This Row],[Release Name]],Table3[Task Type],"Defect Validation")*9,"")</f>
        <v/>
      </c>
      <c r="AN47" s="258" t="str">
        <f>IFERROR((Table7[[#This Row],[No. of Valid  Internal Testing Defects]])/(Table7[[#This Row],[No. of Valid  Internal Testing Defects]]+Table7[[#This Row],[No. of Invalid Internal Testing Defects]]),"")</f>
        <v/>
      </c>
      <c r="AO47" s="258" t="str">
        <f>IFERROR(Table7[[#This Row],[No. of Valid External Testing Defects]]/(Table7[[#This Row],[No. of Valid External Testing Defects]]+Table7[[#This Row],[No. of Valid  Internal Testing Defects]]),"")</f>
        <v/>
      </c>
    </row>
    <row r="48" spans="2:41">
      <c r="B48" s="225"/>
      <c r="C48" s="14"/>
      <c r="D48" s="14"/>
      <c r="E48" s="14"/>
      <c r="F48" s="230" t="str">
        <f>IFERROR((Table47[[#This Row],[Initial No. of Requirements]]+Table47[[#This Row],[Modified Requirements( Added / Deleted /Modified)]])/Table47[[#This Row],[Initial No. of Requirements]],"")</f>
        <v/>
      </c>
      <c r="G48"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 s="247"/>
      <c r="J48" s="247"/>
      <c r="K48" s="14"/>
      <c r="L48" s="14"/>
      <c r="M48" s="14"/>
      <c r="N48" s="248"/>
      <c r="O48" s="248"/>
      <c r="P48" s="248"/>
      <c r="Q48" s="248"/>
      <c r="R48" s="248"/>
      <c r="S48" s="248"/>
      <c r="T48" s="248"/>
      <c r="U48" s="248"/>
      <c r="V48" s="248"/>
      <c r="W48" s="248"/>
      <c r="X48" s="248"/>
      <c r="Y48" s="248"/>
      <c r="Z48" s="248"/>
      <c r="AA48" s="248"/>
      <c r="AB48" s="13">
        <f>SUMIFS(Table3[Hours Worked],Table3[Release Name],Table7[[#This Row],[Release Name]],Table3[Task Type],"Testcase Creation")</f>
        <v>0</v>
      </c>
      <c r="AC48" s="255">
        <f>SUMIFS(Table3[Hours Worked],Table3[Release Name],Table7[[#This Row],[Release Name]],Table3[Task Type],"Testcase Execution")</f>
        <v>0</v>
      </c>
      <c r="AD4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 s="256" t="str">
        <f>IFERROR((Table7[[#This Row],[No. of Valid Internal Review Defects]]+Table7[[#This Row],[No. of Valid  Internal Testing Defects]]+Table7[[#This Row],[No. of  Valid External Review Defects]]+Table7[[#This Row],[No. of Valid External Testing Defects]])/Table7[[#This Row],[Size]],"")</f>
        <v/>
      </c>
      <c r="AF48" s="257" t="str">
        <f>IFERROR(Table7[[#This Row],[No. of Valid Internal Review Defects]]/(Table7[[#This Row],[No. of Valid Internal Review Defects]]+Table7[[#This Row],[No. of  Valid External Review Defects]]+Table7[[#This Row],[No. of Valid  Internal Testing Defects]]+Table7[[#This Row],[No. of Valid External Testing Defects]]),"")</f>
        <v/>
      </c>
      <c r="AG48" s="258" t="str">
        <f>IFERROR(Table7[[#This Row],[No. of Valid Internal Review Defects]]/(Table7[[#This Row],[No. of Valid Internal Review Defects]]+Table7[[#This Row],[No. of  Valid External Review Defects]]+Table7[[#This Row],[No. of Valid External Testing Defects]]),"")</f>
        <v/>
      </c>
      <c r="AH48" s="256" t="str">
        <f>IFERROR(Table7[[#This Row],[No. of Valid  Internal Testing Defects]]/Table7[[#This Row],[Overall Actual Effort for the release]],"")</f>
        <v/>
      </c>
      <c r="AI48" s="256" t="str">
        <f>IFERROR(Table7[[#This Row],[No. of Valid  Internal Testing Defects]]/Table7[[#This Row],[No. of Testcases Executed]],"")</f>
        <v/>
      </c>
      <c r="AJ48" s="259" t="str">
        <f>IFERROR(IFERROR(Table7[[#This Row],[No. of Testcases Created]]/Table7[[#This Row],[Effort for Testcase Creation]],"")*9,"")</f>
        <v/>
      </c>
      <c r="AK48" s="256" t="str">
        <f>IFERROR((Table7[[#This Row],[No. of Testcases Executed]]/Table7[[#This Row],[Effort for Testcase Execution]])*9,"")</f>
        <v/>
      </c>
      <c r="AL4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 s="259" t="str">
        <f>IFERROR(Table7[[#This Row],[No. of Defects Validated]]/SUMIFS(Table3[Hours Worked],Table3[Release Name],Table7[[#This Row],[Release Name]],Table3[Task Type],"Defect Validation")*9,"")</f>
        <v/>
      </c>
      <c r="AN48" s="258" t="str">
        <f>IFERROR((Table7[[#This Row],[No. of Valid  Internal Testing Defects]])/(Table7[[#This Row],[No. of Valid  Internal Testing Defects]]+Table7[[#This Row],[No. of Invalid Internal Testing Defects]]),"")</f>
        <v/>
      </c>
      <c r="AO48" s="258" t="str">
        <f>IFERROR(Table7[[#This Row],[No. of Valid External Testing Defects]]/(Table7[[#This Row],[No. of Valid External Testing Defects]]+Table7[[#This Row],[No. of Valid  Internal Testing Defects]]),"")</f>
        <v/>
      </c>
    </row>
    <row r="49" spans="2:41">
      <c r="B49" s="225"/>
      <c r="C49" s="14"/>
      <c r="D49" s="14"/>
      <c r="E49" s="14"/>
      <c r="F49" s="230" t="str">
        <f>IFERROR((Table47[[#This Row],[Initial No. of Requirements]]+Table47[[#This Row],[Modified Requirements( Added / Deleted /Modified)]])/Table47[[#This Row],[Initial No. of Requirements]],"")</f>
        <v/>
      </c>
      <c r="G49"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 s="247"/>
      <c r="J49" s="247"/>
      <c r="K49" s="14"/>
      <c r="L49" s="14"/>
      <c r="M49" s="14"/>
      <c r="N49" s="248"/>
      <c r="O49" s="248"/>
      <c r="P49" s="248"/>
      <c r="Q49" s="248"/>
      <c r="R49" s="248"/>
      <c r="S49" s="248"/>
      <c r="T49" s="248"/>
      <c r="U49" s="248"/>
      <c r="V49" s="248"/>
      <c r="W49" s="248"/>
      <c r="X49" s="248"/>
      <c r="Y49" s="248"/>
      <c r="Z49" s="248"/>
      <c r="AA49" s="248"/>
      <c r="AB49" s="13">
        <f>SUMIFS(Table3[Hours Worked],Table3[Release Name],Table7[[#This Row],[Release Name]],Table3[Task Type],"Testcase Creation")</f>
        <v>0</v>
      </c>
      <c r="AC49" s="255">
        <f>SUMIFS(Table3[Hours Worked],Table3[Release Name],Table7[[#This Row],[Release Name]],Table3[Task Type],"Testcase Execution")</f>
        <v>0</v>
      </c>
      <c r="AD4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 s="256" t="str">
        <f>IFERROR((Table7[[#This Row],[No. of Valid Internal Review Defects]]+Table7[[#This Row],[No. of Valid  Internal Testing Defects]]+Table7[[#This Row],[No. of  Valid External Review Defects]]+Table7[[#This Row],[No. of Valid External Testing Defects]])/Table7[[#This Row],[Size]],"")</f>
        <v/>
      </c>
      <c r="AF49" s="257" t="str">
        <f>IFERROR(Table7[[#This Row],[No. of Valid Internal Review Defects]]/(Table7[[#This Row],[No. of Valid Internal Review Defects]]+Table7[[#This Row],[No. of  Valid External Review Defects]]+Table7[[#This Row],[No. of Valid  Internal Testing Defects]]+Table7[[#This Row],[No. of Valid External Testing Defects]]),"")</f>
        <v/>
      </c>
      <c r="AG49" s="258" t="str">
        <f>IFERROR(Table7[[#This Row],[No. of Valid Internal Review Defects]]/(Table7[[#This Row],[No. of Valid Internal Review Defects]]+Table7[[#This Row],[No. of  Valid External Review Defects]]+Table7[[#This Row],[No. of Valid External Testing Defects]]),"")</f>
        <v/>
      </c>
      <c r="AH49" s="256" t="str">
        <f>IFERROR(Table7[[#This Row],[No. of Valid  Internal Testing Defects]]/Table7[[#This Row],[Overall Actual Effort for the release]],"")</f>
        <v/>
      </c>
      <c r="AI49" s="256" t="str">
        <f>IFERROR(Table7[[#This Row],[No. of Valid  Internal Testing Defects]]/Table7[[#This Row],[No. of Testcases Executed]],"")</f>
        <v/>
      </c>
      <c r="AJ49" s="259" t="str">
        <f>IFERROR(IFERROR(Table7[[#This Row],[No. of Testcases Created]]/Table7[[#This Row],[Effort for Testcase Creation]],"")*9,"")</f>
        <v/>
      </c>
      <c r="AK49" s="256" t="str">
        <f>IFERROR((Table7[[#This Row],[No. of Testcases Executed]]/Table7[[#This Row],[Effort for Testcase Execution]])*9,"")</f>
        <v/>
      </c>
      <c r="AL4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 s="259" t="str">
        <f>IFERROR(Table7[[#This Row],[No. of Defects Validated]]/SUMIFS(Table3[Hours Worked],Table3[Release Name],Table7[[#This Row],[Release Name]],Table3[Task Type],"Defect Validation")*9,"")</f>
        <v/>
      </c>
      <c r="AN49" s="258" t="str">
        <f>IFERROR((Table7[[#This Row],[No. of Valid  Internal Testing Defects]])/(Table7[[#This Row],[No. of Valid  Internal Testing Defects]]+Table7[[#This Row],[No. of Invalid Internal Testing Defects]]),"")</f>
        <v/>
      </c>
      <c r="AO49" s="258" t="str">
        <f>IFERROR(Table7[[#This Row],[No. of Valid External Testing Defects]]/(Table7[[#This Row],[No. of Valid External Testing Defects]]+Table7[[#This Row],[No. of Valid  Internal Testing Defects]]),"")</f>
        <v/>
      </c>
    </row>
    <row r="50" spans="2:41">
      <c r="B50" s="225"/>
      <c r="C50" s="14"/>
      <c r="D50" s="14"/>
      <c r="E50" s="14"/>
      <c r="F50" s="230" t="str">
        <f>IFERROR((Table47[[#This Row],[Initial No. of Requirements]]+Table47[[#This Row],[Modified Requirements( Added / Deleted /Modified)]])/Table47[[#This Row],[Initial No. of Requirements]],"")</f>
        <v/>
      </c>
      <c r="G50"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 s="247"/>
      <c r="J50" s="247"/>
      <c r="K50" s="14"/>
      <c r="L50" s="14"/>
      <c r="M50" s="14"/>
      <c r="N50" s="248"/>
      <c r="O50" s="248"/>
      <c r="P50" s="248"/>
      <c r="Q50" s="248"/>
      <c r="R50" s="248"/>
      <c r="S50" s="248"/>
      <c r="T50" s="248"/>
      <c r="U50" s="248"/>
      <c r="V50" s="248"/>
      <c r="W50" s="248"/>
      <c r="X50" s="248"/>
      <c r="Y50" s="248"/>
      <c r="Z50" s="248"/>
      <c r="AA50" s="248"/>
      <c r="AB50" s="13">
        <f>SUMIFS(Table3[Hours Worked],Table3[Release Name],Table7[[#This Row],[Release Name]],Table3[Task Type],"Testcase Creation")</f>
        <v>0</v>
      </c>
      <c r="AC50" s="255">
        <f>SUMIFS(Table3[Hours Worked],Table3[Release Name],Table7[[#This Row],[Release Name]],Table3[Task Type],"Testcase Execution")</f>
        <v>0</v>
      </c>
      <c r="AD5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 s="256" t="str">
        <f>IFERROR((Table7[[#This Row],[No. of Valid Internal Review Defects]]+Table7[[#This Row],[No. of Valid  Internal Testing Defects]]+Table7[[#This Row],[No. of  Valid External Review Defects]]+Table7[[#This Row],[No. of Valid External Testing Defects]])/Table7[[#This Row],[Size]],"")</f>
        <v/>
      </c>
      <c r="AF50" s="257" t="str">
        <f>IFERROR(Table7[[#This Row],[No. of Valid Internal Review Defects]]/(Table7[[#This Row],[No. of Valid Internal Review Defects]]+Table7[[#This Row],[No. of  Valid External Review Defects]]+Table7[[#This Row],[No. of Valid  Internal Testing Defects]]+Table7[[#This Row],[No. of Valid External Testing Defects]]),"")</f>
        <v/>
      </c>
      <c r="AG50" s="258" t="str">
        <f>IFERROR(Table7[[#This Row],[No. of Valid Internal Review Defects]]/(Table7[[#This Row],[No. of Valid Internal Review Defects]]+Table7[[#This Row],[No. of  Valid External Review Defects]]+Table7[[#This Row],[No. of Valid External Testing Defects]]),"")</f>
        <v/>
      </c>
      <c r="AH50" s="256" t="str">
        <f>IFERROR(Table7[[#This Row],[No. of Valid  Internal Testing Defects]]/Table7[[#This Row],[Overall Actual Effort for the release]],"")</f>
        <v/>
      </c>
      <c r="AI50" s="256" t="str">
        <f>IFERROR(Table7[[#This Row],[No. of Valid  Internal Testing Defects]]/Table7[[#This Row],[No. of Testcases Executed]],"")</f>
        <v/>
      </c>
      <c r="AJ50" s="259" t="str">
        <f>IFERROR(IFERROR(Table7[[#This Row],[No. of Testcases Created]]/Table7[[#This Row],[Effort for Testcase Creation]],"")*9,"")</f>
        <v/>
      </c>
      <c r="AK50" s="256" t="str">
        <f>IFERROR((Table7[[#This Row],[No. of Testcases Executed]]/Table7[[#This Row],[Effort for Testcase Execution]])*9,"")</f>
        <v/>
      </c>
      <c r="AL5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 s="259" t="str">
        <f>IFERROR(Table7[[#This Row],[No. of Defects Validated]]/SUMIFS(Table3[Hours Worked],Table3[Release Name],Table7[[#This Row],[Release Name]],Table3[Task Type],"Defect Validation")*9,"")</f>
        <v/>
      </c>
      <c r="AN50" s="258" t="str">
        <f>IFERROR((Table7[[#This Row],[No. of Valid  Internal Testing Defects]])/(Table7[[#This Row],[No. of Valid  Internal Testing Defects]]+Table7[[#This Row],[No. of Invalid Internal Testing Defects]]),"")</f>
        <v/>
      </c>
      <c r="AO50" s="258" t="str">
        <f>IFERROR(Table7[[#This Row],[No. of Valid External Testing Defects]]/(Table7[[#This Row],[No. of Valid External Testing Defects]]+Table7[[#This Row],[No. of Valid  Internal Testing Defects]]),"")</f>
        <v/>
      </c>
    </row>
    <row r="51" spans="2:41">
      <c r="B51" s="225"/>
      <c r="C51" s="14"/>
      <c r="D51" s="14"/>
      <c r="E51" s="14"/>
      <c r="F51" s="230" t="str">
        <f>IFERROR((Table47[[#This Row],[Initial No. of Requirements]]+Table47[[#This Row],[Modified Requirements( Added / Deleted /Modified)]])/Table47[[#This Row],[Initial No. of Requirements]],"")</f>
        <v/>
      </c>
      <c r="G51"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 s="247"/>
      <c r="J51" s="247"/>
      <c r="K51" s="14"/>
      <c r="L51" s="14"/>
      <c r="M51" s="14"/>
      <c r="N51" s="248"/>
      <c r="O51" s="248"/>
      <c r="P51" s="248"/>
      <c r="Q51" s="248"/>
      <c r="R51" s="248"/>
      <c r="S51" s="248"/>
      <c r="T51" s="248"/>
      <c r="U51" s="248"/>
      <c r="V51" s="248"/>
      <c r="W51" s="248"/>
      <c r="X51" s="248"/>
      <c r="Y51" s="248"/>
      <c r="Z51" s="248"/>
      <c r="AA51" s="248"/>
      <c r="AB51" s="13">
        <f>SUMIFS(Table3[Hours Worked],Table3[Release Name],Table7[[#This Row],[Release Name]],Table3[Task Type],"Testcase Creation")</f>
        <v>0</v>
      </c>
      <c r="AC51" s="255">
        <f>SUMIFS(Table3[Hours Worked],Table3[Release Name],Table7[[#This Row],[Release Name]],Table3[Task Type],"Testcase Execution")</f>
        <v>0</v>
      </c>
      <c r="AD5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 s="256" t="str">
        <f>IFERROR((Table7[[#This Row],[No. of Valid Internal Review Defects]]+Table7[[#This Row],[No. of Valid  Internal Testing Defects]]+Table7[[#This Row],[No. of  Valid External Review Defects]]+Table7[[#This Row],[No. of Valid External Testing Defects]])/Table7[[#This Row],[Size]],"")</f>
        <v/>
      </c>
      <c r="AF51" s="257" t="str">
        <f>IFERROR(Table7[[#This Row],[No. of Valid Internal Review Defects]]/(Table7[[#This Row],[No. of Valid Internal Review Defects]]+Table7[[#This Row],[No. of  Valid External Review Defects]]+Table7[[#This Row],[No. of Valid  Internal Testing Defects]]+Table7[[#This Row],[No. of Valid External Testing Defects]]),"")</f>
        <v/>
      </c>
      <c r="AG51" s="258" t="str">
        <f>IFERROR(Table7[[#This Row],[No. of Valid Internal Review Defects]]/(Table7[[#This Row],[No. of Valid Internal Review Defects]]+Table7[[#This Row],[No. of  Valid External Review Defects]]+Table7[[#This Row],[No. of Valid External Testing Defects]]),"")</f>
        <v/>
      </c>
      <c r="AH51" s="256" t="str">
        <f>IFERROR(Table7[[#This Row],[No. of Valid  Internal Testing Defects]]/Table7[[#This Row],[Overall Actual Effort for the release]],"")</f>
        <v/>
      </c>
      <c r="AI51" s="256" t="str">
        <f>IFERROR(Table7[[#This Row],[No. of Valid  Internal Testing Defects]]/Table7[[#This Row],[No. of Testcases Executed]],"")</f>
        <v/>
      </c>
      <c r="AJ51" s="259" t="str">
        <f>IFERROR(IFERROR(Table7[[#This Row],[No. of Testcases Created]]/Table7[[#This Row],[Effort for Testcase Creation]],"")*9,"")</f>
        <v/>
      </c>
      <c r="AK51" s="256" t="str">
        <f>IFERROR((Table7[[#This Row],[No. of Testcases Executed]]/Table7[[#This Row],[Effort for Testcase Execution]])*9,"")</f>
        <v/>
      </c>
      <c r="AL5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 s="259" t="str">
        <f>IFERROR(Table7[[#This Row],[No. of Defects Validated]]/SUMIFS(Table3[Hours Worked],Table3[Release Name],Table7[[#This Row],[Release Name]],Table3[Task Type],"Defect Validation")*9,"")</f>
        <v/>
      </c>
      <c r="AN51" s="258" t="str">
        <f>IFERROR((Table7[[#This Row],[No. of Valid  Internal Testing Defects]])/(Table7[[#This Row],[No. of Valid  Internal Testing Defects]]+Table7[[#This Row],[No. of Invalid Internal Testing Defects]]),"")</f>
        <v/>
      </c>
      <c r="AO51" s="258" t="str">
        <f>IFERROR(Table7[[#This Row],[No. of Valid External Testing Defects]]/(Table7[[#This Row],[No. of Valid External Testing Defects]]+Table7[[#This Row],[No. of Valid  Internal Testing Defects]]),"")</f>
        <v/>
      </c>
    </row>
    <row r="52" spans="2:41">
      <c r="B52" s="225"/>
      <c r="C52" s="14"/>
      <c r="D52" s="14"/>
      <c r="E52" s="14"/>
      <c r="F52" s="230" t="str">
        <f>IFERROR((Table47[[#This Row],[Initial No. of Requirements]]+Table47[[#This Row],[Modified Requirements( Added / Deleted /Modified)]])/Table47[[#This Row],[Initial No. of Requirements]],"")</f>
        <v/>
      </c>
      <c r="G52"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 s="247"/>
      <c r="J52" s="247"/>
      <c r="K52" s="14"/>
      <c r="L52" s="14"/>
      <c r="M52" s="14"/>
      <c r="N52" s="248"/>
      <c r="O52" s="248"/>
      <c r="P52" s="248"/>
      <c r="Q52" s="248"/>
      <c r="R52" s="248"/>
      <c r="S52" s="248"/>
      <c r="T52" s="248"/>
      <c r="U52" s="248"/>
      <c r="V52" s="248"/>
      <c r="W52" s="248"/>
      <c r="X52" s="248"/>
      <c r="Y52" s="248"/>
      <c r="Z52" s="248"/>
      <c r="AA52" s="248"/>
      <c r="AB52" s="13">
        <f>SUMIFS(Table3[Hours Worked],Table3[Release Name],Table7[[#This Row],[Release Name]],Table3[Task Type],"Testcase Creation")</f>
        <v>0</v>
      </c>
      <c r="AC52" s="255">
        <f>SUMIFS(Table3[Hours Worked],Table3[Release Name],Table7[[#This Row],[Release Name]],Table3[Task Type],"Testcase Execution")</f>
        <v>0</v>
      </c>
      <c r="AD5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 s="256" t="str">
        <f>IFERROR((Table7[[#This Row],[No. of Valid Internal Review Defects]]+Table7[[#This Row],[No. of Valid  Internal Testing Defects]]+Table7[[#This Row],[No. of  Valid External Review Defects]]+Table7[[#This Row],[No. of Valid External Testing Defects]])/Table7[[#This Row],[Size]],"")</f>
        <v/>
      </c>
      <c r="AF52" s="257" t="str">
        <f>IFERROR(Table7[[#This Row],[No. of Valid Internal Review Defects]]/(Table7[[#This Row],[No. of Valid Internal Review Defects]]+Table7[[#This Row],[No. of  Valid External Review Defects]]+Table7[[#This Row],[No. of Valid  Internal Testing Defects]]+Table7[[#This Row],[No. of Valid External Testing Defects]]),"")</f>
        <v/>
      </c>
      <c r="AG52" s="258" t="str">
        <f>IFERROR(Table7[[#This Row],[No. of Valid Internal Review Defects]]/(Table7[[#This Row],[No. of Valid Internal Review Defects]]+Table7[[#This Row],[No. of  Valid External Review Defects]]+Table7[[#This Row],[No. of Valid External Testing Defects]]),"")</f>
        <v/>
      </c>
      <c r="AH52" s="256" t="str">
        <f>IFERROR(Table7[[#This Row],[No. of Valid  Internal Testing Defects]]/Table7[[#This Row],[Overall Actual Effort for the release]],"")</f>
        <v/>
      </c>
      <c r="AI52" s="256" t="str">
        <f>IFERROR(Table7[[#This Row],[No. of Valid  Internal Testing Defects]]/Table7[[#This Row],[No. of Testcases Executed]],"")</f>
        <v/>
      </c>
      <c r="AJ52" s="259" t="str">
        <f>IFERROR(IFERROR(Table7[[#This Row],[No. of Testcases Created]]/Table7[[#This Row],[Effort for Testcase Creation]],"")*9,"")</f>
        <v/>
      </c>
      <c r="AK52" s="256" t="str">
        <f>IFERROR((Table7[[#This Row],[No. of Testcases Executed]]/Table7[[#This Row],[Effort for Testcase Execution]])*9,"")</f>
        <v/>
      </c>
      <c r="AL5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 s="259" t="str">
        <f>IFERROR(Table7[[#This Row],[No. of Defects Validated]]/SUMIFS(Table3[Hours Worked],Table3[Release Name],Table7[[#This Row],[Release Name]],Table3[Task Type],"Defect Validation")*9,"")</f>
        <v/>
      </c>
      <c r="AN52" s="258" t="str">
        <f>IFERROR((Table7[[#This Row],[No. of Valid  Internal Testing Defects]])/(Table7[[#This Row],[No. of Valid  Internal Testing Defects]]+Table7[[#This Row],[No. of Invalid Internal Testing Defects]]),"")</f>
        <v/>
      </c>
      <c r="AO52" s="258" t="str">
        <f>IFERROR(Table7[[#This Row],[No. of Valid External Testing Defects]]/(Table7[[#This Row],[No. of Valid External Testing Defects]]+Table7[[#This Row],[No. of Valid  Internal Testing Defects]]),"")</f>
        <v/>
      </c>
    </row>
    <row r="53" spans="2:41">
      <c r="B53" s="225"/>
      <c r="C53" s="14"/>
      <c r="D53" s="14"/>
      <c r="E53" s="14"/>
      <c r="F53" s="230" t="str">
        <f>IFERROR((Table47[[#This Row],[Initial No. of Requirements]]+Table47[[#This Row],[Modified Requirements( Added / Deleted /Modified)]])/Table47[[#This Row],[Initial No. of Requirements]],"")</f>
        <v/>
      </c>
      <c r="G53"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 s="247"/>
      <c r="J53" s="247"/>
      <c r="K53" s="14"/>
      <c r="L53" s="14"/>
      <c r="M53" s="14"/>
      <c r="N53" s="248"/>
      <c r="O53" s="248"/>
      <c r="P53" s="248"/>
      <c r="Q53" s="248"/>
      <c r="R53" s="248"/>
      <c r="S53" s="248"/>
      <c r="T53" s="248"/>
      <c r="U53" s="248"/>
      <c r="V53" s="248"/>
      <c r="W53" s="248"/>
      <c r="X53" s="248"/>
      <c r="Y53" s="248"/>
      <c r="Z53" s="248"/>
      <c r="AA53" s="248"/>
      <c r="AB53" s="13">
        <f>SUMIFS(Table3[Hours Worked],Table3[Release Name],Table7[[#This Row],[Release Name]],Table3[Task Type],"Testcase Creation")</f>
        <v>0</v>
      </c>
      <c r="AC53" s="255">
        <f>SUMIFS(Table3[Hours Worked],Table3[Release Name],Table7[[#This Row],[Release Name]],Table3[Task Type],"Testcase Execution")</f>
        <v>0</v>
      </c>
      <c r="AD5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 s="256" t="str">
        <f>IFERROR((Table7[[#This Row],[No. of Valid Internal Review Defects]]+Table7[[#This Row],[No. of Valid  Internal Testing Defects]]+Table7[[#This Row],[No. of  Valid External Review Defects]]+Table7[[#This Row],[No. of Valid External Testing Defects]])/Table7[[#This Row],[Size]],"")</f>
        <v/>
      </c>
      <c r="AF53" s="257" t="str">
        <f>IFERROR(Table7[[#This Row],[No. of Valid Internal Review Defects]]/(Table7[[#This Row],[No. of Valid Internal Review Defects]]+Table7[[#This Row],[No. of  Valid External Review Defects]]+Table7[[#This Row],[No. of Valid  Internal Testing Defects]]+Table7[[#This Row],[No. of Valid External Testing Defects]]),"")</f>
        <v/>
      </c>
      <c r="AG53" s="258" t="str">
        <f>IFERROR(Table7[[#This Row],[No. of Valid Internal Review Defects]]/(Table7[[#This Row],[No. of Valid Internal Review Defects]]+Table7[[#This Row],[No. of  Valid External Review Defects]]+Table7[[#This Row],[No. of Valid External Testing Defects]]),"")</f>
        <v/>
      </c>
      <c r="AH53" s="256" t="str">
        <f>IFERROR(Table7[[#This Row],[No. of Valid  Internal Testing Defects]]/Table7[[#This Row],[Overall Actual Effort for the release]],"")</f>
        <v/>
      </c>
      <c r="AI53" s="256" t="str">
        <f>IFERROR(Table7[[#This Row],[No. of Valid  Internal Testing Defects]]/Table7[[#This Row],[No. of Testcases Executed]],"")</f>
        <v/>
      </c>
      <c r="AJ53" s="259" t="str">
        <f>IFERROR(IFERROR(Table7[[#This Row],[No. of Testcases Created]]/Table7[[#This Row],[Effort for Testcase Creation]],"")*9,"")</f>
        <v/>
      </c>
      <c r="AK53" s="256" t="str">
        <f>IFERROR((Table7[[#This Row],[No. of Testcases Executed]]/Table7[[#This Row],[Effort for Testcase Execution]])*9,"")</f>
        <v/>
      </c>
      <c r="AL5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 s="259" t="str">
        <f>IFERROR(Table7[[#This Row],[No. of Defects Validated]]/SUMIFS(Table3[Hours Worked],Table3[Release Name],Table7[[#This Row],[Release Name]],Table3[Task Type],"Defect Validation")*9,"")</f>
        <v/>
      </c>
      <c r="AN53" s="258" t="str">
        <f>IFERROR((Table7[[#This Row],[No. of Valid  Internal Testing Defects]])/(Table7[[#This Row],[No. of Valid  Internal Testing Defects]]+Table7[[#This Row],[No. of Invalid Internal Testing Defects]]),"")</f>
        <v/>
      </c>
      <c r="AO53" s="258" t="str">
        <f>IFERROR(Table7[[#This Row],[No. of Valid External Testing Defects]]/(Table7[[#This Row],[No. of Valid External Testing Defects]]+Table7[[#This Row],[No. of Valid  Internal Testing Defects]]),"")</f>
        <v/>
      </c>
    </row>
    <row r="54" spans="2:41">
      <c r="B54" s="225"/>
      <c r="C54" s="14"/>
      <c r="D54" s="14"/>
      <c r="E54" s="14"/>
      <c r="F54" s="230" t="str">
        <f>IFERROR((Table47[[#This Row],[Initial No. of Requirements]]+Table47[[#This Row],[Modified Requirements( Added / Deleted /Modified)]])/Table47[[#This Row],[Initial No. of Requirements]],"")</f>
        <v/>
      </c>
      <c r="G54"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 s="247"/>
      <c r="J54" s="247"/>
      <c r="K54" s="14"/>
      <c r="L54" s="14"/>
      <c r="M54" s="14"/>
      <c r="N54" s="248"/>
      <c r="O54" s="248"/>
      <c r="P54" s="248"/>
      <c r="Q54" s="248"/>
      <c r="R54" s="248"/>
      <c r="S54" s="248"/>
      <c r="T54" s="248"/>
      <c r="U54" s="248"/>
      <c r="V54" s="248"/>
      <c r="W54" s="248"/>
      <c r="X54" s="248"/>
      <c r="Y54" s="248"/>
      <c r="Z54" s="248"/>
      <c r="AA54" s="248"/>
      <c r="AB54" s="13">
        <f>SUMIFS(Table3[Hours Worked],Table3[Release Name],Table7[[#This Row],[Release Name]],Table3[Task Type],"Testcase Creation")</f>
        <v>0</v>
      </c>
      <c r="AC54" s="255">
        <f>SUMIFS(Table3[Hours Worked],Table3[Release Name],Table7[[#This Row],[Release Name]],Table3[Task Type],"Testcase Execution")</f>
        <v>0</v>
      </c>
      <c r="AD5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 s="256" t="str">
        <f>IFERROR((Table7[[#This Row],[No. of Valid Internal Review Defects]]+Table7[[#This Row],[No. of Valid  Internal Testing Defects]]+Table7[[#This Row],[No. of  Valid External Review Defects]]+Table7[[#This Row],[No. of Valid External Testing Defects]])/Table7[[#This Row],[Size]],"")</f>
        <v/>
      </c>
      <c r="AF54" s="257" t="str">
        <f>IFERROR(Table7[[#This Row],[No. of Valid Internal Review Defects]]/(Table7[[#This Row],[No. of Valid Internal Review Defects]]+Table7[[#This Row],[No. of  Valid External Review Defects]]+Table7[[#This Row],[No. of Valid  Internal Testing Defects]]+Table7[[#This Row],[No. of Valid External Testing Defects]]),"")</f>
        <v/>
      </c>
      <c r="AG54" s="258" t="str">
        <f>IFERROR(Table7[[#This Row],[No. of Valid Internal Review Defects]]/(Table7[[#This Row],[No. of Valid Internal Review Defects]]+Table7[[#This Row],[No. of  Valid External Review Defects]]+Table7[[#This Row],[No. of Valid External Testing Defects]]),"")</f>
        <v/>
      </c>
      <c r="AH54" s="256" t="str">
        <f>IFERROR(Table7[[#This Row],[No. of Valid  Internal Testing Defects]]/Table7[[#This Row],[Overall Actual Effort for the release]],"")</f>
        <v/>
      </c>
      <c r="AI54" s="256" t="str">
        <f>IFERROR(Table7[[#This Row],[No. of Valid  Internal Testing Defects]]/Table7[[#This Row],[No. of Testcases Executed]],"")</f>
        <v/>
      </c>
      <c r="AJ54" s="259" t="str">
        <f>IFERROR(IFERROR(Table7[[#This Row],[No. of Testcases Created]]/Table7[[#This Row],[Effort for Testcase Creation]],"")*9,"")</f>
        <v/>
      </c>
      <c r="AK54" s="256" t="str">
        <f>IFERROR((Table7[[#This Row],[No. of Testcases Executed]]/Table7[[#This Row],[Effort for Testcase Execution]])*9,"")</f>
        <v/>
      </c>
      <c r="AL5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 s="259" t="str">
        <f>IFERROR(Table7[[#This Row],[No. of Defects Validated]]/SUMIFS(Table3[Hours Worked],Table3[Release Name],Table7[[#This Row],[Release Name]],Table3[Task Type],"Defect Validation")*9,"")</f>
        <v/>
      </c>
      <c r="AN54" s="258" t="str">
        <f>IFERROR((Table7[[#This Row],[No. of Valid  Internal Testing Defects]])/(Table7[[#This Row],[No. of Valid  Internal Testing Defects]]+Table7[[#This Row],[No. of Invalid Internal Testing Defects]]),"")</f>
        <v/>
      </c>
      <c r="AO54" s="258" t="str">
        <f>IFERROR(Table7[[#This Row],[No. of Valid External Testing Defects]]/(Table7[[#This Row],[No. of Valid External Testing Defects]]+Table7[[#This Row],[No. of Valid  Internal Testing Defects]]),"")</f>
        <v/>
      </c>
    </row>
    <row r="55" spans="2:41">
      <c r="B55" s="225"/>
      <c r="C55" s="14"/>
      <c r="D55" s="14"/>
      <c r="E55" s="14"/>
      <c r="F55" s="230" t="str">
        <f>IFERROR((Table47[[#This Row],[Initial No. of Requirements]]+Table47[[#This Row],[Modified Requirements( Added / Deleted /Modified)]])/Table47[[#This Row],[Initial No. of Requirements]],"")</f>
        <v/>
      </c>
      <c r="G55"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 s="247"/>
      <c r="J55" s="247"/>
      <c r="K55" s="14"/>
      <c r="L55" s="14"/>
      <c r="M55" s="14"/>
      <c r="N55" s="248"/>
      <c r="O55" s="248"/>
      <c r="P55" s="248"/>
      <c r="Q55" s="248"/>
      <c r="R55" s="248"/>
      <c r="S55" s="248"/>
      <c r="T55" s="248"/>
      <c r="U55" s="248"/>
      <c r="V55" s="248"/>
      <c r="W55" s="248"/>
      <c r="X55" s="248"/>
      <c r="Y55" s="248"/>
      <c r="Z55" s="248"/>
      <c r="AA55" s="248"/>
      <c r="AB55" s="13">
        <f>SUMIFS(Table3[Hours Worked],Table3[Release Name],Table7[[#This Row],[Release Name]],Table3[Task Type],"Testcase Creation")</f>
        <v>0</v>
      </c>
      <c r="AC55" s="255">
        <f>SUMIFS(Table3[Hours Worked],Table3[Release Name],Table7[[#This Row],[Release Name]],Table3[Task Type],"Testcase Execution")</f>
        <v>0</v>
      </c>
      <c r="AD5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 s="256" t="str">
        <f>IFERROR((Table7[[#This Row],[No. of Valid Internal Review Defects]]+Table7[[#This Row],[No. of Valid  Internal Testing Defects]]+Table7[[#This Row],[No. of  Valid External Review Defects]]+Table7[[#This Row],[No. of Valid External Testing Defects]])/Table7[[#This Row],[Size]],"")</f>
        <v/>
      </c>
      <c r="AF55" s="257" t="str">
        <f>IFERROR(Table7[[#This Row],[No. of Valid Internal Review Defects]]/(Table7[[#This Row],[No. of Valid Internal Review Defects]]+Table7[[#This Row],[No. of  Valid External Review Defects]]+Table7[[#This Row],[No. of Valid  Internal Testing Defects]]+Table7[[#This Row],[No. of Valid External Testing Defects]]),"")</f>
        <v/>
      </c>
      <c r="AG55" s="258" t="str">
        <f>IFERROR(Table7[[#This Row],[No. of Valid Internal Review Defects]]/(Table7[[#This Row],[No. of Valid Internal Review Defects]]+Table7[[#This Row],[No. of  Valid External Review Defects]]+Table7[[#This Row],[No. of Valid External Testing Defects]]),"")</f>
        <v/>
      </c>
      <c r="AH55" s="256" t="str">
        <f>IFERROR(Table7[[#This Row],[No. of Valid  Internal Testing Defects]]/Table7[[#This Row],[Overall Actual Effort for the release]],"")</f>
        <v/>
      </c>
      <c r="AI55" s="256" t="str">
        <f>IFERROR(Table7[[#This Row],[No. of Valid  Internal Testing Defects]]/Table7[[#This Row],[No. of Testcases Executed]],"")</f>
        <v/>
      </c>
      <c r="AJ55" s="259" t="str">
        <f>IFERROR(IFERROR(Table7[[#This Row],[No. of Testcases Created]]/Table7[[#This Row],[Effort for Testcase Creation]],"")*9,"")</f>
        <v/>
      </c>
      <c r="AK55" s="256" t="str">
        <f>IFERROR((Table7[[#This Row],[No. of Testcases Executed]]/Table7[[#This Row],[Effort for Testcase Execution]])*9,"")</f>
        <v/>
      </c>
      <c r="AL5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 s="259" t="str">
        <f>IFERROR(Table7[[#This Row],[No. of Defects Validated]]/SUMIFS(Table3[Hours Worked],Table3[Release Name],Table7[[#This Row],[Release Name]],Table3[Task Type],"Defect Validation")*9,"")</f>
        <v/>
      </c>
      <c r="AN55" s="258" t="str">
        <f>IFERROR((Table7[[#This Row],[No. of Valid  Internal Testing Defects]])/(Table7[[#This Row],[No. of Valid  Internal Testing Defects]]+Table7[[#This Row],[No. of Invalid Internal Testing Defects]]),"")</f>
        <v/>
      </c>
      <c r="AO55" s="258" t="str">
        <f>IFERROR(Table7[[#This Row],[No. of Valid External Testing Defects]]/(Table7[[#This Row],[No. of Valid External Testing Defects]]+Table7[[#This Row],[No. of Valid  Internal Testing Defects]]),"")</f>
        <v/>
      </c>
    </row>
    <row r="56" spans="2:41">
      <c r="B56" s="225"/>
      <c r="C56" s="14"/>
      <c r="D56" s="14"/>
      <c r="E56" s="14"/>
      <c r="F56" s="230" t="str">
        <f>IFERROR((Table47[[#This Row],[Initial No. of Requirements]]+Table47[[#This Row],[Modified Requirements( Added / Deleted /Modified)]])/Table47[[#This Row],[Initial No. of Requirements]],"")</f>
        <v/>
      </c>
      <c r="G56"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 s="247"/>
      <c r="J56" s="247"/>
      <c r="K56" s="14"/>
      <c r="L56" s="14"/>
      <c r="M56" s="14"/>
      <c r="N56" s="248"/>
      <c r="O56" s="248"/>
      <c r="P56" s="248"/>
      <c r="Q56" s="248"/>
      <c r="R56" s="248"/>
      <c r="S56" s="248"/>
      <c r="T56" s="248"/>
      <c r="U56" s="248"/>
      <c r="V56" s="248"/>
      <c r="W56" s="248"/>
      <c r="X56" s="248"/>
      <c r="Y56" s="248"/>
      <c r="Z56" s="248"/>
      <c r="AA56" s="248"/>
      <c r="AB56" s="13">
        <f>SUMIFS(Table3[Hours Worked],Table3[Release Name],Table7[[#This Row],[Release Name]],Table3[Task Type],"Testcase Creation")</f>
        <v>0</v>
      </c>
      <c r="AC56" s="255">
        <f>SUMIFS(Table3[Hours Worked],Table3[Release Name],Table7[[#This Row],[Release Name]],Table3[Task Type],"Testcase Execution")</f>
        <v>0</v>
      </c>
      <c r="AD5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 s="256" t="str">
        <f>IFERROR((Table7[[#This Row],[No. of Valid Internal Review Defects]]+Table7[[#This Row],[No. of Valid  Internal Testing Defects]]+Table7[[#This Row],[No. of  Valid External Review Defects]]+Table7[[#This Row],[No. of Valid External Testing Defects]])/Table7[[#This Row],[Size]],"")</f>
        <v/>
      </c>
      <c r="AF56" s="257" t="str">
        <f>IFERROR(Table7[[#This Row],[No. of Valid Internal Review Defects]]/(Table7[[#This Row],[No. of Valid Internal Review Defects]]+Table7[[#This Row],[No. of  Valid External Review Defects]]+Table7[[#This Row],[No. of Valid  Internal Testing Defects]]+Table7[[#This Row],[No. of Valid External Testing Defects]]),"")</f>
        <v/>
      </c>
      <c r="AG56" s="258" t="str">
        <f>IFERROR(Table7[[#This Row],[No. of Valid Internal Review Defects]]/(Table7[[#This Row],[No. of Valid Internal Review Defects]]+Table7[[#This Row],[No. of  Valid External Review Defects]]+Table7[[#This Row],[No. of Valid External Testing Defects]]),"")</f>
        <v/>
      </c>
      <c r="AH56" s="256" t="str">
        <f>IFERROR(Table7[[#This Row],[No. of Valid  Internal Testing Defects]]/Table7[[#This Row],[Overall Actual Effort for the release]],"")</f>
        <v/>
      </c>
      <c r="AI56" s="256" t="str">
        <f>IFERROR(Table7[[#This Row],[No. of Valid  Internal Testing Defects]]/Table7[[#This Row],[No. of Testcases Executed]],"")</f>
        <v/>
      </c>
      <c r="AJ56" s="259" t="str">
        <f>IFERROR(IFERROR(Table7[[#This Row],[No. of Testcases Created]]/Table7[[#This Row],[Effort for Testcase Creation]],"")*9,"")</f>
        <v/>
      </c>
      <c r="AK56" s="256" t="str">
        <f>IFERROR((Table7[[#This Row],[No. of Testcases Executed]]/Table7[[#This Row],[Effort for Testcase Execution]])*9,"")</f>
        <v/>
      </c>
      <c r="AL5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 s="259" t="str">
        <f>IFERROR(Table7[[#This Row],[No. of Defects Validated]]/SUMIFS(Table3[Hours Worked],Table3[Release Name],Table7[[#This Row],[Release Name]],Table3[Task Type],"Defect Validation")*9,"")</f>
        <v/>
      </c>
      <c r="AN56" s="258" t="str">
        <f>IFERROR((Table7[[#This Row],[No. of Valid  Internal Testing Defects]])/(Table7[[#This Row],[No. of Valid  Internal Testing Defects]]+Table7[[#This Row],[No. of Invalid Internal Testing Defects]]),"")</f>
        <v/>
      </c>
      <c r="AO56" s="258" t="str">
        <f>IFERROR(Table7[[#This Row],[No. of Valid External Testing Defects]]/(Table7[[#This Row],[No. of Valid External Testing Defects]]+Table7[[#This Row],[No. of Valid  Internal Testing Defects]]),"")</f>
        <v/>
      </c>
    </row>
    <row r="57" spans="2:41">
      <c r="B57" s="225"/>
      <c r="C57" s="14"/>
      <c r="D57" s="14"/>
      <c r="E57" s="14"/>
      <c r="F57" s="230" t="str">
        <f>IFERROR((Table47[[#This Row],[Initial No. of Requirements]]+Table47[[#This Row],[Modified Requirements( Added / Deleted /Modified)]])/Table47[[#This Row],[Initial No. of Requirements]],"")</f>
        <v/>
      </c>
      <c r="G57"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 s="247"/>
      <c r="J57" s="247"/>
      <c r="K57" s="14"/>
      <c r="L57" s="14"/>
      <c r="M57" s="14"/>
      <c r="N57" s="248"/>
      <c r="O57" s="248"/>
      <c r="P57" s="248"/>
      <c r="Q57" s="248"/>
      <c r="R57" s="248"/>
      <c r="S57" s="248"/>
      <c r="T57" s="248"/>
      <c r="U57" s="248"/>
      <c r="V57" s="248"/>
      <c r="W57" s="248"/>
      <c r="X57" s="248"/>
      <c r="Y57" s="248"/>
      <c r="Z57" s="248"/>
      <c r="AA57" s="248"/>
      <c r="AB57" s="13">
        <f>SUMIFS(Table3[Hours Worked],Table3[Release Name],Table7[[#This Row],[Release Name]],Table3[Task Type],"Testcase Creation")</f>
        <v>0</v>
      </c>
      <c r="AC57" s="255">
        <f>SUMIFS(Table3[Hours Worked],Table3[Release Name],Table7[[#This Row],[Release Name]],Table3[Task Type],"Testcase Execution")</f>
        <v>0</v>
      </c>
      <c r="AD5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 s="256" t="str">
        <f>IFERROR((Table7[[#This Row],[No. of Valid Internal Review Defects]]+Table7[[#This Row],[No. of Valid  Internal Testing Defects]]+Table7[[#This Row],[No. of  Valid External Review Defects]]+Table7[[#This Row],[No. of Valid External Testing Defects]])/Table7[[#This Row],[Size]],"")</f>
        <v/>
      </c>
      <c r="AF57" s="257" t="str">
        <f>IFERROR(Table7[[#This Row],[No. of Valid Internal Review Defects]]/(Table7[[#This Row],[No. of Valid Internal Review Defects]]+Table7[[#This Row],[No. of  Valid External Review Defects]]+Table7[[#This Row],[No. of Valid  Internal Testing Defects]]+Table7[[#This Row],[No. of Valid External Testing Defects]]),"")</f>
        <v/>
      </c>
      <c r="AG57" s="258" t="str">
        <f>IFERROR(Table7[[#This Row],[No. of Valid Internal Review Defects]]/(Table7[[#This Row],[No. of Valid Internal Review Defects]]+Table7[[#This Row],[No. of  Valid External Review Defects]]+Table7[[#This Row],[No. of Valid External Testing Defects]]),"")</f>
        <v/>
      </c>
      <c r="AH57" s="256" t="str">
        <f>IFERROR(Table7[[#This Row],[No. of Valid  Internal Testing Defects]]/Table7[[#This Row],[Overall Actual Effort for the release]],"")</f>
        <v/>
      </c>
      <c r="AI57" s="256" t="str">
        <f>IFERROR(Table7[[#This Row],[No. of Valid  Internal Testing Defects]]/Table7[[#This Row],[No. of Testcases Executed]],"")</f>
        <v/>
      </c>
      <c r="AJ57" s="259" t="str">
        <f>IFERROR(IFERROR(Table7[[#This Row],[No. of Testcases Created]]/Table7[[#This Row],[Effort for Testcase Creation]],"")*9,"")</f>
        <v/>
      </c>
      <c r="AK57" s="256" t="str">
        <f>IFERROR((Table7[[#This Row],[No. of Testcases Executed]]/Table7[[#This Row],[Effort for Testcase Execution]])*9,"")</f>
        <v/>
      </c>
      <c r="AL5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 s="259" t="str">
        <f>IFERROR(Table7[[#This Row],[No. of Defects Validated]]/SUMIFS(Table3[Hours Worked],Table3[Release Name],Table7[[#This Row],[Release Name]],Table3[Task Type],"Defect Validation")*9,"")</f>
        <v/>
      </c>
      <c r="AN57" s="258" t="str">
        <f>IFERROR((Table7[[#This Row],[No. of Valid  Internal Testing Defects]])/(Table7[[#This Row],[No. of Valid  Internal Testing Defects]]+Table7[[#This Row],[No. of Invalid Internal Testing Defects]]),"")</f>
        <v/>
      </c>
      <c r="AO57" s="258" t="str">
        <f>IFERROR(Table7[[#This Row],[No. of Valid External Testing Defects]]/(Table7[[#This Row],[No. of Valid External Testing Defects]]+Table7[[#This Row],[No. of Valid  Internal Testing Defects]]),"")</f>
        <v/>
      </c>
    </row>
    <row r="58" spans="2:41">
      <c r="B58" s="225"/>
      <c r="C58" s="14"/>
      <c r="D58" s="14"/>
      <c r="E58" s="14"/>
      <c r="F58" s="230" t="str">
        <f>IFERROR((Table47[[#This Row],[Initial No. of Requirements]]+Table47[[#This Row],[Modified Requirements( Added / Deleted /Modified)]])/Table47[[#This Row],[Initial No. of Requirements]],"")</f>
        <v/>
      </c>
      <c r="G58" s="230"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 s="247"/>
      <c r="J58" s="247"/>
      <c r="K58" s="14"/>
      <c r="L58" s="14"/>
      <c r="M58" s="14"/>
      <c r="N58" s="248"/>
      <c r="O58" s="248"/>
      <c r="P58" s="248"/>
      <c r="Q58" s="248"/>
      <c r="R58" s="248"/>
      <c r="S58" s="248"/>
      <c r="T58" s="248"/>
      <c r="U58" s="248"/>
      <c r="V58" s="248"/>
      <c r="W58" s="248"/>
      <c r="X58" s="248"/>
      <c r="Y58" s="248"/>
      <c r="Z58" s="248"/>
      <c r="AA58" s="248"/>
      <c r="AB58" s="13">
        <f>SUMIFS(Table3[Hours Worked],Table3[Release Name],Table7[[#This Row],[Release Name]],Table3[Task Type],"Testcase Creation")</f>
        <v>0</v>
      </c>
      <c r="AC58" s="255">
        <f>SUMIFS(Table3[Hours Worked],Table3[Release Name],Table7[[#This Row],[Release Name]],Table3[Task Type],"Testcase Execution")</f>
        <v>0</v>
      </c>
      <c r="AD5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 s="256" t="str">
        <f>IFERROR((Table7[[#This Row],[No. of Valid Internal Review Defects]]+Table7[[#This Row],[No. of Valid  Internal Testing Defects]]+Table7[[#This Row],[No. of  Valid External Review Defects]]+Table7[[#This Row],[No. of Valid External Testing Defects]])/Table7[[#This Row],[Size]],"")</f>
        <v/>
      </c>
      <c r="AF58" s="257" t="str">
        <f>IFERROR(Table7[[#This Row],[No. of Valid Internal Review Defects]]/(Table7[[#This Row],[No. of Valid Internal Review Defects]]+Table7[[#This Row],[No. of  Valid External Review Defects]]+Table7[[#This Row],[No. of Valid  Internal Testing Defects]]+Table7[[#This Row],[No. of Valid External Testing Defects]]),"")</f>
        <v/>
      </c>
      <c r="AG58" s="258" t="str">
        <f>IFERROR(Table7[[#This Row],[No. of Valid Internal Review Defects]]/(Table7[[#This Row],[No. of Valid Internal Review Defects]]+Table7[[#This Row],[No. of  Valid External Review Defects]]+Table7[[#This Row],[No. of Valid External Testing Defects]]),"")</f>
        <v/>
      </c>
      <c r="AH58" s="256" t="str">
        <f>IFERROR(Table7[[#This Row],[No. of Valid  Internal Testing Defects]]/Table7[[#This Row],[Overall Actual Effort for the release]],"")</f>
        <v/>
      </c>
      <c r="AI58" s="256" t="str">
        <f>IFERROR(Table7[[#This Row],[No. of Valid  Internal Testing Defects]]/Table7[[#This Row],[No. of Testcases Executed]],"")</f>
        <v/>
      </c>
      <c r="AJ58" s="259" t="str">
        <f>IFERROR(IFERROR(Table7[[#This Row],[No. of Testcases Created]]/Table7[[#This Row],[Effort for Testcase Creation]],"")*9,"")</f>
        <v/>
      </c>
      <c r="AK58" s="256" t="str">
        <f>IFERROR((Table7[[#This Row],[No. of Testcases Executed]]/Table7[[#This Row],[Effort for Testcase Execution]])*9,"")</f>
        <v/>
      </c>
      <c r="AL5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 s="259" t="str">
        <f>IFERROR(Table7[[#This Row],[No. of Defects Validated]]/SUMIFS(Table3[Hours Worked],Table3[Release Name],Table7[[#This Row],[Release Name]],Table3[Task Type],"Defect Validation")*9,"")</f>
        <v/>
      </c>
      <c r="AN58" s="258" t="str">
        <f>IFERROR((Table7[[#This Row],[No. of Valid  Internal Testing Defects]])/(Table7[[#This Row],[No. of Valid  Internal Testing Defects]]+Table7[[#This Row],[No. of Invalid Internal Testing Defects]]),"")</f>
        <v/>
      </c>
      <c r="AO58" s="258" t="str">
        <f>IFERROR(Table7[[#This Row],[No. of Valid External Testing Defects]]/(Table7[[#This Row],[No. of Valid External Testing Defects]]+Table7[[#This Row],[No. of Valid  Internal Testing Defects]]),"")</f>
        <v/>
      </c>
    </row>
    <row r="59" spans="2:41">
      <c r="B59" s="225"/>
      <c r="C59" s="14"/>
      <c r="D59" s="14"/>
      <c r="E59" s="14"/>
      <c r="F59" s="230" t="str">
        <f>IFERROR((Table47[[#This Row],[Initial No. of Requirements]]+Table47[[#This Row],[Modified Requirements( Added / Deleted /Modified)]])/Table47[[#This Row],[Initial No. of Requirements]],"")</f>
        <v/>
      </c>
      <c r="G5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 s="249"/>
      <c r="J59" s="249"/>
      <c r="K59" s="250"/>
      <c r="L59" s="250"/>
      <c r="M59" s="250"/>
      <c r="N59" s="248"/>
      <c r="O59" s="248"/>
      <c r="P59" s="248"/>
      <c r="Q59" s="248"/>
      <c r="R59" s="248"/>
      <c r="S59" s="248"/>
      <c r="T59" s="248"/>
      <c r="U59" s="248"/>
      <c r="V59" s="248"/>
      <c r="W59" s="248"/>
      <c r="X59" s="248"/>
      <c r="Y59" s="248"/>
      <c r="Z59" s="248"/>
      <c r="AA59" s="248"/>
      <c r="AB59" s="13">
        <f>SUMIFS(Table3[Hours Worked],Table3[Release Name],Table7[[#This Row],[Release Name]],Table3[Task Type],"Testcase Creation")</f>
        <v>0</v>
      </c>
      <c r="AC59" s="255">
        <f>SUMIFS(Table3[Hours Worked],Table3[Release Name],Table7[[#This Row],[Release Name]],Table3[Task Type],"Testcase Execution")</f>
        <v>0</v>
      </c>
      <c r="AD5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 s="256" t="str">
        <f>IFERROR((Table7[[#This Row],[No. of Valid Internal Review Defects]]+Table7[[#This Row],[No. of Valid  Internal Testing Defects]]+Table7[[#This Row],[No. of  Valid External Review Defects]]+Table7[[#This Row],[No. of Valid External Testing Defects]])/Table7[[#This Row],[Size]],"")</f>
        <v/>
      </c>
      <c r="AF59" s="257" t="str">
        <f>IFERROR(Table7[[#This Row],[No. of Valid Internal Review Defects]]/(Table7[[#This Row],[No. of Valid Internal Review Defects]]+Table7[[#This Row],[No. of  Valid External Review Defects]]+Table7[[#This Row],[No. of Valid  Internal Testing Defects]]+Table7[[#This Row],[No. of Valid External Testing Defects]]),"")</f>
        <v/>
      </c>
      <c r="AG59" s="258" t="str">
        <f>IFERROR(Table7[[#This Row],[No. of Valid Internal Review Defects]]/(Table7[[#This Row],[No. of Valid Internal Review Defects]]+Table7[[#This Row],[No. of  Valid External Review Defects]]+Table7[[#This Row],[No. of Valid External Testing Defects]]),"")</f>
        <v/>
      </c>
      <c r="AH59" s="256" t="str">
        <f>IFERROR(Table7[[#This Row],[No. of Valid  Internal Testing Defects]]/Table7[[#This Row],[Overall Actual Effort for the release]],"")</f>
        <v/>
      </c>
      <c r="AI59" s="256" t="str">
        <f>IFERROR(Table7[[#This Row],[No. of Valid  Internal Testing Defects]]/Table7[[#This Row],[No. of Testcases Executed]],"")</f>
        <v/>
      </c>
      <c r="AJ59" s="259" t="str">
        <f>IFERROR(IFERROR(Table7[[#This Row],[No. of Testcases Created]]/Table7[[#This Row],[Effort for Testcase Creation]],"")*9,"")</f>
        <v/>
      </c>
      <c r="AK59" s="256" t="str">
        <f>IFERROR((Table7[[#This Row],[No. of Testcases Executed]]/Table7[[#This Row],[Effort for Testcase Execution]])*9,"")</f>
        <v/>
      </c>
      <c r="AL5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 s="259" t="str">
        <f>IFERROR(Table7[[#This Row],[No. of Defects Validated]]/SUMIFS(Table3[Hours Worked],Table3[Release Name],Table7[[#This Row],[Release Name]],Table3[Task Type],"Defect Validation")*9,"")</f>
        <v/>
      </c>
      <c r="AN59" s="258" t="str">
        <f>IFERROR((Table7[[#This Row],[No. of Valid  Internal Testing Defects]])/(Table7[[#This Row],[No. of Valid  Internal Testing Defects]]+Table7[[#This Row],[No. of Invalid Internal Testing Defects]]),"")</f>
        <v/>
      </c>
      <c r="AO59" s="258" t="str">
        <f>IFERROR(Table7[[#This Row],[No. of Valid External Testing Defects]]/(Table7[[#This Row],[No. of Valid External Testing Defects]]+Table7[[#This Row],[No. of Valid  Internal Testing Defects]]),"")</f>
        <v/>
      </c>
    </row>
    <row r="60" spans="2:41">
      <c r="B60" s="225"/>
      <c r="C60" s="14"/>
      <c r="D60" s="14"/>
      <c r="E60" s="14"/>
      <c r="F60" s="230" t="str">
        <f>IFERROR((Table47[[#This Row],[Initial No. of Requirements]]+Table47[[#This Row],[Modified Requirements( Added / Deleted /Modified)]])/Table47[[#This Row],[Initial No. of Requirements]],"")</f>
        <v/>
      </c>
      <c r="G6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0" s="249"/>
      <c r="J60" s="249"/>
      <c r="K60" s="250"/>
      <c r="L60" s="250"/>
      <c r="M60" s="250"/>
      <c r="N60" s="248"/>
      <c r="O60" s="248"/>
      <c r="P60" s="248"/>
      <c r="Q60" s="248"/>
      <c r="R60" s="248"/>
      <c r="S60" s="248"/>
      <c r="T60" s="248"/>
      <c r="U60" s="248"/>
      <c r="V60" s="248"/>
      <c r="W60" s="248"/>
      <c r="X60" s="248"/>
      <c r="Y60" s="248"/>
      <c r="Z60" s="248"/>
      <c r="AA60" s="248"/>
      <c r="AB60" s="13">
        <f>SUMIFS(Table3[Hours Worked],Table3[Release Name],Table7[[#This Row],[Release Name]],Table3[Task Type],"Testcase Creation")</f>
        <v>0</v>
      </c>
      <c r="AC60" s="255">
        <f>SUMIFS(Table3[Hours Worked],Table3[Release Name],Table7[[#This Row],[Release Name]],Table3[Task Type],"Testcase Execution")</f>
        <v>0</v>
      </c>
      <c r="AD6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0" s="256" t="str">
        <f>IFERROR((Table7[[#This Row],[No. of Valid Internal Review Defects]]+Table7[[#This Row],[No. of Valid  Internal Testing Defects]]+Table7[[#This Row],[No. of  Valid External Review Defects]]+Table7[[#This Row],[No. of Valid External Testing Defects]])/Table7[[#This Row],[Size]],"")</f>
        <v/>
      </c>
      <c r="AF60" s="257" t="str">
        <f>IFERROR(Table7[[#This Row],[No. of Valid Internal Review Defects]]/(Table7[[#This Row],[No. of Valid Internal Review Defects]]+Table7[[#This Row],[No. of  Valid External Review Defects]]+Table7[[#This Row],[No. of Valid  Internal Testing Defects]]+Table7[[#This Row],[No. of Valid External Testing Defects]]),"")</f>
        <v/>
      </c>
      <c r="AG60" s="258" t="str">
        <f>IFERROR(Table7[[#This Row],[No. of Valid Internal Review Defects]]/(Table7[[#This Row],[No. of Valid Internal Review Defects]]+Table7[[#This Row],[No. of  Valid External Review Defects]]+Table7[[#This Row],[No. of Valid External Testing Defects]]),"")</f>
        <v/>
      </c>
      <c r="AH60" s="256" t="str">
        <f>IFERROR(Table7[[#This Row],[No. of Valid  Internal Testing Defects]]/Table7[[#This Row],[Overall Actual Effort for the release]],"")</f>
        <v/>
      </c>
      <c r="AI60" s="256" t="str">
        <f>IFERROR(Table7[[#This Row],[No. of Valid  Internal Testing Defects]]/Table7[[#This Row],[No. of Testcases Executed]],"")</f>
        <v/>
      </c>
      <c r="AJ60" s="259" t="str">
        <f>IFERROR(IFERROR(Table7[[#This Row],[No. of Testcases Created]]/Table7[[#This Row],[Effort for Testcase Creation]],"")*9,"")</f>
        <v/>
      </c>
      <c r="AK60" s="256" t="str">
        <f>IFERROR((Table7[[#This Row],[No. of Testcases Executed]]/Table7[[#This Row],[Effort for Testcase Execution]])*9,"")</f>
        <v/>
      </c>
      <c r="AL6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0" s="259" t="str">
        <f>IFERROR(Table7[[#This Row],[No. of Defects Validated]]/SUMIFS(Table3[Hours Worked],Table3[Release Name],Table7[[#This Row],[Release Name]],Table3[Task Type],"Defect Validation")*9,"")</f>
        <v/>
      </c>
      <c r="AN60" s="258" t="str">
        <f>IFERROR((Table7[[#This Row],[No. of Valid  Internal Testing Defects]])/(Table7[[#This Row],[No. of Valid  Internal Testing Defects]]+Table7[[#This Row],[No. of Invalid Internal Testing Defects]]),"")</f>
        <v/>
      </c>
      <c r="AO60" s="258" t="str">
        <f>IFERROR(Table7[[#This Row],[No. of Valid External Testing Defects]]/(Table7[[#This Row],[No. of Valid External Testing Defects]]+Table7[[#This Row],[No. of Valid  Internal Testing Defects]]),"")</f>
        <v/>
      </c>
    </row>
    <row r="61" spans="2:41">
      <c r="B61" s="237"/>
      <c r="C61" s="14"/>
      <c r="D61" s="14"/>
      <c r="E61" s="14"/>
      <c r="F61" s="230" t="str">
        <f>IFERROR((Table47[[#This Row],[Initial No. of Requirements]]+Table47[[#This Row],[Modified Requirements( Added / Deleted /Modified)]])/Table47[[#This Row],[Initial No. of Requirements]],"")</f>
        <v/>
      </c>
      <c r="G6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1" s="249"/>
      <c r="J61" s="249"/>
      <c r="K61" s="250"/>
      <c r="L61" s="250"/>
      <c r="M61" s="250"/>
      <c r="N61" s="248"/>
      <c r="O61" s="248"/>
      <c r="P61" s="248"/>
      <c r="Q61" s="248"/>
      <c r="R61" s="248"/>
      <c r="S61" s="248"/>
      <c r="T61" s="248"/>
      <c r="U61" s="248"/>
      <c r="V61" s="248"/>
      <c r="W61" s="248"/>
      <c r="X61" s="248"/>
      <c r="Y61" s="248"/>
      <c r="Z61" s="248"/>
      <c r="AA61" s="248"/>
      <c r="AB61" s="13">
        <f>SUMIFS(Table3[Hours Worked],Table3[Release Name],Table7[[#This Row],[Release Name]],Table3[Task Type],"Testcase Creation")</f>
        <v>0</v>
      </c>
      <c r="AC61" s="255">
        <f>SUMIFS(Table3[Hours Worked],Table3[Release Name],Table7[[#This Row],[Release Name]],Table3[Task Type],"Testcase Execution")</f>
        <v>0</v>
      </c>
      <c r="AD6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1" s="256" t="str">
        <f>IFERROR((Table7[[#This Row],[No. of Valid Internal Review Defects]]+Table7[[#This Row],[No. of Valid  Internal Testing Defects]]+Table7[[#This Row],[No. of  Valid External Review Defects]]+Table7[[#This Row],[No. of Valid External Testing Defects]])/Table7[[#This Row],[Size]],"")</f>
        <v/>
      </c>
      <c r="AF61" s="257" t="str">
        <f>IFERROR(Table7[[#This Row],[No. of Valid Internal Review Defects]]/(Table7[[#This Row],[No. of Valid Internal Review Defects]]+Table7[[#This Row],[No. of  Valid External Review Defects]]+Table7[[#This Row],[No. of Valid  Internal Testing Defects]]+Table7[[#This Row],[No. of Valid External Testing Defects]]),"")</f>
        <v/>
      </c>
      <c r="AG61" s="258" t="str">
        <f>IFERROR(Table7[[#This Row],[No. of Valid Internal Review Defects]]/(Table7[[#This Row],[No. of Valid Internal Review Defects]]+Table7[[#This Row],[No. of  Valid External Review Defects]]+Table7[[#This Row],[No. of Valid External Testing Defects]]),"")</f>
        <v/>
      </c>
      <c r="AH61" s="256" t="str">
        <f>IFERROR(Table7[[#This Row],[No. of Valid  Internal Testing Defects]]/Table7[[#This Row],[Overall Actual Effort for the release]],"")</f>
        <v/>
      </c>
      <c r="AI61" s="256" t="str">
        <f>IFERROR(Table7[[#This Row],[No. of Valid  Internal Testing Defects]]/Table7[[#This Row],[No. of Testcases Executed]],"")</f>
        <v/>
      </c>
      <c r="AJ61" s="259" t="str">
        <f>IFERROR(IFERROR(Table7[[#This Row],[No. of Testcases Created]]/Table7[[#This Row],[Effort for Testcase Creation]],"")*9,"")</f>
        <v/>
      </c>
      <c r="AK61" s="256" t="str">
        <f>IFERROR((Table7[[#This Row],[No. of Testcases Executed]]/Table7[[#This Row],[Effort for Testcase Execution]])*9,"")</f>
        <v/>
      </c>
      <c r="AL6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1" s="259" t="str">
        <f>IFERROR(Table7[[#This Row],[No. of Defects Validated]]/SUMIFS(Table3[Hours Worked],Table3[Release Name],Table7[[#This Row],[Release Name]],Table3[Task Type],"Defect Validation")*9,"")</f>
        <v/>
      </c>
      <c r="AN61" s="258" t="str">
        <f>IFERROR((Table7[[#This Row],[No. of Valid  Internal Testing Defects]])/(Table7[[#This Row],[No. of Valid  Internal Testing Defects]]+Table7[[#This Row],[No. of Invalid Internal Testing Defects]]),"")</f>
        <v/>
      </c>
      <c r="AO61" s="258" t="str">
        <f>IFERROR(Table7[[#This Row],[No. of Valid External Testing Defects]]/(Table7[[#This Row],[No. of Valid External Testing Defects]]+Table7[[#This Row],[No. of Valid  Internal Testing Defects]]),"")</f>
        <v/>
      </c>
    </row>
    <row r="62" spans="2:41">
      <c r="B62" s="237"/>
      <c r="C62" s="14"/>
      <c r="D62" s="14"/>
      <c r="E62" s="14"/>
      <c r="F62" s="230" t="str">
        <f>IFERROR((Table47[[#This Row],[Initial No. of Requirements]]+Table47[[#This Row],[Modified Requirements( Added / Deleted /Modified)]])/Table47[[#This Row],[Initial No. of Requirements]],"")</f>
        <v/>
      </c>
      <c r="G6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2" s="249"/>
      <c r="J62" s="249"/>
      <c r="K62" s="250"/>
      <c r="L62" s="250"/>
      <c r="M62" s="250"/>
      <c r="N62" s="248"/>
      <c r="O62" s="248"/>
      <c r="P62" s="248"/>
      <c r="Q62" s="248"/>
      <c r="R62" s="248"/>
      <c r="S62" s="248"/>
      <c r="T62" s="248"/>
      <c r="U62" s="248"/>
      <c r="V62" s="248"/>
      <c r="W62" s="248"/>
      <c r="X62" s="248"/>
      <c r="Y62" s="248"/>
      <c r="Z62" s="248"/>
      <c r="AA62" s="248"/>
      <c r="AB62" s="13">
        <f>SUMIFS(Table3[Hours Worked],Table3[Release Name],Table7[[#This Row],[Release Name]],Table3[Task Type],"Testcase Creation")</f>
        <v>0</v>
      </c>
      <c r="AC62" s="255">
        <f>SUMIFS(Table3[Hours Worked],Table3[Release Name],Table7[[#This Row],[Release Name]],Table3[Task Type],"Testcase Execution")</f>
        <v>0</v>
      </c>
      <c r="AD6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2" s="256" t="str">
        <f>IFERROR((Table7[[#This Row],[No. of Valid Internal Review Defects]]+Table7[[#This Row],[No. of Valid  Internal Testing Defects]]+Table7[[#This Row],[No. of  Valid External Review Defects]]+Table7[[#This Row],[No. of Valid External Testing Defects]])/Table7[[#This Row],[Size]],"")</f>
        <v/>
      </c>
      <c r="AF62" s="257" t="str">
        <f>IFERROR(Table7[[#This Row],[No. of Valid Internal Review Defects]]/(Table7[[#This Row],[No. of Valid Internal Review Defects]]+Table7[[#This Row],[No. of  Valid External Review Defects]]+Table7[[#This Row],[No. of Valid  Internal Testing Defects]]+Table7[[#This Row],[No. of Valid External Testing Defects]]),"")</f>
        <v/>
      </c>
      <c r="AG62" s="258" t="str">
        <f>IFERROR(Table7[[#This Row],[No. of Valid Internal Review Defects]]/(Table7[[#This Row],[No. of Valid Internal Review Defects]]+Table7[[#This Row],[No. of  Valid External Review Defects]]+Table7[[#This Row],[No. of Valid External Testing Defects]]),"")</f>
        <v/>
      </c>
      <c r="AH62" s="256" t="str">
        <f>IFERROR(Table7[[#This Row],[No. of Valid  Internal Testing Defects]]/Table7[[#This Row],[Overall Actual Effort for the release]],"")</f>
        <v/>
      </c>
      <c r="AI62" s="256" t="str">
        <f>IFERROR(Table7[[#This Row],[No. of Valid  Internal Testing Defects]]/Table7[[#This Row],[No. of Testcases Executed]],"")</f>
        <v/>
      </c>
      <c r="AJ62" s="259" t="str">
        <f>IFERROR(IFERROR(Table7[[#This Row],[No. of Testcases Created]]/Table7[[#This Row],[Effort for Testcase Creation]],"")*9,"")</f>
        <v/>
      </c>
      <c r="AK62" s="256" t="str">
        <f>IFERROR((Table7[[#This Row],[No. of Testcases Executed]]/Table7[[#This Row],[Effort for Testcase Execution]])*9,"")</f>
        <v/>
      </c>
      <c r="AL6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2" s="259" t="str">
        <f>IFERROR(Table7[[#This Row],[No. of Defects Validated]]/SUMIFS(Table3[Hours Worked],Table3[Release Name],Table7[[#This Row],[Release Name]],Table3[Task Type],"Defect Validation")*9,"")</f>
        <v/>
      </c>
      <c r="AN62" s="258" t="str">
        <f>IFERROR((Table7[[#This Row],[No. of Valid  Internal Testing Defects]])/(Table7[[#This Row],[No. of Valid  Internal Testing Defects]]+Table7[[#This Row],[No. of Invalid Internal Testing Defects]]),"")</f>
        <v/>
      </c>
      <c r="AO62" s="258" t="str">
        <f>IFERROR(Table7[[#This Row],[No. of Valid External Testing Defects]]/(Table7[[#This Row],[No. of Valid External Testing Defects]]+Table7[[#This Row],[No. of Valid  Internal Testing Defects]]),"")</f>
        <v/>
      </c>
    </row>
    <row r="63" spans="2:41">
      <c r="B63" s="237"/>
      <c r="C63" s="14"/>
      <c r="D63" s="14"/>
      <c r="E63" s="14"/>
      <c r="F63" s="230" t="str">
        <f>IFERROR((Table47[[#This Row],[Initial No. of Requirements]]+Table47[[#This Row],[Modified Requirements( Added / Deleted /Modified)]])/Table47[[#This Row],[Initial No. of Requirements]],"")</f>
        <v/>
      </c>
      <c r="G6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3" s="249"/>
      <c r="J63" s="249"/>
      <c r="K63" s="250"/>
      <c r="L63" s="250"/>
      <c r="M63" s="250"/>
      <c r="N63" s="248"/>
      <c r="O63" s="248"/>
      <c r="P63" s="248"/>
      <c r="Q63" s="248"/>
      <c r="R63" s="248"/>
      <c r="S63" s="248"/>
      <c r="T63" s="248"/>
      <c r="U63" s="248"/>
      <c r="V63" s="248"/>
      <c r="W63" s="248"/>
      <c r="X63" s="248"/>
      <c r="Y63" s="248"/>
      <c r="Z63" s="248"/>
      <c r="AA63" s="248"/>
      <c r="AB63" s="13">
        <f>SUMIFS(Table3[Hours Worked],Table3[Release Name],Table7[[#This Row],[Release Name]],Table3[Task Type],"Testcase Creation")</f>
        <v>0</v>
      </c>
      <c r="AC63" s="255">
        <f>SUMIFS(Table3[Hours Worked],Table3[Release Name],Table7[[#This Row],[Release Name]],Table3[Task Type],"Testcase Execution")</f>
        <v>0</v>
      </c>
      <c r="AD6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3" s="256" t="str">
        <f>IFERROR((Table7[[#This Row],[No. of Valid Internal Review Defects]]+Table7[[#This Row],[No. of Valid  Internal Testing Defects]]+Table7[[#This Row],[No. of  Valid External Review Defects]]+Table7[[#This Row],[No. of Valid External Testing Defects]])/Table7[[#This Row],[Size]],"")</f>
        <v/>
      </c>
      <c r="AF63" s="257" t="str">
        <f>IFERROR(Table7[[#This Row],[No. of Valid Internal Review Defects]]/(Table7[[#This Row],[No. of Valid Internal Review Defects]]+Table7[[#This Row],[No. of  Valid External Review Defects]]+Table7[[#This Row],[No. of Valid  Internal Testing Defects]]+Table7[[#This Row],[No. of Valid External Testing Defects]]),"")</f>
        <v/>
      </c>
      <c r="AG63" s="258" t="str">
        <f>IFERROR(Table7[[#This Row],[No. of Valid Internal Review Defects]]/(Table7[[#This Row],[No. of Valid Internal Review Defects]]+Table7[[#This Row],[No. of  Valid External Review Defects]]+Table7[[#This Row],[No. of Valid External Testing Defects]]),"")</f>
        <v/>
      </c>
      <c r="AH63" s="256" t="str">
        <f>IFERROR(Table7[[#This Row],[No. of Valid  Internal Testing Defects]]/Table7[[#This Row],[Overall Actual Effort for the release]],"")</f>
        <v/>
      </c>
      <c r="AI63" s="256" t="str">
        <f>IFERROR(Table7[[#This Row],[No. of Valid  Internal Testing Defects]]/Table7[[#This Row],[No. of Testcases Executed]],"")</f>
        <v/>
      </c>
      <c r="AJ63" s="259" t="str">
        <f>IFERROR(IFERROR(Table7[[#This Row],[No. of Testcases Created]]/Table7[[#This Row],[Effort for Testcase Creation]],"")*9,"")</f>
        <v/>
      </c>
      <c r="AK63" s="256" t="str">
        <f>IFERROR((Table7[[#This Row],[No. of Testcases Executed]]/Table7[[#This Row],[Effort for Testcase Execution]])*9,"")</f>
        <v/>
      </c>
      <c r="AL6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3" s="259" t="str">
        <f>IFERROR(Table7[[#This Row],[No. of Defects Validated]]/SUMIFS(Table3[Hours Worked],Table3[Release Name],Table7[[#This Row],[Release Name]],Table3[Task Type],"Defect Validation")*9,"")</f>
        <v/>
      </c>
      <c r="AN63" s="258" t="str">
        <f>IFERROR((Table7[[#This Row],[No. of Valid  Internal Testing Defects]])/(Table7[[#This Row],[No. of Valid  Internal Testing Defects]]+Table7[[#This Row],[No. of Invalid Internal Testing Defects]]),"")</f>
        <v/>
      </c>
      <c r="AO63" s="258" t="str">
        <f>IFERROR(Table7[[#This Row],[No. of Valid External Testing Defects]]/(Table7[[#This Row],[No. of Valid External Testing Defects]]+Table7[[#This Row],[No. of Valid  Internal Testing Defects]]),"")</f>
        <v/>
      </c>
    </row>
    <row r="64" spans="2:41">
      <c r="B64" s="237"/>
      <c r="C64" s="14"/>
      <c r="D64" s="14"/>
      <c r="E64" s="14"/>
      <c r="F64" s="230" t="str">
        <f>IFERROR((Table47[[#This Row],[Initial No. of Requirements]]+Table47[[#This Row],[Modified Requirements( Added / Deleted /Modified)]])/Table47[[#This Row],[Initial No. of Requirements]],"")</f>
        <v/>
      </c>
      <c r="G6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4" s="249"/>
      <c r="J64" s="249"/>
      <c r="K64" s="250"/>
      <c r="L64" s="250"/>
      <c r="M64" s="250"/>
      <c r="N64" s="248"/>
      <c r="O64" s="248"/>
      <c r="P64" s="248"/>
      <c r="Q64" s="248"/>
      <c r="R64" s="248"/>
      <c r="S64" s="248"/>
      <c r="T64" s="248"/>
      <c r="U64" s="248"/>
      <c r="V64" s="248"/>
      <c r="W64" s="248"/>
      <c r="X64" s="248"/>
      <c r="Y64" s="248"/>
      <c r="Z64" s="248"/>
      <c r="AA64" s="248"/>
      <c r="AB64" s="13">
        <f>SUMIFS(Table3[Hours Worked],Table3[Release Name],Table7[[#This Row],[Release Name]],Table3[Task Type],"Testcase Creation")</f>
        <v>0</v>
      </c>
      <c r="AC64" s="255">
        <f>SUMIFS(Table3[Hours Worked],Table3[Release Name],Table7[[#This Row],[Release Name]],Table3[Task Type],"Testcase Execution")</f>
        <v>0</v>
      </c>
      <c r="AD6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4" s="256" t="str">
        <f>IFERROR((Table7[[#This Row],[No. of Valid Internal Review Defects]]+Table7[[#This Row],[No. of Valid  Internal Testing Defects]]+Table7[[#This Row],[No. of  Valid External Review Defects]]+Table7[[#This Row],[No. of Valid External Testing Defects]])/Table7[[#This Row],[Size]],"")</f>
        <v/>
      </c>
      <c r="AF64" s="257" t="str">
        <f>IFERROR(Table7[[#This Row],[No. of Valid Internal Review Defects]]/(Table7[[#This Row],[No. of Valid Internal Review Defects]]+Table7[[#This Row],[No. of  Valid External Review Defects]]+Table7[[#This Row],[No. of Valid  Internal Testing Defects]]+Table7[[#This Row],[No. of Valid External Testing Defects]]),"")</f>
        <v/>
      </c>
      <c r="AG64" s="258" t="str">
        <f>IFERROR(Table7[[#This Row],[No. of Valid Internal Review Defects]]/(Table7[[#This Row],[No. of Valid Internal Review Defects]]+Table7[[#This Row],[No. of  Valid External Review Defects]]+Table7[[#This Row],[No. of Valid External Testing Defects]]),"")</f>
        <v/>
      </c>
      <c r="AH64" s="256" t="str">
        <f>IFERROR(Table7[[#This Row],[No. of Valid  Internal Testing Defects]]/Table7[[#This Row],[Overall Actual Effort for the release]],"")</f>
        <v/>
      </c>
      <c r="AI64" s="256" t="str">
        <f>IFERROR(Table7[[#This Row],[No. of Valid  Internal Testing Defects]]/Table7[[#This Row],[No. of Testcases Executed]],"")</f>
        <v/>
      </c>
      <c r="AJ64" s="259" t="str">
        <f>IFERROR(IFERROR(Table7[[#This Row],[No. of Testcases Created]]/Table7[[#This Row],[Effort for Testcase Creation]],"")*9,"")</f>
        <v/>
      </c>
      <c r="AK64" s="256" t="str">
        <f>IFERROR((Table7[[#This Row],[No. of Testcases Executed]]/Table7[[#This Row],[Effort for Testcase Execution]])*9,"")</f>
        <v/>
      </c>
      <c r="AL6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4" s="259" t="str">
        <f>IFERROR(Table7[[#This Row],[No. of Defects Validated]]/SUMIFS(Table3[Hours Worked],Table3[Release Name],Table7[[#This Row],[Release Name]],Table3[Task Type],"Defect Validation")*9,"")</f>
        <v/>
      </c>
      <c r="AN64" s="258" t="str">
        <f>IFERROR((Table7[[#This Row],[No. of Valid  Internal Testing Defects]])/(Table7[[#This Row],[No. of Valid  Internal Testing Defects]]+Table7[[#This Row],[No. of Invalid Internal Testing Defects]]),"")</f>
        <v/>
      </c>
      <c r="AO64" s="258" t="str">
        <f>IFERROR(Table7[[#This Row],[No. of Valid External Testing Defects]]/(Table7[[#This Row],[No. of Valid External Testing Defects]]+Table7[[#This Row],[No. of Valid  Internal Testing Defects]]),"")</f>
        <v/>
      </c>
    </row>
    <row r="65" spans="2:41">
      <c r="B65" s="237"/>
      <c r="C65" s="14"/>
      <c r="D65" s="14"/>
      <c r="E65" s="14"/>
      <c r="F65" s="230" t="str">
        <f>IFERROR((Table47[[#This Row],[Initial No. of Requirements]]+Table47[[#This Row],[Modified Requirements( Added / Deleted /Modified)]])/Table47[[#This Row],[Initial No. of Requirements]],"")</f>
        <v/>
      </c>
      <c r="G6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5" s="249"/>
      <c r="J65" s="249"/>
      <c r="K65" s="250"/>
      <c r="L65" s="250"/>
      <c r="M65" s="250"/>
      <c r="N65" s="248"/>
      <c r="O65" s="248"/>
      <c r="P65" s="248"/>
      <c r="Q65" s="248"/>
      <c r="R65" s="248"/>
      <c r="S65" s="248"/>
      <c r="T65" s="248"/>
      <c r="U65" s="248"/>
      <c r="V65" s="248"/>
      <c r="W65" s="248"/>
      <c r="X65" s="248"/>
      <c r="Y65" s="248"/>
      <c r="Z65" s="248"/>
      <c r="AA65" s="248"/>
      <c r="AB65" s="13">
        <f>SUMIFS(Table3[Hours Worked],Table3[Release Name],Table7[[#This Row],[Release Name]],Table3[Task Type],"Testcase Creation")</f>
        <v>0</v>
      </c>
      <c r="AC65" s="255">
        <f>SUMIFS(Table3[Hours Worked],Table3[Release Name],Table7[[#This Row],[Release Name]],Table3[Task Type],"Testcase Execution")</f>
        <v>0</v>
      </c>
      <c r="AD6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5" s="256" t="str">
        <f>IFERROR((Table7[[#This Row],[No. of Valid Internal Review Defects]]+Table7[[#This Row],[No. of Valid  Internal Testing Defects]]+Table7[[#This Row],[No. of  Valid External Review Defects]]+Table7[[#This Row],[No. of Valid External Testing Defects]])/Table7[[#This Row],[Size]],"")</f>
        <v/>
      </c>
      <c r="AF65" s="257" t="str">
        <f>IFERROR(Table7[[#This Row],[No. of Valid Internal Review Defects]]/(Table7[[#This Row],[No. of Valid Internal Review Defects]]+Table7[[#This Row],[No. of  Valid External Review Defects]]+Table7[[#This Row],[No. of Valid  Internal Testing Defects]]+Table7[[#This Row],[No. of Valid External Testing Defects]]),"")</f>
        <v/>
      </c>
      <c r="AG65" s="258" t="str">
        <f>IFERROR(Table7[[#This Row],[No. of Valid Internal Review Defects]]/(Table7[[#This Row],[No. of Valid Internal Review Defects]]+Table7[[#This Row],[No. of  Valid External Review Defects]]+Table7[[#This Row],[No. of Valid External Testing Defects]]),"")</f>
        <v/>
      </c>
      <c r="AH65" s="256" t="str">
        <f>IFERROR(Table7[[#This Row],[No. of Valid  Internal Testing Defects]]/Table7[[#This Row],[Overall Actual Effort for the release]],"")</f>
        <v/>
      </c>
      <c r="AI65" s="256" t="str">
        <f>IFERROR(Table7[[#This Row],[No. of Valid  Internal Testing Defects]]/Table7[[#This Row],[No. of Testcases Executed]],"")</f>
        <v/>
      </c>
      <c r="AJ65" s="259" t="str">
        <f>IFERROR(IFERROR(Table7[[#This Row],[No. of Testcases Created]]/Table7[[#This Row],[Effort for Testcase Creation]],"")*9,"")</f>
        <v/>
      </c>
      <c r="AK65" s="256" t="str">
        <f>IFERROR((Table7[[#This Row],[No. of Testcases Executed]]/Table7[[#This Row],[Effort for Testcase Execution]])*9,"")</f>
        <v/>
      </c>
      <c r="AL6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5" s="259" t="str">
        <f>IFERROR(Table7[[#This Row],[No. of Defects Validated]]/SUMIFS(Table3[Hours Worked],Table3[Release Name],Table7[[#This Row],[Release Name]],Table3[Task Type],"Defect Validation")*9,"")</f>
        <v/>
      </c>
      <c r="AN65" s="258" t="str">
        <f>IFERROR((Table7[[#This Row],[No. of Valid  Internal Testing Defects]])/(Table7[[#This Row],[No. of Valid  Internal Testing Defects]]+Table7[[#This Row],[No. of Invalid Internal Testing Defects]]),"")</f>
        <v/>
      </c>
      <c r="AO65" s="258" t="str">
        <f>IFERROR(Table7[[#This Row],[No. of Valid External Testing Defects]]/(Table7[[#This Row],[No. of Valid External Testing Defects]]+Table7[[#This Row],[No. of Valid  Internal Testing Defects]]),"")</f>
        <v/>
      </c>
    </row>
    <row r="66" spans="2:41">
      <c r="B66" s="237"/>
      <c r="C66" s="14"/>
      <c r="D66" s="14"/>
      <c r="E66" s="14"/>
      <c r="F66" s="230" t="str">
        <f>IFERROR((Table47[[#This Row],[Initial No. of Requirements]]+Table47[[#This Row],[Modified Requirements( Added / Deleted /Modified)]])/Table47[[#This Row],[Initial No. of Requirements]],"")</f>
        <v/>
      </c>
      <c r="G6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6" s="249"/>
      <c r="J66" s="249"/>
      <c r="K66" s="250"/>
      <c r="L66" s="250"/>
      <c r="M66" s="250"/>
      <c r="N66" s="248"/>
      <c r="O66" s="248"/>
      <c r="P66" s="248"/>
      <c r="Q66" s="248"/>
      <c r="R66" s="248"/>
      <c r="S66" s="248"/>
      <c r="T66" s="248"/>
      <c r="U66" s="248"/>
      <c r="V66" s="248"/>
      <c r="W66" s="248"/>
      <c r="X66" s="248"/>
      <c r="Y66" s="248"/>
      <c r="Z66" s="248"/>
      <c r="AA66" s="248"/>
      <c r="AB66" s="13">
        <f>SUMIFS(Table3[Hours Worked],Table3[Release Name],Table7[[#This Row],[Release Name]],Table3[Task Type],"Testcase Creation")</f>
        <v>0</v>
      </c>
      <c r="AC66" s="255">
        <f>SUMIFS(Table3[Hours Worked],Table3[Release Name],Table7[[#This Row],[Release Name]],Table3[Task Type],"Testcase Execution")</f>
        <v>0</v>
      </c>
      <c r="AD6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6" s="256" t="str">
        <f>IFERROR((Table7[[#This Row],[No. of Valid Internal Review Defects]]+Table7[[#This Row],[No. of Valid  Internal Testing Defects]]+Table7[[#This Row],[No. of  Valid External Review Defects]]+Table7[[#This Row],[No. of Valid External Testing Defects]])/Table7[[#This Row],[Size]],"")</f>
        <v/>
      </c>
      <c r="AF66" s="257" t="str">
        <f>IFERROR(Table7[[#This Row],[No. of Valid Internal Review Defects]]/(Table7[[#This Row],[No. of Valid Internal Review Defects]]+Table7[[#This Row],[No. of  Valid External Review Defects]]+Table7[[#This Row],[No. of Valid  Internal Testing Defects]]+Table7[[#This Row],[No. of Valid External Testing Defects]]),"")</f>
        <v/>
      </c>
      <c r="AG66" s="258" t="str">
        <f>IFERROR(Table7[[#This Row],[No. of Valid Internal Review Defects]]/(Table7[[#This Row],[No. of Valid Internal Review Defects]]+Table7[[#This Row],[No. of  Valid External Review Defects]]+Table7[[#This Row],[No. of Valid External Testing Defects]]),"")</f>
        <v/>
      </c>
      <c r="AH66" s="256" t="str">
        <f>IFERROR(Table7[[#This Row],[No. of Valid  Internal Testing Defects]]/Table7[[#This Row],[Overall Actual Effort for the release]],"")</f>
        <v/>
      </c>
      <c r="AI66" s="256" t="str">
        <f>IFERROR(Table7[[#This Row],[No. of Valid  Internal Testing Defects]]/Table7[[#This Row],[No. of Testcases Executed]],"")</f>
        <v/>
      </c>
      <c r="AJ66" s="259" t="str">
        <f>IFERROR(IFERROR(Table7[[#This Row],[No. of Testcases Created]]/Table7[[#This Row],[Effort for Testcase Creation]],"")*9,"")</f>
        <v/>
      </c>
      <c r="AK66" s="256" t="str">
        <f>IFERROR((Table7[[#This Row],[No. of Testcases Executed]]/Table7[[#This Row],[Effort for Testcase Execution]])*9,"")</f>
        <v/>
      </c>
      <c r="AL6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6" s="259" t="str">
        <f>IFERROR(Table7[[#This Row],[No. of Defects Validated]]/SUMIFS(Table3[Hours Worked],Table3[Release Name],Table7[[#This Row],[Release Name]],Table3[Task Type],"Defect Validation")*9,"")</f>
        <v/>
      </c>
      <c r="AN66" s="258" t="str">
        <f>IFERROR((Table7[[#This Row],[No. of Valid  Internal Testing Defects]])/(Table7[[#This Row],[No. of Valid  Internal Testing Defects]]+Table7[[#This Row],[No. of Invalid Internal Testing Defects]]),"")</f>
        <v/>
      </c>
      <c r="AO66" s="258" t="str">
        <f>IFERROR(Table7[[#This Row],[No. of Valid External Testing Defects]]/(Table7[[#This Row],[No. of Valid External Testing Defects]]+Table7[[#This Row],[No. of Valid  Internal Testing Defects]]),"")</f>
        <v/>
      </c>
    </row>
    <row r="67" spans="2:41">
      <c r="B67" s="237"/>
      <c r="C67" s="14"/>
      <c r="D67" s="14"/>
      <c r="E67" s="14"/>
      <c r="F67" s="230" t="str">
        <f>IFERROR((Table47[[#This Row],[Initial No. of Requirements]]+Table47[[#This Row],[Modified Requirements( Added / Deleted /Modified)]])/Table47[[#This Row],[Initial No. of Requirements]],"")</f>
        <v/>
      </c>
      <c r="G6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7" s="249"/>
      <c r="J67" s="249"/>
      <c r="K67" s="250"/>
      <c r="L67" s="250"/>
      <c r="M67" s="250"/>
      <c r="N67" s="248"/>
      <c r="O67" s="248"/>
      <c r="P67" s="248"/>
      <c r="Q67" s="248"/>
      <c r="R67" s="248"/>
      <c r="S67" s="248"/>
      <c r="T67" s="248"/>
      <c r="U67" s="248"/>
      <c r="V67" s="248"/>
      <c r="W67" s="248"/>
      <c r="X67" s="248"/>
      <c r="Y67" s="248"/>
      <c r="Z67" s="248"/>
      <c r="AA67" s="248"/>
      <c r="AB67" s="13">
        <f>SUMIFS(Table3[Hours Worked],Table3[Release Name],Table7[[#This Row],[Release Name]],Table3[Task Type],"Testcase Creation")</f>
        <v>0</v>
      </c>
      <c r="AC67" s="255">
        <f>SUMIFS(Table3[Hours Worked],Table3[Release Name],Table7[[#This Row],[Release Name]],Table3[Task Type],"Testcase Execution")</f>
        <v>0</v>
      </c>
      <c r="AD6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7" s="256" t="str">
        <f>IFERROR((Table7[[#This Row],[No. of Valid Internal Review Defects]]+Table7[[#This Row],[No. of Valid  Internal Testing Defects]]+Table7[[#This Row],[No. of  Valid External Review Defects]]+Table7[[#This Row],[No. of Valid External Testing Defects]])/Table7[[#This Row],[Size]],"")</f>
        <v/>
      </c>
      <c r="AF67" s="257" t="str">
        <f>IFERROR(Table7[[#This Row],[No. of Valid Internal Review Defects]]/(Table7[[#This Row],[No. of Valid Internal Review Defects]]+Table7[[#This Row],[No. of  Valid External Review Defects]]+Table7[[#This Row],[No. of Valid  Internal Testing Defects]]+Table7[[#This Row],[No. of Valid External Testing Defects]]),"")</f>
        <v/>
      </c>
      <c r="AG67" s="258" t="str">
        <f>IFERROR(Table7[[#This Row],[No. of Valid Internal Review Defects]]/(Table7[[#This Row],[No. of Valid Internal Review Defects]]+Table7[[#This Row],[No. of  Valid External Review Defects]]+Table7[[#This Row],[No. of Valid External Testing Defects]]),"")</f>
        <v/>
      </c>
      <c r="AH67" s="256" t="str">
        <f>IFERROR(Table7[[#This Row],[No. of Valid  Internal Testing Defects]]/Table7[[#This Row],[Overall Actual Effort for the release]],"")</f>
        <v/>
      </c>
      <c r="AI67" s="256" t="str">
        <f>IFERROR(Table7[[#This Row],[No. of Valid  Internal Testing Defects]]/Table7[[#This Row],[No. of Testcases Executed]],"")</f>
        <v/>
      </c>
      <c r="AJ67" s="259" t="str">
        <f>IFERROR(IFERROR(Table7[[#This Row],[No. of Testcases Created]]/Table7[[#This Row],[Effort for Testcase Creation]],"")*9,"")</f>
        <v/>
      </c>
      <c r="AK67" s="256" t="str">
        <f>IFERROR((Table7[[#This Row],[No. of Testcases Executed]]/Table7[[#This Row],[Effort for Testcase Execution]])*9,"")</f>
        <v/>
      </c>
      <c r="AL6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7" s="259" t="str">
        <f>IFERROR(Table7[[#This Row],[No. of Defects Validated]]/SUMIFS(Table3[Hours Worked],Table3[Release Name],Table7[[#This Row],[Release Name]],Table3[Task Type],"Defect Validation")*9,"")</f>
        <v/>
      </c>
      <c r="AN67" s="258" t="str">
        <f>IFERROR((Table7[[#This Row],[No. of Valid  Internal Testing Defects]])/(Table7[[#This Row],[No. of Valid  Internal Testing Defects]]+Table7[[#This Row],[No. of Invalid Internal Testing Defects]]),"")</f>
        <v/>
      </c>
      <c r="AO67" s="258" t="str">
        <f>IFERROR(Table7[[#This Row],[No. of Valid External Testing Defects]]/(Table7[[#This Row],[No. of Valid External Testing Defects]]+Table7[[#This Row],[No. of Valid  Internal Testing Defects]]),"")</f>
        <v/>
      </c>
    </row>
    <row r="68" spans="2:41">
      <c r="B68" s="237"/>
      <c r="C68" s="14"/>
      <c r="D68" s="14"/>
      <c r="E68" s="14"/>
      <c r="F68" s="230" t="str">
        <f>IFERROR((Table47[[#This Row],[Initial No. of Requirements]]+Table47[[#This Row],[Modified Requirements( Added / Deleted /Modified)]])/Table47[[#This Row],[Initial No. of Requirements]],"")</f>
        <v/>
      </c>
      <c r="G6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8" s="249"/>
      <c r="J68" s="249"/>
      <c r="K68" s="250"/>
      <c r="L68" s="250"/>
      <c r="M68" s="250"/>
      <c r="N68" s="248"/>
      <c r="O68" s="248"/>
      <c r="P68" s="248"/>
      <c r="Q68" s="248"/>
      <c r="R68" s="248"/>
      <c r="S68" s="248"/>
      <c r="T68" s="248"/>
      <c r="U68" s="248"/>
      <c r="V68" s="248"/>
      <c r="W68" s="248"/>
      <c r="X68" s="248"/>
      <c r="Y68" s="248"/>
      <c r="Z68" s="248"/>
      <c r="AA68" s="248"/>
      <c r="AB68" s="13">
        <f>SUMIFS(Table3[Hours Worked],Table3[Release Name],Table7[[#This Row],[Release Name]],Table3[Task Type],"Testcase Creation")</f>
        <v>0</v>
      </c>
      <c r="AC68" s="255">
        <f>SUMIFS(Table3[Hours Worked],Table3[Release Name],Table7[[#This Row],[Release Name]],Table3[Task Type],"Testcase Execution")</f>
        <v>0</v>
      </c>
      <c r="AD6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8" s="256" t="str">
        <f>IFERROR((Table7[[#This Row],[No. of Valid Internal Review Defects]]+Table7[[#This Row],[No. of Valid  Internal Testing Defects]]+Table7[[#This Row],[No. of  Valid External Review Defects]]+Table7[[#This Row],[No. of Valid External Testing Defects]])/Table7[[#This Row],[Size]],"")</f>
        <v/>
      </c>
      <c r="AF68" s="257" t="str">
        <f>IFERROR(Table7[[#This Row],[No. of Valid Internal Review Defects]]/(Table7[[#This Row],[No. of Valid Internal Review Defects]]+Table7[[#This Row],[No. of  Valid External Review Defects]]+Table7[[#This Row],[No. of Valid  Internal Testing Defects]]+Table7[[#This Row],[No. of Valid External Testing Defects]]),"")</f>
        <v/>
      </c>
      <c r="AG68" s="258" t="str">
        <f>IFERROR(Table7[[#This Row],[No. of Valid Internal Review Defects]]/(Table7[[#This Row],[No. of Valid Internal Review Defects]]+Table7[[#This Row],[No. of  Valid External Review Defects]]+Table7[[#This Row],[No. of Valid External Testing Defects]]),"")</f>
        <v/>
      </c>
      <c r="AH68" s="256" t="str">
        <f>IFERROR(Table7[[#This Row],[No. of Valid  Internal Testing Defects]]/Table7[[#This Row],[Overall Actual Effort for the release]],"")</f>
        <v/>
      </c>
      <c r="AI68" s="256" t="str">
        <f>IFERROR(Table7[[#This Row],[No. of Valid  Internal Testing Defects]]/Table7[[#This Row],[No. of Testcases Executed]],"")</f>
        <v/>
      </c>
      <c r="AJ68" s="259" t="str">
        <f>IFERROR(IFERROR(Table7[[#This Row],[No. of Testcases Created]]/Table7[[#This Row],[Effort for Testcase Creation]],"")*9,"")</f>
        <v/>
      </c>
      <c r="AK68" s="256" t="str">
        <f>IFERROR((Table7[[#This Row],[No. of Testcases Executed]]/Table7[[#This Row],[Effort for Testcase Execution]])*9,"")</f>
        <v/>
      </c>
      <c r="AL6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8" s="259" t="str">
        <f>IFERROR(Table7[[#This Row],[No. of Defects Validated]]/SUMIFS(Table3[Hours Worked],Table3[Release Name],Table7[[#This Row],[Release Name]],Table3[Task Type],"Defect Validation")*9,"")</f>
        <v/>
      </c>
      <c r="AN68" s="258" t="str">
        <f>IFERROR((Table7[[#This Row],[No. of Valid  Internal Testing Defects]])/(Table7[[#This Row],[No. of Valid  Internal Testing Defects]]+Table7[[#This Row],[No. of Invalid Internal Testing Defects]]),"")</f>
        <v/>
      </c>
      <c r="AO68" s="258" t="str">
        <f>IFERROR(Table7[[#This Row],[No. of Valid External Testing Defects]]/(Table7[[#This Row],[No. of Valid External Testing Defects]]+Table7[[#This Row],[No. of Valid  Internal Testing Defects]]),"")</f>
        <v/>
      </c>
    </row>
    <row r="69" spans="2:41">
      <c r="B69" s="237"/>
      <c r="C69" s="14"/>
      <c r="D69" s="14"/>
      <c r="E69" s="14"/>
      <c r="F69" s="230" t="str">
        <f>IFERROR((Table47[[#This Row],[Initial No. of Requirements]]+Table47[[#This Row],[Modified Requirements( Added / Deleted /Modified)]])/Table47[[#This Row],[Initial No. of Requirements]],"")</f>
        <v/>
      </c>
      <c r="G6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9" s="249"/>
      <c r="J69" s="249"/>
      <c r="K69" s="250"/>
      <c r="L69" s="250"/>
      <c r="M69" s="250"/>
      <c r="N69" s="248"/>
      <c r="O69" s="248"/>
      <c r="P69" s="248"/>
      <c r="Q69" s="248"/>
      <c r="R69" s="248"/>
      <c r="S69" s="248"/>
      <c r="T69" s="248"/>
      <c r="U69" s="248"/>
      <c r="V69" s="248"/>
      <c r="W69" s="248"/>
      <c r="X69" s="248"/>
      <c r="Y69" s="248"/>
      <c r="Z69" s="248"/>
      <c r="AA69" s="248"/>
      <c r="AB69" s="13">
        <f>SUMIFS(Table3[Hours Worked],Table3[Release Name],Table7[[#This Row],[Release Name]],Table3[Task Type],"Testcase Creation")</f>
        <v>0</v>
      </c>
      <c r="AC69" s="255">
        <f>SUMIFS(Table3[Hours Worked],Table3[Release Name],Table7[[#This Row],[Release Name]],Table3[Task Type],"Testcase Execution")</f>
        <v>0</v>
      </c>
      <c r="AD6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9" s="256" t="str">
        <f>IFERROR((Table7[[#This Row],[No. of Valid Internal Review Defects]]+Table7[[#This Row],[No. of Valid  Internal Testing Defects]]+Table7[[#This Row],[No. of  Valid External Review Defects]]+Table7[[#This Row],[No. of Valid External Testing Defects]])/Table7[[#This Row],[Size]],"")</f>
        <v/>
      </c>
      <c r="AF69" s="257" t="str">
        <f>IFERROR(Table7[[#This Row],[No. of Valid Internal Review Defects]]/(Table7[[#This Row],[No. of Valid Internal Review Defects]]+Table7[[#This Row],[No. of  Valid External Review Defects]]+Table7[[#This Row],[No. of Valid  Internal Testing Defects]]+Table7[[#This Row],[No. of Valid External Testing Defects]]),"")</f>
        <v/>
      </c>
      <c r="AG69" s="258" t="str">
        <f>IFERROR(Table7[[#This Row],[No. of Valid Internal Review Defects]]/(Table7[[#This Row],[No. of Valid Internal Review Defects]]+Table7[[#This Row],[No. of  Valid External Review Defects]]+Table7[[#This Row],[No. of Valid External Testing Defects]]),"")</f>
        <v/>
      </c>
      <c r="AH69" s="256" t="str">
        <f>IFERROR(Table7[[#This Row],[No. of Valid  Internal Testing Defects]]/Table7[[#This Row],[Overall Actual Effort for the release]],"")</f>
        <v/>
      </c>
      <c r="AI69" s="256" t="str">
        <f>IFERROR(Table7[[#This Row],[No. of Valid  Internal Testing Defects]]/Table7[[#This Row],[No. of Testcases Executed]],"")</f>
        <v/>
      </c>
      <c r="AJ69" s="259" t="str">
        <f>IFERROR(IFERROR(Table7[[#This Row],[No. of Testcases Created]]/Table7[[#This Row],[Effort for Testcase Creation]],"")*9,"")</f>
        <v/>
      </c>
      <c r="AK69" s="256" t="str">
        <f>IFERROR((Table7[[#This Row],[No. of Testcases Executed]]/Table7[[#This Row],[Effort for Testcase Execution]])*9,"")</f>
        <v/>
      </c>
      <c r="AL6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9" s="259" t="str">
        <f>IFERROR(Table7[[#This Row],[No. of Defects Validated]]/SUMIFS(Table3[Hours Worked],Table3[Release Name],Table7[[#This Row],[Release Name]],Table3[Task Type],"Defect Validation")*9,"")</f>
        <v/>
      </c>
      <c r="AN69" s="258" t="str">
        <f>IFERROR((Table7[[#This Row],[No. of Valid  Internal Testing Defects]])/(Table7[[#This Row],[No. of Valid  Internal Testing Defects]]+Table7[[#This Row],[No. of Invalid Internal Testing Defects]]),"")</f>
        <v/>
      </c>
      <c r="AO69" s="258" t="str">
        <f>IFERROR(Table7[[#This Row],[No. of Valid External Testing Defects]]/(Table7[[#This Row],[No. of Valid External Testing Defects]]+Table7[[#This Row],[No. of Valid  Internal Testing Defects]]),"")</f>
        <v/>
      </c>
    </row>
    <row r="70" spans="2:41">
      <c r="B70" s="237"/>
      <c r="C70" s="14"/>
      <c r="D70" s="14"/>
      <c r="E70" s="14"/>
      <c r="F70" s="230" t="str">
        <f>IFERROR((Table47[[#This Row],[Initial No. of Requirements]]+Table47[[#This Row],[Modified Requirements( Added / Deleted /Modified)]])/Table47[[#This Row],[Initial No. of Requirements]],"")</f>
        <v/>
      </c>
      <c r="G7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0" s="249"/>
      <c r="J70" s="249"/>
      <c r="K70" s="250"/>
      <c r="L70" s="250"/>
      <c r="M70" s="250"/>
      <c r="N70" s="248"/>
      <c r="O70" s="248"/>
      <c r="P70" s="248"/>
      <c r="Q70" s="248"/>
      <c r="R70" s="248"/>
      <c r="S70" s="248"/>
      <c r="T70" s="248"/>
      <c r="U70" s="248"/>
      <c r="V70" s="248"/>
      <c r="W70" s="248"/>
      <c r="X70" s="248"/>
      <c r="Y70" s="248"/>
      <c r="Z70" s="248"/>
      <c r="AA70" s="248"/>
      <c r="AB70" s="13">
        <f>SUMIFS(Table3[Hours Worked],Table3[Release Name],Table7[[#This Row],[Release Name]],Table3[Task Type],"Testcase Creation")</f>
        <v>0</v>
      </c>
      <c r="AC70" s="255">
        <f>SUMIFS(Table3[Hours Worked],Table3[Release Name],Table7[[#This Row],[Release Name]],Table3[Task Type],"Testcase Execution")</f>
        <v>0</v>
      </c>
      <c r="AD7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0" s="256" t="str">
        <f>IFERROR((Table7[[#This Row],[No. of Valid Internal Review Defects]]+Table7[[#This Row],[No. of Valid  Internal Testing Defects]]+Table7[[#This Row],[No. of  Valid External Review Defects]]+Table7[[#This Row],[No. of Valid External Testing Defects]])/Table7[[#This Row],[Size]],"")</f>
        <v/>
      </c>
      <c r="AF70" s="257" t="str">
        <f>IFERROR(Table7[[#This Row],[No. of Valid Internal Review Defects]]/(Table7[[#This Row],[No. of Valid Internal Review Defects]]+Table7[[#This Row],[No. of  Valid External Review Defects]]+Table7[[#This Row],[No. of Valid  Internal Testing Defects]]+Table7[[#This Row],[No. of Valid External Testing Defects]]),"")</f>
        <v/>
      </c>
      <c r="AG70" s="258" t="str">
        <f>IFERROR(Table7[[#This Row],[No. of Valid Internal Review Defects]]/(Table7[[#This Row],[No. of Valid Internal Review Defects]]+Table7[[#This Row],[No. of  Valid External Review Defects]]+Table7[[#This Row],[No. of Valid External Testing Defects]]),"")</f>
        <v/>
      </c>
      <c r="AH70" s="256" t="str">
        <f>IFERROR(Table7[[#This Row],[No. of Valid  Internal Testing Defects]]/Table7[[#This Row],[Overall Actual Effort for the release]],"")</f>
        <v/>
      </c>
      <c r="AI70" s="256" t="str">
        <f>IFERROR(Table7[[#This Row],[No. of Valid  Internal Testing Defects]]/Table7[[#This Row],[No. of Testcases Executed]],"")</f>
        <v/>
      </c>
      <c r="AJ70" s="259" t="str">
        <f>IFERROR(IFERROR(Table7[[#This Row],[No. of Testcases Created]]/Table7[[#This Row],[Effort for Testcase Creation]],"")*9,"")</f>
        <v/>
      </c>
      <c r="AK70" s="256" t="str">
        <f>IFERROR((Table7[[#This Row],[No. of Testcases Executed]]/Table7[[#This Row],[Effort for Testcase Execution]])*9,"")</f>
        <v/>
      </c>
      <c r="AL7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0" s="259" t="str">
        <f>IFERROR(Table7[[#This Row],[No. of Defects Validated]]/SUMIFS(Table3[Hours Worked],Table3[Release Name],Table7[[#This Row],[Release Name]],Table3[Task Type],"Defect Validation")*9,"")</f>
        <v/>
      </c>
      <c r="AN70" s="258" t="str">
        <f>IFERROR((Table7[[#This Row],[No. of Valid  Internal Testing Defects]])/(Table7[[#This Row],[No. of Valid  Internal Testing Defects]]+Table7[[#This Row],[No. of Invalid Internal Testing Defects]]),"")</f>
        <v/>
      </c>
      <c r="AO70" s="258" t="str">
        <f>IFERROR(Table7[[#This Row],[No. of Valid External Testing Defects]]/(Table7[[#This Row],[No. of Valid External Testing Defects]]+Table7[[#This Row],[No. of Valid  Internal Testing Defects]]),"")</f>
        <v/>
      </c>
    </row>
    <row r="71" spans="2:41">
      <c r="B71" s="237"/>
      <c r="C71" s="14"/>
      <c r="D71" s="14"/>
      <c r="E71" s="14"/>
      <c r="F71" s="230" t="str">
        <f>IFERROR((Table47[[#This Row],[Initial No. of Requirements]]+Table47[[#This Row],[Modified Requirements( Added / Deleted /Modified)]])/Table47[[#This Row],[Initial No. of Requirements]],"")</f>
        <v/>
      </c>
      <c r="G7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1" s="249"/>
      <c r="J71" s="249"/>
      <c r="K71" s="250"/>
      <c r="L71" s="250"/>
      <c r="M71" s="250"/>
      <c r="N71" s="248"/>
      <c r="O71" s="248"/>
      <c r="P71" s="248"/>
      <c r="Q71" s="248"/>
      <c r="R71" s="248"/>
      <c r="S71" s="248"/>
      <c r="T71" s="248"/>
      <c r="U71" s="248"/>
      <c r="V71" s="248"/>
      <c r="W71" s="248"/>
      <c r="X71" s="248"/>
      <c r="Y71" s="248"/>
      <c r="Z71" s="248"/>
      <c r="AA71" s="248"/>
      <c r="AB71" s="13">
        <f>SUMIFS(Table3[Hours Worked],Table3[Release Name],Table7[[#This Row],[Release Name]],Table3[Task Type],"Testcase Creation")</f>
        <v>0</v>
      </c>
      <c r="AC71" s="255">
        <f>SUMIFS(Table3[Hours Worked],Table3[Release Name],Table7[[#This Row],[Release Name]],Table3[Task Type],"Testcase Execution")</f>
        <v>0</v>
      </c>
      <c r="AD7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1" s="256" t="str">
        <f>IFERROR((Table7[[#This Row],[No. of Valid Internal Review Defects]]+Table7[[#This Row],[No. of Valid  Internal Testing Defects]]+Table7[[#This Row],[No. of  Valid External Review Defects]]+Table7[[#This Row],[No. of Valid External Testing Defects]])/Table7[[#This Row],[Size]],"")</f>
        <v/>
      </c>
      <c r="AF71" s="257" t="str">
        <f>IFERROR(Table7[[#This Row],[No. of Valid Internal Review Defects]]/(Table7[[#This Row],[No. of Valid Internal Review Defects]]+Table7[[#This Row],[No. of  Valid External Review Defects]]+Table7[[#This Row],[No. of Valid  Internal Testing Defects]]+Table7[[#This Row],[No. of Valid External Testing Defects]]),"")</f>
        <v/>
      </c>
      <c r="AG71" s="258" t="str">
        <f>IFERROR(Table7[[#This Row],[No. of Valid Internal Review Defects]]/(Table7[[#This Row],[No. of Valid Internal Review Defects]]+Table7[[#This Row],[No. of  Valid External Review Defects]]+Table7[[#This Row],[No. of Valid External Testing Defects]]),"")</f>
        <v/>
      </c>
      <c r="AH71" s="256" t="str">
        <f>IFERROR(Table7[[#This Row],[No. of Valid  Internal Testing Defects]]/Table7[[#This Row],[Overall Actual Effort for the release]],"")</f>
        <v/>
      </c>
      <c r="AI71" s="256" t="str">
        <f>IFERROR(Table7[[#This Row],[No. of Valid  Internal Testing Defects]]/Table7[[#This Row],[No. of Testcases Executed]],"")</f>
        <v/>
      </c>
      <c r="AJ71" s="259" t="str">
        <f>IFERROR(IFERROR(Table7[[#This Row],[No. of Testcases Created]]/Table7[[#This Row],[Effort for Testcase Creation]],"")*9,"")</f>
        <v/>
      </c>
      <c r="AK71" s="256" t="str">
        <f>IFERROR((Table7[[#This Row],[No. of Testcases Executed]]/Table7[[#This Row],[Effort for Testcase Execution]])*9,"")</f>
        <v/>
      </c>
      <c r="AL7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1" s="259" t="str">
        <f>IFERROR(Table7[[#This Row],[No. of Defects Validated]]/SUMIFS(Table3[Hours Worked],Table3[Release Name],Table7[[#This Row],[Release Name]],Table3[Task Type],"Defect Validation")*9,"")</f>
        <v/>
      </c>
      <c r="AN71" s="258" t="str">
        <f>IFERROR((Table7[[#This Row],[No. of Valid  Internal Testing Defects]])/(Table7[[#This Row],[No. of Valid  Internal Testing Defects]]+Table7[[#This Row],[No. of Invalid Internal Testing Defects]]),"")</f>
        <v/>
      </c>
      <c r="AO71" s="258" t="str">
        <f>IFERROR(Table7[[#This Row],[No. of Valid External Testing Defects]]/(Table7[[#This Row],[No. of Valid External Testing Defects]]+Table7[[#This Row],[No. of Valid  Internal Testing Defects]]),"")</f>
        <v/>
      </c>
    </row>
    <row r="72" spans="2:41">
      <c r="B72" s="237"/>
      <c r="C72" s="14"/>
      <c r="D72" s="14"/>
      <c r="E72" s="14"/>
      <c r="F72" s="230" t="str">
        <f>IFERROR((Table47[[#This Row],[Initial No. of Requirements]]+Table47[[#This Row],[Modified Requirements( Added / Deleted /Modified)]])/Table47[[#This Row],[Initial No. of Requirements]],"")</f>
        <v/>
      </c>
      <c r="G7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2" s="249"/>
      <c r="J72" s="249"/>
      <c r="K72" s="250"/>
      <c r="L72" s="250"/>
      <c r="M72" s="250"/>
      <c r="N72" s="248"/>
      <c r="O72" s="248"/>
      <c r="P72" s="248"/>
      <c r="Q72" s="248"/>
      <c r="R72" s="248"/>
      <c r="S72" s="248"/>
      <c r="T72" s="248"/>
      <c r="U72" s="248"/>
      <c r="V72" s="248"/>
      <c r="W72" s="248"/>
      <c r="X72" s="248"/>
      <c r="Y72" s="248"/>
      <c r="Z72" s="248"/>
      <c r="AA72" s="248"/>
      <c r="AB72" s="13">
        <f>SUMIFS(Table3[Hours Worked],Table3[Release Name],Table7[[#This Row],[Release Name]],Table3[Task Type],"Testcase Creation")</f>
        <v>0</v>
      </c>
      <c r="AC72" s="255">
        <f>SUMIFS(Table3[Hours Worked],Table3[Release Name],Table7[[#This Row],[Release Name]],Table3[Task Type],"Testcase Execution")</f>
        <v>0</v>
      </c>
      <c r="AD7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2" s="256" t="str">
        <f>IFERROR((Table7[[#This Row],[No. of Valid Internal Review Defects]]+Table7[[#This Row],[No. of Valid  Internal Testing Defects]]+Table7[[#This Row],[No. of  Valid External Review Defects]]+Table7[[#This Row],[No. of Valid External Testing Defects]])/Table7[[#This Row],[Size]],"")</f>
        <v/>
      </c>
      <c r="AF72" s="257" t="str">
        <f>IFERROR(Table7[[#This Row],[No. of Valid Internal Review Defects]]/(Table7[[#This Row],[No. of Valid Internal Review Defects]]+Table7[[#This Row],[No. of  Valid External Review Defects]]+Table7[[#This Row],[No. of Valid  Internal Testing Defects]]+Table7[[#This Row],[No. of Valid External Testing Defects]]),"")</f>
        <v/>
      </c>
      <c r="AG72" s="258" t="str">
        <f>IFERROR(Table7[[#This Row],[No. of Valid Internal Review Defects]]/(Table7[[#This Row],[No. of Valid Internal Review Defects]]+Table7[[#This Row],[No. of  Valid External Review Defects]]+Table7[[#This Row],[No. of Valid External Testing Defects]]),"")</f>
        <v/>
      </c>
      <c r="AH72" s="256" t="str">
        <f>IFERROR(Table7[[#This Row],[No. of Valid  Internal Testing Defects]]/Table7[[#This Row],[Overall Actual Effort for the release]],"")</f>
        <v/>
      </c>
      <c r="AI72" s="256" t="str">
        <f>IFERROR(Table7[[#This Row],[No. of Valid  Internal Testing Defects]]/Table7[[#This Row],[No. of Testcases Executed]],"")</f>
        <v/>
      </c>
      <c r="AJ72" s="259" t="str">
        <f>IFERROR(IFERROR(Table7[[#This Row],[No. of Testcases Created]]/Table7[[#This Row],[Effort for Testcase Creation]],"")*9,"")</f>
        <v/>
      </c>
      <c r="AK72" s="256" t="str">
        <f>IFERROR((Table7[[#This Row],[No. of Testcases Executed]]/Table7[[#This Row],[Effort for Testcase Execution]])*9,"")</f>
        <v/>
      </c>
      <c r="AL7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2" s="259" t="str">
        <f>IFERROR(Table7[[#This Row],[No. of Defects Validated]]/SUMIFS(Table3[Hours Worked],Table3[Release Name],Table7[[#This Row],[Release Name]],Table3[Task Type],"Defect Validation")*9,"")</f>
        <v/>
      </c>
      <c r="AN72" s="258" t="str">
        <f>IFERROR((Table7[[#This Row],[No. of Valid  Internal Testing Defects]])/(Table7[[#This Row],[No. of Valid  Internal Testing Defects]]+Table7[[#This Row],[No. of Invalid Internal Testing Defects]]),"")</f>
        <v/>
      </c>
      <c r="AO72" s="258" t="str">
        <f>IFERROR(Table7[[#This Row],[No. of Valid External Testing Defects]]/(Table7[[#This Row],[No. of Valid External Testing Defects]]+Table7[[#This Row],[No. of Valid  Internal Testing Defects]]),"")</f>
        <v/>
      </c>
    </row>
    <row r="73" spans="2:41">
      <c r="B73" s="237"/>
      <c r="C73" s="14"/>
      <c r="D73" s="14"/>
      <c r="E73" s="14"/>
      <c r="F73" s="230" t="str">
        <f>IFERROR((Table47[[#This Row],[Initial No. of Requirements]]+Table47[[#This Row],[Modified Requirements( Added / Deleted /Modified)]])/Table47[[#This Row],[Initial No. of Requirements]],"")</f>
        <v/>
      </c>
      <c r="G7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3" s="249"/>
      <c r="J73" s="249"/>
      <c r="K73" s="250"/>
      <c r="L73" s="250"/>
      <c r="M73" s="250"/>
      <c r="N73" s="248"/>
      <c r="O73" s="248"/>
      <c r="P73" s="248"/>
      <c r="Q73" s="248"/>
      <c r="R73" s="248"/>
      <c r="S73" s="248"/>
      <c r="T73" s="248"/>
      <c r="U73" s="248"/>
      <c r="V73" s="248"/>
      <c r="W73" s="248"/>
      <c r="X73" s="248"/>
      <c r="Y73" s="248"/>
      <c r="Z73" s="248"/>
      <c r="AA73" s="248"/>
      <c r="AB73" s="13">
        <f>SUMIFS(Table3[Hours Worked],Table3[Release Name],Table7[[#This Row],[Release Name]],Table3[Task Type],"Testcase Creation")</f>
        <v>0</v>
      </c>
      <c r="AC73" s="255">
        <f>SUMIFS(Table3[Hours Worked],Table3[Release Name],Table7[[#This Row],[Release Name]],Table3[Task Type],"Testcase Execution")</f>
        <v>0</v>
      </c>
      <c r="AD7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3" s="256" t="str">
        <f>IFERROR((Table7[[#This Row],[No. of Valid Internal Review Defects]]+Table7[[#This Row],[No. of Valid  Internal Testing Defects]]+Table7[[#This Row],[No. of  Valid External Review Defects]]+Table7[[#This Row],[No. of Valid External Testing Defects]])/Table7[[#This Row],[Size]],"")</f>
        <v/>
      </c>
      <c r="AF73" s="257" t="str">
        <f>IFERROR(Table7[[#This Row],[No. of Valid Internal Review Defects]]/(Table7[[#This Row],[No. of Valid Internal Review Defects]]+Table7[[#This Row],[No. of  Valid External Review Defects]]+Table7[[#This Row],[No. of Valid  Internal Testing Defects]]+Table7[[#This Row],[No. of Valid External Testing Defects]]),"")</f>
        <v/>
      </c>
      <c r="AG73" s="258" t="str">
        <f>IFERROR(Table7[[#This Row],[No. of Valid Internal Review Defects]]/(Table7[[#This Row],[No. of Valid Internal Review Defects]]+Table7[[#This Row],[No. of  Valid External Review Defects]]+Table7[[#This Row],[No. of Valid External Testing Defects]]),"")</f>
        <v/>
      </c>
      <c r="AH73" s="256" t="str">
        <f>IFERROR(Table7[[#This Row],[No. of Valid  Internal Testing Defects]]/Table7[[#This Row],[Overall Actual Effort for the release]],"")</f>
        <v/>
      </c>
      <c r="AI73" s="256" t="str">
        <f>IFERROR(Table7[[#This Row],[No. of Valid  Internal Testing Defects]]/Table7[[#This Row],[No. of Testcases Executed]],"")</f>
        <v/>
      </c>
      <c r="AJ73" s="259" t="str">
        <f>IFERROR(IFERROR(Table7[[#This Row],[No. of Testcases Created]]/Table7[[#This Row],[Effort for Testcase Creation]],"")*9,"")</f>
        <v/>
      </c>
      <c r="AK73" s="256" t="str">
        <f>IFERROR((Table7[[#This Row],[No. of Testcases Executed]]/Table7[[#This Row],[Effort for Testcase Execution]])*9,"")</f>
        <v/>
      </c>
      <c r="AL7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3" s="259" t="str">
        <f>IFERROR(Table7[[#This Row],[No. of Defects Validated]]/SUMIFS(Table3[Hours Worked],Table3[Release Name],Table7[[#This Row],[Release Name]],Table3[Task Type],"Defect Validation")*9,"")</f>
        <v/>
      </c>
      <c r="AN73" s="258" t="str">
        <f>IFERROR((Table7[[#This Row],[No. of Valid  Internal Testing Defects]])/(Table7[[#This Row],[No. of Valid  Internal Testing Defects]]+Table7[[#This Row],[No. of Invalid Internal Testing Defects]]),"")</f>
        <v/>
      </c>
      <c r="AO73" s="258" t="str">
        <f>IFERROR(Table7[[#This Row],[No. of Valid External Testing Defects]]/(Table7[[#This Row],[No. of Valid External Testing Defects]]+Table7[[#This Row],[No. of Valid  Internal Testing Defects]]),"")</f>
        <v/>
      </c>
    </row>
    <row r="74" spans="2:41">
      <c r="B74" s="237"/>
      <c r="C74" s="14"/>
      <c r="D74" s="14"/>
      <c r="E74" s="14"/>
      <c r="F74" s="230" t="str">
        <f>IFERROR((Table47[[#This Row],[Initial No. of Requirements]]+Table47[[#This Row],[Modified Requirements( Added / Deleted /Modified)]])/Table47[[#This Row],[Initial No. of Requirements]],"")</f>
        <v/>
      </c>
      <c r="G7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4" s="249"/>
      <c r="J74" s="249"/>
      <c r="K74" s="250"/>
      <c r="L74" s="250"/>
      <c r="M74" s="250"/>
      <c r="N74" s="248"/>
      <c r="O74" s="248"/>
      <c r="P74" s="248"/>
      <c r="Q74" s="248"/>
      <c r="R74" s="248"/>
      <c r="S74" s="248"/>
      <c r="T74" s="248"/>
      <c r="U74" s="248"/>
      <c r="V74" s="248"/>
      <c r="W74" s="248"/>
      <c r="X74" s="248"/>
      <c r="Y74" s="248"/>
      <c r="Z74" s="248"/>
      <c r="AA74" s="248"/>
      <c r="AB74" s="13">
        <f>SUMIFS(Table3[Hours Worked],Table3[Release Name],Table7[[#This Row],[Release Name]],Table3[Task Type],"Testcase Creation")</f>
        <v>0</v>
      </c>
      <c r="AC74" s="255">
        <f>SUMIFS(Table3[Hours Worked],Table3[Release Name],Table7[[#This Row],[Release Name]],Table3[Task Type],"Testcase Execution")</f>
        <v>0</v>
      </c>
      <c r="AD7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4" s="256" t="str">
        <f>IFERROR((Table7[[#This Row],[No. of Valid Internal Review Defects]]+Table7[[#This Row],[No. of Valid  Internal Testing Defects]]+Table7[[#This Row],[No. of  Valid External Review Defects]]+Table7[[#This Row],[No. of Valid External Testing Defects]])/Table7[[#This Row],[Size]],"")</f>
        <v/>
      </c>
      <c r="AF74" s="257" t="str">
        <f>IFERROR(Table7[[#This Row],[No. of Valid Internal Review Defects]]/(Table7[[#This Row],[No. of Valid Internal Review Defects]]+Table7[[#This Row],[No. of  Valid External Review Defects]]+Table7[[#This Row],[No. of Valid  Internal Testing Defects]]+Table7[[#This Row],[No. of Valid External Testing Defects]]),"")</f>
        <v/>
      </c>
      <c r="AG74" s="258" t="str">
        <f>IFERROR(Table7[[#This Row],[No. of Valid Internal Review Defects]]/(Table7[[#This Row],[No. of Valid Internal Review Defects]]+Table7[[#This Row],[No. of  Valid External Review Defects]]+Table7[[#This Row],[No. of Valid External Testing Defects]]),"")</f>
        <v/>
      </c>
      <c r="AH74" s="256" t="str">
        <f>IFERROR(Table7[[#This Row],[No. of Valid  Internal Testing Defects]]/Table7[[#This Row],[Overall Actual Effort for the release]],"")</f>
        <v/>
      </c>
      <c r="AI74" s="256" t="str">
        <f>IFERROR(Table7[[#This Row],[No. of Valid  Internal Testing Defects]]/Table7[[#This Row],[No. of Testcases Executed]],"")</f>
        <v/>
      </c>
      <c r="AJ74" s="259" t="str">
        <f>IFERROR(IFERROR(Table7[[#This Row],[No. of Testcases Created]]/Table7[[#This Row],[Effort for Testcase Creation]],"")*9,"")</f>
        <v/>
      </c>
      <c r="AK74" s="256" t="str">
        <f>IFERROR((Table7[[#This Row],[No. of Testcases Executed]]/Table7[[#This Row],[Effort for Testcase Execution]])*9,"")</f>
        <v/>
      </c>
      <c r="AL7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4" s="259" t="str">
        <f>IFERROR(Table7[[#This Row],[No. of Defects Validated]]/SUMIFS(Table3[Hours Worked],Table3[Release Name],Table7[[#This Row],[Release Name]],Table3[Task Type],"Defect Validation")*9,"")</f>
        <v/>
      </c>
      <c r="AN74" s="258" t="str">
        <f>IFERROR((Table7[[#This Row],[No. of Valid  Internal Testing Defects]])/(Table7[[#This Row],[No. of Valid  Internal Testing Defects]]+Table7[[#This Row],[No. of Invalid Internal Testing Defects]]),"")</f>
        <v/>
      </c>
      <c r="AO74" s="258" t="str">
        <f>IFERROR(Table7[[#This Row],[No. of Valid External Testing Defects]]/(Table7[[#This Row],[No. of Valid External Testing Defects]]+Table7[[#This Row],[No. of Valid  Internal Testing Defects]]),"")</f>
        <v/>
      </c>
    </row>
    <row r="75" spans="2:41">
      <c r="B75" s="237"/>
      <c r="C75" s="14"/>
      <c r="D75" s="14"/>
      <c r="E75" s="14"/>
      <c r="F75" s="230" t="str">
        <f>IFERROR((Table47[[#This Row],[Initial No. of Requirements]]+Table47[[#This Row],[Modified Requirements( Added / Deleted /Modified)]])/Table47[[#This Row],[Initial No. of Requirements]],"")</f>
        <v/>
      </c>
      <c r="G7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5" s="249"/>
      <c r="J75" s="249"/>
      <c r="K75" s="250"/>
      <c r="L75" s="250"/>
      <c r="M75" s="250"/>
      <c r="N75" s="248"/>
      <c r="O75" s="248"/>
      <c r="P75" s="248"/>
      <c r="Q75" s="248"/>
      <c r="R75" s="248"/>
      <c r="S75" s="248"/>
      <c r="T75" s="248"/>
      <c r="U75" s="248"/>
      <c r="V75" s="248"/>
      <c r="W75" s="248"/>
      <c r="X75" s="248"/>
      <c r="Y75" s="248"/>
      <c r="Z75" s="248"/>
      <c r="AA75" s="248"/>
      <c r="AB75" s="13">
        <f>SUMIFS(Table3[Hours Worked],Table3[Release Name],Table7[[#This Row],[Release Name]],Table3[Task Type],"Testcase Creation")</f>
        <v>0</v>
      </c>
      <c r="AC75" s="255">
        <f>SUMIFS(Table3[Hours Worked],Table3[Release Name],Table7[[#This Row],[Release Name]],Table3[Task Type],"Testcase Execution")</f>
        <v>0</v>
      </c>
      <c r="AD7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5" s="256" t="str">
        <f>IFERROR((Table7[[#This Row],[No. of Valid Internal Review Defects]]+Table7[[#This Row],[No. of Valid  Internal Testing Defects]]+Table7[[#This Row],[No. of  Valid External Review Defects]]+Table7[[#This Row],[No. of Valid External Testing Defects]])/Table7[[#This Row],[Size]],"")</f>
        <v/>
      </c>
      <c r="AF75" s="257" t="str">
        <f>IFERROR(Table7[[#This Row],[No. of Valid Internal Review Defects]]/(Table7[[#This Row],[No. of Valid Internal Review Defects]]+Table7[[#This Row],[No. of  Valid External Review Defects]]+Table7[[#This Row],[No. of Valid  Internal Testing Defects]]+Table7[[#This Row],[No. of Valid External Testing Defects]]),"")</f>
        <v/>
      </c>
      <c r="AG75" s="258" t="str">
        <f>IFERROR(Table7[[#This Row],[No. of Valid Internal Review Defects]]/(Table7[[#This Row],[No. of Valid Internal Review Defects]]+Table7[[#This Row],[No. of  Valid External Review Defects]]+Table7[[#This Row],[No. of Valid External Testing Defects]]),"")</f>
        <v/>
      </c>
      <c r="AH75" s="256" t="str">
        <f>IFERROR(Table7[[#This Row],[No. of Valid  Internal Testing Defects]]/Table7[[#This Row],[Overall Actual Effort for the release]],"")</f>
        <v/>
      </c>
      <c r="AI75" s="256" t="str">
        <f>IFERROR(Table7[[#This Row],[No. of Valid  Internal Testing Defects]]/Table7[[#This Row],[No. of Testcases Executed]],"")</f>
        <v/>
      </c>
      <c r="AJ75" s="259" t="str">
        <f>IFERROR(IFERROR(Table7[[#This Row],[No. of Testcases Created]]/Table7[[#This Row],[Effort for Testcase Creation]],"")*9,"")</f>
        <v/>
      </c>
      <c r="AK75" s="256" t="str">
        <f>IFERROR((Table7[[#This Row],[No. of Testcases Executed]]/Table7[[#This Row],[Effort for Testcase Execution]])*9,"")</f>
        <v/>
      </c>
      <c r="AL7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5" s="259" t="str">
        <f>IFERROR(Table7[[#This Row],[No. of Defects Validated]]/SUMIFS(Table3[Hours Worked],Table3[Release Name],Table7[[#This Row],[Release Name]],Table3[Task Type],"Defect Validation")*9,"")</f>
        <v/>
      </c>
      <c r="AN75" s="258" t="str">
        <f>IFERROR((Table7[[#This Row],[No. of Valid  Internal Testing Defects]])/(Table7[[#This Row],[No. of Valid  Internal Testing Defects]]+Table7[[#This Row],[No. of Invalid Internal Testing Defects]]),"")</f>
        <v/>
      </c>
      <c r="AO75" s="258" t="str">
        <f>IFERROR(Table7[[#This Row],[No. of Valid External Testing Defects]]/(Table7[[#This Row],[No. of Valid External Testing Defects]]+Table7[[#This Row],[No. of Valid  Internal Testing Defects]]),"")</f>
        <v/>
      </c>
    </row>
    <row r="76" spans="2:41">
      <c r="B76" s="237"/>
      <c r="C76" s="14"/>
      <c r="D76" s="14"/>
      <c r="E76" s="14"/>
      <c r="F76" s="230" t="str">
        <f>IFERROR((Table47[[#This Row],[Initial No. of Requirements]]+Table47[[#This Row],[Modified Requirements( Added / Deleted /Modified)]])/Table47[[#This Row],[Initial No. of Requirements]],"")</f>
        <v/>
      </c>
      <c r="G7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6" s="249"/>
      <c r="J76" s="249"/>
      <c r="K76" s="250"/>
      <c r="L76" s="250"/>
      <c r="M76" s="250"/>
      <c r="N76" s="248"/>
      <c r="O76" s="248"/>
      <c r="P76" s="248"/>
      <c r="Q76" s="248"/>
      <c r="R76" s="248"/>
      <c r="S76" s="248"/>
      <c r="T76" s="248"/>
      <c r="U76" s="248"/>
      <c r="V76" s="248"/>
      <c r="W76" s="248"/>
      <c r="X76" s="248"/>
      <c r="Y76" s="248"/>
      <c r="Z76" s="248"/>
      <c r="AA76" s="248"/>
      <c r="AB76" s="13">
        <f>SUMIFS(Table3[Hours Worked],Table3[Release Name],Table7[[#This Row],[Release Name]],Table3[Task Type],"Testcase Creation")</f>
        <v>0</v>
      </c>
      <c r="AC76" s="255">
        <f>SUMIFS(Table3[Hours Worked],Table3[Release Name],Table7[[#This Row],[Release Name]],Table3[Task Type],"Testcase Execution")</f>
        <v>0</v>
      </c>
      <c r="AD7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6" s="256" t="str">
        <f>IFERROR((Table7[[#This Row],[No. of Valid Internal Review Defects]]+Table7[[#This Row],[No. of Valid  Internal Testing Defects]]+Table7[[#This Row],[No. of  Valid External Review Defects]]+Table7[[#This Row],[No. of Valid External Testing Defects]])/Table7[[#This Row],[Size]],"")</f>
        <v/>
      </c>
      <c r="AF76" s="257" t="str">
        <f>IFERROR(Table7[[#This Row],[No. of Valid Internal Review Defects]]/(Table7[[#This Row],[No. of Valid Internal Review Defects]]+Table7[[#This Row],[No. of  Valid External Review Defects]]+Table7[[#This Row],[No. of Valid  Internal Testing Defects]]+Table7[[#This Row],[No. of Valid External Testing Defects]]),"")</f>
        <v/>
      </c>
      <c r="AG76" s="258" t="str">
        <f>IFERROR(Table7[[#This Row],[No. of Valid Internal Review Defects]]/(Table7[[#This Row],[No. of Valid Internal Review Defects]]+Table7[[#This Row],[No. of  Valid External Review Defects]]+Table7[[#This Row],[No. of Valid External Testing Defects]]),"")</f>
        <v/>
      </c>
      <c r="AH76" s="256" t="str">
        <f>IFERROR(Table7[[#This Row],[No. of Valid  Internal Testing Defects]]/Table7[[#This Row],[Overall Actual Effort for the release]],"")</f>
        <v/>
      </c>
      <c r="AI76" s="256" t="str">
        <f>IFERROR(Table7[[#This Row],[No. of Valid  Internal Testing Defects]]/Table7[[#This Row],[No. of Testcases Executed]],"")</f>
        <v/>
      </c>
      <c r="AJ76" s="259" t="str">
        <f>IFERROR(IFERROR(Table7[[#This Row],[No. of Testcases Created]]/Table7[[#This Row],[Effort for Testcase Creation]],"")*9,"")</f>
        <v/>
      </c>
      <c r="AK76" s="256" t="str">
        <f>IFERROR((Table7[[#This Row],[No. of Testcases Executed]]/Table7[[#This Row],[Effort for Testcase Execution]])*9,"")</f>
        <v/>
      </c>
      <c r="AL7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6" s="259" t="str">
        <f>IFERROR(Table7[[#This Row],[No. of Defects Validated]]/SUMIFS(Table3[Hours Worked],Table3[Release Name],Table7[[#This Row],[Release Name]],Table3[Task Type],"Defect Validation")*9,"")</f>
        <v/>
      </c>
      <c r="AN76" s="258" t="str">
        <f>IFERROR((Table7[[#This Row],[No. of Valid  Internal Testing Defects]])/(Table7[[#This Row],[No. of Valid  Internal Testing Defects]]+Table7[[#This Row],[No. of Invalid Internal Testing Defects]]),"")</f>
        <v/>
      </c>
      <c r="AO76" s="258" t="str">
        <f>IFERROR(Table7[[#This Row],[No. of Valid External Testing Defects]]/(Table7[[#This Row],[No. of Valid External Testing Defects]]+Table7[[#This Row],[No. of Valid  Internal Testing Defects]]),"")</f>
        <v/>
      </c>
    </row>
    <row r="77" spans="2:41">
      <c r="B77" s="237"/>
      <c r="C77" s="14"/>
      <c r="D77" s="14"/>
      <c r="E77" s="14"/>
      <c r="F77" s="230" t="str">
        <f>IFERROR((Table47[[#This Row],[Initial No. of Requirements]]+Table47[[#This Row],[Modified Requirements( Added / Deleted /Modified)]])/Table47[[#This Row],[Initial No. of Requirements]],"")</f>
        <v/>
      </c>
      <c r="G7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7" s="249"/>
      <c r="J77" s="249"/>
      <c r="K77" s="250"/>
      <c r="L77" s="250"/>
      <c r="M77" s="250"/>
      <c r="N77" s="248"/>
      <c r="O77" s="248"/>
      <c r="P77" s="248"/>
      <c r="Q77" s="248"/>
      <c r="R77" s="248"/>
      <c r="S77" s="248"/>
      <c r="T77" s="248"/>
      <c r="U77" s="248"/>
      <c r="V77" s="248"/>
      <c r="W77" s="248"/>
      <c r="X77" s="248"/>
      <c r="Y77" s="248"/>
      <c r="Z77" s="248"/>
      <c r="AA77" s="248"/>
      <c r="AB77" s="13">
        <f>SUMIFS(Table3[Hours Worked],Table3[Release Name],Table7[[#This Row],[Release Name]],Table3[Task Type],"Testcase Creation")</f>
        <v>0</v>
      </c>
      <c r="AC77" s="255">
        <f>SUMIFS(Table3[Hours Worked],Table3[Release Name],Table7[[#This Row],[Release Name]],Table3[Task Type],"Testcase Execution")</f>
        <v>0</v>
      </c>
      <c r="AD7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7" s="256" t="str">
        <f>IFERROR((Table7[[#This Row],[No. of Valid Internal Review Defects]]+Table7[[#This Row],[No. of Valid  Internal Testing Defects]]+Table7[[#This Row],[No. of  Valid External Review Defects]]+Table7[[#This Row],[No. of Valid External Testing Defects]])/Table7[[#This Row],[Size]],"")</f>
        <v/>
      </c>
      <c r="AF77" s="257" t="str">
        <f>IFERROR(Table7[[#This Row],[No. of Valid Internal Review Defects]]/(Table7[[#This Row],[No. of Valid Internal Review Defects]]+Table7[[#This Row],[No. of  Valid External Review Defects]]+Table7[[#This Row],[No. of Valid  Internal Testing Defects]]+Table7[[#This Row],[No. of Valid External Testing Defects]]),"")</f>
        <v/>
      </c>
      <c r="AG77" s="258" t="str">
        <f>IFERROR(Table7[[#This Row],[No. of Valid Internal Review Defects]]/(Table7[[#This Row],[No. of Valid Internal Review Defects]]+Table7[[#This Row],[No. of  Valid External Review Defects]]+Table7[[#This Row],[No. of Valid External Testing Defects]]),"")</f>
        <v/>
      </c>
      <c r="AH77" s="256" t="str">
        <f>IFERROR(Table7[[#This Row],[No. of Valid  Internal Testing Defects]]/Table7[[#This Row],[Overall Actual Effort for the release]],"")</f>
        <v/>
      </c>
      <c r="AI77" s="256" t="str">
        <f>IFERROR(Table7[[#This Row],[No. of Valid  Internal Testing Defects]]/Table7[[#This Row],[No. of Testcases Executed]],"")</f>
        <v/>
      </c>
      <c r="AJ77" s="259" t="str">
        <f>IFERROR(IFERROR(Table7[[#This Row],[No. of Testcases Created]]/Table7[[#This Row],[Effort for Testcase Creation]],"")*9,"")</f>
        <v/>
      </c>
      <c r="AK77" s="256" t="str">
        <f>IFERROR((Table7[[#This Row],[No. of Testcases Executed]]/Table7[[#This Row],[Effort for Testcase Execution]])*9,"")</f>
        <v/>
      </c>
      <c r="AL7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7" s="259" t="str">
        <f>IFERROR(Table7[[#This Row],[No. of Defects Validated]]/SUMIFS(Table3[Hours Worked],Table3[Release Name],Table7[[#This Row],[Release Name]],Table3[Task Type],"Defect Validation")*9,"")</f>
        <v/>
      </c>
      <c r="AN77" s="258" t="str">
        <f>IFERROR((Table7[[#This Row],[No. of Valid  Internal Testing Defects]])/(Table7[[#This Row],[No. of Valid  Internal Testing Defects]]+Table7[[#This Row],[No. of Invalid Internal Testing Defects]]),"")</f>
        <v/>
      </c>
      <c r="AO77" s="258" t="str">
        <f>IFERROR(Table7[[#This Row],[No. of Valid External Testing Defects]]/(Table7[[#This Row],[No. of Valid External Testing Defects]]+Table7[[#This Row],[No. of Valid  Internal Testing Defects]]),"")</f>
        <v/>
      </c>
    </row>
    <row r="78" spans="2:41">
      <c r="B78" s="237"/>
      <c r="C78" s="14"/>
      <c r="D78" s="14"/>
      <c r="E78" s="14"/>
      <c r="F78" s="230" t="str">
        <f>IFERROR((Table47[[#This Row],[Initial No. of Requirements]]+Table47[[#This Row],[Modified Requirements( Added / Deleted /Modified)]])/Table47[[#This Row],[Initial No. of Requirements]],"")</f>
        <v/>
      </c>
      <c r="G7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8" s="249"/>
      <c r="J78" s="249"/>
      <c r="K78" s="250"/>
      <c r="L78" s="250"/>
      <c r="M78" s="250"/>
      <c r="N78" s="248"/>
      <c r="O78" s="248"/>
      <c r="P78" s="248"/>
      <c r="Q78" s="248"/>
      <c r="R78" s="248"/>
      <c r="S78" s="248"/>
      <c r="T78" s="248"/>
      <c r="U78" s="248"/>
      <c r="V78" s="248"/>
      <c r="W78" s="248"/>
      <c r="X78" s="248"/>
      <c r="Y78" s="248"/>
      <c r="Z78" s="248"/>
      <c r="AA78" s="248"/>
      <c r="AB78" s="13">
        <f>SUMIFS(Table3[Hours Worked],Table3[Release Name],Table7[[#This Row],[Release Name]],Table3[Task Type],"Testcase Creation")</f>
        <v>0</v>
      </c>
      <c r="AC78" s="255">
        <f>SUMIFS(Table3[Hours Worked],Table3[Release Name],Table7[[#This Row],[Release Name]],Table3[Task Type],"Testcase Execution")</f>
        <v>0</v>
      </c>
      <c r="AD7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8" s="256" t="str">
        <f>IFERROR((Table7[[#This Row],[No. of Valid Internal Review Defects]]+Table7[[#This Row],[No. of Valid  Internal Testing Defects]]+Table7[[#This Row],[No. of  Valid External Review Defects]]+Table7[[#This Row],[No. of Valid External Testing Defects]])/Table7[[#This Row],[Size]],"")</f>
        <v/>
      </c>
      <c r="AF78" s="257" t="str">
        <f>IFERROR(Table7[[#This Row],[No. of Valid Internal Review Defects]]/(Table7[[#This Row],[No. of Valid Internal Review Defects]]+Table7[[#This Row],[No. of  Valid External Review Defects]]+Table7[[#This Row],[No. of Valid  Internal Testing Defects]]+Table7[[#This Row],[No. of Valid External Testing Defects]]),"")</f>
        <v/>
      </c>
      <c r="AG78" s="258" t="str">
        <f>IFERROR(Table7[[#This Row],[No. of Valid Internal Review Defects]]/(Table7[[#This Row],[No. of Valid Internal Review Defects]]+Table7[[#This Row],[No. of  Valid External Review Defects]]+Table7[[#This Row],[No. of Valid External Testing Defects]]),"")</f>
        <v/>
      </c>
      <c r="AH78" s="256" t="str">
        <f>IFERROR(Table7[[#This Row],[No. of Valid  Internal Testing Defects]]/Table7[[#This Row],[Overall Actual Effort for the release]],"")</f>
        <v/>
      </c>
      <c r="AI78" s="256" t="str">
        <f>IFERROR(Table7[[#This Row],[No. of Valid  Internal Testing Defects]]/Table7[[#This Row],[No. of Testcases Executed]],"")</f>
        <v/>
      </c>
      <c r="AJ78" s="259" t="str">
        <f>IFERROR(IFERROR(Table7[[#This Row],[No. of Testcases Created]]/Table7[[#This Row],[Effort for Testcase Creation]],"")*9,"")</f>
        <v/>
      </c>
      <c r="AK78" s="256" t="str">
        <f>IFERROR((Table7[[#This Row],[No. of Testcases Executed]]/Table7[[#This Row],[Effort for Testcase Execution]])*9,"")</f>
        <v/>
      </c>
      <c r="AL7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8" s="259" t="str">
        <f>IFERROR(Table7[[#This Row],[No. of Defects Validated]]/SUMIFS(Table3[Hours Worked],Table3[Release Name],Table7[[#This Row],[Release Name]],Table3[Task Type],"Defect Validation")*9,"")</f>
        <v/>
      </c>
      <c r="AN78" s="258" t="str">
        <f>IFERROR((Table7[[#This Row],[No. of Valid  Internal Testing Defects]])/(Table7[[#This Row],[No. of Valid  Internal Testing Defects]]+Table7[[#This Row],[No. of Invalid Internal Testing Defects]]),"")</f>
        <v/>
      </c>
      <c r="AO78" s="258" t="str">
        <f>IFERROR(Table7[[#This Row],[No. of Valid External Testing Defects]]/(Table7[[#This Row],[No. of Valid External Testing Defects]]+Table7[[#This Row],[No. of Valid  Internal Testing Defects]]),"")</f>
        <v/>
      </c>
    </row>
    <row r="79" spans="2:41">
      <c r="B79" s="237"/>
      <c r="C79" s="14"/>
      <c r="D79" s="14"/>
      <c r="E79" s="14"/>
      <c r="F79" s="230" t="str">
        <f>IFERROR((Table47[[#This Row],[Initial No. of Requirements]]+Table47[[#This Row],[Modified Requirements( Added / Deleted /Modified)]])/Table47[[#This Row],[Initial No. of Requirements]],"")</f>
        <v/>
      </c>
      <c r="G7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79" s="249"/>
      <c r="J79" s="249"/>
      <c r="K79" s="250"/>
      <c r="L79" s="250"/>
      <c r="M79" s="250"/>
      <c r="N79" s="248"/>
      <c r="O79" s="248"/>
      <c r="P79" s="248"/>
      <c r="Q79" s="248"/>
      <c r="R79" s="248"/>
      <c r="S79" s="248"/>
      <c r="T79" s="248"/>
      <c r="U79" s="248"/>
      <c r="V79" s="248"/>
      <c r="W79" s="248"/>
      <c r="X79" s="248"/>
      <c r="Y79" s="248"/>
      <c r="Z79" s="248"/>
      <c r="AA79" s="248"/>
      <c r="AB79" s="13">
        <f>SUMIFS(Table3[Hours Worked],Table3[Release Name],Table7[[#This Row],[Release Name]],Table3[Task Type],"Testcase Creation")</f>
        <v>0</v>
      </c>
      <c r="AC79" s="255">
        <f>SUMIFS(Table3[Hours Worked],Table3[Release Name],Table7[[#This Row],[Release Name]],Table3[Task Type],"Testcase Execution")</f>
        <v>0</v>
      </c>
      <c r="AD7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79" s="256" t="str">
        <f>IFERROR((Table7[[#This Row],[No. of Valid Internal Review Defects]]+Table7[[#This Row],[No. of Valid  Internal Testing Defects]]+Table7[[#This Row],[No. of  Valid External Review Defects]]+Table7[[#This Row],[No. of Valid External Testing Defects]])/Table7[[#This Row],[Size]],"")</f>
        <v/>
      </c>
      <c r="AF79" s="257" t="str">
        <f>IFERROR(Table7[[#This Row],[No. of Valid Internal Review Defects]]/(Table7[[#This Row],[No. of Valid Internal Review Defects]]+Table7[[#This Row],[No. of  Valid External Review Defects]]+Table7[[#This Row],[No. of Valid  Internal Testing Defects]]+Table7[[#This Row],[No. of Valid External Testing Defects]]),"")</f>
        <v/>
      </c>
      <c r="AG79" s="258" t="str">
        <f>IFERROR(Table7[[#This Row],[No. of Valid Internal Review Defects]]/(Table7[[#This Row],[No. of Valid Internal Review Defects]]+Table7[[#This Row],[No. of  Valid External Review Defects]]+Table7[[#This Row],[No. of Valid External Testing Defects]]),"")</f>
        <v/>
      </c>
      <c r="AH79" s="256" t="str">
        <f>IFERROR(Table7[[#This Row],[No. of Valid  Internal Testing Defects]]/Table7[[#This Row],[Overall Actual Effort for the release]],"")</f>
        <v/>
      </c>
      <c r="AI79" s="256" t="str">
        <f>IFERROR(Table7[[#This Row],[No. of Valid  Internal Testing Defects]]/Table7[[#This Row],[No. of Testcases Executed]],"")</f>
        <v/>
      </c>
      <c r="AJ79" s="259" t="str">
        <f>IFERROR(IFERROR(Table7[[#This Row],[No. of Testcases Created]]/Table7[[#This Row],[Effort for Testcase Creation]],"")*9,"")</f>
        <v/>
      </c>
      <c r="AK79" s="256" t="str">
        <f>IFERROR((Table7[[#This Row],[No. of Testcases Executed]]/Table7[[#This Row],[Effort for Testcase Execution]])*9,"")</f>
        <v/>
      </c>
      <c r="AL7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79" s="259" t="str">
        <f>IFERROR(Table7[[#This Row],[No. of Defects Validated]]/SUMIFS(Table3[Hours Worked],Table3[Release Name],Table7[[#This Row],[Release Name]],Table3[Task Type],"Defect Validation")*9,"")</f>
        <v/>
      </c>
      <c r="AN79" s="258" t="str">
        <f>IFERROR((Table7[[#This Row],[No. of Valid  Internal Testing Defects]])/(Table7[[#This Row],[No. of Valid  Internal Testing Defects]]+Table7[[#This Row],[No. of Invalid Internal Testing Defects]]),"")</f>
        <v/>
      </c>
      <c r="AO79" s="258" t="str">
        <f>IFERROR(Table7[[#This Row],[No. of Valid External Testing Defects]]/(Table7[[#This Row],[No. of Valid External Testing Defects]]+Table7[[#This Row],[No. of Valid  Internal Testing Defects]]),"")</f>
        <v/>
      </c>
    </row>
    <row r="80" spans="2:41">
      <c r="B80" s="237"/>
      <c r="C80" s="14"/>
      <c r="D80" s="14"/>
      <c r="E80" s="14"/>
      <c r="F80" s="230" t="str">
        <f>IFERROR((Table47[[#This Row],[Initial No. of Requirements]]+Table47[[#This Row],[Modified Requirements( Added / Deleted /Modified)]])/Table47[[#This Row],[Initial No. of Requirements]],"")</f>
        <v/>
      </c>
      <c r="G8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0" s="249"/>
      <c r="J80" s="249"/>
      <c r="K80" s="250"/>
      <c r="L80" s="250"/>
      <c r="M80" s="250"/>
      <c r="N80" s="248"/>
      <c r="O80" s="248"/>
      <c r="P80" s="248"/>
      <c r="Q80" s="248"/>
      <c r="R80" s="248"/>
      <c r="S80" s="248"/>
      <c r="T80" s="248"/>
      <c r="U80" s="248"/>
      <c r="V80" s="248"/>
      <c r="W80" s="248"/>
      <c r="X80" s="248"/>
      <c r="Y80" s="248"/>
      <c r="Z80" s="248"/>
      <c r="AA80" s="248"/>
      <c r="AB80" s="13">
        <f>SUMIFS(Table3[Hours Worked],Table3[Release Name],Table7[[#This Row],[Release Name]],Table3[Task Type],"Testcase Creation")</f>
        <v>0</v>
      </c>
      <c r="AC80" s="255">
        <f>SUMIFS(Table3[Hours Worked],Table3[Release Name],Table7[[#This Row],[Release Name]],Table3[Task Type],"Testcase Execution")</f>
        <v>0</v>
      </c>
      <c r="AD8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0" s="256" t="str">
        <f>IFERROR((Table7[[#This Row],[No. of Valid Internal Review Defects]]+Table7[[#This Row],[No. of Valid  Internal Testing Defects]]+Table7[[#This Row],[No. of  Valid External Review Defects]]+Table7[[#This Row],[No. of Valid External Testing Defects]])/Table7[[#This Row],[Size]],"")</f>
        <v/>
      </c>
      <c r="AF80" s="257" t="str">
        <f>IFERROR(Table7[[#This Row],[No. of Valid Internal Review Defects]]/(Table7[[#This Row],[No. of Valid Internal Review Defects]]+Table7[[#This Row],[No. of  Valid External Review Defects]]+Table7[[#This Row],[No. of Valid  Internal Testing Defects]]+Table7[[#This Row],[No. of Valid External Testing Defects]]),"")</f>
        <v/>
      </c>
      <c r="AG80" s="258" t="str">
        <f>IFERROR(Table7[[#This Row],[No. of Valid Internal Review Defects]]/(Table7[[#This Row],[No. of Valid Internal Review Defects]]+Table7[[#This Row],[No. of  Valid External Review Defects]]+Table7[[#This Row],[No. of Valid External Testing Defects]]),"")</f>
        <v/>
      </c>
      <c r="AH80" s="256" t="str">
        <f>IFERROR(Table7[[#This Row],[No. of Valid  Internal Testing Defects]]/Table7[[#This Row],[Overall Actual Effort for the release]],"")</f>
        <v/>
      </c>
      <c r="AI80" s="256" t="str">
        <f>IFERROR(Table7[[#This Row],[No. of Valid  Internal Testing Defects]]/Table7[[#This Row],[No. of Testcases Executed]],"")</f>
        <v/>
      </c>
      <c r="AJ80" s="259" t="str">
        <f>IFERROR(IFERROR(Table7[[#This Row],[No. of Testcases Created]]/Table7[[#This Row],[Effort for Testcase Creation]],"")*9,"")</f>
        <v/>
      </c>
      <c r="AK80" s="256" t="str">
        <f>IFERROR((Table7[[#This Row],[No. of Testcases Executed]]/Table7[[#This Row],[Effort for Testcase Execution]])*9,"")</f>
        <v/>
      </c>
      <c r="AL8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0" s="259" t="str">
        <f>IFERROR(Table7[[#This Row],[No. of Defects Validated]]/SUMIFS(Table3[Hours Worked],Table3[Release Name],Table7[[#This Row],[Release Name]],Table3[Task Type],"Defect Validation")*9,"")</f>
        <v/>
      </c>
      <c r="AN80" s="258" t="str">
        <f>IFERROR((Table7[[#This Row],[No. of Valid  Internal Testing Defects]])/(Table7[[#This Row],[No. of Valid  Internal Testing Defects]]+Table7[[#This Row],[No. of Invalid Internal Testing Defects]]),"")</f>
        <v/>
      </c>
      <c r="AO80" s="258" t="str">
        <f>IFERROR(Table7[[#This Row],[No. of Valid External Testing Defects]]/(Table7[[#This Row],[No. of Valid External Testing Defects]]+Table7[[#This Row],[No. of Valid  Internal Testing Defects]]),"")</f>
        <v/>
      </c>
    </row>
    <row r="81" spans="2:41">
      <c r="B81" s="237"/>
      <c r="C81" s="14"/>
      <c r="D81" s="14"/>
      <c r="E81" s="14"/>
      <c r="F81" s="230" t="str">
        <f>IFERROR((Table47[[#This Row],[Initial No. of Requirements]]+Table47[[#This Row],[Modified Requirements( Added / Deleted /Modified)]])/Table47[[#This Row],[Initial No. of Requirements]],"")</f>
        <v/>
      </c>
      <c r="G8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1" s="249"/>
      <c r="J81" s="249"/>
      <c r="K81" s="250"/>
      <c r="L81" s="250"/>
      <c r="M81" s="250"/>
      <c r="N81" s="248"/>
      <c r="O81" s="248"/>
      <c r="P81" s="248"/>
      <c r="Q81" s="248"/>
      <c r="R81" s="248"/>
      <c r="S81" s="248"/>
      <c r="T81" s="248"/>
      <c r="U81" s="248"/>
      <c r="V81" s="248"/>
      <c r="W81" s="248"/>
      <c r="X81" s="248"/>
      <c r="Y81" s="248"/>
      <c r="Z81" s="248"/>
      <c r="AA81" s="248"/>
      <c r="AB81" s="13">
        <f>SUMIFS(Table3[Hours Worked],Table3[Release Name],Table7[[#This Row],[Release Name]],Table3[Task Type],"Testcase Creation")</f>
        <v>0</v>
      </c>
      <c r="AC81" s="255">
        <f>SUMIFS(Table3[Hours Worked],Table3[Release Name],Table7[[#This Row],[Release Name]],Table3[Task Type],"Testcase Execution")</f>
        <v>0</v>
      </c>
      <c r="AD8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1" s="256" t="str">
        <f>IFERROR((Table7[[#This Row],[No. of Valid Internal Review Defects]]+Table7[[#This Row],[No. of Valid  Internal Testing Defects]]+Table7[[#This Row],[No. of  Valid External Review Defects]]+Table7[[#This Row],[No. of Valid External Testing Defects]])/Table7[[#This Row],[Size]],"")</f>
        <v/>
      </c>
      <c r="AF81" s="257" t="str">
        <f>IFERROR(Table7[[#This Row],[No. of Valid Internal Review Defects]]/(Table7[[#This Row],[No. of Valid Internal Review Defects]]+Table7[[#This Row],[No. of  Valid External Review Defects]]+Table7[[#This Row],[No. of Valid  Internal Testing Defects]]+Table7[[#This Row],[No. of Valid External Testing Defects]]),"")</f>
        <v/>
      </c>
      <c r="AG81" s="258" t="str">
        <f>IFERROR(Table7[[#This Row],[No. of Valid Internal Review Defects]]/(Table7[[#This Row],[No. of Valid Internal Review Defects]]+Table7[[#This Row],[No. of  Valid External Review Defects]]+Table7[[#This Row],[No. of Valid External Testing Defects]]),"")</f>
        <v/>
      </c>
      <c r="AH81" s="256" t="str">
        <f>IFERROR(Table7[[#This Row],[No. of Valid  Internal Testing Defects]]/Table7[[#This Row],[Overall Actual Effort for the release]],"")</f>
        <v/>
      </c>
      <c r="AI81" s="256" t="str">
        <f>IFERROR(Table7[[#This Row],[No. of Valid  Internal Testing Defects]]/Table7[[#This Row],[No. of Testcases Executed]],"")</f>
        <v/>
      </c>
      <c r="AJ81" s="259" t="str">
        <f>IFERROR(IFERROR(Table7[[#This Row],[No. of Testcases Created]]/Table7[[#This Row],[Effort for Testcase Creation]],"")*9,"")</f>
        <v/>
      </c>
      <c r="AK81" s="256" t="str">
        <f>IFERROR((Table7[[#This Row],[No. of Testcases Executed]]/Table7[[#This Row],[Effort for Testcase Execution]])*9,"")</f>
        <v/>
      </c>
      <c r="AL8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1" s="259" t="str">
        <f>IFERROR(Table7[[#This Row],[No. of Defects Validated]]/SUMIFS(Table3[Hours Worked],Table3[Release Name],Table7[[#This Row],[Release Name]],Table3[Task Type],"Defect Validation")*9,"")</f>
        <v/>
      </c>
      <c r="AN81" s="258" t="str">
        <f>IFERROR((Table7[[#This Row],[No. of Valid  Internal Testing Defects]])/(Table7[[#This Row],[No. of Valid  Internal Testing Defects]]+Table7[[#This Row],[No. of Invalid Internal Testing Defects]]),"")</f>
        <v/>
      </c>
      <c r="AO81" s="258" t="str">
        <f>IFERROR(Table7[[#This Row],[No. of Valid External Testing Defects]]/(Table7[[#This Row],[No. of Valid External Testing Defects]]+Table7[[#This Row],[No. of Valid  Internal Testing Defects]]),"")</f>
        <v/>
      </c>
    </row>
    <row r="82" spans="2:41">
      <c r="B82" s="237"/>
      <c r="C82" s="14"/>
      <c r="D82" s="14"/>
      <c r="E82" s="14"/>
      <c r="F82" s="230" t="str">
        <f>IFERROR((Table47[[#This Row],[Initial No. of Requirements]]+Table47[[#This Row],[Modified Requirements( Added / Deleted /Modified)]])/Table47[[#This Row],[Initial No. of Requirements]],"")</f>
        <v/>
      </c>
      <c r="G8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2" s="249"/>
      <c r="J82" s="249"/>
      <c r="K82" s="250"/>
      <c r="L82" s="250"/>
      <c r="M82" s="250"/>
      <c r="N82" s="248"/>
      <c r="O82" s="248"/>
      <c r="P82" s="248"/>
      <c r="Q82" s="248"/>
      <c r="R82" s="248"/>
      <c r="S82" s="248"/>
      <c r="T82" s="248"/>
      <c r="U82" s="248"/>
      <c r="V82" s="248"/>
      <c r="W82" s="248"/>
      <c r="X82" s="248"/>
      <c r="Y82" s="248"/>
      <c r="Z82" s="248"/>
      <c r="AA82" s="248"/>
      <c r="AB82" s="13">
        <f>SUMIFS(Table3[Hours Worked],Table3[Release Name],Table7[[#This Row],[Release Name]],Table3[Task Type],"Testcase Creation")</f>
        <v>0</v>
      </c>
      <c r="AC82" s="255">
        <f>SUMIFS(Table3[Hours Worked],Table3[Release Name],Table7[[#This Row],[Release Name]],Table3[Task Type],"Testcase Execution")</f>
        <v>0</v>
      </c>
      <c r="AD8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2" s="256" t="str">
        <f>IFERROR((Table7[[#This Row],[No. of Valid Internal Review Defects]]+Table7[[#This Row],[No. of Valid  Internal Testing Defects]]+Table7[[#This Row],[No. of  Valid External Review Defects]]+Table7[[#This Row],[No. of Valid External Testing Defects]])/Table7[[#This Row],[Size]],"")</f>
        <v/>
      </c>
      <c r="AF82" s="257" t="str">
        <f>IFERROR(Table7[[#This Row],[No. of Valid Internal Review Defects]]/(Table7[[#This Row],[No. of Valid Internal Review Defects]]+Table7[[#This Row],[No. of  Valid External Review Defects]]+Table7[[#This Row],[No. of Valid  Internal Testing Defects]]+Table7[[#This Row],[No. of Valid External Testing Defects]]),"")</f>
        <v/>
      </c>
      <c r="AG82" s="258" t="str">
        <f>IFERROR(Table7[[#This Row],[No. of Valid Internal Review Defects]]/(Table7[[#This Row],[No. of Valid Internal Review Defects]]+Table7[[#This Row],[No. of  Valid External Review Defects]]+Table7[[#This Row],[No. of Valid External Testing Defects]]),"")</f>
        <v/>
      </c>
      <c r="AH82" s="256" t="str">
        <f>IFERROR(Table7[[#This Row],[No. of Valid  Internal Testing Defects]]/Table7[[#This Row],[Overall Actual Effort for the release]],"")</f>
        <v/>
      </c>
      <c r="AI82" s="256" t="str">
        <f>IFERROR(Table7[[#This Row],[No. of Valid  Internal Testing Defects]]/Table7[[#This Row],[No. of Testcases Executed]],"")</f>
        <v/>
      </c>
      <c r="AJ82" s="259" t="str">
        <f>IFERROR(IFERROR(Table7[[#This Row],[No. of Testcases Created]]/Table7[[#This Row],[Effort for Testcase Creation]],"")*9,"")</f>
        <v/>
      </c>
      <c r="AK82" s="256" t="str">
        <f>IFERROR((Table7[[#This Row],[No. of Testcases Executed]]/Table7[[#This Row],[Effort for Testcase Execution]])*9,"")</f>
        <v/>
      </c>
      <c r="AL8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2" s="259" t="str">
        <f>IFERROR(Table7[[#This Row],[No. of Defects Validated]]/SUMIFS(Table3[Hours Worked],Table3[Release Name],Table7[[#This Row],[Release Name]],Table3[Task Type],"Defect Validation")*9,"")</f>
        <v/>
      </c>
      <c r="AN82" s="258" t="str">
        <f>IFERROR((Table7[[#This Row],[No. of Valid  Internal Testing Defects]])/(Table7[[#This Row],[No. of Valid  Internal Testing Defects]]+Table7[[#This Row],[No. of Invalid Internal Testing Defects]]),"")</f>
        <v/>
      </c>
      <c r="AO82" s="258" t="str">
        <f>IFERROR(Table7[[#This Row],[No. of Valid External Testing Defects]]/(Table7[[#This Row],[No. of Valid External Testing Defects]]+Table7[[#This Row],[No. of Valid  Internal Testing Defects]]),"")</f>
        <v/>
      </c>
    </row>
    <row r="83" spans="2:41">
      <c r="B83" s="237"/>
      <c r="C83" s="14"/>
      <c r="D83" s="14"/>
      <c r="E83" s="14"/>
      <c r="F83" s="230" t="str">
        <f>IFERROR((Table47[[#This Row],[Initial No. of Requirements]]+Table47[[#This Row],[Modified Requirements( Added / Deleted /Modified)]])/Table47[[#This Row],[Initial No. of Requirements]],"")</f>
        <v/>
      </c>
      <c r="G8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3" s="249"/>
      <c r="J83" s="249"/>
      <c r="K83" s="250"/>
      <c r="L83" s="250"/>
      <c r="M83" s="250"/>
      <c r="N83" s="248"/>
      <c r="O83" s="248"/>
      <c r="P83" s="248"/>
      <c r="Q83" s="248"/>
      <c r="R83" s="248"/>
      <c r="S83" s="248"/>
      <c r="T83" s="248"/>
      <c r="U83" s="248"/>
      <c r="V83" s="248"/>
      <c r="W83" s="248"/>
      <c r="X83" s="248"/>
      <c r="Y83" s="248"/>
      <c r="Z83" s="248"/>
      <c r="AA83" s="248"/>
      <c r="AB83" s="13">
        <f>SUMIFS(Table3[Hours Worked],Table3[Release Name],Table7[[#This Row],[Release Name]],Table3[Task Type],"Testcase Creation")</f>
        <v>0</v>
      </c>
      <c r="AC83" s="255">
        <f>SUMIFS(Table3[Hours Worked],Table3[Release Name],Table7[[#This Row],[Release Name]],Table3[Task Type],"Testcase Execution")</f>
        <v>0</v>
      </c>
      <c r="AD8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3" s="256" t="str">
        <f>IFERROR((Table7[[#This Row],[No. of Valid Internal Review Defects]]+Table7[[#This Row],[No. of Valid  Internal Testing Defects]]+Table7[[#This Row],[No. of  Valid External Review Defects]]+Table7[[#This Row],[No. of Valid External Testing Defects]])/Table7[[#This Row],[Size]],"")</f>
        <v/>
      </c>
      <c r="AF83" s="257" t="str">
        <f>IFERROR(Table7[[#This Row],[No. of Valid Internal Review Defects]]/(Table7[[#This Row],[No. of Valid Internal Review Defects]]+Table7[[#This Row],[No. of  Valid External Review Defects]]+Table7[[#This Row],[No. of Valid  Internal Testing Defects]]+Table7[[#This Row],[No. of Valid External Testing Defects]]),"")</f>
        <v/>
      </c>
      <c r="AG83" s="258" t="str">
        <f>IFERROR(Table7[[#This Row],[No. of Valid Internal Review Defects]]/(Table7[[#This Row],[No. of Valid Internal Review Defects]]+Table7[[#This Row],[No. of  Valid External Review Defects]]+Table7[[#This Row],[No. of Valid External Testing Defects]]),"")</f>
        <v/>
      </c>
      <c r="AH83" s="256" t="str">
        <f>IFERROR(Table7[[#This Row],[No. of Valid  Internal Testing Defects]]/Table7[[#This Row],[Overall Actual Effort for the release]],"")</f>
        <v/>
      </c>
      <c r="AI83" s="256" t="str">
        <f>IFERROR(Table7[[#This Row],[No. of Valid  Internal Testing Defects]]/Table7[[#This Row],[No. of Testcases Executed]],"")</f>
        <v/>
      </c>
      <c r="AJ83" s="259" t="str">
        <f>IFERROR(IFERROR(Table7[[#This Row],[No. of Testcases Created]]/Table7[[#This Row],[Effort for Testcase Creation]],"")*9,"")</f>
        <v/>
      </c>
      <c r="AK83" s="256" t="str">
        <f>IFERROR((Table7[[#This Row],[No. of Testcases Executed]]/Table7[[#This Row],[Effort for Testcase Execution]])*9,"")</f>
        <v/>
      </c>
      <c r="AL8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3" s="259" t="str">
        <f>IFERROR(Table7[[#This Row],[No. of Defects Validated]]/SUMIFS(Table3[Hours Worked],Table3[Release Name],Table7[[#This Row],[Release Name]],Table3[Task Type],"Defect Validation")*9,"")</f>
        <v/>
      </c>
      <c r="AN83" s="258" t="str">
        <f>IFERROR((Table7[[#This Row],[No. of Valid  Internal Testing Defects]])/(Table7[[#This Row],[No. of Valid  Internal Testing Defects]]+Table7[[#This Row],[No. of Invalid Internal Testing Defects]]),"")</f>
        <v/>
      </c>
      <c r="AO83" s="258" t="str">
        <f>IFERROR(Table7[[#This Row],[No. of Valid External Testing Defects]]/(Table7[[#This Row],[No. of Valid External Testing Defects]]+Table7[[#This Row],[No. of Valid  Internal Testing Defects]]),"")</f>
        <v/>
      </c>
    </row>
    <row r="84" spans="2:41">
      <c r="B84" s="237"/>
      <c r="C84" s="14"/>
      <c r="D84" s="14"/>
      <c r="E84" s="14"/>
      <c r="F84" s="230" t="str">
        <f>IFERROR((Table47[[#This Row],[Initial No. of Requirements]]+Table47[[#This Row],[Modified Requirements( Added / Deleted /Modified)]])/Table47[[#This Row],[Initial No. of Requirements]],"")</f>
        <v/>
      </c>
      <c r="G8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4" s="249"/>
      <c r="J84" s="249"/>
      <c r="K84" s="250"/>
      <c r="L84" s="250"/>
      <c r="M84" s="250"/>
      <c r="N84" s="248"/>
      <c r="O84" s="248"/>
      <c r="P84" s="248"/>
      <c r="Q84" s="248"/>
      <c r="R84" s="248"/>
      <c r="S84" s="248"/>
      <c r="T84" s="248"/>
      <c r="U84" s="248"/>
      <c r="V84" s="248"/>
      <c r="W84" s="248"/>
      <c r="X84" s="248"/>
      <c r="Y84" s="248"/>
      <c r="Z84" s="248"/>
      <c r="AA84" s="248"/>
      <c r="AB84" s="13">
        <f>SUMIFS(Table3[Hours Worked],Table3[Release Name],Table7[[#This Row],[Release Name]],Table3[Task Type],"Testcase Creation")</f>
        <v>0</v>
      </c>
      <c r="AC84" s="255">
        <f>SUMIFS(Table3[Hours Worked],Table3[Release Name],Table7[[#This Row],[Release Name]],Table3[Task Type],"Testcase Execution")</f>
        <v>0</v>
      </c>
      <c r="AD8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4" s="256" t="str">
        <f>IFERROR((Table7[[#This Row],[No. of Valid Internal Review Defects]]+Table7[[#This Row],[No. of Valid  Internal Testing Defects]]+Table7[[#This Row],[No. of  Valid External Review Defects]]+Table7[[#This Row],[No. of Valid External Testing Defects]])/Table7[[#This Row],[Size]],"")</f>
        <v/>
      </c>
      <c r="AF84" s="257" t="str">
        <f>IFERROR(Table7[[#This Row],[No. of Valid Internal Review Defects]]/(Table7[[#This Row],[No. of Valid Internal Review Defects]]+Table7[[#This Row],[No. of  Valid External Review Defects]]+Table7[[#This Row],[No. of Valid  Internal Testing Defects]]+Table7[[#This Row],[No. of Valid External Testing Defects]]),"")</f>
        <v/>
      </c>
      <c r="AG84" s="258" t="str">
        <f>IFERROR(Table7[[#This Row],[No. of Valid Internal Review Defects]]/(Table7[[#This Row],[No. of Valid Internal Review Defects]]+Table7[[#This Row],[No. of  Valid External Review Defects]]+Table7[[#This Row],[No. of Valid External Testing Defects]]),"")</f>
        <v/>
      </c>
      <c r="AH84" s="256" t="str">
        <f>IFERROR(Table7[[#This Row],[No. of Valid  Internal Testing Defects]]/Table7[[#This Row],[Overall Actual Effort for the release]],"")</f>
        <v/>
      </c>
      <c r="AI84" s="256" t="str">
        <f>IFERROR(Table7[[#This Row],[No. of Valid  Internal Testing Defects]]/Table7[[#This Row],[No. of Testcases Executed]],"")</f>
        <v/>
      </c>
      <c r="AJ84" s="259" t="str">
        <f>IFERROR(IFERROR(Table7[[#This Row],[No. of Testcases Created]]/Table7[[#This Row],[Effort for Testcase Creation]],"")*9,"")</f>
        <v/>
      </c>
      <c r="AK84" s="256" t="str">
        <f>IFERROR((Table7[[#This Row],[No. of Testcases Executed]]/Table7[[#This Row],[Effort for Testcase Execution]])*9,"")</f>
        <v/>
      </c>
      <c r="AL8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4" s="259" t="str">
        <f>IFERROR(Table7[[#This Row],[No. of Defects Validated]]/SUMIFS(Table3[Hours Worked],Table3[Release Name],Table7[[#This Row],[Release Name]],Table3[Task Type],"Defect Validation")*9,"")</f>
        <v/>
      </c>
      <c r="AN84" s="258" t="str">
        <f>IFERROR((Table7[[#This Row],[No. of Valid  Internal Testing Defects]])/(Table7[[#This Row],[No. of Valid  Internal Testing Defects]]+Table7[[#This Row],[No. of Invalid Internal Testing Defects]]),"")</f>
        <v/>
      </c>
      <c r="AO84" s="258" t="str">
        <f>IFERROR(Table7[[#This Row],[No. of Valid External Testing Defects]]/(Table7[[#This Row],[No. of Valid External Testing Defects]]+Table7[[#This Row],[No. of Valid  Internal Testing Defects]]),"")</f>
        <v/>
      </c>
    </row>
    <row r="85" spans="2:41">
      <c r="B85" s="237"/>
      <c r="C85" s="14"/>
      <c r="D85" s="14"/>
      <c r="E85" s="14"/>
      <c r="F85" s="230" t="str">
        <f>IFERROR((Table47[[#This Row],[Initial No. of Requirements]]+Table47[[#This Row],[Modified Requirements( Added / Deleted /Modified)]])/Table47[[#This Row],[Initial No. of Requirements]],"")</f>
        <v/>
      </c>
      <c r="G8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5" s="249"/>
      <c r="J85" s="249"/>
      <c r="K85" s="250"/>
      <c r="L85" s="250"/>
      <c r="M85" s="250"/>
      <c r="N85" s="248"/>
      <c r="O85" s="248"/>
      <c r="P85" s="248"/>
      <c r="Q85" s="248"/>
      <c r="R85" s="248"/>
      <c r="S85" s="248"/>
      <c r="T85" s="248"/>
      <c r="U85" s="248"/>
      <c r="V85" s="248"/>
      <c r="W85" s="248"/>
      <c r="X85" s="248"/>
      <c r="Y85" s="248"/>
      <c r="Z85" s="248"/>
      <c r="AA85" s="248"/>
      <c r="AB85" s="13">
        <f>SUMIFS(Table3[Hours Worked],Table3[Release Name],Table7[[#This Row],[Release Name]],Table3[Task Type],"Testcase Creation")</f>
        <v>0</v>
      </c>
      <c r="AC85" s="255">
        <f>SUMIFS(Table3[Hours Worked],Table3[Release Name],Table7[[#This Row],[Release Name]],Table3[Task Type],"Testcase Execution")</f>
        <v>0</v>
      </c>
      <c r="AD8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5" s="256" t="str">
        <f>IFERROR((Table7[[#This Row],[No. of Valid Internal Review Defects]]+Table7[[#This Row],[No. of Valid  Internal Testing Defects]]+Table7[[#This Row],[No. of  Valid External Review Defects]]+Table7[[#This Row],[No. of Valid External Testing Defects]])/Table7[[#This Row],[Size]],"")</f>
        <v/>
      </c>
      <c r="AF85" s="257" t="str">
        <f>IFERROR(Table7[[#This Row],[No. of Valid Internal Review Defects]]/(Table7[[#This Row],[No. of Valid Internal Review Defects]]+Table7[[#This Row],[No. of  Valid External Review Defects]]+Table7[[#This Row],[No. of Valid  Internal Testing Defects]]+Table7[[#This Row],[No. of Valid External Testing Defects]]),"")</f>
        <v/>
      </c>
      <c r="AG85" s="258" t="str">
        <f>IFERROR(Table7[[#This Row],[No. of Valid Internal Review Defects]]/(Table7[[#This Row],[No. of Valid Internal Review Defects]]+Table7[[#This Row],[No. of  Valid External Review Defects]]+Table7[[#This Row],[No. of Valid External Testing Defects]]),"")</f>
        <v/>
      </c>
      <c r="AH85" s="256" t="str">
        <f>IFERROR(Table7[[#This Row],[No. of Valid  Internal Testing Defects]]/Table7[[#This Row],[Overall Actual Effort for the release]],"")</f>
        <v/>
      </c>
      <c r="AI85" s="256" t="str">
        <f>IFERROR(Table7[[#This Row],[No. of Valid  Internal Testing Defects]]/Table7[[#This Row],[No. of Testcases Executed]],"")</f>
        <v/>
      </c>
      <c r="AJ85" s="259" t="str">
        <f>IFERROR(IFERROR(Table7[[#This Row],[No. of Testcases Created]]/Table7[[#This Row],[Effort for Testcase Creation]],"")*9,"")</f>
        <v/>
      </c>
      <c r="AK85" s="256" t="str">
        <f>IFERROR((Table7[[#This Row],[No. of Testcases Executed]]/Table7[[#This Row],[Effort for Testcase Execution]])*9,"")</f>
        <v/>
      </c>
      <c r="AL8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5" s="259" t="str">
        <f>IFERROR(Table7[[#This Row],[No. of Defects Validated]]/SUMIFS(Table3[Hours Worked],Table3[Release Name],Table7[[#This Row],[Release Name]],Table3[Task Type],"Defect Validation")*9,"")</f>
        <v/>
      </c>
      <c r="AN85" s="258" t="str">
        <f>IFERROR((Table7[[#This Row],[No. of Valid  Internal Testing Defects]])/(Table7[[#This Row],[No. of Valid  Internal Testing Defects]]+Table7[[#This Row],[No. of Invalid Internal Testing Defects]]),"")</f>
        <v/>
      </c>
      <c r="AO85" s="258" t="str">
        <f>IFERROR(Table7[[#This Row],[No. of Valid External Testing Defects]]/(Table7[[#This Row],[No. of Valid External Testing Defects]]+Table7[[#This Row],[No. of Valid  Internal Testing Defects]]),"")</f>
        <v/>
      </c>
    </row>
    <row r="86" spans="2:41">
      <c r="B86" s="237"/>
      <c r="C86" s="14"/>
      <c r="D86" s="14"/>
      <c r="E86" s="14"/>
      <c r="F86" s="230" t="str">
        <f>IFERROR((Table47[[#This Row],[Initial No. of Requirements]]+Table47[[#This Row],[Modified Requirements( Added / Deleted /Modified)]])/Table47[[#This Row],[Initial No. of Requirements]],"")</f>
        <v/>
      </c>
      <c r="G8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6" s="249"/>
      <c r="J86" s="249"/>
      <c r="K86" s="250"/>
      <c r="L86" s="250"/>
      <c r="M86" s="250"/>
      <c r="N86" s="248"/>
      <c r="O86" s="248"/>
      <c r="P86" s="248"/>
      <c r="Q86" s="248"/>
      <c r="R86" s="248"/>
      <c r="S86" s="248"/>
      <c r="T86" s="248"/>
      <c r="U86" s="248"/>
      <c r="V86" s="248"/>
      <c r="W86" s="248"/>
      <c r="X86" s="248"/>
      <c r="Y86" s="248"/>
      <c r="Z86" s="248"/>
      <c r="AA86" s="248"/>
      <c r="AB86" s="13">
        <f>SUMIFS(Table3[Hours Worked],Table3[Release Name],Table7[[#This Row],[Release Name]],Table3[Task Type],"Testcase Creation")</f>
        <v>0</v>
      </c>
      <c r="AC86" s="255">
        <f>SUMIFS(Table3[Hours Worked],Table3[Release Name],Table7[[#This Row],[Release Name]],Table3[Task Type],"Testcase Execution")</f>
        <v>0</v>
      </c>
      <c r="AD8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6" s="256" t="str">
        <f>IFERROR((Table7[[#This Row],[No. of Valid Internal Review Defects]]+Table7[[#This Row],[No. of Valid  Internal Testing Defects]]+Table7[[#This Row],[No. of  Valid External Review Defects]]+Table7[[#This Row],[No. of Valid External Testing Defects]])/Table7[[#This Row],[Size]],"")</f>
        <v/>
      </c>
      <c r="AF86" s="257" t="str">
        <f>IFERROR(Table7[[#This Row],[No. of Valid Internal Review Defects]]/(Table7[[#This Row],[No. of Valid Internal Review Defects]]+Table7[[#This Row],[No. of  Valid External Review Defects]]+Table7[[#This Row],[No. of Valid  Internal Testing Defects]]+Table7[[#This Row],[No. of Valid External Testing Defects]]),"")</f>
        <v/>
      </c>
      <c r="AG86" s="258" t="str">
        <f>IFERROR(Table7[[#This Row],[No. of Valid Internal Review Defects]]/(Table7[[#This Row],[No. of Valid Internal Review Defects]]+Table7[[#This Row],[No. of  Valid External Review Defects]]+Table7[[#This Row],[No. of Valid External Testing Defects]]),"")</f>
        <v/>
      </c>
      <c r="AH86" s="256" t="str">
        <f>IFERROR(Table7[[#This Row],[No. of Valid  Internal Testing Defects]]/Table7[[#This Row],[Overall Actual Effort for the release]],"")</f>
        <v/>
      </c>
      <c r="AI86" s="256" t="str">
        <f>IFERROR(Table7[[#This Row],[No. of Valid  Internal Testing Defects]]/Table7[[#This Row],[No. of Testcases Executed]],"")</f>
        <v/>
      </c>
      <c r="AJ86" s="259" t="str">
        <f>IFERROR(IFERROR(Table7[[#This Row],[No. of Testcases Created]]/Table7[[#This Row],[Effort for Testcase Creation]],"")*9,"")</f>
        <v/>
      </c>
      <c r="AK86" s="256" t="str">
        <f>IFERROR((Table7[[#This Row],[No. of Testcases Executed]]/Table7[[#This Row],[Effort for Testcase Execution]])*9,"")</f>
        <v/>
      </c>
      <c r="AL8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6" s="259" t="str">
        <f>IFERROR(Table7[[#This Row],[No. of Defects Validated]]/SUMIFS(Table3[Hours Worked],Table3[Release Name],Table7[[#This Row],[Release Name]],Table3[Task Type],"Defect Validation")*9,"")</f>
        <v/>
      </c>
      <c r="AN86" s="258" t="str">
        <f>IFERROR((Table7[[#This Row],[No. of Valid  Internal Testing Defects]])/(Table7[[#This Row],[No. of Valid  Internal Testing Defects]]+Table7[[#This Row],[No. of Invalid Internal Testing Defects]]),"")</f>
        <v/>
      </c>
      <c r="AO86" s="258" t="str">
        <f>IFERROR(Table7[[#This Row],[No. of Valid External Testing Defects]]/(Table7[[#This Row],[No. of Valid External Testing Defects]]+Table7[[#This Row],[No. of Valid  Internal Testing Defects]]),"")</f>
        <v/>
      </c>
    </row>
    <row r="87" spans="2:41">
      <c r="B87" s="237"/>
      <c r="C87" s="14"/>
      <c r="D87" s="14"/>
      <c r="E87" s="14"/>
      <c r="F87" s="230" t="str">
        <f>IFERROR((Table47[[#This Row],[Initial No. of Requirements]]+Table47[[#This Row],[Modified Requirements( Added / Deleted /Modified)]])/Table47[[#This Row],[Initial No. of Requirements]],"")</f>
        <v/>
      </c>
      <c r="G8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7" s="249"/>
      <c r="J87" s="249"/>
      <c r="K87" s="250"/>
      <c r="L87" s="250"/>
      <c r="M87" s="250"/>
      <c r="N87" s="248"/>
      <c r="O87" s="248"/>
      <c r="P87" s="248"/>
      <c r="Q87" s="248"/>
      <c r="R87" s="248"/>
      <c r="S87" s="248"/>
      <c r="T87" s="248"/>
      <c r="U87" s="248"/>
      <c r="V87" s="248"/>
      <c r="W87" s="248"/>
      <c r="X87" s="248"/>
      <c r="Y87" s="248"/>
      <c r="Z87" s="248"/>
      <c r="AA87" s="248"/>
      <c r="AB87" s="13">
        <f>SUMIFS(Table3[Hours Worked],Table3[Release Name],Table7[[#This Row],[Release Name]],Table3[Task Type],"Testcase Creation")</f>
        <v>0</v>
      </c>
      <c r="AC87" s="255">
        <f>SUMIFS(Table3[Hours Worked],Table3[Release Name],Table7[[#This Row],[Release Name]],Table3[Task Type],"Testcase Execution")</f>
        <v>0</v>
      </c>
      <c r="AD8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7" s="256" t="str">
        <f>IFERROR((Table7[[#This Row],[No. of Valid Internal Review Defects]]+Table7[[#This Row],[No. of Valid  Internal Testing Defects]]+Table7[[#This Row],[No. of  Valid External Review Defects]]+Table7[[#This Row],[No. of Valid External Testing Defects]])/Table7[[#This Row],[Size]],"")</f>
        <v/>
      </c>
      <c r="AF87" s="257" t="str">
        <f>IFERROR(Table7[[#This Row],[No. of Valid Internal Review Defects]]/(Table7[[#This Row],[No. of Valid Internal Review Defects]]+Table7[[#This Row],[No. of  Valid External Review Defects]]+Table7[[#This Row],[No. of Valid  Internal Testing Defects]]+Table7[[#This Row],[No. of Valid External Testing Defects]]),"")</f>
        <v/>
      </c>
      <c r="AG87" s="258" t="str">
        <f>IFERROR(Table7[[#This Row],[No. of Valid Internal Review Defects]]/(Table7[[#This Row],[No. of Valid Internal Review Defects]]+Table7[[#This Row],[No. of  Valid External Review Defects]]+Table7[[#This Row],[No. of Valid External Testing Defects]]),"")</f>
        <v/>
      </c>
      <c r="AH87" s="256" t="str">
        <f>IFERROR(Table7[[#This Row],[No. of Valid  Internal Testing Defects]]/Table7[[#This Row],[Overall Actual Effort for the release]],"")</f>
        <v/>
      </c>
      <c r="AI87" s="256" t="str">
        <f>IFERROR(Table7[[#This Row],[No. of Valid  Internal Testing Defects]]/Table7[[#This Row],[No. of Testcases Executed]],"")</f>
        <v/>
      </c>
      <c r="AJ87" s="259" t="str">
        <f>IFERROR(IFERROR(Table7[[#This Row],[No. of Testcases Created]]/Table7[[#This Row],[Effort for Testcase Creation]],"")*9,"")</f>
        <v/>
      </c>
      <c r="AK87" s="256" t="str">
        <f>IFERROR((Table7[[#This Row],[No. of Testcases Executed]]/Table7[[#This Row],[Effort for Testcase Execution]])*9,"")</f>
        <v/>
      </c>
      <c r="AL8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7" s="259" t="str">
        <f>IFERROR(Table7[[#This Row],[No. of Defects Validated]]/SUMIFS(Table3[Hours Worked],Table3[Release Name],Table7[[#This Row],[Release Name]],Table3[Task Type],"Defect Validation")*9,"")</f>
        <v/>
      </c>
      <c r="AN87" s="258" t="str">
        <f>IFERROR((Table7[[#This Row],[No. of Valid  Internal Testing Defects]])/(Table7[[#This Row],[No. of Valid  Internal Testing Defects]]+Table7[[#This Row],[No. of Invalid Internal Testing Defects]]),"")</f>
        <v/>
      </c>
      <c r="AO87" s="258" t="str">
        <f>IFERROR(Table7[[#This Row],[No. of Valid External Testing Defects]]/(Table7[[#This Row],[No. of Valid External Testing Defects]]+Table7[[#This Row],[No. of Valid  Internal Testing Defects]]),"")</f>
        <v/>
      </c>
    </row>
    <row r="88" spans="2:41">
      <c r="B88" s="237"/>
      <c r="C88" s="14"/>
      <c r="D88" s="14"/>
      <c r="E88" s="14"/>
      <c r="F88" s="230" t="str">
        <f>IFERROR((Table47[[#This Row],[Initial No. of Requirements]]+Table47[[#This Row],[Modified Requirements( Added / Deleted /Modified)]])/Table47[[#This Row],[Initial No. of Requirements]],"")</f>
        <v/>
      </c>
      <c r="G8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8" s="249"/>
      <c r="J88" s="249"/>
      <c r="K88" s="250"/>
      <c r="L88" s="250"/>
      <c r="M88" s="250"/>
      <c r="N88" s="248"/>
      <c r="O88" s="248"/>
      <c r="P88" s="248"/>
      <c r="Q88" s="248"/>
      <c r="R88" s="248"/>
      <c r="S88" s="248"/>
      <c r="T88" s="248"/>
      <c r="U88" s="248"/>
      <c r="V88" s="248"/>
      <c r="W88" s="248"/>
      <c r="X88" s="248"/>
      <c r="Y88" s="248"/>
      <c r="Z88" s="248"/>
      <c r="AA88" s="248"/>
      <c r="AB88" s="13">
        <f>SUMIFS(Table3[Hours Worked],Table3[Release Name],Table7[[#This Row],[Release Name]],Table3[Task Type],"Testcase Creation")</f>
        <v>0</v>
      </c>
      <c r="AC88" s="255">
        <f>SUMIFS(Table3[Hours Worked],Table3[Release Name],Table7[[#This Row],[Release Name]],Table3[Task Type],"Testcase Execution")</f>
        <v>0</v>
      </c>
      <c r="AD8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8" s="256" t="str">
        <f>IFERROR((Table7[[#This Row],[No. of Valid Internal Review Defects]]+Table7[[#This Row],[No. of Valid  Internal Testing Defects]]+Table7[[#This Row],[No. of  Valid External Review Defects]]+Table7[[#This Row],[No. of Valid External Testing Defects]])/Table7[[#This Row],[Size]],"")</f>
        <v/>
      </c>
      <c r="AF88" s="257" t="str">
        <f>IFERROR(Table7[[#This Row],[No. of Valid Internal Review Defects]]/(Table7[[#This Row],[No. of Valid Internal Review Defects]]+Table7[[#This Row],[No. of  Valid External Review Defects]]+Table7[[#This Row],[No. of Valid  Internal Testing Defects]]+Table7[[#This Row],[No. of Valid External Testing Defects]]),"")</f>
        <v/>
      </c>
      <c r="AG88" s="258" t="str">
        <f>IFERROR(Table7[[#This Row],[No. of Valid Internal Review Defects]]/(Table7[[#This Row],[No. of Valid Internal Review Defects]]+Table7[[#This Row],[No. of  Valid External Review Defects]]+Table7[[#This Row],[No. of Valid External Testing Defects]]),"")</f>
        <v/>
      </c>
      <c r="AH88" s="256" t="str">
        <f>IFERROR(Table7[[#This Row],[No. of Valid  Internal Testing Defects]]/Table7[[#This Row],[Overall Actual Effort for the release]],"")</f>
        <v/>
      </c>
      <c r="AI88" s="256" t="str">
        <f>IFERROR(Table7[[#This Row],[No. of Valid  Internal Testing Defects]]/Table7[[#This Row],[No. of Testcases Executed]],"")</f>
        <v/>
      </c>
      <c r="AJ88" s="259" t="str">
        <f>IFERROR(IFERROR(Table7[[#This Row],[No. of Testcases Created]]/Table7[[#This Row],[Effort for Testcase Creation]],"")*9,"")</f>
        <v/>
      </c>
      <c r="AK88" s="256" t="str">
        <f>IFERROR((Table7[[#This Row],[No. of Testcases Executed]]/Table7[[#This Row],[Effort for Testcase Execution]])*9,"")</f>
        <v/>
      </c>
      <c r="AL8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8" s="259" t="str">
        <f>IFERROR(Table7[[#This Row],[No. of Defects Validated]]/SUMIFS(Table3[Hours Worked],Table3[Release Name],Table7[[#This Row],[Release Name]],Table3[Task Type],"Defect Validation")*9,"")</f>
        <v/>
      </c>
      <c r="AN88" s="258" t="str">
        <f>IFERROR((Table7[[#This Row],[No. of Valid  Internal Testing Defects]])/(Table7[[#This Row],[No. of Valid  Internal Testing Defects]]+Table7[[#This Row],[No. of Invalid Internal Testing Defects]]),"")</f>
        <v/>
      </c>
      <c r="AO88" s="258" t="str">
        <f>IFERROR(Table7[[#This Row],[No. of Valid External Testing Defects]]/(Table7[[#This Row],[No. of Valid External Testing Defects]]+Table7[[#This Row],[No. of Valid  Internal Testing Defects]]),"")</f>
        <v/>
      </c>
    </row>
    <row r="89" spans="2:41">
      <c r="B89" s="237"/>
      <c r="C89" s="14"/>
      <c r="D89" s="14"/>
      <c r="E89" s="14"/>
      <c r="F89" s="230" t="str">
        <f>IFERROR((Table47[[#This Row],[Initial No. of Requirements]]+Table47[[#This Row],[Modified Requirements( Added / Deleted /Modified)]])/Table47[[#This Row],[Initial No. of Requirements]],"")</f>
        <v/>
      </c>
      <c r="G8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89" s="249"/>
      <c r="J89" s="249"/>
      <c r="K89" s="250"/>
      <c r="L89" s="250"/>
      <c r="M89" s="250"/>
      <c r="N89" s="248"/>
      <c r="O89" s="248"/>
      <c r="P89" s="248"/>
      <c r="Q89" s="248"/>
      <c r="R89" s="248"/>
      <c r="S89" s="248"/>
      <c r="T89" s="248"/>
      <c r="U89" s="248"/>
      <c r="V89" s="248"/>
      <c r="W89" s="248"/>
      <c r="X89" s="248"/>
      <c r="Y89" s="248"/>
      <c r="Z89" s="248"/>
      <c r="AA89" s="248"/>
      <c r="AB89" s="13">
        <f>SUMIFS(Table3[Hours Worked],Table3[Release Name],Table7[[#This Row],[Release Name]],Table3[Task Type],"Testcase Creation")</f>
        <v>0</v>
      </c>
      <c r="AC89" s="255">
        <f>SUMIFS(Table3[Hours Worked],Table3[Release Name],Table7[[#This Row],[Release Name]],Table3[Task Type],"Testcase Execution")</f>
        <v>0</v>
      </c>
      <c r="AD8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89" s="256" t="str">
        <f>IFERROR((Table7[[#This Row],[No. of Valid Internal Review Defects]]+Table7[[#This Row],[No. of Valid  Internal Testing Defects]]+Table7[[#This Row],[No. of  Valid External Review Defects]]+Table7[[#This Row],[No. of Valid External Testing Defects]])/Table7[[#This Row],[Size]],"")</f>
        <v/>
      </c>
      <c r="AF89" s="257" t="str">
        <f>IFERROR(Table7[[#This Row],[No. of Valid Internal Review Defects]]/(Table7[[#This Row],[No. of Valid Internal Review Defects]]+Table7[[#This Row],[No. of  Valid External Review Defects]]+Table7[[#This Row],[No. of Valid  Internal Testing Defects]]+Table7[[#This Row],[No. of Valid External Testing Defects]]),"")</f>
        <v/>
      </c>
      <c r="AG89" s="258" t="str">
        <f>IFERROR(Table7[[#This Row],[No. of Valid Internal Review Defects]]/(Table7[[#This Row],[No. of Valid Internal Review Defects]]+Table7[[#This Row],[No. of  Valid External Review Defects]]+Table7[[#This Row],[No. of Valid External Testing Defects]]),"")</f>
        <v/>
      </c>
      <c r="AH89" s="256" t="str">
        <f>IFERROR(Table7[[#This Row],[No. of Valid  Internal Testing Defects]]/Table7[[#This Row],[Overall Actual Effort for the release]],"")</f>
        <v/>
      </c>
      <c r="AI89" s="256" t="str">
        <f>IFERROR(Table7[[#This Row],[No. of Valid  Internal Testing Defects]]/Table7[[#This Row],[No. of Testcases Executed]],"")</f>
        <v/>
      </c>
      <c r="AJ89" s="259" t="str">
        <f>IFERROR(IFERROR(Table7[[#This Row],[No. of Testcases Created]]/Table7[[#This Row],[Effort for Testcase Creation]],"")*9,"")</f>
        <v/>
      </c>
      <c r="AK89" s="256" t="str">
        <f>IFERROR((Table7[[#This Row],[No. of Testcases Executed]]/Table7[[#This Row],[Effort for Testcase Execution]])*9,"")</f>
        <v/>
      </c>
      <c r="AL8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89" s="259" t="str">
        <f>IFERROR(Table7[[#This Row],[No. of Defects Validated]]/SUMIFS(Table3[Hours Worked],Table3[Release Name],Table7[[#This Row],[Release Name]],Table3[Task Type],"Defect Validation")*9,"")</f>
        <v/>
      </c>
      <c r="AN89" s="258" t="str">
        <f>IFERROR((Table7[[#This Row],[No. of Valid  Internal Testing Defects]])/(Table7[[#This Row],[No. of Valid  Internal Testing Defects]]+Table7[[#This Row],[No. of Invalid Internal Testing Defects]]),"")</f>
        <v/>
      </c>
      <c r="AO89" s="258" t="str">
        <f>IFERROR(Table7[[#This Row],[No. of Valid External Testing Defects]]/(Table7[[#This Row],[No. of Valid External Testing Defects]]+Table7[[#This Row],[No. of Valid  Internal Testing Defects]]),"")</f>
        <v/>
      </c>
    </row>
    <row r="90" spans="2:41">
      <c r="B90" s="237"/>
      <c r="C90" s="14"/>
      <c r="D90" s="14"/>
      <c r="E90" s="14"/>
      <c r="F90" s="230" t="str">
        <f>IFERROR((Table47[[#This Row],[Initial No. of Requirements]]+Table47[[#This Row],[Modified Requirements( Added / Deleted /Modified)]])/Table47[[#This Row],[Initial No. of Requirements]],"")</f>
        <v/>
      </c>
      <c r="G9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0" s="249"/>
      <c r="J90" s="249"/>
      <c r="K90" s="250"/>
      <c r="L90" s="250"/>
      <c r="M90" s="250"/>
      <c r="N90" s="248"/>
      <c r="O90" s="248"/>
      <c r="P90" s="248"/>
      <c r="Q90" s="248"/>
      <c r="R90" s="248"/>
      <c r="S90" s="248"/>
      <c r="T90" s="248"/>
      <c r="U90" s="248"/>
      <c r="V90" s="248"/>
      <c r="W90" s="248"/>
      <c r="X90" s="248"/>
      <c r="Y90" s="248"/>
      <c r="Z90" s="248"/>
      <c r="AA90" s="248"/>
      <c r="AB90" s="13">
        <f>SUMIFS(Table3[Hours Worked],Table3[Release Name],Table7[[#This Row],[Release Name]],Table3[Task Type],"Testcase Creation")</f>
        <v>0</v>
      </c>
      <c r="AC90" s="255">
        <f>SUMIFS(Table3[Hours Worked],Table3[Release Name],Table7[[#This Row],[Release Name]],Table3[Task Type],"Testcase Execution")</f>
        <v>0</v>
      </c>
      <c r="AD9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0" s="256" t="str">
        <f>IFERROR((Table7[[#This Row],[No. of Valid Internal Review Defects]]+Table7[[#This Row],[No. of Valid  Internal Testing Defects]]+Table7[[#This Row],[No. of  Valid External Review Defects]]+Table7[[#This Row],[No. of Valid External Testing Defects]])/Table7[[#This Row],[Size]],"")</f>
        <v/>
      </c>
      <c r="AF90" s="257" t="str">
        <f>IFERROR(Table7[[#This Row],[No. of Valid Internal Review Defects]]/(Table7[[#This Row],[No. of Valid Internal Review Defects]]+Table7[[#This Row],[No. of  Valid External Review Defects]]+Table7[[#This Row],[No. of Valid  Internal Testing Defects]]+Table7[[#This Row],[No. of Valid External Testing Defects]]),"")</f>
        <v/>
      </c>
      <c r="AG90" s="258" t="str">
        <f>IFERROR(Table7[[#This Row],[No. of Valid Internal Review Defects]]/(Table7[[#This Row],[No. of Valid Internal Review Defects]]+Table7[[#This Row],[No. of  Valid External Review Defects]]+Table7[[#This Row],[No. of Valid External Testing Defects]]),"")</f>
        <v/>
      </c>
      <c r="AH90" s="256" t="str">
        <f>IFERROR(Table7[[#This Row],[No. of Valid  Internal Testing Defects]]/Table7[[#This Row],[Overall Actual Effort for the release]],"")</f>
        <v/>
      </c>
      <c r="AI90" s="256" t="str">
        <f>IFERROR(Table7[[#This Row],[No. of Valid  Internal Testing Defects]]/Table7[[#This Row],[No. of Testcases Executed]],"")</f>
        <v/>
      </c>
      <c r="AJ90" s="259" t="str">
        <f>IFERROR(IFERROR(Table7[[#This Row],[No. of Testcases Created]]/Table7[[#This Row],[Effort for Testcase Creation]],"")*9,"")</f>
        <v/>
      </c>
      <c r="AK90" s="256" t="str">
        <f>IFERROR((Table7[[#This Row],[No. of Testcases Executed]]/Table7[[#This Row],[Effort for Testcase Execution]])*9,"")</f>
        <v/>
      </c>
      <c r="AL9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0" s="259" t="str">
        <f>IFERROR(Table7[[#This Row],[No. of Defects Validated]]/SUMIFS(Table3[Hours Worked],Table3[Release Name],Table7[[#This Row],[Release Name]],Table3[Task Type],"Defect Validation")*9,"")</f>
        <v/>
      </c>
      <c r="AN90" s="258" t="str">
        <f>IFERROR((Table7[[#This Row],[No. of Valid  Internal Testing Defects]])/(Table7[[#This Row],[No. of Valid  Internal Testing Defects]]+Table7[[#This Row],[No. of Invalid Internal Testing Defects]]),"")</f>
        <v/>
      </c>
      <c r="AO90" s="258" t="str">
        <f>IFERROR(Table7[[#This Row],[No. of Valid External Testing Defects]]/(Table7[[#This Row],[No. of Valid External Testing Defects]]+Table7[[#This Row],[No. of Valid  Internal Testing Defects]]),"")</f>
        <v/>
      </c>
    </row>
    <row r="91" spans="2:41">
      <c r="B91" s="237"/>
      <c r="C91" s="14"/>
      <c r="D91" s="14"/>
      <c r="E91" s="14"/>
      <c r="F91" s="230" t="str">
        <f>IFERROR((Table47[[#This Row],[Initial No. of Requirements]]+Table47[[#This Row],[Modified Requirements( Added / Deleted /Modified)]])/Table47[[#This Row],[Initial No. of Requirements]],"")</f>
        <v/>
      </c>
      <c r="G9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1" s="249"/>
      <c r="J91" s="249"/>
      <c r="K91" s="250"/>
      <c r="L91" s="250"/>
      <c r="M91" s="250"/>
      <c r="N91" s="248"/>
      <c r="O91" s="248"/>
      <c r="P91" s="248"/>
      <c r="Q91" s="248"/>
      <c r="R91" s="248"/>
      <c r="S91" s="248"/>
      <c r="T91" s="248"/>
      <c r="U91" s="248"/>
      <c r="V91" s="248"/>
      <c r="W91" s="248"/>
      <c r="X91" s="248"/>
      <c r="Y91" s="248"/>
      <c r="Z91" s="248"/>
      <c r="AA91" s="248"/>
      <c r="AB91" s="13">
        <f>SUMIFS(Table3[Hours Worked],Table3[Release Name],Table7[[#This Row],[Release Name]],Table3[Task Type],"Testcase Creation")</f>
        <v>0</v>
      </c>
      <c r="AC91" s="255">
        <f>SUMIFS(Table3[Hours Worked],Table3[Release Name],Table7[[#This Row],[Release Name]],Table3[Task Type],"Testcase Execution")</f>
        <v>0</v>
      </c>
      <c r="AD9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1" s="256" t="str">
        <f>IFERROR((Table7[[#This Row],[No. of Valid Internal Review Defects]]+Table7[[#This Row],[No. of Valid  Internal Testing Defects]]+Table7[[#This Row],[No. of  Valid External Review Defects]]+Table7[[#This Row],[No. of Valid External Testing Defects]])/Table7[[#This Row],[Size]],"")</f>
        <v/>
      </c>
      <c r="AF91" s="257" t="str">
        <f>IFERROR(Table7[[#This Row],[No. of Valid Internal Review Defects]]/(Table7[[#This Row],[No. of Valid Internal Review Defects]]+Table7[[#This Row],[No. of  Valid External Review Defects]]+Table7[[#This Row],[No. of Valid  Internal Testing Defects]]+Table7[[#This Row],[No. of Valid External Testing Defects]]),"")</f>
        <v/>
      </c>
      <c r="AG91" s="258" t="str">
        <f>IFERROR(Table7[[#This Row],[No. of Valid Internal Review Defects]]/(Table7[[#This Row],[No. of Valid Internal Review Defects]]+Table7[[#This Row],[No. of  Valid External Review Defects]]+Table7[[#This Row],[No. of Valid External Testing Defects]]),"")</f>
        <v/>
      </c>
      <c r="AH91" s="256" t="str">
        <f>IFERROR(Table7[[#This Row],[No. of Valid  Internal Testing Defects]]/Table7[[#This Row],[Overall Actual Effort for the release]],"")</f>
        <v/>
      </c>
      <c r="AI91" s="256" t="str">
        <f>IFERROR(Table7[[#This Row],[No. of Valid  Internal Testing Defects]]/Table7[[#This Row],[No. of Testcases Executed]],"")</f>
        <v/>
      </c>
      <c r="AJ91" s="259" t="str">
        <f>IFERROR(IFERROR(Table7[[#This Row],[No. of Testcases Created]]/Table7[[#This Row],[Effort for Testcase Creation]],"")*9,"")</f>
        <v/>
      </c>
      <c r="AK91" s="256" t="str">
        <f>IFERROR((Table7[[#This Row],[No. of Testcases Executed]]/Table7[[#This Row],[Effort for Testcase Execution]])*9,"")</f>
        <v/>
      </c>
      <c r="AL9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1" s="259" t="str">
        <f>IFERROR(Table7[[#This Row],[No. of Defects Validated]]/SUMIFS(Table3[Hours Worked],Table3[Release Name],Table7[[#This Row],[Release Name]],Table3[Task Type],"Defect Validation")*9,"")</f>
        <v/>
      </c>
      <c r="AN91" s="258" t="str">
        <f>IFERROR((Table7[[#This Row],[No. of Valid  Internal Testing Defects]])/(Table7[[#This Row],[No. of Valid  Internal Testing Defects]]+Table7[[#This Row],[No. of Invalid Internal Testing Defects]]),"")</f>
        <v/>
      </c>
      <c r="AO91" s="258" t="str">
        <f>IFERROR(Table7[[#This Row],[No. of Valid External Testing Defects]]/(Table7[[#This Row],[No. of Valid External Testing Defects]]+Table7[[#This Row],[No. of Valid  Internal Testing Defects]]),"")</f>
        <v/>
      </c>
    </row>
    <row r="92" spans="2:41">
      <c r="B92" s="237"/>
      <c r="C92" s="14"/>
      <c r="D92" s="14"/>
      <c r="E92" s="14"/>
      <c r="F92" s="230" t="str">
        <f>IFERROR((Table47[[#This Row],[Initial No. of Requirements]]+Table47[[#This Row],[Modified Requirements( Added / Deleted /Modified)]])/Table47[[#This Row],[Initial No. of Requirements]],"")</f>
        <v/>
      </c>
      <c r="G9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2" s="249"/>
      <c r="J92" s="249"/>
      <c r="K92" s="250"/>
      <c r="L92" s="250"/>
      <c r="M92" s="250"/>
      <c r="N92" s="248"/>
      <c r="O92" s="248"/>
      <c r="P92" s="248"/>
      <c r="Q92" s="248"/>
      <c r="R92" s="248"/>
      <c r="S92" s="248"/>
      <c r="T92" s="248"/>
      <c r="U92" s="248"/>
      <c r="V92" s="248"/>
      <c r="W92" s="248"/>
      <c r="X92" s="248"/>
      <c r="Y92" s="248"/>
      <c r="Z92" s="248"/>
      <c r="AA92" s="248"/>
      <c r="AB92" s="13">
        <f>SUMIFS(Table3[Hours Worked],Table3[Release Name],Table7[[#This Row],[Release Name]],Table3[Task Type],"Testcase Creation")</f>
        <v>0</v>
      </c>
      <c r="AC92" s="255">
        <f>SUMIFS(Table3[Hours Worked],Table3[Release Name],Table7[[#This Row],[Release Name]],Table3[Task Type],"Testcase Execution")</f>
        <v>0</v>
      </c>
      <c r="AD9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2" s="256" t="str">
        <f>IFERROR((Table7[[#This Row],[No. of Valid Internal Review Defects]]+Table7[[#This Row],[No. of Valid  Internal Testing Defects]]+Table7[[#This Row],[No. of  Valid External Review Defects]]+Table7[[#This Row],[No. of Valid External Testing Defects]])/Table7[[#This Row],[Size]],"")</f>
        <v/>
      </c>
      <c r="AF92" s="257" t="str">
        <f>IFERROR(Table7[[#This Row],[No. of Valid Internal Review Defects]]/(Table7[[#This Row],[No. of Valid Internal Review Defects]]+Table7[[#This Row],[No. of  Valid External Review Defects]]+Table7[[#This Row],[No. of Valid  Internal Testing Defects]]+Table7[[#This Row],[No. of Valid External Testing Defects]]),"")</f>
        <v/>
      </c>
      <c r="AG92" s="258" t="str">
        <f>IFERROR(Table7[[#This Row],[No. of Valid Internal Review Defects]]/(Table7[[#This Row],[No. of Valid Internal Review Defects]]+Table7[[#This Row],[No. of  Valid External Review Defects]]+Table7[[#This Row],[No. of Valid External Testing Defects]]),"")</f>
        <v/>
      </c>
      <c r="AH92" s="256" t="str">
        <f>IFERROR(Table7[[#This Row],[No. of Valid  Internal Testing Defects]]/Table7[[#This Row],[Overall Actual Effort for the release]],"")</f>
        <v/>
      </c>
      <c r="AI92" s="256" t="str">
        <f>IFERROR(Table7[[#This Row],[No. of Valid  Internal Testing Defects]]/Table7[[#This Row],[No. of Testcases Executed]],"")</f>
        <v/>
      </c>
      <c r="AJ92" s="259" t="str">
        <f>IFERROR(IFERROR(Table7[[#This Row],[No. of Testcases Created]]/Table7[[#This Row],[Effort for Testcase Creation]],"")*9,"")</f>
        <v/>
      </c>
      <c r="AK92" s="256" t="str">
        <f>IFERROR((Table7[[#This Row],[No. of Testcases Executed]]/Table7[[#This Row],[Effort for Testcase Execution]])*9,"")</f>
        <v/>
      </c>
      <c r="AL9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2" s="259" t="str">
        <f>IFERROR(Table7[[#This Row],[No. of Defects Validated]]/SUMIFS(Table3[Hours Worked],Table3[Release Name],Table7[[#This Row],[Release Name]],Table3[Task Type],"Defect Validation")*9,"")</f>
        <v/>
      </c>
      <c r="AN92" s="258" t="str">
        <f>IFERROR((Table7[[#This Row],[No. of Valid  Internal Testing Defects]])/(Table7[[#This Row],[No. of Valid  Internal Testing Defects]]+Table7[[#This Row],[No. of Invalid Internal Testing Defects]]),"")</f>
        <v/>
      </c>
      <c r="AO92" s="258" t="str">
        <f>IFERROR(Table7[[#This Row],[No. of Valid External Testing Defects]]/(Table7[[#This Row],[No. of Valid External Testing Defects]]+Table7[[#This Row],[No. of Valid  Internal Testing Defects]]),"")</f>
        <v/>
      </c>
    </row>
    <row r="93" spans="2:41">
      <c r="B93" s="237"/>
      <c r="C93" s="14"/>
      <c r="D93" s="14"/>
      <c r="E93" s="14"/>
      <c r="F93" s="230" t="str">
        <f>IFERROR((Table47[[#This Row],[Initial No. of Requirements]]+Table47[[#This Row],[Modified Requirements( Added / Deleted /Modified)]])/Table47[[#This Row],[Initial No. of Requirements]],"")</f>
        <v/>
      </c>
      <c r="G9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3" s="249"/>
      <c r="J93" s="249"/>
      <c r="K93" s="250"/>
      <c r="L93" s="250"/>
      <c r="M93" s="250"/>
      <c r="N93" s="248"/>
      <c r="O93" s="248"/>
      <c r="P93" s="248"/>
      <c r="Q93" s="248"/>
      <c r="R93" s="248"/>
      <c r="S93" s="248"/>
      <c r="T93" s="248"/>
      <c r="U93" s="248"/>
      <c r="V93" s="248"/>
      <c r="W93" s="248"/>
      <c r="X93" s="248"/>
      <c r="Y93" s="248"/>
      <c r="Z93" s="248"/>
      <c r="AA93" s="248"/>
      <c r="AB93" s="13">
        <f>SUMIFS(Table3[Hours Worked],Table3[Release Name],Table7[[#This Row],[Release Name]],Table3[Task Type],"Testcase Creation")</f>
        <v>0</v>
      </c>
      <c r="AC93" s="255">
        <f>SUMIFS(Table3[Hours Worked],Table3[Release Name],Table7[[#This Row],[Release Name]],Table3[Task Type],"Testcase Execution")</f>
        <v>0</v>
      </c>
      <c r="AD9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3" s="256" t="str">
        <f>IFERROR((Table7[[#This Row],[No. of Valid Internal Review Defects]]+Table7[[#This Row],[No. of Valid  Internal Testing Defects]]+Table7[[#This Row],[No. of  Valid External Review Defects]]+Table7[[#This Row],[No. of Valid External Testing Defects]])/Table7[[#This Row],[Size]],"")</f>
        <v/>
      </c>
      <c r="AF93" s="257" t="str">
        <f>IFERROR(Table7[[#This Row],[No. of Valid Internal Review Defects]]/(Table7[[#This Row],[No. of Valid Internal Review Defects]]+Table7[[#This Row],[No. of  Valid External Review Defects]]+Table7[[#This Row],[No. of Valid  Internal Testing Defects]]+Table7[[#This Row],[No. of Valid External Testing Defects]]),"")</f>
        <v/>
      </c>
      <c r="AG93" s="258" t="str">
        <f>IFERROR(Table7[[#This Row],[No. of Valid Internal Review Defects]]/(Table7[[#This Row],[No. of Valid Internal Review Defects]]+Table7[[#This Row],[No. of  Valid External Review Defects]]+Table7[[#This Row],[No. of Valid External Testing Defects]]),"")</f>
        <v/>
      </c>
      <c r="AH93" s="256" t="str">
        <f>IFERROR(Table7[[#This Row],[No. of Valid  Internal Testing Defects]]/Table7[[#This Row],[Overall Actual Effort for the release]],"")</f>
        <v/>
      </c>
      <c r="AI93" s="256" t="str">
        <f>IFERROR(Table7[[#This Row],[No. of Valid  Internal Testing Defects]]/Table7[[#This Row],[No. of Testcases Executed]],"")</f>
        <v/>
      </c>
      <c r="AJ93" s="259" t="str">
        <f>IFERROR(IFERROR(Table7[[#This Row],[No. of Testcases Created]]/Table7[[#This Row],[Effort for Testcase Creation]],"")*9,"")</f>
        <v/>
      </c>
      <c r="AK93" s="256" t="str">
        <f>IFERROR((Table7[[#This Row],[No. of Testcases Executed]]/Table7[[#This Row],[Effort for Testcase Execution]])*9,"")</f>
        <v/>
      </c>
      <c r="AL9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3" s="259" t="str">
        <f>IFERROR(Table7[[#This Row],[No. of Defects Validated]]/SUMIFS(Table3[Hours Worked],Table3[Release Name],Table7[[#This Row],[Release Name]],Table3[Task Type],"Defect Validation")*9,"")</f>
        <v/>
      </c>
      <c r="AN93" s="258" t="str">
        <f>IFERROR((Table7[[#This Row],[No. of Valid  Internal Testing Defects]])/(Table7[[#This Row],[No. of Valid  Internal Testing Defects]]+Table7[[#This Row],[No. of Invalid Internal Testing Defects]]),"")</f>
        <v/>
      </c>
      <c r="AO93" s="258" t="str">
        <f>IFERROR(Table7[[#This Row],[No. of Valid External Testing Defects]]/(Table7[[#This Row],[No. of Valid External Testing Defects]]+Table7[[#This Row],[No. of Valid  Internal Testing Defects]]),"")</f>
        <v/>
      </c>
    </row>
    <row r="94" spans="2:41">
      <c r="B94" s="237"/>
      <c r="C94" s="14"/>
      <c r="D94" s="14"/>
      <c r="E94" s="14"/>
      <c r="F94" s="230" t="str">
        <f>IFERROR((Table47[[#This Row],[Initial No. of Requirements]]+Table47[[#This Row],[Modified Requirements( Added / Deleted /Modified)]])/Table47[[#This Row],[Initial No. of Requirements]],"")</f>
        <v/>
      </c>
      <c r="G9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4" s="249"/>
      <c r="J94" s="249"/>
      <c r="K94" s="250"/>
      <c r="L94" s="250"/>
      <c r="M94" s="250"/>
      <c r="N94" s="248"/>
      <c r="O94" s="248"/>
      <c r="P94" s="248"/>
      <c r="Q94" s="248"/>
      <c r="R94" s="248"/>
      <c r="S94" s="248"/>
      <c r="T94" s="248"/>
      <c r="U94" s="248"/>
      <c r="V94" s="248"/>
      <c r="W94" s="248"/>
      <c r="X94" s="248"/>
      <c r="Y94" s="248"/>
      <c r="Z94" s="248"/>
      <c r="AA94" s="248"/>
      <c r="AB94" s="13">
        <f>SUMIFS(Table3[Hours Worked],Table3[Release Name],Table7[[#This Row],[Release Name]],Table3[Task Type],"Testcase Creation")</f>
        <v>0</v>
      </c>
      <c r="AC94" s="255">
        <f>SUMIFS(Table3[Hours Worked],Table3[Release Name],Table7[[#This Row],[Release Name]],Table3[Task Type],"Testcase Execution")</f>
        <v>0</v>
      </c>
      <c r="AD9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4" s="256" t="str">
        <f>IFERROR((Table7[[#This Row],[No. of Valid Internal Review Defects]]+Table7[[#This Row],[No. of Valid  Internal Testing Defects]]+Table7[[#This Row],[No. of  Valid External Review Defects]]+Table7[[#This Row],[No. of Valid External Testing Defects]])/Table7[[#This Row],[Size]],"")</f>
        <v/>
      </c>
      <c r="AF94" s="257" t="str">
        <f>IFERROR(Table7[[#This Row],[No. of Valid Internal Review Defects]]/(Table7[[#This Row],[No. of Valid Internal Review Defects]]+Table7[[#This Row],[No. of  Valid External Review Defects]]+Table7[[#This Row],[No. of Valid  Internal Testing Defects]]+Table7[[#This Row],[No. of Valid External Testing Defects]]),"")</f>
        <v/>
      </c>
      <c r="AG94" s="258" t="str">
        <f>IFERROR(Table7[[#This Row],[No. of Valid Internal Review Defects]]/(Table7[[#This Row],[No. of Valid Internal Review Defects]]+Table7[[#This Row],[No. of  Valid External Review Defects]]+Table7[[#This Row],[No. of Valid External Testing Defects]]),"")</f>
        <v/>
      </c>
      <c r="AH94" s="256" t="str">
        <f>IFERROR(Table7[[#This Row],[No. of Valid  Internal Testing Defects]]/Table7[[#This Row],[Overall Actual Effort for the release]],"")</f>
        <v/>
      </c>
      <c r="AI94" s="256" t="str">
        <f>IFERROR(Table7[[#This Row],[No. of Valid  Internal Testing Defects]]/Table7[[#This Row],[No. of Testcases Executed]],"")</f>
        <v/>
      </c>
      <c r="AJ94" s="259" t="str">
        <f>IFERROR(IFERROR(Table7[[#This Row],[No. of Testcases Created]]/Table7[[#This Row],[Effort for Testcase Creation]],"")*9,"")</f>
        <v/>
      </c>
      <c r="AK94" s="256" t="str">
        <f>IFERROR((Table7[[#This Row],[No. of Testcases Executed]]/Table7[[#This Row],[Effort for Testcase Execution]])*9,"")</f>
        <v/>
      </c>
      <c r="AL9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4" s="259" t="str">
        <f>IFERROR(Table7[[#This Row],[No. of Defects Validated]]/SUMIFS(Table3[Hours Worked],Table3[Release Name],Table7[[#This Row],[Release Name]],Table3[Task Type],"Defect Validation")*9,"")</f>
        <v/>
      </c>
      <c r="AN94" s="258" t="str">
        <f>IFERROR((Table7[[#This Row],[No. of Valid  Internal Testing Defects]])/(Table7[[#This Row],[No. of Valid  Internal Testing Defects]]+Table7[[#This Row],[No. of Invalid Internal Testing Defects]]),"")</f>
        <v/>
      </c>
      <c r="AO94" s="258" t="str">
        <f>IFERROR(Table7[[#This Row],[No. of Valid External Testing Defects]]/(Table7[[#This Row],[No. of Valid External Testing Defects]]+Table7[[#This Row],[No. of Valid  Internal Testing Defects]]),"")</f>
        <v/>
      </c>
    </row>
    <row r="95" spans="2:41">
      <c r="B95" s="237"/>
      <c r="C95" s="14"/>
      <c r="D95" s="14"/>
      <c r="E95" s="14"/>
      <c r="F95" s="230" t="str">
        <f>IFERROR((Table47[[#This Row],[Initial No. of Requirements]]+Table47[[#This Row],[Modified Requirements( Added / Deleted /Modified)]])/Table47[[#This Row],[Initial No. of Requirements]],"")</f>
        <v/>
      </c>
      <c r="G9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5" s="249"/>
      <c r="J95" s="249"/>
      <c r="K95" s="250"/>
      <c r="L95" s="250"/>
      <c r="M95" s="250"/>
      <c r="N95" s="248"/>
      <c r="O95" s="248"/>
      <c r="P95" s="248"/>
      <c r="Q95" s="248"/>
      <c r="R95" s="248"/>
      <c r="S95" s="248"/>
      <c r="T95" s="248"/>
      <c r="U95" s="248"/>
      <c r="V95" s="248"/>
      <c r="W95" s="248"/>
      <c r="X95" s="248"/>
      <c r="Y95" s="248"/>
      <c r="Z95" s="248"/>
      <c r="AA95" s="248"/>
      <c r="AB95" s="13">
        <f>SUMIFS(Table3[Hours Worked],Table3[Release Name],Table7[[#This Row],[Release Name]],Table3[Task Type],"Testcase Creation")</f>
        <v>0</v>
      </c>
      <c r="AC95" s="255">
        <f>SUMIFS(Table3[Hours Worked],Table3[Release Name],Table7[[#This Row],[Release Name]],Table3[Task Type],"Testcase Execution")</f>
        <v>0</v>
      </c>
      <c r="AD9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5" s="256" t="str">
        <f>IFERROR((Table7[[#This Row],[No. of Valid Internal Review Defects]]+Table7[[#This Row],[No. of Valid  Internal Testing Defects]]+Table7[[#This Row],[No. of  Valid External Review Defects]]+Table7[[#This Row],[No. of Valid External Testing Defects]])/Table7[[#This Row],[Size]],"")</f>
        <v/>
      </c>
      <c r="AF95" s="257" t="str">
        <f>IFERROR(Table7[[#This Row],[No. of Valid Internal Review Defects]]/(Table7[[#This Row],[No. of Valid Internal Review Defects]]+Table7[[#This Row],[No. of  Valid External Review Defects]]+Table7[[#This Row],[No. of Valid  Internal Testing Defects]]+Table7[[#This Row],[No. of Valid External Testing Defects]]),"")</f>
        <v/>
      </c>
      <c r="AG95" s="258" t="str">
        <f>IFERROR(Table7[[#This Row],[No. of Valid Internal Review Defects]]/(Table7[[#This Row],[No. of Valid Internal Review Defects]]+Table7[[#This Row],[No. of  Valid External Review Defects]]+Table7[[#This Row],[No. of Valid External Testing Defects]]),"")</f>
        <v/>
      </c>
      <c r="AH95" s="256" t="str">
        <f>IFERROR(Table7[[#This Row],[No. of Valid  Internal Testing Defects]]/Table7[[#This Row],[Overall Actual Effort for the release]],"")</f>
        <v/>
      </c>
      <c r="AI95" s="256" t="str">
        <f>IFERROR(Table7[[#This Row],[No. of Valid  Internal Testing Defects]]/Table7[[#This Row],[No. of Testcases Executed]],"")</f>
        <v/>
      </c>
      <c r="AJ95" s="259" t="str">
        <f>IFERROR(IFERROR(Table7[[#This Row],[No. of Testcases Created]]/Table7[[#This Row],[Effort for Testcase Creation]],"")*9,"")</f>
        <v/>
      </c>
      <c r="AK95" s="256" t="str">
        <f>IFERROR((Table7[[#This Row],[No. of Testcases Executed]]/Table7[[#This Row],[Effort for Testcase Execution]])*9,"")</f>
        <v/>
      </c>
      <c r="AL9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5" s="259" t="str">
        <f>IFERROR(Table7[[#This Row],[No. of Defects Validated]]/SUMIFS(Table3[Hours Worked],Table3[Release Name],Table7[[#This Row],[Release Name]],Table3[Task Type],"Defect Validation")*9,"")</f>
        <v/>
      </c>
      <c r="AN95" s="258" t="str">
        <f>IFERROR((Table7[[#This Row],[No. of Valid  Internal Testing Defects]])/(Table7[[#This Row],[No. of Valid  Internal Testing Defects]]+Table7[[#This Row],[No. of Invalid Internal Testing Defects]]),"")</f>
        <v/>
      </c>
      <c r="AO95" s="258" t="str">
        <f>IFERROR(Table7[[#This Row],[No. of Valid External Testing Defects]]/(Table7[[#This Row],[No. of Valid External Testing Defects]]+Table7[[#This Row],[No. of Valid  Internal Testing Defects]]),"")</f>
        <v/>
      </c>
    </row>
    <row r="96" spans="2:41">
      <c r="B96" s="237"/>
      <c r="C96" s="14"/>
      <c r="D96" s="14"/>
      <c r="E96" s="14"/>
      <c r="F96" s="230" t="str">
        <f>IFERROR((Table47[[#This Row],[Initial No. of Requirements]]+Table47[[#This Row],[Modified Requirements( Added / Deleted /Modified)]])/Table47[[#This Row],[Initial No. of Requirements]],"")</f>
        <v/>
      </c>
      <c r="G9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6" s="249"/>
      <c r="J96" s="249"/>
      <c r="K96" s="250"/>
      <c r="L96" s="250"/>
      <c r="M96" s="250"/>
      <c r="N96" s="248"/>
      <c r="O96" s="248"/>
      <c r="P96" s="248"/>
      <c r="Q96" s="248"/>
      <c r="R96" s="248"/>
      <c r="S96" s="248"/>
      <c r="T96" s="248"/>
      <c r="U96" s="248"/>
      <c r="V96" s="248"/>
      <c r="W96" s="248"/>
      <c r="X96" s="248"/>
      <c r="Y96" s="248"/>
      <c r="Z96" s="248"/>
      <c r="AA96" s="248"/>
      <c r="AB96" s="13">
        <f>SUMIFS(Table3[Hours Worked],Table3[Release Name],Table7[[#This Row],[Release Name]],Table3[Task Type],"Testcase Creation")</f>
        <v>0</v>
      </c>
      <c r="AC96" s="255">
        <f>SUMIFS(Table3[Hours Worked],Table3[Release Name],Table7[[#This Row],[Release Name]],Table3[Task Type],"Testcase Execution")</f>
        <v>0</v>
      </c>
      <c r="AD9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6" s="256" t="str">
        <f>IFERROR((Table7[[#This Row],[No. of Valid Internal Review Defects]]+Table7[[#This Row],[No. of Valid  Internal Testing Defects]]+Table7[[#This Row],[No. of  Valid External Review Defects]]+Table7[[#This Row],[No. of Valid External Testing Defects]])/Table7[[#This Row],[Size]],"")</f>
        <v/>
      </c>
      <c r="AF96" s="257" t="str">
        <f>IFERROR(Table7[[#This Row],[No. of Valid Internal Review Defects]]/(Table7[[#This Row],[No. of Valid Internal Review Defects]]+Table7[[#This Row],[No. of  Valid External Review Defects]]+Table7[[#This Row],[No. of Valid  Internal Testing Defects]]+Table7[[#This Row],[No. of Valid External Testing Defects]]),"")</f>
        <v/>
      </c>
      <c r="AG96" s="258" t="str">
        <f>IFERROR(Table7[[#This Row],[No. of Valid Internal Review Defects]]/(Table7[[#This Row],[No. of Valid Internal Review Defects]]+Table7[[#This Row],[No. of  Valid External Review Defects]]+Table7[[#This Row],[No. of Valid External Testing Defects]]),"")</f>
        <v/>
      </c>
      <c r="AH96" s="256" t="str">
        <f>IFERROR(Table7[[#This Row],[No. of Valid  Internal Testing Defects]]/Table7[[#This Row],[Overall Actual Effort for the release]],"")</f>
        <v/>
      </c>
      <c r="AI96" s="256" t="str">
        <f>IFERROR(Table7[[#This Row],[No. of Valid  Internal Testing Defects]]/Table7[[#This Row],[No. of Testcases Executed]],"")</f>
        <v/>
      </c>
      <c r="AJ96" s="259" t="str">
        <f>IFERROR(IFERROR(Table7[[#This Row],[No. of Testcases Created]]/Table7[[#This Row],[Effort for Testcase Creation]],"")*9,"")</f>
        <v/>
      </c>
      <c r="AK96" s="256" t="str">
        <f>IFERROR((Table7[[#This Row],[No. of Testcases Executed]]/Table7[[#This Row],[Effort for Testcase Execution]])*9,"")</f>
        <v/>
      </c>
      <c r="AL9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6" s="259" t="str">
        <f>IFERROR(Table7[[#This Row],[No. of Defects Validated]]/SUMIFS(Table3[Hours Worked],Table3[Release Name],Table7[[#This Row],[Release Name]],Table3[Task Type],"Defect Validation")*9,"")</f>
        <v/>
      </c>
      <c r="AN96" s="258" t="str">
        <f>IFERROR((Table7[[#This Row],[No. of Valid  Internal Testing Defects]])/(Table7[[#This Row],[No. of Valid  Internal Testing Defects]]+Table7[[#This Row],[No. of Invalid Internal Testing Defects]]),"")</f>
        <v/>
      </c>
      <c r="AO96" s="258" t="str">
        <f>IFERROR(Table7[[#This Row],[No. of Valid External Testing Defects]]/(Table7[[#This Row],[No. of Valid External Testing Defects]]+Table7[[#This Row],[No. of Valid  Internal Testing Defects]]),"")</f>
        <v/>
      </c>
    </row>
    <row r="97" spans="2:41">
      <c r="B97" s="237"/>
      <c r="C97" s="14"/>
      <c r="D97" s="14"/>
      <c r="E97" s="14"/>
      <c r="F97" s="230" t="str">
        <f>IFERROR((Table47[[#This Row],[Initial No. of Requirements]]+Table47[[#This Row],[Modified Requirements( Added / Deleted /Modified)]])/Table47[[#This Row],[Initial No. of Requirements]],"")</f>
        <v/>
      </c>
      <c r="G9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7" s="249"/>
      <c r="J97" s="249"/>
      <c r="K97" s="250"/>
      <c r="L97" s="250"/>
      <c r="M97" s="250"/>
      <c r="N97" s="248"/>
      <c r="O97" s="248"/>
      <c r="P97" s="248"/>
      <c r="Q97" s="248"/>
      <c r="R97" s="248"/>
      <c r="S97" s="248"/>
      <c r="T97" s="248"/>
      <c r="U97" s="248"/>
      <c r="V97" s="248"/>
      <c r="W97" s="248"/>
      <c r="X97" s="248"/>
      <c r="Y97" s="248"/>
      <c r="Z97" s="248"/>
      <c r="AA97" s="248"/>
      <c r="AB97" s="13">
        <f>SUMIFS(Table3[Hours Worked],Table3[Release Name],Table7[[#This Row],[Release Name]],Table3[Task Type],"Testcase Creation")</f>
        <v>0</v>
      </c>
      <c r="AC97" s="255">
        <f>SUMIFS(Table3[Hours Worked],Table3[Release Name],Table7[[#This Row],[Release Name]],Table3[Task Type],"Testcase Execution")</f>
        <v>0</v>
      </c>
      <c r="AD9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7" s="256" t="str">
        <f>IFERROR((Table7[[#This Row],[No. of Valid Internal Review Defects]]+Table7[[#This Row],[No. of Valid  Internal Testing Defects]]+Table7[[#This Row],[No. of  Valid External Review Defects]]+Table7[[#This Row],[No. of Valid External Testing Defects]])/Table7[[#This Row],[Size]],"")</f>
        <v/>
      </c>
      <c r="AF97" s="257" t="str">
        <f>IFERROR(Table7[[#This Row],[No. of Valid Internal Review Defects]]/(Table7[[#This Row],[No. of Valid Internal Review Defects]]+Table7[[#This Row],[No. of  Valid External Review Defects]]+Table7[[#This Row],[No. of Valid  Internal Testing Defects]]+Table7[[#This Row],[No. of Valid External Testing Defects]]),"")</f>
        <v/>
      </c>
      <c r="AG97" s="258" t="str">
        <f>IFERROR(Table7[[#This Row],[No. of Valid Internal Review Defects]]/(Table7[[#This Row],[No. of Valid Internal Review Defects]]+Table7[[#This Row],[No. of  Valid External Review Defects]]+Table7[[#This Row],[No. of Valid External Testing Defects]]),"")</f>
        <v/>
      </c>
      <c r="AH97" s="256" t="str">
        <f>IFERROR(Table7[[#This Row],[No. of Valid  Internal Testing Defects]]/Table7[[#This Row],[Overall Actual Effort for the release]],"")</f>
        <v/>
      </c>
      <c r="AI97" s="256" t="str">
        <f>IFERROR(Table7[[#This Row],[No. of Valid  Internal Testing Defects]]/Table7[[#This Row],[No. of Testcases Executed]],"")</f>
        <v/>
      </c>
      <c r="AJ97" s="259" t="str">
        <f>IFERROR(IFERROR(Table7[[#This Row],[No. of Testcases Created]]/Table7[[#This Row],[Effort for Testcase Creation]],"")*9,"")</f>
        <v/>
      </c>
      <c r="AK97" s="256" t="str">
        <f>IFERROR((Table7[[#This Row],[No. of Testcases Executed]]/Table7[[#This Row],[Effort for Testcase Execution]])*9,"")</f>
        <v/>
      </c>
      <c r="AL9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7" s="259" t="str">
        <f>IFERROR(Table7[[#This Row],[No. of Defects Validated]]/SUMIFS(Table3[Hours Worked],Table3[Release Name],Table7[[#This Row],[Release Name]],Table3[Task Type],"Defect Validation")*9,"")</f>
        <v/>
      </c>
      <c r="AN97" s="258" t="str">
        <f>IFERROR((Table7[[#This Row],[No. of Valid  Internal Testing Defects]])/(Table7[[#This Row],[No. of Valid  Internal Testing Defects]]+Table7[[#This Row],[No. of Invalid Internal Testing Defects]]),"")</f>
        <v/>
      </c>
      <c r="AO97" s="258" t="str">
        <f>IFERROR(Table7[[#This Row],[No. of Valid External Testing Defects]]/(Table7[[#This Row],[No. of Valid External Testing Defects]]+Table7[[#This Row],[No. of Valid  Internal Testing Defects]]),"")</f>
        <v/>
      </c>
    </row>
    <row r="98" spans="2:41">
      <c r="B98" s="237"/>
      <c r="C98" s="14"/>
      <c r="D98" s="14"/>
      <c r="E98" s="14"/>
      <c r="F98" s="230" t="str">
        <f>IFERROR((Table47[[#This Row],[Initial No. of Requirements]]+Table47[[#This Row],[Modified Requirements( Added / Deleted /Modified)]])/Table47[[#This Row],[Initial No. of Requirements]],"")</f>
        <v/>
      </c>
      <c r="G9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8" s="249"/>
      <c r="J98" s="249"/>
      <c r="K98" s="250"/>
      <c r="L98" s="250"/>
      <c r="M98" s="250"/>
      <c r="N98" s="248"/>
      <c r="O98" s="248"/>
      <c r="P98" s="248"/>
      <c r="Q98" s="248"/>
      <c r="R98" s="248"/>
      <c r="S98" s="248"/>
      <c r="T98" s="248"/>
      <c r="U98" s="248"/>
      <c r="V98" s="248"/>
      <c r="W98" s="248"/>
      <c r="X98" s="248"/>
      <c r="Y98" s="248"/>
      <c r="Z98" s="248"/>
      <c r="AA98" s="248"/>
      <c r="AB98" s="13">
        <f>SUMIFS(Table3[Hours Worked],Table3[Release Name],Table7[[#This Row],[Release Name]],Table3[Task Type],"Testcase Creation")</f>
        <v>0</v>
      </c>
      <c r="AC98" s="255">
        <f>SUMIFS(Table3[Hours Worked],Table3[Release Name],Table7[[#This Row],[Release Name]],Table3[Task Type],"Testcase Execution")</f>
        <v>0</v>
      </c>
      <c r="AD9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8" s="256" t="str">
        <f>IFERROR((Table7[[#This Row],[No. of Valid Internal Review Defects]]+Table7[[#This Row],[No. of Valid  Internal Testing Defects]]+Table7[[#This Row],[No. of  Valid External Review Defects]]+Table7[[#This Row],[No. of Valid External Testing Defects]])/Table7[[#This Row],[Size]],"")</f>
        <v/>
      </c>
      <c r="AF98" s="257" t="str">
        <f>IFERROR(Table7[[#This Row],[No. of Valid Internal Review Defects]]/(Table7[[#This Row],[No. of Valid Internal Review Defects]]+Table7[[#This Row],[No. of  Valid External Review Defects]]+Table7[[#This Row],[No. of Valid  Internal Testing Defects]]+Table7[[#This Row],[No. of Valid External Testing Defects]]),"")</f>
        <v/>
      </c>
      <c r="AG98" s="258" t="str">
        <f>IFERROR(Table7[[#This Row],[No. of Valid Internal Review Defects]]/(Table7[[#This Row],[No. of Valid Internal Review Defects]]+Table7[[#This Row],[No. of  Valid External Review Defects]]+Table7[[#This Row],[No. of Valid External Testing Defects]]),"")</f>
        <v/>
      </c>
      <c r="AH98" s="256" t="str">
        <f>IFERROR(Table7[[#This Row],[No. of Valid  Internal Testing Defects]]/Table7[[#This Row],[Overall Actual Effort for the release]],"")</f>
        <v/>
      </c>
      <c r="AI98" s="256" t="str">
        <f>IFERROR(Table7[[#This Row],[No. of Valid  Internal Testing Defects]]/Table7[[#This Row],[No. of Testcases Executed]],"")</f>
        <v/>
      </c>
      <c r="AJ98" s="259" t="str">
        <f>IFERROR(IFERROR(Table7[[#This Row],[No. of Testcases Created]]/Table7[[#This Row],[Effort for Testcase Creation]],"")*9,"")</f>
        <v/>
      </c>
      <c r="AK98" s="256" t="str">
        <f>IFERROR((Table7[[#This Row],[No. of Testcases Executed]]/Table7[[#This Row],[Effort for Testcase Execution]])*9,"")</f>
        <v/>
      </c>
      <c r="AL9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8" s="259" t="str">
        <f>IFERROR(Table7[[#This Row],[No. of Defects Validated]]/SUMIFS(Table3[Hours Worked],Table3[Release Name],Table7[[#This Row],[Release Name]],Table3[Task Type],"Defect Validation")*9,"")</f>
        <v/>
      </c>
      <c r="AN98" s="258" t="str">
        <f>IFERROR((Table7[[#This Row],[No. of Valid  Internal Testing Defects]])/(Table7[[#This Row],[No. of Valid  Internal Testing Defects]]+Table7[[#This Row],[No. of Invalid Internal Testing Defects]]),"")</f>
        <v/>
      </c>
      <c r="AO98" s="258" t="str">
        <f>IFERROR(Table7[[#This Row],[No. of Valid External Testing Defects]]/(Table7[[#This Row],[No. of Valid External Testing Defects]]+Table7[[#This Row],[No. of Valid  Internal Testing Defects]]),"")</f>
        <v/>
      </c>
    </row>
    <row r="99" spans="2:41">
      <c r="B99" s="237"/>
      <c r="C99" s="14"/>
      <c r="D99" s="14"/>
      <c r="E99" s="14"/>
      <c r="F99" s="230" t="str">
        <f>IFERROR((Table47[[#This Row],[Initial No. of Requirements]]+Table47[[#This Row],[Modified Requirements( Added / Deleted /Modified)]])/Table47[[#This Row],[Initial No. of Requirements]],"")</f>
        <v/>
      </c>
      <c r="G9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99" s="249"/>
      <c r="J99" s="249"/>
      <c r="K99" s="250"/>
      <c r="L99" s="250"/>
      <c r="M99" s="250"/>
      <c r="N99" s="248"/>
      <c r="O99" s="248"/>
      <c r="P99" s="248"/>
      <c r="Q99" s="248"/>
      <c r="R99" s="248"/>
      <c r="S99" s="248"/>
      <c r="T99" s="248"/>
      <c r="U99" s="248"/>
      <c r="V99" s="248"/>
      <c r="W99" s="248"/>
      <c r="X99" s="248"/>
      <c r="Y99" s="248"/>
      <c r="Z99" s="248"/>
      <c r="AA99" s="248"/>
      <c r="AB99" s="13">
        <f>SUMIFS(Table3[Hours Worked],Table3[Release Name],Table7[[#This Row],[Release Name]],Table3[Task Type],"Testcase Creation")</f>
        <v>0</v>
      </c>
      <c r="AC99" s="255">
        <f>SUMIFS(Table3[Hours Worked],Table3[Release Name],Table7[[#This Row],[Release Name]],Table3[Task Type],"Testcase Execution")</f>
        <v>0</v>
      </c>
      <c r="AD9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99" s="256" t="str">
        <f>IFERROR((Table7[[#This Row],[No. of Valid Internal Review Defects]]+Table7[[#This Row],[No. of Valid  Internal Testing Defects]]+Table7[[#This Row],[No. of  Valid External Review Defects]]+Table7[[#This Row],[No. of Valid External Testing Defects]])/Table7[[#This Row],[Size]],"")</f>
        <v/>
      </c>
      <c r="AF99" s="257" t="str">
        <f>IFERROR(Table7[[#This Row],[No. of Valid Internal Review Defects]]/(Table7[[#This Row],[No. of Valid Internal Review Defects]]+Table7[[#This Row],[No. of  Valid External Review Defects]]+Table7[[#This Row],[No. of Valid  Internal Testing Defects]]+Table7[[#This Row],[No. of Valid External Testing Defects]]),"")</f>
        <v/>
      </c>
      <c r="AG99" s="258" t="str">
        <f>IFERROR(Table7[[#This Row],[No. of Valid Internal Review Defects]]/(Table7[[#This Row],[No. of Valid Internal Review Defects]]+Table7[[#This Row],[No. of  Valid External Review Defects]]+Table7[[#This Row],[No. of Valid External Testing Defects]]),"")</f>
        <v/>
      </c>
      <c r="AH99" s="256" t="str">
        <f>IFERROR(Table7[[#This Row],[No. of Valid  Internal Testing Defects]]/Table7[[#This Row],[Overall Actual Effort for the release]],"")</f>
        <v/>
      </c>
      <c r="AI99" s="256" t="str">
        <f>IFERROR(Table7[[#This Row],[No. of Valid  Internal Testing Defects]]/Table7[[#This Row],[No. of Testcases Executed]],"")</f>
        <v/>
      </c>
      <c r="AJ99" s="259" t="str">
        <f>IFERROR(IFERROR(Table7[[#This Row],[No. of Testcases Created]]/Table7[[#This Row],[Effort for Testcase Creation]],"")*9,"")</f>
        <v/>
      </c>
      <c r="AK99" s="256" t="str">
        <f>IFERROR((Table7[[#This Row],[No. of Testcases Executed]]/Table7[[#This Row],[Effort for Testcase Execution]])*9,"")</f>
        <v/>
      </c>
      <c r="AL9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99" s="259" t="str">
        <f>IFERROR(Table7[[#This Row],[No. of Defects Validated]]/SUMIFS(Table3[Hours Worked],Table3[Release Name],Table7[[#This Row],[Release Name]],Table3[Task Type],"Defect Validation")*9,"")</f>
        <v/>
      </c>
      <c r="AN99" s="258" t="str">
        <f>IFERROR((Table7[[#This Row],[No. of Valid  Internal Testing Defects]])/(Table7[[#This Row],[No. of Valid  Internal Testing Defects]]+Table7[[#This Row],[No. of Invalid Internal Testing Defects]]),"")</f>
        <v/>
      </c>
      <c r="AO99" s="258" t="str">
        <f>IFERROR(Table7[[#This Row],[No. of Valid External Testing Defects]]/(Table7[[#This Row],[No. of Valid External Testing Defects]]+Table7[[#This Row],[No. of Valid  Internal Testing Defects]]),"")</f>
        <v/>
      </c>
    </row>
    <row r="100" spans="2:41">
      <c r="B100" s="237"/>
      <c r="C100" s="14"/>
      <c r="D100" s="14"/>
      <c r="E100" s="14"/>
      <c r="F100" s="230" t="str">
        <f>IFERROR((Table47[[#This Row],[Initial No. of Requirements]]+Table47[[#This Row],[Modified Requirements( Added / Deleted /Modified)]])/Table47[[#This Row],[Initial No. of Requirements]],"")</f>
        <v/>
      </c>
      <c r="G10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0" s="249"/>
      <c r="J100" s="249"/>
      <c r="K100" s="250"/>
      <c r="L100" s="250"/>
      <c r="M100" s="250"/>
      <c r="N100" s="248"/>
      <c r="O100" s="248"/>
      <c r="P100" s="248"/>
      <c r="Q100" s="248"/>
      <c r="R100" s="248"/>
      <c r="S100" s="248"/>
      <c r="T100" s="248"/>
      <c r="U100" s="248"/>
      <c r="V100" s="248"/>
      <c r="W100" s="248"/>
      <c r="X100" s="248"/>
      <c r="Y100" s="248"/>
      <c r="Z100" s="248"/>
      <c r="AA100" s="248"/>
      <c r="AB100" s="13">
        <f>SUMIFS(Table3[Hours Worked],Table3[Release Name],Table7[[#This Row],[Release Name]],Table3[Task Type],"Testcase Creation")</f>
        <v>0</v>
      </c>
      <c r="AC100" s="255">
        <f>SUMIFS(Table3[Hours Worked],Table3[Release Name],Table7[[#This Row],[Release Name]],Table3[Task Type],"Testcase Execution")</f>
        <v>0</v>
      </c>
      <c r="AD10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0" s="256" t="str">
        <f>IFERROR((Table7[[#This Row],[No. of Valid Internal Review Defects]]+Table7[[#This Row],[No. of Valid  Internal Testing Defects]]+Table7[[#This Row],[No. of  Valid External Review Defects]]+Table7[[#This Row],[No. of Valid External Testing Defects]])/Table7[[#This Row],[Size]],"")</f>
        <v/>
      </c>
      <c r="AF100" s="257" t="str">
        <f>IFERROR(Table7[[#This Row],[No. of Valid Internal Review Defects]]/(Table7[[#This Row],[No. of Valid Internal Review Defects]]+Table7[[#This Row],[No. of  Valid External Review Defects]]+Table7[[#This Row],[No. of Valid  Internal Testing Defects]]+Table7[[#This Row],[No. of Valid External Testing Defects]]),"")</f>
        <v/>
      </c>
      <c r="AG100" s="258" t="str">
        <f>IFERROR(Table7[[#This Row],[No. of Valid Internal Review Defects]]/(Table7[[#This Row],[No. of Valid Internal Review Defects]]+Table7[[#This Row],[No. of  Valid External Review Defects]]+Table7[[#This Row],[No. of Valid External Testing Defects]]),"")</f>
        <v/>
      </c>
      <c r="AH100" s="256" t="str">
        <f>IFERROR(Table7[[#This Row],[No. of Valid  Internal Testing Defects]]/Table7[[#This Row],[Overall Actual Effort for the release]],"")</f>
        <v/>
      </c>
      <c r="AI100" s="256" t="str">
        <f>IFERROR(Table7[[#This Row],[No. of Valid  Internal Testing Defects]]/Table7[[#This Row],[No. of Testcases Executed]],"")</f>
        <v/>
      </c>
      <c r="AJ100" s="259" t="str">
        <f>IFERROR(IFERROR(Table7[[#This Row],[No. of Testcases Created]]/Table7[[#This Row],[Effort for Testcase Creation]],"")*9,"")</f>
        <v/>
      </c>
      <c r="AK100" s="256" t="str">
        <f>IFERROR((Table7[[#This Row],[No. of Testcases Executed]]/Table7[[#This Row],[Effort for Testcase Execution]])*9,"")</f>
        <v/>
      </c>
      <c r="AL10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0" s="259" t="str">
        <f>IFERROR(Table7[[#This Row],[No. of Defects Validated]]/SUMIFS(Table3[Hours Worked],Table3[Release Name],Table7[[#This Row],[Release Name]],Table3[Task Type],"Defect Validation")*9,"")</f>
        <v/>
      </c>
      <c r="AN100" s="258" t="str">
        <f>IFERROR((Table7[[#This Row],[No. of Valid  Internal Testing Defects]])/(Table7[[#This Row],[No. of Valid  Internal Testing Defects]]+Table7[[#This Row],[No. of Invalid Internal Testing Defects]]),"")</f>
        <v/>
      </c>
      <c r="AO100" s="258" t="str">
        <f>IFERROR(Table7[[#This Row],[No. of Valid External Testing Defects]]/(Table7[[#This Row],[No. of Valid External Testing Defects]]+Table7[[#This Row],[No. of Valid  Internal Testing Defects]]),"")</f>
        <v/>
      </c>
    </row>
    <row r="101" spans="2:41">
      <c r="B101" s="237"/>
      <c r="C101" s="14"/>
      <c r="D101" s="14"/>
      <c r="E101" s="14"/>
      <c r="F101" s="230" t="str">
        <f>IFERROR((Table47[[#This Row],[Initial No. of Requirements]]+Table47[[#This Row],[Modified Requirements( Added / Deleted /Modified)]])/Table47[[#This Row],[Initial No. of Requirements]],"")</f>
        <v/>
      </c>
      <c r="G10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1" s="249"/>
      <c r="J101" s="249"/>
      <c r="K101" s="250"/>
      <c r="L101" s="250"/>
      <c r="M101" s="250"/>
      <c r="N101" s="248"/>
      <c r="O101" s="248"/>
      <c r="P101" s="248"/>
      <c r="Q101" s="248"/>
      <c r="R101" s="248"/>
      <c r="S101" s="248"/>
      <c r="T101" s="248"/>
      <c r="U101" s="248"/>
      <c r="V101" s="248"/>
      <c r="W101" s="248"/>
      <c r="X101" s="248"/>
      <c r="Y101" s="248"/>
      <c r="Z101" s="248"/>
      <c r="AA101" s="248"/>
      <c r="AB101" s="13">
        <f>SUMIFS(Table3[Hours Worked],Table3[Release Name],Table7[[#This Row],[Release Name]],Table3[Task Type],"Testcase Creation")</f>
        <v>0</v>
      </c>
      <c r="AC101" s="255">
        <f>SUMIFS(Table3[Hours Worked],Table3[Release Name],Table7[[#This Row],[Release Name]],Table3[Task Type],"Testcase Execution")</f>
        <v>0</v>
      </c>
      <c r="AD10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1" s="256" t="str">
        <f>IFERROR((Table7[[#This Row],[No. of Valid Internal Review Defects]]+Table7[[#This Row],[No. of Valid  Internal Testing Defects]]+Table7[[#This Row],[No. of  Valid External Review Defects]]+Table7[[#This Row],[No. of Valid External Testing Defects]])/Table7[[#This Row],[Size]],"")</f>
        <v/>
      </c>
      <c r="AF101" s="257" t="str">
        <f>IFERROR(Table7[[#This Row],[No. of Valid Internal Review Defects]]/(Table7[[#This Row],[No. of Valid Internal Review Defects]]+Table7[[#This Row],[No. of  Valid External Review Defects]]+Table7[[#This Row],[No. of Valid  Internal Testing Defects]]+Table7[[#This Row],[No. of Valid External Testing Defects]]),"")</f>
        <v/>
      </c>
      <c r="AG101" s="258" t="str">
        <f>IFERROR(Table7[[#This Row],[No. of Valid Internal Review Defects]]/(Table7[[#This Row],[No. of Valid Internal Review Defects]]+Table7[[#This Row],[No. of  Valid External Review Defects]]+Table7[[#This Row],[No. of Valid External Testing Defects]]),"")</f>
        <v/>
      </c>
      <c r="AH101" s="256" t="str">
        <f>IFERROR(Table7[[#This Row],[No. of Valid  Internal Testing Defects]]/Table7[[#This Row],[Overall Actual Effort for the release]],"")</f>
        <v/>
      </c>
      <c r="AI101" s="256" t="str">
        <f>IFERROR(Table7[[#This Row],[No. of Valid  Internal Testing Defects]]/Table7[[#This Row],[No. of Testcases Executed]],"")</f>
        <v/>
      </c>
      <c r="AJ101" s="259" t="str">
        <f>IFERROR(IFERROR(Table7[[#This Row],[No. of Testcases Created]]/Table7[[#This Row],[Effort for Testcase Creation]],"")*9,"")</f>
        <v/>
      </c>
      <c r="AK101" s="256" t="str">
        <f>IFERROR((Table7[[#This Row],[No. of Testcases Executed]]/Table7[[#This Row],[Effort for Testcase Execution]])*9,"")</f>
        <v/>
      </c>
      <c r="AL10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1" s="259" t="str">
        <f>IFERROR(Table7[[#This Row],[No. of Defects Validated]]/SUMIFS(Table3[Hours Worked],Table3[Release Name],Table7[[#This Row],[Release Name]],Table3[Task Type],"Defect Validation")*9,"")</f>
        <v/>
      </c>
      <c r="AN101" s="258" t="str">
        <f>IFERROR((Table7[[#This Row],[No. of Valid  Internal Testing Defects]])/(Table7[[#This Row],[No. of Valid  Internal Testing Defects]]+Table7[[#This Row],[No. of Invalid Internal Testing Defects]]),"")</f>
        <v/>
      </c>
      <c r="AO101" s="258" t="str">
        <f>IFERROR(Table7[[#This Row],[No. of Valid External Testing Defects]]/(Table7[[#This Row],[No. of Valid External Testing Defects]]+Table7[[#This Row],[No. of Valid  Internal Testing Defects]]),"")</f>
        <v/>
      </c>
    </row>
    <row r="102" spans="2:41">
      <c r="B102" s="237"/>
      <c r="C102" s="14"/>
      <c r="D102" s="14"/>
      <c r="E102" s="14"/>
      <c r="F102" s="230" t="str">
        <f>IFERROR((Table47[[#This Row],[Initial No. of Requirements]]+Table47[[#This Row],[Modified Requirements( Added / Deleted /Modified)]])/Table47[[#This Row],[Initial No. of Requirements]],"")</f>
        <v/>
      </c>
      <c r="G10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2" s="249"/>
      <c r="J102" s="249"/>
      <c r="K102" s="250"/>
      <c r="L102" s="250"/>
      <c r="M102" s="250"/>
      <c r="N102" s="248"/>
      <c r="O102" s="248"/>
      <c r="P102" s="248"/>
      <c r="Q102" s="248"/>
      <c r="R102" s="248"/>
      <c r="S102" s="248"/>
      <c r="T102" s="248"/>
      <c r="U102" s="248"/>
      <c r="V102" s="248"/>
      <c r="W102" s="248"/>
      <c r="X102" s="248"/>
      <c r="Y102" s="248"/>
      <c r="Z102" s="248"/>
      <c r="AA102" s="248"/>
      <c r="AB102" s="13">
        <f>SUMIFS(Table3[Hours Worked],Table3[Release Name],Table7[[#This Row],[Release Name]],Table3[Task Type],"Testcase Creation")</f>
        <v>0</v>
      </c>
      <c r="AC102" s="255">
        <f>SUMIFS(Table3[Hours Worked],Table3[Release Name],Table7[[#This Row],[Release Name]],Table3[Task Type],"Testcase Execution")</f>
        <v>0</v>
      </c>
      <c r="AD10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2" s="256" t="str">
        <f>IFERROR((Table7[[#This Row],[No. of Valid Internal Review Defects]]+Table7[[#This Row],[No. of Valid  Internal Testing Defects]]+Table7[[#This Row],[No. of  Valid External Review Defects]]+Table7[[#This Row],[No. of Valid External Testing Defects]])/Table7[[#This Row],[Size]],"")</f>
        <v/>
      </c>
      <c r="AF102" s="257" t="str">
        <f>IFERROR(Table7[[#This Row],[No. of Valid Internal Review Defects]]/(Table7[[#This Row],[No. of Valid Internal Review Defects]]+Table7[[#This Row],[No. of  Valid External Review Defects]]+Table7[[#This Row],[No. of Valid  Internal Testing Defects]]+Table7[[#This Row],[No. of Valid External Testing Defects]]),"")</f>
        <v/>
      </c>
      <c r="AG102" s="258" t="str">
        <f>IFERROR(Table7[[#This Row],[No. of Valid Internal Review Defects]]/(Table7[[#This Row],[No. of Valid Internal Review Defects]]+Table7[[#This Row],[No. of  Valid External Review Defects]]+Table7[[#This Row],[No. of Valid External Testing Defects]]),"")</f>
        <v/>
      </c>
      <c r="AH102" s="256" t="str">
        <f>IFERROR(Table7[[#This Row],[No. of Valid  Internal Testing Defects]]/Table7[[#This Row],[Overall Actual Effort for the release]],"")</f>
        <v/>
      </c>
      <c r="AI102" s="256" t="str">
        <f>IFERROR(Table7[[#This Row],[No. of Valid  Internal Testing Defects]]/Table7[[#This Row],[No. of Testcases Executed]],"")</f>
        <v/>
      </c>
      <c r="AJ102" s="259" t="str">
        <f>IFERROR(IFERROR(Table7[[#This Row],[No. of Testcases Created]]/Table7[[#This Row],[Effort for Testcase Creation]],"")*9,"")</f>
        <v/>
      </c>
      <c r="AK102" s="256" t="str">
        <f>IFERROR((Table7[[#This Row],[No. of Testcases Executed]]/Table7[[#This Row],[Effort for Testcase Execution]])*9,"")</f>
        <v/>
      </c>
      <c r="AL10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2" s="259" t="str">
        <f>IFERROR(Table7[[#This Row],[No. of Defects Validated]]/SUMIFS(Table3[Hours Worked],Table3[Release Name],Table7[[#This Row],[Release Name]],Table3[Task Type],"Defect Validation")*9,"")</f>
        <v/>
      </c>
      <c r="AN102" s="258" t="str">
        <f>IFERROR((Table7[[#This Row],[No. of Valid  Internal Testing Defects]])/(Table7[[#This Row],[No. of Valid  Internal Testing Defects]]+Table7[[#This Row],[No. of Invalid Internal Testing Defects]]),"")</f>
        <v/>
      </c>
      <c r="AO102" s="258" t="str">
        <f>IFERROR(Table7[[#This Row],[No. of Valid External Testing Defects]]/(Table7[[#This Row],[No. of Valid External Testing Defects]]+Table7[[#This Row],[No. of Valid  Internal Testing Defects]]),"")</f>
        <v/>
      </c>
    </row>
    <row r="103" spans="2:41">
      <c r="B103" s="237"/>
      <c r="C103" s="14"/>
      <c r="D103" s="14"/>
      <c r="E103" s="14"/>
      <c r="F103" s="230" t="str">
        <f>IFERROR((Table47[[#This Row],[Initial No. of Requirements]]+Table47[[#This Row],[Modified Requirements( Added / Deleted /Modified)]])/Table47[[#This Row],[Initial No. of Requirements]],"")</f>
        <v/>
      </c>
      <c r="G10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3" s="249"/>
      <c r="J103" s="249"/>
      <c r="K103" s="250"/>
      <c r="L103" s="250"/>
      <c r="M103" s="250"/>
      <c r="N103" s="248"/>
      <c r="O103" s="248"/>
      <c r="P103" s="248"/>
      <c r="Q103" s="248"/>
      <c r="R103" s="248"/>
      <c r="S103" s="248"/>
      <c r="T103" s="248"/>
      <c r="U103" s="248"/>
      <c r="V103" s="248"/>
      <c r="W103" s="248"/>
      <c r="X103" s="248"/>
      <c r="Y103" s="248"/>
      <c r="Z103" s="248"/>
      <c r="AA103" s="248"/>
      <c r="AB103" s="13">
        <f>SUMIFS(Table3[Hours Worked],Table3[Release Name],Table7[[#This Row],[Release Name]],Table3[Task Type],"Testcase Creation")</f>
        <v>0</v>
      </c>
      <c r="AC103" s="255">
        <f>SUMIFS(Table3[Hours Worked],Table3[Release Name],Table7[[#This Row],[Release Name]],Table3[Task Type],"Testcase Execution")</f>
        <v>0</v>
      </c>
      <c r="AD10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3" s="256" t="str">
        <f>IFERROR((Table7[[#This Row],[No. of Valid Internal Review Defects]]+Table7[[#This Row],[No. of Valid  Internal Testing Defects]]+Table7[[#This Row],[No. of  Valid External Review Defects]]+Table7[[#This Row],[No. of Valid External Testing Defects]])/Table7[[#This Row],[Size]],"")</f>
        <v/>
      </c>
      <c r="AF103" s="257" t="str">
        <f>IFERROR(Table7[[#This Row],[No. of Valid Internal Review Defects]]/(Table7[[#This Row],[No. of Valid Internal Review Defects]]+Table7[[#This Row],[No. of  Valid External Review Defects]]+Table7[[#This Row],[No. of Valid  Internal Testing Defects]]+Table7[[#This Row],[No. of Valid External Testing Defects]]),"")</f>
        <v/>
      </c>
      <c r="AG103" s="258" t="str">
        <f>IFERROR(Table7[[#This Row],[No. of Valid Internal Review Defects]]/(Table7[[#This Row],[No. of Valid Internal Review Defects]]+Table7[[#This Row],[No. of  Valid External Review Defects]]+Table7[[#This Row],[No. of Valid External Testing Defects]]),"")</f>
        <v/>
      </c>
      <c r="AH103" s="256" t="str">
        <f>IFERROR(Table7[[#This Row],[No. of Valid  Internal Testing Defects]]/Table7[[#This Row],[Overall Actual Effort for the release]],"")</f>
        <v/>
      </c>
      <c r="AI103" s="256" t="str">
        <f>IFERROR(Table7[[#This Row],[No. of Valid  Internal Testing Defects]]/Table7[[#This Row],[No. of Testcases Executed]],"")</f>
        <v/>
      </c>
      <c r="AJ103" s="259" t="str">
        <f>IFERROR(IFERROR(Table7[[#This Row],[No. of Testcases Created]]/Table7[[#This Row],[Effort for Testcase Creation]],"")*9,"")</f>
        <v/>
      </c>
      <c r="AK103" s="256" t="str">
        <f>IFERROR((Table7[[#This Row],[No. of Testcases Executed]]/Table7[[#This Row],[Effort for Testcase Execution]])*9,"")</f>
        <v/>
      </c>
      <c r="AL10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3" s="259" t="str">
        <f>IFERROR(Table7[[#This Row],[No. of Defects Validated]]/SUMIFS(Table3[Hours Worked],Table3[Release Name],Table7[[#This Row],[Release Name]],Table3[Task Type],"Defect Validation")*9,"")</f>
        <v/>
      </c>
      <c r="AN103" s="258" t="str">
        <f>IFERROR((Table7[[#This Row],[No. of Valid  Internal Testing Defects]])/(Table7[[#This Row],[No. of Valid  Internal Testing Defects]]+Table7[[#This Row],[No. of Invalid Internal Testing Defects]]),"")</f>
        <v/>
      </c>
      <c r="AO103" s="258" t="str">
        <f>IFERROR(Table7[[#This Row],[No. of Valid External Testing Defects]]/(Table7[[#This Row],[No. of Valid External Testing Defects]]+Table7[[#This Row],[No. of Valid  Internal Testing Defects]]),"")</f>
        <v/>
      </c>
    </row>
    <row r="104" spans="2:41">
      <c r="B104" s="237"/>
      <c r="C104" s="14"/>
      <c r="D104" s="14"/>
      <c r="E104" s="14"/>
      <c r="F104" s="230" t="str">
        <f>IFERROR((Table47[[#This Row],[Initial No. of Requirements]]+Table47[[#This Row],[Modified Requirements( Added / Deleted /Modified)]])/Table47[[#This Row],[Initial No. of Requirements]],"")</f>
        <v/>
      </c>
      <c r="G10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4" s="249"/>
      <c r="J104" s="249"/>
      <c r="K104" s="250"/>
      <c r="L104" s="250"/>
      <c r="M104" s="250"/>
      <c r="N104" s="248"/>
      <c r="O104" s="248"/>
      <c r="P104" s="248"/>
      <c r="Q104" s="248"/>
      <c r="R104" s="248"/>
      <c r="S104" s="248"/>
      <c r="T104" s="248"/>
      <c r="U104" s="248"/>
      <c r="V104" s="248"/>
      <c r="W104" s="248"/>
      <c r="X104" s="248"/>
      <c r="Y104" s="248"/>
      <c r="Z104" s="248"/>
      <c r="AA104" s="248"/>
      <c r="AB104" s="13">
        <f>SUMIFS(Table3[Hours Worked],Table3[Release Name],Table7[[#This Row],[Release Name]],Table3[Task Type],"Testcase Creation")</f>
        <v>0</v>
      </c>
      <c r="AC104" s="255">
        <f>SUMIFS(Table3[Hours Worked],Table3[Release Name],Table7[[#This Row],[Release Name]],Table3[Task Type],"Testcase Execution")</f>
        <v>0</v>
      </c>
      <c r="AD10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4" s="256" t="str">
        <f>IFERROR((Table7[[#This Row],[No. of Valid Internal Review Defects]]+Table7[[#This Row],[No. of Valid  Internal Testing Defects]]+Table7[[#This Row],[No. of  Valid External Review Defects]]+Table7[[#This Row],[No. of Valid External Testing Defects]])/Table7[[#This Row],[Size]],"")</f>
        <v/>
      </c>
      <c r="AF104" s="257" t="str">
        <f>IFERROR(Table7[[#This Row],[No. of Valid Internal Review Defects]]/(Table7[[#This Row],[No. of Valid Internal Review Defects]]+Table7[[#This Row],[No. of  Valid External Review Defects]]+Table7[[#This Row],[No. of Valid  Internal Testing Defects]]+Table7[[#This Row],[No. of Valid External Testing Defects]]),"")</f>
        <v/>
      </c>
      <c r="AG104" s="258" t="str">
        <f>IFERROR(Table7[[#This Row],[No. of Valid Internal Review Defects]]/(Table7[[#This Row],[No. of Valid Internal Review Defects]]+Table7[[#This Row],[No. of  Valid External Review Defects]]+Table7[[#This Row],[No. of Valid External Testing Defects]]),"")</f>
        <v/>
      </c>
      <c r="AH104" s="256" t="str">
        <f>IFERROR(Table7[[#This Row],[No. of Valid  Internal Testing Defects]]/Table7[[#This Row],[Overall Actual Effort for the release]],"")</f>
        <v/>
      </c>
      <c r="AI104" s="256" t="str">
        <f>IFERROR(Table7[[#This Row],[No. of Valid  Internal Testing Defects]]/Table7[[#This Row],[No. of Testcases Executed]],"")</f>
        <v/>
      </c>
      <c r="AJ104" s="259" t="str">
        <f>IFERROR(IFERROR(Table7[[#This Row],[No. of Testcases Created]]/Table7[[#This Row],[Effort for Testcase Creation]],"")*9,"")</f>
        <v/>
      </c>
      <c r="AK104" s="256" t="str">
        <f>IFERROR((Table7[[#This Row],[No. of Testcases Executed]]/Table7[[#This Row],[Effort for Testcase Execution]])*9,"")</f>
        <v/>
      </c>
      <c r="AL10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4" s="259" t="str">
        <f>IFERROR(Table7[[#This Row],[No. of Defects Validated]]/SUMIFS(Table3[Hours Worked],Table3[Release Name],Table7[[#This Row],[Release Name]],Table3[Task Type],"Defect Validation")*9,"")</f>
        <v/>
      </c>
      <c r="AN104" s="258" t="str">
        <f>IFERROR((Table7[[#This Row],[No. of Valid  Internal Testing Defects]])/(Table7[[#This Row],[No. of Valid  Internal Testing Defects]]+Table7[[#This Row],[No. of Invalid Internal Testing Defects]]),"")</f>
        <v/>
      </c>
      <c r="AO104" s="258" t="str">
        <f>IFERROR(Table7[[#This Row],[No. of Valid External Testing Defects]]/(Table7[[#This Row],[No. of Valid External Testing Defects]]+Table7[[#This Row],[No. of Valid  Internal Testing Defects]]),"")</f>
        <v/>
      </c>
    </row>
    <row r="105" spans="2:41">
      <c r="B105" s="237"/>
      <c r="C105" s="14"/>
      <c r="D105" s="14"/>
      <c r="E105" s="14"/>
      <c r="F105" s="230" t="str">
        <f>IFERROR((Table47[[#This Row],[Initial No. of Requirements]]+Table47[[#This Row],[Modified Requirements( Added / Deleted /Modified)]])/Table47[[#This Row],[Initial No. of Requirements]],"")</f>
        <v/>
      </c>
      <c r="G10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5" s="249"/>
      <c r="J105" s="249"/>
      <c r="K105" s="250"/>
      <c r="L105" s="250"/>
      <c r="M105" s="250"/>
      <c r="N105" s="248"/>
      <c r="O105" s="248"/>
      <c r="P105" s="248"/>
      <c r="Q105" s="248"/>
      <c r="R105" s="248"/>
      <c r="S105" s="248"/>
      <c r="T105" s="248"/>
      <c r="U105" s="248"/>
      <c r="V105" s="248"/>
      <c r="W105" s="248"/>
      <c r="X105" s="248"/>
      <c r="Y105" s="248"/>
      <c r="Z105" s="248"/>
      <c r="AA105" s="248"/>
      <c r="AB105" s="13">
        <f>SUMIFS(Table3[Hours Worked],Table3[Release Name],Table7[[#This Row],[Release Name]],Table3[Task Type],"Testcase Creation")</f>
        <v>0</v>
      </c>
      <c r="AC105" s="255">
        <f>SUMIFS(Table3[Hours Worked],Table3[Release Name],Table7[[#This Row],[Release Name]],Table3[Task Type],"Testcase Execution")</f>
        <v>0</v>
      </c>
      <c r="AD10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5" s="256" t="str">
        <f>IFERROR((Table7[[#This Row],[No. of Valid Internal Review Defects]]+Table7[[#This Row],[No. of Valid  Internal Testing Defects]]+Table7[[#This Row],[No. of  Valid External Review Defects]]+Table7[[#This Row],[No. of Valid External Testing Defects]])/Table7[[#This Row],[Size]],"")</f>
        <v/>
      </c>
      <c r="AF105" s="257" t="str">
        <f>IFERROR(Table7[[#This Row],[No. of Valid Internal Review Defects]]/(Table7[[#This Row],[No. of Valid Internal Review Defects]]+Table7[[#This Row],[No. of  Valid External Review Defects]]+Table7[[#This Row],[No. of Valid  Internal Testing Defects]]+Table7[[#This Row],[No. of Valid External Testing Defects]]),"")</f>
        <v/>
      </c>
      <c r="AG105" s="258" t="str">
        <f>IFERROR(Table7[[#This Row],[No. of Valid Internal Review Defects]]/(Table7[[#This Row],[No. of Valid Internal Review Defects]]+Table7[[#This Row],[No. of  Valid External Review Defects]]+Table7[[#This Row],[No. of Valid External Testing Defects]]),"")</f>
        <v/>
      </c>
      <c r="AH105" s="256" t="str">
        <f>IFERROR(Table7[[#This Row],[No. of Valid  Internal Testing Defects]]/Table7[[#This Row],[Overall Actual Effort for the release]],"")</f>
        <v/>
      </c>
      <c r="AI105" s="256" t="str">
        <f>IFERROR(Table7[[#This Row],[No. of Valid  Internal Testing Defects]]/Table7[[#This Row],[No. of Testcases Executed]],"")</f>
        <v/>
      </c>
      <c r="AJ105" s="259" t="str">
        <f>IFERROR(IFERROR(Table7[[#This Row],[No. of Testcases Created]]/Table7[[#This Row],[Effort for Testcase Creation]],"")*9,"")</f>
        <v/>
      </c>
      <c r="AK105" s="256" t="str">
        <f>IFERROR((Table7[[#This Row],[No. of Testcases Executed]]/Table7[[#This Row],[Effort for Testcase Execution]])*9,"")</f>
        <v/>
      </c>
      <c r="AL10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5" s="259" t="str">
        <f>IFERROR(Table7[[#This Row],[No. of Defects Validated]]/SUMIFS(Table3[Hours Worked],Table3[Release Name],Table7[[#This Row],[Release Name]],Table3[Task Type],"Defect Validation")*9,"")</f>
        <v/>
      </c>
      <c r="AN105" s="258" t="str">
        <f>IFERROR((Table7[[#This Row],[No. of Valid  Internal Testing Defects]])/(Table7[[#This Row],[No. of Valid  Internal Testing Defects]]+Table7[[#This Row],[No. of Invalid Internal Testing Defects]]),"")</f>
        <v/>
      </c>
      <c r="AO105" s="258" t="str">
        <f>IFERROR(Table7[[#This Row],[No. of Valid External Testing Defects]]/(Table7[[#This Row],[No. of Valid External Testing Defects]]+Table7[[#This Row],[No. of Valid  Internal Testing Defects]]),"")</f>
        <v/>
      </c>
    </row>
    <row r="106" spans="2:41">
      <c r="B106" s="237"/>
      <c r="C106" s="14"/>
      <c r="D106" s="14"/>
      <c r="E106" s="14"/>
      <c r="F106" s="230" t="str">
        <f>IFERROR((Table47[[#This Row],[Initial No. of Requirements]]+Table47[[#This Row],[Modified Requirements( Added / Deleted /Modified)]])/Table47[[#This Row],[Initial No. of Requirements]],"")</f>
        <v/>
      </c>
      <c r="G10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6" s="249"/>
      <c r="J106" s="249"/>
      <c r="K106" s="250"/>
      <c r="L106" s="250"/>
      <c r="M106" s="250"/>
      <c r="N106" s="248"/>
      <c r="O106" s="248"/>
      <c r="P106" s="248"/>
      <c r="Q106" s="248"/>
      <c r="R106" s="248"/>
      <c r="S106" s="248"/>
      <c r="T106" s="248"/>
      <c r="U106" s="248"/>
      <c r="V106" s="248"/>
      <c r="W106" s="248"/>
      <c r="X106" s="248"/>
      <c r="Y106" s="248"/>
      <c r="Z106" s="248"/>
      <c r="AA106" s="248"/>
      <c r="AB106" s="13">
        <f>SUMIFS(Table3[Hours Worked],Table3[Release Name],Table7[[#This Row],[Release Name]],Table3[Task Type],"Testcase Creation")</f>
        <v>0</v>
      </c>
      <c r="AC106" s="255">
        <f>SUMIFS(Table3[Hours Worked],Table3[Release Name],Table7[[#This Row],[Release Name]],Table3[Task Type],"Testcase Execution")</f>
        <v>0</v>
      </c>
      <c r="AD10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6" s="256" t="str">
        <f>IFERROR((Table7[[#This Row],[No. of Valid Internal Review Defects]]+Table7[[#This Row],[No. of Valid  Internal Testing Defects]]+Table7[[#This Row],[No. of  Valid External Review Defects]]+Table7[[#This Row],[No. of Valid External Testing Defects]])/Table7[[#This Row],[Size]],"")</f>
        <v/>
      </c>
      <c r="AF106" s="257" t="str">
        <f>IFERROR(Table7[[#This Row],[No. of Valid Internal Review Defects]]/(Table7[[#This Row],[No. of Valid Internal Review Defects]]+Table7[[#This Row],[No. of  Valid External Review Defects]]+Table7[[#This Row],[No. of Valid  Internal Testing Defects]]+Table7[[#This Row],[No. of Valid External Testing Defects]]),"")</f>
        <v/>
      </c>
      <c r="AG106" s="258" t="str">
        <f>IFERROR(Table7[[#This Row],[No. of Valid Internal Review Defects]]/(Table7[[#This Row],[No. of Valid Internal Review Defects]]+Table7[[#This Row],[No. of  Valid External Review Defects]]+Table7[[#This Row],[No. of Valid External Testing Defects]]),"")</f>
        <v/>
      </c>
      <c r="AH106" s="256" t="str">
        <f>IFERROR(Table7[[#This Row],[No. of Valid  Internal Testing Defects]]/Table7[[#This Row],[Overall Actual Effort for the release]],"")</f>
        <v/>
      </c>
      <c r="AI106" s="256" t="str">
        <f>IFERROR(Table7[[#This Row],[No. of Valid  Internal Testing Defects]]/Table7[[#This Row],[No. of Testcases Executed]],"")</f>
        <v/>
      </c>
      <c r="AJ106" s="259" t="str">
        <f>IFERROR(IFERROR(Table7[[#This Row],[No. of Testcases Created]]/Table7[[#This Row],[Effort for Testcase Creation]],"")*9,"")</f>
        <v/>
      </c>
      <c r="AK106" s="256" t="str">
        <f>IFERROR((Table7[[#This Row],[No. of Testcases Executed]]/Table7[[#This Row],[Effort for Testcase Execution]])*9,"")</f>
        <v/>
      </c>
      <c r="AL10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6" s="259" t="str">
        <f>IFERROR(Table7[[#This Row],[No. of Defects Validated]]/SUMIFS(Table3[Hours Worked],Table3[Release Name],Table7[[#This Row],[Release Name]],Table3[Task Type],"Defect Validation")*9,"")</f>
        <v/>
      </c>
      <c r="AN106" s="258" t="str">
        <f>IFERROR((Table7[[#This Row],[No. of Valid  Internal Testing Defects]])/(Table7[[#This Row],[No. of Valid  Internal Testing Defects]]+Table7[[#This Row],[No. of Invalid Internal Testing Defects]]),"")</f>
        <v/>
      </c>
      <c r="AO106" s="258" t="str">
        <f>IFERROR(Table7[[#This Row],[No. of Valid External Testing Defects]]/(Table7[[#This Row],[No. of Valid External Testing Defects]]+Table7[[#This Row],[No. of Valid  Internal Testing Defects]]),"")</f>
        <v/>
      </c>
    </row>
    <row r="107" spans="2:41">
      <c r="B107" s="237"/>
      <c r="C107" s="14"/>
      <c r="D107" s="14"/>
      <c r="E107" s="14"/>
      <c r="F107" s="230" t="str">
        <f>IFERROR((Table47[[#This Row],[Initial No. of Requirements]]+Table47[[#This Row],[Modified Requirements( Added / Deleted /Modified)]])/Table47[[#This Row],[Initial No. of Requirements]],"")</f>
        <v/>
      </c>
      <c r="G10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7" s="249"/>
      <c r="J107" s="249"/>
      <c r="K107" s="250"/>
      <c r="L107" s="250"/>
      <c r="M107" s="250"/>
      <c r="N107" s="248"/>
      <c r="O107" s="248"/>
      <c r="P107" s="248"/>
      <c r="Q107" s="248"/>
      <c r="R107" s="248"/>
      <c r="S107" s="248"/>
      <c r="T107" s="248"/>
      <c r="U107" s="248"/>
      <c r="V107" s="248"/>
      <c r="W107" s="248"/>
      <c r="X107" s="248"/>
      <c r="Y107" s="248"/>
      <c r="Z107" s="248"/>
      <c r="AA107" s="248"/>
      <c r="AB107" s="13">
        <f>SUMIFS(Table3[Hours Worked],Table3[Release Name],Table7[[#This Row],[Release Name]],Table3[Task Type],"Testcase Creation")</f>
        <v>0</v>
      </c>
      <c r="AC107" s="255">
        <f>SUMIFS(Table3[Hours Worked],Table3[Release Name],Table7[[#This Row],[Release Name]],Table3[Task Type],"Testcase Execution")</f>
        <v>0</v>
      </c>
      <c r="AD10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7" s="256" t="str">
        <f>IFERROR((Table7[[#This Row],[No. of Valid Internal Review Defects]]+Table7[[#This Row],[No. of Valid  Internal Testing Defects]]+Table7[[#This Row],[No. of  Valid External Review Defects]]+Table7[[#This Row],[No. of Valid External Testing Defects]])/Table7[[#This Row],[Size]],"")</f>
        <v/>
      </c>
      <c r="AF107" s="257" t="str">
        <f>IFERROR(Table7[[#This Row],[No. of Valid Internal Review Defects]]/(Table7[[#This Row],[No. of Valid Internal Review Defects]]+Table7[[#This Row],[No. of  Valid External Review Defects]]+Table7[[#This Row],[No. of Valid  Internal Testing Defects]]+Table7[[#This Row],[No. of Valid External Testing Defects]]),"")</f>
        <v/>
      </c>
      <c r="AG107" s="258" t="str">
        <f>IFERROR(Table7[[#This Row],[No. of Valid Internal Review Defects]]/(Table7[[#This Row],[No. of Valid Internal Review Defects]]+Table7[[#This Row],[No. of  Valid External Review Defects]]+Table7[[#This Row],[No. of Valid External Testing Defects]]),"")</f>
        <v/>
      </c>
      <c r="AH107" s="256" t="str">
        <f>IFERROR(Table7[[#This Row],[No. of Valid  Internal Testing Defects]]/Table7[[#This Row],[Overall Actual Effort for the release]],"")</f>
        <v/>
      </c>
      <c r="AI107" s="256" t="str">
        <f>IFERROR(Table7[[#This Row],[No. of Valid  Internal Testing Defects]]/Table7[[#This Row],[No. of Testcases Executed]],"")</f>
        <v/>
      </c>
      <c r="AJ107" s="259" t="str">
        <f>IFERROR(IFERROR(Table7[[#This Row],[No. of Testcases Created]]/Table7[[#This Row],[Effort for Testcase Creation]],"")*9,"")</f>
        <v/>
      </c>
      <c r="AK107" s="256" t="str">
        <f>IFERROR((Table7[[#This Row],[No. of Testcases Executed]]/Table7[[#This Row],[Effort for Testcase Execution]])*9,"")</f>
        <v/>
      </c>
      <c r="AL10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7" s="259" t="str">
        <f>IFERROR(Table7[[#This Row],[No. of Defects Validated]]/SUMIFS(Table3[Hours Worked],Table3[Release Name],Table7[[#This Row],[Release Name]],Table3[Task Type],"Defect Validation")*9,"")</f>
        <v/>
      </c>
      <c r="AN107" s="258" t="str">
        <f>IFERROR((Table7[[#This Row],[No. of Valid  Internal Testing Defects]])/(Table7[[#This Row],[No. of Valid  Internal Testing Defects]]+Table7[[#This Row],[No. of Invalid Internal Testing Defects]]),"")</f>
        <v/>
      </c>
      <c r="AO107" s="258" t="str">
        <f>IFERROR(Table7[[#This Row],[No. of Valid External Testing Defects]]/(Table7[[#This Row],[No. of Valid External Testing Defects]]+Table7[[#This Row],[No. of Valid  Internal Testing Defects]]),"")</f>
        <v/>
      </c>
    </row>
    <row r="108" spans="2:41">
      <c r="B108" s="237"/>
      <c r="C108" s="14"/>
      <c r="D108" s="14"/>
      <c r="E108" s="14"/>
      <c r="F108" s="230" t="str">
        <f>IFERROR((Table47[[#This Row],[Initial No. of Requirements]]+Table47[[#This Row],[Modified Requirements( Added / Deleted /Modified)]])/Table47[[#This Row],[Initial No. of Requirements]],"")</f>
        <v/>
      </c>
      <c r="G10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8" s="249"/>
      <c r="J108" s="249"/>
      <c r="K108" s="250"/>
      <c r="L108" s="250"/>
      <c r="M108" s="250"/>
      <c r="N108" s="248"/>
      <c r="O108" s="248"/>
      <c r="P108" s="248"/>
      <c r="Q108" s="248"/>
      <c r="R108" s="248"/>
      <c r="S108" s="248"/>
      <c r="T108" s="248"/>
      <c r="U108" s="248"/>
      <c r="V108" s="248"/>
      <c r="W108" s="248"/>
      <c r="X108" s="248"/>
      <c r="Y108" s="248"/>
      <c r="Z108" s="248"/>
      <c r="AA108" s="248"/>
      <c r="AB108" s="13">
        <f>SUMIFS(Table3[Hours Worked],Table3[Release Name],Table7[[#This Row],[Release Name]],Table3[Task Type],"Testcase Creation")</f>
        <v>0</v>
      </c>
      <c r="AC108" s="255">
        <f>SUMIFS(Table3[Hours Worked],Table3[Release Name],Table7[[#This Row],[Release Name]],Table3[Task Type],"Testcase Execution")</f>
        <v>0</v>
      </c>
      <c r="AD10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8" s="256" t="str">
        <f>IFERROR((Table7[[#This Row],[No. of Valid Internal Review Defects]]+Table7[[#This Row],[No. of Valid  Internal Testing Defects]]+Table7[[#This Row],[No. of  Valid External Review Defects]]+Table7[[#This Row],[No. of Valid External Testing Defects]])/Table7[[#This Row],[Size]],"")</f>
        <v/>
      </c>
      <c r="AF108" s="257" t="str">
        <f>IFERROR(Table7[[#This Row],[No. of Valid Internal Review Defects]]/(Table7[[#This Row],[No. of Valid Internal Review Defects]]+Table7[[#This Row],[No. of  Valid External Review Defects]]+Table7[[#This Row],[No. of Valid  Internal Testing Defects]]+Table7[[#This Row],[No. of Valid External Testing Defects]]),"")</f>
        <v/>
      </c>
      <c r="AG108" s="258" t="str">
        <f>IFERROR(Table7[[#This Row],[No. of Valid Internal Review Defects]]/(Table7[[#This Row],[No. of Valid Internal Review Defects]]+Table7[[#This Row],[No. of  Valid External Review Defects]]+Table7[[#This Row],[No. of Valid External Testing Defects]]),"")</f>
        <v/>
      </c>
      <c r="AH108" s="256" t="str">
        <f>IFERROR(Table7[[#This Row],[No. of Valid  Internal Testing Defects]]/Table7[[#This Row],[Overall Actual Effort for the release]],"")</f>
        <v/>
      </c>
      <c r="AI108" s="256" t="str">
        <f>IFERROR(Table7[[#This Row],[No. of Valid  Internal Testing Defects]]/Table7[[#This Row],[No. of Testcases Executed]],"")</f>
        <v/>
      </c>
      <c r="AJ108" s="259" t="str">
        <f>IFERROR(IFERROR(Table7[[#This Row],[No. of Testcases Created]]/Table7[[#This Row],[Effort for Testcase Creation]],"")*9,"")</f>
        <v/>
      </c>
      <c r="AK108" s="256" t="str">
        <f>IFERROR((Table7[[#This Row],[No. of Testcases Executed]]/Table7[[#This Row],[Effort for Testcase Execution]])*9,"")</f>
        <v/>
      </c>
      <c r="AL10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8" s="259" t="str">
        <f>IFERROR(Table7[[#This Row],[No. of Defects Validated]]/SUMIFS(Table3[Hours Worked],Table3[Release Name],Table7[[#This Row],[Release Name]],Table3[Task Type],"Defect Validation")*9,"")</f>
        <v/>
      </c>
      <c r="AN108" s="258" t="str">
        <f>IFERROR((Table7[[#This Row],[No. of Valid  Internal Testing Defects]])/(Table7[[#This Row],[No. of Valid  Internal Testing Defects]]+Table7[[#This Row],[No. of Invalid Internal Testing Defects]]),"")</f>
        <v/>
      </c>
      <c r="AO108" s="258" t="str">
        <f>IFERROR(Table7[[#This Row],[No. of Valid External Testing Defects]]/(Table7[[#This Row],[No. of Valid External Testing Defects]]+Table7[[#This Row],[No. of Valid  Internal Testing Defects]]),"")</f>
        <v/>
      </c>
    </row>
    <row r="109" spans="2:41">
      <c r="B109" s="237"/>
      <c r="C109" s="14"/>
      <c r="D109" s="14"/>
      <c r="E109" s="14"/>
      <c r="F109" s="230" t="str">
        <f>IFERROR((Table47[[#This Row],[Initial No. of Requirements]]+Table47[[#This Row],[Modified Requirements( Added / Deleted /Modified)]])/Table47[[#This Row],[Initial No. of Requirements]],"")</f>
        <v/>
      </c>
      <c r="G10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09" s="249"/>
      <c r="J109" s="249"/>
      <c r="K109" s="250"/>
      <c r="L109" s="250"/>
      <c r="M109" s="250"/>
      <c r="N109" s="248"/>
      <c r="O109" s="248"/>
      <c r="P109" s="248"/>
      <c r="Q109" s="248"/>
      <c r="R109" s="248"/>
      <c r="S109" s="248"/>
      <c r="T109" s="248"/>
      <c r="U109" s="248"/>
      <c r="V109" s="248"/>
      <c r="W109" s="248"/>
      <c r="X109" s="248"/>
      <c r="Y109" s="248"/>
      <c r="Z109" s="248"/>
      <c r="AA109" s="248"/>
      <c r="AB109" s="13">
        <f>SUMIFS(Table3[Hours Worked],Table3[Release Name],Table7[[#This Row],[Release Name]],Table3[Task Type],"Testcase Creation")</f>
        <v>0</v>
      </c>
      <c r="AC109" s="255">
        <f>SUMIFS(Table3[Hours Worked],Table3[Release Name],Table7[[#This Row],[Release Name]],Table3[Task Type],"Testcase Execution")</f>
        <v>0</v>
      </c>
      <c r="AD10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09" s="256" t="str">
        <f>IFERROR((Table7[[#This Row],[No. of Valid Internal Review Defects]]+Table7[[#This Row],[No. of Valid  Internal Testing Defects]]+Table7[[#This Row],[No. of  Valid External Review Defects]]+Table7[[#This Row],[No. of Valid External Testing Defects]])/Table7[[#This Row],[Size]],"")</f>
        <v/>
      </c>
      <c r="AF109" s="257" t="str">
        <f>IFERROR(Table7[[#This Row],[No. of Valid Internal Review Defects]]/(Table7[[#This Row],[No. of Valid Internal Review Defects]]+Table7[[#This Row],[No. of  Valid External Review Defects]]+Table7[[#This Row],[No. of Valid  Internal Testing Defects]]+Table7[[#This Row],[No. of Valid External Testing Defects]]),"")</f>
        <v/>
      </c>
      <c r="AG109" s="258" t="str">
        <f>IFERROR(Table7[[#This Row],[No. of Valid Internal Review Defects]]/(Table7[[#This Row],[No. of Valid Internal Review Defects]]+Table7[[#This Row],[No. of  Valid External Review Defects]]+Table7[[#This Row],[No. of Valid External Testing Defects]]),"")</f>
        <v/>
      </c>
      <c r="AH109" s="256" t="str">
        <f>IFERROR(Table7[[#This Row],[No. of Valid  Internal Testing Defects]]/Table7[[#This Row],[Overall Actual Effort for the release]],"")</f>
        <v/>
      </c>
      <c r="AI109" s="256" t="str">
        <f>IFERROR(Table7[[#This Row],[No. of Valid  Internal Testing Defects]]/Table7[[#This Row],[No. of Testcases Executed]],"")</f>
        <v/>
      </c>
      <c r="AJ109" s="259" t="str">
        <f>IFERROR(IFERROR(Table7[[#This Row],[No. of Testcases Created]]/Table7[[#This Row],[Effort for Testcase Creation]],"")*9,"")</f>
        <v/>
      </c>
      <c r="AK109" s="256" t="str">
        <f>IFERROR((Table7[[#This Row],[No. of Testcases Executed]]/Table7[[#This Row],[Effort for Testcase Execution]])*9,"")</f>
        <v/>
      </c>
      <c r="AL10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09" s="259" t="str">
        <f>IFERROR(Table7[[#This Row],[No. of Defects Validated]]/SUMIFS(Table3[Hours Worked],Table3[Release Name],Table7[[#This Row],[Release Name]],Table3[Task Type],"Defect Validation")*9,"")</f>
        <v/>
      </c>
      <c r="AN109" s="258" t="str">
        <f>IFERROR((Table7[[#This Row],[No. of Valid  Internal Testing Defects]])/(Table7[[#This Row],[No. of Valid  Internal Testing Defects]]+Table7[[#This Row],[No. of Invalid Internal Testing Defects]]),"")</f>
        <v/>
      </c>
      <c r="AO109" s="258" t="str">
        <f>IFERROR(Table7[[#This Row],[No. of Valid External Testing Defects]]/(Table7[[#This Row],[No. of Valid External Testing Defects]]+Table7[[#This Row],[No. of Valid  Internal Testing Defects]]),"")</f>
        <v/>
      </c>
    </row>
    <row r="110" spans="2:41">
      <c r="B110" s="237"/>
      <c r="C110" s="14"/>
      <c r="D110" s="14"/>
      <c r="E110" s="14"/>
      <c r="F110" s="230" t="str">
        <f>IFERROR((Table47[[#This Row],[Initial No. of Requirements]]+Table47[[#This Row],[Modified Requirements( Added / Deleted /Modified)]])/Table47[[#This Row],[Initial No. of Requirements]],"")</f>
        <v/>
      </c>
      <c r="G11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0" s="249"/>
      <c r="J110" s="249"/>
      <c r="K110" s="250"/>
      <c r="L110" s="250"/>
      <c r="M110" s="250"/>
      <c r="N110" s="248"/>
      <c r="O110" s="248"/>
      <c r="P110" s="248"/>
      <c r="Q110" s="248"/>
      <c r="R110" s="248"/>
      <c r="S110" s="248"/>
      <c r="T110" s="248"/>
      <c r="U110" s="248"/>
      <c r="V110" s="248"/>
      <c r="W110" s="248"/>
      <c r="X110" s="248"/>
      <c r="Y110" s="248"/>
      <c r="Z110" s="248"/>
      <c r="AA110" s="248"/>
      <c r="AB110" s="13">
        <f>SUMIFS(Table3[Hours Worked],Table3[Release Name],Table7[[#This Row],[Release Name]],Table3[Task Type],"Testcase Creation")</f>
        <v>0</v>
      </c>
      <c r="AC110" s="255">
        <f>SUMIFS(Table3[Hours Worked],Table3[Release Name],Table7[[#This Row],[Release Name]],Table3[Task Type],"Testcase Execution")</f>
        <v>0</v>
      </c>
      <c r="AD11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0" s="256" t="str">
        <f>IFERROR((Table7[[#This Row],[No. of Valid Internal Review Defects]]+Table7[[#This Row],[No. of Valid  Internal Testing Defects]]+Table7[[#This Row],[No. of  Valid External Review Defects]]+Table7[[#This Row],[No. of Valid External Testing Defects]])/Table7[[#This Row],[Size]],"")</f>
        <v/>
      </c>
      <c r="AF110" s="257" t="str">
        <f>IFERROR(Table7[[#This Row],[No. of Valid Internal Review Defects]]/(Table7[[#This Row],[No. of Valid Internal Review Defects]]+Table7[[#This Row],[No. of  Valid External Review Defects]]+Table7[[#This Row],[No. of Valid  Internal Testing Defects]]+Table7[[#This Row],[No. of Valid External Testing Defects]]),"")</f>
        <v/>
      </c>
      <c r="AG110" s="258" t="str">
        <f>IFERROR(Table7[[#This Row],[No. of Valid Internal Review Defects]]/(Table7[[#This Row],[No. of Valid Internal Review Defects]]+Table7[[#This Row],[No. of  Valid External Review Defects]]+Table7[[#This Row],[No. of Valid External Testing Defects]]),"")</f>
        <v/>
      </c>
      <c r="AH110" s="256" t="str">
        <f>IFERROR(Table7[[#This Row],[No. of Valid  Internal Testing Defects]]/Table7[[#This Row],[Overall Actual Effort for the release]],"")</f>
        <v/>
      </c>
      <c r="AI110" s="256" t="str">
        <f>IFERROR(Table7[[#This Row],[No. of Valid  Internal Testing Defects]]/Table7[[#This Row],[No. of Testcases Executed]],"")</f>
        <v/>
      </c>
      <c r="AJ110" s="259" t="str">
        <f>IFERROR(IFERROR(Table7[[#This Row],[No. of Testcases Created]]/Table7[[#This Row],[Effort for Testcase Creation]],"")*9,"")</f>
        <v/>
      </c>
      <c r="AK110" s="256" t="str">
        <f>IFERROR((Table7[[#This Row],[No. of Testcases Executed]]/Table7[[#This Row],[Effort for Testcase Execution]])*9,"")</f>
        <v/>
      </c>
      <c r="AL11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0" s="259" t="str">
        <f>IFERROR(Table7[[#This Row],[No. of Defects Validated]]/SUMIFS(Table3[Hours Worked],Table3[Release Name],Table7[[#This Row],[Release Name]],Table3[Task Type],"Defect Validation")*9,"")</f>
        <v/>
      </c>
      <c r="AN110" s="258" t="str">
        <f>IFERROR((Table7[[#This Row],[No. of Valid  Internal Testing Defects]])/(Table7[[#This Row],[No. of Valid  Internal Testing Defects]]+Table7[[#This Row],[No. of Invalid Internal Testing Defects]]),"")</f>
        <v/>
      </c>
      <c r="AO110" s="258" t="str">
        <f>IFERROR(Table7[[#This Row],[No. of Valid External Testing Defects]]/(Table7[[#This Row],[No. of Valid External Testing Defects]]+Table7[[#This Row],[No. of Valid  Internal Testing Defects]]),"")</f>
        <v/>
      </c>
    </row>
    <row r="111" spans="2:41">
      <c r="B111" s="237"/>
      <c r="C111" s="14"/>
      <c r="D111" s="14"/>
      <c r="E111" s="14"/>
      <c r="F111" s="230" t="str">
        <f>IFERROR((Table47[[#This Row],[Initial No. of Requirements]]+Table47[[#This Row],[Modified Requirements( Added / Deleted /Modified)]])/Table47[[#This Row],[Initial No. of Requirements]],"")</f>
        <v/>
      </c>
      <c r="G11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1" s="249"/>
      <c r="J111" s="249"/>
      <c r="K111" s="250"/>
      <c r="L111" s="250"/>
      <c r="M111" s="250"/>
      <c r="N111" s="248"/>
      <c r="O111" s="248"/>
      <c r="P111" s="248"/>
      <c r="Q111" s="248"/>
      <c r="R111" s="248"/>
      <c r="S111" s="248"/>
      <c r="T111" s="248"/>
      <c r="U111" s="248"/>
      <c r="V111" s="248"/>
      <c r="W111" s="248"/>
      <c r="X111" s="248"/>
      <c r="Y111" s="248"/>
      <c r="Z111" s="248"/>
      <c r="AA111" s="248"/>
      <c r="AB111" s="13">
        <f>SUMIFS(Table3[Hours Worked],Table3[Release Name],Table7[[#This Row],[Release Name]],Table3[Task Type],"Testcase Creation")</f>
        <v>0</v>
      </c>
      <c r="AC111" s="255">
        <f>SUMIFS(Table3[Hours Worked],Table3[Release Name],Table7[[#This Row],[Release Name]],Table3[Task Type],"Testcase Execution")</f>
        <v>0</v>
      </c>
      <c r="AD11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1" s="256" t="str">
        <f>IFERROR((Table7[[#This Row],[No. of Valid Internal Review Defects]]+Table7[[#This Row],[No. of Valid  Internal Testing Defects]]+Table7[[#This Row],[No. of  Valid External Review Defects]]+Table7[[#This Row],[No. of Valid External Testing Defects]])/Table7[[#This Row],[Size]],"")</f>
        <v/>
      </c>
      <c r="AF111" s="257" t="str">
        <f>IFERROR(Table7[[#This Row],[No. of Valid Internal Review Defects]]/(Table7[[#This Row],[No. of Valid Internal Review Defects]]+Table7[[#This Row],[No. of  Valid External Review Defects]]+Table7[[#This Row],[No. of Valid  Internal Testing Defects]]+Table7[[#This Row],[No. of Valid External Testing Defects]]),"")</f>
        <v/>
      </c>
      <c r="AG111" s="258" t="str">
        <f>IFERROR(Table7[[#This Row],[No. of Valid Internal Review Defects]]/(Table7[[#This Row],[No. of Valid Internal Review Defects]]+Table7[[#This Row],[No. of  Valid External Review Defects]]+Table7[[#This Row],[No. of Valid External Testing Defects]]),"")</f>
        <v/>
      </c>
      <c r="AH111" s="256" t="str">
        <f>IFERROR(Table7[[#This Row],[No. of Valid  Internal Testing Defects]]/Table7[[#This Row],[Overall Actual Effort for the release]],"")</f>
        <v/>
      </c>
      <c r="AI111" s="256" t="str">
        <f>IFERROR(Table7[[#This Row],[No. of Valid  Internal Testing Defects]]/Table7[[#This Row],[No. of Testcases Executed]],"")</f>
        <v/>
      </c>
      <c r="AJ111" s="259" t="str">
        <f>IFERROR(IFERROR(Table7[[#This Row],[No. of Testcases Created]]/Table7[[#This Row],[Effort for Testcase Creation]],"")*9,"")</f>
        <v/>
      </c>
      <c r="AK111" s="256" t="str">
        <f>IFERROR((Table7[[#This Row],[No. of Testcases Executed]]/Table7[[#This Row],[Effort for Testcase Execution]])*9,"")</f>
        <v/>
      </c>
      <c r="AL11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1" s="259" t="str">
        <f>IFERROR(Table7[[#This Row],[No. of Defects Validated]]/SUMIFS(Table3[Hours Worked],Table3[Release Name],Table7[[#This Row],[Release Name]],Table3[Task Type],"Defect Validation")*9,"")</f>
        <v/>
      </c>
      <c r="AN111" s="258" t="str">
        <f>IFERROR((Table7[[#This Row],[No. of Valid  Internal Testing Defects]])/(Table7[[#This Row],[No. of Valid  Internal Testing Defects]]+Table7[[#This Row],[No. of Invalid Internal Testing Defects]]),"")</f>
        <v/>
      </c>
      <c r="AO111" s="258" t="str">
        <f>IFERROR(Table7[[#This Row],[No. of Valid External Testing Defects]]/(Table7[[#This Row],[No. of Valid External Testing Defects]]+Table7[[#This Row],[No. of Valid  Internal Testing Defects]]),"")</f>
        <v/>
      </c>
    </row>
    <row r="112" spans="2:41">
      <c r="B112" s="237"/>
      <c r="C112" s="14"/>
      <c r="D112" s="14"/>
      <c r="E112" s="14"/>
      <c r="F112" s="230" t="str">
        <f>IFERROR((Table47[[#This Row],[Initial No. of Requirements]]+Table47[[#This Row],[Modified Requirements( Added / Deleted /Modified)]])/Table47[[#This Row],[Initial No. of Requirements]],"")</f>
        <v/>
      </c>
      <c r="G11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2" s="249"/>
      <c r="J112" s="249"/>
      <c r="K112" s="250"/>
      <c r="L112" s="250"/>
      <c r="M112" s="250"/>
      <c r="N112" s="248"/>
      <c r="O112" s="248"/>
      <c r="P112" s="248"/>
      <c r="Q112" s="248"/>
      <c r="R112" s="248"/>
      <c r="S112" s="248"/>
      <c r="T112" s="248"/>
      <c r="U112" s="248"/>
      <c r="V112" s="248"/>
      <c r="W112" s="248"/>
      <c r="X112" s="248"/>
      <c r="Y112" s="248"/>
      <c r="Z112" s="248"/>
      <c r="AA112" s="248"/>
      <c r="AB112" s="13">
        <f>SUMIFS(Table3[Hours Worked],Table3[Release Name],Table7[[#This Row],[Release Name]],Table3[Task Type],"Testcase Creation")</f>
        <v>0</v>
      </c>
      <c r="AC112" s="255">
        <f>SUMIFS(Table3[Hours Worked],Table3[Release Name],Table7[[#This Row],[Release Name]],Table3[Task Type],"Testcase Execution")</f>
        <v>0</v>
      </c>
      <c r="AD11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2" s="256" t="str">
        <f>IFERROR((Table7[[#This Row],[No. of Valid Internal Review Defects]]+Table7[[#This Row],[No. of Valid  Internal Testing Defects]]+Table7[[#This Row],[No. of  Valid External Review Defects]]+Table7[[#This Row],[No. of Valid External Testing Defects]])/Table7[[#This Row],[Size]],"")</f>
        <v/>
      </c>
      <c r="AF112" s="257" t="str">
        <f>IFERROR(Table7[[#This Row],[No. of Valid Internal Review Defects]]/(Table7[[#This Row],[No. of Valid Internal Review Defects]]+Table7[[#This Row],[No. of  Valid External Review Defects]]+Table7[[#This Row],[No. of Valid  Internal Testing Defects]]+Table7[[#This Row],[No. of Valid External Testing Defects]]),"")</f>
        <v/>
      </c>
      <c r="AG112" s="258" t="str">
        <f>IFERROR(Table7[[#This Row],[No. of Valid Internal Review Defects]]/(Table7[[#This Row],[No. of Valid Internal Review Defects]]+Table7[[#This Row],[No. of  Valid External Review Defects]]+Table7[[#This Row],[No. of Valid External Testing Defects]]),"")</f>
        <v/>
      </c>
      <c r="AH112" s="256" t="str">
        <f>IFERROR(Table7[[#This Row],[No. of Valid  Internal Testing Defects]]/Table7[[#This Row],[Overall Actual Effort for the release]],"")</f>
        <v/>
      </c>
      <c r="AI112" s="256" t="str">
        <f>IFERROR(Table7[[#This Row],[No. of Valid  Internal Testing Defects]]/Table7[[#This Row],[No. of Testcases Executed]],"")</f>
        <v/>
      </c>
      <c r="AJ112" s="259" t="str">
        <f>IFERROR(IFERROR(Table7[[#This Row],[No. of Testcases Created]]/Table7[[#This Row],[Effort for Testcase Creation]],"")*9,"")</f>
        <v/>
      </c>
      <c r="AK112" s="256" t="str">
        <f>IFERROR((Table7[[#This Row],[No. of Testcases Executed]]/Table7[[#This Row],[Effort for Testcase Execution]])*9,"")</f>
        <v/>
      </c>
      <c r="AL11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2" s="259" t="str">
        <f>IFERROR(Table7[[#This Row],[No. of Defects Validated]]/SUMIFS(Table3[Hours Worked],Table3[Release Name],Table7[[#This Row],[Release Name]],Table3[Task Type],"Defect Validation")*9,"")</f>
        <v/>
      </c>
      <c r="AN112" s="258" t="str">
        <f>IFERROR((Table7[[#This Row],[No. of Valid  Internal Testing Defects]])/(Table7[[#This Row],[No. of Valid  Internal Testing Defects]]+Table7[[#This Row],[No. of Invalid Internal Testing Defects]]),"")</f>
        <v/>
      </c>
      <c r="AO112" s="258" t="str">
        <f>IFERROR(Table7[[#This Row],[No. of Valid External Testing Defects]]/(Table7[[#This Row],[No. of Valid External Testing Defects]]+Table7[[#This Row],[No. of Valid  Internal Testing Defects]]),"")</f>
        <v/>
      </c>
    </row>
    <row r="113" spans="2:41">
      <c r="B113" s="237"/>
      <c r="C113" s="14"/>
      <c r="D113" s="14"/>
      <c r="E113" s="14"/>
      <c r="F113" s="230" t="str">
        <f>IFERROR((Table47[[#This Row],[Initial No. of Requirements]]+Table47[[#This Row],[Modified Requirements( Added / Deleted /Modified)]])/Table47[[#This Row],[Initial No. of Requirements]],"")</f>
        <v/>
      </c>
      <c r="G11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3" s="249"/>
      <c r="J113" s="249"/>
      <c r="K113" s="250"/>
      <c r="L113" s="250"/>
      <c r="M113" s="250"/>
      <c r="N113" s="248"/>
      <c r="O113" s="248"/>
      <c r="P113" s="248"/>
      <c r="Q113" s="248"/>
      <c r="R113" s="248"/>
      <c r="S113" s="248"/>
      <c r="T113" s="248"/>
      <c r="U113" s="248"/>
      <c r="V113" s="248"/>
      <c r="W113" s="248"/>
      <c r="X113" s="248"/>
      <c r="Y113" s="248"/>
      <c r="Z113" s="248"/>
      <c r="AA113" s="248"/>
      <c r="AB113" s="13">
        <f>SUMIFS(Table3[Hours Worked],Table3[Release Name],Table7[[#This Row],[Release Name]],Table3[Task Type],"Testcase Creation")</f>
        <v>0</v>
      </c>
      <c r="AC113" s="255">
        <f>SUMIFS(Table3[Hours Worked],Table3[Release Name],Table7[[#This Row],[Release Name]],Table3[Task Type],"Testcase Execution")</f>
        <v>0</v>
      </c>
      <c r="AD11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3" s="256" t="str">
        <f>IFERROR((Table7[[#This Row],[No. of Valid Internal Review Defects]]+Table7[[#This Row],[No. of Valid  Internal Testing Defects]]+Table7[[#This Row],[No. of  Valid External Review Defects]]+Table7[[#This Row],[No. of Valid External Testing Defects]])/Table7[[#This Row],[Size]],"")</f>
        <v/>
      </c>
      <c r="AF113" s="257" t="str">
        <f>IFERROR(Table7[[#This Row],[No. of Valid Internal Review Defects]]/(Table7[[#This Row],[No. of Valid Internal Review Defects]]+Table7[[#This Row],[No. of  Valid External Review Defects]]+Table7[[#This Row],[No. of Valid  Internal Testing Defects]]+Table7[[#This Row],[No. of Valid External Testing Defects]]),"")</f>
        <v/>
      </c>
      <c r="AG113" s="258" t="str">
        <f>IFERROR(Table7[[#This Row],[No. of Valid Internal Review Defects]]/(Table7[[#This Row],[No. of Valid Internal Review Defects]]+Table7[[#This Row],[No. of  Valid External Review Defects]]+Table7[[#This Row],[No. of Valid External Testing Defects]]),"")</f>
        <v/>
      </c>
      <c r="AH113" s="256" t="str">
        <f>IFERROR(Table7[[#This Row],[No. of Valid  Internal Testing Defects]]/Table7[[#This Row],[Overall Actual Effort for the release]],"")</f>
        <v/>
      </c>
      <c r="AI113" s="256" t="str">
        <f>IFERROR(Table7[[#This Row],[No. of Valid  Internal Testing Defects]]/Table7[[#This Row],[No. of Testcases Executed]],"")</f>
        <v/>
      </c>
      <c r="AJ113" s="259" t="str">
        <f>IFERROR(IFERROR(Table7[[#This Row],[No. of Testcases Created]]/Table7[[#This Row],[Effort for Testcase Creation]],"")*9,"")</f>
        <v/>
      </c>
      <c r="AK113" s="256" t="str">
        <f>IFERROR((Table7[[#This Row],[No. of Testcases Executed]]/Table7[[#This Row],[Effort for Testcase Execution]])*9,"")</f>
        <v/>
      </c>
      <c r="AL11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3" s="259" t="str">
        <f>IFERROR(Table7[[#This Row],[No. of Defects Validated]]/SUMIFS(Table3[Hours Worked],Table3[Release Name],Table7[[#This Row],[Release Name]],Table3[Task Type],"Defect Validation")*9,"")</f>
        <v/>
      </c>
      <c r="AN113" s="258" t="str">
        <f>IFERROR((Table7[[#This Row],[No. of Valid  Internal Testing Defects]])/(Table7[[#This Row],[No. of Valid  Internal Testing Defects]]+Table7[[#This Row],[No. of Invalid Internal Testing Defects]]),"")</f>
        <v/>
      </c>
      <c r="AO113" s="258" t="str">
        <f>IFERROR(Table7[[#This Row],[No. of Valid External Testing Defects]]/(Table7[[#This Row],[No. of Valid External Testing Defects]]+Table7[[#This Row],[No. of Valid  Internal Testing Defects]]),"")</f>
        <v/>
      </c>
    </row>
    <row r="114" spans="2:41">
      <c r="B114" s="237"/>
      <c r="C114" s="14"/>
      <c r="D114" s="14"/>
      <c r="E114" s="14"/>
      <c r="F114" s="230" t="str">
        <f>IFERROR((Table47[[#This Row],[Initial No. of Requirements]]+Table47[[#This Row],[Modified Requirements( Added / Deleted /Modified)]])/Table47[[#This Row],[Initial No. of Requirements]],"")</f>
        <v/>
      </c>
      <c r="G11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4" s="249"/>
      <c r="J114" s="249"/>
      <c r="K114" s="250"/>
      <c r="L114" s="250"/>
      <c r="M114" s="250"/>
      <c r="N114" s="248"/>
      <c r="O114" s="248"/>
      <c r="P114" s="248"/>
      <c r="Q114" s="248"/>
      <c r="R114" s="248"/>
      <c r="S114" s="248"/>
      <c r="T114" s="248"/>
      <c r="U114" s="248"/>
      <c r="V114" s="248"/>
      <c r="W114" s="248"/>
      <c r="X114" s="248"/>
      <c r="Y114" s="248"/>
      <c r="Z114" s="248"/>
      <c r="AA114" s="248"/>
      <c r="AB114" s="13">
        <f>SUMIFS(Table3[Hours Worked],Table3[Release Name],Table7[[#This Row],[Release Name]],Table3[Task Type],"Testcase Creation")</f>
        <v>0</v>
      </c>
      <c r="AC114" s="255">
        <f>SUMIFS(Table3[Hours Worked],Table3[Release Name],Table7[[#This Row],[Release Name]],Table3[Task Type],"Testcase Execution")</f>
        <v>0</v>
      </c>
      <c r="AD11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4" s="256" t="str">
        <f>IFERROR((Table7[[#This Row],[No. of Valid Internal Review Defects]]+Table7[[#This Row],[No. of Valid  Internal Testing Defects]]+Table7[[#This Row],[No. of  Valid External Review Defects]]+Table7[[#This Row],[No. of Valid External Testing Defects]])/Table7[[#This Row],[Size]],"")</f>
        <v/>
      </c>
      <c r="AF114" s="257" t="str">
        <f>IFERROR(Table7[[#This Row],[No. of Valid Internal Review Defects]]/(Table7[[#This Row],[No. of Valid Internal Review Defects]]+Table7[[#This Row],[No. of  Valid External Review Defects]]+Table7[[#This Row],[No. of Valid  Internal Testing Defects]]+Table7[[#This Row],[No. of Valid External Testing Defects]]),"")</f>
        <v/>
      </c>
      <c r="AG114" s="258" t="str">
        <f>IFERROR(Table7[[#This Row],[No. of Valid Internal Review Defects]]/(Table7[[#This Row],[No. of Valid Internal Review Defects]]+Table7[[#This Row],[No. of  Valid External Review Defects]]+Table7[[#This Row],[No. of Valid External Testing Defects]]),"")</f>
        <v/>
      </c>
      <c r="AH114" s="256" t="str">
        <f>IFERROR(Table7[[#This Row],[No. of Valid  Internal Testing Defects]]/Table7[[#This Row],[Overall Actual Effort for the release]],"")</f>
        <v/>
      </c>
      <c r="AI114" s="256" t="str">
        <f>IFERROR(Table7[[#This Row],[No. of Valid  Internal Testing Defects]]/Table7[[#This Row],[No. of Testcases Executed]],"")</f>
        <v/>
      </c>
      <c r="AJ114" s="259" t="str">
        <f>IFERROR(IFERROR(Table7[[#This Row],[No. of Testcases Created]]/Table7[[#This Row],[Effort for Testcase Creation]],"")*9,"")</f>
        <v/>
      </c>
      <c r="AK114" s="256" t="str">
        <f>IFERROR((Table7[[#This Row],[No. of Testcases Executed]]/Table7[[#This Row],[Effort for Testcase Execution]])*9,"")</f>
        <v/>
      </c>
      <c r="AL11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4" s="259" t="str">
        <f>IFERROR(Table7[[#This Row],[No. of Defects Validated]]/SUMIFS(Table3[Hours Worked],Table3[Release Name],Table7[[#This Row],[Release Name]],Table3[Task Type],"Defect Validation")*9,"")</f>
        <v/>
      </c>
      <c r="AN114" s="258" t="str">
        <f>IFERROR((Table7[[#This Row],[No. of Valid  Internal Testing Defects]])/(Table7[[#This Row],[No. of Valid  Internal Testing Defects]]+Table7[[#This Row],[No. of Invalid Internal Testing Defects]]),"")</f>
        <v/>
      </c>
      <c r="AO114" s="258" t="str">
        <f>IFERROR(Table7[[#This Row],[No. of Valid External Testing Defects]]/(Table7[[#This Row],[No. of Valid External Testing Defects]]+Table7[[#This Row],[No. of Valid  Internal Testing Defects]]),"")</f>
        <v/>
      </c>
    </row>
    <row r="115" spans="2:41">
      <c r="B115" s="237"/>
      <c r="C115" s="14"/>
      <c r="D115" s="14"/>
      <c r="E115" s="14"/>
      <c r="F115" s="230" t="str">
        <f>IFERROR((Table47[[#This Row],[Initial No. of Requirements]]+Table47[[#This Row],[Modified Requirements( Added / Deleted /Modified)]])/Table47[[#This Row],[Initial No. of Requirements]],"")</f>
        <v/>
      </c>
      <c r="G11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5" s="249"/>
      <c r="J115" s="249"/>
      <c r="K115" s="250"/>
      <c r="L115" s="250"/>
      <c r="M115" s="250"/>
      <c r="N115" s="248"/>
      <c r="O115" s="248"/>
      <c r="P115" s="248"/>
      <c r="Q115" s="248"/>
      <c r="R115" s="248"/>
      <c r="S115" s="248"/>
      <c r="T115" s="248"/>
      <c r="U115" s="248"/>
      <c r="V115" s="248"/>
      <c r="W115" s="248"/>
      <c r="X115" s="248"/>
      <c r="Y115" s="248"/>
      <c r="Z115" s="248"/>
      <c r="AA115" s="248"/>
      <c r="AB115" s="13">
        <f>SUMIFS(Table3[Hours Worked],Table3[Release Name],Table7[[#This Row],[Release Name]],Table3[Task Type],"Testcase Creation")</f>
        <v>0</v>
      </c>
      <c r="AC115" s="255">
        <f>SUMIFS(Table3[Hours Worked],Table3[Release Name],Table7[[#This Row],[Release Name]],Table3[Task Type],"Testcase Execution")</f>
        <v>0</v>
      </c>
      <c r="AD11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5" s="256" t="str">
        <f>IFERROR((Table7[[#This Row],[No. of Valid Internal Review Defects]]+Table7[[#This Row],[No. of Valid  Internal Testing Defects]]+Table7[[#This Row],[No. of  Valid External Review Defects]]+Table7[[#This Row],[No. of Valid External Testing Defects]])/Table7[[#This Row],[Size]],"")</f>
        <v/>
      </c>
      <c r="AF115" s="257" t="str">
        <f>IFERROR(Table7[[#This Row],[No. of Valid Internal Review Defects]]/(Table7[[#This Row],[No. of Valid Internal Review Defects]]+Table7[[#This Row],[No. of  Valid External Review Defects]]+Table7[[#This Row],[No. of Valid  Internal Testing Defects]]+Table7[[#This Row],[No. of Valid External Testing Defects]]),"")</f>
        <v/>
      </c>
      <c r="AG115" s="258" t="str">
        <f>IFERROR(Table7[[#This Row],[No. of Valid Internal Review Defects]]/(Table7[[#This Row],[No. of Valid Internal Review Defects]]+Table7[[#This Row],[No. of  Valid External Review Defects]]+Table7[[#This Row],[No. of Valid External Testing Defects]]),"")</f>
        <v/>
      </c>
      <c r="AH115" s="256" t="str">
        <f>IFERROR(Table7[[#This Row],[No. of Valid  Internal Testing Defects]]/Table7[[#This Row],[Overall Actual Effort for the release]],"")</f>
        <v/>
      </c>
      <c r="AI115" s="256" t="str">
        <f>IFERROR(Table7[[#This Row],[No. of Valid  Internal Testing Defects]]/Table7[[#This Row],[No. of Testcases Executed]],"")</f>
        <v/>
      </c>
      <c r="AJ115" s="259" t="str">
        <f>IFERROR(IFERROR(Table7[[#This Row],[No. of Testcases Created]]/Table7[[#This Row],[Effort for Testcase Creation]],"")*9,"")</f>
        <v/>
      </c>
      <c r="AK115" s="256" t="str">
        <f>IFERROR((Table7[[#This Row],[No. of Testcases Executed]]/Table7[[#This Row],[Effort for Testcase Execution]])*9,"")</f>
        <v/>
      </c>
      <c r="AL11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5" s="259" t="str">
        <f>IFERROR(Table7[[#This Row],[No. of Defects Validated]]/SUMIFS(Table3[Hours Worked],Table3[Release Name],Table7[[#This Row],[Release Name]],Table3[Task Type],"Defect Validation")*9,"")</f>
        <v/>
      </c>
      <c r="AN115" s="258" t="str">
        <f>IFERROR((Table7[[#This Row],[No. of Valid  Internal Testing Defects]])/(Table7[[#This Row],[No. of Valid  Internal Testing Defects]]+Table7[[#This Row],[No. of Invalid Internal Testing Defects]]),"")</f>
        <v/>
      </c>
      <c r="AO115" s="258" t="str">
        <f>IFERROR(Table7[[#This Row],[No. of Valid External Testing Defects]]/(Table7[[#This Row],[No. of Valid External Testing Defects]]+Table7[[#This Row],[No. of Valid  Internal Testing Defects]]),"")</f>
        <v/>
      </c>
    </row>
    <row r="116" spans="2:41">
      <c r="B116" s="237"/>
      <c r="C116" s="14"/>
      <c r="D116" s="14"/>
      <c r="E116" s="14"/>
      <c r="F116" s="230" t="str">
        <f>IFERROR((Table47[[#This Row],[Initial No. of Requirements]]+Table47[[#This Row],[Modified Requirements( Added / Deleted /Modified)]])/Table47[[#This Row],[Initial No. of Requirements]],"")</f>
        <v/>
      </c>
      <c r="G11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6" s="249"/>
      <c r="J116" s="249"/>
      <c r="K116" s="250"/>
      <c r="L116" s="250"/>
      <c r="M116" s="250"/>
      <c r="N116" s="248"/>
      <c r="O116" s="248"/>
      <c r="P116" s="248"/>
      <c r="Q116" s="248"/>
      <c r="R116" s="248"/>
      <c r="S116" s="248"/>
      <c r="T116" s="248"/>
      <c r="U116" s="248"/>
      <c r="V116" s="248"/>
      <c r="W116" s="248"/>
      <c r="X116" s="248"/>
      <c r="Y116" s="248"/>
      <c r="Z116" s="248"/>
      <c r="AA116" s="248"/>
      <c r="AB116" s="13">
        <f>SUMIFS(Table3[Hours Worked],Table3[Release Name],Table7[[#This Row],[Release Name]],Table3[Task Type],"Testcase Creation")</f>
        <v>0</v>
      </c>
      <c r="AC116" s="255">
        <f>SUMIFS(Table3[Hours Worked],Table3[Release Name],Table7[[#This Row],[Release Name]],Table3[Task Type],"Testcase Execution")</f>
        <v>0</v>
      </c>
      <c r="AD11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6" s="256" t="str">
        <f>IFERROR((Table7[[#This Row],[No. of Valid Internal Review Defects]]+Table7[[#This Row],[No. of Valid  Internal Testing Defects]]+Table7[[#This Row],[No. of  Valid External Review Defects]]+Table7[[#This Row],[No. of Valid External Testing Defects]])/Table7[[#This Row],[Size]],"")</f>
        <v/>
      </c>
      <c r="AF116" s="257" t="str">
        <f>IFERROR(Table7[[#This Row],[No. of Valid Internal Review Defects]]/(Table7[[#This Row],[No. of Valid Internal Review Defects]]+Table7[[#This Row],[No. of  Valid External Review Defects]]+Table7[[#This Row],[No. of Valid  Internal Testing Defects]]+Table7[[#This Row],[No. of Valid External Testing Defects]]),"")</f>
        <v/>
      </c>
      <c r="AG116" s="258" t="str">
        <f>IFERROR(Table7[[#This Row],[No. of Valid Internal Review Defects]]/(Table7[[#This Row],[No. of Valid Internal Review Defects]]+Table7[[#This Row],[No. of  Valid External Review Defects]]+Table7[[#This Row],[No. of Valid External Testing Defects]]),"")</f>
        <v/>
      </c>
      <c r="AH116" s="256" t="str">
        <f>IFERROR(Table7[[#This Row],[No. of Valid  Internal Testing Defects]]/Table7[[#This Row],[Overall Actual Effort for the release]],"")</f>
        <v/>
      </c>
      <c r="AI116" s="256" t="str">
        <f>IFERROR(Table7[[#This Row],[No. of Valid  Internal Testing Defects]]/Table7[[#This Row],[No. of Testcases Executed]],"")</f>
        <v/>
      </c>
      <c r="AJ116" s="259" t="str">
        <f>IFERROR(IFERROR(Table7[[#This Row],[No. of Testcases Created]]/Table7[[#This Row],[Effort for Testcase Creation]],"")*9,"")</f>
        <v/>
      </c>
      <c r="AK116" s="256" t="str">
        <f>IFERROR((Table7[[#This Row],[No. of Testcases Executed]]/Table7[[#This Row],[Effort for Testcase Execution]])*9,"")</f>
        <v/>
      </c>
      <c r="AL11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6" s="259" t="str">
        <f>IFERROR(Table7[[#This Row],[No. of Defects Validated]]/SUMIFS(Table3[Hours Worked],Table3[Release Name],Table7[[#This Row],[Release Name]],Table3[Task Type],"Defect Validation")*9,"")</f>
        <v/>
      </c>
      <c r="AN116" s="258" t="str">
        <f>IFERROR((Table7[[#This Row],[No. of Valid  Internal Testing Defects]])/(Table7[[#This Row],[No. of Valid  Internal Testing Defects]]+Table7[[#This Row],[No. of Invalid Internal Testing Defects]]),"")</f>
        <v/>
      </c>
      <c r="AO116" s="258" t="str">
        <f>IFERROR(Table7[[#This Row],[No. of Valid External Testing Defects]]/(Table7[[#This Row],[No. of Valid External Testing Defects]]+Table7[[#This Row],[No. of Valid  Internal Testing Defects]]),"")</f>
        <v/>
      </c>
    </row>
    <row r="117" spans="2:41">
      <c r="B117" s="237"/>
      <c r="C117" s="14"/>
      <c r="D117" s="14"/>
      <c r="E117" s="14"/>
      <c r="F117" s="230" t="str">
        <f>IFERROR((Table47[[#This Row],[Initial No. of Requirements]]+Table47[[#This Row],[Modified Requirements( Added / Deleted /Modified)]])/Table47[[#This Row],[Initial No. of Requirements]],"")</f>
        <v/>
      </c>
      <c r="G11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7" s="249"/>
      <c r="J117" s="249"/>
      <c r="K117" s="250"/>
      <c r="L117" s="250"/>
      <c r="M117" s="250"/>
      <c r="N117" s="248"/>
      <c r="O117" s="248"/>
      <c r="P117" s="248"/>
      <c r="Q117" s="248"/>
      <c r="R117" s="248"/>
      <c r="S117" s="248"/>
      <c r="T117" s="248"/>
      <c r="U117" s="248"/>
      <c r="V117" s="248"/>
      <c r="W117" s="248"/>
      <c r="X117" s="248"/>
      <c r="Y117" s="248"/>
      <c r="Z117" s="248"/>
      <c r="AA117" s="248"/>
      <c r="AB117" s="13">
        <f>SUMIFS(Table3[Hours Worked],Table3[Release Name],Table7[[#This Row],[Release Name]],Table3[Task Type],"Testcase Creation")</f>
        <v>0</v>
      </c>
      <c r="AC117" s="255">
        <f>SUMIFS(Table3[Hours Worked],Table3[Release Name],Table7[[#This Row],[Release Name]],Table3[Task Type],"Testcase Execution")</f>
        <v>0</v>
      </c>
      <c r="AD11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7" s="256" t="str">
        <f>IFERROR((Table7[[#This Row],[No. of Valid Internal Review Defects]]+Table7[[#This Row],[No. of Valid  Internal Testing Defects]]+Table7[[#This Row],[No. of  Valid External Review Defects]]+Table7[[#This Row],[No. of Valid External Testing Defects]])/Table7[[#This Row],[Size]],"")</f>
        <v/>
      </c>
      <c r="AF117" s="257" t="str">
        <f>IFERROR(Table7[[#This Row],[No. of Valid Internal Review Defects]]/(Table7[[#This Row],[No. of Valid Internal Review Defects]]+Table7[[#This Row],[No. of  Valid External Review Defects]]+Table7[[#This Row],[No. of Valid  Internal Testing Defects]]+Table7[[#This Row],[No. of Valid External Testing Defects]]),"")</f>
        <v/>
      </c>
      <c r="AG117" s="258" t="str">
        <f>IFERROR(Table7[[#This Row],[No. of Valid Internal Review Defects]]/(Table7[[#This Row],[No. of Valid Internal Review Defects]]+Table7[[#This Row],[No. of  Valid External Review Defects]]+Table7[[#This Row],[No. of Valid External Testing Defects]]),"")</f>
        <v/>
      </c>
      <c r="AH117" s="256" t="str">
        <f>IFERROR(Table7[[#This Row],[No. of Valid  Internal Testing Defects]]/Table7[[#This Row],[Overall Actual Effort for the release]],"")</f>
        <v/>
      </c>
      <c r="AI117" s="256" t="str">
        <f>IFERROR(Table7[[#This Row],[No. of Valid  Internal Testing Defects]]/Table7[[#This Row],[No. of Testcases Executed]],"")</f>
        <v/>
      </c>
      <c r="AJ117" s="259" t="str">
        <f>IFERROR(IFERROR(Table7[[#This Row],[No. of Testcases Created]]/Table7[[#This Row],[Effort for Testcase Creation]],"")*9,"")</f>
        <v/>
      </c>
      <c r="AK117" s="256" t="str">
        <f>IFERROR((Table7[[#This Row],[No. of Testcases Executed]]/Table7[[#This Row],[Effort for Testcase Execution]])*9,"")</f>
        <v/>
      </c>
      <c r="AL11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7" s="259" t="str">
        <f>IFERROR(Table7[[#This Row],[No. of Defects Validated]]/SUMIFS(Table3[Hours Worked],Table3[Release Name],Table7[[#This Row],[Release Name]],Table3[Task Type],"Defect Validation")*9,"")</f>
        <v/>
      </c>
      <c r="AN117" s="258" t="str">
        <f>IFERROR((Table7[[#This Row],[No. of Valid  Internal Testing Defects]])/(Table7[[#This Row],[No. of Valid  Internal Testing Defects]]+Table7[[#This Row],[No. of Invalid Internal Testing Defects]]),"")</f>
        <v/>
      </c>
      <c r="AO117" s="258" t="str">
        <f>IFERROR(Table7[[#This Row],[No. of Valid External Testing Defects]]/(Table7[[#This Row],[No. of Valid External Testing Defects]]+Table7[[#This Row],[No. of Valid  Internal Testing Defects]]),"")</f>
        <v/>
      </c>
    </row>
    <row r="118" spans="2:41">
      <c r="B118" s="237"/>
      <c r="C118" s="14"/>
      <c r="D118" s="14"/>
      <c r="E118" s="14"/>
      <c r="F118" s="230" t="str">
        <f>IFERROR((Table47[[#This Row],[Initial No. of Requirements]]+Table47[[#This Row],[Modified Requirements( Added / Deleted /Modified)]])/Table47[[#This Row],[Initial No. of Requirements]],"")</f>
        <v/>
      </c>
      <c r="G11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8" s="249"/>
      <c r="J118" s="249"/>
      <c r="K118" s="250"/>
      <c r="L118" s="250"/>
      <c r="M118" s="250"/>
      <c r="N118" s="248"/>
      <c r="O118" s="248"/>
      <c r="P118" s="248"/>
      <c r="Q118" s="248"/>
      <c r="R118" s="248"/>
      <c r="S118" s="248"/>
      <c r="T118" s="248"/>
      <c r="U118" s="248"/>
      <c r="V118" s="248"/>
      <c r="W118" s="248"/>
      <c r="X118" s="248"/>
      <c r="Y118" s="248"/>
      <c r="Z118" s="248"/>
      <c r="AA118" s="248"/>
      <c r="AB118" s="13">
        <f>SUMIFS(Table3[Hours Worked],Table3[Release Name],Table7[[#This Row],[Release Name]],Table3[Task Type],"Testcase Creation")</f>
        <v>0</v>
      </c>
      <c r="AC118" s="255">
        <f>SUMIFS(Table3[Hours Worked],Table3[Release Name],Table7[[#This Row],[Release Name]],Table3[Task Type],"Testcase Execution")</f>
        <v>0</v>
      </c>
      <c r="AD11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8" s="256" t="str">
        <f>IFERROR((Table7[[#This Row],[No. of Valid Internal Review Defects]]+Table7[[#This Row],[No. of Valid  Internal Testing Defects]]+Table7[[#This Row],[No. of  Valid External Review Defects]]+Table7[[#This Row],[No. of Valid External Testing Defects]])/Table7[[#This Row],[Size]],"")</f>
        <v/>
      </c>
      <c r="AF118" s="257" t="str">
        <f>IFERROR(Table7[[#This Row],[No. of Valid Internal Review Defects]]/(Table7[[#This Row],[No. of Valid Internal Review Defects]]+Table7[[#This Row],[No. of  Valid External Review Defects]]+Table7[[#This Row],[No. of Valid  Internal Testing Defects]]+Table7[[#This Row],[No. of Valid External Testing Defects]]),"")</f>
        <v/>
      </c>
      <c r="AG118" s="258" t="str">
        <f>IFERROR(Table7[[#This Row],[No. of Valid Internal Review Defects]]/(Table7[[#This Row],[No. of Valid Internal Review Defects]]+Table7[[#This Row],[No. of  Valid External Review Defects]]+Table7[[#This Row],[No. of Valid External Testing Defects]]),"")</f>
        <v/>
      </c>
      <c r="AH118" s="256" t="str">
        <f>IFERROR(Table7[[#This Row],[No. of Valid  Internal Testing Defects]]/Table7[[#This Row],[Overall Actual Effort for the release]],"")</f>
        <v/>
      </c>
      <c r="AI118" s="256" t="str">
        <f>IFERROR(Table7[[#This Row],[No. of Valid  Internal Testing Defects]]/Table7[[#This Row],[No. of Testcases Executed]],"")</f>
        <v/>
      </c>
      <c r="AJ118" s="259" t="str">
        <f>IFERROR(IFERROR(Table7[[#This Row],[No. of Testcases Created]]/Table7[[#This Row],[Effort for Testcase Creation]],"")*9,"")</f>
        <v/>
      </c>
      <c r="AK118" s="256" t="str">
        <f>IFERROR((Table7[[#This Row],[No. of Testcases Executed]]/Table7[[#This Row],[Effort for Testcase Execution]])*9,"")</f>
        <v/>
      </c>
      <c r="AL11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8" s="259" t="str">
        <f>IFERROR(Table7[[#This Row],[No. of Defects Validated]]/SUMIFS(Table3[Hours Worked],Table3[Release Name],Table7[[#This Row],[Release Name]],Table3[Task Type],"Defect Validation")*9,"")</f>
        <v/>
      </c>
      <c r="AN118" s="258" t="str">
        <f>IFERROR((Table7[[#This Row],[No. of Valid  Internal Testing Defects]])/(Table7[[#This Row],[No. of Valid  Internal Testing Defects]]+Table7[[#This Row],[No. of Invalid Internal Testing Defects]]),"")</f>
        <v/>
      </c>
      <c r="AO118" s="258" t="str">
        <f>IFERROR(Table7[[#This Row],[No. of Valid External Testing Defects]]/(Table7[[#This Row],[No. of Valid External Testing Defects]]+Table7[[#This Row],[No. of Valid  Internal Testing Defects]]),"")</f>
        <v/>
      </c>
    </row>
    <row r="119" spans="2:41">
      <c r="B119" s="237"/>
      <c r="C119" s="14"/>
      <c r="D119" s="14"/>
      <c r="E119" s="14"/>
      <c r="F119" s="230" t="str">
        <f>IFERROR((Table47[[#This Row],[Initial No. of Requirements]]+Table47[[#This Row],[Modified Requirements( Added / Deleted /Modified)]])/Table47[[#This Row],[Initial No. of Requirements]],"")</f>
        <v/>
      </c>
      <c r="G11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19" s="249"/>
      <c r="J119" s="249"/>
      <c r="K119" s="250"/>
      <c r="L119" s="250"/>
      <c r="M119" s="250"/>
      <c r="N119" s="248"/>
      <c r="O119" s="248"/>
      <c r="P119" s="248"/>
      <c r="Q119" s="248"/>
      <c r="R119" s="248"/>
      <c r="S119" s="248"/>
      <c r="T119" s="248"/>
      <c r="U119" s="248"/>
      <c r="V119" s="248"/>
      <c r="W119" s="248"/>
      <c r="X119" s="248"/>
      <c r="Y119" s="248"/>
      <c r="Z119" s="248"/>
      <c r="AA119" s="248"/>
      <c r="AB119" s="13">
        <f>SUMIFS(Table3[Hours Worked],Table3[Release Name],Table7[[#This Row],[Release Name]],Table3[Task Type],"Testcase Creation")</f>
        <v>0</v>
      </c>
      <c r="AC119" s="255">
        <f>SUMIFS(Table3[Hours Worked],Table3[Release Name],Table7[[#This Row],[Release Name]],Table3[Task Type],"Testcase Execution")</f>
        <v>0</v>
      </c>
      <c r="AD11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19" s="256" t="str">
        <f>IFERROR((Table7[[#This Row],[No. of Valid Internal Review Defects]]+Table7[[#This Row],[No. of Valid  Internal Testing Defects]]+Table7[[#This Row],[No. of  Valid External Review Defects]]+Table7[[#This Row],[No. of Valid External Testing Defects]])/Table7[[#This Row],[Size]],"")</f>
        <v/>
      </c>
      <c r="AF119" s="257" t="str">
        <f>IFERROR(Table7[[#This Row],[No. of Valid Internal Review Defects]]/(Table7[[#This Row],[No. of Valid Internal Review Defects]]+Table7[[#This Row],[No. of  Valid External Review Defects]]+Table7[[#This Row],[No. of Valid  Internal Testing Defects]]+Table7[[#This Row],[No. of Valid External Testing Defects]]),"")</f>
        <v/>
      </c>
      <c r="AG119" s="258" t="str">
        <f>IFERROR(Table7[[#This Row],[No. of Valid Internal Review Defects]]/(Table7[[#This Row],[No. of Valid Internal Review Defects]]+Table7[[#This Row],[No. of  Valid External Review Defects]]+Table7[[#This Row],[No. of Valid External Testing Defects]]),"")</f>
        <v/>
      </c>
      <c r="AH119" s="256" t="str">
        <f>IFERROR(Table7[[#This Row],[No. of Valid  Internal Testing Defects]]/Table7[[#This Row],[Overall Actual Effort for the release]],"")</f>
        <v/>
      </c>
      <c r="AI119" s="256" t="str">
        <f>IFERROR(Table7[[#This Row],[No. of Valid  Internal Testing Defects]]/Table7[[#This Row],[No. of Testcases Executed]],"")</f>
        <v/>
      </c>
      <c r="AJ119" s="259" t="str">
        <f>IFERROR(IFERROR(Table7[[#This Row],[No. of Testcases Created]]/Table7[[#This Row],[Effort for Testcase Creation]],"")*9,"")</f>
        <v/>
      </c>
      <c r="AK119" s="256" t="str">
        <f>IFERROR((Table7[[#This Row],[No. of Testcases Executed]]/Table7[[#This Row],[Effort for Testcase Execution]])*9,"")</f>
        <v/>
      </c>
      <c r="AL11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19" s="259" t="str">
        <f>IFERROR(Table7[[#This Row],[No. of Defects Validated]]/SUMIFS(Table3[Hours Worked],Table3[Release Name],Table7[[#This Row],[Release Name]],Table3[Task Type],"Defect Validation")*9,"")</f>
        <v/>
      </c>
      <c r="AN119" s="258" t="str">
        <f>IFERROR((Table7[[#This Row],[No. of Valid  Internal Testing Defects]])/(Table7[[#This Row],[No. of Valid  Internal Testing Defects]]+Table7[[#This Row],[No. of Invalid Internal Testing Defects]]),"")</f>
        <v/>
      </c>
      <c r="AO119" s="258" t="str">
        <f>IFERROR(Table7[[#This Row],[No. of Valid External Testing Defects]]/(Table7[[#This Row],[No. of Valid External Testing Defects]]+Table7[[#This Row],[No. of Valid  Internal Testing Defects]]),"")</f>
        <v/>
      </c>
    </row>
    <row r="120" spans="2:41">
      <c r="B120" s="237"/>
      <c r="C120" s="14"/>
      <c r="D120" s="14"/>
      <c r="E120" s="14"/>
      <c r="F120" s="230" t="str">
        <f>IFERROR((Table47[[#This Row],[Initial No. of Requirements]]+Table47[[#This Row],[Modified Requirements( Added / Deleted /Modified)]])/Table47[[#This Row],[Initial No. of Requirements]],"")</f>
        <v/>
      </c>
      <c r="G12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0" s="249"/>
      <c r="J120" s="249"/>
      <c r="K120" s="250"/>
      <c r="L120" s="250"/>
      <c r="M120" s="250"/>
      <c r="N120" s="248"/>
      <c r="O120" s="248"/>
      <c r="P120" s="248"/>
      <c r="Q120" s="248"/>
      <c r="R120" s="248"/>
      <c r="S120" s="248"/>
      <c r="T120" s="248"/>
      <c r="U120" s="248"/>
      <c r="V120" s="248"/>
      <c r="W120" s="248"/>
      <c r="X120" s="248"/>
      <c r="Y120" s="248"/>
      <c r="Z120" s="248"/>
      <c r="AA120" s="248"/>
      <c r="AB120" s="13">
        <f>SUMIFS(Table3[Hours Worked],Table3[Release Name],Table7[[#This Row],[Release Name]],Table3[Task Type],"Testcase Creation")</f>
        <v>0</v>
      </c>
      <c r="AC120" s="255">
        <f>SUMIFS(Table3[Hours Worked],Table3[Release Name],Table7[[#This Row],[Release Name]],Table3[Task Type],"Testcase Execution")</f>
        <v>0</v>
      </c>
      <c r="AD12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0" s="256" t="str">
        <f>IFERROR((Table7[[#This Row],[No. of Valid Internal Review Defects]]+Table7[[#This Row],[No. of Valid  Internal Testing Defects]]+Table7[[#This Row],[No. of  Valid External Review Defects]]+Table7[[#This Row],[No. of Valid External Testing Defects]])/Table7[[#This Row],[Size]],"")</f>
        <v/>
      </c>
      <c r="AF120" s="257" t="str">
        <f>IFERROR(Table7[[#This Row],[No. of Valid Internal Review Defects]]/(Table7[[#This Row],[No. of Valid Internal Review Defects]]+Table7[[#This Row],[No. of  Valid External Review Defects]]+Table7[[#This Row],[No. of Valid  Internal Testing Defects]]+Table7[[#This Row],[No. of Valid External Testing Defects]]),"")</f>
        <v/>
      </c>
      <c r="AG120" s="258" t="str">
        <f>IFERROR(Table7[[#This Row],[No. of Valid Internal Review Defects]]/(Table7[[#This Row],[No. of Valid Internal Review Defects]]+Table7[[#This Row],[No. of  Valid External Review Defects]]+Table7[[#This Row],[No. of Valid External Testing Defects]]),"")</f>
        <v/>
      </c>
      <c r="AH120" s="256" t="str">
        <f>IFERROR(Table7[[#This Row],[No. of Valid  Internal Testing Defects]]/Table7[[#This Row],[Overall Actual Effort for the release]],"")</f>
        <v/>
      </c>
      <c r="AI120" s="256" t="str">
        <f>IFERROR(Table7[[#This Row],[No. of Valid  Internal Testing Defects]]/Table7[[#This Row],[No. of Testcases Executed]],"")</f>
        <v/>
      </c>
      <c r="AJ120" s="259" t="str">
        <f>IFERROR(IFERROR(Table7[[#This Row],[No. of Testcases Created]]/Table7[[#This Row],[Effort for Testcase Creation]],"")*9,"")</f>
        <v/>
      </c>
      <c r="AK120" s="256" t="str">
        <f>IFERROR((Table7[[#This Row],[No. of Testcases Executed]]/Table7[[#This Row],[Effort for Testcase Execution]])*9,"")</f>
        <v/>
      </c>
      <c r="AL12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0" s="259" t="str">
        <f>IFERROR(Table7[[#This Row],[No. of Defects Validated]]/SUMIFS(Table3[Hours Worked],Table3[Release Name],Table7[[#This Row],[Release Name]],Table3[Task Type],"Defect Validation")*9,"")</f>
        <v/>
      </c>
      <c r="AN120" s="258" t="str">
        <f>IFERROR((Table7[[#This Row],[No. of Valid  Internal Testing Defects]])/(Table7[[#This Row],[No. of Valid  Internal Testing Defects]]+Table7[[#This Row],[No. of Invalid Internal Testing Defects]]),"")</f>
        <v/>
      </c>
      <c r="AO120" s="258" t="str">
        <f>IFERROR(Table7[[#This Row],[No. of Valid External Testing Defects]]/(Table7[[#This Row],[No. of Valid External Testing Defects]]+Table7[[#This Row],[No. of Valid  Internal Testing Defects]]),"")</f>
        <v/>
      </c>
    </row>
    <row r="121" spans="2:41">
      <c r="B121" s="237"/>
      <c r="C121" s="14"/>
      <c r="D121" s="14"/>
      <c r="E121" s="14"/>
      <c r="F121" s="230" t="str">
        <f>IFERROR((Table47[[#This Row],[Initial No. of Requirements]]+Table47[[#This Row],[Modified Requirements( Added / Deleted /Modified)]])/Table47[[#This Row],[Initial No. of Requirements]],"")</f>
        <v/>
      </c>
      <c r="G12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1" s="249"/>
      <c r="J121" s="249"/>
      <c r="K121" s="250"/>
      <c r="L121" s="250"/>
      <c r="M121" s="250"/>
      <c r="N121" s="248"/>
      <c r="O121" s="248"/>
      <c r="P121" s="248"/>
      <c r="Q121" s="248"/>
      <c r="R121" s="248"/>
      <c r="S121" s="248"/>
      <c r="T121" s="248"/>
      <c r="U121" s="248"/>
      <c r="V121" s="248"/>
      <c r="W121" s="248"/>
      <c r="X121" s="248"/>
      <c r="Y121" s="248"/>
      <c r="Z121" s="248"/>
      <c r="AA121" s="248"/>
      <c r="AB121" s="13">
        <f>SUMIFS(Table3[Hours Worked],Table3[Release Name],Table7[[#This Row],[Release Name]],Table3[Task Type],"Testcase Creation")</f>
        <v>0</v>
      </c>
      <c r="AC121" s="255">
        <f>SUMIFS(Table3[Hours Worked],Table3[Release Name],Table7[[#This Row],[Release Name]],Table3[Task Type],"Testcase Execution")</f>
        <v>0</v>
      </c>
      <c r="AD12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1" s="256" t="str">
        <f>IFERROR((Table7[[#This Row],[No. of Valid Internal Review Defects]]+Table7[[#This Row],[No. of Valid  Internal Testing Defects]]+Table7[[#This Row],[No. of  Valid External Review Defects]]+Table7[[#This Row],[No. of Valid External Testing Defects]])/Table7[[#This Row],[Size]],"")</f>
        <v/>
      </c>
      <c r="AF121" s="257" t="str">
        <f>IFERROR(Table7[[#This Row],[No. of Valid Internal Review Defects]]/(Table7[[#This Row],[No. of Valid Internal Review Defects]]+Table7[[#This Row],[No. of  Valid External Review Defects]]+Table7[[#This Row],[No. of Valid  Internal Testing Defects]]+Table7[[#This Row],[No. of Valid External Testing Defects]]),"")</f>
        <v/>
      </c>
      <c r="AG121" s="258" t="str">
        <f>IFERROR(Table7[[#This Row],[No. of Valid Internal Review Defects]]/(Table7[[#This Row],[No. of Valid Internal Review Defects]]+Table7[[#This Row],[No. of  Valid External Review Defects]]+Table7[[#This Row],[No. of Valid External Testing Defects]]),"")</f>
        <v/>
      </c>
      <c r="AH121" s="256" t="str">
        <f>IFERROR(Table7[[#This Row],[No. of Valid  Internal Testing Defects]]/Table7[[#This Row],[Overall Actual Effort for the release]],"")</f>
        <v/>
      </c>
      <c r="AI121" s="256" t="str">
        <f>IFERROR(Table7[[#This Row],[No. of Valid  Internal Testing Defects]]/Table7[[#This Row],[No. of Testcases Executed]],"")</f>
        <v/>
      </c>
      <c r="AJ121" s="259" t="str">
        <f>IFERROR(IFERROR(Table7[[#This Row],[No. of Testcases Created]]/Table7[[#This Row],[Effort for Testcase Creation]],"")*9,"")</f>
        <v/>
      </c>
      <c r="AK121" s="256" t="str">
        <f>IFERROR((Table7[[#This Row],[No. of Testcases Executed]]/Table7[[#This Row],[Effort for Testcase Execution]])*9,"")</f>
        <v/>
      </c>
      <c r="AL12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1" s="259" t="str">
        <f>IFERROR(Table7[[#This Row],[No. of Defects Validated]]/SUMIFS(Table3[Hours Worked],Table3[Release Name],Table7[[#This Row],[Release Name]],Table3[Task Type],"Defect Validation")*9,"")</f>
        <v/>
      </c>
      <c r="AN121" s="258" t="str">
        <f>IFERROR((Table7[[#This Row],[No. of Valid  Internal Testing Defects]])/(Table7[[#This Row],[No. of Valid  Internal Testing Defects]]+Table7[[#This Row],[No. of Invalid Internal Testing Defects]]),"")</f>
        <v/>
      </c>
      <c r="AO121" s="258" t="str">
        <f>IFERROR(Table7[[#This Row],[No. of Valid External Testing Defects]]/(Table7[[#This Row],[No. of Valid External Testing Defects]]+Table7[[#This Row],[No. of Valid  Internal Testing Defects]]),"")</f>
        <v/>
      </c>
    </row>
    <row r="122" spans="2:41">
      <c r="B122" s="237"/>
      <c r="C122" s="14"/>
      <c r="D122" s="14"/>
      <c r="E122" s="14"/>
      <c r="F122" s="230" t="str">
        <f>IFERROR((Table47[[#This Row],[Initial No. of Requirements]]+Table47[[#This Row],[Modified Requirements( Added / Deleted /Modified)]])/Table47[[#This Row],[Initial No. of Requirements]],"")</f>
        <v/>
      </c>
      <c r="G12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2" s="249"/>
      <c r="J122" s="249"/>
      <c r="K122" s="250"/>
      <c r="L122" s="250"/>
      <c r="M122" s="250"/>
      <c r="N122" s="248"/>
      <c r="O122" s="248"/>
      <c r="P122" s="248"/>
      <c r="Q122" s="248"/>
      <c r="R122" s="248"/>
      <c r="S122" s="248"/>
      <c r="T122" s="248"/>
      <c r="U122" s="248"/>
      <c r="V122" s="248"/>
      <c r="W122" s="248"/>
      <c r="X122" s="248"/>
      <c r="Y122" s="248"/>
      <c r="Z122" s="248"/>
      <c r="AA122" s="248"/>
      <c r="AB122" s="13">
        <f>SUMIFS(Table3[Hours Worked],Table3[Release Name],Table7[[#This Row],[Release Name]],Table3[Task Type],"Testcase Creation")</f>
        <v>0</v>
      </c>
      <c r="AC122" s="255">
        <f>SUMIFS(Table3[Hours Worked],Table3[Release Name],Table7[[#This Row],[Release Name]],Table3[Task Type],"Testcase Execution")</f>
        <v>0</v>
      </c>
      <c r="AD12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2" s="256" t="str">
        <f>IFERROR((Table7[[#This Row],[No. of Valid Internal Review Defects]]+Table7[[#This Row],[No. of Valid  Internal Testing Defects]]+Table7[[#This Row],[No. of  Valid External Review Defects]]+Table7[[#This Row],[No. of Valid External Testing Defects]])/Table7[[#This Row],[Size]],"")</f>
        <v/>
      </c>
      <c r="AF122" s="257" t="str">
        <f>IFERROR(Table7[[#This Row],[No. of Valid Internal Review Defects]]/(Table7[[#This Row],[No. of Valid Internal Review Defects]]+Table7[[#This Row],[No. of  Valid External Review Defects]]+Table7[[#This Row],[No. of Valid  Internal Testing Defects]]+Table7[[#This Row],[No. of Valid External Testing Defects]]),"")</f>
        <v/>
      </c>
      <c r="AG122" s="258" t="str">
        <f>IFERROR(Table7[[#This Row],[No. of Valid Internal Review Defects]]/(Table7[[#This Row],[No. of Valid Internal Review Defects]]+Table7[[#This Row],[No. of  Valid External Review Defects]]+Table7[[#This Row],[No. of Valid External Testing Defects]]),"")</f>
        <v/>
      </c>
      <c r="AH122" s="256" t="str">
        <f>IFERROR(Table7[[#This Row],[No. of Valid  Internal Testing Defects]]/Table7[[#This Row],[Overall Actual Effort for the release]],"")</f>
        <v/>
      </c>
      <c r="AI122" s="256" t="str">
        <f>IFERROR(Table7[[#This Row],[No. of Valid  Internal Testing Defects]]/Table7[[#This Row],[No. of Testcases Executed]],"")</f>
        <v/>
      </c>
      <c r="AJ122" s="259" t="str">
        <f>IFERROR(IFERROR(Table7[[#This Row],[No. of Testcases Created]]/Table7[[#This Row],[Effort for Testcase Creation]],"")*9,"")</f>
        <v/>
      </c>
      <c r="AK122" s="256" t="str">
        <f>IFERROR((Table7[[#This Row],[No. of Testcases Executed]]/Table7[[#This Row],[Effort for Testcase Execution]])*9,"")</f>
        <v/>
      </c>
      <c r="AL12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2" s="259" t="str">
        <f>IFERROR(Table7[[#This Row],[No. of Defects Validated]]/SUMIFS(Table3[Hours Worked],Table3[Release Name],Table7[[#This Row],[Release Name]],Table3[Task Type],"Defect Validation")*9,"")</f>
        <v/>
      </c>
      <c r="AN122" s="258" t="str">
        <f>IFERROR((Table7[[#This Row],[No. of Valid  Internal Testing Defects]])/(Table7[[#This Row],[No. of Valid  Internal Testing Defects]]+Table7[[#This Row],[No. of Invalid Internal Testing Defects]]),"")</f>
        <v/>
      </c>
      <c r="AO122" s="258" t="str">
        <f>IFERROR(Table7[[#This Row],[No. of Valid External Testing Defects]]/(Table7[[#This Row],[No. of Valid External Testing Defects]]+Table7[[#This Row],[No. of Valid  Internal Testing Defects]]),"")</f>
        <v/>
      </c>
    </row>
    <row r="123" spans="2:41">
      <c r="B123" s="237"/>
      <c r="C123" s="14"/>
      <c r="D123" s="14"/>
      <c r="E123" s="14"/>
      <c r="F123" s="230" t="str">
        <f>IFERROR((Table47[[#This Row],[Initial No. of Requirements]]+Table47[[#This Row],[Modified Requirements( Added / Deleted /Modified)]])/Table47[[#This Row],[Initial No. of Requirements]],"")</f>
        <v/>
      </c>
      <c r="G12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3" s="249"/>
      <c r="J123" s="249"/>
      <c r="K123" s="250"/>
      <c r="L123" s="250"/>
      <c r="M123" s="250"/>
      <c r="N123" s="248"/>
      <c r="O123" s="248"/>
      <c r="P123" s="248"/>
      <c r="Q123" s="248"/>
      <c r="R123" s="248"/>
      <c r="S123" s="248"/>
      <c r="T123" s="248"/>
      <c r="U123" s="248"/>
      <c r="V123" s="248"/>
      <c r="W123" s="248"/>
      <c r="X123" s="248"/>
      <c r="Y123" s="248"/>
      <c r="Z123" s="248"/>
      <c r="AA123" s="248"/>
      <c r="AB123" s="13">
        <f>SUMIFS(Table3[Hours Worked],Table3[Release Name],Table7[[#This Row],[Release Name]],Table3[Task Type],"Testcase Creation")</f>
        <v>0</v>
      </c>
      <c r="AC123" s="255">
        <f>SUMIFS(Table3[Hours Worked],Table3[Release Name],Table7[[#This Row],[Release Name]],Table3[Task Type],"Testcase Execution")</f>
        <v>0</v>
      </c>
      <c r="AD12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3" s="256" t="str">
        <f>IFERROR((Table7[[#This Row],[No. of Valid Internal Review Defects]]+Table7[[#This Row],[No. of Valid  Internal Testing Defects]]+Table7[[#This Row],[No. of  Valid External Review Defects]]+Table7[[#This Row],[No. of Valid External Testing Defects]])/Table7[[#This Row],[Size]],"")</f>
        <v/>
      </c>
      <c r="AF123" s="257" t="str">
        <f>IFERROR(Table7[[#This Row],[No. of Valid Internal Review Defects]]/(Table7[[#This Row],[No. of Valid Internal Review Defects]]+Table7[[#This Row],[No. of  Valid External Review Defects]]+Table7[[#This Row],[No. of Valid  Internal Testing Defects]]+Table7[[#This Row],[No. of Valid External Testing Defects]]),"")</f>
        <v/>
      </c>
      <c r="AG123" s="258" t="str">
        <f>IFERROR(Table7[[#This Row],[No. of Valid Internal Review Defects]]/(Table7[[#This Row],[No. of Valid Internal Review Defects]]+Table7[[#This Row],[No. of  Valid External Review Defects]]+Table7[[#This Row],[No. of Valid External Testing Defects]]),"")</f>
        <v/>
      </c>
      <c r="AH123" s="256" t="str">
        <f>IFERROR(Table7[[#This Row],[No. of Valid  Internal Testing Defects]]/Table7[[#This Row],[Overall Actual Effort for the release]],"")</f>
        <v/>
      </c>
      <c r="AI123" s="256" t="str">
        <f>IFERROR(Table7[[#This Row],[No. of Valid  Internal Testing Defects]]/Table7[[#This Row],[No. of Testcases Executed]],"")</f>
        <v/>
      </c>
      <c r="AJ123" s="259" t="str">
        <f>IFERROR(IFERROR(Table7[[#This Row],[No. of Testcases Created]]/Table7[[#This Row],[Effort for Testcase Creation]],"")*9,"")</f>
        <v/>
      </c>
      <c r="AK123" s="256" t="str">
        <f>IFERROR((Table7[[#This Row],[No. of Testcases Executed]]/Table7[[#This Row],[Effort for Testcase Execution]])*9,"")</f>
        <v/>
      </c>
      <c r="AL12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3" s="259" t="str">
        <f>IFERROR(Table7[[#This Row],[No. of Defects Validated]]/SUMIFS(Table3[Hours Worked],Table3[Release Name],Table7[[#This Row],[Release Name]],Table3[Task Type],"Defect Validation")*9,"")</f>
        <v/>
      </c>
      <c r="AN123" s="258" t="str">
        <f>IFERROR((Table7[[#This Row],[No. of Valid  Internal Testing Defects]])/(Table7[[#This Row],[No. of Valid  Internal Testing Defects]]+Table7[[#This Row],[No. of Invalid Internal Testing Defects]]),"")</f>
        <v/>
      </c>
      <c r="AO123" s="258" t="str">
        <f>IFERROR(Table7[[#This Row],[No. of Valid External Testing Defects]]/(Table7[[#This Row],[No. of Valid External Testing Defects]]+Table7[[#This Row],[No. of Valid  Internal Testing Defects]]),"")</f>
        <v/>
      </c>
    </row>
    <row r="124" spans="2:41">
      <c r="B124" s="237"/>
      <c r="C124" s="14"/>
      <c r="D124" s="14"/>
      <c r="E124" s="14"/>
      <c r="F124" s="230" t="str">
        <f>IFERROR((Table47[[#This Row],[Initial No. of Requirements]]+Table47[[#This Row],[Modified Requirements( Added / Deleted /Modified)]])/Table47[[#This Row],[Initial No. of Requirements]],"")</f>
        <v/>
      </c>
      <c r="G12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4" s="249"/>
      <c r="J124" s="249"/>
      <c r="K124" s="250"/>
      <c r="L124" s="250"/>
      <c r="M124" s="250"/>
      <c r="N124" s="248"/>
      <c r="O124" s="248"/>
      <c r="P124" s="248"/>
      <c r="Q124" s="248"/>
      <c r="R124" s="248"/>
      <c r="S124" s="248"/>
      <c r="T124" s="248"/>
      <c r="U124" s="248"/>
      <c r="V124" s="248"/>
      <c r="W124" s="248"/>
      <c r="X124" s="248"/>
      <c r="Y124" s="248"/>
      <c r="Z124" s="248"/>
      <c r="AA124" s="248"/>
      <c r="AB124" s="13">
        <f>SUMIFS(Table3[Hours Worked],Table3[Release Name],Table7[[#This Row],[Release Name]],Table3[Task Type],"Testcase Creation")</f>
        <v>0</v>
      </c>
      <c r="AC124" s="255">
        <f>SUMIFS(Table3[Hours Worked],Table3[Release Name],Table7[[#This Row],[Release Name]],Table3[Task Type],"Testcase Execution")</f>
        <v>0</v>
      </c>
      <c r="AD12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4" s="256" t="str">
        <f>IFERROR((Table7[[#This Row],[No. of Valid Internal Review Defects]]+Table7[[#This Row],[No. of Valid  Internal Testing Defects]]+Table7[[#This Row],[No. of  Valid External Review Defects]]+Table7[[#This Row],[No. of Valid External Testing Defects]])/Table7[[#This Row],[Size]],"")</f>
        <v/>
      </c>
      <c r="AF124" s="257" t="str">
        <f>IFERROR(Table7[[#This Row],[No. of Valid Internal Review Defects]]/(Table7[[#This Row],[No. of Valid Internal Review Defects]]+Table7[[#This Row],[No. of  Valid External Review Defects]]+Table7[[#This Row],[No. of Valid  Internal Testing Defects]]+Table7[[#This Row],[No. of Valid External Testing Defects]]),"")</f>
        <v/>
      </c>
      <c r="AG124" s="258" t="str">
        <f>IFERROR(Table7[[#This Row],[No. of Valid Internal Review Defects]]/(Table7[[#This Row],[No. of Valid Internal Review Defects]]+Table7[[#This Row],[No. of  Valid External Review Defects]]+Table7[[#This Row],[No. of Valid External Testing Defects]]),"")</f>
        <v/>
      </c>
      <c r="AH124" s="256" t="str">
        <f>IFERROR(Table7[[#This Row],[No. of Valid  Internal Testing Defects]]/Table7[[#This Row],[Overall Actual Effort for the release]],"")</f>
        <v/>
      </c>
      <c r="AI124" s="256" t="str">
        <f>IFERROR(Table7[[#This Row],[No. of Valid  Internal Testing Defects]]/Table7[[#This Row],[No. of Testcases Executed]],"")</f>
        <v/>
      </c>
      <c r="AJ124" s="259" t="str">
        <f>IFERROR(IFERROR(Table7[[#This Row],[No. of Testcases Created]]/Table7[[#This Row],[Effort for Testcase Creation]],"")*9,"")</f>
        <v/>
      </c>
      <c r="AK124" s="256" t="str">
        <f>IFERROR((Table7[[#This Row],[No. of Testcases Executed]]/Table7[[#This Row],[Effort for Testcase Execution]])*9,"")</f>
        <v/>
      </c>
      <c r="AL12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4" s="259" t="str">
        <f>IFERROR(Table7[[#This Row],[No. of Defects Validated]]/SUMIFS(Table3[Hours Worked],Table3[Release Name],Table7[[#This Row],[Release Name]],Table3[Task Type],"Defect Validation")*9,"")</f>
        <v/>
      </c>
      <c r="AN124" s="258" t="str">
        <f>IFERROR((Table7[[#This Row],[No. of Valid  Internal Testing Defects]])/(Table7[[#This Row],[No. of Valid  Internal Testing Defects]]+Table7[[#This Row],[No. of Invalid Internal Testing Defects]]),"")</f>
        <v/>
      </c>
      <c r="AO124" s="258" t="str">
        <f>IFERROR(Table7[[#This Row],[No. of Valid External Testing Defects]]/(Table7[[#This Row],[No. of Valid External Testing Defects]]+Table7[[#This Row],[No. of Valid  Internal Testing Defects]]),"")</f>
        <v/>
      </c>
    </row>
    <row r="125" spans="2:41">
      <c r="B125" s="237"/>
      <c r="C125" s="14"/>
      <c r="D125" s="14"/>
      <c r="E125" s="14"/>
      <c r="F125" s="230" t="str">
        <f>IFERROR((Table47[[#This Row],[Initial No. of Requirements]]+Table47[[#This Row],[Modified Requirements( Added / Deleted /Modified)]])/Table47[[#This Row],[Initial No. of Requirements]],"")</f>
        <v/>
      </c>
      <c r="G12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5" s="249"/>
      <c r="J125" s="249"/>
      <c r="K125" s="250"/>
      <c r="L125" s="250"/>
      <c r="M125" s="250"/>
      <c r="N125" s="248"/>
      <c r="O125" s="248"/>
      <c r="P125" s="248"/>
      <c r="Q125" s="248"/>
      <c r="R125" s="248"/>
      <c r="S125" s="248"/>
      <c r="T125" s="248"/>
      <c r="U125" s="248"/>
      <c r="V125" s="248"/>
      <c r="W125" s="248"/>
      <c r="X125" s="248"/>
      <c r="Y125" s="248"/>
      <c r="Z125" s="248"/>
      <c r="AA125" s="248"/>
      <c r="AB125" s="13">
        <f>SUMIFS(Table3[Hours Worked],Table3[Release Name],Table7[[#This Row],[Release Name]],Table3[Task Type],"Testcase Creation")</f>
        <v>0</v>
      </c>
      <c r="AC125" s="255">
        <f>SUMIFS(Table3[Hours Worked],Table3[Release Name],Table7[[#This Row],[Release Name]],Table3[Task Type],"Testcase Execution")</f>
        <v>0</v>
      </c>
      <c r="AD12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5" s="256" t="str">
        <f>IFERROR((Table7[[#This Row],[No. of Valid Internal Review Defects]]+Table7[[#This Row],[No. of Valid  Internal Testing Defects]]+Table7[[#This Row],[No. of  Valid External Review Defects]]+Table7[[#This Row],[No. of Valid External Testing Defects]])/Table7[[#This Row],[Size]],"")</f>
        <v/>
      </c>
      <c r="AF125" s="257" t="str">
        <f>IFERROR(Table7[[#This Row],[No. of Valid Internal Review Defects]]/(Table7[[#This Row],[No. of Valid Internal Review Defects]]+Table7[[#This Row],[No. of  Valid External Review Defects]]+Table7[[#This Row],[No. of Valid  Internal Testing Defects]]+Table7[[#This Row],[No. of Valid External Testing Defects]]),"")</f>
        <v/>
      </c>
      <c r="AG125" s="258" t="str">
        <f>IFERROR(Table7[[#This Row],[No. of Valid Internal Review Defects]]/(Table7[[#This Row],[No. of Valid Internal Review Defects]]+Table7[[#This Row],[No. of  Valid External Review Defects]]+Table7[[#This Row],[No. of Valid External Testing Defects]]),"")</f>
        <v/>
      </c>
      <c r="AH125" s="256" t="str">
        <f>IFERROR(Table7[[#This Row],[No. of Valid  Internal Testing Defects]]/Table7[[#This Row],[Overall Actual Effort for the release]],"")</f>
        <v/>
      </c>
      <c r="AI125" s="256" t="str">
        <f>IFERROR(Table7[[#This Row],[No. of Valid  Internal Testing Defects]]/Table7[[#This Row],[No. of Testcases Executed]],"")</f>
        <v/>
      </c>
      <c r="AJ125" s="259" t="str">
        <f>IFERROR(IFERROR(Table7[[#This Row],[No. of Testcases Created]]/Table7[[#This Row],[Effort for Testcase Creation]],"")*9,"")</f>
        <v/>
      </c>
      <c r="AK125" s="256" t="str">
        <f>IFERROR((Table7[[#This Row],[No. of Testcases Executed]]/Table7[[#This Row],[Effort for Testcase Execution]])*9,"")</f>
        <v/>
      </c>
      <c r="AL12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5" s="259" t="str">
        <f>IFERROR(Table7[[#This Row],[No. of Defects Validated]]/SUMIFS(Table3[Hours Worked],Table3[Release Name],Table7[[#This Row],[Release Name]],Table3[Task Type],"Defect Validation")*9,"")</f>
        <v/>
      </c>
      <c r="AN125" s="258" t="str">
        <f>IFERROR((Table7[[#This Row],[No. of Valid  Internal Testing Defects]])/(Table7[[#This Row],[No. of Valid  Internal Testing Defects]]+Table7[[#This Row],[No. of Invalid Internal Testing Defects]]),"")</f>
        <v/>
      </c>
      <c r="AO125" s="258" t="str">
        <f>IFERROR(Table7[[#This Row],[No. of Valid External Testing Defects]]/(Table7[[#This Row],[No. of Valid External Testing Defects]]+Table7[[#This Row],[No. of Valid  Internal Testing Defects]]),"")</f>
        <v/>
      </c>
    </row>
    <row r="126" spans="2:41">
      <c r="B126" s="237"/>
      <c r="C126" s="14"/>
      <c r="D126" s="14"/>
      <c r="E126" s="14"/>
      <c r="F126" s="230" t="str">
        <f>IFERROR((Table47[[#This Row],[Initial No. of Requirements]]+Table47[[#This Row],[Modified Requirements( Added / Deleted /Modified)]])/Table47[[#This Row],[Initial No. of Requirements]],"")</f>
        <v/>
      </c>
      <c r="G12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6" s="249"/>
      <c r="J126" s="249"/>
      <c r="K126" s="250"/>
      <c r="L126" s="250"/>
      <c r="M126" s="250"/>
      <c r="N126" s="248"/>
      <c r="O126" s="248"/>
      <c r="P126" s="248"/>
      <c r="Q126" s="248"/>
      <c r="R126" s="248"/>
      <c r="S126" s="248"/>
      <c r="T126" s="248"/>
      <c r="U126" s="248"/>
      <c r="V126" s="248"/>
      <c r="W126" s="248"/>
      <c r="X126" s="248"/>
      <c r="Y126" s="248"/>
      <c r="Z126" s="248"/>
      <c r="AA126" s="248"/>
      <c r="AB126" s="13">
        <f>SUMIFS(Table3[Hours Worked],Table3[Release Name],Table7[[#This Row],[Release Name]],Table3[Task Type],"Testcase Creation")</f>
        <v>0</v>
      </c>
      <c r="AC126" s="255">
        <f>SUMIFS(Table3[Hours Worked],Table3[Release Name],Table7[[#This Row],[Release Name]],Table3[Task Type],"Testcase Execution")</f>
        <v>0</v>
      </c>
      <c r="AD12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6" s="256" t="str">
        <f>IFERROR((Table7[[#This Row],[No. of Valid Internal Review Defects]]+Table7[[#This Row],[No. of Valid  Internal Testing Defects]]+Table7[[#This Row],[No. of  Valid External Review Defects]]+Table7[[#This Row],[No. of Valid External Testing Defects]])/Table7[[#This Row],[Size]],"")</f>
        <v/>
      </c>
      <c r="AF126" s="257" t="str">
        <f>IFERROR(Table7[[#This Row],[No. of Valid Internal Review Defects]]/(Table7[[#This Row],[No. of Valid Internal Review Defects]]+Table7[[#This Row],[No. of  Valid External Review Defects]]+Table7[[#This Row],[No. of Valid  Internal Testing Defects]]+Table7[[#This Row],[No. of Valid External Testing Defects]]),"")</f>
        <v/>
      </c>
      <c r="AG126" s="258" t="str">
        <f>IFERROR(Table7[[#This Row],[No. of Valid Internal Review Defects]]/(Table7[[#This Row],[No. of Valid Internal Review Defects]]+Table7[[#This Row],[No. of  Valid External Review Defects]]+Table7[[#This Row],[No. of Valid External Testing Defects]]),"")</f>
        <v/>
      </c>
      <c r="AH126" s="256" t="str">
        <f>IFERROR(Table7[[#This Row],[No. of Valid  Internal Testing Defects]]/Table7[[#This Row],[Overall Actual Effort for the release]],"")</f>
        <v/>
      </c>
      <c r="AI126" s="256" t="str">
        <f>IFERROR(Table7[[#This Row],[No. of Valid  Internal Testing Defects]]/Table7[[#This Row],[No. of Testcases Executed]],"")</f>
        <v/>
      </c>
      <c r="AJ126" s="259" t="str">
        <f>IFERROR(IFERROR(Table7[[#This Row],[No. of Testcases Created]]/Table7[[#This Row],[Effort for Testcase Creation]],"")*9,"")</f>
        <v/>
      </c>
      <c r="AK126" s="256" t="str">
        <f>IFERROR((Table7[[#This Row],[No. of Testcases Executed]]/Table7[[#This Row],[Effort for Testcase Execution]])*9,"")</f>
        <v/>
      </c>
      <c r="AL12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6" s="259" t="str">
        <f>IFERROR(Table7[[#This Row],[No. of Defects Validated]]/SUMIFS(Table3[Hours Worked],Table3[Release Name],Table7[[#This Row],[Release Name]],Table3[Task Type],"Defect Validation")*9,"")</f>
        <v/>
      </c>
      <c r="AN126" s="258" t="str">
        <f>IFERROR((Table7[[#This Row],[No. of Valid  Internal Testing Defects]])/(Table7[[#This Row],[No. of Valid  Internal Testing Defects]]+Table7[[#This Row],[No. of Invalid Internal Testing Defects]]),"")</f>
        <v/>
      </c>
      <c r="AO126" s="258" t="str">
        <f>IFERROR(Table7[[#This Row],[No. of Valid External Testing Defects]]/(Table7[[#This Row],[No. of Valid External Testing Defects]]+Table7[[#This Row],[No. of Valid  Internal Testing Defects]]),"")</f>
        <v/>
      </c>
    </row>
    <row r="127" spans="2:41">
      <c r="B127" s="237"/>
      <c r="C127" s="14"/>
      <c r="D127" s="14"/>
      <c r="E127" s="14"/>
      <c r="F127" s="230" t="str">
        <f>IFERROR((Table47[[#This Row],[Initial No. of Requirements]]+Table47[[#This Row],[Modified Requirements( Added / Deleted /Modified)]])/Table47[[#This Row],[Initial No. of Requirements]],"")</f>
        <v/>
      </c>
      <c r="G12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7" s="249"/>
      <c r="J127" s="249"/>
      <c r="K127" s="250"/>
      <c r="L127" s="250"/>
      <c r="M127" s="250"/>
      <c r="N127" s="248"/>
      <c r="O127" s="248"/>
      <c r="P127" s="248"/>
      <c r="Q127" s="248"/>
      <c r="R127" s="248"/>
      <c r="S127" s="248"/>
      <c r="T127" s="248"/>
      <c r="U127" s="248"/>
      <c r="V127" s="248"/>
      <c r="W127" s="248"/>
      <c r="X127" s="248"/>
      <c r="Y127" s="248"/>
      <c r="Z127" s="248"/>
      <c r="AA127" s="248"/>
      <c r="AB127" s="13">
        <f>SUMIFS(Table3[Hours Worked],Table3[Release Name],Table7[[#This Row],[Release Name]],Table3[Task Type],"Testcase Creation")</f>
        <v>0</v>
      </c>
      <c r="AC127" s="255">
        <f>SUMIFS(Table3[Hours Worked],Table3[Release Name],Table7[[#This Row],[Release Name]],Table3[Task Type],"Testcase Execution")</f>
        <v>0</v>
      </c>
      <c r="AD12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7" s="256" t="str">
        <f>IFERROR((Table7[[#This Row],[No. of Valid Internal Review Defects]]+Table7[[#This Row],[No. of Valid  Internal Testing Defects]]+Table7[[#This Row],[No. of  Valid External Review Defects]]+Table7[[#This Row],[No. of Valid External Testing Defects]])/Table7[[#This Row],[Size]],"")</f>
        <v/>
      </c>
      <c r="AF127" s="257" t="str">
        <f>IFERROR(Table7[[#This Row],[No. of Valid Internal Review Defects]]/(Table7[[#This Row],[No. of Valid Internal Review Defects]]+Table7[[#This Row],[No. of  Valid External Review Defects]]+Table7[[#This Row],[No. of Valid  Internal Testing Defects]]+Table7[[#This Row],[No. of Valid External Testing Defects]]),"")</f>
        <v/>
      </c>
      <c r="AG127" s="258" t="str">
        <f>IFERROR(Table7[[#This Row],[No. of Valid Internal Review Defects]]/(Table7[[#This Row],[No. of Valid Internal Review Defects]]+Table7[[#This Row],[No. of  Valid External Review Defects]]+Table7[[#This Row],[No. of Valid External Testing Defects]]),"")</f>
        <v/>
      </c>
      <c r="AH127" s="256" t="str">
        <f>IFERROR(Table7[[#This Row],[No. of Valid  Internal Testing Defects]]/Table7[[#This Row],[Overall Actual Effort for the release]],"")</f>
        <v/>
      </c>
      <c r="AI127" s="256" t="str">
        <f>IFERROR(Table7[[#This Row],[No. of Valid  Internal Testing Defects]]/Table7[[#This Row],[No. of Testcases Executed]],"")</f>
        <v/>
      </c>
      <c r="AJ127" s="259" t="str">
        <f>IFERROR(IFERROR(Table7[[#This Row],[No. of Testcases Created]]/Table7[[#This Row],[Effort for Testcase Creation]],"")*9,"")</f>
        <v/>
      </c>
      <c r="AK127" s="256" t="str">
        <f>IFERROR((Table7[[#This Row],[No. of Testcases Executed]]/Table7[[#This Row],[Effort for Testcase Execution]])*9,"")</f>
        <v/>
      </c>
      <c r="AL12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7" s="259" t="str">
        <f>IFERROR(Table7[[#This Row],[No. of Defects Validated]]/SUMIFS(Table3[Hours Worked],Table3[Release Name],Table7[[#This Row],[Release Name]],Table3[Task Type],"Defect Validation")*9,"")</f>
        <v/>
      </c>
      <c r="AN127" s="258" t="str">
        <f>IFERROR((Table7[[#This Row],[No. of Valid  Internal Testing Defects]])/(Table7[[#This Row],[No. of Valid  Internal Testing Defects]]+Table7[[#This Row],[No. of Invalid Internal Testing Defects]]),"")</f>
        <v/>
      </c>
      <c r="AO127" s="258" t="str">
        <f>IFERROR(Table7[[#This Row],[No. of Valid External Testing Defects]]/(Table7[[#This Row],[No. of Valid External Testing Defects]]+Table7[[#This Row],[No. of Valid  Internal Testing Defects]]),"")</f>
        <v/>
      </c>
    </row>
    <row r="128" spans="2:41">
      <c r="B128" s="237"/>
      <c r="C128" s="14"/>
      <c r="D128" s="14"/>
      <c r="E128" s="14"/>
      <c r="F128" s="230" t="str">
        <f>IFERROR((Table47[[#This Row],[Initial No. of Requirements]]+Table47[[#This Row],[Modified Requirements( Added / Deleted /Modified)]])/Table47[[#This Row],[Initial No. of Requirements]],"")</f>
        <v/>
      </c>
      <c r="G12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8" s="249"/>
      <c r="J128" s="249"/>
      <c r="K128" s="250"/>
      <c r="L128" s="250"/>
      <c r="M128" s="250"/>
      <c r="N128" s="248"/>
      <c r="O128" s="248"/>
      <c r="P128" s="248"/>
      <c r="Q128" s="248"/>
      <c r="R128" s="248"/>
      <c r="S128" s="248"/>
      <c r="T128" s="248"/>
      <c r="U128" s="248"/>
      <c r="V128" s="248"/>
      <c r="W128" s="248"/>
      <c r="X128" s="248"/>
      <c r="Y128" s="248"/>
      <c r="Z128" s="248"/>
      <c r="AA128" s="248"/>
      <c r="AB128" s="13">
        <f>SUMIFS(Table3[Hours Worked],Table3[Release Name],Table7[[#This Row],[Release Name]],Table3[Task Type],"Testcase Creation")</f>
        <v>0</v>
      </c>
      <c r="AC128" s="255">
        <f>SUMIFS(Table3[Hours Worked],Table3[Release Name],Table7[[#This Row],[Release Name]],Table3[Task Type],"Testcase Execution")</f>
        <v>0</v>
      </c>
      <c r="AD12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8" s="256" t="str">
        <f>IFERROR((Table7[[#This Row],[No. of Valid Internal Review Defects]]+Table7[[#This Row],[No. of Valid  Internal Testing Defects]]+Table7[[#This Row],[No. of  Valid External Review Defects]]+Table7[[#This Row],[No. of Valid External Testing Defects]])/Table7[[#This Row],[Size]],"")</f>
        <v/>
      </c>
      <c r="AF128" s="257" t="str">
        <f>IFERROR(Table7[[#This Row],[No. of Valid Internal Review Defects]]/(Table7[[#This Row],[No. of Valid Internal Review Defects]]+Table7[[#This Row],[No. of  Valid External Review Defects]]+Table7[[#This Row],[No. of Valid  Internal Testing Defects]]+Table7[[#This Row],[No. of Valid External Testing Defects]]),"")</f>
        <v/>
      </c>
      <c r="AG128" s="258" t="str">
        <f>IFERROR(Table7[[#This Row],[No. of Valid Internal Review Defects]]/(Table7[[#This Row],[No. of Valid Internal Review Defects]]+Table7[[#This Row],[No. of  Valid External Review Defects]]+Table7[[#This Row],[No. of Valid External Testing Defects]]),"")</f>
        <v/>
      </c>
      <c r="AH128" s="256" t="str">
        <f>IFERROR(Table7[[#This Row],[No. of Valid  Internal Testing Defects]]/Table7[[#This Row],[Overall Actual Effort for the release]],"")</f>
        <v/>
      </c>
      <c r="AI128" s="256" t="str">
        <f>IFERROR(Table7[[#This Row],[No. of Valid  Internal Testing Defects]]/Table7[[#This Row],[No. of Testcases Executed]],"")</f>
        <v/>
      </c>
      <c r="AJ128" s="259" t="str">
        <f>IFERROR(IFERROR(Table7[[#This Row],[No. of Testcases Created]]/Table7[[#This Row],[Effort for Testcase Creation]],"")*9,"")</f>
        <v/>
      </c>
      <c r="AK128" s="256" t="str">
        <f>IFERROR((Table7[[#This Row],[No. of Testcases Executed]]/Table7[[#This Row],[Effort for Testcase Execution]])*9,"")</f>
        <v/>
      </c>
      <c r="AL12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8" s="259" t="str">
        <f>IFERROR(Table7[[#This Row],[No. of Defects Validated]]/SUMIFS(Table3[Hours Worked],Table3[Release Name],Table7[[#This Row],[Release Name]],Table3[Task Type],"Defect Validation")*9,"")</f>
        <v/>
      </c>
      <c r="AN128" s="258" t="str">
        <f>IFERROR((Table7[[#This Row],[No. of Valid  Internal Testing Defects]])/(Table7[[#This Row],[No. of Valid  Internal Testing Defects]]+Table7[[#This Row],[No. of Invalid Internal Testing Defects]]),"")</f>
        <v/>
      </c>
      <c r="AO128" s="258" t="str">
        <f>IFERROR(Table7[[#This Row],[No. of Valid External Testing Defects]]/(Table7[[#This Row],[No. of Valid External Testing Defects]]+Table7[[#This Row],[No. of Valid  Internal Testing Defects]]),"")</f>
        <v/>
      </c>
    </row>
    <row r="129" spans="2:41">
      <c r="B129" s="237"/>
      <c r="C129" s="14"/>
      <c r="D129" s="14"/>
      <c r="E129" s="14"/>
      <c r="F129" s="230" t="str">
        <f>IFERROR((Table47[[#This Row],[Initial No. of Requirements]]+Table47[[#This Row],[Modified Requirements( Added / Deleted /Modified)]])/Table47[[#This Row],[Initial No. of Requirements]],"")</f>
        <v/>
      </c>
      <c r="G12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29" s="249"/>
      <c r="J129" s="249"/>
      <c r="K129" s="250"/>
      <c r="L129" s="250"/>
      <c r="M129" s="250"/>
      <c r="N129" s="248"/>
      <c r="O129" s="248"/>
      <c r="P129" s="248"/>
      <c r="Q129" s="248"/>
      <c r="R129" s="248"/>
      <c r="S129" s="248"/>
      <c r="T129" s="248"/>
      <c r="U129" s="248"/>
      <c r="V129" s="248"/>
      <c r="W129" s="248"/>
      <c r="X129" s="248"/>
      <c r="Y129" s="248"/>
      <c r="Z129" s="248"/>
      <c r="AA129" s="248"/>
      <c r="AB129" s="13">
        <f>SUMIFS(Table3[Hours Worked],Table3[Release Name],Table7[[#This Row],[Release Name]],Table3[Task Type],"Testcase Creation")</f>
        <v>0</v>
      </c>
      <c r="AC129" s="255">
        <f>SUMIFS(Table3[Hours Worked],Table3[Release Name],Table7[[#This Row],[Release Name]],Table3[Task Type],"Testcase Execution")</f>
        <v>0</v>
      </c>
      <c r="AD12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29" s="256" t="str">
        <f>IFERROR((Table7[[#This Row],[No. of Valid Internal Review Defects]]+Table7[[#This Row],[No. of Valid  Internal Testing Defects]]+Table7[[#This Row],[No. of  Valid External Review Defects]]+Table7[[#This Row],[No. of Valid External Testing Defects]])/Table7[[#This Row],[Size]],"")</f>
        <v/>
      </c>
      <c r="AF129" s="257" t="str">
        <f>IFERROR(Table7[[#This Row],[No. of Valid Internal Review Defects]]/(Table7[[#This Row],[No. of Valid Internal Review Defects]]+Table7[[#This Row],[No. of  Valid External Review Defects]]+Table7[[#This Row],[No. of Valid  Internal Testing Defects]]+Table7[[#This Row],[No. of Valid External Testing Defects]]),"")</f>
        <v/>
      </c>
      <c r="AG129" s="258" t="str">
        <f>IFERROR(Table7[[#This Row],[No. of Valid Internal Review Defects]]/(Table7[[#This Row],[No. of Valid Internal Review Defects]]+Table7[[#This Row],[No. of  Valid External Review Defects]]+Table7[[#This Row],[No. of Valid External Testing Defects]]),"")</f>
        <v/>
      </c>
      <c r="AH129" s="256" t="str">
        <f>IFERROR(Table7[[#This Row],[No. of Valid  Internal Testing Defects]]/Table7[[#This Row],[Overall Actual Effort for the release]],"")</f>
        <v/>
      </c>
      <c r="AI129" s="256" t="str">
        <f>IFERROR(Table7[[#This Row],[No. of Valid  Internal Testing Defects]]/Table7[[#This Row],[No. of Testcases Executed]],"")</f>
        <v/>
      </c>
      <c r="AJ129" s="259" t="str">
        <f>IFERROR(IFERROR(Table7[[#This Row],[No. of Testcases Created]]/Table7[[#This Row],[Effort for Testcase Creation]],"")*9,"")</f>
        <v/>
      </c>
      <c r="AK129" s="256" t="str">
        <f>IFERROR((Table7[[#This Row],[No. of Testcases Executed]]/Table7[[#This Row],[Effort for Testcase Execution]])*9,"")</f>
        <v/>
      </c>
      <c r="AL12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29" s="259" t="str">
        <f>IFERROR(Table7[[#This Row],[No. of Defects Validated]]/SUMIFS(Table3[Hours Worked],Table3[Release Name],Table7[[#This Row],[Release Name]],Table3[Task Type],"Defect Validation")*9,"")</f>
        <v/>
      </c>
      <c r="AN129" s="258" t="str">
        <f>IFERROR((Table7[[#This Row],[No. of Valid  Internal Testing Defects]])/(Table7[[#This Row],[No. of Valid  Internal Testing Defects]]+Table7[[#This Row],[No. of Invalid Internal Testing Defects]]),"")</f>
        <v/>
      </c>
      <c r="AO129" s="258" t="str">
        <f>IFERROR(Table7[[#This Row],[No. of Valid External Testing Defects]]/(Table7[[#This Row],[No. of Valid External Testing Defects]]+Table7[[#This Row],[No. of Valid  Internal Testing Defects]]),"")</f>
        <v/>
      </c>
    </row>
    <row r="130" spans="2:41">
      <c r="B130" s="237"/>
      <c r="C130" s="14"/>
      <c r="D130" s="14"/>
      <c r="E130" s="14"/>
      <c r="F130" s="230" t="str">
        <f>IFERROR((Table47[[#This Row],[Initial No. of Requirements]]+Table47[[#This Row],[Modified Requirements( Added / Deleted /Modified)]])/Table47[[#This Row],[Initial No. of Requirements]],"")</f>
        <v/>
      </c>
      <c r="G13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0" s="249"/>
      <c r="J130" s="249"/>
      <c r="K130" s="250"/>
      <c r="L130" s="250"/>
      <c r="M130" s="250"/>
      <c r="N130" s="248"/>
      <c r="O130" s="248"/>
      <c r="P130" s="248"/>
      <c r="Q130" s="248"/>
      <c r="R130" s="248"/>
      <c r="S130" s="248"/>
      <c r="T130" s="248"/>
      <c r="U130" s="248"/>
      <c r="V130" s="248"/>
      <c r="W130" s="248"/>
      <c r="X130" s="248"/>
      <c r="Y130" s="248"/>
      <c r="Z130" s="248"/>
      <c r="AA130" s="248"/>
      <c r="AB130" s="13">
        <f>SUMIFS(Table3[Hours Worked],Table3[Release Name],Table7[[#This Row],[Release Name]],Table3[Task Type],"Testcase Creation")</f>
        <v>0</v>
      </c>
      <c r="AC130" s="255">
        <f>SUMIFS(Table3[Hours Worked],Table3[Release Name],Table7[[#This Row],[Release Name]],Table3[Task Type],"Testcase Execution")</f>
        <v>0</v>
      </c>
      <c r="AD13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0" s="256" t="str">
        <f>IFERROR((Table7[[#This Row],[No. of Valid Internal Review Defects]]+Table7[[#This Row],[No. of Valid  Internal Testing Defects]]+Table7[[#This Row],[No. of  Valid External Review Defects]]+Table7[[#This Row],[No. of Valid External Testing Defects]])/Table7[[#This Row],[Size]],"")</f>
        <v/>
      </c>
      <c r="AF130" s="257" t="str">
        <f>IFERROR(Table7[[#This Row],[No. of Valid Internal Review Defects]]/(Table7[[#This Row],[No. of Valid Internal Review Defects]]+Table7[[#This Row],[No. of  Valid External Review Defects]]+Table7[[#This Row],[No. of Valid  Internal Testing Defects]]+Table7[[#This Row],[No. of Valid External Testing Defects]]),"")</f>
        <v/>
      </c>
      <c r="AG130" s="258" t="str">
        <f>IFERROR(Table7[[#This Row],[No. of Valid Internal Review Defects]]/(Table7[[#This Row],[No. of Valid Internal Review Defects]]+Table7[[#This Row],[No. of  Valid External Review Defects]]+Table7[[#This Row],[No. of Valid External Testing Defects]]),"")</f>
        <v/>
      </c>
      <c r="AH130" s="256" t="str">
        <f>IFERROR(Table7[[#This Row],[No. of Valid  Internal Testing Defects]]/Table7[[#This Row],[Overall Actual Effort for the release]],"")</f>
        <v/>
      </c>
      <c r="AI130" s="256" t="str">
        <f>IFERROR(Table7[[#This Row],[No. of Valid  Internal Testing Defects]]/Table7[[#This Row],[No. of Testcases Executed]],"")</f>
        <v/>
      </c>
      <c r="AJ130" s="259" t="str">
        <f>IFERROR(IFERROR(Table7[[#This Row],[No. of Testcases Created]]/Table7[[#This Row],[Effort for Testcase Creation]],"")*9,"")</f>
        <v/>
      </c>
      <c r="AK130" s="256" t="str">
        <f>IFERROR((Table7[[#This Row],[No. of Testcases Executed]]/Table7[[#This Row],[Effort for Testcase Execution]])*9,"")</f>
        <v/>
      </c>
      <c r="AL13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0" s="259" t="str">
        <f>IFERROR(Table7[[#This Row],[No. of Defects Validated]]/SUMIFS(Table3[Hours Worked],Table3[Release Name],Table7[[#This Row],[Release Name]],Table3[Task Type],"Defect Validation")*9,"")</f>
        <v/>
      </c>
      <c r="AN130" s="258" t="str">
        <f>IFERROR((Table7[[#This Row],[No. of Valid  Internal Testing Defects]])/(Table7[[#This Row],[No. of Valid  Internal Testing Defects]]+Table7[[#This Row],[No. of Invalid Internal Testing Defects]]),"")</f>
        <v/>
      </c>
      <c r="AO130" s="258" t="str">
        <f>IFERROR(Table7[[#This Row],[No. of Valid External Testing Defects]]/(Table7[[#This Row],[No. of Valid External Testing Defects]]+Table7[[#This Row],[No. of Valid  Internal Testing Defects]]),"")</f>
        <v/>
      </c>
    </row>
    <row r="131" spans="2:41">
      <c r="B131" s="237"/>
      <c r="C131" s="14"/>
      <c r="D131" s="14"/>
      <c r="E131" s="14"/>
      <c r="F131" s="230" t="str">
        <f>IFERROR((Table47[[#This Row],[Initial No. of Requirements]]+Table47[[#This Row],[Modified Requirements( Added / Deleted /Modified)]])/Table47[[#This Row],[Initial No. of Requirements]],"")</f>
        <v/>
      </c>
      <c r="G13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1" s="249"/>
      <c r="J131" s="249"/>
      <c r="K131" s="250"/>
      <c r="L131" s="250"/>
      <c r="M131" s="250"/>
      <c r="N131" s="248"/>
      <c r="O131" s="248"/>
      <c r="P131" s="248"/>
      <c r="Q131" s="248"/>
      <c r="R131" s="248"/>
      <c r="S131" s="248"/>
      <c r="T131" s="248"/>
      <c r="U131" s="248"/>
      <c r="V131" s="248"/>
      <c r="W131" s="248"/>
      <c r="X131" s="248"/>
      <c r="Y131" s="248"/>
      <c r="Z131" s="248"/>
      <c r="AA131" s="248"/>
      <c r="AB131" s="13">
        <f>SUMIFS(Table3[Hours Worked],Table3[Release Name],Table7[[#This Row],[Release Name]],Table3[Task Type],"Testcase Creation")</f>
        <v>0</v>
      </c>
      <c r="AC131" s="255">
        <f>SUMIFS(Table3[Hours Worked],Table3[Release Name],Table7[[#This Row],[Release Name]],Table3[Task Type],"Testcase Execution")</f>
        <v>0</v>
      </c>
      <c r="AD13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1" s="256" t="str">
        <f>IFERROR((Table7[[#This Row],[No. of Valid Internal Review Defects]]+Table7[[#This Row],[No. of Valid  Internal Testing Defects]]+Table7[[#This Row],[No. of  Valid External Review Defects]]+Table7[[#This Row],[No. of Valid External Testing Defects]])/Table7[[#This Row],[Size]],"")</f>
        <v/>
      </c>
      <c r="AF131" s="257" t="str">
        <f>IFERROR(Table7[[#This Row],[No. of Valid Internal Review Defects]]/(Table7[[#This Row],[No. of Valid Internal Review Defects]]+Table7[[#This Row],[No. of  Valid External Review Defects]]+Table7[[#This Row],[No. of Valid  Internal Testing Defects]]+Table7[[#This Row],[No. of Valid External Testing Defects]]),"")</f>
        <v/>
      </c>
      <c r="AG131" s="258" t="str">
        <f>IFERROR(Table7[[#This Row],[No. of Valid Internal Review Defects]]/(Table7[[#This Row],[No. of Valid Internal Review Defects]]+Table7[[#This Row],[No. of  Valid External Review Defects]]+Table7[[#This Row],[No. of Valid External Testing Defects]]),"")</f>
        <v/>
      </c>
      <c r="AH131" s="256" t="str">
        <f>IFERROR(Table7[[#This Row],[No. of Valid  Internal Testing Defects]]/Table7[[#This Row],[Overall Actual Effort for the release]],"")</f>
        <v/>
      </c>
      <c r="AI131" s="256" t="str">
        <f>IFERROR(Table7[[#This Row],[No. of Valid  Internal Testing Defects]]/Table7[[#This Row],[No. of Testcases Executed]],"")</f>
        <v/>
      </c>
      <c r="AJ131" s="259" t="str">
        <f>IFERROR(IFERROR(Table7[[#This Row],[No. of Testcases Created]]/Table7[[#This Row],[Effort for Testcase Creation]],"")*9,"")</f>
        <v/>
      </c>
      <c r="AK131" s="256" t="str">
        <f>IFERROR((Table7[[#This Row],[No. of Testcases Executed]]/Table7[[#This Row],[Effort for Testcase Execution]])*9,"")</f>
        <v/>
      </c>
      <c r="AL13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1" s="259" t="str">
        <f>IFERROR(Table7[[#This Row],[No. of Defects Validated]]/SUMIFS(Table3[Hours Worked],Table3[Release Name],Table7[[#This Row],[Release Name]],Table3[Task Type],"Defect Validation")*9,"")</f>
        <v/>
      </c>
      <c r="AN131" s="258" t="str">
        <f>IFERROR((Table7[[#This Row],[No. of Valid  Internal Testing Defects]])/(Table7[[#This Row],[No. of Valid  Internal Testing Defects]]+Table7[[#This Row],[No. of Invalid Internal Testing Defects]]),"")</f>
        <v/>
      </c>
      <c r="AO131" s="258" t="str">
        <f>IFERROR(Table7[[#This Row],[No. of Valid External Testing Defects]]/(Table7[[#This Row],[No. of Valid External Testing Defects]]+Table7[[#This Row],[No. of Valid  Internal Testing Defects]]),"")</f>
        <v/>
      </c>
    </row>
    <row r="132" spans="2:41">
      <c r="B132" s="237"/>
      <c r="C132" s="14"/>
      <c r="D132" s="14"/>
      <c r="E132" s="14"/>
      <c r="F132" s="230" t="str">
        <f>IFERROR((Table47[[#This Row],[Initial No. of Requirements]]+Table47[[#This Row],[Modified Requirements( Added / Deleted /Modified)]])/Table47[[#This Row],[Initial No. of Requirements]],"")</f>
        <v/>
      </c>
      <c r="G13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2" s="249"/>
      <c r="J132" s="249"/>
      <c r="K132" s="250"/>
      <c r="L132" s="250"/>
      <c r="M132" s="250"/>
      <c r="N132" s="248"/>
      <c r="O132" s="248"/>
      <c r="P132" s="248"/>
      <c r="Q132" s="248"/>
      <c r="R132" s="248"/>
      <c r="S132" s="248"/>
      <c r="T132" s="248"/>
      <c r="U132" s="248"/>
      <c r="V132" s="248"/>
      <c r="W132" s="248"/>
      <c r="X132" s="248"/>
      <c r="Y132" s="248"/>
      <c r="Z132" s="248"/>
      <c r="AA132" s="248"/>
      <c r="AB132" s="13">
        <f>SUMIFS(Table3[Hours Worked],Table3[Release Name],Table7[[#This Row],[Release Name]],Table3[Task Type],"Testcase Creation")</f>
        <v>0</v>
      </c>
      <c r="AC132" s="255">
        <f>SUMIFS(Table3[Hours Worked],Table3[Release Name],Table7[[#This Row],[Release Name]],Table3[Task Type],"Testcase Execution")</f>
        <v>0</v>
      </c>
      <c r="AD13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2" s="256" t="str">
        <f>IFERROR((Table7[[#This Row],[No. of Valid Internal Review Defects]]+Table7[[#This Row],[No. of Valid  Internal Testing Defects]]+Table7[[#This Row],[No. of  Valid External Review Defects]]+Table7[[#This Row],[No. of Valid External Testing Defects]])/Table7[[#This Row],[Size]],"")</f>
        <v/>
      </c>
      <c r="AF132" s="257" t="str">
        <f>IFERROR(Table7[[#This Row],[No. of Valid Internal Review Defects]]/(Table7[[#This Row],[No. of Valid Internal Review Defects]]+Table7[[#This Row],[No. of  Valid External Review Defects]]+Table7[[#This Row],[No. of Valid  Internal Testing Defects]]+Table7[[#This Row],[No. of Valid External Testing Defects]]),"")</f>
        <v/>
      </c>
      <c r="AG132" s="258" t="str">
        <f>IFERROR(Table7[[#This Row],[No. of Valid Internal Review Defects]]/(Table7[[#This Row],[No. of Valid Internal Review Defects]]+Table7[[#This Row],[No. of  Valid External Review Defects]]+Table7[[#This Row],[No. of Valid External Testing Defects]]),"")</f>
        <v/>
      </c>
      <c r="AH132" s="256" t="str">
        <f>IFERROR(Table7[[#This Row],[No. of Valid  Internal Testing Defects]]/Table7[[#This Row],[Overall Actual Effort for the release]],"")</f>
        <v/>
      </c>
      <c r="AI132" s="256" t="str">
        <f>IFERROR(Table7[[#This Row],[No. of Valid  Internal Testing Defects]]/Table7[[#This Row],[No. of Testcases Executed]],"")</f>
        <v/>
      </c>
      <c r="AJ132" s="259" t="str">
        <f>IFERROR(IFERROR(Table7[[#This Row],[No. of Testcases Created]]/Table7[[#This Row],[Effort for Testcase Creation]],"")*9,"")</f>
        <v/>
      </c>
      <c r="AK132" s="256" t="str">
        <f>IFERROR((Table7[[#This Row],[No. of Testcases Executed]]/Table7[[#This Row],[Effort for Testcase Execution]])*9,"")</f>
        <v/>
      </c>
      <c r="AL13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2" s="259" t="str">
        <f>IFERROR(Table7[[#This Row],[No. of Defects Validated]]/SUMIFS(Table3[Hours Worked],Table3[Release Name],Table7[[#This Row],[Release Name]],Table3[Task Type],"Defect Validation")*9,"")</f>
        <v/>
      </c>
      <c r="AN132" s="258" t="str">
        <f>IFERROR((Table7[[#This Row],[No. of Valid  Internal Testing Defects]])/(Table7[[#This Row],[No. of Valid  Internal Testing Defects]]+Table7[[#This Row],[No. of Invalid Internal Testing Defects]]),"")</f>
        <v/>
      </c>
      <c r="AO132" s="258" t="str">
        <f>IFERROR(Table7[[#This Row],[No. of Valid External Testing Defects]]/(Table7[[#This Row],[No. of Valid External Testing Defects]]+Table7[[#This Row],[No. of Valid  Internal Testing Defects]]),"")</f>
        <v/>
      </c>
    </row>
    <row r="133" spans="2:41">
      <c r="B133" s="237"/>
      <c r="C133" s="14"/>
      <c r="D133" s="14"/>
      <c r="E133" s="14"/>
      <c r="F133" s="230" t="str">
        <f>IFERROR((Table47[[#This Row],[Initial No. of Requirements]]+Table47[[#This Row],[Modified Requirements( Added / Deleted /Modified)]])/Table47[[#This Row],[Initial No. of Requirements]],"")</f>
        <v/>
      </c>
      <c r="G13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3" s="249"/>
      <c r="J133" s="249"/>
      <c r="K133" s="250"/>
      <c r="L133" s="250"/>
      <c r="M133" s="250"/>
      <c r="N133" s="248"/>
      <c r="O133" s="248"/>
      <c r="P133" s="248"/>
      <c r="Q133" s="248"/>
      <c r="R133" s="248"/>
      <c r="S133" s="248"/>
      <c r="T133" s="248"/>
      <c r="U133" s="248"/>
      <c r="V133" s="248"/>
      <c r="W133" s="248"/>
      <c r="X133" s="248"/>
      <c r="Y133" s="248"/>
      <c r="Z133" s="248"/>
      <c r="AA133" s="248"/>
      <c r="AB133" s="13">
        <f>SUMIFS(Table3[Hours Worked],Table3[Release Name],Table7[[#This Row],[Release Name]],Table3[Task Type],"Testcase Creation")</f>
        <v>0</v>
      </c>
      <c r="AC133" s="255">
        <f>SUMIFS(Table3[Hours Worked],Table3[Release Name],Table7[[#This Row],[Release Name]],Table3[Task Type],"Testcase Execution")</f>
        <v>0</v>
      </c>
      <c r="AD13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3" s="256" t="str">
        <f>IFERROR((Table7[[#This Row],[No. of Valid Internal Review Defects]]+Table7[[#This Row],[No. of Valid  Internal Testing Defects]]+Table7[[#This Row],[No. of  Valid External Review Defects]]+Table7[[#This Row],[No. of Valid External Testing Defects]])/Table7[[#This Row],[Size]],"")</f>
        <v/>
      </c>
      <c r="AF133" s="257" t="str">
        <f>IFERROR(Table7[[#This Row],[No. of Valid Internal Review Defects]]/(Table7[[#This Row],[No. of Valid Internal Review Defects]]+Table7[[#This Row],[No. of  Valid External Review Defects]]+Table7[[#This Row],[No. of Valid  Internal Testing Defects]]+Table7[[#This Row],[No. of Valid External Testing Defects]]),"")</f>
        <v/>
      </c>
      <c r="AG133" s="258" t="str">
        <f>IFERROR(Table7[[#This Row],[No. of Valid Internal Review Defects]]/(Table7[[#This Row],[No. of Valid Internal Review Defects]]+Table7[[#This Row],[No. of  Valid External Review Defects]]+Table7[[#This Row],[No. of Valid External Testing Defects]]),"")</f>
        <v/>
      </c>
      <c r="AH133" s="256" t="str">
        <f>IFERROR(Table7[[#This Row],[No. of Valid  Internal Testing Defects]]/Table7[[#This Row],[Overall Actual Effort for the release]],"")</f>
        <v/>
      </c>
      <c r="AI133" s="256" t="str">
        <f>IFERROR(Table7[[#This Row],[No. of Valid  Internal Testing Defects]]/Table7[[#This Row],[No. of Testcases Executed]],"")</f>
        <v/>
      </c>
      <c r="AJ133" s="259" t="str">
        <f>IFERROR(IFERROR(Table7[[#This Row],[No. of Testcases Created]]/Table7[[#This Row],[Effort for Testcase Creation]],"")*9,"")</f>
        <v/>
      </c>
      <c r="AK133" s="256" t="str">
        <f>IFERROR((Table7[[#This Row],[No. of Testcases Executed]]/Table7[[#This Row],[Effort for Testcase Execution]])*9,"")</f>
        <v/>
      </c>
      <c r="AL13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3" s="259" t="str">
        <f>IFERROR(Table7[[#This Row],[No. of Defects Validated]]/SUMIFS(Table3[Hours Worked],Table3[Release Name],Table7[[#This Row],[Release Name]],Table3[Task Type],"Defect Validation")*9,"")</f>
        <v/>
      </c>
      <c r="AN133" s="258" t="str">
        <f>IFERROR((Table7[[#This Row],[No. of Valid  Internal Testing Defects]])/(Table7[[#This Row],[No. of Valid  Internal Testing Defects]]+Table7[[#This Row],[No. of Invalid Internal Testing Defects]]),"")</f>
        <v/>
      </c>
      <c r="AO133" s="258" t="str">
        <f>IFERROR(Table7[[#This Row],[No. of Valid External Testing Defects]]/(Table7[[#This Row],[No. of Valid External Testing Defects]]+Table7[[#This Row],[No. of Valid  Internal Testing Defects]]),"")</f>
        <v/>
      </c>
    </row>
    <row r="134" spans="2:41">
      <c r="B134" s="237"/>
      <c r="C134" s="14"/>
      <c r="D134" s="14"/>
      <c r="E134" s="14"/>
      <c r="F134" s="230" t="str">
        <f>IFERROR((Table47[[#This Row],[Initial No. of Requirements]]+Table47[[#This Row],[Modified Requirements( Added / Deleted /Modified)]])/Table47[[#This Row],[Initial No. of Requirements]],"")</f>
        <v/>
      </c>
      <c r="G13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4" s="249"/>
      <c r="J134" s="249"/>
      <c r="K134" s="250"/>
      <c r="L134" s="250"/>
      <c r="M134" s="250"/>
      <c r="N134" s="248"/>
      <c r="O134" s="248"/>
      <c r="P134" s="248"/>
      <c r="Q134" s="248"/>
      <c r="R134" s="248"/>
      <c r="S134" s="248"/>
      <c r="T134" s="248"/>
      <c r="U134" s="248"/>
      <c r="V134" s="248"/>
      <c r="W134" s="248"/>
      <c r="X134" s="248"/>
      <c r="Y134" s="248"/>
      <c r="Z134" s="248"/>
      <c r="AA134" s="248"/>
      <c r="AB134" s="13">
        <f>SUMIFS(Table3[Hours Worked],Table3[Release Name],Table7[[#This Row],[Release Name]],Table3[Task Type],"Testcase Creation")</f>
        <v>0</v>
      </c>
      <c r="AC134" s="255">
        <f>SUMIFS(Table3[Hours Worked],Table3[Release Name],Table7[[#This Row],[Release Name]],Table3[Task Type],"Testcase Execution")</f>
        <v>0</v>
      </c>
      <c r="AD13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4" s="256" t="str">
        <f>IFERROR((Table7[[#This Row],[No. of Valid Internal Review Defects]]+Table7[[#This Row],[No. of Valid  Internal Testing Defects]]+Table7[[#This Row],[No. of  Valid External Review Defects]]+Table7[[#This Row],[No. of Valid External Testing Defects]])/Table7[[#This Row],[Size]],"")</f>
        <v/>
      </c>
      <c r="AF134" s="257" t="str">
        <f>IFERROR(Table7[[#This Row],[No. of Valid Internal Review Defects]]/(Table7[[#This Row],[No. of Valid Internal Review Defects]]+Table7[[#This Row],[No. of  Valid External Review Defects]]+Table7[[#This Row],[No. of Valid  Internal Testing Defects]]+Table7[[#This Row],[No. of Valid External Testing Defects]]),"")</f>
        <v/>
      </c>
      <c r="AG134" s="258" t="str">
        <f>IFERROR(Table7[[#This Row],[No. of Valid Internal Review Defects]]/(Table7[[#This Row],[No. of Valid Internal Review Defects]]+Table7[[#This Row],[No. of  Valid External Review Defects]]+Table7[[#This Row],[No. of Valid External Testing Defects]]),"")</f>
        <v/>
      </c>
      <c r="AH134" s="256" t="str">
        <f>IFERROR(Table7[[#This Row],[No. of Valid  Internal Testing Defects]]/Table7[[#This Row],[Overall Actual Effort for the release]],"")</f>
        <v/>
      </c>
      <c r="AI134" s="256" t="str">
        <f>IFERROR(Table7[[#This Row],[No. of Valid  Internal Testing Defects]]/Table7[[#This Row],[No. of Testcases Executed]],"")</f>
        <v/>
      </c>
      <c r="AJ134" s="259" t="str">
        <f>IFERROR(IFERROR(Table7[[#This Row],[No. of Testcases Created]]/Table7[[#This Row],[Effort for Testcase Creation]],"")*9,"")</f>
        <v/>
      </c>
      <c r="AK134" s="256" t="str">
        <f>IFERROR((Table7[[#This Row],[No. of Testcases Executed]]/Table7[[#This Row],[Effort for Testcase Execution]])*9,"")</f>
        <v/>
      </c>
      <c r="AL13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4" s="259" t="str">
        <f>IFERROR(Table7[[#This Row],[No. of Defects Validated]]/SUMIFS(Table3[Hours Worked],Table3[Release Name],Table7[[#This Row],[Release Name]],Table3[Task Type],"Defect Validation")*9,"")</f>
        <v/>
      </c>
      <c r="AN134" s="258" t="str">
        <f>IFERROR((Table7[[#This Row],[No. of Valid  Internal Testing Defects]])/(Table7[[#This Row],[No. of Valid  Internal Testing Defects]]+Table7[[#This Row],[No. of Invalid Internal Testing Defects]]),"")</f>
        <v/>
      </c>
      <c r="AO134" s="258" t="str">
        <f>IFERROR(Table7[[#This Row],[No. of Valid External Testing Defects]]/(Table7[[#This Row],[No. of Valid External Testing Defects]]+Table7[[#This Row],[No. of Valid  Internal Testing Defects]]),"")</f>
        <v/>
      </c>
    </row>
    <row r="135" spans="2:41">
      <c r="B135" s="237"/>
      <c r="C135" s="14"/>
      <c r="D135" s="14"/>
      <c r="E135" s="14"/>
      <c r="F135" s="230" t="str">
        <f>IFERROR((Table47[[#This Row],[Initial No. of Requirements]]+Table47[[#This Row],[Modified Requirements( Added / Deleted /Modified)]])/Table47[[#This Row],[Initial No. of Requirements]],"")</f>
        <v/>
      </c>
      <c r="G13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5" s="249"/>
      <c r="J135" s="249"/>
      <c r="K135" s="250"/>
      <c r="L135" s="250"/>
      <c r="M135" s="250"/>
      <c r="N135" s="248"/>
      <c r="O135" s="248"/>
      <c r="P135" s="248"/>
      <c r="Q135" s="248"/>
      <c r="R135" s="248"/>
      <c r="S135" s="248"/>
      <c r="T135" s="248"/>
      <c r="U135" s="248"/>
      <c r="V135" s="248"/>
      <c r="W135" s="248"/>
      <c r="X135" s="248"/>
      <c r="Y135" s="248"/>
      <c r="Z135" s="248"/>
      <c r="AA135" s="248"/>
      <c r="AB135" s="13">
        <f>SUMIFS(Table3[Hours Worked],Table3[Release Name],Table7[[#This Row],[Release Name]],Table3[Task Type],"Testcase Creation")</f>
        <v>0</v>
      </c>
      <c r="AC135" s="255">
        <f>SUMIFS(Table3[Hours Worked],Table3[Release Name],Table7[[#This Row],[Release Name]],Table3[Task Type],"Testcase Execution")</f>
        <v>0</v>
      </c>
      <c r="AD13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5" s="256" t="str">
        <f>IFERROR((Table7[[#This Row],[No. of Valid Internal Review Defects]]+Table7[[#This Row],[No. of Valid  Internal Testing Defects]]+Table7[[#This Row],[No. of  Valid External Review Defects]]+Table7[[#This Row],[No. of Valid External Testing Defects]])/Table7[[#This Row],[Size]],"")</f>
        <v/>
      </c>
      <c r="AF135" s="257" t="str">
        <f>IFERROR(Table7[[#This Row],[No. of Valid Internal Review Defects]]/(Table7[[#This Row],[No. of Valid Internal Review Defects]]+Table7[[#This Row],[No. of  Valid External Review Defects]]+Table7[[#This Row],[No. of Valid  Internal Testing Defects]]+Table7[[#This Row],[No. of Valid External Testing Defects]]),"")</f>
        <v/>
      </c>
      <c r="AG135" s="258" t="str">
        <f>IFERROR(Table7[[#This Row],[No. of Valid Internal Review Defects]]/(Table7[[#This Row],[No. of Valid Internal Review Defects]]+Table7[[#This Row],[No. of  Valid External Review Defects]]+Table7[[#This Row],[No. of Valid External Testing Defects]]),"")</f>
        <v/>
      </c>
      <c r="AH135" s="256" t="str">
        <f>IFERROR(Table7[[#This Row],[No. of Valid  Internal Testing Defects]]/Table7[[#This Row],[Overall Actual Effort for the release]],"")</f>
        <v/>
      </c>
      <c r="AI135" s="256" t="str">
        <f>IFERROR(Table7[[#This Row],[No. of Valid  Internal Testing Defects]]/Table7[[#This Row],[No. of Testcases Executed]],"")</f>
        <v/>
      </c>
      <c r="AJ135" s="259" t="str">
        <f>IFERROR(IFERROR(Table7[[#This Row],[No. of Testcases Created]]/Table7[[#This Row],[Effort for Testcase Creation]],"")*9,"")</f>
        <v/>
      </c>
      <c r="AK135" s="256" t="str">
        <f>IFERROR((Table7[[#This Row],[No. of Testcases Executed]]/Table7[[#This Row],[Effort for Testcase Execution]])*9,"")</f>
        <v/>
      </c>
      <c r="AL13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5" s="259" t="str">
        <f>IFERROR(Table7[[#This Row],[No. of Defects Validated]]/SUMIFS(Table3[Hours Worked],Table3[Release Name],Table7[[#This Row],[Release Name]],Table3[Task Type],"Defect Validation")*9,"")</f>
        <v/>
      </c>
      <c r="AN135" s="258" t="str">
        <f>IFERROR((Table7[[#This Row],[No. of Valid  Internal Testing Defects]])/(Table7[[#This Row],[No. of Valid  Internal Testing Defects]]+Table7[[#This Row],[No. of Invalid Internal Testing Defects]]),"")</f>
        <v/>
      </c>
      <c r="AO135" s="258" t="str">
        <f>IFERROR(Table7[[#This Row],[No. of Valid External Testing Defects]]/(Table7[[#This Row],[No. of Valid External Testing Defects]]+Table7[[#This Row],[No. of Valid  Internal Testing Defects]]),"")</f>
        <v/>
      </c>
    </row>
    <row r="136" spans="2:41">
      <c r="B136" s="237"/>
      <c r="C136" s="14"/>
      <c r="D136" s="14"/>
      <c r="E136" s="14"/>
      <c r="F136" s="230" t="str">
        <f>IFERROR((Table47[[#This Row],[Initial No. of Requirements]]+Table47[[#This Row],[Modified Requirements( Added / Deleted /Modified)]])/Table47[[#This Row],[Initial No. of Requirements]],"")</f>
        <v/>
      </c>
      <c r="G13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6" s="249"/>
      <c r="J136" s="249"/>
      <c r="K136" s="250"/>
      <c r="L136" s="250"/>
      <c r="M136" s="250"/>
      <c r="N136" s="248"/>
      <c r="O136" s="248"/>
      <c r="P136" s="248"/>
      <c r="Q136" s="248"/>
      <c r="R136" s="248"/>
      <c r="S136" s="248"/>
      <c r="T136" s="248"/>
      <c r="U136" s="248"/>
      <c r="V136" s="248"/>
      <c r="W136" s="248"/>
      <c r="X136" s="248"/>
      <c r="Y136" s="248"/>
      <c r="Z136" s="248"/>
      <c r="AA136" s="248"/>
      <c r="AB136" s="13">
        <f>SUMIFS(Table3[Hours Worked],Table3[Release Name],Table7[[#This Row],[Release Name]],Table3[Task Type],"Testcase Creation")</f>
        <v>0</v>
      </c>
      <c r="AC136" s="255">
        <f>SUMIFS(Table3[Hours Worked],Table3[Release Name],Table7[[#This Row],[Release Name]],Table3[Task Type],"Testcase Execution")</f>
        <v>0</v>
      </c>
      <c r="AD13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6" s="256" t="str">
        <f>IFERROR((Table7[[#This Row],[No. of Valid Internal Review Defects]]+Table7[[#This Row],[No. of Valid  Internal Testing Defects]]+Table7[[#This Row],[No. of  Valid External Review Defects]]+Table7[[#This Row],[No. of Valid External Testing Defects]])/Table7[[#This Row],[Size]],"")</f>
        <v/>
      </c>
      <c r="AF136" s="257" t="str">
        <f>IFERROR(Table7[[#This Row],[No. of Valid Internal Review Defects]]/(Table7[[#This Row],[No. of Valid Internal Review Defects]]+Table7[[#This Row],[No. of  Valid External Review Defects]]+Table7[[#This Row],[No. of Valid  Internal Testing Defects]]+Table7[[#This Row],[No. of Valid External Testing Defects]]),"")</f>
        <v/>
      </c>
      <c r="AG136" s="258" t="str">
        <f>IFERROR(Table7[[#This Row],[No. of Valid Internal Review Defects]]/(Table7[[#This Row],[No. of Valid Internal Review Defects]]+Table7[[#This Row],[No. of  Valid External Review Defects]]+Table7[[#This Row],[No. of Valid External Testing Defects]]),"")</f>
        <v/>
      </c>
      <c r="AH136" s="256" t="str">
        <f>IFERROR(Table7[[#This Row],[No. of Valid  Internal Testing Defects]]/Table7[[#This Row],[Overall Actual Effort for the release]],"")</f>
        <v/>
      </c>
      <c r="AI136" s="256" t="str">
        <f>IFERROR(Table7[[#This Row],[No. of Valid  Internal Testing Defects]]/Table7[[#This Row],[No. of Testcases Executed]],"")</f>
        <v/>
      </c>
      <c r="AJ136" s="259" t="str">
        <f>IFERROR(IFERROR(Table7[[#This Row],[No. of Testcases Created]]/Table7[[#This Row],[Effort for Testcase Creation]],"")*9,"")</f>
        <v/>
      </c>
      <c r="AK136" s="256" t="str">
        <f>IFERROR((Table7[[#This Row],[No. of Testcases Executed]]/Table7[[#This Row],[Effort for Testcase Execution]])*9,"")</f>
        <v/>
      </c>
      <c r="AL13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6" s="259" t="str">
        <f>IFERROR(Table7[[#This Row],[No. of Defects Validated]]/SUMIFS(Table3[Hours Worked],Table3[Release Name],Table7[[#This Row],[Release Name]],Table3[Task Type],"Defect Validation")*9,"")</f>
        <v/>
      </c>
      <c r="AN136" s="258" t="str">
        <f>IFERROR((Table7[[#This Row],[No. of Valid  Internal Testing Defects]])/(Table7[[#This Row],[No. of Valid  Internal Testing Defects]]+Table7[[#This Row],[No. of Invalid Internal Testing Defects]]),"")</f>
        <v/>
      </c>
      <c r="AO136" s="258" t="str">
        <f>IFERROR(Table7[[#This Row],[No. of Valid External Testing Defects]]/(Table7[[#This Row],[No. of Valid External Testing Defects]]+Table7[[#This Row],[No. of Valid  Internal Testing Defects]]),"")</f>
        <v/>
      </c>
    </row>
    <row r="137" spans="2:41">
      <c r="B137" s="237"/>
      <c r="C137" s="14"/>
      <c r="D137" s="14"/>
      <c r="E137" s="14"/>
      <c r="F137" s="230" t="str">
        <f>IFERROR((Table47[[#This Row],[Initial No. of Requirements]]+Table47[[#This Row],[Modified Requirements( Added / Deleted /Modified)]])/Table47[[#This Row],[Initial No. of Requirements]],"")</f>
        <v/>
      </c>
      <c r="G13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7" s="249"/>
      <c r="J137" s="249"/>
      <c r="K137" s="250"/>
      <c r="L137" s="250"/>
      <c r="M137" s="250"/>
      <c r="N137" s="248"/>
      <c r="O137" s="248"/>
      <c r="P137" s="248"/>
      <c r="Q137" s="248"/>
      <c r="R137" s="248"/>
      <c r="S137" s="248"/>
      <c r="T137" s="248"/>
      <c r="U137" s="248"/>
      <c r="V137" s="248"/>
      <c r="W137" s="248"/>
      <c r="X137" s="248"/>
      <c r="Y137" s="248"/>
      <c r="Z137" s="248"/>
      <c r="AA137" s="248"/>
      <c r="AB137" s="13">
        <f>SUMIFS(Table3[Hours Worked],Table3[Release Name],Table7[[#This Row],[Release Name]],Table3[Task Type],"Testcase Creation")</f>
        <v>0</v>
      </c>
      <c r="AC137" s="255">
        <f>SUMIFS(Table3[Hours Worked],Table3[Release Name],Table7[[#This Row],[Release Name]],Table3[Task Type],"Testcase Execution")</f>
        <v>0</v>
      </c>
      <c r="AD13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7" s="256" t="str">
        <f>IFERROR((Table7[[#This Row],[No. of Valid Internal Review Defects]]+Table7[[#This Row],[No. of Valid  Internal Testing Defects]]+Table7[[#This Row],[No. of  Valid External Review Defects]]+Table7[[#This Row],[No. of Valid External Testing Defects]])/Table7[[#This Row],[Size]],"")</f>
        <v/>
      </c>
      <c r="AF137" s="257" t="str">
        <f>IFERROR(Table7[[#This Row],[No. of Valid Internal Review Defects]]/(Table7[[#This Row],[No. of Valid Internal Review Defects]]+Table7[[#This Row],[No. of  Valid External Review Defects]]+Table7[[#This Row],[No. of Valid  Internal Testing Defects]]+Table7[[#This Row],[No. of Valid External Testing Defects]]),"")</f>
        <v/>
      </c>
      <c r="AG137" s="258" t="str">
        <f>IFERROR(Table7[[#This Row],[No. of Valid Internal Review Defects]]/(Table7[[#This Row],[No. of Valid Internal Review Defects]]+Table7[[#This Row],[No. of  Valid External Review Defects]]+Table7[[#This Row],[No. of Valid External Testing Defects]]),"")</f>
        <v/>
      </c>
      <c r="AH137" s="256" t="str">
        <f>IFERROR(Table7[[#This Row],[No. of Valid  Internal Testing Defects]]/Table7[[#This Row],[Overall Actual Effort for the release]],"")</f>
        <v/>
      </c>
      <c r="AI137" s="256" t="str">
        <f>IFERROR(Table7[[#This Row],[No. of Valid  Internal Testing Defects]]/Table7[[#This Row],[No. of Testcases Executed]],"")</f>
        <v/>
      </c>
      <c r="AJ137" s="259" t="str">
        <f>IFERROR(IFERROR(Table7[[#This Row],[No. of Testcases Created]]/Table7[[#This Row],[Effort for Testcase Creation]],"")*9,"")</f>
        <v/>
      </c>
      <c r="AK137" s="256" t="str">
        <f>IFERROR((Table7[[#This Row],[No. of Testcases Executed]]/Table7[[#This Row],[Effort for Testcase Execution]])*9,"")</f>
        <v/>
      </c>
      <c r="AL13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7" s="259" t="str">
        <f>IFERROR(Table7[[#This Row],[No. of Defects Validated]]/SUMIFS(Table3[Hours Worked],Table3[Release Name],Table7[[#This Row],[Release Name]],Table3[Task Type],"Defect Validation")*9,"")</f>
        <v/>
      </c>
      <c r="AN137" s="258" t="str">
        <f>IFERROR((Table7[[#This Row],[No. of Valid  Internal Testing Defects]])/(Table7[[#This Row],[No. of Valid  Internal Testing Defects]]+Table7[[#This Row],[No. of Invalid Internal Testing Defects]]),"")</f>
        <v/>
      </c>
      <c r="AO137" s="258" t="str">
        <f>IFERROR(Table7[[#This Row],[No. of Valid External Testing Defects]]/(Table7[[#This Row],[No. of Valid External Testing Defects]]+Table7[[#This Row],[No. of Valid  Internal Testing Defects]]),"")</f>
        <v/>
      </c>
    </row>
    <row r="138" spans="2:41">
      <c r="B138" s="237"/>
      <c r="C138" s="14"/>
      <c r="D138" s="14"/>
      <c r="E138" s="14"/>
      <c r="F138" s="230" t="str">
        <f>IFERROR((Table47[[#This Row],[Initial No. of Requirements]]+Table47[[#This Row],[Modified Requirements( Added / Deleted /Modified)]])/Table47[[#This Row],[Initial No. of Requirements]],"")</f>
        <v/>
      </c>
      <c r="G13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8" s="249"/>
      <c r="J138" s="249"/>
      <c r="K138" s="250"/>
      <c r="L138" s="250"/>
      <c r="M138" s="250"/>
      <c r="N138" s="248"/>
      <c r="O138" s="248"/>
      <c r="P138" s="248"/>
      <c r="Q138" s="248"/>
      <c r="R138" s="248"/>
      <c r="S138" s="248"/>
      <c r="T138" s="248"/>
      <c r="U138" s="248"/>
      <c r="V138" s="248"/>
      <c r="W138" s="248"/>
      <c r="X138" s="248"/>
      <c r="Y138" s="248"/>
      <c r="Z138" s="248"/>
      <c r="AA138" s="248"/>
      <c r="AB138" s="13">
        <f>SUMIFS(Table3[Hours Worked],Table3[Release Name],Table7[[#This Row],[Release Name]],Table3[Task Type],"Testcase Creation")</f>
        <v>0</v>
      </c>
      <c r="AC138" s="255">
        <f>SUMIFS(Table3[Hours Worked],Table3[Release Name],Table7[[#This Row],[Release Name]],Table3[Task Type],"Testcase Execution")</f>
        <v>0</v>
      </c>
      <c r="AD13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8" s="256" t="str">
        <f>IFERROR((Table7[[#This Row],[No. of Valid Internal Review Defects]]+Table7[[#This Row],[No. of Valid  Internal Testing Defects]]+Table7[[#This Row],[No. of  Valid External Review Defects]]+Table7[[#This Row],[No. of Valid External Testing Defects]])/Table7[[#This Row],[Size]],"")</f>
        <v/>
      </c>
      <c r="AF138" s="257" t="str">
        <f>IFERROR(Table7[[#This Row],[No. of Valid Internal Review Defects]]/(Table7[[#This Row],[No. of Valid Internal Review Defects]]+Table7[[#This Row],[No. of  Valid External Review Defects]]+Table7[[#This Row],[No. of Valid  Internal Testing Defects]]+Table7[[#This Row],[No. of Valid External Testing Defects]]),"")</f>
        <v/>
      </c>
      <c r="AG138" s="258" t="str">
        <f>IFERROR(Table7[[#This Row],[No. of Valid Internal Review Defects]]/(Table7[[#This Row],[No. of Valid Internal Review Defects]]+Table7[[#This Row],[No. of  Valid External Review Defects]]+Table7[[#This Row],[No. of Valid External Testing Defects]]),"")</f>
        <v/>
      </c>
      <c r="AH138" s="256" t="str">
        <f>IFERROR(Table7[[#This Row],[No. of Valid  Internal Testing Defects]]/Table7[[#This Row],[Overall Actual Effort for the release]],"")</f>
        <v/>
      </c>
      <c r="AI138" s="256" t="str">
        <f>IFERROR(Table7[[#This Row],[No. of Valid  Internal Testing Defects]]/Table7[[#This Row],[No. of Testcases Executed]],"")</f>
        <v/>
      </c>
      <c r="AJ138" s="259" t="str">
        <f>IFERROR(IFERROR(Table7[[#This Row],[No. of Testcases Created]]/Table7[[#This Row],[Effort for Testcase Creation]],"")*9,"")</f>
        <v/>
      </c>
      <c r="AK138" s="256" t="str">
        <f>IFERROR((Table7[[#This Row],[No. of Testcases Executed]]/Table7[[#This Row],[Effort for Testcase Execution]])*9,"")</f>
        <v/>
      </c>
      <c r="AL13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8" s="259" t="str">
        <f>IFERROR(Table7[[#This Row],[No. of Defects Validated]]/SUMIFS(Table3[Hours Worked],Table3[Release Name],Table7[[#This Row],[Release Name]],Table3[Task Type],"Defect Validation")*9,"")</f>
        <v/>
      </c>
      <c r="AN138" s="258" t="str">
        <f>IFERROR((Table7[[#This Row],[No. of Valid  Internal Testing Defects]])/(Table7[[#This Row],[No. of Valid  Internal Testing Defects]]+Table7[[#This Row],[No. of Invalid Internal Testing Defects]]),"")</f>
        <v/>
      </c>
      <c r="AO138" s="258" t="str">
        <f>IFERROR(Table7[[#This Row],[No. of Valid External Testing Defects]]/(Table7[[#This Row],[No. of Valid External Testing Defects]]+Table7[[#This Row],[No. of Valid  Internal Testing Defects]]),"")</f>
        <v/>
      </c>
    </row>
    <row r="139" spans="2:41">
      <c r="B139" s="237"/>
      <c r="C139" s="14"/>
      <c r="D139" s="14"/>
      <c r="E139" s="14"/>
      <c r="F139" s="230" t="str">
        <f>IFERROR((Table47[[#This Row],[Initial No. of Requirements]]+Table47[[#This Row],[Modified Requirements( Added / Deleted /Modified)]])/Table47[[#This Row],[Initial No. of Requirements]],"")</f>
        <v/>
      </c>
      <c r="G13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39" s="249"/>
      <c r="J139" s="249"/>
      <c r="K139" s="250"/>
      <c r="L139" s="250"/>
      <c r="M139" s="250"/>
      <c r="N139" s="248"/>
      <c r="O139" s="248"/>
      <c r="P139" s="248"/>
      <c r="Q139" s="248"/>
      <c r="R139" s="248"/>
      <c r="S139" s="248"/>
      <c r="T139" s="248"/>
      <c r="U139" s="248"/>
      <c r="V139" s="248"/>
      <c r="W139" s="248"/>
      <c r="X139" s="248"/>
      <c r="Y139" s="248"/>
      <c r="Z139" s="248"/>
      <c r="AA139" s="248"/>
      <c r="AB139" s="13">
        <f>SUMIFS(Table3[Hours Worked],Table3[Release Name],Table7[[#This Row],[Release Name]],Table3[Task Type],"Testcase Creation")</f>
        <v>0</v>
      </c>
      <c r="AC139" s="255">
        <f>SUMIFS(Table3[Hours Worked],Table3[Release Name],Table7[[#This Row],[Release Name]],Table3[Task Type],"Testcase Execution")</f>
        <v>0</v>
      </c>
      <c r="AD13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39" s="256" t="str">
        <f>IFERROR((Table7[[#This Row],[No. of Valid Internal Review Defects]]+Table7[[#This Row],[No. of Valid  Internal Testing Defects]]+Table7[[#This Row],[No. of  Valid External Review Defects]]+Table7[[#This Row],[No. of Valid External Testing Defects]])/Table7[[#This Row],[Size]],"")</f>
        <v/>
      </c>
      <c r="AF139" s="257" t="str">
        <f>IFERROR(Table7[[#This Row],[No. of Valid Internal Review Defects]]/(Table7[[#This Row],[No. of Valid Internal Review Defects]]+Table7[[#This Row],[No. of  Valid External Review Defects]]+Table7[[#This Row],[No. of Valid  Internal Testing Defects]]+Table7[[#This Row],[No. of Valid External Testing Defects]]),"")</f>
        <v/>
      </c>
      <c r="AG139" s="258" t="str">
        <f>IFERROR(Table7[[#This Row],[No. of Valid Internal Review Defects]]/(Table7[[#This Row],[No. of Valid Internal Review Defects]]+Table7[[#This Row],[No. of  Valid External Review Defects]]+Table7[[#This Row],[No. of Valid External Testing Defects]]),"")</f>
        <v/>
      </c>
      <c r="AH139" s="256" t="str">
        <f>IFERROR(Table7[[#This Row],[No. of Valid  Internal Testing Defects]]/Table7[[#This Row],[Overall Actual Effort for the release]],"")</f>
        <v/>
      </c>
      <c r="AI139" s="256" t="str">
        <f>IFERROR(Table7[[#This Row],[No. of Valid  Internal Testing Defects]]/Table7[[#This Row],[No. of Testcases Executed]],"")</f>
        <v/>
      </c>
      <c r="AJ139" s="259" t="str">
        <f>IFERROR(IFERROR(Table7[[#This Row],[No. of Testcases Created]]/Table7[[#This Row],[Effort for Testcase Creation]],"")*9,"")</f>
        <v/>
      </c>
      <c r="AK139" s="256" t="str">
        <f>IFERROR((Table7[[#This Row],[No. of Testcases Executed]]/Table7[[#This Row],[Effort for Testcase Execution]])*9,"")</f>
        <v/>
      </c>
      <c r="AL13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39" s="259" t="str">
        <f>IFERROR(Table7[[#This Row],[No. of Defects Validated]]/SUMIFS(Table3[Hours Worked],Table3[Release Name],Table7[[#This Row],[Release Name]],Table3[Task Type],"Defect Validation")*9,"")</f>
        <v/>
      </c>
      <c r="AN139" s="258" t="str">
        <f>IFERROR((Table7[[#This Row],[No. of Valid  Internal Testing Defects]])/(Table7[[#This Row],[No. of Valid  Internal Testing Defects]]+Table7[[#This Row],[No. of Invalid Internal Testing Defects]]),"")</f>
        <v/>
      </c>
      <c r="AO139" s="258" t="str">
        <f>IFERROR(Table7[[#This Row],[No. of Valid External Testing Defects]]/(Table7[[#This Row],[No. of Valid External Testing Defects]]+Table7[[#This Row],[No. of Valid  Internal Testing Defects]]),"")</f>
        <v/>
      </c>
    </row>
    <row r="140" spans="2:41">
      <c r="B140" s="237"/>
      <c r="C140" s="14"/>
      <c r="D140" s="14"/>
      <c r="E140" s="14"/>
      <c r="F140" s="230" t="str">
        <f>IFERROR((Table47[[#This Row],[Initial No. of Requirements]]+Table47[[#This Row],[Modified Requirements( Added / Deleted /Modified)]])/Table47[[#This Row],[Initial No. of Requirements]],"")</f>
        <v/>
      </c>
      <c r="G14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0" s="249"/>
      <c r="J140" s="249"/>
      <c r="K140" s="250"/>
      <c r="L140" s="250"/>
      <c r="M140" s="250"/>
      <c r="N140" s="248"/>
      <c r="O140" s="248"/>
      <c r="P140" s="248"/>
      <c r="Q140" s="248"/>
      <c r="R140" s="248"/>
      <c r="S140" s="248"/>
      <c r="T140" s="248"/>
      <c r="U140" s="248"/>
      <c r="V140" s="248"/>
      <c r="W140" s="248"/>
      <c r="X140" s="248"/>
      <c r="Y140" s="248"/>
      <c r="Z140" s="248"/>
      <c r="AA140" s="248"/>
      <c r="AB140" s="13">
        <f>SUMIFS(Table3[Hours Worked],Table3[Release Name],Table7[[#This Row],[Release Name]],Table3[Task Type],"Testcase Creation")</f>
        <v>0</v>
      </c>
      <c r="AC140" s="255">
        <f>SUMIFS(Table3[Hours Worked],Table3[Release Name],Table7[[#This Row],[Release Name]],Table3[Task Type],"Testcase Execution")</f>
        <v>0</v>
      </c>
      <c r="AD14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0" s="256" t="str">
        <f>IFERROR((Table7[[#This Row],[No. of Valid Internal Review Defects]]+Table7[[#This Row],[No. of Valid  Internal Testing Defects]]+Table7[[#This Row],[No. of  Valid External Review Defects]]+Table7[[#This Row],[No. of Valid External Testing Defects]])/Table7[[#This Row],[Size]],"")</f>
        <v/>
      </c>
      <c r="AF140" s="257" t="str">
        <f>IFERROR(Table7[[#This Row],[No. of Valid Internal Review Defects]]/(Table7[[#This Row],[No. of Valid Internal Review Defects]]+Table7[[#This Row],[No. of  Valid External Review Defects]]+Table7[[#This Row],[No. of Valid  Internal Testing Defects]]+Table7[[#This Row],[No. of Valid External Testing Defects]]),"")</f>
        <v/>
      </c>
      <c r="AG140" s="258" t="str">
        <f>IFERROR(Table7[[#This Row],[No. of Valid Internal Review Defects]]/(Table7[[#This Row],[No. of Valid Internal Review Defects]]+Table7[[#This Row],[No. of  Valid External Review Defects]]+Table7[[#This Row],[No. of Valid External Testing Defects]]),"")</f>
        <v/>
      </c>
      <c r="AH140" s="256" t="str">
        <f>IFERROR(Table7[[#This Row],[No. of Valid  Internal Testing Defects]]/Table7[[#This Row],[Overall Actual Effort for the release]],"")</f>
        <v/>
      </c>
      <c r="AI140" s="256" t="str">
        <f>IFERROR(Table7[[#This Row],[No. of Valid  Internal Testing Defects]]/Table7[[#This Row],[No. of Testcases Executed]],"")</f>
        <v/>
      </c>
      <c r="AJ140" s="259" t="str">
        <f>IFERROR(IFERROR(Table7[[#This Row],[No. of Testcases Created]]/Table7[[#This Row],[Effort for Testcase Creation]],"")*9,"")</f>
        <v/>
      </c>
      <c r="AK140" s="256" t="str">
        <f>IFERROR((Table7[[#This Row],[No. of Testcases Executed]]/Table7[[#This Row],[Effort for Testcase Execution]])*9,"")</f>
        <v/>
      </c>
      <c r="AL14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0" s="259" t="str">
        <f>IFERROR(Table7[[#This Row],[No. of Defects Validated]]/SUMIFS(Table3[Hours Worked],Table3[Release Name],Table7[[#This Row],[Release Name]],Table3[Task Type],"Defect Validation")*9,"")</f>
        <v/>
      </c>
      <c r="AN140" s="258" t="str">
        <f>IFERROR((Table7[[#This Row],[No. of Valid  Internal Testing Defects]])/(Table7[[#This Row],[No. of Valid  Internal Testing Defects]]+Table7[[#This Row],[No. of Invalid Internal Testing Defects]]),"")</f>
        <v/>
      </c>
      <c r="AO140" s="258" t="str">
        <f>IFERROR(Table7[[#This Row],[No. of Valid External Testing Defects]]/(Table7[[#This Row],[No. of Valid External Testing Defects]]+Table7[[#This Row],[No. of Valid  Internal Testing Defects]]),"")</f>
        <v/>
      </c>
    </row>
    <row r="141" spans="2:41">
      <c r="B141" s="237"/>
      <c r="C141" s="14"/>
      <c r="D141" s="14"/>
      <c r="E141" s="14"/>
      <c r="F141" s="230" t="str">
        <f>IFERROR((Table47[[#This Row],[Initial No. of Requirements]]+Table47[[#This Row],[Modified Requirements( Added / Deleted /Modified)]])/Table47[[#This Row],[Initial No. of Requirements]],"")</f>
        <v/>
      </c>
      <c r="G14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1" s="249"/>
      <c r="J141" s="249"/>
      <c r="K141" s="250"/>
      <c r="L141" s="250"/>
      <c r="M141" s="250"/>
      <c r="N141" s="248"/>
      <c r="O141" s="248"/>
      <c r="P141" s="248"/>
      <c r="Q141" s="248"/>
      <c r="R141" s="248"/>
      <c r="S141" s="248"/>
      <c r="T141" s="248"/>
      <c r="U141" s="248"/>
      <c r="V141" s="248"/>
      <c r="W141" s="248"/>
      <c r="X141" s="248"/>
      <c r="Y141" s="248"/>
      <c r="Z141" s="248"/>
      <c r="AA141" s="248"/>
      <c r="AB141" s="13">
        <f>SUMIFS(Table3[Hours Worked],Table3[Release Name],Table7[[#This Row],[Release Name]],Table3[Task Type],"Testcase Creation")</f>
        <v>0</v>
      </c>
      <c r="AC141" s="255">
        <f>SUMIFS(Table3[Hours Worked],Table3[Release Name],Table7[[#This Row],[Release Name]],Table3[Task Type],"Testcase Execution")</f>
        <v>0</v>
      </c>
      <c r="AD14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1" s="256" t="str">
        <f>IFERROR((Table7[[#This Row],[No. of Valid Internal Review Defects]]+Table7[[#This Row],[No. of Valid  Internal Testing Defects]]+Table7[[#This Row],[No. of  Valid External Review Defects]]+Table7[[#This Row],[No. of Valid External Testing Defects]])/Table7[[#This Row],[Size]],"")</f>
        <v/>
      </c>
      <c r="AF141" s="257" t="str">
        <f>IFERROR(Table7[[#This Row],[No. of Valid Internal Review Defects]]/(Table7[[#This Row],[No. of Valid Internal Review Defects]]+Table7[[#This Row],[No. of  Valid External Review Defects]]+Table7[[#This Row],[No. of Valid  Internal Testing Defects]]+Table7[[#This Row],[No. of Valid External Testing Defects]]),"")</f>
        <v/>
      </c>
      <c r="AG141" s="258" t="str">
        <f>IFERROR(Table7[[#This Row],[No. of Valid Internal Review Defects]]/(Table7[[#This Row],[No. of Valid Internal Review Defects]]+Table7[[#This Row],[No. of  Valid External Review Defects]]+Table7[[#This Row],[No. of Valid External Testing Defects]]),"")</f>
        <v/>
      </c>
      <c r="AH141" s="256" t="str">
        <f>IFERROR(Table7[[#This Row],[No. of Valid  Internal Testing Defects]]/Table7[[#This Row],[Overall Actual Effort for the release]],"")</f>
        <v/>
      </c>
      <c r="AI141" s="256" t="str">
        <f>IFERROR(Table7[[#This Row],[No. of Valid  Internal Testing Defects]]/Table7[[#This Row],[No. of Testcases Executed]],"")</f>
        <v/>
      </c>
      <c r="AJ141" s="259" t="str">
        <f>IFERROR(IFERROR(Table7[[#This Row],[No. of Testcases Created]]/Table7[[#This Row],[Effort for Testcase Creation]],"")*9,"")</f>
        <v/>
      </c>
      <c r="AK141" s="256" t="str">
        <f>IFERROR((Table7[[#This Row],[No. of Testcases Executed]]/Table7[[#This Row],[Effort for Testcase Execution]])*9,"")</f>
        <v/>
      </c>
      <c r="AL14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1" s="259" t="str">
        <f>IFERROR(Table7[[#This Row],[No. of Defects Validated]]/SUMIFS(Table3[Hours Worked],Table3[Release Name],Table7[[#This Row],[Release Name]],Table3[Task Type],"Defect Validation")*9,"")</f>
        <v/>
      </c>
      <c r="AN141" s="258" t="str">
        <f>IFERROR((Table7[[#This Row],[No. of Valid  Internal Testing Defects]])/(Table7[[#This Row],[No. of Valid  Internal Testing Defects]]+Table7[[#This Row],[No. of Invalid Internal Testing Defects]]),"")</f>
        <v/>
      </c>
      <c r="AO141" s="258" t="str">
        <f>IFERROR(Table7[[#This Row],[No. of Valid External Testing Defects]]/(Table7[[#This Row],[No. of Valid External Testing Defects]]+Table7[[#This Row],[No. of Valid  Internal Testing Defects]]),"")</f>
        <v/>
      </c>
    </row>
    <row r="142" spans="2:41">
      <c r="B142" s="237"/>
      <c r="C142" s="14"/>
      <c r="D142" s="14"/>
      <c r="E142" s="14"/>
      <c r="F142" s="230" t="str">
        <f>IFERROR((Table47[[#This Row],[Initial No. of Requirements]]+Table47[[#This Row],[Modified Requirements( Added / Deleted /Modified)]])/Table47[[#This Row],[Initial No. of Requirements]],"")</f>
        <v/>
      </c>
      <c r="G14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2" s="249"/>
      <c r="J142" s="249"/>
      <c r="K142" s="250"/>
      <c r="L142" s="250"/>
      <c r="M142" s="250"/>
      <c r="N142" s="248"/>
      <c r="O142" s="248"/>
      <c r="P142" s="248"/>
      <c r="Q142" s="248"/>
      <c r="R142" s="248"/>
      <c r="S142" s="248"/>
      <c r="T142" s="248"/>
      <c r="U142" s="248"/>
      <c r="V142" s="248"/>
      <c r="W142" s="248"/>
      <c r="X142" s="248"/>
      <c r="Y142" s="248"/>
      <c r="Z142" s="248"/>
      <c r="AA142" s="248"/>
      <c r="AB142" s="13">
        <f>SUMIFS(Table3[Hours Worked],Table3[Release Name],Table7[[#This Row],[Release Name]],Table3[Task Type],"Testcase Creation")</f>
        <v>0</v>
      </c>
      <c r="AC142" s="255">
        <f>SUMIFS(Table3[Hours Worked],Table3[Release Name],Table7[[#This Row],[Release Name]],Table3[Task Type],"Testcase Execution")</f>
        <v>0</v>
      </c>
      <c r="AD14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2" s="256" t="str">
        <f>IFERROR((Table7[[#This Row],[No. of Valid Internal Review Defects]]+Table7[[#This Row],[No. of Valid  Internal Testing Defects]]+Table7[[#This Row],[No. of  Valid External Review Defects]]+Table7[[#This Row],[No. of Valid External Testing Defects]])/Table7[[#This Row],[Size]],"")</f>
        <v/>
      </c>
      <c r="AF142" s="257" t="str">
        <f>IFERROR(Table7[[#This Row],[No. of Valid Internal Review Defects]]/(Table7[[#This Row],[No. of Valid Internal Review Defects]]+Table7[[#This Row],[No. of  Valid External Review Defects]]+Table7[[#This Row],[No. of Valid  Internal Testing Defects]]+Table7[[#This Row],[No. of Valid External Testing Defects]]),"")</f>
        <v/>
      </c>
      <c r="AG142" s="258" t="str">
        <f>IFERROR(Table7[[#This Row],[No. of Valid Internal Review Defects]]/(Table7[[#This Row],[No. of Valid Internal Review Defects]]+Table7[[#This Row],[No. of  Valid External Review Defects]]+Table7[[#This Row],[No. of Valid External Testing Defects]]),"")</f>
        <v/>
      </c>
      <c r="AH142" s="256" t="str">
        <f>IFERROR(Table7[[#This Row],[No. of Valid  Internal Testing Defects]]/Table7[[#This Row],[Overall Actual Effort for the release]],"")</f>
        <v/>
      </c>
      <c r="AI142" s="256" t="str">
        <f>IFERROR(Table7[[#This Row],[No. of Valid  Internal Testing Defects]]/Table7[[#This Row],[No. of Testcases Executed]],"")</f>
        <v/>
      </c>
      <c r="AJ142" s="259" t="str">
        <f>IFERROR(IFERROR(Table7[[#This Row],[No. of Testcases Created]]/Table7[[#This Row],[Effort for Testcase Creation]],"")*9,"")</f>
        <v/>
      </c>
      <c r="AK142" s="256" t="str">
        <f>IFERROR((Table7[[#This Row],[No. of Testcases Executed]]/Table7[[#This Row],[Effort for Testcase Execution]])*9,"")</f>
        <v/>
      </c>
      <c r="AL14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2" s="259" t="str">
        <f>IFERROR(Table7[[#This Row],[No. of Defects Validated]]/SUMIFS(Table3[Hours Worked],Table3[Release Name],Table7[[#This Row],[Release Name]],Table3[Task Type],"Defect Validation")*9,"")</f>
        <v/>
      </c>
      <c r="AN142" s="258" t="str">
        <f>IFERROR((Table7[[#This Row],[No. of Valid  Internal Testing Defects]])/(Table7[[#This Row],[No. of Valid  Internal Testing Defects]]+Table7[[#This Row],[No. of Invalid Internal Testing Defects]]),"")</f>
        <v/>
      </c>
      <c r="AO142" s="258" t="str">
        <f>IFERROR(Table7[[#This Row],[No. of Valid External Testing Defects]]/(Table7[[#This Row],[No. of Valid External Testing Defects]]+Table7[[#This Row],[No. of Valid  Internal Testing Defects]]),"")</f>
        <v/>
      </c>
    </row>
    <row r="143" spans="2:41">
      <c r="B143" s="237"/>
      <c r="C143" s="14"/>
      <c r="D143" s="14"/>
      <c r="E143" s="14"/>
      <c r="F143" s="230" t="str">
        <f>IFERROR((Table47[[#This Row],[Initial No. of Requirements]]+Table47[[#This Row],[Modified Requirements( Added / Deleted /Modified)]])/Table47[[#This Row],[Initial No. of Requirements]],"")</f>
        <v/>
      </c>
      <c r="G14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3" s="249"/>
      <c r="J143" s="249"/>
      <c r="K143" s="250"/>
      <c r="L143" s="250"/>
      <c r="M143" s="250"/>
      <c r="N143" s="248"/>
      <c r="O143" s="248"/>
      <c r="P143" s="248"/>
      <c r="Q143" s="248"/>
      <c r="R143" s="248"/>
      <c r="S143" s="248"/>
      <c r="T143" s="248"/>
      <c r="U143" s="248"/>
      <c r="V143" s="248"/>
      <c r="W143" s="248"/>
      <c r="X143" s="248"/>
      <c r="Y143" s="248"/>
      <c r="Z143" s="248"/>
      <c r="AA143" s="248"/>
      <c r="AB143" s="13">
        <f>SUMIFS(Table3[Hours Worked],Table3[Release Name],Table7[[#This Row],[Release Name]],Table3[Task Type],"Testcase Creation")</f>
        <v>0</v>
      </c>
      <c r="AC143" s="255">
        <f>SUMIFS(Table3[Hours Worked],Table3[Release Name],Table7[[#This Row],[Release Name]],Table3[Task Type],"Testcase Execution")</f>
        <v>0</v>
      </c>
      <c r="AD14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3" s="256" t="str">
        <f>IFERROR((Table7[[#This Row],[No. of Valid Internal Review Defects]]+Table7[[#This Row],[No. of Valid  Internal Testing Defects]]+Table7[[#This Row],[No. of  Valid External Review Defects]]+Table7[[#This Row],[No. of Valid External Testing Defects]])/Table7[[#This Row],[Size]],"")</f>
        <v/>
      </c>
      <c r="AF143" s="257" t="str">
        <f>IFERROR(Table7[[#This Row],[No. of Valid Internal Review Defects]]/(Table7[[#This Row],[No. of Valid Internal Review Defects]]+Table7[[#This Row],[No. of  Valid External Review Defects]]+Table7[[#This Row],[No. of Valid  Internal Testing Defects]]+Table7[[#This Row],[No. of Valid External Testing Defects]]),"")</f>
        <v/>
      </c>
      <c r="AG143" s="258" t="str">
        <f>IFERROR(Table7[[#This Row],[No. of Valid Internal Review Defects]]/(Table7[[#This Row],[No. of Valid Internal Review Defects]]+Table7[[#This Row],[No. of  Valid External Review Defects]]+Table7[[#This Row],[No. of Valid External Testing Defects]]),"")</f>
        <v/>
      </c>
      <c r="AH143" s="256" t="str">
        <f>IFERROR(Table7[[#This Row],[No. of Valid  Internal Testing Defects]]/Table7[[#This Row],[Overall Actual Effort for the release]],"")</f>
        <v/>
      </c>
      <c r="AI143" s="256" t="str">
        <f>IFERROR(Table7[[#This Row],[No. of Valid  Internal Testing Defects]]/Table7[[#This Row],[No. of Testcases Executed]],"")</f>
        <v/>
      </c>
      <c r="AJ143" s="259" t="str">
        <f>IFERROR(IFERROR(Table7[[#This Row],[No. of Testcases Created]]/Table7[[#This Row],[Effort for Testcase Creation]],"")*9,"")</f>
        <v/>
      </c>
      <c r="AK143" s="256" t="str">
        <f>IFERROR((Table7[[#This Row],[No. of Testcases Executed]]/Table7[[#This Row],[Effort for Testcase Execution]])*9,"")</f>
        <v/>
      </c>
      <c r="AL14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3" s="259" t="str">
        <f>IFERROR(Table7[[#This Row],[No. of Defects Validated]]/SUMIFS(Table3[Hours Worked],Table3[Release Name],Table7[[#This Row],[Release Name]],Table3[Task Type],"Defect Validation")*9,"")</f>
        <v/>
      </c>
      <c r="AN143" s="258" t="str">
        <f>IFERROR((Table7[[#This Row],[No. of Valid  Internal Testing Defects]])/(Table7[[#This Row],[No. of Valid  Internal Testing Defects]]+Table7[[#This Row],[No. of Invalid Internal Testing Defects]]),"")</f>
        <v/>
      </c>
      <c r="AO143" s="258" t="str">
        <f>IFERROR(Table7[[#This Row],[No. of Valid External Testing Defects]]/(Table7[[#This Row],[No. of Valid External Testing Defects]]+Table7[[#This Row],[No. of Valid  Internal Testing Defects]]),"")</f>
        <v/>
      </c>
    </row>
    <row r="144" spans="2:41">
      <c r="B144" s="237"/>
      <c r="C144" s="14"/>
      <c r="D144" s="14"/>
      <c r="E144" s="14"/>
      <c r="F144" s="230" t="str">
        <f>IFERROR((Table47[[#This Row],[Initial No. of Requirements]]+Table47[[#This Row],[Modified Requirements( Added / Deleted /Modified)]])/Table47[[#This Row],[Initial No. of Requirements]],"")</f>
        <v/>
      </c>
      <c r="G14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4" s="249"/>
      <c r="J144" s="249"/>
      <c r="K144" s="250"/>
      <c r="L144" s="250"/>
      <c r="M144" s="250"/>
      <c r="N144" s="248"/>
      <c r="O144" s="248"/>
      <c r="P144" s="248"/>
      <c r="Q144" s="248"/>
      <c r="R144" s="248"/>
      <c r="S144" s="248"/>
      <c r="T144" s="248"/>
      <c r="U144" s="248"/>
      <c r="V144" s="248"/>
      <c r="W144" s="248"/>
      <c r="X144" s="248"/>
      <c r="Y144" s="248"/>
      <c r="Z144" s="248"/>
      <c r="AA144" s="248"/>
      <c r="AB144" s="13">
        <f>SUMIFS(Table3[Hours Worked],Table3[Release Name],Table7[[#This Row],[Release Name]],Table3[Task Type],"Testcase Creation")</f>
        <v>0</v>
      </c>
      <c r="AC144" s="255">
        <f>SUMIFS(Table3[Hours Worked],Table3[Release Name],Table7[[#This Row],[Release Name]],Table3[Task Type],"Testcase Execution")</f>
        <v>0</v>
      </c>
      <c r="AD14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4" s="256" t="str">
        <f>IFERROR((Table7[[#This Row],[No. of Valid Internal Review Defects]]+Table7[[#This Row],[No. of Valid  Internal Testing Defects]]+Table7[[#This Row],[No. of  Valid External Review Defects]]+Table7[[#This Row],[No. of Valid External Testing Defects]])/Table7[[#This Row],[Size]],"")</f>
        <v/>
      </c>
      <c r="AF144" s="257" t="str">
        <f>IFERROR(Table7[[#This Row],[No. of Valid Internal Review Defects]]/(Table7[[#This Row],[No. of Valid Internal Review Defects]]+Table7[[#This Row],[No. of  Valid External Review Defects]]+Table7[[#This Row],[No. of Valid  Internal Testing Defects]]+Table7[[#This Row],[No. of Valid External Testing Defects]]),"")</f>
        <v/>
      </c>
      <c r="AG144" s="258" t="str">
        <f>IFERROR(Table7[[#This Row],[No. of Valid Internal Review Defects]]/(Table7[[#This Row],[No. of Valid Internal Review Defects]]+Table7[[#This Row],[No. of  Valid External Review Defects]]+Table7[[#This Row],[No. of Valid External Testing Defects]]),"")</f>
        <v/>
      </c>
      <c r="AH144" s="256" t="str">
        <f>IFERROR(Table7[[#This Row],[No. of Valid  Internal Testing Defects]]/Table7[[#This Row],[Overall Actual Effort for the release]],"")</f>
        <v/>
      </c>
      <c r="AI144" s="256" t="str">
        <f>IFERROR(Table7[[#This Row],[No. of Valid  Internal Testing Defects]]/Table7[[#This Row],[No. of Testcases Executed]],"")</f>
        <v/>
      </c>
      <c r="AJ144" s="259" t="str">
        <f>IFERROR(IFERROR(Table7[[#This Row],[No. of Testcases Created]]/Table7[[#This Row],[Effort for Testcase Creation]],"")*9,"")</f>
        <v/>
      </c>
      <c r="AK144" s="256" t="str">
        <f>IFERROR((Table7[[#This Row],[No. of Testcases Executed]]/Table7[[#This Row],[Effort for Testcase Execution]])*9,"")</f>
        <v/>
      </c>
      <c r="AL14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4" s="259" t="str">
        <f>IFERROR(Table7[[#This Row],[No. of Defects Validated]]/SUMIFS(Table3[Hours Worked],Table3[Release Name],Table7[[#This Row],[Release Name]],Table3[Task Type],"Defect Validation")*9,"")</f>
        <v/>
      </c>
      <c r="AN144" s="258" t="str">
        <f>IFERROR((Table7[[#This Row],[No. of Valid  Internal Testing Defects]])/(Table7[[#This Row],[No. of Valid  Internal Testing Defects]]+Table7[[#This Row],[No. of Invalid Internal Testing Defects]]),"")</f>
        <v/>
      </c>
      <c r="AO144" s="258" t="str">
        <f>IFERROR(Table7[[#This Row],[No. of Valid External Testing Defects]]/(Table7[[#This Row],[No. of Valid External Testing Defects]]+Table7[[#This Row],[No. of Valid  Internal Testing Defects]]),"")</f>
        <v/>
      </c>
    </row>
    <row r="145" spans="2:41">
      <c r="B145" s="237"/>
      <c r="C145" s="14"/>
      <c r="D145" s="14"/>
      <c r="E145" s="14"/>
      <c r="F145" s="230" t="str">
        <f>IFERROR((Table47[[#This Row],[Initial No. of Requirements]]+Table47[[#This Row],[Modified Requirements( Added / Deleted /Modified)]])/Table47[[#This Row],[Initial No. of Requirements]],"")</f>
        <v/>
      </c>
      <c r="G14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5" s="249"/>
      <c r="J145" s="249"/>
      <c r="K145" s="250"/>
      <c r="L145" s="250"/>
      <c r="M145" s="250"/>
      <c r="N145" s="248"/>
      <c r="O145" s="248"/>
      <c r="P145" s="248"/>
      <c r="Q145" s="248"/>
      <c r="R145" s="248"/>
      <c r="S145" s="248"/>
      <c r="T145" s="248"/>
      <c r="U145" s="248"/>
      <c r="V145" s="248"/>
      <c r="W145" s="248"/>
      <c r="X145" s="248"/>
      <c r="Y145" s="248"/>
      <c r="Z145" s="248"/>
      <c r="AA145" s="248"/>
      <c r="AB145" s="13">
        <f>SUMIFS(Table3[Hours Worked],Table3[Release Name],Table7[[#This Row],[Release Name]],Table3[Task Type],"Testcase Creation")</f>
        <v>0</v>
      </c>
      <c r="AC145" s="255">
        <f>SUMIFS(Table3[Hours Worked],Table3[Release Name],Table7[[#This Row],[Release Name]],Table3[Task Type],"Testcase Execution")</f>
        <v>0</v>
      </c>
      <c r="AD14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5" s="256" t="str">
        <f>IFERROR((Table7[[#This Row],[No. of Valid Internal Review Defects]]+Table7[[#This Row],[No. of Valid  Internal Testing Defects]]+Table7[[#This Row],[No. of  Valid External Review Defects]]+Table7[[#This Row],[No. of Valid External Testing Defects]])/Table7[[#This Row],[Size]],"")</f>
        <v/>
      </c>
      <c r="AF145" s="257" t="str">
        <f>IFERROR(Table7[[#This Row],[No. of Valid Internal Review Defects]]/(Table7[[#This Row],[No. of Valid Internal Review Defects]]+Table7[[#This Row],[No. of  Valid External Review Defects]]+Table7[[#This Row],[No. of Valid  Internal Testing Defects]]+Table7[[#This Row],[No. of Valid External Testing Defects]]),"")</f>
        <v/>
      </c>
      <c r="AG145" s="258" t="str">
        <f>IFERROR(Table7[[#This Row],[No. of Valid Internal Review Defects]]/(Table7[[#This Row],[No. of Valid Internal Review Defects]]+Table7[[#This Row],[No. of  Valid External Review Defects]]+Table7[[#This Row],[No. of Valid External Testing Defects]]),"")</f>
        <v/>
      </c>
      <c r="AH145" s="256" t="str">
        <f>IFERROR(Table7[[#This Row],[No. of Valid  Internal Testing Defects]]/Table7[[#This Row],[Overall Actual Effort for the release]],"")</f>
        <v/>
      </c>
      <c r="AI145" s="256" t="str">
        <f>IFERROR(Table7[[#This Row],[No. of Valid  Internal Testing Defects]]/Table7[[#This Row],[No. of Testcases Executed]],"")</f>
        <v/>
      </c>
      <c r="AJ145" s="259" t="str">
        <f>IFERROR(IFERROR(Table7[[#This Row],[No. of Testcases Created]]/Table7[[#This Row],[Effort for Testcase Creation]],"")*9,"")</f>
        <v/>
      </c>
      <c r="AK145" s="256" t="str">
        <f>IFERROR((Table7[[#This Row],[No. of Testcases Executed]]/Table7[[#This Row],[Effort for Testcase Execution]])*9,"")</f>
        <v/>
      </c>
      <c r="AL14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5" s="259" t="str">
        <f>IFERROR(Table7[[#This Row],[No. of Defects Validated]]/SUMIFS(Table3[Hours Worked],Table3[Release Name],Table7[[#This Row],[Release Name]],Table3[Task Type],"Defect Validation")*9,"")</f>
        <v/>
      </c>
      <c r="AN145" s="258" t="str">
        <f>IFERROR((Table7[[#This Row],[No. of Valid  Internal Testing Defects]])/(Table7[[#This Row],[No. of Valid  Internal Testing Defects]]+Table7[[#This Row],[No. of Invalid Internal Testing Defects]]),"")</f>
        <v/>
      </c>
      <c r="AO145" s="258" t="str">
        <f>IFERROR(Table7[[#This Row],[No. of Valid External Testing Defects]]/(Table7[[#This Row],[No. of Valid External Testing Defects]]+Table7[[#This Row],[No. of Valid  Internal Testing Defects]]),"")</f>
        <v/>
      </c>
    </row>
    <row r="146" spans="2:41">
      <c r="B146" s="237"/>
      <c r="C146" s="14"/>
      <c r="D146" s="14"/>
      <c r="E146" s="14"/>
      <c r="F146" s="230" t="str">
        <f>IFERROR((Table47[[#This Row],[Initial No. of Requirements]]+Table47[[#This Row],[Modified Requirements( Added / Deleted /Modified)]])/Table47[[#This Row],[Initial No. of Requirements]],"")</f>
        <v/>
      </c>
      <c r="G14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6" s="249"/>
      <c r="J146" s="249"/>
      <c r="K146" s="250"/>
      <c r="L146" s="250"/>
      <c r="M146" s="250"/>
      <c r="N146" s="248"/>
      <c r="O146" s="248"/>
      <c r="P146" s="248"/>
      <c r="Q146" s="248"/>
      <c r="R146" s="248"/>
      <c r="S146" s="248"/>
      <c r="T146" s="248"/>
      <c r="U146" s="248"/>
      <c r="V146" s="248"/>
      <c r="W146" s="248"/>
      <c r="X146" s="248"/>
      <c r="Y146" s="248"/>
      <c r="Z146" s="248"/>
      <c r="AA146" s="248"/>
      <c r="AB146" s="13">
        <f>SUMIFS(Table3[Hours Worked],Table3[Release Name],Table7[[#This Row],[Release Name]],Table3[Task Type],"Testcase Creation")</f>
        <v>0</v>
      </c>
      <c r="AC146" s="255">
        <f>SUMIFS(Table3[Hours Worked],Table3[Release Name],Table7[[#This Row],[Release Name]],Table3[Task Type],"Testcase Execution")</f>
        <v>0</v>
      </c>
      <c r="AD14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6" s="256" t="str">
        <f>IFERROR((Table7[[#This Row],[No. of Valid Internal Review Defects]]+Table7[[#This Row],[No. of Valid  Internal Testing Defects]]+Table7[[#This Row],[No. of  Valid External Review Defects]]+Table7[[#This Row],[No. of Valid External Testing Defects]])/Table7[[#This Row],[Size]],"")</f>
        <v/>
      </c>
      <c r="AF146" s="257" t="str">
        <f>IFERROR(Table7[[#This Row],[No. of Valid Internal Review Defects]]/(Table7[[#This Row],[No. of Valid Internal Review Defects]]+Table7[[#This Row],[No. of  Valid External Review Defects]]+Table7[[#This Row],[No. of Valid  Internal Testing Defects]]+Table7[[#This Row],[No. of Valid External Testing Defects]]),"")</f>
        <v/>
      </c>
      <c r="AG146" s="258" t="str">
        <f>IFERROR(Table7[[#This Row],[No. of Valid Internal Review Defects]]/(Table7[[#This Row],[No. of Valid Internal Review Defects]]+Table7[[#This Row],[No. of  Valid External Review Defects]]+Table7[[#This Row],[No. of Valid External Testing Defects]]),"")</f>
        <v/>
      </c>
      <c r="AH146" s="256" t="str">
        <f>IFERROR(Table7[[#This Row],[No. of Valid  Internal Testing Defects]]/Table7[[#This Row],[Overall Actual Effort for the release]],"")</f>
        <v/>
      </c>
      <c r="AI146" s="256" t="str">
        <f>IFERROR(Table7[[#This Row],[No. of Valid  Internal Testing Defects]]/Table7[[#This Row],[No. of Testcases Executed]],"")</f>
        <v/>
      </c>
      <c r="AJ146" s="259" t="str">
        <f>IFERROR(IFERROR(Table7[[#This Row],[No. of Testcases Created]]/Table7[[#This Row],[Effort for Testcase Creation]],"")*9,"")</f>
        <v/>
      </c>
      <c r="AK146" s="256" t="str">
        <f>IFERROR((Table7[[#This Row],[No. of Testcases Executed]]/Table7[[#This Row],[Effort for Testcase Execution]])*9,"")</f>
        <v/>
      </c>
      <c r="AL14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6" s="259" t="str">
        <f>IFERROR(Table7[[#This Row],[No. of Defects Validated]]/SUMIFS(Table3[Hours Worked],Table3[Release Name],Table7[[#This Row],[Release Name]],Table3[Task Type],"Defect Validation")*9,"")</f>
        <v/>
      </c>
      <c r="AN146" s="258" t="str">
        <f>IFERROR((Table7[[#This Row],[No. of Valid  Internal Testing Defects]])/(Table7[[#This Row],[No. of Valid  Internal Testing Defects]]+Table7[[#This Row],[No. of Invalid Internal Testing Defects]]),"")</f>
        <v/>
      </c>
      <c r="AO146" s="258" t="str">
        <f>IFERROR(Table7[[#This Row],[No. of Valid External Testing Defects]]/(Table7[[#This Row],[No. of Valid External Testing Defects]]+Table7[[#This Row],[No. of Valid  Internal Testing Defects]]),"")</f>
        <v/>
      </c>
    </row>
    <row r="147" spans="2:41">
      <c r="B147" s="237"/>
      <c r="C147" s="14"/>
      <c r="D147" s="14"/>
      <c r="E147" s="14"/>
      <c r="F147" s="230" t="str">
        <f>IFERROR((Table47[[#This Row],[Initial No. of Requirements]]+Table47[[#This Row],[Modified Requirements( Added / Deleted /Modified)]])/Table47[[#This Row],[Initial No. of Requirements]],"")</f>
        <v/>
      </c>
      <c r="G14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7" s="249"/>
      <c r="J147" s="249"/>
      <c r="K147" s="250"/>
      <c r="L147" s="250"/>
      <c r="M147" s="250"/>
      <c r="N147" s="248"/>
      <c r="O147" s="248"/>
      <c r="P147" s="248"/>
      <c r="Q147" s="248"/>
      <c r="R147" s="248"/>
      <c r="S147" s="248"/>
      <c r="T147" s="248"/>
      <c r="U147" s="248"/>
      <c r="V147" s="248"/>
      <c r="W147" s="248"/>
      <c r="X147" s="248"/>
      <c r="Y147" s="248"/>
      <c r="Z147" s="248"/>
      <c r="AA147" s="248"/>
      <c r="AB147" s="13">
        <f>SUMIFS(Table3[Hours Worked],Table3[Release Name],Table7[[#This Row],[Release Name]],Table3[Task Type],"Testcase Creation")</f>
        <v>0</v>
      </c>
      <c r="AC147" s="255">
        <f>SUMIFS(Table3[Hours Worked],Table3[Release Name],Table7[[#This Row],[Release Name]],Table3[Task Type],"Testcase Execution")</f>
        <v>0</v>
      </c>
      <c r="AD14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7" s="256" t="str">
        <f>IFERROR((Table7[[#This Row],[No. of Valid Internal Review Defects]]+Table7[[#This Row],[No. of Valid  Internal Testing Defects]]+Table7[[#This Row],[No. of  Valid External Review Defects]]+Table7[[#This Row],[No. of Valid External Testing Defects]])/Table7[[#This Row],[Size]],"")</f>
        <v/>
      </c>
      <c r="AF147" s="257" t="str">
        <f>IFERROR(Table7[[#This Row],[No. of Valid Internal Review Defects]]/(Table7[[#This Row],[No. of Valid Internal Review Defects]]+Table7[[#This Row],[No. of  Valid External Review Defects]]+Table7[[#This Row],[No. of Valid  Internal Testing Defects]]+Table7[[#This Row],[No. of Valid External Testing Defects]]),"")</f>
        <v/>
      </c>
      <c r="AG147" s="258" t="str">
        <f>IFERROR(Table7[[#This Row],[No. of Valid Internal Review Defects]]/(Table7[[#This Row],[No. of Valid Internal Review Defects]]+Table7[[#This Row],[No. of  Valid External Review Defects]]+Table7[[#This Row],[No. of Valid External Testing Defects]]),"")</f>
        <v/>
      </c>
      <c r="AH147" s="256" t="str">
        <f>IFERROR(Table7[[#This Row],[No. of Valid  Internal Testing Defects]]/Table7[[#This Row],[Overall Actual Effort for the release]],"")</f>
        <v/>
      </c>
      <c r="AI147" s="256" t="str">
        <f>IFERROR(Table7[[#This Row],[No. of Valid  Internal Testing Defects]]/Table7[[#This Row],[No. of Testcases Executed]],"")</f>
        <v/>
      </c>
      <c r="AJ147" s="259" t="str">
        <f>IFERROR(IFERROR(Table7[[#This Row],[No. of Testcases Created]]/Table7[[#This Row],[Effort for Testcase Creation]],"")*9,"")</f>
        <v/>
      </c>
      <c r="AK147" s="256" t="str">
        <f>IFERROR((Table7[[#This Row],[No. of Testcases Executed]]/Table7[[#This Row],[Effort for Testcase Execution]])*9,"")</f>
        <v/>
      </c>
      <c r="AL14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7" s="259" t="str">
        <f>IFERROR(Table7[[#This Row],[No. of Defects Validated]]/SUMIFS(Table3[Hours Worked],Table3[Release Name],Table7[[#This Row],[Release Name]],Table3[Task Type],"Defect Validation")*9,"")</f>
        <v/>
      </c>
      <c r="AN147" s="258" t="str">
        <f>IFERROR((Table7[[#This Row],[No. of Valid  Internal Testing Defects]])/(Table7[[#This Row],[No. of Valid  Internal Testing Defects]]+Table7[[#This Row],[No. of Invalid Internal Testing Defects]]),"")</f>
        <v/>
      </c>
      <c r="AO147" s="258" t="str">
        <f>IFERROR(Table7[[#This Row],[No. of Valid External Testing Defects]]/(Table7[[#This Row],[No. of Valid External Testing Defects]]+Table7[[#This Row],[No. of Valid  Internal Testing Defects]]),"")</f>
        <v/>
      </c>
    </row>
    <row r="148" spans="2:41">
      <c r="B148" s="237"/>
      <c r="C148" s="14"/>
      <c r="D148" s="14"/>
      <c r="E148" s="14"/>
      <c r="F148" s="230" t="str">
        <f>IFERROR((Table47[[#This Row],[Initial No. of Requirements]]+Table47[[#This Row],[Modified Requirements( Added / Deleted /Modified)]])/Table47[[#This Row],[Initial No. of Requirements]],"")</f>
        <v/>
      </c>
      <c r="G14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8" s="249"/>
      <c r="J148" s="249"/>
      <c r="K148" s="250"/>
      <c r="L148" s="250"/>
      <c r="M148" s="250"/>
      <c r="N148" s="248"/>
      <c r="O148" s="248"/>
      <c r="P148" s="248"/>
      <c r="Q148" s="248"/>
      <c r="R148" s="248"/>
      <c r="S148" s="248"/>
      <c r="T148" s="248"/>
      <c r="U148" s="248"/>
      <c r="V148" s="248"/>
      <c r="W148" s="248"/>
      <c r="X148" s="248"/>
      <c r="Y148" s="248"/>
      <c r="Z148" s="248"/>
      <c r="AA148" s="248"/>
      <c r="AB148" s="13">
        <f>SUMIFS(Table3[Hours Worked],Table3[Release Name],Table7[[#This Row],[Release Name]],Table3[Task Type],"Testcase Creation")</f>
        <v>0</v>
      </c>
      <c r="AC148" s="255">
        <f>SUMIFS(Table3[Hours Worked],Table3[Release Name],Table7[[#This Row],[Release Name]],Table3[Task Type],"Testcase Execution")</f>
        <v>0</v>
      </c>
      <c r="AD14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8" s="256" t="str">
        <f>IFERROR((Table7[[#This Row],[No. of Valid Internal Review Defects]]+Table7[[#This Row],[No. of Valid  Internal Testing Defects]]+Table7[[#This Row],[No. of  Valid External Review Defects]]+Table7[[#This Row],[No. of Valid External Testing Defects]])/Table7[[#This Row],[Size]],"")</f>
        <v/>
      </c>
      <c r="AF148" s="257" t="str">
        <f>IFERROR(Table7[[#This Row],[No. of Valid Internal Review Defects]]/(Table7[[#This Row],[No. of Valid Internal Review Defects]]+Table7[[#This Row],[No. of  Valid External Review Defects]]+Table7[[#This Row],[No. of Valid  Internal Testing Defects]]+Table7[[#This Row],[No. of Valid External Testing Defects]]),"")</f>
        <v/>
      </c>
      <c r="AG148" s="258" t="str">
        <f>IFERROR(Table7[[#This Row],[No. of Valid Internal Review Defects]]/(Table7[[#This Row],[No. of Valid Internal Review Defects]]+Table7[[#This Row],[No. of  Valid External Review Defects]]+Table7[[#This Row],[No. of Valid External Testing Defects]]),"")</f>
        <v/>
      </c>
      <c r="AH148" s="256" t="str">
        <f>IFERROR(Table7[[#This Row],[No. of Valid  Internal Testing Defects]]/Table7[[#This Row],[Overall Actual Effort for the release]],"")</f>
        <v/>
      </c>
      <c r="AI148" s="256" t="str">
        <f>IFERROR(Table7[[#This Row],[No. of Valid  Internal Testing Defects]]/Table7[[#This Row],[No. of Testcases Executed]],"")</f>
        <v/>
      </c>
      <c r="AJ148" s="259" t="str">
        <f>IFERROR(IFERROR(Table7[[#This Row],[No. of Testcases Created]]/Table7[[#This Row],[Effort for Testcase Creation]],"")*9,"")</f>
        <v/>
      </c>
      <c r="AK148" s="256" t="str">
        <f>IFERROR((Table7[[#This Row],[No. of Testcases Executed]]/Table7[[#This Row],[Effort for Testcase Execution]])*9,"")</f>
        <v/>
      </c>
      <c r="AL14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8" s="259" t="str">
        <f>IFERROR(Table7[[#This Row],[No. of Defects Validated]]/SUMIFS(Table3[Hours Worked],Table3[Release Name],Table7[[#This Row],[Release Name]],Table3[Task Type],"Defect Validation")*9,"")</f>
        <v/>
      </c>
      <c r="AN148" s="258" t="str">
        <f>IFERROR((Table7[[#This Row],[No. of Valid  Internal Testing Defects]])/(Table7[[#This Row],[No. of Valid  Internal Testing Defects]]+Table7[[#This Row],[No. of Invalid Internal Testing Defects]]),"")</f>
        <v/>
      </c>
      <c r="AO148" s="258" t="str">
        <f>IFERROR(Table7[[#This Row],[No. of Valid External Testing Defects]]/(Table7[[#This Row],[No. of Valid External Testing Defects]]+Table7[[#This Row],[No. of Valid  Internal Testing Defects]]),"")</f>
        <v/>
      </c>
    </row>
    <row r="149" spans="2:41">
      <c r="B149" s="237"/>
      <c r="C149" s="14"/>
      <c r="D149" s="14"/>
      <c r="E149" s="14"/>
      <c r="F149" s="230" t="str">
        <f>IFERROR((Table47[[#This Row],[Initial No. of Requirements]]+Table47[[#This Row],[Modified Requirements( Added / Deleted /Modified)]])/Table47[[#This Row],[Initial No. of Requirements]],"")</f>
        <v/>
      </c>
      <c r="G14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49" s="249"/>
      <c r="J149" s="249"/>
      <c r="K149" s="250"/>
      <c r="L149" s="250"/>
      <c r="M149" s="250"/>
      <c r="N149" s="248"/>
      <c r="O149" s="248"/>
      <c r="P149" s="248"/>
      <c r="Q149" s="248"/>
      <c r="R149" s="248"/>
      <c r="S149" s="248"/>
      <c r="T149" s="248"/>
      <c r="U149" s="248"/>
      <c r="V149" s="248"/>
      <c r="W149" s="248"/>
      <c r="X149" s="248"/>
      <c r="Y149" s="248"/>
      <c r="Z149" s="248"/>
      <c r="AA149" s="248"/>
      <c r="AB149" s="13">
        <f>SUMIFS(Table3[Hours Worked],Table3[Release Name],Table7[[#This Row],[Release Name]],Table3[Task Type],"Testcase Creation")</f>
        <v>0</v>
      </c>
      <c r="AC149" s="255">
        <f>SUMIFS(Table3[Hours Worked],Table3[Release Name],Table7[[#This Row],[Release Name]],Table3[Task Type],"Testcase Execution")</f>
        <v>0</v>
      </c>
      <c r="AD14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49" s="256" t="str">
        <f>IFERROR((Table7[[#This Row],[No. of Valid Internal Review Defects]]+Table7[[#This Row],[No. of Valid  Internal Testing Defects]]+Table7[[#This Row],[No. of  Valid External Review Defects]]+Table7[[#This Row],[No. of Valid External Testing Defects]])/Table7[[#This Row],[Size]],"")</f>
        <v/>
      </c>
      <c r="AF149" s="257" t="str">
        <f>IFERROR(Table7[[#This Row],[No. of Valid Internal Review Defects]]/(Table7[[#This Row],[No. of Valid Internal Review Defects]]+Table7[[#This Row],[No. of  Valid External Review Defects]]+Table7[[#This Row],[No. of Valid  Internal Testing Defects]]+Table7[[#This Row],[No. of Valid External Testing Defects]]),"")</f>
        <v/>
      </c>
      <c r="AG149" s="258" t="str">
        <f>IFERROR(Table7[[#This Row],[No. of Valid Internal Review Defects]]/(Table7[[#This Row],[No. of Valid Internal Review Defects]]+Table7[[#This Row],[No. of  Valid External Review Defects]]+Table7[[#This Row],[No. of Valid External Testing Defects]]),"")</f>
        <v/>
      </c>
      <c r="AH149" s="256" t="str">
        <f>IFERROR(Table7[[#This Row],[No. of Valid  Internal Testing Defects]]/Table7[[#This Row],[Overall Actual Effort for the release]],"")</f>
        <v/>
      </c>
      <c r="AI149" s="256" t="str">
        <f>IFERROR(Table7[[#This Row],[No. of Valid  Internal Testing Defects]]/Table7[[#This Row],[No. of Testcases Executed]],"")</f>
        <v/>
      </c>
      <c r="AJ149" s="259" t="str">
        <f>IFERROR(IFERROR(Table7[[#This Row],[No. of Testcases Created]]/Table7[[#This Row],[Effort for Testcase Creation]],"")*9,"")</f>
        <v/>
      </c>
      <c r="AK149" s="256" t="str">
        <f>IFERROR((Table7[[#This Row],[No. of Testcases Executed]]/Table7[[#This Row],[Effort for Testcase Execution]])*9,"")</f>
        <v/>
      </c>
      <c r="AL14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49" s="259" t="str">
        <f>IFERROR(Table7[[#This Row],[No. of Defects Validated]]/SUMIFS(Table3[Hours Worked],Table3[Release Name],Table7[[#This Row],[Release Name]],Table3[Task Type],"Defect Validation")*9,"")</f>
        <v/>
      </c>
      <c r="AN149" s="258" t="str">
        <f>IFERROR((Table7[[#This Row],[No. of Valid  Internal Testing Defects]])/(Table7[[#This Row],[No. of Valid  Internal Testing Defects]]+Table7[[#This Row],[No. of Invalid Internal Testing Defects]]),"")</f>
        <v/>
      </c>
      <c r="AO149" s="258" t="str">
        <f>IFERROR(Table7[[#This Row],[No. of Valid External Testing Defects]]/(Table7[[#This Row],[No. of Valid External Testing Defects]]+Table7[[#This Row],[No. of Valid  Internal Testing Defects]]),"")</f>
        <v/>
      </c>
    </row>
    <row r="150" spans="2:41">
      <c r="B150" s="237"/>
      <c r="C150" s="14"/>
      <c r="D150" s="14"/>
      <c r="E150" s="14"/>
      <c r="F150" s="230" t="str">
        <f>IFERROR((Table47[[#This Row],[Initial No. of Requirements]]+Table47[[#This Row],[Modified Requirements( Added / Deleted /Modified)]])/Table47[[#This Row],[Initial No. of Requirements]],"")</f>
        <v/>
      </c>
      <c r="G15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0" s="249"/>
      <c r="J150" s="249"/>
      <c r="K150" s="250"/>
      <c r="L150" s="250"/>
      <c r="M150" s="250"/>
      <c r="N150" s="248"/>
      <c r="O150" s="248"/>
      <c r="P150" s="248"/>
      <c r="Q150" s="248"/>
      <c r="R150" s="248"/>
      <c r="S150" s="248"/>
      <c r="T150" s="248"/>
      <c r="U150" s="248"/>
      <c r="V150" s="248"/>
      <c r="W150" s="248"/>
      <c r="X150" s="248"/>
      <c r="Y150" s="248"/>
      <c r="Z150" s="248"/>
      <c r="AA150" s="248"/>
      <c r="AB150" s="13">
        <f>SUMIFS(Table3[Hours Worked],Table3[Release Name],Table7[[#This Row],[Release Name]],Table3[Task Type],"Testcase Creation")</f>
        <v>0</v>
      </c>
      <c r="AC150" s="255">
        <f>SUMIFS(Table3[Hours Worked],Table3[Release Name],Table7[[#This Row],[Release Name]],Table3[Task Type],"Testcase Execution")</f>
        <v>0</v>
      </c>
      <c r="AD15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0" s="256" t="str">
        <f>IFERROR((Table7[[#This Row],[No. of Valid Internal Review Defects]]+Table7[[#This Row],[No. of Valid  Internal Testing Defects]]+Table7[[#This Row],[No. of  Valid External Review Defects]]+Table7[[#This Row],[No. of Valid External Testing Defects]])/Table7[[#This Row],[Size]],"")</f>
        <v/>
      </c>
      <c r="AF150" s="257" t="str">
        <f>IFERROR(Table7[[#This Row],[No. of Valid Internal Review Defects]]/(Table7[[#This Row],[No. of Valid Internal Review Defects]]+Table7[[#This Row],[No. of  Valid External Review Defects]]+Table7[[#This Row],[No. of Valid  Internal Testing Defects]]+Table7[[#This Row],[No. of Valid External Testing Defects]]),"")</f>
        <v/>
      </c>
      <c r="AG150" s="258" t="str">
        <f>IFERROR(Table7[[#This Row],[No. of Valid Internal Review Defects]]/(Table7[[#This Row],[No. of Valid Internal Review Defects]]+Table7[[#This Row],[No. of  Valid External Review Defects]]+Table7[[#This Row],[No. of Valid External Testing Defects]]),"")</f>
        <v/>
      </c>
      <c r="AH150" s="256" t="str">
        <f>IFERROR(Table7[[#This Row],[No. of Valid  Internal Testing Defects]]/Table7[[#This Row],[Overall Actual Effort for the release]],"")</f>
        <v/>
      </c>
      <c r="AI150" s="256" t="str">
        <f>IFERROR(Table7[[#This Row],[No. of Valid  Internal Testing Defects]]/Table7[[#This Row],[No. of Testcases Executed]],"")</f>
        <v/>
      </c>
      <c r="AJ150" s="259" t="str">
        <f>IFERROR(IFERROR(Table7[[#This Row],[No. of Testcases Created]]/Table7[[#This Row],[Effort for Testcase Creation]],"")*9,"")</f>
        <v/>
      </c>
      <c r="AK150" s="256" t="str">
        <f>IFERROR((Table7[[#This Row],[No. of Testcases Executed]]/Table7[[#This Row],[Effort for Testcase Execution]])*9,"")</f>
        <v/>
      </c>
      <c r="AL15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0" s="259" t="str">
        <f>IFERROR(Table7[[#This Row],[No. of Defects Validated]]/SUMIFS(Table3[Hours Worked],Table3[Release Name],Table7[[#This Row],[Release Name]],Table3[Task Type],"Defect Validation")*9,"")</f>
        <v/>
      </c>
      <c r="AN150" s="258" t="str">
        <f>IFERROR((Table7[[#This Row],[No. of Valid  Internal Testing Defects]])/(Table7[[#This Row],[No. of Valid  Internal Testing Defects]]+Table7[[#This Row],[No. of Invalid Internal Testing Defects]]),"")</f>
        <v/>
      </c>
      <c r="AO150" s="258" t="str">
        <f>IFERROR(Table7[[#This Row],[No. of Valid External Testing Defects]]/(Table7[[#This Row],[No. of Valid External Testing Defects]]+Table7[[#This Row],[No. of Valid  Internal Testing Defects]]),"")</f>
        <v/>
      </c>
    </row>
    <row r="151" spans="2:41">
      <c r="B151" s="237"/>
      <c r="C151" s="14"/>
      <c r="D151" s="14"/>
      <c r="E151" s="14"/>
      <c r="F151" s="230" t="str">
        <f>IFERROR((Table47[[#This Row],[Initial No. of Requirements]]+Table47[[#This Row],[Modified Requirements( Added / Deleted /Modified)]])/Table47[[#This Row],[Initial No. of Requirements]],"")</f>
        <v/>
      </c>
      <c r="G15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1" s="249"/>
      <c r="J151" s="249"/>
      <c r="K151" s="250"/>
      <c r="L151" s="250"/>
      <c r="M151" s="250"/>
      <c r="N151" s="248"/>
      <c r="O151" s="248"/>
      <c r="P151" s="248"/>
      <c r="Q151" s="248"/>
      <c r="R151" s="248"/>
      <c r="S151" s="248"/>
      <c r="T151" s="248"/>
      <c r="U151" s="248"/>
      <c r="V151" s="248"/>
      <c r="W151" s="248"/>
      <c r="X151" s="248"/>
      <c r="Y151" s="248"/>
      <c r="Z151" s="248"/>
      <c r="AA151" s="248"/>
      <c r="AB151" s="13">
        <f>SUMIFS(Table3[Hours Worked],Table3[Release Name],Table7[[#This Row],[Release Name]],Table3[Task Type],"Testcase Creation")</f>
        <v>0</v>
      </c>
      <c r="AC151" s="255">
        <f>SUMIFS(Table3[Hours Worked],Table3[Release Name],Table7[[#This Row],[Release Name]],Table3[Task Type],"Testcase Execution")</f>
        <v>0</v>
      </c>
      <c r="AD15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1" s="256" t="str">
        <f>IFERROR((Table7[[#This Row],[No. of Valid Internal Review Defects]]+Table7[[#This Row],[No. of Valid  Internal Testing Defects]]+Table7[[#This Row],[No. of  Valid External Review Defects]]+Table7[[#This Row],[No. of Valid External Testing Defects]])/Table7[[#This Row],[Size]],"")</f>
        <v/>
      </c>
      <c r="AF151" s="257" t="str">
        <f>IFERROR(Table7[[#This Row],[No. of Valid Internal Review Defects]]/(Table7[[#This Row],[No. of Valid Internal Review Defects]]+Table7[[#This Row],[No. of  Valid External Review Defects]]+Table7[[#This Row],[No. of Valid  Internal Testing Defects]]+Table7[[#This Row],[No. of Valid External Testing Defects]]),"")</f>
        <v/>
      </c>
      <c r="AG151" s="258" t="str">
        <f>IFERROR(Table7[[#This Row],[No. of Valid Internal Review Defects]]/(Table7[[#This Row],[No. of Valid Internal Review Defects]]+Table7[[#This Row],[No. of  Valid External Review Defects]]+Table7[[#This Row],[No. of Valid External Testing Defects]]),"")</f>
        <v/>
      </c>
      <c r="AH151" s="256" t="str">
        <f>IFERROR(Table7[[#This Row],[No. of Valid  Internal Testing Defects]]/Table7[[#This Row],[Overall Actual Effort for the release]],"")</f>
        <v/>
      </c>
      <c r="AI151" s="256" t="str">
        <f>IFERROR(Table7[[#This Row],[No. of Valid  Internal Testing Defects]]/Table7[[#This Row],[No. of Testcases Executed]],"")</f>
        <v/>
      </c>
      <c r="AJ151" s="259" t="str">
        <f>IFERROR(IFERROR(Table7[[#This Row],[No. of Testcases Created]]/Table7[[#This Row],[Effort for Testcase Creation]],"")*9,"")</f>
        <v/>
      </c>
      <c r="AK151" s="256" t="str">
        <f>IFERROR((Table7[[#This Row],[No. of Testcases Executed]]/Table7[[#This Row],[Effort for Testcase Execution]])*9,"")</f>
        <v/>
      </c>
      <c r="AL15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1" s="259" t="str">
        <f>IFERROR(Table7[[#This Row],[No. of Defects Validated]]/SUMIFS(Table3[Hours Worked],Table3[Release Name],Table7[[#This Row],[Release Name]],Table3[Task Type],"Defect Validation")*9,"")</f>
        <v/>
      </c>
      <c r="AN151" s="258" t="str">
        <f>IFERROR((Table7[[#This Row],[No. of Valid  Internal Testing Defects]])/(Table7[[#This Row],[No. of Valid  Internal Testing Defects]]+Table7[[#This Row],[No. of Invalid Internal Testing Defects]]),"")</f>
        <v/>
      </c>
      <c r="AO151" s="258" t="str">
        <f>IFERROR(Table7[[#This Row],[No. of Valid External Testing Defects]]/(Table7[[#This Row],[No. of Valid External Testing Defects]]+Table7[[#This Row],[No. of Valid  Internal Testing Defects]]),"")</f>
        <v/>
      </c>
    </row>
    <row r="152" spans="2:41">
      <c r="B152" s="237"/>
      <c r="C152" s="14"/>
      <c r="D152" s="14"/>
      <c r="E152" s="14"/>
      <c r="F152" s="230" t="str">
        <f>IFERROR((Table47[[#This Row],[Initial No. of Requirements]]+Table47[[#This Row],[Modified Requirements( Added / Deleted /Modified)]])/Table47[[#This Row],[Initial No. of Requirements]],"")</f>
        <v/>
      </c>
      <c r="G15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2" s="249"/>
      <c r="J152" s="249"/>
      <c r="K152" s="250"/>
      <c r="L152" s="250"/>
      <c r="M152" s="250"/>
      <c r="N152" s="248"/>
      <c r="O152" s="248"/>
      <c r="P152" s="248"/>
      <c r="Q152" s="248"/>
      <c r="R152" s="248"/>
      <c r="S152" s="248"/>
      <c r="T152" s="248"/>
      <c r="U152" s="248"/>
      <c r="V152" s="248"/>
      <c r="W152" s="248"/>
      <c r="X152" s="248"/>
      <c r="Y152" s="248"/>
      <c r="Z152" s="248"/>
      <c r="AA152" s="248"/>
      <c r="AB152" s="13">
        <f>SUMIFS(Table3[Hours Worked],Table3[Release Name],Table7[[#This Row],[Release Name]],Table3[Task Type],"Testcase Creation")</f>
        <v>0</v>
      </c>
      <c r="AC152" s="255">
        <f>SUMIFS(Table3[Hours Worked],Table3[Release Name],Table7[[#This Row],[Release Name]],Table3[Task Type],"Testcase Execution")</f>
        <v>0</v>
      </c>
      <c r="AD15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2" s="256" t="str">
        <f>IFERROR((Table7[[#This Row],[No. of Valid Internal Review Defects]]+Table7[[#This Row],[No. of Valid  Internal Testing Defects]]+Table7[[#This Row],[No. of  Valid External Review Defects]]+Table7[[#This Row],[No. of Valid External Testing Defects]])/Table7[[#This Row],[Size]],"")</f>
        <v/>
      </c>
      <c r="AF152" s="257" t="str">
        <f>IFERROR(Table7[[#This Row],[No. of Valid Internal Review Defects]]/(Table7[[#This Row],[No. of Valid Internal Review Defects]]+Table7[[#This Row],[No. of  Valid External Review Defects]]+Table7[[#This Row],[No. of Valid  Internal Testing Defects]]+Table7[[#This Row],[No. of Valid External Testing Defects]]),"")</f>
        <v/>
      </c>
      <c r="AG152" s="258" t="str">
        <f>IFERROR(Table7[[#This Row],[No. of Valid Internal Review Defects]]/(Table7[[#This Row],[No. of Valid Internal Review Defects]]+Table7[[#This Row],[No. of  Valid External Review Defects]]+Table7[[#This Row],[No. of Valid External Testing Defects]]),"")</f>
        <v/>
      </c>
      <c r="AH152" s="256" t="str">
        <f>IFERROR(Table7[[#This Row],[No. of Valid  Internal Testing Defects]]/Table7[[#This Row],[Overall Actual Effort for the release]],"")</f>
        <v/>
      </c>
      <c r="AI152" s="256" t="str">
        <f>IFERROR(Table7[[#This Row],[No. of Valid  Internal Testing Defects]]/Table7[[#This Row],[No. of Testcases Executed]],"")</f>
        <v/>
      </c>
      <c r="AJ152" s="259" t="str">
        <f>IFERROR(IFERROR(Table7[[#This Row],[No. of Testcases Created]]/Table7[[#This Row],[Effort for Testcase Creation]],"")*9,"")</f>
        <v/>
      </c>
      <c r="AK152" s="256" t="str">
        <f>IFERROR((Table7[[#This Row],[No. of Testcases Executed]]/Table7[[#This Row],[Effort for Testcase Execution]])*9,"")</f>
        <v/>
      </c>
      <c r="AL15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2" s="259" t="str">
        <f>IFERROR(Table7[[#This Row],[No. of Defects Validated]]/SUMIFS(Table3[Hours Worked],Table3[Release Name],Table7[[#This Row],[Release Name]],Table3[Task Type],"Defect Validation")*9,"")</f>
        <v/>
      </c>
      <c r="AN152" s="258" t="str">
        <f>IFERROR((Table7[[#This Row],[No. of Valid  Internal Testing Defects]])/(Table7[[#This Row],[No. of Valid  Internal Testing Defects]]+Table7[[#This Row],[No. of Invalid Internal Testing Defects]]),"")</f>
        <v/>
      </c>
      <c r="AO152" s="258" t="str">
        <f>IFERROR(Table7[[#This Row],[No. of Valid External Testing Defects]]/(Table7[[#This Row],[No. of Valid External Testing Defects]]+Table7[[#This Row],[No. of Valid  Internal Testing Defects]]),"")</f>
        <v/>
      </c>
    </row>
    <row r="153" spans="2:41">
      <c r="B153" s="237"/>
      <c r="C153" s="14"/>
      <c r="D153" s="14"/>
      <c r="E153" s="14"/>
      <c r="F153" s="230" t="str">
        <f>IFERROR((Table47[[#This Row],[Initial No. of Requirements]]+Table47[[#This Row],[Modified Requirements( Added / Deleted /Modified)]])/Table47[[#This Row],[Initial No. of Requirements]],"")</f>
        <v/>
      </c>
      <c r="G15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3" s="249"/>
      <c r="J153" s="249"/>
      <c r="K153" s="250"/>
      <c r="L153" s="250"/>
      <c r="M153" s="250"/>
      <c r="N153" s="248"/>
      <c r="O153" s="248"/>
      <c r="P153" s="248"/>
      <c r="Q153" s="248"/>
      <c r="R153" s="248"/>
      <c r="S153" s="248"/>
      <c r="T153" s="248"/>
      <c r="U153" s="248"/>
      <c r="V153" s="248"/>
      <c r="W153" s="248"/>
      <c r="X153" s="248"/>
      <c r="Y153" s="248"/>
      <c r="Z153" s="248"/>
      <c r="AA153" s="248"/>
      <c r="AB153" s="13">
        <f>SUMIFS(Table3[Hours Worked],Table3[Release Name],Table7[[#This Row],[Release Name]],Table3[Task Type],"Testcase Creation")</f>
        <v>0</v>
      </c>
      <c r="AC153" s="255">
        <f>SUMIFS(Table3[Hours Worked],Table3[Release Name],Table7[[#This Row],[Release Name]],Table3[Task Type],"Testcase Execution")</f>
        <v>0</v>
      </c>
      <c r="AD15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3" s="256" t="str">
        <f>IFERROR((Table7[[#This Row],[No. of Valid Internal Review Defects]]+Table7[[#This Row],[No. of Valid  Internal Testing Defects]]+Table7[[#This Row],[No. of  Valid External Review Defects]]+Table7[[#This Row],[No. of Valid External Testing Defects]])/Table7[[#This Row],[Size]],"")</f>
        <v/>
      </c>
      <c r="AF153" s="257" t="str">
        <f>IFERROR(Table7[[#This Row],[No. of Valid Internal Review Defects]]/(Table7[[#This Row],[No. of Valid Internal Review Defects]]+Table7[[#This Row],[No. of  Valid External Review Defects]]+Table7[[#This Row],[No. of Valid  Internal Testing Defects]]+Table7[[#This Row],[No. of Valid External Testing Defects]]),"")</f>
        <v/>
      </c>
      <c r="AG153" s="258" t="str">
        <f>IFERROR(Table7[[#This Row],[No. of Valid Internal Review Defects]]/(Table7[[#This Row],[No. of Valid Internal Review Defects]]+Table7[[#This Row],[No. of  Valid External Review Defects]]+Table7[[#This Row],[No. of Valid External Testing Defects]]),"")</f>
        <v/>
      </c>
      <c r="AH153" s="256" t="str">
        <f>IFERROR(Table7[[#This Row],[No. of Valid  Internal Testing Defects]]/Table7[[#This Row],[Overall Actual Effort for the release]],"")</f>
        <v/>
      </c>
      <c r="AI153" s="256" t="str">
        <f>IFERROR(Table7[[#This Row],[No. of Valid  Internal Testing Defects]]/Table7[[#This Row],[No. of Testcases Executed]],"")</f>
        <v/>
      </c>
      <c r="AJ153" s="259" t="str">
        <f>IFERROR(IFERROR(Table7[[#This Row],[No. of Testcases Created]]/Table7[[#This Row],[Effort for Testcase Creation]],"")*9,"")</f>
        <v/>
      </c>
      <c r="AK153" s="256" t="str">
        <f>IFERROR((Table7[[#This Row],[No. of Testcases Executed]]/Table7[[#This Row],[Effort for Testcase Execution]])*9,"")</f>
        <v/>
      </c>
      <c r="AL15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3" s="259" t="str">
        <f>IFERROR(Table7[[#This Row],[No. of Defects Validated]]/SUMIFS(Table3[Hours Worked],Table3[Release Name],Table7[[#This Row],[Release Name]],Table3[Task Type],"Defect Validation")*9,"")</f>
        <v/>
      </c>
      <c r="AN153" s="258" t="str">
        <f>IFERROR((Table7[[#This Row],[No. of Valid  Internal Testing Defects]])/(Table7[[#This Row],[No. of Valid  Internal Testing Defects]]+Table7[[#This Row],[No. of Invalid Internal Testing Defects]]),"")</f>
        <v/>
      </c>
      <c r="AO153" s="258" t="str">
        <f>IFERROR(Table7[[#This Row],[No. of Valid External Testing Defects]]/(Table7[[#This Row],[No. of Valid External Testing Defects]]+Table7[[#This Row],[No. of Valid  Internal Testing Defects]]),"")</f>
        <v/>
      </c>
    </row>
    <row r="154" spans="2:41">
      <c r="B154" s="237"/>
      <c r="C154" s="14"/>
      <c r="D154" s="14"/>
      <c r="E154" s="14"/>
      <c r="F154" s="230" t="str">
        <f>IFERROR((Table47[[#This Row],[Initial No. of Requirements]]+Table47[[#This Row],[Modified Requirements( Added / Deleted /Modified)]])/Table47[[#This Row],[Initial No. of Requirements]],"")</f>
        <v/>
      </c>
      <c r="G15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4" s="249"/>
      <c r="J154" s="249"/>
      <c r="K154" s="250"/>
      <c r="L154" s="250"/>
      <c r="M154" s="250"/>
      <c r="N154" s="248"/>
      <c r="O154" s="248"/>
      <c r="P154" s="248"/>
      <c r="Q154" s="248"/>
      <c r="R154" s="248"/>
      <c r="S154" s="248"/>
      <c r="T154" s="248"/>
      <c r="U154" s="248"/>
      <c r="V154" s="248"/>
      <c r="W154" s="248"/>
      <c r="X154" s="248"/>
      <c r="Y154" s="248"/>
      <c r="Z154" s="248"/>
      <c r="AA154" s="248"/>
      <c r="AB154" s="13">
        <f>SUMIFS(Table3[Hours Worked],Table3[Release Name],Table7[[#This Row],[Release Name]],Table3[Task Type],"Testcase Creation")</f>
        <v>0</v>
      </c>
      <c r="AC154" s="255">
        <f>SUMIFS(Table3[Hours Worked],Table3[Release Name],Table7[[#This Row],[Release Name]],Table3[Task Type],"Testcase Execution")</f>
        <v>0</v>
      </c>
      <c r="AD15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4" s="256" t="str">
        <f>IFERROR((Table7[[#This Row],[No. of Valid Internal Review Defects]]+Table7[[#This Row],[No. of Valid  Internal Testing Defects]]+Table7[[#This Row],[No. of  Valid External Review Defects]]+Table7[[#This Row],[No. of Valid External Testing Defects]])/Table7[[#This Row],[Size]],"")</f>
        <v/>
      </c>
      <c r="AF154" s="257" t="str">
        <f>IFERROR(Table7[[#This Row],[No. of Valid Internal Review Defects]]/(Table7[[#This Row],[No. of Valid Internal Review Defects]]+Table7[[#This Row],[No. of  Valid External Review Defects]]+Table7[[#This Row],[No. of Valid  Internal Testing Defects]]+Table7[[#This Row],[No. of Valid External Testing Defects]]),"")</f>
        <v/>
      </c>
      <c r="AG154" s="258" t="str">
        <f>IFERROR(Table7[[#This Row],[No. of Valid Internal Review Defects]]/(Table7[[#This Row],[No. of Valid Internal Review Defects]]+Table7[[#This Row],[No. of  Valid External Review Defects]]+Table7[[#This Row],[No. of Valid External Testing Defects]]),"")</f>
        <v/>
      </c>
      <c r="AH154" s="256" t="str">
        <f>IFERROR(Table7[[#This Row],[No. of Valid  Internal Testing Defects]]/Table7[[#This Row],[Overall Actual Effort for the release]],"")</f>
        <v/>
      </c>
      <c r="AI154" s="256" t="str">
        <f>IFERROR(Table7[[#This Row],[No. of Valid  Internal Testing Defects]]/Table7[[#This Row],[No. of Testcases Executed]],"")</f>
        <v/>
      </c>
      <c r="AJ154" s="259" t="str">
        <f>IFERROR(IFERROR(Table7[[#This Row],[No. of Testcases Created]]/Table7[[#This Row],[Effort for Testcase Creation]],"")*9,"")</f>
        <v/>
      </c>
      <c r="AK154" s="256" t="str">
        <f>IFERROR((Table7[[#This Row],[No. of Testcases Executed]]/Table7[[#This Row],[Effort for Testcase Execution]])*9,"")</f>
        <v/>
      </c>
      <c r="AL15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4" s="259" t="str">
        <f>IFERROR(Table7[[#This Row],[No. of Defects Validated]]/SUMIFS(Table3[Hours Worked],Table3[Release Name],Table7[[#This Row],[Release Name]],Table3[Task Type],"Defect Validation")*9,"")</f>
        <v/>
      </c>
      <c r="AN154" s="258" t="str">
        <f>IFERROR((Table7[[#This Row],[No. of Valid  Internal Testing Defects]])/(Table7[[#This Row],[No. of Valid  Internal Testing Defects]]+Table7[[#This Row],[No. of Invalid Internal Testing Defects]]),"")</f>
        <v/>
      </c>
      <c r="AO154" s="258" t="str">
        <f>IFERROR(Table7[[#This Row],[No. of Valid External Testing Defects]]/(Table7[[#This Row],[No. of Valid External Testing Defects]]+Table7[[#This Row],[No. of Valid  Internal Testing Defects]]),"")</f>
        <v/>
      </c>
    </row>
    <row r="155" spans="2:41">
      <c r="B155" s="237"/>
      <c r="C155" s="14"/>
      <c r="D155" s="14"/>
      <c r="E155" s="14"/>
      <c r="F155" s="230" t="str">
        <f>IFERROR((Table47[[#This Row],[Initial No. of Requirements]]+Table47[[#This Row],[Modified Requirements( Added / Deleted /Modified)]])/Table47[[#This Row],[Initial No. of Requirements]],"")</f>
        <v/>
      </c>
      <c r="G15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5" s="249"/>
      <c r="J155" s="249"/>
      <c r="K155" s="250"/>
      <c r="L155" s="250"/>
      <c r="M155" s="250"/>
      <c r="N155" s="248"/>
      <c r="O155" s="248"/>
      <c r="P155" s="248"/>
      <c r="Q155" s="248"/>
      <c r="R155" s="248"/>
      <c r="S155" s="248"/>
      <c r="T155" s="248"/>
      <c r="U155" s="248"/>
      <c r="V155" s="248"/>
      <c r="W155" s="248"/>
      <c r="X155" s="248"/>
      <c r="Y155" s="248"/>
      <c r="Z155" s="248"/>
      <c r="AA155" s="248"/>
      <c r="AB155" s="13">
        <f>SUMIFS(Table3[Hours Worked],Table3[Release Name],Table7[[#This Row],[Release Name]],Table3[Task Type],"Testcase Creation")</f>
        <v>0</v>
      </c>
      <c r="AC155" s="255">
        <f>SUMIFS(Table3[Hours Worked],Table3[Release Name],Table7[[#This Row],[Release Name]],Table3[Task Type],"Testcase Execution")</f>
        <v>0</v>
      </c>
      <c r="AD15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5" s="256" t="str">
        <f>IFERROR((Table7[[#This Row],[No. of Valid Internal Review Defects]]+Table7[[#This Row],[No. of Valid  Internal Testing Defects]]+Table7[[#This Row],[No. of  Valid External Review Defects]]+Table7[[#This Row],[No. of Valid External Testing Defects]])/Table7[[#This Row],[Size]],"")</f>
        <v/>
      </c>
      <c r="AF155" s="257" t="str">
        <f>IFERROR(Table7[[#This Row],[No. of Valid Internal Review Defects]]/(Table7[[#This Row],[No. of Valid Internal Review Defects]]+Table7[[#This Row],[No. of  Valid External Review Defects]]+Table7[[#This Row],[No. of Valid  Internal Testing Defects]]+Table7[[#This Row],[No. of Valid External Testing Defects]]),"")</f>
        <v/>
      </c>
      <c r="AG155" s="258" t="str">
        <f>IFERROR(Table7[[#This Row],[No. of Valid Internal Review Defects]]/(Table7[[#This Row],[No. of Valid Internal Review Defects]]+Table7[[#This Row],[No. of  Valid External Review Defects]]+Table7[[#This Row],[No. of Valid External Testing Defects]]),"")</f>
        <v/>
      </c>
      <c r="AH155" s="256" t="str">
        <f>IFERROR(Table7[[#This Row],[No. of Valid  Internal Testing Defects]]/Table7[[#This Row],[Overall Actual Effort for the release]],"")</f>
        <v/>
      </c>
      <c r="AI155" s="256" t="str">
        <f>IFERROR(Table7[[#This Row],[No. of Valid  Internal Testing Defects]]/Table7[[#This Row],[No. of Testcases Executed]],"")</f>
        <v/>
      </c>
      <c r="AJ155" s="259" t="str">
        <f>IFERROR(IFERROR(Table7[[#This Row],[No. of Testcases Created]]/Table7[[#This Row],[Effort for Testcase Creation]],"")*9,"")</f>
        <v/>
      </c>
      <c r="AK155" s="256" t="str">
        <f>IFERROR((Table7[[#This Row],[No. of Testcases Executed]]/Table7[[#This Row],[Effort for Testcase Execution]])*9,"")</f>
        <v/>
      </c>
      <c r="AL15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5" s="259" t="str">
        <f>IFERROR(Table7[[#This Row],[No. of Defects Validated]]/SUMIFS(Table3[Hours Worked],Table3[Release Name],Table7[[#This Row],[Release Name]],Table3[Task Type],"Defect Validation")*9,"")</f>
        <v/>
      </c>
      <c r="AN155" s="258" t="str">
        <f>IFERROR((Table7[[#This Row],[No. of Valid  Internal Testing Defects]])/(Table7[[#This Row],[No. of Valid  Internal Testing Defects]]+Table7[[#This Row],[No. of Invalid Internal Testing Defects]]),"")</f>
        <v/>
      </c>
      <c r="AO155" s="258" t="str">
        <f>IFERROR(Table7[[#This Row],[No. of Valid External Testing Defects]]/(Table7[[#This Row],[No. of Valid External Testing Defects]]+Table7[[#This Row],[No. of Valid  Internal Testing Defects]]),"")</f>
        <v/>
      </c>
    </row>
    <row r="156" spans="2:41">
      <c r="B156" s="237"/>
      <c r="C156" s="14"/>
      <c r="D156" s="14"/>
      <c r="E156" s="14"/>
      <c r="F156" s="230" t="str">
        <f>IFERROR((Table47[[#This Row],[Initial No. of Requirements]]+Table47[[#This Row],[Modified Requirements( Added / Deleted /Modified)]])/Table47[[#This Row],[Initial No. of Requirements]],"")</f>
        <v/>
      </c>
      <c r="G15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6" s="249"/>
      <c r="J156" s="249"/>
      <c r="K156" s="250"/>
      <c r="L156" s="250"/>
      <c r="M156" s="250"/>
      <c r="N156" s="248"/>
      <c r="O156" s="248"/>
      <c r="P156" s="248"/>
      <c r="Q156" s="248"/>
      <c r="R156" s="248"/>
      <c r="S156" s="248"/>
      <c r="T156" s="248"/>
      <c r="U156" s="248"/>
      <c r="V156" s="248"/>
      <c r="W156" s="248"/>
      <c r="X156" s="248"/>
      <c r="Y156" s="248"/>
      <c r="Z156" s="248"/>
      <c r="AA156" s="248"/>
      <c r="AB156" s="13">
        <f>SUMIFS(Table3[Hours Worked],Table3[Release Name],Table7[[#This Row],[Release Name]],Table3[Task Type],"Testcase Creation")</f>
        <v>0</v>
      </c>
      <c r="AC156" s="255">
        <f>SUMIFS(Table3[Hours Worked],Table3[Release Name],Table7[[#This Row],[Release Name]],Table3[Task Type],"Testcase Execution")</f>
        <v>0</v>
      </c>
      <c r="AD15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6" s="256" t="str">
        <f>IFERROR((Table7[[#This Row],[No. of Valid Internal Review Defects]]+Table7[[#This Row],[No. of Valid  Internal Testing Defects]]+Table7[[#This Row],[No. of  Valid External Review Defects]]+Table7[[#This Row],[No. of Valid External Testing Defects]])/Table7[[#This Row],[Size]],"")</f>
        <v/>
      </c>
      <c r="AF156" s="257" t="str">
        <f>IFERROR(Table7[[#This Row],[No. of Valid Internal Review Defects]]/(Table7[[#This Row],[No. of Valid Internal Review Defects]]+Table7[[#This Row],[No. of  Valid External Review Defects]]+Table7[[#This Row],[No. of Valid  Internal Testing Defects]]+Table7[[#This Row],[No. of Valid External Testing Defects]]),"")</f>
        <v/>
      </c>
      <c r="AG156" s="258" t="str">
        <f>IFERROR(Table7[[#This Row],[No. of Valid Internal Review Defects]]/(Table7[[#This Row],[No. of Valid Internal Review Defects]]+Table7[[#This Row],[No. of  Valid External Review Defects]]+Table7[[#This Row],[No. of Valid External Testing Defects]]),"")</f>
        <v/>
      </c>
      <c r="AH156" s="256" t="str">
        <f>IFERROR(Table7[[#This Row],[No. of Valid  Internal Testing Defects]]/Table7[[#This Row],[Overall Actual Effort for the release]],"")</f>
        <v/>
      </c>
      <c r="AI156" s="256" t="str">
        <f>IFERROR(Table7[[#This Row],[No. of Valid  Internal Testing Defects]]/Table7[[#This Row],[No. of Testcases Executed]],"")</f>
        <v/>
      </c>
      <c r="AJ156" s="259" t="str">
        <f>IFERROR(IFERROR(Table7[[#This Row],[No. of Testcases Created]]/Table7[[#This Row],[Effort for Testcase Creation]],"")*9,"")</f>
        <v/>
      </c>
      <c r="AK156" s="256" t="str">
        <f>IFERROR((Table7[[#This Row],[No. of Testcases Executed]]/Table7[[#This Row],[Effort for Testcase Execution]])*9,"")</f>
        <v/>
      </c>
      <c r="AL15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6" s="259" t="str">
        <f>IFERROR(Table7[[#This Row],[No. of Defects Validated]]/SUMIFS(Table3[Hours Worked],Table3[Release Name],Table7[[#This Row],[Release Name]],Table3[Task Type],"Defect Validation")*9,"")</f>
        <v/>
      </c>
      <c r="AN156" s="258" t="str">
        <f>IFERROR((Table7[[#This Row],[No. of Valid  Internal Testing Defects]])/(Table7[[#This Row],[No. of Valid  Internal Testing Defects]]+Table7[[#This Row],[No. of Invalid Internal Testing Defects]]),"")</f>
        <v/>
      </c>
      <c r="AO156" s="258" t="str">
        <f>IFERROR(Table7[[#This Row],[No. of Valid External Testing Defects]]/(Table7[[#This Row],[No. of Valid External Testing Defects]]+Table7[[#This Row],[No. of Valid  Internal Testing Defects]]),"")</f>
        <v/>
      </c>
    </row>
    <row r="157" spans="2:41">
      <c r="B157" s="237"/>
      <c r="C157" s="14"/>
      <c r="D157" s="14"/>
      <c r="E157" s="14"/>
      <c r="F157" s="230" t="str">
        <f>IFERROR((Table47[[#This Row],[Initial No. of Requirements]]+Table47[[#This Row],[Modified Requirements( Added / Deleted /Modified)]])/Table47[[#This Row],[Initial No. of Requirements]],"")</f>
        <v/>
      </c>
      <c r="G15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7" s="249"/>
      <c r="J157" s="249"/>
      <c r="K157" s="250"/>
      <c r="L157" s="250"/>
      <c r="M157" s="250"/>
      <c r="N157" s="248">
        <f>SUMIFS(Table1[Size],Table1[Release Name],[2]!Table7[Release Name])</f>
        <v>0</v>
      </c>
      <c r="O157" s="248"/>
      <c r="P15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57" s="248"/>
      <c r="R15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57" s="248"/>
      <c r="T157" s="248"/>
      <c r="U157" s="248"/>
      <c r="V157" s="248"/>
      <c r="W157" s="248"/>
      <c r="X157" s="248"/>
      <c r="Y157" s="248"/>
      <c r="Z157" s="248"/>
      <c r="AA157" s="248"/>
      <c r="AB157" s="13">
        <f>SUMIFS(Table3[Hours Worked],Table3[Release Name],Table7[[#This Row],[Release Name]],Table3[Task Type],"Testcase Creation")</f>
        <v>0</v>
      </c>
      <c r="AC157" s="255">
        <f>SUMIFS(Table3[Hours Worked],Table3[Release Name],Table7[[#This Row],[Release Name]],Table3[Task Type],"Testcase Execution")</f>
        <v>0</v>
      </c>
      <c r="AD15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7" s="256" t="str">
        <f>IFERROR((Table7[[#This Row],[No. of Valid Internal Review Defects]]+Table7[[#This Row],[No. of Valid  Internal Testing Defects]]+Table7[[#This Row],[No. of  Valid External Review Defects]]+Table7[[#This Row],[No. of Valid External Testing Defects]])/Table7[[#This Row],[Size]],"")</f>
        <v/>
      </c>
      <c r="AF157" s="257" t="str">
        <f>IFERROR(Table7[[#This Row],[No. of Valid Internal Review Defects]]/(Table7[[#This Row],[No. of Valid Internal Review Defects]]+Table7[[#This Row],[No. of  Valid External Review Defects]]+Table7[[#This Row],[No. of Valid  Internal Testing Defects]]+Table7[[#This Row],[No. of Valid External Testing Defects]]),"")</f>
        <v/>
      </c>
      <c r="AG157" s="258" t="str">
        <f>IFERROR(Table7[[#This Row],[No. of Valid Internal Review Defects]]/(Table7[[#This Row],[No. of Valid Internal Review Defects]]+Table7[[#This Row],[No. of  Valid External Review Defects]]+Table7[[#This Row],[No. of Valid External Testing Defects]]),"")</f>
        <v/>
      </c>
      <c r="AH157" s="256" t="str">
        <f>IFERROR(Table7[[#This Row],[No. of Valid  Internal Testing Defects]]/Table7[[#This Row],[Overall Actual Effort for the release]],"")</f>
        <v/>
      </c>
      <c r="AI157" s="256" t="str">
        <f>IFERROR(Table7[[#This Row],[No. of Valid  Internal Testing Defects]]/Table7[[#This Row],[No. of Testcases Executed]],"")</f>
        <v/>
      </c>
      <c r="AJ157" s="259" t="str">
        <f>IFERROR(IFERROR(Table7[[#This Row],[No. of Testcases Created]]/Table7[[#This Row],[Effort for Testcase Creation]],"")*9,"")</f>
        <v/>
      </c>
      <c r="AK157" s="256" t="str">
        <f>IFERROR((Table7[[#This Row],[No. of Testcases Executed]]/Table7[[#This Row],[Effort for Testcase Execution]])*9,"")</f>
        <v/>
      </c>
      <c r="AL15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7" s="259" t="str">
        <f>IFERROR(Table7[[#This Row],[No. of Defects Validated]]/SUMIFS(Table3[Hours Worked],Table3[Release Name],Table7[[#This Row],[Release Name]],Table3[Task Type],"Defect Validation")*9,"")</f>
        <v/>
      </c>
      <c r="AN157" s="258" t="str">
        <f>IFERROR((Table7[[#This Row],[No. of Valid  Internal Testing Defects]])/(Table7[[#This Row],[No. of Valid  Internal Testing Defects]]+Table7[[#This Row],[No. of Invalid Internal Testing Defects]]),"")</f>
        <v/>
      </c>
      <c r="AO157" s="258" t="str">
        <f>IFERROR(Table7[[#This Row],[No. of Valid External Testing Defects]]/(Table7[[#This Row],[No. of Valid External Testing Defects]]+Table7[[#This Row],[No. of Valid  Internal Testing Defects]]),"")</f>
        <v/>
      </c>
    </row>
    <row r="158" spans="2:41">
      <c r="B158" s="237"/>
      <c r="C158" s="14"/>
      <c r="D158" s="14"/>
      <c r="E158" s="14"/>
      <c r="F158" s="230" t="str">
        <f>IFERROR((Table47[[#This Row],[Initial No. of Requirements]]+Table47[[#This Row],[Modified Requirements( Added / Deleted /Modified)]])/Table47[[#This Row],[Initial No. of Requirements]],"")</f>
        <v/>
      </c>
      <c r="G15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8" s="249"/>
      <c r="J158" s="249"/>
      <c r="K158" s="250"/>
      <c r="L158" s="250"/>
      <c r="M158" s="250"/>
      <c r="N158" s="248">
        <f>SUMIFS(Table1[Size],Table1[Release Name],[2]!Table7[Release Name])</f>
        <v>0</v>
      </c>
      <c r="O158" s="248"/>
      <c r="P15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58" s="248"/>
      <c r="R15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58" s="248"/>
      <c r="T158" s="248"/>
      <c r="U158" s="248"/>
      <c r="V158" s="248"/>
      <c r="W158" s="248"/>
      <c r="X158" s="248"/>
      <c r="Y158" s="248"/>
      <c r="Z158" s="248"/>
      <c r="AA158" s="248"/>
      <c r="AB158" s="13">
        <f>SUMIFS(Table3[Hours Worked],Table3[Release Name],Table7[[#This Row],[Release Name]],Table3[Task Type],"Testcase Creation")</f>
        <v>0</v>
      </c>
      <c r="AC158" s="255">
        <f>SUMIFS(Table3[Hours Worked],Table3[Release Name],Table7[[#This Row],[Release Name]],Table3[Task Type],"Testcase Execution")</f>
        <v>0</v>
      </c>
      <c r="AD15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8" s="256" t="str">
        <f>IFERROR((Table7[[#This Row],[No. of Valid Internal Review Defects]]+Table7[[#This Row],[No. of Valid  Internal Testing Defects]]+Table7[[#This Row],[No. of  Valid External Review Defects]]+Table7[[#This Row],[No. of Valid External Testing Defects]])/Table7[[#This Row],[Size]],"")</f>
        <v/>
      </c>
      <c r="AF158" s="257" t="str">
        <f>IFERROR(Table7[[#This Row],[No. of Valid Internal Review Defects]]/(Table7[[#This Row],[No. of Valid Internal Review Defects]]+Table7[[#This Row],[No. of  Valid External Review Defects]]+Table7[[#This Row],[No. of Valid  Internal Testing Defects]]+Table7[[#This Row],[No. of Valid External Testing Defects]]),"")</f>
        <v/>
      </c>
      <c r="AG158" s="258" t="str">
        <f>IFERROR(Table7[[#This Row],[No. of Valid Internal Review Defects]]/(Table7[[#This Row],[No. of Valid Internal Review Defects]]+Table7[[#This Row],[No. of  Valid External Review Defects]]+Table7[[#This Row],[No. of Valid External Testing Defects]]),"")</f>
        <v/>
      </c>
      <c r="AH158" s="256" t="str">
        <f>IFERROR(Table7[[#This Row],[No. of Valid  Internal Testing Defects]]/Table7[[#This Row],[Overall Actual Effort for the release]],"")</f>
        <v/>
      </c>
      <c r="AI158" s="256" t="str">
        <f>IFERROR(Table7[[#This Row],[No. of Valid  Internal Testing Defects]]/Table7[[#This Row],[No. of Testcases Executed]],"")</f>
        <v/>
      </c>
      <c r="AJ158" s="259" t="str">
        <f>IFERROR(IFERROR(Table7[[#This Row],[No. of Testcases Created]]/Table7[[#This Row],[Effort for Testcase Creation]],"")*9,"")</f>
        <v/>
      </c>
      <c r="AK158" s="256" t="str">
        <f>IFERROR((Table7[[#This Row],[No. of Testcases Executed]]/Table7[[#This Row],[Effort for Testcase Execution]])*9,"")</f>
        <v/>
      </c>
      <c r="AL15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8" s="259" t="str">
        <f>IFERROR(Table7[[#This Row],[No. of Defects Validated]]/SUMIFS(Table3[Hours Worked],Table3[Release Name],Table7[[#This Row],[Release Name]],Table3[Task Type],"Defect Validation")*9,"")</f>
        <v/>
      </c>
      <c r="AN158" s="258" t="str">
        <f>IFERROR((Table7[[#This Row],[No. of Valid  Internal Testing Defects]])/(Table7[[#This Row],[No. of Valid  Internal Testing Defects]]+Table7[[#This Row],[No. of Invalid Internal Testing Defects]]),"")</f>
        <v/>
      </c>
      <c r="AO158" s="258" t="str">
        <f>IFERROR(Table7[[#This Row],[No. of Valid External Testing Defects]]/(Table7[[#This Row],[No. of Valid External Testing Defects]]+Table7[[#This Row],[No. of Valid  Internal Testing Defects]]),"")</f>
        <v/>
      </c>
    </row>
    <row r="159" spans="2:41">
      <c r="B159" s="237"/>
      <c r="C159" s="14"/>
      <c r="D159" s="14"/>
      <c r="E159" s="14"/>
      <c r="F159" s="230" t="str">
        <f>IFERROR((Table47[[#This Row],[Initial No. of Requirements]]+Table47[[#This Row],[Modified Requirements( Added / Deleted /Modified)]])/Table47[[#This Row],[Initial No. of Requirements]],"")</f>
        <v/>
      </c>
      <c r="G15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59" s="249"/>
      <c r="J159" s="249"/>
      <c r="K159" s="250"/>
      <c r="L159" s="250"/>
      <c r="M159" s="250"/>
      <c r="N159" s="248">
        <f>SUMIFS(Table1[Size],Table1[Release Name],[2]!Table7[Release Name])</f>
        <v>0</v>
      </c>
      <c r="O159" s="248"/>
      <c r="P15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59" s="248"/>
      <c r="R15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59" s="248"/>
      <c r="T159" s="248"/>
      <c r="U159" s="248"/>
      <c r="V159" s="248"/>
      <c r="W159" s="248"/>
      <c r="X159" s="248"/>
      <c r="Y159" s="248"/>
      <c r="Z159" s="248"/>
      <c r="AA159" s="248"/>
      <c r="AB159" s="13">
        <f>SUMIFS(Table3[Hours Worked],Table3[Release Name],Table7[[#This Row],[Release Name]],Table3[Task Type],"Testcase Creation")</f>
        <v>0</v>
      </c>
      <c r="AC159" s="255">
        <f>SUMIFS(Table3[Hours Worked],Table3[Release Name],Table7[[#This Row],[Release Name]],Table3[Task Type],"Testcase Execution")</f>
        <v>0</v>
      </c>
      <c r="AD15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59" s="256" t="str">
        <f>IFERROR((Table7[[#This Row],[No. of Valid Internal Review Defects]]+Table7[[#This Row],[No. of Valid  Internal Testing Defects]]+Table7[[#This Row],[No. of  Valid External Review Defects]]+Table7[[#This Row],[No. of Valid External Testing Defects]])/Table7[[#This Row],[Size]],"")</f>
        <v/>
      </c>
      <c r="AF159" s="257" t="str">
        <f>IFERROR(Table7[[#This Row],[No. of Valid Internal Review Defects]]/(Table7[[#This Row],[No. of Valid Internal Review Defects]]+Table7[[#This Row],[No. of  Valid External Review Defects]]+Table7[[#This Row],[No. of Valid  Internal Testing Defects]]+Table7[[#This Row],[No. of Valid External Testing Defects]]),"")</f>
        <v/>
      </c>
      <c r="AG159" s="258" t="str">
        <f>IFERROR(Table7[[#This Row],[No. of Valid Internal Review Defects]]/(Table7[[#This Row],[No. of Valid Internal Review Defects]]+Table7[[#This Row],[No. of  Valid External Review Defects]]+Table7[[#This Row],[No. of Valid External Testing Defects]]),"")</f>
        <v/>
      </c>
      <c r="AH159" s="256" t="str">
        <f>IFERROR(Table7[[#This Row],[No. of Valid  Internal Testing Defects]]/Table7[[#This Row],[Overall Actual Effort for the release]],"")</f>
        <v/>
      </c>
      <c r="AI159" s="256" t="str">
        <f>IFERROR(Table7[[#This Row],[No. of Valid  Internal Testing Defects]]/Table7[[#This Row],[No. of Testcases Executed]],"")</f>
        <v/>
      </c>
      <c r="AJ159" s="259" t="str">
        <f>IFERROR(IFERROR(Table7[[#This Row],[No. of Testcases Created]]/Table7[[#This Row],[Effort for Testcase Creation]],"")*9,"")</f>
        <v/>
      </c>
      <c r="AK159" s="256" t="str">
        <f>IFERROR((Table7[[#This Row],[No. of Testcases Executed]]/Table7[[#This Row],[Effort for Testcase Execution]])*9,"")</f>
        <v/>
      </c>
      <c r="AL15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59" s="259" t="str">
        <f>IFERROR(Table7[[#This Row],[No. of Defects Validated]]/SUMIFS(Table3[Hours Worked],Table3[Release Name],Table7[[#This Row],[Release Name]],Table3[Task Type],"Defect Validation")*9,"")</f>
        <v/>
      </c>
      <c r="AN159" s="258" t="str">
        <f>IFERROR((Table7[[#This Row],[No. of Valid  Internal Testing Defects]])/(Table7[[#This Row],[No. of Valid  Internal Testing Defects]]+Table7[[#This Row],[No. of Invalid Internal Testing Defects]]),"")</f>
        <v/>
      </c>
      <c r="AO159" s="258" t="str">
        <f>IFERROR(Table7[[#This Row],[No. of Valid External Testing Defects]]/(Table7[[#This Row],[No. of Valid External Testing Defects]]+Table7[[#This Row],[No. of Valid  Internal Testing Defects]]),"")</f>
        <v/>
      </c>
    </row>
    <row r="160" spans="2:41">
      <c r="B160" s="237"/>
      <c r="C160" s="14"/>
      <c r="D160" s="14"/>
      <c r="E160" s="14"/>
      <c r="F160" s="230" t="str">
        <f>IFERROR((Table47[[#This Row],[Initial No. of Requirements]]+Table47[[#This Row],[Modified Requirements( Added / Deleted /Modified)]])/Table47[[#This Row],[Initial No. of Requirements]],"")</f>
        <v/>
      </c>
      <c r="G16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0" s="249"/>
      <c r="J160" s="249"/>
      <c r="K160" s="250"/>
      <c r="L160" s="250"/>
      <c r="M160" s="250"/>
      <c r="N160" s="248">
        <f>SUMIFS(Table1[Size],Table1[Release Name],[2]!Table7[Release Name])</f>
        <v>0</v>
      </c>
      <c r="O160" s="248"/>
      <c r="P16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0" s="248"/>
      <c r="R16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0" s="248"/>
      <c r="T160" s="248"/>
      <c r="U160" s="248"/>
      <c r="V160" s="248"/>
      <c r="W160" s="248"/>
      <c r="X160" s="248"/>
      <c r="Y160" s="248"/>
      <c r="Z160" s="248"/>
      <c r="AA160" s="248"/>
      <c r="AB160" s="13">
        <f>SUMIFS(Table3[Hours Worked],Table3[Release Name],Table7[[#This Row],[Release Name]],Table3[Task Type],"Testcase Creation")</f>
        <v>0</v>
      </c>
      <c r="AC160" s="255">
        <f>SUMIFS(Table3[Hours Worked],Table3[Release Name],Table7[[#This Row],[Release Name]],Table3[Task Type],"Testcase Execution")</f>
        <v>0</v>
      </c>
      <c r="AD16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0" s="256" t="str">
        <f>IFERROR((Table7[[#This Row],[No. of Valid Internal Review Defects]]+Table7[[#This Row],[No. of Valid  Internal Testing Defects]]+Table7[[#This Row],[No. of  Valid External Review Defects]]+Table7[[#This Row],[No. of Valid External Testing Defects]])/Table7[[#This Row],[Size]],"")</f>
        <v/>
      </c>
      <c r="AF160" s="257" t="str">
        <f>IFERROR(Table7[[#This Row],[No. of Valid Internal Review Defects]]/(Table7[[#This Row],[No. of Valid Internal Review Defects]]+Table7[[#This Row],[No. of  Valid External Review Defects]]+Table7[[#This Row],[No. of Valid  Internal Testing Defects]]+Table7[[#This Row],[No. of Valid External Testing Defects]]),"")</f>
        <v/>
      </c>
      <c r="AG160" s="258" t="str">
        <f>IFERROR(Table7[[#This Row],[No. of Valid Internal Review Defects]]/(Table7[[#This Row],[No. of Valid Internal Review Defects]]+Table7[[#This Row],[No. of  Valid External Review Defects]]+Table7[[#This Row],[No. of Valid External Testing Defects]]),"")</f>
        <v/>
      </c>
      <c r="AH160" s="256" t="str">
        <f>IFERROR(Table7[[#This Row],[No. of Valid  Internal Testing Defects]]/Table7[[#This Row],[Overall Actual Effort for the release]],"")</f>
        <v/>
      </c>
      <c r="AI160" s="256" t="str">
        <f>IFERROR(Table7[[#This Row],[No. of Valid  Internal Testing Defects]]/Table7[[#This Row],[No. of Testcases Executed]],"")</f>
        <v/>
      </c>
      <c r="AJ160" s="259" t="str">
        <f>IFERROR(IFERROR(Table7[[#This Row],[No. of Testcases Created]]/Table7[[#This Row],[Effort for Testcase Creation]],"")*9,"")</f>
        <v/>
      </c>
      <c r="AK160" s="256" t="str">
        <f>IFERROR((Table7[[#This Row],[No. of Testcases Executed]]/Table7[[#This Row],[Effort for Testcase Execution]])*9,"")</f>
        <v/>
      </c>
      <c r="AL16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0" s="259" t="str">
        <f>IFERROR(Table7[[#This Row],[No. of Defects Validated]]/SUMIFS(Table3[Hours Worked],Table3[Release Name],Table7[[#This Row],[Release Name]],Table3[Task Type],"Defect Validation")*9,"")</f>
        <v/>
      </c>
      <c r="AN160" s="258" t="str">
        <f>IFERROR((Table7[[#This Row],[No. of Valid  Internal Testing Defects]])/(Table7[[#This Row],[No. of Valid  Internal Testing Defects]]+Table7[[#This Row],[No. of Invalid Internal Testing Defects]]),"")</f>
        <v/>
      </c>
      <c r="AO160" s="258" t="str">
        <f>IFERROR(Table7[[#This Row],[No. of Valid External Testing Defects]]/(Table7[[#This Row],[No. of Valid External Testing Defects]]+Table7[[#This Row],[No. of Valid  Internal Testing Defects]]),"")</f>
        <v/>
      </c>
    </row>
    <row r="161" spans="2:41">
      <c r="B161" s="237"/>
      <c r="C161" s="14"/>
      <c r="D161" s="14"/>
      <c r="E161" s="14"/>
      <c r="F161" s="230" t="str">
        <f>IFERROR((Table47[[#This Row],[Initial No. of Requirements]]+Table47[[#This Row],[Modified Requirements( Added / Deleted /Modified)]])/Table47[[#This Row],[Initial No. of Requirements]],"")</f>
        <v/>
      </c>
      <c r="G16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1" s="249"/>
      <c r="J161" s="249"/>
      <c r="K161" s="250"/>
      <c r="L161" s="250"/>
      <c r="M161" s="250"/>
      <c r="N161" s="248">
        <f>SUMIFS(Table1[Size],Table1[Release Name],[2]!Table7[Release Name])</f>
        <v>0</v>
      </c>
      <c r="O161" s="248"/>
      <c r="P16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1" s="248"/>
      <c r="R16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1" s="248"/>
      <c r="T161" s="248"/>
      <c r="U161" s="248"/>
      <c r="V161" s="248"/>
      <c r="W161" s="248"/>
      <c r="X161" s="248"/>
      <c r="Y161" s="248"/>
      <c r="Z161" s="248"/>
      <c r="AA161" s="248"/>
      <c r="AB161" s="13">
        <f>SUMIFS(Table3[Hours Worked],Table3[Release Name],Table7[[#This Row],[Release Name]],Table3[Task Type],"Testcase Creation")</f>
        <v>0</v>
      </c>
      <c r="AC161" s="255">
        <f>SUMIFS(Table3[Hours Worked],Table3[Release Name],Table7[[#This Row],[Release Name]],Table3[Task Type],"Testcase Execution")</f>
        <v>0</v>
      </c>
      <c r="AD16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1" s="256" t="str">
        <f>IFERROR((Table7[[#This Row],[No. of Valid Internal Review Defects]]+Table7[[#This Row],[No. of Valid  Internal Testing Defects]]+Table7[[#This Row],[No. of  Valid External Review Defects]]+Table7[[#This Row],[No. of Valid External Testing Defects]])/Table7[[#This Row],[Size]],"")</f>
        <v/>
      </c>
      <c r="AF161" s="257" t="str">
        <f>IFERROR(Table7[[#This Row],[No. of Valid Internal Review Defects]]/(Table7[[#This Row],[No. of Valid Internal Review Defects]]+Table7[[#This Row],[No. of  Valid External Review Defects]]+Table7[[#This Row],[No. of Valid  Internal Testing Defects]]+Table7[[#This Row],[No. of Valid External Testing Defects]]),"")</f>
        <v/>
      </c>
      <c r="AG161" s="258" t="str">
        <f>IFERROR(Table7[[#This Row],[No. of Valid Internal Review Defects]]/(Table7[[#This Row],[No. of Valid Internal Review Defects]]+Table7[[#This Row],[No. of  Valid External Review Defects]]+Table7[[#This Row],[No. of Valid External Testing Defects]]),"")</f>
        <v/>
      </c>
      <c r="AH161" s="256" t="str">
        <f>IFERROR(Table7[[#This Row],[No. of Valid  Internal Testing Defects]]/Table7[[#This Row],[Overall Actual Effort for the release]],"")</f>
        <v/>
      </c>
      <c r="AI161" s="256" t="str">
        <f>IFERROR(Table7[[#This Row],[No. of Valid  Internal Testing Defects]]/Table7[[#This Row],[No. of Testcases Executed]],"")</f>
        <v/>
      </c>
      <c r="AJ161" s="259" t="str">
        <f>IFERROR(IFERROR(Table7[[#This Row],[No. of Testcases Created]]/Table7[[#This Row],[Effort for Testcase Creation]],"")*9,"")</f>
        <v/>
      </c>
      <c r="AK161" s="256" t="str">
        <f>IFERROR((Table7[[#This Row],[No. of Testcases Executed]]/Table7[[#This Row],[Effort for Testcase Execution]])*9,"")</f>
        <v/>
      </c>
      <c r="AL16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1" s="259" t="str">
        <f>IFERROR(Table7[[#This Row],[No. of Defects Validated]]/SUMIFS(Table3[Hours Worked],Table3[Release Name],Table7[[#This Row],[Release Name]],Table3[Task Type],"Defect Validation")*9,"")</f>
        <v/>
      </c>
      <c r="AN161" s="258" t="str">
        <f>IFERROR((Table7[[#This Row],[No. of Valid  Internal Testing Defects]])/(Table7[[#This Row],[No. of Valid  Internal Testing Defects]]+Table7[[#This Row],[No. of Invalid Internal Testing Defects]]),"")</f>
        <v/>
      </c>
      <c r="AO161" s="258" t="str">
        <f>IFERROR(Table7[[#This Row],[No. of Valid External Testing Defects]]/(Table7[[#This Row],[No. of Valid External Testing Defects]]+Table7[[#This Row],[No. of Valid  Internal Testing Defects]]),"")</f>
        <v/>
      </c>
    </row>
    <row r="162" spans="2:41">
      <c r="B162" s="237"/>
      <c r="C162" s="14"/>
      <c r="D162" s="14"/>
      <c r="E162" s="14"/>
      <c r="F162" s="230" t="str">
        <f>IFERROR((Table47[[#This Row],[Initial No. of Requirements]]+Table47[[#This Row],[Modified Requirements( Added / Deleted /Modified)]])/Table47[[#This Row],[Initial No. of Requirements]],"")</f>
        <v/>
      </c>
      <c r="G16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2" s="249"/>
      <c r="J162" s="249"/>
      <c r="K162" s="250"/>
      <c r="L162" s="250"/>
      <c r="M162" s="250"/>
      <c r="N162" s="248">
        <f>SUMIFS(Table1[Size],Table1[Release Name],[2]!Table7[Release Name])</f>
        <v>0</v>
      </c>
      <c r="O162" s="248"/>
      <c r="P16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2" s="248"/>
      <c r="R16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2" s="248"/>
      <c r="T162" s="248"/>
      <c r="U162" s="248"/>
      <c r="V162" s="248"/>
      <c r="W162" s="248"/>
      <c r="X162" s="248"/>
      <c r="Y162" s="248"/>
      <c r="Z162" s="248"/>
      <c r="AA162" s="248"/>
      <c r="AB162" s="13">
        <f>SUMIFS(Table3[Hours Worked],Table3[Release Name],Table7[[#This Row],[Release Name]],Table3[Task Type],"Testcase Creation")</f>
        <v>0</v>
      </c>
      <c r="AC162" s="255">
        <f>SUMIFS(Table3[Hours Worked],Table3[Release Name],Table7[[#This Row],[Release Name]],Table3[Task Type],"Testcase Execution")</f>
        <v>0</v>
      </c>
      <c r="AD16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2" s="256" t="str">
        <f>IFERROR((Table7[[#This Row],[No. of Valid Internal Review Defects]]+Table7[[#This Row],[No. of Valid  Internal Testing Defects]]+Table7[[#This Row],[No. of  Valid External Review Defects]]+Table7[[#This Row],[No. of Valid External Testing Defects]])/Table7[[#This Row],[Size]],"")</f>
        <v/>
      </c>
      <c r="AF162" s="257" t="str">
        <f>IFERROR(Table7[[#This Row],[No. of Valid Internal Review Defects]]/(Table7[[#This Row],[No. of Valid Internal Review Defects]]+Table7[[#This Row],[No. of  Valid External Review Defects]]+Table7[[#This Row],[No. of Valid  Internal Testing Defects]]+Table7[[#This Row],[No. of Valid External Testing Defects]]),"")</f>
        <v/>
      </c>
      <c r="AG162" s="258" t="str">
        <f>IFERROR(Table7[[#This Row],[No. of Valid Internal Review Defects]]/(Table7[[#This Row],[No. of Valid Internal Review Defects]]+Table7[[#This Row],[No. of  Valid External Review Defects]]+Table7[[#This Row],[No. of Valid External Testing Defects]]),"")</f>
        <v/>
      </c>
      <c r="AH162" s="256" t="str">
        <f>IFERROR(Table7[[#This Row],[No. of Valid  Internal Testing Defects]]/Table7[[#This Row],[Overall Actual Effort for the release]],"")</f>
        <v/>
      </c>
      <c r="AI162" s="256" t="str">
        <f>IFERROR(Table7[[#This Row],[No. of Valid  Internal Testing Defects]]/Table7[[#This Row],[No. of Testcases Executed]],"")</f>
        <v/>
      </c>
      <c r="AJ162" s="259" t="str">
        <f>IFERROR(IFERROR(Table7[[#This Row],[No. of Testcases Created]]/Table7[[#This Row],[Effort for Testcase Creation]],"")*9,"")</f>
        <v/>
      </c>
      <c r="AK162" s="256" t="str">
        <f>IFERROR((Table7[[#This Row],[No. of Testcases Executed]]/Table7[[#This Row],[Effort for Testcase Execution]])*9,"")</f>
        <v/>
      </c>
      <c r="AL16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2" s="259" t="str">
        <f>IFERROR(Table7[[#This Row],[No. of Defects Validated]]/SUMIFS(Table3[Hours Worked],Table3[Release Name],Table7[[#This Row],[Release Name]],Table3[Task Type],"Defect Validation")*9,"")</f>
        <v/>
      </c>
      <c r="AN162" s="258" t="str">
        <f>IFERROR((Table7[[#This Row],[No. of Valid  Internal Testing Defects]])/(Table7[[#This Row],[No. of Valid  Internal Testing Defects]]+Table7[[#This Row],[No. of Invalid Internal Testing Defects]]),"")</f>
        <v/>
      </c>
      <c r="AO162" s="258" t="str">
        <f>IFERROR(Table7[[#This Row],[No. of Valid External Testing Defects]]/(Table7[[#This Row],[No. of Valid External Testing Defects]]+Table7[[#This Row],[No. of Valid  Internal Testing Defects]]),"")</f>
        <v/>
      </c>
    </row>
    <row r="163" spans="2:41">
      <c r="B163" s="237"/>
      <c r="C163" s="14"/>
      <c r="D163" s="14"/>
      <c r="E163" s="14"/>
      <c r="F163" s="230" t="str">
        <f>IFERROR((Table47[[#This Row],[Initial No. of Requirements]]+Table47[[#This Row],[Modified Requirements( Added / Deleted /Modified)]])/Table47[[#This Row],[Initial No. of Requirements]],"")</f>
        <v/>
      </c>
      <c r="G16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3" s="249"/>
      <c r="J163" s="249"/>
      <c r="K163" s="250"/>
      <c r="L163" s="250"/>
      <c r="M163" s="250"/>
      <c r="N163" s="248">
        <f>SUMIFS(Table1[Size],Table1[Release Name],[2]!Table7[Release Name])</f>
        <v>0</v>
      </c>
      <c r="O163" s="248"/>
      <c r="P16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3" s="248"/>
      <c r="R16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3" s="248"/>
      <c r="T163" s="248"/>
      <c r="U163" s="248"/>
      <c r="V163" s="248"/>
      <c r="W163" s="248"/>
      <c r="X163" s="248"/>
      <c r="Y163" s="248"/>
      <c r="Z163" s="248"/>
      <c r="AA163" s="248"/>
      <c r="AB163" s="13">
        <f>SUMIFS(Table3[Hours Worked],Table3[Release Name],Table7[[#This Row],[Release Name]],Table3[Task Type],"Testcase Creation")</f>
        <v>0</v>
      </c>
      <c r="AC163" s="255">
        <f>SUMIFS(Table3[Hours Worked],Table3[Release Name],Table7[[#This Row],[Release Name]],Table3[Task Type],"Testcase Execution")</f>
        <v>0</v>
      </c>
      <c r="AD16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3" s="256" t="str">
        <f>IFERROR((Table7[[#This Row],[No. of Valid Internal Review Defects]]+Table7[[#This Row],[No. of Valid  Internal Testing Defects]]+Table7[[#This Row],[No. of  Valid External Review Defects]]+Table7[[#This Row],[No. of Valid External Testing Defects]])/Table7[[#This Row],[Size]],"")</f>
        <v/>
      </c>
      <c r="AF163" s="257" t="str">
        <f>IFERROR(Table7[[#This Row],[No. of Valid Internal Review Defects]]/(Table7[[#This Row],[No. of Valid Internal Review Defects]]+Table7[[#This Row],[No. of  Valid External Review Defects]]+Table7[[#This Row],[No. of Valid  Internal Testing Defects]]+Table7[[#This Row],[No. of Valid External Testing Defects]]),"")</f>
        <v/>
      </c>
      <c r="AG163" s="258" t="str">
        <f>IFERROR(Table7[[#This Row],[No. of Valid Internal Review Defects]]/(Table7[[#This Row],[No. of Valid Internal Review Defects]]+Table7[[#This Row],[No. of  Valid External Review Defects]]+Table7[[#This Row],[No. of Valid External Testing Defects]]),"")</f>
        <v/>
      </c>
      <c r="AH163" s="256" t="str">
        <f>IFERROR(Table7[[#This Row],[No. of Valid  Internal Testing Defects]]/Table7[[#This Row],[Overall Actual Effort for the release]],"")</f>
        <v/>
      </c>
      <c r="AI163" s="256" t="str">
        <f>IFERROR(Table7[[#This Row],[No. of Valid  Internal Testing Defects]]/Table7[[#This Row],[No. of Testcases Executed]],"")</f>
        <v/>
      </c>
      <c r="AJ163" s="259" t="str">
        <f>IFERROR(IFERROR(Table7[[#This Row],[No. of Testcases Created]]/Table7[[#This Row],[Effort for Testcase Creation]],"")*9,"")</f>
        <v/>
      </c>
      <c r="AK163" s="256" t="str">
        <f>IFERROR((Table7[[#This Row],[No. of Testcases Executed]]/Table7[[#This Row],[Effort for Testcase Execution]])*9,"")</f>
        <v/>
      </c>
      <c r="AL16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3" s="259" t="str">
        <f>IFERROR(Table7[[#This Row],[No. of Defects Validated]]/SUMIFS(Table3[Hours Worked],Table3[Release Name],Table7[[#This Row],[Release Name]],Table3[Task Type],"Defect Validation")*9,"")</f>
        <v/>
      </c>
      <c r="AN163" s="258" t="str">
        <f>IFERROR((Table7[[#This Row],[No. of Valid  Internal Testing Defects]])/(Table7[[#This Row],[No. of Valid  Internal Testing Defects]]+Table7[[#This Row],[No. of Invalid Internal Testing Defects]]),"")</f>
        <v/>
      </c>
      <c r="AO163" s="258" t="str">
        <f>IFERROR(Table7[[#This Row],[No. of Valid External Testing Defects]]/(Table7[[#This Row],[No. of Valid External Testing Defects]]+Table7[[#This Row],[No. of Valid  Internal Testing Defects]]),"")</f>
        <v/>
      </c>
    </row>
    <row r="164" spans="2:41">
      <c r="B164" s="237"/>
      <c r="C164" s="14"/>
      <c r="D164" s="14"/>
      <c r="E164" s="14"/>
      <c r="F164" s="230" t="str">
        <f>IFERROR((Table47[[#This Row],[Initial No. of Requirements]]+Table47[[#This Row],[Modified Requirements( Added / Deleted /Modified)]])/Table47[[#This Row],[Initial No. of Requirements]],"")</f>
        <v/>
      </c>
      <c r="G16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4" s="249"/>
      <c r="J164" s="249"/>
      <c r="K164" s="250"/>
      <c r="L164" s="250"/>
      <c r="M164" s="250"/>
      <c r="N164" s="248">
        <f>SUMIFS(Table1[Size],Table1[Release Name],[2]!Table7[Release Name])</f>
        <v>0</v>
      </c>
      <c r="O164" s="248"/>
      <c r="P16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4" s="248"/>
      <c r="R16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4" s="248"/>
      <c r="T164" s="248"/>
      <c r="U164" s="248"/>
      <c r="V164" s="248"/>
      <c r="W164" s="248"/>
      <c r="X164" s="248"/>
      <c r="Y164" s="248"/>
      <c r="Z164" s="248"/>
      <c r="AA164" s="248"/>
      <c r="AB164" s="13">
        <f>SUMIFS(Table3[Hours Worked],Table3[Release Name],Table7[[#This Row],[Release Name]],Table3[Task Type],"Testcase Creation")</f>
        <v>0</v>
      </c>
      <c r="AC164" s="255">
        <f>SUMIFS(Table3[Hours Worked],Table3[Release Name],Table7[[#This Row],[Release Name]],Table3[Task Type],"Testcase Execution")</f>
        <v>0</v>
      </c>
      <c r="AD16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4" s="256" t="str">
        <f>IFERROR((Table7[[#This Row],[No. of Valid Internal Review Defects]]+Table7[[#This Row],[No. of Valid  Internal Testing Defects]]+Table7[[#This Row],[No. of  Valid External Review Defects]]+Table7[[#This Row],[No. of Valid External Testing Defects]])/Table7[[#This Row],[Size]],"")</f>
        <v/>
      </c>
      <c r="AF164" s="257" t="str">
        <f>IFERROR(Table7[[#This Row],[No. of Valid Internal Review Defects]]/(Table7[[#This Row],[No. of Valid Internal Review Defects]]+Table7[[#This Row],[No. of  Valid External Review Defects]]+Table7[[#This Row],[No. of Valid  Internal Testing Defects]]+Table7[[#This Row],[No. of Valid External Testing Defects]]),"")</f>
        <v/>
      </c>
      <c r="AG164" s="258" t="str">
        <f>IFERROR(Table7[[#This Row],[No. of Valid Internal Review Defects]]/(Table7[[#This Row],[No. of Valid Internal Review Defects]]+Table7[[#This Row],[No. of  Valid External Review Defects]]+Table7[[#This Row],[No. of Valid External Testing Defects]]),"")</f>
        <v/>
      </c>
      <c r="AH164" s="256" t="str">
        <f>IFERROR(Table7[[#This Row],[No. of Valid  Internal Testing Defects]]/Table7[[#This Row],[Overall Actual Effort for the release]],"")</f>
        <v/>
      </c>
      <c r="AI164" s="256" t="str">
        <f>IFERROR(Table7[[#This Row],[No. of Valid  Internal Testing Defects]]/Table7[[#This Row],[No. of Testcases Executed]],"")</f>
        <v/>
      </c>
      <c r="AJ164" s="259" t="str">
        <f>IFERROR(IFERROR(Table7[[#This Row],[No. of Testcases Created]]/Table7[[#This Row],[Effort for Testcase Creation]],"")*9,"")</f>
        <v/>
      </c>
      <c r="AK164" s="256" t="str">
        <f>IFERROR((Table7[[#This Row],[No. of Testcases Executed]]/Table7[[#This Row],[Effort for Testcase Execution]])*9,"")</f>
        <v/>
      </c>
      <c r="AL16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4" s="259" t="str">
        <f>IFERROR(Table7[[#This Row],[No. of Defects Validated]]/SUMIFS(Table3[Hours Worked],Table3[Release Name],Table7[[#This Row],[Release Name]],Table3[Task Type],"Defect Validation")*9,"")</f>
        <v/>
      </c>
      <c r="AN164" s="258" t="str">
        <f>IFERROR((Table7[[#This Row],[No. of Valid  Internal Testing Defects]])/(Table7[[#This Row],[No. of Valid  Internal Testing Defects]]+Table7[[#This Row],[No. of Invalid Internal Testing Defects]]),"")</f>
        <v/>
      </c>
      <c r="AO164" s="258" t="str">
        <f>IFERROR(Table7[[#This Row],[No. of Valid External Testing Defects]]/(Table7[[#This Row],[No. of Valid External Testing Defects]]+Table7[[#This Row],[No. of Valid  Internal Testing Defects]]),"")</f>
        <v/>
      </c>
    </row>
    <row r="165" spans="2:41">
      <c r="B165" s="237"/>
      <c r="C165" s="14"/>
      <c r="D165" s="14"/>
      <c r="E165" s="14"/>
      <c r="F165" s="230" t="str">
        <f>IFERROR((Table47[[#This Row],[Initial No. of Requirements]]+Table47[[#This Row],[Modified Requirements( Added / Deleted /Modified)]])/Table47[[#This Row],[Initial No. of Requirements]],"")</f>
        <v/>
      </c>
      <c r="G16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5" s="249"/>
      <c r="J165" s="249"/>
      <c r="K165" s="250"/>
      <c r="L165" s="250"/>
      <c r="M165" s="250"/>
      <c r="N165" s="248">
        <f>SUMIFS(Table1[Size],Table1[Release Name],[2]!Table7[Release Name])</f>
        <v>0</v>
      </c>
      <c r="O165" s="248"/>
      <c r="P16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5" s="248"/>
      <c r="R16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5" s="248"/>
      <c r="T165" s="248"/>
      <c r="U165" s="248"/>
      <c r="V165" s="248"/>
      <c r="W165" s="248"/>
      <c r="X165" s="248"/>
      <c r="Y165" s="248"/>
      <c r="Z165" s="248"/>
      <c r="AA165" s="248"/>
      <c r="AB165" s="13">
        <f>SUMIFS(Table3[Hours Worked],Table3[Release Name],Table7[[#This Row],[Release Name]],Table3[Task Type],"Testcase Creation")</f>
        <v>0</v>
      </c>
      <c r="AC165" s="255">
        <f>SUMIFS(Table3[Hours Worked],Table3[Release Name],Table7[[#This Row],[Release Name]],Table3[Task Type],"Testcase Execution")</f>
        <v>0</v>
      </c>
      <c r="AD16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5" s="256" t="str">
        <f>IFERROR((Table7[[#This Row],[No. of Valid Internal Review Defects]]+Table7[[#This Row],[No. of Valid  Internal Testing Defects]]+Table7[[#This Row],[No. of  Valid External Review Defects]]+Table7[[#This Row],[No. of Valid External Testing Defects]])/Table7[[#This Row],[Size]],"")</f>
        <v/>
      </c>
      <c r="AF165" s="257" t="str">
        <f>IFERROR(Table7[[#This Row],[No. of Valid Internal Review Defects]]/(Table7[[#This Row],[No. of Valid Internal Review Defects]]+Table7[[#This Row],[No. of  Valid External Review Defects]]+Table7[[#This Row],[No. of Valid  Internal Testing Defects]]+Table7[[#This Row],[No. of Valid External Testing Defects]]),"")</f>
        <v/>
      </c>
      <c r="AG165" s="258" t="str">
        <f>IFERROR(Table7[[#This Row],[No. of Valid Internal Review Defects]]/(Table7[[#This Row],[No. of Valid Internal Review Defects]]+Table7[[#This Row],[No. of  Valid External Review Defects]]+Table7[[#This Row],[No. of Valid External Testing Defects]]),"")</f>
        <v/>
      </c>
      <c r="AH165" s="256" t="str">
        <f>IFERROR(Table7[[#This Row],[No. of Valid  Internal Testing Defects]]/Table7[[#This Row],[Overall Actual Effort for the release]],"")</f>
        <v/>
      </c>
      <c r="AI165" s="256" t="str">
        <f>IFERROR(Table7[[#This Row],[No. of Valid  Internal Testing Defects]]/Table7[[#This Row],[No. of Testcases Executed]],"")</f>
        <v/>
      </c>
      <c r="AJ165" s="259" t="str">
        <f>IFERROR(IFERROR(Table7[[#This Row],[No. of Testcases Created]]/Table7[[#This Row],[Effort for Testcase Creation]],"")*9,"")</f>
        <v/>
      </c>
      <c r="AK165" s="256" t="str">
        <f>IFERROR((Table7[[#This Row],[No. of Testcases Executed]]/Table7[[#This Row],[Effort for Testcase Execution]])*9,"")</f>
        <v/>
      </c>
      <c r="AL16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5" s="259" t="str">
        <f>IFERROR(Table7[[#This Row],[No. of Defects Validated]]/SUMIFS(Table3[Hours Worked],Table3[Release Name],Table7[[#This Row],[Release Name]],Table3[Task Type],"Defect Validation")*9,"")</f>
        <v/>
      </c>
      <c r="AN165" s="258" t="str">
        <f>IFERROR((Table7[[#This Row],[No. of Valid  Internal Testing Defects]])/(Table7[[#This Row],[No. of Valid  Internal Testing Defects]]+Table7[[#This Row],[No. of Invalid Internal Testing Defects]]),"")</f>
        <v/>
      </c>
      <c r="AO165" s="258" t="str">
        <f>IFERROR(Table7[[#This Row],[No. of Valid External Testing Defects]]/(Table7[[#This Row],[No. of Valid External Testing Defects]]+Table7[[#This Row],[No. of Valid  Internal Testing Defects]]),"")</f>
        <v/>
      </c>
    </row>
    <row r="166" spans="2:41">
      <c r="B166" s="237"/>
      <c r="C166" s="14"/>
      <c r="D166" s="14"/>
      <c r="E166" s="14"/>
      <c r="F166" s="230" t="str">
        <f>IFERROR((Table47[[#This Row],[Initial No. of Requirements]]+Table47[[#This Row],[Modified Requirements( Added / Deleted /Modified)]])/Table47[[#This Row],[Initial No. of Requirements]],"")</f>
        <v/>
      </c>
      <c r="G16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6" s="249"/>
      <c r="J166" s="249"/>
      <c r="K166" s="250"/>
      <c r="L166" s="250"/>
      <c r="M166" s="250"/>
      <c r="N166" s="248">
        <f>SUMIFS(Table1[Size],Table1[Release Name],[2]!Table7[Release Name])</f>
        <v>0</v>
      </c>
      <c r="O166" s="248"/>
      <c r="P16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6" s="248"/>
      <c r="R16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6" s="248"/>
      <c r="T166" s="248"/>
      <c r="U166" s="248"/>
      <c r="V166" s="248"/>
      <c r="W166" s="248"/>
      <c r="X166" s="248"/>
      <c r="Y166" s="248"/>
      <c r="Z166" s="248"/>
      <c r="AA166" s="248"/>
      <c r="AB166" s="13">
        <f>SUMIFS(Table3[Hours Worked],Table3[Release Name],Table7[[#This Row],[Release Name]],Table3[Task Type],"Testcase Creation")</f>
        <v>0</v>
      </c>
      <c r="AC166" s="255">
        <f>SUMIFS(Table3[Hours Worked],Table3[Release Name],Table7[[#This Row],[Release Name]],Table3[Task Type],"Testcase Execution")</f>
        <v>0</v>
      </c>
      <c r="AD16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6" s="256" t="str">
        <f>IFERROR((Table7[[#This Row],[No. of Valid Internal Review Defects]]+Table7[[#This Row],[No. of Valid  Internal Testing Defects]]+Table7[[#This Row],[No. of  Valid External Review Defects]]+Table7[[#This Row],[No. of Valid External Testing Defects]])/Table7[[#This Row],[Size]],"")</f>
        <v/>
      </c>
      <c r="AF166" s="257" t="str">
        <f>IFERROR(Table7[[#This Row],[No. of Valid Internal Review Defects]]/(Table7[[#This Row],[No. of Valid Internal Review Defects]]+Table7[[#This Row],[No. of  Valid External Review Defects]]+Table7[[#This Row],[No. of Valid  Internal Testing Defects]]+Table7[[#This Row],[No. of Valid External Testing Defects]]),"")</f>
        <v/>
      </c>
      <c r="AG166" s="258" t="str">
        <f>IFERROR(Table7[[#This Row],[No. of Valid Internal Review Defects]]/(Table7[[#This Row],[No. of Valid Internal Review Defects]]+Table7[[#This Row],[No. of  Valid External Review Defects]]+Table7[[#This Row],[No. of Valid External Testing Defects]]),"")</f>
        <v/>
      </c>
      <c r="AH166" s="256" t="str">
        <f>IFERROR(Table7[[#This Row],[No. of Valid  Internal Testing Defects]]/Table7[[#This Row],[Overall Actual Effort for the release]],"")</f>
        <v/>
      </c>
      <c r="AI166" s="256" t="str">
        <f>IFERROR(Table7[[#This Row],[No. of Valid  Internal Testing Defects]]/Table7[[#This Row],[No. of Testcases Executed]],"")</f>
        <v/>
      </c>
      <c r="AJ166" s="259" t="str">
        <f>IFERROR(IFERROR(Table7[[#This Row],[No. of Testcases Created]]/Table7[[#This Row],[Effort for Testcase Creation]],"")*9,"")</f>
        <v/>
      </c>
      <c r="AK166" s="256" t="str">
        <f>IFERROR((Table7[[#This Row],[No. of Testcases Executed]]/Table7[[#This Row],[Effort for Testcase Execution]])*9,"")</f>
        <v/>
      </c>
      <c r="AL16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6" s="259" t="str">
        <f>IFERROR(Table7[[#This Row],[No. of Defects Validated]]/SUMIFS(Table3[Hours Worked],Table3[Release Name],Table7[[#This Row],[Release Name]],Table3[Task Type],"Defect Validation")*9,"")</f>
        <v/>
      </c>
      <c r="AN166" s="258" t="str">
        <f>IFERROR((Table7[[#This Row],[No. of Valid  Internal Testing Defects]])/(Table7[[#This Row],[No. of Valid  Internal Testing Defects]]+Table7[[#This Row],[No. of Invalid Internal Testing Defects]]),"")</f>
        <v/>
      </c>
      <c r="AO166" s="258" t="str">
        <f>IFERROR(Table7[[#This Row],[No. of Valid External Testing Defects]]/(Table7[[#This Row],[No. of Valid External Testing Defects]]+Table7[[#This Row],[No. of Valid  Internal Testing Defects]]),"")</f>
        <v/>
      </c>
    </row>
    <row r="167" spans="2:41">
      <c r="B167" s="237"/>
      <c r="C167" s="14"/>
      <c r="D167" s="14"/>
      <c r="E167" s="14"/>
      <c r="F167" s="230" t="str">
        <f>IFERROR((Table47[[#This Row],[Initial No. of Requirements]]+Table47[[#This Row],[Modified Requirements( Added / Deleted /Modified)]])/Table47[[#This Row],[Initial No. of Requirements]],"")</f>
        <v/>
      </c>
      <c r="G16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7" s="249"/>
      <c r="J167" s="249"/>
      <c r="K167" s="250"/>
      <c r="L167" s="250"/>
      <c r="M167" s="250"/>
      <c r="N167" s="248">
        <f>SUMIFS(Table1[Size],Table1[Release Name],[2]!Table7[Release Name])</f>
        <v>0</v>
      </c>
      <c r="O167" s="248"/>
      <c r="P16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7" s="248"/>
      <c r="R16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7" s="248"/>
      <c r="T167" s="248"/>
      <c r="U167" s="248"/>
      <c r="V167" s="248"/>
      <c r="W167" s="248"/>
      <c r="X167" s="248"/>
      <c r="Y167" s="248"/>
      <c r="Z167" s="248"/>
      <c r="AA167" s="248"/>
      <c r="AB167" s="13">
        <f>SUMIFS(Table3[Hours Worked],Table3[Release Name],Table7[[#This Row],[Release Name]],Table3[Task Type],"Testcase Creation")</f>
        <v>0</v>
      </c>
      <c r="AC167" s="255">
        <f>SUMIFS(Table3[Hours Worked],Table3[Release Name],Table7[[#This Row],[Release Name]],Table3[Task Type],"Testcase Execution")</f>
        <v>0</v>
      </c>
      <c r="AD16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7" s="256" t="str">
        <f>IFERROR((Table7[[#This Row],[No. of Valid Internal Review Defects]]+Table7[[#This Row],[No. of Valid  Internal Testing Defects]]+Table7[[#This Row],[No. of  Valid External Review Defects]]+Table7[[#This Row],[No. of Valid External Testing Defects]])/Table7[[#This Row],[Size]],"")</f>
        <v/>
      </c>
      <c r="AF167" s="257" t="str">
        <f>IFERROR(Table7[[#This Row],[No. of Valid Internal Review Defects]]/(Table7[[#This Row],[No. of Valid Internal Review Defects]]+Table7[[#This Row],[No. of  Valid External Review Defects]]+Table7[[#This Row],[No. of Valid  Internal Testing Defects]]+Table7[[#This Row],[No. of Valid External Testing Defects]]),"")</f>
        <v/>
      </c>
      <c r="AG167" s="258" t="str">
        <f>IFERROR(Table7[[#This Row],[No. of Valid Internal Review Defects]]/(Table7[[#This Row],[No. of Valid Internal Review Defects]]+Table7[[#This Row],[No. of  Valid External Review Defects]]+Table7[[#This Row],[No. of Valid External Testing Defects]]),"")</f>
        <v/>
      </c>
      <c r="AH167" s="256" t="str">
        <f>IFERROR(Table7[[#This Row],[No. of Valid  Internal Testing Defects]]/Table7[[#This Row],[Overall Actual Effort for the release]],"")</f>
        <v/>
      </c>
      <c r="AI167" s="256" t="str">
        <f>IFERROR(Table7[[#This Row],[No. of Valid  Internal Testing Defects]]/Table7[[#This Row],[No. of Testcases Executed]],"")</f>
        <v/>
      </c>
      <c r="AJ167" s="259" t="str">
        <f>IFERROR(IFERROR(Table7[[#This Row],[No. of Testcases Created]]/Table7[[#This Row],[Effort for Testcase Creation]],"")*9,"")</f>
        <v/>
      </c>
      <c r="AK167" s="256" t="str">
        <f>IFERROR((Table7[[#This Row],[No. of Testcases Executed]]/Table7[[#This Row],[Effort for Testcase Execution]])*9,"")</f>
        <v/>
      </c>
      <c r="AL16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7" s="259" t="str">
        <f>IFERROR(Table7[[#This Row],[No. of Defects Validated]]/SUMIFS(Table3[Hours Worked],Table3[Release Name],Table7[[#This Row],[Release Name]],Table3[Task Type],"Defect Validation")*9,"")</f>
        <v/>
      </c>
      <c r="AN167" s="258" t="str">
        <f>IFERROR((Table7[[#This Row],[No. of Valid  Internal Testing Defects]])/(Table7[[#This Row],[No. of Valid  Internal Testing Defects]]+Table7[[#This Row],[No. of Invalid Internal Testing Defects]]),"")</f>
        <v/>
      </c>
      <c r="AO167" s="258" t="str">
        <f>IFERROR(Table7[[#This Row],[No. of Valid External Testing Defects]]/(Table7[[#This Row],[No. of Valid External Testing Defects]]+Table7[[#This Row],[No. of Valid  Internal Testing Defects]]),"")</f>
        <v/>
      </c>
    </row>
    <row r="168" spans="2:41">
      <c r="B168" s="237"/>
      <c r="C168" s="14"/>
      <c r="D168" s="14"/>
      <c r="E168" s="14"/>
      <c r="F168" s="230" t="str">
        <f>IFERROR((Table47[[#This Row],[Initial No. of Requirements]]+Table47[[#This Row],[Modified Requirements( Added / Deleted /Modified)]])/Table47[[#This Row],[Initial No. of Requirements]],"")</f>
        <v/>
      </c>
      <c r="G16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8" s="249"/>
      <c r="J168" s="249"/>
      <c r="K168" s="250"/>
      <c r="L168" s="250"/>
      <c r="M168" s="250"/>
      <c r="N168" s="248">
        <f>SUMIFS(Table1[Size],Table1[Release Name],[2]!Table7[Release Name])</f>
        <v>0</v>
      </c>
      <c r="O168" s="248"/>
      <c r="P16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8" s="248"/>
      <c r="R16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8" s="248"/>
      <c r="T168" s="248"/>
      <c r="U168" s="248"/>
      <c r="V168" s="248"/>
      <c r="W168" s="248"/>
      <c r="X168" s="248"/>
      <c r="Y168" s="248"/>
      <c r="Z168" s="248"/>
      <c r="AA168" s="248"/>
      <c r="AB168" s="13">
        <f>SUMIFS(Table3[Hours Worked],Table3[Release Name],Table7[[#This Row],[Release Name]],Table3[Task Type],"Testcase Creation")</f>
        <v>0</v>
      </c>
      <c r="AC168" s="255">
        <f>SUMIFS(Table3[Hours Worked],Table3[Release Name],Table7[[#This Row],[Release Name]],Table3[Task Type],"Testcase Execution")</f>
        <v>0</v>
      </c>
      <c r="AD16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8" s="256" t="str">
        <f>IFERROR((Table7[[#This Row],[No. of Valid Internal Review Defects]]+Table7[[#This Row],[No. of Valid  Internal Testing Defects]]+Table7[[#This Row],[No. of  Valid External Review Defects]]+Table7[[#This Row],[No. of Valid External Testing Defects]])/Table7[[#This Row],[Size]],"")</f>
        <v/>
      </c>
      <c r="AF168" s="257" t="str">
        <f>IFERROR(Table7[[#This Row],[No. of Valid Internal Review Defects]]/(Table7[[#This Row],[No. of Valid Internal Review Defects]]+Table7[[#This Row],[No. of  Valid External Review Defects]]+Table7[[#This Row],[No. of Valid  Internal Testing Defects]]+Table7[[#This Row],[No. of Valid External Testing Defects]]),"")</f>
        <v/>
      </c>
      <c r="AG168" s="258" t="str">
        <f>IFERROR(Table7[[#This Row],[No. of Valid Internal Review Defects]]/(Table7[[#This Row],[No. of Valid Internal Review Defects]]+Table7[[#This Row],[No. of  Valid External Review Defects]]+Table7[[#This Row],[No. of Valid External Testing Defects]]),"")</f>
        <v/>
      </c>
      <c r="AH168" s="256" t="str">
        <f>IFERROR(Table7[[#This Row],[No. of Valid  Internal Testing Defects]]/Table7[[#This Row],[Overall Actual Effort for the release]],"")</f>
        <v/>
      </c>
      <c r="AI168" s="256" t="str">
        <f>IFERROR(Table7[[#This Row],[No. of Valid  Internal Testing Defects]]/Table7[[#This Row],[No. of Testcases Executed]],"")</f>
        <v/>
      </c>
      <c r="AJ168" s="259" t="str">
        <f>IFERROR(IFERROR(Table7[[#This Row],[No. of Testcases Created]]/Table7[[#This Row],[Effort for Testcase Creation]],"")*9,"")</f>
        <v/>
      </c>
      <c r="AK168" s="256" t="str">
        <f>IFERROR((Table7[[#This Row],[No. of Testcases Executed]]/Table7[[#This Row],[Effort for Testcase Execution]])*9,"")</f>
        <v/>
      </c>
      <c r="AL16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8" s="259" t="str">
        <f>IFERROR(Table7[[#This Row],[No. of Defects Validated]]/SUMIFS(Table3[Hours Worked],Table3[Release Name],Table7[[#This Row],[Release Name]],Table3[Task Type],"Defect Validation")*9,"")</f>
        <v/>
      </c>
      <c r="AN168" s="258" t="str">
        <f>IFERROR((Table7[[#This Row],[No. of Valid  Internal Testing Defects]])/(Table7[[#This Row],[No. of Valid  Internal Testing Defects]]+Table7[[#This Row],[No. of Invalid Internal Testing Defects]]),"")</f>
        <v/>
      </c>
      <c r="AO168" s="258" t="str">
        <f>IFERROR(Table7[[#This Row],[No. of Valid External Testing Defects]]/(Table7[[#This Row],[No. of Valid External Testing Defects]]+Table7[[#This Row],[No. of Valid  Internal Testing Defects]]),"")</f>
        <v/>
      </c>
    </row>
    <row r="169" spans="2:41">
      <c r="B169" s="237"/>
      <c r="C169" s="14"/>
      <c r="D169" s="14"/>
      <c r="E169" s="14"/>
      <c r="F169" s="230" t="str">
        <f>IFERROR((Table47[[#This Row],[Initial No. of Requirements]]+Table47[[#This Row],[Modified Requirements( Added / Deleted /Modified)]])/Table47[[#This Row],[Initial No. of Requirements]],"")</f>
        <v/>
      </c>
      <c r="G16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69" s="249"/>
      <c r="J169" s="249"/>
      <c r="K169" s="250"/>
      <c r="L169" s="250"/>
      <c r="M169" s="250"/>
      <c r="N169" s="248">
        <f>SUMIFS(Table1[Size],Table1[Release Name],[2]!Table7[Release Name])</f>
        <v>0</v>
      </c>
      <c r="O169" s="248"/>
      <c r="P16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69" s="248"/>
      <c r="R16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69" s="248"/>
      <c r="T169" s="248"/>
      <c r="U169" s="248"/>
      <c r="V169" s="248"/>
      <c r="W169" s="248"/>
      <c r="X169" s="248"/>
      <c r="Y169" s="248"/>
      <c r="Z169" s="248"/>
      <c r="AA169" s="248"/>
      <c r="AB169" s="13">
        <f>SUMIFS(Table3[Hours Worked],Table3[Release Name],Table7[[#This Row],[Release Name]],Table3[Task Type],"Testcase Creation")</f>
        <v>0</v>
      </c>
      <c r="AC169" s="255">
        <f>SUMIFS(Table3[Hours Worked],Table3[Release Name],Table7[[#This Row],[Release Name]],Table3[Task Type],"Testcase Execution")</f>
        <v>0</v>
      </c>
      <c r="AD16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69" s="256" t="str">
        <f>IFERROR((Table7[[#This Row],[No. of Valid Internal Review Defects]]+Table7[[#This Row],[No. of Valid  Internal Testing Defects]]+Table7[[#This Row],[No. of  Valid External Review Defects]]+Table7[[#This Row],[No. of Valid External Testing Defects]])/Table7[[#This Row],[Size]],"")</f>
        <v/>
      </c>
      <c r="AF169" s="257" t="str">
        <f>IFERROR(Table7[[#This Row],[No. of Valid Internal Review Defects]]/(Table7[[#This Row],[No. of Valid Internal Review Defects]]+Table7[[#This Row],[No. of  Valid External Review Defects]]+Table7[[#This Row],[No. of Valid  Internal Testing Defects]]+Table7[[#This Row],[No. of Valid External Testing Defects]]),"")</f>
        <v/>
      </c>
      <c r="AG169" s="258" t="str">
        <f>IFERROR(Table7[[#This Row],[No. of Valid Internal Review Defects]]/(Table7[[#This Row],[No. of Valid Internal Review Defects]]+Table7[[#This Row],[No. of  Valid External Review Defects]]+Table7[[#This Row],[No. of Valid External Testing Defects]]),"")</f>
        <v/>
      </c>
      <c r="AH169" s="256" t="str">
        <f>IFERROR(Table7[[#This Row],[No. of Valid  Internal Testing Defects]]/Table7[[#This Row],[Overall Actual Effort for the release]],"")</f>
        <v/>
      </c>
      <c r="AI169" s="256" t="str">
        <f>IFERROR(Table7[[#This Row],[No. of Valid  Internal Testing Defects]]/Table7[[#This Row],[No. of Testcases Executed]],"")</f>
        <v/>
      </c>
      <c r="AJ169" s="259" t="str">
        <f>IFERROR(IFERROR(Table7[[#This Row],[No. of Testcases Created]]/Table7[[#This Row],[Effort for Testcase Creation]],"")*9,"")</f>
        <v/>
      </c>
      <c r="AK169" s="256" t="str">
        <f>IFERROR((Table7[[#This Row],[No. of Testcases Executed]]/Table7[[#This Row],[Effort for Testcase Execution]])*9,"")</f>
        <v/>
      </c>
      <c r="AL16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69" s="259" t="str">
        <f>IFERROR(Table7[[#This Row],[No. of Defects Validated]]/SUMIFS(Table3[Hours Worked],Table3[Release Name],Table7[[#This Row],[Release Name]],Table3[Task Type],"Defect Validation")*9,"")</f>
        <v/>
      </c>
      <c r="AN169" s="258" t="str">
        <f>IFERROR((Table7[[#This Row],[No. of Valid  Internal Testing Defects]])/(Table7[[#This Row],[No. of Valid  Internal Testing Defects]]+Table7[[#This Row],[No. of Invalid Internal Testing Defects]]),"")</f>
        <v/>
      </c>
      <c r="AO169" s="258" t="str">
        <f>IFERROR(Table7[[#This Row],[No. of Valid External Testing Defects]]/(Table7[[#This Row],[No. of Valid External Testing Defects]]+Table7[[#This Row],[No. of Valid  Internal Testing Defects]]),"")</f>
        <v/>
      </c>
    </row>
    <row r="170" spans="2:41">
      <c r="B170" s="237"/>
      <c r="C170" s="14"/>
      <c r="D170" s="14"/>
      <c r="E170" s="14"/>
      <c r="F170" s="230" t="str">
        <f>IFERROR((Table47[[#This Row],[Initial No. of Requirements]]+Table47[[#This Row],[Modified Requirements( Added / Deleted /Modified)]])/Table47[[#This Row],[Initial No. of Requirements]],"")</f>
        <v/>
      </c>
      <c r="G17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0" s="249"/>
      <c r="J170" s="249"/>
      <c r="K170" s="250"/>
      <c r="L170" s="250"/>
      <c r="M170" s="250"/>
      <c r="N170" s="248">
        <f>SUMIFS(Table1[Size],Table1[Release Name],[2]!Table7[Release Name])</f>
        <v>0</v>
      </c>
      <c r="O170" s="248"/>
      <c r="P17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0" s="248"/>
      <c r="R17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0" s="248"/>
      <c r="T170" s="248"/>
      <c r="U170" s="248"/>
      <c r="V170" s="248"/>
      <c r="W170" s="248"/>
      <c r="X170" s="248"/>
      <c r="Y170" s="248"/>
      <c r="Z170" s="248"/>
      <c r="AA170" s="248"/>
      <c r="AB170" s="13">
        <f>SUMIFS(Table3[Hours Worked],Table3[Release Name],Table7[[#This Row],[Release Name]],Table3[Task Type],"Testcase Creation")</f>
        <v>0</v>
      </c>
      <c r="AC170" s="255">
        <f>SUMIFS(Table3[Hours Worked],Table3[Release Name],Table7[[#This Row],[Release Name]],Table3[Task Type],"Testcase Execution")</f>
        <v>0</v>
      </c>
      <c r="AD17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0" s="256" t="str">
        <f>IFERROR((Table7[[#This Row],[No. of Valid Internal Review Defects]]+Table7[[#This Row],[No. of Valid  Internal Testing Defects]]+Table7[[#This Row],[No. of  Valid External Review Defects]]+Table7[[#This Row],[No. of Valid External Testing Defects]])/Table7[[#This Row],[Size]],"")</f>
        <v/>
      </c>
      <c r="AF170" s="257" t="str">
        <f>IFERROR(Table7[[#This Row],[No. of Valid Internal Review Defects]]/(Table7[[#This Row],[No. of Valid Internal Review Defects]]+Table7[[#This Row],[No. of  Valid External Review Defects]]+Table7[[#This Row],[No. of Valid  Internal Testing Defects]]+Table7[[#This Row],[No. of Valid External Testing Defects]]),"")</f>
        <v/>
      </c>
      <c r="AG170" s="258" t="str">
        <f>IFERROR(Table7[[#This Row],[No. of Valid Internal Review Defects]]/(Table7[[#This Row],[No. of Valid Internal Review Defects]]+Table7[[#This Row],[No. of  Valid External Review Defects]]+Table7[[#This Row],[No. of Valid External Testing Defects]]),"")</f>
        <v/>
      </c>
      <c r="AH170" s="256" t="str">
        <f>IFERROR(Table7[[#This Row],[No. of Valid  Internal Testing Defects]]/Table7[[#This Row],[Overall Actual Effort for the release]],"")</f>
        <v/>
      </c>
      <c r="AI170" s="256" t="str">
        <f>IFERROR(Table7[[#This Row],[No. of Valid  Internal Testing Defects]]/Table7[[#This Row],[No. of Testcases Executed]],"")</f>
        <v/>
      </c>
      <c r="AJ170" s="259" t="str">
        <f>IFERROR(IFERROR(Table7[[#This Row],[No. of Testcases Created]]/Table7[[#This Row],[Effort for Testcase Creation]],"")*9,"")</f>
        <v/>
      </c>
      <c r="AK170" s="256" t="str">
        <f>IFERROR((Table7[[#This Row],[No. of Testcases Executed]]/Table7[[#This Row],[Effort for Testcase Execution]])*9,"")</f>
        <v/>
      </c>
      <c r="AL17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0" s="259" t="str">
        <f>IFERROR(Table7[[#This Row],[No. of Defects Validated]]/SUMIFS(Table3[Hours Worked],Table3[Release Name],Table7[[#This Row],[Release Name]],Table3[Task Type],"Defect Validation")*9,"")</f>
        <v/>
      </c>
      <c r="AN170" s="258" t="str">
        <f>IFERROR((Table7[[#This Row],[No. of Valid  Internal Testing Defects]])/(Table7[[#This Row],[No. of Valid  Internal Testing Defects]]+Table7[[#This Row],[No. of Invalid Internal Testing Defects]]),"")</f>
        <v/>
      </c>
      <c r="AO170" s="258" t="str">
        <f>IFERROR(Table7[[#This Row],[No. of Valid External Testing Defects]]/(Table7[[#This Row],[No. of Valid External Testing Defects]]+Table7[[#This Row],[No. of Valid  Internal Testing Defects]]),"")</f>
        <v/>
      </c>
    </row>
    <row r="171" spans="2:41">
      <c r="B171" s="237"/>
      <c r="C171" s="14"/>
      <c r="D171" s="14"/>
      <c r="E171" s="14"/>
      <c r="F171" s="230" t="str">
        <f>IFERROR((Table47[[#This Row],[Initial No. of Requirements]]+Table47[[#This Row],[Modified Requirements( Added / Deleted /Modified)]])/Table47[[#This Row],[Initial No. of Requirements]],"")</f>
        <v/>
      </c>
      <c r="G17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1" s="249"/>
      <c r="J171" s="249"/>
      <c r="K171" s="250"/>
      <c r="L171" s="250"/>
      <c r="M171" s="250"/>
      <c r="N171" s="248">
        <f>SUMIFS(Table1[Size],Table1[Release Name],[2]!Table7[Release Name])</f>
        <v>0</v>
      </c>
      <c r="O171" s="248"/>
      <c r="P17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1" s="248"/>
      <c r="R17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1" s="248"/>
      <c r="T171" s="248"/>
      <c r="U171" s="248"/>
      <c r="V171" s="248"/>
      <c r="W171" s="248"/>
      <c r="X171" s="248"/>
      <c r="Y171" s="248"/>
      <c r="Z171" s="248"/>
      <c r="AA171" s="248"/>
      <c r="AB171" s="13">
        <f>SUMIFS(Table3[Hours Worked],Table3[Release Name],Table7[[#This Row],[Release Name]],Table3[Task Type],"Testcase Creation")</f>
        <v>0</v>
      </c>
      <c r="AC171" s="255">
        <f>SUMIFS(Table3[Hours Worked],Table3[Release Name],Table7[[#This Row],[Release Name]],Table3[Task Type],"Testcase Execution")</f>
        <v>0</v>
      </c>
      <c r="AD17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1" s="256" t="str">
        <f>IFERROR((Table7[[#This Row],[No. of Valid Internal Review Defects]]+Table7[[#This Row],[No. of Valid  Internal Testing Defects]]+Table7[[#This Row],[No. of  Valid External Review Defects]]+Table7[[#This Row],[No. of Valid External Testing Defects]])/Table7[[#This Row],[Size]],"")</f>
        <v/>
      </c>
      <c r="AF171" s="257" t="str">
        <f>IFERROR(Table7[[#This Row],[No. of Valid Internal Review Defects]]/(Table7[[#This Row],[No. of Valid Internal Review Defects]]+Table7[[#This Row],[No. of  Valid External Review Defects]]+Table7[[#This Row],[No. of Valid  Internal Testing Defects]]+Table7[[#This Row],[No. of Valid External Testing Defects]]),"")</f>
        <v/>
      </c>
      <c r="AG171" s="258" t="str">
        <f>IFERROR(Table7[[#This Row],[No. of Valid Internal Review Defects]]/(Table7[[#This Row],[No. of Valid Internal Review Defects]]+Table7[[#This Row],[No. of  Valid External Review Defects]]+Table7[[#This Row],[No. of Valid External Testing Defects]]),"")</f>
        <v/>
      </c>
      <c r="AH171" s="256" t="str">
        <f>IFERROR(Table7[[#This Row],[No. of Valid  Internal Testing Defects]]/Table7[[#This Row],[Overall Actual Effort for the release]],"")</f>
        <v/>
      </c>
      <c r="AI171" s="256" t="str">
        <f>IFERROR(Table7[[#This Row],[No. of Valid  Internal Testing Defects]]/Table7[[#This Row],[No. of Testcases Executed]],"")</f>
        <v/>
      </c>
      <c r="AJ171" s="259" t="str">
        <f>IFERROR(IFERROR(Table7[[#This Row],[No. of Testcases Created]]/Table7[[#This Row],[Effort for Testcase Creation]],"")*9,"")</f>
        <v/>
      </c>
      <c r="AK171" s="256" t="str">
        <f>IFERROR((Table7[[#This Row],[No. of Testcases Executed]]/Table7[[#This Row],[Effort for Testcase Execution]])*9,"")</f>
        <v/>
      </c>
      <c r="AL17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1" s="259" t="str">
        <f>IFERROR(Table7[[#This Row],[No. of Defects Validated]]/SUMIFS(Table3[Hours Worked],Table3[Release Name],Table7[[#This Row],[Release Name]],Table3[Task Type],"Defect Validation")*9,"")</f>
        <v/>
      </c>
      <c r="AN171" s="258" t="str">
        <f>IFERROR((Table7[[#This Row],[No. of Valid  Internal Testing Defects]])/(Table7[[#This Row],[No. of Valid  Internal Testing Defects]]+Table7[[#This Row],[No. of Invalid Internal Testing Defects]]),"")</f>
        <v/>
      </c>
      <c r="AO171" s="258" t="str">
        <f>IFERROR(Table7[[#This Row],[No. of Valid External Testing Defects]]/(Table7[[#This Row],[No. of Valid External Testing Defects]]+Table7[[#This Row],[No. of Valid  Internal Testing Defects]]),"")</f>
        <v/>
      </c>
    </row>
    <row r="172" spans="2:41">
      <c r="B172" s="237"/>
      <c r="C172" s="14"/>
      <c r="D172" s="14"/>
      <c r="E172" s="14"/>
      <c r="F172" s="230" t="str">
        <f>IFERROR((Table47[[#This Row],[Initial No. of Requirements]]+Table47[[#This Row],[Modified Requirements( Added / Deleted /Modified)]])/Table47[[#This Row],[Initial No. of Requirements]],"")</f>
        <v/>
      </c>
      <c r="G17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2" s="249"/>
      <c r="J172" s="249"/>
      <c r="K172" s="250"/>
      <c r="L172" s="250"/>
      <c r="M172" s="250"/>
      <c r="N172" s="248">
        <f>SUMIFS(Table1[Size],Table1[Release Name],[2]!Table7[Release Name])</f>
        <v>0</v>
      </c>
      <c r="O172" s="248"/>
      <c r="P17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2" s="248"/>
      <c r="R17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2" s="248"/>
      <c r="T172" s="248"/>
      <c r="U172" s="248"/>
      <c r="V172" s="248"/>
      <c r="W172" s="248"/>
      <c r="X172" s="248"/>
      <c r="Y172" s="248"/>
      <c r="Z172" s="248"/>
      <c r="AA172" s="248"/>
      <c r="AB172" s="13">
        <f>SUMIFS(Table3[Hours Worked],Table3[Release Name],Table7[[#This Row],[Release Name]],Table3[Task Type],"Testcase Creation")</f>
        <v>0</v>
      </c>
      <c r="AC172" s="255">
        <f>SUMIFS(Table3[Hours Worked],Table3[Release Name],Table7[[#This Row],[Release Name]],Table3[Task Type],"Testcase Execution")</f>
        <v>0</v>
      </c>
      <c r="AD17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2" s="256" t="str">
        <f>IFERROR((Table7[[#This Row],[No. of Valid Internal Review Defects]]+Table7[[#This Row],[No. of Valid  Internal Testing Defects]]+Table7[[#This Row],[No. of  Valid External Review Defects]]+Table7[[#This Row],[No. of Valid External Testing Defects]])/Table7[[#This Row],[Size]],"")</f>
        <v/>
      </c>
      <c r="AF172" s="257" t="str">
        <f>IFERROR(Table7[[#This Row],[No. of Valid Internal Review Defects]]/(Table7[[#This Row],[No. of Valid Internal Review Defects]]+Table7[[#This Row],[No. of  Valid External Review Defects]]+Table7[[#This Row],[No. of Valid  Internal Testing Defects]]+Table7[[#This Row],[No. of Valid External Testing Defects]]),"")</f>
        <v/>
      </c>
      <c r="AG172" s="258" t="str">
        <f>IFERROR(Table7[[#This Row],[No. of Valid Internal Review Defects]]/(Table7[[#This Row],[No. of Valid Internal Review Defects]]+Table7[[#This Row],[No. of  Valid External Review Defects]]+Table7[[#This Row],[No. of Valid External Testing Defects]]),"")</f>
        <v/>
      </c>
      <c r="AH172" s="256" t="str">
        <f>IFERROR(Table7[[#This Row],[No. of Valid  Internal Testing Defects]]/Table7[[#This Row],[Overall Actual Effort for the release]],"")</f>
        <v/>
      </c>
      <c r="AI172" s="256" t="str">
        <f>IFERROR(Table7[[#This Row],[No. of Valid  Internal Testing Defects]]/Table7[[#This Row],[No. of Testcases Executed]],"")</f>
        <v/>
      </c>
      <c r="AJ172" s="259" t="str">
        <f>IFERROR(IFERROR(Table7[[#This Row],[No. of Testcases Created]]/Table7[[#This Row],[Effort for Testcase Creation]],"")*9,"")</f>
        <v/>
      </c>
      <c r="AK172" s="256" t="str">
        <f>IFERROR((Table7[[#This Row],[No. of Testcases Executed]]/Table7[[#This Row],[Effort for Testcase Execution]])*9,"")</f>
        <v/>
      </c>
      <c r="AL17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2" s="259" t="str">
        <f>IFERROR(Table7[[#This Row],[No. of Defects Validated]]/SUMIFS(Table3[Hours Worked],Table3[Release Name],Table7[[#This Row],[Release Name]],Table3[Task Type],"Defect Validation")*9,"")</f>
        <v/>
      </c>
      <c r="AN172" s="258" t="str">
        <f>IFERROR((Table7[[#This Row],[No. of Valid  Internal Testing Defects]])/(Table7[[#This Row],[No. of Valid  Internal Testing Defects]]+Table7[[#This Row],[No. of Invalid Internal Testing Defects]]),"")</f>
        <v/>
      </c>
      <c r="AO172" s="258" t="str">
        <f>IFERROR(Table7[[#This Row],[No. of Valid External Testing Defects]]/(Table7[[#This Row],[No. of Valid External Testing Defects]]+Table7[[#This Row],[No. of Valid  Internal Testing Defects]]),"")</f>
        <v/>
      </c>
    </row>
    <row r="173" spans="2:41">
      <c r="B173" s="237"/>
      <c r="C173" s="14"/>
      <c r="D173" s="14"/>
      <c r="E173" s="14"/>
      <c r="F173" s="230" t="str">
        <f>IFERROR((Table47[[#This Row],[Initial No. of Requirements]]+Table47[[#This Row],[Modified Requirements( Added / Deleted /Modified)]])/Table47[[#This Row],[Initial No. of Requirements]],"")</f>
        <v/>
      </c>
      <c r="G17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3" s="249"/>
      <c r="J173" s="249"/>
      <c r="K173" s="250"/>
      <c r="L173" s="250"/>
      <c r="M173" s="250"/>
      <c r="N173" s="248">
        <f>SUMIFS(Table1[Size],Table1[Release Name],[2]!Table7[Release Name])</f>
        <v>0</v>
      </c>
      <c r="O173" s="248"/>
      <c r="P17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3" s="248"/>
      <c r="R17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3" s="248"/>
      <c r="T173" s="248"/>
      <c r="U173" s="248"/>
      <c r="V173" s="248"/>
      <c r="W173" s="248"/>
      <c r="X173" s="248"/>
      <c r="Y173" s="248"/>
      <c r="Z173" s="248"/>
      <c r="AA173" s="248"/>
      <c r="AB173" s="13">
        <f>SUMIFS(Table3[Hours Worked],Table3[Release Name],Table7[[#This Row],[Release Name]],Table3[Task Type],"Testcase Creation")</f>
        <v>0</v>
      </c>
      <c r="AC173" s="255">
        <f>SUMIFS(Table3[Hours Worked],Table3[Release Name],Table7[[#This Row],[Release Name]],Table3[Task Type],"Testcase Execution")</f>
        <v>0</v>
      </c>
      <c r="AD17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3" s="256" t="str">
        <f>IFERROR((Table7[[#This Row],[No. of Valid Internal Review Defects]]+Table7[[#This Row],[No. of Valid  Internal Testing Defects]]+Table7[[#This Row],[No. of  Valid External Review Defects]]+Table7[[#This Row],[No. of Valid External Testing Defects]])/Table7[[#This Row],[Size]],"")</f>
        <v/>
      </c>
      <c r="AF173" s="257" t="str">
        <f>IFERROR(Table7[[#This Row],[No. of Valid Internal Review Defects]]/(Table7[[#This Row],[No. of Valid Internal Review Defects]]+Table7[[#This Row],[No. of  Valid External Review Defects]]+Table7[[#This Row],[No. of Valid  Internal Testing Defects]]+Table7[[#This Row],[No. of Valid External Testing Defects]]),"")</f>
        <v/>
      </c>
      <c r="AG173" s="258" t="str">
        <f>IFERROR(Table7[[#This Row],[No. of Valid Internal Review Defects]]/(Table7[[#This Row],[No. of Valid Internal Review Defects]]+Table7[[#This Row],[No. of  Valid External Review Defects]]+Table7[[#This Row],[No. of Valid External Testing Defects]]),"")</f>
        <v/>
      </c>
      <c r="AH173" s="256" t="str">
        <f>IFERROR(Table7[[#This Row],[No. of Valid  Internal Testing Defects]]/Table7[[#This Row],[Overall Actual Effort for the release]],"")</f>
        <v/>
      </c>
      <c r="AI173" s="256" t="str">
        <f>IFERROR(Table7[[#This Row],[No. of Valid  Internal Testing Defects]]/Table7[[#This Row],[No. of Testcases Executed]],"")</f>
        <v/>
      </c>
      <c r="AJ173" s="259" t="str">
        <f>IFERROR(IFERROR(Table7[[#This Row],[No. of Testcases Created]]/Table7[[#This Row],[Effort for Testcase Creation]],"")*9,"")</f>
        <v/>
      </c>
      <c r="AK173" s="256" t="str">
        <f>IFERROR((Table7[[#This Row],[No. of Testcases Executed]]/Table7[[#This Row],[Effort for Testcase Execution]])*9,"")</f>
        <v/>
      </c>
      <c r="AL17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3" s="259" t="str">
        <f>IFERROR(Table7[[#This Row],[No. of Defects Validated]]/SUMIFS(Table3[Hours Worked],Table3[Release Name],Table7[[#This Row],[Release Name]],Table3[Task Type],"Defect Validation")*9,"")</f>
        <v/>
      </c>
      <c r="AN173" s="258" t="str">
        <f>IFERROR((Table7[[#This Row],[No. of Valid  Internal Testing Defects]])/(Table7[[#This Row],[No. of Valid  Internal Testing Defects]]+Table7[[#This Row],[No. of Invalid Internal Testing Defects]]),"")</f>
        <v/>
      </c>
      <c r="AO173" s="258" t="str">
        <f>IFERROR(Table7[[#This Row],[No. of Valid External Testing Defects]]/(Table7[[#This Row],[No. of Valid External Testing Defects]]+Table7[[#This Row],[No. of Valid  Internal Testing Defects]]),"")</f>
        <v/>
      </c>
    </row>
    <row r="174" spans="2:41">
      <c r="B174" s="237"/>
      <c r="C174" s="14"/>
      <c r="D174" s="14"/>
      <c r="E174" s="14"/>
      <c r="F174" s="230" t="str">
        <f>IFERROR((Table47[[#This Row],[Initial No. of Requirements]]+Table47[[#This Row],[Modified Requirements( Added / Deleted /Modified)]])/Table47[[#This Row],[Initial No. of Requirements]],"")</f>
        <v/>
      </c>
      <c r="G17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4" s="249"/>
      <c r="J174" s="249"/>
      <c r="K174" s="250"/>
      <c r="L174" s="250"/>
      <c r="M174" s="250"/>
      <c r="N174" s="248">
        <f>SUMIFS(Table1[Size],Table1[Release Name],[2]!Table7[Release Name])</f>
        <v>0</v>
      </c>
      <c r="O174" s="248"/>
      <c r="P17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4" s="248"/>
      <c r="R17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4" s="248"/>
      <c r="T174" s="248"/>
      <c r="U174" s="248"/>
      <c r="V174" s="248"/>
      <c r="W174" s="248"/>
      <c r="X174" s="248"/>
      <c r="Y174" s="248"/>
      <c r="Z174" s="248"/>
      <c r="AA174" s="248"/>
      <c r="AB174" s="13">
        <f>SUMIFS(Table3[Hours Worked],Table3[Release Name],Table7[[#This Row],[Release Name]],Table3[Task Type],"Testcase Creation")</f>
        <v>0</v>
      </c>
      <c r="AC174" s="255">
        <f>SUMIFS(Table3[Hours Worked],Table3[Release Name],Table7[[#This Row],[Release Name]],Table3[Task Type],"Testcase Execution")</f>
        <v>0</v>
      </c>
      <c r="AD17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4" s="256" t="str">
        <f>IFERROR((Table7[[#This Row],[No. of Valid Internal Review Defects]]+Table7[[#This Row],[No. of Valid  Internal Testing Defects]]+Table7[[#This Row],[No. of  Valid External Review Defects]]+Table7[[#This Row],[No. of Valid External Testing Defects]])/Table7[[#This Row],[Size]],"")</f>
        <v/>
      </c>
      <c r="AF174" s="257" t="str">
        <f>IFERROR(Table7[[#This Row],[No. of Valid Internal Review Defects]]/(Table7[[#This Row],[No. of Valid Internal Review Defects]]+Table7[[#This Row],[No. of  Valid External Review Defects]]+Table7[[#This Row],[No. of Valid  Internal Testing Defects]]+Table7[[#This Row],[No. of Valid External Testing Defects]]),"")</f>
        <v/>
      </c>
      <c r="AG174" s="258" t="str">
        <f>IFERROR(Table7[[#This Row],[No. of Valid Internal Review Defects]]/(Table7[[#This Row],[No. of Valid Internal Review Defects]]+Table7[[#This Row],[No. of  Valid External Review Defects]]+Table7[[#This Row],[No. of Valid External Testing Defects]]),"")</f>
        <v/>
      </c>
      <c r="AH174" s="256" t="str">
        <f>IFERROR(Table7[[#This Row],[No. of Valid  Internal Testing Defects]]/Table7[[#This Row],[Overall Actual Effort for the release]],"")</f>
        <v/>
      </c>
      <c r="AI174" s="256" t="str">
        <f>IFERROR(Table7[[#This Row],[No. of Valid  Internal Testing Defects]]/Table7[[#This Row],[No. of Testcases Executed]],"")</f>
        <v/>
      </c>
      <c r="AJ174" s="259" t="str">
        <f>IFERROR(IFERROR(Table7[[#This Row],[No. of Testcases Created]]/Table7[[#This Row],[Effort for Testcase Creation]],"")*9,"")</f>
        <v/>
      </c>
      <c r="AK174" s="256" t="str">
        <f>IFERROR((Table7[[#This Row],[No. of Testcases Executed]]/Table7[[#This Row],[Effort for Testcase Execution]])*9,"")</f>
        <v/>
      </c>
      <c r="AL17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4" s="259" t="str">
        <f>IFERROR(Table7[[#This Row],[No. of Defects Validated]]/SUMIFS(Table3[Hours Worked],Table3[Release Name],Table7[[#This Row],[Release Name]],Table3[Task Type],"Defect Validation")*9,"")</f>
        <v/>
      </c>
      <c r="AN174" s="258" t="str">
        <f>IFERROR((Table7[[#This Row],[No. of Valid  Internal Testing Defects]])/(Table7[[#This Row],[No. of Valid  Internal Testing Defects]]+Table7[[#This Row],[No. of Invalid Internal Testing Defects]]),"")</f>
        <v/>
      </c>
      <c r="AO174" s="258" t="str">
        <f>IFERROR(Table7[[#This Row],[No. of Valid External Testing Defects]]/(Table7[[#This Row],[No. of Valid External Testing Defects]]+Table7[[#This Row],[No. of Valid  Internal Testing Defects]]),"")</f>
        <v/>
      </c>
    </row>
    <row r="175" spans="2:41">
      <c r="B175" s="237"/>
      <c r="C175" s="14"/>
      <c r="D175" s="14"/>
      <c r="E175" s="14"/>
      <c r="F175" s="230" t="str">
        <f>IFERROR((Table47[[#This Row],[Initial No. of Requirements]]+Table47[[#This Row],[Modified Requirements( Added / Deleted /Modified)]])/Table47[[#This Row],[Initial No. of Requirements]],"")</f>
        <v/>
      </c>
      <c r="G17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5" s="249"/>
      <c r="J175" s="249"/>
      <c r="K175" s="250"/>
      <c r="L175" s="250"/>
      <c r="M175" s="250"/>
      <c r="N175" s="248">
        <f>SUMIFS(Table1[Size],Table1[Release Name],[2]!Table7[Release Name])</f>
        <v>0</v>
      </c>
      <c r="O175" s="248"/>
      <c r="P17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5" s="248"/>
      <c r="R17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5" s="248"/>
      <c r="T175" s="248"/>
      <c r="U175" s="248"/>
      <c r="V175" s="248"/>
      <c r="W175" s="248"/>
      <c r="X175" s="248"/>
      <c r="Y175" s="248"/>
      <c r="Z175" s="248"/>
      <c r="AA175" s="248"/>
      <c r="AB175" s="13">
        <f>SUMIFS(Table3[Hours Worked],Table3[Release Name],Table7[[#This Row],[Release Name]],Table3[Task Type],"Testcase Creation")</f>
        <v>0</v>
      </c>
      <c r="AC175" s="255">
        <f>SUMIFS(Table3[Hours Worked],Table3[Release Name],Table7[[#This Row],[Release Name]],Table3[Task Type],"Testcase Execution")</f>
        <v>0</v>
      </c>
      <c r="AD17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5" s="256" t="str">
        <f>IFERROR((Table7[[#This Row],[No. of Valid Internal Review Defects]]+Table7[[#This Row],[No. of Valid  Internal Testing Defects]]+Table7[[#This Row],[No. of  Valid External Review Defects]]+Table7[[#This Row],[No. of Valid External Testing Defects]])/Table7[[#This Row],[Size]],"")</f>
        <v/>
      </c>
      <c r="AF175" s="257" t="str">
        <f>IFERROR(Table7[[#This Row],[No. of Valid Internal Review Defects]]/(Table7[[#This Row],[No. of Valid Internal Review Defects]]+Table7[[#This Row],[No. of  Valid External Review Defects]]+Table7[[#This Row],[No. of Valid  Internal Testing Defects]]+Table7[[#This Row],[No. of Valid External Testing Defects]]),"")</f>
        <v/>
      </c>
      <c r="AG175" s="258" t="str">
        <f>IFERROR(Table7[[#This Row],[No. of Valid Internal Review Defects]]/(Table7[[#This Row],[No. of Valid Internal Review Defects]]+Table7[[#This Row],[No. of  Valid External Review Defects]]+Table7[[#This Row],[No. of Valid External Testing Defects]]),"")</f>
        <v/>
      </c>
      <c r="AH175" s="256" t="str">
        <f>IFERROR(Table7[[#This Row],[No. of Valid  Internal Testing Defects]]/Table7[[#This Row],[Overall Actual Effort for the release]],"")</f>
        <v/>
      </c>
      <c r="AI175" s="256" t="str">
        <f>IFERROR(Table7[[#This Row],[No. of Valid  Internal Testing Defects]]/Table7[[#This Row],[No. of Testcases Executed]],"")</f>
        <v/>
      </c>
      <c r="AJ175" s="259" t="str">
        <f>IFERROR(IFERROR(Table7[[#This Row],[No. of Testcases Created]]/Table7[[#This Row],[Effort for Testcase Creation]],"")*9,"")</f>
        <v/>
      </c>
      <c r="AK175" s="256" t="str">
        <f>IFERROR((Table7[[#This Row],[No. of Testcases Executed]]/Table7[[#This Row],[Effort for Testcase Execution]])*9,"")</f>
        <v/>
      </c>
      <c r="AL17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5" s="259" t="str">
        <f>IFERROR(Table7[[#This Row],[No. of Defects Validated]]/SUMIFS(Table3[Hours Worked],Table3[Release Name],Table7[[#This Row],[Release Name]],Table3[Task Type],"Defect Validation")*9,"")</f>
        <v/>
      </c>
      <c r="AN175" s="258" t="str">
        <f>IFERROR((Table7[[#This Row],[No. of Valid  Internal Testing Defects]])/(Table7[[#This Row],[No. of Valid  Internal Testing Defects]]+Table7[[#This Row],[No. of Invalid Internal Testing Defects]]),"")</f>
        <v/>
      </c>
      <c r="AO175" s="258" t="str">
        <f>IFERROR(Table7[[#This Row],[No. of Valid External Testing Defects]]/(Table7[[#This Row],[No. of Valid External Testing Defects]]+Table7[[#This Row],[No. of Valid  Internal Testing Defects]]),"")</f>
        <v/>
      </c>
    </row>
    <row r="176" spans="2:41">
      <c r="B176" s="237"/>
      <c r="C176" s="14"/>
      <c r="D176" s="14"/>
      <c r="E176" s="14"/>
      <c r="F176" s="230" t="str">
        <f>IFERROR((Table47[[#This Row],[Initial No. of Requirements]]+Table47[[#This Row],[Modified Requirements( Added / Deleted /Modified)]])/Table47[[#This Row],[Initial No. of Requirements]],"")</f>
        <v/>
      </c>
      <c r="G17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6" s="249"/>
      <c r="J176" s="249"/>
      <c r="K176" s="250"/>
      <c r="L176" s="250"/>
      <c r="M176" s="250"/>
      <c r="N176" s="248">
        <f>SUMIFS(Table1[Size],Table1[Release Name],[2]!Table7[Release Name])</f>
        <v>0</v>
      </c>
      <c r="O176" s="248"/>
      <c r="P17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6" s="248"/>
      <c r="R17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6" s="248"/>
      <c r="T176" s="248"/>
      <c r="U176" s="248"/>
      <c r="V176" s="248"/>
      <c r="W176" s="248"/>
      <c r="X176" s="248"/>
      <c r="Y176" s="248"/>
      <c r="Z176" s="248"/>
      <c r="AA176" s="248"/>
      <c r="AB176" s="13">
        <f>SUMIFS(Table3[Hours Worked],Table3[Release Name],Table7[[#This Row],[Release Name]],Table3[Task Type],"Testcase Creation")</f>
        <v>0</v>
      </c>
      <c r="AC176" s="255">
        <f>SUMIFS(Table3[Hours Worked],Table3[Release Name],Table7[[#This Row],[Release Name]],Table3[Task Type],"Testcase Execution")</f>
        <v>0</v>
      </c>
      <c r="AD17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6" s="256" t="str">
        <f>IFERROR((Table7[[#This Row],[No. of Valid Internal Review Defects]]+Table7[[#This Row],[No. of Valid  Internal Testing Defects]]+Table7[[#This Row],[No. of  Valid External Review Defects]]+Table7[[#This Row],[No. of Valid External Testing Defects]])/Table7[[#This Row],[Size]],"")</f>
        <v/>
      </c>
      <c r="AF176" s="257" t="str">
        <f>IFERROR(Table7[[#This Row],[No. of Valid Internal Review Defects]]/(Table7[[#This Row],[No. of Valid Internal Review Defects]]+Table7[[#This Row],[No. of  Valid External Review Defects]]+Table7[[#This Row],[No. of Valid  Internal Testing Defects]]+Table7[[#This Row],[No. of Valid External Testing Defects]]),"")</f>
        <v/>
      </c>
      <c r="AG176" s="258" t="str">
        <f>IFERROR(Table7[[#This Row],[No. of Valid Internal Review Defects]]/(Table7[[#This Row],[No. of Valid Internal Review Defects]]+Table7[[#This Row],[No. of  Valid External Review Defects]]+Table7[[#This Row],[No. of Valid External Testing Defects]]),"")</f>
        <v/>
      </c>
      <c r="AH176" s="256" t="str">
        <f>IFERROR(Table7[[#This Row],[No. of Valid  Internal Testing Defects]]/Table7[[#This Row],[Overall Actual Effort for the release]],"")</f>
        <v/>
      </c>
      <c r="AI176" s="256" t="str">
        <f>IFERROR(Table7[[#This Row],[No. of Valid  Internal Testing Defects]]/Table7[[#This Row],[No. of Testcases Executed]],"")</f>
        <v/>
      </c>
      <c r="AJ176" s="259" t="str">
        <f>IFERROR(IFERROR(Table7[[#This Row],[No. of Testcases Created]]/Table7[[#This Row],[Effort for Testcase Creation]],"")*9,"")</f>
        <v/>
      </c>
      <c r="AK176" s="256" t="str">
        <f>IFERROR((Table7[[#This Row],[No. of Testcases Executed]]/Table7[[#This Row],[Effort for Testcase Execution]])*9,"")</f>
        <v/>
      </c>
      <c r="AL17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6" s="259" t="str">
        <f>IFERROR(Table7[[#This Row],[No. of Defects Validated]]/SUMIFS(Table3[Hours Worked],Table3[Release Name],Table7[[#This Row],[Release Name]],Table3[Task Type],"Defect Validation")*9,"")</f>
        <v/>
      </c>
      <c r="AN176" s="258" t="str">
        <f>IFERROR((Table7[[#This Row],[No. of Valid  Internal Testing Defects]])/(Table7[[#This Row],[No. of Valid  Internal Testing Defects]]+Table7[[#This Row],[No. of Invalid Internal Testing Defects]]),"")</f>
        <v/>
      </c>
      <c r="AO176" s="258" t="str">
        <f>IFERROR(Table7[[#This Row],[No. of Valid External Testing Defects]]/(Table7[[#This Row],[No. of Valid External Testing Defects]]+Table7[[#This Row],[No. of Valid  Internal Testing Defects]]),"")</f>
        <v/>
      </c>
    </row>
    <row r="177" spans="2:41">
      <c r="B177" s="237"/>
      <c r="C177" s="14"/>
      <c r="D177" s="14"/>
      <c r="E177" s="14"/>
      <c r="F177" s="230" t="str">
        <f>IFERROR((Table47[[#This Row],[Initial No. of Requirements]]+Table47[[#This Row],[Modified Requirements( Added / Deleted /Modified)]])/Table47[[#This Row],[Initial No. of Requirements]],"")</f>
        <v/>
      </c>
      <c r="G17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7" s="249"/>
      <c r="J177" s="249"/>
      <c r="K177" s="250"/>
      <c r="L177" s="250"/>
      <c r="M177" s="250"/>
      <c r="N177" s="248">
        <f>SUMIFS(Table1[Size],Table1[Release Name],[2]!Table7[Release Name])</f>
        <v>0</v>
      </c>
      <c r="O177" s="248"/>
      <c r="P17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7" s="248"/>
      <c r="R17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7" s="248"/>
      <c r="T177" s="248"/>
      <c r="U177" s="248"/>
      <c r="V177" s="248"/>
      <c r="W177" s="248"/>
      <c r="X177" s="248"/>
      <c r="Y177" s="248"/>
      <c r="Z177" s="248"/>
      <c r="AA177" s="248"/>
      <c r="AB177" s="13">
        <f>SUMIFS(Table3[Hours Worked],Table3[Release Name],Table7[[#This Row],[Release Name]],Table3[Task Type],"Testcase Creation")</f>
        <v>0</v>
      </c>
      <c r="AC177" s="255">
        <f>SUMIFS(Table3[Hours Worked],Table3[Release Name],Table7[[#This Row],[Release Name]],Table3[Task Type],"Testcase Execution")</f>
        <v>0</v>
      </c>
      <c r="AD17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7" s="256" t="str">
        <f>IFERROR((Table7[[#This Row],[No. of Valid Internal Review Defects]]+Table7[[#This Row],[No. of Valid  Internal Testing Defects]]+Table7[[#This Row],[No. of  Valid External Review Defects]]+Table7[[#This Row],[No. of Valid External Testing Defects]])/Table7[[#This Row],[Size]],"")</f>
        <v/>
      </c>
      <c r="AF177" s="257" t="str">
        <f>IFERROR(Table7[[#This Row],[No. of Valid Internal Review Defects]]/(Table7[[#This Row],[No. of Valid Internal Review Defects]]+Table7[[#This Row],[No. of  Valid External Review Defects]]+Table7[[#This Row],[No. of Valid  Internal Testing Defects]]+Table7[[#This Row],[No. of Valid External Testing Defects]]),"")</f>
        <v/>
      </c>
      <c r="AG177" s="258" t="str">
        <f>IFERROR(Table7[[#This Row],[No. of Valid Internal Review Defects]]/(Table7[[#This Row],[No. of Valid Internal Review Defects]]+Table7[[#This Row],[No. of  Valid External Review Defects]]+Table7[[#This Row],[No. of Valid External Testing Defects]]),"")</f>
        <v/>
      </c>
      <c r="AH177" s="256" t="str">
        <f>IFERROR(Table7[[#This Row],[No. of Valid  Internal Testing Defects]]/Table7[[#This Row],[Overall Actual Effort for the release]],"")</f>
        <v/>
      </c>
      <c r="AI177" s="256" t="str">
        <f>IFERROR(Table7[[#This Row],[No. of Valid  Internal Testing Defects]]/Table7[[#This Row],[No. of Testcases Executed]],"")</f>
        <v/>
      </c>
      <c r="AJ177" s="259" t="str">
        <f>IFERROR(IFERROR(Table7[[#This Row],[No. of Testcases Created]]/Table7[[#This Row],[Effort for Testcase Creation]],"")*9,"")</f>
        <v/>
      </c>
      <c r="AK177" s="256" t="str">
        <f>IFERROR((Table7[[#This Row],[No. of Testcases Executed]]/Table7[[#This Row],[Effort for Testcase Execution]])*9,"")</f>
        <v/>
      </c>
      <c r="AL17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7" s="259" t="str">
        <f>IFERROR(Table7[[#This Row],[No. of Defects Validated]]/SUMIFS(Table3[Hours Worked],Table3[Release Name],Table7[[#This Row],[Release Name]],Table3[Task Type],"Defect Validation")*9,"")</f>
        <v/>
      </c>
      <c r="AN177" s="258" t="str">
        <f>IFERROR((Table7[[#This Row],[No. of Valid  Internal Testing Defects]])/(Table7[[#This Row],[No. of Valid  Internal Testing Defects]]+Table7[[#This Row],[No. of Invalid Internal Testing Defects]]),"")</f>
        <v/>
      </c>
      <c r="AO177" s="258" t="str">
        <f>IFERROR(Table7[[#This Row],[No. of Valid External Testing Defects]]/(Table7[[#This Row],[No. of Valid External Testing Defects]]+Table7[[#This Row],[No. of Valid  Internal Testing Defects]]),"")</f>
        <v/>
      </c>
    </row>
    <row r="178" spans="2:41">
      <c r="B178" s="237"/>
      <c r="C178" s="14"/>
      <c r="D178" s="14"/>
      <c r="E178" s="14"/>
      <c r="F178" s="230" t="str">
        <f>IFERROR((Table47[[#This Row],[Initial No. of Requirements]]+Table47[[#This Row],[Modified Requirements( Added / Deleted /Modified)]])/Table47[[#This Row],[Initial No. of Requirements]],"")</f>
        <v/>
      </c>
      <c r="G17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8" s="249"/>
      <c r="J178" s="249"/>
      <c r="K178" s="250"/>
      <c r="L178" s="250"/>
      <c r="M178" s="250"/>
      <c r="N178" s="248">
        <f>SUMIFS(Table1[Size],Table1[Release Name],[2]!Table7[Release Name])</f>
        <v>0</v>
      </c>
      <c r="O178" s="248"/>
      <c r="P17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8" s="248"/>
      <c r="R17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8" s="248"/>
      <c r="T178" s="248"/>
      <c r="U178" s="248"/>
      <c r="V178" s="248"/>
      <c r="W178" s="248"/>
      <c r="X178" s="248"/>
      <c r="Y178" s="248"/>
      <c r="Z178" s="248"/>
      <c r="AA178" s="248"/>
      <c r="AB178" s="13">
        <f>SUMIFS(Table3[Hours Worked],Table3[Release Name],Table7[[#This Row],[Release Name]],Table3[Task Type],"Testcase Creation")</f>
        <v>0</v>
      </c>
      <c r="AC178" s="255">
        <f>SUMIFS(Table3[Hours Worked],Table3[Release Name],Table7[[#This Row],[Release Name]],Table3[Task Type],"Testcase Execution")</f>
        <v>0</v>
      </c>
      <c r="AD17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8" s="256" t="str">
        <f>IFERROR((Table7[[#This Row],[No. of Valid Internal Review Defects]]+Table7[[#This Row],[No. of Valid  Internal Testing Defects]]+Table7[[#This Row],[No. of  Valid External Review Defects]]+Table7[[#This Row],[No. of Valid External Testing Defects]])/Table7[[#This Row],[Size]],"")</f>
        <v/>
      </c>
      <c r="AF178" s="257" t="str">
        <f>IFERROR(Table7[[#This Row],[No. of Valid Internal Review Defects]]/(Table7[[#This Row],[No. of Valid Internal Review Defects]]+Table7[[#This Row],[No. of  Valid External Review Defects]]+Table7[[#This Row],[No. of Valid  Internal Testing Defects]]+Table7[[#This Row],[No. of Valid External Testing Defects]]),"")</f>
        <v/>
      </c>
      <c r="AG178" s="258" t="str">
        <f>IFERROR(Table7[[#This Row],[No. of Valid Internal Review Defects]]/(Table7[[#This Row],[No. of Valid Internal Review Defects]]+Table7[[#This Row],[No. of  Valid External Review Defects]]+Table7[[#This Row],[No. of Valid External Testing Defects]]),"")</f>
        <v/>
      </c>
      <c r="AH178" s="256" t="str">
        <f>IFERROR(Table7[[#This Row],[No. of Valid  Internal Testing Defects]]/Table7[[#This Row],[Overall Actual Effort for the release]],"")</f>
        <v/>
      </c>
      <c r="AI178" s="256" t="str">
        <f>IFERROR(Table7[[#This Row],[No. of Valid  Internal Testing Defects]]/Table7[[#This Row],[No. of Testcases Executed]],"")</f>
        <v/>
      </c>
      <c r="AJ178" s="259" t="str">
        <f>IFERROR(IFERROR(Table7[[#This Row],[No. of Testcases Created]]/Table7[[#This Row],[Effort for Testcase Creation]],"")*9,"")</f>
        <v/>
      </c>
      <c r="AK178" s="256" t="str">
        <f>IFERROR((Table7[[#This Row],[No. of Testcases Executed]]/Table7[[#This Row],[Effort for Testcase Execution]])*9,"")</f>
        <v/>
      </c>
      <c r="AL17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8" s="259" t="str">
        <f>IFERROR(Table7[[#This Row],[No. of Defects Validated]]/SUMIFS(Table3[Hours Worked],Table3[Release Name],Table7[[#This Row],[Release Name]],Table3[Task Type],"Defect Validation")*9,"")</f>
        <v/>
      </c>
      <c r="AN178" s="258" t="str">
        <f>IFERROR((Table7[[#This Row],[No. of Valid  Internal Testing Defects]])/(Table7[[#This Row],[No. of Valid  Internal Testing Defects]]+Table7[[#This Row],[No. of Invalid Internal Testing Defects]]),"")</f>
        <v/>
      </c>
      <c r="AO178" s="258" t="str">
        <f>IFERROR(Table7[[#This Row],[No. of Valid External Testing Defects]]/(Table7[[#This Row],[No. of Valid External Testing Defects]]+Table7[[#This Row],[No. of Valid  Internal Testing Defects]]),"")</f>
        <v/>
      </c>
    </row>
    <row r="179" spans="2:41">
      <c r="B179" s="237"/>
      <c r="C179" s="14"/>
      <c r="D179" s="14"/>
      <c r="E179" s="14"/>
      <c r="F179" s="230" t="str">
        <f>IFERROR((Table47[[#This Row],[Initial No. of Requirements]]+Table47[[#This Row],[Modified Requirements( Added / Deleted /Modified)]])/Table47[[#This Row],[Initial No. of Requirements]],"")</f>
        <v/>
      </c>
      <c r="G17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79" s="249"/>
      <c r="J179" s="249"/>
      <c r="K179" s="250"/>
      <c r="L179" s="250"/>
      <c r="M179" s="250"/>
      <c r="N179" s="248">
        <f>SUMIFS(Table1[Size],Table1[Release Name],[2]!Table7[Release Name])</f>
        <v>0</v>
      </c>
      <c r="O179" s="248"/>
      <c r="P17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79" s="248"/>
      <c r="R17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79" s="248"/>
      <c r="T179" s="248"/>
      <c r="U179" s="248"/>
      <c r="V179" s="248"/>
      <c r="W179" s="248"/>
      <c r="X179" s="248"/>
      <c r="Y179" s="248"/>
      <c r="Z179" s="248"/>
      <c r="AA179" s="248"/>
      <c r="AB179" s="13">
        <f>SUMIFS(Table3[Hours Worked],Table3[Release Name],Table7[[#This Row],[Release Name]],Table3[Task Type],"Testcase Creation")</f>
        <v>0</v>
      </c>
      <c r="AC179" s="255">
        <f>SUMIFS(Table3[Hours Worked],Table3[Release Name],Table7[[#This Row],[Release Name]],Table3[Task Type],"Testcase Execution")</f>
        <v>0</v>
      </c>
      <c r="AD17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79" s="256" t="str">
        <f>IFERROR((Table7[[#This Row],[No. of Valid Internal Review Defects]]+Table7[[#This Row],[No. of Valid  Internal Testing Defects]]+Table7[[#This Row],[No. of  Valid External Review Defects]]+Table7[[#This Row],[No. of Valid External Testing Defects]])/Table7[[#This Row],[Size]],"")</f>
        <v/>
      </c>
      <c r="AF179" s="257" t="str">
        <f>IFERROR(Table7[[#This Row],[No. of Valid Internal Review Defects]]/(Table7[[#This Row],[No. of Valid Internal Review Defects]]+Table7[[#This Row],[No. of  Valid External Review Defects]]+Table7[[#This Row],[No. of Valid  Internal Testing Defects]]+Table7[[#This Row],[No. of Valid External Testing Defects]]),"")</f>
        <v/>
      </c>
      <c r="AG179" s="258" t="str">
        <f>IFERROR(Table7[[#This Row],[No. of Valid Internal Review Defects]]/(Table7[[#This Row],[No. of Valid Internal Review Defects]]+Table7[[#This Row],[No. of  Valid External Review Defects]]+Table7[[#This Row],[No. of Valid External Testing Defects]]),"")</f>
        <v/>
      </c>
      <c r="AH179" s="256" t="str">
        <f>IFERROR(Table7[[#This Row],[No. of Valid  Internal Testing Defects]]/Table7[[#This Row],[Overall Actual Effort for the release]],"")</f>
        <v/>
      </c>
      <c r="AI179" s="256" t="str">
        <f>IFERROR(Table7[[#This Row],[No. of Valid  Internal Testing Defects]]/Table7[[#This Row],[No. of Testcases Executed]],"")</f>
        <v/>
      </c>
      <c r="AJ179" s="259" t="str">
        <f>IFERROR(IFERROR(Table7[[#This Row],[No. of Testcases Created]]/Table7[[#This Row],[Effort for Testcase Creation]],"")*9,"")</f>
        <v/>
      </c>
      <c r="AK179" s="256" t="str">
        <f>IFERROR((Table7[[#This Row],[No. of Testcases Executed]]/Table7[[#This Row],[Effort for Testcase Execution]])*9,"")</f>
        <v/>
      </c>
      <c r="AL17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79" s="259" t="str">
        <f>IFERROR(Table7[[#This Row],[No. of Defects Validated]]/SUMIFS(Table3[Hours Worked],Table3[Release Name],Table7[[#This Row],[Release Name]],Table3[Task Type],"Defect Validation")*9,"")</f>
        <v/>
      </c>
      <c r="AN179" s="258" t="str">
        <f>IFERROR((Table7[[#This Row],[No. of Valid  Internal Testing Defects]])/(Table7[[#This Row],[No. of Valid  Internal Testing Defects]]+Table7[[#This Row],[No. of Invalid Internal Testing Defects]]),"")</f>
        <v/>
      </c>
      <c r="AO179" s="258" t="str">
        <f>IFERROR(Table7[[#This Row],[No. of Valid External Testing Defects]]/(Table7[[#This Row],[No. of Valid External Testing Defects]]+Table7[[#This Row],[No. of Valid  Internal Testing Defects]]),"")</f>
        <v/>
      </c>
    </row>
    <row r="180" spans="2:41">
      <c r="B180" s="237"/>
      <c r="C180" s="14"/>
      <c r="D180" s="14"/>
      <c r="E180" s="14"/>
      <c r="F180" s="230" t="str">
        <f>IFERROR((Table47[[#This Row],[Initial No. of Requirements]]+Table47[[#This Row],[Modified Requirements( Added / Deleted /Modified)]])/Table47[[#This Row],[Initial No. of Requirements]],"")</f>
        <v/>
      </c>
      <c r="G18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0" s="249"/>
      <c r="J180" s="249"/>
      <c r="K180" s="250"/>
      <c r="L180" s="250"/>
      <c r="M180" s="250"/>
      <c r="N180" s="248">
        <f>SUMIFS(Table1[Size],Table1[Release Name],[2]!Table7[Release Name])</f>
        <v>0</v>
      </c>
      <c r="O180" s="248"/>
      <c r="P18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0" s="248"/>
      <c r="R18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0" s="248"/>
      <c r="T180" s="248"/>
      <c r="U180" s="248"/>
      <c r="V180" s="248"/>
      <c r="W180" s="248"/>
      <c r="X180" s="248"/>
      <c r="Y180" s="248"/>
      <c r="Z180" s="248"/>
      <c r="AA180" s="248"/>
      <c r="AB180" s="13">
        <f>SUMIFS(Table3[Hours Worked],Table3[Release Name],Table7[[#This Row],[Release Name]],Table3[Task Type],"Testcase Creation")</f>
        <v>0</v>
      </c>
      <c r="AC180" s="255">
        <f>SUMIFS(Table3[Hours Worked],Table3[Release Name],Table7[[#This Row],[Release Name]],Table3[Task Type],"Testcase Execution")</f>
        <v>0</v>
      </c>
      <c r="AD18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0" s="256" t="str">
        <f>IFERROR((Table7[[#This Row],[No. of Valid Internal Review Defects]]+Table7[[#This Row],[No. of Valid  Internal Testing Defects]]+Table7[[#This Row],[No. of  Valid External Review Defects]]+Table7[[#This Row],[No. of Valid External Testing Defects]])/Table7[[#This Row],[Size]],"")</f>
        <v/>
      </c>
      <c r="AF180" s="257" t="str">
        <f>IFERROR(Table7[[#This Row],[No. of Valid Internal Review Defects]]/(Table7[[#This Row],[No. of Valid Internal Review Defects]]+Table7[[#This Row],[No. of  Valid External Review Defects]]+Table7[[#This Row],[No. of Valid  Internal Testing Defects]]+Table7[[#This Row],[No. of Valid External Testing Defects]]),"")</f>
        <v/>
      </c>
      <c r="AG180" s="258" t="str">
        <f>IFERROR(Table7[[#This Row],[No. of Valid Internal Review Defects]]/(Table7[[#This Row],[No. of Valid Internal Review Defects]]+Table7[[#This Row],[No. of  Valid External Review Defects]]+Table7[[#This Row],[No. of Valid External Testing Defects]]),"")</f>
        <v/>
      </c>
      <c r="AH180" s="256" t="str">
        <f>IFERROR(Table7[[#This Row],[No. of Valid  Internal Testing Defects]]/Table7[[#This Row],[Overall Actual Effort for the release]],"")</f>
        <v/>
      </c>
      <c r="AI180" s="256" t="str">
        <f>IFERROR(Table7[[#This Row],[No. of Valid  Internal Testing Defects]]/Table7[[#This Row],[No. of Testcases Executed]],"")</f>
        <v/>
      </c>
      <c r="AJ180" s="259" t="str">
        <f>IFERROR(IFERROR(Table7[[#This Row],[No. of Testcases Created]]/Table7[[#This Row],[Effort for Testcase Creation]],"")*9,"")</f>
        <v/>
      </c>
      <c r="AK180" s="256" t="str">
        <f>IFERROR((Table7[[#This Row],[No. of Testcases Executed]]/Table7[[#This Row],[Effort for Testcase Execution]])*9,"")</f>
        <v/>
      </c>
      <c r="AL18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0" s="259" t="str">
        <f>IFERROR(Table7[[#This Row],[No. of Defects Validated]]/SUMIFS(Table3[Hours Worked],Table3[Release Name],Table7[[#This Row],[Release Name]],Table3[Task Type],"Defect Validation")*9,"")</f>
        <v/>
      </c>
      <c r="AN180" s="258" t="str">
        <f>IFERROR((Table7[[#This Row],[No. of Valid  Internal Testing Defects]])/(Table7[[#This Row],[No. of Valid  Internal Testing Defects]]+Table7[[#This Row],[No. of Invalid Internal Testing Defects]]),"")</f>
        <v/>
      </c>
      <c r="AO180" s="258" t="str">
        <f>IFERROR(Table7[[#This Row],[No. of Valid External Testing Defects]]/(Table7[[#This Row],[No. of Valid External Testing Defects]]+Table7[[#This Row],[No. of Valid  Internal Testing Defects]]),"")</f>
        <v/>
      </c>
    </row>
    <row r="181" spans="2:41">
      <c r="B181" s="237"/>
      <c r="C181" s="14"/>
      <c r="D181" s="14"/>
      <c r="E181" s="14"/>
      <c r="F181" s="230" t="str">
        <f>IFERROR((Table47[[#This Row],[Initial No. of Requirements]]+Table47[[#This Row],[Modified Requirements( Added / Deleted /Modified)]])/Table47[[#This Row],[Initial No. of Requirements]],"")</f>
        <v/>
      </c>
      <c r="G18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1" s="249"/>
      <c r="J181" s="249"/>
      <c r="K181" s="250"/>
      <c r="L181" s="250"/>
      <c r="M181" s="250"/>
      <c r="N181" s="248">
        <f>SUMIFS(Table1[Size],Table1[Release Name],[2]!Table7[Release Name])</f>
        <v>0</v>
      </c>
      <c r="O181" s="248"/>
      <c r="P18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1" s="248"/>
      <c r="R18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1" s="248"/>
      <c r="T181" s="248"/>
      <c r="U181" s="248"/>
      <c r="V181" s="248"/>
      <c r="W181" s="248"/>
      <c r="X181" s="248"/>
      <c r="Y181" s="248"/>
      <c r="Z181" s="248"/>
      <c r="AA181" s="248"/>
      <c r="AB181" s="13">
        <f>SUMIFS(Table3[Hours Worked],Table3[Release Name],Table7[[#This Row],[Release Name]],Table3[Task Type],"Testcase Creation")</f>
        <v>0</v>
      </c>
      <c r="AC181" s="255">
        <f>SUMIFS(Table3[Hours Worked],Table3[Release Name],Table7[[#This Row],[Release Name]],Table3[Task Type],"Testcase Execution")</f>
        <v>0</v>
      </c>
      <c r="AD18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1" s="256" t="str">
        <f>IFERROR((Table7[[#This Row],[No. of Valid Internal Review Defects]]+Table7[[#This Row],[No. of Valid  Internal Testing Defects]]+Table7[[#This Row],[No. of  Valid External Review Defects]]+Table7[[#This Row],[No. of Valid External Testing Defects]])/Table7[[#This Row],[Size]],"")</f>
        <v/>
      </c>
      <c r="AF181" s="257" t="str">
        <f>IFERROR(Table7[[#This Row],[No. of Valid Internal Review Defects]]/(Table7[[#This Row],[No. of Valid Internal Review Defects]]+Table7[[#This Row],[No. of  Valid External Review Defects]]+Table7[[#This Row],[No. of Valid  Internal Testing Defects]]+Table7[[#This Row],[No. of Valid External Testing Defects]]),"")</f>
        <v/>
      </c>
      <c r="AG181" s="258" t="str">
        <f>IFERROR(Table7[[#This Row],[No. of Valid Internal Review Defects]]/(Table7[[#This Row],[No. of Valid Internal Review Defects]]+Table7[[#This Row],[No. of  Valid External Review Defects]]+Table7[[#This Row],[No. of Valid External Testing Defects]]),"")</f>
        <v/>
      </c>
      <c r="AH181" s="256" t="str">
        <f>IFERROR(Table7[[#This Row],[No. of Valid  Internal Testing Defects]]/Table7[[#This Row],[Overall Actual Effort for the release]],"")</f>
        <v/>
      </c>
      <c r="AI181" s="256" t="str">
        <f>IFERROR(Table7[[#This Row],[No. of Valid  Internal Testing Defects]]/Table7[[#This Row],[No. of Testcases Executed]],"")</f>
        <v/>
      </c>
      <c r="AJ181" s="259" t="str">
        <f>IFERROR(IFERROR(Table7[[#This Row],[No. of Testcases Created]]/Table7[[#This Row],[Effort for Testcase Creation]],"")*9,"")</f>
        <v/>
      </c>
      <c r="AK181" s="256" t="str">
        <f>IFERROR((Table7[[#This Row],[No. of Testcases Executed]]/Table7[[#This Row],[Effort for Testcase Execution]])*9,"")</f>
        <v/>
      </c>
      <c r="AL18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1" s="259" t="str">
        <f>IFERROR(Table7[[#This Row],[No. of Defects Validated]]/SUMIFS(Table3[Hours Worked],Table3[Release Name],Table7[[#This Row],[Release Name]],Table3[Task Type],"Defect Validation")*9,"")</f>
        <v/>
      </c>
      <c r="AN181" s="258" t="str">
        <f>IFERROR((Table7[[#This Row],[No. of Valid  Internal Testing Defects]])/(Table7[[#This Row],[No. of Valid  Internal Testing Defects]]+Table7[[#This Row],[No. of Invalid Internal Testing Defects]]),"")</f>
        <v/>
      </c>
      <c r="AO181" s="258" t="str">
        <f>IFERROR(Table7[[#This Row],[No. of Valid External Testing Defects]]/(Table7[[#This Row],[No. of Valid External Testing Defects]]+Table7[[#This Row],[No. of Valid  Internal Testing Defects]]),"")</f>
        <v/>
      </c>
    </row>
    <row r="182" spans="2:41">
      <c r="B182" s="237"/>
      <c r="C182" s="14"/>
      <c r="D182" s="14"/>
      <c r="E182" s="14"/>
      <c r="F182" s="230" t="str">
        <f>IFERROR((Table47[[#This Row],[Initial No. of Requirements]]+Table47[[#This Row],[Modified Requirements( Added / Deleted /Modified)]])/Table47[[#This Row],[Initial No. of Requirements]],"")</f>
        <v/>
      </c>
      <c r="G18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2" s="249"/>
      <c r="J182" s="249"/>
      <c r="K182" s="250"/>
      <c r="L182" s="250"/>
      <c r="M182" s="250"/>
      <c r="N182" s="248">
        <f>SUMIFS(Table1[Size],Table1[Release Name],[2]!Table7[Release Name])</f>
        <v>0</v>
      </c>
      <c r="O182" s="248"/>
      <c r="P18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2" s="248"/>
      <c r="R18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2" s="248"/>
      <c r="T182" s="248"/>
      <c r="U182" s="248"/>
      <c r="V182" s="248"/>
      <c r="W182" s="248"/>
      <c r="X182" s="248"/>
      <c r="Y182" s="248"/>
      <c r="Z182" s="248"/>
      <c r="AA182" s="248"/>
      <c r="AB182" s="13">
        <f>SUMIFS(Table3[Hours Worked],Table3[Release Name],Table7[[#This Row],[Release Name]],Table3[Task Type],"Testcase Creation")</f>
        <v>0</v>
      </c>
      <c r="AC182" s="255">
        <f>SUMIFS(Table3[Hours Worked],Table3[Release Name],Table7[[#This Row],[Release Name]],Table3[Task Type],"Testcase Execution")</f>
        <v>0</v>
      </c>
      <c r="AD18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2" s="256" t="str">
        <f>IFERROR((Table7[[#This Row],[No. of Valid Internal Review Defects]]+Table7[[#This Row],[No. of Valid  Internal Testing Defects]]+Table7[[#This Row],[No. of  Valid External Review Defects]]+Table7[[#This Row],[No. of Valid External Testing Defects]])/Table7[[#This Row],[Size]],"")</f>
        <v/>
      </c>
      <c r="AF182" s="257" t="str">
        <f>IFERROR(Table7[[#This Row],[No. of Valid Internal Review Defects]]/(Table7[[#This Row],[No. of Valid Internal Review Defects]]+Table7[[#This Row],[No. of  Valid External Review Defects]]+Table7[[#This Row],[No. of Valid  Internal Testing Defects]]+Table7[[#This Row],[No. of Valid External Testing Defects]]),"")</f>
        <v/>
      </c>
      <c r="AG182" s="258" t="str">
        <f>IFERROR(Table7[[#This Row],[No. of Valid Internal Review Defects]]/(Table7[[#This Row],[No. of Valid Internal Review Defects]]+Table7[[#This Row],[No. of  Valid External Review Defects]]+Table7[[#This Row],[No. of Valid External Testing Defects]]),"")</f>
        <v/>
      </c>
      <c r="AH182" s="256" t="str">
        <f>IFERROR(Table7[[#This Row],[No. of Valid  Internal Testing Defects]]/Table7[[#This Row],[Overall Actual Effort for the release]],"")</f>
        <v/>
      </c>
      <c r="AI182" s="256" t="str">
        <f>IFERROR(Table7[[#This Row],[No. of Valid  Internal Testing Defects]]/Table7[[#This Row],[No. of Testcases Executed]],"")</f>
        <v/>
      </c>
      <c r="AJ182" s="259" t="str">
        <f>IFERROR(IFERROR(Table7[[#This Row],[No. of Testcases Created]]/Table7[[#This Row],[Effort for Testcase Creation]],"")*9,"")</f>
        <v/>
      </c>
      <c r="AK182" s="256" t="str">
        <f>IFERROR((Table7[[#This Row],[No. of Testcases Executed]]/Table7[[#This Row],[Effort for Testcase Execution]])*9,"")</f>
        <v/>
      </c>
      <c r="AL18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2" s="259" t="str">
        <f>IFERROR(Table7[[#This Row],[No. of Defects Validated]]/SUMIFS(Table3[Hours Worked],Table3[Release Name],Table7[[#This Row],[Release Name]],Table3[Task Type],"Defect Validation")*9,"")</f>
        <v/>
      </c>
      <c r="AN182" s="258" t="str">
        <f>IFERROR((Table7[[#This Row],[No. of Valid  Internal Testing Defects]])/(Table7[[#This Row],[No. of Valid  Internal Testing Defects]]+Table7[[#This Row],[No. of Invalid Internal Testing Defects]]),"")</f>
        <v/>
      </c>
      <c r="AO182" s="258" t="str">
        <f>IFERROR(Table7[[#This Row],[No. of Valid External Testing Defects]]/(Table7[[#This Row],[No. of Valid External Testing Defects]]+Table7[[#This Row],[No. of Valid  Internal Testing Defects]]),"")</f>
        <v/>
      </c>
    </row>
    <row r="183" spans="2:41">
      <c r="B183" s="237"/>
      <c r="C183" s="14"/>
      <c r="D183" s="14"/>
      <c r="E183" s="14"/>
      <c r="F183" s="230" t="str">
        <f>IFERROR((Table47[[#This Row],[Initial No. of Requirements]]+Table47[[#This Row],[Modified Requirements( Added / Deleted /Modified)]])/Table47[[#This Row],[Initial No. of Requirements]],"")</f>
        <v/>
      </c>
      <c r="G18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3" s="249"/>
      <c r="J183" s="249"/>
      <c r="K183" s="250"/>
      <c r="L183" s="250"/>
      <c r="M183" s="250"/>
      <c r="N183" s="248">
        <f>SUMIFS(Table1[Size],Table1[Release Name],[2]!Table7[Release Name])</f>
        <v>0</v>
      </c>
      <c r="O183" s="248"/>
      <c r="P18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3" s="248"/>
      <c r="R18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3" s="248"/>
      <c r="T183" s="248"/>
      <c r="U183" s="248"/>
      <c r="V183" s="248"/>
      <c r="W183" s="248"/>
      <c r="X183" s="248"/>
      <c r="Y183" s="248"/>
      <c r="Z183" s="248"/>
      <c r="AA183" s="248"/>
      <c r="AB183" s="13">
        <f>SUMIFS(Table3[Hours Worked],Table3[Release Name],Table7[[#This Row],[Release Name]],Table3[Task Type],"Testcase Creation")</f>
        <v>0</v>
      </c>
      <c r="AC183" s="255">
        <f>SUMIFS(Table3[Hours Worked],Table3[Release Name],Table7[[#This Row],[Release Name]],Table3[Task Type],"Testcase Execution")</f>
        <v>0</v>
      </c>
      <c r="AD18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3" s="256" t="str">
        <f>IFERROR((Table7[[#This Row],[No. of Valid Internal Review Defects]]+Table7[[#This Row],[No. of Valid  Internal Testing Defects]]+Table7[[#This Row],[No. of  Valid External Review Defects]]+Table7[[#This Row],[No. of Valid External Testing Defects]])/Table7[[#This Row],[Size]],"")</f>
        <v/>
      </c>
      <c r="AF183" s="257" t="str">
        <f>IFERROR(Table7[[#This Row],[No. of Valid Internal Review Defects]]/(Table7[[#This Row],[No. of Valid Internal Review Defects]]+Table7[[#This Row],[No. of  Valid External Review Defects]]+Table7[[#This Row],[No. of Valid  Internal Testing Defects]]+Table7[[#This Row],[No. of Valid External Testing Defects]]),"")</f>
        <v/>
      </c>
      <c r="AG183" s="258" t="str">
        <f>IFERROR(Table7[[#This Row],[No. of Valid Internal Review Defects]]/(Table7[[#This Row],[No. of Valid Internal Review Defects]]+Table7[[#This Row],[No. of  Valid External Review Defects]]+Table7[[#This Row],[No. of Valid External Testing Defects]]),"")</f>
        <v/>
      </c>
      <c r="AH183" s="256" t="str">
        <f>IFERROR(Table7[[#This Row],[No. of Valid  Internal Testing Defects]]/Table7[[#This Row],[Overall Actual Effort for the release]],"")</f>
        <v/>
      </c>
      <c r="AI183" s="256" t="str">
        <f>IFERROR(Table7[[#This Row],[No. of Valid  Internal Testing Defects]]/Table7[[#This Row],[No. of Testcases Executed]],"")</f>
        <v/>
      </c>
      <c r="AJ183" s="259" t="str">
        <f>IFERROR(IFERROR(Table7[[#This Row],[No. of Testcases Created]]/Table7[[#This Row],[Effort for Testcase Creation]],"")*9,"")</f>
        <v/>
      </c>
      <c r="AK183" s="256" t="str">
        <f>IFERROR((Table7[[#This Row],[No. of Testcases Executed]]/Table7[[#This Row],[Effort for Testcase Execution]])*9,"")</f>
        <v/>
      </c>
      <c r="AL18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3" s="259" t="str">
        <f>IFERROR(Table7[[#This Row],[No. of Defects Validated]]/SUMIFS(Table3[Hours Worked],Table3[Release Name],Table7[[#This Row],[Release Name]],Table3[Task Type],"Defect Validation")*9,"")</f>
        <v/>
      </c>
      <c r="AN183" s="258" t="str">
        <f>IFERROR((Table7[[#This Row],[No. of Valid  Internal Testing Defects]])/(Table7[[#This Row],[No. of Valid  Internal Testing Defects]]+Table7[[#This Row],[No. of Invalid Internal Testing Defects]]),"")</f>
        <v/>
      </c>
      <c r="AO183" s="258" t="str">
        <f>IFERROR(Table7[[#This Row],[No. of Valid External Testing Defects]]/(Table7[[#This Row],[No. of Valid External Testing Defects]]+Table7[[#This Row],[No. of Valid  Internal Testing Defects]]),"")</f>
        <v/>
      </c>
    </row>
    <row r="184" spans="2:41">
      <c r="B184" s="237"/>
      <c r="C184" s="14"/>
      <c r="D184" s="14"/>
      <c r="E184" s="14"/>
      <c r="F184" s="230" t="str">
        <f>IFERROR((Table47[[#This Row],[Initial No. of Requirements]]+Table47[[#This Row],[Modified Requirements( Added / Deleted /Modified)]])/Table47[[#This Row],[Initial No. of Requirements]],"")</f>
        <v/>
      </c>
      <c r="G18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4" s="249"/>
      <c r="J184" s="249"/>
      <c r="K184" s="250"/>
      <c r="L184" s="250"/>
      <c r="M184" s="250"/>
      <c r="N184" s="248">
        <f>SUMIFS(Table1[Size],Table1[Release Name],[2]!Table7[Release Name])</f>
        <v>0</v>
      </c>
      <c r="O184" s="248"/>
      <c r="P18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4" s="248"/>
      <c r="R18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4" s="248"/>
      <c r="T184" s="248"/>
      <c r="U184" s="248"/>
      <c r="V184" s="248"/>
      <c r="W184" s="248"/>
      <c r="X184" s="248"/>
      <c r="Y184" s="248"/>
      <c r="Z184" s="248"/>
      <c r="AA184" s="248"/>
      <c r="AB184" s="13">
        <f>SUMIFS(Table3[Hours Worked],Table3[Release Name],Table7[[#This Row],[Release Name]],Table3[Task Type],"Testcase Creation")</f>
        <v>0</v>
      </c>
      <c r="AC184" s="255">
        <f>SUMIFS(Table3[Hours Worked],Table3[Release Name],Table7[[#This Row],[Release Name]],Table3[Task Type],"Testcase Execution")</f>
        <v>0</v>
      </c>
      <c r="AD18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4" s="256" t="str">
        <f>IFERROR((Table7[[#This Row],[No. of Valid Internal Review Defects]]+Table7[[#This Row],[No. of Valid  Internal Testing Defects]]+Table7[[#This Row],[No. of  Valid External Review Defects]]+Table7[[#This Row],[No. of Valid External Testing Defects]])/Table7[[#This Row],[Size]],"")</f>
        <v/>
      </c>
      <c r="AF184" s="257" t="str">
        <f>IFERROR(Table7[[#This Row],[No. of Valid Internal Review Defects]]/(Table7[[#This Row],[No. of Valid Internal Review Defects]]+Table7[[#This Row],[No. of  Valid External Review Defects]]+Table7[[#This Row],[No. of Valid  Internal Testing Defects]]+Table7[[#This Row],[No. of Valid External Testing Defects]]),"")</f>
        <v/>
      </c>
      <c r="AG184" s="258" t="str">
        <f>IFERROR(Table7[[#This Row],[No. of Valid Internal Review Defects]]/(Table7[[#This Row],[No. of Valid Internal Review Defects]]+Table7[[#This Row],[No. of  Valid External Review Defects]]+Table7[[#This Row],[No. of Valid External Testing Defects]]),"")</f>
        <v/>
      </c>
      <c r="AH184" s="256" t="str">
        <f>IFERROR(Table7[[#This Row],[No. of Valid  Internal Testing Defects]]/Table7[[#This Row],[Overall Actual Effort for the release]],"")</f>
        <v/>
      </c>
      <c r="AI184" s="256" t="str">
        <f>IFERROR(Table7[[#This Row],[No. of Valid  Internal Testing Defects]]/Table7[[#This Row],[No. of Testcases Executed]],"")</f>
        <v/>
      </c>
      <c r="AJ184" s="259" t="str">
        <f>IFERROR(IFERROR(Table7[[#This Row],[No. of Testcases Created]]/Table7[[#This Row],[Effort for Testcase Creation]],"")*9,"")</f>
        <v/>
      </c>
      <c r="AK184" s="256" t="str">
        <f>IFERROR((Table7[[#This Row],[No. of Testcases Executed]]/Table7[[#This Row],[Effort for Testcase Execution]])*9,"")</f>
        <v/>
      </c>
      <c r="AL18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4" s="259" t="str">
        <f>IFERROR(Table7[[#This Row],[No. of Defects Validated]]/SUMIFS(Table3[Hours Worked],Table3[Release Name],Table7[[#This Row],[Release Name]],Table3[Task Type],"Defect Validation")*9,"")</f>
        <v/>
      </c>
      <c r="AN184" s="258" t="str">
        <f>IFERROR((Table7[[#This Row],[No. of Valid  Internal Testing Defects]])/(Table7[[#This Row],[No. of Valid  Internal Testing Defects]]+Table7[[#This Row],[No. of Invalid Internal Testing Defects]]),"")</f>
        <v/>
      </c>
      <c r="AO184" s="258" t="str">
        <f>IFERROR(Table7[[#This Row],[No. of Valid External Testing Defects]]/(Table7[[#This Row],[No. of Valid External Testing Defects]]+Table7[[#This Row],[No. of Valid  Internal Testing Defects]]),"")</f>
        <v/>
      </c>
    </row>
    <row r="185" spans="2:41">
      <c r="B185" s="237"/>
      <c r="C185" s="14"/>
      <c r="D185" s="14"/>
      <c r="E185" s="14"/>
      <c r="F185" s="230" t="str">
        <f>IFERROR((Table47[[#This Row],[Initial No. of Requirements]]+Table47[[#This Row],[Modified Requirements( Added / Deleted /Modified)]])/Table47[[#This Row],[Initial No. of Requirements]],"")</f>
        <v/>
      </c>
      <c r="G18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5" s="249"/>
      <c r="J185" s="249"/>
      <c r="K185" s="250"/>
      <c r="L185" s="250"/>
      <c r="M185" s="250"/>
      <c r="N185" s="248">
        <f>SUMIFS(Table1[Size],Table1[Release Name],[2]!Table7[Release Name])</f>
        <v>0</v>
      </c>
      <c r="O185" s="248"/>
      <c r="P18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5" s="248"/>
      <c r="R18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5" s="248"/>
      <c r="T185" s="248"/>
      <c r="U185" s="248"/>
      <c r="V185" s="248"/>
      <c r="W185" s="248"/>
      <c r="X185" s="248"/>
      <c r="Y185" s="248"/>
      <c r="Z185" s="248"/>
      <c r="AA185" s="248"/>
      <c r="AB185" s="13">
        <f>SUMIFS(Table3[Hours Worked],Table3[Release Name],Table7[[#This Row],[Release Name]],Table3[Task Type],"Testcase Creation")</f>
        <v>0</v>
      </c>
      <c r="AC185" s="255">
        <f>SUMIFS(Table3[Hours Worked],Table3[Release Name],Table7[[#This Row],[Release Name]],Table3[Task Type],"Testcase Execution")</f>
        <v>0</v>
      </c>
      <c r="AD18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5" s="256" t="str">
        <f>IFERROR((Table7[[#This Row],[No. of Valid Internal Review Defects]]+Table7[[#This Row],[No. of Valid  Internal Testing Defects]]+Table7[[#This Row],[No. of  Valid External Review Defects]]+Table7[[#This Row],[No. of Valid External Testing Defects]])/Table7[[#This Row],[Size]],"")</f>
        <v/>
      </c>
      <c r="AF185" s="257" t="str">
        <f>IFERROR(Table7[[#This Row],[No. of Valid Internal Review Defects]]/(Table7[[#This Row],[No. of Valid Internal Review Defects]]+Table7[[#This Row],[No. of  Valid External Review Defects]]+Table7[[#This Row],[No. of Valid  Internal Testing Defects]]+Table7[[#This Row],[No. of Valid External Testing Defects]]),"")</f>
        <v/>
      </c>
      <c r="AG185" s="258" t="str">
        <f>IFERROR(Table7[[#This Row],[No. of Valid Internal Review Defects]]/(Table7[[#This Row],[No. of Valid Internal Review Defects]]+Table7[[#This Row],[No. of  Valid External Review Defects]]+Table7[[#This Row],[No. of Valid External Testing Defects]]),"")</f>
        <v/>
      </c>
      <c r="AH185" s="256" t="str">
        <f>IFERROR(Table7[[#This Row],[No. of Valid  Internal Testing Defects]]/Table7[[#This Row],[Overall Actual Effort for the release]],"")</f>
        <v/>
      </c>
      <c r="AI185" s="256" t="str">
        <f>IFERROR(Table7[[#This Row],[No. of Valid  Internal Testing Defects]]/Table7[[#This Row],[No. of Testcases Executed]],"")</f>
        <v/>
      </c>
      <c r="AJ185" s="259" t="str">
        <f>IFERROR(IFERROR(Table7[[#This Row],[No. of Testcases Created]]/Table7[[#This Row],[Effort for Testcase Creation]],"")*9,"")</f>
        <v/>
      </c>
      <c r="AK185" s="256" t="str">
        <f>IFERROR((Table7[[#This Row],[No. of Testcases Executed]]/Table7[[#This Row],[Effort for Testcase Execution]])*9,"")</f>
        <v/>
      </c>
      <c r="AL18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5" s="259" t="str">
        <f>IFERROR(Table7[[#This Row],[No. of Defects Validated]]/SUMIFS(Table3[Hours Worked],Table3[Release Name],Table7[[#This Row],[Release Name]],Table3[Task Type],"Defect Validation")*9,"")</f>
        <v/>
      </c>
      <c r="AN185" s="258" t="str">
        <f>IFERROR((Table7[[#This Row],[No. of Valid  Internal Testing Defects]])/(Table7[[#This Row],[No. of Valid  Internal Testing Defects]]+Table7[[#This Row],[No. of Invalid Internal Testing Defects]]),"")</f>
        <v/>
      </c>
      <c r="AO185" s="258" t="str">
        <f>IFERROR(Table7[[#This Row],[No. of Valid External Testing Defects]]/(Table7[[#This Row],[No. of Valid External Testing Defects]]+Table7[[#This Row],[No. of Valid  Internal Testing Defects]]),"")</f>
        <v/>
      </c>
    </row>
    <row r="186" spans="2:41">
      <c r="B186" s="237"/>
      <c r="C186" s="14"/>
      <c r="D186" s="14"/>
      <c r="E186" s="14"/>
      <c r="F186" s="230" t="str">
        <f>IFERROR((Table47[[#This Row],[Initial No. of Requirements]]+Table47[[#This Row],[Modified Requirements( Added / Deleted /Modified)]])/Table47[[#This Row],[Initial No. of Requirements]],"")</f>
        <v/>
      </c>
      <c r="G18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6" s="249"/>
      <c r="J186" s="249"/>
      <c r="K186" s="250"/>
      <c r="L186" s="250"/>
      <c r="M186" s="250"/>
      <c r="N186" s="248">
        <f>SUMIFS(Table1[Size],Table1[Release Name],[2]!Table7[Release Name])</f>
        <v>0</v>
      </c>
      <c r="O186" s="248"/>
      <c r="P18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6" s="248"/>
      <c r="R18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6" s="248"/>
      <c r="T186" s="248"/>
      <c r="U186" s="248"/>
      <c r="V186" s="248"/>
      <c r="W186" s="248"/>
      <c r="X186" s="248"/>
      <c r="Y186" s="248"/>
      <c r="Z186" s="248"/>
      <c r="AA186" s="248"/>
      <c r="AB186" s="13">
        <f>SUMIFS(Table3[Hours Worked],Table3[Release Name],Table7[[#This Row],[Release Name]],Table3[Task Type],"Testcase Creation")</f>
        <v>0</v>
      </c>
      <c r="AC186" s="255">
        <f>SUMIFS(Table3[Hours Worked],Table3[Release Name],Table7[[#This Row],[Release Name]],Table3[Task Type],"Testcase Execution")</f>
        <v>0</v>
      </c>
      <c r="AD18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6" s="256" t="str">
        <f>IFERROR((Table7[[#This Row],[No. of Valid Internal Review Defects]]+Table7[[#This Row],[No. of Valid  Internal Testing Defects]]+Table7[[#This Row],[No. of  Valid External Review Defects]]+Table7[[#This Row],[No. of Valid External Testing Defects]])/Table7[[#This Row],[Size]],"")</f>
        <v/>
      </c>
      <c r="AF186" s="257" t="str">
        <f>IFERROR(Table7[[#This Row],[No. of Valid Internal Review Defects]]/(Table7[[#This Row],[No. of Valid Internal Review Defects]]+Table7[[#This Row],[No. of  Valid External Review Defects]]+Table7[[#This Row],[No. of Valid  Internal Testing Defects]]+Table7[[#This Row],[No. of Valid External Testing Defects]]),"")</f>
        <v/>
      </c>
      <c r="AG186" s="258" t="str">
        <f>IFERROR(Table7[[#This Row],[No. of Valid Internal Review Defects]]/(Table7[[#This Row],[No. of Valid Internal Review Defects]]+Table7[[#This Row],[No. of  Valid External Review Defects]]+Table7[[#This Row],[No. of Valid External Testing Defects]]),"")</f>
        <v/>
      </c>
      <c r="AH186" s="256" t="str">
        <f>IFERROR(Table7[[#This Row],[No. of Valid  Internal Testing Defects]]/Table7[[#This Row],[Overall Actual Effort for the release]],"")</f>
        <v/>
      </c>
      <c r="AI186" s="256" t="str">
        <f>IFERROR(Table7[[#This Row],[No. of Valid  Internal Testing Defects]]/Table7[[#This Row],[No. of Testcases Executed]],"")</f>
        <v/>
      </c>
      <c r="AJ186" s="259" t="str">
        <f>IFERROR(IFERROR(Table7[[#This Row],[No. of Testcases Created]]/Table7[[#This Row],[Effort for Testcase Creation]],"")*9,"")</f>
        <v/>
      </c>
      <c r="AK186" s="256" t="str">
        <f>IFERROR((Table7[[#This Row],[No. of Testcases Executed]]/Table7[[#This Row],[Effort for Testcase Execution]])*9,"")</f>
        <v/>
      </c>
      <c r="AL18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6" s="259" t="str">
        <f>IFERROR(Table7[[#This Row],[No. of Defects Validated]]/SUMIFS(Table3[Hours Worked],Table3[Release Name],Table7[[#This Row],[Release Name]],Table3[Task Type],"Defect Validation")*9,"")</f>
        <v/>
      </c>
      <c r="AN186" s="258" t="str">
        <f>IFERROR((Table7[[#This Row],[No. of Valid  Internal Testing Defects]])/(Table7[[#This Row],[No. of Valid  Internal Testing Defects]]+Table7[[#This Row],[No. of Invalid Internal Testing Defects]]),"")</f>
        <v/>
      </c>
      <c r="AO186" s="258" t="str">
        <f>IFERROR(Table7[[#This Row],[No. of Valid External Testing Defects]]/(Table7[[#This Row],[No. of Valid External Testing Defects]]+Table7[[#This Row],[No. of Valid  Internal Testing Defects]]),"")</f>
        <v/>
      </c>
    </row>
    <row r="187" spans="2:41">
      <c r="B187" s="237"/>
      <c r="C187" s="14"/>
      <c r="D187" s="14"/>
      <c r="E187" s="14"/>
      <c r="F187" s="230" t="str">
        <f>IFERROR((Table47[[#This Row],[Initial No. of Requirements]]+Table47[[#This Row],[Modified Requirements( Added / Deleted /Modified)]])/Table47[[#This Row],[Initial No. of Requirements]],"")</f>
        <v/>
      </c>
      <c r="G18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7" s="249"/>
      <c r="J187" s="249"/>
      <c r="K187" s="250"/>
      <c r="L187" s="250"/>
      <c r="M187" s="250"/>
      <c r="N187" s="248">
        <f>SUMIFS(Table1[Size],Table1[Release Name],[2]!Table7[Release Name])</f>
        <v>0</v>
      </c>
      <c r="O187" s="248"/>
      <c r="P18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7" s="248"/>
      <c r="R18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7" s="248"/>
      <c r="T187" s="248"/>
      <c r="U187" s="248"/>
      <c r="V187" s="248"/>
      <c r="W187" s="248"/>
      <c r="X187" s="248"/>
      <c r="Y187" s="248"/>
      <c r="Z187" s="248"/>
      <c r="AA187" s="248"/>
      <c r="AB187" s="13">
        <f>SUMIFS(Table3[Hours Worked],Table3[Release Name],Table7[[#This Row],[Release Name]],Table3[Task Type],"Testcase Creation")</f>
        <v>0</v>
      </c>
      <c r="AC187" s="255">
        <f>SUMIFS(Table3[Hours Worked],Table3[Release Name],Table7[[#This Row],[Release Name]],Table3[Task Type],"Testcase Execution")</f>
        <v>0</v>
      </c>
      <c r="AD18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7" s="256" t="str">
        <f>IFERROR((Table7[[#This Row],[No. of Valid Internal Review Defects]]+Table7[[#This Row],[No. of Valid  Internal Testing Defects]]+Table7[[#This Row],[No. of  Valid External Review Defects]]+Table7[[#This Row],[No. of Valid External Testing Defects]])/Table7[[#This Row],[Size]],"")</f>
        <v/>
      </c>
      <c r="AF187" s="257" t="str">
        <f>IFERROR(Table7[[#This Row],[No. of Valid Internal Review Defects]]/(Table7[[#This Row],[No. of Valid Internal Review Defects]]+Table7[[#This Row],[No. of  Valid External Review Defects]]+Table7[[#This Row],[No. of Valid  Internal Testing Defects]]+Table7[[#This Row],[No. of Valid External Testing Defects]]),"")</f>
        <v/>
      </c>
      <c r="AG187" s="258" t="str">
        <f>IFERROR(Table7[[#This Row],[No. of Valid Internal Review Defects]]/(Table7[[#This Row],[No. of Valid Internal Review Defects]]+Table7[[#This Row],[No. of  Valid External Review Defects]]+Table7[[#This Row],[No. of Valid External Testing Defects]]),"")</f>
        <v/>
      </c>
      <c r="AH187" s="256" t="str">
        <f>IFERROR(Table7[[#This Row],[No. of Valid  Internal Testing Defects]]/Table7[[#This Row],[Overall Actual Effort for the release]],"")</f>
        <v/>
      </c>
      <c r="AI187" s="256" t="str">
        <f>IFERROR(Table7[[#This Row],[No. of Valid  Internal Testing Defects]]/Table7[[#This Row],[No. of Testcases Executed]],"")</f>
        <v/>
      </c>
      <c r="AJ187" s="259" t="str">
        <f>IFERROR(IFERROR(Table7[[#This Row],[No. of Testcases Created]]/Table7[[#This Row],[Effort for Testcase Creation]],"")*9,"")</f>
        <v/>
      </c>
      <c r="AK187" s="256" t="str">
        <f>IFERROR((Table7[[#This Row],[No. of Testcases Executed]]/Table7[[#This Row],[Effort for Testcase Execution]])*9,"")</f>
        <v/>
      </c>
      <c r="AL18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7" s="259" t="str">
        <f>IFERROR(Table7[[#This Row],[No. of Defects Validated]]/SUMIFS(Table3[Hours Worked],Table3[Release Name],Table7[[#This Row],[Release Name]],Table3[Task Type],"Defect Validation")*9,"")</f>
        <v/>
      </c>
      <c r="AN187" s="258" t="str">
        <f>IFERROR((Table7[[#This Row],[No. of Valid  Internal Testing Defects]])/(Table7[[#This Row],[No. of Valid  Internal Testing Defects]]+Table7[[#This Row],[No. of Invalid Internal Testing Defects]]),"")</f>
        <v/>
      </c>
      <c r="AO187" s="258" t="str">
        <f>IFERROR(Table7[[#This Row],[No. of Valid External Testing Defects]]/(Table7[[#This Row],[No. of Valid External Testing Defects]]+Table7[[#This Row],[No. of Valid  Internal Testing Defects]]),"")</f>
        <v/>
      </c>
    </row>
    <row r="188" spans="2:41">
      <c r="B188" s="237"/>
      <c r="C188" s="14"/>
      <c r="D188" s="14"/>
      <c r="E188" s="14"/>
      <c r="F188" s="230" t="str">
        <f>IFERROR((Table47[[#This Row],[Initial No. of Requirements]]+Table47[[#This Row],[Modified Requirements( Added / Deleted /Modified)]])/Table47[[#This Row],[Initial No. of Requirements]],"")</f>
        <v/>
      </c>
      <c r="G18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8" s="249"/>
      <c r="J188" s="249"/>
      <c r="K188" s="250"/>
      <c r="L188" s="250"/>
      <c r="M188" s="250"/>
      <c r="N188" s="248">
        <f>SUMIFS(Table1[Size],Table1[Release Name],[2]!Table7[Release Name])</f>
        <v>0</v>
      </c>
      <c r="O188" s="248"/>
      <c r="P18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8" s="248"/>
      <c r="R18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8" s="248"/>
      <c r="T188" s="248"/>
      <c r="U188" s="248"/>
      <c r="V188" s="248"/>
      <c r="W188" s="248"/>
      <c r="X188" s="248"/>
      <c r="Y188" s="248"/>
      <c r="Z188" s="248"/>
      <c r="AA188" s="248"/>
      <c r="AB188" s="13">
        <f>SUMIFS(Table3[Hours Worked],Table3[Release Name],Table7[[#This Row],[Release Name]],Table3[Task Type],"Testcase Creation")</f>
        <v>0</v>
      </c>
      <c r="AC188" s="255">
        <f>SUMIFS(Table3[Hours Worked],Table3[Release Name],Table7[[#This Row],[Release Name]],Table3[Task Type],"Testcase Execution")</f>
        <v>0</v>
      </c>
      <c r="AD18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8" s="256" t="str">
        <f>IFERROR((Table7[[#This Row],[No. of Valid Internal Review Defects]]+Table7[[#This Row],[No. of Valid  Internal Testing Defects]]+Table7[[#This Row],[No. of  Valid External Review Defects]]+Table7[[#This Row],[No. of Valid External Testing Defects]])/Table7[[#This Row],[Size]],"")</f>
        <v/>
      </c>
      <c r="AF188" s="257" t="str">
        <f>IFERROR(Table7[[#This Row],[No. of Valid Internal Review Defects]]/(Table7[[#This Row],[No. of Valid Internal Review Defects]]+Table7[[#This Row],[No. of  Valid External Review Defects]]+Table7[[#This Row],[No. of Valid  Internal Testing Defects]]+Table7[[#This Row],[No. of Valid External Testing Defects]]),"")</f>
        <v/>
      </c>
      <c r="AG188" s="258" t="str">
        <f>IFERROR(Table7[[#This Row],[No. of Valid Internal Review Defects]]/(Table7[[#This Row],[No. of Valid Internal Review Defects]]+Table7[[#This Row],[No. of  Valid External Review Defects]]+Table7[[#This Row],[No. of Valid External Testing Defects]]),"")</f>
        <v/>
      </c>
      <c r="AH188" s="256" t="str">
        <f>IFERROR(Table7[[#This Row],[No. of Valid  Internal Testing Defects]]/Table7[[#This Row],[Overall Actual Effort for the release]],"")</f>
        <v/>
      </c>
      <c r="AI188" s="256" t="str">
        <f>IFERROR(Table7[[#This Row],[No. of Valid  Internal Testing Defects]]/Table7[[#This Row],[No. of Testcases Executed]],"")</f>
        <v/>
      </c>
      <c r="AJ188" s="259" t="str">
        <f>IFERROR(IFERROR(Table7[[#This Row],[No. of Testcases Created]]/Table7[[#This Row],[Effort for Testcase Creation]],"")*9,"")</f>
        <v/>
      </c>
      <c r="AK188" s="256" t="str">
        <f>IFERROR((Table7[[#This Row],[No. of Testcases Executed]]/Table7[[#This Row],[Effort for Testcase Execution]])*9,"")</f>
        <v/>
      </c>
      <c r="AL18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8" s="259" t="str">
        <f>IFERROR(Table7[[#This Row],[No. of Defects Validated]]/SUMIFS(Table3[Hours Worked],Table3[Release Name],Table7[[#This Row],[Release Name]],Table3[Task Type],"Defect Validation")*9,"")</f>
        <v/>
      </c>
      <c r="AN188" s="258" t="str">
        <f>IFERROR((Table7[[#This Row],[No. of Valid  Internal Testing Defects]])/(Table7[[#This Row],[No. of Valid  Internal Testing Defects]]+Table7[[#This Row],[No. of Invalid Internal Testing Defects]]),"")</f>
        <v/>
      </c>
      <c r="AO188" s="258" t="str">
        <f>IFERROR(Table7[[#This Row],[No. of Valid External Testing Defects]]/(Table7[[#This Row],[No. of Valid External Testing Defects]]+Table7[[#This Row],[No. of Valid  Internal Testing Defects]]),"")</f>
        <v/>
      </c>
    </row>
    <row r="189" spans="2:41">
      <c r="B189" s="237"/>
      <c r="C189" s="14"/>
      <c r="D189" s="14"/>
      <c r="E189" s="14"/>
      <c r="F189" s="230" t="str">
        <f>IFERROR((Table47[[#This Row],[Initial No. of Requirements]]+Table47[[#This Row],[Modified Requirements( Added / Deleted /Modified)]])/Table47[[#This Row],[Initial No. of Requirements]],"")</f>
        <v/>
      </c>
      <c r="G18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89" s="249"/>
      <c r="J189" s="249"/>
      <c r="K189" s="250"/>
      <c r="L189" s="250"/>
      <c r="M189" s="250"/>
      <c r="N189" s="248">
        <f>SUMIFS(Table1[Size],Table1[Release Name],[2]!Table7[Release Name])</f>
        <v>0</v>
      </c>
      <c r="O189" s="248"/>
      <c r="P18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89" s="248"/>
      <c r="R18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89" s="248"/>
      <c r="T189" s="248"/>
      <c r="U189" s="248"/>
      <c r="V189" s="248"/>
      <c r="W189" s="248"/>
      <c r="X189" s="248"/>
      <c r="Y189" s="248"/>
      <c r="Z189" s="248"/>
      <c r="AA189" s="248"/>
      <c r="AB189" s="13">
        <f>SUMIFS(Table3[Hours Worked],Table3[Release Name],Table7[[#This Row],[Release Name]],Table3[Task Type],"Testcase Creation")</f>
        <v>0</v>
      </c>
      <c r="AC189" s="255">
        <f>SUMIFS(Table3[Hours Worked],Table3[Release Name],Table7[[#This Row],[Release Name]],Table3[Task Type],"Testcase Execution")</f>
        <v>0</v>
      </c>
      <c r="AD18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89" s="256" t="str">
        <f>IFERROR((Table7[[#This Row],[No. of Valid Internal Review Defects]]+Table7[[#This Row],[No. of Valid  Internal Testing Defects]]+Table7[[#This Row],[No. of  Valid External Review Defects]]+Table7[[#This Row],[No. of Valid External Testing Defects]])/Table7[[#This Row],[Size]],"")</f>
        <v/>
      </c>
      <c r="AF189" s="257" t="str">
        <f>IFERROR(Table7[[#This Row],[No. of Valid Internal Review Defects]]/(Table7[[#This Row],[No. of Valid Internal Review Defects]]+Table7[[#This Row],[No. of  Valid External Review Defects]]+Table7[[#This Row],[No. of Valid  Internal Testing Defects]]+Table7[[#This Row],[No. of Valid External Testing Defects]]),"")</f>
        <v/>
      </c>
      <c r="AG189" s="258" t="str">
        <f>IFERROR(Table7[[#This Row],[No. of Valid Internal Review Defects]]/(Table7[[#This Row],[No. of Valid Internal Review Defects]]+Table7[[#This Row],[No. of  Valid External Review Defects]]+Table7[[#This Row],[No. of Valid External Testing Defects]]),"")</f>
        <v/>
      </c>
      <c r="AH189" s="256" t="str">
        <f>IFERROR(Table7[[#This Row],[No. of Valid  Internal Testing Defects]]/Table7[[#This Row],[Overall Actual Effort for the release]],"")</f>
        <v/>
      </c>
      <c r="AI189" s="256" t="str">
        <f>IFERROR(Table7[[#This Row],[No. of Valid  Internal Testing Defects]]/Table7[[#This Row],[No. of Testcases Executed]],"")</f>
        <v/>
      </c>
      <c r="AJ189" s="259" t="str">
        <f>IFERROR(IFERROR(Table7[[#This Row],[No. of Testcases Created]]/Table7[[#This Row],[Effort for Testcase Creation]],"")*9,"")</f>
        <v/>
      </c>
      <c r="AK189" s="256" t="str">
        <f>IFERROR((Table7[[#This Row],[No. of Testcases Executed]]/Table7[[#This Row],[Effort for Testcase Execution]])*9,"")</f>
        <v/>
      </c>
      <c r="AL18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89" s="259" t="str">
        <f>IFERROR(Table7[[#This Row],[No. of Defects Validated]]/SUMIFS(Table3[Hours Worked],Table3[Release Name],Table7[[#This Row],[Release Name]],Table3[Task Type],"Defect Validation")*9,"")</f>
        <v/>
      </c>
      <c r="AN189" s="258" t="str">
        <f>IFERROR((Table7[[#This Row],[No. of Valid  Internal Testing Defects]])/(Table7[[#This Row],[No. of Valid  Internal Testing Defects]]+Table7[[#This Row],[No. of Invalid Internal Testing Defects]]),"")</f>
        <v/>
      </c>
      <c r="AO189" s="258" t="str">
        <f>IFERROR(Table7[[#This Row],[No. of Valid External Testing Defects]]/(Table7[[#This Row],[No. of Valid External Testing Defects]]+Table7[[#This Row],[No. of Valid  Internal Testing Defects]]),"")</f>
        <v/>
      </c>
    </row>
    <row r="190" spans="2:41">
      <c r="B190" s="237"/>
      <c r="C190" s="14"/>
      <c r="D190" s="14"/>
      <c r="E190" s="14"/>
      <c r="F190" s="230" t="str">
        <f>IFERROR((Table47[[#This Row],[Initial No. of Requirements]]+Table47[[#This Row],[Modified Requirements( Added / Deleted /Modified)]])/Table47[[#This Row],[Initial No. of Requirements]],"")</f>
        <v/>
      </c>
      <c r="G19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0" s="249"/>
      <c r="J190" s="249"/>
      <c r="K190" s="250"/>
      <c r="L190" s="250"/>
      <c r="M190" s="250"/>
      <c r="N190" s="248">
        <f>SUMIFS(Table1[Size],Table1[Release Name],[2]!Table7[Release Name])</f>
        <v>0</v>
      </c>
      <c r="O190" s="248"/>
      <c r="P19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0" s="248"/>
      <c r="R19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0" s="248"/>
      <c r="T190" s="248"/>
      <c r="U190" s="248"/>
      <c r="V190" s="248"/>
      <c r="W190" s="248"/>
      <c r="X190" s="248"/>
      <c r="Y190" s="248"/>
      <c r="Z190" s="248"/>
      <c r="AA190" s="248"/>
      <c r="AB190" s="13">
        <f>SUMIFS(Table3[Hours Worked],Table3[Release Name],Table7[[#This Row],[Release Name]],Table3[Task Type],"Testcase Creation")</f>
        <v>0</v>
      </c>
      <c r="AC190" s="255">
        <f>SUMIFS(Table3[Hours Worked],Table3[Release Name],Table7[[#This Row],[Release Name]],Table3[Task Type],"Testcase Execution")</f>
        <v>0</v>
      </c>
      <c r="AD19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0" s="256" t="str">
        <f>IFERROR((Table7[[#This Row],[No. of Valid Internal Review Defects]]+Table7[[#This Row],[No. of Valid  Internal Testing Defects]]+Table7[[#This Row],[No. of  Valid External Review Defects]]+Table7[[#This Row],[No. of Valid External Testing Defects]])/Table7[[#This Row],[Size]],"")</f>
        <v/>
      </c>
      <c r="AF190" s="257" t="str">
        <f>IFERROR(Table7[[#This Row],[No. of Valid Internal Review Defects]]/(Table7[[#This Row],[No. of Valid Internal Review Defects]]+Table7[[#This Row],[No. of  Valid External Review Defects]]+Table7[[#This Row],[No. of Valid  Internal Testing Defects]]+Table7[[#This Row],[No. of Valid External Testing Defects]]),"")</f>
        <v/>
      </c>
      <c r="AG190" s="258" t="str">
        <f>IFERROR(Table7[[#This Row],[No. of Valid Internal Review Defects]]/(Table7[[#This Row],[No. of Valid Internal Review Defects]]+Table7[[#This Row],[No. of  Valid External Review Defects]]+Table7[[#This Row],[No. of Valid External Testing Defects]]),"")</f>
        <v/>
      </c>
      <c r="AH190" s="256" t="str">
        <f>IFERROR(Table7[[#This Row],[No. of Valid  Internal Testing Defects]]/Table7[[#This Row],[Overall Actual Effort for the release]],"")</f>
        <v/>
      </c>
      <c r="AI190" s="256" t="str">
        <f>IFERROR(Table7[[#This Row],[No. of Valid  Internal Testing Defects]]/Table7[[#This Row],[No. of Testcases Executed]],"")</f>
        <v/>
      </c>
      <c r="AJ190" s="259" t="str">
        <f>IFERROR(IFERROR(Table7[[#This Row],[No. of Testcases Created]]/Table7[[#This Row],[Effort for Testcase Creation]],"")*9,"")</f>
        <v/>
      </c>
      <c r="AK190" s="256" t="str">
        <f>IFERROR((Table7[[#This Row],[No. of Testcases Executed]]/Table7[[#This Row],[Effort for Testcase Execution]])*9,"")</f>
        <v/>
      </c>
      <c r="AL19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0" s="259" t="str">
        <f>IFERROR(Table7[[#This Row],[No. of Defects Validated]]/SUMIFS(Table3[Hours Worked],Table3[Release Name],Table7[[#This Row],[Release Name]],Table3[Task Type],"Defect Validation")*9,"")</f>
        <v/>
      </c>
      <c r="AN190" s="258" t="str">
        <f>IFERROR((Table7[[#This Row],[No. of Valid  Internal Testing Defects]])/(Table7[[#This Row],[No. of Valid  Internal Testing Defects]]+Table7[[#This Row],[No. of Invalid Internal Testing Defects]]),"")</f>
        <v/>
      </c>
      <c r="AO190" s="258" t="str">
        <f>IFERROR(Table7[[#This Row],[No. of Valid External Testing Defects]]/(Table7[[#This Row],[No. of Valid External Testing Defects]]+Table7[[#This Row],[No. of Valid  Internal Testing Defects]]),"")</f>
        <v/>
      </c>
    </row>
    <row r="191" spans="2:41">
      <c r="B191" s="237"/>
      <c r="C191" s="14"/>
      <c r="D191" s="14"/>
      <c r="E191" s="14"/>
      <c r="F191" s="230" t="str">
        <f>IFERROR((Table47[[#This Row],[Initial No. of Requirements]]+Table47[[#This Row],[Modified Requirements( Added / Deleted /Modified)]])/Table47[[#This Row],[Initial No. of Requirements]],"")</f>
        <v/>
      </c>
      <c r="G19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1" s="249"/>
      <c r="J191" s="249"/>
      <c r="K191" s="250"/>
      <c r="L191" s="250"/>
      <c r="M191" s="250"/>
      <c r="N191" s="248">
        <f>SUMIFS(Table1[Size],Table1[Release Name],[2]!Table7[Release Name])</f>
        <v>0</v>
      </c>
      <c r="O191" s="248"/>
      <c r="P19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1" s="248"/>
      <c r="R19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1" s="248"/>
      <c r="T191" s="248"/>
      <c r="U191" s="248"/>
      <c r="V191" s="248"/>
      <c r="W191" s="248"/>
      <c r="X191" s="248"/>
      <c r="Y191" s="248"/>
      <c r="Z191" s="248"/>
      <c r="AA191" s="248"/>
      <c r="AB191" s="13">
        <f>SUMIFS(Table3[Hours Worked],Table3[Release Name],Table7[[#This Row],[Release Name]],Table3[Task Type],"Testcase Creation")</f>
        <v>0</v>
      </c>
      <c r="AC191" s="255">
        <f>SUMIFS(Table3[Hours Worked],Table3[Release Name],Table7[[#This Row],[Release Name]],Table3[Task Type],"Testcase Execution")</f>
        <v>0</v>
      </c>
      <c r="AD19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1" s="256" t="str">
        <f>IFERROR((Table7[[#This Row],[No. of Valid Internal Review Defects]]+Table7[[#This Row],[No. of Valid  Internal Testing Defects]]+Table7[[#This Row],[No. of  Valid External Review Defects]]+Table7[[#This Row],[No. of Valid External Testing Defects]])/Table7[[#This Row],[Size]],"")</f>
        <v/>
      </c>
      <c r="AF191" s="257" t="str">
        <f>IFERROR(Table7[[#This Row],[No. of Valid Internal Review Defects]]/(Table7[[#This Row],[No. of Valid Internal Review Defects]]+Table7[[#This Row],[No. of  Valid External Review Defects]]+Table7[[#This Row],[No. of Valid  Internal Testing Defects]]+Table7[[#This Row],[No. of Valid External Testing Defects]]),"")</f>
        <v/>
      </c>
      <c r="AG191" s="258" t="str">
        <f>IFERROR(Table7[[#This Row],[No. of Valid Internal Review Defects]]/(Table7[[#This Row],[No. of Valid Internal Review Defects]]+Table7[[#This Row],[No. of  Valid External Review Defects]]+Table7[[#This Row],[No. of Valid External Testing Defects]]),"")</f>
        <v/>
      </c>
      <c r="AH191" s="256" t="str">
        <f>IFERROR(Table7[[#This Row],[No. of Valid  Internal Testing Defects]]/Table7[[#This Row],[Overall Actual Effort for the release]],"")</f>
        <v/>
      </c>
      <c r="AI191" s="256" t="str">
        <f>IFERROR(Table7[[#This Row],[No. of Valid  Internal Testing Defects]]/Table7[[#This Row],[No. of Testcases Executed]],"")</f>
        <v/>
      </c>
      <c r="AJ191" s="259" t="str">
        <f>IFERROR(IFERROR(Table7[[#This Row],[No. of Testcases Created]]/Table7[[#This Row],[Effort for Testcase Creation]],"")*9,"")</f>
        <v/>
      </c>
      <c r="AK191" s="256" t="str">
        <f>IFERROR((Table7[[#This Row],[No. of Testcases Executed]]/Table7[[#This Row],[Effort for Testcase Execution]])*9,"")</f>
        <v/>
      </c>
      <c r="AL19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1" s="259" t="str">
        <f>IFERROR(Table7[[#This Row],[No. of Defects Validated]]/SUMIFS(Table3[Hours Worked],Table3[Release Name],Table7[[#This Row],[Release Name]],Table3[Task Type],"Defect Validation")*9,"")</f>
        <v/>
      </c>
      <c r="AN191" s="258" t="str">
        <f>IFERROR((Table7[[#This Row],[No. of Valid  Internal Testing Defects]])/(Table7[[#This Row],[No. of Valid  Internal Testing Defects]]+Table7[[#This Row],[No. of Invalid Internal Testing Defects]]),"")</f>
        <v/>
      </c>
      <c r="AO191" s="258" t="str">
        <f>IFERROR(Table7[[#This Row],[No. of Valid External Testing Defects]]/(Table7[[#This Row],[No. of Valid External Testing Defects]]+Table7[[#This Row],[No. of Valid  Internal Testing Defects]]),"")</f>
        <v/>
      </c>
    </row>
    <row r="192" spans="2:41">
      <c r="B192" s="237"/>
      <c r="C192" s="14"/>
      <c r="D192" s="14"/>
      <c r="E192" s="14"/>
      <c r="F192" s="230" t="str">
        <f>IFERROR((Table47[[#This Row],[Initial No. of Requirements]]+Table47[[#This Row],[Modified Requirements( Added / Deleted /Modified)]])/Table47[[#This Row],[Initial No. of Requirements]],"")</f>
        <v/>
      </c>
      <c r="G19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2" s="249"/>
      <c r="J192" s="249"/>
      <c r="K192" s="250"/>
      <c r="L192" s="250"/>
      <c r="M192" s="250"/>
      <c r="N192" s="248">
        <f>SUMIFS(Table1[Size],Table1[Release Name],[2]!Table7[Release Name])</f>
        <v>0</v>
      </c>
      <c r="O192" s="248"/>
      <c r="P19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2" s="248"/>
      <c r="R19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2" s="248"/>
      <c r="T192" s="248"/>
      <c r="U192" s="248"/>
      <c r="V192" s="248"/>
      <c r="W192" s="248"/>
      <c r="X192" s="248"/>
      <c r="Y192" s="248"/>
      <c r="Z192" s="248"/>
      <c r="AA192" s="248"/>
      <c r="AB192" s="13">
        <f>SUMIFS(Table3[Hours Worked],Table3[Release Name],Table7[[#This Row],[Release Name]],Table3[Task Type],"Testcase Creation")</f>
        <v>0</v>
      </c>
      <c r="AC192" s="255">
        <f>SUMIFS(Table3[Hours Worked],Table3[Release Name],Table7[[#This Row],[Release Name]],Table3[Task Type],"Testcase Execution")</f>
        <v>0</v>
      </c>
      <c r="AD19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2" s="256" t="str">
        <f>IFERROR((Table7[[#This Row],[No. of Valid Internal Review Defects]]+Table7[[#This Row],[No. of Valid  Internal Testing Defects]]+Table7[[#This Row],[No. of  Valid External Review Defects]]+Table7[[#This Row],[No. of Valid External Testing Defects]])/Table7[[#This Row],[Size]],"")</f>
        <v/>
      </c>
      <c r="AF192" s="257" t="str">
        <f>IFERROR(Table7[[#This Row],[No. of Valid Internal Review Defects]]/(Table7[[#This Row],[No. of Valid Internal Review Defects]]+Table7[[#This Row],[No. of  Valid External Review Defects]]+Table7[[#This Row],[No. of Valid  Internal Testing Defects]]+Table7[[#This Row],[No. of Valid External Testing Defects]]),"")</f>
        <v/>
      </c>
      <c r="AG192" s="258" t="str">
        <f>IFERROR(Table7[[#This Row],[No. of Valid Internal Review Defects]]/(Table7[[#This Row],[No. of Valid Internal Review Defects]]+Table7[[#This Row],[No. of  Valid External Review Defects]]+Table7[[#This Row],[No. of Valid External Testing Defects]]),"")</f>
        <v/>
      </c>
      <c r="AH192" s="256" t="str">
        <f>IFERROR(Table7[[#This Row],[No. of Valid  Internal Testing Defects]]/Table7[[#This Row],[Overall Actual Effort for the release]],"")</f>
        <v/>
      </c>
      <c r="AI192" s="256" t="str">
        <f>IFERROR(Table7[[#This Row],[No. of Valid  Internal Testing Defects]]/Table7[[#This Row],[No. of Testcases Executed]],"")</f>
        <v/>
      </c>
      <c r="AJ192" s="259" t="str">
        <f>IFERROR(IFERROR(Table7[[#This Row],[No. of Testcases Created]]/Table7[[#This Row],[Effort for Testcase Creation]],"")*9,"")</f>
        <v/>
      </c>
      <c r="AK192" s="256" t="str">
        <f>IFERROR((Table7[[#This Row],[No. of Testcases Executed]]/Table7[[#This Row],[Effort for Testcase Execution]])*9,"")</f>
        <v/>
      </c>
      <c r="AL19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2" s="259" t="str">
        <f>IFERROR(Table7[[#This Row],[No. of Defects Validated]]/SUMIFS(Table3[Hours Worked],Table3[Release Name],Table7[[#This Row],[Release Name]],Table3[Task Type],"Defect Validation")*9,"")</f>
        <v/>
      </c>
      <c r="AN192" s="258" t="str">
        <f>IFERROR((Table7[[#This Row],[No. of Valid  Internal Testing Defects]])/(Table7[[#This Row],[No. of Valid  Internal Testing Defects]]+Table7[[#This Row],[No. of Invalid Internal Testing Defects]]),"")</f>
        <v/>
      </c>
      <c r="AO192" s="258" t="str">
        <f>IFERROR(Table7[[#This Row],[No. of Valid External Testing Defects]]/(Table7[[#This Row],[No. of Valid External Testing Defects]]+Table7[[#This Row],[No. of Valid  Internal Testing Defects]]),"")</f>
        <v/>
      </c>
    </row>
    <row r="193" spans="2:41">
      <c r="B193" s="237"/>
      <c r="C193" s="14"/>
      <c r="D193" s="14"/>
      <c r="E193" s="14"/>
      <c r="F193" s="230" t="str">
        <f>IFERROR((Table47[[#This Row],[Initial No. of Requirements]]+Table47[[#This Row],[Modified Requirements( Added / Deleted /Modified)]])/Table47[[#This Row],[Initial No. of Requirements]],"")</f>
        <v/>
      </c>
      <c r="G19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3" s="249"/>
      <c r="J193" s="249"/>
      <c r="K193" s="250"/>
      <c r="L193" s="250"/>
      <c r="M193" s="250"/>
      <c r="N193" s="248">
        <f>SUMIFS(Table1[Size],Table1[Release Name],[2]!Table7[Release Name])</f>
        <v>0</v>
      </c>
      <c r="O193" s="248"/>
      <c r="P19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3" s="248"/>
      <c r="R19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3" s="248"/>
      <c r="T193" s="248"/>
      <c r="U193" s="248"/>
      <c r="V193" s="248"/>
      <c r="W193" s="248"/>
      <c r="X193" s="248"/>
      <c r="Y193" s="248"/>
      <c r="Z193" s="248"/>
      <c r="AA193" s="248"/>
      <c r="AB193" s="13">
        <f>SUMIFS(Table3[Hours Worked],Table3[Release Name],Table7[[#This Row],[Release Name]],Table3[Task Type],"Testcase Creation")</f>
        <v>0</v>
      </c>
      <c r="AC193" s="255">
        <f>SUMIFS(Table3[Hours Worked],Table3[Release Name],Table7[[#This Row],[Release Name]],Table3[Task Type],"Testcase Execution")</f>
        <v>0</v>
      </c>
      <c r="AD19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3" s="256" t="str">
        <f>IFERROR((Table7[[#This Row],[No. of Valid Internal Review Defects]]+Table7[[#This Row],[No. of Valid  Internal Testing Defects]]+Table7[[#This Row],[No. of  Valid External Review Defects]]+Table7[[#This Row],[No. of Valid External Testing Defects]])/Table7[[#This Row],[Size]],"")</f>
        <v/>
      </c>
      <c r="AF193" s="257" t="str">
        <f>IFERROR(Table7[[#This Row],[No. of Valid Internal Review Defects]]/(Table7[[#This Row],[No. of Valid Internal Review Defects]]+Table7[[#This Row],[No. of  Valid External Review Defects]]+Table7[[#This Row],[No. of Valid  Internal Testing Defects]]+Table7[[#This Row],[No. of Valid External Testing Defects]]),"")</f>
        <v/>
      </c>
      <c r="AG193" s="258" t="str">
        <f>IFERROR(Table7[[#This Row],[No. of Valid Internal Review Defects]]/(Table7[[#This Row],[No. of Valid Internal Review Defects]]+Table7[[#This Row],[No. of  Valid External Review Defects]]+Table7[[#This Row],[No. of Valid External Testing Defects]]),"")</f>
        <v/>
      </c>
      <c r="AH193" s="256" t="str">
        <f>IFERROR(Table7[[#This Row],[No. of Valid  Internal Testing Defects]]/Table7[[#This Row],[Overall Actual Effort for the release]],"")</f>
        <v/>
      </c>
      <c r="AI193" s="256" t="str">
        <f>IFERROR(Table7[[#This Row],[No. of Valid  Internal Testing Defects]]/Table7[[#This Row],[No. of Testcases Executed]],"")</f>
        <v/>
      </c>
      <c r="AJ193" s="259" t="str">
        <f>IFERROR(IFERROR(Table7[[#This Row],[No. of Testcases Created]]/Table7[[#This Row],[Effort for Testcase Creation]],"")*9,"")</f>
        <v/>
      </c>
      <c r="AK193" s="256" t="str">
        <f>IFERROR((Table7[[#This Row],[No. of Testcases Executed]]/Table7[[#This Row],[Effort for Testcase Execution]])*9,"")</f>
        <v/>
      </c>
      <c r="AL19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3" s="259" t="str">
        <f>IFERROR(Table7[[#This Row],[No. of Defects Validated]]/SUMIFS(Table3[Hours Worked],Table3[Release Name],Table7[[#This Row],[Release Name]],Table3[Task Type],"Defect Validation")*9,"")</f>
        <v/>
      </c>
      <c r="AN193" s="258" t="str">
        <f>IFERROR((Table7[[#This Row],[No. of Valid  Internal Testing Defects]])/(Table7[[#This Row],[No. of Valid  Internal Testing Defects]]+Table7[[#This Row],[No. of Invalid Internal Testing Defects]]),"")</f>
        <v/>
      </c>
      <c r="AO193" s="258" t="str">
        <f>IFERROR(Table7[[#This Row],[No. of Valid External Testing Defects]]/(Table7[[#This Row],[No. of Valid External Testing Defects]]+Table7[[#This Row],[No. of Valid  Internal Testing Defects]]),"")</f>
        <v/>
      </c>
    </row>
    <row r="194" spans="2:41">
      <c r="B194" s="237"/>
      <c r="C194" s="14"/>
      <c r="D194" s="14"/>
      <c r="E194" s="14"/>
      <c r="F194" s="230" t="str">
        <f>IFERROR((Table47[[#This Row],[Initial No. of Requirements]]+Table47[[#This Row],[Modified Requirements( Added / Deleted /Modified)]])/Table47[[#This Row],[Initial No. of Requirements]],"")</f>
        <v/>
      </c>
      <c r="G19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4" s="249"/>
      <c r="J194" s="249"/>
      <c r="K194" s="250"/>
      <c r="L194" s="250"/>
      <c r="M194" s="250"/>
      <c r="N194" s="248">
        <f>SUMIFS(Table1[Size],Table1[Release Name],[2]!Table7[Release Name])</f>
        <v>0</v>
      </c>
      <c r="O194" s="248"/>
      <c r="P19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4" s="248"/>
      <c r="R19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4" s="248"/>
      <c r="T194" s="248"/>
      <c r="U194" s="248"/>
      <c r="V194" s="248"/>
      <c r="W194" s="248"/>
      <c r="X194" s="248"/>
      <c r="Y194" s="248"/>
      <c r="Z194" s="248"/>
      <c r="AA194" s="248"/>
      <c r="AB194" s="13">
        <f>SUMIFS(Table3[Hours Worked],Table3[Release Name],Table7[[#This Row],[Release Name]],Table3[Task Type],"Testcase Creation")</f>
        <v>0</v>
      </c>
      <c r="AC194" s="255">
        <f>SUMIFS(Table3[Hours Worked],Table3[Release Name],Table7[[#This Row],[Release Name]],Table3[Task Type],"Testcase Execution")</f>
        <v>0</v>
      </c>
      <c r="AD19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4" s="256" t="str">
        <f>IFERROR((Table7[[#This Row],[No. of Valid Internal Review Defects]]+Table7[[#This Row],[No. of Valid  Internal Testing Defects]]+Table7[[#This Row],[No. of  Valid External Review Defects]]+Table7[[#This Row],[No. of Valid External Testing Defects]])/Table7[[#This Row],[Size]],"")</f>
        <v/>
      </c>
      <c r="AF194" s="257" t="str">
        <f>IFERROR(Table7[[#This Row],[No. of Valid Internal Review Defects]]/(Table7[[#This Row],[No. of Valid Internal Review Defects]]+Table7[[#This Row],[No. of  Valid External Review Defects]]+Table7[[#This Row],[No. of Valid  Internal Testing Defects]]+Table7[[#This Row],[No. of Valid External Testing Defects]]),"")</f>
        <v/>
      </c>
      <c r="AG194" s="258" t="str">
        <f>IFERROR(Table7[[#This Row],[No. of Valid Internal Review Defects]]/(Table7[[#This Row],[No. of Valid Internal Review Defects]]+Table7[[#This Row],[No. of  Valid External Review Defects]]+Table7[[#This Row],[No. of Valid External Testing Defects]]),"")</f>
        <v/>
      </c>
      <c r="AH194" s="256" t="str">
        <f>IFERROR(Table7[[#This Row],[No. of Valid  Internal Testing Defects]]/Table7[[#This Row],[Overall Actual Effort for the release]],"")</f>
        <v/>
      </c>
      <c r="AI194" s="256" t="str">
        <f>IFERROR(Table7[[#This Row],[No. of Valid  Internal Testing Defects]]/Table7[[#This Row],[No. of Testcases Executed]],"")</f>
        <v/>
      </c>
      <c r="AJ194" s="259" t="str">
        <f>IFERROR(IFERROR(Table7[[#This Row],[No. of Testcases Created]]/Table7[[#This Row],[Effort for Testcase Creation]],"")*9,"")</f>
        <v/>
      </c>
      <c r="AK194" s="256" t="str">
        <f>IFERROR((Table7[[#This Row],[No. of Testcases Executed]]/Table7[[#This Row],[Effort for Testcase Execution]])*9,"")</f>
        <v/>
      </c>
      <c r="AL19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4" s="259" t="str">
        <f>IFERROR(Table7[[#This Row],[No. of Defects Validated]]/SUMIFS(Table3[Hours Worked],Table3[Release Name],Table7[[#This Row],[Release Name]],Table3[Task Type],"Defect Validation")*9,"")</f>
        <v/>
      </c>
      <c r="AN194" s="258" t="str">
        <f>IFERROR((Table7[[#This Row],[No. of Valid  Internal Testing Defects]])/(Table7[[#This Row],[No. of Valid  Internal Testing Defects]]+Table7[[#This Row],[No. of Invalid Internal Testing Defects]]),"")</f>
        <v/>
      </c>
      <c r="AO194" s="258" t="str">
        <f>IFERROR(Table7[[#This Row],[No. of Valid External Testing Defects]]/(Table7[[#This Row],[No. of Valid External Testing Defects]]+Table7[[#This Row],[No. of Valid  Internal Testing Defects]]),"")</f>
        <v/>
      </c>
    </row>
    <row r="195" spans="2:41">
      <c r="B195" s="237"/>
      <c r="C195" s="14"/>
      <c r="D195" s="14"/>
      <c r="E195" s="14"/>
      <c r="F195" s="230" t="str">
        <f>IFERROR((Table47[[#This Row],[Initial No. of Requirements]]+Table47[[#This Row],[Modified Requirements( Added / Deleted /Modified)]])/Table47[[#This Row],[Initial No. of Requirements]],"")</f>
        <v/>
      </c>
      <c r="G19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5" s="249"/>
      <c r="J195" s="249"/>
      <c r="K195" s="250"/>
      <c r="L195" s="250"/>
      <c r="M195" s="250"/>
      <c r="N195" s="248">
        <f>SUMIFS(Table1[Size],Table1[Release Name],[2]!Table7[Release Name])</f>
        <v>0</v>
      </c>
      <c r="O195" s="248"/>
      <c r="P19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5" s="248"/>
      <c r="R19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5" s="248"/>
      <c r="T195" s="248"/>
      <c r="U195" s="248"/>
      <c r="V195" s="248"/>
      <c r="W195" s="248"/>
      <c r="X195" s="248"/>
      <c r="Y195" s="248"/>
      <c r="Z195" s="248"/>
      <c r="AA195" s="248"/>
      <c r="AB195" s="13">
        <f>SUMIFS(Table3[Hours Worked],Table3[Release Name],Table7[[#This Row],[Release Name]],Table3[Task Type],"Testcase Creation")</f>
        <v>0</v>
      </c>
      <c r="AC195" s="255">
        <f>SUMIFS(Table3[Hours Worked],Table3[Release Name],Table7[[#This Row],[Release Name]],Table3[Task Type],"Testcase Execution")</f>
        <v>0</v>
      </c>
      <c r="AD19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5" s="256" t="str">
        <f>IFERROR((Table7[[#This Row],[No. of Valid Internal Review Defects]]+Table7[[#This Row],[No. of Valid  Internal Testing Defects]]+Table7[[#This Row],[No. of  Valid External Review Defects]]+Table7[[#This Row],[No. of Valid External Testing Defects]])/Table7[[#This Row],[Size]],"")</f>
        <v/>
      </c>
      <c r="AF195" s="257" t="str">
        <f>IFERROR(Table7[[#This Row],[No. of Valid Internal Review Defects]]/(Table7[[#This Row],[No. of Valid Internal Review Defects]]+Table7[[#This Row],[No. of  Valid External Review Defects]]+Table7[[#This Row],[No. of Valid  Internal Testing Defects]]+Table7[[#This Row],[No. of Valid External Testing Defects]]),"")</f>
        <v/>
      </c>
      <c r="AG195" s="258" t="str">
        <f>IFERROR(Table7[[#This Row],[No. of Valid Internal Review Defects]]/(Table7[[#This Row],[No. of Valid Internal Review Defects]]+Table7[[#This Row],[No. of  Valid External Review Defects]]+Table7[[#This Row],[No. of Valid External Testing Defects]]),"")</f>
        <v/>
      </c>
      <c r="AH195" s="256" t="str">
        <f>IFERROR(Table7[[#This Row],[No. of Valid  Internal Testing Defects]]/Table7[[#This Row],[Overall Actual Effort for the release]],"")</f>
        <v/>
      </c>
      <c r="AI195" s="256" t="str">
        <f>IFERROR(Table7[[#This Row],[No. of Valid  Internal Testing Defects]]/Table7[[#This Row],[No. of Testcases Executed]],"")</f>
        <v/>
      </c>
      <c r="AJ195" s="259" t="str">
        <f>IFERROR(IFERROR(Table7[[#This Row],[No. of Testcases Created]]/Table7[[#This Row],[Effort for Testcase Creation]],"")*9,"")</f>
        <v/>
      </c>
      <c r="AK195" s="256" t="str">
        <f>IFERROR((Table7[[#This Row],[No. of Testcases Executed]]/Table7[[#This Row],[Effort for Testcase Execution]])*9,"")</f>
        <v/>
      </c>
      <c r="AL19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5" s="259" t="str">
        <f>IFERROR(Table7[[#This Row],[No. of Defects Validated]]/SUMIFS(Table3[Hours Worked],Table3[Release Name],Table7[[#This Row],[Release Name]],Table3[Task Type],"Defect Validation")*9,"")</f>
        <v/>
      </c>
      <c r="AN195" s="258" t="str">
        <f>IFERROR((Table7[[#This Row],[No. of Valid  Internal Testing Defects]])/(Table7[[#This Row],[No. of Valid  Internal Testing Defects]]+Table7[[#This Row],[No. of Invalid Internal Testing Defects]]),"")</f>
        <v/>
      </c>
      <c r="AO195" s="258" t="str">
        <f>IFERROR(Table7[[#This Row],[No. of Valid External Testing Defects]]/(Table7[[#This Row],[No. of Valid External Testing Defects]]+Table7[[#This Row],[No. of Valid  Internal Testing Defects]]),"")</f>
        <v/>
      </c>
    </row>
    <row r="196" spans="2:41">
      <c r="B196" s="237"/>
      <c r="C196" s="14"/>
      <c r="D196" s="14"/>
      <c r="E196" s="14"/>
      <c r="F196" s="230" t="str">
        <f>IFERROR((Table47[[#This Row],[Initial No. of Requirements]]+Table47[[#This Row],[Modified Requirements( Added / Deleted /Modified)]])/Table47[[#This Row],[Initial No. of Requirements]],"")</f>
        <v/>
      </c>
      <c r="G19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6" s="249"/>
      <c r="J196" s="249"/>
      <c r="K196" s="250"/>
      <c r="L196" s="250"/>
      <c r="M196" s="250"/>
      <c r="N196" s="248">
        <f>SUMIFS(Table1[Size],Table1[Release Name],[2]!Table7[Release Name])</f>
        <v>0</v>
      </c>
      <c r="O196" s="248"/>
      <c r="P19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6" s="248"/>
      <c r="R19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6" s="248"/>
      <c r="T196" s="248"/>
      <c r="U196" s="248"/>
      <c r="V196" s="248"/>
      <c r="W196" s="248"/>
      <c r="X196" s="248"/>
      <c r="Y196" s="248"/>
      <c r="Z196" s="248"/>
      <c r="AA196" s="248"/>
      <c r="AB196" s="13">
        <f>SUMIFS(Table3[Hours Worked],Table3[Release Name],Table7[[#This Row],[Release Name]],Table3[Task Type],"Testcase Creation")</f>
        <v>0</v>
      </c>
      <c r="AC196" s="255">
        <f>SUMIFS(Table3[Hours Worked],Table3[Release Name],Table7[[#This Row],[Release Name]],Table3[Task Type],"Testcase Execution")</f>
        <v>0</v>
      </c>
      <c r="AD19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6" s="256" t="str">
        <f>IFERROR((Table7[[#This Row],[No. of Valid Internal Review Defects]]+Table7[[#This Row],[No. of Valid  Internal Testing Defects]]+Table7[[#This Row],[No. of  Valid External Review Defects]]+Table7[[#This Row],[No. of Valid External Testing Defects]])/Table7[[#This Row],[Size]],"")</f>
        <v/>
      </c>
      <c r="AF196" s="257" t="str">
        <f>IFERROR(Table7[[#This Row],[No. of Valid Internal Review Defects]]/(Table7[[#This Row],[No. of Valid Internal Review Defects]]+Table7[[#This Row],[No. of  Valid External Review Defects]]+Table7[[#This Row],[No. of Valid  Internal Testing Defects]]+Table7[[#This Row],[No. of Valid External Testing Defects]]),"")</f>
        <v/>
      </c>
      <c r="AG196" s="258" t="str">
        <f>IFERROR(Table7[[#This Row],[No. of Valid Internal Review Defects]]/(Table7[[#This Row],[No. of Valid Internal Review Defects]]+Table7[[#This Row],[No. of  Valid External Review Defects]]+Table7[[#This Row],[No. of Valid External Testing Defects]]),"")</f>
        <v/>
      </c>
      <c r="AH196" s="256" t="str">
        <f>IFERROR(Table7[[#This Row],[No. of Valid  Internal Testing Defects]]/Table7[[#This Row],[Overall Actual Effort for the release]],"")</f>
        <v/>
      </c>
      <c r="AI196" s="256" t="str">
        <f>IFERROR(Table7[[#This Row],[No. of Valid  Internal Testing Defects]]/Table7[[#This Row],[No. of Testcases Executed]],"")</f>
        <v/>
      </c>
      <c r="AJ196" s="259" t="str">
        <f>IFERROR(IFERROR(Table7[[#This Row],[No. of Testcases Created]]/Table7[[#This Row],[Effort for Testcase Creation]],"")*9,"")</f>
        <v/>
      </c>
      <c r="AK196" s="256" t="str">
        <f>IFERROR((Table7[[#This Row],[No. of Testcases Executed]]/Table7[[#This Row],[Effort for Testcase Execution]])*9,"")</f>
        <v/>
      </c>
      <c r="AL19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6" s="259" t="str">
        <f>IFERROR(Table7[[#This Row],[No. of Defects Validated]]/SUMIFS(Table3[Hours Worked],Table3[Release Name],Table7[[#This Row],[Release Name]],Table3[Task Type],"Defect Validation")*9,"")</f>
        <v/>
      </c>
      <c r="AN196" s="258" t="str">
        <f>IFERROR((Table7[[#This Row],[No. of Valid  Internal Testing Defects]])/(Table7[[#This Row],[No. of Valid  Internal Testing Defects]]+Table7[[#This Row],[No. of Invalid Internal Testing Defects]]),"")</f>
        <v/>
      </c>
      <c r="AO196" s="258" t="str">
        <f>IFERROR(Table7[[#This Row],[No. of Valid External Testing Defects]]/(Table7[[#This Row],[No. of Valid External Testing Defects]]+Table7[[#This Row],[No. of Valid  Internal Testing Defects]]),"")</f>
        <v/>
      </c>
    </row>
    <row r="197" spans="2:41">
      <c r="B197" s="237"/>
      <c r="C197" s="14"/>
      <c r="D197" s="14"/>
      <c r="E197" s="14"/>
      <c r="F197" s="230" t="str">
        <f>IFERROR((Table47[[#This Row],[Initial No. of Requirements]]+Table47[[#This Row],[Modified Requirements( Added / Deleted /Modified)]])/Table47[[#This Row],[Initial No. of Requirements]],"")</f>
        <v/>
      </c>
      <c r="G19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7" s="249"/>
      <c r="J197" s="249"/>
      <c r="K197" s="250"/>
      <c r="L197" s="250"/>
      <c r="M197" s="250"/>
      <c r="N197" s="248">
        <f>SUMIFS(Table1[Size],Table1[Release Name],[2]!Table7[Release Name])</f>
        <v>0</v>
      </c>
      <c r="O197" s="248"/>
      <c r="P19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7" s="248"/>
      <c r="R19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7" s="248"/>
      <c r="T197" s="248"/>
      <c r="U197" s="248"/>
      <c r="V197" s="248"/>
      <c r="W197" s="248"/>
      <c r="X197" s="248"/>
      <c r="Y197" s="248"/>
      <c r="Z197" s="248"/>
      <c r="AA197" s="248"/>
      <c r="AB197" s="13">
        <f>SUMIFS(Table3[Hours Worked],Table3[Release Name],Table7[[#This Row],[Release Name]],Table3[Task Type],"Testcase Creation")</f>
        <v>0</v>
      </c>
      <c r="AC197" s="255">
        <f>SUMIFS(Table3[Hours Worked],Table3[Release Name],Table7[[#This Row],[Release Name]],Table3[Task Type],"Testcase Execution")</f>
        <v>0</v>
      </c>
      <c r="AD19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7" s="256" t="str">
        <f>IFERROR((Table7[[#This Row],[No. of Valid Internal Review Defects]]+Table7[[#This Row],[No. of Valid  Internal Testing Defects]]+Table7[[#This Row],[No. of  Valid External Review Defects]]+Table7[[#This Row],[No. of Valid External Testing Defects]])/Table7[[#This Row],[Size]],"")</f>
        <v/>
      </c>
      <c r="AF197" s="257" t="str">
        <f>IFERROR(Table7[[#This Row],[No. of Valid Internal Review Defects]]/(Table7[[#This Row],[No. of Valid Internal Review Defects]]+Table7[[#This Row],[No. of  Valid External Review Defects]]+Table7[[#This Row],[No. of Valid  Internal Testing Defects]]+Table7[[#This Row],[No. of Valid External Testing Defects]]),"")</f>
        <v/>
      </c>
      <c r="AG197" s="258" t="str">
        <f>IFERROR(Table7[[#This Row],[No. of Valid Internal Review Defects]]/(Table7[[#This Row],[No. of Valid Internal Review Defects]]+Table7[[#This Row],[No. of  Valid External Review Defects]]+Table7[[#This Row],[No. of Valid External Testing Defects]]),"")</f>
        <v/>
      </c>
      <c r="AH197" s="256" t="str">
        <f>IFERROR(Table7[[#This Row],[No. of Valid  Internal Testing Defects]]/Table7[[#This Row],[Overall Actual Effort for the release]],"")</f>
        <v/>
      </c>
      <c r="AI197" s="256" t="str">
        <f>IFERROR(Table7[[#This Row],[No. of Valid  Internal Testing Defects]]/Table7[[#This Row],[No. of Testcases Executed]],"")</f>
        <v/>
      </c>
      <c r="AJ197" s="259" t="str">
        <f>IFERROR(IFERROR(Table7[[#This Row],[No. of Testcases Created]]/Table7[[#This Row],[Effort for Testcase Creation]],"")*9,"")</f>
        <v/>
      </c>
      <c r="AK197" s="256" t="str">
        <f>IFERROR((Table7[[#This Row],[No. of Testcases Executed]]/Table7[[#This Row],[Effort for Testcase Execution]])*9,"")</f>
        <v/>
      </c>
      <c r="AL19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7" s="259" t="str">
        <f>IFERROR(Table7[[#This Row],[No. of Defects Validated]]/SUMIFS(Table3[Hours Worked],Table3[Release Name],Table7[[#This Row],[Release Name]],Table3[Task Type],"Defect Validation")*9,"")</f>
        <v/>
      </c>
      <c r="AN197" s="258" t="str">
        <f>IFERROR((Table7[[#This Row],[No. of Valid  Internal Testing Defects]])/(Table7[[#This Row],[No. of Valid  Internal Testing Defects]]+Table7[[#This Row],[No. of Invalid Internal Testing Defects]]),"")</f>
        <v/>
      </c>
      <c r="AO197" s="258" t="str">
        <f>IFERROR(Table7[[#This Row],[No. of Valid External Testing Defects]]/(Table7[[#This Row],[No. of Valid External Testing Defects]]+Table7[[#This Row],[No. of Valid  Internal Testing Defects]]),"")</f>
        <v/>
      </c>
    </row>
    <row r="198" spans="2:41">
      <c r="B198" s="237"/>
      <c r="C198" s="14"/>
      <c r="D198" s="14"/>
      <c r="E198" s="14"/>
      <c r="F198" s="230" t="str">
        <f>IFERROR((Table47[[#This Row],[Initial No. of Requirements]]+Table47[[#This Row],[Modified Requirements( Added / Deleted /Modified)]])/Table47[[#This Row],[Initial No. of Requirements]],"")</f>
        <v/>
      </c>
      <c r="G19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8" s="249"/>
      <c r="J198" s="249"/>
      <c r="K198" s="250"/>
      <c r="L198" s="250"/>
      <c r="M198" s="250"/>
      <c r="N198" s="248">
        <f>SUMIFS(Table1[Size],Table1[Release Name],[2]!Table7[Release Name])</f>
        <v>0</v>
      </c>
      <c r="O198" s="248"/>
      <c r="P19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8" s="248"/>
      <c r="R19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8" s="248"/>
      <c r="T198" s="248"/>
      <c r="U198" s="248"/>
      <c r="V198" s="248"/>
      <c r="W198" s="248"/>
      <c r="X198" s="248"/>
      <c r="Y198" s="248"/>
      <c r="Z198" s="248"/>
      <c r="AA198" s="248"/>
      <c r="AB198" s="13">
        <f>SUMIFS(Table3[Hours Worked],Table3[Release Name],Table7[[#This Row],[Release Name]],Table3[Task Type],"Testcase Creation")</f>
        <v>0</v>
      </c>
      <c r="AC198" s="255">
        <f>SUMIFS(Table3[Hours Worked],Table3[Release Name],Table7[[#This Row],[Release Name]],Table3[Task Type],"Testcase Execution")</f>
        <v>0</v>
      </c>
      <c r="AD19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8" s="256" t="str">
        <f>IFERROR((Table7[[#This Row],[No. of Valid Internal Review Defects]]+Table7[[#This Row],[No. of Valid  Internal Testing Defects]]+Table7[[#This Row],[No. of  Valid External Review Defects]]+Table7[[#This Row],[No. of Valid External Testing Defects]])/Table7[[#This Row],[Size]],"")</f>
        <v/>
      </c>
      <c r="AF198" s="257" t="str">
        <f>IFERROR(Table7[[#This Row],[No. of Valid Internal Review Defects]]/(Table7[[#This Row],[No. of Valid Internal Review Defects]]+Table7[[#This Row],[No. of  Valid External Review Defects]]+Table7[[#This Row],[No. of Valid  Internal Testing Defects]]+Table7[[#This Row],[No. of Valid External Testing Defects]]),"")</f>
        <v/>
      </c>
      <c r="AG198" s="258" t="str">
        <f>IFERROR(Table7[[#This Row],[No. of Valid Internal Review Defects]]/(Table7[[#This Row],[No. of Valid Internal Review Defects]]+Table7[[#This Row],[No. of  Valid External Review Defects]]+Table7[[#This Row],[No. of Valid External Testing Defects]]),"")</f>
        <v/>
      </c>
      <c r="AH198" s="256" t="str">
        <f>IFERROR(Table7[[#This Row],[No. of Valid  Internal Testing Defects]]/Table7[[#This Row],[Overall Actual Effort for the release]],"")</f>
        <v/>
      </c>
      <c r="AI198" s="256" t="str">
        <f>IFERROR(Table7[[#This Row],[No. of Valid  Internal Testing Defects]]/Table7[[#This Row],[No. of Testcases Executed]],"")</f>
        <v/>
      </c>
      <c r="AJ198" s="259" t="str">
        <f>IFERROR(IFERROR(Table7[[#This Row],[No. of Testcases Created]]/Table7[[#This Row],[Effort for Testcase Creation]],"")*9,"")</f>
        <v/>
      </c>
      <c r="AK198" s="256" t="str">
        <f>IFERROR((Table7[[#This Row],[No. of Testcases Executed]]/Table7[[#This Row],[Effort for Testcase Execution]])*9,"")</f>
        <v/>
      </c>
      <c r="AL19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8" s="259" t="str">
        <f>IFERROR(Table7[[#This Row],[No. of Defects Validated]]/SUMIFS(Table3[Hours Worked],Table3[Release Name],Table7[[#This Row],[Release Name]],Table3[Task Type],"Defect Validation")*9,"")</f>
        <v/>
      </c>
      <c r="AN198" s="258" t="str">
        <f>IFERROR((Table7[[#This Row],[No. of Valid  Internal Testing Defects]])/(Table7[[#This Row],[No. of Valid  Internal Testing Defects]]+Table7[[#This Row],[No. of Invalid Internal Testing Defects]]),"")</f>
        <v/>
      </c>
      <c r="AO198" s="258" t="str">
        <f>IFERROR(Table7[[#This Row],[No. of Valid External Testing Defects]]/(Table7[[#This Row],[No. of Valid External Testing Defects]]+Table7[[#This Row],[No. of Valid  Internal Testing Defects]]),"")</f>
        <v/>
      </c>
    </row>
    <row r="199" spans="2:41">
      <c r="B199" s="237"/>
      <c r="C199" s="14"/>
      <c r="D199" s="14"/>
      <c r="E199" s="14"/>
      <c r="F199" s="230" t="str">
        <f>IFERROR((Table47[[#This Row],[Initial No. of Requirements]]+Table47[[#This Row],[Modified Requirements( Added / Deleted /Modified)]])/Table47[[#This Row],[Initial No. of Requirements]],"")</f>
        <v/>
      </c>
      <c r="G19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199" s="249"/>
      <c r="J199" s="249"/>
      <c r="K199" s="250"/>
      <c r="L199" s="250"/>
      <c r="M199" s="250"/>
      <c r="N199" s="248">
        <f>SUMIFS(Table1[Size],Table1[Release Name],[2]!Table7[Release Name])</f>
        <v>0</v>
      </c>
      <c r="O199" s="248"/>
      <c r="P19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199" s="248"/>
      <c r="R19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199" s="248"/>
      <c r="T199" s="248"/>
      <c r="U199" s="248"/>
      <c r="V199" s="248"/>
      <c r="W199" s="248"/>
      <c r="X199" s="248"/>
      <c r="Y199" s="248"/>
      <c r="Z199" s="248"/>
      <c r="AA199" s="248"/>
      <c r="AB199" s="13">
        <f>SUMIFS(Table3[Hours Worked],Table3[Release Name],Table7[[#This Row],[Release Name]],Table3[Task Type],"Testcase Creation")</f>
        <v>0</v>
      </c>
      <c r="AC199" s="255">
        <f>SUMIFS(Table3[Hours Worked],Table3[Release Name],Table7[[#This Row],[Release Name]],Table3[Task Type],"Testcase Execution")</f>
        <v>0</v>
      </c>
      <c r="AD19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199" s="256" t="str">
        <f>IFERROR((Table7[[#This Row],[No. of Valid Internal Review Defects]]+Table7[[#This Row],[No. of Valid  Internal Testing Defects]]+Table7[[#This Row],[No. of  Valid External Review Defects]]+Table7[[#This Row],[No. of Valid External Testing Defects]])/Table7[[#This Row],[Size]],"")</f>
        <v/>
      </c>
      <c r="AF199" s="257" t="str">
        <f>IFERROR(Table7[[#This Row],[No. of Valid Internal Review Defects]]/(Table7[[#This Row],[No. of Valid Internal Review Defects]]+Table7[[#This Row],[No. of  Valid External Review Defects]]+Table7[[#This Row],[No. of Valid  Internal Testing Defects]]+Table7[[#This Row],[No. of Valid External Testing Defects]]),"")</f>
        <v/>
      </c>
      <c r="AG199" s="258" t="str">
        <f>IFERROR(Table7[[#This Row],[No. of Valid Internal Review Defects]]/(Table7[[#This Row],[No. of Valid Internal Review Defects]]+Table7[[#This Row],[No. of  Valid External Review Defects]]+Table7[[#This Row],[No. of Valid External Testing Defects]]),"")</f>
        <v/>
      </c>
      <c r="AH199" s="256" t="str">
        <f>IFERROR(Table7[[#This Row],[No. of Valid  Internal Testing Defects]]/Table7[[#This Row],[Overall Actual Effort for the release]],"")</f>
        <v/>
      </c>
      <c r="AI199" s="256" t="str">
        <f>IFERROR(Table7[[#This Row],[No. of Valid  Internal Testing Defects]]/Table7[[#This Row],[No. of Testcases Executed]],"")</f>
        <v/>
      </c>
      <c r="AJ199" s="259" t="str">
        <f>IFERROR(IFERROR(Table7[[#This Row],[No. of Testcases Created]]/Table7[[#This Row],[Effort for Testcase Creation]],"")*9,"")</f>
        <v/>
      </c>
      <c r="AK199" s="256" t="str">
        <f>IFERROR((Table7[[#This Row],[No. of Testcases Executed]]/Table7[[#This Row],[Effort for Testcase Execution]])*9,"")</f>
        <v/>
      </c>
      <c r="AL19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199" s="259" t="str">
        <f>IFERROR(Table7[[#This Row],[No. of Defects Validated]]/SUMIFS(Table3[Hours Worked],Table3[Release Name],Table7[[#This Row],[Release Name]],Table3[Task Type],"Defect Validation")*9,"")</f>
        <v/>
      </c>
      <c r="AN199" s="258" t="str">
        <f>IFERROR((Table7[[#This Row],[No. of Valid  Internal Testing Defects]])/(Table7[[#This Row],[No. of Valid  Internal Testing Defects]]+Table7[[#This Row],[No. of Invalid Internal Testing Defects]]),"")</f>
        <v/>
      </c>
      <c r="AO199" s="258" t="str">
        <f>IFERROR(Table7[[#This Row],[No. of Valid External Testing Defects]]/(Table7[[#This Row],[No. of Valid External Testing Defects]]+Table7[[#This Row],[No. of Valid  Internal Testing Defects]]),"")</f>
        <v/>
      </c>
    </row>
    <row r="200" spans="2:41">
      <c r="B200" s="237"/>
      <c r="C200" s="14"/>
      <c r="D200" s="14"/>
      <c r="E200" s="14"/>
      <c r="F200" s="230" t="str">
        <f>IFERROR((Table47[[#This Row],[Initial No. of Requirements]]+Table47[[#This Row],[Modified Requirements( Added / Deleted /Modified)]])/Table47[[#This Row],[Initial No. of Requirements]],"")</f>
        <v/>
      </c>
      <c r="G20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0" s="249"/>
      <c r="J200" s="249"/>
      <c r="K200" s="250"/>
      <c r="L200" s="250"/>
      <c r="M200" s="250"/>
      <c r="N200" s="248">
        <f>SUMIFS(Table1[Size],Table1[Release Name],[2]!Table7[Release Name])</f>
        <v>0</v>
      </c>
      <c r="O200" s="248"/>
      <c r="P20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0" s="248"/>
      <c r="R20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0" s="248"/>
      <c r="T200" s="248"/>
      <c r="U200" s="248"/>
      <c r="V200" s="248"/>
      <c r="W200" s="248"/>
      <c r="X200" s="248"/>
      <c r="Y200" s="248"/>
      <c r="Z200" s="248"/>
      <c r="AA200" s="248"/>
      <c r="AB200" s="13">
        <f>SUMIFS(Table3[Hours Worked],Table3[Release Name],Table7[[#This Row],[Release Name]],Table3[Task Type],"Testcase Creation")</f>
        <v>0</v>
      </c>
      <c r="AC200" s="255">
        <f>SUMIFS(Table3[Hours Worked],Table3[Release Name],Table7[[#This Row],[Release Name]],Table3[Task Type],"Testcase Execution")</f>
        <v>0</v>
      </c>
      <c r="AD20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0" s="256" t="str">
        <f>IFERROR((Table7[[#This Row],[No. of Valid Internal Review Defects]]+Table7[[#This Row],[No. of Valid  Internal Testing Defects]]+Table7[[#This Row],[No. of  Valid External Review Defects]]+Table7[[#This Row],[No. of Valid External Testing Defects]])/Table7[[#This Row],[Size]],"")</f>
        <v/>
      </c>
      <c r="AF200" s="257" t="str">
        <f>IFERROR(Table7[[#This Row],[No. of Valid Internal Review Defects]]/(Table7[[#This Row],[No. of Valid Internal Review Defects]]+Table7[[#This Row],[No. of  Valid External Review Defects]]+Table7[[#This Row],[No. of Valid  Internal Testing Defects]]+Table7[[#This Row],[No. of Valid External Testing Defects]]),"")</f>
        <v/>
      </c>
      <c r="AG200" s="258" t="str">
        <f>IFERROR(Table7[[#This Row],[No. of Valid Internal Review Defects]]/(Table7[[#This Row],[No. of Valid Internal Review Defects]]+Table7[[#This Row],[No. of  Valid External Review Defects]]+Table7[[#This Row],[No. of Valid External Testing Defects]]),"")</f>
        <v/>
      </c>
      <c r="AH200" s="256" t="str">
        <f>IFERROR(Table7[[#This Row],[No. of Valid  Internal Testing Defects]]/Table7[[#This Row],[Overall Actual Effort for the release]],"")</f>
        <v/>
      </c>
      <c r="AI200" s="256" t="str">
        <f>IFERROR(Table7[[#This Row],[No. of Valid  Internal Testing Defects]]/Table7[[#This Row],[No. of Testcases Executed]],"")</f>
        <v/>
      </c>
      <c r="AJ200" s="259" t="str">
        <f>IFERROR(IFERROR(Table7[[#This Row],[No. of Testcases Created]]/Table7[[#This Row],[Effort for Testcase Creation]],"")*9,"")</f>
        <v/>
      </c>
      <c r="AK200" s="256" t="str">
        <f>IFERROR((Table7[[#This Row],[No. of Testcases Executed]]/Table7[[#This Row],[Effort for Testcase Execution]])*9,"")</f>
        <v/>
      </c>
      <c r="AL20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0" s="259" t="str">
        <f>IFERROR(Table7[[#This Row],[No. of Defects Validated]]/SUMIFS(Table3[Hours Worked],Table3[Release Name],Table7[[#This Row],[Release Name]],Table3[Task Type],"Defect Validation")*9,"")</f>
        <v/>
      </c>
      <c r="AN200" s="258" t="str">
        <f>IFERROR((Table7[[#This Row],[No. of Valid  Internal Testing Defects]])/(Table7[[#This Row],[No. of Valid  Internal Testing Defects]]+Table7[[#This Row],[No. of Invalid Internal Testing Defects]]),"")</f>
        <v/>
      </c>
      <c r="AO200" s="258" t="str">
        <f>IFERROR(Table7[[#This Row],[No. of Valid External Testing Defects]]/(Table7[[#This Row],[No. of Valid External Testing Defects]]+Table7[[#This Row],[No. of Valid  Internal Testing Defects]]),"")</f>
        <v/>
      </c>
    </row>
    <row r="201" spans="2:41">
      <c r="B201" s="237"/>
      <c r="C201" s="14"/>
      <c r="D201" s="14"/>
      <c r="E201" s="14"/>
      <c r="F201" s="230" t="str">
        <f>IFERROR((Table47[[#This Row],[Initial No. of Requirements]]+Table47[[#This Row],[Modified Requirements( Added / Deleted /Modified)]])/Table47[[#This Row],[Initial No. of Requirements]],"")</f>
        <v/>
      </c>
      <c r="G20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1" s="249"/>
      <c r="J201" s="249"/>
      <c r="K201" s="250"/>
      <c r="L201" s="250"/>
      <c r="M201" s="250"/>
      <c r="N201" s="248">
        <f>SUMIFS(Table1[Size],Table1[Release Name],[2]!Table7[Release Name])</f>
        <v>0</v>
      </c>
      <c r="O201" s="248"/>
      <c r="P20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1" s="248"/>
      <c r="R20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1" s="248"/>
      <c r="T201" s="248"/>
      <c r="U201" s="248"/>
      <c r="V201" s="248"/>
      <c r="W201" s="248"/>
      <c r="X201" s="248"/>
      <c r="Y201" s="248"/>
      <c r="Z201" s="248"/>
      <c r="AA201" s="248"/>
      <c r="AB201" s="13">
        <f>SUMIFS(Table3[Hours Worked],Table3[Release Name],Table7[[#This Row],[Release Name]],Table3[Task Type],"Testcase Creation")</f>
        <v>0</v>
      </c>
      <c r="AC201" s="255">
        <f>SUMIFS(Table3[Hours Worked],Table3[Release Name],Table7[[#This Row],[Release Name]],Table3[Task Type],"Testcase Execution")</f>
        <v>0</v>
      </c>
      <c r="AD20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1" s="256" t="str">
        <f>IFERROR((Table7[[#This Row],[No. of Valid Internal Review Defects]]+Table7[[#This Row],[No. of Valid  Internal Testing Defects]]+Table7[[#This Row],[No. of  Valid External Review Defects]]+Table7[[#This Row],[No. of Valid External Testing Defects]])/Table7[[#This Row],[Size]],"")</f>
        <v/>
      </c>
      <c r="AF201" s="257" t="str">
        <f>IFERROR(Table7[[#This Row],[No. of Valid Internal Review Defects]]/(Table7[[#This Row],[No. of Valid Internal Review Defects]]+Table7[[#This Row],[No. of  Valid External Review Defects]]+Table7[[#This Row],[No. of Valid  Internal Testing Defects]]+Table7[[#This Row],[No. of Valid External Testing Defects]]),"")</f>
        <v/>
      </c>
      <c r="AG201" s="258" t="str">
        <f>IFERROR(Table7[[#This Row],[No. of Valid Internal Review Defects]]/(Table7[[#This Row],[No. of Valid Internal Review Defects]]+Table7[[#This Row],[No. of  Valid External Review Defects]]+Table7[[#This Row],[No. of Valid External Testing Defects]]),"")</f>
        <v/>
      </c>
      <c r="AH201" s="256" t="str">
        <f>IFERROR(Table7[[#This Row],[No. of Valid  Internal Testing Defects]]/Table7[[#This Row],[Overall Actual Effort for the release]],"")</f>
        <v/>
      </c>
      <c r="AI201" s="256" t="str">
        <f>IFERROR(Table7[[#This Row],[No. of Valid  Internal Testing Defects]]/Table7[[#This Row],[No. of Testcases Executed]],"")</f>
        <v/>
      </c>
      <c r="AJ201" s="259" t="str">
        <f>IFERROR(IFERROR(Table7[[#This Row],[No. of Testcases Created]]/Table7[[#This Row],[Effort for Testcase Creation]],"")*9,"")</f>
        <v/>
      </c>
      <c r="AK201" s="256" t="str">
        <f>IFERROR((Table7[[#This Row],[No. of Testcases Executed]]/Table7[[#This Row],[Effort for Testcase Execution]])*9,"")</f>
        <v/>
      </c>
      <c r="AL20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1" s="259" t="str">
        <f>IFERROR(Table7[[#This Row],[No. of Defects Validated]]/SUMIFS(Table3[Hours Worked],Table3[Release Name],Table7[[#This Row],[Release Name]],Table3[Task Type],"Defect Validation")*9,"")</f>
        <v/>
      </c>
      <c r="AN201" s="258" t="str">
        <f>IFERROR((Table7[[#This Row],[No. of Valid  Internal Testing Defects]])/(Table7[[#This Row],[No. of Valid  Internal Testing Defects]]+Table7[[#This Row],[No. of Invalid Internal Testing Defects]]),"")</f>
        <v/>
      </c>
      <c r="AO201" s="258" t="str">
        <f>IFERROR(Table7[[#This Row],[No. of Valid External Testing Defects]]/(Table7[[#This Row],[No. of Valid External Testing Defects]]+Table7[[#This Row],[No. of Valid  Internal Testing Defects]]),"")</f>
        <v/>
      </c>
    </row>
    <row r="202" spans="2:41">
      <c r="B202" s="237"/>
      <c r="C202" s="14"/>
      <c r="D202" s="14"/>
      <c r="E202" s="14"/>
      <c r="F202" s="230" t="str">
        <f>IFERROR((Table47[[#This Row],[Initial No. of Requirements]]+Table47[[#This Row],[Modified Requirements( Added / Deleted /Modified)]])/Table47[[#This Row],[Initial No. of Requirements]],"")</f>
        <v/>
      </c>
      <c r="G20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2" s="249"/>
      <c r="J202" s="249"/>
      <c r="K202" s="250"/>
      <c r="L202" s="250"/>
      <c r="M202" s="250"/>
      <c r="N202" s="248">
        <f>SUMIFS(Table1[Size],Table1[Release Name],[2]!Table7[Release Name])</f>
        <v>0</v>
      </c>
      <c r="O202" s="248"/>
      <c r="P20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2" s="248"/>
      <c r="R20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2" s="248"/>
      <c r="T202" s="248"/>
      <c r="U202" s="248"/>
      <c r="V202" s="248"/>
      <c r="W202" s="248"/>
      <c r="X202" s="248"/>
      <c r="Y202" s="248"/>
      <c r="Z202" s="248"/>
      <c r="AA202" s="248"/>
      <c r="AB202" s="13">
        <f>SUMIFS(Table3[Hours Worked],Table3[Release Name],Table7[[#This Row],[Release Name]],Table3[Task Type],"Testcase Creation")</f>
        <v>0</v>
      </c>
      <c r="AC202" s="255">
        <f>SUMIFS(Table3[Hours Worked],Table3[Release Name],Table7[[#This Row],[Release Name]],Table3[Task Type],"Testcase Execution")</f>
        <v>0</v>
      </c>
      <c r="AD20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2" s="256" t="str">
        <f>IFERROR((Table7[[#This Row],[No. of Valid Internal Review Defects]]+Table7[[#This Row],[No. of Valid  Internal Testing Defects]]+Table7[[#This Row],[No. of  Valid External Review Defects]]+Table7[[#This Row],[No. of Valid External Testing Defects]])/Table7[[#This Row],[Size]],"")</f>
        <v/>
      </c>
      <c r="AF202" s="257" t="str">
        <f>IFERROR(Table7[[#This Row],[No. of Valid Internal Review Defects]]/(Table7[[#This Row],[No. of Valid Internal Review Defects]]+Table7[[#This Row],[No. of  Valid External Review Defects]]+Table7[[#This Row],[No. of Valid  Internal Testing Defects]]+Table7[[#This Row],[No. of Valid External Testing Defects]]),"")</f>
        <v/>
      </c>
      <c r="AG202" s="258" t="str">
        <f>IFERROR(Table7[[#This Row],[No. of Valid Internal Review Defects]]/(Table7[[#This Row],[No. of Valid Internal Review Defects]]+Table7[[#This Row],[No. of  Valid External Review Defects]]+Table7[[#This Row],[No. of Valid External Testing Defects]]),"")</f>
        <v/>
      </c>
      <c r="AH202" s="256" t="str">
        <f>IFERROR(Table7[[#This Row],[No. of Valid  Internal Testing Defects]]/Table7[[#This Row],[Overall Actual Effort for the release]],"")</f>
        <v/>
      </c>
      <c r="AI202" s="256" t="str">
        <f>IFERROR(Table7[[#This Row],[No. of Valid  Internal Testing Defects]]/Table7[[#This Row],[No. of Testcases Executed]],"")</f>
        <v/>
      </c>
      <c r="AJ202" s="259" t="str">
        <f>IFERROR(IFERROR(Table7[[#This Row],[No. of Testcases Created]]/Table7[[#This Row],[Effort for Testcase Creation]],"")*9,"")</f>
        <v/>
      </c>
      <c r="AK202" s="256" t="str">
        <f>IFERROR((Table7[[#This Row],[No. of Testcases Executed]]/Table7[[#This Row],[Effort for Testcase Execution]])*9,"")</f>
        <v/>
      </c>
      <c r="AL20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2" s="259" t="str">
        <f>IFERROR(Table7[[#This Row],[No. of Defects Validated]]/SUMIFS(Table3[Hours Worked],Table3[Release Name],Table7[[#This Row],[Release Name]],Table3[Task Type],"Defect Validation")*9,"")</f>
        <v/>
      </c>
      <c r="AN202" s="258" t="str">
        <f>IFERROR((Table7[[#This Row],[No. of Valid  Internal Testing Defects]])/(Table7[[#This Row],[No. of Valid  Internal Testing Defects]]+Table7[[#This Row],[No. of Invalid Internal Testing Defects]]),"")</f>
        <v/>
      </c>
      <c r="AO202" s="258" t="str">
        <f>IFERROR(Table7[[#This Row],[No. of Valid External Testing Defects]]/(Table7[[#This Row],[No. of Valid External Testing Defects]]+Table7[[#This Row],[No. of Valid  Internal Testing Defects]]),"")</f>
        <v/>
      </c>
    </row>
    <row r="203" spans="2:41">
      <c r="B203" s="237"/>
      <c r="C203" s="14"/>
      <c r="D203" s="14"/>
      <c r="E203" s="14"/>
      <c r="F203" s="230" t="str">
        <f>IFERROR((Table47[[#This Row],[Initial No. of Requirements]]+Table47[[#This Row],[Modified Requirements( Added / Deleted /Modified)]])/Table47[[#This Row],[Initial No. of Requirements]],"")</f>
        <v/>
      </c>
      <c r="G20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3" s="249"/>
      <c r="J203" s="249"/>
      <c r="K203" s="250"/>
      <c r="L203" s="250"/>
      <c r="M203" s="250"/>
      <c r="N203" s="248">
        <f>SUMIFS(Table1[Size],Table1[Release Name],[2]!Table7[Release Name])</f>
        <v>0</v>
      </c>
      <c r="O203" s="248"/>
      <c r="P20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3" s="248"/>
      <c r="R20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3" s="248"/>
      <c r="T203" s="248"/>
      <c r="U203" s="248"/>
      <c r="V203" s="248"/>
      <c r="W203" s="248"/>
      <c r="X203" s="248"/>
      <c r="Y203" s="248"/>
      <c r="Z203" s="248"/>
      <c r="AA203" s="248"/>
      <c r="AB203" s="13">
        <f>SUMIFS(Table3[Hours Worked],Table3[Release Name],Table7[[#This Row],[Release Name]],Table3[Task Type],"Testcase Creation")</f>
        <v>0</v>
      </c>
      <c r="AC203" s="255">
        <f>SUMIFS(Table3[Hours Worked],Table3[Release Name],Table7[[#This Row],[Release Name]],Table3[Task Type],"Testcase Execution")</f>
        <v>0</v>
      </c>
      <c r="AD20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3" s="256" t="str">
        <f>IFERROR((Table7[[#This Row],[No. of Valid Internal Review Defects]]+Table7[[#This Row],[No. of Valid  Internal Testing Defects]]+Table7[[#This Row],[No. of  Valid External Review Defects]]+Table7[[#This Row],[No. of Valid External Testing Defects]])/Table7[[#This Row],[Size]],"")</f>
        <v/>
      </c>
      <c r="AF203" s="257" t="str">
        <f>IFERROR(Table7[[#This Row],[No. of Valid Internal Review Defects]]/(Table7[[#This Row],[No. of Valid Internal Review Defects]]+Table7[[#This Row],[No. of  Valid External Review Defects]]+Table7[[#This Row],[No. of Valid  Internal Testing Defects]]+Table7[[#This Row],[No. of Valid External Testing Defects]]),"")</f>
        <v/>
      </c>
      <c r="AG203" s="258" t="str">
        <f>IFERROR(Table7[[#This Row],[No. of Valid Internal Review Defects]]/(Table7[[#This Row],[No. of Valid Internal Review Defects]]+Table7[[#This Row],[No. of  Valid External Review Defects]]+Table7[[#This Row],[No. of Valid External Testing Defects]]),"")</f>
        <v/>
      </c>
      <c r="AH203" s="256" t="str">
        <f>IFERROR(Table7[[#This Row],[No. of Valid  Internal Testing Defects]]/Table7[[#This Row],[Overall Actual Effort for the release]],"")</f>
        <v/>
      </c>
      <c r="AI203" s="256" t="str">
        <f>IFERROR(Table7[[#This Row],[No. of Valid  Internal Testing Defects]]/Table7[[#This Row],[No. of Testcases Executed]],"")</f>
        <v/>
      </c>
      <c r="AJ203" s="259" t="str">
        <f>IFERROR(IFERROR(Table7[[#This Row],[No. of Testcases Created]]/Table7[[#This Row],[Effort for Testcase Creation]],"")*9,"")</f>
        <v/>
      </c>
      <c r="AK203" s="256" t="str">
        <f>IFERROR((Table7[[#This Row],[No. of Testcases Executed]]/Table7[[#This Row],[Effort for Testcase Execution]])*9,"")</f>
        <v/>
      </c>
      <c r="AL20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3" s="259" t="str">
        <f>IFERROR(Table7[[#This Row],[No. of Defects Validated]]/SUMIFS(Table3[Hours Worked],Table3[Release Name],Table7[[#This Row],[Release Name]],Table3[Task Type],"Defect Validation")*9,"")</f>
        <v/>
      </c>
      <c r="AN203" s="258" t="str">
        <f>IFERROR((Table7[[#This Row],[No. of Valid  Internal Testing Defects]])/(Table7[[#This Row],[No. of Valid  Internal Testing Defects]]+Table7[[#This Row],[No. of Invalid Internal Testing Defects]]),"")</f>
        <v/>
      </c>
      <c r="AO203" s="258" t="str">
        <f>IFERROR(Table7[[#This Row],[No. of Valid External Testing Defects]]/(Table7[[#This Row],[No. of Valid External Testing Defects]]+Table7[[#This Row],[No. of Valid  Internal Testing Defects]]),"")</f>
        <v/>
      </c>
    </row>
    <row r="204" spans="2:41">
      <c r="B204" s="237"/>
      <c r="C204" s="14"/>
      <c r="D204" s="14"/>
      <c r="E204" s="14"/>
      <c r="F204" s="230" t="str">
        <f>IFERROR((Table47[[#This Row],[Initial No. of Requirements]]+Table47[[#This Row],[Modified Requirements( Added / Deleted /Modified)]])/Table47[[#This Row],[Initial No. of Requirements]],"")</f>
        <v/>
      </c>
      <c r="G20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4" s="249"/>
      <c r="J204" s="249"/>
      <c r="K204" s="250"/>
      <c r="L204" s="250"/>
      <c r="M204" s="250"/>
      <c r="N204" s="248">
        <f>SUMIFS(Table1[Size],Table1[Release Name],[2]!Table7[Release Name])</f>
        <v>0</v>
      </c>
      <c r="O204" s="248"/>
      <c r="P20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4" s="248"/>
      <c r="R20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4" s="248"/>
      <c r="T204" s="248"/>
      <c r="U204" s="248"/>
      <c r="V204" s="248"/>
      <c r="W204" s="248"/>
      <c r="X204" s="248"/>
      <c r="Y204" s="248"/>
      <c r="Z204" s="248"/>
      <c r="AA204" s="248"/>
      <c r="AB204" s="13">
        <f>SUMIFS(Table3[Hours Worked],Table3[Release Name],Table7[[#This Row],[Release Name]],Table3[Task Type],"Testcase Creation")</f>
        <v>0</v>
      </c>
      <c r="AC204" s="255">
        <f>SUMIFS(Table3[Hours Worked],Table3[Release Name],Table7[[#This Row],[Release Name]],Table3[Task Type],"Testcase Execution")</f>
        <v>0</v>
      </c>
      <c r="AD20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4" s="256" t="str">
        <f>IFERROR((Table7[[#This Row],[No. of Valid Internal Review Defects]]+Table7[[#This Row],[No. of Valid  Internal Testing Defects]]+Table7[[#This Row],[No. of  Valid External Review Defects]]+Table7[[#This Row],[No. of Valid External Testing Defects]])/Table7[[#This Row],[Size]],"")</f>
        <v/>
      </c>
      <c r="AF204" s="257" t="str">
        <f>IFERROR(Table7[[#This Row],[No. of Valid Internal Review Defects]]/(Table7[[#This Row],[No. of Valid Internal Review Defects]]+Table7[[#This Row],[No. of  Valid External Review Defects]]+Table7[[#This Row],[No. of Valid  Internal Testing Defects]]+Table7[[#This Row],[No. of Valid External Testing Defects]]),"")</f>
        <v/>
      </c>
      <c r="AG204" s="258" t="str">
        <f>IFERROR(Table7[[#This Row],[No. of Valid Internal Review Defects]]/(Table7[[#This Row],[No. of Valid Internal Review Defects]]+Table7[[#This Row],[No. of  Valid External Review Defects]]+Table7[[#This Row],[No. of Valid External Testing Defects]]),"")</f>
        <v/>
      </c>
      <c r="AH204" s="256" t="str">
        <f>IFERROR(Table7[[#This Row],[No. of Valid  Internal Testing Defects]]/Table7[[#This Row],[Overall Actual Effort for the release]],"")</f>
        <v/>
      </c>
      <c r="AI204" s="256" t="str">
        <f>IFERROR(Table7[[#This Row],[No. of Valid  Internal Testing Defects]]/Table7[[#This Row],[No. of Testcases Executed]],"")</f>
        <v/>
      </c>
      <c r="AJ204" s="259" t="str">
        <f>IFERROR(IFERROR(Table7[[#This Row],[No. of Testcases Created]]/Table7[[#This Row],[Effort for Testcase Creation]],"")*9,"")</f>
        <v/>
      </c>
      <c r="AK204" s="256" t="str">
        <f>IFERROR((Table7[[#This Row],[No. of Testcases Executed]]/Table7[[#This Row],[Effort for Testcase Execution]])*9,"")</f>
        <v/>
      </c>
      <c r="AL20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4" s="259" t="str">
        <f>IFERROR(Table7[[#This Row],[No. of Defects Validated]]/SUMIFS(Table3[Hours Worked],Table3[Release Name],Table7[[#This Row],[Release Name]],Table3[Task Type],"Defect Validation")*9,"")</f>
        <v/>
      </c>
      <c r="AN204" s="258" t="str">
        <f>IFERROR((Table7[[#This Row],[No. of Valid  Internal Testing Defects]])/(Table7[[#This Row],[No. of Valid  Internal Testing Defects]]+Table7[[#This Row],[No. of Invalid Internal Testing Defects]]),"")</f>
        <v/>
      </c>
      <c r="AO204" s="258" t="str">
        <f>IFERROR(Table7[[#This Row],[No. of Valid External Testing Defects]]/(Table7[[#This Row],[No. of Valid External Testing Defects]]+Table7[[#This Row],[No. of Valid  Internal Testing Defects]]),"")</f>
        <v/>
      </c>
    </row>
    <row r="205" spans="2:41">
      <c r="B205" s="237"/>
      <c r="C205" s="14"/>
      <c r="D205" s="14"/>
      <c r="E205" s="14"/>
      <c r="F205" s="230" t="str">
        <f>IFERROR((Table47[[#This Row],[Initial No. of Requirements]]+Table47[[#This Row],[Modified Requirements( Added / Deleted /Modified)]])/Table47[[#This Row],[Initial No. of Requirements]],"")</f>
        <v/>
      </c>
      <c r="G20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5" s="249"/>
      <c r="J205" s="249"/>
      <c r="K205" s="250"/>
      <c r="L205" s="250"/>
      <c r="M205" s="250"/>
      <c r="N205" s="248">
        <f>SUMIFS(Table1[Size],Table1[Release Name],[2]!Table7[Release Name])</f>
        <v>0</v>
      </c>
      <c r="O205" s="248"/>
      <c r="P20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5" s="248"/>
      <c r="R20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5" s="248"/>
      <c r="T205" s="248"/>
      <c r="U205" s="248"/>
      <c r="V205" s="248"/>
      <c r="W205" s="248"/>
      <c r="X205" s="248"/>
      <c r="Y205" s="248"/>
      <c r="Z205" s="248"/>
      <c r="AA205" s="248"/>
      <c r="AB205" s="13">
        <f>SUMIFS(Table3[Hours Worked],Table3[Release Name],Table7[[#This Row],[Release Name]],Table3[Task Type],"Testcase Creation")</f>
        <v>0</v>
      </c>
      <c r="AC205" s="255">
        <f>SUMIFS(Table3[Hours Worked],Table3[Release Name],Table7[[#This Row],[Release Name]],Table3[Task Type],"Testcase Execution")</f>
        <v>0</v>
      </c>
      <c r="AD20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5" s="256" t="str">
        <f>IFERROR((Table7[[#This Row],[No. of Valid Internal Review Defects]]+Table7[[#This Row],[No. of Valid  Internal Testing Defects]]+Table7[[#This Row],[No. of  Valid External Review Defects]]+Table7[[#This Row],[No. of Valid External Testing Defects]])/Table7[[#This Row],[Size]],"")</f>
        <v/>
      </c>
      <c r="AF205" s="257" t="str">
        <f>IFERROR(Table7[[#This Row],[No. of Valid Internal Review Defects]]/(Table7[[#This Row],[No. of Valid Internal Review Defects]]+Table7[[#This Row],[No. of  Valid External Review Defects]]+Table7[[#This Row],[No. of Valid  Internal Testing Defects]]+Table7[[#This Row],[No. of Valid External Testing Defects]]),"")</f>
        <v/>
      </c>
      <c r="AG205" s="258" t="str">
        <f>IFERROR(Table7[[#This Row],[No. of Valid Internal Review Defects]]/(Table7[[#This Row],[No. of Valid Internal Review Defects]]+Table7[[#This Row],[No. of  Valid External Review Defects]]+Table7[[#This Row],[No. of Valid External Testing Defects]]),"")</f>
        <v/>
      </c>
      <c r="AH205" s="256" t="str">
        <f>IFERROR(Table7[[#This Row],[No. of Valid  Internal Testing Defects]]/Table7[[#This Row],[Overall Actual Effort for the release]],"")</f>
        <v/>
      </c>
      <c r="AI205" s="256" t="str">
        <f>IFERROR(Table7[[#This Row],[No. of Valid  Internal Testing Defects]]/Table7[[#This Row],[No. of Testcases Executed]],"")</f>
        <v/>
      </c>
      <c r="AJ205" s="259" t="str">
        <f>IFERROR(IFERROR(Table7[[#This Row],[No. of Testcases Created]]/Table7[[#This Row],[Effort for Testcase Creation]],"")*9,"")</f>
        <v/>
      </c>
      <c r="AK205" s="256" t="str">
        <f>IFERROR((Table7[[#This Row],[No. of Testcases Executed]]/Table7[[#This Row],[Effort for Testcase Execution]])*9,"")</f>
        <v/>
      </c>
      <c r="AL20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5" s="259" t="str">
        <f>IFERROR(Table7[[#This Row],[No. of Defects Validated]]/SUMIFS(Table3[Hours Worked],Table3[Release Name],Table7[[#This Row],[Release Name]],Table3[Task Type],"Defect Validation")*9,"")</f>
        <v/>
      </c>
      <c r="AN205" s="258" t="str">
        <f>IFERROR((Table7[[#This Row],[No. of Valid  Internal Testing Defects]])/(Table7[[#This Row],[No. of Valid  Internal Testing Defects]]+Table7[[#This Row],[No. of Invalid Internal Testing Defects]]),"")</f>
        <v/>
      </c>
      <c r="AO205" s="258" t="str">
        <f>IFERROR(Table7[[#This Row],[No. of Valid External Testing Defects]]/(Table7[[#This Row],[No. of Valid External Testing Defects]]+Table7[[#This Row],[No. of Valid  Internal Testing Defects]]),"")</f>
        <v/>
      </c>
    </row>
    <row r="206" spans="2:41">
      <c r="B206" s="237"/>
      <c r="C206" s="14"/>
      <c r="D206" s="14"/>
      <c r="E206" s="14"/>
      <c r="F206" s="230" t="str">
        <f>IFERROR((Table47[[#This Row],[Initial No. of Requirements]]+Table47[[#This Row],[Modified Requirements( Added / Deleted /Modified)]])/Table47[[#This Row],[Initial No. of Requirements]],"")</f>
        <v/>
      </c>
      <c r="G20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6" s="249"/>
      <c r="J206" s="249"/>
      <c r="K206" s="250"/>
      <c r="L206" s="250"/>
      <c r="M206" s="250"/>
      <c r="N206" s="248">
        <f>SUMIFS(Table1[Size],Table1[Release Name],[2]!Table7[Release Name])</f>
        <v>0</v>
      </c>
      <c r="O206" s="248"/>
      <c r="P20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6" s="248"/>
      <c r="R20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6" s="248"/>
      <c r="T206" s="248"/>
      <c r="U206" s="248"/>
      <c r="V206" s="248"/>
      <c r="W206" s="248"/>
      <c r="X206" s="248"/>
      <c r="Y206" s="248"/>
      <c r="Z206" s="248"/>
      <c r="AA206" s="248"/>
      <c r="AB206" s="13">
        <f>SUMIFS(Table3[Hours Worked],Table3[Release Name],Table7[[#This Row],[Release Name]],Table3[Task Type],"Testcase Creation")</f>
        <v>0</v>
      </c>
      <c r="AC206" s="255">
        <f>SUMIFS(Table3[Hours Worked],Table3[Release Name],Table7[[#This Row],[Release Name]],Table3[Task Type],"Testcase Execution")</f>
        <v>0</v>
      </c>
      <c r="AD20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6" s="256" t="str">
        <f>IFERROR((Table7[[#This Row],[No. of Valid Internal Review Defects]]+Table7[[#This Row],[No. of Valid  Internal Testing Defects]]+Table7[[#This Row],[No. of  Valid External Review Defects]]+Table7[[#This Row],[No. of Valid External Testing Defects]])/Table7[[#This Row],[Size]],"")</f>
        <v/>
      </c>
      <c r="AF206" s="257" t="str">
        <f>IFERROR(Table7[[#This Row],[No. of Valid Internal Review Defects]]/(Table7[[#This Row],[No. of Valid Internal Review Defects]]+Table7[[#This Row],[No. of  Valid External Review Defects]]+Table7[[#This Row],[No. of Valid  Internal Testing Defects]]+Table7[[#This Row],[No. of Valid External Testing Defects]]),"")</f>
        <v/>
      </c>
      <c r="AG206" s="258" t="str">
        <f>IFERROR(Table7[[#This Row],[No. of Valid Internal Review Defects]]/(Table7[[#This Row],[No. of Valid Internal Review Defects]]+Table7[[#This Row],[No. of  Valid External Review Defects]]+Table7[[#This Row],[No. of Valid External Testing Defects]]),"")</f>
        <v/>
      </c>
      <c r="AH206" s="256" t="str">
        <f>IFERROR(Table7[[#This Row],[No. of Valid  Internal Testing Defects]]/Table7[[#This Row],[Overall Actual Effort for the release]],"")</f>
        <v/>
      </c>
      <c r="AI206" s="256" t="str">
        <f>IFERROR(Table7[[#This Row],[No. of Valid  Internal Testing Defects]]/Table7[[#This Row],[No. of Testcases Executed]],"")</f>
        <v/>
      </c>
      <c r="AJ206" s="259" t="str">
        <f>IFERROR(IFERROR(Table7[[#This Row],[No. of Testcases Created]]/Table7[[#This Row],[Effort for Testcase Creation]],"")*9,"")</f>
        <v/>
      </c>
      <c r="AK206" s="256" t="str">
        <f>IFERROR((Table7[[#This Row],[No. of Testcases Executed]]/Table7[[#This Row],[Effort for Testcase Execution]])*9,"")</f>
        <v/>
      </c>
      <c r="AL20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6" s="259" t="str">
        <f>IFERROR(Table7[[#This Row],[No. of Defects Validated]]/SUMIFS(Table3[Hours Worked],Table3[Release Name],Table7[[#This Row],[Release Name]],Table3[Task Type],"Defect Validation")*9,"")</f>
        <v/>
      </c>
      <c r="AN206" s="258" t="str">
        <f>IFERROR((Table7[[#This Row],[No. of Valid  Internal Testing Defects]])/(Table7[[#This Row],[No. of Valid  Internal Testing Defects]]+Table7[[#This Row],[No. of Invalid Internal Testing Defects]]),"")</f>
        <v/>
      </c>
      <c r="AO206" s="258" t="str">
        <f>IFERROR(Table7[[#This Row],[No. of Valid External Testing Defects]]/(Table7[[#This Row],[No. of Valid External Testing Defects]]+Table7[[#This Row],[No. of Valid  Internal Testing Defects]]),"")</f>
        <v/>
      </c>
    </row>
    <row r="207" spans="2:41">
      <c r="B207" s="237"/>
      <c r="C207" s="14"/>
      <c r="D207" s="14"/>
      <c r="E207" s="14"/>
      <c r="F207" s="230" t="str">
        <f>IFERROR((Table47[[#This Row],[Initial No. of Requirements]]+Table47[[#This Row],[Modified Requirements( Added / Deleted /Modified)]])/Table47[[#This Row],[Initial No. of Requirements]],"")</f>
        <v/>
      </c>
      <c r="G20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7" s="249"/>
      <c r="J207" s="249"/>
      <c r="K207" s="250"/>
      <c r="L207" s="250"/>
      <c r="M207" s="250"/>
      <c r="N207" s="248">
        <f>SUMIFS(Table1[Size],Table1[Release Name],[2]!Table7[Release Name])</f>
        <v>0</v>
      </c>
      <c r="O207" s="248"/>
      <c r="P20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7" s="248"/>
      <c r="R20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7" s="248"/>
      <c r="T207" s="248"/>
      <c r="U207" s="248"/>
      <c r="V207" s="248"/>
      <c r="W207" s="248"/>
      <c r="X207" s="248"/>
      <c r="Y207" s="248"/>
      <c r="Z207" s="248"/>
      <c r="AA207" s="248"/>
      <c r="AB207" s="13">
        <f>SUMIFS(Table3[Hours Worked],Table3[Release Name],Table7[[#This Row],[Release Name]],Table3[Task Type],"Testcase Creation")</f>
        <v>0</v>
      </c>
      <c r="AC207" s="255">
        <f>SUMIFS(Table3[Hours Worked],Table3[Release Name],Table7[[#This Row],[Release Name]],Table3[Task Type],"Testcase Execution")</f>
        <v>0</v>
      </c>
      <c r="AD20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7" s="256" t="str">
        <f>IFERROR((Table7[[#This Row],[No. of Valid Internal Review Defects]]+Table7[[#This Row],[No. of Valid  Internal Testing Defects]]+Table7[[#This Row],[No. of  Valid External Review Defects]]+Table7[[#This Row],[No. of Valid External Testing Defects]])/Table7[[#This Row],[Size]],"")</f>
        <v/>
      </c>
      <c r="AF207" s="257" t="str">
        <f>IFERROR(Table7[[#This Row],[No. of Valid Internal Review Defects]]/(Table7[[#This Row],[No. of Valid Internal Review Defects]]+Table7[[#This Row],[No. of  Valid External Review Defects]]+Table7[[#This Row],[No. of Valid  Internal Testing Defects]]+Table7[[#This Row],[No. of Valid External Testing Defects]]),"")</f>
        <v/>
      </c>
      <c r="AG207" s="258" t="str">
        <f>IFERROR(Table7[[#This Row],[No. of Valid Internal Review Defects]]/(Table7[[#This Row],[No. of Valid Internal Review Defects]]+Table7[[#This Row],[No. of  Valid External Review Defects]]+Table7[[#This Row],[No. of Valid External Testing Defects]]),"")</f>
        <v/>
      </c>
      <c r="AH207" s="256" t="str">
        <f>IFERROR(Table7[[#This Row],[No. of Valid  Internal Testing Defects]]/Table7[[#This Row],[Overall Actual Effort for the release]],"")</f>
        <v/>
      </c>
      <c r="AI207" s="256" t="str">
        <f>IFERROR(Table7[[#This Row],[No. of Valid  Internal Testing Defects]]/Table7[[#This Row],[No. of Testcases Executed]],"")</f>
        <v/>
      </c>
      <c r="AJ207" s="259" t="str">
        <f>IFERROR(IFERROR(Table7[[#This Row],[No. of Testcases Created]]/Table7[[#This Row],[Effort for Testcase Creation]],"")*9,"")</f>
        <v/>
      </c>
      <c r="AK207" s="256" t="str">
        <f>IFERROR((Table7[[#This Row],[No. of Testcases Executed]]/Table7[[#This Row],[Effort for Testcase Execution]])*9,"")</f>
        <v/>
      </c>
      <c r="AL20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7" s="259" t="str">
        <f>IFERROR(Table7[[#This Row],[No. of Defects Validated]]/SUMIFS(Table3[Hours Worked],Table3[Release Name],Table7[[#This Row],[Release Name]],Table3[Task Type],"Defect Validation")*9,"")</f>
        <v/>
      </c>
      <c r="AN207" s="258" t="str">
        <f>IFERROR((Table7[[#This Row],[No. of Valid  Internal Testing Defects]])/(Table7[[#This Row],[No. of Valid  Internal Testing Defects]]+Table7[[#This Row],[No. of Invalid Internal Testing Defects]]),"")</f>
        <v/>
      </c>
      <c r="AO207" s="258" t="str">
        <f>IFERROR(Table7[[#This Row],[No. of Valid External Testing Defects]]/(Table7[[#This Row],[No. of Valid External Testing Defects]]+Table7[[#This Row],[No. of Valid  Internal Testing Defects]]),"")</f>
        <v/>
      </c>
    </row>
    <row r="208" spans="2:41">
      <c r="B208" s="237"/>
      <c r="C208" s="14"/>
      <c r="D208" s="14"/>
      <c r="E208" s="14"/>
      <c r="F208" s="230" t="str">
        <f>IFERROR((Table47[[#This Row],[Initial No. of Requirements]]+Table47[[#This Row],[Modified Requirements( Added / Deleted /Modified)]])/Table47[[#This Row],[Initial No. of Requirements]],"")</f>
        <v/>
      </c>
      <c r="G20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8" s="249"/>
      <c r="J208" s="249"/>
      <c r="K208" s="250"/>
      <c r="L208" s="250"/>
      <c r="M208" s="250"/>
      <c r="N208" s="248">
        <f>SUMIFS(Table1[Size],Table1[Release Name],[2]!Table7[Release Name])</f>
        <v>0</v>
      </c>
      <c r="O208" s="248"/>
      <c r="P20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8" s="248"/>
      <c r="R20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8" s="248"/>
      <c r="T208" s="248"/>
      <c r="U208" s="248"/>
      <c r="V208" s="248"/>
      <c r="W208" s="248"/>
      <c r="X208" s="248"/>
      <c r="Y208" s="248"/>
      <c r="Z208" s="248"/>
      <c r="AA208" s="248"/>
      <c r="AB208" s="13">
        <f>SUMIFS(Table3[Hours Worked],Table3[Release Name],Table7[[#This Row],[Release Name]],Table3[Task Type],"Testcase Creation")</f>
        <v>0</v>
      </c>
      <c r="AC208" s="255">
        <f>SUMIFS(Table3[Hours Worked],Table3[Release Name],Table7[[#This Row],[Release Name]],Table3[Task Type],"Testcase Execution")</f>
        <v>0</v>
      </c>
      <c r="AD20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8" s="256" t="str">
        <f>IFERROR((Table7[[#This Row],[No. of Valid Internal Review Defects]]+Table7[[#This Row],[No. of Valid  Internal Testing Defects]]+Table7[[#This Row],[No. of  Valid External Review Defects]]+Table7[[#This Row],[No. of Valid External Testing Defects]])/Table7[[#This Row],[Size]],"")</f>
        <v/>
      </c>
      <c r="AF208" s="257" t="str">
        <f>IFERROR(Table7[[#This Row],[No. of Valid Internal Review Defects]]/(Table7[[#This Row],[No. of Valid Internal Review Defects]]+Table7[[#This Row],[No. of  Valid External Review Defects]]+Table7[[#This Row],[No. of Valid  Internal Testing Defects]]+Table7[[#This Row],[No. of Valid External Testing Defects]]),"")</f>
        <v/>
      </c>
      <c r="AG208" s="258" t="str">
        <f>IFERROR(Table7[[#This Row],[No. of Valid Internal Review Defects]]/(Table7[[#This Row],[No. of Valid Internal Review Defects]]+Table7[[#This Row],[No. of  Valid External Review Defects]]+Table7[[#This Row],[No. of Valid External Testing Defects]]),"")</f>
        <v/>
      </c>
      <c r="AH208" s="256" t="str">
        <f>IFERROR(Table7[[#This Row],[No. of Valid  Internal Testing Defects]]/Table7[[#This Row],[Overall Actual Effort for the release]],"")</f>
        <v/>
      </c>
      <c r="AI208" s="256" t="str">
        <f>IFERROR(Table7[[#This Row],[No. of Valid  Internal Testing Defects]]/Table7[[#This Row],[No. of Testcases Executed]],"")</f>
        <v/>
      </c>
      <c r="AJ208" s="259" t="str">
        <f>IFERROR(IFERROR(Table7[[#This Row],[No. of Testcases Created]]/Table7[[#This Row],[Effort for Testcase Creation]],"")*9,"")</f>
        <v/>
      </c>
      <c r="AK208" s="256" t="str">
        <f>IFERROR((Table7[[#This Row],[No. of Testcases Executed]]/Table7[[#This Row],[Effort for Testcase Execution]])*9,"")</f>
        <v/>
      </c>
      <c r="AL20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8" s="259" t="str">
        <f>IFERROR(Table7[[#This Row],[No. of Defects Validated]]/SUMIFS(Table3[Hours Worked],Table3[Release Name],Table7[[#This Row],[Release Name]],Table3[Task Type],"Defect Validation")*9,"")</f>
        <v/>
      </c>
      <c r="AN208" s="258" t="str">
        <f>IFERROR((Table7[[#This Row],[No. of Valid  Internal Testing Defects]])/(Table7[[#This Row],[No. of Valid  Internal Testing Defects]]+Table7[[#This Row],[No. of Invalid Internal Testing Defects]]),"")</f>
        <v/>
      </c>
      <c r="AO208" s="258" t="str">
        <f>IFERROR(Table7[[#This Row],[No. of Valid External Testing Defects]]/(Table7[[#This Row],[No. of Valid External Testing Defects]]+Table7[[#This Row],[No. of Valid  Internal Testing Defects]]),"")</f>
        <v/>
      </c>
    </row>
    <row r="209" spans="2:41">
      <c r="B209" s="237"/>
      <c r="C209" s="14"/>
      <c r="D209" s="14"/>
      <c r="E209" s="14"/>
      <c r="F209" s="230" t="str">
        <f>IFERROR((Table47[[#This Row],[Initial No. of Requirements]]+Table47[[#This Row],[Modified Requirements( Added / Deleted /Modified)]])/Table47[[#This Row],[Initial No. of Requirements]],"")</f>
        <v/>
      </c>
      <c r="G20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09" s="249"/>
      <c r="J209" s="249"/>
      <c r="K209" s="250"/>
      <c r="L209" s="250"/>
      <c r="M209" s="250"/>
      <c r="N209" s="248">
        <f>SUMIFS(Table1[Size],Table1[Release Name],[2]!Table7[Release Name])</f>
        <v>0</v>
      </c>
      <c r="O209" s="248"/>
      <c r="P20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09" s="248"/>
      <c r="R20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09" s="248"/>
      <c r="T209" s="248"/>
      <c r="U209" s="248"/>
      <c r="V209" s="248"/>
      <c r="W209" s="248"/>
      <c r="X209" s="248"/>
      <c r="Y209" s="248"/>
      <c r="Z209" s="248"/>
      <c r="AA209" s="248"/>
      <c r="AB209" s="13">
        <f>SUMIFS(Table3[Hours Worked],Table3[Release Name],Table7[[#This Row],[Release Name]],Table3[Task Type],"Testcase Creation")</f>
        <v>0</v>
      </c>
      <c r="AC209" s="255">
        <f>SUMIFS(Table3[Hours Worked],Table3[Release Name],Table7[[#This Row],[Release Name]],Table3[Task Type],"Testcase Execution")</f>
        <v>0</v>
      </c>
      <c r="AD20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09" s="256" t="str">
        <f>IFERROR((Table7[[#This Row],[No. of Valid Internal Review Defects]]+Table7[[#This Row],[No. of Valid  Internal Testing Defects]]+Table7[[#This Row],[No. of  Valid External Review Defects]]+Table7[[#This Row],[No. of Valid External Testing Defects]])/Table7[[#This Row],[Size]],"")</f>
        <v/>
      </c>
      <c r="AF209" s="257" t="str">
        <f>IFERROR(Table7[[#This Row],[No. of Valid Internal Review Defects]]/(Table7[[#This Row],[No. of Valid Internal Review Defects]]+Table7[[#This Row],[No. of  Valid External Review Defects]]+Table7[[#This Row],[No. of Valid  Internal Testing Defects]]+Table7[[#This Row],[No. of Valid External Testing Defects]]),"")</f>
        <v/>
      </c>
      <c r="AG209" s="258" t="str">
        <f>IFERROR(Table7[[#This Row],[No. of Valid Internal Review Defects]]/(Table7[[#This Row],[No. of Valid Internal Review Defects]]+Table7[[#This Row],[No. of  Valid External Review Defects]]+Table7[[#This Row],[No. of Valid External Testing Defects]]),"")</f>
        <v/>
      </c>
      <c r="AH209" s="256" t="str">
        <f>IFERROR(Table7[[#This Row],[No. of Valid  Internal Testing Defects]]/Table7[[#This Row],[Overall Actual Effort for the release]],"")</f>
        <v/>
      </c>
      <c r="AI209" s="256" t="str">
        <f>IFERROR(Table7[[#This Row],[No. of Valid  Internal Testing Defects]]/Table7[[#This Row],[No. of Testcases Executed]],"")</f>
        <v/>
      </c>
      <c r="AJ209" s="259" t="str">
        <f>IFERROR(IFERROR(Table7[[#This Row],[No. of Testcases Created]]/Table7[[#This Row],[Effort for Testcase Creation]],"")*9,"")</f>
        <v/>
      </c>
      <c r="AK209" s="256" t="str">
        <f>IFERROR((Table7[[#This Row],[No. of Testcases Executed]]/Table7[[#This Row],[Effort for Testcase Execution]])*9,"")</f>
        <v/>
      </c>
      <c r="AL20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09" s="259" t="str">
        <f>IFERROR(Table7[[#This Row],[No. of Defects Validated]]/SUMIFS(Table3[Hours Worked],Table3[Release Name],Table7[[#This Row],[Release Name]],Table3[Task Type],"Defect Validation")*9,"")</f>
        <v/>
      </c>
      <c r="AN209" s="258" t="str">
        <f>IFERROR((Table7[[#This Row],[No. of Valid  Internal Testing Defects]])/(Table7[[#This Row],[No. of Valid  Internal Testing Defects]]+Table7[[#This Row],[No. of Invalid Internal Testing Defects]]),"")</f>
        <v/>
      </c>
      <c r="AO209" s="258" t="str">
        <f>IFERROR(Table7[[#This Row],[No. of Valid External Testing Defects]]/(Table7[[#This Row],[No. of Valid External Testing Defects]]+Table7[[#This Row],[No. of Valid  Internal Testing Defects]]),"")</f>
        <v/>
      </c>
    </row>
    <row r="210" spans="2:41">
      <c r="B210" s="237"/>
      <c r="C210" s="14"/>
      <c r="D210" s="14"/>
      <c r="E210" s="14"/>
      <c r="F210" s="230" t="str">
        <f>IFERROR((Table47[[#This Row],[Initial No. of Requirements]]+Table47[[#This Row],[Modified Requirements( Added / Deleted /Modified)]])/Table47[[#This Row],[Initial No. of Requirements]],"")</f>
        <v/>
      </c>
      <c r="G21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0" s="249"/>
      <c r="J210" s="249"/>
      <c r="K210" s="250"/>
      <c r="L210" s="250"/>
      <c r="M210" s="250"/>
      <c r="N210" s="248">
        <f>SUMIFS(Table1[Size],Table1[Release Name],[2]!Table7[Release Name])</f>
        <v>0</v>
      </c>
      <c r="O210" s="248"/>
      <c r="P21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0" s="248"/>
      <c r="R21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0" s="248"/>
      <c r="T210" s="248"/>
      <c r="U210" s="248"/>
      <c r="V210" s="248"/>
      <c r="W210" s="248"/>
      <c r="X210" s="248"/>
      <c r="Y210" s="248"/>
      <c r="Z210" s="248"/>
      <c r="AA210" s="248"/>
      <c r="AB210" s="13">
        <f>SUMIFS(Table3[Hours Worked],Table3[Release Name],Table7[[#This Row],[Release Name]],Table3[Task Type],"Testcase Creation")</f>
        <v>0</v>
      </c>
      <c r="AC210" s="255">
        <f>SUMIFS(Table3[Hours Worked],Table3[Release Name],Table7[[#This Row],[Release Name]],Table3[Task Type],"Testcase Execution")</f>
        <v>0</v>
      </c>
      <c r="AD21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0" s="256" t="str">
        <f>IFERROR((Table7[[#This Row],[No. of Valid Internal Review Defects]]+Table7[[#This Row],[No. of Valid  Internal Testing Defects]]+Table7[[#This Row],[No. of  Valid External Review Defects]]+Table7[[#This Row],[No. of Valid External Testing Defects]])/Table7[[#This Row],[Size]],"")</f>
        <v/>
      </c>
      <c r="AF210" s="257" t="str">
        <f>IFERROR(Table7[[#This Row],[No. of Valid Internal Review Defects]]/(Table7[[#This Row],[No. of Valid Internal Review Defects]]+Table7[[#This Row],[No. of  Valid External Review Defects]]+Table7[[#This Row],[No. of Valid  Internal Testing Defects]]+Table7[[#This Row],[No. of Valid External Testing Defects]]),"")</f>
        <v/>
      </c>
      <c r="AG210" s="258" t="str">
        <f>IFERROR(Table7[[#This Row],[No. of Valid Internal Review Defects]]/(Table7[[#This Row],[No. of Valid Internal Review Defects]]+Table7[[#This Row],[No. of  Valid External Review Defects]]+Table7[[#This Row],[No. of Valid External Testing Defects]]),"")</f>
        <v/>
      </c>
      <c r="AH210" s="256" t="str">
        <f>IFERROR(Table7[[#This Row],[No. of Valid  Internal Testing Defects]]/Table7[[#This Row],[Overall Actual Effort for the release]],"")</f>
        <v/>
      </c>
      <c r="AI210" s="256" t="str">
        <f>IFERROR(Table7[[#This Row],[No. of Valid  Internal Testing Defects]]/Table7[[#This Row],[No. of Testcases Executed]],"")</f>
        <v/>
      </c>
      <c r="AJ210" s="259" t="str">
        <f>IFERROR(IFERROR(Table7[[#This Row],[No. of Testcases Created]]/Table7[[#This Row],[Effort for Testcase Creation]],"")*9,"")</f>
        <v/>
      </c>
      <c r="AK210" s="256" t="str">
        <f>IFERROR((Table7[[#This Row],[No. of Testcases Executed]]/Table7[[#This Row],[Effort for Testcase Execution]])*9,"")</f>
        <v/>
      </c>
      <c r="AL21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0" s="259" t="str">
        <f>IFERROR(Table7[[#This Row],[No. of Defects Validated]]/SUMIFS(Table3[Hours Worked],Table3[Release Name],Table7[[#This Row],[Release Name]],Table3[Task Type],"Defect Validation")*9,"")</f>
        <v/>
      </c>
      <c r="AN210" s="258" t="str">
        <f>IFERROR((Table7[[#This Row],[No. of Valid  Internal Testing Defects]])/(Table7[[#This Row],[No. of Valid  Internal Testing Defects]]+Table7[[#This Row],[No. of Invalid Internal Testing Defects]]),"")</f>
        <v/>
      </c>
      <c r="AO210" s="258" t="str">
        <f>IFERROR(Table7[[#This Row],[No. of Valid External Testing Defects]]/(Table7[[#This Row],[No. of Valid External Testing Defects]]+Table7[[#This Row],[No. of Valid  Internal Testing Defects]]),"")</f>
        <v/>
      </c>
    </row>
    <row r="211" spans="2:41">
      <c r="B211" s="237"/>
      <c r="C211" s="14"/>
      <c r="D211" s="14"/>
      <c r="E211" s="14"/>
      <c r="F211" s="230" t="str">
        <f>IFERROR((Table47[[#This Row],[Initial No. of Requirements]]+Table47[[#This Row],[Modified Requirements( Added / Deleted /Modified)]])/Table47[[#This Row],[Initial No. of Requirements]],"")</f>
        <v/>
      </c>
      <c r="G21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1" s="249"/>
      <c r="J211" s="249"/>
      <c r="K211" s="250"/>
      <c r="L211" s="250"/>
      <c r="M211" s="250"/>
      <c r="N211" s="248">
        <f>SUMIFS(Table1[Size],Table1[Release Name],[2]!Table7[Release Name])</f>
        <v>0</v>
      </c>
      <c r="O211" s="248"/>
      <c r="P21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1" s="248"/>
      <c r="R21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1" s="248"/>
      <c r="T211" s="248"/>
      <c r="U211" s="248"/>
      <c r="V211" s="248"/>
      <c r="W211" s="248"/>
      <c r="X211" s="248"/>
      <c r="Y211" s="248"/>
      <c r="Z211" s="248"/>
      <c r="AA211" s="248"/>
      <c r="AB211" s="13">
        <f>SUMIFS(Table3[Hours Worked],Table3[Release Name],Table7[[#This Row],[Release Name]],Table3[Task Type],"Testcase Creation")</f>
        <v>0</v>
      </c>
      <c r="AC211" s="255">
        <f>SUMIFS(Table3[Hours Worked],Table3[Release Name],Table7[[#This Row],[Release Name]],Table3[Task Type],"Testcase Execution")</f>
        <v>0</v>
      </c>
      <c r="AD21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1" s="256" t="str">
        <f>IFERROR((Table7[[#This Row],[No. of Valid Internal Review Defects]]+Table7[[#This Row],[No. of Valid  Internal Testing Defects]]+Table7[[#This Row],[No. of  Valid External Review Defects]]+Table7[[#This Row],[No. of Valid External Testing Defects]])/Table7[[#This Row],[Size]],"")</f>
        <v/>
      </c>
      <c r="AF211" s="257" t="str">
        <f>IFERROR(Table7[[#This Row],[No. of Valid Internal Review Defects]]/(Table7[[#This Row],[No. of Valid Internal Review Defects]]+Table7[[#This Row],[No. of  Valid External Review Defects]]+Table7[[#This Row],[No. of Valid  Internal Testing Defects]]+Table7[[#This Row],[No. of Valid External Testing Defects]]),"")</f>
        <v/>
      </c>
      <c r="AG211" s="258" t="str">
        <f>IFERROR(Table7[[#This Row],[No. of Valid Internal Review Defects]]/(Table7[[#This Row],[No. of Valid Internal Review Defects]]+Table7[[#This Row],[No. of  Valid External Review Defects]]+Table7[[#This Row],[No. of Valid External Testing Defects]]),"")</f>
        <v/>
      </c>
      <c r="AH211" s="256" t="str">
        <f>IFERROR(Table7[[#This Row],[No. of Valid  Internal Testing Defects]]/Table7[[#This Row],[Overall Actual Effort for the release]],"")</f>
        <v/>
      </c>
      <c r="AI211" s="256" t="str">
        <f>IFERROR(Table7[[#This Row],[No. of Valid  Internal Testing Defects]]/Table7[[#This Row],[No. of Testcases Executed]],"")</f>
        <v/>
      </c>
      <c r="AJ211" s="259" t="str">
        <f>IFERROR(IFERROR(Table7[[#This Row],[No. of Testcases Created]]/Table7[[#This Row],[Effort for Testcase Creation]],"")*9,"")</f>
        <v/>
      </c>
      <c r="AK211" s="256" t="str">
        <f>IFERROR((Table7[[#This Row],[No. of Testcases Executed]]/Table7[[#This Row],[Effort for Testcase Execution]])*9,"")</f>
        <v/>
      </c>
      <c r="AL21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1" s="259" t="str">
        <f>IFERROR(Table7[[#This Row],[No. of Defects Validated]]/SUMIFS(Table3[Hours Worked],Table3[Release Name],Table7[[#This Row],[Release Name]],Table3[Task Type],"Defect Validation")*9,"")</f>
        <v/>
      </c>
      <c r="AN211" s="258" t="str">
        <f>IFERROR((Table7[[#This Row],[No. of Valid  Internal Testing Defects]])/(Table7[[#This Row],[No. of Valid  Internal Testing Defects]]+Table7[[#This Row],[No. of Invalid Internal Testing Defects]]),"")</f>
        <v/>
      </c>
      <c r="AO211" s="258" t="str">
        <f>IFERROR(Table7[[#This Row],[No. of Valid External Testing Defects]]/(Table7[[#This Row],[No. of Valid External Testing Defects]]+Table7[[#This Row],[No. of Valid  Internal Testing Defects]]),"")</f>
        <v/>
      </c>
    </row>
    <row r="212" spans="2:41">
      <c r="B212" s="237"/>
      <c r="C212" s="14"/>
      <c r="D212" s="14"/>
      <c r="E212" s="14"/>
      <c r="F212" s="230" t="str">
        <f>IFERROR((Table47[[#This Row],[Initial No. of Requirements]]+Table47[[#This Row],[Modified Requirements( Added / Deleted /Modified)]])/Table47[[#This Row],[Initial No. of Requirements]],"")</f>
        <v/>
      </c>
      <c r="G21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2" s="249"/>
      <c r="J212" s="249"/>
      <c r="K212" s="250"/>
      <c r="L212" s="250"/>
      <c r="M212" s="250"/>
      <c r="N212" s="248">
        <f>SUMIFS(Table1[Size],Table1[Release Name],[2]!Table7[Release Name])</f>
        <v>0</v>
      </c>
      <c r="O212" s="248"/>
      <c r="P21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2" s="248"/>
      <c r="R21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2" s="248"/>
      <c r="T212" s="248"/>
      <c r="U212" s="248"/>
      <c r="V212" s="248"/>
      <c r="W212" s="248"/>
      <c r="X212" s="248"/>
      <c r="Y212" s="248"/>
      <c r="Z212" s="248"/>
      <c r="AA212" s="248"/>
      <c r="AB212" s="13">
        <f>SUMIFS(Table3[Hours Worked],Table3[Release Name],Table7[[#This Row],[Release Name]],Table3[Task Type],"Testcase Creation")</f>
        <v>0</v>
      </c>
      <c r="AC212" s="255">
        <f>SUMIFS(Table3[Hours Worked],Table3[Release Name],Table7[[#This Row],[Release Name]],Table3[Task Type],"Testcase Execution")</f>
        <v>0</v>
      </c>
      <c r="AD21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2" s="256" t="str">
        <f>IFERROR((Table7[[#This Row],[No. of Valid Internal Review Defects]]+Table7[[#This Row],[No. of Valid  Internal Testing Defects]]+Table7[[#This Row],[No. of  Valid External Review Defects]]+Table7[[#This Row],[No. of Valid External Testing Defects]])/Table7[[#This Row],[Size]],"")</f>
        <v/>
      </c>
      <c r="AF212" s="257" t="str">
        <f>IFERROR(Table7[[#This Row],[No. of Valid Internal Review Defects]]/(Table7[[#This Row],[No. of Valid Internal Review Defects]]+Table7[[#This Row],[No. of  Valid External Review Defects]]+Table7[[#This Row],[No. of Valid  Internal Testing Defects]]+Table7[[#This Row],[No. of Valid External Testing Defects]]),"")</f>
        <v/>
      </c>
      <c r="AG212" s="258" t="str">
        <f>IFERROR(Table7[[#This Row],[No. of Valid Internal Review Defects]]/(Table7[[#This Row],[No. of Valid Internal Review Defects]]+Table7[[#This Row],[No. of  Valid External Review Defects]]+Table7[[#This Row],[No. of Valid External Testing Defects]]),"")</f>
        <v/>
      </c>
      <c r="AH212" s="256" t="str">
        <f>IFERROR(Table7[[#This Row],[No. of Valid  Internal Testing Defects]]/Table7[[#This Row],[Overall Actual Effort for the release]],"")</f>
        <v/>
      </c>
      <c r="AI212" s="256" t="str">
        <f>IFERROR(Table7[[#This Row],[No. of Valid  Internal Testing Defects]]/Table7[[#This Row],[No. of Testcases Executed]],"")</f>
        <v/>
      </c>
      <c r="AJ212" s="259" t="str">
        <f>IFERROR(IFERROR(Table7[[#This Row],[No. of Testcases Created]]/Table7[[#This Row],[Effort for Testcase Creation]],"")*9,"")</f>
        <v/>
      </c>
      <c r="AK212" s="256" t="str">
        <f>IFERROR((Table7[[#This Row],[No. of Testcases Executed]]/Table7[[#This Row],[Effort for Testcase Execution]])*9,"")</f>
        <v/>
      </c>
      <c r="AL21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2" s="259" t="str">
        <f>IFERROR(Table7[[#This Row],[No. of Defects Validated]]/SUMIFS(Table3[Hours Worked],Table3[Release Name],Table7[[#This Row],[Release Name]],Table3[Task Type],"Defect Validation")*9,"")</f>
        <v/>
      </c>
      <c r="AN212" s="258" t="str">
        <f>IFERROR((Table7[[#This Row],[No. of Valid  Internal Testing Defects]])/(Table7[[#This Row],[No. of Valid  Internal Testing Defects]]+Table7[[#This Row],[No. of Invalid Internal Testing Defects]]),"")</f>
        <v/>
      </c>
      <c r="AO212" s="258" t="str">
        <f>IFERROR(Table7[[#This Row],[No. of Valid External Testing Defects]]/(Table7[[#This Row],[No. of Valid External Testing Defects]]+Table7[[#This Row],[No. of Valid  Internal Testing Defects]]),"")</f>
        <v/>
      </c>
    </row>
    <row r="213" spans="2:41">
      <c r="B213" s="237"/>
      <c r="C213" s="14"/>
      <c r="D213" s="14"/>
      <c r="E213" s="14"/>
      <c r="F213" s="230" t="str">
        <f>IFERROR((Table47[[#This Row],[Initial No. of Requirements]]+Table47[[#This Row],[Modified Requirements( Added / Deleted /Modified)]])/Table47[[#This Row],[Initial No. of Requirements]],"")</f>
        <v/>
      </c>
      <c r="G21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3" s="249"/>
      <c r="J213" s="249"/>
      <c r="K213" s="250"/>
      <c r="L213" s="250"/>
      <c r="M213" s="250"/>
      <c r="N213" s="248">
        <f>SUMIFS(Table1[Size],Table1[Release Name],[2]!Table7[Release Name])</f>
        <v>0</v>
      </c>
      <c r="O213" s="248"/>
      <c r="P21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3" s="248"/>
      <c r="R21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3" s="248"/>
      <c r="T213" s="248"/>
      <c r="U213" s="248"/>
      <c r="V213" s="248"/>
      <c r="W213" s="248"/>
      <c r="X213" s="248"/>
      <c r="Y213" s="248"/>
      <c r="Z213" s="248"/>
      <c r="AA213" s="248"/>
      <c r="AB213" s="13">
        <f>SUMIFS(Table3[Hours Worked],Table3[Release Name],Table7[[#This Row],[Release Name]],Table3[Task Type],"Testcase Creation")</f>
        <v>0</v>
      </c>
      <c r="AC213" s="255">
        <f>SUMIFS(Table3[Hours Worked],Table3[Release Name],Table7[[#This Row],[Release Name]],Table3[Task Type],"Testcase Execution")</f>
        <v>0</v>
      </c>
      <c r="AD21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3" s="256" t="str">
        <f>IFERROR((Table7[[#This Row],[No. of Valid Internal Review Defects]]+Table7[[#This Row],[No. of Valid  Internal Testing Defects]]+Table7[[#This Row],[No. of  Valid External Review Defects]]+Table7[[#This Row],[No. of Valid External Testing Defects]])/Table7[[#This Row],[Size]],"")</f>
        <v/>
      </c>
      <c r="AF213" s="257" t="str">
        <f>IFERROR(Table7[[#This Row],[No. of Valid Internal Review Defects]]/(Table7[[#This Row],[No. of Valid Internal Review Defects]]+Table7[[#This Row],[No. of  Valid External Review Defects]]+Table7[[#This Row],[No. of Valid  Internal Testing Defects]]+Table7[[#This Row],[No. of Valid External Testing Defects]]),"")</f>
        <v/>
      </c>
      <c r="AG213" s="258" t="str">
        <f>IFERROR(Table7[[#This Row],[No. of Valid Internal Review Defects]]/(Table7[[#This Row],[No. of Valid Internal Review Defects]]+Table7[[#This Row],[No. of  Valid External Review Defects]]+Table7[[#This Row],[No. of Valid External Testing Defects]]),"")</f>
        <v/>
      </c>
      <c r="AH213" s="256" t="str">
        <f>IFERROR(Table7[[#This Row],[No. of Valid  Internal Testing Defects]]/Table7[[#This Row],[Overall Actual Effort for the release]],"")</f>
        <v/>
      </c>
      <c r="AI213" s="256" t="str">
        <f>IFERROR(Table7[[#This Row],[No. of Valid  Internal Testing Defects]]/Table7[[#This Row],[No. of Testcases Executed]],"")</f>
        <v/>
      </c>
      <c r="AJ213" s="259" t="str">
        <f>IFERROR(IFERROR(Table7[[#This Row],[No. of Testcases Created]]/Table7[[#This Row],[Effort for Testcase Creation]],"")*9,"")</f>
        <v/>
      </c>
      <c r="AK213" s="256" t="str">
        <f>IFERROR((Table7[[#This Row],[No. of Testcases Executed]]/Table7[[#This Row],[Effort for Testcase Execution]])*9,"")</f>
        <v/>
      </c>
      <c r="AL21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3" s="259" t="str">
        <f>IFERROR(Table7[[#This Row],[No. of Defects Validated]]/SUMIFS(Table3[Hours Worked],Table3[Release Name],Table7[[#This Row],[Release Name]],Table3[Task Type],"Defect Validation")*9,"")</f>
        <v/>
      </c>
      <c r="AN213" s="258" t="str">
        <f>IFERROR((Table7[[#This Row],[No. of Valid  Internal Testing Defects]])/(Table7[[#This Row],[No. of Valid  Internal Testing Defects]]+Table7[[#This Row],[No. of Invalid Internal Testing Defects]]),"")</f>
        <v/>
      </c>
      <c r="AO213" s="258" t="str">
        <f>IFERROR(Table7[[#This Row],[No. of Valid External Testing Defects]]/(Table7[[#This Row],[No. of Valid External Testing Defects]]+Table7[[#This Row],[No. of Valid  Internal Testing Defects]]),"")</f>
        <v/>
      </c>
    </row>
    <row r="214" spans="2:41">
      <c r="B214" s="237"/>
      <c r="C214" s="14"/>
      <c r="D214" s="14"/>
      <c r="E214" s="14"/>
      <c r="F214" s="230" t="str">
        <f>IFERROR((Table47[[#This Row],[Initial No. of Requirements]]+Table47[[#This Row],[Modified Requirements( Added / Deleted /Modified)]])/Table47[[#This Row],[Initial No. of Requirements]],"")</f>
        <v/>
      </c>
      <c r="G21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4" s="249"/>
      <c r="J214" s="249"/>
      <c r="K214" s="250"/>
      <c r="L214" s="250"/>
      <c r="M214" s="250"/>
      <c r="N214" s="248">
        <f>SUMIFS(Table1[Size],Table1[Release Name],[2]!Table7[Release Name])</f>
        <v>0</v>
      </c>
      <c r="O214" s="248"/>
      <c r="P21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4" s="248"/>
      <c r="R21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4" s="248"/>
      <c r="T214" s="248"/>
      <c r="U214" s="248"/>
      <c r="V214" s="248"/>
      <c r="W214" s="248"/>
      <c r="X214" s="248"/>
      <c r="Y214" s="248"/>
      <c r="Z214" s="248"/>
      <c r="AA214" s="248"/>
      <c r="AB214" s="13">
        <f>SUMIFS(Table3[Hours Worked],Table3[Release Name],Table7[[#This Row],[Release Name]],Table3[Task Type],"Testcase Creation")</f>
        <v>0</v>
      </c>
      <c r="AC214" s="255">
        <f>SUMIFS(Table3[Hours Worked],Table3[Release Name],Table7[[#This Row],[Release Name]],Table3[Task Type],"Testcase Execution")</f>
        <v>0</v>
      </c>
      <c r="AD21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4" s="256" t="str">
        <f>IFERROR((Table7[[#This Row],[No. of Valid Internal Review Defects]]+Table7[[#This Row],[No. of Valid  Internal Testing Defects]]+Table7[[#This Row],[No. of  Valid External Review Defects]]+Table7[[#This Row],[No. of Valid External Testing Defects]])/Table7[[#This Row],[Size]],"")</f>
        <v/>
      </c>
      <c r="AF214" s="257" t="str">
        <f>IFERROR(Table7[[#This Row],[No. of Valid Internal Review Defects]]/(Table7[[#This Row],[No. of Valid Internal Review Defects]]+Table7[[#This Row],[No. of  Valid External Review Defects]]+Table7[[#This Row],[No. of Valid  Internal Testing Defects]]+Table7[[#This Row],[No. of Valid External Testing Defects]]),"")</f>
        <v/>
      </c>
      <c r="AG214" s="258" t="str">
        <f>IFERROR(Table7[[#This Row],[No. of Valid Internal Review Defects]]/(Table7[[#This Row],[No. of Valid Internal Review Defects]]+Table7[[#This Row],[No. of  Valid External Review Defects]]+Table7[[#This Row],[No. of Valid External Testing Defects]]),"")</f>
        <v/>
      </c>
      <c r="AH214" s="256" t="str">
        <f>IFERROR(Table7[[#This Row],[No. of Valid  Internal Testing Defects]]/Table7[[#This Row],[Overall Actual Effort for the release]],"")</f>
        <v/>
      </c>
      <c r="AI214" s="256" t="str">
        <f>IFERROR(Table7[[#This Row],[No. of Valid  Internal Testing Defects]]/Table7[[#This Row],[No. of Testcases Executed]],"")</f>
        <v/>
      </c>
      <c r="AJ214" s="259" t="str">
        <f>IFERROR(IFERROR(Table7[[#This Row],[No. of Testcases Created]]/Table7[[#This Row],[Effort for Testcase Creation]],"")*9,"")</f>
        <v/>
      </c>
      <c r="AK214" s="256" t="str">
        <f>IFERROR((Table7[[#This Row],[No. of Testcases Executed]]/Table7[[#This Row],[Effort for Testcase Execution]])*9,"")</f>
        <v/>
      </c>
      <c r="AL21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4" s="259" t="str">
        <f>IFERROR(Table7[[#This Row],[No. of Defects Validated]]/SUMIFS(Table3[Hours Worked],Table3[Release Name],Table7[[#This Row],[Release Name]],Table3[Task Type],"Defect Validation")*9,"")</f>
        <v/>
      </c>
      <c r="AN214" s="258" t="str">
        <f>IFERROR((Table7[[#This Row],[No. of Valid  Internal Testing Defects]])/(Table7[[#This Row],[No. of Valid  Internal Testing Defects]]+Table7[[#This Row],[No. of Invalid Internal Testing Defects]]),"")</f>
        <v/>
      </c>
      <c r="AO214" s="258" t="str">
        <f>IFERROR(Table7[[#This Row],[No. of Valid External Testing Defects]]/(Table7[[#This Row],[No. of Valid External Testing Defects]]+Table7[[#This Row],[No. of Valid  Internal Testing Defects]]),"")</f>
        <v/>
      </c>
    </row>
    <row r="215" spans="2:41">
      <c r="B215" s="237"/>
      <c r="C215" s="14"/>
      <c r="D215" s="14"/>
      <c r="E215" s="14"/>
      <c r="F215" s="230" t="str">
        <f>IFERROR((Table47[[#This Row],[Initial No. of Requirements]]+Table47[[#This Row],[Modified Requirements( Added / Deleted /Modified)]])/Table47[[#This Row],[Initial No. of Requirements]],"")</f>
        <v/>
      </c>
      <c r="G21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5" s="249"/>
      <c r="J215" s="249"/>
      <c r="K215" s="250"/>
      <c r="L215" s="250"/>
      <c r="M215" s="250"/>
      <c r="N215" s="248">
        <f>SUMIFS(Table1[Size],Table1[Release Name],[2]!Table7[Release Name])</f>
        <v>0</v>
      </c>
      <c r="O215" s="248"/>
      <c r="P21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5" s="248"/>
      <c r="R21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5" s="248"/>
      <c r="T215" s="248"/>
      <c r="U215" s="248"/>
      <c r="V215" s="248"/>
      <c r="W215" s="248"/>
      <c r="X215" s="248"/>
      <c r="Y215" s="248"/>
      <c r="Z215" s="248"/>
      <c r="AA215" s="248"/>
      <c r="AB215" s="13">
        <f>SUMIFS(Table3[Hours Worked],Table3[Release Name],Table7[[#This Row],[Release Name]],Table3[Task Type],"Testcase Creation")</f>
        <v>0</v>
      </c>
      <c r="AC215" s="255">
        <f>SUMIFS(Table3[Hours Worked],Table3[Release Name],Table7[[#This Row],[Release Name]],Table3[Task Type],"Testcase Execution")</f>
        <v>0</v>
      </c>
      <c r="AD21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5" s="256" t="str">
        <f>IFERROR((Table7[[#This Row],[No. of Valid Internal Review Defects]]+Table7[[#This Row],[No. of Valid  Internal Testing Defects]]+Table7[[#This Row],[No. of  Valid External Review Defects]]+Table7[[#This Row],[No. of Valid External Testing Defects]])/Table7[[#This Row],[Size]],"")</f>
        <v/>
      </c>
      <c r="AF215" s="257" t="str">
        <f>IFERROR(Table7[[#This Row],[No. of Valid Internal Review Defects]]/(Table7[[#This Row],[No. of Valid Internal Review Defects]]+Table7[[#This Row],[No. of  Valid External Review Defects]]+Table7[[#This Row],[No. of Valid  Internal Testing Defects]]+Table7[[#This Row],[No. of Valid External Testing Defects]]),"")</f>
        <v/>
      </c>
      <c r="AG215" s="258" t="str">
        <f>IFERROR(Table7[[#This Row],[No. of Valid Internal Review Defects]]/(Table7[[#This Row],[No. of Valid Internal Review Defects]]+Table7[[#This Row],[No. of  Valid External Review Defects]]+Table7[[#This Row],[No. of Valid External Testing Defects]]),"")</f>
        <v/>
      </c>
      <c r="AH215" s="256" t="str">
        <f>IFERROR(Table7[[#This Row],[No. of Valid  Internal Testing Defects]]/Table7[[#This Row],[Overall Actual Effort for the release]],"")</f>
        <v/>
      </c>
      <c r="AI215" s="256" t="str">
        <f>IFERROR(Table7[[#This Row],[No. of Valid  Internal Testing Defects]]/Table7[[#This Row],[No. of Testcases Executed]],"")</f>
        <v/>
      </c>
      <c r="AJ215" s="259" t="str">
        <f>IFERROR(IFERROR(Table7[[#This Row],[No. of Testcases Created]]/Table7[[#This Row],[Effort for Testcase Creation]],"")*9,"")</f>
        <v/>
      </c>
      <c r="AK215" s="256" t="str">
        <f>IFERROR((Table7[[#This Row],[No. of Testcases Executed]]/Table7[[#This Row],[Effort for Testcase Execution]])*9,"")</f>
        <v/>
      </c>
      <c r="AL21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5" s="259" t="str">
        <f>IFERROR(Table7[[#This Row],[No. of Defects Validated]]/SUMIFS(Table3[Hours Worked],Table3[Release Name],Table7[[#This Row],[Release Name]],Table3[Task Type],"Defect Validation")*9,"")</f>
        <v/>
      </c>
      <c r="AN215" s="258" t="str">
        <f>IFERROR((Table7[[#This Row],[No. of Valid  Internal Testing Defects]])/(Table7[[#This Row],[No. of Valid  Internal Testing Defects]]+Table7[[#This Row],[No. of Invalid Internal Testing Defects]]),"")</f>
        <v/>
      </c>
      <c r="AO215" s="258" t="str">
        <f>IFERROR(Table7[[#This Row],[No. of Valid External Testing Defects]]/(Table7[[#This Row],[No. of Valid External Testing Defects]]+Table7[[#This Row],[No. of Valid  Internal Testing Defects]]),"")</f>
        <v/>
      </c>
    </row>
    <row r="216" spans="2:41">
      <c r="B216" s="237"/>
      <c r="C216" s="14"/>
      <c r="D216" s="14"/>
      <c r="E216" s="14"/>
      <c r="F216" s="230" t="str">
        <f>IFERROR((Table47[[#This Row],[Initial No. of Requirements]]+Table47[[#This Row],[Modified Requirements( Added / Deleted /Modified)]])/Table47[[#This Row],[Initial No. of Requirements]],"")</f>
        <v/>
      </c>
      <c r="G21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6" s="249"/>
      <c r="J216" s="249"/>
      <c r="K216" s="250"/>
      <c r="L216" s="250"/>
      <c r="M216" s="250"/>
      <c r="N216" s="248">
        <f>SUMIFS(Table1[Size],Table1[Release Name],[2]!Table7[Release Name])</f>
        <v>0</v>
      </c>
      <c r="O216" s="248"/>
      <c r="P21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6" s="248"/>
      <c r="R21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6" s="248"/>
      <c r="T216" s="248"/>
      <c r="U216" s="248"/>
      <c r="V216" s="248"/>
      <c r="W216" s="248"/>
      <c r="X216" s="248"/>
      <c r="Y216" s="248"/>
      <c r="Z216" s="248"/>
      <c r="AA216" s="248"/>
      <c r="AB216" s="13">
        <f>SUMIFS(Table3[Hours Worked],Table3[Release Name],Table7[[#This Row],[Release Name]],Table3[Task Type],"Testcase Creation")</f>
        <v>0</v>
      </c>
      <c r="AC216" s="255">
        <f>SUMIFS(Table3[Hours Worked],Table3[Release Name],Table7[[#This Row],[Release Name]],Table3[Task Type],"Testcase Execution")</f>
        <v>0</v>
      </c>
      <c r="AD21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6" s="256" t="str">
        <f>IFERROR((Table7[[#This Row],[No. of Valid Internal Review Defects]]+Table7[[#This Row],[No. of Valid  Internal Testing Defects]]+Table7[[#This Row],[No. of  Valid External Review Defects]]+Table7[[#This Row],[No. of Valid External Testing Defects]])/Table7[[#This Row],[Size]],"")</f>
        <v/>
      </c>
      <c r="AF216" s="257" t="str">
        <f>IFERROR(Table7[[#This Row],[No. of Valid Internal Review Defects]]/(Table7[[#This Row],[No. of Valid Internal Review Defects]]+Table7[[#This Row],[No. of  Valid External Review Defects]]+Table7[[#This Row],[No. of Valid  Internal Testing Defects]]+Table7[[#This Row],[No. of Valid External Testing Defects]]),"")</f>
        <v/>
      </c>
      <c r="AG216" s="258" t="str">
        <f>IFERROR(Table7[[#This Row],[No. of Valid Internal Review Defects]]/(Table7[[#This Row],[No. of Valid Internal Review Defects]]+Table7[[#This Row],[No. of  Valid External Review Defects]]+Table7[[#This Row],[No. of Valid External Testing Defects]]),"")</f>
        <v/>
      </c>
      <c r="AH216" s="256" t="str">
        <f>IFERROR(Table7[[#This Row],[No. of Valid  Internal Testing Defects]]/Table7[[#This Row],[Overall Actual Effort for the release]],"")</f>
        <v/>
      </c>
      <c r="AI216" s="256" t="str">
        <f>IFERROR(Table7[[#This Row],[No. of Valid  Internal Testing Defects]]/Table7[[#This Row],[No. of Testcases Executed]],"")</f>
        <v/>
      </c>
      <c r="AJ216" s="259" t="str">
        <f>IFERROR(IFERROR(Table7[[#This Row],[No. of Testcases Created]]/Table7[[#This Row],[Effort for Testcase Creation]],"")*9,"")</f>
        <v/>
      </c>
      <c r="AK216" s="256" t="str">
        <f>IFERROR((Table7[[#This Row],[No. of Testcases Executed]]/Table7[[#This Row],[Effort for Testcase Execution]])*9,"")</f>
        <v/>
      </c>
      <c r="AL21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6" s="259" t="str">
        <f>IFERROR(Table7[[#This Row],[No. of Defects Validated]]/SUMIFS(Table3[Hours Worked],Table3[Release Name],Table7[[#This Row],[Release Name]],Table3[Task Type],"Defect Validation")*9,"")</f>
        <v/>
      </c>
      <c r="AN216" s="258" t="str">
        <f>IFERROR((Table7[[#This Row],[No. of Valid  Internal Testing Defects]])/(Table7[[#This Row],[No. of Valid  Internal Testing Defects]]+Table7[[#This Row],[No. of Invalid Internal Testing Defects]]),"")</f>
        <v/>
      </c>
      <c r="AO216" s="258" t="str">
        <f>IFERROR(Table7[[#This Row],[No. of Valid External Testing Defects]]/(Table7[[#This Row],[No. of Valid External Testing Defects]]+Table7[[#This Row],[No. of Valid  Internal Testing Defects]]),"")</f>
        <v/>
      </c>
    </row>
    <row r="217" spans="2:41">
      <c r="B217" s="237"/>
      <c r="C217" s="14"/>
      <c r="D217" s="14"/>
      <c r="E217" s="14"/>
      <c r="F217" s="230" t="str">
        <f>IFERROR((Table47[[#This Row],[Initial No. of Requirements]]+Table47[[#This Row],[Modified Requirements( Added / Deleted /Modified)]])/Table47[[#This Row],[Initial No. of Requirements]],"")</f>
        <v/>
      </c>
      <c r="G21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7" s="249"/>
      <c r="J217" s="249"/>
      <c r="K217" s="250"/>
      <c r="L217" s="250"/>
      <c r="M217" s="250"/>
      <c r="N217" s="248">
        <f>SUMIFS(Table1[Size],Table1[Release Name],[2]!Table7[Release Name])</f>
        <v>0</v>
      </c>
      <c r="O217" s="248"/>
      <c r="P21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7" s="248"/>
      <c r="R21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7" s="248"/>
      <c r="T217" s="248"/>
      <c r="U217" s="248"/>
      <c r="V217" s="248"/>
      <c r="W217" s="248"/>
      <c r="X217" s="248"/>
      <c r="Y217" s="248"/>
      <c r="Z217" s="248"/>
      <c r="AA217" s="248"/>
      <c r="AB217" s="13">
        <f>SUMIFS(Table3[Hours Worked],Table3[Release Name],Table7[[#This Row],[Release Name]],Table3[Task Type],"Testcase Creation")</f>
        <v>0</v>
      </c>
      <c r="AC217" s="255">
        <f>SUMIFS(Table3[Hours Worked],Table3[Release Name],Table7[[#This Row],[Release Name]],Table3[Task Type],"Testcase Execution")</f>
        <v>0</v>
      </c>
      <c r="AD21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7" s="256" t="str">
        <f>IFERROR((Table7[[#This Row],[No. of Valid Internal Review Defects]]+Table7[[#This Row],[No. of Valid  Internal Testing Defects]]+Table7[[#This Row],[No. of  Valid External Review Defects]]+Table7[[#This Row],[No. of Valid External Testing Defects]])/Table7[[#This Row],[Size]],"")</f>
        <v/>
      </c>
      <c r="AF217" s="257" t="str">
        <f>IFERROR(Table7[[#This Row],[No. of Valid Internal Review Defects]]/(Table7[[#This Row],[No. of Valid Internal Review Defects]]+Table7[[#This Row],[No. of  Valid External Review Defects]]+Table7[[#This Row],[No. of Valid  Internal Testing Defects]]+Table7[[#This Row],[No. of Valid External Testing Defects]]),"")</f>
        <v/>
      </c>
      <c r="AG217" s="258" t="str">
        <f>IFERROR(Table7[[#This Row],[No. of Valid Internal Review Defects]]/(Table7[[#This Row],[No. of Valid Internal Review Defects]]+Table7[[#This Row],[No. of  Valid External Review Defects]]+Table7[[#This Row],[No. of Valid External Testing Defects]]),"")</f>
        <v/>
      </c>
      <c r="AH217" s="256" t="str">
        <f>IFERROR(Table7[[#This Row],[No. of Valid  Internal Testing Defects]]/Table7[[#This Row],[Overall Actual Effort for the release]],"")</f>
        <v/>
      </c>
      <c r="AI217" s="256" t="str">
        <f>IFERROR(Table7[[#This Row],[No. of Valid  Internal Testing Defects]]/Table7[[#This Row],[No. of Testcases Executed]],"")</f>
        <v/>
      </c>
      <c r="AJ217" s="259" t="str">
        <f>IFERROR(IFERROR(Table7[[#This Row],[No. of Testcases Created]]/Table7[[#This Row],[Effort for Testcase Creation]],"")*9,"")</f>
        <v/>
      </c>
      <c r="AK217" s="256" t="str">
        <f>IFERROR((Table7[[#This Row],[No. of Testcases Executed]]/Table7[[#This Row],[Effort for Testcase Execution]])*9,"")</f>
        <v/>
      </c>
      <c r="AL21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7" s="259" t="str">
        <f>IFERROR(Table7[[#This Row],[No. of Defects Validated]]/SUMIFS(Table3[Hours Worked],Table3[Release Name],Table7[[#This Row],[Release Name]],Table3[Task Type],"Defect Validation")*9,"")</f>
        <v/>
      </c>
      <c r="AN217" s="258" t="str">
        <f>IFERROR((Table7[[#This Row],[No. of Valid  Internal Testing Defects]])/(Table7[[#This Row],[No. of Valid  Internal Testing Defects]]+Table7[[#This Row],[No. of Invalid Internal Testing Defects]]),"")</f>
        <v/>
      </c>
      <c r="AO217" s="258" t="str">
        <f>IFERROR(Table7[[#This Row],[No. of Valid External Testing Defects]]/(Table7[[#This Row],[No. of Valid External Testing Defects]]+Table7[[#This Row],[No. of Valid  Internal Testing Defects]]),"")</f>
        <v/>
      </c>
    </row>
    <row r="218" spans="2:41">
      <c r="B218" s="237"/>
      <c r="C218" s="14"/>
      <c r="D218" s="14"/>
      <c r="E218" s="14"/>
      <c r="F218" s="230" t="str">
        <f>IFERROR((Table47[[#This Row],[Initial No. of Requirements]]+Table47[[#This Row],[Modified Requirements( Added / Deleted /Modified)]])/Table47[[#This Row],[Initial No. of Requirements]],"")</f>
        <v/>
      </c>
      <c r="G21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8" s="249"/>
      <c r="J218" s="249"/>
      <c r="K218" s="250"/>
      <c r="L218" s="250"/>
      <c r="M218" s="250"/>
      <c r="N218" s="248">
        <f>SUMIFS(Table1[Size],Table1[Release Name],[2]!Table7[Release Name])</f>
        <v>0</v>
      </c>
      <c r="O218" s="248"/>
      <c r="P21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8" s="248"/>
      <c r="R21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8" s="248"/>
      <c r="T218" s="248"/>
      <c r="U218" s="248"/>
      <c r="V218" s="248"/>
      <c r="W218" s="248"/>
      <c r="X218" s="248"/>
      <c r="Y218" s="248"/>
      <c r="Z218" s="248"/>
      <c r="AA218" s="248"/>
      <c r="AB218" s="13">
        <f>SUMIFS(Table3[Hours Worked],Table3[Release Name],Table7[[#This Row],[Release Name]],Table3[Task Type],"Testcase Creation")</f>
        <v>0</v>
      </c>
      <c r="AC218" s="255">
        <f>SUMIFS(Table3[Hours Worked],Table3[Release Name],Table7[[#This Row],[Release Name]],Table3[Task Type],"Testcase Execution")</f>
        <v>0</v>
      </c>
      <c r="AD21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8" s="256" t="str">
        <f>IFERROR((Table7[[#This Row],[No. of Valid Internal Review Defects]]+Table7[[#This Row],[No. of Valid  Internal Testing Defects]]+Table7[[#This Row],[No. of  Valid External Review Defects]]+Table7[[#This Row],[No. of Valid External Testing Defects]])/Table7[[#This Row],[Size]],"")</f>
        <v/>
      </c>
      <c r="AF218" s="257" t="str">
        <f>IFERROR(Table7[[#This Row],[No. of Valid Internal Review Defects]]/(Table7[[#This Row],[No. of Valid Internal Review Defects]]+Table7[[#This Row],[No. of  Valid External Review Defects]]+Table7[[#This Row],[No. of Valid  Internal Testing Defects]]+Table7[[#This Row],[No. of Valid External Testing Defects]]),"")</f>
        <v/>
      </c>
      <c r="AG218" s="258" t="str">
        <f>IFERROR(Table7[[#This Row],[No. of Valid Internal Review Defects]]/(Table7[[#This Row],[No. of Valid Internal Review Defects]]+Table7[[#This Row],[No. of  Valid External Review Defects]]+Table7[[#This Row],[No. of Valid External Testing Defects]]),"")</f>
        <v/>
      </c>
      <c r="AH218" s="256" t="str">
        <f>IFERROR(Table7[[#This Row],[No. of Valid  Internal Testing Defects]]/Table7[[#This Row],[Overall Actual Effort for the release]],"")</f>
        <v/>
      </c>
      <c r="AI218" s="256" t="str">
        <f>IFERROR(Table7[[#This Row],[No. of Valid  Internal Testing Defects]]/Table7[[#This Row],[No. of Testcases Executed]],"")</f>
        <v/>
      </c>
      <c r="AJ218" s="259" t="str">
        <f>IFERROR(IFERROR(Table7[[#This Row],[No. of Testcases Created]]/Table7[[#This Row],[Effort for Testcase Creation]],"")*9,"")</f>
        <v/>
      </c>
      <c r="AK218" s="256" t="str">
        <f>IFERROR((Table7[[#This Row],[No. of Testcases Executed]]/Table7[[#This Row],[Effort for Testcase Execution]])*9,"")</f>
        <v/>
      </c>
      <c r="AL21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8" s="259" t="str">
        <f>IFERROR(Table7[[#This Row],[No. of Defects Validated]]/SUMIFS(Table3[Hours Worked],Table3[Release Name],Table7[[#This Row],[Release Name]],Table3[Task Type],"Defect Validation")*9,"")</f>
        <v/>
      </c>
      <c r="AN218" s="258" t="str">
        <f>IFERROR((Table7[[#This Row],[No. of Valid  Internal Testing Defects]])/(Table7[[#This Row],[No. of Valid  Internal Testing Defects]]+Table7[[#This Row],[No. of Invalid Internal Testing Defects]]),"")</f>
        <v/>
      </c>
      <c r="AO218" s="258" t="str">
        <f>IFERROR(Table7[[#This Row],[No. of Valid External Testing Defects]]/(Table7[[#This Row],[No. of Valid External Testing Defects]]+Table7[[#This Row],[No. of Valid  Internal Testing Defects]]),"")</f>
        <v/>
      </c>
    </row>
    <row r="219" spans="2:41">
      <c r="B219" s="237"/>
      <c r="C219" s="14"/>
      <c r="D219" s="14"/>
      <c r="E219" s="14"/>
      <c r="F219" s="230" t="str">
        <f>IFERROR((Table47[[#This Row],[Initial No. of Requirements]]+Table47[[#This Row],[Modified Requirements( Added / Deleted /Modified)]])/Table47[[#This Row],[Initial No. of Requirements]],"")</f>
        <v/>
      </c>
      <c r="G21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19" s="249"/>
      <c r="J219" s="249"/>
      <c r="K219" s="250"/>
      <c r="L219" s="250"/>
      <c r="M219" s="250"/>
      <c r="N219" s="248">
        <f>SUMIFS(Table1[Size],Table1[Release Name],[2]!Table7[Release Name])</f>
        <v>0</v>
      </c>
      <c r="O219" s="248"/>
      <c r="P21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19" s="248"/>
      <c r="R21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19" s="248"/>
      <c r="T219" s="248"/>
      <c r="U219" s="248"/>
      <c r="V219" s="248"/>
      <c r="W219" s="248"/>
      <c r="X219" s="248"/>
      <c r="Y219" s="248"/>
      <c r="Z219" s="248"/>
      <c r="AA219" s="248"/>
      <c r="AB219" s="13">
        <f>SUMIFS(Table3[Hours Worked],Table3[Release Name],Table7[[#This Row],[Release Name]],Table3[Task Type],"Testcase Creation")</f>
        <v>0</v>
      </c>
      <c r="AC219" s="255">
        <f>SUMIFS(Table3[Hours Worked],Table3[Release Name],Table7[[#This Row],[Release Name]],Table3[Task Type],"Testcase Execution")</f>
        <v>0</v>
      </c>
      <c r="AD21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19" s="256" t="str">
        <f>IFERROR((Table7[[#This Row],[No. of Valid Internal Review Defects]]+Table7[[#This Row],[No. of Valid  Internal Testing Defects]]+Table7[[#This Row],[No. of  Valid External Review Defects]]+Table7[[#This Row],[No. of Valid External Testing Defects]])/Table7[[#This Row],[Size]],"")</f>
        <v/>
      </c>
      <c r="AF219" s="257" t="str">
        <f>IFERROR(Table7[[#This Row],[No. of Valid Internal Review Defects]]/(Table7[[#This Row],[No. of Valid Internal Review Defects]]+Table7[[#This Row],[No. of  Valid External Review Defects]]+Table7[[#This Row],[No. of Valid  Internal Testing Defects]]+Table7[[#This Row],[No. of Valid External Testing Defects]]),"")</f>
        <v/>
      </c>
      <c r="AG219" s="258" t="str">
        <f>IFERROR(Table7[[#This Row],[No. of Valid Internal Review Defects]]/(Table7[[#This Row],[No. of Valid Internal Review Defects]]+Table7[[#This Row],[No. of  Valid External Review Defects]]+Table7[[#This Row],[No. of Valid External Testing Defects]]),"")</f>
        <v/>
      </c>
      <c r="AH219" s="256" t="str">
        <f>IFERROR(Table7[[#This Row],[No. of Valid  Internal Testing Defects]]/Table7[[#This Row],[Overall Actual Effort for the release]],"")</f>
        <v/>
      </c>
      <c r="AI219" s="256" t="str">
        <f>IFERROR(Table7[[#This Row],[No. of Valid  Internal Testing Defects]]/Table7[[#This Row],[No. of Testcases Executed]],"")</f>
        <v/>
      </c>
      <c r="AJ219" s="259" t="str">
        <f>IFERROR(IFERROR(Table7[[#This Row],[No. of Testcases Created]]/Table7[[#This Row],[Effort for Testcase Creation]],"")*9,"")</f>
        <v/>
      </c>
      <c r="AK219" s="256" t="str">
        <f>IFERROR((Table7[[#This Row],[No. of Testcases Executed]]/Table7[[#This Row],[Effort for Testcase Execution]])*9,"")</f>
        <v/>
      </c>
      <c r="AL21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19" s="259" t="str">
        <f>IFERROR(Table7[[#This Row],[No. of Defects Validated]]/SUMIFS(Table3[Hours Worked],Table3[Release Name],Table7[[#This Row],[Release Name]],Table3[Task Type],"Defect Validation")*9,"")</f>
        <v/>
      </c>
      <c r="AN219" s="258" t="str">
        <f>IFERROR((Table7[[#This Row],[No. of Valid  Internal Testing Defects]])/(Table7[[#This Row],[No. of Valid  Internal Testing Defects]]+Table7[[#This Row],[No. of Invalid Internal Testing Defects]]),"")</f>
        <v/>
      </c>
      <c r="AO219" s="258" t="str">
        <f>IFERROR(Table7[[#This Row],[No. of Valid External Testing Defects]]/(Table7[[#This Row],[No. of Valid External Testing Defects]]+Table7[[#This Row],[No. of Valid  Internal Testing Defects]]),"")</f>
        <v/>
      </c>
    </row>
    <row r="220" spans="2:41">
      <c r="B220" s="237"/>
      <c r="C220" s="14"/>
      <c r="D220" s="14"/>
      <c r="E220" s="14"/>
      <c r="F220" s="230" t="str">
        <f>IFERROR((Table47[[#This Row],[Initial No. of Requirements]]+Table47[[#This Row],[Modified Requirements( Added / Deleted /Modified)]])/Table47[[#This Row],[Initial No. of Requirements]],"")</f>
        <v/>
      </c>
      <c r="G22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0" s="249"/>
      <c r="J220" s="249"/>
      <c r="K220" s="250"/>
      <c r="L220" s="250"/>
      <c r="M220" s="250"/>
      <c r="N220" s="248">
        <f>SUMIFS(Table1[Size],Table1[Release Name],[2]!Table7[Release Name])</f>
        <v>0</v>
      </c>
      <c r="O220" s="248"/>
      <c r="P22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0" s="248"/>
      <c r="R22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0" s="248"/>
      <c r="T220" s="248"/>
      <c r="U220" s="248"/>
      <c r="V220" s="248"/>
      <c r="W220" s="248"/>
      <c r="X220" s="248"/>
      <c r="Y220" s="248"/>
      <c r="Z220" s="248"/>
      <c r="AA220" s="248"/>
      <c r="AB220" s="13">
        <f>SUMIFS(Table3[Hours Worked],Table3[Release Name],Table7[[#This Row],[Release Name]],Table3[Task Type],"Testcase Creation")</f>
        <v>0</v>
      </c>
      <c r="AC220" s="255">
        <f>SUMIFS(Table3[Hours Worked],Table3[Release Name],Table7[[#This Row],[Release Name]],Table3[Task Type],"Testcase Execution")</f>
        <v>0</v>
      </c>
      <c r="AD22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0" s="256" t="str">
        <f>IFERROR((Table7[[#This Row],[No. of Valid Internal Review Defects]]+Table7[[#This Row],[No. of Valid  Internal Testing Defects]]+Table7[[#This Row],[No. of  Valid External Review Defects]]+Table7[[#This Row],[No. of Valid External Testing Defects]])/Table7[[#This Row],[Size]],"")</f>
        <v/>
      </c>
      <c r="AF220" s="257" t="str">
        <f>IFERROR(Table7[[#This Row],[No. of Valid Internal Review Defects]]/(Table7[[#This Row],[No. of Valid Internal Review Defects]]+Table7[[#This Row],[No. of  Valid External Review Defects]]+Table7[[#This Row],[No. of Valid  Internal Testing Defects]]+Table7[[#This Row],[No. of Valid External Testing Defects]]),"")</f>
        <v/>
      </c>
      <c r="AG220" s="258" t="str">
        <f>IFERROR(Table7[[#This Row],[No. of Valid Internal Review Defects]]/(Table7[[#This Row],[No. of Valid Internal Review Defects]]+Table7[[#This Row],[No. of  Valid External Review Defects]]+Table7[[#This Row],[No. of Valid External Testing Defects]]),"")</f>
        <v/>
      </c>
      <c r="AH220" s="256" t="str">
        <f>IFERROR(Table7[[#This Row],[No. of Valid  Internal Testing Defects]]/Table7[[#This Row],[Overall Actual Effort for the release]],"")</f>
        <v/>
      </c>
      <c r="AI220" s="256" t="str">
        <f>IFERROR(Table7[[#This Row],[No. of Valid  Internal Testing Defects]]/Table7[[#This Row],[No. of Testcases Executed]],"")</f>
        <v/>
      </c>
      <c r="AJ220" s="259" t="str">
        <f>IFERROR(IFERROR(Table7[[#This Row],[No. of Testcases Created]]/Table7[[#This Row],[Effort for Testcase Creation]],"")*9,"")</f>
        <v/>
      </c>
      <c r="AK220" s="256" t="str">
        <f>IFERROR((Table7[[#This Row],[No. of Testcases Executed]]/Table7[[#This Row],[Effort for Testcase Execution]])*9,"")</f>
        <v/>
      </c>
      <c r="AL22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0" s="259" t="str">
        <f>IFERROR(Table7[[#This Row],[No. of Defects Validated]]/SUMIFS(Table3[Hours Worked],Table3[Release Name],Table7[[#This Row],[Release Name]],Table3[Task Type],"Defect Validation")*9,"")</f>
        <v/>
      </c>
      <c r="AN220" s="258" t="str">
        <f>IFERROR((Table7[[#This Row],[No. of Valid  Internal Testing Defects]])/(Table7[[#This Row],[No. of Valid  Internal Testing Defects]]+Table7[[#This Row],[No. of Invalid Internal Testing Defects]]),"")</f>
        <v/>
      </c>
      <c r="AO220" s="258" t="str">
        <f>IFERROR(Table7[[#This Row],[No. of Valid External Testing Defects]]/(Table7[[#This Row],[No. of Valid External Testing Defects]]+Table7[[#This Row],[No. of Valid  Internal Testing Defects]]),"")</f>
        <v/>
      </c>
    </row>
    <row r="221" spans="2:41">
      <c r="B221" s="237"/>
      <c r="C221" s="14"/>
      <c r="D221" s="14"/>
      <c r="E221" s="14"/>
      <c r="F221" s="230" t="str">
        <f>IFERROR((Table47[[#This Row],[Initial No. of Requirements]]+Table47[[#This Row],[Modified Requirements( Added / Deleted /Modified)]])/Table47[[#This Row],[Initial No. of Requirements]],"")</f>
        <v/>
      </c>
      <c r="G22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1" s="249"/>
      <c r="J221" s="249"/>
      <c r="K221" s="250"/>
      <c r="L221" s="250"/>
      <c r="M221" s="250"/>
      <c r="N221" s="248">
        <f>SUMIFS(Table1[Size],Table1[Release Name],[2]!Table7[Release Name])</f>
        <v>0</v>
      </c>
      <c r="O221" s="248"/>
      <c r="P22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1" s="248"/>
      <c r="R22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1" s="248"/>
      <c r="T221" s="248"/>
      <c r="U221" s="248"/>
      <c r="V221" s="248"/>
      <c r="W221" s="248"/>
      <c r="X221" s="248"/>
      <c r="Y221" s="248"/>
      <c r="Z221" s="248"/>
      <c r="AA221" s="248"/>
      <c r="AB221" s="13">
        <f>SUMIFS(Table3[Hours Worked],Table3[Release Name],Table7[[#This Row],[Release Name]],Table3[Task Type],"Testcase Creation")</f>
        <v>0</v>
      </c>
      <c r="AC221" s="255">
        <f>SUMIFS(Table3[Hours Worked],Table3[Release Name],Table7[[#This Row],[Release Name]],Table3[Task Type],"Testcase Execution")</f>
        <v>0</v>
      </c>
      <c r="AD22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1" s="256" t="str">
        <f>IFERROR((Table7[[#This Row],[No. of Valid Internal Review Defects]]+Table7[[#This Row],[No. of Valid  Internal Testing Defects]]+Table7[[#This Row],[No. of  Valid External Review Defects]]+Table7[[#This Row],[No. of Valid External Testing Defects]])/Table7[[#This Row],[Size]],"")</f>
        <v/>
      </c>
      <c r="AF221" s="257" t="str">
        <f>IFERROR(Table7[[#This Row],[No. of Valid Internal Review Defects]]/(Table7[[#This Row],[No. of Valid Internal Review Defects]]+Table7[[#This Row],[No. of  Valid External Review Defects]]+Table7[[#This Row],[No. of Valid  Internal Testing Defects]]+Table7[[#This Row],[No. of Valid External Testing Defects]]),"")</f>
        <v/>
      </c>
      <c r="AG221" s="258" t="str">
        <f>IFERROR(Table7[[#This Row],[No. of Valid Internal Review Defects]]/(Table7[[#This Row],[No. of Valid Internal Review Defects]]+Table7[[#This Row],[No. of  Valid External Review Defects]]+Table7[[#This Row],[No. of Valid External Testing Defects]]),"")</f>
        <v/>
      </c>
      <c r="AH221" s="256" t="str">
        <f>IFERROR(Table7[[#This Row],[No. of Valid  Internal Testing Defects]]/Table7[[#This Row],[Overall Actual Effort for the release]],"")</f>
        <v/>
      </c>
      <c r="AI221" s="256" t="str">
        <f>IFERROR(Table7[[#This Row],[No. of Valid  Internal Testing Defects]]/Table7[[#This Row],[No. of Testcases Executed]],"")</f>
        <v/>
      </c>
      <c r="AJ221" s="259" t="str">
        <f>IFERROR(IFERROR(Table7[[#This Row],[No. of Testcases Created]]/Table7[[#This Row],[Effort for Testcase Creation]],"")*9,"")</f>
        <v/>
      </c>
      <c r="AK221" s="256" t="str">
        <f>IFERROR((Table7[[#This Row],[No. of Testcases Executed]]/Table7[[#This Row],[Effort for Testcase Execution]])*9,"")</f>
        <v/>
      </c>
      <c r="AL22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1" s="259" t="str">
        <f>IFERROR(Table7[[#This Row],[No. of Defects Validated]]/SUMIFS(Table3[Hours Worked],Table3[Release Name],Table7[[#This Row],[Release Name]],Table3[Task Type],"Defect Validation")*9,"")</f>
        <v/>
      </c>
      <c r="AN221" s="258" t="str">
        <f>IFERROR((Table7[[#This Row],[No. of Valid  Internal Testing Defects]])/(Table7[[#This Row],[No. of Valid  Internal Testing Defects]]+Table7[[#This Row],[No. of Invalid Internal Testing Defects]]),"")</f>
        <v/>
      </c>
      <c r="AO221" s="258" t="str">
        <f>IFERROR(Table7[[#This Row],[No. of Valid External Testing Defects]]/(Table7[[#This Row],[No. of Valid External Testing Defects]]+Table7[[#This Row],[No. of Valid  Internal Testing Defects]]),"")</f>
        <v/>
      </c>
    </row>
    <row r="222" spans="2:41">
      <c r="B222" s="237"/>
      <c r="C222" s="14"/>
      <c r="D222" s="14"/>
      <c r="E222" s="14"/>
      <c r="F222" s="230" t="str">
        <f>IFERROR((Table47[[#This Row],[Initial No. of Requirements]]+Table47[[#This Row],[Modified Requirements( Added / Deleted /Modified)]])/Table47[[#This Row],[Initial No. of Requirements]],"")</f>
        <v/>
      </c>
      <c r="G22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2" s="249"/>
      <c r="J222" s="249"/>
      <c r="K222" s="250"/>
      <c r="L222" s="250"/>
      <c r="M222" s="250"/>
      <c r="N222" s="248">
        <f>SUMIFS(Table1[Size],Table1[Release Name],[2]!Table7[Release Name])</f>
        <v>0</v>
      </c>
      <c r="O222" s="248"/>
      <c r="P22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2" s="248"/>
      <c r="R22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2" s="248"/>
      <c r="T222" s="248"/>
      <c r="U222" s="248"/>
      <c r="V222" s="248"/>
      <c r="W222" s="248"/>
      <c r="X222" s="248"/>
      <c r="Y222" s="248"/>
      <c r="Z222" s="248"/>
      <c r="AA222" s="248"/>
      <c r="AB222" s="13">
        <f>SUMIFS(Table3[Hours Worked],Table3[Release Name],Table7[[#This Row],[Release Name]],Table3[Task Type],"Testcase Creation")</f>
        <v>0</v>
      </c>
      <c r="AC222" s="255">
        <f>SUMIFS(Table3[Hours Worked],Table3[Release Name],Table7[[#This Row],[Release Name]],Table3[Task Type],"Testcase Execution")</f>
        <v>0</v>
      </c>
      <c r="AD22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2" s="256" t="str">
        <f>IFERROR((Table7[[#This Row],[No. of Valid Internal Review Defects]]+Table7[[#This Row],[No. of Valid  Internal Testing Defects]]+Table7[[#This Row],[No. of  Valid External Review Defects]]+Table7[[#This Row],[No. of Valid External Testing Defects]])/Table7[[#This Row],[Size]],"")</f>
        <v/>
      </c>
      <c r="AF222" s="257" t="str">
        <f>IFERROR(Table7[[#This Row],[No. of Valid Internal Review Defects]]/(Table7[[#This Row],[No. of Valid Internal Review Defects]]+Table7[[#This Row],[No. of  Valid External Review Defects]]+Table7[[#This Row],[No. of Valid  Internal Testing Defects]]+Table7[[#This Row],[No. of Valid External Testing Defects]]),"")</f>
        <v/>
      </c>
      <c r="AG222" s="258" t="str">
        <f>IFERROR(Table7[[#This Row],[No. of Valid Internal Review Defects]]/(Table7[[#This Row],[No. of Valid Internal Review Defects]]+Table7[[#This Row],[No. of  Valid External Review Defects]]+Table7[[#This Row],[No. of Valid External Testing Defects]]),"")</f>
        <v/>
      </c>
      <c r="AH222" s="256" t="str">
        <f>IFERROR(Table7[[#This Row],[No. of Valid  Internal Testing Defects]]/Table7[[#This Row],[Overall Actual Effort for the release]],"")</f>
        <v/>
      </c>
      <c r="AI222" s="256" t="str">
        <f>IFERROR(Table7[[#This Row],[No. of Valid  Internal Testing Defects]]/Table7[[#This Row],[No. of Testcases Executed]],"")</f>
        <v/>
      </c>
      <c r="AJ222" s="259" t="str">
        <f>IFERROR(IFERROR(Table7[[#This Row],[No. of Testcases Created]]/Table7[[#This Row],[Effort for Testcase Creation]],"")*9,"")</f>
        <v/>
      </c>
      <c r="AK222" s="256" t="str">
        <f>IFERROR((Table7[[#This Row],[No. of Testcases Executed]]/Table7[[#This Row],[Effort for Testcase Execution]])*9,"")</f>
        <v/>
      </c>
      <c r="AL22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2" s="259" t="str">
        <f>IFERROR(Table7[[#This Row],[No. of Defects Validated]]/SUMIFS(Table3[Hours Worked],Table3[Release Name],Table7[[#This Row],[Release Name]],Table3[Task Type],"Defect Validation")*9,"")</f>
        <v/>
      </c>
      <c r="AN222" s="258" t="str">
        <f>IFERROR((Table7[[#This Row],[No. of Valid  Internal Testing Defects]])/(Table7[[#This Row],[No. of Valid  Internal Testing Defects]]+Table7[[#This Row],[No. of Invalid Internal Testing Defects]]),"")</f>
        <v/>
      </c>
      <c r="AO222" s="258" t="str">
        <f>IFERROR(Table7[[#This Row],[No. of Valid External Testing Defects]]/(Table7[[#This Row],[No. of Valid External Testing Defects]]+Table7[[#This Row],[No. of Valid  Internal Testing Defects]]),"")</f>
        <v/>
      </c>
    </row>
    <row r="223" spans="2:41">
      <c r="B223" s="237"/>
      <c r="C223" s="14"/>
      <c r="D223" s="14"/>
      <c r="E223" s="14"/>
      <c r="F223" s="230" t="str">
        <f>IFERROR((Table47[[#This Row],[Initial No. of Requirements]]+Table47[[#This Row],[Modified Requirements( Added / Deleted /Modified)]])/Table47[[#This Row],[Initial No. of Requirements]],"")</f>
        <v/>
      </c>
      <c r="G22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3" s="249"/>
      <c r="J223" s="249"/>
      <c r="K223" s="250"/>
      <c r="L223" s="250"/>
      <c r="M223" s="250"/>
      <c r="N223" s="248">
        <f>SUMIFS(Table1[Size],Table1[Release Name],[2]!Table7[Release Name])</f>
        <v>0</v>
      </c>
      <c r="O223" s="248"/>
      <c r="P22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3" s="248"/>
      <c r="R22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3" s="248"/>
      <c r="T223" s="248"/>
      <c r="U223" s="248"/>
      <c r="V223" s="248"/>
      <c r="W223" s="248"/>
      <c r="X223" s="248"/>
      <c r="Y223" s="248"/>
      <c r="Z223" s="248"/>
      <c r="AA223" s="248"/>
      <c r="AB223" s="13">
        <f>SUMIFS(Table3[Hours Worked],Table3[Release Name],Table7[[#This Row],[Release Name]],Table3[Task Type],"Testcase Creation")</f>
        <v>0</v>
      </c>
      <c r="AC223" s="255">
        <f>SUMIFS(Table3[Hours Worked],Table3[Release Name],Table7[[#This Row],[Release Name]],Table3[Task Type],"Testcase Execution")</f>
        <v>0</v>
      </c>
      <c r="AD22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3" s="256" t="str">
        <f>IFERROR((Table7[[#This Row],[No. of Valid Internal Review Defects]]+Table7[[#This Row],[No. of Valid  Internal Testing Defects]]+Table7[[#This Row],[No. of  Valid External Review Defects]]+Table7[[#This Row],[No. of Valid External Testing Defects]])/Table7[[#This Row],[Size]],"")</f>
        <v/>
      </c>
      <c r="AF223" s="257" t="str">
        <f>IFERROR(Table7[[#This Row],[No. of Valid Internal Review Defects]]/(Table7[[#This Row],[No. of Valid Internal Review Defects]]+Table7[[#This Row],[No. of  Valid External Review Defects]]+Table7[[#This Row],[No. of Valid  Internal Testing Defects]]+Table7[[#This Row],[No. of Valid External Testing Defects]]),"")</f>
        <v/>
      </c>
      <c r="AG223" s="258" t="str">
        <f>IFERROR(Table7[[#This Row],[No. of Valid Internal Review Defects]]/(Table7[[#This Row],[No. of Valid Internal Review Defects]]+Table7[[#This Row],[No. of  Valid External Review Defects]]+Table7[[#This Row],[No. of Valid External Testing Defects]]),"")</f>
        <v/>
      </c>
      <c r="AH223" s="256" t="str">
        <f>IFERROR(Table7[[#This Row],[No. of Valid  Internal Testing Defects]]/Table7[[#This Row],[Overall Actual Effort for the release]],"")</f>
        <v/>
      </c>
      <c r="AI223" s="256" t="str">
        <f>IFERROR(Table7[[#This Row],[No. of Valid  Internal Testing Defects]]/Table7[[#This Row],[No. of Testcases Executed]],"")</f>
        <v/>
      </c>
      <c r="AJ223" s="259" t="str">
        <f>IFERROR(IFERROR(Table7[[#This Row],[No. of Testcases Created]]/Table7[[#This Row],[Effort for Testcase Creation]],"")*9,"")</f>
        <v/>
      </c>
      <c r="AK223" s="256" t="str">
        <f>IFERROR((Table7[[#This Row],[No. of Testcases Executed]]/Table7[[#This Row],[Effort for Testcase Execution]])*9,"")</f>
        <v/>
      </c>
      <c r="AL22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3" s="259" t="str">
        <f>IFERROR(Table7[[#This Row],[No. of Defects Validated]]/SUMIFS(Table3[Hours Worked],Table3[Release Name],Table7[[#This Row],[Release Name]],Table3[Task Type],"Defect Validation")*9,"")</f>
        <v/>
      </c>
      <c r="AN223" s="258" t="str">
        <f>IFERROR((Table7[[#This Row],[No. of Valid  Internal Testing Defects]])/(Table7[[#This Row],[No. of Valid  Internal Testing Defects]]+Table7[[#This Row],[No. of Invalid Internal Testing Defects]]),"")</f>
        <v/>
      </c>
      <c r="AO223" s="258" t="str">
        <f>IFERROR(Table7[[#This Row],[No. of Valid External Testing Defects]]/(Table7[[#This Row],[No. of Valid External Testing Defects]]+Table7[[#This Row],[No. of Valid  Internal Testing Defects]]),"")</f>
        <v/>
      </c>
    </row>
    <row r="224" spans="2:41">
      <c r="B224" s="237"/>
      <c r="C224" s="14"/>
      <c r="D224" s="14"/>
      <c r="E224" s="14"/>
      <c r="F224" s="230" t="str">
        <f>IFERROR((Table47[[#This Row],[Initial No. of Requirements]]+Table47[[#This Row],[Modified Requirements( Added / Deleted /Modified)]])/Table47[[#This Row],[Initial No. of Requirements]],"")</f>
        <v/>
      </c>
      <c r="G22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4" s="249"/>
      <c r="J224" s="249"/>
      <c r="K224" s="250"/>
      <c r="L224" s="250"/>
      <c r="M224" s="250"/>
      <c r="N224" s="248">
        <f>SUMIFS(Table1[Size],Table1[Release Name],[2]!Table7[Release Name])</f>
        <v>0</v>
      </c>
      <c r="O224" s="248"/>
      <c r="P22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4" s="248"/>
      <c r="R22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4" s="248"/>
      <c r="T224" s="248"/>
      <c r="U224" s="248"/>
      <c r="V224" s="248"/>
      <c r="W224" s="248"/>
      <c r="X224" s="248"/>
      <c r="Y224" s="248"/>
      <c r="Z224" s="248"/>
      <c r="AA224" s="248"/>
      <c r="AB224" s="13">
        <f>SUMIFS(Table3[Hours Worked],Table3[Release Name],Table7[[#This Row],[Release Name]],Table3[Task Type],"Testcase Creation")</f>
        <v>0</v>
      </c>
      <c r="AC224" s="255">
        <f>SUMIFS(Table3[Hours Worked],Table3[Release Name],Table7[[#This Row],[Release Name]],Table3[Task Type],"Testcase Execution")</f>
        <v>0</v>
      </c>
      <c r="AD22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4" s="256" t="str">
        <f>IFERROR((Table7[[#This Row],[No. of Valid Internal Review Defects]]+Table7[[#This Row],[No. of Valid  Internal Testing Defects]]+Table7[[#This Row],[No. of  Valid External Review Defects]]+Table7[[#This Row],[No. of Valid External Testing Defects]])/Table7[[#This Row],[Size]],"")</f>
        <v/>
      </c>
      <c r="AF224" s="257" t="str">
        <f>IFERROR(Table7[[#This Row],[No. of Valid Internal Review Defects]]/(Table7[[#This Row],[No. of Valid Internal Review Defects]]+Table7[[#This Row],[No. of  Valid External Review Defects]]+Table7[[#This Row],[No. of Valid  Internal Testing Defects]]+Table7[[#This Row],[No. of Valid External Testing Defects]]),"")</f>
        <v/>
      </c>
      <c r="AG224" s="258" t="str">
        <f>IFERROR(Table7[[#This Row],[No. of Valid Internal Review Defects]]/(Table7[[#This Row],[No. of Valid Internal Review Defects]]+Table7[[#This Row],[No. of  Valid External Review Defects]]+Table7[[#This Row],[No. of Valid External Testing Defects]]),"")</f>
        <v/>
      </c>
      <c r="AH224" s="256" t="str">
        <f>IFERROR(Table7[[#This Row],[No. of Valid  Internal Testing Defects]]/Table7[[#This Row],[Overall Actual Effort for the release]],"")</f>
        <v/>
      </c>
      <c r="AI224" s="256" t="str">
        <f>IFERROR(Table7[[#This Row],[No. of Valid  Internal Testing Defects]]/Table7[[#This Row],[No. of Testcases Executed]],"")</f>
        <v/>
      </c>
      <c r="AJ224" s="259" t="str">
        <f>IFERROR(IFERROR(Table7[[#This Row],[No. of Testcases Created]]/Table7[[#This Row],[Effort for Testcase Creation]],"")*9,"")</f>
        <v/>
      </c>
      <c r="AK224" s="256" t="str">
        <f>IFERROR((Table7[[#This Row],[No. of Testcases Executed]]/Table7[[#This Row],[Effort for Testcase Execution]])*9,"")</f>
        <v/>
      </c>
      <c r="AL22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4" s="259" t="str">
        <f>IFERROR(Table7[[#This Row],[No. of Defects Validated]]/SUMIFS(Table3[Hours Worked],Table3[Release Name],Table7[[#This Row],[Release Name]],Table3[Task Type],"Defect Validation")*9,"")</f>
        <v/>
      </c>
      <c r="AN224" s="258" t="str">
        <f>IFERROR((Table7[[#This Row],[No. of Valid  Internal Testing Defects]])/(Table7[[#This Row],[No. of Valid  Internal Testing Defects]]+Table7[[#This Row],[No. of Invalid Internal Testing Defects]]),"")</f>
        <v/>
      </c>
      <c r="AO224" s="258" t="str">
        <f>IFERROR(Table7[[#This Row],[No. of Valid External Testing Defects]]/(Table7[[#This Row],[No. of Valid External Testing Defects]]+Table7[[#This Row],[No. of Valid  Internal Testing Defects]]),"")</f>
        <v/>
      </c>
    </row>
    <row r="225" spans="2:41">
      <c r="B225" s="237"/>
      <c r="C225" s="14"/>
      <c r="D225" s="14"/>
      <c r="E225" s="14"/>
      <c r="F225" s="230" t="str">
        <f>IFERROR((Table47[[#This Row],[Initial No. of Requirements]]+Table47[[#This Row],[Modified Requirements( Added / Deleted /Modified)]])/Table47[[#This Row],[Initial No. of Requirements]],"")</f>
        <v/>
      </c>
      <c r="G22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5" s="249"/>
      <c r="J225" s="249"/>
      <c r="K225" s="250"/>
      <c r="L225" s="250"/>
      <c r="M225" s="250"/>
      <c r="N225" s="248">
        <f>SUMIFS(Table1[Size],Table1[Release Name],[2]!Table7[Release Name])</f>
        <v>0</v>
      </c>
      <c r="O225" s="248"/>
      <c r="P22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5" s="248"/>
      <c r="R22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5" s="248"/>
      <c r="T225" s="248"/>
      <c r="U225" s="248"/>
      <c r="V225" s="248"/>
      <c r="W225" s="248"/>
      <c r="X225" s="248"/>
      <c r="Y225" s="248"/>
      <c r="Z225" s="248"/>
      <c r="AA225" s="248"/>
      <c r="AB225" s="13">
        <f>SUMIFS(Table3[Hours Worked],Table3[Release Name],Table7[[#This Row],[Release Name]],Table3[Task Type],"Testcase Creation")</f>
        <v>0</v>
      </c>
      <c r="AC225" s="255">
        <f>SUMIFS(Table3[Hours Worked],Table3[Release Name],Table7[[#This Row],[Release Name]],Table3[Task Type],"Testcase Execution")</f>
        <v>0</v>
      </c>
      <c r="AD22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5" s="256" t="str">
        <f>IFERROR((Table7[[#This Row],[No. of Valid Internal Review Defects]]+Table7[[#This Row],[No. of Valid  Internal Testing Defects]]+Table7[[#This Row],[No. of  Valid External Review Defects]]+Table7[[#This Row],[No. of Valid External Testing Defects]])/Table7[[#This Row],[Size]],"")</f>
        <v/>
      </c>
      <c r="AF225" s="257" t="str">
        <f>IFERROR(Table7[[#This Row],[No. of Valid Internal Review Defects]]/(Table7[[#This Row],[No. of Valid Internal Review Defects]]+Table7[[#This Row],[No. of  Valid External Review Defects]]+Table7[[#This Row],[No. of Valid  Internal Testing Defects]]+Table7[[#This Row],[No. of Valid External Testing Defects]]),"")</f>
        <v/>
      </c>
      <c r="AG225" s="258" t="str">
        <f>IFERROR(Table7[[#This Row],[No. of Valid Internal Review Defects]]/(Table7[[#This Row],[No. of Valid Internal Review Defects]]+Table7[[#This Row],[No. of  Valid External Review Defects]]+Table7[[#This Row],[No. of Valid External Testing Defects]]),"")</f>
        <v/>
      </c>
      <c r="AH225" s="256" t="str">
        <f>IFERROR(Table7[[#This Row],[No. of Valid  Internal Testing Defects]]/Table7[[#This Row],[Overall Actual Effort for the release]],"")</f>
        <v/>
      </c>
      <c r="AI225" s="256" t="str">
        <f>IFERROR(Table7[[#This Row],[No. of Valid  Internal Testing Defects]]/Table7[[#This Row],[No. of Testcases Executed]],"")</f>
        <v/>
      </c>
      <c r="AJ225" s="259" t="str">
        <f>IFERROR(IFERROR(Table7[[#This Row],[No. of Testcases Created]]/Table7[[#This Row],[Effort for Testcase Creation]],"")*9,"")</f>
        <v/>
      </c>
      <c r="AK225" s="256" t="str">
        <f>IFERROR((Table7[[#This Row],[No. of Testcases Executed]]/Table7[[#This Row],[Effort for Testcase Execution]])*9,"")</f>
        <v/>
      </c>
      <c r="AL22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5" s="259" t="str">
        <f>IFERROR(Table7[[#This Row],[No. of Defects Validated]]/SUMIFS(Table3[Hours Worked],Table3[Release Name],Table7[[#This Row],[Release Name]],Table3[Task Type],"Defect Validation")*9,"")</f>
        <v/>
      </c>
      <c r="AN225" s="258" t="str">
        <f>IFERROR((Table7[[#This Row],[No. of Valid  Internal Testing Defects]])/(Table7[[#This Row],[No. of Valid  Internal Testing Defects]]+Table7[[#This Row],[No. of Invalid Internal Testing Defects]]),"")</f>
        <v/>
      </c>
      <c r="AO225" s="258" t="str">
        <f>IFERROR(Table7[[#This Row],[No. of Valid External Testing Defects]]/(Table7[[#This Row],[No. of Valid External Testing Defects]]+Table7[[#This Row],[No. of Valid  Internal Testing Defects]]),"")</f>
        <v/>
      </c>
    </row>
    <row r="226" spans="2:41">
      <c r="B226" s="237"/>
      <c r="C226" s="14"/>
      <c r="D226" s="14"/>
      <c r="E226" s="14"/>
      <c r="F226" s="230" t="str">
        <f>IFERROR((Table47[[#This Row],[Initial No. of Requirements]]+Table47[[#This Row],[Modified Requirements( Added / Deleted /Modified)]])/Table47[[#This Row],[Initial No. of Requirements]],"")</f>
        <v/>
      </c>
      <c r="G22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6" s="249"/>
      <c r="J226" s="249"/>
      <c r="K226" s="250"/>
      <c r="L226" s="250"/>
      <c r="M226" s="250"/>
      <c r="N226" s="248">
        <f>SUMIFS(Table1[Size],Table1[Release Name],[2]!Table7[Release Name])</f>
        <v>0</v>
      </c>
      <c r="O226" s="248"/>
      <c r="P22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6" s="248"/>
      <c r="R22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6" s="248"/>
      <c r="T226" s="248"/>
      <c r="U226" s="248"/>
      <c r="V226" s="248"/>
      <c r="W226" s="248"/>
      <c r="X226" s="248"/>
      <c r="Y226" s="248"/>
      <c r="Z226" s="248"/>
      <c r="AA226" s="248"/>
      <c r="AB226" s="13">
        <f>SUMIFS(Table3[Hours Worked],Table3[Release Name],Table7[[#This Row],[Release Name]],Table3[Task Type],"Testcase Creation")</f>
        <v>0</v>
      </c>
      <c r="AC226" s="255">
        <f>SUMIFS(Table3[Hours Worked],Table3[Release Name],Table7[[#This Row],[Release Name]],Table3[Task Type],"Testcase Execution")</f>
        <v>0</v>
      </c>
      <c r="AD22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6" s="256" t="str">
        <f>IFERROR((Table7[[#This Row],[No. of Valid Internal Review Defects]]+Table7[[#This Row],[No. of Valid  Internal Testing Defects]]+Table7[[#This Row],[No. of  Valid External Review Defects]]+Table7[[#This Row],[No. of Valid External Testing Defects]])/Table7[[#This Row],[Size]],"")</f>
        <v/>
      </c>
      <c r="AF226" s="257" t="str">
        <f>IFERROR(Table7[[#This Row],[No. of Valid Internal Review Defects]]/(Table7[[#This Row],[No. of Valid Internal Review Defects]]+Table7[[#This Row],[No. of  Valid External Review Defects]]+Table7[[#This Row],[No. of Valid  Internal Testing Defects]]+Table7[[#This Row],[No. of Valid External Testing Defects]]),"")</f>
        <v/>
      </c>
      <c r="AG226" s="258" t="str">
        <f>IFERROR(Table7[[#This Row],[No. of Valid Internal Review Defects]]/(Table7[[#This Row],[No. of Valid Internal Review Defects]]+Table7[[#This Row],[No. of  Valid External Review Defects]]+Table7[[#This Row],[No. of Valid External Testing Defects]]),"")</f>
        <v/>
      </c>
      <c r="AH226" s="256" t="str">
        <f>IFERROR(Table7[[#This Row],[No. of Valid  Internal Testing Defects]]/Table7[[#This Row],[Overall Actual Effort for the release]],"")</f>
        <v/>
      </c>
      <c r="AI226" s="256" t="str">
        <f>IFERROR(Table7[[#This Row],[No. of Valid  Internal Testing Defects]]/Table7[[#This Row],[No. of Testcases Executed]],"")</f>
        <v/>
      </c>
      <c r="AJ226" s="259" t="str">
        <f>IFERROR(IFERROR(Table7[[#This Row],[No. of Testcases Created]]/Table7[[#This Row],[Effort for Testcase Creation]],"")*9,"")</f>
        <v/>
      </c>
      <c r="AK226" s="256" t="str">
        <f>IFERROR((Table7[[#This Row],[No. of Testcases Executed]]/Table7[[#This Row],[Effort for Testcase Execution]])*9,"")</f>
        <v/>
      </c>
      <c r="AL22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6" s="259" t="str">
        <f>IFERROR(Table7[[#This Row],[No. of Defects Validated]]/SUMIFS(Table3[Hours Worked],Table3[Release Name],Table7[[#This Row],[Release Name]],Table3[Task Type],"Defect Validation")*9,"")</f>
        <v/>
      </c>
      <c r="AN226" s="258" t="str">
        <f>IFERROR((Table7[[#This Row],[No. of Valid  Internal Testing Defects]])/(Table7[[#This Row],[No. of Valid  Internal Testing Defects]]+Table7[[#This Row],[No. of Invalid Internal Testing Defects]]),"")</f>
        <v/>
      </c>
      <c r="AO226" s="258" t="str">
        <f>IFERROR(Table7[[#This Row],[No. of Valid External Testing Defects]]/(Table7[[#This Row],[No. of Valid External Testing Defects]]+Table7[[#This Row],[No. of Valid  Internal Testing Defects]]),"")</f>
        <v/>
      </c>
    </row>
    <row r="227" spans="2:41">
      <c r="B227" s="237"/>
      <c r="C227" s="14"/>
      <c r="D227" s="14"/>
      <c r="E227" s="14"/>
      <c r="F227" s="230" t="str">
        <f>IFERROR((Table47[[#This Row],[Initial No. of Requirements]]+Table47[[#This Row],[Modified Requirements( Added / Deleted /Modified)]])/Table47[[#This Row],[Initial No. of Requirements]],"")</f>
        <v/>
      </c>
      <c r="G22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7" s="249"/>
      <c r="J227" s="249"/>
      <c r="K227" s="250"/>
      <c r="L227" s="250"/>
      <c r="M227" s="250"/>
      <c r="N227" s="248">
        <f>SUMIFS(Table1[Size],Table1[Release Name],[2]!Table7[Release Name])</f>
        <v>0</v>
      </c>
      <c r="O227" s="248"/>
      <c r="P22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7" s="248"/>
      <c r="R22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7" s="248"/>
      <c r="T227" s="248"/>
      <c r="U227" s="248"/>
      <c r="V227" s="248"/>
      <c r="W227" s="248"/>
      <c r="X227" s="248"/>
      <c r="Y227" s="248"/>
      <c r="Z227" s="248"/>
      <c r="AA227" s="248"/>
      <c r="AB227" s="13">
        <f>SUMIFS(Table3[Hours Worked],Table3[Release Name],Table7[[#This Row],[Release Name]],Table3[Task Type],"Testcase Creation")</f>
        <v>0</v>
      </c>
      <c r="AC227" s="255">
        <f>SUMIFS(Table3[Hours Worked],Table3[Release Name],Table7[[#This Row],[Release Name]],Table3[Task Type],"Testcase Execution")</f>
        <v>0</v>
      </c>
      <c r="AD22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7" s="256" t="str">
        <f>IFERROR((Table7[[#This Row],[No. of Valid Internal Review Defects]]+Table7[[#This Row],[No. of Valid  Internal Testing Defects]]+Table7[[#This Row],[No. of  Valid External Review Defects]]+Table7[[#This Row],[No. of Valid External Testing Defects]])/Table7[[#This Row],[Size]],"")</f>
        <v/>
      </c>
      <c r="AF227" s="257" t="str">
        <f>IFERROR(Table7[[#This Row],[No. of Valid Internal Review Defects]]/(Table7[[#This Row],[No. of Valid Internal Review Defects]]+Table7[[#This Row],[No. of  Valid External Review Defects]]+Table7[[#This Row],[No. of Valid  Internal Testing Defects]]+Table7[[#This Row],[No. of Valid External Testing Defects]]),"")</f>
        <v/>
      </c>
      <c r="AG227" s="258" t="str">
        <f>IFERROR(Table7[[#This Row],[No. of Valid Internal Review Defects]]/(Table7[[#This Row],[No. of Valid Internal Review Defects]]+Table7[[#This Row],[No. of  Valid External Review Defects]]+Table7[[#This Row],[No. of Valid External Testing Defects]]),"")</f>
        <v/>
      </c>
      <c r="AH227" s="256" t="str">
        <f>IFERROR(Table7[[#This Row],[No. of Valid  Internal Testing Defects]]/Table7[[#This Row],[Overall Actual Effort for the release]],"")</f>
        <v/>
      </c>
      <c r="AI227" s="256" t="str">
        <f>IFERROR(Table7[[#This Row],[No. of Valid  Internal Testing Defects]]/Table7[[#This Row],[No. of Testcases Executed]],"")</f>
        <v/>
      </c>
      <c r="AJ227" s="259" t="str">
        <f>IFERROR(IFERROR(Table7[[#This Row],[No. of Testcases Created]]/Table7[[#This Row],[Effort for Testcase Creation]],"")*9,"")</f>
        <v/>
      </c>
      <c r="AK227" s="256" t="str">
        <f>IFERROR((Table7[[#This Row],[No. of Testcases Executed]]/Table7[[#This Row],[Effort for Testcase Execution]])*9,"")</f>
        <v/>
      </c>
      <c r="AL22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7" s="259" t="str">
        <f>IFERROR(Table7[[#This Row],[No. of Defects Validated]]/SUMIFS(Table3[Hours Worked],Table3[Release Name],Table7[[#This Row],[Release Name]],Table3[Task Type],"Defect Validation")*9,"")</f>
        <v/>
      </c>
      <c r="AN227" s="258" t="str">
        <f>IFERROR((Table7[[#This Row],[No. of Valid  Internal Testing Defects]])/(Table7[[#This Row],[No. of Valid  Internal Testing Defects]]+Table7[[#This Row],[No. of Invalid Internal Testing Defects]]),"")</f>
        <v/>
      </c>
      <c r="AO227" s="258" t="str">
        <f>IFERROR(Table7[[#This Row],[No. of Valid External Testing Defects]]/(Table7[[#This Row],[No. of Valid External Testing Defects]]+Table7[[#This Row],[No. of Valid  Internal Testing Defects]]),"")</f>
        <v/>
      </c>
    </row>
    <row r="228" spans="2:41">
      <c r="B228" s="237"/>
      <c r="C228" s="14"/>
      <c r="D228" s="14"/>
      <c r="E228" s="14"/>
      <c r="F228" s="230" t="str">
        <f>IFERROR((Table47[[#This Row],[Initial No. of Requirements]]+Table47[[#This Row],[Modified Requirements( Added / Deleted /Modified)]])/Table47[[#This Row],[Initial No. of Requirements]],"")</f>
        <v/>
      </c>
      <c r="G22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8" s="249"/>
      <c r="J228" s="249"/>
      <c r="K228" s="250"/>
      <c r="L228" s="250"/>
      <c r="M228" s="250"/>
      <c r="N228" s="248">
        <f>SUMIFS(Table1[Size],Table1[Release Name],[2]!Table7[Release Name])</f>
        <v>0</v>
      </c>
      <c r="O228" s="248"/>
      <c r="P22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8" s="248"/>
      <c r="R22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8" s="248"/>
      <c r="T228" s="248"/>
      <c r="U228" s="248"/>
      <c r="V228" s="248"/>
      <c r="W228" s="248"/>
      <c r="X228" s="248"/>
      <c r="Y228" s="248"/>
      <c r="Z228" s="248"/>
      <c r="AA228" s="248"/>
      <c r="AB228" s="13">
        <f>SUMIFS(Table3[Hours Worked],Table3[Release Name],Table7[[#This Row],[Release Name]],Table3[Task Type],"Testcase Creation")</f>
        <v>0</v>
      </c>
      <c r="AC228" s="255">
        <f>SUMIFS(Table3[Hours Worked],Table3[Release Name],Table7[[#This Row],[Release Name]],Table3[Task Type],"Testcase Execution")</f>
        <v>0</v>
      </c>
      <c r="AD22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8" s="256" t="str">
        <f>IFERROR((Table7[[#This Row],[No. of Valid Internal Review Defects]]+Table7[[#This Row],[No. of Valid  Internal Testing Defects]]+Table7[[#This Row],[No. of  Valid External Review Defects]]+Table7[[#This Row],[No. of Valid External Testing Defects]])/Table7[[#This Row],[Size]],"")</f>
        <v/>
      </c>
      <c r="AF228" s="257" t="str">
        <f>IFERROR(Table7[[#This Row],[No. of Valid Internal Review Defects]]/(Table7[[#This Row],[No. of Valid Internal Review Defects]]+Table7[[#This Row],[No. of  Valid External Review Defects]]+Table7[[#This Row],[No. of Valid  Internal Testing Defects]]+Table7[[#This Row],[No. of Valid External Testing Defects]]),"")</f>
        <v/>
      </c>
      <c r="AG228" s="258" t="str">
        <f>IFERROR(Table7[[#This Row],[No. of Valid Internal Review Defects]]/(Table7[[#This Row],[No. of Valid Internal Review Defects]]+Table7[[#This Row],[No. of  Valid External Review Defects]]+Table7[[#This Row],[No. of Valid External Testing Defects]]),"")</f>
        <v/>
      </c>
      <c r="AH228" s="256" t="str">
        <f>IFERROR(Table7[[#This Row],[No. of Valid  Internal Testing Defects]]/Table7[[#This Row],[Overall Actual Effort for the release]],"")</f>
        <v/>
      </c>
      <c r="AI228" s="256" t="str">
        <f>IFERROR(Table7[[#This Row],[No. of Valid  Internal Testing Defects]]/Table7[[#This Row],[No. of Testcases Executed]],"")</f>
        <v/>
      </c>
      <c r="AJ228" s="259" t="str">
        <f>IFERROR(IFERROR(Table7[[#This Row],[No. of Testcases Created]]/Table7[[#This Row],[Effort for Testcase Creation]],"")*9,"")</f>
        <v/>
      </c>
      <c r="AK228" s="256" t="str">
        <f>IFERROR((Table7[[#This Row],[No. of Testcases Executed]]/Table7[[#This Row],[Effort for Testcase Execution]])*9,"")</f>
        <v/>
      </c>
      <c r="AL22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8" s="259" t="str">
        <f>IFERROR(Table7[[#This Row],[No. of Defects Validated]]/SUMIFS(Table3[Hours Worked],Table3[Release Name],Table7[[#This Row],[Release Name]],Table3[Task Type],"Defect Validation")*9,"")</f>
        <v/>
      </c>
      <c r="AN228" s="258" t="str">
        <f>IFERROR((Table7[[#This Row],[No. of Valid  Internal Testing Defects]])/(Table7[[#This Row],[No. of Valid  Internal Testing Defects]]+Table7[[#This Row],[No. of Invalid Internal Testing Defects]]),"")</f>
        <v/>
      </c>
      <c r="AO228" s="258" t="str">
        <f>IFERROR(Table7[[#This Row],[No. of Valid External Testing Defects]]/(Table7[[#This Row],[No. of Valid External Testing Defects]]+Table7[[#This Row],[No. of Valid  Internal Testing Defects]]),"")</f>
        <v/>
      </c>
    </row>
    <row r="229" spans="2:41">
      <c r="B229" s="237"/>
      <c r="C229" s="14"/>
      <c r="D229" s="14"/>
      <c r="E229" s="14"/>
      <c r="F229" s="230" t="str">
        <f>IFERROR((Table47[[#This Row],[Initial No. of Requirements]]+Table47[[#This Row],[Modified Requirements( Added / Deleted /Modified)]])/Table47[[#This Row],[Initial No. of Requirements]],"")</f>
        <v/>
      </c>
      <c r="G22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29" s="249"/>
      <c r="J229" s="249"/>
      <c r="K229" s="250"/>
      <c r="L229" s="250"/>
      <c r="M229" s="250"/>
      <c r="N229" s="248">
        <f>SUMIFS(Table1[Size],Table1[Release Name],[2]!Table7[Release Name])</f>
        <v>0</v>
      </c>
      <c r="O229" s="248"/>
      <c r="P22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29" s="248"/>
      <c r="R22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29" s="248"/>
      <c r="T229" s="248"/>
      <c r="U229" s="248"/>
      <c r="V229" s="248"/>
      <c r="W229" s="248"/>
      <c r="X229" s="248"/>
      <c r="Y229" s="248"/>
      <c r="Z229" s="248"/>
      <c r="AA229" s="248"/>
      <c r="AB229" s="13">
        <f>SUMIFS(Table3[Hours Worked],Table3[Release Name],Table7[[#This Row],[Release Name]],Table3[Task Type],"Testcase Creation")</f>
        <v>0</v>
      </c>
      <c r="AC229" s="255">
        <f>SUMIFS(Table3[Hours Worked],Table3[Release Name],Table7[[#This Row],[Release Name]],Table3[Task Type],"Testcase Execution")</f>
        <v>0</v>
      </c>
      <c r="AD22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29" s="256" t="str">
        <f>IFERROR((Table7[[#This Row],[No. of Valid Internal Review Defects]]+Table7[[#This Row],[No. of Valid  Internal Testing Defects]]+Table7[[#This Row],[No. of  Valid External Review Defects]]+Table7[[#This Row],[No. of Valid External Testing Defects]])/Table7[[#This Row],[Size]],"")</f>
        <v/>
      </c>
      <c r="AF229" s="257" t="str">
        <f>IFERROR(Table7[[#This Row],[No. of Valid Internal Review Defects]]/(Table7[[#This Row],[No. of Valid Internal Review Defects]]+Table7[[#This Row],[No. of  Valid External Review Defects]]+Table7[[#This Row],[No. of Valid  Internal Testing Defects]]+Table7[[#This Row],[No. of Valid External Testing Defects]]),"")</f>
        <v/>
      </c>
      <c r="AG229" s="258" t="str">
        <f>IFERROR(Table7[[#This Row],[No. of Valid Internal Review Defects]]/(Table7[[#This Row],[No. of Valid Internal Review Defects]]+Table7[[#This Row],[No. of  Valid External Review Defects]]+Table7[[#This Row],[No. of Valid External Testing Defects]]),"")</f>
        <v/>
      </c>
      <c r="AH229" s="256" t="str">
        <f>IFERROR(Table7[[#This Row],[No. of Valid  Internal Testing Defects]]/Table7[[#This Row],[Overall Actual Effort for the release]],"")</f>
        <v/>
      </c>
      <c r="AI229" s="256" t="str">
        <f>IFERROR(Table7[[#This Row],[No. of Valid  Internal Testing Defects]]/Table7[[#This Row],[No. of Testcases Executed]],"")</f>
        <v/>
      </c>
      <c r="AJ229" s="259" t="str">
        <f>IFERROR(IFERROR(Table7[[#This Row],[No. of Testcases Created]]/Table7[[#This Row],[Effort for Testcase Creation]],"")*9,"")</f>
        <v/>
      </c>
      <c r="AK229" s="256" t="str">
        <f>IFERROR((Table7[[#This Row],[No. of Testcases Executed]]/Table7[[#This Row],[Effort for Testcase Execution]])*9,"")</f>
        <v/>
      </c>
      <c r="AL22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29" s="259" t="str">
        <f>IFERROR(Table7[[#This Row],[No. of Defects Validated]]/SUMIFS(Table3[Hours Worked],Table3[Release Name],Table7[[#This Row],[Release Name]],Table3[Task Type],"Defect Validation")*9,"")</f>
        <v/>
      </c>
      <c r="AN229" s="258" t="str">
        <f>IFERROR((Table7[[#This Row],[No. of Valid  Internal Testing Defects]])/(Table7[[#This Row],[No. of Valid  Internal Testing Defects]]+Table7[[#This Row],[No. of Invalid Internal Testing Defects]]),"")</f>
        <v/>
      </c>
      <c r="AO229" s="258" t="str">
        <f>IFERROR(Table7[[#This Row],[No. of Valid External Testing Defects]]/(Table7[[#This Row],[No. of Valid External Testing Defects]]+Table7[[#This Row],[No. of Valid  Internal Testing Defects]]),"")</f>
        <v/>
      </c>
    </row>
    <row r="230" spans="2:41">
      <c r="B230" s="237"/>
      <c r="C230" s="14"/>
      <c r="D230" s="14"/>
      <c r="E230" s="14"/>
      <c r="F230" s="230" t="str">
        <f>IFERROR((Table47[[#This Row],[Initial No. of Requirements]]+Table47[[#This Row],[Modified Requirements( Added / Deleted /Modified)]])/Table47[[#This Row],[Initial No. of Requirements]],"")</f>
        <v/>
      </c>
      <c r="G23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0" s="249"/>
      <c r="J230" s="249"/>
      <c r="K230" s="250"/>
      <c r="L230" s="250"/>
      <c r="M230" s="250"/>
      <c r="N230" s="248">
        <f>SUMIFS(Table1[Size],Table1[Release Name],[2]!Table7[Release Name])</f>
        <v>0</v>
      </c>
      <c r="O230" s="248"/>
      <c r="P23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0" s="248"/>
      <c r="R23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0" s="248"/>
      <c r="T230" s="248"/>
      <c r="U230" s="248"/>
      <c r="V230" s="248"/>
      <c r="W230" s="248"/>
      <c r="X230" s="248"/>
      <c r="Y230" s="248"/>
      <c r="Z230" s="248"/>
      <c r="AA230" s="248"/>
      <c r="AB230" s="13">
        <f>SUMIFS(Table3[Hours Worked],Table3[Release Name],Table7[[#This Row],[Release Name]],Table3[Task Type],"Testcase Creation")</f>
        <v>0</v>
      </c>
      <c r="AC230" s="255">
        <f>SUMIFS(Table3[Hours Worked],Table3[Release Name],Table7[[#This Row],[Release Name]],Table3[Task Type],"Testcase Execution")</f>
        <v>0</v>
      </c>
      <c r="AD23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0" s="256" t="str">
        <f>IFERROR((Table7[[#This Row],[No. of Valid Internal Review Defects]]+Table7[[#This Row],[No. of Valid  Internal Testing Defects]]+Table7[[#This Row],[No. of  Valid External Review Defects]]+Table7[[#This Row],[No. of Valid External Testing Defects]])/Table7[[#This Row],[Size]],"")</f>
        <v/>
      </c>
      <c r="AF230" s="257" t="str">
        <f>IFERROR(Table7[[#This Row],[No. of Valid Internal Review Defects]]/(Table7[[#This Row],[No. of Valid Internal Review Defects]]+Table7[[#This Row],[No. of  Valid External Review Defects]]+Table7[[#This Row],[No. of Valid  Internal Testing Defects]]+Table7[[#This Row],[No. of Valid External Testing Defects]]),"")</f>
        <v/>
      </c>
      <c r="AG230" s="258" t="str">
        <f>IFERROR(Table7[[#This Row],[No. of Valid Internal Review Defects]]/(Table7[[#This Row],[No. of Valid Internal Review Defects]]+Table7[[#This Row],[No. of  Valid External Review Defects]]+Table7[[#This Row],[No. of Valid External Testing Defects]]),"")</f>
        <v/>
      </c>
      <c r="AH230" s="256" t="str">
        <f>IFERROR(Table7[[#This Row],[No. of Valid  Internal Testing Defects]]/Table7[[#This Row],[Overall Actual Effort for the release]],"")</f>
        <v/>
      </c>
      <c r="AI230" s="256" t="str">
        <f>IFERROR(Table7[[#This Row],[No. of Valid  Internal Testing Defects]]/Table7[[#This Row],[No. of Testcases Executed]],"")</f>
        <v/>
      </c>
      <c r="AJ230" s="259" t="str">
        <f>IFERROR(IFERROR(Table7[[#This Row],[No. of Testcases Created]]/Table7[[#This Row],[Effort for Testcase Creation]],"")*9,"")</f>
        <v/>
      </c>
      <c r="AK230" s="256" t="str">
        <f>IFERROR((Table7[[#This Row],[No. of Testcases Executed]]/Table7[[#This Row],[Effort for Testcase Execution]])*9,"")</f>
        <v/>
      </c>
      <c r="AL23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0" s="259" t="str">
        <f>IFERROR(Table7[[#This Row],[No. of Defects Validated]]/SUMIFS(Table3[Hours Worked],Table3[Release Name],Table7[[#This Row],[Release Name]],Table3[Task Type],"Defect Validation")*9,"")</f>
        <v/>
      </c>
      <c r="AN230" s="258" t="str">
        <f>IFERROR((Table7[[#This Row],[No. of Valid  Internal Testing Defects]])/(Table7[[#This Row],[No. of Valid  Internal Testing Defects]]+Table7[[#This Row],[No. of Invalid Internal Testing Defects]]),"")</f>
        <v/>
      </c>
      <c r="AO230" s="258" t="str">
        <f>IFERROR(Table7[[#This Row],[No. of Valid External Testing Defects]]/(Table7[[#This Row],[No. of Valid External Testing Defects]]+Table7[[#This Row],[No. of Valid  Internal Testing Defects]]),"")</f>
        <v/>
      </c>
    </row>
    <row r="231" spans="2:41">
      <c r="B231" s="237"/>
      <c r="C231" s="14"/>
      <c r="D231" s="14"/>
      <c r="E231" s="14"/>
      <c r="F231" s="230" t="str">
        <f>IFERROR((Table47[[#This Row],[Initial No. of Requirements]]+Table47[[#This Row],[Modified Requirements( Added / Deleted /Modified)]])/Table47[[#This Row],[Initial No. of Requirements]],"")</f>
        <v/>
      </c>
      <c r="G23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1" s="249"/>
      <c r="J231" s="249"/>
      <c r="K231" s="250"/>
      <c r="L231" s="250"/>
      <c r="M231" s="250"/>
      <c r="N231" s="248">
        <f>SUMIFS(Table1[Size],Table1[Release Name],[2]!Table7[Release Name])</f>
        <v>0</v>
      </c>
      <c r="O231" s="248"/>
      <c r="P23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1" s="248"/>
      <c r="R23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1" s="248"/>
      <c r="T231" s="248"/>
      <c r="U231" s="248"/>
      <c r="V231" s="248"/>
      <c r="W231" s="248"/>
      <c r="X231" s="248"/>
      <c r="Y231" s="248"/>
      <c r="Z231" s="248"/>
      <c r="AA231" s="248"/>
      <c r="AB231" s="13">
        <f>SUMIFS(Table3[Hours Worked],Table3[Release Name],Table7[[#This Row],[Release Name]],Table3[Task Type],"Testcase Creation")</f>
        <v>0</v>
      </c>
      <c r="AC231" s="255">
        <f>SUMIFS(Table3[Hours Worked],Table3[Release Name],Table7[[#This Row],[Release Name]],Table3[Task Type],"Testcase Execution")</f>
        <v>0</v>
      </c>
      <c r="AD23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1" s="256" t="str">
        <f>IFERROR((Table7[[#This Row],[No. of Valid Internal Review Defects]]+Table7[[#This Row],[No. of Valid  Internal Testing Defects]]+Table7[[#This Row],[No. of  Valid External Review Defects]]+Table7[[#This Row],[No. of Valid External Testing Defects]])/Table7[[#This Row],[Size]],"")</f>
        <v/>
      </c>
      <c r="AF231" s="257" t="str">
        <f>IFERROR(Table7[[#This Row],[No. of Valid Internal Review Defects]]/(Table7[[#This Row],[No. of Valid Internal Review Defects]]+Table7[[#This Row],[No. of  Valid External Review Defects]]+Table7[[#This Row],[No. of Valid  Internal Testing Defects]]+Table7[[#This Row],[No. of Valid External Testing Defects]]),"")</f>
        <v/>
      </c>
      <c r="AG231" s="258" t="str">
        <f>IFERROR(Table7[[#This Row],[No. of Valid Internal Review Defects]]/(Table7[[#This Row],[No. of Valid Internal Review Defects]]+Table7[[#This Row],[No. of  Valid External Review Defects]]+Table7[[#This Row],[No. of Valid External Testing Defects]]),"")</f>
        <v/>
      </c>
      <c r="AH231" s="256" t="str">
        <f>IFERROR(Table7[[#This Row],[No. of Valid  Internal Testing Defects]]/Table7[[#This Row],[Overall Actual Effort for the release]],"")</f>
        <v/>
      </c>
      <c r="AI231" s="256" t="str">
        <f>IFERROR(Table7[[#This Row],[No. of Valid  Internal Testing Defects]]/Table7[[#This Row],[No. of Testcases Executed]],"")</f>
        <v/>
      </c>
      <c r="AJ231" s="259" t="str">
        <f>IFERROR(IFERROR(Table7[[#This Row],[No. of Testcases Created]]/Table7[[#This Row],[Effort for Testcase Creation]],"")*9,"")</f>
        <v/>
      </c>
      <c r="AK231" s="256" t="str">
        <f>IFERROR((Table7[[#This Row],[No. of Testcases Executed]]/Table7[[#This Row],[Effort for Testcase Execution]])*9,"")</f>
        <v/>
      </c>
      <c r="AL23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1" s="259" t="str">
        <f>IFERROR(Table7[[#This Row],[No. of Defects Validated]]/SUMIFS(Table3[Hours Worked],Table3[Release Name],Table7[[#This Row],[Release Name]],Table3[Task Type],"Defect Validation")*9,"")</f>
        <v/>
      </c>
      <c r="AN231" s="258" t="str">
        <f>IFERROR((Table7[[#This Row],[No. of Valid  Internal Testing Defects]])/(Table7[[#This Row],[No. of Valid  Internal Testing Defects]]+Table7[[#This Row],[No. of Invalid Internal Testing Defects]]),"")</f>
        <v/>
      </c>
      <c r="AO231" s="258" t="str">
        <f>IFERROR(Table7[[#This Row],[No. of Valid External Testing Defects]]/(Table7[[#This Row],[No. of Valid External Testing Defects]]+Table7[[#This Row],[No. of Valid  Internal Testing Defects]]),"")</f>
        <v/>
      </c>
    </row>
    <row r="232" spans="2:41">
      <c r="B232" s="237"/>
      <c r="C232" s="14"/>
      <c r="D232" s="14"/>
      <c r="E232" s="14"/>
      <c r="F232" s="230" t="str">
        <f>IFERROR((Table47[[#This Row],[Initial No. of Requirements]]+Table47[[#This Row],[Modified Requirements( Added / Deleted /Modified)]])/Table47[[#This Row],[Initial No. of Requirements]],"")</f>
        <v/>
      </c>
      <c r="G23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2" s="249"/>
      <c r="J232" s="249"/>
      <c r="K232" s="250"/>
      <c r="L232" s="250"/>
      <c r="M232" s="250"/>
      <c r="N232" s="248">
        <f>SUMIFS(Table1[Size],Table1[Release Name],[2]!Table7[Release Name])</f>
        <v>0</v>
      </c>
      <c r="O232" s="248"/>
      <c r="P23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2" s="248"/>
      <c r="R23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2" s="248"/>
      <c r="T232" s="248"/>
      <c r="U232" s="248"/>
      <c r="V232" s="248"/>
      <c r="W232" s="248"/>
      <c r="X232" s="248"/>
      <c r="Y232" s="248"/>
      <c r="Z232" s="248"/>
      <c r="AA232" s="248"/>
      <c r="AB232" s="13">
        <f>SUMIFS(Table3[Hours Worked],Table3[Release Name],Table7[[#This Row],[Release Name]],Table3[Task Type],"Testcase Creation")</f>
        <v>0</v>
      </c>
      <c r="AC232" s="255">
        <f>SUMIFS(Table3[Hours Worked],Table3[Release Name],Table7[[#This Row],[Release Name]],Table3[Task Type],"Testcase Execution")</f>
        <v>0</v>
      </c>
      <c r="AD23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2" s="256" t="str">
        <f>IFERROR((Table7[[#This Row],[No. of Valid Internal Review Defects]]+Table7[[#This Row],[No. of Valid  Internal Testing Defects]]+Table7[[#This Row],[No. of  Valid External Review Defects]]+Table7[[#This Row],[No. of Valid External Testing Defects]])/Table7[[#This Row],[Size]],"")</f>
        <v/>
      </c>
      <c r="AF232" s="257" t="str">
        <f>IFERROR(Table7[[#This Row],[No. of Valid Internal Review Defects]]/(Table7[[#This Row],[No. of Valid Internal Review Defects]]+Table7[[#This Row],[No. of  Valid External Review Defects]]+Table7[[#This Row],[No. of Valid  Internal Testing Defects]]+Table7[[#This Row],[No. of Valid External Testing Defects]]),"")</f>
        <v/>
      </c>
      <c r="AG232" s="258" t="str">
        <f>IFERROR(Table7[[#This Row],[No. of Valid Internal Review Defects]]/(Table7[[#This Row],[No. of Valid Internal Review Defects]]+Table7[[#This Row],[No. of  Valid External Review Defects]]+Table7[[#This Row],[No. of Valid External Testing Defects]]),"")</f>
        <v/>
      </c>
      <c r="AH232" s="256" t="str">
        <f>IFERROR(Table7[[#This Row],[No. of Valid  Internal Testing Defects]]/Table7[[#This Row],[Overall Actual Effort for the release]],"")</f>
        <v/>
      </c>
      <c r="AI232" s="256" t="str">
        <f>IFERROR(Table7[[#This Row],[No. of Valid  Internal Testing Defects]]/Table7[[#This Row],[No. of Testcases Executed]],"")</f>
        <v/>
      </c>
      <c r="AJ232" s="259" t="str">
        <f>IFERROR(IFERROR(Table7[[#This Row],[No. of Testcases Created]]/Table7[[#This Row],[Effort for Testcase Creation]],"")*9,"")</f>
        <v/>
      </c>
      <c r="AK232" s="256" t="str">
        <f>IFERROR((Table7[[#This Row],[No. of Testcases Executed]]/Table7[[#This Row],[Effort for Testcase Execution]])*9,"")</f>
        <v/>
      </c>
      <c r="AL23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2" s="259" t="str">
        <f>IFERROR(Table7[[#This Row],[No. of Defects Validated]]/SUMIFS(Table3[Hours Worked],Table3[Release Name],Table7[[#This Row],[Release Name]],Table3[Task Type],"Defect Validation")*9,"")</f>
        <v/>
      </c>
      <c r="AN232" s="258" t="str">
        <f>IFERROR((Table7[[#This Row],[No. of Valid  Internal Testing Defects]])/(Table7[[#This Row],[No. of Valid  Internal Testing Defects]]+Table7[[#This Row],[No. of Invalid Internal Testing Defects]]),"")</f>
        <v/>
      </c>
      <c r="AO232" s="258" t="str">
        <f>IFERROR(Table7[[#This Row],[No. of Valid External Testing Defects]]/(Table7[[#This Row],[No. of Valid External Testing Defects]]+Table7[[#This Row],[No. of Valid  Internal Testing Defects]]),"")</f>
        <v/>
      </c>
    </row>
    <row r="233" spans="2:41">
      <c r="B233" s="237"/>
      <c r="C233" s="14"/>
      <c r="D233" s="14"/>
      <c r="E233" s="14"/>
      <c r="F233" s="230" t="str">
        <f>IFERROR((Table47[[#This Row],[Initial No. of Requirements]]+Table47[[#This Row],[Modified Requirements( Added / Deleted /Modified)]])/Table47[[#This Row],[Initial No. of Requirements]],"")</f>
        <v/>
      </c>
      <c r="G23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3" s="249"/>
      <c r="J233" s="249"/>
      <c r="K233" s="250"/>
      <c r="L233" s="250"/>
      <c r="M233" s="250"/>
      <c r="N233" s="248">
        <f>SUMIFS(Table1[Size],Table1[Release Name],[2]!Table7[Release Name])</f>
        <v>0</v>
      </c>
      <c r="O233" s="248"/>
      <c r="P23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3" s="248"/>
      <c r="R23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3" s="248"/>
      <c r="T233" s="248"/>
      <c r="U233" s="248"/>
      <c r="V233" s="248"/>
      <c r="W233" s="248"/>
      <c r="X233" s="248"/>
      <c r="Y233" s="248"/>
      <c r="Z233" s="248"/>
      <c r="AA233" s="248"/>
      <c r="AB233" s="13">
        <f>SUMIFS(Table3[Hours Worked],Table3[Release Name],Table7[[#This Row],[Release Name]],Table3[Task Type],"Testcase Creation")</f>
        <v>0</v>
      </c>
      <c r="AC233" s="255">
        <f>SUMIFS(Table3[Hours Worked],Table3[Release Name],Table7[[#This Row],[Release Name]],Table3[Task Type],"Testcase Execution")</f>
        <v>0</v>
      </c>
      <c r="AD23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3" s="256" t="str">
        <f>IFERROR((Table7[[#This Row],[No. of Valid Internal Review Defects]]+Table7[[#This Row],[No. of Valid  Internal Testing Defects]]+Table7[[#This Row],[No. of  Valid External Review Defects]]+Table7[[#This Row],[No. of Valid External Testing Defects]])/Table7[[#This Row],[Size]],"")</f>
        <v/>
      </c>
      <c r="AF233" s="257" t="str">
        <f>IFERROR(Table7[[#This Row],[No. of Valid Internal Review Defects]]/(Table7[[#This Row],[No. of Valid Internal Review Defects]]+Table7[[#This Row],[No. of  Valid External Review Defects]]+Table7[[#This Row],[No. of Valid  Internal Testing Defects]]+Table7[[#This Row],[No. of Valid External Testing Defects]]),"")</f>
        <v/>
      </c>
      <c r="AG233" s="258" t="str">
        <f>IFERROR(Table7[[#This Row],[No. of Valid Internal Review Defects]]/(Table7[[#This Row],[No. of Valid Internal Review Defects]]+Table7[[#This Row],[No. of  Valid External Review Defects]]+Table7[[#This Row],[No. of Valid External Testing Defects]]),"")</f>
        <v/>
      </c>
      <c r="AH233" s="256" t="str">
        <f>IFERROR(Table7[[#This Row],[No. of Valid  Internal Testing Defects]]/Table7[[#This Row],[Overall Actual Effort for the release]],"")</f>
        <v/>
      </c>
      <c r="AI233" s="256" t="str">
        <f>IFERROR(Table7[[#This Row],[No. of Valid  Internal Testing Defects]]/Table7[[#This Row],[No. of Testcases Executed]],"")</f>
        <v/>
      </c>
      <c r="AJ233" s="259" t="str">
        <f>IFERROR(IFERROR(Table7[[#This Row],[No. of Testcases Created]]/Table7[[#This Row],[Effort for Testcase Creation]],"")*9,"")</f>
        <v/>
      </c>
      <c r="AK233" s="256" t="str">
        <f>IFERROR((Table7[[#This Row],[No. of Testcases Executed]]/Table7[[#This Row],[Effort for Testcase Execution]])*9,"")</f>
        <v/>
      </c>
      <c r="AL23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3" s="259" t="str">
        <f>IFERROR(Table7[[#This Row],[No. of Defects Validated]]/SUMIFS(Table3[Hours Worked],Table3[Release Name],Table7[[#This Row],[Release Name]],Table3[Task Type],"Defect Validation")*9,"")</f>
        <v/>
      </c>
      <c r="AN233" s="258" t="str">
        <f>IFERROR((Table7[[#This Row],[No. of Valid  Internal Testing Defects]])/(Table7[[#This Row],[No. of Valid  Internal Testing Defects]]+Table7[[#This Row],[No. of Invalid Internal Testing Defects]]),"")</f>
        <v/>
      </c>
      <c r="AO233" s="258" t="str">
        <f>IFERROR(Table7[[#This Row],[No. of Valid External Testing Defects]]/(Table7[[#This Row],[No. of Valid External Testing Defects]]+Table7[[#This Row],[No. of Valid  Internal Testing Defects]]),"")</f>
        <v/>
      </c>
    </row>
    <row r="234" spans="2:41">
      <c r="B234" s="237"/>
      <c r="C234" s="14"/>
      <c r="D234" s="14"/>
      <c r="E234" s="14"/>
      <c r="F234" s="230" t="str">
        <f>IFERROR((Table47[[#This Row],[Initial No. of Requirements]]+Table47[[#This Row],[Modified Requirements( Added / Deleted /Modified)]])/Table47[[#This Row],[Initial No. of Requirements]],"")</f>
        <v/>
      </c>
      <c r="G23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4" s="249"/>
      <c r="J234" s="249"/>
      <c r="K234" s="250"/>
      <c r="L234" s="250"/>
      <c r="M234" s="250"/>
      <c r="N234" s="248">
        <f>SUMIFS(Table1[Size],Table1[Release Name],[2]!Table7[Release Name])</f>
        <v>0</v>
      </c>
      <c r="O234" s="248"/>
      <c r="P23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4" s="248"/>
      <c r="R23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4" s="248"/>
      <c r="T234" s="248"/>
      <c r="U234" s="248"/>
      <c r="V234" s="248"/>
      <c r="W234" s="248"/>
      <c r="X234" s="248"/>
      <c r="Y234" s="248"/>
      <c r="Z234" s="248"/>
      <c r="AA234" s="248"/>
      <c r="AB234" s="13">
        <f>SUMIFS(Table3[Hours Worked],Table3[Release Name],Table7[[#This Row],[Release Name]],Table3[Task Type],"Testcase Creation")</f>
        <v>0</v>
      </c>
      <c r="AC234" s="255">
        <f>SUMIFS(Table3[Hours Worked],Table3[Release Name],Table7[[#This Row],[Release Name]],Table3[Task Type],"Testcase Execution")</f>
        <v>0</v>
      </c>
      <c r="AD23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4" s="256" t="str">
        <f>IFERROR((Table7[[#This Row],[No. of Valid Internal Review Defects]]+Table7[[#This Row],[No. of Valid  Internal Testing Defects]]+Table7[[#This Row],[No. of  Valid External Review Defects]]+Table7[[#This Row],[No. of Valid External Testing Defects]])/Table7[[#This Row],[Size]],"")</f>
        <v/>
      </c>
      <c r="AF234" s="257" t="str">
        <f>IFERROR(Table7[[#This Row],[No. of Valid Internal Review Defects]]/(Table7[[#This Row],[No. of Valid Internal Review Defects]]+Table7[[#This Row],[No. of  Valid External Review Defects]]+Table7[[#This Row],[No. of Valid  Internal Testing Defects]]+Table7[[#This Row],[No. of Valid External Testing Defects]]),"")</f>
        <v/>
      </c>
      <c r="AG234" s="258" t="str">
        <f>IFERROR(Table7[[#This Row],[No. of Valid Internal Review Defects]]/(Table7[[#This Row],[No. of Valid Internal Review Defects]]+Table7[[#This Row],[No. of  Valid External Review Defects]]+Table7[[#This Row],[No. of Valid External Testing Defects]]),"")</f>
        <v/>
      </c>
      <c r="AH234" s="256" t="str">
        <f>IFERROR(Table7[[#This Row],[No. of Valid  Internal Testing Defects]]/Table7[[#This Row],[Overall Actual Effort for the release]],"")</f>
        <v/>
      </c>
      <c r="AI234" s="256" t="str">
        <f>IFERROR(Table7[[#This Row],[No. of Valid  Internal Testing Defects]]/Table7[[#This Row],[No. of Testcases Executed]],"")</f>
        <v/>
      </c>
      <c r="AJ234" s="259" t="str">
        <f>IFERROR(IFERROR(Table7[[#This Row],[No. of Testcases Created]]/Table7[[#This Row],[Effort for Testcase Creation]],"")*9,"")</f>
        <v/>
      </c>
      <c r="AK234" s="256" t="str">
        <f>IFERROR((Table7[[#This Row],[No. of Testcases Executed]]/Table7[[#This Row],[Effort for Testcase Execution]])*9,"")</f>
        <v/>
      </c>
      <c r="AL23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4" s="259" t="str">
        <f>IFERROR(Table7[[#This Row],[No. of Defects Validated]]/SUMIFS(Table3[Hours Worked],Table3[Release Name],Table7[[#This Row],[Release Name]],Table3[Task Type],"Defect Validation")*9,"")</f>
        <v/>
      </c>
      <c r="AN234" s="258" t="str">
        <f>IFERROR((Table7[[#This Row],[No. of Valid  Internal Testing Defects]])/(Table7[[#This Row],[No. of Valid  Internal Testing Defects]]+Table7[[#This Row],[No. of Invalid Internal Testing Defects]]),"")</f>
        <v/>
      </c>
      <c r="AO234" s="258" t="str">
        <f>IFERROR(Table7[[#This Row],[No. of Valid External Testing Defects]]/(Table7[[#This Row],[No. of Valid External Testing Defects]]+Table7[[#This Row],[No. of Valid  Internal Testing Defects]]),"")</f>
        <v/>
      </c>
    </row>
    <row r="235" spans="2:41">
      <c r="B235" s="237"/>
      <c r="C235" s="14"/>
      <c r="D235" s="14"/>
      <c r="E235" s="14"/>
      <c r="F235" s="230" t="str">
        <f>IFERROR((Table47[[#This Row],[Initial No. of Requirements]]+Table47[[#This Row],[Modified Requirements( Added / Deleted /Modified)]])/Table47[[#This Row],[Initial No. of Requirements]],"")</f>
        <v/>
      </c>
      <c r="G23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5" s="249"/>
      <c r="J235" s="249"/>
      <c r="K235" s="250"/>
      <c r="L235" s="250"/>
      <c r="M235" s="250"/>
      <c r="N235" s="248">
        <f>SUMIFS(Table1[Size],Table1[Release Name],[2]!Table7[Release Name])</f>
        <v>0</v>
      </c>
      <c r="O235" s="248"/>
      <c r="P23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5" s="248"/>
      <c r="R23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5" s="248"/>
      <c r="T235" s="248"/>
      <c r="U235" s="248"/>
      <c r="V235" s="248"/>
      <c r="W235" s="248"/>
      <c r="X235" s="248"/>
      <c r="Y235" s="248"/>
      <c r="Z235" s="248"/>
      <c r="AA235" s="248"/>
      <c r="AB235" s="13">
        <f>SUMIFS(Table3[Hours Worked],Table3[Release Name],Table7[[#This Row],[Release Name]],Table3[Task Type],"Testcase Creation")</f>
        <v>0</v>
      </c>
      <c r="AC235" s="255">
        <f>SUMIFS(Table3[Hours Worked],Table3[Release Name],Table7[[#This Row],[Release Name]],Table3[Task Type],"Testcase Execution")</f>
        <v>0</v>
      </c>
      <c r="AD23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5" s="256" t="str">
        <f>IFERROR((Table7[[#This Row],[No. of Valid Internal Review Defects]]+Table7[[#This Row],[No. of Valid  Internal Testing Defects]]+Table7[[#This Row],[No. of  Valid External Review Defects]]+Table7[[#This Row],[No. of Valid External Testing Defects]])/Table7[[#This Row],[Size]],"")</f>
        <v/>
      </c>
      <c r="AF235" s="257" t="str">
        <f>IFERROR(Table7[[#This Row],[No. of Valid Internal Review Defects]]/(Table7[[#This Row],[No. of Valid Internal Review Defects]]+Table7[[#This Row],[No. of  Valid External Review Defects]]+Table7[[#This Row],[No. of Valid  Internal Testing Defects]]+Table7[[#This Row],[No. of Valid External Testing Defects]]),"")</f>
        <v/>
      </c>
      <c r="AG235" s="258" t="str">
        <f>IFERROR(Table7[[#This Row],[No. of Valid Internal Review Defects]]/(Table7[[#This Row],[No. of Valid Internal Review Defects]]+Table7[[#This Row],[No. of  Valid External Review Defects]]+Table7[[#This Row],[No. of Valid External Testing Defects]]),"")</f>
        <v/>
      </c>
      <c r="AH235" s="256" t="str">
        <f>IFERROR(Table7[[#This Row],[No. of Valid  Internal Testing Defects]]/Table7[[#This Row],[Overall Actual Effort for the release]],"")</f>
        <v/>
      </c>
      <c r="AI235" s="256" t="str">
        <f>IFERROR(Table7[[#This Row],[No. of Valid  Internal Testing Defects]]/Table7[[#This Row],[No. of Testcases Executed]],"")</f>
        <v/>
      </c>
      <c r="AJ235" s="259" t="str">
        <f>IFERROR(IFERROR(Table7[[#This Row],[No. of Testcases Created]]/Table7[[#This Row],[Effort for Testcase Creation]],"")*9,"")</f>
        <v/>
      </c>
      <c r="AK235" s="256" t="str">
        <f>IFERROR((Table7[[#This Row],[No. of Testcases Executed]]/Table7[[#This Row],[Effort for Testcase Execution]])*9,"")</f>
        <v/>
      </c>
      <c r="AL23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5" s="259" t="str">
        <f>IFERROR(Table7[[#This Row],[No. of Defects Validated]]/SUMIFS(Table3[Hours Worked],Table3[Release Name],Table7[[#This Row],[Release Name]],Table3[Task Type],"Defect Validation")*9,"")</f>
        <v/>
      </c>
      <c r="AN235" s="258" t="str">
        <f>IFERROR((Table7[[#This Row],[No. of Valid  Internal Testing Defects]])/(Table7[[#This Row],[No. of Valid  Internal Testing Defects]]+Table7[[#This Row],[No. of Invalid Internal Testing Defects]]),"")</f>
        <v/>
      </c>
      <c r="AO235" s="258" t="str">
        <f>IFERROR(Table7[[#This Row],[No. of Valid External Testing Defects]]/(Table7[[#This Row],[No. of Valid External Testing Defects]]+Table7[[#This Row],[No. of Valid  Internal Testing Defects]]),"")</f>
        <v/>
      </c>
    </row>
    <row r="236" spans="2:41">
      <c r="B236" s="237"/>
      <c r="C236" s="14"/>
      <c r="D236" s="14"/>
      <c r="E236" s="14"/>
      <c r="F236" s="230" t="str">
        <f>IFERROR((Table47[[#This Row],[Initial No. of Requirements]]+Table47[[#This Row],[Modified Requirements( Added / Deleted /Modified)]])/Table47[[#This Row],[Initial No. of Requirements]],"")</f>
        <v/>
      </c>
      <c r="G23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6" s="249"/>
      <c r="J236" s="249"/>
      <c r="K236" s="250"/>
      <c r="L236" s="250"/>
      <c r="M236" s="250"/>
      <c r="N236" s="248">
        <f>SUMIFS(Table1[Size],Table1[Release Name],[2]!Table7[Release Name])</f>
        <v>0</v>
      </c>
      <c r="O236" s="248"/>
      <c r="P23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6" s="248"/>
      <c r="R23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6" s="248"/>
      <c r="T236" s="248"/>
      <c r="U236" s="248"/>
      <c r="V236" s="248"/>
      <c r="W236" s="248"/>
      <c r="X236" s="248"/>
      <c r="Y236" s="248"/>
      <c r="Z236" s="248"/>
      <c r="AA236" s="248"/>
      <c r="AB236" s="13">
        <f>SUMIFS(Table3[Hours Worked],Table3[Release Name],Table7[[#This Row],[Release Name]],Table3[Task Type],"Testcase Creation")</f>
        <v>0</v>
      </c>
      <c r="AC236" s="255">
        <f>SUMIFS(Table3[Hours Worked],Table3[Release Name],Table7[[#This Row],[Release Name]],Table3[Task Type],"Testcase Execution")</f>
        <v>0</v>
      </c>
      <c r="AD23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6" s="256" t="str">
        <f>IFERROR((Table7[[#This Row],[No. of Valid Internal Review Defects]]+Table7[[#This Row],[No. of Valid  Internal Testing Defects]]+Table7[[#This Row],[No. of  Valid External Review Defects]]+Table7[[#This Row],[No. of Valid External Testing Defects]])/Table7[[#This Row],[Size]],"")</f>
        <v/>
      </c>
      <c r="AF236" s="257" t="str">
        <f>IFERROR(Table7[[#This Row],[No. of Valid Internal Review Defects]]/(Table7[[#This Row],[No. of Valid Internal Review Defects]]+Table7[[#This Row],[No. of  Valid External Review Defects]]+Table7[[#This Row],[No. of Valid  Internal Testing Defects]]+Table7[[#This Row],[No. of Valid External Testing Defects]]),"")</f>
        <v/>
      </c>
      <c r="AG236" s="258" t="str">
        <f>IFERROR(Table7[[#This Row],[No. of Valid Internal Review Defects]]/(Table7[[#This Row],[No. of Valid Internal Review Defects]]+Table7[[#This Row],[No. of  Valid External Review Defects]]+Table7[[#This Row],[No. of Valid External Testing Defects]]),"")</f>
        <v/>
      </c>
      <c r="AH236" s="256" t="str">
        <f>IFERROR(Table7[[#This Row],[No. of Valid  Internal Testing Defects]]/Table7[[#This Row],[Overall Actual Effort for the release]],"")</f>
        <v/>
      </c>
      <c r="AI236" s="256" t="str">
        <f>IFERROR(Table7[[#This Row],[No. of Valid  Internal Testing Defects]]/Table7[[#This Row],[No. of Testcases Executed]],"")</f>
        <v/>
      </c>
      <c r="AJ236" s="259" t="str">
        <f>IFERROR(IFERROR(Table7[[#This Row],[No. of Testcases Created]]/Table7[[#This Row],[Effort for Testcase Creation]],"")*9,"")</f>
        <v/>
      </c>
      <c r="AK236" s="256" t="str">
        <f>IFERROR((Table7[[#This Row],[No. of Testcases Executed]]/Table7[[#This Row],[Effort for Testcase Execution]])*9,"")</f>
        <v/>
      </c>
      <c r="AL23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6" s="259" t="str">
        <f>IFERROR(Table7[[#This Row],[No. of Defects Validated]]/SUMIFS(Table3[Hours Worked],Table3[Release Name],Table7[[#This Row],[Release Name]],Table3[Task Type],"Defect Validation")*9,"")</f>
        <v/>
      </c>
      <c r="AN236" s="258" t="str">
        <f>IFERROR((Table7[[#This Row],[No. of Valid  Internal Testing Defects]])/(Table7[[#This Row],[No. of Valid  Internal Testing Defects]]+Table7[[#This Row],[No. of Invalid Internal Testing Defects]]),"")</f>
        <v/>
      </c>
      <c r="AO236" s="258" t="str">
        <f>IFERROR(Table7[[#This Row],[No. of Valid External Testing Defects]]/(Table7[[#This Row],[No. of Valid External Testing Defects]]+Table7[[#This Row],[No. of Valid  Internal Testing Defects]]),"")</f>
        <v/>
      </c>
    </row>
    <row r="237" spans="2:41">
      <c r="B237" s="237"/>
      <c r="C237" s="14"/>
      <c r="D237" s="14"/>
      <c r="E237" s="14"/>
      <c r="F237" s="230" t="str">
        <f>IFERROR((Table47[[#This Row],[Initial No. of Requirements]]+Table47[[#This Row],[Modified Requirements( Added / Deleted /Modified)]])/Table47[[#This Row],[Initial No. of Requirements]],"")</f>
        <v/>
      </c>
      <c r="G23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7" s="249"/>
      <c r="J237" s="249"/>
      <c r="K237" s="250"/>
      <c r="L237" s="250"/>
      <c r="M237" s="250"/>
      <c r="N237" s="248">
        <f>SUMIFS(Table1[Size],Table1[Release Name],[2]!Table7[Release Name])</f>
        <v>0</v>
      </c>
      <c r="O237" s="248"/>
      <c r="P23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7" s="248"/>
      <c r="R23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7" s="248"/>
      <c r="T237" s="248"/>
      <c r="U237" s="248"/>
      <c r="V237" s="248"/>
      <c r="W237" s="248"/>
      <c r="X237" s="248"/>
      <c r="Y237" s="248"/>
      <c r="Z237" s="248"/>
      <c r="AA237" s="248"/>
      <c r="AB237" s="13">
        <f>SUMIFS(Table3[Hours Worked],Table3[Release Name],Table7[[#This Row],[Release Name]],Table3[Task Type],"Testcase Creation")</f>
        <v>0</v>
      </c>
      <c r="AC237" s="255">
        <f>SUMIFS(Table3[Hours Worked],Table3[Release Name],Table7[[#This Row],[Release Name]],Table3[Task Type],"Testcase Execution")</f>
        <v>0</v>
      </c>
      <c r="AD23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7" s="256" t="str">
        <f>IFERROR((Table7[[#This Row],[No. of Valid Internal Review Defects]]+Table7[[#This Row],[No. of Valid  Internal Testing Defects]]+Table7[[#This Row],[No. of  Valid External Review Defects]]+Table7[[#This Row],[No. of Valid External Testing Defects]])/Table7[[#This Row],[Size]],"")</f>
        <v/>
      </c>
      <c r="AF237" s="257" t="str">
        <f>IFERROR(Table7[[#This Row],[No. of Valid Internal Review Defects]]/(Table7[[#This Row],[No. of Valid Internal Review Defects]]+Table7[[#This Row],[No. of  Valid External Review Defects]]+Table7[[#This Row],[No. of Valid  Internal Testing Defects]]+Table7[[#This Row],[No. of Valid External Testing Defects]]),"")</f>
        <v/>
      </c>
      <c r="AG237" s="258" t="str">
        <f>IFERROR(Table7[[#This Row],[No. of Valid Internal Review Defects]]/(Table7[[#This Row],[No. of Valid Internal Review Defects]]+Table7[[#This Row],[No. of  Valid External Review Defects]]+Table7[[#This Row],[No. of Valid External Testing Defects]]),"")</f>
        <v/>
      </c>
      <c r="AH237" s="256" t="str">
        <f>IFERROR(Table7[[#This Row],[No. of Valid  Internal Testing Defects]]/Table7[[#This Row],[Overall Actual Effort for the release]],"")</f>
        <v/>
      </c>
      <c r="AI237" s="256" t="str">
        <f>IFERROR(Table7[[#This Row],[No. of Valid  Internal Testing Defects]]/Table7[[#This Row],[No. of Testcases Executed]],"")</f>
        <v/>
      </c>
      <c r="AJ237" s="259" t="str">
        <f>IFERROR(IFERROR(Table7[[#This Row],[No. of Testcases Created]]/Table7[[#This Row],[Effort for Testcase Creation]],"")*9,"")</f>
        <v/>
      </c>
      <c r="AK237" s="256" t="str">
        <f>IFERROR((Table7[[#This Row],[No. of Testcases Executed]]/Table7[[#This Row],[Effort for Testcase Execution]])*9,"")</f>
        <v/>
      </c>
      <c r="AL23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7" s="259" t="str">
        <f>IFERROR(Table7[[#This Row],[No. of Defects Validated]]/SUMIFS(Table3[Hours Worked],Table3[Release Name],Table7[[#This Row],[Release Name]],Table3[Task Type],"Defect Validation")*9,"")</f>
        <v/>
      </c>
      <c r="AN237" s="258" t="str">
        <f>IFERROR((Table7[[#This Row],[No. of Valid  Internal Testing Defects]])/(Table7[[#This Row],[No. of Valid  Internal Testing Defects]]+Table7[[#This Row],[No. of Invalid Internal Testing Defects]]),"")</f>
        <v/>
      </c>
      <c r="AO237" s="258" t="str">
        <f>IFERROR(Table7[[#This Row],[No. of Valid External Testing Defects]]/(Table7[[#This Row],[No. of Valid External Testing Defects]]+Table7[[#This Row],[No. of Valid  Internal Testing Defects]]),"")</f>
        <v/>
      </c>
    </row>
    <row r="238" spans="2:41">
      <c r="B238" s="237"/>
      <c r="C238" s="14"/>
      <c r="D238" s="14"/>
      <c r="E238" s="14"/>
      <c r="F238" s="230" t="str">
        <f>IFERROR((Table47[[#This Row],[Initial No. of Requirements]]+Table47[[#This Row],[Modified Requirements( Added / Deleted /Modified)]])/Table47[[#This Row],[Initial No. of Requirements]],"")</f>
        <v/>
      </c>
      <c r="G23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8" s="249"/>
      <c r="J238" s="249"/>
      <c r="K238" s="250"/>
      <c r="L238" s="250"/>
      <c r="M238" s="250"/>
      <c r="N238" s="248">
        <f>SUMIFS(Table1[Size],Table1[Release Name],[2]!Table7[Release Name])</f>
        <v>0</v>
      </c>
      <c r="O238" s="248"/>
      <c r="P23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8" s="248"/>
      <c r="R23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8" s="248"/>
      <c r="T238" s="248"/>
      <c r="U238" s="248"/>
      <c r="V238" s="248"/>
      <c r="W238" s="248"/>
      <c r="X238" s="248"/>
      <c r="Y238" s="248"/>
      <c r="Z238" s="248"/>
      <c r="AA238" s="248"/>
      <c r="AB238" s="13">
        <f>SUMIFS(Table3[Hours Worked],Table3[Release Name],Table7[[#This Row],[Release Name]],Table3[Task Type],"Testcase Creation")</f>
        <v>0</v>
      </c>
      <c r="AC238" s="255">
        <f>SUMIFS(Table3[Hours Worked],Table3[Release Name],Table7[[#This Row],[Release Name]],Table3[Task Type],"Testcase Execution")</f>
        <v>0</v>
      </c>
      <c r="AD23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8" s="256" t="str">
        <f>IFERROR((Table7[[#This Row],[No. of Valid Internal Review Defects]]+Table7[[#This Row],[No. of Valid  Internal Testing Defects]]+Table7[[#This Row],[No. of  Valid External Review Defects]]+Table7[[#This Row],[No. of Valid External Testing Defects]])/Table7[[#This Row],[Size]],"")</f>
        <v/>
      </c>
      <c r="AF238" s="257" t="str">
        <f>IFERROR(Table7[[#This Row],[No. of Valid Internal Review Defects]]/(Table7[[#This Row],[No. of Valid Internal Review Defects]]+Table7[[#This Row],[No. of  Valid External Review Defects]]+Table7[[#This Row],[No. of Valid  Internal Testing Defects]]+Table7[[#This Row],[No. of Valid External Testing Defects]]),"")</f>
        <v/>
      </c>
      <c r="AG238" s="258" t="str">
        <f>IFERROR(Table7[[#This Row],[No. of Valid Internal Review Defects]]/(Table7[[#This Row],[No. of Valid Internal Review Defects]]+Table7[[#This Row],[No. of  Valid External Review Defects]]+Table7[[#This Row],[No. of Valid External Testing Defects]]),"")</f>
        <v/>
      </c>
      <c r="AH238" s="256" t="str">
        <f>IFERROR(Table7[[#This Row],[No. of Valid  Internal Testing Defects]]/Table7[[#This Row],[Overall Actual Effort for the release]],"")</f>
        <v/>
      </c>
      <c r="AI238" s="256" t="str">
        <f>IFERROR(Table7[[#This Row],[No. of Valid  Internal Testing Defects]]/Table7[[#This Row],[No. of Testcases Executed]],"")</f>
        <v/>
      </c>
      <c r="AJ238" s="259" t="str">
        <f>IFERROR(IFERROR(Table7[[#This Row],[No. of Testcases Created]]/Table7[[#This Row],[Effort for Testcase Creation]],"")*9,"")</f>
        <v/>
      </c>
      <c r="AK238" s="256" t="str">
        <f>IFERROR((Table7[[#This Row],[No. of Testcases Executed]]/Table7[[#This Row],[Effort for Testcase Execution]])*9,"")</f>
        <v/>
      </c>
      <c r="AL23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8" s="259" t="str">
        <f>IFERROR(Table7[[#This Row],[No. of Defects Validated]]/SUMIFS(Table3[Hours Worked],Table3[Release Name],Table7[[#This Row],[Release Name]],Table3[Task Type],"Defect Validation")*9,"")</f>
        <v/>
      </c>
      <c r="AN238" s="258" t="str">
        <f>IFERROR((Table7[[#This Row],[No. of Valid  Internal Testing Defects]])/(Table7[[#This Row],[No. of Valid  Internal Testing Defects]]+Table7[[#This Row],[No. of Invalid Internal Testing Defects]]),"")</f>
        <v/>
      </c>
      <c r="AO238" s="258" t="str">
        <f>IFERROR(Table7[[#This Row],[No. of Valid External Testing Defects]]/(Table7[[#This Row],[No. of Valid External Testing Defects]]+Table7[[#This Row],[No. of Valid  Internal Testing Defects]]),"")</f>
        <v/>
      </c>
    </row>
    <row r="239" spans="2:41">
      <c r="B239" s="237"/>
      <c r="C239" s="14"/>
      <c r="D239" s="14"/>
      <c r="E239" s="14"/>
      <c r="F239" s="230" t="str">
        <f>IFERROR((Table47[[#This Row],[Initial No. of Requirements]]+Table47[[#This Row],[Modified Requirements( Added / Deleted /Modified)]])/Table47[[#This Row],[Initial No. of Requirements]],"")</f>
        <v/>
      </c>
      <c r="G23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39" s="249"/>
      <c r="J239" s="249"/>
      <c r="K239" s="250"/>
      <c r="L239" s="250"/>
      <c r="M239" s="250"/>
      <c r="N239" s="248">
        <f>SUMIFS(Table1[Size],Table1[Release Name],[2]!Table7[Release Name])</f>
        <v>0</v>
      </c>
      <c r="O239" s="248"/>
      <c r="P23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39" s="248"/>
      <c r="R23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39" s="248"/>
      <c r="T239" s="248"/>
      <c r="U239" s="248"/>
      <c r="V239" s="248"/>
      <c r="W239" s="248"/>
      <c r="X239" s="248"/>
      <c r="Y239" s="248"/>
      <c r="Z239" s="248"/>
      <c r="AA239" s="248"/>
      <c r="AB239" s="13">
        <f>SUMIFS(Table3[Hours Worked],Table3[Release Name],Table7[[#This Row],[Release Name]],Table3[Task Type],"Testcase Creation")</f>
        <v>0</v>
      </c>
      <c r="AC239" s="255">
        <f>SUMIFS(Table3[Hours Worked],Table3[Release Name],Table7[[#This Row],[Release Name]],Table3[Task Type],"Testcase Execution")</f>
        <v>0</v>
      </c>
      <c r="AD23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39" s="256" t="str">
        <f>IFERROR((Table7[[#This Row],[No. of Valid Internal Review Defects]]+Table7[[#This Row],[No. of Valid  Internal Testing Defects]]+Table7[[#This Row],[No. of  Valid External Review Defects]]+Table7[[#This Row],[No. of Valid External Testing Defects]])/Table7[[#This Row],[Size]],"")</f>
        <v/>
      </c>
      <c r="AF239" s="257" t="str">
        <f>IFERROR(Table7[[#This Row],[No. of Valid Internal Review Defects]]/(Table7[[#This Row],[No. of Valid Internal Review Defects]]+Table7[[#This Row],[No. of  Valid External Review Defects]]+Table7[[#This Row],[No. of Valid  Internal Testing Defects]]+Table7[[#This Row],[No. of Valid External Testing Defects]]),"")</f>
        <v/>
      </c>
      <c r="AG239" s="258" t="str">
        <f>IFERROR(Table7[[#This Row],[No. of Valid Internal Review Defects]]/(Table7[[#This Row],[No. of Valid Internal Review Defects]]+Table7[[#This Row],[No. of  Valid External Review Defects]]+Table7[[#This Row],[No. of Valid External Testing Defects]]),"")</f>
        <v/>
      </c>
      <c r="AH239" s="256" t="str">
        <f>IFERROR(Table7[[#This Row],[No. of Valid  Internal Testing Defects]]/Table7[[#This Row],[Overall Actual Effort for the release]],"")</f>
        <v/>
      </c>
      <c r="AI239" s="256" t="str">
        <f>IFERROR(Table7[[#This Row],[No. of Valid  Internal Testing Defects]]/Table7[[#This Row],[No. of Testcases Executed]],"")</f>
        <v/>
      </c>
      <c r="AJ239" s="259" t="str">
        <f>IFERROR(IFERROR(Table7[[#This Row],[No. of Testcases Created]]/Table7[[#This Row],[Effort for Testcase Creation]],"")*9,"")</f>
        <v/>
      </c>
      <c r="AK239" s="256" t="str">
        <f>IFERROR((Table7[[#This Row],[No. of Testcases Executed]]/Table7[[#This Row],[Effort for Testcase Execution]])*9,"")</f>
        <v/>
      </c>
      <c r="AL23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39" s="259" t="str">
        <f>IFERROR(Table7[[#This Row],[No. of Defects Validated]]/SUMIFS(Table3[Hours Worked],Table3[Release Name],Table7[[#This Row],[Release Name]],Table3[Task Type],"Defect Validation")*9,"")</f>
        <v/>
      </c>
      <c r="AN239" s="258" t="str">
        <f>IFERROR((Table7[[#This Row],[No. of Valid  Internal Testing Defects]])/(Table7[[#This Row],[No. of Valid  Internal Testing Defects]]+Table7[[#This Row],[No. of Invalid Internal Testing Defects]]),"")</f>
        <v/>
      </c>
      <c r="AO239" s="258" t="str">
        <f>IFERROR(Table7[[#This Row],[No. of Valid External Testing Defects]]/(Table7[[#This Row],[No. of Valid External Testing Defects]]+Table7[[#This Row],[No. of Valid  Internal Testing Defects]]),"")</f>
        <v/>
      </c>
    </row>
    <row r="240" spans="2:41">
      <c r="B240" s="237"/>
      <c r="C240" s="14"/>
      <c r="D240" s="14"/>
      <c r="E240" s="14"/>
      <c r="F240" s="230" t="str">
        <f>IFERROR((Table47[[#This Row],[Initial No. of Requirements]]+Table47[[#This Row],[Modified Requirements( Added / Deleted /Modified)]])/Table47[[#This Row],[Initial No. of Requirements]],"")</f>
        <v/>
      </c>
      <c r="G24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0" s="249"/>
      <c r="J240" s="249"/>
      <c r="K240" s="250"/>
      <c r="L240" s="250"/>
      <c r="M240" s="250"/>
      <c r="N240" s="248">
        <f>SUMIFS(Table1[Size],Table1[Release Name],[2]!Table7[Release Name])</f>
        <v>0</v>
      </c>
      <c r="O240" s="248"/>
      <c r="P24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0" s="248"/>
      <c r="R24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0" s="248"/>
      <c r="T240" s="248"/>
      <c r="U240" s="248"/>
      <c r="V240" s="248"/>
      <c r="W240" s="248"/>
      <c r="X240" s="248"/>
      <c r="Y240" s="248"/>
      <c r="Z240" s="248"/>
      <c r="AA240" s="248"/>
      <c r="AB240" s="13">
        <f>SUMIFS(Table3[Hours Worked],Table3[Release Name],Table7[[#This Row],[Release Name]],Table3[Task Type],"Testcase Creation")</f>
        <v>0</v>
      </c>
      <c r="AC240" s="255">
        <f>SUMIFS(Table3[Hours Worked],Table3[Release Name],Table7[[#This Row],[Release Name]],Table3[Task Type],"Testcase Execution")</f>
        <v>0</v>
      </c>
      <c r="AD24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0" s="256" t="str">
        <f>IFERROR((Table7[[#This Row],[No. of Valid Internal Review Defects]]+Table7[[#This Row],[No. of Valid  Internal Testing Defects]]+Table7[[#This Row],[No. of  Valid External Review Defects]]+Table7[[#This Row],[No. of Valid External Testing Defects]])/Table7[[#This Row],[Size]],"")</f>
        <v/>
      </c>
      <c r="AF240" s="257" t="str">
        <f>IFERROR(Table7[[#This Row],[No. of Valid Internal Review Defects]]/(Table7[[#This Row],[No. of Valid Internal Review Defects]]+Table7[[#This Row],[No. of  Valid External Review Defects]]+Table7[[#This Row],[No. of Valid  Internal Testing Defects]]+Table7[[#This Row],[No. of Valid External Testing Defects]]),"")</f>
        <v/>
      </c>
      <c r="AG240" s="258" t="str">
        <f>IFERROR(Table7[[#This Row],[No. of Valid Internal Review Defects]]/(Table7[[#This Row],[No. of Valid Internal Review Defects]]+Table7[[#This Row],[No. of  Valid External Review Defects]]+Table7[[#This Row],[No. of Valid External Testing Defects]]),"")</f>
        <v/>
      </c>
      <c r="AH240" s="256" t="str">
        <f>IFERROR(Table7[[#This Row],[No. of Valid  Internal Testing Defects]]/Table7[[#This Row],[Overall Actual Effort for the release]],"")</f>
        <v/>
      </c>
      <c r="AI240" s="256" t="str">
        <f>IFERROR(Table7[[#This Row],[No. of Valid  Internal Testing Defects]]/Table7[[#This Row],[No. of Testcases Executed]],"")</f>
        <v/>
      </c>
      <c r="AJ240" s="259" t="str">
        <f>IFERROR(IFERROR(Table7[[#This Row],[No. of Testcases Created]]/Table7[[#This Row],[Effort for Testcase Creation]],"")*9,"")</f>
        <v/>
      </c>
      <c r="AK240" s="256" t="str">
        <f>IFERROR((Table7[[#This Row],[No. of Testcases Executed]]/Table7[[#This Row],[Effort for Testcase Execution]])*9,"")</f>
        <v/>
      </c>
      <c r="AL24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0" s="259" t="str">
        <f>IFERROR(Table7[[#This Row],[No. of Defects Validated]]/SUMIFS(Table3[Hours Worked],Table3[Release Name],Table7[[#This Row],[Release Name]],Table3[Task Type],"Defect Validation")*9,"")</f>
        <v/>
      </c>
      <c r="AN240" s="258" t="str">
        <f>IFERROR((Table7[[#This Row],[No. of Valid  Internal Testing Defects]])/(Table7[[#This Row],[No. of Valid  Internal Testing Defects]]+Table7[[#This Row],[No. of Invalid Internal Testing Defects]]),"")</f>
        <v/>
      </c>
      <c r="AO240" s="258" t="str">
        <f>IFERROR(Table7[[#This Row],[No. of Valid External Testing Defects]]/(Table7[[#This Row],[No. of Valid External Testing Defects]]+Table7[[#This Row],[No. of Valid  Internal Testing Defects]]),"")</f>
        <v/>
      </c>
    </row>
    <row r="241" spans="2:41">
      <c r="B241" s="237"/>
      <c r="C241" s="14"/>
      <c r="D241" s="14"/>
      <c r="E241" s="14"/>
      <c r="F241" s="230" t="str">
        <f>IFERROR((Table47[[#This Row],[Initial No. of Requirements]]+Table47[[#This Row],[Modified Requirements( Added / Deleted /Modified)]])/Table47[[#This Row],[Initial No. of Requirements]],"")</f>
        <v/>
      </c>
      <c r="G24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1" s="249"/>
      <c r="J241" s="249"/>
      <c r="K241" s="250"/>
      <c r="L241" s="250"/>
      <c r="M241" s="250"/>
      <c r="N241" s="248">
        <f>SUMIFS(Table1[Size],Table1[Release Name],[2]!Table7[Release Name])</f>
        <v>0</v>
      </c>
      <c r="O241" s="248"/>
      <c r="P24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1" s="248"/>
      <c r="R24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1" s="248"/>
      <c r="T241" s="248"/>
      <c r="U241" s="248"/>
      <c r="V241" s="248"/>
      <c r="W241" s="248"/>
      <c r="X241" s="248"/>
      <c r="Y241" s="248"/>
      <c r="Z241" s="248"/>
      <c r="AA241" s="248"/>
      <c r="AB241" s="13">
        <f>SUMIFS(Table3[Hours Worked],Table3[Release Name],Table7[[#This Row],[Release Name]],Table3[Task Type],"Testcase Creation")</f>
        <v>0</v>
      </c>
      <c r="AC241" s="255">
        <f>SUMIFS(Table3[Hours Worked],Table3[Release Name],Table7[[#This Row],[Release Name]],Table3[Task Type],"Testcase Execution")</f>
        <v>0</v>
      </c>
      <c r="AD24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1" s="256" t="str">
        <f>IFERROR((Table7[[#This Row],[No. of Valid Internal Review Defects]]+Table7[[#This Row],[No. of Valid  Internal Testing Defects]]+Table7[[#This Row],[No. of  Valid External Review Defects]]+Table7[[#This Row],[No. of Valid External Testing Defects]])/Table7[[#This Row],[Size]],"")</f>
        <v/>
      </c>
      <c r="AF241" s="257" t="str">
        <f>IFERROR(Table7[[#This Row],[No. of Valid Internal Review Defects]]/(Table7[[#This Row],[No. of Valid Internal Review Defects]]+Table7[[#This Row],[No. of  Valid External Review Defects]]+Table7[[#This Row],[No. of Valid  Internal Testing Defects]]+Table7[[#This Row],[No. of Valid External Testing Defects]]),"")</f>
        <v/>
      </c>
      <c r="AG241" s="258" t="str">
        <f>IFERROR(Table7[[#This Row],[No. of Valid Internal Review Defects]]/(Table7[[#This Row],[No. of Valid Internal Review Defects]]+Table7[[#This Row],[No. of  Valid External Review Defects]]+Table7[[#This Row],[No. of Valid External Testing Defects]]),"")</f>
        <v/>
      </c>
      <c r="AH241" s="256" t="str">
        <f>IFERROR(Table7[[#This Row],[No. of Valid  Internal Testing Defects]]/Table7[[#This Row],[Overall Actual Effort for the release]],"")</f>
        <v/>
      </c>
      <c r="AI241" s="256" t="str">
        <f>IFERROR(Table7[[#This Row],[No. of Valid  Internal Testing Defects]]/Table7[[#This Row],[No. of Testcases Executed]],"")</f>
        <v/>
      </c>
      <c r="AJ241" s="259" t="str">
        <f>IFERROR(IFERROR(Table7[[#This Row],[No. of Testcases Created]]/Table7[[#This Row],[Effort for Testcase Creation]],"")*9,"")</f>
        <v/>
      </c>
      <c r="AK241" s="256" t="str">
        <f>IFERROR((Table7[[#This Row],[No. of Testcases Executed]]/Table7[[#This Row],[Effort for Testcase Execution]])*9,"")</f>
        <v/>
      </c>
      <c r="AL24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1" s="259" t="str">
        <f>IFERROR(Table7[[#This Row],[No. of Defects Validated]]/SUMIFS(Table3[Hours Worked],Table3[Release Name],Table7[[#This Row],[Release Name]],Table3[Task Type],"Defect Validation")*9,"")</f>
        <v/>
      </c>
      <c r="AN241" s="258" t="str">
        <f>IFERROR((Table7[[#This Row],[No. of Valid  Internal Testing Defects]])/(Table7[[#This Row],[No. of Valid  Internal Testing Defects]]+Table7[[#This Row],[No. of Invalid Internal Testing Defects]]),"")</f>
        <v/>
      </c>
      <c r="AO241" s="258" t="str">
        <f>IFERROR(Table7[[#This Row],[No. of Valid External Testing Defects]]/(Table7[[#This Row],[No. of Valid External Testing Defects]]+Table7[[#This Row],[No. of Valid  Internal Testing Defects]]),"")</f>
        <v/>
      </c>
    </row>
    <row r="242" spans="2:41">
      <c r="B242" s="237"/>
      <c r="C242" s="14"/>
      <c r="D242" s="14"/>
      <c r="E242" s="14"/>
      <c r="F242" s="230" t="str">
        <f>IFERROR((Table47[[#This Row],[Initial No. of Requirements]]+Table47[[#This Row],[Modified Requirements( Added / Deleted /Modified)]])/Table47[[#This Row],[Initial No. of Requirements]],"")</f>
        <v/>
      </c>
      <c r="G24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2" s="249"/>
      <c r="J242" s="249"/>
      <c r="K242" s="250"/>
      <c r="L242" s="250"/>
      <c r="M242" s="250"/>
      <c r="N242" s="248">
        <f>SUMIFS(Table1[Size],Table1[Release Name],[2]!Table7[Release Name])</f>
        <v>0</v>
      </c>
      <c r="O242" s="248"/>
      <c r="P24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2" s="248"/>
      <c r="R24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2" s="248"/>
      <c r="T242" s="248"/>
      <c r="U242" s="248"/>
      <c r="V242" s="248"/>
      <c r="W242" s="248"/>
      <c r="X242" s="248"/>
      <c r="Y242" s="248"/>
      <c r="Z242" s="248"/>
      <c r="AA242" s="248"/>
      <c r="AB242" s="13">
        <f>SUMIFS(Table3[Hours Worked],Table3[Release Name],Table7[[#This Row],[Release Name]],Table3[Task Type],"Testcase Creation")</f>
        <v>0</v>
      </c>
      <c r="AC242" s="255">
        <f>SUMIFS(Table3[Hours Worked],Table3[Release Name],Table7[[#This Row],[Release Name]],Table3[Task Type],"Testcase Execution")</f>
        <v>0</v>
      </c>
      <c r="AD24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2" s="256" t="str">
        <f>IFERROR((Table7[[#This Row],[No. of Valid Internal Review Defects]]+Table7[[#This Row],[No. of Valid  Internal Testing Defects]]+Table7[[#This Row],[No. of  Valid External Review Defects]]+Table7[[#This Row],[No. of Valid External Testing Defects]])/Table7[[#This Row],[Size]],"")</f>
        <v/>
      </c>
      <c r="AF242" s="257" t="str">
        <f>IFERROR(Table7[[#This Row],[No. of Valid Internal Review Defects]]/(Table7[[#This Row],[No. of Valid Internal Review Defects]]+Table7[[#This Row],[No. of  Valid External Review Defects]]+Table7[[#This Row],[No. of Valid  Internal Testing Defects]]+Table7[[#This Row],[No. of Valid External Testing Defects]]),"")</f>
        <v/>
      </c>
      <c r="AG242" s="258" t="str">
        <f>IFERROR(Table7[[#This Row],[No. of Valid Internal Review Defects]]/(Table7[[#This Row],[No. of Valid Internal Review Defects]]+Table7[[#This Row],[No. of  Valid External Review Defects]]+Table7[[#This Row],[No. of Valid External Testing Defects]]),"")</f>
        <v/>
      </c>
      <c r="AH242" s="256" t="str">
        <f>IFERROR(Table7[[#This Row],[No. of Valid  Internal Testing Defects]]/Table7[[#This Row],[Overall Actual Effort for the release]],"")</f>
        <v/>
      </c>
      <c r="AI242" s="256" t="str">
        <f>IFERROR(Table7[[#This Row],[No. of Valid  Internal Testing Defects]]/Table7[[#This Row],[No. of Testcases Executed]],"")</f>
        <v/>
      </c>
      <c r="AJ242" s="259" t="str">
        <f>IFERROR(IFERROR(Table7[[#This Row],[No. of Testcases Created]]/Table7[[#This Row],[Effort for Testcase Creation]],"")*9,"")</f>
        <v/>
      </c>
      <c r="AK242" s="256" t="str">
        <f>IFERROR((Table7[[#This Row],[No. of Testcases Executed]]/Table7[[#This Row],[Effort for Testcase Execution]])*9,"")</f>
        <v/>
      </c>
      <c r="AL24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2" s="259" t="str">
        <f>IFERROR(Table7[[#This Row],[No. of Defects Validated]]/SUMIFS(Table3[Hours Worked],Table3[Release Name],Table7[[#This Row],[Release Name]],Table3[Task Type],"Defect Validation")*9,"")</f>
        <v/>
      </c>
      <c r="AN242" s="258" t="str">
        <f>IFERROR((Table7[[#This Row],[No. of Valid  Internal Testing Defects]])/(Table7[[#This Row],[No. of Valid  Internal Testing Defects]]+Table7[[#This Row],[No. of Invalid Internal Testing Defects]]),"")</f>
        <v/>
      </c>
      <c r="AO242" s="258" t="str">
        <f>IFERROR(Table7[[#This Row],[No. of Valid External Testing Defects]]/(Table7[[#This Row],[No. of Valid External Testing Defects]]+Table7[[#This Row],[No. of Valid  Internal Testing Defects]]),"")</f>
        <v/>
      </c>
    </row>
    <row r="243" spans="2:41">
      <c r="B243" s="237"/>
      <c r="C243" s="14"/>
      <c r="D243" s="14"/>
      <c r="E243" s="14"/>
      <c r="F243" s="230" t="str">
        <f>IFERROR((Table47[[#This Row],[Initial No. of Requirements]]+Table47[[#This Row],[Modified Requirements( Added / Deleted /Modified)]])/Table47[[#This Row],[Initial No. of Requirements]],"")</f>
        <v/>
      </c>
      <c r="G24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3" s="249"/>
      <c r="J243" s="249"/>
      <c r="K243" s="250"/>
      <c r="L243" s="250"/>
      <c r="M243" s="250"/>
      <c r="N243" s="248">
        <f>SUMIFS(Table1[Size],Table1[Release Name],[2]!Table7[Release Name])</f>
        <v>0</v>
      </c>
      <c r="O243" s="248"/>
      <c r="P24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3" s="248"/>
      <c r="R24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3" s="248"/>
      <c r="T243" s="248"/>
      <c r="U243" s="248"/>
      <c r="V243" s="248"/>
      <c r="W243" s="248"/>
      <c r="X243" s="248"/>
      <c r="Y243" s="248"/>
      <c r="Z243" s="248"/>
      <c r="AA243" s="248"/>
      <c r="AB243" s="13">
        <f>SUMIFS(Table3[Hours Worked],Table3[Release Name],Table7[[#This Row],[Release Name]],Table3[Task Type],"Testcase Creation")</f>
        <v>0</v>
      </c>
      <c r="AC243" s="255">
        <f>SUMIFS(Table3[Hours Worked],Table3[Release Name],Table7[[#This Row],[Release Name]],Table3[Task Type],"Testcase Execution")</f>
        <v>0</v>
      </c>
      <c r="AD24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3" s="256" t="str">
        <f>IFERROR((Table7[[#This Row],[No. of Valid Internal Review Defects]]+Table7[[#This Row],[No. of Valid  Internal Testing Defects]]+Table7[[#This Row],[No. of  Valid External Review Defects]]+Table7[[#This Row],[No. of Valid External Testing Defects]])/Table7[[#This Row],[Size]],"")</f>
        <v/>
      </c>
      <c r="AF243" s="257" t="str">
        <f>IFERROR(Table7[[#This Row],[No. of Valid Internal Review Defects]]/(Table7[[#This Row],[No. of Valid Internal Review Defects]]+Table7[[#This Row],[No. of  Valid External Review Defects]]+Table7[[#This Row],[No. of Valid  Internal Testing Defects]]+Table7[[#This Row],[No. of Valid External Testing Defects]]),"")</f>
        <v/>
      </c>
      <c r="AG243" s="258" t="str">
        <f>IFERROR(Table7[[#This Row],[No. of Valid Internal Review Defects]]/(Table7[[#This Row],[No. of Valid Internal Review Defects]]+Table7[[#This Row],[No. of  Valid External Review Defects]]+Table7[[#This Row],[No. of Valid External Testing Defects]]),"")</f>
        <v/>
      </c>
      <c r="AH243" s="256" t="str">
        <f>IFERROR(Table7[[#This Row],[No. of Valid  Internal Testing Defects]]/Table7[[#This Row],[Overall Actual Effort for the release]],"")</f>
        <v/>
      </c>
      <c r="AI243" s="256" t="str">
        <f>IFERROR(Table7[[#This Row],[No. of Valid  Internal Testing Defects]]/Table7[[#This Row],[No. of Testcases Executed]],"")</f>
        <v/>
      </c>
      <c r="AJ243" s="259" t="str">
        <f>IFERROR(IFERROR(Table7[[#This Row],[No. of Testcases Created]]/Table7[[#This Row],[Effort for Testcase Creation]],"")*9,"")</f>
        <v/>
      </c>
      <c r="AK243" s="256" t="str">
        <f>IFERROR((Table7[[#This Row],[No. of Testcases Executed]]/Table7[[#This Row],[Effort for Testcase Execution]])*9,"")</f>
        <v/>
      </c>
      <c r="AL24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3" s="259" t="str">
        <f>IFERROR(Table7[[#This Row],[No. of Defects Validated]]/SUMIFS(Table3[Hours Worked],Table3[Release Name],Table7[[#This Row],[Release Name]],Table3[Task Type],"Defect Validation")*9,"")</f>
        <v/>
      </c>
      <c r="AN243" s="258" t="str">
        <f>IFERROR((Table7[[#This Row],[No. of Valid  Internal Testing Defects]])/(Table7[[#This Row],[No. of Valid  Internal Testing Defects]]+Table7[[#This Row],[No. of Invalid Internal Testing Defects]]),"")</f>
        <v/>
      </c>
      <c r="AO243" s="258" t="str">
        <f>IFERROR(Table7[[#This Row],[No. of Valid External Testing Defects]]/(Table7[[#This Row],[No. of Valid External Testing Defects]]+Table7[[#This Row],[No. of Valid  Internal Testing Defects]]),"")</f>
        <v/>
      </c>
    </row>
    <row r="244" spans="2:41">
      <c r="B244" s="237"/>
      <c r="C244" s="14"/>
      <c r="D244" s="14"/>
      <c r="E244" s="14"/>
      <c r="F244" s="230" t="str">
        <f>IFERROR((Table47[[#This Row],[Initial No. of Requirements]]+Table47[[#This Row],[Modified Requirements( Added / Deleted /Modified)]])/Table47[[#This Row],[Initial No. of Requirements]],"")</f>
        <v/>
      </c>
      <c r="G24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4" s="249"/>
      <c r="J244" s="249"/>
      <c r="K244" s="250"/>
      <c r="L244" s="250"/>
      <c r="M244" s="250"/>
      <c r="N244" s="248">
        <f>SUMIFS(Table1[Size],Table1[Release Name],[2]!Table7[Release Name])</f>
        <v>0</v>
      </c>
      <c r="O244" s="248"/>
      <c r="P24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4" s="248"/>
      <c r="R24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4" s="248"/>
      <c r="T244" s="248"/>
      <c r="U244" s="248"/>
      <c r="V244" s="248"/>
      <c r="W244" s="248"/>
      <c r="X244" s="248"/>
      <c r="Y244" s="248"/>
      <c r="Z244" s="248"/>
      <c r="AA244" s="248"/>
      <c r="AB244" s="13">
        <f>SUMIFS(Table3[Hours Worked],Table3[Release Name],Table7[[#This Row],[Release Name]],Table3[Task Type],"Testcase Creation")</f>
        <v>0</v>
      </c>
      <c r="AC244" s="255">
        <f>SUMIFS(Table3[Hours Worked],Table3[Release Name],Table7[[#This Row],[Release Name]],Table3[Task Type],"Testcase Execution")</f>
        <v>0</v>
      </c>
      <c r="AD24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4" s="256" t="str">
        <f>IFERROR((Table7[[#This Row],[No. of Valid Internal Review Defects]]+Table7[[#This Row],[No. of Valid  Internal Testing Defects]]+Table7[[#This Row],[No. of  Valid External Review Defects]]+Table7[[#This Row],[No. of Valid External Testing Defects]])/Table7[[#This Row],[Size]],"")</f>
        <v/>
      </c>
      <c r="AF244" s="257" t="str">
        <f>IFERROR(Table7[[#This Row],[No. of Valid Internal Review Defects]]/(Table7[[#This Row],[No. of Valid Internal Review Defects]]+Table7[[#This Row],[No. of  Valid External Review Defects]]+Table7[[#This Row],[No. of Valid  Internal Testing Defects]]+Table7[[#This Row],[No. of Valid External Testing Defects]]),"")</f>
        <v/>
      </c>
      <c r="AG244" s="258" t="str">
        <f>IFERROR(Table7[[#This Row],[No. of Valid Internal Review Defects]]/(Table7[[#This Row],[No. of Valid Internal Review Defects]]+Table7[[#This Row],[No. of  Valid External Review Defects]]+Table7[[#This Row],[No. of Valid External Testing Defects]]),"")</f>
        <v/>
      </c>
      <c r="AH244" s="256" t="str">
        <f>IFERROR(Table7[[#This Row],[No. of Valid  Internal Testing Defects]]/Table7[[#This Row],[Overall Actual Effort for the release]],"")</f>
        <v/>
      </c>
      <c r="AI244" s="256" t="str">
        <f>IFERROR(Table7[[#This Row],[No. of Valid  Internal Testing Defects]]/Table7[[#This Row],[No. of Testcases Executed]],"")</f>
        <v/>
      </c>
      <c r="AJ244" s="259" t="str">
        <f>IFERROR(IFERROR(Table7[[#This Row],[No. of Testcases Created]]/Table7[[#This Row],[Effort for Testcase Creation]],"")*9,"")</f>
        <v/>
      </c>
      <c r="AK244" s="256" t="str">
        <f>IFERROR((Table7[[#This Row],[No. of Testcases Executed]]/Table7[[#This Row],[Effort for Testcase Execution]])*9,"")</f>
        <v/>
      </c>
      <c r="AL24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4" s="259" t="str">
        <f>IFERROR(Table7[[#This Row],[No. of Defects Validated]]/SUMIFS(Table3[Hours Worked],Table3[Release Name],Table7[[#This Row],[Release Name]],Table3[Task Type],"Defect Validation")*9,"")</f>
        <v/>
      </c>
      <c r="AN244" s="258" t="str">
        <f>IFERROR((Table7[[#This Row],[No. of Valid  Internal Testing Defects]])/(Table7[[#This Row],[No. of Valid  Internal Testing Defects]]+Table7[[#This Row],[No. of Invalid Internal Testing Defects]]),"")</f>
        <v/>
      </c>
      <c r="AO244" s="258" t="str">
        <f>IFERROR(Table7[[#This Row],[No. of Valid External Testing Defects]]/(Table7[[#This Row],[No. of Valid External Testing Defects]]+Table7[[#This Row],[No. of Valid  Internal Testing Defects]]),"")</f>
        <v/>
      </c>
    </row>
    <row r="245" spans="2:41">
      <c r="B245" s="237"/>
      <c r="C245" s="14"/>
      <c r="D245" s="14"/>
      <c r="E245" s="14"/>
      <c r="F245" s="230" t="str">
        <f>IFERROR((Table47[[#This Row],[Initial No. of Requirements]]+Table47[[#This Row],[Modified Requirements( Added / Deleted /Modified)]])/Table47[[#This Row],[Initial No. of Requirements]],"")</f>
        <v/>
      </c>
      <c r="G24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5" s="249"/>
      <c r="J245" s="249"/>
      <c r="K245" s="250"/>
      <c r="L245" s="250"/>
      <c r="M245" s="250"/>
      <c r="N245" s="248">
        <f>SUMIFS(Table1[Size],Table1[Release Name],[2]!Table7[Release Name])</f>
        <v>0</v>
      </c>
      <c r="O245" s="248"/>
      <c r="P24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5" s="248"/>
      <c r="R24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5" s="248"/>
      <c r="T245" s="248"/>
      <c r="U245" s="248"/>
      <c r="V245" s="248"/>
      <c r="W245" s="248"/>
      <c r="X245" s="248"/>
      <c r="Y245" s="248"/>
      <c r="Z245" s="248"/>
      <c r="AA245" s="248"/>
      <c r="AB245" s="13">
        <f>SUMIFS(Table3[Hours Worked],Table3[Release Name],Table7[[#This Row],[Release Name]],Table3[Task Type],"Testcase Creation")</f>
        <v>0</v>
      </c>
      <c r="AC245" s="255">
        <f>SUMIFS(Table3[Hours Worked],Table3[Release Name],Table7[[#This Row],[Release Name]],Table3[Task Type],"Testcase Execution")</f>
        <v>0</v>
      </c>
      <c r="AD24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5" s="256" t="str">
        <f>IFERROR((Table7[[#This Row],[No. of Valid Internal Review Defects]]+Table7[[#This Row],[No. of Valid  Internal Testing Defects]]+Table7[[#This Row],[No. of  Valid External Review Defects]]+Table7[[#This Row],[No. of Valid External Testing Defects]])/Table7[[#This Row],[Size]],"")</f>
        <v/>
      </c>
      <c r="AF245" s="257" t="str">
        <f>IFERROR(Table7[[#This Row],[No. of Valid Internal Review Defects]]/(Table7[[#This Row],[No. of Valid Internal Review Defects]]+Table7[[#This Row],[No. of  Valid External Review Defects]]+Table7[[#This Row],[No. of Valid  Internal Testing Defects]]+Table7[[#This Row],[No. of Valid External Testing Defects]]),"")</f>
        <v/>
      </c>
      <c r="AG245" s="258" t="str">
        <f>IFERROR(Table7[[#This Row],[No. of Valid Internal Review Defects]]/(Table7[[#This Row],[No. of Valid Internal Review Defects]]+Table7[[#This Row],[No. of  Valid External Review Defects]]+Table7[[#This Row],[No. of Valid External Testing Defects]]),"")</f>
        <v/>
      </c>
      <c r="AH245" s="256" t="str">
        <f>IFERROR(Table7[[#This Row],[No. of Valid  Internal Testing Defects]]/Table7[[#This Row],[Overall Actual Effort for the release]],"")</f>
        <v/>
      </c>
      <c r="AI245" s="256" t="str">
        <f>IFERROR(Table7[[#This Row],[No. of Valid  Internal Testing Defects]]/Table7[[#This Row],[No. of Testcases Executed]],"")</f>
        <v/>
      </c>
      <c r="AJ245" s="259" t="str">
        <f>IFERROR(IFERROR(Table7[[#This Row],[No. of Testcases Created]]/Table7[[#This Row],[Effort for Testcase Creation]],"")*9,"")</f>
        <v/>
      </c>
      <c r="AK245" s="256" t="str">
        <f>IFERROR((Table7[[#This Row],[No. of Testcases Executed]]/Table7[[#This Row],[Effort for Testcase Execution]])*9,"")</f>
        <v/>
      </c>
      <c r="AL24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5" s="259" t="str">
        <f>IFERROR(Table7[[#This Row],[No. of Defects Validated]]/SUMIFS(Table3[Hours Worked],Table3[Release Name],Table7[[#This Row],[Release Name]],Table3[Task Type],"Defect Validation")*9,"")</f>
        <v/>
      </c>
      <c r="AN245" s="258" t="str">
        <f>IFERROR((Table7[[#This Row],[No. of Valid  Internal Testing Defects]])/(Table7[[#This Row],[No. of Valid  Internal Testing Defects]]+Table7[[#This Row],[No. of Invalid Internal Testing Defects]]),"")</f>
        <v/>
      </c>
      <c r="AO245" s="258" t="str">
        <f>IFERROR(Table7[[#This Row],[No. of Valid External Testing Defects]]/(Table7[[#This Row],[No. of Valid External Testing Defects]]+Table7[[#This Row],[No. of Valid  Internal Testing Defects]]),"")</f>
        <v/>
      </c>
    </row>
    <row r="246" spans="2:41">
      <c r="B246" s="237"/>
      <c r="C246" s="14"/>
      <c r="D246" s="14"/>
      <c r="E246" s="14"/>
      <c r="F246" s="230" t="str">
        <f>IFERROR((Table47[[#This Row],[Initial No. of Requirements]]+Table47[[#This Row],[Modified Requirements( Added / Deleted /Modified)]])/Table47[[#This Row],[Initial No. of Requirements]],"")</f>
        <v/>
      </c>
      <c r="G24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6" s="249"/>
      <c r="J246" s="249"/>
      <c r="K246" s="250"/>
      <c r="L246" s="250"/>
      <c r="M246" s="250"/>
      <c r="N246" s="248">
        <f>SUMIFS(Table1[Size],Table1[Release Name],[2]!Table7[Release Name])</f>
        <v>0</v>
      </c>
      <c r="O246" s="248"/>
      <c r="P24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6" s="248"/>
      <c r="R24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6" s="248"/>
      <c r="T246" s="248"/>
      <c r="U246" s="248"/>
      <c r="V246" s="248"/>
      <c r="W246" s="248"/>
      <c r="X246" s="248"/>
      <c r="Y246" s="248"/>
      <c r="Z246" s="248"/>
      <c r="AA246" s="248"/>
      <c r="AB246" s="13">
        <f>SUMIFS(Table3[Hours Worked],Table3[Release Name],Table7[[#This Row],[Release Name]],Table3[Task Type],"Testcase Creation")</f>
        <v>0</v>
      </c>
      <c r="AC246" s="255">
        <f>SUMIFS(Table3[Hours Worked],Table3[Release Name],Table7[[#This Row],[Release Name]],Table3[Task Type],"Testcase Execution")</f>
        <v>0</v>
      </c>
      <c r="AD24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6" s="256" t="str">
        <f>IFERROR((Table7[[#This Row],[No. of Valid Internal Review Defects]]+Table7[[#This Row],[No. of Valid  Internal Testing Defects]]+Table7[[#This Row],[No. of  Valid External Review Defects]]+Table7[[#This Row],[No. of Valid External Testing Defects]])/Table7[[#This Row],[Size]],"")</f>
        <v/>
      </c>
      <c r="AF246" s="257" t="str">
        <f>IFERROR(Table7[[#This Row],[No. of Valid Internal Review Defects]]/(Table7[[#This Row],[No. of Valid Internal Review Defects]]+Table7[[#This Row],[No. of  Valid External Review Defects]]+Table7[[#This Row],[No. of Valid  Internal Testing Defects]]+Table7[[#This Row],[No. of Valid External Testing Defects]]),"")</f>
        <v/>
      </c>
      <c r="AG246" s="258" t="str">
        <f>IFERROR(Table7[[#This Row],[No. of Valid Internal Review Defects]]/(Table7[[#This Row],[No. of Valid Internal Review Defects]]+Table7[[#This Row],[No. of  Valid External Review Defects]]+Table7[[#This Row],[No. of Valid External Testing Defects]]),"")</f>
        <v/>
      </c>
      <c r="AH246" s="256" t="str">
        <f>IFERROR(Table7[[#This Row],[No. of Valid  Internal Testing Defects]]/Table7[[#This Row],[Overall Actual Effort for the release]],"")</f>
        <v/>
      </c>
      <c r="AI246" s="256" t="str">
        <f>IFERROR(Table7[[#This Row],[No. of Valid  Internal Testing Defects]]/Table7[[#This Row],[No. of Testcases Executed]],"")</f>
        <v/>
      </c>
      <c r="AJ246" s="259" t="str">
        <f>IFERROR(IFERROR(Table7[[#This Row],[No. of Testcases Created]]/Table7[[#This Row],[Effort for Testcase Creation]],"")*9,"")</f>
        <v/>
      </c>
      <c r="AK246" s="256" t="str">
        <f>IFERROR((Table7[[#This Row],[No. of Testcases Executed]]/Table7[[#This Row],[Effort for Testcase Execution]])*9,"")</f>
        <v/>
      </c>
      <c r="AL24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6" s="259" t="str">
        <f>IFERROR(Table7[[#This Row],[No. of Defects Validated]]/SUMIFS(Table3[Hours Worked],Table3[Release Name],Table7[[#This Row],[Release Name]],Table3[Task Type],"Defect Validation")*9,"")</f>
        <v/>
      </c>
      <c r="AN246" s="258" t="str">
        <f>IFERROR((Table7[[#This Row],[No. of Valid  Internal Testing Defects]])/(Table7[[#This Row],[No. of Valid  Internal Testing Defects]]+Table7[[#This Row],[No. of Invalid Internal Testing Defects]]),"")</f>
        <v/>
      </c>
      <c r="AO246" s="258" t="str">
        <f>IFERROR(Table7[[#This Row],[No. of Valid External Testing Defects]]/(Table7[[#This Row],[No. of Valid External Testing Defects]]+Table7[[#This Row],[No. of Valid  Internal Testing Defects]]),"")</f>
        <v/>
      </c>
    </row>
    <row r="247" spans="2:41">
      <c r="B247" s="237"/>
      <c r="C247" s="14"/>
      <c r="D247" s="14"/>
      <c r="E247" s="14"/>
      <c r="F247" s="230" t="str">
        <f>IFERROR((Table47[[#This Row],[Initial No. of Requirements]]+Table47[[#This Row],[Modified Requirements( Added / Deleted /Modified)]])/Table47[[#This Row],[Initial No. of Requirements]],"")</f>
        <v/>
      </c>
      <c r="G24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7" s="249"/>
      <c r="J247" s="249"/>
      <c r="K247" s="250"/>
      <c r="L247" s="250"/>
      <c r="M247" s="250"/>
      <c r="N247" s="248">
        <f>SUMIFS(Table1[Size],Table1[Release Name],[2]!Table7[Release Name])</f>
        <v>0</v>
      </c>
      <c r="O247" s="248"/>
      <c r="P24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7" s="248"/>
      <c r="R24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7" s="248"/>
      <c r="T247" s="248"/>
      <c r="U247" s="248"/>
      <c r="V247" s="248"/>
      <c r="W247" s="248"/>
      <c r="X247" s="248"/>
      <c r="Y247" s="248"/>
      <c r="Z247" s="248"/>
      <c r="AA247" s="248"/>
      <c r="AB247" s="13">
        <f>SUMIFS(Table3[Hours Worked],Table3[Release Name],Table7[[#This Row],[Release Name]],Table3[Task Type],"Testcase Creation")</f>
        <v>0</v>
      </c>
      <c r="AC247" s="255">
        <f>SUMIFS(Table3[Hours Worked],Table3[Release Name],Table7[[#This Row],[Release Name]],Table3[Task Type],"Testcase Execution")</f>
        <v>0</v>
      </c>
      <c r="AD24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7" s="256" t="str">
        <f>IFERROR((Table7[[#This Row],[No. of Valid Internal Review Defects]]+Table7[[#This Row],[No. of Valid  Internal Testing Defects]]+Table7[[#This Row],[No. of  Valid External Review Defects]]+Table7[[#This Row],[No. of Valid External Testing Defects]])/Table7[[#This Row],[Size]],"")</f>
        <v/>
      </c>
      <c r="AF247" s="257" t="str">
        <f>IFERROR(Table7[[#This Row],[No. of Valid Internal Review Defects]]/(Table7[[#This Row],[No. of Valid Internal Review Defects]]+Table7[[#This Row],[No. of  Valid External Review Defects]]+Table7[[#This Row],[No. of Valid  Internal Testing Defects]]+Table7[[#This Row],[No. of Valid External Testing Defects]]),"")</f>
        <v/>
      </c>
      <c r="AG247" s="258" t="str">
        <f>IFERROR(Table7[[#This Row],[No. of Valid Internal Review Defects]]/(Table7[[#This Row],[No. of Valid Internal Review Defects]]+Table7[[#This Row],[No. of  Valid External Review Defects]]+Table7[[#This Row],[No. of Valid External Testing Defects]]),"")</f>
        <v/>
      </c>
      <c r="AH247" s="256" t="str">
        <f>IFERROR(Table7[[#This Row],[No. of Valid  Internal Testing Defects]]/Table7[[#This Row],[Overall Actual Effort for the release]],"")</f>
        <v/>
      </c>
      <c r="AI247" s="256" t="str">
        <f>IFERROR(Table7[[#This Row],[No. of Valid  Internal Testing Defects]]/Table7[[#This Row],[No. of Testcases Executed]],"")</f>
        <v/>
      </c>
      <c r="AJ247" s="259" t="str">
        <f>IFERROR(IFERROR(Table7[[#This Row],[No. of Testcases Created]]/Table7[[#This Row],[Effort for Testcase Creation]],"")*9,"")</f>
        <v/>
      </c>
      <c r="AK247" s="256" t="str">
        <f>IFERROR((Table7[[#This Row],[No. of Testcases Executed]]/Table7[[#This Row],[Effort for Testcase Execution]])*9,"")</f>
        <v/>
      </c>
      <c r="AL24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7" s="259" t="str">
        <f>IFERROR(Table7[[#This Row],[No. of Defects Validated]]/SUMIFS(Table3[Hours Worked],Table3[Release Name],Table7[[#This Row],[Release Name]],Table3[Task Type],"Defect Validation")*9,"")</f>
        <v/>
      </c>
      <c r="AN247" s="258" t="str">
        <f>IFERROR((Table7[[#This Row],[No. of Valid  Internal Testing Defects]])/(Table7[[#This Row],[No. of Valid  Internal Testing Defects]]+Table7[[#This Row],[No. of Invalid Internal Testing Defects]]),"")</f>
        <v/>
      </c>
      <c r="AO247" s="258" t="str">
        <f>IFERROR(Table7[[#This Row],[No. of Valid External Testing Defects]]/(Table7[[#This Row],[No. of Valid External Testing Defects]]+Table7[[#This Row],[No. of Valid  Internal Testing Defects]]),"")</f>
        <v/>
      </c>
    </row>
    <row r="248" spans="2:41">
      <c r="B248" s="237"/>
      <c r="C248" s="14"/>
      <c r="D248" s="14"/>
      <c r="E248" s="14"/>
      <c r="F248" s="230" t="str">
        <f>IFERROR((Table47[[#This Row],[Initial No. of Requirements]]+Table47[[#This Row],[Modified Requirements( Added / Deleted /Modified)]])/Table47[[#This Row],[Initial No. of Requirements]],"")</f>
        <v/>
      </c>
      <c r="G24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8" s="249"/>
      <c r="J248" s="249"/>
      <c r="K248" s="250"/>
      <c r="L248" s="250"/>
      <c r="M248" s="250"/>
      <c r="N248" s="248">
        <f>SUMIFS(Table1[Size],Table1[Release Name],[2]!Table7[Release Name])</f>
        <v>0</v>
      </c>
      <c r="O248" s="248"/>
      <c r="P24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8" s="248"/>
      <c r="R24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8" s="248"/>
      <c r="T248" s="248"/>
      <c r="U248" s="248"/>
      <c r="V248" s="248"/>
      <c r="W248" s="248"/>
      <c r="X248" s="248"/>
      <c r="Y248" s="248"/>
      <c r="Z248" s="248"/>
      <c r="AA248" s="248"/>
      <c r="AB248" s="13">
        <f>SUMIFS(Table3[Hours Worked],Table3[Release Name],Table7[[#This Row],[Release Name]],Table3[Task Type],"Testcase Creation")</f>
        <v>0</v>
      </c>
      <c r="AC248" s="255">
        <f>SUMIFS(Table3[Hours Worked],Table3[Release Name],Table7[[#This Row],[Release Name]],Table3[Task Type],"Testcase Execution")</f>
        <v>0</v>
      </c>
      <c r="AD24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8" s="256" t="str">
        <f>IFERROR((Table7[[#This Row],[No. of Valid Internal Review Defects]]+Table7[[#This Row],[No. of Valid  Internal Testing Defects]]+Table7[[#This Row],[No. of  Valid External Review Defects]]+Table7[[#This Row],[No. of Valid External Testing Defects]])/Table7[[#This Row],[Size]],"")</f>
        <v/>
      </c>
      <c r="AF248" s="257" t="str">
        <f>IFERROR(Table7[[#This Row],[No. of Valid Internal Review Defects]]/(Table7[[#This Row],[No. of Valid Internal Review Defects]]+Table7[[#This Row],[No. of  Valid External Review Defects]]+Table7[[#This Row],[No. of Valid  Internal Testing Defects]]+Table7[[#This Row],[No. of Valid External Testing Defects]]),"")</f>
        <v/>
      </c>
      <c r="AG248" s="258" t="str">
        <f>IFERROR(Table7[[#This Row],[No. of Valid Internal Review Defects]]/(Table7[[#This Row],[No. of Valid Internal Review Defects]]+Table7[[#This Row],[No. of  Valid External Review Defects]]+Table7[[#This Row],[No. of Valid External Testing Defects]]),"")</f>
        <v/>
      </c>
      <c r="AH248" s="256" t="str">
        <f>IFERROR(Table7[[#This Row],[No. of Valid  Internal Testing Defects]]/Table7[[#This Row],[Overall Actual Effort for the release]],"")</f>
        <v/>
      </c>
      <c r="AI248" s="256" t="str">
        <f>IFERROR(Table7[[#This Row],[No. of Valid  Internal Testing Defects]]/Table7[[#This Row],[No. of Testcases Executed]],"")</f>
        <v/>
      </c>
      <c r="AJ248" s="259" t="str">
        <f>IFERROR(IFERROR(Table7[[#This Row],[No. of Testcases Created]]/Table7[[#This Row],[Effort for Testcase Creation]],"")*9,"")</f>
        <v/>
      </c>
      <c r="AK248" s="256" t="str">
        <f>IFERROR((Table7[[#This Row],[No. of Testcases Executed]]/Table7[[#This Row],[Effort for Testcase Execution]])*9,"")</f>
        <v/>
      </c>
      <c r="AL24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8" s="259" t="str">
        <f>IFERROR(Table7[[#This Row],[No. of Defects Validated]]/SUMIFS(Table3[Hours Worked],Table3[Release Name],Table7[[#This Row],[Release Name]],Table3[Task Type],"Defect Validation")*9,"")</f>
        <v/>
      </c>
      <c r="AN248" s="258" t="str">
        <f>IFERROR((Table7[[#This Row],[No. of Valid  Internal Testing Defects]])/(Table7[[#This Row],[No. of Valid  Internal Testing Defects]]+Table7[[#This Row],[No. of Invalid Internal Testing Defects]]),"")</f>
        <v/>
      </c>
      <c r="AO248" s="258" t="str">
        <f>IFERROR(Table7[[#This Row],[No. of Valid External Testing Defects]]/(Table7[[#This Row],[No. of Valid External Testing Defects]]+Table7[[#This Row],[No. of Valid  Internal Testing Defects]]),"")</f>
        <v/>
      </c>
    </row>
    <row r="249" spans="2:41">
      <c r="B249" s="237"/>
      <c r="C249" s="14"/>
      <c r="D249" s="14"/>
      <c r="E249" s="14"/>
      <c r="F249" s="230" t="str">
        <f>IFERROR((Table47[[#This Row],[Initial No. of Requirements]]+Table47[[#This Row],[Modified Requirements( Added / Deleted /Modified)]])/Table47[[#This Row],[Initial No. of Requirements]],"")</f>
        <v/>
      </c>
      <c r="G24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49" s="249"/>
      <c r="J249" s="249"/>
      <c r="K249" s="250"/>
      <c r="L249" s="250"/>
      <c r="M249" s="250"/>
      <c r="N249" s="248">
        <f>SUMIFS(Table1[Size],Table1[Release Name],[2]!Table7[Release Name])</f>
        <v>0</v>
      </c>
      <c r="O249" s="248"/>
      <c r="P24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49" s="248"/>
      <c r="R24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49" s="248"/>
      <c r="T249" s="248"/>
      <c r="U249" s="248"/>
      <c r="V249" s="248"/>
      <c r="W249" s="248"/>
      <c r="X249" s="248"/>
      <c r="Y249" s="248"/>
      <c r="Z249" s="248"/>
      <c r="AA249" s="248"/>
      <c r="AB249" s="13">
        <f>SUMIFS(Table3[Hours Worked],Table3[Release Name],Table7[[#This Row],[Release Name]],Table3[Task Type],"Testcase Creation")</f>
        <v>0</v>
      </c>
      <c r="AC249" s="255">
        <f>SUMIFS(Table3[Hours Worked],Table3[Release Name],Table7[[#This Row],[Release Name]],Table3[Task Type],"Testcase Execution")</f>
        <v>0</v>
      </c>
      <c r="AD24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49" s="256" t="str">
        <f>IFERROR((Table7[[#This Row],[No. of Valid Internal Review Defects]]+Table7[[#This Row],[No. of Valid  Internal Testing Defects]]+Table7[[#This Row],[No. of  Valid External Review Defects]]+Table7[[#This Row],[No. of Valid External Testing Defects]])/Table7[[#This Row],[Size]],"")</f>
        <v/>
      </c>
      <c r="AF249" s="257" t="str">
        <f>IFERROR(Table7[[#This Row],[No. of Valid Internal Review Defects]]/(Table7[[#This Row],[No. of Valid Internal Review Defects]]+Table7[[#This Row],[No. of  Valid External Review Defects]]+Table7[[#This Row],[No. of Valid  Internal Testing Defects]]+Table7[[#This Row],[No. of Valid External Testing Defects]]),"")</f>
        <v/>
      </c>
      <c r="AG249" s="258" t="str">
        <f>IFERROR(Table7[[#This Row],[No. of Valid Internal Review Defects]]/(Table7[[#This Row],[No. of Valid Internal Review Defects]]+Table7[[#This Row],[No. of  Valid External Review Defects]]+Table7[[#This Row],[No. of Valid External Testing Defects]]),"")</f>
        <v/>
      </c>
      <c r="AH249" s="256" t="str">
        <f>IFERROR(Table7[[#This Row],[No. of Valid  Internal Testing Defects]]/Table7[[#This Row],[Overall Actual Effort for the release]],"")</f>
        <v/>
      </c>
      <c r="AI249" s="256" t="str">
        <f>IFERROR(Table7[[#This Row],[No. of Valid  Internal Testing Defects]]/Table7[[#This Row],[No. of Testcases Executed]],"")</f>
        <v/>
      </c>
      <c r="AJ249" s="259" t="str">
        <f>IFERROR(IFERROR(Table7[[#This Row],[No. of Testcases Created]]/Table7[[#This Row],[Effort for Testcase Creation]],"")*9,"")</f>
        <v/>
      </c>
      <c r="AK249" s="256" t="str">
        <f>IFERROR((Table7[[#This Row],[No. of Testcases Executed]]/Table7[[#This Row],[Effort for Testcase Execution]])*9,"")</f>
        <v/>
      </c>
      <c r="AL24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49" s="259" t="str">
        <f>IFERROR(Table7[[#This Row],[No. of Defects Validated]]/SUMIFS(Table3[Hours Worked],Table3[Release Name],Table7[[#This Row],[Release Name]],Table3[Task Type],"Defect Validation")*9,"")</f>
        <v/>
      </c>
      <c r="AN249" s="258" t="str">
        <f>IFERROR((Table7[[#This Row],[No. of Valid  Internal Testing Defects]])/(Table7[[#This Row],[No. of Valid  Internal Testing Defects]]+Table7[[#This Row],[No. of Invalid Internal Testing Defects]]),"")</f>
        <v/>
      </c>
      <c r="AO249" s="258" t="str">
        <f>IFERROR(Table7[[#This Row],[No. of Valid External Testing Defects]]/(Table7[[#This Row],[No. of Valid External Testing Defects]]+Table7[[#This Row],[No. of Valid  Internal Testing Defects]]),"")</f>
        <v/>
      </c>
    </row>
    <row r="250" spans="2:41">
      <c r="B250" s="237"/>
      <c r="C250" s="14"/>
      <c r="D250" s="14"/>
      <c r="E250" s="14"/>
      <c r="F250" s="230" t="str">
        <f>IFERROR((Table47[[#This Row],[Initial No. of Requirements]]+Table47[[#This Row],[Modified Requirements( Added / Deleted /Modified)]])/Table47[[#This Row],[Initial No. of Requirements]],"")</f>
        <v/>
      </c>
      <c r="G25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0" s="249"/>
      <c r="J250" s="249"/>
      <c r="K250" s="250"/>
      <c r="L250" s="250"/>
      <c r="M250" s="250"/>
      <c r="N250" s="248">
        <f>SUMIFS(Table1[Size],Table1[Release Name],[2]!Table7[Release Name])</f>
        <v>0</v>
      </c>
      <c r="O250" s="248"/>
      <c r="P25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0" s="248"/>
      <c r="R25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0" s="248"/>
      <c r="T250" s="248"/>
      <c r="U250" s="248"/>
      <c r="V250" s="248"/>
      <c r="W250" s="248"/>
      <c r="X250" s="248"/>
      <c r="Y250" s="248"/>
      <c r="Z250" s="248"/>
      <c r="AA250" s="248"/>
      <c r="AB250" s="13">
        <f>SUMIFS(Table3[Hours Worked],Table3[Release Name],Table7[[#This Row],[Release Name]],Table3[Task Type],"Testcase Creation")</f>
        <v>0</v>
      </c>
      <c r="AC250" s="255">
        <f>SUMIFS(Table3[Hours Worked],Table3[Release Name],Table7[[#This Row],[Release Name]],Table3[Task Type],"Testcase Execution")</f>
        <v>0</v>
      </c>
      <c r="AD25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0" s="256" t="str">
        <f>IFERROR((Table7[[#This Row],[No. of Valid Internal Review Defects]]+Table7[[#This Row],[No. of Valid  Internal Testing Defects]]+Table7[[#This Row],[No. of  Valid External Review Defects]]+Table7[[#This Row],[No. of Valid External Testing Defects]])/Table7[[#This Row],[Size]],"")</f>
        <v/>
      </c>
      <c r="AF250" s="257" t="str">
        <f>IFERROR(Table7[[#This Row],[No. of Valid Internal Review Defects]]/(Table7[[#This Row],[No. of Valid Internal Review Defects]]+Table7[[#This Row],[No. of  Valid External Review Defects]]+Table7[[#This Row],[No. of Valid  Internal Testing Defects]]+Table7[[#This Row],[No. of Valid External Testing Defects]]),"")</f>
        <v/>
      </c>
      <c r="AG250" s="258" t="str">
        <f>IFERROR(Table7[[#This Row],[No. of Valid Internal Review Defects]]/(Table7[[#This Row],[No. of Valid Internal Review Defects]]+Table7[[#This Row],[No. of  Valid External Review Defects]]+Table7[[#This Row],[No. of Valid External Testing Defects]]),"")</f>
        <v/>
      </c>
      <c r="AH250" s="256" t="str">
        <f>IFERROR(Table7[[#This Row],[No. of Valid  Internal Testing Defects]]/Table7[[#This Row],[Overall Actual Effort for the release]],"")</f>
        <v/>
      </c>
      <c r="AI250" s="256" t="str">
        <f>IFERROR(Table7[[#This Row],[No. of Valid  Internal Testing Defects]]/Table7[[#This Row],[No. of Testcases Executed]],"")</f>
        <v/>
      </c>
      <c r="AJ250" s="259" t="str">
        <f>IFERROR(IFERROR(Table7[[#This Row],[No. of Testcases Created]]/Table7[[#This Row],[Effort for Testcase Creation]],"")*9,"")</f>
        <v/>
      </c>
      <c r="AK250" s="256" t="str">
        <f>IFERROR((Table7[[#This Row],[No. of Testcases Executed]]/Table7[[#This Row],[Effort for Testcase Execution]])*9,"")</f>
        <v/>
      </c>
      <c r="AL25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0" s="259" t="str">
        <f>IFERROR(Table7[[#This Row],[No. of Defects Validated]]/SUMIFS(Table3[Hours Worked],Table3[Release Name],Table7[[#This Row],[Release Name]],Table3[Task Type],"Defect Validation")*9,"")</f>
        <v/>
      </c>
      <c r="AN250" s="258" t="str">
        <f>IFERROR((Table7[[#This Row],[No. of Valid  Internal Testing Defects]])/(Table7[[#This Row],[No. of Valid  Internal Testing Defects]]+Table7[[#This Row],[No. of Invalid Internal Testing Defects]]),"")</f>
        <v/>
      </c>
      <c r="AO250" s="258" t="str">
        <f>IFERROR(Table7[[#This Row],[No. of Valid External Testing Defects]]/(Table7[[#This Row],[No. of Valid External Testing Defects]]+Table7[[#This Row],[No. of Valid  Internal Testing Defects]]),"")</f>
        <v/>
      </c>
    </row>
    <row r="251" spans="2:41">
      <c r="B251" s="237"/>
      <c r="C251" s="14"/>
      <c r="D251" s="14"/>
      <c r="E251" s="14"/>
      <c r="F251" s="230" t="str">
        <f>IFERROR((Table47[[#This Row],[Initial No. of Requirements]]+Table47[[#This Row],[Modified Requirements( Added / Deleted /Modified)]])/Table47[[#This Row],[Initial No. of Requirements]],"")</f>
        <v/>
      </c>
      <c r="G25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1" s="249"/>
      <c r="J251" s="249"/>
      <c r="K251" s="250"/>
      <c r="L251" s="250"/>
      <c r="M251" s="250"/>
      <c r="N251" s="248">
        <f>SUMIFS(Table1[Size],Table1[Release Name],[2]!Table7[Release Name])</f>
        <v>0</v>
      </c>
      <c r="O251" s="248"/>
      <c r="P25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1" s="248"/>
      <c r="R25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1" s="248"/>
      <c r="T251" s="248"/>
      <c r="U251" s="248"/>
      <c r="V251" s="248"/>
      <c r="W251" s="248"/>
      <c r="X251" s="248"/>
      <c r="Y251" s="248"/>
      <c r="Z251" s="248"/>
      <c r="AA251" s="248"/>
      <c r="AB251" s="13">
        <f>SUMIFS(Table3[Hours Worked],Table3[Release Name],Table7[[#This Row],[Release Name]],Table3[Task Type],"Testcase Creation")</f>
        <v>0</v>
      </c>
      <c r="AC251" s="255">
        <f>SUMIFS(Table3[Hours Worked],Table3[Release Name],Table7[[#This Row],[Release Name]],Table3[Task Type],"Testcase Execution")</f>
        <v>0</v>
      </c>
      <c r="AD25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1" s="256" t="str">
        <f>IFERROR((Table7[[#This Row],[No. of Valid Internal Review Defects]]+Table7[[#This Row],[No. of Valid  Internal Testing Defects]]+Table7[[#This Row],[No. of  Valid External Review Defects]]+Table7[[#This Row],[No. of Valid External Testing Defects]])/Table7[[#This Row],[Size]],"")</f>
        <v/>
      </c>
      <c r="AF251" s="257" t="str">
        <f>IFERROR(Table7[[#This Row],[No. of Valid Internal Review Defects]]/(Table7[[#This Row],[No. of Valid Internal Review Defects]]+Table7[[#This Row],[No. of  Valid External Review Defects]]+Table7[[#This Row],[No. of Valid  Internal Testing Defects]]+Table7[[#This Row],[No. of Valid External Testing Defects]]),"")</f>
        <v/>
      </c>
      <c r="AG251" s="258" t="str">
        <f>IFERROR(Table7[[#This Row],[No. of Valid Internal Review Defects]]/(Table7[[#This Row],[No. of Valid Internal Review Defects]]+Table7[[#This Row],[No. of  Valid External Review Defects]]+Table7[[#This Row],[No. of Valid External Testing Defects]]),"")</f>
        <v/>
      </c>
      <c r="AH251" s="256" t="str">
        <f>IFERROR(Table7[[#This Row],[No. of Valid  Internal Testing Defects]]/Table7[[#This Row],[Overall Actual Effort for the release]],"")</f>
        <v/>
      </c>
      <c r="AI251" s="256" t="str">
        <f>IFERROR(Table7[[#This Row],[No. of Valid  Internal Testing Defects]]/Table7[[#This Row],[No. of Testcases Executed]],"")</f>
        <v/>
      </c>
      <c r="AJ251" s="259" t="str">
        <f>IFERROR(IFERROR(Table7[[#This Row],[No. of Testcases Created]]/Table7[[#This Row],[Effort for Testcase Creation]],"")*9,"")</f>
        <v/>
      </c>
      <c r="AK251" s="256" t="str">
        <f>IFERROR((Table7[[#This Row],[No. of Testcases Executed]]/Table7[[#This Row],[Effort for Testcase Execution]])*9,"")</f>
        <v/>
      </c>
      <c r="AL25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1" s="259" t="str">
        <f>IFERROR(Table7[[#This Row],[No. of Defects Validated]]/SUMIFS(Table3[Hours Worked],Table3[Release Name],Table7[[#This Row],[Release Name]],Table3[Task Type],"Defect Validation")*9,"")</f>
        <v/>
      </c>
      <c r="AN251" s="258" t="str">
        <f>IFERROR((Table7[[#This Row],[No. of Valid  Internal Testing Defects]])/(Table7[[#This Row],[No. of Valid  Internal Testing Defects]]+Table7[[#This Row],[No. of Invalid Internal Testing Defects]]),"")</f>
        <v/>
      </c>
      <c r="AO251" s="258" t="str">
        <f>IFERROR(Table7[[#This Row],[No. of Valid External Testing Defects]]/(Table7[[#This Row],[No. of Valid External Testing Defects]]+Table7[[#This Row],[No. of Valid  Internal Testing Defects]]),"")</f>
        <v/>
      </c>
    </row>
    <row r="252" spans="2:41">
      <c r="B252" s="237"/>
      <c r="C252" s="14"/>
      <c r="D252" s="14"/>
      <c r="E252" s="14"/>
      <c r="F252" s="230" t="str">
        <f>IFERROR((Table47[[#This Row],[Initial No. of Requirements]]+Table47[[#This Row],[Modified Requirements( Added / Deleted /Modified)]])/Table47[[#This Row],[Initial No. of Requirements]],"")</f>
        <v/>
      </c>
      <c r="G25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2" s="249"/>
      <c r="J252" s="249"/>
      <c r="K252" s="250"/>
      <c r="L252" s="250"/>
      <c r="M252" s="250"/>
      <c r="N252" s="248">
        <f>SUMIFS(Table1[Size],Table1[Release Name],[2]!Table7[Release Name])</f>
        <v>0</v>
      </c>
      <c r="O252" s="248"/>
      <c r="P25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2" s="248"/>
      <c r="R25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2" s="248"/>
      <c r="T252" s="248"/>
      <c r="U252" s="248"/>
      <c r="V252" s="248"/>
      <c r="W252" s="248"/>
      <c r="X252" s="248"/>
      <c r="Y252" s="248"/>
      <c r="Z252" s="248"/>
      <c r="AA252" s="248"/>
      <c r="AB252" s="13">
        <f>SUMIFS(Table3[Hours Worked],Table3[Release Name],Table7[[#This Row],[Release Name]],Table3[Task Type],"Testcase Creation")</f>
        <v>0</v>
      </c>
      <c r="AC252" s="255">
        <f>SUMIFS(Table3[Hours Worked],Table3[Release Name],Table7[[#This Row],[Release Name]],Table3[Task Type],"Testcase Execution")</f>
        <v>0</v>
      </c>
      <c r="AD25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2" s="256" t="str">
        <f>IFERROR((Table7[[#This Row],[No. of Valid Internal Review Defects]]+Table7[[#This Row],[No. of Valid  Internal Testing Defects]]+Table7[[#This Row],[No. of  Valid External Review Defects]]+Table7[[#This Row],[No. of Valid External Testing Defects]])/Table7[[#This Row],[Size]],"")</f>
        <v/>
      </c>
      <c r="AF252" s="257" t="str">
        <f>IFERROR(Table7[[#This Row],[No. of Valid Internal Review Defects]]/(Table7[[#This Row],[No. of Valid Internal Review Defects]]+Table7[[#This Row],[No. of  Valid External Review Defects]]+Table7[[#This Row],[No. of Valid  Internal Testing Defects]]+Table7[[#This Row],[No. of Valid External Testing Defects]]),"")</f>
        <v/>
      </c>
      <c r="AG252" s="258" t="str">
        <f>IFERROR(Table7[[#This Row],[No. of Valid Internal Review Defects]]/(Table7[[#This Row],[No. of Valid Internal Review Defects]]+Table7[[#This Row],[No. of  Valid External Review Defects]]+Table7[[#This Row],[No. of Valid External Testing Defects]]),"")</f>
        <v/>
      </c>
      <c r="AH252" s="256" t="str">
        <f>IFERROR(Table7[[#This Row],[No. of Valid  Internal Testing Defects]]/Table7[[#This Row],[Overall Actual Effort for the release]],"")</f>
        <v/>
      </c>
      <c r="AI252" s="256" t="str">
        <f>IFERROR(Table7[[#This Row],[No. of Valid  Internal Testing Defects]]/Table7[[#This Row],[No. of Testcases Executed]],"")</f>
        <v/>
      </c>
      <c r="AJ252" s="259" t="str">
        <f>IFERROR(IFERROR(Table7[[#This Row],[No. of Testcases Created]]/Table7[[#This Row],[Effort for Testcase Creation]],"")*9,"")</f>
        <v/>
      </c>
      <c r="AK252" s="256" t="str">
        <f>IFERROR((Table7[[#This Row],[No. of Testcases Executed]]/Table7[[#This Row],[Effort for Testcase Execution]])*9,"")</f>
        <v/>
      </c>
      <c r="AL25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2" s="259" t="str">
        <f>IFERROR(Table7[[#This Row],[No. of Defects Validated]]/SUMIFS(Table3[Hours Worked],Table3[Release Name],Table7[[#This Row],[Release Name]],Table3[Task Type],"Defect Validation")*9,"")</f>
        <v/>
      </c>
      <c r="AN252" s="258" t="str">
        <f>IFERROR((Table7[[#This Row],[No. of Valid  Internal Testing Defects]])/(Table7[[#This Row],[No. of Valid  Internal Testing Defects]]+Table7[[#This Row],[No. of Invalid Internal Testing Defects]]),"")</f>
        <v/>
      </c>
      <c r="AO252" s="258" t="str">
        <f>IFERROR(Table7[[#This Row],[No. of Valid External Testing Defects]]/(Table7[[#This Row],[No. of Valid External Testing Defects]]+Table7[[#This Row],[No. of Valid  Internal Testing Defects]]),"")</f>
        <v/>
      </c>
    </row>
    <row r="253" spans="2:41">
      <c r="B253" s="237"/>
      <c r="C253" s="14"/>
      <c r="D253" s="14"/>
      <c r="E253" s="14"/>
      <c r="F253" s="230" t="str">
        <f>IFERROR((Table47[[#This Row],[Initial No. of Requirements]]+Table47[[#This Row],[Modified Requirements( Added / Deleted /Modified)]])/Table47[[#This Row],[Initial No. of Requirements]],"")</f>
        <v/>
      </c>
      <c r="G25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3" s="249"/>
      <c r="J253" s="249"/>
      <c r="K253" s="250"/>
      <c r="L253" s="250"/>
      <c r="M253" s="250"/>
      <c r="N253" s="248">
        <f>SUMIFS(Table1[Size],Table1[Release Name],[2]!Table7[Release Name])</f>
        <v>0</v>
      </c>
      <c r="O253" s="248"/>
      <c r="P25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3" s="248"/>
      <c r="R25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3" s="248"/>
      <c r="T253" s="248"/>
      <c r="U253" s="248"/>
      <c r="V253" s="248"/>
      <c r="W253" s="248"/>
      <c r="X253" s="248"/>
      <c r="Y253" s="248"/>
      <c r="Z253" s="248"/>
      <c r="AA253" s="248"/>
      <c r="AB253" s="13">
        <f>SUMIFS(Table3[Hours Worked],Table3[Release Name],Table7[[#This Row],[Release Name]],Table3[Task Type],"Testcase Creation")</f>
        <v>0</v>
      </c>
      <c r="AC253" s="255">
        <f>SUMIFS(Table3[Hours Worked],Table3[Release Name],Table7[[#This Row],[Release Name]],Table3[Task Type],"Testcase Execution")</f>
        <v>0</v>
      </c>
      <c r="AD25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3" s="256" t="str">
        <f>IFERROR((Table7[[#This Row],[No. of Valid Internal Review Defects]]+Table7[[#This Row],[No. of Valid  Internal Testing Defects]]+Table7[[#This Row],[No. of  Valid External Review Defects]]+Table7[[#This Row],[No. of Valid External Testing Defects]])/Table7[[#This Row],[Size]],"")</f>
        <v/>
      </c>
      <c r="AF253" s="257" t="str">
        <f>IFERROR(Table7[[#This Row],[No. of Valid Internal Review Defects]]/(Table7[[#This Row],[No. of Valid Internal Review Defects]]+Table7[[#This Row],[No. of  Valid External Review Defects]]+Table7[[#This Row],[No. of Valid  Internal Testing Defects]]+Table7[[#This Row],[No. of Valid External Testing Defects]]),"")</f>
        <v/>
      </c>
      <c r="AG253" s="258" t="str">
        <f>IFERROR(Table7[[#This Row],[No. of Valid Internal Review Defects]]/(Table7[[#This Row],[No. of Valid Internal Review Defects]]+Table7[[#This Row],[No. of  Valid External Review Defects]]+Table7[[#This Row],[No. of Valid External Testing Defects]]),"")</f>
        <v/>
      </c>
      <c r="AH253" s="256" t="str">
        <f>IFERROR(Table7[[#This Row],[No. of Valid  Internal Testing Defects]]/Table7[[#This Row],[Overall Actual Effort for the release]],"")</f>
        <v/>
      </c>
      <c r="AI253" s="256" t="str">
        <f>IFERROR(Table7[[#This Row],[No. of Valid  Internal Testing Defects]]/Table7[[#This Row],[No. of Testcases Executed]],"")</f>
        <v/>
      </c>
      <c r="AJ253" s="259" t="str">
        <f>IFERROR(IFERROR(Table7[[#This Row],[No. of Testcases Created]]/Table7[[#This Row],[Effort for Testcase Creation]],"")*9,"")</f>
        <v/>
      </c>
      <c r="AK253" s="256" t="str">
        <f>IFERROR((Table7[[#This Row],[No. of Testcases Executed]]/Table7[[#This Row],[Effort for Testcase Execution]])*9,"")</f>
        <v/>
      </c>
      <c r="AL25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3" s="259" t="str">
        <f>IFERROR(Table7[[#This Row],[No. of Defects Validated]]/SUMIFS(Table3[Hours Worked],Table3[Release Name],Table7[[#This Row],[Release Name]],Table3[Task Type],"Defect Validation")*9,"")</f>
        <v/>
      </c>
      <c r="AN253" s="258" t="str">
        <f>IFERROR((Table7[[#This Row],[No. of Valid  Internal Testing Defects]])/(Table7[[#This Row],[No. of Valid  Internal Testing Defects]]+Table7[[#This Row],[No. of Invalid Internal Testing Defects]]),"")</f>
        <v/>
      </c>
      <c r="AO253" s="258" t="str">
        <f>IFERROR(Table7[[#This Row],[No. of Valid External Testing Defects]]/(Table7[[#This Row],[No. of Valid External Testing Defects]]+Table7[[#This Row],[No. of Valid  Internal Testing Defects]]),"")</f>
        <v/>
      </c>
    </row>
    <row r="254" spans="2:41">
      <c r="B254" s="237"/>
      <c r="C254" s="14"/>
      <c r="D254" s="14"/>
      <c r="E254" s="14"/>
      <c r="F254" s="230" t="str">
        <f>IFERROR((Table47[[#This Row],[Initial No. of Requirements]]+Table47[[#This Row],[Modified Requirements( Added / Deleted /Modified)]])/Table47[[#This Row],[Initial No. of Requirements]],"")</f>
        <v/>
      </c>
      <c r="G25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4" s="249"/>
      <c r="J254" s="249"/>
      <c r="K254" s="250"/>
      <c r="L254" s="250"/>
      <c r="M254" s="250"/>
      <c r="N254" s="248">
        <f>SUMIFS(Table1[Size],Table1[Release Name],[2]!Table7[Release Name])</f>
        <v>0</v>
      </c>
      <c r="O254" s="248"/>
      <c r="P25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4" s="248"/>
      <c r="R25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4" s="248"/>
      <c r="T254" s="248"/>
      <c r="U254" s="248"/>
      <c r="V254" s="248"/>
      <c r="W254" s="248"/>
      <c r="X254" s="248"/>
      <c r="Y254" s="248"/>
      <c r="Z254" s="248"/>
      <c r="AA254" s="248"/>
      <c r="AB254" s="13">
        <f>SUMIFS(Table3[Hours Worked],Table3[Release Name],Table7[[#This Row],[Release Name]],Table3[Task Type],"Testcase Creation")</f>
        <v>0</v>
      </c>
      <c r="AC254" s="255">
        <f>SUMIFS(Table3[Hours Worked],Table3[Release Name],Table7[[#This Row],[Release Name]],Table3[Task Type],"Testcase Execution")</f>
        <v>0</v>
      </c>
      <c r="AD25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4" s="256" t="str">
        <f>IFERROR((Table7[[#This Row],[No. of Valid Internal Review Defects]]+Table7[[#This Row],[No. of Valid  Internal Testing Defects]]+Table7[[#This Row],[No. of  Valid External Review Defects]]+Table7[[#This Row],[No. of Valid External Testing Defects]])/Table7[[#This Row],[Size]],"")</f>
        <v/>
      </c>
      <c r="AF254" s="257" t="str">
        <f>IFERROR(Table7[[#This Row],[No. of Valid Internal Review Defects]]/(Table7[[#This Row],[No. of Valid Internal Review Defects]]+Table7[[#This Row],[No. of  Valid External Review Defects]]+Table7[[#This Row],[No. of Valid  Internal Testing Defects]]+Table7[[#This Row],[No. of Valid External Testing Defects]]),"")</f>
        <v/>
      </c>
      <c r="AG254" s="258" t="str">
        <f>IFERROR(Table7[[#This Row],[No. of Valid Internal Review Defects]]/(Table7[[#This Row],[No. of Valid Internal Review Defects]]+Table7[[#This Row],[No. of  Valid External Review Defects]]+Table7[[#This Row],[No. of Valid External Testing Defects]]),"")</f>
        <v/>
      </c>
      <c r="AH254" s="256" t="str">
        <f>IFERROR(Table7[[#This Row],[No. of Valid  Internal Testing Defects]]/Table7[[#This Row],[Overall Actual Effort for the release]],"")</f>
        <v/>
      </c>
      <c r="AI254" s="256" t="str">
        <f>IFERROR(Table7[[#This Row],[No. of Valid  Internal Testing Defects]]/Table7[[#This Row],[No. of Testcases Executed]],"")</f>
        <v/>
      </c>
      <c r="AJ254" s="259" t="str">
        <f>IFERROR(IFERROR(Table7[[#This Row],[No. of Testcases Created]]/Table7[[#This Row],[Effort for Testcase Creation]],"")*9,"")</f>
        <v/>
      </c>
      <c r="AK254" s="256" t="str">
        <f>IFERROR((Table7[[#This Row],[No. of Testcases Executed]]/Table7[[#This Row],[Effort for Testcase Execution]])*9,"")</f>
        <v/>
      </c>
      <c r="AL25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4" s="259" t="str">
        <f>IFERROR(Table7[[#This Row],[No. of Defects Validated]]/SUMIFS(Table3[Hours Worked],Table3[Release Name],Table7[[#This Row],[Release Name]],Table3[Task Type],"Defect Validation")*9,"")</f>
        <v/>
      </c>
      <c r="AN254" s="258" t="str">
        <f>IFERROR((Table7[[#This Row],[No. of Valid  Internal Testing Defects]])/(Table7[[#This Row],[No. of Valid  Internal Testing Defects]]+Table7[[#This Row],[No. of Invalid Internal Testing Defects]]),"")</f>
        <v/>
      </c>
      <c r="AO254" s="258" t="str">
        <f>IFERROR(Table7[[#This Row],[No. of Valid External Testing Defects]]/(Table7[[#This Row],[No. of Valid External Testing Defects]]+Table7[[#This Row],[No. of Valid  Internal Testing Defects]]),"")</f>
        <v/>
      </c>
    </row>
    <row r="255" spans="2:41">
      <c r="B255" s="237"/>
      <c r="C255" s="14"/>
      <c r="D255" s="14"/>
      <c r="E255" s="14"/>
      <c r="F255" s="230" t="str">
        <f>IFERROR((Table47[[#This Row],[Initial No. of Requirements]]+Table47[[#This Row],[Modified Requirements( Added / Deleted /Modified)]])/Table47[[#This Row],[Initial No. of Requirements]],"")</f>
        <v/>
      </c>
      <c r="G25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5" s="249"/>
      <c r="J255" s="249"/>
      <c r="K255" s="250"/>
      <c r="L255" s="250"/>
      <c r="M255" s="250"/>
      <c r="N255" s="248">
        <f>SUMIFS(Table1[Size],Table1[Release Name],[2]!Table7[Release Name])</f>
        <v>0</v>
      </c>
      <c r="O255" s="248"/>
      <c r="P25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5" s="248"/>
      <c r="R25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5" s="248"/>
      <c r="T255" s="248"/>
      <c r="U255" s="248"/>
      <c r="V255" s="248"/>
      <c r="W255" s="248"/>
      <c r="X255" s="248"/>
      <c r="Y255" s="248"/>
      <c r="Z255" s="248"/>
      <c r="AA255" s="248"/>
      <c r="AB255" s="13">
        <f>SUMIFS(Table3[Hours Worked],Table3[Release Name],Table7[[#This Row],[Release Name]],Table3[Task Type],"Testcase Creation")</f>
        <v>0</v>
      </c>
      <c r="AC255" s="255">
        <f>SUMIFS(Table3[Hours Worked],Table3[Release Name],Table7[[#This Row],[Release Name]],Table3[Task Type],"Testcase Execution")</f>
        <v>0</v>
      </c>
      <c r="AD25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5" s="256" t="str">
        <f>IFERROR((Table7[[#This Row],[No. of Valid Internal Review Defects]]+Table7[[#This Row],[No. of Valid  Internal Testing Defects]]+Table7[[#This Row],[No. of  Valid External Review Defects]]+Table7[[#This Row],[No. of Valid External Testing Defects]])/Table7[[#This Row],[Size]],"")</f>
        <v/>
      </c>
      <c r="AF255" s="257" t="str">
        <f>IFERROR(Table7[[#This Row],[No. of Valid Internal Review Defects]]/(Table7[[#This Row],[No. of Valid Internal Review Defects]]+Table7[[#This Row],[No. of  Valid External Review Defects]]+Table7[[#This Row],[No. of Valid  Internal Testing Defects]]+Table7[[#This Row],[No. of Valid External Testing Defects]]),"")</f>
        <v/>
      </c>
      <c r="AG255" s="258" t="str">
        <f>IFERROR(Table7[[#This Row],[No. of Valid Internal Review Defects]]/(Table7[[#This Row],[No. of Valid Internal Review Defects]]+Table7[[#This Row],[No. of  Valid External Review Defects]]+Table7[[#This Row],[No. of Valid External Testing Defects]]),"")</f>
        <v/>
      </c>
      <c r="AH255" s="256" t="str">
        <f>IFERROR(Table7[[#This Row],[No. of Valid  Internal Testing Defects]]/Table7[[#This Row],[Overall Actual Effort for the release]],"")</f>
        <v/>
      </c>
      <c r="AI255" s="256" t="str">
        <f>IFERROR(Table7[[#This Row],[No. of Valid  Internal Testing Defects]]/Table7[[#This Row],[No. of Testcases Executed]],"")</f>
        <v/>
      </c>
      <c r="AJ255" s="259" t="str">
        <f>IFERROR(IFERROR(Table7[[#This Row],[No. of Testcases Created]]/Table7[[#This Row],[Effort for Testcase Creation]],"")*9,"")</f>
        <v/>
      </c>
      <c r="AK255" s="256" t="str">
        <f>IFERROR((Table7[[#This Row],[No. of Testcases Executed]]/Table7[[#This Row],[Effort for Testcase Execution]])*9,"")</f>
        <v/>
      </c>
      <c r="AL25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5" s="259" t="str">
        <f>IFERROR(Table7[[#This Row],[No. of Defects Validated]]/SUMIFS(Table3[Hours Worked],Table3[Release Name],Table7[[#This Row],[Release Name]],Table3[Task Type],"Defect Validation")*9,"")</f>
        <v/>
      </c>
      <c r="AN255" s="258" t="str">
        <f>IFERROR((Table7[[#This Row],[No. of Valid  Internal Testing Defects]])/(Table7[[#This Row],[No. of Valid  Internal Testing Defects]]+Table7[[#This Row],[No. of Invalid Internal Testing Defects]]),"")</f>
        <v/>
      </c>
      <c r="AO255" s="258" t="str">
        <f>IFERROR(Table7[[#This Row],[No. of Valid External Testing Defects]]/(Table7[[#This Row],[No. of Valid External Testing Defects]]+Table7[[#This Row],[No. of Valid  Internal Testing Defects]]),"")</f>
        <v/>
      </c>
    </row>
    <row r="256" spans="2:41">
      <c r="B256" s="237"/>
      <c r="C256" s="14"/>
      <c r="D256" s="14"/>
      <c r="E256" s="14"/>
      <c r="F256" s="230" t="str">
        <f>IFERROR((Table47[[#This Row],[Initial No. of Requirements]]+Table47[[#This Row],[Modified Requirements( Added / Deleted /Modified)]])/Table47[[#This Row],[Initial No. of Requirements]],"")</f>
        <v/>
      </c>
      <c r="G25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6" s="249"/>
      <c r="J256" s="249"/>
      <c r="K256" s="250"/>
      <c r="L256" s="250"/>
      <c r="M256" s="250"/>
      <c r="N256" s="248">
        <f>SUMIFS(Table1[Size],Table1[Release Name],[2]!Table7[Release Name])</f>
        <v>0</v>
      </c>
      <c r="O256" s="248"/>
      <c r="P25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6" s="248"/>
      <c r="R25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6" s="248"/>
      <c r="T256" s="248"/>
      <c r="U256" s="248"/>
      <c r="V256" s="248"/>
      <c r="W256" s="248"/>
      <c r="X256" s="248"/>
      <c r="Y256" s="248"/>
      <c r="Z256" s="248"/>
      <c r="AA256" s="248"/>
      <c r="AB256" s="13">
        <f>SUMIFS(Table3[Hours Worked],Table3[Release Name],Table7[[#This Row],[Release Name]],Table3[Task Type],"Testcase Creation")</f>
        <v>0</v>
      </c>
      <c r="AC256" s="255">
        <f>SUMIFS(Table3[Hours Worked],Table3[Release Name],Table7[[#This Row],[Release Name]],Table3[Task Type],"Testcase Execution")</f>
        <v>0</v>
      </c>
      <c r="AD25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6" s="256" t="str">
        <f>IFERROR((Table7[[#This Row],[No. of Valid Internal Review Defects]]+Table7[[#This Row],[No. of Valid  Internal Testing Defects]]+Table7[[#This Row],[No. of  Valid External Review Defects]]+Table7[[#This Row],[No. of Valid External Testing Defects]])/Table7[[#This Row],[Size]],"")</f>
        <v/>
      </c>
      <c r="AF256" s="257" t="str">
        <f>IFERROR(Table7[[#This Row],[No. of Valid Internal Review Defects]]/(Table7[[#This Row],[No. of Valid Internal Review Defects]]+Table7[[#This Row],[No. of  Valid External Review Defects]]+Table7[[#This Row],[No. of Valid  Internal Testing Defects]]+Table7[[#This Row],[No. of Valid External Testing Defects]]),"")</f>
        <v/>
      </c>
      <c r="AG256" s="258" t="str">
        <f>IFERROR(Table7[[#This Row],[No. of Valid Internal Review Defects]]/(Table7[[#This Row],[No. of Valid Internal Review Defects]]+Table7[[#This Row],[No. of  Valid External Review Defects]]+Table7[[#This Row],[No. of Valid External Testing Defects]]),"")</f>
        <v/>
      </c>
      <c r="AH256" s="256" t="str">
        <f>IFERROR(Table7[[#This Row],[No. of Valid  Internal Testing Defects]]/Table7[[#This Row],[Overall Actual Effort for the release]],"")</f>
        <v/>
      </c>
      <c r="AI256" s="256" t="str">
        <f>IFERROR(Table7[[#This Row],[No. of Valid  Internal Testing Defects]]/Table7[[#This Row],[No. of Testcases Executed]],"")</f>
        <v/>
      </c>
      <c r="AJ256" s="259" t="str">
        <f>IFERROR(IFERROR(Table7[[#This Row],[No. of Testcases Created]]/Table7[[#This Row],[Effort for Testcase Creation]],"")*9,"")</f>
        <v/>
      </c>
      <c r="AK256" s="256" t="str">
        <f>IFERROR((Table7[[#This Row],[No. of Testcases Executed]]/Table7[[#This Row],[Effort for Testcase Execution]])*9,"")</f>
        <v/>
      </c>
      <c r="AL25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6" s="259" t="str">
        <f>IFERROR(Table7[[#This Row],[No. of Defects Validated]]/SUMIFS(Table3[Hours Worked],Table3[Release Name],Table7[[#This Row],[Release Name]],Table3[Task Type],"Defect Validation")*9,"")</f>
        <v/>
      </c>
      <c r="AN256" s="258" t="str">
        <f>IFERROR((Table7[[#This Row],[No. of Valid  Internal Testing Defects]])/(Table7[[#This Row],[No. of Valid  Internal Testing Defects]]+Table7[[#This Row],[No. of Invalid Internal Testing Defects]]),"")</f>
        <v/>
      </c>
      <c r="AO256" s="258" t="str">
        <f>IFERROR(Table7[[#This Row],[No. of Valid External Testing Defects]]/(Table7[[#This Row],[No. of Valid External Testing Defects]]+Table7[[#This Row],[No. of Valid  Internal Testing Defects]]),"")</f>
        <v/>
      </c>
    </row>
    <row r="257" spans="2:41">
      <c r="B257" s="237"/>
      <c r="C257" s="14"/>
      <c r="D257" s="14"/>
      <c r="E257" s="14"/>
      <c r="F257" s="230" t="str">
        <f>IFERROR((Table47[[#This Row],[Initial No. of Requirements]]+Table47[[#This Row],[Modified Requirements( Added / Deleted /Modified)]])/Table47[[#This Row],[Initial No. of Requirements]],"")</f>
        <v/>
      </c>
      <c r="G25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7" s="249"/>
      <c r="J257" s="249"/>
      <c r="K257" s="250"/>
      <c r="L257" s="250"/>
      <c r="M257" s="250"/>
      <c r="N257" s="248">
        <f>SUMIFS(Table1[Size],Table1[Release Name],[2]!Table7[Release Name])</f>
        <v>0</v>
      </c>
      <c r="O257" s="248"/>
      <c r="P25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7" s="248"/>
      <c r="R25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7" s="248"/>
      <c r="T257" s="248"/>
      <c r="U257" s="248"/>
      <c r="V257" s="248"/>
      <c r="W257" s="248"/>
      <c r="X257" s="248"/>
      <c r="Y257" s="248"/>
      <c r="Z257" s="248"/>
      <c r="AA257" s="248"/>
      <c r="AB257" s="13">
        <f>SUMIFS(Table3[Hours Worked],Table3[Release Name],Table7[[#This Row],[Release Name]],Table3[Task Type],"Testcase Creation")</f>
        <v>0</v>
      </c>
      <c r="AC257" s="255">
        <f>SUMIFS(Table3[Hours Worked],Table3[Release Name],Table7[[#This Row],[Release Name]],Table3[Task Type],"Testcase Execution")</f>
        <v>0</v>
      </c>
      <c r="AD25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7" s="256" t="str">
        <f>IFERROR((Table7[[#This Row],[No. of Valid Internal Review Defects]]+Table7[[#This Row],[No. of Valid  Internal Testing Defects]]+Table7[[#This Row],[No. of  Valid External Review Defects]]+Table7[[#This Row],[No. of Valid External Testing Defects]])/Table7[[#This Row],[Size]],"")</f>
        <v/>
      </c>
      <c r="AF257" s="257" t="str">
        <f>IFERROR(Table7[[#This Row],[No. of Valid Internal Review Defects]]/(Table7[[#This Row],[No. of Valid Internal Review Defects]]+Table7[[#This Row],[No. of  Valid External Review Defects]]+Table7[[#This Row],[No. of Valid  Internal Testing Defects]]+Table7[[#This Row],[No. of Valid External Testing Defects]]),"")</f>
        <v/>
      </c>
      <c r="AG257" s="258" t="str">
        <f>IFERROR(Table7[[#This Row],[No. of Valid Internal Review Defects]]/(Table7[[#This Row],[No. of Valid Internal Review Defects]]+Table7[[#This Row],[No. of  Valid External Review Defects]]+Table7[[#This Row],[No. of Valid External Testing Defects]]),"")</f>
        <v/>
      </c>
      <c r="AH257" s="256" t="str">
        <f>IFERROR(Table7[[#This Row],[No. of Valid  Internal Testing Defects]]/Table7[[#This Row],[Overall Actual Effort for the release]],"")</f>
        <v/>
      </c>
      <c r="AI257" s="256" t="str">
        <f>IFERROR(Table7[[#This Row],[No. of Valid  Internal Testing Defects]]/Table7[[#This Row],[No. of Testcases Executed]],"")</f>
        <v/>
      </c>
      <c r="AJ257" s="259" t="str">
        <f>IFERROR(IFERROR(Table7[[#This Row],[No. of Testcases Created]]/Table7[[#This Row],[Effort for Testcase Creation]],"")*9,"")</f>
        <v/>
      </c>
      <c r="AK257" s="256" t="str">
        <f>IFERROR((Table7[[#This Row],[No. of Testcases Executed]]/Table7[[#This Row],[Effort for Testcase Execution]])*9,"")</f>
        <v/>
      </c>
      <c r="AL25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7" s="259" t="str">
        <f>IFERROR(Table7[[#This Row],[No. of Defects Validated]]/SUMIFS(Table3[Hours Worked],Table3[Release Name],Table7[[#This Row],[Release Name]],Table3[Task Type],"Defect Validation")*9,"")</f>
        <v/>
      </c>
      <c r="AN257" s="258" t="str">
        <f>IFERROR((Table7[[#This Row],[No. of Valid  Internal Testing Defects]])/(Table7[[#This Row],[No. of Valid  Internal Testing Defects]]+Table7[[#This Row],[No. of Invalid Internal Testing Defects]]),"")</f>
        <v/>
      </c>
      <c r="AO257" s="258" t="str">
        <f>IFERROR(Table7[[#This Row],[No. of Valid External Testing Defects]]/(Table7[[#This Row],[No. of Valid External Testing Defects]]+Table7[[#This Row],[No. of Valid  Internal Testing Defects]]),"")</f>
        <v/>
      </c>
    </row>
    <row r="258" spans="2:41">
      <c r="B258" s="237"/>
      <c r="C258" s="14"/>
      <c r="D258" s="14"/>
      <c r="E258" s="14"/>
      <c r="F258" s="230" t="str">
        <f>IFERROR((Table47[[#This Row],[Initial No. of Requirements]]+Table47[[#This Row],[Modified Requirements( Added / Deleted /Modified)]])/Table47[[#This Row],[Initial No. of Requirements]],"")</f>
        <v/>
      </c>
      <c r="G25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8" s="249"/>
      <c r="J258" s="249"/>
      <c r="K258" s="250"/>
      <c r="L258" s="250"/>
      <c r="M258" s="250"/>
      <c r="N258" s="248">
        <f>SUMIFS(Table1[Size],Table1[Release Name],[2]!Table7[Release Name])</f>
        <v>0</v>
      </c>
      <c r="O258" s="248"/>
      <c r="P25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8" s="248"/>
      <c r="R25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8" s="248"/>
      <c r="T258" s="248"/>
      <c r="U258" s="248"/>
      <c r="V258" s="248"/>
      <c r="W258" s="248"/>
      <c r="X258" s="248"/>
      <c r="Y258" s="248"/>
      <c r="Z258" s="248"/>
      <c r="AA258" s="248"/>
      <c r="AB258" s="13">
        <f>SUMIFS(Table3[Hours Worked],Table3[Release Name],Table7[[#This Row],[Release Name]],Table3[Task Type],"Testcase Creation")</f>
        <v>0</v>
      </c>
      <c r="AC258" s="255">
        <f>SUMIFS(Table3[Hours Worked],Table3[Release Name],Table7[[#This Row],[Release Name]],Table3[Task Type],"Testcase Execution")</f>
        <v>0</v>
      </c>
      <c r="AD25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8" s="256" t="str">
        <f>IFERROR((Table7[[#This Row],[No. of Valid Internal Review Defects]]+Table7[[#This Row],[No. of Valid  Internal Testing Defects]]+Table7[[#This Row],[No. of  Valid External Review Defects]]+Table7[[#This Row],[No. of Valid External Testing Defects]])/Table7[[#This Row],[Size]],"")</f>
        <v/>
      </c>
      <c r="AF258" s="257" t="str">
        <f>IFERROR(Table7[[#This Row],[No. of Valid Internal Review Defects]]/(Table7[[#This Row],[No. of Valid Internal Review Defects]]+Table7[[#This Row],[No. of  Valid External Review Defects]]+Table7[[#This Row],[No. of Valid  Internal Testing Defects]]+Table7[[#This Row],[No. of Valid External Testing Defects]]),"")</f>
        <v/>
      </c>
      <c r="AG258" s="258" t="str">
        <f>IFERROR(Table7[[#This Row],[No. of Valid Internal Review Defects]]/(Table7[[#This Row],[No. of Valid Internal Review Defects]]+Table7[[#This Row],[No. of  Valid External Review Defects]]+Table7[[#This Row],[No. of Valid External Testing Defects]]),"")</f>
        <v/>
      </c>
      <c r="AH258" s="256" t="str">
        <f>IFERROR(Table7[[#This Row],[No. of Valid  Internal Testing Defects]]/Table7[[#This Row],[Overall Actual Effort for the release]],"")</f>
        <v/>
      </c>
      <c r="AI258" s="256" t="str">
        <f>IFERROR(Table7[[#This Row],[No. of Valid  Internal Testing Defects]]/Table7[[#This Row],[No. of Testcases Executed]],"")</f>
        <v/>
      </c>
      <c r="AJ258" s="259" t="str">
        <f>IFERROR(IFERROR(Table7[[#This Row],[No. of Testcases Created]]/Table7[[#This Row],[Effort for Testcase Creation]],"")*9,"")</f>
        <v/>
      </c>
      <c r="AK258" s="256" t="str">
        <f>IFERROR((Table7[[#This Row],[No. of Testcases Executed]]/Table7[[#This Row],[Effort for Testcase Execution]])*9,"")</f>
        <v/>
      </c>
      <c r="AL25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8" s="259" t="str">
        <f>IFERROR(Table7[[#This Row],[No. of Defects Validated]]/SUMIFS(Table3[Hours Worked],Table3[Release Name],Table7[[#This Row],[Release Name]],Table3[Task Type],"Defect Validation")*9,"")</f>
        <v/>
      </c>
      <c r="AN258" s="258" t="str">
        <f>IFERROR((Table7[[#This Row],[No. of Valid  Internal Testing Defects]])/(Table7[[#This Row],[No. of Valid  Internal Testing Defects]]+Table7[[#This Row],[No. of Invalid Internal Testing Defects]]),"")</f>
        <v/>
      </c>
      <c r="AO258" s="258" t="str">
        <f>IFERROR(Table7[[#This Row],[No. of Valid External Testing Defects]]/(Table7[[#This Row],[No. of Valid External Testing Defects]]+Table7[[#This Row],[No. of Valid  Internal Testing Defects]]),"")</f>
        <v/>
      </c>
    </row>
    <row r="259" spans="2:41">
      <c r="B259" s="237"/>
      <c r="C259" s="14"/>
      <c r="D259" s="14"/>
      <c r="E259" s="14"/>
      <c r="F259" s="230" t="str">
        <f>IFERROR((Table47[[#This Row],[Initial No. of Requirements]]+Table47[[#This Row],[Modified Requirements( Added / Deleted /Modified)]])/Table47[[#This Row],[Initial No. of Requirements]],"")</f>
        <v/>
      </c>
      <c r="G25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59" s="249"/>
      <c r="J259" s="249"/>
      <c r="K259" s="250"/>
      <c r="L259" s="250"/>
      <c r="M259" s="250"/>
      <c r="N259" s="248">
        <f>SUMIFS(Table1[Size],Table1[Release Name],[2]!Table7[Release Name])</f>
        <v>0</v>
      </c>
      <c r="O259" s="248"/>
      <c r="P25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59" s="248"/>
      <c r="R25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59" s="248"/>
      <c r="T259" s="248"/>
      <c r="U259" s="248"/>
      <c r="V259" s="248"/>
      <c r="W259" s="248"/>
      <c r="X259" s="248"/>
      <c r="Y259" s="248"/>
      <c r="Z259" s="248"/>
      <c r="AA259" s="248"/>
      <c r="AB259" s="13">
        <f>SUMIFS(Table3[Hours Worked],Table3[Release Name],Table7[[#This Row],[Release Name]],Table3[Task Type],"Testcase Creation")</f>
        <v>0</v>
      </c>
      <c r="AC259" s="255">
        <f>SUMIFS(Table3[Hours Worked],Table3[Release Name],Table7[[#This Row],[Release Name]],Table3[Task Type],"Testcase Execution")</f>
        <v>0</v>
      </c>
      <c r="AD25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59" s="256" t="str">
        <f>IFERROR((Table7[[#This Row],[No. of Valid Internal Review Defects]]+Table7[[#This Row],[No. of Valid  Internal Testing Defects]]+Table7[[#This Row],[No. of  Valid External Review Defects]]+Table7[[#This Row],[No. of Valid External Testing Defects]])/Table7[[#This Row],[Size]],"")</f>
        <v/>
      </c>
      <c r="AF259" s="257" t="str">
        <f>IFERROR(Table7[[#This Row],[No. of Valid Internal Review Defects]]/(Table7[[#This Row],[No. of Valid Internal Review Defects]]+Table7[[#This Row],[No. of  Valid External Review Defects]]+Table7[[#This Row],[No. of Valid  Internal Testing Defects]]+Table7[[#This Row],[No. of Valid External Testing Defects]]),"")</f>
        <v/>
      </c>
      <c r="AG259" s="258" t="str">
        <f>IFERROR(Table7[[#This Row],[No. of Valid Internal Review Defects]]/(Table7[[#This Row],[No. of Valid Internal Review Defects]]+Table7[[#This Row],[No. of  Valid External Review Defects]]+Table7[[#This Row],[No. of Valid External Testing Defects]]),"")</f>
        <v/>
      </c>
      <c r="AH259" s="256" t="str">
        <f>IFERROR(Table7[[#This Row],[No. of Valid  Internal Testing Defects]]/Table7[[#This Row],[Overall Actual Effort for the release]],"")</f>
        <v/>
      </c>
      <c r="AI259" s="256" t="str">
        <f>IFERROR(Table7[[#This Row],[No. of Valid  Internal Testing Defects]]/Table7[[#This Row],[No. of Testcases Executed]],"")</f>
        <v/>
      </c>
      <c r="AJ259" s="259" t="str">
        <f>IFERROR(IFERROR(Table7[[#This Row],[No. of Testcases Created]]/Table7[[#This Row],[Effort for Testcase Creation]],"")*9,"")</f>
        <v/>
      </c>
      <c r="AK259" s="256" t="str">
        <f>IFERROR((Table7[[#This Row],[No. of Testcases Executed]]/Table7[[#This Row],[Effort for Testcase Execution]])*9,"")</f>
        <v/>
      </c>
      <c r="AL25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59" s="259" t="str">
        <f>IFERROR(Table7[[#This Row],[No. of Defects Validated]]/SUMIFS(Table3[Hours Worked],Table3[Release Name],Table7[[#This Row],[Release Name]],Table3[Task Type],"Defect Validation")*9,"")</f>
        <v/>
      </c>
      <c r="AN259" s="258" t="str">
        <f>IFERROR((Table7[[#This Row],[No. of Valid  Internal Testing Defects]])/(Table7[[#This Row],[No. of Valid  Internal Testing Defects]]+Table7[[#This Row],[No. of Invalid Internal Testing Defects]]),"")</f>
        <v/>
      </c>
      <c r="AO259" s="258" t="str">
        <f>IFERROR(Table7[[#This Row],[No. of Valid External Testing Defects]]/(Table7[[#This Row],[No. of Valid External Testing Defects]]+Table7[[#This Row],[No. of Valid  Internal Testing Defects]]),"")</f>
        <v/>
      </c>
    </row>
    <row r="260" spans="2:41">
      <c r="B260" s="237"/>
      <c r="C260" s="14"/>
      <c r="D260" s="14"/>
      <c r="E260" s="14"/>
      <c r="F260" s="230" t="str">
        <f>IFERROR((Table47[[#This Row],[Initial No. of Requirements]]+Table47[[#This Row],[Modified Requirements( Added / Deleted /Modified)]])/Table47[[#This Row],[Initial No. of Requirements]],"")</f>
        <v/>
      </c>
      <c r="G26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0" s="249"/>
      <c r="J260" s="249"/>
      <c r="K260" s="250"/>
      <c r="L260" s="250"/>
      <c r="M260" s="250"/>
      <c r="N260" s="248">
        <f>SUMIFS(Table1[Size],Table1[Release Name],[2]!Table7[Release Name])</f>
        <v>0</v>
      </c>
      <c r="O260" s="248"/>
      <c r="P26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0" s="248"/>
      <c r="R26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0" s="248"/>
      <c r="T260" s="248"/>
      <c r="U260" s="248"/>
      <c r="V260" s="248"/>
      <c r="W260" s="248"/>
      <c r="X260" s="248"/>
      <c r="Y260" s="248"/>
      <c r="Z260" s="248"/>
      <c r="AA260" s="248"/>
      <c r="AB260" s="13">
        <f>SUMIFS(Table3[Hours Worked],Table3[Release Name],Table7[[#This Row],[Release Name]],Table3[Task Type],"Testcase Creation")</f>
        <v>0</v>
      </c>
      <c r="AC260" s="255">
        <f>SUMIFS(Table3[Hours Worked],Table3[Release Name],Table7[[#This Row],[Release Name]],Table3[Task Type],"Testcase Execution")</f>
        <v>0</v>
      </c>
      <c r="AD26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0" s="256" t="str">
        <f>IFERROR((Table7[[#This Row],[No. of Valid Internal Review Defects]]+Table7[[#This Row],[No. of Valid  Internal Testing Defects]]+Table7[[#This Row],[No. of  Valid External Review Defects]]+Table7[[#This Row],[No. of Valid External Testing Defects]])/Table7[[#This Row],[Size]],"")</f>
        <v/>
      </c>
      <c r="AF260" s="257" t="str">
        <f>IFERROR(Table7[[#This Row],[No. of Valid Internal Review Defects]]/(Table7[[#This Row],[No. of Valid Internal Review Defects]]+Table7[[#This Row],[No. of  Valid External Review Defects]]+Table7[[#This Row],[No. of Valid  Internal Testing Defects]]+Table7[[#This Row],[No. of Valid External Testing Defects]]),"")</f>
        <v/>
      </c>
      <c r="AG260" s="258" t="str">
        <f>IFERROR(Table7[[#This Row],[No. of Valid Internal Review Defects]]/(Table7[[#This Row],[No. of Valid Internal Review Defects]]+Table7[[#This Row],[No. of  Valid External Review Defects]]+Table7[[#This Row],[No. of Valid External Testing Defects]]),"")</f>
        <v/>
      </c>
      <c r="AH260" s="256" t="str">
        <f>IFERROR(Table7[[#This Row],[No. of Valid  Internal Testing Defects]]/Table7[[#This Row],[Overall Actual Effort for the release]],"")</f>
        <v/>
      </c>
      <c r="AI260" s="256" t="str">
        <f>IFERROR(Table7[[#This Row],[No. of Valid  Internal Testing Defects]]/Table7[[#This Row],[No. of Testcases Executed]],"")</f>
        <v/>
      </c>
      <c r="AJ260" s="259" t="str">
        <f>IFERROR(IFERROR(Table7[[#This Row],[No. of Testcases Created]]/Table7[[#This Row],[Effort for Testcase Creation]],"")*9,"")</f>
        <v/>
      </c>
      <c r="AK260" s="256" t="str">
        <f>IFERROR((Table7[[#This Row],[No. of Testcases Executed]]/Table7[[#This Row],[Effort for Testcase Execution]])*9,"")</f>
        <v/>
      </c>
      <c r="AL26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0" s="259" t="str">
        <f>IFERROR(Table7[[#This Row],[No. of Defects Validated]]/SUMIFS(Table3[Hours Worked],Table3[Release Name],Table7[[#This Row],[Release Name]],Table3[Task Type],"Defect Validation")*9,"")</f>
        <v/>
      </c>
      <c r="AN260" s="258" t="str">
        <f>IFERROR((Table7[[#This Row],[No. of Valid  Internal Testing Defects]])/(Table7[[#This Row],[No. of Valid  Internal Testing Defects]]+Table7[[#This Row],[No. of Invalid Internal Testing Defects]]),"")</f>
        <v/>
      </c>
      <c r="AO260" s="258" t="str">
        <f>IFERROR(Table7[[#This Row],[No. of Valid External Testing Defects]]/(Table7[[#This Row],[No. of Valid External Testing Defects]]+Table7[[#This Row],[No. of Valid  Internal Testing Defects]]),"")</f>
        <v/>
      </c>
    </row>
    <row r="261" spans="2:41">
      <c r="B261" s="237"/>
      <c r="C261" s="14"/>
      <c r="D261" s="14"/>
      <c r="E261" s="14"/>
      <c r="F261" s="230" t="str">
        <f>IFERROR((Table47[[#This Row],[Initial No. of Requirements]]+Table47[[#This Row],[Modified Requirements( Added / Deleted /Modified)]])/Table47[[#This Row],[Initial No. of Requirements]],"")</f>
        <v/>
      </c>
      <c r="G26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1" s="249"/>
      <c r="J261" s="249"/>
      <c r="K261" s="250"/>
      <c r="L261" s="250"/>
      <c r="M261" s="250"/>
      <c r="N261" s="248">
        <f>SUMIFS(Table1[Size],Table1[Release Name],[2]!Table7[Release Name])</f>
        <v>0</v>
      </c>
      <c r="O261" s="248"/>
      <c r="P26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1" s="248"/>
      <c r="R26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1" s="248"/>
      <c r="T261" s="248"/>
      <c r="U261" s="248"/>
      <c r="V261" s="248"/>
      <c r="W261" s="248"/>
      <c r="X261" s="248"/>
      <c r="Y261" s="248"/>
      <c r="Z261" s="248"/>
      <c r="AA261" s="248"/>
      <c r="AB261" s="13">
        <f>SUMIFS(Table3[Hours Worked],Table3[Release Name],Table7[[#This Row],[Release Name]],Table3[Task Type],"Testcase Creation")</f>
        <v>0</v>
      </c>
      <c r="AC261" s="255">
        <f>SUMIFS(Table3[Hours Worked],Table3[Release Name],Table7[[#This Row],[Release Name]],Table3[Task Type],"Testcase Execution")</f>
        <v>0</v>
      </c>
      <c r="AD26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1" s="256" t="str">
        <f>IFERROR((Table7[[#This Row],[No. of Valid Internal Review Defects]]+Table7[[#This Row],[No. of Valid  Internal Testing Defects]]+Table7[[#This Row],[No. of  Valid External Review Defects]]+Table7[[#This Row],[No. of Valid External Testing Defects]])/Table7[[#This Row],[Size]],"")</f>
        <v/>
      </c>
      <c r="AF261" s="257" t="str">
        <f>IFERROR(Table7[[#This Row],[No. of Valid Internal Review Defects]]/(Table7[[#This Row],[No. of Valid Internal Review Defects]]+Table7[[#This Row],[No. of  Valid External Review Defects]]+Table7[[#This Row],[No. of Valid  Internal Testing Defects]]+Table7[[#This Row],[No. of Valid External Testing Defects]]),"")</f>
        <v/>
      </c>
      <c r="AG261" s="258" t="str">
        <f>IFERROR(Table7[[#This Row],[No. of Valid Internal Review Defects]]/(Table7[[#This Row],[No. of Valid Internal Review Defects]]+Table7[[#This Row],[No. of  Valid External Review Defects]]+Table7[[#This Row],[No. of Valid External Testing Defects]]),"")</f>
        <v/>
      </c>
      <c r="AH261" s="256" t="str">
        <f>IFERROR(Table7[[#This Row],[No. of Valid  Internal Testing Defects]]/Table7[[#This Row],[Overall Actual Effort for the release]],"")</f>
        <v/>
      </c>
      <c r="AI261" s="256" t="str">
        <f>IFERROR(Table7[[#This Row],[No. of Valid  Internal Testing Defects]]/Table7[[#This Row],[No. of Testcases Executed]],"")</f>
        <v/>
      </c>
      <c r="AJ261" s="259" t="str">
        <f>IFERROR(IFERROR(Table7[[#This Row],[No. of Testcases Created]]/Table7[[#This Row],[Effort for Testcase Creation]],"")*9,"")</f>
        <v/>
      </c>
      <c r="AK261" s="256" t="str">
        <f>IFERROR((Table7[[#This Row],[No. of Testcases Executed]]/Table7[[#This Row],[Effort for Testcase Execution]])*9,"")</f>
        <v/>
      </c>
      <c r="AL26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1" s="259" t="str">
        <f>IFERROR(Table7[[#This Row],[No. of Defects Validated]]/SUMIFS(Table3[Hours Worked],Table3[Release Name],Table7[[#This Row],[Release Name]],Table3[Task Type],"Defect Validation")*9,"")</f>
        <v/>
      </c>
      <c r="AN261" s="258" t="str">
        <f>IFERROR((Table7[[#This Row],[No. of Valid  Internal Testing Defects]])/(Table7[[#This Row],[No. of Valid  Internal Testing Defects]]+Table7[[#This Row],[No. of Invalid Internal Testing Defects]]),"")</f>
        <v/>
      </c>
      <c r="AO261" s="258" t="str">
        <f>IFERROR(Table7[[#This Row],[No. of Valid External Testing Defects]]/(Table7[[#This Row],[No. of Valid External Testing Defects]]+Table7[[#This Row],[No. of Valid  Internal Testing Defects]]),"")</f>
        <v/>
      </c>
    </row>
    <row r="262" spans="2:41">
      <c r="B262" s="237"/>
      <c r="C262" s="14"/>
      <c r="D262" s="14"/>
      <c r="E262" s="14"/>
      <c r="F262" s="230" t="str">
        <f>IFERROR((Table47[[#This Row],[Initial No. of Requirements]]+Table47[[#This Row],[Modified Requirements( Added / Deleted /Modified)]])/Table47[[#This Row],[Initial No. of Requirements]],"")</f>
        <v/>
      </c>
      <c r="G26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2" s="249"/>
      <c r="J262" s="249"/>
      <c r="K262" s="250"/>
      <c r="L262" s="250"/>
      <c r="M262" s="250"/>
      <c r="N262" s="248">
        <f>SUMIFS(Table1[Size],Table1[Release Name],[2]!Table7[Release Name])</f>
        <v>0</v>
      </c>
      <c r="O262" s="248"/>
      <c r="P26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2" s="248"/>
      <c r="R26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2" s="248"/>
      <c r="T262" s="248"/>
      <c r="U262" s="248"/>
      <c r="V262" s="248"/>
      <c r="W262" s="248"/>
      <c r="X262" s="248"/>
      <c r="Y262" s="248"/>
      <c r="Z262" s="248"/>
      <c r="AA262" s="248"/>
      <c r="AB262" s="13">
        <f>SUMIFS(Table3[Hours Worked],Table3[Release Name],Table7[[#This Row],[Release Name]],Table3[Task Type],"Testcase Creation")</f>
        <v>0</v>
      </c>
      <c r="AC262" s="255">
        <f>SUMIFS(Table3[Hours Worked],Table3[Release Name],Table7[[#This Row],[Release Name]],Table3[Task Type],"Testcase Execution")</f>
        <v>0</v>
      </c>
      <c r="AD26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2" s="256" t="str">
        <f>IFERROR((Table7[[#This Row],[No. of Valid Internal Review Defects]]+Table7[[#This Row],[No. of Valid  Internal Testing Defects]]+Table7[[#This Row],[No. of  Valid External Review Defects]]+Table7[[#This Row],[No. of Valid External Testing Defects]])/Table7[[#This Row],[Size]],"")</f>
        <v/>
      </c>
      <c r="AF262" s="257" t="str">
        <f>IFERROR(Table7[[#This Row],[No. of Valid Internal Review Defects]]/(Table7[[#This Row],[No. of Valid Internal Review Defects]]+Table7[[#This Row],[No. of  Valid External Review Defects]]+Table7[[#This Row],[No. of Valid  Internal Testing Defects]]+Table7[[#This Row],[No. of Valid External Testing Defects]]),"")</f>
        <v/>
      </c>
      <c r="AG262" s="258" t="str">
        <f>IFERROR(Table7[[#This Row],[No. of Valid Internal Review Defects]]/(Table7[[#This Row],[No. of Valid Internal Review Defects]]+Table7[[#This Row],[No. of  Valid External Review Defects]]+Table7[[#This Row],[No. of Valid External Testing Defects]]),"")</f>
        <v/>
      </c>
      <c r="AH262" s="256" t="str">
        <f>IFERROR(Table7[[#This Row],[No. of Valid  Internal Testing Defects]]/Table7[[#This Row],[Overall Actual Effort for the release]],"")</f>
        <v/>
      </c>
      <c r="AI262" s="256" t="str">
        <f>IFERROR(Table7[[#This Row],[No. of Valid  Internal Testing Defects]]/Table7[[#This Row],[No. of Testcases Executed]],"")</f>
        <v/>
      </c>
      <c r="AJ262" s="259" t="str">
        <f>IFERROR(IFERROR(Table7[[#This Row],[No. of Testcases Created]]/Table7[[#This Row],[Effort for Testcase Creation]],"")*9,"")</f>
        <v/>
      </c>
      <c r="AK262" s="256" t="str">
        <f>IFERROR((Table7[[#This Row],[No. of Testcases Executed]]/Table7[[#This Row],[Effort for Testcase Execution]])*9,"")</f>
        <v/>
      </c>
      <c r="AL26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2" s="259" t="str">
        <f>IFERROR(Table7[[#This Row],[No. of Defects Validated]]/SUMIFS(Table3[Hours Worked],Table3[Release Name],Table7[[#This Row],[Release Name]],Table3[Task Type],"Defect Validation")*9,"")</f>
        <v/>
      </c>
      <c r="AN262" s="258" t="str">
        <f>IFERROR((Table7[[#This Row],[No. of Valid  Internal Testing Defects]])/(Table7[[#This Row],[No. of Valid  Internal Testing Defects]]+Table7[[#This Row],[No. of Invalid Internal Testing Defects]]),"")</f>
        <v/>
      </c>
      <c r="AO262" s="258" t="str">
        <f>IFERROR(Table7[[#This Row],[No. of Valid External Testing Defects]]/(Table7[[#This Row],[No. of Valid External Testing Defects]]+Table7[[#This Row],[No. of Valid  Internal Testing Defects]]),"")</f>
        <v/>
      </c>
    </row>
    <row r="263" spans="2:41">
      <c r="B263" s="237"/>
      <c r="C263" s="14"/>
      <c r="D263" s="14"/>
      <c r="E263" s="14"/>
      <c r="F263" s="230" t="str">
        <f>IFERROR((Table47[[#This Row],[Initial No. of Requirements]]+Table47[[#This Row],[Modified Requirements( Added / Deleted /Modified)]])/Table47[[#This Row],[Initial No. of Requirements]],"")</f>
        <v/>
      </c>
      <c r="G26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3" s="249"/>
      <c r="J263" s="249"/>
      <c r="K263" s="250"/>
      <c r="L263" s="250"/>
      <c r="M263" s="250"/>
      <c r="N263" s="248">
        <f>SUMIFS(Table1[Size],Table1[Release Name],[2]!Table7[Release Name])</f>
        <v>0</v>
      </c>
      <c r="O263" s="248"/>
      <c r="P26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3" s="248"/>
      <c r="R26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3" s="248"/>
      <c r="T263" s="248"/>
      <c r="U263" s="248"/>
      <c r="V263" s="248"/>
      <c r="W263" s="248"/>
      <c r="X263" s="248"/>
      <c r="Y263" s="248"/>
      <c r="Z263" s="248"/>
      <c r="AA263" s="248"/>
      <c r="AB263" s="13">
        <f>SUMIFS(Table3[Hours Worked],Table3[Release Name],Table7[[#This Row],[Release Name]],Table3[Task Type],"Testcase Creation")</f>
        <v>0</v>
      </c>
      <c r="AC263" s="255">
        <f>SUMIFS(Table3[Hours Worked],Table3[Release Name],Table7[[#This Row],[Release Name]],Table3[Task Type],"Testcase Execution")</f>
        <v>0</v>
      </c>
      <c r="AD26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3" s="256" t="str">
        <f>IFERROR((Table7[[#This Row],[No. of Valid Internal Review Defects]]+Table7[[#This Row],[No. of Valid  Internal Testing Defects]]+Table7[[#This Row],[No. of  Valid External Review Defects]]+Table7[[#This Row],[No. of Valid External Testing Defects]])/Table7[[#This Row],[Size]],"")</f>
        <v/>
      </c>
      <c r="AF263" s="257" t="str">
        <f>IFERROR(Table7[[#This Row],[No. of Valid Internal Review Defects]]/(Table7[[#This Row],[No. of Valid Internal Review Defects]]+Table7[[#This Row],[No. of  Valid External Review Defects]]+Table7[[#This Row],[No. of Valid  Internal Testing Defects]]+Table7[[#This Row],[No. of Valid External Testing Defects]]),"")</f>
        <v/>
      </c>
      <c r="AG263" s="258" t="str">
        <f>IFERROR(Table7[[#This Row],[No. of Valid Internal Review Defects]]/(Table7[[#This Row],[No. of Valid Internal Review Defects]]+Table7[[#This Row],[No. of  Valid External Review Defects]]+Table7[[#This Row],[No. of Valid External Testing Defects]]),"")</f>
        <v/>
      </c>
      <c r="AH263" s="256" t="str">
        <f>IFERROR(Table7[[#This Row],[No. of Valid  Internal Testing Defects]]/Table7[[#This Row],[Overall Actual Effort for the release]],"")</f>
        <v/>
      </c>
      <c r="AI263" s="256" t="str">
        <f>IFERROR(Table7[[#This Row],[No. of Valid  Internal Testing Defects]]/Table7[[#This Row],[No. of Testcases Executed]],"")</f>
        <v/>
      </c>
      <c r="AJ263" s="259" t="str">
        <f>IFERROR(IFERROR(Table7[[#This Row],[No. of Testcases Created]]/Table7[[#This Row],[Effort for Testcase Creation]],"")*9,"")</f>
        <v/>
      </c>
      <c r="AK263" s="256" t="str">
        <f>IFERROR((Table7[[#This Row],[No. of Testcases Executed]]/Table7[[#This Row],[Effort for Testcase Execution]])*9,"")</f>
        <v/>
      </c>
      <c r="AL26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3" s="259" t="str">
        <f>IFERROR(Table7[[#This Row],[No. of Defects Validated]]/SUMIFS(Table3[Hours Worked],Table3[Release Name],Table7[[#This Row],[Release Name]],Table3[Task Type],"Defect Validation")*9,"")</f>
        <v/>
      </c>
      <c r="AN263" s="258" t="str">
        <f>IFERROR((Table7[[#This Row],[No. of Valid  Internal Testing Defects]])/(Table7[[#This Row],[No. of Valid  Internal Testing Defects]]+Table7[[#This Row],[No. of Invalid Internal Testing Defects]]),"")</f>
        <v/>
      </c>
      <c r="AO263" s="258" t="str">
        <f>IFERROR(Table7[[#This Row],[No. of Valid External Testing Defects]]/(Table7[[#This Row],[No. of Valid External Testing Defects]]+Table7[[#This Row],[No. of Valid  Internal Testing Defects]]),"")</f>
        <v/>
      </c>
    </row>
    <row r="264" spans="2:41">
      <c r="B264" s="237"/>
      <c r="C264" s="14"/>
      <c r="D264" s="14"/>
      <c r="E264" s="14"/>
      <c r="F264" s="230" t="str">
        <f>IFERROR((Table47[[#This Row],[Initial No. of Requirements]]+Table47[[#This Row],[Modified Requirements( Added / Deleted /Modified)]])/Table47[[#This Row],[Initial No. of Requirements]],"")</f>
        <v/>
      </c>
      <c r="G26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4" s="249"/>
      <c r="J264" s="249"/>
      <c r="K264" s="250"/>
      <c r="L264" s="250"/>
      <c r="M264" s="250"/>
      <c r="N264" s="248">
        <f>SUMIFS(Table1[Size],Table1[Release Name],[2]!Table7[Release Name])</f>
        <v>0</v>
      </c>
      <c r="O264" s="248"/>
      <c r="P26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4" s="248"/>
      <c r="R26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4" s="248"/>
      <c r="T264" s="248"/>
      <c r="U264" s="248"/>
      <c r="V264" s="248"/>
      <c r="W264" s="248"/>
      <c r="X264" s="248"/>
      <c r="Y264" s="248"/>
      <c r="Z264" s="248"/>
      <c r="AA264" s="248"/>
      <c r="AB264" s="13">
        <f>SUMIFS(Table3[Hours Worked],Table3[Release Name],Table7[[#This Row],[Release Name]],Table3[Task Type],"Testcase Creation")</f>
        <v>0</v>
      </c>
      <c r="AC264" s="255">
        <f>SUMIFS(Table3[Hours Worked],Table3[Release Name],Table7[[#This Row],[Release Name]],Table3[Task Type],"Testcase Execution")</f>
        <v>0</v>
      </c>
      <c r="AD26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4" s="256" t="str">
        <f>IFERROR((Table7[[#This Row],[No. of Valid Internal Review Defects]]+Table7[[#This Row],[No. of Valid  Internal Testing Defects]]+Table7[[#This Row],[No. of  Valid External Review Defects]]+Table7[[#This Row],[No. of Valid External Testing Defects]])/Table7[[#This Row],[Size]],"")</f>
        <v/>
      </c>
      <c r="AF264" s="257" t="str">
        <f>IFERROR(Table7[[#This Row],[No. of Valid Internal Review Defects]]/(Table7[[#This Row],[No. of Valid Internal Review Defects]]+Table7[[#This Row],[No. of  Valid External Review Defects]]+Table7[[#This Row],[No. of Valid  Internal Testing Defects]]+Table7[[#This Row],[No. of Valid External Testing Defects]]),"")</f>
        <v/>
      </c>
      <c r="AG264" s="258" t="str">
        <f>IFERROR(Table7[[#This Row],[No. of Valid Internal Review Defects]]/(Table7[[#This Row],[No. of Valid Internal Review Defects]]+Table7[[#This Row],[No. of  Valid External Review Defects]]+Table7[[#This Row],[No. of Valid External Testing Defects]]),"")</f>
        <v/>
      </c>
      <c r="AH264" s="256" t="str">
        <f>IFERROR(Table7[[#This Row],[No. of Valid  Internal Testing Defects]]/Table7[[#This Row],[Overall Actual Effort for the release]],"")</f>
        <v/>
      </c>
      <c r="AI264" s="256" t="str">
        <f>IFERROR(Table7[[#This Row],[No. of Valid  Internal Testing Defects]]/Table7[[#This Row],[No. of Testcases Executed]],"")</f>
        <v/>
      </c>
      <c r="AJ264" s="259" t="str">
        <f>IFERROR(IFERROR(Table7[[#This Row],[No. of Testcases Created]]/Table7[[#This Row],[Effort for Testcase Creation]],"")*9,"")</f>
        <v/>
      </c>
      <c r="AK264" s="256" t="str">
        <f>IFERROR((Table7[[#This Row],[No. of Testcases Executed]]/Table7[[#This Row],[Effort for Testcase Execution]])*9,"")</f>
        <v/>
      </c>
      <c r="AL26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4" s="259" t="str">
        <f>IFERROR(Table7[[#This Row],[No. of Defects Validated]]/SUMIFS(Table3[Hours Worked],Table3[Release Name],Table7[[#This Row],[Release Name]],Table3[Task Type],"Defect Validation")*9,"")</f>
        <v/>
      </c>
      <c r="AN264" s="258" t="str">
        <f>IFERROR((Table7[[#This Row],[No. of Valid  Internal Testing Defects]])/(Table7[[#This Row],[No. of Valid  Internal Testing Defects]]+Table7[[#This Row],[No. of Invalid Internal Testing Defects]]),"")</f>
        <v/>
      </c>
      <c r="AO264" s="258" t="str">
        <f>IFERROR(Table7[[#This Row],[No. of Valid External Testing Defects]]/(Table7[[#This Row],[No. of Valid External Testing Defects]]+Table7[[#This Row],[No. of Valid  Internal Testing Defects]]),"")</f>
        <v/>
      </c>
    </row>
    <row r="265" spans="2:41">
      <c r="B265" s="237"/>
      <c r="C265" s="14"/>
      <c r="D265" s="14"/>
      <c r="E265" s="14"/>
      <c r="F265" s="230" t="str">
        <f>IFERROR((Table47[[#This Row],[Initial No. of Requirements]]+Table47[[#This Row],[Modified Requirements( Added / Deleted /Modified)]])/Table47[[#This Row],[Initial No. of Requirements]],"")</f>
        <v/>
      </c>
      <c r="G26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5" s="249"/>
      <c r="J265" s="249"/>
      <c r="K265" s="250"/>
      <c r="L265" s="250"/>
      <c r="M265" s="250"/>
      <c r="N265" s="248">
        <f>SUMIFS(Table1[Size],Table1[Release Name],[2]!Table7[Release Name])</f>
        <v>0</v>
      </c>
      <c r="O265" s="248"/>
      <c r="P26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5" s="248"/>
      <c r="R26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5" s="248"/>
      <c r="T265" s="248"/>
      <c r="U265" s="248"/>
      <c r="V265" s="248"/>
      <c r="W265" s="248"/>
      <c r="X265" s="248"/>
      <c r="Y265" s="248"/>
      <c r="Z265" s="248"/>
      <c r="AA265" s="248"/>
      <c r="AB265" s="13">
        <f>SUMIFS(Table3[Hours Worked],Table3[Release Name],Table7[[#This Row],[Release Name]],Table3[Task Type],"Testcase Creation")</f>
        <v>0</v>
      </c>
      <c r="AC265" s="255">
        <f>SUMIFS(Table3[Hours Worked],Table3[Release Name],Table7[[#This Row],[Release Name]],Table3[Task Type],"Testcase Execution")</f>
        <v>0</v>
      </c>
      <c r="AD26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5" s="256" t="str">
        <f>IFERROR((Table7[[#This Row],[No. of Valid Internal Review Defects]]+Table7[[#This Row],[No. of Valid  Internal Testing Defects]]+Table7[[#This Row],[No. of  Valid External Review Defects]]+Table7[[#This Row],[No. of Valid External Testing Defects]])/Table7[[#This Row],[Size]],"")</f>
        <v/>
      </c>
      <c r="AF265" s="257" t="str">
        <f>IFERROR(Table7[[#This Row],[No. of Valid Internal Review Defects]]/(Table7[[#This Row],[No. of Valid Internal Review Defects]]+Table7[[#This Row],[No. of  Valid External Review Defects]]+Table7[[#This Row],[No. of Valid  Internal Testing Defects]]+Table7[[#This Row],[No. of Valid External Testing Defects]]),"")</f>
        <v/>
      </c>
      <c r="AG265" s="258" t="str">
        <f>IFERROR(Table7[[#This Row],[No. of Valid Internal Review Defects]]/(Table7[[#This Row],[No. of Valid Internal Review Defects]]+Table7[[#This Row],[No. of  Valid External Review Defects]]+Table7[[#This Row],[No. of Valid External Testing Defects]]),"")</f>
        <v/>
      </c>
      <c r="AH265" s="256" t="str">
        <f>IFERROR(Table7[[#This Row],[No. of Valid  Internal Testing Defects]]/Table7[[#This Row],[Overall Actual Effort for the release]],"")</f>
        <v/>
      </c>
      <c r="AI265" s="256" t="str">
        <f>IFERROR(Table7[[#This Row],[No. of Valid  Internal Testing Defects]]/Table7[[#This Row],[No. of Testcases Executed]],"")</f>
        <v/>
      </c>
      <c r="AJ265" s="259" t="str">
        <f>IFERROR(IFERROR(Table7[[#This Row],[No. of Testcases Created]]/Table7[[#This Row],[Effort for Testcase Creation]],"")*9,"")</f>
        <v/>
      </c>
      <c r="AK265" s="256" t="str">
        <f>IFERROR((Table7[[#This Row],[No. of Testcases Executed]]/Table7[[#This Row],[Effort for Testcase Execution]])*9,"")</f>
        <v/>
      </c>
      <c r="AL26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5" s="259" t="str">
        <f>IFERROR(Table7[[#This Row],[No. of Defects Validated]]/SUMIFS(Table3[Hours Worked],Table3[Release Name],Table7[[#This Row],[Release Name]],Table3[Task Type],"Defect Validation")*9,"")</f>
        <v/>
      </c>
      <c r="AN265" s="258" t="str">
        <f>IFERROR((Table7[[#This Row],[No. of Valid  Internal Testing Defects]])/(Table7[[#This Row],[No. of Valid  Internal Testing Defects]]+Table7[[#This Row],[No. of Invalid Internal Testing Defects]]),"")</f>
        <v/>
      </c>
      <c r="AO265" s="258" t="str">
        <f>IFERROR(Table7[[#This Row],[No. of Valid External Testing Defects]]/(Table7[[#This Row],[No. of Valid External Testing Defects]]+Table7[[#This Row],[No. of Valid  Internal Testing Defects]]),"")</f>
        <v/>
      </c>
    </row>
    <row r="266" spans="2:41">
      <c r="B266" s="237"/>
      <c r="C266" s="14"/>
      <c r="D266" s="14"/>
      <c r="E266" s="14"/>
      <c r="F266" s="230" t="str">
        <f>IFERROR((Table47[[#This Row],[Initial No. of Requirements]]+Table47[[#This Row],[Modified Requirements( Added / Deleted /Modified)]])/Table47[[#This Row],[Initial No. of Requirements]],"")</f>
        <v/>
      </c>
      <c r="G26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6" s="249"/>
      <c r="J266" s="249"/>
      <c r="K266" s="250"/>
      <c r="L266" s="250"/>
      <c r="M266" s="250"/>
      <c r="N266" s="248">
        <f>SUMIFS(Table1[Size],Table1[Release Name],[2]!Table7[Release Name])</f>
        <v>0</v>
      </c>
      <c r="O266" s="248"/>
      <c r="P26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6" s="248"/>
      <c r="R26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6" s="248"/>
      <c r="T266" s="248"/>
      <c r="U266" s="248"/>
      <c r="V266" s="248"/>
      <c r="W266" s="248"/>
      <c r="X266" s="248"/>
      <c r="Y266" s="248"/>
      <c r="Z266" s="248"/>
      <c r="AA266" s="248"/>
      <c r="AB266" s="13">
        <f>SUMIFS(Table3[Hours Worked],Table3[Release Name],Table7[[#This Row],[Release Name]],Table3[Task Type],"Testcase Creation")</f>
        <v>0</v>
      </c>
      <c r="AC266" s="255">
        <f>SUMIFS(Table3[Hours Worked],Table3[Release Name],Table7[[#This Row],[Release Name]],Table3[Task Type],"Testcase Execution")</f>
        <v>0</v>
      </c>
      <c r="AD26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6" s="256" t="str">
        <f>IFERROR((Table7[[#This Row],[No. of Valid Internal Review Defects]]+Table7[[#This Row],[No. of Valid  Internal Testing Defects]]+Table7[[#This Row],[No. of  Valid External Review Defects]]+Table7[[#This Row],[No. of Valid External Testing Defects]])/Table7[[#This Row],[Size]],"")</f>
        <v/>
      </c>
      <c r="AF266" s="257" t="str">
        <f>IFERROR(Table7[[#This Row],[No. of Valid Internal Review Defects]]/(Table7[[#This Row],[No. of Valid Internal Review Defects]]+Table7[[#This Row],[No. of  Valid External Review Defects]]+Table7[[#This Row],[No. of Valid  Internal Testing Defects]]+Table7[[#This Row],[No. of Valid External Testing Defects]]),"")</f>
        <v/>
      </c>
      <c r="AG266" s="258" t="str">
        <f>IFERROR(Table7[[#This Row],[No. of Valid Internal Review Defects]]/(Table7[[#This Row],[No. of Valid Internal Review Defects]]+Table7[[#This Row],[No. of  Valid External Review Defects]]+Table7[[#This Row],[No. of Valid External Testing Defects]]),"")</f>
        <v/>
      </c>
      <c r="AH266" s="256" t="str">
        <f>IFERROR(Table7[[#This Row],[No. of Valid  Internal Testing Defects]]/Table7[[#This Row],[Overall Actual Effort for the release]],"")</f>
        <v/>
      </c>
      <c r="AI266" s="256" t="str">
        <f>IFERROR(Table7[[#This Row],[No. of Valid  Internal Testing Defects]]/Table7[[#This Row],[No. of Testcases Executed]],"")</f>
        <v/>
      </c>
      <c r="AJ266" s="259" t="str">
        <f>IFERROR(IFERROR(Table7[[#This Row],[No. of Testcases Created]]/Table7[[#This Row],[Effort for Testcase Creation]],"")*9,"")</f>
        <v/>
      </c>
      <c r="AK266" s="256" t="str">
        <f>IFERROR((Table7[[#This Row],[No. of Testcases Executed]]/Table7[[#This Row],[Effort for Testcase Execution]])*9,"")</f>
        <v/>
      </c>
      <c r="AL26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6" s="259" t="str">
        <f>IFERROR(Table7[[#This Row],[No. of Defects Validated]]/SUMIFS(Table3[Hours Worked],Table3[Release Name],Table7[[#This Row],[Release Name]],Table3[Task Type],"Defect Validation")*9,"")</f>
        <v/>
      </c>
      <c r="AN266" s="258" t="str">
        <f>IFERROR((Table7[[#This Row],[No. of Valid  Internal Testing Defects]])/(Table7[[#This Row],[No. of Valid  Internal Testing Defects]]+Table7[[#This Row],[No. of Invalid Internal Testing Defects]]),"")</f>
        <v/>
      </c>
      <c r="AO266" s="258" t="str">
        <f>IFERROR(Table7[[#This Row],[No. of Valid External Testing Defects]]/(Table7[[#This Row],[No. of Valid External Testing Defects]]+Table7[[#This Row],[No. of Valid  Internal Testing Defects]]),"")</f>
        <v/>
      </c>
    </row>
    <row r="267" spans="2:41">
      <c r="B267" s="237"/>
      <c r="C267" s="14"/>
      <c r="D267" s="14"/>
      <c r="E267" s="14"/>
      <c r="F267" s="230" t="str">
        <f>IFERROR((Table47[[#This Row],[Initial No. of Requirements]]+Table47[[#This Row],[Modified Requirements( Added / Deleted /Modified)]])/Table47[[#This Row],[Initial No. of Requirements]],"")</f>
        <v/>
      </c>
      <c r="G26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7" s="249"/>
      <c r="J267" s="249"/>
      <c r="K267" s="250"/>
      <c r="L267" s="250"/>
      <c r="M267" s="250"/>
      <c r="N267" s="248">
        <f>SUMIFS(Table1[Size],Table1[Release Name],[2]!Table7[Release Name])</f>
        <v>0</v>
      </c>
      <c r="O267" s="248"/>
      <c r="P26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7" s="248"/>
      <c r="R26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7" s="248"/>
      <c r="T267" s="248"/>
      <c r="U267" s="248"/>
      <c r="V267" s="248"/>
      <c r="W267" s="248"/>
      <c r="X267" s="248"/>
      <c r="Y267" s="248"/>
      <c r="Z267" s="248"/>
      <c r="AA267" s="248"/>
      <c r="AB267" s="13">
        <f>SUMIFS(Table3[Hours Worked],Table3[Release Name],Table7[[#This Row],[Release Name]],Table3[Task Type],"Testcase Creation")</f>
        <v>0</v>
      </c>
      <c r="AC267" s="255">
        <f>SUMIFS(Table3[Hours Worked],Table3[Release Name],Table7[[#This Row],[Release Name]],Table3[Task Type],"Testcase Execution")</f>
        <v>0</v>
      </c>
      <c r="AD26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7" s="256" t="str">
        <f>IFERROR((Table7[[#This Row],[No. of Valid Internal Review Defects]]+Table7[[#This Row],[No. of Valid  Internal Testing Defects]]+Table7[[#This Row],[No. of  Valid External Review Defects]]+Table7[[#This Row],[No. of Valid External Testing Defects]])/Table7[[#This Row],[Size]],"")</f>
        <v/>
      </c>
      <c r="AF267" s="257" t="str">
        <f>IFERROR(Table7[[#This Row],[No. of Valid Internal Review Defects]]/(Table7[[#This Row],[No. of Valid Internal Review Defects]]+Table7[[#This Row],[No. of  Valid External Review Defects]]+Table7[[#This Row],[No. of Valid  Internal Testing Defects]]+Table7[[#This Row],[No. of Valid External Testing Defects]]),"")</f>
        <v/>
      </c>
      <c r="AG267" s="258" t="str">
        <f>IFERROR(Table7[[#This Row],[No. of Valid Internal Review Defects]]/(Table7[[#This Row],[No. of Valid Internal Review Defects]]+Table7[[#This Row],[No. of  Valid External Review Defects]]+Table7[[#This Row],[No. of Valid External Testing Defects]]),"")</f>
        <v/>
      </c>
      <c r="AH267" s="256" t="str">
        <f>IFERROR(Table7[[#This Row],[No. of Valid  Internal Testing Defects]]/Table7[[#This Row],[Overall Actual Effort for the release]],"")</f>
        <v/>
      </c>
      <c r="AI267" s="256" t="str">
        <f>IFERROR(Table7[[#This Row],[No. of Valid  Internal Testing Defects]]/Table7[[#This Row],[No. of Testcases Executed]],"")</f>
        <v/>
      </c>
      <c r="AJ267" s="259" t="str">
        <f>IFERROR(IFERROR(Table7[[#This Row],[No. of Testcases Created]]/Table7[[#This Row],[Effort for Testcase Creation]],"")*9,"")</f>
        <v/>
      </c>
      <c r="AK267" s="256" t="str">
        <f>IFERROR((Table7[[#This Row],[No. of Testcases Executed]]/Table7[[#This Row],[Effort for Testcase Execution]])*9,"")</f>
        <v/>
      </c>
      <c r="AL26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7" s="259" t="str">
        <f>IFERROR(Table7[[#This Row],[No. of Defects Validated]]/SUMIFS(Table3[Hours Worked],Table3[Release Name],Table7[[#This Row],[Release Name]],Table3[Task Type],"Defect Validation")*9,"")</f>
        <v/>
      </c>
      <c r="AN267" s="258" t="str">
        <f>IFERROR((Table7[[#This Row],[No. of Valid  Internal Testing Defects]])/(Table7[[#This Row],[No. of Valid  Internal Testing Defects]]+Table7[[#This Row],[No. of Invalid Internal Testing Defects]]),"")</f>
        <v/>
      </c>
      <c r="AO267" s="258" t="str">
        <f>IFERROR(Table7[[#This Row],[No. of Valid External Testing Defects]]/(Table7[[#This Row],[No. of Valid External Testing Defects]]+Table7[[#This Row],[No. of Valid  Internal Testing Defects]]),"")</f>
        <v/>
      </c>
    </row>
    <row r="268" spans="2:41">
      <c r="B268" s="237"/>
      <c r="C268" s="14"/>
      <c r="D268" s="14"/>
      <c r="E268" s="14"/>
      <c r="F268" s="230" t="str">
        <f>IFERROR((Table47[[#This Row],[Initial No. of Requirements]]+Table47[[#This Row],[Modified Requirements( Added / Deleted /Modified)]])/Table47[[#This Row],[Initial No. of Requirements]],"")</f>
        <v/>
      </c>
      <c r="G26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8" s="249"/>
      <c r="J268" s="249"/>
      <c r="K268" s="250"/>
      <c r="L268" s="250"/>
      <c r="M268" s="250"/>
      <c r="N268" s="248">
        <f>SUMIFS(Table1[Size],Table1[Release Name],[2]!Table7[Release Name])</f>
        <v>0</v>
      </c>
      <c r="O268" s="248"/>
      <c r="P26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8" s="248"/>
      <c r="R26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8" s="248"/>
      <c r="T268" s="248"/>
      <c r="U268" s="248"/>
      <c r="V268" s="248"/>
      <c r="W268" s="248"/>
      <c r="X268" s="248"/>
      <c r="Y268" s="248"/>
      <c r="Z268" s="248"/>
      <c r="AA268" s="248"/>
      <c r="AB268" s="13">
        <f>SUMIFS(Table3[Hours Worked],Table3[Release Name],Table7[[#This Row],[Release Name]],Table3[Task Type],"Testcase Creation")</f>
        <v>0</v>
      </c>
      <c r="AC268" s="255">
        <f>SUMIFS(Table3[Hours Worked],Table3[Release Name],Table7[[#This Row],[Release Name]],Table3[Task Type],"Testcase Execution")</f>
        <v>0</v>
      </c>
      <c r="AD26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8" s="256" t="str">
        <f>IFERROR((Table7[[#This Row],[No. of Valid Internal Review Defects]]+Table7[[#This Row],[No. of Valid  Internal Testing Defects]]+Table7[[#This Row],[No. of  Valid External Review Defects]]+Table7[[#This Row],[No. of Valid External Testing Defects]])/Table7[[#This Row],[Size]],"")</f>
        <v/>
      </c>
      <c r="AF268" s="257" t="str">
        <f>IFERROR(Table7[[#This Row],[No. of Valid Internal Review Defects]]/(Table7[[#This Row],[No. of Valid Internal Review Defects]]+Table7[[#This Row],[No. of  Valid External Review Defects]]+Table7[[#This Row],[No. of Valid  Internal Testing Defects]]+Table7[[#This Row],[No. of Valid External Testing Defects]]),"")</f>
        <v/>
      </c>
      <c r="AG268" s="258" t="str">
        <f>IFERROR(Table7[[#This Row],[No. of Valid Internal Review Defects]]/(Table7[[#This Row],[No. of Valid Internal Review Defects]]+Table7[[#This Row],[No. of  Valid External Review Defects]]+Table7[[#This Row],[No. of Valid External Testing Defects]]),"")</f>
        <v/>
      </c>
      <c r="AH268" s="256" t="str">
        <f>IFERROR(Table7[[#This Row],[No. of Valid  Internal Testing Defects]]/Table7[[#This Row],[Overall Actual Effort for the release]],"")</f>
        <v/>
      </c>
      <c r="AI268" s="256" t="str">
        <f>IFERROR(Table7[[#This Row],[No. of Valid  Internal Testing Defects]]/Table7[[#This Row],[No. of Testcases Executed]],"")</f>
        <v/>
      </c>
      <c r="AJ268" s="259" t="str">
        <f>IFERROR(IFERROR(Table7[[#This Row],[No. of Testcases Created]]/Table7[[#This Row],[Effort for Testcase Creation]],"")*9,"")</f>
        <v/>
      </c>
      <c r="AK268" s="256" t="str">
        <f>IFERROR((Table7[[#This Row],[No. of Testcases Executed]]/Table7[[#This Row],[Effort for Testcase Execution]])*9,"")</f>
        <v/>
      </c>
      <c r="AL26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8" s="259" t="str">
        <f>IFERROR(Table7[[#This Row],[No. of Defects Validated]]/SUMIFS(Table3[Hours Worked],Table3[Release Name],Table7[[#This Row],[Release Name]],Table3[Task Type],"Defect Validation")*9,"")</f>
        <v/>
      </c>
      <c r="AN268" s="258" t="str">
        <f>IFERROR((Table7[[#This Row],[No. of Valid  Internal Testing Defects]])/(Table7[[#This Row],[No. of Valid  Internal Testing Defects]]+Table7[[#This Row],[No. of Invalid Internal Testing Defects]]),"")</f>
        <v/>
      </c>
      <c r="AO268" s="258" t="str">
        <f>IFERROR(Table7[[#This Row],[No. of Valid External Testing Defects]]/(Table7[[#This Row],[No. of Valid External Testing Defects]]+Table7[[#This Row],[No. of Valid  Internal Testing Defects]]),"")</f>
        <v/>
      </c>
    </row>
    <row r="269" spans="2:41">
      <c r="B269" s="237"/>
      <c r="C269" s="14"/>
      <c r="D269" s="14"/>
      <c r="E269" s="14"/>
      <c r="F269" s="230" t="str">
        <f>IFERROR((Table47[[#This Row],[Initial No. of Requirements]]+Table47[[#This Row],[Modified Requirements( Added / Deleted /Modified)]])/Table47[[#This Row],[Initial No. of Requirements]],"")</f>
        <v/>
      </c>
      <c r="G26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69" s="249"/>
      <c r="J269" s="249"/>
      <c r="K269" s="250"/>
      <c r="L269" s="250"/>
      <c r="M269" s="250"/>
      <c r="N269" s="248">
        <f>SUMIFS(Table1[Size],Table1[Release Name],[2]!Table7[Release Name])</f>
        <v>0</v>
      </c>
      <c r="O269" s="248"/>
      <c r="P26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69" s="248"/>
      <c r="R26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69" s="248"/>
      <c r="T269" s="248"/>
      <c r="U269" s="248"/>
      <c r="V269" s="248"/>
      <c r="W269" s="248"/>
      <c r="X269" s="248"/>
      <c r="Y269" s="248"/>
      <c r="Z269" s="248"/>
      <c r="AA269" s="248"/>
      <c r="AB269" s="13">
        <f>SUMIFS(Table3[Hours Worked],Table3[Release Name],Table7[[#This Row],[Release Name]],Table3[Task Type],"Testcase Creation")</f>
        <v>0</v>
      </c>
      <c r="AC269" s="255">
        <f>SUMIFS(Table3[Hours Worked],Table3[Release Name],Table7[[#This Row],[Release Name]],Table3[Task Type],"Testcase Execution")</f>
        <v>0</v>
      </c>
      <c r="AD26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69" s="256" t="str">
        <f>IFERROR((Table7[[#This Row],[No. of Valid Internal Review Defects]]+Table7[[#This Row],[No. of Valid  Internal Testing Defects]]+Table7[[#This Row],[No. of  Valid External Review Defects]]+Table7[[#This Row],[No. of Valid External Testing Defects]])/Table7[[#This Row],[Size]],"")</f>
        <v/>
      </c>
      <c r="AF269" s="257" t="str">
        <f>IFERROR(Table7[[#This Row],[No. of Valid Internal Review Defects]]/(Table7[[#This Row],[No. of Valid Internal Review Defects]]+Table7[[#This Row],[No. of  Valid External Review Defects]]+Table7[[#This Row],[No. of Valid  Internal Testing Defects]]+Table7[[#This Row],[No. of Valid External Testing Defects]]),"")</f>
        <v/>
      </c>
      <c r="AG269" s="258" t="str">
        <f>IFERROR(Table7[[#This Row],[No. of Valid Internal Review Defects]]/(Table7[[#This Row],[No. of Valid Internal Review Defects]]+Table7[[#This Row],[No. of  Valid External Review Defects]]+Table7[[#This Row],[No. of Valid External Testing Defects]]),"")</f>
        <v/>
      </c>
      <c r="AH269" s="256" t="str">
        <f>IFERROR(Table7[[#This Row],[No. of Valid  Internal Testing Defects]]/Table7[[#This Row],[Overall Actual Effort for the release]],"")</f>
        <v/>
      </c>
      <c r="AI269" s="256" t="str">
        <f>IFERROR(Table7[[#This Row],[No. of Valid  Internal Testing Defects]]/Table7[[#This Row],[No. of Testcases Executed]],"")</f>
        <v/>
      </c>
      <c r="AJ269" s="259" t="str">
        <f>IFERROR(IFERROR(Table7[[#This Row],[No. of Testcases Created]]/Table7[[#This Row],[Effort for Testcase Creation]],"")*9,"")</f>
        <v/>
      </c>
      <c r="AK269" s="256" t="str">
        <f>IFERROR((Table7[[#This Row],[No. of Testcases Executed]]/Table7[[#This Row],[Effort for Testcase Execution]])*9,"")</f>
        <v/>
      </c>
      <c r="AL26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69" s="259" t="str">
        <f>IFERROR(Table7[[#This Row],[No. of Defects Validated]]/SUMIFS(Table3[Hours Worked],Table3[Release Name],Table7[[#This Row],[Release Name]],Table3[Task Type],"Defect Validation")*9,"")</f>
        <v/>
      </c>
      <c r="AN269" s="258" t="str">
        <f>IFERROR((Table7[[#This Row],[No. of Valid  Internal Testing Defects]])/(Table7[[#This Row],[No. of Valid  Internal Testing Defects]]+Table7[[#This Row],[No. of Invalid Internal Testing Defects]]),"")</f>
        <v/>
      </c>
      <c r="AO269" s="258" t="str">
        <f>IFERROR(Table7[[#This Row],[No. of Valid External Testing Defects]]/(Table7[[#This Row],[No. of Valid External Testing Defects]]+Table7[[#This Row],[No. of Valid  Internal Testing Defects]]),"")</f>
        <v/>
      </c>
    </row>
    <row r="270" spans="2:41">
      <c r="B270" s="237"/>
      <c r="C270" s="14"/>
      <c r="D270" s="14"/>
      <c r="E270" s="14"/>
      <c r="F270" s="230" t="str">
        <f>IFERROR((Table47[[#This Row],[Initial No. of Requirements]]+Table47[[#This Row],[Modified Requirements( Added / Deleted /Modified)]])/Table47[[#This Row],[Initial No. of Requirements]],"")</f>
        <v/>
      </c>
      <c r="G27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0" s="249"/>
      <c r="J270" s="249"/>
      <c r="K270" s="250"/>
      <c r="L270" s="250"/>
      <c r="M270" s="250"/>
      <c r="N270" s="248">
        <f>SUMIFS(Table1[Size],Table1[Release Name],[2]!Table7[Release Name])</f>
        <v>0</v>
      </c>
      <c r="O270" s="248"/>
      <c r="P27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0" s="248"/>
      <c r="R27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0" s="248"/>
      <c r="T270" s="248"/>
      <c r="U270" s="248"/>
      <c r="V270" s="248"/>
      <c r="W270" s="248"/>
      <c r="X270" s="248"/>
      <c r="Y270" s="248"/>
      <c r="Z270" s="248"/>
      <c r="AA270" s="248"/>
      <c r="AB270" s="13">
        <f>SUMIFS(Table3[Hours Worked],Table3[Release Name],Table7[[#This Row],[Release Name]],Table3[Task Type],"Testcase Creation")</f>
        <v>0</v>
      </c>
      <c r="AC270" s="255">
        <f>SUMIFS(Table3[Hours Worked],Table3[Release Name],Table7[[#This Row],[Release Name]],Table3[Task Type],"Testcase Execution")</f>
        <v>0</v>
      </c>
      <c r="AD27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0" s="256" t="str">
        <f>IFERROR((Table7[[#This Row],[No. of Valid Internal Review Defects]]+Table7[[#This Row],[No. of Valid  Internal Testing Defects]]+Table7[[#This Row],[No. of  Valid External Review Defects]]+Table7[[#This Row],[No. of Valid External Testing Defects]])/Table7[[#This Row],[Size]],"")</f>
        <v/>
      </c>
      <c r="AF270" s="257" t="str">
        <f>IFERROR(Table7[[#This Row],[No. of Valid Internal Review Defects]]/(Table7[[#This Row],[No. of Valid Internal Review Defects]]+Table7[[#This Row],[No. of  Valid External Review Defects]]+Table7[[#This Row],[No. of Valid  Internal Testing Defects]]+Table7[[#This Row],[No. of Valid External Testing Defects]]),"")</f>
        <v/>
      </c>
      <c r="AG270" s="258" t="str">
        <f>IFERROR(Table7[[#This Row],[No. of Valid Internal Review Defects]]/(Table7[[#This Row],[No. of Valid Internal Review Defects]]+Table7[[#This Row],[No. of  Valid External Review Defects]]+Table7[[#This Row],[No. of Valid External Testing Defects]]),"")</f>
        <v/>
      </c>
      <c r="AH270" s="256" t="str">
        <f>IFERROR(Table7[[#This Row],[No. of Valid  Internal Testing Defects]]/Table7[[#This Row],[Overall Actual Effort for the release]],"")</f>
        <v/>
      </c>
      <c r="AI270" s="256" t="str">
        <f>IFERROR(Table7[[#This Row],[No. of Valid  Internal Testing Defects]]/Table7[[#This Row],[No. of Testcases Executed]],"")</f>
        <v/>
      </c>
      <c r="AJ270" s="259" t="str">
        <f>IFERROR(IFERROR(Table7[[#This Row],[No. of Testcases Created]]/Table7[[#This Row],[Effort for Testcase Creation]],"")*9,"")</f>
        <v/>
      </c>
      <c r="AK270" s="256" t="str">
        <f>IFERROR((Table7[[#This Row],[No. of Testcases Executed]]/Table7[[#This Row],[Effort for Testcase Execution]])*9,"")</f>
        <v/>
      </c>
      <c r="AL27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0" s="259" t="str">
        <f>IFERROR(Table7[[#This Row],[No. of Defects Validated]]/SUMIFS(Table3[Hours Worked],Table3[Release Name],Table7[[#This Row],[Release Name]],Table3[Task Type],"Defect Validation")*9,"")</f>
        <v/>
      </c>
      <c r="AN270" s="258" t="str">
        <f>IFERROR((Table7[[#This Row],[No. of Valid  Internal Testing Defects]])/(Table7[[#This Row],[No. of Valid  Internal Testing Defects]]+Table7[[#This Row],[No. of Invalid Internal Testing Defects]]),"")</f>
        <v/>
      </c>
      <c r="AO270" s="258" t="str">
        <f>IFERROR(Table7[[#This Row],[No. of Valid External Testing Defects]]/(Table7[[#This Row],[No. of Valid External Testing Defects]]+Table7[[#This Row],[No. of Valid  Internal Testing Defects]]),"")</f>
        <v/>
      </c>
    </row>
    <row r="271" spans="2:41">
      <c r="B271" s="237"/>
      <c r="C271" s="14"/>
      <c r="D271" s="14"/>
      <c r="E271" s="14"/>
      <c r="F271" s="230" t="str">
        <f>IFERROR((Table47[[#This Row],[Initial No. of Requirements]]+Table47[[#This Row],[Modified Requirements( Added / Deleted /Modified)]])/Table47[[#This Row],[Initial No. of Requirements]],"")</f>
        <v/>
      </c>
      <c r="G27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1" s="249"/>
      <c r="J271" s="249"/>
      <c r="K271" s="250"/>
      <c r="L271" s="250"/>
      <c r="M271" s="250"/>
      <c r="N271" s="248">
        <f>SUMIFS(Table1[Size],Table1[Release Name],[2]!Table7[Release Name])</f>
        <v>0</v>
      </c>
      <c r="O271" s="248"/>
      <c r="P27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1" s="248"/>
      <c r="R27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1" s="248"/>
      <c r="T271" s="248"/>
      <c r="U271" s="248"/>
      <c r="V271" s="248"/>
      <c r="W271" s="248"/>
      <c r="X271" s="248"/>
      <c r="Y271" s="248"/>
      <c r="Z271" s="248"/>
      <c r="AA271" s="248"/>
      <c r="AB271" s="13">
        <f>SUMIFS(Table3[Hours Worked],Table3[Release Name],Table7[[#This Row],[Release Name]],Table3[Task Type],"Testcase Creation")</f>
        <v>0</v>
      </c>
      <c r="AC271" s="255">
        <f>SUMIFS(Table3[Hours Worked],Table3[Release Name],Table7[[#This Row],[Release Name]],Table3[Task Type],"Testcase Execution")</f>
        <v>0</v>
      </c>
      <c r="AD27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1" s="256" t="str">
        <f>IFERROR((Table7[[#This Row],[No. of Valid Internal Review Defects]]+Table7[[#This Row],[No. of Valid  Internal Testing Defects]]+Table7[[#This Row],[No. of  Valid External Review Defects]]+Table7[[#This Row],[No. of Valid External Testing Defects]])/Table7[[#This Row],[Size]],"")</f>
        <v/>
      </c>
      <c r="AF271" s="257" t="str">
        <f>IFERROR(Table7[[#This Row],[No. of Valid Internal Review Defects]]/(Table7[[#This Row],[No. of Valid Internal Review Defects]]+Table7[[#This Row],[No. of  Valid External Review Defects]]+Table7[[#This Row],[No. of Valid  Internal Testing Defects]]+Table7[[#This Row],[No. of Valid External Testing Defects]]),"")</f>
        <v/>
      </c>
      <c r="AG271" s="258" t="str">
        <f>IFERROR(Table7[[#This Row],[No. of Valid Internal Review Defects]]/(Table7[[#This Row],[No. of Valid Internal Review Defects]]+Table7[[#This Row],[No. of  Valid External Review Defects]]+Table7[[#This Row],[No. of Valid External Testing Defects]]),"")</f>
        <v/>
      </c>
      <c r="AH271" s="256" t="str">
        <f>IFERROR(Table7[[#This Row],[No. of Valid  Internal Testing Defects]]/Table7[[#This Row],[Overall Actual Effort for the release]],"")</f>
        <v/>
      </c>
      <c r="AI271" s="256" t="str">
        <f>IFERROR(Table7[[#This Row],[No. of Valid  Internal Testing Defects]]/Table7[[#This Row],[No. of Testcases Executed]],"")</f>
        <v/>
      </c>
      <c r="AJ271" s="259" t="str">
        <f>IFERROR(IFERROR(Table7[[#This Row],[No. of Testcases Created]]/Table7[[#This Row],[Effort for Testcase Creation]],"")*9,"")</f>
        <v/>
      </c>
      <c r="AK271" s="256" t="str">
        <f>IFERROR((Table7[[#This Row],[No. of Testcases Executed]]/Table7[[#This Row],[Effort for Testcase Execution]])*9,"")</f>
        <v/>
      </c>
      <c r="AL27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1" s="259" t="str">
        <f>IFERROR(Table7[[#This Row],[No. of Defects Validated]]/SUMIFS(Table3[Hours Worked],Table3[Release Name],Table7[[#This Row],[Release Name]],Table3[Task Type],"Defect Validation")*9,"")</f>
        <v/>
      </c>
      <c r="AN271" s="258" t="str">
        <f>IFERROR((Table7[[#This Row],[No. of Valid  Internal Testing Defects]])/(Table7[[#This Row],[No. of Valid  Internal Testing Defects]]+Table7[[#This Row],[No. of Invalid Internal Testing Defects]]),"")</f>
        <v/>
      </c>
      <c r="AO271" s="258" t="str">
        <f>IFERROR(Table7[[#This Row],[No. of Valid External Testing Defects]]/(Table7[[#This Row],[No. of Valid External Testing Defects]]+Table7[[#This Row],[No. of Valid  Internal Testing Defects]]),"")</f>
        <v/>
      </c>
    </row>
    <row r="272" spans="2:41">
      <c r="B272" s="237"/>
      <c r="C272" s="14"/>
      <c r="D272" s="14"/>
      <c r="E272" s="14"/>
      <c r="F272" s="230" t="str">
        <f>IFERROR((Table47[[#This Row],[Initial No. of Requirements]]+Table47[[#This Row],[Modified Requirements( Added / Deleted /Modified)]])/Table47[[#This Row],[Initial No. of Requirements]],"")</f>
        <v/>
      </c>
      <c r="G27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2" s="249"/>
      <c r="J272" s="249"/>
      <c r="K272" s="250"/>
      <c r="L272" s="250"/>
      <c r="M272" s="250"/>
      <c r="N272" s="248">
        <f>SUMIFS(Table1[Size],Table1[Release Name],[2]!Table7[Release Name])</f>
        <v>0</v>
      </c>
      <c r="O272" s="248"/>
      <c r="P27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2" s="248"/>
      <c r="R27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2" s="248"/>
      <c r="T272" s="248"/>
      <c r="U272" s="248"/>
      <c r="V272" s="248"/>
      <c r="W272" s="248"/>
      <c r="X272" s="248"/>
      <c r="Y272" s="248"/>
      <c r="Z272" s="248"/>
      <c r="AA272" s="248"/>
      <c r="AB272" s="13">
        <f>SUMIFS(Table3[Hours Worked],Table3[Release Name],Table7[[#This Row],[Release Name]],Table3[Task Type],"Testcase Creation")</f>
        <v>0</v>
      </c>
      <c r="AC272" s="255">
        <f>SUMIFS(Table3[Hours Worked],Table3[Release Name],Table7[[#This Row],[Release Name]],Table3[Task Type],"Testcase Execution")</f>
        <v>0</v>
      </c>
      <c r="AD27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2" s="256" t="str">
        <f>IFERROR((Table7[[#This Row],[No. of Valid Internal Review Defects]]+Table7[[#This Row],[No. of Valid  Internal Testing Defects]]+Table7[[#This Row],[No. of  Valid External Review Defects]]+Table7[[#This Row],[No. of Valid External Testing Defects]])/Table7[[#This Row],[Size]],"")</f>
        <v/>
      </c>
      <c r="AF272" s="257" t="str">
        <f>IFERROR(Table7[[#This Row],[No. of Valid Internal Review Defects]]/(Table7[[#This Row],[No. of Valid Internal Review Defects]]+Table7[[#This Row],[No. of  Valid External Review Defects]]+Table7[[#This Row],[No. of Valid  Internal Testing Defects]]+Table7[[#This Row],[No. of Valid External Testing Defects]]),"")</f>
        <v/>
      </c>
      <c r="AG272" s="258" t="str">
        <f>IFERROR(Table7[[#This Row],[No. of Valid Internal Review Defects]]/(Table7[[#This Row],[No. of Valid Internal Review Defects]]+Table7[[#This Row],[No. of  Valid External Review Defects]]+Table7[[#This Row],[No. of Valid External Testing Defects]]),"")</f>
        <v/>
      </c>
      <c r="AH272" s="256" t="str">
        <f>IFERROR(Table7[[#This Row],[No. of Valid  Internal Testing Defects]]/Table7[[#This Row],[Overall Actual Effort for the release]],"")</f>
        <v/>
      </c>
      <c r="AI272" s="256" t="str">
        <f>IFERROR(Table7[[#This Row],[No. of Valid  Internal Testing Defects]]/Table7[[#This Row],[No. of Testcases Executed]],"")</f>
        <v/>
      </c>
      <c r="AJ272" s="259" t="str">
        <f>IFERROR(IFERROR(Table7[[#This Row],[No. of Testcases Created]]/Table7[[#This Row],[Effort for Testcase Creation]],"")*9,"")</f>
        <v/>
      </c>
      <c r="AK272" s="256" t="str">
        <f>IFERROR((Table7[[#This Row],[No. of Testcases Executed]]/Table7[[#This Row],[Effort for Testcase Execution]])*9,"")</f>
        <v/>
      </c>
      <c r="AL27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2" s="259" t="str">
        <f>IFERROR(Table7[[#This Row],[No. of Defects Validated]]/SUMIFS(Table3[Hours Worked],Table3[Release Name],Table7[[#This Row],[Release Name]],Table3[Task Type],"Defect Validation")*9,"")</f>
        <v/>
      </c>
      <c r="AN272" s="258" t="str">
        <f>IFERROR((Table7[[#This Row],[No. of Valid  Internal Testing Defects]])/(Table7[[#This Row],[No. of Valid  Internal Testing Defects]]+Table7[[#This Row],[No. of Invalid Internal Testing Defects]]),"")</f>
        <v/>
      </c>
      <c r="AO272" s="258" t="str">
        <f>IFERROR(Table7[[#This Row],[No. of Valid External Testing Defects]]/(Table7[[#This Row],[No. of Valid External Testing Defects]]+Table7[[#This Row],[No. of Valid  Internal Testing Defects]]),"")</f>
        <v/>
      </c>
    </row>
    <row r="273" spans="2:41">
      <c r="B273" s="237"/>
      <c r="C273" s="14"/>
      <c r="D273" s="14"/>
      <c r="E273" s="14"/>
      <c r="F273" s="230" t="str">
        <f>IFERROR((Table47[[#This Row],[Initial No. of Requirements]]+Table47[[#This Row],[Modified Requirements( Added / Deleted /Modified)]])/Table47[[#This Row],[Initial No. of Requirements]],"")</f>
        <v/>
      </c>
      <c r="G27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3" s="249"/>
      <c r="J273" s="249"/>
      <c r="K273" s="250"/>
      <c r="L273" s="250"/>
      <c r="M273" s="250"/>
      <c r="N273" s="248">
        <f>SUMIFS(Table1[Size],Table1[Release Name],[2]!Table7[Release Name])</f>
        <v>0</v>
      </c>
      <c r="O273" s="248"/>
      <c r="P27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3" s="248"/>
      <c r="R27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3" s="248"/>
      <c r="T273" s="248"/>
      <c r="U273" s="248"/>
      <c r="V273" s="248"/>
      <c r="W273" s="248"/>
      <c r="X273" s="248"/>
      <c r="Y273" s="248"/>
      <c r="Z273" s="248"/>
      <c r="AA273" s="248"/>
      <c r="AB273" s="13">
        <f>SUMIFS(Table3[Hours Worked],Table3[Release Name],Table7[[#This Row],[Release Name]],Table3[Task Type],"Testcase Creation")</f>
        <v>0</v>
      </c>
      <c r="AC273" s="255">
        <f>SUMIFS(Table3[Hours Worked],Table3[Release Name],Table7[[#This Row],[Release Name]],Table3[Task Type],"Testcase Execution")</f>
        <v>0</v>
      </c>
      <c r="AD27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3" s="256" t="str">
        <f>IFERROR((Table7[[#This Row],[No. of Valid Internal Review Defects]]+Table7[[#This Row],[No. of Valid  Internal Testing Defects]]+Table7[[#This Row],[No. of  Valid External Review Defects]]+Table7[[#This Row],[No. of Valid External Testing Defects]])/Table7[[#This Row],[Size]],"")</f>
        <v/>
      </c>
      <c r="AF273" s="257" t="str">
        <f>IFERROR(Table7[[#This Row],[No. of Valid Internal Review Defects]]/(Table7[[#This Row],[No. of Valid Internal Review Defects]]+Table7[[#This Row],[No. of  Valid External Review Defects]]+Table7[[#This Row],[No. of Valid  Internal Testing Defects]]+Table7[[#This Row],[No. of Valid External Testing Defects]]),"")</f>
        <v/>
      </c>
      <c r="AG273" s="258" t="str">
        <f>IFERROR(Table7[[#This Row],[No. of Valid Internal Review Defects]]/(Table7[[#This Row],[No. of Valid Internal Review Defects]]+Table7[[#This Row],[No. of  Valid External Review Defects]]+Table7[[#This Row],[No. of Valid External Testing Defects]]),"")</f>
        <v/>
      </c>
      <c r="AH273" s="256" t="str">
        <f>IFERROR(Table7[[#This Row],[No. of Valid  Internal Testing Defects]]/Table7[[#This Row],[Overall Actual Effort for the release]],"")</f>
        <v/>
      </c>
      <c r="AI273" s="256" t="str">
        <f>IFERROR(Table7[[#This Row],[No. of Valid  Internal Testing Defects]]/Table7[[#This Row],[No. of Testcases Executed]],"")</f>
        <v/>
      </c>
      <c r="AJ273" s="259" t="str">
        <f>IFERROR(IFERROR(Table7[[#This Row],[No. of Testcases Created]]/Table7[[#This Row],[Effort for Testcase Creation]],"")*9,"")</f>
        <v/>
      </c>
      <c r="AK273" s="256" t="str">
        <f>IFERROR((Table7[[#This Row],[No. of Testcases Executed]]/Table7[[#This Row],[Effort for Testcase Execution]])*9,"")</f>
        <v/>
      </c>
      <c r="AL27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3" s="259" t="str">
        <f>IFERROR(Table7[[#This Row],[No. of Defects Validated]]/SUMIFS(Table3[Hours Worked],Table3[Release Name],Table7[[#This Row],[Release Name]],Table3[Task Type],"Defect Validation")*9,"")</f>
        <v/>
      </c>
      <c r="AN273" s="258" t="str">
        <f>IFERROR((Table7[[#This Row],[No. of Valid  Internal Testing Defects]])/(Table7[[#This Row],[No. of Valid  Internal Testing Defects]]+Table7[[#This Row],[No. of Invalid Internal Testing Defects]]),"")</f>
        <v/>
      </c>
      <c r="AO273" s="258" t="str">
        <f>IFERROR(Table7[[#This Row],[No. of Valid External Testing Defects]]/(Table7[[#This Row],[No. of Valid External Testing Defects]]+Table7[[#This Row],[No. of Valid  Internal Testing Defects]]),"")</f>
        <v/>
      </c>
    </row>
    <row r="274" spans="2:41">
      <c r="B274" s="237"/>
      <c r="C274" s="14"/>
      <c r="D274" s="14"/>
      <c r="E274" s="14"/>
      <c r="F274" s="230" t="str">
        <f>IFERROR((Table47[[#This Row],[Initial No. of Requirements]]+Table47[[#This Row],[Modified Requirements( Added / Deleted /Modified)]])/Table47[[#This Row],[Initial No. of Requirements]],"")</f>
        <v/>
      </c>
      <c r="G27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4" s="249"/>
      <c r="J274" s="249"/>
      <c r="K274" s="250"/>
      <c r="L274" s="250"/>
      <c r="M274" s="250"/>
      <c r="N274" s="248">
        <f>SUMIFS(Table1[Size],Table1[Release Name],[2]!Table7[Release Name])</f>
        <v>0</v>
      </c>
      <c r="O274" s="248"/>
      <c r="P27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4" s="248"/>
      <c r="R27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4" s="248"/>
      <c r="T274" s="248"/>
      <c r="U274" s="248"/>
      <c r="V274" s="248"/>
      <c r="W274" s="248"/>
      <c r="X274" s="248"/>
      <c r="Y274" s="248"/>
      <c r="Z274" s="248"/>
      <c r="AA274" s="248"/>
      <c r="AB274" s="13">
        <f>SUMIFS(Table3[Hours Worked],Table3[Release Name],Table7[[#This Row],[Release Name]],Table3[Task Type],"Testcase Creation")</f>
        <v>0</v>
      </c>
      <c r="AC274" s="255">
        <f>SUMIFS(Table3[Hours Worked],Table3[Release Name],Table7[[#This Row],[Release Name]],Table3[Task Type],"Testcase Execution")</f>
        <v>0</v>
      </c>
      <c r="AD27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4" s="256" t="str">
        <f>IFERROR((Table7[[#This Row],[No. of Valid Internal Review Defects]]+Table7[[#This Row],[No. of Valid  Internal Testing Defects]]+Table7[[#This Row],[No. of  Valid External Review Defects]]+Table7[[#This Row],[No. of Valid External Testing Defects]])/Table7[[#This Row],[Size]],"")</f>
        <v/>
      </c>
      <c r="AF274" s="257" t="str">
        <f>IFERROR(Table7[[#This Row],[No. of Valid Internal Review Defects]]/(Table7[[#This Row],[No. of Valid Internal Review Defects]]+Table7[[#This Row],[No. of  Valid External Review Defects]]+Table7[[#This Row],[No. of Valid  Internal Testing Defects]]+Table7[[#This Row],[No. of Valid External Testing Defects]]),"")</f>
        <v/>
      </c>
      <c r="AG274" s="258" t="str">
        <f>IFERROR(Table7[[#This Row],[No. of Valid Internal Review Defects]]/(Table7[[#This Row],[No. of Valid Internal Review Defects]]+Table7[[#This Row],[No. of  Valid External Review Defects]]+Table7[[#This Row],[No. of Valid External Testing Defects]]),"")</f>
        <v/>
      </c>
      <c r="AH274" s="256" t="str">
        <f>IFERROR(Table7[[#This Row],[No. of Valid  Internal Testing Defects]]/Table7[[#This Row],[Overall Actual Effort for the release]],"")</f>
        <v/>
      </c>
      <c r="AI274" s="256" t="str">
        <f>IFERROR(Table7[[#This Row],[No. of Valid  Internal Testing Defects]]/Table7[[#This Row],[No. of Testcases Executed]],"")</f>
        <v/>
      </c>
      <c r="AJ274" s="259" t="str">
        <f>IFERROR(IFERROR(Table7[[#This Row],[No. of Testcases Created]]/Table7[[#This Row],[Effort for Testcase Creation]],"")*9,"")</f>
        <v/>
      </c>
      <c r="AK274" s="256" t="str">
        <f>IFERROR((Table7[[#This Row],[No. of Testcases Executed]]/Table7[[#This Row],[Effort for Testcase Execution]])*9,"")</f>
        <v/>
      </c>
      <c r="AL27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4" s="259" t="str">
        <f>IFERROR(Table7[[#This Row],[No. of Defects Validated]]/SUMIFS(Table3[Hours Worked],Table3[Release Name],Table7[[#This Row],[Release Name]],Table3[Task Type],"Defect Validation")*9,"")</f>
        <v/>
      </c>
      <c r="AN274" s="258" t="str">
        <f>IFERROR((Table7[[#This Row],[No. of Valid  Internal Testing Defects]])/(Table7[[#This Row],[No. of Valid  Internal Testing Defects]]+Table7[[#This Row],[No. of Invalid Internal Testing Defects]]),"")</f>
        <v/>
      </c>
      <c r="AO274" s="258" t="str">
        <f>IFERROR(Table7[[#This Row],[No. of Valid External Testing Defects]]/(Table7[[#This Row],[No. of Valid External Testing Defects]]+Table7[[#This Row],[No. of Valid  Internal Testing Defects]]),"")</f>
        <v/>
      </c>
    </row>
    <row r="275" spans="2:41">
      <c r="B275" s="237"/>
      <c r="C275" s="14"/>
      <c r="D275" s="14"/>
      <c r="E275" s="14"/>
      <c r="F275" s="230" t="str">
        <f>IFERROR((Table47[[#This Row],[Initial No. of Requirements]]+Table47[[#This Row],[Modified Requirements( Added / Deleted /Modified)]])/Table47[[#This Row],[Initial No. of Requirements]],"")</f>
        <v/>
      </c>
      <c r="G27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5" s="249"/>
      <c r="J275" s="249"/>
      <c r="K275" s="250"/>
      <c r="L275" s="250"/>
      <c r="M275" s="250"/>
      <c r="N275" s="248">
        <f>SUMIFS(Table1[Size],Table1[Release Name],[2]!Table7[Release Name])</f>
        <v>0</v>
      </c>
      <c r="O275" s="248"/>
      <c r="P27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5" s="248"/>
      <c r="R27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5" s="248"/>
      <c r="T275" s="248"/>
      <c r="U275" s="248"/>
      <c r="V275" s="248"/>
      <c r="W275" s="248"/>
      <c r="X275" s="248"/>
      <c r="Y275" s="248"/>
      <c r="Z275" s="248"/>
      <c r="AA275" s="248"/>
      <c r="AB275" s="13">
        <f>SUMIFS(Table3[Hours Worked],Table3[Release Name],Table7[[#This Row],[Release Name]],Table3[Task Type],"Testcase Creation")</f>
        <v>0</v>
      </c>
      <c r="AC275" s="255">
        <f>SUMIFS(Table3[Hours Worked],Table3[Release Name],Table7[[#This Row],[Release Name]],Table3[Task Type],"Testcase Execution")</f>
        <v>0</v>
      </c>
      <c r="AD27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5" s="256" t="str">
        <f>IFERROR((Table7[[#This Row],[No. of Valid Internal Review Defects]]+Table7[[#This Row],[No. of Valid  Internal Testing Defects]]+Table7[[#This Row],[No. of  Valid External Review Defects]]+Table7[[#This Row],[No. of Valid External Testing Defects]])/Table7[[#This Row],[Size]],"")</f>
        <v/>
      </c>
      <c r="AF275" s="257" t="str">
        <f>IFERROR(Table7[[#This Row],[No. of Valid Internal Review Defects]]/(Table7[[#This Row],[No. of Valid Internal Review Defects]]+Table7[[#This Row],[No. of  Valid External Review Defects]]+Table7[[#This Row],[No. of Valid  Internal Testing Defects]]+Table7[[#This Row],[No. of Valid External Testing Defects]]),"")</f>
        <v/>
      </c>
      <c r="AG275" s="258" t="str">
        <f>IFERROR(Table7[[#This Row],[No. of Valid Internal Review Defects]]/(Table7[[#This Row],[No. of Valid Internal Review Defects]]+Table7[[#This Row],[No. of  Valid External Review Defects]]+Table7[[#This Row],[No. of Valid External Testing Defects]]),"")</f>
        <v/>
      </c>
      <c r="AH275" s="256" t="str">
        <f>IFERROR(Table7[[#This Row],[No. of Valid  Internal Testing Defects]]/Table7[[#This Row],[Overall Actual Effort for the release]],"")</f>
        <v/>
      </c>
      <c r="AI275" s="256" t="str">
        <f>IFERROR(Table7[[#This Row],[No. of Valid  Internal Testing Defects]]/Table7[[#This Row],[No. of Testcases Executed]],"")</f>
        <v/>
      </c>
      <c r="AJ275" s="259" t="str">
        <f>IFERROR(IFERROR(Table7[[#This Row],[No. of Testcases Created]]/Table7[[#This Row],[Effort for Testcase Creation]],"")*9,"")</f>
        <v/>
      </c>
      <c r="AK275" s="256" t="str">
        <f>IFERROR((Table7[[#This Row],[No. of Testcases Executed]]/Table7[[#This Row],[Effort for Testcase Execution]])*9,"")</f>
        <v/>
      </c>
      <c r="AL27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5" s="259" t="str">
        <f>IFERROR(Table7[[#This Row],[No. of Defects Validated]]/SUMIFS(Table3[Hours Worked],Table3[Release Name],Table7[[#This Row],[Release Name]],Table3[Task Type],"Defect Validation")*9,"")</f>
        <v/>
      </c>
      <c r="AN275" s="258" t="str">
        <f>IFERROR((Table7[[#This Row],[No. of Valid  Internal Testing Defects]])/(Table7[[#This Row],[No. of Valid  Internal Testing Defects]]+Table7[[#This Row],[No. of Invalid Internal Testing Defects]]),"")</f>
        <v/>
      </c>
      <c r="AO275" s="258" t="str">
        <f>IFERROR(Table7[[#This Row],[No. of Valid External Testing Defects]]/(Table7[[#This Row],[No. of Valid External Testing Defects]]+Table7[[#This Row],[No. of Valid  Internal Testing Defects]]),"")</f>
        <v/>
      </c>
    </row>
    <row r="276" spans="2:41">
      <c r="B276" s="237"/>
      <c r="C276" s="14"/>
      <c r="D276" s="14"/>
      <c r="E276" s="14"/>
      <c r="F276" s="230" t="str">
        <f>IFERROR((Table47[[#This Row],[Initial No. of Requirements]]+Table47[[#This Row],[Modified Requirements( Added / Deleted /Modified)]])/Table47[[#This Row],[Initial No. of Requirements]],"")</f>
        <v/>
      </c>
      <c r="G27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6" s="249"/>
      <c r="J276" s="249"/>
      <c r="K276" s="250"/>
      <c r="L276" s="250"/>
      <c r="M276" s="250"/>
      <c r="N276" s="248">
        <f>SUMIFS(Table1[Size],Table1[Release Name],[2]!Table7[Release Name])</f>
        <v>0</v>
      </c>
      <c r="O276" s="248"/>
      <c r="P27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6" s="248"/>
      <c r="R27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6" s="248"/>
      <c r="T276" s="248"/>
      <c r="U276" s="248"/>
      <c r="V276" s="248"/>
      <c r="W276" s="248"/>
      <c r="X276" s="248"/>
      <c r="Y276" s="248"/>
      <c r="Z276" s="248"/>
      <c r="AA276" s="248"/>
      <c r="AB276" s="13">
        <f>SUMIFS(Table3[Hours Worked],Table3[Release Name],Table7[[#This Row],[Release Name]],Table3[Task Type],"Testcase Creation")</f>
        <v>0</v>
      </c>
      <c r="AC276" s="255">
        <f>SUMIFS(Table3[Hours Worked],Table3[Release Name],Table7[[#This Row],[Release Name]],Table3[Task Type],"Testcase Execution")</f>
        <v>0</v>
      </c>
      <c r="AD27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6" s="256" t="str">
        <f>IFERROR((Table7[[#This Row],[No. of Valid Internal Review Defects]]+Table7[[#This Row],[No. of Valid  Internal Testing Defects]]+Table7[[#This Row],[No. of  Valid External Review Defects]]+Table7[[#This Row],[No. of Valid External Testing Defects]])/Table7[[#This Row],[Size]],"")</f>
        <v/>
      </c>
      <c r="AF276" s="257" t="str">
        <f>IFERROR(Table7[[#This Row],[No. of Valid Internal Review Defects]]/(Table7[[#This Row],[No. of Valid Internal Review Defects]]+Table7[[#This Row],[No. of  Valid External Review Defects]]+Table7[[#This Row],[No. of Valid  Internal Testing Defects]]+Table7[[#This Row],[No. of Valid External Testing Defects]]),"")</f>
        <v/>
      </c>
      <c r="AG276" s="258" t="str">
        <f>IFERROR(Table7[[#This Row],[No. of Valid Internal Review Defects]]/(Table7[[#This Row],[No. of Valid Internal Review Defects]]+Table7[[#This Row],[No. of  Valid External Review Defects]]+Table7[[#This Row],[No. of Valid External Testing Defects]]),"")</f>
        <v/>
      </c>
      <c r="AH276" s="256" t="str">
        <f>IFERROR(Table7[[#This Row],[No. of Valid  Internal Testing Defects]]/Table7[[#This Row],[Overall Actual Effort for the release]],"")</f>
        <v/>
      </c>
      <c r="AI276" s="256" t="str">
        <f>IFERROR(Table7[[#This Row],[No. of Valid  Internal Testing Defects]]/Table7[[#This Row],[No. of Testcases Executed]],"")</f>
        <v/>
      </c>
      <c r="AJ276" s="259" t="str">
        <f>IFERROR(IFERROR(Table7[[#This Row],[No. of Testcases Created]]/Table7[[#This Row],[Effort for Testcase Creation]],"")*9,"")</f>
        <v/>
      </c>
      <c r="AK276" s="256" t="str">
        <f>IFERROR((Table7[[#This Row],[No. of Testcases Executed]]/Table7[[#This Row],[Effort for Testcase Execution]])*9,"")</f>
        <v/>
      </c>
      <c r="AL27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6" s="259" t="str">
        <f>IFERROR(Table7[[#This Row],[No. of Defects Validated]]/SUMIFS(Table3[Hours Worked],Table3[Release Name],Table7[[#This Row],[Release Name]],Table3[Task Type],"Defect Validation")*9,"")</f>
        <v/>
      </c>
      <c r="AN276" s="258" t="str">
        <f>IFERROR((Table7[[#This Row],[No. of Valid  Internal Testing Defects]])/(Table7[[#This Row],[No. of Valid  Internal Testing Defects]]+Table7[[#This Row],[No. of Invalid Internal Testing Defects]]),"")</f>
        <v/>
      </c>
      <c r="AO276" s="258" t="str">
        <f>IFERROR(Table7[[#This Row],[No. of Valid External Testing Defects]]/(Table7[[#This Row],[No. of Valid External Testing Defects]]+Table7[[#This Row],[No. of Valid  Internal Testing Defects]]),"")</f>
        <v/>
      </c>
    </row>
    <row r="277" spans="2:41">
      <c r="B277" s="237"/>
      <c r="C277" s="14"/>
      <c r="D277" s="14"/>
      <c r="E277" s="14"/>
      <c r="F277" s="230" t="str">
        <f>IFERROR((Table47[[#This Row],[Initial No. of Requirements]]+Table47[[#This Row],[Modified Requirements( Added / Deleted /Modified)]])/Table47[[#This Row],[Initial No. of Requirements]],"")</f>
        <v/>
      </c>
      <c r="G27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7" s="249"/>
      <c r="J277" s="249"/>
      <c r="K277" s="250"/>
      <c r="L277" s="250"/>
      <c r="M277" s="250"/>
      <c r="N277" s="248">
        <f>SUMIFS(Table1[Size],Table1[Release Name],[2]!Table7[Release Name])</f>
        <v>0</v>
      </c>
      <c r="O277" s="248"/>
      <c r="P27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7" s="248"/>
      <c r="R27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7" s="248"/>
      <c r="T277" s="248"/>
      <c r="U277" s="248"/>
      <c r="V277" s="248"/>
      <c r="W277" s="248"/>
      <c r="X277" s="248"/>
      <c r="Y277" s="248"/>
      <c r="Z277" s="248"/>
      <c r="AA277" s="248"/>
      <c r="AB277" s="13">
        <f>SUMIFS(Table3[Hours Worked],Table3[Release Name],Table7[[#This Row],[Release Name]],Table3[Task Type],"Testcase Creation")</f>
        <v>0</v>
      </c>
      <c r="AC277" s="255">
        <f>SUMIFS(Table3[Hours Worked],Table3[Release Name],Table7[[#This Row],[Release Name]],Table3[Task Type],"Testcase Execution")</f>
        <v>0</v>
      </c>
      <c r="AD27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7" s="256" t="str">
        <f>IFERROR((Table7[[#This Row],[No. of Valid Internal Review Defects]]+Table7[[#This Row],[No. of Valid  Internal Testing Defects]]+Table7[[#This Row],[No. of  Valid External Review Defects]]+Table7[[#This Row],[No. of Valid External Testing Defects]])/Table7[[#This Row],[Size]],"")</f>
        <v/>
      </c>
      <c r="AF277" s="257" t="str">
        <f>IFERROR(Table7[[#This Row],[No. of Valid Internal Review Defects]]/(Table7[[#This Row],[No. of Valid Internal Review Defects]]+Table7[[#This Row],[No. of  Valid External Review Defects]]+Table7[[#This Row],[No. of Valid  Internal Testing Defects]]+Table7[[#This Row],[No. of Valid External Testing Defects]]),"")</f>
        <v/>
      </c>
      <c r="AG277" s="258" t="str">
        <f>IFERROR(Table7[[#This Row],[No. of Valid Internal Review Defects]]/(Table7[[#This Row],[No. of Valid Internal Review Defects]]+Table7[[#This Row],[No. of  Valid External Review Defects]]+Table7[[#This Row],[No. of Valid External Testing Defects]]),"")</f>
        <v/>
      </c>
      <c r="AH277" s="256" t="str">
        <f>IFERROR(Table7[[#This Row],[No. of Valid  Internal Testing Defects]]/Table7[[#This Row],[Overall Actual Effort for the release]],"")</f>
        <v/>
      </c>
      <c r="AI277" s="256" t="str">
        <f>IFERROR(Table7[[#This Row],[No. of Valid  Internal Testing Defects]]/Table7[[#This Row],[No. of Testcases Executed]],"")</f>
        <v/>
      </c>
      <c r="AJ277" s="259" t="str">
        <f>IFERROR(IFERROR(Table7[[#This Row],[No. of Testcases Created]]/Table7[[#This Row],[Effort for Testcase Creation]],"")*9,"")</f>
        <v/>
      </c>
      <c r="AK277" s="256" t="str">
        <f>IFERROR((Table7[[#This Row],[No. of Testcases Executed]]/Table7[[#This Row],[Effort for Testcase Execution]])*9,"")</f>
        <v/>
      </c>
      <c r="AL27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7" s="259" t="str">
        <f>IFERROR(Table7[[#This Row],[No. of Defects Validated]]/SUMIFS(Table3[Hours Worked],Table3[Release Name],Table7[[#This Row],[Release Name]],Table3[Task Type],"Defect Validation")*9,"")</f>
        <v/>
      </c>
      <c r="AN277" s="258" t="str">
        <f>IFERROR((Table7[[#This Row],[No. of Valid  Internal Testing Defects]])/(Table7[[#This Row],[No. of Valid  Internal Testing Defects]]+Table7[[#This Row],[No. of Invalid Internal Testing Defects]]),"")</f>
        <v/>
      </c>
      <c r="AO277" s="258" t="str">
        <f>IFERROR(Table7[[#This Row],[No. of Valid External Testing Defects]]/(Table7[[#This Row],[No. of Valid External Testing Defects]]+Table7[[#This Row],[No. of Valid  Internal Testing Defects]]),"")</f>
        <v/>
      </c>
    </row>
    <row r="278" spans="2:41">
      <c r="B278" s="237"/>
      <c r="C278" s="14"/>
      <c r="D278" s="14"/>
      <c r="E278" s="14"/>
      <c r="F278" s="230" t="str">
        <f>IFERROR((Table47[[#This Row],[Initial No. of Requirements]]+Table47[[#This Row],[Modified Requirements( Added / Deleted /Modified)]])/Table47[[#This Row],[Initial No. of Requirements]],"")</f>
        <v/>
      </c>
      <c r="G27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8" s="249"/>
      <c r="J278" s="249"/>
      <c r="K278" s="250"/>
      <c r="L278" s="250"/>
      <c r="M278" s="250"/>
      <c r="N278" s="248">
        <f>SUMIFS(Table1[Size],Table1[Release Name],[2]!Table7[Release Name])</f>
        <v>0</v>
      </c>
      <c r="O278" s="248"/>
      <c r="P27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8" s="248"/>
      <c r="R27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8" s="248"/>
      <c r="T278" s="248"/>
      <c r="U278" s="248"/>
      <c r="V278" s="248"/>
      <c r="W278" s="248"/>
      <c r="X278" s="248"/>
      <c r="Y278" s="248"/>
      <c r="Z278" s="248"/>
      <c r="AA278" s="248"/>
      <c r="AB278" s="13">
        <f>SUMIFS(Table3[Hours Worked],Table3[Release Name],Table7[[#This Row],[Release Name]],Table3[Task Type],"Testcase Creation")</f>
        <v>0</v>
      </c>
      <c r="AC278" s="255">
        <f>SUMIFS(Table3[Hours Worked],Table3[Release Name],Table7[[#This Row],[Release Name]],Table3[Task Type],"Testcase Execution")</f>
        <v>0</v>
      </c>
      <c r="AD27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8" s="256" t="str">
        <f>IFERROR((Table7[[#This Row],[No. of Valid Internal Review Defects]]+Table7[[#This Row],[No. of Valid  Internal Testing Defects]]+Table7[[#This Row],[No. of  Valid External Review Defects]]+Table7[[#This Row],[No. of Valid External Testing Defects]])/Table7[[#This Row],[Size]],"")</f>
        <v/>
      </c>
      <c r="AF278" s="257" t="str">
        <f>IFERROR(Table7[[#This Row],[No. of Valid Internal Review Defects]]/(Table7[[#This Row],[No. of Valid Internal Review Defects]]+Table7[[#This Row],[No. of  Valid External Review Defects]]+Table7[[#This Row],[No. of Valid  Internal Testing Defects]]+Table7[[#This Row],[No. of Valid External Testing Defects]]),"")</f>
        <v/>
      </c>
      <c r="AG278" s="258" t="str">
        <f>IFERROR(Table7[[#This Row],[No. of Valid Internal Review Defects]]/(Table7[[#This Row],[No. of Valid Internal Review Defects]]+Table7[[#This Row],[No. of  Valid External Review Defects]]+Table7[[#This Row],[No. of Valid External Testing Defects]]),"")</f>
        <v/>
      </c>
      <c r="AH278" s="256" t="str">
        <f>IFERROR(Table7[[#This Row],[No. of Valid  Internal Testing Defects]]/Table7[[#This Row],[Overall Actual Effort for the release]],"")</f>
        <v/>
      </c>
      <c r="AI278" s="256" t="str">
        <f>IFERROR(Table7[[#This Row],[No. of Valid  Internal Testing Defects]]/Table7[[#This Row],[No. of Testcases Executed]],"")</f>
        <v/>
      </c>
      <c r="AJ278" s="259" t="str">
        <f>IFERROR(IFERROR(Table7[[#This Row],[No. of Testcases Created]]/Table7[[#This Row],[Effort for Testcase Creation]],"")*9,"")</f>
        <v/>
      </c>
      <c r="AK278" s="256" t="str">
        <f>IFERROR((Table7[[#This Row],[No. of Testcases Executed]]/Table7[[#This Row],[Effort for Testcase Execution]])*9,"")</f>
        <v/>
      </c>
      <c r="AL27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8" s="259" t="str">
        <f>IFERROR(Table7[[#This Row],[No. of Defects Validated]]/SUMIFS(Table3[Hours Worked],Table3[Release Name],Table7[[#This Row],[Release Name]],Table3[Task Type],"Defect Validation")*9,"")</f>
        <v/>
      </c>
      <c r="AN278" s="258" t="str">
        <f>IFERROR((Table7[[#This Row],[No. of Valid  Internal Testing Defects]])/(Table7[[#This Row],[No. of Valid  Internal Testing Defects]]+Table7[[#This Row],[No. of Invalid Internal Testing Defects]]),"")</f>
        <v/>
      </c>
      <c r="AO278" s="258" t="str">
        <f>IFERROR(Table7[[#This Row],[No. of Valid External Testing Defects]]/(Table7[[#This Row],[No. of Valid External Testing Defects]]+Table7[[#This Row],[No. of Valid  Internal Testing Defects]]),"")</f>
        <v/>
      </c>
    </row>
    <row r="279" spans="2:41">
      <c r="B279" s="237"/>
      <c r="C279" s="14"/>
      <c r="D279" s="14"/>
      <c r="E279" s="14"/>
      <c r="F279" s="230" t="str">
        <f>IFERROR((Table47[[#This Row],[Initial No. of Requirements]]+Table47[[#This Row],[Modified Requirements( Added / Deleted /Modified)]])/Table47[[#This Row],[Initial No. of Requirements]],"")</f>
        <v/>
      </c>
      <c r="G27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79" s="249"/>
      <c r="J279" s="249"/>
      <c r="K279" s="250"/>
      <c r="L279" s="250"/>
      <c r="M279" s="250"/>
      <c r="N279" s="248">
        <f>SUMIFS(Table1[Size],Table1[Release Name],[2]!Table7[Release Name])</f>
        <v>0</v>
      </c>
      <c r="O279" s="248"/>
      <c r="P27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79" s="248"/>
      <c r="R27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79" s="248"/>
      <c r="T279" s="248"/>
      <c r="U279" s="248"/>
      <c r="V279" s="248"/>
      <c r="W279" s="248"/>
      <c r="X279" s="248"/>
      <c r="Y279" s="248"/>
      <c r="Z279" s="248"/>
      <c r="AA279" s="248"/>
      <c r="AB279" s="13">
        <f>SUMIFS(Table3[Hours Worked],Table3[Release Name],Table7[[#This Row],[Release Name]],Table3[Task Type],"Testcase Creation")</f>
        <v>0</v>
      </c>
      <c r="AC279" s="255">
        <f>SUMIFS(Table3[Hours Worked],Table3[Release Name],Table7[[#This Row],[Release Name]],Table3[Task Type],"Testcase Execution")</f>
        <v>0</v>
      </c>
      <c r="AD27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79" s="256" t="str">
        <f>IFERROR((Table7[[#This Row],[No. of Valid Internal Review Defects]]+Table7[[#This Row],[No. of Valid  Internal Testing Defects]]+Table7[[#This Row],[No. of  Valid External Review Defects]]+Table7[[#This Row],[No. of Valid External Testing Defects]])/Table7[[#This Row],[Size]],"")</f>
        <v/>
      </c>
      <c r="AF279" s="257" t="str">
        <f>IFERROR(Table7[[#This Row],[No. of Valid Internal Review Defects]]/(Table7[[#This Row],[No. of Valid Internal Review Defects]]+Table7[[#This Row],[No. of  Valid External Review Defects]]+Table7[[#This Row],[No. of Valid  Internal Testing Defects]]+Table7[[#This Row],[No. of Valid External Testing Defects]]),"")</f>
        <v/>
      </c>
      <c r="AG279" s="258" t="str">
        <f>IFERROR(Table7[[#This Row],[No. of Valid Internal Review Defects]]/(Table7[[#This Row],[No. of Valid Internal Review Defects]]+Table7[[#This Row],[No. of  Valid External Review Defects]]+Table7[[#This Row],[No. of Valid External Testing Defects]]),"")</f>
        <v/>
      </c>
      <c r="AH279" s="256" t="str">
        <f>IFERROR(Table7[[#This Row],[No. of Valid  Internal Testing Defects]]/Table7[[#This Row],[Overall Actual Effort for the release]],"")</f>
        <v/>
      </c>
      <c r="AI279" s="256" t="str">
        <f>IFERROR(Table7[[#This Row],[No. of Valid  Internal Testing Defects]]/Table7[[#This Row],[No. of Testcases Executed]],"")</f>
        <v/>
      </c>
      <c r="AJ279" s="259" t="str">
        <f>IFERROR(IFERROR(Table7[[#This Row],[No. of Testcases Created]]/Table7[[#This Row],[Effort for Testcase Creation]],"")*9,"")</f>
        <v/>
      </c>
      <c r="AK279" s="256" t="str">
        <f>IFERROR((Table7[[#This Row],[No. of Testcases Executed]]/Table7[[#This Row],[Effort for Testcase Execution]])*9,"")</f>
        <v/>
      </c>
      <c r="AL27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79" s="259" t="str">
        <f>IFERROR(Table7[[#This Row],[No. of Defects Validated]]/SUMIFS(Table3[Hours Worked],Table3[Release Name],Table7[[#This Row],[Release Name]],Table3[Task Type],"Defect Validation")*9,"")</f>
        <v/>
      </c>
      <c r="AN279" s="258" t="str">
        <f>IFERROR((Table7[[#This Row],[No. of Valid  Internal Testing Defects]])/(Table7[[#This Row],[No. of Valid  Internal Testing Defects]]+Table7[[#This Row],[No. of Invalid Internal Testing Defects]]),"")</f>
        <v/>
      </c>
      <c r="AO279" s="258" t="str">
        <f>IFERROR(Table7[[#This Row],[No. of Valid External Testing Defects]]/(Table7[[#This Row],[No. of Valid External Testing Defects]]+Table7[[#This Row],[No. of Valid  Internal Testing Defects]]),"")</f>
        <v/>
      </c>
    </row>
    <row r="280" spans="2:41">
      <c r="B280" s="237"/>
      <c r="C280" s="14"/>
      <c r="D280" s="14"/>
      <c r="E280" s="14"/>
      <c r="F280" s="230" t="str">
        <f>IFERROR((Table47[[#This Row],[Initial No. of Requirements]]+Table47[[#This Row],[Modified Requirements( Added / Deleted /Modified)]])/Table47[[#This Row],[Initial No. of Requirements]],"")</f>
        <v/>
      </c>
      <c r="G28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0" s="249"/>
      <c r="J280" s="249"/>
      <c r="K280" s="250"/>
      <c r="L280" s="250"/>
      <c r="M280" s="250"/>
      <c r="N280" s="248">
        <f>SUMIFS(Table1[Size],Table1[Release Name],[2]!Table7[Release Name])</f>
        <v>0</v>
      </c>
      <c r="O280" s="248"/>
      <c r="P28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0" s="248"/>
      <c r="R28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0" s="248"/>
      <c r="T280" s="248"/>
      <c r="U280" s="248"/>
      <c r="V280" s="248"/>
      <c r="W280" s="248"/>
      <c r="X280" s="248"/>
      <c r="Y280" s="248"/>
      <c r="Z280" s="248"/>
      <c r="AA280" s="248"/>
      <c r="AB280" s="13">
        <f>SUMIFS(Table3[Hours Worked],Table3[Release Name],Table7[[#This Row],[Release Name]],Table3[Task Type],"Testcase Creation")</f>
        <v>0</v>
      </c>
      <c r="AC280" s="255">
        <f>SUMIFS(Table3[Hours Worked],Table3[Release Name],Table7[[#This Row],[Release Name]],Table3[Task Type],"Testcase Execution")</f>
        <v>0</v>
      </c>
      <c r="AD28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0" s="256" t="str">
        <f>IFERROR((Table7[[#This Row],[No. of Valid Internal Review Defects]]+Table7[[#This Row],[No. of Valid  Internal Testing Defects]]+Table7[[#This Row],[No. of  Valid External Review Defects]]+Table7[[#This Row],[No. of Valid External Testing Defects]])/Table7[[#This Row],[Size]],"")</f>
        <v/>
      </c>
      <c r="AF280" s="257" t="str">
        <f>IFERROR(Table7[[#This Row],[No. of Valid Internal Review Defects]]/(Table7[[#This Row],[No. of Valid Internal Review Defects]]+Table7[[#This Row],[No. of  Valid External Review Defects]]+Table7[[#This Row],[No. of Valid  Internal Testing Defects]]+Table7[[#This Row],[No. of Valid External Testing Defects]]),"")</f>
        <v/>
      </c>
      <c r="AG280" s="258" t="str">
        <f>IFERROR(Table7[[#This Row],[No. of Valid Internal Review Defects]]/(Table7[[#This Row],[No. of Valid Internal Review Defects]]+Table7[[#This Row],[No. of  Valid External Review Defects]]+Table7[[#This Row],[No. of Valid External Testing Defects]]),"")</f>
        <v/>
      </c>
      <c r="AH280" s="256" t="str">
        <f>IFERROR(Table7[[#This Row],[No. of Valid  Internal Testing Defects]]/Table7[[#This Row],[Overall Actual Effort for the release]],"")</f>
        <v/>
      </c>
      <c r="AI280" s="256" t="str">
        <f>IFERROR(Table7[[#This Row],[No. of Valid  Internal Testing Defects]]/Table7[[#This Row],[No. of Testcases Executed]],"")</f>
        <v/>
      </c>
      <c r="AJ280" s="259" t="str">
        <f>IFERROR(IFERROR(Table7[[#This Row],[No. of Testcases Created]]/Table7[[#This Row],[Effort for Testcase Creation]],"")*9,"")</f>
        <v/>
      </c>
      <c r="AK280" s="256" t="str">
        <f>IFERROR((Table7[[#This Row],[No. of Testcases Executed]]/Table7[[#This Row],[Effort for Testcase Execution]])*9,"")</f>
        <v/>
      </c>
      <c r="AL28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0" s="259" t="str">
        <f>IFERROR(Table7[[#This Row],[No. of Defects Validated]]/SUMIFS(Table3[Hours Worked],Table3[Release Name],Table7[[#This Row],[Release Name]],Table3[Task Type],"Defect Validation")*9,"")</f>
        <v/>
      </c>
      <c r="AN280" s="258" t="str">
        <f>IFERROR((Table7[[#This Row],[No. of Valid  Internal Testing Defects]])/(Table7[[#This Row],[No. of Valid  Internal Testing Defects]]+Table7[[#This Row],[No. of Invalid Internal Testing Defects]]),"")</f>
        <v/>
      </c>
      <c r="AO280" s="258" t="str">
        <f>IFERROR(Table7[[#This Row],[No. of Valid External Testing Defects]]/(Table7[[#This Row],[No. of Valid External Testing Defects]]+Table7[[#This Row],[No. of Valid  Internal Testing Defects]]),"")</f>
        <v/>
      </c>
    </row>
    <row r="281" spans="2:41">
      <c r="B281" s="237"/>
      <c r="C281" s="14"/>
      <c r="D281" s="14"/>
      <c r="E281" s="14"/>
      <c r="F281" s="230" t="str">
        <f>IFERROR((Table47[[#This Row],[Initial No. of Requirements]]+Table47[[#This Row],[Modified Requirements( Added / Deleted /Modified)]])/Table47[[#This Row],[Initial No. of Requirements]],"")</f>
        <v/>
      </c>
      <c r="G28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1" s="249"/>
      <c r="J281" s="249"/>
      <c r="K281" s="250"/>
      <c r="L281" s="250"/>
      <c r="M281" s="250"/>
      <c r="N281" s="248">
        <f>SUMIFS(Table1[Size],Table1[Release Name],[2]!Table7[Release Name])</f>
        <v>0</v>
      </c>
      <c r="O281" s="248"/>
      <c r="P28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1" s="248"/>
      <c r="R28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1" s="248"/>
      <c r="T281" s="248"/>
      <c r="U281" s="248"/>
      <c r="V281" s="248"/>
      <c r="W281" s="248"/>
      <c r="X281" s="248"/>
      <c r="Y281" s="248"/>
      <c r="Z281" s="248"/>
      <c r="AA281" s="248"/>
      <c r="AB281" s="13">
        <f>SUMIFS(Table3[Hours Worked],Table3[Release Name],Table7[[#This Row],[Release Name]],Table3[Task Type],"Testcase Creation")</f>
        <v>0</v>
      </c>
      <c r="AC281" s="255">
        <f>SUMIFS(Table3[Hours Worked],Table3[Release Name],Table7[[#This Row],[Release Name]],Table3[Task Type],"Testcase Execution")</f>
        <v>0</v>
      </c>
      <c r="AD28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1" s="256" t="str">
        <f>IFERROR((Table7[[#This Row],[No. of Valid Internal Review Defects]]+Table7[[#This Row],[No. of Valid  Internal Testing Defects]]+Table7[[#This Row],[No. of  Valid External Review Defects]]+Table7[[#This Row],[No. of Valid External Testing Defects]])/Table7[[#This Row],[Size]],"")</f>
        <v/>
      </c>
      <c r="AF281" s="257" t="str">
        <f>IFERROR(Table7[[#This Row],[No. of Valid Internal Review Defects]]/(Table7[[#This Row],[No. of Valid Internal Review Defects]]+Table7[[#This Row],[No. of  Valid External Review Defects]]+Table7[[#This Row],[No. of Valid  Internal Testing Defects]]+Table7[[#This Row],[No. of Valid External Testing Defects]]),"")</f>
        <v/>
      </c>
      <c r="AG281" s="258" t="str">
        <f>IFERROR(Table7[[#This Row],[No. of Valid Internal Review Defects]]/(Table7[[#This Row],[No. of Valid Internal Review Defects]]+Table7[[#This Row],[No. of  Valid External Review Defects]]+Table7[[#This Row],[No. of Valid External Testing Defects]]),"")</f>
        <v/>
      </c>
      <c r="AH281" s="256" t="str">
        <f>IFERROR(Table7[[#This Row],[No. of Valid  Internal Testing Defects]]/Table7[[#This Row],[Overall Actual Effort for the release]],"")</f>
        <v/>
      </c>
      <c r="AI281" s="256" t="str">
        <f>IFERROR(Table7[[#This Row],[No. of Valid  Internal Testing Defects]]/Table7[[#This Row],[No. of Testcases Executed]],"")</f>
        <v/>
      </c>
      <c r="AJ281" s="259" t="str">
        <f>IFERROR(IFERROR(Table7[[#This Row],[No. of Testcases Created]]/Table7[[#This Row],[Effort for Testcase Creation]],"")*9,"")</f>
        <v/>
      </c>
      <c r="AK281" s="256" t="str">
        <f>IFERROR((Table7[[#This Row],[No. of Testcases Executed]]/Table7[[#This Row],[Effort for Testcase Execution]])*9,"")</f>
        <v/>
      </c>
      <c r="AL28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1" s="259" t="str">
        <f>IFERROR(Table7[[#This Row],[No. of Defects Validated]]/SUMIFS(Table3[Hours Worked],Table3[Release Name],Table7[[#This Row],[Release Name]],Table3[Task Type],"Defect Validation")*9,"")</f>
        <v/>
      </c>
      <c r="AN281" s="258" t="str">
        <f>IFERROR((Table7[[#This Row],[No. of Valid  Internal Testing Defects]])/(Table7[[#This Row],[No. of Valid  Internal Testing Defects]]+Table7[[#This Row],[No. of Invalid Internal Testing Defects]]),"")</f>
        <v/>
      </c>
      <c r="AO281" s="258" t="str">
        <f>IFERROR(Table7[[#This Row],[No. of Valid External Testing Defects]]/(Table7[[#This Row],[No. of Valid External Testing Defects]]+Table7[[#This Row],[No. of Valid  Internal Testing Defects]]),"")</f>
        <v/>
      </c>
    </row>
    <row r="282" spans="2:41">
      <c r="B282" s="237"/>
      <c r="C282" s="14"/>
      <c r="D282" s="14"/>
      <c r="E282" s="14"/>
      <c r="F282" s="230" t="str">
        <f>IFERROR((Table47[[#This Row],[Initial No. of Requirements]]+Table47[[#This Row],[Modified Requirements( Added / Deleted /Modified)]])/Table47[[#This Row],[Initial No. of Requirements]],"")</f>
        <v/>
      </c>
      <c r="G28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2" s="249"/>
      <c r="J282" s="249"/>
      <c r="K282" s="250"/>
      <c r="L282" s="250"/>
      <c r="M282" s="250"/>
      <c r="N282" s="248">
        <f>SUMIFS(Table1[Size],Table1[Release Name],[2]!Table7[Release Name])</f>
        <v>0</v>
      </c>
      <c r="O282" s="248"/>
      <c r="P28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2" s="248"/>
      <c r="R28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2" s="248"/>
      <c r="T282" s="248"/>
      <c r="U282" s="248"/>
      <c r="V282" s="248"/>
      <c r="W282" s="248"/>
      <c r="X282" s="248"/>
      <c r="Y282" s="248"/>
      <c r="Z282" s="248"/>
      <c r="AA282" s="248"/>
      <c r="AB282" s="13">
        <f>SUMIFS(Table3[Hours Worked],Table3[Release Name],Table7[[#This Row],[Release Name]],Table3[Task Type],"Testcase Creation")</f>
        <v>0</v>
      </c>
      <c r="AC282" s="255">
        <f>SUMIFS(Table3[Hours Worked],Table3[Release Name],Table7[[#This Row],[Release Name]],Table3[Task Type],"Testcase Execution")</f>
        <v>0</v>
      </c>
      <c r="AD28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2" s="256" t="str">
        <f>IFERROR((Table7[[#This Row],[No. of Valid Internal Review Defects]]+Table7[[#This Row],[No. of Valid  Internal Testing Defects]]+Table7[[#This Row],[No. of  Valid External Review Defects]]+Table7[[#This Row],[No. of Valid External Testing Defects]])/Table7[[#This Row],[Size]],"")</f>
        <v/>
      </c>
      <c r="AF282" s="257" t="str">
        <f>IFERROR(Table7[[#This Row],[No. of Valid Internal Review Defects]]/(Table7[[#This Row],[No. of Valid Internal Review Defects]]+Table7[[#This Row],[No. of  Valid External Review Defects]]+Table7[[#This Row],[No. of Valid  Internal Testing Defects]]+Table7[[#This Row],[No. of Valid External Testing Defects]]),"")</f>
        <v/>
      </c>
      <c r="AG282" s="258" t="str">
        <f>IFERROR(Table7[[#This Row],[No. of Valid Internal Review Defects]]/(Table7[[#This Row],[No. of Valid Internal Review Defects]]+Table7[[#This Row],[No. of  Valid External Review Defects]]+Table7[[#This Row],[No. of Valid External Testing Defects]]),"")</f>
        <v/>
      </c>
      <c r="AH282" s="256" t="str">
        <f>IFERROR(Table7[[#This Row],[No. of Valid  Internal Testing Defects]]/Table7[[#This Row],[Overall Actual Effort for the release]],"")</f>
        <v/>
      </c>
      <c r="AI282" s="256" t="str">
        <f>IFERROR(Table7[[#This Row],[No. of Valid  Internal Testing Defects]]/Table7[[#This Row],[No. of Testcases Executed]],"")</f>
        <v/>
      </c>
      <c r="AJ282" s="259" t="str">
        <f>IFERROR(IFERROR(Table7[[#This Row],[No. of Testcases Created]]/Table7[[#This Row],[Effort for Testcase Creation]],"")*9,"")</f>
        <v/>
      </c>
      <c r="AK282" s="256" t="str">
        <f>IFERROR((Table7[[#This Row],[No. of Testcases Executed]]/Table7[[#This Row],[Effort for Testcase Execution]])*9,"")</f>
        <v/>
      </c>
      <c r="AL28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2" s="259" t="str">
        <f>IFERROR(Table7[[#This Row],[No. of Defects Validated]]/SUMIFS(Table3[Hours Worked],Table3[Release Name],Table7[[#This Row],[Release Name]],Table3[Task Type],"Defect Validation")*9,"")</f>
        <v/>
      </c>
      <c r="AN282" s="258" t="str">
        <f>IFERROR((Table7[[#This Row],[No. of Valid  Internal Testing Defects]])/(Table7[[#This Row],[No. of Valid  Internal Testing Defects]]+Table7[[#This Row],[No. of Invalid Internal Testing Defects]]),"")</f>
        <v/>
      </c>
      <c r="AO282" s="258" t="str">
        <f>IFERROR(Table7[[#This Row],[No. of Valid External Testing Defects]]/(Table7[[#This Row],[No. of Valid External Testing Defects]]+Table7[[#This Row],[No. of Valid  Internal Testing Defects]]),"")</f>
        <v/>
      </c>
    </row>
    <row r="283" spans="2:41">
      <c r="B283" s="237"/>
      <c r="C283" s="14"/>
      <c r="D283" s="14"/>
      <c r="E283" s="14"/>
      <c r="F283" s="230" t="str">
        <f>IFERROR((Table47[[#This Row],[Initial No. of Requirements]]+Table47[[#This Row],[Modified Requirements( Added / Deleted /Modified)]])/Table47[[#This Row],[Initial No. of Requirements]],"")</f>
        <v/>
      </c>
      <c r="G28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3" s="249"/>
      <c r="J283" s="249"/>
      <c r="K283" s="250"/>
      <c r="L283" s="250"/>
      <c r="M283" s="250"/>
      <c r="N283" s="248">
        <f>SUMIFS(Table1[Size],Table1[Release Name],[2]!Table7[Release Name])</f>
        <v>0</v>
      </c>
      <c r="O283" s="248"/>
      <c r="P28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3" s="248"/>
      <c r="R28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3" s="248"/>
      <c r="T283" s="248"/>
      <c r="U283" s="248"/>
      <c r="V283" s="248"/>
      <c r="W283" s="248"/>
      <c r="X283" s="248"/>
      <c r="Y283" s="248"/>
      <c r="Z283" s="248"/>
      <c r="AA283" s="248"/>
      <c r="AB283" s="13">
        <f>SUMIFS(Table3[Hours Worked],Table3[Release Name],Table7[[#This Row],[Release Name]],Table3[Task Type],"Testcase Creation")</f>
        <v>0</v>
      </c>
      <c r="AC283" s="255">
        <f>SUMIFS(Table3[Hours Worked],Table3[Release Name],Table7[[#This Row],[Release Name]],Table3[Task Type],"Testcase Execution")</f>
        <v>0</v>
      </c>
      <c r="AD28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3" s="256" t="str">
        <f>IFERROR((Table7[[#This Row],[No. of Valid Internal Review Defects]]+Table7[[#This Row],[No. of Valid  Internal Testing Defects]]+Table7[[#This Row],[No. of  Valid External Review Defects]]+Table7[[#This Row],[No. of Valid External Testing Defects]])/Table7[[#This Row],[Size]],"")</f>
        <v/>
      </c>
      <c r="AF283" s="257" t="str">
        <f>IFERROR(Table7[[#This Row],[No. of Valid Internal Review Defects]]/(Table7[[#This Row],[No. of Valid Internal Review Defects]]+Table7[[#This Row],[No. of  Valid External Review Defects]]+Table7[[#This Row],[No. of Valid  Internal Testing Defects]]+Table7[[#This Row],[No. of Valid External Testing Defects]]),"")</f>
        <v/>
      </c>
      <c r="AG283" s="258" t="str">
        <f>IFERROR(Table7[[#This Row],[No. of Valid Internal Review Defects]]/(Table7[[#This Row],[No. of Valid Internal Review Defects]]+Table7[[#This Row],[No. of  Valid External Review Defects]]+Table7[[#This Row],[No. of Valid External Testing Defects]]),"")</f>
        <v/>
      </c>
      <c r="AH283" s="256" t="str">
        <f>IFERROR(Table7[[#This Row],[No. of Valid  Internal Testing Defects]]/Table7[[#This Row],[Overall Actual Effort for the release]],"")</f>
        <v/>
      </c>
      <c r="AI283" s="256" t="str">
        <f>IFERROR(Table7[[#This Row],[No. of Valid  Internal Testing Defects]]/Table7[[#This Row],[No. of Testcases Executed]],"")</f>
        <v/>
      </c>
      <c r="AJ283" s="259" t="str">
        <f>IFERROR(IFERROR(Table7[[#This Row],[No. of Testcases Created]]/Table7[[#This Row],[Effort for Testcase Creation]],"")*9,"")</f>
        <v/>
      </c>
      <c r="AK283" s="256" t="str">
        <f>IFERROR((Table7[[#This Row],[No. of Testcases Executed]]/Table7[[#This Row],[Effort for Testcase Execution]])*9,"")</f>
        <v/>
      </c>
      <c r="AL28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3" s="259" t="str">
        <f>IFERROR(Table7[[#This Row],[No. of Defects Validated]]/SUMIFS(Table3[Hours Worked],Table3[Release Name],Table7[[#This Row],[Release Name]],Table3[Task Type],"Defect Validation")*9,"")</f>
        <v/>
      </c>
      <c r="AN283" s="258" t="str">
        <f>IFERROR((Table7[[#This Row],[No. of Valid  Internal Testing Defects]])/(Table7[[#This Row],[No. of Valid  Internal Testing Defects]]+Table7[[#This Row],[No. of Invalid Internal Testing Defects]]),"")</f>
        <v/>
      </c>
      <c r="AO283" s="258" t="str">
        <f>IFERROR(Table7[[#This Row],[No. of Valid External Testing Defects]]/(Table7[[#This Row],[No. of Valid External Testing Defects]]+Table7[[#This Row],[No. of Valid  Internal Testing Defects]]),"")</f>
        <v/>
      </c>
    </row>
    <row r="284" spans="2:41">
      <c r="B284" s="237"/>
      <c r="C284" s="14"/>
      <c r="D284" s="14"/>
      <c r="E284" s="14"/>
      <c r="F284" s="230" t="str">
        <f>IFERROR((Table47[[#This Row],[Initial No. of Requirements]]+Table47[[#This Row],[Modified Requirements( Added / Deleted /Modified)]])/Table47[[#This Row],[Initial No. of Requirements]],"")</f>
        <v/>
      </c>
      <c r="G28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4" s="249"/>
      <c r="J284" s="249"/>
      <c r="K284" s="250"/>
      <c r="L284" s="250"/>
      <c r="M284" s="250"/>
      <c r="N284" s="248">
        <f>SUMIFS(Table1[Size],Table1[Release Name],[2]!Table7[Release Name])</f>
        <v>0</v>
      </c>
      <c r="O284" s="248"/>
      <c r="P28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4" s="248"/>
      <c r="R28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4" s="248"/>
      <c r="T284" s="248"/>
      <c r="U284" s="248"/>
      <c r="V284" s="248"/>
      <c r="W284" s="248"/>
      <c r="X284" s="248"/>
      <c r="Y284" s="248"/>
      <c r="Z284" s="248"/>
      <c r="AA284" s="248"/>
      <c r="AB284" s="13">
        <f>SUMIFS(Table3[Hours Worked],Table3[Release Name],Table7[[#This Row],[Release Name]],Table3[Task Type],"Testcase Creation")</f>
        <v>0</v>
      </c>
      <c r="AC284" s="255">
        <f>SUMIFS(Table3[Hours Worked],Table3[Release Name],Table7[[#This Row],[Release Name]],Table3[Task Type],"Testcase Execution")</f>
        <v>0</v>
      </c>
      <c r="AD28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4" s="256" t="str">
        <f>IFERROR((Table7[[#This Row],[No. of Valid Internal Review Defects]]+Table7[[#This Row],[No. of Valid  Internal Testing Defects]]+Table7[[#This Row],[No. of  Valid External Review Defects]]+Table7[[#This Row],[No. of Valid External Testing Defects]])/Table7[[#This Row],[Size]],"")</f>
        <v/>
      </c>
      <c r="AF284" s="257" t="str">
        <f>IFERROR(Table7[[#This Row],[No. of Valid Internal Review Defects]]/(Table7[[#This Row],[No. of Valid Internal Review Defects]]+Table7[[#This Row],[No. of  Valid External Review Defects]]+Table7[[#This Row],[No. of Valid  Internal Testing Defects]]+Table7[[#This Row],[No. of Valid External Testing Defects]]),"")</f>
        <v/>
      </c>
      <c r="AG284" s="258" t="str">
        <f>IFERROR(Table7[[#This Row],[No. of Valid Internal Review Defects]]/(Table7[[#This Row],[No. of Valid Internal Review Defects]]+Table7[[#This Row],[No. of  Valid External Review Defects]]+Table7[[#This Row],[No. of Valid External Testing Defects]]),"")</f>
        <v/>
      </c>
      <c r="AH284" s="256" t="str">
        <f>IFERROR(Table7[[#This Row],[No. of Valid  Internal Testing Defects]]/Table7[[#This Row],[Overall Actual Effort for the release]],"")</f>
        <v/>
      </c>
      <c r="AI284" s="256" t="str">
        <f>IFERROR(Table7[[#This Row],[No. of Valid  Internal Testing Defects]]/Table7[[#This Row],[No. of Testcases Executed]],"")</f>
        <v/>
      </c>
      <c r="AJ284" s="259" t="str">
        <f>IFERROR(IFERROR(Table7[[#This Row],[No. of Testcases Created]]/Table7[[#This Row],[Effort for Testcase Creation]],"")*9,"")</f>
        <v/>
      </c>
      <c r="AK284" s="256" t="str">
        <f>IFERROR((Table7[[#This Row],[No. of Testcases Executed]]/Table7[[#This Row],[Effort for Testcase Execution]])*9,"")</f>
        <v/>
      </c>
      <c r="AL28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4" s="259" t="str">
        <f>IFERROR(Table7[[#This Row],[No. of Defects Validated]]/SUMIFS(Table3[Hours Worked],Table3[Release Name],Table7[[#This Row],[Release Name]],Table3[Task Type],"Defect Validation")*9,"")</f>
        <v/>
      </c>
      <c r="AN284" s="258" t="str">
        <f>IFERROR((Table7[[#This Row],[No. of Valid  Internal Testing Defects]])/(Table7[[#This Row],[No. of Valid  Internal Testing Defects]]+Table7[[#This Row],[No. of Invalid Internal Testing Defects]]),"")</f>
        <v/>
      </c>
      <c r="AO284" s="258" t="str">
        <f>IFERROR(Table7[[#This Row],[No. of Valid External Testing Defects]]/(Table7[[#This Row],[No. of Valid External Testing Defects]]+Table7[[#This Row],[No. of Valid  Internal Testing Defects]]),"")</f>
        <v/>
      </c>
    </row>
    <row r="285" spans="2:41">
      <c r="B285" s="237"/>
      <c r="C285" s="14"/>
      <c r="D285" s="14"/>
      <c r="E285" s="14"/>
      <c r="F285" s="230" t="str">
        <f>IFERROR((Table47[[#This Row],[Initial No. of Requirements]]+Table47[[#This Row],[Modified Requirements( Added / Deleted /Modified)]])/Table47[[#This Row],[Initial No. of Requirements]],"")</f>
        <v/>
      </c>
      <c r="G28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5" s="249"/>
      <c r="J285" s="249"/>
      <c r="K285" s="250"/>
      <c r="L285" s="250"/>
      <c r="M285" s="250"/>
      <c r="N285" s="248">
        <f>SUMIFS(Table1[Size],Table1[Release Name],[2]!Table7[Release Name])</f>
        <v>0</v>
      </c>
      <c r="O285" s="248"/>
      <c r="P28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5" s="248"/>
      <c r="R28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5" s="248"/>
      <c r="T285" s="248"/>
      <c r="U285" s="248"/>
      <c r="V285" s="248"/>
      <c r="W285" s="248"/>
      <c r="X285" s="248"/>
      <c r="Y285" s="248"/>
      <c r="Z285" s="248"/>
      <c r="AA285" s="248"/>
      <c r="AB285" s="13">
        <f>SUMIFS(Table3[Hours Worked],Table3[Release Name],Table7[[#This Row],[Release Name]],Table3[Task Type],"Testcase Creation")</f>
        <v>0</v>
      </c>
      <c r="AC285" s="255">
        <f>SUMIFS(Table3[Hours Worked],Table3[Release Name],Table7[[#This Row],[Release Name]],Table3[Task Type],"Testcase Execution")</f>
        <v>0</v>
      </c>
      <c r="AD28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5" s="256" t="str">
        <f>IFERROR((Table7[[#This Row],[No. of Valid Internal Review Defects]]+Table7[[#This Row],[No. of Valid  Internal Testing Defects]]+Table7[[#This Row],[No. of  Valid External Review Defects]]+Table7[[#This Row],[No. of Valid External Testing Defects]])/Table7[[#This Row],[Size]],"")</f>
        <v/>
      </c>
      <c r="AF285" s="257" t="str">
        <f>IFERROR(Table7[[#This Row],[No. of Valid Internal Review Defects]]/(Table7[[#This Row],[No. of Valid Internal Review Defects]]+Table7[[#This Row],[No. of  Valid External Review Defects]]+Table7[[#This Row],[No. of Valid  Internal Testing Defects]]+Table7[[#This Row],[No. of Valid External Testing Defects]]),"")</f>
        <v/>
      </c>
      <c r="AG285" s="258" t="str">
        <f>IFERROR(Table7[[#This Row],[No. of Valid Internal Review Defects]]/(Table7[[#This Row],[No. of Valid Internal Review Defects]]+Table7[[#This Row],[No. of  Valid External Review Defects]]+Table7[[#This Row],[No. of Valid External Testing Defects]]),"")</f>
        <v/>
      </c>
      <c r="AH285" s="256" t="str">
        <f>IFERROR(Table7[[#This Row],[No. of Valid  Internal Testing Defects]]/Table7[[#This Row],[Overall Actual Effort for the release]],"")</f>
        <v/>
      </c>
      <c r="AI285" s="256" t="str">
        <f>IFERROR(Table7[[#This Row],[No. of Valid  Internal Testing Defects]]/Table7[[#This Row],[No. of Testcases Executed]],"")</f>
        <v/>
      </c>
      <c r="AJ285" s="259" t="str">
        <f>IFERROR(IFERROR(Table7[[#This Row],[No. of Testcases Created]]/Table7[[#This Row],[Effort for Testcase Creation]],"")*9,"")</f>
        <v/>
      </c>
      <c r="AK285" s="256" t="str">
        <f>IFERROR((Table7[[#This Row],[No. of Testcases Executed]]/Table7[[#This Row],[Effort for Testcase Execution]])*9,"")</f>
        <v/>
      </c>
      <c r="AL28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5" s="259" t="str">
        <f>IFERROR(Table7[[#This Row],[No. of Defects Validated]]/SUMIFS(Table3[Hours Worked],Table3[Release Name],Table7[[#This Row],[Release Name]],Table3[Task Type],"Defect Validation")*9,"")</f>
        <v/>
      </c>
      <c r="AN285" s="258" t="str">
        <f>IFERROR((Table7[[#This Row],[No. of Valid  Internal Testing Defects]])/(Table7[[#This Row],[No. of Valid  Internal Testing Defects]]+Table7[[#This Row],[No. of Invalid Internal Testing Defects]]),"")</f>
        <v/>
      </c>
      <c r="AO285" s="258" t="str">
        <f>IFERROR(Table7[[#This Row],[No. of Valid External Testing Defects]]/(Table7[[#This Row],[No. of Valid External Testing Defects]]+Table7[[#This Row],[No. of Valid  Internal Testing Defects]]),"")</f>
        <v/>
      </c>
    </row>
    <row r="286" spans="2:41">
      <c r="B286" s="237"/>
      <c r="C286" s="14"/>
      <c r="D286" s="14"/>
      <c r="E286" s="14"/>
      <c r="F286" s="230" t="str">
        <f>IFERROR((Table47[[#This Row],[Initial No. of Requirements]]+Table47[[#This Row],[Modified Requirements( Added / Deleted /Modified)]])/Table47[[#This Row],[Initial No. of Requirements]],"")</f>
        <v/>
      </c>
      <c r="G28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6" s="249"/>
      <c r="J286" s="249"/>
      <c r="K286" s="250"/>
      <c r="L286" s="250"/>
      <c r="M286" s="250"/>
      <c r="N286" s="248">
        <f>SUMIFS(Table1[Size],Table1[Release Name],[2]!Table7[Release Name])</f>
        <v>0</v>
      </c>
      <c r="O286" s="248"/>
      <c r="P28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6" s="248"/>
      <c r="R28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6" s="248"/>
      <c r="T286" s="248"/>
      <c r="U286" s="248"/>
      <c r="V286" s="248"/>
      <c r="W286" s="248"/>
      <c r="X286" s="248"/>
      <c r="Y286" s="248"/>
      <c r="Z286" s="248"/>
      <c r="AA286" s="248"/>
      <c r="AB286" s="13">
        <f>SUMIFS(Table3[Hours Worked],Table3[Release Name],Table7[[#This Row],[Release Name]],Table3[Task Type],"Testcase Creation")</f>
        <v>0</v>
      </c>
      <c r="AC286" s="255">
        <f>SUMIFS(Table3[Hours Worked],Table3[Release Name],Table7[[#This Row],[Release Name]],Table3[Task Type],"Testcase Execution")</f>
        <v>0</v>
      </c>
      <c r="AD28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6" s="256" t="str">
        <f>IFERROR((Table7[[#This Row],[No. of Valid Internal Review Defects]]+Table7[[#This Row],[No. of Valid  Internal Testing Defects]]+Table7[[#This Row],[No. of  Valid External Review Defects]]+Table7[[#This Row],[No. of Valid External Testing Defects]])/Table7[[#This Row],[Size]],"")</f>
        <v/>
      </c>
      <c r="AF286" s="257" t="str">
        <f>IFERROR(Table7[[#This Row],[No. of Valid Internal Review Defects]]/(Table7[[#This Row],[No. of Valid Internal Review Defects]]+Table7[[#This Row],[No. of  Valid External Review Defects]]+Table7[[#This Row],[No. of Valid  Internal Testing Defects]]+Table7[[#This Row],[No. of Valid External Testing Defects]]),"")</f>
        <v/>
      </c>
      <c r="AG286" s="258" t="str">
        <f>IFERROR(Table7[[#This Row],[No. of Valid Internal Review Defects]]/(Table7[[#This Row],[No. of Valid Internal Review Defects]]+Table7[[#This Row],[No. of  Valid External Review Defects]]+Table7[[#This Row],[No. of Valid External Testing Defects]]),"")</f>
        <v/>
      </c>
      <c r="AH286" s="256" t="str">
        <f>IFERROR(Table7[[#This Row],[No. of Valid  Internal Testing Defects]]/Table7[[#This Row],[Overall Actual Effort for the release]],"")</f>
        <v/>
      </c>
      <c r="AI286" s="256" t="str">
        <f>IFERROR(Table7[[#This Row],[No. of Valid  Internal Testing Defects]]/Table7[[#This Row],[No. of Testcases Executed]],"")</f>
        <v/>
      </c>
      <c r="AJ286" s="259" t="str">
        <f>IFERROR(IFERROR(Table7[[#This Row],[No. of Testcases Created]]/Table7[[#This Row],[Effort for Testcase Creation]],"")*9,"")</f>
        <v/>
      </c>
      <c r="AK286" s="256" t="str">
        <f>IFERROR((Table7[[#This Row],[No. of Testcases Executed]]/Table7[[#This Row],[Effort for Testcase Execution]])*9,"")</f>
        <v/>
      </c>
      <c r="AL28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6" s="259" t="str">
        <f>IFERROR(Table7[[#This Row],[No. of Defects Validated]]/SUMIFS(Table3[Hours Worked],Table3[Release Name],Table7[[#This Row],[Release Name]],Table3[Task Type],"Defect Validation")*9,"")</f>
        <v/>
      </c>
      <c r="AN286" s="258" t="str">
        <f>IFERROR((Table7[[#This Row],[No. of Valid  Internal Testing Defects]])/(Table7[[#This Row],[No. of Valid  Internal Testing Defects]]+Table7[[#This Row],[No. of Invalid Internal Testing Defects]]),"")</f>
        <v/>
      </c>
      <c r="AO286" s="258" t="str">
        <f>IFERROR(Table7[[#This Row],[No. of Valid External Testing Defects]]/(Table7[[#This Row],[No. of Valid External Testing Defects]]+Table7[[#This Row],[No. of Valid  Internal Testing Defects]]),"")</f>
        <v/>
      </c>
    </row>
    <row r="287" spans="2:41">
      <c r="B287" s="237"/>
      <c r="C287" s="14"/>
      <c r="D287" s="14"/>
      <c r="E287" s="14"/>
      <c r="F287" s="230" t="str">
        <f>IFERROR((Table47[[#This Row],[Initial No. of Requirements]]+Table47[[#This Row],[Modified Requirements( Added / Deleted /Modified)]])/Table47[[#This Row],[Initial No. of Requirements]],"")</f>
        <v/>
      </c>
      <c r="G28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7" s="249"/>
      <c r="J287" s="249"/>
      <c r="K287" s="250"/>
      <c r="L287" s="250"/>
      <c r="M287" s="250"/>
      <c r="N287" s="248">
        <f>SUMIFS(Table1[Size],Table1[Release Name],[2]!Table7[Release Name])</f>
        <v>0</v>
      </c>
      <c r="O287" s="248"/>
      <c r="P28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7" s="248"/>
      <c r="R28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7" s="248"/>
      <c r="T287" s="248"/>
      <c r="U287" s="248"/>
      <c r="V287" s="248"/>
      <c r="W287" s="248"/>
      <c r="X287" s="248"/>
      <c r="Y287" s="248"/>
      <c r="Z287" s="248"/>
      <c r="AA287" s="248"/>
      <c r="AB287" s="13">
        <f>SUMIFS(Table3[Hours Worked],Table3[Release Name],Table7[[#This Row],[Release Name]],Table3[Task Type],"Testcase Creation")</f>
        <v>0</v>
      </c>
      <c r="AC287" s="255">
        <f>SUMIFS(Table3[Hours Worked],Table3[Release Name],Table7[[#This Row],[Release Name]],Table3[Task Type],"Testcase Execution")</f>
        <v>0</v>
      </c>
      <c r="AD28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7" s="256" t="str">
        <f>IFERROR((Table7[[#This Row],[No. of Valid Internal Review Defects]]+Table7[[#This Row],[No. of Valid  Internal Testing Defects]]+Table7[[#This Row],[No. of  Valid External Review Defects]]+Table7[[#This Row],[No. of Valid External Testing Defects]])/Table7[[#This Row],[Size]],"")</f>
        <v/>
      </c>
      <c r="AF287" s="257" t="str">
        <f>IFERROR(Table7[[#This Row],[No. of Valid Internal Review Defects]]/(Table7[[#This Row],[No. of Valid Internal Review Defects]]+Table7[[#This Row],[No. of  Valid External Review Defects]]+Table7[[#This Row],[No. of Valid  Internal Testing Defects]]+Table7[[#This Row],[No. of Valid External Testing Defects]]),"")</f>
        <v/>
      </c>
      <c r="AG287" s="258" t="str">
        <f>IFERROR(Table7[[#This Row],[No. of Valid Internal Review Defects]]/(Table7[[#This Row],[No. of Valid Internal Review Defects]]+Table7[[#This Row],[No. of  Valid External Review Defects]]+Table7[[#This Row],[No. of Valid External Testing Defects]]),"")</f>
        <v/>
      </c>
      <c r="AH287" s="256" t="str">
        <f>IFERROR(Table7[[#This Row],[No. of Valid  Internal Testing Defects]]/Table7[[#This Row],[Overall Actual Effort for the release]],"")</f>
        <v/>
      </c>
      <c r="AI287" s="256" t="str">
        <f>IFERROR(Table7[[#This Row],[No. of Valid  Internal Testing Defects]]/Table7[[#This Row],[No. of Testcases Executed]],"")</f>
        <v/>
      </c>
      <c r="AJ287" s="259" t="str">
        <f>IFERROR(IFERROR(Table7[[#This Row],[No. of Testcases Created]]/Table7[[#This Row],[Effort for Testcase Creation]],"")*9,"")</f>
        <v/>
      </c>
      <c r="AK287" s="256" t="str">
        <f>IFERROR((Table7[[#This Row],[No. of Testcases Executed]]/Table7[[#This Row],[Effort for Testcase Execution]])*9,"")</f>
        <v/>
      </c>
      <c r="AL28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7" s="259" t="str">
        <f>IFERROR(Table7[[#This Row],[No. of Defects Validated]]/SUMIFS(Table3[Hours Worked],Table3[Release Name],Table7[[#This Row],[Release Name]],Table3[Task Type],"Defect Validation")*9,"")</f>
        <v/>
      </c>
      <c r="AN287" s="258" t="str">
        <f>IFERROR((Table7[[#This Row],[No. of Valid  Internal Testing Defects]])/(Table7[[#This Row],[No. of Valid  Internal Testing Defects]]+Table7[[#This Row],[No. of Invalid Internal Testing Defects]]),"")</f>
        <v/>
      </c>
      <c r="AO287" s="258" t="str">
        <f>IFERROR(Table7[[#This Row],[No. of Valid External Testing Defects]]/(Table7[[#This Row],[No. of Valid External Testing Defects]]+Table7[[#This Row],[No. of Valid  Internal Testing Defects]]),"")</f>
        <v/>
      </c>
    </row>
    <row r="288" spans="2:41">
      <c r="B288" s="237"/>
      <c r="C288" s="14"/>
      <c r="D288" s="14"/>
      <c r="E288" s="14"/>
      <c r="F288" s="230" t="str">
        <f>IFERROR((Table47[[#This Row],[Initial No. of Requirements]]+Table47[[#This Row],[Modified Requirements( Added / Deleted /Modified)]])/Table47[[#This Row],[Initial No. of Requirements]],"")</f>
        <v/>
      </c>
      <c r="G28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8" s="249"/>
      <c r="J288" s="249"/>
      <c r="K288" s="250"/>
      <c r="L288" s="250"/>
      <c r="M288" s="250"/>
      <c r="N288" s="248">
        <f>SUMIFS(Table1[Size],Table1[Release Name],[2]!Table7[Release Name])</f>
        <v>0</v>
      </c>
      <c r="O288" s="248"/>
      <c r="P28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8" s="248"/>
      <c r="R28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8" s="248"/>
      <c r="T288" s="248"/>
      <c r="U288" s="248"/>
      <c r="V288" s="248"/>
      <c r="W288" s="248"/>
      <c r="X288" s="248"/>
      <c r="Y288" s="248"/>
      <c r="Z288" s="248"/>
      <c r="AA288" s="248"/>
      <c r="AB288" s="13">
        <f>SUMIFS(Table3[Hours Worked],Table3[Release Name],Table7[[#This Row],[Release Name]],Table3[Task Type],"Testcase Creation")</f>
        <v>0</v>
      </c>
      <c r="AC288" s="255">
        <f>SUMIFS(Table3[Hours Worked],Table3[Release Name],Table7[[#This Row],[Release Name]],Table3[Task Type],"Testcase Execution")</f>
        <v>0</v>
      </c>
      <c r="AD28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8" s="256" t="str">
        <f>IFERROR((Table7[[#This Row],[No. of Valid Internal Review Defects]]+Table7[[#This Row],[No. of Valid  Internal Testing Defects]]+Table7[[#This Row],[No. of  Valid External Review Defects]]+Table7[[#This Row],[No. of Valid External Testing Defects]])/Table7[[#This Row],[Size]],"")</f>
        <v/>
      </c>
      <c r="AF288" s="257" t="str">
        <f>IFERROR(Table7[[#This Row],[No. of Valid Internal Review Defects]]/(Table7[[#This Row],[No. of Valid Internal Review Defects]]+Table7[[#This Row],[No. of  Valid External Review Defects]]+Table7[[#This Row],[No. of Valid  Internal Testing Defects]]+Table7[[#This Row],[No. of Valid External Testing Defects]]),"")</f>
        <v/>
      </c>
      <c r="AG288" s="258" t="str">
        <f>IFERROR(Table7[[#This Row],[No. of Valid Internal Review Defects]]/(Table7[[#This Row],[No. of Valid Internal Review Defects]]+Table7[[#This Row],[No. of  Valid External Review Defects]]+Table7[[#This Row],[No. of Valid External Testing Defects]]),"")</f>
        <v/>
      </c>
      <c r="AH288" s="256" t="str">
        <f>IFERROR(Table7[[#This Row],[No. of Valid  Internal Testing Defects]]/Table7[[#This Row],[Overall Actual Effort for the release]],"")</f>
        <v/>
      </c>
      <c r="AI288" s="256" t="str">
        <f>IFERROR(Table7[[#This Row],[No. of Valid  Internal Testing Defects]]/Table7[[#This Row],[No. of Testcases Executed]],"")</f>
        <v/>
      </c>
      <c r="AJ288" s="259" t="str">
        <f>IFERROR(IFERROR(Table7[[#This Row],[No. of Testcases Created]]/Table7[[#This Row],[Effort for Testcase Creation]],"")*9,"")</f>
        <v/>
      </c>
      <c r="AK288" s="256" t="str">
        <f>IFERROR((Table7[[#This Row],[No. of Testcases Executed]]/Table7[[#This Row],[Effort for Testcase Execution]])*9,"")</f>
        <v/>
      </c>
      <c r="AL28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8" s="259" t="str">
        <f>IFERROR(Table7[[#This Row],[No. of Defects Validated]]/SUMIFS(Table3[Hours Worked],Table3[Release Name],Table7[[#This Row],[Release Name]],Table3[Task Type],"Defect Validation")*9,"")</f>
        <v/>
      </c>
      <c r="AN288" s="258" t="str">
        <f>IFERROR((Table7[[#This Row],[No. of Valid  Internal Testing Defects]])/(Table7[[#This Row],[No. of Valid  Internal Testing Defects]]+Table7[[#This Row],[No. of Invalid Internal Testing Defects]]),"")</f>
        <v/>
      </c>
      <c r="AO288" s="258" t="str">
        <f>IFERROR(Table7[[#This Row],[No. of Valid External Testing Defects]]/(Table7[[#This Row],[No. of Valid External Testing Defects]]+Table7[[#This Row],[No. of Valid  Internal Testing Defects]]),"")</f>
        <v/>
      </c>
    </row>
    <row r="289" spans="2:41">
      <c r="B289" s="237"/>
      <c r="C289" s="14"/>
      <c r="D289" s="14"/>
      <c r="E289" s="14"/>
      <c r="F289" s="230" t="str">
        <f>IFERROR((Table47[[#This Row],[Initial No. of Requirements]]+Table47[[#This Row],[Modified Requirements( Added / Deleted /Modified)]])/Table47[[#This Row],[Initial No. of Requirements]],"")</f>
        <v/>
      </c>
      <c r="G28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89" s="249"/>
      <c r="J289" s="249"/>
      <c r="K289" s="250"/>
      <c r="L289" s="250"/>
      <c r="M289" s="250"/>
      <c r="N289" s="248">
        <f>SUMIFS(Table1[Size],Table1[Release Name],[2]!Table7[Release Name])</f>
        <v>0</v>
      </c>
      <c r="O289" s="248"/>
      <c r="P28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89" s="248"/>
      <c r="R28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89" s="248"/>
      <c r="T289" s="248"/>
      <c r="U289" s="248"/>
      <c r="V289" s="248"/>
      <c r="W289" s="248"/>
      <c r="X289" s="248"/>
      <c r="Y289" s="248"/>
      <c r="Z289" s="248"/>
      <c r="AA289" s="248"/>
      <c r="AB289" s="13">
        <f>SUMIFS(Table3[Hours Worked],Table3[Release Name],Table7[[#This Row],[Release Name]],Table3[Task Type],"Testcase Creation")</f>
        <v>0</v>
      </c>
      <c r="AC289" s="255">
        <f>SUMIFS(Table3[Hours Worked],Table3[Release Name],Table7[[#This Row],[Release Name]],Table3[Task Type],"Testcase Execution")</f>
        <v>0</v>
      </c>
      <c r="AD28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89" s="256" t="str">
        <f>IFERROR((Table7[[#This Row],[No. of Valid Internal Review Defects]]+Table7[[#This Row],[No. of Valid  Internal Testing Defects]]+Table7[[#This Row],[No. of  Valid External Review Defects]]+Table7[[#This Row],[No. of Valid External Testing Defects]])/Table7[[#This Row],[Size]],"")</f>
        <v/>
      </c>
      <c r="AF289" s="257" t="str">
        <f>IFERROR(Table7[[#This Row],[No. of Valid Internal Review Defects]]/(Table7[[#This Row],[No. of Valid Internal Review Defects]]+Table7[[#This Row],[No. of  Valid External Review Defects]]+Table7[[#This Row],[No. of Valid  Internal Testing Defects]]+Table7[[#This Row],[No. of Valid External Testing Defects]]),"")</f>
        <v/>
      </c>
      <c r="AG289" s="258" t="str">
        <f>IFERROR(Table7[[#This Row],[No. of Valid Internal Review Defects]]/(Table7[[#This Row],[No. of Valid Internal Review Defects]]+Table7[[#This Row],[No. of  Valid External Review Defects]]+Table7[[#This Row],[No. of Valid External Testing Defects]]),"")</f>
        <v/>
      </c>
      <c r="AH289" s="256" t="str">
        <f>IFERROR(Table7[[#This Row],[No. of Valid  Internal Testing Defects]]/Table7[[#This Row],[Overall Actual Effort for the release]],"")</f>
        <v/>
      </c>
      <c r="AI289" s="256" t="str">
        <f>IFERROR(Table7[[#This Row],[No. of Valid  Internal Testing Defects]]/Table7[[#This Row],[No. of Testcases Executed]],"")</f>
        <v/>
      </c>
      <c r="AJ289" s="259" t="str">
        <f>IFERROR(IFERROR(Table7[[#This Row],[No. of Testcases Created]]/Table7[[#This Row],[Effort for Testcase Creation]],"")*9,"")</f>
        <v/>
      </c>
      <c r="AK289" s="256" t="str">
        <f>IFERROR((Table7[[#This Row],[No. of Testcases Executed]]/Table7[[#This Row],[Effort for Testcase Execution]])*9,"")</f>
        <v/>
      </c>
      <c r="AL28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89" s="259" t="str">
        <f>IFERROR(Table7[[#This Row],[No. of Defects Validated]]/SUMIFS(Table3[Hours Worked],Table3[Release Name],Table7[[#This Row],[Release Name]],Table3[Task Type],"Defect Validation")*9,"")</f>
        <v/>
      </c>
      <c r="AN289" s="258" t="str">
        <f>IFERROR((Table7[[#This Row],[No. of Valid  Internal Testing Defects]])/(Table7[[#This Row],[No. of Valid  Internal Testing Defects]]+Table7[[#This Row],[No. of Invalid Internal Testing Defects]]),"")</f>
        <v/>
      </c>
      <c r="AO289" s="258" t="str">
        <f>IFERROR(Table7[[#This Row],[No. of Valid External Testing Defects]]/(Table7[[#This Row],[No. of Valid External Testing Defects]]+Table7[[#This Row],[No. of Valid  Internal Testing Defects]]),"")</f>
        <v/>
      </c>
    </row>
    <row r="290" spans="2:41">
      <c r="B290" s="237"/>
      <c r="C290" s="14"/>
      <c r="D290" s="14"/>
      <c r="E290" s="14"/>
      <c r="F290" s="230" t="str">
        <f>IFERROR((Table47[[#This Row],[Initial No. of Requirements]]+Table47[[#This Row],[Modified Requirements( Added / Deleted /Modified)]])/Table47[[#This Row],[Initial No. of Requirements]],"")</f>
        <v/>
      </c>
      <c r="G29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0" s="249"/>
      <c r="J290" s="249"/>
      <c r="K290" s="250"/>
      <c r="L290" s="250"/>
      <c r="M290" s="250"/>
      <c r="N290" s="248">
        <f>SUMIFS(Table1[Size],Table1[Release Name],[2]!Table7[Release Name])</f>
        <v>0</v>
      </c>
      <c r="O290" s="248"/>
      <c r="P29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0" s="248"/>
      <c r="R29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0" s="248"/>
      <c r="T290" s="248"/>
      <c r="U290" s="248"/>
      <c r="V290" s="248"/>
      <c r="W290" s="248"/>
      <c r="X290" s="248"/>
      <c r="Y290" s="248"/>
      <c r="Z290" s="248"/>
      <c r="AA290" s="248"/>
      <c r="AB290" s="13">
        <f>SUMIFS(Table3[Hours Worked],Table3[Release Name],Table7[[#This Row],[Release Name]],Table3[Task Type],"Testcase Creation")</f>
        <v>0</v>
      </c>
      <c r="AC290" s="255">
        <f>SUMIFS(Table3[Hours Worked],Table3[Release Name],Table7[[#This Row],[Release Name]],Table3[Task Type],"Testcase Execution")</f>
        <v>0</v>
      </c>
      <c r="AD29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0" s="256" t="str">
        <f>IFERROR((Table7[[#This Row],[No. of Valid Internal Review Defects]]+Table7[[#This Row],[No. of Valid  Internal Testing Defects]]+Table7[[#This Row],[No. of  Valid External Review Defects]]+Table7[[#This Row],[No. of Valid External Testing Defects]])/Table7[[#This Row],[Size]],"")</f>
        <v/>
      </c>
      <c r="AF290" s="257" t="str">
        <f>IFERROR(Table7[[#This Row],[No. of Valid Internal Review Defects]]/(Table7[[#This Row],[No. of Valid Internal Review Defects]]+Table7[[#This Row],[No. of  Valid External Review Defects]]+Table7[[#This Row],[No. of Valid  Internal Testing Defects]]+Table7[[#This Row],[No. of Valid External Testing Defects]]),"")</f>
        <v/>
      </c>
      <c r="AG290" s="258" t="str">
        <f>IFERROR(Table7[[#This Row],[No. of Valid Internal Review Defects]]/(Table7[[#This Row],[No. of Valid Internal Review Defects]]+Table7[[#This Row],[No. of  Valid External Review Defects]]+Table7[[#This Row],[No. of Valid External Testing Defects]]),"")</f>
        <v/>
      </c>
      <c r="AH290" s="256" t="str">
        <f>IFERROR(Table7[[#This Row],[No. of Valid  Internal Testing Defects]]/Table7[[#This Row],[Overall Actual Effort for the release]],"")</f>
        <v/>
      </c>
      <c r="AI290" s="256" t="str">
        <f>IFERROR(Table7[[#This Row],[No. of Valid  Internal Testing Defects]]/Table7[[#This Row],[No. of Testcases Executed]],"")</f>
        <v/>
      </c>
      <c r="AJ290" s="259" t="str">
        <f>IFERROR(IFERROR(Table7[[#This Row],[No. of Testcases Created]]/Table7[[#This Row],[Effort for Testcase Creation]],"")*9,"")</f>
        <v/>
      </c>
      <c r="AK290" s="256" t="str">
        <f>IFERROR((Table7[[#This Row],[No. of Testcases Executed]]/Table7[[#This Row],[Effort for Testcase Execution]])*9,"")</f>
        <v/>
      </c>
      <c r="AL29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0" s="259" t="str">
        <f>IFERROR(Table7[[#This Row],[No. of Defects Validated]]/SUMIFS(Table3[Hours Worked],Table3[Release Name],Table7[[#This Row],[Release Name]],Table3[Task Type],"Defect Validation")*9,"")</f>
        <v/>
      </c>
      <c r="AN290" s="258" t="str">
        <f>IFERROR((Table7[[#This Row],[No. of Valid  Internal Testing Defects]])/(Table7[[#This Row],[No. of Valid  Internal Testing Defects]]+Table7[[#This Row],[No. of Invalid Internal Testing Defects]]),"")</f>
        <v/>
      </c>
      <c r="AO290" s="258" t="str">
        <f>IFERROR(Table7[[#This Row],[No. of Valid External Testing Defects]]/(Table7[[#This Row],[No. of Valid External Testing Defects]]+Table7[[#This Row],[No. of Valid  Internal Testing Defects]]),"")</f>
        <v/>
      </c>
    </row>
    <row r="291" spans="2:41">
      <c r="B291" s="237"/>
      <c r="C291" s="14"/>
      <c r="D291" s="14"/>
      <c r="E291" s="14"/>
      <c r="F291" s="230" t="str">
        <f>IFERROR((Table47[[#This Row],[Initial No. of Requirements]]+Table47[[#This Row],[Modified Requirements( Added / Deleted /Modified)]])/Table47[[#This Row],[Initial No. of Requirements]],"")</f>
        <v/>
      </c>
      <c r="G29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1" s="249"/>
      <c r="J291" s="249"/>
      <c r="K291" s="250"/>
      <c r="L291" s="250"/>
      <c r="M291" s="250"/>
      <c r="N291" s="248">
        <f>SUMIFS(Table1[Size],Table1[Release Name],[2]!Table7[Release Name])</f>
        <v>0</v>
      </c>
      <c r="O291" s="248"/>
      <c r="P29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1" s="248"/>
      <c r="R29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1" s="248"/>
      <c r="T291" s="248"/>
      <c r="U291" s="248"/>
      <c r="V291" s="248"/>
      <c r="W291" s="248"/>
      <c r="X291" s="248"/>
      <c r="Y291" s="248"/>
      <c r="Z291" s="248"/>
      <c r="AA291" s="248"/>
      <c r="AB291" s="13">
        <f>SUMIFS(Table3[Hours Worked],Table3[Release Name],Table7[[#This Row],[Release Name]],Table3[Task Type],"Testcase Creation")</f>
        <v>0</v>
      </c>
      <c r="AC291" s="255">
        <f>SUMIFS(Table3[Hours Worked],Table3[Release Name],Table7[[#This Row],[Release Name]],Table3[Task Type],"Testcase Execution")</f>
        <v>0</v>
      </c>
      <c r="AD29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1" s="256" t="str">
        <f>IFERROR((Table7[[#This Row],[No. of Valid Internal Review Defects]]+Table7[[#This Row],[No. of Valid  Internal Testing Defects]]+Table7[[#This Row],[No. of  Valid External Review Defects]]+Table7[[#This Row],[No. of Valid External Testing Defects]])/Table7[[#This Row],[Size]],"")</f>
        <v/>
      </c>
      <c r="AF291" s="257" t="str">
        <f>IFERROR(Table7[[#This Row],[No. of Valid Internal Review Defects]]/(Table7[[#This Row],[No. of Valid Internal Review Defects]]+Table7[[#This Row],[No. of  Valid External Review Defects]]+Table7[[#This Row],[No. of Valid  Internal Testing Defects]]+Table7[[#This Row],[No. of Valid External Testing Defects]]),"")</f>
        <v/>
      </c>
      <c r="AG291" s="258" t="str">
        <f>IFERROR(Table7[[#This Row],[No. of Valid Internal Review Defects]]/(Table7[[#This Row],[No. of Valid Internal Review Defects]]+Table7[[#This Row],[No. of  Valid External Review Defects]]+Table7[[#This Row],[No. of Valid External Testing Defects]]),"")</f>
        <v/>
      </c>
      <c r="AH291" s="256" t="str">
        <f>IFERROR(Table7[[#This Row],[No. of Valid  Internal Testing Defects]]/Table7[[#This Row],[Overall Actual Effort for the release]],"")</f>
        <v/>
      </c>
      <c r="AI291" s="256" t="str">
        <f>IFERROR(Table7[[#This Row],[No. of Valid  Internal Testing Defects]]/Table7[[#This Row],[No. of Testcases Executed]],"")</f>
        <v/>
      </c>
      <c r="AJ291" s="259" t="str">
        <f>IFERROR(IFERROR(Table7[[#This Row],[No. of Testcases Created]]/Table7[[#This Row],[Effort for Testcase Creation]],"")*9,"")</f>
        <v/>
      </c>
      <c r="AK291" s="256" t="str">
        <f>IFERROR((Table7[[#This Row],[No. of Testcases Executed]]/Table7[[#This Row],[Effort for Testcase Execution]])*9,"")</f>
        <v/>
      </c>
      <c r="AL29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1" s="259" t="str">
        <f>IFERROR(Table7[[#This Row],[No. of Defects Validated]]/SUMIFS(Table3[Hours Worked],Table3[Release Name],Table7[[#This Row],[Release Name]],Table3[Task Type],"Defect Validation")*9,"")</f>
        <v/>
      </c>
      <c r="AN291" s="258" t="str">
        <f>IFERROR((Table7[[#This Row],[No. of Valid  Internal Testing Defects]])/(Table7[[#This Row],[No. of Valid  Internal Testing Defects]]+Table7[[#This Row],[No. of Invalid Internal Testing Defects]]),"")</f>
        <v/>
      </c>
      <c r="AO291" s="258" t="str">
        <f>IFERROR(Table7[[#This Row],[No. of Valid External Testing Defects]]/(Table7[[#This Row],[No. of Valid External Testing Defects]]+Table7[[#This Row],[No. of Valid  Internal Testing Defects]]),"")</f>
        <v/>
      </c>
    </row>
    <row r="292" spans="2:41">
      <c r="B292" s="237"/>
      <c r="C292" s="14"/>
      <c r="D292" s="14"/>
      <c r="E292" s="14"/>
      <c r="F292" s="230" t="str">
        <f>IFERROR((Table47[[#This Row],[Initial No. of Requirements]]+Table47[[#This Row],[Modified Requirements( Added / Deleted /Modified)]])/Table47[[#This Row],[Initial No. of Requirements]],"")</f>
        <v/>
      </c>
      <c r="G29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2" s="249"/>
      <c r="J292" s="249"/>
      <c r="K292" s="250"/>
      <c r="L292" s="250"/>
      <c r="M292" s="250"/>
      <c r="N292" s="248">
        <f>SUMIFS(Table1[Size],Table1[Release Name],[2]!Table7[Release Name])</f>
        <v>0</v>
      </c>
      <c r="O292" s="248"/>
      <c r="P29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2" s="248"/>
      <c r="R29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2" s="248"/>
      <c r="T292" s="248"/>
      <c r="U292" s="248"/>
      <c r="V292" s="248"/>
      <c r="W292" s="248"/>
      <c r="X292" s="248"/>
      <c r="Y292" s="248"/>
      <c r="Z292" s="248"/>
      <c r="AA292" s="248"/>
      <c r="AB292" s="13">
        <f>SUMIFS(Table3[Hours Worked],Table3[Release Name],Table7[[#This Row],[Release Name]],Table3[Task Type],"Testcase Creation")</f>
        <v>0</v>
      </c>
      <c r="AC292" s="255">
        <f>SUMIFS(Table3[Hours Worked],Table3[Release Name],Table7[[#This Row],[Release Name]],Table3[Task Type],"Testcase Execution")</f>
        <v>0</v>
      </c>
      <c r="AD29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2" s="256" t="str">
        <f>IFERROR((Table7[[#This Row],[No. of Valid Internal Review Defects]]+Table7[[#This Row],[No. of Valid  Internal Testing Defects]]+Table7[[#This Row],[No. of  Valid External Review Defects]]+Table7[[#This Row],[No. of Valid External Testing Defects]])/Table7[[#This Row],[Size]],"")</f>
        <v/>
      </c>
      <c r="AF292" s="257" t="str">
        <f>IFERROR(Table7[[#This Row],[No. of Valid Internal Review Defects]]/(Table7[[#This Row],[No. of Valid Internal Review Defects]]+Table7[[#This Row],[No. of  Valid External Review Defects]]+Table7[[#This Row],[No. of Valid  Internal Testing Defects]]+Table7[[#This Row],[No. of Valid External Testing Defects]]),"")</f>
        <v/>
      </c>
      <c r="AG292" s="258" t="str">
        <f>IFERROR(Table7[[#This Row],[No. of Valid Internal Review Defects]]/(Table7[[#This Row],[No. of Valid Internal Review Defects]]+Table7[[#This Row],[No. of  Valid External Review Defects]]+Table7[[#This Row],[No. of Valid External Testing Defects]]),"")</f>
        <v/>
      </c>
      <c r="AH292" s="256" t="str">
        <f>IFERROR(Table7[[#This Row],[No. of Valid  Internal Testing Defects]]/Table7[[#This Row],[Overall Actual Effort for the release]],"")</f>
        <v/>
      </c>
      <c r="AI292" s="256" t="str">
        <f>IFERROR(Table7[[#This Row],[No. of Valid  Internal Testing Defects]]/Table7[[#This Row],[No. of Testcases Executed]],"")</f>
        <v/>
      </c>
      <c r="AJ292" s="259" t="str">
        <f>IFERROR(IFERROR(Table7[[#This Row],[No. of Testcases Created]]/Table7[[#This Row],[Effort for Testcase Creation]],"")*9,"")</f>
        <v/>
      </c>
      <c r="AK292" s="256" t="str">
        <f>IFERROR((Table7[[#This Row],[No. of Testcases Executed]]/Table7[[#This Row],[Effort for Testcase Execution]])*9,"")</f>
        <v/>
      </c>
      <c r="AL29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2" s="259" t="str">
        <f>IFERROR(Table7[[#This Row],[No. of Defects Validated]]/SUMIFS(Table3[Hours Worked],Table3[Release Name],Table7[[#This Row],[Release Name]],Table3[Task Type],"Defect Validation")*9,"")</f>
        <v/>
      </c>
      <c r="AN292" s="258" t="str">
        <f>IFERROR((Table7[[#This Row],[No. of Valid  Internal Testing Defects]])/(Table7[[#This Row],[No. of Valid  Internal Testing Defects]]+Table7[[#This Row],[No. of Invalid Internal Testing Defects]]),"")</f>
        <v/>
      </c>
      <c r="AO292" s="258" t="str">
        <f>IFERROR(Table7[[#This Row],[No. of Valid External Testing Defects]]/(Table7[[#This Row],[No. of Valid External Testing Defects]]+Table7[[#This Row],[No. of Valid  Internal Testing Defects]]),"")</f>
        <v/>
      </c>
    </row>
    <row r="293" spans="2:41">
      <c r="B293" s="237"/>
      <c r="C293" s="14"/>
      <c r="D293" s="14"/>
      <c r="E293" s="14"/>
      <c r="F293" s="230" t="str">
        <f>IFERROR((Table47[[#This Row],[Initial No. of Requirements]]+Table47[[#This Row],[Modified Requirements( Added / Deleted /Modified)]])/Table47[[#This Row],[Initial No. of Requirements]],"")</f>
        <v/>
      </c>
      <c r="G29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3" s="249"/>
      <c r="J293" s="249"/>
      <c r="K293" s="250"/>
      <c r="L293" s="250"/>
      <c r="M293" s="250"/>
      <c r="N293" s="248">
        <f>SUMIFS(Table1[Size],Table1[Release Name],[2]!Table7[Release Name])</f>
        <v>0</v>
      </c>
      <c r="O293" s="248"/>
      <c r="P29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3" s="248"/>
      <c r="R29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3" s="248"/>
      <c r="T293" s="248"/>
      <c r="U293" s="248"/>
      <c r="V293" s="248"/>
      <c r="W293" s="248"/>
      <c r="X293" s="248"/>
      <c r="Y293" s="248"/>
      <c r="Z293" s="248"/>
      <c r="AA293" s="248"/>
      <c r="AB293" s="13">
        <f>SUMIFS(Table3[Hours Worked],Table3[Release Name],Table7[[#This Row],[Release Name]],Table3[Task Type],"Testcase Creation")</f>
        <v>0</v>
      </c>
      <c r="AC293" s="255">
        <f>SUMIFS(Table3[Hours Worked],Table3[Release Name],Table7[[#This Row],[Release Name]],Table3[Task Type],"Testcase Execution")</f>
        <v>0</v>
      </c>
      <c r="AD29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3" s="256" t="str">
        <f>IFERROR((Table7[[#This Row],[No. of Valid Internal Review Defects]]+Table7[[#This Row],[No. of Valid  Internal Testing Defects]]+Table7[[#This Row],[No. of  Valid External Review Defects]]+Table7[[#This Row],[No. of Valid External Testing Defects]])/Table7[[#This Row],[Size]],"")</f>
        <v/>
      </c>
      <c r="AF293" s="257" t="str">
        <f>IFERROR(Table7[[#This Row],[No. of Valid Internal Review Defects]]/(Table7[[#This Row],[No. of Valid Internal Review Defects]]+Table7[[#This Row],[No. of  Valid External Review Defects]]+Table7[[#This Row],[No. of Valid  Internal Testing Defects]]+Table7[[#This Row],[No. of Valid External Testing Defects]]),"")</f>
        <v/>
      </c>
      <c r="AG293" s="258" t="str">
        <f>IFERROR(Table7[[#This Row],[No. of Valid Internal Review Defects]]/(Table7[[#This Row],[No. of Valid Internal Review Defects]]+Table7[[#This Row],[No. of  Valid External Review Defects]]+Table7[[#This Row],[No. of Valid External Testing Defects]]),"")</f>
        <v/>
      </c>
      <c r="AH293" s="256" t="str">
        <f>IFERROR(Table7[[#This Row],[No. of Valid  Internal Testing Defects]]/Table7[[#This Row],[Overall Actual Effort for the release]],"")</f>
        <v/>
      </c>
      <c r="AI293" s="256" t="str">
        <f>IFERROR(Table7[[#This Row],[No. of Valid  Internal Testing Defects]]/Table7[[#This Row],[No. of Testcases Executed]],"")</f>
        <v/>
      </c>
      <c r="AJ293" s="259" t="str">
        <f>IFERROR(IFERROR(Table7[[#This Row],[No. of Testcases Created]]/Table7[[#This Row],[Effort for Testcase Creation]],"")*9,"")</f>
        <v/>
      </c>
      <c r="AK293" s="256" t="str">
        <f>IFERROR((Table7[[#This Row],[No. of Testcases Executed]]/Table7[[#This Row],[Effort for Testcase Execution]])*9,"")</f>
        <v/>
      </c>
      <c r="AL29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3" s="259" t="str">
        <f>IFERROR(Table7[[#This Row],[No. of Defects Validated]]/SUMIFS(Table3[Hours Worked],Table3[Release Name],Table7[[#This Row],[Release Name]],Table3[Task Type],"Defect Validation")*9,"")</f>
        <v/>
      </c>
      <c r="AN293" s="258" t="str">
        <f>IFERROR((Table7[[#This Row],[No. of Valid  Internal Testing Defects]])/(Table7[[#This Row],[No. of Valid  Internal Testing Defects]]+Table7[[#This Row],[No. of Invalid Internal Testing Defects]]),"")</f>
        <v/>
      </c>
      <c r="AO293" s="258" t="str">
        <f>IFERROR(Table7[[#This Row],[No. of Valid External Testing Defects]]/(Table7[[#This Row],[No. of Valid External Testing Defects]]+Table7[[#This Row],[No. of Valid  Internal Testing Defects]]),"")</f>
        <v/>
      </c>
    </row>
    <row r="294" spans="2:41">
      <c r="B294" s="237"/>
      <c r="C294" s="14"/>
      <c r="D294" s="14"/>
      <c r="E294" s="14"/>
      <c r="F294" s="230" t="str">
        <f>IFERROR((Table47[[#This Row],[Initial No. of Requirements]]+Table47[[#This Row],[Modified Requirements( Added / Deleted /Modified)]])/Table47[[#This Row],[Initial No. of Requirements]],"")</f>
        <v/>
      </c>
      <c r="G29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4" s="249"/>
      <c r="J294" s="249"/>
      <c r="K294" s="250"/>
      <c r="L294" s="250"/>
      <c r="M294" s="250"/>
      <c r="N294" s="248">
        <f>SUMIFS(Table1[Size],Table1[Release Name],[2]!Table7[Release Name])</f>
        <v>0</v>
      </c>
      <c r="O294" s="248"/>
      <c r="P29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4" s="248"/>
      <c r="R29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4" s="248"/>
      <c r="T294" s="248"/>
      <c r="U294" s="248"/>
      <c r="V294" s="248"/>
      <c r="W294" s="248"/>
      <c r="X294" s="248"/>
      <c r="Y294" s="248"/>
      <c r="Z294" s="248"/>
      <c r="AA294" s="248"/>
      <c r="AB294" s="13">
        <f>SUMIFS(Table3[Hours Worked],Table3[Release Name],Table7[[#This Row],[Release Name]],Table3[Task Type],"Testcase Creation")</f>
        <v>0</v>
      </c>
      <c r="AC294" s="255">
        <f>SUMIFS(Table3[Hours Worked],Table3[Release Name],Table7[[#This Row],[Release Name]],Table3[Task Type],"Testcase Execution")</f>
        <v>0</v>
      </c>
      <c r="AD29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4" s="256" t="str">
        <f>IFERROR((Table7[[#This Row],[No. of Valid Internal Review Defects]]+Table7[[#This Row],[No. of Valid  Internal Testing Defects]]+Table7[[#This Row],[No. of  Valid External Review Defects]]+Table7[[#This Row],[No. of Valid External Testing Defects]])/Table7[[#This Row],[Size]],"")</f>
        <v/>
      </c>
      <c r="AF294" s="257" t="str">
        <f>IFERROR(Table7[[#This Row],[No. of Valid Internal Review Defects]]/(Table7[[#This Row],[No. of Valid Internal Review Defects]]+Table7[[#This Row],[No. of  Valid External Review Defects]]+Table7[[#This Row],[No. of Valid  Internal Testing Defects]]+Table7[[#This Row],[No. of Valid External Testing Defects]]),"")</f>
        <v/>
      </c>
      <c r="AG294" s="258" t="str">
        <f>IFERROR(Table7[[#This Row],[No. of Valid Internal Review Defects]]/(Table7[[#This Row],[No. of Valid Internal Review Defects]]+Table7[[#This Row],[No. of  Valid External Review Defects]]+Table7[[#This Row],[No. of Valid External Testing Defects]]),"")</f>
        <v/>
      </c>
      <c r="AH294" s="256" t="str">
        <f>IFERROR(Table7[[#This Row],[No. of Valid  Internal Testing Defects]]/Table7[[#This Row],[Overall Actual Effort for the release]],"")</f>
        <v/>
      </c>
      <c r="AI294" s="256" t="str">
        <f>IFERROR(Table7[[#This Row],[No. of Valid  Internal Testing Defects]]/Table7[[#This Row],[No. of Testcases Executed]],"")</f>
        <v/>
      </c>
      <c r="AJ294" s="259" t="str">
        <f>IFERROR(IFERROR(Table7[[#This Row],[No. of Testcases Created]]/Table7[[#This Row],[Effort for Testcase Creation]],"")*9,"")</f>
        <v/>
      </c>
      <c r="AK294" s="256" t="str">
        <f>IFERROR((Table7[[#This Row],[No. of Testcases Executed]]/Table7[[#This Row],[Effort for Testcase Execution]])*9,"")</f>
        <v/>
      </c>
      <c r="AL29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4" s="259" t="str">
        <f>IFERROR(Table7[[#This Row],[No. of Defects Validated]]/SUMIFS(Table3[Hours Worked],Table3[Release Name],Table7[[#This Row],[Release Name]],Table3[Task Type],"Defect Validation")*9,"")</f>
        <v/>
      </c>
      <c r="AN294" s="258" t="str">
        <f>IFERROR((Table7[[#This Row],[No. of Valid  Internal Testing Defects]])/(Table7[[#This Row],[No. of Valid  Internal Testing Defects]]+Table7[[#This Row],[No. of Invalid Internal Testing Defects]]),"")</f>
        <v/>
      </c>
      <c r="AO294" s="258" t="str">
        <f>IFERROR(Table7[[#This Row],[No. of Valid External Testing Defects]]/(Table7[[#This Row],[No. of Valid External Testing Defects]]+Table7[[#This Row],[No. of Valid  Internal Testing Defects]]),"")</f>
        <v/>
      </c>
    </row>
    <row r="295" spans="2:41">
      <c r="B295" s="237"/>
      <c r="C295" s="14"/>
      <c r="D295" s="14"/>
      <c r="E295" s="14"/>
      <c r="F295" s="230" t="str">
        <f>IFERROR((Table47[[#This Row],[Initial No. of Requirements]]+Table47[[#This Row],[Modified Requirements( Added / Deleted /Modified)]])/Table47[[#This Row],[Initial No. of Requirements]],"")</f>
        <v/>
      </c>
      <c r="G29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5" s="249"/>
      <c r="J295" s="249"/>
      <c r="K295" s="250"/>
      <c r="L295" s="250"/>
      <c r="M295" s="250"/>
      <c r="N295" s="248">
        <f>SUMIFS(Table1[Size],Table1[Release Name],[2]!Table7[Release Name])</f>
        <v>0</v>
      </c>
      <c r="O295" s="248"/>
      <c r="P29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5" s="248"/>
      <c r="R29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5" s="248"/>
      <c r="T295" s="248"/>
      <c r="U295" s="248"/>
      <c r="V295" s="248"/>
      <c r="W295" s="248"/>
      <c r="X295" s="248"/>
      <c r="Y295" s="248"/>
      <c r="Z295" s="248"/>
      <c r="AA295" s="248"/>
      <c r="AB295" s="13">
        <f>SUMIFS(Table3[Hours Worked],Table3[Release Name],Table7[[#This Row],[Release Name]],Table3[Task Type],"Testcase Creation")</f>
        <v>0</v>
      </c>
      <c r="AC295" s="255">
        <f>SUMIFS(Table3[Hours Worked],Table3[Release Name],Table7[[#This Row],[Release Name]],Table3[Task Type],"Testcase Execution")</f>
        <v>0</v>
      </c>
      <c r="AD29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5" s="256" t="str">
        <f>IFERROR((Table7[[#This Row],[No. of Valid Internal Review Defects]]+Table7[[#This Row],[No. of Valid  Internal Testing Defects]]+Table7[[#This Row],[No. of  Valid External Review Defects]]+Table7[[#This Row],[No. of Valid External Testing Defects]])/Table7[[#This Row],[Size]],"")</f>
        <v/>
      </c>
      <c r="AF295" s="257" t="str">
        <f>IFERROR(Table7[[#This Row],[No. of Valid Internal Review Defects]]/(Table7[[#This Row],[No. of Valid Internal Review Defects]]+Table7[[#This Row],[No. of  Valid External Review Defects]]+Table7[[#This Row],[No. of Valid  Internal Testing Defects]]+Table7[[#This Row],[No. of Valid External Testing Defects]]),"")</f>
        <v/>
      </c>
      <c r="AG295" s="258" t="str">
        <f>IFERROR(Table7[[#This Row],[No. of Valid Internal Review Defects]]/(Table7[[#This Row],[No. of Valid Internal Review Defects]]+Table7[[#This Row],[No. of  Valid External Review Defects]]+Table7[[#This Row],[No. of Valid External Testing Defects]]),"")</f>
        <v/>
      </c>
      <c r="AH295" s="256" t="str">
        <f>IFERROR(Table7[[#This Row],[No. of Valid  Internal Testing Defects]]/Table7[[#This Row],[Overall Actual Effort for the release]],"")</f>
        <v/>
      </c>
      <c r="AI295" s="256" t="str">
        <f>IFERROR(Table7[[#This Row],[No. of Valid  Internal Testing Defects]]/Table7[[#This Row],[No. of Testcases Executed]],"")</f>
        <v/>
      </c>
      <c r="AJ295" s="259" t="str">
        <f>IFERROR(IFERROR(Table7[[#This Row],[No. of Testcases Created]]/Table7[[#This Row],[Effort for Testcase Creation]],"")*9,"")</f>
        <v/>
      </c>
      <c r="AK295" s="256" t="str">
        <f>IFERROR((Table7[[#This Row],[No. of Testcases Executed]]/Table7[[#This Row],[Effort for Testcase Execution]])*9,"")</f>
        <v/>
      </c>
      <c r="AL29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5" s="259" t="str">
        <f>IFERROR(Table7[[#This Row],[No. of Defects Validated]]/SUMIFS(Table3[Hours Worked],Table3[Release Name],Table7[[#This Row],[Release Name]],Table3[Task Type],"Defect Validation")*9,"")</f>
        <v/>
      </c>
      <c r="AN295" s="258" t="str">
        <f>IFERROR((Table7[[#This Row],[No. of Valid  Internal Testing Defects]])/(Table7[[#This Row],[No. of Valid  Internal Testing Defects]]+Table7[[#This Row],[No. of Invalid Internal Testing Defects]]),"")</f>
        <v/>
      </c>
      <c r="AO295" s="258" t="str">
        <f>IFERROR(Table7[[#This Row],[No. of Valid External Testing Defects]]/(Table7[[#This Row],[No. of Valid External Testing Defects]]+Table7[[#This Row],[No. of Valid  Internal Testing Defects]]),"")</f>
        <v/>
      </c>
    </row>
    <row r="296" spans="2:41">
      <c r="B296" s="237"/>
      <c r="C296" s="14"/>
      <c r="D296" s="14"/>
      <c r="E296" s="14"/>
      <c r="F296" s="230" t="str">
        <f>IFERROR((Table47[[#This Row],[Initial No. of Requirements]]+Table47[[#This Row],[Modified Requirements( Added / Deleted /Modified)]])/Table47[[#This Row],[Initial No. of Requirements]],"")</f>
        <v/>
      </c>
      <c r="G29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6" s="249"/>
      <c r="J296" s="249"/>
      <c r="K296" s="250"/>
      <c r="L296" s="250"/>
      <c r="M296" s="250"/>
      <c r="N296" s="248">
        <f>SUMIFS(Table1[Size],Table1[Release Name],[2]!Table7[Release Name])</f>
        <v>0</v>
      </c>
      <c r="O296" s="248"/>
      <c r="P29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6" s="248"/>
      <c r="R29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6" s="248"/>
      <c r="T296" s="248"/>
      <c r="U296" s="248"/>
      <c r="V296" s="248"/>
      <c r="W296" s="248"/>
      <c r="X296" s="248"/>
      <c r="Y296" s="248"/>
      <c r="Z296" s="248"/>
      <c r="AA296" s="248"/>
      <c r="AB296" s="13">
        <f>SUMIFS(Table3[Hours Worked],Table3[Release Name],Table7[[#This Row],[Release Name]],Table3[Task Type],"Testcase Creation")</f>
        <v>0</v>
      </c>
      <c r="AC296" s="255">
        <f>SUMIFS(Table3[Hours Worked],Table3[Release Name],Table7[[#This Row],[Release Name]],Table3[Task Type],"Testcase Execution")</f>
        <v>0</v>
      </c>
      <c r="AD29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6" s="256" t="str">
        <f>IFERROR((Table7[[#This Row],[No. of Valid Internal Review Defects]]+Table7[[#This Row],[No. of Valid  Internal Testing Defects]]+Table7[[#This Row],[No. of  Valid External Review Defects]]+Table7[[#This Row],[No. of Valid External Testing Defects]])/Table7[[#This Row],[Size]],"")</f>
        <v/>
      </c>
      <c r="AF296" s="257" t="str">
        <f>IFERROR(Table7[[#This Row],[No. of Valid Internal Review Defects]]/(Table7[[#This Row],[No. of Valid Internal Review Defects]]+Table7[[#This Row],[No. of  Valid External Review Defects]]+Table7[[#This Row],[No. of Valid  Internal Testing Defects]]+Table7[[#This Row],[No. of Valid External Testing Defects]]),"")</f>
        <v/>
      </c>
      <c r="AG296" s="258" t="str">
        <f>IFERROR(Table7[[#This Row],[No. of Valid Internal Review Defects]]/(Table7[[#This Row],[No. of Valid Internal Review Defects]]+Table7[[#This Row],[No. of  Valid External Review Defects]]+Table7[[#This Row],[No. of Valid External Testing Defects]]),"")</f>
        <v/>
      </c>
      <c r="AH296" s="256" t="str">
        <f>IFERROR(Table7[[#This Row],[No. of Valid  Internal Testing Defects]]/Table7[[#This Row],[Overall Actual Effort for the release]],"")</f>
        <v/>
      </c>
      <c r="AI296" s="256" t="str">
        <f>IFERROR(Table7[[#This Row],[No. of Valid  Internal Testing Defects]]/Table7[[#This Row],[No. of Testcases Executed]],"")</f>
        <v/>
      </c>
      <c r="AJ296" s="259" t="str">
        <f>IFERROR(IFERROR(Table7[[#This Row],[No. of Testcases Created]]/Table7[[#This Row],[Effort for Testcase Creation]],"")*9,"")</f>
        <v/>
      </c>
      <c r="AK296" s="256" t="str">
        <f>IFERROR((Table7[[#This Row],[No. of Testcases Executed]]/Table7[[#This Row],[Effort for Testcase Execution]])*9,"")</f>
        <v/>
      </c>
      <c r="AL29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6" s="259" t="str">
        <f>IFERROR(Table7[[#This Row],[No. of Defects Validated]]/SUMIFS(Table3[Hours Worked],Table3[Release Name],Table7[[#This Row],[Release Name]],Table3[Task Type],"Defect Validation")*9,"")</f>
        <v/>
      </c>
      <c r="AN296" s="258" t="str">
        <f>IFERROR((Table7[[#This Row],[No. of Valid  Internal Testing Defects]])/(Table7[[#This Row],[No. of Valid  Internal Testing Defects]]+Table7[[#This Row],[No. of Invalid Internal Testing Defects]]),"")</f>
        <v/>
      </c>
      <c r="AO296" s="258" t="str">
        <f>IFERROR(Table7[[#This Row],[No. of Valid External Testing Defects]]/(Table7[[#This Row],[No. of Valid External Testing Defects]]+Table7[[#This Row],[No. of Valid  Internal Testing Defects]]),"")</f>
        <v/>
      </c>
    </row>
    <row r="297" spans="2:41">
      <c r="B297" s="237"/>
      <c r="C297" s="14"/>
      <c r="D297" s="14"/>
      <c r="E297" s="14"/>
      <c r="F297" s="230" t="str">
        <f>IFERROR((Table47[[#This Row],[Initial No. of Requirements]]+Table47[[#This Row],[Modified Requirements( Added / Deleted /Modified)]])/Table47[[#This Row],[Initial No. of Requirements]],"")</f>
        <v/>
      </c>
      <c r="G29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7" s="249"/>
      <c r="J297" s="249"/>
      <c r="K297" s="250"/>
      <c r="L297" s="250"/>
      <c r="M297" s="250"/>
      <c r="N297" s="248">
        <f>SUMIFS(Table1[Size],Table1[Release Name],[2]!Table7[Release Name])</f>
        <v>0</v>
      </c>
      <c r="O297" s="248"/>
      <c r="P29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7" s="248"/>
      <c r="R29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7" s="248"/>
      <c r="T297" s="248"/>
      <c r="U297" s="248"/>
      <c r="V297" s="248"/>
      <c r="W297" s="248"/>
      <c r="X297" s="248"/>
      <c r="Y297" s="248"/>
      <c r="Z297" s="248"/>
      <c r="AA297" s="248"/>
      <c r="AB297" s="13">
        <f>SUMIFS(Table3[Hours Worked],Table3[Release Name],Table7[[#This Row],[Release Name]],Table3[Task Type],"Testcase Creation")</f>
        <v>0</v>
      </c>
      <c r="AC297" s="255">
        <f>SUMIFS(Table3[Hours Worked],Table3[Release Name],Table7[[#This Row],[Release Name]],Table3[Task Type],"Testcase Execution")</f>
        <v>0</v>
      </c>
      <c r="AD29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7" s="256" t="str">
        <f>IFERROR((Table7[[#This Row],[No. of Valid Internal Review Defects]]+Table7[[#This Row],[No. of Valid  Internal Testing Defects]]+Table7[[#This Row],[No. of  Valid External Review Defects]]+Table7[[#This Row],[No. of Valid External Testing Defects]])/Table7[[#This Row],[Size]],"")</f>
        <v/>
      </c>
      <c r="AF297" s="257" t="str">
        <f>IFERROR(Table7[[#This Row],[No. of Valid Internal Review Defects]]/(Table7[[#This Row],[No. of Valid Internal Review Defects]]+Table7[[#This Row],[No. of  Valid External Review Defects]]+Table7[[#This Row],[No. of Valid  Internal Testing Defects]]+Table7[[#This Row],[No. of Valid External Testing Defects]]),"")</f>
        <v/>
      </c>
      <c r="AG297" s="258" t="str">
        <f>IFERROR(Table7[[#This Row],[No. of Valid Internal Review Defects]]/(Table7[[#This Row],[No. of Valid Internal Review Defects]]+Table7[[#This Row],[No. of  Valid External Review Defects]]+Table7[[#This Row],[No. of Valid External Testing Defects]]),"")</f>
        <v/>
      </c>
      <c r="AH297" s="256" t="str">
        <f>IFERROR(Table7[[#This Row],[No. of Valid  Internal Testing Defects]]/Table7[[#This Row],[Overall Actual Effort for the release]],"")</f>
        <v/>
      </c>
      <c r="AI297" s="256" t="str">
        <f>IFERROR(Table7[[#This Row],[No. of Valid  Internal Testing Defects]]/Table7[[#This Row],[No. of Testcases Executed]],"")</f>
        <v/>
      </c>
      <c r="AJ297" s="259" t="str">
        <f>IFERROR(IFERROR(Table7[[#This Row],[No. of Testcases Created]]/Table7[[#This Row],[Effort for Testcase Creation]],"")*9,"")</f>
        <v/>
      </c>
      <c r="AK297" s="256" t="str">
        <f>IFERROR((Table7[[#This Row],[No. of Testcases Executed]]/Table7[[#This Row],[Effort for Testcase Execution]])*9,"")</f>
        <v/>
      </c>
      <c r="AL29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7" s="259" t="str">
        <f>IFERROR(Table7[[#This Row],[No. of Defects Validated]]/SUMIFS(Table3[Hours Worked],Table3[Release Name],Table7[[#This Row],[Release Name]],Table3[Task Type],"Defect Validation")*9,"")</f>
        <v/>
      </c>
      <c r="AN297" s="258" t="str">
        <f>IFERROR((Table7[[#This Row],[No. of Valid  Internal Testing Defects]])/(Table7[[#This Row],[No. of Valid  Internal Testing Defects]]+Table7[[#This Row],[No. of Invalid Internal Testing Defects]]),"")</f>
        <v/>
      </c>
      <c r="AO297" s="258" t="str">
        <f>IFERROR(Table7[[#This Row],[No. of Valid External Testing Defects]]/(Table7[[#This Row],[No. of Valid External Testing Defects]]+Table7[[#This Row],[No. of Valid  Internal Testing Defects]]),"")</f>
        <v/>
      </c>
    </row>
    <row r="298" spans="2:41">
      <c r="B298" s="237"/>
      <c r="C298" s="14"/>
      <c r="D298" s="14"/>
      <c r="E298" s="14"/>
      <c r="F298" s="230" t="str">
        <f>IFERROR((Table47[[#This Row],[Initial No. of Requirements]]+Table47[[#This Row],[Modified Requirements( Added / Deleted /Modified)]])/Table47[[#This Row],[Initial No. of Requirements]],"")</f>
        <v/>
      </c>
      <c r="G29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8" s="249"/>
      <c r="J298" s="249"/>
      <c r="K298" s="250"/>
      <c r="L298" s="250"/>
      <c r="M298" s="250"/>
      <c r="N298" s="248">
        <f>SUMIFS(Table1[Size],Table1[Release Name],[2]!Table7[Release Name])</f>
        <v>0</v>
      </c>
      <c r="O298" s="248"/>
      <c r="P29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8" s="248"/>
      <c r="R29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8" s="248"/>
      <c r="T298" s="248"/>
      <c r="U298" s="248"/>
      <c r="V298" s="248"/>
      <c r="W298" s="248"/>
      <c r="X298" s="248"/>
      <c r="Y298" s="248"/>
      <c r="Z298" s="248"/>
      <c r="AA298" s="248"/>
      <c r="AB298" s="13">
        <f>SUMIFS(Table3[Hours Worked],Table3[Release Name],Table7[[#This Row],[Release Name]],Table3[Task Type],"Testcase Creation")</f>
        <v>0</v>
      </c>
      <c r="AC298" s="255">
        <f>SUMIFS(Table3[Hours Worked],Table3[Release Name],Table7[[#This Row],[Release Name]],Table3[Task Type],"Testcase Execution")</f>
        <v>0</v>
      </c>
      <c r="AD29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8" s="256" t="str">
        <f>IFERROR((Table7[[#This Row],[No. of Valid Internal Review Defects]]+Table7[[#This Row],[No. of Valid  Internal Testing Defects]]+Table7[[#This Row],[No. of  Valid External Review Defects]]+Table7[[#This Row],[No. of Valid External Testing Defects]])/Table7[[#This Row],[Size]],"")</f>
        <v/>
      </c>
      <c r="AF298" s="257" t="str">
        <f>IFERROR(Table7[[#This Row],[No. of Valid Internal Review Defects]]/(Table7[[#This Row],[No. of Valid Internal Review Defects]]+Table7[[#This Row],[No. of  Valid External Review Defects]]+Table7[[#This Row],[No. of Valid  Internal Testing Defects]]+Table7[[#This Row],[No. of Valid External Testing Defects]]),"")</f>
        <v/>
      </c>
      <c r="AG298" s="258" t="str">
        <f>IFERROR(Table7[[#This Row],[No. of Valid Internal Review Defects]]/(Table7[[#This Row],[No. of Valid Internal Review Defects]]+Table7[[#This Row],[No. of  Valid External Review Defects]]+Table7[[#This Row],[No. of Valid External Testing Defects]]),"")</f>
        <v/>
      </c>
      <c r="AH298" s="256" t="str">
        <f>IFERROR(Table7[[#This Row],[No. of Valid  Internal Testing Defects]]/Table7[[#This Row],[Overall Actual Effort for the release]],"")</f>
        <v/>
      </c>
      <c r="AI298" s="256" t="str">
        <f>IFERROR(Table7[[#This Row],[No. of Valid  Internal Testing Defects]]/Table7[[#This Row],[No. of Testcases Executed]],"")</f>
        <v/>
      </c>
      <c r="AJ298" s="259" t="str">
        <f>IFERROR(IFERROR(Table7[[#This Row],[No. of Testcases Created]]/Table7[[#This Row],[Effort for Testcase Creation]],"")*9,"")</f>
        <v/>
      </c>
      <c r="AK298" s="256" t="str">
        <f>IFERROR((Table7[[#This Row],[No. of Testcases Executed]]/Table7[[#This Row],[Effort for Testcase Execution]])*9,"")</f>
        <v/>
      </c>
      <c r="AL29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8" s="259" t="str">
        <f>IFERROR(Table7[[#This Row],[No. of Defects Validated]]/SUMIFS(Table3[Hours Worked],Table3[Release Name],Table7[[#This Row],[Release Name]],Table3[Task Type],"Defect Validation")*9,"")</f>
        <v/>
      </c>
      <c r="AN298" s="258" t="str">
        <f>IFERROR((Table7[[#This Row],[No. of Valid  Internal Testing Defects]])/(Table7[[#This Row],[No. of Valid  Internal Testing Defects]]+Table7[[#This Row],[No. of Invalid Internal Testing Defects]]),"")</f>
        <v/>
      </c>
      <c r="AO298" s="258" t="str">
        <f>IFERROR(Table7[[#This Row],[No. of Valid External Testing Defects]]/(Table7[[#This Row],[No. of Valid External Testing Defects]]+Table7[[#This Row],[No. of Valid  Internal Testing Defects]]),"")</f>
        <v/>
      </c>
    </row>
    <row r="299" spans="2:41">
      <c r="B299" s="237"/>
      <c r="C299" s="14"/>
      <c r="D299" s="14"/>
      <c r="E299" s="14"/>
      <c r="F299" s="230" t="str">
        <f>IFERROR((Table47[[#This Row],[Initial No. of Requirements]]+Table47[[#This Row],[Modified Requirements( Added / Deleted /Modified)]])/Table47[[#This Row],[Initial No. of Requirements]],"")</f>
        <v/>
      </c>
      <c r="G29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299" s="249"/>
      <c r="J299" s="249"/>
      <c r="K299" s="250"/>
      <c r="L299" s="250"/>
      <c r="M299" s="250"/>
      <c r="N299" s="248">
        <f>SUMIFS(Table1[Size],Table1[Release Name],[2]!Table7[Release Name])</f>
        <v>0</v>
      </c>
      <c r="O299" s="248"/>
      <c r="P29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299" s="248"/>
      <c r="R29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299" s="248"/>
      <c r="T299" s="248"/>
      <c r="U299" s="248"/>
      <c r="V299" s="248"/>
      <c r="W299" s="248"/>
      <c r="X299" s="248"/>
      <c r="Y299" s="248"/>
      <c r="Z299" s="248"/>
      <c r="AA299" s="248"/>
      <c r="AB299" s="13">
        <f>SUMIFS(Table3[Hours Worked],Table3[Release Name],Table7[[#This Row],[Release Name]],Table3[Task Type],"Testcase Creation")</f>
        <v>0</v>
      </c>
      <c r="AC299" s="255">
        <f>SUMIFS(Table3[Hours Worked],Table3[Release Name],Table7[[#This Row],[Release Name]],Table3[Task Type],"Testcase Execution")</f>
        <v>0</v>
      </c>
      <c r="AD29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299" s="256" t="str">
        <f>IFERROR((Table7[[#This Row],[No. of Valid Internal Review Defects]]+Table7[[#This Row],[No. of Valid  Internal Testing Defects]]+Table7[[#This Row],[No. of  Valid External Review Defects]]+Table7[[#This Row],[No. of Valid External Testing Defects]])/Table7[[#This Row],[Size]],"")</f>
        <v/>
      </c>
      <c r="AF299" s="257" t="str">
        <f>IFERROR(Table7[[#This Row],[No. of Valid Internal Review Defects]]/(Table7[[#This Row],[No. of Valid Internal Review Defects]]+Table7[[#This Row],[No. of  Valid External Review Defects]]+Table7[[#This Row],[No. of Valid  Internal Testing Defects]]+Table7[[#This Row],[No. of Valid External Testing Defects]]),"")</f>
        <v/>
      </c>
      <c r="AG299" s="258" t="str">
        <f>IFERROR(Table7[[#This Row],[No. of Valid Internal Review Defects]]/(Table7[[#This Row],[No. of Valid Internal Review Defects]]+Table7[[#This Row],[No. of  Valid External Review Defects]]+Table7[[#This Row],[No. of Valid External Testing Defects]]),"")</f>
        <v/>
      </c>
      <c r="AH299" s="256" t="str">
        <f>IFERROR(Table7[[#This Row],[No. of Valid  Internal Testing Defects]]/Table7[[#This Row],[Overall Actual Effort for the release]],"")</f>
        <v/>
      </c>
      <c r="AI299" s="256" t="str">
        <f>IFERROR(Table7[[#This Row],[No. of Valid  Internal Testing Defects]]/Table7[[#This Row],[No. of Testcases Executed]],"")</f>
        <v/>
      </c>
      <c r="AJ299" s="259" t="str">
        <f>IFERROR(IFERROR(Table7[[#This Row],[No. of Testcases Created]]/Table7[[#This Row],[Effort for Testcase Creation]],"")*9,"")</f>
        <v/>
      </c>
      <c r="AK299" s="256" t="str">
        <f>IFERROR((Table7[[#This Row],[No. of Testcases Executed]]/Table7[[#This Row],[Effort for Testcase Execution]])*9,"")</f>
        <v/>
      </c>
      <c r="AL29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299" s="259" t="str">
        <f>IFERROR(Table7[[#This Row],[No. of Defects Validated]]/SUMIFS(Table3[Hours Worked],Table3[Release Name],Table7[[#This Row],[Release Name]],Table3[Task Type],"Defect Validation")*9,"")</f>
        <v/>
      </c>
      <c r="AN299" s="258" t="str">
        <f>IFERROR((Table7[[#This Row],[No. of Valid  Internal Testing Defects]])/(Table7[[#This Row],[No. of Valid  Internal Testing Defects]]+Table7[[#This Row],[No. of Invalid Internal Testing Defects]]),"")</f>
        <v/>
      </c>
      <c r="AO299" s="258" t="str">
        <f>IFERROR(Table7[[#This Row],[No. of Valid External Testing Defects]]/(Table7[[#This Row],[No. of Valid External Testing Defects]]+Table7[[#This Row],[No. of Valid  Internal Testing Defects]]),"")</f>
        <v/>
      </c>
    </row>
    <row r="300" spans="2:41">
      <c r="B300" s="237"/>
      <c r="C300" s="14"/>
      <c r="D300" s="14"/>
      <c r="E300" s="14"/>
      <c r="F300" s="230" t="str">
        <f>IFERROR((Table47[[#This Row],[Initial No. of Requirements]]+Table47[[#This Row],[Modified Requirements( Added / Deleted /Modified)]])/Table47[[#This Row],[Initial No. of Requirements]],"")</f>
        <v/>
      </c>
      <c r="G30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0" s="249"/>
      <c r="J300" s="249"/>
      <c r="K300" s="250"/>
      <c r="L300" s="250"/>
      <c r="M300" s="250"/>
      <c r="N300" s="248">
        <f>SUMIFS(Table1[Size],Table1[Release Name],[2]!Table7[Release Name])</f>
        <v>0</v>
      </c>
      <c r="O300" s="248"/>
      <c r="P30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0" s="248"/>
      <c r="R30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0" s="248"/>
      <c r="T300" s="248"/>
      <c r="U300" s="248"/>
      <c r="V300" s="248"/>
      <c r="W300" s="248"/>
      <c r="X300" s="248"/>
      <c r="Y300" s="248"/>
      <c r="Z300" s="248"/>
      <c r="AA300" s="248"/>
      <c r="AB300" s="13">
        <f>SUMIFS(Table3[Hours Worked],Table3[Release Name],Table7[[#This Row],[Release Name]],Table3[Task Type],"Testcase Creation")</f>
        <v>0</v>
      </c>
      <c r="AC300" s="255">
        <f>SUMIFS(Table3[Hours Worked],Table3[Release Name],Table7[[#This Row],[Release Name]],Table3[Task Type],"Testcase Execution")</f>
        <v>0</v>
      </c>
      <c r="AD30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0" s="256" t="str">
        <f>IFERROR((Table7[[#This Row],[No. of Valid Internal Review Defects]]+Table7[[#This Row],[No. of Valid  Internal Testing Defects]]+Table7[[#This Row],[No. of  Valid External Review Defects]]+Table7[[#This Row],[No. of Valid External Testing Defects]])/Table7[[#This Row],[Size]],"")</f>
        <v/>
      </c>
      <c r="AF300" s="257" t="str">
        <f>IFERROR(Table7[[#This Row],[No. of Valid Internal Review Defects]]/(Table7[[#This Row],[No. of Valid Internal Review Defects]]+Table7[[#This Row],[No. of  Valid External Review Defects]]+Table7[[#This Row],[No. of Valid  Internal Testing Defects]]+Table7[[#This Row],[No. of Valid External Testing Defects]]),"")</f>
        <v/>
      </c>
      <c r="AG300" s="258" t="str">
        <f>IFERROR(Table7[[#This Row],[No. of Valid Internal Review Defects]]/(Table7[[#This Row],[No. of Valid Internal Review Defects]]+Table7[[#This Row],[No. of  Valid External Review Defects]]+Table7[[#This Row],[No. of Valid External Testing Defects]]),"")</f>
        <v/>
      </c>
      <c r="AH300" s="256" t="str">
        <f>IFERROR(Table7[[#This Row],[No. of Valid  Internal Testing Defects]]/Table7[[#This Row],[Overall Actual Effort for the release]],"")</f>
        <v/>
      </c>
      <c r="AI300" s="256" t="str">
        <f>IFERROR(Table7[[#This Row],[No. of Valid  Internal Testing Defects]]/Table7[[#This Row],[No. of Testcases Executed]],"")</f>
        <v/>
      </c>
      <c r="AJ300" s="259" t="str">
        <f>IFERROR(IFERROR(Table7[[#This Row],[No. of Testcases Created]]/Table7[[#This Row],[Effort for Testcase Creation]],"")*9,"")</f>
        <v/>
      </c>
      <c r="AK300" s="256" t="str">
        <f>IFERROR((Table7[[#This Row],[No. of Testcases Executed]]/Table7[[#This Row],[Effort for Testcase Execution]])*9,"")</f>
        <v/>
      </c>
      <c r="AL30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0" s="259" t="str">
        <f>IFERROR(Table7[[#This Row],[No. of Defects Validated]]/SUMIFS(Table3[Hours Worked],Table3[Release Name],Table7[[#This Row],[Release Name]],Table3[Task Type],"Defect Validation")*9,"")</f>
        <v/>
      </c>
      <c r="AN300" s="258" t="str">
        <f>IFERROR((Table7[[#This Row],[No. of Valid  Internal Testing Defects]])/(Table7[[#This Row],[No. of Valid  Internal Testing Defects]]+Table7[[#This Row],[No. of Invalid Internal Testing Defects]]),"")</f>
        <v/>
      </c>
      <c r="AO300" s="258" t="str">
        <f>IFERROR(Table7[[#This Row],[No. of Valid External Testing Defects]]/(Table7[[#This Row],[No. of Valid External Testing Defects]]+Table7[[#This Row],[No. of Valid  Internal Testing Defects]]),"")</f>
        <v/>
      </c>
    </row>
    <row r="301" spans="2:41">
      <c r="B301" s="237"/>
      <c r="C301" s="14"/>
      <c r="D301" s="14"/>
      <c r="E301" s="14"/>
      <c r="F301" s="230" t="str">
        <f>IFERROR((Table47[[#This Row],[Initial No. of Requirements]]+Table47[[#This Row],[Modified Requirements( Added / Deleted /Modified)]])/Table47[[#This Row],[Initial No. of Requirements]],"")</f>
        <v/>
      </c>
      <c r="G30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1" s="249"/>
      <c r="J301" s="249"/>
      <c r="K301" s="250"/>
      <c r="L301" s="250"/>
      <c r="M301" s="250"/>
      <c r="N301" s="248">
        <f>SUMIFS(Table1[Size],Table1[Release Name],[2]!Table7[Release Name])</f>
        <v>0</v>
      </c>
      <c r="O301" s="248"/>
      <c r="P30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1" s="248"/>
      <c r="R30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1" s="248"/>
      <c r="T301" s="248"/>
      <c r="U301" s="248"/>
      <c r="V301" s="248"/>
      <c r="W301" s="248"/>
      <c r="X301" s="248"/>
      <c r="Y301" s="248"/>
      <c r="Z301" s="248"/>
      <c r="AA301" s="248"/>
      <c r="AB301" s="13">
        <f>SUMIFS(Table3[Hours Worked],Table3[Release Name],Table7[[#This Row],[Release Name]],Table3[Task Type],"Testcase Creation")</f>
        <v>0</v>
      </c>
      <c r="AC301" s="255">
        <f>SUMIFS(Table3[Hours Worked],Table3[Release Name],Table7[[#This Row],[Release Name]],Table3[Task Type],"Testcase Execution")</f>
        <v>0</v>
      </c>
      <c r="AD30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1" s="256" t="str">
        <f>IFERROR((Table7[[#This Row],[No. of Valid Internal Review Defects]]+Table7[[#This Row],[No. of Valid  Internal Testing Defects]]+Table7[[#This Row],[No. of  Valid External Review Defects]]+Table7[[#This Row],[No. of Valid External Testing Defects]])/Table7[[#This Row],[Size]],"")</f>
        <v/>
      </c>
      <c r="AF301" s="257" t="str">
        <f>IFERROR(Table7[[#This Row],[No. of Valid Internal Review Defects]]/(Table7[[#This Row],[No. of Valid Internal Review Defects]]+Table7[[#This Row],[No. of  Valid External Review Defects]]+Table7[[#This Row],[No. of Valid  Internal Testing Defects]]+Table7[[#This Row],[No. of Valid External Testing Defects]]),"")</f>
        <v/>
      </c>
      <c r="AG301" s="258" t="str">
        <f>IFERROR(Table7[[#This Row],[No. of Valid Internal Review Defects]]/(Table7[[#This Row],[No. of Valid Internal Review Defects]]+Table7[[#This Row],[No. of  Valid External Review Defects]]+Table7[[#This Row],[No. of Valid External Testing Defects]]),"")</f>
        <v/>
      </c>
      <c r="AH301" s="256" t="str">
        <f>IFERROR(Table7[[#This Row],[No. of Valid  Internal Testing Defects]]/Table7[[#This Row],[Overall Actual Effort for the release]],"")</f>
        <v/>
      </c>
      <c r="AI301" s="256" t="str">
        <f>IFERROR(Table7[[#This Row],[No. of Valid  Internal Testing Defects]]/Table7[[#This Row],[No. of Testcases Executed]],"")</f>
        <v/>
      </c>
      <c r="AJ301" s="259" t="str">
        <f>IFERROR(IFERROR(Table7[[#This Row],[No. of Testcases Created]]/Table7[[#This Row],[Effort for Testcase Creation]],"")*9,"")</f>
        <v/>
      </c>
      <c r="AK301" s="256" t="str">
        <f>IFERROR((Table7[[#This Row],[No. of Testcases Executed]]/Table7[[#This Row],[Effort for Testcase Execution]])*9,"")</f>
        <v/>
      </c>
      <c r="AL30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1" s="259" t="str">
        <f>IFERROR(Table7[[#This Row],[No. of Defects Validated]]/SUMIFS(Table3[Hours Worked],Table3[Release Name],Table7[[#This Row],[Release Name]],Table3[Task Type],"Defect Validation")*9,"")</f>
        <v/>
      </c>
      <c r="AN301" s="258" t="str">
        <f>IFERROR((Table7[[#This Row],[No. of Valid  Internal Testing Defects]])/(Table7[[#This Row],[No. of Valid  Internal Testing Defects]]+Table7[[#This Row],[No. of Invalid Internal Testing Defects]]),"")</f>
        <v/>
      </c>
      <c r="AO301" s="258" t="str">
        <f>IFERROR(Table7[[#This Row],[No. of Valid External Testing Defects]]/(Table7[[#This Row],[No. of Valid External Testing Defects]]+Table7[[#This Row],[No. of Valid  Internal Testing Defects]]),"")</f>
        <v/>
      </c>
    </row>
    <row r="302" spans="2:41">
      <c r="B302" s="237"/>
      <c r="C302" s="14"/>
      <c r="D302" s="14"/>
      <c r="E302" s="14"/>
      <c r="F302" s="230" t="str">
        <f>IFERROR((Table47[[#This Row],[Initial No. of Requirements]]+Table47[[#This Row],[Modified Requirements( Added / Deleted /Modified)]])/Table47[[#This Row],[Initial No. of Requirements]],"")</f>
        <v/>
      </c>
      <c r="G30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2" s="249"/>
      <c r="J302" s="249"/>
      <c r="K302" s="250"/>
      <c r="L302" s="250"/>
      <c r="M302" s="250"/>
      <c r="N302" s="248">
        <f>SUMIFS(Table1[Size],Table1[Release Name],[2]!Table7[Release Name])</f>
        <v>0</v>
      </c>
      <c r="O302" s="248"/>
      <c r="P30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2" s="248"/>
      <c r="R30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2" s="248"/>
      <c r="T302" s="248"/>
      <c r="U302" s="248"/>
      <c r="V302" s="248"/>
      <c r="W302" s="248"/>
      <c r="X302" s="248"/>
      <c r="Y302" s="248"/>
      <c r="Z302" s="248"/>
      <c r="AA302" s="248"/>
      <c r="AB302" s="13">
        <f>SUMIFS(Table3[Hours Worked],Table3[Release Name],Table7[[#This Row],[Release Name]],Table3[Task Type],"Testcase Creation")</f>
        <v>0</v>
      </c>
      <c r="AC302" s="255">
        <f>SUMIFS(Table3[Hours Worked],Table3[Release Name],Table7[[#This Row],[Release Name]],Table3[Task Type],"Testcase Execution")</f>
        <v>0</v>
      </c>
      <c r="AD30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2" s="256" t="str">
        <f>IFERROR((Table7[[#This Row],[No. of Valid Internal Review Defects]]+Table7[[#This Row],[No. of Valid  Internal Testing Defects]]+Table7[[#This Row],[No. of  Valid External Review Defects]]+Table7[[#This Row],[No. of Valid External Testing Defects]])/Table7[[#This Row],[Size]],"")</f>
        <v/>
      </c>
      <c r="AF302" s="257" t="str">
        <f>IFERROR(Table7[[#This Row],[No. of Valid Internal Review Defects]]/(Table7[[#This Row],[No. of Valid Internal Review Defects]]+Table7[[#This Row],[No. of  Valid External Review Defects]]+Table7[[#This Row],[No. of Valid  Internal Testing Defects]]+Table7[[#This Row],[No. of Valid External Testing Defects]]),"")</f>
        <v/>
      </c>
      <c r="AG302" s="258" t="str">
        <f>IFERROR(Table7[[#This Row],[No. of Valid Internal Review Defects]]/(Table7[[#This Row],[No. of Valid Internal Review Defects]]+Table7[[#This Row],[No. of  Valid External Review Defects]]+Table7[[#This Row],[No. of Valid External Testing Defects]]),"")</f>
        <v/>
      </c>
      <c r="AH302" s="256" t="str">
        <f>IFERROR(Table7[[#This Row],[No. of Valid  Internal Testing Defects]]/Table7[[#This Row],[Overall Actual Effort for the release]],"")</f>
        <v/>
      </c>
      <c r="AI302" s="256" t="str">
        <f>IFERROR(Table7[[#This Row],[No. of Valid  Internal Testing Defects]]/Table7[[#This Row],[No. of Testcases Executed]],"")</f>
        <v/>
      </c>
      <c r="AJ302" s="259" t="str">
        <f>IFERROR(IFERROR(Table7[[#This Row],[No. of Testcases Created]]/Table7[[#This Row],[Effort for Testcase Creation]],"")*9,"")</f>
        <v/>
      </c>
      <c r="AK302" s="256" t="str">
        <f>IFERROR((Table7[[#This Row],[No. of Testcases Executed]]/Table7[[#This Row],[Effort for Testcase Execution]])*9,"")</f>
        <v/>
      </c>
      <c r="AL30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2" s="259" t="str">
        <f>IFERROR(Table7[[#This Row],[No. of Defects Validated]]/SUMIFS(Table3[Hours Worked],Table3[Release Name],Table7[[#This Row],[Release Name]],Table3[Task Type],"Defect Validation")*9,"")</f>
        <v/>
      </c>
      <c r="AN302" s="258" t="str">
        <f>IFERROR((Table7[[#This Row],[No. of Valid  Internal Testing Defects]])/(Table7[[#This Row],[No. of Valid  Internal Testing Defects]]+Table7[[#This Row],[No. of Invalid Internal Testing Defects]]),"")</f>
        <v/>
      </c>
      <c r="AO302" s="258" t="str">
        <f>IFERROR(Table7[[#This Row],[No. of Valid External Testing Defects]]/(Table7[[#This Row],[No. of Valid External Testing Defects]]+Table7[[#This Row],[No. of Valid  Internal Testing Defects]]),"")</f>
        <v/>
      </c>
    </row>
    <row r="303" spans="2:41">
      <c r="B303" s="237"/>
      <c r="C303" s="14"/>
      <c r="D303" s="14"/>
      <c r="E303" s="14"/>
      <c r="F303" s="230" t="str">
        <f>IFERROR((Table47[[#This Row],[Initial No. of Requirements]]+Table47[[#This Row],[Modified Requirements( Added / Deleted /Modified)]])/Table47[[#This Row],[Initial No. of Requirements]],"")</f>
        <v/>
      </c>
      <c r="G30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3" s="249"/>
      <c r="J303" s="249"/>
      <c r="K303" s="250"/>
      <c r="L303" s="250"/>
      <c r="M303" s="250"/>
      <c r="N303" s="248">
        <f>SUMIFS(Table1[Size],Table1[Release Name],[2]!Table7[Release Name])</f>
        <v>0</v>
      </c>
      <c r="O303" s="248"/>
      <c r="P30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3" s="248"/>
      <c r="R30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3" s="248"/>
      <c r="T303" s="248"/>
      <c r="U303" s="248"/>
      <c r="V303" s="248"/>
      <c r="W303" s="248"/>
      <c r="X303" s="248"/>
      <c r="Y303" s="248"/>
      <c r="Z303" s="248"/>
      <c r="AA303" s="248"/>
      <c r="AB303" s="13">
        <f>SUMIFS(Table3[Hours Worked],Table3[Release Name],Table7[[#This Row],[Release Name]],Table3[Task Type],"Testcase Creation")</f>
        <v>0</v>
      </c>
      <c r="AC303" s="255">
        <f>SUMIFS(Table3[Hours Worked],Table3[Release Name],Table7[[#This Row],[Release Name]],Table3[Task Type],"Testcase Execution")</f>
        <v>0</v>
      </c>
      <c r="AD30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3" s="256" t="str">
        <f>IFERROR((Table7[[#This Row],[No. of Valid Internal Review Defects]]+Table7[[#This Row],[No. of Valid  Internal Testing Defects]]+Table7[[#This Row],[No. of  Valid External Review Defects]]+Table7[[#This Row],[No. of Valid External Testing Defects]])/Table7[[#This Row],[Size]],"")</f>
        <v/>
      </c>
      <c r="AF303" s="257" t="str">
        <f>IFERROR(Table7[[#This Row],[No. of Valid Internal Review Defects]]/(Table7[[#This Row],[No. of Valid Internal Review Defects]]+Table7[[#This Row],[No. of  Valid External Review Defects]]+Table7[[#This Row],[No. of Valid  Internal Testing Defects]]+Table7[[#This Row],[No. of Valid External Testing Defects]]),"")</f>
        <v/>
      </c>
      <c r="AG303" s="258" t="str">
        <f>IFERROR(Table7[[#This Row],[No. of Valid Internal Review Defects]]/(Table7[[#This Row],[No. of Valid Internal Review Defects]]+Table7[[#This Row],[No. of  Valid External Review Defects]]+Table7[[#This Row],[No. of Valid External Testing Defects]]),"")</f>
        <v/>
      </c>
      <c r="AH303" s="256" t="str">
        <f>IFERROR(Table7[[#This Row],[No. of Valid  Internal Testing Defects]]/Table7[[#This Row],[Overall Actual Effort for the release]],"")</f>
        <v/>
      </c>
      <c r="AI303" s="256" t="str">
        <f>IFERROR(Table7[[#This Row],[No. of Valid  Internal Testing Defects]]/Table7[[#This Row],[No. of Testcases Executed]],"")</f>
        <v/>
      </c>
      <c r="AJ303" s="259" t="str">
        <f>IFERROR(IFERROR(Table7[[#This Row],[No. of Testcases Created]]/Table7[[#This Row],[Effort for Testcase Creation]],"")*9,"")</f>
        <v/>
      </c>
      <c r="AK303" s="256" t="str">
        <f>IFERROR((Table7[[#This Row],[No. of Testcases Executed]]/Table7[[#This Row],[Effort for Testcase Execution]])*9,"")</f>
        <v/>
      </c>
      <c r="AL30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3" s="259" t="str">
        <f>IFERROR(Table7[[#This Row],[No. of Defects Validated]]/SUMIFS(Table3[Hours Worked],Table3[Release Name],Table7[[#This Row],[Release Name]],Table3[Task Type],"Defect Validation")*9,"")</f>
        <v/>
      </c>
      <c r="AN303" s="258" t="str">
        <f>IFERROR((Table7[[#This Row],[No. of Valid  Internal Testing Defects]])/(Table7[[#This Row],[No. of Valid  Internal Testing Defects]]+Table7[[#This Row],[No. of Invalid Internal Testing Defects]]),"")</f>
        <v/>
      </c>
      <c r="AO303" s="258" t="str">
        <f>IFERROR(Table7[[#This Row],[No. of Valid External Testing Defects]]/(Table7[[#This Row],[No. of Valid External Testing Defects]]+Table7[[#This Row],[No. of Valid  Internal Testing Defects]]),"")</f>
        <v/>
      </c>
    </row>
    <row r="304" spans="2:41">
      <c r="B304" s="237"/>
      <c r="C304" s="14"/>
      <c r="D304" s="14"/>
      <c r="E304" s="14"/>
      <c r="F304" s="230" t="str">
        <f>IFERROR((Table47[[#This Row],[Initial No. of Requirements]]+Table47[[#This Row],[Modified Requirements( Added / Deleted /Modified)]])/Table47[[#This Row],[Initial No. of Requirements]],"")</f>
        <v/>
      </c>
      <c r="G30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4" s="249"/>
      <c r="J304" s="249"/>
      <c r="K304" s="250"/>
      <c r="L304" s="250"/>
      <c r="M304" s="250"/>
      <c r="N304" s="248">
        <f>SUMIFS(Table1[Size],Table1[Release Name],[2]!Table7[Release Name])</f>
        <v>0</v>
      </c>
      <c r="O304" s="248"/>
      <c r="P30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4" s="248"/>
      <c r="R30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4" s="248"/>
      <c r="T304" s="248"/>
      <c r="U304" s="248"/>
      <c r="V304" s="248"/>
      <c r="W304" s="248"/>
      <c r="X304" s="248"/>
      <c r="Y304" s="248"/>
      <c r="Z304" s="248"/>
      <c r="AA304" s="248"/>
      <c r="AB304" s="13">
        <f>SUMIFS(Table3[Hours Worked],Table3[Release Name],Table7[[#This Row],[Release Name]],Table3[Task Type],"Testcase Creation")</f>
        <v>0</v>
      </c>
      <c r="AC304" s="255">
        <f>SUMIFS(Table3[Hours Worked],Table3[Release Name],Table7[[#This Row],[Release Name]],Table3[Task Type],"Testcase Execution")</f>
        <v>0</v>
      </c>
      <c r="AD30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4" s="256" t="str">
        <f>IFERROR((Table7[[#This Row],[No. of Valid Internal Review Defects]]+Table7[[#This Row],[No. of Valid  Internal Testing Defects]]+Table7[[#This Row],[No. of  Valid External Review Defects]]+Table7[[#This Row],[No. of Valid External Testing Defects]])/Table7[[#This Row],[Size]],"")</f>
        <v/>
      </c>
      <c r="AF304" s="257" t="str">
        <f>IFERROR(Table7[[#This Row],[No. of Valid Internal Review Defects]]/(Table7[[#This Row],[No. of Valid Internal Review Defects]]+Table7[[#This Row],[No. of  Valid External Review Defects]]+Table7[[#This Row],[No. of Valid  Internal Testing Defects]]+Table7[[#This Row],[No. of Valid External Testing Defects]]),"")</f>
        <v/>
      </c>
      <c r="AG304" s="258" t="str">
        <f>IFERROR(Table7[[#This Row],[No. of Valid Internal Review Defects]]/(Table7[[#This Row],[No. of Valid Internal Review Defects]]+Table7[[#This Row],[No. of  Valid External Review Defects]]+Table7[[#This Row],[No. of Valid External Testing Defects]]),"")</f>
        <v/>
      </c>
      <c r="AH304" s="256" t="str">
        <f>IFERROR(Table7[[#This Row],[No. of Valid  Internal Testing Defects]]/Table7[[#This Row],[Overall Actual Effort for the release]],"")</f>
        <v/>
      </c>
      <c r="AI304" s="256" t="str">
        <f>IFERROR(Table7[[#This Row],[No. of Valid  Internal Testing Defects]]/Table7[[#This Row],[No. of Testcases Executed]],"")</f>
        <v/>
      </c>
      <c r="AJ304" s="259" t="str">
        <f>IFERROR(IFERROR(Table7[[#This Row],[No. of Testcases Created]]/Table7[[#This Row],[Effort for Testcase Creation]],"")*9,"")</f>
        <v/>
      </c>
      <c r="AK304" s="256" t="str">
        <f>IFERROR((Table7[[#This Row],[No. of Testcases Executed]]/Table7[[#This Row],[Effort for Testcase Execution]])*9,"")</f>
        <v/>
      </c>
      <c r="AL30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4" s="259" t="str">
        <f>IFERROR(Table7[[#This Row],[No. of Defects Validated]]/SUMIFS(Table3[Hours Worked],Table3[Release Name],Table7[[#This Row],[Release Name]],Table3[Task Type],"Defect Validation")*9,"")</f>
        <v/>
      </c>
      <c r="AN304" s="258" t="str">
        <f>IFERROR((Table7[[#This Row],[No. of Valid  Internal Testing Defects]])/(Table7[[#This Row],[No. of Valid  Internal Testing Defects]]+Table7[[#This Row],[No. of Invalid Internal Testing Defects]]),"")</f>
        <v/>
      </c>
      <c r="AO304" s="258" t="str">
        <f>IFERROR(Table7[[#This Row],[No. of Valid External Testing Defects]]/(Table7[[#This Row],[No. of Valid External Testing Defects]]+Table7[[#This Row],[No. of Valid  Internal Testing Defects]]),"")</f>
        <v/>
      </c>
    </row>
    <row r="305" spans="2:41">
      <c r="B305" s="237"/>
      <c r="C305" s="14"/>
      <c r="D305" s="14"/>
      <c r="E305" s="14"/>
      <c r="F305" s="230" t="str">
        <f>IFERROR((Table47[[#This Row],[Initial No. of Requirements]]+Table47[[#This Row],[Modified Requirements( Added / Deleted /Modified)]])/Table47[[#This Row],[Initial No. of Requirements]],"")</f>
        <v/>
      </c>
      <c r="G30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5" s="249"/>
      <c r="J305" s="249"/>
      <c r="K305" s="250"/>
      <c r="L305" s="250"/>
      <c r="M305" s="250"/>
      <c r="N305" s="248">
        <f>SUMIFS(Table1[Size],Table1[Release Name],[2]!Table7[Release Name])</f>
        <v>0</v>
      </c>
      <c r="O305" s="248"/>
      <c r="P30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5" s="248"/>
      <c r="R30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5" s="248"/>
      <c r="T305" s="248"/>
      <c r="U305" s="248"/>
      <c r="V305" s="248"/>
      <c r="W305" s="248"/>
      <c r="X305" s="248"/>
      <c r="Y305" s="248"/>
      <c r="Z305" s="248"/>
      <c r="AA305" s="248"/>
      <c r="AB305" s="13">
        <f>SUMIFS(Table3[Hours Worked],Table3[Release Name],Table7[[#This Row],[Release Name]],Table3[Task Type],"Testcase Creation")</f>
        <v>0</v>
      </c>
      <c r="AC305" s="255">
        <f>SUMIFS(Table3[Hours Worked],Table3[Release Name],Table7[[#This Row],[Release Name]],Table3[Task Type],"Testcase Execution")</f>
        <v>0</v>
      </c>
      <c r="AD30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5" s="256" t="str">
        <f>IFERROR((Table7[[#This Row],[No. of Valid Internal Review Defects]]+Table7[[#This Row],[No. of Valid  Internal Testing Defects]]+Table7[[#This Row],[No. of  Valid External Review Defects]]+Table7[[#This Row],[No. of Valid External Testing Defects]])/Table7[[#This Row],[Size]],"")</f>
        <v/>
      </c>
      <c r="AF305" s="257" t="str">
        <f>IFERROR(Table7[[#This Row],[No. of Valid Internal Review Defects]]/(Table7[[#This Row],[No. of Valid Internal Review Defects]]+Table7[[#This Row],[No. of  Valid External Review Defects]]+Table7[[#This Row],[No. of Valid  Internal Testing Defects]]+Table7[[#This Row],[No. of Valid External Testing Defects]]),"")</f>
        <v/>
      </c>
      <c r="AG305" s="258" t="str">
        <f>IFERROR(Table7[[#This Row],[No. of Valid Internal Review Defects]]/(Table7[[#This Row],[No. of Valid Internal Review Defects]]+Table7[[#This Row],[No. of  Valid External Review Defects]]+Table7[[#This Row],[No. of Valid External Testing Defects]]),"")</f>
        <v/>
      </c>
      <c r="AH305" s="256" t="str">
        <f>IFERROR(Table7[[#This Row],[No. of Valid  Internal Testing Defects]]/Table7[[#This Row],[Overall Actual Effort for the release]],"")</f>
        <v/>
      </c>
      <c r="AI305" s="256" t="str">
        <f>IFERROR(Table7[[#This Row],[No. of Valid  Internal Testing Defects]]/Table7[[#This Row],[No. of Testcases Executed]],"")</f>
        <v/>
      </c>
      <c r="AJ305" s="259" t="str">
        <f>IFERROR(IFERROR(Table7[[#This Row],[No. of Testcases Created]]/Table7[[#This Row],[Effort for Testcase Creation]],"")*9,"")</f>
        <v/>
      </c>
      <c r="AK305" s="256" t="str">
        <f>IFERROR((Table7[[#This Row],[No. of Testcases Executed]]/Table7[[#This Row],[Effort for Testcase Execution]])*9,"")</f>
        <v/>
      </c>
      <c r="AL30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5" s="259" t="str">
        <f>IFERROR(Table7[[#This Row],[No. of Defects Validated]]/SUMIFS(Table3[Hours Worked],Table3[Release Name],Table7[[#This Row],[Release Name]],Table3[Task Type],"Defect Validation")*9,"")</f>
        <v/>
      </c>
      <c r="AN305" s="258" t="str">
        <f>IFERROR((Table7[[#This Row],[No. of Valid  Internal Testing Defects]])/(Table7[[#This Row],[No. of Valid  Internal Testing Defects]]+Table7[[#This Row],[No. of Invalid Internal Testing Defects]]),"")</f>
        <v/>
      </c>
      <c r="AO305" s="258" t="str">
        <f>IFERROR(Table7[[#This Row],[No. of Valid External Testing Defects]]/(Table7[[#This Row],[No. of Valid External Testing Defects]]+Table7[[#This Row],[No. of Valid  Internal Testing Defects]]),"")</f>
        <v/>
      </c>
    </row>
    <row r="306" spans="2:41">
      <c r="B306" s="237"/>
      <c r="C306" s="14"/>
      <c r="D306" s="14"/>
      <c r="E306" s="14"/>
      <c r="F306" s="230" t="str">
        <f>IFERROR((Table47[[#This Row],[Initial No. of Requirements]]+Table47[[#This Row],[Modified Requirements( Added / Deleted /Modified)]])/Table47[[#This Row],[Initial No. of Requirements]],"")</f>
        <v/>
      </c>
      <c r="G30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6" s="249"/>
      <c r="J306" s="249"/>
      <c r="K306" s="250"/>
      <c r="L306" s="250"/>
      <c r="M306" s="250"/>
      <c r="N306" s="248">
        <f>SUMIFS(Table1[Size],Table1[Release Name],[2]!Table7[Release Name])</f>
        <v>0</v>
      </c>
      <c r="O306" s="248"/>
      <c r="P30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6" s="248"/>
      <c r="R30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6" s="248"/>
      <c r="T306" s="248"/>
      <c r="U306" s="248"/>
      <c r="V306" s="248"/>
      <c r="W306" s="248"/>
      <c r="X306" s="248"/>
      <c r="Y306" s="248"/>
      <c r="Z306" s="248"/>
      <c r="AA306" s="248"/>
      <c r="AB306" s="13">
        <f>SUMIFS(Table3[Hours Worked],Table3[Release Name],Table7[[#This Row],[Release Name]],Table3[Task Type],"Testcase Creation")</f>
        <v>0</v>
      </c>
      <c r="AC306" s="255">
        <f>SUMIFS(Table3[Hours Worked],Table3[Release Name],Table7[[#This Row],[Release Name]],Table3[Task Type],"Testcase Execution")</f>
        <v>0</v>
      </c>
      <c r="AD30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6" s="256" t="str">
        <f>IFERROR((Table7[[#This Row],[No. of Valid Internal Review Defects]]+Table7[[#This Row],[No. of Valid  Internal Testing Defects]]+Table7[[#This Row],[No. of  Valid External Review Defects]]+Table7[[#This Row],[No. of Valid External Testing Defects]])/Table7[[#This Row],[Size]],"")</f>
        <v/>
      </c>
      <c r="AF306" s="257" t="str">
        <f>IFERROR(Table7[[#This Row],[No. of Valid Internal Review Defects]]/(Table7[[#This Row],[No. of Valid Internal Review Defects]]+Table7[[#This Row],[No. of  Valid External Review Defects]]+Table7[[#This Row],[No. of Valid  Internal Testing Defects]]+Table7[[#This Row],[No. of Valid External Testing Defects]]),"")</f>
        <v/>
      </c>
      <c r="AG306" s="258" t="str">
        <f>IFERROR(Table7[[#This Row],[No. of Valid Internal Review Defects]]/(Table7[[#This Row],[No. of Valid Internal Review Defects]]+Table7[[#This Row],[No. of  Valid External Review Defects]]+Table7[[#This Row],[No. of Valid External Testing Defects]]),"")</f>
        <v/>
      </c>
      <c r="AH306" s="256" t="str">
        <f>IFERROR(Table7[[#This Row],[No. of Valid  Internal Testing Defects]]/Table7[[#This Row],[Overall Actual Effort for the release]],"")</f>
        <v/>
      </c>
      <c r="AI306" s="256" t="str">
        <f>IFERROR(Table7[[#This Row],[No. of Valid  Internal Testing Defects]]/Table7[[#This Row],[No. of Testcases Executed]],"")</f>
        <v/>
      </c>
      <c r="AJ306" s="259" t="str">
        <f>IFERROR(IFERROR(Table7[[#This Row],[No. of Testcases Created]]/Table7[[#This Row],[Effort for Testcase Creation]],"")*9,"")</f>
        <v/>
      </c>
      <c r="AK306" s="256" t="str">
        <f>IFERROR((Table7[[#This Row],[No. of Testcases Executed]]/Table7[[#This Row],[Effort for Testcase Execution]])*9,"")</f>
        <v/>
      </c>
      <c r="AL30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6" s="259" t="str">
        <f>IFERROR(Table7[[#This Row],[No. of Defects Validated]]/SUMIFS(Table3[Hours Worked],Table3[Release Name],Table7[[#This Row],[Release Name]],Table3[Task Type],"Defect Validation")*9,"")</f>
        <v/>
      </c>
      <c r="AN306" s="258" t="str">
        <f>IFERROR((Table7[[#This Row],[No. of Valid  Internal Testing Defects]])/(Table7[[#This Row],[No. of Valid  Internal Testing Defects]]+Table7[[#This Row],[No. of Invalid Internal Testing Defects]]),"")</f>
        <v/>
      </c>
      <c r="AO306" s="258" t="str">
        <f>IFERROR(Table7[[#This Row],[No. of Valid External Testing Defects]]/(Table7[[#This Row],[No. of Valid External Testing Defects]]+Table7[[#This Row],[No. of Valid  Internal Testing Defects]]),"")</f>
        <v/>
      </c>
    </row>
    <row r="307" spans="2:41">
      <c r="B307" s="237"/>
      <c r="C307" s="14"/>
      <c r="D307" s="14"/>
      <c r="E307" s="14"/>
      <c r="F307" s="230" t="str">
        <f>IFERROR((Table47[[#This Row],[Initial No. of Requirements]]+Table47[[#This Row],[Modified Requirements( Added / Deleted /Modified)]])/Table47[[#This Row],[Initial No. of Requirements]],"")</f>
        <v/>
      </c>
      <c r="G30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7" s="249"/>
      <c r="J307" s="249"/>
      <c r="K307" s="250"/>
      <c r="L307" s="250"/>
      <c r="M307" s="250"/>
      <c r="N307" s="248">
        <f>SUMIFS(Table1[Size],Table1[Release Name],[2]!Table7[Release Name])</f>
        <v>0</v>
      </c>
      <c r="O307" s="248"/>
      <c r="P30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7" s="248"/>
      <c r="R30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7" s="248"/>
      <c r="T307" s="248"/>
      <c r="U307" s="248"/>
      <c r="V307" s="248"/>
      <c r="W307" s="248"/>
      <c r="X307" s="248"/>
      <c r="Y307" s="248"/>
      <c r="Z307" s="248"/>
      <c r="AA307" s="248"/>
      <c r="AB307" s="13">
        <f>SUMIFS(Table3[Hours Worked],Table3[Release Name],Table7[[#This Row],[Release Name]],Table3[Task Type],"Testcase Creation")</f>
        <v>0</v>
      </c>
      <c r="AC307" s="255">
        <f>SUMIFS(Table3[Hours Worked],Table3[Release Name],Table7[[#This Row],[Release Name]],Table3[Task Type],"Testcase Execution")</f>
        <v>0</v>
      </c>
      <c r="AD30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7" s="256" t="str">
        <f>IFERROR((Table7[[#This Row],[No. of Valid Internal Review Defects]]+Table7[[#This Row],[No. of Valid  Internal Testing Defects]]+Table7[[#This Row],[No. of  Valid External Review Defects]]+Table7[[#This Row],[No. of Valid External Testing Defects]])/Table7[[#This Row],[Size]],"")</f>
        <v/>
      </c>
      <c r="AF307" s="257" t="str">
        <f>IFERROR(Table7[[#This Row],[No. of Valid Internal Review Defects]]/(Table7[[#This Row],[No. of Valid Internal Review Defects]]+Table7[[#This Row],[No. of  Valid External Review Defects]]+Table7[[#This Row],[No. of Valid  Internal Testing Defects]]+Table7[[#This Row],[No. of Valid External Testing Defects]]),"")</f>
        <v/>
      </c>
      <c r="AG307" s="258" t="str">
        <f>IFERROR(Table7[[#This Row],[No. of Valid Internal Review Defects]]/(Table7[[#This Row],[No. of Valid Internal Review Defects]]+Table7[[#This Row],[No. of  Valid External Review Defects]]+Table7[[#This Row],[No. of Valid External Testing Defects]]),"")</f>
        <v/>
      </c>
      <c r="AH307" s="256" t="str">
        <f>IFERROR(Table7[[#This Row],[No. of Valid  Internal Testing Defects]]/Table7[[#This Row],[Overall Actual Effort for the release]],"")</f>
        <v/>
      </c>
      <c r="AI307" s="256" t="str">
        <f>IFERROR(Table7[[#This Row],[No. of Valid  Internal Testing Defects]]/Table7[[#This Row],[No. of Testcases Executed]],"")</f>
        <v/>
      </c>
      <c r="AJ307" s="259" t="str">
        <f>IFERROR(IFERROR(Table7[[#This Row],[No. of Testcases Created]]/Table7[[#This Row],[Effort for Testcase Creation]],"")*9,"")</f>
        <v/>
      </c>
      <c r="AK307" s="256" t="str">
        <f>IFERROR((Table7[[#This Row],[No. of Testcases Executed]]/Table7[[#This Row],[Effort for Testcase Execution]])*9,"")</f>
        <v/>
      </c>
      <c r="AL30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7" s="259" t="str">
        <f>IFERROR(Table7[[#This Row],[No. of Defects Validated]]/SUMIFS(Table3[Hours Worked],Table3[Release Name],Table7[[#This Row],[Release Name]],Table3[Task Type],"Defect Validation")*9,"")</f>
        <v/>
      </c>
      <c r="AN307" s="258" t="str">
        <f>IFERROR((Table7[[#This Row],[No. of Valid  Internal Testing Defects]])/(Table7[[#This Row],[No. of Valid  Internal Testing Defects]]+Table7[[#This Row],[No. of Invalid Internal Testing Defects]]),"")</f>
        <v/>
      </c>
      <c r="AO307" s="258" t="str">
        <f>IFERROR(Table7[[#This Row],[No. of Valid External Testing Defects]]/(Table7[[#This Row],[No. of Valid External Testing Defects]]+Table7[[#This Row],[No. of Valid  Internal Testing Defects]]),"")</f>
        <v/>
      </c>
    </row>
    <row r="308" spans="2:41">
      <c r="B308" s="237"/>
      <c r="C308" s="14"/>
      <c r="D308" s="14"/>
      <c r="E308" s="14"/>
      <c r="F308" s="230" t="str">
        <f>IFERROR((Table47[[#This Row],[Initial No. of Requirements]]+Table47[[#This Row],[Modified Requirements( Added / Deleted /Modified)]])/Table47[[#This Row],[Initial No. of Requirements]],"")</f>
        <v/>
      </c>
      <c r="G30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8" s="249"/>
      <c r="J308" s="249"/>
      <c r="K308" s="250"/>
      <c r="L308" s="250"/>
      <c r="M308" s="250"/>
      <c r="N308" s="248">
        <f>SUMIFS(Table1[Size],Table1[Release Name],[2]!Table7[Release Name])</f>
        <v>0</v>
      </c>
      <c r="O308" s="248"/>
      <c r="P30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8" s="248"/>
      <c r="R30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8" s="248"/>
      <c r="T308" s="248"/>
      <c r="U308" s="248"/>
      <c r="V308" s="248"/>
      <c r="W308" s="248"/>
      <c r="X308" s="248"/>
      <c r="Y308" s="248"/>
      <c r="Z308" s="248"/>
      <c r="AA308" s="248"/>
      <c r="AB308" s="13">
        <f>SUMIFS(Table3[Hours Worked],Table3[Release Name],Table7[[#This Row],[Release Name]],Table3[Task Type],"Testcase Creation")</f>
        <v>0</v>
      </c>
      <c r="AC308" s="255">
        <f>SUMIFS(Table3[Hours Worked],Table3[Release Name],Table7[[#This Row],[Release Name]],Table3[Task Type],"Testcase Execution")</f>
        <v>0</v>
      </c>
      <c r="AD30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8" s="256" t="str">
        <f>IFERROR((Table7[[#This Row],[No. of Valid Internal Review Defects]]+Table7[[#This Row],[No. of Valid  Internal Testing Defects]]+Table7[[#This Row],[No. of  Valid External Review Defects]]+Table7[[#This Row],[No. of Valid External Testing Defects]])/Table7[[#This Row],[Size]],"")</f>
        <v/>
      </c>
      <c r="AF308" s="257" t="str">
        <f>IFERROR(Table7[[#This Row],[No. of Valid Internal Review Defects]]/(Table7[[#This Row],[No. of Valid Internal Review Defects]]+Table7[[#This Row],[No. of  Valid External Review Defects]]+Table7[[#This Row],[No. of Valid  Internal Testing Defects]]+Table7[[#This Row],[No. of Valid External Testing Defects]]),"")</f>
        <v/>
      </c>
      <c r="AG308" s="258" t="str">
        <f>IFERROR(Table7[[#This Row],[No. of Valid Internal Review Defects]]/(Table7[[#This Row],[No. of Valid Internal Review Defects]]+Table7[[#This Row],[No. of  Valid External Review Defects]]+Table7[[#This Row],[No. of Valid External Testing Defects]]),"")</f>
        <v/>
      </c>
      <c r="AH308" s="256" t="str">
        <f>IFERROR(Table7[[#This Row],[No. of Valid  Internal Testing Defects]]/Table7[[#This Row],[Overall Actual Effort for the release]],"")</f>
        <v/>
      </c>
      <c r="AI308" s="256" t="str">
        <f>IFERROR(Table7[[#This Row],[No. of Valid  Internal Testing Defects]]/Table7[[#This Row],[No. of Testcases Executed]],"")</f>
        <v/>
      </c>
      <c r="AJ308" s="259" t="str">
        <f>IFERROR(IFERROR(Table7[[#This Row],[No. of Testcases Created]]/Table7[[#This Row],[Effort for Testcase Creation]],"")*9,"")</f>
        <v/>
      </c>
      <c r="AK308" s="256" t="str">
        <f>IFERROR((Table7[[#This Row],[No. of Testcases Executed]]/Table7[[#This Row],[Effort for Testcase Execution]])*9,"")</f>
        <v/>
      </c>
      <c r="AL30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8" s="259" t="str">
        <f>IFERROR(Table7[[#This Row],[No. of Defects Validated]]/SUMIFS(Table3[Hours Worked],Table3[Release Name],Table7[[#This Row],[Release Name]],Table3[Task Type],"Defect Validation")*9,"")</f>
        <v/>
      </c>
      <c r="AN308" s="258" t="str">
        <f>IFERROR((Table7[[#This Row],[No. of Valid  Internal Testing Defects]])/(Table7[[#This Row],[No. of Valid  Internal Testing Defects]]+Table7[[#This Row],[No. of Invalid Internal Testing Defects]]),"")</f>
        <v/>
      </c>
      <c r="AO308" s="258" t="str">
        <f>IFERROR(Table7[[#This Row],[No. of Valid External Testing Defects]]/(Table7[[#This Row],[No. of Valid External Testing Defects]]+Table7[[#This Row],[No. of Valid  Internal Testing Defects]]),"")</f>
        <v/>
      </c>
    </row>
    <row r="309" spans="2:41">
      <c r="B309" s="237"/>
      <c r="C309" s="14"/>
      <c r="D309" s="14"/>
      <c r="E309" s="14"/>
      <c r="F309" s="230" t="str">
        <f>IFERROR((Table47[[#This Row],[Initial No. of Requirements]]+Table47[[#This Row],[Modified Requirements( Added / Deleted /Modified)]])/Table47[[#This Row],[Initial No. of Requirements]],"")</f>
        <v/>
      </c>
      <c r="G30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09" s="249"/>
      <c r="J309" s="249"/>
      <c r="K309" s="250"/>
      <c r="L309" s="250"/>
      <c r="M309" s="250"/>
      <c r="N309" s="248">
        <f>SUMIFS(Table1[Size],Table1[Release Name],[2]!Table7[Release Name])</f>
        <v>0</v>
      </c>
      <c r="O309" s="248"/>
      <c r="P30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09" s="248"/>
      <c r="R30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09" s="248"/>
      <c r="T309" s="248"/>
      <c r="U309" s="248"/>
      <c r="V309" s="248"/>
      <c r="W309" s="248"/>
      <c r="X309" s="248"/>
      <c r="Y309" s="248"/>
      <c r="Z309" s="248"/>
      <c r="AA309" s="248"/>
      <c r="AB309" s="13">
        <f>SUMIFS(Table3[Hours Worked],Table3[Release Name],Table7[[#This Row],[Release Name]],Table3[Task Type],"Testcase Creation")</f>
        <v>0</v>
      </c>
      <c r="AC309" s="255">
        <f>SUMIFS(Table3[Hours Worked],Table3[Release Name],Table7[[#This Row],[Release Name]],Table3[Task Type],"Testcase Execution")</f>
        <v>0</v>
      </c>
      <c r="AD30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09" s="256" t="str">
        <f>IFERROR((Table7[[#This Row],[No. of Valid Internal Review Defects]]+Table7[[#This Row],[No. of Valid  Internal Testing Defects]]+Table7[[#This Row],[No. of  Valid External Review Defects]]+Table7[[#This Row],[No. of Valid External Testing Defects]])/Table7[[#This Row],[Size]],"")</f>
        <v/>
      </c>
      <c r="AF309" s="257" t="str">
        <f>IFERROR(Table7[[#This Row],[No. of Valid Internal Review Defects]]/(Table7[[#This Row],[No. of Valid Internal Review Defects]]+Table7[[#This Row],[No. of  Valid External Review Defects]]+Table7[[#This Row],[No. of Valid  Internal Testing Defects]]+Table7[[#This Row],[No. of Valid External Testing Defects]]),"")</f>
        <v/>
      </c>
      <c r="AG309" s="258" t="str">
        <f>IFERROR(Table7[[#This Row],[No. of Valid Internal Review Defects]]/(Table7[[#This Row],[No. of Valid Internal Review Defects]]+Table7[[#This Row],[No. of  Valid External Review Defects]]+Table7[[#This Row],[No. of Valid External Testing Defects]]),"")</f>
        <v/>
      </c>
      <c r="AH309" s="256" t="str">
        <f>IFERROR(Table7[[#This Row],[No. of Valid  Internal Testing Defects]]/Table7[[#This Row],[Overall Actual Effort for the release]],"")</f>
        <v/>
      </c>
      <c r="AI309" s="256" t="str">
        <f>IFERROR(Table7[[#This Row],[No. of Valid  Internal Testing Defects]]/Table7[[#This Row],[No. of Testcases Executed]],"")</f>
        <v/>
      </c>
      <c r="AJ309" s="259" t="str">
        <f>IFERROR(IFERROR(Table7[[#This Row],[No. of Testcases Created]]/Table7[[#This Row],[Effort for Testcase Creation]],"")*9,"")</f>
        <v/>
      </c>
      <c r="AK309" s="256" t="str">
        <f>IFERROR((Table7[[#This Row],[No. of Testcases Executed]]/Table7[[#This Row],[Effort for Testcase Execution]])*9,"")</f>
        <v/>
      </c>
      <c r="AL30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09" s="259" t="str">
        <f>IFERROR(Table7[[#This Row],[No. of Defects Validated]]/SUMIFS(Table3[Hours Worked],Table3[Release Name],Table7[[#This Row],[Release Name]],Table3[Task Type],"Defect Validation")*9,"")</f>
        <v/>
      </c>
      <c r="AN309" s="258" t="str">
        <f>IFERROR((Table7[[#This Row],[No. of Valid  Internal Testing Defects]])/(Table7[[#This Row],[No. of Valid  Internal Testing Defects]]+Table7[[#This Row],[No. of Invalid Internal Testing Defects]]),"")</f>
        <v/>
      </c>
      <c r="AO309" s="258" t="str">
        <f>IFERROR(Table7[[#This Row],[No. of Valid External Testing Defects]]/(Table7[[#This Row],[No. of Valid External Testing Defects]]+Table7[[#This Row],[No. of Valid  Internal Testing Defects]]),"")</f>
        <v/>
      </c>
    </row>
    <row r="310" spans="2:41">
      <c r="B310" s="237"/>
      <c r="C310" s="14"/>
      <c r="D310" s="14"/>
      <c r="E310" s="14"/>
      <c r="F310" s="230" t="str">
        <f>IFERROR((Table47[[#This Row],[Initial No. of Requirements]]+Table47[[#This Row],[Modified Requirements( Added / Deleted /Modified)]])/Table47[[#This Row],[Initial No. of Requirements]],"")</f>
        <v/>
      </c>
      <c r="G31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0" s="249"/>
      <c r="J310" s="249"/>
      <c r="K310" s="250"/>
      <c r="L310" s="250"/>
      <c r="M310" s="250"/>
      <c r="N310" s="248">
        <f>SUMIFS(Table1[Size],Table1[Release Name],[2]!Table7[Release Name])</f>
        <v>0</v>
      </c>
      <c r="O310" s="248"/>
      <c r="P31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0" s="248"/>
      <c r="R31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0" s="248"/>
      <c r="T310" s="248"/>
      <c r="U310" s="248"/>
      <c r="V310" s="248"/>
      <c r="W310" s="248"/>
      <c r="X310" s="248"/>
      <c r="Y310" s="248"/>
      <c r="Z310" s="248"/>
      <c r="AA310" s="248"/>
      <c r="AB310" s="13">
        <f>SUMIFS(Table3[Hours Worked],Table3[Release Name],Table7[[#This Row],[Release Name]],Table3[Task Type],"Testcase Creation")</f>
        <v>0</v>
      </c>
      <c r="AC310" s="255">
        <f>SUMIFS(Table3[Hours Worked],Table3[Release Name],Table7[[#This Row],[Release Name]],Table3[Task Type],"Testcase Execution")</f>
        <v>0</v>
      </c>
      <c r="AD31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0" s="256" t="str">
        <f>IFERROR((Table7[[#This Row],[No. of Valid Internal Review Defects]]+Table7[[#This Row],[No. of Valid  Internal Testing Defects]]+Table7[[#This Row],[No. of  Valid External Review Defects]]+Table7[[#This Row],[No. of Valid External Testing Defects]])/Table7[[#This Row],[Size]],"")</f>
        <v/>
      </c>
      <c r="AF310" s="257" t="str">
        <f>IFERROR(Table7[[#This Row],[No. of Valid Internal Review Defects]]/(Table7[[#This Row],[No. of Valid Internal Review Defects]]+Table7[[#This Row],[No. of  Valid External Review Defects]]+Table7[[#This Row],[No. of Valid  Internal Testing Defects]]+Table7[[#This Row],[No. of Valid External Testing Defects]]),"")</f>
        <v/>
      </c>
      <c r="AG310" s="258" t="str">
        <f>IFERROR(Table7[[#This Row],[No. of Valid Internal Review Defects]]/(Table7[[#This Row],[No. of Valid Internal Review Defects]]+Table7[[#This Row],[No. of  Valid External Review Defects]]+Table7[[#This Row],[No. of Valid External Testing Defects]]),"")</f>
        <v/>
      </c>
      <c r="AH310" s="256" t="str">
        <f>IFERROR(Table7[[#This Row],[No. of Valid  Internal Testing Defects]]/Table7[[#This Row],[Overall Actual Effort for the release]],"")</f>
        <v/>
      </c>
      <c r="AI310" s="256" t="str">
        <f>IFERROR(Table7[[#This Row],[No. of Valid  Internal Testing Defects]]/Table7[[#This Row],[No. of Testcases Executed]],"")</f>
        <v/>
      </c>
      <c r="AJ310" s="259" t="str">
        <f>IFERROR(IFERROR(Table7[[#This Row],[No. of Testcases Created]]/Table7[[#This Row],[Effort for Testcase Creation]],"")*9,"")</f>
        <v/>
      </c>
      <c r="AK310" s="256" t="str">
        <f>IFERROR((Table7[[#This Row],[No. of Testcases Executed]]/Table7[[#This Row],[Effort for Testcase Execution]])*9,"")</f>
        <v/>
      </c>
      <c r="AL31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0" s="259" t="str">
        <f>IFERROR(Table7[[#This Row],[No. of Defects Validated]]/SUMIFS(Table3[Hours Worked],Table3[Release Name],Table7[[#This Row],[Release Name]],Table3[Task Type],"Defect Validation")*9,"")</f>
        <v/>
      </c>
      <c r="AN310" s="258" t="str">
        <f>IFERROR((Table7[[#This Row],[No. of Valid  Internal Testing Defects]])/(Table7[[#This Row],[No. of Valid  Internal Testing Defects]]+Table7[[#This Row],[No. of Invalid Internal Testing Defects]]),"")</f>
        <v/>
      </c>
      <c r="AO310" s="258" t="str">
        <f>IFERROR(Table7[[#This Row],[No. of Valid External Testing Defects]]/(Table7[[#This Row],[No. of Valid External Testing Defects]]+Table7[[#This Row],[No. of Valid  Internal Testing Defects]]),"")</f>
        <v/>
      </c>
    </row>
    <row r="311" spans="2:41">
      <c r="B311" s="237"/>
      <c r="C311" s="14"/>
      <c r="D311" s="14"/>
      <c r="E311" s="14"/>
      <c r="F311" s="230" t="str">
        <f>IFERROR((Table47[[#This Row],[Initial No. of Requirements]]+Table47[[#This Row],[Modified Requirements( Added / Deleted /Modified)]])/Table47[[#This Row],[Initial No. of Requirements]],"")</f>
        <v/>
      </c>
      <c r="G31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1" s="249"/>
      <c r="J311" s="249"/>
      <c r="K311" s="250"/>
      <c r="L311" s="250"/>
      <c r="M311" s="250"/>
      <c r="N311" s="248">
        <f>SUMIFS(Table1[Size],Table1[Release Name],[2]!Table7[Release Name])</f>
        <v>0</v>
      </c>
      <c r="O311" s="248"/>
      <c r="P31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1" s="248"/>
      <c r="R31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1" s="248"/>
      <c r="T311" s="248"/>
      <c r="U311" s="248"/>
      <c r="V311" s="248"/>
      <c r="W311" s="248"/>
      <c r="X311" s="248"/>
      <c r="Y311" s="248"/>
      <c r="Z311" s="248"/>
      <c r="AA311" s="248"/>
      <c r="AB311" s="13">
        <f>SUMIFS(Table3[Hours Worked],Table3[Release Name],Table7[[#This Row],[Release Name]],Table3[Task Type],"Testcase Creation")</f>
        <v>0</v>
      </c>
      <c r="AC311" s="255">
        <f>SUMIFS(Table3[Hours Worked],Table3[Release Name],Table7[[#This Row],[Release Name]],Table3[Task Type],"Testcase Execution")</f>
        <v>0</v>
      </c>
      <c r="AD31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1" s="256" t="str">
        <f>IFERROR((Table7[[#This Row],[No. of Valid Internal Review Defects]]+Table7[[#This Row],[No. of Valid  Internal Testing Defects]]+Table7[[#This Row],[No. of  Valid External Review Defects]]+Table7[[#This Row],[No. of Valid External Testing Defects]])/Table7[[#This Row],[Size]],"")</f>
        <v/>
      </c>
      <c r="AF311" s="257" t="str">
        <f>IFERROR(Table7[[#This Row],[No. of Valid Internal Review Defects]]/(Table7[[#This Row],[No. of Valid Internal Review Defects]]+Table7[[#This Row],[No. of  Valid External Review Defects]]+Table7[[#This Row],[No. of Valid  Internal Testing Defects]]+Table7[[#This Row],[No. of Valid External Testing Defects]]),"")</f>
        <v/>
      </c>
      <c r="AG311" s="258" t="str">
        <f>IFERROR(Table7[[#This Row],[No. of Valid Internal Review Defects]]/(Table7[[#This Row],[No. of Valid Internal Review Defects]]+Table7[[#This Row],[No. of  Valid External Review Defects]]+Table7[[#This Row],[No. of Valid External Testing Defects]]),"")</f>
        <v/>
      </c>
      <c r="AH311" s="256" t="str">
        <f>IFERROR(Table7[[#This Row],[No. of Valid  Internal Testing Defects]]/Table7[[#This Row],[Overall Actual Effort for the release]],"")</f>
        <v/>
      </c>
      <c r="AI311" s="256" t="str">
        <f>IFERROR(Table7[[#This Row],[No. of Valid  Internal Testing Defects]]/Table7[[#This Row],[No. of Testcases Executed]],"")</f>
        <v/>
      </c>
      <c r="AJ311" s="259" t="str">
        <f>IFERROR(IFERROR(Table7[[#This Row],[No. of Testcases Created]]/Table7[[#This Row],[Effort for Testcase Creation]],"")*9,"")</f>
        <v/>
      </c>
      <c r="AK311" s="256" t="str">
        <f>IFERROR((Table7[[#This Row],[No. of Testcases Executed]]/Table7[[#This Row],[Effort for Testcase Execution]])*9,"")</f>
        <v/>
      </c>
      <c r="AL31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1" s="259" t="str">
        <f>IFERROR(Table7[[#This Row],[No. of Defects Validated]]/SUMIFS(Table3[Hours Worked],Table3[Release Name],Table7[[#This Row],[Release Name]],Table3[Task Type],"Defect Validation")*9,"")</f>
        <v/>
      </c>
      <c r="AN311" s="258" t="str">
        <f>IFERROR((Table7[[#This Row],[No. of Valid  Internal Testing Defects]])/(Table7[[#This Row],[No. of Valid  Internal Testing Defects]]+Table7[[#This Row],[No. of Invalid Internal Testing Defects]]),"")</f>
        <v/>
      </c>
      <c r="AO311" s="258" t="str">
        <f>IFERROR(Table7[[#This Row],[No. of Valid External Testing Defects]]/(Table7[[#This Row],[No. of Valid External Testing Defects]]+Table7[[#This Row],[No. of Valid  Internal Testing Defects]]),"")</f>
        <v/>
      </c>
    </row>
    <row r="312" spans="2:41">
      <c r="B312" s="237"/>
      <c r="C312" s="14"/>
      <c r="D312" s="14"/>
      <c r="E312" s="14"/>
      <c r="F312" s="230" t="str">
        <f>IFERROR((Table47[[#This Row],[Initial No. of Requirements]]+Table47[[#This Row],[Modified Requirements( Added / Deleted /Modified)]])/Table47[[#This Row],[Initial No. of Requirements]],"")</f>
        <v/>
      </c>
      <c r="G31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2" s="249"/>
      <c r="J312" s="249"/>
      <c r="K312" s="250"/>
      <c r="L312" s="250"/>
      <c r="M312" s="250"/>
      <c r="N312" s="248">
        <f>SUMIFS(Table1[Size],Table1[Release Name],[2]!Table7[Release Name])</f>
        <v>0</v>
      </c>
      <c r="O312" s="248"/>
      <c r="P31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2" s="248"/>
      <c r="R31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2" s="248"/>
      <c r="T312" s="248"/>
      <c r="U312" s="248"/>
      <c r="V312" s="248"/>
      <c r="W312" s="248"/>
      <c r="X312" s="248"/>
      <c r="Y312" s="248"/>
      <c r="Z312" s="248"/>
      <c r="AA312" s="248"/>
      <c r="AB312" s="13">
        <f>SUMIFS(Table3[Hours Worked],Table3[Release Name],Table7[[#This Row],[Release Name]],Table3[Task Type],"Testcase Creation")</f>
        <v>0</v>
      </c>
      <c r="AC312" s="255">
        <f>SUMIFS(Table3[Hours Worked],Table3[Release Name],Table7[[#This Row],[Release Name]],Table3[Task Type],"Testcase Execution")</f>
        <v>0</v>
      </c>
      <c r="AD31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2" s="256" t="str">
        <f>IFERROR((Table7[[#This Row],[No. of Valid Internal Review Defects]]+Table7[[#This Row],[No. of Valid  Internal Testing Defects]]+Table7[[#This Row],[No. of  Valid External Review Defects]]+Table7[[#This Row],[No. of Valid External Testing Defects]])/Table7[[#This Row],[Size]],"")</f>
        <v/>
      </c>
      <c r="AF312" s="257" t="str">
        <f>IFERROR(Table7[[#This Row],[No. of Valid Internal Review Defects]]/(Table7[[#This Row],[No. of Valid Internal Review Defects]]+Table7[[#This Row],[No. of  Valid External Review Defects]]+Table7[[#This Row],[No. of Valid  Internal Testing Defects]]+Table7[[#This Row],[No. of Valid External Testing Defects]]),"")</f>
        <v/>
      </c>
      <c r="AG312" s="258" t="str">
        <f>IFERROR(Table7[[#This Row],[No. of Valid Internal Review Defects]]/(Table7[[#This Row],[No. of Valid Internal Review Defects]]+Table7[[#This Row],[No. of  Valid External Review Defects]]+Table7[[#This Row],[No. of Valid External Testing Defects]]),"")</f>
        <v/>
      </c>
      <c r="AH312" s="256" t="str">
        <f>IFERROR(Table7[[#This Row],[No. of Valid  Internal Testing Defects]]/Table7[[#This Row],[Overall Actual Effort for the release]],"")</f>
        <v/>
      </c>
      <c r="AI312" s="256" t="str">
        <f>IFERROR(Table7[[#This Row],[No. of Valid  Internal Testing Defects]]/Table7[[#This Row],[No. of Testcases Executed]],"")</f>
        <v/>
      </c>
      <c r="AJ312" s="259" t="str">
        <f>IFERROR(IFERROR(Table7[[#This Row],[No. of Testcases Created]]/Table7[[#This Row],[Effort for Testcase Creation]],"")*9,"")</f>
        <v/>
      </c>
      <c r="AK312" s="256" t="str">
        <f>IFERROR((Table7[[#This Row],[No. of Testcases Executed]]/Table7[[#This Row],[Effort for Testcase Execution]])*9,"")</f>
        <v/>
      </c>
      <c r="AL31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2" s="259" t="str">
        <f>IFERROR(Table7[[#This Row],[No. of Defects Validated]]/SUMIFS(Table3[Hours Worked],Table3[Release Name],Table7[[#This Row],[Release Name]],Table3[Task Type],"Defect Validation")*9,"")</f>
        <v/>
      </c>
      <c r="AN312" s="258" t="str">
        <f>IFERROR((Table7[[#This Row],[No. of Valid  Internal Testing Defects]])/(Table7[[#This Row],[No. of Valid  Internal Testing Defects]]+Table7[[#This Row],[No. of Invalid Internal Testing Defects]]),"")</f>
        <v/>
      </c>
      <c r="AO312" s="258" t="str">
        <f>IFERROR(Table7[[#This Row],[No. of Valid External Testing Defects]]/(Table7[[#This Row],[No. of Valid External Testing Defects]]+Table7[[#This Row],[No. of Valid  Internal Testing Defects]]),"")</f>
        <v/>
      </c>
    </row>
    <row r="313" spans="2:41">
      <c r="B313" s="237"/>
      <c r="C313" s="14"/>
      <c r="D313" s="14"/>
      <c r="E313" s="14"/>
      <c r="F313" s="230" t="str">
        <f>IFERROR((Table47[[#This Row],[Initial No. of Requirements]]+Table47[[#This Row],[Modified Requirements( Added / Deleted /Modified)]])/Table47[[#This Row],[Initial No. of Requirements]],"")</f>
        <v/>
      </c>
      <c r="G31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3" s="249"/>
      <c r="J313" s="249"/>
      <c r="K313" s="250"/>
      <c r="L313" s="250"/>
      <c r="M313" s="250"/>
      <c r="N313" s="248">
        <f>SUMIFS(Table1[Size],Table1[Release Name],[2]!Table7[Release Name])</f>
        <v>0</v>
      </c>
      <c r="O313" s="248"/>
      <c r="P31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3" s="248"/>
      <c r="R31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3" s="248"/>
      <c r="T313" s="248"/>
      <c r="U313" s="248"/>
      <c r="V313" s="248"/>
      <c r="W313" s="248"/>
      <c r="X313" s="248"/>
      <c r="Y313" s="248"/>
      <c r="Z313" s="248"/>
      <c r="AA313" s="248"/>
      <c r="AB313" s="13">
        <f>SUMIFS(Table3[Hours Worked],Table3[Release Name],Table7[[#This Row],[Release Name]],Table3[Task Type],"Testcase Creation")</f>
        <v>0</v>
      </c>
      <c r="AC313" s="255">
        <f>SUMIFS(Table3[Hours Worked],Table3[Release Name],Table7[[#This Row],[Release Name]],Table3[Task Type],"Testcase Execution")</f>
        <v>0</v>
      </c>
      <c r="AD31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3" s="256" t="str">
        <f>IFERROR((Table7[[#This Row],[No. of Valid Internal Review Defects]]+Table7[[#This Row],[No. of Valid  Internal Testing Defects]]+Table7[[#This Row],[No. of  Valid External Review Defects]]+Table7[[#This Row],[No. of Valid External Testing Defects]])/Table7[[#This Row],[Size]],"")</f>
        <v/>
      </c>
      <c r="AF313" s="257" t="str">
        <f>IFERROR(Table7[[#This Row],[No. of Valid Internal Review Defects]]/(Table7[[#This Row],[No. of Valid Internal Review Defects]]+Table7[[#This Row],[No. of  Valid External Review Defects]]+Table7[[#This Row],[No. of Valid  Internal Testing Defects]]+Table7[[#This Row],[No. of Valid External Testing Defects]]),"")</f>
        <v/>
      </c>
      <c r="AG313" s="258" t="str">
        <f>IFERROR(Table7[[#This Row],[No. of Valid Internal Review Defects]]/(Table7[[#This Row],[No. of Valid Internal Review Defects]]+Table7[[#This Row],[No. of  Valid External Review Defects]]+Table7[[#This Row],[No. of Valid External Testing Defects]]),"")</f>
        <v/>
      </c>
      <c r="AH313" s="256" t="str">
        <f>IFERROR(Table7[[#This Row],[No. of Valid  Internal Testing Defects]]/Table7[[#This Row],[Overall Actual Effort for the release]],"")</f>
        <v/>
      </c>
      <c r="AI313" s="256" t="str">
        <f>IFERROR(Table7[[#This Row],[No. of Valid  Internal Testing Defects]]/Table7[[#This Row],[No. of Testcases Executed]],"")</f>
        <v/>
      </c>
      <c r="AJ313" s="259" t="str">
        <f>IFERROR(IFERROR(Table7[[#This Row],[No. of Testcases Created]]/Table7[[#This Row],[Effort for Testcase Creation]],"")*9,"")</f>
        <v/>
      </c>
      <c r="AK313" s="256" t="str">
        <f>IFERROR((Table7[[#This Row],[No. of Testcases Executed]]/Table7[[#This Row],[Effort for Testcase Execution]])*9,"")</f>
        <v/>
      </c>
      <c r="AL31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3" s="259" t="str">
        <f>IFERROR(Table7[[#This Row],[No. of Defects Validated]]/SUMIFS(Table3[Hours Worked],Table3[Release Name],Table7[[#This Row],[Release Name]],Table3[Task Type],"Defect Validation")*9,"")</f>
        <v/>
      </c>
      <c r="AN313" s="258" t="str">
        <f>IFERROR((Table7[[#This Row],[No. of Valid  Internal Testing Defects]])/(Table7[[#This Row],[No. of Valid  Internal Testing Defects]]+Table7[[#This Row],[No. of Invalid Internal Testing Defects]]),"")</f>
        <v/>
      </c>
      <c r="AO313" s="258" t="str">
        <f>IFERROR(Table7[[#This Row],[No. of Valid External Testing Defects]]/(Table7[[#This Row],[No. of Valid External Testing Defects]]+Table7[[#This Row],[No. of Valid  Internal Testing Defects]]),"")</f>
        <v/>
      </c>
    </row>
    <row r="314" spans="2:41">
      <c r="B314" s="237"/>
      <c r="C314" s="14"/>
      <c r="D314" s="14"/>
      <c r="E314" s="14"/>
      <c r="F314" s="230" t="str">
        <f>IFERROR((Table47[[#This Row],[Initial No. of Requirements]]+Table47[[#This Row],[Modified Requirements( Added / Deleted /Modified)]])/Table47[[#This Row],[Initial No. of Requirements]],"")</f>
        <v/>
      </c>
      <c r="G31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4" s="249"/>
      <c r="J314" s="249"/>
      <c r="K314" s="250"/>
      <c r="L314" s="250"/>
      <c r="M314" s="250"/>
      <c r="N314" s="248">
        <f>SUMIFS(Table1[Size],Table1[Release Name],[2]!Table7[Release Name])</f>
        <v>0</v>
      </c>
      <c r="O314" s="248"/>
      <c r="P31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4" s="248"/>
      <c r="R31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4" s="248"/>
      <c r="T314" s="248"/>
      <c r="U314" s="248"/>
      <c r="V314" s="248"/>
      <c r="W314" s="248"/>
      <c r="X314" s="248"/>
      <c r="Y314" s="248"/>
      <c r="Z314" s="248"/>
      <c r="AA314" s="248"/>
      <c r="AB314" s="13">
        <f>SUMIFS(Table3[Hours Worked],Table3[Release Name],Table7[[#This Row],[Release Name]],Table3[Task Type],"Testcase Creation")</f>
        <v>0</v>
      </c>
      <c r="AC314" s="255">
        <f>SUMIFS(Table3[Hours Worked],Table3[Release Name],Table7[[#This Row],[Release Name]],Table3[Task Type],"Testcase Execution")</f>
        <v>0</v>
      </c>
      <c r="AD31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4" s="256" t="str">
        <f>IFERROR((Table7[[#This Row],[No. of Valid Internal Review Defects]]+Table7[[#This Row],[No. of Valid  Internal Testing Defects]]+Table7[[#This Row],[No. of  Valid External Review Defects]]+Table7[[#This Row],[No. of Valid External Testing Defects]])/Table7[[#This Row],[Size]],"")</f>
        <v/>
      </c>
      <c r="AF314" s="257" t="str">
        <f>IFERROR(Table7[[#This Row],[No. of Valid Internal Review Defects]]/(Table7[[#This Row],[No. of Valid Internal Review Defects]]+Table7[[#This Row],[No. of  Valid External Review Defects]]+Table7[[#This Row],[No. of Valid  Internal Testing Defects]]+Table7[[#This Row],[No. of Valid External Testing Defects]]),"")</f>
        <v/>
      </c>
      <c r="AG314" s="258" t="str">
        <f>IFERROR(Table7[[#This Row],[No. of Valid Internal Review Defects]]/(Table7[[#This Row],[No. of Valid Internal Review Defects]]+Table7[[#This Row],[No. of  Valid External Review Defects]]+Table7[[#This Row],[No. of Valid External Testing Defects]]),"")</f>
        <v/>
      </c>
      <c r="AH314" s="256" t="str">
        <f>IFERROR(Table7[[#This Row],[No. of Valid  Internal Testing Defects]]/Table7[[#This Row],[Overall Actual Effort for the release]],"")</f>
        <v/>
      </c>
      <c r="AI314" s="256" t="str">
        <f>IFERROR(Table7[[#This Row],[No. of Valid  Internal Testing Defects]]/Table7[[#This Row],[No. of Testcases Executed]],"")</f>
        <v/>
      </c>
      <c r="AJ314" s="259" t="str">
        <f>IFERROR(IFERROR(Table7[[#This Row],[No. of Testcases Created]]/Table7[[#This Row],[Effort for Testcase Creation]],"")*9,"")</f>
        <v/>
      </c>
      <c r="AK314" s="256" t="str">
        <f>IFERROR((Table7[[#This Row],[No. of Testcases Executed]]/Table7[[#This Row],[Effort for Testcase Execution]])*9,"")</f>
        <v/>
      </c>
      <c r="AL31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4" s="259" t="str">
        <f>IFERROR(Table7[[#This Row],[No. of Defects Validated]]/SUMIFS(Table3[Hours Worked],Table3[Release Name],Table7[[#This Row],[Release Name]],Table3[Task Type],"Defect Validation")*9,"")</f>
        <v/>
      </c>
      <c r="AN314" s="258" t="str">
        <f>IFERROR((Table7[[#This Row],[No. of Valid  Internal Testing Defects]])/(Table7[[#This Row],[No. of Valid  Internal Testing Defects]]+Table7[[#This Row],[No. of Invalid Internal Testing Defects]]),"")</f>
        <v/>
      </c>
      <c r="AO314" s="258" t="str">
        <f>IFERROR(Table7[[#This Row],[No. of Valid External Testing Defects]]/(Table7[[#This Row],[No. of Valid External Testing Defects]]+Table7[[#This Row],[No. of Valid  Internal Testing Defects]]),"")</f>
        <v/>
      </c>
    </row>
    <row r="315" spans="2:41">
      <c r="B315" s="237"/>
      <c r="C315" s="14"/>
      <c r="D315" s="14"/>
      <c r="E315" s="14"/>
      <c r="F315" s="230" t="str">
        <f>IFERROR((Table47[[#This Row],[Initial No. of Requirements]]+Table47[[#This Row],[Modified Requirements( Added / Deleted /Modified)]])/Table47[[#This Row],[Initial No. of Requirements]],"")</f>
        <v/>
      </c>
      <c r="G31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5" s="249"/>
      <c r="J315" s="249"/>
      <c r="K315" s="250"/>
      <c r="L315" s="250"/>
      <c r="M315" s="250"/>
      <c r="N315" s="248">
        <f>SUMIFS(Table1[Size],Table1[Release Name],[2]!Table7[Release Name])</f>
        <v>0</v>
      </c>
      <c r="O315" s="248"/>
      <c r="P31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5" s="248"/>
      <c r="R31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5" s="248"/>
      <c r="T315" s="248"/>
      <c r="U315" s="248"/>
      <c r="V315" s="248"/>
      <c r="W315" s="248"/>
      <c r="X315" s="248"/>
      <c r="Y315" s="248"/>
      <c r="Z315" s="248"/>
      <c r="AA315" s="248"/>
      <c r="AB315" s="13">
        <f>SUMIFS(Table3[Hours Worked],Table3[Release Name],Table7[[#This Row],[Release Name]],Table3[Task Type],"Testcase Creation")</f>
        <v>0</v>
      </c>
      <c r="AC315" s="255">
        <f>SUMIFS(Table3[Hours Worked],Table3[Release Name],Table7[[#This Row],[Release Name]],Table3[Task Type],"Testcase Execution")</f>
        <v>0</v>
      </c>
      <c r="AD31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5" s="256" t="str">
        <f>IFERROR((Table7[[#This Row],[No. of Valid Internal Review Defects]]+Table7[[#This Row],[No. of Valid  Internal Testing Defects]]+Table7[[#This Row],[No. of  Valid External Review Defects]]+Table7[[#This Row],[No. of Valid External Testing Defects]])/Table7[[#This Row],[Size]],"")</f>
        <v/>
      </c>
      <c r="AF315" s="257" t="str">
        <f>IFERROR(Table7[[#This Row],[No. of Valid Internal Review Defects]]/(Table7[[#This Row],[No. of Valid Internal Review Defects]]+Table7[[#This Row],[No. of  Valid External Review Defects]]+Table7[[#This Row],[No. of Valid  Internal Testing Defects]]+Table7[[#This Row],[No. of Valid External Testing Defects]]),"")</f>
        <v/>
      </c>
      <c r="AG315" s="258" t="str">
        <f>IFERROR(Table7[[#This Row],[No. of Valid Internal Review Defects]]/(Table7[[#This Row],[No. of Valid Internal Review Defects]]+Table7[[#This Row],[No. of  Valid External Review Defects]]+Table7[[#This Row],[No. of Valid External Testing Defects]]),"")</f>
        <v/>
      </c>
      <c r="AH315" s="256" t="str">
        <f>IFERROR(Table7[[#This Row],[No. of Valid  Internal Testing Defects]]/Table7[[#This Row],[Overall Actual Effort for the release]],"")</f>
        <v/>
      </c>
      <c r="AI315" s="256" t="str">
        <f>IFERROR(Table7[[#This Row],[No. of Valid  Internal Testing Defects]]/Table7[[#This Row],[No. of Testcases Executed]],"")</f>
        <v/>
      </c>
      <c r="AJ315" s="259" t="str">
        <f>IFERROR(IFERROR(Table7[[#This Row],[No. of Testcases Created]]/Table7[[#This Row],[Effort for Testcase Creation]],"")*9,"")</f>
        <v/>
      </c>
      <c r="AK315" s="256" t="str">
        <f>IFERROR((Table7[[#This Row],[No. of Testcases Executed]]/Table7[[#This Row],[Effort for Testcase Execution]])*9,"")</f>
        <v/>
      </c>
      <c r="AL31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5" s="259" t="str">
        <f>IFERROR(Table7[[#This Row],[No. of Defects Validated]]/SUMIFS(Table3[Hours Worked],Table3[Release Name],Table7[[#This Row],[Release Name]],Table3[Task Type],"Defect Validation")*9,"")</f>
        <v/>
      </c>
      <c r="AN315" s="258" t="str">
        <f>IFERROR((Table7[[#This Row],[No. of Valid  Internal Testing Defects]])/(Table7[[#This Row],[No. of Valid  Internal Testing Defects]]+Table7[[#This Row],[No. of Invalid Internal Testing Defects]]),"")</f>
        <v/>
      </c>
      <c r="AO315" s="258" t="str">
        <f>IFERROR(Table7[[#This Row],[No. of Valid External Testing Defects]]/(Table7[[#This Row],[No. of Valid External Testing Defects]]+Table7[[#This Row],[No. of Valid  Internal Testing Defects]]),"")</f>
        <v/>
      </c>
    </row>
    <row r="316" spans="2:41">
      <c r="B316" s="237"/>
      <c r="C316" s="14"/>
      <c r="D316" s="14"/>
      <c r="E316" s="14"/>
      <c r="F316" s="230" t="str">
        <f>IFERROR((Table47[[#This Row],[Initial No. of Requirements]]+Table47[[#This Row],[Modified Requirements( Added / Deleted /Modified)]])/Table47[[#This Row],[Initial No. of Requirements]],"")</f>
        <v/>
      </c>
      <c r="G31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6" s="249"/>
      <c r="J316" s="249"/>
      <c r="K316" s="250"/>
      <c r="L316" s="250"/>
      <c r="M316" s="250"/>
      <c r="N316" s="248">
        <f>SUMIFS(Table1[Size],Table1[Release Name],[2]!Table7[Release Name])</f>
        <v>0</v>
      </c>
      <c r="O316" s="248"/>
      <c r="P31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6" s="248"/>
      <c r="R31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6" s="248"/>
      <c r="T316" s="248"/>
      <c r="U316" s="248"/>
      <c r="V316" s="248"/>
      <c r="W316" s="248"/>
      <c r="X316" s="248"/>
      <c r="Y316" s="248"/>
      <c r="Z316" s="248"/>
      <c r="AA316" s="248"/>
      <c r="AB316" s="13">
        <f>SUMIFS(Table3[Hours Worked],Table3[Release Name],Table7[[#This Row],[Release Name]],Table3[Task Type],"Testcase Creation")</f>
        <v>0</v>
      </c>
      <c r="AC316" s="255">
        <f>SUMIFS(Table3[Hours Worked],Table3[Release Name],Table7[[#This Row],[Release Name]],Table3[Task Type],"Testcase Execution")</f>
        <v>0</v>
      </c>
      <c r="AD31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6" s="256" t="str">
        <f>IFERROR((Table7[[#This Row],[No. of Valid Internal Review Defects]]+Table7[[#This Row],[No. of Valid  Internal Testing Defects]]+Table7[[#This Row],[No. of  Valid External Review Defects]]+Table7[[#This Row],[No. of Valid External Testing Defects]])/Table7[[#This Row],[Size]],"")</f>
        <v/>
      </c>
      <c r="AF316" s="257" t="str">
        <f>IFERROR(Table7[[#This Row],[No. of Valid Internal Review Defects]]/(Table7[[#This Row],[No. of Valid Internal Review Defects]]+Table7[[#This Row],[No. of  Valid External Review Defects]]+Table7[[#This Row],[No. of Valid  Internal Testing Defects]]+Table7[[#This Row],[No. of Valid External Testing Defects]]),"")</f>
        <v/>
      </c>
      <c r="AG316" s="258" t="str">
        <f>IFERROR(Table7[[#This Row],[No. of Valid Internal Review Defects]]/(Table7[[#This Row],[No. of Valid Internal Review Defects]]+Table7[[#This Row],[No. of  Valid External Review Defects]]+Table7[[#This Row],[No. of Valid External Testing Defects]]),"")</f>
        <v/>
      </c>
      <c r="AH316" s="256" t="str">
        <f>IFERROR(Table7[[#This Row],[No. of Valid  Internal Testing Defects]]/Table7[[#This Row],[Overall Actual Effort for the release]],"")</f>
        <v/>
      </c>
      <c r="AI316" s="256" t="str">
        <f>IFERROR(Table7[[#This Row],[No. of Valid  Internal Testing Defects]]/Table7[[#This Row],[No. of Testcases Executed]],"")</f>
        <v/>
      </c>
      <c r="AJ316" s="259" t="str">
        <f>IFERROR(IFERROR(Table7[[#This Row],[No. of Testcases Created]]/Table7[[#This Row],[Effort for Testcase Creation]],"")*9,"")</f>
        <v/>
      </c>
      <c r="AK316" s="256" t="str">
        <f>IFERROR((Table7[[#This Row],[No. of Testcases Executed]]/Table7[[#This Row],[Effort for Testcase Execution]])*9,"")</f>
        <v/>
      </c>
      <c r="AL31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6" s="259" t="str">
        <f>IFERROR(Table7[[#This Row],[No. of Defects Validated]]/SUMIFS(Table3[Hours Worked],Table3[Release Name],Table7[[#This Row],[Release Name]],Table3[Task Type],"Defect Validation")*9,"")</f>
        <v/>
      </c>
      <c r="AN316" s="258" t="str">
        <f>IFERROR((Table7[[#This Row],[No. of Valid  Internal Testing Defects]])/(Table7[[#This Row],[No. of Valid  Internal Testing Defects]]+Table7[[#This Row],[No. of Invalid Internal Testing Defects]]),"")</f>
        <v/>
      </c>
      <c r="AO316" s="258" t="str">
        <f>IFERROR(Table7[[#This Row],[No. of Valid External Testing Defects]]/(Table7[[#This Row],[No. of Valid External Testing Defects]]+Table7[[#This Row],[No. of Valid  Internal Testing Defects]]),"")</f>
        <v/>
      </c>
    </row>
    <row r="317" spans="2:41">
      <c r="B317" s="237"/>
      <c r="C317" s="14"/>
      <c r="D317" s="14"/>
      <c r="E317" s="14"/>
      <c r="F317" s="230" t="str">
        <f>IFERROR((Table47[[#This Row],[Initial No. of Requirements]]+Table47[[#This Row],[Modified Requirements( Added / Deleted /Modified)]])/Table47[[#This Row],[Initial No. of Requirements]],"")</f>
        <v/>
      </c>
      <c r="G31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7" s="249"/>
      <c r="J317" s="249"/>
      <c r="K317" s="250"/>
      <c r="L317" s="250"/>
      <c r="M317" s="250"/>
      <c r="N317" s="248">
        <f>SUMIFS(Table1[Size],Table1[Release Name],[2]!Table7[Release Name])</f>
        <v>0</v>
      </c>
      <c r="O317" s="248"/>
      <c r="P31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7" s="248"/>
      <c r="R31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7" s="248"/>
      <c r="T317" s="248"/>
      <c r="U317" s="248"/>
      <c r="V317" s="248"/>
      <c r="W317" s="248"/>
      <c r="X317" s="248"/>
      <c r="Y317" s="248"/>
      <c r="Z317" s="248"/>
      <c r="AA317" s="248"/>
      <c r="AB317" s="13">
        <f>SUMIFS(Table3[Hours Worked],Table3[Release Name],Table7[[#This Row],[Release Name]],Table3[Task Type],"Testcase Creation")</f>
        <v>0</v>
      </c>
      <c r="AC317" s="255">
        <f>SUMIFS(Table3[Hours Worked],Table3[Release Name],Table7[[#This Row],[Release Name]],Table3[Task Type],"Testcase Execution")</f>
        <v>0</v>
      </c>
      <c r="AD31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7" s="256" t="str">
        <f>IFERROR((Table7[[#This Row],[No. of Valid Internal Review Defects]]+Table7[[#This Row],[No. of Valid  Internal Testing Defects]]+Table7[[#This Row],[No. of  Valid External Review Defects]]+Table7[[#This Row],[No. of Valid External Testing Defects]])/Table7[[#This Row],[Size]],"")</f>
        <v/>
      </c>
      <c r="AF317" s="257" t="str">
        <f>IFERROR(Table7[[#This Row],[No. of Valid Internal Review Defects]]/(Table7[[#This Row],[No. of Valid Internal Review Defects]]+Table7[[#This Row],[No. of  Valid External Review Defects]]+Table7[[#This Row],[No. of Valid  Internal Testing Defects]]+Table7[[#This Row],[No. of Valid External Testing Defects]]),"")</f>
        <v/>
      </c>
      <c r="AG317" s="258" t="str">
        <f>IFERROR(Table7[[#This Row],[No. of Valid Internal Review Defects]]/(Table7[[#This Row],[No. of Valid Internal Review Defects]]+Table7[[#This Row],[No. of  Valid External Review Defects]]+Table7[[#This Row],[No. of Valid External Testing Defects]]),"")</f>
        <v/>
      </c>
      <c r="AH317" s="256" t="str">
        <f>IFERROR(Table7[[#This Row],[No. of Valid  Internal Testing Defects]]/Table7[[#This Row],[Overall Actual Effort for the release]],"")</f>
        <v/>
      </c>
      <c r="AI317" s="256" t="str">
        <f>IFERROR(Table7[[#This Row],[No. of Valid  Internal Testing Defects]]/Table7[[#This Row],[No. of Testcases Executed]],"")</f>
        <v/>
      </c>
      <c r="AJ317" s="259" t="str">
        <f>IFERROR(IFERROR(Table7[[#This Row],[No. of Testcases Created]]/Table7[[#This Row],[Effort for Testcase Creation]],"")*9,"")</f>
        <v/>
      </c>
      <c r="AK317" s="256" t="str">
        <f>IFERROR((Table7[[#This Row],[No. of Testcases Executed]]/Table7[[#This Row],[Effort for Testcase Execution]])*9,"")</f>
        <v/>
      </c>
      <c r="AL31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7" s="259" t="str">
        <f>IFERROR(Table7[[#This Row],[No. of Defects Validated]]/SUMIFS(Table3[Hours Worked],Table3[Release Name],Table7[[#This Row],[Release Name]],Table3[Task Type],"Defect Validation")*9,"")</f>
        <v/>
      </c>
      <c r="AN317" s="258" t="str">
        <f>IFERROR((Table7[[#This Row],[No. of Valid  Internal Testing Defects]])/(Table7[[#This Row],[No. of Valid  Internal Testing Defects]]+Table7[[#This Row],[No. of Invalid Internal Testing Defects]]),"")</f>
        <v/>
      </c>
      <c r="AO317" s="258" t="str">
        <f>IFERROR(Table7[[#This Row],[No. of Valid External Testing Defects]]/(Table7[[#This Row],[No. of Valid External Testing Defects]]+Table7[[#This Row],[No. of Valid  Internal Testing Defects]]),"")</f>
        <v/>
      </c>
    </row>
    <row r="318" spans="2:41">
      <c r="B318" s="237"/>
      <c r="C318" s="14"/>
      <c r="D318" s="14"/>
      <c r="E318" s="14"/>
      <c r="F318" s="230" t="str">
        <f>IFERROR((Table47[[#This Row],[Initial No. of Requirements]]+Table47[[#This Row],[Modified Requirements( Added / Deleted /Modified)]])/Table47[[#This Row],[Initial No. of Requirements]],"")</f>
        <v/>
      </c>
      <c r="G31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8" s="249"/>
      <c r="J318" s="249"/>
      <c r="K318" s="250"/>
      <c r="L318" s="250"/>
      <c r="M318" s="250"/>
      <c r="N318" s="248">
        <f>SUMIFS(Table1[Size],Table1[Release Name],[2]!Table7[Release Name])</f>
        <v>0</v>
      </c>
      <c r="O318" s="248"/>
      <c r="P31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8" s="248"/>
      <c r="R31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8" s="248"/>
      <c r="T318" s="248"/>
      <c r="U318" s="248"/>
      <c r="V318" s="248"/>
      <c r="W318" s="248"/>
      <c r="X318" s="248"/>
      <c r="Y318" s="248"/>
      <c r="Z318" s="248"/>
      <c r="AA318" s="248"/>
      <c r="AB318" s="13">
        <f>SUMIFS(Table3[Hours Worked],Table3[Release Name],Table7[[#This Row],[Release Name]],Table3[Task Type],"Testcase Creation")</f>
        <v>0</v>
      </c>
      <c r="AC318" s="255">
        <f>SUMIFS(Table3[Hours Worked],Table3[Release Name],Table7[[#This Row],[Release Name]],Table3[Task Type],"Testcase Execution")</f>
        <v>0</v>
      </c>
      <c r="AD31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8" s="256" t="str">
        <f>IFERROR((Table7[[#This Row],[No. of Valid Internal Review Defects]]+Table7[[#This Row],[No. of Valid  Internal Testing Defects]]+Table7[[#This Row],[No. of  Valid External Review Defects]]+Table7[[#This Row],[No. of Valid External Testing Defects]])/Table7[[#This Row],[Size]],"")</f>
        <v/>
      </c>
      <c r="AF318" s="257" t="str">
        <f>IFERROR(Table7[[#This Row],[No. of Valid Internal Review Defects]]/(Table7[[#This Row],[No. of Valid Internal Review Defects]]+Table7[[#This Row],[No. of  Valid External Review Defects]]+Table7[[#This Row],[No. of Valid  Internal Testing Defects]]+Table7[[#This Row],[No. of Valid External Testing Defects]]),"")</f>
        <v/>
      </c>
      <c r="AG318" s="258" t="str">
        <f>IFERROR(Table7[[#This Row],[No. of Valid Internal Review Defects]]/(Table7[[#This Row],[No. of Valid Internal Review Defects]]+Table7[[#This Row],[No. of  Valid External Review Defects]]+Table7[[#This Row],[No. of Valid External Testing Defects]]),"")</f>
        <v/>
      </c>
      <c r="AH318" s="256" t="str">
        <f>IFERROR(Table7[[#This Row],[No. of Valid  Internal Testing Defects]]/Table7[[#This Row],[Overall Actual Effort for the release]],"")</f>
        <v/>
      </c>
      <c r="AI318" s="256" t="str">
        <f>IFERROR(Table7[[#This Row],[No. of Valid  Internal Testing Defects]]/Table7[[#This Row],[No. of Testcases Executed]],"")</f>
        <v/>
      </c>
      <c r="AJ318" s="259" t="str">
        <f>IFERROR(IFERROR(Table7[[#This Row],[No. of Testcases Created]]/Table7[[#This Row],[Effort for Testcase Creation]],"")*9,"")</f>
        <v/>
      </c>
      <c r="AK318" s="256" t="str">
        <f>IFERROR((Table7[[#This Row],[No. of Testcases Executed]]/Table7[[#This Row],[Effort for Testcase Execution]])*9,"")</f>
        <v/>
      </c>
      <c r="AL31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8" s="259" t="str">
        <f>IFERROR(Table7[[#This Row],[No. of Defects Validated]]/SUMIFS(Table3[Hours Worked],Table3[Release Name],Table7[[#This Row],[Release Name]],Table3[Task Type],"Defect Validation")*9,"")</f>
        <v/>
      </c>
      <c r="AN318" s="258" t="str">
        <f>IFERROR((Table7[[#This Row],[No. of Valid  Internal Testing Defects]])/(Table7[[#This Row],[No. of Valid  Internal Testing Defects]]+Table7[[#This Row],[No. of Invalid Internal Testing Defects]]),"")</f>
        <v/>
      </c>
      <c r="AO318" s="258" t="str">
        <f>IFERROR(Table7[[#This Row],[No. of Valid External Testing Defects]]/(Table7[[#This Row],[No. of Valid External Testing Defects]]+Table7[[#This Row],[No. of Valid  Internal Testing Defects]]),"")</f>
        <v/>
      </c>
    </row>
    <row r="319" spans="2:41">
      <c r="B319" s="237"/>
      <c r="C319" s="14"/>
      <c r="D319" s="14"/>
      <c r="E319" s="14"/>
      <c r="F319" s="230" t="str">
        <f>IFERROR((Table47[[#This Row],[Initial No. of Requirements]]+Table47[[#This Row],[Modified Requirements( Added / Deleted /Modified)]])/Table47[[#This Row],[Initial No. of Requirements]],"")</f>
        <v/>
      </c>
      <c r="G31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19" s="249"/>
      <c r="J319" s="249"/>
      <c r="K319" s="250"/>
      <c r="L319" s="250"/>
      <c r="M319" s="250"/>
      <c r="N319" s="248">
        <f>SUMIFS(Table1[Size],Table1[Release Name],[2]!Table7[Release Name])</f>
        <v>0</v>
      </c>
      <c r="O319" s="248"/>
      <c r="P31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19" s="248"/>
      <c r="R31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19" s="248"/>
      <c r="T319" s="248"/>
      <c r="U319" s="248"/>
      <c r="V319" s="248"/>
      <c r="W319" s="248"/>
      <c r="X319" s="248"/>
      <c r="Y319" s="248"/>
      <c r="Z319" s="248"/>
      <c r="AA319" s="248"/>
      <c r="AB319" s="13">
        <f>SUMIFS(Table3[Hours Worked],Table3[Release Name],Table7[[#This Row],[Release Name]],Table3[Task Type],"Testcase Creation")</f>
        <v>0</v>
      </c>
      <c r="AC319" s="255">
        <f>SUMIFS(Table3[Hours Worked],Table3[Release Name],Table7[[#This Row],[Release Name]],Table3[Task Type],"Testcase Execution")</f>
        <v>0</v>
      </c>
      <c r="AD31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19" s="256" t="str">
        <f>IFERROR((Table7[[#This Row],[No. of Valid Internal Review Defects]]+Table7[[#This Row],[No. of Valid  Internal Testing Defects]]+Table7[[#This Row],[No. of  Valid External Review Defects]]+Table7[[#This Row],[No. of Valid External Testing Defects]])/Table7[[#This Row],[Size]],"")</f>
        <v/>
      </c>
      <c r="AF319" s="257" t="str">
        <f>IFERROR(Table7[[#This Row],[No. of Valid Internal Review Defects]]/(Table7[[#This Row],[No. of Valid Internal Review Defects]]+Table7[[#This Row],[No. of  Valid External Review Defects]]+Table7[[#This Row],[No. of Valid  Internal Testing Defects]]+Table7[[#This Row],[No. of Valid External Testing Defects]]),"")</f>
        <v/>
      </c>
      <c r="AG319" s="258" t="str">
        <f>IFERROR(Table7[[#This Row],[No. of Valid Internal Review Defects]]/(Table7[[#This Row],[No. of Valid Internal Review Defects]]+Table7[[#This Row],[No. of  Valid External Review Defects]]+Table7[[#This Row],[No. of Valid External Testing Defects]]),"")</f>
        <v/>
      </c>
      <c r="AH319" s="256" t="str">
        <f>IFERROR(Table7[[#This Row],[No. of Valid  Internal Testing Defects]]/Table7[[#This Row],[Overall Actual Effort for the release]],"")</f>
        <v/>
      </c>
      <c r="AI319" s="256" t="str">
        <f>IFERROR(Table7[[#This Row],[No. of Valid  Internal Testing Defects]]/Table7[[#This Row],[No. of Testcases Executed]],"")</f>
        <v/>
      </c>
      <c r="AJ319" s="259" t="str">
        <f>IFERROR(IFERROR(Table7[[#This Row],[No. of Testcases Created]]/Table7[[#This Row],[Effort for Testcase Creation]],"")*9,"")</f>
        <v/>
      </c>
      <c r="AK319" s="256" t="str">
        <f>IFERROR((Table7[[#This Row],[No. of Testcases Executed]]/Table7[[#This Row],[Effort for Testcase Execution]])*9,"")</f>
        <v/>
      </c>
      <c r="AL31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19" s="259" t="str">
        <f>IFERROR(Table7[[#This Row],[No. of Defects Validated]]/SUMIFS(Table3[Hours Worked],Table3[Release Name],Table7[[#This Row],[Release Name]],Table3[Task Type],"Defect Validation")*9,"")</f>
        <v/>
      </c>
      <c r="AN319" s="258" t="str">
        <f>IFERROR((Table7[[#This Row],[No. of Valid  Internal Testing Defects]])/(Table7[[#This Row],[No. of Valid  Internal Testing Defects]]+Table7[[#This Row],[No. of Invalid Internal Testing Defects]]),"")</f>
        <v/>
      </c>
      <c r="AO319" s="258" t="str">
        <f>IFERROR(Table7[[#This Row],[No. of Valid External Testing Defects]]/(Table7[[#This Row],[No. of Valid External Testing Defects]]+Table7[[#This Row],[No. of Valid  Internal Testing Defects]]),"")</f>
        <v/>
      </c>
    </row>
    <row r="320" spans="2:41">
      <c r="B320" s="237"/>
      <c r="C320" s="14"/>
      <c r="D320" s="14"/>
      <c r="E320" s="14"/>
      <c r="F320" s="230" t="str">
        <f>IFERROR((Table47[[#This Row],[Initial No. of Requirements]]+Table47[[#This Row],[Modified Requirements( Added / Deleted /Modified)]])/Table47[[#This Row],[Initial No. of Requirements]],"")</f>
        <v/>
      </c>
      <c r="G32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0" s="249"/>
      <c r="J320" s="249"/>
      <c r="K320" s="250"/>
      <c r="L320" s="250"/>
      <c r="M320" s="250"/>
      <c r="N320" s="248">
        <f>SUMIFS(Table1[Size],Table1[Release Name],[2]!Table7[Release Name])</f>
        <v>0</v>
      </c>
      <c r="O320" s="248"/>
      <c r="P32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0" s="248"/>
      <c r="R32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0" s="248"/>
      <c r="T320" s="248"/>
      <c r="U320" s="248"/>
      <c r="V320" s="248"/>
      <c r="W320" s="248"/>
      <c r="X320" s="248"/>
      <c r="Y320" s="248"/>
      <c r="Z320" s="248"/>
      <c r="AA320" s="248"/>
      <c r="AB320" s="13">
        <f>SUMIFS(Table3[Hours Worked],Table3[Release Name],Table7[[#This Row],[Release Name]],Table3[Task Type],"Testcase Creation")</f>
        <v>0</v>
      </c>
      <c r="AC320" s="255">
        <f>SUMIFS(Table3[Hours Worked],Table3[Release Name],Table7[[#This Row],[Release Name]],Table3[Task Type],"Testcase Execution")</f>
        <v>0</v>
      </c>
      <c r="AD32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0" s="256" t="str">
        <f>IFERROR((Table7[[#This Row],[No. of Valid Internal Review Defects]]+Table7[[#This Row],[No. of Valid  Internal Testing Defects]]+Table7[[#This Row],[No. of  Valid External Review Defects]]+Table7[[#This Row],[No. of Valid External Testing Defects]])/Table7[[#This Row],[Size]],"")</f>
        <v/>
      </c>
      <c r="AF320" s="257" t="str">
        <f>IFERROR(Table7[[#This Row],[No. of Valid Internal Review Defects]]/(Table7[[#This Row],[No. of Valid Internal Review Defects]]+Table7[[#This Row],[No. of  Valid External Review Defects]]+Table7[[#This Row],[No. of Valid  Internal Testing Defects]]+Table7[[#This Row],[No. of Valid External Testing Defects]]),"")</f>
        <v/>
      </c>
      <c r="AG320" s="258" t="str">
        <f>IFERROR(Table7[[#This Row],[No. of Valid Internal Review Defects]]/(Table7[[#This Row],[No. of Valid Internal Review Defects]]+Table7[[#This Row],[No. of  Valid External Review Defects]]+Table7[[#This Row],[No. of Valid External Testing Defects]]),"")</f>
        <v/>
      </c>
      <c r="AH320" s="256" t="str">
        <f>IFERROR(Table7[[#This Row],[No. of Valid  Internal Testing Defects]]/Table7[[#This Row],[Overall Actual Effort for the release]],"")</f>
        <v/>
      </c>
      <c r="AI320" s="256" t="str">
        <f>IFERROR(Table7[[#This Row],[No. of Valid  Internal Testing Defects]]/Table7[[#This Row],[No. of Testcases Executed]],"")</f>
        <v/>
      </c>
      <c r="AJ320" s="259" t="str">
        <f>IFERROR(IFERROR(Table7[[#This Row],[No. of Testcases Created]]/Table7[[#This Row],[Effort for Testcase Creation]],"")*9,"")</f>
        <v/>
      </c>
      <c r="AK320" s="256" t="str">
        <f>IFERROR((Table7[[#This Row],[No. of Testcases Executed]]/Table7[[#This Row],[Effort for Testcase Execution]])*9,"")</f>
        <v/>
      </c>
      <c r="AL32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0" s="259" t="str">
        <f>IFERROR(Table7[[#This Row],[No. of Defects Validated]]/SUMIFS(Table3[Hours Worked],Table3[Release Name],Table7[[#This Row],[Release Name]],Table3[Task Type],"Defect Validation")*9,"")</f>
        <v/>
      </c>
      <c r="AN320" s="258" t="str">
        <f>IFERROR((Table7[[#This Row],[No. of Valid  Internal Testing Defects]])/(Table7[[#This Row],[No. of Valid  Internal Testing Defects]]+Table7[[#This Row],[No. of Invalid Internal Testing Defects]]),"")</f>
        <v/>
      </c>
      <c r="AO320" s="258" t="str">
        <f>IFERROR(Table7[[#This Row],[No. of Valid External Testing Defects]]/(Table7[[#This Row],[No. of Valid External Testing Defects]]+Table7[[#This Row],[No. of Valid  Internal Testing Defects]]),"")</f>
        <v/>
      </c>
    </row>
    <row r="321" spans="2:41">
      <c r="B321" s="237"/>
      <c r="C321" s="14"/>
      <c r="D321" s="14"/>
      <c r="E321" s="14"/>
      <c r="F321" s="230" t="str">
        <f>IFERROR((Table47[[#This Row],[Initial No. of Requirements]]+Table47[[#This Row],[Modified Requirements( Added / Deleted /Modified)]])/Table47[[#This Row],[Initial No. of Requirements]],"")</f>
        <v/>
      </c>
      <c r="G32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1" s="249"/>
      <c r="J321" s="249"/>
      <c r="K321" s="250"/>
      <c r="L321" s="250"/>
      <c r="M321" s="250"/>
      <c r="N321" s="248">
        <f>SUMIFS(Table1[Size],Table1[Release Name],[2]!Table7[Release Name])</f>
        <v>0</v>
      </c>
      <c r="O321" s="248"/>
      <c r="P32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1" s="248"/>
      <c r="R32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1" s="248"/>
      <c r="T321" s="248"/>
      <c r="U321" s="248"/>
      <c r="V321" s="248"/>
      <c r="W321" s="248"/>
      <c r="X321" s="248"/>
      <c r="Y321" s="248"/>
      <c r="Z321" s="248"/>
      <c r="AA321" s="248"/>
      <c r="AB321" s="13">
        <f>SUMIFS(Table3[Hours Worked],Table3[Release Name],Table7[[#This Row],[Release Name]],Table3[Task Type],"Testcase Creation")</f>
        <v>0</v>
      </c>
      <c r="AC321" s="255">
        <f>SUMIFS(Table3[Hours Worked],Table3[Release Name],Table7[[#This Row],[Release Name]],Table3[Task Type],"Testcase Execution")</f>
        <v>0</v>
      </c>
      <c r="AD32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1" s="256" t="str">
        <f>IFERROR((Table7[[#This Row],[No. of Valid Internal Review Defects]]+Table7[[#This Row],[No. of Valid  Internal Testing Defects]]+Table7[[#This Row],[No. of  Valid External Review Defects]]+Table7[[#This Row],[No. of Valid External Testing Defects]])/Table7[[#This Row],[Size]],"")</f>
        <v/>
      </c>
      <c r="AF321" s="257" t="str">
        <f>IFERROR(Table7[[#This Row],[No. of Valid Internal Review Defects]]/(Table7[[#This Row],[No. of Valid Internal Review Defects]]+Table7[[#This Row],[No. of  Valid External Review Defects]]+Table7[[#This Row],[No. of Valid  Internal Testing Defects]]+Table7[[#This Row],[No. of Valid External Testing Defects]]),"")</f>
        <v/>
      </c>
      <c r="AG321" s="258" t="str">
        <f>IFERROR(Table7[[#This Row],[No. of Valid Internal Review Defects]]/(Table7[[#This Row],[No. of Valid Internal Review Defects]]+Table7[[#This Row],[No. of  Valid External Review Defects]]+Table7[[#This Row],[No. of Valid External Testing Defects]]),"")</f>
        <v/>
      </c>
      <c r="AH321" s="256" t="str">
        <f>IFERROR(Table7[[#This Row],[No. of Valid  Internal Testing Defects]]/Table7[[#This Row],[Overall Actual Effort for the release]],"")</f>
        <v/>
      </c>
      <c r="AI321" s="256" t="str">
        <f>IFERROR(Table7[[#This Row],[No. of Valid  Internal Testing Defects]]/Table7[[#This Row],[No. of Testcases Executed]],"")</f>
        <v/>
      </c>
      <c r="AJ321" s="259" t="str">
        <f>IFERROR(IFERROR(Table7[[#This Row],[No. of Testcases Created]]/Table7[[#This Row],[Effort for Testcase Creation]],"")*9,"")</f>
        <v/>
      </c>
      <c r="AK321" s="256" t="str">
        <f>IFERROR((Table7[[#This Row],[No. of Testcases Executed]]/Table7[[#This Row],[Effort for Testcase Execution]])*9,"")</f>
        <v/>
      </c>
      <c r="AL32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1" s="259" t="str">
        <f>IFERROR(Table7[[#This Row],[No. of Defects Validated]]/SUMIFS(Table3[Hours Worked],Table3[Release Name],Table7[[#This Row],[Release Name]],Table3[Task Type],"Defect Validation")*9,"")</f>
        <v/>
      </c>
      <c r="AN321" s="258" t="str">
        <f>IFERROR((Table7[[#This Row],[No. of Valid  Internal Testing Defects]])/(Table7[[#This Row],[No. of Valid  Internal Testing Defects]]+Table7[[#This Row],[No. of Invalid Internal Testing Defects]]),"")</f>
        <v/>
      </c>
      <c r="AO321" s="258" t="str">
        <f>IFERROR(Table7[[#This Row],[No. of Valid External Testing Defects]]/(Table7[[#This Row],[No. of Valid External Testing Defects]]+Table7[[#This Row],[No. of Valid  Internal Testing Defects]]),"")</f>
        <v/>
      </c>
    </row>
    <row r="322" spans="2:41">
      <c r="B322" s="237"/>
      <c r="C322" s="14"/>
      <c r="D322" s="14"/>
      <c r="E322" s="14"/>
      <c r="F322" s="230" t="str">
        <f>IFERROR((Table47[[#This Row],[Initial No. of Requirements]]+Table47[[#This Row],[Modified Requirements( Added / Deleted /Modified)]])/Table47[[#This Row],[Initial No. of Requirements]],"")</f>
        <v/>
      </c>
      <c r="G32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2" s="249"/>
      <c r="J322" s="249"/>
      <c r="K322" s="250"/>
      <c r="L322" s="250"/>
      <c r="M322" s="250"/>
      <c r="N322" s="248">
        <f>SUMIFS(Table1[Size],Table1[Release Name],[2]!Table7[Release Name])</f>
        <v>0</v>
      </c>
      <c r="O322" s="248"/>
      <c r="P32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2" s="248"/>
      <c r="R32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2" s="248"/>
      <c r="T322" s="248"/>
      <c r="U322" s="248"/>
      <c r="V322" s="248"/>
      <c r="W322" s="248"/>
      <c r="X322" s="248"/>
      <c r="Y322" s="248"/>
      <c r="Z322" s="248"/>
      <c r="AA322" s="248"/>
      <c r="AB322" s="13">
        <f>SUMIFS(Table3[Hours Worked],Table3[Release Name],Table7[[#This Row],[Release Name]],Table3[Task Type],"Testcase Creation")</f>
        <v>0</v>
      </c>
      <c r="AC322" s="255">
        <f>SUMIFS(Table3[Hours Worked],Table3[Release Name],Table7[[#This Row],[Release Name]],Table3[Task Type],"Testcase Execution")</f>
        <v>0</v>
      </c>
      <c r="AD32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2" s="256" t="str">
        <f>IFERROR((Table7[[#This Row],[No. of Valid Internal Review Defects]]+Table7[[#This Row],[No. of Valid  Internal Testing Defects]]+Table7[[#This Row],[No. of  Valid External Review Defects]]+Table7[[#This Row],[No. of Valid External Testing Defects]])/Table7[[#This Row],[Size]],"")</f>
        <v/>
      </c>
      <c r="AF322" s="257" t="str">
        <f>IFERROR(Table7[[#This Row],[No. of Valid Internal Review Defects]]/(Table7[[#This Row],[No. of Valid Internal Review Defects]]+Table7[[#This Row],[No. of  Valid External Review Defects]]+Table7[[#This Row],[No. of Valid  Internal Testing Defects]]+Table7[[#This Row],[No. of Valid External Testing Defects]]),"")</f>
        <v/>
      </c>
      <c r="AG322" s="258" t="str">
        <f>IFERROR(Table7[[#This Row],[No. of Valid Internal Review Defects]]/(Table7[[#This Row],[No. of Valid Internal Review Defects]]+Table7[[#This Row],[No. of  Valid External Review Defects]]+Table7[[#This Row],[No. of Valid External Testing Defects]]),"")</f>
        <v/>
      </c>
      <c r="AH322" s="256" t="str">
        <f>IFERROR(Table7[[#This Row],[No. of Valid  Internal Testing Defects]]/Table7[[#This Row],[Overall Actual Effort for the release]],"")</f>
        <v/>
      </c>
      <c r="AI322" s="256" t="str">
        <f>IFERROR(Table7[[#This Row],[No. of Valid  Internal Testing Defects]]/Table7[[#This Row],[No. of Testcases Executed]],"")</f>
        <v/>
      </c>
      <c r="AJ322" s="259" t="str">
        <f>IFERROR(IFERROR(Table7[[#This Row],[No. of Testcases Created]]/Table7[[#This Row],[Effort for Testcase Creation]],"")*9,"")</f>
        <v/>
      </c>
      <c r="AK322" s="256" t="str">
        <f>IFERROR((Table7[[#This Row],[No. of Testcases Executed]]/Table7[[#This Row],[Effort for Testcase Execution]])*9,"")</f>
        <v/>
      </c>
      <c r="AL32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2" s="259" t="str">
        <f>IFERROR(Table7[[#This Row],[No. of Defects Validated]]/SUMIFS(Table3[Hours Worked],Table3[Release Name],Table7[[#This Row],[Release Name]],Table3[Task Type],"Defect Validation")*9,"")</f>
        <v/>
      </c>
      <c r="AN322" s="258" t="str">
        <f>IFERROR((Table7[[#This Row],[No. of Valid  Internal Testing Defects]])/(Table7[[#This Row],[No. of Valid  Internal Testing Defects]]+Table7[[#This Row],[No. of Invalid Internal Testing Defects]]),"")</f>
        <v/>
      </c>
      <c r="AO322" s="258" t="str">
        <f>IFERROR(Table7[[#This Row],[No. of Valid External Testing Defects]]/(Table7[[#This Row],[No. of Valid External Testing Defects]]+Table7[[#This Row],[No. of Valid  Internal Testing Defects]]),"")</f>
        <v/>
      </c>
    </row>
    <row r="323" spans="2:41">
      <c r="B323" s="237"/>
      <c r="C323" s="14"/>
      <c r="D323" s="14"/>
      <c r="E323" s="14"/>
      <c r="F323" s="230" t="str">
        <f>IFERROR((Table47[[#This Row],[Initial No. of Requirements]]+Table47[[#This Row],[Modified Requirements( Added / Deleted /Modified)]])/Table47[[#This Row],[Initial No. of Requirements]],"")</f>
        <v/>
      </c>
      <c r="G32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3" s="249"/>
      <c r="J323" s="249"/>
      <c r="K323" s="250"/>
      <c r="L323" s="250"/>
      <c r="M323" s="250"/>
      <c r="N323" s="248">
        <f>SUMIFS(Table1[Size],Table1[Release Name],[2]!Table7[Release Name])</f>
        <v>0</v>
      </c>
      <c r="O323" s="248"/>
      <c r="P32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3" s="248"/>
      <c r="R32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3" s="248"/>
      <c r="T323" s="248"/>
      <c r="U323" s="248"/>
      <c r="V323" s="248"/>
      <c r="W323" s="248"/>
      <c r="X323" s="248"/>
      <c r="Y323" s="248"/>
      <c r="Z323" s="248"/>
      <c r="AA323" s="248"/>
      <c r="AB323" s="13">
        <f>SUMIFS(Table3[Hours Worked],Table3[Release Name],Table7[[#This Row],[Release Name]],Table3[Task Type],"Testcase Creation")</f>
        <v>0</v>
      </c>
      <c r="AC323" s="255">
        <f>SUMIFS(Table3[Hours Worked],Table3[Release Name],Table7[[#This Row],[Release Name]],Table3[Task Type],"Testcase Execution")</f>
        <v>0</v>
      </c>
      <c r="AD32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3" s="256" t="str">
        <f>IFERROR((Table7[[#This Row],[No. of Valid Internal Review Defects]]+Table7[[#This Row],[No. of Valid  Internal Testing Defects]]+Table7[[#This Row],[No. of  Valid External Review Defects]]+Table7[[#This Row],[No. of Valid External Testing Defects]])/Table7[[#This Row],[Size]],"")</f>
        <v/>
      </c>
      <c r="AF323" s="257" t="str">
        <f>IFERROR(Table7[[#This Row],[No. of Valid Internal Review Defects]]/(Table7[[#This Row],[No. of Valid Internal Review Defects]]+Table7[[#This Row],[No. of  Valid External Review Defects]]+Table7[[#This Row],[No. of Valid  Internal Testing Defects]]+Table7[[#This Row],[No. of Valid External Testing Defects]]),"")</f>
        <v/>
      </c>
      <c r="AG323" s="258" t="str">
        <f>IFERROR(Table7[[#This Row],[No. of Valid Internal Review Defects]]/(Table7[[#This Row],[No. of Valid Internal Review Defects]]+Table7[[#This Row],[No. of  Valid External Review Defects]]+Table7[[#This Row],[No. of Valid External Testing Defects]]),"")</f>
        <v/>
      </c>
      <c r="AH323" s="256" t="str">
        <f>IFERROR(Table7[[#This Row],[No. of Valid  Internal Testing Defects]]/Table7[[#This Row],[Overall Actual Effort for the release]],"")</f>
        <v/>
      </c>
      <c r="AI323" s="256" t="str">
        <f>IFERROR(Table7[[#This Row],[No. of Valid  Internal Testing Defects]]/Table7[[#This Row],[No. of Testcases Executed]],"")</f>
        <v/>
      </c>
      <c r="AJ323" s="259" t="str">
        <f>IFERROR(IFERROR(Table7[[#This Row],[No. of Testcases Created]]/Table7[[#This Row],[Effort for Testcase Creation]],"")*9,"")</f>
        <v/>
      </c>
      <c r="AK323" s="256" t="str">
        <f>IFERROR((Table7[[#This Row],[No. of Testcases Executed]]/Table7[[#This Row],[Effort for Testcase Execution]])*9,"")</f>
        <v/>
      </c>
      <c r="AL32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3" s="259" t="str">
        <f>IFERROR(Table7[[#This Row],[No. of Defects Validated]]/SUMIFS(Table3[Hours Worked],Table3[Release Name],Table7[[#This Row],[Release Name]],Table3[Task Type],"Defect Validation")*9,"")</f>
        <v/>
      </c>
      <c r="AN323" s="258" t="str">
        <f>IFERROR((Table7[[#This Row],[No. of Valid  Internal Testing Defects]])/(Table7[[#This Row],[No. of Valid  Internal Testing Defects]]+Table7[[#This Row],[No. of Invalid Internal Testing Defects]]),"")</f>
        <v/>
      </c>
      <c r="AO323" s="258" t="str">
        <f>IFERROR(Table7[[#This Row],[No. of Valid External Testing Defects]]/(Table7[[#This Row],[No. of Valid External Testing Defects]]+Table7[[#This Row],[No. of Valid  Internal Testing Defects]]),"")</f>
        <v/>
      </c>
    </row>
    <row r="324" spans="2:41">
      <c r="B324" s="237"/>
      <c r="C324" s="14"/>
      <c r="D324" s="14"/>
      <c r="E324" s="14"/>
      <c r="F324" s="230" t="str">
        <f>IFERROR((Table47[[#This Row],[Initial No. of Requirements]]+Table47[[#This Row],[Modified Requirements( Added / Deleted /Modified)]])/Table47[[#This Row],[Initial No. of Requirements]],"")</f>
        <v/>
      </c>
      <c r="G32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4" s="249"/>
      <c r="J324" s="249"/>
      <c r="K324" s="250"/>
      <c r="L324" s="250"/>
      <c r="M324" s="250"/>
      <c r="N324" s="248">
        <f>SUMIFS(Table1[Size],Table1[Release Name],[2]!Table7[Release Name])</f>
        <v>0</v>
      </c>
      <c r="O324" s="248"/>
      <c r="P32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4" s="248"/>
      <c r="R32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4" s="248"/>
      <c r="T324" s="248"/>
      <c r="U324" s="248"/>
      <c r="V324" s="248"/>
      <c r="W324" s="248"/>
      <c r="X324" s="248"/>
      <c r="Y324" s="248"/>
      <c r="Z324" s="248"/>
      <c r="AA324" s="248"/>
      <c r="AB324" s="13">
        <f>SUMIFS(Table3[Hours Worked],Table3[Release Name],Table7[[#This Row],[Release Name]],Table3[Task Type],"Testcase Creation")</f>
        <v>0</v>
      </c>
      <c r="AC324" s="255">
        <f>SUMIFS(Table3[Hours Worked],Table3[Release Name],Table7[[#This Row],[Release Name]],Table3[Task Type],"Testcase Execution")</f>
        <v>0</v>
      </c>
      <c r="AD32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4" s="256" t="str">
        <f>IFERROR((Table7[[#This Row],[No. of Valid Internal Review Defects]]+Table7[[#This Row],[No. of Valid  Internal Testing Defects]]+Table7[[#This Row],[No. of  Valid External Review Defects]]+Table7[[#This Row],[No. of Valid External Testing Defects]])/Table7[[#This Row],[Size]],"")</f>
        <v/>
      </c>
      <c r="AF324" s="257" t="str">
        <f>IFERROR(Table7[[#This Row],[No. of Valid Internal Review Defects]]/(Table7[[#This Row],[No. of Valid Internal Review Defects]]+Table7[[#This Row],[No. of  Valid External Review Defects]]+Table7[[#This Row],[No. of Valid  Internal Testing Defects]]+Table7[[#This Row],[No. of Valid External Testing Defects]]),"")</f>
        <v/>
      </c>
      <c r="AG324" s="258" t="str">
        <f>IFERROR(Table7[[#This Row],[No. of Valid Internal Review Defects]]/(Table7[[#This Row],[No. of Valid Internal Review Defects]]+Table7[[#This Row],[No. of  Valid External Review Defects]]+Table7[[#This Row],[No. of Valid External Testing Defects]]),"")</f>
        <v/>
      </c>
      <c r="AH324" s="256" t="str">
        <f>IFERROR(Table7[[#This Row],[No. of Valid  Internal Testing Defects]]/Table7[[#This Row],[Overall Actual Effort for the release]],"")</f>
        <v/>
      </c>
      <c r="AI324" s="256" t="str">
        <f>IFERROR(Table7[[#This Row],[No. of Valid  Internal Testing Defects]]/Table7[[#This Row],[No. of Testcases Executed]],"")</f>
        <v/>
      </c>
      <c r="AJ324" s="259" t="str">
        <f>IFERROR(IFERROR(Table7[[#This Row],[No. of Testcases Created]]/Table7[[#This Row],[Effort for Testcase Creation]],"")*9,"")</f>
        <v/>
      </c>
      <c r="AK324" s="256" t="str">
        <f>IFERROR((Table7[[#This Row],[No. of Testcases Executed]]/Table7[[#This Row],[Effort for Testcase Execution]])*9,"")</f>
        <v/>
      </c>
      <c r="AL32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4" s="259" t="str">
        <f>IFERROR(Table7[[#This Row],[No. of Defects Validated]]/SUMIFS(Table3[Hours Worked],Table3[Release Name],Table7[[#This Row],[Release Name]],Table3[Task Type],"Defect Validation")*9,"")</f>
        <v/>
      </c>
      <c r="AN324" s="258" t="str">
        <f>IFERROR((Table7[[#This Row],[No. of Valid  Internal Testing Defects]])/(Table7[[#This Row],[No. of Valid  Internal Testing Defects]]+Table7[[#This Row],[No. of Invalid Internal Testing Defects]]),"")</f>
        <v/>
      </c>
      <c r="AO324" s="258" t="str">
        <f>IFERROR(Table7[[#This Row],[No. of Valid External Testing Defects]]/(Table7[[#This Row],[No. of Valid External Testing Defects]]+Table7[[#This Row],[No. of Valid  Internal Testing Defects]]),"")</f>
        <v/>
      </c>
    </row>
    <row r="325" spans="2:41">
      <c r="B325" s="237"/>
      <c r="C325" s="14"/>
      <c r="D325" s="14"/>
      <c r="E325" s="14"/>
      <c r="F325" s="230" t="str">
        <f>IFERROR((Table47[[#This Row],[Initial No. of Requirements]]+Table47[[#This Row],[Modified Requirements( Added / Deleted /Modified)]])/Table47[[#This Row],[Initial No. of Requirements]],"")</f>
        <v/>
      </c>
      <c r="G32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5" s="249"/>
      <c r="J325" s="249"/>
      <c r="K325" s="250"/>
      <c r="L325" s="250"/>
      <c r="M325" s="250"/>
      <c r="N325" s="248">
        <f>SUMIFS(Table1[Size],Table1[Release Name],[2]!Table7[Release Name])</f>
        <v>0</v>
      </c>
      <c r="O325" s="248"/>
      <c r="P32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5" s="248"/>
      <c r="R32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5" s="248"/>
      <c r="T325" s="248"/>
      <c r="U325" s="248"/>
      <c r="V325" s="248"/>
      <c r="W325" s="248"/>
      <c r="X325" s="248"/>
      <c r="Y325" s="248"/>
      <c r="Z325" s="248"/>
      <c r="AA325" s="248"/>
      <c r="AB325" s="13">
        <f>SUMIFS(Table3[Hours Worked],Table3[Release Name],Table7[[#This Row],[Release Name]],Table3[Task Type],"Testcase Creation")</f>
        <v>0</v>
      </c>
      <c r="AC325" s="255">
        <f>SUMIFS(Table3[Hours Worked],Table3[Release Name],Table7[[#This Row],[Release Name]],Table3[Task Type],"Testcase Execution")</f>
        <v>0</v>
      </c>
      <c r="AD32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5" s="256" t="str">
        <f>IFERROR((Table7[[#This Row],[No. of Valid Internal Review Defects]]+Table7[[#This Row],[No. of Valid  Internal Testing Defects]]+Table7[[#This Row],[No. of  Valid External Review Defects]]+Table7[[#This Row],[No. of Valid External Testing Defects]])/Table7[[#This Row],[Size]],"")</f>
        <v/>
      </c>
      <c r="AF325" s="257" t="str">
        <f>IFERROR(Table7[[#This Row],[No. of Valid Internal Review Defects]]/(Table7[[#This Row],[No. of Valid Internal Review Defects]]+Table7[[#This Row],[No. of  Valid External Review Defects]]+Table7[[#This Row],[No. of Valid  Internal Testing Defects]]+Table7[[#This Row],[No. of Valid External Testing Defects]]),"")</f>
        <v/>
      </c>
      <c r="AG325" s="258" t="str">
        <f>IFERROR(Table7[[#This Row],[No. of Valid Internal Review Defects]]/(Table7[[#This Row],[No. of Valid Internal Review Defects]]+Table7[[#This Row],[No. of  Valid External Review Defects]]+Table7[[#This Row],[No. of Valid External Testing Defects]]),"")</f>
        <v/>
      </c>
      <c r="AH325" s="256" t="str">
        <f>IFERROR(Table7[[#This Row],[No. of Valid  Internal Testing Defects]]/Table7[[#This Row],[Overall Actual Effort for the release]],"")</f>
        <v/>
      </c>
      <c r="AI325" s="256" t="str">
        <f>IFERROR(Table7[[#This Row],[No. of Valid  Internal Testing Defects]]/Table7[[#This Row],[No. of Testcases Executed]],"")</f>
        <v/>
      </c>
      <c r="AJ325" s="259" t="str">
        <f>IFERROR(IFERROR(Table7[[#This Row],[No. of Testcases Created]]/Table7[[#This Row],[Effort for Testcase Creation]],"")*9,"")</f>
        <v/>
      </c>
      <c r="AK325" s="256" t="str">
        <f>IFERROR((Table7[[#This Row],[No. of Testcases Executed]]/Table7[[#This Row],[Effort for Testcase Execution]])*9,"")</f>
        <v/>
      </c>
      <c r="AL32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5" s="259" t="str">
        <f>IFERROR(Table7[[#This Row],[No. of Defects Validated]]/SUMIFS(Table3[Hours Worked],Table3[Release Name],Table7[[#This Row],[Release Name]],Table3[Task Type],"Defect Validation")*9,"")</f>
        <v/>
      </c>
      <c r="AN325" s="258" t="str">
        <f>IFERROR((Table7[[#This Row],[No. of Valid  Internal Testing Defects]])/(Table7[[#This Row],[No. of Valid  Internal Testing Defects]]+Table7[[#This Row],[No. of Invalid Internal Testing Defects]]),"")</f>
        <v/>
      </c>
      <c r="AO325" s="258" t="str">
        <f>IFERROR(Table7[[#This Row],[No. of Valid External Testing Defects]]/(Table7[[#This Row],[No. of Valid External Testing Defects]]+Table7[[#This Row],[No. of Valid  Internal Testing Defects]]),"")</f>
        <v/>
      </c>
    </row>
    <row r="326" spans="2:41">
      <c r="B326" s="237"/>
      <c r="C326" s="14"/>
      <c r="D326" s="14"/>
      <c r="E326" s="14"/>
      <c r="F326" s="230" t="str">
        <f>IFERROR((Table47[[#This Row],[Initial No. of Requirements]]+Table47[[#This Row],[Modified Requirements( Added / Deleted /Modified)]])/Table47[[#This Row],[Initial No. of Requirements]],"")</f>
        <v/>
      </c>
      <c r="G32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6" s="249"/>
      <c r="J326" s="249"/>
      <c r="K326" s="250"/>
      <c r="L326" s="250"/>
      <c r="M326" s="250"/>
      <c r="N326" s="248">
        <f>SUMIFS(Table1[Size],Table1[Release Name],[2]!Table7[Release Name])</f>
        <v>0</v>
      </c>
      <c r="O326" s="248"/>
      <c r="P32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6" s="248"/>
      <c r="R32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6" s="248"/>
      <c r="T326" s="248"/>
      <c r="U326" s="248"/>
      <c r="V326" s="248"/>
      <c r="W326" s="248"/>
      <c r="X326" s="248"/>
      <c r="Y326" s="248"/>
      <c r="Z326" s="248"/>
      <c r="AA326" s="248"/>
      <c r="AB326" s="13">
        <f>SUMIFS(Table3[Hours Worked],Table3[Release Name],Table7[[#This Row],[Release Name]],Table3[Task Type],"Testcase Creation")</f>
        <v>0</v>
      </c>
      <c r="AC326" s="255">
        <f>SUMIFS(Table3[Hours Worked],Table3[Release Name],Table7[[#This Row],[Release Name]],Table3[Task Type],"Testcase Execution")</f>
        <v>0</v>
      </c>
      <c r="AD32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6" s="256" t="str">
        <f>IFERROR((Table7[[#This Row],[No. of Valid Internal Review Defects]]+Table7[[#This Row],[No. of Valid  Internal Testing Defects]]+Table7[[#This Row],[No. of  Valid External Review Defects]]+Table7[[#This Row],[No. of Valid External Testing Defects]])/Table7[[#This Row],[Size]],"")</f>
        <v/>
      </c>
      <c r="AF326" s="257" t="str">
        <f>IFERROR(Table7[[#This Row],[No. of Valid Internal Review Defects]]/(Table7[[#This Row],[No. of Valid Internal Review Defects]]+Table7[[#This Row],[No. of  Valid External Review Defects]]+Table7[[#This Row],[No. of Valid  Internal Testing Defects]]+Table7[[#This Row],[No. of Valid External Testing Defects]]),"")</f>
        <v/>
      </c>
      <c r="AG326" s="258" t="str">
        <f>IFERROR(Table7[[#This Row],[No. of Valid Internal Review Defects]]/(Table7[[#This Row],[No. of Valid Internal Review Defects]]+Table7[[#This Row],[No. of  Valid External Review Defects]]+Table7[[#This Row],[No. of Valid External Testing Defects]]),"")</f>
        <v/>
      </c>
      <c r="AH326" s="256" t="str">
        <f>IFERROR(Table7[[#This Row],[No. of Valid  Internal Testing Defects]]/Table7[[#This Row],[Overall Actual Effort for the release]],"")</f>
        <v/>
      </c>
      <c r="AI326" s="256" t="str">
        <f>IFERROR(Table7[[#This Row],[No. of Valid  Internal Testing Defects]]/Table7[[#This Row],[No. of Testcases Executed]],"")</f>
        <v/>
      </c>
      <c r="AJ326" s="259" t="str">
        <f>IFERROR(IFERROR(Table7[[#This Row],[No. of Testcases Created]]/Table7[[#This Row],[Effort for Testcase Creation]],"")*9,"")</f>
        <v/>
      </c>
      <c r="AK326" s="256" t="str">
        <f>IFERROR((Table7[[#This Row],[No. of Testcases Executed]]/Table7[[#This Row],[Effort for Testcase Execution]])*9,"")</f>
        <v/>
      </c>
      <c r="AL32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6" s="259" t="str">
        <f>IFERROR(Table7[[#This Row],[No. of Defects Validated]]/SUMIFS(Table3[Hours Worked],Table3[Release Name],Table7[[#This Row],[Release Name]],Table3[Task Type],"Defect Validation")*9,"")</f>
        <v/>
      </c>
      <c r="AN326" s="258" t="str">
        <f>IFERROR((Table7[[#This Row],[No. of Valid  Internal Testing Defects]])/(Table7[[#This Row],[No. of Valid  Internal Testing Defects]]+Table7[[#This Row],[No. of Invalid Internal Testing Defects]]),"")</f>
        <v/>
      </c>
      <c r="AO326" s="258" t="str">
        <f>IFERROR(Table7[[#This Row],[No. of Valid External Testing Defects]]/(Table7[[#This Row],[No. of Valid External Testing Defects]]+Table7[[#This Row],[No. of Valid  Internal Testing Defects]]),"")</f>
        <v/>
      </c>
    </row>
    <row r="327" spans="2:41">
      <c r="B327" s="237"/>
      <c r="C327" s="14"/>
      <c r="D327" s="14"/>
      <c r="E327" s="14"/>
      <c r="F327" s="230" t="str">
        <f>IFERROR((Table47[[#This Row],[Initial No. of Requirements]]+Table47[[#This Row],[Modified Requirements( Added / Deleted /Modified)]])/Table47[[#This Row],[Initial No. of Requirements]],"")</f>
        <v/>
      </c>
      <c r="G32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7" s="249"/>
      <c r="J327" s="249"/>
      <c r="K327" s="250"/>
      <c r="L327" s="250"/>
      <c r="M327" s="250"/>
      <c r="N327" s="248">
        <f>SUMIFS(Table1[Size],Table1[Release Name],[2]!Table7[Release Name])</f>
        <v>0</v>
      </c>
      <c r="O327" s="248"/>
      <c r="P32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7" s="248"/>
      <c r="R32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7" s="248"/>
      <c r="T327" s="248"/>
      <c r="U327" s="248"/>
      <c r="V327" s="248"/>
      <c r="W327" s="248"/>
      <c r="X327" s="248"/>
      <c r="Y327" s="248"/>
      <c r="Z327" s="248"/>
      <c r="AA327" s="248"/>
      <c r="AB327" s="13">
        <f>SUMIFS(Table3[Hours Worked],Table3[Release Name],Table7[[#This Row],[Release Name]],Table3[Task Type],"Testcase Creation")</f>
        <v>0</v>
      </c>
      <c r="AC327" s="255">
        <f>SUMIFS(Table3[Hours Worked],Table3[Release Name],Table7[[#This Row],[Release Name]],Table3[Task Type],"Testcase Execution")</f>
        <v>0</v>
      </c>
      <c r="AD32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7" s="256" t="str">
        <f>IFERROR((Table7[[#This Row],[No. of Valid Internal Review Defects]]+Table7[[#This Row],[No. of Valid  Internal Testing Defects]]+Table7[[#This Row],[No. of  Valid External Review Defects]]+Table7[[#This Row],[No. of Valid External Testing Defects]])/Table7[[#This Row],[Size]],"")</f>
        <v/>
      </c>
      <c r="AF327" s="257" t="str">
        <f>IFERROR(Table7[[#This Row],[No. of Valid Internal Review Defects]]/(Table7[[#This Row],[No. of Valid Internal Review Defects]]+Table7[[#This Row],[No. of  Valid External Review Defects]]+Table7[[#This Row],[No. of Valid  Internal Testing Defects]]+Table7[[#This Row],[No. of Valid External Testing Defects]]),"")</f>
        <v/>
      </c>
      <c r="AG327" s="258" t="str">
        <f>IFERROR(Table7[[#This Row],[No. of Valid Internal Review Defects]]/(Table7[[#This Row],[No. of Valid Internal Review Defects]]+Table7[[#This Row],[No. of  Valid External Review Defects]]+Table7[[#This Row],[No. of Valid External Testing Defects]]),"")</f>
        <v/>
      </c>
      <c r="AH327" s="256" t="str">
        <f>IFERROR(Table7[[#This Row],[No. of Valid  Internal Testing Defects]]/Table7[[#This Row],[Overall Actual Effort for the release]],"")</f>
        <v/>
      </c>
      <c r="AI327" s="256" t="str">
        <f>IFERROR(Table7[[#This Row],[No. of Valid  Internal Testing Defects]]/Table7[[#This Row],[No. of Testcases Executed]],"")</f>
        <v/>
      </c>
      <c r="AJ327" s="259" t="str">
        <f>IFERROR(IFERROR(Table7[[#This Row],[No. of Testcases Created]]/Table7[[#This Row],[Effort for Testcase Creation]],"")*9,"")</f>
        <v/>
      </c>
      <c r="AK327" s="256" t="str">
        <f>IFERROR((Table7[[#This Row],[No. of Testcases Executed]]/Table7[[#This Row],[Effort for Testcase Execution]])*9,"")</f>
        <v/>
      </c>
      <c r="AL32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7" s="259" t="str">
        <f>IFERROR(Table7[[#This Row],[No. of Defects Validated]]/SUMIFS(Table3[Hours Worked],Table3[Release Name],Table7[[#This Row],[Release Name]],Table3[Task Type],"Defect Validation")*9,"")</f>
        <v/>
      </c>
      <c r="AN327" s="258" t="str">
        <f>IFERROR((Table7[[#This Row],[No. of Valid  Internal Testing Defects]])/(Table7[[#This Row],[No. of Valid  Internal Testing Defects]]+Table7[[#This Row],[No. of Invalid Internal Testing Defects]]),"")</f>
        <v/>
      </c>
      <c r="AO327" s="258" t="str">
        <f>IFERROR(Table7[[#This Row],[No. of Valid External Testing Defects]]/(Table7[[#This Row],[No. of Valid External Testing Defects]]+Table7[[#This Row],[No. of Valid  Internal Testing Defects]]),"")</f>
        <v/>
      </c>
    </row>
    <row r="328" spans="2:41">
      <c r="B328" s="237"/>
      <c r="C328" s="14"/>
      <c r="D328" s="14"/>
      <c r="E328" s="14"/>
      <c r="F328" s="230" t="str">
        <f>IFERROR((Table47[[#This Row],[Initial No. of Requirements]]+Table47[[#This Row],[Modified Requirements( Added / Deleted /Modified)]])/Table47[[#This Row],[Initial No. of Requirements]],"")</f>
        <v/>
      </c>
      <c r="G32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8" s="249"/>
      <c r="J328" s="249"/>
      <c r="K328" s="250"/>
      <c r="L328" s="250"/>
      <c r="M328" s="250"/>
      <c r="N328" s="248">
        <f>SUMIFS(Table1[Size],Table1[Release Name],[2]!Table7[Release Name])</f>
        <v>0</v>
      </c>
      <c r="O328" s="248"/>
      <c r="P32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8" s="248"/>
      <c r="R32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8" s="248"/>
      <c r="T328" s="248"/>
      <c r="U328" s="248"/>
      <c r="V328" s="248"/>
      <c r="W328" s="248"/>
      <c r="X328" s="248"/>
      <c r="Y328" s="248"/>
      <c r="Z328" s="248"/>
      <c r="AA328" s="248"/>
      <c r="AB328" s="13">
        <f>SUMIFS(Table3[Hours Worked],Table3[Release Name],Table7[[#This Row],[Release Name]],Table3[Task Type],"Testcase Creation")</f>
        <v>0</v>
      </c>
      <c r="AC328" s="255">
        <f>SUMIFS(Table3[Hours Worked],Table3[Release Name],Table7[[#This Row],[Release Name]],Table3[Task Type],"Testcase Execution")</f>
        <v>0</v>
      </c>
      <c r="AD32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8" s="256" t="str">
        <f>IFERROR((Table7[[#This Row],[No. of Valid Internal Review Defects]]+Table7[[#This Row],[No. of Valid  Internal Testing Defects]]+Table7[[#This Row],[No. of  Valid External Review Defects]]+Table7[[#This Row],[No. of Valid External Testing Defects]])/Table7[[#This Row],[Size]],"")</f>
        <v/>
      </c>
      <c r="AF328" s="257" t="str">
        <f>IFERROR(Table7[[#This Row],[No. of Valid Internal Review Defects]]/(Table7[[#This Row],[No. of Valid Internal Review Defects]]+Table7[[#This Row],[No. of  Valid External Review Defects]]+Table7[[#This Row],[No. of Valid  Internal Testing Defects]]+Table7[[#This Row],[No. of Valid External Testing Defects]]),"")</f>
        <v/>
      </c>
      <c r="AG328" s="258" t="str">
        <f>IFERROR(Table7[[#This Row],[No. of Valid Internal Review Defects]]/(Table7[[#This Row],[No. of Valid Internal Review Defects]]+Table7[[#This Row],[No. of  Valid External Review Defects]]+Table7[[#This Row],[No. of Valid External Testing Defects]]),"")</f>
        <v/>
      </c>
      <c r="AH328" s="256" t="str">
        <f>IFERROR(Table7[[#This Row],[No. of Valid  Internal Testing Defects]]/Table7[[#This Row],[Overall Actual Effort for the release]],"")</f>
        <v/>
      </c>
      <c r="AI328" s="256" t="str">
        <f>IFERROR(Table7[[#This Row],[No. of Valid  Internal Testing Defects]]/Table7[[#This Row],[No. of Testcases Executed]],"")</f>
        <v/>
      </c>
      <c r="AJ328" s="259" t="str">
        <f>IFERROR(IFERROR(Table7[[#This Row],[No. of Testcases Created]]/Table7[[#This Row],[Effort for Testcase Creation]],"")*9,"")</f>
        <v/>
      </c>
      <c r="AK328" s="256" t="str">
        <f>IFERROR((Table7[[#This Row],[No. of Testcases Executed]]/Table7[[#This Row],[Effort for Testcase Execution]])*9,"")</f>
        <v/>
      </c>
      <c r="AL32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8" s="259" t="str">
        <f>IFERROR(Table7[[#This Row],[No. of Defects Validated]]/SUMIFS(Table3[Hours Worked],Table3[Release Name],Table7[[#This Row],[Release Name]],Table3[Task Type],"Defect Validation")*9,"")</f>
        <v/>
      </c>
      <c r="AN328" s="258" t="str">
        <f>IFERROR((Table7[[#This Row],[No. of Valid  Internal Testing Defects]])/(Table7[[#This Row],[No. of Valid  Internal Testing Defects]]+Table7[[#This Row],[No. of Invalid Internal Testing Defects]]),"")</f>
        <v/>
      </c>
      <c r="AO328" s="258" t="str">
        <f>IFERROR(Table7[[#This Row],[No. of Valid External Testing Defects]]/(Table7[[#This Row],[No. of Valid External Testing Defects]]+Table7[[#This Row],[No. of Valid  Internal Testing Defects]]),"")</f>
        <v/>
      </c>
    </row>
    <row r="329" spans="2:41">
      <c r="B329" s="237"/>
      <c r="C329" s="14"/>
      <c r="D329" s="14"/>
      <c r="E329" s="14"/>
      <c r="F329" s="230" t="str">
        <f>IFERROR((Table47[[#This Row],[Initial No. of Requirements]]+Table47[[#This Row],[Modified Requirements( Added / Deleted /Modified)]])/Table47[[#This Row],[Initial No. of Requirements]],"")</f>
        <v/>
      </c>
      <c r="G32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29" s="249"/>
      <c r="J329" s="249"/>
      <c r="K329" s="250"/>
      <c r="L329" s="250"/>
      <c r="M329" s="250"/>
      <c r="N329" s="248">
        <f>SUMIFS(Table1[Size],Table1[Release Name],[2]!Table7[Release Name])</f>
        <v>0</v>
      </c>
      <c r="O329" s="248"/>
      <c r="P32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29" s="248"/>
      <c r="R32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29" s="248"/>
      <c r="T329" s="248"/>
      <c r="U329" s="248"/>
      <c r="V329" s="248"/>
      <c r="W329" s="248"/>
      <c r="X329" s="248"/>
      <c r="Y329" s="248"/>
      <c r="Z329" s="248"/>
      <c r="AA329" s="248"/>
      <c r="AB329" s="13">
        <f>SUMIFS(Table3[Hours Worked],Table3[Release Name],Table7[[#This Row],[Release Name]],Table3[Task Type],"Testcase Creation")</f>
        <v>0</v>
      </c>
      <c r="AC329" s="255">
        <f>SUMIFS(Table3[Hours Worked],Table3[Release Name],Table7[[#This Row],[Release Name]],Table3[Task Type],"Testcase Execution")</f>
        <v>0</v>
      </c>
      <c r="AD32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29" s="256" t="str">
        <f>IFERROR((Table7[[#This Row],[No. of Valid Internal Review Defects]]+Table7[[#This Row],[No. of Valid  Internal Testing Defects]]+Table7[[#This Row],[No. of  Valid External Review Defects]]+Table7[[#This Row],[No. of Valid External Testing Defects]])/Table7[[#This Row],[Size]],"")</f>
        <v/>
      </c>
      <c r="AF329" s="257" t="str">
        <f>IFERROR(Table7[[#This Row],[No. of Valid Internal Review Defects]]/(Table7[[#This Row],[No. of Valid Internal Review Defects]]+Table7[[#This Row],[No. of  Valid External Review Defects]]+Table7[[#This Row],[No. of Valid  Internal Testing Defects]]+Table7[[#This Row],[No. of Valid External Testing Defects]]),"")</f>
        <v/>
      </c>
      <c r="AG329" s="258" t="str">
        <f>IFERROR(Table7[[#This Row],[No. of Valid Internal Review Defects]]/(Table7[[#This Row],[No. of Valid Internal Review Defects]]+Table7[[#This Row],[No. of  Valid External Review Defects]]+Table7[[#This Row],[No. of Valid External Testing Defects]]),"")</f>
        <v/>
      </c>
      <c r="AH329" s="256" t="str">
        <f>IFERROR(Table7[[#This Row],[No. of Valid  Internal Testing Defects]]/Table7[[#This Row],[Overall Actual Effort for the release]],"")</f>
        <v/>
      </c>
      <c r="AI329" s="256" t="str">
        <f>IFERROR(Table7[[#This Row],[No. of Valid  Internal Testing Defects]]/Table7[[#This Row],[No. of Testcases Executed]],"")</f>
        <v/>
      </c>
      <c r="AJ329" s="259" t="str">
        <f>IFERROR(IFERROR(Table7[[#This Row],[No. of Testcases Created]]/Table7[[#This Row],[Effort for Testcase Creation]],"")*9,"")</f>
        <v/>
      </c>
      <c r="AK329" s="256" t="str">
        <f>IFERROR((Table7[[#This Row],[No. of Testcases Executed]]/Table7[[#This Row],[Effort for Testcase Execution]])*9,"")</f>
        <v/>
      </c>
      <c r="AL32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29" s="259" t="str">
        <f>IFERROR(Table7[[#This Row],[No. of Defects Validated]]/SUMIFS(Table3[Hours Worked],Table3[Release Name],Table7[[#This Row],[Release Name]],Table3[Task Type],"Defect Validation")*9,"")</f>
        <v/>
      </c>
      <c r="AN329" s="258" t="str">
        <f>IFERROR((Table7[[#This Row],[No. of Valid  Internal Testing Defects]])/(Table7[[#This Row],[No. of Valid  Internal Testing Defects]]+Table7[[#This Row],[No. of Invalid Internal Testing Defects]]),"")</f>
        <v/>
      </c>
      <c r="AO329" s="258" t="str">
        <f>IFERROR(Table7[[#This Row],[No. of Valid External Testing Defects]]/(Table7[[#This Row],[No. of Valid External Testing Defects]]+Table7[[#This Row],[No. of Valid  Internal Testing Defects]]),"")</f>
        <v/>
      </c>
    </row>
    <row r="330" spans="2:41">
      <c r="B330" s="237"/>
      <c r="C330" s="14"/>
      <c r="D330" s="14"/>
      <c r="E330" s="14"/>
      <c r="F330" s="230" t="str">
        <f>IFERROR((Table47[[#This Row],[Initial No. of Requirements]]+Table47[[#This Row],[Modified Requirements( Added / Deleted /Modified)]])/Table47[[#This Row],[Initial No. of Requirements]],"")</f>
        <v/>
      </c>
      <c r="G33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0" s="249"/>
      <c r="J330" s="249"/>
      <c r="K330" s="250"/>
      <c r="L330" s="250"/>
      <c r="M330" s="250"/>
      <c r="N330" s="248">
        <f>SUMIFS(Table1[Size],Table1[Release Name],[2]!Table7[Release Name])</f>
        <v>0</v>
      </c>
      <c r="O330" s="248"/>
      <c r="P33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0" s="248"/>
      <c r="R33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0" s="248"/>
      <c r="T330" s="248"/>
      <c r="U330" s="248"/>
      <c r="V330" s="248"/>
      <c r="W330" s="248"/>
      <c r="X330" s="248"/>
      <c r="Y330" s="248"/>
      <c r="Z330" s="248"/>
      <c r="AA330" s="248"/>
      <c r="AB330" s="13">
        <f>SUMIFS(Table3[Hours Worked],Table3[Release Name],Table7[[#This Row],[Release Name]],Table3[Task Type],"Testcase Creation")</f>
        <v>0</v>
      </c>
      <c r="AC330" s="255">
        <f>SUMIFS(Table3[Hours Worked],Table3[Release Name],Table7[[#This Row],[Release Name]],Table3[Task Type],"Testcase Execution")</f>
        <v>0</v>
      </c>
      <c r="AD33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0" s="256" t="str">
        <f>IFERROR((Table7[[#This Row],[No. of Valid Internal Review Defects]]+Table7[[#This Row],[No. of Valid  Internal Testing Defects]]+Table7[[#This Row],[No. of  Valid External Review Defects]]+Table7[[#This Row],[No. of Valid External Testing Defects]])/Table7[[#This Row],[Size]],"")</f>
        <v/>
      </c>
      <c r="AF330" s="257" t="str">
        <f>IFERROR(Table7[[#This Row],[No. of Valid Internal Review Defects]]/(Table7[[#This Row],[No. of Valid Internal Review Defects]]+Table7[[#This Row],[No. of  Valid External Review Defects]]+Table7[[#This Row],[No. of Valid  Internal Testing Defects]]+Table7[[#This Row],[No. of Valid External Testing Defects]]),"")</f>
        <v/>
      </c>
      <c r="AG330" s="258" t="str">
        <f>IFERROR(Table7[[#This Row],[No. of Valid Internal Review Defects]]/(Table7[[#This Row],[No. of Valid Internal Review Defects]]+Table7[[#This Row],[No. of  Valid External Review Defects]]+Table7[[#This Row],[No. of Valid External Testing Defects]]),"")</f>
        <v/>
      </c>
      <c r="AH330" s="256" t="str">
        <f>IFERROR(Table7[[#This Row],[No. of Valid  Internal Testing Defects]]/Table7[[#This Row],[Overall Actual Effort for the release]],"")</f>
        <v/>
      </c>
      <c r="AI330" s="256" t="str">
        <f>IFERROR(Table7[[#This Row],[No. of Valid  Internal Testing Defects]]/Table7[[#This Row],[No. of Testcases Executed]],"")</f>
        <v/>
      </c>
      <c r="AJ330" s="259" t="str">
        <f>IFERROR(IFERROR(Table7[[#This Row],[No. of Testcases Created]]/Table7[[#This Row],[Effort for Testcase Creation]],"")*9,"")</f>
        <v/>
      </c>
      <c r="AK330" s="256" t="str">
        <f>IFERROR((Table7[[#This Row],[No. of Testcases Executed]]/Table7[[#This Row],[Effort for Testcase Execution]])*9,"")</f>
        <v/>
      </c>
      <c r="AL33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0" s="259" t="str">
        <f>IFERROR(Table7[[#This Row],[No. of Defects Validated]]/SUMIFS(Table3[Hours Worked],Table3[Release Name],Table7[[#This Row],[Release Name]],Table3[Task Type],"Defect Validation")*9,"")</f>
        <v/>
      </c>
      <c r="AN330" s="258" t="str">
        <f>IFERROR((Table7[[#This Row],[No. of Valid  Internal Testing Defects]])/(Table7[[#This Row],[No. of Valid  Internal Testing Defects]]+Table7[[#This Row],[No. of Invalid Internal Testing Defects]]),"")</f>
        <v/>
      </c>
      <c r="AO330" s="258" t="str">
        <f>IFERROR(Table7[[#This Row],[No. of Valid External Testing Defects]]/(Table7[[#This Row],[No. of Valid External Testing Defects]]+Table7[[#This Row],[No. of Valid  Internal Testing Defects]]),"")</f>
        <v/>
      </c>
    </row>
    <row r="331" spans="2:41">
      <c r="B331" s="237"/>
      <c r="C331" s="14"/>
      <c r="D331" s="14"/>
      <c r="E331" s="14"/>
      <c r="F331" s="230" t="str">
        <f>IFERROR((Table47[[#This Row],[Initial No. of Requirements]]+Table47[[#This Row],[Modified Requirements( Added / Deleted /Modified)]])/Table47[[#This Row],[Initial No. of Requirements]],"")</f>
        <v/>
      </c>
      <c r="G33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1" s="249"/>
      <c r="J331" s="249"/>
      <c r="K331" s="250"/>
      <c r="L331" s="250"/>
      <c r="M331" s="250"/>
      <c r="N331" s="248">
        <f>SUMIFS(Table1[Size],Table1[Release Name],[2]!Table7[Release Name])</f>
        <v>0</v>
      </c>
      <c r="O331" s="248"/>
      <c r="P33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1" s="248"/>
      <c r="R33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1" s="248"/>
      <c r="T331" s="248"/>
      <c r="U331" s="248"/>
      <c r="V331" s="248"/>
      <c r="W331" s="248"/>
      <c r="X331" s="248"/>
      <c r="Y331" s="248"/>
      <c r="Z331" s="248"/>
      <c r="AA331" s="248"/>
      <c r="AB331" s="13">
        <f>SUMIFS(Table3[Hours Worked],Table3[Release Name],Table7[[#This Row],[Release Name]],Table3[Task Type],"Testcase Creation")</f>
        <v>0</v>
      </c>
      <c r="AC331" s="255">
        <f>SUMIFS(Table3[Hours Worked],Table3[Release Name],Table7[[#This Row],[Release Name]],Table3[Task Type],"Testcase Execution")</f>
        <v>0</v>
      </c>
      <c r="AD33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1" s="256" t="str">
        <f>IFERROR((Table7[[#This Row],[No. of Valid Internal Review Defects]]+Table7[[#This Row],[No. of Valid  Internal Testing Defects]]+Table7[[#This Row],[No. of  Valid External Review Defects]]+Table7[[#This Row],[No. of Valid External Testing Defects]])/Table7[[#This Row],[Size]],"")</f>
        <v/>
      </c>
      <c r="AF331" s="257" t="str">
        <f>IFERROR(Table7[[#This Row],[No. of Valid Internal Review Defects]]/(Table7[[#This Row],[No. of Valid Internal Review Defects]]+Table7[[#This Row],[No. of  Valid External Review Defects]]+Table7[[#This Row],[No. of Valid  Internal Testing Defects]]+Table7[[#This Row],[No. of Valid External Testing Defects]]),"")</f>
        <v/>
      </c>
      <c r="AG331" s="258" t="str">
        <f>IFERROR(Table7[[#This Row],[No. of Valid Internal Review Defects]]/(Table7[[#This Row],[No. of Valid Internal Review Defects]]+Table7[[#This Row],[No. of  Valid External Review Defects]]+Table7[[#This Row],[No. of Valid External Testing Defects]]),"")</f>
        <v/>
      </c>
      <c r="AH331" s="256" t="str">
        <f>IFERROR(Table7[[#This Row],[No. of Valid  Internal Testing Defects]]/Table7[[#This Row],[Overall Actual Effort for the release]],"")</f>
        <v/>
      </c>
      <c r="AI331" s="256" t="str">
        <f>IFERROR(Table7[[#This Row],[No. of Valid  Internal Testing Defects]]/Table7[[#This Row],[No. of Testcases Executed]],"")</f>
        <v/>
      </c>
      <c r="AJ331" s="259" t="str">
        <f>IFERROR(IFERROR(Table7[[#This Row],[No. of Testcases Created]]/Table7[[#This Row],[Effort for Testcase Creation]],"")*9,"")</f>
        <v/>
      </c>
      <c r="AK331" s="256" t="str">
        <f>IFERROR((Table7[[#This Row],[No. of Testcases Executed]]/Table7[[#This Row],[Effort for Testcase Execution]])*9,"")</f>
        <v/>
      </c>
      <c r="AL33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1" s="259" t="str">
        <f>IFERROR(Table7[[#This Row],[No. of Defects Validated]]/SUMIFS(Table3[Hours Worked],Table3[Release Name],Table7[[#This Row],[Release Name]],Table3[Task Type],"Defect Validation")*9,"")</f>
        <v/>
      </c>
      <c r="AN331" s="258" t="str">
        <f>IFERROR((Table7[[#This Row],[No. of Valid  Internal Testing Defects]])/(Table7[[#This Row],[No. of Valid  Internal Testing Defects]]+Table7[[#This Row],[No. of Invalid Internal Testing Defects]]),"")</f>
        <v/>
      </c>
      <c r="AO331" s="258" t="str">
        <f>IFERROR(Table7[[#This Row],[No. of Valid External Testing Defects]]/(Table7[[#This Row],[No. of Valid External Testing Defects]]+Table7[[#This Row],[No. of Valid  Internal Testing Defects]]),"")</f>
        <v/>
      </c>
    </row>
    <row r="332" spans="2:41">
      <c r="B332" s="237"/>
      <c r="C332" s="14"/>
      <c r="D332" s="14"/>
      <c r="E332" s="14"/>
      <c r="F332" s="230" t="str">
        <f>IFERROR((Table47[[#This Row],[Initial No. of Requirements]]+Table47[[#This Row],[Modified Requirements( Added / Deleted /Modified)]])/Table47[[#This Row],[Initial No. of Requirements]],"")</f>
        <v/>
      </c>
      <c r="G33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2" s="249"/>
      <c r="J332" s="249"/>
      <c r="K332" s="250"/>
      <c r="L332" s="250"/>
      <c r="M332" s="250"/>
      <c r="N332" s="248">
        <f>SUMIFS(Table1[Size],Table1[Release Name],[2]!Table7[Release Name])</f>
        <v>0</v>
      </c>
      <c r="O332" s="248"/>
      <c r="P33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2" s="248"/>
      <c r="R33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2" s="248"/>
      <c r="T332" s="248"/>
      <c r="U332" s="248"/>
      <c r="V332" s="248"/>
      <c r="W332" s="248"/>
      <c r="X332" s="248"/>
      <c r="Y332" s="248"/>
      <c r="Z332" s="248"/>
      <c r="AA332" s="248"/>
      <c r="AB332" s="13">
        <f>SUMIFS(Table3[Hours Worked],Table3[Release Name],Table7[[#This Row],[Release Name]],Table3[Task Type],"Testcase Creation")</f>
        <v>0</v>
      </c>
      <c r="AC332" s="255">
        <f>SUMIFS(Table3[Hours Worked],Table3[Release Name],Table7[[#This Row],[Release Name]],Table3[Task Type],"Testcase Execution")</f>
        <v>0</v>
      </c>
      <c r="AD33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2" s="256" t="str">
        <f>IFERROR((Table7[[#This Row],[No. of Valid Internal Review Defects]]+Table7[[#This Row],[No. of Valid  Internal Testing Defects]]+Table7[[#This Row],[No. of  Valid External Review Defects]]+Table7[[#This Row],[No. of Valid External Testing Defects]])/Table7[[#This Row],[Size]],"")</f>
        <v/>
      </c>
      <c r="AF332" s="257" t="str">
        <f>IFERROR(Table7[[#This Row],[No. of Valid Internal Review Defects]]/(Table7[[#This Row],[No. of Valid Internal Review Defects]]+Table7[[#This Row],[No. of  Valid External Review Defects]]+Table7[[#This Row],[No. of Valid  Internal Testing Defects]]+Table7[[#This Row],[No. of Valid External Testing Defects]]),"")</f>
        <v/>
      </c>
      <c r="AG332" s="258" t="str">
        <f>IFERROR(Table7[[#This Row],[No. of Valid Internal Review Defects]]/(Table7[[#This Row],[No. of Valid Internal Review Defects]]+Table7[[#This Row],[No. of  Valid External Review Defects]]+Table7[[#This Row],[No. of Valid External Testing Defects]]),"")</f>
        <v/>
      </c>
      <c r="AH332" s="256" t="str">
        <f>IFERROR(Table7[[#This Row],[No. of Valid  Internal Testing Defects]]/Table7[[#This Row],[Overall Actual Effort for the release]],"")</f>
        <v/>
      </c>
      <c r="AI332" s="256" t="str">
        <f>IFERROR(Table7[[#This Row],[No. of Valid  Internal Testing Defects]]/Table7[[#This Row],[No. of Testcases Executed]],"")</f>
        <v/>
      </c>
      <c r="AJ332" s="259" t="str">
        <f>IFERROR(IFERROR(Table7[[#This Row],[No. of Testcases Created]]/Table7[[#This Row],[Effort for Testcase Creation]],"")*9,"")</f>
        <v/>
      </c>
      <c r="AK332" s="256" t="str">
        <f>IFERROR((Table7[[#This Row],[No. of Testcases Executed]]/Table7[[#This Row],[Effort for Testcase Execution]])*9,"")</f>
        <v/>
      </c>
      <c r="AL33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2" s="259" t="str">
        <f>IFERROR(Table7[[#This Row],[No. of Defects Validated]]/SUMIFS(Table3[Hours Worked],Table3[Release Name],Table7[[#This Row],[Release Name]],Table3[Task Type],"Defect Validation")*9,"")</f>
        <v/>
      </c>
      <c r="AN332" s="258" t="str">
        <f>IFERROR((Table7[[#This Row],[No. of Valid  Internal Testing Defects]])/(Table7[[#This Row],[No. of Valid  Internal Testing Defects]]+Table7[[#This Row],[No. of Invalid Internal Testing Defects]]),"")</f>
        <v/>
      </c>
      <c r="AO332" s="258" t="str">
        <f>IFERROR(Table7[[#This Row],[No. of Valid External Testing Defects]]/(Table7[[#This Row],[No. of Valid External Testing Defects]]+Table7[[#This Row],[No. of Valid  Internal Testing Defects]]),"")</f>
        <v/>
      </c>
    </row>
    <row r="333" spans="2:41">
      <c r="B333" s="237"/>
      <c r="C333" s="14"/>
      <c r="D333" s="14"/>
      <c r="E333" s="14"/>
      <c r="F333" s="230" t="str">
        <f>IFERROR((Table47[[#This Row],[Initial No. of Requirements]]+Table47[[#This Row],[Modified Requirements( Added / Deleted /Modified)]])/Table47[[#This Row],[Initial No. of Requirements]],"")</f>
        <v/>
      </c>
      <c r="G33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3" s="249"/>
      <c r="J333" s="249"/>
      <c r="K333" s="250"/>
      <c r="L333" s="250"/>
      <c r="M333" s="250"/>
      <c r="N333" s="248">
        <f>SUMIFS(Table1[Size],Table1[Release Name],[2]!Table7[Release Name])</f>
        <v>0</v>
      </c>
      <c r="O333" s="248"/>
      <c r="P33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3" s="248"/>
      <c r="R33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3" s="248"/>
      <c r="T333" s="248"/>
      <c r="U333" s="248"/>
      <c r="V333" s="248"/>
      <c r="W333" s="248"/>
      <c r="X333" s="248"/>
      <c r="Y333" s="248"/>
      <c r="Z333" s="248"/>
      <c r="AA333" s="248"/>
      <c r="AB333" s="13">
        <f>SUMIFS(Table3[Hours Worked],Table3[Release Name],Table7[[#This Row],[Release Name]],Table3[Task Type],"Testcase Creation")</f>
        <v>0</v>
      </c>
      <c r="AC333" s="255">
        <f>SUMIFS(Table3[Hours Worked],Table3[Release Name],Table7[[#This Row],[Release Name]],Table3[Task Type],"Testcase Execution")</f>
        <v>0</v>
      </c>
      <c r="AD33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3" s="256" t="str">
        <f>IFERROR((Table7[[#This Row],[No. of Valid Internal Review Defects]]+Table7[[#This Row],[No. of Valid  Internal Testing Defects]]+Table7[[#This Row],[No. of  Valid External Review Defects]]+Table7[[#This Row],[No. of Valid External Testing Defects]])/Table7[[#This Row],[Size]],"")</f>
        <v/>
      </c>
      <c r="AF333" s="257" t="str">
        <f>IFERROR(Table7[[#This Row],[No. of Valid Internal Review Defects]]/(Table7[[#This Row],[No. of Valid Internal Review Defects]]+Table7[[#This Row],[No. of  Valid External Review Defects]]+Table7[[#This Row],[No. of Valid  Internal Testing Defects]]+Table7[[#This Row],[No. of Valid External Testing Defects]]),"")</f>
        <v/>
      </c>
      <c r="AG333" s="258" t="str">
        <f>IFERROR(Table7[[#This Row],[No. of Valid Internal Review Defects]]/(Table7[[#This Row],[No. of Valid Internal Review Defects]]+Table7[[#This Row],[No. of  Valid External Review Defects]]+Table7[[#This Row],[No. of Valid External Testing Defects]]),"")</f>
        <v/>
      </c>
      <c r="AH333" s="256" t="str">
        <f>IFERROR(Table7[[#This Row],[No. of Valid  Internal Testing Defects]]/Table7[[#This Row],[Overall Actual Effort for the release]],"")</f>
        <v/>
      </c>
      <c r="AI333" s="256" t="str">
        <f>IFERROR(Table7[[#This Row],[No. of Valid  Internal Testing Defects]]/Table7[[#This Row],[No. of Testcases Executed]],"")</f>
        <v/>
      </c>
      <c r="AJ333" s="259" t="str">
        <f>IFERROR(IFERROR(Table7[[#This Row],[No. of Testcases Created]]/Table7[[#This Row],[Effort for Testcase Creation]],"")*9,"")</f>
        <v/>
      </c>
      <c r="AK333" s="256" t="str">
        <f>IFERROR((Table7[[#This Row],[No. of Testcases Executed]]/Table7[[#This Row],[Effort for Testcase Execution]])*9,"")</f>
        <v/>
      </c>
      <c r="AL33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3" s="259" t="str">
        <f>IFERROR(Table7[[#This Row],[No. of Defects Validated]]/SUMIFS(Table3[Hours Worked],Table3[Release Name],Table7[[#This Row],[Release Name]],Table3[Task Type],"Defect Validation")*9,"")</f>
        <v/>
      </c>
      <c r="AN333" s="258" t="str">
        <f>IFERROR((Table7[[#This Row],[No. of Valid  Internal Testing Defects]])/(Table7[[#This Row],[No. of Valid  Internal Testing Defects]]+Table7[[#This Row],[No. of Invalid Internal Testing Defects]]),"")</f>
        <v/>
      </c>
      <c r="AO333" s="258" t="str">
        <f>IFERROR(Table7[[#This Row],[No. of Valid External Testing Defects]]/(Table7[[#This Row],[No. of Valid External Testing Defects]]+Table7[[#This Row],[No. of Valid  Internal Testing Defects]]),"")</f>
        <v/>
      </c>
    </row>
    <row r="334" spans="2:41">
      <c r="B334" s="237"/>
      <c r="C334" s="14"/>
      <c r="D334" s="14"/>
      <c r="E334" s="14"/>
      <c r="F334" s="230" t="str">
        <f>IFERROR((Table47[[#This Row],[Initial No. of Requirements]]+Table47[[#This Row],[Modified Requirements( Added / Deleted /Modified)]])/Table47[[#This Row],[Initial No. of Requirements]],"")</f>
        <v/>
      </c>
      <c r="G33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4" s="249"/>
      <c r="J334" s="249"/>
      <c r="K334" s="250"/>
      <c r="L334" s="250"/>
      <c r="M334" s="250"/>
      <c r="N334" s="248">
        <f>SUMIFS(Table1[Size],Table1[Release Name],[2]!Table7[Release Name])</f>
        <v>0</v>
      </c>
      <c r="O334" s="248"/>
      <c r="P33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4" s="248"/>
      <c r="R33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4" s="248"/>
      <c r="T334" s="248"/>
      <c r="U334" s="248"/>
      <c r="V334" s="248"/>
      <c r="W334" s="248"/>
      <c r="X334" s="248"/>
      <c r="Y334" s="248"/>
      <c r="Z334" s="248"/>
      <c r="AA334" s="248"/>
      <c r="AB334" s="13">
        <f>SUMIFS(Table3[Hours Worked],Table3[Release Name],Table7[[#This Row],[Release Name]],Table3[Task Type],"Testcase Creation")</f>
        <v>0</v>
      </c>
      <c r="AC334" s="255">
        <f>SUMIFS(Table3[Hours Worked],Table3[Release Name],Table7[[#This Row],[Release Name]],Table3[Task Type],"Testcase Execution")</f>
        <v>0</v>
      </c>
      <c r="AD33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4" s="256" t="str">
        <f>IFERROR((Table7[[#This Row],[No. of Valid Internal Review Defects]]+Table7[[#This Row],[No. of Valid  Internal Testing Defects]]+Table7[[#This Row],[No. of  Valid External Review Defects]]+Table7[[#This Row],[No. of Valid External Testing Defects]])/Table7[[#This Row],[Size]],"")</f>
        <v/>
      </c>
      <c r="AF334" s="257" t="str">
        <f>IFERROR(Table7[[#This Row],[No. of Valid Internal Review Defects]]/(Table7[[#This Row],[No. of Valid Internal Review Defects]]+Table7[[#This Row],[No. of  Valid External Review Defects]]+Table7[[#This Row],[No. of Valid  Internal Testing Defects]]+Table7[[#This Row],[No. of Valid External Testing Defects]]),"")</f>
        <v/>
      </c>
      <c r="AG334" s="258" t="str">
        <f>IFERROR(Table7[[#This Row],[No. of Valid Internal Review Defects]]/(Table7[[#This Row],[No. of Valid Internal Review Defects]]+Table7[[#This Row],[No. of  Valid External Review Defects]]+Table7[[#This Row],[No. of Valid External Testing Defects]]),"")</f>
        <v/>
      </c>
      <c r="AH334" s="256" t="str">
        <f>IFERROR(Table7[[#This Row],[No. of Valid  Internal Testing Defects]]/Table7[[#This Row],[Overall Actual Effort for the release]],"")</f>
        <v/>
      </c>
      <c r="AI334" s="256" t="str">
        <f>IFERROR(Table7[[#This Row],[No. of Valid  Internal Testing Defects]]/Table7[[#This Row],[No. of Testcases Executed]],"")</f>
        <v/>
      </c>
      <c r="AJ334" s="259" t="str">
        <f>IFERROR(IFERROR(Table7[[#This Row],[No. of Testcases Created]]/Table7[[#This Row],[Effort for Testcase Creation]],"")*9,"")</f>
        <v/>
      </c>
      <c r="AK334" s="256" t="str">
        <f>IFERROR((Table7[[#This Row],[No. of Testcases Executed]]/Table7[[#This Row],[Effort for Testcase Execution]])*9,"")</f>
        <v/>
      </c>
      <c r="AL33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4" s="259" t="str">
        <f>IFERROR(Table7[[#This Row],[No. of Defects Validated]]/SUMIFS(Table3[Hours Worked],Table3[Release Name],Table7[[#This Row],[Release Name]],Table3[Task Type],"Defect Validation")*9,"")</f>
        <v/>
      </c>
      <c r="AN334" s="258" t="str">
        <f>IFERROR((Table7[[#This Row],[No. of Valid  Internal Testing Defects]])/(Table7[[#This Row],[No. of Valid  Internal Testing Defects]]+Table7[[#This Row],[No. of Invalid Internal Testing Defects]]),"")</f>
        <v/>
      </c>
      <c r="AO334" s="258" t="str">
        <f>IFERROR(Table7[[#This Row],[No. of Valid External Testing Defects]]/(Table7[[#This Row],[No. of Valid External Testing Defects]]+Table7[[#This Row],[No. of Valid  Internal Testing Defects]]),"")</f>
        <v/>
      </c>
    </row>
    <row r="335" spans="2:41">
      <c r="B335" s="237"/>
      <c r="C335" s="14"/>
      <c r="D335" s="14"/>
      <c r="E335" s="14"/>
      <c r="F335" s="230" t="str">
        <f>IFERROR((Table47[[#This Row],[Initial No. of Requirements]]+Table47[[#This Row],[Modified Requirements( Added / Deleted /Modified)]])/Table47[[#This Row],[Initial No. of Requirements]],"")</f>
        <v/>
      </c>
      <c r="G33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5" s="249"/>
      <c r="J335" s="249"/>
      <c r="K335" s="250"/>
      <c r="L335" s="250"/>
      <c r="M335" s="250"/>
      <c r="N335" s="248">
        <f>SUMIFS(Table1[Size],Table1[Release Name],[2]!Table7[Release Name])</f>
        <v>0</v>
      </c>
      <c r="O335" s="248"/>
      <c r="P33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5" s="248"/>
      <c r="R33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5" s="248"/>
      <c r="T335" s="248"/>
      <c r="U335" s="248"/>
      <c r="V335" s="248"/>
      <c r="W335" s="248"/>
      <c r="X335" s="248"/>
      <c r="Y335" s="248"/>
      <c r="Z335" s="248"/>
      <c r="AA335" s="248"/>
      <c r="AB335" s="13">
        <f>SUMIFS(Table3[Hours Worked],Table3[Release Name],Table7[[#This Row],[Release Name]],Table3[Task Type],"Testcase Creation")</f>
        <v>0</v>
      </c>
      <c r="AC335" s="255">
        <f>SUMIFS(Table3[Hours Worked],Table3[Release Name],Table7[[#This Row],[Release Name]],Table3[Task Type],"Testcase Execution")</f>
        <v>0</v>
      </c>
      <c r="AD33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5" s="256" t="str">
        <f>IFERROR((Table7[[#This Row],[No. of Valid Internal Review Defects]]+Table7[[#This Row],[No. of Valid  Internal Testing Defects]]+Table7[[#This Row],[No. of  Valid External Review Defects]]+Table7[[#This Row],[No. of Valid External Testing Defects]])/Table7[[#This Row],[Size]],"")</f>
        <v/>
      </c>
      <c r="AF335" s="257" t="str">
        <f>IFERROR(Table7[[#This Row],[No. of Valid Internal Review Defects]]/(Table7[[#This Row],[No. of Valid Internal Review Defects]]+Table7[[#This Row],[No. of  Valid External Review Defects]]+Table7[[#This Row],[No. of Valid  Internal Testing Defects]]+Table7[[#This Row],[No. of Valid External Testing Defects]]),"")</f>
        <v/>
      </c>
      <c r="AG335" s="258" t="str">
        <f>IFERROR(Table7[[#This Row],[No. of Valid Internal Review Defects]]/(Table7[[#This Row],[No. of Valid Internal Review Defects]]+Table7[[#This Row],[No. of  Valid External Review Defects]]+Table7[[#This Row],[No. of Valid External Testing Defects]]),"")</f>
        <v/>
      </c>
      <c r="AH335" s="256" t="str">
        <f>IFERROR(Table7[[#This Row],[No. of Valid  Internal Testing Defects]]/Table7[[#This Row],[Overall Actual Effort for the release]],"")</f>
        <v/>
      </c>
      <c r="AI335" s="256" t="str">
        <f>IFERROR(Table7[[#This Row],[No. of Valid  Internal Testing Defects]]/Table7[[#This Row],[No. of Testcases Executed]],"")</f>
        <v/>
      </c>
      <c r="AJ335" s="259" t="str">
        <f>IFERROR(IFERROR(Table7[[#This Row],[No. of Testcases Created]]/Table7[[#This Row],[Effort for Testcase Creation]],"")*9,"")</f>
        <v/>
      </c>
      <c r="AK335" s="256" t="str">
        <f>IFERROR((Table7[[#This Row],[No. of Testcases Executed]]/Table7[[#This Row],[Effort for Testcase Execution]])*9,"")</f>
        <v/>
      </c>
      <c r="AL33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5" s="259" t="str">
        <f>IFERROR(Table7[[#This Row],[No. of Defects Validated]]/SUMIFS(Table3[Hours Worked],Table3[Release Name],Table7[[#This Row],[Release Name]],Table3[Task Type],"Defect Validation")*9,"")</f>
        <v/>
      </c>
      <c r="AN335" s="258" t="str">
        <f>IFERROR((Table7[[#This Row],[No. of Valid  Internal Testing Defects]])/(Table7[[#This Row],[No. of Valid  Internal Testing Defects]]+Table7[[#This Row],[No. of Invalid Internal Testing Defects]]),"")</f>
        <v/>
      </c>
      <c r="AO335" s="258" t="str">
        <f>IFERROR(Table7[[#This Row],[No. of Valid External Testing Defects]]/(Table7[[#This Row],[No. of Valid External Testing Defects]]+Table7[[#This Row],[No. of Valid  Internal Testing Defects]]),"")</f>
        <v/>
      </c>
    </row>
    <row r="336" spans="2:41">
      <c r="B336" s="237"/>
      <c r="C336" s="14"/>
      <c r="D336" s="14"/>
      <c r="E336" s="14"/>
      <c r="F336" s="230" t="str">
        <f>IFERROR((Table47[[#This Row],[Initial No. of Requirements]]+Table47[[#This Row],[Modified Requirements( Added / Deleted /Modified)]])/Table47[[#This Row],[Initial No. of Requirements]],"")</f>
        <v/>
      </c>
      <c r="G33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6" s="249"/>
      <c r="J336" s="249"/>
      <c r="K336" s="250"/>
      <c r="L336" s="250"/>
      <c r="M336" s="250"/>
      <c r="N336" s="248">
        <f>SUMIFS(Table1[Size],Table1[Release Name],[2]!Table7[Release Name])</f>
        <v>0</v>
      </c>
      <c r="O336" s="248"/>
      <c r="P33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6" s="248"/>
      <c r="R33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6" s="248"/>
      <c r="T336" s="248"/>
      <c r="U336" s="248"/>
      <c r="V336" s="248"/>
      <c r="W336" s="248"/>
      <c r="X336" s="248"/>
      <c r="Y336" s="248"/>
      <c r="Z336" s="248"/>
      <c r="AA336" s="248"/>
      <c r="AB336" s="13">
        <f>SUMIFS(Table3[Hours Worked],Table3[Release Name],Table7[[#This Row],[Release Name]],Table3[Task Type],"Testcase Creation")</f>
        <v>0</v>
      </c>
      <c r="AC336" s="255">
        <f>SUMIFS(Table3[Hours Worked],Table3[Release Name],Table7[[#This Row],[Release Name]],Table3[Task Type],"Testcase Execution")</f>
        <v>0</v>
      </c>
      <c r="AD33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6" s="256" t="str">
        <f>IFERROR((Table7[[#This Row],[No. of Valid Internal Review Defects]]+Table7[[#This Row],[No. of Valid  Internal Testing Defects]]+Table7[[#This Row],[No. of  Valid External Review Defects]]+Table7[[#This Row],[No. of Valid External Testing Defects]])/Table7[[#This Row],[Size]],"")</f>
        <v/>
      </c>
      <c r="AF336" s="257" t="str">
        <f>IFERROR(Table7[[#This Row],[No. of Valid Internal Review Defects]]/(Table7[[#This Row],[No. of Valid Internal Review Defects]]+Table7[[#This Row],[No. of  Valid External Review Defects]]+Table7[[#This Row],[No. of Valid  Internal Testing Defects]]+Table7[[#This Row],[No. of Valid External Testing Defects]]),"")</f>
        <v/>
      </c>
      <c r="AG336" s="258" t="str">
        <f>IFERROR(Table7[[#This Row],[No. of Valid Internal Review Defects]]/(Table7[[#This Row],[No. of Valid Internal Review Defects]]+Table7[[#This Row],[No. of  Valid External Review Defects]]+Table7[[#This Row],[No. of Valid External Testing Defects]]),"")</f>
        <v/>
      </c>
      <c r="AH336" s="256" t="str">
        <f>IFERROR(Table7[[#This Row],[No. of Valid  Internal Testing Defects]]/Table7[[#This Row],[Overall Actual Effort for the release]],"")</f>
        <v/>
      </c>
      <c r="AI336" s="256" t="str">
        <f>IFERROR(Table7[[#This Row],[No. of Valid  Internal Testing Defects]]/Table7[[#This Row],[No. of Testcases Executed]],"")</f>
        <v/>
      </c>
      <c r="AJ336" s="259" t="str">
        <f>IFERROR(IFERROR(Table7[[#This Row],[No. of Testcases Created]]/Table7[[#This Row],[Effort for Testcase Creation]],"")*9,"")</f>
        <v/>
      </c>
      <c r="AK336" s="256" t="str">
        <f>IFERROR((Table7[[#This Row],[No. of Testcases Executed]]/Table7[[#This Row],[Effort for Testcase Execution]])*9,"")</f>
        <v/>
      </c>
      <c r="AL33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6" s="259" t="str">
        <f>IFERROR(Table7[[#This Row],[No. of Defects Validated]]/SUMIFS(Table3[Hours Worked],Table3[Release Name],Table7[[#This Row],[Release Name]],Table3[Task Type],"Defect Validation")*9,"")</f>
        <v/>
      </c>
      <c r="AN336" s="258" t="str">
        <f>IFERROR((Table7[[#This Row],[No. of Valid  Internal Testing Defects]])/(Table7[[#This Row],[No. of Valid  Internal Testing Defects]]+Table7[[#This Row],[No. of Invalid Internal Testing Defects]]),"")</f>
        <v/>
      </c>
      <c r="AO336" s="258" t="str">
        <f>IFERROR(Table7[[#This Row],[No. of Valid External Testing Defects]]/(Table7[[#This Row],[No. of Valid External Testing Defects]]+Table7[[#This Row],[No. of Valid  Internal Testing Defects]]),"")</f>
        <v/>
      </c>
    </row>
    <row r="337" spans="2:41">
      <c r="B337" s="237"/>
      <c r="C337" s="14"/>
      <c r="D337" s="14"/>
      <c r="E337" s="14"/>
      <c r="F337" s="230" t="str">
        <f>IFERROR((Table47[[#This Row],[Initial No. of Requirements]]+Table47[[#This Row],[Modified Requirements( Added / Deleted /Modified)]])/Table47[[#This Row],[Initial No. of Requirements]],"")</f>
        <v/>
      </c>
      <c r="G33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7" s="249"/>
      <c r="J337" s="249"/>
      <c r="K337" s="250"/>
      <c r="L337" s="250"/>
      <c r="M337" s="250"/>
      <c r="N337" s="248">
        <f>SUMIFS(Table1[Size],Table1[Release Name],[2]!Table7[Release Name])</f>
        <v>0</v>
      </c>
      <c r="O337" s="248"/>
      <c r="P33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7" s="248"/>
      <c r="R33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7" s="248"/>
      <c r="T337" s="248"/>
      <c r="U337" s="248"/>
      <c r="V337" s="248"/>
      <c r="W337" s="248"/>
      <c r="X337" s="248"/>
      <c r="Y337" s="248"/>
      <c r="Z337" s="248"/>
      <c r="AA337" s="248"/>
      <c r="AB337" s="13">
        <f>SUMIFS(Table3[Hours Worked],Table3[Release Name],Table7[[#This Row],[Release Name]],Table3[Task Type],"Testcase Creation")</f>
        <v>0</v>
      </c>
      <c r="AC337" s="255">
        <f>SUMIFS(Table3[Hours Worked],Table3[Release Name],Table7[[#This Row],[Release Name]],Table3[Task Type],"Testcase Execution")</f>
        <v>0</v>
      </c>
      <c r="AD33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7" s="256" t="str">
        <f>IFERROR((Table7[[#This Row],[No. of Valid Internal Review Defects]]+Table7[[#This Row],[No. of Valid  Internal Testing Defects]]+Table7[[#This Row],[No. of  Valid External Review Defects]]+Table7[[#This Row],[No. of Valid External Testing Defects]])/Table7[[#This Row],[Size]],"")</f>
        <v/>
      </c>
      <c r="AF337" s="257" t="str">
        <f>IFERROR(Table7[[#This Row],[No. of Valid Internal Review Defects]]/(Table7[[#This Row],[No. of Valid Internal Review Defects]]+Table7[[#This Row],[No. of  Valid External Review Defects]]+Table7[[#This Row],[No. of Valid  Internal Testing Defects]]+Table7[[#This Row],[No. of Valid External Testing Defects]]),"")</f>
        <v/>
      </c>
      <c r="AG337" s="258" t="str">
        <f>IFERROR(Table7[[#This Row],[No. of Valid Internal Review Defects]]/(Table7[[#This Row],[No. of Valid Internal Review Defects]]+Table7[[#This Row],[No. of  Valid External Review Defects]]+Table7[[#This Row],[No. of Valid External Testing Defects]]),"")</f>
        <v/>
      </c>
      <c r="AH337" s="256" t="str">
        <f>IFERROR(Table7[[#This Row],[No. of Valid  Internal Testing Defects]]/Table7[[#This Row],[Overall Actual Effort for the release]],"")</f>
        <v/>
      </c>
      <c r="AI337" s="256" t="str">
        <f>IFERROR(Table7[[#This Row],[No. of Valid  Internal Testing Defects]]/Table7[[#This Row],[No. of Testcases Executed]],"")</f>
        <v/>
      </c>
      <c r="AJ337" s="259" t="str">
        <f>IFERROR(IFERROR(Table7[[#This Row],[No. of Testcases Created]]/Table7[[#This Row],[Effort for Testcase Creation]],"")*9,"")</f>
        <v/>
      </c>
      <c r="AK337" s="256" t="str">
        <f>IFERROR((Table7[[#This Row],[No. of Testcases Executed]]/Table7[[#This Row],[Effort for Testcase Execution]])*9,"")</f>
        <v/>
      </c>
      <c r="AL33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7" s="259" t="str">
        <f>IFERROR(Table7[[#This Row],[No. of Defects Validated]]/SUMIFS(Table3[Hours Worked],Table3[Release Name],Table7[[#This Row],[Release Name]],Table3[Task Type],"Defect Validation")*9,"")</f>
        <v/>
      </c>
      <c r="AN337" s="258" t="str">
        <f>IFERROR((Table7[[#This Row],[No. of Valid  Internal Testing Defects]])/(Table7[[#This Row],[No. of Valid  Internal Testing Defects]]+Table7[[#This Row],[No. of Invalid Internal Testing Defects]]),"")</f>
        <v/>
      </c>
      <c r="AO337" s="258" t="str">
        <f>IFERROR(Table7[[#This Row],[No. of Valid External Testing Defects]]/(Table7[[#This Row],[No. of Valid External Testing Defects]]+Table7[[#This Row],[No. of Valid  Internal Testing Defects]]),"")</f>
        <v/>
      </c>
    </row>
    <row r="338" spans="2:41">
      <c r="B338" s="237"/>
      <c r="C338" s="14"/>
      <c r="D338" s="14"/>
      <c r="E338" s="14"/>
      <c r="F338" s="230" t="str">
        <f>IFERROR((Table47[[#This Row],[Initial No. of Requirements]]+Table47[[#This Row],[Modified Requirements( Added / Deleted /Modified)]])/Table47[[#This Row],[Initial No. of Requirements]],"")</f>
        <v/>
      </c>
      <c r="G33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8" s="249"/>
      <c r="J338" s="249"/>
      <c r="K338" s="250"/>
      <c r="L338" s="250"/>
      <c r="M338" s="250"/>
      <c r="N338" s="248">
        <f>SUMIFS(Table1[Size],Table1[Release Name],[2]!Table7[Release Name])</f>
        <v>0</v>
      </c>
      <c r="O338" s="248"/>
      <c r="P33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8" s="248"/>
      <c r="R33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8" s="248"/>
      <c r="T338" s="248"/>
      <c r="U338" s="248"/>
      <c r="V338" s="248"/>
      <c r="W338" s="248"/>
      <c r="X338" s="248"/>
      <c r="Y338" s="248"/>
      <c r="Z338" s="248"/>
      <c r="AA338" s="248"/>
      <c r="AB338" s="13">
        <f>SUMIFS(Table3[Hours Worked],Table3[Release Name],Table7[[#This Row],[Release Name]],Table3[Task Type],"Testcase Creation")</f>
        <v>0</v>
      </c>
      <c r="AC338" s="255">
        <f>SUMIFS(Table3[Hours Worked],Table3[Release Name],Table7[[#This Row],[Release Name]],Table3[Task Type],"Testcase Execution")</f>
        <v>0</v>
      </c>
      <c r="AD33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8" s="256" t="str">
        <f>IFERROR((Table7[[#This Row],[No. of Valid Internal Review Defects]]+Table7[[#This Row],[No. of Valid  Internal Testing Defects]]+Table7[[#This Row],[No. of  Valid External Review Defects]]+Table7[[#This Row],[No. of Valid External Testing Defects]])/Table7[[#This Row],[Size]],"")</f>
        <v/>
      </c>
      <c r="AF338" s="257" t="str">
        <f>IFERROR(Table7[[#This Row],[No. of Valid Internal Review Defects]]/(Table7[[#This Row],[No. of Valid Internal Review Defects]]+Table7[[#This Row],[No. of  Valid External Review Defects]]+Table7[[#This Row],[No. of Valid  Internal Testing Defects]]+Table7[[#This Row],[No. of Valid External Testing Defects]]),"")</f>
        <v/>
      </c>
      <c r="AG338" s="258" t="str">
        <f>IFERROR(Table7[[#This Row],[No. of Valid Internal Review Defects]]/(Table7[[#This Row],[No. of Valid Internal Review Defects]]+Table7[[#This Row],[No. of  Valid External Review Defects]]+Table7[[#This Row],[No. of Valid External Testing Defects]]),"")</f>
        <v/>
      </c>
      <c r="AH338" s="256" t="str">
        <f>IFERROR(Table7[[#This Row],[No. of Valid  Internal Testing Defects]]/Table7[[#This Row],[Overall Actual Effort for the release]],"")</f>
        <v/>
      </c>
      <c r="AI338" s="256" t="str">
        <f>IFERROR(Table7[[#This Row],[No. of Valid  Internal Testing Defects]]/Table7[[#This Row],[No. of Testcases Executed]],"")</f>
        <v/>
      </c>
      <c r="AJ338" s="259" t="str">
        <f>IFERROR(IFERROR(Table7[[#This Row],[No. of Testcases Created]]/Table7[[#This Row],[Effort for Testcase Creation]],"")*9,"")</f>
        <v/>
      </c>
      <c r="AK338" s="256" t="str">
        <f>IFERROR((Table7[[#This Row],[No. of Testcases Executed]]/Table7[[#This Row],[Effort for Testcase Execution]])*9,"")</f>
        <v/>
      </c>
      <c r="AL33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8" s="259" t="str">
        <f>IFERROR(Table7[[#This Row],[No. of Defects Validated]]/SUMIFS(Table3[Hours Worked],Table3[Release Name],Table7[[#This Row],[Release Name]],Table3[Task Type],"Defect Validation")*9,"")</f>
        <v/>
      </c>
      <c r="AN338" s="258" t="str">
        <f>IFERROR((Table7[[#This Row],[No. of Valid  Internal Testing Defects]])/(Table7[[#This Row],[No. of Valid  Internal Testing Defects]]+Table7[[#This Row],[No. of Invalid Internal Testing Defects]]),"")</f>
        <v/>
      </c>
      <c r="AO338" s="258" t="str">
        <f>IFERROR(Table7[[#This Row],[No. of Valid External Testing Defects]]/(Table7[[#This Row],[No. of Valid External Testing Defects]]+Table7[[#This Row],[No. of Valid  Internal Testing Defects]]),"")</f>
        <v/>
      </c>
    </row>
    <row r="339" spans="2:41">
      <c r="B339" s="237"/>
      <c r="C339" s="14"/>
      <c r="D339" s="14"/>
      <c r="E339" s="14"/>
      <c r="F339" s="230" t="str">
        <f>IFERROR((Table47[[#This Row],[Initial No. of Requirements]]+Table47[[#This Row],[Modified Requirements( Added / Deleted /Modified)]])/Table47[[#This Row],[Initial No. of Requirements]],"")</f>
        <v/>
      </c>
      <c r="G33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39" s="249"/>
      <c r="J339" s="249"/>
      <c r="K339" s="250"/>
      <c r="L339" s="250"/>
      <c r="M339" s="250"/>
      <c r="N339" s="248">
        <f>SUMIFS(Table1[Size],Table1[Release Name],[2]!Table7[Release Name])</f>
        <v>0</v>
      </c>
      <c r="O339" s="248"/>
      <c r="P33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39" s="248"/>
      <c r="R33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39" s="248"/>
      <c r="T339" s="248"/>
      <c r="U339" s="248"/>
      <c r="V339" s="248"/>
      <c r="W339" s="248"/>
      <c r="X339" s="248"/>
      <c r="Y339" s="248"/>
      <c r="Z339" s="248"/>
      <c r="AA339" s="248"/>
      <c r="AB339" s="13">
        <f>SUMIFS(Table3[Hours Worked],Table3[Release Name],Table7[[#This Row],[Release Name]],Table3[Task Type],"Testcase Creation")</f>
        <v>0</v>
      </c>
      <c r="AC339" s="255">
        <f>SUMIFS(Table3[Hours Worked],Table3[Release Name],Table7[[#This Row],[Release Name]],Table3[Task Type],"Testcase Execution")</f>
        <v>0</v>
      </c>
      <c r="AD33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39" s="256" t="str">
        <f>IFERROR((Table7[[#This Row],[No. of Valid Internal Review Defects]]+Table7[[#This Row],[No. of Valid  Internal Testing Defects]]+Table7[[#This Row],[No. of  Valid External Review Defects]]+Table7[[#This Row],[No. of Valid External Testing Defects]])/Table7[[#This Row],[Size]],"")</f>
        <v/>
      </c>
      <c r="AF339" s="257" t="str">
        <f>IFERROR(Table7[[#This Row],[No. of Valid Internal Review Defects]]/(Table7[[#This Row],[No. of Valid Internal Review Defects]]+Table7[[#This Row],[No. of  Valid External Review Defects]]+Table7[[#This Row],[No. of Valid  Internal Testing Defects]]+Table7[[#This Row],[No. of Valid External Testing Defects]]),"")</f>
        <v/>
      </c>
      <c r="AG339" s="258" t="str">
        <f>IFERROR(Table7[[#This Row],[No. of Valid Internal Review Defects]]/(Table7[[#This Row],[No. of Valid Internal Review Defects]]+Table7[[#This Row],[No. of  Valid External Review Defects]]+Table7[[#This Row],[No. of Valid External Testing Defects]]),"")</f>
        <v/>
      </c>
      <c r="AH339" s="256" t="str">
        <f>IFERROR(Table7[[#This Row],[No. of Valid  Internal Testing Defects]]/Table7[[#This Row],[Overall Actual Effort for the release]],"")</f>
        <v/>
      </c>
      <c r="AI339" s="256" t="str">
        <f>IFERROR(Table7[[#This Row],[No. of Valid  Internal Testing Defects]]/Table7[[#This Row],[No. of Testcases Executed]],"")</f>
        <v/>
      </c>
      <c r="AJ339" s="259" t="str">
        <f>IFERROR(IFERROR(Table7[[#This Row],[No. of Testcases Created]]/Table7[[#This Row],[Effort for Testcase Creation]],"")*9,"")</f>
        <v/>
      </c>
      <c r="AK339" s="256" t="str">
        <f>IFERROR((Table7[[#This Row],[No. of Testcases Executed]]/Table7[[#This Row],[Effort for Testcase Execution]])*9,"")</f>
        <v/>
      </c>
      <c r="AL33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39" s="259" t="str">
        <f>IFERROR(Table7[[#This Row],[No. of Defects Validated]]/SUMIFS(Table3[Hours Worked],Table3[Release Name],Table7[[#This Row],[Release Name]],Table3[Task Type],"Defect Validation")*9,"")</f>
        <v/>
      </c>
      <c r="AN339" s="258" t="str">
        <f>IFERROR((Table7[[#This Row],[No. of Valid  Internal Testing Defects]])/(Table7[[#This Row],[No. of Valid  Internal Testing Defects]]+Table7[[#This Row],[No. of Invalid Internal Testing Defects]]),"")</f>
        <v/>
      </c>
      <c r="AO339" s="258" t="str">
        <f>IFERROR(Table7[[#This Row],[No. of Valid External Testing Defects]]/(Table7[[#This Row],[No. of Valid External Testing Defects]]+Table7[[#This Row],[No. of Valid  Internal Testing Defects]]),"")</f>
        <v/>
      </c>
    </row>
    <row r="340" spans="2:41">
      <c r="B340" s="237"/>
      <c r="C340" s="14"/>
      <c r="D340" s="14"/>
      <c r="E340" s="14"/>
      <c r="F340" s="230" t="str">
        <f>IFERROR((Table47[[#This Row],[Initial No. of Requirements]]+Table47[[#This Row],[Modified Requirements( Added / Deleted /Modified)]])/Table47[[#This Row],[Initial No. of Requirements]],"")</f>
        <v/>
      </c>
      <c r="G34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0" s="249"/>
      <c r="J340" s="249"/>
      <c r="K340" s="250"/>
      <c r="L340" s="250"/>
      <c r="M340" s="250"/>
      <c r="N340" s="248">
        <f>SUMIFS(Table1[Size],Table1[Release Name],[2]!Table7[Release Name])</f>
        <v>0</v>
      </c>
      <c r="O340" s="248"/>
      <c r="P34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0" s="248"/>
      <c r="R34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0" s="248"/>
      <c r="T340" s="248"/>
      <c r="U340" s="248"/>
      <c r="V340" s="248"/>
      <c r="W340" s="248"/>
      <c r="X340" s="248"/>
      <c r="Y340" s="248"/>
      <c r="Z340" s="248"/>
      <c r="AA340" s="248"/>
      <c r="AB340" s="13">
        <f>SUMIFS(Table3[Hours Worked],Table3[Release Name],Table7[[#This Row],[Release Name]],Table3[Task Type],"Testcase Creation")</f>
        <v>0</v>
      </c>
      <c r="AC340" s="255">
        <f>SUMIFS(Table3[Hours Worked],Table3[Release Name],Table7[[#This Row],[Release Name]],Table3[Task Type],"Testcase Execution")</f>
        <v>0</v>
      </c>
      <c r="AD34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0" s="256" t="str">
        <f>IFERROR((Table7[[#This Row],[No. of Valid Internal Review Defects]]+Table7[[#This Row],[No. of Valid  Internal Testing Defects]]+Table7[[#This Row],[No. of  Valid External Review Defects]]+Table7[[#This Row],[No. of Valid External Testing Defects]])/Table7[[#This Row],[Size]],"")</f>
        <v/>
      </c>
      <c r="AF340" s="257" t="str">
        <f>IFERROR(Table7[[#This Row],[No. of Valid Internal Review Defects]]/(Table7[[#This Row],[No. of Valid Internal Review Defects]]+Table7[[#This Row],[No. of  Valid External Review Defects]]+Table7[[#This Row],[No. of Valid  Internal Testing Defects]]+Table7[[#This Row],[No. of Valid External Testing Defects]]),"")</f>
        <v/>
      </c>
      <c r="AG340" s="258" t="str">
        <f>IFERROR(Table7[[#This Row],[No. of Valid Internal Review Defects]]/(Table7[[#This Row],[No. of Valid Internal Review Defects]]+Table7[[#This Row],[No. of  Valid External Review Defects]]+Table7[[#This Row],[No. of Valid External Testing Defects]]),"")</f>
        <v/>
      </c>
      <c r="AH340" s="256" t="str">
        <f>IFERROR(Table7[[#This Row],[No. of Valid  Internal Testing Defects]]/Table7[[#This Row],[Overall Actual Effort for the release]],"")</f>
        <v/>
      </c>
      <c r="AI340" s="256" t="str">
        <f>IFERROR(Table7[[#This Row],[No. of Valid  Internal Testing Defects]]/Table7[[#This Row],[No. of Testcases Executed]],"")</f>
        <v/>
      </c>
      <c r="AJ340" s="259" t="str">
        <f>IFERROR(IFERROR(Table7[[#This Row],[No. of Testcases Created]]/Table7[[#This Row],[Effort for Testcase Creation]],"")*9,"")</f>
        <v/>
      </c>
      <c r="AK340" s="256" t="str">
        <f>IFERROR((Table7[[#This Row],[No. of Testcases Executed]]/Table7[[#This Row],[Effort for Testcase Execution]])*9,"")</f>
        <v/>
      </c>
      <c r="AL34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0" s="259" t="str">
        <f>IFERROR(Table7[[#This Row],[No. of Defects Validated]]/SUMIFS(Table3[Hours Worked],Table3[Release Name],Table7[[#This Row],[Release Name]],Table3[Task Type],"Defect Validation")*9,"")</f>
        <v/>
      </c>
      <c r="AN340" s="258" t="str">
        <f>IFERROR((Table7[[#This Row],[No. of Valid  Internal Testing Defects]])/(Table7[[#This Row],[No. of Valid  Internal Testing Defects]]+Table7[[#This Row],[No. of Invalid Internal Testing Defects]]),"")</f>
        <v/>
      </c>
      <c r="AO340" s="258" t="str">
        <f>IFERROR(Table7[[#This Row],[No. of Valid External Testing Defects]]/(Table7[[#This Row],[No. of Valid External Testing Defects]]+Table7[[#This Row],[No. of Valid  Internal Testing Defects]]),"")</f>
        <v/>
      </c>
    </row>
    <row r="341" spans="2:41">
      <c r="B341" s="237"/>
      <c r="C341" s="14"/>
      <c r="D341" s="14"/>
      <c r="E341" s="14"/>
      <c r="F341" s="230" t="str">
        <f>IFERROR((Table47[[#This Row],[Initial No. of Requirements]]+Table47[[#This Row],[Modified Requirements( Added / Deleted /Modified)]])/Table47[[#This Row],[Initial No. of Requirements]],"")</f>
        <v/>
      </c>
      <c r="G34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1" s="249"/>
      <c r="J341" s="249"/>
      <c r="K341" s="250"/>
      <c r="L341" s="250"/>
      <c r="M341" s="250"/>
      <c r="N341" s="248">
        <f>SUMIFS(Table1[Size],Table1[Release Name],[2]!Table7[Release Name])</f>
        <v>0</v>
      </c>
      <c r="O341" s="248"/>
      <c r="P34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1" s="248"/>
      <c r="R34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1" s="248"/>
      <c r="T341" s="248"/>
      <c r="U341" s="248"/>
      <c r="V341" s="248"/>
      <c r="W341" s="248"/>
      <c r="X341" s="248"/>
      <c r="Y341" s="248"/>
      <c r="Z341" s="248"/>
      <c r="AA341" s="248"/>
      <c r="AB341" s="13">
        <f>SUMIFS(Table3[Hours Worked],Table3[Release Name],Table7[[#This Row],[Release Name]],Table3[Task Type],"Testcase Creation")</f>
        <v>0</v>
      </c>
      <c r="AC341" s="255">
        <f>SUMIFS(Table3[Hours Worked],Table3[Release Name],Table7[[#This Row],[Release Name]],Table3[Task Type],"Testcase Execution")</f>
        <v>0</v>
      </c>
      <c r="AD34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1" s="256" t="str">
        <f>IFERROR((Table7[[#This Row],[No. of Valid Internal Review Defects]]+Table7[[#This Row],[No. of Valid  Internal Testing Defects]]+Table7[[#This Row],[No. of  Valid External Review Defects]]+Table7[[#This Row],[No. of Valid External Testing Defects]])/Table7[[#This Row],[Size]],"")</f>
        <v/>
      </c>
      <c r="AF341" s="257" t="str">
        <f>IFERROR(Table7[[#This Row],[No. of Valid Internal Review Defects]]/(Table7[[#This Row],[No. of Valid Internal Review Defects]]+Table7[[#This Row],[No. of  Valid External Review Defects]]+Table7[[#This Row],[No. of Valid  Internal Testing Defects]]+Table7[[#This Row],[No. of Valid External Testing Defects]]),"")</f>
        <v/>
      </c>
      <c r="AG341" s="258" t="str">
        <f>IFERROR(Table7[[#This Row],[No. of Valid Internal Review Defects]]/(Table7[[#This Row],[No. of Valid Internal Review Defects]]+Table7[[#This Row],[No. of  Valid External Review Defects]]+Table7[[#This Row],[No. of Valid External Testing Defects]]),"")</f>
        <v/>
      </c>
      <c r="AH341" s="256" t="str">
        <f>IFERROR(Table7[[#This Row],[No. of Valid  Internal Testing Defects]]/Table7[[#This Row],[Overall Actual Effort for the release]],"")</f>
        <v/>
      </c>
      <c r="AI341" s="256" t="str">
        <f>IFERROR(Table7[[#This Row],[No. of Valid  Internal Testing Defects]]/Table7[[#This Row],[No. of Testcases Executed]],"")</f>
        <v/>
      </c>
      <c r="AJ341" s="259" t="str">
        <f>IFERROR(IFERROR(Table7[[#This Row],[No. of Testcases Created]]/Table7[[#This Row],[Effort for Testcase Creation]],"")*9,"")</f>
        <v/>
      </c>
      <c r="AK341" s="256" t="str">
        <f>IFERROR((Table7[[#This Row],[No. of Testcases Executed]]/Table7[[#This Row],[Effort for Testcase Execution]])*9,"")</f>
        <v/>
      </c>
      <c r="AL34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1" s="259" t="str">
        <f>IFERROR(Table7[[#This Row],[No. of Defects Validated]]/SUMIFS(Table3[Hours Worked],Table3[Release Name],Table7[[#This Row],[Release Name]],Table3[Task Type],"Defect Validation")*9,"")</f>
        <v/>
      </c>
      <c r="AN341" s="258" t="str">
        <f>IFERROR((Table7[[#This Row],[No. of Valid  Internal Testing Defects]])/(Table7[[#This Row],[No. of Valid  Internal Testing Defects]]+Table7[[#This Row],[No. of Invalid Internal Testing Defects]]),"")</f>
        <v/>
      </c>
      <c r="AO341" s="258" t="str">
        <f>IFERROR(Table7[[#This Row],[No. of Valid External Testing Defects]]/(Table7[[#This Row],[No. of Valid External Testing Defects]]+Table7[[#This Row],[No. of Valid  Internal Testing Defects]]),"")</f>
        <v/>
      </c>
    </row>
    <row r="342" spans="2:41">
      <c r="B342" s="237"/>
      <c r="C342" s="14"/>
      <c r="D342" s="14"/>
      <c r="E342" s="14"/>
      <c r="F342" s="230" t="str">
        <f>IFERROR((Table47[[#This Row],[Initial No. of Requirements]]+Table47[[#This Row],[Modified Requirements( Added / Deleted /Modified)]])/Table47[[#This Row],[Initial No. of Requirements]],"")</f>
        <v/>
      </c>
      <c r="G34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2" s="249"/>
      <c r="J342" s="249"/>
      <c r="K342" s="250"/>
      <c r="L342" s="250"/>
      <c r="M342" s="250"/>
      <c r="N342" s="248">
        <f>SUMIFS(Table1[Size],Table1[Release Name],[2]!Table7[Release Name])</f>
        <v>0</v>
      </c>
      <c r="O342" s="248"/>
      <c r="P34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2" s="248"/>
      <c r="R34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2" s="248"/>
      <c r="T342" s="248"/>
      <c r="U342" s="248"/>
      <c r="V342" s="248"/>
      <c r="W342" s="248"/>
      <c r="X342" s="248"/>
      <c r="Y342" s="248"/>
      <c r="Z342" s="248"/>
      <c r="AA342" s="248"/>
      <c r="AB342" s="13">
        <f>SUMIFS(Table3[Hours Worked],Table3[Release Name],Table7[[#This Row],[Release Name]],Table3[Task Type],"Testcase Creation")</f>
        <v>0</v>
      </c>
      <c r="AC342" s="255">
        <f>SUMIFS(Table3[Hours Worked],Table3[Release Name],Table7[[#This Row],[Release Name]],Table3[Task Type],"Testcase Execution")</f>
        <v>0</v>
      </c>
      <c r="AD34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2" s="256" t="str">
        <f>IFERROR((Table7[[#This Row],[No. of Valid Internal Review Defects]]+Table7[[#This Row],[No. of Valid  Internal Testing Defects]]+Table7[[#This Row],[No. of  Valid External Review Defects]]+Table7[[#This Row],[No. of Valid External Testing Defects]])/Table7[[#This Row],[Size]],"")</f>
        <v/>
      </c>
      <c r="AF342" s="257" t="str">
        <f>IFERROR(Table7[[#This Row],[No. of Valid Internal Review Defects]]/(Table7[[#This Row],[No. of Valid Internal Review Defects]]+Table7[[#This Row],[No. of  Valid External Review Defects]]+Table7[[#This Row],[No. of Valid  Internal Testing Defects]]+Table7[[#This Row],[No. of Valid External Testing Defects]]),"")</f>
        <v/>
      </c>
      <c r="AG342" s="258" t="str">
        <f>IFERROR(Table7[[#This Row],[No. of Valid Internal Review Defects]]/(Table7[[#This Row],[No. of Valid Internal Review Defects]]+Table7[[#This Row],[No. of  Valid External Review Defects]]+Table7[[#This Row],[No. of Valid External Testing Defects]]),"")</f>
        <v/>
      </c>
      <c r="AH342" s="256" t="str">
        <f>IFERROR(Table7[[#This Row],[No. of Valid  Internal Testing Defects]]/Table7[[#This Row],[Overall Actual Effort for the release]],"")</f>
        <v/>
      </c>
      <c r="AI342" s="256" t="str">
        <f>IFERROR(Table7[[#This Row],[No. of Valid  Internal Testing Defects]]/Table7[[#This Row],[No. of Testcases Executed]],"")</f>
        <v/>
      </c>
      <c r="AJ342" s="259" t="str">
        <f>IFERROR(IFERROR(Table7[[#This Row],[No. of Testcases Created]]/Table7[[#This Row],[Effort for Testcase Creation]],"")*9,"")</f>
        <v/>
      </c>
      <c r="AK342" s="256" t="str">
        <f>IFERROR((Table7[[#This Row],[No. of Testcases Executed]]/Table7[[#This Row],[Effort for Testcase Execution]])*9,"")</f>
        <v/>
      </c>
      <c r="AL34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2" s="259" t="str">
        <f>IFERROR(Table7[[#This Row],[No. of Defects Validated]]/SUMIFS(Table3[Hours Worked],Table3[Release Name],Table7[[#This Row],[Release Name]],Table3[Task Type],"Defect Validation")*9,"")</f>
        <v/>
      </c>
      <c r="AN342" s="258" t="str">
        <f>IFERROR((Table7[[#This Row],[No. of Valid  Internal Testing Defects]])/(Table7[[#This Row],[No. of Valid  Internal Testing Defects]]+Table7[[#This Row],[No. of Invalid Internal Testing Defects]]),"")</f>
        <v/>
      </c>
      <c r="AO342" s="258" t="str">
        <f>IFERROR(Table7[[#This Row],[No. of Valid External Testing Defects]]/(Table7[[#This Row],[No. of Valid External Testing Defects]]+Table7[[#This Row],[No. of Valid  Internal Testing Defects]]),"")</f>
        <v/>
      </c>
    </row>
    <row r="343" spans="2:41">
      <c r="B343" s="237"/>
      <c r="C343" s="14"/>
      <c r="D343" s="14"/>
      <c r="E343" s="14"/>
      <c r="F343" s="230" t="str">
        <f>IFERROR((Table47[[#This Row],[Initial No. of Requirements]]+Table47[[#This Row],[Modified Requirements( Added / Deleted /Modified)]])/Table47[[#This Row],[Initial No. of Requirements]],"")</f>
        <v/>
      </c>
      <c r="G34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3" s="249"/>
      <c r="J343" s="249"/>
      <c r="K343" s="250"/>
      <c r="L343" s="250"/>
      <c r="M343" s="250"/>
      <c r="N343" s="248">
        <f>SUMIFS(Table1[Size],Table1[Release Name],[2]!Table7[Release Name])</f>
        <v>0</v>
      </c>
      <c r="O343" s="248"/>
      <c r="P34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3" s="248"/>
      <c r="R34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3" s="248"/>
      <c r="T343" s="248"/>
      <c r="U343" s="248"/>
      <c r="V343" s="248"/>
      <c r="W343" s="248"/>
      <c r="X343" s="248"/>
      <c r="Y343" s="248"/>
      <c r="Z343" s="248"/>
      <c r="AA343" s="248"/>
      <c r="AB343" s="13">
        <f>SUMIFS(Table3[Hours Worked],Table3[Release Name],Table7[[#This Row],[Release Name]],Table3[Task Type],"Testcase Creation")</f>
        <v>0</v>
      </c>
      <c r="AC343" s="255">
        <f>SUMIFS(Table3[Hours Worked],Table3[Release Name],Table7[[#This Row],[Release Name]],Table3[Task Type],"Testcase Execution")</f>
        <v>0</v>
      </c>
      <c r="AD34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3" s="256" t="str">
        <f>IFERROR((Table7[[#This Row],[No. of Valid Internal Review Defects]]+Table7[[#This Row],[No. of Valid  Internal Testing Defects]]+Table7[[#This Row],[No. of  Valid External Review Defects]]+Table7[[#This Row],[No. of Valid External Testing Defects]])/Table7[[#This Row],[Size]],"")</f>
        <v/>
      </c>
      <c r="AF343" s="257" t="str">
        <f>IFERROR(Table7[[#This Row],[No. of Valid Internal Review Defects]]/(Table7[[#This Row],[No. of Valid Internal Review Defects]]+Table7[[#This Row],[No. of  Valid External Review Defects]]+Table7[[#This Row],[No. of Valid  Internal Testing Defects]]+Table7[[#This Row],[No. of Valid External Testing Defects]]),"")</f>
        <v/>
      </c>
      <c r="AG343" s="258" t="str">
        <f>IFERROR(Table7[[#This Row],[No. of Valid Internal Review Defects]]/(Table7[[#This Row],[No. of Valid Internal Review Defects]]+Table7[[#This Row],[No. of  Valid External Review Defects]]+Table7[[#This Row],[No. of Valid External Testing Defects]]),"")</f>
        <v/>
      </c>
      <c r="AH343" s="256" t="str">
        <f>IFERROR(Table7[[#This Row],[No. of Valid  Internal Testing Defects]]/Table7[[#This Row],[Overall Actual Effort for the release]],"")</f>
        <v/>
      </c>
      <c r="AI343" s="256" t="str">
        <f>IFERROR(Table7[[#This Row],[No. of Valid  Internal Testing Defects]]/Table7[[#This Row],[No. of Testcases Executed]],"")</f>
        <v/>
      </c>
      <c r="AJ343" s="259" t="str">
        <f>IFERROR(IFERROR(Table7[[#This Row],[No. of Testcases Created]]/Table7[[#This Row],[Effort for Testcase Creation]],"")*9,"")</f>
        <v/>
      </c>
      <c r="AK343" s="256" t="str">
        <f>IFERROR((Table7[[#This Row],[No. of Testcases Executed]]/Table7[[#This Row],[Effort for Testcase Execution]])*9,"")</f>
        <v/>
      </c>
      <c r="AL34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3" s="259" t="str">
        <f>IFERROR(Table7[[#This Row],[No. of Defects Validated]]/SUMIFS(Table3[Hours Worked],Table3[Release Name],Table7[[#This Row],[Release Name]],Table3[Task Type],"Defect Validation")*9,"")</f>
        <v/>
      </c>
      <c r="AN343" s="258" t="str">
        <f>IFERROR((Table7[[#This Row],[No. of Valid  Internal Testing Defects]])/(Table7[[#This Row],[No. of Valid  Internal Testing Defects]]+Table7[[#This Row],[No. of Invalid Internal Testing Defects]]),"")</f>
        <v/>
      </c>
      <c r="AO343" s="258" t="str">
        <f>IFERROR(Table7[[#This Row],[No. of Valid External Testing Defects]]/(Table7[[#This Row],[No. of Valid External Testing Defects]]+Table7[[#This Row],[No. of Valid  Internal Testing Defects]]),"")</f>
        <v/>
      </c>
    </row>
    <row r="344" spans="2:41">
      <c r="B344" s="237"/>
      <c r="C344" s="14"/>
      <c r="D344" s="14"/>
      <c r="E344" s="14"/>
      <c r="F344" s="230" t="str">
        <f>IFERROR((Table47[[#This Row],[Initial No. of Requirements]]+Table47[[#This Row],[Modified Requirements( Added / Deleted /Modified)]])/Table47[[#This Row],[Initial No. of Requirements]],"")</f>
        <v/>
      </c>
      <c r="G34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4" s="249"/>
      <c r="J344" s="249"/>
      <c r="K344" s="250"/>
      <c r="L344" s="250"/>
      <c r="M344" s="250"/>
      <c r="N344" s="248">
        <f>SUMIFS(Table1[Size],Table1[Release Name],[2]!Table7[Release Name])</f>
        <v>0</v>
      </c>
      <c r="O344" s="248"/>
      <c r="P34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4" s="248"/>
      <c r="R34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4" s="248"/>
      <c r="T344" s="248"/>
      <c r="U344" s="248"/>
      <c r="V344" s="248"/>
      <c r="W344" s="248"/>
      <c r="X344" s="248"/>
      <c r="Y344" s="248"/>
      <c r="Z344" s="248"/>
      <c r="AA344" s="248"/>
      <c r="AB344" s="13">
        <f>SUMIFS(Table3[Hours Worked],Table3[Release Name],Table7[[#This Row],[Release Name]],Table3[Task Type],"Testcase Creation")</f>
        <v>0</v>
      </c>
      <c r="AC344" s="255">
        <f>SUMIFS(Table3[Hours Worked],Table3[Release Name],Table7[[#This Row],[Release Name]],Table3[Task Type],"Testcase Execution")</f>
        <v>0</v>
      </c>
      <c r="AD34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4" s="256" t="str">
        <f>IFERROR((Table7[[#This Row],[No. of Valid Internal Review Defects]]+Table7[[#This Row],[No. of Valid  Internal Testing Defects]]+Table7[[#This Row],[No. of  Valid External Review Defects]]+Table7[[#This Row],[No. of Valid External Testing Defects]])/Table7[[#This Row],[Size]],"")</f>
        <v/>
      </c>
      <c r="AF344" s="257" t="str">
        <f>IFERROR(Table7[[#This Row],[No. of Valid Internal Review Defects]]/(Table7[[#This Row],[No. of Valid Internal Review Defects]]+Table7[[#This Row],[No. of  Valid External Review Defects]]+Table7[[#This Row],[No. of Valid  Internal Testing Defects]]+Table7[[#This Row],[No. of Valid External Testing Defects]]),"")</f>
        <v/>
      </c>
      <c r="AG344" s="258" t="str">
        <f>IFERROR(Table7[[#This Row],[No. of Valid Internal Review Defects]]/(Table7[[#This Row],[No. of Valid Internal Review Defects]]+Table7[[#This Row],[No. of  Valid External Review Defects]]+Table7[[#This Row],[No. of Valid External Testing Defects]]),"")</f>
        <v/>
      </c>
      <c r="AH344" s="256" t="str">
        <f>IFERROR(Table7[[#This Row],[No. of Valid  Internal Testing Defects]]/Table7[[#This Row],[Overall Actual Effort for the release]],"")</f>
        <v/>
      </c>
      <c r="AI344" s="256" t="str">
        <f>IFERROR(Table7[[#This Row],[No. of Valid  Internal Testing Defects]]/Table7[[#This Row],[No. of Testcases Executed]],"")</f>
        <v/>
      </c>
      <c r="AJ344" s="259" t="str">
        <f>IFERROR(IFERROR(Table7[[#This Row],[No. of Testcases Created]]/Table7[[#This Row],[Effort for Testcase Creation]],"")*9,"")</f>
        <v/>
      </c>
      <c r="AK344" s="256" t="str">
        <f>IFERROR((Table7[[#This Row],[No. of Testcases Executed]]/Table7[[#This Row],[Effort for Testcase Execution]])*9,"")</f>
        <v/>
      </c>
      <c r="AL34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4" s="259" t="str">
        <f>IFERROR(Table7[[#This Row],[No. of Defects Validated]]/SUMIFS(Table3[Hours Worked],Table3[Release Name],Table7[[#This Row],[Release Name]],Table3[Task Type],"Defect Validation")*9,"")</f>
        <v/>
      </c>
      <c r="AN344" s="258" t="str">
        <f>IFERROR((Table7[[#This Row],[No. of Valid  Internal Testing Defects]])/(Table7[[#This Row],[No. of Valid  Internal Testing Defects]]+Table7[[#This Row],[No. of Invalid Internal Testing Defects]]),"")</f>
        <v/>
      </c>
      <c r="AO344" s="258" t="str">
        <f>IFERROR(Table7[[#This Row],[No. of Valid External Testing Defects]]/(Table7[[#This Row],[No. of Valid External Testing Defects]]+Table7[[#This Row],[No. of Valid  Internal Testing Defects]]),"")</f>
        <v/>
      </c>
    </row>
    <row r="345" spans="2:41">
      <c r="B345" s="237"/>
      <c r="C345" s="14"/>
      <c r="D345" s="14"/>
      <c r="E345" s="14"/>
      <c r="F345" s="230" t="str">
        <f>IFERROR((Table47[[#This Row],[Initial No. of Requirements]]+Table47[[#This Row],[Modified Requirements( Added / Deleted /Modified)]])/Table47[[#This Row],[Initial No. of Requirements]],"")</f>
        <v/>
      </c>
      <c r="G34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5" s="249"/>
      <c r="J345" s="249"/>
      <c r="K345" s="250"/>
      <c r="L345" s="250"/>
      <c r="M345" s="250"/>
      <c r="N345" s="248">
        <f>SUMIFS(Table1[Size],Table1[Release Name],[2]!Table7[Release Name])</f>
        <v>0</v>
      </c>
      <c r="O345" s="248"/>
      <c r="P34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5" s="248"/>
      <c r="R34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5" s="248"/>
      <c r="T345" s="248"/>
      <c r="U345" s="248"/>
      <c r="V345" s="248"/>
      <c r="W345" s="248"/>
      <c r="X345" s="248"/>
      <c r="Y345" s="248"/>
      <c r="Z345" s="248"/>
      <c r="AA345" s="248"/>
      <c r="AB345" s="13">
        <f>SUMIFS(Table3[Hours Worked],Table3[Release Name],Table7[[#This Row],[Release Name]],Table3[Task Type],"Testcase Creation")</f>
        <v>0</v>
      </c>
      <c r="AC345" s="255">
        <f>SUMIFS(Table3[Hours Worked],Table3[Release Name],Table7[[#This Row],[Release Name]],Table3[Task Type],"Testcase Execution")</f>
        <v>0</v>
      </c>
      <c r="AD34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5" s="256" t="str">
        <f>IFERROR((Table7[[#This Row],[No. of Valid Internal Review Defects]]+Table7[[#This Row],[No. of Valid  Internal Testing Defects]]+Table7[[#This Row],[No. of  Valid External Review Defects]]+Table7[[#This Row],[No. of Valid External Testing Defects]])/Table7[[#This Row],[Size]],"")</f>
        <v/>
      </c>
      <c r="AF345" s="257" t="str">
        <f>IFERROR(Table7[[#This Row],[No. of Valid Internal Review Defects]]/(Table7[[#This Row],[No. of Valid Internal Review Defects]]+Table7[[#This Row],[No. of  Valid External Review Defects]]+Table7[[#This Row],[No. of Valid  Internal Testing Defects]]+Table7[[#This Row],[No. of Valid External Testing Defects]]),"")</f>
        <v/>
      </c>
      <c r="AG345" s="258" t="str">
        <f>IFERROR(Table7[[#This Row],[No. of Valid Internal Review Defects]]/(Table7[[#This Row],[No. of Valid Internal Review Defects]]+Table7[[#This Row],[No. of  Valid External Review Defects]]+Table7[[#This Row],[No. of Valid External Testing Defects]]),"")</f>
        <v/>
      </c>
      <c r="AH345" s="256" t="str">
        <f>IFERROR(Table7[[#This Row],[No. of Valid  Internal Testing Defects]]/Table7[[#This Row],[Overall Actual Effort for the release]],"")</f>
        <v/>
      </c>
      <c r="AI345" s="256" t="str">
        <f>IFERROR(Table7[[#This Row],[No. of Valid  Internal Testing Defects]]/Table7[[#This Row],[No. of Testcases Executed]],"")</f>
        <v/>
      </c>
      <c r="AJ345" s="259" t="str">
        <f>IFERROR(IFERROR(Table7[[#This Row],[No. of Testcases Created]]/Table7[[#This Row],[Effort for Testcase Creation]],"")*9,"")</f>
        <v/>
      </c>
      <c r="AK345" s="256" t="str">
        <f>IFERROR((Table7[[#This Row],[No. of Testcases Executed]]/Table7[[#This Row],[Effort for Testcase Execution]])*9,"")</f>
        <v/>
      </c>
      <c r="AL34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5" s="259" t="str">
        <f>IFERROR(Table7[[#This Row],[No. of Defects Validated]]/SUMIFS(Table3[Hours Worked],Table3[Release Name],Table7[[#This Row],[Release Name]],Table3[Task Type],"Defect Validation")*9,"")</f>
        <v/>
      </c>
      <c r="AN345" s="258" t="str">
        <f>IFERROR((Table7[[#This Row],[No. of Valid  Internal Testing Defects]])/(Table7[[#This Row],[No. of Valid  Internal Testing Defects]]+Table7[[#This Row],[No. of Invalid Internal Testing Defects]]),"")</f>
        <v/>
      </c>
      <c r="AO345" s="258" t="str">
        <f>IFERROR(Table7[[#This Row],[No. of Valid External Testing Defects]]/(Table7[[#This Row],[No. of Valid External Testing Defects]]+Table7[[#This Row],[No. of Valid  Internal Testing Defects]]),"")</f>
        <v/>
      </c>
    </row>
    <row r="346" spans="2:41">
      <c r="B346" s="237"/>
      <c r="C346" s="14"/>
      <c r="D346" s="14"/>
      <c r="E346" s="14"/>
      <c r="F346" s="230" t="str">
        <f>IFERROR((Table47[[#This Row],[Initial No. of Requirements]]+Table47[[#This Row],[Modified Requirements( Added / Deleted /Modified)]])/Table47[[#This Row],[Initial No. of Requirements]],"")</f>
        <v/>
      </c>
      <c r="G34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6" s="249"/>
      <c r="J346" s="249"/>
      <c r="K346" s="250"/>
      <c r="L346" s="250"/>
      <c r="M346" s="250"/>
      <c r="N346" s="248">
        <f>SUMIFS(Table1[Size],Table1[Release Name],[2]!Table7[Release Name])</f>
        <v>0</v>
      </c>
      <c r="O346" s="248"/>
      <c r="P34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6" s="248"/>
      <c r="R34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6" s="248"/>
      <c r="T346" s="248"/>
      <c r="U346" s="248"/>
      <c r="V346" s="248"/>
      <c r="W346" s="248"/>
      <c r="X346" s="248"/>
      <c r="Y346" s="248"/>
      <c r="Z346" s="248"/>
      <c r="AA346" s="248"/>
      <c r="AB346" s="13">
        <f>SUMIFS(Table3[Hours Worked],Table3[Release Name],Table7[[#This Row],[Release Name]],Table3[Task Type],"Testcase Creation")</f>
        <v>0</v>
      </c>
      <c r="AC346" s="255">
        <f>SUMIFS(Table3[Hours Worked],Table3[Release Name],Table7[[#This Row],[Release Name]],Table3[Task Type],"Testcase Execution")</f>
        <v>0</v>
      </c>
      <c r="AD34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6" s="256" t="str">
        <f>IFERROR((Table7[[#This Row],[No. of Valid Internal Review Defects]]+Table7[[#This Row],[No. of Valid  Internal Testing Defects]]+Table7[[#This Row],[No. of  Valid External Review Defects]]+Table7[[#This Row],[No. of Valid External Testing Defects]])/Table7[[#This Row],[Size]],"")</f>
        <v/>
      </c>
      <c r="AF346" s="257" t="str">
        <f>IFERROR(Table7[[#This Row],[No. of Valid Internal Review Defects]]/(Table7[[#This Row],[No. of Valid Internal Review Defects]]+Table7[[#This Row],[No. of  Valid External Review Defects]]+Table7[[#This Row],[No. of Valid  Internal Testing Defects]]+Table7[[#This Row],[No. of Valid External Testing Defects]]),"")</f>
        <v/>
      </c>
      <c r="AG346" s="258" t="str">
        <f>IFERROR(Table7[[#This Row],[No. of Valid Internal Review Defects]]/(Table7[[#This Row],[No. of Valid Internal Review Defects]]+Table7[[#This Row],[No. of  Valid External Review Defects]]+Table7[[#This Row],[No. of Valid External Testing Defects]]),"")</f>
        <v/>
      </c>
      <c r="AH346" s="256" t="str">
        <f>IFERROR(Table7[[#This Row],[No. of Valid  Internal Testing Defects]]/Table7[[#This Row],[Overall Actual Effort for the release]],"")</f>
        <v/>
      </c>
      <c r="AI346" s="256" t="str">
        <f>IFERROR(Table7[[#This Row],[No. of Valid  Internal Testing Defects]]/Table7[[#This Row],[No. of Testcases Executed]],"")</f>
        <v/>
      </c>
      <c r="AJ346" s="259" t="str">
        <f>IFERROR(IFERROR(Table7[[#This Row],[No. of Testcases Created]]/Table7[[#This Row],[Effort for Testcase Creation]],"")*9,"")</f>
        <v/>
      </c>
      <c r="AK346" s="256" t="str">
        <f>IFERROR((Table7[[#This Row],[No. of Testcases Executed]]/Table7[[#This Row],[Effort for Testcase Execution]])*9,"")</f>
        <v/>
      </c>
      <c r="AL34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6" s="259" t="str">
        <f>IFERROR(Table7[[#This Row],[No. of Defects Validated]]/SUMIFS(Table3[Hours Worked],Table3[Release Name],Table7[[#This Row],[Release Name]],Table3[Task Type],"Defect Validation")*9,"")</f>
        <v/>
      </c>
      <c r="AN346" s="258" t="str">
        <f>IFERROR((Table7[[#This Row],[No. of Valid  Internal Testing Defects]])/(Table7[[#This Row],[No. of Valid  Internal Testing Defects]]+Table7[[#This Row],[No. of Invalid Internal Testing Defects]]),"")</f>
        <v/>
      </c>
      <c r="AO346" s="258" t="str">
        <f>IFERROR(Table7[[#This Row],[No. of Valid External Testing Defects]]/(Table7[[#This Row],[No. of Valid External Testing Defects]]+Table7[[#This Row],[No. of Valid  Internal Testing Defects]]),"")</f>
        <v/>
      </c>
    </row>
    <row r="347" spans="2:41">
      <c r="B347" s="237"/>
      <c r="C347" s="14"/>
      <c r="D347" s="14"/>
      <c r="E347" s="14"/>
      <c r="F347" s="230" t="str">
        <f>IFERROR((Table47[[#This Row],[Initial No. of Requirements]]+Table47[[#This Row],[Modified Requirements( Added / Deleted /Modified)]])/Table47[[#This Row],[Initial No. of Requirements]],"")</f>
        <v/>
      </c>
      <c r="G34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7" s="249"/>
      <c r="J347" s="249"/>
      <c r="K347" s="250"/>
      <c r="L347" s="250"/>
      <c r="M347" s="250"/>
      <c r="N347" s="248">
        <f>SUMIFS(Table1[Size],Table1[Release Name],[2]!Table7[Release Name])</f>
        <v>0</v>
      </c>
      <c r="O347" s="248"/>
      <c r="P34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7" s="248"/>
      <c r="R34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7" s="248"/>
      <c r="T347" s="248"/>
      <c r="U347" s="248"/>
      <c r="V347" s="248"/>
      <c r="W347" s="248"/>
      <c r="X347" s="248"/>
      <c r="Y347" s="248"/>
      <c r="Z347" s="248"/>
      <c r="AA347" s="248"/>
      <c r="AB347" s="13">
        <f>SUMIFS(Table3[Hours Worked],Table3[Release Name],Table7[[#This Row],[Release Name]],Table3[Task Type],"Testcase Creation")</f>
        <v>0</v>
      </c>
      <c r="AC347" s="255">
        <f>SUMIFS(Table3[Hours Worked],Table3[Release Name],Table7[[#This Row],[Release Name]],Table3[Task Type],"Testcase Execution")</f>
        <v>0</v>
      </c>
      <c r="AD34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7" s="256" t="str">
        <f>IFERROR((Table7[[#This Row],[No. of Valid Internal Review Defects]]+Table7[[#This Row],[No. of Valid  Internal Testing Defects]]+Table7[[#This Row],[No. of  Valid External Review Defects]]+Table7[[#This Row],[No. of Valid External Testing Defects]])/Table7[[#This Row],[Size]],"")</f>
        <v/>
      </c>
      <c r="AF347" s="257" t="str">
        <f>IFERROR(Table7[[#This Row],[No. of Valid Internal Review Defects]]/(Table7[[#This Row],[No. of Valid Internal Review Defects]]+Table7[[#This Row],[No. of  Valid External Review Defects]]+Table7[[#This Row],[No. of Valid  Internal Testing Defects]]+Table7[[#This Row],[No. of Valid External Testing Defects]]),"")</f>
        <v/>
      </c>
      <c r="AG347" s="258" t="str">
        <f>IFERROR(Table7[[#This Row],[No. of Valid Internal Review Defects]]/(Table7[[#This Row],[No. of Valid Internal Review Defects]]+Table7[[#This Row],[No. of  Valid External Review Defects]]+Table7[[#This Row],[No. of Valid External Testing Defects]]),"")</f>
        <v/>
      </c>
      <c r="AH347" s="256" t="str">
        <f>IFERROR(Table7[[#This Row],[No. of Valid  Internal Testing Defects]]/Table7[[#This Row],[Overall Actual Effort for the release]],"")</f>
        <v/>
      </c>
      <c r="AI347" s="256" t="str">
        <f>IFERROR(Table7[[#This Row],[No. of Valid  Internal Testing Defects]]/Table7[[#This Row],[No. of Testcases Executed]],"")</f>
        <v/>
      </c>
      <c r="AJ347" s="259" t="str">
        <f>IFERROR(IFERROR(Table7[[#This Row],[No. of Testcases Created]]/Table7[[#This Row],[Effort for Testcase Creation]],"")*9,"")</f>
        <v/>
      </c>
      <c r="AK347" s="256" t="str">
        <f>IFERROR((Table7[[#This Row],[No. of Testcases Executed]]/Table7[[#This Row],[Effort for Testcase Execution]])*9,"")</f>
        <v/>
      </c>
      <c r="AL34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7" s="259" t="str">
        <f>IFERROR(Table7[[#This Row],[No. of Defects Validated]]/SUMIFS(Table3[Hours Worked],Table3[Release Name],Table7[[#This Row],[Release Name]],Table3[Task Type],"Defect Validation")*9,"")</f>
        <v/>
      </c>
      <c r="AN347" s="258" t="str">
        <f>IFERROR((Table7[[#This Row],[No. of Valid  Internal Testing Defects]])/(Table7[[#This Row],[No. of Valid  Internal Testing Defects]]+Table7[[#This Row],[No. of Invalid Internal Testing Defects]]),"")</f>
        <v/>
      </c>
      <c r="AO347" s="258" t="str">
        <f>IFERROR(Table7[[#This Row],[No. of Valid External Testing Defects]]/(Table7[[#This Row],[No. of Valid External Testing Defects]]+Table7[[#This Row],[No. of Valid  Internal Testing Defects]]),"")</f>
        <v/>
      </c>
    </row>
    <row r="348" spans="2:41">
      <c r="B348" s="237"/>
      <c r="C348" s="14"/>
      <c r="D348" s="14"/>
      <c r="E348" s="14"/>
      <c r="F348" s="230" t="str">
        <f>IFERROR((Table47[[#This Row],[Initial No. of Requirements]]+Table47[[#This Row],[Modified Requirements( Added / Deleted /Modified)]])/Table47[[#This Row],[Initial No. of Requirements]],"")</f>
        <v/>
      </c>
      <c r="G34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8" s="249"/>
      <c r="J348" s="249"/>
      <c r="K348" s="250"/>
      <c r="L348" s="250"/>
      <c r="M348" s="250"/>
      <c r="N348" s="248">
        <f>SUMIFS(Table1[Size],Table1[Release Name],[2]!Table7[Release Name])</f>
        <v>0</v>
      </c>
      <c r="O348" s="248"/>
      <c r="P34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8" s="248"/>
      <c r="R34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8" s="248"/>
      <c r="T348" s="248"/>
      <c r="U348" s="248"/>
      <c r="V348" s="248"/>
      <c r="W348" s="248"/>
      <c r="X348" s="248"/>
      <c r="Y348" s="248"/>
      <c r="Z348" s="248"/>
      <c r="AA348" s="248"/>
      <c r="AB348" s="13">
        <f>SUMIFS(Table3[Hours Worked],Table3[Release Name],Table7[[#This Row],[Release Name]],Table3[Task Type],"Testcase Creation")</f>
        <v>0</v>
      </c>
      <c r="AC348" s="255">
        <f>SUMIFS(Table3[Hours Worked],Table3[Release Name],Table7[[#This Row],[Release Name]],Table3[Task Type],"Testcase Execution")</f>
        <v>0</v>
      </c>
      <c r="AD34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8" s="256" t="str">
        <f>IFERROR((Table7[[#This Row],[No. of Valid Internal Review Defects]]+Table7[[#This Row],[No. of Valid  Internal Testing Defects]]+Table7[[#This Row],[No. of  Valid External Review Defects]]+Table7[[#This Row],[No. of Valid External Testing Defects]])/Table7[[#This Row],[Size]],"")</f>
        <v/>
      </c>
      <c r="AF348" s="257" t="str">
        <f>IFERROR(Table7[[#This Row],[No. of Valid Internal Review Defects]]/(Table7[[#This Row],[No. of Valid Internal Review Defects]]+Table7[[#This Row],[No. of  Valid External Review Defects]]+Table7[[#This Row],[No. of Valid  Internal Testing Defects]]+Table7[[#This Row],[No. of Valid External Testing Defects]]),"")</f>
        <v/>
      </c>
      <c r="AG348" s="258" t="str">
        <f>IFERROR(Table7[[#This Row],[No. of Valid Internal Review Defects]]/(Table7[[#This Row],[No. of Valid Internal Review Defects]]+Table7[[#This Row],[No. of  Valid External Review Defects]]+Table7[[#This Row],[No. of Valid External Testing Defects]]),"")</f>
        <v/>
      </c>
      <c r="AH348" s="256" t="str">
        <f>IFERROR(Table7[[#This Row],[No. of Valid  Internal Testing Defects]]/Table7[[#This Row],[Overall Actual Effort for the release]],"")</f>
        <v/>
      </c>
      <c r="AI348" s="256" t="str">
        <f>IFERROR(Table7[[#This Row],[No. of Valid  Internal Testing Defects]]/Table7[[#This Row],[No. of Testcases Executed]],"")</f>
        <v/>
      </c>
      <c r="AJ348" s="259" t="str">
        <f>IFERROR(IFERROR(Table7[[#This Row],[No. of Testcases Created]]/Table7[[#This Row],[Effort for Testcase Creation]],"")*9,"")</f>
        <v/>
      </c>
      <c r="AK348" s="256" t="str">
        <f>IFERROR((Table7[[#This Row],[No. of Testcases Executed]]/Table7[[#This Row],[Effort for Testcase Execution]])*9,"")</f>
        <v/>
      </c>
      <c r="AL34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8" s="259" t="str">
        <f>IFERROR(Table7[[#This Row],[No. of Defects Validated]]/SUMIFS(Table3[Hours Worked],Table3[Release Name],Table7[[#This Row],[Release Name]],Table3[Task Type],"Defect Validation")*9,"")</f>
        <v/>
      </c>
      <c r="AN348" s="258" t="str">
        <f>IFERROR((Table7[[#This Row],[No. of Valid  Internal Testing Defects]])/(Table7[[#This Row],[No. of Valid  Internal Testing Defects]]+Table7[[#This Row],[No. of Invalid Internal Testing Defects]]),"")</f>
        <v/>
      </c>
      <c r="AO348" s="258" t="str">
        <f>IFERROR(Table7[[#This Row],[No. of Valid External Testing Defects]]/(Table7[[#This Row],[No. of Valid External Testing Defects]]+Table7[[#This Row],[No. of Valid  Internal Testing Defects]]),"")</f>
        <v/>
      </c>
    </row>
    <row r="349" spans="2:41">
      <c r="B349" s="237"/>
      <c r="C349" s="14"/>
      <c r="D349" s="14"/>
      <c r="E349" s="14"/>
      <c r="F349" s="230" t="str">
        <f>IFERROR((Table47[[#This Row],[Initial No. of Requirements]]+Table47[[#This Row],[Modified Requirements( Added / Deleted /Modified)]])/Table47[[#This Row],[Initial No. of Requirements]],"")</f>
        <v/>
      </c>
      <c r="G34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49" s="249"/>
      <c r="J349" s="249"/>
      <c r="K349" s="250"/>
      <c r="L349" s="250"/>
      <c r="M349" s="250"/>
      <c r="N349" s="248">
        <f>SUMIFS(Table1[Size],Table1[Release Name],[2]!Table7[Release Name])</f>
        <v>0</v>
      </c>
      <c r="O349" s="248"/>
      <c r="P34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49" s="248"/>
      <c r="R34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49" s="248"/>
      <c r="T349" s="248"/>
      <c r="U349" s="248"/>
      <c r="V349" s="248"/>
      <c r="W349" s="248"/>
      <c r="X349" s="248"/>
      <c r="Y349" s="248"/>
      <c r="Z349" s="248"/>
      <c r="AA349" s="248"/>
      <c r="AB349" s="13">
        <f>SUMIFS(Table3[Hours Worked],Table3[Release Name],Table7[[#This Row],[Release Name]],Table3[Task Type],"Testcase Creation")</f>
        <v>0</v>
      </c>
      <c r="AC349" s="255">
        <f>SUMIFS(Table3[Hours Worked],Table3[Release Name],Table7[[#This Row],[Release Name]],Table3[Task Type],"Testcase Execution")</f>
        <v>0</v>
      </c>
      <c r="AD34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49" s="256" t="str">
        <f>IFERROR((Table7[[#This Row],[No. of Valid Internal Review Defects]]+Table7[[#This Row],[No. of Valid  Internal Testing Defects]]+Table7[[#This Row],[No. of  Valid External Review Defects]]+Table7[[#This Row],[No. of Valid External Testing Defects]])/Table7[[#This Row],[Size]],"")</f>
        <v/>
      </c>
      <c r="AF349" s="257" t="str">
        <f>IFERROR(Table7[[#This Row],[No. of Valid Internal Review Defects]]/(Table7[[#This Row],[No. of Valid Internal Review Defects]]+Table7[[#This Row],[No. of  Valid External Review Defects]]+Table7[[#This Row],[No. of Valid  Internal Testing Defects]]+Table7[[#This Row],[No. of Valid External Testing Defects]]),"")</f>
        <v/>
      </c>
      <c r="AG349" s="258" t="str">
        <f>IFERROR(Table7[[#This Row],[No. of Valid Internal Review Defects]]/(Table7[[#This Row],[No. of Valid Internal Review Defects]]+Table7[[#This Row],[No. of  Valid External Review Defects]]+Table7[[#This Row],[No. of Valid External Testing Defects]]),"")</f>
        <v/>
      </c>
      <c r="AH349" s="256" t="str">
        <f>IFERROR(Table7[[#This Row],[No. of Valid  Internal Testing Defects]]/Table7[[#This Row],[Overall Actual Effort for the release]],"")</f>
        <v/>
      </c>
      <c r="AI349" s="256" t="str">
        <f>IFERROR(Table7[[#This Row],[No. of Valid  Internal Testing Defects]]/Table7[[#This Row],[No. of Testcases Executed]],"")</f>
        <v/>
      </c>
      <c r="AJ349" s="259" t="str">
        <f>IFERROR(IFERROR(Table7[[#This Row],[No. of Testcases Created]]/Table7[[#This Row],[Effort for Testcase Creation]],"")*9,"")</f>
        <v/>
      </c>
      <c r="AK349" s="256" t="str">
        <f>IFERROR((Table7[[#This Row],[No. of Testcases Executed]]/Table7[[#This Row],[Effort for Testcase Execution]])*9,"")</f>
        <v/>
      </c>
      <c r="AL34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49" s="259" t="str">
        <f>IFERROR(Table7[[#This Row],[No. of Defects Validated]]/SUMIFS(Table3[Hours Worked],Table3[Release Name],Table7[[#This Row],[Release Name]],Table3[Task Type],"Defect Validation")*9,"")</f>
        <v/>
      </c>
      <c r="AN349" s="258" t="str">
        <f>IFERROR((Table7[[#This Row],[No. of Valid  Internal Testing Defects]])/(Table7[[#This Row],[No. of Valid  Internal Testing Defects]]+Table7[[#This Row],[No. of Invalid Internal Testing Defects]]),"")</f>
        <v/>
      </c>
      <c r="AO349" s="258" t="str">
        <f>IFERROR(Table7[[#This Row],[No. of Valid External Testing Defects]]/(Table7[[#This Row],[No. of Valid External Testing Defects]]+Table7[[#This Row],[No. of Valid  Internal Testing Defects]]),"")</f>
        <v/>
      </c>
    </row>
    <row r="350" spans="2:41">
      <c r="B350" s="237"/>
      <c r="C350" s="14"/>
      <c r="D350" s="14"/>
      <c r="E350" s="14"/>
      <c r="F350" s="230" t="str">
        <f>IFERROR((Table47[[#This Row],[Initial No. of Requirements]]+Table47[[#This Row],[Modified Requirements( Added / Deleted /Modified)]])/Table47[[#This Row],[Initial No. of Requirements]],"")</f>
        <v/>
      </c>
      <c r="G35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0" s="249"/>
      <c r="J350" s="249"/>
      <c r="K350" s="250"/>
      <c r="L350" s="250"/>
      <c r="M350" s="250"/>
      <c r="N350" s="248">
        <f>SUMIFS(Table1[Size],Table1[Release Name],[2]!Table7[Release Name])</f>
        <v>0</v>
      </c>
      <c r="O350" s="248"/>
      <c r="P35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0" s="248"/>
      <c r="R35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0" s="248"/>
      <c r="T350" s="248"/>
      <c r="U350" s="248"/>
      <c r="V350" s="248"/>
      <c r="W350" s="248"/>
      <c r="X350" s="248"/>
      <c r="Y350" s="248"/>
      <c r="Z350" s="248"/>
      <c r="AA350" s="248"/>
      <c r="AB350" s="13">
        <f>SUMIFS(Table3[Hours Worked],Table3[Release Name],Table7[[#This Row],[Release Name]],Table3[Task Type],"Testcase Creation")</f>
        <v>0</v>
      </c>
      <c r="AC350" s="255">
        <f>SUMIFS(Table3[Hours Worked],Table3[Release Name],Table7[[#This Row],[Release Name]],Table3[Task Type],"Testcase Execution")</f>
        <v>0</v>
      </c>
      <c r="AD35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0" s="256" t="str">
        <f>IFERROR((Table7[[#This Row],[No. of Valid Internal Review Defects]]+Table7[[#This Row],[No. of Valid  Internal Testing Defects]]+Table7[[#This Row],[No. of  Valid External Review Defects]]+Table7[[#This Row],[No. of Valid External Testing Defects]])/Table7[[#This Row],[Size]],"")</f>
        <v/>
      </c>
      <c r="AF350" s="257" t="str">
        <f>IFERROR(Table7[[#This Row],[No. of Valid Internal Review Defects]]/(Table7[[#This Row],[No. of Valid Internal Review Defects]]+Table7[[#This Row],[No. of  Valid External Review Defects]]+Table7[[#This Row],[No. of Valid  Internal Testing Defects]]+Table7[[#This Row],[No. of Valid External Testing Defects]]),"")</f>
        <v/>
      </c>
      <c r="AG350" s="258" t="str">
        <f>IFERROR(Table7[[#This Row],[No. of Valid Internal Review Defects]]/(Table7[[#This Row],[No. of Valid Internal Review Defects]]+Table7[[#This Row],[No. of  Valid External Review Defects]]+Table7[[#This Row],[No. of Valid External Testing Defects]]),"")</f>
        <v/>
      </c>
      <c r="AH350" s="256" t="str">
        <f>IFERROR(Table7[[#This Row],[No. of Valid  Internal Testing Defects]]/Table7[[#This Row],[Overall Actual Effort for the release]],"")</f>
        <v/>
      </c>
      <c r="AI350" s="256" t="str">
        <f>IFERROR(Table7[[#This Row],[No. of Valid  Internal Testing Defects]]/Table7[[#This Row],[No. of Testcases Executed]],"")</f>
        <v/>
      </c>
      <c r="AJ350" s="259" t="str">
        <f>IFERROR(IFERROR(Table7[[#This Row],[No. of Testcases Created]]/Table7[[#This Row],[Effort for Testcase Creation]],"")*9,"")</f>
        <v/>
      </c>
      <c r="AK350" s="256" t="str">
        <f>IFERROR((Table7[[#This Row],[No. of Testcases Executed]]/Table7[[#This Row],[Effort for Testcase Execution]])*9,"")</f>
        <v/>
      </c>
      <c r="AL35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0" s="259" t="str">
        <f>IFERROR(Table7[[#This Row],[No. of Defects Validated]]/SUMIFS(Table3[Hours Worked],Table3[Release Name],Table7[[#This Row],[Release Name]],Table3[Task Type],"Defect Validation")*9,"")</f>
        <v/>
      </c>
      <c r="AN350" s="258" t="str">
        <f>IFERROR((Table7[[#This Row],[No. of Valid  Internal Testing Defects]])/(Table7[[#This Row],[No. of Valid  Internal Testing Defects]]+Table7[[#This Row],[No. of Invalid Internal Testing Defects]]),"")</f>
        <v/>
      </c>
      <c r="AO350" s="258" t="str">
        <f>IFERROR(Table7[[#This Row],[No. of Valid External Testing Defects]]/(Table7[[#This Row],[No. of Valid External Testing Defects]]+Table7[[#This Row],[No. of Valid  Internal Testing Defects]]),"")</f>
        <v/>
      </c>
    </row>
    <row r="351" spans="2:41">
      <c r="B351" s="237"/>
      <c r="C351" s="14"/>
      <c r="D351" s="14"/>
      <c r="E351" s="14"/>
      <c r="F351" s="230" t="str">
        <f>IFERROR((Table47[[#This Row],[Initial No. of Requirements]]+Table47[[#This Row],[Modified Requirements( Added / Deleted /Modified)]])/Table47[[#This Row],[Initial No. of Requirements]],"")</f>
        <v/>
      </c>
      <c r="G35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1" s="249"/>
      <c r="J351" s="249"/>
      <c r="K351" s="250"/>
      <c r="L351" s="250"/>
      <c r="M351" s="250"/>
      <c r="N351" s="248">
        <f>SUMIFS(Table1[Size],Table1[Release Name],[2]!Table7[Release Name])</f>
        <v>0</v>
      </c>
      <c r="O351" s="248"/>
      <c r="P35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1" s="248"/>
      <c r="R35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1" s="248"/>
      <c r="T351" s="248"/>
      <c r="U351" s="248"/>
      <c r="V351" s="248"/>
      <c r="W351" s="248"/>
      <c r="X351" s="248"/>
      <c r="Y351" s="248"/>
      <c r="Z351" s="248"/>
      <c r="AA351" s="248"/>
      <c r="AB351" s="13">
        <f>SUMIFS(Table3[Hours Worked],Table3[Release Name],Table7[[#This Row],[Release Name]],Table3[Task Type],"Testcase Creation")</f>
        <v>0</v>
      </c>
      <c r="AC351" s="255">
        <f>SUMIFS(Table3[Hours Worked],Table3[Release Name],Table7[[#This Row],[Release Name]],Table3[Task Type],"Testcase Execution")</f>
        <v>0</v>
      </c>
      <c r="AD35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1" s="256" t="str">
        <f>IFERROR((Table7[[#This Row],[No. of Valid Internal Review Defects]]+Table7[[#This Row],[No. of Valid  Internal Testing Defects]]+Table7[[#This Row],[No. of  Valid External Review Defects]]+Table7[[#This Row],[No. of Valid External Testing Defects]])/Table7[[#This Row],[Size]],"")</f>
        <v/>
      </c>
      <c r="AF351" s="257" t="str">
        <f>IFERROR(Table7[[#This Row],[No. of Valid Internal Review Defects]]/(Table7[[#This Row],[No. of Valid Internal Review Defects]]+Table7[[#This Row],[No. of  Valid External Review Defects]]+Table7[[#This Row],[No. of Valid  Internal Testing Defects]]+Table7[[#This Row],[No. of Valid External Testing Defects]]),"")</f>
        <v/>
      </c>
      <c r="AG351" s="258" t="str">
        <f>IFERROR(Table7[[#This Row],[No. of Valid Internal Review Defects]]/(Table7[[#This Row],[No. of Valid Internal Review Defects]]+Table7[[#This Row],[No. of  Valid External Review Defects]]+Table7[[#This Row],[No. of Valid External Testing Defects]]),"")</f>
        <v/>
      </c>
      <c r="AH351" s="256" t="str">
        <f>IFERROR(Table7[[#This Row],[No. of Valid  Internal Testing Defects]]/Table7[[#This Row],[Overall Actual Effort for the release]],"")</f>
        <v/>
      </c>
      <c r="AI351" s="256" t="str">
        <f>IFERROR(Table7[[#This Row],[No. of Valid  Internal Testing Defects]]/Table7[[#This Row],[No. of Testcases Executed]],"")</f>
        <v/>
      </c>
      <c r="AJ351" s="259" t="str">
        <f>IFERROR(IFERROR(Table7[[#This Row],[No. of Testcases Created]]/Table7[[#This Row],[Effort for Testcase Creation]],"")*9,"")</f>
        <v/>
      </c>
      <c r="AK351" s="256" t="str">
        <f>IFERROR((Table7[[#This Row],[No. of Testcases Executed]]/Table7[[#This Row],[Effort for Testcase Execution]])*9,"")</f>
        <v/>
      </c>
      <c r="AL35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1" s="259" t="str">
        <f>IFERROR(Table7[[#This Row],[No. of Defects Validated]]/SUMIFS(Table3[Hours Worked],Table3[Release Name],Table7[[#This Row],[Release Name]],Table3[Task Type],"Defect Validation")*9,"")</f>
        <v/>
      </c>
      <c r="AN351" s="258" t="str">
        <f>IFERROR((Table7[[#This Row],[No. of Valid  Internal Testing Defects]])/(Table7[[#This Row],[No. of Valid  Internal Testing Defects]]+Table7[[#This Row],[No. of Invalid Internal Testing Defects]]),"")</f>
        <v/>
      </c>
      <c r="AO351" s="258" t="str">
        <f>IFERROR(Table7[[#This Row],[No. of Valid External Testing Defects]]/(Table7[[#This Row],[No. of Valid External Testing Defects]]+Table7[[#This Row],[No. of Valid  Internal Testing Defects]]),"")</f>
        <v/>
      </c>
    </row>
    <row r="352" spans="2:41">
      <c r="B352" s="237"/>
      <c r="C352" s="14"/>
      <c r="D352" s="14"/>
      <c r="E352" s="14"/>
      <c r="F352" s="230" t="str">
        <f>IFERROR((Table47[[#This Row],[Initial No. of Requirements]]+Table47[[#This Row],[Modified Requirements( Added / Deleted /Modified)]])/Table47[[#This Row],[Initial No. of Requirements]],"")</f>
        <v/>
      </c>
      <c r="G35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2" s="249"/>
      <c r="J352" s="249"/>
      <c r="K352" s="250"/>
      <c r="L352" s="250"/>
      <c r="M352" s="250"/>
      <c r="N352" s="248">
        <f>SUMIFS(Table1[Size],Table1[Release Name],[2]!Table7[Release Name])</f>
        <v>0</v>
      </c>
      <c r="O352" s="248"/>
      <c r="P35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2" s="248"/>
      <c r="R35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2" s="248"/>
      <c r="T352" s="248"/>
      <c r="U352" s="248"/>
      <c r="V352" s="248"/>
      <c r="W352" s="248"/>
      <c r="X352" s="248"/>
      <c r="Y352" s="248"/>
      <c r="Z352" s="248"/>
      <c r="AA352" s="248"/>
      <c r="AB352" s="13">
        <f>SUMIFS(Table3[Hours Worked],Table3[Release Name],Table7[[#This Row],[Release Name]],Table3[Task Type],"Testcase Creation")</f>
        <v>0</v>
      </c>
      <c r="AC352" s="255">
        <f>SUMIFS(Table3[Hours Worked],Table3[Release Name],Table7[[#This Row],[Release Name]],Table3[Task Type],"Testcase Execution")</f>
        <v>0</v>
      </c>
      <c r="AD35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2" s="256" t="str">
        <f>IFERROR((Table7[[#This Row],[No. of Valid Internal Review Defects]]+Table7[[#This Row],[No. of Valid  Internal Testing Defects]]+Table7[[#This Row],[No. of  Valid External Review Defects]]+Table7[[#This Row],[No. of Valid External Testing Defects]])/Table7[[#This Row],[Size]],"")</f>
        <v/>
      </c>
      <c r="AF352" s="257" t="str">
        <f>IFERROR(Table7[[#This Row],[No. of Valid Internal Review Defects]]/(Table7[[#This Row],[No. of Valid Internal Review Defects]]+Table7[[#This Row],[No. of  Valid External Review Defects]]+Table7[[#This Row],[No. of Valid  Internal Testing Defects]]+Table7[[#This Row],[No. of Valid External Testing Defects]]),"")</f>
        <v/>
      </c>
      <c r="AG352" s="258" t="str">
        <f>IFERROR(Table7[[#This Row],[No. of Valid Internal Review Defects]]/(Table7[[#This Row],[No. of Valid Internal Review Defects]]+Table7[[#This Row],[No. of  Valid External Review Defects]]+Table7[[#This Row],[No. of Valid External Testing Defects]]),"")</f>
        <v/>
      </c>
      <c r="AH352" s="256" t="str">
        <f>IFERROR(Table7[[#This Row],[No. of Valid  Internal Testing Defects]]/Table7[[#This Row],[Overall Actual Effort for the release]],"")</f>
        <v/>
      </c>
      <c r="AI352" s="256" t="str">
        <f>IFERROR(Table7[[#This Row],[No. of Valid  Internal Testing Defects]]/Table7[[#This Row],[No. of Testcases Executed]],"")</f>
        <v/>
      </c>
      <c r="AJ352" s="259" t="str">
        <f>IFERROR(IFERROR(Table7[[#This Row],[No. of Testcases Created]]/Table7[[#This Row],[Effort for Testcase Creation]],"")*9,"")</f>
        <v/>
      </c>
      <c r="AK352" s="256" t="str">
        <f>IFERROR((Table7[[#This Row],[No. of Testcases Executed]]/Table7[[#This Row],[Effort for Testcase Execution]])*9,"")</f>
        <v/>
      </c>
      <c r="AL35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2" s="259" t="str">
        <f>IFERROR(Table7[[#This Row],[No. of Defects Validated]]/SUMIFS(Table3[Hours Worked],Table3[Release Name],Table7[[#This Row],[Release Name]],Table3[Task Type],"Defect Validation")*9,"")</f>
        <v/>
      </c>
      <c r="AN352" s="258" t="str">
        <f>IFERROR((Table7[[#This Row],[No. of Valid  Internal Testing Defects]])/(Table7[[#This Row],[No. of Valid  Internal Testing Defects]]+Table7[[#This Row],[No. of Invalid Internal Testing Defects]]),"")</f>
        <v/>
      </c>
      <c r="AO352" s="258" t="str">
        <f>IFERROR(Table7[[#This Row],[No. of Valid External Testing Defects]]/(Table7[[#This Row],[No. of Valid External Testing Defects]]+Table7[[#This Row],[No. of Valid  Internal Testing Defects]]),"")</f>
        <v/>
      </c>
    </row>
    <row r="353" spans="2:41">
      <c r="B353" s="237"/>
      <c r="C353" s="14"/>
      <c r="D353" s="14"/>
      <c r="E353" s="14"/>
      <c r="F353" s="230" t="str">
        <f>IFERROR((Table47[[#This Row],[Initial No. of Requirements]]+Table47[[#This Row],[Modified Requirements( Added / Deleted /Modified)]])/Table47[[#This Row],[Initial No. of Requirements]],"")</f>
        <v/>
      </c>
      <c r="G35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3" s="249"/>
      <c r="J353" s="249"/>
      <c r="K353" s="250"/>
      <c r="L353" s="250"/>
      <c r="M353" s="250"/>
      <c r="N353" s="248">
        <f>SUMIFS(Table1[Size],Table1[Release Name],[2]!Table7[Release Name])</f>
        <v>0</v>
      </c>
      <c r="O353" s="248"/>
      <c r="P35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3" s="248"/>
      <c r="R35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3" s="248"/>
      <c r="T353" s="248"/>
      <c r="U353" s="248"/>
      <c r="V353" s="248"/>
      <c r="W353" s="248"/>
      <c r="X353" s="248"/>
      <c r="Y353" s="248"/>
      <c r="Z353" s="248"/>
      <c r="AA353" s="248"/>
      <c r="AB353" s="13">
        <f>SUMIFS(Table3[Hours Worked],Table3[Release Name],Table7[[#This Row],[Release Name]],Table3[Task Type],"Testcase Creation")</f>
        <v>0</v>
      </c>
      <c r="AC353" s="255">
        <f>SUMIFS(Table3[Hours Worked],Table3[Release Name],Table7[[#This Row],[Release Name]],Table3[Task Type],"Testcase Execution")</f>
        <v>0</v>
      </c>
      <c r="AD35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3" s="256" t="str">
        <f>IFERROR((Table7[[#This Row],[No. of Valid Internal Review Defects]]+Table7[[#This Row],[No. of Valid  Internal Testing Defects]]+Table7[[#This Row],[No. of  Valid External Review Defects]]+Table7[[#This Row],[No. of Valid External Testing Defects]])/Table7[[#This Row],[Size]],"")</f>
        <v/>
      </c>
      <c r="AF353" s="257" t="str">
        <f>IFERROR(Table7[[#This Row],[No. of Valid Internal Review Defects]]/(Table7[[#This Row],[No. of Valid Internal Review Defects]]+Table7[[#This Row],[No. of  Valid External Review Defects]]+Table7[[#This Row],[No. of Valid  Internal Testing Defects]]+Table7[[#This Row],[No. of Valid External Testing Defects]]),"")</f>
        <v/>
      </c>
      <c r="AG353" s="258" t="str">
        <f>IFERROR(Table7[[#This Row],[No. of Valid Internal Review Defects]]/(Table7[[#This Row],[No. of Valid Internal Review Defects]]+Table7[[#This Row],[No. of  Valid External Review Defects]]+Table7[[#This Row],[No. of Valid External Testing Defects]]),"")</f>
        <v/>
      </c>
      <c r="AH353" s="256" t="str">
        <f>IFERROR(Table7[[#This Row],[No. of Valid  Internal Testing Defects]]/Table7[[#This Row],[Overall Actual Effort for the release]],"")</f>
        <v/>
      </c>
      <c r="AI353" s="256" t="str">
        <f>IFERROR(Table7[[#This Row],[No. of Valid  Internal Testing Defects]]/Table7[[#This Row],[No. of Testcases Executed]],"")</f>
        <v/>
      </c>
      <c r="AJ353" s="259" t="str">
        <f>IFERROR(IFERROR(Table7[[#This Row],[No. of Testcases Created]]/Table7[[#This Row],[Effort for Testcase Creation]],"")*9,"")</f>
        <v/>
      </c>
      <c r="AK353" s="256" t="str">
        <f>IFERROR((Table7[[#This Row],[No. of Testcases Executed]]/Table7[[#This Row],[Effort for Testcase Execution]])*9,"")</f>
        <v/>
      </c>
      <c r="AL35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3" s="259" t="str">
        <f>IFERROR(Table7[[#This Row],[No. of Defects Validated]]/SUMIFS(Table3[Hours Worked],Table3[Release Name],Table7[[#This Row],[Release Name]],Table3[Task Type],"Defect Validation")*9,"")</f>
        <v/>
      </c>
      <c r="AN353" s="258" t="str">
        <f>IFERROR((Table7[[#This Row],[No. of Valid  Internal Testing Defects]])/(Table7[[#This Row],[No. of Valid  Internal Testing Defects]]+Table7[[#This Row],[No. of Invalid Internal Testing Defects]]),"")</f>
        <v/>
      </c>
      <c r="AO353" s="258" t="str">
        <f>IFERROR(Table7[[#This Row],[No. of Valid External Testing Defects]]/(Table7[[#This Row],[No. of Valid External Testing Defects]]+Table7[[#This Row],[No. of Valid  Internal Testing Defects]]),"")</f>
        <v/>
      </c>
    </row>
    <row r="354" spans="2:41">
      <c r="B354" s="237"/>
      <c r="C354" s="14"/>
      <c r="D354" s="14"/>
      <c r="E354" s="14"/>
      <c r="F354" s="230" t="str">
        <f>IFERROR((Table47[[#This Row],[Initial No. of Requirements]]+Table47[[#This Row],[Modified Requirements( Added / Deleted /Modified)]])/Table47[[#This Row],[Initial No. of Requirements]],"")</f>
        <v/>
      </c>
      <c r="G35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4" s="249"/>
      <c r="J354" s="249"/>
      <c r="K354" s="250"/>
      <c r="L354" s="250"/>
      <c r="M354" s="250"/>
      <c r="N354" s="248">
        <f>SUMIFS(Table1[Size],Table1[Release Name],[2]!Table7[Release Name])</f>
        <v>0</v>
      </c>
      <c r="O354" s="248"/>
      <c r="P35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4" s="248"/>
      <c r="R35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4" s="248"/>
      <c r="T354" s="248"/>
      <c r="U354" s="248"/>
      <c r="V354" s="248"/>
      <c r="W354" s="248"/>
      <c r="X354" s="248"/>
      <c r="Y354" s="248"/>
      <c r="Z354" s="248"/>
      <c r="AA354" s="248"/>
      <c r="AB354" s="13">
        <f>SUMIFS(Table3[Hours Worked],Table3[Release Name],Table7[[#This Row],[Release Name]],Table3[Task Type],"Testcase Creation")</f>
        <v>0</v>
      </c>
      <c r="AC354" s="255">
        <f>SUMIFS(Table3[Hours Worked],Table3[Release Name],Table7[[#This Row],[Release Name]],Table3[Task Type],"Testcase Execution")</f>
        <v>0</v>
      </c>
      <c r="AD35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4" s="256" t="str">
        <f>IFERROR((Table7[[#This Row],[No. of Valid Internal Review Defects]]+Table7[[#This Row],[No. of Valid  Internal Testing Defects]]+Table7[[#This Row],[No. of  Valid External Review Defects]]+Table7[[#This Row],[No. of Valid External Testing Defects]])/Table7[[#This Row],[Size]],"")</f>
        <v/>
      </c>
      <c r="AF354" s="257" t="str">
        <f>IFERROR(Table7[[#This Row],[No. of Valid Internal Review Defects]]/(Table7[[#This Row],[No. of Valid Internal Review Defects]]+Table7[[#This Row],[No. of  Valid External Review Defects]]+Table7[[#This Row],[No. of Valid  Internal Testing Defects]]+Table7[[#This Row],[No. of Valid External Testing Defects]]),"")</f>
        <v/>
      </c>
      <c r="AG354" s="258" t="str">
        <f>IFERROR(Table7[[#This Row],[No. of Valid Internal Review Defects]]/(Table7[[#This Row],[No. of Valid Internal Review Defects]]+Table7[[#This Row],[No. of  Valid External Review Defects]]+Table7[[#This Row],[No. of Valid External Testing Defects]]),"")</f>
        <v/>
      </c>
      <c r="AH354" s="256" t="str">
        <f>IFERROR(Table7[[#This Row],[No. of Valid  Internal Testing Defects]]/Table7[[#This Row],[Overall Actual Effort for the release]],"")</f>
        <v/>
      </c>
      <c r="AI354" s="256" t="str">
        <f>IFERROR(Table7[[#This Row],[No. of Valid  Internal Testing Defects]]/Table7[[#This Row],[No. of Testcases Executed]],"")</f>
        <v/>
      </c>
      <c r="AJ354" s="259" t="str">
        <f>IFERROR(IFERROR(Table7[[#This Row],[No. of Testcases Created]]/Table7[[#This Row],[Effort for Testcase Creation]],"")*9,"")</f>
        <v/>
      </c>
      <c r="AK354" s="256" t="str">
        <f>IFERROR((Table7[[#This Row],[No. of Testcases Executed]]/Table7[[#This Row],[Effort for Testcase Execution]])*9,"")</f>
        <v/>
      </c>
      <c r="AL35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4" s="259" t="str">
        <f>IFERROR(Table7[[#This Row],[No. of Defects Validated]]/SUMIFS(Table3[Hours Worked],Table3[Release Name],Table7[[#This Row],[Release Name]],Table3[Task Type],"Defect Validation")*9,"")</f>
        <v/>
      </c>
      <c r="AN354" s="258" t="str">
        <f>IFERROR((Table7[[#This Row],[No. of Valid  Internal Testing Defects]])/(Table7[[#This Row],[No. of Valid  Internal Testing Defects]]+Table7[[#This Row],[No. of Invalid Internal Testing Defects]]),"")</f>
        <v/>
      </c>
      <c r="AO354" s="258" t="str">
        <f>IFERROR(Table7[[#This Row],[No. of Valid External Testing Defects]]/(Table7[[#This Row],[No. of Valid External Testing Defects]]+Table7[[#This Row],[No. of Valid  Internal Testing Defects]]),"")</f>
        <v/>
      </c>
    </row>
    <row r="355" spans="2:41">
      <c r="B355" s="237"/>
      <c r="C355" s="14"/>
      <c r="D355" s="14"/>
      <c r="E355" s="14"/>
      <c r="F355" s="230" t="str">
        <f>IFERROR((Table47[[#This Row],[Initial No. of Requirements]]+Table47[[#This Row],[Modified Requirements( Added / Deleted /Modified)]])/Table47[[#This Row],[Initial No. of Requirements]],"")</f>
        <v/>
      </c>
      <c r="G35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5" s="249"/>
      <c r="J355" s="249"/>
      <c r="K355" s="250"/>
      <c r="L355" s="250"/>
      <c r="M355" s="250"/>
      <c r="N355" s="248">
        <f>SUMIFS(Table1[Size],Table1[Release Name],[2]!Table7[Release Name])</f>
        <v>0</v>
      </c>
      <c r="O355" s="248"/>
      <c r="P35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5" s="248"/>
      <c r="R35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5" s="248"/>
      <c r="T355" s="248"/>
      <c r="U355" s="248"/>
      <c r="V355" s="248"/>
      <c r="W355" s="248"/>
      <c r="X355" s="248"/>
      <c r="Y355" s="248"/>
      <c r="Z355" s="248"/>
      <c r="AA355" s="248"/>
      <c r="AB355" s="13">
        <f>SUMIFS(Table3[Hours Worked],Table3[Release Name],Table7[[#This Row],[Release Name]],Table3[Task Type],"Testcase Creation")</f>
        <v>0</v>
      </c>
      <c r="AC355" s="255">
        <f>SUMIFS(Table3[Hours Worked],Table3[Release Name],Table7[[#This Row],[Release Name]],Table3[Task Type],"Testcase Execution")</f>
        <v>0</v>
      </c>
      <c r="AD35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5" s="256" t="str">
        <f>IFERROR((Table7[[#This Row],[No. of Valid Internal Review Defects]]+Table7[[#This Row],[No. of Valid  Internal Testing Defects]]+Table7[[#This Row],[No. of  Valid External Review Defects]]+Table7[[#This Row],[No. of Valid External Testing Defects]])/Table7[[#This Row],[Size]],"")</f>
        <v/>
      </c>
      <c r="AF355" s="257" t="str">
        <f>IFERROR(Table7[[#This Row],[No. of Valid Internal Review Defects]]/(Table7[[#This Row],[No. of Valid Internal Review Defects]]+Table7[[#This Row],[No. of  Valid External Review Defects]]+Table7[[#This Row],[No. of Valid  Internal Testing Defects]]+Table7[[#This Row],[No. of Valid External Testing Defects]]),"")</f>
        <v/>
      </c>
      <c r="AG355" s="258" t="str">
        <f>IFERROR(Table7[[#This Row],[No. of Valid Internal Review Defects]]/(Table7[[#This Row],[No. of Valid Internal Review Defects]]+Table7[[#This Row],[No. of  Valid External Review Defects]]+Table7[[#This Row],[No. of Valid External Testing Defects]]),"")</f>
        <v/>
      </c>
      <c r="AH355" s="256" t="str">
        <f>IFERROR(Table7[[#This Row],[No. of Valid  Internal Testing Defects]]/Table7[[#This Row],[Overall Actual Effort for the release]],"")</f>
        <v/>
      </c>
      <c r="AI355" s="256" t="str">
        <f>IFERROR(Table7[[#This Row],[No. of Valid  Internal Testing Defects]]/Table7[[#This Row],[No. of Testcases Executed]],"")</f>
        <v/>
      </c>
      <c r="AJ355" s="259" t="str">
        <f>IFERROR(IFERROR(Table7[[#This Row],[No. of Testcases Created]]/Table7[[#This Row],[Effort for Testcase Creation]],"")*9,"")</f>
        <v/>
      </c>
      <c r="AK355" s="256" t="str">
        <f>IFERROR((Table7[[#This Row],[No. of Testcases Executed]]/Table7[[#This Row],[Effort for Testcase Execution]])*9,"")</f>
        <v/>
      </c>
      <c r="AL35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5" s="259" t="str">
        <f>IFERROR(Table7[[#This Row],[No. of Defects Validated]]/SUMIFS(Table3[Hours Worked],Table3[Release Name],Table7[[#This Row],[Release Name]],Table3[Task Type],"Defect Validation")*9,"")</f>
        <v/>
      </c>
      <c r="AN355" s="258" t="str">
        <f>IFERROR((Table7[[#This Row],[No. of Valid  Internal Testing Defects]])/(Table7[[#This Row],[No. of Valid  Internal Testing Defects]]+Table7[[#This Row],[No. of Invalid Internal Testing Defects]]),"")</f>
        <v/>
      </c>
      <c r="AO355" s="258" t="str">
        <f>IFERROR(Table7[[#This Row],[No. of Valid External Testing Defects]]/(Table7[[#This Row],[No. of Valid External Testing Defects]]+Table7[[#This Row],[No. of Valid  Internal Testing Defects]]),"")</f>
        <v/>
      </c>
    </row>
    <row r="356" spans="2:41">
      <c r="B356" s="237"/>
      <c r="C356" s="14"/>
      <c r="D356" s="14"/>
      <c r="E356" s="14"/>
      <c r="F356" s="230" t="str">
        <f>IFERROR((Table47[[#This Row],[Initial No. of Requirements]]+Table47[[#This Row],[Modified Requirements( Added / Deleted /Modified)]])/Table47[[#This Row],[Initial No. of Requirements]],"")</f>
        <v/>
      </c>
      <c r="G35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6" s="249"/>
      <c r="J356" s="249"/>
      <c r="K356" s="250"/>
      <c r="L356" s="250"/>
      <c r="M356" s="250"/>
      <c r="N356" s="248">
        <f>SUMIFS(Table1[Size],Table1[Release Name],[2]!Table7[Release Name])</f>
        <v>0</v>
      </c>
      <c r="O356" s="248"/>
      <c r="P35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6" s="248"/>
      <c r="R35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6" s="248"/>
      <c r="T356" s="248"/>
      <c r="U356" s="248"/>
      <c r="V356" s="248"/>
      <c r="W356" s="248"/>
      <c r="X356" s="248"/>
      <c r="Y356" s="248"/>
      <c r="Z356" s="248"/>
      <c r="AA356" s="248"/>
      <c r="AB356" s="13">
        <f>SUMIFS(Table3[Hours Worked],Table3[Release Name],Table7[[#This Row],[Release Name]],Table3[Task Type],"Testcase Creation")</f>
        <v>0</v>
      </c>
      <c r="AC356" s="255">
        <f>SUMIFS(Table3[Hours Worked],Table3[Release Name],Table7[[#This Row],[Release Name]],Table3[Task Type],"Testcase Execution")</f>
        <v>0</v>
      </c>
      <c r="AD35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6" s="256" t="str">
        <f>IFERROR((Table7[[#This Row],[No. of Valid Internal Review Defects]]+Table7[[#This Row],[No. of Valid  Internal Testing Defects]]+Table7[[#This Row],[No. of  Valid External Review Defects]]+Table7[[#This Row],[No. of Valid External Testing Defects]])/Table7[[#This Row],[Size]],"")</f>
        <v/>
      </c>
      <c r="AF356" s="257" t="str">
        <f>IFERROR(Table7[[#This Row],[No. of Valid Internal Review Defects]]/(Table7[[#This Row],[No. of Valid Internal Review Defects]]+Table7[[#This Row],[No. of  Valid External Review Defects]]+Table7[[#This Row],[No. of Valid  Internal Testing Defects]]+Table7[[#This Row],[No. of Valid External Testing Defects]]),"")</f>
        <v/>
      </c>
      <c r="AG356" s="258" t="str">
        <f>IFERROR(Table7[[#This Row],[No. of Valid Internal Review Defects]]/(Table7[[#This Row],[No. of Valid Internal Review Defects]]+Table7[[#This Row],[No. of  Valid External Review Defects]]+Table7[[#This Row],[No. of Valid External Testing Defects]]),"")</f>
        <v/>
      </c>
      <c r="AH356" s="256" t="str">
        <f>IFERROR(Table7[[#This Row],[No. of Valid  Internal Testing Defects]]/Table7[[#This Row],[Overall Actual Effort for the release]],"")</f>
        <v/>
      </c>
      <c r="AI356" s="256" t="str">
        <f>IFERROR(Table7[[#This Row],[No. of Valid  Internal Testing Defects]]/Table7[[#This Row],[No. of Testcases Executed]],"")</f>
        <v/>
      </c>
      <c r="AJ356" s="259" t="str">
        <f>IFERROR(IFERROR(Table7[[#This Row],[No. of Testcases Created]]/Table7[[#This Row],[Effort for Testcase Creation]],"")*9,"")</f>
        <v/>
      </c>
      <c r="AK356" s="256" t="str">
        <f>IFERROR((Table7[[#This Row],[No. of Testcases Executed]]/Table7[[#This Row],[Effort for Testcase Execution]])*9,"")</f>
        <v/>
      </c>
      <c r="AL35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6" s="259" t="str">
        <f>IFERROR(Table7[[#This Row],[No. of Defects Validated]]/SUMIFS(Table3[Hours Worked],Table3[Release Name],Table7[[#This Row],[Release Name]],Table3[Task Type],"Defect Validation")*9,"")</f>
        <v/>
      </c>
      <c r="AN356" s="258" t="str">
        <f>IFERROR((Table7[[#This Row],[No. of Valid  Internal Testing Defects]])/(Table7[[#This Row],[No. of Valid  Internal Testing Defects]]+Table7[[#This Row],[No. of Invalid Internal Testing Defects]]),"")</f>
        <v/>
      </c>
      <c r="AO356" s="258" t="str">
        <f>IFERROR(Table7[[#This Row],[No. of Valid External Testing Defects]]/(Table7[[#This Row],[No. of Valid External Testing Defects]]+Table7[[#This Row],[No. of Valid  Internal Testing Defects]]),"")</f>
        <v/>
      </c>
    </row>
    <row r="357" spans="2:41">
      <c r="B357" s="237"/>
      <c r="C357" s="14"/>
      <c r="D357" s="14"/>
      <c r="E357" s="14"/>
      <c r="F357" s="230" t="str">
        <f>IFERROR((Table47[[#This Row],[Initial No. of Requirements]]+Table47[[#This Row],[Modified Requirements( Added / Deleted /Modified)]])/Table47[[#This Row],[Initial No. of Requirements]],"")</f>
        <v/>
      </c>
      <c r="G35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7" s="249"/>
      <c r="J357" s="249"/>
      <c r="K357" s="250"/>
      <c r="L357" s="250"/>
      <c r="M357" s="250"/>
      <c r="N357" s="248">
        <f>SUMIFS(Table1[Size],Table1[Release Name],[2]!Table7[Release Name])</f>
        <v>0</v>
      </c>
      <c r="O357" s="248"/>
      <c r="P35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7" s="248"/>
      <c r="R35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7" s="248"/>
      <c r="T357" s="248"/>
      <c r="U357" s="248"/>
      <c r="V357" s="248"/>
      <c r="W357" s="248"/>
      <c r="X357" s="248"/>
      <c r="Y357" s="248"/>
      <c r="Z357" s="248"/>
      <c r="AA357" s="248"/>
      <c r="AB357" s="13">
        <f>SUMIFS(Table3[Hours Worked],Table3[Release Name],Table7[[#This Row],[Release Name]],Table3[Task Type],"Testcase Creation")</f>
        <v>0</v>
      </c>
      <c r="AC357" s="255">
        <f>SUMIFS(Table3[Hours Worked],Table3[Release Name],Table7[[#This Row],[Release Name]],Table3[Task Type],"Testcase Execution")</f>
        <v>0</v>
      </c>
      <c r="AD35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7" s="256" t="str">
        <f>IFERROR((Table7[[#This Row],[No. of Valid Internal Review Defects]]+Table7[[#This Row],[No. of Valid  Internal Testing Defects]]+Table7[[#This Row],[No. of  Valid External Review Defects]]+Table7[[#This Row],[No. of Valid External Testing Defects]])/Table7[[#This Row],[Size]],"")</f>
        <v/>
      </c>
      <c r="AF357" s="257" t="str">
        <f>IFERROR(Table7[[#This Row],[No. of Valid Internal Review Defects]]/(Table7[[#This Row],[No. of Valid Internal Review Defects]]+Table7[[#This Row],[No. of  Valid External Review Defects]]+Table7[[#This Row],[No. of Valid  Internal Testing Defects]]+Table7[[#This Row],[No. of Valid External Testing Defects]]),"")</f>
        <v/>
      </c>
      <c r="AG357" s="258" t="str">
        <f>IFERROR(Table7[[#This Row],[No. of Valid Internal Review Defects]]/(Table7[[#This Row],[No. of Valid Internal Review Defects]]+Table7[[#This Row],[No. of  Valid External Review Defects]]+Table7[[#This Row],[No. of Valid External Testing Defects]]),"")</f>
        <v/>
      </c>
      <c r="AH357" s="256" t="str">
        <f>IFERROR(Table7[[#This Row],[No. of Valid  Internal Testing Defects]]/Table7[[#This Row],[Overall Actual Effort for the release]],"")</f>
        <v/>
      </c>
      <c r="AI357" s="256" t="str">
        <f>IFERROR(Table7[[#This Row],[No. of Valid  Internal Testing Defects]]/Table7[[#This Row],[No. of Testcases Executed]],"")</f>
        <v/>
      </c>
      <c r="AJ357" s="259" t="str">
        <f>IFERROR(IFERROR(Table7[[#This Row],[No. of Testcases Created]]/Table7[[#This Row],[Effort for Testcase Creation]],"")*9,"")</f>
        <v/>
      </c>
      <c r="AK357" s="256" t="str">
        <f>IFERROR((Table7[[#This Row],[No. of Testcases Executed]]/Table7[[#This Row],[Effort for Testcase Execution]])*9,"")</f>
        <v/>
      </c>
      <c r="AL35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7" s="259" t="str">
        <f>IFERROR(Table7[[#This Row],[No. of Defects Validated]]/SUMIFS(Table3[Hours Worked],Table3[Release Name],Table7[[#This Row],[Release Name]],Table3[Task Type],"Defect Validation")*9,"")</f>
        <v/>
      </c>
      <c r="AN357" s="258" t="str">
        <f>IFERROR((Table7[[#This Row],[No. of Valid  Internal Testing Defects]])/(Table7[[#This Row],[No. of Valid  Internal Testing Defects]]+Table7[[#This Row],[No. of Invalid Internal Testing Defects]]),"")</f>
        <v/>
      </c>
      <c r="AO357" s="258" t="str">
        <f>IFERROR(Table7[[#This Row],[No. of Valid External Testing Defects]]/(Table7[[#This Row],[No. of Valid External Testing Defects]]+Table7[[#This Row],[No. of Valid  Internal Testing Defects]]),"")</f>
        <v/>
      </c>
    </row>
    <row r="358" spans="2:41">
      <c r="B358" s="237"/>
      <c r="C358" s="14"/>
      <c r="D358" s="14"/>
      <c r="E358" s="14"/>
      <c r="F358" s="230" t="str">
        <f>IFERROR((Table47[[#This Row],[Initial No. of Requirements]]+Table47[[#This Row],[Modified Requirements( Added / Deleted /Modified)]])/Table47[[#This Row],[Initial No. of Requirements]],"")</f>
        <v/>
      </c>
      <c r="G35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8" s="249"/>
      <c r="J358" s="249"/>
      <c r="K358" s="250"/>
      <c r="L358" s="250"/>
      <c r="M358" s="250"/>
      <c r="N358" s="248">
        <f>SUMIFS(Table1[Size],Table1[Release Name],[2]!Table7[Release Name])</f>
        <v>0</v>
      </c>
      <c r="O358" s="248"/>
      <c r="P35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8" s="248"/>
      <c r="R35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8" s="248"/>
      <c r="T358" s="248"/>
      <c r="U358" s="248"/>
      <c r="V358" s="248"/>
      <c r="W358" s="248"/>
      <c r="X358" s="248"/>
      <c r="Y358" s="248"/>
      <c r="Z358" s="248"/>
      <c r="AA358" s="248"/>
      <c r="AB358" s="13">
        <f>SUMIFS(Table3[Hours Worked],Table3[Release Name],Table7[[#This Row],[Release Name]],Table3[Task Type],"Testcase Creation")</f>
        <v>0</v>
      </c>
      <c r="AC358" s="255">
        <f>SUMIFS(Table3[Hours Worked],Table3[Release Name],Table7[[#This Row],[Release Name]],Table3[Task Type],"Testcase Execution")</f>
        <v>0</v>
      </c>
      <c r="AD35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8" s="256" t="str">
        <f>IFERROR((Table7[[#This Row],[No. of Valid Internal Review Defects]]+Table7[[#This Row],[No. of Valid  Internal Testing Defects]]+Table7[[#This Row],[No. of  Valid External Review Defects]]+Table7[[#This Row],[No. of Valid External Testing Defects]])/Table7[[#This Row],[Size]],"")</f>
        <v/>
      </c>
      <c r="AF358" s="257" t="str">
        <f>IFERROR(Table7[[#This Row],[No. of Valid Internal Review Defects]]/(Table7[[#This Row],[No. of Valid Internal Review Defects]]+Table7[[#This Row],[No. of  Valid External Review Defects]]+Table7[[#This Row],[No. of Valid  Internal Testing Defects]]+Table7[[#This Row],[No. of Valid External Testing Defects]]),"")</f>
        <v/>
      </c>
      <c r="AG358" s="258" t="str">
        <f>IFERROR(Table7[[#This Row],[No. of Valid Internal Review Defects]]/(Table7[[#This Row],[No. of Valid Internal Review Defects]]+Table7[[#This Row],[No. of  Valid External Review Defects]]+Table7[[#This Row],[No. of Valid External Testing Defects]]),"")</f>
        <v/>
      </c>
      <c r="AH358" s="256" t="str">
        <f>IFERROR(Table7[[#This Row],[No. of Valid  Internal Testing Defects]]/Table7[[#This Row],[Overall Actual Effort for the release]],"")</f>
        <v/>
      </c>
      <c r="AI358" s="256" t="str">
        <f>IFERROR(Table7[[#This Row],[No. of Valid  Internal Testing Defects]]/Table7[[#This Row],[No. of Testcases Executed]],"")</f>
        <v/>
      </c>
      <c r="AJ358" s="259" t="str">
        <f>IFERROR(IFERROR(Table7[[#This Row],[No. of Testcases Created]]/Table7[[#This Row],[Effort for Testcase Creation]],"")*9,"")</f>
        <v/>
      </c>
      <c r="AK358" s="256" t="str">
        <f>IFERROR((Table7[[#This Row],[No. of Testcases Executed]]/Table7[[#This Row],[Effort for Testcase Execution]])*9,"")</f>
        <v/>
      </c>
      <c r="AL35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8" s="259" t="str">
        <f>IFERROR(Table7[[#This Row],[No. of Defects Validated]]/SUMIFS(Table3[Hours Worked],Table3[Release Name],Table7[[#This Row],[Release Name]],Table3[Task Type],"Defect Validation")*9,"")</f>
        <v/>
      </c>
      <c r="AN358" s="258" t="str">
        <f>IFERROR((Table7[[#This Row],[No. of Valid  Internal Testing Defects]])/(Table7[[#This Row],[No. of Valid  Internal Testing Defects]]+Table7[[#This Row],[No. of Invalid Internal Testing Defects]]),"")</f>
        <v/>
      </c>
      <c r="AO358" s="258" t="str">
        <f>IFERROR(Table7[[#This Row],[No. of Valid External Testing Defects]]/(Table7[[#This Row],[No. of Valid External Testing Defects]]+Table7[[#This Row],[No. of Valid  Internal Testing Defects]]),"")</f>
        <v/>
      </c>
    </row>
    <row r="359" spans="2:41">
      <c r="B359" s="237"/>
      <c r="C359" s="14"/>
      <c r="D359" s="14"/>
      <c r="E359" s="14"/>
      <c r="F359" s="230" t="str">
        <f>IFERROR((Table47[[#This Row],[Initial No. of Requirements]]+Table47[[#This Row],[Modified Requirements( Added / Deleted /Modified)]])/Table47[[#This Row],[Initial No. of Requirements]],"")</f>
        <v/>
      </c>
      <c r="G35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59" s="249"/>
      <c r="J359" s="249"/>
      <c r="K359" s="250"/>
      <c r="L359" s="250"/>
      <c r="M359" s="250"/>
      <c r="N359" s="248">
        <f>SUMIFS(Table1[Size],Table1[Release Name],[2]!Table7[Release Name])</f>
        <v>0</v>
      </c>
      <c r="O359" s="248"/>
      <c r="P35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59" s="248"/>
      <c r="R35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59" s="248"/>
      <c r="T359" s="248"/>
      <c r="U359" s="248"/>
      <c r="V359" s="248"/>
      <c r="W359" s="248"/>
      <c r="X359" s="248"/>
      <c r="Y359" s="248"/>
      <c r="Z359" s="248"/>
      <c r="AA359" s="248"/>
      <c r="AB359" s="13">
        <f>SUMIFS(Table3[Hours Worked],Table3[Release Name],Table7[[#This Row],[Release Name]],Table3[Task Type],"Testcase Creation")</f>
        <v>0</v>
      </c>
      <c r="AC359" s="255">
        <f>SUMIFS(Table3[Hours Worked],Table3[Release Name],Table7[[#This Row],[Release Name]],Table3[Task Type],"Testcase Execution")</f>
        <v>0</v>
      </c>
      <c r="AD35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59" s="256" t="str">
        <f>IFERROR((Table7[[#This Row],[No. of Valid Internal Review Defects]]+Table7[[#This Row],[No. of Valid  Internal Testing Defects]]+Table7[[#This Row],[No. of  Valid External Review Defects]]+Table7[[#This Row],[No. of Valid External Testing Defects]])/Table7[[#This Row],[Size]],"")</f>
        <v/>
      </c>
      <c r="AF359" s="257" t="str">
        <f>IFERROR(Table7[[#This Row],[No. of Valid Internal Review Defects]]/(Table7[[#This Row],[No. of Valid Internal Review Defects]]+Table7[[#This Row],[No. of  Valid External Review Defects]]+Table7[[#This Row],[No. of Valid  Internal Testing Defects]]+Table7[[#This Row],[No. of Valid External Testing Defects]]),"")</f>
        <v/>
      </c>
      <c r="AG359" s="258" t="str">
        <f>IFERROR(Table7[[#This Row],[No. of Valid Internal Review Defects]]/(Table7[[#This Row],[No. of Valid Internal Review Defects]]+Table7[[#This Row],[No. of  Valid External Review Defects]]+Table7[[#This Row],[No. of Valid External Testing Defects]]),"")</f>
        <v/>
      </c>
      <c r="AH359" s="256" t="str">
        <f>IFERROR(Table7[[#This Row],[No. of Valid  Internal Testing Defects]]/Table7[[#This Row],[Overall Actual Effort for the release]],"")</f>
        <v/>
      </c>
      <c r="AI359" s="256" t="str">
        <f>IFERROR(Table7[[#This Row],[No. of Valid  Internal Testing Defects]]/Table7[[#This Row],[No. of Testcases Executed]],"")</f>
        <v/>
      </c>
      <c r="AJ359" s="259" t="str">
        <f>IFERROR(IFERROR(Table7[[#This Row],[No. of Testcases Created]]/Table7[[#This Row],[Effort for Testcase Creation]],"")*9,"")</f>
        <v/>
      </c>
      <c r="AK359" s="256" t="str">
        <f>IFERROR((Table7[[#This Row],[No. of Testcases Executed]]/Table7[[#This Row],[Effort for Testcase Execution]])*9,"")</f>
        <v/>
      </c>
      <c r="AL35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59" s="259" t="str">
        <f>IFERROR(Table7[[#This Row],[No. of Defects Validated]]/SUMIFS(Table3[Hours Worked],Table3[Release Name],Table7[[#This Row],[Release Name]],Table3[Task Type],"Defect Validation")*9,"")</f>
        <v/>
      </c>
      <c r="AN359" s="258" t="str">
        <f>IFERROR((Table7[[#This Row],[No. of Valid  Internal Testing Defects]])/(Table7[[#This Row],[No. of Valid  Internal Testing Defects]]+Table7[[#This Row],[No. of Invalid Internal Testing Defects]]),"")</f>
        <v/>
      </c>
      <c r="AO359" s="258" t="str">
        <f>IFERROR(Table7[[#This Row],[No. of Valid External Testing Defects]]/(Table7[[#This Row],[No. of Valid External Testing Defects]]+Table7[[#This Row],[No. of Valid  Internal Testing Defects]]),"")</f>
        <v/>
      </c>
    </row>
    <row r="360" spans="2:41">
      <c r="B360" s="237"/>
      <c r="C360" s="14"/>
      <c r="D360" s="14"/>
      <c r="E360" s="14"/>
      <c r="F360" s="230" t="str">
        <f>IFERROR((Table47[[#This Row],[Initial No. of Requirements]]+Table47[[#This Row],[Modified Requirements( Added / Deleted /Modified)]])/Table47[[#This Row],[Initial No. of Requirements]],"")</f>
        <v/>
      </c>
      <c r="G36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0" s="249"/>
      <c r="J360" s="249"/>
      <c r="K360" s="250"/>
      <c r="L360" s="250"/>
      <c r="M360" s="250"/>
      <c r="N360" s="248">
        <f>SUMIFS(Table1[Size],Table1[Release Name],[2]!Table7[Release Name])</f>
        <v>0</v>
      </c>
      <c r="O360" s="248"/>
      <c r="P36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0" s="248"/>
      <c r="R36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0" s="248"/>
      <c r="T360" s="248"/>
      <c r="U360" s="248"/>
      <c r="V360" s="248"/>
      <c r="W360" s="248"/>
      <c r="X360" s="248"/>
      <c r="Y360" s="248"/>
      <c r="Z360" s="248"/>
      <c r="AA360" s="248"/>
      <c r="AB360" s="13">
        <f>SUMIFS(Table3[Hours Worked],Table3[Release Name],Table7[[#This Row],[Release Name]],Table3[Task Type],"Testcase Creation")</f>
        <v>0</v>
      </c>
      <c r="AC360" s="255">
        <f>SUMIFS(Table3[Hours Worked],Table3[Release Name],Table7[[#This Row],[Release Name]],Table3[Task Type],"Testcase Execution")</f>
        <v>0</v>
      </c>
      <c r="AD36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0" s="256" t="str">
        <f>IFERROR((Table7[[#This Row],[No. of Valid Internal Review Defects]]+Table7[[#This Row],[No. of Valid  Internal Testing Defects]]+Table7[[#This Row],[No. of  Valid External Review Defects]]+Table7[[#This Row],[No. of Valid External Testing Defects]])/Table7[[#This Row],[Size]],"")</f>
        <v/>
      </c>
      <c r="AF360" s="257" t="str">
        <f>IFERROR(Table7[[#This Row],[No. of Valid Internal Review Defects]]/(Table7[[#This Row],[No. of Valid Internal Review Defects]]+Table7[[#This Row],[No. of  Valid External Review Defects]]+Table7[[#This Row],[No. of Valid  Internal Testing Defects]]+Table7[[#This Row],[No. of Valid External Testing Defects]]),"")</f>
        <v/>
      </c>
      <c r="AG360" s="258" t="str">
        <f>IFERROR(Table7[[#This Row],[No. of Valid Internal Review Defects]]/(Table7[[#This Row],[No. of Valid Internal Review Defects]]+Table7[[#This Row],[No. of  Valid External Review Defects]]+Table7[[#This Row],[No. of Valid External Testing Defects]]),"")</f>
        <v/>
      </c>
      <c r="AH360" s="256" t="str">
        <f>IFERROR(Table7[[#This Row],[No. of Valid  Internal Testing Defects]]/Table7[[#This Row],[Overall Actual Effort for the release]],"")</f>
        <v/>
      </c>
      <c r="AI360" s="256" t="str">
        <f>IFERROR(Table7[[#This Row],[No. of Valid  Internal Testing Defects]]/Table7[[#This Row],[No. of Testcases Executed]],"")</f>
        <v/>
      </c>
      <c r="AJ360" s="259" t="str">
        <f>IFERROR(IFERROR(Table7[[#This Row],[No. of Testcases Created]]/Table7[[#This Row],[Effort for Testcase Creation]],"")*9,"")</f>
        <v/>
      </c>
      <c r="AK360" s="256" t="str">
        <f>IFERROR((Table7[[#This Row],[No. of Testcases Executed]]/Table7[[#This Row],[Effort for Testcase Execution]])*9,"")</f>
        <v/>
      </c>
      <c r="AL36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0" s="259" t="str">
        <f>IFERROR(Table7[[#This Row],[No. of Defects Validated]]/SUMIFS(Table3[Hours Worked],Table3[Release Name],Table7[[#This Row],[Release Name]],Table3[Task Type],"Defect Validation")*9,"")</f>
        <v/>
      </c>
      <c r="AN360" s="258" t="str">
        <f>IFERROR((Table7[[#This Row],[No. of Valid  Internal Testing Defects]])/(Table7[[#This Row],[No. of Valid  Internal Testing Defects]]+Table7[[#This Row],[No. of Invalid Internal Testing Defects]]),"")</f>
        <v/>
      </c>
      <c r="AO360" s="258" t="str">
        <f>IFERROR(Table7[[#This Row],[No. of Valid External Testing Defects]]/(Table7[[#This Row],[No. of Valid External Testing Defects]]+Table7[[#This Row],[No. of Valid  Internal Testing Defects]]),"")</f>
        <v/>
      </c>
    </row>
    <row r="361" spans="2:41">
      <c r="B361" s="237"/>
      <c r="C361" s="14"/>
      <c r="D361" s="14"/>
      <c r="E361" s="14"/>
      <c r="F361" s="230" t="str">
        <f>IFERROR((Table47[[#This Row],[Initial No. of Requirements]]+Table47[[#This Row],[Modified Requirements( Added / Deleted /Modified)]])/Table47[[#This Row],[Initial No. of Requirements]],"")</f>
        <v/>
      </c>
      <c r="G36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1" s="249"/>
      <c r="J361" s="249"/>
      <c r="K361" s="250"/>
      <c r="L361" s="250"/>
      <c r="M361" s="250"/>
      <c r="N361" s="248">
        <f>SUMIFS(Table1[Size],Table1[Release Name],[2]!Table7[Release Name])</f>
        <v>0</v>
      </c>
      <c r="O361" s="248"/>
      <c r="P36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1" s="248"/>
      <c r="R36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1" s="248"/>
      <c r="T361" s="248"/>
      <c r="U361" s="248"/>
      <c r="V361" s="248"/>
      <c r="W361" s="248"/>
      <c r="X361" s="248"/>
      <c r="Y361" s="248"/>
      <c r="Z361" s="248"/>
      <c r="AA361" s="248"/>
      <c r="AB361" s="13">
        <f>SUMIFS(Table3[Hours Worked],Table3[Release Name],Table7[[#This Row],[Release Name]],Table3[Task Type],"Testcase Creation")</f>
        <v>0</v>
      </c>
      <c r="AC361" s="255">
        <f>SUMIFS(Table3[Hours Worked],Table3[Release Name],Table7[[#This Row],[Release Name]],Table3[Task Type],"Testcase Execution")</f>
        <v>0</v>
      </c>
      <c r="AD36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1" s="256" t="str">
        <f>IFERROR((Table7[[#This Row],[No. of Valid Internal Review Defects]]+Table7[[#This Row],[No. of Valid  Internal Testing Defects]]+Table7[[#This Row],[No. of  Valid External Review Defects]]+Table7[[#This Row],[No. of Valid External Testing Defects]])/Table7[[#This Row],[Size]],"")</f>
        <v/>
      </c>
      <c r="AF361" s="257" t="str">
        <f>IFERROR(Table7[[#This Row],[No. of Valid Internal Review Defects]]/(Table7[[#This Row],[No. of Valid Internal Review Defects]]+Table7[[#This Row],[No. of  Valid External Review Defects]]+Table7[[#This Row],[No. of Valid  Internal Testing Defects]]+Table7[[#This Row],[No. of Valid External Testing Defects]]),"")</f>
        <v/>
      </c>
      <c r="AG361" s="258" t="str">
        <f>IFERROR(Table7[[#This Row],[No. of Valid Internal Review Defects]]/(Table7[[#This Row],[No. of Valid Internal Review Defects]]+Table7[[#This Row],[No. of  Valid External Review Defects]]+Table7[[#This Row],[No. of Valid External Testing Defects]]),"")</f>
        <v/>
      </c>
      <c r="AH361" s="256" t="str">
        <f>IFERROR(Table7[[#This Row],[No. of Valid  Internal Testing Defects]]/Table7[[#This Row],[Overall Actual Effort for the release]],"")</f>
        <v/>
      </c>
      <c r="AI361" s="256" t="str">
        <f>IFERROR(Table7[[#This Row],[No. of Valid  Internal Testing Defects]]/Table7[[#This Row],[No. of Testcases Executed]],"")</f>
        <v/>
      </c>
      <c r="AJ361" s="259" t="str">
        <f>IFERROR(IFERROR(Table7[[#This Row],[No. of Testcases Created]]/Table7[[#This Row],[Effort for Testcase Creation]],"")*9,"")</f>
        <v/>
      </c>
      <c r="AK361" s="256" t="str">
        <f>IFERROR((Table7[[#This Row],[No. of Testcases Executed]]/Table7[[#This Row],[Effort for Testcase Execution]])*9,"")</f>
        <v/>
      </c>
      <c r="AL36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1" s="259" t="str">
        <f>IFERROR(Table7[[#This Row],[No. of Defects Validated]]/SUMIFS(Table3[Hours Worked],Table3[Release Name],Table7[[#This Row],[Release Name]],Table3[Task Type],"Defect Validation")*9,"")</f>
        <v/>
      </c>
      <c r="AN361" s="258" t="str">
        <f>IFERROR((Table7[[#This Row],[No. of Valid  Internal Testing Defects]])/(Table7[[#This Row],[No. of Valid  Internal Testing Defects]]+Table7[[#This Row],[No. of Invalid Internal Testing Defects]]),"")</f>
        <v/>
      </c>
      <c r="AO361" s="258" t="str">
        <f>IFERROR(Table7[[#This Row],[No. of Valid External Testing Defects]]/(Table7[[#This Row],[No. of Valid External Testing Defects]]+Table7[[#This Row],[No. of Valid  Internal Testing Defects]]),"")</f>
        <v/>
      </c>
    </row>
    <row r="362" spans="2:41">
      <c r="B362" s="237"/>
      <c r="C362" s="14"/>
      <c r="D362" s="14"/>
      <c r="E362" s="14"/>
      <c r="F362" s="230" t="str">
        <f>IFERROR((Table47[[#This Row],[Initial No. of Requirements]]+Table47[[#This Row],[Modified Requirements( Added / Deleted /Modified)]])/Table47[[#This Row],[Initial No. of Requirements]],"")</f>
        <v/>
      </c>
      <c r="G36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2" s="249"/>
      <c r="J362" s="249"/>
      <c r="K362" s="250"/>
      <c r="L362" s="250"/>
      <c r="M362" s="250"/>
      <c r="N362" s="248">
        <f>SUMIFS(Table1[Size],Table1[Release Name],[2]!Table7[Release Name])</f>
        <v>0</v>
      </c>
      <c r="O362" s="248"/>
      <c r="P36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2" s="248"/>
      <c r="R36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2" s="248"/>
      <c r="T362" s="248"/>
      <c r="U362" s="248"/>
      <c r="V362" s="248"/>
      <c r="W362" s="248"/>
      <c r="X362" s="248"/>
      <c r="Y362" s="248"/>
      <c r="Z362" s="248"/>
      <c r="AA362" s="248"/>
      <c r="AB362" s="13">
        <f>SUMIFS(Table3[Hours Worked],Table3[Release Name],Table7[[#This Row],[Release Name]],Table3[Task Type],"Testcase Creation")</f>
        <v>0</v>
      </c>
      <c r="AC362" s="255">
        <f>SUMIFS(Table3[Hours Worked],Table3[Release Name],Table7[[#This Row],[Release Name]],Table3[Task Type],"Testcase Execution")</f>
        <v>0</v>
      </c>
      <c r="AD36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2" s="256" t="str">
        <f>IFERROR((Table7[[#This Row],[No. of Valid Internal Review Defects]]+Table7[[#This Row],[No. of Valid  Internal Testing Defects]]+Table7[[#This Row],[No. of  Valid External Review Defects]]+Table7[[#This Row],[No. of Valid External Testing Defects]])/Table7[[#This Row],[Size]],"")</f>
        <v/>
      </c>
      <c r="AF362" s="257" t="str">
        <f>IFERROR(Table7[[#This Row],[No. of Valid Internal Review Defects]]/(Table7[[#This Row],[No. of Valid Internal Review Defects]]+Table7[[#This Row],[No. of  Valid External Review Defects]]+Table7[[#This Row],[No. of Valid  Internal Testing Defects]]+Table7[[#This Row],[No. of Valid External Testing Defects]]),"")</f>
        <v/>
      </c>
      <c r="AG362" s="258" t="str">
        <f>IFERROR(Table7[[#This Row],[No. of Valid Internal Review Defects]]/(Table7[[#This Row],[No. of Valid Internal Review Defects]]+Table7[[#This Row],[No. of  Valid External Review Defects]]+Table7[[#This Row],[No. of Valid External Testing Defects]]),"")</f>
        <v/>
      </c>
      <c r="AH362" s="256" t="str">
        <f>IFERROR(Table7[[#This Row],[No. of Valid  Internal Testing Defects]]/Table7[[#This Row],[Overall Actual Effort for the release]],"")</f>
        <v/>
      </c>
      <c r="AI362" s="256" t="str">
        <f>IFERROR(Table7[[#This Row],[No. of Valid  Internal Testing Defects]]/Table7[[#This Row],[No. of Testcases Executed]],"")</f>
        <v/>
      </c>
      <c r="AJ362" s="259" t="str">
        <f>IFERROR(IFERROR(Table7[[#This Row],[No. of Testcases Created]]/Table7[[#This Row],[Effort for Testcase Creation]],"")*9,"")</f>
        <v/>
      </c>
      <c r="AK362" s="256" t="str">
        <f>IFERROR((Table7[[#This Row],[No. of Testcases Executed]]/Table7[[#This Row],[Effort for Testcase Execution]])*9,"")</f>
        <v/>
      </c>
      <c r="AL36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2" s="259" t="str">
        <f>IFERROR(Table7[[#This Row],[No. of Defects Validated]]/SUMIFS(Table3[Hours Worked],Table3[Release Name],Table7[[#This Row],[Release Name]],Table3[Task Type],"Defect Validation")*9,"")</f>
        <v/>
      </c>
      <c r="AN362" s="258" t="str">
        <f>IFERROR((Table7[[#This Row],[No. of Valid  Internal Testing Defects]])/(Table7[[#This Row],[No. of Valid  Internal Testing Defects]]+Table7[[#This Row],[No. of Invalid Internal Testing Defects]]),"")</f>
        <v/>
      </c>
      <c r="AO362" s="258" t="str">
        <f>IFERROR(Table7[[#This Row],[No. of Valid External Testing Defects]]/(Table7[[#This Row],[No. of Valid External Testing Defects]]+Table7[[#This Row],[No. of Valid  Internal Testing Defects]]),"")</f>
        <v/>
      </c>
    </row>
    <row r="363" spans="2:41">
      <c r="B363" s="237"/>
      <c r="C363" s="14"/>
      <c r="D363" s="14"/>
      <c r="E363" s="14"/>
      <c r="F363" s="230" t="str">
        <f>IFERROR((Table47[[#This Row],[Initial No. of Requirements]]+Table47[[#This Row],[Modified Requirements( Added / Deleted /Modified)]])/Table47[[#This Row],[Initial No. of Requirements]],"")</f>
        <v/>
      </c>
      <c r="G36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3" s="249"/>
      <c r="J363" s="249"/>
      <c r="K363" s="250"/>
      <c r="L363" s="250"/>
      <c r="M363" s="250"/>
      <c r="N363" s="248">
        <f>SUMIFS(Table1[Size],Table1[Release Name],[2]!Table7[Release Name])</f>
        <v>0</v>
      </c>
      <c r="O363" s="248"/>
      <c r="P36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3" s="248"/>
      <c r="R36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3" s="248"/>
      <c r="T363" s="248"/>
      <c r="U363" s="248"/>
      <c r="V363" s="248"/>
      <c r="W363" s="248"/>
      <c r="X363" s="248"/>
      <c r="Y363" s="248"/>
      <c r="Z363" s="248"/>
      <c r="AA363" s="248"/>
      <c r="AB363" s="13">
        <f>SUMIFS(Table3[Hours Worked],Table3[Release Name],Table7[[#This Row],[Release Name]],Table3[Task Type],"Testcase Creation")</f>
        <v>0</v>
      </c>
      <c r="AC363" s="255">
        <f>SUMIFS(Table3[Hours Worked],Table3[Release Name],Table7[[#This Row],[Release Name]],Table3[Task Type],"Testcase Execution")</f>
        <v>0</v>
      </c>
      <c r="AD36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3" s="256" t="str">
        <f>IFERROR((Table7[[#This Row],[No. of Valid Internal Review Defects]]+Table7[[#This Row],[No. of Valid  Internal Testing Defects]]+Table7[[#This Row],[No. of  Valid External Review Defects]]+Table7[[#This Row],[No. of Valid External Testing Defects]])/Table7[[#This Row],[Size]],"")</f>
        <v/>
      </c>
      <c r="AF363" s="257" t="str">
        <f>IFERROR(Table7[[#This Row],[No. of Valid Internal Review Defects]]/(Table7[[#This Row],[No. of Valid Internal Review Defects]]+Table7[[#This Row],[No. of  Valid External Review Defects]]+Table7[[#This Row],[No. of Valid  Internal Testing Defects]]+Table7[[#This Row],[No. of Valid External Testing Defects]]),"")</f>
        <v/>
      </c>
      <c r="AG363" s="258" t="str">
        <f>IFERROR(Table7[[#This Row],[No. of Valid Internal Review Defects]]/(Table7[[#This Row],[No. of Valid Internal Review Defects]]+Table7[[#This Row],[No. of  Valid External Review Defects]]+Table7[[#This Row],[No. of Valid External Testing Defects]]),"")</f>
        <v/>
      </c>
      <c r="AH363" s="256" t="str">
        <f>IFERROR(Table7[[#This Row],[No. of Valid  Internal Testing Defects]]/Table7[[#This Row],[Overall Actual Effort for the release]],"")</f>
        <v/>
      </c>
      <c r="AI363" s="256" t="str">
        <f>IFERROR(Table7[[#This Row],[No. of Valid  Internal Testing Defects]]/Table7[[#This Row],[No. of Testcases Executed]],"")</f>
        <v/>
      </c>
      <c r="AJ363" s="259" t="str">
        <f>IFERROR(IFERROR(Table7[[#This Row],[No. of Testcases Created]]/Table7[[#This Row],[Effort for Testcase Creation]],"")*9,"")</f>
        <v/>
      </c>
      <c r="AK363" s="256" t="str">
        <f>IFERROR((Table7[[#This Row],[No. of Testcases Executed]]/Table7[[#This Row],[Effort for Testcase Execution]])*9,"")</f>
        <v/>
      </c>
      <c r="AL36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3" s="259" t="str">
        <f>IFERROR(Table7[[#This Row],[No. of Defects Validated]]/SUMIFS(Table3[Hours Worked],Table3[Release Name],Table7[[#This Row],[Release Name]],Table3[Task Type],"Defect Validation")*9,"")</f>
        <v/>
      </c>
      <c r="AN363" s="258" t="str">
        <f>IFERROR((Table7[[#This Row],[No. of Valid  Internal Testing Defects]])/(Table7[[#This Row],[No. of Valid  Internal Testing Defects]]+Table7[[#This Row],[No. of Invalid Internal Testing Defects]]),"")</f>
        <v/>
      </c>
      <c r="AO363" s="258" t="str">
        <f>IFERROR(Table7[[#This Row],[No. of Valid External Testing Defects]]/(Table7[[#This Row],[No. of Valid External Testing Defects]]+Table7[[#This Row],[No. of Valid  Internal Testing Defects]]),"")</f>
        <v/>
      </c>
    </row>
    <row r="364" spans="2:41">
      <c r="B364" s="237"/>
      <c r="C364" s="14"/>
      <c r="D364" s="14"/>
      <c r="E364" s="14"/>
      <c r="F364" s="230" t="str">
        <f>IFERROR((Table47[[#This Row],[Initial No. of Requirements]]+Table47[[#This Row],[Modified Requirements( Added / Deleted /Modified)]])/Table47[[#This Row],[Initial No. of Requirements]],"")</f>
        <v/>
      </c>
      <c r="G36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4" s="249"/>
      <c r="J364" s="249"/>
      <c r="K364" s="250"/>
      <c r="L364" s="250"/>
      <c r="M364" s="250"/>
      <c r="N364" s="248">
        <f>SUMIFS(Table1[Size],Table1[Release Name],[2]!Table7[Release Name])</f>
        <v>0</v>
      </c>
      <c r="O364" s="248"/>
      <c r="P36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4" s="248"/>
      <c r="R36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4" s="248"/>
      <c r="T364" s="248"/>
      <c r="U364" s="248"/>
      <c r="V364" s="248"/>
      <c r="W364" s="248"/>
      <c r="X364" s="248"/>
      <c r="Y364" s="248"/>
      <c r="Z364" s="248"/>
      <c r="AA364" s="248"/>
      <c r="AB364" s="13">
        <f>SUMIFS(Table3[Hours Worked],Table3[Release Name],Table7[[#This Row],[Release Name]],Table3[Task Type],"Testcase Creation")</f>
        <v>0</v>
      </c>
      <c r="AC364" s="255">
        <f>SUMIFS(Table3[Hours Worked],Table3[Release Name],Table7[[#This Row],[Release Name]],Table3[Task Type],"Testcase Execution")</f>
        <v>0</v>
      </c>
      <c r="AD36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4" s="256" t="str">
        <f>IFERROR((Table7[[#This Row],[No. of Valid Internal Review Defects]]+Table7[[#This Row],[No. of Valid  Internal Testing Defects]]+Table7[[#This Row],[No. of  Valid External Review Defects]]+Table7[[#This Row],[No. of Valid External Testing Defects]])/Table7[[#This Row],[Size]],"")</f>
        <v/>
      </c>
      <c r="AF364" s="257" t="str">
        <f>IFERROR(Table7[[#This Row],[No. of Valid Internal Review Defects]]/(Table7[[#This Row],[No. of Valid Internal Review Defects]]+Table7[[#This Row],[No. of  Valid External Review Defects]]+Table7[[#This Row],[No. of Valid  Internal Testing Defects]]+Table7[[#This Row],[No. of Valid External Testing Defects]]),"")</f>
        <v/>
      </c>
      <c r="AG364" s="258" t="str">
        <f>IFERROR(Table7[[#This Row],[No. of Valid Internal Review Defects]]/(Table7[[#This Row],[No. of Valid Internal Review Defects]]+Table7[[#This Row],[No. of  Valid External Review Defects]]+Table7[[#This Row],[No. of Valid External Testing Defects]]),"")</f>
        <v/>
      </c>
      <c r="AH364" s="256" t="str">
        <f>IFERROR(Table7[[#This Row],[No. of Valid  Internal Testing Defects]]/Table7[[#This Row],[Overall Actual Effort for the release]],"")</f>
        <v/>
      </c>
      <c r="AI364" s="256" t="str">
        <f>IFERROR(Table7[[#This Row],[No. of Valid  Internal Testing Defects]]/Table7[[#This Row],[No. of Testcases Executed]],"")</f>
        <v/>
      </c>
      <c r="AJ364" s="259" t="str">
        <f>IFERROR(IFERROR(Table7[[#This Row],[No. of Testcases Created]]/Table7[[#This Row],[Effort for Testcase Creation]],"")*9,"")</f>
        <v/>
      </c>
      <c r="AK364" s="256" t="str">
        <f>IFERROR((Table7[[#This Row],[No. of Testcases Executed]]/Table7[[#This Row],[Effort for Testcase Execution]])*9,"")</f>
        <v/>
      </c>
      <c r="AL36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4" s="259" t="str">
        <f>IFERROR(Table7[[#This Row],[No. of Defects Validated]]/SUMIFS(Table3[Hours Worked],Table3[Release Name],Table7[[#This Row],[Release Name]],Table3[Task Type],"Defect Validation")*9,"")</f>
        <v/>
      </c>
      <c r="AN364" s="258" t="str">
        <f>IFERROR((Table7[[#This Row],[No. of Valid  Internal Testing Defects]])/(Table7[[#This Row],[No. of Valid  Internal Testing Defects]]+Table7[[#This Row],[No. of Invalid Internal Testing Defects]]),"")</f>
        <v/>
      </c>
      <c r="AO364" s="258" t="str">
        <f>IFERROR(Table7[[#This Row],[No. of Valid External Testing Defects]]/(Table7[[#This Row],[No. of Valid External Testing Defects]]+Table7[[#This Row],[No. of Valid  Internal Testing Defects]]),"")</f>
        <v/>
      </c>
    </row>
    <row r="365" spans="2:41">
      <c r="B365" s="237"/>
      <c r="C365" s="14"/>
      <c r="D365" s="14"/>
      <c r="E365" s="14"/>
      <c r="F365" s="230" t="str">
        <f>IFERROR((Table47[[#This Row],[Initial No. of Requirements]]+Table47[[#This Row],[Modified Requirements( Added / Deleted /Modified)]])/Table47[[#This Row],[Initial No. of Requirements]],"")</f>
        <v/>
      </c>
      <c r="G36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5" s="249"/>
      <c r="J365" s="249"/>
      <c r="K365" s="250"/>
      <c r="L365" s="250"/>
      <c r="M365" s="250"/>
      <c r="N365" s="248">
        <f>SUMIFS(Table1[Size],Table1[Release Name],[2]!Table7[Release Name])</f>
        <v>0</v>
      </c>
      <c r="O365" s="248"/>
      <c r="P36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5" s="248"/>
      <c r="R36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5" s="248"/>
      <c r="T365" s="248"/>
      <c r="U365" s="248"/>
      <c r="V365" s="248"/>
      <c r="W365" s="248"/>
      <c r="X365" s="248"/>
      <c r="Y365" s="248"/>
      <c r="Z365" s="248"/>
      <c r="AA365" s="248"/>
      <c r="AB365" s="13">
        <f>SUMIFS(Table3[Hours Worked],Table3[Release Name],Table7[[#This Row],[Release Name]],Table3[Task Type],"Testcase Creation")</f>
        <v>0</v>
      </c>
      <c r="AC365" s="255">
        <f>SUMIFS(Table3[Hours Worked],Table3[Release Name],Table7[[#This Row],[Release Name]],Table3[Task Type],"Testcase Execution")</f>
        <v>0</v>
      </c>
      <c r="AD36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5" s="256" t="str">
        <f>IFERROR((Table7[[#This Row],[No. of Valid Internal Review Defects]]+Table7[[#This Row],[No. of Valid  Internal Testing Defects]]+Table7[[#This Row],[No. of  Valid External Review Defects]]+Table7[[#This Row],[No. of Valid External Testing Defects]])/Table7[[#This Row],[Size]],"")</f>
        <v/>
      </c>
      <c r="AF365" s="257" t="str">
        <f>IFERROR(Table7[[#This Row],[No. of Valid Internal Review Defects]]/(Table7[[#This Row],[No. of Valid Internal Review Defects]]+Table7[[#This Row],[No. of  Valid External Review Defects]]+Table7[[#This Row],[No. of Valid  Internal Testing Defects]]+Table7[[#This Row],[No. of Valid External Testing Defects]]),"")</f>
        <v/>
      </c>
      <c r="AG365" s="258" t="str">
        <f>IFERROR(Table7[[#This Row],[No. of Valid Internal Review Defects]]/(Table7[[#This Row],[No. of Valid Internal Review Defects]]+Table7[[#This Row],[No. of  Valid External Review Defects]]+Table7[[#This Row],[No. of Valid External Testing Defects]]),"")</f>
        <v/>
      </c>
      <c r="AH365" s="256" t="str">
        <f>IFERROR(Table7[[#This Row],[No. of Valid  Internal Testing Defects]]/Table7[[#This Row],[Overall Actual Effort for the release]],"")</f>
        <v/>
      </c>
      <c r="AI365" s="256" t="str">
        <f>IFERROR(Table7[[#This Row],[No. of Valid  Internal Testing Defects]]/Table7[[#This Row],[No. of Testcases Executed]],"")</f>
        <v/>
      </c>
      <c r="AJ365" s="259" t="str">
        <f>IFERROR(IFERROR(Table7[[#This Row],[No. of Testcases Created]]/Table7[[#This Row],[Effort for Testcase Creation]],"")*9,"")</f>
        <v/>
      </c>
      <c r="AK365" s="256" t="str">
        <f>IFERROR((Table7[[#This Row],[No. of Testcases Executed]]/Table7[[#This Row],[Effort for Testcase Execution]])*9,"")</f>
        <v/>
      </c>
      <c r="AL36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5" s="259" t="str">
        <f>IFERROR(Table7[[#This Row],[No. of Defects Validated]]/SUMIFS(Table3[Hours Worked],Table3[Release Name],Table7[[#This Row],[Release Name]],Table3[Task Type],"Defect Validation")*9,"")</f>
        <v/>
      </c>
      <c r="AN365" s="258" t="str">
        <f>IFERROR((Table7[[#This Row],[No. of Valid  Internal Testing Defects]])/(Table7[[#This Row],[No. of Valid  Internal Testing Defects]]+Table7[[#This Row],[No. of Invalid Internal Testing Defects]]),"")</f>
        <v/>
      </c>
      <c r="AO365" s="258" t="str">
        <f>IFERROR(Table7[[#This Row],[No. of Valid External Testing Defects]]/(Table7[[#This Row],[No. of Valid External Testing Defects]]+Table7[[#This Row],[No. of Valid  Internal Testing Defects]]),"")</f>
        <v/>
      </c>
    </row>
    <row r="366" spans="2:41">
      <c r="B366" s="237"/>
      <c r="C366" s="14"/>
      <c r="D366" s="14"/>
      <c r="E366" s="14"/>
      <c r="F366" s="230" t="str">
        <f>IFERROR((Table47[[#This Row],[Initial No. of Requirements]]+Table47[[#This Row],[Modified Requirements( Added / Deleted /Modified)]])/Table47[[#This Row],[Initial No. of Requirements]],"")</f>
        <v/>
      </c>
      <c r="G36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6" s="249"/>
      <c r="J366" s="249"/>
      <c r="K366" s="250"/>
      <c r="L366" s="250"/>
      <c r="M366" s="250"/>
      <c r="N366" s="248">
        <f>SUMIFS(Table1[Size],Table1[Release Name],[2]!Table7[Release Name])</f>
        <v>0</v>
      </c>
      <c r="O366" s="248"/>
      <c r="P36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6" s="248"/>
      <c r="R36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6" s="248"/>
      <c r="T366" s="248"/>
      <c r="U366" s="248"/>
      <c r="V366" s="248"/>
      <c r="W366" s="248"/>
      <c r="X366" s="248"/>
      <c r="Y366" s="248"/>
      <c r="Z366" s="248"/>
      <c r="AA366" s="248"/>
      <c r="AB366" s="13">
        <f>SUMIFS(Table3[Hours Worked],Table3[Release Name],Table7[[#This Row],[Release Name]],Table3[Task Type],"Testcase Creation")</f>
        <v>0</v>
      </c>
      <c r="AC366" s="255">
        <f>SUMIFS(Table3[Hours Worked],Table3[Release Name],Table7[[#This Row],[Release Name]],Table3[Task Type],"Testcase Execution")</f>
        <v>0</v>
      </c>
      <c r="AD36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6" s="256" t="str">
        <f>IFERROR((Table7[[#This Row],[No. of Valid Internal Review Defects]]+Table7[[#This Row],[No. of Valid  Internal Testing Defects]]+Table7[[#This Row],[No. of  Valid External Review Defects]]+Table7[[#This Row],[No. of Valid External Testing Defects]])/Table7[[#This Row],[Size]],"")</f>
        <v/>
      </c>
      <c r="AF366" s="257" t="str">
        <f>IFERROR(Table7[[#This Row],[No. of Valid Internal Review Defects]]/(Table7[[#This Row],[No. of Valid Internal Review Defects]]+Table7[[#This Row],[No. of  Valid External Review Defects]]+Table7[[#This Row],[No. of Valid  Internal Testing Defects]]+Table7[[#This Row],[No. of Valid External Testing Defects]]),"")</f>
        <v/>
      </c>
      <c r="AG366" s="258" t="str">
        <f>IFERROR(Table7[[#This Row],[No. of Valid Internal Review Defects]]/(Table7[[#This Row],[No. of Valid Internal Review Defects]]+Table7[[#This Row],[No. of  Valid External Review Defects]]+Table7[[#This Row],[No. of Valid External Testing Defects]]),"")</f>
        <v/>
      </c>
      <c r="AH366" s="256" t="str">
        <f>IFERROR(Table7[[#This Row],[No. of Valid  Internal Testing Defects]]/Table7[[#This Row],[Overall Actual Effort for the release]],"")</f>
        <v/>
      </c>
      <c r="AI366" s="256" t="str">
        <f>IFERROR(Table7[[#This Row],[No. of Valid  Internal Testing Defects]]/Table7[[#This Row],[No. of Testcases Executed]],"")</f>
        <v/>
      </c>
      <c r="AJ366" s="259" t="str">
        <f>IFERROR(IFERROR(Table7[[#This Row],[No. of Testcases Created]]/Table7[[#This Row],[Effort for Testcase Creation]],"")*9,"")</f>
        <v/>
      </c>
      <c r="AK366" s="256" t="str">
        <f>IFERROR((Table7[[#This Row],[No. of Testcases Executed]]/Table7[[#This Row],[Effort for Testcase Execution]])*9,"")</f>
        <v/>
      </c>
      <c r="AL36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6" s="259" t="str">
        <f>IFERROR(Table7[[#This Row],[No. of Defects Validated]]/SUMIFS(Table3[Hours Worked],Table3[Release Name],Table7[[#This Row],[Release Name]],Table3[Task Type],"Defect Validation")*9,"")</f>
        <v/>
      </c>
      <c r="AN366" s="258" t="str">
        <f>IFERROR((Table7[[#This Row],[No. of Valid  Internal Testing Defects]])/(Table7[[#This Row],[No. of Valid  Internal Testing Defects]]+Table7[[#This Row],[No. of Invalid Internal Testing Defects]]),"")</f>
        <v/>
      </c>
      <c r="AO366" s="258" t="str">
        <f>IFERROR(Table7[[#This Row],[No. of Valid External Testing Defects]]/(Table7[[#This Row],[No. of Valid External Testing Defects]]+Table7[[#This Row],[No. of Valid  Internal Testing Defects]]),"")</f>
        <v/>
      </c>
    </row>
    <row r="367" spans="2:41">
      <c r="B367" s="237"/>
      <c r="C367" s="14"/>
      <c r="D367" s="14"/>
      <c r="E367" s="14"/>
      <c r="F367" s="230" t="str">
        <f>IFERROR((Table47[[#This Row],[Initial No. of Requirements]]+Table47[[#This Row],[Modified Requirements( Added / Deleted /Modified)]])/Table47[[#This Row],[Initial No. of Requirements]],"")</f>
        <v/>
      </c>
      <c r="G36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7" s="249"/>
      <c r="J367" s="249"/>
      <c r="K367" s="250"/>
      <c r="L367" s="250"/>
      <c r="M367" s="250"/>
      <c r="N367" s="248">
        <f>SUMIFS(Table1[Size],Table1[Release Name],[2]!Table7[Release Name])</f>
        <v>0</v>
      </c>
      <c r="O367" s="248"/>
      <c r="P36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7" s="248"/>
      <c r="R36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7" s="248"/>
      <c r="T367" s="248"/>
      <c r="U367" s="248"/>
      <c r="V367" s="248"/>
      <c r="W367" s="248"/>
      <c r="X367" s="248"/>
      <c r="Y367" s="248"/>
      <c r="Z367" s="248"/>
      <c r="AA367" s="248"/>
      <c r="AB367" s="13">
        <f>SUMIFS(Table3[Hours Worked],Table3[Release Name],Table7[[#This Row],[Release Name]],Table3[Task Type],"Testcase Creation")</f>
        <v>0</v>
      </c>
      <c r="AC367" s="255">
        <f>SUMIFS(Table3[Hours Worked],Table3[Release Name],Table7[[#This Row],[Release Name]],Table3[Task Type],"Testcase Execution")</f>
        <v>0</v>
      </c>
      <c r="AD36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7" s="256" t="str">
        <f>IFERROR((Table7[[#This Row],[No. of Valid Internal Review Defects]]+Table7[[#This Row],[No. of Valid  Internal Testing Defects]]+Table7[[#This Row],[No. of  Valid External Review Defects]]+Table7[[#This Row],[No. of Valid External Testing Defects]])/Table7[[#This Row],[Size]],"")</f>
        <v/>
      </c>
      <c r="AF367" s="257" t="str">
        <f>IFERROR(Table7[[#This Row],[No. of Valid Internal Review Defects]]/(Table7[[#This Row],[No. of Valid Internal Review Defects]]+Table7[[#This Row],[No. of  Valid External Review Defects]]+Table7[[#This Row],[No. of Valid  Internal Testing Defects]]+Table7[[#This Row],[No. of Valid External Testing Defects]]),"")</f>
        <v/>
      </c>
      <c r="AG367" s="258" t="str">
        <f>IFERROR(Table7[[#This Row],[No. of Valid Internal Review Defects]]/(Table7[[#This Row],[No. of Valid Internal Review Defects]]+Table7[[#This Row],[No. of  Valid External Review Defects]]+Table7[[#This Row],[No. of Valid External Testing Defects]]),"")</f>
        <v/>
      </c>
      <c r="AH367" s="256" t="str">
        <f>IFERROR(Table7[[#This Row],[No. of Valid  Internal Testing Defects]]/Table7[[#This Row],[Overall Actual Effort for the release]],"")</f>
        <v/>
      </c>
      <c r="AI367" s="256" t="str">
        <f>IFERROR(Table7[[#This Row],[No. of Valid  Internal Testing Defects]]/Table7[[#This Row],[No. of Testcases Executed]],"")</f>
        <v/>
      </c>
      <c r="AJ367" s="259" t="str">
        <f>IFERROR(IFERROR(Table7[[#This Row],[No. of Testcases Created]]/Table7[[#This Row],[Effort for Testcase Creation]],"")*9,"")</f>
        <v/>
      </c>
      <c r="AK367" s="256" t="str">
        <f>IFERROR((Table7[[#This Row],[No. of Testcases Executed]]/Table7[[#This Row],[Effort for Testcase Execution]])*9,"")</f>
        <v/>
      </c>
      <c r="AL36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7" s="259" t="str">
        <f>IFERROR(Table7[[#This Row],[No. of Defects Validated]]/SUMIFS(Table3[Hours Worked],Table3[Release Name],Table7[[#This Row],[Release Name]],Table3[Task Type],"Defect Validation")*9,"")</f>
        <v/>
      </c>
      <c r="AN367" s="258" t="str">
        <f>IFERROR((Table7[[#This Row],[No. of Valid  Internal Testing Defects]])/(Table7[[#This Row],[No. of Valid  Internal Testing Defects]]+Table7[[#This Row],[No. of Invalid Internal Testing Defects]]),"")</f>
        <v/>
      </c>
      <c r="AO367" s="258" t="str">
        <f>IFERROR(Table7[[#This Row],[No. of Valid External Testing Defects]]/(Table7[[#This Row],[No. of Valid External Testing Defects]]+Table7[[#This Row],[No. of Valid  Internal Testing Defects]]),"")</f>
        <v/>
      </c>
    </row>
    <row r="368" spans="2:41">
      <c r="B368" s="237"/>
      <c r="C368" s="14"/>
      <c r="D368" s="14"/>
      <c r="E368" s="14"/>
      <c r="F368" s="230" t="str">
        <f>IFERROR((Table47[[#This Row],[Initial No. of Requirements]]+Table47[[#This Row],[Modified Requirements( Added / Deleted /Modified)]])/Table47[[#This Row],[Initial No. of Requirements]],"")</f>
        <v/>
      </c>
      <c r="G36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8" s="249"/>
      <c r="J368" s="249"/>
      <c r="K368" s="250"/>
      <c r="L368" s="250"/>
      <c r="M368" s="250"/>
      <c r="N368" s="248">
        <f>SUMIFS(Table1[Size],Table1[Release Name],[2]!Table7[Release Name])</f>
        <v>0</v>
      </c>
      <c r="O368" s="248"/>
      <c r="P36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8" s="248"/>
      <c r="R36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8" s="248"/>
      <c r="T368" s="248"/>
      <c r="U368" s="248"/>
      <c r="V368" s="248"/>
      <c r="W368" s="248"/>
      <c r="X368" s="248"/>
      <c r="Y368" s="248"/>
      <c r="Z368" s="248"/>
      <c r="AA368" s="248"/>
      <c r="AB368" s="13">
        <f>SUMIFS(Table3[Hours Worked],Table3[Release Name],Table7[[#This Row],[Release Name]],Table3[Task Type],"Testcase Creation")</f>
        <v>0</v>
      </c>
      <c r="AC368" s="255">
        <f>SUMIFS(Table3[Hours Worked],Table3[Release Name],Table7[[#This Row],[Release Name]],Table3[Task Type],"Testcase Execution")</f>
        <v>0</v>
      </c>
      <c r="AD36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8" s="256" t="str">
        <f>IFERROR((Table7[[#This Row],[No. of Valid Internal Review Defects]]+Table7[[#This Row],[No. of Valid  Internal Testing Defects]]+Table7[[#This Row],[No. of  Valid External Review Defects]]+Table7[[#This Row],[No. of Valid External Testing Defects]])/Table7[[#This Row],[Size]],"")</f>
        <v/>
      </c>
      <c r="AF368" s="257" t="str">
        <f>IFERROR(Table7[[#This Row],[No. of Valid Internal Review Defects]]/(Table7[[#This Row],[No. of Valid Internal Review Defects]]+Table7[[#This Row],[No. of  Valid External Review Defects]]+Table7[[#This Row],[No. of Valid  Internal Testing Defects]]+Table7[[#This Row],[No. of Valid External Testing Defects]]),"")</f>
        <v/>
      </c>
      <c r="AG368" s="258" t="str">
        <f>IFERROR(Table7[[#This Row],[No. of Valid Internal Review Defects]]/(Table7[[#This Row],[No. of Valid Internal Review Defects]]+Table7[[#This Row],[No. of  Valid External Review Defects]]+Table7[[#This Row],[No. of Valid External Testing Defects]]),"")</f>
        <v/>
      </c>
      <c r="AH368" s="256" t="str">
        <f>IFERROR(Table7[[#This Row],[No. of Valid  Internal Testing Defects]]/Table7[[#This Row],[Overall Actual Effort for the release]],"")</f>
        <v/>
      </c>
      <c r="AI368" s="256" t="str">
        <f>IFERROR(Table7[[#This Row],[No. of Valid  Internal Testing Defects]]/Table7[[#This Row],[No. of Testcases Executed]],"")</f>
        <v/>
      </c>
      <c r="AJ368" s="259" t="str">
        <f>IFERROR(IFERROR(Table7[[#This Row],[No. of Testcases Created]]/Table7[[#This Row],[Effort for Testcase Creation]],"")*9,"")</f>
        <v/>
      </c>
      <c r="AK368" s="256" t="str">
        <f>IFERROR((Table7[[#This Row],[No. of Testcases Executed]]/Table7[[#This Row],[Effort for Testcase Execution]])*9,"")</f>
        <v/>
      </c>
      <c r="AL36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8" s="259" t="str">
        <f>IFERROR(Table7[[#This Row],[No. of Defects Validated]]/SUMIFS(Table3[Hours Worked],Table3[Release Name],Table7[[#This Row],[Release Name]],Table3[Task Type],"Defect Validation")*9,"")</f>
        <v/>
      </c>
      <c r="AN368" s="258" t="str">
        <f>IFERROR((Table7[[#This Row],[No. of Valid  Internal Testing Defects]])/(Table7[[#This Row],[No. of Valid  Internal Testing Defects]]+Table7[[#This Row],[No. of Invalid Internal Testing Defects]]),"")</f>
        <v/>
      </c>
      <c r="AO368" s="258" t="str">
        <f>IFERROR(Table7[[#This Row],[No. of Valid External Testing Defects]]/(Table7[[#This Row],[No. of Valid External Testing Defects]]+Table7[[#This Row],[No. of Valid  Internal Testing Defects]]),"")</f>
        <v/>
      </c>
    </row>
    <row r="369" spans="2:41">
      <c r="B369" s="237"/>
      <c r="C369" s="14"/>
      <c r="D369" s="14"/>
      <c r="E369" s="14"/>
      <c r="F369" s="230" t="str">
        <f>IFERROR((Table47[[#This Row],[Initial No. of Requirements]]+Table47[[#This Row],[Modified Requirements( Added / Deleted /Modified)]])/Table47[[#This Row],[Initial No. of Requirements]],"")</f>
        <v/>
      </c>
      <c r="G36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69" s="249"/>
      <c r="J369" s="249"/>
      <c r="K369" s="250"/>
      <c r="L369" s="250"/>
      <c r="M369" s="250"/>
      <c r="N369" s="248">
        <f>SUMIFS(Table1[Size],Table1[Release Name],[2]!Table7[Release Name])</f>
        <v>0</v>
      </c>
      <c r="O369" s="248"/>
      <c r="P36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69" s="248"/>
      <c r="R36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69" s="248"/>
      <c r="T369" s="248"/>
      <c r="U369" s="248"/>
      <c r="V369" s="248"/>
      <c r="W369" s="248"/>
      <c r="X369" s="248"/>
      <c r="Y369" s="248"/>
      <c r="Z369" s="248"/>
      <c r="AA369" s="248"/>
      <c r="AB369" s="13">
        <f>SUMIFS(Table3[Hours Worked],Table3[Release Name],Table7[[#This Row],[Release Name]],Table3[Task Type],"Testcase Creation")</f>
        <v>0</v>
      </c>
      <c r="AC369" s="255">
        <f>SUMIFS(Table3[Hours Worked],Table3[Release Name],Table7[[#This Row],[Release Name]],Table3[Task Type],"Testcase Execution")</f>
        <v>0</v>
      </c>
      <c r="AD36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69" s="256" t="str">
        <f>IFERROR((Table7[[#This Row],[No. of Valid Internal Review Defects]]+Table7[[#This Row],[No. of Valid  Internal Testing Defects]]+Table7[[#This Row],[No. of  Valid External Review Defects]]+Table7[[#This Row],[No. of Valid External Testing Defects]])/Table7[[#This Row],[Size]],"")</f>
        <v/>
      </c>
      <c r="AF369" s="257" t="str">
        <f>IFERROR(Table7[[#This Row],[No. of Valid Internal Review Defects]]/(Table7[[#This Row],[No. of Valid Internal Review Defects]]+Table7[[#This Row],[No. of  Valid External Review Defects]]+Table7[[#This Row],[No. of Valid  Internal Testing Defects]]+Table7[[#This Row],[No. of Valid External Testing Defects]]),"")</f>
        <v/>
      </c>
      <c r="AG369" s="258" t="str">
        <f>IFERROR(Table7[[#This Row],[No. of Valid Internal Review Defects]]/(Table7[[#This Row],[No. of Valid Internal Review Defects]]+Table7[[#This Row],[No. of  Valid External Review Defects]]+Table7[[#This Row],[No. of Valid External Testing Defects]]),"")</f>
        <v/>
      </c>
      <c r="AH369" s="256" t="str">
        <f>IFERROR(Table7[[#This Row],[No. of Valid  Internal Testing Defects]]/Table7[[#This Row],[Overall Actual Effort for the release]],"")</f>
        <v/>
      </c>
      <c r="AI369" s="256" t="str">
        <f>IFERROR(Table7[[#This Row],[No. of Valid  Internal Testing Defects]]/Table7[[#This Row],[No. of Testcases Executed]],"")</f>
        <v/>
      </c>
      <c r="AJ369" s="259" t="str">
        <f>IFERROR(IFERROR(Table7[[#This Row],[No. of Testcases Created]]/Table7[[#This Row],[Effort for Testcase Creation]],"")*9,"")</f>
        <v/>
      </c>
      <c r="AK369" s="256" t="str">
        <f>IFERROR((Table7[[#This Row],[No. of Testcases Executed]]/Table7[[#This Row],[Effort for Testcase Execution]])*9,"")</f>
        <v/>
      </c>
      <c r="AL36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69" s="259" t="str">
        <f>IFERROR(Table7[[#This Row],[No. of Defects Validated]]/SUMIFS(Table3[Hours Worked],Table3[Release Name],Table7[[#This Row],[Release Name]],Table3[Task Type],"Defect Validation")*9,"")</f>
        <v/>
      </c>
      <c r="AN369" s="258" t="str">
        <f>IFERROR((Table7[[#This Row],[No. of Valid  Internal Testing Defects]])/(Table7[[#This Row],[No. of Valid  Internal Testing Defects]]+Table7[[#This Row],[No. of Invalid Internal Testing Defects]]),"")</f>
        <v/>
      </c>
      <c r="AO369" s="258" t="str">
        <f>IFERROR(Table7[[#This Row],[No. of Valid External Testing Defects]]/(Table7[[#This Row],[No. of Valid External Testing Defects]]+Table7[[#This Row],[No. of Valid  Internal Testing Defects]]),"")</f>
        <v/>
      </c>
    </row>
    <row r="370" spans="2:41">
      <c r="B370" s="237"/>
      <c r="C370" s="14"/>
      <c r="D370" s="14"/>
      <c r="E370" s="14"/>
      <c r="F370" s="230" t="str">
        <f>IFERROR((Table47[[#This Row],[Initial No. of Requirements]]+Table47[[#This Row],[Modified Requirements( Added / Deleted /Modified)]])/Table47[[#This Row],[Initial No. of Requirements]],"")</f>
        <v/>
      </c>
      <c r="G37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0" s="249"/>
      <c r="J370" s="249"/>
      <c r="K370" s="250"/>
      <c r="L370" s="250"/>
      <c r="M370" s="250"/>
      <c r="N370" s="248">
        <f>SUMIFS(Table1[Size],Table1[Release Name],[2]!Table7[Release Name])</f>
        <v>0</v>
      </c>
      <c r="O370" s="248"/>
      <c r="P37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0" s="248"/>
      <c r="R37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0" s="248"/>
      <c r="T370" s="248"/>
      <c r="U370" s="248"/>
      <c r="V370" s="248"/>
      <c r="W370" s="248"/>
      <c r="X370" s="248"/>
      <c r="Y370" s="248"/>
      <c r="Z370" s="248"/>
      <c r="AA370" s="248"/>
      <c r="AB370" s="13">
        <f>SUMIFS(Table3[Hours Worked],Table3[Release Name],Table7[[#This Row],[Release Name]],Table3[Task Type],"Testcase Creation")</f>
        <v>0</v>
      </c>
      <c r="AC370" s="255">
        <f>SUMIFS(Table3[Hours Worked],Table3[Release Name],Table7[[#This Row],[Release Name]],Table3[Task Type],"Testcase Execution")</f>
        <v>0</v>
      </c>
      <c r="AD37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0" s="256" t="str">
        <f>IFERROR((Table7[[#This Row],[No. of Valid Internal Review Defects]]+Table7[[#This Row],[No. of Valid  Internal Testing Defects]]+Table7[[#This Row],[No. of  Valid External Review Defects]]+Table7[[#This Row],[No. of Valid External Testing Defects]])/Table7[[#This Row],[Size]],"")</f>
        <v/>
      </c>
      <c r="AF370" s="257" t="str">
        <f>IFERROR(Table7[[#This Row],[No. of Valid Internal Review Defects]]/(Table7[[#This Row],[No. of Valid Internal Review Defects]]+Table7[[#This Row],[No. of  Valid External Review Defects]]+Table7[[#This Row],[No. of Valid  Internal Testing Defects]]+Table7[[#This Row],[No. of Valid External Testing Defects]]),"")</f>
        <v/>
      </c>
      <c r="AG370" s="258" t="str">
        <f>IFERROR(Table7[[#This Row],[No. of Valid Internal Review Defects]]/(Table7[[#This Row],[No. of Valid Internal Review Defects]]+Table7[[#This Row],[No. of  Valid External Review Defects]]+Table7[[#This Row],[No. of Valid External Testing Defects]]),"")</f>
        <v/>
      </c>
      <c r="AH370" s="256" t="str">
        <f>IFERROR(Table7[[#This Row],[No. of Valid  Internal Testing Defects]]/Table7[[#This Row],[Overall Actual Effort for the release]],"")</f>
        <v/>
      </c>
      <c r="AI370" s="256" t="str">
        <f>IFERROR(Table7[[#This Row],[No. of Valid  Internal Testing Defects]]/Table7[[#This Row],[No. of Testcases Executed]],"")</f>
        <v/>
      </c>
      <c r="AJ370" s="259" t="str">
        <f>IFERROR(IFERROR(Table7[[#This Row],[No. of Testcases Created]]/Table7[[#This Row],[Effort for Testcase Creation]],"")*9,"")</f>
        <v/>
      </c>
      <c r="AK370" s="256" t="str">
        <f>IFERROR((Table7[[#This Row],[No. of Testcases Executed]]/Table7[[#This Row],[Effort for Testcase Execution]])*9,"")</f>
        <v/>
      </c>
      <c r="AL37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0" s="259" t="str">
        <f>IFERROR(Table7[[#This Row],[No. of Defects Validated]]/SUMIFS(Table3[Hours Worked],Table3[Release Name],Table7[[#This Row],[Release Name]],Table3[Task Type],"Defect Validation")*9,"")</f>
        <v/>
      </c>
      <c r="AN370" s="258" t="str">
        <f>IFERROR((Table7[[#This Row],[No. of Valid  Internal Testing Defects]])/(Table7[[#This Row],[No. of Valid  Internal Testing Defects]]+Table7[[#This Row],[No. of Invalid Internal Testing Defects]]),"")</f>
        <v/>
      </c>
      <c r="AO370" s="258" t="str">
        <f>IFERROR(Table7[[#This Row],[No. of Valid External Testing Defects]]/(Table7[[#This Row],[No. of Valid External Testing Defects]]+Table7[[#This Row],[No. of Valid  Internal Testing Defects]]),"")</f>
        <v/>
      </c>
    </row>
    <row r="371" spans="2:41">
      <c r="B371" s="237"/>
      <c r="C371" s="14"/>
      <c r="D371" s="14"/>
      <c r="E371" s="14"/>
      <c r="F371" s="230" t="str">
        <f>IFERROR((Table47[[#This Row],[Initial No. of Requirements]]+Table47[[#This Row],[Modified Requirements( Added / Deleted /Modified)]])/Table47[[#This Row],[Initial No. of Requirements]],"")</f>
        <v/>
      </c>
      <c r="G37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1" s="249"/>
      <c r="J371" s="249"/>
      <c r="K371" s="250"/>
      <c r="L371" s="250"/>
      <c r="M371" s="250"/>
      <c r="N371" s="248">
        <f>SUMIFS(Table1[Size],Table1[Release Name],[2]!Table7[Release Name])</f>
        <v>0</v>
      </c>
      <c r="O371" s="248"/>
      <c r="P37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1" s="248"/>
      <c r="R37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1" s="248"/>
      <c r="T371" s="248"/>
      <c r="U371" s="248"/>
      <c r="V371" s="248"/>
      <c r="W371" s="248"/>
      <c r="X371" s="248"/>
      <c r="Y371" s="248"/>
      <c r="Z371" s="248"/>
      <c r="AA371" s="248"/>
      <c r="AB371" s="13">
        <f>SUMIFS(Table3[Hours Worked],Table3[Release Name],Table7[[#This Row],[Release Name]],Table3[Task Type],"Testcase Creation")</f>
        <v>0</v>
      </c>
      <c r="AC371" s="255">
        <f>SUMIFS(Table3[Hours Worked],Table3[Release Name],Table7[[#This Row],[Release Name]],Table3[Task Type],"Testcase Execution")</f>
        <v>0</v>
      </c>
      <c r="AD37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1" s="256" t="str">
        <f>IFERROR((Table7[[#This Row],[No. of Valid Internal Review Defects]]+Table7[[#This Row],[No. of Valid  Internal Testing Defects]]+Table7[[#This Row],[No. of  Valid External Review Defects]]+Table7[[#This Row],[No. of Valid External Testing Defects]])/Table7[[#This Row],[Size]],"")</f>
        <v/>
      </c>
      <c r="AF371" s="257" t="str">
        <f>IFERROR(Table7[[#This Row],[No. of Valid Internal Review Defects]]/(Table7[[#This Row],[No. of Valid Internal Review Defects]]+Table7[[#This Row],[No. of  Valid External Review Defects]]+Table7[[#This Row],[No. of Valid  Internal Testing Defects]]+Table7[[#This Row],[No. of Valid External Testing Defects]]),"")</f>
        <v/>
      </c>
      <c r="AG371" s="258" t="str">
        <f>IFERROR(Table7[[#This Row],[No. of Valid Internal Review Defects]]/(Table7[[#This Row],[No. of Valid Internal Review Defects]]+Table7[[#This Row],[No. of  Valid External Review Defects]]+Table7[[#This Row],[No. of Valid External Testing Defects]]),"")</f>
        <v/>
      </c>
      <c r="AH371" s="256" t="str">
        <f>IFERROR(Table7[[#This Row],[No. of Valid  Internal Testing Defects]]/Table7[[#This Row],[Overall Actual Effort for the release]],"")</f>
        <v/>
      </c>
      <c r="AI371" s="256" t="str">
        <f>IFERROR(Table7[[#This Row],[No. of Valid  Internal Testing Defects]]/Table7[[#This Row],[No. of Testcases Executed]],"")</f>
        <v/>
      </c>
      <c r="AJ371" s="259" t="str">
        <f>IFERROR(IFERROR(Table7[[#This Row],[No. of Testcases Created]]/Table7[[#This Row],[Effort for Testcase Creation]],"")*9,"")</f>
        <v/>
      </c>
      <c r="AK371" s="256" t="str">
        <f>IFERROR((Table7[[#This Row],[No. of Testcases Executed]]/Table7[[#This Row],[Effort for Testcase Execution]])*9,"")</f>
        <v/>
      </c>
      <c r="AL37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1" s="259" t="str">
        <f>IFERROR(Table7[[#This Row],[No. of Defects Validated]]/SUMIFS(Table3[Hours Worked],Table3[Release Name],Table7[[#This Row],[Release Name]],Table3[Task Type],"Defect Validation")*9,"")</f>
        <v/>
      </c>
      <c r="AN371" s="258" t="str">
        <f>IFERROR((Table7[[#This Row],[No. of Valid  Internal Testing Defects]])/(Table7[[#This Row],[No. of Valid  Internal Testing Defects]]+Table7[[#This Row],[No. of Invalid Internal Testing Defects]]),"")</f>
        <v/>
      </c>
      <c r="AO371" s="258" t="str">
        <f>IFERROR(Table7[[#This Row],[No. of Valid External Testing Defects]]/(Table7[[#This Row],[No. of Valid External Testing Defects]]+Table7[[#This Row],[No. of Valid  Internal Testing Defects]]),"")</f>
        <v/>
      </c>
    </row>
    <row r="372" spans="2:41">
      <c r="B372" s="237"/>
      <c r="C372" s="14"/>
      <c r="D372" s="14"/>
      <c r="E372" s="14"/>
      <c r="F372" s="230" t="str">
        <f>IFERROR((Table47[[#This Row],[Initial No. of Requirements]]+Table47[[#This Row],[Modified Requirements( Added / Deleted /Modified)]])/Table47[[#This Row],[Initial No. of Requirements]],"")</f>
        <v/>
      </c>
      <c r="G37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2" s="249"/>
      <c r="J372" s="249"/>
      <c r="K372" s="250"/>
      <c r="L372" s="250"/>
      <c r="M372" s="250"/>
      <c r="N372" s="248">
        <f>SUMIFS(Table1[Size],Table1[Release Name],[2]!Table7[Release Name])</f>
        <v>0</v>
      </c>
      <c r="O372" s="248"/>
      <c r="P37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2" s="248"/>
      <c r="R37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2" s="248"/>
      <c r="T372" s="248"/>
      <c r="U372" s="248"/>
      <c r="V372" s="248"/>
      <c r="W372" s="248"/>
      <c r="X372" s="248"/>
      <c r="Y372" s="248"/>
      <c r="Z372" s="248"/>
      <c r="AA372" s="248"/>
      <c r="AB372" s="13">
        <f>SUMIFS(Table3[Hours Worked],Table3[Release Name],Table7[[#This Row],[Release Name]],Table3[Task Type],"Testcase Creation")</f>
        <v>0</v>
      </c>
      <c r="AC372" s="255">
        <f>SUMIFS(Table3[Hours Worked],Table3[Release Name],Table7[[#This Row],[Release Name]],Table3[Task Type],"Testcase Execution")</f>
        <v>0</v>
      </c>
      <c r="AD37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2" s="256" t="str">
        <f>IFERROR((Table7[[#This Row],[No. of Valid Internal Review Defects]]+Table7[[#This Row],[No. of Valid  Internal Testing Defects]]+Table7[[#This Row],[No. of  Valid External Review Defects]]+Table7[[#This Row],[No. of Valid External Testing Defects]])/Table7[[#This Row],[Size]],"")</f>
        <v/>
      </c>
      <c r="AF372" s="257" t="str">
        <f>IFERROR(Table7[[#This Row],[No. of Valid Internal Review Defects]]/(Table7[[#This Row],[No. of Valid Internal Review Defects]]+Table7[[#This Row],[No. of  Valid External Review Defects]]+Table7[[#This Row],[No. of Valid  Internal Testing Defects]]+Table7[[#This Row],[No. of Valid External Testing Defects]]),"")</f>
        <v/>
      </c>
      <c r="AG372" s="258" t="str">
        <f>IFERROR(Table7[[#This Row],[No. of Valid Internal Review Defects]]/(Table7[[#This Row],[No. of Valid Internal Review Defects]]+Table7[[#This Row],[No. of  Valid External Review Defects]]+Table7[[#This Row],[No. of Valid External Testing Defects]]),"")</f>
        <v/>
      </c>
      <c r="AH372" s="256" t="str">
        <f>IFERROR(Table7[[#This Row],[No. of Valid  Internal Testing Defects]]/Table7[[#This Row],[Overall Actual Effort for the release]],"")</f>
        <v/>
      </c>
      <c r="AI372" s="256" t="str">
        <f>IFERROR(Table7[[#This Row],[No. of Valid  Internal Testing Defects]]/Table7[[#This Row],[No. of Testcases Executed]],"")</f>
        <v/>
      </c>
      <c r="AJ372" s="259" t="str">
        <f>IFERROR(IFERROR(Table7[[#This Row],[No. of Testcases Created]]/Table7[[#This Row],[Effort for Testcase Creation]],"")*9,"")</f>
        <v/>
      </c>
      <c r="AK372" s="256" t="str">
        <f>IFERROR((Table7[[#This Row],[No. of Testcases Executed]]/Table7[[#This Row],[Effort for Testcase Execution]])*9,"")</f>
        <v/>
      </c>
      <c r="AL37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2" s="259" t="str">
        <f>IFERROR(Table7[[#This Row],[No. of Defects Validated]]/SUMIFS(Table3[Hours Worked],Table3[Release Name],Table7[[#This Row],[Release Name]],Table3[Task Type],"Defect Validation")*9,"")</f>
        <v/>
      </c>
      <c r="AN372" s="258" t="str">
        <f>IFERROR((Table7[[#This Row],[No. of Valid  Internal Testing Defects]])/(Table7[[#This Row],[No. of Valid  Internal Testing Defects]]+Table7[[#This Row],[No. of Invalid Internal Testing Defects]]),"")</f>
        <v/>
      </c>
      <c r="AO372" s="258" t="str">
        <f>IFERROR(Table7[[#This Row],[No. of Valid External Testing Defects]]/(Table7[[#This Row],[No. of Valid External Testing Defects]]+Table7[[#This Row],[No. of Valid  Internal Testing Defects]]),"")</f>
        <v/>
      </c>
    </row>
    <row r="373" spans="2:41">
      <c r="B373" s="237"/>
      <c r="C373" s="14"/>
      <c r="D373" s="14"/>
      <c r="E373" s="14"/>
      <c r="F373" s="230" t="str">
        <f>IFERROR((Table47[[#This Row],[Initial No. of Requirements]]+Table47[[#This Row],[Modified Requirements( Added / Deleted /Modified)]])/Table47[[#This Row],[Initial No. of Requirements]],"")</f>
        <v/>
      </c>
      <c r="G37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3" s="249"/>
      <c r="J373" s="249"/>
      <c r="K373" s="250"/>
      <c r="L373" s="250"/>
      <c r="M373" s="250"/>
      <c r="N373" s="248">
        <f>SUMIFS(Table1[Size],Table1[Release Name],[2]!Table7[Release Name])</f>
        <v>0</v>
      </c>
      <c r="O373" s="248"/>
      <c r="P37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3" s="248"/>
      <c r="R37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3" s="248"/>
      <c r="T373" s="248"/>
      <c r="U373" s="248"/>
      <c r="V373" s="248"/>
      <c r="W373" s="248"/>
      <c r="X373" s="248"/>
      <c r="Y373" s="248"/>
      <c r="Z373" s="248"/>
      <c r="AA373" s="248"/>
      <c r="AB373" s="13">
        <f>SUMIFS(Table3[Hours Worked],Table3[Release Name],Table7[[#This Row],[Release Name]],Table3[Task Type],"Testcase Creation")</f>
        <v>0</v>
      </c>
      <c r="AC373" s="255">
        <f>SUMIFS(Table3[Hours Worked],Table3[Release Name],Table7[[#This Row],[Release Name]],Table3[Task Type],"Testcase Execution")</f>
        <v>0</v>
      </c>
      <c r="AD37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3" s="256" t="str">
        <f>IFERROR((Table7[[#This Row],[No. of Valid Internal Review Defects]]+Table7[[#This Row],[No. of Valid  Internal Testing Defects]]+Table7[[#This Row],[No. of  Valid External Review Defects]]+Table7[[#This Row],[No. of Valid External Testing Defects]])/Table7[[#This Row],[Size]],"")</f>
        <v/>
      </c>
      <c r="AF373" s="257" t="str">
        <f>IFERROR(Table7[[#This Row],[No. of Valid Internal Review Defects]]/(Table7[[#This Row],[No. of Valid Internal Review Defects]]+Table7[[#This Row],[No. of  Valid External Review Defects]]+Table7[[#This Row],[No. of Valid  Internal Testing Defects]]+Table7[[#This Row],[No. of Valid External Testing Defects]]),"")</f>
        <v/>
      </c>
      <c r="AG373" s="258" t="str">
        <f>IFERROR(Table7[[#This Row],[No. of Valid Internal Review Defects]]/(Table7[[#This Row],[No. of Valid Internal Review Defects]]+Table7[[#This Row],[No. of  Valid External Review Defects]]+Table7[[#This Row],[No. of Valid External Testing Defects]]),"")</f>
        <v/>
      </c>
      <c r="AH373" s="256" t="str">
        <f>IFERROR(Table7[[#This Row],[No. of Valid  Internal Testing Defects]]/Table7[[#This Row],[Overall Actual Effort for the release]],"")</f>
        <v/>
      </c>
      <c r="AI373" s="256" t="str">
        <f>IFERROR(Table7[[#This Row],[No. of Valid  Internal Testing Defects]]/Table7[[#This Row],[No. of Testcases Executed]],"")</f>
        <v/>
      </c>
      <c r="AJ373" s="259" t="str">
        <f>IFERROR(IFERROR(Table7[[#This Row],[No. of Testcases Created]]/Table7[[#This Row],[Effort for Testcase Creation]],"")*9,"")</f>
        <v/>
      </c>
      <c r="AK373" s="256" t="str">
        <f>IFERROR((Table7[[#This Row],[No. of Testcases Executed]]/Table7[[#This Row],[Effort for Testcase Execution]])*9,"")</f>
        <v/>
      </c>
      <c r="AL37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3" s="259" t="str">
        <f>IFERROR(Table7[[#This Row],[No. of Defects Validated]]/SUMIFS(Table3[Hours Worked],Table3[Release Name],Table7[[#This Row],[Release Name]],Table3[Task Type],"Defect Validation")*9,"")</f>
        <v/>
      </c>
      <c r="AN373" s="258" t="str">
        <f>IFERROR((Table7[[#This Row],[No. of Valid  Internal Testing Defects]])/(Table7[[#This Row],[No. of Valid  Internal Testing Defects]]+Table7[[#This Row],[No. of Invalid Internal Testing Defects]]),"")</f>
        <v/>
      </c>
      <c r="AO373" s="258" t="str">
        <f>IFERROR(Table7[[#This Row],[No. of Valid External Testing Defects]]/(Table7[[#This Row],[No. of Valid External Testing Defects]]+Table7[[#This Row],[No. of Valid  Internal Testing Defects]]),"")</f>
        <v/>
      </c>
    </row>
    <row r="374" spans="2:41">
      <c r="B374" s="237"/>
      <c r="C374" s="14"/>
      <c r="D374" s="14"/>
      <c r="E374" s="14"/>
      <c r="F374" s="230" t="str">
        <f>IFERROR((Table47[[#This Row],[Initial No. of Requirements]]+Table47[[#This Row],[Modified Requirements( Added / Deleted /Modified)]])/Table47[[#This Row],[Initial No. of Requirements]],"")</f>
        <v/>
      </c>
      <c r="G37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4" s="249"/>
      <c r="J374" s="249"/>
      <c r="K374" s="250"/>
      <c r="L374" s="250"/>
      <c r="M374" s="250"/>
      <c r="N374" s="248">
        <f>SUMIFS(Table1[Size],Table1[Release Name],[2]!Table7[Release Name])</f>
        <v>0</v>
      </c>
      <c r="O374" s="248"/>
      <c r="P37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4" s="248"/>
      <c r="R37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4" s="248"/>
      <c r="T374" s="248"/>
      <c r="U374" s="248"/>
      <c r="V374" s="248"/>
      <c r="W374" s="248"/>
      <c r="X374" s="248"/>
      <c r="Y374" s="248"/>
      <c r="Z374" s="248"/>
      <c r="AA374" s="248"/>
      <c r="AB374" s="13">
        <f>SUMIFS(Table3[Hours Worked],Table3[Release Name],Table7[[#This Row],[Release Name]],Table3[Task Type],"Testcase Creation")</f>
        <v>0</v>
      </c>
      <c r="AC374" s="255">
        <f>SUMIFS(Table3[Hours Worked],Table3[Release Name],Table7[[#This Row],[Release Name]],Table3[Task Type],"Testcase Execution")</f>
        <v>0</v>
      </c>
      <c r="AD37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4" s="256" t="str">
        <f>IFERROR((Table7[[#This Row],[No. of Valid Internal Review Defects]]+Table7[[#This Row],[No. of Valid  Internal Testing Defects]]+Table7[[#This Row],[No. of  Valid External Review Defects]]+Table7[[#This Row],[No. of Valid External Testing Defects]])/Table7[[#This Row],[Size]],"")</f>
        <v/>
      </c>
      <c r="AF374" s="257" t="str">
        <f>IFERROR(Table7[[#This Row],[No. of Valid Internal Review Defects]]/(Table7[[#This Row],[No. of Valid Internal Review Defects]]+Table7[[#This Row],[No. of  Valid External Review Defects]]+Table7[[#This Row],[No. of Valid  Internal Testing Defects]]+Table7[[#This Row],[No. of Valid External Testing Defects]]),"")</f>
        <v/>
      </c>
      <c r="AG374" s="258" t="str">
        <f>IFERROR(Table7[[#This Row],[No. of Valid Internal Review Defects]]/(Table7[[#This Row],[No. of Valid Internal Review Defects]]+Table7[[#This Row],[No. of  Valid External Review Defects]]+Table7[[#This Row],[No. of Valid External Testing Defects]]),"")</f>
        <v/>
      </c>
      <c r="AH374" s="256" t="str">
        <f>IFERROR(Table7[[#This Row],[No. of Valid  Internal Testing Defects]]/Table7[[#This Row],[Overall Actual Effort for the release]],"")</f>
        <v/>
      </c>
      <c r="AI374" s="256" t="str">
        <f>IFERROR(Table7[[#This Row],[No. of Valid  Internal Testing Defects]]/Table7[[#This Row],[No. of Testcases Executed]],"")</f>
        <v/>
      </c>
      <c r="AJ374" s="259" t="str">
        <f>IFERROR(IFERROR(Table7[[#This Row],[No. of Testcases Created]]/Table7[[#This Row],[Effort for Testcase Creation]],"")*9,"")</f>
        <v/>
      </c>
      <c r="AK374" s="256" t="str">
        <f>IFERROR((Table7[[#This Row],[No. of Testcases Executed]]/Table7[[#This Row],[Effort for Testcase Execution]])*9,"")</f>
        <v/>
      </c>
      <c r="AL37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4" s="259" t="str">
        <f>IFERROR(Table7[[#This Row],[No. of Defects Validated]]/SUMIFS(Table3[Hours Worked],Table3[Release Name],Table7[[#This Row],[Release Name]],Table3[Task Type],"Defect Validation")*9,"")</f>
        <v/>
      </c>
      <c r="AN374" s="258" t="str">
        <f>IFERROR((Table7[[#This Row],[No. of Valid  Internal Testing Defects]])/(Table7[[#This Row],[No. of Valid  Internal Testing Defects]]+Table7[[#This Row],[No. of Invalid Internal Testing Defects]]),"")</f>
        <v/>
      </c>
      <c r="AO374" s="258" t="str">
        <f>IFERROR(Table7[[#This Row],[No. of Valid External Testing Defects]]/(Table7[[#This Row],[No. of Valid External Testing Defects]]+Table7[[#This Row],[No. of Valid  Internal Testing Defects]]),"")</f>
        <v/>
      </c>
    </row>
    <row r="375" spans="2:41">
      <c r="B375" s="237"/>
      <c r="C375" s="14"/>
      <c r="D375" s="14"/>
      <c r="E375" s="14"/>
      <c r="F375" s="230" t="str">
        <f>IFERROR((Table47[[#This Row],[Initial No. of Requirements]]+Table47[[#This Row],[Modified Requirements( Added / Deleted /Modified)]])/Table47[[#This Row],[Initial No. of Requirements]],"")</f>
        <v/>
      </c>
      <c r="G37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5" s="249"/>
      <c r="J375" s="249"/>
      <c r="K375" s="250"/>
      <c r="L375" s="250"/>
      <c r="M375" s="250"/>
      <c r="N375" s="248">
        <f>SUMIFS(Table1[Size],Table1[Release Name],[2]!Table7[Release Name])</f>
        <v>0</v>
      </c>
      <c r="O375" s="248"/>
      <c r="P37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5" s="248"/>
      <c r="R37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5" s="248"/>
      <c r="T375" s="248"/>
      <c r="U375" s="248"/>
      <c r="V375" s="248"/>
      <c r="W375" s="248"/>
      <c r="X375" s="248"/>
      <c r="Y375" s="248"/>
      <c r="Z375" s="248"/>
      <c r="AA375" s="248"/>
      <c r="AB375" s="13">
        <f>SUMIFS(Table3[Hours Worked],Table3[Release Name],Table7[[#This Row],[Release Name]],Table3[Task Type],"Testcase Creation")</f>
        <v>0</v>
      </c>
      <c r="AC375" s="255">
        <f>SUMIFS(Table3[Hours Worked],Table3[Release Name],Table7[[#This Row],[Release Name]],Table3[Task Type],"Testcase Execution")</f>
        <v>0</v>
      </c>
      <c r="AD37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5" s="256" t="str">
        <f>IFERROR((Table7[[#This Row],[No. of Valid Internal Review Defects]]+Table7[[#This Row],[No. of Valid  Internal Testing Defects]]+Table7[[#This Row],[No. of  Valid External Review Defects]]+Table7[[#This Row],[No. of Valid External Testing Defects]])/Table7[[#This Row],[Size]],"")</f>
        <v/>
      </c>
      <c r="AF375" s="257" t="str">
        <f>IFERROR(Table7[[#This Row],[No. of Valid Internal Review Defects]]/(Table7[[#This Row],[No. of Valid Internal Review Defects]]+Table7[[#This Row],[No. of  Valid External Review Defects]]+Table7[[#This Row],[No. of Valid  Internal Testing Defects]]+Table7[[#This Row],[No. of Valid External Testing Defects]]),"")</f>
        <v/>
      </c>
      <c r="AG375" s="258" t="str">
        <f>IFERROR(Table7[[#This Row],[No. of Valid Internal Review Defects]]/(Table7[[#This Row],[No. of Valid Internal Review Defects]]+Table7[[#This Row],[No. of  Valid External Review Defects]]+Table7[[#This Row],[No. of Valid External Testing Defects]]),"")</f>
        <v/>
      </c>
      <c r="AH375" s="256" t="str">
        <f>IFERROR(Table7[[#This Row],[No. of Valid  Internal Testing Defects]]/Table7[[#This Row],[Overall Actual Effort for the release]],"")</f>
        <v/>
      </c>
      <c r="AI375" s="256" t="str">
        <f>IFERROR(Table7[[#This Row],[No. of Valid  Internal Testing Defects]]/Table7[[#This Row],[No. of Testcases Executed]],"")</f>
        <v/>
      </c>
      <c r="AJ375" s="259" t="str">
        <f>IFERROR(IFERROR(Table7[[#This Row],[No. of Testcases Created]]/Table7[[#This Row],[Effort for Testcase Creation]],"")*9,"")</f>
        <v/>
      </c>
      <c r="AK375" s="256" t="str">
        <f>IFERROR((Table7[[#This Row],[No. of Testcases Executed]]/Table7[[#This Row],[Effort for Testcase Execution]])*9,"")</f>
        <v/>
      </c>
      <c r="AL37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5" s="259" t="str">
        <f>IFERROR(Table7[[#This Row],[No. of Defects Validated]]/SUMIFS(Table3[Hours Worked],Table3[Release Name],Table7[[#This Row],[Release Name]],Table3[Task Type],"Defect Validation")*9,"")</f>
        <v/>
      </c>
      <c r="AN375" s="258" t="str">
        <f>IFERROR((Table7[[#This Row],[No. of Valid  Internal Testing Defects]])/(Table7[[#This Row],[No. of Valid  Internal Testing Defects]]+Table7[[#This Row],[No. of Invalid Internal Testing Defects]]),"")</f>
        <v/>
      </c>
      <c r="AO375" s="258" t="str">
        <f>IFERROR(Table7[[#This Row],[No. of Valid External Testing Defects]]/(Table7[[#This Row],[No. of Valid External Testing Defects]]+Table7[[#This Row],[No. of Valid  Internal Testing Defects]]),"")</f>
        <v/>
      </c>
    </row>
    <row r="376" spans="2:41">
      <c r="B376" s="237"/>
      <c r="C376" s="14"/>
      <c r="D376" s="14"/>
      <c r="E376" s="14"/>
      <c r="F376" s="230" t="str">
        <f>IFERROR((Table47[[#This Row],[Initial No. of Requirements]]+Table47[[#This Row],[Modified Requirements( Added / Deleted /Modified)]])/Table47[[#This Row],[Initial No. of Requirements]],"")</f>
        <v/>
      </c>
      <c r="G37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6" s="249"/>
      <c r="J376" s="249"/>
      <c r="K376" s="250"/>
      <c r="L376" s="250"/>
      <c r="M376" s="250"/>
      <c r="N376" s="248">
        <f>SUMIFS(Table1[Size],Table1[Release Name],[2]!Table7[Release Name])</f>
        <v>0</v>
      </c>
      <c r="O376" s="248"/>
      <c r="P37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6" s="248"/>
      <c r="R37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6" s="248"/>
      <c r="T376" s="248"/>
      <c r="U376" s="248"/>
      <c r="V376" s="248"/>
      <c r="W376" s="248"/>
      <c r="X376" s="248"/>
      <c r="Y376" s="248"/>
      <c r="Z376" s="248"/>
      <c r="AA376" s="248"/>
      <c r="AB376" s="13">
        <f>SUMIFS(Table3[Hours Worked],Table3[Release Name],Table7[[#This Row],[Release Name]],Table3[Task Type],"Testcase Creation")</f>
        <v>0</v>
      </c>
      <c r="AC376" s="255">
        <f>SUMIFS(Table3[Hours Worked],Table3[Release Name],Table7[[#This Row],[Release Name]],Table3[Task Type],"Testcase Execution")</f>
        <v>0</v>
      </c>
      <c r="AD37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6" s="256" t="str">
        <f>IFERROR((Table7[[#This Row],[No. of Valid Internal Review Defects]]+Table7[[#This Row],[No. of Valid  Internal Testing Defects]]+Table7[[#This Row],[No. of  Valid External Review Defects]]+Table7[[#This Row],[No. of Valid External Testing Defects]])/Table7[[#This Row],[Size]],"")</f>
        <v/>
      </c>
      <c r="AF376" s="257" t="str">
        <f>IFERROR(Table7[[#This Row],[No. of Valid Internal Review Defects]]/(Table7[[#This Row],[No. of Valid Internal Review Defects]]+Table7[[#This Row],[No. of  Valid External Review Defects]]+Table7[[#This Row],[No. of Valid  Internal Testing Defects]]+Table7[[#This Row],[No. of Valid External Testing Defects]]),"")</f>
        <v/>
      </c>
      <c r="AG376" s="258" t="str">
        <f>IFERROR(Table7[[#This Row],[No. of Valid Internal Review Defects]]/(Table7[[#This Row],[No. of Valid Internal Review Defects]]+Table7[[#This Row],[No. of  Valid External Review Defects]]+Table7[[#This Row],[No. of Valid External Testing Defects]]),"")</f>
        <v/>
      </c>
      <c r="AH376" s="256" t="str">
        <f>IFERROR(Table7[[#This Row],[No. of Valid  Internal Testing Defects]]/Table7[[#This Row],[Overall Actual Effort for the release]],"")</f>
        <v/>
      </c>
      <c r="AI376" s="256" t="str">
        <f>IFERROR(Table7[[#This Row],[No. of Valid  Internal Testing Defects]]/Table7[[#This Row],[No. of Testcases Executed]],"")</f>
        <v/>
      </c>
      <c r="AJ376" s="259" t="str">
        <f>IFERROR(IFERROR(Table7[[#This Row],[No. of Testcases Created]]/Table7[[#This Row],[Effort for Testcase Creation]],"")*9,"")</f>
        <v/>
      </c>
      <c r="AK376" s="256" t="str">
        <f>IFERROR((Table7[[#This Row],[No. of Testcases Executed]]/Table7[[#This Row],[Effort for Testcase Execution]])*9,"")</f>
        <v/>
      </c>
      <c r="AL37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6" s="259" t="str">
        <f>IFERROR(Table7[[#This Row],[No. of Defects Validated]]/SUMIFS(Table3[Hours Worked],Table3[Release Name],Table7[[#This Row],[Release Name]],Table3[Task Type],"Defect Validation")*9,"")</f>
        <v/>
      </c>
      <c r="AN376" s="258" t="str">
        <f>IFERROR((Table7[[#This Row],[No. of Valid  Internal Testing Defects]])/(Table7[[#This Row],[No. of Valid  Internal Testing Defects]]+Table7[[#This Row],[No. of Invalid Internal Testing Defects]]),"")</f>
        <v/>
      </c>
      <c r="AO376" s="258" t="str">
        <f>IFERROR(Table7[[#This Row],[No. of Valid External Testing Defects]]/(Table7[[#This Row],[No. of Valid External Testing Defects]]+Table7[[#This Row],[No. of Valid  Internal Testing Defects]]),"")</f>
        <v/>
      </c>
    </row>
    <row r="377" spans="2:41">
      <c r="B377" s="237"/>
      <c r="C377" s="14"/>
      <c r="D377" s="14"/>
      <c r="E377" s="14"/>
      <c r="F377" s="230" t="str">
        <f>IFERROR((Table47[[#This Row],[Initial No. of Requirements]]+Table47[[#This Row],[Modified Requirements( Added / Deleted /Modified)]])/Table47[[#This Row],[Initial No. of Requirements]],"")</f>
        <v/>
      </c>
      <c r="G37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7" s="249"/>
      <c r="J377" s="249"/>
      <c r="K377" s="250"/>
      <c r="L377" s="250"/>
      <c r="M377" s="250"/>
      <c r="N377" s="248">
        <f>SUMIFS(Table1[Size],Table1[Release Name],[2]!Table7[Release Name])</f>
        <v>0</v>
      </c>
      <c r="O377" s="248"/>
      <c r="P37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7" s="248"/>
      <c r="R37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7" s="248"/>
      <c r="T377" s="248"/>
      <c r="U377" s="248"/>
      <c r="V377" s="248"/>
      <c r="W377" s="248"/>
      <c r="X377" s="248"/>
      <c r="Y377" s="248"/>
      <c r="Z377" s="248"/>
      <c r="AA377" s="248"/>
      <c r="AB377" s="13">
        <f>SUMIFS(Table3[Hours Worked],Table3[Release Name],Table7[[#This Row],[Release Name]],Table3[Task Type],"Testcase Creation")</f>
        <v>0</v>
      </c>
      <c r="AC377" s="255">
        <f>SUMIFS(Table3[Hours Worked],Table3[Release Name],Table7[[#This Row],[Release Name]],Table3[Task Type],"Testcase Execution")</f>
        <v>0</v>
      </c>
      <c r="AD37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7" s="256" t="str">
        <f>IFERROR((Table7[[#This Row],[No. of Valid Internal Review Defects]]+Table7[[#This Row],[No. of Valid  Internal Testing Defects]]+Table7[[#This Row],[No. of  Valid External Review Defects]]+Table7[[#This Row],[No. of Valid External Testing Defects]])/Table7[[#This Row],[Size]],"")</f>
        <v/>
      </c>
      <c r="AF377" s="257" t="str">
        <f>IFERROR(Table7[[#This Row],[No. of Valid Internal Review Defects]]/(Table7[[#This Row],[No. of Valid Internal Review Defects]]+Table7[[#This Row],[No. of  Valid External Review Defects]]+Table7[[#This Row],[No. of Valid  Internal Testing Defects]]+Table7[[#This Row],[No. of Valid External Testing Defects]]),"")</f>
        <v/>
      </c>
      <c r="AG377" s="258" t="str">
        <f>IFERROR(Table7[[#This Row],[No. of Valid Internal Review Defects]]/(Table7[[#This Row],[No. of Valid Internal Review Defects]]+Table7[[#This Row],[No. of  Valid External Review Defects]]+Table7[[#This Row],[No. of Valid External Testing Defects]]),"")</f>
        <v/>
      </c>
      <c r="AH377" s="256" t="str">
        <f>IFERROR(Table7[[#This Row],[No. of Valid  Internal Testing Defects]]/Table7[[#This Row],[Overall Actual Effort for the release]],"")</f>
        <v/>
      </c>
      <c r="AI377" s="256" t="str">
        <f>IFERROR(Table7[[#This Row],[No. of Valid  Internal Testing Defects]]/Table7[[#This Row],[No. of Testcases Executed]],"")</f>
        <v/>
      </c>
      <c r="AJ377" s="259" t="str">
        <f>IFERROR(IFERROR(Table7[[#This Row],[No. of Testcases Created]]/Table7[[#This Row],[Effort for Testcase Creation]],"")*9,"")</f>
        <v/>
      </c>
      <c r="AK377" s="256" t="str">
        <f>IFERROR((Table7[[#This Row],[No. of Testcases Executed]]/Table7[[#This Row],[Effort for Testcase Execution]])*9,"")</f>
        <v/>
      </c>
      <c r="AL37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7" s="259" t="str">
        <f>IFERROR(Table7[[#This Row],[No. of Defects Validated]]/SUMIFS(Table3[Hours Worked],Table3[Release Name],Table7[[#This Row],[Release Name]],Table3[Task Type],"Defect Validation")*9,"")</f>
        <v/>
      </c>
      <c r="AN377" s="258" t="str">
        <f>IFERROR((Table7[[#This Row],[No. of Valid  Internal Testing Defects]])/(Table7[[#This Row],[No. of Valid  Internal Testing Defects]]+Table7[[#This Row],[No. of Invalid Internal Testing Defects]]),"")</f>
        <v/>
      </c>
      <c r="AO377" s="258" t="str">
        <f>IFERROR(Table7[[#This Row],[No. of Valid External Testing Defects]]/(Table7[[#This Row],[No. of Valid External Testing Defects]]+Table7[[#This Row],[No. of Valid  Internal Testing Defects]]),"")</f>
        <v/>
      </c>
    </row>
    <row r="378" spans="2:41">
      <c r="B378" s="237"/>
      <c r="C378" s="14"/>
      <c r="D378" s="14"/>
      <c r="E378" s="14"/>
      <c r="F378" s="230" t="str">
        <f>IFERROR((Table47[[#This Row],[Initial No. of Requirements]]+Table47[[#This Row],[Modified Requirements( Added / Deleted /Modified)]])/Table47[[#This Row],[Initial No. of Requirements]],"")</f>
        <v/>
      </c>
      <c r="G37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8" s="249"/>
      <c r="J378" s="249"/>
      <c r="K378" s="250"/>
      <c r="L378" s="250"/>
      <c r="M378" s="250"/>
      <c r="N378" s="248">
        <f>SUMIFS(Table1[Size],Table1[Release Name],[2]!Table7[Release Name])</f>
        <v>0</v>
      </c>
      <c r="O378" s="248"/>
      <c r="P37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8" s="248"/>
      <c r="R37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8" s="248"/>
      <c r="T378" s="248"/>
      <c r="U378" s="248"/>
      <c r="V378" s="248"/>
      <c r="W378" s="248"/>
      <c r="X378" s="248"/>
      <c r="Y378" s="248"/>
      <c r="Z378" s="248"/>
      <c r="AA378" s="248"/>
      <c r="AB378" s="13">
        <f>SUMIFS(Table3[Hours Worked],Table3[Release Name],Table7[[#This Row],[Release Name]],Table3[Task Type],"Testcase Creation")</f>
        <v>0</v>
      </c>
      <c r="AC378" s="255">
        <f>SUMIFS(Table3[Hours Worked],Table3[Release Name],Table7[[#This Row],[Release Name]],Table3[Task Type],"Testcase Execution")</f>
        <v>0</v>
      </c>
      <c r="AD37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8" s="256" t="str">
        <f>IFERROR((Table7[[#This Row],[No. of Valid Internal Review Defects]]+Table7[[#This Row],[No. of Valid  Internal Testing Defects]]+Table7[[#This Row],[No. of  Valid External Review Defects]]+Table7[[#This Row],[No. of Valid External Testing Defects]])/Table7[[#This Row],[Size]],"")</f>
        <v/>
      </c>
      <c r="AF378" s="257" t="str">
        <f>IFERROR(Table7[[#This Row],[No. of Valid Internal Review Defects]]/(Table7[[#This Row],[No. of Valid Internal Review Defects]]+Table7[[#This Row],[No. of  Valid External Review Defects]]+Table7[[#This Row],[No. of Valid  Internal Testing Defects]]+Table7[[#This Row],[No. of Valid External Testing Defects]]),"")</f>
        <v/>
      </c>
      <c r="AG378" s="258" t="str">
        <f>IFERROR(Table7[[#This Row],[No. of Valid Internal Review Defects]]/(Table7[[#This Row],[No. of Valid Internal Review Defects]]+Table7[[#This Row],[No. of  Valid External Review Defects]]+Table7[[#This Row],[No. of Valid External Testing Defects]]),"")</f>
        <v/>
      </c>
      <c r="AH378" s="256" t="str">
        <f>IFERROR(Table7[[#This Row],[No. of Valid  Internal Testing Defects]]/Table7[[#This Row],[Overall Actual Effort for the release]],"")</f>
        <v/>
      </c>
      <c r="AI378" s="256" t="str">
        <f>IFERROR(Table7[[#This Row],[No. of Valid  Internal Testing Defects]]/Table7[[#This Row],[No. of Testcases Executed]],"")</f>
        <v/>
      </c>
      <c r="AJ378" s="259" t="str">
        <f>IFERROR(IFERROR(Table7[[#This Row],[No. of Testcases Created]]/Table7[[#This Row],[Effort for Testcase Creation]],"")*9,"")</f>
        <v/>
      </c>
      <c r="AK378" s="256" t="str">
        <f>IFERROR((Table7[[#This Row],[No. of Testcases Executed]]/Table7[[#This Row],[Effort for Testcase Execution]])*9,"")</f>
        <v/>
      </c>
      <c r="AL37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8" s="259" t="str">
        <f>IFERROR(Table7[[#This Row],[No. of Defects Validated]]/SUMIFS(Table3[Hours Worked],Table3[Release Name],Table7[[#This Row],[Release Name]],Table3[Task Type],"Defect Validation")*9,"")</f>
        <v/>
      </c>
      <c r="AN378" s="258" t="str">
        <f>IFERROR((Table7[[#This Row],[No. of Valid  Internal Testing Defects]])/(Table7[[#This Row],[No. of Valid  Internal Testing Defects]]+Table7[[#This Row],[No. of Invalid Internal Testing Defects]]),"")</f>
        <v/>
      </c>
      <c r="AO378" s="258" t="str">
        <f>IFERROR(Table7[[#This Row],[No. of Valid External Testing Defects]]/(Table7[[#This Row],[No. of Valid External Testing Defects]]+Table7[[#This Row],[No. of Valid  Internal Testing Defects]]),"")</f>
        <v/>
      </c>
    </row>
    <row r="379" spans="2:41">
      <c r="B379" s="237"/>
      <c r="C379" s="14"/>
      <c r="D379" s="14"/>
      <c r="E379" s="14"/>
      <c r="F379" s="230" t="str">
        <f>IFERROR((Table47[[#This Row],[Initial No. of Requirements]]+Table47[[#This Row],[Modified Requirements( Added / Deleted /Modified)]])/Table47[[#This Row],[Initial No. of Requirements]],"")</f>
        <v/>
      </c>
      <c r="G37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79" s="249"/>
      <c r="J379" s="249"/>
      <c r="K379" s="250"/>
      <c r="L379" s="250"/>
      <c r="M379" s="250"/>
      <c r="N379" s="248">
        <f>SUMIFS(Table1[Size],Table1[Release Name],[2]!Table7[Release Name])</f>
        <v>0</v>
      </c>
      <c r="O379" s="248"/>
      <c r="P37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79" s="248"/>
      <c r="R37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79" s="248"/>
      <c r="T379" s="248"/>
      <c r="U379" s="248"/>
      <c r="V379" s="248"/>
      <c r="W379" s="248"/>
      <c r="X379" s="248"/>
      <c r="Y379" s="248"/>
      <c r="Z379" s="248"/>
      <c r="AA379" s="248"/>
      <c r="AB379" s="13">
        <f>SUMIFS(Table3[Hours Worked],Table3[Release Name],Table7[[#This Row],[Release Name]],Table3[Task Type],"Testcase Creation")</f>
        <v>0</v>
      </c>
      <c r="AC379" s="255">
        <f>SUMIFS(Table3[Hours Worked],Table3[Release Name],Table7[[#This Row],[Release Name]],Table3[Task Type],"Testcase Execution")</f>
        <v>0</v>
      </c>
      <c r="AD37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79" s="256" t="str">
        <f>IFERROR((Table7[[#This Row],[No. of Valid Internal Review Defects]]+Table7[[#This Row],[No. of Valid  Internal Testing Defects]]+Table7[[#This Row],[No. of  Valid External Review Defects]]+Table7[[#This Row],[No. of Valid External Testing Defects]])/Table7[[#This Row],[Size]],"")</f>
        <v/>
      </c>
      <c r="AF379" s="257" t="str">
        <f>IFERROR(Table7[[#This Row],[No. of Valid Internal Review Defects]]/(Table7[[#This Row],[No. of Valid Internal Review Defects]]+Table7[[#This Row],[No. of  Valid External Review Defects]]+Table7[[#This Row],[No. of Valid  Internal Testing Defects]]+Table7[[#This Row],[No. of Valid External Testing Defects]]),"")</f>
        <v/>
      </c>
      <c r="AG379" s="258" t="str">
        <f>IFERROR(Table7[[#This Row],[No. of Valid Internal Review Defects]]/(Table7[[#This Row],[No. of Valid Internal Review Defects]]+Table7[[#This Row],[No. of  Valid External Review Defects]]+Table7[[#This Row],[No. of Valid External Testing Defects]]),"")</f>
        <v/>
      </c>
      <c r="AH379" s="256" t="str">
        <f>IFERROR(Table7[[#This Row],[No. of Valid  Internal Testing Defects]]/Table7[[#This Row],[Overall Actual Effort for the release]],"")</f>
        <v/>
      </c>
      <c r="AI379" s="256" t="str">
        <f>IFERROR(Table7[[#This Row],[No. of Valid  Internal Testing Defects]]/Table7[[#This Row],[No. of Testcases Executed]],"")</f>
        <v/>
      </c>
      <c r="AJ379" s="259" t="str">
        <f>IFERROR(IFERROR(Table7[[#This Row],[No. of Testcases Created]]/Table7[[#This Row],[Effort for Testcase Creation]],"")*9,"")</f>
        <v/>
      </c>
      <c r="AK379" s="256" t="str">
        <f>IFERROR((Table7[[#This Row],[No. of Testcases Executed]]/Table7[[#This Row],[Effort for Testcase Execution]])*9,"")</f>
        <v/>
      </c>
      <c r="AL37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79" s="259" t="str">
        <f>IFERROR(Table7[[#This Row],[No. of Defects Validated]]/SUMIFS(Table3[Hours Worked],Table3[Release Name],Table7[[#This Row],[Release Name]],Table3[Task Type],"Defect Validation")*9,"")</f>
        <v/>
      </c>
      <c r="AN379" s="258" t="str">
        <f>IFERROR((Table7[[#This Row],[No. of Valid  Internal Testing Defects]])/(Table7[[#This Row],[No. of Valid  Internal Testing Defects]]+Table7[[#This Row],[No. of Invalid Internal Testing Defects]]),"")</f>
        <v/>
      </c>
      <c r="AO379" s="258" t="str">
        <f>IFERROR(Table7[[#This Row],[No. of Valid External Testing Defects]]/(Table7[[#This Row],[No. of Valid External Testing Defects]]+Table7[[#This Row],[No. of Valid  Internal Testing Defects]]),"")</f>
        <v/>
      </c>
    </row>
    <row r="380" spans="2:41">
      <c r="B380" s="237"/>
      <c r="C380" s="14"/>
      <c r="D380" s="14"/>
      <c r="E380" s="14"/>
      <c r="F380" s="230" t="str">
        <f>IFERROR((Table47[[#This Row],[Initial No. of Requirements]]+Table47[[#This Row],[Modified Requirements( Added / Deleted /Modified)]])/Table47[[#This Row],[Initial No. of Requirements]],"")</f>
        <v/>
      </c>
      <c r="G38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0" s="249"/>
      <c r="J380" s="249"/>
      <c r="K380" s="250"/>
      <c r="L380" s="250"/>
      <c r="M380" s="250"/>
      <c r="N380" s="248">
        <f>SUMIFS(Table1[Size],Table1[Release Name],[2]!Table7[Release Name])</f>
        <v>0</v>
      </c>
      <c r="O380" s="248"/>
      <c r="P38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0" s="248"/>
      <c r="R38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0" s="248"/>
      <c r="T380" s="248"/>
      <c r="U380" s="248"/>
      <c r="V380" s="248"/>
      <c r="W380" s="248"/>
      <c r="X380" s="248"/>
      <c r="Y380" s="248"/>
      <c r="Z380" s="248"/>
      <c r="AA380" s="248"/>
      <c r="AB380" s="13">
        <f>SUMIFS(Table3[Hours Worked],Table3[Release Name],Table7[[#This Row],[Release Name]],Table3[Task Type],"Testcase Creation")</f>
        <v>0</v>
      </c>
      <c r="AC380" s="255">
        <f>SUMIFS(Table3[Hours Worked],Table3[Release Name],Table7[[#This Row],[Release Name]],Table3[Task Type],"Testcase Execution")</f>
        <v>0</v>
      </c>
      <c r="AD38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0" s="256" t="str">
        <f>IFERROR((Table7[[#This Row],[No. of Valid Internal Review Defects]]+Table7[[#This Row],[No. of Valid  Internal Testing Defects]]+Table7[[#This Row],[No. of  Valid External Review Defects]]+Table7[[#This Row],[No. of Valid External Testing Defects]])/Table7[[#This Row],[Size]],"")</f>
        <v/>
      </c>
      <c r="AF380" s="257" t="str">
        <f>IFERROR(Table7[[#This Row],[No. of Valid Internal Review Defects]]/(Table7[[#This Row],[No. of Valid Internal Review Defects]]+Table7[[#This Row],[No. of  Valid External Review Defects]]+Table7[[#This Row],[No. of Valid  Internal Testing Defects]]+Table7[[#This Row],[No. of Valid External Testing Defects]]),"")</f>
        <v/>
      </c>
      <c r="AG380" s="258" t="str">
        <f>IFERROR(Table7[[#This Row],[No. of Valid Internal Review Defects]]/(Table7[[#This Row],[No. of Valid Internal Review Defects]]+Table7[[#This Row],[No. of  Valid External Review Defects]]+Table7[[#This Row],[No. of Valid External Testing Defects]]),"")</f>
        <v/>
      </c>
      <c r="AH380" s="256" t="str">
        <f>IFERROR(Table7[[#This Row],[No. of Valid  Internal Testing Defects]]/Table7[[#This Row],[Overall Actual Effort for the release]],"")</f>
        <v/>
      </c>
      <c r="AI380" s="256" t="str">
        <f>IFERROR(Table7[[#This Row],[No. of Valid  Internal Testing Defects]]/Table7[[#This Row],[No. of Testcases Executed]],"")</f>
        <v/>
      </c>
      <c r="AJ380" s="259" t="str">
        <f>IFERROR(IFERROR(Table7[[#This Row],[No. of Testcases Created]]/Table7[[#This Row],[Effort for Testcase Creation]],"")*9,"")</f>
        <v/>
      </c>
      <c r="AK380" s="256" t="str">
        <f>IFERROR((Table7[[#This Row],[No. of Testcases Executed]]/Table7[[#This Row],[Effort for Testcase Execution]])*9,"")</f>
        <v/>
      </c>
      <c r="AL38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0" s="259" t="str">
        <f>IFERROR(Table7[[#This Row],[No. of Defects Validated]]/SUMIFS(Table3[Hours Worked],Table3[Release Name],Table7[[#This Row],[Release Name]],Table3[Task Type],"Defect Validation")*9,"")</f>
        <v/>
      </c>
      <c r="AN380" s="258" t="str">
        <f>IFERROR((Table7[[#This Row],[No. of Valid  Internal Testing Defects]])/(Table7[[#This Row],[No. of Valid  Internal Testing Defects]]+Table7[[#This Row],[No. of Invalid Internal Testing Defects]]),"")</f>
        <v/>
      </c>
      <c r="AO380" s="258" t="str">
        <f>IFERROR(Table7[[#This Row],[No. of Valid External Testing Defects]]/(Table7[[#This Row],[No. of Valid External Testing Defects]]+Table7[[#This Row],[No. of Valid  Internal Testing Defects]]),"")</f>
        <v/>
      </c>
    </row>
    <row r="381" spans="2:41">
      <c r="B381" s="237"/>
      <c r="C381" s="14"/>
      <c r="D381" s="14"/>
      <c r="E381" s="14"/>
      <c r="F381" s="230" t="str">
        <f>IFERROR((Table47[[#This Row],[Initial No. of Requirements]]+Table47[[#This Row],[Modified Requirements( Added / Deleted /Modified)]])/Table47[[#This Row],[Initial No. of Requirements]],"")</f>
        <v/>
      </c>
      <c r="G38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1" s="249"/>
      <c r="J381" s="249"/>
      <c r="K381" s="250"/>
      <c r="L381" s="250"/>
      <c r="M381" s="250"/>
      <c r="N381" s="248">
        <f>SUMIFS(Table1[Size],Table1[Release Name],[2]!Table7[Release Name])</f>
        <v>0</v>
      </c>
      <c r="O381" s="248"/>
      <c r="P38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1" s="248"/>
      <c r="R38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1" s="248"/>
      <c r="T381" s="248"/>
      <c r="U381" s="248"/>
      <c r="V381" s="248"/>
      <c r="W381" s="248"/>
      <c r="X381" s="248"/>
      <c r="Y381" s="248"/>
      <c r="Z381" s="248"/>
      <c r="AA381" s="248"/>
      <c r="AB381" s="13">
        <f>SUMIFS(Table3[Hours Worked],Table3[Release Name],Table7[[#This Row],[Release Name]],Table3[Task Type],"Testcase Creation")</f>
        <v>0</v>
      </c>
      <c r="AC381" s="255">
        <f>SUMIFS(Table3[Hours Worked],Table3[Release Name],Table7[[#This Row],[Release Name]],Table3[Task Type],"Testcase Execution")</f>
        <v>0</v>
      </c>
      <c r="AD38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1" s="256" t="str">
        <f>IFERROR((Table7[[#This Row],[No. of Valid Internal Review Defects]]+Table7[[#This Row],[No. of Valid  Internal Testing Defects]]+Table7[[#This Row],[No. of  Valid External Review Defects]]+Table7[[#This Row],[No. of Valid External Testing Defects]])/Table7[[#This Row],[Size]],"")</f>
        <v/>
      </c>
      <c r="AF381" s="257" t="str">
        <f>IFERROR(Table7[[#This Row],[No. of Valid Internal Review Defects]]/(Table7[[#This Row],[No. of Valid Internal Review Defects]]+Table7[[#This Row],[No. of  Valid External Review Defects]]+Table7[[#This Row],[No. of Valid  Internal Testing Defects]]+Table7[[#This Row],[No. of Valid External Testing Defects]]),"")</f>
        <v/>
      </c>
      <c r="AG381" s="258" t="str">
        <f>IFERROR(Table7[[#This Row],[No. of Valid Internal Review Defects]]/(Table7[[#This Row],[No. of Valid Internal Review Defects]]+Table7[[#This Row],[No. of  Valid External Review Defects]]+Table7[[#This Row],[No. of Valid External Testing Defects]]),"")</f>
        <v/>
      </c>
      <c r="AH381" s="256" t="str">
        <f>IFERROR(Table7[[#This Row],[No. of Valid  Internal Testing Defects]]/Table7[[#This Row],[Overall Actual Effort for the release]],"")</f>
        <v/>
      </c>
      <c r="AI381" s="256" t="str">
        <f>IFERROR(Table7[[#This Row],[No. of Valid  Internal Testing Defects]]/Table7[[#This Row],[No. of Testcases Executed]],"")</f>
        <v/>
      </c>
      <c r="AJ381" s="259" t="str">
        <f>IFERROR(IFERROR(Table7[[#This Row],[No. of Testcases Created]]/Table7[[#This Row],[Effort for Testcase Creation]],"")*9,"")</f>
        <v/>
      </c>
      <c r="AK381" s="256" t="str">
        <f>IFERROR((Table7[[#This Row],[No. of Testcases Executed]]/Table7[[#This Row],[Effort for Testcase Execution]])*9,"")</f>
        <v/>
      </c>
      <c r="AL38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1" s="259" t="str">
        <f>IFERROR(Table7[[#This Row],[No. of Defects Validated]]/SUMIFS(Table3[Hours Worked],Table3[Release Name],Table7[[#This Row],[Release Name]],Table3[Task Type],"Defect Validation")*9,"")</f>
        <v/>
      </c>
      <c r="AN381" s="258" t="str">
        <f>IFERROR((Table7[[#This Row],[No. of Valid  Internal Testing Defects]])/(Table7[[#This Row],[No. of Valid  Internal Testing Defects]]+Table7[[#This Row],[No. of Invalid Internal Testing Defects]]),"")</f>
        <v/>
      </c>
      <c r="AO381" s="258" t="str">
        <f>IFERROR(Table7[[#This Row],[No. of Valid External Testing Defects]]/(Table7[[#This Row],[No. of Valid External Testing Defects]]+Table7[[#This Row],[No. of Valid  Internal Testing Defects]]),"")</f>
        <v/>
      </c>
    </row>
    <row r="382" spans="2:41">
      <c r="B382" s="237"/>
      <c r="C382" s="14"/>
      <c r="D382" s="14"/>
      <c r="E382" s="14"/>
      <c r="F382" s="230" t="str">
        <f>IFERROR((Table47[[#This Row],[Initial No. of Requirements]]+Table47[[#This Row],[Modified Requirements( Added / Deleted /Modified)]])/Table47[[#This Row],[Initial No. of Requirements]],"")</f>
        <v/>
      </c>
      <c r="G38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2" s="249"/>
      <c r="J382" s="249"/>
      <c r="K382" s="250"/>
      <c r="L382" s="250"/>
      <c r="M382" s="250"/>
      <c r="N382" s="248">
        <f>SUMIFS(Table1[Size],Table1[Release Name],[2]!Table7[Release Name])</f>
        <v>0</v>
      </c>
      <c r="O382" s="248"/>
      <c r="P38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2" s="248"/>
      <c r="R38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2" s="248"/>
      <c r="T382" s="248"/>
      <c r="U382" s="248"/>
      <c r="V382" s="248"/>
      <c r="W382" s="248"/>
      <c r="X382" s="248"/>
      <c r="Y382" s="248"/>
      <c r="Z382" s="248"/>
      <c r="AA382" s="248"/>
      <c r="AB382" s="13">
        <f>SUMIFS(Table3[Hours Worked],Table3[Release Name],Table7[[#This Row],[Release Name]],Table3[Task Type],"Testcase Creation")</f>
        <v>0</v>
      </c>
      <c r="AC382" s="255">
        <f>SUMIFS(Table3[Hours Worked],Table3[Release Name],Table7[[#This Row],[Release Name]],Table3[Task Type],"Testcase Execution")</f>
        <v>0</v>
      </c>
      <c r="AD38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2" s="256" t="str">
        <f>IFERROR((Table7[[#This Row],[No. of Valid Internal Review Defects]]+Table7[[#This Row],[No. of Valid  Internal Testing Defects]]+Table7[[#This Row],[No. of  Valid External Review Defects]]+Table7[[#This Row],[No. of Valid External Testing Defects]])/Table7[[#This Row],[Size]],"")</f>
        <v/>
      </c>
      <c r="AF382" s="257" t="str">
        <f>IFERROR(Table7[[#This Row],[No. of Valid Internal Review Defects]]/(Table7[[#This Row],[No. of Valid Internal Review Defects]]+Table7[[#This Row],[No. of  Valid External Review Defects]]+Table7[[#This Row],[No. of Valid  Internal Testing Defects]]+Table7[[#This Row],[No. of Valid External Testing Defects]]),"")</f>
        <v/>
      </c>
      <c r="AG382" s="258" t="str">
        <f>IFERROR(Table7[[#This Row],[No. of Valid Internal Review Defects]]/(Table7[[#This Row],[No. of Valid Internal Review Defects]]+Table7[[#This Row],[No. of  Valid External Review Defects]]+Table7[[#This Row],[No. of Valid External Testing Defects]]),"")</f>
        <v/>
      </c>
      <c r="AH382" s="256" t="str">
        <f>IFERROR(Table7[[#This Row],[No. of Valid  Internal Testing Defects]]/Table7[[#This Row],[Overall Actual Effort for the release]],"")</f>
        <v/>
      </c>
      <c r="AI382" s="256" t="str">
        <f>IFERROR(Table7[[#This Row],[No. of Valid  Internal Testing Defects]]/Table7[[#This Row],[No. of Testcases Executed]],"")</f>
        <v/>
      </c>
      <c r="AJ382" s="259" t="str">
        <f>IFERROR(IFERROR(Table7[[#This Row],[No. of Testcases Created]]/Table7[[#This Row],[Effort for Testcase Creation]],"")*9,"")</f>
        <v/>
      </c>
      <c r="AK382" s="256" t="str">
        <f>IFERROR((Table7[[#This Row],[No. of Testcases Executed]]/Table7[[#This Row],[Effort for Testcase Execution]])*9,"")</f>
        <v/>
      </c>
      <c r="AL38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2" s="259" t="str">
        <f>IFERROR(Table7[[#This Row],[No. of Defects Validated]]/SUMIFS(Table3[Hours Worked],Table3[Release Name],Table7[[#This Row],[Release Name]],Table3[Task Type],"Defect Validation")*9,"")</f>
        <v/>
      </c>
      <c r="AN382" s="258" t="str">
        <f>IFERROR((Table7[[#This Row],[No. of Valid  Internal Testing Defects]])/(Table7[[#This Row],[No. of Valid  Internal Testing Defects]]+Table7[[#This Row],[No. of Invalid Internal Testing Defects]]),"")</f>
        <v/>
      </c>
      <c r="AO382" s="258" t="str">
        <f>IFERROR(Table7[[#This Row],[No. of Valid External Testing Defects]]/(Table7[[#This Row],[No. of Valid External Testing Defects]]+Table7[[#This Row],[No. of Valid  Internal Testing Defects]]),"")</f>
        <v/>
      </c>
    </row>
    <row r="383" spans="2:41">
      <c r="B383" s="237"/>
      <c r="C383" s="14"/>
      <c r="D383" s="14"/>
      <c r="E383" s="14"/>
      <c r="F383" s="230" t="str">
        <f>IFERROR((Table47[[#This Row],[Initial No. of Requirements]]+Table47[[#This Row],[Modified Requirements( Added / Deleted /Modified)]])/Table47[[#This Row],[Initial No. of Requirements]],"")</f>
        <v/>
      </c>
      <c r="G38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3" s="249"/>
      <c r="J383" s="249"/>
      <c r="K383" s="250"/>
      <c r="L383" s="250"/>
      <c r="M383" s="250"/>
      <c r="N383" s="248">
        <f>SUMIFS(Table1[Size],Table1[Release Name],[2]!Table7[Release Name])</f>
        <v>0</v>
      </c>
      <c r="O383" s="248"/>
      <c r="P38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3" s="248"/>
      <c r="R38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3" s="248"/>
      <c r="T383" s="248"/>
      <c r="U383" s="248"/>
      <c r="V383" s="248"/>
      <c r="W383" s="248"/>
      <c r="X383" s="248"/>
      <c r="Y383" s="248"/>
      <c r="Z383" s="248"/>
      <c r="AA383" s="248"/>
      <c r="AB383" s="13">
        <f>SUMIFS(Table3[Hours Worked],Table3[Release Name],Table7[[#This Row],[Release Name]],Table3[Task Type],"Testcase Creation")</f>
        <v>0</v>
      </c>
      <c r="AC383" s="255">
        <f>SUMIFS(Table3[Hours Worked],Table3[Release Name],Table7[[#This Row],[Release Name]],Table3[Task Type],"Testcase Execution")</f>
        <v>0</v>
      </c>
      <c r="AD38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3" s="256" t="str">
        <f>IFERROR((Table7[[#This Row],[No. of Valid Internal Review Defects]]+Table7[[#This Row],[No. of Valid  Internal Testing Defects]]+Table7[[#This Row],[No. of  Valid External Review Defects]]+Table7[[#This Row],[No. of Valid External Testing Defects]])/Table7[[#This Row],[Size]],"")</f>
        <v/>
      </c>
      <c r="AF383" s="257" t="str">
        <f>IFERROR(Table7[[#This Row],[No. of Valid Internal Review Defects]]/(Table7[[#This Row],[No. of Valid Internal Review Defects]]+Table7[[#This Row],[No. of  Valid External Review Defects]]+Table7[[#This Row],[No. of Valid  Internal Testing Defects]]+Table7[[#This Row],[No. of Valid External Testing Defects]]),"")</f>
        <v/>
      </c>
      <c r="AG383" s="258" t="str">
        <f>IFERROR(Table7[[#This Row],[No. of Valid Internal Review Defects]]/(Table7[[#This Row],[No. of Valid Internal Review Defects]]+Table7[[#This Row],[No. of  Valid External Review Defects]]+Table7[[#This Row],[No. of Valid External Testing Defects]]),"")</f>
        <v/>
      </c>
      <c r="AH383" s="256" t="str">
        <f>IFERROR(Table7[[#This Row],[No. of Valid  Internal Testing Defects]]/Table7[[#This Row],[Overall Actual Effort for the release]],"")</f>
        <v/>
      </c>
      <c r="AI383" s="256" t="str">
        <f>IFERROR(Table7[[#This Row],[No. of Valid  Internal Testing Defects]]/Table7[[#This Row],[No. of Testcases Executed]],"")</f>
        <v/>
      </c>
      <c r="AJ383" s="259" t="str">
        <f>IFERROR(IFERROR(Table7[[#This Row],[No. of Testcases Created]]/Table7[[#This Row],[Effort for Testcase Creation]],"")*9,"")</f>
        <v/>
      </c>
      <c r="AK383" s="256" t="str">
        <f>IFERROR((Table7[[#This Row],[No. of Testcases Executed]]/Table7[[#This Row],[Effort for Testcase Execution]])*9,"")</f>
        <v/>
      </c>
      <c r="AL38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3" s="259" t="str">
        <f>IFERROR(Table7[[#This Row],[No. of Defects Validated]]/SUMIFS(Table3[Hours Worked],Table3[Release Name],Table7[[#This Row],[Release Name]],Table3[Task Type],"Defect Validation")*9,"")</f>
        <v/>
      </c>
      <c r="AN383" s="258" t="str">
        <f>IFERROR((Table7[[#This Row],[No. of Valid  Internal Testing Defects]])/(Table7[[#This Row],[No. of Valid  Internal Testing Defects]]+Table7[[#This Row],[No. of Invalid Internal Testing Defects]]),"")</f>
        <v/>
      </c>
      <c r="AO383" s="258" t="str">
        <f>IFERROR(Table7[[#This Row],[No. of Valid External Testing Defects]]/(Table7[[#This Row],[No. of Valid External Testing Defects]]+Table7[[#This Row],[No. of Valid  Internal Testing Defects]]),"")</f>
        <v/>
      </c>
    </row>
    <row r="384" spans="2:41">
      <c r="B384" s="237"/>
      <c r="C384" s="14"/>
      <c r="D384" s="14"/>
      <c r="E384" s="14"/>
      <c r="F384" s="230" t="str">
        <f>IFERROR((Table47[[#This Row],[Initial No. of Requirements]]+Table47[[#This Row],[Modified Requirements( Added / Deleted /Modified)]])/Table47[[#This Row],[Initial No. of Requirements]],"")</f>
        <v/>
      </c>
      <c r="G38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4" s="249"/>
      <c r="J384" s="249"/>
      <c r="K384" s="250"/>
      <c r="L384" s="250"/>
      <c r="M384" s="250"/>
      <c r="N384" s="248">
        <f>SUMIFS(Table1[Size],Table1[Release Name],[2]!Table7[Release Name])</f>
        <v>0</v>
      </c>
      <c r="O384" s="248"/>
      <c r="P38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4" s="248"/>
      <c r="R38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4" s="248"/>
      <c r="T384" s="248"/>
      <c r="U384" s="248"/>
      <c r="V384" s="248"/>
      <c r="W384" s="248"/>
      <c r="X384" s="248"/>
      <c r="Y384" s="248"/>
      <c r="Z384" s="248"/>
      <c r="AA384" s="248"/>
      <c r="AB384" s="13">
        <f>SUMIFS(Table3[Hours Worked],Table3[Release Name],Table7[[#This Row],[Release Name]],Table3[Task Type],"Testcase Creation")</f>
        <v>0</v>
      </c>
      <c r="AC384" s="255">
        <f>SUMIFS(Table3[Hours Worked],Table3[Release Name],Table7[[#This Row],[Release Name]],Table3[Task Type],"Testcase Execution")</f>
        <v>0</v>
      </c>
      <c r="AD38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4" s="256" t="str">
        <f>IFERROR((Table7[[#This Row],[No. of Valid Internal Review Defects]]+Table7[[#This Row],[No. of Valid  Internal Testing Defects]]+Table7[[#This Row],[No. of  Valid External Review Defects]]+Table7[[#This Row],[No. of Valid External Testing Defects]])/Table7[[#This Row],[Size]],"")</f>
        <v/>
      </c>
      <c r="AF384" s="257" t="str">
        <f>IFERROR(Table7[[#This Row],[No. of Valid Internal Review Defects]]/(Table7[[#This Row],[No. of Valid Internal Review Defects]]+Table7[[#This Row],[No. of  Valid External Review Defects]]+Table7[[#This Row],[No. of Valid  Internal Testing Defects]]+Table7[[#This Row],[No. of Valid External Testing Defects]]),"")</f>
        <v/>
      </c>
      <c r="AG384" s="258" t="str">
        <f>IFERROR(Table7[[#This Row],[No. of Valid Internal Review Defects]]/(Table7[[#This Row],[No. of Valid Internal Review Defects]]+Table7[[#This Row],[No. of  Valid External Review Defects]]+Table7[[#This Row],[No. of Valid External Testing Defects]]),"")</f>
        <v/>
      </c>
      <c r="AH384" s="256" t="str">
        <f>IFERROR(Table7[[#This Row],[No. of Valid  Internal Testing Defects]]/Table7[[#This Row],[Overall Actual Effort for the release]],"")</f>
        <v/>
      </c>
      <c r="AI384" s="256" t="str">
        <f>IFERROR(Table7[[#This Row],[No. of Valid  Internal Testing Defects]]/Table7[[#This Row],[No. of Testcases Executed]],"")</f>
        <v/>
      </c>
      <c r="AJ384" s="259" t="str">
        <f>IFERROR(IFERROR(Table7[[#This Row],[No. of Testcases Created]]/Table7[[#This Row],[Effort for Testcase Creation]],"")*9,"")</f>
        <v/>
      </c>
      <c r="AK384" s="256" t="str">
        <f>IFERROR((Table7[[#This Row],[No. of Testcases Executed]]/Table7[[#This Row],[Effort for Testcase Execution]])*9,"")</f>
        <v/>
      </c>
      <c r="AL38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4" s="259" t="str">
        <f>IFERROR(Table7[[#This Row],[No. of Defects Validated]]/SUMIFS(Table3[Hours Worked],Table3[Release Name],Table7[[#This Row],[Release Name]],Table3[Task Type],"Defect Validation")*9,"")</f>
        <v/>
      </c>
      <c r="AN384" s="258" t="str">
        <f>IFERROR((Table7[[#This Row],[No. of Valid  Internal Testing Defects]])/(Table7[[#This Row],[No. of Valid  Internal Testing Defects]]+Table7[[#This Row],[No. of Invalid Internal Testing Defects]]),"")</f>
        <v/>
      </c>
      <c r="AO384" s="258" t="str">
        <f>IFERROR(Table7[[#This Row],[No. of Valid External Testing Defects]]/(Table7[[#This Row],[No. of Valid External Testing Defects]]+Table7[[#This Row],[No. of Valid  Internal Testing Defects]]),"")</f>
        <v/>
      </c>
    </row>
    <row r="385" spans="2:41">
      <c r="B385" s="237"/>
      <c r="C385" s="14"/>
      <c r="D385" s="14"/>
      <c r="E385" s="14"/>
      <c r="F385" s="230" t="str">
        <f>IFERROR((Table47[[#This Row],[Initial No. of Requirements]]+Table47[[#This Row],[Modified Requirements( Added / Deleted /Modified)]])/Table47[[#This Row],[Initial No. of Requirements]],"")</f>
        <v/>
      </c>
      <c r="G38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5" s="249"/>
      <c r="J385" s="249"/>
      <c r="K385" s="250"/>
      <c r="L385" s="250"/>
      <c r="M385" s="250"/>
      <c r="N385" s="248">
        <f>SUMIFS(Table1[Size],Table1[Release Name],[2]!Table7[Release Name])</f>
        <v>0</v>
      </c>
      <c r="O385" s="248"/>
      <c r="P38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5" s="248"/>
      <c r="R38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5" s="248"/>
      <c r="T385" s="248"/>
      <c r="U385" s="248"/>
      <c r="V385" s="248"/>
      <c r="W385" s="248"/>
      <c r="X385" s="248"/>
      <c r="Y385" s="248"/>
      <c r="Z385" s="248"/>
      <c r="AA385" s="248"/>
      <c r="AB385" s="13">
        <f>SUMIFS(Table3[Hours Worked],Table3[Release Name],Table7[[#This Row],[Release Name]],Table3[Task Type],"Testcase Creation")</f>
        <v>0</v>
      </c>
      <c r="AC385" s="255">
        <f>SUMIFS(Table3[Hours Worked],Table3[Release Name],Table7[[#This Row],[Release Name]],Table3[Task Type],"Testcase Execution")</f>
        <v>0</v>
      </c>
      <c r="AD38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5" s="256" t="str">
        <f>IFERROR((Table7[[#This Row],[No. of Valid Internal Review Defects]]+Table7[[#This Row],[No. of Valid  Internal Testing Defects]]+Table7[[#This Row],[No. of  Valid External Review Defects]]+Table7[[#This Row],[No. of Valid External Testing Defects]])/Table7[[#This Row],[Size]],"")</f>
        <v/>
      </c>
      <c r="AF385" s="257" t="str">
        <f>IFERROR(Table7[[#This Row],[No. of Valid Internal Review Defects]]/(Table7[[#This Row],[No. of Valid Internal Review Defects]]+Table7[[#This Row],[No. of  Valid External Review Defects]]+Table7[[#This Row],[No. of Valid  Internal Testing Defects]]+Table7[[#This Row],[No. of Valid External Testing Defects]]),"")</f>
        <v/>
      </c>
      <c r="AG385" s="258" t="str">
        <f>IFERROR(Table7[[#This Row],[No. of Valid Internal Review Defects]]/(Table7[[#This Row],[No. of Valid Internal Review Defects]]+Table7[[#This Row],[No. of  Valid External Review Defects]]+Table7[[#This Row],[No. of Valid External Testing Defects]]),"")</f>
        <v/>
      </c>
      <c r="AH385" s="256" t="str">
        <f>IFERROR(Table7[[#This Row],[No. of Valid  Internal Testing Defects]]/Table7[[#This Row],[Overall Actual Effort for the release]],"")</f>
        <v/>
      </c>
      <c r="AI385" s="256" t="str">
        <f>IFERROR(Table7[[#This Row],[No. of Valid  Internal Testing Defects]]/Table7[[#This Row],[No. of Testcases Executed]],"")</f>
        <v/>
      </c>
      <c r="AJ385" s="259" t="str">
        <f>IFERROR(IFERROR(Table7[[#This Row],[No. of Testcases Created]]/Table7[[#This Row],[Effort for Testcase Creation]],"")*9,"")</f>
        <v/>
      </c>
      <c r="AK385" s="256" t="str">
        <f>IFERROR((Table7[[#This Row],[No. of Testcases Executed]]/Table7[[#This Row],[Effort for Testcase Execution]])*9,"")</f>
        <v/>
      </c>
      <c r="AL38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5" s="259" t="str">
        <f>IFERROR(Table7[[#This Row],[No. of Defects Validated]]/SUMIFS(Table3[Hours Worked],Table3[Release Name],Table7[[#This Row],[Release Name]],Table3[Task Type],"Defect Validation")*9,"")</f>
        <v/>
      </c>
      <c r="AN385" s="258" t="str">
        <f>IFERROR((Table7[[#This Row],[No. of Valid  Internal Testing Defects]])/(Table7[[#This Row],[No. of Valid  Internal Testing Defects]]+Table7[[#This Row],[No. of Invalid Internal Testing Defects]]),"")</f>
        <v/>
      </c>
      <c r="AO385" s="258" t="str">
        <f>IFERROR(Table7[[#This Row],[No. of Valid External Testing Defects]]/(Table7[[#This Row],[No. of Valid External Testing Defects]]+Table7[[#This Row],[No. of Valid  Internal Testing Defects]]),"")</f>
        <v/>
      </c>
    </row>
    <row r="386" spans="2:41">
      <c r="B386" s="237"/>
      <c r="C386" s="14"/>
      <c r="D386" s="14"/>
      <c r="E386" s="14"/>
      <c r="F386" s="230" t="str">
        <f>IFERROR((Table47[[#This Row],[Initial No. of Requirements]]+Table47[[#This Row],[Modified Requirements( Added / Deleted /Modified)]])/Table47[[#This Row],[Initial No. of Requirements]],"")</f>
        <v/>
      </c>
      <c r="G38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6" s="249"/>
      <c r="J386" s="249"/>
      <c r="K386" s="250"/>
      <c r="L386" s="250"/>
      <c r="M386" s="250"/>
      <c r="N386" s="248">
        <f>SUMIFS(Table1[Size],Table1[Release Name],[2]!Table7[Release Name])</f>
        <v>0</v>
      </c>
      <c r="O386" s="248"/>
      <c r="P38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6" s="248"/>
      <c r="R38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6" s="248"/>
      <c r="T386" s="248"/>
      <c r="U386" s="248"/>
      <c r="V386" s="248"/>
      <c r="W386" s="248"/>
      <c r="X386" s="248"/>
      <c r="Y386" s="248"/>
      <c r="Z386" s="248"/>
      <c r="AA386" s="248"/>
      <c r="AB386" s="13">
        <f>SUMIFS(Table3[Hours Worked],Table3[Release Name],Table7[[#This Row],[Release Name]],Table3[Task Type],"Testcase Creation")</f>
        <v>0</v>
      </c>
      <c r="AC386" s="255">
        <f>SUMIFS(Table3[Hours Worked],Table3[Release Name],Table7[[#This Row],[Release Name]],Table3[Task Type],"Testcase Execution")</f>
        <v>0</v>
      </c>
      <c r="AD38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6" s="256" t="str">
        <f>IFERROR((Table7[[#This Row],[No. of Valid Internal Review Defects]]+Table7[[#This Row],[No. of Valid  Internal Testing Defects]]+Table7[[#This Row],[No. of  Valid External Review Defects]]+Table7[[#This Row],[No. of Valid External Testing Defects]])/Table7[[#This Row],[Size]],"")</f>
        <v/>
      </c>
      <c r="AF386" s="257" t="str">
        <f>IFERROR(Table7[[#This Row],[No. of Valid Internal Review Defects]]/(Table7[[#This Row],[No. of Valid Internal Review Defects]]+Table7[[#This Row],[No. of  Valid External Review Defects]]+Table7[[#This Row],[No. of Valid  Internal Testing Defects]]+Table7[[#This Row],[No. of Valid External Testing Defects]]),"")</f>
        <v/>
      </c>
      <c r="AG386" s="258" t="str">
        <f>IFERROR(Table7[[#This Row],[No. of Valid Internal Review Defects]]/(Table7[[#This Row],[No. of Valid Internal Review Defects]]+Table7[[#This Row],[No. of  Valid External Review Defects]]+Table7[[#This Row],[No. of Valid External Testing Defects]]),"")</f>
        <v/>
      </c>
      <c r="AH386" s="256" t="str">
        <f>IFERROR(Table7[[#This Row],[No. of Valid  Internal Testing Defects]]/Table7[[#This Row],[Overall Actual Effort for the release]],"")</f>
        <v/>
      </c>
      <c r="AI386" s="256" t="str">
        <f>IFERROR(Table7[[#This Row],[No. of Valid  Internal Testing Defects]]/Table7[[#This Row],[No. of Testcases Executed]],"")</f>
        <v/>
      </c>
      <c r="AJ386" s="259" t="str">
        <f>IFERROR(IFERROR(Table7[[#This Row],[No. of Testcases Created]]/Table7[[#This Row],[Effort for Testcase Creation]],"")*9,"")</f>
        <v/>
      </c>
      <c r="AK386" s="256" t="str">
        <f>IFERROR((Table7[[#This Row],[No. of Testcases Executed]]/Table7[[#This Row],[Effort for Testcase Execution]])*9,"")</f>
        <v/>
      </c>
      <c r="AL38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6" s="259" t="str">
        <f>IFERROR(Table7[[#This Row],[No. of Defects Validated]]/SUMIFS(Table3[Hours Worked],Table3[Release Name],Table7[[#This Row],[Release Name]],Table3[Task Type],"Defect Validation")*9,"")</f>
        <v/>
      </c>
      <c r="AN386" s="258" t="str">
        <f>IFERROR((Table7[[#This Row],[No. of Valid  Internal Testing Defects]])/(Table7[[#This Row],[No. of Valid  Internal Testing Defects]]+Table7[[#This Row],[No. of Invalid Internal Testing Defects]]),"")</f>
        <v/>
      </c>
      <c r="AO386" s="258" t="str">
        <f>IFERROR(Table7[[#This Row],[No. of Valid External Testing Defects]]/(Table7[[#This Row],[No. of Valid External Testing Defects]]+Table7[[#This Row],[No. of Valid  Internal Testing Defects]]),"")</f>
        <v/>
      </c>
    </row>
    <row r="387" spans="2:41">
      <c r="B387" s="237"/>
      <c r="C387" s="14"/>
      <c r="D387" s="14"/>
      <c r="E387" s="14"/>
      <c r="F387" s="230" t="str">
        <f>IFERROR((Table47[[#This Row],[Initial No. of Requirements]]+Table47[[#This Row],[Modified Requirements( Added / Deleted /Modified)]])/Table47[[#This Row],[Initial No. of Requirements]],"")</f>
        <v/>
      </c>
      <c r="G38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7" s="249"/>
      <c r="J387" s="249"/>
      <c r="K387" s="250"/>
      <c r="L387" s="250"/>
      <c r="M387" s="250"/>
      <c r="N387" s="248">
        <f>SUMIFS(Table1[Size],Table1[Release Name],[2]!Table7[Release Name])</f>
        <v>0</v>
      </c>
      <c r="O387" s="248"/>
      <c r="P38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7" s="248"/>
      <c r="R38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7" s="248"/>
      <c r="T387" s="248"/>
      <c r="U387" s="248"/>
      <c r="V387" s="248"/>
      <c r="W387" s="248"/>
      <c r="X387" s="248"/>
      <c r="Y387" s="248"/>
      <c r="Z387" s="248"/>
      <c r="AA387" s="248"/>
      <c r="AB387" s="13">
        <f>SUMIFS(Table3[Hours Worked],Table3[Release Name],Table7[[#This Row],[Release Name]],Table3[Task Type],"Testcase Creation")</f>
        <v>0</v>
      </c>
      <c r="AC387" s="255">
        <f>SUMIFS(Table3[Hours Worked],Table3[Release Name],Table7[[#This Row],[Release Name]],Table3[Task Type],"Testcase Execution")</f>
        <v>0</v>
      </c>
      <c r="AD38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7" s="256" t="str">
        <f>IFERROR((Table7[[#This Row],[No. of Valid Internal Review Defects]]+Table7[[#This Row],[No. of Valid  Internal Testing Defects]]+Table7[[#This Row],[No. of  Valid External Review Defects]]+Table7[[#This Row],[No. of Valid External Testing Defects]])/Table7[[#This Row],[Size]],"")</f>
        <v/>
      </c>
      <c r="AF387" s="257" t="str">
        <f>IFERROR(Table7[[#This Row],[No. of Valid Internal Review Defects]]/(Table7[[#This Row],[No. of Valid Internal Review Defects]]+Table7[[#This Row],[No. of  Valid External Review Defects]]+Table7[[#This Row],[No. of Valid  Internal Testing Defects]]+Table7[[#This Row],[No. of Valid External Testing Defects]]),"")</f>
        <v/>
      </c>
      <c r="AG387" s="258" t="str">
        <f>IFERROR(Table7[[#This Row],[No. of Valid Internal Review Defects]]/(Table7[[#This Row],[No. of Valid Internal Review Defects]]+Table7[[#This Row],[No. of  Valid External Review Defects]]+Table7[[#This Row],[No. of Valid External Testing Defects]]),"")</f>
        <v/>
      </c>
      <c r="AH387" s="256" t="str">
        <f>IFERROR(Table7[[#This Row],[No. of Valid  Internal Testing Defects]]/Table7[[#This Row],[Overall Actual Effort for the release]],"")</f>
        <v/>
      </c>
      <c r="AI387" s="256" t="str">
        <f>IFERROR(Table7[[#This Row],[No. of Valid  Internal Testing Defects]]/Table7[[#This Row],[No. of Testcases Executed]],"")</f>
        <v/>
      </c>
      <c r="AJ387" s="259" t="str">
        <f>IFERROR(IFERROR(Table7[[#This Row],[No. of Testcases Created]]/Table7[[#This Row],[Effort for Testcase Creation]],"")*9,"")</f>
        <v/>
      </c>
      <c r="AK387" s="256" t="str">
        <f>IFERROR((Table7[[#This Row],[No. of Testcases Executed]]/Table7[[#This Row],[Effort for Testcase Execution]])*9,"")</f>
        <v/>
      </c>
      <c r="AL38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7" s="259" t="str">
        <f>IFERROR(Table7[[#This Row],[No. of Defects Validated]]/SUMIFS(Table3[Hours Worked],Table3[Release Name],Table7[[#This Row],[Release Name]],Table3[Task Type],"Defect Validation")*9,"")</f>
        <v/>
      </c>
      <c r="AN387" s="258" t="str">
        <f>IFERROR((Table7[[#This Row],[No. of Valid  Internal Testing Defects]])/(Table7[[#This Row],[No. of Valid  Internal Testing Defects]]+Table7[[#This Row],[No. of Invalid Internal Testing Defects]]),"")</f>
        <v/>
      </c>
      <c r="AO387" s="258" t="str">
        <f>IFERROR(Table7[[#This Row],[No. of Valid External Testing Defects]]/(Table7[[#This Row],[No. of Valid External Testing Defects]]+Table7[[#This Row],[No. of Valid  Internal Testing Defects]]),"")</f>
        <v/>
      </c>
    </row>
    <row r="388" spans="2:41">
      <c r="B388" s="237"/>
      <c r="C388" s="14"/>
      <c r="D388" s="14"/>
      <c r="E388" s="14"/>
      <c r="F388" s="230" t="str">
        <f>IFERROR((Table47[[#This Row],[Initial No. of Requirements]]+Table47[[#This Row],[Modified Requirements( Added / Deleted /Modified)]])/Table47[[#This Row],[Initial No. of Requirements]],"")</f>
        <v/>
      </c>
      <c r="G38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8" s="249"/>
      <c r="J388" s="249"/>
      <c r="K388" s="250"/>
      <c r="L388" s="250"/>
      <c r="M388" s="250"/>
      <c r="N388" s="248">
        <f>SUMIFS(Table1[Size],Table1[Release Name],[2]!Table7[Release Name])</f>
        <v>0</v>
      </c>
      <c r="O388" s="248"/>
      <c r="P38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8" s="248"/>
      <c r="R38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8" s="248"/>
      <c r="T388" s="248"/>
      <c r="U388" s="248"/>
      <c r="V388" s="248"/>
      <c r="W388" s="248"/>
      <c r="X388" s="248"/>
      <c r="Y388" s="248"/>
      <c r="Z388" s="248"/>
      <c r="AA388" s="248"/>
      <c r="AB388" s="13">
        <f>SUMIFS(Table3[Hours Worked],Table3[Release Name],Table7[[#This Row],[Release Name]],Table3[Task Type],"Testcase Creation")</f>
        <v>0</v>
      </c>
      <c r="AC388" s="255">
        <f>SUMIFS(Table3[Hours Worked],Table3[Release Name],Table7[[#This Row],[Release Name]],Table3[Task Type],"Testcase Execution")</f>
        <v>0</v>
      </c>
      <c r="AD38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8" s="256" t="str">
        <f>IFERROR((Table7[[#This Row],[No. of Valid Internal Review Defects]]+Table7[[#This Row],[No. of Valid  Internal Testing Defects]]+Table7[[#This Row],[No. of  Valid External Review Defects]]+Table7[[#This Row],[No. of Valid External Testing Defects]])/Table7[[#This Row],[Size]],"")</f>
        <v/>
      </c>
      <c r="AF388" s="257" t="str">
        <f>IFERROR(Table7[[#This Row],[No. of Valid Internal Review Defects]]/(Table7[[#This Row],[No. of Valid Internal Review Defects]]+Table7[[#This Row],[No. of  Valid External Review Defects]]+Table7[[#This Row],[No. of Valid  Internal Testing Defects]]+Table7[[#This Row],[No. of Valid External Testing Defects]]),"")</f>
        <v/>
      </c>
      <c r="AG388" s="258" t="str">
        <f>IFERROR(Table7[[#This Row],[No. of Valid Internal Review Defects]]/(Table7[[#This Row],[No. of Valid Internal Review Defects]]+Table7[[#This Row],[No. of  Valid External Review Defects]]+Table7[[#This Row],[No. of Valid External Testing Defects]]),"")</f>
        <v/>
      </c>
      <c r="AH388" s="256" t="str">
        <f>IFERROR(Table7[[#This Row],[No. of Valid  Internal Testing Defects]]/Table7[[#This Row],[Overall Actual Effort for the release]],"")</f>
        <v/>
      </c>
      <c r="AI388" s="256" t="str">
        <f>IFERROR(Table7[[#This Row],[No. of Valid  Internal Testing Defects]]/Table7[[#This Row],[No. of Testcases Executed]],"")</f>
        <v/>
      </c>
      <c r="AJ388" s="259" t="str">
        <f>IFERROR(IFERROR(Table7[[#This Row],[No. of Testcases Created]]/Table7[[#This Row],[Effort for Testcase Creation]],"")*9,"")</f>
        <v/>
      </c>
      <c r="AK388" s="256" t="str">
        <f>IFERROR((Table7[[#This Row],[No. of Testcases Executed]]/Table7[[#This Row],[Effort for Testcase Execution]])*9,"")</f>
        <v/>
      </c>
      <c r="AL38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8" s="259" t="str">
        <f>IFERROR(Table7[[#This Row],[No. of Defects Validated]]/SUMIFS(Table3[Hours Worked],Table3[Release Name],Table7[[#This Row],[Release Name]],Table3[Task Type],"Defect Validation")*9,"")</f>
        <v/>
      </c>
      <c r="AN388" s="258" t="str">
        <f>IFERROR((Table7[[#This Row],[No. of Valid  Internal Testing Defects]])/(Table7[[#This Row],[No. of Valid  Internal Testing Defects]]+Table7[[#This Row],[No. of Invalid Internal Testing Defects]]),"")</f>
        <v/>
      </c>
      <c r="AO388" s="258" t="str">
        <f>IFERROR(Table7[[#This Row],[No. of Valid External Testing Defects]]/(Table7[[#This Row],[No. of Valid External Testing Defects]]+Table7[[#This Row],[No. of Valid  Internal Testing Defects]]),"")</f>
        <v/>
      </c>
    </row>
    <row r="389" spans="2:41">
      <c r="B389" s="237"/>
      <c r="C389" s="14"/>
      <c r="D389" s="14"/>
      <c r="E389" s="14"/>
      <c r="F389" s="230" t="str">
        <f>IFERROR((Table47[[#This Row],[Initial No. of Requirements]]+Table47[[#This Row],[Modified Requirements( Added / Deleted /Modified)]])/Table47[[#This Row],[Initial No. of Requirements]],"")</f>
        <v/>
      </c>
      <c r="G38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89" s="249"/>
      <c r="J389" s="249"/>
      <c r="K389" s="250"/>
      <c r="L389" s="250"/>
      <c r="M389" s="250"/>
      <c r="N389" s="248">
        <f>SUMIFS(Table1[Size],Table1[Release Name],[2]!Table7[Release Name])</f>
        <v>0</v>
      </c>
      <c r="O389" s="248"/>
      <c r="P38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89" s="248"/>
      <c r="R38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89" s="248"/>
      <c r="T389" s="248"/>
      <c r="U389" s="248"/>
      <c r="V389" s="248"/>
      <c r="W389" s="248"/>
      <c r="X389" s="248"/>
      <c r="Y389" s="248"/>
      <c r="Z389" s="248"/>
      <c r="AA389" s="248"/>
      <c r="AB389" s="13">
        <f>SUMIFS(Table3[Hours Worked],Table3[Release Name],Table7[[#This Row],[Release Name]],Table3[Task Type],"Testcase Creation")</f>
        <v>0</v>
      </c>
      <c r="AC389" s="255">
        <f>SUMIFS(Table3[Hours Worked],Table3[Release Name],Table7[[#This Row],[Release Name]],Table3[Task Type],"Testcase Execution")</f>
        <v>0</v>
      </c>
      <c r="AD38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89" s="256" t="str">
        <f>IFERROR((Table7[[#This Row],[No. of Valid Internal Review Defects]]+Table7[[#This Row],[No. of Valid  Internal Testing Defects]]+Table7[[#This Row],[No. of  Valid External Review Defects]]+Table7[[#This Row],[No. of Valid External Testing Defects]])/Table7[[#This Row],[Size]],"")</f>
        <v/>
      </c>
      <c r="AF389" s="257" t="str">
        <f>IFERROR(Table7[[#This Row],[No. of Valid Internal Review Defects]]/(Table7[[#This Row],[No. of Valid Internal Review Defects]]+Table7[[#This Row],[No. of  Valid External Review Defects]]+Table7[[#This Row],[No. of Valid  Internal Testing Defects]]+Table7[[#This Row],[No. of Valid External Testing Defects]]),"")</f>
        <v/>
      </c>
      <c r="AG389" s="258" t="str">
        <f>IFERROR(Table7[[#This Row],[No. of Valid Internal Review Defects]]/(Table7[[#This Row],[No. of Valid Internal Review Defects]]+Table7[[#This Row],[No. of  Valid External Review Defects]]+Table7[[#This Row],[No. of Valid External Testing Defects]]),"")</f>
        <v/>
      </c>
      <c r="AH389" s="256" t="str">
        <f>IFERROR(Table7[[#This Row],[No. of Valid  Internal Testing Defects]]/Table7[[#This Row],[Overall Actual Effort for the release]],"")</f>
        <v/>
      </c>
      <c r="AI389" s="256" t="str">
        <f>IFERROR(Table7[[#This Row],[No. of Valid  Internal Testing Defects]]/Table7[[#This Row],[No. of Testcases Executed]],"")</f>
        <v/>
      </c>
      <c r="AJ389" s="259" t="str">
        <f>IFERROR(IFERROR(Table7[[#This Row],[No. of Testcases Created]]/Table7[[#This Row],[Effort for Testcase Creation]],"")*9,"")</f>
        <v/>
      </c>
      <c r="AK389" s="256" t="str">
        <f>IFERROR((Table7[[#This Row],[No. of Testcases Executed]]/Table7[[#This Row],[Effort for Testcase Execution]])*9,"")</f>
        <v/>
      </c>
      <c r="AL38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89" s="259" t="str">
        <f>IFERROR(Table7[[#This Row],[No. of Defects Validated]]/SUMIFS(Table3[Hours Worked],Table3[Release Name],Table7[[#This Row],[Release Name]],Table3[Task Type],"Defect Validation")*9,"")</f>
        <v/>
      </c>
      <c r="AN389" s="258" t="str">
        <f>IFERROR((Table7[[#This Row],[No. of Valid  Internal Testing Defects]])/(Table7[[#This Row],[No. of Valid  Internal Testing Defects]]+Table7[[#This Row],[No. of Invalid Internal Testing Defects]]),"")</f>
        <v/>
      </c>
      <c r="AO389" s="258" t="str">
        <f>IFERROR(Table7[[#This Row],[No. of Valid External Testing Defects]]/(Table7[[#This Row],[No. of Valid External Testing Defects]]+Table7[[#This Row],[No. of Valid  Internal Testing Defects]]),"")</f>
        <v/>
      </c>
    </row>
    <row r="390" spans="2:41">
      <c r="B390" s="237"/>
      <c r="C390" s="14"/>
      <c r="D390" s="14"/>
      <c r="E390" s="14"/>
      <c r="F390" s="230" t="str">
        <f>IFERROR((Table47[[#This Row],[Initial No. of Requirements]]+Table47[[#This Row],[Modified Requirements( Added / Deleted /Modified)]])/Table47[[#This Row],[Initial No. of Requirements]],"")</f>
        <v/>
      </c>
      <c r="G39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0" s="249"/>
      <c r="J390" s="249"/>
      <c r="K390" s="250"/>
      <c r="L390" s="250"/>
      <c r="M390" s="250"/>
      <c r="N390" s="248">
        <f>SUMIFS(Table1[Size],Table1[Release Name],[2]!Table7[Release Name])</f>
        <v>0</v>
      </c>
      <c r="O390" s="248"/>
      <c r="P39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0" s="248"/>
      <c r="R39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0" s="248"/>
      <c r="T390" s="248"/>
      <c r="U390" s="248"/>
      <c r="V390" s="248"/>
      <c r="W390" s="248"/>
      <c r="X390" s="248"/>
      <c r="Y390" s="248"/>
      <c r="Z390" s="248"/>
      <c r="AA390" s="248"/>
      <c r="AB390" s="13">
        <f>SUMIFS(Table3[Hours Worked],Table3[Release Name],Table7[[#This Row],[Release Name]],Table3[Task Type],"Testcase Creation")</f>
        <v>0</v>
      </c>
      <c r="AC390" s="255">
        <f>SUMIFS(Table3[Hours Worked],Table3[Release Name],Table7[[#This Row],[Release Name]],Table3[Task Type],"Testcase Execution")</f>
        <v>0</v>
      </c>
      <c r="AD39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0" s="256" t="str">
        <f>IFERROR((Table7[[#This Row],[No. of Valid Internal Review Defects]]+Table7[[#This Row],[No. of Valid  Internal Testing Defects]]+Table7[[#This Row],[No. of  Valid External Review Defects]]+Table7[[#This Row],[No. of Valid External Testing Defects]])/Table7[[#This Row],[Size]],"")</f>
        <v/>
      </c>
      <c r="AF390" s="257" t="str">
        <f>IFERROR(Table7[[#This Row],[No. of Valid Internal Review Defects]]/(Table7[[#This Row],[No. of Valid Internal Review Defects]]+Table7[[#This Row],[No. of  Valid External Review Defects]]+Table7[[#This Row],[No. of Valid  Internal Testing Defects]]+Table7[[#This Row],[No. of Valid External Testing Defects]]),"")</f>
        <v/>
      </c>
      <c r="AG390" s="258" t="str">
        <f>IFERROR(Table7[[#This Row],[No. of Valid Internal Review Defects]]/(Table7[[#This Row],[No. of Valid Internal Review Defects]]+Table7[[#This Row],[No. of  Valid External Review Defects]]+Table7[[#This Row],[No. of Valid External Testing Defects]]),"")</f>
        <v/>
      </c>
      <c r="AH390" s="256" t="str">
        <f>IFERROR(Table7[[#This Row],[No. of Valid  Internal Testing Defects]]/Table7[[#This Row],[Overall Actual Effort for the release]],"")</f>
        <v/>
      </c>
      <c r="AI390" s="256" t="str">
        <f>IFERROR(Table7[[#This Row],[No. of Valid  Internal Testing Defects]]/Table7[[#This Row],[No. of Testcases Executed]],"")</f>
        <v/>
      </c>
      <c r="AJ390" s="259" t="str">
        <f>IFERROR(IFERROR(Table7[[#This Row],[No. of Testcases Created]]/Table7[[#This Row],[Effort for Testcase Creation]],"")*9,"")</f>
        <v/>
      </c>
      <c r="AK390" s="256" t="str">
        <f>IFERROR((Table7[[#This Row],[No. of Testcases Executed]]/Table7[[#This Row],[Effort for Testcase Execution]])*9,"")</f>
        <v/>
      </c>
      <c r="AL39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0" s="259" t="str">
        <f>IFERROR(Table7[[#This Row],[No. of Defects Validated]]/SUMIFS(Table3[Hours Worked],Table3[Release Name],Table7[[#This Row],[Release Name]],Table3[Task Type],"Defect Validation")*9,"")</f>
        <v/>
      </c>
      <c r="AN390" s="258" t="str">
        <f>IFERROR((Table7[[#This Row],[No. of Valid  Internal Testing Defects]])/(Table7[[#This Row],[No. of Valid  Internal Testing Defects]]+Table7[[#This Row],[No. of Invalid Internal Testing Defects]]),"")</f>
        <v/>
      </c>
      <c r="AO390" s="258" t="str">
        <f>IFERROR(Table7[[#This Row],[No. of Valid External Testing Defects]]/(Table7[[#This Row],[No. of Valid External Testing Defects]]+Table7[[#This Row],[No. of Valid  Internal Testing Defects]]),"")</f>
        <v/>
      </c>
    </row>
    <row r="391" spans="2:41">
      <c r="B391" s="237"/>
      <c r="C391" s="14"/>
      <c r="D391" s="14"/>
      <c r="E391" s="14"/>
      <c r="F391" s="230" t="str">
        <f>IFERROR((Table47[[#This Row],[Initial No. of Requirements]]+Table47[[#This Row],[Modified Requirements( Added / Deleted /Modified)]])/Table47[[#This Row],[Initial No. of Requirements]],"")</f>
        <v/>
      </c>
      <c r="G39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1" s="249"/>
      <c r="J391" s="249"/>
      <c r="K391" s="250"/>
      <c r="L391" s="250"/>
      <c r="M391" s="250"/>
      <c r="N391" s="248">
        <f>SUMIFS(Table1[Size],Table1[Release Name],[2]!Table7[Release Name])</f>
        <v>0</v>
      </c>
      <c r="O391" s="248"/>
      <c r="P39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1" s="248"/>
      <c r="R39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1" s="248"/>
      <c r="T391" s="248"/>
      <c r="U391" s="248"/>
      <c r="V391" s="248"/>
      <c r="W391" s="248"/>
      <c r="X391" s="248"/>
      <c r="Y391" s="248"/>
      <c r="Z391" s="248"/>
      <c r="AA391" s="248"/>
      <c r="AB391" s="13">
        <f>SUMIFS(Table3[Hours Worked],Table3[Release Name],Table7[[#This Row],[Release Name]],Table3[Task Type],"Testcase Creation")</f>
        <v>0</v>
      </c>
      <c r="AC391" s="255">
        <f>SUMIFS(Table3[Hours Worked],Table3[Release Name],Table7[[#This Row],[Release Name]],Table3[Task Type],"Testcase Execution")</f>
        <v>0</v>
      </c>
      <c r="AD39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1" s="256" t="str">
        <f>IFERROR((Table7[[#This Row],[No. of Valid Internal Review Defects]]+Table7[[#This Row],[No. of Valid  Internal Testing Defects]]+Table7[[#This Row],[No. of  Valid External Review Defects]]+Table7[[#This Row],[No. of Valid External Testing Defects]])/Table7[[#This Row],[Size]],"")</f>
        <v/>
      </c>
      <c r="AF391" s="257" t="str">
        <f>IFERROR(Table7[[#This Row],[No. of Valid Internal Review Defects]]/(Table7[[#This Row],[No. of Valid Internal Review Defects]]+Table7[[#This Row],[No. of  Valid External Review Defects]]+Table7[[#This Row],[No. of Valid  Internal Testing Defects]]+Table7[[#This Row],[No. of Valid External Testing Defects]]),"")</f>
        <v/>
      </c>
      <c r="AG391" s="258" t="str">
        <f>IFERROR(Table7[[#This Row],[No. of Valid Internal Review Defects]]/(Table7[[#This Row],[No. of Valid Internal Review Defects]]+Table7[[#This Row],[No. of  Valid External Review Defects]]+Table7[[#This Row],[No. of Valid External Testing Defects]]),"")</f>
        <v/>
      </c>
      <c r="AH391" s="256" t="str">
        <f>IFERROR(Table7[[#This Row],[No. of Valid  Internal Testing Defects]]/Table7[[#This Row],[Overall Actual Effort for the release]],"")</f>
        <v/>
      </c>
      <c r="AI391" s="256" t="str">
        <f>IFERROR(Table7[[#This Row],[No. of Valid  Internal Testing Defects]]/Table7[[#This Row],[No. of Testcases Executed]],"")</f>
        <v/>
      </c>
      <c r="AJ391" s="259" t="str">
        <f>IFERROR(IFERROR(Table7[[#This Row],[No. of Testcases Created]]/Table7[[#This Row],[Effort for Testcase Creation]],"")*9,"")</f>
        <v/>
      </c>
      <c r="AK391" s="256" t="str">
        <f>IFERROR((Table7[[#This Row],[No. of Testcases Executed]]/Table7[[#This Row],[Effort for Testcase Execution]])*9,"")</f>
        <v/>
      </c>
      <c r="AL39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1" s="259" t="str">
        <f>IFERROR(Table7[[#This Row],[No. of Defects Validated]]/SUMIFS(Table3[Hours Worked],Table3[Release Name],Table7[[#This Row],[Release Name]],Table3[Task Type],"Defect Validation")*9,"")</f>
        <v/>
      </c>
      <c r="AN391" s="258" t="str">
        <f>IFERROR((Table7[[#This Row],[No. of Valid  Internal Testing Defects]])/(Table7[[#This Row],[No. of Valid  Internal Testing Defects]]+Table7[[#This Row],[No. of Invalid Internal Testing Defects]]),"")</f>
        <v/>
      </c>
      <c r="AO391" s="258" t="str">
        <f>IFERROR(Table7[[#This Row],[No. of Valid External Testing Defects]]/(Table7[[#This Row],[No. of Valid External Testing Defects]]+Table7[[#This Row],[No. of Valid  Internal Testing Defects]]),"")</f>
        <v/>
      </c>
    </row>
    <row r="392" spans="2:41">
      <c r="B392" s="237"/>
      <c r="C392" s="14"/>
      <c r="D392" s="14"/>
      <c r="E392" s="14"/>
      <c r="F392" s="230" t="str">
        <f>IFERROR((Table47[[#This Row],[Initial No. of Requirements]]+Table47[[#This Row],[Modified Requirements( Added / Deleted /Modified)]])/Table47[[#This Row],[Initial No. of Requirements]],"")</f>
        <v/>
      </c>
      <c r="G39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2" s="249"/>
      <c r="J392" s="249"/>
      <c r="K392" s="250"/>
      <c r="L392" s="250"/>
      <c r="M392" s="250"/>
      <c r="N392" s="248">
        <f>SUMIFS(Table1[Size],Table1[Release Name],[2]!Table7[Release Name])</f>
        <v>0</v>
      </c>
      <c r="O392" s="248"/>
      <c r="P39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2" s="248"/>
      <c r="R39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2" s="248"/>
      <c r="T392" s="248"/>
      <c r="U392" s="248"/>
      <c r="V392" s="248"/>
      <c r="W392" s="248"/>
      <c r="X392" s="248"/>
      <c r="Y392" s="248"/>
      <c r="Z392" s="248"/>
      <c r="AA392" s="248"/>
      <c r="AB392" s="13">
        <f>SUMIFS(Table3[Hours Worked],Table3[Release Name],Table7[[#This Row],[Release Name]],Table3[Task Type],"Testcase Creation")</f>
        <v>0</v>
      </c>
      <c r="AC392" s="255">
        <f>SUMIFS(Table3[Hours Worked],Table3[Release Name],Table7[[#This Row],[Release Name]],Table3[Task Type],"Testcase Execution")</f>
        <v>0</v>
      </c>
      <c r="AD39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2" s="256" t="str">
        <f>IFERROR((Table7[[#This Row],[No. of Valid Internal Review Defects]]+Table7[[#This Row],[No. of Valid  Internal Testing Defects]]+Table7[[#This Row],[No. of  Valid External Review Defects]]+Table7[[#This Row],[No. of Valid External Testing Defects]])/Table7[[#This Row],[Size]],"")</f>
        <v/>
      </c>
      <c r="AF392" s="257" t="str">
        <f>IFERROR(Table7[[#This Row],[No. of Valid Internal Review Defects]]/(Table7[[#This Row],[No. of Valid Internal Review Defects]]+Table7[[#This Row],[No. of  Valid External Review Defects]]+Table7[[#This Row],[No. of Valid  Internal Testing Defects]]+Table7[[#This Row],[No. of Valid External Testing Defects]]),"")</f>
        <v/>
      </c>
      <c r="AG392" s="258" t="str">
        <f>IFERROR(Table7[[#This Row],[No. of Valid Internal Review Defects]]/(Table7[[#This Row],[No. of Valid Internal Review Defects]]+Table7[[#This Row],[No. of  Valid External Review Defects]]+Table7[[#This Row],[No. of Valid External Testing Defects]]),"")</f>
        <v/>
      </c>
      <c r="AH392" s="256" t="str">
        <f>IFERROR(Table7[[#This Row],[No. of Valid  Internal Testing Defects]]/Table7[[#This Row],[Overall Actual Effort for the release]],"")</f>
        <v/>
      </c>
      <c r="AI392" s="256" t="str">
        <f>IFERROR(Table7[[#This Row],[No. of Valid  Internal Testing Defects]]/Table7[[#This Row],[No. of Testcases Executed]],"")</f>
        <v/>
      </c>
      <c r="AJ392" s="259" t="str">
        <f>IFERROR(IFERROR(Table7[[#This Row],[No. of Testcases Created]]/Table7[[#This Row],[Effort for Testcase Creation]],"")*9,"")</f>
        <v/>
      </c>
      <c r="AK392" s="256" t="str">
        <f>IFERROR((Table7[[#This Row],[No. of Testcases Executed]]/Table7[[#This Row],[Effort for Testcase Execution]])*9,"")</f>
        <v/>
      </c>
      <c r="AL39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2" s="259" t="str">
        <f>IFERROR(Table7[[#This Row],[No. of Defects Validated]]/SUMIFS(Table3[Hours Worked],Table3[Release Name],Table7[[#This Row],[Release Name]],Table3[Task Type],"Defect Validation")*9,"")</f>
        <v/>
      </c>
      <c r="AN392" s="258" t="str">
        <f>IFERROR((Table7[[#This Row],[No. of Valid  Internal Testing Defects]])/(Table7[[#This Row],[No. of Valid  Internal Testing Defects]]+Table7[[#This Row],[No. of Invalid Internal Testing Defects]]),"")</f>
        <v/>
      </c>
      <c r="AO392" s="258" t="str">
        <f>IFERROR(Table7[[#This Row],[No. of Valid External Testing Defects]]/(Table7[[#This Row],[No. of Valid External Testing Defects]]+Table7[[#This Row],[No. of Valid  Internal Testing Defects]]),"")</f>
        <v/>
      </c>
    </row>
    <row r="393" spans="2:41">
      <c r="B393" s="237"/>
      <c r="C393" s="14"/>
      <c r="D393" s="14"/>
      <c r="E393" s="14"/>
      <c r="F393" s="230" t="str">
        <f>IFERROR((Table47[[#This Row],[Initial No. of Requirements]]+Table47[[#This Row],[Modified Requirements( Added / Deleted /Modified)]])/Table47[[#This Row],[Initial No. of Requirements]],"")</f>
        <v/>
      </c>
      <c r="G39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3" s="249"/>
      <c r="J393" s="249"/>
      <c r="K393" s="250"/>
      <c r="L393" s="250"/>
      <c r="M393" s="250"/>
      <c r="N393" s="248">
        <f>SUMIFS(Table1[Size],Table1[Release Name],[2]!Table7[Release Name])</f>
        <v>0</v>
      </c>
      <c r="O393" s="248"/>
      <c r="P39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3" s="248"/>
      <c r="R39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3" s="248"/>
      <c r="T393" s="248"/>
      <c r="U393" s="248"/>
      <c r="V393" s="248"/>
      <c r="W393" s="248"/>
      <c r="X393" s="248"/>
      <c r="Y393" s="248"/>
      <c r="Z393" s="248"/>
      <c r="AA393" s="248"/>
      <c r="AB393" s="13">
        <f>SUMIFS(Table3[Hours Worked],Table3[Release Name],Table7[[#This Row],[Release Name]],Table3[Task Type],"Testcase Creation")</f>
        <v>0</v>
      </c>
      <c r="AC393" s="255">
        <f>SUMIFS(Table3[Hours Worked],Table3[Release Name],Table7[[#This Row],[Release Name]],Table3[Task Type],"Testcase Execution")</f>
        <v>0</v>
      </c>
      <c r="AD39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3" s="256" t="str">
        <f>IFERROR((Table7[[#This Row],[No. of Valid Internal Review Defects]]+Table7[[#This Row],[No. of Valid  Internal Testing Defects]]+Table7[[#This Row],[No. of  Valid External Review Defects]]+Table7[[#This Row],[No. of Valid External Testing Defects]])/Table7[[#This Row],[Size]],"")</f>
        <v/>
      </c>
      <c r="AF393" s="257" t="str">
        <f>IFERROR(Table7[[#This Row],[No. of Valid Internal Review Defects]]/(Table7[[#This Row],[No. of Valid Internal Review Defects]]+Table7[[#This Row],[No. of  Valid External Review Defects]]+Table7[[#This Row],[No. of Valid  Internal Testing Defects]]+Table7[[#This Row],[No. of Valid External Testing Defects]]),"")</f>
        <v/>
      </c>
      <c r="AG393" s="258" t="str">
        <f>IFERROR(Table7[[#This Row],[No. of Valid Internal Review Defects]]/(Table7[[#This Row],[No. of Valid Internal Review Defects]]+Table7[[#This Row],[No. of  Valid External Review Defects]]+Table7[[#This Row],[No. of Valid External Testing Defects]]),"")</f>
        <v/>
      </c>
      <c r="AH393" s="256" t="str">
        <f>IFERROR(Table7[[#This Row],[No. of Valid  Internal Testing Defects]]/Table7[[#This Row],[Overall Actual Effort for the release]],"")</f>
        <v/>
      </c>
      <c r="AI393" s="256" t="str">
        <f>IFERROR(Table7[[#This Row],[No. of Valid  Internal Testing Defects]]/Table7[[#This Row],[No. of Testcases Executed]],"")</f>
        <v/>
      </c>
      <c r="AJ393" s="259" t="str">
        <f>IFERROR(IFERROR(Table7[[#This Row],[No. of Testcases Created]]/Table7[[#This Row],[Effort for Testcase Creation]],"")*9,"")</f>
        <v/>
      </c>
      <c r="AK393" s="256" t="str">
        <f>IFERROR((Table7[[#This Row],[No. of Testcases Executed]]/Table7[[#This Row],[Effort for Testcase Execution]])*9,"")</f>
        <v/>
      </c>
      <c r="AL39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3" s="259" t="str">
        <f>IFERROR(Table7[[#This Row],[No. of Defects Validated]]/SUMIFS(Table3[Hours Worked],Table3[Release Name],Table7[[#This Row],[Release Name]],Table3[Task Type],"Defect Validation")*9,"")</f>
        <v/>
      </c>
      <c r="AN393" s="258" t="str">
        <f>IFERROR((Table7[[#This Row],[No. of Valid  Internal Testing Defects]])/(Table7[[#This Row],[No. of Valid  Internal Testing Defects]]+Table7[[#This Row],[No. of Invalid Internal Testing Defects]]),"")</f>
        <v/>
      </c>
      <c r="AO393" s="258" t="str">
        <f>IFERROR(Table7[[#This Row],[No. of Valid External Testing Defects]]/(Table7[[#This Row],[No. of Valid External Testing Defects]]+Table7[[#This Row],[No. of Valid  Internal Testing Defects]]),"")</f>
        <v/>
      </c>
    </row>
    <row r="394" spans="2:41">
      <c r="B394" s="237"/>
      <c r="C394" s="14"/>
      <c r="D394" s="14"/>
      <c r="E394" s="14"/>
      <c r="F394" s="230" t="str">
        <f>IFERROR((Table47[[#This Row],[Initial No. of Requirements]]+Table47[[#This Row],[Modified Requirements( Added / Deleted /Modified)]])/Table47[[#This Row],[Initial No. of Requirements]],"")</f>
        <v/>
      </c>
      <c r="G39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4" s="249"/>
      <c r="J394" s="249"/>
      <c r="K394" s="250"/>
      <c r="L394" s="250"/>
      <c r="M394" s="250"/>
      <c r="N394" s="248">
        <f>SUMIFS(Table1[Size],Table1[Release Name],[2]!Table7[Release Name])</f>
        <v>0</v>
      </c>
      <c r="O394" s="248"/>
      <c r="P39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4" s="248"/>
      <c r="R39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4" s="248"/>
      <c r="T394" s="248"/>
      <c r="U394" s="248"/>
      <c r="V394" s="248"/>
      <c r="W394" s="248"/>
      <c r="X394" s="248"/>
      <c r="Y394" s="248"/>
      <c r="Z394" s="248"/>
      <c r="AA394" s="248"/>
      <c r="AB394" s="13">
        <f>SUMIFS(Table3[Hours Worked],Table3[Release Name],Table7[[#This Row],[Release Name]],Table3[Task Type],"Testcase Creation")</f>
        <v>0</v>
      </c>
      <c r="AC394" s="255">
        <f>SUMIFS(Table3[Hours Worked],Table3[Release Name],Table7[[#This Row],[Release Name]],Table3[Task Type],"Testcase Execution")</f>
        <v>0</v>
      </c>
      <c r="AD39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4" s="256" t="str">
        <f>IFERROR((Table7[[#This Row],[No. of Valid Internal Review Defects]]+Table7[[#This Row],[No. of Valid  Internal Testing Defects]]+Table7[[#This Row],[No. of  Valid External Review Defects]]+Table7[[#This Row],[No. of Valid External Testing Defects]])/Table7[[#This Row],[Size]],"")</f>
        <v/>
      </c>
      <c r="AF394" s="257" t="str">
        <f>IFERROR(Table7[[#This Row],[No. of Valid Internal Review Defects]]/(Table7[[#This Row],[No. of Valid Internal Review Defects]]+Table7[[#This Row],[No. of  Valid External Review Defects]]+Table7[[#This Row],[No. of Valid  Internal Testing Defects]]+Table7[[#This Row],[No. of Valid External Testing Defects]]),"")</f>
        <v/>
      </c>
      <c r="AG394" s="258" t="str">
        <f>IFERROR(Table7[[#This Row],[No. of Valid Internal Review Defects]]/(Table7[[#This Row],[No. of Valid Internal Review Defects]]+Table7[[#This Row],[No. of  Valid External Review Defects]]+Table7[[#This Row],[No. of Valid External Testing Defects]]),"")</f>
        <v/>
      </c>
      <c r="AH394" s="256" t="str">
        <f>IFERROR(Table7[[#This Row],[No. of Valid  Internal Testing Defects]]/Table7[[#This Row],[Overall Actual Effort for the release]],"")</f>
        <v/>
      </c>
      <c r="AI394" s="256" t="str">
        <f>IFERROR(Table7[[#This Row],[No. of Valid  Internal Testing Defects]]/Table7[[#This Row],[No. of Testcases Executed]],"")</f>
        <v/>
      </c>
      <c r="AJ394" s="259" t="str">
        <f>IFERROR(IFERROR(Table7[[#This Row],[No. of Testcases Created]]/Table7[[#This Row],[Effort for Testcase Creation]],"")*9,"")</f>
        <v/>
      </c>
      <c r="AK394" s="256" t="str">
        <f>IFERROR((Table7[[#This Row],[No. of Testcases Executed]]/Table7[[#This Row],[Effort for Testcase Execution]])*9,"")</f>
        <v/>
      </c>
      <c r="AL39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4" s="259" t="str">
        <f>IFERROR(Table7[[#This Row],[No. of Defects Validated]]/SUMIFS(Table3[Hours Worked],Table3[Release Name],Table7[[#This Row],[Release Name]],Table3[Task Type],"Defect Validation")*9,"")</f>
        <v/>
      </c>
      <c r="AN394" s="258" t="str">
        <f>IFERROR((Table7[[#This Row],[No. of Valid  Internal Testing Defects]])/(Table7[[#This Row],[No. of Valid  Internal Testing Defects]]+Table7[[#This Row],[No. of Invalid Internal Testing Defects]]),"")</f>
        <v/>
      </c>
      <c r="AO394" s="258" t="str">
        <f>IFERROR(Table7[[#This Row],[No. of Valid External Testing Defects]]/(Table7[[#This Row],[No. of Valid External Testing Defects]]+Table7[[#This Row],[No. of Valid  Internal Testing Defects]]),"")</f>
        <v/>
      </c>
    </row>
    <row r="395" spans="2:41">
      <c r="B395" s="237"/>
      <c r="C395" s="14"/>
      <c r="D395" s="14"/>
      <c r="E395" s="14"/>
      <c r="F395" s="230" t="str">
        <f>IFERROR((Table47[[#This Row],[Initial No. of Requirements]]+Table47[[#This Row],[Modified Requirements( Added / Deleted /Modified)]])/Table47[[#This Row],[Initial No. of Requirements]],"")</f>
        <v/>
      </c>
      <c r="G39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5" s="249"/>
      <c r="J395" s="249"/>
      <c r="K395" s="250"/>
      <c r="L395" s="250"/>
      <c r="M395" s="250"/>
      <c r="N395" s="248">
        <f>SUMIFS(Table1[Size],Table1[Release Name],[2]!Table7[Release Name])</f>
        <v>0</v>
      </c>
      <c r="O395" s="248"/>
      <c r="P39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5" s="248"/>
      <c r="R39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5" s="248"/>
      <c r="T395" s="248"/>
      <c r="U395" s="248"/>
      <c r="V395" s="248"/>
      <c r="W395" s="248"/>
      <c r="X395" s="248"/>
      <c r="Y395" s="248"/>
      <c r="Z395" s="248"/>
      <c r="AA395" s="248"/>
      <c r="AB395" s="13">
        <f>SUMIFS(Table3[Hours Worked],Table3[Release Name],Table7[[#This Row],[Release Name]],Table3[Task Type],"Testcase Creation")</f>
        <v>0</v>
      </c>
      <c r="AC395" s="255">
        <f>SUMIFS(Table3[Hours Worked],Table3[Release Name],Table7[[#This Row],[Release Name]],Table3[Task Type],"Testcase Execution")</f>
        <v>0</v>
      </c>
      <c r="AD39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5" s="256" t="str">
        <f>IFERROR((Table7[[#This Row],[No. of Valid Internal Review Defects]]+Table7[[#This Row],[No. of Valid  Internal Testing Defects]]+Table7[[#This Row],[No. of  Valid External Review Defects]]+Table7[[#This Row],[No. of Valid External Testing Defects]])/Table7[[#This Row],[Size]],"")</f>
        <v/>
      </c>
      <c r="AF395" s="257" t="str">
        <f>IFERROR(Table7[[#This Row],[No. of Valid Internal Review Defects]]/(Table7[[#This Row],[No. of Valid Internal Review Defects]]+Table7[[#This Row],[No. of  Valid External Review Defects]]+Table7[[#This Row],[No. of Valid  Internal Testing Defects]]+Table7[[#This Row],[No. of Valid External Testing Defects]]),"")</f>
        <v/>
      </c>
      <c r="AG395" s="258" t="str">
        <f>IFERROR(Table7[[#This Row],[No. of Valid Internal Review Defects]]/(Table7[[#This Row],[No. of Valid Internal Review Defects]]+Table7[[#This Row],[No. of  Valid External Review Defects]]+Table7[[#This Row],[No. of Valid External Testing Defects]]),"")</f>
        <v/>
      </c>
      <c r="AH395" s="256" t="str">
        <f>IFERROR(Table7[[#This Row],[No. of Valid  Internal Testing Defects]]/Table7[[#This Row],[Overall Actual Effort for the release]],"")</f>
        <v/>
      </c>
      <c r="AI395" s="256" t="str">
        <f>IFERROR(Table7[[#This Row],[No. of Valid  Internal Testing Defects]]/Table7[[#This Row],[No. of Testcases Executed]],"")</f>
        <v/>
      </c>
      <c r="AJ395" s="259" t="str">
        <f>IFERROR(IFERROR(Table7[[#This Row],[No. of Testcases Created]]/Table7[[#This Row],[Effort for Testcase Creation]],"")*9,"")</f>
        <v/>
      </c>
      <c r="AK395" s="256" t="str">
        <f>IFERROR((Table7[[#This Row],[No. of Testcases Executed]]/Table7[[#This Row],[Effort for Testcase Execution]])*9,"")</f>
        <v/>
      </c>
      <c r="AL39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5" s="259" t="str">
        <f>IFERROR(Table7[[#This Row],[No. of Defects Validated]]/SUMIFS(Table3[Hours Worked],Table3[Release Name],Table7[[#This Row],[Release Name]],Table3[Task Type],"Defect Validation")*9,"")</f>
        <v/>
      </c>
      <c r="AN395" s="258" t="str">
        <f>IFERROR((Table7[[#This Row],[No. of Valid  Internal Testing Defects]])/(Table7[[#This Row],[No. of Valid  Internal Testing Defects]]+Table7[[#This Row],[No. of Invalid Internal Testing Defects]]),"")</f>
        <v/>
      </c>
      <c r="AO395" s="258" t="str">
        <f>IFERROR(Table7[[#This Row],[No. of Valid External Testing Defects]]/(Table7[[#This Row],[No. of Valid External Testing Defects]]+Table7[[#This Row],[No. of Valid  Internal Testing Defects]]),"")</f>
        <v/>
      </c>
    </row>
    <row r="396" spans="2:41">
      <c r="B396" s="237"/>
      <c r="C396" s="14"/>
      <c r="D396" s="14"/>
      <c r="E396" s="14"/>
      <c r="F396" s="230" t="str">
        <f>IFERROR((Table47[[#This Row],[Initial No. of Requirements]]+Table47[[#This Row],[Modified Requirements( Added / Deleted /Modified)]])/Table47[[#This Row],[Initial No. of Requirements]],"")</f>
        <v/>
      </c>
      <c r="G39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6" s="249"/>
      <c r="J396" s="249"/>
      <c r="K396" s="250"/>
      <c r="L396" s="250"/>
      <c r="M396" s="250"/>
      <c r="N396" s="248">
        <f>SUMIFS(Table1[Size],Table1[Release Name],[2]!Table7[Release Name])</f>
        <v>0</v>
      </c>
      <c r="O396" s="248"/>
      <c r="P39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6" s="248"/>
      <c r="R39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6" s="248"/>
      <c r="T396" s="248"/>
      <c r="U396" s="248"/>
      <c r="V396" s="248"/>
      <c r="W396" s="248"/>
      <c r="X396" s="248"/>
      <c r="Y396" s="248"/>
      <c r="Z396" s="248"/>
      <c r="AA396" s="248"/>
      <c r="AB396" s="13">
        <f>SUMIFS(Table3[Hours Worked],Table3[Release Name],Table7[[#This Row],[Release Name]],Table3[Task Type],"Testcase Creation")</f>
        <v>0</v>
      </c>
      <c r="AC396" s="255">
        <f>SUMIFS(Table3[Hours Worked],Table3[Release Name],Table7[[#This Row],[Release Name]],Table3[Task Type],"Testcase Execution")</f>
        <v>0</v>
      </c>
      <c r="AD39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6" s="256" t="str">
        <f>IFERROR((Table7[[#This Row],[No. of Valid Internal Review Defects]]+Table7[[#This Row],[No. of Valid  Internal Testing Defects]]+Table7[[#This Row],[No. of  Valid External Review Defects]]+Table7[[#This Row],[No. of Valid External Testing Defects]])/Table7[[#This Row],[Size]],"")</f>
        <v/>
      </c>
      <c r="AF396" s="257" t="str">
        <f>IFERROR(Table7[[#This Row],[No. of Valid Internal Review Defects]]/(Table7[[#This Row],[No. of Valid Internal Review Defects]]+Table7[[#This Row],[No. of  Valid External Review Defects]]+Table7[[#This Row],[No. of Valid  Internal Testing Defects]]+Table7[[#This Row],[No. of Valid External Testing Defects]]),"")</f>
        <v/>
      </c>
      <c r="AG396" s="258" t="str">
        <f>IFERROR(Table7[[#This Row],[No. of Valid Internal Review Defects]]/(Table7[[#This Row],[No. of Valid Internal Review Defects]]+Table7[[#This Row],[No. of  Valid External Review Defects]]+Table7[[#This Row],[No. of Valid External Testing Defects]]),"")</f>
        <v/>
      </c>
      <c r="AH396" s="256" t="str">
        <f>IFERROR(Table7[[#This Row],[No. of Valid  Internal Testing Defects]]/Table7[[#This Row],[Overall Actual Effort for the release]],"")</f>
        <v/>
      </c>
      <c r="AI396" s="256" t="str">
        <f>IFERROR(Table7[[#This Row],[No. of Valid  Internal Testing Defects]]/Table7[[#This Row],[No. of Testcases Executed]],"")</f>
        <v/>
      </c>
      <c r="AJ396" s="259" t="str">
        <f>IFERROR(IFERROR(Table7[[#This Row],[No. of Testcases Created]]/Table7[[#This Row],[Effort for Testcase Creation]],"")*9,"")</f>
        <v/>
      </c>
      <c r="AK396" s="256" t="str">
        <f>IFERROR((Table7[[#This Row],[No. of Testcases Executed]]/Table7[[#This Row],[Effort for Testcase Execution]])*9,"")</f>
        <v/>
      </c>
      <c r="AL39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6" s="259" t="str">
        <f>IFERROR(Table7[[#This Row],[No. of Defects Validated]]/SUMIFS(Table3[Hours Worked],Table3[Release Name],Table7[[#This Row],[Release Name]],Table3[Task Type],"Defect Validation")*9,"")</f>
        <v/>
      </c>
      <c r="AN396" s="258" t="str">
        <f>IFERROR((Table7[[#This Row],[No. of Valid  Internal Testing Defects]])/(Table7[[#This Row],[No. of Valid  Internal Testing Defects]]+Table7[[#This Row],[No. of Invalid Internal Testing Defects]]),"")</f>
        <v/>
      </c>
      <c r="AO396" s="258" t="str">
        <f>IFERROR(Table7[[#This Row],[No. of Valid External Testing Defects]]/(Table7[[#This Row],[No. of Valid External Testing Defects]]+Table7[[#This Row],[No. of Valid  Internal Testing Defects]]),"")</f>
        <v/>
      </c>
    </row>
    <row r="397" spans="2:41">
      <c r="B397" s="237"/>
      <c r="C397" s="14"/>
      <c r="D397" s="14"/>
      <c r="E397" s="14"/>
      <c r="F397" s="230" t="str">
        <f>IFERROR((Table47[[#This Row],[Initial No. of Requirements]]+Table47[[#This Row],[Modified Requirements( Added / Deleted /Modified)]])/Table47[[#This Row],[Initial No. of Requirements]],"")</f>
        <v/>
      </c>
      <c r="G39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7" s="249"/>
      <c r="J397" s="249"/>
      <c r="K397" s="250"/>
      <c r="L397" s="250"/>
      <c r="M397" s="250"/>
      <c r="N397" s="248">
        <f>SUMIFS(Table1[Size],Table1[Release Name],[2]!Table7[Release Name])</f>
        <v>0</v>
      </c>
      <c r="O397" s="248"/>
      <c r="P39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7" s="248"/>
      <c r="R39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7" s="248"/>
      <c r="T397" s="248"/>
      <c r="U397" s="248"/>
      <c r="V397" s="248"/>
      <c r="W397" s="248"/>
      <c r="X397" s="248"/>
      <c r="Y397" s="248"/>
      <c r="Z397" s="248"/>
      <c r="AA397" s="248"/>
      <c r="AB397" s="13">
        <f>SUMIFS(Table3[Hours Worked],Table3[Release Name],Table7[[#This Row],[Release Name]],Table3[Task Type],"Testcase Creation")</f>
        <v>0</v>
      </c>
      <c r="AC397" s="255">
        <f>SUMIFS(Table3[Hours Worked],Table3[Release Name],Table7[[#This Row],[Release Name]],Table3[Task Type],"Testcase Execution")</f>
        <v>0</v>
      </c>
      <c r="AD39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7" s="256" t="str">
        <f>IFERROR((Table7[[#This Row],[No. of Valid Internal Review Defects]]+Table7[[#This Row],[No. of Valid  Internal Testing Defects]]+Table7[[#This Row],[No. of  Valid External Review Defects]]+Table7[[#This Row],[No. of Valid External Testing Defects]])/Table7[[#This Row],[Size]],"")</f>
        <v/>
      </c>
      <c r="AF397" s="257" t="str">
        <f>IFERROR(Table7[[#This Row],[No. of Valid Internal Review Defects]]/(Table7[[#This Row],[No. of Valid Internal Review Defects]]+Table7[[#This Row],[No. of  Valid External Review Defects]]+Table7[[#This Row],[No. of Valid  Internal Testing Defects]]+Table7[[#This Row],[No. of Valid External Testing Defects]]),"")</f>
        <v/>
      </c>
      <c r="AG397" s="258" t="str">
        <f>IFERROR(Table7[[#This Row],[No. of Valid Internal Review Defects]]/(Table7[[#This Row],[No. of Valid Internal Review Defects]]+Table7[[#This Row],[No. of  Valid External Review Defects]]+Table7[[#This Row],[No. of Valid External Testing Defects]]),"")</f>
        <v/>
      </c>
      <c r="AH397" s="256" t="str">
        <f>IFERROR(Table7[[#This Row],[No. of Valid  Internal Testing Defects]]/Table7[[#This Row],[Overall Actual Effort for the release]],"")</f>
        <v/>
      </c>
      <c r="AI397" s="256" t="str">
        <f>IFERROR(Table7[[#This Row],[No. of Valid  Internal Testing Defects]]/Table7[[#This Row],[No. of Testcases Executed]],"")</f>
        <v/>
      </c>
      <c r="AJ397" s="259" t="str">
        <f>IFERROR(IFERROR(Table7[[#This Row],[No. of Testcases Created]]/Table7[[#This Row],[Effort for Testcase Creation]],"")*9,"")</f>
        <v/>
      </c>
      <c r="AK397" s="256" t="str">
        <f>IFERROR((Table7[[#This Row],[No. of Testcases Executed]]/Table7[[#This Row],[Effort for Testcase Execution]])*9,"")</f>
        <v/>
      </c>
      <c r="AL39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7" s="259" t="str">
        <f>IFERROR(Table7[[#This Row],[No. of Defects Validated]]/SUMIFS(Table3[Hours Worked],Table3[Release Name],Table7[[#This Row],[Release Name]],Table3[Task Type],"Defect Validation")*9,"")</f>
        <v/>
      </c>
      <c r="AN397" s="258" t="str">
        <f>IFERROR((Table7[[#This Row],[No. of Valid  Internal Testing Defects]])/(Table7[[#This Row],[No. of Valid  Internal Testing Defects]]+Table7[[#This Row],[No. of Invalid Internal Testing Defects]]),"")</f>
        <v/>
      </c>
      <c r="AO397" s="258" t="str">
        <f>IFERROR(Table7[[#This Row],[No. of Valid External Testing Defects]]/(Table7[[#This Row],[No. of Valid External Testing Defects]]+Table7[[#This Row],[No. of Valid  Internal Testing Defects]]),"")</f>
        <v/>
      </c>
    </row>
    <row r="398" spans="2:41">
      <c r="B398" s="237"/>
      <c r="C398" s="14"/>
      <c r="D398" s="14"/>
      <c r="E398" s="14"/>
      <c r="F398" s="230" t="str">
        <f>IFERROR((Table47[[#This Row],[Initial No. of Requirements]]+Table47[[#This Row],[Modified Requirements( Added / Deleted /Modified)]])/Table47[[#This Row],[Initial No. of Requirements]],"")</f>
        <v/>
      </c>
      <c r="G39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8" s="249"/>
      <c r="J398" s="249"/>
      <c r="K398" s="250"/>
      <c r="L398" s="250"/>
      <c r="M398" s="250"/>
      <c r="N398" s="248">
        <f>SUMIFS(Table1[Size],Table1[Release Name],[2]!Table7[Release Name])</f>
        <v>0</v>
      </c>
      <c r="O398" s="248"/>
      <c r="P39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8" s="248"/>
      <c r="R39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8" s="248"/>
      <c r="T398" s="248"/>
      <c r="U398" s="248"/>
      <c r="V398" s="248"/>
      <c r="W398" s="248"/>
      <c r="X398" s="248"/>
      <c r="Y398" s="248"/>
      <c r="Z398" s="248"/>
      <c r="AA398" s="248"/>
      <c r="AB398" s="13">
        <f>SUMIFS(Table3[Hours Worked],Table3[Release Name],Table7[[#This Row],[Release Name]],Table3[Task Type],"Testcase Creation")</f>
        <v>0</v>
      </c>
      <c r="AC398" s="255">
        <f>SUMIFS(Table3[Hours Worked],Table3[Release Name],Table7[[#This Row],[Release Name]],Table3[Task Type],"Testcase Execution")</f>
        <v>0</v>
      </c>
      <c r="AD39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8" s="256" t="str">
        <f>IFERROR((Table7[[#This Row],[No. of Valid Internal Review Defects]]+Table7[[#This Row],[No. of Valid  Internal Testing Defects]]+Table7[[#This Row],[No. of  Valid External Review Defects]]+Table7[[#This Row],[No. of Valid External Testing Defects]])/Table7[[#This Row],[Size]],"")</f>
        <v/>
      </c>
      <c r="AF398" s="257" t="str">
        <f>IFERROR(Table7[[#This Row],[No. of Valid Internal Review Defects]]/(Table7[[#This Row],[No. of Valid Internal Review Defects]]+Table7[[#This Row],[No. of  Valid External Review Defects]]+Table7[[#This Row],[No. of Valid  Internal Testing Defects]]+Table7[[#This Row],[No. of Valid External Testing Defects]]),"")</f>
        <v/>
      </c>
      <c r="AG398" s="258" t="str">
        <f>IFERROR(Table7[[#This Row],[No. of Valid Internal Review Defects]]/(Table7[[#This Row],[No. of Valid Internal Review Defects]]+Table7[[#This Row],[No. of  Valid External Review Defects]]+Table7[[#This Row],[No. of Valid External Testing Defects]]),"")</f>
        <v/>
      </c>
      <c r="AH398" s="256" t="str">
        <f>IFERROR(Table7[[#This Row],[No. of Valid  Internal Testing Defects]]/Table7[[#This Row],[Overall Actual Effort for the release]],"")</f>
        <v/>
      </c>
      <c r="AI398" s="256" t="str">
        <f>IFERROR(Table7[[#This Row],[No. of Valid  Internal Testing Defects]]/Table7[[#This Row],[No. of Testcases Executed]],"")</f>
        <v/>
      </c>
      <c r="AJ398" s="259" t="str">
        <f>IFERROR(IFERROR(Table7[[#This Row],[No. of Testcases Created]]/Table7[[#This Row],[Effort for Testcase Creation]],"")*9,"")</f>
        <v/>
      </c>
      <c r="AK398" s="256" t="str">
        <f>IFERROR((Table7[[#This Row],[No. of Testcases Executed]]/Table7[[#This Row],[Effort for Testcase Execution]])*9,"")</f>
        <v/>
      </c>
      <c r="AL39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8" s="259" t="str">
        <f>IFERROR(Table7[[#This Row],[No. of Defects Validated]]/SUMIFS(Table3[Hours Worked],Table3[Release Name],Table7[[#This Row],[Release Name]],Table3[Task Type],"Defect Validation")*9,"")</f>
        <v/>
      </c>
      <c r="AN398" s="258" t="str">
        <f>IFERROR((Table7[[#This Row],[No. of Valid  Internal Testing Defects]])/(Table7[[#This Row],[No. of Valid  Internal Testing Defects]]+Table7[[#This Row],[No. of Invalid Internal Testing Defects]]),"")</f>
        <v/>
      </c>
      <c r="AO398" s="258" t="str">
        <f>IFERROR(Table7[[#This Row],[No. of Valid External Testing Defects]]/(Table7[[#This Row],[No. of Valid External Testing Defects]]+Table7[[#This Row],[No. of Valid  Internal Testing Defects]]),"")</f>
        <v/>
      </c>
    </row>
    <row r="399" spans="2:41">
      <c r="B399" s="237"/>
      <c r="C399" s="14"/>
      <c r="D399" s="14"/>
      <c r="E399" s="14"/>
      <c r="F399" s="230" t="str">
        <f>IFERROR((Table47[[#This Row],[Initial No. of Requirements]]+Table47[[#This Row],[Modified Requirements( Added / Deleted /Modified)]])/Table47[[#This Row],[Initial No. of Requirements]],"")</f>
        <v/>
      </c>
      <c r="G39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399" s="249"/>
      <c r="J399" s="249"/>
      <c r="K399" s="250"/>
      <c r="L399" s="250"/>
      <c r="M399" s="250"/>
      <c r="N399" s="248">
        <f>SUMIFS(Table1[Size],Table1[Release Name],[2]!Table7[Release Name])</f>
        <v>0</v>
      </c>
      <c r="O399" s="248"/>
      <c r="P39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399" s="248"/>
      <c r="R39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399" s="248"/>
      <c r="T399" s="248"/>
      <c r="U399" s="248"/>
      <c r="V399" s="248"/>
      <c r="W399" s="248"/>
      <c r="X399" s="248"/>
      <c r="Y399" s="248"/>
      <c r="Z399" s="248"/>
      <c r="AA399" s="248"/>
      <c r="AB399" s="13">
        <f>SUMIFS(Table3[Hours Worked],Table3[Release Name],Table7[[#This Row],[Release Name]],Table3[Task Type],"Testcase Creation")</f>
        <v>0</v>
      </c>
      <c r="AC399" s="255">
        <f>SUMIFS(Table3[Hours Worked],Table3[Release Name],Table7[[#This Row],[Release Name]],Table3[Task Type],"Testcase Execution")</f>
        <v>0</v>
      </c>
      <c r="AD39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399" s="256" t="str">
        <f>IFERROR((Table7[[#This Row],[No. of Valid Internal Review Defects]]+Table7[[#This Row],[No. of Valid  Internal Testing Defects]]+Table7[[#This Row],[No. of  Valid External Review Defects]]+Table7[[#This Row],[No. of Valid External Testing Defects]])/Table7[[#This Row],[Size]],"")</f>
        <v/>
      </c>
      <c r="AF399" s="257" t="str">
        <f>IFERROR(Table7[[#This Row],[No. of Valid Internal Review Defects]]/(Table7[[#This Row],[No. of Valid Internal Review Defects]]+Table7[[#This Row],[No. of  Valid External Review Defects]]+Table7[[#This Row],[No. of Valid  Internal Testing Defects]]+Table7[[#This Row],[No. of Valid External Testing Defects]]),"")</f>
        <v/>
      </c>
      <c r="AG399" s="258" t="str">
        <f>IFERROR(Table7[[#This Row],[No. of Valid Internal Review Defects]]/(Table7[[#This Row],[No. of Valid Internal Review Defects]]+Table7[[#This Row],[No. of  Valid External Review Defects]]+Table7[[#This Row],[No. of Valid External Testing Defects]]),"")</f>
        <v/>
      </c>
      <c r="AH399" s="256" t="str">
        <f>IFERROR(Table7[[#This Row],[No. of Valid  Internal Testing Defects]]/Table7[[#This Row],[Overall Actual Effort for the release]],"")</f>
        <v/>
      </c>
      <c r="AI399" s="256" t="str">
        <f>IFERROR(Table7[[#This Row],[No. of Valid  Internal Testing Defects]]/Table7[[#This Row],[No. of Testcases Executed]],"")</f>
        <v/>
      </c>
      <c r="AJ399" s="259" t="str">
        <f>IFERROR(IFERROR(Table7[[#This Row],[No. of Testcases Created]]/Table7[[#This Row],[Effort for Testcase Creation]],"")*9,"")</f>
        <v/>
      </c>
      <c r="AK399" s="256" t="str">
        <f>IFERROR((Table7[[#This Row],[No. of Testcases Executed]]/Table7[[#This Row],[Effort for Testcase Execution]])*9,"")</f>
        <v/>
      </c>
      <c r="AL39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399" s="259" t="str">
        <f>IFERROR(Table7[[#This Row],[No. of Defects Validated]]/SUMIFS(Table3[Hours Worked],Table3[Release Name],Table7[[#This Row],[Release Name]],Table3[Task Type],"Defect Validation")*9,"")</f>
        <v/>
      </c>
      <c r="AN399" s="258" t="str">
        <f>IFERROR((Table7[[#This Row],[No. of Valid  Internal Testing Defects]])/(Table7[[#This Row],[No. of Valid  Internal Testing Defects]]+Table7[[#This Row],[No. of Invalid Internal Testing Defects]]),"")</f>
        <v/>
      </c>
      <c r="AO399" s="258" t="str">
        <f>IFERROR(Table7[[#This Row],[No. of Valid External Testing Defects]]/(Table7[[#This Row],[No. of Valid External Testing Defects]]+Table7[[#This Row],[No. of Valid  Internal Testing Defects]]),"")</f>
        <v/>
      </c>
    </row>
    <row r="400" spans="2:41">
      <c r="B400" s="237"/>
      <c r="C400" s="14"/>
      <c r="D400" s="14"/>
      <c r="E400" s="14"/>
      <c r="F400" s="230" t="str">
        <f>IFERROR((Table47[[#This Row],[Initial No. of Requirements]]+Table47[[#This Row],[Modified Requirements( Added / Deleted /Modified)]])/Table47[[#This Row],[Initial No. of Requirements]],"")</f>
        <v/>
      </c>
      <c r="G40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0" s="249"/>
      <c r="J400" s="249"/>
      <c r="K400" s="250"/>
      <c r="L400" s="250"/>
      <c r="M400" s="250"/>
      <c r="N400" s="248">
        <f>SUMIFS(Table1[Size],Table1[Release Name],[2]!Table7[Release Name])</f>
        <v>0</v>
      </c>
      <c r="O400" s="248"/>
      <c r="P40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0" s="248"/>
      <c r="R40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0" s="248"/>
      <c r="T400" s="248"/>
      <c r="U400" s="248"/>
      <c r="V400" s="248"/>
      <c r="W400" s="248"/>
      <c r="X400" s="248"/>
      <c r="Y400" s="248"/>
      <c r="Z400" s="248"/>
      <c r="AA400" s="248"/>
      <c r="AB400" s="13">
        <f>SUMIFS(Table3[Hours Worked],Table3[Release Name],Table7[[#This Row],[Release Name]],Table3[Task Type],"Testcase Creation")</f>
        <v>0</v>
      </c>
      <c r="AC400" s="255">
        <f>SUMIFS(Table3[Hours Worked],Table3[Release Name],Table7[[#This Row],[Release Name]],Table3[Task Type],"Testcase Execution")</f>
        <v>0</v>
      </c>
      <c r="AD40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0" s="256" t="str">
        <f>IFERROR((Table7[[#This Row],[No. of Valid Internal Review Defects]]+Table7[[#This Row],[No. of Valid  Internal Testing Defects]]+Table7[[#This Row],[No. of  Valid External Review Defects]]+Table7[[#This Row],[No. of Valid External Testing Defects]])/Table7[[#This Row],[Size]],"")</f>
        <v/>
      </c>
      <c r="AF400" s="257" t="str">
        <f>IFERROR(Table7[[#This Row],[No. of Valid Internal Review Defects]]/(Table7[[#This Row],[No. of Valid Internal Review Defects]]+Table7[[#This Row],[No. of  Valid External Review Defects]]+Table7[[#This Row],[No. of Valid  Internal Testing Defects]]+Table7[[#This Row],[No. of Valid External Testing Defects]]),"")</f>
        <v/>
      </c>
      <c r="AG400" s="258" t="str">
        <f>IFERROR(Table7[[#This Row],[No. of Valid Internal Review Defects]]/(Table7[[#This Row],[No. of Valid Internal Review Defects]]+Table7[[#This Row],[No. of  Valid External Review Defects]]+Table7[[#This Row],[No. of Valid External Testing Defects]]),"")</f>
        <v/>
      </c>
      <c r="AH400" s="256" t="str">
        <f>IFERROR(Table7[[#This Row],[No. of Valid  Internal Testing Defects]]/Table7[[#This Row],[Overall Actual Effort for the release]],"")</f>
        <v/>
      </c>
      <c r="AI400" s="256" t="str">
        <f>IFERROR(Table7[[#This Row],[No. of Valid  Internal Testing Defects]]/Table7[[#This Row],[No. of Testcases Executed]],"")</f>
        <v/>
      </c>
      <c r="AJ400" s="259" t="str">
        <f>IFERROR(IFERROR(Table7[[#This Row],[No. of Testcases Created]]/Table7[[#This Row],[Effort for Testcase Creation]],"")*9,"")</f>
        <v/>
      </c>
      <c r="AK400" s="256" t="str">
        <f>IFERROR((Table7[[#This Row],[No. of Testcases Executed]]/Table7[[#This Row],[Effort for Testcase Execution]])*9,"")</f>
        <v/>
      </c>
      <c r="AL40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0" s="259" t="str">
        <f>IFERROR(Table7[[#This Row],[No. of Defects Validated]]/SUMIFS(Table3[Hours Worked],Table3[Release Name],Table7[[#This Row],[Release Name]],Table3[Task Type],"Defect Validation")*9,"")</f>
        <v/>
      </c>
      <c r="AN400" s="258" t="str">
        <f>IFERROR((Table7[[#This Row],[No. of Valid  Internal Testing Defects]])/(Table7[[#This Row],[No. of Valid  Internal Testing Defects]]+Table7[[#This Row],[No. of Invalid Internal Testing Defects]]),"")</f>
        <v/>
      </c>
      <c r="AO400" s="258" t="str">
        <f>IFERROR(Table7[[#This Row],[No. of Valid External Testing Defects]]/(Table7[[#This Row],[No. of Valid External Testing Defects]]+Table7[[#This Row],[No. of Valid  Internal Testing Defects]]),"")</f>
        <v/>
      </c>
    </row>
    <row r="401" spans="2:41">
      <c r="B401" s="237"/>
      <c r="C401" s="14"/>
      <c r="D401" s="14"/>
      <c r="E401" s="14"/>
      <c r="F401" s="230" t="str">
        <f>IFERROR((Table47[[#This Row],[Initial No. of Requirements]]+Table47[[#This Row],[Modified Requirements( Added / Deleted /Modified)]])/Table47[[#This Row],[Initial No. of Requirements]],"")</f>
        <v/>
      </c>
      <c r="G40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1" s="249"/>
      <c r="J401" s="249"/>
      <c r="K401" s="250"/>
      <c r="L401" s="250"/>
      <c r="M401" s="250"/>
      <c r="N401" s="248">
        <f>SUMIFS(Table1[Size],Table1[Release Name],[2]!Table7[Release Name])</f>
        <v>0</v>
      </c>
      <c r="O401" s="248"/>
      <c r="P40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1" s="248"/>
      <c r="R40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1" s="248"/>
      <c r="T401" s="248"/>
      <c r="U401" s="248"/>
      <c r="V401" s="248"/>
      <c r="W401" s="248"/>
      <c r="X401" s="248"/>
      <c r="Y401" s="248"/>
      <c r="Z401" s="248"/>
      <c r="AA401" s="248"/>
      <c r="AB401" s="13">
        <f>SUMIFS(Table3[Hours Worked],Table3[Release Name],Table7[[#This Row],[Release Name]],Table3[Task Type],"Testcase Creation")</f>
        <v>0</v>
      </c>
      <c r="AC401" s="255">
        <f>SUMIFS(Table3[Hours Worked],Table3[Release Name],Table7[[#This Row],[Release Name]],Table3[Task Type],"Testcase Execution")</f>
        <v>0</v>
      </c>
      <c r="AD40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1" s="256" t="str">
        <f>IFERROR((Table7[[#This Row],[No. of Valid Internal Review Defects]]+Table7[[#This Row],[No. of Valid  Internal Testing Defects]]+Table7[[#This Row],[No. of  Valid External Review Defects]]+Table7[[#This Row],[No. of Valid External Testing Defects]])/Table7[[#This Row],[Size]],"")</f>
        <v/>
      </c>
      <c r="AF401" s="257" t="str">
        <f>IFERROR(Table7[[#This Row],[No. of Valid Internal Review Defects]]/(Table7[[#This Row],[No. of Valid Internal Review Defects]]+Table7[[#This Row],[No. of  Valid External Review Defects]]+Table7[[#This Row],[No. of Valid  Internal Testing Defects]]+Table7[[#This Row],[No. of Valid External Testing Defects]]),"")</f>
        <v/>
      </c>
      <c r="AG401" s="258" t="str">
        <f>IFERROR(Table7[[#This Row],[No. of Valid Internal Review Defects]]/(Table7[[#This Row],[No. of Valid Internal Review Defects]]+Table7[[#This Row],[No. of  Valid External Review Defects]]+Table7[[#This Row],[No. of Valid External Testing Defects]]),"")</f>
        <v/>
      </c>
      <c r="AH401" s="256" t="str">
        <f>IFERROR(Table7[[#This Row],[No. of Valid  Internal Testing Defects]]/Table7[[#This Row],[Overall Actual Effort for the release]],"")</f>
        <v/>
      </c>
      <c r="AI401" s="256" t="str">
        <f>IFERROR(Table7[[#This Row],[No. of Valid  Internal Testing Defects]]/Table7[[#This Row],[No. of Testcases Executed]],"")</f>
        <v/>
      </c>
      <c r="AJ401" s="259" t="str">
        <f>IFERROR(IFERROR(Table7[[#This Row],[No. of Testcases Created]]/Table7[[#This Row],[Effort for Testcase Creation]],"")*9,"")</f>
        <v/>
      </c>
      <c r="AK401" s="256" t="str">
        <f>IFERROR((Table7[[#This Row],[No. of Testcases Executed]]/Table7[[#This Row],[Effort for Testcase Execution]])*9,"")</f>
        <v/>
      </c>
      <c r="AL40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1" s="259" t="str">
        <f>IFERROR(Table7[[#This Row],[No. of Defects Validated]]/SUMIFS(Table3[Hours Worked],Table3[Release Name],Table7[[#This Row],[Release Name]],Table3[Task Type],"Defect Validation")*9,"")</f>
        <v/>
      </c>
      <c r="AN401" s="258" t="str">
        <f>IFERROR((Table7[[#This Row],[No. of Valid  Internal Testing Defects]])/(Table7[[#This Row],[No. of Valid  Internal Testing Defects]]+Table7[[#This Row],[No. of Invalid Internal Testing Defects]]),"")</f>
        <v/>
      </c>
      <c r="AO401" s="258" t="str">
        <f>IFERROR(Table7[[#This Row],[No. of Valid External Testing Defects]]/(Table7[[#This Row],[No. of Valid External Testing Defects]]+Table7[[#This Row],[No. of Valid  Internal Testing Defects]]),"")</f>
        <v/>
      </c>
    </row>
    <row r="402" spans="2:41">
      <c r="B402" s="237"/>
      <c r="C402" s="14"/>
      <c r="D402" s="14"/>
      <c r="E402" s="14"/>
      <c r="F402" s="230" t="str">
        <f>IFERROR((Table47[[#This Row],[Initial No. of Requirements]]+Table47[[#This Row],[Modified Requirements( Added / Deleted /Modified)]])/Table47[[#This Row],[Initial No. of Requirements]],"")</f>
        <v/>
      </c>
      <c r="G40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2" s="249"/>
      <c r="J402" s="249"/>
      <c r="K402" s="250"/>
      <c r="L402" s="250"/>
      <c r="M402" s="250"/>
      <c r="N402" s="248">
        <f>SUMIFS(Table1[Size],Table1[Release Name],[2]!Table7[Release Name])</f>
        <v>0</v>
      </c>
      <c r="O402" s="248"/>
      <c r="P40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2" s="248"/>
      <c r="R40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2" s="248"/>
      <c r="T402" s="248"/>
      <c r="U402" s="248"/>
      <c r="V402" s="248"/>
      <c r="W402" s="248"/>
      <c r="X402" s="248"/>
      <c r="Y402" s="248"/>
      <c r="Z402" s="248"/>
      <c r="AA402" s="248"/>
      <c r="AB402" s="13">
        <f>SUMIFS(Table3[Hours Worked],Table3[Release Name],Table7[[#This Row],[Release Name]],Table3[Task Type],"Testcase Creation")</f>
        <v>0</v>
      </c>
      <c r="AC402" s="255">
        <f>SUMIFS(Table3[Hours Worked],Table3[Release Name],Table7[[#This Row],[Release Name]],Table3[Task Type],"Testcase Execution")</f>
        <v>0</v>
      </c>
      <c r="AD40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2" s="256" t="str">
        <f>IFERROR((Table7[[#This Row],[No. of Valid Internal Review Defects]]+Table7[[#This Row],[No. of Valid  Internal Testing Defects]]+Table7[[#This Row],[No. of  Valid External Review Defects]]+Table7[[#This Row],[No. of Valid External Testing Defects]])/Table7[[#This Row],[Size]],"")</f>
        <v/>
      </c>
      <c r="AF402" s="257" t="str">
        <f>IFERROR(Table7[[#This Row],[No. of Valid Internal Review Defects]]/(Table7[[#This Row],[No. of Valid Internal Review Defects]]+Table7[[#This Row],[No. of  Valid External Review Defects]]+Table7[[#This Row],[No. of Valid  Internal Testing Defects]]+Table7[[#This Row],[No. of Valid External Testing Defects]]),"")</f>
        <v/>
      </c>
      <c r="AG402" s="258" t="str">
        <f>IFERROR(Table7[[#This Row],[No. of Valid Internal Review Defects]]/(Table7[[#This Row],[No. of Valid Internal Review Defects]]+Table7[[#This Row],[No. of  Valid External Review Defects]]+Table7[[#This Row],[No. of Valid External Testing Defects]]),"")</f>
        <v/>
      </c>
      <c r="AH402" s="256" t="str">
        <f>IFERROR(Table7[[#This Row],[No. of Valid  Internal Testing Defects]]/Table7[[#This Row],[Overall Actual Effort for the release]],"")</f>
        <v/>
      </c>
      <c r="AI402" s="256" t="str">
        <f>IFERROR(Table7[[#This Row],[No. of Valid  Internal Testing Defects]]/Table7[[#This Row],[No. of Testcases Executed]],"")</f>
        <v/>
      </c>
      <c r="AJ402" s="259" t="str">
        <f>IFERROR(IFERROR(Table7[[#This Row],[No. of Testcases Created]]/Table7[[#This Row],[Effort for Testcase Creation]],"")*9,"")</f>
        <v/>
      </c>
      <c r="AK402" s="256" t="str">
        <f>IFERROR((Table7[[#This Row],[No. of Testcases Executed]]/Table7[[#This Row],[Effort for Testcase Execution]])*9,"")</f>
        <v/>
      </c>
      <c r="AL40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2" s="259" t="str">
        <f>IFERROR(Table7[[#This Row],[No. of Defects Validated]]/SUMIFS(Table3[Hours Worked],Table3[Release Name],Table7[[#This Row],[Release Name]],Table3[Task Type],"Defect Validation")*9,"")</f>
        <v/>
      </c>
      <c r="AN402" s="258" t="str">
        <f>IFERROR((Table7[[#This Row],[No. of Valid  Internal Testing Defects]])/(Table7[[#This Row],[No. of Valid  Internal Testing Defects]]+Table7[[#This Row],[No. of Invalid Internal Testing Defects]]),"")</f>
        <v/>
      </c>
      <c r="AO402" s="258" t="str">
        <f>IFERROR(Table7[[#This Row],[No. of Valid External Testing Defects]]/(Table7[[#This Row],[No. of Valid External Testing Defects]]+Table7[[#This Row],[No. of Valid  Internal Testing Defects]]),"")</f>
        <v/>
      </c>
    </row>
    <row r="403" spans="2:41">
      <c r="B403" s="237"/>
      <c r="C403" s="14"/>
      <c r="D403" s="14"/>
      <c r="E403" s="14"/>
      <c r="F403" s="230" t="str">
        <f>IFERROR((Table47[[#This Row],[Initial No. of Requirements]]+Table47[[#This Row],[Modified Requirements( Added / Deleted /Modified)]])/Table47[[#This Row],[Initial No. of Requirements]],"")</f>
        <v/>
      </c>
      <c r="G40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3" s="249"/>
      <c r="J403" s="249"/>
      <c r="K403" s="250"/>
      <c r="L403" s="250"/>
      <c r="M403" s="250"/>
      <c r="N403" s="248">
        <f>SUMIFS(Table1[Size],Table1[Release Name],[2]!Table7[Release Name])</f>
        <v>0</v>
      </c>
      <c r="O403" s="248"/>
      <c r="P40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3" s="248"/>
      <c r="R40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3" s="248"/>
      <c r="T403" s="248"/>
      <c r="U403" s="248"/>
      <c r="V403" s="248"/>
      <c r="W403" s="248"/>
      <c r="X403" s="248"/>
      <c r="Y403" s="248"/>
      <c r="Z403" s="248"/>
      <c r="AA403" s="248"/>
      <c r="AB403" s="13">
        <f>SUMIFS(Table3[Hours Worked],Table3[Release Name],Table7[[#This Row],[Release Name]],Table3[Task Type],"Testcase Creation")</f>
        <v>0</v>
      </c>
      <c r="AC403" s="255">
        <f>SUMIFS(Table3[Hours Worked],Table3[Release Name],Table7[[#This Row],[Release Name]],Table3[Task Type],"Testcase Execution")</f>
        <v>0</v>
      </c>
      <c r="AD40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3" s="256" t="str">
        <f>IFERROR((Table7[[#This Row],[No. of Valid Internal Review Defects]]+Table7[[#This Row],[No. of Valid  Internal Testing Defects]]+Table7[[#This Row],[No. of  Valid External Review Defects]]+Table7[[#This Row],[No. of Valid External Testing Defects]])/Table7[[#This Row],[Size]],"")</f>
        <v/>
      </c>
      <c r="AF403" s="257" t="str">
        <f>IFERROR(Table7[[#This Row],[No. of Valid Internal Review Defects]]/(Table7[[#This Row],[No. of Valid Internal Review Defects]]+Table7[[#This Row],[No. of  Valid External Review Defects]]+Table7[[#This Row],[No. of Valid  Internal Testing Defects]]+Table7[[#This Row],[No. of Valid External Testing Defects]]),"")</f>
        <v/>
      </c>
      <c r="AG403" s="258" t="str">
        <f>IFERROR(Table7[[#This Row],[No. of Valid Internal Review Defects]]/(Table7[[#This Row],[No. of Valid Internal Review Defects]]+Table7[[#This Row],[No. of  Valid External Review Defects]]+Table7[[#This Row],[No. of Valid External Testing Defects]]),"")</f>
        <v/>
      </c>
      <c r="AH403" s="256" t="str">
        <f>IFERROR(Table7[[#This Row],[No. of Valid  Internal Testing Defects]]/Table7[[#This Row],[Overall Actual Effort for the release]],"")</f>
        <v/>
      </c>
      <c r="AI403" s="256" t="str">
        <f>IFERROR(Table7[[#This Row],[No. of Valid  Internal Testing Defects]]/Table7[[#This Row],[No. of Testcases Executed]],"")</f>
        <v/>
      </c>
      <c r="AJ403" s="259" t="str">
        <f>IFERROR(IFERROR(Table7[[#This Row],[No. of Testcases Created]]/Table7[[#This Row],[Effort for Testcase Creation]],"")*9,"")</f>
        <v/>
      </c>
      <c r="AK403" s="256" t="str">
        <f>IFERROR((Table7[[#This Row],[No. of Testcases Executed]]/Table7[[#This Row],[Effort for Testcase Execution]])*9,"")</f>
        <v/>
      </c>
      <c r="AL40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3" s="259" t="str">
        <f>IFERROR(Table7[[#This Row],[No. of Defects Validated]]/SUMIFS(Table3[Hours Worked],Table3[Release Name],Table7[[#This Row],[Release Name]],Table3[Task Type],"Defect Validation")*9,"")</f>
        <v/>
      </c>
      <c r="AN403" s="258" t="str">
        <f>IFERROR((Table7[[#This Row],[No. of Valid  Internal Testing Defects]])/(Table7[[#This Row],[No. of Valid  Internal Testing Defects]]+Table7[[#This Row],[No. of Invalid Internal Testing Defects]]),"")</f>
        <v/>
      </c>
      <c r="AO403" s="258" t="str">
        <f>IFERROR(Table7[[#This Row],[No. of Valid External Testing Defects]]/(Table7[[#This Row],[No. of Valid External Testing Defects]]+Table7[[#This Row],[No. of Valid  Internal Testing Defects]]),"")</f>
        <v/>
      </c>
    </row>
    <row r="404" spans="2:41">
      <c r="B404" s="237"/>
      <c r="C404" s="14"/>
      <c r="D404" s="14"/>
      <c r="E404" s="14"/>
      <c r="F404" s="230" t="str">
        <f>IFERROR((Table47[[#This Row],[Initial No. of Requirements]]+Table47[[#This Row],[Modified Requirements( Added / Deleted /Modified)]])/Table47[[#This Row],[Initial No. of Requirements]],"")</f>
        <v/>
      </c>
      <c r="G40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4" s="249"/>
      <c r="J404" s="249"/>
      <c r="K404" s="250"/>
      <c r="L404" s="250"/>
      <c r="M404" s="250"/>
      <c r="N404" s="248">
        <f>SUMIFS(Table1[Size],Table1[Release Name],[2]!Table7[Release Name])</f>
        <v>0</v>
      </c>
      <c r="O404" s="248"/>
      <c r="P40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4" s="248"/>
      <c r="R40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4" s="248"/>
      <c r="T404" s="248"/>
      <c r="U404" s="248"/>
      <c r="V404" s="248"/>
      <c r="W404" s="248"/>
      <c r="X404" s="248"/>
      <c r="Y404" s="248"/>
      <c r="Z404" s="248"/>
      <c r="AA404" s="248"/>
      <c r="AB404" s="13">
        <f>SUMIFS(Table3[Hours Worked],Table3[Release Name],Table7[[#This Row],[Release Name]],Table3[Task Type],"Testcase Creation")</f>
        <v>0</v>
      </c>
      <c r="AC404" s="255">
        <f>SUMIFS(Table3[Hours Worked],Table3[Release Name],Table7[[#This Row],[Release Name]],Table3[Task Type],"Testcase Execution")</f>
        <v>0</v>
      </c>
      <c r="AD40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4" s="256" t="str">
        <f>IFERROR((Table7[[#This Row],[No. of Valid Internal Review Defects]]+Table7[[#This Row],[No. of Valid  Internal Testing Defects]]+Table7[[#This Row],[No. of  Valid External Review Defects]]+Table7[[#This Row],[No. of Valid External Testing Defects]])/Table7[[#This Row],[Size]],"")</f>
        <v/>
      </c>
      <c r="AF404" s="257" t="str">
        <f>IFERROR(Table7[[#This Row],[No. of Valid Internal Review Defects]]/(Table7[[#This Row],[No. of Valid Internal Review Defects]]+Table7[[#This Row],[No. of  Valid External Review Defects]]+Table7[[#This Row],[No. of Valid  Internal Testing Defects]]+Table7[[#This Row],[No. of Valid External Testing Defects]]),"")</f>
        <v/>
      </c>
      <c r="AG404" s="258" t="str">
        <f>IFERROR(Table7[[#This Row],[No. of Valid Internal Review Defects]]/(Table7[[#This Row],[No. of Valid Internal Review Defects]]+Table7[[#This Row],[No. of  Valid External Review Defects]]+Table7[[#This Row],[No. of Valid External Testing Defects]]),"")</f>
        <v/>
      </c>
      <c r="AH404" s="256" t="str">
        <f>IFERROR(Table7[[#This Row],[No. of Valid  Internal Testing Defects]]/Table7[[#This Row],[Overall Actual Effort for the release]],"")</f>
        <v/>
      </c>
      <c r="AI404" s="256" t="str">
        <f>IFERROR(Table7[[#This Row],[No. of Valid  Internal Testing Defects]]/Table7[[#This Row],[No. of Testcases Executed]],"")</f>
        <v/>
      </c>
      <c r="AJ404" s="259" t="str">
        <f>IFERROR(IFERROR(Table7[[#This Row],[No. of Testcases Created]]/Table7[[#This Row],[Effort for Testcase Creation]],"")*9,"")</f>
        <v/>
      </c>
      <c r="AK404" s="256" t="str">
        <f>IFERROR((Table7[[#This Row],[No. of Testcases Executed]]/Table7[[#This Row],[Effort for Testcase Execution]])*9,"")</f>
        <v/>
      </c>
      <c r="AL40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4" s="259" t="str">
        <f>IFERROR(Table7[[#This Row],[No. of Defects Validated]]/SUMIFS(Table3[Hours Worked],Table3[Release Name],Table7[[#This Row],[Release Name]],Table3[Task Type],"Defect Validation")*9,"")</f>
        <v/>
      </c>
      <c r="AN404" s="258" t="str">
        <f>IFERROR((Table7[[#This Row],[No. of Valid  Internal Testing Defects]])/(Table7[[#This Row],[No. of Valid  Internal Testing Defects]]+Table7[[#This Row],[No. of Invalid Internal Testing Defects]]),"")</f>
        <v/>
      </c>
      <c r="AO404" s="258" t="str">
        <f>IFERROR(Table7[[#This Row],[No. of Valid External Testing Defects]]/(Table7[[#This Row],[No. of Valid External Testing Defects]]+Table7[[#This Row],[No. of Valid  Internal Testing Defects]]),"")</f>
        <v/>
      </c>
    </row>
    <row r="405" spans="2:41">
      <c r="B405" s="237"/>
      <c r="C405" s="14"/>
      <c r="D405" s="14"/>
      <c r="E405" s="14"/>
      <c r="F405" s="230" t="str">
        <f>IFERROR((Table47[[#This Row],[Initial No. of Requirements]]+Table47[[#This Row],[Modified Requirements( Added / Deleted /Modified)]])/Table47[[#This Row],[Initial No. of Requirements]],"")</f>
        <v/>
      </c>
      <c r="G40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5" s="249"/>
      <c r="J405" s="249"/>
      <c r="K405" s="250"/>
      <c r="L405" s="250"/>
      <c r="M405" s="250"/>
      <c r="N405" s="248">
        <f>SUMIFS(Table1[Size],Table1[Release Name],[2]!Table7[Release Name])</f>
        <v>0</v>
      </c>
      <c r="O405" s="248"/>
      <c r="P40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5" s="248"/>
      <c r="R40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5" s="248"/>
      <c r="T405" s="248"/>
      <c r="U405" s="248"/>
      <c r="V405" s="248"/>
      <c r="W405" s="248"/>
      <c r="X405" s="248"/>
      <c r="Y405" s="248"/>
      <c r="Z405" s="248"/>
      <c r="AA405" s="248"/>
      <c r="AB405" s="13">
        <f>SUMIFS(Table3[Hours Worked],Table3[Release Name],Table7[[#This Row],[Release Name]],Table3[Task Type],"Testcase Creation")</f>
        <v>0</v>
      </c>
      <c r="AC405" s="255">
        <f>SUMIFS(Table3[Hours Worked],Table3[Release Name],Table7[[#This Row],[Release Name]],Table3[Task Type],"Testcase Execution")</f>
        <v>0</v>
      </c>
      <c r="AD40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5" s="256" t="str">
        <f>IFERROR((Table7[[#This Row],[No. of Valid Internal Review Defects]]+Table7[[#This Row],[No. of Valid  Internal Testing Defects]]+Table7[[#This Row],[No. of  Valid External Review Defects]]+Table7[[#This Row],[No. of Valid External Testing Defects]])/Table7[[#This Row],[Size]],"")</f>
        <v/>
      </c>
      <c r="AF405" s="257" t="str">
        <f>IFERROR(Table7[[#This Row],[No. of Valid Internal Review Defects]]/(Table7[[#This Row],[No. of Valid Internal Review Defects]]+Table7[[#This Row],[No. of  Valid External Review Defects]]+Table7[[#This Row],[No. of Valid  Internal Testing Defects]]+Table7[[#This Row],[No. of Valid External Testing Defects]]),"")</f>
        <v/>
      </c>
      <c r="AG405" s="258" t="str">
        <f>IFERROR(Table7[[#This Row],[No. of Valid Internal Review Defects]]/(Table7[[#This Row],[No. of Valid Internal Review Defects]]+Table7[[#This Row],[No. of  Valid External Review Defects]]+Table7[[#This Row],[No. of Valid External Testing Defects]]),"")</f>
        <v/>
      </c>
      <c r="AH405" s="256" t="str">
        <f>IFERROR(Table7[[#This Row],[No. of Valid  Internal Testing Defects]]/Table7[[#This Row],[Overall Actual Effort for the release]],"")</f>
        <v/>
      </c>
      <c r="AI405" s="256" t="str">
        <f>IFERROR(Table7[[#This Row],[No. of Valid  Internal Testing Defects]]/Table7[[#This Row],[No. of Testcases Executed]],"")</f>
        <v/>
      </c>
      <c r="AJ405" s="259" t="str">
        <f>IFERROR(IFERROR(Table7[[#This Row],[No. of Testcases Created]]/Table7[[#This Row],[Effort for Testcase Creation]],"")*9,"")</f>
        <v/>
      </c>
      <c r="AK405" s="256" t="str">
        <f>IFERROR((Table7[[#This Row],[No. of Testcases Executed]]/Table7[[#This Row],[Effort for Testcase Execution]])*9,"")</f>
        <v/>
      </c>
      <c r="AL40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5" s="259" t="str">
        <f>IFERROR(Table7[[#This Row],[No. of Defects Validated]]/SUMIFS(Table3[Hours Worked],Table3[Release Name],Table7[[#This Row],[Release Name]],Table3[Task Type],"Defect Validation")*9,"")</f>
        <v/>
      </c>
      <c r="AN405" s="258" t="str">
        <f>IFERROR((Table7[[#This Row],[No. of Valid  Internal Testing Defects]])/(Table7[[#This Row],[No. of Valid  Internal Testing Defects]]+Table7[[#This Row],[No. of Invalid Internal Testing Defects]]),"")</f>
        <v/>
      </c>
      <c r="AO405" s="258" t="str">
        <f>IFERROR(Table7[[#This Row],[No. of Valid External Testing Defects]]/(Table7[[#This Row],[No. of Valid External Testing Defects]]+Table7[[#This Row],[No. of Valid  Internal Testing Defects]]),"")</f>
        <v/>
      </c>
    </row>
    <row r="406" spans="2:41">
      <c r="B406" s="237"/>
      <c r="C406" s="14"/>
      <c r="D406" s="14"/>
      <c r="E406" s="14"/>
      <c r="F406" s="230" t="str">
        <f>IFERROR((Table47[[#This Row],[Initial No. of Requirements]]+Table47[[#This Row],[Modified Requirements( Added / Deleted /Modified)]])/Table47[[#This Row],[Initial No. of Requirements]],"")</f>
        <v/>
      </c>
      <c r="G40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6" s="249"/>
      <c r="J406" s="249"/>
      <c r="K406" s="250"/>
      <c r="L406" s="250"/>
      <c r="M406" s="250"/>
      <c r="N406" s="248">
        <f>SUMIFS(Table1[Size],Table1[Release Name],[2]!Table7[Release Name])</f>
        <v>0</v>
      </c>
      <c r="O406" s="248"/>
      <c r="P40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6" s="248"/>
      <c r="R40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6" s="248"/>
      <c r="T406" s="248"/>
      <c r="U406" s="248"/>
      <c r="V406" s="248"/>
      <c r="W406" s="248"/>
      <c r="X406" s="248"/>
      <c r="Y406" s="248"/>
      <c r="Z406" s="248"/>
      <c r="AA406" s="248"/>
      <c r="AB406" s="13">
        <f>SUMIFS(Table3[Hours Worked],Table3[Release Name],Table7[[#This Row],[Release Name]],Table3[Task Type],"Testcase Creation")</f>
        <v>0</v>
      </c>
      <c r="AC406" s="255">
        <f>SUMIFS(Table3[Hours Worked],Table3[Release Name],Table7[[#This Row],[Release Name]],Table3[Task Type],"Testcase Execution")</f>
        <v>0</v>
      </c>
      <c r="AD40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6" s="256" t="str">
        <f>IFERROR((Table7[[#This Row],[No. of Valid Internal Review Defects]]+Table7[[#This Row],[No. of Valid  Internal Testing Defects]]+Table7[[#This Row],[No. of  Valid External Review Defects]]+Table7[[#This Row],[No. of Valid External Testing Defects]])/Table7[[#This Row],[Size]],"")</f>
        <v/>
      </c>
      <c r="AF406" s="257" t="str">
        <f>IFERROR(Table7[[#This Row],[No. of Valid Internal Review Defects]]/(Table7[[#This Row],[No. of Valid Internal Review Defects]]+Table7[[#This Row],[No. of  Valid External Review Defects]]+Table7[[#This Row],[No. of Valid  Internal Testing Defects]]+Table7[[#This Row],[No. of Valid External Testing Defects]]),"")</f>
        <v/>
      </c>
      <c r="AG406" s="258" t="str">
        <f>IFERROR(Table7[[#This Row],[No. of Valid Internal Review Defects]]/(Table7[[#This Row],[No. of Valid Internal Review Defects]]+Table7[[#This Row],[No. of  Valid External Review Defects]]+Table7[[#This Row],[No. of Valid External Testing Defects]]),"")</f>
        <v/>
      </c>
      <c r="AH406" s="256" t="str">
        <f>IFERROR(Table7[[#This Row],[No. of Valid  Internal Testing Defects]]/Table7[[#This Row],[Overall Actual Effort for the release]],"")</f>
        <v/>
      </c>
      <c r="AI406" s="256" t="str">
        <f>IFERROR(Table7[[#This Row],[No. of Valid  Internal Testing Defects]]/Table7[[#This Row],[No. of Testcases Executed]],"")</f>
        <v/>
      </c>
      <c r="AJ406" s="259" t="str">
        <f>IFERROR(IFERROR(Table7[[#This Row],[No. of Testcases Created]]/Table7[[#This Row],[Effort for Testcase Creation]],"")*9,"")</f>
        <v/>
      </c>
      <c r="AK406" s="256" t="str">
        <f>IFERROR((Table7[[#This Row],[No. of Testcases Executed]]/Table7[[#This Row],[Effort for Testcase Execution]])*9,"")</f>
        <v/>
      </c>
      <c r="AL40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6" s="259" t="str">
        <f>IFERROR(Table7[[#This Row],[No. of Defects Validated]]/SUMIFS(Table3[Hours Worked],Table3[Release Name],Table7[[#This Row],[Release Name]],Table3[Task Type],"Defect Validation")*9,"")</f>
        <v/>
      </c>
      <c r="AN406" s="258" t="str">
        <f>IFERROR((Table7[[#This Row],[No. of Valid  Internal Testing Defects]])/(Table7[[#This Row],[No. of Valid  Internal Testing Defects]]+Table7[[#This Row],[No. of Invalid Internal Testing Defects]]),"")</f>
        <v/>
      </c>
      <c r="AO406" s="258" t="str">
        <f>IFERROR(Table7[[#This Row],[No. of Valid External Testing Defects]]/(Table7[[#This Row],[No. of Valid External Testing Defects]]+Table7[[#This Row],[No. of Valid  Internal Testing Defects]]),"")</f>
        <v/>
      </c>
    </row>
    <row r="407" spans="2:41">
      <c r="B407" s="237"/>
      <c r="C407" s="14"/>
      <c r="D407" s="14"/>
      <c r="E407" s="14"/>
      <c r="F407" s="230" t="str">
        <f>IFERROR((Table47[[#This Row],[Initial No. of Requirements]]+Table47[[#This Row],[Modified Requirements( Added / Deleted /Modified)]])/Table47[[#This Row],[Initial No. of Requirements]],"")</f>
        <v/>
      </c>
      <c r="G40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7" s="249"/>
      <c r="J407" s="249"/>
      <c r="K407" s="250"/>
      <c r="L407" s="250"/>
      <c r="M407" s="250"/>
      <c r="N407" s="248">
        <f>SUMIFS(Table1[Size],Table1[Release Name],[2]!Table7[Release Name])</f>
        <v>0</v>
      </c>
      <c r="O407" s="248"/>
      <c r="P40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7" s="248"/>
      <c r="R40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7" s="248"/>
      <c r="T407" s="248"/>
      <c r="U407" s="248"/>
      <c r="V407" s="248"/>
      <c r="W407" s="248"/>
      <c r="X407" s="248"/>
      <c r="Y407" s="248"/>
      <c r="Z407" s="248"/>
      <c r="AA407" s="248"/>
      <c r="AB407" s="13">
        <f>SUMIFS(Table3[Hours Worked],Table3[Release Name],Table7[[#This Row],[Release Name]],Table3[Task Type],"Testcase Creation")</f>
        <v>0</v>
      </c>
      <c r="AC407" s="255">
        <f>SUMIFS(Table3[Hours Worked],Table3[Release Name],Table7[[#This Row],[Release Name]],Table3[Task Type],"Testcase Execution")</f>
        <v>0</v>
      </c>
      <c r="AD40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7" s="256" t="str">
        <f>IFERROR((Table7[[#This Row],[No. of Valid Internal Review Defects]]+Table7[[#This Row],[No. of Valid  Internal Testing Defects]]+Table7[[#This Row],[No. of  Valid External Review Defects]]+Table7[[#This Row],[No. of Valid External Testing Defects]])/Table7[[#This Row],[Size]],"")</f>
        <v/>
      </c>
      <c r="AF407" s="257" t="str">
        <f>IFERROR(Table7[[#This Row],[No. of Valid Internal Review Defects]]/(Table7[[#This Row],[No. of Valid Internal Review Defects]]+Table7[[#This Row],[No. of  Valid External Review Defects]]+Table7[[#This Row],[No. of Valid  Internal Testing Defects]]+Table7[[#This Row],[No. of Valid External Testing Defects]]),"")</f>
        <v/>
      </c>
      <c r="AG407" s="258" t="str">
        <f>IFERROR(Table7[[#This Row],[No. of Valid Internal Review Defects]]/(Table7[[#This Row],[No. of Valid Internal Review Defects]]+Table7[[#This Row],[No. of  Valid External Review Defects]]+Table7[[#This Row],[No. of Valid External Testing Defects]]),"")</f>
        <v/>
      </c>
      <c r="AH407" s="256" t="str">
        <f>IFERROR(Table7[[#This Row],[No. of Valid  Internal Testing Defects]]/Table7[[#This Row],[Overall Actual Effort for the release]],"")</f>
        <v/>
      </c>
      <c r="AI407" s="256" t="str">
        <f>IFERROR(Table7[[#This Row],[No. of Valid  Internal Testing Defects]]/Table7[[#This Row],[No. of Testcases Executed]],"")</f>
        <v/>
      </c>
      <c r="AJ407" s="259" t="str">
        <f>IFERROR(IFERROR(Table7[[#This Row],[No. of Testcases Created]]/Table7[[#This Row],[Effort for Testcase Creation]],"")*9,"")</f>
        <v/>
      </c>
      <c r="AK407" s="256" t="str">
        <f>IFERROR((Table7[[#This Row],[No. of Testcases Executed]]/Table7[[#This Row],[Effort for Testcase Execution]])*9,"")</f>
        <v/>
      </c>
      <c r="AL40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7" s="259" t="str">
        <f>IFERROR(Table7[[#This Row],[No. of Defects Validated]]/SUMIFS(Table3[Hours Worked],Table3[Release Name],Table7[[#This Row],[Release Name]],Table3[Task Type],"Defect Validation")*9,"")</f>
        <v/>
      </c>
      <c r="AN407" s="258" t="str">
        <f>IFERROR((Table7[[#This Row],[No. of Valid  Internal Testing Defects]])/(Table7[[#This Row],[No. of Valid  Internal Testing Defects]]+Table7[[#This Row],[No. of Invalid Internal Testing Defects]]),"")</f>
        <v/>
      </c>
      <c r="AO407" s="258" t="str">
        <f>IFERROR(Table7[[#This Row],[No. of Valid External Testing Defects]]/(Table7[[#This Row],[No. of Valid External Testing Defects]]+Table7[[#This Row],[No. of Valid  Internal Testing Defects]]),"")</f>
        <v/>
      </c>
    </row>
    <row r="408" spans="2:41">
      <c r="B408" s="237"/>
      <c r="C408" s="14"/>
      <c r="D408" s="14"/>
      <c r="E408" s="14"/>
      <c r="F408" s="230" t="str">
        <f>IFERROR((Table47[[#This Row],[Initial No. of Requirements]]+Table47[[#This Row],[Modified Requirements( Added / Deleted /Modified)]])/Table47[[#This Row],[Initial No. of Requirements]],"")</f>
        <v/>
      </c>
      <c r="G40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8" s="249"/>
      <c r="J408" s="249"/>
      <c r="K408" s="250"/>
      <c r="L408" s="250"/>
      <c r="M408" s="250"/>
      <c r="N408" s="248">
        <f>SUMIFS(Table1[Size],Table1[Release Name],[2]!Table7[Release Name])</f>
        <v>0</v>
      </c>
      <c r="O408" s="248"/>
      <c r="P40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8" s="248"/>
      <c r="R40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8" s="248"/>
      <c r="T408" s="248"/>
      <c r="U408" s="248"/>
      <c r="V408" s="248"/>
      <c r="W408" s="248"/>
      <c r="X408" s="248"/>
      <c r="Y408" s="248"/>
      <c r="Z408" s="248"/>
      <c r="AA408" s="248"/>
      <c r="AB408" s="13">
        <f>SUMIFS(Table3[Hours Worked],Table3[Release Name],Table7[[#This Row],[Release Name]],Table3[Task Type],"Testcase Creation")</f>
        <v>0</v>
      </c>
      <c r="AC408" s="255">
        <f>SUMIFS(Table3[Hours Worked],Table3[Release Name],Table7[[#This Row],[Release Name]],Table3[Task Type],"Testcase Execution")</f>
        <v>0</v>
      </c>
      <c r="AD40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8" s="256" t="str">
        <f>IFERROR((Table7[[#This Row],[No. of Valid Internal Review Defects]]+Table7[[#This Row],[No. of Valid  Internal Testing Defects]]+Table7[[#This Row],[No. of  Valid External Review Defects]]+Table7[[#This Row],[No. of Valid External Testing Defects]])/Table7[[#This Row],[Size]],"")</f>
        <v/>
      </c>
      <c r="AF408" s="257" t="str">
        <f>IFERROR(Table7[[#This Row],[No. of Valid Internal Review Defects]]/(Table7[[#This Row],[No. of Valid Internal Review Defects]]+Table7[[#This Row],[No. of  Valid External Review Defects]]+Table7[[#This Row],[No. of Valid  Internal Testing Defects]]+Table7[[#This Row],[No. of Valid External Testing Defects]]),"")</f>
        <v/>
      </c>
      <c r="AG408" s="258" t="str">
        <f>IFERROR(Table7[[#This Row],[No. of Valid Internal Review Defects]]/(Table7[[#This Row],[No. of Valid Internal Review Defects]]+Table7[[#This Row],[No. of  Valid External Review Defects]]+Table7[[#This Row],[No. of Valid External Testing Defects]]),"")</f>
        <v/>
      </c>
      <c r="AH408" s="256" t="str">
        <f>IFERROR(Table7[[#This Row],[No. of Valid  Internal Testing Defects]]/Table7[[#This Row],[Overall Actual Effort for the release]],"")</f>
        <v/>
      </c>
      <c r="AI408" s="256" t="str">
        <f>IFERROR(Table7[[#This Row],[No. of Valid  Internal Testing Defects]]/Table7[[#This Row],[No. of Testcases Executed]],"")</f>
        <v/>
      </c>
      <c r="AJ408" s="259" t="str">
        <f>IFERROR(IFERROR(Table7[[#This Row],[No. of Testcases Created]]/Table7[[#This Row],[Effort for Testcase Creation]],"")*9,"")</f>
        <v/>
      </c>
      <c r="AK408" s="256" t="str">
        <f>IFERROR((Table7[[#This Row],[No. of Testcases Executed]]/Table7[[#This Row],[Effort for Testcase Execution]])*9,"")</f>
        <v/>
      </c>
      <c r="AL40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8" s="259" t="str">
        <f>IFERROR(Table7[[#This Row],[No. of Defects Validated]]/SUMIFS(Table3[Hours Worked],Table3[Release Name],Table7[[#This Row],[Release Name]],Table3[Task Type],"Defect Validation")*9,"")</f>
        <v/>
      </c>
      <c r="AN408" s="258" t="str">
        <f>IFERROR((Table7[[#This Row],[No. of Valid  Internal Testing Defects]])/(Table7[[#This Row],[No. of Valid  Internal Testing Defects]]+Table7[[#This Row],[No. of Invalid Internal Testing Defects]]),"")</f>
        <v/>
      </c>
      <c r="AO408" s="258" t="str">
        <f>IFERROR(Table7[[#This Row],[No. of Valid External Testing Defects]]/(Table7[[#This Row],[No. of Valid External Testing Defects]]+Table7[[#This Row],[No. of Valid  Internal Testing Defects]]),"")</f>
        <v/>
      </c>
    </row>
    <row r="409" spans="2:41">
      <c r="B409" s="237"/>
      <c r="C409" s="14"/>
      <c r="D409" s="14"/>
      <c r="E409" s="14"/>
      <c r="F409" s="230" t="str">
        <f>IFERROR((Table47[[#This Row],[Initial No. of Requirements]]+Table47[[#This Row],[Modified Requirements( Added / Deleted /Modified)]])/Table47[[#This Row],[Initial No. of Requirements]],"")</f>
        <v/>
      </c>
      <c r="G40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09" s="249"/>
      <c r="J409" s="249"/>
      <c r="K409" s="250"/>
      <c r="L409" s="250"/>
      <c r="M409" s="250"/>
      <c r="N409" s="248">
        <f>SUMIFS(Table1[Size],Table1[Release Name],[2]!Table7[Release Name])</f>
        <v>0</v>
      </c>
      <c r="O409" s="248"/>
      <c r="P40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09" s="248"/>
      <c r="R40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09" s="248"/>
      <c r="T409" s="248"/>
      <c r="U409" s="248"/>
      <c r="V409" s="248"/>
      <c r="W409" s="248"/>
      <c r="X409" s="248"/>
      <c r="Y409" s="248"/>
      <c r="Z409" s="248"/>
      <c r="AA409" s="248"/>
      <c r="AB409" s="13">
        <f>SUMIFS(Table3[Hours Worked],Table3[Release Name],Table7[[#This Row],[Release Name]],Table3[Task Type],"Testcase Creation")</f>
        <v>0</v>
      </c>
      <c r="AC409" s="255">
        <f>SUMIFS(Table3[Hours Worked],Table3[Release Name],Table7[[#This Row],[Release Name]],Table3[Task Type],"Testcase Execution")</f>
        <v>0</v>
      </c>
      <c r="AD40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09" s="256" t="str">
        <f>IFERROR((Table7[[#This Row],[No. of Valid Internal Review Defects]]+Table7[[#This Row],[No. of Valid  Internal Testing Defects]]+Table7[[#This Row],[No. of  Valid External Review Defects]]+Table7[[#This Row],[No. of Valid External Testing Defects]])/Table7[[#This Row],[Size]],"")</f>
        <v/>
      </c>
      <c r="AF409" s="257" t="str">
        <f>IFERROR(Table7[[#This Row],[No. of Valid Internal Review Defects]]/(Table7[[#This Row],[No. of Valid Internal Review Defects]]+Table7[[#This Row],[No. of  Valid External Review Defects]]+Table7[[#This Row],[No. of Valid  Internal Testing Defects]]+Table7[[#This Row],[No. of Valid External Testing Defects]]),"")</f>
        <v/>
      </c>
      <c r="AG409" s="258" t="str">
        <f>IFERROR(Table7[[#This Row],[No. of Valid Internal Review Defects]]/(Table7[[#This Row],[No. of Valid Internal Review Defects]]+Table7[[#This Row],[No. of  Valid External Review Defects]]+Table7[[#This Row],[No. of Valid External Testing Defects]]),"")</f>
        <v/>
      </c>
      <c r="AH409" s="256" t="str">
        <f>IFERROR(Table7[[#This Row],[No. of Valid  Internal Testing Defects]]/Table7[[#This Row],[Overall Actual Effort for the release]],"")</f>
        <v/>
      </c>
      <c r="AI409" s="256" t="str">
        <f>IFERROR(Table7[[#This Row],[No. of Valid  Internal Testing Defects]]/Table7[[#This Row],[No. of Testcases Executed]],"")</f>
        <v/>
      </c>
      <c r="AJ409" s="259" t="str">
        <f>IFERROR(IFERROR(Table7[[#This Row],[No. of Testcases Created]]/Table7[[#This Row],[Effort for Testcase Creation]],"")*9,"")</f>
        <v/>
      </c>
      <c r="AK409" s="256" t="str">
        <f>IFERROR((Table7[[#This Row],[No. of Testcases Executed]]/Table7[[#This Row],[Effort for Testcase Execution]])*9,"")</f>
        <v/>
      </c>
      <c r="AL40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09" s="259" t="str">
        <f>IFERROR(Table7[[#This Row],[No. of Defects Validated]]/SUMIFS(Table3[Hours Worked],Table3[Release Name],Table7[[#This Row],[Release Name]],Table3[Task Type],"Defect Validation")*9,"")</f>
        <v/>
      </c>
      <c r="AN409" s="258" t="str">
        <f>IFERROR((Table7[[#This Row],[No. of Valid  Internal Testing Defects]])/(Table7[[#This Row],[No. of Valid  Internal Testing Defects]]+Table7[[#This Row],[No. of Invalid Internal Testing Defects]]),"")</f>
        <v/>
      </c>
      <c r="AO409" s="258" t="str">
        <f>IFERROR(Table7[[#This Row],[No. of Valid External Testing Defects]]/(Table7[[#This Row],[No. of Valid External Testing Defects]]+Table7[[#This Row],[No. of Valid  Internal Testing Defects]]),"")</f>
        <v/>
      </c>
    </row>
    <row r="410" spans="2:41">
      <c r="B410" s="237"/>
      <c r="C410" s="14"/>
      <c r="D410" s="14"/>
      <c r="E410" s="14"/>
      <c r="F410" s="230" t="str">
        <f>IFERROR((Table47[[#This Row],[Initial No. of Requirements]]+Table47[[#This Row],[Modified Requirements( Added / Deleted /Modified)]])/Table47[[#This Row],[Initial No. of Requirements]],"")</f>
        <v/>
      </c>
      <c r="G41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0" s="249"/>
      <c r="J410" s="249"/>
      <c r="K410" s="250"/>
      <c r="L410" s="250"/>
      <c r="M410" s="250"/>
      <c r="N410" s="248">
        <f>SUMIFS(Table1[Size],Table1[Release Name],[2]!Table7[Release Name])</f>
        <v>0</v>
      </c>
      <c r="O410" s="248"/>
      <c r="P41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0" s="248"/>
      <c r="R41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0" s="248"/>
      <c r="T410" s="248"/>
      <c r="U410" s="248"/>
      <c r="V410" s="248"/>
      <c r="W410" s="248"/>
      <c r="X410" s="248"/>
      <c r="Y410" s="248"/>
      <c r="Z410" s="248"/>
      <c r="AA410" s="248"/>
      <c r="AB410" s="13">
        <f>SUMIFS(Table3[Hours Worked],Table3[Release Name],Table7[[#This Row],[Release Name]],Table3[Task Type],"Testcase Creation")</f>
        <v>0</v>
      </c>
      <c r="AC410" s="255">
        <f>SUMIFS(Table3[Hours Worked],Table3[Release Name],Table7[[#This Row],[Release Name]],Table3[Task Type],"Testcase Execution")</f>
        <v>0</v>
      </c>
      <c r="AD41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0" s="256" t="str">
        <f>IFERROR((Table7[[#This Row],[No. of Valid Internal Review Defects]]+Table7[[#This Row],[No. of Valid  Internal Testing Defects]]+Table7[[#This Row],[No. of  Valid External Review Defects]]+Table7[[#This Row],[No. of Valid External Testing Defects]])/Table7[[#This Row],[Size]],"")</f>
        <v/>
      </c>
      <c r="AF410" s="257" t="str">
        <f>IFERROR(Table7[[#This Row],[No. of Valid Internal Review Defects]]/(Table7[[#This Row],[No. of Valid Internal Review Defects]]+Table7[[#This Row],[No. of  Valid External Review Defects]]+Table7[[#This Row],[No. of Valid  Internal Testing Defects]]+Table7[[#This Row],[No. of Valid External Testing Defects]]),"")</f>
        <v/>
      </c>
      <c r="AG410" s="258" t="str">
        <f>IFERROR(Table7[[#This Row],[No. of Valid Internal Review Defects]]/(Table7[[#This Row],[No. of Valid Internal Review Defects]]+Table7[[#This Row],[No. of  Valid External Review Defects]]+Table7[[#This Row],[No. of Valid External Testing Defects]]),"")</f>
        <v/>
      </c>
      <c r="AH410" s="256" t="str">
        <f>IFERROR(Table7[[#This Row],[No. of Valid  Internal Testing Defects]]/Table7[[#This Row],[Overall Actual Effort for the release]],"")</f>
        <v/>
      </c>
      <c r="AI410" s="256" t="str">
        <f>IFERROR(Table7[[#This Row],[No. of Valid  Internal Testing Defects]]/Table7[[#This Row],[No. of Testcases Executed]],"")</f>
        <v/>
      </c>
      <c r="AJ410" s="259" t="str">
        <f>IFERROR(IFERROR(Table7[[#This Row],[No. of Testcases Created]]/Table7[[#This Row],[Effort for Testcase Creation]],"")*9,"")</f>
        <v/>
      </c>
      <c r="AK410" s="256" t="str">
        <f>IFERROR((Table7[[#This Row],[No. of Testcases Executed]]/Table7[[#This Row],[Effort for Testcase Execution]])*9,"")</f>
        <v/>
      </c>
      <c r="AL41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0" s="259" t="str">
        <f>IFERROR(Table7[[#This Row],[No. of Defects Validated]]/SUMIFS(Table3[Hours Worked],Table3[Release Name],Table7[[#This Row],[Release Name]],Table3[Task Type],"Defect Validation")*9,"")</f>
        <v/>
      </c>
      <c r="AN410" s="258" t="str">
        <f>IFERROR((Table7[[#This Row],[No. of Valid  Internal Testing Defects]])/(Table7[[#This Row],[No. of Valid  Internal Testing Defects]]+Table7[[#This Row],[No. of Invalid Internal Testing Defects]]),"")</f>
        <v/>
      </c>
      <c r="AO410" s="258" t="str">
        <f>IFERROR(Table7[[#This Row],[No. of Valid External Testing Defects]]/(Table7[[#This Row],[No. of Valid External Testing Defects]]+Table7[[#This Row],[No. of Valid  Internal Testing Defects]]),"")</f>
        <v/>
      </c>
    </row>
    <row r="411" spans="2:41">
      <c r="B411" s="237"/>
      <c r="C411" s="14"/>
      <c r="D411" s="14"/>
      <c r="E411" s="14"/>
      <c r="F411" s="230" t="str">
        <f>IFERROR((Table47[[#This Row],[Initial No. of Requirements]]+Table47[[#This Row],[Modified Requirements( Added / Deleted /Modified)]])/Table47[[#This Row],[Initial No. of Requirements]],"")</f>
        <v/>
      </c>
      <c r="G41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1" s="249"/>
      <c r="J411" s="249"/>
      <c r="K411" s="250"/>
      <c r="L411" s="250"/>
      <c r="M411" s="250"/>
      <c r="N411" s="248">
        <f>SUMIFS(Table1[Size],Table1[Release Name],[2]!Table7[Release Name])</f>
        <v>0</v>
      </c>
      <c r="O411" s="248"/>
      <c r="P41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1" s="248"/>
      <c r="R41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1" s="248"/>
      <c r="T411" s="248"/>
      <c r="U411" s="248"/>
      <c r="V411" s="248"/>
      <c r="W411" s="248"/>
      <c r="X411" s="248"/>
      <c r="Y411" s="248"/>
      <c r="Z411" s="248"/>
      <c r="AA411" s="248"/>
      <c r="AB411" s="13">
        <f>SUMIFS(Table3[Hours Worked],Table3[Release Name],Table7[[#This Row],[Release Name]],Table3[Task Type],"Testcase Creation")</f>
        <v>0</v>
      </c>
      <c r="AC411" s="255">
        <f>SUMIFS(Table3[Hours Worked],Table3[Release Name],Table7[[#This Row],[Release Name]],Table3[Task Type],"Testcase Execution")</f>
        <v>0</v>
      </c>
      <c r="AD41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1" s="256" t="str">
        <f>IFERROR((Table7[[#This Row],[No. of Valid Internal Review Defects]]+Table7[[#This Row],[No. of Valid  Internal Testing Defects]]+Table7[[#This Row],[No. of  Valid External Review Defects]]+Table7[[#This Row],[No. of Valid External Testing Defects]])/Table7[[#This Row],[Size]],"")</f>
        <v/>
      </c>
      <c r="AF411" s="257" t="str">
        <f>IFERROR(Table7[[#This Row],[No. of Valid Internal Review Defects]]/(Table7[[#This Row],[No. of Valid Internal Review Defects]]+Table7[[#This Row],[No. of  Valid External Review Defects]]+Table7[[#This Row],[No. of Valid  Internal Testing Defects]]+Table7[[#This Row],[No. of Valid External Testing Defects]]),"")</f>
        <v/>
      </c>
      <c r="AG411" s="258" t="str">
        <f>IFERROR(Table7[[#This Row],[No. of Valid Internal Review Defects]]/(Table7[[#This Row],[No. of Valid Internal Review Defects]]+Table7[[#This Row],[No. of  Valid External Review Defects]]+Table7[[#This Row],[No. of Valid External Testing Defects]]),"")</f>
        <v/>
      </c>
      <c r="AH411" s="256" t="str">
        <f>IFERROR(Table7[[#This Row],[No. of Valid  Internal Testing Defects]]/Table7[[#This Row],[Overall Actual Effort for the release]],"")</f>
        <v/>
      </c>
      <c r="AI411" s="256" t="str">
        <f>IFERROR(Table7[[#This Row],[No. of Valid  Internal Testing Defects]]/Table7[[#This Row],[No. of Testcases Executed]],"")</f>
        <v/>
      </c>
      <c r="AJ411" s="259" t="str">
        <f>IFERROR(IFERROR(Table7[[#This Row],[No. of Testcases Created]]/Table7[[#This Row],[Effort for Testcase Creation]],"")*9,"")</f>
        <v/>
      </c>
      <c r="AK411" s="256" t="str">
        <f>IFERROR((Table7[[#This Row],[No. of Testcases Executed]]/Table7[[#This Row],[Effort for Testcase Execution]])*9,"")</f>
        <v/>
      </c>
      <c r="AL41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1" s="259" t="str">
        <f>IFERROR(Table7[[#This Row],[No. of Defects Validated]]/SUMIFS(Table3[Hours Worked],Table3[Release Name],Table7[[#This Row],[Release Name]],Table3[Task Type],"Defect Validation")*9,"")</f>
        <v/>
      </c>
      <c r="AN411" s="258" t="str">
        <f>IFERROR((Table7[[#This Row],[No. of Valid  Internal Testing Defects]])/(Table7[[#This Row],[No. of Valid  Internal Testing Defects]]+Table7[[#This Row],[No. of Invalid Internal Testing Defects]]),"")</f>
        <v/>
      </c>
      <c r="AO411" s="258" t="str">
        <f>IFERROR(Table7[[#This Row],[No. of Valid External Testing Defects]]/(Table7[[#This Row],[No. of Valid External Testing Defects]]+Table7[[#This Row],[No. of Valid  Internal Testing Defects]]),"")</f>
        <v/>
      </c>
    </row>
    <row r="412" spans="2:41">
      <c r="B412" s="237"/>
      <c r="C412" s="14"/>
      <c r="D412" s="14"/>
      <c r="E412" s="14"/>
      <c r="F412" s="230" t="str">
        <f>IFERROR((Table47[[#This Row],[Initial No. of Requirements]]+Table47[[#This Row],[Modified Requirements( Added / Deleted /Modified)]])/Table47[[#This Row],[Initial No. of Requirements]],"")</f>
        <v/>
      </c>
      <c r="G41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2" s="249"/>
      <c r="J412" s="249"/>
      <c r="K412" s="250"/>
      <c r="L412" s="250"/>
      <c r="M412" s="250"/>
      <c r="N412" s="248">
        <f>SUMIFS(Table1[Size],Table1[Release Name],[2]!Table7[Release Name])</f>
        <v>0</v>
      </c>
      <c r="O412" s="248"/>
      <c r="P41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2" s="248"/>
      <c r="R41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2" s="248"/>
      <c r="T412" s="248"/>
      <c r="U412" s="248"/>
      <c r="V412" s="248"/>
      <c r="W412" s="248"/>
      <c r="X412" s="248"/>
      <c r="Y412" s="248"/>
      <c r="Z412" s="248"/>
      <c r="AA412" s="248"/>
      <c r="AB412" s="13">
        <f>SUMIFS(Table3[Hours Worked],Table3[Release Name],Table7[[#This Row],[Release Name]],Table3[Task Type],"Testcase Creation")</f>
        <v>0</v>
      </c>
      <c r="AC412" s="255">
        <f>SUMIFS(Table3[Hours Worked],Table3[Release Name],Table7[[#This Row],[Release Name]],Table3[Task Type],"Testcase Execution")</f>
        <v>0</v>
      </c>
      <c r="AD41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2" s="256" t="str">
        <f>IFERROR((Table7[[#This Row],[No. of Valid Internal Review Defects]]+Table7[[#This Row],[No. of Valid  Internal Testing Defects]]+Table7[[#This Row],[No. of  Valid External Review Defects]]+Table7[[#This Row],[No. of Valid External Testing Defects]])/Table7[[#This Row],[Size]],"")</f>
        <v/>
      </c>
      <c r="AF412" s="257" t="str">
        <f>IFERROR(Table7[[#This Row],[No. of Valid Internal Review Defects]]/(Table7[[#This Row],[No. of Valid Internal Review Defects]]+Table7[[#This Row],[No. of  Valid External Review Defects]]+Table7[[#This Row],[No. of Valid  Internal Testing Defects]]+Table7[[#This Row],[No. of Valid External Testing Defects]]),"")</f>
        <v/>
      </c>
      <c r="AG412" s="258" t="str">
        <f>IFERROR(Table7[[#This Row],[No. of Valid Internal Review Defects]]/(Table7[[#This Row],[No. of Valid Internal Review Defects]]+Table7[[#This Row],[No. of  Valid External Review Defects]]+Table7[[#This Row],[No. of Valid External Testing Defects]]),"")</f>
        <v/>
      </c>
      <c r="AH412" s="256" t="str">
        <f>IFERROR(Table7[[#This Row],[No. of Valid  Internal Testing Defects]]/Table7[[#This Row],[Overall Actual Effort for the release]],"")</f>
        <v/>
      </c>
      <c r="AI412" s="256" t="str">
        <f>IFERROR(Table7[[#This Row],[No. of Valid  Internal Testing Defects]]/Table7[[#This Row],[No. of Testcases Executed]],"")</f>
        <v/>
      </c>
      <c r="AJ412" s="259" t="str">
        <f>IFERROR(IFERROR(Table7[[#This Row],[No. of Testcases Created]]/Table7[[#This Row],[Effort for Testcase Creation]],"")*9,"")</f>
        <v/>
      </c>
      <c r="AK412" s="256" t="str">
        <f>IFERROR((Table7[[#This Row],[No. of Testcases Executed]]/Table7[[#This Row],[Effort for Testcase Execution]])*9,"")</f>
        <v/>
      </c>
      <c r="AL41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2" s="259" t="str">
        <f>IFERROR(Table7[[#This Row],[No. of Defects Validated]]/SUMIFS(Table3[Hours Worked],Table3[Release Name],Table7[[#This Row],[Release Name]],Table3[Task Type],"Defect Validation")*9,"")</f>
        <v/>
      </c>
      <c r="AN412" s="258" t="str">
        <f>IFERROR((Table7[[#This Row],[No. of Valid  Internal Testing Defects]])/(Table7[[#This Row],[No. of Valid  Internal Testing Defects]]+Table7[[#This Row],[No. of Invalid Internal Testing Defects]]),"")</f>
        <v/>
      </c>
      <c r="AO412" s="258" t="str">
        <f>IFERROR(Table7[[#This Row],[No. of Valid External Testing Defects]]/(Table7[[#This Row],[No. of Valid External Testing Defects]]+Table7[[#This Row],[No. of Valid  Internal Testing Defects]]),"")</f>
        <v/>
      </c>
    </row>
    <row r="413" spans="2:41">
      <c r="B413" s="237"/>
      <c r="C413" s="14"/>
      <c r="D413" s="14"/>
      <c r="E413" s="14"/>
      <c r="F413" s="230" t="str">
        <f>IFERROR((Table47[[#This Row],[Initial No. of Requirements]]+Table47[[#This Row],[Modified Requirements( Added / Deleted /Modified)]])/Table47[[#This Row],[Initial No. of Requirements]],"")</f>
        <v/>
      </c>
      <c r="G41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3" s="249"/>
      <c r="J413" s="249"/>
      <c r="K413" s="250"/>
      <c r="L413" s="250"/>
      <c r="M413" s="250"/>
      <c r="N413" s="248">
        <f>SUMIFS(Table1[Size],Table1[Release Name],[2]!Table7[Release Name])</f>
        <v>0</v>
      </c>
      <c r="O413" s="248"/>
      <c r="P41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3" s="248"/>
      <c r="R41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3" s="248"/>
      <c r="T413" s="248"/>
      <c r="U413" s="248"/>
      <c r="V413" s="248"/>
      <c r="W413" s="248"/>
      <c r="X413" s="248"/>
      <c r="Y413" s="248"/>
      <c r="Z413" s="248"/>
      <c r="AA413" s="248"/>
      <c r="AB413" s="13">
        <f>SUMIFS(Table3[Hours Worked],Table3[Release Name],Table7[[#This Row],[Release Name]],Table3[Task Type],"Testcase Creation")</f>
        <v>0</v>
      </c>
      <c r="AC413" s="255">
        <f>SUMIFS(Table3[Hours Worked],Table3[Release Name],Table7[[#This Row],[Release Name]],Table3[Task Type],"Testcase Execution")</f>
        <v>0</v>
      </c>
      <c r="AD41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3" s="256" t="str">
        <f>IFERROR((Table7[[#This Row],[No. of Valid Internal Review Defects]]+Table7[[#This Row],[No. of Valid  Internal Testing Defects]]+Table7[[#This Row],[No. of  Valid External Review Defects]]+Table7[[#This Row],[No. of Valid External Testing Defects]])/Table7[[#This Row],[Size]],"")</f>
        <v/>
      </c>
      <c r="AF413" s="257" t="str">
        <f>IFERROR(Table7[[#This Row],[No. of Valid Internal Review Defects]]/(Table7[[#This Row],[No. of Valid Internal Review Defects]]+Table7[[#This Row],[No. of  Valid External Review Defects]]+Table7[[#This Row],[No. of Valid  Internal Testing Defects]]+Table7[[#This Row],[No. of Valid External Testing Defects]]),"")</f>
        <v/>
      </c>
      <c r="AG413" s="258" t="str">
        <f>IFERROR(Table7[[#This Row],[No. of Valid Internal Review Defects]]/(Table7[[#This Row],[No. of Valid Internal Review Defects]]+Table7[[#This Row],[No. of  Valid External Review Defects]]+Table7[[#This Row],[No. of Valid External Testing Defects]]),"")</f>
        <v/>
      </c>
      <c r="AH413" s="256" t="str">
        <f>IFERROR(Table7[[#This Row],[No. of Valid  Internal Testing Defects]]/Table7[[#This Row],[Overall Actual Effort for the release]],"")</f>
        <v/>
      </c>
      <c r="AI413" s="256" t="str">
        <f>IFERROR(Table7[[#This Row],[No. of Valid  Internal Testing Defects]]/Table7[[#This Row],[No. of Testcases Executed]],"")</f>
        <v/>
      </c>
      <c r="AJ413" s="259" t="str">
        <f>IFERROR(IFERROR(Table7[[#This Row],[No. of Testcases Created]]/Table7[[#This Row],[Effort for Testcase Creation]],"")*9,"")</f>
        <v/>
      </c>
      <c r="AK413" s="256" t="str">
        <f>IFERROR((Table7[[#This Row],[No. of Testcases Executed]]/Table7[[#This Row],[Effort for Testcase Execution]])*9,"")</f>
        <v/>
      </c>
      <c r="AL41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3" s="259" t="str">
        <f>IFERROR(Table7[[#This Row],[No. of Defects Validated]]/SUMIFS(Table3[Hours Worked],Table3[Release Name],Table7[[#This Row],[Release Name]],Table3[Task Type],"Defect Validation")*9,"")</f>
        <v/>
      </c>
      <c r="AN413" s="258" t="str">
        <f>IFERROR((Table7[[#This Row],[No. of Valid  Internal Testing Defects]])/(Table7[[#This Row],[No. of Valid  Internal Testing Defects]]+Table7[[#This Row],[No. of Invalid Internal Testing Defects]]),"")</f>
        <v/>
      </c>
      <c r="AO413" s="258" t="str">
        <f>IFERROR(Table7[[#This Row],[No. of Valid External Testing Defects]]/(Table7[[#This Row],[No. of Valid External Testing Defects]]+Table7[[#This Row],[No. of Valid  Internal Testing Defects]]),"")</f>
        <v/>
      </c>
    </row>
    <row r="414" spans="2:41">
      <c r="B414" s="237"/>
      <c r="C414" s="14"/>
      <c r="D414" s="14"/>
      <c r="E414" s="14"/>
      <c r="F414" s="230" t="str">
        <f>IFERROR((Table47[[#This Row],[Initial No. of Requirements]]+Table47[[#This Row],[Modified Requirements( Added / Deleted /Modified)]])/Table47[[#This Row],[Initial No. of Requirements]],"")</f>
        <v/>
      </c>
      <c r="G41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4" s="249"/>
      <c r="J414" s="249"/>
      <c r="K414" s="250"/>
      <c r="L414" s="250"/>
      <c r="M414" s="250"/>
      <c r="N414" s="248">
        <f>SUMIFS(Table1[Size],Table1[Release Name],[2]!Table7[Release Name])</f>
        <v>0</v>
      </c>
      <c r="O414" s="248"/>
      <c r="P41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4" s="248"/>
      <c r="R41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4" s="248"/>
      <c r="T414" s="248"/>
      <c r="U414" s="248"/>
      <c r="V414" s="248"/>
      <c r="W414" s="248"/>
      <c r="X414" s="248"/>
      <c r="Y414" s="248"/>
      <c r="Z414" s="248"/>
      <c r="AA414" s="248"/>
      <c r="AB414" s="13">
        <f>SUMIFS(Table3[Hours Worked],Table3[Release Name],Table7[[#This Row],[Release Name]],Table3[Task Type],"Testcase Creation")</f>
        <v>0</v>
      </c>
      <c r="AC414" s="255">
        <f>SUMIFS(Table3[Hours Worked],Table3[Release Name],Table7[[#This Row],[Release Name]],Table3[Task Type],"Testcase Execution")</f>
        <v>0</v>
      </c>
      <c r="AD41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4" s="256" t="str">
        <f>IFERROR((Table7[[#This Row],[No. of Valid Internal Review Defects]]+Table7[[#This Row],[No. of Valid  Internal Testing Defects]]+Table7[[#This Row],[No. of  Valid External Review Defects]]+Table7[[#This Row],[No. of Valid External Testing Defects]])/Table7[[#This Row],[Size]],"")</f>
        <v/>
      </c>
      <c r="AF414" s="257" t="str">
        <f>IFERROR(Table7[[#This Row],[No. of Valid Internal Review Defects]]/(Table7[[#This Row],[No. of Valid Internal Review Defects]]+Table7[[#This Row],[No. of  Valid External Review Defects]]+Table7[[#This Row],[No. of Valid  Internal Testing Defects]]+Table7[[#This Row],[No. of Valid External Testing Defects]]),"")</f>
        <v/>
      </c>
      <c r="AG414" s="258" t="str">
        <f>IFERROR(Table7[[#This Row],[No. of Valid Internal Review Defects]]/(Table7[[#This Row],[No. of Valid Internal Review Defects]]+Table7[[#This Row],[No. of  Valid External Review Defects]]+Table7[[#This Row],[No. of Valid External Testing Defects]]),"")</f>
        <v/>
      </c>
      <c r="AH414" s="256" t="str">
        <f>IFERROR(Table7[[#This Row],[No. of Valid  Internal Testing Defects]]/Table7[[#This Row],[Overall Actual Effort for the release]],"")</f>
        <v/>
      </c>
      <c r="AI414" s="256" t="str">
        <f>IFERROR(Table7[[#This Row],[No. of Valid  Internal Testing Defects]]/Table7[[#This Row],[No. of Testcases Executed]],"")</f>
        <v/>
      </c>
      <c r="AJ414" s="259" t="str">
        <f>IFERROR(IFERROR(Table7[[#This Row],[No. of Testcases Created]]/Table7[[#This Row],[Effort for Testcase Creation]],"")*9,"")</f>
        <v/>
      </c>
      <c r="AK414" s="256" t="str">
        <f>IFERROR((Table7[[#This Row],[No. of Testcases Executed]]/Table7[[#This Row],[Effort for Testcase Execution]])*9,"")</f>
        <v/>
      </c>
      <c r="AL41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4" s="259" t="str">
        <f>IFERROR(Table7[[#This Row],[No. of Defects Validated]]/SUMIFS(Table3[Hours Worked],Table3[Release Name],Table7[[#This Row],[Release Name]],Table3[Task Type],"Defect Validation")*9,"")</f>
        <v/>
      </c>
      <c r="AN414" s="258" t="str">
        <f>IFERROR((Table7[[#This Row],[No. of Valid  Internal Testing Defects]])/(Table7[[#This Row],[No. of Valid  Internal Testing Defects]]+Table7[[#This Row],[No. of Invalid Internal Testing Defects]]),"")</f>
        <v/>
      </c>
      <c r="AO414" s="258" t="str">
        <f>IFERROR(Table7[[#This Row],[No. of Valid External Testing Defects]]/(Table7[[#This Row],[No. of Valid External Testing Defects]]+Table7[[#This Row],[No. of Valid  Internal Testing Defects]]),"")</f>
        <v/>
      </c>
    </row>
    <row r="415" spans="2:41">
      <c r="B415" s="237"/>
      <c r="C415" s="14"/>
      <c r="D415" s="14"/>
      <c r="E415" s="14"/>
      <c r="F415" s="230" t="str">
        <f>IFERROR((Table47[[#This Row],[Initial No. of Requirements]]+Table47[[#This Row],[Modified Requirements( Added / Deleted /Modified)]])/Table47[[#This Row],[Initial No. of Requirements]],"")</f>
        <v/>
      </c>
      <c r="G41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5" s="249"/>
      <c r="J415" s="249"/>
      <c r="K415" s="250"/>
      <c r="L415" s="250"/>
      <c r="M415" s="250"/>
      <c r="N415" s="248">
        <f>SUMIFS(Table1[Size],Table1[Release Name],[2]!Table7[Release Name])</f>
        <v>0</v>
      </c>
      <c r="O415" s="248"/>
      <c r="P41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5" s="248"/>
      <c r="R41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5" s="248"/>
      <c r="T415" s="248"/>
      <c r="U415" s="248"/>
      <c r="V415" s="248"/>
      <c r="W415" s="248"/>
      <c r="X415" s="248"/>
      <c r="Y415" s="248"/>
      <c r="Z415" s="248"/>
      <c r="AA415" s="248"/>
      <c r="AB415" s="13">
        <f>SUMIFS(Table3[Hours Worked],Table3[Release Name],Table7[[#This Row],[Release Name]],Table3[Task Type],"Testcase Creation")</f>
        <v>0</v>
      </c>
      <c r="AC415" s="255">
        <f>SUMIFS(Table3[Hours Worked],Table3[Release Name],Table7[[#This Row],[Release Name]],Table3[Task Type],"Testcase Execution")</f>
        <v>0</v>
      </c>
      <c r="AD41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5" s="256" t="str">
        <f>IFERROR((Table7[[#This Row],[No. of Valid Internal Review Defects]]+Table7[[#This Row],[No. of Valid  Internal Testing Defects]]+Table7[[#This Row],[No. of  Valid External Review Defects]]+Table7[[#This Row],[No. of Valid External Testing Defects]])/Table7[[#This Row],[Size]],"")</f>
        <v/>
      </c>
      <c r="AF415" s="257" t="str">
        <f>IFERROR(Table7[[#This Row],[No. of Valid Internal Review Defects]]/(Table7[[#This Row],[No. of Valid Internal Review Defects]]+Table7[[#This Row],[No. of  Valid External Review Defects]]+Table7[[#This Row],[No. of Valid  Internal Testing Defects]]+Table7[[#This Row],[No. of Valid External Testing Defects]]),"")</f>
        <v/>
      </c>
      <c r="AG415" s="258" t="str">
        <f>IFERROR(Table7[[#This Row],[No. of Valid Internal Review Defects]]/(Table7[[#This Row],[No. of Valid Internal Review Defects]]+Table7[[#This Row],[No. of  Valid External Review Defects]]+Table7[[#This Row],[No. of Valid External Testing Defects]]),"")</f>
        <v/>
      </c>
      <c r="AH415" s="256" t="str">
        <f>IFERROR(Table7[[#This Row],[No. of Valid  Internal Testing Defects]]/Table7[[#This Row],[Overall Actual Effort for the release]],"")</f>
        <v/>
      </c>
      <c r="AI415" s="256" t="str">
        <f>IFERROR(Table7[[#This Row],[No. of Valid  Internal Testing Defects]]/Table7[[#This Row],[No. of Testcases Executed]],"")</f>
        <v/>
      </c>
      <c r="AJ415" s="259" t="str">
        <f>IFERROR(IFERROR(Table7[[#This Row],[No. of Testcases Created]]/Table7[[#This Row],[Effort for Testcase Creation]],"")*9,"")</f>
        <v/>
      </c>
      <c r="AK415" s="256" t="str">
        <f>IFERROR((Table7[[#This Row],[No. of Testcases Executed]]/Table7[[#This Row],[Effort for Testcase Execution]])*9,"")</f>
        <v/>
      </c>
      <c r="AL41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5" s="259" t="str">
        <f>IFERROR(Table7[[#This Row],[No. of Defects Validated]]/SUMIFS(Table3[Hours Worked],Table3[Release Name],Table7[[#This Row],[Release Name]],Table3[Task Type],"Defect Validation")*9,"")</f>
        <v/>
      </c>
      <c r="AN415" s="258" t="str">
        <f>IFERROR((Table7[[#This Row],[No. of Valid  Internal Testing Defects]])/(Table7[[#This Row],[No. of Valid  Internal Testing Defects]]+Table7[[#This Row],[No. of Invalid Internal Testing Defects]]),"")</f>
        <v/>
      </c>
      <c r="AO415" s="258" t="str">
        <f>IFERROR(Table7[[#This Row],[No. of Valid External Testing Defects]]/(Table7[[#This Row],[No. of Valid External Testing Defects]]+Table7[[#This Row],[No. of Valid  Internal Testing Defects]]),"")</f>
        <v/>
      </c>
    </row>
    <row r="416" spans="2:41">
      <c r="B416" s="237"/>
      <c r="C416" s="14"/>
      <c r="D416" s="14"/>
      <c r="E416" s="14"/>
      <c r="F416" s="230" t="str">
        <f>IFERROR((Table47[[#This Row],[Initial No. of Requirements]]+Table47[[#This Row],[Modified Requirements( Added / Deleted /Modified)]])/Table47[[#This Row],[Initial No. of Requirements]],"")</f>
        <v/>
      </c>
      <c r="G41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6" s="249"/>
      <c r="J416" s="249"/>
      <c r="K416" s="250"/>
      <c r="L416" s="250"/>
      <c r="M416" s="250"/>
      <c r="N416" s="248">
        <f>SUMIFS(Table1[Size],Table1[Release Name],[2]!Table7[Release Name])</f>
        <v>0</v>
      </c>
      <c r="O416" s="248"/>
      <c r="P41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6" s="248"/>
      <c r="R41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6" s="248"/>
      <c r="T416" s="248"/>
      <c r="U416" s="248"/>
      <c r="V416" s="248"/>
      <c r="W416" s="248"/>
      <c r="X416" s="248"/>
      <c r="Y416" s="248"/>
      <c r="Z416" s="248"/>
      <c r="AA416" s="248"/>
      <c r="AB416" s="13">
        <f>SUMIFS(Table3[Hours Worked],Table3[Release Name],Table7[[#This Row],[Release Name]],Table3[Task Type],"Testcase Creation")</f>
        <v>0</v>
      </c>
      <c r="AC416" s="255">
        <f>SUMIFS(Table3[Hours Worked],Table3[Release Name],Table7[[#This Row],[Release Name]],Table3[Task Type],"Testcase Execution")</f>
        <v>0</v>
      </c>
      <c r="AD41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6" s="256" t="str">
        <f>IFERROR((Table7[[#This Row],[No. of Valid Internal Review Defects]]+Table7[[#This Row],[No. of Valid  Internal Testing Defects]]+Table7[[#This Row],[No. of  Valid External Review Defects]]+Table7[[#This Row],[No. of Valid External Testing Defects]])/Table7[[#This Row],[Size]],"")</f>
        <v/>
      </c>
      <c r="AF416" s="257" t="str">
        <f>IFERROR(Table7[[#This Row],[No. of Valid Internal Review Defects]]/(Table7[[#This Row],[No. of Valid Internal Review Defects]]+Table7[[#This Row],[No. of  Valid External Review Defects]]+Table7[[#This Row],[No. of Valid  Internal Testing Defects]]+Table7[[#This Row],[No. of Valid External Testing Defects]]),"")</f>
        <v/>
      </c>
      <c r="AG416" s="258" t="str">
        <f>IFERROR(Table7[[#This Row],[No. of Valid Internal Review Defects]]/(Table7[[#This Row],[No. of Valid Internal Review Defects]]+Table7[[#This Row],[No. of  Valid External Review Defects]]+Table7[[#This Row],[No. of Valid External Testing Defects]]),"")</f>
        <v/>
      </c>
      <c r="AH416" s="256" t="str">
        <f>IFERROR(Table7[[#This Row],[No. of Valid  Internal Testing Defects]]/Table7[[#This Row],[Overall Actual Effort for the release]],"")</f>
        <v/>
      </c>
      <c r="AI416" s="256" t="str">
        <f>IFERROR(Table7[[#This Row],[No. of Valid  Internal Testing Defects]]/Table7[[#This Row],[No. of Testcases Executed]],"")</f>
        <v/>
      </c>
      <c r="AJ416" s="259" t="str">
        <f>IFERROR(IFERROR(Table7[[#This Row],[No. of Testcases Created]]/Table7[[#This Row],[Effort for Testcase Creation]],"")*9,"")</f>
        <v/>
      </c>
      <c r="AK416" s="256" t="str">
        <f>IFERROR((Table7[[#This Row],[No. of Testcases Executed]]/Table7[[#This Row],[Effort for Testcase Execution]])*9,"")</f>
        <v/>
      </c>
      <c r="AL41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6" s="259" t="str">
        <f>IFERROR(Table7[[#This Row],[No. of Defects Validated]]/SUMIFS(Table3[Hours Worked],Table3[Release Name],Table7[[#This Row],[Release Name]],Table3[Task Type],"Defect Validation")*9,"")</f>
        <v/>
      </c>
      <c r="AN416" s="258" t="str">
        <f>IFERROR((Table7[[#This Row],[No. of Valid  Internal Testing Defects]])/(Table7[[#This Row],[No. of Valid  Internal Testing Defects]]+Table7[[#This Row],[No. of Invalid Internal Testing Defects]]),"")</f>
        <v/>
      </c>
      <c r="AO416" s="258" t="str">
        <f>IFERROR(Table7[[#This Row],[No. of Valid External Testing Defects]]/(Table7[[#This Row],[No. of Valid External Testing Defects]]+Table7[[#This Row],[No. of Valid  Internal Testing Defects]]),"")</f>
        <v/>
      </c>
    </row>
    <row r="417" spans="2:41">
      <c r="B417" s="237"/>
      <c r="C417" s="14"/>
      <c r="D417" s="14"/>
      <c r="E417" s="14"/>
      <c r="F417" s="230" t="str">
        <f>IFERROR((Table47[[#This Row],[Initial No. of Requirements]]+Table47[[#This Row],[Modified Requirements( Added / Deleted /Modified)]])/Table47[[#This Row],[Initial No. of Requirements]],"")</f>
        <v/>
      </c>
      <c r="G41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7" s="249"/>
      <c r="J417" s="249"/>
      <c r="K417" s="250"/>
      <c r="L417" s="250"/>
      <c r="M417" s="250"/>
      <c r="N417" s="248">
        <f>SUMIFS(Table1[Size],Table1[Release Name],[2]!Table7[Release Name])</f>
        <v>0</v>
      </c>
      <c r="O417" s="248"/>
      <c r="P41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7" s="248"/>
      <c r="R41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7" s="248"/>
      <c r="T417" s="248"/>
      <c r="U417" s="248"/>
      <c r="V417" s="248"/>
      <c r="W417" s="248"/>
      <c r="X417" s="248"/>
      <c r="Y417" s="248"/>
      <c r="Z417" s="248"/>
      <c r="AA417" s="248"/>
      <c r="AB417" s="13">
        <f>SUMIFS(Table3[Hours Worked],Table3[Release Name],Table7[[#This Row],[Release Name]],Table3[Task Type],"Testcase Creation")</f>
        <v>0</v>
      </c>
      <c r="AC417" s="255">
        <f>SUMIFS(Table3[Hours Worked],Table3[Release Name],Table7[[#This Row],[Release Name]],Table3[Task Type],"Testcase Execution")</f>
        <v>0</v>
      </c>
      <c r="AD41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7" s="256" t="str">
        <f>IFERROR((Table7[[#This Row],[No. of Valid Internal Review Defects]]+Table7[[#This Row],[No. of Valid  Internal Testing Defects]]+Table7[[#This Row],[No. of  Valid External Review Defects]]+Table7[[#This Row],[No. of Valid External Testing Defects]])/Table7[[#This Row],[Size]],"")</f>
        <v/>
      </c>
      <c r="AF417" s="257" t="str">
        <f>IFERROR(Table7[[#This Row],[No. of Valid Internal Review Defects]]/(Table7[[#This Row],[No. of Valid Internal Review Defects]]+Table7[[#This Row],[No. of  Valid External Review Defects]]+Table7[[#This Row],[No. of Valid  Internal Testing Defects]]+Table7[[#This Row],[No. of Valid External Testing Defects]]),"")</f>
        <v/>
      </c>
      <c r="AG417" s="258" t="str">
        <f>IFERROR(Table7[[#This Row],[No. of Valid Internal Review Defects]]/(Table7[[#This Row],[No. of Valid Internal Review Defects]]+Table7[[#This Row],[No. of  Valid External Review Defects]]+Table7[[#This Row],[No. of Valid External Testing Defects]]),"")</f>
        <v/>
      </c>
      <c r="AH417" s="256" t="str">
        <f>IFERROR(Table7[[#This Row],[No. of Valid  Internal Testing Defects]]/Table7[[#This Row],[Overall Actual Effort for the release]],"")</f>
        <v/>
      </c>
      <c r="AI417" s="256" t="str">
        <f>IFERROR(Table7[[#This Row],[No. of Valid  Internal Testing Defects]]/Table7[[#This Row],[No. of Testcases Executed]],"")</f>
        <v/>
      </c>
      <c r="AJ417" s="259" t="str">
        <f>IFERROR(IFERROR(Table7[[#This Row],[No. of Testcases Created]]/Table7[[#This Row],[Effort for Testcase Creation]],"")*9,"")</f>
        <v/>
      </c>
      <c r="AK417" s="256" t="str">
        <f>IFERROR((Table7[[#This Row],[No. of Testcases Executed]]/Table7[[#This Row],[Effort for Testcase Execution]])*9,"")</f>
        <v/>
      </c>
      <c r="AL41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7" s="259" t="str">
        <f>IFERROR(Table7[[#This Row],[No. of Defects Validated]]/SUMIFS(Table3[Hours Worked],Table3[Release Name],Table7[[#This Row],[Release Name]],Table3[Task Type],"Defect Validation")*9,"")</f>
        <v/>
      </c>
      <c r="AN417" s="258" t="str">
        <f>IFERROR((Table7[[#This Row],[No. of Valid  Internal Testing Defects]])/(Table7[[#This Row],[No. of Valid  Internal Testing Defects]]+Table7[[#This Row],[No. of Invalid Internal Testing Defects]]),"")</f>
        <v/>
      </c>
      <c r="AO417" s="258" t="str">
        <f>IFERROR(Table7[[#This Row],[No. of Valid External Testing Defects]]/(Table7[[#This Row],[No. of Valid External Testing Defects]]+Table7[[#This Row],[No. of Valid  Internal Testing Defects]]),"")</f>
        <v/>
      </c>
    </row>
    <row r="418" spans="2:41">
      <c r="B418" s="237"/>
      <c r="C418" s="14"/>
      <c r="D418" s="14"/>
      <c r="E418" s="14"/>
      <c r="F418" s="230" t="str">
        <f>IFERROR((Table47[[#This Row],[Initial No. of Requirements]]+Table47[[#This Row],[Modified Requirements( Added / Deleted /Modified)]])/Table47[[#This Row],[Initial No. of Requirements]],"")</f>
        <v/>
      </c>
      <c r="G41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8" s="249"/>
      <c r="J418" s="249"/>
      <c r="K418" s="250"/>
      <c r="L418" s="250"/>
      <c r="M418" s="250"/>
      <c r="N418" s="248">
        <f>SUMIFS(Table1[Size],Table1[Release Name],[2]!Table7[Release Name])</f>
        <v>0</v>
      </c>
      <c r="O418" s="248"/>
      <c r="P41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8" s="248"/>
      <c r="R41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8" s="248"/>
      <c r="T418" s="248"/>
      <c r="U418" s="248"/>
      <c r="V418" s="248"/>
      <c r="W418" s="248"/>
      <c r="X418" s="248"/>
      <c r="Y418" s="248"/>
      <c r="Z418" s="248"/>
      <c r="AA418" s="248"/>
      <c r="AB418" s="13">
        <f>SUMIFS(Table3[Hours Worked],Table3[Release Name],Table7[[#This Row],[Release Name]],Table3[Task Type],"Testcase Creation")</f>
        <v>0</v>
      </c>
      <c r="AC418" s="255">
        <f>SUMIFS(Table3[Hours Worked],Table3[Release Name],Table7[[#This Row],[Release Name]],Table3[Task Type],"Testcase Execution")</f>
        <v>0</v>
      </c>
      <c r="AD41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8" s="256" t="str">
        <f>IFERROR((Table7[[#This Row],[No. of Valid Internal Review Defects]]+Table7[[#This Row],[No. of Valid  Internal Testing Defects]]+Table7[[#This Row],[No. of  Valid External Review Defects]]+Table7[[#This Row],[No. of Valid External Testing Defects]])/Table7[[#This Row],[Size]],"")</f>
        <v/>
      </c>
      <c r="AF418" s="257" t="str">
        <f>IFERROR(Table7[[#This Row],[No. of Valid Internal Review Defects]]/(Table7[[#This Row],[No. of Valid Internal Review Defects]]+Table7[[#This Row],[No. of  Valid External Review Defects]]+Table7[[#This Row],[No. of Valid  Internal Testing Defects]]+Table7[[#This Row],[No. of Valid External Testing Defects]]),"")</f>
        <v/>
      </c>
      <c r="AG418" s="258" t="str">
        <f>IFERROR(Table7[[#This Row],[No. of Valid Internal Review Defects]]/(Table7[[#This Row],[No. of Valid Internal Review Defects]]+Table7[[#This Row],[No. of  Valid External Review Defects]]+Table7[[#This Row],[No. of Valid External Testing Defects]]),"")</f>
        <v/>
      </c>
      <c r="AH418" s="256" t="str">
        <f>IFERROR(Table7[[#This Row],[No. of Valid  Internal Testing Defects]]/Table7[[#This Row],[Overall Actual Effort for the release]],"")</f>
        <v/>
      </c>
      <c r="AI418" s="256" t="str">
        <f>IFERROR(Table7[[#This Row],[No. of Valid  Internal Testing Defects]]/Table7[[#This Row],[No. of Testcases Executed]],"")</f>
        <v/>
      </c>
      <c r="AJ418" s="259" t="str">
        <f>IFERROR(IFERROR(Table7[[#This Row],[No. of Testcases Created]]/Table7[[#This Row],[Effort for Testcase Creation]],"")*9,"")</f>
        <v/>
      </c>
      <c r="AK418" s="256" t="str">
        <f>IFERROR((Table7[[#This Row],[No. of Testcases Executed]]/Table7[[#This Row],[Effort for Testcase Execution]])*9,"")</f>
        <v/>
      </c>
      <c r="AL41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8" s="259" t="str">
        <f>IFERROR(Table7[[#This Row],[No. of Defects Validated]]/SUMIFS(Table3[Hours Worked],Table3[Release Name],Table7[[#This Row],[Release Name]],Table3[Task Type],"Defect Validation")*9,"")</f>
        <v/>
      </c>
      <c r="AN418" s="258" t="str">
        <f>IFERROR((Table7[[#This Row],[No. of Valid  Internal Testing Defects]])/(Table7[[#This Row],[No. of Valid  Internal Testing Defects]]+Table7[[#This Row],[No. of Invalid Internal Testing Defects]]),"")</f>
        <v/>
      </c>
      <c r="AO418" s="258" t="str">
        <f>IFERROR(Table7[[#This Row],[No. of Valid External Testing Defects]]/(Table7[[#This Row],[No. of Valid External Testing Defects]]+Table7[[#This Row],[No. of Valid  Internal Testing Defects]]),"")</f>
        <v/>
      </c>
    </row>
    <row r="419" spans="2:41">
      <c r="B419" s="237"/>
      <c r="C419" s="14"/>
      <c r="D419" s="14"/>
      <c r="E419" s="14"/>
      <c r="F419" s="230" t="str">
        <f>IFERROR((Table47[[#This Row],[Initial No. of Requirements]]+Table47[[#This Row],[Modified Requirements( Added / Deleted /Modified)]])/Table47[[#This Row],[Initial No. of Requirements]],"")</f>
        <v/>
      </c>
      <c r="G41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19" s="249"/>
      <c r="J419" s="249"/>
      <c r="K419" s="250"/>
      <c r="L419" s="250"/>
      <c r="M419" s="250"/>
      <c r="N419" s="248">
        <f>SUMIFS(Table1[Size],Table1[Release Name],[2]!Table7[Release Name])</f>
        <v>0</v>
      </c>
      <c r="O419" s="248"/>
      <c r="P41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19" s="248"/>
      <c r="R41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19" s="248"/>
      <c r="T419" s="248"/>
      <c r="U419" s="248"/>
      <c r="V419" s="248"/>
      <c r="W419" s="248"/>
      <c r="X419" s="248"/>
      <c r="Y419" s="248"/>
      <c r="Z419" s="248"/>
      <c r="AA419" s="248"/>
      <c r="AB419" s="13">
        <f>SUMIFS(Table3[Hours Worked],Table3[Release Name],Table7[[#This Row],[Release Name]],Table3[Task Type],"Testcase Creation")</f>
        <v>0</v>
      </c>
      <c r="AC419" s="255">
        <f>SUMIFS(Table3[Hours Worked],Table3[Release Name],Table7[[#This Row],[Release Name]],Table3[Task Type],"Testcase Execution")</f>
        <v>0</v>
      </c>
      <c r="AD41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19" s="256" t="str">
        <f>IFERROR((Table7[[#This Row],[No. of Valid Internal Review Defects]]+Table7[[#This Row],[No. of Valid  Internal Testing Defects]]+Table7[[#This Row],[No. of  Valid External Review Defects]]+Table7[[#This Row],[No. of Valid External Testing Defects]])/Table7[[#This Row],[Size]],"")</f>
        <v/>
      </c>
      <c r="AF419" s="257" t="str">
        <f>IFERROR(Table7[[#This Row],[No. of Valid Internal Review Defects]]/(Table7[[#This Row],[No. of Valid Internal Review Defects]]+Table7[[#This Row],[No. of  Valid External Review Defects]]+Table7[[#This Row],[No. of Valid  Internal Testing Defects]]+Table7[[#This Row],[No. of Valid External Testing Defects]]),"")</f>
        <v/>
      </c>
      <c r="AG419" s="258" t="str">
        <f>IFERROR(Table7[[#This Row],[No. of Valid Internal Review Defects]]/(Table7[[#This Row],[No. of Valid Internal Review Defects]]+Table7[[#This Row],[No. of  Valid External Review Defects]]+Table7[[#This Row],[No. of Valid External Testing Defects]]),"")</f>
        <v/>
      </c>
      <c r="AH419" s="256" t="str">
        <f>IFERROR(Table7[[#This Row],[No. of Valid  Internal Testing Defects]]/Table7[[#This Row],[Overall Actual Effort for the release]],"")</f>
        <v/>
      </c>
      <c r="AI419" s="256" t="str">
        <f>IFERROR(Table7[[#This Row],[No. of Valid  Internal Testing Defects]]/Table7[[#This Row],[No. of Testcases Executed]],"")</f>
        <v/>
      </c>
      <c r="AJ419" s="259" t="str">
        <f>IFERROR(IFERROR(Table7[[#This Row],[No. of Testcases Created]]/Table7[[#This Row],[Effort for Testcase Creation]],"")*9,"")</f>
        <v/>
      </c>
      <c r="AK419" s="256" t="str">
        <f>IFERROR((Table7[[#This Row],[No. of Testcases Executed]]/Table7[[#This Row],[Effort for Testcase Execution]])*9,"")</f>
        <v/>
      </c>
      <c r="AL41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19" s="259" t="str">
        <f>IFERROR(Table7[[#This Row],[No. of Defects Validated]]/SUMIFS(Table3[Hours Worked],Table3[Release Name],Table7[[#This Row],[Release Name]],Table3[Task Type],"Defect Validation")*9,"")</f>
        <v/>
      </c>
      <c r="AN419" s="258" t="str">
        <f>IFERROR((Table7[[#This Row],[No. of Valid  Internal Testing Defects]])/(Table7[[#This Row],[No. of Valid  Internal Testing Defects]]+Table7[[#This Row],[No. of Invalid Internal Testing Defects]]),"")</f>
        <v/>
      </c>
      <c r="AO419" s="258" t="str">
        <f>IFERROR(Table7[[#This Row],[No. of Valid External Testing Defects]]/(Table7[[#This Row],[No. of Valid External Testing Defects]]+Table7[[#This Row],[No. of Valid  Internal Testing Defects]]),"")</f>
        <v/>
      </c>
    </row>
    <row r="420" spans="2:41">
      <c r="B420" s="237"/>
      <c r="C420" s="14"/>
      <c r="D420" s="14"/>
      <c r="E420" s="14"/>
      <c r="F420" s="230" t="str">
        <f>IFERROR((Table47[[#This Row],[Initial No. of Requirements]]+Table47[[#This Row],[Modified Requirements( Added / Deleted /Modified)]])/Table47[[#This Row],[Initial No. of Requirements]],"")</f>
        <v/>
      </c>
      <c r="G42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0" s="249"/>
      <c r="J420" s="249"/>
      <c r="K420" s="250"/>
      <c r="L420" s="250"/>
      <c r="M420" s="250"/>
      <c r="N420" s="248">
        <f>SUMIFS(Table1[Size],Table1[Release Name],[2]!Table7[Release Name])</f>
        <v>0</v>
      </c>
      <c r="O420" s="248"/>
      <c r="P42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0" s="248"/>
      <c r="R42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0" s="248"/>
      <c r="T420" s="248"/>
      <c r="U420" s="248"/>
      <c r="V420" s="248"/>
      <c r="W420" s="248"/>
      <c r="X420" s="248"/>
      <c r="Y420" s="248"/>
      <c r="Z420" s="248"/>
      <c r="AA420" s="248"/>
      <c r="AB420" s="13">
        <f>SUMIFS(Table3[Hours Worked],Table3[Release Name],Table7[[#This Row],[Release Name]],Table3[Task Type],"Testcase Creation")</f>
        <v>0</v>
      </c>
      <c r="AC420" s="255">
        <f>SUMIFS(Table3[Hours Worked],Table3[Release Name],Table7[[#This Row],[Release Name]],Table3[Task Type],"Testcase Execution")</f>
        <v>0</v>
      </c>
      <c r="AD42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0" s="256" t="str">
        <f>IFERROR((Table7[[#This Row],[No. of Valid Internal Review Defects]]+Table7[[#This Row],[No. of Valid  Internal Testing Defects]]+Table7[[#This Row],[No. of  Valid External Review Defects]]+Table7[[#This Row],[No. of Valid External Testing Defects]])/Table7[[#This Row],[Size]],"")</f>
        <v/>
      </c>
      <c r="AF420" s="257" t="str">
        <f>IFERROR(Table7[[#This Row],[No. of Valid Internal Review Defects]]/(Table7[[#This Row],[No. of Valid Internal Review Defects]]+Table7[[#This Row],[No. of  Valid External Review Defects]]+Table7[[#This Row],[No. of Valid  Internal Testing Defects]]+Table7[[#This Row],[No. of Valid External Testing Defects]]),"")</f>
        <v/>
      </c>
      <c r="AG420" s="258" t="str">
        <f>IFERROR(Table7[[#This Row],[No. of Valid Internal Review Defects]]/(Table7[[#This Row],[No. of Valid Internal Review Defects]]+Table7[[#This Row],[No. of  Valid External Review Defects]]+Table7[[#This Row],[No. of Valid External Testing Defects]]),"")</f>
        <v/>
      </c>
      <c r="AH420" s="256" t="str">
        <f>IFERROR(Table7[[#This Row],[No. of Valid  Internal Testing Defects]]/Table7[[#This Row],[Overall Actual Effort for the release]],"")</f>
        <v/>
      </c>
      <c r="AI420" s="256" t="str">
        <f>IFERROR(Table7[[#This Row],[No. of Valid  Internal Testing Defects]]/Table7[[#This Row],[No. of Testcases Executed]],"")</f>
        <v/>
      </c>
      <c r="AJ420" s="259" t="str">
        <f>IFERROR(IFERROR(Table7[[#This Row],[No. of Testcases Created]]/Table7[[#This Row],[Effort for Testcase Creation]],"")*9,"")</f>
        <v/>
      </c>
      <c r="AK420" s="256" t="str">
        <f>IFERROR((Table7[[#This Row],[No. of Testcases Executed]]/Table7[[#This Row],[Effort for Testcase Execution]])*9,"")</f>
        <v/>
      </c>
      <c r="AL42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0" s="259" t="str">
        <f>IFERROR(Table7[[#This Row],[No. of Defects Validated]]/SUMIFS(Table3[Hours Worked],Table3[Release Name],Table7[[#This Row],[Release Name]],Table3[Task Type],"Defect Validation")*9,"")</f>
        <v/>
      </c>
      <c r="AN420" s="258" t="str">
        <f>IFERROR((Table7[[#This Row],[No. of Valid  Internal Testing Defects]])/(Table7[[#This Row],[No. of Valid  Internal Testing Defects]]+Table7[[#This Row],[No. of Invalid Internal Testing Defects]]),"")</f>
        <v/>
      </c>
      <c r="AO420" s="258" t="str">
        <f>IFERROR(Table7[[#This Row],[No. of Valid External Testing Defects]]/(Table7[[#This Row],[No. of Valid External Testing Defects]]+Table7[[#This Row],[No. of Valid  Internal Testing Defects]]),"")</f>
        <v/>
      </c>
    </row>
    <row r="421" spans="2:41">
      <c r="B421" s="237"/>
      <c r="C421" s="14"/>
      <c r="D421" s="14"/>
      <c r="E421" s="14"/>
      <c r="F421" s="230" t="str">
        <f>IFERROR((Table47[[#This Row],[Initial No. of Requirements]]+Table47[[#This Row],[Modified Requirements( Added / Deleted /Modified)]])/Table47[[#This Row],[Initial No. of Requirements]],"")</f>
        <v/>
      </c>
      <c r="G42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1" s="249"/>
      <c r="J421" s="249"/>
      <c r="K421" s="250"/>
      <c r="L421" s="250"/>
      <c r="M421" s="250"/>
      <c r="N421" s="248">
        <f>SUMIFS(Table1[Size],Table1[Release Name],[2]!Table7[Release Name])</f>
        <v>0</v>
      </c>
      <c r="O421" s="248"/>
      <c r="P42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1" s="248"/>
      <c r="R42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1" s="248"/>
      <c r="T421" s="248"/>
      <c r="U421" s="248"/>
      <c r="V421" s="248"/>
      <c r="W421" s="248"/>
      <c r="X421" s="248"/>
      <c r="Y421" s="248"/>
      <c r="Z421" s="248"/>
      <c r="AA421" s="248"/>
      <c r="AB421" s="13">
        <f>SUMIFS(Table3[Hours Worked],Table3[Release Name],Table7[[#This Row],[Release Name]],Table3[Task Type],"Testcase Creation")</f>
        <v>0</v>
      </c>
      <c r="AC421" s="255">
        <f>SUMIFS(Table3[Hours Worked],Table3[Release Name],Table7[[#This Row],[Release Name]],Table3[Task Type],"Testcase Execution")</f>
        <v>0</v>
      </c>
      <c r="AD42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1" s="256" t="str">
        <f>IFERROR((Table7[[#This Row],[No. of Valid Internal Review Defects]]+Table7[[#This Row],[No. of Valid  Internal Testing Defects]]+Table7[[#This Row],[No. of  Valid External Review Defects]]+Table7[[#This Row],[No. of Valid External Testing Defects]])/Table7[[#This Row],[Size]],"")</f>
        <v/>
      </c>
      <c r="AF421" s="257" t="str">
        <f>IFERROR(Table7[[#This Row],[No. of Valid Internal Review Defects]]/(Table7[[#This Row],[No. of Valid Internal Review Defects]]+Table7[[#This Row],[No. of  Valid External Review Defects]]+Table7[[#This Row],[No. of Valid  Internal Testing Defects]]+Table7[[#This Row],[No. of Valid External Testing Defects]]),"")</f>
        <v/>
      </c>
      <c r="AG421" s="258" t="str">
        <f>IFERROR(Table7[[#This Row],[No. of Valid Internal Review Defects]]/(Table7[[#This Row],[No. of Valid Internal Review Defects]]+Table7[[#This Row],[No. of  Valid External Review Defects]]+Table7[[#This Row],[No. of Valid External Testing Defects]]),"")</f>
        <v/>
      </c>
      <c r="AH421" s="256" t="str">
        <f>IFERROR(Table7[[#This Row],[No. of Valid  Internal Testing Defects]]/Table7[[#This Row],[Overall Actual Effort for the release]],"")</f>
        <v/>
      </c>
      <c r="AI421" s="256" t="str">
        <f>IFERROR(Table7[[#This Row],[No. of Valid  Internal Testing Defects]]/Table7[[#This Row],[No. of Testcases Executed]],"")</f>
        <v/>
      </c>
      <c r="AJ421" s="259" t="str">
        <f>IFERROR(IFERROR(Table7[[#This Row],[No. of Testcases Created]]/Table7[[#This Row],[Effort for Testcase Creation]],"")*9,"")</f>
        <v/>
      </c>
      <c r="AK421" s="256" t="str">
        <f>IFERROR((Table7[[#This Row],[No. of Testcases Executed]]/Table7[[#This Row],[Effort for Testcase Execution]])*9,"")</f>
        <v/>
      </c>
      <c r="AL42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1" s="259" t="str">
        <f>IFERROR(Table7[[#This Row],[No. of Defects Validated]]/SUMIFS(Table3[Hours Worked],Table3[Release Name],Table7[[#This Row],[Release Name]],Table3[Task Type],"Defect Validation")*9,"")</f>
        <v/>
      </c>
      <c r="AN421" s="258" t="str">
        <f>IFERROR((Table7[[#This Row],[No. of Valid  Internal Testing Defects]])/(Table7[[#This Row],[No. of Valid  Internal Testing Defects]]+Table7[[#This Row],[No. of Invalid Internal Testing Defects]]),"")</f>
        <v/>
      </c>
      <c r="AO421" s="258" t="str">
        <f>IFERROR(Table7[[#This Row],[No. of Valid External Testing Defects]]/(Table7[[#This Row],[No. of Valid External Testing Defects]]+Table7[[#This Row],[No. of Valid  Internal Testing Defects]]),"")</f>
        <v/>
      </c>
    </row>
    <row r="422" spans="2:41">
      <c r="B422" s="237"/>
      <c r="C422" s="14"/>
      <c r="D422" s="14"/>
      <c r="E422" s="14"/>
      <c r="F422" s="230" t="str">
        <f>IFERROR((Table47[[#This Row],[Initial No. of Requirements]]+Table47[[#This Row],[Modified Requirements( Added / Deleted /Modified)]])/Table47[[#This Row],[Initial No. of Requirements]],"")</f>
        <v/>
      </c>
      <c r="G42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2" s="249"/>
      <c r="J422" s="249"/>
      <c r="K422" s="250"/>
      <c r="L422" s="250"/>
      <c r="M422" s="250"/>
      <c r="N422" s="248">
        <f>SUMIFS(Table1[Size],Table1[Release Name],[2]!Table7[Release Name])</f>
        <v>0</v>
      </c>
      <c r="O422" s="248"/>
      <c r="P42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2" s="248"/>
      <c r="R42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2" s="248"/>
      <c r="T422" s="248"/>
      <c r="U422" s="248"/>
      <c r="V422" s="248"/>
      <c r="W422" s="248"/>
      <c r="X422" s="248"/>
      <c r="Y422" s="248"/>
      <c r="Z422" s="248"/>
      <c r="AA422" s="248"/>
      <c r="AB422" s="13">
        <f>SUMIFS(Table3[Hours Worked],Table3[Release Name],Table7[[#This Row],[Release Name]],Table3[Task Type],"Testcase Creation")</f>
        <v>0</v>
      </c>
      <c r="AC422" s="255">
        <f>SUMIFS(Table3[Hours Worked],Table3[Release Name],Table7[[#This Row],[Release Name]],Table3[Task Type],"Testcase Execution")</f>
        <v>0</v>
      </c>
      <c r="AD42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2" s="256" t="str">
        <f>IFERROR((Table7[[#This Row],[No. of Valid Internal Review Defects]]+Table7[[#This Row],[No. of Valid  Internal Testing Defects]]+Table7[[#This Row],[No. of  Valid External Review Defects]]+Table7[[#This Row],[No. of Valid External Testing Defects]])/Table7[[#This Row],[Size]],"")</f>
        <v/>
      </c>
      <c r="AF422" s="257" t="str">
        <f>IFERROR(Table7[[#This Row],[No. of Valid Internal Review Defects]]/(Table7[[#This Row],[No. of Valid Internal Review Defects]]+Table7[[#This Row],[No. of  Valid External Review Defects]]+Table7[[#This Row],[No. of Valid  Internal Testing Defects]]+Table7[[#This Row],[No. of Valid External Testing Defects]]),"")</f>
        <v/>
      </c>
      <c r="AG422" s="258" t="str">
        <f>IFERROR(Table7[[#This Row],[No. of Valid Internal Review Defects]]/(Table7[[#This Row],[No. of Valid Internal Review Defects]]+Table7[[#This Row],[No. of  Valid External Review Defects]]+Table7[[#This Row],[No. of Valid External Testing Defects]]),"")</f>
        <v/>
      </c>
      <c r="AH422" s="256" t="str">
        <f>IFERROR(Table7[[#This Row],[No. of Valid  Internal Testing Defects]]/Table7[[#This Row],[Overall Actual Effort for the release]],"")</f>
        <v/>
      </c>
      <c r="AI422" s="256" t="str">
        <f>IFERROR(Table7[[#This Row],[No. of Valid  Internal Testing Defects]]/Table7[[#This Row],[No. of Testcases Executed]],"")</f>
        <v/>
      </c>
      <c r="AJ422" s="259" t="str">
        <f>IFERROR(IFERROR(Table7[[#This Row],[No. of Testcases Created]]/Table7[[#This Row],[Effort for Testcase Creation]],"")*9,"")</f>
        <v/>
      </c>
      <c r="AK422" s="256" t="str">
        <f>IFERROR((Table7[[#This Row],[No. of Testcases Executed]]/Table7[[#This Row],[Effort for Testcase Execution]])*9,"")</f>
        <v/>
      </c>
      <c r="AL42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2" s="259" t="str">
        <f>IFERROR(Table7[[#This Row],[No. of Defects Validated]]/SUMIFS(Table3[Hours Worked],Table3[Release Name],Table7[[#This Row],[Release Name]],Table3[Task Type],"Defect Validation")*9,"")</f>
        <v/>
      </c>
      <c r="AN422" s="258" t="str">
        <f>IFERROR((Table7[[#This Row],[No. of Valid  Internal Testing Defects]])/(Table7[[#This Row],[No. of Valid  Internal Testing Defects]]+Table7[[#This Row],[No. of Invalid Internal Testing Defects]]),"")</f>
        <v/>
      </c>
      <c r="AO422" s="258" t="str">
        <f>IFERROR(Table7[[#This Row],[No. of Valid External Testing Defects]]/(Table7[[#This Row],[No. of Valid External Testing Defects]]+Table7[[#This Row],[No. of Valid  Internal Testing Defects]]),"")</f>
        <v/>
      </c>
    </row>
    <row r="423" spans="2:41">
      <c r="B423" s="237"/>
      <c r="C423" s="14"/>
      <c r="D423" s="14"/>
      <c r="E423" s="14"/>
      <c r="F423" s="230" t="str">
        <f>IFERROR((Table47[[#This Row],[Initial No. of Requirements]]+Table47[[#This Row],[Modified Requirements( Added / Deleted /Modified)]])/Table47[[#This Row],[Initial No. of Requirements]],"")</f>
        <v/>
      </c>
      <c r="G42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3" s="249"/>
      <c r="J423" s="249"/>
      <c r="K423" s="250"/>
      <c r="L423" s="250"/>
      <c r="M423" s="250"/>
      <c r="N423" s="248">
        <f>SUMIFS(Table1[Size],Table1[Release Name],[2]!Table7[Release Name])</f>
        <v>0</v>
      </c>
      <c r="O423" s="248"/>
      <c r="P42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3" s="248"/>
      <c r="R42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3" s="248"/>
      <c r="T423" s="248"/>
      <c r="U423" s="248"/>
      <c r="V423" s="248"/>
      <c r="W423" s="248"/>
      <c r="X423" s="248"/>
      <c r="Y423" s="248"/>
      <c r="Z423" s="248"/>
      <c r="AA423" s="248"/>
      <c r="AB423" s="13">
        <f>SUMIFS(Table3[Hours Worked],Table3[Release Name],Table7[[#This Row],[Release Name]],Table3[Task Type],"Testcase Creation")</f>
        <v>0</v>
      </c>
      <c r="AC423" s="255">
        <f>SUMIFS(Table3[Hours Worked],Table3[Release Name],Table7[[#This Row],[Release Name]],Table3[Task Type],"Testcase Execution")</f>
        <v>0</v>
      </c>
      <c r="AD42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3" s="256" t="str">
        <f>IFERROR((Table7[[#This Row],[No. of Valid Internal Review Defects]]+Table7[[#This Row],[No. of Valid  Internal Testing Defects]]+Table7[[#This Row],[No. of  Valid External Review Defects]]+Table7[[#This Row],[No. of Valid External Testing Defects]])/Table7[[#This Row],[Size]],"")</f>
        <v/>
      </c>
      <c r="AF423" s="257" t="str">
        <f>IFERROR(Table7[[#This Row],[No. of Valid Internal Review Defects]]/(Table7[[#This Row],[No. of Valid Internal Review Defects]]+Table7[[#This Row],[No. of  Valid External Review Defects]]+Table7[[#This Row],[No. of Valid  Internal Testing Defects]]+Table7[[#This Row],[No. of Valid External Testing Defects]]),"")</f>
        <v/>
      </c>
      <c r="AG423" s="258" t="str">
        <f>IFERROR(Table7[[#This Row],[No. of Valid Internal Review Defects]]/(Table7[[#This Row],[No. of Valid Internal Review Defects]]+Table7[[#This Row],[No. of  Valid External Review Defects]]+Table7[[#This Row],[No. of Valid External Testing Defects]]),"")</f>
        <v/>
      </c>
      <c r="AH423" s="256" t="str">
        <f>IFERROR(Table7[[#This Row],[No. of Valid  Internal Testing Defects]]/Table7[[#This Row],[Overall Actual Effort for the release]],"")</f>
        <v/>
      </c>
      <c r="AI423" s="256" t="str">
        <f>IFERROR(Table7[[#This Row],[No. of Valid  Internal Testing Defects]]/Table7[[#This Row],[No. of Testcases Executed]],"")</f>
        <v/>
      </c>
      <c r="AJ423" s="259" t="str">
        <f>IFERROR(IFERROR(Table7[[#This Row],[No. of Testcases Created]]/Table7[[#This Row],[Effort for Testcase Creation]],"")*9,"")</f>
        <v/>
      </c>
      <c r="AK423" s="256" t="str">
        <f>IFERROR((Table7[[#This Row],[No. of Testcases Executed]]/Table7[[#This Row],[Effort for Testcase Execution]])*9,"")</f>
        <v/>
      </c>
      <c r="AL42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3" s="259" t="str">
        <f>IFERROR(Table7[[#This Row],[No. of Defects Validated]]/SUMIFS(Table3[Hours Worked],Table3[Release Name],Table7[[#This Row],[Release Name]],Table3[Task Type],"Defect Validation")*9,"")</f>
        <v/>
      </c>
      <c r="AN423" s="258" t="str">
        <f>IFERROR((Table7[[#This Row],[No. of Valid  Internal Testing Defects]])/(Table7[[#This Row],[No. of Valid  Internal Testing Defects]]+Table7[[#This Row],[No. of Invalid Internal Testing Defects]]),"")</f>
        <v/>
      </c>
      <c r="AO423" s="258" t="str">
        <f>IFERROR(Table7[[#This Row],[No. of Valid External Testing Defects]]/(Table7[[#This Row],[No. of Valid External Testing Defects]]+Table7[[#This Row],[No. of Valid  Internal Testing Defects]]),"")</f>
        <v/>
      </c>
    </row>
    <row r="424" spans="2:41">
      <c r="B424" s="237"/>
      <c r="C424" s="14"/>
      <c r="D424" s="14"/>
      <c r="E424" s="14"/>
      <c r="F424" s="230" t="str">
        <f>IFERROR((Table47[[#This Row],[Initial No. of Requirements]]+Table47[[#This Row],[Modified Requirements( Added / Deleted /Modified)]])/Table47[[#This Row],[Initial No. of Requirements]],"")</f>
        <v/>
      </c>
      <c r="G42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4" s="249"/>
      <c r="J424" s="249"/>
      <c r="K424" s="250"/>
      <c r="L424" s="250"/>
      <c r="M424" s="250"/>
      <c r="N424" s="248">
        <f>SUMIFS(Table1[Size],Table1[Release Name],[2]!Table7[Release Name])</f>
        <v>0</v>
      </c>
      <c r="O424" s="248"/>
      <c r="P42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4" s="248"/>
      <c r="R42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4" s="248"/>
      <c r="T424" s="248"/>
      <c r="U424" s="248"/>
      <c r="V424" s="248"/>
      <c r="W424" s="248"/>
      <c r="X424" s="248"/>
      <c r="Y424" s="248"/>
      <c r="Z424" s="248"/>
      <c r="AA424" s="248"/>
      <c r="AB424" s="13">
        <f>SUMIFS(Table3[Hours Worked],Table3[Release Name],Table7[[#This Row],[Release Name]],Table3[Task Type],"Testcase Creation")</f>
        <v>0</v>
      </c>
      <c r="AC424" s="255">
        <f>SUMIFS(Table3[Hours Worked],Table3[Release Name],Table7[[#This Row],[Release Name]],Table3[Task Type],"Testcase Execution")</f>
        <v>0</v>
      </c>
      <c r="AD42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4" s="256" t="str">
        <f>IFERROR((Table7[[#This Row],[No. of Valid Internal Review Defects]]+Table7[[#This Row],[No. of Valid  Internal Testing Defects]]+Table7[[#This Row],[No. of  Valid External Review Defects]]+Table7[[#This Row],[No. of Valid External Testing Defects]])/Table7[[#This Row],[Size]],"")</f>
        <v/>
      </c>
      <c r="AF424" s="257" t="str">
        <f>IFERROR(Table7[[#This Row],[No. of Valid Internal Review Defects]]/(Table7[[#This Row],[No. of Valid Internal Review Defects]]+Table7[[#This Row],[No. of  Valid External Review Defects]]+Table7[[#This Row],[No. of Valid  Internal Testing Defects]]+Table7[[#This Row],[No. of Valid External Testing Defects]]),"")</f>
        <v/>
      </c>
      <c r="AG424" s="258" t="str">
        <f>IFERROR(Table7[[#This Row],[No. of Valid Internal Review Defects]]/(Table7[[#This Row],[No. of Valid Internal Review Defects]]+Table7[[#This Row],[No. of  Valid External Review Defects]]+Table7[[#This Row],[No. of Valid External Testing Defects]]),"")</f>
        <v/>
      </c>
      <c r="AH424" s="256" t="str">
        <f>IFERROR(Table7[[#This Row],[No. of Valid  Internal Testing Defects]]/Table7[[#This Row],[Overall Actual Effort for the release]],"")</f>
        <v/>
      </c>
      <c r="AI424" s="256" t="str">
        <f>IFERROR(Table7[[#This Row],[No. of Valid  Internal Testing Defects]]/Table7[[#This Row],[No. of Testcases Executed]],"")</f>
        <v/>
      </c>
      <c r="AJ424" s="259" t="str">
        <f>IFERROR(IFERROR(Table7[[#This Row],[No. of Testcases Created]]/Table7[[#This Row],[Effort for Testcase Creation]],"")*9,"")</f>
        <v/>
      </c>
      <c r="AK424" s="256" t="str">
        <f>IFERROR((Table7[[#This Row],[No. of Testcases Executed]]/Table7[[#This Row],[Effort for Testcase Execution]])*9,"")</f>
        <v/>
      </c>
      <c r="AL42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4" s="259" t="str">
        <f>IFERROR(Table7[[#This Row],[No. of Defects Validated]]/SUMIFS(Table3[Hours Worked],Table3[Release Name],Table7[[#This Row],[Release Name]],Table3[Task Type],"Defect Validation")*9,"")</f>
        <v/>
      </c>
      <c r="AN424" s="258" t="str">
        <f>IFERROR((Table7[[#This Row],[No. of Valid  Internal Testing Defects]])/(Table7[[#This Row],[No. of Valid  Internal Testing Defects]]+Table7[[#This Row],[No. of Invalid Internal Testing Defects]]),"")</f>
        <v/>
      </c>
      <c r="AO424" s="258" t="str">
        <f>IFERROR(Table7[[#This Row],[No. of Valid External Testing Defects]]/(Table7[[#This Row],[No. of Valid External Testing Defects]]+Table7[[#This Row],[No. of Valid  Internal Testing Defects]]),"")</f>
        <v/>
      </c>
    </row>
    <row r="425" spans="2:41">
      <c r="B425" s="237"/>
      <c r="C425" s="14"/>
      <c r="D425" s="14"/>
      <c r="E425" s="14"/>
      <c r="F425" s="230" t="str">
        <f>IFERROR((Table47[[#This Row],[Initial No. of Requirements]]+Table47[[#This Row],[Modified Requirements( Added / Deleted /Modified)]])/Table47[[#This Row],[Initial No. of Requirements]],"")</f>
        <v/>
      </c>
      <c r="G42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5" s="249"/>
      <c r="J425" s="249"/>
      <c r="K425" s="250"/>
      <c r="L425" s="250"/>
      <c r="M425" s="250"/>
      <c r="N425" s="248">
        <f>SUMIFS(Table1[Size],Table1[Release Name],[2]!Table7[Release Name])</f>
        <v>0</v>
      </c>
      <c r="O425" s="248"/>
      <c r="P42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5" s="248"/>
      <c r="R42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5" s="248"/>
      <c r="T425" s="248"/>
      <c r="U425" s="248"/>
      <c r="V425" s="248"/>
      <c r="W425" s="248"/>
      <c r="X425" s="248"/>
      <c r="Y425" s="248"/>
      <c r="Z425" s="248"/>
      <c r="AA425" s="248"/>
      <c r="AB425" s="13">
        <f>SUMIFS(Table3[Hours Worked],Table3[Release Name],Table7[[#This Row],[Release Name]],Table3[Task Type],"Testcase Creation")</f>
        <v>0</v>
      </c>
      <c r="AC425" s="255">
        <f>SUMIFS(Table3[Hours Worked],Table3[Release Name],Table7[[#This Row],[Release Name]],Table3[Task Type],"Testcase Execution")</f>
        <v>0</v>
      </c>
      <c r="AD42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5" s="256" t="str">
        <f>IFERROR((Table7[[#This Row],[No. of Valid Internal Review Defects]]+Table7[[#This Row],[No. of Valid  Internal Testing Defects]]+Table7[[#This Row],[No. of  Valid External Review Defects]]+Table7[[#This Row],[No. of Valid External Testing Defects]])/Table7[[#This Row],[Size]],"")</f>
        <v/>
      </c>
      <c r="AF425" s="257" t="str">
        <f>IFERROR(Table7[[#This Row],[No. of Valid Internal Review Defects]]/(Table7[[#This Row],[No. of Valid Internal Review Defects]]+Table7[[#This Row],[No. of  Valid External Review Defects]]+Table7[[#This Row],[No. of Valid  Internal Testing Defects]]+Table7[[#This Row],[No. of Valid External Testing Defects]]),"")</f>
        <v/>
      </c>
      <c r="AG425" s="258" t="str">
        <f>IFERROR(Table7[[#This Row],[No. of Valid Internal Review Defects]]/(Table7[[#This Row],[No. of Valid Internal Review Defects]]+Table7[[#This Row],[No. of  Valid External Review Defects]]+Table7[[#This Row],[No. of Valid External Testing Defects]]),"")</f>
        <v/>
      </c>
      <c r="AH425" s="256" t="str">
        <f>IFERROR(Table7[[#This Row],[No. of Valid  Internal Testing Defects]]/Table7[[#This Row],[Overall Actual Effort for the release]],"")</f>
        <v/>
      </c>
      <c r="AI425" s="256" t="str">
        <f>IFERROR(Table7[[#This Row],[No. of Valid  Internal Testing Defects]]/Table7[[#This Row],[No. of Testcases Executed]],"")</f>
        <v/>
      </c>
      <c r="AJ425" s="259" t="str">
        <f>IFERROR(IFERROR(Table7[[#This Row],[No. of Testcases Created]]/Table7[[#This Row],[Effort for Testcase Creation]],"")*9,"")</f>
        <v/>
      </c>
      <c r="AK425" s="256" t="str">
        <f>IFERROR((Table7[[#This Row],[No. of Testcases Executed]]/Table7[[#This Row],[Effort for Testcase Execution]])*9,"")</f>
        <v/>
      </c>
      <c r="AL42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5" s="259" t="str">
        <f>IFERROR(Table7[[#This Row],[No. of Defects Validated]]/SUMIFS(Table3[Hours Worked],Table3[Release Name],Table7[[#This Row],[Release Name]],Table3[Task Type],"Defect Validation")*9,"")</f>
        <v/>
      </c>
      <c r="AN425" s="258" t="str">
        <f>IFERROR((Table7[[#This Row],[No. of Valid  Internal Testing Defects]])/(Table7[[#This Row],[No. of Valid  Internal Testing Defects]]+Table7[[#This Row],[No. of Invalid Internal Testing Defects]]),"")</f>
        <v/>
      </c>
      <c r="AO425" s="258" t="str">
        <f>IFERROR(Table7[[#This Row],[No. of Valid External Testing Defects]]/(Table7[[#This Row],[No. of Valid External Testing Defects]]+Table7[[#This Row],[No. of Valid  Internal Testing Defects]]),"")</f>
        <v/>
      </c>
    </row>
    <row r="426" spans="2:41">
      <c r="B426" s="237"/>
      <c r="C426" s="14"/>
      <c r="D426" s="14"/>
      <c r="E426" s="14"/>
      <c r="F426" s="230" t="str">
        <f>IFERROR((Table47[[#This Row],[Initial No. of Requirements]]+Table47[[#This Row],[Modified Requirements( Added / Deleted /Modified)]])/Table47[[#This Row],[Initial No. of Requirements]],"")</f>
        <v/>
      </c>
      <c r="G42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6" s="249"/>
      <c r="J426" s="249"/>
      <c r="K426" s="250"/>
      <c r="L426" s="250"/>
      <c r="M426" s="250"/>
      <c r="N426" s="248">
        <f>SUMIFS(Table1[Size],Table1[Release Name],[2]!Table7[Release Name])</f>
        <v>0</v>
      </c>
      <c r="O426" s="248"/>
      <c r="P42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6" s="248"/>
      <c r="R42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6" s="248"/>
      <c r="T426" s="248"/>
      <c r="U426" s="248"/>
      <c r="V426" s="248"/>
      <c r="W426" s="248"/>
      <c r="X426" s="248"/>
      <c r="Y426" s="248"/>
      <c r="Z426" s="248"/>
      <c r="AA426" s="248"/>
      <c r="AB426" s="13">
        <f>SUMIFS(Table3[Hours Worked],Table3[Release Name],Table7[[#This Row],[Release Name]],Table3[Task Type],"Testcase Creation")</f>
        <v>0</v>
      </c>
      <c r="AC426" s="255">
        <f>SUMIFS(Table3[Hours Worked],Table3[Release Name],Table7[[#This Row],[Release Name]],Table3[Task Type],"Testcase Execution")</f>
        <v>0</v>
      </c>
      <c r="AD42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6" s="256" t="str">
        <f>IFERROR((Table7[[#This Row],[No. of Valid Internal Review Defects]]+Table7[[#This Row],[No. of Valid  Internal Testing Defects]]+Table7[[#This Row],[No. of  Valid External Review Defects]]+Table7[[#This Row],[No. of Valid External Testing Defects]])/Table7[[#This Row],[Size]],"")</f>
        <v/>
      </c>
      <c r="AF426" s="257" t="str">
        <f>IFERROR(Table7[[#This Row],[No. of Valid Internal Review Defects]]/(Table7[[#This Row],[No. of Valid Internal Review Defects]]+Table7[[#This Row],[No. of  Valid External Review Defects]]+Table7[[#This Row],[No. of Valid  Internal Testing Defects]]+Table7[[#This Row],[No. of Valid External Testing Defects]]),"")</f>
        <v/>
      </c>
      <c r="AG426" s="258" t="str">
        <f>IFERROR(Table7[[#This Row],[No. of Valid Internal Review Defects]]/(Table7[[#This Row],[No. of Valid Internal Review Defects]]+Table7[[#This Row],[No. of  Valid External Review Defects]]+Table7[[#This Row],[No. of Valid External Testing Defects]]),"")</f>
        <v/>
      </c>
      <c r="AH426" s="256" t="str">
        <f>IFERROR(Table7[[#This Row],[No. of Valid  Internal Testing Defects]]/Table7[[#This Row],[Overall Actual Effort for the release]],"")</f>
        <v/>
      </c>
      <c r="AI426" s="256" t="str">
        <f>IFERROR(Table7[[#This Row],[No. of Valid  Internal Testing Defects]]/Table7[[#This Row],[No. of Testcases Executed]],"")</f>
        <v/>
      </c>
      <c r="AJ426" s="259" t="str">
        <f>IFERROR(IFERROR(Table7[[#This Row],[No. of Testcases Created]]/Table7[[#This Row],[Effort for Testcase Creation]],"")*9,"")</f>
        <v/>
      </c>
      <c r="AK426" s="256" t="str">
        <f>IFERROR((Table7[[#This Row],[No. of Testcases Executed]]/Table7[[#This Row],[Effort for Testcase Execution]])*9,"")</f>
        <v/>
      </c>
      <c r="AL42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6" s="259" t="str">
        <f>IFERROR(Table7[[#This Row],[No. of Defects Validated]]/SUMIFS(Table3[Hours Worked],Table3[Release Name],Table7[[#This Row],[Release Name]],Table3[Task Type],"Defect Validation")*9,"")</f>
        <v/>
      </c>
      <c r="AN426" s="258" t="str">
        <f>IFERROR((Table7[[#This Row],[No. of Valid  Internal Testing Defects]])/(Table7[[#This Row],[No. of Valid  Internal Testing Defects]]+Table7[[#This Row],[No. of Invalid Internal Testing Defects]]),"")</f>
        <v/>
      </c>
      <c r="AO426" s="258" t="str">
        <f>IFERROR(Table7[[#This Row],[No. of Valid External Testing Defects]]/(Table7[[#This Row],[No. of Valid External Testing Defects]]+Table7[[#This Row],[No. of Valid  Internal Testing Defects]]),"")</f>
        <v/>
      </c>
    </row>
    <row r="427" spans="2:41">
      <c r="B427" s="237"/>
      <c r="C427" s="14"/>
      <c r="D427" s="14"/>
      <c r="E427" s="14"/>
      <c r="F427" s="230" t="str">
        <f>IFERROR((Table47[[#This Row],[Initial No. of Requirements]]+Table47[[#This Row],[Modified Requirements( Added / Deleted /Modified)]])/Table47[[#This Row],[Initial No. of Requirements]],"")</f>
        <v/>
      </c>
      <c r="G42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7" s="249"/>
      <c r="J427" s="249"/>
      <c r="K427" s="250"/>
      <c r="L427" s="250"/>
      <c r="M427" s="250"/>
      <c r="N427" s="248">
        <f>SUMIFS(Table1[Size],Table1[Release Name],[2]!Table7[Release Name])</f>
        <v>0</v>
      </c>
      <c r="O427" s="248"/>
      <c r="P42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7" s="248"/>
      <c r="R42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7" s="248"/>
      <c r="T427" s="248"/>
      <c r="U427" s="248"/>
      <c r="V427" s="248"/>
      <c r="W427" s="248"/>
      <c r="X427" s="248"/>
      <c r="Y427" s="248"/>
      <c r="Z427" s="248"/>
      <c r="AA427" s="248"/>
      <c r="AB427" s="13">
        <f>SUMIFS(Table3[Hours Worked],Table3[Release Name],Table7[[#This Row],[Release Name]],Table3[Task Type],"Testcase Creation")</f>
        <v>0</v>
      </c>
      <c r="AC427" s="255">
        <f>SUMIFS(Table3[Hours Worked],Table3[Release Name],Table7[[#This Row],[Release Name]],Table3[Task Type],"Testcase Execution")</f>
        <v>0</v>
      </c>
      <c r="AD42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7" s="256" t="str">
        <f>IFERROR((Table7[[#This Row],[No. of Valid Internal Review Defects]]+Table7[[#This Row],[No. of Valid  Internal Testing Defects]]+Table7[[#This Row],[No. of  Valid External Review Defects]]+Table7[[#This Row],[No. of Valid External Testing Defects]])/Table7[[#This Row],[Size]],"")</f>
        <v/>
      </c>
      <c r="AF427" s="257" t="str">
        <f>IFERROR(Table7[[#This Row],[No. of Valid Internal Review Defects]]/(Table7[[#This Row],[No. of Valid Internal Review Defects]]+Table7[[#This Row],[No. of  Valid External Review Defects]]+Table7[[#This Row],[No. of Valid  Internal Testing Defects]]+Table7[[#This Row],[No. of Valid External Testing Defects]]),"")</f>
        <v/>
      </c>
      <c r="AG427" s="258" t="str">
        <f>IFERROR(Table7[[#This Row],[No. of Valid Internal Review Defects]]/(Table7[[#This Row],[No. of Valid Internal Review Defects]]+Table7[[#This Row],[No. of  Valid External Review Defects]]+Table7[[#This Row],[No. of Valid External Testing Defects]]),"")</f>
        <v/>
      </c>
      <c r="AH427" s="256" t="str">
        <f>IFERROR(Table7[[#This Row],[No. of Valid  Internal Testing Defects]]/Table7[[#This Row],[Overall Actual Effort for the release]],"")</f>
        <v/>
      </c>
      <c r="AI427" s="256" t="str">
        <f>IFERROR(Table7[[#This Row],[No. of Valid  Internal Testing Defects]]/Table7[[#This Row],[No. of Testcases Executed]],"")</f>
        <v/>
      </c>
      <c r="AJ427" s="259" t="str">
        <f>IFERROR(IFERROR(Table7[[#This Row],[No. of Testcases Created]]/Table7[[#This Row],[Effort for Testcase Creation]],"")*9,"")</f>
        <v/>
      </c>
      <c r="AK427" s="256" t="str">
        <f>IFERROR((Table7[[#This Row],[No. of Testcases Executed]]/Table7[[#This Row],[Effort for Testcase Execution]])*9,"")</f>
        <v/>
      </c>
      <c r="AL42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7" s="259" t="str">
        <f>IFERROR(Table7[[#This Row],[No. of Defects Validated]]/SUMIFS(Table3[Hours Worked],Table3[Release Name],Table7[[#This Row],[Release Name]],Table3[Task Type],"Defect Validation")*9,"")</f>
        <v/>
      </c>
      <c r="AN427" s="258" t="str">
        <f>IFERROR((Table7[[#This Row],[No. of Valid  Internal Testing Defects]])/(Table7[[#This Row],[No. of Valid  Internal Testing Defects]]+Table7[[#This Row],[No. of Invalid Internal Testing Defects]]),"")</f>
        <v/>
      </c>
      <c r="AO427" s="258" t="str">
        <f>IFERROR(Table7[[#This Row],[No. of Valid External Testing Defects]]/(Table7[[#This Row],[No. of Valid External Testing Defects]]+Table7[[#This Row],[No. of Valid  Internal Testing Defects]]),"")</f>
        <v/>
      </c>
    </row>
    <row r="428" spans="2:41">
      <c r="B428" s="237"/>
      <c r="C428" s="14"/>
      <c r="D428" s="14"/>
      <c r="E428" s="14"/>
      <c r="F428" s="230" t="str">
        <f>IFERROR((Table47[[#This Row],[Initial No. of Requirements]]+Table47[[#This Row],[Modified Requirements( Added / Deleted /Modified)]])/Table47[[#This Row],[Initial No. of Requirements]],"")</f>
        <v/>
      </c>
      <c r="G42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8" s="249"/>
      <c r="J428" s="249"/>
      <c r="K428" s="250"/>
      <c r="L428" s="250"/>
      <c r="M428" s="250"/>
      <c r="N428" s="248">
        <f>SUMIFS(Table1[Size],Table1[Release Name],[2]!Table7[Release Name])</f>
        <v>0</v>
      </c>
      <c r="O428" s="248"/>
      <c r="P42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8" s="248"/>
      <c r="R42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8" s="248"/>
      <c r="T428" s="248"/>
      <c r="U428" s="248"/>
      <c r="V428" s="248"/>
      <c r="W428" s="248"/>
      <c r="X428" s="248"/>
      <c r="Y428" s="248"/>
      <c r="Z428" s="248"/>
      <c r="AA428" s="248"/>
      <c r="AB428" s="13">
        <f>SUMIFS(Table3[Hours Worked],Table3[Release Name],Table7[[#This Row],[Release Name]],Table3[Task Type],"Testcase Creation")</f>
        <v>0</v>
      </c>
      <c r="AC428" s="255">
        <f>SUMIFS(Table3[Hours Worked],Table3[Release Name],Table7[[#This Row],[Release Name]],Table3[Task Type],"Testcase Execution")</f>
        <v>0</v>
      </c>
      <c r="AD42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8" s="256" t="str">
        <f>IFERROR((Table7[[#This Row],[No. of Valid Internal Review Defects]]+Table7[[#This Row],[No. of Valid  Internal Testing Defects]]+Table7[[#This Row],[No. of  Valid External Review Defects]]+Table7[[#This Row],[No. of Valid External Testing Defects]])/Table7[[#This Row],[Size]],"")</f>
        <v/>
      </c>
      <c r="AF428" s="257" t="str">
        <f>IFERROR(Table7[[#This Row],[No. of Valid Internal Review Defects]]/(Table7[[#This Row],[No. of Valid Internal Review Defects]]+Table7[[#This Row],[No. of  Valid External Review Defects]]+Table7[[#This Row],[No. of Valid  Internal Testing Defects]]+Table7[[#This Row],[No. of Valid External Testing Defects]]),"")</f>
        <v/>
      </c>
      <c r="AG428" s="258" t="str">
        <f>IFERROR(Table7[[#This Row],[No. of Valid Internal Review Defects]]/(Table7[[#This Row],[No. of Valid Internal Review Defects]]+Table7[[#This Row],[No. of  Valid External Review Defects]]+Table7[[#This Row],[No. of Valid External Testing Defects]]),"")</f>
        <v/>
      </c>
      <c r="AH428" s="256" t="str">
        <f>IFERROR(Table7[[#This Row],[No. of Valid  Internal Testing Defects]]/Table7[[#This Row],[Overall Actual Effort for the release]],"")</f>
        <v/>
      </c>
      <c r="AI428" s="256" t="str">
        <f>IFERROR(Table7[[#This Row],[No. of Valid  Internal Testing Defects]]/Table7[[#This Row],[No. of Testcases Executed]],"")</f>
        <v/>
      </c>
      <c r="AJ428" s="259" t="str">
        <f>IFERROR(IFERROR(Table7[[#This Row],[No. of Testcases Created]]/Table7[[#This Row],[Effort for Testcase Creation]],"")*9,"")</f>
        <v/>
      </c>
      <c r="AK428" s="256" t="str">
        <f>IFERROR((Table7[[#This Row],[No. of Testcases Executed]]/Table7[[#This Row],[Effort for Testcase Execution]])*9,"")</f>
        <v/>
      </c>
      <c r="AL42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8" s="259" t="str">
        <f>IFERROR(Table7[[#This Row],[No. of Defects Validated]]/SUMIFS(Table3[Hours Worked],Table3[Release Name],Table7[[#This Row],[Release Name]],Table3[Task Type],"Defect Validation")*9,"")</f>
        <v/>
      </c>
      <c r="AN428" s="258" t="str">
        <f>IFERROR((Table7[[#This Row],[No. of Valid  Internal Testing Defects]])/(Table7[[#This Row],[No. of Valid  Internal Testing Defects]]+Table7[[#This Row],[No. of Invalid Internal Testing Defects]]),"")</f>
        <v/>
      </c>
      <c r="AO428" s="258" t="str">
        <f>IFERROR(Table7[[#This Row],[No. of Valid External Testing Defects]]/(Table7[[#This Row],[No. of Valid External Testing Defects]]+Table7[[#This Row],[No. of Valid  Internal Testing Defects]]),"")</f>
        <v/>
      </c>
    </row>
    <row r="429" spans="2:41">
      <c r="B429" s="237"/>
      <c r="C429" s="14"/>
      <c r="D429" s="14"/>
      <c r="E429" s="14"/>
      <c r="F429" s="230" t="str">
        <f>IFERROR((Table47[[#This Row],[Initial No. of Requirements]]+Table47[[#This Row],[Modified Requirements( Added / Deleted /Modified)]])/Table47[[#This Row],[Initial No. of Requirements]],"")</f>
        <v/>
      </c>
      <c r="G42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29" s="249"/>
      <c r="J429" s="249"/>
      <c r="K429" s="250"/>
      <c r="L429" s="250"/>
      <c r="M429" s="250"/>
      <c r="N429" s="248">
        <f>SUMIFS(Table1[Size],Table1[Release Name],[2]!Table7[Release Name])</f>
        <v>0</v>
      </c>
      <c r="O429" s="248"/>
      <c r="P42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29" s="248"/>
      <c r="R42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29" s="248"/>
      <c r="T429" s="248"/>
      <c r="U429" s="248"/>
      <c r="V429" s="248"/>
      <c r="W429" s="248"/>
      <c r="X429" s="248"/>
      <c r="Y429" s="248"/>
      <c r="Z429" s="248"/>
      <c r="AA429" s="248"/>
      <c r="AB429" s="13">
        <f>SUMIFS(Table3[Hours Worked],Table3[Release Name],Table7[[#This Row],[Release Name]],Table3[Task Type],"Testcase Creation")</f>
        <v>0</v>
      </c>
      <c r="AC429" s="255">
        <f>SUMIFS(Table3[Hours Worked],Table3[Release Name],Table7[[#This Row],[Release Name]],Table3[Task Type],"Testcase Execution")</f>
        <v>0</v>
      </c>
      <c r="AD42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29" s="256" t="str">
        <f>IFERROR((Table7[[#This Row],[No. of Valid Internal Review Defects]]+Table7[[#This Row],[No. of Valid  Internal Testing Defects]]+Table7[[#This Row],[No. of  Valid External Review Defects]]+Table7[[#This Row],[No. of Valid External Testing Defects]])/Table7[[#This Row],[Size]],"")</f>
        <v/>
      </c>
      <c r="AF429" s="257" t="str">
        <f>IFERROR(Table7[[#This Row],[No. of Valid Internal Review Defects]]/(Table7[[#This Row],[No. of Valid Internal Review Defects]]+Table7[[#This Row],[No. of  Valid External Review Defects]]+Table7[[#This Row],[No. of Valid  Internal Testing Defects]]+Table7[[#This Row],[No. of Valid External Testing Defects]]),"")</f>
        <v/>
      </c>
      <c r="AG429" s="258" t="str">
        <f>IFERROR(Table7[[#This Row],[No. of Valid Internal Review Defects]]/(Table7[[#This Row],[No. of Valid Internal Review Defects]]+Table7[[#This Row],[No. of  Valid External Review Defects]]+Table7[[#This Row],[No. of Valid External Testing Defects]]),"")</f>
        <v/>
      </c>
      <c r="AH429" s="256" t="str">
        <f>IFERROR(Table7[[#This Row],[No. of Valid  Internal Testing Defects]]/Table7[[#This Row],[Overall Actual Effort for the release]],"")</f>
        <v/>
      </c>
      <c r="AI429" s="256" t="str">
        <f>IFERROR(Table7[[#This Row],[No. of Valid  Internal Testing Defects]]/Table7[[#This Row],[No. of Testcases Executed]],"")</f>
        <v/>
      </c>
      <c r="AJ429" s="259" t="str">
        <f>IFERROR(IFERROR(Table7[[#This Row],[No. of Testcases Created]]/Table7[[#This Row],[Effort for Testcase Creation]],"")*9,"")</f>
        <v/>
      </c>
      <c r="AK429" s="256" t="str">
        <f>IFERROR((Table7[[#This Row],[No. of Testcases Executed]]/Table7[[#This Row],[Effort for Testcase Execution]])*9,"")</f>
        <v/>
      </c>
      <c r="AL42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29" s="259" t="str">
        <f>IFERROR(Table7[[#This Row],[No. of Defects Validated]]/SUMIFS(Table3[Hours Worked],Table3[Release Name],Table7[[#This Row],[Release Name]],Table3[Task Type],"Defect Validation")*9,"")</f>
        <v/>
      </c>
      <c r="AN429" s="258" t="str">
        <f>IFERROR((Table7[[#This Row],[No. of Valid  Internal Testing Defects]])/(Table7[[#This Row],[No. of Valid  Internal Testing Defects]]+Table7[[#This Row],[No. of Invalid Internal Testing Defects]]),"")</f>
        <v/>
      </c>
      <c r="AO429" s="258" t="str">
        <f>IFERROR(Table7[[#This Row],[No. of Valid External Testing Defects]]/(Table7[[#This Row],[No. of Valid External Testing Defects]]+Table7[[#This Row],[No. of Valid  Internal Testing Defects]]),"")</f>
        <v/>
      </c>
    </row>
    <row r="430" spans="2:41">
      <c r="B430" s="237"/>
      <c r="C430" s="14"/>
      <c r="D430" s="14"/>
      <c r="E430" s="14"/>
      <c r="F430" s="230" t="str">
        <f>IFERROR((Table47[[#This Row],[Initial No. of Requirements]]+Table47[[#This Row],[Modified Requirements( Added / Deleted /Modified)]])/Table47[[#This Row],[Initial No. of Requirements]],"")</f>
        <v/>
      </c>
      <c r="G43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0" s="249"/>
      <c r="J430" s="249"/>
      <c r="K430" s="250"/>
      <c r="L430" s="250"/>
      <c r="M430" s="250"/>
      <c r="N430" s="248">
        <f>SUMIFS(Table1[Size],Table1[Release Name],[2]!Table7[Release Name])</f>
        <v>0</v>
      </c>
      <c r="O430" s="248"/>
      <c r="P43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0" s="248"/>
      <c r="R43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0" s="248"/>
      <c r="T430" s="248"/>
      <c r="U430" s="248"/>
      <c r="V430" s="248"/>
      <c r="W430" s="248"/>
      <c r="X430" s="248"/>
      <c r="Y430" s="248"/>
      <c r="Z430" s="248"/>
      <c r="AA430" s="248"/>
      <c r="AB430" s="13">
        <f>SUMIFS(Table3[Hours Worked],Table3[Release Name],Table7[[#This Row],[Release Name]],Table3[Task Type],"Testcase Creation")</f>
        <v>0</v>
      </c>
      <c r="AC430" s="255">
        <f>SUMIFS(Table3[Hours Worked],Table3[Release Name],Table7[[#This Row],[Release Name]],Table3[Task Type],"Testcase Execution")</f>
        <v>0</v>
      </c>
      <c r="AD43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0" s="256" t="str">
        <f>IFERROR((Table7[[#This Row],[No. of Valid Internal Review Defects]]+Table7[[#This Row],[No. of Valid  Internal Testing Defects]]+Table7[[#This Row],[No. of  Valid External Review Defects]]+Table7[[#This Row],[No. of Valid External Testing Defects]])/Table7[[#This Row],[Size]],"")</f>
        <v/>
      </c>
      <c r="AF430" s="257" t="str">
        <f>IFERROR(Table7[[#This Row],[No. of Valid Internal Review Defects]]/(Table7[[#This Row],[No. of Valid Internal Review Defects]]+Table7[[#This Row],[No. of  Valid External Review Defects]]+Table7[[#This Row],[No. of Valid  Internal Testing Defects]]+Table7[[#This Row],[No. of Valid External Testing Defects]]),"")</f>
        <v/>
      </c>
      <c r="AG430" s="258" t="str">
        <f>IFERROR(Table7[[#This Row],[No. of Valid Internal Review Defects]]/(Table7[[#This Row],[No. of Valid Internal Review Defects]]+Table7[[#This Row],[No. of  Valid External Review Defects]]+Table7[[#This Row],[No. of Valid External Testing Defects]]),"")</f>
        <v/>
      </c>
      <c r="AH430" s="256" t="str">
        <f>IFERROR(Table7[[#This Row],[No. of Valid  Internal Testing Defects]]/Table7[[#This Row],[Overall Actual Effort for the release]],"")</f>
        <v/>
      </c>
      <c r="AI430" s="256" t="str">
        <f>IFERROR(Table7[[#This Row],[No. of Valid  Internal Testing Defects]]/Table7[[#This Row],[No. of Testcases Executed]],"")</f>
        <v/>
      </c>
      <c r="AJ430" s="259" t="str">
        <f>IFERROR(IFERROR(Table7[[#This Row],[No. of Testcases Created]]/Table7[[#This Row],[Effort for Testcase Creation]],"")*9,"")</f>
        <v/>
      </c>
      <c r="AK430" s="256" t="str">
        <f>IFERROR((Table7[[#This Row],[No. of Testcases Executed]]/Table7[[#This Row],[Effort for Testcase Execution]])*9,"")</f>
        <v/>
      </c>
      <c r="AL43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0" s="259" t="str">
        <f>IFERROR(Table7[[#This Row],[No. of Defects Validated]]/SUMIFS(Table3[Hours Worked],Table3[Release Name],Table7[[#This Row],[Release Name]],Table3[Task Type],"Defect Validation")*9,"")</f>
        <v/>
      </c>
      <c r="AN430" s="258" t="str">
        <f>IFERROR((Table7[[#This Row],[No. of Valid  Internal Testing Defects]])/(Table7[[#This Row],[No. of Valid  Internal Testing Defects]]+Table7[[#This Row],[No. of Invalid Internal Testing Defects]]),"")</f>
        <v/>
      </c>
      <c r="AO430" s="258" t="str">
        <f>IFERROR(Table7[[#This Row],[No. of Valid External Testing Defects]]/(Table7[[#This Row],[No. of Valid External Testing Defects]]+Table7[[#This Row],[No. of Valid  Internal Testing Defects]]),"")</f>
        <v/>
      </c>
    </row>
    <row r="431" spans="2:41">
      <c r="B431" s="237"/>
      <c r="C431" s="14"/>
      <c r="D431" s="14"/>
      <c r="E431" s="14"/>
      <c r="F431" s="230" t="str">
        <f>IFERROR((Table47[[#This Row],[Initial No. of Requirements]]+Table47[[#This Row],[Modified Requirements( Added / Deleted /Modified)]])/Table47[[#This Row],[Initial No. of Requirements]],"")</f>
        <v/>
      </c>
      <c r="G43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1" s="249"/>
      <c r="J431" s="249"/>
      <c r="K431" s="250"/>
      <c r="L431" s="250"/>
      <c r="M431" s="250"/>
      <c r="N431" s="248">
        <f>SUMIFS(Table1[Size],Table1[Release Name],[2]!Table7[Release Name])</f>
        <v>0</v>
      </c>
      <c r="O431" s="248"/>
      <c r="P43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1" s="248"/>
      <c r="R43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1" s="248"/>
      <c r="T431" s="248"/>
      <c r="U431" s="248"/>
      <c r="V431" s="248"/>
      <c r="W431" s="248"/>
      <c r="X431" s="248"/>
      <c r="Y431" s="248"/>
      <c r="Z431" s="248"/>
      <c r="AA431" s="248"/>
      <c r="AB431" s="13">
        <f>SUMIFS(Table3[Hours Worked],Table3[Release Name],Table7[[#This Row],[Release Name]],Table3[Task Type],"Testcase Creation")</f>
        <v>0</v>
      </c>
      <c r="AC431" s="255">
        <f>SUMIFS(Table3[Hours Worked],Table3[Release Name],Table7[[#This Row],[Release Name]],Table3[Task Type],"Testcase Execution")</f>
        <v>0</v>
      </c>
      <c r="AD43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1" s="256" t="str">
        <f>IFERROR((Table7[[#This Row],[No. of Valid Internal Review Defects]]+Table7[[#This Row],[No. of Valid  Internal Testing Defects]]+Table7[[#This Row],[No. of  Valid External Review Defects]]+Table7[[#This Row],[No. of Valid External Testing Defects]])/Table7[[#This Row],[Size]],"")</f>
        <v/>
      </c>
      <c r="AF431" s="257" t="str">
        <f>IFERROR(Table7[[#This Row],[No. of Valid Internal Review Defects]]/(Table7[[#This Row],[No. of Valid Internal Review Defects]]+Table7[[#This Row],[No. of  Valid External Review Defects]]+Table7[[#This Row],[No. of Valid  Internal Testing Defects]]+Table7[[#This Row],[No. of Valid External Testing Defects]]),"")</f>
        <v/>
      </c>
      <c r="AG431" s="258" t="str">
        <f>IFERROR(Table7[[#This Row],[No. of Valid Internal Review Defects]]/(Table7[[#This Row],[No. of Valid Internal Review Defects]]+Table7[[#This Row],[No. of  Valid External Review Defects]]+Table7[[#This Row],[No. of Valid External Testing Defects]]),"")</f>
        <v/>
      </c>
      <c r="AH431" s="256" t="str">
        <f>IFERROR(Table7[[#This Row],[No. of Valid  Internal Testing Defects]]/Table7[[#This Row],[Overall Actual Effort for the release]],"")</f>
        <v/>
      </c>
      <c r="AI431" s="256" t="str">
        <f>IFERROR(Table7[[#This Row],[No. of Valid  Internal Testing Defects]]/Table7[[#This Row],[No. of Testcases Executed]],"")</f>
        <v/>
      </c>
      <c r="AJ431" s="259" t="str">
        <f>IFERROR(IFERROR(Table7[[#This Row],[No. of Testcases Created]]/Table7[[#This Row],[Effort for Testcase Creation]],"")*9,"")</f>
        <v/>
      </c>
      <c r="AK431" s="256" t="str">
        <f>IFERROR((Table7[[#This Row],[No. of Testcases Executed]]/Table7[[#This Row],[Effort for Testcase Execution]])*9,"")</f>
        <v/>
      </c>
      <c r="AL43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1" s="259" t="str">
        <f>IFERROR(Table7[[#This Row],[No. of Defects Validated]]/SUMIFS(Table3[Hours Worked],Table3[Release Name],Table7[[#This Row],[Release Name]],Table3[Task Type],"Defect Validation")*9,"")</f>
        <v/>
      </c>
      <c r="AN431" s="258" t="str">
        <f>IFERROR((Table7[[#This Row],[No. of Valid  Internal Testing Defects]])/(Table7[[#This Row],[No. of Valid  Internal Testing Defects]]+Table7[[#This Row],[No. of Invalid Internal Testing Defects]]),"")</f>
        <v/>
      </c>
      <c r="AO431" s="258" t="str">
        <f>IFERROR(Table7[[#This Row],[No. of Valid External Testing Defects]]/(Table7[[#This Row],[No. of Valid External Testing Defects]]+Table7[[#This Row],[No. of Valid  Internal Testing Defects]]),"")</f>
        <v/>
      </c>
    </row>
    <row r="432" spans="2:41">
      <c r="B432" s="237"/>
      <c r="C432" s="14"/>
      <c r="D432" s="14"/>
      <c r="E432" s="14"/>
      <c r="F432" s="230" t="str">
        <f>IFERROR((Table47[[#This Row],[Initial No. of Requirements]]+Table47[[#This Row],[Modified Requirements( Added / Deleted /Modified)]])/Table47[[#This Row],[Initial No. of Requirements]],"")</f>
        <v/>
      </c>
      <c r="G43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2" s="249"/>
      <c r="J432" s="249"/>
      <c r="K432" s="250"/>
      <c r="L432" s="250"/>
      <c r="M432" s="250"/>
      <c r="N432" s="248">
        <f>SUMIFS(Table1[Size],Table1[Release Name],[2]!Table7[Release Name])</f>
        <v>0</v>
      </c>
      <c r="O432" s="248"/>
      <c r="P43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2" s="248"/>
      <c r="R43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2" s="248"/>
      <c r="T432" s="248"/>
      <c r="U432" s="248"/>
      <c r="V432" s="248"/>
      <c r="W432" s="248"/>
      <c r="X432" s="248"/>
      <c r="Y432" s="248"/>
      <c r="Z432" s="248"/>
      <c r="AA432" s="248"/>
      <c r="AB432" s="13">
        <f>SUMIFS(Table3[Hours Worked],Table3[Release Name],Table7[[#This Row],[Release Name]],Table3[Task Type],"Testcase Creation")</f>
        <v>0</v>
      </c>
      <c r="AC432" s="255">
        <f>SUMIFS(Table3[Hours Worked],Table3[Release Name],Table7[[#This Row],[Release Name]],Table3[Task Type],"Testcase Execution")</f>
        <v>0</v>
      </c>
      <c r="AD43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2" s="256" t="str">
        <f>IFERROR((Table7[[#This Row],[No. of Valid Internal Review Defects]]+Table7[[#This Row],[No. of Valid  Internal Testing Defects]]+Table7[[#This Row],[No. of  Valid External Review Defects]]+Table7[[#This Row],[No. of Valid External Testing Defects]])/Table7[[#This Row],[Size]],"")</f>
        <v/>
      </c>
      <c r="AF432" s="257" t="str">
        <f>IFERROR(Table7[[#This Row],[No. of Valid Internal Review Defects]]/(Table7[[#This Row],[No. of Valid Internal Review Defects]]+Table7[[#This Row],[No. of  Valid External Review Defects]]+Table7[[#This Row],[No. of Valid  Internal Testing Defects]]+Table7[[#This Row],[No. of Valid External Testing Defects]]),"")</f>
        <v/>
      </c>
      <c r="AG432" s="258" t="str">
        <f>IFERROR(Table7[[#This Row],[No. of Valid Internal Review Defects]]/(Table7[[#This Row],[No. of Valid Internal Review Defects]]+Table7[[#This Row],[No. of  Valid External Review Defects]]+Table7[[#This Row],[No. of Valid External Testing Defects]]),"")</f>
        <v/>
      </c>
      <c r="AH432" s="256" t="str">
        <f>IFERROR(Table7[[#This Row],[No. of Valid  Internal Testing Defects]]/Table7[[#This Row],[Overall Actual Effort for the release]],"")</f>
        <v/>
      </c>
      <c r="AI432" s="256" t="str">
        <f>IFERROR(Table7[[#This Row],[No. of Valid  Internal Testing Defects]]/Table7[[#This Row],[No. of Testcases Executed]],"")</f>
        <v/>
      </c>
      <c r="AJ432" s="259" t="str">
        <f>IFERROR(IFERROR(Table7[[#This Row],[No. of Testcases Created]]/Table7[[#This Row],[Effort for Testcase Creation]],"")*9,"")</f>
        <v/>
      </c>
      <c r="AK432" s="256" t="str">
        <f>IFERROR((Table7[[#This Row],[No. of Testcases Executed]]/Table7[[#This Row],[Effort for Testcase Execution]])*9,"")</f>
        <v/>
      </c>
      <c r="AL43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2" s="259" t="str">
        <f>IFERROR(Table7[[#This Row],[No. of Defects Validated]]/SUMIFS(Table3[Hours Worked],Table3[Release Name],Table7[[#This Row],[Release Name]],Table3[Task Type],"Defect Validation")*9,"")</f>
        <v/>
      </c>
      <c r="AN432" s="258" t="str">
        <f>IFERROR((Table7[[#This Row],[No. of Valid  Internal Testing Defects]])/(Table7[[#This Row],[No. of Valid  Internal Testing Defects]]+Table7[[#This Row],[No. of Invalid Internal Testing Defects]]),"")</f>
        <v/>
      </c>
      <c r="AO432" s="258" t="str">
        <f>IFERROR(Table7[[#This Row],[No. of Valid External Testing Defects]]/(Table7[[#This Row],[No. of Valid External Testing Defects]]+Table7[[#This Row],[No. of Valid  Internal Testing Defects]]),"")</f>
        <v/>
      </c>
    </row>
    <row r="433" spans="2:41">
      <c r="B433" s="237"/>
      <c r="C433" s="14"/>
      <c r="D433" s="14"/>
      <c r="E433" s="14"/>
      <c r="F433" s="230" t="str">
        <f>IFERROR((Table47[[#This Row],[Initial No. of Requirements]]+Table47[[#This Row],[Modified Requirements( Added / Deleted /Modified)]])/Table47[[#This Row],[Initial No. of Requirements]],"")</f>
        <v/>
      </c>
      <c r="G43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3" s="249"/>
      <c r="J433" s="249"/>
      <c r="K433" s="250"/>
      <c r="L433" s="250"/>
      <c r="M433" s="250"/>
      <c r="N433" s="248">
        <f>SUMIFS(Table1[Size],Table1[Release Name],[2]!Table7[Release Name])</f>
        <v>0</v>
      </c>
      <c r="O433" s="248"/>
      <c r="P43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3" s="248"/>
      <c r="R43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3" s="248"/>
      <c r="T433" s="248"/>
      <c r="U433" s="248"/>
      <c r="V433" s="248"/>
      <c r="W433" s="248"/>
      <c r="X433" s="248"/>
      <c r="Y433" s="248"/>
      <c r="Z433" s="248"/>
      <c r="AA433" s="248"/>
      <c r="AB433" s="13">
        <f>SUMIFS(Table3[Hours Worked],Table3[Release Name],Table7[[#This Row],[Release Name]],Table3[Task Type],"Testcase Creation")</f>
        <v>0</v>
      </c>
      <c r="AC433" s="255">
        <f>SUMIFS(Table3[Hours Worked],Table3[Release Name],Table7[[#This Row],[Release Name]],Table3[Task Type],"Testcase Execution")</f>
        <v>0</v>
      </c>
      <c r="AD43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3" s="256" t="str">
        <f>IFERROR((Table7[[#This Row],[No. of Valid Internal Review Defects]]+Table7[[#This Row],[No. of Valid  Internal Testing Defects]]+Table7[[#This Row],[No. of  Valid External Review Defects]]+Table7[[#This Row],[No. of Valid External Testing Defects]])/Table7[[#This Row],[Size]],"")</f>
        <v/>
      </c>
      <c r="AF433" s="257" t="str">
        <f>IFERROR(Table7[[#This Row],[No. of Valid Internal Review Defects]]/(Table7[[#This Row],[No. of Valid Internal Review Defects]]+Table7[[#This Row],[No. of  Valid External Review Defects]]+Table7[[#This Row],[No. of Valid  Internal Testing Defects]]+Table7[[#This Row],[No. of Valid External Testing Defects]]),"")</f>
        <v/>
      </c>
      <c r="AG433" s="258" t="str">
        <f>IFERROR(Table7[[#This Row],[No. of Valid Internal Review Defects]]/(Table7[[#This Row],[No. of Valid Internal Review Defects]]+Table7[[#This Row],[No. of  Valid External Review Defects]]+Table7[[#This Row],[No. of Valid External Testing Defects]]),"")</f>
        <v/>
      </c>
      <c r="AH433" s="256" t="str">
        <f>IFERROR(Table7[[#This Row],[No. of Valid  Internal Testing Defects]]/Table7[[#This Row],[Overall Actual Effort for the release]],"")</f>
        <v/>
      </c>
      <c r="AI433" s="256" t="str">
        <f>IFERROR(Table7[[#This Row],[No. of Valid  Internal Testing Defects]]/Table7[[#This Row],[No. of Testcases Executed]],"")</f>
        <v/>
      </c>
      <c r="AJ433" s="259" t="str">
        <f>IFERROR(IFERROR(Table7[[#This Row],[No. of Testcases Created]]/Table7[[#This Row],[Effort for Testcase Creation]],"")*9,"")</f>
        <v/>
      </c>
      <c r="AK433" s="256" t="str">
        <f>IFERROR((Table7[[#This Row],[No. of Testcases Executed]]/Table7[[#This Row],[Effort for Testcase Execution]])*9,"")</f>
        <v/>
      </c>
      <c r="AL43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3" s="259" t="str">
        <f>IFERROR(Table7[[#This Row],[No. of Defects Validated]]/SUMIFS(Table3[Hours Worked],Table3[Release Name],Table7[[#This Row],[Release Name]],Table3[Task Type],"Defect Validation")*9,"")</f>
        <v/>
      </c>
      <c r="AN433" s="258" t="str">
        <f>IFERROR((Table7[[#This Row],[No. of Valid  Internal Testing Defects]])/(Table7[[#This Row],[No. of Valid  Internal Testing Defects]]+Table7[[#This Row],[No. of Invalid Internal Testing Defects]]),"")</f>
        <v/>
      </c>
      <c r="AO433" s="258" t="str">
        <f>IFERROR(Table7[[#This Row],[No. of Valid External Testing Defects]]/(Table7[[#This Row],[No. of Valid External Testing Defects]]+Table7[[#This Row],[No. of Valid  Internal Testing Defects]]),"")</f>
        <v/>
      </c>
    </row>
    <row r="434" spans="2:41">
      <c r="B434" s="237"/>
      <c r="C434" s="14"/>
      <c r="D434" s="14"/>
      <c r="E434" s="14"/>
      <c r="F434" s="230" t="str">
        <f>IFERROR((Table47[[#This Row],[Initial No. of Requirements]]+Table47[[#This Row],[Modified Requirements( Added / Deleted /Modified)]])/Table47[[#This Row],[Initial No. of Requirements]],"")</f>
        <v/>
      </c>
      <c r="G43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4" s="249"/>
      <c r="J434" s="249"/>
      <c r="K434" s="250"/>
      <c r="L434" s="250"/>
      <c r="M434" s="250"/>
      <c r="N434" s="248">
        <f>SUMIFS(Table1[Size],Table1[Release Name],[2]!Table7[Release Name])</f>
        <v>0</v>
      </c>
      <c r="O434" s="248"/>
      <c r="P43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4" s="248"/>
      <c r="R43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4" s="248"/>
      <c r="T434" s="248"/>
      <c r="U434" s="248"/>
      <c r="V434" s="248"/>
      <c r="W434" s="248"/>
      <c r="X434" s="248"/>
      <c r="Y434" s="248"/>
      <c r="Z434" s="248"/>
      <c r="AA434" s="248"/>
      <c r="AB434" s="13">
        <f>SUMIFS(Table3[Hours Worked],Table3[Release Name],Table7[[#This Row],[Release Name]],Table3[Task Type],"Testcase Creation")</f>
        <v>0</v>
      </c>
      <c r="AC434" s="255">
        <f>SUMIFS(Table3[Hours Worked],Table3[Release Name],Table7[[#This Row],[Release Name]],Table3[Task Type],"Testcase Execution")</f>
        <v>0</v>
      </c>
      <c r="AD43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4" s="256" t="str">
        <f>IFERROR((Table7[[#This Row],[No. of Valid Internal Review Defects]]+Table7[[#This Row],[No. of Valid  Internal Testing Defects]]+Table7[[#This Row],[No. of  Valid External Review Defects]]+Table7[[#This Row],[No. of Valid External Testing Defects]])/Table7[[#This Row],[Size]],"")</f>
        <v/>
      </c>
      <c r="AF434" s="257" t="str">
        <f>IFERROR(Table7[[#This Row],[No. of Valid Internal Review Defects]]/(Table7[[#This Row],[No. of Valid Internal Review Defects]]+Table7[[#This Row],[No. of  Valid External Review Defects]]+Table7[[#This Row],[No. of Valid  Internal Testing Defects]]+Table7[[#This Row],[No. of Valid External Testing Defects]]),"")</f>
        <v/>
      </c>
      <c r="AG434" s="258" t="str">
        <f>IFERROR(Table7[[#This Row],[No. of Valid Internal Review Defects]]/(Table7[[#This Row],[No. of Valid Internal Review Defects]]+Table7[[#This Row],[No. of  Valid External Review Defects]]+Table7[[#This Row],[No. of Valid External Testing Defects]]),"")</f>
        <v/>
      </c>
      <c r="AH434" s="256" t="str">
        <f>IFERROR(Table7[[#This Row],[No. of Valid  Internal Testing Defects]]/Table7[[#This Row],[Overall Actual Effort for the release]],"")</f>
        <v/>
      </c>
      <c r="AI434" s="256" t="str">
        <f>IFERROR(Table7[[#This Row],[No. of Valid  Internal Testing Defects]]/Table7[[#This Row],[No. of Testcases Executed]],"")</f>
        <v/>
      </c>
      <c r="AJ434" s="259" t="str">
        <f>IFERROR(IFERROR(Table7[[#This Row],[No. of Testcases Created]]/Table7[[#This Row],[Effort for Testcase Creation]],"")*9,"")</f>
        <v/>
      </c>
      <c r="AK434" s="256" t="str">
        <f>IFERROR((Table7[[#This Row],[No. of Testcases Executed]]/Table7[[#This Row],[Effort for Testcase Execution]])*9,"")</f>
        <v/>
      </c>
      <c r="AL43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4" s="259" t="str">
        <f>IFERROR(Table7[[#This Row],[No. of Defects Validated]]/SUMIFS(Table3[Hours Worked],Table3[Release Name],Table7[[#This Row],[Release Name]],Table3[Task Type],"Defect Validation")*9,"")</f>
        <v/>
      </c>
      <c r="AN434" s="258" t="str">
        <f>IFERROR((Table7[[#This Row],[No. of Valid  Internal Testing Defects]])/(Table7[[#This Row],[No. of Valid  Internal Testing Defects]]+Table7[[#This Row],[No. of Invalid Internal Testing Defects]]),"")</f>
        <v/>
      </c>
      <c r="AO434" s="258" t="str">
        <f>IFERROR(Table7[[#This Row],[No. of Valid External Testing Defects]]/(Table7[[#This Row],[No. of Valid External Testing Defects]]+Table7[[#This Row],[No. of Valid  Internal Testing Defects]]),"")</f>
        <v/>
      </c>
    </row>
    <row r="435" spans="2:41">
      <c r="B435" s="237"/>
      <c r="C435" s="14"/>
      <c r="D435" s="14"/>
      <c r="E435" s="14"/>
      <c r="F435" s="230" t="str">
        <f>IFERROR((Table47[[#This Row],[Initial No. of Requirements]]+Table47[[#This Row],[Modified Requirements( Added / Deleted /Modified)]])/Table47[[#This Row],[Initial No. of Requirements]],"")</f>
        <v/>
      </c>
      <c r="G43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5" s="249"/>
      <c r="J435" s="249"/>
      <c r="K435" s="250"/>
      <c r="L435" s="250"/>
      <c r="M435" s="250"/>
      <c r="N435" s="248">
        <f>SUMIFS(Table1[Size],Table1[Release Name],[2]!Table7[Release Name])</f>
        <v>0</v>
      </c>
      <c r="O435" s="248"/>
      <c r="P43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5" s="248"/>
      <c r="R43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5" s="248"/>
      <c r="T435" s="248"/>
      <c r="U435" s="248"/>
      <c r="V435" s="248"/>
      <c r="W435" s="248"/>
      <c r="X435" s="248"/>
      <c r="Y435" s="248"/>
      <c r="Z435" s="248"/>
      <c r="AA435" s="248"/>
      <c r="AB435" s="13">
        <f>SUMIFS(Table3[Hours Worked],Table3[Release Name],Table7[[#This Row],[Release Name]],Table3[Task Type],"Testcase Creation")</f>
        <v>0</v>
      </c>
      <c r="AC435" s="255">
        <f>SUMIFS(Table3[Hours Worked],Table3[Release Name],Table7[[#This Row],[Release Name]],Table3[Task Type],"Testcase Execution")</f>
        <v>0</v>
      </c>
      <c r="AD43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5" s="256" t="str">
        <f>IFERROR((Table7[[#This Row],[No. of Valid Internal Review Defects]]+Table7[[#This Row],[No. of Valid  Internal Testing Defects]]+Table7[[#This Row],[No. of  Valid External Review Defects]]+Table7[[#This Row],[No. of Valid External Testing Defects]])/Table7[[#This Row],[Size]],"")</f>
        <v/>
      </c>
      <c r="AF435" s="257" t="str">
        <f>IFERROR(Table7[[#This Row],[No. of Valid Internal Review Defects]]/(Table7[[#This Row],[No. of Valid Internal Review Defects]]+Table7[[#This Row],[No. of  Valid External Review Defects]]+Table7[[#This Row],[No. of Valid  Internal Testing Defects]]+Table7[[#This Row],[No. of Valid External Testing Defects]]),"")</f>
        <v/>
      </c>
      <c r="AG435" s="258" t="str">
        <f>IFERROR(Table7[[#This Row],[No. of Valid Internal Review Defects]]/(Table7[[#This Row],[No. of Valid Internal Review Defects]]+Table7[[#This Row],[No. of  Valid External Review Defects]]+Table7[[#This Row],[No. of Valid External Testing Defects]]),"")</f>
        <v/>
      </c>
      <c r="AH435" s="256" t="str">
        <f>IFERROR(Table7[[#This Row],[No. of Valid  Internal Testing Defects]]/Table7[[#This Row],[Overall Actual Effort for the release]],"")</f>
        <v/>
      </c>
      <c r="AI435" s="256" t="str">
        <f>IFERROR(Table7[[#This Row],[No. of Valid  Internal Testing Defects]]/Table7[[#This Row],[No. of Testcases Executed]],"")</f>
        <v/>
      </c>
      <c r="AJ435" s="259" t="str">
        <f>IFERROR(IFERROR(Table7[[#This Row],[No. of Testcases Created]]/Table7[[#This Row],[Effort for Testcase Creation]],"")*9,"")</f>
        <v/>
      </c>
      <c r="AK435" s="256" t="str">
        <f>IFERROR((Table7[[#This Row],[No. of Testcases Executed]]/Table7[[#This Row],[Effort for Testcase Execution]])*9,"")</f>
        <v/>
      </c>
      <c r="AL43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5" s="259" t="str">
        <f>IFERROR(Table7[[#This Row],[No. of Defects Validated]]/SUMIFS(Table3[Hours Worked],Table3[Release Name],Table7[[#This Row],[Release Name]],Table3[Task Type],"Defect Validation")*9,"")</f>
        <v/>
      </c>
      <c r="AN435" s="258" t="str">
        <f>IFERROR((Table7[[#This Row],[No. of Valid  Internal Testing Defects]])/(Table7[[#This Row],[No. of Valid  Internal Testing Defects]]+Table7[[#This Row],[No. of Invalid Internal Testing Defects]]),"")</f>
        <v/>
      </c>
      <c r="AO435" s="258" t="str">
        <f>IFERROR(Table7[[#This Row],[No. of Valid External Testing Defects]]/(Table7[[#This Row],[No. of Valid External Testing Defects]]+Table7[[#This Row],[No. of Valid  Internal Testing Defects]]),"")</f>
        <v/>
      </c>
    </row>
    <row r="436" spans="2:41">
      <c r="B436" s="237"/>
      <c r="C436" s="14"/>
      <c r="D436" s="14"/>
      <c r="E436" s="14"/>
      <c r="F436" s="230" t="str">
        <f>IFERROR((Table47[[#This Row],[Initial No. of Requirements]]+Table47[[#This Row],[Modified Requirements( Added / Deleted /Modified)]])/Table47[[#This Row],[Initial No. of Requirements]],"")</f>
        <v/>
      </c>
      <c r="G43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6" s="249"/>
      <c r="J436" s="249"/>
      <c r="K436" s="250"/>
      <c r="L436" s="250"/>
      <c r="M436" s="250"/>
      <c r="N436" s="248">
        <f>SUMIFS(Table1[Size],Table1[Release Name],[2]!Table7[Release Name])</f>
        <v>0</v>
      </c>
      <c r="O436" s="248"/>
      <c r="P43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6" s="248"/>
      <c r="R43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6" s="248"/>
      <c r="T436" s="248"/>
      <c r="U436" s="248"/>
      <c r="V436" s="248"/>
      <c r="W436" s="248"/>
      <c r="X436" s="248"/>
      <c r="Y436" s="248"/>
      <c r="Z436" s="248"/>
      <c r="AA436" s="248"/>
      <c r="AB436" s="13">
        <f>SUMIFS(Table3[Hours Worked],Table3[Release Name],Table7[[#This Row],[Release Name]],Table3[Task Type],"Testcase Creation")</f>
        <v>0</v>
      </c>
      <c r="AC436" s="255">
        <f>SUMIFS(Table3[Hours Worked],Table3[Release Name],Table7[[#This Row],[Release Name]],Table3[Task Type],"Testcase Execution")</f>
        <v>0</v>
      </c>
      <c r="AD43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6" s="256" t="str">
        <f>IFERROR((Table7[[#This Row],[No. of Valid Internal Review Defects]]+Table7[[#This Row],[No. of Valid  Internal Testing Defects]]+Table7[[#This Row],[No. of  Valid External Review Defects]]+Table7[[#This Row],[No. of Valid External Testing Defects]])/Table7[[#This Row],[Size]],"")</f>
        <v/>
      </c>
      <c r="AF436" s="257" t="str">
        <f>IFERROR(Table7[[#This Row],[No. of Valid Internal Review Defects]]/(Table7[[#This Row],[No. of Valid Internal Review Defects]]+Table7[[#This Row],[No. of  Valid External Review Defects]]+Table7[[#This Row],[No. of Valid  Internal Testing Defects]]+Table7[[#This Row],[No. of Valid External Testing Defects]]),"")</f>
        <v/>
      </c>
      <c r="AG436" s="258" t="str">
        <f>IFERROR(Table7[[#This Row],[No. of Valid Internal Review Defects]]/(Table7[[#This Row],[No. of Valid Internal Review Defects]]+Table7[[#This Row],[No. of  Valid External Review Defects]]+Table7[[#This Row],[No. of Valid External Testing Defects]]),"")</f>
        <v/>
      </c>
      <c r="AH436" s="256" t="str">
        <f>IFERROR(Table7[[#This Row],[No. of Valid  Internal Testing Defects]]/Table7[[#This Row],[Overall Actual Effort for the release]],"")</f>
        <v/>
      </c>
      <c r="AI436" s="256" t="str">
        <f>IFERROR(Table7[[#This Row],[No. of Valid  Internal Testing Defects]]/Table7[[#This Row],[No. of Testcases Executed]],"")</f>
        <v/>
      </c>
      <c r="AJ436" s="259" t="str">
        <f>IFERROR(IFERROR(Table7[[#This Row],[No. of Testcases Created]]/Table7[[#This Row],[Effort for Testcase Creation]],"")*9,"")</f>
        <v/>
      </c>
      <c r="AK436" s="256" t="str">
        <f>IFERROR((Table7[[#This Row],[No. of Testcases Executed]]/Table7[[#This Row],[Effort for Testcase Execution]])*9,"")</f>
        <v/>
      </c>
      <c r="AL43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6" s="259" t="str">
        <f>IFERROR(Table7[[#This Row],[No. of Defects Validated]]/SUMIFS(Table3[Hours Worked],Table3[Release Name],Table7[[#This Row],[Release Name]],Table3[Task Type],"Defect Validation")*9,"")</f>
        <v/>
      </c>
      <c r="AN436" s="258" t="str">
        <f>IFERROR((Table7[[#This Row],[No. of Valid  Internal Testing Defects]])/(Table7[[#This Row],[No. of Valid  Internal Testing Defects]]+Table7[[#This Row],[No. of Invalid Internal Testing Defects]]),"")</f>
        <v/>
      </c>
      <c r="AO436" s="258" t="str">
        <f>IFERROR(Table7[[#This Row],[No. of Valid External Testing Defects]]/(Table7[[#This Row],[No. of Valid External Testing Defects]]+Table7[[#This Row],[No. of Valid  Internal Testing Defects]]),"")</f>
        <v/>
      </c>
    </row>
    <row r="437" spans="2:41">
      <c r="B437" s="237"/>
      <c r="C437" s="14"/>
      <c r="D437" s="14"/>
      <c r="E437" s="14"/>
      <c r="F437" s="230" t="str">
        <f>IFERROR((Table47[[#This Row],[Initial No. of Requirements]]+Table47[[#This Row],[Modified Requirements( Added / Deleted /Modified)]])/Table47[[#This Row],[Initial No. of Requirements]],"")</f>
        <v/>
      </c>
      <c r="G43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7" s="249"/>
      <c r="J437" s="249"/>
      <c r="K437" s="250"/>
      <c r="L437" s="250"/>
      <c r="M437" s="250"/>
      <c r="N437" s="248">
        <f>SUMIFS(Table1[Size],Table1[Release Name],[2]!Table7[Release Name])</f>
        <v>0</v>
      </c>
      <c r="O437" s="248"/>
      <c r="P43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7" s="248"/>
      <c r="R43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7" s="248"/>
      <c r="T437" s="248"/>
      <c r="U437" s="248"/>
      <c r="V437" s="248"/>
      <c r="W437" s="248"/>
      <c r="X437" s="248"/>
      <c r="Y437" s="248"/>
      <c r="Z437" s="248"/>
      <c r="AA437" s="248"/>
      <c r="AB437" s="13">
        <f>SUMIFS(Table3[Hours Worked],Table3[Release Name],Table7[[#This Row],[Release Name]],Table3[Task Type],"Testcase Creation")</f>
        <v>0</v>
      </c>
      <c r="AC437" s="255">
        <f>SUMIFS(Table3[Hours Worked],Table3[Release Name],Table7[[#This Row],[Release Name]],Table3[Task Type],"Testcase Execution")</f>
        <v>0</v>
      </c>
      <c r="AD43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7" s="256" t="str">
        <f>IFERROR((Table7[[#This Row],[No. of Valid Internal Review Defects]]+Table7[[#This Row],[No. of Valid  Internal Testing Defects]]+Table7[[#This Row],[No. of  Valid External Review Defects]]+Table7[[#This Row],[No. of Valid External Testing Defects]])/Table7[[#This Row],[Size]],"")</f>
        <v/>
      </c>
      <c r="AF437" s="257" t="str">
        <f>IFERROR(Table7[[#This Row],[No. of Valid Internal Review Defects]]/(Table7[[#This Row],[No. of Valid Internal Review Defects]]+Table7[[#This Row],[No. of  Valid External Review Defects]]+Table7[[#This Row],[No. of Valid  Internal Testing Defects]]+Table7[[#This Row],[No. of Valid External Testing Defects]]),"")</f>
        <v/>
      </c>
      <c r="AG437" s="258" t="str">
        <f>IFERROR(Table7[[#This Row],[No. of Valid Internal Review Defects]]/(Table7[[#This Row],[No. of Valid Internal Review Defects]]+Table7[[#This Row],[No. of  Valid External Review Defects]]+Table7[[#This Row],[No. of Valid External Testing Defects]]),"")</f>
        <v/>
      </c>
      <c r="AH437" s="256" t="str">
        <f>IFERROR(Table7[[#This Row],[No. of Valid  Internal Testing Defects]]/Table7[[#This Row],[Overall Actual Effort for the release]],"")</f>
        <v/>
      </c>
      <c r="AI437" s="256" t="str">
        <f>IFERROR(Table7[[#This Row],[No. of Valid  Internal Testing Defects]]/Table7[[#This Row],[No. of Testcases Executed]],"")</f>
        <v/>
      </c>
      <c r="AJ437" s="259" t="str">
        <f>IFERROR(IFERROR(Table7[[#This Row],[No. of Testcases Created]]/Table7[[#This Row],[Effort for Testcase Creation]],"")*9,"")</f>
        <v/>
      </c>
      <c r="AK437" s="256" t="str">
        <f>IFERROR((Table7[[#This Row],[No. of Testcases Executed]]/Table7[[#This Row],[Effort for Testcase Execution]])*9,"")</f>
        <v/>
      </c>
      <c r="AL43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7" s="259" t="str">
        <f>IFERROR(Table7[[#This Row],[No. of Defects Validated]]/SUMIFS(Table3[Hours Worked],Table3[Release Name],Table7[[#This Row],[Release Name]],Table3[Task Type],"Defect Validation")*9,"")</f>
        <v/>
      </c>
      <c r="AN437" s="258" t="str">
        <f>IFERROR((Table7[[#This Row],[No. of Valid  Internal Testing Defects]])/(Table7[[#This Row],[No. of Valid  Internal Testing Defects]]+Table7[[#This Row],[No. of Invalid Internal Testing Defects]]),"")</f>
        <v/>
      </c>
      <c r="AO437" s="258" t="str">
        <f>IFERROR(Table7[[#This Row],[No. of Valid External Testing Defects]]/(Table7[[#This Row],[No. of Valid External Testing Defects]]+Table7[[#This Row],[No. of Valid  Internal Testing Defects]]),"")</f>
        <v/>
      </c>
    </row>
    <row r="438" spans="2:41">
      <c r="B438" s="237"/>
      <c r="C438" s="14"/>
      <c r="D438" s="14"/>
      <c r="E438" s="14"/>
      <c r="F438" s="230" t="str">
        <f>IFERROR((Table47[[#This Row],[Initial No. of Requirements]]+Table47[[#This Row],[Modified Requirements( Added / Deleted /Modified)]])/Table47[[#This Row],[Initial No. of Requirements]],"")</f>
        <v/>
      </c>
      <c r="G43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8" s="249"/>
      <c r="J438" s="249"/>
      <c r="K438" s="250"/>
      <c r="L438" s="250"/>
      <c r="M438" s="250"/>
      <c r="N438" s="248">
        <f>SUMIFS(Table1[Size],Table1[Release Name],[2]!Table7[Release Name])</f>
        <v>0</v>
      </c>
      <c r="O438" s="248"/>
      <c r="P43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8" s="248"/>
      <c r="R43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8" s="248"/>
      <c r="T438" s="248"/>
      <c r="U438" s="248"/>
      <c r="V438" s="248"/>
      <c r="W438" s="248"/>
      <c r="X438" s="248"/>
      <c r="Y438" s="248"/>
      <c r="Z438" s="248"/>
      <c r="AA438" s="248"/>
      <c r="AB438" s="13">
        <f>SUMIFS(Table3[Hours Worked],Table3[Release Name],Table7[[#This Row],[Release Name]],Table3[Task Type],"Testcase Creation")</f>
        <v>0</v>
      </c>
      <c r="AC438" s="255">
        <f>SUMIFS(Table3[Hours Worked],Table3[Release Name],Table7[[#This Row],[Release Name]],Table3[Task Type],"Testcase Execution")</f>
        <v>0</v>
      </c>
      <c r="AD43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8" s="256" t="str">
        <f>IFERROR((Table7[[#This Row],[No. of Valid Internal Review Defects]]+Table7[[#This Row],[No. of Valid  Internal Testing Defects]]+Table7[[#This Row],[No. of  Valid External Review Defects]]+Table7[[#This Row],[No. of Valid External Testing Defects]])/Table7[[#This Row],[Size]],"")</f>
        <v/>
      </c>
      <c r="AF438" s="257" t="str">
        <f>IFERROR(Table7[[#This Row],[No. of Valid Internal Review Defects]]/(Table7[[#This Row],[No. of Valid Internal Review Defects]]+Table7[[#This Row],[No. of  Valid External Review Defects]]+Table7[[#This Row],[No. of Valid  Internal Testing Defects]]+Table7[[#This Row],[No. of Valid External Testing Defects]]),"")</f>
        <v/>
      </c>
      <c r="AG438" s="258" t="str">
        <f>IFERROR(Table7[[#This Row],[No. of Valid Internal Review Defects]]/(Table7[[#This Row],[No. of Valid Internal Review Defects]]+Table7[[#This Row],[No. of  Valid External Review Defects]]+Table7[[#This Row],[No. of Valid External Testing Defects]]),"")</f>
        <v/>
      </c>
      <c r="AH438" s="256" t="str">
        <f>IFERROR(Table7[[#This Row],[No. of Valid  Internal Testing Defects]]/Table7[[#This Row],[Overall Actual Effort for the release]],"")</f>
        <v/>
      </c>
      <c r="AI438" s="256" t="str">
        <f>IFERROR(Table7[[#This Row],[No. of Valid  Internal Testing Defects]]/Table7[[#This Row],[No. of Testcases Executed]],"")</f>
        <v/>
      </c>
      <c r="AJ438" s="259" t="str">
        <f>IFERROR(IFERROR(Table7[[#This Row],[No. of Testcases Created]]/Table7[[#This Row],[Effort for Testcase Creation]],"")*9,"")</f>
        <v/>
      </c>
      <c r="AK438" s="256" t="str">
        <f>IFERROR((Table7[[#This Row],[No. of Testcases Executed]]/Table7[[#This Row],[Effort for Testcase Execution]])*9,"")</f>
        <v/>
      </c>
      <c r="AL43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8" s="259" t="str">
        <f>IFERROR(Table7[[#This Row],[No. of Defects Validated]]/SUMIFS(Table3[Hours Worked],Table3[Release Name],Table7[[#This Row],[Release Name]],Table3[Task Type],"Defect Validation")*9,"")</f>
        <v/>
      </c>
      <c r="AN438" s="258" t="str">
        <f>IFERROR((Table7[[#This Row],[No. of Valid  Internal Testing Defects]])/(Table7[[#This Row],[No. of Valid  Internal Testing Defects]]+Table7[[#This Row],[No. of Invalid Internal Testing Defects]]),"")</f>
        <v/>
      </c>
      <c r="AO438" s="258" t="str">
        <f>IFERROR(Table7[[#This Row],[No. of Valid External Testing Defects]]/(Table7[[#This Row],[No. of Valid External Testing Defects]]+Table7[[#This Row],[No. of Valid  Internal Testing Defects]]),"")</f>
        <v/>
      </c>
    </row>
    <row r="439" spans="2:41">
      <c r="B439" s="237"/>
      <c r="C439" s="14"/>
      <c r="D439" s="14"/>
      <c r="E439" s="14"/>
      <c r="F439" s="230" t="str">
        <f>IFERROR((Table47[[#This Row],[Initial No. of Requirements]]+Table47[[#This Row],[Modified Requirements( Added / Deleted /Modified)]])/Table47[[#This Row],[Initial No. of Requirements]],"")</f>
        <v/>
      </c>
      <c r="G43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39" s="249"/>
      <c r="J439" s="249"/>
      <c r="K439" s="250"/>
      <c r="L439" s="250"/>
      <c r="M439" s="250"/>
      <c r="N439" s="248">
        <f>SUMIFS(Table1[Size],Table1[Release Name],[2]!Table7[Release Name])</f>
        <v>0</v>
      </c>
      <c r="O439" s="248"/>
      <c r="P43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39" s="248"/>
      <c r="R43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39" s="248"/>
      <c r="T439" s="248"/>
      <c r="U439" s="248"/>
      <c r="V439" s="248"/>
      <c r="W439" s="248"/>
      <c r="X439" s="248"/>
      <c r="Y439" s="248"/>
      <c r="Z439" s="248"/>
      <c r="AA439" s="248"/>
      <c r="AB439" s="13">
        <f>SUMIFS(Table3[Hours Worked],Table3[Release Name],Table7[[#This Row],[Release Name]],Table3[Task Type],"Testcase Creation")</f>
        <v>0</v>
      </c>
      <c r="AC439" s="255">
        <f>SUMIFS(Table3[Hours Worked],Table3[Release Name],Table7[[#This Row],[Release Name]],Table3[Task Type],"Testcase Execution")</f>
        <v>0</v>
      </c>
      <c r="AD43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39" s="256" t="str">
        <f>IFERROR((Table7[[#This Row],[No. of Valid Internal Review Defects]]+Table7[[#This Row],[No. of Valid  Internal Testing Defects]]+Table7[[#This Row],[No. of  Valid External Review Defects]]+Table7[[#This Row],[No. of Valid External Testing Defects]])/Table7[[#This Row],[Size]],"")</f>
        <v/>
      </c>
      <c r="AF439" s="257" t="str">
        <f>IFERROR(Table7[[#This Row],[No. of Valid Internal Review Defects]]/(Table7[[#This Row],[No. of Valid Internal Review Defects]]+Table7[[#This Row],[No. of  Valid External Review Defects]]+Table7[[#This Row],[No. of Valid  Internal Testing Defects]]+Table7[[#This Row],[No. of Valid External Testing Defects]]),"")</f>
        <v/>
      </c>
      <c r="AG439" s="258" t="str">
        <f>IFERROR(Table7[[#This Row],[No. of Valid Internal Review Defects]]/(Table7[[#This Row],[No. of Valid Internal Review Defects]]+Table7[[#This Row],[No. of  Valid External Review Defects]]+Table7[[#This Row],[No. of Valid External Testing Defects]]),"")</f>
        <v/>
      </c>
      <c r="AH439" s="256" t="str">
        <f>IFERROR(Table7[[#This Row],[No. of Valid  Internal Testing Defects]]/Table7[[#This Row],[Overall Actual Effort for the release]],"")</f>
        <v/>
      </c>
      <c r="AI439" s="256" t="str">
        <f>IFERROR(Table7[[#This Row],[No. of Valid  Internal Testing Defects]]/Table7[[#This Row],[No. of Testcases Executed]],"")</f>
        <v/>
      </c>
      <c r="AJ439" s="259" t="str">
        <f>IFERROR(IFERROR(Table7[[#This Row],[No. of Testcases Created]]/Table7[[#This Row],[Effort for Testcase Creation]],"")*9,"")</f>
        <v/>
      </c>
      <c r="AK439" s="256" t="str">
        <f>IFERROR((Table7[[#This Row],[No. of Testcases Executed]]/Table7[[#This Row],[Effort for Testcase Execution]])*9,"")</f>
        <v/>
      </c>
      <c r="AL43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39" s="259" t="str">
        <f>IFERROR(Table7[[#This Row],[No. of Defects Validated]]/SUMIFS(Table3[Hours Worked],Table3[Release Name],Table7[[#This Row],[Release Name]],Table3[Task Type],"Defect Validation")*9,"")</f>
        <v/>
      </c>
      <c r="AN439" s="258" t="str">
        <f>IFERROR((Table7[[#This Row],[No. of Valid  Internal Testing Defects]])/(Table7[[#This Row],[No. of Valid  Internal Testing Defects]]+Table7[[#This Row],[No. of Invalid Internal Testing Defects]]),"")</f>
        <v/>
      </c>
      <c r="AO439" s="258" t="str">
        <f>IFERROR(Table7[[#This Row],[No. of Valid External Testing Defects]]/(Table7[[#This Row],[No. of Valid External Testing Defects]]+Table7[[#This Row],[No. of Valid  Internal Testing Defects]]),"")</f>
        <v/>
      </c>
    </row>
    <row r="440" spans="2:41">
      <c r="B440" s="237"/>
      <c r="C440" s="14"/>
      <c r="D440" s="14"/>
      <c r="E440" s="14"/>
      <c r="F440" s="230" t="str">
        <f>IFERROR((Table47[[#This Row],[Initial No. of Requirements]]+Table47[[#This Row],[Modified Requirements( Added / Deleted /Modified)]])/Table47[[#This Row],[Initial No. of Requirements]],"")</f>
        <v/>
      </c>
      <c r="G44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0" s="249"/>
      <c r="J440" s="249"/>
      <c r="K440" s="250"/>
      <c r="L440" s="250"/>
      <c r="M440" s="250"/>
      <c r="N440" s="248">
        <f>SUMIFS(Table1[Size],Table1[Release Name],[2]!Table7[Release Name])</f>
        <v>0</v>
      </c>
      <c r="O440" s="248"/>
      <c r="P44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0" s="248"/>
      <c r="R44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0" s="248"/>
      <c r="T440" s="248"/>
      <c r="U440" s="248"/>
      <c r="V440" s="248"/>
      <c r="W440" s="248"/>
      <c r="X440" s="248"/>
      <c r="Y440" s="248"/>
      <c r="Z440" s="248"/>
      <c r="AA440" s="248"/>
      <c r="AB440" s="13">
        <f>SUMIFS(Table3[Hours Worked],Table3[Release Name],Table7[[#This Row],[Release Name]],Table3[Task Type],"Testcase Creation")</f>
        <v>0</v>
      </c>
      <c r="AC440" s="255">
        <f>SUMIFS(Table3[Hours Worked],Table3[Release Name],Table7[[#This Row],[Release Name]],Table3[Task Type],"Testcase Execution")</f>
        <v>0</v>
      </c>
      <c r="AD44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0" s="256" t="str">
        <f>IFERROR((Table7[[#This Row],[No. of Valid Internal Review Defects]]+Table7[[#This Row],[No. of Valid  Internal Testing Defects]]+Table7[[#This Row],[No. of  Valid External Review Defects]]+Table7[[#This Row],[No. of Valid External Testing Defects]])/Table7[[#This Row],[Size]],"")</f>
        <v/>
      </c>
      <c r="AF440" s="257" t="str">
        <f>IFERROR(Table7[[#This Row],[No. of Valid Internal Review Defects]]/(Table7[[#This Row],[No. of Valid Internal Review Defects]]+Table7[[#This Row],[No. of  Valid External Review Defects]]+Table7[[#This Row],[No. of Valid  Internal Testing Defects]]+Table7[[#This Row],[No. of Valid External Testing Defects]]),"")</f>
        <v/>
      </c>
      <c r="AG440" s="258" t="str">
        <f>IFERROR(Table7[[#This Row],[No. of Valid Internal Review Defects]]/(Table7[[#This Row],[No. of Valid Internal Review Defects]]+Table7[[#This Row],[No. of  Valid External Review Defects]]+Table7[[#This Row],[No. of Valid External Testing Defects]]),"")</f>
        <v/>
      </c>
      <c r="AH440" s="256" t="str">
        <f>IFERROR(Table7[[#This Row],[No. of Valid  Internal Testing Defects]]/Table7[[#This Row],[Overall Actual Effort for the release]],"")</f>
        <v/>
      </c>
      <c r="AI440" s="256" t="str">
        <f>IFERROR(Table7[[#This Row],[No. of Valid  Internal Testing Defects]]/Table7[[#This Row],[No. of Testcases Executed]],"")</f>
        <v/>
      </c>
      <c r="AJ440" s="259" t="str">
        <f>IFERROR(IFERROR(Table7[[#This Row],[No. of Testcases Created]]/Table7[[#This Row],[Effort for Testcase Creation]],"")*9,"")</f>
        <v/>
      </c>
      <c r="AK440" s="256" t="str">
        <f>IFERROR((Table7[[#This Row],[No. of Testcases Executed]]/Table7[[#This Row],[Effort for Testcase Execution]])*9,"")</f>
        <v/>
      </c>
      <c r="AL44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0" s="259" t="str">
        <f>IFERROR(Table7[[#This Row],[No. of Defects Validated]]/SUMIFS(Table3[Hours Worked],Table3[Release Name],Table7[[#This Row],[Release Name]],Table3[Task Type],"Defect Validation")*9,"")</f>
        <v/>
      </c>
      <c r="AN440" s="258" t="str">
        <f>IFERROR((Table7[[#This Row],[No. of Valid  Internal Testing Defects]])/(Table7[[#This Row],[No. of Valid  Internal Testing Defects]]+Table7[[#This Row],[No. of Invalid Internal Testing Defects]]),"")</f>
        <v/>
      </c>
      <c r="AO440" s="258" t="str">
        <f>IFERROR(Table7[[#This Row],[No. of Valid External Testing Defects]]/(Table7[[#This Row],[No. of Valid External Testing Defects]]+Table7[[#This Row],[No. of Valid  Internal Testing Defects]]),"")</f>
        <v/>
      </c>
    </row>
    <row r="441" spans="2:41">
      <c r="B441" s="237"/>
      <c r="C441" s="14"/>
      <c r="D441" s="14"/>
      <c r="E441" s="14"/>
      <c r="F441" s="230" t="str">
        <f>IFERROR((Table47[[#This Row],[Initial No. of Requirements]]+Table47[[#This Row],[Modified Requirements( Added / Deleted /Modified)]])/Table47[[#This Row],[Initial No. of Requirements]],"")</f>
        <v/>
      </c>
      <c r="G44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1" s="249"/>
      <c r="J441" s="249"/>
      <c r="K441" s="250"/>
      <c r="L441" s="250"/>
      <c r="M441" s="250"/>
      <c r="N441" s="248">
        <f>SUMIFS(Table1[Size],Table1[Release Name],[2]!Table7[Release Name])</f>
        <v>0</v>
      </c>
      <c r="O441" s="248"/>
      <c r="P44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1" s="248"/>
      <c r="R44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1" s="248"/>
      <c r="T441" s="248"/>
      <c r="U441" s="248"/>
      <c r="V441" s="248"/>
      <c r="W441" s="248"/>
      <c r="X441" s="248"/>
      <c r="Y441" s="248"/>
      <c r="Z441" s="248"/>
      <c r="AA441" s="248"/>
      <c r="AB441" s="13">
        <f>SUMIFS(Table3[Hours Worked],Table3[Release Name],Table7[[#This Row],[Release Name]],Table3[Task Type],"Testcase Creation")</f>
        <v>0</v>
      </c>
      <c r="AC441" s="255">
        <f>SUMIFS(Table3[Hours Worked],Table3[Release Name],Table7[[#This Row],[Release Name]],Table3[Task Type],"Testcase Execution")</f>
        <v>0</v>
      </c>
      <c r="AD44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1" s="256" t="str">
        <f>IFERROR((Table7[[#This Row],[No. of Valid Internal Review Defects]]+Table7[[#This Row],[No. of Valid  Internal Testing Defects]]+Table7[[#This Row],[No. of  Valid External Review Defects]]+Table7[[#This Row],[No. of Valid External Testing Defects]])/Table7[[#This Row],[Size]],"")</f>
        <v/>
      </c>
      <c r="AF441" s="257" t="str">
        <f>IFERROR(Table7[[#This Row],[No. of Valid Internal Review Defects]]/(Table7[[#This Row],[No. of Valid Internal Review Defects]]+Table7[[#This Row],[No. of  Valid External Review Defects]]+Table7[[#This Row],[No. of Valid  Internal Testing Defects]]+Table7[[#This Row],[No. of Valid External Testing Defects]]),"")</f>
        <v/>
      </c>
      <c r="AG441" s="258" t="str">
        <f>IFERROR(Table7[[#This Row],[No. of Valid Internal Review Defects]]/(Table7[[#This Row],[No. of Valid Internal Review Defects]]+Table7[[#This Row],[No. of  Valid External Review Defects]]+Table7[[#This Row],[No. of Valid External Testing Defects]]),"")</f>
        <v/>
      </c>
      <c r="AH441" s="256" t="str">
        <f>IFERROR(Table7[[#This Row],[No. of Valid  Internal Testing Defects]]/Table7[[#This Row],[Overall Actual Effort for the release]],"")</f>
        <v/>
      </c>
      <c r="AI441" s="256" t="str">
        <f>IFERROR(Table7[[#This Row],[No. of Valid  Internal Testing Defects]]/Table7[[#This Row],[No. of Testcases Executed]],"")</f>
        <v/>
      </c>
      <c r="AJ441" s="259" t="str">
        <f>IFERROR(IFERROR(Table7[[#This Row],[No. of Testcases Created]]/Table7[[#This Row],[Effort for Testcase Creation]],"")*9,"")</f>
        <v/>
      </c>
      <c r="AK441" s="256" t="str">
        <f>IFERROR((Table7[[#This Row],[No. of Testcases Executed]]/Table7[[#This Row],[Effort for Testcase Execution]])*9,"")</f>
        <v/>
      </c>
      <c r="AL44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1" s="259" t="str">
        <f>IFERROR(Table7[[#This Row],[No. of Defects Validated]]/SUMIFS(Table3[Hours Worked],Table3[Release Name],Table7[[#This Row],[Release Name]],Table3[Task Type],"Defect Validation")*9,"")</f>
        <v/>
      </c>
      <c r="AN441" s="258" t="str">
        <f>IFERROR((Table7[[#This Row],[No. of Valid  Internal Testing Defects]])/(Table7[[#This Row],[No. of Valid  Internal Testing Defects]]+Table7[[#This Row],[No. of Invalid Internal Testing Defects]]),"")</f>
        <v/>
      </c>
      <c r="AO441" s="258" t="str">
        <f>IFERROR(Table7[[#This Row],[No. of Valid External Testing Defects]]/(Table7[[#This Row],[No. of Valid External Testing Defects]]+Table7[[#This Row],[No. of Valid  Internal Testing Defects]]),"")</f>
        <v/>
      </c>
    </row>
    <row r="442" spans="2:41">
      <c r="B442" s="237"/>
      <c r="C442" s="14"/>
      <c r="D442" s="14"/>
      <c r="E442" s="14"/>
      <c r="F442" s="230" t="str">
        <f>IFERROR((Table47[[#This Row],[Initial No. of Requirements]]+Table47[[#This Row],[Modified Requirements( Added / Deleted /Modified)]])/Table47[[#This Row],[Initial No. of Requirements]],"")</f>
        <v/>
      </c>
      <c r="G44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2" s="249"/>
      <c r="J442" s="249"/>
      <c r="K442" s="250"/>
      <c r="L442" s="250"/>
      <c r="M442" s="250"/>
      <c r="N442" s="248">
        <f>SUMIFS(Table1[Size],Table1[Release Name],[2]!Table7[Release Name])</f>
        <v>0</v>
      </c>
      <c r="O442" s="248"/>
      <c r="P44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2" s="248"/>
      <c r="R44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2" s="248"/>
      <c r="T442" s="248"/>
      <c r="U442" s="248"/>
      <c r="V442" s="248"/>
      <c r="W442" s="248"/>
      <c r="X442" s="248"/>
      <c r="Y442" s="248"/>
      <c r="Z442" s="248"/>
      <c r="AA442" s="248"/>
      <c r="AB442" s="13">
        <f>SUMIFS(Table3[Hours Worked],Table3[Release Name],Table7[[#This Row],[Release Name]],Table3[Task Type],"Testcase Creation")</f>
        <v>0</v>
      </c>
      <c r="AC442" s="255">
        <f>SUMIFS(Table3[Hours Worked],Table3[Release Name],Table7[[#This Row],[Release Name]],Table3[Task Type],"Testcase Execution")</f>
        <v>0</v>
      </c>
      <c r="AD44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2" s="256" t="str">
        <f>IFERROR((Table7[[#This Row],[No. of Valid Internal Review Defects]]+Table7[[#This Row],[No. of Valid  Internal Testing Defects]]+Table7[[#This Row],[No. of  Valid External Review Defects]]+Table7[[#This Row],[No. of Valid External Testing Defects]])/Table7[[#This Row],[Size]],"")</f>
        <v/>
      </c>
      <c r="AF442" s="257" t="str">
        <f>IFERROR(Table7[[#This Row],[No. of Valid Internal Review Defects]]/(Table7[[#This Row],[No. of Valid Internal Review Defects]]+Table7[[#This Row],[No. of  Valid External Review Defects]]+Table7[[#This Row],[No. of Valid  Internal Testing Defects]]+Table7[[#This Row],[No. of Valid External Testing Defects]]),"")</f>
        <v/>
      </c>
      <c r="AG442" s="258" t="str">
        <f>IFERROR(Table7[[#This Row],[No. of Valid Internal Review Defects]]/(Table7[[#This Row],[No. of Valid Internal Review Defects]]+Table7[[#This Row],[No. of  Valid External Review Defects]]+Table7[[#This Row],[No. of Valid External Testing Defects]]),"")</f>
        <v/>
      </c>
      <c r="AH442" s="256" t="str">
        <f>IFERROR(Table7[[#This Row],[No. of Valid  Internal Testing Defects]]/Table7[[#This Row],[Overall Actual Effort for the release]],"")</f>
        <v/>
      </c>
      <c r="AI442" s="256" t="str">
        <f>IFERROR(Table7[[#This Row],[No. of Valid  Internal Testing Defects]]/Table7[[#This Row],[No. of Testcases Executed]],"")</f>
        <v/>
      </c>
      <c r="AJ442" s="259" t="str">
        <f>IFERROR(IFERROR(Table7[[#This Row],[No. of Testcases Created]]/Table7[[#This Row],[Effort for Testcase Creation]],"")*9,"")</f>
        <v/>
      </c>
      <c r="AK442" s="256" t="str">
        <f>IFERROR((Table7[[#This Row],[No. of Testcases Executed]]/Table7[[#This Row],[Effort for Testcase Execution]])*9,"")</f>
        <v/>
      </c>
      <c r="AL44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2" s="259" t="str">
        <f>IFERROR(Table7[[#This Row],[No. of Defects Validated]]/SUMIFS(Table3[Hours Worked],Table3[Release Name],Table7[[#This Row],[Release Name]],Table3[Task Type],"Defect Validation")*9,"")</f>
        <v/>
      </c>
      <c r="AN442" s="258" t="str">
        <f>IFERROR((Table7[[#This Row],[No. of Valid  Internal Testing Defects]])/(Table7[[#This Row],[No. of Valid  Internal Testing Defects]]+Table7[[#This Row],[No. of Invalid Internal Testing Defects]]),"")</f>
        <v/>
      </c>
      <c r="AO442" s="258" t="str">
        <f>IFERROR(Table7[[#This Row],[No. of Valid External Testing Defects]]/(Table7[[#This Row],[No. of Valid External Testing Defects]]+Table7[[#This Row],[No. of Valid  Internal Testing Defects]]),"")</f>
        <v/>
      </c>
    </row>
    <row r="443" spans="2:41">
      <c r="B443" s="237"/>
      <c r="C443" s="14"/>
      <c r="D443" s="14"/>
      <c r="E443" s="14"/>
      <c r="F443" s="230" t="str">
        <f>IFERROR((Table47[[#This Row],[Initial No. of Requirements]]+Table47[[#This Row],[Modified Requirements( Added / Deleted /Modified)]])/Table47[[#This Row],[Initial No. of Requirements]],"")</f>
        <v/>
      </c>
      <c r="G44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3" s="249"/>
      <c r="J443" s="249"/>
      <c r="K443" s="250"/>
      <c r="L443" s="250"/>
      <c r="M443" s="250"/>
      <c r="N443" s="248">
        <f>SUMIFS(Table1[Size],Table1[Release Name],[2]!Table7[Release Name])</f>
        <v>0</v>
      </c>
      <c r="O443" s="248"/>
      <c r="P44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3" s="248"/>
      <c r="R44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3" s="248"/>
      <c r="T443" s="248"/>
      <c r="U443" s="248"/>
      <c r="V443" s="248"/>
      <c r="W443" s="248"/>
      <c r="X443" s="248"/>
      <c r="Y443" s="248"/>
      <c r="Z443" s="248"/>
      <c r="AA443" s="248"/>
      <c r="AB443" s="13">
        <f>SUMIFS(Table3[Hours Worked],Table3[Release Name],Table7[[#This Row],[Release Name]],Table3[Task Type],"Testcase Creation")</f>
        <v>0</v>
      </c>
      <c r="AC443" s="255">
        <f>SUMIFS(Table3[Hours Worked],Table3[Release Name],Table7[[#This Row],[Release Name]],Table3[Task Type],"Testcase Execution")</f>
        <v>0</v>
      </c>
      <c r="AD44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3" s="256" t="str">
        <f>IFERROR((Table7[[#This Row],[No. of Valid Internal Review Defects]]+Table7[[#This Row],[No. of Valid  Internal Testing Defects]]+Table7[[#This Row],[No. of  Valid External Review Defects]]+Table7[[#This Row],[No. of Valid External Testing Defects]])/Table7[[#This Row],[Size]],"")</f>
        <v/>
      </c>
      <c r="AF443" s="257" t="str">
        <f>IFERROR(Table7[[#This Row],[No. of Valid Internal Review Defects]]/(Table7[[#This Row],[No. of Valid Internal Review Defects]]+Table7[[#This Row],[No. of  Valid External Review Defects]]+Table7[[#This Row],[No. of Valid  Internal Testing Defects]]+Table7[[#This Row],[No. of Valid External Testing Defects]]),"")</f>
        <v/>
      </c>
      <c r="AG443" s="258" t="str">
        <f>IFERROR(Table7[[#This Row],[No. of Valid Internal Review Defects]]/(Table7[[#This Row],[No. of Valid Internal Review Defects]]+Table7[[#This Row],[No. of  Valid External Review Defects]]+Table7[[#This Row],[No. of Valid External Testing Defects]]),"")</f>
        <v/>
      </c>
      <c r="AH443" s="256" t="str">
        <f>IFERROR(Table7[[#This Row],[No. of Valid  Internal Testing Defects]]/Table7[[#This Row],[Overall Actual Effort for the release]],"")</f>
        <v/>
      </c>
      <c r="AI443" s="256" t="str">
        <f>IFERROR(Table7[[#This Row],[No. of Valid  Internal Testing Defects]]/Table7[[#This Row],[No. of Testcases Executed]],"")</f>
        <v/>
      </c>
      <c r="AJ443" s="259" t="str">
        <f>IFERROR(IFERROR(Table7[[#This Row],[No. of Testcases Created]]/Table7[[#This Row],[Effort for Testcase Creation]],"")*9,"")</f>
        <v/>
      </c>
      <c r="AK443" s="256" t="str">
        <f>IFERROR((Table7[[#This Row],[No. of Testcases Executed]]/Table7[[#This Row],[Effort for Testcase Execution]])*9,"")</f>
        <v/>
      </c>
      <c r="AL44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3" s="259" t="str">
        <f>IFERROR(Table7[[#This Row],[No. of Defects Validated]]/SUMIFS(Table3[Hours Worked],Table3[Release Name],Table7[[#This Row],[Release Name]],Table3[Task Type],"Defect Validation")*9,"")</f>
        <v/>
      </c>
      <c r="AN443" s="258" t="str">
        <f>IFERROR((Table7[[#This Row],[No. of Valid  Internal Testing Defects]])/(Table7[[#This Row],[No. of Valid  Internal Testing Defects]]+Table7[[#This Row],[No. of Invalid Internal Testing Defects]]),"")</f>
        <v/>
      </c>
      <c r="AO443" s="258" t="str">
        <f>IFERROR(Table7[[#This Row],[No. of Valid External Testing Defects]]/(Table7[[#This Row],[No. of Valid External Testing Defects]]+Table7[[#This Row],[No. of Valid  Internal Testing Defects]]),"")</f>
        <v/>
      </c>
    </row>
    <row r="444" spans="2:41">
      <c r="B444" s="237"/>
      <c r="C444" s="14"/>
      <c r="D444" s="14"/>
      <c r="E444" s="14"/>
      <c r="F444" s="230" t="str">
        <f>IFERROR((Table47[[#This Row],[Initial No. of Requirements]]+Table47[[#This Row],[Modified Requirements( Added / Deleted /Modified)]])/Table47[[#This Row],[Initial No. of Requirements]],"")</f>
        <v/>
      </c>
      <c r="G44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4" s="249"/>
      <c r="J444" s="249"/>
      <c r="K444" s="250"/>
      <c r="L444" s="250"/>
      <c r="M444" s="250"/>
      <c r="N444" s="248">
        <f>SUMIFS(Table1[Size],Table1[Release Name],[2]!Table7[Release Name])</f>
        <v>0</v>
      </c>
      <c r="O444" s="248"/>
      <c r="P44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4" s="248"/>
      <c r="R44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4" s="248"/>
      <c r="T444" s="248"/>
      <c r="U444" s="248"/>
      <c r="V444" s="248"/>
      <c r="W444" s="248"/>
      <c r="X444" s="248"/>
      <c r="Y444" s="248"/>
      <c r="Z444" s="248"/>
      <c r="AA444" s="248"/>
      <c r="AB444" s="13">
        <f>SUMIFS(Table3[Hours Worked],Table3[Release Name],Table7[[#This Row],[Release Name]],Table3[Task Type],"Testcase Creation")</f>
        <v>0</v>
      </c>
      <c r="AC444" s="255">
        <f>SUMIFS(Table3[Hours Worked],Table3[Release Name],Table7[[#This Row],[Release Name]],Table3[Task Type],"Testcase Execution")</f>
        <v>0</v>
      </c>
      <c r="AD44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4" s="256" t="str">
        <f>IFERROR((Table7[[#This Row],[No. of Valid Internal Review Defects]]+Table7[[#This Row],[No. of Valid  Internal Testing Defects]]+Table7[[#This Row],[No. of  Valid External Review Defects]]+Table7[[#This Row],[No. of Valid External Testing Defects]])/Table7[[#This Row],[Size]],"")</f>
        <v/>
      </c>
      <c r="AF444" s="257" t="str">
        <f>IFERROR(Table7[[#This Row],[No. of Valid Internal Review Defects]]/(Table7[[#This Row],[No. of Valid Internal Review Defects]]+Table7[[#This Row],[No. of  Valid External Review Defects]]+Table7[[#This Row],[No. of Valid  Internal Testing Defects]]+Table7[[#This Row],[No. of Valid External Testing Defects]]),"")</f>
        <v/>
      </c>
      <c r="AG444" s="258" t="str">
        <f>IFERROR(Table7[[#This Row],[No. of Valid Internal Review Defects]]/(Table7[[#This Row],[No. of Valid Internal Review Defects]]+Table7[[#This Row],[No. of  Valid External Review Defects]]+Table7[[#This Row],[No. of Valid External Testing Defects]]),"")</f>
        <v/>
      </c>
      <c r="AH444" s="256" t="str">
        <f>IFERROR(Table7[[#This Row],[No. of Valid  Internal Testing Defects]]/Table7[[#This Row],[Overall Actual Effort for the release]],"")</f>
        <v/>
      </c>
      <c r="AI444" s="256" t="str">
        <f>IFERROR(Table7[[#This Row],[No. of Valid  Internal Testing Defects]]/Table7[[#This Row],[No. of Testcases Executed]],"")</f>
        <v/>
      </c>
      <c r="AJ444" s="259" t="str">
        <f>IFERROR(IFERROR(Table7[[#This Row],[No. of Testcases Created]]/Table7[[#This Row],[Effort for Testcase Creation]],"")*9,"")</f>
        <v/>
      </c>
      <c r="AK444" s="256" t="str">
        <f>IFERROR((Table7[[#This Row],[No. of Testcases Executed]]/Table7[[#This Row],[Effort for Testcase Execution]])*9,"")</f>
        <v/>
      </c>
      <c r="AL44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4" s="259" t="str">
        <f>IFERROR(Table7[[#This Row],[No. of Defects Validated]]/SUMIFS(Table3[Hours Worked],Table3[Release Name],Table7[[#This Row],[Release Name]],Table3[Task Type],"Defect Validation")*9,"")</f>
        <v/>
      </c>
      <c r="AN444" s="258" t="str">
        <f>IFERROR((Table7[[#This Row],[No. of Valid  Internal Testing Defects]])/(Table7[[#This Row],[No. of Valid  Internal Testing Defects]]+Table7[[#This Row],[No. of Invalid Internal Testing Defects]]),"")</f>
        <v/>
      </c>
      <c r="AO444" s="258" t="str">
        <f>IFERROR(Table7[[#This Row],[No. of Valid External Testing Defects]]/(Table7[[#This Row],[No. of Valid External Testing Defects]]+Table7[[#This Row],[No. of Valid  Internal Testing Defects]]),"")</f>
        <v/>
      </c>
    </row>
    <row r="445" spans="2:41">
      <c r="B445" s="237"/>
      <c r="C445" s="14"/>
      <c r="D445" s="14"/>
      <c r="E445" s="14"/>
      <c r="F445" s="230" t="str">
        <f>IFERROR((Table47[[#This Row],[Initial No. of Requirements]]+Table47[[#This Row],[Modified Requirements( Added / Deleted /Modified)]])/Table47[[#This Row],[Initial No. of Requirements]],"")</f>
        <v/>
      </c>
      <c r="G44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5" s="249"/>
      <c r="J445" s="249"/>
      <c r="K445" s="250"/>
      <c r="L445" s="250"/>
      <c r="M445" s="250"/>
      <c r="N445" s="248">
        <f>SUMIFS(Table1[Size],Table1[Release Name],[2]!Table7[Release Name])</f>
        <v>0</v>
      </c>
      <c r="O445" s="248"/>
      <c r="P44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5" s="248"/>
      <c r="R44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5" s="248"/>
      <c r="T445" s="248"/>
      <c r="U445" s="248"/>
      <c r="V445" s="248"/>
      <c r="W445" s="248"/>
      <c r="X445" s="248"/>
      <c r="Y445" s="248"/>
      <c r="Z445" s="248"/>
      <c r="AA445" s="248"/>
      <c r="AB445" s="13">
        <f>SUMIFS(Table3[Hours Worked],Table3[Release Name],Table7[[#This Row],[Release Name]],Table3[Task Type],"Testcase Creation")</f>
        <v>0</v>
      </c>
      <c r="AC445" s="255">
        <f>SUMIFS(Table3[Hours Worked],Table3[Release Name],Table7[[#This Row],[Release Name]],Table3[Task Type],"Testcase Execution")</f>
        <v>0</v>
      </c>
      <c r="AD44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5" s="256" t="str">
        <f>IFERROR((Table7[[#This Row],[No. of Valid Internal Review Defects]]+Table7[[#This Row],[No. of Valid  Internal Testing Defects]]+Table7[[#This Row],[No. of  Valid External Review Defects]]+Table7[[#This Row],[No. of Valid External Testing Defects]])/Table7[[#This Row],[Size]],"")</f>
        <v/>
      </c>
      <c r="AF445" s="257" t="str">
        <f>IFERROR(Table7[[#This Row],[No. of Valid Internal Review Defects]]/(Table7[[#This Row],[No. of Valid Internal Review Defects]]+Table7[[#This Row],[No. of  Valid External Review Defects]]+Table7[[#This Row],[No. of Valid  Internal Testing Defects]]+Table7[[#This Row],[No. of Valid External Testing Defects]]),"")</f>
        <v/>
      </c>
      <c r="AG445" s="258" t="str">
        <f>IFERROR(Table7[[#This Row],[No. of Valid Internal Review Defects]]/(Table7[[#This Row],[No. of Valid Internal Review Defects]]+Table7[[#This Row],[No. of  Valid External Review Defects]]+Table7[[#This Row],[No. of Valid External Testing Defects]]),"")</f>
        <v/>
      </c>
      <c r="AH445" s="256" t="str">
        <f>IFERROR(Table7[[#This Row],[No. of Valid  Internal Testing Defects]]/Table7[[#This Row],[Overall Actual Effort for the release]],"")</f>
        <v/>
      </c>
      <c r="AI445" s="256" t="str">
        <f>IFERROR(Table7[[#This Row],[No. of Valid  Internal Testing Defects]]/Table7[[#This Row],[No. of Testcases Executed]],"")</f>
        <v/>
      </c>
      <c r="AJ445" s="259" t="str">
        <f>IFERROR(IFERROR(Table7[[#This Row],[No. of Testcases Created]]/Table7[[#This Row],[Effort for Testcase Creation]],"")*9,"")</f>
        <v/>
      </c>
      <c r="AK445" s="256" t="str">
        <f>IFERROR((Table7[[#This Row],[No. of Testcases Executed]]/Table7[[#This Row],[Effort for Testcase Execution]])*9,"")</f>
        <v/>
      </c>
      <c r="AL44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5" s="259" t="str">
        <f>IFERROR(Table7[[#This Row],[No. of Defects Validated]]/SUMIFS(Table3[Hours Worked],Table3[Release Name],Table7[[#This Row],[Release Name]],Table3[Task Type],"Defect Validation")*9,"")</f>
        <v/>
      </c>
      <c r="AN445" s="258" t="str">
        <f>IFERROR((Table7[[#This Row],[No. of Valid  Internal Testing Defects]])/(Table7[[#This Row],[No. of Valid  Internal Testing Defects]]+Table7[[#This Row],[No. of Invalid Internal Testing Defects]]),"")</f>
        <v/>
      </c>
      <c r="AO445" s="258" t="str">
        <f>IFERROR(Table7[[#This Row],[No. of Valid External Testing Defects]]/(Table7[[#This Row],[No. of Valid External Testing Defects]]+Table7[[#This Row],[No. of Valid  Internal Testing Defects]]),"")</f>
        <v/>
      </c>
    </row>
    <row r="446" spans="2:41">
      <c r="B446" s="237"/>
      <c r="C446" s="14"/>
      <c r="D446" s="14"/>
      <c r="E446" s="14"/>
      <c r="F446" s="230" t="str">
        <f>IFERROR((Table47[[#This Row],[Initial No. of Requirements]]+Table47[[#This Row],[Modified Requirements( Added / Deleted /Modified)]])/Table47[[#This Row],[Initial No. of Requirements]],"")</f>
        <v/>
      </c>
      <c r="G44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6" s="249"/>
      <c r="J446" s="249"/>
      <c r="K446" s="250"/>
      <c r="L446" s="250"/>
      <c r="M446" s="250"/>
      <c r="N446" s="248">
        <f>SUMIFS(Table1[Size],Table1[Release Name],[2]!Table7[Release Name])</f>
        <v>0</v>
      </c>
      <c r="O446" s="248"/>
      <c r="P44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6" s="248"/>
      <c r="R44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6" s="248"/>
      <c r="T446" s="248"/>
      <c r="U446" s="248"/>
      <c r="V446" s="248"/>
      <c r="W446" s="248"/>
      <c r="X446" s="248"/>
      <c r="Y446" s="248"/>
      <c r="Z446" s="248"/>
      <c r="AA446" s="248"/>
      <c r="AB446" s="13">
        <f>SUMIFS(Table3[Hours Worked],Table3[Release Name],Table7[[#This Row],[Release Name]],Table3[Task Type],"Testcase Creation")</f>
        <v>0</v>
      </c>
      <c r="AC446" s="255">
        <f>SUMIFS(Table3[Hours Worked],Table3[Release Name],Table7[[#This Row],[Release Name]],Table3[Task Type],"Testcase Execution")</f>
        <v>0</v>
      </c>
      <c r="AD44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6" s="256" t="str">
        <f>IFERROR((Table7[[#This Row],[No. of Valid Internal Review Defects]]+Table7[[#This Row],[No. of Valid  Internal Testing Defects]]+Table7[[#This Row],[No. of  Valid External Review Defects]]+Table7[[#This Row],[No. of Valid External Testing Defects]])/Table7[[#This Row],[Size]],"")</f>
        <v/>
      </c>
      <c r="AF446" s="257" t="str">
        <f>IFERROR(Table7[[#This Row],[No. of Valid Internal Review Defects]]/(Table7[[#This Row],[No. of Valid Internal Review Defects]]+Table7[[#This Row],[No. of  Valid External Review Defects]]+Table7[[#This Row],[No. of Valid  Internal Testing Defects]]+Table7[[#This Row],[No. of Valid External Testing Defects]]),"")</f>
        <v/>
      </c>
      <c r="AG446" s="258" t="str">
        <f>IFERROR(Table7[[#This Row],[No. of Valid Internal Review Defects]]/(Table7[[#This Row],[No. of Valid Internal Review Defects]]+Table7[[#This Row],[No. of  Valid External Review Defects]]+Table7[[#This Row],[No. of Valid External Testing Defects]]),"")</f>
        <v/>
      </c>
      <c r="AH446" s="256" t="str">
        <f>IFERROR(Table7[[#This Row],[No. of Valid  Internal Testing Defects]]/Table7[[#This Row],[Overall Actual Effort for the release]],"")</f>
        <v/>
      </c>
      <c r="AI446" s="256" t="str">
        <f>IFERROR(Table7[[#This Row],[No. of Valid  Internal Testing Defects]]/Table7[[#This Row],[No. of Testcases Executed]],"")</f>
        <v/>
      </c>
      <c r="AJ446" s="259" t="str">
        <f>IFERROR(IFERROR(Table7[[#This Row],[No. of Testcases Created]]/Table7[[#This Row],[Effort for Testcase Creation]],"")*9,"")</f>
        <v/>
      </c>
      <c r="AK446" s="256" t="str">
        <f>IFERROR((Table7[[#This Row],[No. of Testcases Executed]]/Table7[[#This Row],[Effort for Testcase Execution]])*9,"")</f>
        <v/>
      </c>
      <c r="AL44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6" s="259" t="str">
        <f>IFERROR(Table7[[#This Row],[No. of Defects Validated]]/SUMIFS(Table3[Hours Worked],Table3[Release Name],Table7[[#This Row],[Release Name]],Table3[Task Type],"Defect Validation")*9,"")</f>
        <v/>
      </c>
      <c r="AN446" s="258" t="str">
        <f>IFERROR((Table7[[#This Row],[No. of Valid  Internal Testing Defects]])/(Table7[[#This Row],[No. of Valid  Internal Testing Defects]]+Table7[[#This Row],[No. of Invalid Internal Testing Defects]]),"")</f>
        <v/>
      </c>
      <c r="AO446" s="258" t="str">
        <f>IFERROR(Table7[[#This Row],[No. of Valid External Testing Defects]]/(Table7[[#This Row],[No. of Valid External Testing Defects]]+Table7[[#This Row],[No. of Valid  Internal Testing Defects]]),"")</f>
        <v/>
      </c>
    </row>
    <row r="447" spans="2:41">
      <c r="B447" s="237"/>
      <c r="C447" s="14"/>
      <c r="D447" s="14"/>
      <c r="E447" s="14"/>
      <c r="F447" s="230" t="str">
        <f>IFERROR((Table47[[#This Row],[Initial No. of Requirements]]+Table47[[#This Row],[Modified Requirements( Added / Deleted /Modified)]])/Table47[[#This Row],[Initial No. of Requirements]],"")</f>
        <v/>
      </c>
      <c r="G44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7" s="249"/>
      <c r="J447" s="249"/>
      <c r="K447" s="250"/>
      <c r="L447" s="250"/>
      <c r="M447" s="250"/>
      <c r="N447" s="248">
        <f>SUMIFS(Table1[Size],Table1[Release Name],[2]!Table7[Release Name])</f>
        <v>0</v>
      </c>
      <c r="O447" s="248"/>
      <c r="P44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7" s="248"/>
      <c r="R44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7" s="248"/>
      <c r="T447" s="248"/>
      <c r="U447" s="248"/>
      <c r="V447" s="248"/>
      <c r="W447" s="248"/>
      <c r="X447" s="248"/>
      <c r="Y447" s="248"/>
      <c r="Z447" s="248"/>
      <c r="AA447" s="248"/>
      <c r="AB447" s="13">
        <f>SUMIFS(Table3[Hours Worked],Table3[Release Name],Table7[[#This Row],[Release Name]],Table3[Task Type],"Testcase Creation")</f>
        <v>0</v>
      </c>
      <c r="AC447" s="255">
        <f>SUMIFS(Table3[Hours Worked],Table3[Release Name],Table7[[#This Row],[Release Name]],Table3[Task Type],"Testcase Execution")</f>
        <v>0</v>
      </c>
      <c r="AD44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7" s="256" t="str">
        <f>IFERROR((Table7[[#This Row],[No. of Valid Internal Review Defects]]+Table7[[#This Row],[No. of Valid  Internal Testing Defects]]+Table7[[#This Row],[No. of  Valid External Review Defects]]+Table7[[#This Row],[No. of Valid External Testing Defects]])/Table7[[#This Row],[Size]],"")</f>
        <v/>
      </c>
      <c r="AF447" s="257" t="str">
        <f>IFERROR(Table7[[#This Row],[No. of Valid Internal Review Defects]]/(Table7[[#This Row],[No. of Valid Internal Review Defects]]+Table7[[#This Row],[No. of  Valid External Review Defects]]+Table7[[#This Row],[No. of Valid  Internal Testing Defects]]+Table7[[#This Row],[No. of Valid External Testing Defects]]),"")</f>
        <v/>
      </c>
      <c r="AG447" s="258" t="str">
        <f>IFERROR(Table7[[#This Row],[No. of Valid Internal Review Defects]]/(Table7[[#This Row],[No. of Valid Internal Review Defects]]+Table7[[#This Row],[No. of  Valid External Review Defects]]+Table7[[#This Row],[No. of Valid External Testing Defects]]),"")</f>
        <v/>
      </c>
      <c r="AH447" s="256" t="str">
        <f>IFERROR(Table7[[#This Row],[No. of Valid  Internal Testing Defects]]/Table7[[#This Row],[Overall Actual Effort for the release]],"")</f>
        <v/>
      </c>
      <c r="AI447" s="256" t="str">
        <f>IFERROR(Table7[[#This Row],[No. of Valid  Internal Testing Defects]]/Table7[[#This Row],[No. of Testcases Executed]],"")</f>
        <v/>
      </c>
      <c r="AJ447" s="259" t="str">
        <f>IFERROR(IFERROR(Table7[[#This Row],[No. of Testcases Created]]/Table7[[#This Row],[Effort for Testcase Creation]],"")*9,"")</f>
        <v/>
      </c>
      <c r="AK447" s="256" t="str">
        <f>IFERROR((Table7[[#This Row],[No. of Testcases Executed]]/Table7[[#This Row],[Effort for Testcase Execution]])*9,"")</f>
        <v/>
      </c>
      <c r="AL44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7" s="259" t="str">
        <f>IFERROR(Table7[[#This Row],[No. of Defects Validated]]/SUMIFS(Table3[Hours Worked],Table3[Release Name],Table7[[#This Row],[Release Name]],Table3[Task Type],"Defect Validation")*9,"")</f>
        <v/>
      </c>
      <c r="AN447" s="258" t="str">
        <f>IFERROR((Table7[[#This Row],[No. of Valid  Internal Testing Defects]])/(Table7[[#This Row],[No. of Valid  Internal Testing Defects]]+Table7[[#This Row],[No. of Invalid Internal Testing Defects]]),"")</f>
        <v/>
      </c>
      <c r="AO447" s="258" t="str">
        <f>IFERROR(Table7[[#This Row],[No. of Valid External Testing Defects]]/(Table7[[#This Row],[No. of Valid External Testing Defects]]+Table7[[#This Row],[No. of Valid  Internal Testing Defects]]),"")</f>
        <v/>
      </c>
    </row>
    <row r="448" spans="2:41">
      <c r="B448" s="237"/>
      <c r="C448" s="14"/>
      <c r="D448" s="14"/>
      <c r="E448" s="14"/>
      <c r="F448" s="230" t="str">
        <f>IFERROR((Table47[[#This Row],[Initial No. of Requirements]]+Table47[[#This Row],[Modified Requirements( Added / Deleted /Modified)]])/Table47[[#This Row],[Initial No. of Requirements]],"")</f>
        <v/>
      </c>
      <c r="G44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8" s="249"/>
      <c r="J448" s="249"/>
      <c r="K448" s="250"/>
      <c r="L448" s="250"/>
      <c r="M448" s="250"/>
      <c r="N448" s="248">
        <f>SUMIFS(Table1[Size],Table1[Release Name],[2]!Table7[Release Name])</f>
        <v>0</v>
      </c>
      <c r="O448" s="248"/>
      <c r="P44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8" s="248"/>
      <c r="R44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8" s="248"/>
      <c r="T448" s="248"/>
      <c r="U448" s="248"/>
      <c r="V448" s="248"/>
      <c r="W448" s="248"/>
      <c r="X448" s="248"/>
      <c r="Y448" s="248"/>
      <c r="Z448" s="248"/>
      <c r="AA448" s="248"/>
      <c r="AB448" s="13">
        <f>SUMIFS(Table3[Hours Worked],Table3[Release Name],Table7[[#This Row],[Release Name]],Table3[Task Type],"Testcase Creation")</f>
        <v>0</v>
      </c>
      <c r="AC448" s="255">
        <f>SUMIFS(Table3[Hours Worked],Table3[Release Name],Table7[[#This Row],[Release Name]],Table3[Task Type],"Testcase Execution")</f>
        <v>0</v>
      </c>
      <c r="AD44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8" s="256" t="str">
        <f>IFERROR((Table7[[#This Row],[No. of Valid Internal Review Defects]]+Table7[[#This Row],[No. of Valid  Internal Testing Defects]]+Table7[[#This Row],[No. of  Valid External Review Defects]]+Table7[[#This Row],[No. of Valid External Testing Defects]])/Table7[[#This Row],[Size]],"")</f>
        <v/>
      </c>
      <c r="AF448" s="257" t="str">
        <f>IFERROR(Table7[[#This Row],[No. of Valid Internal Review Defects]]/(Table7[[#This Row],[No. of Valid Internal Review Defects]]+Table7[[#This Row],[No. of  Valid External Review Defects]]+Table7[[#This Row],[No. of Valid  Internal Testing Defects]]+Table7[[#This Row],[No. of Valid External Testing Defects]]),"")</f>
        <v/>
      </c>
      <c r="AG448" s="258" t="str">
        <f>IFERROR(Table7[[#This Row],[No. of Valid Internal Review Defects]]/(Table7[[#This Row],[No. of Valid Internal Review Defects]]+Table7[[#This Row],[No. of  Valid External Review Defects]]+Table7[[#This Row],[No. of Valid External Testing Defects]]),"")</f>
        <v/>
      </c>
      <c r="AH448" s="256" t="str">
        <f>IFERROR(Table7[[#This Row],[No. of Valid  Internal Testing Defects]]/Table7[[#This Row],[Overall Actual Effort for the release]],"")</f>
        <v/>
      </c>
      <c r="AI448" s="256" t="str">
        <f>IFERROR(Table7[[#This Row],[No. of Valid  Internal Testing Defects]]/Table7[[#This Row],[No. of Testcases Executed]],"")</f>
        <v/>
      </c>
      <c r="AJ448" s="259" t="str">
        <f>IFERROR(IFERROR(Table7[[#This Row],[No. of Testcases Created]]/Table7[[#This Row],[Effort for Testcase Creation]],"")*9,"")</f>
        <v/>
      </c>
      <c r="AK448" s="256" t="str">
        <f>IFERROR((Table7[[#This Row],[No. of Testcases Executed]]/Table7[[#This Row],[Effort for Testcase Execution]])*9,"")</f>
        <v/>
      </c>
      <c r="AL44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8" s="259" t="str">
        <f>IFERROR(Table7[[#This Row],[No. of Defects Validated]]/SUMIFS(Table3[Hours Worked],Table3[Release Name],Table7[[#This Row],[Release Name]],Table3[Task Type],"Defect Validation")*9,"")</f>
        <v/>
      </c>
      <c r="AN448" s="258" t="str">
        <f>IFERROR((Table7[[#This Row],[No. of Valid  Internal Testing Defects]])/(Table7[[#This Row],[No. of Valid  Internal Testing Defects]]+Table7[[#This Row],[No. of Invalid Internal Testing Defects]]),"")</f>
        <v/>
      </c>
      <c r="AO448" s="258" t="str">
        <f>IFERROR(Table7[[#This Row],[No. of Valid External Testing Defects]]/(Table7[[#This Row],[No. of Valid External Testing Defects]]+Table7[[#This Row],[No. of Valid  Internal Testing Defects]]),"")</f>
        <v/>
      </c>
    </row>
    <row r="449" spans="2:41">
      <c r="B449" s="237"/>
      <c r="C449" s="14"/>
      <c r="D449" s="14"/>
      <c r="E449" s="14"/>
      <c r="F449" s="230" t="str">
        <f>IFERROR((Table47[[#This Row],[Initial No. of Requirements]]+Table47[[#This Row],[Modified Requirements( Added / Deleted /Modified)]])/Table47[[#This Row],[Initial No. of Requirements]],"")</f>
        <v/>
      </c>
      <c r="G44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49" s="249"/>
      <c r="J449" s="249"/>
      <c r="K449" s="250"/>
      <c r="L449" s="250"/>
      <c r="M449" s="250"/>
      <c r="N449" s="248">
        <f>SUMIFS(Table1[Size],Table1[Release Name],[2]!Table7[Release Name])</f>
        <v>0</v>
      </c>
      <c r="O449" s="248"/>
      <c r="P44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49" s="248"/>
      <c r="R44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49" s="248"/>
      <c r="T449" s="248"/>
      <c r="U449" s="248"/>
      <c r="V449" s="248"/>
      <c r="W449" s="248"/>
      <c r="X449" s="248"/>
      <c r="Y449" s="248"/>
      <c r="Z449" s="248"/>
      <c r="AA449" s="248"/>
      <c r="AB449" s="13">
        <f>SUMIFS(Table3[Hours Worked],Table3[Release Name],Table7[[#This Row],[Release Name]],Table3[Task Type],"Testcase Creation")</f>
        <v>0</v>
      </c>
      <c r="AC449" s="255">
        <f>SUMIFS(Table3[Hours Worked],Table3[Release Name],Table7[[#This Row],[Release Name]],Table3[Task Type],"Testcase Execution")</f>
        <v>0</v>
      </c>
      <c r="AD44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49" s="256" t="str">
        <f>IFERROR((Table7[[#This Row],[No. of Valid Internal Review Defects]]+Table7[[#This Row],[No. of Valid  Internal Testing Defects]]+Table7[[#This Row],[No. of  Valid External Review Defects]]+Table7[[#This Row],[No. of Valid External Testing Defects]])/Table7[[#This Row],[Size]],"")</f>
        <v/>
      </c>
      <c r="AF449" s="257" t="str">
        <f>IFERROR(Table7[[#This Row],[No. of Valid Internal Review Defects]]/(Table7[[#This Row],[No. of Valid Internal Review Defects]]+Table7[[#This Row],[No. of  Valid External Review Defects]]+Table7[[#This Row],[No. of Valid  Internal Testing Defects]]+Table7[[#This Row],[No. of Valid External Testing Defects]]),"")</f>
        <v/>
      </c>
      <c r="AG449" s="258" t="str">
        <f>IFERROR(Table7[[#This Row],[No. of Valid Internal Review Defects]]/(Table7[[#This Row],[No. of Valid Internal Review Defects]]+Table7[[#This Row],[No. of  Valid External Review Defects]]+Table7[[#This Row],[No. of Valid External Testing Defects]]),"")</f>
        <v/>
      </c>
      <c r="AH449" s="256" t="str">
        <f>IFERROR(Table7[[#This Row],[No. of Valid  Internal Testing Defects]]/Table7[[#This Row],[Overall Actual Effort for the release]],"")</f>
        <v/>
      </c>
      <c r="AI449" s="256" t="str">
        <f>IFERROR(Table7[[#This Row],[No. of Valid  Internal Testing Defects]]/Table7[[#This Row],[No. of Testcases Executed]],"")</f>
        <v/>
      </c>
      <c r="AJ449" s="259" t="str">
        <f>IFERROR(IFERROR(Table7[[#This Row],[No. of Testcases Created]]/Table7[[#This Row],[Effort for Testcase Creation]],"")*9,"")</f>
        <v/>
      </c>
      <c r="AK449" s="256" t="str">
        <f>IFERROR((Table7[[#This Row],[No. of Testcases Executed]]/Table7[[#This Row],[Effort for Testcase Execution]])*9,"")</f>
        <v/>
      </c>
      <c r="AL44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49" s="259" t="str">
        <f>IFERROR(Table7[[#This Row],[No. of Defects Validated]]/SUMIFS(Table3[Hours Worked],Table3[Release Name],Table7[[#This Row],[Release Name]],Table3[Task Type],"Defect Validation")*9,"")</f>
        <v/>
      </c>
      <c r="AN449" s="258" t="str">
        <f>IFERROR((Table7[[#This Row],[No. of Valid  Internal Testing Defects]])/(Table7[[#This Row],[No. of Valid  Internal Testing Defects]]+Table7[[#This Row],[No. of Invalid Internal Testing Defects]]),"")</f>
        <v/>
      </c>
      <c r="AO449" s="258" t="str">
        <f>IFERROR(Table7[[#This Row],[No. of Valid External Testing Defects]]/(Table7[[#This Row],[No. of Valid External Testing Defects]]+Table7[[#This Row],[No. of Valid  Internal Testing Defects]]),"")</f>
        <v/>
      </c>
    </row>
    <row r="450" spans="2:41">
      <c r="B450" s="237"/>
      <c r="C450" s="14"/>
      <c r="D450" s="14"/>
      <c r="E450" s="14"/>
      <c r="F450" s="230" t="str">
        <f>IFERROR((Table47[[#This Row],[Initial No. of Requirements]]+Table47[[#This Row],[Modified Requirements( Added / Deleted /Modified)]])/Table47[[#This Row],[Initial No. of Requirements]],"")</f>
        <v/>
      </c>
      <c r="G45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0" s="249"/>
      <c r="J450" s="249"/>
      <c r="K450" s="250"/>
      <c r="L450" s="250"/>
      <c r="M450" s="250"/>
      <c r="N450" s="248">
        <f>SUMIFS(Table1[Size],Table1[Release Name],[2]!Table7[Release Name])</f>
        <v>0</v>
      </c>
      <c r="O450" s="248"/>
      <c r="P45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0" s="248"/>
      <c r="R45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0" s="248"/>
      <c r="T450" s="248"/>
      <c r="U450" s="248"/>
      <c r="V450" s="248"/>
      <c r="W450" s="248"/>
      <c r="X450" s="248"/>
      <c r="Y450" s="248"/>
      <c r="Z450" s="248"/>
      <c r="AA450" s="248"/>
      <c r="AB450" s="13">
        <f>SUMIFS(Table3[Hours Worked],Table3[Release Name],Table7[[#This Row],[Release Name]],Table3[Task Type],"Testcase Creation")</f>
        <v>0</v>
      </c>
      <c r="AC450" s="255">
        <f>SUMIFS(Table3[Hours Worked],Table3[Release Name],Table7[[#This Row],[Release Name]],Table3[Task Type],"Testcase Execution")</f>
        <v>0</v>
      </c>
      <c r="AD45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0" s="256" t="str">
        <f>IFERROR((Table7[[#This Row],[No. of Valid Internal Review Defects]]+Table7[[#This Row],[No. of Valid  Internal Testing Defects]]+Table7[[#This Row],[No. of  Valid External Review Defects]]+Table7[[#This Row],[No. of Valid External Testing Defects]])/Table7[[#This Row],[Size]],"")</f>
        <v/>
      </c>
      <c r="AF450" s="257" t="str">
        <f>IFERROR(Table7[[#This Row],[No. of Valid Internal Review Defects]]/(Table7[[#This Row],[No. of Valid Internal Review Defects]]+Table7[[#This Row],[No. of  Valid External Review Defects]]+Table7[[#This Row],[No. of Valid  Internal Testing Defects]]+Table7[[#This Row],[No. of Valid External Testing Defects]]),"")</f>
        <v/>
      </c>
      <c r="AG450" s="258" t="str">
        <f>IFERROR(Table7[[#This Row],[No. of Valid Internal Review Defects]]/(Table7[[#This Row],[No. of Valid Internal Review Defects]]+Table7[[#This Row],[No. of  Valid External Review Defects]]+Table7[[#This Row],[No. of Valid External Testing Defects]]),"")</f>
        <v/>
      </c>
      <c r="AH450" s="256" t="str">
        <f>IFERROR(Table7[[#This Row],[No. of Valid  Internal Testing Defects]]/Table7[[#This Row],[Overall Actual Effort for the release]],"")</f>
        <v/>
      </c>
      <c r="AI450" s="256" t="str">
        <f>IFERROR(Table7[[#This Row],[No. of Valid  Internal Testing Defects]]/Table7[[#This Row],[No. of Testcases Executed]],"")</f>
        <v/>
      </c>
      <c r="AJ450" s="259" t="str">
        <f>IFERROR(IFERROR(Table7[[#This Row],[No. of Testcases Created]]/Table7[[#This Row],[Effort for Testcase Creation]],"")*9,"")</f>
        <v/>
      </c>
      <c r="AK450" s="256" t="str">
        <f>IFERROR((Table7[[#This Row],[No. of Testcases Executed]]/Table7[[#This Row],[Effort for Testcase Execution]])*9,"")</f>
        <v/>
      </c>
      <c r="AL45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0" s="259" t="str">
        <f>IFERROR(Table7[[#This Row],[No. of Defects Validated]]/SUMIFS(Table3[Hours Worked],Table3[Release Name],Table7[[#This Row],[Release Name]],Table3[Task Type],"Defect Validation")*9,"")</f>
        <v/>
      </c>
      <c r="AN450" s="258" t="str">
        <f>IFERROR((Table7[[#This Row],[No. of Valid  Internal Testing Defects]])/(Table7[[#This Row],[No. of Valid  Internal Testing Defects]]+Table7[[#This Row],[No. of Invalid Internal Testing Defects]]),"")</f>
        <v/>
      </c>
      <c r="AO450" s="258" t="str">
        <f>IFERROR(Table7[[#This Row],[No. of Valid External Testing Defects]]/(Table7[[#This Row],[No. of Valid External Testing Defects]]+Table7[[#This Row],[No. of Valid  Internal Testing Defects]]),"")</f>
        <v/>
      </c>
    </row>
    <row r="451" spans="2:41">
      <c r="B451" s="237"/>
      <c r="C451" s="14"/>
      <c r="D451" s="14"/>
      <c r="E451" s="14"/>
      <c r="F451" s="230" t="str">
        <f>IFERROR((Table47[[#This Row],[Initial No. of Requirements]]+Table47[[#This Row],[Modified Requirements( Added / Deleted /Modified)]])/Table47[[#This Row],[Initial No. of Requirements]],"")</f>
        <v/>
      </c>
      <c r="G45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1" s="249"/>
      <c r="J451" s="249"/>
      <c r="K451" s="250"/>
      <c r="L451" s="250"/>
      <c r="M451" s="250"/>
      <c r="N451" s="248">
        <f>SUMIFS(Table1[Size],Table1[Release Name],[2]!Table7[Release Name])</f>
        <v>0</v>
      </c>
      <c r="O451" s="248"/>
      <c r="P45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1" s="248"/>
      <c r="R45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1" s="248"/>
      <c r="T451" s="248"/>
      <c r="U451" s="248"/>
      <c r="V451" s="248"/>
      <c r="W451" s="248"/>
      <c r="X451" s="248"/>
      <c r="Y451" s="248"/>
      <c r="Z451" s="248"/>
      <c r="AA451" s="248"/>
      <c r="AB451" s="13">
        <f>SUMIFS(Table3[Hours Worked],Table3[Release Name],Table7[[#This Row],[Release Name]],Table3[Task Type],"Testcase Creation")</f>
        <v>0</v>
      </c>
      <c r="AC451" s="255">
        <f>SUMIFS(Table3[Hours Worked],Table3[Release Name],Table7[[#This Row],[Release Name]],Table3[Task Type],"Testcase Execution")</f>
        <v>0</v>
      </c>
      <c r="AD45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1" s="256" t="str">
        <f>IFERROR((Table7[[#This Row],[No. of Valid Internal Review Defects]]+Table7[[#This Row],[No. of Valid  Internal Testing Defects]]+Table7[[#This Row],[No. of  Valid External Review Defects]]+Table7[[#This Row],[No. of Valid External Testing Defects]])/Table7[[#This Row],[Size]],"")</f>
        <v/>
      </c>
      <c r="AF451" s="257" t="str">
        <f>IFERROR(Table7[[#This Row],[No. of Valid Internal Review Defects]]/(Table7[[#This Row],[No. of Valid Internal Review Defects]]+Table7[[#This Row],[No. of  Valid External Review Defects]]+Table7[[#This Row],[No. of Valid  Internal Testing Defects]]+Table7[[#This Row],[No. of Valid External Testing Defects]]),"")</f>
        <v/>
      </c>
      <c r="AG451" s="258" t="str">
        <f>IFERROR(Table7[[#This Row],[No. of Valid Internal Review Defects]]/(Table7[[#This Row],[No. of Valid Internal Review Defects]]+Table7[[#This Row],[No. of  Valid External Review Defects]]+Table7[[#This Row],[No. of Valid External Testing Defects]]),"")</f>
        <v/>
      </c>
      <c r="AH451" s="256" t="str">
        <f>IFERROR(Table7[[#This Row],[No. of Valid  Internal Testing Defects]]/Table7[[#This Row],[Overall Actual Effort for the release]],"")</f>
        <v/>
      </c>
      <c r="AI451" s="256" t="str">
        <f>IFERROR(Table7[[#This Row],[No. of Valid  Internal Testing Defects]]/Table7[[#This Row],[No. of Testcases Executed]],"")</f>
        <v/>
      </c>
      <c r="AJ451" s="259" t="str">
        <f>IFERROR(IFERROR(Table7[[#This Row],[No. of Testcases Created]]/Table7[[#This Row],[Effort for Testcase Creation]],"")*9,"")</f>
        <v/>
      </c>
      <c r="AK451" s="256" t="str">
        <f>IFERROR((Table7[[#This Row],[No. of Testcases Executed]]/Table7[[#This Row],[Effort for Testcase Execution]])*9,"")</f>
        <v/>
      </c>
      <c r="AL45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1" s="259" t="str">
        <f>IFERROR(Table7[[#This Row],[No. of Defects Validated]]/SUMIFS(Table3[Hours Worked],Table3[Release Name],Table7[[#This Row],[Release Name]],Table3[Task Type],"Defect Validation")*9,"")</f>
        <v/>
      </c>
      <c r="AN451" s="258" t="str">
        <f>IFERROR((Table7[[#This Row],[No. of Valid  Internal Testing Defects]])/(Table7[[#This Row],[No. of Valid  Internal Testing Defects]]+Table7[[#This Row],[No. of Invalid Internal Testing Defects]]),"")</f>
        <v/>
      </c>
      <c r="AO451" s="258" t="str">
        <f>IFERROR(Table7[[#This Row],[No. of Valid External Testing Defects]]/(Table7[[#This Row],[No. of Valid External Testing Defects]]+Table7[[#This Row],[No. of Valid  Internal Testing Defects]]),"")</f>
        <v/>
      </c>
    </row>
    <row r="452" spans="2:41">
      <c r="B452" s="237"/>
      <c r="C452" s="14"/>
      <c r="D452" s="14"/>
      <c r="E452" s="14"/>
      <c r="F452" s="230" t="str">
        <f>IFERROR((Table47[[#This Row],[Initial No. of Requirements]]+Table47[[#This Row],[Modified Requirements( Added / Deleted /Modified)]])/Table47[[#This Row],[Initial No. of Requirements]],"")</f>
        <v/>
      </c>
      <c r="G45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2" s="249"/>
      <c r="J452" s="249"/>
      <c r="K452" s="250"/>
      <c r="L452" s="250"/>
      <c r="M452" s="250"/>
      <c r="N452" s="248">
        <f>SUMIFS(Table1[Size],Table1[Release Name],[2]!Table7[Release Name])</f>
        <v>0</v>
      </c>
      <c r="O452" s="248"/>
      <c r="P45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2" s="248"/>
      <c r="R45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2" s="248"/>
      <c r="T452" s="248"/>
      <c r="U452" s="248"/>
      <c r="V452" s="248"/>
      <c r="W452" s="248"/>
      <c r="X452" s="248"/>
      <c r="Y452" s="248"/>
      <c r="Z452" s="248"/>
      <c r="AA452" s="248"/>
      <c r="AB452" s="13">
        <f>SUMIFS(Table3[Hours Worked],Table3[Release Name],Table7[[#This Row],[Release Name]],Table3[Task Type],"Testcase Creation")</f>
        <v>0</v>
      </c>
      <c r="AC452" s="255">
        <f>SUMIFS(Table3[Hours Worked],Table3[Release Name],Table7[[#This Row],[Release Name]],Table3[Task Type],"Testcase Execution")</f>
        <v>0</v>
      </c>
      <c r="AD45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2" s="256" t="str">
        <f>IFERROR((Table7[[#This Row],[No. of Valid Internal Review Defects]]+Table7[[#This Row],[No. of Valid  Internal Testing Defects]]+Table7[[#This Row],[No. of  Valid External Review Defects]]+Table7[[#This Row],[No. of Valid External Testing Defects]])/Table7[[#This Row],[Size]],"")</f>
        <v/>
      </c>
      <c r="AF452" s="257" t="str">
        <f>IFERROR(Table7[[#This Row],[No. of Valid Internal Review Defects]]/(Table7[[#This Row],[No. of Valid Internal Review Defects]]+Table7[[#This Row],[No. of  Valid External Review Defects]]+Table7[[#This Row],[No. of Valid  Internal Testing Defects]]+Table7[[#This Row],[No. of Valid External Testing Defects]]),"")</f>
        <v/>
      </c>
      <c r="AG452" s="258" t="str">
        <f>IFERROR(Table7[[#This Row],[No. of Valid Internal Review Defects]]/(Table7[[#This Row],[No. of Valid Internal Review Defects]]+Table7[[#This Row],[No. of  Valid External Review Defects]]+Table7[[#This Row],[No. of Valid External Testing Defects]]),"")</f>
        <v/>
      </c>
      <c r="AH452" s="256" t="str">
        <f>IFERROR(Table7[[#This Row],[No. of Valid  Internal Testing Defects]]/Table7[[#This Row],[Overall Actual Effort for the release]],"")</f>
        <v/>
      </c>
      <c r="AI452" s="256" t="str">
        <f>IFERROR(Table7[[#This Row],[No. of Valid  Internal Testing Defects]]/Table7[[#This Row],[No. of Testcases Executed]],"")</f>
        <v/>
      </c>
      <c r="AJ452" s="259" t="str">
        <f>IFERROR(IFERROR(Table7[[#This Row],[No. of Testcases Created]]/Table7[[#This Row],[Effort for Testcase Creation]],"")*9,"")</f>
        <v/>
      </c>
      <c r="AK452" s="256" t="str">
        <f>IFERROR((Table7[[#This Row],[No. of Testcases Executed]]/Table7[[#This Row],[Effort for Testcase Execution]])*9,"")</f>
        <v/>
      </c>
      <c r="AL45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2" s="259" t="str">
        <f>IFERROR(Table7[[#This Row],[No. of Defects Validated]]/SUMIFS(Table3[Hours Worked],Table3[Release Name],Table7[[#This Row],[Release Name]],Table3[Task Type],"Defect Validation")*9,"")</f>
        <v/>
      </c>
      <c r="AN452" s="258" t="str">
        <f>IFERROR((Table7[[#This Row],[No. of Valid  Internal Testing Defects]])/(Table7[[#This Row],[No. of Valid  Internal Testing Defects]]+Table7[[#This Row],[No. of Invalid Internal Testing Defects]]),"")</f>
        <v/>
      </c>
      <c r="AO452" s="258" t="str">
        <f>IFERROR(Table7[[#This Row],[No. of Valid External Testing Defects]]/(Table7[[#This Row],[No. of Valid External Testing Defects]]+Table7[[#This Row],[No. of Valid  Internal Testing Defects]]),"")</f>
        <v/>
      </c>
    </row>
    <row r="453" spans="2:41">
      <c r="B453" s="237"/>
      <c r="C453" s="14"/>
      <c r="D453" s="14"/>
      <c r="E453" s="14"/>
      <c r="F453" s="230" t="str">
        <f>IFERROR((Table47[[#This Row],[Initial No. of Requirements]]+Table47[[#This Row],[Modified Requirements( Added / Deleted /Modified)]])/Table47[[#This Row],[Initial No. of Requirements]],"")</f>
        <v/>
      </c>
      <c r="G45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3" s="249"/>
      <c r="J453" s="249"/>
      <c r="K453" s="250"/>
      <c r="L453" s="250"/>
      <c r="M453" s="250"/>
      <c r="N453" s="248">
        <f>SUMIFS(Table1[Size],Table1[Release Name],[2]!Table7[Release Name])</f>
        <v>0</v>
      </c>
      <c r="O453" s="248"/>
      <c r="P45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3" s="248"/>
      <c r="R45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3" s="248"/>
      <c r="T453" s="248"/>
      <c r="U453" s="248"/>
      <c r="V453" s="248"/>
      <c r="W453" s="248"/>
      <c r="X453" s="248"/>
      <c r="Y453" s="248"/>
      <c r="Z453" s="248"/>
      <c r="AA453" s="248"/>
      <c r="AB453" s="13">
        <f>SUMIFS(Table3[Hours Worked],Table3[Release Name],Table7[[#This Row],[Release Name]],Table3[Task Type],"Testcase Creation")</f>
        <v>0</v>
      </c>
      <c r="AC453" s="255">
        <f>SUMIFS(Table3[Hours Worked],Table3[Release Name],Table7[[#This Row],[Release Name]],Table3[Task Type],"Testcase Execution")</f>
        <v>0</v>
      </c>
      <c r="AD45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3" s="256" t="str">
        <f>IFERROR((Table7[[#This Row],[No. of Valid Internal Review Defects]]+Table7[[#This Row],[No. of Valid  Internal Testing Defects]]+Table7[[#This Row],[No. of  Valid External Review Defects]]+Table7[[#This Row],[No. of Valid External Testing Defects]])/Table7[[#This Row],[Size]],"")</f>
        <v/>
      </c>
      <c r="AF453" s="257" t="str">
        <f>IFERROR(Table7[[#This Row],[No. of Valid Internal Review Defects]]/(Table7[[#This Row],[No. of Valid Internal Review Defects]]+Table7[[#This Row],[No. of  Valid External Review Defects]]+Table7[[#This Row],[No. of Valid  Internal Testing Defects]]+Table7[[#This Row],[No. of Valid External Testing Defects]]),"")</f>
        <v/>
      </c>
      <c r="AG453" s="258" t="str">
        <f>IFERROR(Table7[[#This Row],[No. of Valid Internal Review Defects]]/(Table7[[#This Row],[No. of Valid Internal Review Defects]]+Table7[[#This Row],[No. of  Valid External Review Defects]]+Table7[[#This Row],[No. of Valid External Testing Defects]]),"")</f>
        <v/>
      </c>
      <c r="AH453" s="256" t="str">
        <f>IFERROR(Table7[[#This Row],[No. of Valid  Internal Testing Defects]]/Table7[[#This Row],[Overall Actual Effort for the release]],"")</f>
        <v/>
      </c>
      <c r="AI453" s="256" t="str">
        <f>IFERROR(Table7[[#This Row],[No. of Valid  Internal Testing Defects]]/Table7[[#This Row],[No. of Testcases Executed]],"")</f>
        <v/>
      </c>
      <c r="AJ453" s="259" t="str">
        <f>IFERROR(IFERROR(Table7[[#This Row],[No. of Testcases Created]]/Table7[[#This Row],[Effort for Testcase Creation]],"")*9,"")</f>
        <v/>
      </c>
      <c r="AK453" s="256" t="str">
        <f>IFERROR((Table7[[#This Row],[No. of Testcases Executed]]/Table7[[#This Row],[Effort for Testcase Execution]])*9,"")</f>
        <v/>
      </c>
      <c r="AL45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3" s="259" t="str">
        <f>IFERROR(Table7[[#This Row],[No. of Defects Validated]]/SUMIFS(Table3[Hours Worked],Table3[Release Name],Table7[[#This Row],[Release Name]],Table3[Task Type],"Defect Validation")*9,"")</f>
        <v/>
      </c>
      <c r="AN453" s="258" t="str">
        <f>IFERROR((Table7[[#This Row],[No. of Valid  Internal Testing Defects]])/(Table7[[#This Row],[No. of Valid  Internal Testing Defects]]+Table7[[#This Row],[No. of Invalid Internal Testing Defects]]),"")</f>
        <v/>
      </c>
      <c r="AO453" s="258" t="str">
        <f>IFERROR(Table7[[#This Row],[No. of Valid External Testing Defects]]/(Table7[[#This Row],[No. of Valid External Testing Defects]]+Table7[[#This Row],[No. of Valid  Internal Testing Defects]]),"")</f>
        <v/>
      </c>
    </row>
    <row r="454" spans="2:41">
      <c r="B454" s="237"/>
      <c r="C454" s="14"/>
      <c r="D454" s="14"/>
      <c r="E454" s="14"/>
      <c r="F454" s="230" t="str">
        <f>IFERROR((Table47[[#This Row],[Initial No. of Requirements]]+Table47[[#This Row],[Modified Requirements( Added / Deleted /Modified)]])/Table47[[#This Row],[Initial No. of Requirements]],"")</f>
        <v/>
      </c>
      <c r="G45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4" s="249"/>
      <c r="J454" s="249"/>
      <c r="K454" s="250"/>
      <c r="L454" s="250"/>
      <c r="M454" s="250"/>
      <c r="N454" s="248">
        <f>SUMIFS(Table1[Size],Table1[Release Name],[2]!Table7[Release Name])</f>
        <v>0</v>
      </c>
      <c r="O454" s="248"/>
      <c r="P45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4" s="248"/>
      <c r="R45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4" s="248"/>
      <c r="T454" s="248"/>
      <c r="U454" s="248"/>
      <c r="V454" s="248"/>
      <c r="W454" s="248"/>
      <c r="X454" s="248"/>
      <c r="Y454" s="248"/>
      <c r="Z454" s="248"/>
      <c r="AA454" s="248"/>
      <c r="AB454" s="13">
        <f>SUMIFS(Table3[Hours Worked],Table3[Release Name],Table7[[#This Row],[Release Name]],Table3[Task Type],"Testcase Creation")</f>
        <v>0</v>
      </c>
      <c r="AC454" s="255">
        <f>SUMIFS(Table3[Hours Worked],Table3[Release Name],Table7[[#This Row],[Release Name]],Table3[Task Type],"Testcase Execution")</f>
        <v>0</v>
      </c>
      <c r="AD45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4" s="256" t="str">
        <f>IFERROR((Table7[[#This Row],[No. of Valid Internal Review Defects]]+Table7[[#This Row],[No. of Valid  Internal Testing Defects]]+Table7[[#This Row],[No. of  Valid External Review Defects]]+Table7[[#This Row],[No. of Valid External Testing Defects]])/Table7[[#This Row],[Size]],"")</f>
        <v/>
      </c>
      <c r="AF454" s="257" t="str">
        <f>IFERROR(Table7[[#This Row],[No. of Valid Internal Review Defects]]/(Table7[[#This Row],[No. of Valid Internal Review Defects]]+Table7[[#This Row],[No. of  Valid External Review Defects]]+Table7[[#This Row],[No. of Valid  Internal Testing Defects]]+Table7[[#This Row],[No. of Valid External Testing Defects]]),"")</f>
        <v/>
      </c>
      <c r="AG454" s="258" t="str">
        <f>IFERROR(Table7[[#This Row],[No. of Valid Internal Review Defects]]/(Table7[[#This Row],[No. of Valid Internal Review Defects]]+Table7[[#This Row],[No. of  Valid External Review Defects]]+Table7[[#This Row],[No. of Valid External Testing Defects]]),"")</f>
        <v/>
      </c>
      <c r="AH454" s="256" t="str">
        <f>IFERROR(Table7[[#This Row],[No. of Valid  Internal Testing Defects]]/Table7[[#This Row],[Overall Actual Effort for the release]],"")</f>
        <v/>
      </c>
      <c r="AI454" s="256" t="str">
        <f>IFERROR(Table7[[#This Row],[No. of Valid  Internal Testing Defects]]/Table7[[#This Row],[No. of Testcases Executed]],"")</f>
        <v/>
      </c>
      <c r="AJ454" s="259" t="str">
        <f>IFERROR(IFERROR(Table7[[#This Row],[No. of Testcases Created]]/Table7[[#This Row],[Effort for Testcase Creation]],"")*9,"")</f>
        <v/>
      </c>
      <c r="AK454" s="256" t="str">
        <f>IFERROR((Table7[[#This Row],[No. of Testcases Executed]]/Table7[[#This Row],[Effort for Testcase Execution]])*9,"")</f>
        <v/>
      </c>
      <c r="AL45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4" s="259" t="str">
        <f>IFERROR(Table7[[#This Row],[No. of Defects Validated]]/SUMIFS(Table3[Hours Worked],Table3[Release Name],Table7[[#This Row],[Release Name]],Table3[Task Type],"Defect Validation")*9,"")</f>
        <v/>
      </c>
      <c r="AN454" s="258" t="str">
        <f>IFERROR((Table7[[#This Row],[No. of Valid  Internal Testing Defects]])/(Table7[[#This Row],[No. of Valid  Internal Testing Defects]]+Table7[[#This Row],[No. of Invalid Internal Testing Defects]]),"")</f>
        <v/>
      </c>
      <c r="AO454" s="258" t="str">
        <f>IFERROR(Table7[[#This Row],[No. of Valid External Testing Defects]]/(Table7[[#This Row],[No. of Valid External Testing Defects]]+Table7[[#This Row],[No. of Valid  Internal Testing Defects]]),"")</f>
        <v/>
      </c>
    </row>
    <row r="455" spans="2:41">
      <c r="B455" s="237"/>
      <c r="C455" s="14"/>
      <c r="D455" s="14"/>
      <c r="E455" s="14"/>
      <c r="F455" s="230" t="str">
        <f>IFERROR((Table47[[#This Row],[Initial No. of Requirements]]+Table47[[#This Row],[Modified Requirements( Added / Deleted /Modified)]])/Table47[[#This Row],[Initial No. of Requirements]],"")</f>
        <v/>
      </c>
      <c r="G45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5" s="249"/>
      <c r="J455" s="249"/>
      <c r="K455" s="250"/>
      <c r="L455" s="250"/>
      <c r="M455" s="250"/>
      <c r="N455" s="248">
        <f>SUMIFS(Table1[Size],Table1[Release Name],[2]!Table7[Release Name])</f>
        <v>0</v>
      </c>
      <c r="O455" s="248"/>
      <c r="P45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5" s="248"/>
      <c r="R45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5" s="248"/>
      <c r="T455" s="248"/>
      <c r="U455" s="248"/>
      <c r="V455" s="248"/>
      <c r="W455" s="248"/>
      <c r="X455" s="248"/>
      <c r="Y455" s="248"/>
      <c r="Z455" s="248"/>
      <c r="AA455" s="248"/>
      <c r="AB455" s="13">
        <f>SUMIFS(Table3[Hours Worked],Table3[Release Name],Table7[[#This Row],[Release Name]],Table3[Task Type],"Testcase Creation")</f>
        <v>0</v>
      </c>
      <c r="AC455" s="255">
        <f>SUMIFS(Table3[Hours Worked],Table3[Release Name],Table7[[#This Row],[Release Name]],Table3[Task Type],"Testcase Execution")</f>
        <v>0</v>
      </c>
      <c r="AD45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5" s="256" t="str">
        <f>IFERROR((Table7[[#This Row],[No. of Valid Internal Review Defects]]+Table7[[#This Row],[No. of Valid  Internal Testing Defects]]+Table7[[#This Row],[No. of  Valid External Review Defects]]+Table7[[#This Row],[No. of Valid External Testing Defects]])/Table7[[#This Row],[Size]],"")</f>
        <v/>
      </c>
      <c r="AF455" s="257" t="str">
        <f>IFERROR(Table7[[#This Row],[No. of Valid Internal Review Defects]]/(Table7[[#This Row],[No. of Valid Internal Review Defects]]+Table7[[#This Row],[No. of  Valid External Review Defects]]+Table7[[#This Row],[No. of Valid  Internal Testing Defects]]+Table7[[#This Row],[No. of Valid External Testing Defects]]),"")</f>
        <v/>
      </c>
      <c r="AG455" s="258" t="str">
        <f>IFERROR(Table7[[#This Row],[No. of Valid Internal Review Defects]]/(Table7[[#This Row],[No. of Valid Internal Review Defects]]+Table7[[#This Row],[No. of  Valid External Review Defects]]+Table7[[#This Row],[No. of Valid External Testing Defects]]),"")</f>
        <v/>
      </c>
      <c r="AH455" s="256" t="str">
        <f>IFERROR(Table7[[#This Row],[No. of Valid  Internal Testing Defects]]/Table7[[#This Row],[Overall Actual Effort for the release]],"")</f>
        <v/>
      </c>
      <c r="AI455" s="256" t="str">
        <f>IFERROR(Table7[[#This Row],[No. of Valid  Internal Testing Defects]]/Table7[[#This Row],[No. of Testcases Executed]],"")</f>
        <v/>
      </c>
      <c r="AJ455" s="259" t="str">
        <f>IFERROR(IFERROR(Table7[[#This Row],[No. of Testcases Created]]/Table7[[#This Row],[Effort for Testcase Creation]],"")*9,"")</f>
        <v/>
      </c>
      <c r="AK455" s="256" t="str">
        <f>IFERROR((Table7[[#This Row],[No. of Testcases Executed]]/Table7[[#This Row],[Effort for Testcase Execution]])*9,"")</f>
        <v/>
      </c>
      <c r="AL45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5" s="259" t="str">
        <f>IFERROR(Table7[[#This Row],[No. of Defects Validated]]/SUMIFS(Table3[Hours Worked],Table3[Release Name],Table7[[#This Row],[Release Name]],Table3[Task Type],"Defect Validation")*9,"")</f>
        <v/>
      </c>
      <c r="AN455" s="258" t="str">
        <f>IFERROR((Table7[[#This Row],[No. of Valid  Internal Testing Defects]])/(Table7[[#This Row],[No. of Valid  Internal Testing Defects]]+Table7[[#This Row],[No. of Invalid Internal Testing Defects]]),"")</f>
        <v/>
      </c>
      <c r="AO455" s="258" t="str">
        <f>IFERROR(Table7[[#This Row],[No. of Valid External Testing Defects]]/(Table7[[#This Row],[No. of Valid External Testing Defects]]+Table7[[#This Row],[No. of Valid  Internal Testing Defects]]),"")</f>
        <v/>
      </c>
    </row>
    <row r="456" spans="2:41">
      <c r="B456" s="237"/>
      <c r="C456" s="14"/>
      <c r="D456" s="14"/>
      <c r="E456" s="14"/>
      <c r="F456" s="230" t="str">
        <f>IFERROR((Table47[[#This Row],[Initial No. of Requirements]]+Table47[[#This Row],[Modified Requirements( Added / Deleted /Modified)]])/Table47[[#This Row],[Initial No. of Requirements]],"")</f>
        <v/>
      </c>
      <c r="G45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6" s="249"/>
      <c r="J456" s="249"/>
      <c r="K456" s="250"/>
      <c r="L456" s="250"/>
      <c r="M456" s="250"/>
      <c r="N456" s="248">
        <f>SUMIFS(Table1[Size],Table1[Release Name],[2]!Table7[Release Name])</f>
        <v>0</v>
      </c>
      <c r="O456" s="248"/>
      <c r="P45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6" s="248"/>
      <c r="R45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6" s="248"/>
      <c r="T456" s="248"/>
      <c r="U456" s="248"/>
      <c r="V456" s="248"/>
      <c r="W456" s="248"/>
      <c r="X456" s="248"/>
      <c r="Y456" s="248"/>
      <c r="Z456" s="248"/>
      <c r="AA456" s="248"/>
      <c r="AB456" s="13">
        <f>SUMIFS(Table3[Hours Worked],Table3[Release Name],Table7[[#This Row],[Release Name]],Table3[Task Type],"Testcase Creation")</f>
        <v>0</v>
      </c>
      <c r="AC456" s="255">
        <f>SUMIFS(Table3[Hours Worked],Table3[Release Name],Table7[[#This Row],[Release Name]],Table3[Task Type],"Testcase Execution")</f>
        <v>0</v>
      </c>
      <c r="AD45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6" s="256" t="str">
        <f>IFERROR((Table7[[#This Row],[No. of Valid Internal Review Defects]]+Table7[[#This Row],[No. of Valid  Internal Testing Defects]]+Table7[[#This Row],[No. of  Valid External Review Defects]]+Table7[[#This Row],[No. of Valid External Testing Defects]])/Table7[[#This Row],[Size]],"")</f>
        <v/>
      </c>
      <c r="AF456" s="257" t="str">
        <f>IFERROR(Table7[[#This Row],[No. of Valid Internal Review Defects]]/(Table7[[#This Row],[No. of Valid Internal Review Defects]]+Table7[[#This Row],[No. of  Valid External Review Defects]]+Table7[[#This Row],[No. of Valid  Internal Testing Defects]]+Table7[[#This Row],[No. of Valid External Testing Defects]]),"")</f>
        <v/>
      </c>
      <c r="AG456" s="258" t="str">
        <f>IFERROR(Table7[[#This Row],[No. of Valid Internal Review Defects]]/(Table7[[#This Row],[No. of Valid Internal Review Defects]]+Table7[[#This Row],[No. of  Valid External Review Defects]]+Table7[[#This Row],[No. of Valid External Testing Defects]]),"")</f>
        <v/>
      </c>
      <c r="AH456" s="256" t="str">
        <f>IFERROR(Table7[[#This Row],[No. of Valid  Internal Testing Defects]]/Table7[[#This Row],[Overall Actual Effort for the release]],"")</f>
        <v/>
      </c>
      <c r="AI456" s="256" t="str">
        <f>IFERROR(Table7[[#This Row],[No. of Valid  Internal Testing Defects]]/Table7[[#This Row],[No. of Testcases Executed]],"")</f>
        <v/>
      </c>
      <c r="AJ456" s="259" t="str">
        <f>IFERROR(IFERROR(Table7[[#This Row],[No. of Testcases Created]]/Table7[[#This Row],[Effort for Testcase Creation]],"")*9,"")</f>
        <v/>
      </c>
      <c r="AK456" s="256" t="str">
        <f>IFERROR((Table7[[#This Row],[No. of Testcases Executed]]/Table7[[#This Row],[Effort for Testcase Execution]])*9,"")</f>
        <v/>
      </c>
      <c r="AL45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6" s="259" t="str">
        <f>IFERROR(Table7[[#This Row],[No. of Defects Validated]]/SUMIFS(Table3[Hours Worked],Table3[Release Name],Table7[[#This Row],[Release Name]],Table3[Task Type],"Defect Validation")*9,"")</f>
        <v/>
      </c>
      <c r="AN456" s="258" t="str">
        <f>IFERROR((Table7[[#This Row],[No. of Valid  Internal Testing Defects]])/(Table7[[#This Row],[No. of Valid  Internal Testing Defects]]+Table7[[#This Row],[No. of Invalid Internal Testing Defects]]),"")</f>
        <v/>
      </c>
      <c r="AO456" s="258" t="str">
        <f>IFERROR(Table7[[#This Row],[No. of Valid External Testing Defects]]/(Table7[[#This Row],[No. of Valid External Testing Defects]]+Table7[[#This Row],[No. of Valid  Internal Testing Defects]]),"")</f>
        <v/>
      </c>
    </row>
    <row r="457" spans="2:41">
      <c r="B457" s="237"/>
      <c r="C457" s="14"/>
      <c r="D457" s="14"/>
      <c r="E457" s="14"/>
      <c r="F457" s="230" t="str">
        <f>IFERROR((Table47[[#This Row],[Initial No. of Requirements]]+Table47[[#This Row],[Modified Requirements( Added / Deleted /Modified)]])/Table47[[#This Row],[Initial No. of Requirements]],"")</f>
        <v/>
      </c>
      <c r="G45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7" s="249"/>
      <c r="J457" s="249"/>
      <c r="K457" s="250"/>
      <c r="L457" s="250"/>
      <c r="M457" s="250"/>
      <c r="N457" s="248">
        <f>SUMIFS(Table1[Size],Table1[Release Name],[2]!Table7[Release Name])</f>
        <v>0</v>
      </c>
      <c r="O457" s="248"/>
      <c r="P45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7" s="248"/>
      <c r="R45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7" s="248"/>
      <c r="T457" s="248"/>
      <c r="U457" s="248"/>
      <c r="V457" s="248"/>
      <c r="W457" s="248"/>
      <c r="X457" s="248"/>
      <c r="Y457" s="248"/>
      <c r="Z457" s="248"/>
      <c r="AA457" s="248"/>
      <c r="AB457" s="13">
        <f>SUMIFS(Table3[Hours Worked],Table3[Release Name],Table7[[#This Row],[Release Name]],Table3[Task Type],"Testcase Creation")</f>
        <v>0</v>
      </c>
      <c r="AC457" s="255">
        <f>SUMIFS(Table3[Hours Worked],Table3[Release Name],Table7[[#This Row],[Release Name]],Table3[Task Type],"Testcase Execution")</f>
        <v>0</v>
      </c>
      <c r="AD45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7" s="256" t="str">
        <f>IFERROR((Table7[[#This Row],[No. of Valid Internal Review Defects]]+Table7[[#This Row],[No. of Valid  Internal Testing Defects]]+Table7[[#This Row],[No. of  Valid External Review Defects]]+Table7[[#This Row],[No. of Valid External Testing Defects]])/Table7[[#This Row],[Size]],"")</f>
        <v/>
      </c>
      <c r="AF457" s="257" t="str">
        <f>IFERROR(Table7[[#This Row],[No. of Valid Internal Review Defects]]/(Table7[[#This Row],[No. of Valid Internal Review Defects]]+Table7[[#This Row],[No. of  Valid External Review Defects]]+Table7[[#This Row],[No. of Valid  Internal Testing Defects]]+Table7[[#This Row],[No. of Valid External Testing Defects]]),"")</f>
        <v/>
      </c>
      <c r="AG457" s="258" t="str">
        <f>IFERROR(Table7[[#This Row],[No. of Valid Internal Review Defects]]/(Table7[[#This Row],[No. of Valid Internal Review Defects]]+Table7[[#This Row],[No. of  Valid External Review Defects]]+Table7[[#This Row],[No. of Valid External Testing Defects]]),"")</f>
        <v/>
      </c>
      <c r="AH457" s="256" t="str">
        <f>IFERROR(Table7[[#This Row],[No. of Valid  Internal Testing Defects]]/Table7[[#This Row],[Overall Actual Effort for the release]],"")</f>
        <v/>
      </c>
      <c r="AI457" s="256" t="str">
        <f>IFERROR(Table7[[#This Row],[No. of Valid  Internal Testing Defects]]/Table7[[#This Row],[No. of Testcases Executed]],"")</f>
        <v/>
      </c>
      <c r="AJ457" s="259" t="str">
        <f>IFERROR(IFERROR(Table7[[#This Row],[No. of Testcases Created]]/Table7[[#This Row],[Effort for Testcase Creation]],"")*9,"")</f>
        <v/>
      </c>
      <c r="AK457" s="256" t="str">
        <f>IFERROR((Table7[[#This Row],[No. of Testcases Executed]]/Table7[[#This Row],[Effort for Testcase Execution]])*9,"")</f>
        <v/>
      </c>
      <c r="AL45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7" s="259" t="str">
        <f>IFERROR(Table7[[#This Row],[No. of Defects Validated]]/SUMIFS(Table3[Hours Worked],Table3[Release Name],Table7[[#This Row],[Release Name]],Table3[Task Type],"Defect Validation")*9,"")</f>
        <v/>
      </c>
      <c r="AN457" s="258" t="str">
        <f>IFERROR((Table7[[#This Row],[No. of Valid  Internal Testing Defects]])/(Table7[[#This Row],[No. of Valid  Internal Testing Defects]]+Table7[[#This Row],[No. of Invalid Internal Testing Defects]]),"")</f>
        <v/>
      </c>
      <c r="AO457" s="258" t="str">
        <f>IFERROR(Table7[[#This Row],[No. of Valid External Testing Defects]]/(Table7[[#This Row],[No. of Valid External Testing Defects]]+Table7[[#This Row],[No. of Valid  Internal Testing Defects]]),"")</f>
        <v/>
      </c>
    </row>
    <row r="458" spans="2:41">
      <c r="B458" s="237"/>
      <c r="C458" s="14"/>
      <c r="D458" s="14"/>
      <c r="E458" s="14"/>
      <c r="F458" s="230" t="str">
        <f>IFERROR((Table47[[#This Row],[Initial No. of Requirements]]+Table47[[#This Row],[Modified Requirements( Added / Deleted /Modified)]])/Table47[[#This Row],[Initial No. of Requirements]],"")</f>
        <v/>
      </c>
      <c r="G45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8" s="249"/>
      <c r="J458" s="249"/>
      <c r="K458" s="250"/>
      <c r="L458" s="250"/>
      <c r="M458" s="250"/>
      <c r="N458" s="248">
        <f>SUMIFS(Table1[Size],Table1[Release Name],[2]!Table7[Release Name])</f>
        <v>0</v>
      </c>
      <c r="O458" s="248"/>
      <c r="P45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8" s="248"/>
      <c r="R45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8" s="248"/>
      <c r="T458" s="248"/>
      <c r="U458" s="248"/>
      <c r="V458" s="248"/>
      <c r="W458" s="248"/>
      <c r="X458" s="248"/>
      <c r="Y458" s="248"/>
      <c r="Z458" s="248"/>
      <c r="AA458" s="248"/>
      <c r="AB458" s="13">
        <f>SUMIFS(Table3[Hours Worked],Table3[Release Name],Table7[[#This Row],[Release Name]],Table3[Task Type],"Testcase Creation")</f>
        <v>0</v>
      </c>
      <c r="AC458" s="255">
        <f>SUMIFS(Table3[Hours Worked],Table3[Release Name],Table7[[#This Row],[Release Name]],Table3[Task Type],"Testcase Execution")</f>
        <v>0</v>
      </c>
      <c r="AD45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8" s="256" t="str">
        <f>IFERROR((Table7[[#This Row],[No. of Valid Internal Review Defects]]+Table7[[#This Row],[No. of Valid  Internal Testing Defects]]+Table7[[#This Row],[No. of  Valid External Review Defects]]+Table7[[#This Row],[No. of Valid External Testing Defects]])/Table7[[#This Row],[Size]],"")</f>
        <v/>
      </c>
      <c r="AF458" s="257" t="str">
        <f>IFERROR(Table7[[#This Row],[No. of Valid Internal Review Defects]]/(Table7[[#This Row],[No. of Valid Internal Review Defects]]+Table7[[#This Row],[No. of  Valid External Review Defects]]+Table7[[#This Row],[No. of Valid  Internal Testing Defects]]+Table7[[#This Row],[No. of Valid External Testing Defects]]),"")</f>
        <v/>
      </c>
      <c r="AG458" s="258" t="str">
        <f>IFERROR(Table7[[#This Row],[No. of Valid Internal Review Defects]]/(Table7[[#This Row],[No. of Valid Internal Review Defects]]+Table7[[#This Row],[No. of  Valid External Review Defects]]+Table7[[#This Row],[No. of Valid External Testing Defects]]),"")</f>
        <v/>
      </c>
      <c r="AH458" s="256" t="str">
        <f>IFERROR(Table7[[#This Row],[No. of Valid  Internal Testing Defects]]/Table7[[#This Row],[Overall Actual Effort for the release]],"")</f>
        <v/>
      </c>
      <c r="AI458" s="256" t="str">
        <f>IFERROR(Table7[[#This Row],[No. of Valid  Internal Testing Defects]]/Table7[[#This Row],[No. of Testcases Executed]],"")</f>
        <v/>
      </c>
      <c r="AJ458" s="259" t="str">
        <f>IFERROR(IFERROR(Table7[[#This Row],[No. of Testcases Created]]/Table7[[#This Row],[Effort for Testcase Creation]],"")*9,"")</f>
        <v/>
      </c>
      <c r="AK458" s="256" t="str">
        <f>IFERROR((Table7[[#This Row],[No. of Testcases Executed]]/Table7[[#This Row],[Effort for Testcase Execution]])*9,"")</f>
        <v/>
      </c>
      <c r="AL45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8" s="259" t="str">
        <f>IFERROR(Table7[[#This Row],[No. of Defects Validated]]/SUMIFS(Table3[Hours Worked],Table3[Release Name],Table7[[#This Row],[Release Name]],Table3[Task Type],"Defect Validation")*9,"")</f>
        <v/>
      </c>
      <c r="AN458" s="258" t="str">
        <f>IFERROR((Table7[[#This Row],[No. of Valid  Internal Testing Defects]])/(Table7[[#This Row],[No. of Valid  Internal Testing Defects]]+Table7[[#This Row],[No. of Invalid Internal Testing Defects]]),"")</f>
        <v/>
      </c>
      <c r="AO458" s="258" t="str">
        <f>IFERROR(Table7[[#This Row],[No. of Valid External Testing Defects]]/(Table7[[#This Row],[No. of Valid External Testing Defects]]+Table7[[#This Row],[No. of Valid  Internal Testing Defects]]),"")</f>
        <v/>
      </c>
    </row>
    <row r="459" spans="2:41">
      <c r="B459" s="237"/>
      <c r="C459" s="14"/>
      <c r="D459" s="14"/>
      <c r="E459" s="14"/>
      <c r="F459" s="230" t="str">
        <f>IFERROR((Table47[[#This Row],[Initial No. of Requirements]]+Table47[[#This Row],[Modified Requirements( Added / Deleted /Modified)]])/Table47[[#This Row],[Initial No. of Requirements]],"")</f>
        <v/>
      </c>
      <c r="G45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59" s="249"/>
      <c r="J459" s="249"/>
      <c r="K459" s="250"/>
      <c r="L459" s="250"/>
      <c r="M459" s="250"/>
      <c r="N459" s="248">
        <f>SUMIFS(Table1[Size],Table1[Release Name],[2]!Table7[Release Name])</f>
        <v>0</v>
      </c>
      <c r="O459" s="248"/>
      <c r="P45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59" s="248"/>
      <c r="R45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59" s="248"/>
      <c r="T459" s="248"/>
      <c r="U459" s="248"/>
      <c r="V459" s="248"/>
      <c r="W459" s="248"/>
      <c r="X459" s="248"/>
      <c r="Y459" s="248"/>
      <c r="Z459" s="248"/>
      <c r="AA459" s="248"/>
      <c r="AB459" s="13">
        <f>SUMIFS(Table3[Hours Worked],Table3[Release Name],Table7[[#This Row],[Release Name]],Table3[Task Type],"Testcase Creation")</f>
        <v>0</v>
      </c>
      <c r="AC459" s="255">
        <f>SUMIFS(Table3[Hours Worked],Table3[Release Name],Table7[[#This Row],[Release Name]],Table3[Task Type],"Testcase Execution")</f>
        <v>0</v>
      </c>
      <c r="AD45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59" s="256" t="str">
        <f>IFERROR((Table7[[#This Row],[No. of Valid Internal Review Defects]]+Table7[[#This Row],[No. of Valid  Internal Testing Defects]]+Table7[[#This Row],[No. of  Valid External Review Defects]]+Table7[[#This Row],[No. of Valid External Testing Defects]])/Table7[[#This Row],[Size]],"")</f>
        <v/>
      </c>
      <c r="AF459" s="257" t="str">
        <f>IFERROR(Table7[[#This Row],[No. of Valid Internal Review Defects]]/(Table7[[#This Row],[No. of Valid Internal Review Defects]]+Table7[[#This Row],[No. of  Valid External Review Defects]]+Table7[[#This Row],[No. of Valid  Internal Testing Defects]]+Table7[[#This Row],[No. of Valid External Testing Defects]]),"")</f>
        <v/>
      </c>
      <c r="AG459" s="258" t="str">
        <f>IFERROR(Table7[[#This Row],[No. of Valid Internal Review Defects]]/(Table7[[#This Row],[No. of Valid Internal Review Defects]]+Table7[[#This Row],[No. of  Valid External Review Defects]]+Table7[[#This Row],[No. of Valid External Testing Defects]]),"")</f>
        <v/>
      </c>
      <c r="AH459" s="256" t="str">
        <f>IFERROR(Table7[[#This Row],[No. of Valid  Internal Testing Defects]]/Table7[[#This Row],[Overall Actual Effort for the release]],"")</f>
        <v/>
      </c>
      <c r="AI459" s="256" t="str">
        <f>IFERROR(Table7[[#This Row],[No. of Valid  Internal Testing Defects]]/Table7[[#This Row],[No. of Testcases Executed]],"")</f>
        <v/>
      </c>
      <c r="AJ459" s="259" t="str">
        <f>IFERROR(IFERROR(Table7[[#This Row],[No. of Testcases Created]]/Table7[[#This Row],[Effort for Testcase Creation]],"")*9,"")</f>
        <v/>
      </c>
      <c r="AK459" s="256" t="str">
        <f>IFERROR((Table7[[#This Row],[No. of Testcases Executed]]/Table7[[#This Row],[Effort for Testcase Execution]])*9,"")</f>
        <v/>
      </c>
      <c r="AL45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59" s="259" t="str">
        <f>IFERROR(Table7[[#This Row],[No. of Defects Validated]]/SUMIFS(Table3[Hours Worked],Table3[Release Name],Table7[[#This Row],[Release Name]],Table3[Task Type],"Defect Validation")*9,"")</f>
        <v/>
      </c>
      <c r="AN459" s="258" t="str">
        <f>IFERROR((Table7[[#This Row],[No. of Valid  Internal Testing Defects]])/(Table7[[#This Row],[No. of Valid  Internal Testing Defects]]+Table7[[#This Row],[No. of Invalid Internal Testing Defects]]),"")</f>
        <v/>
      </c>
      <c r="AO459" s="258" t="str">
        <f>IFERROR(Table7[[#This Row],[No. of Valid External Testing Defects]]/(Table7[[#This Row],[No. of Valid External Testing Defects]]+Table7[[#This Row],[No. of Valid  Internal Testing Defects]]),"")</f>
        <v/>
      </c>
    </row>
    <row r="460" spans="2:41">
      <c r="B460" s="237"/>
      <c r="C460" s="14"/>
      <c r="D460" s="14"/>
      <c r="E460" s="14"/>
      <c r="F460" s="230" t="str">
        <f>IFERROR((Table47[[#This Row],[Initial No. of Requirements]]+Table47[[#This Row],[Modified Requirements( Added / Deleted /Modified)]])/Table47[[#This Row],[Initial No. of Requirements]],"")</f>
        <v/>
      </c>
      <c r="G46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0" s="249"/>
      <c r="J460" s="249"/>
      <c r="K460" s="250"/>
      <c r="L460" s="250"/>
      <c r="M460" s="250"/>
      <c r="N460" s="248">
        <f>SUMIFS(Table1[Size],Table1[Release Name],[2]!Table7[Release Name])</f>
        <v>0</v>
      </c>
      <c r="O460" s="248"/>
      <c r="P46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0" s="248"/>
      <c r="R46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0" s="248"/>
      <c r="T460" s="248"/>
      <c r="U460" s="248"/>
      <c r="V460" s="248"/>
      <c r="W460" s="248"/>
      <c r="X460" s="248"/>
      <c r="Y460" s="248"/>
      <c r="Z460" s="248"/>
      <c r="AA460" s="248"/>
      <c r="AB460" s="13">
        <f>SUMIFS(Table3[Hours Worked],Table3[Release Name],Table7[[#This Row],[Release Name]],Table3[Task Type],"Testcase Creation")</f>
        <v>0</v>
      </c>
      <c r="AC460" s="255">
        <f>SUMIFS(Table3[Hours Worked],Table3[Release Name],Table7[[#This Row],[Release Name]],Table3[Task Type],"Testcase Execution")</f>
        <v>0</v>
      </c>
      <c r="AD46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0" s="256" t="str">
        <f>IFERROR((Table7[[#This Row],[No. of Valid Internal Review Defects]]+Table7[[#This Row],[No. of Valid  Internal Testing Defects]]+Table7[[#This Row],[No. of  Valid External Review Defects]]+Table7[[#This Row],[No. of Valid External Testing Defects]])/Table7[[#This Row],[Size]],"")</f>
        <v/>
      </c>
      <c r="AF460" s="257" t="str">
        <f>IFERROR(Table7[[#This Row],[No. of Valid Internal Review Defects]]/(Table7[[#This Row],[No. of Valid Internal Review Defects]]+Table7[[#This Row],[No. of  Valid External Review Defects]]+Table7[[#This Row],[No. of Valid  Internal Testing Defects]]+Table7[[#This Row],[No. of Valid External Testing Defects]]),"")</f>
        <v/>
      </c>
      <c r="AG460" s="258" t="str">
        <f>IFERROR(Table7[[#This Row],[No. of Valid Internal Review Defects]]/(Table7[[#This Row],[No. of Valid Internal Review Defects]]+Table7[[#This Row],[No. of  Valid External Review Defects]]+Table7[[#This Row],[No. of Valid External Testing Defects]]),"")</f>
        <v/>
      </c>
      <c r="AH460" s="256" t="str">
        <f>IFERROR(Table7[[#This Row],[No. of Valid  Internal Testing Defects]]/Table7[[#This Row],[Overall Actual Effort for the release]],"")</f>
        <v/>
      </c>
      <c r="AI460" s="256" t="str">
        <f>IFERROR(Table7[[#This Row],[No. of Valid  Internal Testing Defects]]/Table7[[#This Row],[No. of Testcases Executed]],"")</f>
        <v/>
      </c>
      <c r="AJ460" s="259" t="str">
        <f>IFERROR(IFERROR(Table7[[#This Row],[No. of Testcases Created]]/Table7[[#This Row],[Effort for Testcase Creation]],"")*9,"")</f>
        <v/>
      </c>
      <c r="AK460" s="256" t="str">
        <f>IFERROR((Table7[[#This Row],[No. of Testcases Executed]]/Table7[[#This Row],[Effort for Testcase Execution]])*9,"")</f>
        <v/>
      </c>
      <c r="AL46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0" s="259" t="str">
        <f>IFERROR(Table7[[#This Row],[No. of Defects Validated]]/SUMIFS(Table3[Hours Worked],Table3[Release Name],Table7[[#This Row],[Release Name]],Table3[Task Type],"Defect Validation")*9,"")</f>
        <v/>
      </c>
      <c r="AN460" s="258" t="str">
        <f>IFERROR((Table7[[#This Row],[No. of Valid  Internal Testing Defects]])/(Table7[[#This Row],[No. of Valid  Internal Testing Defects]]+Table7[[#This Row],[No. of Invalid Internal Testing Defects]]),"")</f>
        <v/>
      </c>
      <c r="AO460" s="258" t="str">
        <f>IFERROR(Table7[[#This Row],[No. of Valid External Testing Defects]]/(Table7[[#This Row],[No. of Valid External Testing Defects]]+Table7[[#This Row],[No. of Valid  Internal Testing Defects]]),"")</f>
        <v/>
      </c>
    </row>
    <row r="461" spans="2:41">
      <c r="B461" s="237"/>
      <c r="C461" s="14"/>
      <c r="D461" s="14"/>
      <c r="E461" s="14"/>
      <c r="F461" s="230" t="str">
        <f>IFERROR((Table47[[#This Row],[Initial No. of Requirements]]+Table47[[#This Row],[Modified Requirements( Added / Deleted /Modified)]])/Table47[[#This Row],[Initial No. of Requirements]],"")</f>
        <v/>
      </c>
      <c r="G46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1" s="249"/>
      <c r="J461" s="249"/>
      <c r="K461" s="250"/>
      <c r="L461" s="250"/>
      <c r="M461" s="250"/>
      <c r="N461" s="248">
        <f>SUMIFS(Table1[Size],Table1[Release Name],[2]!Table7[Release Name])</f>
        <v>0</v>
      </c>
      <c r="O461" s="248"/>
      <c r="P46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1" s="248"/>
      <c r="R46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1" s="248"/>
      <c r="T461" s="248"/>
      <c r="U461" s="248"/>
      <c r="V461" s="248"/>
      <c r="W461" s="248"/>
      <c r="X461" s="248"/>
      <c r="Y461" s="248"/>
      <c r="Z461" s="248"/>
      <c r="AA461" s="248"/>
      <c r="AB461" s="13">
        <f>SUMIFS(Table3[Hours Worked],Table3[Release Name],Table7[[#This Row],[Release Name]],Table3[Task Type],"Testcase Creation")</f>
        <v>0</v>
      </c>
      <c r="AC461" s="255">
        <f>SUMIFS(Table3[Hours Worked],Table3[Release Name],Table7[[#This Row],[Release Name]],Table3[Task Type],"Testcase Execution")</f>
        <v>0</v>
      </c>
      <c r="AD46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1" s="256" t="str">
        <f>IFERROR((Table7[[#This Row],[No. of Valid Internal Review Defects]]+Table7[[#This Row],[No. of Valid  Internal Testing Defects]]+Table7[[#This Row],[No. of  Valid External Review Defects]]+Table7[[#This Row],[No. of Valid External Testing Defects]])/Table7[[#This Row],[Size]],"")</f>
        <v/>
      </c>
      <c r="AF461" s="257" t="str">
        <f>IFERROR(Table7[[#This Row],[No. of Valid Internal Review Defects]]/(Table7[[#This Row],[No. of Valid Internal Review Defects]]+Table7[[#This Row],[No. of  Valid External Review Defects]]+Table7[[#This Row],[No. of Valid  Internal Testing Defects]]+Table7[[#This Row],[No. of Valid External Testing Defects]]),"")</f>
        <v/>
      </c>
      <c r="AG461" s="258" t="str">
        <f>IFERROR(Table7[[#This Row],[No. of Valid Internal Review Defects]]/(Table7[[#This Row],[No. of Valid Internal Review Defects]]+Table7[[#This Row],[No. of  Valid External Review Defects]]+Table7[[#This Row],[No. of Valid External Testing Defects]]),"")</f>
        <v/>
      </c>
      <c r="AH461" s="256" t="str">
        <f>IFERROR(Table7[[#This Row],[No. of Valid  Internal Testing Defects]]/Table7[[#This Row],[Overall Actual Effort for the release]],"")</f>
        <v/>
      </c>
      <c r="AI461" s="256" t="str">
        <f>IFERROR(Table7[[#This Row],[No. of Valid  Internal Testing Defects]]/Table7[[#This Row],[No. of Testcases Executed]],"")</f>
        <v/>
      </c>
      <c r="AJ461" s="259" t="str">
        <f>IFERROR(IFERROR(Table7[[#This Row],[No. of Testcases Created]]/Table7[[#This Row],[Effort for Testcase Creation]],"")*9,"")</f>
        <v/>
      </c>
      <c r="AK461" s="256" t="str">
        <f>IFERROR((Table7[[#This Row],[No. of Testcases Executed]]/Table7[[#This Row],[Effort for Testcase Execution]])*9,"")</f>
        <v/>
      </c>
      <c r="AL46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1" s="259" t="str">
        <f>IFERROR(Table7[[#This Row],[No. of Defects Validated]]/SUMIFS(Table3[Hours Worked],Table3[Release Name],Table7[[#This Row],[Release Name]],Table3[Task Type],"Defect Validation")*9,"")</f>
        <v/>
      </c>
      <c r="AN461" s="258" t="str">
        <f>IFERROR((Table7[[#This Row],[No. of Valid  Internal Testing Defects]])/(Table7[[#This Row],[No. of Valid  Internal Testing Defects]]+Table7[[#This Row],[No. of Invalid Internal Testing Defects]]),"")</f>
        <v/>
      </c>
      <c r="AO461" s="258" t="str">
        <f>IFERROR(Table7[[#This Row],[No. of Valid External Testing Defects]]/(Table7[[#This Row],[No. of Valid External Testing Defects]]+Table7[[#This Row],[No. of Valid  Internal Testing Defects]]),"")</f>
        <v/>
      </c>
    </row>
    <row r="462" spans="2:41">
      <c r="B462" s="237"/>
      <c r="C462" s="14"/>
      <c r="D462" s="14"/>
      <c r="E462" s="14"/>
      <c r="F462" s="230" t="str">
        <f>IFERROR((Table47[[#This Row],[Initial No. of Requirements]]+Table47[[#This Row],[Modified Requirements( Added / Deleted /Modified)]])/Table47[[#This Row],[Initial No. of Requirements]],"")</f>
        <v/>
      </c>
      <c r="G46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2" s="249"/>
      <c r="J462" s="249"/>
      <c r="K462" s="250"/>
      <c r="L462" s="250"/>
      <c r="M462" s="250"/>
      <c r="N462" s="248">
        <f>SUMIFS(Table1[Size],Table1[Release Name],[2]!Table7[Release Name])</f>
        <v>0</v>
      </c>
      <c r="O462" s="248"/>
      <c r="P46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2" s="248"/>
      <c r="R46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2" s="248"/>
      <c r="T462" s="248"/>
      <c r="U462" s="248"/>
      <c r="V462" s="248"/>
      <c r="W462" s="248"/>
      <c r="X462" s="248"/>
      <c r="Y462" s="248"/>
      <c r="Z462" s="248"/>
      <c r="AA462" s="248"/>
      <c r="AB462" s="13">
        <f>SUMIFS(Table3[Hours Worked],Table3[Release Name],Table7[[#This Row],[Release Name]],Table3[Task Type],"Testcase Creation")</f>
        <v>0</v>
      </c>
      <c r="AC462" s="255">
        <f>SUMIFS(Table3[Hours Worked],Table3[Release Name],Table7[[#This Row],[Release Name]],Table3[Task Type],"Testcase Execution")</f>
        <v>0</v>
      </c>
      <c r="AD46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2" s="256" t="str">
        <f>IFERROR((Table7[[#This Row],[No. of Valid Internal Review Defects]]+Table7[[#This Row],[No. of Valid  Internal Testing Defects]]+Table7[[#This Row],[No. of  Valid External Review Defects]]+Table7[[#This Row],[No. of Valid External Testing Defects]])/Table7[[#This Row],[Size]],"")</f>
        <v/>
      </c>
      <c r="AF462" s="257" t="str">
        <f>IFERROR(Table7[[#This Row],[No. of Valid Internal Review Defects]]/(Table7[[#This Row],[No. of Valid Internal Review Defects]]+Table7[[#This Row],[No. of  Valid External Review Defects]]+Table7[[#This Row],[No. of Valid  Internal Testing Defects]]+Table7[[#This Row],[No. of Valid External Testing Defects]]),"")</f>
        <v/>
      </c>
      <c r="AG462" s="258" t="str">
        <f>IFERROR(Table7[[#This Row],[No. of Valid Internal Review Defects]]/(Table7[[#This Row],[No. of Valid Internal Review Defects]]+Table7[[#This Row],[No. of  Valid External Review Defects]]+Table7[[#This Row],[No. of Valid External Testing Defects]]),"")</f>
        <v/>
      </c>
      <c r="AH462" s="256" t="str">
        <f>IFERROR(Table7[[#This Row],[No. of Valid  Internal Testing Defects]]/Table7[[#This Row],[Overall Actual Effort for the release]],"")</f>
        <v/>
      </c>
      <c r="AI462" s="256" t="str">
        <f>IFERROR(Table7[[#This Row],[No. of Valid  Internal Testing Defects]]/Table7[[#This Row],[No. of Testcases Executed]],"")</f>
        <v/>
      </c>
      <c r="AJ462" s="259" t="str">
        <f>IFERROR(IFERROR(Table7[[#This Row],[No. of Testcases Created]]/Table7[[#This Row],[Effort for Testcase Creation]],"")*9,"")</f>
        <v/>
      </c>
      <c r="AK462" s="256" t="str">
        <f>IFERROR((Table7[[#This Row],[No. of Testcases Executed]]/Table7[[#This Row],[Effort for Testcase Execution]])*9,"")</f>
        <v/>
      </c>
      <c r="AL46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2" s="259" t="str">
        <f>IFERROR(Table7[[#This Row],[No. of Defects Validated]]/SUMIFS(Table3[Hours Worked],Table3[Release Name],Table7[[#This Row],[Release Name]],Table3[Task Type],"Defect Validation")*9,"")</f>
        <v/>
      </c>
      <c r="AN462" s="258" t="str">
        <f>IFERROR((Table7[[#This Row],[No. of Valid  Internal Testing Defects]])/(Table7[[#This Row],[No. of Valid  Internal Testing Defects]]+Table7[[#This Row],[No. of Invalid Internal Testing Defects]]),"")</f>
        <v/>
      </c>
      <c r="AO462" s="258" t="str">
        <f>IFERROR(Table7[[#This Row],[No. of Valid External Testing Defects]]/(Table7[[#This Row],[No. of Valid External Testing Defects]]+Table7[[#This Row],[No. of Valid  Internal Testing Defects]]),"")</f>
        <v/>
      </c>
    </row>
    <row r="463" spans="2:41">
      <c r="B463" s="237"/>
      <c r="C463" s="14"/>
      <c r="D463" s="14"/>
      <c r="E463" s="14"/>
      <c r="F463" s="230" t="str">
        <f>IFERROR((Table47[[#This Row],[Initial No. of Requirements]]+Table47[[#This Row],[Modified Requirements( Added / Deleted /Modified)]])/Table47[[#This Row],[Initial No. of Requirements]],"")</f>
        <v/>
      </c>
      <c r="G46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3" s="249"/>
      <c r="J463" s="249"/>
      <c r="K463" s="250"/>
      <c r="L463" s="250"/>
      <c r="M463" s="250"/>
      <c r="N463" s="248">
        <f>SUMIFS(Table1[Size],Table1[Release Name],[2]!Table7[Release Name])</f>
        <v>0</v>
      </c>
      <c r="O463" s="248"/>
      <c r="P46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3" s="248"/>
      <c r="R46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3" s="248"/>
      <c r="T463" s="248"/>
      <c r="U463" s="248"/>
      <c r="V463" s="248"/>
      <c r="W463" s="248"/>
      <c r="X463" s="248"/>
      <c r="Y463" s="248"/>
      <c r="Z463" s="248"/>
      <c r="AA463" s="248"/>
      <c r="AB463" s="13">
        <f>SUMIFS(Table3[Hours Worked],Table3[Release Name],Table7[[#This Row],[Release Name]],Table3[Task Type],"Testcase Creation")</f>
        <v>0</v>
      </c>
      <c r="AC463" s="255">
        <f>SUMIFS(Table3[Hours Worked],Table3[Release Name],Table7[[#This Row],[Release Name]],Table3[Task Type],"Testcase Execution")</f>
        <v>0</v>
      </c>
      <c r="AD46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3" s="256" t="str">
        <f>IFERROR((Table7[[#This Row],[No. of Valid Internal Review Defects]]+Table7[[#This Row],[No. of Valid  Internal Testing Defects]]+Table7[[#This Row],[No. of  Valid External Review Defects]]+Table7[[#This Row],[No. of Valid External Testing Defects]])/Table7[[#This Row],[Size]],"")</f>
        <v/>
      </c>
      <c r="AF463" s="257" t="str">
        <f>IFERROR(Table7[[#This Row],[No. of Valid Internal Review Defects]]/(Table7[[#This Row],[No. of Valid Internal Review Defects]]+Table7[[#This Row],[No. of  Valid External Review Defects]]+Table7[[#This Row],[No. of Valid  Internal Testing Defects]]+Table7[[#This Row],[No. of Valid External Testing Defects]]),"")</f>
        <v/>
      </c>
      <c r="AG463" s="258" t="str">
        <f>IFERROR(Table7[[#This Row],[No. of Valid Internal Review Defects]]/(Table7[[#This Row],[No. of Valid Internal Review Defects]]+Table7[[#This Row],[No. of  Valid External Review Defects]]+Table7[[#This Row],[No. of Valid External Testing Defects]]),"")</f>
        <v/>
      </c>
      <c r="AH463" s="256" t="str">
        <f>IFERROR(Table7[[#This Row],[No. of Valid  Internal Testing Defects]]/Table7[[#This Row],[Overall Actual Effort for the release]],"")</f>
        <v/>
      </c>
      <c r="AI463" s="256" t="str">
        <f>IFERROR(Table7[[#This Row],[No. of Valid  Internal Testing Defects]]/Table7[[#This Row],[No. of Testcases Executed]],"")</f>
        <v/>
      </c>
      <c r="AJ463" s="259" t="str">
        <f>IFERROR(IFERROR(Table7[[#This Row],[No. of Testcases Created]]/Table7[[#This Row],[Effort for Testcase Creation]],"")*9,"")</f>
        <v/>
      </c>
      <c r="AK463" s="256" t="str">
        <f>IFERROR((Table7[[#This Row],[No. of Testcases Executed]]/Table7[[#This Row],[Effort for Testcase Execution]])*9,"")</f>
        <v/>
      </c>
      <c r="AL46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3" s="259" t="str">
        <f>IFERROR(Table7[[#This Row],[No. of Defects Validated]]/SUMIFS(Table3[Hours Worked],Table3[Release Name],Table7[[#This Row],[Release Name]],Table3[Task Type],"Defect Validation")*9,"")</f>
        <v/>
      </c>
      <c r="AN463" s="258" t="str">
        <f>IFERROR((Table7[[#This Row],[No. of Valid  Internal Testing Defects]])/(Table7[[#This Row],[No. of Valid  Internal Testing Defects]]+Table7[[#This Row],[No. of Invalid Internal Testing Defects]]),"")</f>
        <v/>
      </c>
      <c r="AO463" s="258" t="str">
        <f>IFERROR(Table7[[#This Row],[No. of Valid External Testing Defects]]/(Table7[[#This Row],[No. of Valid External Testing Defects]]+Table7[[#This Row],[No. of Valid  Internal Testing Defects]]),"")</f>
        <v/>
      </c>
    </row>
    <row r="464" spans="2:41">
      <c r="B464" s="237"/>
      <c r="C464" s="14"/>
      <c r="D464" s="14"/>
      <c r="E464" s="14"/>
      <c r="F464" s="230" t="str">
        <f>IFERROR((Table47[[#This Row],[Initial No. of Requirements]]+Table47[[#This Row],[Modified Requirements( Added / Deleted /Modified)]])/Table47[[#This Row],[Initial No. of Requirements]],"")</f>
        <v/>
      </c>
      <c r="G46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4" s="249"/>
      <c r="J464" s="249"/>
      <c r="K464" s="250"/>
      <c r="L464" s="250"/>
      <c r="M464" s="250"/>
      <c r="N464" s="248">
        <f>SUMIFS(Table1[Size],Table1[Release Name],[2]!Table7[Release Name])</f>
        <v>0</v>
      </c>
      <c r="O464" s="248"/>
      <c r="P46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4" s="248"/>
      <c r="R46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4" s="248"/>
      <c r="T464" s="248"/>
      <c r="U464" s="248"/>
      <c r="V464" s="248"/>
      <c r="W464" s="248"/>
      <c r="X464" s="248"/>
      <c r="Y464" s="248"/>
      <c r="Z464" s="248"/>
      <c r="AA464" s="248"/>
      <c r="AB464" s="13">
        <f>SUMIFS(Table3[Hours Worked],Table3[Release Name],Table7[[#This Row],[Release Name]],Table3[Task Type],"Testcase Creation")</f>
        <v>0</v>
      </c>
      <c r="AC464" s="255">
        <f>SUMIFS(Table3[Hours Worked],Table3[Release Name],Table7[[#This Row],[Release Name]],Table3[Task Type],"Testcase Execution")</f>
        <v>0</v>
      </c>
      <c r="AD46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4" s="256" t="str">
        <f>IFERROR((Table7[[#This Row],[No. of Valid Internal Review Defects]]+Table7[[#This Row],[No. of Valid  Internal Testing Defects]]+Table7[[#This Row],[No. of  Valid External Review Defects]]+Table7[[#This Row],[No. of Valid External Testing Defects]])/Table7[[#This Row],[Size]],"")</f>
        <v/>
      </c>
      <c r="AF464" s="257" t="str">
        <f>IFERROR(Table7[[#This Row],[No. of Valid Internal Review Defects]]/(Table7[[#This Row],[No. of Valid Internal Review Defects]]+Table7[[#This Row],[No. of  Valid External Review Defects]]+Table7[[#This Row],[No. of Valid  Internal Testing Defects]]+Table7[[#This Row],[No. of Valid External Testing Defects]]),"")</f>
        <v/>
      </c>
      <c r="AG464" s="258" t="str">
        <f>IFERROR(Table7[[#This Row],[No. of Valid Internal Review Defects]]/(Table7[[#This Row],[No. of Valid Internal Review Defects]]+Table7[[#This Row],[No. of  Valid External Review Defects]]+Table7[[#This Row],[No. of Valid External Testing Defects]]),"")</f>
        <v/>
      </c>
      <c r="AH464" s="256" t="str">
        <f>IFERROR(Table7[[#This Row],[No. of Valid  Internal Testing Defects]]/Table7[[#This Row],[Overall Actual Effort for the release]],"")</f>
        <v/>
      </c>
      <c r="AI464" s="256" t="str">
        <f>IFERROR(Table7[[#This Row],[No. of Valid  Internal Testing Defects]]/Table7[[#This Row],[No. of Testcases Executed]],"")</f>
        <v/>
      </c>
      <c r="AJ464" s="259" t="str">
        <f>IFERROR(IFERROR(Table7[[#This Row],[No. of Testcases Created]]/Table7[[#This Row],[Effort for Testcase Creation]],"")*9,"")</f>
        <v/>
      </c>
      <c r="AK464" s="256" t="str">
        <f>IFERROR((Table7[[#This Row],[No. of Testcases Executed]]/Table7[[#This Row],[Effort for Testcase Execution]])*9,"")</f>
        <v/>
      </c>
      <c r="AL46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4" s="259" t="str">
        <f>IFERROR(Table7[[#This Row],[No. of Defects Validated]]/SUMIFS(Table3[Hours Worked],Table3[Release Name],Table7[[#This Row],[Release Name]],Table3[Task Type],"Defect Validation")*9,"")</f>
        <v/>
      </c>
      <c r="AN464" s="258" t="str">
        <f>IFERROR((Table7[[#This Row],[No. of Valid  Internal Testing Defects]])/(Table7[[#This Row],[No. of Valid  Internal Testing Defects]]+Table7[[#This Row],[No. of Invalid Internal Testing Defects]]),"")</f>
        <v/>
      </c>
      <c r="AO464" s="258" t="str">
        <f>IFERROR(Table7[[#This Row],[No. of Valid External Testing Defects]]/(Table7[[#This Row],[No. of Valid External Testing Defects]]+Table7[[#This Row],[No. of Valid  Internal Testing Defects]]),"")</f>
        <v/>
      </c>
    </row>
    <row r="465" spans="2:41">
      <c r="B465" s="237"/>
      <c r="C465" s="14"/>
      <c r="D465" s="14"/>
      <c r="E465" s="14"/>
      <c r="F465" s="230" t="str">
        <f>IFERROR((Table47[[#This Row],[Initial No. of Requirements]]+Table47[[#This Row],[Modified Requirements( Added / Deleted /Modified)]])/Table47[[#This Row],[Initial No. of Requirements]],"")</f>
        <v/>
      </c>
      <c r="G46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5" s="249"/>
      <c r="J465" s="249"/>
      <c r="K465" s="250"/>
      <c r="L465" s="250"/>
      <c r="M465" s="250"/>
      <c r="N465" s="248">
        <f>SUMIFS(Table1[Size],Table1[Release Name],[2]!Table7[Release Name])</f>
        <v>0</v>
      </c>
      <c r="O465" s="248"/>
      <c r="P46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5" s="248"/>
      <c r="R46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5" s="248"/>
      <c r="T465" s="248"/>
      <c r="U465" s="248"/>
      <c r="V465" s="248"/>
      <c r="W465" s="248"/>
      <c r="X465" s="248"/>
      <c r="Y465" s="248"/>
      <c r="Z465" s="248"/>
      <c r="AA465" s="248"/>
      <c r="AB465" s="13">
        <f>SUMIFS(Table3[Hours Worked],Table3[Release Name],Table7[[#This Row],[Release Name]],Table3[Task Type],"Testcase Creation")</f>
        <v>0</v>
      </c>
      <c r="AC465" s="255">
        <f>SUMIFS(Table3[Hours Worked],Table3[Release Name],Table7[[#This Row],[Release Name]],Table3[Task Type],"Testcase Execution")</f>
        <v>0</v>
      </c>
      <c r="AD46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5" s="256" t="str">
        <f>IFERROR((Table7[[#This Row],[No. of Valid Internal Review Defects]]+Table7[[#This Row],[No. of Valid  Internal Testing Defects]]+Table7[[#This Row],[No. of  Valid External Review Defects]]+Table7[[#This Row],[No. of Valid External Testing Defects]])/Table7[[#This Row],[Size]],"")</f>
        <v/>
      </c>
      <c r="AF465" s="257" t="str">
        <f>IFERROR(Table7[[#This Row],[No. of Valid Internal Review Defects]]/(Table7[[#This Row],[No. of Valid Internal Review Defects]]+Table7[[#This Row],[No. of  Valid External Review Defects]]+Table7[[#This Row],[No. of Valid  Internal Testing Defects]]+Table7[[#This Row],[No. of Valid External Testing Defects]]),"")</f>
        <v/>
      </c>
      <c r="AG465" s="258" t="str">
        <f>IFERROR(Table7[[#This Row],[No. of Valid Internal Review Defects]]/(Table7[[#This Row],[No. of Valid Internal Review Defects]]+Table7[[#This Row],[No. of  Valid External Review Defects]]+Table7[[#This Row],[No. of Valid External Testing Defects]]),"")</f>
        <v/>
      </c>
      <c r="AH465" s="256" t="str">
        <f>IFERROR(Table7[[#This Row],[No. of Valid  Internal Testing Defects]]/Table7[[#This Row],[Overall Actual Effort for the release]],"")</f>
        <v/>
      </c>
      <c r="AI465" s="256" t="str">
        <f>IFERROR(Table7[[#This Row],[No. of Valid  Internal Testing Defects]]/Table7[[#This Row],[No. of Testcases Executed]],"")</f>
        <v/>
      </c>
      <c r="AJ465" s="259" t="str">
        <f>IFERROR(IFERROR(Table7[[#This Row],[No. of Testcases Created]]/Table7[[#This Row],[Effort for Testcase Creation]],"")*9,"")</f>
        <v/>
      </c>
      <c r="AK465" s="256" t="str">
        <f>IFERROR((Table7[[#This Row],[No. of Testcases Executed]]/Table7[[#This Row],[Effort for Testcase Execution]])*9,"")</f>
        <v/>
      </c>
      <c r="AL46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5" s="259" t="str">
        <f>IFERROR(Table7[[#This Row],[No. of Defects Validated]]/SUMIFS(Table3[Hours Worked],Table3[Release Name],Table7[[#This Row],[Release Name]],Table3[Task Type],"Defect Validation")*9,"")</f>
        <v/>
      </c>
      <c r="AN465" s="258" t="str">
        <f>IFERROR((Table7[[#This Row],[No. of Valid  Internal Testing Defects]])/(Table7[[#This Row],[No. of Valid  Internal Testing Defects]]+Table7[[#This Row],[No. of Invalid Internal Testing Defects]]),"")</f>
        <v/>
      </c>
      <c r="AO465" s="258" t="str">
        <f>IFERROR(Table7[[#This Row],[No. of Valid External Testing Defects]]/(Table7[[#This Row],[No. of Valid External Testing Defects]]+Table7[[#This Row],[No. of Valid  Internal Testing Defects]]),"")</f>
        <v/>
      </c>
    </row>
    <row r="466" spans="2:41">
      <c r="B466" s="237"/>
      <c r="C466" s="14"/>
      <c r="D466" s="14"/>
      <c r="E466" s="14"/>
      <c r="F466" s="230" t="str">
        <f>IFERROR((Table47[[#This Row],[Initial No. of Requirements]]+Table47[[#This Row],[Modified Requirements( Added / Deleted /Modified)]])/Table47[[#This Row],[Initial No. of Requirements]],"")</f>
        <v/>
      </c>
      <c r="G46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6" s="249"/>
      <c r="J466" s="249"/>
      <c r="K466" s="250"/>
      <c r="L466" s="250"/>
      <c r="M466" s="250"/>
      <c r="N466" s="248">
        <f>SUMIFS(Table1[Size],Table1[Release Name],[2]!Table7[Release Name])</f>
        <v>0</v>
      </c>
      <c r="O466" s="248"/>
      <c r="P46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6" s="248"/>
      <c r="R46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6" s="248"/>
      <c r="T466" s="248"/>
      <c r="U466" s="248"/>
      <c r="V466" s="248"/>
      <c r="W466" s="248"/>
      <c r="X466" s="248"/>
      <c r="Y466" s="248"/>
      <c r="Z466" s="248"/>
      <c r="AA466" s="248"/>
      <c r="AB466" s="13">
        <f>SUMIFS(Table3[Hours Worked],Table3[Release Name],Table7[[#This Row],[Release Name]],Table3[Task Type],"Testcase Creation")</f>
        <v>0</v>
      </c>
      <c r="AC466" s="255">
        <f>SUMIFS(Table3[Hours Worked],Table3[Release Name],Table7[[#This Row],[Release Name]],Table3[Task Type],"Testcase Execution")</f>
        <v>0</v>
      </c>
      <c r="AD46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6" s="256" t="str">
        <f>IFERROR((Table7[[#This Row],[No. of Valid Internal Review Defects]]+Table7[[#This Row],[No. of Valid  Internal Testing Defects]]+Table7[[#This Row],[No. of  Valid External Review Defects]]+Table7[[#This Row],[No. of Valid External Testing Defects]])/Table7[[#This Row],[Size]],"")</f>
        <v/>
      </c>
      <c r="AF466" s="257" t="str">
        <f>IFERROR(Table7[[#This Row],[No. of Valid Internal Review Defects]]/(Table7[[#This Row],[No. of Valid Internal Review Defects]]+Table7[[#This Row],[No. of  Valid External Review Defects]]+Table7[[#This Row],[No. of Valid  Internal Testing Defects]]+Table7[[#This Row],[No. of Valid External Testing Defects]]),"")</f>
        <v/>
      </c>
      <c r="AG466" s="258" t="str">
        <f>IFERROR(Table7[[#This Row],[No. of Valid Internal Review Defects]]/(Table7[[#This Row],[No. of Valid Internal Review Defects]]+Table7[[#This Row],[No. of  Valid External Review Defects]]+Table7[[#This Row],[No. of Valid External Testing Defects]]),"")</f>
        <v/>
      </c>
      <c r="AH466" s="256" t="str">
        <f>IFERROR(Table7[[#This Row],[No. of Valid  Internal Testing Defects]]/Table7[[#This Row],[Overall Actual Effort for the release]],"")</f>
        <v/>
      </c>
      <c r="AI466" s="256" t="str">
        <f>IFERROR(Table7[[#This Row],[No. of Valid  Internal Testing Defects]]/Table7[[#This Row],[No. of Testcases Executed]],"")</f>
        <v/>
      </c>
      <c r="AJ466" s="259" t="str">
        <f>IFERROR(IFERROR(Table7[[#This Row],[No. of Testcases Created]]/Table7[[#This Row],[Effort for Testcase Creation]],"")*9,"")</f>
        <v/>
      </c>
      <c r="AK466" s="256" t="str">
        <f>IFERROR((Table7[[#This Row],[No. of Testcases Executed]]/Table7[[#This Row],[Effort for Testcase Execution]])*9,"")</f>
        <v/>
      </c>
      <c r="AL46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6" s="259" t="str">
        <f>IFERROR(Table7[[#This Row],[No. of Defects Validated]]/SUMIFS(Table3[Hours Worked],Table3[Release Name],Table7[[#This Row],[Release Name]],Table3[Task Type],"Defect Validation")*9,"")</f>
        <v/>
      </c>
      <c r="AN466" s="258" t="str">
        <f>IFERROR((Table7[[#This Row],[No. of Valid  Internal Testing Defects]])/(Table7[[#This Row],[No. of Valid  Internal Testing Defects]]+Table7[[#This Row],[No. of Invalid Internal Testing Defects]]),"")</f>
        <v/>
      </c>
      <c r="AO466" s="258" t="str">
        <f>IFERROR(Table7[[#This Row],[No. of Valid External Testing Defects]]/(Table7[[#This Row],[No. of Valid External Testing Defects]]+Table7[[#This Row],[No. of Valid  Internal Testing Defects]]),"")</f>
        <v/>
      </c>
    </row>
    <row r="467" spans="2:41">
      <c r="B467" s="237"/>
      <c r="C467" s="14"/>
      <c r="D467" s="14"/>
      <c r="E467" s="14"/>
      <c r="F467" s="230" t="str">
        <f>IFERROR((Table47[[#This Row],[Initial No. of Requirements]]+Table47[[#This Row],[Modified Requirements( Added / Deleted /Modified)]])/Table47[[#This Row],[Initial No. of Requirements]],"")</f>
        <v/>
      </c>
      <c r="G46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7" s="249"/>
      <c r="J467" s="249"/>
      <c r="K467" s="250"/>
      <c r="L467" s="250"/>
      <c r="M467" s="250"/>
      <c r="N467" s="248">
        <f>SUMIFS(Table1[Size],Table1[Release Name],[2]!Table7[Release Name])</f>
        <v>0</v>
      </c>
      <c r="O467" s="248"/>
      <c r="P46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7" s="248"/>
      <c r="R46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7" s="248"/>
      <c r="T467" s="248"/>
      <c r="U467" s="248"/>
      <c r="V467" s="248"/>
      <c r="W467" s="248"/>
      <c r="X467" s="248"/>
      <c r="Y467" s="248"/>
      <c r="Z467" s="248"/>
      <c r="AA467" s="248"/>
      <c r="AB467" s="13">
        <f>SUMIFS(Table3[Hours Worked],Table3[Release Name],Table7[[#This Row],[Release Name]],Table3[Task Type],"Testcase Creation")</f>
        <v>0</v>
      </c>
      <c r="AC467" s="255">
        <f>SUMIFS(Table3[Hours Worked],Table3[Release Name],Table7[[#This Row],[Release Name]],Table3[Task Type],"Testcase Execution")</f>
        <v>0</v>
      </c>
      <c r="AD46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7" s="256" t="str">
        <f>IFERROR((Table7[[#This Row],[No. of Valid Internal Review Defects]]+Table7[[#This Row],[No. of Valid  Internal Testing Defects]]+Table7[[#This Row],[No. of  Valid External Review Defects]]+Table7[[#This Row],[No. of Valid External Testing Defects]])/Table7[[#This Row],[Size]],"")</f>
        <v/>
      </c>
      <c r="AF467" s="257" t="str">
        <f>IFERROR(Table7[[#This Row],[No. of Valid Internal Review Defects]]/(Table7[[#This Row],[No. of Valid Internal Review Defects]]+Table7[[#This Row],[No. of  Valid External Review Defects]]+Table7[[#This Row],[No. of Valid  Internal Testing Defects]]+Table7[[#This Row],[No. of Valid External Testing Defects]]),"")</f>
        <v/>
      </c>
      <c r="AG467" s="258" t="str">
        <f>IFERROR(Table7[[#This Row],[No. of Valid Internal Review Defects]]/(Table7[[#This Row],[No. of Valid Internal Review Defects]]+Table7[[#This Row],[No. of  Valid External Review Defects]]+Table7[[#This Row],[No. of Valid External Testing Defects]]),"")</f>
        <v/>
      </c>
      <c r="AH467" s="256" t="str">
        <f>IFERROR(Table7[[#This Row],[No. of Valid  Internal Testing Defects]]/Table7[[#This Row],[Overall Actual Effort for the release]],"")</f>
        <v/>
      </c>
      <c r="AI467" s="256" t="str">
        <f>IFERROR(Table7[[#This Row],[No. of Valid  Internal Testing Defects]]/Table7[[#This Row],[No. of Testcases Executed]],"")</f>
        <v/>
      </c>
      <c r="AJ467" s="259" t="str">
        <f>IFERROR(IFERROR(Table7[[#This Row],[No. of Testcases Created]]/Table7[[#This Row],[Effort for Testcase Creation]],"")*9,"")</f>
        <v/>
      </c>
      <c r="AK467" s="256" t="str">
        <f>IFERROR((Table7[[#This Row],[No. of Testcases Executed]]/Table7[[#This Row],[Effort for Testcase Execution]])*9,"")</f>
        <v/>
      </c>
      <c r="AL46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7" s="259" t="str">
        <f>IFERROR(Table7[[#This Row],[No. of Defects Validated]]/SUMIFS(Table3[Hours Worked],Table3[Release Name],Table7[[#This Row],[Release Name]],Table3[Task Type],"Defect Validation")*9,"")</f>
        <v/>
      </c>
      <c r="AN467" s="258" t="str">
        <f>IFERROR((Table7[[#This Row],[No. of Valid  Internal Testing Defects]])/(Table7[[#This Row],[No. of Valid  Internal Testing Defects]]+Table7[[#This Row],[No. of Invalid Internal Testing Defects]]),"")</f>
        <v/>
      </c>
      <c r="AO467" s="258" t="str">
        <f>IFERROR(Table7[[#This Row],[No. of Valid External Testing Defects]]/(Table7[[#This Row],[No. of Valid External Testing Defects]]+Table7[[#This Row],[No. of Valid  Internal Testing Defects]]),"")</f>
        <v/>
      </c>
    </row>
    <row r="468" spans="2:41">
      <c r="B468" s="237"/>
      <c r="C468" s="14"/>
      <c r="D468" s="14"/>
      <c r="E468" s="14"/>
      <c r="F468" s="230" t="str">
        <f>IFERROR((Table47[[#This Row],[Initial No. of Requirements]]+Table47[[#This Row],[Modified Requirements( Added / Deleted /Modified)]])/Table47[[#This Row],[Initial No. of Requirements]],"")</f>
        <v/>
      </c>
      <c r="G46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8" s="249"/>
      <c r="J468" s="249"/>
      <c r="K468" s="250"/>
      <c r="L468" s="250"/>
      <c r="M468" s="250"/>
      <c r="N468" s="248">
        <f>SUMIFS(Table1[Size],Table1[Release Name],[2]!Table7[Release Name])</f>
        <v>0</v>
      </c>
      <c r="O468" s="248"/>
      <c r="P46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8" s="248"/>
      <c r="R46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8" s="248"/>
      <c r="T468" s="248"/>
      <c r="U468" s="248"/>
      <c r="V468" s="248"/>
      <c r="W468" s="248"/>
      <c r="X468" s="248"/>
      <c r="Y468" s="248"/>
      <c r="Z468" s="248"/>
      <c r="AA468" s="248"/>
      <c r="AB468" s="13">
        <f>SUMIFS(Table3[Hours Worked],Table3[Release Name],Table7[[#This Row],[Release Name]],Table3[Task Type],"Testcase Creation")</f>
        <v>0</v>
      </c>
      <c r="AC468" s="255">
        <f>SUMIFS(Table3[Hours Worked],Table3[Release Name],Table7[[#This Row],[Release Name]],Table3[Task Type],"Testcase Execution")</f>
        <v>0</v>
      </c>
      <c r="AD46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8" s="256" t="str">
        <f>IFERROR((Table7[[#This Row],[No. of Valid Internal Review Defects]]+Table7[[#This Row],[No. of Valid  Internal Testing Defects]]+Table7[[#This Row],[No. of  Valid External Review Defects]]+Table7[[#This Row],[No. of Valid External Testing Defects]])/Table7[[#This Row],[Size]],"")</f>
        <v/>
      </c>
      <c r="AF468" s="257" t="str">
        <f>IFERROR(Table7[[#This Row],[No. of Valid Internal Review Defects]]/(Table7[[#This Row],[No. of Valid Internal Review Defects]]+Table7[[#This Row],[No. of  Valid External Review Defects]]+Table7[[#This Row],[No. of Valid  Internal Testing Defects]]+Table7[[#This Row],[No. of Valid External Testing Defects]]),"")</f>
        <v/>
      </c>
      <c r="AG468" s="258" t="str">
        <f>IFERROR(Table7[[#This Row],[No. of Valid Internal Review Defects]]/(Table7[[#This Row],[No. of Valid Internal Review Defects]]+Table7[[#This Row],[No. of  Valid External Review Defects]]+Table7[[#This Row],[No. of Valid External Testing Defects]]),"")</f>
        <v/>
      </c>
      <c r="AH468" s="256" t="str">
        <f>IFERROR(Table7[[#This Row],[No. of Valid  Internal Testing Defects]]/Table7[[#This Row],[Overall Actual Effort for the release]],"")</f>
        <v/>
      </c>
      <c r="AI468" s="256" t="str">
        <f>IFERROR(Table7[[#This Row],[No. of Valid  Internal Testing Defects]]/Table7[[#This Row],[No. of Testcases Executed]],"")</f>
        <v/>
      </c>
      <c r="AJ468" s="259" t="str">
        <f>IFERROR(IFERROR(Table7[[#This Row],[No. of Testcases Created]]/Table7[[#This Row],[Effort for Testcase Creation]],"")*9,"")</f>
        <v/>
      </c>
      <c r="AK468" s="256" t="str">
        <f>IFERROR((Table7[[#This Row],[No. of Testcases Executed]]/Table7[[#This Row],[Effort for Testcase Execution]])*9,"")</f>
        <v/>
      </c>
      <c r="AL46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8" s="259" t="str">
        <f>IFERROR(Table7[[#This Row],[No. of Defects Validated]]/SUMIFS(Table3[Hours Worked],Table3[Release Name],Table7[[#This Row],[Release Name]],Table3[Task Type],"Defect Validation")*9,"")</f>
        <v/>
      </c>
      <c r="AN468" s="258" t="str">
        <f>IFERROR((Table7[[#This Row],[No. of Valid  Internal Testing Defects]])/(Table7[[#This Row],[No. of Valid  Internal Testing Defects]]+Table7[[#This Row],[No. of Invalid Internal Testing Defects]]),"")</f>
        <v/>
      </c>
      <c r="AO468" s="258" t="str">
        <f>IFERROR(Table7[[#This Row],[No. of Valid External Testing Defects]]/(Table7[[#This Row],[No. of Valid External Testing Defects]]+Table7[[#This Row],[No. of Valid  Internal Testing Defects]]),"")</f>
        <v/>
      </c>
    </row>
    <row r="469" spans="2:41">
      <c r="B469" s="237"/>
      <c r="C469" s="14"/>
      <c r="D469" s="14"/>
      <c r="E469" s="14"/>
      <c r="F469" s="230" t="str">
        <f>IFERROR((Table47[[#This Row],[Initial No. of Requirements]]+Table47[[#This Row],[Modified Requirements( Added / Deleted /Modified)]])/Table47[[#This Row],[Initial No. of Requirements]],"")</f>
        <v/>
      </c>
      <c r="G46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69" s="249"/>
      <c r="J469" s="249"/>
      <c r="K469" s="250"/>
      <c r="L469" s="250"/>
      <c r="M469" s="250"/>
      <c r="N469" s="248">
        <f>SUMIFS(Table1[Size],Table1[Release Name],[2]!Table7[Release Name])</f>
        <v>0</v>
      </c>
      <c r="O469" s="248"/>
      <c r="P46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69" s="248"/>
      <c r="R46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69" s="248"/>
      <c r="T469" s="248"/>
      <c r="U469" s="248"/>
      <c r="V469" s="248"/>
      <c r="W469" s="248"/>
      <c r="X469" s="248"/>
      <c r="Y469" s="248"/>
      <c r="Z469" s="248"/>
      <c r="AA469" s="248"/>
      <c r="AB469" s="13">
        <f>SUMIFS(Table3[Hours Worked],Table3[Release Name],Table7[[#This Row],[Release Name]],Table3[Task Type],"Testcase Creation")</f>
        <v>0</v>
      </c>
      <c r="AC469" s="255">
        <f>SUMIFS(Table3[Hours Worked],Table3[Release Name],Table7[[#This Row],[Release Name]],Table3[Task Type],"Testcase Execution")</f>
        <v>0</v>
      </c>
      <c r="AD46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69" s="256" t="str">
        <f>IFERROR((Table7[[#This Row],[No. of Valid Internal Review Defects]]+Table7[[#This Row],[No. of Valid  Internal Testing Defects]]+Table7[[#This Row],[No. of  Valid External Review Defects]]+Table7[[#This Row],[No. of Valid External Testing Defects]])/Table7[[#This Row],[Size]],"")</f>
        <v/>
      </c>
      <c r="AF469" s="257" t="str">
        <f>IFERROR(Table7[[#This Row],[No. of Valid Internal Review Defects]]/(Table7[[#This Row],[No. of Valid Internal Review Defects]]+Table7[[#This Row],[No. of  Valid External Review Defects]]+Table7[[#This Row],[No. of Valid  Internal Testing Defects]]+Table7[[#This Row],[No. of Valid External Testing Defects]]),"")</f>
        <v/>
      </c>
      <c r="AG469" s="258" t="str">
        <f>IFERROR(Table7[[#This Row],[No. of Valid Internal Review Defects]]/(Table7[[#This Row],[No. of Valid Internal Review Defects]]+Table7[[#This Row],[No. of  Valid External Review Defects]]+Table7[[#This Row],[No. of Valid External Testing Defects]]),"")</f>
        <v/>
      </c>
      <c r="AH469" s="256" t="str">
        <f>IFERROR(Table7[[#This Row],[No. of Valid  Internal Testing Defects]]/Table7[[#This Row],[Overall Actual Effort for the release]],"")</f>
        <v/>
      </c>
      <c r="AI469" s="256" t="str">
        <f>IFERROR(Table7[[#This Row],[No. of Valid  Internal Testing Defects]]/Table7[[#This Row],[No. of Testcases Executed]],"")</f>
        <v/>
      </c>
      <c r="AJ469" s="259" t="str">
        <f>IFERROR(IFERROR(Table7[[#This Row],[No. of Testcases Created]]/Table7[[#This Row],[Effort for Testcase Creation]],"")*9,"")</f>
        <v/>
      </c>
      <c r="AK469" s="256" t="str">
        <f>IFERROR((Table7[[#This Row],[No. of Testcases Executed]]/Table7[[#This Row],[Effort for Testcase Execution]])*9,"")</f>
        <v/>
      </c>
      <c r="AL46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69" s="259" t="str">
        <f>IFERROR(Table7[[#This Row],[No. of Defects Validated]]/SUMIFS(Table3[Hours Worked],Table3[Release Name],Table7[[#This Row],[Release Name]],Table3[Task Type],"Defect Validation")*9,"")</f>
        <v/>
      </c>
      <c r="AN469" s="258" t="str">
        <f>IFERROR((Table7[[#This Row],[No. of Valid  Internal Testing Defects]])/(Table7[[#This Row],[No. of Valid  Internal Testing Defects]]+Table7[[#This Row],[No. of Invalid Internal Testing Defects]]),"")</f>
        <v/>
      </c>
      <c r="AO469" s="258" t="str">
        <f>IFERROR(Table7[[#This Row],[No. of Valid External Testing Defects]]/(Table7[[#This Row],[No. of Valid External Testing Defects]]+Table7[[#This Row],[No. of Valid  Internal Testing Defects]]),"")</f>
        <v/>
      </c>
    </row>
    <row r="470" spans="2:41">
      <c r="B470" s="237"/>
      <c r="C470" s="14"/>
      <c r="D470" s="14"/>
      <c r="E470" s="14"/>
      <c r="F470" s="230" t="str">
        <f>IFERROR((Table47[[#This Row],[Initial No. of Requirements]]+Table47[[#This Row],[Modified Requirements( Added / Deleted /Modified)]])/Table47[[#This Row],[Initial No. of Requirements]],"")</f>
        <v/>
      </c>
      <c r="G47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0" s="249"/>
      <c r="J470" s="249"/>
      <c r="K470" s="250"/>
      <c r="L470" s="250"/>
      <c r="M470" s="250"/>
      <c r="N470" s="248">
        <f>SUMIFS(Table1[Size],Table1[Release Name],[2]!Table7[Release Name])</f>
        <v>0</v>
      </c>
      <c r="O470" s="248"/>
      <c r="P47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0" s="248"/>
      <c r="R47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0" s="248"/>
      <c r="T470" s="248"/>
      <c r="U470" s="248"/>
      <c r="V470" s="248"/>
      <c r="W470" s="248"/>
      <c r="X470" s="248"/>
      <c r="Y470" s="248"/>
      <c r="Z470" s="248"/>
      <c r="AA470" s="248"/>
      <c r="AB470" s="13">
        <f>SUMIFS(Table3[Hours Worked],Table3[Release Name],Table7[[#This Row],[Release Name]],Table3[Task Type],"Testcase Creation")</f>
        <v>0</v>
      </c>
      <c r="AC470" s="255">
        <f>SUMIFS(Table3[Hours Worked],Table3[Release Name],Table7[[#This Row],[Release Name]],Table3[Task Type],"Testcase Execution")</f>
        <v>0</v>
      </c>
      <c r="AD47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0" s="256" t="str">
        <f>IFERROR((Table7[[#This Row],[No. of Valid Internal Review Defects]]+Table7[[#This Row],[No. of Valid  Internal Testing Defects]]+Table7[[#This Row],[No. of  Valid External Review Defects]]+Table7[[#This Row],[No. of Valid External Testing Defects]])/Table7[[#This Row],[Size]],"")</f>
        <v/>
      </c>
      <c r="AF470" s="257" t="str">
        <f>IFERROR(Table7[[#This Row],[No. of Valid Internal Review Defects]]/(Table7[[#This Row],[No. of Valid Internal Review Defects]]+Table7[[#This Row],[No. of  Valid External Review Defects]]+Table7[[#This Row],[No. of Valid  Internal Testing Defects]]+Table7[[#This Row],[No. of Valid External Testing Defects]]),"")</f>
        <v/>
      </c>
      <c r="AG470" s="258" t="str">
        <f>IFERROR(Table7[[#This Row],[No. of Valid Internal Review Defects]]/(Table7[[#This Row],[No. of Valid Internal Review Defects]]+Table7[[#This Row],[No. of  Valid External Review Defects]]+Table7[[#This Row],[No. of Valid External Testing Defects]]),"")</f>
        <v/>
      </c>
      <c r="AH470" s="256" t="str">
        <f>IFERROR(Table7[[#This Row],[No. of Valid  Internal Testing Defects]]/Table7[[#This Row],[Overall Actual Effort for the release]],"")</f>
        <v/>
      </c>
      <c r="AI470" s="256" t="str">
        <f>IFERROR(Table7[[#This Row],[No. of Valid  Internal Testing Defects]]/Table7[[#This Row],[No. of Testcases Executed]],"")</f>
        <v/>
      </c>
      <c r="AJ470" s="259" t="str">
        <f>IFERROR(IFERROR(Table7[[#This Row],[No. of Testcases Created]]/Table7[[#This Row],[Effort for Testcase Creation]],"")*9,"")</f>
        <v/>
      </c>
      <c r="AK470" s="256" t="str">
        <f>IFERROR((Table7[[#This Row],[No. of Testcases Executed]]/Table7[[#This Row],[Effort for Testcase Execution]])*9,"")</f>
        <v/>
      </c>
      <c r="AL47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0" s="259" t="str">
        <f>IFERROR(Table7[[#This Row],[No. of Defects Validated]]/SUMIFS(Table3[Hours Worked],Table3[Release Name],Table7[[#This Row],[Release Name]],Table3[Task Type],"Defect Validation")*9,"")</f>
        <v/>
      </c>
      <c r="AN470" s="258" t="str">
        <f>IFERROR((Table7[[#This Row],[No. of Valid  Internal Testing Defects]])/(Table7[[#This Row],[No. of Valid  Internal Testing Defects]]+Table7[[#This Row],[No. of Invalid Internal Testing Defects]]),"")</f>
        <v/>
      </c>
      <c r="AO470" s="258" t="str">
        <f>IFERROR(Table7[[#This Row],[No. of Valid External Testing Defects]]/(Table7[[#This Row],[No. of Valid External Testing Defects]]+Table7[[#This Row],[No. of Valid  Internal Testing Defects]]),"")</f>
        <v/>
      </c>
    </row>
    <row r="471" spans="2:41">
      <c r="B471" s="237"/>
      <c r="C471" s="14"/>
      <c r="D471" s="14"/>
      <c r="E471" s="14"/>
      <c r="F471" s="230" t="str">
        <f>IFERROR((Table47[[#This Row],[Initial No. of Requirements]]+Table47[[#This Row],[Modified Requirements( Added / Deleted /Modified)]])/Table47[[#This Row],[Initial No. of Requirements]],"")</f>
        <v/>
      </c>
      <c r="G47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1" s="249"/>
      <c r="J471" s="249"/>
      <c r="K471" s="250"/>
      <c r="L471" s="250"/>
      <c r="M471" s="250"/>
      <c r="N471" s="248">
        <f>SUMIFS(Table1[Size],Table1[Release Name],[2]!Table7[Release Name])</f>
        <v>0</v>
      </c>
      <c r="O471" s="248"/>
      <c r="P47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1" s="248"/>
      <c r="R47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1" s="248"/>
      <c r="T471" s="248"/>
      <c r="U471" s="248"/>
      <c r="V471" s="248"/>
      <c r="W471" s="248"/>
      <c r="X471" s="248"/>
      <c r="Y471" s="248"/>
      <c r="Z471" s="248"/>
      <c r="AA471" s="248"/>
      <c r="AB471" s="13">
        <f>SUMIFS(Table3[Hours Worked],Table3[Release Name],Table7[[#This Row],[Release Name]],Table3[Task Type],"Testcase Creation")</f>
        <v>0</v>
      </c>
      <c r="AC471" s="255">
        <f>SUMIFS(Table3[Hours Worked],Table3[Release Name],Table7[[#This Row],[Release Name]],Table3[Task Type],"Testcase Execution")</f>
        <v>0</v>
      </c>
      <c r="AD47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1" s="256" t="str">
        <f>IFERROR((Table7[[#This Row],[No. of Valid Internal Review Defects]]+Table7[[#This Row],[No. of Valid  Internal Testing Defects]]+Table7[[#This Row],[No. of  Valid External Review Defects]]+Table7[[#This Row],[No. of Valid External Testing Defects]])/Table7[[#This Row],[Size]],"")</f>
        <v/>
      </c>
      <c r="AF471" s="257" t="str">
        <f>IFERROR(Table7[[#This Row],[No. of Valid Internal Review Defects]]/(Table7[[#This Row],[No. of Valid Internal Review Defects]]+Table7[[#This Row],[No. of  Valid External Review Defects]]+Table7[[#This Row],[No. of Valid  Internal Testing Defects]]+Table7[[#This Row],[No. of Valid External Testing Defects]]),"")</f>
        <v/>
      </c>
      <c r="AG471" s="258" t="str">
        <f>IFERROR(Table7[[#This Row],[No. of Valid Internal Review Defects]]/(Table7[[#This Row],[No. of Valid Internal Review Defects]]+Table7[[#This Row],[No. of  Valid External Review Defects]]+Table7[[#This Row],[No. of Valid External Testing Defects]]),"")</f>
        <v/>
      </c>
      <c r="AH471" s="256" t="str">
        <f>IFERROR(Table7[[#This Row],[No. of Valid  Internal Testing Defects]]/Table7[[#This Row],[Overall Actual Effort for the release]],"")</f>
        <v/>
      </c>
      <c r="AI471" s="256" t="str">
        <f>IFERROR(Table7[[#This Row],[No. of Valid  Internal Testing Defects]]/Table7[[#This Row],[No. of Testcases Executed]],"")</f>
        <v/>
      </c>
      <c r="AJ471" s="259" t="str">
        <f>IFERROR(IFERROR(Table7[[#This Row],[No. of Testcases Created]]/Table7[[#This Row],[Effort for Testcase Creation]],"")*9,"")</f>
        <v/>
      </c>
      <c r="AK471" s="256" t="str">
        <f>IFERROR((Table7[[#This Row],[No. of Testcases Executed]]/Table7[[#This Row],[Effort for Testcase Execution]])*9,"")</f>
        <v/>
      </c>
      <c r="AL47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1" s="259" t="str">
        <f>IFERROR(Table7[[#This Row],[No. of Defects Validated]]/SUMIFS(Table3[Hours Worked],Table3[Release Name],Table7[[#This Row],[Release Name]],Table3[Task Type],"Defect Validation")*9,"")</f>
        <v/>
      </c>
      <c r="AN471" s="258" t="str">
        <f>IFERROR((Table7[[#This Row],[No. of Valid  Internal Testing Defects]])/(Table7[[#This Row],[No. of Valid  Internal Testing Defects]]+Table7[[#This Row],[No. of Invalid Internal Testing Defects]]),"")</f>
        <v/>
      </c>
      <c r="AO471" s="258" t="str">
        <f>IFERROR(Table7[[#This Row],[No. of Valid External Testing Defects]]/(Table7[[#This Row],[No. of Valid External Testing Defects]]+Table7[[#This Row],[No. of Valid  Internal Testing Defects]]),"")</f>
        <v/>
      </c>
    </row>
    <row r="472" spans="2:41">
      <c r="B472" s="237"/>
      <c r="C472" s="14"/>
      <c r="D472" s="14"/>
      <c r="E472" s="14"/>
      <c r="F472" s="230" t="str">
        <f>IFERROR((Table47[[#This Row],[Initial No. of Requirements]]+Table47[[#This Row],[Modified Requirements( Added / Deleted /Modified)]])/Table47[[#This Row],[Initial No. of Requirements]],"")</f>
        <v/>
      </c>
      <c r="G47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2" s="249"/>
      <c r="J472" s="249"/>
      <c r="K472" s="250"/>
      <c r="L472" s="250"/>
      <c r="M472" s="250"/>
      <c r="N472" s="248">
        <f>SUMIFS(Table1[Size],Table1[Release Name],[2]!Table7[Release Name])</f>
        <v>0</v>
      </c>
      <c r="O472" s="248"/>
      <c r="P47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2" s="248"/>
      <c r="R47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2" s="248"/>
      <c r="T472" s="248"/>
      <c r="U472" s="248"/>
      <c r="V472" s="248"/>
      <c r="W472" s="248"/>
      <c r="X472" s="248"/>
      <c r="Y472" s="248"/>
      <c r="Z472" s="248"/>
      <c r="AA472" s="248"/>
      <c r="AB472" s="13">
        <f>SUMIFS(Table3[Hours Worked],Table3[Release Name],Table7[[#This Row],[Release Name]],Table3[Task Type],"Testcase Creation")</f>
        <v>0</v>
      </c>
      <c r="AC472" s="255">
        <f>SUMIFS(Table3[Hours Worked],Table3[Release Name],Table7[[#This Row],[Release Name]],Table3[Task Type],"Testcase Execution")</f>
        <v>0</v>
      </c>
      <c r="AD47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2" s="256" t="str">
        <f>IFERROR((Table7[[#This Row],[No. of Valid Internal Review Defects]]+Table7[[#This Row],[No. of Valid  Internal Testing Defects]]+Table7[[#This Row],[No. of  Valid External Review Defects]]+Table7[[#This Row],[No. of Valid External Testing Defects]])/Table7[[#This Row],[Size]],"")</f>
        <v/>
      </c>
      <c r="AF472" s="257" t="str">
        <f>IFERROR(Table7[[#This Row],[No. of Valid Internal Review Defects]]/(Table7[[#This Row],[No. of Valid Internal Review Defects]]+Table7[[#This Row],[No. of  Valid External Review Defects]]+Table7[[#This Row],[No. of Valid  Internal Testing Defects]]+Table7[[#This Row],[No. of Valid External Testing Defects]]),"")</f>
        <v/>
      </c>
      <c r="AG472" s="258" t="str">
        <f>IFERROR(Table7[[#This Row],[No. of Valid Internal Review Defects]]/(Table7[[#This Row],[No. of Valid Internal Review Defects]]+Table7[[#This Row],[No. of  Valid External Review Defects]]+Table7[[#This Row],[No. of Valid External Testing Defects]]),"")</f>
        <v/>
      </c>
      <c r="AH472" s="256" t="str">
        <f>IFERROR(Table7[[#This Row],[No. of Valid  Internal Testing Defects]]/Table7[[#This Row],[Overall Actual Effort for the release]],"")</f>
        <v/>
      </c>
      <c r="AI472" s="256" t="str">
        <f>IFERROR(Table7[[#This Row],[No. of Valid  Internal Testing Defects]]/Table7[[#This Row],[No. of Testcases Executed]],"")</f>
        <v/>
      </c>
      <c r="AJ472" s="259" t="str">
        <f>IFERROR(IFERROR(Table7[[#This Row],[No. of Testcases Created]]/Table7[[#This Row],[Effort for Testcase Creation]],"")*9,"")</f>
        <v/>
      </c>
      <c r="AK472" s="256" t="str">
        <f>IFERROR((Table7[[#This Row],[No. of Testcases Executed]]/Table7[[#This Row],[Effort for Testcase Execution]])*9,"")</f>
        <v/>
      </c>
      <c r="AL47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2" s="259" t="str">
        <f>IFERROR(Table7[[#This Row],[No. of Defects Validated]]/SUMIFS(Table3[Hours Worked],Table3[Release Name],Table7[[#This Row],[Release Name]],Table3[Task Type],"Defect Validation")*9,"")</f>
        <v/>
      </c>
      <c r="AN472" s="258" t="str">
        <f>IFERROR((Table7[[#This Row],[No. of Valid  Internal Testing Defects]])/(Table7[[#This Row],[No. of Valid  Internal Testing Defects]]+Table7[[#This Row],[No. of Invalid Internal Testing Defects]]),"")</f>
        <v/>
      </c>
      <c r="AO472" s="258" t="str">
        <f>IFERROR(Table7[[#This Row],[No. of Valid External Testing Defects]]/(Table7[[#This Row],[No. of Valid External Testing Defects]]+Table7[[#This Row],[No. of Valid  Internal Testing Defects]]),"")</f>
        <v/>
      </c>
    </row>
    <row r="473" spans="2:41">
      <c r="B473" s="237"/>
      <c r="C473" s="14"/>
      <c r="D473" s="14"/>
      <c r="E473" s="14"/>
      <c r="F473" s="230" t="str">
        <f>IFERROR((Table47[[#This Row],[Initial No. of Requirements]]+Table47[[#This Row],[Modified Requirements( Added / Deleted /Modified)]])/Table47[[#This Row],[Initial No. of Requirements]],"")</f>
        <v/>
      </c>
      <c r="G47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3" s="249"/>
      <c r="J473" s="249"/>
      <c r="K473" s="250"/>
      <c r="L473" s="250"/>
      <c r="M473" s="250"/>
      <c r="N473" s="248">
        <f>SUMIFS(Table1[Size],Table1[Release Name],[2]!Table7[Release Name])</f>
        <v>0</v>
      </c>
      <c r="O473" s="248"/>
      <c r="P47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3" s="248"/>
      <c r="R47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3" s="248"/>
      <c r="T473" s="248"/>
      <c r="U473" s="248"/>
      <c r="V473" s="248"/>
      <c r="W473" s="248"/>
      <c r="X473" s="248"/>
      <c r="Y473" s="248"/>
      <c r="Z473" s="248"/>
      <c r="AA473" s="248"/>
      <c r="AB473" s="13">
        <f>SUMIFS(Table3[Hours Worked],Table3[Release Name],Table7[[#This Row],[Release Name]],Table3[Task Type],"Testcase Creation")</f>
        <v>0</v>
      </c>
      <c r="AC473" s="255">
        <f>SUMIFS(Table3[Hours Worked],Table3[Release Name],Table7[[#This Row],[Release Name]],Table3[Task Type],"Testcase Execution")</f>
        <v>0</v>
      </c>
      <c r="AD47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3" s="256" t="str">
        <f>IFERROR((Table7[[#This Row],[No. of Valid Internal Review Defects]]+Table7[[#This Row],[No. of Valid  Internal Testing Defects]]+Table7[[#This Row],[No. of  Valid External Review Defects]]+Table7[[#This Row],[No. of Valid External Testing Defects]])/Table7[[#This Row],[Size]],"")</f>
        <v/>
      </c>
      <c r="AF473" s="257" t="str">
        <f>IFERROR(Table7[[#This Row],[No. of Valid Internal Review Defects]]/(Table7[[#This Row],[No. of Valid Internal Review Defects]]+Table7[[#This Row],[No. of  Valid External Review Defects]]+Table7[[#This Row],[No. of Valid  Internal Testing Defects]]+Table7[[#This Row],[No. of Valid External Testing Defects]]),"")</f>
        <v/>
      </c>
      <c r="AG473" s="258" t="str">
        <f>IFERROR(Table7[[#This Row],[No. of Valid Internal Review Defects]]/(Table7[[#This Row],[No. of Valid Internal Review Defects]]+Table7[[#This Row],[No. of  Valid External Review Defects]]+Table7[[#This Row],[No. of Valid External Testing Defects]]),"")</f>
        <v/>
      </c>
      <c r="AH473" s="256" t="str">
        <f>IFERROR(Table7[[#This Row],[No. of Valid  Internal Testing Defects]]/Table7[[#This Row],[Overall Actual Effort for the release]],"")</f>
        <v/>
      </c>
      <c r="AI473" s="256" t="str">
        <f>IFERROR(Table7[[#This Row],[No. of Valid  Internal Testing Defects]]/Table7[[#This Row],[No. of Testcases Executed]],"")</f>
        <v/>
      </c>
      <c r="AJ473" s="259" t="str">
        <f>IFERROR(IFERROR(Table7[[#This Row],[No. of Testcases Created]]/Table7[[#This Row],[Effort for Testcase Creation]],"")*9,"")</f>
        <v/>
      </c>
      <c r="AK473" s="256" t="str">
        <f>IFERROR((Table7[[#This Row],[No. of Testcases Executed]]/Table7[[#This Row],[Effort for Testcase Execution]])*9,"")</f>
        <v/>
      </c>
      <c r="AL47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3" s="259" t="str">
        <f>IFERROR(Table7[[#This Row],[No. of Defects Validated]]/SUMIFS(Table3[Hours Worked],Table3[Release Name],Table7[[#This Row],[Release Name]],Table3[Task Type],"Defect Validation")*9,"")</f>
        <v/>
      </c>
      <c r="AN473" s="258" t="str">
        <f>IFERROR((Table7[[#This Row],[No. of Valid  Internal Testing Defects]])/(Table7[[#This Row],[No. of Valid  Internal Testing Defects]]+Table7[[#This Row],[No. of Invalid Internal Testing Defects]]),"")</f>
        <v/>
      </c>
      <c r="AO473" s="258" t="str">
        <f>IFERROR(Table7[[#This Row],[No. of Valid External Testing Defects]]/(Table7[[#This Row],[No. of Valid External Testing Defects]]+Table7[[#This Row],[No. of Valid  Internal Testing Defects]]),"")</f>
        <v/>
      </c>
    </row>
    <row r="474" spans="2:41">
      <c r="B474" s="237"/>
      <c r="C474" s="14"/>
      <c r="D474" s="14"/>
      <c r="E474" s="14"/>
      <c r="F474" s="230" t="str">
        <f>IFERROR((Table47[[#This Row],[Initial No. of Requirements]]+Table47[[#This Row],[Modified Requirements( Added / Deleted /Modified)]])/Table47[[#This Row],[Initial No. of Requirements]],"")</f>
        <v/>
      </c>
      <c r="G47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4" s="249"/>
      <c r="J474" s="249"/>
      <c r="K474" s="250"/>
      <c r="L474" s="250"/>
      <c r="M474" s="250"/>
      <c r="N474" s="248">
        <f>SUMIFS(Table1[Size],Table1[Release Name],[2]!Table7[Release Name])</f>
        <v>0</v>
      </c>
      <c r="O474" s="248"/>
      <c r="P47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4" s="248"/>
      <c r="R47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4" s="248"/>
      <c r="T474" s="248"/>
      <c r="U474" s="248"/>
      <c r="V474" s="248"/>
      <c r="W474" s="248"/>
      <c r="X474" s="248"/>
      <c r="Y474" s="248"/>
      <c r="Z474" s="248"/>
      <c r="AA474" s="248"/>
      <c r="AB474" s="13">
        <f>SUMIFS(Table3[Hours Worked],Table3[Release Name],Table7[[#This Row],[Release Name]],Table3[Task Type],"Testcase Creation")</f>
        <v>0</v>
      </c>
      <c r="AC474" s="255">
        <f>SUMIFS(Table3[Hours Worked],Table3[Release Name],Table7[[#This Row],[Release Name]],Table3[Task Type],"Testcase Execution")</f>
        <v>0</v>
      </c>
      <c r="AD47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4" s="256" t="str">
        <f>IFERROR((Table7[[#This Row],[No. of Valid Internal Review Defects]]+Table7[[#This Row],[No. of Valid  Internal Testing Defects]]+Table7[[#This Row],[No. of  Valid External Review Defects]]+Table7[[#This Row],[No. of Valid External Testing Defects]])/Table7[[#This Row],[Size]],"")</f>
        <v/>
      </c>
      <c r="AF474" s="257" t="str">
        <f>IFERROR(Table7[[#This Row],[No. of Valid Internal Review Defects]]/(Table7[[#This Row],[No. of Valid Internal Review Defects]]+Table7[[#This Row],[No. of  Valid External Review Defects]]+Table7[[#This Row],[No. of Valid  Internal Testing Defects]]+Table7[[#This Row],[No. of Valid External Testing Defects]]),"")</f>
        <v/>
      </c>
      <c r="AG474" s="258" t="str">
        <f>IFERROR(Table7[[#This Row],[No. of Valid Internal Review Defects]]/(Table7[[#This Row],[No. of Valid Internal Review Defects]]+Table7[[#This Row],[No. of  Valid External Review Defects]]+Table7[[#This Row],[No. of Valid External Testing Defects]]),"")</f>
        <v/>
      </c>
      <c r="AH474" s="256" t="str">
        <f>IFERROR(Table7[[#This Row],[No. of Valid  Internal Testing Defects]]/Table7[[#This Row],[Overall Actual Effort for the release]],"")</f>
        <v/>
      </c>
      <c r="AI474" s="256" t="str">
        <f>IFERROR(Table7[[#This Row],[No. of Valid  Internal Testing Defects]]/Table7[[#This Row],[No. of Testcases Executed]],"")</f>
        <v/>
      </c>
      <c r="AJ474" s="259" t="str">
        <f>IFERROR(IFERROR(Table7[[#This Row],[No. of Testcases Created]]/Table7[[#This Row],[Effort for Testcase Creation]],"")*9,"")</f>
        <v/>
      </c>
      <c r="AK474" s="256" t="str">
        <f>IFERROR((Table7[[#This Row],[No. of Testcases Executed]]/Table7[[#This Row],[Effort for Testcase Execution]])*9,"")</f>
        <v/>
      </c>
      <c r="AL47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4" s="259" t="str">
        <f>IFERROR(Table7[[#This Row],[No. of Defects Validated]]/SUMIFS(Table3[Hours Worked],Table3[Release Name],Table7[[#This Row],[Release Name]],Table3[Task Type],"Defect Validation")*9,"")</f>
        <v/>
      </c>
      <c r="AN474" s="258" t="str">
        <f>IFERROR((Table7[[#This Row],[No. of Valid  Internal Testing Defects]])/(Table7[[#This Row],[No. of Valid  Internal Testing Defects]]+Table7[[#This Row],[No. of Invalid Internal Testing Defects]]),"")</f>
        <v/>
      </c>
      <c r="AO474" s="258" t="str">
        <f>IFERROR(Table7[[#This Row],[No. of Valid External Testing Defects]]/(Table7[[#This Row],[No. of Valid External Testing Defects]]+Table7[[#This Row],[No. of Valid  Internal Testing Defects]]),"")</f>
        <v/>
      </c>
    </row>
    <row r="475" spans="2:41">
      <c r="B475" s="237"/>
      <c r="C475" s="14"/>
      <c r="D475" s="14"/>
      <c r="E475" s="14"/>
      <c r="F475" s="230" t="str">
        <f>IFERROR((Table47[[#This Row],[Initial No. of Requirements]]+Table47[[#This Row],[Modified Requirements( Added / Deleted /Modified)]])/Table47[[#This Row],[Initial No. of Requirements]],"")</f>
        <v/>
      </c>
      <c r="G47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5" s="249"/>
      <c r="J475" s="249"/>
      <c r="K475" s="250"/>
      <c r="L475" s="250"/>
      <c r="M475" s="250"/>
      <c r="N475" s="248">
        <f>SUMIFS(Table1[Size],Table1[Release Name],[2]!Table7[Release Name])</f>
        <v>0</v>
      </c>
      <c r="O475" s="248"/>
      <c r="P47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5" s="248"/>
      <c r="R47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5" s="248"/>
      <c r="T475" s="248"/>
      <c r="U475" s="248"/>
      <c r="V475" s="248"/>
      <c r="W475" s="248"/>
      <c r="X475" s="248"/>
      <c r="Y475" s="248"/>
      <c r="Z475" s="248"/>
      <c r="AA475" s="248"/>
      <c r="AB475" s="13">
        <f>SUMIFS(Table3[Hours Worked],Table3[Release Name],Table7[[#This Row],[Release Name]],Table3[Task Type],"Testcase Creation")</f>
        <v>0</v>
      </c>
      <c r="AC475" s="255">
        <f>SUMIFS(Table3[Hours Worked],Table3[Release Name],Table7[[#This Row],[Release Name]],Table3[Task Type],"Testcase Execution")</f>
        <v>0</v>
      </c>
      <c r="AD47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5" s="256" t="str">
        <f>IFERROR((Table7[[#This Row],[No. of Valid Internal Review Defects]]+Table7[[#This Row],[No. of Valid  Internal Testing Defects]]+Table7[[#This Row],[No. of  Valid External Review Defects]]+Table7[[#This Row],[No. of Valid External Testing Defects]])/Table7[[#This Row],[Size]],"")</f>
        <v/>
      </c>
      <c r="AF475" s="257" t="str">
        <f>IFERROR(Table7[[#This Row],[No. of Valid Internal Review Defects]]/(Table7[[#This Row],[No. of Valid Internal Review Defects]]+Table7[[#This Row],[No. of  Valid External Review Defects]]+Table7[[#This Row],[No. of Valid  Internal Testing Defects]]+Table7[[#This Row],[No. of Valid External Testing Defects]]),"")</f>
        <v/>
      </c>
      <c r="AG475" s="258" t="str">
        <f>IFERROR(Table7[[#This Row],[No. of Valid Internal Review Defects]]/(Table7[[#This Row],[No. of Valid Internal Review Defects]]+Table7[[#This Row],[No. of  Valid External Review Defects]]+Table7[[#This Row],[No. of Valid External Testing Defects]]),"")</f>
        <v/>
      </c>
      <c r="AH475" s="256" t="str">
        <f>IFERROR(Table7[[#This Row],[No. of Valid  Internal Testing Defects]]/Table7[[#This Row],[Overall Actual Effort for the release]],"")</f>
        <v/>
      </c>
      <c r="AI475" s="256" t="str">
        <f>IFERROR(Table7[[#This Row],[No. of Valid  Internal Testing Defects]]/Table7[[#This Row],[No. of Testcases Executed]],"")</f>
        <v/>
      </c>
      <c r="AJ475" s="259" t="str">
        <f>IFERROR(IFERROR(Table7[[#This Row],[No. of Testcases Created]]/Table7[[#This Row],[Effort for Testcase Creation]],"")*9,"")</f>
        <v/>
      </c>
      <c r="AK475" s="256" t="str">
        <f>IFERROR((Table7[[#This Row],[No. of Testcases Executed]]/Table7[[#This Row],[Effort for Testcase Execution]])*9,"")</f>
        <v/>
      </c>
      <c r="AL47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5" s="259" t="str">
        <f>IFERROR(Table7[[#This Row],[No. of Defects Validated]]/SUMIFS(Table3[Hours Worked],Table3[Release Name],Table7[[#This Row],[Release Name]],Table3[Task Type],"Defect Validation")*9,"")</f>
        <v/>
      </c>
      <c r="AN475" s="258" t="str">
        <f>IFERROR((Table7[[#This Row],[No. of Valid  Internal Testing Defects]])/(Table7[[#This Row],[No. of Valid  Internal Testing Defects]]+Table7[[#This Row],[No. of Invalid Internal Testing Defects]]),"")</f>
        <v/>
      </c>
      <c r="AO475" s="258" t="str">
        <f>IFERROR(Table7[[#This Row],[No. of Valid External Testing Defects]]/(Table7[[#This Row],[No. of Valid External Testing Defects]]+Table7[[#This Row],[No. of Valid  Internal Testing Defects]]),"")</f>
        <v/>
      </c>
    </row>
    <row r="476" spans="2:41">
      <c r="B476" s="237"/>
      <c r="C476" s="14"/>
      <c r="D476" s="14"/>
      <c r="E476" s="14"/>
      <c r="F476" s="230" t="str">
        <f>IFERROR((Table47[[#This Row],[Initial No. of Requirements]]+Table47[[#This Row],[Modified Requirements( Added / Deleted /Modified)]])/Table47[[#This Row],[Initial No. of Requirements]],"")</f>
        <v/>
      </c>
      <c r="G47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6" s="249"/>
      <c r="J476" s="249"/>
      <c r="K476" s="250"/>
      <c r="L476" s="250"/>
      <c r="M476" s="250"/>
      <c r="N476" s="248">
        <f>SUMIFS(Table1[Size],Table1[Release Name],[2]!Table7[Release Name])</f>
        <v>0</v>
      </c>
      <c r="O476" s="248"/>
      <c r="P47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6" s="248"/>
      <c r="R47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6" s="248"/>
      <c r="T476" s="248"/>
      <c r="U476" s="248"/>
      <c r="V476" s="248"/>
      <c r="W476" s="248"/>
      <c r="X476" s="248"/>
      <c r="Y476" s="248"/>
      <c r="Z476" s="248"/>
      <c r="AA476" s="248"/>
      <c r="AB476" s="13">
        <f>SUMIFS(Table3[Hours Worked],Table3[Release Name],Table7[[#This Row],[Release Name]],Table3[Task Type],"Testcase Creation")</f>
        <v>0</v>
      </c>
      <c r="AC476" s="255">
        <f>SUMIFS(Table3[Hours Worked],Table3[Release Name],Table7[[#This Row],[Release Name]],Table3[Task Type],"Testcase Execution")</f>
        <v>0</v>
      </c>
      <c r="AD47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6" s="256" t="str">
        <f>IFERROR((Table7[[#This Row],[No. of Valid Internal Review Defects]]+Table7[[#This Row],[No. of Valid  Internal Testing Defects]]+Table7[[#This Row],[No. of  Valid External Review Defects]]+Table7[[#This Row],[No. of Valid External Testing Defects]])/Table7[[#This Row],[Size]],"")</f>
        <v/>
      </c>
      <c r="AF476" s="257" t="str">
        <f>IFERROR(Table7[[#This Row],[No. of Valid Internal Review Defects]]/(Table7[[#This Row],[No. of Valid Internal Review Defects]]+Table7[[#This Row],[No. of  Valid External Review Defects]]+Table7[[#This Row],[No. of Valid  Internal Testing Defects]]+Table7[[#This Row],[No. of Valid External Testing Defects]]),"")</f>
        <v/>
      </c>
      <c r="AG476" s="258" t="str">
        <f>IFERROR(Table7[[#This Row],[No. of Valid Internal Review Defects]]/(Table7[[#This Row],[No. of Valid Internal Review Defects]]+Table7[[#This Row],[No. of  Valid External Review Defects]]+Table7[[#This Row],[No. of Valid External Testing Defects]]),"")</f>
        <v/>
      </c>
      <c r="AH476" s="256" t="str">
        <f>IFERROR(Table7[[#This Row],[No. of Valid  Internal Testing Defects]]/Table7[[#This Row],[Overall Actual Effort for the release]],"")</f>
        <v/>
      </c>
      <c r="AI476" s="256" t="str">
        <f>IFERROR(Table7[[#This Row],[No. of Valid  Internal Testing Defects]]/Table7[[#This Row],[No. of Testcases Executed]],"")</f>
        <v/>
      </c>
      <c r="AJ476" s="259" t="str">
        <f>IFERROR(IFERROR(Table7[[#This Row],[No. of Testcases Created]]/Table7[[#This Row],[Effort for Testcase Creation]],"")*9,"")</f>
        <v/>
      </c>
      <c r="AK476" s="256" t="str">
        <f>IFERROR((Table7[[#This Row],[No. of Testcases Executed]]/Table7[[#This Row],[Effort for Testcase Execution]])*9,"")</f>
        <v/>
      </c>
      <c r="AL47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6" s="259" t="str">
        <f>IFERROR(Table7[[#This Row],[No. of Defects Validated]]/SUMIFS(Table3[Hours Worked],Table3[Release Name],Table7[[#This Row],[Release Name]],Table3[Task Type],"Defect Validation")*9,"")</f>
        <v/>
      </c>
      <c r="AN476" s="258" t="str">
        <f>IFERROR((Table7[[#This Row],[No. of Valid  Internal Testing Defects]])/(Table7[[#This Row],[No. of Valid  Internal Testing Defects]]+Table7[[#This Row],[No. of Invalid Internal Testing Defects]]),"")</f>
        <v/>
      </c>
      <c r="AO476" s="258" t="str">
        <f>IFERROR(Table7[[#This Row],[No. of Valid External Testing Defects]]/(Table7[[#This Row],[No. of Valid External Testing Defects]]+Table7[[#This Row],[No. of Valid  Internal Testing Defects]]),"")</f>
        <v/>
      </c>
    </row>
    <row r="477" spans="2:41">
      <c r="B477" s="237"/>
      <c r="C477" s="14"/>
      <c r="D477" s="14"/>
      <c r="E477" s="14"/>
      <c r="F477" s="230" t="str">
        <f>IFERROR((Table47[[#This Row],[Initial No. of Requirements]]+Table47[[#This Row],[Modified Requirements( Added / Deleted /Modified)]])/Table47[[#This Row],[Initial No. of Requirements]],"")</f>
        <v/>
      </c>
      <c r="G47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7" s="249"/>
      <c r="J477" s="249"/>
      <c r="K477" s="250"/>
      <c r="L477" s="250"/>
      <c r="M477" s="250"/>
      <c r="N477" s="248">
        <f>SUMIFS(Table1[Size],Table1[Release Name],[2]!Table7[Release Name])</f>
        <v>0</v>
      </c>
      <c r="O477" s="248"/>
      <c r="P47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7" s="248"/>
      <c r="R47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7" s="248"/>
      <c r="T477" s="248"/>
      <c r="U477" s="248"/>
      <c r="V477" s="248"/>
      <c r="W477" s="248"/>
      <c r="X477" s="248"/>
      <c r="Y477" s="248"/>
      <c r="Z477" s="248"/>
      <c r="AA477" s="248"/>
      <c r="AB477" s="13">
        <f>SUMIFS(Table3[Hours Worked],Table3[Release Name],Table7[[#This Row],[Release Name]],Table3[Task Type],"Testcase Creation")</f>
        <v>0</v>
      </c>
      <c r="AC477" s="255">
        <f>SUMIFS(Table3[Hours Worked],Table3[Release Name],Table7[[#This Row],[Release Name]],Table3[Task Type],"Testcase Execution")</f>
        <v>0</v>
      </c>
      <c r="AD47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7" s="256" t="str">
        <f>IFERROR((Table7[[#This Row],[No. of Valid Internal Review Defects]]+Table7[[#This Row],[No. of Valid  Internal Testing Defects]]+Table7[[#This Row],[No. of  Valid External Review Defects]]+Table7[[#This Row],[No. of Valid External Testing Defects]])/Table7[[#This Row],[Size]],"")</f>
        <v/>
      </c>
      <c r="AF477" s="257" t="str">
        <f>IFERROR(Table7[[#This Row],[No. of Valid Internal Review Defects]]/(Table7[[#This Row],[No. of Valid Internal Review Defects]]+Table7[[#This Row],[No. of  Valid External Review Defects]]+Table7[[#This Row],[No. of Valid  Internal Testing Defects]]+Table7[[#This Row],[No. of Valid External Testing Defects]]),"")</f>
        <v/>
      </c>
      <c r="AG477" s="258" t="str">
        <f>IFERROR(Table7[[#This Row],[No. of Valid Internal Review Defects]]/(Table7[[#This Row],[No. of Valid Internal Review Defects]]+Table7[[#This Row],[No. of  Valid External Review Defects]]+Table7[[#This Row],[No. of Valid External Testing Defects]]),"")</f>
        <v/>
      </c>
      <c r="AH477" s="256" t="str">
        <f>IFERROR(Table7[[#This Row],[No. of Valid  Internal Testing Defects]]/Table7[[#This Row],[Overall Actual Effort for the release]],"")</f>
        <v/>
      </c>
      <c r="AI477" s="256" t="str">
        <f>IFERROR(Table7[[#This Row],[No. of Valid  Internal Testing Defects]]/Table7[[#This Row],[No. of Testcases Executed]],"")</f>
        <v/>
      </c>
      <c r="AJ477" s="259" t="str">
        <f>IFERROR(IFERROR(Table7[[#This Row],[No. of Testcases Created]]/Table7[[#This Row],[Effort for Testcase Creation]],"")*9,"")</f>
        <v/>
      </c>
      <c r="AK477" s="256" t="str">
        <f>IFERROR((Table7[[#This Row],[No. of Testcases Executed]]/Table7[[#This Row],[Effort for Testcase Execution]])*9,"")</f>
        <v/>
      </c>
      <c r="AL47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7" s="259" t="str">
        <f>IFERROR(Table7[[#This Row],[No. of Defects Validated]]/SUMIFS(Table3[Hours Worked],Table3[Release Name],Table7[[#This Row],[Release Name]],Table3[Task Type],"Defect Validation")*9,"")</f>
        <v/>
      </c>
      <c r="AN477" s="258" t="str">
        <f>IFERROR((Table7[[#This Row],[No. of Valid  Internal Testing Defects]])/(Table7[[#This Row],[No. of Valid  Internal Testing Defects]]+Table7[[#This Row],[No. of Invalid Internal Testing Defects]]),"")</f>
        <v/>
      </c>
      <c r="AO477" s="258" t="str">
        <f>IFERROR(Table7[[#This Row],[No. of Valid External Testing Defects]]/(Table7[[#This Row],[No. of Valid External Testing Defects]]+Table7[[#This Row],[No. of Valid  Internal Testing Defects]]),"")</f>
        <v/>
      </c>
    </row>
    <row r="478" spans="2:41">
      <c r="B478" s="237"/>
      <c r="C478" s="14"/>
      <c r="D478" s="14"/>
      <c r="E478" s="14"/>
      <c r="F478" s="230" t="str">
        <f>IFERROR((Table47[[#This Row],[Initial No. of Requirements]]+Table47[[#This Row],[Modified Requirements( Added / Deleted /Modified)]])/Table47[[#This Row],[Initial No. of Requirements]],"")</f>
        <v/>
      </c>
      <c r="G47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8" s="249"/>
      <c r="J478" s="249"/>
      <c r="K478" s="250"/>
      <c r="L478" s="250"/>
      <c r="M478" s="250"/>
      <c r="N478" s="248">
        <f>SUMIFS(Table1[Size],Table1[Release Name],[2]!Table7[Release Name])</f>
        <v>0</v>
      </c>
      <c r="O478" s="248"/>
      <c r="P47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8" s="248"/>
      <c r="R47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8" s="248"/>
      <c r="T478" s="248"/>
      <c r="U478" s="248"/>
      <c r="V478" s="248"/>
      <c r="W478" s="248"/>
      <c r="X478" s="248"/>
      <c r="Y478" s="248"/>
      <c r="Z478" s="248"/>
      <c r="AA478" s="248"/>
      <c r="AB478" s="13">
        <f>SUMIFS(Table3[Hours Worked],Table3[Release Name],Table7[[#This Row],[Release Name]],Table3[Task Type],"Testcase Creation")</f>
        <v>0</v>
      </c>
      <c r="AC478" s="255">
        <f>SUMIFS(Table3[Hours Worked],Table3[Release Name],Table7[[#This Row],[Release Name]],Table3[Task Type],"Testcase Execution")</f>
        <v>0</v>
      </c>
      <c r="AD47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8" s="256" t="str">
        <f>IFERROR((Table7[[#This Row],[No. of Valid Internal Review Defects]]+Table7[[#This Row],[No. of Valid  Internal Testing Defects]]+Table7[[#This Row],[No. of  Valid External Review Defects]]+Table7[[#This Row],[No. of Valid External Testing Defects]])/Table7[[#This Row],[Size]],"")</f>
        <v/>
      </c>
      <c r="AF478" s="257" t="str">
        <f>IFERROR(Table7[[#This Row],[No. of Valid Internal Review Defects]]/(Table7[[#This Row],[No. of Valid Internal Review Defects]]+Table7[[#This Row],[No. of  Valid External Review Defects]]+Table7[[#This Row],[No. of Valid  Internal Testing Defects]]+Table7[[#This Row],[No. of Valid External Testing Defects]]),"")</f>
        <v/>
      </c>
      <c r="AG478" s="258" t="str">
        <f>IFERROR(Table7[[#This Row],[No. of Valid Internal Review Defects]]/(Table7[[#This Row],[No. of Valid Internal Review Defects]]+Table7[[#This Row],[No. of  Valid External Review Defects]]+Table7[[#This Row],[No. of Valid External Testing Defects]]),"")</f>
        <v/>
      </c>
      <c r="AH478" s="256" t="str">
        <f>IFERROR(Table7[[#This Row],[No. of Valid  Internal Testing Defects]]/Table7[[#This Row],[Overall Actual Effort for the release]],"")</f>
        <v/>
      </c>
      <c r="AI478" s="256" t="str">
        <f>IFERROR(Table7[[#This Row],[No. of Valid  Internal Testing Defects]]/Table7[[#This Row],[No. of Testcases Executed]],"")</f>
        <v/>
      </c>
      <c r="AJ478" s="259" t="str">
        <f>IFERROR(IFERROR(Table7[[#This Row],[No. of Testcases Created]]/Table7[[#This Row],[Effort for Testcase Creation]],"")*9,"")</f>
        <v/>
      </c>
      <c r="AK478" s="256" t="str">
        <f>IFERROR((Table7[[#This Row],[No. of Testcases Executed]]/Table7[[#This Row],[Effort for Testcase Execution]])*9,"")</f>
        <v/>
      </c>
      <c r="AL47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8" s="259" t="str">
        <f>IFERROR(Table7[[#This Row],[No. of Defects Validated]]/SUMIFS(Table3[Hours Worked],Table3[Release Name],Table7[[#This Row],[Release Name]],Table3[Task Type],"Defect Validation")*9,"")</f>
        <v/>
      </c>
      <c r="AN478" s="258" t="str">
        <f>IFERROR((Table7[[#This Row],[No. of Valid  Internal Testing Defects]])/(Table7[[#This Row],[No. of Valid  Internal Testing Defects]]+Table7[[#This Row],[No. of Invalid Internal Testing Defects]]),"")</f>
        <v/>
      </c>
      <c r="AO478" s="258" t="str">
        <f>IFERROR(Table7[[#This Row],[No. of Valid External Testing Defects]]/(Table7[[#This Row],[No. of Valid External Testing Defects]]+Table7[[#This Row],[No. of Valid  Internal Testing Defects]]),"")</f>
        <v/>
      </c>
    </row>
    <row r="479" spans="2:41">
      <c r="B479" s="237"/>
      <c r="C479" s="14"/>
      <c r="D479" s="14"/>
      <c r="E479" s="14"/>
      <c r="F479" s="230" t="str">
        <f>IFERROR((Table47[[#This Row],[Initial No. of Requirements]]+Table47[[#This Row],[Modified Requirements( Added / Deleted /Modified)]])/Table47[[#This Row],[Initial No. of Requirements]],"")</f>
        <v/>
      </c>
      <c r="G47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79" s="249"/>
      <c r="J479" s="249"/>
      <c r="K479" s="250"/>
      <c r="L479" s="250"/>
      <c r="M479" s="250"/>
      <c r="N479" s="248">
        <f>SUMIFS(Table1[Size],Table1[Release Name],[2]!Table7[Release Name])</f>
        <v>0</v>
      </c>
      <c r="O479" s="248"/>
      <c r="P47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79" s="248"/>
      <c r="R47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79" s="248"/>
      <c r="T479" s="248"/>
      <c r="U479" s="248"/>
      <c r="V479" s="248"/>
      <c r="W479" s="248"/>
      <c r="X479" s="248"/>
      <c r="Y479" s="248"/>
      <c r="Z479" s="248"/>
      <c r="AA479" s="248"/>
      <c r="AB479" s="13">
        <f>SUMIFS(Table3[Hours Worked],Table3[Release Name],Table7[[#This Row],[Release Name]],Table3[Task Type],"Testcase Creation")</f>
        <v>0</v>
      </c>
      <c r="AC479" s="255">
        <f>SUMIFS(Table3[Hours Worked],Table3[Release Name],Table7[[#This Row],[Release Name]],Table3[Task Type],"Testcase Execution")</f>
        <v>0</v>
      </c>
      <c r="AD47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79" s="256" t="str">
        <f>IFERROR((Table7[[#This Row],[No. of Valid Internal Review Defects]]+Table7[[#This Row],[No. of Valid  Internal Testing Defects]]+Table7[[#This Row],[No. of  Valid External Review Defects]]+Table7[[#This Row],[No. of Valid External Testing Defects]])/Table7[[#This Row],[Size]],"")</f>
        <v/>
      </c>
      <c r="AF479" s="257" t="str">
        <f>IFERROR(Table7[[#This Row],[No. of Valid Internal Review Defects]]/(Table7[[#This Row],[No. of Valid Internal Review Defects]]+Table7[[#This Row],[No. of  Valid External Review Defects]]+Table7[[#This Row],[No. of Valid  Internal Testing Defects]]+Table7[[#This Row],[No. of Valid External Testing Defects]]),"")</f>
        <v/>
      </c>
      <c r="AG479" s="258" t="str">
        <f>IFERROR(Table7[[#This Row],[No. of Valid Internal Review Defects]]/(Table7[[#This Row],[No. of Valid Internal Review Defects]]+Table7[[#This Row],[No. of  Valid External Review Defects]]+Table7[[#This Row],[No. of Valid External Testing Defects]]),"")</f>
        <v/>
      </c>
      <c r="AH479" s="256" t="str">
        <f>IFERROR(Table7[[#This Row],[No. of Valid  Internal Testing Defects]]/Table7[[#This Row],[Overall Actual Effort for the release]],"")</f>
        <v/>
      </c>
      <c r="AI479" s="256" t="str">
        <f>IFERROR(Table7[[#This Row],[No. of Valid  Internal Testing Defects]]/Table7[[#This Row],[No. of Testcases Executed]],"")</f>
        <v/>
      </c>
      <c r="AJ479" s="259" t="str">
        <f>IFERROR(IFERROR(Table7[[#This Row],[No. of Testcases Created]]/Table7[[#This Row],[Effort for Testcase Creation]],"")*9,"")</f>
        <v/>
      </c>
      <c r="AK479" s="256" t="str">
        <f>IFERROR((Table7[[#This Row],[No. of Testcases Executed]]/Table7[[#This Row],[Effort for Testcase Execution]])*9,"")</f>
        <v/>
      </c>
      <c r="AL47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79" s="259" t="str">
        <f>IFERROR(Table7[[#This Row],[No. of Defects Validated]]/SUMIFS(Table3[Hours Worked],Table3[Release Name],Table7[[#This Row],[Release Name]],Table3[Task Type],"Defect Validation")*9,"")</f>
        <v/>
      </c>
      <c r="AN479" s="258" t="str">
        <f>IFERROR((Table7[[#This Row],[No. of Valid  Internal Testing Defects]])/(Table7[[#This Row],[No. of Valid  Internal Testing Defects]]+Table7[[#This Row],[No. of Invalid Internal Testing Defects]]),"")</f>
        <v/>
      </c>
      <c r="AO479" s="258" t="str">
        <f>IFERROR(Table7[[#This Row],[No. of Valid External Testing Defects]]/(Table7[[#This Row],[No. of Valid External Testing Defects]]+Table7[[#This Row],[No. of Valid  Internal Testing Defects]]),"")</f>
        <v/>
      </c>
    </row>
    <row r="480" spans="2:41">
      <c r="B480" s="237"/>
      <c r="C480" s="14"/>
      <c r="D480" s="14"/>
      <c r="E480" s="14"/>
      <c r="F480" s="230" t="str">
        <f>IFERROR((Table47[[#This Row],[Initial No. of Requirements]]+Table47[[#This Row],[Modified Requirements( Added / Deleted /Modified)]])/Table47[[#This Row],[Initial No. of Requirements]],"")</f>
        <v/>
      </c>
      <c r="G48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0" s="249"/>
      <c r="J480" s="249"/>
      <c r="K480" s="250"/>
      <c r="L480" s="250"/>
      <c r="M480" s="250"/>
      <c r="N480" s="248">
        <f>SUMIFS(Table1[Size],Table1[Release Name],[2]!Table7[Release Name])</f>
        <v>0</v>
      </c>
      <c r="O480" s="248"/>
      <c r="P48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0" s="248"/>
      <c r="R48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0" s="248"/>
      <c r="T480" s="248"/>
      <c r="U480" s="248"/>
      <c r="V480" s="248"/>
      <c r="W480" s="248"/>
      <c r="X480" s="248"/>
      <c r="Y480" s="248"/>
      <c r="Z480" s="248"/>
      <c r="AA480" s="248"/>
      <c r="AB480" s="13">
        <f>SUMIFS(Table3[Hours Worked],Table3[Release Name],Table7[[#This Row],[Release Name]],Table3[Task Type],"Testcase Creation")</f>
        <v>0</v>
      </c>
      <c r="AC480" s="255">
        <f>SUMIFS(Table3[Hours Worked],Table3[Release Name],Table7[[#This Row],[Release Name]],Table3[Task Type],"Testcase Execution")</f>
        <v>0</v>
      </c>
      <c r="AD48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0" s="256" t="str">
        <f>IFERROR((Table7[[#This Row],[No. of Valid Internal Review Defects]]+Table7[[#This Row],[No. of Valid  Internal Testing Defects]]+Table7[[#This Row],[No. of  Valid External Review Defects]]+Table7[[#This Row],[No. of Valid External Testing Defects]])/Table7[[#This Row],[Size]],"")</f>
        <v/>
      </c>
      <c r="AF480" s="257" t="str">
        <f>IFERROR(Table7[[#This Row],[No. of Valid Internal Review Defects]]/(Table7[[#This Row],[No. of Valid Internal Review Defects]]+Table7[[#This Row],[No. of  Valid External Review Defects]]+Table7[[#This Row],[No. of Valid  Internal Testing Defects]]+Table7[[#This Row],[No. of Valid External Testing Defects]]),"")</f>
        <v/>
      </c>
      <c r="AG480" s="258" t="str">
        <f>IFERROR(Table7[[#This Row],[No. of Valid Internal Review Defects]]/(Table7[[#This Row],[No. of Valid Internal Review Defects]]+Table7[[#This Row],[No. of  Valid External Review Defects]]+Table7[[#This Row],[No. of Valid External Testing Defects]]),"")</f>
        <v/>
      </c>
      <c r="AH480" s="256" t="str">
        <f>IFERROR(Table7[[#This Row],[No. of Valid  Internal Testing Defects]]/Table7[[#This Row],[Overall Actual Effort for the release]],"")</f>
        <v/>
      </c>
      <c r="AI480" s="256" t="str">
        <f>IFERROR(Table7[[#This Row],[No. of Valid  Internal Testing Defects]]/Table7[[#This Row],[No. of Testcases Executed]],"")</f>
        <v/>
      </c>
      <c r="AJ480" s="259" t="str">
        <f>IFERROR(IFERROR(Table7[[#This Row],[No. of Testcases Created]]/Table7[[#This Row],[Effort for Testcase Creation]],"")*9,"")</f>
        <v/>
      </c>
      <c r="AK480" s="256" t="str">
        <f>IFERROR((Table7[[#This Row],[No. of Testcases Executed]]/Table7[[#This Row],[Effort for Testcase Execution]])*9,"")</f>
        <v/>
      </c>
      <c r="AL48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0" s="259" t="str">
        <f>IFERROR(Table7[[#This Row],[No. of Defects Validated]]/SUMIFS(Table3[Hours Worked],Table3[Release Name],Table7[[#This Row],[Release Name]],Table3[Task Type],"Defect Validation")*9,"")</f>
        <v/>
      </c>
      <c r="AN480" s="258" t="str">
        <f>IFERROR((Table7[[#This Row],[No. of Valid  Internal Testing Defects]])/(Table7[[#This Row],[No. of Valid  Internal Testing Defects]]+Table7[[#This Row],[No. of Invalid Internal Testing Defects]]),"")</f>
        <v/>
      </c>
      <c r="AO480" s="258" t="str">
        <f>IFERROR(Table7[[#This Row],[No. of Valid External Testing Defects]]/(Table7[[#This Row],[No. of Valid External Testing Defects]]+Table7[[#This Row],[No. of Valid  Internal Testing Defects]]),"")</f>
        <v/>
      </c>
    </row>
    <row r="481" spans="2:41">
      <c r="B481" s="237"/>
      <c r="C481" s="14"/>
      <c r="D481" s="14"/>
      <c r="E481" s="14"/>
      <c r="F481" s="230" t="str">
        <f>IFERROR((Table47[[#This Row],[Initial No. of Requirements]]+Table47[[#This Row],[Modified Requirements( Added / Deleted /Modified)]])/Table47[[#This Row],[Initial No. of Requirements]],"")</f>
        <v/>
      </c>
      <c r="G48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1" s="249"/>
      <c r="J481" s="249"/>
      <c r="K481" s="250"/>
      <c r="L481" s="250"/>
      <c r="M481" s="250"/>
      <c r="N481" s="248">
        <f>SUMIFS(Table1[Size],Table1[Release Name],[2]!Table7[Release Name])</f>
        <v>0</v>
      </c>
      <c r="O481" s="248"/>
      <c r="P48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1" s="248"/>
      <c r="R48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1" s="248"/>
      <c r="T481" s="248"/>
      <c r="U481" s="248"/>
      <c r="V481" s="248"/>
      <c r="W481" s="248"/>
      <c r="X481" s="248"/>
      <c r="Y481" s="248"/>
      <c r="Z481" s="248"/>
      <c r="AA481" s="248"/>
      <c r="AB481" s="13">
        <f>SUMIFS(Table3[Hours Worked],Table3[Release Name],Table7[[#This Row],[Release Name]],Table3[Task Type],"Testcase Creation")</f>
        <v>0</v>
      </c>
      <c r="AC481" s="255">
        <f>SUMIFS(Table3[Hours Worked],Table3[Release Name],Table7[[#This Row],[Release Name]],Table3[Task Type],"Testcase Execution")</f>
        <v>0</v>
      </c>
      <c r="AD48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1" s="256" t="str">
        <f>IFERROR((Table7[[#This Row],[No. of Valid Internal Review Defects]]+Table7[[#This Row],[No. of Valid  Internal Testing Defects]]+Table7[[#This Row],[No. of  Valid External Review Defects]]+Table7[[#This Row],[No. of Valid External Testing Defects]])/Table7[[#This Row],[Size]],"")</f>
        <v/>
      </c>
      <c r="AF481" s="257" t="str">
        <f>IFERROR(Table7[[#This Row],[No. of Valid Internal Review Defects]]/(Table7[[#This Row],[No. of Valid Internal Review Defects]]+Table7[[#This Row],[No. of  Valid External Review Defects]]+Table7[[#This Row],[No. of Valid  Internal Testing Defects]]+Table7[[#This Row],[No. of Valid External Testing Defects]]),"")</f>
        <v/>
      </c>
      <c r="AG481" s="258" t="str">
        <f>IFERROR(Table7[[#This Row],[No. of Valid Internal Review Defects]]/(Table7[[#This Row],[No. of Valid Internal Review Defects]]+Table7[[#This Row],[No. of  Valid External Review Defects]]+Table7[[#This Row],[No. of Valid External Testing Defects]]),"")</f>
        <v/>
      </c>
      <c r="AH481" s="256" t="str">
        <f>IFERROR(Table7[[#This Row],[No. of Valid  Internal Testing Defects]]/Table7[[#This Row],[Overall Actual Effort for the release]],"")</f>
        <v/>
      </c>
      <c r="AI481" s="256" t="str">
        <f>IFERROR(Table7[[#This Row],[No. of Valid  Internal Testing Defects]]/Table7[[#This Row],[No. of Testcases Executed]],"")</f>
        <v/>
      </c>
      <c r="AJ481" s="259" t="str">
        <f>IFERROR(IFERROR(Table7[[#This Row],[No. of Testcases Created]]/Table7[[#This Row],[Effort for Testcase Creation]],"")*9,"")</f>
        <v/>
      </c>
      <c r="AK481" s="256" t="str">
        <f>IFERROR((Table7[[#This Row],[No. of Testcases Executed]]/Table7[[#This Row],[Effort for Testcase Execution]])*9,"")</f>
        <v/>
      </c>
      <c r="AL48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1" s="259" t="str">
        <f>IFERROR(Table7[[#This Row],[No. of Defects Validated]]/SUMIFS(Table3[Hours Worked],Table3[Release Name],Table7[[#This Row],[Release Name]],Table3[Task Type],"Defect Validation")*9,"")</f>
        <v/>
      </c>
      <c r="AN481" s="258" t="str">
        <f>IFERROR((Table7[[#This Row],[No. of Valid  Internal Testing Defects]])/(Table7[[#This Row],[No. of Valid  Internal Testing Defects]]+Table7[[#This Row],[No. of Invalid Internal Testing Defects]]),"")</f>
        <v/>
      </c>
      <c r="AO481" s="258" t="str">
        <f>IFERROR(Table7[[#This Row],[No. of Valid External Testing Defects]]/(Table7[[#This Row],[No. of Valid External Testing Defects]]+Table7[[#This Row],[No. of Valid  Internal Testing Defects]]),"")</f>
        <v/>
      </c>
    </row>
    <row r="482" spans="2:41">
      <c r="B482" s="237"/>
      <c r="C482" s="14"/>
      <c r="D482" s="14"/>
      <c r="E482" s="14"/>
      <c r="F482" s="230" t="str">
        <f>IFERROR((Table47[[#This Row],[Initial No. of Requirements]]+Table47[[#This Row],[Modified Requirements( Added / Deleted /Modified)]])/Table47[[#This Row],[Initial No. of Requirements]],"")</f>
        <v/>
      </c>
      <c r="G48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2" s="249"/>
      <c r="J482" s="249"/>
      <c r="K482" s="250"/>
      <c r="L482" s="250"/>
      <c r="M482" s="250"/>
      <c r="N482" s="248">
        <f>SUMIFS(Table1[Size],Table1[Release Name],[2]!Table7[Release Name])</f>
        <v>0</v>
      </c>
      <c r="O482" s="248"/>
      <c r="P48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2" s="248"/>
      <c r="R48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2" s="248"/>
      <c r="T482" s="248"/>
      <c r="U482" s="248"/>
      <c r="V482" s="248"/>
      <c r="W482" s="248"/>
      <c r="X482" s="248"/>
      <c r="Y482" s="248"/>
      <c r="Z482" s="248"/>
      <c r="AA482" s="248"/>
      <c r="AB482" s="13">
        <f>SUMIFS(Table3[Hours Worked],Table3[Release Name],Table7[[#This Row],[Release Name]],Table3[Task Type],"Testcase Creation")</f>
        <v>0</v>
      </c>
      <c r="AC482" s="255">
        <f>SUMIFS(Table3[Hours Worked],Table3[Release Name],Table7[[#This Row],[Release Name]],Table3[Task Type],"Testcase Execution")</f>
        <v>0</v>
      </c>
      <c r="AD48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2" s="256" t="str">
        <f>IFERROR((Table7[[#This Row],[No. of Valid Internal Review Defects]]+Table7[[#This Row],[No. of Valid  Internal Testing Defects]]+Table7[[#This Row],[No. of  Valid External Review Defects]]+Table7[[#This Row],[No. of Valid External Testing Defects]])/Table7[[#This Row],[Size]],"")</f>
        <v/>
      </c>
      <c r="AF482" s="257" t="str">
        <f>IFERROR(Table7[[#This Row],[No. of Valid Internal Review Defects]]/(Table7[[#This Row],[No. of Valid Internal Review Defects]]+Table7[[#This Row],[No. of  Valid External Review Defects]]+Table7[[#This Row],[No. of Valid  Internal Testing Defects]]+Table7[[#This Row],[No. of Valid External Testing Defects]]),"")</f>
        <v/>
      </c>
      <c r="AG482" s="258" t="str">
        <f>IFERROR(Table7[[#This Row],[No. of Valid Internal Review Defects]]/(Table7[[#This Row],[No. of Valid Internal Review Defects]]+Table7[[#This Row],[No. of  Valid External Review Defects]]+Table7[[#This Row],[No. of Valid External Testing Defects]]),"")</f>
        <v/>
      </c>
      <c r="AH482" s="256" t="str">
        <f>IFERROR(Table7[[#This Row],[No. of Valid  Internal Testing Defects]]/Table7[[#This Row],[Overall Actual Effort for the release]],"")</f>
        <v/>
      </c>
      <c r="AI482" s="256" t="str">
        <f>IFERROR(Table7[[#This Row],[No. of Valid  Internal Testing Defects]]/Table7[[#This Row],[No. of Testcases Executed]],"")</f>
        <v/>
      </c>
      <c r="AJ482" s="259" t="str">
        <f>IFERROR(IFERROR(Table7[[#This Row],[No. of Testcases Created]]/Table7[[#This Row],[Effort for Testcase Creation]],"")*9,"")</f>
        <v/>
      </c>
      <c r="AK482" s="256" t="str">
        <f>IFERROR((Table7[[#This Row],[No. of Testcases Executed]]/Table7[[#This Row],[Effort for Testcase Execution]])*9,"")</f>
        <v/>
      </c>
      <c r="AL48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2" s="259" t="str">
        <f>IFERROR(Table7[[#This Row],[No. of Defects Validated]]/SUMIFS(Table3[Hours Worked],Table3[Release Name],Table7[[#This Row],[Release Name]],Table3[Task Type],"Defect Validation")*9,"")</f>
        <v/>
      </c>
      <c r="AN482" s="258" t="str">
        <f>IFERROR((Table7[[#This Row],[No. of Valid  Internal Testing Defects]])/(Table7[[#This Row],[No. of Valid  Internal Testing Defects]]+Table7[[#This Row],[No. of Invalid Internal Testing Defects]]),"")</f>
        <v/>
      </c>
      <c r="AO482" s="258" t="str">
        <f>IFERROR(Table7[[#This Row],[No. of Valid External Testing Defects]]/(Table7[[#This Row],[No. of Valid External Testing Defects]]+Table7[[#This Row],[No. of Valid  Internal Testing Defects]]),"")</f>
        <v/>
      </c>
    </row>
    <row r="483" spans="2:41">
      <c r="B483" s="237"/>
      <c r="C483" s="14"/>
      <c r="D483" s="14"/>
      <c r="E483" s="14"/>
      <c r="F483" s="230" t="str">
        <f>IFERROR((Table47[[#This Row],[Initial No. of Requirements]]+Table47[[#This Row],[Modified Requirements( Added / Deleted /Modified)]])/Table47[[#This Row],[Initial No. of Requirements]],"")</f>
        <v/>
      </c>
      <c r="G48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3" s="249"/>
      <c r="J483" s="249"/>
      <c r="K483" s="250"/>
      <c r="L483" s="250"/>
      <c r="M483" s="250"/>
      <c r="N483" s="248">
        <f>SUMIFS(Table1[Size],Table1[Release Name],[2]!Table7[Release Name])</f>
        <v>0</v>
      </c>
      <c r="O483" s="248"/>
      <c r="P48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3" s="248"/>
      <c r="R48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3" s="248"/>
      <c r="T483" s="248"/>
      <c r="U483" s="248"/>
      <c r="V483" s="248"/>
      <c r="W483" s="248"/>
      <c r="X483" s="248"/>
      <c r="Y483" s="248"/>
      <c r="Z483" s="248"/>
      <c r="AA483" s="248"/>
      <c r="AB483" s="13">
        <f>SUMIFS(Table3[Hours Worked],Table3[Release Name],Table7[[#This Row],[Release Name]],Table3[Task Type],"Testcase Creation")</f>
        <v>0</v>
      </c>
      <c r="AC483" s="255">
        <f>SUMIFS(Table3[Hours Worked],Table3[Release Name],Table7[[#This Row],[Release Name]],Table3[Task Type],"Testcase Execution")</f>
        <v>0</v>
      </c>
      <c r="AD48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3" s="256" t="str">
        <f>IFERROR((Table7[[#This Row],[No. of Valid Internal Review Defects]]+Table7[[#This Row],[No. of Valid  Internal Testing Defects]]+Table7[[#This Row],[No. of  Valid External Review Defects]]+Table7[[#This Row],[No. of Valid External Testing Defects]])/Table7[[#This Row],[Size]],"")</f>
        <v/>
      </c>
      <c r="AF483" s="257" t="str">
        <f>IFERROR(Table7[[#This Row],[No. of Valid Internal Review Defects]]/(Table7[[#This Row],[No. of Valid Internal Review Defects]]+Table7[[#This Row],[No. of  Valid External Review Defects]]+Table7[[#This Row],[No. of Valid  Internal Testing Defects]]+Table7[[#This Row],[No. of Valid External Testing Defects]]),"")</f>
        <v/>
      </c>
      <c r="AG483" s="258" t="str">
        <f>IFERROR(Table7[[#This Row],[No. of Valid Internal Review Defects]]/(Table7[[#This Row],[No. of Valid Internal Review Defects]]+Table7[[#This Row],[No. of  Valid External Review Defects]]+Table7[[#This Row],[No. of Valid External Testing Defects]]),"")</f>
        <v/>
      </c>
      <c r="AH483" s="256" t="str">
        <f>IFERROR(Table7[[#This Row],[No. of Valid  Internal Testing Defects]]/Table7[[#This Row],[Overall Actual Effort for the release]],"")</f>
        <v/>
      </c>
      <c r="AI483" s="256" t="str">
        <f>IFERROR(Table7[[#This Row],[No. of Valid  Internal Testing Defects]]/Table7[[#This Row],[No. of Testcases Executed]],"")</f>
        <v/>
      </c>
      <c r="AJ483" s="259" t="str">
        <f>IFERROR(IFERROR(Table7[[#This Row],[No. of Testcases Created]]/Table7[[#This Row],[Effort for Testcase Creation]],"")*9,"")</f>
        <v/>
      </c>
      <c r="AK483" s="256" t="str">
        <f>IFERROR((Table7[[#This Row],[No. of Testcases Executed]]/Table7[[#This Row],[Effort for Testcase Execution]])*9,"")</f>
        <v/>
      </c>
      <c r="AL48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3" s="259" t="str">
        <f>IFERROR(Table7[[#This Row],[No. of Defects Validated]]/SUMIFS(Table3[Hours Worked],Table3[Release Name],Table7[[#This Row],[Release Name]],Table3[Task Type],"Defect Validation")*9,"")</f>
        <v/>
      </c>
      <c r="AN483" s="258" t="str">
        <f>IFERROR((Table7[[#This Row],[No. of Valid  Internal Testing Defects]])/(Table7[[#This Row],[No. of Valid  Internal Testing Defects]]+Table7[[#This Row],[No. of Invalid Internal Testing Defects]]),"")</f>
        <v/>
      </c>
      <c r="AO483" s="258" t="str">
        <f>IFERROR(Table7[[#This Row],[No. of Valid External Testing Defects]]/(Table7[[#This Row],[No. of Valid External Testing Defects]]+Table7[[#This Row],[No. of Valid  Internal Testing Defects]]),"")</f>
        <v/>
      </c>
    </row>
    <row r="484" spans="2:41">
      <c r="B484" s="237"/>
      <c r="C484" s="14"/>
      <c r="D484" s="14"/>
      <c r="E484" s="14"/>
      <c r="F484" s="230" t="str">
        <f>IFERROR((Table47[[#This Row],[Initial No. of Requirements]]+Table47[[#This Row],[Modified Requirements( Added / Deleted /Modified)]])/Table47[[#This Row],[Initial No. of Requirements]],"")</f>
        <v/>
      </c>
      <c r="G48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4" s="249"/>
      <c r="J484" s="249"/>
      <c r="K484" s="250"/>
      <c r="L484" s="250"/>
      <c r="M484" s="250"/>
      <c r="N484" s="248">
        <f>SUMIFS(Table1[Size],Table1[Release Name],[2]!Table7[Release Name])</f>
        <v>0</v>
      </c>
      <c r="O484" s="248"/>
      <c r="P48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4" s="248"/>
      <c r="R48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4" s="248"/>
      <c r="T484" s="248"/>
      <c r="U484" s="248"/>
      <c r="V484" s="248"/>
      <c r="W484" s="248"/>
      <c r="X484" s="248"/>
      <c r="Y484" s="248"/>
      <c r="Z484" s="248"/>
      <c r="AA484" s="248"/>
      <c r="AB484" s="13">
        <f>SUMIFS(Table3[Hours Worked],Table3[Release Name],Table7[[#This Row],[Release Name]],Table3[Task Type],"Testcase Creation")</f>
        <v>0</v>
      </c>
      <c r="AC484" s="255">
        <f>SUMIFS(Table3[Hours Worked],Table3[Release Name],Table7[[#This Row],[Release Name]],Table3[Task Type],"Testcase Execution")</f>
        <v>0</v>
      </c>
      <c r="AD48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4" s="256" t="str">
        <f>IFERROR((Table7[[#This Row],[No. of Valid Internal Review Defects]]+Table7[[#This Row],[No. of Valid  Internal Testing Defects]]+Table7[[#This Row],[No. of  Valid External Review Defects]]+Table7[[#This Row],[No. of Valid External Testing Defects]])/Table7[[#This Row],[Size]],"")</f>
        <v/>
      </c>
      <c r="AF484" s="257" t="str">
        <f>IFERROR(Table7[[#This Row],[No. of Valid Internal Review Defects]]/(Table7[[#This Row],[No. of Valid Internal Review Defects]]+Table7[[#This Row],[No. of  Valid External Review Defects]]+Table7[[#This Row],[No. of Valid  Internal Testing Defects]]+Table7[[#This Row],[No. of Valid External Testing Defects]]),"")</f>
        <v/>
      </c>
      <c r="AG484" s="258" t="str">
        <f>IFERROR(Table7[[#This Row],[No. of Valid Internal Review Defects]]/(Table7[[#This Row],[No. of Valid Internal Review Defects]]+Table7[[#This Row],[No. of  Valid External Review Defects]]+Table7[[#This Row],[No. of Valid External Testing Defects]]),"")</f>
        <v/>
      </c>
      <c r="AH484" s="256" t="str">
        <f>IFERROR(Table7[[#This Row],[No. of Valid  Internal Testing Defects]]/Table7[[#This Row],[Overall Actual Effort for the release]],"")</f>
        <v/>
      </c>
      <c r="AI484" s="256" t="str">
        <f>IFERROR(Table7[[#This Row],[No. of Valid  Internal Testing Defects]]/Table7[[#This Row],[No. of Testcases Executed]],"")</f>
        <v/>
      </c>
      <c r="AJ484" s="259" t="str">
        <f>IFERROR(IFERROR(Table7[[#This Row],[No. of Testcases Created]]/Table7[[#This Row],[Effort for Testcase Creation]],"")*9,"")</f>
        <v/>
      </c>
      <c r="AK484" s="256" t="str">
        <f>IFERROR((Table7[[#This Row],[No. of Testcases Executed]]/Table7[[#This Row],[Effort for Testcase Execution]])*9,"")</f>
        <v/>
      </c>
      <c r="AL48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4" s="259" t="str">
        <f>IFERROR(Table7[[#This Row],[No. of Defects Validated]]/SUMIFS(Table3[Hours Worked],Table3[Release Name],Table7[[#This Row],[Release Name]],Table3[Task Type],"Defect Validation")*9,"")</f>
        <v/>
      </c>
      <c r="AN484" s="258" t="str">
        <f>IFERROR((Table7[[#This Row],[No. of Valid  Internal Testing Defects]])/(Table7[[#This Row],[No. of Valid  Internal Testing Defects]]+Table7[[#This Row],[No. of Invalid Internal Testing Defects]]),"")</f>
        <v/>
      </c>
      <c r="AO484" s="258" t="str">
        <f>IFERROR(Table7[[#This Row],[No. of Valid External Testing Defects]]/(Table7[[#This Row],[No. of Valid External Testing Defects]]+Table7[[#This Row],[No. of Valid  Internal Testing Defects]]),"")</f>
        <v/>
      </c>
    </row>
    <row r="485" spans="2:41">
      <c r="B485" s="237"/>
      <c r="C485" s="14"/>
      <c r="D485" s="14"/>
      <c r="E485" s="14"/>
      <c r="F485" s="230" t="str">
        <f>IFERROR((Table47[[#This Row],[Initial No. of Requirements]]+Table47[[#This Row],[Modified Requirements( Added / Deleted /Modified)]])/Table47[[#This Row],[Initial No. of Requirements]],"")</f>
        <v/>
      </c>
      <c r="G48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5" s="249"/>
      <c r="J485" s="249"/>
      <c r="K485" s="250"/>
      <c r="L485" s="250"/>
      <c r="M485" s="250"/>
      <c r="N485" s="248">
        <f>SUMIFS(Table1[Size],Table1[Release Name],[2]!Table7[Release Name])</f>
        <v>0</v>
      </c>
      <c r="O485" s="248"/>
      <c r="P48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5" s="248"/>
      <c r="R48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5" s="248"/>
      <c r="T485" s="248"/>
      <c r="U485" s="248"/>
      <c r="V485" s="248"/>
      <c r="W485" s="248"/>
      <c r="X485" s="248"/>
      <c r="Y485" s="248"/>
      <c r="Z485" s="248"/>
      <c r="AA485" s="248"/>
      <c r="AB485" s="13">
        <f>SUMIFS(Table3[Hours Worked],Table3[Release Name],Table7[[#This Row],[Release Name]],Table3[Task Type],"Testcase Creation")</f>
        <v>0</v>
      </c>
      <c r="AC485" s="255">
        <f>SUMIFS(Table3[Hours Worked],Table3[Release Name],Table7[[#This Row],[Release Name]],Table3[Task Type],"Testcase Execution")</f>
        <v>0</v>
      </c>
      <c r="AD48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5" s="256" t="str">
        <f>IFERROR((Table7[[#This Row],[No. of Valid Internal Review Defects]]+Table7[[#This Row],[No. of Valid  Internal Testing Defects]]+Table7[[#This Row],[No. of  Valid External Review Defects]]+Table7[[#This Row],[No. of Valid External Testing Defects]])/Table7[[#This Row],[Size]],"")</f>
        <v/>
      </c>
      <c r="AF485" s="257" t="str">
        <f>IFERROR(Table7[[#This Row],[No. of Valid Internal Review Defects]]/(Table7[[#This Row],[No. of Valid Internal Review Defects]]+Table7[[#This Row],[No. of  Valid External Review Defects]]+Table7[[#This Row],[No. of Valid  Internal Testing Defects]]+Table7[[#This Row],[No. of Valid External Testing Defects]]),"")</f>
        <v/>
      </c>
      <c r="AG485" s="258" t="str">
        <f>IFERROR(Table7[[#This Row],[No. of Valid Internal Review Defects]]/(Table7[[#This Row],[No. of Valid Internal Review Defects]]+Table7[[#This Row],[No. of  Valid External Review Defects]]+Table7[[#This Row],[No. of Valid External Testing Defects]]),"")</f>
        <v/>
      </c>
      <c r="AH485" s="256" t="str">
        <f>IFERROR(Table7[[#This Row],[No. of Valid  Internal Testing Defects]]/Table7[[#This Row],[Overall Actual Effort for the release]],"")</f>
        <v/>
      </c>
      <c r="AI485" s="256" t="str">
        <f>IFERROR(Table7[[#This Row],[No. of Valid  Internal Testing Defects]]/Table7[[#This Row],[No. of Testcases Executed]],"")</f>
        <v/>
      </c>
      <c r="AJ485" s="259" t="str">
        <f>IFERROR(IFERROR(Table7[[#This Row],[No. of Testcases Created]]/Table7[[#This Row],[Effort for Testcase Creation]],"")*9,"")</f>
        <v/>
      </c>
      <c r="AK485" s="256" t="str">
        <f>IFERROR((Table7[[#This Row],[No. of Testcases Executed]]/Table7[[#This Row],[Effort for Testcase Execution]])*9,"")</f>
        <v/>
      </c>
      <c r="AL48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5" s="259" t="str">
        <f>IFERROR(Table7[[#This Row],[No. of Defects Validated]]/SUMIFS(Table3[Hours Worked],Table3[Release Name],Table7[[#This Row],[Release Name]],Table3[Task Type],"Defect Validation")*9,"")</f>
        <v/>
      </c>
      <c r="AN485" s="258" t="str">
        <f>IFERROR((Table7[[#This Row],[No. of Valid  Internal Testing Defects]])/(Table7[[#This Row],[No. of Valid  Internal Testing Defects]]+Table7[[#This Row],[No. of Invalid Internal Testing Defects]]),"")</f>
        <v/>
      </c>
      <c r="AO485" s="258" t="str">
        <f>IFERROR(Table7[[#This Row],[No. of Valid External Testing Defects]]/(Table7[[#This Row],[No. of Valid External Testing Defects]]+Table7[[#This Row],[No. of Valid  Internal Testing Defects]]),"")</f>
        <v/>
      </c>
    </row>
    <row r="486" spans="2:41">
      <c r="B486" s="237"/>
      <c r="C486" s="14"/>
      <c r="D486" s="14"/>
      <c r="E486" s="14"/>
      <c r="F486" s="230" t="str">
        <f>IFERROR((Table47[[#This Row],[Initial No. of Requirements]]+Table47[[#This Row],[Modified Requirements( Added / Deleted /Modified)]])/Table47[[#This Row],[Initial No. of Requirements]],"")</f>
        <v/>
      </c>
      <c r="G48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6" s="249"/>
      <c r="J486" s="249"/>
      <c r="K486" s="250"/>
      <c r="L486" s="250"/>
      <c r="M486" s="250"/>
      <c r="N486" s="248">
        <f>SUMIFS(Table1[Size],Table1[Release Name],[2]!Table7[Release Name])</f>
        <v>0</v>
      </c>
      <c r="O486" s="248"/>
      <c r="P48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6" s="248"/>
      <c r="R48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6" s="248"/>
      <c r="T486" s="248"/>
      <c r="U486" s="248"/>
      <c r="V486" s="248"/>
      <c r="W486" s="248"/>
      <c r="X486" s="248"/>
      <c r="Y486" s="248"/>
      <c r="Z486" s="248"/>
      <c r="AA486" s="248"/>
      <c r="AB486" s="13">
        <f>SUMIFS(Table3[Hours Worked],Table3[Release Name],Table7[[#This Row],[Release Name]],Table3[Task Type],"Testcase Creation")</f>
        <v>0</v>
      </c>
      <c r="AC486" s="255">
        <f>SUMIFS(Table3[Hours Worked],Table3[Release Name],Table7[[#This Row],[Release Name]],Table3[Task Type],"Testcase Execution")</f>
        <v>0</v>
      </c>
      <c r="AD48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6" s="256" t="str">
        <f>IFERROR((Table7[[#This Row],[No. of Valid Internal Review Defects]]+Table7[[#This Row],[No. of Valid  Internal Testing Defects]]+Table7[[#This Row],[No. of  Valid External Review Defects]]+Table7[[#This Row],[No. of Valid External Testing Defects]])/Table7[[#This Row],[Size]],"")</f>
        <v/>
      </c>
      <c r="AF486" s="257" t="str">
        <f>IFERROR(Table7[[#This Row],[No. of Valid Internal Review Defects]]/(Table7[[#This Row],[No. of Valid Internal Review Defects]]+Table7[[#This Row],[No. of  Valid External Review Defects]]+Table7[[#This Row],[No. of Valid  Internal Testing Defects]]+Table7[[#This Row],[No. of Valid External Testing Defects]]),"")</f>
        <v/>
      </c>
      <c r="AG486" s="258" t="str">
        <f>IFERROR(Table7[[#This Row],[No. of Valid Internal Review Defects]]/(Table7[[#This Row],[No. of Valid Internal Review Defects]]+Table7[[#This Row],[No. of  Valid External Review Defects]]+Table7[[#This Row],[No. of Valid External Testing Defects]]),"")</f>
        <v/>
      </c>
      <c r="AH486" s="256" t="str">
        <f>IFERROR(Table7[[#This Row],[No. of Valid  Internal Testing Defects]]/Table7[[#This Row],[Overall Actual Effort for the release]],"")</f>
        <v/>
      </c>
      <c r="AI486" s="256" t="str">
        <f>IFERROR(Table7[[#This Row],[No. of Valid  Internal Testing Defects]]/Table7[[#This Row],[No. of Testcases Executed]],"")</f>
        <v/>
      </c>
      <c r="AJ486" s="259" t="str">
        <f>IFERROR(IFERROR(Table7[[#This Row],[No. of Testcases Created]]/Table7[[#This Row],[Effort for Testcase Creation]],"")*9,"")</f>
        <v/>
      </c>
      <c r="AK486" s="256" t="str">
        <f>IFERROR((Table7[[#This Row],[No. of Testcases Executed]]/Table7[[#This Row],[Effort for Testcase Execution]])*9,"")</f>
        <v/>
      </c>
      <c r="AL48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6" s="259" t="str">
        <f>IFERROR(Table7[[#This Row],[No. of Defects Validated]]/SUMIFS(Table3[Hours Worked],Table3[Release Name],Table7[[#This Row],[Release Name]],Table3[Task Type],"Defect Validation")*9,"")</f>
        <v/>
      </c>
      <c r="AN486" s="258" t="str">
        <f>IFERROR((Table7[[#This Row],[No. of Valid  Internal Testing Defects]])/(Table7[[#This Row],[No. of Valid  Internal Testing Defects]]+Table7[[#This Row],[No. of Invalid Internal Testing Defects]]),"")</f>
        <v/>
      </c>
      <c r="AO486" s="258" t="str">
        <f>IFERROR(Table7[[#This Row],[No. of Valid External Testing Defects]]/(Table7[[#This Row],[No. of Valid External Testing Defects]]+Table7[[#This Row],[No. of Valid  Internal Testing Defects]]),"")</f>
        <v/>
      </c>
    </row>
    <row r="487" spans="2:41">
      <c r="B487" s="237"/>
      <c r="C487" s="14"/>
      <c r="D487" s="14"/>
      <c r="E487" s="14"/>
      <c r="F487" s="230" t="str">
        <f>IFERROR((Table47[[#This Row],[Initial No. of Requirements]]+Table47[[#This Row],[Modified Requirements( Added / Deleted /Modified)]])/Table47[[#This Row],[Initial No. of Requirements]],"")</f>
        <v/>
      </c>
      <c r="G48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7" s="249"/>
      <c r="J487" s="249"/>
      <c r="K487" s="250"/>
      <c r="L487" s="250"/>
      <c r="M487" s="250"/>
      <c r="N487" s="248">
        <f>SUMIFS(Table1[Size],Table1[Release Name],[2]!Table7[Release Name])</f>
        <v>0</v>
      </c>
      <c r="O487" s="248"/>
      <c r="P48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7" s="248"/>
      <c r="R48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7" s="248"/>
      <c r="T487" s="248"/>
      <c r="U487" s="248"/>
      <c r="V487" s="248"/>
      <c r="W487" s="248"/>
      <c r="X487" s="248"/>
      <c r="Y487" s="248"/>
      <c r="Z487" s="248"/>
      <c r="AA487" s="248"/>
      <c r="AB487" s="13">
        <f>SUMIFS(Table3[Hours Worked],Table3[Release Name],Table7[[#This Row],[Release Name]],Table3[Task Type],"Testcase Creation")</f>
        <v>0</v>
      </c>
      <c r="AC487" s="255">
        <f>SUMIFS(Table3[Hours Worked],Table3[Release Name],Table7[[#This Row],[Release Name]],Table3[Task Type],"Testcase Execution")</f>
        <v>0</v>
      </c>
      <c r="AD48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7" s="256" t="str">
        <f>IFERROR((Table7[[#This Row],[No. of Valid Internal Review Defects]]+Table7[[#This Row],[No. of Valid  Internal Testing Defects]]+Table7[[#This Row],[No. of  Valid External Review Defects]]+Table7[[#This Row],[No. of Valid External Testing Defects]])/Table7[[#This Row],[Size]],"")</f>
        <v/>
      </c>
      <c r="AF487" s="257" t="str">
        <f>IFERROR(Table7[[#This Row],[No. of Valid Internal Review Defects]]/(Table7[[#This Row],[No. of Valid Internal Review Defects]]+Table7[[#This Row],[No. of  Valid External Review Defects]]+Table7[[#This Row],[No. of Valid  Internal Testing Defects]]+Table7[[#This Row],[No. of Valid External Testing Defects]]),"")</f>
        <v/>
      </c>
      <c r="AG487" s="258" t="str">
        <f>IFERROR(Table7[[#This Row],[No. of Valid Internal Review Defects]]/(Table7[[#This Row],[No. of Valid Internal Review Defects]]+Table7[[#This Row],[No. of  Valid External Review Defects]]+Table7[[#This Row],[No. of Valid External Testing Defects]]),"")</f>
        <v/>
      </c>
      <c r="AH487" s="256" t="str">
        <f>IFERROR(Table7[[#This Row],[No. of Valid  Internal Testing Defects]]/Table7[[#This Row],[Overall Actual Effort for the release]],"")</f>
        <v/>
      </c>
      <c r="AI487" s="256" t="str">
        <f>IFERROR(Table7[[#This Row],[No. of Valid  Internal Testing Defects]]/Table7[[#This Row],[No. of Testcases Executed]],"")</f>
        <v/>
      </c>
      <c r="AJ487" s="259" t="str">
        <f>IFERROR(IFERROR(Table7[[#This Row],[No. of Testcases Created]]/Table7[[#This Row],[Effort for Testcase Creation]],"")*9,"")</f>
        <v/>
      </c>
      <c r="AK487" s="256" t="str">
        <f>IFERROR((Table7[[#This Row],[No. of Testcases Executed]]/Table7[[#This Row],[Effort for Testcase Execution]])*9,"")</f>
        <v/>
      </c>
      <c r="AL48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7" s="259" t="str">
        <f>IFERROR(Table7[[#This Row],[No. of Defects Validated]]/SUMIFS(Table3[Hours Worked],Table3[Release Name],Table7[[#This Row],[Release Name]],Table3[Task Type],"Defect Validation")*9,"")</f>
        <v/>
      </c>
      <c r="AN487" s="258" t="str">
        <f>IFERROR((Table7[[#This Row],[No. of Valid  Internal Testing Defects]])/(Table7[[#This Row],[No. of Valid  Internal Testing Defects]]+Table7[[#This Row],[No. of Invalid Internal Testing Defects]]),"")</f>
        <v/>
      </c>
      <c r="AO487" s="258" t="str">
        <f>IFERROR(Table7[[#This Row],[No. of Valid External Testing Defects]]/(Table7[[#This Row],[No. of Valid External Testing Defects]]+Table7[[#This Row],[No. of Valid  Internal Testing Defects]]),"")</f>
        <v/>
      </c>
    </row>
    <row r="488" spans="2:41">
      <c r="B488" s="237"/>
      <c r="C488" s="14"/>
      <c r="D488" s="14"/>
      <c r="E488" s="14"/>
      <c r="F488" s="230" t="str">
        <f>IFERROR((Table47[[#This Row],[Initial No. of Requirements]]+Table47[[#This Row],[Modified Requirements( Added / Deleted /Modified)]])/Table47[[#This Row],[Initial No. of Requirements]],"")</f>
        <v/>
      </c>
      <c r="G48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8" s="249"/>
      <c r="J488" s="249"/>
      <c r="K488" s="250"/>
      <c r="L488" s="250"/>
      <c r="M488" s="250"/>
      <c r="N488" s="248">
        <f>SUMIFS(Table1[Size],Table1[Release Name],[2]!Table7[Release Name])</f>
        <v>0</v>
      </c>
      <c r="O488" s="248"/>
      <c r="P48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8" s="248"/>
      <c r="R48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8" s="248"/>
      <c r="T488" s="248"/>
      <c r="U488" s="248"/>
      <c r="V488" s="248"/>
      <c r="W488" s="248"/>
      <c r="X488" s="248"/>
      <c r="Y488" s="248"/>
      <c r="Z488" s="248"/>
      <c r="AA488" s="248"/>
      <c r="AB488" s="13">
        <f>SUMIFS(Table3[Hours Worked],Table3[Release Name],Table7[[#This Row],[Release Name]],Table3[Task Type],"Testcase Creation")</f>
        <v>0</v>
      </c>
      <c r="AC488" s="255">
        <f>SUMIFS(Table3[Hours Worked],Table3[Release Name],Table7[[#This Row],[Release Name]],Table3[Task Type],"Testcase Execution")</f>
        <v>0</v>
      </c>
      <c r="AD48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8" s="256" t="str">
        <f>IFERROR((Table7[[#This Row],[No. of Valid Internal Review Defects]]+Table7[[#This Row],[No. of Valid  Internal Testing Defects]]+Table7[[#This Row],[No. of  Valid External Review Defects]]+Table7[[#This Row],[No. of Valid External Testing Defects]])/Table7[[#This Row],[Size]],"")</f>
        <v/>
      </c>
      <c r="AF488" s="257" t="str">
        <f>IFERROR(Table7[[#This Row],[No. of Valid Internal Review Defects]]/(Table7[[#This Row],[No. of Valid Internal Review Defects]]+Table7[[#This Row],[No. of  Valid External Review Defects]]+Table7[[#This Row],[No. of Valid  Internal Testing Defects]]+Table7[[#This Row],[No. of Valid External Testing Defects]]),"")</f>
        <v/>
      </c>
      <c r="AG488" s="258" t="str">
        <f>IFERROR(Table7[[#This Row],[No. of Valid Internal Review Defects]]/(Table7[[#This Row],[No. of Valid Internal Review Defects]]+Table7[[#This Row],[No. of  Valid External Review Defects]]+Table7[[#This Row],[No. of Valid External Testing Defects]]),"")</f>
        <v/>
      </c>
      <c r="AH488" s="256" t="str">
        <f>IFERROR(Table7[[#This Row],[No. of Valid  Internal Testing Defects]]/Table7[[#This Row],[Overall Actual Effort for the release]],"")</f>
        <v/>
      </c>
      <c r="AI488" s="256" t="str">
        <f>IFERROR(Table7[[#This Row],[No. of Valid  Internal Testing Defects]]/Table7[[#This Row],[No. of Testcases Executed]],"")</f>
        <v/>
      </c>
      <c r="AJ488" s="259" t="str">
        <f>IFERROR(IFERROR(Table7[[#This Row],[No. of Testcases Created]]/Table7[[#This Row],[Effort for Testcase Creation]],"")*9,"")</f>
        <v/>
      </c>
      <c r="AK488" s="256" t="str">
        <f>IFERROR((Table7[[#This Row],[No. of Testcases Executed]]/Table7[[#This Row],[Effort for Testcase Execution]])*9,"")</f>
        <v/>
      </c>
      <c r="AL48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8" s="259" t="str">
        <f>IFERROR(Table7[[#This Row],[No. of Defects Validated]]/SUMIFS(Table3[Hours Worked],Table3[Release Name],Table7[[#This Row],[Release Name]],Table3[Task Type],"Defect Validation")*9,"")</f>
        <v/>
      </c>
      <c r="AN488" s="258" t="str">
        <f>IFERROR((Table7[[#This Row],[No. of Valid  Internal Testing Defects]])/(Table7[[#This Row],[No. of Valid  Internal Testing Defects]]+Table7[[#This Row],[No. of Invalid Internal Testing Defects]]),"")</f>
        <v/>
      </c>
      <c r="AO488" s="258" t="str">
        <f>IFERROR(Table7[[#This Row],[No. of Valid External Testing Defects]]/(Table7[[#This Row],[No. of Valid External Testing Defects]]+Table7[[#This Row],[No. of Valid  Internal Testing Defects]]),"")</f>
        <v/>
      </c>
    </row>
    <row r="489" spans="2:41">
      <c r="B489" s="237"/>
      <c r="C489" s="14"/>
      <c r="D489" s="14"/>
      <c r="E489" s="14"/>
      <c r="F489" s="230" t="str">
        <f>IFERROR((Table47[[#This Row],[Initial No. of Requirements]]+Table47[[#This Row],[Modified Requirements( Added / Deleted /Modified)]])/Table47[[#This Row],[Initial No. of Requirements]],"")</f>
        <v/>
      </c>
      <c r="G48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89" s="249"/>
      <c r="J489" s="249"/>
      <c r="K489" s="250"/>
      <c r="L489" s="250"/>
      <c r="M489" s="250"/>
      <c r="N489" s="248">
        <f>SUMIFS(Table1[Size],Table1[Release Name],[2]!Table7[Release Name])</f>
        <v>0</v>
      </c>
      <c r="O489" s="248"/>
      <c r="P48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89" s="248"/>
      <c r="R48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89" s="248"/>
      <c r="T489" s="248"/>
      <c r="U489" s="248"/>
      <c r="V489" s="248"/>
      <c r="W489" s="248"/>
      <c r="X489" s="248"/>
      <c r="Y489" s="248"/>
      <c r="Z489" s="248"/>
      <c r="AA489" s="248"/>
      <c r="AB489" s="13">
        <f>SUMIFS(Table3[Hours Worked],Table3[Release Name],Table7[[#This Row],[Release Name]],Table3[Task Type],"Testcase Creation")</f>
        <v>0</v>
      </c>
      <c r="AC489" s="255">
        <f>SUMIFS(Table3[Hours Worked],Table3[Release Name],Table7[[#This Row],[Release Name]],Table3[Task Type],"Testcase Execution")</f>
        <v>0</v>
      </c>
      <c r="AD48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89" s="256" t="str">
        <f>IFERROR((Table7[[#This Row],[No. of Valid Internal Review Defects]]+Table7[[#This Row],[No. of Valid  Internal Testing Defects]]+Table7[[#This Row],[No. of  Valid External Review Defects]]+Table7[[#This Row],[No. of Valid External Testing Defects]])/Table7[[#This Row],[Size]],"")</f>
        <v/>
      </c>
      <c r="AF489" s="257" t="str">
        <f>IFERROR(Table7[[#This Row],[No. of Valid Internal Review Defects]]/(Table7[[#This Row],[No. of Valid Internal Review Defects]]+Table7[[#This Row],[No. of  Valid External Review Defects]]+Table7[[#This Row],[No. of Valid  Internal Testing Defects]]+Table7[[#This Row],[No. of Valid External Testing Defects]]),"")</f>
        <v/>
      </c>
      <c r="AG489" s="258" t="str">
        <f>IFERROR(Table7[[#This Row],[No. of Valid Internal Review Defects]]/(Table7[[#This Row],[No. of Valid Internal Review Defects]]+Table7[[#This Row],[No. of  Valid External Review Defects]]+Table7[[#This Row],[No. of Valid External Testing Defects]]),"")</f>
        <v/>
      </c>
      <c r="AH489" s="256" t="str">
        <f>IFERROR(Table7[[#This Row],[No. of Valid  Internal Testing Defects]]/Table7[[#This Row],[Overall Actual Effort for the release]],"")</f>
        <v/>
      </c>
      <c r="AI489" s="256" t="str">
        <f>IFERROR(Table7[[#This Row],[No. of Valid  Internal Testing Defects]]/Table7[[#This Row],[No. of Testcases Executed]],"")</f>
        <v/>
      </c>
      <c r="AJ489" s="259" t="str">
        <f>IFERROR(IFERROR(Table7[[#This Row],[No. of Testcases Created]]/Table7[[#This Row],[Effort for Testcase Creation]],"")*9,"")</f>
        <v/>
      </c>
      <c r="AK489" s="256" t="str">
        <f>IFERROR((Table7[[#This Row],[No. of Testcases Executed]]/Table7[[#This Row],[Effort for Testcase Execution]])*9,"")</f>
        <v/>
      </c>
      <c r="AL48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89" s="259" t="str">
        <f>IFERROR(Table7[[#This Row],[No. of Defects Validated]]/SUMIFS(Table3[Hours Worked],Table3[Release Name],Table7[[#This Row],[Release Name]],Table3[Task Type],"Defect Validation")*9,"")</f>
        <v/>
      </c>
      <c r="AN489" s="258" t="str">
        <f>IFERROR((Table7[[#This Row],[No. of Valid  Internal Testing Defects]])/(Table7[[#This Row],[No. of Valid  Internal Testing Defects]]+Table7[[#This Row],[No. of Invalid Internal Testing Defects]]),"")</f>
        <v/>
      </c>
      <c r="AO489" s="258" t="str">
        <f>IFERROR(Table7[[#This Row],[No. of Valid External Testing Defects]]/(Table7[[#This Row],[No. of Valid External Testing Defects]]+Table7[[#This Row],[No. of Valid  Internal Testing Defects]]),"")</f>
        <v/>
      </c>
    </row>
    <row r="490" spans="2:41">
      <c r="B490" s="237"/>
      <c r="C490" s="14"/>
      <c r="D490" s="14"/>
      <c r="E490" s="14"/>
      <c r="F490" s="230" t="str">
        <f>IFERROR((Table47[[#This Row],[Initial No. of Requirements]]+Table47[[#This Row],[Modified Requirements( Added / Deleted /Modified)]])/Table47[[#This Row],[Initial No. of Requirements]],"")</f>
        <v/>
      </c>
      <c r="G49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0" s="249"/>
      <c r="J490" s="249"/>
      <c r="K490" s="250"/>
      <c r="L490" s="250"/>
      <c r="M490" s="250"/>
      <c r="N490" s="248">
        <f>SUMIFS(Table1[Size],Table1[Release Name],[2]!Table7[Release Name])</f>
        <v>0</v>
      </c>
      <c r="O490" s="248"/>
      <c r="P49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0" s="248"/>
      <c r="R49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0" s="248"/>
      <c r="T490" s="248"/>
      <c r="U490" s="248"/>
      <c r="V490" s="248"/>
      <c r="W490" s="248"/>
      <c r="X490" s="248"/>
      <c r="Y490" s="248"/>
      <c r="Z490" s="248"/>
      <c r="AA490" s="248"/>
      <c r="AB490" s="13">
        <f>SUMIFS(Table3[Hours Worked],Table3[Release Name],Table7[[#This Row],[Release Name]],Table3[Task Type],"Testcase Creation")</f>
        <v>0</v>
      </c>
      <c r="AC490" s="255">
        <f>SUMIFS(Table3[Hours Worked],Table3[Release Name],Table7[[#This Row],[Release Name]],Table3[Task Type],"Testcase Execution")</f>
        <v>0</v>
      </c>
      <c r="AD49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0" s="256" t="str">
        <f>IFERROR((Table7[[#This Row],[No. of Valid Internal Review Defects]]+Table7[[#This Row],[No. of Valid  Internal Testing Defects]]+Table7[[#This Row],[No. of  Valid External Review Defects]]+Table7[[#This Row],[No. of Valid External Testing Defects]])/Table7[[#This Row],[Size]],"")</f>
        <v/>
      </c>
      <c r="AF490" s="257" t="str">
        <f>IFERROR(Table7[[#This Row],[No. of Valid Internal Review Defects]]/(Table7[[#This Row],[No. of Valid Internal Review Defects]]+Table7[[#This Row],[No. of  Valid External Review Defects]]+Table7[[#This Row],[No. of Valid  Internal Testing Defects]]+Table7[[#This Row],[No. of Valid External Testing Defects]]),"")</f>
        <v/>
      </c>
      <c r="AG490" s="258" t="str">
        <f>IFERROR(Table7[[#This Row],[No. of Valid Internal Review Defects]]/(Table7[[#This Row],[No. of Valid Internal Review Defects]]+Table7[[#This Row],[No. of  Valid External Review Defects]]+Table7[[#This Row],[No. of Valid External Testing Defects]]),"")</f>
        <v/>
      </c>
      <c r="AH490" s="256" t="str">
        <f>IFERROR(Table7[[#This Row],[No. of Valid  Internal Testing Defects]]/Table7[[#This Row],[Overall Actual Effort for the release]],"")</f>
        <v/>
      </c>
      <c r="AI490" s="256" t="str">
        <f>IFERROR(Table7[[#This Row],[No. of Valid  Internal Testing Defects]]/Table7[[#This Row],[No. of Testcases Executed]],"")</f>
        <v/>
      </c>
      <c r="AJ490" s="259" t="str">
        <f>IFERROR(IFERROR(Table7[[#This Row],[No. of Testcases Created]]/Table7[[#This Row],[Effort for Testcase Creation]],"")*9,"")</f>
        <v/>
      </c>
      <c r="AK490" s="256" t="str">
        <f>IFERROR((Table7[[#This Row],[No. of Testcases Executed]]/Table7[[#This Row],[Effort for Testcase Execution]])*9,"")</f>
        <v/>
      </c>
      <c r="AL49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0" s="259" t="str">
        <f>IFERROR(Table7[[#This Row],[No. of Defects Validated]]/SUMIFS(Table3[Hours Worked],Table3[Release Name],Table7[[#This Row],[Release Name]],Table3[Task Type],"Defect Validation")*9,"")</f>
        <v/>
      </c>
      <c r="AN490" s="258" t="str">
        <f>IFERROR((Table7[[#This Row],[No. of Valid  Internal Testing Defects]])/(Table7[[#This Row],[No. of Valid  Internal Testing Defects]]+Table7[[#This Row],[No. of Invalid Internal Testing Defects]]),"")</f>
        <v/>
      </c>
      <c r="AO490" s="258" t="str">
        <f>IFERROR(Table7[[#This Row],[No. of Valid External Testing Defects]]/(Table7[[#This Row],[No. of Valid External Testing Defects]]+Table7[[#This Row],[No. of Valid  Internal Testing Defects]]),"")</f>
        <v/>
      </c>
    </row>
    <row r="491" spans="2:41">
      <c r="B491" s="237"/>
      <c r="C491" s="14"/>
      <c r="D491" s="14"/>
      <c r="E491" s="14"/>
      <c r="F491" s="230" t="str">
        <f>IFERROR((Table47[[#This Row],[Initial No. of Requirements]]+Table47[[#This Row],[Modified Requirements( Added / Deleted /Modified)]])/Table47[[#This Row],[Initial No. of Requirements]],"")</f>
        <v/>
      </c>
      <c r="G49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1" s="249"/>
      <c r="J491" s="249"/>
      <c r="K491" s="250"/>
      <c r="L491" s="250"/>
      <c r="M491" s="250"/>
      <c r="N491" s="248">
        <f>SUMIFS(Table1[Size],Table1[Release Name],[2]!Table7[Release Name])</f>
        <v>0</v>
      </c>
      <c r="O491" s="248"/>
      <c r="P49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1" s="248"/>
      <c r="R49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1" s="248"/>
      <c r="T491" s="248"/>
      <c r="U491" s="248"/>
      <c r="V491" s="248"/>
      <c r="W491" s="248"/>
      <c r="X491" s="248"/>
      <c r="Y491" s="248"/>
      <c r="Z491" s="248"/>
      <c r="AA491" s="248"/>
      <c r="AB491" s="13">
        <f>SUMIFS(Table3[Hours Worked],Table3[Release Name],Table7[[#This Row],[Release Name]],Table3[Task Type],"Testcase Creation")</f>
        <v>0</v>
      </c>
      <c r="AC491" s="255">
        <f>SUMIFS(Table3[Hours Worked],Table3[Release Name],Table7[[#This Row],[Release Name]],Table3[Task Type],"Testcase Execution")</f>
        <v>0</v>
      </c>
      <c r="AD49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1" s="256" t="str">
        <f>IFERROR((Table7[[#This Row],[No. of Valid Internal Review Defects]]+Table7[[#This Row],[No. of Valid  Internal Testing Defects]]+Table7[[#This Row],[No. of  Valid External Review Defects]]+Table7[[#This Row],[No. of Valid External Testing Defects]])/Table7[[#This Row],[Size]],"")</f>
        <v/>
      </c>
      <c r="AF491" s="257" t="str">
        <f>IFERROR(Table7[[#This Row],[No. of Valid Internal Review Defects]]/(Table7[[#This Row],[No. of Valid Internal Review Defects]]+Table7[[#This Row],[No. of  Valid External Review Defects]]+Table7[[#This Row],[No. of Valid  Internal Testing Defects]]+Table7[[#This Row],[No. of Valid External Testing Defects]]),"")</f>
        <v/>
      </c>
      <c r="AG491" s="258" t="str">
        <f>IFERROR(Table7[[#This Row],[No. of Valid Internal Review Defects]]/(Table7[[#This Row],[No. of Valid Internal Review Defects]]+Table7[[#This Row],[No. of  Valid External Review Defects]]+Table7[[#This Row],[No. of Valid External Testing Defects]]),"")</f>
        <v/>
      </c>
      <c r="AH491" s="256" t="str">
        <f>IFERROR(Table7[[#This Row],[No. of Valid  Internal Testing Defects]]/Table7[[#This Row],[Overall Actual Effort for the release]],"")</f>
        <v/>
      </c>
      <c r="AI491" s="256" t="str">
        <f>IFERROR(Table7[[#This Row],[No. of Valid  Internal Testing Defects]]/Table7[[#This Row],[No. of Testcases Executed]],"")</f>
        <v/>
      </c>
      <c r="AJ491" s="259" t="str">
        <f>IFERROR(IFERROR(Table7[[#This Row],[No. of Testcases Created]]/Table7[[#This Row],[Effort for Testcase Creation]],"")*9,"")</f>
        <v/>
      </c>
      <c r="AK491" s="256" t="str">
        <f>IFERROR((Table7[[#This Row],[No. of Testcases Executed]]/Table7[[#This Row],[Effort for Testcase Execution]])*9,"")</f>
        <v/>
      </c>
      <c r="AL49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1" s="259" t="str">
        <f>IFERROR(Table7[[#This Row],[No. of Defects Validated]]/SUMIFS(Table3[Hours Worked],Table3[Release Name],Table7[[#This Row],[Release Name]],Table3[Task Type],"Defect Validation")*9,"")</f>
        <v/>
      </c>
      <c r="AN491" s="258" t="str">
        <f>IFERROR((Table7[[#This Row],[No. of Valid  Internal Testing Defects]])/(Table7[[#This Row],[No. of Valid  Internal Testing Defects]]+Table7[[#This Row],[No. of Invalid Internal Testing Defects]]),"")</f>
        <v/>
      </c>
      <c r="AO491" s="258" t="str">
        <f>IFERROR(Table7[[#This Row],[No. of Valid External Testing Defects]]/(Table7[[#This Row],[No. of Valid External Testing Defects]]+Table7[[#This Row],[No. of Valid  Internal Testing Defects]]),"")</f>
        <v/>
      </c>
    </row>
    <row r="492" spans="2:41">
      <c r="B492" s="237"/>
      <c r="C492" s="14"/>
      <c r="D492" s="14"/>
      <c r="E492" s="14"/>
      <c r="F492" s="230" t="str">
        <f>IFERROR((Table47[[#This Row],[Initial No. of Requirements]]+Table47[[#This Row],[Modified Requirements( Added / Deleted /Modified)]])/Table47[[#This Row],[Initial No. of Requirements]],"")</f>
        <v/>
      </c>
      <c r="G49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2" s="249"/>
      <c r="J492" s="249"/>
      <c r="K492" s="250"/>
      <c r="L492" s="250"/>
      <c r="M492" s="250"/>
      <c r="N492" s="248">
        <f>SUMIFS(Table1[Size],Table1[Release Name],[2]!Table7[Release Name])</f>
        <v>0</v>
      </c>
      <c r="O492" s="248"/>
      <c r="P49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2" s="248"/>
      <c r="R49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2" s="248"/>
      <c r="T492" s="248"/>
      <c r="U492" s="248"/>
      <c r="V492" s="248"/>
      <c r="W492" s="248"/>
      <c r="X492" s="248"/>
      <c r="Y492" s="248"/>
      <c r="Z492" s="248"/>
      <c r="AA492" s="248"/>
      <c r="AB492" s="13">
        <f>SUMIFS(Table3[Hours Worked],Table3[Release Name],Table7[[#This Row],[Release Name]],Table3[Task Type],"Testcase Creation")</f>
        <v>0</v>
      </c>
      <c r="AC492" s="255">
        <f>SUMIFS(Table3[Hours Worked],Table3[Release Name],Table7[[#This Row],[Release Name]],Table3[Task Type],"Testcase Execution")</f>
        <v>0</v>
      </c>
      <c r="AD49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2" s="256" t="str">
        <f>IFERROR((Table7[[#This Row],[No. of Valid Internal Review Defects]]+Table7[[#This Row],[No. of Valid  Internal Testing Defects]]+Table7[[#This Row],[No. of  Valid External Review Defects]]+Table7[[#This Row],[No. of Valid External Testing Defects]])/Table7[[#This Row],[Size]],"")</f>
        <v/>
      </c>
      <c r="AF492" s="257" t="str">
        <f>IFERROR(Table7[[#This Row],[No. of Valid Internal Review Defects]]/(Table7[[#This Row],[No. of Valid Internal Review Defects]]+Table7[[#This Row],[No. of  Valid External Review Defects]]+Table7[[#This Row],[No. of Valid  Internal Testing Defects]]+Table7[[#This Row],[No. of Valid External Testing Defects]]),"")</f>
        <v/>
      </c>
      <c r="AG492" s="258" t="str">
        <f>IFERROR(Table7[[#This Row],[No. of Valid Internal Review Defects]]/(Table7[[#This Row],[No. of Valid Internal Review Defects]]+Table7[[#This Row],[No. of  Valid External Review Defects]]+Table7[[#This Row],[No. of Valid External Testing Defects]]),"")</f>
        <v/>
      </c>
      <c r="AH492" s="256" t="str">
        <f>IFERROR(Table7[[#This Row],[No. of Valid  Internal Testing Defects]]/Table7[[#This Row],[Overall Actual Effort for the release]],"")</f>
        <v/>
      </c>
      <c r="AI492" s="256" t="str">
        <f>IFERROR(Table7[[#This Row],[No. of Valid  Internal Testing Defects]]/Table7[[#This Row],[No. of Testcases Executed]],"")</f>
        <v/>
      </c>
      <c r="AJ492" s="259" t="str">
        <f>IFERROR(IFERROR(Table7[[#This Row],[No. of Testcases Created]]/Table7[[#This Row],[Effort for Testcase Creation]],"")*9,"")</f>
        <v/>
      </c>
      <c r="AK492" s="256" t="str">
        <f>IFERROR((Table7[[#This Row],[No. of Testcases Executed]]/Table7[[#This Row],[Effort for Testcase Execution]])*9,"")</f>
        <v/>
      </c>
      <c r="AL49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2" s="259" t="str">
        <f>IFERROR(Table7[[#This Row],[No. of Defects Validated]]/SUMIFS(Table3[Hours Worked],Table3[Release Name],Table7[[#This Row],[Release Name]],Table3[Task Type],"Defect Validation")*9,"")</f>
        <v/>
      </c>
      <c r="AN492" s="258" t="str">
        <f>IFERROR((Table7[[#This Row],[No. of Valid  Internal Testing Defects]])/(Table7[[#This Row],[No. of Valid  Internal Testing Defects]]+Table7[[#This Row],[No. of Invalid Internal Testing Defects]]),"")</f>
        <v/>
      </c>
      <c r="AO492" s="258" t="str">
        <f>IFERROR(Table7[[#This Row],[No. of Valid External Testing Defects]]/(Table7[[#This Row],[No. of Valid External Testing Defects]]+Table7[[#This Row],[No. of Valid  Internal Testing Defects]]),"")</f>
        <v/>
      </c>
    </row>
    <row r="493" spans="2:41">
      <c r="B493" s="237"/>
      <c r="C493" s="14"/>
      <c r="D493" s="14"/>
      <c r="E493" s="14"/>
      <c r="F493" s="230" t="str">
        <f>IFERROR((Table47[[#This Row],[Initial No. of Requirements]]+Table47[[#This Row],[Modified Requirements( Added / Deleted /Modified)]])/Table47[[#This Row],[Initial No. of Requirements]],"")</f>
        <v/>
      </c>
      <c r="G49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3" s="249"/>
      <c r="J493" s="249"/>
      <c r="K493" s="250"/>
      <c r="L493" s="250"/>
      <c r="M493" s="250"/>
      <c r="N493" s="248">
        <f>SUMIFS(Table1[Size],Table1[Release Name],[2]!Table7[Release Name])</f>
        <v>0</v>
      </c>
      <c r="O493" s="248"/>
      <c r="P49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3" s="248"/>
      <c r="R49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3" s="248"/>
      <c r="T493" s="248"/>
      <c r="U493" s="248"/>
      <c r="V493" s="248"/>
      <c r="W493" s="248"/>
      <c r="X493" s="248"/>
      <c r="Y493" s="248"/>
      <c r="Z493" s="248"/>
      <c r="AA493" s="248"/>
      <c r="AB493" s="13">
        <f>SUMIFS(Table3[Hours Worked],Table3[Release Name],Table7[[#This Row],[Release Name]],Table3[Task Type],"Testcase Creation")</f>
        <v>0</v>
      </c>
      <c r="AC493" s="255">
        <f>SUMIFS(Table3[Hours Worked],Table3[Release Name],Table7[[#This Row],[Release Name]],Table3[Task Type],"Testcase Execution")</f>
        <v>0</v>
      </c>
      <c r="AD49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3" s="256" t="str">
        <f>IFERROR((Table7[[#This Row],[No. of Valid Internal Review Defects]]+Table7[[#This Row],[No. of Valid  Internal Testing Defects]]+Table7[[#This Row],[No. of  Valid External Review Defects]]+Table7[[#This Row],[No. of Valid External Testing Defects]])/Table7[[#This Row],[Size]],"")</f>
        <v/>
      </c>
      <c r="AF493" s="257" t="str">
        <f>IFERROR(Table7[[#This Row],[No. of Valid Internal Review Defects]]/(Table7[[#This Row],[No. of Valid Internal Review Defects]]+Table7[[#This Row],[No. of  Valid External Review Defects]]+Table7[[#This Row],[No. of Valid  Internal Testing Defects]]+Table7[[#This Row],[No. of Valid External Testing Defects]]),"")</f>
        <v/>
      </c>
      <c r="AG493" s="258" t="str">
        <f>IFERROR(Table7[[#This Row],[No. of Valid Internal Review Defects]]/(Table7[[#This Row],[No. of Valid Internal Review Defects]]+Table7[[#This Row],[No. of  Valid External Review Defects]]+Table7[[#This Row],[No. of Valid External Testing Defects]]),"")</f>
        <v/>
      </c>
      <c r="AH493" s="256" t="str">
        <f>IFERROR(Table7[[#This Row],[No. of Valid  Internal Testing Defects]]/Table7[[#This Row],[Overall Actual Effort for the release]],"")</f>
        <v/>
      </c>
      <c r="AI493" s="256" t="str">
        <f>IFERROR(Table7[[#This Row],[No. of Valid  Internal Testing Defects]]/Table7[[#This Row],[No. of Testcases Executed]],"")</f>
        <v/>
      </c>
      <c r="AJ493" s="259" t="str">
        <f>IFERROR(IFERROR(Table7[[#This Row],[No. of Testcases Created]]/Table7[[#This Row],[Effort for Testcase Creation]],"")*9,"")</f>
        <v/>
      </c>
      <c r="AK493" s="256" t="str">
        <f>IFERROR((Table7[[#This Row],[No. of Testcases Executed]]/Table7[[#This Row],[Effort for Testcase Execution]])*9,"")</f>
        <v/>
      </c>
      <c r="AL49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3" s="259" t="str">
        <f>IFERROR(Table7[[#This Row],[No. of Defects Validated]]/SUMIFS(Table3[Hours Worked],Table3[Release Name],Table7[[#This Row],[Release Name]],Table3[Task Type],"Defect Validation")*9,"")</f>
        <v/>
      </c>
      <c r="AN493" s="258" t="str">
        <f>IFERROR((Table7[[#This Row],[No. of Valid  Internal Testing Defects]])/(Table7[[#This Row],[No. of Valid  Internal Testing Defects]]+Table7[[#This Row],[No. of Invalid Internal Testing Defects]]),"")</f>
        <v/>
      </c>
      <c r="AO493" s="258" t="str">
        <f>IFERROR(Table7[[#This Row],[No. of Valid External Testing Defects]]/(Table7[[#This Row],[No. of Valid External Testing Defects]]+Table7[[#This Row],[No. of Valid  Internal Testing Defects]]),"")</f>
        <v/>
      </c>
    </row>
    <row r="494" spans="2:41">
      <c r="B494" s="237"/>
      <c r="C494" s="14"/>
      <c r="D494" s="14"/>
      <c r="E494" s="14"/>
      <c r="F494" s="230" t="str">
        <f>IFERROR((Table47[[#This Row],[Initial No. of Requirements]]+Table47[[#This Row],[Modified Requirements( Added / Deleted /Modified)]])/Table47[[#This Row],[Initial No. of Requirements]],"")</f>
        <v/>
      </c>
      <c r="G49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4" s="249"/>
      <c r="J494" s="249"/>
      <c r="K494" s="250"/>
      <c r="L494" s="250"/>
      <c r="M494" s="250"/>
      <c r="N494" s="248">
        <f>SUMIFS(Table1[Size],Table1[Release Name],[2]!Table7[Release Name])</f>
        <v>0</v>
      </c>
      <c r="O494" s="248"/>
      <c r="P49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4" s="248"/>
      <c r="R49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4" s="248"/>
      <c r="T494" s="248"/>
      <c r="U494" s="248"/>
      <c r="V494" s="248"/>
      <c r="W494" s="248"/>
      <c r="X494" s="248"/>
      <c r="Y494" s="248"/>
      <c r="Z494" s="248"/>
      <c r="AA494" s="248"/>
      <c r="AB494" s="13">
        <f>SUMIFS(Table3[Hours Worked],Table3[Release Name],Table7[[#This Row],[Release Name]],Table3[Task Type],"Testcase Creation")</f>
        <v>0</v>
      </c>
      <c r="AC494" s="255">
        <f>SUMIFS(Table3[Hours Worked],Table3[Release Name],Table7[[#This Row],[Release Name]],Table3[Task Type],"Testcase Execution")</f>
        <v>0</v>
      </c>
      <c r="AD49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4" s="256" t="str">
        <f>IFERROR((Table7[[#This Row],[No. of Valid Internal Review Defects]]+Table7[[#This Row],[No. of Valid  Internal Testing Defects]]+Table7[[#This Row],[No. of  Valid External Review Defects]]+Table7[[#This Row],[No. of Valid External Testing Defects]])/Table7[[#This Row],[Size]],"")</f>
        <v/>
      </c>
      <c r="AF494" s="257" t="str">
        <f>IFERROR(Table7[[#This Row],[No. of Valid Internal Review Defects]]/(Table7[[#This Row],[No. of Valid Internal Review Defects]]+Table7[[#This Row],[No. of  Valid External Review Defects]]+Table7[[#This Row],[No. of Valid  Internal Testing Defects]]+Table7[[#This Row],[No. of Valid External Testing Defects]]),"")</f>
        <v/>
      </c>
      <c r="AG494" s="258" t="str">
        <f>IFERROR(Table7[[#This Row],[No. of Valid Internal Review Defects]]/(Table7[[#This Row],[No. of Valid Internal Review Defects]]+Table7[[#This Row],[No. of  Valid External Review Defects]]+Table7[[#This Row],[No. of Valid External Testing Defects]]),"")</f>
        <v/>
      </c>
      <c r="AH494" s="256" t="str">
        <f>IFERROR(Table7[[#This Row],[No. of Valid  Internal Testing Defects]]/Table7[[#This Row],[Overall Actual Effort for the release]],"")</f>
        <v/>
      </c>
      <c r="AI494" s="256" t="str">
        <f>IFERROR(Table7[[#This Row],[No. of Valid  Internal Testing Defects]]/Table7[[#This Row],[No. of Testcases Executed]],"")</f>
        <v/>
      </c>
      <c r="AJ494" s="259" t="str">
        <f>IFERROR(IFERROR(Table7[[#This Row],[No. of Testcases Created]]/Table7[[#This Row],[Effort for Testcase Creation]],"")*9,"")</f>
        <v/>
      </c>
      <c r="AK494" s="256" t="str">
        <f>IFERROR((Table7[[#This Row],[No. of Testcases Executed]]/Table7[[#This Row],[Effort for Testcase Execution]])*9,"")</f>
        <v/>
      </c>
      <c r="AL49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4" s="259" t="str">
        <f>IFERROR(Table7[[#This Row],[No. of Defects Validated]]/SUMIFS(Table3[Hours Worked],Table3[Release Name],Table7[[#This Row],[Release Name]],Table3[Task Type],"Defect Validation")*9,"")</f>
        <v/>
      </c>
      <c r="AN494" s="258" t="str">
        <f>IFERROR((Table7[[#This Row],[No. of Valid  Internal Testing Defects]])/(Table7[[#This Row],[No. of Valid  Internal Testing Defects]]+Table7[[#This Row],[No. of Invalid Internal Testing Defects]]),"")</f>
        <v/>
      </c>
      <c r="AO494" s="258" t="str">
        <f>IFERROR(Table7[[#This Row],[No. of Valid External Testing Defects]]/(Table7[[#This Row],[No. of Valid External Testing Defects]]+Table7[[#This Row],[No. of Valid  Internal Testing Defects]]),"")</f>
        <v/>
      </c>
    </row>
    <row r="495" spans="2:41">
      <c r="B495" s="237"/>
      <c r="C495" s="14"/>
      <c r="D495" s="14"/>
      <c r="E495" s="14"/>
      <c r="F495" s="230" t="str">
        <f>IFERROR((Table47[[#This Row],[Initial No. of Requirements]]+Table47[[#This Row],[Modified Requirements( Added / Deleted /Modified)]])/Table47[[#This Row],[Initial No. of Requirements]],"")</f>
        <v/>
      </c>
      <c r="G49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5" s="249"/>
      <c r="J495" s="249"/>
      <c r="K495" s="250"/>
      <c r="L495" s="250"/>
      <c r="M495" s="250"/>
      <c r="N495" s="248">
        <f>SUMIFS(Table1[Size],Table1[Release Name],[2]!Table7[Release Name])</f>
        <v>0</v>
      </c>
      <c r="O495" s="248"/>
      <c r="P49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5" s="248"/>
      <c r="R49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5" s="248"/>
      <c r="T495" s="248"/>
      <c r="U495" s="248"/>
      <c r="V495" s="248"/>
      <c r="W495" s="248"/>
      <c r="X495" s="248"/>
      <c r="Y495" s="248"/>
      <c r="Z495" s="248"/>
      <c r="AA495" s="248"/>
      <c r="AB495" s="13">
        <f>SUMIFS(Table3[Hours Worked],Table3[Release Name],Table7[[#This Row],[Release Name]],Table3[Task Type],"Testcase Creation")</f>
        <v>0</v>
      </c>
      <c r="AC495" s="255">
        <f>SUMIFS(Table3[Hours Worked],Table3[Release Name],Table7[[#This Row],[Release Name]],Table3[Task Type],"Testcase Execution")</f>
        <v>0</v>
      </c>
      <c r="AD49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5" s="256" t="str">
        <f>IFERROR((Table7[[#This Row],[No. of Valid Internal Review Defects]]+Table7[[#This Row],[No. of Valid  Internal Testing Defects]]+Table7[[#This Row],[No. of  Valid External Review Defects]]+Table7[[#This Row],[No. of Valid External Testing Defects]])/Table7[[#This Row],[Size]],"")</f>
        <v/>
      </c>
      <c r="AF495" s="257" t="str">
        <f>IFERROR(Table7[[#This Row],[No. of Valid Internal Review Defects]]/(Table7[[#This Row],[No. of Valid Internal Review Defects]]+Table7[[#This Row],[No. of  Valid External Review Defects]]+Table7[[#This Row],[No. of Valid  Internal Testing Defects]]+Table7[[#This Row],[No. of Valid External Testing Defects]]),"")</f>
        <v/>
      </c>
      <c r="AG495" s="258" t="str">
        <f>IFERROR(Table7[[#This Row],[No. of Valid Internal Review Defects]]/(Table7[[#This Row],[No. of Valid Internal Review Defects]]+Table7[[#This Row],[No. of  Valid External Review Defects]]+Table7[[#This Row],[No. of Valid External Testing Defects]]),"")</f>
        <v/>
      </c>
      <c r="AH495" s="256" t="str">
        <f>IFERROR(Table7[[#This Row],[No. of Valid  Internal Testing Defects]]/Table7[[#This Row],[Overall Actual Effort for the release]],"")</f>
        <v/>
      </c>
      <c r="AI495" s="256" t="str">
        <f>IFERROR(Table7[[#This Row],[No. of Valid  Internal Testing Defects]]/Table7[[#This Row],[No. of Testcases Executed]],"")</f>
        <v/>
      </c>
      <c r="AJ495" s="259" t="str">
        <f>IFERROR(IFERROR(Table7[[#This Row],[No. of Testcases Created]]/Table7[[#This Row],[Effort for Testcase Creation]],"")*9,"")</f>
        <v/>
      </c>
      <c r="AK495" s="256" t="str">
        <f>IFERROR((Table7[[#This Row],[No. of Testcases Executed]]/Table7[[#This Row],[Effort for Testcase Execution]])*9,"")</f>
        <v/>
      </c>
      <c r="AL49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5" s="259" t="str">
        <f>IFERROR(Table7[[#This Row],[No. of Defects Validated]]/SUMIFS(Table3[Hours Worked],Table3[Release Name],Table7[[#This Row],[Release Name]],Table3[Task Type],"Defect Validation")*9,"")</f>
        <v/>
      </c>
      <c r="AN495" s="258" t="str">
        <f>IFERROR((Table7[[#This Row],[No. of Valid  Internal Testing Defects]])/(Table7[[#This Row],[No. of Valid  Internal Testing Defects]]+Table7[[#This Row],[No. of Invalid Internal Testing Defects]]),"")</f>
        <v/>
      </c>
      <c r="AO495" s="258" t="str">
        <f>IFERROR(Table7[[#This Row],[No. of Valid External Testing Defects]]/(Table7[[#This Row],[No. of Valid External Testing Defects]]+Table7[[#This Row],[No. of Valid  Internal Testing Defects]]),"")</f>
        <v/>
      </c>
    </row>
    <row r="496" spans="2:41">
      <c r="B496" s="237"/>
      <c r="C496" s="14"/>
      <c r="D496" s="14"/>
      <c r="E496" s="14"/>
      <c r="F496" s="230" t="str">
        <f>IFERROR((Table47[[#This Row],[Initial No. of Requirements]]+Table47[[#This Row],[Modified Requirements( Added / Deleted /Modified)]])/Table47[[#This Row],[Initial No. of Requirements]],"")</f>
        <v/>
      </c>
      <c r="G49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6" s="249"/>
      <c r="J496" s="249"/>
      <c r="K496" s="250"/>
      <c r="L496" s="250"/>
      <c r="M496" s="250"/>
      <c r="N496" s="248">
        <f>SUMIFS(Table1[Size],Table1[Release Name],[2]!Table7[Release Name])</f>
        <v>0</v>
      </c>
      <c r="O496" s="248"/>
      <c r="P49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6" s="248"/>
      <c r="R49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6" s="248"/>
      <c r="T496" s="248"/>
      <c r="U496" s="248"/>
      <c r="V496" s="248"/>
      <c r="W496" s="248"/>
      <c r="X496" s="248"/>
      <c r="Y496" s="248"/>
      <c r="Z496" s="248"/>
      <c r="AA496" s="248"/>
      <c r="AB496" s="13">
        <f>SUMIFS(Table3[Hours Worked],Table3[Release Name],Table7[[#This Row],[Release Name]],Table3[Task Type],"Testcase Creation")</f>
        <v>0</v>
      </c>
      <c r="AC496" s="255">
        <f>SUMIFS(Table3[Hours Worked],Table3[Release Name],Table7[[#This Row],[Release Name]],Table3[Task Type],"Testcase Execution")</f>
        <v>0</v>
      </c>
      <c r="AD49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6" s="256" t="str">
        <f>IFERROR((Table7[[#This Row],[No. of Valid Internal Review Defects]]+Table7[[#This Row],[No. of Valid  Internal Testing Defects]]+Table7[[#This Row],[No. of  Valid External Review Defects]]+Table7[[#This Row],[No. of Valid External Testing Defects]])/Table7[[#This Row],[Size]],"")</f>
        <v/>
      </c>
      <c r="AF496" s="257" t="str">
        <f>IFERROR(Table7[[#This Row],[No. of Valid Internal Review Defects]]/(Table7[[#This Row],[No. of Valid Internal Review Defects]]+Table7[[#This Row],[No. of  Valid External Review Defects]]+Table7[[#This Row],[No. of Valid  Internal Testing Defects]]+Table7[[#This Row],[No. of Valid External Testing Defects]]),"")</f>
        <v/>
      </c>
      <c r="AG496" s="258" t="str">
        <f>IFERROR(Table7[[#This Row],[No. of Valid Internal Review Defects]]/(Table7[[#This Row],[No. of Valid Internal Review Defects]]+Table7[[#This Row],[No. of  Valid External Review Defects]]+Table7[[#This Row],[No. of Valid External Testing Defects]]),"")</f>
        <v/>
      </c>
      <c r="AH496" s="256" t="str">
        <f>IFERROR(Table7[[#This Row],[No. of Valid  Internal Testing Defects]]/Table7[[#This Row],[Overall Actual Effort for the release]],"")</f>
        <v/>
      </c>
      <c r="AI496" s="256" t="str">
        <f>IFERROR(Table7[[#This Row],[No. of Valid  Internal Testing Defects]]/Table7[[#This Row],[No. of Testcases Executed]],"")</f>
        <v/>
      </c>
      <c r="AJ496" s="259" t="str">
        <f>IFERROR(IFERROR(Table7[[#This Row],[No. of Testcases Created]]/Table7[[#This Row],[Effort for Testcase Creation]],"")*9,"")</f>
        <v/>
      </c>
      <c r="AK496" s="256" t="str">
        <f>IFERROR((Table7[[#This Row],[No. of Testcases Executed]]/Table7[[#This Row],[Effort for Testcase Execution]])*9,"")</f>
        <v/>
      </c>
      <c r="AL49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6" s="259" t="str">
        <f>IFERROR(Table7[[#This Row],[No. of Defects Validated]]/SUMIFS(Table3[Hours Worked],Table3[Release Name],Table7[[#This Row],[Release Name]],Table3[Task Type],"Defect Validation")*9,"")</f>
        <v/>
      </c>
      <c r="AN496" s="258" t="str">
        <f>IFERROR((Table7[[#This Row],[No. of Valid  Internal Testing Defects]])/(Table7[[#This Row],[No. of Valid  Internal Testing Defects]]+Table7[[#This Row],[No. of Invalid Internal Testing Defects]]),"")</f>
        <v/>
      </c>
      <c r="AO496" s="258" t="str">
        <f>IFERROR(Table7[[#This Row],[No. of Valid External Testing Defects]]/(Table7[[#This Row],[No. of Valid External Testing Defects]]+Table7[[#This Row],[No. of Valid  Internal Testing Defects]]),"")</f>
        <v/>
      </c>
    </row>
    <row r="497" spans="2:41">
      <c r="B497" s="237"/>
      <c r="C497" s="14"/>
      <c r="D497" s="14"/>
      <c r="E497" s="14"/>
      <c r="F497" s="230" t="str">
        <f>IFERROR((Table47[[#This Row],[Initial No. of Requirements]]+Table47[[#This Row],[Modified Requirements( Added / Deleted /Modified)]])/Table47[[#This Row],[Initial No. of Requirements]],"")</f>
        <v/>
      </c>
      <c r="G49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7" s="249"/>
      <c r="J497" s="249"/>
      <c r="K497" s="250"/>
      <c r="L497" s="250"/>
      <c r="M497" s="250"/>
      <c r="N497" s="248">
        <f>SUMIFS(Table1[Size],Table1[Release Name],[2]!Table7[Release Name])</f>
        <v>0</v>
      </c>
      <c r="O497" s="248"/>
      <c r="P49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7" s="248"/>
      <c r="R49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7" s="248"/>
      <c r="T497" s="248"/>
      <c r="U497" s="248"/>
      <c r="V497" s="248"/>
      <c r="W497" s="248"/>
      <c r="X497" s="248"/>
      <c r="Y497" s="248"/>
      <c r="Z497" s="248"/>
      <c r="AA497" s="248"/>
      <c r="AB497" s="13">
        <f>SUMIFS(Table3[Hours Worked],Table3[Release Name],Table7[[#This Row],[Release Name]],Table3[Task Type],"Testcase Creation")</f>
        <v>0</v>
      </c>
      <c r="AC497" s="255">
        <f>SUMIFS(Table3[Hours Worked],Table3[Release Name],Table7[[#This Row],[Release Name]],Table3[Task Type],"Testcase Execution")</f>
        <v>0</v>
      </c>
      <c r="AD49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7" s="256" t="str">
        <f>IFERROR((Table7[[#This Row],[No. of Valid Internal Review Defects]]+Table7[[#This Row],[No. of Valid  Internal Testing Defects]]+Table7[[#This Row],[No. of  Valid External Review Defects]]+Table7[[#This Row],[No. of Valid External Testing Defects]])/Table7[[#This Row],[Size]],"")</f>
        <v/>
      </c>
      <c r="AF497" s="257" t="str">
        <f>IFERROR(Table7[[#This Row],[No. of Valid Internal Review Defects]]/(Table7[[#This Row],[No. of Valid Internal Review Defects]]+Table7[[#This Row],[No. of  Valid External Review Defects]]+Table7[[#This Row],[No. of Valid  Internal Testing Defects]]+Table7[[#This Row],[No. of Valid External Testing Defects]]),"")</f>
        <v/>
      </c>
      <c r="AG497" s="258" t="str">
        <f>IFERROR(Table7[[#This Row],[No. of Valid Internal Review Defects]]/(Table7[[#This Row],[No. of Valid Internal Review Defects]]+Table7[[#This Row],[No. of  Valid External Review Defects]]+Table7[[#This Row],[No. of Valid External Testing Defects]]),"")</f>
        <v/>
      </c>
      <c r="AH497" s="256" t="str">
        <f>IFERROR(Table7[[#This Row],[No. of Valid  Internal Testing Defects]]/Table7[[#This Row],[Overall Actual Effort for the release]],"")</f>
        <v/>
      </c>
      <c r="AI497" s="256" t="str">
        <f>IFERROR(Table7[[#This Row],[No. of Valid  Internal Testing Defects]]/Table7[[#This Row],[No. of Testcases Executed]],"")</f>
        <v/>
      </c>
      <c r="AJ497" s="259" t="str">
        <f>IFERROR(IFERROR(Table7[[#This Row],[No. of Testcases Created]]/Table7[[#This Row],[Effort for Testcase Creation]],"")*9,"")</f>
        <v/>
      </c>
      <c r="AK497" s="256" t="str">
        <f>IFERROR((Table7[[#This Row],[No. of Testcases Executed]]/Table7[[#This Row],[Effort for Testcase Execution]])*9,"")</f>
        <v/>
      </c>
      <c r="AL49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7" s="259" t="str">
        <f>IFERROR(Table7[[#This Row],[No. of Defects Validated]]/SUMIFS(Table3[Hours Worked],Table3[Release Name],Table7[[#This Row],[Release Name]],Table3[Task Type],"Defect Validation")*9,"")</f>
        <v/>
      </c>
      <c r="AN497" s="258" t="str">
        <f>IFERROR((Table7[[#This Row],[No. of Valid  Internal Testing Defects]])/(Table7[[#This Row],[No. of Valid  Internal Testing Defects]]+Table7[[#This Row],[No. of Invalid Internal Testing Defects]]),"")</f>
        <v/>
      </c>
      <c r="AO497" s="258" t="str">
        <f>IFERROR(Table7[[#This Row],[No. of Valid External Testing Defects]]/(Table7[[#This Row],[No. of Valid External Testing Defects]]+Table7[[#This Row],[No. of Valid  Internal Testing Defects]]),"")</f>
        <v/>
      </c>
    </row>
    <row r="498" spans="2:41">
      <c r="B498" s="237"/>
      <c r="C498" s="14"/>
      <c r="D498" s="14"/>
      <c r="E498" s="14"/>
      <c r="F498" s="230" t="str">
        <f>IFERROR((Table47[[#This Row],[Initial No. of Requirements]]+Table47[[#This Row],[Modified Requirements( Added / Deleted /Modified)]])/Table47[[#This Row],[Initial No. of Requirements]],"")</f>
        <v/>
      </c>
      <c r="G49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8" s="249"/>
      <c r="J498" s="249"/>
      <c r="K498" s="250"/>
      <c r="L498" s="250"/>
      <c r="M498" s="250"/>
      <c r="N498" s="248">
        <f>SUMIFS(Table1[Size],Table1[Release Name],[2]!Table7[Release Name])</f>
        <v>0</v>
      </c>
      <c r="O498" s="248"/>
      <c r="P49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8" s="248"/>
      <c r="R49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8" s="248"/>
      <c r="T498" s="248"/>
      <c r="U498" s="248"/>
      <c r="V498" s="248"/>
      <c r="W498" s="248"/>
      <c r="X498" s="248"/>
      <c r="Y498" s="248"/>
      <c r="Z498" s="248"/>
      <c r="AA498" s="248"/>
      <c r="AB498" s="13">
        <f>SUMIFS(Table3[Hours Worked],Table3[Release Name],Table7[[#This Row],[Release Name]],Table3[Task Type],"Testcase Creation")</f>
        <v>0</v>
      </c>
      <c r="AC498" s="255">
        <f>SUMIFS(Table3[Hours Worked],Table3[Release Name],Table7[[#This Row],[Release Name]],Table3[Task Type],"Testcase Execution")</f>
        <v>0</v>
      </c>
      <c r="AD49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8" s="256" t="str">
        <f>IFERROR((Table7[[#This Row],[No. of Valid Internal Review Defects]]+Table7[[#This Row],[No. of Valid  Internal Testing Defects]]+Table7[[#This Row],[No. of  Valid External Review Defects]]+Table7[[#This Row],[No. of Valid External Testing Defects]])/Table7[[#This Row],[Size]],"")</f>
        <v/>
      </c>
      <c r="AF498" s="257" t="str">
        <f>IFERROR(Table7[[#This Row],[No. of Valid Internal Review Defects]]/(Table7[[#This Row],[No. of Valid Internal Review Defects]]+Table7[[#This Row],[No. of  Valid External Review Defects]]+Table7[[#This Row],[No. of Valid  Internal Testing Defects]]+Table7[[#This Row],[No. of Valid External Testing Defects]]),"")</f>
        <v/>
      </c>
      <c r="AG498" s="258" t="str">
        <f>IFERROR(Table7[[#This Row],[No. of Valid Internal Review Defects]]/(Table7[[#This Row],[No. of Valid Internal Review Defects]]+Table7[[#This Row],[No. of  Valid External Review Defects]]+Table7[[#This Row],[No. of Valid External Testing Defects]]),"")</f>
        <v/>
      </c>
      <c r="AH498" s="256" t="str">
        <f>IFERROR(Table7[[#This Row],[No. of Valid  Internal Testing Defects]]/Table7[[#This Row],[Overall Actual Effort for the release]],"")</f>
        <v/>
      </c>
      <c r="AI498" s="256" t="str">
        <f>IFERROR(Table7[[#This Row],[No. of Valid  Internal Testing Defects]]/Table7[[#This Row],[No. of Testcases Executed]],"")</f>
        <v/>
      </c>
      <c r="AJ498" s="259" t="str">
        <f>IFERROR(IFERROR(Table7[[#This Row],[No. of Testcases Created]]/Table7[[#This Row],[Effort for Testcase Creation]],"")*9,"")</f>
        <v/>
      </c>
      <c r="AK498" s="256" t="str">
        <f>IFERROR((Table7[[#This Row],[No. of Testcases Executed]]/Table7[[#This Row],[Effort for Testcase Execution]])*9,"")</f>
        <v/>
      </c>
      <c r="AL49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8" s="259" t="str">
        <f>IFERROR(Table7[[#This Row],[No. of Defects Validated]]/SUMIFS(Table3[Hours Worked],Table3[Release Name],Table7[[#This Row],[Release Name]],Table3[Task Type],"Defect Validation")*9,"")</f>
        <v/>
      </c>
      <c r="AN498" s="258" t="str">
        <f>IFERROR((Table7[[#This Row],[No. of Valid  Internal Testing Defects]])/(Table7[[#This Row],[No. of Valid  Internal Testing Defects]]+Table7[[#This Row],[No. of Invalid Internal Testing Defects]]),"")</f>
        <v/>
      </c>
      <c r="AO498" s="258" t="str">
        <f>IFERROR(Table7[[#This Row],[No. of Valid External Testing Defects]]/(Table7[[#This Row],[No. of Valid External Testing Defects]]+Table7[[#This Row],[No. of Valid  Internal Testing Defects]]),"")</f>
        <v/>
      </c>
    </row>
    <row r="499" spans="2:41">
      <c r="B499" s="237"/>
      <c r="C499" s="14"/>
      <c r="D499" s="14"/>
      <c r="E499" s="14"/>
      <c r="F499" s="230" t="str">
        <f>IFERROR((Table47[[#This Row],[Initial No. of Requirements]]+Table47[[#This Row],[Modified Requirements( Added / Deleted /Modified)]])/Table47[[#This Row],[Initial No. of Requirements]],"")</f>
        <v/>
      </c>
      <c r="G49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499" s="249"/>
      <c r="J499" s="249"/>
      <c r="K499" s="250"/>
      <c r="L499" s="250"/>
      <c r="M499" s="250"/>
      <c r="N499" s="248">
        <f>SUMIFS(Table1[Size],Table1[Release Name],[2]!Table7[Release Name])</f>
        <v>0</v>
      </c>
      <c r="O499" s="248"/>
      <c r="P49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499" s="248"/>
      <c r="R49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499" s="248"/>
      <c r="T499" s="248"/>
      <c r="U499" s="248"/>
      <c r="V499" s="248"/>
      <c r="W499" s="248"/>
      <c r="X499" s="248"/>
      <c r="Y499" s="248"/>
      <c r="Z499" s="248"/>
      <c r="AA499" s="248"/>
      <c r="AB499" s="13">
        <f>SUMIFS(Table3[Hours Worked],Table3[Release Name],Table7[[#This Row],[Release Name]],Table3[Task Type],"Testcase Creation")</f>
        <v>0</v>
      </c>
      <c r="AC499" s="255">
        <f>SUMIFS(Table3[Hours Worked],Table3[Release Name],Table7[[#This Row],[Release Name]],Table3[Task Type],"Testcase Execution")</f>
        <v>0</v>
      </c>
      <c r="AD49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499" s="256" t="str">
        <f>IFERROR((Table7[[#This Row],[No. of Valid Internal Review Defects]]+Table7[[#This Row],[No. of Valid  Internal Testing Defects]]+Table7[[#This Row],[No. of  Valid External Review Defects]]+Table7[[#This Row],[No. of Valid External Testing Defects]])/Table7[[#This Row],[Size]],"")</f>
        <v/>
      </c>
      <c r="AF499" s="257" t="str">
        <f>IFERROR(Table7[[#This Row],[No. of Valid Internal Review Defects]]/(Table7[[#This Row],[No. of Valid Internal Review Defects]]+Table7[[#This Row],[No. of  Valid External Review Defects]]+Table7[[#This Row],[No. of Valid  Internal Testing Defects]]+Table7[[#This Row],[No. of Valid External Testing Defects]]),"")</f>
        <v/>
      </c>
      <c r="AG499" s="258" t="str">
        <f>IFERROR(Table7[[#This Row],[No. of Valid Internal Review Defects]]/(Table7[[#This Row],[No. of Valid Internal Review Defects]]+Table7[[#This Row],[No. of  Valid External Review Defects]]+Table7[[#This Row],[No. of Valid External Testing Defects]]),"")</f>
        <v/>
      </c>
      <c r="AH499" s="256" t="str">
        <f>IFERROR(Table7[[#This Row],[No. of Valid  Internal Testing Defects]]/Table7[[#This Row],[Overall Actual Effort for the release]],"")</f>
        <v/>
      </c>
      <c r="AI499" s="256" t="str">
        <f>IFERROR(Table7[[#This Row],[No. of Valid  Internal Testing Defects]]/Table7[[#This Row],[No. of Testcases Executed]],"")</f>
        <v/>
      </c>
      <c r="AJ499" s="259" t="str">
        <f>IFERROR(IFERROR(Table7[[#This Row],[No. of Testcases Created]]/Table7[[#This Row],[Effort for Testcase Creation]],"")*9,"")</f>
        <v/>
      </c>
      <c r="AK499" s="256" t="str">
        <f>IFERROR((Table7[[#This Row],[No. of Testcases Executed]]/Table7[[#This Row],[Effort for Testcase Execution]])*9,"")</f>
        <v/>
      </c>
      <c r="AL49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499" s="259" t="str">
        <f>IFERROR(Table7[[#This Row],[No. of Defects Validated]]/SUMIFS(Table3[Hours Worked],Table3[Release Name],Table7[[#This Row],[Release Name]],Table3[Task Type],"Defect Validation")*9,"")</f>
        <v/>
      </c>
      <c r="AN499" s="258" t="str">
        <f>IFERROR((Table7[[#This Row],[No. of Valid  Internal Testing Defects]])/(Table7[[#This Row],[No. of Valid  Internal Testing Defects]]+Table7[[#This Row],[No. of Invalid Internal Testing Defects]]),"")</f>
        <v/>
      </c>
      <c r="AO499" s="258" t="str">
        <f>IFERROR(Table7[[#This Row],[No. of Valid External Testing Defects]]/(Table7[[#This Row],[No. of Valid External Testing Defects]]+Table7[[#This Row],[No. of Valid  Internal Testing Defects]]),"")</f>
        <v/>
      </c>
    </row>
    <row r="500" spans="2:41">
      <c r="B500" s="237"/>
      <c r="C500" s="14"/>
      <c r="D500" s="14"/>
      <c r="E500" s="14"/>
      <c r="F500" s="230" t="str">
        <f>IFERROR((Table47[[#This Row],[Initial No. of Requirements]]+Table47[[#This Row],[Modified Requirements( Added / Deleted /Modified)]])/Table47[[#This Row],[Initial No. of Requirements]],"")</f>
        <v/>
      </c>
      <c r="G50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0" s="249"/>
      <c r="J500" s="249"/>
      <c r="K500" s="250"/>
      <c r="L500" s="250"/>
      <c r="M500" s="250"/>
      <c r="N500" s="248">
        <f>SUMIFS(Table1[Size],Table1[Release Name],[2]!Table7[Release Name])</f>
        <v>0</v>
      </c>
      <c r="O500" s="248"/>
      <c r="P50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0" s="248"/>
      <c r="R50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0" s="248"/>
      <c r="T500" s="248"/>
      <c r="U500" s="248"/>
      <c r="V500" s="248"/>
      <c r="W500" s="248"/>
      <c r="X500" s="248"/>
      <c r="Y500" s="248"/>
      <c r="Z500" s="248"/>
      <c r="AA500" s="248"/>
      <c r="AB500" s="13">
        <f>SUMIFS(Table3[Hours Worked],Table3[Release Name],Table7[[#This Row],[Release Name]],Table3[Task Type],"Testcase Creation")</f>
        <v>0</v>
      </c>
      <c r="AC500" s="255">
        <f>SUMIFS(Table3[Hours Worked],Table3[Release Name],Table7[[#This Row],[Release Name]],Table3[Task Type],"Testcase Execution")</f>
        <v>0</v>
      </c>
      <c r="AD50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0" s="256" t="str">
        <f>IFERROR((Table7[[#This Row],[No. of Valid Internal Review Defects]]+Table7[[#This Row],[No. of Valid  Internal Testing Defects]]+Table7[[#This Row],[No. of  Valid External Review Defects]]+Table7[[#This Row],[No. of Valid External Testing Defects]])/Table7[[#This Row],[Size]],"")</f>
        <v/>
      </c>
      <c r="AF500" s="257" t="str">
        <f>IFERROR(Table7[[#This Row],[No. of Valid Internal Review Defects]]/(Table7[[#This Row],[No. of Valid Internal Review Defects]]+Table7[[#This Row],[No. of  Valid External Review Defects]]+Table7[[#This Row],[No. of Valid  Internal Testing Defects]]+Table7[[#This Row],[No. of Valid External Testing Defects]]),"")</f>
        <v/>
      </c>
      <c r="AG500" s="258" t="str">
        <f>IFERROR(Table7[[#This Row],[No. of Valid Internal Review Defects]]/(Table7[[#This Row],[No. of Valid Internal Review Defects]]+Table7[[#This Row],[No. of  Valid External Review Defects]]+Table7[[#This Row],[No. of Valid External Testing Defects]]),"")</f>
        <v/>
      </c>
      <c r="AH500" s="256" t="str">
        <f>IFERROR(Table7[[#This Row],[No. of Valid  Internal Testing Defects]]/Table7[[#This Row],[Overall Actual Effort for the release]],"")</f>
        <v/>
      </c>
      <c r="AI500" s="256" t="str">
        <f>IFERROR(Table7[[#This Row],[No. of Valid  Internal Testing Defects]]/Table7[[#This Row],[No. of Testcases Executed]],"")</f>
        <v/>
      </c>
      <c r="AJ500" s="259" t="str">
        <f>IFERROR(IFERROR(Table7[[#This Row],[No. of Testcases Created]]/Table7[[#This Row],[Effort for Testcase Creation]],"")*9,"")</f>
        <v/>
      </c>
      <c r="AK500" s="256" t="str">
        <f>IFERROR((Table7[[#This Row],[No. of Testcases Executed]]/Table7[[#This Row],[Effort for Testcase Execution]])*9,"")</f>
        <v/>
      </c>
      <c r="AL50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0" s="259" t="str">
        <f>IFERROR(Table7[[#This Row],[No. of Defects Validated]]/SUMIFS(Table3[Hours Worked],Table3[Release Name],Table7[[#This Row],[Release Name]],Table3[Task Type],"Defect Validation")*9,"")</f>
        <v/>
      </c>
      <c r="AN500" s="258" t="str">
        <f>IFERROR((Table7[[#This Row],[No. of Valid  Internal Testing Defects]])/(Table7[[#This Row],[No. of Valid  Internal Testing Defects]]+Table7[[#This Row],[No. of Invalid Internal Testing Defects]]),"")</f>
        <v/>
      </c>
      <c r="AO500" s="258" t="str">
        <f>IFERROR(Table7[[#This Row],[No. of Valid External Testing Defects]]/(Table7[[#This Row],[No. of Valid External Testing Defects]]+Table7[[#This Row],[No. of Valid  Internal Testing Defects]]),"")</f>
        <v/>
      </c>
    </row>
    <row r="501" spans="2:41">
      <c r="B501" s="237"/>
      <c r="C501" s="14"/>
      <c r="D501" s="14"/>
      <c r="E501" s="14"/>
      <c r="F501" s="230" t="str">
        <f>IFERROR((Table47[[#This Row],[Initial No. of Requirements]]+Table47[[#This Row],[Modified Requirements( Added / Deleted /Modified)]])/Table47[[#This Row],[Initial No. of Requirements]],"")</f>
        <v/>
      </c>
      <c r="G50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1" s="249"/>
      <c r="J501" s="249"/>
      <c r="K501" s="250"/>
      <c r="L501" s="250"/>
      <c r="M501" s="250"/>
      <c r="N501" s="248">
        <f>SUMIFS(Table1[Size],Table1[Release Name],[2]!Table7[Release Name])</f>
        <v>0</v>
      </c>
      <c r="O501" s="248"/>
      <c r="P50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1" s="248"/>
      <c r="R50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1" s="248"/>
      <c r="T501" s="248"/>
      <c r="U501" s="248"/>
      <c r="V501" s="248"/>
      <c r="W501" s="248"/>
      <c r="X501" s="248"/>
      <c r="Y501" s="248"/>
      <c r="Z501" s="248"/>
      <c r="AA501" s="248"/>
      <c r="AB501" s="13">
        <f>SUMIFS(Table3[Hours Worked],Table3[Release Name],Table7[[#This Row],[Release Name]],Table3[Task Type],"Testcase Creation")</f>
        <v>0</v>
      </c>
      <c r="AC501" s="255">
        <f>SUMIFS(Table3[Hours Worked],Table3[Release Name],Table7[[#This Row],[Release Name]],Table3[Task Type],"Testcase Execution")</f>
        <v>0</v>
      </c>
      <c r="AD50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1" s="256" t="str">
        <f>IFERROR((Table7[[#This Row],[No. of Valid Internal Review Defects]]+Table7[[#This Row],[No. of Valid  Internal Testing Defects]]+Table7[[#This Row],[No. of  Valid External Review Defects]]+Table7[[#This Row],[No. of Valid External Testing Defects]])/Table7[[#This Row],[Size]],"")</f>
        <v/>
      </c>
      <c r="AF501" s="257" t="str">
        <f>IFERROR(Table7[[#This Row],[No. of Valid Internal Review Defects]]/(Table7[[#This Row],[No. of Valid Internal Review Defects]]+Table7[[#This Row],[No. of  Valid External Review Defects]]+Table7[[#This Row],[No. of Valid  Internal Testing Defects]]+Table7[[#This Row],[No. of Valid External Testing Defects]]),"")</f>
        <v/>
      </c>
      <c r="AG501" s="258" t="str">
        <f>IFERROR(Table7[[#This Row],[No. of Valid Internal Review Defects]]/(Table7[[#This Row],[No. of Valid Internal Review Defects]]+Table7[[#This Row],[No. of  Valid External Review Defects]]+Table7[[#This Row],[No. of Valid External Testing Defects]]),"")</f>
        <v/>
      </c>
      <c r="AH501" s="256" t="str">
        <f>IFERROR(Table7[[#This Row],[No. of Valid  Internal Testing Defects]]/Table7[[#This Row],[Overall Actual Effort for the release]],"")</f>
        <v/>
      </c>
      <c r="AI501" s="256" t="str">
        <f>IFERROR(Table7[[#This Row],[No. of Valid  Internal Testing Defects]]/Table7[[#This Row],[No. of Testcases Executed]],"")</f>
        <v/>
      </c>
      <c r="AJ501" s="259" t="str">
        <f>IFERROR(IFERROR(Table7[[#This Row],[No. of Testcases Created]]/Table7[[#This Row],[Effort for Testcase Creation]],"")*9,"")</f>
        <v/>
      </c>
      <c r="AK501" s="256" t="str">
        <f>IFERROR((Table7[[#This Row],[No. of Testcases Executed]]/Table7[[#This Row],[Effort for Testcase Execution]])*9,"")</f>
        <v/>
      </c>
      <c r="AL50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1" s="259" t="str">
        <f>IFERROR(Table7[[#This Row],[No. of Defects Validated]]/SUMIFS(Table3[Hours Worked],Table3[Release Name],Table7[[#This Row],[Release Name]],Table3[Task Type],"Defect Validation")*9,"")</f>
        <v/>
      </c>
      <c r="AN501" s="258" t="str">
        <f>IFERROR((Table7[[#This Row],[No. of Valid  Internal Testing Defects]])/(Table7[[#This Row],[No. of Valid  Internal Testing Defects]]+Table7[[#This Row],[No. of Invalid Internal Testing Defects]]),"")</f>
        <v/>
      </c>
      <c r="AO501" s="258" t="str">
        <f>IFERROR(Table7[[#This Row],[No. of Valid External Testing Defects]]/(Table7[[#This Row],[No. of Valid External Testing Defects]]+Table7[[#This Row],[No. of Valid  Internal Testing Defects]]),"")</f>
        <v/>
      </c>
    </row>
    <row r="502" spans="2:41">
      <c r="B502" s="237"/>
      <c r="C502" s="14"/>
      <c r="D502" s="14"/>
      <c r="E502" s="14"/>
      <c r="F502" s="230" t="str">
        <f>IFERROR((Table47[[#This Row],[Initial No. of Requirements]]+Table47[[#This Row],[Modified Requirements( Added / Deleted /Modified)]])/Table47[[#This Row],[Initial No. of Requirements]],"")</f>
        <v/>
      </c>
      <c r="G50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2" s="249"/>
      <c r="J502" s="249"/>
      <c r="K502" s="250"/>
      <c r="L502" s="250"/>
      <c r="M502" s="250"/>
      <c r="N502" s="248">
        <f>SUMIFS(Table1[Size],Table1[Release Name],[2]!Table7[Release Name])</f>
        <v>0</v>
      </c>
      <c r="O502" s="248"/>
      <c r="P50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2" s="248"/>
      <c r="R50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2" s="248"/>
      <c r="T502" s="248"/>
      <c r="U502" s="248"/>
      <c r="V502" s="248"/>
      <c r="W502" s="248"/>
      <c r="X502" s="248"/>
      <c r="Y502" s="248"/>
      <c r="Z502" s="248"/>
      <c r="AA502" s="248"/>
      <c r="AB502" s="13">
        <f>SUMIFS(Table3[Hours Worked],Table3[Release Name],Table7[[#This Row],[Release Name]],Table3[Task Type],"Testcase Creation")</f>
        <v>0</v>
      </c>
      <c r="AC502" s="255">
        <f>SUMIFS(Table3[Hours Worked],Table3[Release Name],Table7[[#This Row],[Release Name]],Table3[Task Type],"Testcase Execution")</f>
        <v>0</v>
      </c>
      <c r="AD50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2" s="256" t="str">
        <f>IFERROR((Table7[[#This Row],[No. of Valid Internal Review Defects]]+Table7[[#This Row],[No. of Valid  Internal Testing Defects]]+Table7[[#This Row],[No. of  Valid External Review Defects]]+Table7[[#This Row],[No. of Valid External Testing Defects]])/Table7[[#This Row],[Size]],"")</f>
        <v/>
      </c>
      <c r="AF502" s="257" t="str">
        <f>IFERROR(Table7[[#This Row],[No. of Valid Internal Review Defects]]/(Table7[[#This Row],[No. of Valid Internal Review Defects]]+Table7[[#This Row],[No. of  Valid External Review Defects]]+Table7[[#This Row],[No. of Valid  Internal Testing Defects]]+Table7[[#This Row],[No. of Valid External Testing Defects]]),"")</f>
        <v/>
      </c>
      <c r="AG502" s="258" t="str">
        <f>IFERROR(Table7[[#This Row],[No. of Valid Internal Review Defects]]/(Table7[[#This Row],[No. of Valid Internal Review Defects]]+Table7[[#This Row],[No. of  Valid External Review Defects]]+Table7[[#This Row],[No. of Valid External Testing Defects]]),"")</f>
        <v/>
      </c>
      <c r="AH502" s="256" t="str">
        <f>IFERROR(Table7[[#This Row],[No. of Valid  Internal Testing Defects]]/Table7[[#This Row],[Overall Actual Effort for the release]],"")</f>
        <v/>
      </c>
      <c r="AI502" s="256" t="str">
        <f>IFERROR(Table7[[#This Row],[No. of Valid  Internal Testing Defects]]/Table7[[#This Row],[No. of Testcases Executed]],"")</f>
        <v/>
      </c>
      <c r="AJ502" s="259" t="str">
        <f>IFERROR(IFERROR(Table7[[#This Row],[No. of Testcases Created]]/Table7[[#This Row],[Effort for Testcase Creation]],"")*9,"")</f>
        <v/>
      </c>
      <c r="AK502" s="256" t="str">
        <f>IFERROR((Table7[[#This Row],[No. of Testcases Executed]]/Table7[[#This Row],[Effort for Testcase Execution]])*9,"")</f>
        <v/>
      </c>
      <c r="AL50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2" s="259" t="str">
        <f>IFERROR(Table7[[#This Row],[No. of Defects Validated]]/SUMIFS(Table3[Hours Worked],Table3[Release Name],Table7[[#This Row],[Release Name]],Table3[Task Type],"Defect Validation")*9,"")</f>
        <v/>
      </c>
      <c r="AN502" s="258" t="str">
        <f>IFERROR((Table7[[#This Row],[No. of Valid  Internal Testing Defects]])/(Table7[[#This Row],[No. of Valid  Internal Testing Defects]]+Table7[[#This Row],[No. of Invalid Internal Testing Defects]]),"")</f>
        <v/>
      </c>
      <c r="AO502" s="258" t="str">
        <f>IFERROR(Table7[[#This Row],[No. of Valid External Testing Defects]]/(Table7[[#This Row],[No. of Valid External Testing Defects]]+Table7[[#This Row],[No. of Valid  Internal Testing Defects]]),"")</f>
        <v/>
      </c>
    </row>
    <row r="503" spans="2:41">
      <c r="B503" s="237"/>
      <c r="C503" s="14"/>
      <c r="D503" s="14"/>
      <c r="E503" s="14"/>
      <c r="F503" s="230" t="str">
        <f>IFERROR((Table47[[#This Row],[Initial No. of Requirements]]+Table47[[#This Row],[Modified Requirements( Added / Deleted /Modified)]])/Table47[[#This Row],[Initial No. of Requirements]],"")</f>
        <v/>
      </c>
      <c r="G50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3" s="249"/>
      <c r="J503" s="249"/>
      <c r="K503" s="250"/>
      <c r="L503" s="250"/>
      <c r="M503" s="250"/>
      <c r="N503" s="248">
        <f>SUMIFS(Table1[Size],Table1[Release Name],[2]!Table7[Release Name])</f>
        <v>0</v>
      </c>
      <c r="O503" s="248"/>
      <c r="P50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3" s="248"/>
      <c r="R50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3" s="248"/>
      <c r="T503" s="248"/>
      <c r="U503" s="248"/>
      <c r="V503" s="248"/>
      <c r="W503" s="248"/>
      <c r="X503" s="248"/>
      <c r="Y503" s="248"/>
      <c r="Z503" s="248"/>
      <c r="AA503" s="248"/>
      <c r="AB503" s="13">
        <f>SUMIFS(Table3[Hours Worked],Table3[Release Name],Table7[[#This Row],[Release Name]],Table3[Task Type],"Testcase Creation")</f>
        <v>0</v>
      </c>
      <c r="AC503" s="255">
        <f>SUMIFS(Table3[Hours Worked],Table3[Release Name],Table7[[#This Row],[Release Name]],Table3[Task Type],"Testcase Execution")</f>
        <v>0</v>
      </c>
      <c r="AD50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3" s="256" t="str">
        <f>IFERROR((Table7[[#This Row],[No. of Valid Internal Review Defects]]+Table7[[#This Row],[No. of Valid  Internal Testing Defects]]+Table7[[#This Row],[No. of  Valid External Review Defects]]+Table7[[#This Row],[No. of Valid External Testing Defects]])/Table7[[#This Row],[Size]],"")</f>
        <v/>
      </c>
      <c r="AF503" s="257" t="str">
        <f>IFERROR(Table7[[#This Row],[No. of Valid Internal Review Defects]]/(Table7[[#This Row],[No. of Valid Internal Review Defects]]+Table7[[#This Row],[No. of  Valid External Review Defects]]+Table7[[#This Row],[No. of Valid  Internal Testing Defects]]+Table7[[#This Row],[No. of Valid External Testing Defects]]),"")</f>
        <v/>
      </c>
      <c r="AG503" s="258" t="str">
        <f>IFERROR(Table7[[#This Row],[No. of Valid Internal Review Defects]]/(Table7[[#This Row],[No. of Valid Internal Review Defects]]+Table7[[#This Row],[No. of  Valid External Review Defects]]+Table7[[#This Row],[No. of Valid External Testing Defects]]),"")</f>
        <v/>
      </c>
      <c r="AH503" s="256" t="str">
        <f>IFERROR(Table7[[#This Row],[No. of Valid  Internal Testing Defects]]/Table7[[#This Row],[Overall Actual Effort for the release]],"")</f>
        <v/>
      </c>
      <c r="AI503" s="256" t="str">
        <f>IFERROR(Table7[[#This Row],[No. of Valid  Internal Testing Defects]]/Table7[[#This Row],[No. of Testcases Executed]],"")</f>
        <v/>
      </c>
      <c r="AJ503" s="259" t="str">
        <f>IFERROR(IFERROR(Table7[[#This Row],[No. of Testcases Created]]/Table7[[#This Row],[Effort for Testcase Creation]],"")*9,"")</f>
        <v/>
      </c>
      <c r="AK503" s="256" t="str">
        <f>IFERROR((Table7[[#This Row],[No. of Testcases Executed]]/Table7[[#This Row],[Effort for Testcase Execution]])*9,"")</f>
        <v/>
      </c>
      <c r="AL50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3" s="259" t="str">
        <f>IFERROR(Table7[[#This Row],[No. of Defects Validated]]/SUMIFS(Table3[Hours Worked],Table3[Release Name],Table7[[#This Row],[Release Name]],Table3[Task Type],"Defect Validation")*9,"")</f>
        <v/>
      </c>
      <c r="AN503" s="258" t="str">
        <f>IFERROR((Table7[[#This Row],[No. of Valid  Internal Testing Defects]])/(Table7[[#This Row],[No. of Valid  Internal Testing Defects]]+Table7[[#This Row],[No. of Invalid Internal Testing Defects]]),"")</f>
        <v/>
      </c>
      <c r="AO503" s="258" t="str">
        <f>IFERROR(Table7[[#This Row],[No. of Valid External Testing Defects]]/(Table7[[#This Row],[No. of Valid External Testing Defects]]+Table7[[#This Row],[No. of Valid  Internal Testing Defects]]),"")</f>
        <v/>
      </c>
    </row>
    <row r="504" spans="2:41">
      <c r="B504" s="237"/>
      <c r="C504" s="14"/>
      <c r="D504" s="14"/>
      <c r="E504" s="14"/>
      <c r="F504" s="230" t="str">
        <f>IFERROR((Table47[[#This Row],[Initial No. of Requirements]]+Table47[[#This Row],[Modified Requirements( Added / Deleted /Modified)]])/Table47[[#This Row],[Initial No. of Requirements]],"")</f>
        <v/>
      </c>
      <c r="G50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4" s="249"/>
      <c r="J504" s="249"/>
      <c r="K504" s="250"/>
      <c r="L504" s="250"/>
      <c r="M504" s="250"/>
      <c r="N504" s="248">
        <f>SUMIFS(Table1[Size],Table1[Release Name],[2]!Table7[Release Name])</f>
        <v>0</v>
      </c>
      <c r="O504" s="248"/>
      <c r="P50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4" s="248"/>
      <c r="R50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4" s="248"/>
      <c r="T504" s="248"/>
      <c r="U504" s="248"/>
      <c r="V504" s="248"/>
      <c r="W504" s="248"/>
      <c r="X504" s="248"/>
      <c r="Y504" s="248"/>
      <c r="Z504" s="248"/>
      <c r="AA504" s="248"/>
      <c r="AB504" s="13">
        <f>SUMIFS(Table3[Hours Worked],Table3[Release Name],Table7[[#This Row],[Release Name]],Table3[Task Type],"Testcase Creation")</f>
        <v>0</v>
      </c>
      <c r="AC504" s="255">
        <f>SUMIFS(Table3[Hours Worked],Table3[Release Name],Table7[[#This Row],[Release Name]],Table3[Task Type],"Testcase Execution")</f>
        <v>0</v>
      </c>
      <c r="AD50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4" s="256" t="str">
        <f>IFERROR((Table7[[#This Row],[No. of Valid Internal Review Defects]]+Table7[[#This Row],[No. of Valid  Internal Testing Defects]]+Table7[[#This Row],[No. of  Valid External Review Defects]]+Table7[[#This Row],[No. of Valid External Testing Defects]])/Table7[[#This Row],[Size]],"")</f>
        <v/>
      </c>
      <c r="AF504" s="257" t="str">
        <f>IFERROR(Table7[[#This Row],[No. of Valid Internal Review Defects]]/(Table7[[#This Row],[No. of Valid Internal Review Defects]]+Table7[[#This Row],[No. of  Valid External Review Defects]]+Table7[[#This Row],[No. of Valid  Internal Testing Defects]]+Table7[[#This Row],[No. of Valid External Testing Defects]]),"")</f>
        <v/>
      </c>
      <c r="AG504" s="258" t="str">
        <f>IFERROR(Table7[[#This Row],[No. of Valid Internal Review Defects]]/(Table7[[#This Row],[No. of Valid Internal Review Defects]]+Table7[[#This Row],[No. of  Valid External Review Defects]]+Table7[[#This Row],[No. of Valid External Testing Defects]]),"")</f>
        <v/>
      </c>
      <c r="AH504" s="256" t="str">
        <f>IFERROR(Table7[[#This Row],[No. of Valid  Internal Testing Defects]]/Table7[[#This Row],[Overall Actual Effort for the release]],"")</f>
        <v/>
      </c>
      <c r="AI504" s="256" t="str">
        <f>IFERROR(Table7[[#This Row],[No. of Valid  Internal Testing Defects]]/Table7[[#This Row],[No. of Testcases Executed]],"")</f>
        <v/>
      </c>
      <c r="AJ504" s="259" t="str">
        <f>IFERROR(IFERROR(Table7[[#This Row],[No. of Testcases Created]]/Table7[[#This Row],[Effort for Testcase Creation]],"")*9,"")</f>
        <v/>
      </c>
      <c r="AK504" s="256" t="str">
        <f>IFERROR((Table7[[#This Row],[No. of Testcases Executed]]/Table7[[#This Row],[Effort for Testcase Execution]])*9,"")</f>
        <v/>
      </c>
      <c r="AL50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4" s="259" t="str">
        <f>IFERROR(Table7[[#This Row],[No. of Defects Validated]]/SUMIFS(Table3[Hours Worked],Table3[Release Name],Table7[[#This Row],[Release Name]],Table3[Task Type],"Defect Validation")*9,"")</f>
        <v/>
      </c>
      <c r="AN504" s="258" t="str">
        <f>IFERROR((Table7[[#This Row],[No. of Valid  Internal Testing Defects]])/(Table7[[#This Row],[No. of Valid  Internal Testing Defects]]+Table7[[#This Row],[No. of Invalid Internal Testing Defects]]),"")</f>
        <v/>
      </c>
      <c r="AO504" s="258" t="str">
        <f>IFERROR(Table7[[#This Row],[No. of Valid External Testing Defects]]/(Table7[[#This Row],[No. of Valid External Testing Defects]]+Table7[[#This Row],[No. of Valid  Internal Testing Defects]]),"")</f>
        <v/>
      </c>
    </row>
    <row r="505" spans="2:41">
      <c r="B505" s="237"/>
      <c r="C505" s="14"/>
      <c r="D505" s="14"/>
      <c r="E505" s="14"/>
      <c r="F505" s="230" t="str">
        <f>IFERROR((Table47[[#This Row],[Initial No. of Requirements]]+Table47[[#This Row],[Modified Requirements( Added / Deleted /Modified)]])/Table47[[#This Row],[Initial No. of Requirements]],"")</f>
        <v/>
      </c>
      <c r="G50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5" s="249"/>
      <c r="J505" s="249"/>
      <c r="K505" s="250"/>
      <c r="L505" s="250"/>
      <c r="M505" s="250"/>
      <c r="N505" s="248">
        <f>SUMIFS(Table1[Size],Table1[Release Name],[2]!Table7[Release Name])</f>
        <v>0</v>
      </c>
      <c r="O505" s="248"/>
      <c r="P50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5" s="248"/>
      <c r="R50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5" s="248"/>
      <c r="T505" s="248"/>
      <c r="U505" s="248"/>
      <c r="V505" s="248"/>
      <c r="W505" s="248"/>
      <c r="X505" s="248"/>
      <c r="Y505" s="248"/>
      <c r="Z505" s="248"/>
      <c r="AA505" s="248"/>
      <c r="AB505" s="13">
        <f>SUMIFS(Table3[Hours Worked],Table3[Release Name],Table7[[#This Row],[Release Name]],Table3[Task Type],"Testcase Creation")</f>
        <v>0</v>
      </c>
      <c r="AC505" s="255">
        <f>SUMIFS(Table3[Hours Worked],Table3[Release Name],Table7[[#This Row],[Release Name]],Table3[Task Type],"Testcase Execution")</f>
        <v>0</v>
      </c>
      <c r="AD50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5" s="256" t="str">
        <f>IFERROR((Table7[[#This Row],[No. of Valid Internal Review Defects]]+Table7[[#This Row],[No. of Valid  Internal Testing Defects]]+Table7[[#This Row],[No. of  Valid External Review Defects]]+Table7[[#This Row],[No. of Valid External Testing Defects]])/Table7[[#This Row],[Size]],"")</f>
        <v/>
      </c>
      <c r="AF505" s="257" t="str">
        <f>IFERROR(Table7[[#This Row],[No. of Valid Internal Review Defects]]/(Table7[[#This Row],[No. of Valid Internal Review Defects]]+Table7[[#This Row],[No. of  Valid External Review Defects]]+Table7[[#This Row],[No. of Valid  Internal Testing Defects]]+Table7[[#This Row],[No. of Valid External Testing Defects]]),"")</f>
        <v/>
      </c>
      <c r="AG505" s="258" t="str">
        <f>IFERROR(Table7[[#This Row],[No. of Valid Internal Review Defects]]/(Table7[[#This Row],[No. of Valid Internal Review Defects]]+Table7[[#This Row],[No. of  Valid External Review Defects]]+Table7[[#This Row],[No. of Valid External Testing Defects]]),"")</f>
        <v/>
      </c>
      <c r="AH505" s="256" t="str">
        <f>IFERROR(Table7[[#This Row],[No. of Valid  Internal Testing Defects]]/Table7[[#This Row],[Overall Actual Effort for the release]],"")</f>
        <v/>
      </c>
      <c r="AI505" s="256" t="str">
        <f>IFERROR(Table7[[#This Row],[No. of Valid  Internal Testing Defects]]/Table7[[#This Row],[No. of Testcases Executed]],"")</f>
        <v/>
      </c>
      <c r="AJ505" s="259" t="str">
        <f>IFERROR(IFERROR(Table7[[#This Row],[No. of Testcases Created]]/Table7[[#This Row],[Effort for Testcase Creation]],"")*9,"")</f>
        <v/>
      </c>
      <c r="AK505" s="256" t="str">
        <f>IFERROR((Table7[[#This Row],[No. of Testcases Executed]]/Table7[[#This Row],[Effort for Testcase Execution]])*9,"")</f>
        <v/>
      </c>
      <c r="AL50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5" s="259" t="str">
        <f>IFERROR(Table7[[#This Row],[No. of Defects Validated]]/SUMIFS(Table3[Hours Worked],Table3[Release Name],Table7[[#This Row],[Release Name]],Table3[Task Type],"Defect Validation")*9,"")</f>
        <v/>
      </c>
      <c r="AN505" s="258" t="str">
        <f>IFERROR((Table7[[#This Row],[No. of Valid  Internal Testing Defects]])/(Table7[[#This Row],[No. of Valid  Internal Testing Defects]]+Table7[[#This Row],[No. of Invalid Internal Testing Defects]]),"")</f>
        <v/>
      </c>
      <c r="AO505" s="258" t="str">
        <f>IFERROR(Table7[[#This Row],[No. of Valid External Testing Defects]]/(Table7[[#This Row],[No. of Valid External Testing Defects]]+Table7[[#This Row],[No. of Valid  Internal Testing Defects]]),"")</f>
        <v/>
      </c>
    </row>
    <row r="506" spans="2:41">
      <c r="B506" s="237"/>
      <c r="C506" s="14"/>
      <c r="D506" s="14"/>
      <c r="E506" s="14"/>
      <c r="F506" s="230" t="str">
        <f>IFERROR((Table47[[#This Row],[Initial No. of Requirements]]+Table47[[#This Row],[Modified Requirements( Added / Deleted /Modified)]])/Table47[[#This Row],[Initial No. of Requirements]],"")</f>
        <v/>
      </c>
      <c r="G50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6" s="249"/>
      <c r="J506" s="249"/>
      <c r="K506" s="250"/>
      <c r="L506" s="250"/>
      <c r="M506" s="250"/>
      <c r="N506" s="248">
        <f>SUMIFS(Table1[Size],Table1[Release Name],[2]!Table7[Release Name])</f>
        <v>0</v>
      </c>
      <c r="O506" s="248"/>
      <c r="P50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6" s="248"/>
      <c r="R50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6" s="248"/>
      <c r="T506" s="248"/>
      <c r="U506" s="248"/>
      <c r="V506" s="248"/>
      <c r="W506" s="248"/>
      <c r="X506" s="248"/>
      <c r="Y506" s="248"/>
      <c r="Z506" s="248"/>
      <c r="AA506" s="248"/>
      <c r="AB506" s="13">
        <f>SUMIFS(Table3[Hours Worked],Table3[Release Name],Table7[[#This Row],[Release Name]],Table3[Task Type],"Testcase Creation")</f>
        <v>0</v>
      </c>
      <c r="AC506" s="255">
        <f>SUMIFS(Table3[Hours Worked],Table3[Release Name],Table7[[#This Row],[Release Name]],Table3[Task Type],"Testcase Execution")</f>
        <v>0</v>
      </c>
      <c r="AD50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6" s="256" t="str">
        <f>IFERROR((Table7[[#This Row],[No. of Valid Internal Review Defects]]+Table7[[#This Row],[No. of Valid  Internal Testing Defects]]+Table7[[#This Row],[No. of  Valid External Review Defects]]+Table7[[#This Row],[No. of Valid External Testing Defects]])/Table7[[#This Row],[Size]],"")</f>
        <v/>
      </c>
      <c r="AF506" s="257" t="str">
        <f>IFERROR(Table7[[#This Row],[No. of Valid Internal Review Defects]]/(Table7[[#This Row],[No. of Valid Internal Review Defects]]+Table7[[#This Row],[No. of  Valid External Review Defects]]+Table7[[#This Row],[No. of Valid  Internal Testing Defects]]+Table7[[#This Row],[No. of Valid External Testing Defects]]),"")</f>
        <v/>
      </c>
      <c r="AG506" s="258" t="str">
        <f>IFERROR(Table7[[#This Row],[No. of Valid Internal Review Defects]]/(Table7[[#This Row],[No. of Valid Internal Review Defects]]+Table7[[#This Row],[No. of  Valid External Review Defects]]+Table7[[#This Row],[No. of Valid External Testing Defects]]),"")</f>
        <v/>
      </c>
      <c r="AH506" s="256" t="str">
        <f>IFERROR(Table7[[#This Row],[No. of Valid  Internal Testing Defects]]/Table7[[#This Row],[Overall Actual Effort for the release]],"")</f>
        <v/>
      </c>
      <c r="AI506" s="256" t="str">
        <f>IFERROR(Table7[[#This Row],[No. of Valid  Internal Testing Defects]]/Table7[[#This Row],[No. of Testcases Executed]],"")</f>
        <v/>
      </c>
      <c r="AJ506" s="259" t="str">
        <f>IFERROR(IFERROR(Table7[[#This Row],[No. of Testcases Created]]/Table7[[#This Row],[Effort for Testcase Creation]],"")*9,"")</f>
        <v/>
      </c>
      <c r="AK506" s="256" t="str">
        <f>IFERROR((Table7[[#This Row],[No. of Testcases Executed]]/Table7[[#This Row],[Effort for Testcase Execution]])*9,"")</f>
        <v/>
      </c>
      <c r="AL50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6" s="259" t="str">
        <f>IFERROR(Table7[[#This Row],[No. of Defects Validated]]/SUMIFS(Table3[Hours Worked],Table3[Release Name],Table7[[#This Row],[Release Name]],Table3[Task Type],"Defect Validation")*9,"")</f>
        <v/>
      </c>
      <c r="AN506" s="258" t="str">
        <f>IFERROR((Table7[[#This Row],[No. of Valid  Internal Testing Defects]])/(Table7[[#This Row],[No. of Valid  Internal Testing Defects]]+Table7[[#This Row],[No. of Invalid Internal Testing Defects]]),"")</f>
        <v/>
      </c>
      <c r="AO506" s="258" t="str">
        <f>IFERROR(Table7[[#This Row],[No. of Valid External Testing Defects]]/(Table7[[#This Row],[No. of Valid External Testing Defects]]+Table7[[#This Row],[No. of Valid  Internal Testing Defects]]),"")</f>
        <v/>
      </c>
    </row>
    <row r="507" spans="2:41">
      <c r="B507" s="237"/>
      <c r="C507" s="14"/>
      <c r="D507" s="14"/>
      <c r="E507" s="14"/>
      <c r="F507" s="230" t="str">
        <f>IFERROR((Table47[[#This Row],[Initial No. of Requirements]]+Table47[[#This Row],[Modified Requirements( Added / Deleted /Modified)]])/Table47[[#This Row],[Initial No. of Requirements]],"")</f>
        <v/>
      </c>
      <c r="G50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7" s="249"/>
      <c r="J507" s="249"/>
      <c r="K507" s="250"/>
      <c r="L507" s="250"/>
      <c r="M507" s="250"/>
      <c r="N507" s="248">
        <f>SUMIFS(Table1[Size],Table1[Release Name],[2]!Table7[Release Name])</f>
        <v>0</v>
      </c>
      <c r="O507" s="248"/>
      <c r="P50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7" s="248"/>
      <c r="R50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7" s="248"/>
      <c r="T507" s="248"/>
      <c r="U507" s="248"/>
      <c r="V507" s="248"/>
      <c r="W507" s="248"/>
      <c r="X507" s="248"/>
      <c r="Y507" s="248"/>
      <c r="Z507" s="248"/>
      <c r="AA507" s="248"/>
      <c r="AB507" s="13">
        <f>SUMIFS(Table3[Hours Worked],Table3[Release Name],Table7[[#This Row],[Release Name]],Table3[Task Type],"Testcase Creation")</f>
        <v>0</v>
      </c>
      <c r="AC507" s="255">
        <f>SUMIFS(Table3[Hours Worked],Table3[Release Name],Table7[[#This Row],[Release Name]],Table3[Task Type],"Testcase Execution")</f>
        <v>0</v>
      </c>
      <c r="AD50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7" s="256" t="str">
        <f>IFERROR((Table7[[#This Row],[No. of Valid Internal Review Defects]]+Table7[[#This Row],[No. of Valid  Internal Testing Defects]]+Table7[[#This Row],[No. of  Valid External Review Defects]]+Table7[[#This Row],[No. of Valid External Testing Defects]])/Table7[[#This Row],[Size]],"")</f>
        <v/>
      </c>
      <c r="AF507" s="257" t="str">
        <f>IFERROR(Table7[[#This Row],[No. of Valid Internal Review Defects]]/(Table7[[#This Row],[No. of Valid Internal Review Defects]]+Table7[[#This Row],[No. of  Valid External Review Defects]]+Table7[[#This Row],[No. of Valid  Internal Testing Defects]]+Table7[[#This Row],[No. of Valid External Testing Defects]]),"")</f>
        <v/>
      </c>
      <c r="AG507" s="258" t="str">
        <f>IFERROR(Table7[[#This Row],[No. of Valid Internal Review Defects]]/(Table7[[#This Row],[No. of Valid Internal Review Defects]]+Table7[[#This Row],[No. of  Valid External Review Defects]]+Table7[[#This Row],[No. of Valid External Testing Defects]]),"")</f>
        <v/>
      </c>
      <c r="AH507" s="256" t="str">
        <f>IFERROR(Table7[[#This Row],[No. of Valid  Internal Testing Defects]]/Table7[[#This Row],[Overall Actual Effort for the release]],"")</f>
        <v/>
      </c>
      <c r="AI507" s="256" t="str">
        <f>IFERROR(Table7[[#This Row],[No. of Valid  Internal Testing Defects]]/Table7[[#This Row],[No. of Testcases Executed]],"")</f>
        <v/>
      </c>
      <c r="AJ507" s="259" t="str">
        <f>IFERROR(IFERROR(Table7[[#This Row],[No. of Testcases Created]]/Table7[[#This Row],[Effort for Testcase Creation]],"")*9,"")</f>
        <v/>
      </c>
      <c r="AK507" s="256" t="str">
        <f>IFERROR((Table7[[#This Row],[No. of Testcases Executed]]/Table7[[#This Row],[Effort for Testcase Execution]])*9,"")</f>
        <v/>
      </c>
      <c r="AL50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7" s="259" t="str">
        <f>IFERROR(Table7[[#This Row],[No. of Defects Validated]]/SUMIFS(Table3[Hours Worked],Table3[Release Name],Table7[[#This Row],[Release Name]],Table3[Task Type],"Defect Validation")*9,"")</f>
        <v/>
      </c>
      <c r="AN507" s="258" t="str">
        <f>IFERROR((Table7[[#This Row],[No. of Valid  Internal Testing Defects]])/(Table7[[#This Row],[No. of Valid  Internal Testing Defects]]+Table7[[#This Row],[No. of Invalid Internal Testing Defects]]),"")</f>
        <v/>
      </c>
      <c r="AO507" s="258" t="str">
        <f>IFERROR(Table7[[#This Row],[No. of Valid External Testing Defects]]/(Table7[[#This Row],[No. of Valid External Testing Defects]]+Table7[[#This Row],[No. of Valid  Internal Testing Defects]]),"")</f>
        <v/>
      </c>
    </row>
    <row r="508" spans="2:41">
      <c r="B508" s="237"/>
      <c r="C508" s="14"/>
      <c r="D508" s="14"/>
      <c r="E508" s="14"/>
      <c r="F508" s="230" t="str">
        <f>IFERROR((Table47[[#This Row],[Initial No. of Requirements]]+Table47[[#This Row],[Modified Requirements( Added / Deleted /Modified)]])/Table47[[#This Row],[Initial No. of Requirements]],"")</f>
        <v/>
      </c>
      <c r="G50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8" s="249"/>
      <c r="J508" s="249"/>
      <c r="K508" s="250"/>
      <c r="L508" s="250"/>
      <c r="M508" s="250"/>
      <c r="N508" s="248">
        <f>SUMIFS(Table1[Size],Table1[Release Name],[2]!Table7[Release Name])</f>
        <v>0</v>
      </c>
      <c r="O508" s="248"/>
      <c r="P50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8" s="248"/>
      <c r="R50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8" s="248"/>
      <c r="T508" s="248"/>
      <c r="U508" s="248"/>
      <c r="V508" s="248"/>
      <c r="W508" s="248"/>
      <c r="X508" s="248"/>
      <c r="Y508" s="248"/>
      <c r="Z508" s="248"/>
      <c r="AA508" s="248"/>
      <c r="AB508" s="13">
        <f>SUMIFS(Table3[Hours Worked],Table3[Release Name],Table7[[#This Row],[Release Name]],Table3[Task Type],"Testcase Creation")</f>
        <v>0</v>
      </c>
      <c r="AC508" s="255">
        <f>SUMIFS(Table3[Hours Worked],Table3[Release Name],Table7[[#This Row],[Release Name]],Table3[Task Type],"Testcase Execution")</f>
        <v>0</v>
      </c>
      <c r="AD50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8" s="256" t="str">
        <f>IFERROR((Table7[[#This Row],[No. of Valid Internal Review Defects]]+Table7[[#This Row],[No. of Valid  Internal Testing Defects]]+Table7[[#This Row],[No. of  Valid External Review Defects]]+Table7[[#This Row],[No. of Valid External Testing Defects]])/Table7[[#This Row],[Size]],"")</f>
        <v/>
      </c>
      <c r="AF508" s="257" t="str">
        <f>IFERROR(Table7[[#This Row],[No. of Valid Internal Review Defects]]/(Table7[[#This Row],[No. of Valid Internal Review Defects]]+Table7[[#This Row],[No. of  Valid External Review Defects]]+Table7[[#This Row],[No. of Valid  Internal Testing Defects]]+Table7[[#This Row],[No. of Valid External Testing Defects]]),"")</f>
        <v/>
      </c>
      <c r="AG508" s="258" t="str">
        <f>IFERROR(Table7[[#This Row],[No. of Valid Internal Review Defects]]/(Table7[[#This Row],[No. of Valid Internal Review Defects]]+Table7[[#This Row],[No. of  Valid External Review Defects]]+Table7[[#This Row],[No. of Valid External Testing Defects]]),"")</f>
        <v/>
      </c>
      <c r="AH508" s="256" t="str">
        <f>IFERROR(Table7[[#This Row],[No. of Valid  Internal Testing Defects]]/Table7[[#This Row],[Overall Actual Effort for the release]],"")</f>
        <v/>
      </c>
      <c r="AI508" s="256" t="str">
        <f>IFERROR(Table7[[#This Row],[No. of Valid  Internal Testing Defects]]/Table7[[#This Row],[No. of Testcases Executed]],"")</f>
        <v/>
      </c>
      <c r="AJ508" s="259" t="str">
        <f>IFERROR(IFERROR(Table7[[#This Row],[No. of Testcases Created]]/Table7[[#This Row],[Effort for Testcase Creation]],"")*9,"")</f>
        <v/>
      </c>
      <c r="AK508" s="256" t="str">
        <f>IFERROR((Table7[[#This Row],[No. of Testcases Executed]]/Table7[[#This Row],[Effort for Testcase Execution]])*9,"")</f>
        <v/>
      </c>
      <c r="AL50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8" s="259" t="str">
        <f>IFERROR(Table7[[#This Row],[No. of Defects Validated]]/SUMIFS(Table3[Hours Worked],Table3[Release Name],Table7[[#This Row],[Release Name]],Table3[Task Type],"Defect Validation")*9,"")</f>
        <v/>
      </c>
      <c r="AN508" s="258" t="str">
        <f>IFERROR((Table7[[#This Row],[No. of Valid  Internal Testing Defects]])/(Table7[[#This Row],[No. of Valid  Internal Testing Defects]]+Table7[[#This Row],[No. of Invalid Internal Testing Defects]]),"")</f>
        <v/>
      </c>
      <c r="AO508" s="258" t="str">
        <f>IFERROR(Table7[[#This Row],[No. of Valid External Testing Defects]]/(Table7[[#This Row],[No. of Valid External Testing Defects]]+Table7[[#This Row],[No. of Valid  Internal Testing Defects]]),"")</f>
        <v/>
      </c>
    </row>
    <row r="509" spans="2:41">
      <c r="B509" s="237"/>
      <c r="C509" s="14"/>
      <c r="D509" s="14"/>
      <c r="E509" s="14"/>
      <c r="F509" s="230" t="str">
        <f>IFERROR((Table47[[#This Row],[Initial No. of Requirements]]+Table47[[#This Row],[Modified Requirements( Added / Deleted /Modified)]])/Table47[[#This Row],[Initial No. of Requirements]],"")</f>
        <v/>
      </c>
      <c r="G50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09" s="249"/>
      <c r="J509" s="249"/>
      <c r="K509" s="250"/>
      <c r="L509" s="250"/>
      <c r="M509" s="250"/>
      <c r="N509" s="248">
        <f>SUMIFS(Table1[Size],Table1[Release Name],[2]!Table7[Release Name])</f>
        <v>0</v>
      </c>
      <c r="O509" s="248"/>
      <c r="P50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09" s="248"/>
      <c r="R50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09" s="248"/>
      <c r="T509" s="248"/>
      <c r="U509" s="248"/>
      <c r="V509" s="248"/>
      <c r="W509" s="248"/>
      <c r="X509" s="248"/>
      <c r="Y509" s="248"/>
      <c r="Z509" s="248"/>
      <c r="AA509" s="248"/>
      <c r="AB509" s="13">
        <f>SUMIFS(Table3[Hours Worked],Table3[Release Name],Table7[[#This Row],[Release Name]],Table3[Task Type],"Testcase Creation")</f>
        <v>0</v>
      </c>
      <c r="AC509" s="255">
        <f>SUMIFS(Table3[Hours Worked],Table3[Release Name],Table7[[#This Row],[Release Name]],Table3[Task Type],"Testcase Execution")</f>
        <v>0</v>
      </c>
      <c r="AD50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09" s="256" t="str">
        <f>IFERROR((Table7[[#This Row],[No. of Valid Internal Review Defects]]+Table7[[#This Row],[No. of Valid  Internal Testing Defects]]+Table7[[#This Row],[No. of  Valid External Review Defects]]+Table7[[#This Row],[No. of Valid External Testing Defects]])/Table7[[#This Row],[Size]],"")</f>
        <v/>
      </c>
      <c r="AF509" s="257" t="str">
        <f>IFERROR(Table7[[#This Row],[No. of Valid Internal Review Defects]]/(Table7[[#This Row],[No. of Valid Internal Review Defects]]+Table7[[#This Row],[No. of  Valid External Review Defects]]+Table7[[#This Row],[No. of Valid  Internal Testing Defects]]+Table7[[#This Row],[No. of Valid External Testing Defects]]),"")</f>
        <v/>
      </c>
      <c r="AG509" s="258" t="str">
        <f>IFERROR(Table7[[#This Row],[No. of Valid Internal Review Defects]]/(Table7[[#This Row],[No. of Valid Internal Review Defects]]+Table7[[#This Row],[No. of  Valid External Review Defects]]+Table7[[#This Row],[No. of Valid External Testing Defects]]),"")</f>
        <v/>
      </c>
      <c r="AH509" s="256" t="str">
        <f>IFERROR(Table7[[#This Row],[No. of Valid  Internal Testing Defects]]/Table7[[#This Row],[Overall Actual Effort for the release]],"")</f>
        <v/>
      </c>
      <c r="AI509" s="256" t="str">
        <f>IFERROR(Table7[[#This Row],[No. of Valid  Internal Testing Defects]]/Table7[[#This Row],[No. of Testcases Executed]],"")</f>
        <v/>
      </c>
      <c r="AJ509" s="259" t="str">
        <f>IFERROR(IFERROR(Table7[[#This Row],[No. of Testcases Created]]/Table7[[#This Row],[Effort for Testcase Creation]],"")*9,"")</f>
        <v/>
      </c>
      <c r="AK509" s="256" t="str">
        <f>IFERROR((Table7[[#This Row],[No. of Testcases Executed]]/Table7[[#This Row],[Effort for Testcase Execution]])*9,"")</f>
        <v/>
      </c>
      <c r="AL50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09" s="259" t="str">
        <f>IFERROR(Table7[[#This Row],[No. of Defects Validated]]/SUMIFS(Table3[Hours Worked],Table3[Release Name],Table7[[#This Row],[Release Name]],Table3[Task Type],"Defect Validation")*9,"")</f>
        <v/>
      </c>
      <c r="AN509" s="258" t="str">
        <f>IFERROR((Table7[[#This Row],[No. of Valid  Internal Testing Defects]])/(Table7[[#This Row],[No. of Valid  Internal Testing Defects]]+Table7[[#This Row],[No. of Invalid Internal Testing Defects]]),"")</f>
        <v/>
      </c>
      <c r="AO509" s="258" t="str">
        <f>IFERROR(Table7[[#This Row],[No. of Valid External Testing Defects]]/(Table7[[#This Row],[No. of Valid External Testing Defects]]+Table7[[#This Row],[No. of Valid  Internal Testing Defects]]),"")</f>
        <v/>
      </c>
    </row>
    <row r="510" spans="2:41">
      <c r="B510" s="237"/>
      <c r="C510" s="14"/>
      <c r="D510" s="14"/>
      <c r="E510" s="14"/>
      <c r="F510" s="230" t="str">
        <f>IFERROR((Table47[[#This Row],[Initial No. of Requirements]]+Table47[[#This Row],[Modified Requirements( Added / Deleted /Modified)]])/Table47[[#This Row],[Initial No. of Requirements]],"")</f>
        <v/>
      </c>
      <c r="G51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0" s="249"/>
      <c r="J510" s="249"/>
      <c r="K510" s="250"/>
      <c r="L510" s="250"/>
      <c r="M510" s="250"/>
      <c r="N510" s="248">
        <f>SUMIFS(Table1[Size],Table1[Release Name],[2]!Table7[Release Name])</f>
        <v>0</v>
      </c>
      <c r="O510" s="248"/>
      <c r="P51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0" s="248"/>
      <c r="R51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0" s="248"/>
      <c r="T510" s="248"/>
      <c r="U510" s="248"/>
      <c r="V510" s="248"/>
      <c r="W510" s="248"/>
      <c r="X510" s="248"/>
      <c r="Y510" s="248"/>
      <c r="Z510" s="248"/>
      <c r="AA510" s="248"/>
      <c r="AB510" s="13">
        <f>SUMIFS(Table3[Hours Worked],Table3[Release Name],Table7[[#This Row],[Release Name]],Table3[Task Type],"Testcase Creation")</f>
        <v>0</v>
      </c>
      <c r="AC510" s="255">
        <f>SUMIFS(Table3[Hours Worked],Table3[Release Name],Table7[[#This Row],[Release Name]],Table3[Task Type],"Testcase Execution")</f>
        <v>0</v>
      </c>
      <c r="AD51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0" s="256" t="str">
        <f>IFERROR((Table7[[#This Row],[No. of Valid Internal Review Defects]]+Table7[[#This Row],[No. of Valid  Internal Testing Defects]]+Table7[[#This Row],[No. of  Valid External Review Defects]]+Table7[[#This Row],[No. of Valid External Testing Defects]])/Table7[[#This Row],[Size]],"")</f>
        <v/>
      </c>
      <c r="AF510" s="257" t="str">
        <f>IFERROR(Table7[[#This Row],[No. of Valid Internal Review Defects]]/(Table7[[#This Row],[No. of Valid Internal Review Defects]]+Table7[[#This Row],[No. of  Valid External Review Defects]]+Table7[[#This Row],[No. of Valid  Internal Testing Defects]]+Table7[[#This Row],[No. of Valid External Testing Defects]]),"")</f>
        <v/>
      </c>
      <c r="AG510" s="258" t="str">
        <f>IFERROR(Table7[[#This Row],[No. of Valid Internal Review Defects]]/(Table7[[#This Row],[No. of Valid Internal Review Defects]]+Table7[[#This Row],[No. of  Valid External Review Defects]]+Table7[[#This Row],[No. of Valid External Testing Defects]]),"")</f>
        <v/>
      </c>
      <c r="AH510" s="256" t="str">
        <f>IFERROR(Table7[[#This Row],[No. of Valid  Internal Testing Defects]]/Table7[[#This Row],[Overall Actual Effort for the release]],"")</f>
        <v/>
      </c>
      <c r="AI510" s="256" t="str">
        <f>IFERROR(Table7[[#This Row],[No. of Valid  Internal Testing Defects]]/Table7[[#This Row],[No. of Testcases Executed]],"")</f>
        <v/>
      </c>
      <c r="AJ510" s="259" t="str">
        <f>IFERROR(IFERROR(Table7[[#This Row],[No. of Testcases Created]]/Table7[[#This Row],[Effort for Testcase Creation]],"")*9,"")</f>
        <v/>
      </c>
      <c r="AK510" s="256" t="str">
        <f>IFERROR((Table7[[#This Row],[No. of Testcases Executed]]/Table7[[#This Row],[Effort for Testcase Execution]])*9,"")</f>
        <v/>
      </c>
      <c r="AL51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0" s="259" t="str">
        <f>IFERROR(Table7[[#This Row],[No. of Defects Validated]]/SUMIFS(Table3[Hours Worked],Table3[Release Name],Table7[[#This Row],[Release Name]],Table3[Task Type],"Defect Validation")*9,"")</f>
        <v/>
      </c>
      <c r="AN510" s="258" t="str">
        <f>IFERROR((Table7[[#This Row],[No. of Valid  Internal Testing Defects]])/(Table7[[#This Row],[No. of Valid  Internal Testing Defects]]+Table7[[#This Row],[No. of Invalid Internal Testing Defects]]),"")</f>
        <v/>
      </c>
      <c r="AO510" s="258" t="str">
        <f>IFERROR(Table7[[#This Row],[No. of Valid External Testing Defects]]/(Table7[[#This Row],[No. of Valid External Testing Defects]]+Table7[[#This Row],[No. of Valid  Internal Testing Defects]]),"")</f>
        <v/>
      </c>
    </row>
    <row r="511" spans="2:41">
      <c r="B511" s="237"/>
      <c r="C511" s="14"/>
      <c r="D511" s="14"/>
      <c r="E511" s="14"/>
      <c r="F511" s="230" t="str">
        <f>IFERROR((Table47[[#This Row],[Initial No. of Requirements]]+Table47[[#This Row],[Modified Requirements( Added / Deleted /Modified)]])/Table47[[#This Row],[Initial No. of Requirements]],"")</f>
        <v/>
      </c>
      <c r="G51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1" s="249"/>
      <c r="J511" s="249"/>
      <c r="K511" s="250"/>
      <c r="L511" s="250"/>
      <c r="M511" s="250"/>
      <c r="N511" s="248">
        <f>SUMIFS(Table1[Size],Table1[Release Name],[2]!Table7[Release Name])</f>
        <v>0</v>
      </c>
      <c r="O511" s="248"/>
      <c r="P51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1" s="248"/>
      <c r="R51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1" s="248"/>
      <c r="T511" s="248"/>
      <c r="U511" s="248"/>
      <c r="V511" s="248"/>
      <c r="W511" s="248"/>
      <c r="X511" s="248"/>
      <c r="Y511" s="248"/>
      <c r="Z511" s="248"/>
      <c r="AA511" s="248"/>
      <c r="AB511" s="13">
        <f>SUMIFS(Table3[Hours Worked],Table3[Release Name],Table7[[#This Row],[Release Name]],Table3[Task Type],"Testcase Creation")</f>
        <v>0</v>
      </c>
      <c r="AC511" s="255">
        <f>SUMIFS(Table3[Hours Worked],Table3[Release Name],Table7[[#This Row],[Release Name]],Table3[Task Type],"Testcase Execution")</f>
        <v>0</v>
      </c>
      <c r="AD51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1" s="256" t="str">
        <f>IFERROR((Table7[[#This Row],[No. of Valid Internal Review Defects]]+Table7[[#This Row],[No. of Valid  Internal Testing Defects]]+Table7[[#This Row],[No. of  Valid External Review Defects]]+Table7[[#This Row],[No. of Valid External Testing Defects]])/Table7[[#This Row],[Size]],"")</f>
        <v/>
      </c>
      <c r="AF511" s="257" t="str">
        <f>IFERROR(Table7[[#This Row],[No. of Valid Internal Review Defects]]/(Table7[[#This Row],[No. of Valid Internal Review Defects]]+Table7[[#This Row],[No. of  Valid External Review Defects]]+Table7[[#This Row],[No. of Valid  Internal Testing Defects]]+Table7[[#This Row],[No. of Valid External Testing Defects]]),"")</f>
        <v/>
      </c>
      <c r="AG511" s="258" t="str">
        <f>IFERROR(Table7[[#This Row],[No. of Valid Internal Review Defects]]/(Table7[[#This Row],[No. of Valid Internal Review Defects]]+Table7[[#This Row],[No. of  Valid External Review Defects]]+Table7[[#This Row],[No. of Valid External Testing Defects]]),"")</f>
        <v/>
      </c>
      <c r="AH511" s="256" t="str">
        <f>IFERROR(Table7[[#This Row],[No. of Valid  Internal Testing Defects]]/Table7[[#This Row],[Overall Actual Effort for the release]],"")</f>
        <v/>
      </c>
      <c r="AI511" s="256" t="str">
        <f>IFERROR(Table7[[#This Row],[No. of Valid  Internal Testing Defects]]/Table7[[#This Row],[No. of Testcases Executed]],"")</f>
        <v/>
      </c>
      <c r="AJ511" s="259" t="str">
        <f>IFERROR(IFERROR(Table7[[#This Row],[No. of Testcases Created]]/Table7[[#This Row],[Effort for Testcase Creation]],"")*9,"")</f>
        <v/>
      </c>
      <c r="AK511" s="256" t="str">
        <f>IFERROR((Table7[[#This Row],[No. of Testcases Executed]]/Table7[[#This Row],[Effort for Testcase Execution]])*9,"")</f>
        <v/>
      </c>
      <c r="AL51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1" s="259" t="str">
        <f>IFERROR(Table7[[#This Row],[No. of Defects Validated]]/SUMIFS(Table3[Hours Worked],Table3[Release Name],Table7[[#This Row],[Release Name]],Table3[Task Type],"Defect Validation")*9,"")</f>
        <v/>
      </c>
      <c r="AN511" s="258" t="str">
        <f>IFERROR((Table7[[#This Row],[No. of Valid  Internal Testing Defects]])/(Table7[[#This Row],[No. of Valid  Internal Testing Defects]]+Table7[[#This Row],[No. of Invalid Internal Testing Defects]]),"")</f>
        <v/>
      </c>
      <c r="AO511" s="258" t="str">
        <f>IFERROR(Table7[[#This Row],[No. of Valid External Testing Defects]]/(Table7[[#This Row],[No. of Valid External Testing Defects]]+Table7[[#This Row],[No. of Valid  Internal Testing Defects]]),"")</f>
        <v/>
      </c>
    </row>
    <row r="512" spans="2:41">
      <c r="B512" s="237"/>
      <c r="C512" s="14"/>
      <c r="D512" s="14"/>
      <c r="E512" s="14"/>
      <c r="F512" s="230" t="str">
        <f>IFERROR((Table47[[#This Row],[Initial No. of Requirements]]+Table47[[#This Row],[Modified Requirements( Added / Deleted /Modified)]])/Table47[[#This Row],[Initial No. of Requirements]],"")</f>
        <v/>
      </c>
      <c r="G51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2" s="249"/>
      <c r="J512" s="249"/>
      <c r="K512" s="250"/>
      <c r="L512" s="250"/>
      <c r="M512" s="250"/>
      <c r="N512" s="248">
        <f>SUMIFS(Table1[Size],Table1[Release Name],[2]!Table7[Release Name])</f>
        <v>0</v>
      </c>
      <c r="O512" s="248"/>
      <c r="P51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2" s="248"/>
      <c r="R51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2" s="248"/>
      <c r="T512" s="248"/>
      <c r="U512" s="248"/>
      <c r="V512" s="248"/>
      <c r="W512" s="248"/>
      <c r="X512" s="248"/>
      <c r="Y512" s="248"/>
      <c r="Z512" s="248"/>
      <c r="AA512" s="248"/>
      <c r="AB512" s="13">
        <f>SUMIFS(Table3[Hours Worked],Table3[Release Name],Table7[[#This Row],[Release Name]],Table3[Task Type],"Testcase Creation")</f>
        <v>0</v>
      </c>
      <c r="AC512" s="255">
        <f>SUMIFS(Table3[Hours Worked],Table3[Release Name],Table7[[#This Row],[Release Name]],Table3[Task Type],"Testcase Execution")</f>
        <v>0</v>
      </c>
      <c r="AD51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2" s="256" t="str">
        <f>IFERROR((Table7[[#This Row],[No. of Valid Internal Review Defects]]+Table7[[#This Row],[No. of Valid  Internal Testing Defects]]+Table7[[#This Row],[No. of  Valid External Review Defects]]+Table7[[#This Row],[No. of Valid External Testing Defects]])/Table7[[#This Row],[Size]],"")</f>
        <v/>
      </c>
      <c r="AF512" s="257" t="str">
        <f>IFERROR(Table7[[#This Row],[No. of Valid Internal Review Defects]]/(Table7[[#This Row],[No. of Valid Internal Review Defects]]+Table7[[#This Row],[No. of  Valid External Review Defects]]+Table7[[#This Row],[No. of Valid  Internal Testing Defects]]+Table7[[#This Row],[No. of Valid External Testing Defects]]),"")</f>
        <v/>
      </c>
      <c r="AG512" s="258" t="str">
        <f>IFERROR(Table7[[#This Row],[No. of Valid Internal Review Defects]]/(Table7[[#This Row],[No. of Valid Internal Review Defects]]+Table7[[#This Row],[No. of  Valid External Review Defects]]+Table7[[#This Row],[No. of Valid External Testing Defects]]),"")</f>
        <v/>
      </c>
      <c r="AH512" s="256" t="str">
        <f>IFERROR(Table7[[#This Row],[No. of Valid  Internal Testing Defects]]/Table7[[#This Row],[Overall Actual Effort for the release]],"")</f>
        <v/>
      </c>
      <c r="AI512" s="256" t="str">
        <f>IFERROR(Table7[[#This Row],[No. of Valid  Internal Testing Defects]]/Table7[[#This Row],[No. of Testcases Executed]],"")</f>
        <v/>
      </c>
      <c r="AJ512" s="259" t="str">
        <f>IFERROR(IFERROR(Table7[[#This Row],[No. of Testcases Created]]/Table7[[#This Row],[Effort for Testcase Creation]],"")*9,"")</f>
        <v/>
      </c>
      <c r="AK512" s="256" t="str">
        <f>IFERROR((Table7[[#This Row],[No. of Testcases Executed]]/Table7[[#This Row],[Effort for Testcase Execution]])*9,"")</f>
        <v/>
      </c>
      <c r="AL51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2" s="259" t="str">
        <f>IFERROR(Table7[[#This Row],[No. of Defects Validated]]/SUMIFS(Table3[Hours Worked],Table3[Release Name],Table7[[#This Row],[Release Name]],Table3[Task Type],"Defect Validation")*9,"")</f>
        <v/>
      </c>
      <c r="AN512" s="258" t="str">
        <f>IFERROR((Table7[[#This Row],[No. of Valid  Internal Testing Defects]])/(Table7[[#This Row],[No. of Valid  Internal Testing Defects]]+Table7[[#This Row],[No. of Invalid Internal Testing Defects]]),"")</f>
        <v/>
      </c>
      <c r="AO512" s="258" t="str">
        <f>IFERROR(Table7[[#This Row],[No. of Valid External Testing Defects]]/(Table7[[#This Row],[No. of Valid External Testing Defects]]+Table7[[#This Row],[No. of Valid  Internal Testing Defects]]),"")</f>
        <v/>
      </c>
    </row>
    <row r="513" spans="2:41">
      <c r="B513" s="237"/>
      <c r="C513" s="14"/>
      <c r="D513" s="14"/>
      <c r="E513" s="14"/>
      <c r="F513" s="230" t="str">
        <f>IFERROR((Table47[[#This Row],[Initial No. of Requirements]]+Table47[[#This Row],[Modified Requirements( Added / Deleted /Modified)]])/Table47[[#This Row],[Initial No. of Requirements]],"")</f>
        <v/>
      </c>
      <c r="G51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3" s="249"/>
      <c r="J513" s="249"/>
      <c r="K513" s="250"/>
      <c r="L513" s="250"/>
      <c r="M513" s="250"/>
      <c r="N513" s="248">
        <f>SUMIFS(Table1[Size],Table1[Release Name],[2]!Table7[Release Name])</f>
        <v>0</v>
      </c>
      <c r="O513" s="248"/>
      <c r="P51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3" s="248"/>
      <c r="R51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3" s="248"/>
      <c r="T513" s="248"/>
      <c r="U513" s="248"/>
      <c r="V513" s="248"/>
      <c r="W513" s="248"/>
      <c r="X513" s="248"/>
      <c r="Y513" s="248"/>
      <c r="Z513" s="248"/>
      <c r="AA513" s="248"/>
      <c r="AB513" s="13">
        <f>SUMIFS(Table3[Hours Worked],Table3[Release Name],Table7[[#This Row],[Release Name]],Table3[Task Type],"Testcase Creation")</f>
        <v>0</v>
      </c>
      <c r="AC513" s="255">
        <f>SUMIFS(Table3[Hours Worked],Table3[Release Name],Table7[[#This Row],[Release Name]],Table3[Task Type],"Testcase Execution")</f>
        <v>0</v>
      </c>
      <c r="AD51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3" s="256" t="str">
        <f>IFERROR((Table7[[#This Row],[No. of Valid Internal Review Defects]]+Table7[[#This Row],[No. of Valid  Internal Testing Defects]]+Table7[[#This Row],[No. of  Valid External Review Defects]]+Table7[[#This Row],[No. of Valid External Testing Defects]])/Table7[[#This Row],[Size]],"")</f>
        <v/>
      </c>
      <c r="AF513" s="257" t="str">
        <f>IFERROR(Table7[[#This Row],[No. of Valid Internal Review Defects]]/(Table7[[#This Row],[No. of Valid Internal Review Defects]]+Table7[[#This Row],[No. of  Valid External Review Defects]]+Table7[[#This Row],[No. of Valid  Internal Testing Defects]]+Table7[[#This Row],[No. of Valid External Testing Defects]]),"")</f>
        <v/>
      </c>
      <c r="AG513" s="258" t="str">
        <f>IFERROR(Table7[[#This Row],[No. of Valid Internal Review Defects]]/(Table7[[#This Row],[No. of Valid Internal Review Defects]]+Table7[[#This Row],[No. of  Valid External Review Defects]]+Table7[[#This Row],[No. of Valid External Testing Defects]]),"")</f>
        <v/>
      </c>
      <c r="AH513" s="256" t="str">
        <f>IFERROR(Table7[[#This Row],[No. of Valid  Internal Testing Defects]]/Table7[[#This Row],[Overall Actual Effort for the release]],"")</f>
        <v/>
      </c>
      <c r="AI513" s="256" t="str">
        <f>IFERROR(Table7[[#This Row],[No. of Valid  Internal Testing Defects]]/Table7[[#This Row],[No. of Testcases Executed]],"")</f>
        <v/>
      </c>
      <c r="AJ513" s="259" t="str">
        <f>IFERROR(IFERROR(Table7[[#This Row],[No. of Testcases Created]]/Table7[[#This Row],[Effort for Testcase Creation]],"")*9,"")</f>
        <v/>
      </c>
      <c r="AK513" s="256" t="str">
        <f>IFERROR((Table7[[#This Row],[No. of Testcases Executed]]/Table7[[#This Row],[Effort for Testcase Execution]])*9,"")</f>
        <v/>
      </c>
      <c r="AL51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3" s="259" t="str">
        <f>IFERROR(Table7[[#This Row],[No. of Defects Validated]]/SUMIFS(Table3[Hours Worked],Table3[Release Name],Table7[[#This Row],[Release Name]],Table3[Task Type],"Defect Validation")*9,"")</f>
        <v/>
      </c>
      <c r="AN513" s="258" t="str">
        <f>IFERROR((Table7[[#This Row],[No. of Valid  Internal Testing Defects]])/(Table7[[#This Row],[No. of Valid  Internal Testing Defects]]+Table7[[#This Row],[No. of Invalid Internal Testing Defects]]),"")</f>
        <v/>
      </c>
      <c r="AO513" s="258" t="str">
        <f>IFERROR(Table7[[#This Row],[No. of Valid External Testing Defects]]/(Table7[[#This Row],[No. of Valid External Testing Defects]]+Table7[[#This Row],[No. of Valid  Internal Testing Defects]]),"")</f>
        <v/>
      </c>
    </row>
    <row r="514" spans="2:41">
      <c r="B514" s="237"/>
      <c r="C514" s="14"/>
      <c r="D514" s="14"/>
      <c r="E514" s="14"/>
      <c r="F514" s="230" t="str">
        <f>IFERROR((Table47[[#This Row],[Initial No. of Requirements]]+Table47[[#This Row],[Modified Requirements( Added / Deleted /Modified)]])/Table47[[#This Row],[Initial No. of Requirements]],"")</f>
        <v/>
      </c>
      <c r="G51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4" s="249"/>
      <c r="J514" s="249"/>
      <c r="K514" s="250"/>
      <c r="L514" s="250"/>
      <c r="M514" s="250"/>
      <c r="N514" s="248">
        <f>SUMIFS(Table1[Size],Table1[Release Name],[2]!Table7[Release Name])</f>
        <v>0</v>
      </c>
      <c r="O514" s="248"/>
      <c r="P51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4" s="248"/>
      <c r="R51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4" s="248"/>
      <c r="T514" s="248"/>
      <c r="U514" s="248"/>
      <c r="V514" s="248"/>
      <c r="W514" s="248"/>
      <c r="X514" s="248"/>
      <c r="Y514" s="248"/>
      <c r="Z514" s="248"/>
      <c r="AA514" s="248"/>
      <c r="AB514" s="13">
        <f>SUMIFS(Table3[Hours Worked],Table3[Release Name],Table7[[#This Row],[Release Name]],Table3[Task Type],"Testcase Creation")</f>
        <v>0</v>
      </c>
      <c r="AC514" s="255">
        <f>SUMIFS(Table3[Hours Worked],Table3[Release Name],Table7[[#This Row],[Release Name]],Table3[Task Type],"Testcase Execution")</f>
        <v>0</v>
      </c>
      <c r="AD51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4" s="256" t="str">
        <f>IFERROR((Table7[[#This Row],[No. of Valid Internal Review Defects]]+Table7[[#This Row],[No. of Valid  Internal Testing Defects]]+Table7[[#This Row],[No. of  Valid External Review Defects]]+Table7[[#This Row],[No. of Valid External Testing Defects]])/Table7[[#This Row],[Size]],"")</f>
        <v/>
      </c>
      <c r="AF514" s="257" t="str">
        <f>IFERROR(Table7[[#This Row],[No. of Valid Internal Review Defects]]/(Table7[[#This Row],[No. of Valid Internal Review Defects]]+Table7[[#This Row],[No. of  Valid External Review Defects]]+Table7[[#This Row],[No. of Valid  Internal Testing Defects]]+Table7[[#This Row],[No. of Valid External Testing Defects]]),"")</f>
        <v/>
      </c>
      <c r="AG514" s="258" t="str">
        <f>IFERROR(Table7[[#This Row],[No. of Valid Internal Review Defects]]/(Table7[[#This Row],[No. of Valid Internal Review Defects]]+Table7[[#This Row],[No. of  Valid External Review Defects]]+Table7[[#This Row],[No. of Valid External Testing Defects]]),"")</f>
        <v/>
      </c>
      <c r="AH514" s="256" t="str">
        <f>IFERROR(Table7[[#This Row],[No. of Valid  Internal Testing Defects]]/Table7[[#This Row],[Overall Actual Effort for the release]],"")</f>
        <v/>
      </c>
      <c r="AI514" s="256" t="str">
        <f>IFERROR(Table7[[#This Row],[No. of Valid  Internal Testing Defects]]/Table7[[#This Row],[No. of Testcases Executed]],"")</f>
        <v/>
      </c>
      <c r="AJ514" s="259" t="str">
        <f>IFERROR(IFERROR(Table7[[#This Row],[No. of Testcases Created]]/Table7[[#This Row],[Effort for Testcase Creation]],"")*9,"")</f>
        <v/>
      </c>
      <c r="AK514" s="256" t="str">
        <f>IFERROR((Table7[[#This Row],[No. of Testcases Executed]]/Table7[[#This Row],[Effort for Testcase Execution]])*9,"")</f>
        <v/>
      </c>
      <c r="AL51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4" s="259" t="str">
        <f>IFERROR(Table7[[#This Row],[No. of Defects Validated]]/SUMIFS(Table3[Hours Worked],Table3[Release Name],Table7[[#This Row],[Release Name]],Table3[Task Type],"Defect Validation")*9,"")</f>
        <v/>
      </c>
      <c r="AN514" s="258" t="str">
        <f>IFERROR((Table7[[#This Row],[No. of Valid  Internal Testing Defects]])/(Table7[[#This Row],[No. of Valid  Internal Testing Defects]]+Table7[[#This Row],[No. of Invalid Internal Testing Defects]]),"")</f>
        <v/>
      </c>
      <c r="AO514" s="258" t="str">
        <f>IFERROR(Table7[[#This Row],[No. of Valid External Testing Defects]]/(Table7[[#This Row],[No. of Valid External Testing Defects]]+Table7[[#This Row],[No. of Valid  Internal Testing Defects]]),"")</f>
        <v/>
      </c>
    </row>
    <row r="515" spans="2:41">
      <c r="B515" s="237"/>
      <c r="C515" s="14"/>
      <c r="D515" s="14"/>
      <c r="E515" s="14"/>
      <c r="F515" s="230" t="str">
        <f>IFERROR((Table47[[#This Row],[Initial No. of Requirements]]+Table47[[#This Row],[Modified Requirements( Added / Deleted /Modified)]])/Table47[[#This Row],[Initial No. of Requirements]],"")</f>
        <v/>
      </c>
      <c r="G51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5" s="249"/>
      <c r="J515" s="249"/>
      <c r="K515" s="250"/>
      <c r="L515" s="250"/>
      <c r="M515" s="250"/>
      <c r="N515" s="248">
        <f>SUMIFS(Table1[Size],Table1[Release Name],[2]!Table7[Release Name])</f>
        <v>0</v>
      </c>
      <c r="O515" s="248"/>
      <c r="P51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5" s="248"/>
      <c r="R51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5" s="248"/>
      <c r="T515" s="248"/>
      <c r="U515" s="248"/>
      <c r="V515" s="248"/>
      <c r="W515" s="248"/>
      <c r="X515" s="248"/>
      <c r="Y515" s="248"/>
      <c r="Z515" s="248"/>
      <c r="AA515" s="248"/>
      <c r="AB515" s="13">
        <f>SUMIFS(Table3[Hours Worked],Table3[Release Name],Table7[[#This Row],[Release Name]],Table3[Task Type],"Testcase Creation")</f>
        <v>0</v>
      </c>
      <c r="AC515" s="255">
        <f>SUMIFS(Table3[Hours Worked],Table3[Release Name],Table7[[#This Row],[Release Name]],Table3[Task Type],"Testcase Execution")</f>
        <v>0</v>
      </c>
      <c r="AD51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5" s="256" t="str">
        <f>IFERROR((Table7[[#This Row],[No. of Valid Internal Review Defects]]+Table7[[#This Row],[No. of Valid  Internal Testing Defects]]+Table7[[#This Row],[No. of  Valid External Review Defects]]+Table7[[#This Row],[No. of Valid External Testing Defects]])/Table7[[#This Row],[Size]],"")</f>
        <v/>
      </c>
      <c r="AF515" s="257" t="str">
        <f>IFERROR(Table7[[#This Row],[No. of Valid Internal Review Defects]]/(Table7[[#This Row],[No. of Valid Internal Review Defects]]+Table7[[#This Row],[No. of  Valid External Review Defects]]+Table7[[#This Row],[No. of Valid  Internal Testing Defects]]+Table7[[#This Row],[No. of Valid External Testing Defects]]),"")</f>
        <v/>
      </c>
      <c r="AG515" s="258" t="str">
        <f>IFERROR(Table7[[#This Row],[No. of Valid Internal Review Defects]]/(Table7[[#This Row],[No. of Valid Internal Review Defects]]+Table7[[#This Row],[No. of  Valid External Review Defects]]+Table7[[#This Row],[No. of Valid External Testing Defects]]),"")</f>
        <v/>
      </c>
      <c r="AH515" s="256" t="str">
        <f>IFERROR(Table7[[#This Row],[No. of Valid  Internal Testing Defects]]/Table7[[#This Row],[Overall Actual Effort for the release]],"")</f>
        <v/>
      </c>
      <c r="AI515" s="256" t="str">
        <f>IFERROR(Table7[[#This Row],[No. of Valid  Internal Testing Defects]]/Table7[[#This Row],[No. of Testcases Executed]],"")</f>
        <v/>
      </c>
      <c r="AJ515" s="259" t="str">
        <f>IFERROR(IFERROR(Table7[[#This Row],[No. of Testcases Created]]/Table7[[#This Row],[Effort for Testcase Creation]],"")*9,"")</f>
        <v/>
      </c>
      <c r="AK515" s="256" t="str">
        <f>IFERROR((Table7[[#This Row],[No. of Testcases Executed]]/Table7[[#This Row],[Effort for Testcase Execution]])*9,"")</f>
        <v/>
      </c>
      <c r="AL51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5" s="259" t="str">
        <f>IFERROR(Table7[[#This Row],[No. of Defects Validated]]/SUMIFS(Table3[Hours Worked],Table3[Release Name],Table7[[#This Row],[Release Name]],Table3[Task Type],"Defect Validation")*9,"")</f>
        <v/>
      </c>
      <c r="AN515" s="258" t="str">
        <f>IFERROR((Table7[[#This Row],[No. of Valid  Internal Testing Defects]])/(Table7[[#This Row],[No. of Valid  Internal Testing Defects]]+Table7[[#This Row],[No. of Invalid Internal Testing Defects]]),"")</f>
        <v/>
      </c>
      <c r="AO515" s="258" t="str">
        <f>IFERROR(Table7[[#This Row],[No. of Valid External Testing Defects]]/(Table7[[#This Row],[No. of Valid External Testing Defects]]+Table7[[#This Row],[No. of Valid  Internal Testing Defects]]),"")</f>
        <v/>
      </c>
    </row>
    <row r="516" spans="2:41">
      <c r="B516" s="237"/>
      <c r="C516" s="14"/>
      <c r="D516" s="14"/>
      <c r="E516" s="14"/>
      <c r="F516" s="230" t="str">
        <f>IFERROR((Table47[[#This Row],[Initial No. of Requirements]]+Table47[[#This Row],[Modified Requirements( Added / Deleted /Modified)]])/Table47[[#This Row],[Initial No. of Requirements]],"")</f>
        <v/>
      </c>
      <c r="G51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6" s="249"/>
      <c r="J516" s="249"/>
      <c r="K516" s="250"/>
      <c r="L516" s="250"/>
      <c r="M516" s="250"/>
      <c r="N516" s="248">
        <f>SUMIFS(Table1[Size],Table1[Release Name],[2]!Table7[Release Name])</f>
        <v>0</v>
      </c>
      <c r="O516" s="248"/>
      <c r="P51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6" s="248"/>
      <c r="R51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6" s="248"/>
      <c r="T516" s="248"/>
      <c r="U516" s="248"/>
      <c r="V516" s="248"/>
      <c r="W516" s="248"/>
      <c r="X516" s="248"/>
      <c r="Y516" s="248"/>
      <c r="Z516" s="248"/>
      <c r="AA516" s="248"/>
      <c r="AB516" s="13">
        <f>SUMIFS(Table3[Hours Worked],Table3[Release Name],Table7[[#This Row],[Release Name]],Table3[Task Type],"Testcase Creation")</f>
        <v>0</v>
      </c>
      <c r="AC516" s="255">
        <f>SUMIFS(Table3[Hours Worked],Table3[Release Name],Table7[[#This Row],[Release Name]],Table3[Task Type],"Testcase Execution")</f>
        <v>0</v>
      </c>
      <c r="AD51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6" s="256" t="str">
        <f>IFERROR((Table7[[#This Row],[No. of Valid Internal Review Defects]]+Table7[[#This Row],[No. of Valid  Internal Testing Defects]]+Table7[[#This Row],[No. of  Valid External Review Defects]]+Table7[[#This Row],[No. of Valid External Testing Defects]])/Table7[[#This Row],[Size]],"")</f>
        <v/>
      </c>
      <c r="AF516" s="257" t="str">
        <f>IFERROR(Table7[[#This Row],[No. of Valid Internal Review Defects]]/(Table7[[#This Row],[No. of Valid Internal Review Defects]]+Table7[[#This Row],[No. of  Valid External Review Defects]]+Table7[[#This Row],[No. of Valid  Internal Testing Defects]]+Table7[[#This Row],[No. of Valid External Testing Defects]]),"")</f>
        <v/>
      </c>
      <c r="AG516" s="258" t="str">
        <f>IFERROR(Table7[[#This Row],[No. of Valid Internal Review Defects]]/(Table7[[#This Row],[No. of Valid Internal Review Defects]]+Table7[[#This Row],[No. of  Valid External Review Defects]]+Table7[[#This Row],[No. of Valid External Testing Defects]]),"")</f>
        <v/>
      </c>
      <c r="AH516" s="256" t="str">
        <f>IFERROR(Table7[[#This Row],[No. of Valid  Internal Testing Defects]]/Table7[[#This Row],[Overall Actual Effort for the release]],"")</f>
        <v/>
      </c>
      <c r="AI516" s="256" t="str">
        <f>IFERROR(Table7[[#This Row],[No. of Valid  Internal Testing Defects]]/Table7[[#This Row],[No. of Testcases Executed]],"")</f>
        <v/>
      </c>
      <c r="AJ516" s="259" t="str">
        <f>IFERROR(IFERROR(Table7[[#This Row],[No. of Testcases Created]]/Table7[[#This Row],[Effort for Testcase Creation]],"")*9,"")</f>
        <v/>
      </c>
      <c r="AK516" s="256" t="str">
        <f>IFERROR((Table7[[#This Row],[No. of Testcases Executed]]/Table7[[#This Row],[Effort for Testcase Execution]])*9,"")</f>
        <v/>
      </c>
      <c r="AL51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6" s="259" t="str">
        <f>IFERROR(Table7[[#This Row],[No. of Defects Validated]]/SUMIFS(Table3[Hours Worked],Table3[Release Name],Table7[[#This Row],[Release Name]],Table3[Task Type],"Defect Validation")*9,"")</f>
        <v/>
      </c>
      <c r="AN516" s="258" t="str">
        <f>IFERROR((Table7[[#This Row],[No. of Valid  Internal Testing Defects]])/(Table7[[#This Row],[No. of Valid  Internal Testing Defects]]+Table7[[#This Row],[No. of Invalid Internal Testing Defects]]),"")</f>
        <v/>
      </c>
      <c r="AO516" s="258" t="str">
        <f>IFERROR(Table7[[#This Row],[No. of Valid External Testing Defects]]/(Table7[[#This Row],[No. of Valid External Testing Defects]]+Table7[[#This Row],[No. of Valid  Internal Testing Defects]]),"")</f>
        <v/>
      </c>
    </row>
    <row r="517" spans="2:41">
      <c r="B517" s="237"/>
      <c r="C517" s="14"/>
      <c r="D517" s="14"/>
      <c r="E517" s="14"/>
      <c r="F517" s="230" t="str">
        <f>IFERROR((Table47[[#This Row],[Initial No. of Requirements]]+Table47[[#This Row],[Modified Requirements( Added / Deleted /Modified)]])/Table47[[#This Row],[Initial No. of Requirements]],"")</f>
        <v/>
      </c>
      <c r="G51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7" s="249"/>
      <c r="J517" s="249"/>
      <c r="K517" s="250"/>
      <c r="L517" s="250"/>
      <c r="M517" s="250"/>
      <c r="N517" s="248">
        <f>SUMIFS(Table1[Size],Table1[Release Name],[2]!Table7[Release Name])</f>
        <v>0</v>
      </c>
      <c r="O517" s="248"/>
      <c r="P51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7" s="248"/>
      <c r="R51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7" s="248"/>
      <c r="T517" s="248"/>
      <c r="U517" s="248"/>
      <c r="V517" s="248"/>
      <c r="W517" s="248"/>
      <c r="X517" s="248"/>
      <c r="Y517" s="248"/>
      <c r="Z517" s="248"/>
      <c r="AA517" s="248"/>
      <c r="AB517" s="13">
        <f>SUMIFS(Table3[Hours Worked],Table3[Release Name],Table7[[#This Row],[Release Name]],Table3[Task Type],"Testcase Creation")</f>
        <v>0</v>
      </c>
      <c r="AC517" s="255">
        <f>SUMIFS(Table3[Hours Worked],Table3[Release Name],Table7[[#This Row],[Release Name]],Table3[Task Type],"Testcase Execution")</f>
        <v>0</v>
      </c>
      <c r="AD51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7" s="256" t="str">
        <f>IFERROR((Table7[[#This Row],[No. of Valid Internal Review Defects]]+Table7[[#This Row],[No. of Valid  Internal Testing Defects]]+Table7[[#This Row],[No. of  Valid External Review Defects]]+Table7[[#This Row],[No. of Valid External Testing Defects]])/Table7[[#This Row],[Size]],"")</f>
        <v/>
      </c>
      <c r="AF517" s="257" t="str">
        <f>IFERROR(Table7[[#This Row],[No. of Valid Internal Review Defects]]/(Table7[[#This Row],[No. of Valid Internal Review Defects]]+Table7[[#This Row],[No. of  Valid External Review Defects]]+Table7[[#This Row],[No. of Valid  Internal Testing Defects]]+Table7[[#This Row],[No. of Valid External Testing Defects]]),"")</f>
        <v/>
      </c>
      <c r="AG517" s="258" t="str">
        <f>IFERROR(Table7[[#This Row],[No. of Valid Internal Review Defects]]/(Table7[[#This Row],[No. of Valid Internal Review Defects]]+Table7[[#This Row],[No. of  Valid External Review Defects]]+Table7[[#This Row],[No. of Valid External Testing Defects]]),"")</f>
        <v/>
      </c>
      <c r="AH517" s="256" t="str">
        <f>IFERROR(Table7[[#This Row],[No. of Valid  Internal Testing Defects]]/Table7[[#This Row],[Overall Actual Effort for the release]],"")</f>
        <v/>
      </c>
      <c r="AI517" s="256" t="str">
        <f>IFERROR(Table7[[#This Row],[No. of Valid  Internal Testing Defects]]/Table7[[#This Row],[No. of Testcases Executed]],"")</f>
        <v/>
      </c>
      <c r="AJ517" s="259" t="str">
        <f>IFERROR(IFERROR(Table7[[#This Row],[No. of Testcases Created]]/Table7[[#This Row],[Effort for Testcase Creation]],"")*9,"")</f>
        <v/>
      </c>
      <c r="AK517" s="256" t="str">
        <f>IFERROR((Table7[[#This Row],[No. of Testcases Executed]]/Table7[[#This Row],[Effort for Testcase Execution]])*9,"")</f>
        <v/>
      </c>
      <c r="AL51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7" s="259" t="str">
        <f>IFERROR(Table7[[#This Row],[No. of Defects Validated]]/SUMIFS(Table3[Hours Worked],Table3[Release Name],Table7[[#This Row],[Release Name]],Table3[Task Type],"Defect Validation")*9,"")</f>
        <v/>
      </c>
      <c r="AN517" s="258" t="str">
        <f>IFERROR((Table7[[#This Row],[No. of Valid  Internal Testing Defects]])/(Table7[[#This Row],[No. of Valid  Internal Testing Defects]]+Table7[[#This Row],[No. of Invalid Internal Testing Defects]]),"")</f>
        <v/>
      </c>
      <c r="AO517" s="258" t="str">
        <f>IFERROR(Table7[[#This Row],[No. of Valid External Testing Defects]]/(Table7[[#This Row],[No. of Valid External Testing Defects]]+Table7[[#This Row],[No. of Valid  Internal Testing Defects]]),"")</f>
        <v/>
      </c>
    </row>
    <row r="518" spans="2:41">
      <c r="B518" s="237"/>
      <c r="C518" s="14"/>
      <c r="D518" s="14"/>
      <c r="E518" s="14"/>
      <c r="F518" s="230" t="str">
        <f>IFERROR((Table47[[#This Row],[Initial No. of Requirements]]+Table47[[#This Row],[Modified Requirements( Added / Deleted /Modified)]])/Table47[[#This Row],[Initial No. of Requirements]],"")</f>
        <v/>
      </c>
      <c r="G51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8" s="249"/>
      <c r="J518" s="249"/>
      <c r="K518" s="250"/>
      <c r="L518" s="250"/>
      <c r="M518" s="250"/>
      <c r="N518" s="248">
        <f>SUMIFS(Table1[Size],Table1[Release Name],[2]!Table7[Release Name])</f>
        <v>0</v>
      </c>
      <c r="O518" s="248"/>
      <c r="P51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8" s="248"/>
      <c r="R51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8" s="248"/>
      <c r="T518" s="248"/>
      <c r="U518" s="248"/>
      <c r="V518" s="248"/>
      <c r="W518" s="248"/>
      <c r="X518" s="248"/>
      <c r="Y518" s="248"/>
      <c r="Z518" s="248"/>
      <c r="AA518" s="248"/>
      <c r="AB518" s="13">
        <f>SUMIFS(Table3[Hours Worked],Table3[Release Name],Table7[[#This Row],[Release Name]],Table3[Task Type],"Testcase Creation")</f>
        <v>0</v>
      </c>
      <c r="AC518" s="255">
        <f>SUMIFS(Table3[Hours Worked],Table3[Release Name],Table7[[#This Row],[Release Name]],Table3[Task Type],"Testcase Execution")</f>
        <v>0</v>
      </c>
      <c r="AD51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8" s="256" t="str">
        <f>IFERROR((Table7[[#This Row],[No. of Valid Internal Review Defects]]+Table7[[#This Row],[No. of Valid  Internal Testing Defects]]+Table7[[#This Row],[No. of  Valid External Review Defects]]+Table7[[#This Row],[No. of Valid External Testing Defects]])/Table7[[#This Row],[Size]],"")</f>
        <v/>
      </c>
      <c r="AF518" s="257" t="str">
        <f>IFERROR(Table7[[#This Row],[No. of Valid Internal Review Defects]]/(Table7[[#This Row],[No. of Valid Internal Review Defects]]+Table7[[#This Row],[No. of  Valid External Review Defects]]+Table7[[#This Row],[No. of Valid  Internal Testing Defects]]+Table7[[#This Row],[No. of Valid External Testing Defects]]),"")</f>
        <v/>
      </c>
      <c r="AG518" s="258" t="str">
        <f>IFERROR(Table7[[#This Row],[No. of Valid Internal Review Defects]]/(Table7[[#This Row],[No. of Valid Internal Review Defects]]+Table7[[#This Row],[No. of  Valid External Review Defects]]+Table7[[#This Row],[No. of Valid External Testing Defects]]),"")</f>
        <v/>
      </c>
      <c r="AH518" s="256" t="str">
        <f>IFERROR(Table7[[#This Row],[No. of Valid  Internal Testing Defects]]/Table7[[#This Row],[Overall Actual Effort for the release]],"")</f>
        <v/>
      </c>
      <c r="AI518" s="256" t="str">
        <f>IFERROR(Table7[[#This Row],[No. of Valid  Internal Testing Defects]]/Table7[[#This Row],[No. of Testcases Executed]],"")</f>
        <v/>
      </c>
      <c r="AJ518" s="259" t="str">
        <f>IFERROR(IFERROR(Table7[[#This Row],[No. of Testcases Created]]/Table7[[#This Row],[Effort for Testcase Creation]],"")*9,"")</f>
        <v/>
      </c>
      <c r="AK518" s="256" t="str">
        <f>IFERROR((Table7[[#This Row],[No. of Testcases Executed]]/Table7[[#This Row],[Effort for Testcase Execution]])*9,"")</f>
        <v/>
      </c>
      <c r="AL51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8" s="259" t="str">
        <f>IFERROR(Table7[[#This Row],[No. of Defects Validated]]/SUMIFS(Table3[Hours Worked],Table3[Release Name],Table7[[#This Row],[Release Name]],Table3[Task Type],"Defect Validation")*9,"")</f>
        <v/>
      </c>
      <c r="AN518" s="258" t="str">
        <f>IFERROR((Table7[[#This Row],[No. of Valid  Internal Testing Defects]])/(Table7[[#This Row],[No. of Valid  Internal Testing Defects]]+Table7[[#This Row],[No. of Invalid Internal Testing Defects]]),"")</f>
        <v/>
      </c>
      <c r="AO518" s="258" t="str">
        <f>IFERROR(Table7[[#This Row],[No. of Valid External Testing Defects]]/(Table7[[#This Row],[No. of Valid External Testing Defects]]+Table7[[#This Row],[No. of Valid  Internal Testing Defects]]),"")</f>
        <v/>
      </c>
    </row>
    <row r="519" spans="2:41">
      <c r="B519" s="237"/>
      <c r="C519" s="14"/>
      <c r="D519" s="14"/>
      <c r="E519" s="14"/>
      <c r="F519" s="230" t="str">
        <f>IFERROR((Table47[[#This Row],[Initial No. of Requirements]]+Table47[[#This Row],[Modified Requirements( Added / Deleted /Modified)]])/Table47[[#This Row],[Initial No. of Requirements]],"")</f>
        <v/>
      </c>
      <c r="G51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19" s="249"/>
      <c r="J519" s="249"/>
      <c r="K519" s="250"/>
      <c r="L519" s="250"/>
      <c r="M519" s="250"/>
      <c r="N519" s="248">
        <f>SUMIFS(Table1[Size],Table1[Release Name],[2]!Table7[Release Name])</f>
        <v>0</v>
      </c>
      <c r="O519" s="248"/>
      <c r="P51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19" s="248"/>
      <c r="R51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19" s="248"/>
      <c r="T519" s="248"/>
      <c r="U519" s="248"/>
      <c r="V519" s="248"/>
      <c r="W519" s="248"/>
      <c r="X519" s="248"/>
      <c r="Y519" s="248"/>
      <c r="Z519" s="248"/>
      <c r="AA519" s="248"/>
      <c r="AB519" s="13">
        <f>SUMIFS(Table3[Hours Worked],Table3[Release Name],Table7[[#This Row],[Release Name]],Table3[Task Type],"Testcase Creation")</f>
        <v>0</v>
      </c>
      <c r="AC519" s="255">
        <f>SUMIFS(Table3[Hours Worked],Table3[Release Name],Table7[[#This Row],[Release Name]],Table3[Task Type],"Testcase Execution")</f>
        <v>0</v>
      </c>
      <c r="AD51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19" s="256" t="str">
        <f>IFERROR((Table7[[#This Row],[No. of Valid Internal Review Defects]]+Table7[[#This Row],[No. of Valid  Internal Testing Defects]]+Table7[[#This Row],[No. of  Valid External Review Defects]]+Table7[[#This Row],[No. of Valid External Testing Defects]])/Table7[[#This Row],[Size]],"")</f>
        <v/>
      </c>
      <c r="AF519" s="257" t="str">
        <f>IFERROR(Table7[[#This Row],[No. of Valid Internal Review Defects]]/(Table7[[#This Row],[No. of Valid Internal Review Defects]]+Table7[[#This Row],[No. of  Valid External Review Defects]]+Table7[[#This Row],[No. of Valid  Internal Testing Defects]]+Table7[[#This Row],[No. of Valid External Testing Defects]]),"")</f>
        <v/>
      </c>
      <c r="AG519" s="258" t="str">
        <f>IFERROR(Table7[[#This Row],[No. of Valid Internal Review Defects]]/(Table7[[#This Row],[No. of Valid Internal Review Defects]]+Table7[[#This Row],[No. of  Valid External Review Defects]]+Table7[[#This Row],[No. of Valid External Testing Defects]]),"")</f>
        <v/>
      </c>
      <c r="AH519" s="256" t="str">
        <f>IFERROR(Table7[[#This Row],[No. of Valid  Internal Testing Defects]]/Table7[[#This Row],[Overall Actual Effort for the release]],"")</f>
        <v/>
      </c>
      <c r="AI519" s="256" t="str">
        <f>IFERROR(Table7[[#This Row],[No. of Valid  Internal Testing Defects]]/Table7[[#This Row],[No. of Testcases Executed]],"")</f>
        <v/>
      </c>
      <c r="AJ519" s="259" t="str">
        <f>IFERROR(IFERROR(Table7[[#This Row],[No. of Testcases Created]]/Table7[[#This Row],[Effort for Testcase Creation]],"")*9,"")</f>
        <v/>
      </c>
      <c r="AK519" s="256" t="str">
        <f>IFERROR((Table7[[#This Row],[No. of Testcases Executed]]/Table7[[#This Row],[Effort for Testcase Execution]])*9,"")</f>
        <v/>
      </c>
      <c r="AL51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19" s="259" t="str">
        <f>IFERROR(Table7[[#This Row],[No. of Defects Validated]]/SUMIFS(Table3[Hours Worked],Table3[Release Name],Table7[[#This Row],[Release Name]],Table3[Task Type],"Defect Validation")*9,"")</f>
        <v/>
      </c>
      <c r="AN519" s="258" t="str">
        <f>IFERROR((Table7[[#This Row],[No. of Valid  Internal Testing Defects]])/(Table7[[#This Row],[No. of Valid  Internal Testing Defects]]+Table7[[#This Row],[No. of Invalid Internal Testing Defects]]),"")</f>
        <v/>
      </c>
      <c r="AO519" s="258" t="str">
        <f>IFERROR(Table7[[#This Row],[No. of Valid External Testing Defects]]/(Table7[[#This Row],[No. of Valid External Testing Defects]]+Table7[[#This Row],[No. of Valid  Internal Testing Defects]]),"")</f>
        <v/>
      </c>
    </row>
    <row r="520" spans="2:41">
      <c r="B520" s="237"/>
      <c r="C520" s="14"/>
      <c r="D520" s="14"/>
      <c r="E520" s="14"/>
      <c r="F520" s="230" t="str">
        <f>IFERROR((Table47[[#This Row],[Initial No. of Requirements]]+Table47[[#This Row],[Modified Requirements( Added / Deleted /Modified)]])/Table47[[#This Row],[Initial No. of Requirements]],"")</f>
        <v/>
      </c>
      <c r="G52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0" s="249"/>
      <c r="J520" s="249"/>
      <c r="K520" s="250"/>
      <c r="L520" s="250"/>
      <c r="M520" s="250"/>
      <c r="N520" s="248">
        <f>SUMIFS(Table1[Size],Table1[Release Name],[2]!Table7[Release Name])</f>
        <v>0</v>
      </c>
      <c r="O520" s="248"/>
      <c r="P52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0" s="248"/>
      <c r="R52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0" s="248"/>
      <c r="T520" s="248"/>
      <c r="U520" s="248"/>
      <c r="V520" s="248"/>
      <c r="W520" s="248"/>
      <c r="X520" s="248"/>
      <c r="Y520" s="248"/>
      <c r="Z520" s="248"/>
      <c r="AA520" s="248"/>
      <c r="AB520" s="13">
        <f>SUMIFS(Table3[Hours Worked],Table3[Release Name],Table7[[#This Row],[Release Name]],Table3[Task Type],"Testcase Creation")</f>
        <v>0</v>
      </c>
      <c r="AC520" s="255">
        <f>SUMIFS(Table3[Hours Worked],Table3[Release Name],Table7[[#This Row],[Release Name]],Table3[Task Type],"Testcase Execution")</f>
        <v>0</v>
      </c>
      <c r="AD52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0" s="256" t="str">
        <f>IFERROR((Table7[[#This Row],[No. of Valid Internal Review Defects]]+Table7[[#This Row],[No. of Valid  Internal Testing Defects]]+Table7[[#This Row],[No. of  Valid External Review Defects]]+Table7[[#This Row],[No. of Valid External Testing Defects]])/Table7[[#This Row],[Size]],"")</f>
        <v/>
      </c>
      <c r="AF520" s="257" t="str">
        <f>IFERROR(Table7[[#This Row],[No. of Valid Internal Review Defects]]/(Table7[[#This Row],[No. of Valid Internal Review Defects]]+Table7[[#This Row],[No. of  Valid External Review Defects]]+Table7[[#This Row],[No. of Valid  Internal Testing Defects]]+Table7[[#This Row],[No. of Valid External Testing Defects]]),"")</f>
        <v/>
      </c>
      <c r="AG520" s="258" t="str">
        <f>IFERROR(Table7[[#This Row],[No. of Valid Internal Review Defects]]/(Table7[[#This Row],[No. of Valid Internal Review Defects]]+Table7[[#This Row],[No. of  Valid External Review Defects]]+Table7[[#This Row],[No. of Valid External Testing Defects]]),"")</f>
        <v/>
      </c>
      <c r="AH520" s="256" t="str">
        <f>IFERROR(Table7[[#This Row],[No. of Valid  Internal Testing Defects]]/Table7[[#This Row],[Overall Actual Effort for the release]],"")</f>
        <v/>
      </c>
      <c r="AI520" s="256" t="str">
        <f>IFERROR(Table7[[#This Row],[No. of Valid  Internal Testing Defects]]/Table7[[#This Row],[No. of Testcases Executed]],"")</f>
        <v/>
      </c>
      <c r="AJ520" s="259" t="str">
        <f>IFERROR(IFERROR(Table7[[#This Row],[No. of Testcases Created]]/Table7[[#This Row],[Effort for Testcase Creation]],"")*9,"")</f>
        <v/>
      </c>
      <c r="AK520" s="256" t="str">
        <f>IFERROR((Table7[[#This Row],[No. of Testcases Executed]]/Table7[[#This Row],[Effort for Testcase Execution]])*9,"")</f>
        <v/>
      </c>
      <c r="AL52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0" s="259" t="str">
        <f>IFERROR(Table7[[#This Row],[No. of Defects Validated]]/SUMIFS(Table3[Hours Worked],Table3[Release Name],Table7[[#This Row],[Release Name]],Table3[Task Type],"Defect Validation")*9,"")</f>
        <v/>
      </c>
      <c r="AN520" s="258" t="str">
        <f>IFERROR((Table7[[#This Row],[No. of Valid  Internal Testing Defects]])/(Table7[[#This Row],[No. of Valid  Internal Testing Defects]]+Table7[[#This Row],[No. of Invalid Internal Testing Defects]]),"")</f>
        <v/>
      </c>
      <c r="AO520" s="258" t="str">
        <f>IFERROR(Table7[[#This Row],[No. of Valid External Testing Defects]]/(Table7[[#This Row],[No. of Valid External Testing Defects]]+Table7[[#This Row],[No. of Valid  Internal Testing Defects]]),"")</f>
        <v/>
      </c>
    </row>
    <row r="521" spans="2:41">
      <c r="B521" s="237"/>
      <c r="C521" s="14"/>
      <c r="D521" s="14"/>
      <c r="E521" s="14"/>
      <c r="F521" s="230" t="str">
        <f>IFERROR((Table47[[#This Row],[Initial No. of Requirements]]+Table47[[#This Row],[Modified Requirements( Added / Deleted /Modified)]])/Table47[[#This Row],[Initial No. of Requirements]],"")</f>
        <v/>
      </c>
      <c r="G52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1" s="249"/>
      <c r="J521" s="249"/>
      <c r="K521" s="250"/>
      <c r="L521" s="250"/>
      <c r="M521" s="250"/>
      <c r="N521" s="248">
        <f>SUMIFS(Table1[Size],Table1[Release Name],[2]!Table7[Release Name])</f>
        <v>0</v>
      </c>
      <c r="O521" s="248"/>
      <c r="P52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1" s="248"/>
      <c r="R52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1" s="248"/>
      <c r="T521" s="248"/>
      <c r="U521" s="248"/>
      <c r="V521" s="248"/>
      <c r="W521" s="248"/>
      <c r="X521" s="248"/>
      <c r="Y521" s="248"/>
      <c r="Z521" s="248"/>
      <c r="AA521" s="248"/>
      <c r="AB521" s="13">
        <f>SUMIFS(Table3[Hours Worked],Table3[Release Name],Table7[[#This Row],[Release Name]],Table3[Task Type],"Testcase Creation")</f>
        <v>0</v>
      </c>
      <c r="AC521" s="255">
        <f>SUMIFS(Table3[Hours Worked],Table3[Release Name],Table7[[#This Row],[Release Name]],Table3[Task Type],"Testcase Execution")</f>
        <v>0</v>
      </c>
      <c r="AD52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1" s="256" t="str">
        <f>IFERROR((Table7[[#This Row],[No. of Valid Internal Review Defects]]+Table7[[#This Row],[No. of Valid  Internal Testing Defects]]+Table7[[#This Row],[No. of  Valid External Review Defects]]+Table7[[#This Row],[No. of Valid External Testing Defects]])/Table7[[#This Row],[Size]],"")</f>
        <v/>
      </c>
      <c r="AF521" s="257" t="str">
        <f>IFERROR(Table7[[#This Row],[No. of Valid Internal Review Defects]]/(Table7[[#This Row],[No. of Valid Internal Review Defects]]+Table7[[#This Row],[No. of  Valid External Review Defects]]+Table7[[#This Row],[No. of Valid  Internal Testing Defects]]+Table7[[#This Row],[No. of Valid External Testing Defects]]),"")</f>
        <v/>
      </c>
      <c r="AG521" s="258" t="str">
        <f>IFERROR(Table7[[#This Row],[No. of Valid Internal Review Defects]]/(Table7[[#This Row],[No. of Valid Internal Review Defects]]+Table7[[#This Row],[No. of  Valid External Review Defects]]+Table7[[#This Row],[No. of Valid External Testing Defects]]),"")</f>
        <v/>
      </c>
      <c r="AH521" s="256" t="str">
        <f>IFERROR(Table7[[#This Row],[No. of Valid  Internal Testing Defects]]/Table7[[#This Row],[Overall Actual Effort for the release]],"")</f>
        <v/>
      </c>
      <c r="AI521" s="256" t="str">
        <f>IFERROR(Table7[[#This Row],[No. of Valid  Internal Testing Defects]]/Table7[[#This Row],[No. of Testcases Executed]],"")</f>
        <v/>
      </c>
      <c r="AJ521" s="259" t="str">
        <f>IFERROR(IFERROR(Table7[[#This Row],[No. of Testcases Created]]/Table7[[#This Row],[Effort for Testcase Creation]],"")*9,"")</f>
        <v/>
      </c>
      <c r="AK521" s="256" t="str">
        <f>IFERROR((Table7[[#This Row],[No. of Testcases Executed]]/Table7[[#This Row],[Effort for Testcase Execution]])*9,"")</f>
        <v/>
      </c>
      <c r="AL52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1" s="259" t="str">
        <f>IFERROR(Table7[[#This Row],[No. of Defects Validated]]/SUMIFS(Table3[Hours Worked],Table3[Release Name],Table7[[#This Row],[Release Name]],Table3[Task Type],"Defect Validation")*9,"")</f>
        <v/>
      </c>
      <c r="AN521" s="258" t="str">
        <f>IFERROR((Table7[[#This Row],[No. of Valid  Internal Testing Defects]])/(Table7[[#This Row],[No. of Valid  Internal Testing Defects]]+Table7[[#This Row],[No. of Invalid Internal Testing Defects]]),"")</f>
        <v/>
      </c>
      <c r="AO521" s="258" t="str">
        <f>IFERROR(Table7[[#This Row],[No. of Valid External Testing Defects]]/(Table7[[#This Row],[No. of Valid External Testing Defects]]+Table7[[#This Row],[No. of Valid  Internal Testing Defects]]),"")</f>
        <v/>
      </c>
    </row>
    <row r="522" spans="2:41">
      <c r="B522" s="237"/>
      <c r="C522" s="14"/>
      <c r="D522" s="14"/>
      <c r="E522" s="14"/>
      <c r="F522" s="230" t="str">
        <f>IFERROR((Table47[[#This Row],[Initial No. of Requirements]]+Table47[[#This Row],[Modified Requirements( Added / Deleted /Modified)]])/Table47[[#This Row],[Initial No. of Requirements]],"")</f>
        <v/>
      </c>
      <c r="G52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2" s="249"/>
      <c r="J522" s="249"/>
      <c r="K522" s="250"/>
      <c r="L522" s="250"/>
      <c r="M522" s="250"/>
      <c r="N522" s="248">
        <f>SUMIFS(Table1[Size],Table1[Release Name],[2]!Table7[Release Name])</f>
        <v>0</v>
      </c>
      <c r="O522" s="248"/>
      <c r="P52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2" s="248"/>
      <c r="R52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2" s="248"/>
      <c r="T522" s="248"/>
      <c r="U522" s="248"/>
      <c r="V522" s="248"/>
      <c r="W522" s="248"/>
      <c r="X522" s="248"/>
      <c r="Y522" s="248"/>
      <c r="Z522" s="248"/>
      <c r="AA522" s="248"/>
      <c r="AB522" s="13">
        <f>SUMIFS(Table3[Hours Worked],Table3[Release Name],Table7[[#This Row],[Release Name]],Table3[Task Type],"Testcase Creation")</f>
        <v>0</v>
      </c>
      <c r="AC522" s="255">
        <f>SUMIFS(Table3[Hours Worked],Table3[Release Name],Table7[[#This Row],[Release Name]],Table3[Task Type],"Testcase Execution")</f>
        <v>0</v>
      </c>
      <c r="AD52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2" s="256" t="str">
        <f>IFERROR((Table7[[#This Row],[No. of Valid Internal Review Defects]]+Table7[[#This Row],[No. of Valid  Internal Testing Defects]]+Table7[[#This Row],[No. of  Valid External Review Defects]]+Table7[[#This Row],[No. of Valid External Testing Defects]])/Table7[[#This Row],[Size]],"")</f>
        <v/>
      </c>
      <c r="AF522" s="257" t="str">
        <f>IFERROR(Table7[[#This Row],[No. of Valid Internal Review Defects]]/(Table7[[#This Row],[No. of Valid Internal Review Defects]]+Table7[[#This Row],[No. of  Valid External Review Defects]]+Table7[[#This Row],[No. of Valid  Internal Testing Defects]]+Table7[[#This Row],[No. of Valid External Testing Defects]]),"")</f>
        <v/>
      </c>
      <c r="AG522" s="258" t="str">
        <f>IFERROR(Table7[[#This Row],[No. of Valid Internal Review Defects]]/(Table7[[#This Row],[No. of Valid Internal Review Defects]]+Table7[[#This Row],[No. of  Valid External Review Defects]]+Table7[[#This Row],[No. of Valid External Testing Defects]]),"")</f>
        <v/>
      </c>
      <c r="AH522" s="256" t="str">
        <f>IFERROR(Table7[[#This Row],[No. of Valid  Internal Testing Defects]]/Table7[[#This Row],[Overall Actual Effort for the release]],"")</f>
        <v/>
      </c>
      <c r="AI522" s="256" t="str">
        <f>IFERROR(Table7[[#This Row],[No. of Valid  Internal Testing Defects]]/Table7[[#This Row],[No. of Testcases Executed]],"")</f>
        <v/>
      </c>
      <c r="AJ522" s="259" t="str">
        <f>IFERROR(IFERROR(Table7[[#This Row],[No. of Testcases Created]]/Table7[[#This Row],[Effort for Testcase Creation]],"")*9,"")</f>
        <v/>
      </c>
      <c r="AK522" s="256" t="str">
        <f>IFERROR((Table7[[#This Row],[No. of Testcases Executed]]/Table7[[#This Row],[Effort for Testcase Execution]])*9,"")</f>
        <v/>
      </c>
      <c r="AL52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2" s="259" t="str">
        <f>IFERROR(Table7[[#This Row],[No. of Defects Validated]]/SUMIFS(Table3[Hours Worked],Table3[Release Name],Table7[[#This Row],[Release Name]],Table3[Task Type],"Defect Validation")*9,"")</f>
        <v/>
      </c>
      <c r="AN522" s="258" t="str">
        <f>IFERROR((Table7[[#This Row],[No. of Valid  Internal Testing Defects]])/(Table7[[#This Row],[No. of Valid  Internal Testing Defects]]+Table7[[#This Row],[No. of Invalid Internal Testing Defects]]),"")</f>
        <v/>
      </c>
      <c r="AO522" s="258" t="str">
        <f>IFERROR(Table7[[#This Row],[No. of Valid External Testing Defects]]/(Table7[[#This Row],[No. of Valid External Testing Defects]]+Table7[[#This Row],[No. of Valid  Internal Testing Defects]]),"")</f>
        <v/>
      </c>
    </row>
    <row r="523" spans="2:41">
      <c r="B523" s="237"/>
      <c r="C523" s="14"/>
      <c r="D523" s="14"/>
      <c r="E523" s="14"/>
      <c r="F523" s="230" t="str">
        <f>IFERROR((Table47[[#This Row],[Initial No. of Requirements]]+Table47[[#This Row],[Modified Requirements( Added / Deleted /Modified)]])/Table47[[#This Row],[Initial No. of Requirements]],"")</f>
        <v/>
      </c>
      <c r="G52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3" s="249"/>
      <c r="J523" s="249"/>
      <c r="K523" s="250"/>
      <c r="L523" s="250"/>
      <c r="M523" s="250"/>
      <c r="N523" s="248">
        <f>SUMIFS(Table1[Size],Table1[Release Name],[2]!Table7[Release Name])</f>
        <v>0</v>
      </c>
      <c r="O523" s="248"/>
      <c r="P52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3" s="248"/>
      <c r="R52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3" s="248"/>
      <c r="T523" s="248"/>
      <c r="U523" s="248"/>
      <c r="V523" s="248"/>
      <c r="W523" s="248"/>
      <c r="X523" s="248"/>
      <c r="Y523" s="248"/>
      <c r="Z523" s="248"/>
      <c r="AA523" s="248"/>
      <c r="AB523" s="13">
        <f>SUMIFS(Table3[Hours Worked],Table3[Release Name],Table7[[#This Row],[Release Name]],Table3[Task Type],"Testcase Creation")</f>
        <v>0</v>
      </c>
      <c r="AC523" s="255">
        <f>SUMIFS(Table3[Hours Worked],Table3[Release Name],Table7[[#This Row],[Release Name]],Table3[Task Type],"Testcase Execution")</f>
        <v>0</v>
      </c>
      <c r="AD52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3" s="256" t="str">
        <f>IFERROR((Table7[[#This Row],[No. of Valid Internal Review Defects]]+Table7[[#This Row],[No. of Valid  Internal Testing Defects]]+Table7[[#This Row],[No. of  Valid External Review Defects]]+Table7[[#This Row],[No. of Valid External Testing Defects]])/Table7[[#This Row],[Size]],"")</f>
        <v/>
      </c>
      <c r="AF523" s="257" t="str">
        <f>IFERROR(Table7[[#This Row],[No. of Valid Internal Review Defects]]/(Table7[[#This Row],[No. of Valid Internal Review Defects]]+Table7[[#This Row],[No. of  Valid External Review Defects]]+Table7[[#This Row],[No. of Valid  Internal Testing Defects]]+Table7[[#This Row],[No. of Valid External Testing Defects]]),"")</f>
        <v/>
      </c>
      <c r="AG523" s="258" t="str">
        <f>IFERROR(Table7[[#This Row],[No. of Valid Internal Review Defects]]/(Table7[[#This Row],[No. of Valid Internal Review Defects]]+Table7[[#This Row],[No. of  Valid External Review Defects]]+Table7[[#This Row],[No. of Valid External Testing Defects]]),"")</f>
        <v/>
      </c>
      <c r="AH523" s="256" t="str">
        <f>IFERROR(Table7[[#This Row],[No. of Valid  Internal Testing Defects]]/Table7[[#This Row],[Overall Actual Effort for the release]],"")</f>
        <v/>
      </c>
      <c r="AI523" s="256" t="str">
        <f>IFERROR(Table7[[#This Row],[No. of Valid  Internal Testing Defects]]/Table7[[#This Row],[No. of Testcases Executed]],"")</f>
        <v/>
      </c>
      <c r="AJ523" s="259" t="str">
        <f>IFERROR(IFERROR(Table7[[#This Row],[No. of Testcases Created]]/Table7[[#This Row],[Effort for Testcase Creation]],"")*9,"")</f>
        <v/>
      </c>
      <c r="AK523" s="256" t="str">
        <f>IFERROR((Table7[[#This Row],[No. of Testcases Executed]]/Table7[[#This Row],[Effort for Testcase Execution]])*9,"")</f>
        <v/>
      </c>
      <c r="AL52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3" s="259" t="str">
        <f>IFERROR(Table7[[#This Row],[No. of Defects Validated]]/SUMIFS(Table3[Hours Worked],Table3[Release Name],Table7[[#This Row],[Release Name]],Table3[Task Type],"Defect Validation")*9,"")</f>
        <v/>
      </c>
      <c r="AN523" s="258" t="str">
        <f>IFERROR((Table7[[#This Row],[No. of Valid  Internal Testing Defects]])/(Table7[[#This Row],[No. of Valid  Internal Testing Defects]]+Table7[[#This Row],[No. of Invalid Internal Testing Defects]]),"")</f>
        <v/>
      </c>
      <c r="AO523" s="258" t="str">
        <f>IFERROR(Table7[[#This Row],[No. of Valid External Testing Defects]]/(Table7[[#This Row],[No. of Valid External Testing Defects]]+Table7[[#This Row],[No. of Valid  Internal Testing Defects]]),"")</f>
        <v/>
      </c>
    </row>
    <row r="524" spans="2:41">
      <c r="B524" s="237"/>
      <c r="C524" s="14"/>
      <c r="D524" s="14"/>
      <c r="E524" s="14"/>
      <c r="F524" s="230" t="str">
        <f>IFERROR((Table47[[#This Row],[Initial No. of Requirements]]+Table47[[#This Row],[Modified Requirements( Added / Deleted /Modified)]])/Table47[[#This Row],[Initial No. of Requirements]],"")</f>
        <v/>
      </c>
      <c r="G52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4" s="249"/>
      <c r="J524" s="249"/>
      <c r="K524" s="250"/>
      <c r="L524" s="250"/>
      <c r="M524" s="250"/>
      <c r="N524" s="248">
        <f>SUMIFS(Table1[Size],Table1[Release Name],[2]!Table7[Release Name])</f>
        <v>0</v>
      </c>
      <c r="O524" s="248"/>
      <c r="P52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4" s="248"/>
      <c r="R52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4" s="248"/>
      <c r="T524" s="248"/>
      <c r="U524" s="248"/>
      <c r="V524" s="248"/>
      <c r="W524" s="248"/>
      <c r="X524" s="248"/>
      <c r="Y524" s="248"/>
      <c r="Z524" s="248"/>
      <c r="AA524" s="248"/>
      <c r="AB524" s="13">
        <f>SUMIFS(Table3[Hours Worked],Table3[Release Name],Table7[[#This Row],[Release Name]],Table3[Task Type],"Testcase Creation")</f>
        <v>0</v>
      </c>
      <c r="AC524" s="255">
        <f>SUMIFS(Table3[Hours Worked],Table3[Release Name],Table7[[#This Row],[Release Name]],Table3[Task Type],"Testcase Execution")</f>
        <v>0</v>
      </c>
      <c r="AD52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4" s="256" t="str">
        <f>IFERROR((Table7[[#This Row],[No. of Valid Internal Review Defects]]+Table7[[#This Row],[No. of Valid  Internal Testing Defects]]+Table7[[#This Row],[No. of  Valid External Review Defects]]+Table7[[#This Row],[No. of Valid External Testing Defects]])/Table7[[#This Row],[Size]],"")</f>
        <v/>
      </c>
      <c r="AF524" s="257" t="str">
        <f>IFERROR(Table7[[#This Row],[No. of Valid Internal Review Defects]]/(Table7[[#This Row],[No. of Valid Internal Review Defects]]+Table7[[#This Row],[No. of  Valid External Review Defects]]+Table7[[#This Row],[No. of Valid  Internal Testing Defects]]+Table7[[#This Row],[No. of Valid External Testing Defects]]),"")</f>
        <v/>
      </c>
      <c r="AG524" s="258" t="str">
        <f>IFERROR(Table7[[#This Row],[No. of Valid Internal Review Defects]]/(Table7[[#This Row],[No. of Valid Internal Review Defects]]+Table7[[#This Row],[No. of  Valid External Review Defects]]+Table7[[#This Row],[No. of Valid External Testing Defects]]),"")</f>
        <v/>
      </c>
      <c r="AH524" s="256" t="str">
        <f>IFERROR(Table7[[#This Row],[No. of Valid  Internal Testing Defects]]/Table7[[#This Row],[Overall Actual Effort for the release]],"")</f>
        <v/>
      </c>
      <c r="AI524" s="256" t="str">
        <f>IFERROR(Table7[[#This Row],[No. of Valid  Internal Testing Defects]]/Table7[[#This Row],[No. of Testcases Executed]],"")</f>
        <v/>
      </c>
      <c r="AJ524" s="259" t="str">
        <f>IFERROR(IFERROR(Table7[[#This Row],[No. of Testcases Created]]/Table7[[#This Row],[Effort for Testcase Creation]],"")*9,"")</f>
        <v/>
      </c>
      <c r="AK524" s="256" t="str">
        <f>IFERROR((Table7[[#This Row],[No. of Testcases Executed]]/Table7[[#This Row],[Effort for Testcase Execution]])*9,"")</f>
        <v/>
      </c>
      <c r="AL52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4" s="259" t="str">
        <f>IFERROR(Table7[[#This Row],[No. of Defects Validated]]/SUMIFS(Table3[Hours Worked],Table3[Release Name],Table7[[#This Row],[Release Name]],Table3[Task Type],"Defect Validation")*9,"")</f>
        <v/>
      </c>
      <c r="AN524" s="258" t="str">
        <f>IFERROR((Table7[[#This Row],[No. of Valid  Internal Testing Defects]])/(Table7[[#This Row],[No. of Valid  Internal Testing Defects]]+Table7[[#This Row],[No. of Invalid Internal Testing Defects]]),"")</f>
        <v/>
      </c>
      <c r="AO524" s="258" t="str">
        <f>IFERROR(Table7[[#This Row],[No. of Valid External Testing Defects]]/(Table7[[#This Row],[No. of Valid External Testing Defects]]+Table7[[#This Row],[No. of Valid  Internal Testing Defects]]),"")</f>
        <v/>
      </c>
    </row>
    <row r="525" spans="2:41">
      <c r="B525" s="237"/>
      <c r="C525" s="14"/>
      <c r="D525" s="14"/>
      <c r="E525" s="14"/>
      <c r="F525" s="230" t="str">
        <f>IFERROR((Table47[[#This Row],[Initial No. of Requirements]]+Table47[[#This Row],[Modified Requirements( Added / Deleted /Modified)]])/Table47[[#This Row],[Initial No. of Requirements]],"")</f>
        <v/>
      </c>
      <c r="G52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5" s="249"/>
      <c r="J525" s="249"/>
      <c r="K525" s="250"/>
      <c r="L525" s="250"/>
      <c r="M525" s="250"/>
      <c r="N525" s="248">
        <f>SUMIFS(Table1[Size],Table1[Release Name],[2]!Table7[Release Name])</f>
        <v>0</v>
      </c>
      <c r="O525" s="248"/>
      <c r="P52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5" s="248"/>
      <c r="R52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5" s="248"/>
      <c r="T525" s="248"/>
      <c r="U525" s="248"/>
      <c r="V525" s="248"/>
      <c r="W525" s="248"/>
      <c r="X525" s="248"/>
      <c r="Y525" s="248"/>
      <c r="Z525" s="248"/>
      <c r="AA525" s="248"/>
      <c r="AB525" s="13">
        <f>SUMIFS(Table3[Hours Worked],Table3[Release Name],Table7[[#This Row],[Release Name]],Table3[Task Type],"Testcase Creation")</f>
        <v>0</v>
      </c>
      <c r="AC525" s="255">
        <f>SUMIFS(Table3[Hours Worked],Table3[Release Name],Table7[[#This Row],[Release Name]],Table3[Task Type],"Testcase Execution")</f>
        <v>0</v>
      </c>
      <c r="AD52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5" s="256" t="str">
        <f>IFERROR((Table7[[#This Row],[No. of Valid Internal Review Defects]]+Table7[[#This Row],[No. of Valid  Internal Testing Defects]]+Table7[[#This Row],[No. of  Valid External Review Defects]]+Table7[[#This Row],[No. of Valid External Testing Defects]])/Table7[[#This Row],[Size]],"")</f>
        <v/>
      </c>
      <c r="AF525" s="257" t="str">
        <f>IFERROR(Table7[[#This Row],[No. of Valid Internal Review Defects]]/(Table7[[#This Row],[No. of Valid Internal Review Defects]]+Table7[[#This Row],[No. of  Valid External Review Defects]]+Table7[[#This Row],[No. of Valid  Internal Testing Defects]]+Table7[[#This Row],[No. of Valid External Testing Defects]]),"")</f>
        <v/>
      </c>
      <c r="AG525" s="258" t="str">
        <f>IFERROR(Table7[[#This Row],[No. of Valid Internal Review Defects]]/(Table7[[#This Row],[No. of Valid Internal Review Defects]]+Table7[[#This Row],[No. of  Valid External Review Defects]]+Table7[[#This Row],[No. of Valid External Testing Defects]]),"")</f>
        <v/>
      </c>
      <c r="AH525" s="256" t="str">
        <f>IFERROR(Table7[[#This Row],[No. of Valid  Internal Testing Defects]]/Table7[[#This Row],[Overall Actual Effort for the release]],"")</f>
        <v/>
      </c>
      <c r="AI525" s="256" t="str">
        <f>IFERROR(Table7[[#This Row],[No. of Valid  Internal Testing Defects]]/Table7[[#This Row],[No. of Testcases Executed]],"")</f>
        <v/>
      </c>
      <c r="AJ525" s="259" t="str">
        <f>IFERROR(IFERROR(Table7[[#This Row],[No. of Testcases Created]]/Table7[[#This Row],[Effort for Testcase Creation]],"")*9,"")</f>
        <v/>
      </c>
      <c r="AK525" s="256" t="str">
        <f>IFERROR((Table7[[#This Row],[No. of Testcases Executed]]/Table7[[#This Row],[Effort for Testcase Execution]])*9,"")</f>
        <v/>
      </c>
      <c r="AL52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5" s="259" t="str">
        <f>IFERROR(Table7[[#This Row],[No. of Defects Validated]]/SUMIFS(Table3[Hours Worked],Table3[Release Name],Table7[[#This Row],[Release Name]],Table3[Task Type],"Defect Validation")*9,"")</f>
        <v/>
      </c>
      <c r="AN525" s="258" t="str">
        <f>IFERROR((Table7[[#This Row],[No. of Valid  Internal Testing Defects]])/(Table7[[#This Row],[No. of Valid  Internal Testing Defects]]+Table7[[#This Row],[No. of Invalid Internal Testing Defects]]),"")</f>
        <v/>
      </c>
      <c r="AO525" s="258" t="str">
        <f>IFERROR(Table7[[#This Row],[No. of Valid External Testing Defects]]/(Table7[[#This Row],[No. of Valid External Testing Defects]]+Table7[[#This Row],[No. of Valid  Internal Testing Defects]]),"")</f>
        <v/>
      </c>
    </row>
    <row r="526" spans="2:41">
      <c r="B526" s="237"/>
      <c r="C526" s="14"/>
      <c r="D526" s="14"/>
      <c r="E526" s="14"/>
      <c r="F526" s="230" t="str">
        <f>IFERROR((Table47[[#This Row],[Initial No. of Requirements]]+Table47[[#This Row],[Modified Requirements( Added / Deleted /Modified)]])/Table47[[#This Row],[Initial No. of Requirements]],"")</f>
        <v/>
      </c>
      <c r="G52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6" s="249"/>
      <c r="J526" s="249"/>
      <c r="K526" s="250"/>
      <c r="L526" s="250"/>
      <c r="M526" s="250"/>
      <c r="N526" s="248">
        <f>SUMIFS(Table1[Size],Table1[Release Name],[2]!Table7[Release Name])</f>
        <v>0</v>
      </c>
      <c r="O526" s="248"/>
      <c r="P52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6" s="248"/>
      <c r="R52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6" s="248"/>
      <c r="T526" s="248"/>
      <c r="U526" s="248"/>
      <c r="V526" s="248"/>
      <c r="W526" s="248"/>
      <c r="X526" s="248"/>
      <c r="Y526" s="248"/>
      <c r="Z526" s="248"/>
      <c r="AA526" s="248"/>
      <c r="AB526" s="13">
        <f>SUMIFS(Table3[Hours Worked],Table3[Release Name],Table7[[#This Row],[Release Name]],Table3[Task Type],"Testcase Creation")</f>
        <v>0</v>
      </c>
      <c r="AC526" s="255">
        <f>SUMIFS(Table3[Hours Worked],Table3[Release Name],Table7[[#This Row],[Release Name]],Table3[Task Type],"Testcase Execution")</f>
        <v>0</v>
      </c>
      <c r="AD52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6" s="256" t="str">
        <f>IFERROR((Table7[[#This Row],[No. of Valid Internal Review Defects]]+Table7[[#This Row],[No. of Valid  Internal Testing Defects]]+Table7[[#This Row],[No. of  Valid External Review Defects]]+Table7[[#This Row],[No. of Valid External Testing Defects]])/Table7[[#This Row],[Size]],"")</f>
        <v/>
      </c>
      <c r="AF526" s="257" t="str">
        <f>IFERROR(Table7[[#This Row],[No. of Valid Internal Review Defects]]/(Table7[[#This Row],[No. of Valid Internal Review Defects]]+Table7[[#This Row],[No. of  Valid External Review Defects]]+Table7[[#This Row],[No. of Valid  Internal Testing Defects]]+Table7[[#This Row],[No. of Valid External Testing Defects]]),"")</f>
        <v/>
      </c>
      <c r="AG526" s="258" t="str">
        <f>IFERROR(Table7[[#This Row],[No. of Valid Internal Review Defects]]/(Table7[[#This Row],[No. of Valid Internal Review Defects]]+Table7[[#This Row],[No. of  Valid External Review Defects]]+Table7[[#This Row],[No. of Valid External Testing Defects]]),"")</f>
        <v/>
      </c>
      <c r="AH526" s="256" t="str">
        <f>IFERROR(Table7[[#This Row],[No. of Valid  Internal Testing Defects]]/Table7[[#This Row],[Overall Actual Effort for the release]],"")</f>
        <v/>
      </c>
      <c r="AI526" s="256" t="str">
        <f>IFERROR(Table7[[#This Row],[No. of Valid  Internal Testing Defects]]/Table7[[#This Row],[No. of Testcases Executed]],"")</f>
        <v/>
      </c>
      <c r="AJ526" s="259" t="str">
        <f>IFERROR(IFERROR(Table7[[#This Row],[No. of Testcases Created]]/Table7[[#This Row],[Effort for Testcase Creation]],"")*9,"")</f>
        <v/>
      </c>
      <c r="AK526" s="256" t="str">
        <f>IFERROR((Table7[[#This Row],[No. of Testcases Executed]]/Table7[[#This Row],[Effort for Testcase Execution]])*9,"")</f>
        <v/>
      </c>
      <c r="AL52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6" s="259" t="str">
        <f>IFERROR(Table7[[#This Row],[No. of Defects Validated]]/SUMIFS(Table3[Hours Worked],Table3[Release Name],Table7[[#This Row],[Release Name]],Table3[Task Type],"Defect Validation")*9,"")</f>
        <v/>
      </c>
      <c r="AN526" s="258" t="str">
        <f>IFERROR((Table7[[#This Row],[No. of Valid  Internal Testing Defects]])/(Table7[[#This Row],[No. of Valid  Internal Testing Defects]]+Table7[[#This Row],[No. of Invalid Internal Testing Defects]]),"")</f>
        <v/>
      </c>
      <c r="AO526" s="258" t="str">
        <f>IFERROR(Table7[[#This Row],[No. of Valid External Testing Defects]]/(Table7[[#This Row],[No. of Valid External Testing Defects]]+Table7[[#This Row],[No. of Valid  Internal Testing Defects]]),"")</f>
        <v/>
      </c>
    </row>
    <row r="527" spans="2:41">
      <c r="B527" s="237"/>
      <c r="C527" s="14"/>
      <c r="D527" s="14"/>
      <c r="E527" s="14"/>
      <c r="F527" s="230" t="str">
        <f>IFERROR((Table47[[#This Row],[Initial No. of Requirements]]+Table47[[#This Row],[Modified Requirements( Added / Deleted /Modified)]])/Table47[[#This Row],[Initial No. of Requirements]],"")</f>
        <v/>
      </c>
      <c r="G52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7" s="249"/>
      <c r="J527" s="249"/>
      <c r="K527" s="250"/>
      <c r="L527" s="250"/>
      <c r="M527" s="250"/>
      <c r="N527" s="248">
        <f>SUMIFS(Table1[Size],Table1[Release Name],[2]!Table7[Release Name])</f>
        <v>0</v>
      </c>
      <c r="O527" s="248"/>
      <c r="P52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7" s="248"/>
      <c r="R52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7" s="248"/>
      <c r="T527" s="248"/>
      <c r="U527" s="248"/>
      <c r="V527" s="248"/>
      <c r="W527" s="248"/>
      <c r="X527" s="248"/>
      <c r="Y527" s="248"/>
      <c r="Z527" s="248"/>
      <c r="AA527" s="248"/>
      <c r="AB527" s="13">
        <f>SUMIFS(Table3[Hours Worked],Table3[Release Name],Table7[[#This Row],[Release Name]],Table3[Task Type],"Testcase Creation")</f>
        <v>0</v>
      </c>
      <c r="AC527" s="255">
        <f>SUMIFS(Table3[Hours Worked],Table3[Release Name],Table7[[#This Row],[Release Name]],Table3[Task Type],"Testcase Execution")</f>
        <v>0</v>
      </c>
      <c r="AD52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7" s="256" t="str">
        <f>IFERROR((Table7[[#This Row],[No. of Valid Internal Review Defects]]+Table7[[#This Row],[No. of Valid  Internal Testing Defects]]+Table7[[#This Row],[No. of  Valid External Review Defects]]+Table7[[#This Row],[No. of Valid External Testing Defects]])/Table7[[#This Row],[Size]],"")</f>
        <v/>
      </c>
      <c r="AF527" s="257" t="str">
        <f>IFERROR(Table7[[#This Row],[No. of Valid Internal Review Defects]]/(Table7[[#This Row],[No. of Valid Internal Review Defects]]+Table7[[#This Row],[No. of  Valid External Review Defects]]+Table7[[#This Row],[No. of Valid  Internal Testing Defects]]+Table7[[#This Row],[No. of Valid External Testing Defects]]),"")</f>
        <v/>
      </c>
      <c r="AG527" s="258" t="str">
        <f>IFERROR(Table7[[#This Row],[No. of Valid Internal Review Defects]]/(Table7[[#This Row],[No. of Valid Internal Review Defects]]+Table7[[#This Row],[No. of  Valid External Review Defects]]+Table7[[#This Row],[No. of Valid External Testing Defects]]),"")</f>
        <v/>
      </c>
      <c r="AH527" s="256" t="str">
        <f>IFERROR(Table7[[#This Row],[No. of Valid  Internal Testing Defects]]/Table7[[#This Row],[Overall Actual Effort for the release]],"")</f>
        <v/>
      </c>
      <c r="AI527" s="256" t="str">
        <f>IFERROR(Table7[[#This Row],[No. of Valid  Internal Testing Defects]]/Table7[[#This Row],[No. of Testcases Executed]],"")</f>
        <v/>
      </c>
      <c r="AJ527" s="259" t="str">
        <f>IFERROR(IFERROR(Table7[[#This Row],[No. of Testcases Created]]/Table7[[#This Row],[Effort for Testcase Creation]],"")*9,"")</f>
        <v/>
      </c>
      <c r="AK527" s="256" t="str">
        <f>IFERROR((Table7[[#This Row],[No. of Testcases Executed]]/Table7[[#This Row],[Effort for Testcase Execution]])*9,"")</f>
        <v/>
      </c>
      <c r="AL52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7" s="259" t="str">
        <f>IFERROR(Table7[[#This Row],[No. of Defects Validated]]/SUMIFS(Table3[Hours Worked],Table3[Release Name],Table7[[#This Row],[Release Name]],Table3[Task Type],"Defect Validation")*9,"")</f>
        <v/>
      </c>
      <c r="AN527" s="258" t="str">
        <f>IFERROR((Table7[[#This Row],[No. of Valid  Internal Testing Defects]])/(Table7[[#This Row],[No. of Valid  Internal Testing Defects]]+Table7[[#This Row],[No. of Invalid Internal Testing Defects]]),"")</f>
        <v/>
      </c>
      <c r="AO527" s="258" t="str">
        <f>IFERROR(Table7[[#This Row],[No. of Valid External Testing Defects]]/(Table7[[#This Row],[No. of Valid External Testing Defects]]+Table7[[#This Row],[No. of Valid  Internal Testing Defects]]),"")</f>
        <v/>
      </c>
    </row>
    <row r="528" spans="2:41">
      <c r="B528" s="237"/>
      <c r="C528" s="14"/>
      <c r="D528" s="14"/>
      <c r="E528" s="14"/>
      <c r="F528" s="230" t="str">
        <f>IFERROR((Table47[[#This Row],[Initial No. of Requirements]]+Table47[[#This Row],[Modified Requirements( Added / Deleted /Modified)]])/Table47[[#This Row],[Initial No. of Requirements]],"")</f>
        <v/>
      </c>
      <c r="G52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8" s="249"/>
      <c r="J528" s="249"/>
      <c r="K528" s="250"/>
      <c r="L528" s="250"/>
      <c r="M528" s="250"/>
      <c r="N528" s="248">
        <f>SUMIFS(Table1[Size],Table1[Release Name],[2]!Table7[Release Name])</f>
        <v>0</v>
      </c>
      <c r="O528" s="248"/>
      <c r="P52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8" s="248"/>
      <c r="R52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8" s="248"/>
      <c r="T528" s="248"/>
      <c r="U528" s="248"/>
      <c r="V528" s="248"/>
      <c r="W528" s="248"/>
      <c r="X528" s="248"/>
      <c r="Y528" s="248"/>
      <c r="Z528" s="248"/>
      <c r="AA528" s="248"/>
      <c r="AB528" s="13">
        <f>SUMIFS(Table3[Hours Worked],Table3[Release Name],Table7[[#This Row],[Release Name]],Table3[Task Type],"Testcase Creation")</f>
        <v>0</v>
      </c>
      <c r="AC528" s="255">
        <f>SUMIFS(Table3[Hours Worked],Table3[Release Name],Table7[[#This Row],[Release Name]],Table3[Task Type],"Testcase Execution")</f>
        <v>0</v>
      </c>
      <c r="AD52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8" s="256" t="str">
        <f>IFERROR((Table7[[#This Row],[No. of Valid Internal Review Defects]]+Table7[[#This Row],[No. of Valid  Internal Testing Defects]]+Table7[[#This Row],[No. of  Valid External Review Defects]]+Table7[[#This Row],[No. of Valid External Testing Defects]])/Table7[[#This Row],[Size]],"")</f>
        <v/>
      </c>
      <c r="AF528" s="257" t="str">
        <f>IFERROR(Table7[[#This Row],[No. of Valid Internal Review Defects]]/(Table7[[#This Row],[No. of Valid Internal Review Defects]]+Table7[[#This Row],[No. of  Valid External Review Defects]]+Table7[[#This Row],[No. of Valid  Internal Testing Defects]]+Table7[[#This Row],[No. of Valid External Testing Defects]]),"")</f>
        <v/>
      </c>
      <c r="AG528" s="258" t="str">
        <f>IFERROR(Table7[[#This Row],[No. of Valid Internal Review Defects]]/(Table7[[#This Row],[No. of Valid Internal Review Defects]]+Table7[[#This Row],[No. of  Valid External Review Defects]]+Table7[[#This Row],[No. of Valid External Testing Defects]]),"")</f>
        <v/>
      </c>
      <c r="AH528" s="256" t="str">
        <f>IFERROR(Table7[[#This Row],[No. of Valid  Internal Testing Defects]]/Table7[[#This Row],[Overall Actual Effort for the release]],"")</f>
        <v/>
      </c>
      <c r="AI528" s="256" t="str">
        <f>IFERROR(Table7[[#This Row],[No. of Valid  Internal Testing Defects]]/Table7[[#This Row],[No. of Testcases Executed]],"")</f>
        <v/>
      </c>
      <c r="AJ528" s="259" t="str">
        <f>IFERROR(IFERROR(Table7[[#This Row],[No. of Testcases Created]]/Table7[[#This Row],[Effort for Testcase Creation]],"")*9,"")</f>
        <v/>
      </c>
      <c r="AK528" s="256" t="str">
        <f>IFERROR((Table7[[#This Row],[No. of Testcases Executed]]/Table7[[#This Row],[Effort for Testcase Execution]])*9,"")</f>
        <v/>
      </c>
      <c r="AL52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8" s="259" t="str">
        <f>IFERROR(Table7[[#This Row],[No. of Defects Validated]]/SUMIFS(Table3[Hours Worked],Table3[Release Name],Table7[[#This Row],[Release Name]],Table3[Task Type],"Defect Validation")*9,"")</f>
        <v/>
      </c>
      <c r="AN528" s="258" t="str">
        <f>IFERROR((Table7[[#This Row],[No. of Valid  Internal Testing Defects]])/(Table7[[#This Row],[No. of Valid  Internal Testing Defects]]+Table7[[#This Row],[No. of Invalid Internal Testing Defects]]),"")</f>
        <v/>
      </c>
      <c r="AO528" s="258" t="str">
        <f>IFERROR(Table7[[#This Row],[No. of Valid External Testing Defects]]/(Table7[[#This Row],[No. of Valid External Testing Defects]]+Table7[[#This Row],[No. of Valid  Internal Testing Defects]]),"")</f>
        <v/>
      </c>
    </row>
    <row r="529" spans="2:41">
      <c r="B529" s="237"/>
      <c r="C529" s="14"/>
      <c r="D529" s="14"/>
      <c r="E529" s="14"/>
      <c r="F529" s="230" t="str">
        <f>IFERROR((Table47[[#This Row],[Initial No. of Requirements]]+Table47[[#This Row],[Modified Requirements( Added / Deleted /Modified)]])/Table47[[#This Row],[Initial No. of Requirements]],"")</f>
        <v/>
      </c>
      <c r="G52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29" s="249"/>
      <c r="J529" s="249"/>
      <c r="K529" s="250"/>
      <c r="L529" s="250"/>
      <c r="M529" s="250"/>
      <c r="N529" s="248">
        <f>SUMIFS(Table1[Size],Table1[Release Name],[2]!Table7[Release Name])</f>
        <v>0</v>
      </c>
      <c r="O529" s="248"/>
      <c r="P52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29" s="248"/>
      <c r="R52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29" s="248"/>
      <c r="T529" s="248"/>
      <c r="U529" s="248"/>
      <c r="V529" s="248"/>
      <c r="W529" s="248"/>
      <c r="X529" s="248"/>
      <c r="Y529" s="248"/>
      <c r="Z529" s="248"/>
      <c r="AA529" s="248"/>
      <c r="AB529" s="13">
        <f>SUMIFS(Table3[Hours Worked],Table3[Release Name],Table7[[#This Row],[Release Name]],Table3[Task Type],"Testcase Creation")</f>
        <v>0</v>
      </c>
      <c r="AC529" s="255">
        <f>SUMIFS(Table3[Hours Worked],Table3[Release Name],Table7[[#This Row],[Release Name]],Table3[Task Type],"Testcase Execution")</f>
        <v>0</v>
      </c>
      <c r="AD52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29" s="256" t="str">
        <f>IFERROR((Table7[[#This Row],[No. of Valid Internal Review Defects]]+Table7[[#This Row],[No. of Valid  Internal Testing Defects]]+Table7[[#This Row],[No. of  Valid External Review Defects]]+Table7[[#This Row],[No. of Valid External Testing Defects]])/Table7[[#This Row],[Size]],"")</f>
        <v/>
      </c>
      <c r="AF529" s="257" t="str">
        <f>IFERROR(Table7[[#This Row],[No. of Valid Internal Review Defects]]/(Table7[[#This Row],[No. of Valid Internal Review Defects]]+Table7[[#This Row],[No. of  Valid External Review Defects]]+Table7[[#This Row],[No. of Valid  Internal Testing Defects]]+Table7[[#This Row],[No. of Valid External Testing Defects]]),"")</f>
        <v/>
      </c>
      <c r="AG529" s="258" t="str">
        <f>IFERROR(Table7[[#This Row],[No. of Valid Internal Review Defects]]/(Table7[[#This Row],[No. of Valid Internal Review Defects]]+Table7[[#This Row],[No. of  Valid External Review Defects]]+Table7[[#This Row],[No. of Valid External Testing Defects]]),"")</f>
        <v/>
      </c>
      <c r="AH529" s="256" t="str">
        <f>IFERROR(Table7[[#This Row],[No. of Valid  Internal Testing Defects]]/Table7[[#This Row],[Overall Actual Effort for the release]],"")</f>
        <v/>
      </c>
      <c r="AI529" s="256" t="str">
        <f>IFERROR(Table7[[#This Row],[No. of Valid  Internal Testing Defects]]/Table7[[#This Row],[No. of Testcases Executed]],"")</f>
        <v/>
      </c>
      <c r="AJ529" s="259" t="str">
        <f>IFERROR(IFERROR(Table7[[#This Row],[No. of Testcases Created]]/Table7[[#This Row],[Effort for Testcase Creation]],"")*9,"")</f>
        <v/>
      </c>
      <c r="AK529" s="256" t="str">
        <f>IFERROR((Table7[[#This Row],[No. of Testcases Executed]]/Table7[[#This Row],[Effort for Testcase Execution]])*9,"")</f>
        <v/>
      </c>
      <c r="AL52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29" s="259" t="str">
        <f>IFERROR(Table7[[#This Row],[No. of Defects Validated]]/SUMIFS(Table3[Hours Worked],Table3[Release Name],Table7[[#This Row],[Release Name]],Table3[Task Type],"Defect Validation")*9,"")</f>
        <v/>
      </c>
      <c r="AN529" s="258" t="str">
        <f>IFERROR((Table7[[#This Row],[No. of Valid  Internal Testing Defects]])/(Table7[[#This Row],[No. of Valid  Internal Testing Defects]]+Table7[[#This Row],[No. of Invalid Internal Testing Defects]]),"")</f>
        <v/>
      </c>
      <c r="AO529" s="258" t="str">
        <f>IFERROR(Table7[[#This Row],[No. of Valid External Testing Defects]]/(Table7[[#This Row],[No. of Valid External Testing Defects]]+Table7[[#This Row],[No. of Valid  Internal Testing Defects]]),"")</f>
        <v/>
      </c>
    </row>
    <row r="530" spans="2:41">
      <c r="B530" s="237"/>
      <c r="C530" s="14"/>
      <c r="D530" s="14"/>
      <c r="E530" s="14"/>
      <c r="F530" s="230" t="str">
        <f>IFERROR((Table47[[#This Row],[Initial No. of Requirements]]+Table47[[#This Row],[Modified Requirements( Added / Deleted /Modified)]])/Table47[[#This Row],[Initial No. of Requirements]],"")</f>
        <v/>
      </c>
      <c r="G53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0" s="249"/>
      <c r="J530" s="249"/>
      <c r="K530" s="250"/>
      <c r="L530" s="250"/>
      <c r="M530" s="250"/>
      <c r="N530" s="248">
        <f>SUMIFS(Table1[Size],Table1[Release Name],[2]!Table7[Release Name])</f>
        <v>0</v>
      </c>
      <c r="O530" s="248"/>
      <c r="P53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0" s="248"/>
      <c r="R53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0" s="248"/>
      <c r="T530" s="248"/>
      <c r="U530" s="248"/>
      <c r="V530" s="248"/>
      <c r="W530" s="248"/>
      <c r="X530" s="248"/>
      <c r="Y530" s="248"/>
      <c r="Z530" s="248"/>
      <c r="AA530" s="248"/>
      <c r="AB530" s="13">
        <f>SUMIFS(Table3[Hours Worked],Table3[Release Name],Table7[[#This Row],[Release Name]],Table3[Task Type],"Testcase Creation")</f>
        <v>0</v>
      </c>
      <c r="AC530" s="255">
        <f>SUMIFS(Table3[Hours Worked],Table3[Release Name],Table7[[#This Row],[Release Name]],Table3[Task Type],"Testcase Execution")</f>
        <v>0</v>
      </c>
      <c r="AD53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0" s="256" t="str">
        <f>IFERROR((Table7[[#This Row],[No. of Valid Internal Review Defects]]+Table7[[#This Row],[No. of Valid  Internal Testing Defects]]+Table7[[#This Row],[No. of  Valid External Review Defects]]+Table7[[#This Row],[No. of Valid External Testing Defects]])/Table7[[#This Row],[Size]],"")</f>
        <v/>
      </c>
      <c r="AF530" s="257" t="str">
        <f>IFERROR(Table7[[#This Row],[No. of Valid Internal Review Defects]]/(Table7[[#This Row],[No. of Valid Internal Review Defects]]+Table7[[#This Row],[No. of  Valid External Review Defects]]+Table7[[#This Row],[No. of Valid  Internal Testing Defects]]+Table7[[#This Row],[No. of Valid External Testing Defects]]),"")</f>
        <v/>
      </c>
      <c r="AG530" s="258" t="str">
        <f>IFERROR(Table7[[#This Row],[No. of Valid Internal Review Defects]]/(Table7[[#This Row],[No. of Valid Internal Review Defects]]+Table7[[#This Row],[No. of  Valid External Review Defects]]+Table7[[#This Row],[No. of Valid External Testing Defects]]),"")</f>
        <v/>
      </c>
      <c r="AH530" s="256" t="str">
        <f>IFERROR(Table7[[#This Row],[No. of Valid  Internal Testing Defects]]/Table7[[#This Row],[Overall Actual Effort for the release]],"")</f>
        <v/>
      </c>
      <c r="AI530" s="256" t="str">
        <f>IFERROR(Table7[[#This Row],[No. of Valid  Internal Testing Defects]]/Table7[[#This Row],[No. of Testcases Executed]],"")</f>
        <v/>
      </c>
      <c r="AJ530" s="259" t="str">
        <f>IFERROR(IFERROR(Table7[[#This Row],[No. of Testcases Created]]/Table7[[#This Row],[Effort for Testcase Creation]],"")*9,"")</f>
        <v/>
      </c>
      <c r="AK530" s="256" t="str">
        <f>IFERROR((Table7[[#This Row],[No. of Testcases Executed]]/Table7[[#This Row],[Effort for Testcase Execution]])*9,"")</f>
        <v/>
      </c>
      <c r="AL53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0" s="259" t="str">
        <f>IFERROR(Table7[[#This Row],[No. of Defects Validated]]/SUMIFS(Table3[Hours Worked],Table3[Release Name],Table7[[#This Row],[Release Name]],Table3[Task Type],"Defect Validation")*9,"")</f>
        <v/>
      </c>
      <c r="AN530" s="258" t="str">
        <f>IFERROR((Table7[[#This Row],[No. of Valid  Internal Testing Defects]])/(Table7[[#This Row],[No. of Valid  Internal Testing Defects]]+Table7[[#This Row],[No. of Invalid Internal Testing Defects]]),"")</f>
        <v/>
      </c>
      <c r="AO530" s="258" t="str">
        <f>IFERROR(Table7[[#This Row],[No. of Valid External Testing Defects]]/(Table7[[#This Row],[No. of Valid External Testing Defects]]+Table7[[#This Row],[No. of Valid  Internal Testing Defects]]),"")</f>
        <v/>
      </c>
    </row>
    <row r="531" spans="2:41">
      <c r="B531" s="237"/>
      <c r="C531" s="14"/>
      <c r="D531" s="14"/>
      <c r="E531" s="14"/>
      <c r="F531" s="230" t="str">
        <f>IFERROR((Table47[[#This Row],[Initial No. of Requirements]]+Table47[[#This Row],[Modified Requirements( Added / Deleted /Modified)]])/Table47[[#This Row],[Initial No. of Requirements]],"")</f>
        <v/>
      </c>
      <c r="G53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1" s="249"/>
      <c r="J531" s="249"/>
      <c r="K531" s="250"/>
      <c r="L531" s="250"/>
      <c r="M531" s="250"/>
      <c r="N531" s="248">
        <f>SUMIFS(Table1[Size],Table1[Release Name],[2]!Table7[Release Name])</f>
        <v>0</v>
      </c>
      <c r="O531" s="248"/>
      <c r="P53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1" s="248"/>
      <c r="R53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1" s="248"/>
      <c r="T531" s="248"/>
      <c r="U531" s="248"/>
      <c r="V531" s="248"/>
      <c r="W531" s="248"/>
      <c r="X531" s="248"/>
      <c r="Y531" s="248"/>
      <c r="Z531" s="248"/>
      <c r="AA531" s="248"/>
      <c r="AB531" s="13">
        <f>SUMIFS(Table3[Hours Worked],Table3[Release Name],Table7[[#This Row],[Release Name]],Table3[Task Type],"Testcase Creation")</f>
        <v>0</v>
      </c>
      <c r="AC531" s="255">
        <f>SUMIFS(Table3[Hours Worked],Table3[Release Name],Table7[[#This Row],[Release Name]],Table3[Task Type],"Testcase Execution")</f>
        <v>0</v>
      </c>
      <c r="AD53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1" s="256" t="str">
        <f>IFERROR((Table7[[#This Row],[No. of Valid Internal Review Defects]]+Table7[[#This Row],[No. of Valid  Internal Testing Defects]]+Table7[[#This Row],[No. of  Valid External Review Defects]]+Table7[[#This Row],[No. of Valid External Testing Defects]])/Table7[[#This Row],[Size]],"")</f>
        <v/>
      </c>
      <c r="AF531" s="257" t="str">
        <f>IFERROR(Table7[[#This Row],[No. of Valid Internal Review Defects]]/(Table7[[#This Row],[No. of Valid Internal Review Defects]]+Table7[[#This Row],[No. of  Valid External Review Defects]]+Table7[[#This Row],[No. of Valid  Internal Testing Defects]]+Table7[[#This Row],[No. of Valid External Testing Defects]]),"")</f>
        <v/>
      </c>
      <c r="AG531" s="258" t="str">
        <f>IFERROR(Table7[[#This Row],[No. of Valid Internal Review Defects]]/(Table7[[#This Row],[No. of Valid Internal Review Defects]]+Table7[[#This Row],[No. of  Valid External Review Defects]]+Table7[[#This Row],[No. of Valid External Testing Defects]]),"")</f>
        <v/>
      </c>
      <c r="AH531" s="256" t="str">
        <f>IFERROR(Table7[[#This Row],[No. of Valid  Internal Testing Defects]]/Table7[[#This Row],[Overall Actual Effort for the release]],"")</f>
        <v/>
      </c>
      <c r="AI531" s="256" t="str">
        <f>IFERROR(Table7[[#This Row],[No. of Valid  Internal Testing Defects]]/Table7[[#This Row],[No. of Testcases Executed]],"")</f>
        <v/>
      </c>
      <c r="AJ531" s="259" t="str">
        <f>IFERROR(IFERROR(Table7[[#This Row],[No. of Testcases Created]]/Table7[[#This Row],[Effort for Testcase Creation]],"")*9,"")</f>
        <v/>
      </c>
      <c r="AK531" s="256" t="str">
        <f>IFERROR((Table7[[#This Row],[No. of Testcases Executed]]/Table7[[#This Row],[Effort for Testcase Execution]])*9,"")</f>
        <v/>
      </c>
      <c r="AL53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1" s="259" t="str">
        <f>IFERROR(Table7[[#This Row],[No. of Defects Validated]]/SUMIFS(Table3[Hours Worked],Table3[Release Name],Table7[[#This Row],[Release Name]],Table3[Task Type],"Defect Validation")*9,"")</f>
        <v/>
      </c>
      <c r="AN531" s="258" t="str">
        <f>IFERROR((Table7[[#This Row],[No. of Valid  Internal Testing Defects]])/(Table7[[#This Row],[No. of Valid  Internal Testing Defects]]+Table7[[#This Row],[No. of Invalid Internal Testing Defects]]),"")</f>
        <v/>
      </c>
      <c r="AO531" s="258" t="str">
        <f>IFERROR(Table7[[#This Row],[No. of Valid External Testing Defects]]/(Table7[[#This Row],[No. of Valid External Testing Defects]]+Table7[[#This Row],[No. of Valid  Internal Testing Defects]]),"")</f>
        <v/>
      </c>
    </row>
    <row r="532" spans="2:41">
      <c r="B532" s="237"/>
      <c r="C532" s="14"/>
      <c r="D532" s="14"/>
      <c r="E532" s="14"/>
      <c r="F532" s="230" t="str">
        <f>IFERROR((Table47[[#This Row],[Initial No. of Requirements]]+Table47[[#This Row],[Modified Requirements( Added / Deleted /Modified)]])/Table47[[#This Row],[Initial No. of Requirements]],"")</f>
        <v/>
      </c>
      <c r="G53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2" s="249"/>
      <c r="J532" s="249"/>
      <c r="K532" s="250"/>
      <c r="L532" s="250"/>
      <c r="M532" s="250"/>
      <c r="N532" s="248">
        <f>SUMIFS(Table1[Size],Table1[Release Name],[2]!Table7[Release Name])</f>
        <v>0</v>
      </c>
      <c r="O532" s="248"/>
      <c r="P53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2" s="248"/>
      <c r="R53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2" s="248"/>
      <c r="T532" s="248"/>
      <c r="U532" s="248"/>
      <c r="V532" s="248"/>
      <c r="W532" s="248"/>
      <c r="X532" s="248"/>
      <c r="Y532" s="248"/>
      <c r="Z532" s="248"/>
      <c r="AA532" s="248"/>
      <c r="AB532" s="13">
        <f>SUMIFS(Table3[Hours Worked],Table3[Release Name],Table7[[#This Row],[Release Name]],Table3[Task Type],"Testcase Creation")</f>
        <v>0</v>
      </c>
      <c r="AC532" s="255">
        <f>SUMIFS(Table3[Hours Worked],Table3[Release Name],Table7[[#This Row],[Release Name]],Table3[Task Type],"Testcase Execution")</f>
        <v>0</v>
      </c>
      <c r="AD53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2" s="256" t="str">
        <f>IFERROR((Table7[[#This Row],[No. of Valid Internal Review Defects]]+Table7[[#This Row],[No. of Valid  Internal Testing Defects]]+Table7[[#This Row],[No. of  Valid External Review Defects]]+Table7[[#This Row],[No. of Valid External Testing Defects]])/Table7[[#This Row],[Size]],"")</f>
        <v/>
      </c>
      <c r="AF532" s="257" t="str">
        <f>IFERROR(Table7[[#This Row],[No. of Valid Internal Review Defects]]/(Table7[[#This Row],[No. of Valid Internal Review Defects]]+Table7[[#This Row],[No. of  Valid External Review Defects]]+Table7[[#This Row],[No. of Valid  Internal Testing Defects]]+Table7[[#This Row],[No. of Valid External Testing Defects]]),"")</f>
        <v/>
      </c>
      <c r="AG532" s="258" t="str">
        <f>IFERROR(Table7[[#This Row],[No. of Valid Internal Review Defects]]/(Table7[[#This Row],[No. of Valid Internal Review Defects]]+Table7[[#This Row],[No. of  Valid External Review Defects]]+Table7[[#This Row],[No. of Valid External Testing Defects]]),"")</f>
        <v/>
      </c>
      <c r="AH532" s="256" t="str">
        <f>IFERROR(Table7[[#This Row],[No. of Valid  Internal Testing Defects]]/Table7[[#This Row],[Overall Actual Effort for the release]],"")</f>
        <v/>
      </c>
      <c r="AI532" s="256" t="str">
        <f>IFERROR(Table7[[#This Row],[No. of Valid  Internal Testing Defects]]/Table7[[#This Row],[No. of Testcases Executed]],"")</f>
        <v/>
      </c>
      <c r="AJ532" s="259" t="str">
        <f>IFERROR(IFERROR(Table7[[#This Row],[No. of Testcases Created]]/Table7[[#This Row],[Effort for Testcase Creation]],"")*9,"")</f>
        <v/>
      </c>
      <c r="AK532" s="256" t="str">
        <f>IFERROR((Table7[[#This Row],[No. of Testcases Executed]]/Table7[[#This Row],[Effort for Testcase Execution]])*9,"")</f>
        <v/>
      </c>
      <c r="AL53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2" s="259" t="str">
        <f>IFERROR(Table7[[#This Row],[No. of Defects Validated]]/SUMIFS(Table3[Hours Worked],Table3[Release Name],Table7[[#This Row],[Release Name]],Table3[Task Type],"Defect Validation")*9,"")</f>
        <v/>
      </c>
      <c r="AN532" s="258" t="str">
        <f>IFERROR((Table7[[#This Row],[No. of Valid  Internal Testing Defects]])/(Table7[[#This Row],[No. of Valid  Internal Testing Defects]]+Table7[[#This Row],[No. of Invalid Internal Testing Defects]]),"")</f>
        <v/>
      </c>
      <c r="AO532" s="258" t="str">
        <f>IFERROR(Table7[[#This Row],[No. of Valid External Testing Defects]]/(Table7[[#This Row],[No. of Valid External Testing Defects]]+Table7[[#This Row],[No. of Valid  Internal Testing Defects]]),"")</f>
        <v/>
      </c>
    </row>
    <row r="533" spans="2:41">
      <c r="B533" s="237"/>
      <c r="C533" s="14"/>
      <c r="D533" s="14"/>
      <c r="E533" s="14"/>
      <c r="F533" s="230" t="str">
        <f>IFERROR((Table47[[#This Row],[Initial No. of Requirements]]+Table47[[#This Row],[Modified Requirements( Added / Deleted /Modified)]])/Table47[[#This Row],[Initial No. of Requirements]],"")</f>
        <v/>
      </c>
      <c r="G53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3" s="249"/>
      <c r="J533" s="249"/>
      <c r="K533" s="250"/>
      <c r="L533" s="250"/>
      <c r="M533" s="250"/>
      <c r="N533" s="248">
        <f>SUMIFS(Table1[Size],Table1[Release Name],[2]!Table7[Release Name])</f>
        <v>0</v>
      </c>
      <c r="O533" s="248"/>
      <c r="P53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3" s="248"/>
      <c r="R53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3" s="248"/>
      <c r="T533" s="248"/>
      <c r="U533" s="248"/>
      <c r="V533" s="248"/>
      <c r="W533" s="248"/>
      <c r="X533" s="248"/>
      <c r="Y533" s="248"/>
      <c r="Z533" s="248"/>
      <c r="AA533" s="248"/>
      <c r="AB533" s="13">
        <f>SUMIFS(Table3[Hours Worked],Table3[Release Name],Table7[[#This Row],[Release Name]],Table3[Task Type],"Testcase Creation")</f>
        <v>0</v>
      </c>
      <c r="AC533" s="255">
        <f>SUMIFS(Table3[Hours Worked],Table3[Release Name],Table7[[#This Row],[Release Name]],Table3[Task Type],"Testcase Execution")</f>
        <v>0</v>
      </c>
      <c r="AD53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3" s="256" t="str">
        <f>IFERROR((Table7[[#This Row],[No. of Valid Internal Review Defects]]+Table7[[#This Row],[No. of Valid  Internal Testing Defects]]+Table7[[#This Row],[No. of  Valid External Review Defects]]+Table7[[#This Row],[No. of Valid External Testing Defects]])/Table7[[#This Row],[Size]],"")</f>
        <v/>
      </c>
      <c r="AF533" s="257" t="str">
        <f>IFERROR(Table7[[#This Row],[No. of Valid Internal Review Defects]]/(Table7[[#This Row],[No. of Valid Internal Review Defects]]+Table7[[#This Row],[No. of  Valid External Review Defects]]+Table7[[#This Row],[No. of Valid  Internal Testing Defects]]+Table7[[#This Row],[No. of Valid External Testing Defects]]),"")</f>
        <v/>
      </c>
      <c r="AG533" s="258" t="str">
        <f>IFERROR(Table7[[#This Row],[No. of Valid Internal Review Defects]]/(Table7[[#This Row],[No. of Valid Internal Review Defects]]+Table7[[#This Row],[No. of  Valid External Review Defects]]+Table7[[#This Row],[No. of Valid External Testing Defects]]),"")</f>
        <v/>
      </c>
      <c r="AH533" s="256" t="str">
        <f>IFERROR(Table7[[#This Row],[No. of Valid  Internal Testing Defects]]/Table7[[#This Row],[Overall Actual Effort for the release]],"")</f>
        <v/>
      </c>
      <c r="AI533" s="256" t="str">
        <f>IFERROR(Table7[[#This Row],[No. of Valid  Internal Testing Defects]]/Table7[[#This Row],[No. of Testcases Executed]],"")</f>
        <v/>
      </c>
      <c r="AJ533" s="259" t="str">
        <f>IFERROR(IFERROR(Table7[[#This Row],[No. of Testcases Created]]/Table7[[#This Row],[Effort for Testcase Creation]],"")*9,"")</f>
        <v/>
      </c>
      <c r="AK533" s="256" t="str">
        <f>IFERROR((Table7[[#This Row],[No. of Testcases Executed]]/Table7[[#This Row],[Effort for Testcase Execution]])*9,"")</f>
        <v/>
      </c>
      <c r="AL53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3" s="259" t="str">
        <f>IFERROR(Table7[[#This Row],[No. of Defects Validated]]/SUMIFS(Table3[Hours Worked],Table3[Release Name],Table7[[#This Row],[Release Name]],Table3[Task Type],"Defect Validation")*9,"")</f>
        <v/>
      </c>
      <c r="AN533" s="258" t="str">
        <f>IFERROR((Table7[[#This Row],[No. of Valid  Internal Testing Defects]])/(Table7[[#This Row],[No. of Valid  Internal Testing Defects]]+Table7[[#This Row],[No. of Invalid Internal Testing Defects]]),"")</f>
        <v/>
      </c>
      <c r="AO533" s="258" t="str">
        <f>IFERROR(Table7[[#This Row],[No. of Valid External Testing Defects]]/(Table7[[#This Row],[No. of Valid External Testing Defects]]+Table7[[#This Row],[No. of Valid  Internal Testing Defects]]),"")</f>
        <v/>
      </c>
    </row>
    <row r="534" spans="2:41">
      <c r="B534" s="237"/>
      <c r="C534" s="14"/>
      <c r="D534" s="14"/>
      <c r="E534" s="14"/>
      <c r="F534" s="230" t="str">
        <f>IFERROR((Table47[[#This Row],[Initial No. of Requirements]]+Table47[[#This Row],[Modified Requirements( Added / Deleted /Modified)]])/Table47[[#This Row],[Initial No. of Requirements]],"")</f>
        <v/>
      </c>
      <c r="G53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4" s="249"/>
      <c r="J534" s="249"/>
      <c r="K534" s="250"/>
      <c r="L534" s="250"/>
      <c r="M534" s="250"/>
      <c r="N534" s="248">
        <f>SUMIFS(Table1[Size],Table1[Release Name],[2]!Table7[Release Name])</f>
        <v>0</v>
      </c>
      <c r="O534" s="248"/>
      <c r="P53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4" s="248"/>
      <c r="R53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4" s="248"/>
      <c r="T534" s="248"/>
      <c r="U534" s="248"/>
      <c r="V534" s="248"/>
      <c r="W534" s="248"/>
      <c r="X534" s="248"/>
      <c r="Y534" s="248"/>
      <c r="Z534" s="248"/>
      <c r="AA534" s="248"/>
      <c r="AB534" s="13">
        <f>SUMIFS(Table3[Hours Worked],Table3[Release Name],Table7[[#This Row],[Release Name]],Table3[Task Type],"Testcase Creation")</f>
        <v>0</v>
      </c>
      <c r="AC534" s="255">
        <f>SUMIFS(Table3[Hours Worked],Table3[Release Name],Table7[[#This Row],[Release Name]],Table3[Task Type],"Testcase Execution")</f>
        <v>0</v>
      </c>
      <c r="AD53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4" s="256" t="str">
        <f>IFERROR((Table7[[#This Row],[No. of Valid Internal Review Defects]]+Table7[[#This Row],[No. of Valid  Internal Testing Defects]]+Table7[[#This Row],[No. of  Valid External Review Defects]]+Table7[[#This Row],[No. of Valid External Testing Defects]])/Table7[[#This Row],[Size]],"")</f>
        <v/>
      </c>
      <c r="AF534" s="257" t="str">
        <f>IFERROR(Table7[[#This Row],[No. of Valid Internal Review Defects]]/(Table7[[#This Row],[No. of Valid Internal Review Defects]]+Table7[[#This Row],[No. of  Valid External Review Defects]]+Table7[[#This Row],[No. of Valid  Internal Testing Defects]]+Table7[[#This Row],[No. of Valid External Testing Defects]]),"")</f>
        <v/>
      </c>
      <c r="AG534" s="258" t="str">
        <f>IFERROR(Table7[[#This Row],[No. of Valid Internal Review Defects]]/(Table7[[#This Row],[No. of Valid Internal Review Defects]]+Table7[[#This Row],[No. of  Valid External Review Defects]]+Table7[[#This Row],[No. of Valid External Testing Defects]]),"")</f>
        <v/>
      </c>
      <c r="AH534" s="256" t="str">
        <f>IFERROR(Table7[[#This Row],[No. of Valid  Internal Testing Defects]]/Table7[[#This Row],[Overall Actual Effort for the release]],"")</f>
        <v/>
      </c>
      <c r="AI534" s="256" t="str">
        <f>IFERROR(Table7[[#This Row],[No. of Valid  Internal Testing Defects]]/Table7[[#This Row],[No. of Testcases Executed]],"")</f>
        <v/>
      </c>
      <c r="AJ534" s="259" t="str">
        <f>IFERROR(IFERROR(Table7[[#This Row],[No. of Testcases Created]]/Table7[[#This Row],[Effort for Testcase Creation]],"")*9,"")</f>
        <v/>
      </c>
      <c r="AK534" s="256" t="str">
        <f>IFERROR((Table7[[#This Row],[No. of Testcases Executed]]/Table7[[#This Row],[Effort for Testcase Execution]])*9,"")</f>
        <v/>
      </c>
      <c r="AL53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4" s="259" t="str">
        <f>IFERROR(Table7[[#This Row],[No. of Defects Validated]]/SUMIFS(Table3[Hours Worked],Table3[Release Name],Table7[[#This Row],[Release Name]],Table3[Task Type],"Defect Validation")*9,"")</f>
        <v/>
      </c>
      <c r="AN534" s="258" t="str">
        <f>IFERROR((Table7[[#This Row],[No. of Valid  Internal Testing Defects]])/(Table7[[#This Row],[No. of Valid  Internal Testing Defects]]+Table7[[#This Row],[No. of Invalid Internal Testing Defects]]),"")</f>
        <v/>
      </c>
      <c r="AO534" s="258" t="str">
        <f>IFERROR(Table7[[#This Row],[No. of Valid External Testing Defects]]/(Table7[[#This Row],[No. of Valid External Testing Defects]]+Table7[[#This Row],[No. of Valid  Internal Testing Defects]]),"")</f>
        <v/>
      </c>
    </row>
    <row r="535" spans="2:41">
      <c r="B535" s="237"/>
      <c r="C535" s="14"/>
      <c r="D535" s="14"/>
      <c r="E535" s="14"/>
      <c r="F535" s="230" t="str">
        <f>IFERROR((Table47[[#This Row],[Initial No. of Requirements]]+Table47[[#This Row],[Modified Requirements( Added / Deleted /Modified)]])/Table47[[#This Row],[Initial No. of Requirements]],"")</f>
        <v/>
      </c>
      <c r="G53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5" s="249"/>
      <c r="J535" s="249"/>
      <c r="K535" s="250"/>
      <c r="L535" s="250"/>
      <c r="M535" s="250"/>
      <c r="N535" s="248">
        <f>SUMIFS(Table1[Size],Table1[Release Name],[2]!Table7[Release Name])</f>
        <v>0</v>
      </c>
      <c r="O535" s="248"/>
      <c r="P53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5" s="248"/>
      <c r="R53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5" s="248"/>
      <c r="T535" s="248"/>
      <c r="U535" s="248"/>
      <c r="V535" s="248"/>
      <c r="W535" s="248"/>
      <c r="X535" s="248"/>
      <c r="Y535" s="248"/>
      <c r="Z535" s="248"/>
      <c r="AA535" s="248"/>
      <c r="AB535" s="13">
        <f>SUMIFS(Table3[Hours Worked],Table3[Release Name],Table7[[#This Row],[Release Name]],Table3[Task Type],"Testcase Creation")</f>
        <v>0</v>
      </c>
      <c r="AC535" s="255">
        <f>SUMIFS(Table3[Hours Worked],Table3[Release Name],Table7[[#This Row],[Release Name]],Table3[Task Type],"Testcase Execution")</f>
        <v>0</v>
      </c>
      <c r="AD53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5" s="256" t="str">
        <f>IFERROR((Table7[[#This Row],[No. of Valid Internal Review Defects]]+Table7[[#This Row],[No. of Valid  Internal Testing Defects]]+Table7[[#This Row],[No. of  Valid External Review Defects]]+Table7[[#This Row],[No. of Valid External Testing Defects]])/Table7[[#This Row],[Size]],"")</f>
        <v/>
      </c>
      <c r="AF535" s="257" t="str">
        <f>IFERROR(Table7[[#This Row],[No. of Valid Internal Review Defects]]/(Table7[[#This Row],[No. of Valid Internal Review Defects]]+Table7[[#This Row],[No. of  Valid External Review Defects]]+Table7[[#This Row],[No. of Valid  Internal Testing Defects]]+Table7[[#This Row],[No. of Valid External Testing Defects]]),"")</f>
        <v/>
      </c>
      <c r="AG535" s="258" t="str">
        <f>IFERROR(Table7[[#This Row],[No. of Valid Internal Review Defects]]/(Table7[[#This Row],[No. of Valid Internal Review Defects]]+Table7[[#This Row],[No. of  Valid External Review Defects]]+Table7[[#This Row],[No. of Valid External Testing Defects]]),"")</f>
        <v/>
      </c>
      <c r="AH535" s="256" t="str">
        <f>IFERROR(Table7[[#This Row],[No. of Valid  Internal Testing Defects]]/Table7[[#This Row],[Overall Actual Effort for the release]],"")</f>
        <v/>
      </c>
      <c r="AI535" s="256" t="str">
        <f>IFERROR(Table7[[#This Row],[No. of Valid  Internal Testing Defects]]/Table7[[#This Row],[No. of Testcases Executed]],"")</f>
        <v/>
      </c>
      <c r="AJ535" s="259" t="str">
        <f>IFERROR(IFERROR(Table7[[#This Row],[No. of Testcases Created]]/Table7[[#This Row],[Effort for Testcase Creation]],"")*9,"")</f>
        <v/>
      </c>
      <c r="AK535" s="256" t="str">
        <f>IFERROR((Table7[[#This Row],[No. of Testcases Executed]]/Table7[[#This Row],[Effort for Testcase Execution]])*9,"")</f>
        <v/>
      </c>
      <c r="AL53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5" s="259" t="str">
        <f>IFERROR(Table7[[#This Row],[No. of Defects Validated]]/SUMIFS(Table3[Hours Worked],Table3[Release Name],Table7[[#This Row],[Release Name]],Table3[Task Type],"Defect Validation")*9,"")</f>
        <v/>
      </c>
      <c r="AN535" s="258" t="str">
        <f>IFERROR((Table7[[#This Row],[No. of Valid  Internal Testing Defects]])/(Table7[[#This Row],[No. of Valid  Internal Testing Defects]]+Table7[[#This Row],[No. of Invalid Internal Testing Defects]]),"")</f>
        <v/>
      </c>
      <c r="AO535" s="258" t="str">
        <f>IFERROR(Table7[[#This Row],[No. of Valid External Testing Defects]]/(Table7[[#This Row],[No. of Valid External Testing Defects]]+Table7[[#This Row],[No. of Valid  Internal Testing Defects]]),"")</f>
        <v/>
      </c>
    </row>
    <row r="536" spans="2:41">
      <c r="B536" s="237"/>
      <c r="C536" s="14"/>
      <c r="D536" s="14"/>
      <c r="E536" s="14"/>
      <c r="F536" s="230" t="str">
        <f>IFERROR((Table47[[#This Row],[Initial No. of Requirements]]+Table47[[#This Row],[Modified Requirements( Added / Deleted /Modified)]])/Table47[[#This Row],[Initial No. of Requirements]],"")</f>
        <v/>
      </c>
      <c r="G53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6" s="249"/>
      <c r="J536" s="249"/>
      <c r="K536" s="250"/>
      <c r="L536" s="250"/>
      <c r="M536" s="250"/>
      <c r="N536" s="248">
        <f>SUMIFS(Table1[Size],Table1[Release Name],[2]!Table7[Release Name])</f>
        <v>0</v>
      </c>
      <c r="O536" s="248"/>
      <c r="P53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6" s="248"/>
      <c r="R53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6" s="248"/>
      <c r="T536" s="248"/>
      <c r="U536" s="248"/>
      <c r="V536" s="248"/>
      <c r="W536" s="248"/>
      <c r="X536" s="248"/>
      <c r="Y536" s="248"/>
      <c r="Z536" s="248"/>
      <c r="AA536" s="248"/>
      <c r="AB536" s="13">
        <f>SUMIFS(Table3[Hours Worked],Table3[Release Name],Table7[[#This Row],[Release Name]],Table3[Task Type],"Testcase Creation")</f>
        <v>0</v>
      </c>
      <c r="AC536" s="255">
        <f>SUMIFS(Table3[Hours Worked],Table3[Release Name],Table7[[#This Row],[Release Name]],Table3[Task Type],"Testcase Execution")</f>
        <v>0</v>
      </c>
      <c r="AD53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6" s="256" t="str">
        <f>IFERROR((Table7[[#This Row],[No. of Valid Internal Review Defects]]+Table7[[#This Row],[No. of Valid  Internal Testing Defects]]+Table7[[#This Row],[No. of  Valid External Review Defects]]+Table7[[#This Row],[No. of Valid External Testing Defects]])/Table7[[#This Row],[Size]],"")</f>
        <v/>
      </c>
      <c r="AF536" s="257" t="str">
        <f>IFERROR(Table7[[#This Row],[No. of Valid Internal Review Defects]]/(Table7[[#This Row],[No. of Valid Internal Review Defects]]+Table7[[#This Row],[No. of  Valid External Review Defects]]+Table7[[#This Row],[No. of Valid  Internal Testing Defects]]+Table7[[#This Row],[No. of Valid External Testing Defects]]),"")</f>
        <v/>
      </c>
      <c r="AG536" s="258" t="str">
        <f>IFERROR(Table7[[#This Row],[No. of Valid Internal Review Defects]]/(Table7[[#This Row],[No. of Valid Internal Review Defects]]+Table7[[#This Row],[No. of  Valid External Review Defects]]+Table7[[#This Row],[No. of Valid External Testing Defects]]),"")</f>
        <v/>
      </c>
      <c r="AH536" s="256" t="str">
        <f>IFERROR(Table7[[#This Row],[No. of Valid  Internal Testing Defects]]/Table7[[#This Row],[Overall Actual Effort for the release]],"")</f>
        <v/>
      </c>
      <c r="AI536" s="256" t="str">
        <f>IFERROR(Table7[[#This Row],[No. of Valid  Internal Testing Defects]]/Table7[[#This Row],[No. of Testcases Executed]],"")</f>
        <v/>
      </c>
      <c r="AJ536" s="259" t="str">
        <f>IFERROR(IFERROR(Table7[[#This Row],[No. of Testcases Created]]/Table7[[#This Row],[Effort for Testcase Creation]],"")*9,"")</f>
        <v/>
      </c>
      <c r="AK536" s="256" t="str">
        <f>IFERROR((Table7[[#This Row],[No. of Testcases Executed]]/Table7[[#This Row],[Effort for Testcase Execution]])*9,"")</f>
        <v/>
      </c>
      <c r="AL53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6" s="259" t="str">
        <f>IFERROR(Table7[[#This Row],[No. of Defects Validated]]/SUMIFS(Table3[Hours Worked],Table3[Release Name],Table7[[#This Row],[Release Name]],Table3[Task Type],"Defect Validation")*9,"")</f>
        <v/>
      </c>
      <c r="AN536" s="258" t="str">
        <f>IFERROR((Table7[[#This Row],[No. of Valid  Internal Testing Defects]])/(Table7[[#This Row],[No. of Valid  Internal Testing Defects]]+Table7[[#This Row],[No. of Invalid Internal Testing Defects]]),"")</f>
        <v/>
      </c>
      <c r="AO536" s="258" t="str">
        <f>IFERROR(Table7[[#This Row],[No. of Valid External Testing Defects]]/(Table7[[#This Row],[No. of Valid External Testing Defects]]+Table7[[#This Row],[No. of Valid  Internal Testing Defects]]),"")</f>
        <v/>
      </c>
    </row>
    <row r="537" spans="2:41">
      <c r="B537" s="237"/>
      <c r="C537" s="14"/>
      <c r="D537" s="14"/>
      <c r="E537" s="14"/>
      <c r="F537" s="230" t="str">
        <f>IFERROR((Table47[[#This Row],[Initial No. of Requirements]]+Table47[[#This Row],[Modified Requirements( Added / Deleted /Modified)]])/Table47[[#This Row],[Initial No. of Requirements]],"")</f>
        <v/>
      </c>
      <c r="G53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7" s="249"/>
      <c r="J537" s="249"/>
      <c r="K537" s="250"/>
      <c r="L537" s="250"/>
      <c r="M537" s="250"/>
      <c r="N537" s="248">
        <f>SUMIFS(Table1[Size],Table1[Release Name],[2]!Table7[Release Name])</f>
        <v>0</v>
      </c>
      <c r="O537" s="248"/>
      <c r="P53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7" s="248"/>
      <c r="R53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7" s="248"/>
      <c r="T537" s="248"/>
      <c r="U537" s="248"/>
      <c r="V537" s="248"/>
      <c r="W537" s="248"/>
      <c r="X537" s="248"/>
      <c r="Y537" s="248"/>
      <c r="Z537" s="248"/>
      <c r="AA537" s="248"/>
      <c r="AB537" s="13">
        <f>SUMIFS(Table3[Hours Worked],Table3[Release Name],Table7[[#This Row],[Release Name]],Table3[Task Type],"Testcase Creation")</f>
        <v>0</v>
      </c>
      <c r="AC537" s="255">
        <f>SUMIFS(Table3[Hours Worked],Table3[Release Name],Table7[[#This Row],[Release Name]],Table3[Task Type],"Testcase Execution")</f>
        <v>0</v>
      </c>
      <c r="AD53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7" s="256" t="str">
        <f>IFERROR((Table7[[#This Row],[No. of Valid Internal Review Defects]]+Table7[[#This Row],[No. of Valid  Internal Testing Defects]]+Table7[[#This Row],[No. of  Valid External Review Defects]]+Table7[[#This Row],[No. of Valid External Testing Defects]])/Table7[[#This Row],[Size]],"")</f>
        <v/>
      </c>
      <c r="AF537" s="257" t="str">
        <f>IFERROR(Table7[[#This Row],[No. of Valid Internal Review Defects]]/(Table7[[#This Row],[No. of Valid Internal Review Defects]]+Table7[[#This Row],[No. of  Valid External Review Defects]]+Table7[[#This Row],[No. of Valid  Internal Testing Defects]]+Table7[[#This Row],[No. of Valid External Testing Defects]]),"")</f>
        <v/>
      </c>
      <c r="AG537" s="258" t="str">
        <f>IFERROR(Table7[[#This Row],[No. of Valid Internal Review Defects]]/(Table7[[#This Row],[No. of Valid Internal Review Defects]]+Table7[[#This Row],[No. of  Valid External Review Defects]]+Table7[[#This Row],[No. of Valid External Testing Defects]]),"")</f>
        <v/>
      </c>
      <c r="AH537" s="256" t="str">
        <f>IFERROR(Table7[[#This Row],[No. of Valid  Internal Testing Defects]]/Table7[[#This Row],[Overall Actual Effort for the release]],"")</f>
        <v/>
      </c>
      <c r="AI537" s="256" t="str">
        <f>IFERROR(Table7[[#This Row],[No. of Valid  Internal Testing Defects]]/Table7[[#This Row],[No. of Testcases Executed]],"")</f>
        <v/>
      </c>
      <c r="AJ537" s="259" t="str">
        <f>IFERROR(IFERROR(Table7[[#This Row],[No. of Testcases Created]]/Table7[[#This Row],[Effort for Testcase Creation]],"")*9,"")</f>
        <v/>
      </c>
      <c r="AK537" s="256" t="str">
        <f>IFERROR((Table7[[#This Row],[No. of Testcases Executed]]/Table7[[#This Row],[Effort for Testcase Execution]])*9,"")</f>
        <v/>
      </c>
      <c r="AL53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7" s="259" t="str">
        <f>IFERROR(Table7[[#This Row],[No. of Defects Validated]]/SUMIFS(Table3[Hours Worked],Table3[Release Name],Table7[[#This Row],[Release Name]],Table3[Task Type],"Defect Validation")*9,"")</f>
        <v/>
      </c>
      <c r="AN537" s="258" t="str">
        <f>IFERROR((Table7[[#This Row],[No. of Valid  Internal Testing Defects]])/(Table7[[#This Row],[No. of Valid  Internal Testing Defects]]+Table7[[#This Row],[No. of Invalid Internal Testing Defects]]),"")</f>
        <v/>
      </c>
      <c r="AO537" s="258" t="str">
        <f>IFERROR(Table7[[#This Row],[No. of Valid External Testing Defects]]/(Table7[[#This Row],[No. of Valid External Testing Defects]]+Table7[[#This Row],[No. of Valid  Internal Testing Defects]]),"")</f>
        <v/>
      </c>
    </row>
    <row r="538" spans="2:41">
      <c r="B538" s="237"/>
      <c r="C538" s="14"/>
      <c r="D538" s="14"/>
      <c r="E538" s="14"/>
      <c r="F538" s="230" t="str">
        <f>IFERROR((Table47[[#This Row],[Initial No. of Requirements]]+Table47[[#This Row],[Modified Requirements( Added / Deleted /Modified)]])/Table47[[#This Row],[Initial No. of Requirements]],"")</f>
        <v/>
      </c>
      <c r="G53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8" s="249"/>
      <c r="J538" s="249"/>
      <c r="K538" s="250"/>
      <c r="L538" s="250"/>
      <c r="M538" s="250"/>
      <c r="N538" s="248">
        <f>SUMIFS(Table1[Size],Table1[Release Name],[2]!Table7[Release Name])</f>
        <v>0</v>
      </c>
      <c r="O538" s="248"/>
      <c r="P53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8" s="248"/>
      <c r="R53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8" s="248"/>
      <c r="T538" s="248"/>
      <c r="U538" s="248"/>
      <c r="V538" s="248"/>
      <c r="W538" s="248"/>
      <c r="X538" s="248"/>
      <c r="Y538" s="248"/>
      <c r="Z538" s="248"/>
      <c r="AA538" s="248"/>
      <c r="AB538" s="13">
        <f>SUMIFS(Table3[Hours Worked],Table3[Release Name],Table7[[#This Row],[Release Name]],Table3[Task Type],"Testcase Creation")</f>
        <v>0</v>
      </c>
      <c r="AC538" s="255">
        <f>SUMIFS(Table3[Hours Worked],Table3[Release Name],Table7[[#This Row],[Release Name]],Table3[Task Type],"Testcase Execution")</f>
        <v>0</v>
      </c>
      <c r="AD53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8" s="256" t="str">
        <f>IFERROR((Table7[[#This Row],[No. of Valid Internal Review Defects]]+Table7[[#This Row],[No. of Valid  Internal Testing Defects]]+Table7[[#This Row],[No. of  Valid External Review Defects]]+Table7[[#This Row],[No. of Valid External Testing Defects]])/Table7[[#This Row],[Size]],"")</f>
        <v/>
      </c>
      <c r="AF538" s="257" t="str">
        <f>IFERROR(Table7[[#This Row],[No. of Valid Internal Review Defects]]/(Table7[[#This Row],[No. of Valid Internal Review Defects]]+Table7[[#This Row],[No. of  Valid External Review Defects]]+Table7[[#This Row],[No. of Valid  Internal Testing Defects]]+Table7[[#This Row],[No. of Valid External Testing Defects]]),"")</f>
        <v/>
      </c>
      <c r="AG538" s="258" t="str">
        <f>IFERROR(Table7[[#This Row],[No. of Valid Internal Review Defects]]/(Table7[[#This Row],[No. of Valid Internal Review Defects]]+Table7[[#This Row],[No. of  Valid External Review Defects]]+Table7[[#This Row],[No. of Valid External Testing Defects]]),"")</f>
        <v/>
      </c>
      <c r="AH538" s="256" t="str">
        <f>IFERROR(Table7[[#This Row],[No. of Valid  Internal Testing Defects]]/Table7[[#This Row],[Overall Actual Effort for the release]],"")</f>
        <v/>
      </c>
      <c r="AI538" s="256" t="str">
        <f>IFERROR(Table7[[#This Row],[No. of Valid  Internal Testing Defects]]/Table7[[#This Row],[No. of Testcases Executed]],"")</f>
        <v/>
      </c>
      <c r="AJ538" s="259" t="str">
        <f>IFERROR(IFERROR(Table7[[#This Row],[No. of Testcases Created]]/Table7[[#This Row],[Effort for Testcase Creation]],"")*9,"")</f>
        <v/>
      </c>
      <c r="AK538" s="256" t="str">
        <f>IFERROR((Table7[[#This Row],[No. of Testcases Executed]]/Table7[[#This Row],[Effort for Testcase Execution]])*9,"")</f>
        <v/>
      </c>
      <c r="AL53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8" s="259" t="str">
        <f>IFERROR(Table7[[#This Row],[No. of Defects Validated]]/SUMIFS(Table3[Hours Worked],Table3[Release Name],Table7[[#This Row],[Release Name]],Table3[Task Type],"Defect Validation")*9,"")</f>
        <v/>
      </c>
      <c r="AN538" s="258" t="str">
        <f>IFERROR((Table7[[#This Row],[No. of Valid  Internal Testing Defects]])/(Table7[[#This Row],[No. of Valid  Internal Testing Defects]]+Table7[[#This Row],[No. of Invalid Internal Testing Defects]]),"")</f>
        <v/>
      </c>
      <c r="AO538" s="258" t="str">
        <f>IFERROR(Table7[[#This Row],[No. of Valid External Testing Defects]]/(Table7[[#This Row],[No. of Valid External Testing Defects]]+Table7[[#This Row],[No. of Valid  Internal Testing Defects]]),"")</f>
        <v/>
      </c>
    </row>
    <row r="539" spans="2:41">
      <c r="B539" s="237"/>
      <c r="C539" s="14"/>
      <c r="D539" s="14"/>
      <c r="E539" s="14"/>
      <c r="F539" s="230" t="str">
        <f>IFERROR((Table47[[#This Row],[Initial No. of Requirements]]+Table47[[#This Row],[Modified Requirements( Added / Deleted /Modified)]])/Table47[[#This Row],[Initial No. of Requirements]],"")</f>
        <v/>
      </c>
      <c r="G53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39" s="249"/>
      <c r="J539" s="249"/>
      <c r="K539" s="250"/>
      <c r="L539" s="250"/>
      <c r="M539" s="250"/>
      <c r="N539" s="248">
        <f>SUMIFS(Table1[Size],Table1[Release Name],[2]!Table7[Release Name])</f>
        <v>0</v>
      </c>
      <c r="O539" s="248"/>
      <c r="P53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39" s="248"/>
      <c r="R53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39" s="248"/>
      <c r="T539" s="248"/>
      <c r="U539" s="248"/>
      <c r="V539" s="248"/>
      <c r="W539" s="248"/>
      <c r="X539" s="248"/>
      <c r="Y539" s="248"/>
      <c r="Z539" s="248"/>
      <c r="AA539" s="248"/>
      <c r="AB539" s="13">
        <f>SUMIFS(Table3[Hours Worked],Table3[Release Name],Table7[[#This Row],[Release Name]],Table3[Task Type],"Testcase Creation")</f>
        <v>0</v>
      </c>
      <c r="AC539" s="255">
        <f>SUMIFS(Table3[Hours Worked],Table3[Release Name],Table7[[#This Row],[Release Name]],Table3[Task Type],"Testcase Execution")</f>
        <v>0</v>
      </c>
      <c r="AD53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39" s="256" t="str">
        <f>IFERROR((Table7[[#This Row],[No. of Valid Internal Review Defects]]+Table7[[#This Row],[No. of Valid  Internal Testing Defects]]+Table7[[#This Row],[No. of  Valid External Review Defects]]+Table7[[#This Row],[No. of Valid External Testing Defects]])/Table7[[#This Row],[Size]],"")</f>
        <v/>
      </c>
      <c r="AF539" s="257" t="str">
        <f>IFERROR(Table7[[#This Row],[No. of Valid Internal Review Defects]]/(Table7[[#This Row],[No. of Valid Internal Review Defects]]+Table7[[#This Row],[No. of  Valid External Review Defects]]+Table7[[#This Row],[No. of Valid  Internal Testing Defects]]+Table7[[#This Row],[No. of Valid External Testing Defects]]),"")</f>
        <v/>
      </c>
      <c r="AG539" s="258" t="str">
        <f>IFERROR(Table7[[#This Row],[No. of Valid Internal Review Defects]]/(Table7[[#This Row],[No. of Valid Internal Review Defects]]+Table7[[#This Row],[No. of  Valid External Review Defects]]+Table7[[#This Row],[No. of Valid External Testing Defects]]),"")</f>
        <v/>
      </c>
      <c r="AH539" s="256" t="str">
        <f>IFERROR(Table7[[#This Row],[No. of Valid  Internal Testing Defects]]/Table7[[#This Row],[Overall Actual Effort for the release]],"")</f>
        <v/>
      </c>
      <c r="AI539" s="256" t="str">
        <f>IFERROR(Table7[[#This Row],[No. of Valid  Internal Testing Defects]]/Table7[[#This Row],[No. of Testcases Executed]],"")</f>
        <v/>
      </c>
      <c r="AJ539" s="259" t="str">
        <f>IFERROR(IFERROR(Table7[[#This Row],[No. of Testcases Created]]/Table7[[#This Row],[Effort for Testcase Creation]],"")*9,"")</f>
        <v/>
      </c>
      <c r="AK539" s="256" t="str">
        <f>IFERROR((Table7[[#This Row],[No. of Testcases Executed]]/Table7[[#This Row],[Effort for Testcase Execution]])*9,"")</f>
        <v/>
      </c>
      <c r="AL53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39" s="259" t="str">
        <f>IFERROR(Table7[[#This Row],[No. of Defects Validated]]/SUMIFS(Table3[Hours Worked],Table3[Release Name],Table7[[#This Row],[Release Name]],Table3[Task Type],"Defect Validation")*9,"")</f>
        <v/>
      </c>
      <c r="AN539" s="258" t="str">
        <f>IFERROR((Table7[[#This Row],[No. of Valid  Internal Testing Defects]])/(Table7[[#This Row],[No. of Valid  Internal Testing Defects]]+Table7[[#This Row],[No. of Invalid Internal Testing Defects]]),"")</f>
        <v/>
      </c>
      <c r="AO539" s="258" t="str">
        <f>IFERROR(Table7[[#This Row],[No. of Valid External Testing Defects]]/(Table7[[#This Row],[No. of Valid External Testing Defects]]+Table7[[#This Row],[No. of Valid  Internal Testing Defects]]),"")</f>
        <v/>
      </c>
    </row>
    <row r="540" spans="2:41">
      <c r="B540" s="237"/>
      <c r="C540" s="14"/>
      <c r="D540" s="14"/>
      <c r="E540" s="14"/>
      <c r="F540" s="230" t="str">
        <f>IFERROR((Table47[[#This Row],[Initial No. of Requirements]]+Table47[[#This Row],[Modified Requirements( Added / Deleted /Modified)]])/Table47[[#This Row],[Initial No. of Requirements]],"")</f>
        <v/>
      </c>
      <c r="G54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0" s="249"/>
      <c r="J540" s="249"/>
      <c r="K540" s="250"/>
      <c r="L540" s="250"/>
      <c r="M540" s="250"/>
      <c r="N540" s="248">
        <f>SUMIFS(Table1[Size],Table1[Release Name],[2]!Table7[Release Name])</f>
        <v>0</v>
      </c>
      <c r="O540" s="248"/>
      <c r="P54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0" s="248"/>
      <c r="R54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0" s="248"/>
      <c r="T540" s="248"/>
      <c r="U540" s="248"/>
      <c r="V540" s="248"/>
      <c r="W540" s="248"/>
      <c r="X540" s="248"/>
      <c r="Y540" s="248"/>
      <c r="Z540" s="248"/>
      <c r="AA540" s="248"/>
      <c r="AB540" s="13">
        <f>SUMIFS(Table3[Hours Worked],Table3[Release Name],Table7[[#This Row],[Release Name]],Table3[Task Type],"Testcase Creation")</f>
        <v>0</v>
      </c>
      <c r="AC540" s="255">
        <f>SUMIFS(Table3[Hours Worked],Table3[Release Name],Table7[[#This Row],[Release Name]],Table3[Task Type],"Testcase Execution")</f>
        <v>0</v>
      </c>
      <c r="AD54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0" s="256" t="str">
        <f>IFERROR((Table7[[#This Row],[No. of Valid Internal Review Defects]]+Table7[[#This Row],[No. of Valid  Internal Testing Defects]]+Table7[[#This Row],[No. of  Valid External Review Defects]]+Table7[[#This Row],[No. of Valid External Testing Defects]])/Table7[[#This Row],[Size]],"")</f>
        <v/>
      </c>
      <c r="AF540" s="257" t="str">
        <f>IFERROR(Table7[[#This Row],[No. of Valid Internal Review Defects]]/(Table7[[#This Row],[No. of Valid Internal Review Defects]]+Table7[[#This Row],[No. of  Valid External Review Defects]]+Table7[[#This Row],[No. of Valid  Internal Testing Defects]]+Table7[[#This Row],[No. of Valid External Testing Defects]]),"")</f>
        <v/>
      </c>
      <c r="AG540" s="258" t="str">
        <f>IFERROR(Table7[[#This Row],[No. of Valid Internal Review Defects]]/(Table7[[#This Row],[No. of Valid Internal Review Defects]]+Table7[[#This Row],[No. of  Valid External Review Defects]]+Table7[[#This Row],[No. of Valid External Testing Defects]]),"")</f>
        <v/>
      </c>
      <c r="AH540" s="256" t="str">
        <f>IFERROR(Table7[[#This Row],[No. of Valid  Internal Testing Defects]]/Table7[[#This Row],[Overall Actual Effort for the release]],"")</f>
        <v/>
      </c>
      <c r="AI540" s="256" t="str">
        <f>IFERROR(Table7[[#This Row],[No. of Valid  Internal Testing Defects]]/Table7[[#This Row],[No. of Testcases Executed]],"")</f>
        <v/>
      </c>
      <c r="AJ540" s="259" t="str">
        <f>IFERROR(IFERROR(Table7[[#This Row],[No. of Testcases Created]]/Table7[[#This Row],[Effort for Testcase Creation]],"")*9,"")</f>
        <v/>
      </c>
      <c r="AK540" s="256" t="str">
        <f>IFERROR((Table7[[#This Row],[No. of Testcases Executed]]/Table7[[#This Row],[Effort for Testcase Execution]])*9,"")</f>
        <v/>
      </c>
      <c r="AL54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0" s="259" t="str">
        <f>IFERROR(Table7[[#This Row],[No. of Defects Validated]]/SUMIFS(Table3[Hours Worked],Table3[Release Name],Table7[[#This Row],[Release Name]],Table3[Task Type],"Defect Validation")*9,"")</f>
        <v/>
      </c>
      <c r="AN540" s="258" t="str">
        <f>IFERROR((Table7[[#This Row],[No. of Valid  Internal Testing Defects]])/(Table7[[#This Row],[No. of Valid  Internal Testing Defects]]+Table7[[#This Row],[No. of Invalid Internal Testing Defects]]),"")</f>
        <v/>
      </c>
      <c r="AO540" s="258" t="str">
        <f>IFERROR(Table7[[#This Row],[No. of Valid External Testing Defects]]/(Table7[[#This Row],[No. of Valid External Testing Defects]]+Table7[[#This Row],[No. of Valid  Internal Testing Defects]]),"")</f>
        <v/>
      </c>
    </row>
    <row r="541" spans="2:41">
      <c r="B541" s="237"/>
      <c r="C541" s="14"/>
      <c r="D541" s="14"/>
      <c r="E541" s="14"/>
      <c r="F541" s="230" t="str">
        <f>IFERROR((Table47[[#This Row],[Initial No. of Requirements]]+Table47[[#This Row],[Modified Requirements( Added / Deleted /Modified)]])/Table47[[#This Row],[Initial No. of Requirements]],"")</f>
        <v/>
      </c>
      <c r="G54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1" s="249"/>
      <c r="J541" s="249"/>
      <c r="K541" s="250"/>
      <c r="L541" s="250"/>
      <c r="M541" s="250"/>
      <c r="N541" s="248">
        <f>SUMIFS(Table1[Size],Table1[Release Name],[2]!Table7[Release Name])</f>
        <v>0</v>
      </c>
      <c r="O541" s="248"/>
      <c r="P54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1" s="248"/>
      <c r="R54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1" s="248"/>
      <c r="T541" s="248"/>
      <c r="U541" s="248"/>
      <c r="V541" s="248"/>
      <c r="W541" s="248"/>
      <c r="X541" s="248"/>
      <c r="Y541" s="248"/>
      <c r="Z541" s="248"/>
      <c r="AA541" s="248"/>
      <c r="AB541" s="13">
        <f>SUMIFS(Table3[Hours Worked],Table3[Release Name],Table7[[#This Row],[Release Name]],Table3[Task Type],"Testcase Creation")</f>
        <v>0</v>
      </c>
      <c r="AC541" s="255">
        <f>SUMIFS(Table3[Hours Worked],Table3[Release Name],Table7[[#This Row],[Release Name]],Table3[Task Type],"Testcase Execution")</f>
        <v>0</v>
      </c>
      <c r="AD54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1" s="256" t="str">
        <f>IFERROR((Table7[[#This Row],[No. of Valid Internal Review Defects]]+Table7[[#This Row],[No. of Valid  Internal Testing Defects]]+Table7[[#This Row],[No. of  Valid External Review Defects]]+Table7[[#This Row],[No. of Valid External Testing Defects]])/Table7[[#This Row],[Size]],"")</f>
        <v/>
      </c>
      <c r="AF541" s="257" t="str">
        <f>IFERROR(Table7[[#This Row],[No. of Valid Internal Review Defects]]/(Table7[[#This Row],[No. of Valid Internal Review Defects]]+Table7[[#This Row],[No. of  Valid External Review Defects]]+Table7[[#This Row],[No. of Valid  Internal Testing Defects]]+Table7[[#This Row],[No. of Valid External Testing Defects]]),"")</f>
        <v/>
      </c>
      <c r="AG541" s="258" t="str">
        <f>IFERROR(Table7[[#This Row],[No. of Valid Internal Review Defects]]/(Table7[[#This Row],[No. of Valid Internal Review Defects]]+Table7[[#This Row],[No. of  Valid External Review Defects]]+Table7[[#This Row],[No. of Valid External Testing Defects]]),"")</f>
        <v/>
      </c>
      <c r="AH541" s="256" t="str">
        <f>IFERROR(Table7[[#This Row],[No. of Valid  Internal Testing Defects]]/Table7[[#This Row],[Overall Actual Effort for the release]],"")</f>
        <v/>
      </c>
      <c r="AI541" s="256" t="str">
        <f>IFERROR(Table7[[#This Row],[No. of Valid  Internal Testing Defects]]/Table7[[#This Row],[No. of Testcases Executed]],"")</f>
        <v/>
      </c>
      <c r="AJ541" s="259" t="str">
        <f>IFERROR(IFERROR(Table7[[#This Row],[No. of Testcases Created]]/Table7[[#This Row],[Effort for Testcase Creation]],"")*9,"")</f>
        <v/>
      </c>
      <c r="AK541" s="256" t="str">
        <f>IFERROR((Table7[[#This Row],[No. of Testcases Executed]]/Table7[[#This Row],[Effort for Testcase Execution]])*9,"")</f>
        <v/>
      </c>
      <c r="AL54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1" s="259" t="str">
        <f>IFERROR(Table7[[#This Row],[No. of Defects Validated]]/SUMIFS(Table3[Hours Worked],Table3[Release Name],Table7[[#This Row],[Release Name]],Table3[Task Type],"Defect Validation")*9,"")</f>
        <v/>
      </c>
      <c r="AN541" s="258" t="str">
        <f>IFERROR((Table7[[#This Row],[No. of Valid  Internal Testing Defects]])/(Table7[[#This Row],[No. of Valid  Internal Testing Defects]]+Table7[[#This Row],[No. of Invalid Internal Testing Defects]]),"")</f>
        <v/>
      </c>
      <c r="AO541" s="258" t="str">
        <f>IFERROR(Table7[[#This Row],[No. of Valid External Testing Defects]]/(Table7[[#This Row],[No. of Valid External Testing Defects]]+Table7[[#This Row],[No. of Valid  Internal Testing Defects]]),"")</f>
        <v/>
      </c>
    </row>
    <row r="542" spans="2:41">
      <c r="B542" s="237"/>
      <c r="C542" s="14"/>
      <c r="D542" s="14"/>
      <c r="E542" s="14"/>
      <c r="F542" s="230" t="str">
        <f>IFERROR((Table47[[#This Row],[Initial No. of Requirements]]+Table47[[#This Row],[Modified Requirements( Added / Deleted /Modified)]])/Table47[[#This Row],[Initial No. of Requirements]],"")</f>
        <v/>
      </c>
      <c r="G54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2" s="249"/>
      <c r="J542" s="249"/>
      <c r="K542" s="250"/>
      <c r="L542" s="250"/>
      <c r="M542" s="250"/>
      <c r="N542" s="248">
        <f>SUMIFS(Table1[Size],Table1[Release Name],[2]!Table7[Release Name])</f>
        <v>0</v>
      </c>
      <c r="O542" s="248"/>
      <c r="P54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2" s="248"/>
      <c r="R54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2" s="248"/>
      <c r="T542" s="248"/>
      <c r="U542" s="248"/>
      <c r="V542" s="248"/>
      <c r="W542" s="248"/>
      <c r="X542" s="248"/>
      <c r="Y542" s="248"/>
      <c r="Z542" s="248"/>
      <c r="AA542" s="248"/>
      <c r="AB542" s="13">
        <f>SUMIFS(Table3[Hours Worked],Table3[Release Name],Table7[[#This Row],[Release Name]],Table3[Task Type],"Testcase Creation")</f>
        <v>0</v>
      </c>
      <c r="AC542" s="255">
        <f>SUMIFS(Table3[Hours Worked],Table3[Release Name],Table7[[#This Row],[Release Name]],Table3[Task Type],"Testcase Execution")</f>
        <v>0</v>
      </c>
      <c r="AD54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2" s="256" t="str">
        <f>IFERROR((Table7[[#This Row],[No. of Valid Internal Review Defects]]+Table7[[#This Row],[No. of Valid  Internal Testing Defects]]+Table7[[#This Row],[No. of  Valid External Review Defects]]+Table7[[#This Row],[No. of Valid External Testing Defects]])/Table7[[#This Row],[Size]],"")</f>
        <v/>
      </c>
      <c r="AF542" s="257" t="str">
        <f>IFERROR(Table7[[#This Row],[No. of Valid Internal Review Defects]]/(Table7[[#This Row],[No. of Valid Internal Review Defects]]+Table7[[#This Row],[No. of  Valid External Review Defects]]+Table7[[#This Row],[No. of Valid  Internal Testing Defects]]+Table7[[#This Row],[No. of Valid External Testing Defects]]),"")</f>
        <v/>
      </c>
      <c r="AG542" s="258" t="str">
        <f>IFERROR(Table7[[#This Row],[No. of Valid Internal Review Defects]]/(Table7[[#This Row],[No. of Valid Internal Review Defects]]+Table7[[#This Row],[No. of  Valid External Review Defects]]+Table7[[#This Row],[No. of Valid External Testing Defects]]),"")</f>
        <v/>
      </c>
      <c r="AH542" s="256" t="str">
        <f>IFERROR(Table7[[#This Row],[No. of Valid  Internal Testing Defects]]/Table7[[#This Row],[Overall Actual Effort for the release]],"")</f>
        <v/>
      </c>
      <c r="AI542" s="256" t="str">
        <f>IFERROR(Table7[[#This Row],[No. of Valid  Internal Testing Defects]]/Table7[[#This Row],[No. of Testcases Executed]],"")</f>
        <v/>
      </c>
      <c r="AJ542" s="259" t="str">
        <f>IFERROR(IFERROR(Table7[[#This Row],[No. of Testcases Created]]/Table7[[#This Row],[Effort for Testcase Creation]],"")*9,"")</f>
        <v/>
      </c>
      <c r="AK542" s="256" t="str">
        <f>IFERROR((Table7[[#This Row],[No. of Testcases Executed]]/Table7[[#This Row],[Effort for Testcase Execution]])*9,"")</f>
        <v/>
      </c>
      <c r="AL54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2" s="259" t="str">
        <f>IFERROR(Table7[[#This Row],[No. of Defects Validated]]/SUMIFS(Table3[Hours Worked],Table3[Release Name],Table7[[#This Row],[Release Name]],Table3[Task Type],"Defect Validation")*9,"")</f>
        <v/>
      </c>
      <c r="AN542" s="258" t="str">
        <f>IFERROR((Table7[[#This Row],[No. of Valid  Internal Testing Defects]])/(Table7[[#This Row],[No. of Valid  Internal Testing Defects]]+Table7[[#This Row],[No. of Invalid Internal Testing Defects]]),"")</f>
        <v/>
      </c>
      <c r="AO542" s="258" t="str">
        <f>IFERROR(Table7[[#This Row],[No. of Valid External Testing Defects]]/(Table7[[#This Row],[No. of Valid External Testing Defects]]+Table7[[#This Row],[No. of Valid  Internal Testing Defects]]),"")</f>
        <v/>
      </c>
    </row>
    <row r="543" spans="2:41">
      <c r="B543" s="237"/>
      <c r="C543" s="14"/>
      <c r="D543" s="14"/>
      <c r="E543" s="14"/>
      <c r="F543" s="230" t="str">
        <f>IFERROR((Table47[[#This Row],[Initial No. of Requirements]]+Table47[[#This Row],[Modified Requirements( Added / Deleted /Modified)]])/Table47[[#This Row],[Initial No. of Requirements]],"")</f>
        <v/>
      </c>
      <c r="G54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3" s="249"/>
      <c r="J543" s="249"/>
      <c r="K543" s="250"/>
      <c r="L543" s="250"/>
      <c r="M543" s="250"/>
      <c r="N543" s="248">
        <f>SUMIFS(Table1[Size],Table1[Release Name],[2]!Table7[Release Name])</f>
        <v>0</v>
      </c>
      <c r="O543" s="248"/>
      <c r="P54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3" s="248"/>
      <c r="R54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3" s="248"/>
      <c r="T543" s="248"/>
      <c r="U543" s="248"/>
      <c r="V543" s="248"/>
      <c r="W543" s="248"/>
      <c r="X543" s="248"/>
      <c r="Y543" s="248"/>
      <c r="Z543" s="248"/>
      <c r="AA543" s="248"/>
      <c r="AB543" s="13">
        <f>SUMIFS(Table3[Hours Worked],Table3[Release Name],Table7[[#This Row],[Release Name]],Table3[Task Type],"Testcase Creation")</f>
        <v>0</v>
      </c>
      <c r="AC543" s="255">
        <f>SUMIFS(Table3[Hours Worked],Table3[Release Name],Table7[[#This Row],[Release Name]],Table3[Task Type],"Testcase Execution")</f>
        <v>0</v>
      </c>
      <c r="AD54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3" s="256" t="str">
        <f>IFERROR((Table7[[#This Row],[No. of Valid Internal Review Defects]]+Table7[[#This Row],[No. of Valid  Internal Testing Defects]]+Table7[[#This Row],[No. of  Valid External Review Defects]]+Table7[[#This Row],[No. of Valid External Testing Defects]])/Table7[[#This Row],[Size]],"")</f>
        <v/>
      </c>
      <c r="AF543" s="257" t="str">
        <f>IFERROR(Table7[[#This Row],[No. of Valid Internal Review Defects]]/(Table7[[#This Row],[No. of Valid Internal Review Defects]]+Table7[[#This Row],[No. of  Valid External Review Defects]]+Table7[[#This Row],[No. of Valid  Internal Testing Defects]]+Table7[[#This Row],[No. of Valid External Testing Defects]]),"")</f>
        <v/>
      </c>
      <c r="AG543" s="258" t="str">
        <f>IFERROR(Table7[[#This Row],[No. of Valid Internal Review Defects]]/(Table7[[#This Row],[No. of Valid Internal Review Defects]]+Table7[[#This Row],[No. of  Valid External Review Defects]]+Table7[[#This Row],[No. of Valid External Testing Defects]]),"")</f>
        <v/>
      </c>
      <c r="AH543" s="256" t="str">
        <f>IFERROR(Table7[[#This Row],[No. of Valid  Internal Testing Defects]]/Table7[[#This Row],[Overall Actual Effort for the release]],"")</f>
        <v/>
      </c>
      <c r="AI543" s="256" t="str">
        <f>IFERROR(Table7[[#This Row],[No. of Valid  Internal Testing Defects]]/Table7[[#This Row],[No. of Testcases Executed]],"")</f>
        <v/>
      </c>
      <c r="AJ543" s="259" t="str">
        <f>IFERROR(IFERROR(Table7[[#This Row],[No. of Testcases Created]]/Table7[[#This Row],[Effort for Testcase Creation]],"")*9,"")</f>
        <v/>
      </c>
      <c r="AK543" s="256" t="str">
        <f>IFERROR((Table7[[#This Row],[No. of Testcases Executed]]/Table7[[#This Row],[Effort for Testcase Execution]])*9,"")</f>
        <v/>
      </c>
      <c r="AL54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3" s="259" t="str">
        <f>IFERROR(Table7[[#This Row],[No. of Defects Validated]]/SUMIFS(Table3[Hours Worked],Table3[Release Name],Table7[[#This Row],[Release Name]],Table3[Task Type],"Defect Validation")*9,"")</f>
        <v/>
      </c>
      <c r="AN543" s="258" t="str">
        <f>IFERROR((Table7[[#This Row],[No. of Valid  Internal Testing Defects]])/(Table7[[#This Row],[No. of Valid  Internal Testing Defects]]+Table7[[#This Row],[No. of Invalid Internal Testing Defects]]),"")</f>
        <v/>
      </c>
      <c r="AO543" s="258" t="str">
        <f>IFERROR(Table7[[#This Row],[No. of Valid External Testing Defects]]/(Table7[[#This Row],[No. of Valid External Testing Defects]]+Table7[[#This Row],[No. of Valid  Internal Testing Defects]]),"")</f>
        <v/>
      </c>
    </row>
    <row r="544" spans="2:41">
      <c r="B544" s="237"/>
      <c r="C544" s="14"/>
      <c r="D544" s="14"/>
      <c r="E544" s="14"/>
      <c r="F544" s="230" t="str">
        <f>IFERROR((Table47[[#This Row],[Initial No. of Requirements]]+Table47[[#This Row],[Modified Requirements( Added / Deleted /Modified)]])/Table47[[#This Row],[Initial No. of Requirements]],"")</f>
        <v/>
      </c>
      <c r="G54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4" s="249"/>
      <c r="J544" s="249"/>
      <c r="K544" s="250"/>
      <c r="L544" s="250"/>
      <c r="M544" s="250"/>
      <c r="N544" s="248">
        <f>SUMIFS(Table1[Size],Table1[Release Name],[2]!Table7[Release Name])</f>
        <v>0</v>
      </c>
      <c r="O544" s="248"/>
      <c r="P54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4" s="248"/>
      <c r="R54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4" s="248"/>
      <c r="T544" s="248"/>
      <c r="U544" s="248"/>
      <c r="V544" s="248"/>
      <c r="W544" s="248"/>
      <c r="X544" s="248"/>
      <c r="Y544" s="248"/>
      <c r="Z544" s="248"/>
      <c r="AA544" s="248"/>
      <c r="AB544" s="13">
        <f>SUMIFS(Table3[Hours Worked],Table3[Release Name],Table7[[#This Row],[Release Name]],Table3[Task Type],"Testcase Creation")</f>
        <v>0</v>
      </c>
      <c r="AC544" s="255">
        <f>SUMIFS(Table3[Hours Worked],Table3[Release Name],Table7[[#This Row],[Release Name]],Table3[Task Type],"Testcase Execution")</f>
        <v>0</v>
      </c>
      <c r="AD54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4" s="256" t="str">
        <f>IFERROR((Table7[[#This Row],[No. of Valid Internal Review Defects]]+Table7[[#This Row],[No. of Valid  Internal Testing Defects]]+Table7[[#This Row],[No. of  Valid External Review Defects]]+Table7[[#This Row],[No. of Valid External Testing Defects]])/Table7[[#This Row],[Size]],"")</f>
        <v/>
      </c>
      <c r="AF544" s="257" t="str">
        <f>IFERROR(Table7[[#This Row],[No. of Valid Internal Review Defects]]/(Table7[[#This Row],[No. of Valid Internal Review Defects]]+Table7[[#This Row],[No. of  Valid External Review Defects]]+Table7[[#This Row],[No. of Valid  Internal Testing Defects]]+Table7[[#This Row],[No. of Valid External Testing Defects]]),"")</f>
        <v/>
      </c>
      <c r="AG544" s="258" t="str">
        <f>IFERROR(Table7[[#This Row],[No. of Valid Internal Review Defects]]/(Table7[[#This Row],[No. of Valid Internal Review Defects]]+Table7[[#This Row],[No. of  Valid External Review Defects]]+Table7[[#This Row],[No. of Valid External Testing Defects]]),"")</f>
        <v/>
      </c>
      <c r="AH544" s="256" t="str">
        <f>IFERROR(Table7[[#This Row],[No. of Valid  Internal Testing Defects]]/Table7[[#This Row],[Overall Actual Effort for the release]],"")</f>
        <v/>
      </c>
      <c r="AI544" s="256" t="str">
        <f>IFERROR(Table7[[#This Row],[No. of Valid  Internal Testing Defects]]/Table7[[#This Row],[No. of Testcases Executed]],"")</f>
        <v/>
      </c>
      <c r="AJ544" s="259" t="str">
        <f>IFERROR(IFERROR(Table7[[#This Row],[No. of Testcases Created]]/Table7[[#This Row],[Effort for Testcase Creation]],"")*9,"")</f>
        <v/>
      </c>
      <c r="AK544" s="256" t="str">
        <f>IFERROR((Table7[[#This Row],[No. of Testcases Executed]]/Table7[[#This Row],[Effort for Testcase Execution]])*9,"")</f>
        <v/>
      </c>
      <c r="AL54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4" s="259" t="str">
        <f>IFERROR(Table7[[#This Row],[No. of Defects Validated]]/SUMIFS(Table3[Hours Worked],Table3[Release Name],Table7[[#This Row],[Release Name]],Table3[Task Type],"Defect Validation")*9,"")</f>
        <v/>
      </c>
      <c r="AN544" s="258" t="str">
        <f>IFERROR((Table7[[#This Row],[No. of Valid  Internal Testing Defects]])/(Table7[[#This Row],[No. of Valid  Internal Testing Defects]]+Table7[[#This Row],[No. of Invalid Internal Testing Defects]]),"")</f>
        <v/>
      </c>
      <c r="AO544" s="258" t="str">
        <f>IFERROR(Table7[[#This Row],[No. of Valid External Testing Defects]]/(Table7[[#This Row],[No. of Valid External Testing Defects]]+Table7[[#This Row],[No. of Valid  Internal Testing Defects]]),"")</f>
        <v/>
      </c>
    </row>
    <row r="545" spans="2:41">
      <c r="B545" s="237"/>
      <c r="C545" s="14"/>
      <c r="D545" s="14"/>
      <c r="E545" s="14"/>
      <c r="F545" s="230" t="str">
        <f>IFERROR((Table47[[#This Row],[Initial No. of Requirements]]+Table47[[#This Row],[Modified Requirements( Added / Deleted /Modified)]])/Table47[[#This Row],[Initial No. of Requirements]],"")</f>
        <v/>
      </c>
      <c r="G54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5" s="249"/>
      <c r="J545" s="249"/>
      <c r="K545" s="250"/>
      <c r="L545" s="250"/>
      <c r="M545" s="250"/>
      <c r="N545" s="248">
        <f>SUMIFS(Table1[Size],Table1[Release Name],[2]!Table7[Release Name])</f>
        <v>0</v>
      </c>
      <c r="O545" s="248"/>
      <c r="P54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5" s="248"/>
      <c r="R54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5" s="248"/>
      <c r="T545" s="248"/>
      <c r="U545" s="248"/>
      <c r="V545" s="248"/>
      <c r="W545" s="248"/>
      <c r="X545" s="248"/>
      <c r="Y545" s="248"/>
      <c r="Z545" s="248"/>
      <c r="AA545" s="248"/>
      <c r="AB545" s="13">
        <f>SUMIFS(Table3[Hours Worked],Table3[Release Name],Table7[[#This Row],[Release Name]],Table3[Task Type],"Testcase Creation")</f>
        <v>0</v>
      </c>
      <c r="AC545" s="255">
        <f>SUMIFS(Table3[Hours Worked],Table3[Release Name],Table7[[#This Row],[Release Name]],Table3[Task Type],"Testcase Execution")</f>
        <v>0</v>
      </c>
      <c r="AD54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5" s="256" t="str">
        <f>IFERROR((Table7[[#This Row],[No. of Valid Internal Review Defects]]+Table7[[#This Row],[No. of Valid  Internal Testing Defects]]+Table7[[#This Row],[No. of  Valid External Review Defects]]+Table7[[#This Row],[No. of Valid External Testing Defects]])/Table7[[#This Row],[Size]],"")</f>
        <v/>
      </c>
      <c r="AF545" s="257" t="str">
        <f>IFERROR(Table7[[#This Row],[No. of Valid Internal Review Defects]]/(Table7[[#This Row],[No. of Valid Internal Review Defects]]+Table7[[#This Row],[No. of  Valid External Review Defects]]+Table7[[#This Row],[No. of Valid  Internal Testing Defects]]+Table7[[#This Row],[No. of Valid External Testing Defects]]),"")</f>
        <v/>
      </c>
      <c r="AG545" s="258" t="str">
        <f>IFERROR(Table7[[#This Row],[No. of Valid Internal Review Defects]]/(Table7[[#This Row],[No. of Valid Internal Review Defects]]+Table7[[#This Row],[No. of  Valid External Review Defects]]+Table7[[#This Row],[No. of Valid External Testing Defects]]),"")</f>
        <v/>
      </c>
      <c r="AH545" s="256" t="str">
        <f>IFERROR(Table7[[#This Row],[No. of Valid  Internal Testing Defects]]/Table7[[#This Row],[Overall Actual Effort for the release]],"")</f>
        <v/>
      </c>
      <c r="AI545" s="256" t="str">
        <f>IFERROR(Table7[[#This Row],[No. of Valid  Internal Testing Defects]]/Table7[[#This Row],[No. of Testcases Executed]],"")</f>
        <v/>
      </c>
      <c r="AJ545" s="259" t="str">
        <f>IFERROR(IFERROR(Table7[[#This Row],[No. of Testcases Created]]/Table7[[#This Row],[Effort for Testcase Creation]],"")*9,"")</f>
        <v/>
      </c>
      <c r="AK545" s="256" t="str">
        <f>IFERROR((Table7[[#This Row],[No. of Testcases Executed]]/Table7[[#This Row],[Effort for Testcase Execution]])*9,"")</f>
        <v/>
      </c>
      <c r="AL54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5" s="259" t="str">
        <f>IFERROR(Table7[[#This Row],[No. of Defects Validated]]/SUMIFS(Table3[Hours Worked],Table3[Release Name],Table7[[#This Row],[Release Name]],Table3[Task Type],"Defect Validation")*9,"")</f>
        <v/>
      </c>
      <c r="AN545" s="258" t="str">
        <f>IFERROR((Table7[[#This Row],[No. of Valid  Internal Testing Defects]])/(Table7[[#This Row],[No. of Valid  Internal Testing Defects]]+Table7[[#This Row],[No. of Invalid Internal Testing Defects]]),"")</f>
        <v/>
      </c>
      <c r="AO545" s="258" t="str">
        <f>IFERROR(Table7[[#This Row],[No. of Valid External Testing Defects]]/(Table7[[#This Row],[No. of Valid External Testing Defects]]+Table7[[#This Row],[No. of Valid  Internal Testing Defects]]),"")</f>
        <v/>
      </c>
    </row>
    <row r="546" spans="2:41">
      <c r="B546" s="237"/>
      <c r="C546" s="14"/>
      <c r="D546" s="14"/>
      <c r="E546" s="14"/>
      <c r="F546" s="230" t="str">
        <f>IFERROR((Table47[[#This Row],[Initial No. of Requirements]]+Table47[[#This Row],[Modified Requirements( Added / Deleted /Modified)]])/Table47[[#This Row],[Initial No. of Requirements]],"")</f>
        <v/>
      </c>
      <c r="G54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6" s="249"/>
      <c r="J546" s="249"/>
      <c r="K546" s="250"/>
      <c r="L546" s="250"/>
      <c r="M546" s="250"/>
      <c r="N546" s="248">
        <f>SUMIFS(Table1[Size],Table1[Release Name],[2]!Table7[Release Name])</f>
        <v>0</v>
      </c>
      <c r="O546" s="248"/>
      <c r="P54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6" s="248"/>
      <c r="R54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6" s="248"/>
      <c r="T546" s="248"/>
      <c r="U546" s="248"/>
      <c r="V546" s="248"/>
      <c r="W546" s="248"/>
      <c r="X546" s="248"/>
      <c r="Y546" s="248"/>
      <c r="Z546" s="248"/>
      <c r="AA546" s="248"/>
      <c r="AB546" s="13">
        <f>SUMIFS(Table3[Hours Worked],Table3[Release Name],Table7[[#This Row],[Release Name]],Table3[Task Type],"Testcase Creation")</f>
        <v>0</v>
      </c>
      <c r="AC546" s="255">
        <f>SUMIFS(Table3[Hours Worked],Table3[Release Name],Table7[[#This Row],[Release Name]],Table3[Task Type],"Testcase Execution")</f>
        <v>0</v>
      </c>
      <c r="AD54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6" s="256" t="str">
        <f>IFERROR((Table7[[#This Row],[No. of Valid Internal Review Defects]]+Table7[[#This Row],[No. of Valid  Internal Testing Defects]]+Table7[[#This Row],[No. of  Valid External Review Defects]]+Table7[[#This Row],[No. of Valid External Testing Defects]])/Table7[[#This Row],[Size]],"")</f>
        <v/>
      </c>
      <c r="AF546" s="257" t="str">
        <f>IFERROR(Table7[[#This Row],[No. of Valid Internal Review Defects]]/(Table7[[#This Row],[No. of Valid Internal Review Defects]]+Table7[[#This Row],[No. of  Valid External Review Defects]]+Table7[[#This Row],[No. of Valid  Internal Testing Defects]]+Table7[[#This Row],[No. of Valid External Testing Defects]]),"")</f>
        <v/>
      </c>
      <c r="AG546" s="258" t="str">
        <f>IFERROR(Table7[[#This Row],[No. of Valid Internal Review Defects]]/(Table7[[#This Row],[No. of Valid Internal Review Defects]]+Table7[[#This Row],[No. of  Valid External Review Defects]]+Table7[[#This Row],[No. of Valid External Testing Defects]]),"")</f>
        <v/>
      </c>
      <c r="AH546" s="256" t="str">
        <f>IFERROR(Table7[[#This Row],[No. of Valid  Internal Testing Defects]]/Table7[[#This Row],[Overall Actual Effort for the release]],"")</f>
        <v/>
      </c>
      <c r="AI546" s="256" t="str">
        <f>IFERROR(Table7[[#This Row],[No. of Valid  Internal Testing Defects]]/Table7[[#This Row],[No. of Testcases Executed]],"")</f>
        <v/>
      </c>
      <c r="AJ546" s="259" t="str">
        <f>IFERROR(IFERROR(Table7[[#This Row],[No. of Testcases Created]]/Table7[[#This Row],[Effort for Testcase Creation]],"")*9,"")</f>
        <v/>
      </c>
      <c r="AK546" s="256" t="str">
        <f>IFERROR((Table7[[#This Row],[No. of Testcases Executed]]/Table7[[#This Row],[Effort for Testcase Execution]])*9,"")</f>
        <v/>
      </c>
      <c r="AL54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6" s="259" t="str">
        <f>IFERROR(Table7[[#This Row],[No. of Defects Validated]]/SUMIFS(Table3[Hours Worked],Table3[Release Name],Table7[[#This Row],[Release Name]],Table3[Task Type],"Defect Validation")*9,"")</f>
        <v/>
      </c>
      <c r="AN546" s="258" t="str">
        <f>IFERROR((Table7[[#This Row],[No. of Valid  Internal Testing Defects]])/(Table7[[#This Row],[No. of Valid  Internal Testing Defects]]+Table7[[#This Row],[No. of Invalid Internal Testing Defects]]),"")</f>
        <v/>
      </c>
      <c r="AO546" s="258" t="str">
        <f>IFERROR(Table7[[#This Row],[No. of Valid External Testing Defects]]/(Table7[[#This Row],[No. of Valid External Testing Defects]]+Table7[[#This Row],[No. of Valid  Internal Testing Defects]]),"")</f>
        <v/>
      </c>
    </row>
    <row r="547" spans="2:41">
      <c r="B547" s="237"/>
      <c r="C547" s="14"/>
      <c r="D547" s="14"/>
      <c r="E547" s="14"/>
      <c r="F547" s="230" t="str">
        <f>IFERROR((Table47[[#This Row],[Initial No. of Requirements]]+Table47[[#This Row],[Modified Requirements( Added / Deleted /Modified)]])/Table47[[#This Row],[Initial No. of Requirements]],"")</f>
        <v/>
      </c>
      <c r="G54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7" s="249"/>
      <c r="J547" s="249"/>
      <c r="K547" s="250"/>
      <c r="L547" s="250"/>
      <c r="M547" s="250"/>
      <c r="N547" s="248">
        <f>SUMIFS(Table1[Size],Table1[Release Name],[2]!Table7[Release Name])</f>
        <v>0</v>
      </c>
      <c r="O547" s="248"/>
      <c r="P54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7" s="248"/>
      <c r="R54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7" s="248"/>
      <c r="T547" s="248"/>
      <c r="U547" s="248"/>
      <c r="V547" s="248"/>
      <c r="W547" s="248"/>
      <c r="X547" s="248"/>
      <c r="Y547" s="248"/>
      <c r="Z547" s="248"/>
      <c r="AA547" s="248"/>
      <c r="AB547" s="13">
        <f>SUMIFS(Table3[Hours Worked],Table3[Release Name],Table7[[#This Row],[Release Name]],Table3[Task Type],"Testcase Creation")</f>
        <v>0</v>
      </c>
      <c r="AC547" s="255">
        <f>SUMIFS(Table3[Hours Worked],Table3[Release Name],Table7[[#This Row],[Release Name]],Table3[Task Type],"Testcase Execution")</f>
        <v>0</v>
      </c>
      <c r="AD54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7" s="256" t="str">
        <f>IFERROR((Table7[[#This Row],[No. of Valid Internal Review Defects]]+Table7[[#This Row],[No. of Valid  Internal Testing Defects]]+Table7[[#This Row],[No. of  Valid External Review Defects]]+Table7[[#This Row],[No. of Valid External Testing Defects]])/Table7[[#This Row],[Size]],"")</f>
        <v/>
      </c>
      <c r="AF547" s="257" t="str">
        <f>IFERROR(Table7[[#This Row],[No. of Valid Internal Review Defects]]/(Table7[[#This Row],[No. of Valid Internal Review Defects]]+Table7[[#This Row],[No. of  Valid External Review Defects]]+Table7[[#This Row],[No. of Valid  Internal Testing Defects]]+Table7[[#This Row],[No. of Valid External Testing Defects]]),"")</f>
        <v/>
      </c>
      <c r="AG547" s="258" t="str">
        <f>IFERROR(Table7[[#This Row],[No. of Valid Internal Review Defects]]/(Table7[[#This Row],[No. of Valid Internal Review Defects]]+Table7[[#This Row],[No. of  Valid External Review Defects]]+Table7[[#This Row],[No. of Valid External Testing Defects]]),"")</f>
        <v/>
      </c>
      <c r="AH547" s="256" t="str">
        <f>IFERROR(Table7[[#This Row],[No. of Valid  Internal Testing Defects]]/Table7[[#This Row],[Overall Actual Effort for the release]],"")</f>
        <v/>
      </c>
      <c r="AI547" s="256" t="str">
        <f>IFERROR(Table7[[#This Row],[No. of Valid  Internal Testing Defects]]/Table7[[#This Row],[No. of Testcases Executed]],"")</f>
        <v/>
      </c>
      <c r="AJ547" s="259" t="str">
        <f>IFERROR(IFERROR(Table7[[#This Row],[No. of Testcases Created]]/Table7[[#This Row],[Effort for Testcase Creation]],"")*9,"")</f>
        <v/>
      </c>
      <c r="AK547" s="256" t="str">
        <f>IFERROR((Table7[[#This Row],[No. of Testcases Executed]]/Table7[[#This Row],[Effort for Testcase Execution]])*9,"")</f>
        <v/>
      </c>
      <c r="AL54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7" s="259" t="str">
        <f>IFERROR(Table7[[#This Row],[No. of Defects Validated]]/SUMIFS(Table3[Hours Worked],Table3[Release Name],Table7[[#This Row],[Release Name]],Table3[Task Type],"Defect Validation")*9,"")</f>
        <v/>
      </c>
      <c r="AN547" s="258" t="str">
        <f>IFERROR((Table7[[#This Row],[No. of Valid  Internal Testing Defects]])/(Table7[[#This Row],[No. of Valid  Internal Testing Defects]]+Table7[[#This Row],[No. of Invalid Internal Testing Defects]]),"")</f>
        <v/>
      </c>
      <c r="AO547" s="258" t="str">
        <f>IFERROR(Table7[[#This Row],[No. of Valid External Testing Defects]]/(Table7[[#This Row],[No. of Valid External Testing Defects]]+Table7[[#This Row],[No. of Valid  Internal Testing Defects]]),"")</f>
        <v/>
      </c>
    </row>
    <row r="548" spans="2:41">
      <c r="B548" s="237"/>
      <c r="C548" s="14"/>
      <c r="D548" s="14"/>
      <c r="E548" s="14"/>
      <c r="F548" s="230" t="str">
        <f>IFERROR((Table47[[#This Row],[Initial No. of Requirements]]+Table47[[#This Row],[Modified Requirements( Added / Deleted /Modified)]])/Table47[[#This Row],[Initial No. of Requirements]],"")</f>
        <v/>
      </c>
      <c r="G54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8" s="249"/>
      <c r="J548" s="249"/>
      <c r="K548" s="250"/>
      <c r="L548" s="250"/>
      <c r="M548" s="250"/>
      <c r="N548" s="248">
        <f>SUMIFS(Table1[Size],Table1[Release Name],[2]!Table7[Release Name])</f>
        <v>0</v>
      </c>
      <c r="O548" s="248"/>
      <c r="P54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8" s="248"/>
      <c r="R54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8" s="248"/>
      <c r="T548" s="248"/>
      <c r="U548" s="248"/>
      <c r="V548" s="248"/>
      <c r="W548" s="248"/>
      <c r="X548" s="248"/>
      <c r="Y548" s="248"/>
      <c r="Z548" s="248"/>
      <c r="AA548" s="248"/>
      <c r="AB548" s="13">
        <f>SUMIFS(Table3[Hours Worked],Table3[Release Name],Table7[[#This Row],[Release Name]],Table3[Task Type],"Testcase Creation")</f>
        <v>0</v>
      </c>
      <c r="AC548" s="255">
        <f>SUMIFS(Table3[Hours Worked],Table3[Release Name],Table7[[#This Row],[Release Name]],Table3[Task Type],"Testcase Execution")</f>
        <v>0</v>
      </c>
      <c r="AD54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8" s="256" t="str">
        <f>IFERROR((Table7[[#This Row],[No. of Valid Internal Review Defects]]+Table7[[#This Row],[No. of Valid  Internal Testing Defects]]+Table7[[#This Row],[No. of  Valid External Review Defects]]+Table7[[#This Row],[No. of Valid External Testing Defects]])/Table7[[#This Row],[Size]],"")</f>
        <v/>
      </c>
      <c r="AF548" s="257" t="str">
        <f>IFERROR(Table7[[#This Row],[No. of Valid Internal Review Defects]]/(Table7[[#This Row],[No. of Valid Internal Review Defects]]+Table7[[#This Row],[No. of  Valid External Review Defects]]+Table7[[#This Row],[No. of Valid  Internal Testing Defects]]+Table7[[#This Row],[No. of Valid External Testing Defects]]),"")</f>
        <v/>
      </c>
      <c r="AG548" s="258" t="str">
        <f>IFERROR(Table7[[#This Row],[No. of Valid Internal Review Defects]]/(Table7[[#This Row],[No. of Valid Internal Review Defects]]+Table7[[#This Row],[No. of  Valid External Review Defects]]+Table7[[#This Row],[No. of Valid External Testing Defects]]),"")</f>
        <v/>
      </c>
      <c r="AH548" s="256" t="str">
        <f>IFERROR(Table7[[#This Row],[No. of Valid  Internal Testing Defects]]/Table7[[#This Row],[Overall Actual Effort for the release]],"")</f>
        <v/>
      </c>
      <c r="AI548" s="256" t="str">
        <f>IFERROR(Table7[[#This Row],[No. of Valid  Internal Testing Defects]]/Table7[[#This Row],[No. of Testcases Executed]],"")</f>
        <v/>
      </c>
      <c r="AJ548" s="259" t="str">
        <f>IFERROR(IFERROR(Table7[[#This Row],[No. of Testcases Created]]/Table7[[#This Row],[Effort for Testcase Creation]],"")*9,"")</f>
        <v/>
      </c>
      <c r="AK548" s="256" t="str">
        <f>IFERROR((Table7[[#This Row],[No. of Testcases Executed]]/Table7[[#This Row],[Effort for Testcase Execution]])*9,"")</f>
        <v/>
      </c>
      <c r="AL54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8" s="259" t="str">
        <f>IFERROR(Table7[[#This Row],[No. of Defects Validated]]/SUMIFS(Table3[Hours Worked],Table3[Release Name],Table7[[#This Row],[Release Name]],Table3[Task Type],"Defect Validation")*9,"")</f>
        <v/>
      </c>
      <c r="AN548" s="258" t="str">
        <f>IFERROR((Table7[[#This Row],[No. of Valid  Internal Testing Defects]])/(Table7[[#This Row],[No. of Valid  Internal Testing Defects]]+Table7[[#This Row],[No. of Invalid Internal Testing Defects]]),"")</f>
        <v/>
      </c>
      <c r="AO548" s="258" t="str">
        <f>IFERROR(Table7[[#This Row],[No. of Valid External Testing Defects]]/(Table7[[#This Row],[No. of Valid External Testing Defects]]+Table7[[#This Row],[No. of Valid  Internal Testing Defects]]),"")</f>
        <v/>
      </c>
    </row>
    <row r="549" spans="2:41">
      <c r="B549" s="237"/>
      <c r="C549" s="14"/>
      <c r="D549" s="14"/>
      <c r="E549" s="14"/>
      <c r="F549" s="230" t="str">
        <f>IFERROR((Table47[[#This Row],[Initial No. of Requirements]]+Table47[[#This Row],[Modified Requirements( Added / Deleted /Modified)]])/Table47[[#This Row],[Initial No. of Requirements]],"")</f>
        <v/>
      </c>
      <c r="G54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49" s="249"/>
      <c r="J549" s="249"/>
      <c r="K549" s="250"/>
      <c r="L549" s="250"/>
      <c r="M549" s="250"/>
      <c r="N549" s="248">
        <f>SUMIFS(Table1[Size],Table1[Release Name],[2]!Table7[Release Name])</f>
        <v>0</v>
      </c>
      <c r="O549" s="248"/>
      <c r="P54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49" s="248"/>
      <c r="R54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49" s="248"/>
      <c r="T549" s="248"/>
      <c r="U549" s="248"/>
      <c r="V549" s="248"/>
      <c r="W549" s="248"/>
      <c r="X549" s="248"/>
      <c r="Y549" s="248"/>
      <c r="Z549" s="248"/>
      <c r="AA549" s="248"/>
      <c r="AB549" s="13">
        <f>SUMIFS(Table3[Hours Worked],Table3[Release Name],Table7[[#This Row],[Release Name]],Table3[Task Type],"Testcase Creation")</f>
        <v>0</v>
      </c>
      <c r="AC549" s="255">
        <f>SUMIFS(Table3[Hours Worked],Table3[Release Name],Table7[[#This Row],[Release Name]],Table3[Task Type],"Testcase Execution")</f>
        <v>0</v>
      </c>
      <c r="AD54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49" s="256" t="str">
        <f>IFERROR((Table7[[#This Row],[No. of Valid Internal Review Defects]]+Table7[[#This Row],[No. of Valid  Internal Testing Defects]]+Table7[[#This Row],[No. of  Valid External Review Defects]]+Table7[[#This Row],[No. of Valid External Testing Defects]])/Table7[[#This Row],[Size]],"")</f>
        <v/>
      </c>
      <c r="AF549" s="257" t="str">
        <f>IFERROR(Table7[[#This Row],[No. of Valid Internal Review Defects]]/(Table7[[#This Row],[No. of Valid Internal Review Defects]]+Table7[[#This Row],[No. of  Valid External Review Defects]]+Table7[[#This Row],[No. of Valid  Internal Testing Defects]]+Table7[[#This Row],[No. of Valid External Testing Defects]]),"")</f>
        <v/>
      </c>
      <c r="AG549" s="258" t="str">
        <f>IFERROR(Table7[[#This Row],[No. of Valid Internal Review Defects]]/(Table7[[#This Row],[No. of Valid Internal Review Defects]]+Table7[[#This Row],[No. of  Valid External Review Defects]]+Table7[[#This Row],[No. of Valid External Testing Defects]]),"")</f>
        <v/>
      </c>
      <c r="AH549" s="256" t="str">
        <f>IFERROR(Table7[[#This Row],[No. of Valid  Internal Testing Defects]]/Table7[[#This Row],[Overall Actual Effort for the release]],"")</f>
        <v/>
      </c>
      <c r="AI549" s="256" t="str">
        <f>IFERROR(Table7[[#This Row],[No. of Valid  Internal Testing Defects]]/Table7[[#This Row],[No. of Testcases Executed]],"")</f>
        <v/>
      </c>
      <c r="AJ549" s="259" t="str">
        <f>IFERROR(IFERROR(Table7[[#This Row],[No. of Testcases Created]]/Table7[[#This Row],[Effort for Testcase Creation]],"")*9,"")</f>
        <v/>
      </c>
      <c r="AK549" s="256" t="str">
        <f>IFERROR((Table7[[#This Row],[No. of Testcases Executed]]/Table7[[#This Row],[Effort for Testcase Execution]])*9,"")</f>
        <v/>
      </c>
      <c r="AL54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49" s="259" t="str">
        <f>IFERROR(Table7[[#This Row],[No. of Defects Validated]]/SUMIFS(Table3[Hours Worked],Table3[Release Name],Table7[[#This Row],[Release Name]],Table3[Task Type],"Defect Validation")*9,"")</f>
        <v/>
      </c>
      <c r="AN549" s="258" t="str">
        <f>IFERROR((Table7[[#This Row],[No. of Valid  Internal Testing Defects]])/(Table7[[#This Row],[No. of Valid  Internal Testing Defects]]+Table7[[#This Row],[No. of Invalid Internal Testing Defects]]),"")</f>
        <v/>
      </c>
      <c r="AO549" s="258" t="str">
        <f>IFERROR(Table7[[#This Row],[No. of Valid External Testing Defects]]/(Table7[[#This Row],[No. of Valid External Testing Defects]]+Table7[[#This Row],[No. of Valid  Internal Testing Defects]]),"")</f>
        <v/>
      </c>
    </row>
    <row r="550" spans="2:41">
      <c r="B550" s="237"/>
      <c r="C550" s="14"/>
      <c r="D550" s="14"/>
      <c r="E550" s="14"/>
      <c r="F550" s="230" t="str">
        <f>IFERROR((Table47[[#This Row],[Initial No. of Requirements]]+Table47[[#This Row],[Modified Requirements( Added / Deleted /Modified)]])/Table47[[#This Row],[Initial No. of Requirements]],"")</f>
        <v/>
      </c>
      <c r="G55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0" s="249"/>
      <c r="J550" s="249"/>
      <c r="K550" s="250"/>
      <c r="L550" s="250"/>
      <c r="M550" s="250"/>
      <c r="N550" s="248">
        <f>SUMIFS(Table1[Size],Table1[Release Name],[2]!Table7[Release Name])</f>
        <v>0</v>
      </c>
      <c r="O550" s="248"/>
      <c r="P55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0" s="248"/>
      <c r="R55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0" s="248"/>
      <c r="T550" s="248"/>
      <c r="U550" s="248"/>
      <c r="V550" s="248"/>
      <c r="W550" s="248"/>
      <c r="X550" s="248"/>
      <c r="Y550" s="248"/>
      <c r="Z550" s="248"/>
      <c r="AA550" s="248"/>
      <c r="AB550" s="13">
        <f>SUMIFS(Table3[Hours Worked],Table3[Release Name],Table7[[#This Row],[Release Name]],Table3[Task Type],"Testcase Creation")</f>
        <v>0</v>
      </c>
      <c r="AC550" s="255">
        <f>SUMIFS(Table3[Hours Worked],Table3[Release Name],Table7[[#This Row],[Release Name]],Table3[Task Type],"Testcase Execution")</f>
        <v>0</v>
      </c>
      <c r="AD55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0" s="256" t="str">
        <f>IFERROR((Table7[[#This Row],[No. of Valid Internal Review Defects]]+Table7[[#This Row],[No. of Valid  Internal Testing Defects]]+Table7[[#This Row],[No. of  Valid External Review Defects]]+Table7[[#This Row],[No. of Valid External Testing Defects]])/Table7[[#This Row],[Size]],"")</f>
        <v/>
      </c>
      <c r="AF550" s="257" t="str">
        <f>IFERROR(Table7[[#This Row],[No. of Valid Internal Review Defects]]/(Table7[[#This Row],[No. of Valid Internal Review Defects]]+Table7[[#This Row],[No. of  Valid External Review Defects]]+Table7[[#This Row],[No. of Valid  Internal Testing Defects]]+Table7[[#This Row],[No. of Valid External Testing Defects]]),"")</f>
        <v/>
      </c>
      <c r="AG550" s="258" t="str">
        <f>IFERROR(Table7[[#This Row],[No. of Valid Internal Review Defects]]/(Table7[[#This Row],[No. of Valid Internal Review Defects]]+Table7[[#This Row],[No. of  Valid External Review Defects]]+Table7[[#This Row],[No. of Valid External Testing Defects]]),"")</f>
        <v/>
      </c>
      <c r="AH550" s="256" t="str">
        <f>IFERROR(Table7[[#This Row],[No. of Valid  Internal Testing Defects]]/Table7[[#This Row],[Overall Actual Effort for the release]],"")</f>
        <v/>
      </c>
      <c r="AI550" s="256" t="str">
        <f>IFERROR(Table7[[#This Row],[No. of Valid  Internal Testing Defects]]/Table7[[#This Row],[No. of Testcases Executed]],"")</f>
        <v/>
      </c>
      <c r="AJ550" s="259" t="str">
        <f>IFERROR(IFERROR(Table7[[#This Row],[No. of Testcases Created]]/Table7[[#This Row],[Effort for Testcase Creation]],"")*9,"")</f>
        <v/>
      </c>
      <c r="AK550" s="256" t="str">
        <f>IFERROR((Table7[[#This Row],[No. of Testcases Executed]]/Table7[[#This Row],[Effort for Testcase Execution]])*9,"")</f>
        <v/>
      </c>
      <c r="AL55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0" s="259" t="str">
        <f>IFERROR(Table7[[#This Row],[No. of Defects Validated]]/SUMIFS(Table3[Hours Worked],Table3[Release Name],Table7[[#This Row],[Release Name]],Table3[Task Type],"Defect Validation")*9,"")</f>
        <v/>
      </c>
      <c r="AN550" s="258" t="str">
        <f>IFERROR((Table7[[#This Row],[No. of Valid  Internal Testing Defects]])/(Table7[[#This Row],[No. of Valid  Internal Testing Defects]]+Table7[[#This Row],[No. of Invalid Internal Testing Defects]]),"")</f>
        <v/>
      </c>
      <c r="AO550" s="258" t="str">
        <f>IFERROR(Table7[[#This Row],[No. of Valid External Testing Defects]]/(Table7[[#This Row],[No. of Valid External Testing Defects]]+Table7[[#This Row],[No. of Valid  Internal Testing Defects]]),"")</f>
        <v/>
      </c>
    </row>
    <row r="551" spans="2:41">
      <c r="B551" s="237"/>
      <c r="C551" s="14"/>
      <c r="D551" s="14"/>
      <c r="E551" s="14"/>
      <c r="F551" s="230" t="str">
        <f>IFERROR((Table47[[#This Row],[Initial No. of Requirements]]+Table47[[#This Row],[Modified Requirements( Added / Deleted /Modified)]])/Table47[[#This Row],[Initial No. of Requirements]],"")</f>
        <v/>
      </c>
      <c r="G55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1" s="249"/>
      <c r="J551" s="249"/>
      <c r="K551" s="250"/>
      <c r="L551" s="250"/>
      <c r="M551" s="250"/>
      <c r="N551" s="248">
        <f>SUMIFS(Table1[Size],Table1[Release Name],[2]!Table7[Release Name])</f>
        <v>0</v>
      </c>
      <c r="O551" s="248"/>
      <c r="P55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1" s="248"/>
      <c r="R55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1" s="248"/>
      <c r="T551" s="248"/>
      <c r="U551" s="248"/>
      <c r="V551" s="248"/>
      <c r="W551" s="248"/>
      <c r="X551" s="248"/>
      <c r="Y551" s="248"/>
      <c r="Z551" s="248"/>
      <c r="AA551" s="248"/>
      <c r="AB551" s="13">
        <f>SUMIFS(Table3[Hours Worked],Table3[Release Name],Table7[[#This Row],[Release Name]],Table3[Task Type],"Testcase Creation")</f>
        <v>0</v>
      </c>
      <c r="AC551" s="255">
        <f>SUMIFS(Table3[Hours Worked],Table3[Release Name],Table7[[#This Row],[Release Name]],Table3[Task Type],"Testcase Execution")</f>
        <v>0</v>
      </c>
      <c r="AD55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1" s="256" t="str">
        <f>IFERROR((Table7[[#This Row],[No. of Valid Internal Review Defects]]+Table7[[#This Row],[No. of Valid  Internal Testing Defects]]+Table7[[#This Row],[No. of  Valid External Review Defects]]+Table7[[#This Row],[No. of Valid External Testing Defects]])/Table7[[#This Row],[Size]],"")</f>
        <v/>
      </c>
      <c r="AF551" s="257" t="str">
        <f>IFERROR(Table7[[#This Row],[No. of Valid Internal Review Defects]]/(Table7[[#This Row],[No. of Valid Internal Review Defects]]+Table7[[#This Row],[No. of  Valid External Review Defects]]+Table7[[#This Row],[No. of Valid  Internal Testing Defects]]+Table7[[#This Row],[No. of Valid External Testing Defects]]),"")</f>
        <v/>
      </c>
      <c r="AG551" s="258" t="str">
        <f>IFERROR(Table7[[#This Row],[No. of Valid Internal Review Defects]]/(Table7[[#This Row],[No. of Valid Internal Review Defects]]+Table7[[#This Row],[No. of  Valid External Review Defects]]+Table7[[#This Row],[No. of Valid External Testing Defects]]),"")</f>
        <v/>
      </c>
      <c r="AH551" s="256" t="str">
        <f>IFERROR(Table7[[#This Row],[No. of Valid  Internal Testing Defects]]/Table7[[#This Row],[Overall Actual Effort for the release]],"")</f>
        <v/>
      </c>
      <c r="AI551" s="256" t="str">
        <f>IFERROR(Table7[[#This Row],[No. of Valid  Internal Testing Defects]]/Table7[[#This Row],[No. of Testcases Executed]],"")</f>
        <v/>
      </c>
      <c r="AJ551" s="259" t="str">
        <f>IFERROR(IFERROR(Table7[[#This Row],[No. of Testcases Created]]/Table7[[#This Row],[Effort for Testcase Creation]],"")*9,"")</f>
        <v/>
      </c>
      <c r="AK551" s="256" t="str">
        <f>IFERROR((Table7[[#This Row],[No. of Testcases Executed]]/Table7[[#This Row],[Effort for Testcase Execution]])*9,"")</f>
        <v/>
      </c>
      <c r="AL55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1" s="259" t="str">
        <f>IFERROR(Table7[[#This Row],[No. of Defects Validated]]/SUMIFS(Table3[Hours Worked],Table3[Release Name],Table7[[#This Row],[Release Name]],Table3[Task Type],"Defect Validation")*9,"")</f>
        <v/>
      </c>
      <c r="AN551" s="258" t="str">
        <f>IFERROR((Table7[[#This Row],[No. of Valid  Internal Testing Defects]])/(Table7[[#This Row],[No. of Valid  Internal Testing Defects]]+Table7[[#This Row],[No. of Invalid Internal Testing Defects]]),"")</f>
        <v/>
      </c>
      <c r="AO551" s="258" t="str">
        <f>IFERROR(Table7[[#This Row],[No. of Valid External Testing Defects]]/(Table7[[#This Row],[No. of Valid External Testing Defects]]+Table7[[#This Row],[No. of Valid  Internal Testing Defects]]),"")</f>
        <v/>
      </c>
    </row>
    <row r="552" spans="2:41">
      <c r="B552" s="237"/>
      <c r="C552" s="14"/>
      <c r="D552" s="14"/>
      <c r="E552" s="14"/>
      <c r="F552" s="230" t="str">
        <f>IFERROR((Table47[[#This Row],[Initial No. of Requirements]]+Table47[[#This Row],[Modified Requirements( Added / Deleted /Modified)]])/Table47[[#This Row],[Initial No. of Requirements]],"")</f>
        <v/>
      </c>
      <c r="G55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2" s="249"/>
      <c r="J552" s="249"/>
      <c r="K552" s="250"/>
      <c r="L552" s="250"/>
      <c r="M552" s="250"/>
      <c r="N552" s="248">
        <f>SUMIFS(Table1[Size],Table1[Release Name],[2]!Table7[Release Name])</f>
        <v>0</v>
      </c>
      <c r="O552" s="248"/>
      <c r="P55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2" s="248"/>
      <c r="R55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2" s="248"/>
      <c r="T552" s="248"/>
      <c r="U552" s="248"/>
      <c r="V552" s="248"/>
      <c r="W552" s="248"/>
      <c r="X552" s="248"/>
      <c r="Y552" s="248"/>
      <c r="Z552" s="248"/>
      <c r="AA552" s="248"/>
      <c r="AB552" s="13">
        <f>SUMIFS(Table3[Hours Worked],Table3[Release Name],Table7[[#This Row],[Release Name]],Table3[Task Type],"Testcase Creation")</f>
        <v>0</v>
      </c>
      <c r="AC552" s="255">
        <f>SUMIFS(Table3[Hours Worked],Table3[Release Name],Table7[[#This Row],[Release Name]],Table3[Task Type],"Testcase Execution")</f>
        <v>0</v>
      </c>
      <c r="AD55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2" s="256" t="str">
        <f>IFERROR((Table7[[#This Row],[No. of Valid Internal Review Defects]]+Table7[[#This Row],[No. of Valid  Internal Testing Defects]]+Table7[[#This Row],[No. of  Valid External Review Defects]]+Table7[[#This Row],[No. of Valid External Testing Defects]])/Table7[[#This Row],[Size]],"")</f>
        <v/>
      </c>
      <c r="AF552" s="257" t="str">
        <f>IFERROR(Table7[[#This Row],[No. of Valid Internal Review Defects]]/(Table7[[#This Row],[No. of Valid Internal Review Defects]]+Table7[[#This Row],[No. of  Valid External Review Defects]]+Table7[[#This Row],[No. of Valid  Internal Testing Defects]]+Table7[[#This Row],[No. of Valid External Testing Defects]]),"")</f>
        <v/>
      </c>
      <c r="AG552" s="258" t="str">
        <f>IFERROR(Table7[[#This Row],[No. of Valid Internal Review Defects]]/(Table7[[#This Row],[No. of Valid Internal Review Defects]]+Table7[[#This Row],[No. of  Valid External Review Defects]]+Table7[[#This Row],[No. of Valid External Testing Defects]]),"")</f>
        <v/>
      </c>
      <c r="AH552" s="256" t="str">
        <f>IFERROR(Table7[[#This Row],[No. of Valid  Internal Testing Defects]]/Table7[[#This Row],[Overall Actual Effort for the release]],"")</f>
        <v/>
      </c>
      <c r="AI552" s="256" t="str">
        <f>IFERROR(Table7[[#This Row],[No. of Valid  Internal Testing Defects]]/Table7[[#This Row],[No. of Testcases Executed]],"")</f>
        <v/>
      </c>
      <c r="AJ552" s="259" t="str">
        <f>IFERROR(IFERROR(Table7[[#This Row],[No. of Testcases Created]]/Table7[[#This Row],[Effort for Testcase Creation]],"")*9,"")</f>
        <v/>
      </c>
      <c r="AK552" s="256" t="str">
        <f>IFERROR((Table7[[#This Row],[No. of Testcases Executed]]/Table7[[#This Row],[Effort for Testcase Execution]])*9,"")</f>
        <v/>
      </c>
      <c r="AL55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2" s="259" t="str">
        <f>IFERROR(Table7[[#This Row],[No. of Defects Validated]]/SUMIFS(Table3[Hours Worked],Table3[Release Name],Table7[[#This Row],[Release Name]],Table3[Task Type],"Defect Validation")*9,"")</f>
        <v/>
      </c>
      <c r="AN552" s="258" t="str">
        <f>IFERROR((Table7[[#This Row],[No. of Valid  Internal Testing Defects]])/(Table7[[#This Row],[No. of Valid  Internal Testing Defects]]+Table7[[#This Row],[No. of Invalid Internal Testing Defects]]),"")</f>
        <v/>
      </c>
      <c r="AO552" s="258" t="str">
        <f>IFERROR(Table7[[#This Row],[No. of Valid External Testing Defects]]/(Table7[[#This Row],[No. of Valid External Testing Defects]]+Table7[[#This Row],[No. of Valid  Internal Testing Defects]]),"")</f>
        <v/>
      </c>
    </row>
    <row r="553" spans="2:41">
      <c r="B553" s="237"/>
      <c r="C553" s="14"/>
      <c r="D553" s="14"/>
      <c r="E553" s="14"/>
      <c r="F553" s="230" t="str">
        <f>IFERROR((Table47[[#This Row],[Initial No. of Requirements]]+Table47[[#This Row],[Modified Requirements( Added / Deleted /Modified)]])/Table47[[#This Row],[Initial No. of Requirements]],"")</f>
        <v/>
      </c>
      <c r="G55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3" s="249"/>
      <c r="J553" s="249"/>
      <c r="K553" s="250"/>
      <c r="L553" s="250"/>
      <c r="M553" s="250"/>
      <c r="N553" s="248">
        <f>SUMIFS(Table1[Size],Table1[Release Name],[2]!Table7[Release Name])</f>
        <v>0</v>
      </c>
      <c r="O553" s="248"/>
      <c r="P55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3" s="248"/>
      <c r="R55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3" s="248"/>
      <c r="T553" s="248"/>
      <c r="U553" s="248"/>
      <c r="V553" s="248"/>
      <c r="W553" s="248"/>
      <c r="X553" s="248"/>
      <c r="Y553" s="248"/>
      <c r="Z553" s="248"/>
      <c r="AA553" s="248"/>
      <c r="AB553" s="13">
        <f>SUMIFS(Table3[Hours Worked],Table3[Release Name],Table7[[#This Row],[Release Name]],Table3[Task Type],"Testcase Creation")</f>
        <v>0</v>
      </c>
      <c r="AC553" s="255">
        <f>SUMIFS(Table3[Hours Worked],Table3[Release Name],Table7[[#This Row],[Release Name]],Table3[Task Type],"Testcase Execution")</f>
        <v>0</v>
      </c>
      <c r="AD55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3" s="256" t="str">
        <f>IFERROR((Table7[[#This Row],[No. of Valid Internal Review Defects]]+Table7[[#This Row],[No. of Valid  Internal Testing Defects]]+Table7[[#This Row],[No. of  Valid External Review Defects]]+Table7[[#This Row],[No. of Valid External Testing Defects]])/Table7[[#This Row],[Size]],"")</f>
        <v/>
      </c>
      <c r="AF553" s="257" t="str">
        <f>IFERROR(Table7[[#This Row],[No. of Valid Internal Review Defects]]/(Table7[[#This Row],[No. of Valid Internal Review Defects]]+Table7[[#This Row],[No. of  Valid External Review Defects]]+Table7[[#This Row],[No. of Valid  Internal Testing Defects]]+Table7[[#This Row],[No. of Valid External Testing Defects]]),"")</f>
        <v/>
      </c>
      <c r="AG553" s="258" t="str">
        <f>IFERROR(Table7[[#This Row],[No. of Valid Internal Review Defects]]/(Table7[[#This Row],[No. of Valid Internal Review Defects]]+Table7[[#This Row],[No. of  Valid External Review Defects]]+Table7[[#This Row],[No. of Valid External Testing Defects]]),"")</f>
        <v/>
      </c>
      <c r="AH553" s="256" t="str">
        <f>IFERROR(Table7[[#This Row],[No. of Valid  Internal Testing Defects]]/Table7[[#This Row],[Overall Actual Effort for the release]],"")</f>
        <v/>
      </c>
      <c r="AI553" s="256" t="str">
        <f>IFERROR(Table7[[#This Row],[No. of Valid  Internal Testing Defects]]/Table7[[#This Row],[No. of Testcases Executed]],"")</f>
        <v/>
      </c>
      <c r="AJ553" s="259" t="str">
        <f>IFERROR(IFERROR(Table7[[#This Row],[No. of Testcases Created]]/Table7[[#This Row],[Effort for Testcase Creation]],"")*9,"")</f>
        <v/>
      </c>
      <c r="AK553" s="256" t="str">
        <f>IFERROR((Table7[[#This Row],[No. of Testcases Executed]]/Table7[[#This Row],[Effort for Testcase Execution]])*9,"")</f>
        <v/>
      </c>
      <c r="AL55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3" s="259" t="str">
        <f>IFERROR(Table7[[#This Row],[No. of Defects Validated]]/SUMIFS(Table3[Hours Worked],Table3[Release Name],Table7[[#This Row],[Release Name]],Table3[Task Type],"Defect Validation")*9,"")</f>
        <v/>
      </c>
      <c r="AN553" s="258" t="str">
        <f>IFERROR((Table7[[#This Row],[No. of Valid  Internal Testing Defects]])/(Table7[[#This Row],[No. of Valid  Internal Testing Defects]]+Table7[[#This Row],[No. of Invalid Internal Testing Defects]]),"")</f>
        <v/>
      </c>
      <c r="AO553" s="258" t="str">
        <f>IFERROR(Table7[[#This Row],[No. of Valid External Testing Defects]]/(Table7[[#This Row],[No. of Valid External Testing Defects]]+Table7[[#This Row],[No. of Valid  Internal Testing Defects]]),"")</f>
        <v/>
      </c>
    </row>
    <row r="554" spans="2:41">
      <c r="B554" s="237"/>
      <c r="C554" s="14"/>
      <c r="D554" s="14"/>
      <c r="E554" s="14"/>
      <c r="F554" s="230" t="str">
        <f>IFERROR((Table47[[#This Row],[Initial No. of Requirements]]+Table47[[#This Row],[Modified Requirements( Added / Deleted /Modified)]])/Table47[[#This Row],[Initial No. of Requirements]],"")</f>
        <v/>
      </c>
      <c r="G55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4" s="249"/>
      <c r="J554" s="249"/>
      <c r="K554" s="250"/>
      <c r="L554" s="250"/>
      <c r="M554" s="250"/>
      <c r="N554" s="248">
        <f>SUMIFS(Table1[Size],Table1[Release Name],[2]!Table7[Release Name])</f>
        <v>0</v>
      </c>
      <c r="O554" s="248"/>
      <c r="P55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4" s="248"/>
      <c r="R55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4" s="248"/>
      <c r="T554" s="248"/>
      <c r="U554" s="248"/>
      <c r="V554" s="248"/>
      <c r="W554" s="248"/>
      <c r="X554" s="248"/>
      <c r="Y554" s="248"/>
      <c r="Z554" s="248"/>
      <c r="AA554" s="248"/>
      <c r="AB554" s="13">
        <f>SUMIFS(Table3[Hours Worked],Table3[Release Name],Table7[[#This Row],[Release Name]],Table3[Task Type],"Testcase Creation")</f>
        <v>0</v>
      </c>
      <c r="AC554" s="255">
        <f>SUMIFS(Table3[Hours Worked],Table3[Release Name],Table7[[#This Row],[Release Name]],Table3[Task Type],"Testcase Execution")</f>
        <v>0</v>
      </c>
      <c r="AD55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4" s="256" t="str">
        <f>IFERROR((Table7[[#This Row],[No. of Valid Internal Review Defects]]+Table7[[#This Row],[No. of Valid  Internal Testing Defects]]+Table7[[#This Row],[No. of  Valid External Review Defects]]+Table7[[#This Row],[No. of Valid External Testing Defects]])/Table7[[#This Row],[Size]],"")</f>
        <v/>
      </c>
      <c r="AF554" s="257" t="str">
        <f>IFERROR(Table7[[#This Row],[No. of Valid Internal Review Defects]]/(Table7[[#This Row],[No. of Valid Internal Review Defects]]+Table7[[#This Row],[No. of  Valid External Review Defects]]+Table7[[#This Row],[No. of Valid  Internal Testing Defects]]+Table7[[#This Row],[No. of Valid External Testing Defects]]),"")</f>
        <v/>
      </c>
      <c r="AG554" s="258" t="str">
        <f>IFERROR(Table7[[#This Row],[No. of Valid Internal Review Defects]]/(Table7[[#This Row],[No. of Valid Internal Review Defects]]+Table7[[#This Row],[No. of  Valid External Review Defects]]+Table7[[#This Row],[No. of Valid External Testing Defects]]),"")</f>
        <v/>
      </c>
      <c r="AH554" s="256" t="str">
        <f>IFERROR(Table7[[#This Row],[No. of Valid  Internal Testing Defects]]/Table7[[#This Row],[Overall Actual Effort for the release]],"")</f>
        <v/>
      </c>
      <c r="AI554" s="256" t="str">
        <f>IFERROR(Table7[[#This Row],[No. of Valid  Internal Testing Defects]]/Table7[[#This Row],[No. of Testcases Executed]],"")</f>
        <v/>
      </c>
      <c r="AJ554" s="259" t="str">
        <f>IFERROR(IFERROR(Table7[[#This Row],[No. of Testcases Created]]/Table7[[#This Row],[Effort for Testcase Creation]],"")*9,"")</f>
        <v/>
      </c>
      <c r="AK554" s="256" t="str">
        <f>IFERROR((Table7[[#This Row],[No. of Testcases Executed]]/Table7[[#This Row],[Effort for Testcase Execution]])*9,"")</f>
        <v/>
      </c>
      <c r="AL55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4" s="259" t="str">
        <f>IFERROR(Table7[[#This Row],[No. of Defects Validated]]/SUMIFS(Table3[Hours Worked],Table3[Release Name],Table7[[#This Row],[Release Name]],Table3[Task Type],"Defect Validation")*9,"")</f>
        <v/>
      </c>
      <c r="AN554" s="258" t="str">
        <f>IFERROR((Table7[[#This Row],[No. of Valid  Internal Testing Defects]])/(Table7[[#This Row],[No. of Valid  Internal Testing Defects]]+Table7[[#This Row],[No. of Invalid Internal Testing Defects]]),"")</f>
        <v/>
      </c>
      <c r="AO554" s="258" t="str">
        <f>IFERROR(Table7[[#This Row],[No. of Valid External Testing Defects]]/(Table7[[#This Row],[No. of Valid External Testing Defects]]+Table7[[#This Row],[No. of Valid  Internal Testing Defects]]),"")</f>
        <v/>
      </c>
    </row>
    <row r="555" spans="2:41">
      <c r="B555" s="237"/>
      <c r="C555" s="14"/>
      <c r="D555" s="14"/>
      <c r="E555" s="14"/>
      <c r="F555" s="230" t="str">
        <f>IFERROR((Table47[[#This Row],[Initial No. of Requirements]]+Table47[[#This Row],[Modified Requirements( Added / Deleted /Modified)]])/Table47[[#This Row],[Initial No. of Requirements]],"")</f>
        <v/>
      </c>
      <c r="G55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5" s="249"/>
      <c r="J555" s="249"/>
      <c r="K555" s="250"/>
      <c r="L555" s="250"/>
      <c r="M555" s="250"/>
      <c r="N555" s="248">
        <f>SUMIFS(Table1[Size],Table1[Release Name],[2]!Table7[Release Name])</f>
        <v>0</v>
      </c>
      <c r="O555" s="248"/>
      <c r="P55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5" s="248"/>
      <c r="R55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5" s="248"/>
      <c r="T555" s="248"/>
      <c r="U555" s="248"/>
      <c r="V555" s="248"/>
      <c r="W555" s="248"/>
      <c r="X555" s="248"/>
      <c r="Y555" s="248"/>
      <c r="Z555" s="248"/>
      <c r="AA555" s="248"/>
      <c r="AB555" s="13">
        <f>SUMIFS(Table3[Hours Worked],Table3[Release Name],Table7[[#This Row],[Release Name]],Table3[Task Type],"Testcase Creation")</f>
        <v>0</v>
      </c>
      <c r="AC555" s="255">
        <f>SUMIFS(Table3[Hours Worked],Table3[Release Name],Table7[[#This Row],[Release Name]],Table3[Task Type],"Testcase Execution")</f>
        <v>0</v>
      </c>
      <c r="AD55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5" s="256" t="str">
        <f>IFERROR((Table7[[#This Row],[No. of Valid Internal Review Defects]]+Table7[[#This Row],[No. of Valid  Internal Testing Defects]]+Table7[[#This Row],[No. of  Valid External Review Defects]]+Table7[[#This Row],[No. of Valid External Testing Defects]])/Table7[[#This Row],[Size]],"")</f>
        <v/>
      </c>
      <c r="AF555" s="257" t="str">
        <f>IFERROR(Table7[[#This Row],[No. of Valid Internal Review Defects]]/(Table7[[#This Row],[No. of Valid Internal Review Defects]]+Table7[[#This Row],[No. of  Valid External Review Defects]]+Table7[[#This Row],[No. of Valid  Internal Testing Defects]]+Table7[[#This Row],[No. of Valid External Testing Defects]]),"")</f>
        <v/>
      </c>
      <c r="AG555" s="258" t="str">
        <f>IFERROR(Table7[[#This Row],[No. of Valid Internal Review Defects]]/(Table7[[#This Row],[No. of Valid Internal Review Defects]]+Table7[[#This Row],[No. of  Valid External Review Defects]]+Table7[[#This Row],[No. of Valid External Testing Defects]]),"")</f>
        <v/>
      </c>
      <c r="AH555" s="256" t="str">
        <f>IFERROR(Table7[[#This Row],[No. of Valid  Internal Testing Defects]]/Table7[[#This Row],[Overall Actual Effort for the release]],"")</f>
        <v/>
      </c>
      <c r="AI555" s="256" t="str">
        <f>IFERROR(Table7[[#This Row],[No. of Valid  Internal Testing Defects]]/Table7[[#This Row],[No. of Testcases Executed]],"")</f>
        <v/>
      </c>
      <c r="AJ555" s="259" t="str">
        <f>IFERROR(IFERROR(Table7[[#This Row],[No. of Testcases Created]]/Table7[[#This Row],[Effort for Testcase Creation]],"")*9,"")</f>
        <v/>
      </c>
      <c r="AK555" s="256" t="str">
        <f>IFERROR((Table7[[#This Row],[No. of Testcases Executed]]/Table7[[#This Row],[Effort for Testcase Execution]])*9,"")</f>
        <v/>
      </c>
      <c r="AL55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5" s="259" t="str">
        <f>IFERROR(Table7[[#This Row],[No. of Defects Validated]]/SUMIFS(Table3[Hours Worked],Table3[Release Name],Table7[[#This Row],[Release Name]],Table3[Task Type],"Defect Validation")*9,"")</f>
        <v/>
      </c>
      <c r="AN555" s="258" t="str">
        <f>IFERROR((Table7[[#This Row],[No. of Valid  Internal Testing Defects]])/(Table7[[#This Row],[No. of Valid  Internal Testing Defects]]+Table7[[#This Row],[No. of Invalid Internal Testing Defects]]),"")</f>
        <v/>
      </c>
      <c r="AO555" s="258" t="str">
        <f>IFERROR(Table7[[#This Row],[No. of Valid External Testing Defects]]/(Table7[[#This Row],[No. of Valid External Testing Defects]]+Table7[[#This Row],[No. of Valid  Internal Testing Defects]]),"")</f>
        <v/>
      </c>
    </row>
    <row r="556" spans="2:41">
      <c r="B556" s="237"/>
      <c r="C556" s="14"/>
      <c r="D556" s="14"/>
      <c r="E556" s="14"/>
      <c r="F556" s="230" t="str">
        <f>IFERROR((Table47[[#This Row],[Initial No. of Requirements]]+Table47[[#This Row],[Modified Requirements( Added / Deleted /Modified)]])/Table47[[#This Row],[Initial No. of Requirements]],"")</f>
        <v/>
      </c>
      <c r="G55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6" s="249"/>
      <c r="J556" s="249"/>
      <c r="K556" s="250"/>
      <c r="L556" s="250"/>
      <c r="M556" s="250"/>
      <c r="N556" s="248">
        <f>SUMIFS(Table1[Size],Table1[Release Name],[2]!Table7[Release Name])</f>
        <v>0</v>
      </c>
      <c r="O556" s="248"/>
      <c r="P55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6" s="248"/>
      <c r="R55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6" s="248"/>
      <c r="T556" s="248"/>
      <c r="U556" s="248"/>
      <c r="V556" s="248"/>
      <c r="W556" s="248"/>
      <c r="X556" s="248"/>
      <c r="Y556" s="248"/>
      <c r="Z556" s="248"/>
      <c r="AA556" s="248"/>
      <c r="AB556" s="13">
        <f>SUMIFS(Table3[Hours Worked],Table3[Release Name],Table7[[#This Row],[Release Name]],Table3[Task Type],"Testcase Creation")</f>
        <v>0</v>
      </c>
      <c r="AC556" s="255">
        <f>SUMIFS(Table3[Hours Worked],Table3[Release Name],Table7[[#This Row],[Release Name]],Table3[Task Type],"Testcase Execution")</f>
        <v>0</v>
      </c>
      <c r="AD55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6" s="256" t="str">
        <f>IFERROR((Table7[[#This Row],[No. of Valid Internal Review Defects]]+Table7[[#This Row],[No. of Valid  Internal Testing Defects]]+Table7[[#This Row],[No. of  Valid External Review Defects]]+Table7[[#This Row],[No. of Valid External Testing Defects]])/Table7[[#This Row],[Size]],"")</f>
        <v/>
      </c>
      <c r="AF556" s="257" t="str">
        <f>IFERROR(Table7[[#This Row],[No. of Valid Internal Review Defects]]/(Table7[[#This Row],[No. of Valid Internal Review Defects]]+Table7[[#This Row],[No. of  Valid External Review Defects]]+Table7[[#This Row],[No. of Valid  Internal Testing Defects]]+Table7[[#This Row],[No. of Valid External Testing Defects]]),"")</f>
        <v/>
      </c>
      <c r="AG556" s="258" t="str">
        <f>IFERROR(Table7[[#This Row],[No. of Valid Internal Review Defects]]/(Table7[[#This Row],[No. of Valid Internal Review Defects]]+Table7[[#This Row],[No. of  Valid External Review Defects]]+Table7[[#This Row],[No. of Valid External Testing Defects]]),"")</f>
        <v/>
      </c>
      <c r="AH556" s="256" t="str">
        <f>IFERROR(Table7[[#This Row],[No. of Valid  Internal Testing Defects]]/Table7[[#This Row],[Overall Actual Effort for the release]],"")</f>
        <v/>
      </c>
      <c r="AI556" s="256" t="str">
        <f>IFERROR(Table7[[#This Row],[No. of Valid  Internal Testing Defects]]/Table7[[#This Row],[No. of Testcases Executed]],"")</f>
        <v/>
      </c>
      <c r="AJ556" s="259" t="str">
        <f>IFERROR(IFERROR(Table7[[#This Row],[No. of Testcases Created]]/Table7[[#This Row],[Effort for Testcase Creation]],"")*9,"")</f>
        <v/>
      </c>
      <c r="AK556" s="256" t="str">
        <f>IFERROR((Table7[[#This Row],[No. of Testcases Executed]]/Table7[[#This Row],[Effort for Testcase Execution]])*9,"")</f>
        <v/>
      </c>
      <c r="AL55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6" s="259" t="str">
        <f>IFERROR(Table7[[#This Row],[No. of Defects Validated]]/SUMIFS(Table3[Hours Worked],Table3[Release Name],Table7[[#This Row],[Release Name]],Table3[Task Type],"Defect Validation")*9,"")</f>
        <v/>
      </c>
      <c r="AN556" s="258" t="str">
        <f>IFERROR((Table7[[#This Row],[No. of Valid  Internal Testing Defects]])/(Table7[[#This Row],[No. of Valid  Internal Testing Defects]]+Table7[[#This Row],[No. of Invalid Internal Testing Defects]]),"")</f>
        <v/>
      </c>
      <c r="AO556" s="258" t="str">
        <f>IFERROR(Table7[[#This Row],[No. of Valid External Testing Defects]]/(Table7[[#This Row],[No. of Valid External Testing Defects]]+Table7[[#This Row],[No. of Valid  Internal Testing Defects]]),"")</f>
        <v/>
      </c>
    </row>
    <row r="557" spans="2:41">
      <c r="B557" s="237"/>
      <c r="C557" s="14"/>
      <c r="D557" s="14"/>
      <c r="E557" s="14"/>
      <c r="F557" s="230" t="str">
        <f>IFERROR((Table47[[#This Row],[Initial No. of Requirements]]+Table47[[#This Row],[Modified Requirements( Added / Deleted /Modified)]])/Table47[[#This Row],[Initial No. of Requirements]],"")</f>
        <v/>
      </c>
      <c r="G55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7" s="249"/>
      <c r="J557" s="249"/>
      <c r="K557" s="250"/>
      <c r="L557" s="250"/>
      <c r="M557" s="250"/>
      <c r="N557" s="248">
        <f>SUMIFS(Table1[Size],Table1[Release Name],[2]!Table7[Release Name])</f>
        <v>0</v>
      </c>
      <c r="O557" s="248"/>
      <c r="P55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7" s="248"/>
      <c r="R55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7" s="248"/>
      <c r="T557" s="248"/>
      <c r="U557" s="248"/>
      <c r="V557" s="248"/>
      <c r="W557" s="248"/>
      <c r="X557" s="248"/>
      <c r="Y557" s="248"/>
      <c r="Z557" s="248"/>
      <c r="AA557" s="248"/>
      <c r="AB557" s="13">
        <f>SUMIFS(Table3[Hours Worked],Table3[Release Name],Table7[[#This Row],[Release Name]],Table3[Task Type],"Testcase Creation")</f>
        <v>0</v>
      </c>
      <c r="AC557" s="255">
        <f>SUMIFS(Table3[Hours Worked],Table3[Release Name],Table7[[#This Row],[Release Name]],Table3[Task Type],"Testcase Execution")</f>
        <v>0</v>
      </c>
      <c r="AD55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7" s="256" t="str">
        <f>IFERROR((Table7[[#This Row],[No. of Valid Internal Review Defects]]+Table7[[#This Row],[No. of Valid  Internal Testing Defects]]+Table7[[#This Row],[No. of  Valid External Review Defects]]+Table7[[#This Row],[No. of Valid External Testing Defects]])/Table7[[#This Row],[Size]],"")</f>
        <v/>
      </c>
      <c r="AF557" s="257" t="str">
        <f>IFERROR(Table7[[#This Row],[No. of Valid Internal Review Defects]]/(Table7[[#This Row],[No. of Valid Internal Review Defects]]+Table7[[#This Row],[No. of  Valid External Review Defects]]+Table7[[#This Row],[No. of Valid  Internal Testing Defects]]+Table7[[#This Row],[No. of Valid External Testing Defects]]),"")</f>
        <v/>
      </c>
      <c r="AG557" s="258" t="str">
        <f>IFERROR(Table7[[#This Row],[No. of Valid Internal Review Defects]]/(Table7[[#This Row],[No. of Valid Internal Review Defects]]+Table7[[#This Row],[No. of  Valid External Review Defects]]+Table7[[#This Row],[No. of Valid External Testing Defects]]),"")</f>
        <v/>
      </c>
      <c r="AH557" s="256" t="str">
        <f>IFERROR(Table7[[#This Row],[No. of Valid  Internal Testing Defects]]/Table7[[#This Row],[Overall Actual Effort for the release]],"")</f>
        <v/>
      </c>
      <c r="AI557" s="256" t="str">
        <f>IFERROR(Table7[[#This Row],[No. of Valid  Internal Testing Defects]]/Table7[[#This Row],[No. of Testcases Executed]],"")</f>
        <v/>
      </c>
      <c r="AJ557" s="259" t="str">
        <f>IFERROR(IFERROR(Table7[[#This Row],[No. of Testcases Created]]/Table7[[#This Row],[Effort for Testcase Creation]],"")*9,"")</f>
        <v/>
      </c>
      <c r="AK557" s="256" t="str">
        <f>IFERROR((Table7[[#This Row],[No. of Testcases Executed]]/Table7[[#This Row],[Effort for Testcase Execution]])*9,"")</f>
        <v/>
      </c>
      <c r="AL55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7" s="259" t="str">
        <f>IFERROR(Table7[[#This Row],[No. of Defects Validated]]/SUMIFS(Table3[Hours Worked],Table3[Release Name],Table7[[#This Row],[Release Name]],Table3[Task Type],"Defect Validation")*9,"")</f>
        <v/>
      </c>
      <c r="AN557" s="258" t="str">
        <f>IFERROR((Table7[[#This Row],[No. of Valid  Internal Testing Defects]])/(Table7[[#This Row],[No. of Valid  Internal Testing Defects]]+Table7[[#This Row],[No. of Invalid Internal Testing Defects]]),"")</f>
        <v/>
      </c>
      <c r="AO557" s="258" t="str">
        <f>IFERROR(Table7[[#This Row],[No. of Valid External Testing Defects]]/(Table7[[#This Row],[No. of Valid External Testing Defects]]+Table7[[#This Row],[No. of Valid  Internal Testing Defects]]),"")</f>
        <v/>
      </c>
    </row>
    <row r="558" spans="2:41">
      <c r="B558" s="237"/>
      <c r="C558" s="14"/>
      <c r="D558" s="14"/>
      <c r="E558" s="14"/>
      <c r="F558" s="230" t="str">
        <f>IFERROR((Table47[[#This Row],[Initial No. of Requirements]]+Table47[[#This Row],[Modified Requirements( Added / Deleted /Modified)]])/Table47[[#This Row],[Initial No. of Requirements]],"")</f>
        <v/>
      </c>
      <c r="G55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8" s="249"/>
      <c r="J558" s="249"/>
      <c r="K558" s="250"/>
      <c r="L558" s="250"/>
      <c r="M558" s="250"/>
      <c r="N558" s="248">
        <f>SUMIFS(Table1[Size],Table1[Release Name],[2]!Table7[Release Name])</f>
        <v>0</v>
      </c>
      <c r="O558" s="248"/>
      <c r="P55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8" s="248"/>
      <c r="R55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8" s="248"/>
      <c r="T558" s="248"/>
      <c r="U558" s="248"/>
      <c r="V558" s="248"/>
      <c r="W558" s="248"/>
      <c r="X558" s="248"/>
      <c r="Y558" s="248"/>
      <c r="Z558" s="248"/>
      <c r="AA558" s="248"/>
      <c r="AB558" s="13">
        <f>SUMIFS(Table3[Hours Worked],Table3[Release Name],Table7[[#This Row],[Release Name]],Table3[Task Type],"Testcase Creation")</f>
        <v>0</v>
      </c>
      <c r="AC558" s="255">
        <f>SUMIFS(Table3[Hours Worked],Table3[Release Name],Table7[[#This Row],[Release Name]],Table3[Task Type],"Testcase Execution")</f>
        <v>0</v>
      </c>
      <c r="AD55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8" s="256" t="str">
        <f>IFERROR((Table7[[#This Row],[No. of Valid Internal Review Defects]]+Table7[[#This Row],[No. of Valid  Internal Testing Defects]]+Table7[[#This Row],[No. of  Valid External Review Defects]]+Table7[[#This Row],[No. of Valid External Testing Defects]])/Table7[[#This Row],[Size]],"")</f>
        <v/>
      </c>
      <c r="AF558" s="257" t="str">
        <f>IFERROR(Table7[[#This Row],[No. of Valid Internal Review Defects]]/(Table7[[#This Row],[No. of Valid Internal Review Defects]]+Table7[[#This Row],[No. of  Valid External Review Defects]]+Table7[[#This Row],[No. of Valid  Internal Testing Defects]]+Table7[[#This Row],[No. of Valid External Testing Defects]]),"")</f>
        <v/>
      </c>
      <c r="AG558" s="258" t="str">
        <f>IFERROR(Table7[[#This Row],[No. of Valid Internal Review Defects]]/(Table7[[#This Row],[No. of Valid Internal Review Defects]]+Table7[[#This Row],[No. of  Valid External Review Defects]]+Table7[[#This Row],[No. of Valid External Testing Defects]]),"")</f>
        <v/>
      </c>
      <c r="AH558" s="256" t="str">
        <f>IFERROR(Table7[[#This Row],[No. of Valid  Internal Testing Defects]]/Table7[[#This Row],[Overall Actual Effort for the release]],"")</f>
        <v/>
      </c>
      <c r="AI558" s="256" t="str">
        <f>IFERROR(Table7[[#This Row],[No. of Valid  Internal Testing Defects]]/Table7[[#This Row],[No. of Testcases Executed]],"")</f>
        <v/>
      </c>
      <c r="AJ558" s="259" t="str">
        <f>IFERROR(IFERROR(Table7[[#This Row],[No. of Testcases Created]]/Table7[[#This Row],[Effort for Testcase Creation]],"")*9,"")</f>
        <v/>
      </c>
      <c r="AK558" s="256" t="str">
        <f>IFERROR((Table7[[#This Row],[No. of Testcases Executed]]/Table7[[#This Row],[Effort for Testcase Execution]])*9,"")</f>
        <v/>
      </c>
      <c r="AL55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8" s="259" t="str">
        <f>IFERROR(Table7[[#This Row],[No. of Defects Validated]]/SUMIFS(Table3[Hours Worked],Table3[Release Name],Table7[[#This Row],[Release Name]],Table3[Task Type],"Defect Validation")*9,"")</f>
        <v/>
      </c>
      <c r="AN558" s="258" t="str">
        <f>IFERROR((Table7[[#This Row],[No. of Valid  Internal Testing Defects]])/(Table7[[#This Row],[No. of Valid  Internal Testing Defects]]+Table7[[#This Row],[No. of Invalid Internal Testing Defects]]),"")</f>
        <v/>
      </c>
      <c r="AO558" s="258" t="str">
        <f>IFERROR(Table7[[#This Row],[No. of Valid External Testing Defects]]/(Table7[[#This Row],[No. of Valid External Testing Defects]]+Table7[[#This Row],[No. of Valid  Internal Testing Defects]]),"")</f>
        <v/>
      </c>
    </row>
    <row r="559" spans="2:41">
      <c r="B559" s="237"/>
      <c r="C559" s="14"/>
      <c r="D559" s="14"/>
      <c r="E559" s="14"/>
      <c r="F559" s="230" t="str">
        <f>IFERROR((Table47[[#This Row],[Initial No. of Requirements]]+Table47[[#This Row],[Modified Requirements( Added / Deleted /Modified)]])/Table47[[#This Row],[Initial No. of Requirements]],"")</f>
        <v/>
      </c>
      <c r="G55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59" s="249"/>
      <c r="J559" s="249"/>
      <c r="K559" s="250"/>
      <c r="L559" s="250"/>
      <c r="M559" s="250"/>
      <c r="N559" s="248">
        <f>SUMIFS(Table1[Size],Table1[Release Name],[2]!Table7[Release Name])</f>
        <v>0</v>
      </c>
      <c r="O559" s="248"/>
      <c r="P55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59" s="248"/>
      <c r="R55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59" s="248"/>
      <c r="T559" s="248"/>
      <c r="U559" s="248"/>
      <c r="V559" s="248"/>
      <c r="W559" s="248"/>
      <c r="X559" s="248"/>
      <c r="Y559" s="248"/>
      <c r="Z559" s="248"/>
      <c r="AA559" s="248"/>
      <c r="AB559" s="13">
        <f>SUMIFS(Table3[Hours Worked],Table3[Release Name],Table7[[#This Row],[Release Name]],Table3[Task Type],"Testcase Creation")</f>
        <v>0</v>
      </c>
      <c r="AC559" s="255">
        <f>SUMIFS(Table3[Hours Worked],Table3[Release Name],Table7[[#This Row],[Release Name]],Table3[Task Type],"Testcase Execution")</f>
        <v>0</v>
      </c>
      <c r="AD55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59" s="256" t="str">
        <f>IFERROR((Table7[[#This Row],[No. of Valid Internal Review Defects]]+Table7[[#This Row],[No. of Valid  Internal Testing Defects]]+Table7[[#This Row],[No. of  Valid External Review Defects]]+Table7[[#This Row],[No. of Valid External Testing Defects]])/Table7[[#This Row],[Size]],"")</f>
        <v/>
      </c>
      <c r="AF559" s="257" t="str">
        <f>IFERROR(Table7[[#This Row],[No. of Valid Internal Review Defects]]/(Table7[[#This Row],[No. of Valid Internal Review Defects]]+Table7[[#This Row],[No. of  Valid External Review Defects]]+Table7[[#This Row],[No. of Valid  Internal Testing Defects]]+Table7[[#This Row],[No. of Valid External Testing Defects]]),"")</f>
        <v/>
      </c>
      <c r="AG559" s="258" t="str">
        <f>IFERROR(Table7[[#This Row],[No. of Valid Internal Review Defects]]/(Table7[[#This Row],[No. of Valid Internal Review Defects]]+Table7[[#This Row],[No. of  Valid External Review Defects]]+Table7[[#This Row],[No. of Valid External Testing Defects]]),"")</f>
        <v/>
      </c>
      <c r="AH559" s="256" t="str">
        <f>IFERROR(Table7[[#This Row],[No. of Valid  Internal Testing Defects]]/Table7[[#This Row],[Overall Actual Effort for the release]],"")</f>
        <v/>
      </c>
      <c r="AI559" s="256" t="str">
        <f>IFERROR(Table7[[#This Row],[No. of Valid  Internal Testing Defects]]/Table7[[#This Row],[No. of Testcases Executed]],"")</f>
        <v/>
      </c>
      <c r="AJ559" s="259" t="str">
        <f>IFERROR(IFERROR(Table7[[#This Row],[No. of Testcases Created]]/Table7[[#This Row],[Effort for Testcase Creation]],"")*9,"")</f>
        <v/>
      </c>
      <c r="AK559" s="256" t="str">
        <f>IFERROR((Table7[[#This Row],[No. of Testcases Executed]]/Table7[[#This Row],[Effort for Testcase Execution]])*9,"")</f>
        <v/>
      </c>
      <c r="AL55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59" s="259" t="str">
        <f>IFERROR(Table7[[#This Row],[No. of Defects Validated]]/SUMIFS(Table3[Hours Worked],Table3[Release Name],Table7[[#This Row],[Release Name]],Table3[Task Type],"Defect Validation")*9,"")</f>
        <v/>
      </c>
      <c r="AN559" s="258" t="str">
        <f>IFERROR((Table7[[#This Row],[No. of Valid  Internal Testing Defects]])/(Table7[[#This Row],[No. of Valid  Internal Testing Defects]]+Table7[[#This Row],[No. of Invalid Internal Testing Defects]]),"")</f>
        <v/>
      </c>
      <c r="AO559" s="258" t="str">
        <f>IFERROR(Table7[[#This Row],[No. of Valid External Testing Defects]]/(Table7[[#This Row],[No. of Valid External Testing Defects]]+Table7[[#This Row],[No. of Valid  Internal Testing Defects]]),"")</f>
        <v/>
      </c>
    </row>
    <row r="560" spans="2:41">
      <c r="B560" s="237"/>
      <c r="C560" s="14"/>
      <c r="D560" s="14"/>
      <c r="E560" s="14"/>
      <c r="F560" s="230" t="str">
        <f>IFERROR((Table47[[#This Row],[Initial No. of Requirements]]+Table47[[#This Row],[Modified Requirements( Added / Deleted /Modified)]])/Table47[[#This Row],[Initial No. of Requirements]],"")</f>
        <v/>
      </c>
      <c r="G56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0" s="249"/>
      <c r="J560" s="249"/>
      <c r="K560" s="250"/>
      <c r="L560" s="250"/>
      <c r="M560" s="250"/>
      <c r="N560" s="248">
        <f>SUMIFS(Table1[Size],Table1[Release Name],[2]!Table7[Release Name])</f>
        <v>0</v>
      </c>
      <c r="O560" s="248"/>
      <c r="P56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0" s="248"/>
      <c r="R56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0" s="248"/>
      <c r="T560" s="248"/>
      <c r="U560" s="248"/>
      <c r="V560" s="248"/>
      <c r="W560" s="248"/>
      <c r="X560" s="248"/>
      <c r="Y560" s="248"/>
      <c r="Z560" s="248"/>
      <c r="AA560" s="248"/>
      <c r="AB560" s="13">
        <f>SUMIFS(Table3[Hours Worked],Table3[Release Name],Table7[[#This Row],[Release Name]],Table3[Task Type],"Testcase Creation")</f>
        <v>0</v>
      </c>
      <c r="AC560" s="255">
        <f>SUMIFS(Table3[Hours Worked],Table3[Release Name],Table7[[#This Row],[Release Name]],Table3[Task Type],"Testcase Execution")</f>
        <v>0</v>
      </c>
      <c r="AD56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0" s="256" t="str">
        <f>IFERROR((Table7[[#This Row],[No. of Valid Internal Review Defects]]+Table7[[#This Row],[No. of Valid  Internal Testing Defects]]+Table7[[#This Row],[No. of  Valid External Review Defects]]+Table7[[#This Row],[No. of Valid External Testing Defects]])/Table7[[#This Row],[Size]],"")</f>
        <v/>
      </c>
      <c r="AF560" s="257" t="str">
        <f>IFERROR(Table7[[#This Row],[No. of Valid Internal Review Defects]]/(Table7[[#This Row],[No. of Valid Internal Review Defects]]+Table7[[#This Row],[No. of  Valid External Review Defects]]+Table7[[#This Row],[No. of Valid  Internal Testing Defects]]+Table7[[#This Row],[No. of Valid External Testing Defects]]),"")</f>
        <v/>
      </c>
      <c r="AG560" s="258" t="str">
        <f>IFERROR(Table7[[#This Row],[No. of Valid Internal Review Defects]]/(Table7[[#This Row],[No. of Valid Internal Review Defects]]+Table7[[#This Row],[No. of  Valid External Review Defects]]+Table7[[#This Row],[No. of Valid External Testing Defects]]),"")</f>
        <v/>
      </c>
      <c r="AH560" s="256" t="str">
        <f>IFERROR(Table7[[#This Row],[No. of Valid  Internal Testing Defects]]/Table7[[#This Row],[Overall Actual Effort for the release]],"")</f>
        <v/>
      </c>
      <c r="AI560" s="256" t="str">
        <f>IFERROR(Table7[[#This Row],[No. of Valid  Internal Testing Defects]]/Table7[[#This Row],[No. of Testcases Executed]],"")</f>
        <v/>
      </c>
      <c r="AJ560" s="259" t="str">
        <f>IFERROR(IFERROR(Table7[[#This Row],[No. of Testcases Created]]/Table7[[#This Row],[Effort for Testcase Creation]],"")*9,"")</f>
        <v/>
      </c>
      <c r="AK560" s="256" t="str">
        <f>IFERROR((Table7[[#This Row],[No. of Testcases Executed]]/Table7[[#This Row],[Effort for Testcase Execution]])*9,"")</f>
        <v/>
      </c>
      <c r="AL56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0" s="259" t="str">
        <f>IFERROR(Table7[[#This Row],[No. of Defects Validated]]/SUMIFS(Table3[Hours Worked],Table3[Release Name],Table7[[#This Row],[Release Name]],Table3[Task Type],"Defect Validation")*9,"")</f>
        <v/>
      </c>
      <c r="AN560" s="258" t="str">
        <f>IFERROR((Table7[[#This Row],[No. of Valid  Internal Testing Defects]])/(Table7[[#This Row],[No. of Valid  Internal Testing Defects]]+Table7[[#This Row],[No. of Invalid Internal Testing Defects]]),"")</f>
        <v/>
      </c>
      <c r="AO560" s="258" t="str">
        <f>IFERROR(Table7[[#This Row],[No. of Valid External Testing Defects]]/(Table7[[#This Row],[No. of Valid External Testing Defects]]+Table7[[#This Row],[No. of Valid  Internal Testing Defects]]),"")</f>
        <v/>
      </c>
    </row>
    <row r="561" spans="2:41">
      <c r="B561" s="237"/>
      <c r="C561" s="14"/>
      <c r="D561" s="14"/>
      <c r="E561" s="14"/>
      <c r="F561" s="230" t="str">
        <f>IFERROR((Table47[[#This Row],[Initial No. of Requirements]]+Table47[[#This Row],[Modified Requirements( Added / Deleted /Modified)]])/Table47[[#This Row],[Initial No. of Requirements]],"")</f>
        <v/>
      </c>
      <c r="G56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1" s="249"/>
      <c r="J561" s="249"/>
      <c r="K561" s="250"/>
      <c r="L561" s="250"/>
      <c r="M561" s="250"/>
      <c r="N561" s="248">
        <f>SUMIFS(Table1[Size],Table1[Release Name],[2]!Table7[Release Name])</f>
        <v>0</v>
      </c>
      <c r="O561" s="248"/>
      <c r="P56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1" s="248"/>
      <c r="R56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1" s="248"/>
      <c r="T561" s="248"/>
      <c r="U561" s="248"/>
      <c r="V561" s="248"/>
      <c r="W561" s="248"/>
      <c r="X561" s="248"/>
      <c r="Y561" s="248"/>
      <c r="Z561" s="248"/>
      <c r="AA561" s="248"/>
      <c r="AB561" s="13">
        <f>SUMIFS(Table3[Hours Worked],Table3[Release Name],Table7[[#This Row],[Release Name]],Table3[Task Type],"Testcase Creation")</f>
        <v>0</v>
      </c>
      <c r="AC561" s="255">
        <f>SUMIFS(Table3[Hours Worked],Table3[Release Name],Table7[[#This Row],[Release Name]],Table3[Task Type],"Testcase Execution")</f>
        <v>0</v>
      </c>
      <c r="AD56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1" s="256" t="str">
        <f>IFERROR((Table7[[#This Row],[No. of Valid Internal Review Defects]]+Table7[[#This Row],[No. of Valid  Internal Testing Defects]]+Table7[[#This Row],[No. of  Valid External Review Defects]]+Table7[[#This Row],[No. of Valid External Testing Defects]])/Table7[[#This Row],[Size]],"")</f>
        <v/>
      </c>
      <c r="AF561" s="257" t="str">
        <f>IFERROR(Table7[[#This Row],[No. of Valid Internal Review Defects]]/(Table7[[#This Row],[No. of Valid Internal Review Defects]]+Table7[[#This Row],[No. of  Valid External Review Defects]]+Table7[[#This Row],[No. of Valid  Internal Testing Defects]]+Table7[[#This Row],[No. of Valid External Testing Defects]]),"")</f>
        <v/>
      </c>
      <c r="AG561" s="258" t="str">
        <f>IFERROR(Table7[[#This Row],[No. of Valid Internal Review Defects]]/(Table7[[#This Row],[No. of Valid Internal Review Defects]]+Table7[[#This Row],[No. of  Valid External Review Defects]]+Table7[[#This Row],[No. of Valid External Testing Defects]]),"")</f>
        <v/>
      </c>
      <c r="AH561" s="256" t="str">
        <f>IFERROR(Table7[[#This Row],[No. of Valid  Internal Testing Defects]]/Table7[[#This Row],[Overall Actual Effort for the release]],"")</f>
        <v/>
      </c>
      <c r="AI561" s="256" t="str">
        <f>IFERROR(Table7[[#This Row],[No. of Valid  Internal Testing Defects]]/Table7[[#This Row],[No. of Testcases Executed]],"")</f>
        <v/>
      </c>
      <c r="AJ561" s="259" t="str">
        <f>IFERROR(IFERROR(Table7[[#This Row],[No. of Testcases Created]]/Table7[[#This Row],[Effort for Testcase Creation]],"")*9,"")</f>
        <v/>
      </c>
      <c r="AK561" s="256" t="str">
        <f>IFERROR((Table7[[#This Row],[No. of Testcases Executed]]/Table7[[#This Row],[Effort for Testcase Execution]])*9,"")</f>
        <v/>
      </c>
      <c r="AL56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1" s="259" t="str">
        <f>IFERROR(Table7[[#This Row],[No. of Defects Validated]]/SUMIFS(Table3[Hours Worked],Table3[Release Name],Table7[[#This Row],[Release Name]],Table3[Task Type],"Defect Validation")*9,"")</f>
        <v/>
      </c>
      <c r="AN561" s="258" t="str">
        <f>IFERROR((Table7[[#This Row],[No. of Valid  Internal Testing Defects]])/(Table7[[#This Row],[No. of Valid  Internal Testing Defects]]+Table7[[#This Row],[No. of Invalid Internal Testing Defects]]),"")</f>
        <v/>
      </c>
      <c r="AO561" s="258" t="str">
        <f>IFERROR(Table7[[#This Row],[No. of Valid External Testing Defects]]/(Table7[[#This Row],[No. of Valid External Testing Defects]]+Table7[[#This Row],[No. of Valid  Internal Testing Defects]]),"")</f>
        <v/>
      </c>
    </row>
    <row r="562" spans="2:41">
      <c r="B562" s="237"/>
      <c r="C562" s="14"/>
      <c r="D562" s="14"/>
      <c r="E562" s="14"/>
      <c r="F562" s="230" t="str">
        <f>IFERROR((Table47[[#This Row],[Initial No. of Requirements]]+Table47[[#This Row],[Modified Requirements( Added / Deleted /Modified)]])/Table47[[#This Row],[Initial No. of Requirements]],"")</f>
        <v/>
      </c>
      <c r="G56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2" s="249"/>
      <c r="J562" s="249"/>
      <c r="K562" s="250"/>
      <c r="L562" s="250"/>
      <c r="M562" s="250"/>
      <c r="N562" s="248">
        <f>SUMIFS(Table1[Size],Table1[Release Name],[2]!Table7[Release Name])</f>
        <v>0</v>
      </c>
      <c r="O562" s="248"/>
      <c r="P56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2" s="248"/>
      <c r="R56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2" s="248"/>
      <c r="T562" s="248"/>
      <c r="U562" s="248"/>
      <c r="V562" s="248"/>
      <c r="W562" s="248"/>
      <c r="X562" s="248"/>
      <c r="Y562" s="248"/>
      <c r="Z562" s="248"/>
      <c r="AA562" s="248"/>
      <c r="AB562" s="13">
        <f>SUMIFS(Table3[Hours Worked],Table3[Release Name],Table7[[#This Row],[Release Name]],Table3[Task Type],"Testcase Creation")</f>
        <v>0</v>
      </c>
      <c r="AC562" s="255">
        <f>SUMIFS(Table3[Hours Worked],Table3[Release Name],Table7[[#This Row],[Release Name]],Table3[Task Type],"Testcase Execution")</f>
        <v>0</v>
      </c>
      <c r="AD56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2" s="256" t="str">
        <f>IFERROR((Table7[[#This Row],[No. of Valid Internal Review Defects]]+Table7[[#This Row],[No. of Valid  Internal Testing Defects]]+Table7[[#This Row],[No. of  Valid External Review Defects]]+Table7[[#This Row],[No. of Valid External Testing Defects]])/Table7[[#This Row],[Size]],"")</f>
        <v/>
      </c>
      <c r="AF562" s="257" t="str">
        <f>IFERROR(Table7[[#This Row],[No. of Valid Internal Review Defects]]/(Table7[[#This Row],[No. of Valid Internal Review Defects]]+Table7[[#This Row],[No. of  Valid External Review Defects]]+Table7[[#This Row],[No. of Valid  Internal Testing Defects]]+Table7[[#This Row],[No. of Valid External Testing Defects]]),"")</f>
        <v/>
      </c>
      <c r="AG562" s="258" t="str">
        <f>IFERROR(Table7[[#This Row],[No. of Valid Internal Review Defects]]/(Table7[[#This Row],[No. of Valid Internal Review Defects]]+Table7[[#This Row],[No. of  Valid External Review Defects]]+Table7[[#This Row],[No. of Valid External Testing Defects]]),"")</f>
        <v/>
      </c>
      <c r="AH562" s="256" t="str">
        <f>IFERROR(Table7[[#This Row],[No. of Valid  Internal Testing Defects]]/Table7[[#This Row],[Overall Actual Effort for the release]],"")</f>
        <v/>
      </c>
      <c r="AI562" s="256" t="str">
        <f>IFERROR(Table7[[#This Row],[No. of Valid  Internal Testing Defects]]/Table7[[#This Row],[No. of Testcases Executed]],"")</f>
        <v/>
      </c>
      <c r="AJ562" s="259" t="str">
        <f>IFERROR(IFERROR(Table7[[#This Row],[No. of Testcases Created]]/Table7[[#This Row],[Effort for Testcase Creation]],"")*9,"")</f>
        <v/>
      </c>
      <c r="AK562" s="256" t="str">
        <f>IFERROR((Table7[[#This Row],[No. of Testcases Executed]]/Table7[[#This Row],[Effort for Testcase Execution]])*9,"")</f>
        <v/>
      </c>
      <c r="AL56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2" s="259" t="str">
        <f>IFERROR(Table7[[#This Row],[No. of Defects Validated]]/SUMIFS(Table3[Hours Worked],Table3[Release Name],Table7[[#This Row],[Release Name]],Table3[Task Type],"Defect Validation")*9,"")</f>
        <v/>
      </c>
      <c r="AN562" s="258" t="str">
        <f>IFERROR((Table7[[#This Row],[No. of Valid  Internal Testing Defects]])/(Table7[[#This Row],[No. of Valid  Internal Testing Defects]]+Table7[[#This Row],[No. of Invalid Internal Testing Defects]]),"")</f>
        <v/>
      </c>
      <c r="AO562" s="258" t="str">
        <f>IFERROR(Table7[[#This Row],[No. of Valid External Testing Defects]]/(Table7[[#This Row],[No. of Valid External Testing Defects]]+Table7[[#This Row],[No. of Valid  Internal Testing Defects]]),"")</f>
        <v/>
      </c>
    </row>
    <row r="563" spans="2:41">
      <c r="B563" s="237"/>
      <c r="C563" s="14"/>
      <c r="D563" s="14"/>
      <c r="E563" s="14"/>
      <c r="F563" s="230" t="str">
        <f>IFERROR((Table47[[#This Row],[Initial No. of Requirements]]+Table47[[#This Row],[Modified Requirements( Added / Deleted /Modified)]])/Table47[[#This Row],[Initial No. of Requirements]],"")</f>
        <v/>
      </c>
      <c r="G56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3" s="249"/>
      <c r="J563" s="249"/>
      <c r="K563" s="250"/>
      <c r="L563" s="250"/>
      <c r="M563" s="250"/>
      <c r="N563" s="248">
        <f>SUMIFS(Table1[Size],Table1[Release Name],[2]!Table7[Release Name])</f>
        <v>0</v>
      </c>
      <c r="O563" s="248"/>
      <c r="P56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3" s="248"/>
      <c r="R56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3" s="248"/>
      <c r="T563" s="248"/>
      <c r="U563" s="248"/>
      <c r="V563" s="248"/>
      <c r="W563" s="248"/>
      <c r="X563" s="248"/>
      <c r="Y563" s="248"/>
      <c r="Z563" s="248"/>
      <c r="AA563" s="248"/>
      <c r="AB563" s="13">
        <f>SUMIFS(Table3[Hours Worked],Table3[Release Name],Table7[[#This Row],[Release Name]],Table3[Task Type],"Testcase Creation")</f>
        <v>0</v>
      </c>
      <c r="AC563" s="255">
        <f>SUMIFS(Table3[Hours Worked],Table3[Release Name],Table7[[#This Row],[Release Name]],Table3[Task Type],"Testcase Execution")</f>
        <v>0</v>
      </c>
      <c r="AD56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3" s="256" t="str">
        <f>IFERROR((Table7[[#This Row],[No. of Valid Internal Review Defects]]+Table7[[#This Row],[No. of Valid  Internal Testing Defects]]+Table7[[#This Row],[No. of  Valid External Review Defects]]+Table7[[#This Row],[No. of Valid External Testing Defects]])/Table7[[#This Row],[Size]],"")</f>
        <v/>
      </c>
      <c r="AF563" s="257" t="str">
        <f>IFERROR(Table7[[#This Row],[No. of Valid Internal Review Defects]]/(Table7[[#This Row],[No. of Valid Internal Review Defects]]+Table7[[#This Row],[No. of  Valid External Review Defects]]+Table7[[#This Row],[No. of Valid  Internal Testing Defects]]+Table7[[#This Row],[No. of Valid External Testing Defects]]),"")</f>
        <v/>
      </c>
      <c r="AG563" s="258" t="str">
        <f>IFERROR(Table7[[#This Row],[No. of Valid Internal Review Defects]]/(Table7[[#This Row],[No. of Valid Internal Review Defects]]+Table7[[#This Row],[No. of  Valid External Review Defects]]+Table7[[#This Row],[No. of Valid External Testing Defects]]),"")</f>
        <v/>
      </c>
      <c r="AH563" s="256" t="str">
        <f>IFERROR(Table7[[#This Row],[No. of Valid  Internal Testing Defects]]/Table7[[#This Row],[Overall Actual Effort for the release]],"")</f>
        <v/>
      </c>
      <c r="AI563" s="256" t="str">
        <f>IFERROR(Table7[[#This Row],[No. of Valid  Internal Testing Defects]]/Table7[[#This Row],[No. of Testcases Executed]],"")</f>
        <v/>
      </c>
      <c r="AJ563" s="259" t="str">
        <f>IFERROR(IFERROR(Table7[[#This Row],[No. of Testcases Created]]/Table7[[#This Row],[Effort for Testcase Creation]],"")*9,"")</f>
        <v/>
      </c>
      <c r="AK563" s="256" t="str">
        <f>IFERROR((Table7[[#This Row],[No. of Testcases Executed]]/Table7[[#This Row],[Effort for Testcase Execution]])*9,"")</f>
        <v/>
      </c>
      <c r="AL56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3" s="259" t="str">
        <f>IFERROR(Table7[[#This Row],[No. of Defects Validated]]/SUMIFS(Table3[Hours Worked],Table3[Release Name],Table7[[#This Row],[Release Name]],Table3[Task Type],"Defect Validation")*9,"")</f>
        <v/>
      </c>
      <c r="AN563" s="258" t="str">
        <f>IFERROR((Table7[[#This Row],[No. of Valid  Internal Testing Defects]])/(Table7[[#This Row],[No. of Valid  Internal Testing Defects]]+Table7[[#This Row],[No. of Invalid Internal Testing Defects]]),"")</f>
        <v/>
      </c>
      <c r="AO563" s="258" t="str">
        <f>IFERROR(Table7[[#This Row],[No. of Valid External Testing Defects]]/(Table7[[#This Row],[No. of Valid External Testing Defects]]+Table7[[#This Row],[No. of Valid  Internal Testing Defects]]),"")</f>
        <v/>
      </c>
    </row>
    <row r="564" spans="2:41">
      <c r="B564" s="237"/>
      <c r="C564" s="14"/>
      <c r="D564" s="14"/>
      <c r="E564" s="14"/>
      <c r="F564" s="230" t="str">
        <f>IFERROR((Table47[[#This Row],[Initial No. of Requirements]]+Table47[[#This Row],[Modified Requirements( Added / Deleted /Modified)]])/Table47[[#This Row],[Initial No. of Requirements]],"")</f>
        <v/>
      </c>
      <c r="G56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4" s="249"/>
      <c r="J564" s="249"/>
      <c r="K564" s="250"/>
      <c r="L564" s="250"/>
      <c r="M564" s="250"/>
      <c r="N564" s="248">
        <f>SUMIFS(Table1[Size],Table1[Release Name],[2]!Table7[Release Name])</f>
        <v>0</v>
      </c>
      <c r="O564" s="248"/>
      <c r="P56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4" s="248"/>
      <c r="R56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4" s="248"/>
      <c r="T564" s="248"/>
      <c r="U564" s="248"/>
      <c r="V564" s="248"/>
      <c r="W564" s="248"/>
      <c r="X564" s="248"/>
      <c r="Y564" s="248"/>
      <c r="Z564" s="248"/>
      <c r="AA564" s="248"/>
      <c r="AB564" s="13">
        <f>SUMIFS(Table3[Hours Worked],Table3[Release Name],Table7[[#This Row],[Release Name]],Table3[Task Type],"Testcase Creation")</f>
        <v>0</v>
      </c>
      <c r="AC564" s="255">
        <f>SUMIFS(Table3[Hours Worked],Table3[Release Name],Table7[[#This Row],[Release Name]],Table3[Task Type],"Testcase Execution")</f>
        <v>0</v>
      </c>
      <c r="AD56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4" s="256" t="str">
        <f>IFERROR((Table7[[#This Row],[No. of Valid Internal Review Defects]]+Table7[[#This Row],[No. of Valid  Internal Testing Defects]]+Table7[[#This Row],[No. of  Valid External Review Defects]]+Table7[[#This Row],[No. of Valid External Testing Defects]])/Table7[[#This Row],[Size]],"")</f>
        <v/>
      </c>
      <c r="AF564" s="257" t="str">
        <f>IFERROR(Table7[[#This Row],[No. of Valid Internal Review Defects]]/(Table7[[#This Row],[No. of Valid Internal Review Defects]]+Table7[[#This Row],[No. of  Valid External Review Defects]]+Table7[[#This Row],[No. of Valid  Internal Testing Defects]]+Table7[[#This Row],[No. of Valid External Testing Defects]]),"")</f>
        <v/>
      </c>
      <c r="AG564" s="258" t="str">
        <f>IFERROR(Table7[[#This Row],[No. of Valid Internal Review Defects]]/(Table7[[#This Row],[No. of Valid Internal Review Defects]]+Table7[[#This Row],[No. of  Valid External Review Defects]]+Table7[[#This Row],[No. of Valid External Testing Defects]]),"")</f>
        <v/>
      </c>
      <c r="AH564" s="256" t="str">
        <f>IFERROR(Table7[[#This Row],[No. of Valid  Internal Testing Defects]]/Table7[[#This Row],[Overall Actual Effort for the release]],"")</f>
        <v/>
      </c>
      <c r="AI564" s="256" t="str">
        <f>IFERROR(Table7[[#This Row],[No. of Valid  Internal Testing Defects]]/Table7[[#This Row],[No. of Testcases Executed]],"")</f>
        <v/>
      </c>
      <c r="AJ564" s="259" t="str">
        <f>IFERROR(IFERROR(Table7[[#This Row],[No. of Testcases Created]]/Table7[[#This Row],[Effort for Testcase Creation]],"")*9,"")</f>
        <v/>
      </c>
      <c r="AK564" s="256" t="str">
        <f>IFERROR((Table7[[#This Row],[No. of Testcases Executed]]/Table7[[#This Row],[Effort for Testcase Execution]])*9,"")</f>
        <v/>
      </c>
      <c r="AL56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4" s="259" t="str">
        <f>IFERROR(Table7[[#This Row],[No. of Defects Validated]]/SUMIFS(Table3[Hours Worked],Table3[Release Name],Table7[[#This Row],[Release Name]],Table3[Task Type],"Defect Validation")*9,"")</f>
        <v/>
      </c>
      <c r="AN564" s="258" t="str">
        <f>IFERROR((Table7[[#This Row],[No. of Valid  Internal Testing Defects]])/(Table7[[#This Row],[No. of Valid  Internal Testing Defects]]+Table7[[#This Row],[No. of Invalid Internal Testing Defects]]),"")</f>
        <v/>
      </c>
      <c r="AO564" s="258" t="str">
        <f>IFERROR(Table7[[#This Row],[No. of Valid External Testing Defects]]/(Table7[[#This Row],[No. of Valid External Testing Defects]]+Table7[[#This Row],[No. of Valid  Internal Testing Defects]]),"")</f>
        <v/>
      </c>
    </row>
    <row r="565" spans="2:41">
      <c r="B565" s="237"/>
      <c r="C565" s="14"/>
      <c r="D565" s="14"/>
      <c r="E565" s="14"/>
      <c r="F565" s="230" t="str">
        <f>IFERROR((Table47[[#This Row],[Initial No. of Requirements]]+Table47[[#This Row],[Modified Requirements( Added / Deleted /Modified)]])/Table47[[#This Row],[Initial No. of Requirements]],"")</f>
        <v/>
      </c>
      <c r="G56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5" s="249"/>
      <c r="J565" s="249"/>
      <c r="K565" s="250"/>
      <c r="L565" s="250"/>
      <c r="M565" s="250"/>
      <c r="N565" s="248">
        <f>SUMIFS(Table1[Size],Table1[Release Name],[2]!Table7[Release Name])</f>
        <v>0</v>
      </c>
      <c r="O565" s="248"/>
      <c r="P56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5" s="248"/>
      <c r="R56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5" s="248"/>
      <c r="T565" s="248"/>
      <c r="U565" s="248"/>
      <c r="V565" s="248"/>
      <c r="W565" s="248"/>
      <c r="X565" s="248"/>
      <c r="Y565" s="248"/>
      <c r="Z565" s="248"/>
      <c r="AA565" s="248"/>
      <c r="AB565" s="13">
        <f>SUMIFS(Table3[Hours Worked],Table3[Release Name],Table7[[#This Row],[Release Name]],Table3[Task Type],"Testcase Creation")</f>
        <v>0</v>
      </c>
      <c r="AC565" s="255">
        <f>SUMIFS(Table3[Hours Worked],Table3[Release Name],Table7[[#This Row],[Release Name]],Table3[Task Type],"Testcase Execution")</f>
        <v>0</v>
      </c>
      <c r="AD56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5" s="256" t="str">
        <f>IFERROR((Table7[[#This Row],[No. of Valid Internal Review Defects]]+Table7[[#This Row],[No. of Valid  Internal Testing Defects]]+Table7[[#This Row],[No. of  Valid External Review Defects]]+Table7[[#This Row],[No. of Valid External Testing Defects]])/Table7[[#This Row],[Size]],"")</f>
        <v/>
      </c>
      <c r="AF565" s="257" t="str">
        <f>IFERROR(Table7[[#This Row],[No. of Valid Internal Review Defects]]/(Table7[[#This Row],[No. of Valid Internal Review Defects]]+Table7[[#This Row],[No. of  Valid External Review Defects]]+Table7[[#This Row],[No. of Valid  Internal Testing Defects]]+Table7[[#This Row],[No. of Valid External Testing Defects]]),"")</f>
        <v/>
      </c>
      <c r="AG565" s="258" t="str">
        <f>IFERROR(Table7[[#This Row],[No. of Valid Internal Review Defects]]/(Table7[[#This Row],[No. of Valid Internal Review Defects]]+Table7[[#This Row],[No. of  Valid External Review Defects]]+Table7[[#This Row],[No. of Valid External Testing Defects]]),"")</f>
        <v/>
      </c>
      <c r="AH565" s="256" t="str">
        <f>IFERROR(Table7[[#This Row],[No. of Valid  Internal Testing Defects]]/Table7[[#This Row],[Overall Actual Effort for the release]],"")</f>
        <v/>
      </c>
      <c r="AI565" s="256" t="str">
        <f>IFERROR(Table7[[#This Row],[No. of Valid  Internal Testing Defects]]/Table7[[#This Row],[No. of Testcases Executed]],"")</f>
        <v/>
      </c>
      <c r="AJ565" s="259" t="str">
        <f>IFERROR(IFERROR(Table7[[#This Row],[No. of Testcases Created]]/Table7[[#This Row],[Effort for Testcase Creation]],"")*9,"")</f>
        <v/>
      </c>
      <c r="AK565" s="256" t="str">
        <f>IFERROR((Table7[[#This Row],[No. of Testcases Executed]]/Table7[[#This Row],[Effort for Testcase Execution]])*9,"")</f>
        <v/>
      </c>
      <c r="AL56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5" s="259" t="str">
        <f>IFERROR(Table7[[#This Row],[No. of Defects Validated]]/SUMIFS(Table3[Hours Worked],Table3[Release Name],Table7[[#This Row],[Release Name]],Table3[Task Type],"Defect Validation")*9,"")</f>
        <v/>
      </c>
      <c r="AN565" s="258" t="str">
        <f>IFERROR((Table7[[#This Row],[No. of Valid  Internal Testing Defects]])/(Table7[[#This Row],[No. of Valid  Internal Testing Defects]]+Table7[[#This Row],[No. of Invalid Internal Testing Defects]]),"")</f>
        <v/>
      </c>
      <c r="AO565" s="258" t="str">
        <f>IFERROR(Table7[[#This Row],[No. of Valid External Testing Defects]]/(Table7[[#This Row],[No. of Valid External Testing Defects]]+Table7[[#This Row],[No. of Valid  Internal Testing Defects]]),"")</f>
        <v/>
      </c>
    </row>
    <row r="566" spans="2:41">
      <c r="B566" s="237"/>
      <c r="C566" s="14"/>
      <c r="D566" s="14"/>
      <c r="E566" s="14"/>
      <c r="F566" s="230" t="str">
        <f>IFERROR((Table47[[#This Row],[Initial No. of Requirements]]+Table47[[#This Row],[Modified Requirements( Added / Deleted /Modified)]])/Table47[[#This Row],[Initial No. of Requirements]],"")</f>
        <v/>
      </c>
      <c r="G56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6" s="249"/>
      <c r="J566" s="249"/>
      <c r="K566" s="250"/>
      <c r="L566" s="250"/>
      <c r="M566" s="250"/>
      <c r="N566" s="248">
        <f>SUMIFS(Table1[Size],Table1[Release Name],[2]!Table7[Release Name])</f>
        <v>0</v>
      </c>
      <c r="O566" s="248"/>
      <c r="P56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6" s="248"/>
      <c r="R56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6" s="248"/>
      <c r="T566" s="248"/>
      <c r="U566" s="248"/>
      <c r="V566" s="248"/>
      <c r="W566" s="248"/>
      <c r="X566" s="248"/>
      <c r="Y566" s="248"/>
      <c r="Z566" s="248"/>
      <c r="AA566" s="248"/>
      <c r="AB566" s="13">
        <f>SUMIFS(Table3[Hours Worked],Table3[Release Name],Table7[[#This Row],[Release Name]],Table3[Task Type],"Testcase Creation")</f>
        <v>0</v>
      </c>
      <c r="AC566" s="255">
        <f>SUMIFS(Table3[Hours Worked],Table3[Release Name],Table7[[#This Row],[Release Name]],Table3[Task Type],"Testcase Execution")</f>
        <v>0</v>
      </c>
      <c r="AD56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6" s="256" t="str">
        <f>IFERROR((Table7[[#This Row],[No. of Valid Internal Review Defects]]+Table7[[#This Row],[No. of Valid  Internal Testing Defects]]+Table7[[#This Row],[No. of  Valid External Review Defects]]+Table7[[#This Row],[No. of Valid External Testing Defects]])/Table7[[#This Row],[Size]],"")</f>
        <v/>
      </c>
      <c r="AF566" s="257" t="str">
        <f>IFERROR(Table7[[#This Row],[No. of Valid Internal Review Defects]]/(Table7[[#This Row],[No. of Valid Internal Review Defects]]+Table7[[#This Row],[No. of  Valid External Review Defects]]+Table7[[#This Row],[No. of Valid  Internal Testing Defects]]+Table7[[#This Row],[No. of Valid External Testing Defects]]),"")</f>
        <v/>
      </c>
      <c r="AG566" s="258" t="str">
        <f>IFERROR(Table7[[#This Row],[No. of Valid Internal Review Defects]]/(Table7[[#This Row],[No. of Valid Internal Review Defects]]+Table7[[#This Row],[No. of  Valid External Review Defects]]+Table7[[#This Row],[No. of Valid External Testing Defects]]),"")</f>
        <v/>
      </c>
      <c r="AH566" s="256" t="str">
        <f>IFERROR(Table7[[#This Row],[No. of Valid  Internal Testing Defects]]/Table7[[#This Row],[Overall Actual Effort for the release]],"")</f>
        <v/>
      </c>
      <c r="AI566" s="256" t="str">
        <f>IFERROR(Table7[[#This Row],[No. of Valid  Internal Testing Defects]]/Table7[[#This Row],[No. of Testcases Executed]],"")</f>
        <v/>
      </c>
      <c r="AJ566" s="259" t="str">
        <f>IFERROR(IFERROR(Table7[[#This Row],[No. of Testcases Created]]/Table7[[#This Row],[Effort for Testcase Creation]],"")*9,"")</f>
        <v/>
      </c>
      <c r="AK566" s="256" t="str">
        <f>IFERROR((Table7[[#This Row],[No. of Testcases Executed]]/Table7[[#This Row],[Effort for Testcase Execution]])*9,"")</f>
        <v/>
      </c>
      <c r="AL56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6" s="259" t="str">
        <f>IFERROR(Table7[[#This Row],[No. of Defects Validated]]/SUMIFS(Table3[Hours Worked],Table3[Release Name],Table7[[#This Row],[Release Name]],Table3[Task Type],"Defect Validation")*9,"")</f>
        <v/>
      </c>
      <c r="AN566" s="258" t="str">
        <f>IFERROR((Table7[[#This Row],[No. of Valid  Internal Testing Defects]])/(Table7[[#This Row],[No. of Valid  Internal Testing Defects]]+Table7[[#This Row],[No. of Invalid Internal Testing Defects]]),"")</f>
        <v/>
      </c>
      <c r="AO566" s="258" t="str">
        <f>IFERROR(Table7[[#This Row],[No. of Valid External Testing Defects]]/(Table7[[#This Row],[No. of Valid External Testing Defects]]+Table7[[#This Row],[No. of Valid  Internal Testing Defects]]),"")</f>
        <v/>
      </c>
    </row>
    <row r="567" spans="2:41">
      <c r="B567" s="237"/>
      <c r="C567" s="14"/>
      <c r="D567" s="14"/>
      <c r="E567" s="14"/>
      <c r="F567" s="230" t="str">
        <f>IFERROR((Table47[[#This Row],[Initial No. of Requirements]]+Table47[[#This Row],[Modified Requirements( Added / Deleted /Modified)]])/Table47[[#This Row],[Initial No. of Requirements]],"")</f>
        <v/>
      </c>
      <c r="G56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7" s="249"/>
      <c r="J567" s="249"/>
      <c r="K567" s="250"/>
      <c r="L567" s="250"/>
      <c r="M567" s="250"/>
      <c r="N567" s="248">
        <f>SUMIFS(Table1[Size],Table1[Release Name],[2]!Table7[Release Name])</f>
        <v>0</v>
      </c>
      <c r="O567" s="248"/>
      <c r="P56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7" s="248"/>
      <c r="R56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7" s="248"/>
      <c r="T567" s="248"/>
      <c r="U567" s="248"/>
      <c r="V567" s="248"/>
      <c r="W567" s="248"/>
      <c r="X567" s="248"/>
      <c r="Y567" s="248"/>
      <c r="Z567" s="248"/>
      <c r="AA567" s="248"/>
      <c r="AB567" s="13">
        <f>SUMIFS(Table3[Hours Worked],Table3[Release Name],Table7[[#This Row],[Release Name]],Table3[Task Type],"Testcase Creation")</f>
        <v>0</v>
      </c>
      <c r="AC567" s="255">
        <f>SUMIFS(Table3[Hours Worked],Table3[Release Name],Table7[[#This Row],[Release Name]],Table3[Task Type],"Testcase Execution")</f>
        <v>0</v>
      </c>
      <c r="AD56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7" s="256" t="str">
        <f>IFERROR((Table7[[#This Row],[No. of Valid Internal Review Defects]]+Table7[[#This Row],[No. of Valid  Internal Testing Defects]]+Table7[[#This Row],[No. of  Valid External Review Defects]]+Table7[[#This Row],[No. of Valid External Testing Defects]])/Table7[[#This Row],[Size]],"")</f>
        <v/>
      </c>
      <c r="AF567" s="257" t="str">
        <f>IFERROR(Table7[[#This Row],[No. of Valid Internal Review Defects]]/(Table7[[#This Row],[No. of Valid Internal Review Defects]]+Table7[[#This Row],[No. of  Valid External Review Defects]]+Table7[[#This Row],[No. of Valid  Internal Testing Defects]]+Table7[[#This Row],[No. of Valid External Testing Defects]]),"")</f>
        <v/>
      </c>
      <c r="AG567" s="258" t="str">
        <f>IFERROR(Table7[[#This Row],[No. of Valid Internal Review Defects]]/(Table7[[#This Row],[No. of Valid Internal Review Defects]]+Table7[[#This Row],[No. of  Valid External Review Defects]]+Table7[[#This Row],[No. of Valid External Testing Defects]]),"")</f>
        <v/>
      </c>
      <c r="AH567" s="256" t="str">
        <f>IFERROR(Table7[[#This Row],[No. of Valid  Internal Testing Defects]]/Table7[[#This Row],[Overall Actual Effort for the release]],"")</f>
        <v/>
      </c>
      <c r="AI567" s="256" t="str">
        <f>IFERROR(Table7[[#This Row],[No. of Valid  Internal Testing Defects]]/Table7[[#This Row],[No. of Testcases Executed]],"")</f>
        <v/>
      </c>
      <c r="AJ567" s="259" t="str">
        <f>IFERROR(IFERROR(Table7[[#This Row],[No. of Testcases Created]]/Table7[[#This Row],[Effort for Testcase Creation]],"")*9,"")</f>
        <v/>
      </c>
      <c r="AK567" s="256" t="str">
        <f>IFERROR((Table7[[#This Row],[No. of Testcases Executed]]/Table7[[#This Row],[Effort for Testcase Execution]])*9,"")</f>
        <v/>
      </c>
      <c r="AL56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7" s="259" t="str">
        <f>IFERROR(Table7[[#This Row],[No. of Defects Validated]]/SUMIFS(Table3[Hours Worked],Table3[Release Name],Table7[[#This Row],[Release Name]],Table3[Task Type],"Defect Validation")*9,"")</f>
        <v/>
      </c>
      <c r="AN567" s="258" t="str">
        <f>IFERROR((Table7[[#This Row],[No. of Valid  Internal Testing Defects]])/(Table7[[#This Row],[No. of Valid  Internal Testing Defects]]+Table7[[#This Row],[No. of Invalid Internal Testing Defects]]),"")</f>
        <v/>
      </c>
      <c r="AO567" s="258" t="str">
        <f>IFERROR(Table7[[#This Row],[No. of Valid External Testing Defects]]/(Table7[[#This Row],[No. of Valid External Testing Defects]]+Table7[[#This Row],[No. of Valid  Internal Testing Defects]]),"")</f>
        <v/>
      </c>
    </row>
    <row r="568" spans="2:41">
      <c r="B568" s="237"/>
      <c r="C568" s="14"/>
      <c r="D568" s="14"/>
      <c r="E568" s="14"/>
      <c r="F568" s="230" t="str">
        <f>IFERROR((Table47[[#This Row],[Initial No. of Requirements]]+Table47[[#This Row],[Modified Requirements( Added / Deleted /Modified)]])/Table47[[#This Row],[Initial No. of Requirements]],"")</f>
        <v/>
      </c>
      <c r="G56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8" s="249"/>
      <c r="J568" s="249"/>
      <c r="K568" s="250"/>
      <c r="L568" s="250"/>
      <c r="M568" s="250"/>
      <c r="N568" s="248">
        <f>SUMIFS(Table1[Size],Table1[Release Name],[2]!Table7[Release Name])</f>
        <v>0</v>
      </c>
      <c r="O568" s="248"/>
      <c r="P56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8" s="248"/>
      <c r="R56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8" s="248"/>
      <c r="T568" s="248"/>
      <c r="U568" s="248"/>
      <c r="V568" s="248"/>
      <c r="W568" s="248"/>
      <c r="X568" s="248"/>
      <c r="Y568" s="248"/>
      <c r="Z568" s="248"/>
      <c r="AA568" s="248"/>
      <c r="AB568" s="13">
        <f>SUMIFS(Table3[Hours Worked],Table3[Release Name],Table7[[#This Row],[Release Name]],Table3[Task Type],"Testcase Creation")</f>
        <v>0</v>
      </c>
      <c r="AC568" s="255">
        <f>SUMIFS(Table3[Hours Worked],Table3[Release Name],Table7[[#This Row],[Release Name]],Table3[Task Type],"Testcase Execution")</f>
        <v>0</v>
      </c>
      <c r="AD56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8" s="256" t="str">
        <f>IFERROR((Table7[[#This Row],[No. of Valid Internal Review Defects]]+Table7[[#This Row],[No. of Valid  Internal Testing Defects]]+Table7[[#This Row],[No. of  Valid External Review Defects]]+Table7[[#This Row],[No. of Valid External Testing Defects]])/Table7[[#This Row],[Size]],"")</f>
        <v/>
      </c>
      <c r="AF568" s="257" t="str">
        <f>IFERROR(Table7[[#This Row],[No. of Valid Internal Review Defects]]/(Table7[[#This Row],[No. of Valid Internal Review Defects]]+Table7[[#This Row],[No. of  Valid External Review Defects]]+Table7[[#This Row],[No. of Valid  Internal Testing Defects]]+Table7[[#This Row],[No. of Valid External Testing Defects]]),"")</f>
        <v/>
      </c>
      <c r="AG568" s="258" t="str">
        <f>IFERROR(Table7[[#This Row],[No. of Valid Internal Review Defects]]/(Table7[[#This Row],[No. of Valid Internal Review Defects]]+Table7[[#This Row],[No. of  Valid External Review Defects]]+Table7[[#This Row],[No. of Valid External Testing Defects]]),"")</f>
        <v/>
      </c>
      <c r="AH568" s="256" t="str">
        <f>IFERROR(Table7[[#This Row],[No. of Valid  Internal Testing Defects]]/Table7[[#This Row],[Overall Actual Effort for the release]],"")</f>
        <v/>
      </c>
      <c r="AI568" s="256" t="str">
        <f>IFERROR(Table7[[#This Row],[No. of Valid  Internal Testing Defects]]/Table7[[#This Row],[No. of Testcases Executed]],"")</f>
        <v/>
      </c>
      <c r="AJ568" s="259" t="str">
        <f>IFERROR(IFERROR(Table7[[#This Row],[No. of Testcases Created]]/Table7[[#This Row],[Effort for Testcase Creation]],"")*9,"")</f>
        <v/>
      </c>
      <c r="AK568" s="256" t="str">
        <f>IFERROR((Table7[[#This Row],[No. of Testcases Executed]]/Table7[[#This Row],[Effort for Testcase Execution]])*9,"")</f>
        <v/>
      </c>
      <c r="AL56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8" s="259" t="str">
        <f>IFERROR(Table7[[#This Row],[No. of Defects Validated]]/SUMIFS(Table3[Hours Worked],Table3[Release Name],Table7[[#This Row],[Release Name]],Table3[Task Type],"Defect Validation")*9,"")</f>
        <v/>
      </c>
      <c r="AN568" s="258" t="str">
        <f>IFERROR((Table7[[#This Row],[No. of Valid  Internal Testing Defects]])/(Table7[[#This Row],[No. of Valid  Internal Testing Defects]]+Table7[[#This Row],[No. of Invalid Internal Testing Defects]]),"")</f>
        <v/>
      </c>
      <c r="AO568" s="258" t="str">
        <f>IFERROR(Table7[[#This Row],[No. of Valid External Testing Defects]]/(Table7[[#This Row],[No. of Valid External Testing Defects]]+Table7[[#This Row],[No. of Valid  Internal Testing Defects]]),"")</f>
        <v/>
      </c>
    </row>
    <row r="569" spans="2:41">
      <c r="B569" s="237"/>
      <c r="C569" s="14"/>
      <c r="D569" s="14"/>
      <c r="E569" s="14"/>
      <c r="F569" s="230" t="str">
        <f>IFERROR((Table47[[#This Row],[Initial No. of Requirements]]+Table47[[#This Row],[Modified Requirements( Added / Deleted /Modified)]])/Table47[[#This Row],[Initial No. of Requirements]],"")</f>
        <v/>
      </c>
      <c r="G56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69" s="249"/>
      <c r="J569" s="249"/>
      <c r="K569" s="250"/>
      <c r="L569" s="250"/>
      <c r="M569" s="250"/>
      <c r="N569" s="248">
        <f>SUMIFS(Table1[Size],Table1[Release Name],[2]!Table7[Release Name])</f>
        <v>0</v>
      </c>
      <c r="O569" s="248"/>
      <c r="P56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69" s="248"/>
      <c r="R56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69" s="248"/>
      <c r="T569" s="248"/>
      <c r="U569" s="248"/>
      <c r="V569" s="248"/>
      <c r="W569" s="248"/>
      <c r="X569" s="248"/>
      <c r="Y569" s="248"/>
      <c r="Z569" s="248"/>
      <c r="AA569" s="248"/>
      <c r="AB569" s="13">
        <f>SUMIFS(Table3[Hours Worked],Table3[Release Name],Table7[[#This Row],[Release Name]],Table3[Task Type],"Testcase Creation")</f>
        <v>0</v>
      </c>
      <c r="AC569" s="255">
        <f>SUMIFS(Table3[Hours Worked],Table3[Release Name],Table7[[#This Row],[Release Name]],Table3[Task Type],"Testcase Execution")</f>
        <v>0</v>
      </c>
      <c r="AD56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69" s="256" t="str">
        <f>IFERROR((Table7[[#This Row],[No. of Valid Internal Review Defects]]+Table7[[#This Row],[No. of Valid  Internal Testing Defects]]+Table7[[#This Row],[No. of  Valid External Review Defects]]+Table7[[#This Row],[No. of Valid External Testing Defects]])/Table7[[#This Row],[Size]],"")</f>
        <v/>
      </c>
      <c r="AF569" s="257" t="str">
        <f>IFERROR(Table7[[#This Row],[No. of Valid Internal Review Defects]]/(Table7[[#This Row],[No. of Valid Internal Review Defects]]+Table7[[#This Row],[No. of  Valid External Review Defects]]+Table7[[#This Row],[No. of Valid  Internal Testing Defects]]+Table7[[#This Row],[No. of Valid External Testing Defects]]),"")</f>
        <v/>
      </c>
      <c r="AG569" s="258" t="str">
        <f>IFERROR(Table7[[#This Row],[No. of Valid Internal Review Defects]]/(Table7[[#This Row],[No. of Valid Internal Review Defects]]+Table7[[#This Row],[No. of  Valid External Review Defects]]+Table7[[#This Row],[No. of Valid External Testing Defects]]),"")</f>
        <v/>
      </c>
      <c r="AH569" s="256" t="str">
        <f>IFERROR(Table7[[#This Row],[No. of Valid  Internal Testing Defects]]/Table7[[#This Row],[Overall Actual Effort for the release]],"")</f>
        <v/>
      </c>
      <c r="AI569" s="256" t="str">
        <f>IFERROR(Table7[[#This Row],[No. of Valid  Internal Testing Defects]]/Table7[[#This Row],[No. of Testcases Executed]],"")</f>
        <v/>
      </c>
      <c r="AJ569" s="259" t="str">
        <f>IFERROR(IFERROR(Table7[[#This Row],[No. of Testcases Created]]/Table7[[#This Row],[Effort for Testcase Creation]],"")*9,"")</f>
        <v/>
      </c>
      <c r="AK569" s="256" t="str">
        <f>IFERROR((Table7[[#This Row],[No. of Testcases Executed]]/Table7[[#This Row],[Effort for Testcase Execution]])*9,"")</f>
        <v/>
      </c>
      <c r="AL56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69" s="259" t="str">
        <f>IFERROR(Table7[[#This Row],[No. of Defects Validated]]/SUMIFS(Table3[Hours Worked],Table3[Release Name],Table7[[#This Row],[Release Name]],Table3[Task Type],"Defect Validation")*9,"")</f>
        <v/>
      </c>
      <c r="AN569" s="258" t="str">
        <f>IFERROR((Table7[[#This Row],[No. of Valid  Internal Testing Defects]])/(Table7[[#This Row],[No. of Valid  Internal Testing Defects]]+Table7[[#This Row],[No. of Invalid Internal Testing Defects]]),"")</f>
        <v/>
      </c>
      <c r="AO569" s="258" t="str">
        <f>IFERROR(Table7[[#This Row],[No. of Valid External Testing Defects]]/(Table7[[#This Row],[No. of Valid External Testing Defects]]+Table7[[#This Row],[No. of Valid  Internal Testing Defects]]),"")</f>
        <v/>
      </c>
    </row>
    <row r="570" spans="2:41">
      <c r="B570" s="237"/>
      <c r="C570" s="14"/>
      <c r="D570" s="14"/>
      <c r="E570" s="14"/>
      <c r="F570" s="230" t="str">
        <f>IFERROR((Table47[[#This Row],[Initial No. of Requirements]]+Table47[[#This Row],[Modified Requirements( Added / Deleted /Modified)]])/Table47[[#This Row],[Initial No. of Requirements]],"")</f>
        <v/>
      </c>
      <c r="G57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0" s="249"/>
      <c r="J570" s="249"/>
      <c r="K570" s="250"/>
      <c r="L570" s="250"/>
      <c r="M570" s="250"/>
      <c r="N570" s="248">
        <f>SUMIFS(Table1[Size],Table1[Release Name],[2]!Table7[Release Name])</f>
        <v>0</v>
      </c>
      <c r="O570" s="248"/>
      <c r="P57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0" s="248"/>
      <c r="R57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0" s="248"/>
      <c r="T570" s="248"/>
      <c r="U570" s="248"/>
      <c r="V570" s="248"/>
      <c r="W570" s="248"/>
      <c r="X570" s="248"/>
      <c r="Y570" s="248"/>
      <c r="Z570" s="248"/>
      <c r="AA570" s="248"/>
      <c r="AB570" s="13">
        <f>SUMIFS(Table3[Hours Worked],Table3[Release Name],Table7[[#This Row],[Release Name]],Table3[Task Type],"Testcase Creation")</f>
        <v>0</v>
      </c>
      <c r="AC570" s="255">
        <f>SUMIFS(Table3[Hours Worked],Table3[Release Name],Table7[[#This Row],[Release Name]],Table3[Task Type],"Testcase Execution")</f>
        <v>0</v>
      </c>
      <c r="AD57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0" s="256" t="str">
        <f>IFERROR((Table7[[#This Row],[No. of Valid Internal Review Defects]]+Table7[[#This Row],[No. of Valid  Internal Testing Defects]]+Table7[[#This Row],[No. of  Valid External Review Defects]]+Table7[[#This Row],[No. of Valid External Testing Defects]])/Table7[[#This Row],[Size]],"")</f>
        <v/>
      </c>
      <c r="AF570" s="257" t="str">
        <f>IFERROR(Table7[[#This Row],[No. of Valid Internal Review Defects]]/(Table7[[#This Row],[No. of Valid Internal Review Defects]]+Table7[[#This Row],[No. of  Valid External Review Defects]]+Table7[[#This Row],[No. of Valid  Internal Testing Defects]]+Table7[[#This Row],[No. of Valid External Testing Defects]]),"")</f>
        <v/>
      </c>
      <c r="AG570" s="258" t="str">
        <f>IFERROR(Table7[[#This Row],[No. of Valid Internal Review Defects]]/(Table7[[#This Row],[No. of Valid Internal Review Defects]]+Table7[[#This Row],[No. of  Valid External Review Defects]]+Table7[[#This Row],[No. of Valid External Testing Defects]]),"")</f>
        <v/>
      </c>
      <c r="AH570" s="256" t="str">
        <f>IFERROR(Table7[[#This Row],[No. of Valid  Internal Testing Defects]]/Table7[[#This Row],[Overall Actual Effort for the release]],"")</f>
        <v/>
      </c>
      <c r="AI570" s="256" t="str">
        <f>IFERROR(Table7[[#This Row],[No. of Valid  Internal Testing Defects]]/Table7[[#This Row],[No. of Testcases Executed]],"")</f>
        <v/>
      </c>
      <c r="AJ570" s="259" t="str">
        <f>IFERROR(IFERROR(Table7[[#This Row],[No. of Testcases Created]]/Table7[[#This Row],[Effort for Testcase Creation]],"")*9,"")</f>
        <v/>
      </c>
      <c r="AK570" s="256" t="str">
        <f>IFERROR((Table7[[#This Row],[No. of Testcases Executed]]/Table7[[#This Row],[Effort for Testcase Execution]])*9,"")</f>
        <v/>
      </c>
      <c r="AL57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0" s="259" t="str">
        <f>IFERROR(Table7[[#This Row],[No. of Defects Validated]]/SUMIFS(Table3[Hours Worked],Table3[Release Name],Table7[[#This Row],[Release Name]],Table3[Task Type],"Defect Validation")*9,"")</f>
        <v/>
      </c>
      <c r="AN570" s="258" t="str">
        <f>IFERROR((Table7[[#This Row],[No. of Valid  Internal Testing Defects]])/(Table7[[#This Row],[No. of Valid  Internal Testing Defects]]+Table7[[#This Row],[No. of Invalid Internal Testing Defects]]),"")</f>
        <v/>
      </c>
      <c r="AO570" s="258" t="str">
        <f>IFERROR(Table7[[#This Row],[No. of Valid External Testing Defects]]/(Table7[[#This Row],[No. of Valid External Testing Defects]]+Table7[[#This Row],[No. of Valid  Internal Testing Defects]]),"")</f>
        <v/>
      </c>
    </row>
    <row r="571" spans="2:41">
      <c r="B571" s="237"/>
      <c r="C571" s="14"/>
      <c r="D571" s="14"/>
      <c r="E571" s="14"/>
      <c r="F571" s="230" t="str">
        <f>IFERROR((Table47[[#This Row],[Initial No. of Requirements]]+Table47[[#This Row],[Modified Requirements( Added / Deleted /Modified)]])/Table47[[#This Row],[Initial No. of Requirements]],"")</f>
        <v/>
      </c>
      <c r="G57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1" s="249"/>
      <c r="J571" s="249"/>
      <c r="K571" s="250"/>
      <c r="L571" s="250"/>
      <c r="M571" s="250"/>
      <c r="N571" s="248">
        <f>SUMIFS(Table1[Size],Table1[Release Name],[2]!Table7[Release Name])</f>
        <v>0</v>
      </c>
      <c r="O571" s="248"/>
      <c r="P57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1" s="248"/>
      <c r="R57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1" s="248"/>
      <c r="T571" s="248"/>
      <c r="U571" s="248"/>
      <c r="V571" s="248"/>
      <c r="W571" s="248"/>
      <c r="X571" s="248"/>
      <c r="Y571" s="248"/>
      <c r="Z571" s="248"/>
      <c r="AA571" s="248"/>
      <c r="AB571" s="13">
        <f>SUMIFS(Table3[Hours Worked],Table3[Release Name],Table7[[#This Row],[Release Name]],Table3[Task Type],"Testcase Creation")</f>
        <v>0</v>
      </c>
      <c r="AC571" s="255">
        <f>SUMIFS(Table3[Hours Worked],Table3[Release Name],Table7[[#This Row],[Release Name]],Table3[Task Type],"Testcase Execution")</f>
        <v>0</v>
      </c>
      <c r="AD57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1" s="256" t="str">
        <f>IFERROR((Table7[[#This Row],[No. of Valid Internal Review Defects]]+Table7[[#This Row],[No. of Valid  Internal Testing Defects]]+Table7[[#This Row],[No. of  Valid External Review Defects]]+Table7[[#This Row],[No. of Valid External Testing Defects]])/Table7[[#This Row],[Size]],"")</f>
        <v/>
      </c>
      <c r="AF571" s="257" t="str">
        <f>IFERROR(Table7[[#This Row],[No. of Valid Internal Review Defects]]/(Table7[[#This Row],[No. of Valid Internal Review Defects]]+Table7[[#This Row],[No. of  Valid External Review Defects]]+Table7[[#This Row],[No. of Valid  Internal Testing Defects]]+Table7[[#This Row],[No. of Valid External Testing Defects]]),"")</f>
        <v/>
      </c>
      <c r="AG571" s="258" t="str">
        <f>IFERROR(Table7[[#This Row],[No. of Valid Internal Review Defects]]/(Table7[[#This Row],[No. of Valid Internal Review Defects]]+Table7[[#This Row],[No. of  Valid External Review Defects]]+Table7[[#This Row],[No. of Valid External Testing Defects]]),"")</f>
        <v/>
      </c>
      <c r="AH571" s="256" t="str">
        <f>IFERROR(Table7[[#This Row],[No. of Valid  Internal Testing Defects]]/Table7[[#This Row],[Overall Actual Effort for the release]],"")</f>
        <v/>
      </c>
      <c r="AI571" s="256" t="str">
        <f>IFERROR(Table7[[#This Row],[No. of Valid  Internal Testing Defects]]/Table7[[#This Row],[No. of Testcases Executed]],"")</f>
        <v/>
      </c>
      <c r="AJ571" s="259" t="str">
        <f>IFERROR(IFERROR(Table7[[#This Row],[No. of Testcases Created]]/Table7[[#This Row],[Effort for Testcase Creation]],"")*9,"")</f>
        <v/>
      </c>
      <c r="AK571" s="256" t="str">
        <f>IFERROR((Table7[[#This Row],[No. of Testcases Executed]]/Table7[[#This Row],[Effort for Testcase Execution]])*9,"")</f>
        <v/>
      </c>
      <c r="AL57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1" s="259" t="str">
        <f>IFERROR(Table7[[#This Row],[No. of Defects Validated]]/SUMIFS(Table3[Hours Worked],Table3[Release Name],Table7[[#This Row],[Release Name]],Table3[Task Type],"Defect Validation")*9,"")</f>
        <v/>
      </c>
      <c r="AN571" s="258" t="str">
        <f>IFERROR((Table7[[#This Row],[No. of Valid  Internal Testing Defects]])/(Table7[[#This Row],[No. of Valid  Internal Testing Defects]]+Table7[[#This Row],[No. of Invalid Internal Testing Defects]]),"")</f>
        <v/>
      </c>
      <c r="AO571" s="258" t="str">
        <f>IFERROR(Table7[[#This Row],[No. of Valid External Testing Defects]]/(Table7[[#This Row],[No. of Valid External Testing Defects]]+Table7[[#This Row],[No. of Valid  Internal Testing Defects]]),"")</f>
        <v/>
      </c>
    </row>
    <row r="572" spans="2:41">
      <c r="B572" s="237"/>
      <c r="C572" s="14"/>
      <c r="D572" s="14"/>
      <c r="E572" s="14"/>
      <c r="F572" s="230" t="str">
        <f>IFERROR((Table47[[#This Row],[Initial No. of Requirements]]+Table47[[#This Row],[Modified Requirements( Added / Deleted /Modified)]])/Table47[[#This Row],[Initial No. of Requirements]],"")</f>
        <v/>
      </c>
      <c r="G57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2" s="249"/>
      <c r="J572" s="249"/>
      <c r="K572" s="250"/>
      <c r="L572" s="250"/>
      <c r="M572" s="250"/>
      <c r="N572" s="248">
        <f>SUMIFS(Table1[Size],Table1[Release Name],[2]!Table7[Release Name])</f>
        <v>0</v>
      </c>
      <c r="O572" s="248"/>
      <c r="P57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2" s="248"/>
      <c r="R57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2" s="248"/>
      <c r="T572" s="248"/>
      <c r="U572" s="248"/>
      <c r="V572" s="248"/>
      <c r="W572" s="248"/>
      <c r="X572" s="248"/>
      <c r="Y572" s="248"/>
      <c r="Z572" s="248"/>
      <c r="AA572" s="248"/>
      <c r="AB572" s="13">
        <f>SUMIFS(Table3[Hours Worked],Table3[Release Name],Table7[[#This Row],[Release Name]],Table3[Task Type],"Testcase Creation")</f>
        <v>0</v>
      </c>
      <c r="AC572" s="255">
        <f>SUMIFS(Table3[Hours Worked],Table3[Release Name],Table7[[#This Row],[Release Name]],Table3[Task Type],"Testcase Execution")</f>
        <v>0</v>
      </c>
      <c r="AD57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2" s="256" t="str">
        <f>IFERROR((Table7[[#This Row],[No. of Valid Internal Review Defects]]+Table7[[#This Row],[No. of Valid  Internal Testing Defects]]+Table7[[#This Row],[No. of  Valid External Review Defects]]+Table7[[#This Row],[No. of Valid External Testing Defects]])/Table7[[#This Row],[Size]],"")</f>
        <v/>
      </c>
      <c r="AF572" s="257" t="str">
        <f>IFERROR(Table7[[#This Row],[No. of Valid Internal Review Defects]]/(Table7[[#This Row],[No. of Valid Internal Review Defects]]+Table7[[#This Row],[No. of  Valid External Review Defects]]+Table7[[#This Row],[No. of Valid  Internal Testing Defects]]+Table7[[#This Row],[No. of Valid External Testing Defects]]),"")</f>
        <v/>
      </c>
      <c r="AG572" s="258" t="str">
        <f>IFERROR(Table7[[#This Row],[No. of Valid Internal Review Defects]]/(Table7[[#This Row],[No. of Valid Internal Review Defects]]+Table7[[#This Row],[No. of  Valid External Review Defects]]+Table7[[#This Row],[No. of Valid External Testing Defects]]),"")</f>
        <v/>
      </c>
      <c r="AH572" s="256" t="str">
        <f>IFERROR(Table7[[#This Row],[No. of Valid  Internal Testing Defects]]/Table7[[#This Row],[Overall Actual Effort for the release]],"")</f>
        <v/>
      </c>
      <c r="AI572" s="256" t="str">
        <f>IFERROR(Table7[[#This Row],[No. of Valid  Internal Testing Defects]]/Table7[[#This Row],[No. of Testcases Executed]],"")</f>
        <v/>
      </c>
      <c r="AJ572" s="259" t="str">
        <f>IFERROR(IFERROR(Table7[[#This Row],[No. of Testcases Created]]/Table7[[#This Row],[Effort for Testcase Creation]],"")*9,"")</f>
        <v/>
      </c>
      <c r="AK572" s="256" t="str">
        <f>IFERROR((Table7[[#This Row],[No. of Testcases Executed]]/Table7[[#This Row],[Effort for Testcase Execution]])*9,"")</f>
        <v/>
      </c>
      <c r="AL57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2" s="259" t="str">
        <f>IFERROR(Table7[[#This Row],[No. of Defects Validated]]/SUMIFS(Table3[Hours Worked],Table3[Release Name],Table7[[#This Row],[Release Name]],Table3[Task Type],"Defect Validation")*9,"")</f>
        <v/>
      </c>
      <c r="AN572" s="258" t="str">
        <f>IFERROR((Table7[[#This Row],[No. of Valid  Internal Testing Defects]])/(Table7[[#This Row],[No. of Valid  Internal Testing Defects]]+Table7[[#This Row],[No. of Invalid Internal Testing Defects]]),"")</f>
        <v/>
      </c>
      <c r="AO572" s="258" t="str">
        <f>IFERROR(Table7[[#This Row],[No. of Valid External Testing Defects]]/(Table7[[#This Row],[No. of Valid External Testing Defects]]+Table7[[#This Row],[No. of Valid  Internal Testing Defects]]),"")</f>
        <v/>
      </c>
    </row>
    <row r="573" spans="2:41">
      <c r="B573" s="237"/>
      <c r="C573" s="14"/>
      <c r="D573" s="14"/>
      <c r="E573" s="14"/>
      <c r="F573" s="230" t="str">
        <f>IFERROR((Table47[[#This Row],[Initial No. of Requirements]]+Table47[[#This Row],[Modified Requirements( Added / Deleted /Modified)]])/Table47[[#This Row],[Initial No. of Requirements]],"")</f>
        <v/>
      </c>
      <c r="G57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3" s="249"/>
      <c r="J573" s="249"/>
      <c r="K573" s="250"/>
      <c r="L573" s="250"/>
      <c r="M573" s="250"/>
      <c r="N573" s="248">
        <f>SUMIFS(Table1[Size],Table1[Release Name],[2]!Table7[Release Name])</f>
        <v>0</v>
      </c>
      <c r="O573" s="248"/>
      <c r="P57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3" s="248"/>
      <c r="R57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3" s="248"/>
      <c r="T573" s="248"/>
      <c r="U573" s="248"/>
      <c r="V573" s="248"/>
      <c r="W573" s="248"/>
      <c r="X573" s="248"/>
      <c r="Y573" s="248"/>
      <c r="Z573" s="248"/>
      <c r="AA573" s="248"/>
      <c r="AB573" s="13">
        <f>SUMIFS(Table3[Hours Worked],Table3[Release Name],Table7[[#This Row],[Release Name]],Table3[Task Type],"Testcase Creation")</f>
        <v>0</v>
      </c>
      <c r="AC573" s="255">
        <f>SUMIFS(Table3[Hours Worked],Table3[Release Name],Table7[[#This Row],[Release Name]],Table3[Task Type],"Testcase Execution")</f>
        <v>0</v>
      </c>
      <c r="AD57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3" s="256" t="str">
        <f>IFERROR((Table7[[#This Row],[No. of Valid Internal Review Defects]]+Table7[[#This Row],[No. of Valid  Internal Testing Defects]]+Table7[[#This Row],[No. of  Valid External Review Defects]]+Table7[[#This Row],[No. of Valid External Testing Defects]])/Table7[[#This Row],[Size]],"")</f>
        <v/>
      </c>
      <c r="AF573" s="257" t="str">
        <f>IFERROR(Table7[[#This Row],[No. of Valid Internal Review Defects]]/(Table7[[#This Row],[No. of Valid Internal Review Defects]]+Table7[[#This Row],[No. of  Valid External Review Defects]]+Table7[[#This Row],[No. of Valid  Internal Testing Defects]]+Table7[[#This Row],[No. of Valid External Testing Defects]]),"")</f>
        <v/>
      </c>
      <c r="AG573" s="258" t="str">
        <f>IFERROR(Table7[[#This Row],[No. of Valid Internal Review Defects]]/(Table7[[#This Row],[No. of Valid Internal Review Defects]]+Table7[[#This Row],[No. of  Valid External Review Defects]]+Table7[[#This Row],[No. of Valid External Testing Defects]]),"")</f>
        <v/>
      </c>
      <c r="AH573" s="256" t="str">
        <f>IFERROR(Table7[[#This Row],[No. of Valid  Internal Testing Defects]]/Table7[[#This Row],[Overall Actual Effort for the release]],"")</f>
        <v/>
      </c>
      <c r="AI573" s="256" t="str">
        <f>IFERROR(Table7[[#This Row],[No. of Valid  Internal Testing Defects]]/Table7[[#This Row],[No. of Testcases Executed]],"")</f>
        <v/>
      </c>
      <c r="AJ573" s="259" t="str">
        <f>IFERROR(IFERROR(Table7[[#This Row],[No. of Testcases Created]]/Table7[[#This Row],[Effort for Testcase Creation]],"")*9,"")</f>
        <v/>
      </c>
      <c r="AK573" s="256" t="str">
        <f>IFERROR((Table7[[#This Row],[No. of Testcases Executed]]/Table7[[#This Row],[Effort for Testcase Execution]])*9,"")</f>
        <v/>
      </c>
      <c r="AL57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3" s="259" t="str">
        <f>IFERROR(Table7[[#This Row],[No. of Defects Validated]]/SUMIFS(Table3[Hours Worked],Table3[Release Name],Table7[[#This Row],[Release Name]],Table3[Task Type],"Defect Validation")*9,"")</f>
        <v/>
      </c>
      <c r="AN573" s="258" t="str">
        <f>IFERROR((Table7[[#This Row],[No. of Valid  Internal Testing Defects]])/(Table7[[#This Row],[No. of Valid  Internal Testing Defects]]+Table7[[#This Row],[No. of Invalid Internal Testing Defects]]),"")</f>
        <v/>
      </c>
      <c r="AO573" s="258" t="str">
        <f>IFERROR(Table7[[#This Row],[No. of Valid External Testing Defects]]/(Table7[[#This Row],[No. of Valid External Testing Defects]]+Table7[[#This Row],[No. of Valid  Internal Testing Defects]]),"")</f>
        <v/>
      </c>
    </row>
    <row r="574" spans="2:41">
      <c r="B574" s="237"/>
      <c r="C574" s="14"/>
      <c r="D574" s="14"/>
      <c r="E574" s="14"/>
      <c r="F574" s="230" t="str">
        <f>IFERROR((Table47[[#This Row],[Initial No. of Requirements]]+Table47[[#This Row],[Modified Requirements( Added / Deleted /Modified)]])/Table47[[#This Row],[Initial No. of Requirements]],"")</f>
        <v/>
      </c>
      <c r="G57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4" s="249"/>
      <c r="J574" s="249"/>
      <c r="K574" s="250"/>
      <c r="L574" s="250"/>
      <c r="M574" s="250"/>
      <c r="N574" s="248">
        <f>SUMIFS(Table1[Size],Table1[Release Name],[2]!Table7[Release Name])</f>
        <v>0</v>
      </c>
      <c r="O574" s="248"/>
      <c r="P57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4" s="248"/>
      <c r="R57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4" s="248"/>
      <c r="T574" s="248"/>
      <c r="U574" s="248"/>
      <c r="V574" s="248"/>
      <c r="W574" s="248"/>
      <c r="X574" s="248"/>
      <c r="Y574" s="248"/>
      <c r="Z574" s="248"/>
      <c r="AA574" s="248"/>
      <c r="AB574" s="13">
        <f>SUMIFS(Table3[Hours Worked],Table3[Release Name],Table7[[#This Row],[Release Name]],Table3[Task Type],"Testcase Creation")</f>
        <v>0</v>
      </c>
      <c r="AC574" s="255">
        <f>SUMIFS(Table3[Hours Worked],Table3[Release Name],Table7[[#This Row],[Release Name]],Table3[Task Type],"Testcase Execution")</f>
        <v>0</v>
      </c>
      <c r="AD57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4" s="256" t="str">
        <f>IFERROR((Table7[[#This Row],[No. of Valid Internal Review Defects]]+Table7[[#This Row],[No. of Valid  Internal Testing Defects]]+Table7[[#This Row],[No. of  Valid External Review Defects]]+Table7[[#This Row],[No. of Valid External Testing Defects]])/Table7[[#This Row],[Size]],"")</f>
        <v/>
      </c>
      <c r="AF574" s="257" t="str">
        <f>IFERROR(Table7[[#This Row],[No. of Valid Internal Review Defects]]/(Table7[[#This Row],[No. of Valid Internal Review Defects]]+Table7[[#This Row],[No. of  Valid External Review Defects]]+Table7[[#This Row],[No. of Valid  Internal Testing Defects]]+Table7[[#This Row],[No. of Valid External Testing Defects]]),"")</f>
        <v/>
      </c>
      <c r="AG574" s="258" t="str">
        <f>IFERROR(Table7[[#This Row],[No. of Valid Internal Review Defects]]/(Table7[[#This Row],[No. of Valid Internal Review Defects]]+Table7[[#This Row],[No. of  Valid External Review Defects]]+Table7[[#This Row],[No. of Valid External Testing Defects]]),"")</f>
        <v/>
      </c>
      <c r="AH574" s="256" t="str">
        <f>IFERROR(Table7[[#This Row],[No. of Valid  Internal Testing Defects]]/Table7[[#This Row],[Overall Actual Effort for the release]],"")</f>
        <v/>
      </c>
      <c r="AI574" s="256" t="str">
        <f>IFERROR(Table7[[#This Row],[No. of Valid  Internal Testing Defects]]/Table7[[#This Row],[No. of Testcases Executed]],"")</f>
        <v/>
      </c>
      <c r="AJ574" s="259" t="str">
        <f>IFERROR(IFERROR(Table7[[#This Row],[No. of Testcases Created]]/Table7[[#This Row],[Effort for Testcase Creation]],"")*9,"")</f>
        <v/>
      </c>
      <c r="AK574" s="256" t="str">
        <f>IFERROR((Table7[[#This Row],[No. of Testcases Executed]]/Table7[[#This Row],[Effort for Testcase Execution]])*9,"")</f>
        <v/>
      </c>
      <c r="AL57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4" s="259" t="str">
        <f>IFERROR(Table7[[#This Row],[No. of Defects Validated]]/SUMIFS(Table3[Hours Worked],Table3[Release Name],Table7[[#This Row],[Release Name]],Table3[Task Type],"Defect Validation")*9,"")</f>
        <v/>
      </c>
      <c r="AN574" s="258" t="str">
        <f>IFERROR((Table7[[#This Row],[No. of Valid  Internal Testing Defects]])/(Table7[[#This Row],[No. of Valid  Internal Testing Defects]]+Table7[[#This Row],[No. of Invalid Internal Testing Defects]]),"")</f>
        <v/>
      </c>
      <c r="AO574" s="258" t="str">
        <f>IFERROR(Table7[[#This Row],[No. of Valid External Testing Defects]]/(Table7[[#This Row],[No. of Valid External Testing Defects]]+Table7[[#This Row],[No. of Valid  Internal Testing Defects]]),"")</f>
        <v/>
      </c>
    </row>
    <row r="575" spans="2:41">
      <c r="B575" s="237"/>
      <c r="C575" s="14"/>
      <c r="D575" s="14"/>
      <c r="E575" s="14"/>
      <c r="F575" s="230" t="str">
        <f>IFERROR((Table47[[#This Row],[Initial No. of Requirements]]+Table47[[#This Row],[Modified Requirements( Added / Deleted /Modified)]])/Table47[[#This Row],[Initial No. of Requirements]],"")</f>
        <v/>
      </c>
      <c r="G57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5" s="249"/>
      <c r="J575" s="249"/>
      <c r="K575" s="250"/>
      <c r="L575" s="250"/>
      <c r="M575" s="250"/>
      <c r="N575" s="248">
        <f>SUMIFS(Table1[Size],Table1[Release Name],[2]!Table7[Release Name])</f>
        <v>0</v>
      </c>
      <c r="O575" s="248"/>
      <c r="P57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5" s="248"/>
      <c r="R57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5" s="248"/>
      <c r="T575" s="248"/>
      <c r="U575" s="248"/>
      <c r="V575" s="248"/>
      <c r="W575" s="248"/>
      <c r="X575" s="248"/>
      <c r="Y575" s="248"/>
      <c r="Z575" s="248"/>
      <c r="AA575" s="248"/>
      <c r="AB575" s="13">
        <f>SUMIFS(Table3[Hours Worked],Table3[Release Name],Table7[[#This Row],[Release Name]],Table3[Task Type],"Testcase Creation")</f>
        <v>0</v>
      </c>
      <c r="AC575" s="255">
        <f>SUMIFS(Table3[Hours Worked],Table3[Release Name],Table7[[#This Row],[Release Name]],Table3[Task Type],"Testcase Execution")</f>
        <v>0</v>
      </c>
      <c r="AD57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5" s="256" t="str">
        <f>IFERROR((Table7[[#This Row],[No. of Valid Internal Review Defects]]+Table7[[#This Row],[No. of Valid  Internal Testing Defects]]+Table7[[#This Row],[No. of  Valid External Review Defects]]+Table7[[#This Row],[No. of Valid External Testing Defects]])/Table7[[#This Row],[Size]],"")</f>
        <v/>
      </c>
      <c r="AF575" s="257" t="str">
        <f>IFERROR(Table7[[#This Row],[No. of Valid Internal Review Defects]]/(Table7[[#This Row],[No. of Valid Internal Review Defects]]+Table7[[#This Row],[No. of  Valid External Review Defects]]+Table7[[#This Row],[No. of Valid  Internal Testing Defects]]+Table7[[#This Row],[No. of Valid External Testing Defects]]),"")</f>
        <v/>
      </c>
      <c r="AG575" s="258" t="str">
        <f>IFERROR(Table7[[#This Row],[No. of Valid Internal Review Defects]]/(Table7[[#This Row],[No. of Valid Internal Review Defects]]+Table7[[#This Row],[No. of  Valid External Review Defects]]+Table7[[#This Row],[No. of Valid External Testing Defects]]),"")</f>
        <v/>
      </c>
      <c r="AH575" s="256" t="str">
        <f>IFERROR(Table7[[#This Row],[No. of Valid  Internal Testing Defects]]/Table7[[#This Row],[Overall Actual Effort for the release]],"")</f>
        <v/>
      </c>
      <c r="AI575" s="256" t="str">
        <f>IFERROR(Table7[[#This Row],[No. of Valid  Internal Testing Defects]]/Table7[[#This Row],[No. of Testcases Executed]],"")</f>
        <v/>
      </c>
      <c r="AJ575" s="259" t="str">
        <f>IFERROR(IFERROR(Table7[[#This Row],[No. of Testcases Created]]/Table7[[#This Row],[Effort for Testcase Creation]],"")*9,"")</f>
        <v/>
      </c>
      <c r="AK575" s="256" t="str">
        <f>IFERROR((Table7[[#This Row],[No. of Testcases Executed]]/Table7[[#This Row],[Effort for Testcase Execution]])*9,"")</f>
        <v/>
      </c>
      <c r="AL57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5" s="259" t="str">
        <f>IFERROR(Table7[[#This Row],[No. of Defects Validated]]/SUMIFS(Table3[Hours Worked],Table3[Release Name],Table7[[#This Row],[Release Name]],Table3[Task Type],"Defect Validation")*9,"")</f>
        <v/>
      </c>
      <c r="AN575" s="258" t="str">
        <f>IFERROR((Table7[[#This Row],[No. of Valid  Internal Testing Defects]])/(Table7[[#This Row],[No. of Valid  Internal Testing Defects]]+Table7[[#This Row],[No. of Invalid Internal Testing Defects]]),"")</f>
        <v/>
      </c>
      <c r="AO575" s="258" t="str">
        <f>IFERROR(Table7[[#This Row],[No. of Valid External Testing Defects]]/(Table7[[#This Row],[No. of Valid External Testing Defects]]+Table7[[#This Row],[No. of Valid  Internal Testing Defects]]),"")</f>
        <v/>
      </c>
    </row>
    <row r="576" spans="2:41">
      <c r="B576" s="237"/>
      <c r="C576" s="14"/>
      <c r="D576" s="14"/>
      <c r="E576" s="14"/>
      <c r="F576" s="230" t="str">
        <f>IFERROR((Table47[[#This Row],[Initial No. of Requirements]]+Table47[[#This Row],[Modified Requirements( Added / Deleted /Modified)]])/Table47[[#This Row],[Initial No. of Requirements]],"")</f>
        <v/>
      </c>
      <c r="G57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6" s="249"/>
      <c r="J576" s="249"/>
      <c r="K576" s="250"/>
      <c r="L576" s="250"/>
      <c r="M576" s="250"/>
      <c r="N576" s="248">
        <f>SUMIFS(Table1[Size],Table1[Release Name],[2]!Table7[Release Name])</f>
        <v>0</v>
      </c>
      <c r="O576" s="248"/>
      <c r="P57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6" s="248"/>
      <c r="R57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6" s="248"/>
      <c r="T576" s="248"/>
      <c r="U576" s="248"/>
      <c r="V576" s="248"/>
      <c r="W576" s="248"/>
      <c r="X576" s="248"/>
      <c r="Y576" s="248"/>
      <c r="Z576" s="248"/>
      <c r="AA576" s="248"/>
      <c r="AB576" s="13">
        <f>SUMIFS(Table3[Hours Worked],Table3[Release Name],Table7[[#This Row],[Release Name]],Table3[Task Type],"Testcase Creation")</f>
        <v>0</v>
      </c>
      <c r="AC576" s="255">
        <f>SUMIFS(Table3[Hours Worked],Table3[Release Name],Table7[[#This Row],[Release Name]],Table3[Task Type],"Testcase Execution")</f>
        <v>0</v>
      </c>
      <c r="AD57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6" s="256" t="str">
        <f>IFERROR((Table7[[#This Row],[No. of Valid Internal Review Defects]]+Table7[[#This Row],[No. of Valid  Internal Testing Defects]]+Table7[[#This Row],[No. of  Valid External Review Defects]]+Table7[[#This Row],[No. of Valid External Testing Defects]])/Table7[[#This Row],[Size]],"")</f>
        <v/>
      </c>
      <c r="AF576" s="257" t="str">
        <f>IFERROR(Table7[[#This Row],[No. of Valid Internal Review Defects]]/(Table7[[#This Row],[No. of Valid Internal Review Defects]]+Table7[[#This Row],[No. of  Valid External Review Defects]]+Table7[[#This Row],[No. of Valid  Internal Testing Defects]]+Table7[[#This Row],[No. of Valid External Testing Defects]]),"")</f>
        <v/>
      </c>
      <c r="AG576" s="258" t="str">
        <f>IFERROR(Table7[[#This Row],[No. of Valid Internal Review Defects]]/(Table7[[#This Row],[No. of Valid Internal Review Defects]]+Table7[[#This Row],[No. of  Valid External Review Defects]]+Table7[[#This Row],[No. of Valid External Testing Defects]]),"")</f>
        <v/>
      </c>
      <c r="AH576" s="256" t="str">
        <f>IFERROR(Table7[[#This Row],[No. of Valid  Internal Testing Defects]]/Table7[[#This Row],[Overall Actual Effort for the release]],"")</f>
        <v/>
      </c>
      <c r="AI576" s="256" t="str">
        <f>IFERROR(Table7[[#This Row],[No. of Valid  Internal Testing Defects]]/Table7[[#This Row],[No. of Testcases Executed]],"")</f>
        <v/>
      </c>
      <c r="AJ576" s="259" t="str">
        <f>IFERROR(IFERROR(Table7[[#This Row],[No. of Testcases Created]]/Table7[[#This Row],[Effort for Testcase Creation]],"")*9,"")</f>
        <v/>
      </c>
      <c r="AK576" s="256" t="str">
        <f>IFERROR((Table7[[#This Row],[No. of Testcases Executed]]/Table7[[#This Row],[Effort for Testcase Execution]])*9,"")</f>
        <v/>
      </c>
      <c r="AL57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6" s="259" t="str">
        <f>IFERROR(Table7[[#This Row],[No. of Defects Validated]]/SUMIFS(Table3[Hours Worked],Table3[Release Name],Table7[[#This Row],[Release Name]],Table3[Task Type],"Defect Validation")*9,"")</f>
        <v/>
      </c>
      <c r="AN576" s="258" t="str">
        <f>IFERROR((Table7[[#This Row],[No. of Valid  Internal Testing Defects]])/(Table7[[#This Row],[No. of Valid  Internal Testing Defects]]+Table7[[#This Row],[No. of Invalid Internal Testing Defects]]),"")</f>
        <v/>
      </c>
      <c r="AO576" s="258" t="str">
        <f>IFERROR(Table7[[#This Row],[No. of Valid External Testing Defects]]/(Table7[[#This Row],[No. of Valid External Testing Defects]]+Table7[[#This Row],[No. of Valid  Internal Testing Defects]]),"")</f>
        <v/>
      </c>
    </row>
    <row r="577" spans="2:41">
      <c r="B577" s="237"/>
      <c r="C577" s="14"/>
      <c r="D577" s="14"/>
      <c r="E577" s="14"/>
      <c r="F577" s="230" t="str">
        <f>IFERROR((Table47[[#This Row],[Initial No. of Requirements]]+Table47[[#This Row],[Modified Requirements( Added / Deleted /Modified)]])/Table47[[#This Row],[Initial No. of Requirements]],"")</f>
        <v/>
      </c>
      <c r="G57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7" s="249"/>
      <c r="J577" s="249"/>
      <c r="K577" s="250"/>
      <c r="L577" s="250"/>
      <c r="M577" s="250"/>
      <c r="N577" s="248">
        <f>SUMIFS(Table1[Size],Table1[Release Name],[2]!Table7[Release Name])</f>
        <v>0</v>
      </c>
      <c r="O577" s="248"/>
      <c r="P57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7" s="248"/>
      <c r="R57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7" s="248"/>
      <c r="T577" s="248"/>
      <c r="U577" s="248"/>
      <c r="V577" s="248"/>
      <c r="W577" s="248"/>
      <c r="X577" s="248"/>
      <c r="Y577" s="248"/>
      <c r="Z577" s="248"/>
      <c r="AA577" s="248"/>
      <c r="AB577" s="13">
        <f>SUMIFS(Table3[Hours Worked],Table3[Release Name],Table7[[#This Row],[Release Name]],Table3[Task Type],"Testcase Creation")</f>
        <v>0</v>
      </c>
      <c r="AC577" s="255">
        <f>SUMIFS(Table3[Hours Worked],Table3[Release Name],Table7[[#This Row],[Release Name]],Table3[Task Type],"Testcase Execution")</f>
        <v>0</v>
      </c>
      <c r="AD57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7" s="256" t="str">
        <f>IFERROR((Table7[[#This Row],[No. of Valid Internal Review Defects]]+Table7[[#This Row],[No. of Valid  Internal Testing Defects]]+Table7[[#This Row],[No. of  Valid External Review Defects]]+Table7[[#This Row],[No. of Valid External Testing Defects]])/Table7[[#This Row],[Size]],"")</f>
        <v/>
      </c>
      <c r="AF577" s="257" t="str">
        <f>IFERROR(Table7[[#This Row],[No. of Valid Internal Review Defects]]/(Table7[[#This Row],[No. of Valid Internal Review Defects]]+Table7[[#This Row],[No. of  Valid External Review Defects]]+Table7[[#This Row],[No. of Valid  Internal Testing Defects]]+Table7[[#This Row],[No. of Valid External Testing Defects]]),"")</f>
        <v/>
      </c>
      <c r="AG577" s="258" t="str">
        <f>IFERROR(Table7[[#This Row],[No. of Valid Internal Review Defects]]/(Table7[[#This Row],[No. of Valid Internal Review Defects]]+Table7[[#This Row],[No. of  Valid External Review Defects]]+Table7[[#This Row],[No. of Valid External Testing Defects]]),"")</f>
        <v/>
      </c>
      <c r="AH577" s="256" t="str">
        <f>IFERROR(Table7[[#This Row],[No. of Valid  Internal Testing Defects]]/Table7[[#This Row],[Overall Actual Effort for the release]],"")</f>
        <v/>
      </c>
      <c r="AI577" s="256" t="str">
        <f>IFERROR(Table7[[#This Row],[No. of Valid  Internal Testing Defects]]/Table7[[#This Row],[No. of Testcases Executed]],"")</f>
        <v/>
      </c>
      <c r="AJ577" s="259" t="str">
        <f>IFERROR(IFERROR(Table7[[#This Row],[No. of Testcases Created]]/Table7[[#This Row],[Effort for Testcase Creation]],"")*9,"")</f>
        <v/>
      </c>
      <c r="AK577" s="256" t="str">
        <f>IFERROR((Table7[[#This Row],[No. of Testcases Executed]]/Table7[[#This Row],[Effort for Testcase Execution]])*9,"")</f>
        <v/>
      </c>
      <c r="AL57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7" s="259" t="str">
        <f>IFERROR(Table7[[#This Row],[No. of Defects Validated]]/SUMIFS(Table3[Hours Worked],Table3[Release Name],Table7[[#This Row],[Release Name]],Table3[Task Type],"Defect Validation")*9,"")</f>
        <v/>
      </c>
      <c r="AN577" s="258" t="str">
        <f>IFERROR((Table7[[#This Row],[No. of Valid  Internal Testing Defects]])/(Table7[[#This Row],[No. of Valid  Internal Testing Defects]]+Table7[[#This Row],[No. of Invalid Internal Testing Defects]]),"")</f>
        <v/>
      </c>
      <c r="AO577" s="258" t="str">
        <f>IFERROR(Table7[[#This Row],[No. of Valid External Testing Defects]]/(Table7[[#This Row],[No. of Valid External Testing Defects]]+Table7[[#This Row],[No. of Valid  Internal Testing Defects]]),"")</f>
        <v/>
      </c>
    </row>
    <row r="578" spans="2:41">
      <c r="B578" s="237"/>
      <c r="C578" s="14"/>
      <c r="D578" s="14"/>
      <c r="E578" s="14"/>
      <c r="F578" s="230" t="str">
        <f>IFERROR((Table47[[#This Row],[Initial No. of Requirements]]+Table47[[#This Row],[Modified Requirements( Added / Deleted /Modified)]])/Table47[[#This Row],[Initial No. of Requirements]],"")</f>
        <v/>
      </c>
      <c r="G57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8" s="249"/>
      <c r="J578" s="249"/>
      <c r="K578" s="250"/>
      <c r="L578" s="250"/>
      <c r="M578" s="250"/>
      <c r="N578" s="248">
        <f>SUMIFS(Table1[Size],Table1[Release Name],[2]!Table7[Release Name])</f>
        <v>0</v>
      </c>
      <c r="O578" s="248"/>
      <c r="P57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8" s="248"/>
      <c r="R57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8" s="248"/>
      <c r="T578" s="248"/>
      <c r="U578" s="248"/>
      <c r="V578" s="248"/>
      <c r="W578" s="248"/>
      <c r="X578" s="248"/>
      <c r="Y578" s="248"/>
      <c r="Z578" s="248"/>
      <c r="AA578" s="248"/>
      <c r="AB578" s="13">
        <f>SUMIFS(Table3[Hours Worked],Table3[Release Name],Table7[[#This Row],[Release Name]],Table3[Task Type],"Testcase Creation")</f>
        <v>0</v>
      </c>
      <c r="AC578" s="255">
        <f>SUMIFS(Table3[Hours Worked],Table3[Release Name],Table7[[#This Row],[Release Name]],Table3[Task Type],"Testcase Execution")</f>
        <v>0</v>
      </c>
      <c r="AD57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8" s="256" t="str">
        <f>IFERROR((Table7[[#This Row],[No. of Valid Internal Review Defects]]+Table7[[#This Row],[No. of Valid  Internal Testing Defects]]+Table7[[#This Row],[No. of  Valid External Review Defects]]+Table7[[#This Row],[No. of Valid External Testing Defects]])/Table7[[#This Row],[Size]],"")</f>
        <v/>
      </c>
      <c r="AF578" s="257" t="str">
        <f>IFERROR(Table7[[#This Row],[No. of Valid Internal Review Defects]]/(Table7[[#This Row],[No. of Valid Internal Review Defects]]+Table7[[#This Row],[No. of  Valid External Review Defects]]+Table7[[#This Row],[No. of Valid  Internal Testing Defects]]+Table7[[#This Row],[No. of Valid External Testing Defects]]),"")</f>
        <v/>
      </c>
      <c r="AG578" s="258" t="str">
        <f>IFERROR(Table7[[#This Row],[No. of Valid Internal Review Defects]]/(Table7[[#This Row],[No. of Valid Internal Review Defects]]+Table7[[#This Row],[No. of  Valid External Review Defects]]+Table7[[#This Row],[No. of Valid External Testing Defects]]),"")</f>
        <v/>
      </c>
      <c r="AH578" s="256" t="str">
        <f>IFERROR(Table7[[#This Row],[No. of Valid  Internal Testing Defects]]/Table7[[#This Row],[Overall Actual Effort for the release]],"")</f>
        <v/>
      </c>
      <c r="AI578" s="256" t="str">
        <f>IFERROR(Table7[[#This Row],[No. of Valid  Internal Testing Defects]]/Table7[[#This Row],[No. of Testcases Executed]],"")</f>
        <v/>
      </c>
      <c r="AJ578" s="259" t="str">
        <f>IFERROR(IFERROR(Table7[[#This Row],[No. of Testcases Created]]/Table7[[#This Row],[Effort for Testcase Creation]],"")*9,"")</f>
        <v/>
      </c>
      <c r="AK578" s="256" t="str">
        <f>IFERROR((Table7[[#This Row],[No. of Testcases Executed]]/Table7[[#This Row],[Effort for Testcase Execution]])*9,"")</f>
        <v/>
      </c>
      <c r="AL57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8" s="259" t="str">
        <f>IFERROR(Table7[[#This Row],[No. of Defects Validated]]/SUMIFS(Table3[Hours Worked],Table3[Release Name],Table7[[#This Row],[Release Name]],Table3[Task Type],"Defect Validation")*9,"")</f>
        <v/>
      </c>
      <c r="AN578" s="258" t="str">
        <f>IFERROR((Table7[[#This Row],[No. of Valid  Internal Testing Defects]])/(Table7[[#This Row],[No. of Valid  Internal Testing Defects]]+Table7[[#This Row],[No. of Invalid Internal Testing Defects]]),"")</f>
        <v/>
      </c>
      <c r="AO578" s="258" t="str">
        <f>IFERROR(Table7[[#This Row],[No. of Valid External Testing Defects]]/(Table7[[#This Row],[No. of Valid External Testing Defects]]+Table7[[#This Row],[No. of Valid  Internal Testing Defects]]),"")</f>
        <v/>
      </c>
    </row>
    <row r="579" spans="2:41">
      <c r="B579" s="237"/>
      <c r="C579" s="14"/>
      <c r="D579" s="14"/>
      <c r="E579" s="14"/>
      <c r="F579" s="230" t="str">
        <f>IFERROR((Table47[[#This Row],[Initial No. of Requirements]]+Table47[[#This Row],[Modified Requirements( Added / Deleted /Modified)]])/Table47[[#This Row],[Initial No. of Requirements]],"")</f>
        <v/>
      </c>
      <c r="G57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79" s="249"/>
      <c r="J579" s="249"/>
      <c r="K579" s="250"/>
      <c r="L579" s="250"/>
      <c r="M579" s="250"/>
      <c r="N579" s="248">
        <f>SUMIFS(Table1[Size],Table1[Release Name],[2]!Table7[Release Name])</f>
        <v>0</v>
      </c>
      <c r="O579" s="248"/>
      <c r="P57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79" s="248"/>
      <c r="R57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79" s="248"/>
      <c r="T579" s="248"/>
      <c r="U579" s="248"/>
      <c r="V579" s="248"/>
      <c r="W579" s="248"/>
      <c r="X579" s="248"/>
      <c r="Y579" s="248"/>
      <c r="Z579" s="248"/>
      <c r="AA579" s="248"/>
      <c r="AB579" s="13">
        <f>SUMIFS(Table3[Hours Worked],Table3[Release Name],Table7[[#This Row],[Release Name]],Table3[Task Type],"Testcase Creation")</f>
        <v>0</v>
      </c>
      <c r="AC579" s="255">
        <f>SUMIFS(Table3[Hours Worked],Table3[Release Name],Table7[[#This Row],[Release Name]],Table3[Task Type],"Testcase Execution")</f>
        <v>0</v>
      </c>
      <c r="AD57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79" s="256" t="str">
        <f>IFERROR((Table7[[#This Row],[No. of Valid Internal Review Defects]]+Table7[[#This Row],[No. of Valid  Internal Testing Defects]]+Table7[[#This Row],[No. of  Valid External Review Defects]]+Table7[[#This Row],[No. of Valid External Testing Defects]])/Table7[[#This Row],[Size]],"")</f>
        <v/>
      </c>
      <c r="AF579" s="257" t="str">
        <f>IFERROR(Table7[[#This Row],[No. of Valid Internal Review Defects]]/(Table7[[#This Row],[No. of Valid Internal Review Defects]]+Table7[[#This Row],[No. of  Valid External Review Defects]]+Table7[[#This Row],[No. of Valid  Internal Testing Defects]]+Table7[[#This Row],[No. of Valid External Testing Defects]]),"")</f>
        <v/>
      </c>
      <c r="AG579" s="258" t="str">
        <f>IFERROR(Table7[[#This Row],[No. of Valid Internal Review Defects]]/(Table7[[#This Row],[No. of Valid Internal Review Defects]]+Table7[[#This Row],[No. of  Valid External Review Defects]]+Table7[[#This Row],[No. of Valid External Testing Defects]]),"")</f>
        <v/>
      </c>
      <c r="AH579" s="256" t="str">
        <f>IFERROR(Table7[[#This Row],[No. of Valid  Internal Testing Defects]]/Table7[[#This Row],[Overall Actual Effort for the release]],"")</f>
        <v/>
      </c>
      <c r="AI579" s="256" t="str">
        <f>IFERROR(Table7[[#This Row],[No. of Valid  Internal Testing Defects]]/Table7[[#This Row],[No. of Testcases Executed]],"")</f>
        <v/>
      </c>
      <c r="AJ579" s="259" t="str">
        <f>IFERROR(IFERROR(Table7[[#This Row],[No. of Testcases Created]]/Table7[[#This Row],[Effort for Testcase Creation]],"")*9,"")</f>
        <v/>
      </c>
      <c r="AK579" s="256" t="str">
        <f>IFERROR((Table7[[#This Row],[No. of Testcases Executed]]/Table7[[#This Row],[Effort for Testcase Execution]])*9,"")</f>
        <v/>
      </c>
      <c r="AL57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79" s="259" t="str">
        <f>IFERROR(Table7[[#This Row],[No. of Defects Validated]]/SUMIFS(Table3[Hours Worked],Table3[Release Name],Table7[[#This Row],[Release Name]],Table3[Task Type],"Defect Validation")*9,"")</f>
        <v/>
      </c>
      <c r="AN579" s="258" t="str">
        <f>IFERROR((Table7[[#This Row],[No. of Valid  Internal Testing Defects]])/(Table7[[#This Row],[No. of Valid  Internal Testing Defects]]+Table7[[#This Row],[No. of Invalid Internal Testing Defects]]),"")</f>
        <v/>
      </c>
      <c r="AO579" s="258" t="str">
        <f>IFERROR(Table7[[#This Row],[No. of Valid External Testing Defects]]/(Table7[[#This Row],[No. of Valid External Testing Defects]]+Table7[[#This Row],[No. of Valid  Internal Testing Defects]]),"")</f>
        <v/>
      </c>
    </row>
    <row r="580" spans="2:41">
      <c r="B580" s="237"/>
      <c r="C580" s="14"/>
      <c r="D580" s="14"/>
      <c r="E580" s="14"/>
      <c r="F580" s="230" t="str">
        <f>IFERROR((Table47[[#This Row],[Initial No. of Requirements]]+Table47[[#This Row],[Modified Requirements( Added / Deleted /Modified)]])/Table47[[#This Row],[Initial No. of Requirements]],"")</f>
        <v/>
      </c>
      <c r="G58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0" s="249"/>
      <c r="J580" s="249"/>
      <c r="K580" s="250"/>
      <c r="L580" s="250"/>
      <c r="M580" s="250"/>
      <c r="N580" s="248">
        <f>SUMIFS(Table1[Size],Table1[Release Name],[2]!Table7[Release Name])</f>
        <v>0</v>
      </c>
      <c r="O580" s="248"/>
      <c r="P58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0" s="248"/>
      <c r="R58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0" s="248"/>
      <c r="T580" s="248"/>
      <c r="U580" s="248"/>
      <c r="V580" s="248"/>
      <c r="W580" s="248"/>
      <c r="X580" s="248"/>
      <c r="Y580" s="248"/>
      <c r="Z580" s="248"/>
      <c r="AA580" s="248"/>
      <c r="AB580" s="13">
        <f>SUMIFS(Table3[Hours Worked],Table3[Release Name],Table7[[#This Row],[Release Name]],Table3[Task Type],"Testcase Creation")</f>
        <v>0</v>
      </c>
      <c r="AC580" s="255">
        <f>SUMIFS(Table3[Hours Worked],Table3[Release Name],Table7[[#This Row],[Release Name]],Table3[Task Type],"Testcase Execution")</f>
        <v>0</v>
      </c>
      <c r="AD58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0" s="256" t="str">
        <f>IFERROR((Table7[[#This Row],[No. of Valid Internal Review Defects]]+Table7[[#This Row],[No. of Valid  Internal Testing Defects]]+Table7[[#This Row],[No. of  Valid External Review Defects]]+Table7[[#This Row],[No. of Valid External Testing Defects]])/Table7[[#This Row],[Size]],"")</f>
        <v/>
      </c>
      <c r="AF580" s="257" t="str">
        <f>IFERROR(Table7[[#This Row],[No. of Valid Internal Review Defects]]/(Table7[[#This Row],[No. of Valid Internal Review Defects]]+Table7[[#This Row],[No. of  Valid External Review Defects]]+Table7[[#This Row],[No. of Valid  Internal Testing Defects]]+Table7[[#This Row],[No. of Valid External Testing Defects]]),"")</f>
        <v/>
      </c>
      <c r="AG580" s="258" t="str">
        <f>IFERROR(Table7[[#This Row],[No. of Valid Internal Review Defects]]/(Table7[[#This Row],[No. of Valid Internal Review Defects]]+Table7[[#This Row],[No. of  Valid External Review Defects]]+Table7[[#This Row],[No. of Valid External Testing Defects]]),"")</f>
        <v/>
      </c>
      <c r="AH580" s="256" t="str">
        <f>IFERROR(Table7[[#This Row],[No. of Valid  Internal Testing Defects]]/Table7[[#This Row],[Overall Actual Effort for the release]],"")</f>
        <v/>
      </c>
      <c r="AI580" s="256" t="str">
        <f>IFERROR(Table7[[#This Row],[No. of Valid  Internal Testing Defects]]/Table7[[#This Row],[No. of Testcases Executed]],"")</f>
        <v/>
      </c>
      <c r="AJ580" s="259" t="str">
        <f>IFERROR(IFERROR(Table7[[#This Row],[No. of Testcases Created]]/Table7[[#This Row],[Effort for Testcase Creation]],"")*9,"")</f>
        <v/>
      </c>
      <c r="AK580" s="256" t="str">
        <f>IFERROR((Table7[[#This Row],[No. of Testcases Executed]]/Table7[[#This Row],[Effort for Testcase Execution]])*9,"")</f>
        <v/>
      </c>
      <c r="AL58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0" s="259" t="str">
        <f>IFERROR(Table7[[#This Row],[No. of Defects Validated]]/SUMIFS(Table3[Hours Worked],Table3[Release Name],Table7[[#This Row],[Release Name]],Table3[Task Type],"Defect Validation")*9,"")</f>
        <v/>
      </c>
      <c r="AN580" s="258" t="str">
        <f>IFERROR((Table7[[#This Row],[No. of Valid  Internal Testing Defects]])/(Table7[[#This Row],[No. of Valid  Internal Testing Defects]]+Table7[[#This Row],[No. of Invalid Internal Testing Defects]]),"")</f>
        <v/>
      </c>
      <c r="AO580" s="258" t="str">
        <f>IFERROR(Table7[[#This Row],[No. of Valid External Testing Defects]]/(Table7[[#This Row],[No. of Valid External Testing Defects]]+Table7[[#This Row],[No. of Valid  Internal Testing Defects]]),"")</f>
        <v/>
      </c>
    </row>
    <row r="581" spans="2:41">
      <c r="B581" s="237"/>
      <c r="C581" s="14"/>
      <c r="D581" s="14"/>
      <c r="E581" s="14"/>
      <c r="F581" s="230" t="str">
        <f>IFERROR((Table47[[#This Row],[Initial No. of Requirements]]+Table47[[#This Row],[Modified Requirements( Added / Deleted /Modified)]])/Table47[[#This Row],[Initial No. of Requirements]],"")</f>
        <v/>
      </c>
      <c r="G58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1" s="249"/>
      <c r="J581" s="249"/>
      <c r="K581" s="250"/>
      <c r="L581" s="250"/>
      <c r="M581" s="250"/>
      <c r="N581" s="248">
        <f>SUMIFS(Table1[Size],Table1[Release Name],[2]!Table7[Release Name])</f>
        <v>0</v>
      </c>
      <c r="O581" s="248"/>
      <c r="P58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1" s="248"/>
      <c r="R58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1" s="248"/>
      <c r="T581" s="248"/>
      <c r="U581" s="248"/>
      <c r="V581" s="248"/>
      <c r="W581" s="248"/>
      <c r="X581" s="248"/>
      <c r="Y581" s="248"/>
      <c r="Z581" s="248"/>
      <c r="AA581" s="248"/>
      <c r="AB581" s="13">
        <f>SUMIFS(Table3[Hours Worked],Table3[Release Name],Table7[[#This Row],[Release Name]],Table3[Task Type],"Testcase Creation")</f>
        <v>0</v>
      </c>
      <c r="AC581" s="255">
        <f>SUMIFS(Table3[Hours Worked],Table3[Release Name],Table7[[#This Row],[Release Name]],Table3[Task Type],"Testcase Execution")</f>
        <v>0</v>
      </c>
      <c r="AD58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1" s="256" t="str">
        <f>IFERROR((Table7[[#This Row],[No. of Valid Internal Review Defects]]+Table7[[#This Row],[No. of Valid  Internal Testing Defects]]+Table7[[#This Row],[No. of  Valid External Review Defects]]+Table7[[#This Row],[No. of Valid External Testing Defects]])/Table7[[#This Row],[Size]],"")</f>
        <v/>
      </c>
      <c r="AF581" s="257" t="str">
        <f>IFERROR(Table7[[#This Row],[No. of Valid Internal Review Defects]]/(Table7[[#This Row],[No. of Valid Internal Review Defects]]+Table7[[#This Row],[No. of  Valid External Review Defects]]+Table7[[#This Row],[No. of Valid  Internal Testing Defects]]+Table7[[#This Row],[No. of Valid External Testing Defects]]),"")</f>
        <v/>
      </c>
      <c r="AG581" s="258" t="str">
        <f>IFERROR(Table7[[#This Row],[No. of Valid Internal Review Defects]]/(Table7[[#This Row],[No. of Valid Internal Review Defects]]+Table7[[#This Row],[No. of  Valid External Review Defects]]+Table7[[#This Row],[No. of Valid External Testing Defects]]),"")</f>
        <v/>
      </c>
      <c r="AH581" s="256" t="str">
        <f>IFERROR(Table7[[#This Row],[No. of Valid  Internal Testing Defects]]/Table7[[#This Row],[Overall Actual Effort for the release]],"")</f>
        <v/>
      </c>
      <c r="AI581" s="256" t="str">
        <f>IFERROR(Table7[[#This Row],[No. of Valid  Internal Testing Defects]]/Table7[[#This Row],[No. of Testcases Executed]],"")</f>
        <v/>
      </c>
      <c r="AJ581" s="259" t="str">
        <f>IFERROR(IFERROR(Table7[[#This Row],[No. of Testcases Created]]/Table7[[#This Row],[Effort for Testcase Creation]],"")*9,"")</f>
        <v/>
      </c>
      <c r="AK581" s="256" t="str">
        <f>IFERROR((Table7[[#This Row],[No. of Testcases Executed]]/Table7[[#This Row],[Effort for Testcase Execution]])*9,"")</f>
        <v/>
      </c>
      <c r="AL58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1" s="259" t="str">
        <f>IFERROR(Table7[[#This Row],[No. of Defects Validated]]/SUMIFS(Table3[Hours Worked],Table3[Release Name],Table7[[#This Row],[Release Name]],Table3[Task Type],"Defect Validation")*9,"")</f>
        <v/>
      </c>
      <c r="AN581" s="258" t="str">
        <f>IFERROR((Table7[[#This Row],[No. of Valid  Internal Testing Defects]])/(Table7[[#This Row],[No. of Valid  Internal Testing Defects]]+Table7[[#This Row],[No. of Invalid Internal Testing Defects]]),"")</f>
        <v/>
      </c>
      <c r="AO581" s="258" t="str">
        <f>IFERROR(Table7[[#This Row],[No. of Valid External Testing Defects]]/(Table7[[#This Row],[No. of Valid External Testing Defects]]+Table7[[#This Row],[No. of Valid  Internal Testing Defects]]),"")</f>
        <v/>
      </c>
    </row>
    <row r="582" spans="2:41">
      <c r="B582" s="237"/>
      <c r="C582" s="14"/>
      <c r="D582" s="14"/>
      <c r="E582" s="14"/>
      <c r="F582" s="230" t="str">
        <f>IFERROR((Table47[[#This Row],[Initial No. of Requirements]]+Table47[[#This Row],[Modified Requirements( Added / Deleted /Modified)]])/Table47[[#This Row],[Initial No. of Requirements]],"")</f>
        <v/>
      </c>
      <c r="G58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2" s="249"/>
      <c r="J582" s="249"/>
      <c r="K582" s="250"/>
      <c r="L582" s="250"/>
      <c r="M582" s="250"/>
      <c r="N582" s="248">
        <f>SUMIFS(Table1[Size],Table1[Release Name],[2]!Table7[Release Name])</f>
        <v>0</v>
      </c>
      <c r="O582" s="248"/>
      <c r="P58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2" s="248"/>
      <c r="R58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2" s="248"/>
      <c r="T582" s="248"/>
      <c r="U582" s="248"/>
      <c r="V582" s="248"/>
      <c r="W582" s="248"/>
      <c r="X582" s="248"/>
      <c r="Y582" s="248"/>
      <c r="Z582" s="248"/>
      <c r="AA582" s="248"/>
      <c r="AB582" s="13">
        <f>SUMIFS(Table3[Hours Worked],Table3[Release Name],Table7[[#This Row],[Release Name]],Table3[Task Type],"Testcase Creation")</f>
        <v>0</v>
      </c>
      <c r="AC582" s="255">
        <f>SUMIFS(Table3[Hours Worked],Table3[Release Name],Table7[[#This Row],[Release Name]],Table3[Task Type],"Testcase Execution")</f>
        <v>0</v>
      </c>
      <c r="AD58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2" s="256" t="str">
        <f>IFERROR((Table7[[#This Row],[No. of Valid Internal Review Defects]]+Table7[[#This Row],[No. of Valid  Internal Testing Defects]]+Table7[[#This Row],[No. of  Valid External Review Defects]]+Table7[[#This Row],[No. of Valid External Testing Defects]])/Table7[[#This Row],[Size]],"")</f>
        <v/>
      </c>
      <c r="AF582" s="257" t="str">
        <f>IFERROR(Table7[[#This Row],[No. of Valid Internal Review Defects]]/(Table7[[#This Row],[No. of Valid Internal Review Defects]]+Table7[[#This Row],[No. of  Valid External Review Defects]]+Table7[[#This Row],[No. of Valid  Internal Testing Defects]]+Table7[[#This Row],[No. of Valid External Testing Defects]]),"")</f>
        <v/>
      </c>
      <c r="AG582" s="258" t="str">
        <f>IFERROR(Table7[[#This Row],[No. of Valid Internal Review Defects]]/(Table7[[#This Row],[No. of Valid Internal Review Defects]]+Table7[[#This Row],[No. of  Valid External Review Defects]]+Table7[[#This Row],[No. of Valid External Testing Defects]]),"")</f>
        <v/>
      </c>
      <c r="AH582" s="256" t="str">
        <f>IFERROR(Table7[[#This Row],[No. of Valid  Internal Testing Defects]]/Table7[[#This Row],[Overall Actual Effort for the release]],"")</f>
        <v/>
      </c>
      <c r="AI582" s="256" t="str">
        <f>IFERROR(Table7[[#This Row],[No. of Valid  Internal Testing Defects]]/Table7[[#This Row],[No. of Testcases Executed]],"")</f>
        <v/>
      </c>
      <c r="AJ582" s="259" t="str">
        <f>IFERROR(IFERROR(Table7[[#This Row],[No. of Testcases Created]]/Table7[[#This Row],[Effort for Testcase Creation]],"")*9,"")</f>
        <v/>
      </c>
      <c r="AK582" s="256" t="str">
        <f>IFERROR((Table7[[#This Row],[No. of Testcases Executed]]/Table7[[#This Row],[Effort for Testcase Execution]])*9,"")</f>
        <v/>
      </c>
      <c r="AL58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2" s="259" t="str">
        <f>IFERROR(Table7[[#This Row],[No. of Defects Validated]]/SUMIFS(Table3[Hours Worked],Table3[Release Name],Table7[[#This Row],[Release Name]],Table3[Task Type],"Defect Validation")*9,"")</f>
        <v/>
      </c>
      <c r="AN582" s="258" t="str">
        <f>IFERROR((Table7[[#This Row],[No. of Valid  Internal Testing Defects]])/(Table7[[#This Row],[No. of Valid  Internal Testing Defects]]+Table7[[#This Row],[No. of Invalid Internal Testing Defects]]),"")</f>
        <v/>
      </c>
      <c r="AO582" s="258" t="str">
        <f>IFERROR(Table7[[#This Row],[No. of Valid External Testing Defects]]/(Table7[[#This Row],[No. of Valid External Testing Defects]]+Table7[[#This Row],[No. of Valid  Internal Testing Defects]]),"")</f>
        <v/>
      </c>
    </row>
    <row r="583" spans="2:41">
      <c r="B583" s="237"/>
      <c r="C583" s="14"/>
      <c r="D583" s="14"/>
      <c r="E583" s="14"/>
      <c r="F583" s="230" t="str">
        <f>IFERROR((Table47[[#This Row],[Initial No. of Requirements]]+Table47[[#This Row],[Modified Requirements( Added / Deleted /Modified)]])/Table47[[#This Row],[Initial No. of Requirements]],"")</f>
        <v/>
      </c>
      <c r="G58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3" s="249"/>
      <c r="J583" s="249"/>
      <c r="K583" s="250"/>
      <c r="L583" s="250"/>
      <c r="M583" s="250"/>
      <c r="N583" s="248">
        <f>SUMIFS(Table1[Size],Table1[Release Name],[2]!Table7[Release Name])</f>
        <v>0</v>
      </c>
      <c r="O583" s="248"/>
      <c r="P58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3" s="248"/>
      <c r="R58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3" s="248"/>
      <c r="T583" s="248"/>
      <c r="U583" s="248"/>
      <c r="V583" s="248"/>
      <c r="W583" s="248"/>
      <c r="X583" s="248"/>
      <c r="Y583" s="248"/>
      <c r="Z583" s="248"/>
      <c r="AA583" s="248"/>
      <c r="AB583" s="13">
        <f>SUMIFS(Table3[Hours Worked],Table3[Release Name],Table7[[#This Row],[Release Name]],Table3[Task Type],"Testcase Creation")</f>
        <v>0</v>
      </c>
      <c r="AC583" s="255">
        <f>SUMIFS(Table3[Hours Worked],Table3[Release Name],Table7[[#This Row],[Release Name]],Table3[Task Type],"Testcase Execution")</f>
        <v>0</v>
      </c>
      <c r="AD58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3" s="256" t="str">
        <f>IFERROR((Table7[[#This Row],[No. of Valid Internal Review Defects]]+Table7[[#This Row],[No. of Valid  Internal Testing Defects]]+Table7[[#This Row],[No. of  Valid External Review Defects]]+Table7[[#This Row],[No. of Valid External Testing Defects]])/Table7[[#This Row],[Size]],"")</f>
        <v/>
      </c>
      <c r="AF583" s="257" t="str">
        <f>IFERROR(Table7[[#This Row],[No. of Valid Internal Review Defects]]/(Table7[[#This Row],[No. of Valid Internal Review Defects]]+Table7[[#This Row],[No. of  Valid External Review Defects]]+Table7[[#This Row],[No. of Valid  Internal Testing Defects]]+Table7[[#This Row],[No. of Valid External Testing Defects]]),"")</f>
        <v/>
      </c>
      <c r="AG583" s="258" t="str">
        <f>IFERROR(Table7[[#This Row],[No. of Valid Internal Review Defects]]/(Table7[[#This Row],[No. of Valid Internal Review Defects]]+Table7[[#This Row],[No. of  Valid External Review Defects]]+Table7[[#This Row],[No. of Valid External Testing Defects]]),"")</f>
        <v/>
      </c>
      <c r="AH583" s="256" t="str">
        <f>IFERROR(Table7[[#This Row],[No. of Valid  Internal Testing Defects]]/Table7[[#This Row],[Overall Actual Effort for the release]],"")</f>
        <v/>
      </c>
      <c r="AI583" s="256" t="str">
        <f>IFERROR(Table7[[#This Row],[No. of Valid  Internal Testing Defects]]/Table7[[#This Row],[No. of Testcases Executed]],"")</f>
        <v/>
      </c>
      <c r="AJ583" s="259" t="str">
        <f>IFERROR(IFERROR(Table7[[#This Row],[No. of Testcases Created]]/Table7[[#This Row],[Effort for Testcase Creation]],"")*9,"")</f>
        <v/>
      </c>
      <c r="AK583" s="256" t="str">
        <f>IFERROR((Table7[[#This Row],[No. of Testcases Executed]]/Table7[[#This Row],[Effort for Testcase Execution]])*9,"")</f>
        <v/>
      </c>
      <c r="AL58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3" s="259" t="str">
        <f>IFERROR(Table7[[#This Row],[No. of Defects Validated]]/SUMIFS(Table3[Hours Worked],Table3[Release Name],Table7[[#This Row],[Release Name]],Table3[Task Type],"Defect Validation")*9,"")</f>
        <v/>
      </c>
      <c r="AN583" s="258" t="str">
        <f>IFERROR((Table7[[#This Row],[No. of Valid  Internal Testing Defects]])/(Table7[[#This Row],[No. of Valid  Internal Testing Defects]]+Table7[[#This Row],[No. of Invalid Internal Testing Defects]]),"")</f>
        <v/>
      </c>
      <c r="AO583" s="258" t="str">
        <f>IFERROR(Table7[[#This Row],[No. of Valid External Testing Defects]]/(Table7[[#This Row],[No. of Valid External Testing Defects]]+Table7[[#This Row],[No. of Valid  Internal Testing Defects]]),"")</f>
        <v/>
      </c>
    </row>
    <row r="584" spans="2:41">
      <c r="B584" s="237"/>
      <c r="C584" s="14"/>
      <c r="D584" s="14"/>
      <c r="E584" s="14"/>
      <c r="F584" s="230" t="str">
        <f>IFERROR((Table47[[#This Row],[Initial No. of Requirements]]+Table47[[#This Row],[Modified Requirements( Added / Deleted /Modified)]])/Table47[[#This Row],[Initial No. of Requirements]],"")</f>
        <v/>
      </c>
      <c r="G58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4" s="249"/>
      <c r="J584" s="249"/>
      <c r="K584" s="250"/>
      <c r="L584" s="250"/>
      <c r="M584" s="250"/>
      <c r="N584" s="248">
        <f>SUMIFS(Table1[Size],Table1[Release Name],[2]!Table7[Release Name])</f>
        <v>0</v>
      </c>
      <c r="O584" s="248"/>
      <c r="P58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4" s="248"/>
      <c r="R58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4" s="248"/>
      <c r="T584" s="248"/>
      <c r="U584" s="248"/>
      <c r="V584" s="248"/>
      <c r="W584" s="248"/>
      <c r="X584" s="248"/>
      <c r="Y584" s="248"/>
      <c r="Z584" s="248"/>
      <c r="AA584" s="248"/>
      <c r="AB584" s="13">
        <f>SUMIFS(Table3[Hours Worked],Table3[Release Name],Table7[[#This Row],[Release Name]],Table3[Task Type],"Testcase Creation")</f>
        <v>0</v>
      </c>
      <c r="AC584" s="255">
        <f>SUMIFS(Table3[Hours Worked],Table3[Release Name],Table7[[#This Row],[Release Name]],Table3[Task Type],"Testcase Execution")</f>
        <v>0</v>
      </c>
      <c r="AD58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4" s="256" t="str">
        <f>IFERROR((Table7[[#This Row],[No. of Valid Internal Review Defects]]+Table7[[#This Row],[No. of Valid  Internal Testing Defects]]+Table7[[#This Row],[No. of  Valid External Review Defects]]+Table7[[#This Row],[No. of Valid External Testing Defects]])/Table7[[#This Row],[Size]],"")</f>
        <v/>
      </c>
      <c r="AF584" s="257" t="str">
        <f>IFERROR(Table7[[#This Row],[No. of Valid Internal Review Defects]]/(Table7[[#This Row],[No. of Valid Internal Review Defects]]+Table7[[#This Row],[No. of  Valid External Review Defects]]+Table7[[#This Row],[No. of Valid  Internal Testing Defects]]+Table7[[#This Row],[No. of Valid External Testing Defects]]),"")</f>
        <v/>
      </c>
      <c r="AG584" s="258" t="str">
        <f>IFERROR(Table7[[#This Row],[No. of Valid Internal Review Defects]]/(Table7[[#This Row],[No. of Valid Internal Review Defects]]+Table7[[#This Row],[No. of  Valid External Review Defects]]+Table7[[#This Row],[No. of Valid External Testing Defects]]),"")</f>
        <v/>
      </c>
      <c r="AH584" s="256" t="str">
        <f>IFERROR(Table7[[#This Row],[No. of Valid  Internal Testing Defects]]/Table7[[#This Row],[Overall Actual Effort for the release]],"")</f>
        <v/>
      </c>
      <c r="AI584" s="256" t="str">
        <f>IFERROR(Table7[[#This Row],[No. of Valid  Internal Testing Defects]]/Table7[[#This Row],[No. of Testcases Executed]],"")</f>
        <v/>
      </c>
      <c r="AJ584" s="259" t="str">
        <f>IFERROR(IFERROR(Table7[[#This Row],[No. of Testcases Created]]/Table7[[#This Row],[Effort for Testcase Creation]],"")*9,"")</f>
        <v/>
      </c>
      <c r="AK584" s="256" t="str">
        <f>IFERROR((Table7[[#This Row],[No. of Testcases Executed]]/Table7[[#This Row],[Effort for Testcase Execution]])*9,"")</f>
        <v/>
      </c>
      <c r="AL58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4" s="259" t="str">
        <f>IFERROR(Table7[[#This Row],[No. of Defects Validated]]/SUMIFS(Table3[Hours Worked],Table3[Release Name],Table7[[#This Row],[Release Name]],Table3[Task Type],"Defect Validation")*9,"")</f>
        <v/>
      </c>
      <c r="AN584" s="258" t="str">
        <f>IFERROR((Table7[[#This Row],[No. of Valid  Internal Testing Defects]])/(Table7[[#This Row],[No. of Valid  Internal Testing Defects]]+Table7[[#This Row],[No. of Invalid Internal Testing Defects]]),"")</f>
        <v/>
      </c>
      <c r="AO584" s="258" t="str">
        <f>IFERROR(Table7[[#This Row],[No. of Valid External Testing Defects]]/(Table7[[#This Row],[No. of Valid External Testing Defects]]+Table7[[#This Row],[No. of Valid  Internal Testing Defects]]),"")</f>
        <v/>
      </c>
    </row>
    <row r="585" spans="2:41">
      <c r="B585" s="237"/>
      <c r="C585" s="14"/>
      <c r="D585" s="14"/>
      <c r="E585" s="14"/>
      <c r="F585" s="230" t="str">
        <f>IFERROR((Table47[[#This Row],[Initial No. of Requirements]]+Table47[[#This Row],[Modified Requirements( Added / Deleted /Modified)]])/Table47[[#This Row],[Initial No. of Requirements]],"")</f>
        <v/>
      </c>
      <c r="G58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5" s="249"/>
      <c r="J585" s="249"/>
      <c r="K585" s="250"/>
      <c r="L585" s="250"/>
      <c r="M585" s="250"/>
      <c r="N585" s="248">
        <f>SUMIFS(Table1[Size],Table1[Release Name],[2]!Table7[Release Name])</f>
        <v>0</v>
      </c>
      <c r="O585" s="248"/>
      <c r="P58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5" s="248"/>
      <c r="R58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5" s="248"/>
      <c r="T585" s="248"/>
      <c r="U585" s="248"/>
      <c r="V585" s="248"/>
      <c r="W585" s="248"/>
      <c r="X585" s="248"/>
      <c r="Y585" s="248"/>
      <c r="Z585" s="248"/>
      <c r="AA585" s="248"/>
      <c r="AB585" s="13">
        <f>SUMIFS(Table3[Hours Worked],Table3[Release Name],Table7[[#This Row],[Release Name]],Table3[Task Type],"Testcase Creation")</f>
        <v>0</v>
      </c>
      <c r="AC585" s="255">
        <f>SUMIFS(Table3[Hours Worked],Table3[Release Name],Table7[[#This Row],[Release Name]],Table3[Task Type],"Testcase Execution")</f>
        <v>0</v>
      </c>
      <c r="AD58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5" s="256" t="str">
        <f>IFERROR((Table7[[#This Row],[No. of Valid Internal Review Defects]]+Table7[[#This Row],[No. of Valid  Internal Testing Defects]]+Table7[[#This Row],[No. of  Valid External Review Defects]]+Table7[[#This Row],[No. of Valid External Testing Defects]])/Table7[[#This Row],[Size]],"")</f>
        <v/>
      </c>
      <c r="AF585" s="257" t="str">
        <f>IFERROR(Table7[[#This Row],[No. of Valid Internal Review Defects]]/(Table7[[#This Row],[No. of Valid Internal Review Defects]]+Table7[[#This Row],[No. of  Valid External Review Defects]]+Table7[[#This Row],[No. of Valid  Internal Testing Defects]]+Table7[[#This Row],[No. of Valid External Testing Defects]]),"")</f>
        <v/>
      </c>
      <c r="AG585" s="258" t="str">
        <f>IFERROR(Table7[[#This Row],[No. of Valid Internal Review Defects]]/(Table7[[#This Row],[No. of Valid Internal Review Defects]]+Table7[[#This Row],[No. of  Valid External Review Defects]]+Table7[[#This Row],[No. of Valid External Testing Defects]]),"")</f>
        <v/>
      </c>
      <c r="AH585" s="256" t="str">
        <f>IFERROR(Table7[[#This Row],[No. of Valid  Internal Testing Defects]]/Table7[[#This Row],[Overall Actual Effort for the release]],"")</f>
        <v/>
      </c>
      <c r="AI585" s="256" t="str">
        <f>IFERROR(Table7[[#This Row],[No. of Valid  Internal Testing Defects]]/Table7[[#This Row],[No. of Testcases Executed]],"")</f>
        <v/>
      </c>
      <c r="AJ585" s="259" t="str">
        <f>IFERROR(IFERROR(Table7[[#This Row],[No. of Testcases Created]]/Table7[[#This Row],[Effort for Testcase Creation]],"")*9,"")</f>
        <v/>
      </c>
      <c r="AK585" s="256" t="str">
        <f>IFERROR((Table7[[#This Row],[No. of Testcases Executed]]/Table7[[#This Row],[Effort for Testcase Execution]])*9,"")</f>
        <v/>
      </c>
      <c r="AL58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5" s="259" t="str">
        <f>IFERROR(Table7[[#This Row],[No. of Defects Validated]]/SUMIFS(Table3[Hours Worked],Table3[Release Name],Table7[[#This Row],[Release Name]],Table3[Task Type],"Defect Validation")*9,"")</f>
        <v/>
      </c>
      <c r="AN585" s="258" t="str">
        <f>IFERROR((Table7[[#This Row],[No. of Valid  Internal Testing Defects]])/(Table7[[#This Row],[No. of Valid  Internal Testing Defects]]+Table7[[#This Row],[No. of Invalid Internal Testing Defects]]),"")</f>
        <v/>
      </c>
      <c r="AO585" s="258" t="str">
        <f>IFERROR(Table7[[#This Row],[No. of Valid External Testing Defects]]/(Table7[[#This Row],[No. of Valid External Testing Defects]]+Table7[[#This Row],[No. of Valid  Internal Testing Defects]]),"")</f>
        <v/>
      </c>
    </row>
    <row r="586" spans="2:41">
      <c r="B586" s="237"/>
      <c r="C586" s="14"/>
      <c r="D586" s="14"/>
      <c r="E586" s="14"/>
      <c r="F586" s="230" t="str">
        <f>IFERROR((Table47[[#This Row],[Initial No. of Requirements]]+Table47[[#This Row],[Modified Requirements( Added / Deleted /Modified)]])/Table47[[#This Row],[Initial No. of Requirements]],"")</f>
        <v/>
      </c>
      <c r="G58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6" s="249"/>
      <c r="J586" s="249"/>
      <c r="K586" s="250"/>
      <c r="L586" s="250"/>
      <c r="M586" s="250"/>
      <c r="N586" s="248">
        <f>SUMIFS(Table1[Size],Table1[Release Name],[2]!Table7[Release Name])</f>
        <v>0</v>
      </c>
      <c r="O586" s="248"/>
      <c r="P58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6" s="248"/>
      <c r="R58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6" s="248"/>
      <c r="T586" s="248"/>
      <c r="U586" s="248"/>
      <c r="V586" s="248"/>
      <c r="W586" s="248"/>
      <c r="X586" s="248"/>
      <c r="Y586" s="248"/>
      <c r="Z586" s="248"/>
      <c r="AA586" s="248"/>
      <c r="AB586" s="13">
        <f>SUMIFS(Table3[Hours Worked],Table3[Release Name],Table7[[#This Row],[Release Name]],Table3[Task Type],"Testcase Creation")</f>
        <v>0</v>
      </c>
      <c r="AC586" s="255">
        <f>SUMIFS(Table3[Hours Worked],Table3[Release Name],Table7[[#This Row],[Release Name]],Table3[Task Type],"Testcase Execution")</f>
        <v>0</v>
      </c>
      <c r="AD58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6" s="256" t="str">
        <f>IFERROR((Table7[[#This Row],[No. of Valid Internal Review Defects]]+Table7[[#This Row],[No. of Valid  Internal Testing Defects]]+Table7[[#This Row],[No. of  Valid External Review Defects]]+Table7[[#This Row],[No. of Valid External Testing Defects]])/Table7[[#This Row],[Size]],"")</f>
        <v/>
      </c>
      <c r="AF586" s="257" t="str">
        <f>IFERROR(Table7[[#This Row],[No. of Valid Internal Review Defects]]/(Table7[[#This Row],[No. of Valid Internal Review Defects]]+Table7[[#This Row],[No. of  Valid External Review Defects]]+Table7[[#This Row],[No. of Valid  Internal Testing Defects]]+Table7[[#This Row],[No. of Valid External Testing Defects]]),"")</f>
        <v/>
      </c>
      <c r="AG586" s="258" t="str">
        <f>IFERROR(Table7[[#This Row],[No. of Valid Internal Review Defects]]/(Table7[[#This Row],[No. of Valid Internal Review Defects]]+Table7[[#This Row],[No. of  Valid External Review Defects]]+Table7[[#This Row],[No. of Valid External Testing Defects]]),"")</f>
        <v/>
      </c>
      <c r="AH586" s="256" t="str">
        <f>IFERROR(Table7[[#This Row],[No. of Valid  Internal Testing Defects]]/Table7[[#This Row],[Overall Actual Effort for the release]],"")</f>
        <v/>
      </c>
      <c r="AI586" s="256" t="str">
        <f>IFERROR(Table7[[#This Row],[No. of Valid  Internal Testing Defects]]/Table7[[#This Row],[No. of Testcases Executed]],"")</f>
        <v/>
      </c>
      <c r="AJ586" s="259" t="str">
        <f>IFERROR(IFERROR(Table7[[#This Row],[No. of Testcases Created]]/Table7[[#This Row],[Effort for Testcase Creation]],"")*9,"")</f>
        <v/>
      </c>
      <c r="AK586" s="256" t="str">
        <f>IFERROR((Table7[[#This Row],[No. of Testcases Executed]]/Table7[[#This Row],[Effort for Testcase Execution]])*9,"")</f>
        <v/>
      </c>
      <c r="AL58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6" s="259" t="str">
        <f>IFERROR(Table7[[#This Row],[No. of Defects Validated]]/SUMIFS(Table3[Hours Worked],Table3[Release Name],Table7[[#This Row],[Release Name]],Table3[Task Type],"Defect Validation")*9,"")</f>
        <v/>
      </c>
      <c r="AN586" s="258" t="str">
        <f>IFERROR((Table7[[#This Row],[No. of Valid  Internal Testing Defects]])/(Table7[[#This Row],[No. of Valid  Internal Testing Defects]]+Table7[[#This Row],[No. of Invalid Internal Testing Defects]]),"")</f>
        <v/>
      </c>
      <c r="AO586" s="258" t="str">
        <f>IFERROR(Table7[[#This Row],[No. of Valid External Testing Defects]]/(Table7[[#This Row],[No. of Valid External Testing Defects]]+Table7[[#This Row],[No. of Valid  Internal Testing Defects]]),"")</f>
        <v/>
      </c>
    </row>
    <row r="587" spans="2:41">
      <c r="B587" s="237"/>
      <c r="C587" s="14"/>
      <c r="D587" s="14"/>
      <c r="E587" s="14"/>
      <c r="F587" s="230" t="str">
        <f>IFERROR((Table47[[#This Row],[Initial No. of Requirements]]+Table47[[#This Row],[Modified Requirements( Added / Deleted /Modified)]])/Table47[[#This Row],[Initial No. of Requirements]],"")</f>
        <v/>
      </c>
      <c r="G58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7" s="249"/>
      <c r="J587" s="249"/>
      <c r="K587" s="250"/>
      <c r="L587" s="250"/>
      <c r="M587" s="250"/>
      <c r="N587" s="248">
        <f>SUMIFS(Table1[Size],Table1[Release Name],[2]!Table7[Release Name])</f>
        <v>0</v>
      </c>
      <c r="O587" s="248"/>
      <c r="P58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7" s="248"/>
      <c r="R58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7" s="248"/>
      <c r="T587" s="248"/>
      <c r="U587" s="248"/>
      <c r="V587" s="248"/>
      <c r="W587" s="248"/>
      <c r="X587" s="248"/>
      <c r="Y587" s="248"/>
      <c r="Z587" s="248"/>
      <c r="AA587" s="248"/>
      <c r="AB587" s="13">
        <f>SUMIFS(Table3[Hours Worked],Table3[Release Name],Table7[[#This Row],[Release Name]],Table3[Task Type],"Testcase Creation")</f>
        <v>0</v>
      </c>
      <c r="AC587" s="255">
        <f>SUMIFS(Table3[Hours Worked],Table3[Release Name],Table7[[#This Row],[Release Name]],Table3[Task Type],"Testcase Execution")</f>
        <v>0</v>
      </c>
      <c r="AD58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7" s="256" t="str">
        <f>IFERROR((Table7[[#This Row],[No. of Valid Internal Review Defects]]+Table7[[#This Row],[No. of Valid  Internal Testing Defects]]+Table7[[#This Row],[No. of  Valid External Review Defects]]+Table7[[#This Row],[No. of Valid External Testing Defects]])/Table7[[#This Row],[Size]],"")</f>
        <v/>
      </c>
      <c r="AF587" s="257" t="str">
        <f>IFERROR(Table7[[#This Row],[No. of Valid Internal Review Defects]]/(Table7[[#This Row],[No. of Valid Internal Review Defects]]+Table7[[#This Row],[No. of  Valid External Review Defects]]+Table7[[#This Row],[No. of Valid  Internal Testing Defects]]+Table7[[#This Row],[No. of Valid External Testing Defects]]),"")</f>
        <v/>
      </c>
      <c r="AG587" s="258" t="str">
        <f>IFERROR(Table7[[#This Row],[No. of Valid Internal Review Defects]]/(Table7[[#This Row],[No. of Valid Internal Review Defects]]+Table7[[#This Row],[No. of  Valid External Review Defects]]+Table7[[#This Row],[No. of Valid External Testing Defects]]),"")</f>
        <v/>
      </c>
      <c r="AH587" s="256" t="str">
        <f>IFERROR(Table7[[#This Row],[No. of Valid  Internal Testing Defects]]/Table7[[#This Row],[Overall Actual Effort for the release]],"")</f>
        <v/>
      </c>
      <c r="AI587" s="256" t="str">
        <f>IFERROR(Table7[[#This Row],[No. of Valid  Internal Testing Defects]]/Table7[[#This Row],[No. of Testcases Executed]],"")</f>
        <v/>
      </c>
      <c r="AJ587" s="259" t="str">
        <f>IFERROR(IFERROR(Table7[[#This Row],[No. of Testcases Created]]/Table7[[#This Row],[Effort for Testcase Creation]],"")*9,"")</f>
        <v/>
      </c>
      <c r="AK587" s="256" t="str">
        <f>IFERROR((Table7[[#This Row],[No. of Testcases Executed]]/Table7[[#This Row],[Effort for Testcase Execution]])*9,"")</f>
        <v/>
      </c>
      <c r="AL58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7" s="259" t="str">
        <f>IFERROR(Table7[[#This Row],[No. of Defects Validated]]/SUMIFS(Table3[Hours Worked],Table3[Release Name],Table7[[#This Row],[Release Name]],Table3[Task Type],"Defect Validation")*9,"")</f>
        <v/>
      </c>
      <c r="AN587" s="258" t="str">
        <f>IFERROR((Table7[[#This Row],[No. of Valid  Internal Testing Defects]])/(Table7[[#This Row],[No. of Valid  Internal Testing Defects]]+Table7[[#This Row],[No. of Invalid Internal Testing Defects]]),"")</f>
        <v/>
      </c>
      <c r="AO587" s="258" t="str">
        <f>IFERROR(Table7[[#This Row],[No. of Valid External Testing Defects]]/(Table7[[#This Row],[No. of Valid External Testing Defects]]+Table7[[#This Row],[No. of Valid  Internal Testing Defects]]),"")</f>
        <v/>
      </c>
    </row>
    <row r="588" spans="2:41">
      <c r="B588" s="237"/>
      <c r="C588" s="14"/>
      <c r="D588" s="14"/>
      <c r="E588" s="14"/>
      <c r="F588" s="230" t="str">
        <f>IFERROR((Table47[[#This Row],[Initial No. of Requirements]]+Table47[[#This Row],[Modified Requirements( Added / Deleted /Modified)]])/Table47[[#This Row],[Initial No. of Requirements]],"")</f>
        <v/>
      </c>
      <c r="G58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8" s="249"/>
      <c r="J588" s="249"/>
      <c r="K588" s="250"/>
      <c r="L588" s="250"/>
      <c r="M588" s="250"/>
      <c r="N588" s="248">
        <f>SUMIFS(Table1[Size],Table1[Release Name],[2]!Table7[Release Name])</f>
        <v>0</v>
      </c>
      <c r="O588" s="248"/>
      <c r="P58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8" s="248"/>
      <c r="R58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8" s="248"/>
      <c r="T588" s="248"/>
      <c r="U588" s="248"/>
      <c r="V588" s="248"/>
      <c r="W588" s="248"/>
      <c r="X588" s="248"/>
      <c r="Y588" s="248"/>
      <c r="Z588" s="248"/>
      <c r="AA588" s="248"/>
      <c r="AB588" s="13">
        <f>SUMIFS(Table3[Hours Worked],Table3[Release Name],Table7[[#This Row],[Release Name]],Table3[Task Type],"Testcase Creation")</f>
        <v>0</v>
      </c>
      <c r="AC588" s="255">
        <f>SUMIFS(Table3[Hours Worked],Table3[Release Name],Table7[[#This Row],[Release Name]],Table3[Task Type],"Testcase Execution")</f>
        <v>0</v>
      </c>
      <c r="AD58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8" s="256" t="str">
        <f>IFERROR((Table7[[#This Row],[No. of Valid Internal Review Defects]]+Table7[[#This Row],[No. of Valid  Internal Testing Defects]]+Table7[[#This Row],[No. of  Valid External Review Defects]]+Table7[[#This Row],[No. of Valid External Testing Defects]])/Table7[[#This Row],[Size]],"")</f>
        <v/>
      </c>
      <c r="AF588" s="257" t="str">
        <f>IFERROR(Table7[[#This Row],[No. of Valid Internal Review Defects]]/(Table7[[#This Row],[No. of Valid Internal Review Defects]]+Table7[[#This Row],[No. of  Valid External Review Defects]]+Table7[[#This Row],[No. of Valid  Internal Testing Defects]]+Table7[[#This Row],[No. of Valid External Testing Defects]]),"")</f>
        <v/>
      </c>
      <c r="AG588" s="258" t="str">
        <f>IFERROR(Table7[[#This Row],[No. of Valid Internal Review Defects]]/(Table7[[#This Row],[No. of Valid Internal Review Defects]]+Table7[[#This Row],[No. of  Valid External Review Defects]]+Table7[[#This Row],[No. of Valid External Testing Defects]]),"")</f>
        <v/>
      </c>
      <c r="AH588" s="256" t="str">
        <f>IFERROR(Table7[[#This Row],[No. of Valid  Internal Testing Defects]]/Table7[[#This Row],[Overall Actual Effort for the release]],"")</f>
        <v/>
      </c>
      <c r="AI588" s="256" t="str">
        <f>IFERROR(Table7[[#This Row],[No. of Valid  Internal Testing Defects]]/Table7[[#This Row],[No. of Testcases Executed]],"")</f>
        <v/>
      </c>
      <c r="AJ588" s="259" t="str">
        <f>IFERROR(IFERROR(Table7[[#This Row],[No. of Testcases Created]]/Table7[[#This Row],[Effort for Testcase Creation]],"")*9,"")</f>
        <v/>
      </c>
      <c r="AK588" s="256" t="str">
        <f>IFERROR((Table7[[#This Row],[No. of Testcases Executed]]/Table7[[#This Row],[Effort for Testcase Execution]])*9,"")</f>
        <v/>
      </c>
      <c r="AL58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8" s="259" t="str">
        <f>IFERROR(Table7[[#This Row],[No. of Defects Validated]]/SUMIFS(Table3[Hours Worked],Table3[Release Name],Table7[[#This Row],[Release Name]],Table3[Task Type],"Defect Validation")*9,"")</f>
        <v/>
      </c>
      <c r="AN588" s="258" t="str">
        <f>IFERROR((Table7[[#This Row],[No. of Valid  Internal Testing Defects]])/(Table7[[#This Row],[No. of Valid  Internal Testing Defects]]+Table7[[#This Row],[No. of Invalid Internal Testing Defects]]),"")</f>
        <v/>
      </c>
      <c r="AO588" s="258" t="str">
        <f>IFERROR(Table7[[#This Row],[No. of Valid External Testing Defects]]/(Table7[[#This Row],[No. of Valid External Testing Defects]]+Table7[[#This Row],[No. of Valid  Internal Testing Defects]]),"")</f>
        <v/>
      </c>
    </row>
    <row r="589" spans="2:41">
      <c r="B589" s="237"/>
      <c r="C589" s="14"/>
      <c r="D589" s="14"/>
      <c r="E589" s="14"/>
      <c r="F589" s="230" t="str">
        <f>IFERROR((Table47[[#This Row],[Initial No. of Requirements]]+Table47[[#This Row],[Modified Requirements( Added / Deleted /Modified)]])/Table47[[#This Row],[Initial No. of Requirements]],"")</f>
        <v/>
      </c>
      <c r="G58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89" s="249"/>
      <c r="J589" s="249"/>
      <c r="K589" s="250"/>
      <c r="L589" s="250"/>
      <c r="M589" s="250"/>
      <c r="N589" s="248">
        <f>SUMIFS(Table1[Size],Table1[Release Name],[2]!Table7[Release Name])</f>
        <v>0</v>
      </c>
      <c r="O589" s="248"/>
      <c r="P58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89" s="248"/>
      <c r="R58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89" s="248"/>
      <c r="T589" s="248"/>
      <c r="U589" s="248"/>
      <c r="V589" s="248"/>
      <c r="W589" s="248"/>
      <c r="X589" s="248"/>
      <c r="Y589" s="248"/>
      <c r="Z589" s="248"/>
      <c r="AA589" s="248"/>
      <c r="AB589" s="13">
        <f>SUMIFS(Table3[Hours Worked],Table3[Release Name],Table7[[#This Row],[Release Name]],Table3[Task Type],"Testcase Creation")</f>
        <v>0</v>
      </c>
      <c r="AC589" s="255">
        <f>SUMIFS(Table3[Hours Worked],Table3[Release Name],Table7[[#This Row],[Release Name]],Table3[Task Type],"Testcase Execution")</f>
        <v>0</v>
      </c>
      <c r="AD58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89" s="256" t="str">
        <f>IFERROR((Table7[[#This Row],[No. of Valid Internal Review Defects]]+Table7[[#This Row],[No. of Valid  Internal Testing Defects]]+Table7[[#This Row],[No. of  Valid External Review Defects]]+Table7[[#This Row],[No. of Valid External Testing Defects]])/Table7[[#This Row],[Size]],"")</f>
        <v/>
      </c>
      <c r="AF589" s="257" t="str">
        <f>IFERROR(Table7[[#This Row],[No. of Valid Internal Review Defects]]/(Table7[[#This Row],[No. of Valid Internal Review Defects]]+Table7[[#This Row],[No. of  Valid External Review Defects]]+Table7[[#This Row],[No. of Valid  Internal Testing Defects]]+Table7[[#This Row],[No. of Valid External Testing Defects]]),"")</f>
        <v/>
      </c>
      <c r="AG589" s="258" t="str">
        <f>IFERROR(Table7[[#This Row],[No. of Valid Internal Review Defects]]/(Table7[[#This Row],[No. of Valid Internal Review Defects]]+Table7[[#This Row],[No. of  Valid External Review Defects]]+Table7[[#This Row],[No. of Valid External Testing Defects]]),"")</f>
        <v/>
      </c>
      <c r="AH589" s="256" t="str">
        <f>IFERROR(Table7[[#This Row],[No. of Valid  Internal Testing Defects]]/Table7[[#This Row],[Overall Actual Effort for the release]],"")</f>
        <v/>
      </c>
      <c r="AI589" s="256" t="str">
        <f>IFERROR(Table7[[#This Row],[No. of Valid  Internal Testing Defects]]/Table7[[#This Row],[No. of Testcases Executed]],"")</f>
        <v/>
      </c>
      <c r="AJ589" s="259" t="str">
        <f>IFERROR(IFERROR(Table7[[#This Row],[No. of Testcases Created]]/Table7[[#This Row],[Effort for Testcase Creation]],"")*9,"")</f>
        <v/>
      </c>
      <c r="AK589" s="256" t="str">
        <f>IFERROR((Table7[[#This Row],[No. of Testcases Executed]]/Table7[[#This Row],[Effort for Testcase Execution]])*9,"")</f>
        <v/>
      </c>
      <c r="AL58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89" s="259" t="str">
        <f>IFERROR(Table7[[#This Row],[No. of Defects Validated]]/SUMIFS(Table3[Hours Worked],Table3[Release Name],Table7[[#This Row],[Release Name]],Table3[Task Type],"Defect Validation")*9,"")</f>
        <v/>
      </c>
      <c r="AN589" s="258" t="str">
        <f>IFERROR((Table7[[#This Row],[No. of Valid  Internal Testing Defects]])/(Table7[[#This Row],[No. of Valid  Internal Testing Defects]]+Table7[[#This Row],[No. of Invalid Internal Testing Defects]]),"")</f>
        <v/>
      </c>
      <c r="AO589" s="258" t="str">
        <f>IFERROR(Table7[[#This Row],[No. of Valid External Testing Defects]]/(Table7[[#This Row],[No. of Valid External Testing Defects]]+Table7[[#This Row],[No. of Valid  Internal Testing Defects]]),"")</f>
        <v/>
      </c>
    </row>
    <row r="590" spans="2:41">
      <c r="B590" s="237"/>
      <c r="C590" s="14"/>
      <c r="D590" s="14"/>
      <c r="E590" s="14"/>
      <c r="F590" s="230" t="str">
        <f>IFERROR((Table47[[#This Row],[Initial No. of Requirements]]+Table47[[#This Row],[Modified Requirements( Added / Deleted /Modified)]])/Table47[[#This Row],[Initial No. of Requirements]],"")</f>
        <v/>
      </c>
      <c r="G59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0" s="249"/>
      <c r="J590" s="249"/>
      <c r="K590" s="250"/>
      <c r="L590" s="250"/>
      <c r="M590" s="250"/>
      <c r="N590" s="248">
        <f>SUMIFS(Table1[Size],Table1[Release Name],[2]!Table7[Release Name])</f>
        <v>0</v>
      </c>
      <c r="O590" s="248"/>
      <c r="P59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0" s="248"/>
      <c r="R59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0" s="248"/>
      <c r="T590" s="248"/>
      <c r="U590" s="248"/>
      <c r="V590" s="248"/>
      <c r="W590" s="248"/>
      <c r="X590" s="248"/>
      <c r="Y590" s="248"/>
      <c r="Z590" s="248"/>
      <c r="AA590" s="248"/>
      <c r="AB590" s="13">
        <f>SUMIFS(Table3[Hours Worked],Table3[Release Name],Table7[[#This Row],[Release Name]],Table3[Task Type],"Testcase Creation")</f>
        <v>0</v>
      </c>
      <c r="AC590" s="255">
        <f>SUMIFS(Table3[Hours Worked],Table3[Release Name],Table7[[#This Row],[Release Name]],Table3[Task Type],"Testcase Execution")</f>
        <v>0</v>
      </c>
      <c r="AD59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0" s="256" t="str">
        <f>IFERROR((Table7[[#This Row],[No. of Valid Internal Review Defects]]+Table7[[#This Row],[No. of Valid  Internal Testing Defects]]+Table7[[#This Row],[No. of  Valid External Review Defects]]+Table7[[#This Row],[No. of Valid External Testing Defects]])/Table7[[#This Row],[Size]],"")</f>
        <v/>
      </c>
      <c r="AF590" s="257" t="str">
        <f>IFERROR(Table7[[#This Row],[No. of Valid Internal Review Defects]]/(Table7[[#This Row],[No. of Valid Internal Review Defects]]+Table7[[#This Row],[No. of  Valid External Review Defects]]+Table7[[#This Row],[No. of Valid  Internal Testing Defects]]+Table7[[#This Row],[No. of Valid External Testing Defects]]),"")</f>
        <v/>
      </c>
      <c r="AG590" s="258" t="str">
        <f>IFERROR(Table7[[#This Row],[No. of Valid Internal Review Defects]]/(Table7[[#This Row],[No. of Valid Internal Review Defects]]+Table7[[#This Row],[No. of  Valid External Review Defects]]+Table7[[#This Row],[No. of Valid External Testing Defects]]),"")</f>
        <v/>
      </c>
      <c r="AH590" s="256" t="str">
        <f>IFERROR(Table7[[#This Row],[No. of Valid  Internal Testing Defects]]/Table7[[#This Row],[Overall Actual Effort for the release]],"")</f>
        <v/>
      </c>
      <c r="AI590" s="256" t="str">
        <f>IFERROR(Table7[[#This Row],[No. of Valid  Internal Testing Defects]]/Table7[[#This Row],[No. of Testcases Executed]],"")</f>
        <v/>
      </c>
      <c r="AJ590" s="259" t="str">
        <f>IFERROR(IFERROR(Table7[[#This Row],[No. of Testcases Created]]/Table7[[#This Row],[Effort for Testcase Creation]],"")*9,"")</f>
        <v/>
      </c>
      <c r="AK590" s="256" t="str">
        <f>IFERROR((Table7[[#This Row],[No. of Testcases Executed]]/Table7[[#This Row],[Effort for Testcase Execution]])*9,"")</f>
        <v/>
      </c>
      <c r="AL59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0" s="259" t="str">
        <f>IFERROR(Table7[[#This Row],[No. of Defects Validated]]/SUMIFS(Table3[Hours Worked],Table3[Release Name],Table7[[#This Row],[Release Name]],Table3[Task Type],"Defect Validation")*9,"")</f>
        <v/>
      </c>
      <c r="AN590" s="258" t="str">
        <f>IFERROR((Table7[[#This Row],[No. of Valid  Internal Testing Defects]])/(Table7[[#This Row],[No. of Valid  Internal Testing Defects]]+Table7[[#This Row],[No. of Invalid Internal Testing Defects]]),"")</f>
        <v/>
      </c>
      <c r="AO590" s="258" t="str">
        <f>IFERROR(Table7[[#This Row],[No. of Valid External Testing Defects]]/(Table7[[#This Row],[No. of Valid External Testing Defects]]+Table7[[#This Row],[No. of Valid  Internal Testing Defects]]),"")</f>
        <v/>
      </c>
    </row>
    <row r="591" spans="2:41">
      <c r="B591" s="237"/>
      <c r="C591" s="14"/>
      <c r="D591" s="14"/>
      <c r="E591" s="14"/>
      <c r="F591" s="230" t="str">
        <f>IFERROR((Table47[[#This Row],[Initial No. of Requirements]]+Table47[[#This Row],[Modified Requirements( Added / Deleted /Modified)]])/Table47[[#This Row],[Initial No. of Requirements]],"")</f>
        <v/>
      </c>
      <c r="G59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1" s="249"/>
      <c r="J591" s="249"/>
      <c r="K591" s="250"/>
      <c r="L591" s="250"/>
      <c r="M591" s="250"/>
      <c r="N591" s="248">
        <f>SUMIFS(Table1[Size],Table1[Release Name],[2]!Table7[Release Name])</f>
        <v>0</v>
      </c>
      <c r="O591" s="248"/>
      <c r="P59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1" s="248"/>
      <c r="R59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1" s="248"/>
      <c r="T591" s="248"/>
      <c r="U591" s="248"/>
      <c r="V591" s="248"/>
      <c r="W591" s="248"/>
      <c r="X591" s="248"/>
      <c r="Y591" s="248"/>
      <c r="Z591" s="248"/>
      <c r="AA591" s="248"/>
      <c r="AB591" s="13">
        <f>SUMIFS(Table3[Hours Worked],Table3[Release Name],Table7[[#This Row],[Release Name]],Table3[Task Type],"Testcase Creation")</f>
        <v>0</v>
      </c>
      <c r="AC591" s="255">
        <f>SUMIFS(Table3[Hours Worked],Table3[Release Name],Table7[[#This Row],[Release Name]],Table3[Task Type],"Testcase Execution")</f>
        <v>0</v>
      </c>
      <c r="AD59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1" s="256" t="str">
        <f>IFERROR((Table7[[#This Row],[No. of Valid Internal Review Defects]]+Table7[[#This Row],[No. of Valid  Internal Testing Defects]]+Table7[[#This Row],[No. of  Valid External Review Defects]]+Table7[[#This Row],[No. of Valid External Testing Defects]])/Table7[[#This Row],[Size]],"")</f>
        <v/>
      </c>
      <c r="AF591" s="257" t="str">
        <f>IFERROR(Table7[[#This Row],[No. of Valid Internal Review Defects]]/(Table7[[#This Row],[No. of Valid Internal Review Defects]]+Table7[[#This Row],[No. of  Valid External Review Defects]]+Table7[[#This Row],[No. of Valid  Internal Testing Defects]]+Table7[[#This Row],[No. of Valid External Testing Defects]]),"")</f>
        <v/>
      </c>
      <c r="AG591" s="258" t="str">
        <f>IFERROR(Table7[[#This Row],[No. of Valid Internal Review Defects]]/(Table7[[#This Row],[No. of Valid Internal Review Defects]]+Table7[[#This Row],[No. of  Valid External Review Defects]]+Table7[[#This Row],[No. of Valid External Testing Defects]]),"")</f>
        <v/>
      </c>
      <c r="AH591" s="256" t="str">
        <f>IFERROR(Table7[[#This Row],[No. of Valid  Internal Testing Defects]]/Table7[[#This Row],[Overall Actual Effort for the release]],"")</f>
        <v/>
      </c>
      <c r="AI591" s="256" t="str">
        <f>IFERROR(Table7[[#This Row],[No. of Valid  Internal Testing Defects]]/Table7[[#This Row],[No. of Testcases Executed]],"")</f>
        <v/>
      </c>
      <c r="AJ591" s="259" t="str">
        <f>IFERROR(IFERROR(Table7[[#This Row],[No. of Testcases Created]]/Table7[[#This Row],[Effort for Testcase Creation]],"")*9,"")</f>
        <v/>
      </c>
      <c r="AK591" s="256" t="str">
        <f>IFERROR((Table7[[#This Row],[No. of Testcases Executed]]/Table7[[#This Row],[Effort for Testcase Execution]])*9,"")</f>
        <v/>
      </c>
      <c r="AL59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1" s="259" t="str">
        <f>IFERROR(Table7[[#This Row],[No. of Defects Validated]]/SUMIFS(Table3[Hours Worked],Table3[Release Name],Table7[[#This Row],[Release Name]],Table3[Task Type],"Defect Validation")*9,"")</f>
        <v/>
      </c>
      <c r="AN591" s="258" t="str">
        <f>IFERROR((Table7[[#This Row],[No. of Valid  Internal Testing Defects]])/(Table7[[#This Row],[No. of Valid  Internal Testing Defects]]+Table7[[#This Row],[No. of Invalid Internal Testing Defects]]),"")</f>
        <v/>
      </c>
      <c r="AO591" s="258" t="str">
        <f>IFERROR(Table7[[#This Row],[No. of Valid External Testing Defects]]/(Table7[[#This Row],[No. of Valid External Testing Defects]]+Table7[[#This Row],[No. of Valid  Internal Testing Defects]]),"")</f>
        <v/>
      </c>
    </row>
    <row r="592" spans="2:41">
      <c r="B592" s="237"/>
      <c r="C592" s="14"/>
      <c r="D592" s="14"/>
      <c r="E592" s="14"/>
      <c r="F592" s="230" t="str">
        <f>IFERROR((Table47[[#This Row],[Initial No. of Requirements]]+Table47[[#This Row],[Modified Requirements( Added / Deleted /Modified)]])/Table47[[#This Row],[Initial No. of Requirements]],"")</f>
        <v/>
      </c>
      <c r="G59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2" s="249"/>
      <c r="J592" s="249"/>
      <c r="K592" s="250"/>
      <c r="L592" s="250"/>
      <c r="M592" s="250"/>
      <c r="N592" s="248">
        <f>SUMIFS(Table1[Size],Table1[Release Name],[2]!Table7[Release Name])</f>
        <v>0</v>
      </c>
      <c r="O592" s="248"/>
      <c r="P59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2" s="248"/>
      <c r="R59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2" s="248"/>
      <c r="T592" s="248"/>
      <c r="U592" s="248"/>
      <c r="V592" s="248"/>
      <c r="W592" s="248"/>
      <c r="X592" s="248"/>
      <c r="Y592" s="248"/>
      <c r="Z592" s="248"/>
      <c r="AA592" s="248"/>
      <c r="AB592" s="13">
        <f>SUMIFS(Table3[Hours Worked],Table3[Release Name],Table7[[#This Row],[Release Name]],Table3[Task Type],"Testcase Creation")</f>
        <v>0</v>
      </c>
      <c r="AC592" s="255">
        <f>SUMIFS(Table3[Hours Worked],Table3[Release Name],Table7[[#This Row],[Release Name]],Table3[Task Type],"Testcase Execution")</f>
        <v>0</v>
      </c>
      <c r="AD59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2" s="256" t="str">
        <f>IFERROR((Table7[[#This Row],[No. of Valid Internal Review Defects]]+Table7[[#This Row],[No. of Valid  Internal Testing Defects]]+Table7[[#This Row],[No. of  Valid External Review Defects]]+Table7[[#This Row],[No. of Valid External Testing Defects]])/Table7[[#This Row],[Size]],"")</f>
        <v/>
      </c>
      <c r="AF592" s="257" t="str">
        <f>IFERROR(Table7[[#This Row],[No. of Valid Internal Review Defects]]/(Table7[[#This Row],[No. of Valid Internal Review Defects]]+Table7[[#This Row],[No. of  Valid External Review Defects]]+Table7[[#This Row],[No. of Valid  Internal Testing Defects]]+Table7[[#This Row],[No. of Valid External Testing Defects]]),"")</f>
        <v/>
      </c>
      <c r="AG592" s="258" t="str">
        <f>IFERROR(Table7[[#This Row],[No. of Valid Internal Review Defects]]/(Table7[[#This Row],[No. of Valid Internal Review Defects]]+Table7[[#This Row],[No. of  Valid External Review Defects]]+Table7[[#This Row],[No. of Valid External Testing Defects]]),"")</f>
        <v/>
      </c>
      <c r="AH592" s="256" t="str">
        <f>IFERROR(Table7[[#This Row],[No. of Valid  Internal Testing Defects]]/Table7[[#This Row],[Overall Actual Effort for the release]],"")</f>
        <v/>
      </c>
      <c r="AI592" s="256" t="str">
        <f>IFERROR(Table7[[#This Row],[No. of Valid  Internal Testing Defects]]/Table7[[#This Row],[No. of Testcases Executed]],"")</f>
        <v/>
      </c>
      <c r="AJ592" s="259" t="str">
        <f>IFERROR(IFERROR(Table7[[#This Row],[No. of Testcases Created]]/Table7[[#This Row],[Effort for Testcase Creation]],"")*9,"")</f>
        <v/>
      </c>
      <c r="AK592" s="256" t="str">
        <f>IFERROR((Table7[[#This Row],[No. of Testcases Executed]]/Table7[[#This Row],[Effort for Testcase Execution]])*9,"")</f>
        <v/>
      </c>
      <c r="AL59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2" s="259" t="str">
        <f>IFERROR(Table7[[#This Row],[No. of Defects Validated]]/SUMIFS(Table3[Hours Worked],Table3[Release Name],Table7[[#This Row],[Release Name]],Table3[Task Type],"Defect Validation")*9,"")</f>
        <v/>
      </c>
      <c r="AN592" s="258" t="str">
        <f>IFERROR((Table7[[#This Row],[No. of Valid  Internal Testing Defects]])/(Table7[[#This Row],[No. of Valid  Internal Testing Defects]]+Table7[[#This Row],[No. of Invalid Internal Testing Defects]]),"")</f>
        <v/>
      </c>
      <c r="AO592" s="258" t="str">
        <f>IFERROR(Table7[[#This Row],[No. of Valid External Testing Defects]]/(Table7[[#This Row],[No. of Valid External Testing Defects]]+Table7[[#This Row],[No. of Valid  Internal Testing Defects]]),"")</f>
        <v/>
      </c>
    </row>
    <row r="593" spans="2:41">
      <c r="B593" s="237"/>
      <c r="C593" s="14"/>
      <c r="D593" s="14"/>
      <c r="E593" s="14"/>
      <c r="F593" s="230" t="str">
        <f>IFERROR((Table47[[#This Row],[Initial No. of Requirements]]+Table47[[#This Row],[Modified Requirements( Added / Deleted /Modified)]])/Table47[[#This Row],[Initial No. of Requirements]],"")</f>
        <v/>
      </c>
      <c r="G59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3" s="249"/>
      <c r="J593" s="249"/>
      <c r="K593" s="250"/>
      <c r="L593" s="250"/>
      <c r="M593" s="250"/>
      <c r="N593" s="248">
        <f>SUMIFS(Table1[Size],Table1[Release Name],[2]!Table7[Release Name])</f>
        <v>0</v>
      </c>
      <c r="O593" s="248"/>
      <c r="P593"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3" s="248"/>
      <c r="R593"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3" s="248"/>
      <c r="T593" s="248"/>
      <c r="U593" s="248"/>
      <c r="V593" s="248"/>
      <c r="W593" s="248"/>
      <c r="X593" s="248"/>
      <c r="Y593" s="248"/>
      <c r="Z593" s="248"/>
      <c r="AA593" s="248"/>
      <c r="AB593" s="13">
        <f>SUMIFS(Table3[Hours Worked],Table3[Release Name],Table7[[#This Row],[Release Name]],Table3[Task Type],"Testcase Creation")</f>
        <v>0</v>
      </c>
      <c r="AC593" s="255">
        <f>SUMIFS(Table3[Hours Worked],Table3[Release Name],Table7[[#This Row],[Release Name]],Table3[Task Type],"Testcase Execution")</f>
        <v>0</v>
      </c>
      <c r="AD593"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3" s="256" t="str">
        <f>IFERROR((Table7[[#This Row],[No. of Valid Internal Review Defects]]+Table7[[#This Row],[No. of Valid  Internal Testing Defects]]+Table7[[#This Row],[No. of  Valid External Review Defects]]+Table7[[#This Row],[No. of Valid External Testing Defects]])/Table7[[#This Row],[Size]],"")</f>
        <v/>
      </c>
      <c r="AF593" s="257" t="str">
        <f>IFERROR(Table7[[#This Row],[No. of Valid Internal Review Defects]]/(Table7[[#This Row],[No. of Valid Internal Review Defects]]+Table7[[#This Row],[No. of  Valid External Review Defects]]+Table7[[#This Row],[No. of Valid  Internal Testing Defects]]+Table7[[#This Row],[No. of Valid External Testing Defects]]),"")</f>
        <v/>
      </c>
      <c r="AG593" s="258" t="str">
        <f>IFERROR(Table7[[#This Row],[No. of Valid Internal Review Defects]]/(Table7[[#This Row],[No. of Valid Internal Review Defects]]+Table7[[#This Row],[No. of  Valid External Review Defects]]+Table7[[#This Row],[No. of Valid External Testing Defects]]),"")</f>
        <v/>
      </c>
      <c r="AH593" s="256" t="str">
        <f>IFERROR(Table7[[#This Row],[No. of Valid  Internal Testing Defects]]/Table7[[#This Row],[Overall Actual Effort for the release]],"")</f>
        <v/>
      </c>
      <c r="AI593" s="256" t="str">
        <f>IFERROR(Table7[[#This Row],[No. of Valid  Internal Testing Defects]]/Table7[[#This Row],[No. of Testcases Executed]],"")</f>
        <v/>
      </c>
      <c r="AJ593" s="259" t="str">
        <f>IFERROR(IFERROR(Table7[[#This Row],[No. of Testcases Created]]/Table7[[#This Row],[Effort for Testcase Creation]],"")*9,"")</f>
        <v/>
      </c>
      <c r="AK593" s="256" t="str">
        <f>IFERROR((Table7[[#This Row],[No. of Testcases Executed]]/Table7[[#This Row],[Effort for Testcase Execution]])*9,"")</f>
        <v/>
      </c>
      <c r="AL593"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3" s="259" t="str">
        <f>IFERROR(Table7[[#This Row],[No. of Defects Validated]]/SUMIFS(Table3[Hours Worked],Table3[Release Name],Table7[[#This Row],[Release Name]],Table3[Task Type],"Defect Validation")*9,"")</f>
        <v/>
      </c>
      <c r="AN593" s="258" t="str">
        <f>IFERROR((Table7[[#This Row],[No. of Valid  Internal Testing Defects]])/(Table7[[#This Row],[No. of Valid  Internal Testing Defects]]+Table7[[#This Row],[No. of Invalid Internal Testing Defects]]),"")</f>
        <v/>
      </c>
      <c r="AO593" s="258" t="str">
        <f>IFERROR(Table7[[#This Row],[No. of Valid External Testing Defects]]/(Table7[[#This Row],[No. of Valid External Testing Defects]]+Table7[[#This Row],[No. of Valid  Internal Testing Defects]]),"")</f>
        <v/>
      </c>
    </row>
    <row r="594" spans="2:41">
      <c r="B594" s="237"/>
      <c r="C594" s="14"/>
      <c r="D594" s="14"/>
      <c r="E594" s="14"/>
      <c r="F594" s="230" t="str">
        <f>IFERROR((Table47[[#This Row],[Initial No. of Requirements]]+Table47[[#This Row],[Modified Requirements( Added / Deleted /Modified)]])/Table47[[#This Row],[Initial No. of Requirements]],"")</f>
        <v/>
      </c>
      <c r="G594"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4" s="249"/>
      <c r="J594" s="249"/>
      <c r="K594" s="250"/>
      <c r="L594" s="250"/>
      <c r="M594" s="250"/>
      <c r="N594" s="248">
        <f>SUMIFS(Table1[Size],Table1[Release Name],[2]!Table7[Release Name])</f>
        <v>0</v>
      </c>
      <c r="O594" s="248"/>
      <c r="P594"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4" s="248"/>
      <c r="R594"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4" s="248"/>
      <c r="T594" s="248"/>
      <c r="U594" s="248"/>
      <c r="V594" s="248"/>
      <c r="W594" s="248"/>
      <c r="X594" s="248"/>
      <c r="Y594" s="248"/>
      <c r="Z594" s="248"/>
      <c r="AA594" s="248"/>
      <c r="AB594" s="13">
        <f>SUMIFS(Table3[Hours Worked],Table3[Release Name],Table7[[#This Row],[Release Name]],Table3[Task Type],"Testcase Creation")</f>
        <v>0</v>
      </c>
      <c r="AC594" s="255">
        <f>SUMIFS(Table3[Hours Worked],Table3[Release Name],Table7[[#This Row],[Release Name]],Table3[Task Type],"Testcase Execution")</f>
        <v>0</v>
      </c>
      <c r="AD594"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4" s="256" t="str">
        <f>IFERROR((Table7[[#This Row],[No. of Valid Internal Review Defects]]+Table7[[#This Row],[No. of Valid  Internal Testing Defects]]+Table7[[#This Row],[No. of  Valid External Review Defects]]+Table7[[#This Row],[No. of Valid External Testing Defects]])/Table7[[#This Row],[Size]],"")</f>
        <v/>
      </c>
      <c r="AF594" s="257" t="str">
        <f>IFERROR(Table7[[#This Row],[No. of Valid Internal Review Defects]]/(Table7[[#This Row],[No. of Valid Internal Review Defects]]+Table7[[#This Row],[No. of  Valid External Review Defects]]+Table7[[#This Row],[No. of Valid  Internal Testing Defects]]+Table7[[#This Row],[No. of Valid External Testing Defects]]),"")</f>
        <v/>
      </c>
      <c r="AG594" s="258" t="str">
        <f>IFERROR(Table7[[#This Row],[No. of Valid Internal Review Defects]]/(Table7[[#This Row],[No. of Valid Internal Review Defects]]+Table7[[#This Row],[No. of  Valid External Review Defects]]+Table7[[#This Row],[No. of Valid External Testing Defects]]),"")</f>
        <v/>
      </c>
      <c r="AH594" s="256" t="str">
        <f>IFERROR(Table7[[#This Row],[No. of Valid  Internal Testing Defects]]/Table7[[#This Row],[Overall Actual Effort for the release]],"")</f>
        <v/>
      </c>
      <c r="AI594" s="256" t="str">
        <f>IFERROR(Table7[[#This Row],[No. of Valid  Internal Testing Defects]]/Table7[[#This Row],[No. of Testcases Executed]],"")</f>
        <v/>
      </c>
      <c r="AJ594" s="259" t="str">
        <f>IFERROR(IFERROR(Table7[[#This Row],[No. of Testcases Created]]/Table7[[#This Row],[Effort for Testcase Creation]],"")*9,"")</f>
        <v/>
      </c>
      <c r="AK594" s="256" t="str">
        <f>IFERROR((Table7[[#This Row],[No. of Testcases Executed]]/Table7[[#This Row],[Effort for Testcase Execution]])*9,"")</f>
        <v/>
      </c>
      <c r="AL594"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4" s="259" t="str">
        <f>IFERROR(Table7[[#This Row],[No. of Defects Validated]]/SUMIFS(Table3[Hours Worked],Table3[Release Name],Table7[[#This Row],[Release Name]],Table3[Task Type],"Defect Validation")*9,"")</f>
        <v/>
      </c>
      <c r="AN594" s="258" t="str">
        <f>IFERROR((Table7[[#This Row],[No. of Valid  Internal Testing Defects]])/(Table7[[#This Row],[No. of Valid  Internal Testing Defects]]+Table7[[#This Row],[No. of Invalid Internal Testing Defects]]),"")</f>
        <v/>
      </c>
      <c r="AO594" s="258" t="str">
        <f>IFERROR(Table7[[#This Row],[No. of Valid External Testing Defects]]/(Table7[[#This Row],[No. of Valid External Testing Defects]]+Table7[[#This Row],[No. of Valid  Internal Testing Defects]]),"")</f>
        <v/>
      </c>
    </row>
    <row r="595" spans="2:41">
      <c r="B595" s="237"/>
      <c r="C595" s="14"/>
      <c r="D595" s="14"/>
      <c r="E595" s="14"/>
      <c r="F595" s="230" t="str">
        <f>IFERROR((Table47[[#This Row],[Initial No. of Requirements]]+Table47[[#This Row],[Modified Requirements( Added / Deleted /Modified)]])/Table47[[#This Row],[Initial No. of Requirements]],"")</f>
        <v/>
      </c>
      <c r="G595"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5" s="249"/>
      <c r="J595" s="249"/>
      <c r="K595" s="250"/>
      <c r="L595" s="250"/>
      <c r="M595" s="250"/>
      <c r="N595" s="248">
        <f>SUMIFS(Table1[Size],Table1[Release Name],[2]!Table7[Release Name])</f>
        <v>0</v>
      </c>
      <c r="O595" s="248"/>
      <c r="P595"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5" s="248"/>
      <c r="R595"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5" s="248"/>
      <c r="T595" s="248"/>
      <c r="U595" s="248"/>
      <c r="V595" s="248"/>
      <c r="W595" s="248"/>
      <c r="X595" s="248"/>
      <c r="Y595" s="248"/>
      <c r="Z595" s="248"/>
      <c r="AA595" s="248"/>
      <c r="AB595" s="13">
        <f>SUMIFS(Table3[Hours Worked],Table3[Release Name],Table7[[#This Row],[Release Name]],Table3[Task Type],"Testcase Creation")</f>
        <v>0</v>
      </c>
      <c r="AC595" s="255">
        <f>SUMIFS(Table3[Hours Worked],Table3[Release Name],Table7[[#This Row],[Release Name]],Table3[Task Type],"Testcase Execution")</f>
        <v>0</v>
      </c>
      <c r="AD595"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5" s="256" t="str">
        <f>IFERROR((Table7[[#This Row],[No. of Valid Internal Review Defects]]+Table7[[#This Row],[No. of Valid  Internal Testing Defects]]+Table7[[#This Row],[No. of  Valid External Review Defects]]+Table7[[#This Row],[No. of Valid External Testing Defects]])/Table7[[#This Row],[Size]],"")</f>
        <v/>
      </c>
      <c r="AF595" s="257" t="str">
        <f>IFERROR(Table7[[#This Row],[No. of Valid Internal Review Defects]]/(Table7[[#This Row],[No. of Valid Internal Review Defects]]+Table7[[#This Row],[No. of  Valid External Review Defects]]+Table7[[#This Row],[No. of Valid  Internal Testing Defects]]+Table7[[#This Row],[No. of Valid External Testing Defects]]),"")</f>
        <v/>
      </c>
      <c r="AG595" s="258" t="str">
        <f>IFERROR(Table7[[#This Row],[No. of Valid Internal Review Defects]]/(Table7[[#This Row],[No. of Valid Internal Review Defects]]+Table7[[#This Row],[No. of  Valid External Review Defects]]+Table7[[#This Row],[No. of Valid External Testing Defects]]),"")</f>
        <v/>
      </c>
      <c r="AH595" s="256" t="str">
        <f>IFERROR(Table7[[#This Row],[No. of Valid  Internal Testing Defects]]/Table7[[#This Row],[Overall Actual Effort for the release]],"")</f>
        <v/>
      </c>
      <c r="AI595" s="256" t="str">
        <f>IFERROR(Table7[[#This Row],[No. of Valid  Internal Testing Defects]]/Table7[[#This Row],[No. of Testcases Executed]],"")</f>
        <v/>
      </c>
      <c r="AJ595" s="259" t="str">
        <f>IFERROR(IFERROR(Table7[[#This Row],[No. of Testcases Created]]/Table7[[#This Row],[Effort for Testcase Creation]],"")*9,"")</f>
        <v/>
      </c>
      <c r="AK595" s="256" t="str">
        <f>IFERROR((Table7[[#This Row],[No. of Testcases Executed]]/Table7[[#This Row],[Effort for Testcase Execution]])*9,"")</f>
        <v/>
      </c>
      <c r="AL595"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5" s="259" t="str">
        <f>IFERROR(Table7[[#This Row],[No. of Defects Validated]]/SUMIFS(Table3[Hours Worked],Table3[Release Name],Table7[[#This Row],[Release Name]],Table3[Task Type],"Defect Validation")*9,"")</f>
        <v/>
      </c>
      <c r="AN595" s="258" t="str">
        <f>IFERROR((Table7[[#This Row],[No. of Valid  Internal Testing Defects]])/(Table7[[#This Row],[No. of Valid  Internal Testing Defects]]+Table7[[#This Row],[No. of Invalid Internal Testing Defects]]),"")</f>
        <v/>
      </c>
      <c r="AO595" s="258" t="str">
        <f>IFERROR(Table7[[#This Row],[No. of Valid External Testing Defects]]/(Table7[[#This Row],[No. of Valid External Testing Defects]]+Table7[[#This Row],[No. of Valid  Internal Testing Defects]]),"")</f>
        <v/>
      </c>
    </row>
    <row r="596" spans="2:41">
      <c r="B596" s="237"/>
      <c r="C596" s="14"/>
      <c r="D596" s="14"/>
      <c r="E596" s="14"/>
      <c r="F596" s="230" t="str">
        <f>IFERROR((Table47[[#This Row],[Initial No. of Requirements]]+Table47[[#This Row],[Modified Requirements( Added / Deleted /Modified)]])/Table47[[#This Row],[Initial No. of Requirements]],"")</f>
        <v/>
      </c>
      <c r="G596"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6" s="249"/>
      <c r="J596" s="249"/>
      <c r="K596" s="250"/>
      <c r="L596" s="250"/>
      <c r="M596" s="250"/>
      <c r="N596" s="248">
        <f>SUMIFS(Table1[Size],Table1[Release Name],[2]!Table7[Release Name])</f>
        <v>0</v>
      </c>
      <c r="O596" s="248"/>
      <c r="P596"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6" s="248"/>
      <c r="R596"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6" s="248"/>
      <c r="T596" s="248"/>
      <c r="U596" s="248"/>
      <c r="V596" s="248"/>
      <c r="W596" s="248"/>
      <c r="X596" s="248"/>
      <c r="Y596" s="248"/>
      <c r="Z596" s="248"/>
      <c r="AA596" s="248"/>
      <c r="AB596" s="13">
        <f>SUMIFS(Table3[Hours Worked],Table3[Release Name],Table7[[#This Row],[Release Name]],Table3[Task Type],"Testcase Creation")</f>
        <v>0</v>
      </c>
      <c r="AC596" s="255">
        <f>SUMIFS(Table3[Hours Worked],Table3[Release Name],Table7[[#This Row],[Release Name]],Table3[Task Type],"Testcase Execution")</f>
        <v>0</v>
      </c>
      <c r="AD596"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6" s="256" t="str">
        <f>IFERROR((Table7[[#This Row],[No. of Valid Internal Review Defects]]+Table7[[#This Row],[No. of Valid  Internal Testing Defects]]+Table7[[#This Row],[No. of  Valid External Review Defects]]+Table7[[#This Row],[No. of Valid External Testing Defects]])/Table7[[#This Row],[Size]],"")</f>
        <v/>
      </c>
      <c r="AF596" s="257" t="str">
        <f>IFERROR(Table7[[#This Row],[No. of Valid Internal Review Defects]]/(Table7[[#This Row],[No. of Valid Internal Review Defects]]+Table7[[#This Row],[No. of  Valid External Review Defects]]+Table7[[#This Row],[No. of Valid  Internal Testing Defects]]+Table7[[#This Row],[No. of Valid External Testing Defects]]),"")</f>
        <v/>
      </c>
      <c r="AG596" s="258" t="str">
        <f>IFERROR(Table7[[#This Row],[No. of Valid Internal Review Defects]]/(Table7[[#This Row],[No. of Valid Internal Review Defects]]+Table7[[#This Row],[No. of  Valid External Review Defects]]+Table7[[#This Row],[No. of Valid External Testing Defects]]),"")</f>
        <v/>
      </c>
      <c r="AH596" s="256" t="str">
        <f>IFERROR(Table7[[#This Row],[No. of Valid  Internal Testing Defects]]/Table7[[#This Row],[Overall Actual Effort for the release]],"")</f>
        <v/>
      </c>
      <c r="AI596" s="256" t="str">
        <f>IFERROR(Table7[[#This Row],[No. of Valid  Internal Testing Defects]]/Table7[[#This Row],[No. of Testcases Executed]],"")</f>
        <v/>
      </c>
      <c r="AJ596" s="259" t="str">
        <f>IFERROR(IFERROR(Table7[[#This Row],[No. of Testcases Created]]/Table7[[#This Row],[Effort for Testcase Creation]],"")*9,"")</f>
        <v/>
      </c>
      <c r="AK596" s="256" t="str">
        <f>IFERROR((Table7[[#This Row],[No. of Testcases Executed]]/Table7[[#This Row],[Effort for Testcase Execution]])*9,"")</f>
        <v/>
      </c>
      <c r="AL596"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6" s="259" t="str">
        <f>IFERROR(Table7[[#This Row],[No. of Defects Validated]]/SUMIFS(Table3[Hours Worked],Table3[Release Name],Table7[[#This Row],[Release Name]],Table3[Task Type],"Defect Validation")*9,"")</f>
        <v/>
      </c>
      <c r="AN596" s="258" t="str">
        <f>IFERROR((Table7[[#This Row],[No. of Valid  Internal Testing Defects]])/(Table7[[#This Row],[No. of Valid  Internal Testing Defects]]+Table7[[#This Row],[No. of Invalid Internal Testing Defects]]),"")</f>
        <v/>
      </c>
      <c r="AO596" s="258" t="str">
        <f>IFERROR(Table7[[#This Row],[No. of Valid External Testing Defects]]/(Table7[[#This Row],[No. of Valid External Testing Defects]]+Table7[[#This Row],[No. of Valid  Internal Testing Defects]]),"")</f>
        <v/>
      </c>
    </row>
    <row r="597" spans="2:41">
      <c r="B597" s="237"/>
      <c r="C597" s="14"/>
      <c r="D597" s="14"/>
      <c r="E597" s="14"/>
      <c r="F597" s="230" t="str">
        <f>IFERROR((Table47[[#This Row],[Initial No. of Requirements]]+Table47[[#This Row],[Modified Requirements( Added / Deleted /Modified)]])/Table47[[#This Row],[Initial No. of Requirements]],"")</f>
        <v/>
      </c>
      <c r="G597"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7" s="249"/>
      <c r="J597" s="249"/>
      <c r="K597" s="250"/>
      <c r="L597" s="250"/>
      <c r="M597" s="250"/>
      <c r="N597" s="248">
        <f>SUMIFS(Table1[Size],Table1[Release Name],[2]!Table7[Release Name])</f>
        <v>0</v>
      </c>
      <c r="O597" s="248"/>
      <c r="P597"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7" s="248"/>
      <c r="R597"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7" s="248"/>
      <c r="T597" s="248"/>
      <c r="U597" s="248"/>
      <c r="V597" s="248"/>
      <c r="W597" s="248"/>
      <c r="X597" s="248"/>
      <c r="Y597" s="248"/>
      <c r="Z597" s="248"/>
      <c r="AA597" s="248"/>
      <c r="AB597" s="13">
        <f>SUMIFS(Table3[Hours Worked],Table3[Release Name],Table7[[#This Row],[Release Name]],Table3[Task Type],"Testcase Creation")</f>
        <v>0</v>
      </c>
      <c r="AC597" s="255">
        <f>SUMIFS(Table3[Hours Worked],Table3[Release Name],Table7[[#This Row],[Release Name]],Table3[Task Type],"Testcase Execution")</f>
        <v>0</v>
      </c>
      <c r="AD597"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7" s="256" t="str">
        <f>IFERROR((Table7[[#This Row],[No. of Valid Internal Review Defects]]+Table7[[#This Row],[No. of Valid  Internal Testing Defects]]+Table7[[#This Row],[No. of  Valid External Review Defects]]+Table7[[#This Row],[No. of Valid External Testing Defects]])/Table7[[#This Row],[Size]],"")</f>
        <v/>
      </c>
      <c r="AF597" s="257" t="str">
        <f>IFERROR(Table7[[#This Row],[No. of Valid Internal Review Defects]]/(Table7[[#This Row],[No. of Valid Internal Review Defects]]+Table7[[#This Row],[No. of  Valid External Review Defects]]+Table7[[#This Row],[No. of Valid  Internal Testing Defects]]+Table7[[#This Row],[No. of Valid External Testing Defects]]),"")</f>
        <v/>
      </c>
      <c r="AG597" s="258" t="str">
        <f>IFERROR(Table7[[#This Row],[No. of Valid Internal Review Defects]]/(Table7[[#This Row],[No. of Valid Internal Review Defects]]+Table7[[#This Row],[No. of  Valid External Review Defects]]+Table7[[#This Row],[No. of Valid External Testing Defects]]),"")</f>
        <v/>
      </c>
      <c r="AH597" s="256" t="str">
        <f>IFERROR(Table7[[#This Row],[No. of Valid  Internal Testing Defects]]/Table7[[#This Row],[Overall Actual Effort for the release]],"")</f>
        <v/>
      </c>
      <c r="AI597" s="256" t="str">
        <f>IFERROR(Table7[[#This Row],[No. of Valid  Internal Testing Defects]]/Table7[[#This Row],[No. of Testcases Executed]],"")</f>
        <v/>
      </c>
      <c r="AJ597" s="259" t="str">
        <f>IFERROR(IFERROR(Table7[[#This Row],[No. of Testcases Created]]/Table7[[#This Row],[Effort for Testcase Creation]],"")*9,"")</f>
        <v/>
      </c>
      <c r="AK597" s="256" t="str">
        <f>IFERROR((Table7[[#This Row],[No. of Testcases Executed]]/Table7[[#This Row],[Effort for Testcase Execution]])*9,"")</f>
        <v/>
      </c>
      <c r="AL597"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7" s="259" t="str">
        <f>IFERROR(Table7[[#This Row],[No. of Defects Validated]]/SUMIFS(Table3[Hours Worked],Table3[Release Name],Table7[[#This Row],[Release Name]],Table3[Task Type],"Defect Validation")*9,"")</f>
        <v/>
      </c>
      <c r="AN597" s="258" t="str">
        <f>IFERROR((Table7[[#This Row],[No. of Valid  Internal Testing Defects]])/(Table7[[#This Row],[No. of Valid  Internal Testing Defects]]+Table7[[#This Row],[No. of Invalid Internal Testing Defects]]),"")</f>
        <v/>
      </c>
      <c r="AO597" s="258" t="str">
        <f>IFERROR(Table7[[#This Row],[No. of Valid External Testing Defects]]/(Table7[[#This Row],[No. of Valid External Testing Defects]]+Table7[[#This Row],[No. of Valid  Internal Testing Defects]]),"")</f>
        <v/>
      </c>
    </row>
    <row r="598" spans="2:41">
      <c r="B598" s="237"/>
      <c r="C598" s="14"/>
      <c r="D598" s="14"/>
      <c r="E598" s="14"/>
      <c r="F598" s="230" t="str">
        <f>IFERROR((Table47[[#This Row],[Initial No. of Requirements]]+Table47[[#This Row],[Modified Requirements( Added / Deleted /Modified)]])/Table47[[#This Row],[Initial No. of Requirements]],"")</f>
        <v/>
      </c>
      <c r="G598"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8" s="249"/>
      <c r="J598" s="249"/>
      <c r="K598" s="250"/>
      <c r="L598" s="250"/>
      <c r="M598" s="250"/>
      <c r="N598" s="248">
        <f>SUMIFS(Table1[Size],Table1[Release Name],[2]!Table7[Release Name])</f>
        <v>0</v>
      </c>
      <c r="O598" s="248"/>
      <c r="P598"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8" s="248"/>
      <c r="R598"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8" s="248"/>
      <c r="T598" s="248"/>
      <c r="U598" s="248"/>
      <c r="V598" s="248"/>
      <c r="W598" s="248"/>
      <c r="X598" s="248"/>
      <c r="Y598" s="248"/>
      <c r="Z598" s="248"/>
      <c r="AA598" s="248"/>
      <c r="AB598" s="13">
        <f>SUMIFS(Table3[Hours Worked],Table3[Release Name],Table7[[#This Row],[Release Name]],Table3[Task Type],"Testcase Creation")</f>
        <v>0</v>
      </c>
      <c r="AC598" s="255">
        <f>SUMIFS(Table3[Hours Worked],Table3[Release Name],Table7[[#This Row],[Release Name]],Table3[Task Type],"Testcase Execution")</f>
        <v>0</v>
      </c>
      <c r="AD598"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8" s="256" t="str">
        <f>IFERROR((Table7[[#This Row],[No. of Valid Internal Review Defects]]+Table7[[#This Row],[No. of Valid  Internal Testing Defects]]+Table7[[#This Row],[No. of  Valid External Review Defects]]+Table7[[#This Row],[No. of Valid External Testing Defects]])/Table7[[#This Row],[Size]],"")</f>
        <v/>
      </c>
      <c r="AF598" s="257" t="str">
        <f>IFERROR(Table7[[#This Row],[No. of Valid Internal Review Defects]]/(Table7[[#This Row],[No. of Valid Internal Review Defects]]+Table7[[#This Row],[No. of  Valid External Review Defects]]+Table7[[#This Row],[No. of Valid  Internal Testing Defects]]+Table7[[#This Row],[No. of Valid External Testing Defects]]),"")</f>
        <v/>
      </c>
      <c r="AG598" s="258" t="str">
        <f>IFERROR(Table7[[#This Row],[No. of Valid Internal Review Defects]]/(Table7[[#This Row],[No. of Valid Internal Review Defects]]+Table7[[#This Row],[No. of  Valid External Review Defects]]+Table7[[#This Row],[No. of Valid External Testing Defects]]),"")</f>
        <v/>
      </c>
      <c r="AH598" s="256" t="str">
        <f>IFERROR(Table7[[#This Row],[No. of Valid  Internal Testing Defects]]/Table7[[#This Row],[Overall Actual Effort for the release]],"")</f>
        <v/>
      </c>
      <c r="AI598" s="256" t="str">
        <f>IFERROR(Table7[[#This Row],[No. of Valid  Internal Testing Defects]]/Table7[[#This Row],[No. of Testcases Executed]],"")</f>
        <v/>
      </c>
      <c r="AJ598" s="259" t="str">
        <f>IFERROR(IFERROR(Table7[[#This Row],[No. of Testcases Created]]/Table7[[#This Row],[Effort for Testcase Creation]],"")*9,"")</f>
        <v/>
      </c>
      <c r="AK598" s="256" t="str">
        <f>IFERROR((Table7[[#This Row],[No. of Testcases Executed]]/Table7[[#This Row],[Effort for Testcase Execution]])*9,"")</f>
        <v/>
      </c>
      <c r="AL598"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8" s="259" t="str">
        <f>IFERROR(Table7[[#This Row],[No. of Defects Validated]]/SUMIFS(Table3[Hours Worked],Table3[Release Name],Table7[[#This Row],[Release Name]],Table3[Task Type],"Defect Validation")*9,"")</f>
        <v/>
      </c>
      <c r="AN598" s="258" t="str">
        <f>IFERROR((Table7[[#This Row],[No. of Valid  Internal Testing Defects]])/(Table7[[#This Row],[No. of Valid  Internal Testing Defects]]+Table7[[#This Row],[No. of Invalid Internal Testing Defects]]),"")</f>
        <v/>
      </c>
      <c r="AO598" s="258" t="str">
        <f>IFERROR(Table7[[#This Row],[No. of Valid External Testing Defects]]/(Table7[[#This Row],[No. of Valid External Testing Defects]]+Table7[[#This Row],[No. of Valid  Internal Testing Defects]]),"")</f>
        <v/>
      </c>
    </row>
    <row r="599" spans="2:41">
      <c r="B599" s="237"/>
      <c r="C599" s="14"/>
      <c r="D599" s="14"/>
      <c r="E599" s="14"/>
      <c r="F599" s="230" t="str">
        <f>IFERROR((Table47[[#This Row],[Initial No. of Requirements]]+Table47[[#This Row],[Modified Requirements( Added / Deleted /Modified)]])/Table47[[#This Row],[Initial No. of Requirements]],"")</f>
        <v/>
      </c>
      <c r="G599"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599" s="249"/>
      <c r="J599" s="249"/>
      <c r="K599" s="250"/>
      <c r="L599" s="250"/>
      <c r="M599" s="250"/>
      <c r="N599" s="248">
        <f>SUMIFS(Table1[Size],Table1[Release Name],[2]!Table7[Release Name])</f>
        <v>0</v>
      </c>
      <c r="O599" s="248"/>
      <c r="P599"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599" s="248"/>
      <c r="R599"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599" s="248"/>
      <c r="T599" s="248"/>
      <c r="U599" s="248"/>
      <c r="V599" s="248"/>
      <c r="W599" s="248"/>
      <c r="X599" s="248"/>
      <c r="Y599" s="248"/>
      <c r="Z599" s="248"/>
      <c r="AA599" s="248"/>
      <c r="AB599" s="13">
        <f>SUMIFS(Table3[Hours Worked],Table3[Release Name],Table7[[#This Row],[Release Name]],Table3[Task Type],"Testcase Creation")</f>
        <v>0</v>
      </c>
      <c r="AC599" s="255">
        <f>SUMIFS(Table3[Hours Worked],Table3[Release Name],Table7[[#This Row],[Release Name]],Table3[Task Type],"Testcase Execution")</f>
        <v>0</v>
      </c>
      <c r="AD599" s="256" t="str">
        <f>IFERROR((Table7[[#This Row],[No. of Valid Internal Review Defects]]+Table7[[#This Row],[No. of Valid  Internal Testing Defects]]+Table7[[#This Row],[No. of  Valid External Review Defects]]+Table7[[#This Row],[No. of Valid External Testing Defects]])/Table7[[#This Row],[Overall Actual Effort for the release]],"")</f>
        <v/>
      </c>
      <c r="AE599" s="256" t="str">
        <f>IFERROR((Table7[[#This Row],[No. of Valid Internal Review Defects]]+Table7[[#This Row],[No. of Valid  Internal Testing Defects]]+Table7[[#This Row],[No. of  Valid External Review Defects]]+Table7[[#This Row],[No. of Valid External Testing Defects]])/Table7[[#This Row],[Size]],"")</f>
        <v/>
      </c>
      <c r="AF599" s="257" t="str">
        <f>IFERROR(Table7[[#This Row],[No. of Valid Internal Review Defects]]/(Table7[[#This Row],[No. of Valid Internal Review Defects]]+Table7[[#This Row],[No. of  Valid External Review Defects]]+Table7[[#This Row],[No. of Valid  Internal Testing Defects]]+Table7[[#This Row],[No. of Valid External Testing Defects]]),"")</f>
        <v/>
      </c>
      <c r="AG599" s="258" t="str">
        <f>IFERROR(Table7[[#This Row],[No. of Valid Internal Review Defects]]/(Table7[[#This Row],[No. of Valid Internal Review Defects]]+Table7[[#This Row],[No. of  Valid External Review Defects]]+Table7[[#This Row],[No. of Valid External Testing Defects]]),"")</f>
        <v/>
      </c>
      <c r="AH599" s="256" t="str">
        <f>IFERROR(Table7[[#This Row],[No. of Valid  Internal Testing Defects]]/Table7[[#This Row],[Overall Actual Effort for the release]],"")</f>
        <v/>
      </c>
      <c r="AI599" s="256" t="str">
        <f>IFERROR(Table7[[#This Row],[No. of Valid  Internal Testing Defects]]/Table7[[#This Row],[No. of Testcases Executed]],"")</f>
        <v/>
      </c>
      <c r="AJ599" s="259" t="str">
        <f>IFERROR(IFERROR(Table7[[#This Row],[No. of Testcases Created]]/Table7[[#This Row],[Effort for Testcase Creation]],"")*9,"")</f>
        <v/>
      </c>
      <c r="AK599" s="256" t="str">
        <f>IFERROR((Table7[[#This Row],[No. of Testcases Executed]]/Table7[[#This Row],[Effort for Testcase Execution]])*9,"")</f>
        <v/>
      </c>
      <c r="AL599"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599" s="259" t="str">
        <f>IFERROR(Table7[[#This Row],[No. of Defects Validated]]/SUMIFS(Table3[Hours Worked],Table3[Release Name],Table7[[#This Row],[Release Name]],Table3[Task Type],"Defect Validation")*9,"")</f>
        <v/>
      </c>
      <c r="AN599" s="258" t="str">
        <f>IFERROR((Table7[[#This Row],[No. of Valid  Internal Testing Defects]])/(Table7[[#This Row],[No. of Valid  Internal Testing Defects]]+Table7[[#This Row],[No. of Invalid Internal Testing Defects]]),"")</f>
        <v/>
      </c>
      <c r="AO599" s="258" t="str">
        <f>IFERROR(Table7[[#This Row],[No. of Valid External Testing Defects]]/(Table7[[#This Row],[No. of Valid External Testing Defects]]+Table7[[#This Row],[No. of Valid  Internal Testing Defects]]),"")</f>
        <v/>
      </c>
    </row>
    <row r="600" spans="2:41">
      <c r="B600" s="237"/>
      <c r="C600" s="14"/>
      <c r="D600" s="14"/>
      <c r="E600" s="14"/>
      <c r="F600" s="230" t="str">
        <f>IFERROR((Table47[[#This Row],[Initial No. of Requirements]]+Table47[[#This Row],[Modified Requirements( Added / Deleted /Modified)]])/Table47[[#This Row],[Initial No. of Requirements]],"")</f>
        <v/>
      </c>
      <c r="G600"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00" s="249"/>
      <c r="J600" s="249"/>
      <c r="K600" s="250"/>
      <c r="L600" s="250"/>
      <c r="M600" s="250"/>
      <c r="N600" s="248">
        <f>SUMIFS(Table1[Size],Table1[Release Name],[2]!Table7[Release Name])</f>
        <v>0</v>
      </c>
      <c r="O600" s="248"/>
      <c r="P600"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600" s="248"/>
      <c r="R600"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600" s="248"/>
      <c r="T600" s="248"/>
      <c r="U600" s="248"/>
      <c r="V600" s="248"/>
      <c r="W600" s="248"/>
      <c r="X600" s="248"/>
      <c r="Y600" s="248"/>
      <c r="Z600" s="248"/>
      <c r="AA600" s="248"/>
      <c r="AB600" s="13">
        <f>SUMIFS(Table3[Hours Worked],Table3[Release Name],Table7[[#This Row],[Release Name]],Table3[Task Type],"Testcase Creation")</f>
        <v>0</v>
      </c>
      <c r="AC600" s="255">
        <f>SUMIFS(Table3[Hours Worked],Table3[Release Name],Table7[[#This Row],[Release Name]],Table3[Task Type],"Testcase Execution")</f>
        <v>0</v>
      </c>
      <c r="AD600"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00" s="256" t="str">
        <f>IFERROR((Table7[[#This Row],[No. of Valid Internal Review Defects]]+Table7[[#This Row],[No. of Valid  Internal Testing Defects]]+Table7[[#This Row],[No. of  Valid External Review Defects]]+Table7[[#This Row],[No. of Valid External Testing Defects]])/Table7[[#This Row],[Size]],"")</f>
        <v/>
      </c>
      <c r="AF600" s="257" t="str">
        <f>IFERROR(Table7[[#This Row],[No. of Valid Internal Review Defects]]/(Table7[[#This Row],[No. of Valid Internal Review Defects]]+Table7[[#This Row],[No. of  Valid External Review Defects]]+Table7[[#This Row],[No. of Valid  Internal Testing Defects]]+Table7[[#This Row],[No. of Valid External Testing Defects]]),"")</f>
        <v/>
      </c>
      <c r="AG600" s="258" t="str">
        <f>IFERROR(Table7[[#This Row],[No. of Valid Internal Review Defects]]/(Table7[[#This Row],[No. of Valid Internal Review Defects]]+Table7[[#This Row],[No. of  Valid External Review Defects]]+Table7[[#This Row],[No. of Valid External Testing Defects]]),"")</f>
        <v/>
      </c>
      <c r="AH600" s="256" t="str">
        <f>IFERROR(Table7[[#This Row],[No. of Valid  Internal Testing Defects]]/Table7[[#This Row],[Overall Actual Effort for the release]],"")</f>
        <v/>
      </c>
      <c r="AI600" s="256" t="str">
        <f>IFERROR(Table7[[#This Row],[No. of Valid  Internal Testing Defects]]/Table7[[#This Row],[No. of Testcases Executed]],"")</f>
        <v/>
      </c>
      <c r="AJ600" s="259" t="str">
        <f>IFERROR(IFERROR(Table7[[#This Row],[No. of Testcases Created]]/Table7[[#This Row],[Effort for Testcase Creation]],"")*9,"")</f>
        <v/>
      </c>
      <c r="AK600" s="256" t="str">
        <f>IFERROR((Table7[[#This Row],[No. of Testcases Executed]]/Table7[[#This Row],[Effort for Testcase Execution]])*9,"")</f>
        <v/>
      </c>
      <c r="AL600"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00" s="259" t="str">
        <f>IFERROR(Table7[[#This Row],[No. of Defects Validated]]/SUMIFS(Table3[Hours Worked],Table3[Release Name],Table7[[#This Row],[Release Name]],Table3[Task Type],"Defect Validation")*9,"")</f>
        <v/>
      </c>
      <c r="AN600" s="258" t="str">
        <f>IFERROR((Table7[[#This Row],[No. of Valid  Internal Testing Defects]])/(Table7[[#This Row],[No. of Valid  Internal Testing Defects]]+Table7[[#This Row],[No. of Invalid Internal Testing Defects]]),"")</f>
        <v/>
      </c>
      <c r="AO600" s="258" t="str">
        <f>IFERROR(Table7[[#This Row],[No. of Valid External Testing Defects]]/(Table7[[#This Row],[No. of Valid External Testing Defects]]+Table7[[#This Row],[No. of Valid  Internal Testing Defects]]),"")</f>
        <v/>
      </c>
    </row>
    <row r="601" spans="2:41">
      <c r="B601" s="237"/>
      <c r="C601" s="14"/>
      <c r="D601" s="14"/>
      <c r="E601" s="14"/>
      <c r="F601" s="230" t="str">
        <f>IFERROR((Table47[[#This Row],[Initial No. of Requirements]]+Table47[[#This Row],[Modified Requirements( Added / Deleted /Modified)]])/Table47[[#This Row],[Initial No. of Requirements]],"")</f>
        <v/>
      </c>
      <c r="G601"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01" s="249"/>
      <c r="J601" s="249"/>
      <c r="K601" s="250"/>
      <c r="L601" s="250"/>
      <c r="M601" s="250"/>
      <c r="N601" s="248">
        <f>SUMIFS(Table1[Size],Table1[Release Name],[2]!Table7[Release Name])</f>
        <v>0</v>
      </c>
      <c r="O601" s="248"/>
      <c r="P601"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601" s="248"/>
      <c r="R601"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601" s="248"/>
      <c r="T601" s="248"/>
      <c r="U601" s="248"/>
      <c r="V601" s="248"/>
      <c r="W601" s="248"/>
      <c r="X601" s="248"/>
      <c r="Y601" s="248"/>
      <c r="Z601" s="248"/>
      <c r="AA601" s="248"/>
      <c r="AB601" s="13">
        <f>SUMIFS(Table3[Hours Worked],Table3[Release Name],Table7[[#This Row],[Release Name]],Table3[Task Type],"Testcase Creation")</f>
        <v>0</v>
      </c>
      <c r="AC601" s="255">
        <f>SUMIFS(Table3[Hours Worked],Table3[Release Name],Table7[[#This Row],[Release Name]],Table3[Task Type],"Testcase Execution")</f>
        <v>0</v>
      </c>
      <c r="AD601"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01" s="256" t="str">
        <f>IFERROR((Table7[[#This Row],[No. of Valid Internal Review Defects]]+Table7[[#This Row],[No. of Valid  Internal Testing Defects]]+Table7[[#This Row],[No. of  Valid External Review Defects]]+Table7[[#This Row],[No. of Valid External Testing Defects]])/Table7[[#This Row],[Size]],"")</f>
        <v/>
      </c>
      <c r="AF601" s="257" t="str">
        <f>IFERROR(Table7[[#This Row],[No. of Valid Internal Review Defects]]/(Table7[[#This Row],[No. of Valid Internal Review Defects]]+Table7[[#This Row],[No. of  Valid External Review Defects]]+Table7[[#This Row],[No. of Valid  Internal Testing Defects]]+Table7[[#This Row],[No. of Valid External Testing Defects]]),"")</f>
        <v/>
      </c>
      <c r="AG601" s="258" t="str">
        <f>IFERROR(Table7[[#This Row],[No. of Valid Internal Review Defects]]/(Table7[[#This Row],[No. of Valid Internal Review Defects]]+Table7[[#This Row],[No. of  Valid External Review Defects]]+Table7[[#This Row],[No. of Valid External Testing Defects]]),"")</f>
        <v/>
      </c>
      <c r="AH601" s="256" t="str">
        <f>IFERROR(Table7[[#This Row],[No. of Valid  Internal Testing Defects]]/Table7[[#This Row],[Overall Actual Effort for the release]],"")</f>
        <v/>
      </c>
      <c r="AI601" s="256" t="str">
        <f>IFERROR(Table7[[#This Row],[No. of Valid  Internal Testing Defects]]/Table7[[#This Row],[No. of Testcases Executed]],"")</f>
        <v/>
      </c>
      <c r="AJ601" s="259" t="str">
        <f>IFERROR(IFERROR(Table7[[#This Row],[No. of Testcases Created]]/Table7[[#This Row],[Effort for Testcase Creation]],"")*9,"")</f>
        <v/>
      </c>
      <c r="AK601" s="256" t="str">
        <f>IFERROR((Table7[[#This Row],[No. of Testcases Executed]]/Table7[[#This Row],[Effort for Testcase Execution]])*9,"")</f>
        <v/>
      </c>
      <c r="AL601"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01" s="259" t="str">
        <f>IFERROR(Table7[[#This Row],[No. of Defects Validated]]/SUMIFS(Table3[Hours Worked],Table3[Release Name],Table7[[#This Row],[Release Name]],Table3[Task Type],"Defect Validation")*9,"")</f>
        <v/>
      </c>
      <c r="AN601" s="258" t="str">
        <f>IFERROR((Table7[[#This Row],[No. of Valid  Internal Testing Defects]])/(Table7[[#This Row],[No. of Valid  Internal Testing Defects]]+Table7[[#This Row],[No. of Invalid Internal Testing Defects]]),"")</f>
        <v/>
      </c>
      <c r="AO601" s="258" t="str">
        <f>IFERROR(Table7[[#This Row],[No. of Valid External Testing Defects]]/(Table7[[#This Row],[No. of Valid External Testing Defects]]+Table7[[#This Row],[No. of Valid  Internal Testing Defects]]),"")</f>
        <v/>
      </c>
    </row>
    <row r="602" spans="2:41">
      <c r="B602" s="237"/>
      <c r="C602" s="14"/>
      <c r="D602" s="14"/>
      <c r="E602" s="14"/>
      <c r="F602" s="230" t="str">
        <f>IFERROR((Table47[[#This Row],[Initial No. of Requirements]]+Table47[[#This Row],[Modified Requirements( Added / Deleted /Modified)]])/Table47[[#This Row],[Initial No. of Requirements]],"")</f>
        <v/>
      </c>
      <c r="G602"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02" s="249"/>
      <c r="J602" s="249"/>
      <c r="K602" s="250"/>
      <c r="L602" s="250"/>
      <c r="M602" s="250"/>
      <c r="N602" s="248">
        <f>SUMIFS(Table1[Size],Table1[Release Name],[2]!Table7[Release Name])</f>
        <v>0</v>
      </c>
      <c r="O602" s="248"/>
      <c r="P602" s="248">
        <f>COUNTIFS(Table2[Defect Classification],"Internal",Table2[Defect Type],"Review",Table2[Defect Status],"Rejected",Table2[Release Name],Table7[[#This Row],[Release Name]])+COUNTIFS(Table2[Defect Classification],"Internal",Table2[Defect Type],"Review",Table2[Defect Status],"Duplicate",Table2[Release Name],Table7[[#This Row],[Release Name]])</f>
        <v>0</v>
      </c>
      <c r="Q602" s="248"/>
      <c r="R602" s="248">
        <f>COUNTIFS(Table2[Defect Classification],"External",Table2[Defect Type],"Review",Table2[Defect Status],"Rejected",Table2[Release Name],Table7[[#This Row],[Release Name]])+COUNTIFS(Table2[Defect Classification],"External",Table2[Defect Type],"Review",Table2[Defect Status],"Duplicate",Table2[Release Name],Table7[[#This Row],[Release Name]])</f>
        <v>0</v>
      </c>
      <c r="S602" s="248"/>
      <c r="T602" s="248"/>
      <c r="U602" s="248"/>
      <c r="V602" s="248"/>
      <c r="W602" s="248"/>
      <c r="X602" s="248"/>
      <c r="Y602" s="248"/>
      <c r="Z602" s="248"/>
      <c r="AA602" s="248"/>
      <c r="AB602" s="13">
        <f>SUMIFS(Table3[Hours Worked],Table3[Release Name],Table7[[#This Row],[Release Name]],Table3[Task Type],"Testcase Creation")</f>
        <v>0</v>
      </c>
      <c r="AC602" s="255">
        <f>SUMIFS(Table3[Hours Worked],Table3[Release Name],Table7[[#This Row],[Release Name]],Table3[Task Type],"Testcase Execution")</f>
        <v>0</v>
      </c>
      <c r="AD602" s="256" t="str">
        <f>IFERROR((Table7[[#This Row],[No. of Valid Internal Review Defects]]+Table7[[#This Row],[No. of Valid  Internal Testing Defects]]+Table7[[#This Row],[No. of  Valid External Review Defects]]+Table7[[#This Row],[No. of Valid External Testing Defects]])/Table7[[#This Row],[Overall Actual Effort for the release]],"")</f>
        <v/>
      </c>
      <c r="AE602" s="256" t="str">
        <f>IFERROR((Table7[[#This Row],[No. of Valid Internal Review Defects]]+Table7[[#This Row],[No. of Valid  Internal Testing Defects]]+Table7[[#This Row],[No. of  Valid External Review Defects]]+Table7[[#This Row],[No. of Valid External Testing Defects]])/Table7[[#This Row],[Size]],"")</f>
        <v/>
      </c>
      <c r="AF602" s="257" t="str">
        <f>IFERROR(Table7[[#This Row],[No. of Valid Internal Review Defects]]/(Table7[[#This Row],[No. of Valid Internal Review Defects]]+Table7[[#This Row],[No. of  Valid External Review Defects]]+Table7[[#This Row],[No. of Valid  Internal Testing Defects]]+Table7[[#This Row],[No. of Valid External Testing Defects]]),"")</f>
        <v/>
      </c>
      <c r="AG602" s="258" t="str">
        <f>IFERROR(Table7[[#This Row],[No. of Valid Internal Review Defects]]/(Table7[[#This Row],[No. of Valid Internal Review Defects]]+Table7[[#This Row],[No. of  Valid External Review Defects]]+Table7[[#This Row],[No. of Valid External Testing Defects]]),"")</f>
        <v/>
      </c>
      <c r="AH602" s="256" t="str">
        <f>IFERROR(Table7[[#This Row],[No. of Valid  Internal Testing Defects]]/Table7[[#This Row],[Overall Actual Effort for the release]],"")</f>
        <v/>
      </c>
      <c r="AI602" s="256" t="str">
        <f>IFERROR(Table7[[#This Row],[No. of Valid  Internal Testing Defects]]/Table7[[#This Row],[No. of Testcases Executed]],"")</f>
        <v/>
      </c>
      <c r="AJ602" s="259" t="str">
        <f>IFERROR(IFERROR(Table7[[#This Row],[No. of Testcases Created]]/Table7[[#This Row],[Effort for Testcase Creation]],"")*9,"")</f>
        <v/>
      </c>
      <c r="AK602" s="256" t="str">
        <f>IFERROR((Table7[[#This Row],[No. of Testcases Executed]]/Table7[[#This Row],[Effort for Testcase Execution]])*9,"")</f>
        <v/>
      </c>
      <c r="AL602" s="259" t="str">
        <f>IFERROR(IF((Table7[[#This Row],[No. of Valid Critical defects]]*10+Table7[[#This Row],[No. of Valid Blocker defects]]*8+Table7[[#This Row],[No. of  Valid Major defects]]*5+Table7[[#This Row],[No. of Valid Minor defects]]*3+Table7[[#This Row],[No. of Valid Trivial defects]]*1)=0,"",(Table7[[#This Row],[No. of Valid Critical defects]]*10+Table7[[#This Row],[No. of Valid Blocker defects]]*8+Table7[[#This Row],[No. of  Valid Major defects]]*5+Table7[[#This Row],[No. of Valid Minor defects]]*3+Table7[[#This Row],[No. of Valid Trivial defects]]*1)),"")</f>
        <v/>
      </c>
      <c r="AM602" s="259" t="str">
        <f>IFERROR(Table7[[#This Row],[No. of Defects Validated]]/SUMIFS(Table3[Hours Worked],Table3[Release Name],Table7[[#This Row],[Release Name]],Table3[Task Type],"Defect Validation")*9,"")</f>
        <v/>
      </c>
      <c r="AN602" s="258" t="str">
        <f>IFERROR((Table7[[#This Row],[No. of Valid  Internal Testing Defects]])/(Table7[[#This Row],[No. of Valid  Internal Testing Defects]]+Table7[[#This Row],[No. of Invalid Internal Testing Defects]]),"")</f>
        <v/>
      </c>
      <c r="AO602" s="258" t="str">
        <f>IFERROR(Table7[[#This Row],[No. of Valid External Testing Defects]]/(Table7[[#This Row],[No. of Valid External Testing Defects]]+Table7[[#This Row],[No. of Valid  Internal Testing Defects]]),"")</f>
        <v/>
      </c>
    </row>
    <row r="603" spans="2:41">
      <c r="B603" s="237"/>
      <c r="C603" s="14"/>
      <c r="D603" s="14"/>
      <c r="E603" s="14"/>
      <c r="F603" s="230" t="str">
        <f>IFERROR((Table47[[#This Row],[Initial No. of Requirements]]+Table47[[#This Row],[Modified Requirements( Added / Deleted /Modified)]])/Table47[[#This Row],[Initial No. of Requirements]],"")</f>
        <v/>
      </c>
      <c r="G603" s="236" t="str">
        <f>IF(SUMIFS(Table1[Size],Table1[Release Name],Table47[[#This Row],[Release Name]],Table1[Maintenance Type],Table47[[#This Row],[Maintenance Type]])&gt;0,SUMIFS(Table1[Size],Table1[Release Name],Table47[[#This Row],[Release Name]],Table1[Maintenance Type],Table47[[#This Row],[Maintenance Type]])/SUMIFS(Table1[Actual Effort (Hours)],Table1[Release Name],Table47[[#This Row],[Release Name]],Table1[Maintenance Type],Table47[[#This Row],[Maintenance Type]]),"")</f>
        <v/>
      </c>
      <c r="I603" s="260"/>
      <c r="J603" s="261"/>
      <c r="K603" s="262"/>
    </row>
    <row r="604" spans="2:41">
      <c r="I604" s="263"/>
      <c r="J604" s="264"/>
      <c r="K604" s="265"/>
    </row>
    <row r="605" spans="2:41">
      <c r="I605" s="263"/>
      <c r="J605" s="264"/>
      <c r="K605" s="265"/>
    </row>
    <row r="606" spans="2:41">
      <c r="I606" s="263"/>
      <c r="J606" s="264"/>
      <c r="K606" s="265"/>
    </row>
    <row r="607" spans="2:41">
      <c r="I607" s="263"/>
      <c r="J607" s="264"/>
      <c r="K607" s="265"/>
    </row>
    <row r="608" spans="2:41">
      <c r="I608" s="263"/>
      <c r="J608" s="264"/>
      <c r="K608" s="265"/>
    </row>
    <row r="609" spans="9:11">
      <c r="I609" s="263"/>
      <c r="J609" s="264"/>
      <c r="K609" s="265"/>
    </row>
    <row r="610" spans="9:11">
      <c r="I610" s="263"/>
      <c r="J610" s="264"/>
      <c r="K610" s="265"/>
    </row>
    <row r="611" spans="9:11">
      <c r="I611" s="263"/>
      <c r="J611" s="264"/>
      <c r="K611" s="265"/>
    </row>
    <row r="612" spans="9:11">
      <c r="I612" s="263"/>
      <c r="J612" s="264"/>
      <c r="K612" s="265"/>
    </row>
    <row r="613" spans="9:11">
      <c r="I613" s="263"/>
      <c r="J613" s="264"/>
      <c r="K613" s="265"/>
    </row>
    <row r="614" spans="9:11">
      <c r="I614" s="263"/>
      <c r="J614" s="264"/>
      <c r="K614" s="265"/>
    </row>
    <row r="615" spans="9:11">
      <c r="I615" s="263"/>
      <c r="J615" s="264"/>
      <c r="K615" s="265"/>
    </row>
    <row r="616" spans="9:11">
      <c r="I616" s="263"/>
      <c r="J616" s="264"/>
      <c r="K616" s="265"/>
    </row>
    <row r="617" spans="9:11">
      <c r="I617" s="263"/>
      <c r="J617" s="264"/>
      <c r="K617" s="265"/>
    </row>
    <row r="618" spans="9:11">
      <c r="I618" s="263"/>
      <c r="J618" s="264"/>
      <c r="K618" s="265"/>
    </row>
    <row r="619" spans="9:11">
      <c r="I619" s="263"/>
      <c r="J619" s="264"/>
      <c r="K619" s="265"/>
    </row>
    <row r="620" spans="9:11">
      <c r="I620" s="266"/>
      <c r="J620" s="267"/>
      <c r="K620" s="268"/>
    </row>
  </sheetData>
  <sheetProtection password="E15D" sheet="1" scenarios="1" formatCells="0" pivotTables="0"/>
  <mergeCells count="24">
    <mergeCell ref="I22:Q23"/>
    <mergeCell ref="B22:G23"/>
    <mergeCell ref="B11:C11"/>
    <mergeCell ref="M20:R20"/>
    <mergeCell ref="D7:D8"/>
    <mergeCell ref="E7:E8"/>
    <mergeCell ref="F7:F8"/>
    <mergeCell ref="G7:G8"/>
    <mergeCell ref="K14:K19"/>
    <mergeCell ref="M8:M13"/>
    <mergeCell ref="N8:N13"/>
    <mergeCell ref="O8:O13"/>
    <mergeCell ref="P8:P13"/>
    <mergeCell ref="Q8:Q13"/>
    <mergeCell ref="R8:R13"/>
    <mergeCell ref="K7:L13"/>
    <mergeCell ref="B2:C2"/>
    <mergeCell ref="M7:R7"/>
    <mergeCell ref="S7:U7"/>
    <mergeCell ref="B9:C9"/>
    <mergeCell ref="B10:C10"/>
    <mergeCell ref="S8:S13"/>
    <mergeCell ref="T8:T13"/>
    <mergeCell ref="U8:U13"/>
  </mergeCells>
  <dataValidations count="1">
    <dataValidation type="list" allowBlank="1" showInputMessage="1" showErrorMessage="1" sqref="C25:C603" xr:uid="{00000000-0002-0000-0700-000000000000}">
      <formula1>"L1,L2,L3,L4,L5"</formula1>
    </dataValidation>
  </dataValidations>
  <pageMargins left="0.7" right="0.7" top="0.75" bottom="0.75" header="0.3" footer="0.3"/>
  <pageSetup orientation="portrait"/>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B1928"/>
  <sheetViews>
    <sheetView showGridLines="0" topLeftCell="A13" workbookViewId="0">
      <selection activeCell="J24" sqref="J24"/>
    </sheetView>
  </sheetViews>
  <sheetFormatPr defaultColWidth="9" defaultRowHeight="14.45"/>
  <cols>
    <col min="1" max="1" width="4" style="149" customWidth="1"/>
    <col min="2" max="2" width="10.25" style="150" customWidth="1"/>
    <col min="3" max="3" width="12.625" style="151" customWidth="1"/>
    <col min="4" max="4" width="11.375" style="151" customWidth="1"/>
    <col min="5" max="5" width="11.875" style="151" customWidth="1"/>
    <col min="6" max="6" width="52.25" style="150" customWidth="1"/>
    <col min="8" max="8" width="10.75" style="150" customWidth="1"/>
    <col min="9" max="9" width="17.75" style="150" customWidth="1"/>
    <col min="10" max="10" width="16.75" style="152" customWidth="1"/>
    <col min="11" max="11" width="10" style="150" customWidth="1"/>
    <col min="12" max="12" width="9.75" style="150" customWidth="1"/>
    <col min="13" max="13" width="12.375" style="153" customWidth="1"/>
    <col min="14" max="14" width="10.375" style="154" hidden="1" customWidth="1"/>
    <col min="15" max="15" width="12.25" style="154" hidden="1" customWidth="1"/>
    <col min="16" max="16" width="4.25" style="154" hidden="1" customWidth="1"/>
    <col min="17" max="17" width="7.125" style="155" hidden="1" customWidth="1"/>
    <col min="18" max="19" width="9" style="149" customWidth="1"/>
    <col min="22" max="22" width="10.375" style="154" customWidth="1"/>
    <col min="23" max="23" width="9.125" style="149" customWidth="1"/>
    <col min="24" max="24" width="9.75" style="149" customWidth="1"/>
    <col min="25" max="25" width="9.625" style="149" customWidth="1"/>
    <col min="26" max="26" width="9.125" style="149"/>
    <col min="27" max="27" width="9.75" style="149" customWidth="1"/>
    <col min="28" max="28" width="9.625" style="149" customWidth="1"/>
    <col min="29" max="262" width="9.125" style="149"/>
    <col min="263" max="263" width="0.875" style="149" customWidth="1"/>
    <col min="264" max="264" width="7.375" style="149" customWidth="1"/>
    <col min="265" max="265" width="9.625" style="149" customWidth="1"/>
    <col min="266" max="266" width="22.875" style="149" customWidth="1"/>
    <col min="267" max="267" width="21.75" style="149" customWidth="1"/>
    <col min="268" max="268" width="38.625" style="149" customWidth="1"/>
    <col min="269" max="269" width="14.375" style="149" customWidth="1"/>
    <col min="270" max="270" width="13.75" style="149" customWidth="1"/>
    <col min="271" max="271" width="13.625" style="149" customWidth="1"/>
    <col min="272" max="272" width="12.625" style="149" customWidth="1"/>
    <col min="273" max="274" width="12.25" style="149" customWidth="1"/>
    <col min="275" max="275" width="16.25" style="149" customWidth="1"/>
    <col min="276" max="276" width="15.75" style="149" customWidth="1"/>
    <col min="277" max="518" width="9.125" style="149"/>
    <col min="519" max="519" width="0.875" style="149" customWidth="1"/>
    <col min="520" max="520" width="7.375" style="149" customWidth="1"/>
    <col min="521" max="521" width="9.625" style="149" customWidth="1"/>
    <col min="522" max="522" width="22.875" style="149" customWidth="1"/>
    <col min="523" max="523" width="21.75" style="149" customWidth="1"/>
    <col min="524" max="524" width="38.625" style="149" customWidth="1"/>
    <col min="525" max="525" width="14.375" style="149" customWidth="1"/>
    <col min="526" max="526" width="13.75" style="149" customWidth="1"/>
    <col min="527" max="527" width="13.625" style="149" customWidth="1"/>
    <col min="528" max="528" width="12.625" style="149" customWidth="1"/>
    <col min="529" max="530" width="12.25" style="149" customWidth="1"/>
    <col min="531" max="531" width="16.25" style="149" customWidth="1"/>
    <col min="532" max="532" width="15.75" style="149" customWidth="1"/>
    <col min="533" max="774" width="9.125" style="149"/>
    <col min="775" max="775" width="0.875" style="149" customWidth="1"/>
    <col min="776" max="776" width="7.375" style="149" customWidth="1"/>
    <col min="777" max="777" width="9.625" style="149" customWidth="1"/>
    <col min="778" max="778" width="22.875" style="149" customWidth="1"/>
    <col min="779" max="779" width="21.75" style="149" customWidth="1"/>
    <col min="780" max="780" width="38.625" style="149" customWidth="1"/>
    <col min="781" max="781" width="14.375" style="149" customWidth="1"/>
    <col min="782" max="782" width="13.75" style="149" customWidth="1"/>
    <col min="783" max="783" width="13.625" style="149" customWidth="1"/>
    <col min="784" max="784" width="12.625" style="149" customWidth="1"/>
    <col min="785" max="786" width="12.25" style="149" customWidth="1"/>
    <col min="787" max="787" width="16.25" style="149" customWidth="1"/>
    <col min="788" max="788" width="15.75" style="149" customWidth="1"/>
    <col min="789" max="1030" width="9.125" style="149"/>
    <col min="1031" max="1031" width="0.875" style="149" customWidth="1"/>
    <col min="1032" max="1032" width="7.375" style="149" customWidth="1"/>
    <col min="1033" max="1033" width="9.625" style="149" customWidth="1"/>
    <col min="1034" max="1034" width="22.875" style="149" customWidth="1"/>
    <col min="1035" max="1035" width="21.75" style="149" customWidth="1"/>
    <col min="1036" max="1036" width="38.625" style="149" customWidth="1"/>
    <col min="1037" max="1037" width="14.375" style="149" customWidth="1"/>
    <col min="1038" max="1038" width="13.75" style="149" customWidth="1"/>
    <col min="1039" max="1039" width="13.625" style="149" customWidth="1"/>
    <col min="1040" max="1040" width="12.625" style="149" customWidth="1"/>
    <col min="1041" max="1042" width="12.25" style="149" customWidth="1"/>
    <col min="1043" max="1043" width="16.25" style="149" customWidth="1"/>
    <col min="1044" max="1044" width="15.75" style="149" customWidth="1"/>
    <col min="1045" max="1286" width="9.125" style="149"/>
    <col min="1287" max="1287" width="0.875" style="149" customWidth="1"/>
    <col min="1288" max="1288" width="7.375" style="149" customWidth="1"/>
    <col min="1289" max="1289" width="9.625" style="149" customWidth="1"/>
    <col min="1290" max="1290" width="22.875" style="149" customWidth="1"/>
    <col min="1291" max="1291" width="21.75" style="149" customWidth="1"/>
    <col min="1292" max="1292" width="38.625" style="149" customWidth="1"/>
    <col min="1293" max="1293" width="14.375" style="149" customWidth="1"/>
    <col min="1294" max="1294" width="13.75" style="149" customWidth="1"/>
    <col min="1295" max="1295" width="13.625" style="149" customWidth="1"/>
    <col min="1296" max="1296" width="12.625" style="149" customWidth="1"/>
    <col min="1297" max="1298" width="12.25" style="149" customWidth="1"/>
    <col min="1299" max="1299" width="16.25" style="149" customWidth="1"/>
    <col min="1300" max="1300" width="15.75" style="149" customWidth="1"/>
    <col min="1301" max="1542" width="9.125" style="149"/>
    <col min="1543" max="1543" width="0.875" style="149" customWidth="1"/>
    <col min="1544" max="1544" width="7.375" style="149" customWidth="1"/>
    <col min="1545" max="1545" width="9.625" style="149" customWidth="1"/>
    <col min="1546" max="1546" width="22.875" style="149" customWidth="1"/>
    <col min="1547" max="1547" width="21.75" style="149" customWidth="1"/>
    <col min="1548" max="1548" width="38.625" style="149" customWidth="1"/>
    <col min="1549" max="1549" width="14.375" style="149" customWidth="1"/>
    <col min="1550" max="1550" width="13.75" style="149" customWidth="1"/>
    <col min="1551" max="1551" width="13.625" style="149" customWidth="1"/>
    <col min="1552" max="1552" width="12.625" style="149" customWidth="1"/>
    <col min="1553" max="1554" width="12.25" style="149" customWidth="1"/>
    <col min="1555" max="1555" width="16.25" style="149" customWidth="1"/>
    <col min="1556" max="1556" width="15.75" style="149" customWidth="1"/>
    <col min="1557" max="1798" width="9.125" style="149"/>
    <col min="1799" max="1799" width="0.875" style="149" customWidth="1"/>
    <col min="1800" max="1800" width="7.375" style="149" customWidth="1"/>
    <col min="1801" max="1801" width="9.625" style="149" customWidth="1"/>
    <col min="1802" max="1802" width="22.875" style="149" customWidth="1"/>
    <col min="1803" max="1803" width="21.75" style="149" customWidth="1"/>
    <col min="1804" max="1804" width="38.625" style="149" customWidth="1"/>
    <col min="1805" max="1805" width="14.375" style="149" customWidth="1"/>
    <col min="1806" max="1806" width="13.75" style="149" customWidth="1"/>
    <col min="1807" max="1807" width="13.625" style="149" customWidth="1"/>
    <col min="1808" max="1808" width="12.625" style="149" customWidth="1"/>
    <col min="1809" max="1810" width="12.25" style="149" customWidth="1"/>
    <col min="1811" max="1811" width="16.25" style="149" customWidth="1"/>
    <col min="1812" max="1812" width="15.75" style="149" customWidth="1"/>
    <col min="1813" max="2054" width="9.125" style="149"/>
    <col min="2055" max="2055" width="0.875" style="149" customWidth="1"/>
    <col min="2056" max="2056" width="7.375" style="149" customWidth="1"/>
    <col min="2057" max="2057" width="9.625" style="149" customWidth="1"/>
    <col min="2058" max="2058" width="22.875" style="149" customWidth="1"/>
    <col min="2059" max="2059" width="21.75" style="149" customWidth="1"/>
    <col min="2060" max="2060" width="38.625" style="149" customWidth="1"/>
    <col min="2061" max="2061" width="14.375" style="149" customWidth="1"/>
    <col min="2062" max="2062" width="13.75" style="149" customWidth="1"/>
    <col min="2063" max="2063" width="13.625" style="149" customWidth="1"/>
    <col min="2064" max="2064" width="12.625" style="149" customWidth="1"/>
    <col min="2065" max="2066" width="12.25" style="149" customWidth="1"/>
    <col min="2067" max="2067" width="16.25" style="149" customWidth="1"/>
    <col min="2068" max="2068" width="15.75" style="149" customWidth="1"/>
    <col min="2069" max="2310" width="9.125" style="149"/>
    <col min="2311" max="2311" width="0.875" style="149" customWidth="1"/>
    <col min="2312" max="2312" width="7.375" style="149" customWidth="1"/>
    <col min="2313" max="2313" width="9.625" style="149" customWidth="1"/>
    <col min="2314" max="2314" width="22.875" style="149" customWidth="1"/>
    <col min="2315" max="2315" width="21.75" style="149" customWidth="1"/>
    <col min="2316" max="2316" width="38.625" style="149" customWidth="1"/>
    <col min="2317" max="2317" width="14.375" style="149" customWidth="1"/>
    <col min="2318" max="2318" width="13.75" style="149" customWidth="1"/>
    <col min="2319" max="2319" width="13.625" style="149" customWidth="1"/>
    <col min="2320" max="2320" width="12.625" style="149" customWidth="1"/>
    <col min="2321" max="2322" width="12.25" style="149" customWidth="1"/>
    <col min="2323" max="2323" width="16.25" style="149" customWidth="1"/>
    <col min="2324" max="2324" width="15.75" style="149" customWidth="1"/>
    <col min="2325" max="2566" width="9.125" style="149"/>
    <col min="2567" max="2567" width="0.875" style="149" customWidth="1"/>
    <col min="2568" max="2568" width="7.375" style="149" customWidth="1"/>
    <col min="2569" max="2569" width="9.625" style="149" customWidth="1"/>
    <col min="2570" max="2570" width="22.875" style="149" customWidth="1"/>
    <col min="2571" max="2571" width="21.75" style="149" customWidth="1"/>
    <col min="2572" max="2572" width="38.625" style="149" customWidth="1"/>
    <col min="2573" max="2573" width="14.375" style="149" customWidth="1"/>
    <col min="2574" max="2574" width="13.75" style="149" customWidth="1"/>
    <col min="2575" max="2575" width="13.625" style="149" customWidth="1"/>
    <col min="2576" max="2576" width="12.625" style="149" customWidth="1"/>
    <col min="2577" max="2578" width="12.25" style="149" customWidth="1"/>
    <col min="2579" max="2579" width="16.25" style="149" customWidth="1"/>
    <col min="2580" max="2580" width="15.75" style="149" customWidth="1"/>
    <col min="2581" max="2822" width="9.125" style="149"/>
    <col min="2823" max="2823" width="0.875" style="149" customWidth="1"/>
    <col min="2824" max="2824" width="7.375" style="149" customWidth="1"/>
    <col min="2825" max="2825" width="9.625" style="149" customWidth="1"/>
    <col min="2826" max="2826" width="22.875" style="149" customWidth="1"/>
    <col min="2827" max="2827" width="21.75" style="149" customWidth="1"/>
    <col min="2828" max="2828" width="38.625" style="149" customWidth="1"/>
    <col min="2829" max="2829" width="14.375" style="149" customWidth="1"/>
    <col min="2830" max="2830" width="13.75" style="149" customWidth="1"/>
    <col min="2831" max="2831" width="13.625" style="149" customWidth="1"/>
    <col min="2832" max="2832" width="12.625" style="149" customWidth="1"/>
    <col min="2833" max="2834" width="12.25" style="149" customWidth="1"/>
    <col min="2835" max="2835" width="16.25" style="149" customWidth="1"/>
    <col min="2836" max="2836" width="15.75" style="149" customWidth="1"/>
    <col min="2837" max="3078" width="9.125" style="149"/>
    <col min="3079" max="3079" width="0.875" style="149" customWidth="1"/>
    <col min="3080" max="3080" width="7.375" style="149" customWidth="1"/>
    <col min="3081" max="3081" width="9.625" style="149" customWidth="1"/>
    <col min="3082" max="3082" width="22.875" style="149" customWidth="1"/>
    <col min="3083" max="3083" width="21.75" style="149" customWidth="1"/>
    <col min="3084" max="3084" width="38.625" style="149" customWidth="1"/>
    <col min="3085" max="3085" width="14.375" style="149" customWidth="1"/>
    <col min="3086" max="3086" width="13.75" style="149" customWidth="1"/>
    <col min="3087" max="3087" width="13.625" style="149" customWidth="1"/>
    <col min="3088" max="3088" width="12.625" style="149" customWidth="1"/>
    <col min="3089" max="3090" width="12.25" style="149" customWidth="1"/>
    <col min="3091" max="3091" width="16.25" style="149" customWidth="1"/>
    <col min="3092" max="3092" width="15.75" style="149" customWidth="1"/>
    <col min="3093" max="3334" width="9.125" style="149"/>
    <col min="3335" max="3335" width="0.875" style="149" customWidth="1"/>
    <col min="3336" max="3336" width="7.375" style="149" customWidth="1"/>
    <col min="3337" max="3337" width="9.625" style="149" customWidth="1"/>
    <col min="3338" max="3338" width="22.875" style="149" customWidth="1"/>
    <col min="3339" max="3339" width="21.75" style="149" customWidth="1"/>
    <col min="3340" max="3340" width="38.625" style="149" customWidth="1"/>
    <col min="3341" max="3341" width="14.375" style="149" customWidth="1"/>
    <col min="3342" max="3342" width="13.75" style="149" customWidth="1"/>
    <col min="3343" max="3343" width="13.625" style="149" customWidth="1"/>
    <col min="3344" max="3344" width="12.625" style="149" customWidth="1"/>
    <col min="3345" max="3346" width="12.25" style="149" customWidth="1"/>
    <col min="3347" max="3347" width="16.25" style="149" customWidth="1"/>
    <col min="3348" max="3348" width="15.75" style="149" customWidth="1"/>
    <col min="3349" max="3590" width="9.125" style="149"/>
    <col min="3591" max="3591" width="0.875" style="149" customWidth="1"/>
    <col min="3592" max="3592" width="7.375" style="149" customWidth="1"/>
    <col min="3593" max="3593" width="9.625" style="149" customWidth="1"/>
    <col min="3594" max="3594" width="22.875" style="149" customWidth="1"/>
    <col min="3595" max="3595" width="21.75" style="149" customWidth="1"/>
    <col min="3596" max="3596" width="38.625" style="149" customWidth="1"/>
    <col min="3597" max="3597" width="14.375" style="149" customWidth="1"/>
    <col min="3598" max="3598" width="13.75" style="149" customWidth="1"/>
    <col min="3599" max="3599" width="13.625" style="149" customWidth="1"/>
    <col min="3600" max="3600" width="12.625" style="149" customWidth="1"/>
    <col min="3601" max="3602" width="12.25" style="149" customWidth="1"/>
    <col min="3603" max="3603" width="16.25" style="149" customWidth="1"/>
    <col min="3604" max="3604" width="15.75" style="149" customWidth="1"/>
    <col min="3605" max="3846" width="9.125" style="149"/>
    <col min="3847" max="3847" width="0.875" style="149" customWidth="1"/>
    <col min="3848" max="3848" width="7.375" style="149" customWidth="1"/>
    <col min="3849" max="3849" width="9.625" style="149" customWidth="1"/>
    <col min="3850" max="3850" width="22.875" style="149" customWidth="1"/>
    <col min="3851" max="3851" width="21.75" style="149" customWidth="1"/>
    <col min="3852" max="3852" width="38.625" style="149" customWidth="1"/>
    <col min="3853" max="3853" width="14.375" style="149" customWidth="1"/>
    <col min="3854" max="3854" width="13.75" style="149" customWidth="1"/>
    <col min="3855" max="3855" width="13.625" style="149" customWidth="1"/>
    <col min="3856" max="3856" width="12.625" style="149" customWidth="1"/>
    <col min="3857" max="3858" width="12.25" style="149" customWidth="1"/>
    <col min="3859" max="3859" width="16.25" style="149" customWidth="1"/>
    <col min="3860" max="3860" width="15.75" style="149" customWidth="1"/>
    <col min="3861" max="4102" width="9.125" style="149"/>
    <col min="4103" max="4103" width="0.875" style="149" customWidth="1"/>
    <col min="4104" max="4104" width="7.375" style="149" customWidth="1"/>
    <col min="4105" max="4105" width="9.625" style="149" customWidth="1"/>
    <col min="4106" max="4106" width="22.875" style="149" customWidth="1"/>
    <col min="4107" max="4107" width="21.75" style="149" customWidth="1"/>
    <col min="4108" max="4108" width="38.625" style="149" customWidth="1"/>
    <col min="4109" max="4109" width="14.375" style="149" customWidth="1"/>
    <col min="4110" max="4110" width="13.75" style="149" customWidth="1"/>
    <col min="4111" max="4111" width="13.625" style="149" customWidth="1"/>
    <col min="4112" max="4112" width="12.625" style="149" customWidth="1"/>
    <col min="4113" max="4114" width="12.25" style="149" customWidth="1"/>
    <col min="4115" max="4115" width="16.25" style="149" customWidth="1"/>
    <col min="4116" max="4116" width="15.75" style="149" customWidth="1"/>
    <col min="4117" max="4358" width="9.125" style="149"/>
    <col min="4359" max="4359" width="0.875" style="149" customWidth="1"/>
    <col min="4360" max="4360" width="7.375" style="149" customWidth="1"/>
    <col min="4361" max="4361" width="9.625" style="149" customWidth="1"/>
    <col min="4362" max="4362" width="22.875" style="149" customWidth="1"/>
    <col min="4363" max="4363" width="21.75" style="149" customWidth="1"/>
    <col min="4364" max="4364" width="38.625" style="149" customWidth="1"/>
    <col min="4365" max="4365" width="14.375" style="149" customWidth="1"/>
    <col min="4366" max="4366" width="13.75" style="149" customWidth="1"/>
    <col min="4367" max="4367" width="13.625" style="149" customWidth="1"/>
    <col min="4368" max="4368" width="12.625" style="149" customWidth="1"/>
    <col min="4369" max="4370" width="12.25" style="149" customWidth="1"/>
    <col min="4371" max="4371" width="16.25" style="149" customWidth="1"/>
    <col min="4372" max="4372" width="15.75" style="149" customWidth="1"/>
    <col min="4373" max="4614" width="9.125" style="149"/>
    <col min="4615" max="4615" width="0.875" style="149" customWidth="1"/>
    <col min="4616" max="4616" width="7.375" style="149" customWidth="1"/>
    <col min="4617" max="4617" width="9.625" style="149" customWidth="1"/>
    <col min="4618" max="4618" width="22.875" style="149" customWidth="1"/>
    <col min="4619" max="4619" width="21.75" style="149" customWidth="1"/>
    <col min="4620" max="4620" width="38.625" style="149" customWidth="1"/>
    <col min="4621" max="4621" width="14.375" style="149" customWidth="1"/>
    <col min="4622" max="4622" width="13.75" style="149" customWidth="1"/>
    <col min="4623" max="4623" width="13.625" style="149" customWidth="1"/>
    <col min="4624" max="4624" width="12.625" style="149" customWidth="1"/>
    <col min="4625" max="4626" width="12.25" style="149" customWidth="1"/>
    <col min="4627" max="4627" width="16.25" style="149" customWidth="1"/>
    <col min="4628" max="4628" width="15.75" style="149" customWidth="1"/>
    <col min="4629" max="4870" width="9.125" style="149"/>
    <col min="4871" max="4871" width="0.875" style="149" customWidth="1"/>
    <col min="4872" max="4872" width="7.375" style="149" customWidth="1"/>
    <col min="4873" max="4873" width="9.625" style="149" customWidth="1"/>
    <col min="4874" max="4874" width="22.875" style="149" customWidth="1"/>
    <col min="4875" max="4875" width="21.75" style="149" customWidth="1"/>
    <col min="4876" max="4876" width="38.625" style="149" customWidth="1"/>
    <col min="4877" max="4877" width="14.375" style="149" customWidth="1"/>
    <col min="4878" max="4878" width="13.75" style="149" customWidth="1"/>
    <col min="4879" max="4879" width="13.625" style="149" customWidth="1"/>
    <col min="4880" max="4880" width="12.625" style="149" customWidth="1"/>
    <col min="4881" max="4882" width="12.25" style="149" customWidth="1"/>
    <col min="4883" max="4883" width="16.25" style="149" customWidth="1"/>
    <col min="4884" max="4884" width="15.75" style="149" customWidth="1"/>
    <col min="4885" max="5126" width="9.125" style="149"/>
    <col min="5127" max="5127" width="0.875" style="149" customWidth="1"/>
    <col min="5128" max="5128" width="7.375" style="149" customWidth="1"/>
    <col min="5129" max="5129" width="9.625" style="149" customWidth="1"/>
    <col min="5130" max="5130" width="22.875" style="149" customWidth="1"/>
    <col min="5131" max="5131" width="21.75" style="149" customWidth="1"/>
    <col min="5132" max="5132" width="38.625" style="149" customWidth="1"/>
    <col min="5133" max="5133" width="14.375" style="149" customWidth="1"/>
    <col min="5134" max="5134" width="13.75" style="149" customWidth="1"/>
    <col min="5135" max="5135" width="13.625" style="149" customWidth="1"/>
    <col min="5136" max="5136" width="12.625" style="149" customWidth="1"/>
    <col min="5137" max="5138" width="12.25" style="149" customWidth="1"/>
    <col min="5139" max="5139" width="16.25" style="149" customWidth="1"/>
    <col min="5140" max="5140" width="15.75" style="149" customWidth="1"/>
    <col min="5141" max="5382" width="9.125" style="149"/>
    <col min="5383" max="5383" width="0.875" style="149" customWidth="1"/>
    <col min="5384" max="5384" width="7.375" style="149" customWidth="1"/>
    <col min="5385" max="5385" width="9.625" style="149" customWidth="1"/>
    <col min="5386" max="5386" width="22.875" style="149" customWidth="1"/>
    <col min="5387" max="5387" width="21.75" style="149" customWidth="1"/>
    <col min="5388" max="5388" width="38.625" style="149" customWidth="1"/>
    <col min="5389" max="5389" width="14.375" style="149" customWidth="1"/>
    <col min="5390" max="5390" width="13.75" style="149" customWidth="1"/>
    <col min="5391" max="5391" width="13.625" style="149" customWidth="1"/>
    <col min="5392" max="5392" width="12.625" style="149" customWidth="1"/>
    <col min="5393" max="5394" width="12.25" style="149" customWidth="1"/>
    <col min="5395" max="5395" width="16.25" style="149" customWidth="1"/>
    <col min="5396" max="5396" width="15.75" style="149" customWidth="1"/>
    <col min="5397" max="5638" width="9.125" style="149"/>
    <col min="5639" max="5639" width="0.875" style="149" customWidth="1"/>
    <col min="5640" max="5640" width="7.375" style="149" customWidth="1"/>
    <col min="5641" max="5641" width="9.625" style="149" customWidth="1"/>
    <col min="5642" max="5642" width="22.875" style="149" customWidth="1"/>
    <col min="5643" max="5643" width="21.75" style="149" customWidth="1"/>
    <col min="5644" max="5644" width="38.625" style="149" customWidth="1"/>
    <col min="5645" max="5645" width="14.375" style="149" customWidth="1"/>
    <col min="5646" max="5646" width="13.75" style="149" customWidth="1"/>
    <col min="5647" max="5647" width="13.625" style="149" customWidth="1"/>
    <col min="5648" max="5648" width="12.625" style="149" customWidth="1"/>
    <col min="5649" max="5650" width="12.25" style="149" customWidth="1"/>
    <col min="5651" max="5651" width="16.25" style="149" customWidth="1"/>
    <col min="5652" max="5652" width="15.75" style="149" customWidth="1"/>
    <col min="5653" max="5894" width="9.125" style="149"/>
    <col min="5895" max="5895" width="0.875" style="149" customWidth="1"/>
    <col min="5896" max="5896" width="7.375" style="149" customWidth="1"/>
    <col min="5897" max="5897" width="9.625" style="149" customWidth="1"/>
    <col min="5898" max="5898" width="22.875" style="149" customWidth="1"/>
    <col min="5899" max="5899" width="21.75" style="149" customWidth="1"/>
    <col min="5900" max="5900" width="38.625" style="149" customWidth="1"/>
    <col min="5901" max="5901" width="14.375" style="149" customWidth="1"/>
    <col min="5902" max="5902" width="13.75" style="149" customWidth="1"/>
    <col min="5903" max="5903" width="13.625" style="149" customWidth="1"/>
    <col min="5904" max="5904" width="12.625" style="149" customWidth="1"/>
    <col min="5905" max="5906" width="12.25" style="149" customWidth="1"/>
    <col min="5907" max="5907" width="16.25" style="149" customWidth="1"/>
    <col min="5908" max="5908" width="15.75" style="149" customWidth="1"/>
    <col min="5909" max="6150" width="9.125" style="149"/>
    <col min="6151" max="6151" width="0.875" style="149" customWidth="1"/>
    <col min="6152" max="6152" width="7.375" style="149" customWidth="1"/>
    <col min="6153" max="6153" width="9.625" style="149" customWidth="1"/>
    <col min="6154" max="6154" width="22.875" style="149" customWidth="1"/>
    <col min="6155" max="6155" width="21.75" style="149" customWidth="1"/>
    <col min="6156" max="6156" width="38.625" style="149" customWidth="1"/>
    <col min="6157" max="6157" width="14.375" style="149" customWidth="1"/>
    <col min="6158" max="6158" width="13.75" style="149" customWidth="1"/>
    <col min="6159" max="6159" width="13.625" style="149" customWidth="1"/>
    <col min="6160" max="6160" width="12.625" style="149" customWidth="1"/>
    <col min="6161" max="6162" width="12.25" style="149" customWidth="1"/>
    <col min="6163" max="6163" width="16.25" style="149" customWidth="1"/>
    <col min="6164" max="6164" width="15.75" style="149" customWidth="1"/>
    <col min="6165" max="6406" width="9.125" style="149"/>
    <col min="6407" max="6407" width="0.875" style="149" customWidth="1"/>
    <col min="6408" max="6408" width="7.375" style="149" customWidth="1"/>
    <col min="6409" max="6409" width="9.625" style="149" customWidth="1"/>
    <col min="6410" max="6410" width="22.875" style="149" customWidth="1"/>
    <col min="6411" max="6411" width="21.75" style="149" customWidth="1"/>
    <col min="6412" max="6412" width="38.625" style="149" customWidth="1"/>
    <col min="6413" max="6413" width="14.375" style="149" customWidth="1"/>
    <col min="6414" max="6414" width="13.75" style="149" customWidth="1"/>
    <col min="6415" max="6415" width="13.625" style="149" customWidth="1"/>
    <col min="6416" max="6416" width="12.625" style="149" customWidth="1"/>
    <col min="6417" max="6418" width="12.25" style="149" customWidth="1"/>
    <col min="6419" max="6419" width="16.25" style="149" customWidth="1"/>
    <col min="6420" max="6420" width="15.75" style="149" customWidth="1"/>
    <col min="6421" max="6662" width="9.125" style="149"/>
    <col min="6663" max="6663" width="0.875" style="149" customWidth="1"/>
    <col min="6664" max="6664" width="7.375" style="149" customWidth="1"/>
    <col min="6665" max="6665" width="9.625" style="149" customWidth="1"/>
    <col min="6666" max="6666" width="22.875" style="149" customWidth="1"/>
    <col min="6667" max="6667" width="21.75" style="149" customWidth="1"/>
    <col min="6668" max="6668" width="38.625" style="149" customWidth="1"/>
    <col min="6669" max="6669" width="14.375" style="149" customWidth="1"/>
    <col min="6670" max="6670" width="13.75" style="149" customWidth="1"/>
    <col min="6671" max="6671" width="13.625" style="149" customWidth="1"/>
    <col min="6672" max="6672" width="12.625" style="149" customWidth="1"/>
    <col min="6673" max="6674" width="12.25" style="149" customWidth="1"/>
    <col min="6675" max="6675" width="16.25" style="149" customWidth="1"/>
    <col min="6676" max="6676" width="15.75" style="149" customWidth="1"/>
    <col min="6677" max="6918" width="9.125" style="149"/>
    <col min="6919" max="6919" width="0.875" style="149" customWidth="1"/>
    <col min="6920" max="6920" width="7.375" style="149" customWidth="1"/>
    <col min="6921" max="6921" width="9.625" style="149" customWidth="1"/>
    <col min="6922" max="6922" width="22.875" style="149" customWidth="1"/>
    <col min="6923" max="6923" width="21.75" style="149" customWidth="1"/>
    <col min="6924" max="6924" width="38.625" style="149" customWidth="1"/>
    <col min="6925" max="6925" width="14.375" style="149" customWidth="1"/>
    <col min="6926" max="6926" width="13.75" style="149" customWidth="1"/>
    <col min="6927" max="6927" width="13.625" style="149" customWidth="1"/>
    <col min="6928" max="6928" width="12.625" style="149" customWidth="1"/>
    <col min="6929" max="6930" width="12.25" style="149" customWidth="1"/>
    <col min="6931" max="6931" width="16.25" style="149" customWidth="1"/>
    <col min="6932" max="6932" width="15.75" style="149" customWidth="1"/>
    <col min="6933" max="7174" width="9.125" style="149"/>
    <col min="7175" max="7175" width="0.875" style="149" customWidth="1"/>
    <col min="7176" max="7176" width="7.375" style="149" customWidth="1"/>
    <col min="7177" max="7177" width="9.625" style="149" customWidth="1"/>
    <col min="7178" max="7178" width="22.875" style="149" customWidth="1"/>
    <col min="7179" max="7179" width="21.75" style="149" customWidth="1"/>
    <col min="7180" max="7180" width="38.625" style="149" customWidth="1"/>
    <col min="7181" max="7181" width="14.375" style="149" customWidth="1"/>
    <col min="7182" max="7182" width="13.75" style="149" customWidth="1"/>
    <col min="7183" max="7183" width="13.625" style="149" customWidth="1"/>
    <col min="7184" max="7184" width="12.625" style="149" customWidth="1"/>
    <col min="7185" max="7186" width="12.25" style="149" customWidth="1"/>
    <col min="7187" max="7187" width="16.25" style="149" customWidth="1"/>
    <col min="7188" max="7188" width="15.75" style="149" customWidth="1"/>
    <col min="7189" max="7430" width="9.125" style="149"/>
    <col min="7431" max="7431" width="0.875" style="149" customWidth="1"/>
    <col min="7432" max="7432" width="7.375" style="149" customWidth="1"/>
    <col min="7433" max="7433" width="9.625" style="149" customWidth="1"/>
    <col min="7434" max="7434" width="22.875" style="149" customWidth="1"/>
    <col min="7435" max="7435" width="21.75" style="149" customWidth="1"/>
    <col min="7436" max="7436" width="38.625" style="149" customWidth="1"/>
    <col min="7437" max="7437" width="14.375" style="149" customWidth="1"/>
    <col min="7438" max="7438" width="13.75" style="149" customWidth="1"/>
    <col min="7439" max="7439" width="13.625" style="149" customWidth="1"/>
    <col min="7440" max="7440" width="12.625" style="149" customWidth="1"/>
    <col min="7441" max="7442" width="12.25" style="149" customWidth="1"/>
    <col min="7443" max="7443" width="16.25" style="149" customWidth="1"/>
    <col min="7444" max="7444" width="15.75" style="149" customWidth="1"/>
    <col min="7445" max="7686" width="9.125" style="149"/>
    <col min="7687" max="7687" width="0.875" style="149" customWidth="1"/>
    <col min="7688" max="7688" width="7.375" style="149" customWidth="1"/>
    <col min="7689" max="7689" width="9.625" style="149" customWidth="1"/>
    <col min="7690" max="7690" width="22.875" style="149" customWidth="1"/>
    <col min="7691" max="7691" width="21.75" style="149" customWidth="1"/>
    <col min="7692" max="7692" width="38.625" style="149" customWidth="1"/>
    <col min="7693" max="7693" width="14.375" style="149" customWidth="1"/>
    <col min="7694" max="7694" width="13.75" style="149" customWidth="1"/>
    <col min="7695" max="7695" width="13.625" style="149" customWidth="1"/>
    <col min="7696" max="7696" width="12.625" style="149" customWidth="1"/>
    <col min="7697" max="7698" width="12.25" style="149" customWidth="1"/>
    <col min="7699" max="7699" width="16.25" style="149" customWidth="1"/>
    <col min="7700" max="7700" width="15.75" style="149" customWidth="1"/>
    <col min="7701" max="7942" width="9.125" style="149"/>
    <col min="7943" max="7943" width="0.875" style="149" customWidth="1"/>
    <col min="7944" max="7944" width="7.375" style="149" customWidth="1"/>
    <col min="7945" max="7945" width="9.625" style="149" customWidth="1"/>
    <col min="7946" max="7946" width="22.875" style="149" customWidth="1"/>
    <col min="7947" max="7947" width="21.75" style="149" customWidth="1"/>
    <col min="7948" max="7948" width="38.625" style="149" customWidth="1"/>
    <col min="7949" max="7949" width="14.375" style="149" customWidth="1"/>
    <col min="7950" max="7950" width="13.75" style="149" customWidth="1"/>
    <col min="7951" max="7951" width="13.625" style="149" customWidth="1"/>
    <col min="7952" max="7952" width="12.625" style="149" customWidth="1"/>
    <col min="7953" max="7954" width="12.25" style="149" customWidth="1"/>
    <col min="7955" max="7955" width="16.25" style="149" customWidth="1"/>
    <col min="7956" max="7956" width="15.75" style="149" customWidth="1"/>
    <col min="7957" max="8198" width="9.125" style="149"/>
    <col min="8199" max="8199" width="0.875" style="149" customWidth="1"/>
    <col min="8200" max="8200" width="7.375" style="149" customWidth="1"/>
    <col min="8201" max="8201" width="9.625" style="149" customWidth="1"/>
    <col min="8202" max="8202" width="22.875" style="149" customWidth="1"/>
    <col min="8203" max="8203" width="21.75" style="149" customWidth="1"/>
    <col min="8204" max="8204" width="38.625" style="149" customWidth="1"/>
    <col min="8205" max="8205" width="14.375" style="149" customWidth="1"/>
    <col min="8206" max="8206" width="13.75" style="149" customWidth="1"/>
    <col min="8207" max="8207" width="13.625" style="149" customWidth="1"/>
    <col min="8208" max="8208" width="12.625" style="149" customWidth="1"/>
    <col min="8209" max="8210" width="12.25" style="149" customWidth="1"/>
    <col min="8211" max="8211" width="16.25" style="149" customWidth="1"/>
    <col min="8212" max="8212" width="15.75" style="149" customWidth="1"/>
    <col min="8213" max="8454" width="9.125" style="149"/>
    <col min="8455" max="8455" width="0.875" style="149" customWidth="1"/>
    <col min="8456" max="8456" width="7.375" style="149" customWidth="1"/>
    <col min="8457" max="8457" width="9.625" style="149" customWidth="1"/>
    <col min="8458" max="8458" width="22.875" style="149" customWidth="1"/>
    <col min="8459" max="8459" width="21.75" style="149" customWidth="1"/>
    <col min="8460" max="8460" width="38.625" style="149" customWidth="1"/>
    <col min="8461" max="8461" width="14.375" style="149" customWidth="1"/>
    <col min="8462" max="8462" width="13.75" style="149" customWidth="1"/>
    <col min="8463" max="8463" width="13.625" style="149" customWidth="1"/>
    <col min="8464" max="8464" width="12.625" style="149" customWidth="1"/>
    <col min="8465" max="8466" width="12.25" style="149" customWidth="1"/>
    <col min="8467" max="8467" width="16.25" style="149" customWidth="1"/>
    <col min="8468" max="8468" width="15.75" style="149" customWidth="1"/>
    <col min="8469" max="8710" width="9.125" style="149"/>
    <col min="8711" max="8711" width="0.875" style="149" customWidth="1"/>
    <col min="8712" max="8712" width="7.375" style="149" customWidth="1"/>
    <col min="8713" max="8713" width="9.625" style="149" customWidth="1"/>
    <col min="8714" max="8714" width="22.875" style="149" customWidth="1"/>
    <col min="8715" max="8715" width="21.75" style="149" customWidth="1"/>
    <col min="8716" max="8716" width="38.625" style="149" customWidth="1"/>
    <col min="8717" max="8717" width="14.375" style="149" customWidth="1"/>
    <col min="8718" max="8718" width="13.75" style="149" customWidth="1"/>
    <col min="8719" max="8719" width="13.625" style="149" customWidth="1"/>
    <col min="8720" max="8720" width="12.625" style="149" customWidth="1"/>
    <col min="8721" max="8722" width="12.25" style="149" customWidth="1"/>
    <col min="8723" max="8723" width="16.25" style="149" customWidth="1"/>
    <col min="8724" max="8724" width="15.75" style="149" customWidth="1"/>
    <col min="8725" max="8966" width="9.125" style="149"/>
    <col min="8967" max="8967" width="0.875" style="149" customWidth="1"/>
    <col min="8968" max="8968" width="7.375" style="149" customWidth="1"/>
    <col min="8969" max="8969" width="9.625" style="149" customWidth="1"/>
    <col min="8970" max="8970" width="22.875" style="149" customWidth="1"/>
    <col min="8971" max="8971" width="21.75" style="149" customWidth="1"/>
    <col min="8972" max="8972" width="38.625" style="149" customWidth="1"/>
    <col min="8973" max="8973" width="14.375" style="149" customWidth="1"/>
    <col min="8974" max="8974" width="13.75" style="149" customWidth="1"/>
    <col min="8975" max="8975" width="13.625" style="149" customWidth="1"/>
    <col min="8976" max="8976" width="12.625" style="149" customWidth="1"/>
    <col min="8977" max="8978" width="12.25" style="149" customWidth="1"/>
    <col min="8979" max="8979" width="16.25" style="149" customWidth="1"/>
    <col min="8980" max="8980" width="15.75" style="149" customWidth="1"/>
    <col min="8981" max="9222" width="9.125" style="149"/>
    <col min="9223" max="9223" width="0.875" style="149" customWidth="1"/>
    <col min="9224" max="9224" width="7.375" style="149" customWidth="1"/>
    <col min="9225" max="9225" width="9.625" style="149" customWidth="1"/>
    <col min="9226" max="9226" width="22.875" style="149" customWidth="1"/>
    <col min="9227" max="9227" width="21.75" style="149" customWidth="1"/>
    <col min="9228" max="9228" width="38.625" style="149" customWidth="1"/>
    <col min="9229" max="9229" width="14.375" style="149" customWidth="1"/>
    <col min="9230" max="9230" width="13.75" style="149" customWidth="1"/>
    <col min="9231" max="9231" width="13.625" style="149" customWidth="1"/>
    <col min="9232" max="9232" width="12.625" style="149" customWidth="1"/>
    <col min="9233" max="9234" width="12.25" style="149" customWidth="1"/>
    <col min="9235" max="9235" width="16.25" style="149" customWidth="1"/>
    <col min="9236" max="9236" width="15.75" style="149" customWidth="1"/>
    <col min="9237" max="9478" width="9.125" style="149"/>
    <col min="9479" max="9479" width="0.875" style="149" customWidth="1"/>
    <col min="9480" max="9480" width="7.375" style="149" customWidth="1"/>
    <col min="9481" max="9481" width="9.625" style="149" customWidth="1"/>
    <col min="9482" max="9482" width="22.875" style="149" customWidth="1"/>
    <col min="9483" max="9483" width="21.75" style="149" customWidth="1"/>
    <col min="9484" max="9484" width="38.625" style="149" customWidth="1"/>
    <col min="9485" max="9485" width="14.375" style="149" customWidth="1"/>
    <col min="9486" max="9486" width="13.75" style="149" customWidth="1"/>
    <col min="9487" max="9487" width="13.625" style="149" customWidth="1"/>
    <col min="9488" max="9488" width="12.625" style="149" customWidth="1"/>
    <col min="9489" max="9490" width="12.25" style="149" customWidth="1"/>
    <col min="9491" max="9491" width="16.25" style="149" customWidth="1"/>
    <col min="9492" max="9492" width="15.75" style="149" customWidth="1"/>
    <col min="9493" max="9734" width="9.125" style="149"/>
    <col min="9735" max="9735" width="0.875" style="149" customWidth="1"/>
    <col min="9736" max="9736" width="7.375" style="149" customWidth="1"/>
    <col min="9737" max="9737" width="9.625" style="149" customWidth="1"/>
    <col min="9738" max="9738" width="22.875" style="149" customWidth="1"/>
    <col min="9739" max="9739" width="21.75" style="149" customWidth="1"/>
    <col min="9740" max="9740" width="38.625" style="149" customWidth="1"/>
    <col min="9741" max="9741" width="14.375" style="149" customWidth="1"/>
    <col min="9742" max="9742" width="13.75" style="149" customWidth="1"/>
    <col min="9743" max="9743" width="13.625" style="149" customWidth="1"/>
    <col min="9744" max="9744" width="12.625" style="149" customWidth="1"/>
    <col min="9745" max="9746" width="12.25" style="149" customWidth="1"/>
    <col min="9747" max="9747" width="16.25" style="149" customWidth="1"/>
    <col min="9748" max="9748" width="15.75" style="149" customWidth="1"/>
    <col min="9749" max="9990" width="9.125" style="149"/>
    <col min="9991" max="9991" width="0.875" style="149" customWidth="1"/>
    <col min="9992" max="9992" width="7.375" style="149" customWidth="1"/>
    <col min="9993" max="9993" width="9.625" style="149" customWidth="1"/>
    <col min="9994" max="9994" width="22.875" style="149" customWidth="1"/>
    <col min="9995" max="9995" width="21.75" style="149" customWidth="1"/>
    <col min="9996" max="9996" width="38.625" style="149" customWidth="1"/>
    <col min="9997" max="9997" width="14.375" style="149" customWidth="1"/>
    <col min="9998" max="9998" width="13.75" style="149" customWidth="1"/>
    <col min="9999" max="9999" width="13.625" style="149" customWidth="1"/>
    <col min="10000" max="10000" width="12.625" style="149" customWidth="1"/>
    <col min="10001" max="10002" width="12.25" style="149" customWidth="1"/>
    <col min="10003" max="10003" width="16.25" style="149" customWidth="1"/>
    <col min="10004" max="10004" width="15.75" style="149" customWidth="1"/>
    <col min="10005" max="10246" width="9.125" style="149"/>
    <col min="10247" max="10247" width="0.875" style="149" customWidth="1"/>
    <col min="10248" max="10248" width="7.375" style="149" customWidth="1"/>
    <col min="10249" max="10249" width="9.625" style="149" customWidth="1"/>
    <col min="10250" max="10250" width="22.875" style="149" customWidth="1"/>
    <col min="10251" max="10251" width="21.75" style="149" customWidth="1"/>
    <col min="10252" max="10252" width="38.625" style="149" customWidth="1"/>
    <col min="10253" max="10253" width="14.375" style="149" customWidth="1"/>
    <col min="10254" max="10254" width="13.75" style="149" customWidth="1"/>
    <col min="10255" max="10255" width="13.625" style="149" customWidth="1"/>
    <col min="10256" max="10256" width="12.625" style="149" customWidth="1"/>
    <col min="10257" max="10258" width="12.25" style="149" customWidth="1"/>
    <col min="10259" max="10259" width="16.25" style="149" customWidth="1"/>
    <col min="10260" max="10260" width="15.75" style="149" customWidth="1"/>
    <col min="10261" max="10502" width="9.125" style="149"/>
    <col min="10503" max="10503" width="0.875" style="149" customWidth="1"/>
    <col min="10504" max="10504" width="7.375" style="149" customWidth="1"/>
    <col min="10505" max="10505" width="9.625" style="149" customWidth="1"/>
    <col min="10506" max="10506" width="22.875" style="149" customWidth="1"/>
    <col min="10507" max="10507" width="21.75" style="149" customWidth="1"/>
    <col min="10508" max="10508" width="38.625" style="149" customWidth="1"/>
    <col min="10509" max="10509" width="14.375" style="149" customWidth="1"/>
    <col min="10510" max="10510" width="13.75" style="149" customWidth="1"/>
    <col min="10511" max="10511" width="13.625" style="149" customWidth="1"/>
    <col min="10512" max="10512" width="12.625" style="149" customWidth="1"/>
    <col min="10513" max="10514" width="12.25" style="149" customWidth="1"/>
    <col min="10515" max="10515" width="16.25" style="149" customWidth="1"/>
    <col min="10516" max="10516" width="15.75" style="149" customWidth="1"/>
    <col min="10517" max="10758" width="9.125" style="149"/>
    <col min="10759" max="10759" width="0.875" style="149" customWidth="1"/>
    <col min="10760" max="10760" width="7.375" style="149" customWidth="1"/>
    <col min="10761" max="10761" width="9.625" style="149" customWidth="1"/>
    <col min="10762" max="10762" width="22.875" style="149" customWidth="1"/>
    <col min="10763" max="10763" width="21.75" style="149" customWidth="1"/>
    <col min="10764" max="10764" width="38.625" style="149" customWidth="1"/>
    <col min="10765" max="10765" width="14.375" style="149" customWidth="1"/>
    <col min="10766" max="10766" width="13.75" style="149" customWidth="1"/>
    <col min="10767" max="10767" width="13.625" style="149" customWidth="1"/>
    <col min="10768" max="10768" width="12.625" style="149" customWidth="1"/>
    <col min="10769" max="10770" width="12.25" style="149" customWidth="1"/>
    <col min="10771" max="10771" width="16.25" style="149" customWidth="1"/>
    <col min="10772" max="10772" width="15.75" style="149" customWidth="1"/>
    <col min="10773" max="11014" width="9.125" style="149"/>
    <col min="11015" max="11015" width="0.875" style="149" customWidth="1"/>
    <col min="11016" max="11016" width="7.375" style="149" customWidth="1"/>
    <col min="11017" max="11017" width="9.625" style="149" customWidth="1"/>
    <col min="11018" max="11018" width="22.875" style="149" customWidth="1"/>
    <col min="11019" max="11019" width="21.75" style="149" customWidth="1"/>
    <col min="11020" max="11020" width="38.625" style="149" customWidth="1"/>
    <col min="11021" max="11021" width="14.375" style="149" customWidth="1"/>
    <col min="11022" max="11022" width="13.75" style="149" customWidth="1"/>
    <col min="11023" max="11023" width="13.625" style="149" customWidth="1"/>
    <col min="11024" max="11024" width="12.625" style="149" customWidth="1"/>
    <col min="11025" max="11026" width="12.25" style="149" customWidth="1"/>
    <col min="11027" max="11027" width="16.25" style="149" customWidth="1"/>
    <col min="11028" max="11028" width="15.75" style="149" customWidth="1"/>
    <col min="11029" max="11270" width="9.125" style="149"/>
    <col min="11271" max="11271" width="0.875" style="149" customWidth="1"/>
    <col min="11272" max="11272" width="7.375" style="149" customWidth="1"/>
    <col min="11273" max="11273" width="9.625" style="149" customWidth="1"/>
    <col min="11274" max="11274" width="22.875" style="149" customWidth="1"/>
    <col min="11275" max="11275" width="21.75" style="149" customWidth="1"/>
    <col min="11276" max="11276" width="38.625" style="149" customWidth="1"/>
    <col min="11277" max="11277" width="14.375" style="149" customWidth="1"/>
    <col min="11278" max="11278" width="13.75" style="149" customWidth="1"/>
    <col min="11279" max="11279" width="13.625" style="149" customWidth="1"/>
    <col min="11280" max="11280" width="12.625" style="149" customWidth="1"/>
    <col min="11281" max="11282" width="12.25" style="149" customWidth="1"/>
    <col min="11283" max="11283" width="16.25" style="149" customWidth="1"/>
    <col min="11284" max="11284" width="15.75" style="149" customWidth="1"/>
    <col min="11285" max="11526" width="9.125" style="149"/>
    <col min="11527" max="11527" width="0.875" style="149" customWidth="1"/>
    <col min="11528" max="11528" width="7.375" style="149" customWidth="1"/>
    <col min="11529" max="11529" width="9.625" style="149" customWidth="1"/>
    <col min="11530" max="11530" width="22.875" style="149" customWidth="1"/>
    <col min="11531" max="11531" width="21.75" style="149" customWidth="1"/>
    <col min="11532" max="11532" width="38.625" style="149" customWidth="1"/>
    <col min="11533" max="11533" width="14.375" style="149" customWidth="1"/>
    <col min="11534" max="11534" width="13.75" style="149" customWidth="1"/>
    <col min="11535" max="11535" width="13.625" style="149" customWidth="1"/>
    <col min="11536" max="11536" width="12.625" style="149" customWidth="1"/>
    <col min="11537" max="11538" width="12.25" style="149" customWidth="1"/>
    <col min="11539" max="11539" width="16.25" style="149" customWidth="1"/>
    <col min="11540" max="11540" width="15.75" style="149" customWidth="1"/>
    <col min="11541" max="11782" width="9.125" style="149"/>
    <col min="11783" max="11783" width="0.875" style="149" customWidth="1"/>
    <col min="11784" max="11784" width="7.375" style="149" customWidth="1"/>
    <col min="11785" max="11785" width="9.625" style="149" customWidth="1"/>
    <col min="11786" max="11786" width="22.875" style="149" customWidth="1"/>
    <col min="11787" max="11787" width="21.75" style="149" customWidth="1"/>
    <col min="11788" max="11788" width="38.625" style="149" customWidth="1"/>
    <col min="11789" max="11789" width="14.375" style="149" customWidth="1"/>
    <col min="11790" max="11790" width="13.75" style="149" customWidth="1"/>
    <col min="11791" max="11791" width="13.625" style="149" customWidth="1"/>
    <col min="11792" max="11792" width="12.625" style="149" customWidth="1"/>
    <col min="11793" max="11794" width="12.25" style="149" customWidth="1"/>
    <col min="11795" max="11795" width="16.25" style="149" customWidth="1"/>
    <col min="11796" max="11796" width="15.75" style="149" customWidth="1"/>
    <col min="11797" max="12038" width="9.125" style="149"/>
    <col min="12039" max="12039" width="0.875" style="149" customWidth="1"/>
    <col min="12040" max="12040" width="7.375" style="149" customWidth="1"/>
    <col min="12041" max="12041" width="9.625" style="149" customWidth="1"/>
    <col min="12042" max="12042" width="22.875" style="149" customWidth="1"/>
    <col min="12043" max="12043" width="21.75" style="149" customWidth="1"/>
    <col min="12044" max="12044" width="38.625" style="149" customWidth="1"/>
    <col min="12045" max="12045" width="14.375" style="149" customWidth="1"/>
    <col min="12046" max="12046" width="13.75" style="149" customWidth="1"/>
    <col min="12047" max="12047" width="13.625" style="149" customWidth="1"/>
    <col min="12048" max="12048" width="12.625" style="149" customWidth="1"/>
    <col min="12049" max="12050" width="12.25" style="149" customWidth="1"/>
    <col min="12051" max="12051" width="16.25" style="149" customWidth="1"/>
    <col min="12052" max="12052" width="15.75" style="149" customWidth="1"/>
    <col min="12053" max="12294" width="9.125" style="149"/>
    <col min="12295" max="12295" width="0.875" style="149" customWidth="1"/>
    <col min="12296" max="12296" width="7.375" style="149" customWidth="1"/>
    <col min="12297" max="12297" width="9.625" style="149" customWidth="1"/>
    <col min="12298" max="12298" width="22.875" style="149" customWidth="1"/>
    <col min="12299" max="12299" width="21.75" style="149" customWidth="1"/>
    <col min="12300" max="12300" width="38.625" style="149" customWidth="1"/>
    <col min="12301" max="12301" width="14.375" style="149" customWidth="1"/>
    <col min="12302" max="12302" width="13.75" style="149" customWidth="1"/>
    <col min="12303" max="12303" width="13.625" style="149" customWidth="1"/>
    <col min="12304" max="12304" width="12.625" style="149" customWidth="1"/>
    <col min="12305" max="12306" width="12.25" style="149" customWidth="1"/>
    <col min="12307" max="12307" width="16.25" style="149" customWidth="1"/>
    <col min="12308" max="12308" width="15.75" style="149" customWidth="1"/>
    <col min="12309" max="12550" width="9.125" style="149"/>
    <col min="12551" max="12551" width="0.875" style="149" customWidth="1"/>
    <col min="12552" max="12552" width="7.375" style="149" customWidth="1"/>
    <col min="12553" max="12553" width="9.625" style="149" customWidth="1"/>
    <col min="12554" max="12554" width="22.875" style="149" customWidth="1"/>
    <col min="12555" max="12555" width="21.75" style="149" customWidth="1"/>
    <col min="12556" max="12556" width="38.625" style="149" customWidth="1"/>
    <col min="12557" max="12557" width="14.375" style="149" customWidth="1"/>
    <col min="12558" max="12558" width="13.75" style="149" customWidth="1"/>
    <col min="12559" max="12559" width="13.625" style="149" customWidth="1"/>
    <col min="12560" max="12560" width="12.625" style="149" customWidth="1"/>
    <col min="12561" max="12562" width="12.25" style="149" customWidth="1"/>
    <col min="12563" max="12563" width="16.25" style="149" customWidth="1"/>
    <col min="12564" max="12564" width="15.75" style="149" customWidth="1"/>
    <col min="12565" max="12806" width="9.125" style="149"/>
    <col min="12807" max="12807" width="0.875" style="149" customWidth="1"/>
    <col min="12808" max="12808" width="7.375" style="149" customWidth="1"/>
    <col min="12809" max="12809" width="9.625" style="149" customWidth="1"/>
    <col min="12810" max="12810" width="22.875" style="149" customWidth="1"/>
    <col min="12811" max="12811" width="21.75" style="149" customWidth="1"/>
    <col min="12812" max="12812" width="38.625" style="149" customWidth="1"/>
    <col min="12813" max="12813" width="14.375" style="149" customWidth="1"/>
    <col min="12814" max="12814" width="13.75" style="149" customWidth="1"/>
    <col min="12815" max="12815" width="13.625" style="149" customWidth="1"/>
    <col min="12816" max="12816" width="12.625" style="149" customWidth="1"/>
    <col min="12817" max="12818" width="12.25" style="149" customWidth="1"/>
    <col min="12819" max="12819" width="16.25" style="149" customWidth="1"/>
    <col min="12820" max="12820" width="15.75" style="149" customWidth="1"/>
    <col min="12821" max="13062" width="9.125" style="149"/>
    <col min="13063" max="13063" width="0.875" style="149" customWidth="1"/>
    <col min="13064" max="13064" width="7.375" style="149" customWidth="1"/>
    <col min="13065" max="13065" width="9.625" style="149" customWidth="1"/>
    <col min="13066" max="13066" width="22.875" style="149" customWidth="1"/>
    <col min="13067" max="13067" width="21.75" style="149" customWidth="1"/>
    <col min="13068" max="13068" width="38.625" style="149" customWidth="1"/>
    <col min="13069" max="13069" width="14.375" style="149" customWidth="1"/>
    <col min="13070" max="13070" width="13.75" style="149" customWidth="1"/>
    <col min="13071" max="13071" width="13.625" style="149" customWidth="1"/>
    <col min="13072" max="13072" width="12.625" style="149" customWidth="1"/>
    <col min="13073" max="13074" width="12.25" style="149" customWidth="1"/>
    <col min="13075" max="13075" width="16.25" style="149" customWidth="1"/>
    <col min="13076" max="13076" width="15.75" style="149" customWidth="1"/>
    <col min="13077" max="13318" width="9.125" style="149"/>
    <col min="13319" max="13319" width="0.875" style="149" customWidth="1"/>
    <col min="13320" max="13320" width="7.375" style="149" customWidth="1"/>
    <col min="13321" max="13321" width="9.625" style="149" customWidth="1"/>
    <col min="13322" max="13322" width="22.875" style="149" customWidth="1"/>
    <col min="13323" max="13323" width="21.75" style="149" customWidth="1"/>
    <col min="13324" max="13324" width="38.625" style="149" customWidth="1"/>
    <col min="13325" max="13325" width="14.375" style="149" customWidth="1"/>
    <col min="13326" max="13326" width="13.75" style="149" customWidth="1"/>
    <col min="13327" max="13327" width="13.625" style="149" customWidth="1"/>
    <col min="13328" max="13328" width="12.625" style="149" customWidth="1"/>
    <col min="13329" max="13330" width="12.25" style="149" customWidth="1"/>
    <col min="13331" max="13331" width="16.25" style="149" customWidth="1"/>
    <col min="13332" max="13332" width="15.75" style="149" customWidth="1"/>
    <col min="13333" max="13574" width="9.125" style="149"/>
    <col min="13575" max="13575" width="0.875" style="149" customWidth="1"/>
    <col min="13576" max="13576" width="7.375" style="149" customWidth="1"/>
    <col min="13577" max="13577" width="9.625" style="149" customWidth="1"/>
    <col min="13578" max="13578" width="22.875" style="149" customWidth="1"/>
    <col min="13579" max="13579" width="21.75" style="149" customWidth="1"/>
    <col min="13580" max="13580" width="38.625" style="149" customWidth="1"/>
    <col min="13581" max="13581" width="14.375" style="149" customWidth="1"/>
    <col min="13582" max="13582" width="13.75" style="149" customWidth="1"/>
    <col min="13583" max="13583" width="13.625" style="149" customWidth="1"/>
    <col min="13584" max="13584" width="12.625" style="149" customWidth="1"/>
    <col min="13585" max="13586" width="12.25" style="149" customWidth="1"/>
    <col min="13587" max="13587" width="16.25" style="149" customWidth="1"/>
    <col min="13588" max="13588" width="15.75" style="149" customWidth="1"/>
    <col min="13589" max="13830" width="9.125" style="149"/>
    <col min="13831" max="13831" width="0.875" style="149" customWidth="1"/>
    <col min="13832" max="13832" width="7.375" style="149" customWidth="1"/>
    <col min="13833" max="13833" width="9.625" style="149" customWidth="1"/>
    <col min="13834" max="13834" width="22.875" style="149" customWidth="1"/>
    <col min="13835" max="13835" width="21.75" style="149" customWidth="1"/>
    <col min="13836" max="13836" width="38.625" style="149" customWidth="1"/>
    <col min="13837" max="13837" width="14.375" style="149" customWidth="1"/>
    <col min="13838" max="13838" width="13.75" style="149" customWidth="1"/>
    <col min="13839" max="13839" width="13.625" style="149" customWidth="1"/>
    <col min="13840" max="13840" width="12.625" style="149" customWidth="1"/>
    <col min="13841" max="13842" width="12.25" style="149" customWidth="1"/>
    <col min="13843" max="13843" width="16.25" style="149" customWidth="1"/>
    <col min="13844" max="13844" width="15.75" style="149" customWidth="1"/>
    <col min="13845" max="14086" width="9.125" style="149"/>
    <col min="14087" max="14087" width="0.875" style="149" customWidth="1"/>
    <col min="14088" max="14088" width="7.375" style="149" customWidth="1"/>
    <col min="14089" max="14089" width="9.625" style="149" customWidth="1"/>
    <col min="14090" max="14090" width="22.875" style="149" customWidth="1"/>
    <col min="14091" max="14091" width="21.75" style="149" customWidth="1"/>
    <col min="14092" max="14092" width="38.625" style="149" customWidth="1"/>
    <col min="14093" max="14093" width="14.375" style="149" customWidth="1"/>
    <col min="14094" max="14094" width="13.75" style="149" customWidth="1"/>
    <col min="14095" max="14095" width="13.625" style="149" customWidth="1"/>
    <col min="14096" max="14096" width="12.625" style="149" customWidth="1"/>
    <col min="14097" max="14098" width="12.25" style="149" customWidth="1"/>
    <col min="14099" max="14099" width="16.25" style="149" customWidth="1"/>
    <col min="14100" max="14100" width="15.75" style="149" customWidth="1"/>
    <col min="14101" max="14342" width="9.125" style="149"/>
    <col min="14343" max="14343" width="0.875" style="149" customWidth="1"/>
    <col min="14344" max="14344" width="7.375" style="149" customWidth="1"/>
    <col min="14345" max="14345" width="9.625" style="149" customWidth="1"/>
    <col min="14346" max="14346" width="22.875" style="149" customWidth="1"/>
    <col min="14347" max="14347" width="21.75" style="149" customWidth="1"/>
    <col min="14348" max="14348" width="38.625" style="149" customWidth="1"/>
    <col min="14349" max="14349" width="14.375" style="149" customWidth="1"/>
    <col min="14350" max="14350" width="13.75" style="149" customWidth="1"/>
    <col min="14351" max="14351" width="13.625" style="149" customWidth="1"/>
    <col min="14352" max="14352" width="12.625" style="149" customWidth="1"/>
    <col min="14353" max="14354" width="12.25" style="149" customWidth="1"/>
    <col min="14355" max="14355" width="16.25" style="149" customWidth="1"/>
    <col min="14356" max="14356" width="15.75" style="149" customWidth="1"/>
    <col min="14357" max="14598" width="9.125" style="149"/>
    <col min="14599" max="14599" width="0.875" style="149" customWidth="1"/>
    <col min="14600" max="14600" width="7.375" style="149" customWidth="1"/>
    <col min="14601" max="14601" width="9.625" style="149" customWidth="1"/>
    <col min="14602" max="14602" width="22.875" style="149" customWidth="1"/>
    <col min="14603" max="14603" width="21.75" style="149" customWidth="1"/>
    <col min="14604" max="14604" width="38.625" style="149" customWidth="1"/>
    <col min="14605" max="14605" width="14.375" style="149" customWidth="1"/>
    <col min="14606" max="14606" width="13.75" style="149" customWidth="1"/>
    <col min="14607" max="14607" width="13.625" style="149" customWidth="1"/>
    <col min="14608" max="14608" width="12.625" style="149" customWidth="1"/>
    <col min="14609" max="14610" width="12.25" style="149" customWidth="1"/>
    <col min="14611" max="14611" width="16.25" style="149" customWidth="1"/>
    <col min="14612" max="14612" width="15.75" style="149" customWidth="1"/>
    <col min="14613" max="14854" width="9.125" style="149"/>
    <col min="14855" max="14855" width="0.875" style="149" customWidth="1"/>
    <col min="14856" max="14856" width="7.375" style="149" customWidth="1"/>
    <col min="14857" max="14857" width="9.625" style="149" customWidth="1"/>
    <col min="14858" max="14858" width="22.875" style="149" customWidth="1"/>
    <col min="14859" max="14859" width="21.75" style="149" customWidth="1"/>
    <col min="14860" max="14860" width="38.625" style="149" customWidth="1"/>
    <col min="14861" max="14861" width="14.375" style="149" customWidth="1"/>
    <col min="14862" max="14862" width="13.75" style="149" customWidth="1"/>
    <col min="14863" max="14863" width="13.625" style="149" customWidth="1"/>
    <col min="14864" max="14864" width="12.625" style="149" customWidth="1"/>
    <col min="14865" max="14866" width="12.25" style="149" customWidth="1"/>
    <col min="14867" max="14867" width="16.25" style="149" customWidth="1"/>
    <col min="14868" max="14868" width="15.75" style="149" customWidth="1"/>
    <col min="14869" max="15110" width="9.125" style="149"/>
    <col min="15111" max="15111" width="0.875" style="149" customWidth="1"/>
    <col min="15112" max="15112" width="7.375" style="149" customWidth="1"/>
    <col min="15113" max="15113" width="9.625" style="149" customWidth="1"/>
    <col min="15114" max="15114" width="22.875" style="149" customWidth="1"/>
    <col min="15115" max="15115" width="21.75" style="149" customWidth="1"/>
    <col min="15116" max="15116" width="38.625" style="149" customWidth="1"/>
    <col min="15117" max="15117" width="14.375" style="149" customWidth="1"/>
    <col min="15118" max="15118" width="13.75" style="149" customWidth="1"/>
    <col min="15119" max="15119" width="13.625" style="149" customWidth="1"/>
    <col min="15120" max="15120" width="12.625" style="149" customWidth="1"/>
    <col min="15121" max="15122" width="12.25" style="149" customWidth="1"/>
    <col min="15123" max="15123" width="16.25" style="149" customWidth="1"/>
    <col min="15124" max="15124" width="15.75" style="149" customWidth="1"/>
    <col min="15125" max="15366" width="9.125" style="149"/>
    <col min="15367" max="15367" width="0.875" style="149" customWidth="1"/>
    <col min="15368" max="15368" width="7.375" style="149" customWidth="1"/>
    <col min="15369" max="15369" width="9.625" style="149" customWidth="1"/>
    <col min="15370" max="15370" width="22.875" style="149" customWidth="1"/>
    <col min="15371" max="15371" width="21.75" style="149" customWidth="1"/>
    <col min="15372" max="15372" width="38.625" style="149" customWidth="1"/>
    <col min="15373" max="15373" width="14.375" style="149" customWidth="1"/>
    <col min="15374" max="15374" width="13.75" style="149" customWidth="1"/>
    <col min="15375" max="15375" width="13.625" style="149" customWidth="1"/>
    <col min="15376" max="15376" width="12.625" style="149" customWidth="1"/>
    <col min="15377" max="15378" width="12.25" style="149" customWidth="1"/>
    <col min="15379" max="15379" width="16.25" style="149" customWidth="1"/>
    <col min="15380" max="15380" width="15.75" style="149" customWidth="1"/>
    <col min="15381" max="15622" width="9.125" style="149"/>
    <col min="15623" max="15623" width="0.875" style="149" customWidth="1"/>
    <col min="15624" max="15624" width="7.375" style="149" customWidth="1"/>
    <col min="15625" max="15625" width="9.625" style="149" customWidth="1"/>
    <col min="15626" max="15626" width="22.875" style="149" customWidth="1"/>
    <col min="15627" max="15627" width="21.75" style="149" customWidth="1"/>
    <col min="15628" max="15628" width="38.625" style="149" customWidth="1"/>
    <col min="15629" max="15629" width="14.375" style="149" customWidth="1"/>
    <col min="15630" max="15630" width="13.75" style="149" customWidth="1"/>
    <col min="15631" max="15631" width="13.625" style="149" customWidth="1"/>
    <col min="15632" max="15632" width="12.625" style="149" customWidth="1"/>
    <col min="15633" max="15634" width="12.25" style="149" customWidth="1"/>
    <col min="15635" max="15635" width="16.25" style="149" customWidth="1"/>
    <col min="15636" max="15636" width="15.75" style="149" customWidth="1"/>
    <col min="15637" max="15878" width="9.125" style="149"/>
    <col min="15879" max="15879" width="0.875" style="149" customWidth="1"/>
    <col min="15880" max="15880" width="7.375" style="149" customWidth="1"/>
    <col min="15881" max="15881" width="9.625" style="149" customWidth="1"/>
    <col min="15882" max="15882" width="22.875" style="149" customWidth="1"/>
    <col min="15883" max="15883" width="21.75" style="149" customWidth="1"/>
    <col min="15884" max="15884" width="38.625" style="149" customWidth="1"/>
    <col min="15885" max="15885" width="14.375" style="149" customWidth="1"/>
    <col min="15886" max="15886" width="13.75" style="149" customWidth="1"/>
    <col min="15887" max="15887" width="13.625" style="149" customWidth="1"/>
    <col min="15888" max="15888" width="12.625" style="149" customWidth="1"/>
    <col min="15889" max="15890" width="12.25" style="149" customWidth="1"/>
    <col min="15891" max="15891" width="16.25" style="149" customWidth="1"/>
    <col min="15892" max="15892" width="15.75" style="149" customWidth="1"/>
    <col min="15893" max="16134" width="9.125" style="149"/>
    <col min="16135" max="16135" width="0.875" style="149" customWidth="1"/>
    <col min="16136" max="16136" width="7.375" style="149" customWidth="1"/>
    <col min="16137" max="16137" width="9.625" style="149" customWidth="1"/>
    <col min="16138" max="16138" width="22.875" style="149" customWidth="1"/>
    <col min="16139" max="16139" width="21.75" style="149" customWidth="1"/>
    <col min="16140" max="16140" width="38.625" style="149" customWidth="1"/>
    <col min="16141" max="16141" width="14.375" style="149" customWidth="1"/>
    <col min="16142" max="16142" width="13.75" style="149" customWidth="1"/>
    <col min="16143" max="16143" width="13.625" style="149" customWidth="1"/>
    <col min="16144" max="16144" width="12.625" style="149" customWidth="1"/>
    <col min="16145" max="16146" width="12.25" style="149" customWidth="1"/>
    <col min="16147" max="16147" width="16.25" style="149" customWidth="1"/>
    <col min="16148" max="16148" width="15.75" style="149" customWidth="1"/>
    <col min="16149" max="16384" width="9.125" style="149"/>
  </cols>
  <sheetData>
    <row r="1" spans="1:28" ht="15.2">
      <c r="G1" s="150"/>
      <c r="I1" s="152"/>
      <c r="J1" s="150"/>
      <c r="L1" s="153"/>
      <c r="M1" s="154"/>
      <c r="O1" s="155"/>
      <c r="P1" s="149"/>
      <c r="Q1" s="149"/>
      <c r="R1" s="150"/>
      <c r="S1" s="154"/>
      <c r="T1" s="149"/>
      <c r="U1" s="149"/>
      <c r="V1" s="149"/>
    </row>
    <row r="2" spans="1:28" s="83" customFormat="1" ht="15.75" customHeight="1">
      <c r="B2" s="524" t="s">
        <v>355</v>
      </c>
      <c r="C2" s="525"/>
      <c r="D2" s="525"/>
      <c r="E2" s="525"/>
      <c r="F2" s="525"/>
      <c r="G2" s="525"/>
      <c r="H2" s="525"/>
      <c r="I2" s="525"/>
      <c r="J2" s="525"/>
      <c r="K2" s="525"/>
      <c r="L2" s="525"/>
      <c r="M2" s="525"/>
      <c r="N2" s="425"/>
      <c r="O2" s="169"/>
    </row>
    <row r="3" spans="1:28" s="145" customFormat="1" ht="15.75" customHeight="1">
      <c r="B3" s="526"/>
      <c r="C3" s="527"/>
      <c r="D3" s="527"/>
      <c r="E3" s="527"/>
      <c r="F3" s="527"/>
      <c r="G3" s="527"/>
      <c r="H3" s="527"/>
      <c r="I3" s="527"/>
      <c r="J3" s="527"/>
      <c r="K3" s="527"/>
      <c r="L3" s="527"/>
      <c r="M3" s="528"/>
      <c r="N3" s="170"/>
      <c r="O3" s="171"/>
    </row>
    <row r="4" spans="1:28" s="145" customFormat="1" ht="15.75" customHeight="1">
      <c r="B4" s="156"/>
      <c r="C4" s="156"/>
      <c r="D4" s="156"/>
      <c r="E4" s="156"/>
      <c r="F4" s="156"/>
      <c r="G4" s="156"/>
      <c r="H4" s="156"/>
      <c r="I4" s="156"/>
      <c r="J4" s="156"/>
      <c r="K4" s="156"/>
      <c r="L4" s="172"/>
      <c r="M4" s="156"/>
      <c r="N4" s="156"/>
      <c r="O4" s="171"/>
      <c r="R4" s="156"/>
      <c r="S4" s="156"/>
    </row>
    <row r="5" spans="1:28" s="145" customFormat="1" ht="15.75" customHeight="1">
      <c r="B5" s="156"/>
      <c r="C5" s="156"/>
      <c r="D5" s="156"/>
      <c r="E5" s="156"/>
      <c r="F5" s="156"/>
      <c r="G5" s="156"/>
      <c r="H5" s="156"/>
      <c r="I5" s="156"/>
      <c r="J5" s="156"/>
      <c r="K5" s="156"/>
      <c r="L5" s="172"/>
      <c r="M5" s="156"/>
      <c r="N5" s="156"/>
      <c r="O5" s="171"/>
      <c r="R5" s="156"/>
      <c r="S5" s="156"/>
    </row>
    <row r="6" spans="1:28" s="145" customFormat="1" ht="15.75" customHeight="1">
      <c r="B6" s="156"/>
      <c r="C6" s="156"/>
      <c r="D6" s="156"/>
      <c r="E6" s="156"/>
      <c r="F6" s="156"/>
      <c r="G6" s="156"/>
      <c r="H6" s="156"/>
      <c r="I6" s="156"/>
      <c r="J6" s="156"/>
      <c r="K6" s="156"/>
      <c r="L6" s="172"/>
      <c r="M6" s="156"/>
      <c r="N6" s="156"/>
      <c r="O6" s="171"/>
      <c r="R6" s="156"/>
      <c r="S6" s="156"/>
    </row>
    <row r="7" spans="1:28" s="146" customFormat="1" ht="42.75" hidden="1" customHeight="1">
      <c r="B7" s="157"/>
      <c r="C7" s="158" t="s">
        <v>201</v>
      </c>
      <c r="D7" s="159">
        <f>AVERAGE(Table1[Schedule Variation (%)])</f>
        <v>0</v>
      </c>
      <c r="F7" s="158" t="s">
        <v>206</v>
      </c>
      <c r="G7" s="159">
        <f>IFERROR((R11-D11)/D11,"")</f>
        <v>0</v>
      </c>
      <c r="H7" s="157"/>
      <c r="I7" s="157"/>
      <c r="J7" s="157"/>
      <c r="K7" s="157"/>
      <c r="L7" s="173"/>
      <c r="M7" s="157"/>
      <c r="O7" s="174" t="s">
        <v>356</v>
      </c>
      <c r="P7" s="175">
        <v>42900</v>
      </c>
      <c r="S7" s="157"/>
    </row>
    <row r="8" spans="1:28" s="145" customFormat="1" ht="15.75" hidden="1" customHeight="1">
      <c r="B8" s="156"/>
      <c r="C8" s="156"/>
      <c r="D8" s="156"/>
      <c r="F8" s="156"/>
      <c r="G8" s="156"/>
      <c r="H8" s="156"/>
      <c r="I8" s="156"/>
      <c r="J8" s="156"/>
      <c r="K8" s="156"/>
      <c r="L8" s="172"/>
      <c r="M8" s="156"/>
      <c r="N8" s="156"/>
      <c r="O8" s="171"/>
      <c r="R8" s="156"/>
      <c r="S8" s="156"/>
    </row>
    <row r="9" spans="1:28" s="145" customFormat="1" ht="21.75" hidden="1" customHeight="1">
      <c r="B9" s="156"/>
      <c r="C9" s="160" t="s">
        <v>357</v>
      </c>
      <c r="D9" s="161">
        <f>IF(LEN(MIN(Table1[Planned Start Date]))&lt;2,"",MIN(Table1[Planned Start Date]))</f>
        <v>44838</v>
      </c>
      <c r="E9" s="162"/>
      <c r="F9" s="160" t="s">
        <v>109</v>
      </c>
      <c r="G9" s="156"/>
      <c r="H9" s="163"/>
      <c r="I9" s="156"/>
      <c r="J9" s="156"/>
      <c r="K9" s="156"/>
      <c r="L9" s="172"/>
      <c r="M9" s="156"/>
      <c r="N9" s="156"/>
      <c r="O9" s="171"/>
      <c r="R9" s="161">
        <f>IF(LEN(MIN(Table1[Actual Start Date]))&lt;2,"",MIN(Table1[Actual Start Date]))</f>
        <v>44838</v>
      </c>
      <c r="S9" s="156"/>
    </row>
    <row r="10" spans="1:28" s="145" customFormat="1" ht="21.75" hidden="1" customHeight="1">
      <c r="B10" s="156"/>
      <c r="C10" s="160" t="s">
        <v>107</v>
      </c>
      <c r="D10" s="161">
        <f>IF(LEN(MAX(Table1[Planned End Date]))&lt;2,"",MAX(Table1[Planned End Date]))</f>
        <v>44865</v>
      </c>
      <c r="E10" s="162"/>
      <c r="F10" s="160" t="s">
        <v>110</v>
      </c>
      <c r="G10" s="156"/>
      <c r="H10" s="156"/>
      <c r="I10" s="156"/>
      <c r="J10" s="156"/>
      <c r="K10" s="156"/>
      <c r="L10" s="172"/>
      <c r="M10" s="156"/>
      <c r="N10" s="156"/>
      <c r="O10" s="171"/>
      <c r="R10" s="161">
        <f>IF(LEN(MAX(Table1[Actual End Date]))&lt;2,"",MAX(Table1[Actual End Date]))</f>
        <v>44865</v>
      </c>
      <c r="S10" s="156"/>
    </row>
    <row r="11" spans="1:28" s="145" customFormat="1" ht="19.5" hidden="1" customHeight="1">
      <c r="B11" s="156"/>
      <c r="C11" s="160" t="s">
        <v>118</v>
      </c>
      <c r="D11" s="164">
        <f>SUM(Table1[Estimated Effort (Hours)])</f>
        <v>149</v>
      </c>
      <c r="E11" s="156"/>
      <c r="F11" s="160" t="s">
        <v>143</v>
      </c>
      <c r="G11" s="156"/>
      <c r="H11" s="156"/>
      <c r="I11" s="156"/>
      <c r="J11" s="156"/>
      <c r="K11" s="156"/>
      <c r="L11" s="172"/>
      <c r="M11" s="156"/>
      <c r="N11" s="156"/>
      <c r="O11" s="171"/>
      <c r="R11" s="180">
        <f>SUM(Table1[Actual Effort (Hours)])</f>
        <v>149</v>
      </c>
      <c r="S11" s="156"/>
    </row>
    <row r="12" spans="1:28" s="145" customFormat="1" ht="15.75" customHeight="1">
      <c r="B12" s="156"/>
      <c r="C12" s="156"/>
      <c r="D12" s="156"/>
      <c r="E12" s="156"/>
      <c r="F12" s="156"/>
      <c r="G12" s="156"/>
      <c r="I12" s="156"/>
      <c r="J12" s="156"/>
      <c r="K12" s="156"/>
      <c r="L12" s="172"/>
      <c r="M12" s="156"/>
      <c r="N12" s="156"/>
      <c r="O12" s="171"/>
      <c r="R12" s="156"/>
      <c r="S12" s="156"/>
    </row>
    <row r="13" spans="1:28" s="147" customFormat="1" ht="15.75" customHeight="1">
      <c r="B13" s="165" t="s">
        <v>358</v>
      </c>
      <c r="C13" s="166"/>
      <c r="D13" s="166"/>
      <c r="E13" s="166"/>
      <c r="F13" s="166"/>
      <c r="G13" s="166"/>
      <c r="H13" s="166"/>
      <c r="I13" s="166"/>
      <c r="J13" s="166"/>
      <c r="K13" s="166"/>
      <c r="L13" s="176"/>
      <c r="M13" s="166"/>
      <c r="N13" s="166"/>
      <c r="O13" s="177"/>
      <c r="R13" s="166"/>
      <c r="S13" s="166"/>
    </row>
    <row r="14" spans="1:28" s="86" customFormat="1" ht="58.5" customHeight="1">
      <c r="B14" s="426" t="s">
        <v>100</v>
      </c>
      <c r="C14" s="426" t="s">
        <v>101</v>
      </c>
      <c r="D14" s="426" t="s">
        <v>102</v>
      </c>
      <c r="E14" s="426" t="s">
        <v>103</v>
      </c>
      <c r="F14" s="426" t="s">
        <v>104</v>
      </c>
      <c r="G14" s="426" t="s">
        <v>105</v>
      </c>
      <c r="H14" s="427" t="s">
        <v>106</v>
      </c>
      <c r="I14" s="427" t="s">
        <v>107</v>
      </c>
      <c r="J14" s="427" t="s">
        <v>108</v>
      </c>
      <c r="K14" s="426" t="s">
        <v>109</v>
      </c>
      <c r="L14" s="426" t="s">
        <v>110</v>
      </c>
      <c r="M14" s="426" t="s">
        <v>111</v>
      </c>
      <c r="N14" s="426" t="s">
        <v>359</v>
      </c>
      <c r="O14" s="427" t="s">
        <v>360</v>
      </c>
      <c r="P14" s="427" t="s">
        <v>361</v>
      </c>
      <c r="Q14" s="426" t="s">
        <v>362</v>
      </c>
      <c r="R14" s="426" t="s">
        <v>324</v>
      </c>
      <c r="S14" s="426" t="s">
        <v>363</v>
      </c>
      <c r="T14" s="428" t="s">
        <v>364</v>
      </c>
      <c r="U14" s="426" t="s">
        <v>365</v>
      </c>
      <c r="W14" s="181"/>
      <c r="X14" s="181"/>
      <c r="Y14" s="181"/>
      <c r="Z14" s="187"/>
      <c r="AA14" s="187"/>
      <c r="AB14" s="188"/>
    </row>
    <row r="15" spans="1:28" s="148" customFormat="1" ht="12">
      <c r="A15" s="167"/>
      <c r="B15" s="102">
        <v>5</v>
      </c>
      <c r="C15" s="102" t="s">
        <v>366</v>
      </c>
      <c r="D15" s="143" t="s">
        <v>367</v>
      </c>
      <c r="E15" s="123" t="s">
        <v>187</v>
      </c>
      <c r="F15" s="410" t="s">
        <v>368</v>
      </c>
      <c r="G15" s="129" t="s">
        <v>369</v>
      </c>
      <c r="H15" s="124">
        <v>44848</v>
      </c>
      <c r="I15" s="124">
        <v>44849</v>
      </c>
      <c r="J15" s="129">
        <v>9</v>
      </c>
      <c r="K15" s="124">
        <v>44848</v>
      </c>
      <c r="L15" s="124">
        <v>44848</v>
      </c>
      <c r="M15" s="129">
        <v>9</v>
      </c>
      <c r="N15" s="129">
        <f>Table1[[#This Row],[Estimated Effort (Hours)]]/NETWORKDAYS(Table1[[#This Row],[Planned Start Date]],Table1[[#This Row],[Planned End Date]])</f>
        <v>9</v>
      </c>
      <c r="O15" s="178">
        <f>NETWORKDAYS(Table1[[#This Row],[Planned Start Date]],Table1[[#This Row],[Planned End Date]])</f>
        <v>1</v>
      </c>
      <c r="P15" s="178">
        <f>NETWORKDAYS(Table1[[#This Row],[Planned Start Date]],$P$7)</f>
        <v>-1393</v>
      </c>
      <c r="Q15" s="182">
        <v>1</v>
      </c>
      <c r="R15" s="183" t="str">
        <f>IF(Table1[[#This Row],[Actual Effort (Hours)]]="","",IF(Table1[[#This Row],[Estimated Effort (Hours)]]&lt;20,"L1",IF(Table1[[#This Row],[Estimated Effort (Hours)]]&lt;50,"L2",IF(Table1[[#This Row],[Estimated Effort (Hours)]]&lt;150,"L3",IF(Table1[[#This Row],[Estimated Effort (Hours)]]&lt;300,"L4","L5")))))</f>
        <v>L1</v>
      </c>
      <c r="S15" s="184" t="str">
        <f>IF(Table1[[#This Row],[Actual End Date]]="","",TEXT(Table1[[#This Row],[Actual End Date]],"mmm-yy"))</f>
        <v>Oct-22</v>
      </c>
      <c r="T15" s="185">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0</v>
      </c>
      <c r="U15" s="185">
        <f>IFERROR((Table1[[#This Row],[Actual Effort (Hours)]]-Table1[[#This Row],[Estimated Effort (Hours)]])/Table1[[#This Row],[Estimated Effort (Hours)]],"")</f>
        <v>0</v>
      </c>
      <c r="W15" s="186"/>
      <c r="X15" s="186"/>
      <c r="Y15" s="189"/>
      <c r="Z15" s="186"/>
      <c r="AA15" s="186"/>
      <c r="AB15" s="190"/>
    </row>
    <row r="16" spans="1:28" s="148" customFormat="1" ht="13.5">
      <c r="A16" s="167"/>
      <c r="B16" s="102">
        <v>10</v>
      </c>
      <c r="C16" s="102" t="s">
        <v>370</v>
      </c>
      <c r="D16" s="168" t="s">
        <v>367</v>
      </c>
      <c r="E16" s="168" t="s">
        <v>187</v>
      </c>
      <c r="F16" s="168" t="s">
        <v>371</v>
      </c>
      <c r="G16" s="129" t="s">
        <v>369</v>
      </c>
      <c r="H16" s="124">
        <v>44855</v>
      </c>
      <c r="I16" s="124">
        <v>44865</v>
      </c>
      <c r="J16" s="129">
        <v>30</v>
      </c>
      <c r="K16" s="124">
        <v>44855</v>
      </c>
      <c r="L16" s="124">
        <v>44865</v>
      </c>
      <c r="M16" s="129">
        <v>30</v>
      </c>
      <c r="N16" s="129">
        <f>Table1[[#This Row],[Estimated Effort (Hours)]]/NETWORKDAYS(Table1[[#This Row],[Planned Start Date]],Table1[[#This Row],[Planned End Date]])</f>
        <v>4.2857142857142856</v>
      </c>
      <c r="O16" s="178">
        <f>NETWORKDAYS(Table1[[#This Row],[Planned Start Date]],Table1[[#This Row],[Planned End Date]])</f>
        <v>7</v>
      </c>
      <c r="P16" s="178">
        <f>NETWORKDAYS(Table1[[#This Row],[Planned Start Date]],$P$7)</f>
        <v>-1398</v>
      </c>
      <c r="Q16" s="182">
        <v>0.6</v>
      </c>
      <c r="R16" s="183" t="str">
        <f>IF(Table1[[#This Row],[Actual Effort (Hours)]]="","",IF(Table1[[#This Row],[Estimated Effort (Hours)]]&lt;20,"L1",IF(Table1[[#This Row],[Estimated Effort (Hours)]]&lt;50,"L2",IF(Table1[[#This Row],[Estimated Effort (Hours)]]&lt;150,"L3",IF(Table1[[#This Row],[Estimated Effort (Hours)]]&lt;300,"L4","L5")))))</f>
        <v>L2</v>
      </c>
      <c r="S16" s="184" t="str">
        <f>IF(Table1[[#This Row],[Actual End Date]]="","",TEXT(Table1[[#This Row],[Actual End Date]],"mmm-yy"))</f>
        <v>Oct-22</v>
      </c>
      <c r="T16" s="185">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0</v>
      </c>
      <c r="U16" s="185">
        <f>IFERROR((Table1[[#This Row],[Actual Effort (Hours)]]-Table1[[#This Row],[Estimated Effort (Hours)]])/Table1[[#This Row],[Estimated Effort (Hours)]],"")</f>
        <v>0</v>
      </c>
      <c r="W16" s="186"/>
      <c r="X16" s="186"/>
      <c r="Y16" s="189"/>
      <c r="Z16" s="186"/>
      <c r="AA16" s="186"/>
      <c r="AB16" s="190"/>
    </row>
    <row r="17" spans="1:28" s="148" customFormat="1" ht="12">
      <c r="A17" s="167"/>
      <c r="B17" s="102">
        <v>5</v>
      </c>
      <c r="C17" s="102" t="s">
        <v>372</v>
      </c>
      <c r="D17" s="168" t="s">
        <v>367</v>
      </c>
      <c r="E17" s="168" t="s">
        <v>187</v>
      </c>
      <c r="F17" s="411" t="s">
        <v>373</v>
      </c>
      <c r="G17" s="168" t="s">
        <v>369</v>
      </c>
      <c r="H17" s="124">
        <v>44845</v>
      </c>
      <c r="I17" s="124">
        <v>44847</v>
      </c>
      <c r="J17" s="179">
        <v>9</v>
      </c>
      <c r="K17" s="124">
        <v>44847</v>
      </c>
      <c r="L17" s="124">
        <v>44847</v>
      </c>
      <c r="M17" s="102">
        <v>9</v>
      </c>
      <c r="N17" s="129">
        <f>Table1[[#This Row],[Estimated Effort (Hours)]]/NETWORKDAYS(Table1[[#This Row],[Planned Start Date]],Table1[[#This Row],[Planned End Date]])</f>
        <v>3</v>
      </c>
      <c r="O17" s="178">
        <f>NETWORKDAYS(Table1[[#This Row],[Planned Start Date]],Table1[[#This Row],[Planned End Date]])</f>
        <v>3</v>
      </c>
      <c r="P17" s="178">
        <f>NETWORKDAYS(Table1[[#This Row],[Planned Start Date]],$P$7)</f>
        <v>-1390</v>
      </c>
      <c r="Q17" s="182">
        <v>1</v>
      </c>
      <c r="R17" s="183" t="str">
        <f>IF(Table1[[#This Row],[Actual Effort (Hours)]]="","",IF(Table1[[#This Row],[Estimated Effort (Hours)]]&lt;20,"L1",IF(Table1[[#This Row],[Estimated Effort (Hours)]]&lt;50,"L2",IF(Table1[[#This Row],[Estimated Effort (Hours)]]&lt;150,"L3",IF(Table1[[#This Row],[Estimated Effort (Hours)]]&lt;300,"L4","L5")))))</f>
        <v>L1</v>
      </c>
      <c r="S17" s="184" t="str">
        <f>IF(Table1[[#This Row],[Actual End Date]]="","",TEXT(Table1[[#This Row],[Actual End Date]],"mmm-yy"))</f>
        <v>Oct-22</v>
      </c>
      <c r="T17" s="185">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0</v>
      </c>
      <c r="U17" s="185">
        <f>IFERROR((Table1[[#This Row],[Actual Effort (Hours)]]-Table1[[#This Row],[Estimated Effort (Hours)]])/Table1[[#This Row],[Estimated Effort (Hours)]],"")</f>
        <v>0</v>
      </c>
      <c r="W17" s="186"/>
      <c r="X17" s="186"/>
      <c r="Y17" s="189"/>
      <c r="Z17" s="186"/>
      <c r="AA17" s="186"/>
      <c r="AB17" s="190"/>
    </row>
    <row r="18" spans="1:28" s="148" customFormat="1" ht="13.5">
      <c r="A18" s="167"/>
      <c r="B18" s="102">
        <v>5</v>
      </c>
      <c r="C18" s="102" t="s">
        <v>374</v>
      </c>
      <c r="D18" s="168" t="s">
        <v>375</v>
      </c>
      <c r="E18" s="168" t="s">
        <v>187</v>
      </c>
      <c r="F18" s="168" t="s">
        <v>376</v>
      </c>
      <c r="G18" s="168" t="s">
        <v>369</v>
      </c>
      <c r="H18" s="124">
        <v>44851</v>
      </c>
      <c r="I18" s="124">
        <v>44855</v>
      </c>
      <c r="J18" s="129">
        <v>45</v>
      </c>
      <c r="K18" s="124">
        <v>44851</v>
      </c>
      <c r="L18" s="124">
        <v>44855</v>
      </c>
      <c r="M18" s="129">
        <v>45</v>
      </c>
      <c r="N18" s="129">
        <f>Table1[[#This Row],[Estimated Effort (Hours)]]/NETWORKDAYS(Table1[[#This Row],[Planned Start Date]],Table1[[#This Row],[Planned End Date]])</f>
        <v>9</v>
      </c>
      <c r="O18" s="178">
        <f>NETWORKDAYS(Table1[[#This Row],[Planned Start Date]],Table1[[#This Row],[Planned End Date]])</f>
        <v>5</v>
      </c>
      <c r="P18" s="178">
        <f>NETWORKDAYS(Table1[[#This Row],[Planned Start Date]],$P$7)</f>
        <v>-1394</v>
      </c>
      <c r="Q18" s="182">
        <v>1</v>
      </c>
      <c r="R18" s="183" t="str">
        <f>IF(Table1[[#This Row],[Actual Effort (Hours)]]="","",IF(Table1[[#This Row],[Estimated Effort (Hours)]]&lt;20,"L1",IF(Table1[[#This Row],[Estimated Effort (Hours)]]&lt;50,"L2",IF(Table1[[#This Row],[Estimated Effort (Hours)]]&lt;150,"L3",IF(Table1[[#This Row],[Estimated Effort (Hours)]]&lt;300,"L4","L5")))))</f>
        <v>L2</v>
      </c>
      <c r="S18" s="184" t="str">
        <f>IF(Table1[[#This Row],[Actual End Date]]="","",TEXT(Table1[[#This Row],[Actual End Date]],"mmm-yy"))</f>
        <v>Oct-22</v>
      </c>
      <c r="T18" s="185">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0</v>
      </c>
      <c r="U18" s="185">
        <f>IFERROR((Table1[[#This Row],[Actual Effort (Hours)]]-Table1[[#This Row],[Estimated Effort (Hours)]])/Table1[[#This Row],[Estimated Effort (Hours)]],"")</f>
        <v>0</v>
      </c>
      <c r="W18" s="186"/>
      <c r="X18" s="186"/>
      <c r="Y18" s="189"/>
      <c r="Z18" s="186"/>
      <c r="AA18" s="186"/>
      <c r="AB18" s="190"/>
    </row>
    <row r="19" spans="1:28" s="148" customFormat="1" ht="13.5">
      <c r="A19" s="167"/>
      <c r="B19" s="102">
        <v>5</v>
      </c>
      <c r="C19" s="102" t="s">
        <v>377</v>
      </c>
      <c r="D19" s="143" t="s">
        <v>367</v>
      </c>
      <c r="E19" s="168" t="s">
        <v>187</v>
      </c>
      <c r="F19" s="143" t="s">
        <v>378</v>
      </c>
      <c r="G19" s="129" t="s">
        <v>369</v>
      </c>
      <c r="H19" s="124">
        <v>44838</v>
      </c>
      <c r="I19" s="124">
        <v>44846</v>
      </c>
      <c r="J19" s="129">
        <v>36</v>
      </c>
      <c r="K19" s="124">
        <v>44838</v>
      </c>
      <c r="L19" s="124">
        <v>44846</v>
      </c>
      <c r="M19" s="129">
        <v>36</v>
      </c>
      <c r="N19" s="129">
        <f>Table1[[#This Row],[Estimated Effort (Hours)]]/NETWORKDAYS(Table1[[#This Row],[Planned Start Date]],Table1[[#This Row],[Planned End Date]])</f>
        <v>5.1428571428571432</v>
      </c>
      <c r="O19" s="178">
        <f>NETWORKDAYS(Table1[[#This Row],[Planned Start Date]],Table1[[#This Row],[Planned End Date]])</f>
        <v>7</v>
      </c>
      <c r="P19" s="178">
        <f>NETWORKDAYS(Table1[[#This Row],[Planned Start Date]],$P$7)</f>
        <v>-1385</v>
      </c>
      <c r="Q19" s="182">
        <v>1</v>
      </c>
      <c r="R19" s="183" t="str">
        <f>IF(Table1[[#This Row],[Actual Effort (Hours)]]="","",IF(Table1[[#This Row],[Estimated Effort (Hours)]]&lt;20,"L1",IF(Table1[[#This Row],[Estimated Effort (Hours)]]&lt;50,"L2",IF(Table1[[#This Row],[Estimated Effort (Hours)]]&lt;150,"L3",IF(Table1[[#This Row],[Estimated Effort (Hours)]]&lt;300,"L4","L5")))))</f>
        <v>L2</v>
      </c>
      <c r="S19" s="184" t="str">
        <f>IF(Table1[[#This Row],[Actual End Date]]="","",TEXT(Table1[[#This Row],[Actual End Date]],"mmm-yy"))</f>
        <v>Oct-22</v>
      </c>
      <c r="T19" s="185">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0</v>
      </c>
      <c r="U19" s="185">
        <f>IFERROR((Table1[[#This Row],[Actual Effort (Hours)]]-Table1[[#This Row],[Estimated Effort (Hours)]])/Table1[[#This Row],[Estimated Effort (Hours)]],"")</f>
        <v>0</v>
      </c>
      <c r="W19" s="186"/>
      <c r="X19" s="186"/>
      <c r="Y19" s="189"/>
      <c r="Z19" s="191"/>
      <c r="AA19" s="191"/>
      <c r="AB19" s="190"/>
    </row>
    <row r="20" spans="1:28" s="148" customFormat="1" ht="13.5">
      <c r="A20" s="167"/>
      <c r="B20" s="102">
        <v>5</v>
      </c>
      <c r="C20" s="102" t="s">
        <v>372</v>
      </c>
      <c r="D20" s="143" t="s">
        <v>367</v>
      </c>
      <c r="E20" s="168" t="s">
        <v>187</v>
      </c>
      <c r="F20" s="143" t="s">
        <v>379</v>
      </c>
      <c r="G20" s="129" t="s">
        <v>380</v>
      </c>
      <c r="H20" s="124">
        <v>44846</v>
      </c>
      <c r="I20" s="124">
        <v>44847</v>
      </c>
      <c r="J20" s="129">
        <v>9</v>
      </c>
      <c r="K20" s="124">
        <v>44847</v>
      </c>
      <c r="L20" s="124">
        <v>44847</v>
      </c>
      <c r="M20" s="129">
        <v>9</v>
      </c>
      <c r="N20" s="129">
        <f>Table1[[#This Row],[Estimated Effort (Hours)]]/NETWORKDAYS(Table1[[#This Row],[Planned Start Date]],Table1[[#This Row],[Planned End Date]])</f>
        <v>4.5</v>
      </c>
      <c r="O20" s="178">
        <f>NETWORKDAYS(Table1[[#This Row],[Planned Start Date]],Table1[[#This Row],[Planned End Date]])</f>
        <v>2</v>
      </c>
      <c r="P20" s="178">
        <f>NETWORKDAYS(Table1[[#This Row],[Planned Start Date]],$P$7)</f>
        <v>-1391</v>
      </c>
      <c r="Q20" s="182">
        <v>1</v>
      </c>
      <c r="R20" s="183" t="str">
        <f>IF(Table1[[#This Row],[Actual Effort (Hours)]]="","",IF(Table1[[#This Row],[Estimated Effort (Hours)]]&lt;20,"L1",IF(Table1[[#This Row],[Estimated Effort (Hours)]]&lt;50,"L2",IF(Table1[[#This Row],[Estimated Effort (Hours)]]&lt;150,"L3",IF(Table1[[#This Row],[Estimated Effort (Hours)]]&lt;300,"L4","L5")))))</f>
        <v>L1</v>
      </c>
      <c r="S20" s="184" t="str">
        <f>IF(Table1[[#This Row],[Actual End Date]]="","",TEXT(Table1[[#This Row],[Actual End Date]],"mmm-yy"))</f>
        <v>Oct-22</v>
      </c>
      <c r="T20" s="185">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0</v>
      </c>
      <c r="U20" s="185">
        <f>IFERROR((Table1[[#This Row],[Actual Effort (Hours)]]-Table1[[#This Row],[Estimated Effort (Hours)]])/Table1[[#This Row],[Estimated Effort (Hours)]],"")</f>
        <v>0</v>
      </c>
      <c r="W20" s="186"/>
      <c r="X20" s="186"/>
      <c r="Y20" s="189"/>
      <c r="Z20" s="191"/>
      <c r="AA20" s="191"/>
      <c r="AB20" s="190"/>
    </row>
    <row r="21" spans="1:28" s="148" customFormat="1" ht="13.5">
      <c r="A21" s="167"/>
      <c r="B21" s="102">
        <v>5</v>
      </c>
      <c r="C21" s="102" t="s">
        <v>377</v>
      </c>
      <c r="D21" s="168" t="s">
        <v>367</v>
      </c>
      <c r="E21" s="168" t="s">
        <v>187</v>
      </c>
      <c r="F21" s="168" t="s">
        <v>381</v>
      </c>
      <c r="G21" s="168" t="s">
        <v>369</v>
      </c>
      <c r="H21" s="124">
        <v>44838</v>
      </c>
      <c r="I21" s="124">
        <v>44865</v>
      </c>
      <c r="J21" s="129">
        <v>11</v>
      </c>
      <c r="K21" s="124">
        <v>44848</v>
      </c>
      <c r="L21" s="124">
        <v>44865</v>
      </c>
      <c r="M21" s="129">
        <v>11</v>
      </c>
      <c r="N21" s="129">
        <f>Table1[[#This Row],[Estimated Effort (Hours)]]/NETWORKDAYS(Table1[[#This Row],[Planned Start Date]],Table1[[#This Row],[Planned End Date]])</f>
        <v>0.55000000000000004</v>
      </c>
      <c r="O21" s="178">
        <f>NETWORKDAYS(Table1[[#This Row],[Planned Start Date]],Table1[[#This Row],[Planned End Date]])</f>
        <v>20</v>
      </c>
      <c r="P21" s="178">
        <f>NETWORKDAYS(Table1[[#This Row],[Planned Start Date]],$P$7)</f>
        <v>-1385</v>
      </c>
      <c r="Q21" s="182">
        <v>1</v>
      </c>
      <c r="R21" s="183" t="str">
        <f>IF(Table1[[#This Row],[Actual Effort (Hours)]]="","",IF(Table1[[#This Row],[Estimated Effort (Hours)]]&lt;20,"L1",IF(Table1[[#This Row],[Estimated Effort (Hours)]]&lt;50,"L2",IF(Table1[[#This Row],[Estimated Effort (Hours)]]&lt;150,"L3",IF(Table1[[#This Row],[Estimated Effort (Hours)]]&lt;300,"L4","L5")))))</f>
        <v>L1</v>
      </c>
      <c r="S21" s="184" t="str">
        <f>IF(Table1[[#This Row],[Actual End Date]]="","",TEXT(Table1[[#This Row],[Actual End Date]],"mmm-yy"))</f>
        <v>Oct-22</v>
      </c>
      <c r="T21" s="185">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0</v>
      </c>
      <c r="U21" s="185">
        <f>IFERROR((Table1[[#This Row],[Actual Effort (Hours)]]-Table1[[#This Row],[Estimated Effort (Hours)]])/Table1[[#This Row],[Estimated Effort (Hours)]],"")</f>
        <v>0</v>
      </c>
      <c r="W21" s="186"/>
      <c r="X21" s="186"/>
      <c r="Y21" s="189"/>
      <c r="Z21" s="191"/>
      <c r="AA21" s="191"/>
      <c r="AB21" s="190"/>
    </row>
    <row r="22" spans="1:28" s="148" customFormat="1" ht="13.5">
      <c r="A22" s="167"/>
      <c r="B22" s="102"/>
      <c r="C22" s="102"/>
      <c r="D22" s="168"/>
      <c r="E22" s="168"/>
      <c r="F22" s="168"/>
      <c r="G22" s="168"/>
      <c r="H22" s="124"/>
      <c r="I22" s="124"/>
      <c r="J22" s="129"/>
      <c r="K22" s="124"/>
      <c r="L22" s="124"/>
      <c r="M22" s="129"/>
      <c r="N22" s="129" t="e">
        <f>Table1[[#This Row],[Estimated Effort (Hours)]]/NETWORKDAYS(Table1[[#This Row],[Planned Start Date]],Table1[[#This Row],[Planned End Date]])</f>
        <v>#DIV/0!</v>
      </c>
      <c r="O22" s="178">
        <f>NETWORKDAYS(Table1[[#This Row],[Planned Start Date]],Table1[[#This Row],[Planned End Date]])</f>
        <v>0</v>
      </c>
      <c r="P22" s="178">
        <f>NETWORKDAYS(Table1[[#This Row],[Planned Start Date]],$P$7)</f>
        <v>30643</v>
      </c>
      <c r="Q22" s="182">
        <v>1</v>
      </c>
      <c r="R22" s="183" t="str">
        <f>IF(Table1[[#This Row],[Actual Effort (Hours)]]="","",IF(Table1[[#This Row],[Estimated Effort (Hours)]]&lt;20,"L1",IF(Table1[[#This Row],[Estimated Effort (Hours)]]&lt;50,"L2",IF(Table1[[#This Row],[Estimated Effort (Hours)]]&lt;150,"L3",IF(Table1[[#This Row],[Estimated Effort (Hours)]]&lt;300,"L4","L5")))))</f>
        <v/>
      </c>
      <c r="S22" s="184" t="str">
        <f>IF(Table1[[#This Row],[Actual End Date]]="","",TEXT(Table1[[#This Row],[Actual End Date]],"mmm-yy"))</f>
        <v/>
      </c>
      <c r="T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 s="185" t="str">
        <f>IFERROR((Table1[[#This Row],[Actual Effort (Hours)]]-Table1[[#This Row],[Estimated Effort (Hours)]])/Table1[[#This Row],[Estimated Effort (Hours)]],"")</f>
        <v/>
      </c>
      <c r="W22" s="186"/>
      <c r="X22" s="186"/>
      <c r="Y22" s="189"/>
      <c r="Z22" s="191"/>
      <c r="AA22" s="191"/>
      <c r="AB22" s="190"/>
    </row>
    <row r="23" spans="1:28" s="148" customFormat="1" ht="13.5">
      <c r="A23" s="167"/>
      <c r="B23" s="102"/>
      <c r="C23" s="102"/>
      <c r="D23" s="168"/>
      <c r="E23" s="168"/>
      <c r="F23" s="143"/>
      <c r="G23" s="168"/>
      <c r="H23" s="124"/>
      <c r="I23" s="124"/>
      <c r="J23" s="129"/>
      <c r="K23" s="124"/>
      <c r="L23" s="124"/>
      <c r="M23" s="129"/>
      <c r="N23" s="129" t="e">
        <f>Table1[[#This Row],[Estimated Effort (Hours)]]/NETWORKDAYS(Table1[[#This Row],[Planned Start Date]],Table1[[#This Row],[Planned End Date]])</f>
        <v>#DIV/0!</v>
      </c>
      <c r="O23" s="178">
        <f>NETWORKDAYS(Table1[[#This Row],[Planned Start Date]],Table1[[#This Row],[Planned End Date]])</f>
        <v>0</v>
      </c>
      <c r="P23" s="178">
        <f>NETWORKDAYS(Table1[[#This Row],[Planned Start Date]],$P$7)</f>
        <v>30643</v>
      </c>
      <c r="Q23" s="182">
        <v>1</v>
      </c>
      <c r="R23" s="183" t="str">
        <f>IF(Table1[[#This Row],[Actual Effort (Hours)]]="","",IF(Table1[[#This Row],[Estimated Effort (Hours)]]&lt;20,"L1",IF(Table1[[#This Row],[Estimated Effort (Hours)]]&lt;50,"L2",IF(Table1[[#This Row],[Estimated Effort (Hours)]]&lt;150,"L3",IF(Table1[[#This Row],[Estimated Effort (Hours)]]&lt;300,"L4","L5")))))</f>
        <v/>
      </c>
      <c r="S23" s="184" t="str">
        <f>IF(Table1[[#This Row],[Actual End Date]]="","",TEXT(Table1[[#This Row],[Actual End Date]],"mmm-yy"))</f>
        <v/>
      </c>
      <c r="T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 s="185" t="str">
        <f>IFERROR((Table1[[#This Row],[Actual Effort (Hours)]]-Table1[[#This Row],[Estimated Effort (Hours)]])/Table1[[#This Row],[Estimated Effort (Hours)]],"")</f>
        <v/>
      </c>
      <c r="W23" s="186"/>
      <c r="X23" s="186"/>
      <c r="Y23" s="189"/>
      <c r="Z23" s="191"/>
      <c r="AA23" s="191"/>
      <c r="AB23" s="190"/>
    </row>
    <row r="24" spans="1:28" s="148" customFormat="1" ht="13.5">
      <c r="A24" s="167"/>
      <c r="B24" s="102"/>
      <c r="C24" s="102"/>
      <c r="D24" s="168"/>
      <c r="E24" s="168"/>
      <c r="F24" s="168"/>
      <c r="G24" s="168"/>
      <c r="H24" s="124"/>
      <c r="I24" s="124"/>
      <c r="J24" s="129"/>
      <c r="K24" s="124"/>
      <c r="L24" s="124"/>
      <c r="M24" s="129"/>
      <c r="N24" s="129" t="e">
        <f>Table1[[#This Row],[Estimated Effort (Hours)]]/NETWORKDAYS(Table1[[#This Row],[Planned Start Date]],Table1[[#This Row],[Planned End Date]])</f>
        <v>#DIV/0!</v>
      </c>
      <c r="O24" s="178">
        <f>NETWORKDAYS(Table1[[#This Row],[Planned Start Date]],Table1[[#This Row],[Planned End Date]])</f>
        <v>0</v>
      </c>
      <c r="P24" s="178">
        <f>NETWORKDAYS(Table1[[#This Row],[Planned Start Date]],$P$7)</f>
        <v>30643</v>
      </c>
      <c r="Q24" s="182">
        <v>1</v>
      </c>
      <c r="R24" s="183" t="str">
        <f>IF(Table1[[#This Row],[Actual Effort (Hours)]]="","",IF(Table1[[#This Row],[Estimated Effort (Hours)]]&lt;20,"L1",IF(Table1[[#This Row],[Estimated Effort (Hours)]]&lt;50,"L2",IF(Table1[[#This Row],[Estimated Effort (Hours)]]&lt;150,"L3",IF(Table1[[#This Row],[Estimated Effort (Hours)]]&lt;300,"L4","L5")))))</f>
        <v/>
      </c>
      <c r="S24" s="184" t="str">
        <f>IF(Table1[[#This Row],[Actual End Date]]="","",TEXT(Table1[[#This Row],[Actual End Date]],"mmm-yy"))</f>
        <v/>
      </c>
      <c r="T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 s="185" t="str">
        <f>IFERROR((Table1[[#This Row],[Actual Effort (Hours)]]-Table1[[#This Row],[Estimated Effort (Hours)]])/Table1[[#This Row],[Estimated Effort (Hours)]],"")</f>
        <v/>
      </c>
      <c r="W24" s="186"/>
      <c r="X24" s="186"/>
      <c r="Y24" s="189"/>
      <c r="Z24" s="191"/>
      <c r="AA24" s="191"/>
      <c r="AB24" s="190"/>
    </row>
    <row r="25" spans="1:28" s="148" customFormat="1" ht="13.5">
      <c r="A25" s="167"/>
      <c r="B25" s="102"/>
      <c r="C25" s="102"/>
      <c r="D25" s="168"/>
      <c r="E25" s="168"/>
      <c r="F25" s="168"/>
      <c r="G25" s="129"/>
      <c r="H25" s="124"/>
      <c r="I25" s="124"/>
      <c r="J25" s="129"/>
      <c r="K25" s="124"/>
      <c r="L25" s="124"/>
      <c r="M25" s="129"/>
      <c r="N25" s="129" t="e">
        <f>Table1[[#This Row],[Estimated Effort (Hours)]]/NETWORKDAYS(Table1[[#This Row],[Planned Start Date]],Table1[[#This Row],[Planned End Date]])</f>
        <v>#DIV/0!</v>
      </c>
      <c r="O25" s="178">
        <f>NETWORKDAYS(Table1[[#This Row],[Planned Start Date]],Table1[[#This Row],[Planned End Date]])</f>
        <v>0</v>
      </c>
      <c r="P25" s="178">
        <f>NETWORKDAYS(Table1[[#This Row],[Planned Start Date]],$P$7)</f>
        <v>30643</v>
      </c>
      <c r="Q25" s="182">
        <v>1</v>
      </c>
      <c r="R25" s="183" t="str">
        <f>IF(Table1[[#This Row],[Actual Effort (Hours)]]="","",IF(Table1[[#This Row],[Estimated Effort (Hours)]]&lt;20,"L1",IF(Table1[[#This Row],[Estimated Effort (Hours)]]&lt;50,"L2",IF(Table1[[#This Row],[Estimated Effort (Hours)]]&lt;150,"L3",IF(Table1[[#This Row],[Estimated Effort (Hours)]]&lt;300,"L4","L5")))))</f>
        <v/>
      </c>
      <c r="S25" s="184" t="str">
        <f>IF(Table1[[#This Row],[Actual End Date]]="","",TEXT(Table1[[#This Row],[Actual End Date]],"mmm-yy"))</f>
        <v/>
      </c>
      <c r="T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 s="185" t="str">
        <f>IFERROR((Table1[[#This Row],[Actual Effort (Hours)]]-Table1[[#This Row],[Estimated Effort (Hours)]])/Table1[[#This Row],[Estimated Effort (Hours)]],"")</f>
        <v/>
      </c>
      <c r="W25" s="186"/>
      <c r="X25" s="186"/>
      <c r="Y25" s="189"/>
      <c r="Z25" s="191"/>
      <c r="AA25" s="191"/>
      <c r="AB25" s="190"/>
    </row>
    <row r="26" spans="1:28" s="148" customFormat="1" ht="13.5">
      <c r="A26" s="167"/>
      <c r="B26" s="125"/>
      <c r="C26" s="102"/>
      <c r="D26" s="143"/>
      <c r="E26" s="168"/>
      <c r="F26" s="143"/>
      <c r="G26" s="129"/>
      <c r="H26" s="124"/>
      <c r="I26" s="124"/>
      <c r="J26" s="129"/>
      <c r="K26" s="124"/>
      <c r="L26" s="124"/>
      <c r="M26" s="129"/>
      <c r="N26" s="129" t="e">
        <f>Table1[[#This Row],[Estimated Effort (Hours)]]/NETWORKDAYS(Table1[[#This Row],[Planned Start Date]],Table1[[#This Row],[Planned End Date]])</f>
        <v>#DIV/0!</v>
      </c>
      <c r="O26" s="178">
        <f>NETWORKDAYS(Table1[[#This Row],[Planned Start Date]],Table1[[#This Row],[Planned End Date]])</f>
        <v>0</v>
      </c>
      <c r="P26" s="178">
        <f>NETWORKDAYS(Table1[[#This Row],[Planned Start Date]],$P$7)</f>
        <v>30643</v>
      </c>
      <c r="Q26" s="182">
        <v>1</v>
      </c>
      <c r="R26" s="183" t="str">
        <f>IF(Table1[[#This Row],[Actual Effort (Hours)]]="","",IF(Table1[[#This Row],[Estimated Effort (Hours)]]&lt;20,"L1",IF(Table1[[#This Row],[Estimated Effort (Hours)]]&lt;50,"L2",IF(Table1[[#This Row],[Estimated Effort (Hours)]]&lt;150,"L3",IF(Table1[[#This Row],[Estimated Effort (Hours)]]&lt;300,"L4","L5")))))</f>
        <v/>
      </c>
      <c r="S26" s="184" t="str">
        <f>IF(Table1[[#This Row],[Actual End Date]]="","",TEXT(Table1[[#This Row],[Actual End Date]],"mmm-yy"))</f>
        <v/>
      </c>
      <c r="T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 s="185" t="str">
        <f>IFERROR((Table1[[#This Row],[Actual Effort (Hours)]]-Table1[[#This Row],[Estimated Effort (Hours)]])/Table1[[#This Row],[Estimated Effort (Hours)]],"")</f>
        <v/>
      </c>
    </row>
    <row r="27" spans="1:28" s="148" customFormat="1" ht="13.5">
      <c r="A27" s="167"/>
      <c r="B27" s="125"/>
      <c r="C27" s="102"/>
      <c r="D27" s="143"/>
      <c r="E27" s="168"/>
      <c r="F27" s="143"/>
      <c r="G27" s="168"/>
      <c r="H27" s="124"/>
      <c r="I27" s="124"/>
      <c r="J27" s="129"/>
      <c r="K27" s="124"/>
      <c r="L27" s="124"/>
      <c r="M27" s="129"/>
      <c r="N27" s="129" t="e">
        <f>Table1[[#This Row],[Estimated Effort (Hours)]]/NETWORKDAYS(Table1[[#This Row],[Planned Start Date]],Table1[[#This Row],[Planned End Date]])</f>
        <v>#DIV/0!</v>
      </c>
      <c r="O27" s="178">
        <f>NETWORKDAYS(Table1[[#This Row],[Planned Start Date]],Table1[[#This Row],[Planned End Date]])</f>
        <v>0</v>
      </c>
      <c r="P27" s="178">
        <f>NETWORKDAYS(Table1[[#This Row],[Planned Start Date]],$P$7)</f>
        <v>30643</v>
      </c>
      <c r="Q27" s="182">
        <v>1</v>
      </c>
      <c r="R27" s="183" t="str">
        <f>IF(Table1[[#This Row],[Actual Effort (Hours)]]="","",IF(Table1[[#This Row],[Estimated Effort (Hours)]]&lt;20,"L1",IF(Table1[[#This Row],[Estimated Effort (Hours)]]&lt;50,"L2",IF(Table1[[#This Row],[Estimated Effort (Hours)]]&lt;150,"L3",IF(Table1[[#This Row],[Estimated Effort (Hours)]]&lt;300,"L4","L5")))))</f>
        <v/>
      </c>
      <c r="S27" s="184" t="str">
        <f>IF(Table1[[#This Row],[Actual End Date]]="","",TEXT(Table1[[#This Row],[Actual End Date]],"mmm-yy"))</f>
        <v/>
      </c>
      <c r="T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 s="185" t="str">
        <f>IFERROR((Table1[[#This Row],[Actual Effort (Hours)]]-Table1[[#This Row],[Estimated Effort (Hours)]])/Table1[[#This Row],[Estimated Effort (Hours)]],"")</f>
        <v/>
      </c>
    </row>
    <row r="28" spans="1:28" s="148" customFormat="1" ht="13.5">
      <c r="A28" s="167"/>
      <c r="B28" s="125"/>
      <c r="C28" s="102"/>
      <c r="D28" s="143"/>
      <c r="E28" s="168"/>
      <c r="F28" s="143"/>
      <c r="G28" s="168"/>
      <c r="H28" s="124"/>
      <c r="I28" s="124"/>
      <c r="J28" s="129"/>
      <c r="K28" s="124"/>
      <c r="L28" s="124"/>
      <c r="M28" s="129"/>
      <c r="N28" s="129" t="e">
        <f>Table1[[#This Row],[Estimated Effort (Hours)]]/NETWORKDAYS(Table1[[#This Row],[Planned Start Date]],Table1[[#This Row],[Planned End Date]])</f>
        <v>#DIV/0!</v>
      </c>
      <c r="O28" s="178">
        <f>NETWORKDAYS(Table1[[#This Row],[Planned Start Date]],Table1[[#This Row],[Planned End Date]])</f>
        <v>0</v>
      </c>
      <c r="P28" s="178">
        <f>NETWORKDAYS(Table1[[#This Row],[Planned Start Date]],$P$7)</f>
        <v>30643</v>
      </c>
      <c r="Q28" s="182">
        <v>1</v>
      </c>
      <c r="R28" s="183" t="str">
        <f>IF(Table1[[#This Row],[Actual Effort (Hours)]]="","",IF(Table1[[#This Row],[Estimated Effort (Hours)]]&lt;20,"L1",IF(Table1[[#This Row],[Estimated Effort (Hours)]]&lt;50,"L2",IF(Table1[[#This Row],[Estimated Effort (Hours)]]&lt;150,"L3",IF(Table1[[#This Row],[Estimated Effort (Hours)]]&lt;300,"L4","L5")))))</f>
        <v/>
      </c>
      <c r="S28" s="184" t="str">
        <f>IF(Table1[[#This Row],[Actual End Date]]="","",TEXT(Table1[[#This Row],[Actual End Date]],"mmm-yy"))</f>
        <v/>
      </c>
      <c r="T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 s="185" t="str">
        <f>IFERROR((Table1[[#This Row],[Actual Effort (Hours)]]-Table1[[#This Row],[Estimated Effort (Hours)]])/Table1[[#This Row],[Estimated Effort (Hours)]],"")</f>
        <v/>
      </c>
    </row>
    <row r="29" spans="1:28" s="148" customFormat="1" ht="13.5">
      <c r="A29" s="167"/>
      <c r="B29" s="102"/>
      <c r="C29" s="102"/>
      <c r="D29" s="143"/>
      <c r="E29" s="168"/>
      <c r="F29" s="143"/>
      <c r="G29" s="168"/>
      <c r="H29" s="124"/>
      <c r="I29" s="124"/>
      <c r="J29" s="129"/>
      <c r="K29" s="124"/>
      <c r="L29" s="124"/>
      <c r="M29" s="129"/>
      <c r="N29" s="129" t="e">
        <f>Table1[[#This Row],[Estimated Effort (Hours)]]/NETWORKDAYS(Table1[[#This Row],[Planned Start Date]],Table1[[#This Row],[Planned End Date]])</f>
        <v>#DIV/0!</v>
      </c>
      <c r="O29" s="178">
        <f>NETWORKDAYS(Table1[[#This Row],[Planned Start Date]],Table1[[#This Row],[Planned End Date]])</f>
        <v>0</v>
      </c>
      <c r="P29" s="178">
        <f>NETWORKDAYS(Table1[[#This Row],[Planned Start Date]],$P$7)</f>
        <v>30643</v>
      </c>
      <c r="Q29" s="182">
        <v>1</v>
      </c>
      <c r="R29" s="183" t="str">
        <f>IF(Table1[[#This Row],[Actual Effort (Hours)]]="","",IF(Table1[[#This Row],[Estimated Effort (Hours)]]&lt;20,"L1",IF(Table1[[#This Row],[Estimated Effort (Hours)]]&lt;50,"L2",IF(Table1[[#This Row],[Estimated Effort (Hours)]]&lt;150,"L3",IF(Table1[[#This Row],[Estimated Effort (Hours)]]&lt;300,"L4","L5")))))</f>
        <v/>
      </c>
      <c r="S29" s="184" t="str">
        <f>IF(Table1[[#This Row],[Actual End Date]]="","",TEXT(Table1[[#This Row],[Actual End Date]],"mmm-yy"))</f>
        <v/>
      </c>
      <c r="T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 s="185" t="str">
        <f>IFERROR((Table1[[#This Row],[Actual Effort (Hours)]]-Table1[[#This Row],[Estimated Effort (Hours)]])/Table1[[#This Row],[Estimated Effort (Hours)]],"")</f>
        <v/>
      </c>
      <c r="W29" s="181"/>
      <c r="X29" s="181"/>
      <c r="Y29" s="181"/>
      <c r="Z29" s="187"/>
      <c r="AA29" s="187"/>
      <c r="AB29" s="188"/>
    </row>
    <row r="30" spans="1:28" s="148" customFormat="1" ht="13.5">
      <c r="A30" s="167"/>
      <c r="B30" s="102"/>
      <c r="C30" s="102"/>
      <c r="D30" s="168"/>
      <c r="E30" s="168"/>
      <c r="F30" s="168"/>
      <c r="G30" s="168"/>
      <c r="H30" s="124"/>
      <c r="I30" s="124"/>
      <c r="J30" s="129"/>
      <c r="K30" s="124"/>
      <c r="L30" s="124"/>
      <c r="M30" s="129"/>
      <c r="N30" s="129" t="e">
        <f>Table1[[#This Row],[Estimated Effort (Hours)]]/NETWORKDAYS(Table1[[#This Row],[Planned Start Date]],Table1[[#This Row],[Planned End Date]])</f>
        <v>#DIV/0!</v>
      </c>
      <c r="O30" s="178">
        <f>NETWORKDAYS(Table1[[#This Row],[Planned Start Date]],Table1[[#This Row],[Planned End Date]])</f>
        <v>0</v>
      </c>
      <c r="P30" s="178">
        <f>NETWORKDAYS(Table1[[#This Row],[Planned Start Date]],$P$7)</f>
        <v>30643</v>
      </c>
      <c r="Q30" s="182">
        <v>1</v>
      </c>
      <c r="R30" s="183" t="str">
        <f>IF(Table1[[#This Row],[Actual Effort (Hours)]]="","",IF(Table1[[#This Row],[Estimated Effort (Hours)]]&lt;20,"L1",IF(Table1[[#This Row],[Estimated Effort (Hours)]]&lt;50,"L2",IF(Table1[[#This Row],[Estimated Effort (Hours)]]&lt;150,"L3",IF(Table1[[#This Row],[Estimated Effort (Hours)]]&lt;300,"L4","L5")))))</f>
        <v/>
      </c>
      <c r="S30" s="184" t="str">
        <f>IF(Table1[[#This Row],[Actual End Date]]="","",TEXT(Table1[[#This Row],[Actual End Date]],"mmm-yy"))</f>
        <v/>
      </c>
      <c r="T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 s="185" t="str">
        <f>IFERROR((Table1[[#This Row],[Actual Effort (Hours)]]-Table1[[#This Row],[Estimated Effort (Hours)]])/Table1[[#This Row],[Estimated Effort (Hours)]],"")</f>
        <v/>
      </c>
      <c r="W30" s="186"/>
      <c r="X30" s="186"/>
      <c r="Y30" s="189"/>
      <c r="Z30" s="186"/>
      <c r="AA30" s="186"/>
      <c r="AB30" s="190"/>
    </row>
    <row r="31" spans="1:28" s="148" customFormat="1" ht="13.5">
      <c r="A31" s="167"/>
      <c r="B31" s="102"/>
      <c r="C31" s="102"/>
      <c r="D31" s="143"/>
      <c r="E31" s="168"/>
      <c r="F31" s="143"/>
      <c r="G31" s="168"/>
      <c r="H31" s="124"/>
      <c r="I31" s="124"/>
      <c r="J31" s="129"/>
      <c r="K31" s="124"/>
      <c r="L31" s="124"/>
      <c r="M31" s="129"/>
      <c r="N31" s="129" t="e">
        <f>Table1[[#This Row],[Estimated Effort (Hours)]]/NETWORKDAYS(Table1[[#This Row],[Planned Start Date]],Table1[[#This Row],[Planned End Date]])</f>
        <v>#DIV/0!</v>
      </c>
      <c r="O31" s="178">
        <f>NETWORKDAYS(Table1[[#This Row],[Planned Start Date]],Table1[[#This Row],[Planned End Date]])</f>
        <v>0</v>
      </c>
      <c r="P31" s="178">
        <f>NETWORKDAYS(Table1[[#This Row],[Planned Start Date]],$P$7)</f>
        <v>30643</v>
      </c>
      <c r="Q31" s="129"/>
      <c r="R31" s="183" t="str">
        <f>IF(Table1[[#This Row],[Actual Effort (Hours)]]="","",IF(Table1[[#This Row],[Estimated Effort (Hours)]]&lt;20,"L1",IF(Table1[[#This Row],[Estimated Effort (Hours)]]&lt;50,"L2",IF(Table1[[#This Row],[Estimated Effort (Hours)]]&lt;150,"L3",IF(Table1[[#This Row],[Estimated Effort (Hours)]]&lt;300,"L4","L5")))))</f>
        <v/>
      </c>
      <c r="S31" s="184" t="str">
        <f>IF(Table1[[#This Row],[Actual End Date]]="","",TEXT(Table1[[#This Row],[Actual End Date]],"mmm-yy"))</f>
        <v/>
      </c>
      <c r="T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 s="185" t="str">
        <f>IFERROR((Table1[[#This Row],[Actual Effort (Hours)]]-Table1[[#This Row],[Estimated Effort (Hours)]])/Table1[[#This Row],[Estimated Effort (Hours)]],"")</f>
        <v/>
      </c>
      <c r="W31" s="186"/>
      <c r="X31" s="186"/>
      <c r="Y31" s="189"/>
      <c r="Z31" s="186"/>
      <c r="AA31" s="186"/>
      <c r="AB31" s="190"/>
    </row>
    <row r="32" spans="1:28" s="148" customFormat="1" ht="13.5">
      <c r="A32" s="167"/>
      <c r="B32" s="102"/>
      <c r="C32" s="102"/>
      <c r="D32" s="143"/>
      <c r="E32" s="168"/>
      <c r="F32" s="143"/>
      <c r="G32" s="129"/>
      <c r="H32" s="124"/>
      <c r="I32" s="124"/>
      <c r="J32" s="129"/>
      <c r="K32" s="124"/>
      <c r="L32" s="124"/>
      <c r="M32" s="129"/>
      <c r="N32" s="129" t="e">
        <f>Table1[[#This Row],[Estimated Effort (Hours)]]/NETWORKDAYS(Table1[[#This Row],[Planned Start Date]],Table1[[#This Row],[Planned End Date]])</f>
        <v>#DIV/0!</v>
      </c>
      <c r="O32" s="178">
        <f>NETWORKDAYS(Table1[[#This Row],[Planned Start Date]],Table1[[#This Row],[Planned End Date]])</f>
        <v>0</v>
      </c>
      <c r="P32" s="178">
        <f>NETWORKDAYS(Table1[[#This Row],[Planned Start Date]],$P$7)</f>
        <v>30643</v>
      </c>
      <c r="Q32" s="129"/>
      <c r="R32" s="183" t="str">
        <f>IF(Table1[[#This Row],[Actual Effort (Hours)]]="","",IF(Table1[[#This Row],[Estimated Effort (Hours)]]&lt;20,"L1",IF(Table1[[#This Row],[Estimated Effort (Hours)]]&lt;50,"L2",IF(Table1[[#This Row],[Estimated Effort (Hours)]]&lt;150,"L3",IF(Table1[[#This Row],[Estimated Effort (Hours)]]&lt;300,"L4","L5")))))</f>
        <v/>
      </c>
      <c r="S32" s="184" t="str">
        <f>IF(Table1[[#This Row],[Actual End Date]]="","",TEXT(Table1[[#This Row],[Actual End Date]],"mmm-yy"))</f>
        <v/>
      </c>
      <c r="T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 s="185" t="str">
        <f>IFERROR((Table1[[#This Row],[Actual Effort (Hours)]]-Table1[[#This Row],[Estimated Effort (Hours)]])/Table1[[#This Row],[Estimated Effort (Hours)]],"")</f>
        <v/>
      </c>
      <c r="W32" s="186"/>
      <c r="X32" s="186"/>
      <c r="Y32" s="189"/>
      <c r="Z32" s="186"/>
      <c r="AA32" s="186"/>
      <c r="AB32" s="190"/>
    </row>
    <row r="33" spans="1:28" s="148" customFormat="1" ht="13.5">
      <c r="A33" s="167"/>
      <c r="B33" s="102"/>
      <c r="C33" s="102"/>
      <c r="D33" s="143"/>
      <c r="E33" s="168"/>
      <c r="F33" s="143"/>
      <c r="G33" s="168"/>
      <c r="H33" s="124"/>
      <c r="I33" s="124"/>
      <c r="J33" s="129"/>
      <c r="K33" s="124"/>
      <c r="L33" s="124"/>
      <c r="M33" s="129"/>
      <c r="N33" s="129" t="e">
        <f>Table1[[#This Row],[Estimated Effort (Hours)]]/NETWORKDAYS(Table1[[#This Row],[Planned Start Date]],Table1[[#This Row],[Planned End Date]])</f>
        <v>#DIV/0!</v>
      </c>
      <c r="O33" s="178">
        <f>NETWORKDAYS(Table1[[#This Row],[Planned Start Date]],Table1[[#This Row],[Planned End Date]])</f>
        <v>0</v>
      </c>
      <c r="P33" s="178">
        <f>NETWORKDAYS(Table1[[#This Row],[Planned Start Date]],$P$7)</f>
        <v>30643</v>
      </c>
      <c r="Q33" s="129"/>
      <c r="R33" s="183" t="str">
        <f>IF(Table1[[#This Row],[Actual Effort (Hours)]]="","",IF(Table1[[#This Row],[Estimated Effort (Hours)]]&lt;20,"L1",IF(Table1[[#This Row],[Estimated Effort (Hours)]]&lt;50,"L2",IF(Table1[[#This Row],[Estimated Effort (Hours)]]&lt;150,"L3",IF(Table1[[#This Row],[Estimated Effort (Hours)]]&lt;300,"L4","L5")))))</f>
        <v/>
      </c>
      <c r="S33" s="184" t="str">
        <f>IF(Table1[[#This Row],[Actual End Date]]="","",TEXT(Table1[[#This Row],[Actual End Date]],"mmm-yy"))</f>
        <v/>
      </c>
      <c r="T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 s="185" t="str">
        <f>IFERROR((Table1[[#This Row],[Actual Effort (Hours)]]-Table1[[#This Row],[Estimated Effort (Hours)]])/Table1[[#This Row],[Estimated Effort (Hours)]],"")</f>
        <v/>
      </c>
      <c r="W33" s="186"/>
      <c r="X33" s="186"/>
      <c r="Y33" s="189"/>
      <c r="Z33" s="186"/>
      <c r="AA33" s="186"/>
      <c r="AB33" s="190"/>
    </row>
    <row r="34" spans="1:28" s="148" customFormat="1" ht="13.5">
      <c r="A34" s="167"/>
      <c r="B34" s="125"/>
      <c r="C34" s="102"/>
      <c r="D34" s="143"/>
      <c r="E34" s="168"/>
      <c r="F34" s="143"/>
      <c r="G34" s="168"/>
      <c r="H34" s="124"/>
      <c r="I34" s="124"/>
      <c r="J34" s="129"/>
      <c r="K34" s="124"/>
      <c r="L34" s="124"/>
      <c r="M34" s="129"/>
      <c r="N34" s="129" t="e">
        <f>Table1[[#This Row],[Estimated Effort (Hours)]]/NETWORKDAYS(Table1[[#This Row],[Planned Start Date]],Table1[[#This Row],[Planned End Date]])</f>
        <v>#DIV/0!</v>
      </c>
      <c r="O34" s="178">
        <f>NETWORKDAYS(Table1[[#This Row],[Planned Start Date]],Table1[[#This Row],[Planned End Date]])</f>
        <v>0</v>
      </c>
      <c r="P34" s="178">
        <f>NETWORKDAYS(Table1[[#This Row],[Planned Start Date]],$P$7)</f>
        <v>30643</v>
      </c>
      <c r="Q34" s="129"/>
      <c r="R34" s="183" t="str">
        <f>IF(Table1[[#This Row],[Actual Effort (Hours)]]="","",IF(Table1[[#This Row],[Estimated Effort (Hours)]]&lt;20,"L1",IF(Table1[[#This Row],[Estimated Effort (Hours)]]&lt;50,"L2",IF(Table1[[#This Row],[Estimated Effort (Hours)]]&lt;150,"L3",IF(Table1[[#This Row],[Estimated Effort (Hours)]]&lt;300,"L4","L5")))))</f>
        <v/>
      </c>
      <c r="S34" s="184" t="str">
        <f>IF(Table1[[#This Row],[Actual End Date]]="","",TEXT(Table1[[#This Row],[Actual End Date]],"mmm-yy"))</f>
        <v/>
      </c>
      <c r="T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 s="185" t="str">
        <f>IFERROR((Table1[[#This Row],[Actual Effort (Hours)]]-Table1[[#This Row],[Estimated Effort (Hours)]])/Table1[[#This Row],[Estimated Effort (Hours)]],"")</f>
        <v/>
      </c>
      <c r="W34" s="186"/>
      <c r="X34" s="186"/>
      <c r="Y34" s="189"/>
      <c r="Z34" s="191"/>
      <c r="AA34" s="191"/>
      <c r="AB34" s="190"/>
    </row>
    <row r="35" spans="1:28" s="148" customFormat="1" ht="13.5">
      <c r="A35" s="167"/>
      <c r="B35" s="102"/>
      <c r="C35" s="102"/>
      <c r="D35" s="168"/>
      <c r="E35" s="168"/>
      <c r="F35" s="143"/>
      <c r="G35" s="168"/>
      <c r="H35" s="124"/>
      <c r="I35" s="124"/>
      <c r="J35" s="129"/>
      <c r="K35" s="124"/>
      <c r="L35" s="124"/>
      <c r="M35" s="129"/>
      <c r="N35" s="129" t="e">
        <f>Table1[[#This Row],[Estimated Effort (Hours)]]/NETWORKDAYS(Table1[[#This Row],[Planned Start Date]],Table1[[#This Row],[Planned End Date]])</f>
        <v>#DIV/0!</v>
      </c>
      <c r="O35" s="178">
        <f>NETWORKDAYS(Table1[[#This Row],[Planned Start Date]],Table1[[#This Row],[Planned End Date]])</f>
        <v>0</v>
      </c>
      <c r="P35" s="178">
        <f>NETWORKDAYS(Table1[[#This Row],[Planned Start Date]],$P$7)</f>
        <v>30643</v>
      </c>
      <c r="Q35" s="129"/>
      <c r="R35" s="183" t="str">
        <f>IF(Table1[[#This Row],[Actual Effort (Hours)]]="","",IF(Table1[[#This Row],[Estimated Effort (Hours)]]&lt;20,"L1",IF(Table1[[#This Row],[Estimated Effort (Hours)]]&lt;50,"L2",IF(Table1[[#This Row],[Estimated Effort (Hours)]]&lt;150,"L3",IF(Table1[[#This Row],[Estimated Effort (Hours)]]&lt;300,"L4","L5")))))</f>
        <v/>
      </c>
      <c r="S35" s="184" t="str">
        <f>IF(Table1[[#This Row],[Actual End Date]]="","",TEXT(Table1[[#This Row],[Actual End Date]],"mmm-yy"))</f>
        <v/>
      </c>
      <c r="T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 s="185" t="str">
        <f>IFERROR((Table1[[#This Row],[Actual Effort (Hours)]]-Table1[[#This Row],[Estimated Effort (Hours)]])/Table1[[#This Row],[Estimated Effort (Hours)]],"")</f>
        <v/>
      </c>
      <c r="W35" s="186"/>
      <c r="X35" s="186"/>
      <c r="Y35" s="189"/>
      <c r="Z35" s="191"/>
      <c r="AA35" s="191"/>
      <c r="AB35" s="190"/>
    </row>
    <row r="36" spans="1:28" s="148" customFormat="1" ht="13.5">
      <c r="A36" s="167"/>
      <c r="B36" s="102"/>
      <c r="C36" s="102"/>
      <c r="D36" s="168"/>
      <c r="E36" s="168"/>
      <c r="F36" s="168"/>
      <c r="G36" s="168"/>
      <c r="H36" s="124"/>
      <c r="I36" s="124"/>
      <c r="J36" s="129"/>
      <c r="K36" s="124"/>
      <c r="L36" s="124"/>
      <c r="M36" s="129"/>
      <c r="N36" s="129" t="e">
        <f>Table1[[#This Row],[Estimated Effort (Hours)]]/NETWORKDAYS(Table1[[#This Row],[Planned Start Date]],Table1[[#This Row],[Planned End Date]])</f>
        <v>#DIV/0!</v>
      </c>
      <c r="O36" s="178">
        <f>NETWORKDAYS(Table1[[#This Row],[Planned Start Date]],Table1[[#This Row],[Planned End Date]])</f>
        <v>0</v>
      </c>
      <c r="P36" s="178">
        <f>NETWORKDAYS(Table1[[#This Row],[Planned Start Date]],$P$7)</f>
        <v>30643</v>
      </c>
      <c r="Q36" s="129"/>
      <c r="R36" s="183" t="str">
        <f>IF(Table1[[#This Row],[Actual Effort (Hours)]]="","",IF(Table1[[#This Row],[Estimated Effort (Hours)]]&lt;20,"L1",IF(Table1[[#This Row],[Estimated Effort (Hours)]]&lt;50,"L2",IF(Table1[[#This Row],[Estimated Effort (Hours)]]&lt;150,"L3",IF(Table1[[#This Row],[Estimated Effort (Hours)]]&lt;300,"L4","L5")))))</f>
        <v/>
      </c>
      <c r="S36" s="184" t="str">
        <f>IF(Table1[[#This Row],[Actual End Date]]="","",TEXT(Table1[[#This Row],[Actual End Date]],"mmm-yy"))</f>
        <v/>
      </c>
      <c r="T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 s="185" t="str">
        <f>IFERROR((Table1[[#This Row],[Actual Effort (Hours)]]-Table1[[#This Row],[Estimated Effort (Hours)]])/Table1[[#This Row],[Estimated Effort (Hours)]],"")</f>
        <v/>
      </c>
      <c r="W36" s="186"/>
      <c r="X36" s="186"/>
      <c r="Y36" s="189"/>
      <c r="Z36" s="191"/>
      <c r="AA36" s="191"/>
      <c r="AB36" s="190"/>
    </row>
    <row r="37" spans="1:28" s="148" customFormat="1" ht="13.5">
      <c r="A37" s="167"/>
      <c r="B37" s="102"/>
      <c r="C37" s="102"/>
      <c r="D37" s="168"/>
      <c r="E37" s="168"/>
      <c r="F37" s="143"/>
      <c r="G37" s="168"/>
      <c r="H37" s="124"/>
      <c r="I37" s="124"/>
      <c r="J37" s="129"/>
      <c r="K37" s="124"/>
      <c r="L37" s="124"/>
      <c r="M37" s="129"/>
      <c r="N37" s="129" t="e">
        <f>Table1[[#This Row],[Estimated Effort (Hours)]]/NETWORKDAYS(Table1[[#This Row],[Planned Start Date]],Table1[[#This Row],[Planned End Date]])</f>
        <v>#DIV/0!</v>
      </c>
      <c r="O37" s="178">
        <f>NETWORKDAYS(Table1[[#This Row],[Planned Start Date]],Table1[[#This Row],[Planned End Date]])</f>
        <v>0</v>
      </c>
      <c r="P37" s="178">
        <f>NETWORKDAYS(Table1[[#This Row],[Planned Start Date]],$P$7)</f>
        <v>30643</v>
      </c>
      <c r="Q37" s="129"/>
      <c r="R37" s="183" t="str">
        <f>IF(Table1[[#This Row],[Actual Effort (Hours)]]="","",IF(Table1[[#This Row],[Estimated Effort (Hours)]]&lt;20,"L1",IF(Table1[[#This Row],[Estimated Effort (Hours)]]&lt;50,"L2",IF(Table1[[#This Row],[Estimated Effort (Hours)]]&lt;150,"L3",IF(Table1[[#This Row],[Estimated Effort (Hours)]]&lt;300,"L4","L5")))))</f>
        <v/>
      </c>
      <c r="S37" s="184" t="str">
        <f>IF(Table1[[#This Row],[Actual End Date]]="","",TEXT(Table1[[#This Row],[Actual End Date]],"mmm-yy"))</f>
        <v/>
      </c>
      <c r="T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 s="185" t="str">
        <f>IFERROR((Table1[[#This Row],[Actual Effort (Hours)]]-Table1[[#This Row],[Estimated Effort (Hours)]])/Table1[[#This Row],[Estimated Effort (Hours)]],"")</f>
        <v/>
      </c>
      <c r="W37" s="186"/>
      <c r="X37" s="186"/>
      <c r="Y37" s="189"/>
      <c r="Z37" s="191"/>
      <c r="AA37" s="191"/>
      <c r="AB37" s="190"/>
    </row>
    <row r="38" spans="1:28" s="148" customFormat="1" ht="13.5">
      <c r="A38" s="167"/>
      <c r="B38" s="102"/>
      <c r="C38" s="102"/>
      <c r="D38" s="168"/>
      <c r="E38" s="168"/>
      <c r="F38" s="143"/>
      <c r="G38" s="168"/>
      <c r="H38" s="124"/>
      <c r="I38" s="124"/>
      <c r="J38" s="129"/>
      <c r="K38" s="124"/>
      <c r="L38" s="124"/>
      <c r="M38" s="129"/>
      <c r="N38" s="129" t="e">
        <f>Table1[[#This Row],[Estimated Effort (Hours)]]/NETWORKDAYS(Table1[[#This Row],[Planned Start Date]],Table1[[#This Row],[Planned End Date]])</f>
        <v>#DIV/0!</v>
      </c>
      <c r="O38" s="178">
        <f>NETWORKDAYS(Table1[[#This Row],[Planned Start Date]],Table1[[#This Row],[Planned End Date]])</f>
        <v>0</v>
      </c>
      <c r="P38" s="178">
        <f>NETWORKDAYS(Table1[[#This Row],[Planned Start Date]],$P$7)</f>
        <v>30643</v>
      </c>
      <c r="Q38" s="129"/>
      <c r="R38" s="183" t="str">
        <f>IF(Table1[[#This Row],[Actual Effort (Hours)]]="","",IF(Table1[[#This Row],[Estimated Effort (Hours)]]&lt;20,"L1",IF(Table1[[#This Row],[Estimated Effort (Hours)]]&lt;50,"L2",IF(Table1[[#This Row],[Estimated Effort (Hours)]]&lt;150,"L3",IF(Table1[[#This Row],[Estimated Effort (Hours)]]&lt;300,"L4","L5")))))</f>
        <v/>
      </c>
      <c r="S38" s="184" t="str">
        <f>IF(Table1[[#This Row],[Actual End Date]]="","",TEXT(Table1[[#This Row],[Actual End Date]],"mmm-yy"))</f>
        <v/>
      </c>
      <c r="T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 s="185" t="str">
        <f>IFERROR((Table1[[#This Row],[Actual Effort (Hours)]]-Table1[[#This Row],[Estimated Effort (Hours)]])/Table1[[#This Row],[Estimated Effort (Hours)]],"")</f>
        <v/>
      </c>
      <c r="W38" s="186"/>
      <c r="X38" s="186"/>
      <c r="Y38" s="189"/>
      <c r="Z38" s="191"/>
      <c r="AA38" s="191"/>
      <c r="AB38" s="190"/>
    </row>
    <row r="39" spans="1:28" s="148" customFormat="1" ht="13.5">
      <c r="A39" s="167"/>
      <c r="B39" s="102"/>
      <c r="C39" s="102"/>
      <c r="D39" s="168"/>
      <c r="E39" s="168"/>
      <c r="F39" s="168"/>
      <c r="G39" s="168"/>
      <c r="H39" s="124"/>
      <c r="I39" s="124"/>
      <c r="J39" s="129"/>
      <c r="K39" s="124"/>
      <c r="L39" s="124"/>
      <c r="M39" s="129"/>
      <c r="N39" s="129" t="e">
        <f>Table1[[#This Row],[Estimated Effort (Hours)]]/NETWORKDAYS(Table1[[#This Row],[Planned Start Date]],Table1[[#This Row],[Planned End Date]])</f>
        <v>#DIV/0!</v>
      </c>
      <c r="O39" s="178">
        <f>NETWORKDAYS(Table1[[#This Row],[Planned Start Date]],Table1[[#This Row],[Planned End Date]])</f>
        <v>0</v>
      </c>
      <c r="P39" s="178">
        <f>NETWORKDAYS(Table1[[#This Row],[Planned Start Date]],$P$7)</f>
        <v>30643</v>
      </c>
      <c r="Q39" s="129"/>
      <c r="R39" s="183" t="str">
        <f>IF(Table1[[#This Row],[Actual Effort (Hours)]]="","",IF(Table1[[#This Row],[Estimated Effort (Hours)]]&lt;20,"L1",IF(Table1[[#This Row],[Estimated Effort (Hours)]]&lt;50,"L2",IF(Table1[[#This Row],[Estimated Effort (Hours)]]&lt;150,"L3",IF(Table1[[#This Row],[Estimated Effort (Hours)]]&lt;300,"L4","L5")))))</f>
        <v/>
      </c>
      <c r="S39" s="184" t="str">
        <f>IF(Table1[[#This Row],[Actual End Date]]="","",TEXT(Table1[[#This Row],[Actual End Date]],"mmm-yy"))</f>
        <v/>
      </c>
      <c r="T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 s="185" t="str">
        <f>IFERROR((Table1[[#This Row],[Actual Effort (Hours)]]-Table1[[#This Row],[Estimated Effort (Hours)]])/Table1[[#This Row],[Estimated Effort (Hours)]],"")</f>
        <v/>
      </c>
      <c r="W39" s="186"/>
      <c r="X39" s="186"/>
      <c r="Y39" s="189"/>
      <c r="Z39" s="191"/>
      <c r="AA39" s="191"/>
      <c r="AB39" s="190"/>
    </row>
    <row r="40" spans="1:28" s="148" customFormat="1" ht="13.5">
      <c r="A40" s="167"/>
      <c r="B40" s="102"/>
      <c r="C40" s="102"/>
      <c r="D40" s="168"/>
      <c r="E40" s="168"/>
      <c r="F40" s="168"/>
      <c r="G40" s="168"/>
      <c r="H40" s="124"/>
      <c r="I40" s="124"/>
      <c r="J40" s="129"/>
      <c r="K40" s="124"/>
      <c r="L40" s="124"/>
      <c r="M40" s="129"/>
      <c r="N40" s="129" t="e">
        <f>Table1[[#This Row],[Estimated Effort (Hours)]]/NETWORKDAYS(Table1[[#This Row],[Planned Start Date]],Table1[[#This Row],[Planned End Date]])</f>
        <v>#DIV/0!</v>
      </c>
      <c r="O40" s="178">
        <f>NETWORKDAYS(Table1[[#This Row],[Planned Start Date]],Table1[[#This Row],[Planned End Date]])</f>
        <v>0</v>
      </c>
      <c r="P40" s="178">
        <f>NETWORKDAYS(Table1[[#This Row],[Planned Start Date]],$P$7)</f>
        <v>30643</v>
      </c>
      <c r="Q40" s="129"/>
      <c r="R40" s="183" t="str">
        <f>IF(Table1[[#This Row],[Actual Effort (Hours)]]="","",IF(Table1[[#This Row],[Estimated Effort (Hours)]]&lt;20,"L1",IF(Table1[[#This Row],[Estimated Effort (Hours)]]&lt;50,"L2",IF(Table1[[#This Row],[Estimated Effort (Hours)]]&lt;150,"L3",IF(Table1[[#This Row],[Estimated Effort (Hours)]]&lt;300,"L4","L5")))))</f>
        <v/>
      </c>
      <c r="S40" s="184" t="str">
        <f>IF(Table1[[#This Row],[Actual End Date]]="","",TEXT(Table1[[#This Row],[Actual End Date]],"mmm-yy"))</f>
        <v/>
      </c>
      <c r="T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 s="185" t="str">
        <f>IFERROR((Table1[[#This Row],[Actual Effort (Hours)]]-Table1[[#This Row],[Estimated Effort (Hours)]])/Table1[[#This Row],[Estimated Effort (Hours)]],"")</f>
        <v/>
      </c>
      <c r="W40" s="186"/>
      <c r="X40" s="186"/>
      <c r="Y40" s="189"/>
      <c r="Z40" s="191"/>
      <c r="AA40" s="191"/>
      <c r="AB40" s="190"/>
    </row>
    <row r="41" spans="1:28" s="148" customFormat="1" ht="13.5">
      <c r="A41" s="167"/>
      <c r="B41" s="102"/>
      <c r="C41" s="102"/>
      <c r="D41" s="168"/>
      <c r="E41" s="168"/>
      <c r="F41" s="168"/>
      <c r="G41" s="168"/>
      <c r="H41" s="124"/>
      <c r="I41" s="124"/>
      <c r="J41" s="129"/>
      <c r="K41" s="124"/>
      <c r="L41" s="124"/>
      <c r="M41" s="129"/>
      <c r="N41" s="129" t="e">
        <f>Table1[[#This Row],[Estimated Effort (Hours)]]/NETWORKDAYS(Table1[[#This Row],[Planned Start Date]],Table1[[#This Row],[Planned End Date]])</f>
        <v>#DIV/0!</v>
      </c>
      <c r="O41" s="178">
        <f>NETWORKDAYS(Table1[[#This Row],[Planned Start Date]],Table1[[#This Row],[Planned End Date]])</f>
        <v>0</v>
      </c>
      <c r="P41" s="178">
        <f>NETWORKDAYS(Table1[[#This Row],[Planned Start Date]],$P$7)</f>
        <v>30643</v>
      </c>
      <c r="Q41" s="129"/>
      <c r="R41" s="183" t="str">
        <f>IF(Table1[[#This Row],[Actual Effort (Hours)]]="","",IF(Table1[[#This Row],[Estimated Effort (Hours)]]&lt;20,"L1",IF(Table1[[#This Row],[Estimated Effort (Hours)]]&lt;50,"L2",IF(Table1[[#This Row],[Estimated Effort (Hours)]]&lt;150,"L3",IF(Table1[[#This Row],[Estimated Effort (Hours)]]&lt;300,"L4","L5")))))</f>
        <v/>
      </c>
      <c r="S41" s="184" t="str">
        <f>IF(Table1[[#This Row],[Actual End Date]]="","",TEXT(Table1[[#This Row],[Actual End Date]],"mmm-yy"))</f>
        <v/>
      </c>
      <c r="T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 s="185" t="str">
        <f>IFERROR((Table1[[#This Row],[Actual Effort (Hours)]]-Table1[[#This Row],[Estimated Effort (Hours)]])/Table1[[#This Row],[Estimated Effort (Hours)]],"")</f>
        <v/>
      </c>
    </row>
    <row r="42" spans="1:28" s="148" customFormat="1" ht="13.5">
      <c r="A42" s="167"/>
      <c r="B42" s="102"/>
      <c r="C42" s="102"/>
      <c r="D42" s="168"/>
      <c r="E42" s="168"/>
      <c r="F42" s="168"/>
      <c r="G42" s="168"/>
      <c r="H42" s="124"/>
      <c r="I42" s="124"/>
      <c r="J42" s="129"/>
      <c r="K42" s="124"/>
      <c r="L42" s="124"/>
      <c r="M42" s="129"/>
      <c r="N42" s="129" t="e">
        <f>Table1[[#This Row],[Estimated Effort (Hours)]]/NETWORKDAYS(Table1[[#This Row],[Planned Start Date]],Table1[[#This Row],[Planned End Date]])</f>
        <v>#DIV/0!</v>
      </c>
      <c r="O42" s="178">
        <f>NETWORKDAYS(Table1[[#This Row],[Planned Start Date]],Table1[[#This Row],[Planned End Date]])</f>
        <v>0</v>
      </c>
      <c r="P42" s="178">
        <f>NETWORKDAYS(Table1[[#This Row],[Planned Start Date]],$P$7)</f>
        <v>30643</v>
      </c>
      <c r="Q42" s="129"/>
      <c r="R42" s="183" t="str">
        <f>IF(Table1[[#This Row],[Actual Effort (Hours)]]="","",IF(Table1[[#This Row],[Estimated Effort (Hours)]]&lt;20,"L1",IF(Table1[[#This Row],[Estimated Effort (Hours)]]&lt;50,"L2",IF(Table1[[#This Row],[Estimated Effort (Hours)]]&lt;150,"L3",IF(Table1[[#This Row],[Estimated Effort (Hours)]]&lt;300,"L4","L5")))))</f>
        <v/>
      </c>
      <c r="S42" s="184" t="str">
        <f>IF(Table1[[#This Row],[Actual End Date]]="","",TEXT(Table1[[#This Row],[Actual End Date]],"mmm-yy"))</f>
        <v/>
      </c>
      <c r="T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 s="185" t="str">
        <f>IFERROR((Table1[[#This Row],[Actual Effort (Hours)]]-Table1[[#This Row],[Estimated Effort (Hours)]])/Table1[[#This Row],[Estimated Effort (Hours)]],"")</f>
        <v/>
      </c>
    </row>
    <row r="43" spans="1:28" s="148" customFormat="1" ht="13.5">
      <c r="A43" s="167"/>
      <c r="B43" s="102"/>
      <c r="C43" s="102"/>
      <c r="D43" s="168"/>
      <c r="E43" s="168"/>
      <c r="F43" s="143"/>
      <c r="G43" s="168"/>
      <c r="H43" s="124"/>
      <c r="I43" s="124"/>
      <c r="J43" s="129"/>
      <c r="K43" s="124"/>
      <c r="L43" s="124"/>
      <c r="M43" s="129"/>
      <c r="N43" s="129" t="e">
        <f>Table1[[#This Row],[Estimated Effort (Hours)]]/NETWORKDAYS(Table1[[#This Row],[Planned Start Date]],Table1[[#This Row],[Planned End Date]])</f>
        <v>#DIV/0!</v>
      </c>
      <c r="O43" s="178">
        <f>NETWORKDAYS(Table1[[#This Row],[Planned Start Date]],Table1[[#This Row],[Planned End Date]])</f>
        <v>0</v>
      </c>
      <c r="P43" s="178">
        <f>NETWORKDAYS(Table1[[#This Row],[Planned Start Date]],$P$7)</f>
        <v>30643</v>
      </c>
      <c r="Q43" s="129"/>
      <c r="R43" s="183" t="str">
        <f>IF(Table1[[#This Row],[Actual Effort (Hours)]]="","",IF(Table1[[#This Row],[Estimated Effort (Hours)]]&lt;20,"L1",IF(Table1[[#This Row],[Estimated Effort (Hours)]]&lt;50,"L2",IF(Table1[[#This Row],[Estimated Effort (Hours)]]&lt;150,"L3",IF(Table1[[#This Row],[Estimated Effort (Hours)]]&lt;300,"L4","L5")))))</f>
        <v/>
      </c>
      <c r="S43" s="184" t="str">
        <f>IF(Table1[[#This Row],[Actual End Date]]="","",TEXT(Table1[[#This Row],[Actual End Date]],"mmm-yy"))</f>
        <v/>
      </c>
      <c r="T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 s="185" t="str">
        <f>IFERROR((Table1[[#This Row],[Actual Effort (Hours)]]-Table1[[#This Row],[Estimated Effort (Hours)]])/Table1[[#This Row],[Estimated Effort (Hours)]],"")</f>
        <v/>
      </c>
    </row>
    <row r="44" spans="1:28" s="148" customFormat="1" ht="13.5">
      <c r="A44" s="167"/>
      <c r="B44" s="125"/>
      <c r="C44" s="102"/>
      <c r="D44" s="168"/>
      <c r="E44" s="168"/>
      <c r="F44" s="143"/>
      <c r="G44" s="168"/>
      <c r="H44" s="124"/>
      <c r="I44" s="124"/>
      <c r="J44" s="129"/>
      <c r="K44" s="124"/>
      <c r="L44" s="124"/>
      <c r="M44" s="129"/>
      <c r="N44" s="129" t="e">
        <f>Table1[[#This Row],[Estimated Effort (Hours)]]/NETWORKDAYS(Table1[[#This Row],[Planned Start Date]],Table1[[#This Row],[Planned End Date]])</f>
        <v>#DIV/0!</v>
      </c>
      <c r="O44" s="178">
        <f>NETWORKDAYS(Table1[[#This Row],[Planned Start Date]],Table1[[#This Row],[Planned End Date]])</f>
        <v>0</v>
      </c>
      <c r="P44" s="178">
        <f>NETWORKDAYS(Table1[[#This Row],[Planned Start Date]],$P$7)</f>
        <v>30643</v>
      </c>
      <c r="Q44" s="129"/>
      <c r="R44" s="183" t="str">
        <f>IF(Table1[[#This Row],[Actual Effort (Hours)]]="","",IF(Table1[[#This Row],[Estimated Effort (Hours)]]&lt;20,"L1",IF(Table1[[#This Row],[Estimated Effort (Hours)]]&lt;50,"L2",IF(Table1[[#This Row],[Estimated Effort (Hours)]]&lt;150,"L3",IF(Table1[[#This Row],[Estimated Effort (Hours)]]&lt;300,"L4","L5")))))</f>
        <v/>
      </c>
      <c r="S44" s="184" t="str">
        <f>IF(Table1[[#This Row],[Actual End Date]]="","",TEXT(Table1[[#This Row],[Actual End Date]],"mmm-yy"))</f>
        <v/>
      </c>
      <c r="T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 s="185" t="str">
        <f>IFERROR((Table1[[#This Row],[Actual Effort (Hours)]]-Table1[[#This Row],[Estimated Effort (Hours)]])/Table1[[#This Row],[Estimated Effort (Hours)]],"")</f>
        <v/>
      </c>
    </row>
    <row r="45" spans="1:28" s="148" customFormat="1" ht="13.5">
      <c r="A45" s="167"/>
      <c r="B45" s="125"/>
      <c r="C45" s="102"/>
      <c r="D45" s="168"/>
      <c r="E45" s="168"/>
      <c r="F45" s="143"/>
      <c r="G45" s="168"/>
      <c r="H45" s="124"/>
      <c r="I45" s="124"/>
      <c r="J45" s="129"/>
      <c r="K45" s="124"/>
      <c r="L45" s="124"/>
      <c r="M45" s="129"/>
      <c r="N45" s="129" t="e">
        <f>Table1[[#This Row],[Estimated Effort (Hours)]]/NETWORKDAYS(Table1[[#This Row],[Planned Start Date]],Table1[[#This Row],[Planned End Date]])</f>
        <v>#DIV/0!</v>
      </c>
      <c r="O45" s="178">
        <f>NETWORKDAYS(Table1[[#This Row],[Planned Start Date]],Table1[[#This Row],[Planned End Date]])</f>
        <v>0</v>
      </c>
      <c r="P45" s="178">
        <f>NETWORKDAYS(Table1[[#This Row],[Planned Start Date]],$P$7)</f>
        <v>30643</v>
      </c>
      <c r="Q45" s="129"/>
      <c r="R45" s="183" t="str">
        <f>IF(Table1[[#This Row],[Actual Effort (Hours)]]="","",IF(Table1[[#This Row],[Estimated Effort (Hours)]]&lt;20,"L1",IF(Table1[[#This Row],[Estimated Effort (Hours)]]&lt;50,"L2",IF(Table1[[#This Row],[Estimated Effort (Hours)]]&lt;150,"L3",IF(Table1[[#This Row],[Estimated Effort (Hours)]]&lt;300,"L4","L5")))))</f>
        <v/>
      </c>
      <c r="S45" s="184" t="str">
        <f>IF(Table1[[#This Row],[Actual End Date]]="","",TEXT(Table1[[#This Row],[Actual End Date]],"mmm-yy"))</f>
        <v/>
      </c>
      <c r="T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 s="185" t="str">
        <f>IFERROR((Table1[[#This Row],[Actual Effort (Hours)]]-Table1[[#This Row],[Estimated Effort (Hours)]])/Table1[[#This Row],[Estimated Effort (Hours)]],"")</f>
        <v/>
      </c>
    </row>
    <row r="46" spans="1:28" s="148" customFormat="1" ht="13.5">
      <c r="A46" s="167"/>
      <c r="B46" s="102"/>
      <c r="C46" s="102"/>
      <c r="D46" s="168"/>
      <c r="E46" s="168"/>
      <c r="F46" s="143"/>
      <c r="G46" s="168"/>
      <c r="H46" s="124"/>
      <c r="I46" s="124"/>
      <c r="J46" s="129"/>
      <c r="K46" s="124"/>
      <c r="L46" s="124"/>
      <c r="M46" s="129"/>
      <c r="N46" s="129" t="e">
        <f>Table1[[#This Row],[Estimated Effort (Hours)]]/NETWORKDAYS(Table1[[#This Row],[Planned Start Date]],Table1[[#This Row],[Planned End Date]])</f>
        <v>#DIV/0!</v>
      </c>
      <c r="O46" s="178">
        <f>NETWORKDAYS(Table1[[#This Row],[Planned Start Date]],Table1[[#This Row],[Planned End Date]])</f>
        <v>0</v>
      </c>
      <c r="P46" s="178">
        <f>NETWORKDAYS(Table1[[#This Row],[Planned Start Date]],$P$7)</f>
        <v>30643</v>
      </c>
      <c r="Q46" s="129"/>
      <c r="R46" s="183" t="str">
        <f>IF(Table1[[#This Row],[Actual Effort (Hours)]]="","",IF(Table1[[#This Row],[Estimated Effort (Hours)]]&lt;20,"L1",IF(Table1[[#This Row],[Estimated Effort (Hours)]]&lt;50,"L2",IF(Table1[[#This Row],[Estimated Effort (Hours)]]&lt;150,"L3",IF(Table1[[#This Row],[Estimated Effort (Hours)]]&lt;300,"L4","L5")))))</f>
        <v/>
      </c>
      <c r="S46" s="184" t="str">
        <f>IF(Table1[[#This Row],[Actual End Date]]="","",TEXT(Table1[[#This Row],[Actual End Date]],"mmm-yy"))</f>
        <v/>
      </c>
      <c r="T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 s="185" t="str">
        <f>IFERROR((Table1[[#This Row],[Actual Effort (Hours)]]-Table1[[#This Row],[Estimated Effort (Hours)]])/Table1[[#This Row],[Estimated Effort (Hours)]],"")</f>
        <v/>
      </c>
    </row>
    <row r="47" spans="1:28" s="148" customFormat="1" ht="13.5">
      <c r="A47" s="167"/>
      <c r="B47" s="125"/>
      <c r="C47" s="102"/>
      <c r="D47" s="168"/>
      <c r="E47" s="168"/>
      <c r="F47" s="168"/>
      <c r="G47" s="168"/>
      <c r="H47" s="124"/>
      <c r="I47" s="124"/>
      <c r="J47" s="129"/>
      <c r="K47" s="124"/>
      <c r="L47" s="124"/>
      <c r="M47" s="129"/>
      <c r="N47" s="129" t="e">
        <f>Table1[[#This Row],[Estimated Effort (Hours)]]/NETWORKDAYS(Table1[[#This Row],[Planned Start Date]],Table1[[#This Row],[Planned End Date]])</f>
        <v>#DIV/0!</v>
      </c>
      <c r="O47" s="178">
        <f>NETWORKDAYS(Table1[[#This Row],[Planned Start Date]],Table1[[#This Row],[Planned End Date]])</f>
        <v>0</v>
      </c>
      <c r="P47" s="178">
        <f>NETWORKDAYS(Table1[[#This Row],[Planned Start Date]],$P$7)</f>
        <v>30643</v>
      </c>
      <c r="Q47" s="129"/>
      <c r="R47" s="183" t="str">
        <f>IF(Table1[[#This Row],[Actual Effort (Hours)]]="","",IF(Table1[[#This Row],[Estimated Effort (Hours)]]&lt;20,"L1",IF(Table1[[#This Row],[Estimated Effort (Hours)]]&lt;50,"L2",IF(Table1[[#This Row],[Estimated Effort (Hours)]]&lt;150,"L3",IF(Table1[[#This Row],[Estimated Effort (Hours)]]&lt;300,"L4","L5")))))</f>
        <v/>
      </c>
      <c r="S47" s="184" t="str">
        <f>IF(Table1[[#This Row],[Actual End Date]]="","",TEXT(Table1[[#This Row],[Actual End Date]],"mmm-yy"))</f>
        <v/>
      </c>
      <c r="T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 s="185" t="str">
        <f>IFERROR((Table1[[#This Row],[Actual Effort (Hours)]]-Table1[[#This Row],[Estimated Effort (Hours)]])/Table1[[#This Row],[Estimated Effort (Hours)]],"")</f>
        <v/>
      </c>
    </row>
    <row r="48" spans="1:28" s="148" customFormat="1" ht="13.5">
      <c r="A48" s="167"/>
      <c r="B48" s="125"/>
      <c r="C48" s="102"/>
      <c r="D48" s="168"/>
      <c r="E48" s="168"/>
      <c r="F48" s="168"/>
      <c r="G48" s="168"/>
      <c r="H48" s="124"/>
      <c r="I48" s="124"/>
      <c r="J48" s="129"/>
      <c r="K48" s="124"/>
      <c r="L48" s="124"/>
      <c r="M48" s="129"/>
      <c r="N48" s="129" t="e">
        <f>Table1[[#This Row],[Estimated Effort (Hours)]]/NETWORKDAYS(Table1[[#This Row],[Planned Start Date]],Table1[[#This Row],[Planned End Date]])</f>
        <v>#DIV/0!</v>
      </c>
      <c r="O48" s="178">
        <f>NETWORKDAYS(Table1[[#This Row],[Planned Start Date]],Table1[[#This Row],[Planned End Date]])</f>
        <v>0</v>
      </c>
      <c r="P48" s="178">
        <f>NETWORKDAYS(Table1[[#This Row],[Planned Start Date]],$P$7)</f>
        <v>30643</v>
      </c>
      <c r="Q48" s="129"/>
      <c r="R48" s="183" t="str">
        <f>IF(Table1[[#This Row],[Actual Effort (Hours)]]="","",IF(Table1[[#This Row],[Estimated Effort (Hours)]]&lt;20,"L1",IF(Table1[[#This Row],[Estimated Effort (Hours)]]&lt;50,"L2",IF(Table1[[#This Row],[Estimated Effort (Hours)]]&lt;150,"L3",IF(Table1[[#This Row],[Estimated Effort (Hours)]]&lt;300,"L4","L5")))))</f>
        <v/>
      </c>
      <c r="S48" s="184" t="str">
        <f>IF(Table1[[#This Row],[Actual End Date]]="","",TEXT(Table1[[#This Row],[Actual End Date]],"mmm-yy"))</f>
        <v/>
      </c>
      <c r="T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 s="185" t="str">
        <f>IFERROR((Table1[[#This Row],[Actual Effort (Hours)]]-Table1[[#This Row],[Estimated Effort (Hours)]])/Table1[[#This Row],[Estimated Effort (Hours)]],"")</f>
        <v/>
      </c>
    </row>
    <row r="49" spans="1:21" s="148" customFormat="1" ht="13.5">
      <c r="A49" s="167"/>
      <c r="B49" s="125"/>
      <c r="C49" s="102"/>
      <c r="D49" s="168"/>
      <c r="E49" s="168"/>
      <c r="F49" s="168"/>
      <c r="G49" s="168"/>
      <c r="H49" s="124"/>
      <c r="I49" s="124"/>
      <c r="J49" s="129"/>
      <c r="K49" s="124"/>
      <c r="L49" s="124"/>
      <c r="M49" s="129"/>
      <c r="N49" s="129" t="e">
        <f>Table1[[#This Row],[Estimated Effort (Hours)]]/NETWORKDAYS(Table1[[#This Row],[Planned Start Date]],Table1[[#This Row],[Planned End Date]])</f>
        <v>#DIV/0!</v>
      </c>
      <c r="O49" s="178">
        <f>NETWORKDAYS(Table1[[#This Row],[Planned Start Date]],Table1[[#This Row],[Planned End Date]])</f>
        <v>0</v>
      </c>
      <c r="P49" s="178">
        <f>NETWORKDAYS(Table1[[#This Row],[Planned Start Date]],$P$7)</f>
        <v>30643</v>
      </c>
      <c r="Q49" s="129"/>
      <c r="R49" s="183" t="str">
        <f>IF(Table1[[#This Row],[Actual Effort (Hours)]]="","",IF(Table1[[#This Row],[Estimated Effort (Hours)]]&lt;20,"L1",IF(Table1[[#This Row],[Estimated Effort (Hours)]]&lt;50,"L2",IF(Table1[[#This Row],[Estimated Effort (Hours)]]&lt;150,"L3",IF(Table1[[#This Row],[Estimated Effort (Hours)]]&lt;300,"L4","L5")))))</f>
        <v/>
      </c>
      <c r="S49" s="184" t="str">
        <f>IF(Table1[[#This Row],[Actual End Date]]="","",TEXT(Table1[[#This Row],[Actual End Date]],"mmm-yy"))</f>
        <v/>
      </c>
      <c r="T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 s="185" t="str">
        <f>IFERROR((Table1[[#This Row],[Actual Effort (Hours)]]-Table1[[#This Row],[Estimated Effort (Hours)]])/Table1[[#This Row],[Estimated Effort (Hours)]],"")</f>
        <v/>
      </c>
    </row>
    <row r="50" spans="1:21" s="148" customFormat="1" ht="13.5">
      <c r="A50" s="167"/>
      <c r="B50" s="125"/>
      <c r="C50" s="102"/>
      <c r="D50" s="168"/>
      <c r="E50" s="168"/>
      <c r="F50" s="168"/>
      <c r="G50" s="168"/>
      <c r="H50" s="124"/>
      <c r="I50" s="124"/>
      <c r="J50" s="129"/>
      <c r="K50" s="124"/>
      <c r="L50" s="124"/>
      <c r="M50" s="129"/>
      <c r="N50" s="129" t="e">
        <f>Table1[[#This Row],[Estimated Effort (Hours)]]/NETWORKDAYS(Table1[[#This Row],[Planned Start Date]],Table1[[#This Row],[Planned End Date]])</f>
        <v>#DIV/0!</v>
      </c>
      <c r="O50" s="178">
        <f>NETWORKDAYS(Table1[[#This Row],[Planned Start Date]],Table1[[#This Row],[Planned End Date]])</f>
        <v>0</v>
      </c>
      <c r="P50" s="178">
        <f>NETWORKDAYS(Table1[[#This Row],[Planned Start Date]],$P$7)</f>
        <v>30643</v>
      </c>
      <c r="Q50" s="129"/>
      <c r="R50" s="183" t="str">
        <f>IF(Table1[[#This Row],[Actual Effort (Hours)]]="","",IF(Table1[[#This Row],[Estimated Effort (Hours)]]&lt;20,"L1",IF(Table1[[#This Row],[Estimated Effort (Hours)]]&lt;50,"L2",IF(Table1[[#This Row],[Estimated Effort (Hours)]]&lt;150,"L3",IF(Table1[[#This Row],[Estimated Effort (Hours)]]&lt;300,"L4","L5")))))</f>
        <v/>
      </c>
      <c r="S50" s="184" t="str">
        <f>IF(Table1[[#This Row],[Actual End Date]]="","",TEXT(Table1[[#This Row],[Actual End Date]],"mmm-yy"))</f>
        <v/>
      </c>
      <c r="T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 s="185" t="str">
        <f>IFERROR((Table1[[#This Row],[Actual Effort (Hours)]]-Table1[[#This Row],[Estimated Effort (Hours)]])/Table1[[#This Row],[Estimated Effort (Hours)]],"")</f>
        <v/>
      </c>
    </row>
    <row r="51" spans="1:21" s="148" customFormat="1" ht="13.5">
      <c r="A51" s="167"/>
      <c r="B51" s="125"/>
      <c r="C51" s="102"/>
      <c r="D51" s="168"/>
      <c r="E51" s="168"/>
      <c r="F51" s="168"/>
      <c r="G51" s="168"/>
      <c r="H51" s="124"/>
      <c r="I51" s="124"/>
      <c r="J51" s="129"/>
      <c r="K51" s="124"/>
      <c r="L51" s="124"/>
      <c r="M51" s="129"/>
      <c r="N51" s="129" t="e">
        <f>Table1[[#This Row],[Estimated Effort (Hours)]]/NETWORKDAYS(Table1[[#This Row],[Planned Start Date]],Table1[[#This Row],[Planned End Date]])</f>
        <v>#DIV/0!</v>
      </c>
      <c r="O51" s="178">
        <f>NETWORKDAYS(Table1[[#This Row],[Planned Start Date]],Table1[[#This Row],[Planned End Date]])</f>
        <v>0</v>
      </c>
      <c r="P51" s="178">
        <f>NETWORKDAYS(Table1[[#This Row],[Planned Start Date]],$P$7)</f>
        <v>30643</v>
      </c>
      <c r="Q51" s="129"/>
      <c r="R51" s="183" t="str">
        <f>IF(Table1[[#This Row],[Actual Effort (Hours)]]="","",IF(Table1[[#This Row],[Estimated Effort (Hours)]]&lt;20,"L1",IF(Table1[[#This Row],[Estimated Effort (Hours)]]&lt;50,"L2",IF(Table1[[#This Row],[Estimated Effort (Hours)]]&lt;150,"L3",IF(Table1[[#This Row],[Estimated Effort (Hours)]]&lt;300,"L4","L5")))))</f>
        <v/>
      </c>
      <c r="S51" s="184" t="str">
        <f>IF(Table1[[#This Row],[Actual End Date]]="","",TEXT(Table1[[#This Row],[Actual End Date]],"mmm-yy"))</f>
        <v/>
      </c>
      <c r="T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 s="185" t="str">
        <f>IFERROR((Table1[[#This Row],[Actual Effort (Hours)]]-Table1[[#This Row],[Estimated Effort (Hours)]])/Table1[[#This Row],[Estimated Effort (Hours)]],"")</f>
        <v/>
      </c>
    </row>
    <row r="52" spans="1:21" s="148" customFormat="1" ht="13.5">
      <c r="A52" s="167"/>
      <c r="B52" s="125"/>
      <c r="C52" s="102"/>
      <c r="D52" s="168"/>
      <c r="E52" s="168"/>
      <c r="F52" s="168"/>
      <c r="G52" s="168"/>
      <c r="H52" s="124"/>
      <c r="I52" s="124"/>
      <c r="J52" s="129"/>
      <c r="K52" s="124"/>
      <c r="L52" s="124"/>
      <c r="M52" s="129"/>
      <c r="N52" s="129" t="e">
        <f>Table1[[#This Row],[Estimated Effort (Hours)]]/NETWORKDAYS(Table1[[#This Row],[Planned Start Date]],Table1[[#This Row],[Planned End Date]])</f>
        <v>#DIV/0!</v>
      </c>
      <c r="O52" s="178">
        <f>NETWORKDAYS(Table1[[#This Row],[Planned Start Date]],Table1[[#This Row],[Planned End Date]])</f>
        <v>0</v>
      </c>
      <c r="P52" s="178">
        <f>NETWORKDAYS(Table1[[#This Row],[Planned Start Date]],$P$7)</f>
        <v>30643</v>
      </c>
      <c r="Q52" s="129"/>
      <c r="R52" s="183" t="str">
        <f>IF(Table1[[#This Row],[Actual Effort (Hours)]]="","",IF(Table1[[#This Row],[Estimated Effort (Hours)]]&lt;20,"L1",IF(Table1[[#This Row],[Estimated Effort (Hours)]]&lt;50,"L2",IF(Table1[[#This Row],[Estimated Effort (Hours)]]&lt;150,"L3",IF(Table1[[#This Row],[Estimated Effort (Hours)]]&lt;300,"L4","L5")))))</f>
        <v/>
      </c>
      <c r="S52" s="184" t="str">
        <f>IF(Table1[[#This Row],[Actual End Date]]="","",TEXT(Table1[[#This Row],[Actual End Date]],"mmm-yy"))</f>
        <v/>
      </c>
      <c r="T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 s="185" t="str">
        <f>IFERROR((Table1[[#This Row],[Actual Effort (Hours)]]-Table1[[#This Row],[Estimated Effort (Hours)]])/Table1[[#This Row],[Estimated Effort (Hours)]],"")</f>
        <v/>
      </c>
    </row>
    <row r="53" spans="1:21" s="148" customFormat="1" ht="13.5">
      <c r="A53" s="167"/>
      <c r="B53" s="125"/>
      <c r="C53" s="102"/>
      <c r="D53" s="168"/>
      <c r="E53" s="168"/>
      <c r="F53" s="143"/>
      <c r="G53" s="168"/>
      <c r="H53" s="124"/>
      <c r="I53" s="124"/>
      <c r="J53" s="129"/>
      <c r="K53" s="124"/>
      <c r="L53" s="124"/>
      <c r="M53" s="129"/>
      <c r="N53" s="129" t="e">
        <f>Table1[[#This Row],[Estimated Effort (Hours)]]/NETWORKDAYS(Table1[[#This Row],[Planned Start Date]],Table1[[#This Row],[Planned End Date]])</f>
        <v>#DIV/0!</v>
      </c>
      <c r="O53" s="178">
        <f>NETWORKDAYS(Table1[[#This Row],[Planned Start Date]],Table1[[#This Row],[Planned End Date]])</f>
        <v>0</v>
      </c>
      <c r="P53" s="178">
        <f>NETWORKDAYS(Table1[[#This Row],[Planned Start Date]],$P$7)</f>
        <v>30643</v>
      </c>
      <c r="Q53" s="129"/>
      <c r="R53" s="183" t="str">
        <f>IF(Table1[[#This Row],[Actual Effort (Hours)]]="","",IF(Table1[[#This Row],[Estimated Effort (Hours)]]&lt;20,"L1",IF(Table1[[#This Row],[Estimated Effort (Hours)]]&lt;50,"L2",IF(Table1[[#This Row],[Estimated Effort (Hours)]]&lt;150,"L3",IF(Table1[[#This Row],[Estimated Effort (Hours)]]&lt;300,"L4","L5")))))</f>
        <v/>
      </c>
      <c r="S53" s="184" t="str">
        <f>IF(Table1[[#This Row],[Actual End Date]]="","",TEXT(Table1[[#This Row],[Actual End Date]],"mmm-yy"))</f>
        <v/>
      </c>
      <c r="T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 s="185" t="str">
        <f>IFERROR((Table1[[#This Row],[Actual Effort (Hours)]]-Table1[[#This Row],[Estimated Effort (Hours)]])/Table1[[#This Row],[Estimated Effort (Hours)]],"")</f>
        <v/>
      </c>
    </row>
    <row r="54" spans="1:21" s="148" customFormat="1" ht="13.5">
      <c r="A54" s="167"/>
      <c r="B54" s="125"/>
      <c r="C54" s="102"/>
      <c r="D54" s="168"/>
      <c r="E54" s="168"/>
      <c r="F54" s="168"/>
      <c r="G54" s="168"/>
      <c r="H54" s="124"/>
      <c r="I54" s="124"/>
      <c r="J54" s="129"/>
      <c r="K54" s="124"/>
      <c r="L54" s="124"/>
      <c r="M54" s="129"/>
      <c r="N54" s="129" t="e">
        <f>Table1[[#This Row],[Estimated Effort (Hours)]]/NETWORKDAYS(Table1[[#This Row],[Planned Start Date]],Table1[[#This Row],[Planned End Date]])</f>
        <v>#DIV/0!</v>
      </c>
      <c r="O54" s="178">
        <f>NETWORKDAYS(Table1[[#This Row],[Planned Start Date]],Table1[[#This Row],[Planned End Date]])</f>
        <v>0</v>
      </c>
      <c r="P54" s="178">
        <f>NETWORKDAYS(Table1[[#This Row],[Planned Start Date]],$P$7)</f>
        <v>30643</v>
      </c>
      <c r="Q54" s="129"/>
      <c r="R54" s="183" t="str">
        <f>IF(Table1[[#This Row],[Actual Effort (Hours)]]="","",IF(Table1[[#This Row],[Estimated Effort (Hours)]]&lt;20,"L1",IF(Table1[[#This Row],[Estimated Effort (Hours)]]&lt;50,"L2",IF(Table1[[#This Row],[Estimated Effort (Hours)]]&lt;150,"L3",IF(Table1[[#This Row],[Estimated Effort (Hours)]]&lt;300,"L4","L5")))))</f>
        <v/>
      </c>
      <c r="S54" s="184" t="str">
        <f>IF(Table1[[#This Row],[Actual End Date]]="","",TEXT(Table1[[#This Row],[Actual End Date]],"mmm-yy"))</f>
        <v/>
      </c>
      <c r="T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 s="185" t="str">
        <f>IFERROR((Table1[[#This Row],[Actual Effort (Hours)]]-Table1[[#This Row],[Estimated Effort (Hours)]])/Table1[[#This Row],[Estimated Effort (Hours)]],"")</f>
        <v/>
      </c>
    </row>
    <row r="55" spans="1:21" s="148" customFormat="1" ht="13.5">
      <c r="A55" s="167"/>
      <c r="B55" s="125"/>
      <c r="C55" s="102"/>
      <c r="D55" s="168"/>
      <c r="E55" s="168"/>
      <c r="F55" s="168"/>
      <c r="G55" s="168"/>
      <c r="H55" s="124"/>
      <c r="I55" s="124"/>
      <c r="J55" s="129"/>
      <c r="K55" s="124"/>
      <c r="L55" s="124"/>
      <c r="M55" s="129"/>
      <c r="N55" s="129" t="e">
        <f>Table1[[#This Row],[Estimated Effort (Hours)]]/NETWORKDAYS(Table1[[#This Row],[Planned Start Date]],Table1[[#This Row],[Planned End Date]])</f>
        <v>#DIV/0!</v>
      </c>
      <c r="O55" s="178">
        <f>NETWORKDAYS(Table1[[#This Row],[Planned Start Date]],Table1[[#This Row],[Planned End Date]])</f>
        <v>0</v>
      </c>
      <c r="P55" s="178">
        <f>NETWORKDAYS(Table1[[#This Row],[Planned Start Date]],$P$7)</f>
        <v>30643</v>
      </c>
      <c r="Q55" s="129"/>
      <c r="R55" s="183" t="str">
        <f>IF(Table1[[#This Row],[Actual Effort (Hours)]]="","",IF(Table1[[#This Row],[Estimated Effort (Hours)]]&lt;20,"L1",IF(Table1[[#This Row],[Estimated Effort (Hours)]]&lt;50,"L2",IF(Table1[[#This Row],[Estimated Effort (Hours)]]&lt;150,"L3",IF(Table1[[#This Row],[Estimated Effort (Hours)]]&lt;300,"L4","L5")))))</f>
        <v/>
      </c>
      <c r="S55" s="184" t="str">
        <f>IF(Table1[[#This Row],[Actual End Date]]="","",TEXT(Table1[[#This Row],[Actual End Date]],"mmm-yy"))</f>
        <v/>
      </c>
      <c r="T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 s="185" t="str">
        <f>IFERROR((Table1[[#This Row],[Actual Effort (Hours)]]-Table1[[#This Row],[Estimated Effort (Hours)]])/Table1[[#This Row],[Estimated Effort (Hours)]],"")</f>
        <v/>
      </c>
    </row>
    <row r="56" spans="1:21" s="148" customFormat="1" ht="13.5">
      <c r="A56" s="167"/>
      <c r="B56" s="125"/>
      <c r="C56" s="102"/>
      <c r="D56" s="168"/>
      <c r="E56" s="168"/>
      <c r="F56" s="168"/>
      <c r="G56" s="168"/>
      <c r="H56" s="124"/>
      <c r="I56" s="124"/>
      <c r="J56" s="129"/>
      <c r="K56" s="124"/>
      <c r="L56" s="124"/>
      <c r="M56" s="129"/>
      <c r="N56" s="129" t="e">
        <f>Table1[[#This Row],[Estimated Effort (Hours)]]/NETWORKDAYS(Table1[[#This Row],[Planned Start Date]],Table1[[#This Row],[Planned End Date]])</f>
        <v>#DIV/0!</v>
      </c>
      <c r="O56" s="178">
        <f>NETWORKDAYS(Table1[[#This Row],[Planned Start Date]],Table1[[#This Row],[Planned End Date]])</f>
        <v>0</v>
      </c>
      <c r="P56" s="178">
        <f>NETWORKDAYS(Table1[[#This Row],[Planned Start Date]],$P$7)</f>
        <v>30643</v>
      </c>
      <c r="Q56" s="129"/>
      <c r="R56" s="183" t="str">
        <f>IF(Table1[[#This Row],[Actual Effort (Hours)]]="","",IF(Table1[[#This Row],[Estimated Effort (Hours)]]&lt;20,"L1",IF(Table1[[#This Row],[Estimated Effort (Hours)]]&lt;50,"L2",IF(Table1[[#This Row],[Estimated Effort (Hours)]]&lt;150,"L3",IF(Table1[[#This Row],[Estimated Effort (Hours)]]&lt;300,"L4","L5")))))</f>
        <v/>
      </c>
      <c r="S56" s="184" t="str">
        <f>IF(Table1[[#This Row],[Actual End Date]]="","",TEXT(Table1[[#This Row],[Actual End Date]],"mmm-yy"))</f>
        <v/>
      </c>
      <c r="T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 s="185" t="str">
        <f>IFERROR((Table1[[#This Row],[Actual Effort (Hours)]]-Table1[[#This Row],[Estimated Effort (Hours)]])/Table1[[#This Row],[Estimated Effort (Hours)]],"")</f>
        <v/>
      </c>
    </row>
    <row r="57" spans="1:21" s="148" customFormat="1" ht="13.5">
      <c r="A57" s="167"/>
      <c r="B57" s="125"/>
      <c r="C57" s="102"/>
      <c r="D57" s="168"/>
      <c r="E57" s="168"/>
      <c r="F57" s="168"/>
      <c r="G57" s="168"/>
      <c r="H57" s="124"/>
      <c r="I57" s="124"/>
      <c r="J57" s="129"/>
      <c r="K57" s="124"/>
      <c r="L57" s="124"/>
      <c r="M57" s="129"/>
      <c r="N57" s="129" t="e">
        <f>Table1[[#This Row],[Estimated Effort (Hours)]]/NETWORKDAYS(Table1[[#This Row],[Planned Start Date]],Table1[[#This Row],[Planned End Date]])</f>
        <v>#DIV/0!</v>
      </c>
      <c r="O57" s="178">
        <f>NETWORKDAYS(Table1[[#This Row],[Planned Start Date]],Table1[[#This Row],[Planned End Date]])</f>
        <v>0</v>
      </c>
      <c r="P57" s="178">
        <f>NETWORKDAYS(Table1[[#This Row],[Planned Start Date]],$P$7)</f>
        <v>30643</v>
      </c>
      <c r="Q57" s="129"/>
      <c r="R57" s="183" t="str">
        <f>IF(Table1[[#This Row],[Actual Effort (Hours)]]="","",IF(Table1[[#This Row],[Estimated Effort (Hours)]]&lt;20,"L1",IF(Table1[[#This Row],[Estimated Effort (Hours)]]&lt;50,"L2",IF(Table1[[#This Row],[Estimated Effort (Hours)]]&lt;150,"L3",IF(Table1[[#This Row],[Estimated Effort (Hours)]]&lt;300,"L4","L5")))))</f>
        <v/>
      </c>
      <c r="S57" s="184" t="str">
        <f>IF(Table1[[#This Row],[Actual End Date]]="","",TEXT(Table1[[#This Row],[Actual End Date]],"mmm-yy"))</f>
        <v/>
      </c>
      <c r="T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 s="185" t="str">
        <f>IFERROR((Table1[[#This Row],[Actual Effort (Hours)]]-Table1[[#This Row],[Estimated Effort (Hours)]])/Table1[[#This Row],[Estimated Effort (Hours)]],"")</f>
        <v/>
      </c>
    </row>
    <row r="58" spans="1:21" s="148" customFormat="1" ht="13.5">
      <c r="A58" s="167"/>
      <c r="B58" s="125"/>
      <c r="C58" s="102"/>
      <c r="D58" s="168"/>
      <c r="E58" s="168"/>
      <c r="F58" s="168"/>
      <c r="G58" s="168"/>
      <c r="H58" s="124"/>
      <c r="I58" s="124"/>
      <c r="J58" s="129"/>
      <c r="K58" s="124"/>
      <c r="L58" s="124"/>
      <c r="M58" s="129"/>
      <c r="N58" s="129" t="e">
        <f>Table1[[#This Row],[Estimated Effort (Hours)]]/NETWORKDAYS(Table1[[#This Row],[Planned Start Date]],Table1[[#This Row],[Planned End Date]])</f>
        <v>#DIV/0!</v>
      </c>
      <c r="O58" s="178">
        <f>NETWORKDAYS(Table1[[#This Row],[Planned Start Date]],Table1[[#This Row],[Planned End Date]])</f>
        <v>0</v>
      </c>
      <c r="P58" s="178">
        <f>NETWORKDAYS(Table1[[#This Row],[Planned Start Date]],$P$7)</f>
        <v>30643</v>
      </c>
      <c r="Q58" s="129"/>
      <c r="R58" s="183" t="str">
        <f>IF(Table1[[#This Row],[Actual Effort (Hours)]]="","",IF(Table1[[#This Row],[Estimated Effort (Hours)]]&lt;20,"L1",IF(Table1[[#This Row],[Estimated Effort (Hours)]]&lt;50,"L2",IF(Table1[[#This Row],[Estimated Effort (Hours)]]&lt;150,"L3",IF(Table1[[#This Row],[Estimated Effort (Hours)]]&lt;300,"L4","L5")))))</f>
        <v/>
      </c>
      <c r="S58" s="184" t="str">
        <f>IF(Table1[[#This Row],[Actual End Date]]="","",TEXT(Table1[[#This Row],[Actual End Date]],"mmm-yy"))</f>
        <v/>
      </c>
      <c r="T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 s="185" t="str">
        <f>IFERROR((Table1[[#This Row],[Actual Effort (Hours)]]-Table1[[#This Row],[Estimated Effort (Hours)]])/Table1[[#This Row],[Estimated Effort (Hours)]],"")</f>
        <v/>
      </c>
    </row>
    <row r="59" spans="1:21" s="148" customFormat="1" ht="13.5">
      <c r="A59" s="167"/>
      <c r="B59" s="125"/>
      <c r="C59" s="102"/>
      <c r="D59" s="168"/>
      <c r="E59" s="168"/>
      <c r="F59" s="168"/>
      <c r="G59" s="168"/>
      <c r="H59" s="124"/>
      <c r="I59" s="124"/>
      <c r="J59" s="129"/>
      <c r="K59" s="124"/>
      <c r="L59" s="124"/>
      <c r="M59" s="129"/>
      <c r="N59" s="129" t="e">
        <f>Table1[[#This Row],[Estimated Effort (Hours)]]/NETWORKDAYS(Table1[[#This Row],[Planned Start Date]],Table1[[#This Row],[Planned End Date]])</f>
        <v>#DIV/0!</v>
      </c>
      <c r="O59" s="178">
        <f>NETWORKDAYS(Table1[[#This Row],[Planned Start Date]],Table1[[#This Row],[Planned End Date]])</f>
        <v>0</v>
      </c>
      <c r="P59" s="178">
        <f>NETWORKDAYS(Table1[[#This Row],[Planned Start Date]],$P$7)</f>
        <v>30643</v>
      </c>
      <c r="Q59" s="129"/>
      <c r="R59" s="183" t="str">
        <f>IF(Table1[[#This Row],[Actual Effort (Hours)]]="","",IF(Table1[[#This Row],[Estimated Effort (Hours)]]&lt;20,"L1",IF(Table1[[#This Row],[Estimated Effort (Hours)]]&lt;50,"L2",IF(Table1[[#This Row],[Estimated Effort (Hours)]]&lt;150,"L3",IF(Table1[[#This Row],[Estimated Effort (Hours)]]&lt;300,"L4","L5")))))</f>
        <v/>
      </c>
      <c r="S59" s="184" t="str">
        <f>IF(Table1[[#This Row],[Actual End Date]]="","",TEXT(Table1[[#This Row],[Actual End Date]],"mmm-yy"))</f>
        <v/>
      </c>
      <c r="T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 s="185" t="str">
        <f>IFERROR((Table1[[#This Row],[Actual Effort (Hours)]]-Table1[[#This Row],[Estimated Effort (Hours)]])/Table1[[#This Row],[Estimated Effort (Hours)]],"")</f>
        <v/>
      </c>
    </row>
    <row r="60" spans="1:21" s="148" customFormat="1" ht="13.5">
      <c r="A60" s="167"/>
      <c r="B60" s="125"/>
      <c r="C60" s="102"/>
      <c r="D60" s="168"/>
      <c r="E60" s="168"/>
      <c r="F60" s="168"/>
      <c r="G60" s="168"/>
      <c r="H60" s="124"/>
      <c r="I60" s="124"/>
      <c r="J60" s="129"/>
      <c r="K60" s="124"/>
      <c r="L60" s="124"/>
      <c r="M60" s="129"/>
      <c r="N60" s="129" t="e">
        <f>Table1[[#This Row],[Estimated Effort (Hours)]]/NETWORKDAYS(Table1[[#This Row],[Planned Start Date]],Table1[[#This Row],[Planned End Date]])</f>
        <v>#DIV/0!</v>
      </c>
      <c r="O60" s="178">
        <f>NETWORKDAYS(Table1[[#This Row],[Planned Start Date]],Table1[[#This Row],[Planned End Date]])</f>
        <v>0</v>
      </c>
      <c r="P60" s="178">
        <f>NETWORKDAYS(Table1[[#This Row],[Planned Start Date]],$P$7)</f>
        <v>30643</v>
      </c>
      <c r="Q60" s="129"/>
      <c r="R60" s="183" t="str">
        <f>IF(Table1[[#This Row],[Actual Effort (Hours)]]="","",IF(Table1[[#This Row],[Estimated Effort (Hours)]]&lt;20,"L1",IF(Table1[[#This Row],[Estimated Effort (Hours)]]&lt;50,"L2",IF(Table1[[#This Row],[Estimated Effort (Hours)]]&lt;150,"L3",IF(Table1[[#This Row],[Estimated Effort (Hours)]]&lt;300,"L4","L5")))))</f>
        <v/>
      </c>
      <c r="S60" s="184" t="str">
        <f>IF(Table1[[#This Row],[Actual End Date]]="","",TEXT(Table1[[#This Row],[Actual End Date]],"mmm-yy"))</f>
        <v/>
      </c>
      <c r="T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 s="185" t="str">
        <f>IFERROR((Table1[[#This Row],[Actual Effort (Hours)]]-Table1[[#This Row],[Estimated Effort (Hours)]])/Table1[[#This Row],[Estimated Effort (Hours)]],"")</f>
        <v/>
      </c>
    </row>
    <row r="61" spans="1:21" s="148" customFormat="1" ht="13.5">
      <c r="A61" s="167"/>
      <c r="B61" s="125"/>
      <c r="C61" s="102"/>
      <c r="D61" s="168"/>
      <c r="E61" s="168"/>
      <c r="F61" s="168"/>
      <c r="G61" s="168"/>
      <c r="H61" s="124"/>
      <c r="I61" s="124"/>
      <c r="J61" s="129"/>
      <c r="K61" s="124"/>
      <c r="L61" s="124"/>
      <c r="M61" s="129"/>
      <c r="N61" s="129" t="e">
        <f>Table1[[#This Row],[Estimated Effort (Hours)]]/NETWORKDAYS(Table1[[#This Row],[Planned Start Date]],Table1[[#This Row],[Planned End Date]])</f>
        <v>#DIV/0!</v>
      </c>
      <c r="O61" s="178">
        <f>NETWORKDAYS(Table1[[#This Row],[Planned Start Date]],Table1[[#This Row],[Planned End Date]])</f>
        <v>0</v>
      </c>
      <c r="P61" s="178">
        <f>NETWORKDAYS(Table1[[#This Row],[Planned Start Date]],$P$7)</f>
        <v>30643</v>
      </c>
      <c r="Q61" s="129"/>
      <c r="R61" s="183" t="str">
        <f>IF(Table1[[#This Row],[Actual Effort (Hours)]]="","",IF(Table1[[#This Row],[Estimated Effort (Hours)]]&lt;20,"L1",IF(Table1[[#This Row],[Estimated Effort (Hours)]]&lt;50,"L2",IF(Table1[[#This Row],[Estimated Effort (Hours)]]&lt;150,"L3",IF(Table1[[#This Row],[Estimated Effort (Hours)]]&lt;300,"L4","L5")))))</f>
        <v/>
      </c>
      <c r="S61" s="184" t="str">
        <f>IF(Table1[[#This Row],[Actual End Date]]="","",TEXT(Table1[[#This Row],[Actual End Date]],"mmm-yy"))</f>
        <v/>
      </c>
      <c r="T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 s="185" t="str">
        <f>IFERROR((Table1[[#This Row],[Actual Effort (Hours)]]-Table1[[#This Row],[Estimated Effort (Hours)]])/Table1[[#This Row],[Estimated Effort (Hours)]],"")</f>
        <v/>
      </c>
    </row>
    <row r="62" spans="1:21" s="148" customFormat="1" ht="13.5">
      <c r="A62" s="167"/>
      <c r="B62" s="125"/>
      <c r="C62" s="102"/>
      <c r="D62" s="168"/>
      <c r="E62" s="168"/>
      <c r="F62" s="168"/>
      <c r="G62" s="168"/>
      <c r="H62" s="124"/>
      <c r="I62" s="124"/>
      <c r="J62" s="129"/>
      <c r="K62" s="124"/>
      <c r="L62" s="124"/>
      <c r="M62" s="129"/>
      <c r="N62" s="129" t="e">
        <f>Table1[[#This Row],[Estimated Effort (Hours)]]/NETWORKDAYS(Table1[[#This Row],[Planned Start Date]],Table1[[#This Row],[Planned End Date]])</f>
        <v>#DIV/0!</v>
      </c>
      <c r="O62" s="178">
        <f>NETWORKDAYS(Table1[[#This Row],[Planned Start Date]],Table1[[#This Row],[Planned End Date]])</f>
        <v>0</v>
      </c>
      <c r="P62" s="178">
        <f>NETWORKDAYS(Table1[[#This Row],[Planned Start Date]],$P$7)</f>
        <v>30643</v>
      </c>
      <c r="Q62" s="129"/>
      <c r="R62" s="183" t="str">
        <f>IF(Table1[[#This Row],[Actual Effort (Hours)]]="","",IF(Table1[[#This Row],[Estimated Effort (Hours)]]&lt;20,"L1",IF(Table1[[#This Row],[Estimated Effort (Hours)]]&lt;50,"L2",IF(Table1[[#This Row],[Estimated Effort (Hours)]]&lt;150,"L3",IF(Table1[[#This Row],[Estimated Effort (Hours)]]&lt;300,"L4","L5")))))</f>
        <v/>
      </c>
      <c r="S62" s="184" t="str">
        <f>IF(Table1[[#This Row],[Actual End Date]]="","",TEXT(Table1[[#This Row],[Actual End Date]],"mmm-yy"))</f>
        <v/>
      </c>
      <c r="T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 s="185" t="str">
        <f>IFERROR((Table1[[#This Row],[Actual Effort (Hours)]]-Table1[[#This Row],[Estimated Effort (Hours)]])/Table1[[#This Row],[Estimated Effort (Hours)]],"")</f>
        <v/>
      </c>
    </row>
    <row r="63" spans="1:21" s="148" customFormat="1" ht="13.5">
      <c r="A63" s="167"/>
      <c r="B63" s="125"/>
      <c r="C63" s="102"/>
      <c r="D63" s="168"/>
      <c r="E63" s="168"/>
      <c r="F63" s="168"/>
      <c r="G63" s="168"/>
      <c r="H63" s="124"/>
      <c r="I63" s="124"/>
      <c r="J63" s="129"/>
      <c r="K63" s="124"/>
      <c r="L63" s="124"/>
      <c r="M63" s="129"/>
      <c r="N63" s="129" t="e">
        <f>Table1[[#This Row],[Estimated Effort (Hours)]]/NETWORKDAYS(Table1[[#This Row],[Planned Start Date]],Table1[[#This Row],[Planned End Date]])</f>
        <v>#DIV/0!</v>
      </c>
      <c r="O63" s="178">
        <f>NETWORKDAYS(Table1[[#This Row],[Planned Start Date]],Table1[[#This Row],[Planned End Date]])</f>
        <v>0</v>
      </c>
      <c r="P63" s="178">
        <f>NETWORKDAYS(Table1[[#This Row],[Planned Start Date]],$P$7)</f>
        <v>30643</v>
      </c>
      <c r="Q63" s="129"/>
      <c r="R63" s="183" t="str">
        <f>IF(Table1[[#This Row],[Actual Effort (Hours)]]="","",IF(Table1[[#This Row],[Estimated Effort (Hours)]]&lt;20,"L1",IF(Table1[[#This Row],[Estimated Effort (Hours)]]&lt;50,"L2",IF(Table1[[#This Row],[Estimated Effort (Hours)]]&lt;150,"L3",IF(Table1[[#This Row],[Estimated Effort (Hours)]]&lt;300,"L4","L5")))))</f>
        <v/>
      </c>
      <c r="S63" s="184" t="str">
        <f>IF(Table1[[#This Row],[Actual End Date]]="","",TEXT(Table1[[#This Row],[Actual End Date]],"mmm-yy"))</f>
        <v/>
      </c>
      <c r="T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 s="185" t="str">
        <f>IFERROR((Table1[[#This Row],[Actual Effort (Hours)]]-Table1[[#This Row],[Estimated Effort (Hours)]])/Table1[[#This Row],[Estimated Effort (Hours)]],"")</f>
        <v/>
      </c>
    </row>
    <row r="64" spans="1:21" s="148" customFormat="1" ht="13.5">
      <c r="A64" s="167"/>
      <c r="B64" s="125"/>
      <c r="C64" s="102"/>
      <c r="D64" s="168"/>
      <c r="E64" s="168"/>
      <c r="F64" s="168"/>
      <c r="G64" s="168"/>
      <c r="H64" s="124"/>
      <c r="I64" s="124"/>
      <c r="J64" s="129"/>
      <c r="K64" s="124"/>
      <c r="L64" s="124"/>
      <c r="M64" s="129"/>
      <c r="N64" s="129" t="e">
        <f>Table1[[#This Row],[Estimated Effort (Hours)]]/NETWORKDAYS(Table1[[#This Row],[Planned Start Date]],Table1[[#This Row],[Planned End Date]])</f>
        <v>#DIV/0!</v>
      </c>
      <c r="O64" s="178">
        <f>NETWORKDAYS(Table1[[#This Row],[Planned Start Date]],Table1[[#This Row],[Planned End Date]])</f>
        <v>0</v>
      </c>
      <c r="P64" s="178">
        <f>NETWORKDAYS(Table1[[#This Row],[Planned Start Date]],$P$7)</f>
        <v>30643</v>
      </c>
      <c r="Q64" s="129"/>
      <c r="R64" s="183" t="str">
        <f>IF(Table1[[#This Row],[Actual Effort (Hours)]]="","",IF(Table1[[#This Row],[Estimated Effort (Hours)]]&lt;20,"L1",IF(Table1[[#This Row],[Estimated Effort (Hours)]]&lt;50,"L2",IF(Table1[[#This Row],[Estimated Effort (Hours)]]&lt;150,"L3",IF(Table1[[#This Row],[Estimated Effort (Hours)]]&lt;300,"L4","L5")))))</f>
        <v/>
      </c>
      <c r="S64" s="184" t="str">
        <f>IF(Table1[[#This Row],[Actual End Date]]="","",TEXT(Table1[[#This Row],[Actual End Date]],"mmm-yy"))</f>
        <v/>
      </c>
      <c r="T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 s="185" t="str">
        <f>IFERROR((Table1[[#This Row],[Actual Effort (Hours)]]-Table1[[#This Row],[Estimated Effort (Hours)]])/Table1[[#This Row],[Estimated Effort (Hours)]],"")</f>
        <v/>
      </c>
    </row>
    <row r="65" spans="1:22" s="148" customFormat="1" ht="13.5">
      <c r="A65" s="167"/>
      <c r="B65" s="125"/>
      <c r="C65" s="102"/>
      <c r="D65" s="168"/>
      <c r="E65" s="168"/>
      <c r="F65" s="168"/>
      <c r="G65" s="168"/>
      <c r="H65" s="124"/>
      <c r="I65" s="124"/>
      <c r="J65" s="129"/>
      <c r="K65" s="124"/>
      <c r="L65" s="124"/>
      <c r="M65" s="129"/>
      <c r="N65" s="129" t="e">
        <f>Table1[[#This Row],[Estimated Effort (Hours)]]/NETWORKDAYS(Table1[[#This Row],[Planned Start Date]],Table1[[#This Row],[Planned End Date]])</f>
        <v>#DIV/0!</v>
      </c>
      <c r="O65" s="178">
        <f>NETWORKDAYS(Table1[[#This Row],[Planned Start Date]],Table1[[#This Row],[Planned End Date]])</f>
        <v>0</v>
      </c>
      <c r="P65" s="178">
        <f>NETWORKDAYS(Table1[[#This Row],[Planned Start Date]],$P$7)</f>
        <v>30643</v>
      </c>
      <c r="Q65" s="129"/>
      <c r="R65" s="183" t="str">
        <f>IF(Table1[[#This Row],[Actual Effort (Hours)]]="","",IF(Table1[[#This Row],[Estimated Effort (Hours)]]&lt;20,"L1",IF(Table1[[#This Row],[Estimated Effort (Hours)]]&lt;50,"L2",IF(Table1[[#This Row],[Estimated Effort (Hours)]]&lt;150,"L3",IF(Table1[[#This Row],[Estimated Effort (Hours)]]&lt;300,"L4","L5")))))</f>
        <v/>
      </c>
      <c r="S65" s="184" t="str">
        <f>IF(Table1[[#This Row],[Actual End Date]]="","",TEXT(Table1[[#This Row],[Actual End Date]],"mmm-yy"))</f>
        <v/>
      </c>
      <c r="T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 s="185" t="str">
        <f>IFERROR((Table1[[#This Row],[Actual Effort (Hours)]]-Table1[[#This Row],[Estimated Effort (Hours)]])/Table1[[#This Row],[Estimated Effort (Hours)]],"")</f>
        <v/>
      </c>
    </row>
    <row r="66" spans="1:22" s="148" customFormat="1" ht="13.5">
      <c r="A66" s="167"/>
      <c r="B66" s="125"/>
      <c r="C66" s="102"/>
      <c r="D66" s="168"/>
      <c r="E66" s="168"/>
      <c r="F66" s="143"/>
      <c r="G66" s="168"/>
      <c r="H66" s="124"/>
      <c r="I66" s="124"/>
      <c r="J66" s="129"/>
      <c r="K66" s="124"/>
      <c r="L66" s="124"/>
      <c r="M66" s="129"/>
      <c r="N66" s="129" t="e">
        <f>Table1[[#This Row],[Estimated Effort (Hours)]]/NETWORKDAYS(Table1[[#This Row],[Planned Start Date]],Table1[[#This Row],[Planned End Date]])</f>
        <v>#DIV/0!</v>
      </c>
      <c r="O66" s="178">
        <f>NETWORKDAYS(Table1[[#This Row],[Planned Start Date]],Table1[[#This Row],[Planned End Date]])</f>
        <v>0</v>
      </c>
      <c r="P66" s="178">
        <f>NETWORKDAYS(Table1[[#This Row],[Planned Start Date]],$P$7)</f>
        <v>30643</v>
      </c>
      <c r="Q66" s="129"/>
      <c r="R66" s="183" t="str">
        <f>IF(Table1[[#This Row],[Actual Effort (Hours)]]="","",IF(Table1[[#This Row],[Estimated Effort (Hours)]]&lt;20,"L1",IF(Table1[[#This Row],[Estimated Effort (Hours)]]&lt;50,"L2",IF(Table1[[#This Row],[Estimated Effort (Hours)]]&lt;150,"L3",IF(Table1[[#This Row],[Estimated Effort (Hours)]]&lt;300,"L4","L5")))))</f>
        <v/>
      </c>
      <c r="S66" s="184" t="str">
        <f>IF(Table1[[#This Row],[Actual End Date]]="","",TEXT(Table1[[#This Row],[Actual End Date]],"mmm-yy"))</f>
        <v/>
      </c>
      <c r="T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 s="185" t="str">
        <f>IFERROR((Table1[[#This Row],[Actual Effort (Hours)]]-Table1[[#This Row],[Estimated Effort (Hours)]])/Table1[[#This Row],[Estimated Effort (Hours)]],"")</f>
        <v/>
      </c>
    </row>
    <row r="67" spans="1:22" s="148" customFormat="1" ht="13.5">
      <c r="A67" s="167"/>
      <c r="B67" s="125"/>
      <c r="C67" s="102"/>
      <c r="D67" s="168"/>
      <c r="E67" s="168"/>
      <c r="F67" s="168"/>
      <c r="G67" s="168"/>
      <c r="H67" s="124"/>
      <c r="I67" s="124"/>
      <c r="J67" s="129"/>
      <c r="K67" s="124"/>
      <c r="L67" s="124"/>
      <c r="M67" s="129"/>
      <c r="N67" s="129" t="e">
        <f>Table1[[#This Row],[Estimated Effort (Hours)]]/NETWORKDAYS(Table1[[#This Row],[Planned Start Date]],Table1[[#This Row],[Planned End Date]])</f>
        <v>#DIV/0!</v>
      </c>
      <c r="O67" s="178">
        <f>NETWORKDAYS(Table1[[#This Row],[Planned Start Date]],Table1[[#This Row],[Planned End Date]])</f>
        <v>0</v>
      </c>
      <c r="P67" s="178">
        <f>NETWORKDAYS(Table1[[#This Row],[Planned Start Date]],$P$7)</f>
        <v>30643</v>
      </c>
      <c r="Q67" s="129"/>
      <c r="R67" s="183" t="str">
        <f>IF(Table1[[#This Row],[Actual Effort (Hours)]]="","",IF(Table1[[#This Row],[Estimated Effort (Hours)]]&lt;20,"L1",IF(Table1[[#This Row],[Estimated Effort (Hours)]]&lt;50,"L2",IF(Table1[[#This Row],[Estimated Effort (Hours)]]&lt;150,"L3",IF(Table1[[#This Row],[Estimated Effort (Hours)]]&lt;300,"L4","L5")))))</f>
        <v/>
      </c>
      <c r="S67" s="184" t="str">
        <f>IF(Table1[[#This Row],[Actual End Date]]="","",TEXT(Table1[[#This Row],[Actual End Date]],"mmm-yy"))</f>
        <v/>
      </c>
      <c r="T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 s="185" t="str">
        <f>IFERROR((Table1[[#This Row],[Actual Effort (Hours)]]-Table1[[#This Row],[Estimated Effort (Hours)]])/Table1[[#This Row],[Estimated Effort (Hours)]],"")</f>
        <v/>
      </c>
    </row>
    <row r="68" spans="1:22" s="148" customFormat="1" ht="13.5">
      <c r="A68" s="167"/>
      <c r="B68" s="125"/>
      <c r="C68" s="102"/>
      <c r="D68" s="168"/>
      <c r="E68" s="168"/>
      <c r="F68" s="168"/>
      <c r="G68" s="168"/>
      <c r="H68" s="124"/>
      <c r="I68" s="124"/>
      <c r="J68" s="129"/>
      <c r="K68" s="124"/>
      <c r="L68" s="124"/>
      <c r="M68" s="129"/>
      <c r="N68" s="129" t="e">
        <f>Table1[[#This Row],[Estimated Effort (Hours)]]/NETWORKDAYS(Table1[[#This Row],[Planned Start Date]],Table1[[#This Row],[Planned End Date]])</f>
        <v>#DIV/0!</v>
      </c>
      <c r="O68" s="178">
        <f>NETWORKDAYS(Table1[[#This Row],[Planned Start Date]],Table1[[#This Row],[Planned End Date]])</f>
        <v>0</v>
      </c>
      <c r="P68" s="178">
        <f>NETWORKDAYS(Table1[[#This Row],[Planned Start Date]],$P$7)</f>
        <v>30643</v>
      </c>
      <c r="Q68" s="129"/>
      <c r="R68" s="183" t="str">
        <f>IF(Table1[[#This Row],[Actual Effort (Hours)]]="","",IF(Table1[[#This Row],[Estimated Effort (Hours)]]&lt;20,"L1",IF(Table1[[#This Row],[Estimated Effort (Hours)]]&lt;50,"L2",IF(Table1[[#This Row],[Estimated Effort (Hours)]]&lt;150,"L3",IF(Table1[[#This Row],[Estimated Effort (Hours)]]&lt;300,"L4","L5")))))</f>
        <v/>
      </c>
      <c r="S68" s="184" t="str">
        <f>IF(Table1[[#This Row],[Actual End Date]]="","",TEXT(Table1[[#This Row],[Actual End Date]],"mmm-yy"))</f>
        <v/>
      </c>
      <c r="T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 s="185" t="str">
        <f>IFERROR((Table1[[#This Row],[Actual Effort (Hours)]]-Table1[[#This Row],[Estimated Effort (Hours)]])/Table1[[#This Row],[Estimated Effort (Hours)]],"")</f>
        <v/>
      </c>
    </row>
    <row r="69" spans="1:22" s="148" customFormat="1" ht="13.5">
      <c r="A69" s="167"/>
      <c r="B69" s="125"/>
      <c r="C69" s="102"/>
      <c r="D69" s="168"/>
      <c r="E69" s="168"/>
      <c r="F69" s="143"/>
      <c r="G69" s="168"/>
      <c r="H69" s="124"/>
      <c r="I69" s="124"/>
      <c r="J69" s="129"/>
      <c r="K69" s="124"/>
      <c r="L69" s="124"/>
      <c r="M69" s="129"/>
      <c r="N69" s="129" t="e">
        <f>Table1[[#This Row],[Estimated Effort (Hours)]]/NETWORKDAYS(Table1[[#This Row],[Planned Start Date]],Table1[[#This Row],[Planned End Date]])</f>
        <v>#DIV/0!</v>
      </c>
      <c r="O69" s="178">
        <f>NETWORKDAYS(Table1[[#This Row],[Planned Start Date]],Table1[[#This Row],[Planned End Date]])</f>
        <v>0</v>
      </c>
      <c r="P69" s="178">
        <f>NETWORKDAYS(Table1[[#This Row],[Planned Start Date]],$P$7)</f>
        <v>30643</v>
      </c>
      <c r="Q69" s="129"/>
      <c r="R69" s="183" t="str">
        <f>IF(Table1[[#This Row],[Actual Effort (Hours)]]="","",IF(Table1[[#This Row],[Estimated Effort (Hours)]]&lt;20,"L1",IF(Table1[[#This Row],[Estimated Effort (Hours)]]&lt;50,"L2",IF(Table1[[#This Row],[Estimated Effort (Hours)]]&lt;150,"L3",IF(Table1[[#This Row],[Estimated Effort (Hours)]]&lt;300,"L4","L5")))))</f>
        <v/>
      </c>
      <c r="S69" s="184" t="str">
        <f>IF(Table1[[#This Row],[Actual End Date]]="","",TEXT(Table1[[#This Row],[Actual End Date]],"mmm-yy"))</f>
        <v/>
      </c>
      <c r="T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 s="185" t="str">
        <f>IFERROR((Table1[[#This Row],[Actual Effort (Hours)]]-Table1[[#This Row],[Estimated Effort (Hours)]])/Table1[[#This Row],[Estimated Effort (Hours)]],"")</f>
        <v/>
      </c>
    </row>
    <row r="70" spans="1:22" s="148" customFormat="1" ht="13.5">
      <c r="A70" s="167"/>
      <c r="B70" s="125"/>
      <c r="C70" s="102"/>
      <c r="D70" s="168"/>
      <c r="E70" s="168"/>
      <c r="F70" s="143"/>
      <c r="G70" s="168"/>
      <c r="H70" s="124"/>
      <c r="I70" s="124"/>
      <c r="J70" s="129"/>
      <c r="K70" s="124"/>
      <c r="L70" s="124"/>
      <c r="M70" s="129"/>
      <c r="N70" s="129" t="e">
        <f>Table1[[#This Row],[Estimated Effort (Hours)]]/NETWORKDAYS(Table1[[#This Row],[Planned Start Date]],Table1[[#This Row],[Planned End Date]])</f>
        <v>#DIV/0!</v>
      </c>
      <c r="O70" s="178">
        <f>NETWORKDAYS(Table1[[#This Row],[Planned Start Date]],Table1[[#This Row],[Planned End Date]])</f>
        <v>0</v>
      </c>
      <c r="P70" s="178">
        <f>NETWORKDAYS(Table1[[#This Row],[Planned Start Date]],$P$7)</f>
        <v>30643</v>
      </c>
      <c r="Q70" s="129"/>
      <c r="R70" s="183" t="str">
        <f>IF(Table1[[#This Row],[Actual Effort (Hours)]]="","",IF(Table1[[#This Row],[Estimated Effort (Hours)]]&lt;20,"L1",IF(Table1[[#This Row],[Estimated Effort (Hours)]]&lt;50,"L2",IF(Table1[[#This Row],[Estimated Effort (Hours)]]&lt;150,"L3",IF(Table1[[#This Row],[Estimated Effort (Hours)]]&lt;300,"L4","L5")))))</f>
        <v/>
      </c>
      <c r="S70" s="184" t="str">
        <f>IF(Table1[[#This Row],[Actual End Date]]="","",TEXT(Table1[[#This Row],[Actual End Date]],"mmm-yy"))</f>
        <v/>
      </c>
      <c r="T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 s="185" t="str">
        <f>IFERROR((Table1[[#This Row],[Actual Effort (Hours)]]-Table1[[#This Row],[Estimated Effort (Hours)]])/Table1[[#This Row],[Estimated Effort (Hours)]],"")</f>
        <v/>
      </c>
    </row>
    <row r="71" spans="1:22" s="148" customFormat="1" ht="13.5">
      <c r="A71" s="167"/>
      <c r="B71" s="125"/>
      <c r="C71" s="102"/>
      <c r="D71" s="168"/>
      <c r="E71" s="168"/>
      <c r="F71" s="168"/>
      <c r="G71" s="168"/>
      <c r="H71" s="124"/>
      <c r="I71" s="124"/>
      <c r="J71" s="129"/>
      <c r="K71" s="124"/>
      <c r="L71" s="124"/>
      <c r="M71" s="129"/>
      <c r="N71" s="129" t="e">
        <f>Table1[[#This Row],[Estimated Effort (Hours)]]/NETWORKDAYS(Table1[[#This Row],[Planned Start Date]],Table1[[#This Row],[Planned End Date]])</f>
        <v>#DIV/0!</v>
      </c>
      <c r="O71" s="178">
        <f>NETWORKDAYS(Table1[[#This Row],[Planned Start Date]],Table1[[#This Row],[Planned End Date]])</f>
        <v>0</v>
      </c>
      <c r="P71" s="178">
        <f>NETWORKDAYS(Table1[[#This Row],[Planned Start Date]],$P$7)</f>
        <v>30643</v>
      </c>
      <c r="Q71" s="129"/>
      <c r="R71" s="183" t="str">
        <f>IF(Table1[[#This Row],[Actual Effort (Hours)]]="","",IF(Table1[[#This Row],[Estimated Effort (Hours)]]&lt;20,"L1",IF(Table1[[#This Row],[Estimated Effort (Hours)]]&lt;50,"L2",IF(Table1[[#This Row],[Estimated Effort (Hours)]]&lt;150,"L3",IF(Table1[[#This Row],[Estimated Effort (Hours)]]&lt;300,"L4","L5")))))</f>
        <v/>
      </c>
      <c r="S71" s="184" t="str">
        <f>IF(Table1[[#This Row],[Actual End Date]]="","",TEXT(Table1[[#This Row],[Actual End Date]],"mmm-yy"))</f>
        <v/>
      </c>
      <c r="T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 s="185" t="str">
        <f>IFERROR((Table1[[#This Row],[Actual Effort (Hours)]]-Table1[[#This Row],[Estimated Effort (Hours)]])/Table1[[#This Row],[Estimated Effort (Hours)]],"")</f>
        <v/>
      </c>
    </row>
    <row r="72" spans="1:22" s="148" customFormat="1" ht="13.5">
      <c r="A72" s="167"/>
      <c r="B72" s="125"/>
      <c r="C72" s="102"/>
      <c r="D72" s="168"/>
      <c r="E72" s="168"/>
      <c r="F72" s="143"/>
      <c r="G72" s="168"/>
      <c r="H72" s="124"/>
      <c r="I72" s="124"/>
      <c r="J72" s="129"/>
      <c r="K72" s="124"/>
      <c r="L72" s="124"/>
      <c r="M72" s="129"/>
      <c r="N72" s="129" t="e">
        <f>Table1[[#This Row],[Estimated Effort (Hours)]]/NETWORKDAYS(Table1[[#This Row],[Planned Start Date]],Table1[[#This Row],[Planned End Date]])</f>
        <v>#DIV/0!</v>
      </c>
      <c r="O72" s="178">
        <f>NETWORKDAYS(Table1[[#This Row],[Planned Start Date]],Table1[[#This Row],[Planned End Date]])</f>
        <v>0</v>
      </c>
      <c r="P72" s="178">
        <f>NETWORKDAYS(Table1[[#This Row],[Planned Start Date]],$P$7)</f>
        <v>30643</v>
      </c>
      <c r="Q72" s="129"/>
      <c r="R72" s="183" t="str">
        <f>IF(Table1[[#This Row],[Actual Effort (Hours)]]="","",IF(Table1[[#This Row],[Estimated Effort (Hours)]]&lt;20,"L1",IF(Table1[[#This Row],[Estimated Effort (Hours)]]&lt;50,"L2",IF(Table1[[#This Row],[Estimated Effort (Hours)]]&lt;150,"L3",IF(Table1[[#This Row],[Estimated Effort (Hours)]]&lt;300,"L4","L5")))))</f>
        <v/>
      </c>
      <c r="S72" s="184" t="str">
        <f>IF(Table1[[#This Row],[Actual End Date]]="","",TEXT(Table1[[#This Row],[Actual End Date]],"mmm-yy"))</f>
        <v/>
      </c>
      <c r="T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 s="185" t="str">
        <f>IFERROR((Table1[[#This Row],[Actual Effort (Hours)]]-Table1[[#This Row],[Estimated Effort (Hours)]])/Table1[[#This Row],[Estimated Effort (Hours)]],"")</f>
        <v/>
      </c>
    </row>
    <row r="73" spans="1:22" s="148" customFormat="1" ht="13.5">
      <c r="A73" s="167"/>
      <c r="B73" s="125"/>
      <c r="C73" s="102"/>
      <c r="D73" s="123"/>
      <c r="E73" s="168"/>
      <c r="F73" s="143"/>
      <c r="G73" s="168"/>
      <c r="H73" s="124"/>
      <c r="I73" s="124"/>
      <c r="J73" s="129"/>
      <c r="K73" s="124"/>
      <c r="L73" s="124"/>
      <c r="M73" s="129"/>
      <c r="N73" s="129" t="e">
        <f>Table1[[#This Row],[Estimated Effort (Hours)]]/NETWORKDAYS(Table1[[#This Row],[Planned Start Date]],Table1[[#This Row],[Planned End Date]])</f>
        <v>#DIV/0!</v>
      </c>
      <c r="O73" s="178">
        <f>NETWORKDAYS(Table1[[#This Row],[Planned Start Date]],Table1[[#This Row],[Planned End Date]])</f>
        <v>0</v>
      </c>
      <c r="P73" s="178">
        <f>NETWORKDAYS(Table1[[#This Row],[Planned Start Date]],$P$7)</f>
        <v>30643</v>
      </c>
      <c r="Q73" s="129"/>
      <c r="R73" s="183" t="str">
        <f>IF(Table1[[#This Row],[Actual Effort (Hours)]]="","",IF(Table1[[#This Row],[Estimated Effort (Hours)]]&lt;20,"L1",IF(Table1[[#This Row],[Estimated Effort (Hours)]]&lt;50,"L2",IF(Table1[[#This Row],[Estimated Effort (Hours)]]&lt;150,"L3",IF(Table1[[#This Row],[Estimated Effort (Hours)]]&lt;300,"L4","L5")))))</f>
        <v/>
      </c>
      <c r="S73" s="184" t="str">
        <f>IF(Table1[[#This Row],[Actual End Date]]="","",TEXT(Table1[[#This Row],[Actual End Date]],"mmm-yy"))</f>
        <v/>
      </c>
      <c r="T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 s="185" t="str">
        <f>IFERROR((Table1[[#This Row],[Actual Effort (Hours)]]-Table1[[#This Row],[Estimated Effort (Hours)]])/Table1[[#This Row],[Estimated Effort (Hours)]],"")</f>
        <v/>
      </c>
    </row>
    <row r="74" spans="1:22" s="148" customFormat="1" ht="13.5">
      <c r="A74" s="167"/>
      <c r="B74" s="125"/>
      <c r="C74" s="102"/>
      <c r="D74" s="168"/>
      <c r="E74" s="168"/>
      <c r="F74" s="143"/>
      <c r="G74" s="168"/>
      <c r="H74" s="124"/>
      <c r="I74" s="124"/>
      <c r="J74" s="129"/>
      <c r="K74" s="124"/>
      <c r="L74" s="124"/>
      <c r="M74" s="129"/>
      <c r="N74" s="129" t="e">
        <f>Table1[[#This Row],[Estimated Effort (Hours)]]/NETWORKDAYS(Table1[[#This Row],[Planned Start Date]],Table1[[#This Row],[Planned End Date]])</f>
        <v>#DIV/0!</v>
      </c>
      <c r="O74" s="178">
        <f>NETWORKDAYS(Table1[[#This Row],[Planned Start Date]],Table1[[#This Row],[Planned End Date]])</f>
        <v>0</v>
      </c>
      <c r="P74" s="178">
        <f>NETWORKDAYS(Table1[[#This Row],[Planned Start Date]],$P$7)</f>
        <v>30643</v>
      </c>
      <c r="Q74" s="129"/>
      <c r="R74" s="183" t="str">
        <f>IF(Table1[[#This Row],[Actual Effort (Hours)]]="","",IF(Table1[[#This Row],[Estimated Effort (Hours)]]&lt;20,"L1",IF(Table1[[#This Row],[Estimated Effort (Hours)]]&lt;50,"L2",IF(Table1[[#This Row],[Estimated Effort (Hours)]]&lt;150,"L3",IF(Table1[[#This Row],[Estimated Effort (Hours)]]&lt;300,"L4","L5")))))</f>
        <v/>
      </c>
      <c r="S74" s="184" t="str">
        <f>IF(Table1[[#This Row],[Actual End Date]]="","",TEXT(Table1[[#This Row],[Actual End Date]],"mmm-yy"))</f>
        <v/>
      </c>
      <c r="T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 s="185" t="str">
        <f>IFERROR((Table1[[#This Row],[Actual Effort (Hours)]]-Table1[[#This Row],[Estimated Effort (Hours)]])/Table1[[#This Row],[Estimated Effort (Hours)]],"")</f>
        <v/>
      </c>
    </row>
    <row r="75" spans="1:22" s="148" customFormat="1" ht="13.5">
      <c r="A75" s="167"/>
      <c r="B75" s="125"/>
      <c r="C75" s="102"/>
      <c r="D75" s="168"/>
      <c r="E75" s="168"/>
      <c r="F75" s="143"/>
      <c r="G75" s="168"/>
      <c r="H75" s="124"/>
      <c r="I75" s="124"/>
      <c r="J75" s="129"/>
      <c r="K75" s="124"/>
      <c r="L75" s="124"/>
      <c r="M75" s="129"/>
      <c r="N75" s="129" t="e">
        <f>Table1[[#This Row],[Estimated Effort (Hours)]]/NETWORKDAYS(Table1[[#This Row],[Planned Start Date]],Table1[[#This Row],[Planned End Date]])</f>
        <v>#DIV/0!</v>
      </c>
      <c r="O75" s="178">
        <f>NETWORKDAYS(Table1[[#This Row],[Planned Start Date]],Table1[[#This Row],[Planned End Date]])</f>
        <v>0</v>
      </c>
      <c r="P75" s="178">
        <f>NETWORKDAYS(Table1[[#This Row],[Planned Start Date]],$P$7)</f>
        <v>30643</v>
      </c>
      <c r="Q75" s="129"/>
      <c r="R75" s="183" t="str">
        <f>IF(Table1[[#This Row],[Actual Effort (Hours)]]="","",IF(Table1[[#This Row],[Estimated Effort (Hours)]]&lt;20,"L1",IF(Table1[[#This Row],[Estimated Effort (Hours)]]&lt;50,"L2",IF(Table1[[#This Row],[Estimated Effort (Hours)]]&lt;150,"L3",IF(Table1[[#This Row],[Estimated Effort (Hours)]]&lt;300,"L4","L5")))))</f>
        <v/>
      </c>
      <c r="S75" s="184" t="str">
        <f>IF(Table1[[#This Row],[Actual End Date]]="","",TEXT(Table1[[#This Row],[Actual End Date]],"mmm-yy"))</f>
        <v/>
      </c>
      <c r="T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 s="185" t="str">
        <f>IFERROR((Table1[[#This Row],[Actual Effort (Hours)]]-Table1[[#This Row],[Estimated Effort (Hours)]])/Table1[[#This Row],[Estimated Effort (Hours)]],"")</f>
        <v/>
      </c>
    </row>
    <row r="76" spans="1:22" s="148" customFormat="1" ht="13.5">
      <c r="A76" s="167"/>
      <c r="B76" s="125"/>
      <c r="C76" s="102"/>
      <c r="D76" s="168"/>
      <c r="E76" s="168"/>
      <c r="F76" s="143"/>
      <c r="G76" s="168"/>
      <c r="H76" s="124"/>
      <c r="I76" s="124"/>
      <c r="J76" s="129"/>
      <c r="K76" s="124"/>
      <c r="L76" s="124"/>
      <c r="M76" s="129"/>
      <c r="N76" s="129" t="e">
        <f>Table1[[#This Row],[Estimated Effort (Hours)]]/NETWORKDAYS(Table1[[#This Row],[Planned Start Date]],Table1[[#This Row],[Planned End Date]])</f>
        <v>#DIV/0!</v>
      </c>
      <c r="O76" s="178">
        <f>NETWORKDAYS(Table1[[#This Row],[Planned Start Date]],Table1[[#This Row],[Planned End Date]])</f>
        <v>0</v>
      </c>
      <c r="P76" s="178">
        <f>NETWORKDAYS(Table1[[#This Row],[Planned Start Date]],$P$7)</f>
        <v>30643</v>
      </c>
      <c r="Q76" s="129"/>
      <c r="R76" s="183" t="str">
        <f>IF(Table1[[#This Row],[Actual Effort (Hours)]]="","",IF(Table1[[#This Row],[Estimated Effort (Hours)]]&lt;20,"L1",IF(Table1[[#This Row],[Estimated Effort (Hours)]]&lt;50,"L2",IF(Table1[[#This Row],[Estimated Effort (Hours)]]&lt;150,"L3",IF(Table1[[#This Row],[Estimated Effort (Hours)]]&lt;300,"L4","L5")))))</f>
        <v/>
      </c>
      <c r="S76" s="184" t="str">
        <f>IF(Table1[[#This Row],[Actual End Date]]="","",TEXT(Table1[[#This Row],[Actual End Date]],"mmm-yy"))</f>
        <v/>
      </c>
      <c r="T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 s="185" t="str">
        <f>IFERROR((Table1[[#This Row],[Actual Effort (Hours)]]-Table1[[#This Row],[Estimated Effort (Hours)]])/Table1[[#This Row],[Estimated Effort (Hours)]],"")</f>
        <v/>
      </c>
    </row>
    <row r="77" spans="1:22" s="148" customFormat="1" ht="13.5">
      <c r="A77" s="167"/>
      <c r="B77" s="125"/>
      <c r="C77" s="102"/>
      <c r="D77" s="168"/>
      <c r="E77" s="168"/>
      <c r="F77" s="143"/>
      <c r="G77" s="168"/>
      <c r="H77" s="124"/>
      <c r="I77" s="124"/>
      <c r="J77" s="129"/>
      <c r="K77" s="124"/>
      <c r="L77" s="124"/>
      <c r="M77" s="129"/>
      <c r="N77" s="129" t="e">
        <f>Table1[[#This Row],[Estimated Effort (Hours)]]/NETWORKDAYS(Table1[[#This Row],[Planned Start Date]],Table1[[#This Row],[Planned End Date]])</f>
        <v>#DIV/0!</v>
      </c>
      <c r="O77" s="178">
        <f>NETWORKDAYS(Table1[[#This Row],[Planned Start Date]],Table1[[#This Row],[Planned End Date]])</f>
        <v>0</v>
      </c>
      <c r="P77" s="178">
        <f>NETWORKDAYS(Table1[[#This Row],[Planned Start Date]],$P$7)</f>
        <v>30643</v>
      </c>
      <c r="Q77" s="129"/>
      <c r="R77" s="183" t="str">
        <f>IF(Table1[[#This Row],[Actual Effort (Hours)]]="","",IF(Table1[[#This Row],[Estimated Effort (Hours)]]&lt;20,"L1",IF(Table1[[#This Row],[Estimated Effort (Hours)]]&lt;50,"L2",IF(Table1[[#This Row],[Estimated Effort (Hours)]]&lt;150,"L3",IF(Table1[[#This Row],[Estimated Effort (Hours)]]&lt;300,"L4","L5")))))</f>
        <v/>
      </c>
      <c r="S77" s="184" t="str">
        <f>IF(Table1[[#This Row],[Actual End Date]]="","",TEXT(Table1[[#This Row],[Actual End Date]],"mmm-yy"))</f>
        <v/>
      </c>
      <c r="T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 s="185" t="str">
        <f>IFERROR((Table1[[#This Row],[Actual Effort (Hours)]]-Table1[[#This Row],[Estimated Effort (Hours)]])/Table1[[#This Row],[Estimated Effort (Hours)]],"")</f>
        <v/>
      </c>
    </row>
    <row r="78" spans="1:22" s="148" customFormat="1" ht="13.5">
      <c r="A78" s="167"/>
      <c r="B78" s="125"/>
      <c r="C78" s="102"/>
      <c r="D78" s="168"/>
      <c r="E78" s="168"/>
      <c r="F78" s="143"/>
      <c r="G78" s="168"/>
      <c r="H78" s="124"/>
      <c r="I78" s="124"/>
      <c r="J78" s="129"/>
      <c r="K78" s="124"/>
      <c r="L78" s="124"/>
      <c r="M78" s="129"/>
      <c r="N78" s="129" t="e">
        <f>Table1[[#This Row],[Estimated Effort (Hours)]]/NETWORKDAYS(Table1[[#This Row],[Planned Start Date]],Table1[[#This Row],[Planned End Date]])</f>
        <v>#DIV/0!</v>
      </c>
      <c r="O78" s="178">
        <f>NETWORKDAYS(Table1[[#This Row],[Planned Start Date]],Table1[[#This Row],[Planned End Date]])</f>
        <v>0</v>
      </c>
      <c r="P78" s="178">
        <f>NETWORKDAYS(Table1[[#This Row],[Planned Start Date]],$P$7)</f>
        <v>30643</v>
      </c>
      <c r="Q78" s="129"/>
      <c r="R78" s="183" t="str">
        <f>IF(Table1[[#This Row],[Actual Effort (Hours)]]="","",IF(Table1[[#This Row],[Estimated Effort (Hours)]]&lt;20,"L1",IF(Table1[[#This Row],[Estimated Effort (Hours)]]&lt;50,"L2",IF(Table1[[#This Row],[Estimated Effort (Hours)]]&lt;150,"L3",IF(Table1[[#This Row],[Estimated Effort (Hours)]]&lt;300,"L4","L5")))))</f>
        <v/>
      </c>
      <c r="S78" s="184" t="str">
        <f>IF(Table1[[#This Row],[Actual End Date]]="","",TEXT(Table1[[#This Row],[Actual End Date]],"mmm-yy"))</f>
        <v/>
      </c>
      <c r="T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 s="185" t="str">
        <f>IFERROR((Table1[[#This Row],[Actual Effort (Hours)]]-Table1[[#This Row],[Estimated Effort (Hours)]])/Table1[[#This Row],[Estimated Effort (Hours)]],"")</f>
        <v/>
      </c>
    </row>
    <row r="79" spans="1:22" s="148" customFormat="1" ht="13.5">
      <c r="A79" s="167"/>
      <c r="B79" s="125"/>
      <c r="C79" s="102"/>
      <c r="D79" s="123"/>
      <c r="E79" s="168"/>
      <c r="F79" s="143"/>
      <c r="G79" s="168"/>
      <c r="H79" s="124"/>
      <c r="I79" s="124"/>
      <c r="J79" s="129"/>
      <c r="K79" s="124"/>
      <c r="L79" s="124"/>
      <c r="M79" s="129"/>
      <c r="N79" s="129" t="e">
        <f>Table1[[#This Row],[Estimated Effort (Hours)]]/NETWORKDAYS(Table1[[#This Row],[Planned Start Date]],Table1[[#This Row],[Planned End Date]])</f>
        <v>#DIV/0!</v>
      </c>
      <c r="O79" s="178">
        <f>NETWORKDAYS(Table1[[#This Row],[Planned Start Date]],Table1[[#This Row],[Planned End Date]])</f>
        <v>0</v>
      </c>
      <c r="P79" s="178">
        <f>NETWORKDAYS(Table1[[#This Row],[Planned Start Date]],$P$7)</f>
        <v>30643</v>
      </c>
      <c r="Q79" s="129"/>
      <c r="R79" s="183" t="str">
        <f>IF(Table1[[#This Row],[Actual Effort (Hours)]]="","",IF(Table1[[#This Row],[Estimated Effort (Hours)]]&lt;20,"L1",IF(Table1[[#This Row],[Estimated Effort (Hours)]]&lt;50,"L2",IF(Table1[[#This Row],[Estimated Effort (Hours)]]&lt;150,"L3",IF(Table1[[#This Row],[Estimated Effort (Hours)]]&lt;300,"L4","L5")))))</f>
        <v/>
      </c>
      <c r="S79" s="184" t="str">
        <f>IF(Table1[[#This Row],[Actual End Date]]="","",TEXT(Table1[[#This Row],[Actual End Date]],"mmm-yy"))</f>
        <v/>
      </c>
      <c r="T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 s="185" t="str">
        <f>IFERROR((Table1[[#This Row],[Actual Effort (Hours)]]-Table1[[#This Row],[Estimated Effort (Hours)]])/Table1[[#This Row],[Estimated Effort (Hours)]],"")</f>
        <v/>
      </c>
    </row>
    <row r="80" spans="1:22">
      <c r="B80" s="125"/>
      <c r="C80" s="102"/>
      <c r="D80" s="168"/>
      <c r="E80" s="168"/>
      <c r="F80" s="143"/>
      <c r="G80" s="168"/>
      <c r="H80" s="124"/>
      <c r="I80" s="124"/>
      <c r="J80" s="129"/>
      <c r="K80" s="124"/>
      <c r="L80" s="124"/>
      <c r="M80" s="129"/>
      <c r="N80" s="129" t="e">
        <f>Table1[[#This Row],[Estimated Effort (Hours)]]/NETWORKDAYS(Table1[[#This Row],[Planned Start Date]],Table1[[#This Row],[Planned End Date]])</f>
        <v>#DIV/0!</v>
      </c>
      <c r="O80" s="178">
        <f>NETWORKDAYS(Table1[[#This Row],[Planned Start Date]],Table1[[#This Row],[Planned End Date]])</f>
        <v>0</v>
      </c>
      <c r="P80" s="178">
        <f>NETWORKDAYS(Table1[[#This Row],[Planned Start Date]],$P$7)</f>
        <v>30643</v>
      </c>
      <c r="Q80" s="129"/>
      <c r="R80" s="183" t="str">
        <f>IF(Table1[[#This Row],[Actual Effort (Hours)]]="","",IF(Table1[[#This Row],[Estimated Effort (Hours)]]&lt;20,"L1",IF(Table1[[#This Row],[Estimated Effort (Hours)]]&lt;50,"L2",IF(Table1[[#This Row],[Estimated Effort (Hours)]]&lt;150,"L3",IF(Table1[[#This Row],[Estimated Effort (Hours)]]&lt;300,"L4","L5")))))</f>
        <v/>
      </c>
      <c r="S80" s="184" t="str">
        <f>IF(Table1[[#This Row],[Actual End Date]]="","",TEXT(Table1[[#This Row],[Actual End Date]],"mmm-yy"))</f>
        <v/>
      </c>
      <c r="T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 s="185" t="str">
        <f>IFERROR((Table1[[#This Row],[Actual Effort (Hours)]]-Table1[[#This Row],[Estimated Effort (Hours)]])/Table1[[#This Row],[Estimated Effort (Hours)]],"")</f>
        <v/>
      </c>
      <c r="V80" s="149"/>
    </row>
    <row r="81" spans="2:22">
      <c r="B81" s="125"/>
      <c r="C81" s="102"/>
      <c r="D81" s="168"/>
      <c r="E81" s="168"/>
      <c r="F81" s="143"/>
      <c r="G81" s="168"/>
      <c r="H81" s="124"/>
      <c r="I81" s="124"/>
      <c r="J81" s="129"/>
      <c r="K81" s="124"/>
      <c r="L81" s="124"/>
      <c r="M81" s="129"/>
      <c r="N81" s="129" t="e">
        <f>Table1[[#This Row],[Estimated Effort (Hours)]]/NETWORKDAYS(Table1[[#This Row],[Planned Start Date]],Table1[[#This Row],[Planned End Date]])</f>
        <v>#DIV/0!</v>
      </c>
      <c r="O81" s="178">
        <f>NETWORKDAYS(Table1[[#This Row],[Planned Start Date]],Table1[[#This Row],[Planned End Date]])</f>
        <v>0</v>
      </c>
      <c r="P81" s="178">
        <f>NETWORKDAYS(Table1[[#This Row],[Planned Start Date]],$P$7)</f>
        <v>30643</v>
      </c>
      <c r="Q81" s="129"/>
      <c r="R81" s="183" t="str">
        <f>IF(Table1[[#This Row],[Actual Effort (Hours)]]="","",IF(Table1[[#This Row],[Estimated Effort (Hours)]]&lt;20,"L1",IF(Table1[[#This Row],[Estimated Effort (Hours)]]&lt;50,"L2",IF(Table1[[#This Row],[Estimated Effort (Hours)]]&lt;150,"L3",IF(Table1[[#This Row],[Estimated Effort (Hours)]]&lt;300,"L4","L5")))))</f>
        <v/>
      </c>
      <c r="S81" s="184" t="str">
        <f>IF(Table1[[#This Row],[Actual End Date]]="","",TEXT(Table1[[#This Row],[Actual End Date]],"mmm-yy"))</f>
        <v/>
      </c>
      <c r="T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 s="185" t="str">
        <f>IFERROR((Table1[[#This Row],[Actual Effort (Hours)]]-Table1[[#This Row],[Estimated Effort (Hours)]])/Table1[[#This Row],[Estimated Effort (Hours)]],"")</f>
        <v/>
      </c>
      <c r="V81" s="149"/>
    </row>
    <row r="82" spans="2:22">
      <c r="B82" s="125"/>
      <c r="C82" s="102"/>
      <c r="D82" s="168"/>
      <c r="E82" s="168"/>
      <c r="F82" s="143"/>
      <c r="G82" s="168"/>
      <c r="H82" s="124"/>
      <c r="I82" s="124"/>
      <c r="J82" s="129"/>
      <c r="K82" s="124"/>
      <c r="L82" s="124"/>
      <c r="M82" s="129"/>
      <c r="N82" s="129" t="e">
        <f>Table1[[#This Row],[Estimated Effort (Hours)]]/NETWORKDAYS(Table1[[#This Row],[Planned Start Date]],Table1[[#This Row],[Planned End Date]])</f>
        <v>#DIV/0!</v>
      </c>
      <c r="O82" s="178">
        <f>NETWORKDAYS(Table1[[#This Row],[Planned Start Date]],Table1[[#This Row],[Planned End Date]])</f>
        <v>0</v>
      </c>
      <c r="P82" s="178">
        <f>NETWORKDAYS(Table1[[#This Row],[Planned Start Date]],$P$7)</f>
        <v>30643</v>
      </c>
      <c r="Q82" s="129"/>
      <c r="R82" s="183" t="str">
        <f>IF(Table1[[#This Row],[Actual Effort (Hours)]]="","",IF(Table1[[#This Row],[Estimated Effort (Hours)]]&lt;20,"L1",IF(Table1[[#This Row],[Estimated Effort (Hours)]]&lt;50,"L2",IF(Table1[[#This Row],[Estimated Effort (Hours)]]&lt;150,"L3",IF(Table1[[#This Row],[Estimated Effort (Hours)]]&lt;300,"L4","L5")))))</f>
        <v/>
      </c>
      <c r="S82" s="184" t="str">
        <f>IF(Table1[[#This Row],[Actual End Date]]="","",TEXT(Table1[[#This Row],[Actual End Date]],"mmm-yy"))</f>
        <v/>
      </c>
      <c r="T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 s="185" t="str">
        <f>IFERROR((Table1[[#This Row],[Actual Effort (Hours)]]-Table1[[#This Row],[Estimated Effort (Hours)]])/Table1[[#This Row],[Estimated Effort (Hours)]],"")</f>
        <v/>
      </c>
      <c r="V82" s="149"/>
    </row>
    <row r="83" spans="2:22">
      <c r="B83" s="125"/>
      <c r="C83" s="102"/>
      <c r="D83" s="168"/>
      <c r="E83" s="168"/>
      <c r="F83" s="143"/>
      <c r="G83" s="168"/>
      <c r="H83" s="124"/>
      <c r="I83" s="124"/>
      <c r="J83" s="129"/>
      <c r="K83" s="124"/>
      <c r="L83" s="124"/>
      <c r="M83" s="129"/>
      <c r="N83" s="129" t="e">
        <f>Table1[[#This Row],[Estimated Effort (Hours)]]/NETWORKDAYS(Table1[[#This Row],[Planned Start Date]],Table1[[#This Row],[Planned End Date]])</f>
        <v>#DIV/0!</v>
      </c>
      <c r="O83" s="178">
        <f>NETWORKDAYS(Table1[[#This Row],[Planned Start Date]],Table1[[#This Row],[Planned End Date]])</f>
        <v>0</v>
      </c>
      <c r="P83" s="178">
        <f>NETWORKDAYS(Table1[[#This Row],[Planned Start Date]],$P$7)</f>
        <v>30643</v>
      </c>
      <c r="Q83" s="129"/>
      <c r="R83" s="183" t="str">
        <f>IF(Table1[[#This Row],[Actual Effort (Hours)]]="","",IF(Table1[[#This Row],[Estimated Effort (Hours)]]&lt;20,"L1",IF(Table1[[#This Row],[Estimated Effort (Hours)]]&lt;50,"L2",IF(Table1[[#This Row],[Estimated Effort (Hours)]]&lt;150,"L3",IF(Table1[[#This Row],[Estimated Effort (Hours)]]&lt;300,"L4","L5")))))</f>
        <v/>
      </c>
      <c r="S83" s="184" t="str">
        <f>IF(Table1[[#This Row],[Actual End Date]]="","",TEXT(Table1[[#This Row],[Actual End Date]],"mmm-yy"))</f>
        <v/>
      </c>
      <c r="T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 s="185" t="str">
        <f>IFERROR((Table1[[#This Row],[Actual Effort (Hours)]]-Table1[[#This Row],[Estimated Effort (Hours)]])/Table1[[#This Row],[Estimated Effort (Hours)]],"")</f>
        <v/>
      </c>
      <c r="V83" s="149"/>
    </row>
    <row r="84" spans="2:22">
      <c r="B84" s="125"/>
      <c r="C84" s="102"/>
      <c r="D84" s="168"/>
      <c r="E84" s="168"/>
      <c r="F84" s="143"/>
      <c r="G84" s="168"/>
      <c r="H84" s="124"/>
      <c r="I84" s="124"/>
      <c r="J84" s="129"/>
      <c r="K84" s="124"/>
      <c r="L84" s="124"/>
      <c r="M84" s="129"/>
      <c r="N84" s="129" t="e">
        <f>Table1[[#This Row],[Estimated Effort (Hours)]]/NETWORKDAYS(Table1[[#This Row],[Planned Start Date]],Table1[[#This Row],[Planned End Date]])</f>
        <v>#DIV/0!</v>
      </c>
      <c r="O84" s="178">
        <f>NETWORKDAYS(Table1[[#This Row],[Planned Start Date]],Table1[[#This Row],[Planned End Date]])</f>
        <v>0</v>
      </c>
      <c r="P84" s="178">
        <f>NETWORKDAYS(Table1[[#This Row],[Planned Start Date]],$P$7)</f>
        <v>30643</v>
      </c>
      <c r="Q84" s="129"/>
      <c r="R84" s="183" t="str">
        <f>IF(Table1[[#This Row],[Actual Effort (Hours)]]="","",IF(Table1[[#This Row],[Estimated Effort (Hours)]]&lt;20,"L1",IF(Table1[[#This Row],[Estimated Effort (Hours)]]&lt;50,"L2",IF(Table1[[#This Row],[Estimated Effort (Hours)]]&lt;150,"L3",IF(Table1[[#This Row],[Estimated Effort (Hours)]]&lt;300,"L4","L5")))))</f>
        <v/>
      </c>
      <c r="S84" s="184" t="str">
        <f>IF(Table1[[#This Row],[Actual End Date]]="","",TEXT(Table1[[#This Row],[Actual End Date]],"mmm-yy"))</f>
        <v/>
      </c>
      <c r="T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 s="185" t="str">
        <f>IFERROR((Table1[[#This Row],[Actual Effort (Hours)]]-Table1[[#This Row],[Estimated Effort (Hours)]])/Table1[[#This Row],[Estimated Effort (Hours)]],"")</f>
        <v/>
      </c>
      <c r="V84" s="149"/>
    </row>
    <row r="85" spans="2:22">
      <c r="B85" s="125"/>
      <c r="C85" s="102"/>
      <c r="D85" s="168"/>
      <c r="E85" s="168"/>
      <c r="F85" s="143"/>
      <c r="G85" s="168"/>
      <c r="H85" s="124"/>
      <c r="I85" s="124"/>
      <c r="J85" s="129"/>
      <c r="K85" s="124"/>
      <c r="L85" s="124"/>
      <c r="M85" s="129"/>
      <c r="N85" s="129" t="e">
        <f>Table1[[#This Row],[Estimated Effort (Hours)]]/NETWORKDAYS(Table1[[#This Row],[Planned Start Date]],Table1[[#This Row],[Planned End Date]])</f>
        <v>#DIV/0!</v>
      </c>
      <c r="O85" s="178">
        <f>NETWORKDAYS(Table1[[#This Row],[Planned Start Date]],Table1[[#This Row],[Planned End Date]])</f>
        <v>0</v>
      </c>
      <c r="P85" s="178">
        <f>NETWORKDAYS(Table1[[#This Row],[Planned Start Date]],$P$7)</f>
        <v>30643</v>
      </c>
      <c r="Q85" s="129"/>
      <c r="R85" s="183" t="str">
        <f>IF(Table1[[#This Row],[Actual Effort (Hours)]]="","",IF(Table1[[#This Row],[Estimated Effort (Hours)]]&lt;20,"L1",IF(Table1[[#This Row],[Estimated Effort (Hours)]]&lt;50,"L2",IF(Table1[[#This Row],[Estimated Effort (Hours)]]&lt;150,"L3",IF(Table1[[#This Row],[Estimated Effort (Hours)]]&lt;300,"L4","L5")))))</f>
        <v/>
      </c>
      <c r="S85" s="184" t="str">
        <f>IF(Table1[[#This Row],[Actual End Date]]="","",TEXT(Table1[[#This Row],[Actual End Date]],"mmm-yy"))</f>
        <v/>
      </c>
      <c r="T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 s="185" t="str">
        <f>IFERROR((Table1[[#This Row],[Actual Effort (Hours)]]-Table1[[#This Row],[Estimated Effort (Hours)]])/Table1[[#This Row],[Estimated Effort (Hours)]],"")</f>
        <v/>
      </c>
      <c r="V85" s="149"/>
    </row>
    <row r="86" spans="2:22">
      <c r="B86" s="125"/>
      <c r="C86" s="102"/>
      <c r="D86" s="168"/>
      <c r="E86" s="168"/>
      <c r="F86" s="143"/>
      <c r="G86" s="168"/>
      <c r="H86" s="124"/>
      <c r="I86" s="124"/>
      <c r="J86" s="129"/>
      <c r="K86" s="124"/>
      <c r="L86" s="124"/>
      <c r="M86" s="129"/>
      <c r="N86" s="129" t="e">
        <f>Table1[[#This Row],[Estimated Effort (Hours)]]/NETWORKDAYS(Table1[[#This Row],[Planned Start Date]],Table1[[#This Row],[Planned End Date]])</f>
        <v>#DIV/0!</v>
      </c>
      <c r="O86" s="178">
        <f>NETWORKDAYS(Table1[[#This Row],[Planned Start Date]],Table1[[#This Row],[Planned End Date]])</f>
        <v>0</v>
      </c>
      <c r="P86" s="178">
        <f>NETWORKDAYS(Table1[[#This Row],[Planned Start Date]],$P$7)</f>
        <v>30643</v>
      </c>
      <c r="Q86" s="129"/>
      <c r="R86" s="183" t="str">
        <f>IF(Table1[[#This Row],[Actual Effort (Hours)]]="","",IF(Table1[[#This Row],[Estimated Effort (Hours)]]&lt;20,"L1",IF(Table1[[#This Row],[Estimated Effort (Hours)]]&lt;50,"L2",IF(Table1[[#This Row],[Estimated Effort (Hours)]]&lt;150,"L3",IF(Table1[[#This Row],[Estimated Effort (Hours)]]&lt;300,"L4","L5")))))</f>
        <v/>
      </c>
      <c r="S86" s="184" t="str">
        <f>IF(Table1[[#This Row],[Actual End Date]]="","",TEXT(Table1[[#This Row],[Actual End Date]],"mmm-yy"))</f>
        <v/>
      </c>
      <c r="T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 s="185" t="str">
        <f>IFERROR((Table1[[#This Row],[Actual Effort (Hours)]]-Table1[[#This Row],[Estimated Effort (Hours)]])/Table1[[#This Row],[Estimated Effort (Hours)]],"")</f>
        <v/>
      </c>
      <c r="V86" s="149"/>
    </row>
    <row r="87" spans="2:22">
      <c r="B87" s="125"/>
      <c r="C87" s="102"/>
      <c r="D87" s="123"/>
      <c r="E87" s="168"/>
      <c r="F87" s="408"/>
      <c r="G87" s="168"/>
      <c r="H87" s="124"/>
      <c r="I87" s="124"/>
      <c r="J87" s="129"/>
      <c r="K87" s="124"/>
      <c r="L87" s="124"/>
      <c r="M87" s="129"/>
      <c r="N87" s="129" t="e">
        <f>Table1[[#This Row],[Estimated Effort (Hours)]]/NETWORKDAYS(Table1[[#This Row],[Planned Start Date]],Table1[[#This Row],[Planned End Date]])</f>
        <v>#DIV/0!</v>
      </c>
      <c r="O87" s="178">
        <f>NETWORKDAYS(Table1[[#This Row],[Planned Start Date]],Table1[[#This Row],[Planned End Date]])</f>
        <v>0</v>
      </c>
      <c r="P87" s="178">
        <f>NETWORKDAYS(Table1[[#This Row],[Planned Start Date]],$P$7)</f>
        <v>30643</v>
      </c>
      <c r="Q87" s="129"/>
      <c r="R87" s="183" t="str">
        <f>IF(Table1[[#This Row],[Actual Effort (Hours)]]="","",IF(Table1[[#This Row],[Estimated Effort (Hours)]]&lt;20,"L1",IF(Table1[[#This Row],[Estimated Effort (Hours)]]&lt;50,"L2",IF(Table1[[#This Row],[Estimated Effort (Hours)]]&lt;150,"L3",IF(Table1[[#This Row],[Estimated Effort (Hours)]]&lt;300,"L4","L5")))))</f>
        <v/>
      </c>
      <c r="S87" s="184" t="str">
        <f>IF(Table1[[#This Row],[Actual End Date]]="","",TEXT(Table1[[#This Row],[Actual End Date]],"mmm-yy"))</f>
        <v/>
      </c>
      <c r="T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 s="185" t="str">
        <f>IFERROR((Table1[[#This Row],[Actual Effort (Hours)]]-Table1[[#This Row],[Estimated Effort (Hours)]])/Table1[[#This Row],[Estimated Effort (Hours)]],"")</f>
        <v/>
      </c>
      <c r="V87" s="149"/>
    </row>
    <row r="88" spans="2:22">
      <c r="B88" s="125"/>
      <c r="C88" s="102"/>
      <c r="D88" s="168"/>
      <c r="E88" s="168"/>
      <c r="F88" s="143"/>
      <c r="G88" s="168"/>
      <c r="H88" s="124"/>
      <c r="I88" s="124"/>
      <c r="J88" s="129"/>
      <c r="K88" s="124"/>
      <c r="L88" s="124"/>
      <c r="M88" s="129"/>
      <c r="N88" s="129" t="e">
        <f>Table1[[#This Row],[Estimated Effort (Hours)]]/NETWORKDAYS(Table1[[#This Row],[Planned Start Date]],Table1[[#This Row],[Planned End Date]])</f>
        <v>#DIV/0!</v>
      </c>
      <c r="O88" s="178">
        <f>NETWORKDAYS(Table1[[#This Row],[Planned Start Date]],Table1[[#This Row],[Planned End Date]])</f>
        <v>0</v>
      </c>
      <c r="P88" s="178">
        <f>NETWORKDAYS(Table1[[#This Row],[Planned Start Date]],$P$7)</f>
        <v>30643</v>
      </c>
      <c r="Q88" s="129"/>
      <c r="R88" s="183" t="str">
        <f>IF(Table1[[#This Row],[Actual Effort (Hours)]]="","",IF(Table1[[#This Row],[Estimated Effort (Hours)]]&lt;20,"L1",IF(Table1[[#This Row],[Estimated Effort (Hours)]]&lt;50,"L2",IF(Table1[[#This Row],[Estimated Effort (Hours)]]&lt;150,"L3",IF(Table1[[#This Row],[Estimated Effort (Hours)]]&lt;300,"L4","L5")))))</f>
        <v/>
      </c>
      <c r="S88" s="184" t="str">
        <f>IF(Table1[[#This Row],[Actual End Date]]="","",TEXT(Table1[[#This Row],[Actual End Date]],"mmm-yy"))</f>
        <v/>
      </c>
      <c r="T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 s="185" t="str">
        <f>IFERROR((Table1[[#This Row],[Actual Effort (Hours)]]-Table1[[#This Row],[Estimated Effort (Hours)]])/Table1[[#This Row],[Estimated Effort (Hours)]],"")</f>
        <v/>
      </c>
      <c r="V88" s="149"/>
    </row>
    <row r="89" spans="2:22">
      <c r="B89" s="125"/>
      <c r="C89" s="102"/>
      <c r="D89" s="168"/>
      <c r="E89" s="168"/>
      <c r="F89" s="143"/>
      <c r="G89" s="168"/>
      <c r="H89" s="124"/>
      <c r="I89" s="124"/>
      <c r="J89" s="129"/>
      <c r="K89" s="124"/>
      <c r="L89" s="124"/>
      <c r="M89" s="129"/>
      <c r="N89" s="129" t="e">
        <f>Table1[[#This Row],[Estimated Effort (Hours)]]/NETWORKDAYS(Table1[[#This Row],[Planned Start Date]],Table1[[#This Row],[Planned End Date]])</f>
        <v>#DIV/0!</v>
      </c>
      <c r="O89" s="178">
        <f>NETWORKDAYS(Table1[[#This Row],[Planned Start Date]],Table1[[#This Row],[Planned End Date]])</f>
        <v>0</v>
      </c>
      <c r="P89" s="178">
        <f>NETWORKDAYS(Table1[[#This Row],[Planned Start Date]],$P$7)</f>
        <v>30643</v>
      </c>
      <c r="Q89" s="129"/>
      <c r="R89" s="183" t="str">
        <f>IF(Table1[[#This Row],[Actual Effort (Hours)]]="","",IF(Table1[[#This Row],[Estimated Effort (Hours)]]&lt;20,"L1",IF(Table1[[#This Row],[Estimated Effort (Hours)]]&lt;50,"L2",IF(Table1[[#This Row],[Estimated Effort (Hours)]]&lt;150,"L3",IF(Table1[[#This Row],[Estimated Effort (Hours)]]&lt;300,"L4","L5")))))</f>
        <v/>
      </c>
      <c r="S89" s="184" t="str">
        <f>IF(Table1[[#This Row],[Actual End Date]]="","",TEXT(Table1[[#This Row],[Actual End Date]],"mmm-yy"))</f>
        <v/>
      </c>
      <c r="T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 s="185" t="str">
        <f>IFERROR((Table1[[#This Row],[Actual Effort (Hours)]]-Table1[[#This Row],[Estimated Effort (Hours)]])/Table1[[#This Row],[Estimated Effort (Hours)]],"")</f>
        <v/>
      </c>
      <c r="V89" s="149"/>
    </row>
    <row r="90" spans="2:22">
      <c r="B90" s="125"/>
      <c r="C90" s="102"/>
      <c r="D90" s="168"/>
      <c r="E90" s="168"/>
      <c r="F90" s="143"/>
      <c r="G90" s="168"/>
      <c r="H90" s="124"/>
      <c r="I90" s="124"/>
      <c r="J90" s="129"/>
      <c r="K90" s="124"/>
      <c r="L90" s="124"/>
      <c r="M90" s="129"/>
      <c r="N90" s="129" t="e">
        <f>Table1[[#This Row],[Estimated Effort (Hours)]]/NETWORKDAYS(Table1[[#This Row],[Planned Start Date]],Table1[[#This Row],[Planned End Date]])</f>
        <v>#DIV/0!</v>
      </c>
      <c r="O90" s="178">
        <f>NETWORKDAYS(Table1[[#This Row],[Planned Start Date]],Table1[[#This Row],[Planned End Date]])</f>
        <v>0</v>
      </c>
      <c r="P90" s="178">
        <f>NETWORKDAYS(Table1[[#This Row],[Planned Start Date]],$P$7)</f>
        <v>30643</v>
      </c>
      <c r="Q90" s="129"/>
      <c r="R90" s="183" t="str">
        <f>IF(Table1[[#This Row],[Actual Effort (Hours)]]="","",IF(Table1[[#This Row],[Estimated Effort (Hours)]]&lt;20,"L1",IF(Table1[[#This Row],[Estimated Effort (Hours)]]&lt;50,"L2",IF(Table1[[#This Row],[Estimated Effort (Hours)]]&lt;150,"L3",IF(Table1[[#This Row],[Estimated Effort (Hours)]]&lt;300,"L4","L5")))))</f>
        <v/>
      </c>
      <c r="S90" s="184" t="str">
        <f>IF(Table1[[#This Row],[Actual End Date]]="","",TEXT(Table1[[#This Row],[Actual End Date]],"mmm-yy"))</f>
        <v/>
      </c>
      <c r="T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 s="185" t="str">
        <f>IFERROR((Table1[[#This Row],[Actual Effort (Hours)]]-Table1[[#This Row],[Estimated Effort (Hours)]])/Table1[[#This Row],[Estimated Effort (Hours)]],"")</f>
        <v/>
      </c>
      <c r="V90" s="149"/>
    </row>
    <row r="91" spans="2:22">
      <c r="B91" s="125"/>
      <c r="C91" s="102"/>
      <c r="D91" s="168"/>
      <c r="E91" s="168"/>
      <c r="F91" s="143"/>
      <c r="G91" s="168"/>
      <c r="H91" s="124"/>
      <c r="I91" s="124"/>
      <c r="J91" s="129"/>
      <c r="K91" s="124"/>
      <c r="L91" s="124"/>
      <c r="M91" s="129"/>
      <c r="N91" s="129" t="e">
        <f>Table1[[#This Row],[Estimated Effort (Hours)]]/NETWORKDAYS(Table1[[#This Row],[Planned Start Date]],Table1[[#This Row],[Planned End Date]])</f>
        <v>#DIV/0!</v>
      </c>
      <c r="O91" s="178">
        <f>NETWORKDAYS(Table1[[#This Row],[Planned Start Date]],Table1[[#This Row],[Planned End Date]])</f>
        <v>0</v>
      </c>
      <c r="P91" s="178">
        <f>NETWORKDAYS(Table1[[#This Row],[Planned Start Date]],$P$7)</f>
        <v>30643</v>
      </c>
      <c r="Q91" s="129"/>
      <c r="R91" s="183" t="str">
        <f>IF(Table1[[#This Row],[Actual Effort (Hours)]]="","",IF(Table1[[#This Row],[Estimated Effort (Hours)]]&lt;20,"L1",IF(Table1[[#This Row],[Estimated Effort (Hours)]]&lt;50,"L2",IF(Table1[[#This Row],[Estimated Effort (Hours)]]&lt;150,"L3",IF(Table1[[#This Row],[Estimated Effort (Hours)]]&lt;300,"L4","L5")))))</f>
        <v/>
      </c>
      <c r="S91" s="184" t="str">
        <f>IF(Table1[[#This Row],[Actual End Date]]="","",TEXT(Table1[[#This Row],[Actual End Date]],"mmm-yy"))</f>
        <v/>
      </c>
      <c r="T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 s="185" t="str">
        <f>IFERROR((Table1[[#This Row],[Actual Effort (Hours)]]-Table1[[#This Row],[Estimated Effort (Hours)]])/Table1[[#This Row],[Estimated Effort (Hours)]],"")</f>
        <v/>
      </c>
      <c r="V91" s="149"/>
    </row>
    <row r="92" spans="2:22">
      <c r="B92" s="125"/>
      <c r="C92" s="102"/>
      <c r="D92" s="168"/>
      <c r="E92" s="168"/>
      <c r="F92" s="143"/>
      <c r="G92" s="168"/>
      <c r="H92" s="124"/>
      <c r="I92" s="124"/>
      <c r="J92" s="129"/>
      <c r="K92" s="124"/>
      <c r="L92" s="124"/>
      <c r="M92" s="129"/>
      <c r="N92" s="129" t="e">
        <f>Table1[[#This Row],[Estimated Effort (Hours)]]/NETWORKDAYS(Table1[[#This Row],[Planned Start Date]],Table1[[#This Row],[Planned End Date]])</f>
        <v>#DIV/0!</v>
      </c>
      <c r="O92" s="178">
        <f>NETWORKDAYS(Table1[[#This Row],[Planned Start Date]],Table1[[#This Row],[Planned End Date]])</f>
        <v>0</v>
      </c>
      <c r="P92" s="178">
        <f>NETWORKDAYS(Table1[[#This Row],[Planned Start Date]],$P$7)</f>
        <v>30643</v>
      </c>
      <c r="Q92" s="129"/>
      <c r="R92" s="183" t="str">
        <f>IF(Table1[[#This Row],[Actual Effort (Hours)]]="","",IF(Table1[[#This Row],[Estimated Effort (Hours)]]&lt;20,"L1",IF(Table1[[#This Row],[Estimated Effort (Hours)]]&lt;50,"L2",IF(Table1[[#This Row],[Estimated Effort (Hours)]]&lt;150,"L3",IF(Table1[[#This Row],[Estimated Effort (Hours)]]&lt;300,"L4","L5")))))</f>
        <v/>
      </c>
      <c r="S92" s="184" t="str">
        <f>IF(Table1[[#This Row],[Actual End Date]]="","",TEXT(Table1[[#This Row],[Actual End Date]],"mmm-yy"))</f>
        <v/>
      </c>
      <c r="T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 s="185" t="str">
        <f>IFERROR((Table1[[#This Row],[Actual Effort (Hours)]]-Table1[[#This Row],[Estimated Effort (Hours)]])/Table1[[#This Row],[Estimated Effort (Hours)]],"")</f>
        <v/>
      </c>
      <c r="V92" s="149"/>
    </row>
    <row r="93" spans="2:22">
      <c r="B93" s="125"/>
      <c r="C93" s="102"/>
      <c r="D93" s="168"/>
      <c r="E93" s="168"/>
      <c r="F93" s="143"/>
      <c r="G93" s="168"/>
      <c r="H93" s="124"/>
      <c r="I93" s="124"/>
      <c r="J93" s="129"/>
      <c r="K93" s="124"/>
      <c r="L93" s="124"/>
      <c r="M93" s="129"/>
      <c r="N93" s="129" t="e">
        <f>Table1[[#This Row],[Estimated Effort (Hours)]]/NETWORKDAYS(Table1[[#This Row],[Planned Start Date]],Table1[[#This Row],[Planned End Date]])</f>
        <v>#DIV/0!</v>
      </c>
      <c r="O93" s="178">
        <f>NETWORKDAYS(Table1[[#This Row],[Planned Start Date]],Table1[[#This Row],[Planned End Date]])</f>
        <v>0</v>
      </c>
      <c r="P93" s="178">
        <f>NETWORKDAYS(Table1[[#This Row],[Planned Start Date]],$P$7)</f>
        <v>30643</v>
      </c>
      <c r="Q93" s="129"/>
      <c r="R93" s="183" t="str">
        <f>IF(Table1[[#This Row],[Actual Effort (Hours)]]="","",IF(Table1[[#This Row],[Estimated Effort (Hours)]]&lt;20,"L1",IF(Table1[[#This Row],[Estimated Effort (Hours)]]&lt;50,"L2",IF(Table1[[#This Row],[Estimated Effort (Hours)]]&lt;150,"L3",IF(Table1[[#This Row],[Estimated Effort (Hours)]]&lt;300,"L4","L5")))))</f>
        <v/>
      </c>
      <c r="S93" s="184" t="str">
        <f>IF(Table1[[#This Row],[Actual End Date]]="","",TEXT(Table1[[#This Row],[Actual End Date]],"mmm-yy"))</f>
        <v/>
      </c>
      <c r="T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 s="185" t="str">
        <f>IFERROR((Table1[[#This Row],[Actual Effort (Hours)]]-Table1[[#This Row],[Estimated Effort (Hours)]])/Table1[[#This Row],[Estimated Effort (Hours)]],"")</f>
        <v/>
      </c>
      <c r="V93" s="149"/>
    </row>
    <row r="94" spans="2:22">
      <c r="B94" s="125"/>
      <c r="C94" s="102"/>
      <c r="D94" s="123"/>
      <c r="E94" s="168"/>
      <c r="F94" s="143"/>
      <c r="G94" s="168"/>
      <c r="H94" s="124"/>
      <c r="I94" s="124"/>
      <c r="J94" s="129"/>
      <c r="K94" s="124"/>
      <c r="L94" s="124"/>
      <c r="M94" s="129"/>
      <c r="N94" s="129" t="e">
        <f>Table1[[#This Row],[Estimated Effort (Hours)]]/NETWORKDAYS(Table1[[#This Row],[Planned Start Date]],Table1[[#This Row],[Planned End Date]])</f>
        <v>#DIV/0!</v>
      </c>
      <c r="O94" s="178">
        <f>NETWORKDAYS(Table1[[#This Row],[Planned Start Date]],Table1[[#This Row],[Planned End Date]])</f>
        <v>0</v>
      </c>
      <c r="P94" s="178">
        <f>NETWORKDAYS(Table1[[#This Row],[Planned Start Date]],$P$7)</f>
        <v>30643</v>
      </c>
      <c r="Q94" s="129"/>
      <c r="R94" s="183" t="str">
        <f>IF(Table1[[#This Row],[Actual Effort (Hours)]]="","",IF(Table1[[#This Row],[Estimated Effort (Hours)]]&lt;20,"L1",IF(Table1[[#This Row],[Estimated Effort (Hours)]]&lt;50,"L2",IF(Table1[[#This Row],[Estimated Effort (Hours)]]&lt;150,"L3",IF(Table1[[#This Row],[Estimated Effort (Hours)]]&lt;300,"L4","L5")))))</f>
        <v/>
      </c>
      <c r="S94" s="184" t="str">
        <f>IF(Table1[[#This Row],[Actual End Date]]="","",TEXT(Table1[[#This Row],[Actual End Date]],"mmm-yy"))</f>
        <v/>
      </c>
      <c r="T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 s="185" t="str">
        <f>IFERROR((Table1[[#This Row],[Actual Effort (Hours)]]-Table1[[#This Row],[Estimated Effort (Hours)]])/Table1[[#This Row],[Estimated Effort (Hours)]],"")</f>
        <v/>
      </c>
      <c r="V94" s="149"/>
    </row>
    <row r="95" spans="2:22">
      <c r="B95" s="125"/>
      <c r="C95" s="102"/>
      <c r="D95" s="168"/>
      <c r="E95" s="168"/>
      <c r="F95" s="143"/>
      <c r="G95" s="168"/>
      <c r="H95" s="124"/>
      <c r="I95" s="124"/>
      <c r="J95" s="129"/>
      <c r="K95" s="124"/>
      <c r="L95" s="124"/>
      <c r="M95" s="129"/>
      <c r="N95" s="116">
        <v>43.5</v>
      </c>
      <c r="O95" s="178">
        <f>NETWORKDAYS(Table1[[#This Row],[Planned Start Date]],Table1[[#This Row],[Planned End Date]])</f>
        <v>0</v>
      </c>
      <c r="P95" s="178">
        <f>NETWORKDAYS(Table1[[#This Row],[Planned Start Date]],$P$7)</f>
        <v>30643</v>
      </c>
      <c r="Q95" s="129"/>
      <c r="R95" s="183" t="str">
        <f>IF(Table1[[#This Row],[Actual Effort (Hours)]]="","",IF(Table1[[#This Row],[Estimated Effort (Hours)]]&lt;20,"L1",IF(Table1[[#This Row],[Estimated Effort (Hours)]]&lt;50,"L2",IF(Table1[[#This Row],[Estimated Effort (Hours)]]&lt;150,"L3",IF(Table1[[#This Row],[Estimated Effort (Hours)]]&lt;300,"L4","L5")))))</f>
        <v/>
      </c>
      <c r="S95" s="184" t="str">
        <f>IF(Table1[[#This Row],[Actual End Date]]="","",TEXT(Table1[[#This Row],[Actual End Date]],"mmm-yy"))</f>
        <v/>
      </c>
      <c r="T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 s="185" t="str">
        <f>IFERROR((Table1[[#This Row],[Actual Effort (Hours)]]-Table1[[#This Row],[Estimated Effort (Hours)]])/Table1[[#This Row],[Estimated Effort (Hours)]],"")</f>
        <v/>
      </c>
      <c r="V95" s="149"/>
    </row>
    <row r="96" spans="2:22">
      <c r="B96" s="125"/>
      <c r="C96" s="102"/>
      <c r="D96" s="168"/>
      <c r="E96" s="168"/>
      <c r="F96" s="143"/>
      <c r="G96" s="168"/>
      <c r="H96" s="124"/>
      <c r="I96" s="124"/>
      <c r="J96" s="129"/>
      <c r="K96" s="124"/>
      <c r="L96" s="124"/>
      <c r="M96" s="129"/>
      <c r="N96" s="116">
        <v>8.42</v>
      </c>
      <c r="O96" s="178">
        <f>NETWORKDAYS(Table1[[#This Row],[Planned Start Date]],Table1[[#This Row],[Planned End Date]])</f>
        <v>0</v>
      </c>
      <c r="P96" s="178">
        <f>NETWORKDAYS(Table1[[#This Row],[Planned Start Date]],$P$7)</f>
        <v>30643</v>
      </c>
      <c r="Q96" s="129"/>
      <c r="R96" s="183" t="str">
        <f>IF(Table1[[#This Row],[Actual Effort (Hours)]]="","",IF(Table1[[#This Row],[Estimated Effort (Hours)]]&lt;20,"L1",IF(Table1[[#This Row],[Estimated Effort (Hours)]]&lt;50,"L2",IF(Table1[[#This Row],[Estimated Effort (Hours)]]&lt;150,"L3",IF(Table1[[#This Row],[Estimated Effort (Hours)]]&lt;300,"L4","L5")))))</f>
        <v/>
      </c>
      <c r="S96" s="184" t="str">
        <f>IF(Table1[[#This Row],[Actual End Date]]="","",TEXT(Table1[[#This Row],[Actual End Date]],"mmm-yy"))</f>
        <v/>
      </c>
      <c r="T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 s="185" t="str">
        <f>IFERROR((Table1[[#This Row],[Actual Effort (Hours)]]-Table1[[#This Row],[Estimated Effort (Hours)]])/Table1[[#This Row],[Estimated Effort (Hours)]],"")</f>
        <v/>
      </c>
      <c r="V96" s="149"/>
    </row>
    <row r="97" spans="2:22">
      <c r="B97" s="125"/>
      <c r="C97" s="102"/>
      <c r="D97" s="168"/>
      <c r="E97" s="168"/>
      <c r="F97" s="143"/>
      <c r="G97" s="168"/>
      <c r="H97" s="124"/>
      <c r="I97" s="124"/>
      <c r="J97" s="129"/>
      <c r="K97" s="124"/>
      <c r="L97" s="124"/>
      <c r="M97" s="129"/>
      <c r="N97" s="116">
        <v>41.17</v>
      </c>
      <c r="O97" s="178">
        <f>NETWORKDAYS(Table1[[#This Row],[Planned Start Date]],Table1[[#This Row],[Planned End Date]])</f>
        <v>0</v>
      </c>
      <c r="P97" s="178">
        <f>NETWORKDAYS(Table1[[#This Row],[Planned Start Date]],$P$7)</f>
        <v>30643</v>
      </c>
      <c r="Q97" s="129"/>
      <c r="R97" s="183" t="str">
        <f>IF(Table1[[#This Row],[Actual Effort (Hours)]]="","",IF(Table1[[#This Row],[Estimated Effort (Hours)]]&lt;20,"L1",IF(Table1[[#This Row],[Estimated Effort (Hours)]]&lt;50,"L2",IF(Table1[[#This Row],[Estimated Effort (Hours)]]&lt;150,"L3",IF(Table1[[#This Row],[Estimated Effort (Hours)]]&lt;300,"L4","L5")))))</f>
        <v/>
      </c>
      <c r="S97" s="184" t="str">
        <f>IF(Table1[[#This Row],[Actual End Date]]="","",TEXT(Table1[[#This Row],[Actual End Date]],"mmm-yy"))</f>
        <v/>
      </c>
      <c r="T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 s="185" t="str">
        <f>IFERROR((Table1[[#This Row],[Actual Effort (Hours)]]-Table1[[#This Row],[Estimated Effort (Hours)]])/Table1[[#This Row],[Estimated Effort (Hours)]],"")</f>
        <v/>
      </c>
      <c r="V97" s="149"/>
    </row>
    <row r="98" spans="2:22">
      <c r="B98" s="125"/>
      <c r="C98" s="102"/>
      <c r="D98" s="168"/>
      <c r="E98" s="168"/>
      <c r="F98" s="143"/>
      <c r="G98" s="168"/>
      <c r="H98" s="124"/>
      <c r="I98" s="124"/>
      <c r="J98" s="129"/>
      <c r="K98" s="124"/>
      <c r="L98" s="124"/>
      <c r="M98" s="129"/>
      <c r="N98" s="116">
        <v>2.5</v>
      </c>
      <c r="O98" s="178">
        <f>NETWORKDAYS(Table1[[#This Row],[Planned Start Date]],Table1[[#This Row],[Planned End Date]])</f>
        <v>0</v>
      </c>
      <c r="P98" s="178">
        <f>NETWORKDAYS(Table1[[#This Row],[Planned Start Date]],$P$7)</f>
        <v>30643</v>
      </c>
      <c r="Q98" s="129"/>
      <c r="R98" s="183" t="str">
        <f>IF(Table1[[#This Row],[Actual Effort (Hours)]]="","",IF(Table1[[#This Row],[Estimated Effort (Hours)]]&lt;20,"L1",IF(Table1[[#This Row],[Estimated Effort (Hours)]]&lt;50,"L2",IF(Table1[[#This Row],[Estimated Effort (Hours)]]&lt;150,"L3",IF(Table1[[#This Row],[Estimated Effort (Hours)]]&lt;300,"L4","L5")))))</f>
        <v/>
      </c>
      <c r="S98" s="184" t="str">
        <f>IF(Table1[[#This Row],[Actual End Date]]="","",TEXT(Table1[[#This Row],[Actual End Date]],"mmm-yy"))</f>
        <v/>
      </c>
      <c r="T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 s="185" t="str">
        <f>IFERROR((Table1[[#This Row],[Actual Effort (Hours)]]-Table1[[#This Row],[Estimated Effort (Hours)]])/Table1[[#This Row],[Estimated Effort (Hours)]],"")</f>
        <v/>
      </c>
      <c r="V98" s="149"/>
    </row>
    <row r="99" spans="2:22">
      <c r="B99" s="125"/>
      <c r="C99" s="102"/>
      <c r="D99" s="168"/>
      <c r="E99" s="168"/>
      <c r="F99" s="143"/>
      <c r="G99" s="168"/>
      <c r="H99" s="124"/>
      <c r="I99" s="124"/>
      <c r="J99" s="129"/>
      <c r="K99" s="124"/>
      <c r="L99" s="124"/>
      <c r="M99" s="129"/>
      <c r="N99" s="116">
        <v>7.58</v>
      </c>
      <c r="O99" s="178">
        <f>NETWORKDAYS(Table1[[#This Row],[Planned Start Date]],Table1[[#This Row],[Planned End Date]])</f>
        <v>0</v>
      </c>
      <c r="P99" s="178">
        <f>NETWORKDAYS(Table1[[#This Row],[Planned Start Date]],$P$7)</f>
        <v>30643</v>
      </c>
      <c r="Q99" s="129"/>
      <c r="R99" s="183" t="str">
        <f>IF(Table1[[#This Row],[Actual Effort (Hours)]]="","",IF(Table1[[#This Row],[Estimated Effort (Hours)]]&lt;20,"L1",IF(Table1[[#This Row],[Estimated Effort (Hours)]]&lt;50,"L2",IF(Table1[[#This Row],[Estimated Effort (Hours)]]&lt;150,"L3",IF(Table1[[#This Row],[Estimated Effort (Hours)]]&lt;300,"L4","L5")))))</f>
        <v/>
      </c>
      <c r="S99" s="184" t="str">
        <f>IF(Table1[[#This Row],[Actual End Date]]="","",TEXT(Table1[[#This Row],[Actual End Date]],"mmm-yy"))</f>
        <v/>
      </c>
      <c r="T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 s="185" t="str">
        <f>IFERROR((Table1[[#This Row],[Actual Effort (Hours)]]-Table1[[#This Row],[Estimated Effort (Hours)]])/Table1[[#This Row],[Estimated Effort (Hours)]],"")</f>
        <v/>
      </c>
      <c r="V99" s="149"/>
    </row>
    <row r="100" spans="2:22">
      <c r="B100" s="125"/>
      <c r="C100" s="102"/>
      <c r="D100" s="123"/>
      <c r="E100" s="168"/>
      <c r="F100" s="408"/>
      <c r="G100" s="168"/>
      <c r="H100" s="124"/>
      <c r="I100" s="124"/>
      <c r="J100" s="129"/>
      <c r="K100" s="124"/>
      <c r="L100" s="124"/>
      <c r="M100" s="129"/>
      <c r="N100" s="116">
        <v>1.92</v>
      </c>
      <c r="O100" s="178">
        <f>NETWORKDAYS(Table1[[#This Row],[Planned Start Date]],Table1[[#This Row],[Planned End Date]])</f>
        <v>0</v>
      </c>
      <c r="P100" s="178">
        <f>NETWORKDAYS(Table1[[#This Row],[Planned Start Date]],$P$7)</f>
        <v>30643</v>
      </c>
      <c r="Q100" s="129"/>
      <c r="R100" s="183" t="str">
        <f>IF(Table1[[#This Row],[Actual Effort (Hours)]]="","",IF(Table1[[#This Row],[Estimated Effort (Hours)]]&lt;20,"L1",IF(Table1[[#This Row],[Estimated Effort (Hours)]]&lt;50,"L2",IF(Table1[[#This Row],[Estimated Effort (Hours)]]&lt;150,"L3",IF(Table1[[#This Row],[Estimated Effort (Hours)]]&lt;300,"L4","L5")))))</f>
        <v/>
      </c>
      <c r="S100" s="184" t="str">
        <f>IF(Table1[[#This Row],[Actual End Date]]="","",TEXT(Table1[[#This Row],[Actual End Date]],"mmm-yy"))</f>
        <v/>
      </c>
      <c r="T1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 s="185" t="str">
        <f>IFERROR((Table1[[#This Row],[Actual Effort (Hours)]]-Table1[[#This Row],[Estimated Effort (Hours)]])/Table1[[#This Row],[Estimated Effort (Hours)]],"")</f>
        <v/>
      </c>
      <c r="V100" s="149"/>
    </row>
    <row r="101" spans="2:22">
      <c r="B101" s="125"/>
      <c r="C101" s="102"/>
      <c r="D101" s="123"/>
      <c r="E101" s="123"/>
      <c r="F101" s="143"/>
      <c r="G101" s="168"/>
      <c r="H101" s="124"/>
      <c r="I101" s="124"/>
      <c r="J101" s="129"/>
      <c r="K101" s="124"/>
      <c r="L101" s="124"/>
      <c r="M101" s="129"/>
      <c r="N101" s="116">
        <v>3</v>
      </c>
      <c r="O101" s="178">
        <f>NETWORKDAYS(Table1[[#This Row],[Planned Start Date]],Table1[[#This Row],[Planned End Date]])</f>
        <v>0</v>
      </c>
      <c r="P101" s="178">
        <f>NETWORKDAYS(Table1[[#This Row],[Planned Start Date]],$P$7)</f>
        <v>30643</v>
      </c>
      <c r="Q101" s="129"/>
      <c r="R101" s="183" t="str">
        <f>IF(Table1[[#This Row],[Actual Effort (Hours)]]="","",IF(Table1[[#This Row],[Estimated Effort (Hours)]]&lt;20,"L1",IF(Table1[[#This Row],[Estimated Effort (Hours)]]&lt;50,"L2",IF(Table1[[#This Row],[Estimated Effort (Hours)]]&lt;150,"L3",IF(Table1[[#This Row],[Estimated Effort (Hours)]]&lt;300,"L4","L5")))))</f>
        <v/>
      </c>
      <c r="S101" s="184" t="str">
        <f>IF(Table1[[#This Row],[Actual End Date]]="","",TEXT(Table1[[#This Row],[Actual End Date]],"mmm-yy"))</f>
        <v/>
      </c>
      <c r="T1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 s="185" t="str">
        <f>IFERROR((Table1[[#This Row],[Actual Effort (Hours)]]-Table1[[#This Row],[Estimated Effort (Hours)]])/Table1[[#This Row],[Estimated Effort (Hours)]],"")</f>
        <v/>
      </c>
      <c r="V101" s="149"/>
    </row>
    <row r="102" spans="2:22">
      <c r="B102" s="125"/>
      <c r="C102" s="102"/>
      <c r="D102" s="123"/>
      <c r="E102" s="123"/>
      <c r="F102" s="143"/>
      <c r="G102" s="168"/>
      <c r="H102" s="124"/>
      <c r="I102" s="124"/>
      <c r="J102" s="129"/>
      <c r="K102" s="124"/>
      <c r="L102" s="124"/>
      <c r="M102" s="129"/>
      <c r="N102" s="116">
        <v>2.17</v>
      </c>
      <c r="O102" s="178">
        <f>NETWORKDAYS(Table1[[#This Row],[Planned Start Date]],Table1[[#This Row],[Planned End Date]])</f>
        <v>0</v>
      </c>
      <c r="P102" s="178">
        <f>NETWORKDAYS(Table1[[#This Row],[Planned Start Date]],$P$7)</f>
        <v>30643</v>
      </c>
      <c r="Q102" s="129"/>
      <c r="R102" s="183" t="str">
        <f>IF(Table1[[#This Row],[Actual Effort (Hours)]]="","",IF(Table1[[#This Row],[Estimated Effort (Hours)]]&lt;20,"L1",IF(Table1[[#This Row],[Estimated Effort (Hours)]]&lt;50,"L2",IF(Table1[[#This Row],[Estimated Effort (Hours)]]&lt;150,"L3",IF(Table1[[#This Row],[Estimated Effort (Hours)]]&lt;300,"L4","L5")))))</f>
        <v/>
      </c>
      <c r="S102" s="184" t="str">
        <f>IF(Table1[[#This Row],[Actual End Date]]="","",TEXT(Table1[[#This Row],[Actual End Date]],"mmm-yy"))</f>
        <v/>
      </c>
      <c r="T1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 s="185" t="str">
        <f>IFERROR((Table1[[#This Row],[Actual Effort (Hours)]]-Table1[[#This Row],[Estimated Effort (Hours)]])/Table1[[#This Row],[Estimated Effort (Hours)]],"")</f>
        <v/>
      </c>
      <c r="V102" s="149"/>
    </row>
    <row r="103" spans="2:22">
      <c r="B103" s="125"/>
      <c r="C103" s="102"/>
      <c r="D103" s="123"/>
      <c r="E103" s="123"/>
      <c r="F103" s="143"/>
      <c r="G103" s="143"/>
      <c r="H103" s="124"/>
      <c r="I103" s="124"/>
      <c r="J103" s="129"/>
      <c r="K103" s="124"/>
      <c r="L103" s="124"/>
      <c r="M103" s="129"/>
      <c r="N103" s="116">
        <v>10.17</v>
      </c>
      <c r="O103" s="178">
        <f>NETWORKDAYS(Table1[[#This Row],[Planned Start Date]],Table1[[#This Row],[Planned End Date]])</f>
        <v>0</v>
      </c>
      <c r="P103" s="178">
        <f>NETWORKDAYS(Table1[[#This Row],[Planned Start Date]],$P$7)</f>
        <v>30643</v>
      </c>
      <c r="Q103" s="129"/>
      <c r="R103" s="183" t="str">
        <f>IF(Table1[[#This Row],[Actual Effort (Hours)]]="","",IF(Table1[[#This Row],[Estimated Effort (Hours)]]&lt;20,"L1",IF(Table1[[#This Row],[Estimated Effort (Hours)]]&lt;50,"L2",IF(Table1[[#This Row],[Estimated Effort (Hours)]]&lt;150,"L3",IF(Table1[[#This Row],[Estimated Effort (Hours)]]&lt;300,"L4","L5")))))</f>
        <v/>
      </c>
      <c r="S103" s="184" t="str">
        <f>IF(Table1[[#This Row],[Actual End Date]]="","",TEXT(Table1[[#This Row],[Actual End Date]],"mmm-yy"))</f>
        <v/>
      </c>
      <c r="T1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 s="185" t="str">
        <f>IFERROR((Table1[[#This Row],[Actual Effort (Hours)]]-Table1[[#This Row],[Estimated Effort (Hours)]])/Table1[[#This Row],[Estimated Effort (Hours)]],"")</f>
        <v/>
      </c>
      <c r="V103" s="149"/>
    </row>
    <row r="104" spans="2:22">
      <c r="B104" s="125"/>
      <c r="C104" s="102"/>
      <c r="D104" s="123"/>
      <c r="E104" s="123"/>
      <c r="F104" s="143"/>
      <c r="G104" s="143"/>
      <c r="H104" s="124"/>
      <c r="I104" s="124"/>
      <c r="J104" s="129"/>
      <c r="K104" s="124"/>
      <c r="L104" s="124"/>
      <c r="M104" s="129"/>
      <c r="N104" s="116">
        <v>20.079999999999998</v>
      </c>
      <c r="O104" s="178">
        <f>NETWORKDAYS(Table1[[#This Row],[Planned Start Date]],Table1[[#This Row],[Planned End Date]])</f>
        <v>0</v>
      </c>
      <c r="P104" s="178">
        <f>NETWORKDAYS(Table1[[#This Row],[Planned Start Date]],$P$7)</f>
        <v>30643</v>
      </c>
      <c r="Q104" s="129"/>
      <c r="R104" s="183" t="str">
        <f>IF(Table1[[#This Row],[Actual Effort (Hours)]]="","",IF(Table1[[#This Row],[Estimated Effort (Hours)]]&lt;20,"L1",IF(Table1[[#This Row],[Estimated Effort (Hours)]]&lt;50,"L2",IF(Table1[[#This Row],[Estimated Effort (Hours)]]&lt;150,"L3",IF(Table1[[#This Row],[Estimated Effort (Hours)]]&lt;300,"L4","L5")))))</f>
        <v/>
      </c>
      <c r="S104" s="184" t="str">
        <f>IF(Table1[[#This Row],[Actual End Date]]="","",TEXT(Table1[[#This Row],[Actual End Date]],"mmm-yy"))</f>
        <v/>
      </c>
      <c r="T1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 s="185" t="str">
        <f>IFERROR((Table1[[#This Row],[Actual Effort (Hours)]]-Table1[[#This Row],[Estimated Effort (Hours)]])/Table1[[#This Row],[Estimated Effort (Hours)]],"")</f>
        <v/>
      </c>
      <c r="V104" s="149"/>
    </row>
    <row r="105" spans="2:22">
      <c r="B105" s="125"/>
      <c r="C105" s="102"/>
      <c r="D105" s="123"/>
      <c r="E105" s="429"/>
      <c r="F105" s="143"/>
      <c r="G105" s="143"/>
      <c r="H105" s="124"/>
      <c r="I105" s="124"/>
      <c r="J105" s="129"/>
      <c r="K105" s="124"/>
      <c r="L105" s="124"/>
      <c r="M105" s="129"/>
      <c r="N105" s="116">
        <v>2.08</v>
      </c>
      <c r="O105" s="178">
        <f>NETWORKDAYS(Table1[[#This Row],[Planned Start Date]],Table1[[#This Row],[Planned End Date]])</f>
        <v>0</v>
      </c>
      <c r="P105" s="178">
        <f>NETWORKDAYS(Table1[[#This Row],[Planned Start Date]],$P$7)</f>
        <v>30643</v>
      </c>
      <c r="Q105" s="129"/>
      <c r="R105" s="183" t="str">
        <f>IF(Table1[[#This Row],[Actual Effort (Hours)]]="","",IF(Table1[[#This Row],[Estimated Effort (Hours)]]&lt;20,"L1",IF(Table1[[#This Row],[Estimated Effort (Hours)]]&lt;50,"L2",IF(Table1[[#This Row],[Estimated Effort (Hours)]]&lt;150,"L3",IF(Table1[[#This Row],[Estimated Effort (Hours)]]&lt;300,"L4","L5")))))</f>
        <v/>
      </c>
      <c r="S105" s="184" t="str">
        <f>IF(Table1[[#This Row],[Actual End Date]]="","",TEXT(Table1[[#This Row],[Actual End Date]],"mmm-yy"))</f>
        <v/>
      </c>
      <c r="T1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 s="185" t="str">
        <f>IFERROR((Table1[[#This Row],[Actual Effort (Hours)]]-Table1[[#This Row],[Estimated Effort (Hours)]])/Table1[[#This Row],[Estimated Effort (Hours)]],"")</f>
        <v/>
      </c>
      <c r="V105" s="149"/>
    </row>
    <row r="106" spans="2:22">
      <c r="B106" s="125"/>
      <c r="C106" s="102"/>
      <c r="D106" s="143"/>
      <c r="E106" s="429"/>
      <c r="F106" s="123"/>
      <c r="G106" s="143"/>
      <c r="H106" s="124"/>
      <c r="I106" s="124"/>
      <c r="J106" s="129"/>
      <c r="K106" s="124"/>
      <c r="L106" s="124"/>
      <c r="M106" s="129"/>
      <c r="N106" s="116">
        <v>8.33</v>
      </c>
      <c r="O106" s="178">
        <f>NETWORKDAYS(Table1[[#This Row],[Planned Start Date]],Table1[[#This Row],[Planned End Date]])</f>
        <v>0</v>
      </c>
      <c r="P106" s="178">
        <f>NETWORKDAYS(Table1[[#This Row],[Planned Start Date]],$P$7)</f>
        <v>30643</v>
      </c>
      <c r="Q106" s="129"/>
      <c r="R106" s="183" t="str">
        <f>IF(Table1[[#This Row],[Actual Effort (Hours)]]="","",IF(Table1[[#This Row],[Estimated Effort (Hours)]]&lt;20,"L1",IF(Table1[[#This Row],[Estimated Effort (Hours)]]&lt;50,"L2",IF(Table1[[#This Row],[Estimated Effort (Hours)]]&lt;150,"L3",IF(Table1[[#This Row],[Estimated Effort (Hours)]]&lt;300,"L4","L5")))))</f>
        <v/>
      </c>
      <c r="S106" s="184" t="str">
        <f>IF(Table1[[#This Row],[Actual End Date]]="","",TEXT(Table1[[#This Row],[Actual End Date]],"mmm-yy"))</f>
        <v/>
      </c>
      <c r="T1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 s="185" t="str">
        <f>IFERROR((Table1[[#This Row],[Actual Effort (Hours)]]-Table1[[#This Row],[Estimated Effort (Hours)]])/Table1[[#This Row],[Estimated Effort (Hours)]],"")</f>
        <v/>
      </c>
      <c r="V106" s="149"/>
    </row>
    <row r="107" spans="2:22">
      <c r="B107" s="125"/>
      <c r="C107" s="102"/>
      <c r="D107" s="143"/>
      <c r="E107" s="429"/>
      <c r="F107" s="123"/>
      <c r="G107" s="168"/>
      <c r="H107" s="124"/>
      <c r="I107" s="124"/>
      <c r="J107" s="129"/>
      <c r="K107" s="124"/>
      <c r="L107" s="124"/>
      <c r="M107" s="129"/>
      <c r="N107" s="116">
        <v>3.17</v>
      </c>
      <c r="O107" s="178">
        <f>NETWORKDAYS(Table1[[#This Row],[Planned Start Date]],Table1[[#This Row],[Planned End Date]])</f>
        <v>0</v>
      </c>
      <c r="P107" s="178">
        <f>NETWORKDAYS(Table1[[#This Row],[Planned Start Date]],$P$7)</f>
        <v>30643</v>
      </c>
      <c r="Q107" s="129"/>
      <c r="R107" s="183" t="str">
        <f>IF(Table1[[#This Row],[Actual Effort (Hours)]]="","",IF(Table1[[#This Row],[Estimated Effort (Hours)]]&lt;20,"L1",IF(Table1[[#This Row],[Estimated Effort (Hours)]]&lt;50,"L2",IF(Table1[[#This Row],[Estimated Effort (Hours)]]&lt;150,"L3",IF(Table1[[#This Row],[Estimated Effort (Hours)]]&lt;300,"L4","L5")))))</f>
        <v/>
      </c>
      <c r="S107" s="184" t="str">
        <f>IF(Table1[[#This Row],[Actual End Date]]="","",TEXT(Table1[[#This Row],[Actual End Date]],"mmm-yy"))</f>
        <v/>
      </c>
      <c r="T1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 s="185" t="str">
        <f>IFERROR((Table1[[#This Row],[Actual Effort (Hours)]]-Table1[[#This Row],[Estimated Effort (Hours)]])/Table1[[#This Row],[Estimated Effort (Hours)]],"")</f>
        <v/>
      </c>
      <c r="V107" s="149"/>
    </row>
    <row r="108" spans="2:22">
      <c r="B108" s="125"/>
      <c r="C108" s="102"/>
      <c r="D108" s="143"/>
      <c r="E108" s="429"/>
      <c r="F108" s="123"/>
      <c r="G108" s="143"/>
      <c r="H108" s="124"/>
      <c r="I108" s="124"/>
      <c r="J108" s="129"/>
      <c r="K108" s="124"/>
      <c r="L108" s="124"/>
      <c r="M108" s="129"/>
      <c r="N108" s="129" t="e">
        <f>Table1[[#This Row],[Estimated Effort (Hours)]]/NETWORKDAYS(Table1[[#This Row],[Planned Start Date]],Table1[[#This Row],[Planned End Date]])</f>
        <v>#DIV/0!</v>
      </c>
      <c r="O108" s="178">
        <f>NETWORKDAYS(Table1[[#This Row],[Planned Start Date]],Table1[[#This Row],[Planned End Date]])</f>
        <v>0</v>
      </c>
      <c r="P108" s="178">
        <f>NETWORKDAYS(Table1[[#This Row],[Planned Start Date]],$P$7)</f>
        <v>30643</v>
      </c>
      <c r="Q108" s="129"/>
      <c r="R108" s="183" t="str">
        <f>IF(Table1[[#This Row],[Actual Effort (Hours)]]="","",IF(Table1[[#This Row],[Estimated Effort (Hours)]]&lt;20,"L1",IF(Table1[[#This Row],[Estimated Effort (Hours)]]&lt;50,"L2",IF(Table1[[#This Row],[Estimated Effort (Hours)]]&lt;150,"L3",IF(Table1[[#This Row],[Estimated Effort (Hours)]]&lt;300,"L4","L5")))))</f>
        <v/>
      </c>
      <c r="S108" s="184" t="str">
        <f>IF(Table1[[#This Row],[Actual End Date]]="","",TEXT(Table1[[#This Row],[Actual End Date]],"mmm-yy"))</f>
        <v/>
      </c>
      <c r="T1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 s="185" t="str">
        <f>IFERROR((Table1[[#This Row],[Actual Effort (Hours)]]-Table1[[#This Row],[Estimated Effort (Hours)]])/Table1[[#This Row],[Estimated Effort (Hours)]],"")</f>
        <v/>
      </c>
      <c r="V108" s="149"/>
    </row>
    <row r="109" spans="2:22">
      <c r="B109" s="125"/>
      <c r="C109" s="102"/>
      <c r="D109" s="143"/>
      <c r="E109" s="429"/>
      <c r="F109" s="123"/>
      <c r="G109" s="143"/>
      <c r="H109" s="124"/>
      <c r="I109" s="124"/>
      <c r="J109" s="129"/>
      <c r="K109" s="124"/>
      <c r="L109" s="124"/>
      <c r="M109" s="129"/>
      <c r="N109" s="129" t="e">
        <f>Table1[[#This Row],[Estimated Effort (Hours)]]/NETWORKDAYS(Table1[[#This Row],[Planned Start Date]],Table1[[#This Row],[Planned End Date]])</f>
        <v>#DIV/0!</v>
      </c>
      <c r="O109" s="178">
        <f>NETWORKDAYS(Table1[[#This Row],[Planned Start Date]],Table1[[#This Row],[Planned End Date]])</f>
        <v>0</v>
      </c>
      <c r="P109" s="178">
        <f>NETWORKDAYS(Table1[[#This Row],[Planned Start Date]],$P$7)</f>
        <v>30643</v>
      </c>
      <c r="Q109" s="129"/>
      <c r="R109" s="183" t="str">
        <f>IF(Table1[[#This Row],[Actual Effort (Hours)]]="","",IF(Table1[[#This Row],[Estimated Effort (Hours)]]&lt;20,"L1",IF(Table1[[#This Row],[Estimated Effort (Hours)]]&lt;50,"L2",IF(Table1[[#This Row],[Estimated Effort (Hours)]]&lt;150,"L3",IF(Table1[[#This Row],[Estimated Effort (Hours)]]&lt;300,"L4","L5")))))</f>
        <v/>
      </c>
      <c r="S109" s="184" t="str">
        <f>IF(Table1[[#This Row],[Actual End Date]]="","",TEXT(Table1[[#This Row],[Actual End Date]],"mmm-yy"))</f>
        <v/>
      </c>
      <c r="T1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 s="185" t="str">
        <f>IFERROR((Table1[[#This Row],[Actual Effort (Hours)]]-Table1[[#This Row],[Estimated Effort (Hours)]])/Table1[[#This Row],[Estimated Effort (Hours)]],"")</f>
        <v/>
      </c>
      <c r="V109" s="149"/>
    </row>
    <row r="110" spans="2:22">
      <c r="B110" s="125"/>
      <c r="C110" s="102"/>
      <c r="D110" s="143"/>
      <c r="E110" s="429"/>
      <c r="F110" s="123"/>
      <c r="G110" s="143"/>
      <c r="H110" s="124"/>
      <c r="I110" s="124"/>
      <c r="J110" s="129"/>
      <c r="K110" s="124"/>
      <c r="L110" s="124"/>
      <c r="M110" s="129"/>
      <c r="N110" s="129" t="e">
        <f>Table1[[#This Row],[Estimated Effort (Hours)]]/NETWORKDAYS(Table1[[#This Row],[Planned Start Date]],Table1[[#This Row],[Planned End Date]])</f>
        <v>#DIV/0!</v>
      </c>
      <c r="O110" s="178">
        <f>NETWORKDAYS(Table1[[#This Row],[Planned Start Date]],Table1[[#This Row],[Planned End Date]])</f>
        <v>0</v>
      </c>
      <c r="P110" s="178">
        <f>NETWORKDAYS(Table1[[#This Row],[Planned Start Date]],$P$7)</f>
        <v>30643</v>
      </c>
      <c r="Q110" s="129"/>
      <c r="R110" s="183" t="str">
        <f>IF(Table1[[#This Row],[Actual Effort (Hours)]]="","",IF(Table1[[#This Row],[Estimated Effort (Hours)]]&lt;20,"L1",IF(Table1[[#This Row],[Estimated Effort (Hours)]]&lt;50,"L2",IF(Table1[[#This Row],[Estimated Effort (Hours)]]&lt;150,"L3",IF(Table1[[#This Row],[Estimated Effort (Hours)]]&lt;300,"L4","L5")))))</f>
        <v/>
      </c>
      <c r="S110" s="184" t="str">
        <f>IF(Table1[[#This Row],[Actual End Date]]="","",TEXT(Table1[[#This Row],[Actual End Date]],"mmm-yy"))</f>
        <v/>
      </c>
      <c r="T1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 s="185" t="str">
        <f>IFERROR((Table1[[#This Row],[Actual Effort (Hours)]]-Table1[[#This Row],[Estimated Effort (Hours)]])/Table1[[#This Row],[Estimated Effort (Hours)]],"")</f>
        <v/>
      </c>
      <c r="V110" s="149"/>
    </row>
    <row r="111" spans="2:22">
      <c r="B111" s="125"/>
      <c r="C111" s="102"/>
      <c r="D111" s="143"/>
      <c r="E111" s="123"/>
      <c r="F111" s="123"/>
      <c r="G111" s="168"/>
      <c r="H111" s="124"/>
      <c r="I111" s="124"/>
      <c r="J111" s="129"/>
      <c r="K111" s="124"/>
      <c r="L111" s="124"/>
      <c r="M111" s="129"/>
      <c r="N111" s="129" t="e">
        <f>Table1[[#This Row],[Estimated Effort (Hours)]]/NETWORKDAYS(Table1[[#This Row],[Planned Start Date]],Table1[[#This Row],[Planned End Date]])</f>
        <v>#DIV/0!</v>
      </c>
      <c r="O111" s="178">
        <f>NETWORKDAYS(Table1[[#This Row],[Planned Start Date]],Table1[[#This Row],[Planned End Date]])</f>
        <v>0</v>
      </c>
      <c r="P111" s="178">
        <f>NETWORKDAYS(Table1[[#This Row],[Planned Start Date]],$P$7)</f>
        <v>30643</v>
      </c>
      <c r="Q111" s="129"/>
      <c r="R111" s="183" t="str">
        <f>IF(Table1[[#This Row],[Actual Effort (Hours)]]="","",IF(Table1[[#This Row],[Estimated Effort (Hours)]]&lt;20,"L1",IF(Table1[[#This Row],[Estimated Effort (Hours)]]&lt;50,"L2",IF(Table1[[#This Row],[Estimated Effort (Hours)]]&lt;150,"L3",IF(Table1[[#This Row],[Estimated Effort (Hours)]]&lt;300,"L4","L5")))))</f>
        <v/>
      </c>
      <c r="S111" s="184" t="str">
        <f>IF(Table1[[#This Row],[Actual End Date]]="","",TEXT(Table1[[#This Row],[Actual End Date]],"mmm-yy"))</f>
        <v/>
      </c>
      <c r="T1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 s="185" t="str">
        <f>IFERROR((Table1[[#This Row],[Actual Effort (Hours)]]-Table1[[#This Row],[Estimated Effort (Hours)]])/Table1[[#This Row],[Estimated Effort (Hours)]],"")</f>
        <v/>
      </c>
      <c r="V111" s="149"/>
    </row>
    <row r="112" spans="2:22">
      <c r="B112" s="125"/>
      <c r="C112" s="102"/>
      <c r="D112" s="143"/>
      <c r="E112" s="123"/>
      <c r="F112" s="123"/>
      <c r="G112" s="143"/>
      <c r="H112" s="124"/>
      <c r="I112" s="124"/>
      <c r="J112" s="129"/>
      <c r="K112" s="124"/>
      <c r="L112" s="124"/>
      <c r="M112" s="129"/>
      <c r="N112" s="129" t="e">
        <f>Table1[[#This Row],[Estimated Effort (Hours)]]/NETWORKDAYS(Table1[[#This Row],[Planned Start Date]],Table1[[#This Row],[Planned End Date]])</f>
        <v>#DIV/0!</v>
      </c>
      <c r="O112" s="178">
        <f>NETWORKDAYS(Table1[[#This Row],[Planned Start Date]],Table1[[#This Row],[Planned End Date]])</f>
        <v>0</v>
      </c>
      <c r="P112" s="178">
        <f>NETWORKDAYS(Table1[[#This Row],[Planned Start Date]],$P$7)</f>
        <v>30643</v>
      </c>
      <c r="Q112" s="129"/>
      <c r="R112" s="183" t="str">
        <f>IF(Table1[[#This Row],[Actual Effort (Hours)]]="","",IF(Table1[[#This Row],[Estimated Effort (Hours)]]&lt;20,"L1",IF(Table1[[#This Row],[Estimated Effort (Hours)]]&lt;50,"L2",IF(Table1[[#This Row],[Estimated Effort (Hours)]]&lt;150,"L3",IF(Table1[[#This Row],[Estimated Effort (Hours)]]&lt;300,"L4","L5")))))</f>
        <v/>
      </c>
      <c r="S112" s="184" t="str">
        <f>IF(Table1[[#This Row],[Actual End Date]]="","",TEXT(Table1[[#This Row],[Actual End Date]],"mmm-yy"))</f>
        <v/>
      </c>
      <c r="T1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 s="185" t="str">
        <f>IFERROR((Table1[[#This Row],[Actual Effort (Hours)]]-Table1[[#This Row],[Estimated Effort (Hours)]])/Table1[[#This Row],[Estimated Effort (Hours)]],"")</f>
        <v/>
      </c>
      <c r="V112" s="149"/>
    </row>
    <row r="113" spans="2:22">
      <c r="B113" s="125"/>
      <c r="C113" s="102"/>
      <c r="D113" s="143"/>
      <c r="E113" s="123"/>
      <c r="F113" s="123"/>
      <c r="G113" s="143"/>
      <c r="H113" s="124"/>
      <c r="I113" s="124"/>
      <c r="J113" s="129"/>
      <c r="K113" s="124"/>
      <c r="L113" s="124"/>
      <c r="M113" s="129"/>
      <c r="N113" s="129" t="e">
        <f>Table1[[#This Row],[Estimated Effort (Hours)]]/NETWORKDAYS(Table1[[#This Row],[Planned Start Date]],Table1[[#This Row],[Planned End Date]])</f>
        <v>#DIV/0!</v>
      </c>
      <c r="O113" s="178">
        <f>NETWORKDAYS(Table1[[#This Row],[Planned Start Date]],Table1[[#This Row],[Planned End Date]])</f>
        <v>0</v>
      </c>
      <c r="P113" s="178">
        <f>NETWORKDAYS(Table1[[#This Row],[Planned Start Date]],$P$7)</f>
        <v>30643</v>
      </c>
      <c r="Q113" s="129"/>
      <c r="R113" s="183" t="str">
        <f>IF(Table1[[#This Row],[Actual Effort (Hours)]]="","",IF(Table1[[#This Row],[Estimated Effort (Hours)]]&lt;20,"L1",IF(Table1[[#This Row],[Estimated Effort (Hours)]]&lt;50,"L2",IF(Table1[[#This Row],[Estimated Effort (Hours)]]&lt;150,"L3",IF(Table1[[#This Row],[Estimated Effort (Hours)]]&lt;300,"L4","L5")))))</f>
        <v/>
      </c>
      <c r="S113" s="184" t="str">
        <f>IF(Table1[[#This Row],[Actual End Date]]="","",TEXT(Table1[[#This Row],[Actual End Date]],"mmm-yy"))</f>
        <v/>
      </c>
      <c r="T1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 s="185" t="str">
        <f>IFERROR((Table1[[#This Row],[Actual Effort (Hours)]]-Table1[[#This Row],[Estimated Effort (Hours)]])/Table1[[#This Row],[Estimated Effort (Hours)]],"")</f>
        <v/>
      </c>
      <c r="V113" s="149"/>
    </row>
    <row r="114" spans="2:22">
      <c r="B114" s="125"/>
      <c r="C114" s="102"/>
      <c r="D114" s="143"/>
      <c r="E114" s="123"/>
      <c r="F114" s="123"/>
      <c r="G114" s="143"/>
      <c r="H114" s="124"/>
      <c r="I114" s="124"/>
      <c r="J114" s="129"/>
      <c r="K114" s="124"/>
      <c r="L114" s="124"/>
      <c r="M114" s="129"/>
      <c r="N114" s="129" t="e">
        <f>Table1[[#This Row],[Estimated Effort (Hours)]]/NETWORKDAYS(Table1[[#This Row],[Planned Start Date]],Table1[[#This Row],[Planned End Date]])</f>
        <v>#DIV/0!</v>
      </c>
      <c r="O114" s="178">
        <f>NETWORKDAYS(Table1[[#This Row],[Planned Start Date]],Table1[[#This Row],[Planned End Date]])</f>
        <v>0</v>
      </c>
      <c r="P114" s="178">
        <f>NETWORKDAYS(Table1[[#This Row],[Planned Start Date]],$P$7)</f>
        <v>30643</v>
      </c>
      <c r="Q114" s="129"/>
      <c r="R114" s="183" t="str">
        <f>IF(Table1[[#This Row],[Actual Effort (Hours)]]="","",IF(Table1[[#This Row],[Estimated Effort (Hours)]]&lt;20,"L1",IF(Table1[[#This Row],[Estimated Effort (Hours)]]&lt;50,"L2",IF(Table1[[#This Row],[Estimated Effort (Hours)]]&lt;150,"L3",IF(Table1[[#This Row],[Estimated Effort (Hours)]]&lt;300,"L4","L5")))))</f>
        <v/>
      </c>
      <c r="S114" s="184" t="str">
        <f>IF(Table1[[#This Row],[Actual End Date]]="","",TEXT(Table1[[#This Row],[Actual End Date]],"mmm-yy"))</f>
        <v/>
      </c>
      <c r="T1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 s="185" t="str">
        <f>IFERROR((Table1[[#This Row],[Actual Effort (Hours)]]-Table1[[#This Row],[Estimated Effort (Hours)]])/Table1[[#This Row],[Estimated Effort (Hours)]],"")</f>
        <v/>
      </c>
      <c r="V114" s="149"/>
    </row>
    <row r="115" spans="2:22">
      <c r="B115" s="125"/>
      <c r="C115" s="102"/>
      <c r="D115" s="143"/>
      <c r="E115" s="123"/>
      <c r="F115" s="123"/>
      <c r="G115" s="143"/>
      <c r="H115" s="124"/>
      <c r="I115" s="124"/>
      <c r="J115" s="129"/>
      <c r="K115" s="124"/>
      <c r="L115" s="124"/>
      <c r="M115" s="129"/>
      <c r="N115" s="129" t="e">
        <f>Table1[[#This Row],[Estimated Effort (Hours)]]/NETWORKDAYS(Table1[[#This Row],[Planned Start Date]],Table1[[#This Row],[Planned End Date]])</f>
        <v>#DIV/0!</v>
      </c>
      <c r="O115" s="178">
        <f>NETWORKDAYS(Table1[[#This Row],[Planned Start Date]],Table1[[#This Row],[Planned End Date]])</f>
        <v>0</v>
      </c>
      <c r="P115" s="178">
        <f>NETWORKDAYS(Table1[[#This Row],[Planned Start Date]],$P$7)</f>
        <v>30643</v>
      </c>
      <c r="Q115" s="129"/>
      <c r="R115" s="183" t="str">
        <f>IF(Table1[[#This Row],[Actual Effort (Hours)]]="","",IF(Table1[[#This Row],[Estimated Effort (Hours)]]&lt;20,"L1",IF(Table1[[#This Row],[Estimated Effort (Hours)]]&lt;50,"L2",IF(Table1[[#This Row],[Estimated Effort (Hours)]]&lt;150,"L3",IF(Table1[[#This Row],[Estimated Effort (Hours)]]&lt;300,"L4","L5")))))</f>
        <v/>
      </c>
      <c r="S115" s="184" t="str">
        <f>IF(Table1[[#This Row],[Actual End Date]]="","",TEXT(Table1[[#This Row],[Actual End Date]],"mmm-yy"))</f>
        <v/>
      </c>
      <c r="T1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 s="185" t="str">
        <f>IFERROR((Table1[[#This Row],[Actual Effort (Hours)]]-Table1[[#This Row],[Estimated Effort (Hours)]])/Table1[[#This Row],[Estimated Effort (Hours)]],"")</f>
        <v/>
      </c>
      <c r="V115" s="149"/>
    </row>
    <row r="116" spans="2:22">
      <c r="B116" s="125"/>
      <c r="C116" s="102"/>
      <c r="D116" s="143"/>
      <c r="E116" s="123"/>
      <c r="F116" s="123"/>
      <c r="G116" s="143"/>
      <c r="H116" s="124"/>
      <c r="I116" s="124"/>
      <c r="J116" s="129"/>
      <c r="K116" s="124"/>
      <c r="L116" s="124"/>
      <c r="M116" s="129"/>
      <c r="N116" s="129" t="e">
        <f>Table1[[#This Row],[Estimated Effort (Hours)]]/NETWORKDAYS(Table1[[#This Row],[Planned Start Date]],Table1[[#This Row],[Planned End Date]])</f>
        <v>#DIV/0!</v>
      </c>
      <c r="O116" s="178">
        <f>NETWORKDAYS(Table1[[#This Row],[Planned Start Date]],Table1[[#This Row],[Planned End Date]])</f>
        <v>0</v>
      </c>
      <c r="P116" s="178">
        <f>NETWORKDAYS(Table1[[#This Row],[Planned Start Date]],$P$7)</f>
        <v>30643</v>
      </c>
      <c r="Q116" s="129"/>
      <c r="R116" s="183" t="str">
        <f>IF(Table1[[#This Row],[Actual Effort (Hours)]]="","",IF(Table1[[#This Row],[Estimated Effort (Hours)]]&lt;20,"L1",IF(Table1[[#This Row],[Estimated Effort (Hours)]]&lt;50,"L2",IF(Table1[[#This Row],[Estimated Effort (Hours)]]&lt;150,"L3",IF(Table1[[#This Row],[Estimated Effort (Hours)]]&lt;300,"L4","L5")))))</f>
        <v/>
      </c>
      <c r="S116" s="184" t="str">
        <f>IF(Table1[[#This Row],[Actual End Date]]="","",TEXT(Table1[[#This Row],[Actual End Date]],"mmm-yy"))</f>
        <v/>
      </c>
      <c r="T1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 s="185" t="str">
        <f>IFERROR((Table1[[#This Row],[Actual Effort (Hours)]]-Table1[[#This Row],[Estimated Effort (Hours)]])/Table1[[#This Row],[Estimated Effort (Hours)]],"")</f>
        <v/>
      </c>
      <c r="V116" s="149"/>
    </row>
    <row r="117" spans="2:22">
      <c r="B117" s="125"/>
      <c r="C117" s="102"/>
      <c r="D117" s="143"/>
      <c r="E117" s="123"/>
      <c r="F117" s="123"/>
      <c r="G117" s="143"/>
      <c r="H117" s="124"/>
      <c r="I117" s="124"/>
      <c r="J117" s="129"/>
      <c r="K117" s="124"/>
      <c r="L117" s="124"/>
      <c r="M117" s="129"/>
      <c r="N117" s="129" t="e">
        <f>Table1[[#This Row],[Estimated Effort (Hours)]]/NETWORKDAYS(Table1[[#This Row],[Planned Start Date]],Table1[[#This Row],[Planned End Date]])</f>
        <v>#DIV/0!</v>
      </c>
      <c r="O117" s="178">
        <f>NETWORKDAYS(Table1[[#This Row],[Planned Start Date]],Table1[[#This Row],[Planned End Date]])</f>
        <v>0</v>
      </c>
      <c r="P117" s="178">
        <f>NETWORKDAYS(Table1[[#This Row],[Planned Start Date]],$P$7)</f>
        <v>30643</v>
      </c>
      <c r="Q117" s="129"/>
      <c r="R117" s="183" t="str">
        <f>IF(Table1[[#This Row],[Actual Effort (Hours)]]="","",IF(Table1[[#This Row],[Estimated Effort (Hours)]]&lt;20,"L1",IF(Table1[[#This Row],[Estimated Effort (Hours)]]&lt;50,"L2",IF(Table1[[#This Row],[Estimated Effort (Hours)]]&lt;150,"L3",IF(Table1[[#This Row],[Estimated Effort (Hours)]]&lt;300,"L4","L5")))))</f>
        <v/>
      </c>
      <c r="S117" s="184" t="str">
        <f>IF(Table1[[#This Row],[Actual End Date]]="","",TEXT(Table1[[#This Row],[Actual End Date]],"mmm-yy"))</f>
        <v/>
      </c>
      <c r="T1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 s="185" t="str">
        <f>IFERROR((Table1[[#This Row],[Actual Effort (Hours)]]-Table1[[#This Row],[Estimated Effort (Hours)]])/Table1[[#This Row],[Estimated Effort (Hours)]],"")</f>
        <v/>
      </c>
      <c r="V117" s="149"/>
    </row>
    <row r="118" spans="2:22">
      <c r="B118" s="125"/>
      <c r="C118" s="102"/>
      <c r="D118" s="143"/>
      <c r="E118" s="123"/>
      <c r="F118" s="123"/>
      <c r="G118" s="143"/>
      <c r="H118" s="124"/>
      <c r="I118" s="124"/>
      <c r="J118" s="129"/>
      <c r="K118" s="124"/>
      <c r="L118" s="124"/>
      <c r="M118" s="129"/>
      <c r="N118" s="129" t="e">
        <f>Table1[[#This Row],[Estimated Effort (Hours)]]/NETWORKDAYS(Table1[[#This Row],[Planned Start Date]],Table1[[#This Row],[Planned End Date]])</f>
        <v>#DIV/0!</v>
      </c>
      <c r="O118" s="178">
        <f>NETWORKDAYS(Table1[[#This Row],[Planned Start Date]],Table1[[#This Row],[Planned End Date]])</f>
        <v>0</v>
      </c>
      <c r="P118" s="178">
        <f>NETWORKDAYS(Table1[[#This Row],[Planned Start Date]],$P$7)</f>
        <v>30643</v>
      </c>
      <c r="Q118" s="129"/>
      <c r="R118" s="183" t="str">
        <f>IF(Table1[[#This Row],[Actual Effort (Hours)]]="","",IF(Table1[[#This Row],[Estimated Effort (Hours)]]&lt;20,"L1",IF(Table1[[#This Row],[Estimated Effort (Hours)]]&lt;50,"L2",IF(Table1[[#This Row],[Estimated Effort (Hours)]]&lt;150,"L3",IF(Table1[[#This Row],[Estimated Effort (Hours)]]&lt;300,"L4","L5")))))</f>
        <v/>
      </c>
      <c r="S118" s="184" t="str">
        <f>IF(Table1[[#This Row],[Actual End Date]]="","",TEXT(Table1[[#This Row],[Actual End Date]],"mmm-yy"))</f>
        <v/>
      </c>
      <c r="T1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 s="185" t="str">
        <f>IFERROR((Table1[[#This Row],[Actual Effort (Hours)]]-Table1[[#This Row],[Estimated Effort (Hours)]])/Table1[[#This Row],[Estimated Effort (Hours)]],"")</f>
        <v/>
      </c>
      <c r="V118" s="149"/>
    </row>
    <row r="119" spans="2:22">
      <c r="B119" s="125"/>
      <c r="C119" s="102"/>
      <c r="D119" s="143"/>
      <c r="E119" s="123"/>
      <c r="F119" s="123"/>
      <c r="G119" s="129"/>
      <c r="H119" s="124"/>
      <c r="I119" s="124"/>
      <c r="J119" s="129"/>
      <c r="K119" s="124"/>
      <c r="L119" s="124"/>
      <c r="M119" s="129"/>
      <c r="N119" s="129" t="e">
        <f>Table1[[#This Row],[Estimated Effort (Hours)]]/NETWORKDAYS(Table1[[#This Row],[Planned Start Date]],Table1[[#This Row],[Planned End Date]])</f>
        <v>#DIV/0!</v>
      </c>
      <c r="O119" s="178">
        <f>NETWORKDAYS(Table1[[#This Row],[Planned Start Date]],Table1[[#This Row],[Planned End Date]])</f>
        <v>0</v>
      </c>
      <c r="P119" s="178">
        <f>NETWORKDAYS(Table1[[#This Row],[Planned Start Date]],$P$7)</f>
        <v>30643</v>
      </c>
      <c r="Q119" s="129"/>
      <c r="R119" s="183" t="str">
        <f>IF(Table1[[#This Row],[Actual Effort (Hours)]]="","",IF(Table1[[#This Row],[Estimated Effort (Hours)]]&lt;20,"L1",IF(Table1[[#This Row],[Estimated Effort (Hours)]]&lt;50,"L2",IF(Table1[[#This Row],[Estimated Effort (Hours)]]&lt;150,"L3",IF(Table1[[#This Row],[Estimated Effort (Hours)]]&lt;300,"L4","L5")))))</f>
        <v/>
      </c>
      <c r="S119" s="184" t="str">
        <f>IF(Table1[[#This Row],[Actual End Date]]="","",TEXT(Table1[[#This Row],[Actual End Date]],"mmm-yy"))</f>
        <v/>
      </c>
      <c r="T1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 s="185" t="str">
        <f>IFERROR((Table1[[#This Row],[Actual Effort (Hours)]]-Table1[[#This Row],[Estimated Effort (Hours)]])/Table1[[#This Row],[Estimated Effort (Hours)]],"")</f>
        <v/>
      </c>
      <c r="V119" s="149"/>
    </row>
    <row r="120" spans="2:22">
      <c r="B120" s="125"/>
      <c r="C120" s="102"/>
      <c r="D120" s="143"/>
      <c r="E120" s="123"/>
      <c r="F120" s="123"/>
      <c r="G120" s="129"/>
      <c r="H120" s="124"/>
      <c r="I120" s="124"/>
      <c r="J120" s="129"/>
      <c r="K120" s="124"/>
      <c r="L120" s="124"/>
      <c r="M120" s="129"/>
      <c r="N120" s="129" t="e">
        <f>Table1[[#This Row],[Estimated Effort (Hours)]]/NETWORKDAYS(Table1[[#This Row],[Planned Start Date]],Table1[[#This Row],[Planned End Date]])</f>
        <v>#DIV/0!</v>
      </c>
      <c r="O120" s="178">
        <f>NETWORKDAYS(Table1[[#This Row],[Planned Start Date]],Table1[[#This Row],[Planned End Date]])</f>
        <v>0</v>
      </c>
      <c r="P120" s="178">
        <f>NETWORKDAYS(Table1[[#This Row],[Planned Start Date]],$P$7)</f>
        <v>30643</v>
      </c>
      <c r="Q120" s="129"/>
      <c r="R120" s="183" t="str">
        <f>IF(Table1[[#This Row],[Actual Effort (Hours)]]="","",IF(Table1[[#This Row],[Estimated Effort (Hours)]]&lt;20,"L1",IF(Table1[[#This Row],[Estimated Effort (Hours)]]&lt;50,"L2",IF(Table1[[#This Row],[Estimated Effort (Hours)]]&lt;150,"L3",IF(Table1[[#This Row],[Estimated Effort (Hours)]]&lt;300,"L4","L5")))))</f>
        <v/>
      </c>
      <c r="S120" s="184" t="str">
        <f>IF(Table1[[#This Row],[Actual End Date]]="","",TEXT(Table1[[#This Row],[Actual End Date]],"mmm-yy"))</f>
        <v/>
      </c>
      <c r="T1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 s="185" t="str">
        <f>IFERROR((Table1[[#This Row],[Actual Effort (Hours)]]-Table1[[#This Row],[Estimated Effort (Hours)]])/Table1[[#This Row],[Estimated Effort (Hours)]],"")</f>
        <v/>
      </c>
      <c r="V120" s="149"/>
    </row>
    <row r="121" spans="2:22">
      <c r="B121" s="125"/>
      <c r="C121" s="102"/>
      <c r="D121" s="143"/>
      <c r="E121" s="123"/>
      <c r="F121" s="123"/>
      <c r="G121" s="129"/>
      <c r="H121" s="124"/>
      <c r="I121" s="124"/>
      <c r="J121" s="129"/>
      <c r="K121" s="124"/>
      <c r="L121" s="124"/>
      <c r="M121" s="129"/>
      <c r="N121" s="129" t="e">
        <f>Table1[[#This Row],[Estimated Effort (Hours)]]/NETWORKDAYS(Table1[[#This Row],[Planned Start Date]],Table1[[#This Row],[Planned End Date]])</f>
        <v>#DIV/0!</v>
      </c>
      <c r="O121" s="178">
        <f>NETWORKDAYS(Table1[[#This Row],[Planned Start Date]],Table1[[#This Row],[Planned End Date]])</f>
        <v>0</v>
      </c>
      <c r="P121" s="178">
        <f>NETWORKDAYS(Table1[[#This Row],[Planned Start Date]],$P$7)</f>
        <v>30643</v>
      </c>
      <c r="Q121" s="129"/>
      <c r="R121" s="183" t="str">
        <f>IF(Table1[[#This Row],[Actual Effort (Hours)]]="","",IF(Table1[[#This Row],[Estimated Effort (Hours)]]&lt;20,"L1",IF(Table1[[#This Row],[Estimated Effort (Hours)]]&lt;50,"L2",IF(Table1[[#This Row],[Estimated Effort (Hours)]]&lt;150,"L3",IF(Table1[[#This Row],[Estimated Effort (Hours)]]&lt;300,"L4","L5")))))</f>
        <v/>
      </c>
      <c r="S121" s="184" t="str">
        <f>IF(Table1[[#This Row],[Actual End Date]]="","",TEXT(Table1[[#This Row],[Actual End Date]],"mmm-yy"))</f>
        <v/>
      </c>
      <c r="T1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 s="185" t="str">
        <f>IFERROR((Table1[[#This Row],[Actual Effort (Hours)]]-Table1[[#This Row],[Estimated Effort (Hours)]])/Table1[[#This Row],[Estimated Effort (Hours)]],"")</f>
        <v/>
      </c>
      <c r="V121" s="149"/>
    </row>
    <row r="122" spans="2:22">
      <c r="B122" s="125"/>
      <c r="C122" s="102"/>
      <c r="D122" s="143"/>
      <c r="E122" s="123"/>
      <c r="F122" s="123"/>
      <c r="G122" s="129"/>
      <c r="H122" s="124"/>
      <c r="I122" s="124"/>
      <c r="J122" s="129"/>
      <c r="K122" s="124"/>
      <c r="L122" s="124"/>
      <c r="M122" s="129"/>
      <c r="N122" s="129" t="e">
        <f>Table1[[#This Row],[Estimated Effort (Hours)]]/NETWORKDAYS(Table1[[#This Row],[Planned Start Date]],Table1[[#This Row],[Planned End Date]])</f>
        <v>#DIV/0!</v>
      </c>
      <c r="O122" s="178">
        <f>NETWORKDAYS(Table1[[#This Row],[Planned Start Date]],Table1[[#This Row],[Planned End Date]])</f>
        <v>0</v>
      </c>
      <c r="P122" s="178">
        <f>NETWORKDAYS(Table1[[#This Row],[Planned Start Date]],$P$7)</f>
        <v>30643</v>
      </c>
      <c r="Q122" s="129"/>
      <c r="R122" s="183" t="str">
        <f>IF(Table1[[#This Row],[Actual Effort (Hours)]]="","",IF(Table1[[#This Row],[Estimated Effort (Hours)]]&lt;20,"L1",IF(Table1[[#This Row],[Estimated Effort (Hours)]]&lt;50,"L2",IF(Table1[[#This Row],[Estimated Effort (Hours)]]&lt;150,"L3",IF(Table1[[#This Row],[Estimated Effort (Hours)]]&lt;300,"L4","L5")))))</f>
        <v/>
      </c>
      <c r="S122" s="184" t="str">
        <f>IF(Table1[[#This Row],[Actual End Date]]="","",TEXT(Table1[[#This Row],[Actual End Date]],"mmm-yy"))</f>
        <v/>
      </c>
      <c r="T1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 s="185" t="str">
        <f>IFERROR((Table1[[#This Row],[Actual Effort (Hours)]]-Table1[[#This Row],[Estimated Effort (Hours)]])/Table1[[#This Row],[Estimated Effort (Hours)]],"")</f>
        <v/>
      </c>
      <c r="V122" s="149"/>
    </row>
    <row r="123" spans="2:22">
      <c r="B123" s="125"/>
      <c r="C123" s="192"/>
      <c r="D123" s="143"/>
      <c r="E123" s="123"/>
      <c r="F123" s="123"/>
      <c r="G123" s="129"/>
      <c r="H123" s="124"/>
      <c r="I123" s="124"/>
      <c r="J123" s="129"/>
      <c r="K123" s="124"/>
      <c r="L123" s="124"/>
      <c r="M123" s="129"/>
      <c r="N123" s="129" t="e">
        <f>Table1[[#This Row],[Estimated Effort (Hours)]]/NETWORKDAYS(Table1[[#This Row],[Planned Start Date]],Table1[[#This Row],[Planned End Date]])</f>
        <v>#DIV/0!</v>
      </c>
      <c r="O123" s="178">
        <f>NETWORKDAYS(Table1[[#This Row],[Planned Start Date]],Table1[[#This Row],[Planned End Date]])</f>
        <v>0</v>
      </c>
      <c r="P123" s="178">
        <f>NETWORKDAYS(Table1[[#This Row],[Planned Start Date]],$P$7)</f>
        <v>30643</v>
      </c>
      <c r="Q123" s="129"/>
      <c r="R123" s="183" t="str">
        <f>IF(Table1[[#This Row],[Actual Effort (Hours)]]="","",IF(Table1[[#This Row],[Estimated Effort (Hours)]]&lt;20,"L1",IF(Table1[[#This Row],[Estimated Effort (Hours)]]&lt;50,"L2",IF(Table1[[#This Row],[Estimated Effort (Hours)]]&lt;150,"L3",IF(Table1[[#This Row],[Estimated Effort (Hours)]]&lt;300,"L4","L5")))))</f>
        <v/>
      </c>
      <c r="S123" s="184" t="str">
        <f>IF(Table1[[#This Row],[Actual End Date]]="","",TEXT(Table1[[#This Row],[Actual End Date]],"mmm-yy"))</f>
        <v/>
      </c>
      <c r="T1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 s="185" t="str">
        <f>IFERROR((Table1[[#This Row],[Actual Effort (Hours)]]-Table1[[#This Row],[Estimated Effort (Hours)]])/Table1[[#This Row],[Estimated Effort (Hours)]],"")</f>
        <v/>
      </c>
      <c r="V123" s="149"/>
    </row>
    <row r="124" spans="2:22">
      <c r="B124" s="125"/>
      <c r="C124" s="102"/>
      <c r="D124" s="143"/>
      <c r="E124" s="123"/>
      <c r="F124" s="123"/>
      <c r="G124" s="129"/>
      <c r="H124" s="124"/>
      <c r="I124" s="124"/>
      <c r="J124" s="129"/>
      <c r="K124" s="124"/>
      <c r="L124" s="124"/>
      <c r="M124" s="129"/>
      <c r="N124" s="129" t="e">
        <f>Table1[[#This Row],[Estimated Effort (Hours)]]/NETWORKDAYS(Table1[[#This Row],[Planned Start Date]],Table1[[#This Row],[Planned End Date]])</f>
        <v>#DIV/0!</v>
      </c>
      <c r="O124" s="178">
        <f>NETWORKDAYS(Table1[[#This Row],[Planned Start Date]],Table1[[#This Row],[Planned End Date]])</f>
        <v>0</v>
      </c>
      <c r="P124" s="178">
        <f>NETWORKDAYS(Table1[[#This Row],[Planned Start Date]],$P$7)</f>
        <v>30643</v>
      </c>
      <c r="Q124" s="129"/>
      <c r="R124" s="183" t="str">
        <f>IF(Table1[[#This Row],[Actual Effort (Hours)]]="","",IF(Table1[[#This Row],[Estimated Effort (Hours)]]&lt;20,"L1",IF(Table1[[#This Row],[Estimated Effort (Hours)]]&lt;50,"L2",IF(Table1[[#This Row],[Estimated Effort (Hours)]]&lt;150,"L3",IF(Table1[[#This Row],[Estimated Effort (Hours)]]&lt;300,"L4","L5")))))</f>
        <v/>
      </c>
      <c r="S124" s="184" t="str">
        <f>IF(Table1[[#This Row],[Actual End Date]]="","",TEXT(Table1[[#This Row],[Actual End Date]],"mmm-yy"))</f>
        <v/>
      </c>
      <c r="T1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 s="185" t="str">
        <f>IFERROR((Table1[[#This Row],[Actual Effort (Hours)]]-Table1[[#This Row],[Estimated Effort (Hours)]])/Table1[[#This Row],[Estimated Effort (Hours)]],"")</f>
        <v/>
      </c>
      <c r="V124" s="149"/>
    </row>
    <row r="125" spans="2:22">
      <c r="B125" s="125"/>
      <c r="C125" s="102"/>
      <c r="D125" s="143"/>
      <c r="E125" s="123"/>
      <c r="F125" s="123"/>
      <c r="G125" s="143"/>
      <c r="H125" s="124"/>
      <c r="I125" s="124"/>
      <c r="J125" s="129"/>
      <c r="K125" s="124"/>
      <c r="L125" s="124"/>
      <c r="M125" s="129"/>
      <c r="N125" s="129" t="e">
        <f>Table1[[#This Row],[Estimated Effort (Hours)]]/NETWORKDAYS(Table1[[#This Row],[Planned Start Date]],Table1[[#This Row],[Planned End Date]])</f>
        <v>#DIV/0!</v>
      </c>
      <c r="O125" s="178">
        <f>NETWORKDAYS(Table1[[#This Row],[Planned Start Date]],Table1[[#This Row],[Planned End Date]])</f>
        <v>0</v>
      </c>
      <c r="P125" s="178">
        <f>NETWORKDAYS(Table1[[#This Row],[Planned Start Date]],$P$7)</f>
        <v>30643</v>
      </c>
      <c r="Q125" s="129"/>
      <c r="R125" s="183" t="str">
        <f>IF(Table1[[#This Row],[Actual Effort (Hours)]]="","",IF(Table1[[#This Row],[Estimated Effort (Hours)]]&lt;20,"L1",IF(Table1[[#This Row],[Estimated Effort (Hours)]]&lt;50,"L2",IF(Table1[[#This Row],[Estimated Effort (Hours)]]&lt;150,"L3",IF(Table1[[#This Row],[Estimated Effort (Hours)]]&lt;300,"L4","L5")))))</f>
        <v/>
      </c>
      <c r="S125" s="184" t="str">
        <f>IF(Table1[[#This Row],[Actual End Date]]="","",TEXT(Table1[[#This Row],[Actual End Date]],"mmm-yy"))</f>
        <v/>
      </c>
      <c r="T1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 s="185" t="str">
        <f>IFERROR((Table1[[#This Row],[Actual Effort (Hours)]]-Table1[[#This Row],[Estimated Effort (Hours)]])/Table1[[#This Row],[Estimated Effort (Hours)]],"")</f>
        <v/>
      </c>
      <c r="V125" s="149"/>
    </row>
    <row r="126" spans="2:22">
      <c r="B126" s="125"/>
      <c r="C126" s="102"/>
      <c r="D126" s="143"/>
      <c r="E126" s="123"/>
      <c r="F126" s="123"/>
      <c r="G126" s="143"/>
      <c r="H126" s="124"/>
      <c r="I126" s="124"/>
      <c r="J126" s="129"/>
      <c r="K126" s="124"/>
      <c r="L126" s="124"/>
      <c r="M126" s="129"/>
      <c r="N126" s="129" t="e">
        <f>Table1[[#This Row],[Estimated Effort (Hours)]]/NETWORKDAYS(Table1[[#This Row],[Planned Start Date]],Table1[[#This Row],[Planned End Date]])</f>
        <v>#DIV/0!</v>
      </c>
      <c r="O126" s="178">
        <f>NETWORKDAYS(Table1[[#This Row],[Planned Start Date]],Table1[[#This Row],[Planned End Date]])</f>
        <v>0</v>
      </c>
      <c r="P126" s="178">
        <f>NETWORKDAYS(Table1[[#This Row],[Planned Start Date]],$P$7)</f>
        <v>30643</v>
      </c>
      <c r="Q126" s="129"/>
      <c r="R126" s="183" t="str">
        <f>IF(Table1[[#This Row],[Actual Effort (Hours)]]="","",IF(Table1[[#This Row],[Estimated Effort (Hours)]]&lt;20,"L1",IF(Table1[[#This Row],[Estimated Effort (Hours)]]&lt;50,"L2",IF(Table1[[#This Row],[Estimated Effort (Hours)]]&lt;150,"L3",IF(Table1[[#This Row],[Estimated Effort (Hours)]]&lt;300,"L4","L5")))))</f>
        <v/>
      </c>
      <c r="S126" s="184" t="str">
        <f>IF(Table1[[#This Row],[Actual End Date]]="","",TEXT(Table1[[#This Row],[Actual End Date]],"mmm-yy"))</f>
        <v/>
      </c>
      <c r="T1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 s="185" t="str">
        <f>IFERROR((Table1[[#This Row],[Actual Effort (Hours)]]-Table1[[#This Row],[Estimated Effort (Hours)]])/Table1[[#This Row],[Estimated Effort (Hours)]],"")</f>
        <v/>
      </c>
      <c r="V126" s="149"/>
    </row>
    <row r="127" spans="2:22">
      <c r="B127" s="125"/>
      <c r="C127" s="102"/>
      <c r="D127" s="143"/>
      <c r="E127" s="123"/>
      <c r="F127" s="123"/>
      <c r="G127" s="143"/>
      <c r="H127" s="124"/>
      <c r="I127" s="124"/>
      <c r="J127" s="129"/>
      <c r="K127" s="124"/>
      <c r="L127" s="124"/>
      <c r="M127" s="129"/>
      <c r="N127" s="129" t="e">
        <f>Table1[[#This Row],[Estimated Effort (Hours)]]/NETWORKDAYS(Table1[[#This Row],[Planned Start Date]],Table1[[#This Row],[Planned End Date]])</f>
        <v>#DIV/0!</v>
      </c>
      <c r="O127" s="178">
        <f>NETWORKDAYS(Table1[[#This Row],[Planned Start Date]],Table1[[#This Row],[Planned End Date]])</f>
        <v>0</v>
      </c>
      <c r="P127" s="178">
        <f>NETWORKDAYS(Table1[[#This Row],[Planned Start Date]],$P$7)</f>
        <v>30643</v>
      </c>
      <c r="Q127" s="129"/>
      <c r="R127" s="183" t="str">
        <f>IF(Table1[[#This Row],[Actual Effort (Hours)]]="","",IF(Table1[[#This Row],[Estimated Effort (Hours)]]&lt;20,"L1",IF(Table1[[#This Row],[Estimated Effort (Hours)]]&lt;50,"L2",IF(Table1[[#This Row],[Estimated Effort (Hours)]]&lt;150,"L3",IF(Table1[[#This Row],[Estimated Effort (Hours)]]&lt;300,"L4","L5")))))</f>
        <v/>
      </c>
      <c r="S127" s="184" t="str">
        <f>IF(Table1[[#This Row],[Actual End Date]]="","",TEXT(Table1[[#This Row],[Actual End Date]],"mmm-yy"))</f>
        <v/>
      </c>
      <c r="T1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 s="185" t="str">
        <f>IFERROR((Table1[[#This Row],[Actual Effort (Hours)]]-Table1[[#This Row],[Estimated Effort (Hours)]])/Table1[[#This Row],[Estimated Effort (Hours)]],"")</f>
        <v/>
      </c>
      <c r="V127" s="149"/>
    </row>
    <row r="128" spans="2:22">
      <c r="B128" s="125"/>
      <c r="C128" s="102"/>
      <c r="D128" s="143"/>
      <c r="E128" s="123"/>
      <c r="F128" s="123"/>
      <c r="G128" s="129"/>
      <c r="H128" s="124"/>
      <c r="I128" s="124"/>
      <c r="J128" s="129"/>
      <c r="K128" s="124"/>
      <c r="L128" s="124"/>
      <c r="M128" s="129"/>
      <c r="N128" s="129" t="e">
        <f>Table1[[#This Row],[Estimated Effort (Hours)]]/NETWORKDAYS(Table1[[#This Row],[Planned Start Date]],Table1[[#This Row],[Planned End Date]])</f>
        <v>#DIV/0!</v>
      </c>
      <c r="O128" s="178">
        <f>NETWORKDAYS(Table1[[#This Row],[Planned Start Date]],Table1[[#This Row],[Planned End Date]])</f>
        <v>0</v>
      </c>
      <c r="P128" s="178">
        <f>NETWORKDAYS(Table1[[#This Row],[Planned Start Date]],$P$7)</f>
        <v>30643</v>
      </c>
      <c r="Q128" s="129"/>
      <c r="R128" s="183" t="str">
        <f>IF(Table1[[#This Row],[Actual Effort (Hours)]]="","",IF(Table1[[#This Row],[Estimated Effort (Hours)]]&lt;20,"L1",IF(Table1[[#This Row],[Estimated Effort (Hours)]]&lt;50,"L2",IF(Table1[[#This Row],[Estimated Effort (Hours)]]&lt;150,"L3",IF(Table1[[#This Row],[Estimated Effort (Hours)]]&lt;300,"L4","L5")))))</f>
        <v/>
      </c>
      <c r="S128" s="184" t="str">
        <f>IF(Table1[[#This Row],[Actual End Date]]="","",TEXT(Table1[[#This Row],[Actual End Date]],"mmm-yy"))</f>
        <v/>
      </c>
      <c r="T1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 s="185" t="str">
        <f>IFERROR((Table1[[#This Row],[Actual Effort (Hours)]]-Table1[[#This Row],[Estimated Effort (Hours)]])/Table1[[#This Row],[Estimated Effort (Hours)]],"")</f>
        <v/>
      </c>
      <c r="V128" s="149"/>
    </row>
    <row r="129" spans="2:22">
      <c r="B129" s="125"/>
      <c r="C129" s="102"/>
      <c r="D129" s="143"/>
      <c r="E129" s="123"/>
      <c r="F129" s="123"/>
      <c r="G129" s="129"/>
      <c r="H129" s="124"/>
      <c r="I129" s="124"/>
      <c r="J129" s="129"/>
      <c r="K129" s="124"/>
      <c r="L129" s="124"/>
      <c r="M129" s="129"/>
      <c r="N129" s="129" t="e">
        <f>Table1[[#This Row],[Estimated Effort (Hours)]]/NETWORKDAYS(Table1[[#This Row],[Planned Start Date]],Table1[[#This Row],[Planned End Date]])</f>
        <v>#DIV/0!</v>
      </c>
      <c r="O129" s="178">
        <f>NETWORKDAYS(Table1[[#This Row],[Planned Start Date]],Table1[[#This Row],[Planned End Date]])</f>
        <v>0</v>
      </c>
      <c r="P129" s="178">
        <f>NETWORKDAYS(Table1[[#This Row],[Planned Start Date]],$P$7)</f>
        <v>30643</v>
      </c>
      <c r="Q129" s="129"/>
      <c r="R129" s="183" t="str">
        <f>IF(Table1[[#This Row],[Actual Effort (Hours)]]="","",IF(Table1[[#This Row],[Estimated Effort (Hours)]]&lt;20,"L1",IF(Table1[[#This Row],[Estimated Effort (Hours)]]&lt;50,"L2",IF(Table1[[#This Row],[Estimated Effort (Hours)]]&lt;150,"L3",IF(Table1[[#This Row],[Estimated Effort (Hours)]]&lt;300,"L4","L5")))))</f>
        <v/>
      </c>
      <c r="S129" s="184" t="str">
        <f>IF(Table1[[#This Row],[Actual End Date]]="","",TEXT(Table1[[#This Row],[Actual End Date]],"mmm-yy"))</f>
        <v/>
      </c>
      <c r="T1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 s="185" t="str">
        <f>IFERROR((Table1[[#This Row],[Actual Effort (Hours)]]-Table1[[#This Row],[Estimated Effort (Hours)]])/Table1[[#This Row],[Estimated Effort (Hours)]],"")</f>
        <v/>
      </c>
      <c r="V129" s="149"/>
    </row>
    <row r="130" spans="2:22">
      <c r="B130" s="125"/>
      <c r="C130" s="102"/>
      <c r="D130" s="143"/>
      <c r="E130" s="123"/>
      <c r="F130" s="123"/>
      <c r="G130" s="129"/>
      <c r="H130" s="193"/>
      <c r="I130" s="193"/>
      <c r="J130" s="129"/>
      <c r="K130" s="193"/>
      <c r="L130" s="193"/>
      <c r="M130" s="129"/>
      <c r="N130" s="129" t="e">
        <f>Table1[[#This Row],[Estimated Effort (Hours)]]/NETWORKDAYS(Table1[[#This Row],[Planned Start Date]],Table1[[#This Row],[Planned End Date]])</f>
        <v>#DIV/0!</v>
      </c>
      <c r="O130" s="178">
        <f>NETWORKDAYS(Table1[[#This Row],[Planned Start Date]],Table1[[#This Row],[Planned End Date]])</f>
        <v>0</v>
      </c>
      <c r="P130" s="178">
        <f>NETWORKDAYS(Table1[[#This Row],[Planned Start Date]],$P$7)</f>
        <v>30643</v>
      </c>
      <c r="Q130" s="129"/>
      <c r="R130" s="183" t="str">
        <f>IF(Table1[[#This Row],[Actual Effort (Hours)]]="","",IF(Table1[[#This Row],[Estimated Effort (Hours)]]&lt;20,"L1",IF(Table1[[#This Row],[Estimated Effort (Hours)]]&lt;50,"L2",IF(Table1[[#This Row],[Estimated Effort (Hours)]]&lt;150,"L3",IF(Table1[[#This Row],[Estimated Effort (Hours)]]&lt;300,"L4","L5")))))</f>
        <v/>
      </c>
      <c r="S130" s="184" t="str">
        <f>IF(Table1[[#This Row],[Actual End Date]]="","",TEXT(Table1[[#This Row],[Actual End Date]],"mmm-yy"))</f>
        <v/>
      </c>
      <c r="T1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 s="185" t="str">
        <f>IFERROR((Table1[[#This Row],[Actual Effort (Hours)]]-Table1[[#This Row],[Estimated Effort (Hours)]])/Table1[[#This Row],[Estimated Effort (Hours)]],"")</f>
        <v/>
      </c>
      <c r="V130" s="149"/>
    </row>
    <row r="131" spans="2:22">
      <c r="B131" s="125"/>
      <c r="C131" s="102"/>
      <c r="D131" s="143"/>
      <c r="E131" s="123"/>
      <c r="F131" s="123"/>
      <c r="G131" s="129"/>
      <c r="H131" s="124"/>
      <c r="I131" s="124"/>
      <c r="J131" s="129"/>
      <c r="K131" s="124"/>
      <c r="L131" s="124"/>
      <c r="M131" s="129"/>
      <c r="N131" s="129" t="e">
        <f>Table1[[#This Row],[Estimated Effort (Hours)]]/NETWORKDAYS(Table1[[#This Row],[Planned Start Date]],Table1[[#This Row],[Planned End Date]])</f>
        <v>#DIV/0!</v>
      </c>
      <c r="O131" s="178">
        <f>NETWORKDAYS(Table1[[#This Row],[Planned Start Date]],Table1[[#This Row],[Planned End Date]])</f>
        <v>0</v>
      </c>
      <c r="P131" s="178">
        <f>NETWORKDAYS(Table1[[#This Row],[Planned Start Date]],$P$7)</f>
        <v>30643</v>
      </c>
      <c r="Q131" s="129"/>
      <c r="R131" s="183" t="str">
        <f>IF(Table1[[#This Row],[Actual Effort (Hours)]]="","",IF(Table1[[#This Row],[Estimated Effort (Hours)]]&lt;20,"L1",IF(Table1[[#This Row],[Estimated Effort (Hours)]]&lt;50,"L2",IF(Table1[[#This Row],[Estimated Effort (Hours)]]&lt;150,"L3",IF(Table1[[#This Row],[Estimated Effort (Hours)]]&lt;300,"L4","L5")))))</f>
        <v/>
      </c>
      <c r="S131" s="184" t="str">
        <f>IF(Table1[[#This Row],[Actual End Date]]="","",TEXT(Table1[[#This Row],[Actual End Date]],"mmm-yy"))</f>
        <v/>
      </c>
      <c r="T1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 s="185" t="str">
        <f>IFERROR((Table1[[#This Row],[Actual Effort (Hours)]]-Table1[[#This Row],[Estimated Effort (Hours)]])/Table1[[#This Row],[Estimated Effort (Hours)]],"")</f>
        <v/>
      </c>
      <c r="V131" s="149"/>
    </row>
    <row r="132" spans="2:22">
      <c r="B132" s="125"/>
      <c r="C132" s="102"/>
      <c r="D132" s="143"/>
      <c r="E132" s="123"/>
      <c r="F132" s="123"/>
      <c r="G132" s="129"/>
      <c r="H132" s="124"/>
      <c r="I132" s="124"/>
      <c r="J132" s="129"/>
      <c r="K132" s="124"/>
      <c r="L132" s="124"/>
      <c r="M132" s="129"/>
      <c r="N132" s="129" t="e">
        <f>Table1[[#This Row],[Estimated Effort (Hours)]]/NETWORKDAYS(Table1[[#This Row],[Planned Start Date]],Table1[[#This Row],[Planned End Date]])</f>
        <v>#DIV/0!</v>
      </c>
      <c r="O132" s="178">
        <f>NETWORKDAYS(Table1[[#This Row],[Planned Start Date]],Table1[[#This Row],[Planned End Date]])</f>
        <v>0</v>
      </c>
      <c r="P132" s="178">
        <f>NETWORKDAYS(Table1[[#This Row],[Planned Start Date]],$P$7)</f>
        <v>30643</v>
      </c>
      <c r="Q132" s="129"/>
      <c r="R132" s="183" t="str">
        <f>IF(Table1[[#This Row],[Actual Effort (Hours)]]="","",IF(Table1[[#This Row],[Estimated Effort (Hours)]]&lt;20,"L1",IF(Table1[[#This Row],[Estimated Effort (Hours)]]&lt;50,"L2",IF(Table1[[#This Row],[Estimated Effort (Hours)]]&lt;150,"L3",IF(Table1[[#This Row],[Estimated Effort (Hours)]]&lt;300,"L4","L5")))))</f>
        <v/>
      </c>
      <c r="S132" s="184" t="str">
        <f>IF(Table1[[#This Row],[Actual End Date]]="","",TEXT(Table1[[#This Row],[Actual End Date]],"mmm-yy"))</f>
        <v/>
      </c>
      <c r="T1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 s="185" t="str">
        <f>IFERROR((Table1[[#This Row],[Actual Effort (Hours)]]-Table1[[#This Row],[Estimated Effort (Hours)]])/Table1[[#This Row],[Estimated Effort (Hours)]],"")</f>
        <v/>
      </c>
      <c r="V132" s="149"/>
    </row>
    <row r="133" spans="2:22">
      <c r="B133" s="125"/>
      <c r="C133" s="102"/>
      <c r="D133" s="143"/>
      <c r="E133" s="123"/>
      <c r="F133" s="123"/>
      <c r="G133" s="129"/>
      <c r="H133" s="124"/>
      <c r="I133" s="124"/>
      <c r="J133" s="129"/>
      <c r="K133" s="124"/>
      <c r="L133" s="124"/>
      <c r="M133" s="129"/>
      <c r="N133" s="129" t="e">
        <f>Table1[[#This Row],[Estimated Effort (Hours)]]/NETWORKDAYS(Table1[[#This Row],[Planned Start Date]],Table1[[#This Row],[Planned End Date]])</f>
        <v>#DIV/0!</v>
      </c>
      <c r="O133" s="178">
        <f>NETWORKDAYS(Table1[[#This Row],[Planned Start Date]],Table1[[#This Row],[Planned End Date]])</f>
        <v>0</v>
      </c>
      <c r="P133" s="178">
        <f>NETWORKDAYS(Table1[[#This Row],[Planned Start Date]],$P$7)</f>
        <v>30643</v>
      </c>
      <c r="Q133" s="129"/>
      <c r="R133" s="183" t="str">
        <f>IF(Table1[[#This Row],[Actual Effort (Hours)]]="","",IF(Table1[[#This Row],[Estimated Effort (Hours)]]&lt;20,"L1",IF(Table1[[#This Row],[Estimated Effort (Hours)]]&lt;50,"L2",IF(Table1[[#This Row],[Estimated Effort (Hours)]]&lt;150,"L3",IF(Table1[[#This Row],[Estimated Effort (Hours)]]&lt;300,"L4","L5")))))</f>
        <v/>
      </c>
      <c r="S133" s="184" t="str">
        <f>IF(Table1[[#This Row],[Actual End Date]]="","",TEXT(Table1[[#This Row],[Actual End Date]],"mmm-yy"))</f>
        <v/>
      </c>
      <c r="T1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 s="185" t="str">
        <f>IFERROR((Table1[[#This Row],[Actual Effort (Hours)]]-Table1[[#This Row],[Estimated Effort (Hours)]])/Table1[[#This Row],[Estimated Effort (Hours)]],"")</f>
        <v/>
      </c>
      <c r="V133" s="149"/>
    </row>
    <row r="134" spans="2:22">
      <c r="B134" s="125"/>
      <c r="C134" s="102"/>
      <c r="D134" s="143"/>
      <c r="E134" s="123"/>
      <c r="F134" s="123"/>
      <c r="G134" s="129"/>
      <c r="H134" s="124"/>
      <c r="I134" s="124"/>
      <c r="J134" s="129"/>
      <c r="K134" s="124"/>
      <c r="L134" s="124"/>
      <c r="M134" s="129"/>
      <c r="N134" s="129" t="e">
        <f>Table1[[#This Row],[Estimated Effort (Hours)]]/NETWORKDAYS(Table1[[#This Row],[Planned Start Date]],Table1[[#This Row],[Planned End Date]])</f>
        <v>#DIV/0!</v>
      </c>
      <c r="O134" s="178">
        <f>NETWORKDAYS(Table1[[#This Row],[Planned Start Date]],Table1[[#This Row],[Planned End Date]])</f>
        <v>0</v>
      </c>
      <c r="P134" s="178">
        <f>NETWORKDAYS(Table1[[#This Row],[Planned Start Date]],$P$7)</f>
        <v>30643</v>
      </c>
      <c r="Q134" s="129"/>
      <c r="R134" s="183" t="str">
        <f>IF(Table1[[#This Row],[Actual Effort (Hours)]]="","",IF(Table1[[#This Row],[Estimated Effort (Hours)]]&lt;20,"L1",IF(Table1[[#This Row],[Estimated Effort (Hours)]]&lt;50,"L2",IF(Table1[[#This Row],[Estimated Effort (Hours)]]&lt;150,"L3",IF(Table1[[#This Row],[Estimated Effort (Hours)]]&lt;300,"L4","L5")))))</f>
        <v/>
      </c>
      <c r="S134" s="184" t="str">
        <f>IF(Table1[[#This Row],[Actual End Date]]="","",TEXT(Table1[[#This Row],[Actual End Date]],"mmm-yy"))</f>
        <v/>
      </c>
      <c r="T1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 s="185" t="str">
        <f>IFERROR((Table1[[#This Row],[Actual Effort (Hours)]]-Table1[[#This Row],[Estimated Effort (Hours)]])/Table1[[#This Row],[Estimated Effort (Hours)]],"")</f>
        <v/>
      </c>
      <c r="V134" s="149"/>
    </row>
    <row r="135" spans="2:22">
      <c r="B135" s="125"/>
      <c r="C135" s="102"/>
      <c r="D135" s="143"/>
      <c r="E135" s="123"/>
      <c r="F135" s="123"/>
      <c r="G135" s="129"/>
      <c r="H135" s="124"/>
      <c r="I135" s="124"/>
      <c r="J135" s="129"/>
      <c r="K135" s="124"/>
      <c r="L135" s="124"/>
      <c r="M135" s="129"/>
      <c r="N135" s="129" t="e">
        <f>Table1[[#This Row],[Estimated Effort (Hours)]]/NETWORKDAYS(Table1[[#This Row],[Planned Start Date]],Table1[[#This Row],[Planned End Date]])</f>
        <v>#DIV/0!</v>
      </c>
      <c r="O135" s="178">
        <f>NETWORKDAYS(Table1[[#This Row],[Planned Start Date]],Table1[[#This Row],[Planned End Date]])</f>
        <v>0</v>
      </c>
      <c r="P135" s="178">
        <f>NETWORKDAYS(Table1[[#This Row],[Planned Start Date]],$P$7)</f>
        <v>30643</v>
      </c>
      <c r="Q135" s="129"/>
      <c r="R135" s="183" t="str">
        <f>IF(Table1[[#This Row],[Actual Effort (Hours)]]="","",IF(Table1[[#This Row],[Estimated Effort (Hours)]]&lt;20,"L1",IF(Table1[[#This Row],[Estimated Effort (Hours)]]&lt;50,"L2",IF(Table1[[#This Row],[Estimated Effort (Hours)]]&lt;150,"L3",IF(Table1[[#This Row],[Estimated Effort (Hours)]]&lt;300,"L4","L5")))))</f>
        <v/>
      </c>
      <c r="S135" s="184" t="str">
        <f>IF(Table1[[#This Row],[Actual End Date]]="","",TEXT(Table1[[#This Row],[Actual End Date]],"mmm-yy"))</f>
        <v/>
      </c>
      <c r="T1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 s="185" t="str">
        <f>IFERROR((Table1[[#This Row],[Actual Effort (Hours)]]-Table1[[#This Row],[Estimated Effort (Hours)]])/Table1[[#This Row],[Estimated Effort (Hours)]],"")</f>
        <v/>
      </c>
      <c r="V135" s="149"/>
    </row>
    <row r="136" spans="2:22">
      <c r="B136" s="102"/>
      <c r="C136" s="102"/>
      <c r="D136" s="143"/>
      <c r="E136" s="123"/>
      <c r="F136" s="123"/>
      <c r="G136" s="129"/>
      <c r="H136" s="124"/>
      <c r="I136" s="124"/>
      <c r="J136" s="129"/>
      <c r="K136" s="124"/>
      <c r="L136" s="124"/>
      <c r="M136" s="129"/>
      <c r="N136" s="129" t="e">
        <f>Table1[[#This Row],[Estimated Effort (Hours)]]/NETWORKDAYS(Table1[[#This Row],[Planned Start Date]],Table1[[#This Row],[Planned End Date]])</f>
        <v>#DIV/0!</v>
      </c>
      <c r="O136" s="178">
        <f>NETWORKDAYS(Table1[[#This Row],[Planned Start Date]],Table1[[#This Row],[Planned End Date]])</f>
        <v>0</v>
      </c>
      <c r="P136" s="178">
        <f>NETWORKDAYS(Table1[[#This Row],[Planned Start Date]],$P$7)</f>
        <v>30643</v>
      </c>
      <c r="Q136" s="129"/>
      <c r="R136" s="183" t="str">
        <f>IF(Table1[[#This Row],[Actual Effort (Hours)]]="","",IF(Table1[[#This Row],[Estimated Effort (Hours)]]&lt;20,"L1",IF(Table1[[#This Row],[Estimated Effort (Hours)]]&lt;50,"L2",IF(Table1[[#This Row],[Estimated Effort (Hours)]]&lt;150,"L3",IF(Table1[[#This Row],[Estimated Effort (Hours)]]&lt;300,"L4","L5")))))</f>
        <v/>
      </c>
      <c r="S136" s="184" t="str">
        <f>IF(Table1[[#This Row],[Actual End Date]]="","",TEXT(Table1[[#This Row],[Actual End Date]],"mmm-yy"))</f>
        <v/>
      </c>
      <c r="T1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 s="185" t="str">
        <f>IFERROR((Table1[[#This Row],[Actual Effort (Hours)]]-Table1[[#This Row],[Estimated Effort (Hours)]])/Table1[[#This Row],[Estimated Effort (Hours)]],"")</f>
        <v/>
      </c>
      <c r="V136" s="149"/>
    </row>
    <row r="137" spans="2:22">
      <c r="B137" s="125"/>
      <c r="C137" s="102"/>
      <c r="D137" s="143"/>
      <c r="E137" s="123"/>
      <c r="F137" s="123"/>
      <c r="G137" s="129"/>
      <c r="H137" s="124"/>
      <c r="I137" s="124"/>
      <c r="J137" s="129"/>
      <c r="K137" s="124"/>
      <c r="L137" s="124"/>
      <c r="M137" s="129"/>
      <c r="N137" s="129" t="e">
        <f>Table1[[#This Row],[Estimated Effort (Hours)]]/NETWORKDAYS(Table1[[#This Row],[Planned Start Date]],Table1[[#This Row],[Planned End Date]])</f>
        <v>#DIV/0!</v>
      </c>
      <c r="O137" s="178">
        <f>NETWORKDAYS(Table1[[#This Row],[Planned Start Date]],Table1[[#This Row],[Planned End Date]])</f>
        <v>0</v>
      </c>
      <c r="P137" s="178">
        <f>NETWORKDAYS(Table1[[#This Row],[Planned Start Date]],$P$7)</f>
        <v>30643</v>
      </c>
      <c r="Q137" s="129"/>
      <c r="R137" s="183" t="str">
        <f>IF(Table1[[#This Row],[Actual Effort (Hours)]]="","",IF(Table1[[#This Row],[Estimated Effort (Hours)]]&lt;20,"L1",IF(Table1[[#This Row],[Estimated Effort (Hours)]]&lt;50,"L2",IF(Table1[[#This Row],[Estimated Effort (Hours)]]&lt;150,"L3",IF(Table1[[#This Row],[Estimated Effort (Hours)]]&lt;300,"L4","L5")))))</f>
        <v/>
      </c>
      <c r="S137" s="184" t="str">
        <f>IF(Table1[[#This Row],[Actual End Date]]="","",TEXT(Table1[[#This Row],[Actual End Date]],"mmm-yy"))</f>
        <v/>
      </c>
      <c r="T1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 s="185" t="str">
        <f>IFERROR((Table1[[#This Row],[Actual Effort (Hours)]]-Table1[[#This Row],[Estimated Effort (Hours)]])/Table1[[#This Row],[Estimated Effort (Hours)]],"")</f>
        <v/>
      </c>
      <c r="V137" s="149"/>
    </row>
    <row r="138" spans="2:22">
      <c r="B138" s="125"/>
      <c r="C138" s="102"/>
      <c r="D138" s="143"/>
      <c r="E138" s="123"/>
      <c r="F138" s="123"/>
      <c r="G138" s="129"/>
      <c r="H138" s="124"/>
      <c r="I138" s="124"/>
      <c r="J138" s="129"/>
      <c r="K138" s="124"/>
      <c r="L138" s="124"/>
      <c r="M138" s="129"/>
      <c r="N138" s="129" t="e">
        <f>Table1[[#This Row],[Estimated Effort (Hours)]]/NETWORKDAYS(Table1[[#This Row],[Planned Start Date]],Table1[[#This Row],[Planned End Date]])</f>
        <v>#DIV/0!</v>
      </c>
      <c r="O138" s="178">
        <f>NETWORKDAYS(Table1[[#This Row],[Planned Start Date]],Table1[[#This Row],[Planned End Date]])</f>
        <v>0</v>
      </c>
      <c r="P138" s="178">
        <f>NETWORKDAYS(Table1[[#This Row],[Planned Start Date]],$P$7)</f>
        <v>30643</v>
      </c>
      <c r="Q138" s="129"/>
      <c r="R138" s="183" t="str">
        <f>IF(Table1[[#This Row],[Actual Effort (Hours)]]="","",IF(Table1[[#This Row],[Estimated Effort (Hours)]]&lt;20,"L1",IF(Table1[[#This Row],[Estimated Effort (Hours)]]&lt;50,"L2",IF(Table1[[#This Row],[Estimated Effort (Hours)]]&lt;150,"L3",IF(Table1[[#This Row],[Estimated Effort (Hours)]]&lt;300,"L4","L5")))))</f>
        <v/>
      </c>
      <c r="S138" s="184" t="str">
        <f>IF(Table1[[#This Row],[Actual End Date]]="","",TEXT(Table1[[#This Row],[Actual End Date]],"mmm-yy"))</f>
        <v/>
      </c>
      <c r="T1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 s="185" t="str">
        <f>IFERROR((Table1[[#This Row],[Actual Effort (Hours)]]-Table1[[#This Row],[Estimated Effort (Hours)]])/Table1[[#This Row],[Estimated Effort (Hours)]],"")</f>
        <v/>
      </c>
      <c r="V138" s="149"/>
    </row>
    <row r="139" spans="2:22">
      <c r="B139" s="102"/>
      <c r="C139" s="102"/>
      <c r="D139" s="143"/>
      <c r="E139" s="123"/>
      <c r="F139" s="123"/>
      <c r="G139" s="129"/>
      <c r="H139" s="124"/>
      <c r="I139" s="124"/>
      <c r="J139" s="129"/>
      <c r="K139" s="124"/>
      <c r="L139" s="124"/>
      <c r="M139" s="129"/>
      <c r="N139" s="129" t="e">
        <f>Table1[[#This Row],[Estimated Effort (Hours)]]/NETWORKDAYS(Table1[[#This Row],[Planned Start Date]],Table1[[#This Row],[Planned End Date]])</f>
        <v>#DIV/0!</v>
      </c>
      <c r="O139" s="178">
        <f>NETWORKDAYS(Table1[[#This Row],[Planned Start Date]],Table1[[#This Row],[Planned End Date]])</f>
        <v>0</v>
      </c>
      <c r="P139" s="178">
        <f>NETWORKDAYS(Table1[[#This Row],[Planned Start Date]],$P$7)</f>
        <v>30643</v>
      </c>
      <c r="Q139" s="129"/>
      <c r="R139" s="183" t="str">
        <f>IF(Table1[[#This Row],[Actual Effort (Hours)]]="","",IF(Table1[[#This Row],[Estimated Effort (Hours)]]&lt;20,"L1",IF(Table1[[#This Row],[Estimated Effort (Hours)]]&lt;50,"L2",IF(Table1[[#This Row],[Estimated Effort (Hours)]]&lt;150,"L3",IF(Table1[[#This Row],[Estimated Effort (Hours)]]&lt;300,"L4","L5")))))</f>
        <v/>
      </c>
      <c r="S139" s="184" t="str">
        <f>IF(Table1[[#This Row],[Actual End Date]]="","",TEXT(Table1[[#This Row],[Actual End Date]],"mmm-yy"))</f>
        <v/>
      </c>
      <c r="T1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 s="185" t="str">
        <f>IFERROR((Table1[[#This Row],[Actual Effort (Hours)]]-Table1[[#This Row],[Estimated Effort (Hours)]])/Table1[[#This Row],[Estimated Effort (Hours)]],"")</f>
        <v/>
      </c>
      <c r="V139" s="149"/>
    </row>
    <row r="140" spans="2:22">
      <c r="B140" s="102"/>
      <c r="C140" s="102"/>
      <c r="D140" s="143"/>
      <c r="E140" s="123"/>
      <c r="F140" s="123"/>
      <c r="G140" s="129"/>
      <c r="H140" s="124"/>
      <c r="I140" s="124"/>
      <c r="J140" s="129"/>
      <c r="K140" s="124"/>
      <c r="L140" s="124"/>
      <c r="M140" s="129"/>
      <c r="N140" s="129" t="e">
        <f>Table1[[#This Row],[Estimated Effort (Hours)]]/NETWORKDAYS(Table1[[#This Row],[Planned Start Date]],Table1[[#This Row],[Planned End Date]])</f>
        <v>#DIV/0!</v>
      </c>
      <c r="O140" s="178">
        <f>NETWORKDAYS(Table1[[#This Row],[Planned Start Date]],Table1[[#This Row],[Planned End Date]])</f>
        <v>0</v>
      </c>
      <c r="P140" s="178">
        <f>NETWORKDAYS(Table1[[#This Row],[Planned Start Date]],$P$7)</f>
        <v>30643</v>
      </c>
      <c r="Q140" s="129"/>
      <c r="R140" s="183" t="str">
        <f>IF(Table1[[#This Row],[Actual Effort (Hours)]]="","",IF(Table1[[#This Row],[Estimated Effort (Hours)]]&lt;20,"L1",IF(Table1[[#This Row],[Estimated Effort (Hours)]]&lt;50,"L2",IF(Table1[[#This Row],[Estimated Effort (Hours)]]&lt;150,"L3",IF(Table1[[#This Row],[Estimated Effort (Hours)]]&lt;300,"L4","L5")))))</f>
        <v/>
      </c>
      <c r="S140" s="184" t="str">
        <f>IF(Table1[[#This Row],[Actual End Date]]="","",TEXT(Table1[[#This Row],[Actual End Date]],"mmm-yy"))</f>
        <v/>
      </c>
      <c r="T1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 s="185" t="str">
        <f>IFERROR((Table1[[#This Row],[Actual Effort (Hours)]]-Table1[[#This Row],[Estimated Effort (Hours)]])/Table1[[#This Row],[Estimated Effort (Hours)]],"")</f>
        <v/>
      </c>
      <c r="V140" s="149"/>
    </row>
    <row r="141" spans="2:22">
      <c r="B141" s="102"/>
      <c r="C141" s="102"/>
      <c r="D141" s="143"/>
      <c r="E141" s="123"/>
      <c r="F141" s="123"/>
      <c r="G141" s="129"/>
      <c r="H141" s="124"/>
      <c r="I141" s="124"/>
      <c r="J141" s="129"/>
      <c r="K141" s="124"/>
      <c r="L141" s="124"/>
      <c r="M141" s="129"/>
      <c r="N141" s="129" t="e">
        <f>Table1[[#This Row],[Estimated Effort (Hours)]]/NETWORKDAYS(Table1[[#This Row],[Planned Start Date]],Table1[[#This Row],[Planned End Date]])</f>
        <v>#DIV/0!</v>
      </c>
      <c r="O141" s="178">
        <f>NETWORKDAYS(Table1[[#This Row],[Planned Start Date]],Table1[[#This Row],[Planned End Date]])</f>
        <v>0</v>
      </c>
      <c r="P141" s="178">
        <f>NETWORKDAYS(Table1[[#This Row],[Planned Start Date]],$P$7)</f>
        <v>30643</v>
      </c>
      <c r="Q141" s="129"/>
      <c r="R141" s="183" t="str">
        <f>IF(Table1[[#This Row],[Actual Effort (Hours)]]="","",IF(Table1[[#This Row],[Estimated Effort (Hours)]]&lt;20,"L1",IF(Table1[[#This Row],[Estimated Effort (Hours)]]&lt;50,"L2",IF(Table1[[#This Row],[Estimated Effort (Hours)]]&lt;150,"L3",IF(Table1[[#This Row],[Estimated Effort (Hours)]]&lt;300,"L4","L5")))))</f>
        <v/>
      </c>
      <c r="S141" s="184" t="str">
        <f>IF(Table1[[#This Row],[Actual End Date]]="","",TEXT(Table1[[#This Row],[Actual End Date]],"mmm-yy"))</f>
        <v/>
      </c>
      <c r="T1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 s="185" t="str">
        <f>IFERROR((Table1[[#This Row],[Actual Effort (Hours)]]-Table1[[#This Row],[Estimated Effort (Hours)]])/Table1[[#This Row],[Estimated Effort (Hours)]],"")</f>
        <v/>
      </c>
      <c r="V141" s="149"/>
    </row>
    <row r="142" spans="2:22">
      <c r="B142" s="102"/>
      <c r="C142" s="102"/>
      <c r="D142" s="143"/>
      <c r="E142" s="123"/>
      <c r="F142" s="123"/>
      <c r="G142" s="129"/>
      <c r="H142" s="124"/>
      <c r="I142" s="124"/>
      <c r="J142" s="129"/>
      <c r="K142" s="124"/>
      <c r="L142" s="124"/>
      <c r="M142" s="129"/>
      <c r="N142" s="129" t="e">
        <f>Table1[[#This Row],[Estimated Effort (Hours)]]/NETWORKDAYS(Table1[[#This Row],[Planned Start Date]],Table1[[#This Row],[Planned End Date]])</f>
        <v>#DIV/0!</v>
      </c>
      <c r="O142" s="178">
        <f>NETWORKDAYS(Table1[[#This Row],[Planned Start Date]],Table1[[#This Row],[Planned End Date]])</f>
        <v>0</v>
      </c>
      <c r="P142" s="178">
        <f>NETWORKDAYS(Table1[[#This Row],[Planned Start Date]],$P$7)</f>
        <v>30643</v>
      </c>
      <c r="Q142" s="129"/>
      <c r="R142" s="183" t="str">
        <f>IF(Table1[[#This Row],[Actual Effort (Hours)]]="","",IF(Table1[[#This Row],[Estimated Effort (Hours)]]&lt;20,"L1",IF(Table1[[#This Row],[Estimated Effort (Hours)]]&lt;50,"L2",IF(Table1[[#This Row],[Estimated Effort (Hours)]]&lt;150,"L3",IF(Table1[[#This Row],[Estimated Effort (Hours)]]&lt;300,"L4","L5")))))</f>
        <v/>
      </c>
      <c r="S142" s="184" t="str">
        <f>IF(Table1[[#This Row],[Actual End Date]]="","",TEXT(Table1[[#This Row],[Actual End Date]],"mmm-yy"))</f>
        <v/>
      </c>
      <c r="T1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 s="185" t="str">
        <f>IFERROR((Table1[[#This Row],[Actual Effort (Hours)]]-Table1[[#This Row],[Estimated Effort (Hours)]])/Table1[[#This Row],[Estimated Effort (Hours)]],"")</f>
        <v/>
      </c>
      <c r="V142" s="149"/>
    </row>
    <row r="143" spans="2:22">
      <c r="B143" s="102"/>
      <c r="C143" s="102"/>
      <c r="D143" s="143"/>
      <c r="E143" s="123"/>
      <c r="F143" s="123"/>
      <c r="G143" s="129"/>
      <c r="H143" s="124"/>
      <c r="I143" s="124"/>
      <c r="J143" s="129"/>
      <c r="K143" s="124"/>
      <c r="L143" s="124"/>
      <c r="M143" s="129"/>
      <c r="N143" s="129" t="e">
        <f>Table1[[#This Row],[Estimated Effort (Hours)]]/NETWORKDAYS(Table1[[#This Row],[Planned Start Date]],Table1[[#This Row],[Planned End Date]])</f>
        <v>#DIV/0!</v>
      </c>
      <c r="O143" s="178">
        <f>NETWORKDAYS(Table1[[#This Row],[Planned Start Date]],Table1[[#This Row],[Planned End Date]])</f>
        <v>0</v>
      </c>
      <c r="P143" s="178">
        <f>NETWORKDAYS(Table1[[#This Row],[Planned Start Date]],$P$7)</f>
        <v>30643</v>
      </c>
      <c r="Q143" s="129"/>
      <c r="R143" s="183" t="str">
        <f>IF(Table1[[#This Row],[Actual Effort (Hours)]]="","",IF(Table1[[#This Row],[Estimated Effort (Hours)]]&lt;20,"L1",IF(Table1[[#This Row],[Estimated Effort (Hours)]]&lt;50,"L2",IF(Table1[[#This Row],[Estimated Effort (Hours)]]&lt;150,"L3",IF(Table1[[#This Row],[Estimated Effort (Hours)]]&lt;300,"L4","L5")))))</f>
        <v/>
      </c>
      <c r="S143" s="184" t="str">
        <f>IF(Table1[[#This Row],[Actual End Date]]="","",TEXT(Table1[[#This Row],[Actual End Date]],"mmm-yy"))</f>
        <v/>
      </c>
      <c r="T1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 s="185" t="str">
        <f>IFERROR((Table1[[#This Row],[Actual Effort (Hours)]]-Table1[[#This Row],[Estimated Effort (Hours)]])/Table1[[#This Row],[Estimated Effort (Hours)]],"")</f>
        <v/>
      </c>
      <c r="V143" s="149"/>
    </row>
    <row r="144" spans="2:22">
      <c r="B144" s="64"/>
      <c r="C144" s="123"/>
      <c r="D144" s="143"/>
      <c r="E144" s="123"/>
      <c r="F144" s="123"/>
      <c r="G144" s="129"/>
      <c r="H144" s="124"/>
      <c r="I144" s="124"/>
      <c r="J144" s="129"/>
      <c r="K144" s="124"/>
      <c r="L144" s="124"/>
      <c r="M144" s="129"/>
      <c r="N144" s="129" t="e">
        <f>Table1[[#This Row],[Estimated Effort (Hours)]]/NETWORKDAYS(Table1[[#This Row],[Planned Start Date]],Table1[[#This Row],[Planned End Date]])</f>
        <v>#DIV/0!</v>
      </c>
      <c r="O144" s="178">
        <f>NETWORKDAYS(Table1[[#This Row],[Planned Start Date]],Table1[[#This Row],[Planned End Date]])</f>
        <v>0</v>
      </c>
      <c r="P144" s="178">
        <f>NETWORKDAYS(Table1[[#This Row],[Planned Start Date]],$P$7)</f>
        <v>30643</v>
      </c>
      <c r="Q144" s="129"/>
      <c r="R144" s="183" t="str">
        <f>IF(Table1[[#This Row],[Actual Effort (Hours)]]="","",IF(Table1[[#This Row],[Estimated Effort (Hours)]]&lt;20,"L1",IF(Table1[[#This Row],[Estimated Effort (Hours)]]&lt;50,"L2",IF(Table1[[#This Row],[Estimated Effort (Hours)]]&lt;150,"L3",IF(Table1[[#This Row],[Estimated Effort (Hours)]]&lt;300,"L4","L5")))))</f>
        <v/>
      </c>
      <c r="S144" s="184" t="str">
        <f>IF(Table1[[#This Row],[Actual End Date]]="","",TEXT(Table1[[#This Row],[Actual End Date]],"mmm-yy"))</f>
        <v/>
      </c>
      <c r="T1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 s="185" t="str">
        <f>IFERROR((Table1[[#This Row],[Actual Effort (Hours)]]-Table1[[#This Row],[Estimated Effort (Hours)]])/Table1[[#This Row],[Estimated Effort (Hours)]],"")</f>
        <v/>
      </c>
      <c r="V144" s="149"/>
    </row>
    <row r="145" spans="2:22">
      <c r="B145" s="64"/>
      <c r="C145" s="123"/>
      <c r="D145" s="143"/>
      <c r="E145" s="123"/>
      <c r="F145" s="123"/>
      <c r="G145" s="129"/>
      <c r="H145" s="124"/>
      <c r="I145" s="124"/>
      <c r="J145" s="129"/>
      <c r="K145" s="124"/>
      <c r="L145" s="124"/>
      <c r="M145" s="129"/>
      <c r="N145" s="129" t="e">
        <f>Table1[[#This Row],[Estimated Effort (Hours)]]/NETWORKDAYS(Table1[[#This Row],[Planned Start Date]],Table1[[#This Row],[Planned End Date]])</f>
        <v>#DIV/0!</v>
      </c>
      <c r="O145" s="178">
        <f>NETWORKDAYS(Table1[[#This Row],[Planned Start Date]],Table1[[#This Row],[Planned End Date]])</f>
        <v>0</v>
      </c>
      <c r="P145" s="178">
        <f>NETWORKDAYS(Table1[[#This Row],[Planned Start Date]],$P$7)</f>
        <v>30643</v>
      </c>
      <c r="Q145" s="129"/>
      <c r="R145" s="183" t="str">
        <f>IF(Table1[[#This Row],[Actual Effort (Hours)]]="","",IF(Table1[[#This Row],[Estimated Effort (Hours)]]&lt;20,"L1",IF(Table1[[#This Row],[Estimated Effort (Hours)]]&lt;50,"L2",IF(Table1[[#This Row],[Estimated Effort (Hours)]]&lt;150,"L3",IF(Table1[[#This Row],[Estimated Effort (Hours)]]&lt;300,"L4","L5")))))</f>
        <v/>
      </c>
      <c r="S145" s="184" t="str">
        <f>IF(Table1[[#This Row],[Actual End Date]]="","",TEXT(Table1[[#This Row],[Actual End Date]],"mmm-yy"))</f>
        <v/>
      </c>
      <c r="T1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 s="185" t="str">
        <f>IFERROR((Table1[[#This Row],[Actual Effort (Hours)]]-Table1[[#This Row],[Estimated Effort (Hours)]])/Table1[[#This Row],[Estimated Effort (Hours)]],"")</f>
        <v/>
      </c>
      <c r="V145" s="149"/>
    </row>
    <row r="146" spans="2:22">
      <c r="B146" s="64"/>
      <c r="C146" s="123"/>
      <c r="D146" s="143"/>
      <c r="E146" s="123"/>
      <c r="F146" s="123"/>
      <c r="G146" s="129"/>
      <c r="H146" s="124"/>
      <c r="I146" s="124"/>
      <c r="J146" s="129"/>
      <c r="K146" s="124"/>
      <c r="L146" s="124"/>
      <c r="M146" s="129"/>
      <c r="N146" s="129" t="e">
        <f>Table1[[#This Row],[Estimated Effort (Hours)]]/NETWORKDAYS(Table1[[#This Row],[Planned Start Date]],Table1[[#This Row],[Planned End Date]])</f>
        <v>#DIV/0!</v>
      </c>
      <c r="O146" s="178">
        <f>NETWORKDAYS(Table1[[#This Row],[Planned Start Date]],Table1[[#This Row],[Planned End Date]])</f>
        <v>0</v>
      </c>
      <c r="P146" s="178">
        <f>NETWORKDAYS(Table1[[#This Row],[Planned Start Date]],$P$7)</f>
        <v>30643</v>
      </c>
      <c r="Q146" s="129"/>
      <c r="R146" s="183" t="str">
        <f>IF(Table1[[#This Row],[Actual Effort (Hours)]]="","",IF(Table1[[#This Row],[Estimated Effort (Hours)]]&lt;20,"L1",IF(Table1[[#This Row],[Estimated Effort (Hours)]]&lt;50,"L2",IF(Table1[[#This Row],[Estimated Effort (Hours)]]&lt;150,"L3",IF(Table1[[#This Row],[Estimated Effort (Hours)]]&lt;300,"L4","L5")))))</f>
        <v/>
      </c>
      <c r="S146" s="184" t="str">
        <f>IF(Table1[[#This Row],[Actual End Date]]="","",TEXT(Table1[[#This Row],[Actual End Date]],"mmm-yy"))</f>
        <v/>
      </c>
      <c r="T1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 s="185" t="str">
        <f>IFERROR((Table1[[#This Row],[Actual Effort (Hours)]]-Table1[[#This Row],[Estimated Effort (Hours)]])/Table1[[#This Row],[Estimated Effort (Hours)]],"")</f>
        <v/>
      </c>
      <c r="V146" s="149"/>
    </row>
    <row r="147" spans="2:22">
      <c r="B147" s="64"/>
      <c r="C147" s="123"/>
      <c r="D147" s="143"/>
      <c r="E147" s="123"/>
      <c r="F147" s="123"/>
      <c r="G147" s="129"/>
      <c r="H147" s="124"/>
      <c r="I147" s="124"/>
      <c r="J147" s="129"/>
      <c r="K147" s="124"/>
      <c r="L147" s="124"/>
      <c r="M147" s="129"/>
      <c r="N147" s="129" t="e">
        <f>Table1[[#This Row],[Estimated Effort (Hours)]]/NETWORKDAYS(Table1[[#This Row],[Planned Start Date]],Table1[[#This Row],[Planned End Date]])</f>
        <v>#DIV/0!</v>
      </c>
      <c r="O147" s="178">
        <f>NETWORKDAYS(Table1[[#This Row],[Planned Start Date]],Table1[[#This Row],[Planned End Date]])</f>
        <v>0</v>
      </c>
      <c r="P147" s="178">
        <f>NETWORKDAYS(Table1[[#This Row],[Planned Start Date]],$P$7)</f>
        <v>30643</v>
      </c>
      <c r="Q147" s="129"/>
      <c r="R147" s="183" t="str">
        <f>IF(Table1[[#This Row],[Actual Effort (Hours)]]="","",IF(Table1[[#This Row],[Estimated Effort (Hours)]]&lt;20,"L1",IF(Table1[[#This Row],[Estimated Effort (Hours)]]&lt;50,"L2",IF(Table1[[#This Row],[Estimated Effort (Hours)]]&lt;150,"L3",IF(Table1[[#This Row],[Estimated Effort (Hours)]]&lt;300,"L4","L5")))))</f>
        <v/>
      </c>
      <c r="S147" s="184" t="str">
        <f>IF(Table1[[#This Row],[Actual End Date]]="","",TEXT(Table1[[#This Row],[Actual End Date]],"mmm-yy"))</f>
        <v/>
      </c>
      <c r="T1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 s="185" t="str">
        <f>IFERROR((Table1[[#This Row],[Actual Effort (Hours)]]-Table1[[#This Row],[Estimated Effort (Hours)]])/Table1[[#This Row],[Estimated Effort (Hours)]],"")</f>
        <v/>
      </c>
      <c r="V147" s="149"/>
    </row>
    <row r="148" spans="2:22">
      <c r="B148" s="64"/>
      <c r="C148" s="123"/>
      <c r="D148" s="143"/>
      <c r="E148" s="123"/>
      <c r="F148" s="123"/>
      <c r="G148" s="129"/>
      <c r="H148" s="124"/>
      <c r="I148" s="124"/>
      <c r="J148" s="129"/>
      <c r="K148" s="124"/>
      <c r="L148" s="124"/>
      <c r="M148" s="129"/>
      <c r="N148" s="129" t="e">
        <f>Table1[[#This Row],[Estimated Effort (Hours)]]/NETWORKDAYS(Table1[[#This Row],[Planned Start Date]],Table1[[#This Row],[Planned End Date]])</f>
        <v>#DIV/0!</v>
      </c>
      <c r="O148" s="178">
        <f>NETWORKDAYS(Table1[[#This Row],[Planned Start Date]],Table1[[#This Row],[Planned End Date]])</f>
        <v>0</v>
      </c>
      <c r="P148" s="178">
        <f>NETWORKDAYS(Table1[[#This Row],[Planned Start Date]],$P$7)</f>
        <v>30643</v>
      </c>
      <c r="Q148" s="129"/>
      <c r="R148" s="183" t="str">
        <f>IF(Table1[[#This Row],[Actual Effort (Hours)]]="","",IF(Table1[[#This Row],[Estimated Effort (Hours)]]&lt;20,"L1",IF(Table1[[#This Row],[Estimated Effort (Hours)]]&lt;50,"L2",IF(Table1[[#This Row],[Estimated Effort (Hours)]]&lt;150,"L3",IF(Table1[[#This Row],[Estimated Effort (Hours)]]&lt;300,"L4","L5")))))</f>
        <v/>
      </c>
      <c r="S148" s="184" t="str">
        <f>IF(Table1[[#This Row],[Actual End Date]]="","",TEXT(Table1[[#This Row],[Actual End Date]],"mmm-yy"))</f>
        <v/>
      </c>
      <c r="T1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 s="185" t="str">
        <f>IFERROR((Table1[[#This Row],[Actual Effort (Hours)]]-Table1[[#This Row],[Estimated Effort (Hours)]])/Table1[[#This Row],[Estimated Effort (Hours)]],"")</f>
        <v/>
      </c>
      <c r="V148" s="149"/>
    </row>
    <row r="149" spans="2:22">
      <c r="B149" s="64"/>
      <c r="C149" s="123"/>
      <c r="D149" s="143"/>
      <c r="E149" s="123"/>
      <c r="F149" s="123"/>
      <c r="G149" s="129"/>
      <c r="H149" s="124"/>
      <c r="I149" s="124"/>
      <c r="J149" s="129"/>
      <c r="K149" s="124"/>
      <c r="L149" s="124"/>
      <c r="M149" s="129"/>
      <c r="N149" s="129" t="e">
        <f>Table1[[#This Row],[Estimated Effort (Hours)]]/NETWORKDAYS(Table1[[#This Row],[Planned Start Date]],Table1[[#This Row],[Planned End Date]])</f>
        <v>#DIV/0!</v>
      </c>
      <c r="O149" s="178">
        <f>NETWORKDAYS(Table1[[#This Row],[Planned Start Date]],Table1[[#This Row],[Planned End Date]])</f>
        <v>0</v>
      </c>
      <c r="P149" s="178">
        <f>NETWORKDAYS(Table1[[#This Row],[Planned Start Date]],$P$7)</f>
        <v>30643</v>
      </c>
      <c r="Q149" s="129"/>
      <c r="R149" s="183" t="str">
        <f>IF(Table1[[#This Row],[Actual Effort (Hours)]]="","",IF(Table1[[#This Row],[Estimated Effort (Hours)]]&lt;20,"L1",IF(Table1[[#This Row],[Estimated Effort (Hours)]]&lt;50,"L2",IF(Table1[[#This Row],[Estimated Effort (Hours)]]&lt;150,"L3",IF(Table1[[#This Row],[Estimated Effort (Hours)]]&lt;300,"L4","L5")))))</f>
        <v/>
      </c>
      <c r="S149" s="184" t="str">
        <f>IF(Table1[[#This Row],[Actual End Date]]="","",TEXT(Table1[[#This Row],[Actual End Date]],"mmm-yy"))</f>
        <v/>
      </c>
      <c r="T1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 s="185" t="str">
        <f>IFERROR((Table1[[#This Row],[Actual Effort (Hours)]]-Table1[[#This Row],[Estimated Effort (Hours)]])/Table1[[#This Row],[Estimated Effort (Hours)]],"")</f>
        <v/>
      </c>
      <c r="V149" s="149"/>
    </row>
    <row r="150" spans="2:22">
      <c r="B150" s="64"/>
      <c r="C150" s="123"/>
      <c r="D150" s="143"/>
      <c r="E150" s="123"/>
      <c r="F150" s="123"/>
      <c r="G150" s="129"/>
      <c r="H150" s="124"/>
      <c r="I150" s="124"/>
      <c r="J150" s="129"/>
      <c r="K150" s="124"/>
      <c r="L150" s="124"/>
      <c r="M150" s="129"/>
      <c r="N150" s="129" t="e">
        <f>Table1[[#This Row],[Estimated Effort (Hours)]]/NETWORKDAYS(Table1[[#This Row],[Planned Start Date]],Table1[[#This Row],[Planned End Date]])</f>
        <v>#DIV/0!</v>
      </c>
      <c r="O150" s="178">
        <f>NETWORKDAYS(Table1[[#This Row],[Planned Start Date]],Table1[[#This Row],[Planned End Date]])</f>
        <v>0</v>
      </c>
      <c r="P150" s="178">
        <f>NETWORKDAYS(Table1[[#This Row],[Planned Start Date]],$P$7)</f>
        <v>30643</v>
      </c>
      <c r="Q150" s="129"/>
      <c r="R150" s="183" t="str">
        <f>IF(Table1[[#This Row],[Actual Effort (Hours)]]="","",IF(Table1[[#This Row],[Estimated Effort (Hours)]]&lt;20,"L1",IF(Table1[[#This Row],[Estimated Effort (Hours)]]&lt;50,"L2",IF(Table1[[#This Row],[Estimated Effort (Hours)]]&lt;150,"L3",IF(Table1[[#This Row],[Estimated Effort (Hours)]]&lt;300,"L4","L5")))))</f>
        <v/>
      </c>
      <c r="S150" s="184" t="str">
        <f>IF(Table1[[#This Row],[Actual End Date]]="","",TEXT(Table1[[#This Row],[Actual End Date]],"mmm-yy"))</f>
        <v/>
      </c>
      <c r="T1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 s="185" t="str">
        <f>IFERROR((Table1[[#This Row],[Actual Effort (Hours)]]-Table1[[#This Row],[Estimated Effort (Hours)]])/Table1[[#This Row],[Estimated Effort (Hours)]],"")</f>
        <v/>
      </c>
      <c r="V150" s="149"/>
    </row>
    <row r="151" spans="2:22">
      <c r="B151" s="64"/>
      <c r="C151" s="123"/>
      <c r="D151" s="143"/>
      <c r="E151" s="123"/>
      <c r="F151" s="123"/>
      <c r="G151" s="129"/>
      <c r="H151" s="124"/>
      <c r="I151" s="124"/>
      <c r="J151" s="129"/>
      <c r="K151" s="124"/>
      <c r="L151" s="124"/>
      <c r="M151" s="129"/>
      <c r="N151" s="129" t="e">
        <f>Table1[[#This Row],[Estimated Effort (Hours)]]/NETWORKDAYS(Table1[[#This Row],[Planned Start Date]],Table1[[#This Row],[Planned End Date]])</f>
        <v>#DIV/0!</v>
      </c>
      <c r="O151" s="178">
        <f>NETWORKDAYS(Table1[[#This Row],[Planned Start Date]],Table1[[#This Row],[Planned End Date]])</f>
        <v>0</v>
      </c>
      <c r="P151" s="178">
        <f>NETWORKDAYS(Table1[[#This Row],[Planned Start Date]],$P$7)</f>
        <v>30643</v>
      </c>
      <c r="Q151" s="129"/>
      <c r="R151" s="183" t="str">
        <f>IF(Table1[[#This Row],[Actual Effort (Hours)]]="","",IF(Table1[[#This Row],[Estimated Effort (Hours)]]&lt;20,"L1",IF(Table1[[#This Row],[Estimated Effort (Hours)]]&lt;50,"L2",IF(Table1[[#This Row],[Estimated Effort (Hours)]]&lt;150,"L3",IF(Table1[[#This Row],[Estimated Effort (Hours)]]&lt;300,"L4","L5")))))</f>
        <v/>
      </c>
      <c r="S151" s="184" t="str">
        <f>IF(Table1[[#This Row],[Actual End Date]]="","",TEXT(Table1[[#This Row],[Actual End Date]],"mmm-yy"))</f>
        <v/>
      </c>
      <c r="T1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 s="185" t="str">
        <f>IFERROR((Table1[[#This Row],[Actual Effort (Hours)]]-Table1[[#This Row],[Estimated Effort (Hours)]])/Table1[[#This Row],[Estimated Effort (Hours)]],"")</f>
        <v/>
      </c>
      <c r="V151" s="149"/>
    </row>
    <row r="152" spans="2:22">
      <c r="B152" s="64"/>
      <c r="C152" s="123"/>
      <c r="D152" s="143"/>
      <c r="E152" s="123"/>
      <c r="F152" s="123"/>
      <c r="G152" s="129"/>
      <c r="H152" s="124"/>
      <c r="I152" s="124"/>
      <c r="J152" s="129"/>
      <c r="K152" s="124"/>
      <c r="L152" s="124"/>
      <c r="M152" s="129"/>
      <c r="N152" s="129" t="e">
        <f>Table1[[#This Row],[Estimated Effort (Hours)]]/NETWORKDAYS(Table1[[#This Row],[Planned Start Date]],Table1[[#This Row],[Planned End Date]])</f>
        <v>#DIV/0!</v>
      </c>
      <c r="O152" s="178">
        <f>NETWORKDAYS(Table1[[#This Row],[Planned Start Date]],Table1[[#This Row],[Planned End Date]])</f>
        <v>0</v>
      </c>
      <c r="P152" s="178">
        <f>NETWORKDAYS(Table1[[#This Row],[Planned Start Date]],$P$7)</f>
        <v>30643</v>
      </c>
      <c r="Q152" s="129"/>
      <c r="R152" s="183" t="str">
        <f>IF(Table1[[#This Row],[Actual Effort (Hours)]]="","",IF(Table1[[#This Row],[Estimated Effort (Hours)]]&lt;20,"L1",IF(Table1[[#This Row],[Estimated Effort (Hours)]]&lt;50,"L2",IF(Table1[[#This Row],[Estimated Effort (Hours)]]&lt;150,"L3",IF(Table1[[#This Row],[Estimated Effort (Hours)]]&lt;300,"L4","L5")))))</f>
        <v/>
      </c>
      <c r="S152" s="184" t="str">
        <f>IF(Table1[[#This Row],[Actual End Date]]="","",TEXT(Table1[[#This Row],[Actual End Date]],"mmm-yy"))</f>
        <v/>
      </c>
      <c r="T1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 s="185" t="str">
        <f>IFERROR((Table1[[#This Row],[Actual Effort (Hours)]]-Table1[[#This Row],[Estimated Effort (Hours)]])/Table1[[#This Row],[Estimated Effort (Hours)]],"")</f>
        <v/>
      </c>
      <c r="V152" s="149"/>
    </row>
    <row r="153" spans="2:22">
      <c r="B153" s="64"/>
      <c r="C153" s="123"/>
      <c r="D153" s="143"/>
      <c r="E153" s="123"/>
      <c r="F153" s="123"/>
      <c r="G153" s="129"/>
      <c r="H153" s="124"/>
      <c r="I153" s="124"/>
      <c r="J153" s="129"/>
      <c r="K153" s="124"/>
      <c r="L153" s="124"/>
      <c r="M153" s="129"/>
      <c r="N153" s="129" t="e">
        <f>Table1[[#This Row],[Estimated Effort (Hours)]]/NETWORKDAYS(Table1[[#This Row],[Planned Start Date]],Table1[[#This Row],[Planned End Date]])</f>
        <v>#DIV/0!</v>
      </c>
      <c r="O153" s="178">
        <f>NETWORKDAYS(Table1[[#This Row],[Planned Start Date]],Table1[[#This Row],[Planned End Date]])</f>
        <v>0</v>
      </c>
      <c r="P153" s="178">
        <f>NETWORKDAYS(Table1[[#This Row],[Planned Start Date]],$P$7)</f>
        <v>30643</v>
      </c>
      <c r="Q153" s="129"/>
      <c r="R153" s="183" t="str">
        <f>IF(Table1[[#This Row],[Actual Effort (Hours)]]="","",IF(Table1[[#This Row],[Estimated Effort (Hours)]]&lt;20,"L1",IF(Table1[[#This Row],[Estimated Effort (Hours)]]&lt;50,"L2",IF(Table1[[#This Row],[Estimated Effort (Hours)]]&lt;150,"L3",IF(Table1[[#This Row],[Estimated Effort (Hours)]]&lt;300,"L4","L5")))))</f>
        <v/>
      </c>
      <c r="S153" s="184" t="str">
        <f>IF(Table1[[#This Row],[Actual End Date]]="","",TEXT(Table1[[#This Row],[Actual End Date]],"mmm-yy"))</f>
        <v/>
      </c>
      <c r="T1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 s="185" t="str">
        <f>IFERROR((Table1[[#This Row],[Actual Effort (Hours)]]-Table1[[#This Row],[Estimated Effort (Hours)]])/Table1[[#This Row],[Estimated Effort (Hours)]],"")</f>
        <v/>
      </c>
      <c r="V153" s="149"/>
    </row>
    <row r="154" spans="2:22">
      <c r="B154" s="64"/>
      <c r="C154" s="123"/>
      <c r="D154" s="143"/>
      <c r="E154" s="123"/>
      <c r="F154" s="123"/>
      <c r="G154" s="129"/>
      <c r="H154" s="124"/>
      <c r="I154" s="124"/>
      <c r="J154" s="129"/>
      <c r="K154" s="124"/>
      <c r="L154" s="124"/>
      <c r="M154" s="129"/>
      <c r="N154" s="129" t="e">
        <f>Table1[[#This Row],[Estimated Effort (Hours)]]/NETWORKDAYS(Table1[[#This Row],[Planned Start Date]],Table1[[#This Row],[Planned End Date]])</f>
        <v>#DIV/0!</v>
      </c>
      <c r="O154" s="178">
        <f>NETWORKDAYS(Table1[[#This Row],[Planned Start Date]],Table1[[#This Row],[Planned End Date]])</f>
        <v>0</v>
      </c>
      <c r="P154" s="178">
        <f>NETWORKDAYS(Table1[[#This Row],[Planned Start Date]],$P$7)</f>
        <v>30643</v>
      </c>
      <c r="Q154" s="129"/>
      <c r="R154" s="183" t="str">
        <f>IF(Table1[[#This Row],[Actual Effort (Hours)]]="","",IF(Table1[[#This Row],[Estimated Effort (Hours)]]&lt;20,"L1",IF(Table1[[#This Row],[Estimated Effort (Hours)]]&lt;50,"L2",IF(Table1[[#This Row],[Estimated Effort (Hours)]]&lt;150,"L3",IF(Table1[[#This Row],[Estimated Effort (Hours)]]&lt;300,"L4","L5")))))</f>
        <v/>
      </c>
      <c r="S154" s="184" t="str">
        <f>IF(Table1[[#This Row],[Actual End Date]]="","",TEXT(Table1[[#This Row],[Actual End Date]],"mmm-yy"))</f>
        <v/>
      </c>
      <c r="T1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 s="185" t="str">
        <f>IFERROR((Table1[[#This Row],[Actual Effort (Hours)]]-Table1[[#This Row],[Estimated Effort (Hours)]])/Table1[[#This Row],[Estimated Effort (Hours)]],"")</f>
        <v/>
      </c>
      <c r="V154" s="149"/>
    </row>
    <row r="155" spans="2:22">
      <c r="B155" s="64"/>
      <c r="C155" s="123"/>
      <c r="D155" s="143"/>
      <c r="E155" s="123"/>
      <c r="F155" s="123"/>
      <c r="G155" s="129"/>
      <c r="H155" s="124"/>
      <c r="I155" s="124"/>
      <c r="J155" s="129"/>
      <c r="K155" s="124"/>
      <c r="L155" s="124"/>
      <c r="M155" s="129"/>
      <c r="N155" s="129" t="e">
        <f>Table1[[#This Row],[Estimated Effort (Hours)]]/NETWORKDAYS(Table1[[#This Row],[Planned Start Date]],Table1[[#This Row],[Planned End Date]])</f>
        <v>#DIV/0!</v>
      </c>
      <c r="O155" s="178">
        <f>NETWORKDAYS(Table1[[#This Row],[Planned Start Date]],Table1[[#This Row],[Planned End Date]])</f>
        <v>0</v>
      </c>
      <c r="P155" s="178">
        <f>NETWORKDAYS(Table1[[#This Row],[Planned Start Date]],$P$7)</f>
        <v>30643</v>
      </c>
      <c r="Q155" s="129"/>
      <c r="R155" s="183" t="str">
        <f>IF(Table1[[#This Row],[Actual Effort (Hours)]]="","",IF(Table1[[#This Row],[Estimated Effort (Hours)]]&lt;20,"L1",IF(Table1[[#This Row],[Estimated Effort (Hours)]]&lt;50,"L2",IF(Table1[[#This Row],[Estimated Effort (Hours)]]&lt;150,"L3",IF(Table1[[#This Row],[Estimated Effort (Hours)]]&lt;300,"L4","L5")))))</f>
        <v/>
      </c>
      <c r="S155" s="184" t="str">
        <f>IF(Table1[[#This Row],[Actual End Date]]="","",TEXT(Table1[[#This Row],[Actual End Date]],"mmm-yy"))</f>
        <v/>
      </c>
      <c r="T1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 s="185" t="str">
        <f>IFERROR((Table1[[#This Row],[Actual Effort (Hours)]]-Table1[[#This Row],[Estimated Effort (Hours)]])/Table1[[#This Row],[Estimated Effort (Hours)]],"")</f>
        <v/>
      </c>
      <c r="V155" s="149"/>
    </row>
    <row r="156" spans="2:22">
      <c r="B156" s="64"/>
      <c r="C156" s="123"/>
      <c r="D156" s="143"/>
      <c r="E156" s="123"/>
      <c r="F156" s="123"/>
      <c r="G156" s="129"/>
      <c r="H156" s="124"/>
      <c r="I156" s="124"/>
      <c r="J156" s="129"/>
      <c r="K156" s="124"/>
      <c r="L156" s="124"/>
      <c r="M156" s="129"/>
      <c r="N156" s="129" t="e">
        <f>Table1[[#This Row],[Estimated Effort (Hours)]]/NETWORKDAYS(Table1[[#This Row],[Planned Start Date]],Table1[[#This Row],[Planned End Date]])</f>
        <v>#DIV/0!</v>
      </c>
      <c r="O156" s="178">
        <f>NETWORKDAYS(Table1[[#This Row],[Planned Start Date]],Table1[[#This Row],[Planned End Date]])</f>
        <v>0</v>
      </c>
      <c r="P156" s="178">
        <f>NETWORKDAYS(Table1[[#This Row],[Planned Start Date]],$P$7)</f>
        <v>30643</v>
      </c>
      <c r="Q156" s="129"/>
      <c r="R156" s="183" t="str">
        <f>IF(Table1[[#This Row],[Actual Effort (Hours)]]="","",IF(Table1[[#This Row],[Estimated Effort (Hours)]]&lt;20,"L1",IF(Table1[[#This Row],[Estimated Effort (Hours)]]&lt;50,"L2",IF(Table1[[#This Row],[Estimated Effort (Hours)]]&lt;150,"L3",IF(Table1[[#This Row],[Estimated Effort (Hours)]]&lt;300,"L4","L5")))))</f>
        <v/>
      </c>
      <c r="S156" s="184" t="str">
        <f>IF(Table1[[#This Row],[Actual End Date]]="","",TEXT(Table1[[#This Row],[Actual End Date]],"mmm-yy"))</f>
        <v/>
      </c>
      <c r="T1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 s="185" t="str">
        <f>IFERROR((Table1[[#This Row],[Actual Effort (Hours)]]-Table1[[#This Row],[Estimated Effort (Hours)]])/Table1[[#This Row],[Estimated Effort (Hours)]],"")</f>
        <v/>
      </c>
      <c r="V156" s="149"/>
    </row>
    <row r="157" spans="2:22">
      <c r="B157" s="64"/>
      <c r="C157" s="123"/>
      <c r="D157" s="143"/>
      <c r="E157" s="123"/>
      <c r="F157" s="123"/>
      <c r="G157" s="129"/>
      <c r="H157" s="124"/>
      <c r="I157" s="124"/>
      <c r="J157" s="129"/>
      <c r="K157" s="124"/>
      <c r="L157" s="124"/>
      <c r="M157" s="129"/>
      <c r="N157" s="129" t="e">
        <f>Table1[[#This Row],[Estimated Effort (Hours)]]/NETWORKDAYS(Table1[[#This Row],[Planned Start Date]],Table1[[#This Row],[Planned End Date]])</f>
        <v>#DIV/0!</v>
      </c>
      <c r="O157" s="178">
        <f>NETWORKDAYS(Table1[[#This Row],[Planned Start Date]],Table1[[#This Row],[Planned End Date]])</f>
        <v>0</v>
      </c>
      <c r="P157" s="178">
        <f>NETWORKDAYS(Table1[[#This Row],[Planned Start Date]],$P$7)</f>
        <v>30643</v>
      </c>
      <c r="Q157" s="129"/>
      <c r="R157" s="183" t="str">
        <f>IF(Table1[[#This Row],[Actual Effort (Hours)]]="","",IF(Table1[[#This Row],[Estimated Effort (Hours)]]&lt;20,"L1",IF(Table1[[#This Row],[Estimated Effort (Hours)]]&lt;50,"L2",IF(Table1[[#This Row],[Estimated Effort (Hours)]]&lt;150,"L3",IF(Table1[[#This Row],[Estimated Effort (Hours)]]&lt;300,"L4","L5")))))</f>
        <v/>
      </c>
      <c r="S157" s="184" t="str">
        <f>IF(Table1[[#This Row],[Actual End Date]]="","",TEXT(Table1[[#This Row],[Actual End Date]],"mmm-yy"))</f>
        <v/>
      </c>
      <c r="T1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 s="185" t="str">
        <f>IFERROR((Table1[[#This Row],[Actual Effort (Hours)]]-Table1[[#This Row],[Estimated Effort (Hours)]])/Table1[[#This Row],[Estimated Effort (Hours)]],"")</f>
        <v/>
      </c>
      <c r="V157" s="149"/>
    </row>
    <row r="158" spans="2:22">
      <c r="B158" s="64"/>
      <c r="C158" s="123"/>
      <c r="D158" s="143"/>
      <c r="E158" s="123"/>
      <c r="F158" s="123"/>
      <c r="G158" s="129"/>
      <c r="H158" s="124"/>
      <c r="I158" s="124"/>
      <c r="J158" s="129"/>
      <c r="K158" s="124"/>
      <c r="L158" s="124"/>
      <c r="M158" s="129"/>
      <c r="N158" s="129" t="e">
        <f>Table1[[#This Row],[Estimated Effort (Hours)]]/NETWORKDAYS(Table1[[#This Row],[Planned Start Date]],Table1[[#This Row],[Planned End Date]])</f>
        <v>#DIV/0!</v>
      </c>
      <c r="O158" s="178">
        <f>NETWORKDAYS(Table1[[#This Row],[Planned Start Date]],Table1[[#This Row],[Planned End Date]])</f>
        <v>0</v>
      </c>
      <c r="P158" s="178">
        <f>NETWORKDAYS(Table1[[#This Row],[Planned Start Date]],$P$7)</f>
        <v>30643</v>
      </c>
      <c r="Q158" s="129"/>
      <c r="R158" s="183" t="str">
        <f>IF(Table1[[#This Row],[Actual Effort (Hours)]]="","",IF(Table1[[#This Row],[Estimated Effort (Hours)]]&lt;20,"L1",IF(Table1[[#This Row],[Estimated Effort (Hours)]]&lt;50,"L2",IF(Table1[[#This Row],[Estimated Effort (Hours)]]&lt;150,"L3",IF(Table1[[#This Row],[Estimated Effort (Hours)]]&lt;300,"L4","L5")))))</f>
        <v/>
      </c>
      <c r="S158" s="184" t="str">
        <f>IF(Table1[[#This Row],[Actual End Date]]="","",TEXT(Table1[[#This Row],[Actual End Date]],"mmm-yy"))</f>
        <v/>
      </c>
      <c r="T1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 s="185" t="str">
        <f>IFERROR((Table1[[#This Row],[Actual Effort (Hours)]]-Table1[[#This Row],[Estimated Effort (Hours)]])/Table1[[#This Row],[Estimated Effort (Hours)]],"")</f>
        <v/>
      </c>
      <c r="V158" s="149"/>
    </row>
    <row r="159" spans="2:22">
      <c r="B159" s="64"/>
      <c r="C159" s="123"/>
      <c r="D159" s="143"/>
      <c r="E159" s="123"/>
      <c r="F159" s="123"/>
      <c r="G159" s="129"/>
      <c r="H159" s="124"/>
      <c r="I159" s="124"/>
      <c r="J159" s="129"/>
      <c r="K159" s="124"/>
      <c r="L159" s="124"/>
      <c r="M159" s="129"/>
      <c r="N159" s="129" t="e">
        <f>Table1[[#This Row],[Estimated Effort (Hours)]]/NETWORKDAYS(Table1[[#This Row],[Planned Start Date]],Table1[[#This Row],[Planned End Date]])</f>
        <v>#DIV/0!</v>
      </c>
      <c r="O159" s="178">
        <f>NETWORKDAYS(Table1[[#This Row],[Planned Start Date]],Table1[[#This Row],[Planned End Date]])</f>
        <v>0</v>
      </c>
      <c r="P159" s="178">
        <f>NETWORKDAYS(Table1[[#This Row],[Planned Start Date]],$P$7)</f>
        <v>30643</v>
      </c>
      <c r="Q159" s="129"/>
      <c r="R159" s="183" t="str">
        <f>IF(Table1[[#This Row],[Actual Effort (Hours)]]="","",IF(Table1[[#This Row],[Estimated Effort (Hours)]]&lt;20,"L1",IF(Table1[[#This Row],[Estimated Effort (Hours)]]&lt;50,"L2",IF(Table1[[#This Row],[Estimated Effort (Hours)]]&lt;150,"L3",IF(Table1[[#This Row],[Estimated Effort (Hours)]]&lt;300,"L4","L5")))))</f>
        <v/>
      </c>
      <c r="S159" s="184" t="str">
        <f>IF(Table1[[#This Row],[Actual End Date]]="","",TEXT(Table1[[#This Row],[Actual End Date]],"mmm-yy"))</f>
        <v/>
      </c>
      <c r="T1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 s="185" t="str">
        <f>IFERROR((Table1[[#This Row],[Actual Effort (Hours)]]-Table1[[#This Row],[Estimated Effort (Hours)]])/Table1[[#This Row],[Estimated Effort (Hours)]],"")</f>
        <v/>
      </c>
      <c r="V159" s="149"/>
    </row>
    <row r="160" spans="2:22">
      <c r="B160" s="64"/>
      <c r="C160" s="123"/>
      <c r="D160" s="143"/>
      <c r="E160" s="123"/>
      <c r="F160" s="123"/>
      <c r="G160" s="129"/>
      <c r="H160" s="124"/>
      <c r="I160" s="124"/>
      <c r="J160" s="129"/>
      <c r="K160" s="124"/>
      <c r="L160" s="124"/>
      <c r="M160" s="129"/>
      <c r="N160" s="129" t="e">
        <f>Table1[[#This Row],[Estimated Effort (Hours)]]/NETWORKDAYS(Table1[[#This Row],[Planned Start Date]],Table1[[#This Row],[Planned End Date]])</f>
        <v>#DIV/0!</v>
      </c>
      <c r="O160" s="178">
        <f>NETWORKDAYS(Table1[[#This Row],[Planned Start Date]],Table1[[#This Row],[Planned End Date]])</f>
        <v>0</v>
      </c>
      <c r="P160" s="178">
        <f>NETWORKDAYS(Table1[[#This Row],[Planned Start Date]],$P$7)</f>
        <v>30643</v>
      </c>
      <c r="Q160" s="129"/>
      <c r="R160" s="183" t="str">
        <f>IF(Table1[[#This Row],[Actual Effort (Hours)]]="","",IF(Table1[[#This Row],[Estimated Effort (Hours)]]&lt;20,"L1",IF(Table1[[#This Row],[Estimated Effort (Hours)]]&lt;50,"L2",IF(Table1[[#This Row],[Estimated Effort (Hours)]]&lt;150,"L3",IF(Table1[[#This Row],[Estimated Effort (Hours)]]&lt;300,"L4","L5")))))</f>
        <v/>
      </c>
      <c r="S160" s="184" t="str">
        <f>IF(Table1[[#This Row],[Actual End Date]]="","",TEXT(Table1[[#This Row],[Actual End Date]],"mmm-yy"))</f>
        <v/>
      </c>
      <c r="T1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 s="185" t="str">
        <f>IFERROR((Table1[[#This Row],[Actual Effort (Hours)]]-Table1[[#This Row],[Estimated Effort (Hours)]])/Table1[[#This Row],[Estimated Effort (Hours)]],"")</f>
        <v/>
      </c>
      <c r="V160" s="149"/>
    </row>
    <row r="161" spans="2:22">
      <c r="B161" s="64"/>
      <c r="C161" s="123"/>
      <c r="D161" s="143"/>
      <c r="E161" s="123"/>
      <c r="F161" s="123"/>
      <c r="G161" s="129"/>
      <c r="H161" s="124"/>
      <c r="I161" s="124"/>
      <c r="J161" s="129"/>
      <c r="K161" s="124"/>
      <c r="L161" s="124"/>
      <c r="M161" s="129"/>
      <c r="N161" s="129" t="e">
        <f>Table1[[#This Row],[Estimated Effort (Hours)]]/NETWORKDAYS(Table1[[#This Row],[Planned Start Date]],Table1[[#This Row],[Planned End Date]])</f>
        <v>#DIV/0!</v>
      </c>
      <c r="O161" s="178">
        <f>NETWORKDAYS(Table1[[#This Row],[Planned Start Date]],Table1[[#This Row],[Planned End Date]])</f>
        <v>0</v>
      </c>
      <c r="P161" s="178">
        <f>NETWORKDAYS(Table1[[#This Row],[Planned Start Date]],$P$7)</f>
        <v>30643</v>
      </c>
      <c r="Q161" s="129"/>
      <c r="R161" s="183" t="str">
        <f>IF(Table1[[#This Row],[Actual Effort (Hours)]]="","",IF(Table1[[#This Row],[Estimated Effort (Hours)]]&lt;20,"L1",IF(Table1[[#This Row],[Estimated Effort (Hours)]]&lt;50,"L2",IF(Table1[[#This Row],[Estimated Effort (Hours)]]&lt;150,"L3",IF(Table1[[#This Row],[Estimated Effort (Hours)]]&lt;300,"L4","L5")))))</f>
        <v/>
      </c>
      <c r="S161" s="184" t="str">
        <f>IF(Table1[[#This Row],[Actual End Date]]="","",TEXT(Table1[[#This Row],[Actual End Date]],"mmm-yy"))</f>
        <v/>
      </c>
      <c r="T1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 s="185" t="str">
        <f>IFERROR((Table1[[#This Row],[Actual Effort (Hours)]]-Table1[[#This Row],[Estimated Effort (Hours)]])/Table1[[#This Row],[Estimated Effort (Hours)]],"")</f>
        <v/>
      </c>
      <c r="V161" s="149"/>
    </row>
    <row r="162" spans="2:22">
      <c r="B162" s="64"/>
      <c r="C162" s="123"/>
      <c r="D162" s="143"/>
      <c r="E162" s="123"/>
      <c r="F162" s="123"/>
      <c r="G162" s="129"/>
      <c r="H162" s="124"/>
      <c r="I162" s="124"/>
      <c r="J162" s="129"/>
      <c r="K162" s="124"/>
      <c r="L162" s="124"/>
      <c r="M162" s="129"/>
      <c r="N162" s="129" t="e">
        <f>Table1[[#This Row],[Estimated Effort (Hours)]]/NETWORKDAYS(Table1[[#This Row],[Planned Start Date]],Table1[[#This Row],[Planned End Date]])</f>
        <v>#DIV/0!</v>
      </c>
      <c r="O162" s="178">
        <f>NETWORKDAYS(Table1[[#This Row],[Planned Start Date]],Table1[[#This Row],[Planned End Date]])</f>
        <v>0</v>
      </c>
      <c r="P162" s="178">
        <f>NETWORKDAYS(Table1[[#This Row],[Planned Start Date]],$P$7)</f>
        <v>30643</v>
      </c>
      <c r="Q162" s="129"/>
      <c r="R162" s="183" t="str">
        <f>IF(Table1[[#This Row],[Actual Effort (Hours)]]="","",IF(Table1[[#This Row],[Estimated Effort (Hours)]]&lt;20,"L1",IF(Table1[[#This Row],[Estimated Effort (Hours)]]&lt;50,"L2",IF(Table1[[#This Row],[Estimated Effort (Hours)]]&lt;150,"L3",IF(Table1[[#This Row],[Estimated Effort (Hours)]]&lt;300,"L4","L5")))))</f>
        <v/>
      </c>
      <c r="S162" s="184" t="str">
        <f>IF(Table1[[#This Row],[Actual End Date]]="","",TEXT(Table1[[#This Row],[Actual End Date]],"mmm-yy"))</f>
        <v/>
      </c>
      <c r="T1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 s="185" t="str">
        <f>IFERROR((Table1[[#This Row],[Actual Effort (Hours)]]-Table1[[#This Row],[Estimated Effort (Hours)]])/Table1[[#This Row],[Estimated Effort (Hours)]],"")</f>
        <v/>
      </c>
      <c r="V162" s="149"/>
    </row>
    <row r="163" spans="2:22">
      <c r="B163" s="125"/>
      <c r="C163" s="123"/>
      <c r="D163" s="143"/>
      <c r="E163" s="123"/>
      <c r="F163" s="143"/>
      <c r="G163" s="129"/>
      <c r="H163" s="124"/>
      <c r="I163" s="124"/>
      <c r="J163" s="129"/>
      <c r="K163" s="194"/>
      <c r="L163" s="194"/>
      <c r="M163" s="129"/>
      <c r="N163" s="129" t="e">
        <f>Table1[[#This Row],[Estimated Effort (Hours)]]/NETWORKDAYS(Table1[[#This Row],[Planned Start Date]],Table1[[#This Row],[Planned End Date]])</f>
        <v>#DIV/0!</v>
      </c>
      <c r="O163" s="178">
        <f>NETWORKDAYS(Table1[[#This Row],[Planned Start Date]],Table1[[#This Row],[Planned End Date]])</f>
        <v>0</v>
      </c>
      <c r="P163" s="178">
        <f>NETWORKDAYS(Table1[[#This Row],[Planned Start Date]],$P$7)</f>
        <v>30643</v>
      </c>
      <c r="Q163" s="129"/>
      <c r="R163" s="183" t="str">
        <f>IF(Table1[[#This Row],[Actual Effort (Hours)]]="","",IF(Table1[[#This Row],[Estimated Effort (Hours)]]&lt;20,"L1",IF(Table1[[#This Row],[Estimated Effort (Hours)]]&lt;50,"L2",IF(Table1[[#This Row],[Estimated Effort (Hours)]]&lt;150,"L3",IF(Table1[[#This Row],[Estimated Effort (Hours)]]&lt;300,"L4","L5")))))</f>
        <v/>
      </c>
      <c r="S163" s="184" t="str">
        <f>IF(Table1[[#This Row],[Actual End Date]]="","",TEXT(Table1[[#This Row],[Actual End Date]],"mmm-yy"))</f>
        <v/>
      </c>
      <c r="T1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 s="185" t="str">
        <f>IFERROR((Table1[[#This Row],[Actual Effort (Hours)]]-Table1[[#This Row],[Estimated Effort (Hours)]])/Table1[[#This Row],[Estimated Effort (Hours)]],"")</f>
        <v/>
      </c>
      <c r="V163" s="149"/>
    </row>
    <row r="164" spans="2:22">
      <c r="B164" s="125"/>
      <c r="C164" s="123"/>
      <c r="D164" s="143"/>
      <c r="E164" s="123"/>
      <c r="F164" s="143"/>
      <c r="G164" s="129"/>
      <c r="H164" s="124"/>
      <c r="I164" s="124"/>
      <c r="J164" s="129"/>
      <c r="K164" s="194"/>
      <c r="L164" s="194"/>
      <c r="M164" s="129"/>
      <c r="N164" s="129" t="e">
        <f>Table1[[#This Row],[Estimated Effort (Hours)]]/NETWORKDAYS(Table1[[#This Row],[Planned Start Date]],Table1[[#This Row],[Planned End Date]])</f>
        <v>#DIV/0!</v>
      </c>
      <c r="O164" s="178">
        <f>NETWORKDAYS(Table1[[#This Row],[Planned Start Date]],Table1[[#This Row],[Planned End Date]])</f>
        <v>0</v>
      </c>
      <c r="P164" s="178">
        <f>NETWORKDAYS(Table1[[#This Row],[Planned Start Date]],$P$7)</f>
        <v>30643</v>
      </c>
      <c r="Q164" s="129"/>
      <c r="R164" s="183" t="str">
        <f>IF(Table1[[#This Row],[Actual Effort (Hours)]]="","",IF(Table1[[#This Row],[Estimated Effort (Hours)]]&lt;20,"L1",IF(Table1[[#This Row],[Estimated Effort (Hours)]]&lt;50,"L2",IF(Table1[[#This Row],[Estimated Effort (Hours)]]&lt;150,"L3",IF(Table1[[#This Row],[Estimated Effort (Hours)]]&lt;300,"L4","L5")))))</f>
        <v/>
      </c>
      <c r="S164" s="184" t="str">
        <f>IF(Table1[[#This Row],[Actual End Date]]="","",TEXT(Table1[[#This Row],[Actual End Date]],"mmm-yy"))</f>
        <v/>
      </c>
      <c r="T1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 s="185" t="str">
        <f>IFERROR((Table1[[#This Row],[Actual Effort (Hours)]]-Table1[[#This Row],[Estimated Effort (Hours)]])/Table1[[#This Row],[Estimated Effort (Hours)]],"")</f>
        <v/>
      </c>
      <c r="V164" s="149"/>
    </row>
    <row r="165" spans="2:22">
      <c r="B165" s="125"/>
      <c r="C165" s="123"/>
      <c r="D165" s="143"/>
      <c r="E165" s="123"/>
      <c r="F165" s="143"/>
      <c r="G165" s="129"/>
      <c r="H165" s="124"/>
      <c r="I165" s="124"/>
      <c r="J165" s="129"/>
      <c r="K165" s="194"/>
      <c r="L165" s="194"/>
      <c r="M165" s="129"/>
      <c r="N165" s="129" t="e">
        <f>Table1[[#This Row],[Estimated Effort (Hours)]]/NETWORKDAYS(Table1[[#This Row],[Planned Start Date]],Table1[[#This Row],[Planned End Date]])</f>
        <v>#DIV/0!</v>
      </c>
      <c r="O165" s="178">
        <f>NETWORKDAYS(Table1[[#This Row],[Planned Start Date]],Table1[[#This Row],[Planned End Date]])</f>
        <v>0</v>
      </c>
      <c r="P165" s="178">
        <f>NETWORKDAYS(Table1[[#This Row],[Planned Start Date]],$P$7)</f>
        <v>30643</v>
      </c>
      <c r="Q165" s="129"/>
      <c r="R165" s="183" t="str">
        <f>IF(Table1[[#This Row],[Actual Effort (Hours)]]="","",IF(Table1[[#This Row],[Estimated Effort (Hours)]]&lt;20,"L1",IF(Table1[[#This Row],[Estimated Effort (Hours)]]&lt;50,"L2",IF(Table1[[#This Row],[Estimated Effort (Hours)]]&lt;150,"L3",IF(Table1[[#This Row],[Estimated Effort (Hours)]]&lt;300,"L4","L5")))))</f>
        <v/>
      </c>
      <c r="S165" s="184" t="str">
        <f>IF(Table1[[#This Row],[Actual End Date]]="","",TEXT(Table1[[#This Row],[Actual End Date]],"mmm-yy"))</f>
        <v/>
      </c>
      <c r="T1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 s="185" t="str">
        <f>IFERROR((Table1[[#This Row],[Actual Effort (Hours)]]-Table1[[#This Row],[Estimated Effort (Hours)]])/Table1[[#This Row],[Estimated Effort (Hours)]],"")</f>
        <v/>
      </c>
      <c r="V165" s="149"/>
    </row>
    <row r="166" spans="2:22">
      <c r="B166" s="125"/>
      <c r="C166" s="123"/>
      <c r="D166" s="143"/>
      <c r="E166" s="123"/>
      <c r="F166" s="143"/>
      <c r="G166" s="129"/>
      <c r="H166" s="124"/>
      <c r="I166" s="124"/>
      <c r="J166" s="129"/>
      <c r="K166" s="194"/>
      <c r="L166" s="194"/>
      <c r="M166" s="129"/>
      <c r="N166" s="129" t="e">
        <f>Table1[[#This Row],[Estimated Effort (Hours)]]/NETWORKDAYS(Table1[[#This Row],[Planned Start Date]],Table1[[#This Row],[Planned End Date]])</f>
        <v>#DIV/0!</v>
      </c>
      <c r="O166" s="178">
        <f>NETWORKDAYS(Table1[[#This Row],[Planned Start Date]],Table1[[#This Row],[Planned End Date]])</f>
        <v>0</v>
      </c>
      <c r="P166" s="178">
        <f>NETWORKDAYS(Table1[[#This Row],[Planned Start Date]],$P$7)</f>
        <v>30643</v>
      </c>
      <c r="Q166" s="129"/>
      <c r="R166" s="183" t="str">
        <f>IF(Table1[[#This Row],[Actual Effort (Hours)]]="","",IF(Table1[[#This Row],[Estimated Effort (Hours)]]&lt;20,"L1",IF(Table1[[#This Row],[Estimated Effort (Hours)]]&lt;50,"L2",IF(Table1[[#This Row],[Estimated Effort (Hours)]]&lt;150,"L3",IF(Table1[[#This Row],[Estimated Effort (Hours)]]&lt;300,"L4","L5")))))</f>
        <v/>
      </c>
      <c r="S166" s="184" t="str">
        <f>IF(Table1[[#This Row],[Actual End Date]]="","",TEXT(Table1[[#This Row],[Actual End Date]],"mmm-yy"))</f>
        <v/>
      </c>
      <c r="T1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 s="185" t="str">
        <f>IFERROR((Table1[[#This Row],[Actual Effort (Hours)]]-Table1[[#This Row],[Estimated Effort (Hours)]])/Table1[[#This Row],[Estimated Effort (Hours)]],"")</f>
        <v/>
      </c>
      <c r="V166" s="149"/>
    </row>
    <row r="167" spans="2:22">
      <c r="B167" s="125"/>
      <c r="C167" s="123"/>
      <c r="D167" s="143"/>
      <c r="E167" s="123"/>
      <c r="F167" s="143"/>
      <c r="G167" s="129"/>
      <c r="H167" s="124"/>
      <c r="I167" s="124"/>
      <c r="J167" s="129"/>
      <c r="K167" s="194"/>
      <c r="L167" s="194"/>
      <c r="M167" s="129"/>
      <c r="N167" s="129" t="e">
        <f>Table1[[#This Row],[Estimated Effort (Hours)]]/NETWORKDAYS(Table1[[#This Row],[Planned Start Date]],Table1[[#This Row],[Planned End Date]])</f>
        <v>#DIV/0!</v>
      </c>
      <c r="O167" s="178">
        <f>NETWORKDAYS(Table1[[#This Row],[Planned Start Date]],Table1[[#This Row],[Planned End Date]])</f>
        <v>0</v>
      </c>
      <c r="P167" s="178">
        <f>NETWORKDAYS(Table1[[#This Row],[Planned Start Date]],$P$7)</f>
        <v>30643</v>
      </c>
      <c r="Q167" s="129"/>
      <c r="R167" s="183" t="str">
        <f>IF(Table1[[#This Row],[Actual Effort (Hours)]]="","",IF(Table1[[#This Row],[Estimated Effort (Hours)]]&lt;20,"L1",IF(Table1[[#This Row],[Estimated Effort (Hours)]]&lt;50,"L2",IF(Table1[[#This Row],[Estimated Effort (Hours)]]&lt;150,"L3",IF(Table1[[#This Row],[Estimated Effort (Hours)]]&lt;300,"L4","L5")))))</f>
        <v/>
      </c>
      <c r="S167" s="184" t="str">
        <f>IF(Table1[[#This Row],[Actual End Date]]="","",TEXT(Table1[[#This Row],[Actual End Date]],"mmm-yy"))</f>
        <v/>
      </c>
      <c r="T1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 s="185" t="str">
        <f>IFERROR((Table1[[#This Row],[Actual Effort (Hours)]]-Table1[[#This Row],[Estimated Effort (Hours)]])/Table1[[#This Row],[Estimated Effort (Hours)]],"")</f>
        <v/>
      </c>
      <c r="V167" s="149"/>
    </row>
    <row r="168" spans="2:22">
      <c r="B168" s="125"/>
      <c r="C168" s="123"/>
      <c r="D168" s="143"/>
      <c r="E168" s="123"/>
      <c r="F168" s="143"/>
      <c r="G168" s="129"/>
      <c r="H168" s="124"/>
      <c r="I168" s="124"/>
      <c r="J168" s="129"/>
      <c r="K168" s="194"/>
      <c r="L168" s="194"/>
      <c r="M168" s="129"/>
      <c r="N168" s="129" t="e">
        <f>Table1[[#This Row],[Estimated Effort (Hours)]]/NETWORKDAYS(Table1[[#This Row],[Planned Start Date]],Table1[[#This Row],[Planned End Date]])</f>
        <v>#DIV/0!</v>
      </c>
      <c r="O168" s="178">
        <f>NETWORKDAYS(Table1[[#This Row],[Planned Start Date]],Table1[[#This Row],[Planned End Date]])</f>
        <v>0</v>
      </c>
      <c r="P168" s="178">
        <f>NETWORKDAYS(Table1[[#This Row],[Planned Start Date]],$P$7)</f>
        <v>30643</v>
      </c>
      <c r="Q168" s="129"/>
      <c r="R168" s="183" t="str">
        <f>IF(Table1[[#This Row],[Actual Effort (Hours)]]="","",IF(Table1[[#This Row],[Estimated Effort (Hours)]]&lt;20,"L1",IF(Table1[[#This Row],[Estimated Effort (Hours)]]&lt;50,"L2",IF(Table1[[#This Row],[Estimated Effort (Hours)]]&lt;150,"L3",IF(Table1[[#This Row],[Estimated Effort (Hours)]]&lt;300,"L4","L5")))))</f>
        <v/>
      </c>
      <c r="S168" s="184" t="str">
        <f>IF(Table1[[#This Row],[Actual End Date]]="","",TEXT(Table1[[#This Row],[Actual End Date]],"mmm-yy"))</f>
        <v/>
      </c>
      <c r="T1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 s="185" t="str">
        <f>IFERROR((Table1[[#This Row],[Actual Effort (Hours)]]-Table1[[#This Row],[Estimated Effort (Hours)]])/Table1[[#This Row],[Estimated Effort (Hours)]],"")</f>
        <v/>
      </c>
      <c r="V168" s="149"/>
    </row>
    <row r="169" spans="2:22">
      <c r="B169" s="64"/>
      <c r="C169" s="123"/>
      <c r="D169" s="143"/>
      <c r="E169" s="123"/>
      <c r="F169" s="123"/>
      <c r="G169" s="129"/>
      <c r="H169" s="124"/>
      <c r="I169" s="124"/>
      <c r="J169" s="129"/>
      <c r="K169" s="124"/>
      <c r="L169" s="124"/>
      <c r="M169" s="129"/>
      <c r="N169" s="129" t="e">
        <f>Table1[[#This Row],[Estimated Effort (Hours)]]/NETWORKDAYS(Table1[[#This Row],[Planned Start Date]],Table1[[#This Row],[Planned End Date]])</f>
        <v>#DIV/0!</v>
      </c>
      <c r="O169" s="178">
        <f>NETWORKDAYS(Table1[[#This Row],[Planned Start Date]],Table1[[#This Row],[Planned End Date]])</f>
        <v>0</v>
      </c>
      <c r="P169" s="178">
        <f>NETWORKDAYS(Table1[[#This Row],[Planned Start Date]],$P$7)</f>
        <v>30643</v>
      </c>
      <c r="Q169" s="129"/>
      <c r="R169" s="183" t="str">
        <f>IF(Table1[[#This Row],[Actual Effort (Hours)]]="","",IF(Table1[[#This Row],[Estimated Effort (Hours)]]&lt;20,"L1",IF(Table1[[#This Row],[Estimated Effort (Hours)]]&lt;50,"L2",IF(Table1[[#This Row],[Estimated Effort (Hours)]]&lt;150,"L3",IF(Table1[[#This Row],[Estimated Effort (Hours)]]&lt;300,"L4","L5")))))</f>
        <v/>
      </c>
      <c r="S169" s="184" t="str">
        <f>IF(Table1[[#This Row],[Actual End Date]]="","",TEXT(Table1[[#This Row],[Actual End Date]],"mmm-yy"))</f>
        <v/>
      </c>
      <c r="T1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 s="185" t="str">
        <f>IFERROR((Table1[[#This Row],[Actual Effort (Hours)]]-Table1[[#This Row],[Estimated Effort (Hours)]])/Table1[[#This Row],[Estimated Effort (Hours)]],"")</f>
        <v/>
      </c>
      <c r="V169" s="149"/>
    </row>
    <row r="170" spans="2:22">
      <c r="B170" s="64"/>
      <c r="C170" s="123"/>
      <c r="D170" s="143"/>
      <c r="E170" s="123"/>
      <c r="F170" s="123"/>
      <c r="G170" s="129"/>
      <c r="H170" s="124"/>
      <c r="I170" s="124"/>
      <c r="J170" s="129"/>
      <c r="K170" s="124"/>
      <c r="L170" s="124"/>
      <c r="M170" s="129"/>
      <c r="N170" s="129" t="e">
        <f>Table1[[#This Row],[Estimated Effort (Hours)]]/NETWORKDAYS(Table1[[#This Row],[Planned Start Date]],Table1[[#This Row],[Planned End Date]])</f>
        <v>#DIV/0!</v>
      </c>
      <c r="O170" s="178">
        <f>NETWORKDAYS(Table1[[#This Row],[Planned Start Date]],Table1[[#This Row],[Planned End Date]])</f>
        <v>0</v>
      </c>
      <c r="P170" s="178">
        <f>NETWORKDAYS(Table1[[#This Row],[Planned Start Date]],$P$7)</f>
        <v>30643</v>
      </c>
      <c r="Q170" s="129"/>
      <c r="R170" s="183" t="str">
        <f>IF(Table1[[#This Row],[Actual Effort (Hours)]]="","",IF(Table1[[#This Row],[Estimated Effort (Hours)]]&lt;20,"L1",IF(Table1[[#This Row],[Estimated Effort (Hours)]]&lt;50,"L2",IF(Table1[[#This Row],[Estimated Effort (Hours)]]&lt;150,"L3",IF(Table1[[#This Row],[Estimated Effort (Hours)]]&lt;300,"L4","L5")))))</f>
        <v/>
      </c>
      <c r="S170" s="184" t="str">
        <f>IF(Table1[[#This Row],[Actual End Date]]="","",TEXT(Table1[[#This Row],[Actual End Date]],"mmm-yy"))</f>
        <v/>
      </c>
      <c r="T1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 s="185" t="str">
        <f>IFERROR((Table1[[#This Row],[Actual Effort (Hours)]]-Table1[[#This Row],[Estimated Effort (Hours)]])/Table1[[#This Row],[Estimated Effort (Hours)]],"")</f>
        <v/>
      </c>
      <c r="V170" s="149"/>
    </row>
    <row r="171" spans="2:22">
      <c r="B171" s="64"/>
      <c r="C171" s="123"/>
      <c r="D171" s="143"/>
      <c r="E171" s="123"/>
      <c r="F171" s="123"/>
      <c r="G171" s="129"/>
      <c r="H171" s="124"/>
      <c r="I171" s="124"/>
      <c r="J171" s="129"/>
      <c r="K171" s="124"/>
      <c r="L171" s="124"/>
      <c r="M171" s="129"/>
      <c r="N171" s="129" t="e">
        <f>Table1[[#This Row],[Estimated Effort (Hours)]]/NETWORKDAYS(Table1[[#This Row],[Planned Start Date]],Table1[[#This Row],[Planned End Date]])</f>
        <v>#DIV/0!</v>
      </c>
      <c r="O171" s="178">
        <f>NETWORKDAYS(Table1[[#This Row],[Planned Start Date]],Table1[[#This Row],[Planned End Date]])</f>
        <v>0</v>
      </c>
      <c r="P171" s="178">
        <f>NETWORKDAYS(Table1[[#This Row],[Planned Start Date]],$P$7)</f>
        <v>30643</v>
      </c>
      <c r="Q171" s="129"/>
      <c r="R171" s="183" t="str">
        <f>IF(Table1[[#This Row],[Actual Effort (Hours)]]="","",IF(Table1[[#This Row],[Estimated Effort (Hours)]]&lt;20,"L1",IF(Table1[[#This Row],[Estimated Effort (Hours)]]&lt;50,"L2",IF(Table1[[#This Row],[Estimated Effort (Hours)]]&lt;150,"L3",IF(Table1[[#This Row],[Estimated Effort (Hours)]]&lt;300,"L4","L5")))))</f>
        <v/>
      </c>
      <c r="S171" s="184" t="str">
        <f>IF(Table1[[#This Row],[Actual End Date]]="","",TEXT(Table1[[#This Row],[Actual End Date]],"mmm-yy"))</f>
        <v/>
      </c>
      <c r="T1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 s="185" t="str">
        <f>IFERROR((Table1[[#This Row],[Actual Effort (Hours)]]-Table1[[#This Row],[Estimated Effort (Hours)]])/Table1[[#This Row],[Estimated Effort (Hours)]],"")</f>
        <v/>
      </c>
      <c r="V171" s="149"/>
    </row>
    <row r="172" spans="2:22">
      <c r="B172" s="64"/>
      <c r="C172" s="123"/>
      <c r="D172" s="143"/>
      <c r="E172" s="123"/>
      <c r="F172" s="123"/>
      <c r="G172" s="129"/>
      <c r="H172" s="124"/>
      <c r="I172" s="124"/>
      <c r="J172" s="129"/>
      <c r="K172" s="124"/>
      <c r="L172" s="124"/>
      <c r="M172" s="129"/>
      <c r="N172" s="129" t="e">
        <f>Table1[[#This Row],[Estimated Effort (Hours)]]/NETWORKDAYS(Table1[[#This Row],[Planned Start Date]],Table1[[#This Row],[Planned End Date]])</f>
        <v>#DIV/0!</v>
      </c>
      <c r="O172" s="178">
        <f>NETWORKDAYS(Table1[[#This Row],[Planned Start Date]],Table1[[#This Row],[Planned End Date]])</f>
        <v>0</v>
      </c>
      <c r="P172" s="178">
        <f>NETWORKDAYS(Table1[[#This Row],[Planned Start Date]],$P$7)</f>
        <v>30643</v>
      </c>
      <c r="Q172" s="129"/>
      <c r="R172" s="183" t="str">
        <f>IF(Table1[[#This Row],[Actual Effort (Hours)]]="","",IF(Table1[[#This Row],[Estimated Effort (Hours)]]&lt;20,"L1",IF(Table1[[#This Row],[Estimated Effort (Hours)]]&lt;50,"L2",IF(Table1[[#This Row],[Estimated Effort (Hours)]]&lt;150,"L3",IF(Table1[[#This Row],[Estimated Effort (Hours)]]&lt;300,"L4","L5")))))</f>
        <v/>
      </c>
      <c r="S172" s="184" t="str">
        <f>IF(Table1[[#This Row],[Actual End Date]]="","",TEXT(Table1[[#This Row],[Actual End Date]],"mmm-yy"))</f>
        <v/>
      </c>
      <c r="T1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 s="185" t="str">
        <f>IFERROR((Table1[[#This Row],[Actual Effort (Hours)]]-Table1[[#This Row],[Estimated Effort (Hours)]])/Table1[[#This Row],[Estimated Effort (Hours)]],"")</f>
        <v/>
      </c>
      <c r="V172" s="149"/>
    </row>
    <row r="173" spans="2:22">
      <c r="B173" s="64"/>
      <c r="C173" s="123"/>
      <c r="D173" s="143"/>
      <c r="E173" s="123"/>
      <c r="F173" s="123"/>
      <c r="G173" s="129"/>
      <c r="H173" s="124"/>
      <c r="I173" s="124"/>
      <c r="J173" s="129"/>
      <c r="K173" s="124"/>
      <c r="L173" s="124"/>
      <c r="M173" s="129"/>
      <c r="N173" s="129" t="e">
        <f>Table1[[#This Row],[Estimated Effort (Hours)]]/NETWORKDAYS(Table1[[#This Row],[Planned Start Date]],Table1[[#This Row],[Planned End Date]])</f>
        <v>#DIV/0!</v>
      </c>
      <c r="O173" s="178">
        <f>NETWORKDAYS(Table1[[#This Row],[Planned Start Date]],Table1[[#This Row],[Planned End Date]])</f>
        <v>0</v>
      </c>
      <c r="P173" s="178">
        <f>NETWORKDAYS(Table1[[#This Row],[Planned Start Date]],$P$7)</f>
        <v>30643</v>
      </c>
      <c r="Q173" s="129"/>
      <c r="R173" s="183" t="str">
        <f>IF(Table1[[#This Row],[Actual Effort (Hours)]]="","",IF(Table1[[#This Row],[Estimated Effort (Hours)]]&lt;20,"L1",IF(Table1[[#This Row],[Estimated Effort (Hours)]]&lt;50,"L2",IF(Table1[[#This Row],[Estimated Effort (Hours)]]&lt;150,"L3",IF(Table1[[#This Row],[Estimated Effort (Hours)]]&lt;300,"L4","L5")))))</f>
        <v/>
      </c>
      <c r="S173" s="184" t="str">
        <f>IF(Table1[[#This Row],[Actual End Date]]="","",TEXT(Table1[[#This Row],[Actual End Date]],"mmm-yy"))</f>
        <v/>
      </c>
      <c r="T1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 s="185" t="str">
        <f>IFERROR((Table1[[#This Row],[Actual Effort (Hours)]]-Table1[[#This Row],[Estimated Effort (Hours)]])/Table1[[#This Row],[Estimated Effort (Hours)]],"")</f>
        <v/>
      </c>
      <c r="V173" s="149"/>
    </row>
    <row r="174" spans="2:22">
      <c r="B174" s="64"/>
      <c r="C174" s="123"/>
      <c r="D174" s="143"/>
      <c r="E174" s="123"/>
      <c r="F174" s="123"/>
      <c r="G174" s="129"/>
      <c r="H174" s="124"/>
      <c r="I174" s="124"/>
      <c r="J174" s="129"/>
      <c r="K174" s="124"/>
      <c r="L174" s="124"/>
      <c r="M174" s="129"/>
      <c r="N174" s="129" t="e">
        <f>Table1[[#This Row],[Estimated Effort (Hours)]]/NETWORKDAYS(Table1[[#This Row],[Planned Start Date]],Table1[[#This Row],[Planned End Date]])</f>
        <v>#DIV/0!</v>
      </c>
      <c r="O174" s="178">
        <f>NETWORKDAYS(Table1[[#This Row],[Planned Start Date]],Table1[[#This Row],[Planned End Date]])</f>
        <v>0</v>
      </c>
      <c r="P174" s="178">
        <f>NETWORKDAYS(Table1[[#This Row],[Planned Start Date]],$P$7)</f>
        <v>30643</v>
      </c>
      <c r="Q174" s="129"/>
      <c r="R174" s="183" t="str">
        <f>IF(Table1[[#This Row],[Actual Effort (Hours)]]="","",IF(Table1[[#This Row],[Estimated Effort (Hours)]]&lt;20,"L1",IF(Table1[[#This Row],[Estimated Effort (Hours)]]&lt;50,"L2",IF(Table1[[#This Row],[Estimated Effort (Hours)]]&lt;150,"L3",IF(Table1[[#This Row],[Estimated Effort (Hours)]]&lt;300,"L4","L5")))))</f>
        <v/>
      </c>
      <c r="S174" s="184" t="str">
        <f>IF(Table1[[#This Row],[Actual End Date]]="","",TEXT(Table1[[#This Row],[Actual End Date]],"mmm-yy"))</f>
        <v/>
      </c>
      <c r="T1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 s="185" t="str">
        <f>IFERROR((Table1[[#This Row],[Actual Effort (Hours)]]-Table1[[#This Row],[Estimated Effort (Hours)]])/Table1[[#This Row],[Estimated Effort (Hours)]],"")</f>
        <v/>
      </c>
      <c r="V174" s="149"/>
    </row>
    <row r="175" spans="2:22">
      <c r="B175" s="64"/>
      <c r="C175" s="123"/>
      <c r="D175" s="143"/>
      <c r="E175" s="123"/>
      <c r="F175" s="123"/>
      <c r="G175" s="129"/>
      <c r="H175" s="124"/>
      <c r="I175" s="124"/>
      <c r="J175" s="129"/>
      <c r="K175" s="124"/>
      <c r="L175" s="124"/>
      <c r="M175" s="129"/>
      <c r="N175" s="129" t="e">
        <f>Table1[[#This Row],[Estimated Effort (Hours)]]/NETWORKDAYS(Table1[[#This Row],[Planned Start Date]],Table1[[#This Row],[Planned End Date]])</f>
        <v>#DIV/0!</v>
      </c>
      <c r="O175" s="178">
        <f>NETWORKDAYS(Table1[[#This Row],[Planned Start Date]],Table1[[#This Row],[Planned End Date]])</f>
        <v>0</v>
      </c>
      <c r="P175" s="178">
        <f>NETWORKDAYS(Table1[[#This Row],[Planned Start Date]],$P$7)</f>
        <v>30643</v>
      </c>
      <c r="Q175" s="129"/>
      <c r="R175" s="183" t="str">
        <f>IF(Table1[[#This Row],[Actual Effort (Hours)]]="","",IF(Table1[[#This Row],[Estimated Effort (Hours)]]&lt;20,"L1",IF(Table1[[#This Row],[Estimated Effort (Hours)]]&lt;50,"L2",IF(Table1[[#This Row],[Estimated Effort (Hours)]]&lt;150,"L3",IF(Table1[[#This Row],[Estimated Effort (Hours)]]&lt;300,"L4","L5")))))</f>
        <v/>
      </c>
      <c r="S175" s="184" t="str">
        <f>IF(Table1[[#This Row],[Actual End Date]]="","",TEXT(Table1[[#This Row],[Actual End Date]],"mmm-yy"))</f>
        <v/>
      </c>
      <c r="T1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 s="185" t="str">
        <f>IFERROR((Table1[[#This Row],[Actual Effort (Hours)]]-Table1[[#This Row],[Estimated Effort (Hours)]])/Table1[[#This Row],[Estimated Effort (Hours)]],"")</f>
        <v/>
      </c>
      <c r="V175" s="149"/>
    </row>
    <row r="176" spans="2:22">
      <c r="B176" s="64"/>
      <c r="C176" s="123"/>
      <c r="D176" s="143"/>
      <c r="E176" s="123"/>
      <c r="F176" s="123"/>
      <c r="G176" s="129"/>
      <c r="H176" s="124"/>
      <c r="I176" s="124"/>
      <c r="J176" s="129"/>
      <c r="K176" s="124"/>
      <c r="L176" s="124"/>
      <c r="M176" s="129"/>
      <c r="N176" s="129" t="e">
        <f>Table1[[#This Row],[Estimated Effort (Hours)]]/NETWORKDAYS(Table1[[#This Row],[Planned Start Date]],Table1[[#This Row],[Planned End Date]])</f>
        <v>#DIV/0!</v>
      </c>
      <c r="O176" s="178">
        <f>NETWORKDAYS(Table1[[#This Row],[Planned Start Date]],Table1[[#This Row],[Planned End Date]])</f>
        <v>0</v>
      </c>
      <c r="P176" s="178">
        <f>NETWORKDAYS(Table1[[#This Row],[Planned Start Date]],$P$7)</f>
        <v>30643</v>
      </c>
      <c r="Q176" s="129"/>
      <c r="R176" s="183" t="str">
        <f>IF(Table1[[#This Row],[Actual Effort (Hours)]]="","",IF(Table1[[#This Row],[Estimated Effort (Hours)]]&lt;20,"L1",IF(Table1[[#This Row],[Estimated Effort (Hours)]]&lt;50,"L2",IF(Table1[[#This Row],[Estimated Effort (Hours)]]&lt;150,"L3",IF(Table1[[#This Row],[Estimated Effort (Hours)]]&lt;300,"L4","L5")))))</f>
        <v/>
      </c>
      <c r="S176" s="184" t="str">
        <f>IF(Table1[[#This Row],[Actual End Date]]="","",TEXT(Table1[[#This Row],[Actual End Date]],"mmm-yy"))</f>
        <v/>
      </c>
      <c r="T1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 s="185" t="str">
        <f>IFERROR((Table1[[#This Row],[Actual Effort (Hours)]]-Table1[[#This Row],[Estimated Effort (Hours)]])/Table1[[#This Row],[Estimated Effort (Hours)]],"")</f>
        <v/>
      </c>
      <c r="V176" s="149"/>
    </row>
    <row r="177" spans="2:22">
      <c r="B177" s="64"/>
      <c r="C177" s="123"/>
      <c r="D177" s="143"/>
      <c r="E177" s="123"/>
      <c r="F177" s="123"/>
      <c r="G177" s="129"/>
      <c r="H177" s="124"/>
      <c r="I177" s="124"/>
      <c r="J177" s="129"/>
      <c r="K177" s="124"/>
      <c r="L177" s="124"/>
      <c r="M177" s="129"/>
      <c r="N177" s="129" t="e">
        <f>Table1[[#This Row],[Estimated Effort (Hours)]]/NETWORKDAYS(Table1[[#This Row],[Planned Start Date]],Table1[[#This Row],[Planned End Date]])</f>
        <v>#DIV/0!</v>
      </c>
      <c r="O177" s="178">
        <f>NETWORKDAYS(Table1[[#This Row],[Planned Start Date]],Table1[[#This Row],[Planned End Date]])</f>
        <v>0</v>
      </c>
      <c r="P177" s="178">
        <f>NETWORKDAYS(Table1[[#This Row],[Planned Start Date]],$P$7)</f>
        <v>30643</v>
      </c>
      <c r="Q177" s="129"/>
      <c r="R177" s="183" t="str">
        <f>IF(Table1[[#This Row],[Actual Effort (Hours)]]="","",IF(Table1[[#This Row],[Estimated Effort (Hours)]]&lt;20,"L1",IF(Table1[[#This Row],[Estimated Effort (Hours)]]&lt;50,"L2",IF(Table1[[#This Row],[Estimated Effort (Hours)]]&lt;150,"L3",IF(Table1[[#This Row],[Estimated Effort (Hours)]]&lt;300,"L4","L5")))))</f>
        <v/>
      </c>
      <c r="S177" s="184" t="str">
        <f>IF(Table1[[#This Row],[Actual End Date]]="","",TEXT(Table1[[#This Row],[Actual End Date]],"mmm-yy"))</f>
        <v/>
      </c>
      <c r="T1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 s="185" t="str">
        <f>IFERROR((Table1[[#This Row],[Actual Effort (Hours)]]-Table1[[#This Row],[Estimated Effort (Hours)]])/Table1[[#This Row],[Estimated Effort (Hours)]],"")</f>
        <v/>
      </c>
      <c r="V177" s="149"/>
    </row>
    <row r="178" spans="2:22">
      <c r="B178" s="64"/>
      <c r="C178" s="116"/>
      <c r="D178" s="116"/>
      <c r="E178" s="123"/>
      <c r="F178" s="123"/>
      <c r="G178" s="116"/>
      <c r="H178" s="124"/>
      <c r="I178" s="124"/>
      <c r="J178" s="129"/>
      <c r="K178" s="124"/>
      <c r="L178" s="124"/>
      <c r="M178" s="129"/>
      <c r="N178" s="129" t="e">
        <f>Table1[[#This Row],[Estimated Effort (Hours)]]/NETWORKDAYS(Table1[[#This Row],[Planned Start Date]],Table1[[#This Row],[Planned End Date]])</f>
        <v>#DIV/0!</v>
      </c>
      <c r="O178" s="178">
        <f>NETWORKDAYS(Table1[[#This Row],[Planned Start Date]],Table1[[#This Row],[Planned End Date]])</f>
        <v>0</v>
      </c>
      <c r="P178" s="178">
        <f>NETWORKDAYS(Table1[[#This Row],[Planned Start Date]],$P$7)</f>
        <v>30643</v>
      </c>
      <c r="Q178" s="129"/>
      <c r="R178" s="183" t="str">
        <f>IF(Table1[[#This Row],[Actual Effort (Hours)]]="","",IF(Table1[[#This Row],[Estimated Effort (Hours)]]&lt;20,"L1",IF(Table1[[#This Row],[Estimated Effort (Hours)]]&lt;50,"L2",IF(Table1[[#This Row],[Estimated Effort (Hours)]]&lt;150,"L3",IF(Table1[[#This Row],[Estimated Effort (Hours)]]&lt;300,"L4","L5")))))</f>
        <v/>
      </c>
      <c r="S178" s="184" t="str">
        <f>IF(Table1[[#This Row],[Actual End Date]]="","",TEXT(Table1[[#This Row],[Actual End Date]],"mmm-yy"))</f>
        <v/>
      </c>
      <c r="T1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 s="185" t="str">
        <f>IFERROR((Table1[[#This Row],[Actual Effort (Hours)]]-Table1[[#This Row],[Estimated Effort (Hours)]])/Table1[[#This Row],[Estimated Effort (Hours)]],"")</f>
        <v/>
      </c>
      <c r="V178" s="149"/>
    </row>
    <row r="179" spans="2:22">
      <c r="B179" s="64"/>
      <c r="C179" s="116"/>
      <c r="D179" s="116"/>
      <c r="E179" s="123"/>
      <c r="F179" s="123"/>
      <c r="G179" s="116"/>
      <c r="H179" s="124"/>
      <c r="I179" s="124"/>
      <c r="J179" s="129"/>
      <c r="K179" s="124"/>
      <c r="L179" s="124"/>
      <c r="M179" s="129"/>
      <c r="N179" s="129" t="e">
        <f>Table1[[#This Row],[Estimated Effort (Hours)]]/NETWORKDAYS(Table1[[#This Row],[Planned Start Date]],Table1[[#This Row],[Planned End Date]])</f>
        <v>#DIV/0!</v>
      </c>
      <c r="O179" s="178">
        <f>NETWORKDAYS(Table1[[#This Row],[Planned Start Date]],Table1[[#This Row],[Planned End Date]])</f>
        <v>0</v>
      </c>
      <c r="P179" s="178">
        <f>NETWORKDAYS(Table1[[#This Row],[Planned Start Date]],$P$7)</f>
        <v>30643</v>
      </c>
      <c r="Q179" s="129"/>
      <c r="R179" s="183" t="str">
        <f>IF(Table1[[#This Row],[Actual Effort (Hours)]]="","",IF(Table1[[#This Row],[Estimated Effort (Hours)]]&lt;20,"L1",IF(Table1[[#This Row],[Estimated Effort (Hours)]]&lt;50,"L2",IF(Table1[[#This Row],[Estimated Effort (Hours)]]&lt;150,"L3",IF(Table1[[#This Row],[Estimated Effort (Hours)]]&lt;300,"L4","L5")))))</f>
        <v/>
      </c>
      <c r="S179" s="184" t="str">
        <f>IF(Table1[[#This Row],[Actual End Date]]="","",TEXT(Table1[[#This Row],[Actual End Date]],"mmm-yy"))</f>
        <v/>
      </c>
      <c r="T1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 s="185" t="str">
        <f>IFERROR((Table1[[#This Row],[Actual Effort (Hours)]]-Table1[[#This Row],[Estimated Effort (Hours)]])/Table1[[#This Row],[Estimated Effort (Hours)]],"")</f>
        <v/>
      </c>
      <c r="V179" s="149"/>
    </row>
    <row r="180" spans="2:22">
      <c r="B180" s="64"/>
      <c r="C180" s="116"/>
      <c r="D180" s="116"/>
      <c r="E180" s="123"/>
      <c r="F180" s="123"/>
      <c r="G180" s="116"/>
      <c r="H180" s="124"/>
      <c r="I180" s="124"/>
      <c r="J180" s="129"/>
      <c r="K180" s="124"/>
      <c r="L180" s="124"/>
      <c r="M180" s="129"/>
      <c r="N180" s="129" t="e">
        <f>Table1[[#This Row],[Estimated Effort (Hours)]]/NETWORKDAYS(Table1[[#This Row],[Planned Start Date]],Table1[[#This Row],[Planned End Date]])</f>
        <v>#DIV/0!</v>
      </c>
      <c r="O180" s="178">
        <f>NETWORKDAYS(Table1[[#This Row],[Planned Start Date]],Table1[[#This Row],[Planned End Date]])</f>
        <v>0</v>
      </c>
      <c r="P180" s="178">
        <f>NETWORKDAYS(Table1[[#This Row],[Planned Start Date]],$P$7)</f>
        <v>30643</v>
      </c>
      <c r="Q180" s="129"/>
      <c r="R180" s="183" t="str">
        <f>IF(Table1[[#This Row],[Actual Effort (Hours)]]="","",IF(Table1[[#This Row],[Estimated Effort (Hours)]]&lt;20,"L1",IF(Table1[[#This Row],[Estimated Effort (Hours)]]&lt;50,"L2",IF(Table1[[#This Row],[Estimated Effort (Hours)]]&lt;150,"L3",IF(Table1[[#This Row],[Estimated Effort (Hours)]]&lt;300,"L4","L5")))))</f>
        <v/>
      </c>
      <c r="S180" s="184" t="str">
        <f>IF(Table1[[#This Row],[Actual End Date]]="","",TEXT(Table1[[#This Row],[Actual End Date]],"mmm-yy"))</f>
        <v/>
      </c>
      <c r="T1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 s="185" t="str">
        <f>IFERROR((Table1[[#This Row],[Actual Effort (Hours)]]-Table1[[#This Row],[Estimated Effort (Hours)]])/Table1[[#This Row],[Estimated Effort (Hours)]],"")</f>
        <v/>
      </c>
      <c r="V180" s="149"/>
    </row>
    <row r="181" spans="2:22">
      <c r="B181" s="64"/>
      <c r="C181" s="116"/>
      <c r="D181" s="116"/>
      <c r="E181" s="123"/>
      <c r="F181" s="123"/>
      <c r="G181" s="116"/>
      <c r="H181" s="124"/>
      <c r="I181" s="124"/>
      <c r="J181" s="129"/>
      <c r="K181" s="124"/>
      <c r="L181" s="124"/>
      <c r="M181" s="129"/>
      <c r="N181" s="129" t="e">
        <f>Table1[[#This Row],[Estimated Effort (Hours)]]/NETWORKDAYS(Table1[[#This Row],[Planned Start Date]],Table1[[#This Row],[Planned End Date]])</f>
        <v>#DIV/0!</v>
      </c>
      <c r="O181" s="178">
        <f>NETWORKDAYS(Table1[[#This Row],[Planned Start Date]],Table1[[#This Row],[Planned End Date]])</f>
        <v>0</v>
      </c>
      <c r="P181" s="178">
        <f>NETWORKDAYS(Table1[[#This Row],[Planned Start Date]],$P$7)</f>
        <v>30643</v>
      </c>
      <c r="Q181" s="129"/>
      <c r="R181" s="183" t="str">
        <f>IF(Table1[[#This Row],[Actual Effort (Hours)]]="","",IF(Table1[[#This Row],[Estimated Effort (Hours)]]&lt;20,"L1",IF(Table1[[#This Row],[Estimated Effort (Hours)]]&lt;50,"L2",IF(Table1[[#This Row],[Estimated Effort (Hours)]]&lt;150,"L3",IF(Table1[[#This Row],[Estimated Effort (Hours)]]&lt;300,"L4","L5")))))</f>
        <v/>
      </c>
      <c r="S181" s="184" t="str">
        <f>IF(Table1[[#This Row],[Actual End Date]]="","",TEXT(Table1[[#This Row],[Actual End Date]],"mmm-yy"))</f>
        <v/>
      </c>
      <c r="T1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 s="185" t="str">
        <f>IFERROR((Table1[[#This Row],[Actual Effort (Hours)]]-Table1[[#This Row],[Estimated Effort (Hours)]])/Table1[[#This Row],[Estimated Effort (Hours)]],"")</f>
        <v/>
      </c>
      <c r="V181" s="149"/>
    </row>
    <row r="182" spans="2:22">
      <c r="B182" s="64"/>
      <c r="C182" s="116"/>
      <c r="D182" s="116"/>
      <c r="E182" s="123"/>
      <c r="F182" s="123"/>
      <c r="G182" s="116"/>
      <c r="H182" s="124"/>
      <c r="I182" s="124"/>
      <c r="J182" s="129"/>
      <c r="K182" s="124"/>
      <c r="L182" s="124"/>
      <c r="M182" s="129"/>
      <c r="N182" s="129" t="e">
        <f>Table1[[#This Row],[Estimated Effort (Hours)]]/NETWORKDAYS(Table1[[#This Row],[Planned Start Date]],Table1[[#This Row],[Planned End Date]])</f>
        <v>#DIV/0!</v>
      </c>
      <c r="O182" s="178">
        <f>NETWORKDAYS(Table1[[#This Row],[Planned Start Date]],Table1[[#This Row],[Planned End Date]])</f>
        <v>0</v>
      </c>
      <c r="P182" s="178">
        <f>NETWORKDAYS(Table1[[#This Row],[Planned Start Date]],$P$7)</f>
        <v>30643</v>
      </c>
      <c r="Q182" s="129"/>
      <c r="R182" s="183" t="str">
        <f>IF(Table1[[#This Row],[Actual Effort (Hours)]]="","",IF(Table1[[#This Row],[Estimated Effort (Hours)]]&lt;20,"L1",IF(Table1[[#This Row],[Estimated Effort (Hours)]]&lt;50,"L2",IF(Table1[[#This Row],[Estimated Effort (Hours)]]&lt;150,"L3",IF(Table1[[#This Row],[Estimated Effort (Hours)]]&lt;300,"L4","L5")))))</f>
        <v/>
      </c>
      <c r="S182" s="184" t="str">
        <f>IF(Table1[[#This Row],[Actual End Date]]="","",TEXT(Table1[[#This Row],[Actual End Date]],"mmm-yy"))</f>
        <v/>
      </c>
      <c r="T1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 s="185" t="str">
        <f>IFERROR((Table1[[#This Row],[Actual Effort (Hours)]]-Table1[[#This Row],[Estimated Effort (Hours)]])/Table1[[#This Row],[Estimated Effort (Hours)]],"")</f>
        <v/>
      </c>
      <c r="V182" s="149"/>
    </row>
    <row r="183" spans="2:22">
      <c r="B183" s="64"/>
      <c r="C183" s="116"/>
      <c r="D183" s="116"/>
      <c r="E183" s="123"/>
      <c r="F183" s="123"/>
      <c r="G183" s="116"/>
      <c r="H183" s="124"/>
      <c r="I183" s="124"/>
      <c r="J183" s="129"/>
      <c r="K183" s="124"/>
      <c r="L183" s="124"/>
      <c r="M183" s="129"/>
      <c r="N183" s="129" t="e">
        <f>Table1[[#This Row],[Estimated Effort (Hours)]]/NETWORKDAYS(Table1[[#This Row],[Planned Start Date]],Table1[[#This Row],[Planned End Date]])</f>
        <v>#DIV/0!</v>
      </c>
      <c r="O183" s="178">
        <f>NETWORKDAYS(Table1[[#This Row],[Planned Start Date]],Table1[[#This Row],[Planned End Date]])</f>
        <v>0</v>
      </c>
      <c r="P183" s="178">
        <f>NETWORKDAYS(Table1[[#This Row],[Planned Start Date]],$P$7)</f>
        <v>30643</v>
      </c>
      <c r="Q183" s="129"/>
      <c r="R183" s="183" t="str">
        <f>IF(Table1[[#This Row],[Actual Effort (Hours)]]="","",IF(Table1[[#This Row],[Estimated Effort (Hours)]]&lt;20,"L1",IF(Table1[[#This Row],[Estimated Effort (Hours)]]&lt;50,"L2",IF(Table1[[#This Row],[Estimated Effort (Hours)]]&lt;150,"L3",IF(Table1[[#This Row],[Estimated Effort (Hours)]]&lt;300,"L4","L5")))))</f>
        <v/>
      </c>
      <c r="S183" s="184" t="str">
        <f>IF(Table1[[#This Row],[Actual End Date]]="","",TEXT(Table1[[#This Row],[Actual End Date]],"mmm-yy"))</f>
        <v/>
      </c>
      <c r="T1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 s="185" t="str">
        <f>IFERROR((Table1[[#This Row],[Actual Effort (Hours)]]-Table1[[#This Row],[Estimated Effort (Hours)]])/Table1[[#This Row],[Estimated Effort (Hours)]],"")</f>
        <v/>
      </c>
      <c r="V183" s="149"/>
    </row>
    <row r="184" spans="2:22">
      <c r="B184" s="64"/>
      <c r="C184" s="116"/>
      <c r="D184" s="116"/>
      <c r="E184" s="123"/>
      <c r="F184" s="123"/>
      <c r="G184" s="116"/>
      <c r="H184" s="124"/>
      <c r="I184" s="124"/>
      <c r="J184" s="129"/>
      <c r="K184" s="124"/>
      <c r="L184" s="124"/>
      <c r="M184" s="129"/>
      <c r="N184" s="129" t="e">
        <f>Table1[[#This Row],[Estimated Effort (Hours)]]/NETWORKDAYS(Table1[[#This Row],[Planned Start Date]],Table1[[#This Row],[Planned End Date]])</f>
        <v>#DIV/0!</v>
      </c>
      <c r="O184" s="178">
        <f>NETWORKDAYS(Table1[[#This Row],[Planned Start Date]],Table1[[#This Row],[Planned End Date]])</f>
        <v>0</v>
      </c>
      <c r="P184" s="178">
        <f>NETWORKDAYS(Table1[[#This Row],[Planned Start Date]],$P$7)</f>
        <v>30643</v>
      </c>
      <c r="Q184" s="129"/>
      <c r="R184" s="183" t="str">
        <f>IF(Table1[[#This Row],[Actual Effort (Hours)]]="","",IF(Table1[[#This Row],[Estimated Effort (Hours)]]&lt;20,"L1",IF(Table1[[#This Row],[Estimated Effort (Hours)]]&lt;50,"L2",IF(Table1[[#This Row],[Estimated Effort (Hours)]]&lt;150,"L3",IF(Table1[[#This Row],[Estimated Effort (Hours)]]&lt;300,"L4","L5")))))</f>
        <v/>
      </c>
      <c r="S184" s="184" t="str">
        <f>IF(Table1[[#This Row],[Actual End Date]]="","",TEXT(Table1[[#This Row],[Actual End Date]],"mmm-yy"))</f>
        <v/>
      </c>
      <c r="T1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 s="185" t="str">
        <f>IFERROR((Table1[[#This Row],[Actual Effort (Hours)]]-Table1[[#This Row],[Estimated Effort (Hours)]])/Table1[[#This Row],[Estimated Effort (Hours)]],"")</f>
        <v/>
      </c>
      <c r="V184" s="149"/>
    </row>
    <row r="185" spans="2:22">
      <c r="B185" s="64"/>
      <c r="C185" s="116"/>
      <c r="D185" s="116"/>
      <c r="E185" s="123"/>
      <c r="F185" s="123"/>
      <c r="G185" s="116"/>
      <c r="H185" s="124"/>
      <c r="I185" s="124"/>
      <c r="J185" s="129"/>
      <c r="K185" s="124"/>
      <c r="L185" s="124"/>
      <c r="M185" s="129"/>
      <c r="N185" s="129" t="e">
        <f>Table1[[#This Row],[Estimated Effort (Hours)]]/NETWORKDAYS(Table1[[#This Row],[Planned Start Date]],Table1[[#This Row],[Planned End Date]])</f>
        <v>#DIV/0!</v>
      </c>
      <c r="O185" s="178">
        <f>NETWORKDAYS(Table1[[#This Row],[Planned Start Date]],Table1[[#This Row],[Planned End Date]])</f>
        <v>0</v>
      </c>
      <c r="P185" s="178">
        <f>NETWORKDAYS(Table1[[#This Row],[Planned Start Date]],$P$7)</f>
        <v>30643</v>
      </c>
      <c r="Q185" s="129"/>
      <c r="R185" s="183" t="str">
        <f>IF(Table1[[#This Row],[Actual Effort (Hours)]]="","",IF(Table1[[#This Row],[Estimated Effort (Hours)]]&lt;20,"L1",IF(Table1[[#This Row],[Estimated Effort (Hours)]]&lt;50,"L2",IF(Table1[[#This Row],[Estimated Effort (Hours)]]&lt;150,"L3",IF(Table1[[#This Row],[Estimated Effort (Hours)]]&lt;300,"L4","L5")))))</f>
        <v/>
      </c>
      <c r="S185" s="184" t="str">
        <f>IF(Table1[[#This Row],[Actual End Date]]="","",TEXT(Table1[[#This Row],[Actual End Date]],"mmm-yy"))</f>
        <v/>
      </c>
      <c r="T1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 s="185" t="str">
        <f>IFERROR((Table1[[#This Row],[Actual Effort (Hours)]]-Table1[[#This Row],[Estimated Effort (Hours)]])/Table1[[#This Row],[Estimated Effort (Hours)]],"")</f>
        <v/>
      </c>
      <c r="V185" s="149"/>
    </row>
    <row r="186" spans="2:22">
      <c r="B186" s="64"/>
      <c r="C186" s="116"/>
      <c r="D186" s="116"/>
      <c r="E186" s="123"/>
      <c r="F186" s="123"/>
      <c r="G186" s="116"/>
      <c r="H186" s="124"/>
      <c r="I186" s="124"/>
      <c r="J186" s="129"/>
      <c r="K186" s="124"/>
      <c r="L186" s="124"/>
      <c r="M186" s="129"/>
      <c r="N186" s="129" t="e">
        <f>Table1[[#This Row],[Estimated Effort (Hours)]]/NETWORKDAYS(Table1[[#This Row],[Planned Start Date]],Table1[[#This Row],[Planned End Date]])</f>
        <v>#DIV/0!</v>
      </c>
      <c r="O186" s="178">
        <f>NETWORKDAYS(Table1[[#This Row],[Planned Start Date]],Table1[[#This Row],[Planned End Date]])</f>
        <v>0</v>
      </c>
      <c r="P186" s="178">
        <f>NETWORKDAYS(Table1[[#This Row],[Planned Start Date]],$P$7)</f>
        <v>30643</v>
      </c>
      <c r="Q186" s="129"/>
      <c r="R186" s="183" t="str">
        <f>IF(Table1[[#This Row],[Actual Effort (Hours)]]="","",IF(Table1[[#This Row],[Estimated Effort (Hours)]]&lt;20,"L1",IF(Table1[[#This Row],[Estimated Effort (Hours)]]&lt;50,"L2",IF(Table1[[#This Row],[Estimated Effort (Hours)]]&lt;150,"L3",IF(Table1[[#This Row],[Estimated Effort (Hours)]]&lt;300,"L4","L5")))))</f>
        <v/>
      </c>
      <c r="S186" s="184" t="str">
        <f>IF(Table1[[#This Row],[Actual End Date]]="","",TEXT(Table1[[#This Row],[Actual End Date]],"mmm-yy"))</f>
        <v/>
      </c>
      <c r="T1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 s="185" t="str">
        <f>IFERROR((Table1[[#This Row],[Actual Effort (Hours)]]-Table1[[#This Row],[Estimated Effort (Hours)]])/Table1[[#This Row],[Estimated Effort (Hours)]],"")</f>
        <v/>
      </c>
      <c r="V186" s="149"/>
    </row>
    <row r="187" spans="2:22">
      <c r="B187" s="64"/>
      <c r="C187" s="123"/>
      <c r="D187" s="143"/>
      <c r="E187" s="123"/>
      <c r="F187" s="143"/>
      <c r="G187" s="129"/>
      <c r="H187" s="124"/>
      <c r="I187" s="124"/>
      <c r="J187" s="129"/>
      <c r="K187" s="194"/>
      <c r="L187" s="194"/>
      <c r="M187" s="129"/>
      <c r="N187" s="129" t="e">
        <f>Table1[[#This Row],[Estimated Effort (Hours)]]/NETWORKDAYS(Table1[[#This Row],[Planned Start Date]],Table1[[#This Row],[Planned End Date]])</f>
        <v>#DIV/0!</v>
      </c>
      <c r="O187" s="178">
        <f>NETWORKDAYS(Table1[[#This Row],[Planned Start Date]],Table1[[#This Row],[Planned End Date]])</f>
        <v>0</v>
      </c>
      <c r="P187" s="178">
        <f>NETWORKDAYS(Table1[[#This Row],[Planned Start Date]],$P$7)</f>
        <v>30643</v>
      </c>
      <c r="Q187" s="129"/>
      <c r="R187" s="183" t="str">
        <f>IF(Table1[[#This Row],[Actual Effort (Hours)]]="","",IF(Table1[[#This Row],[Estimated Effort (Hours)]]&lt;20,"L1",IF(Table1[[#This Row],[Estimated Effort (Hours)]]&lt;50,"L2",IF(Table1[[#This Row],[Estimated Effort (Hours)]]&lt;150,"L3",IF(Table1[[#This Row],[Estimated Effort (Hours)]]&lt;300,"L4","L5")))))</f>
        <v/>
      </c>
      <c r="S187" s="184" t="str">
        <f>IF(Table1[[#This Row],[Actual End Date]]="","",TEXT(Table1[[#This Row],[Actual End Date]],"mmm-yy"))</f>
        <v/>
      </c>
      <c r="T1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 s="185" t="str">
        <f>IFERROR((Table1[[#This Row],[Actual Effort (Hours)]]-Table1[[#This Row],[Estimated Effort (Hours)]])/Table1[[#This Row],[Estimated Effort (Hours)]],"")</f>
        <v/>
      </c>
      <c r="V187" s="149"/>
    </row>
    <row r="188" spans="2:22">
      <c r="B188" s="64"/>
      <c r="C188" s="123"/>
      <c r="D188" s="143"/>
      <c r="E188" s="123"/>
      <c r="F188" s="143"/>
      <c r="G188" s="129"/>
      <c r="H188" s="124"/>
      <c r="I188" s="124"/>
      <c r="J188" s="129"/>
      <c r="K188" s="194"/>
      <c r="L188" s="194"/>
      <c r="M188" s="129"/>
      <c r="N188" s="129" t="e">
        <f>Table1[[#This Row],[Estimated Effort (Hours)]]/NETWORKDAYS(Table1[[#This Row],[Planned Start Date]],Table1[[#This Row],[Planned End Date]])</f>
        <v>#DIV/0!</v>
      </c>
      <c r="O188" s="178">
        <f>NETWORKDAYS(Table1[[#This Row],[Planned Start Date]],Table1[[#This Row],[Planned End Date]])</f>
        <v>0</v>
      </c>
      <c r="P188" s="178">
        <f>NETWORKDAYS(Table1[[#This Row],[Planned Start Date]],$P$7)</f>
        <v>30643</v>
      </c>
      <c r="Q188" s="129"/>
      <c r="R188" s="183" t="str">
        <f>IF(Table1[[#This Row],[Actual Effort (Hours)]]="","",IF(Table1[[#This Row],[Estimated Effort (Hours)]]&lt;20,"L1",IF(Table1[[#This Row],[Estimated Effort (Hours)]]&lt;50,"L2",IF(Table1[[#This Row],[Estimated Effort (Hours)]]&lt;150,"L3",IF(Table1[[#This Row],[Estimated Effort (Hours)]]&lt;300,"L4","L5")))))</f>
        <v/>
      </c>
      <c r="S188" s="184" t="str">
        <f>IF(Table1[[#This Row],[Actual End Date]]="","",TEXT(Table1[[#This Row],[Actual End Date]],"mmm-yy"))</f>
        <v/>
      </c>
      <c r="T1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 s="185" t="str">
        <f>IFERROR((Table1[[#This Row],[Actual Effort (Hours)]]-Table1[[#This Row],[Estimated Effort (Hours)]])/Table1[[#This Row],[Estimated Effort (Hours)]],"")</f>
        <v/>
      </c>
      <c r="V188" s="149"/>
    </row>
    <row r="189" spans="2:22">
      <c r="B189" s="64"/>
      <c r="C189" s="123"/>
      <c r="D189" s="143"/>
      <c r="E189" s="123"/>
      <c r="F189" s="143"/>
      <c r="G189" s="129"/>
      <c r="H189" s="124"/>
      <c r="I189" s="124"/>
      <c r="J189" s="129"/>
      <c r="K189" s="194"/>
      <c r="L189" s="194"/>
      <c r="M189" s="129"/>
      <c r="N189" s="129" t="e">
        <f>Table1[[#This Row],[Estimated Effort (Hours)]]/NETWORKDAYS(Table1[[#This Row],[Planned Start Date]],Table1[[#This Row],[Planned End Date]])</f>
        <v>#DIV/0!</v>
      </c>
      <c r="O189" s="178">
        <f>NETWORKDAYS(Table1[[#This Row],[Planned Start Date]],Table1[[#This Row],[Planned End Date]])</f>
        <v>0</v>
      </c>
      <c r="P189" s="178">
        <f>NETWORKDAYS(Table1[[#This Row],[Planned Start Date]],$P$7)</f>
        <v>30643</v>
      </c>
      <c r="Q189" s="129"/>
      <c r="R189" s="183" t="str">
        <f>IF(Table1[[#This Row],[Actual Effort (Hours)]]="","",IF(Table1[[#This Row],[Estimated Effort (Hours)]]&lt;20,"L1",IF(Table1[[#This Row],[Estimated Effort (Hours)]]&lt;50,"L2",IF(Table1[[#This Row],[Estimated Effort (Hours)]]&lt;150,"L3",IF(Table1[[#This Row],[Estimated Effort (Hours)]]&lt;300,"L4","L5")))))</f>
        <v/>
      </c>
      <c r="S189" s="184" t="str">
        <f>IF(Table1[[#This Row],[Actual End Date]]="","",TEXT(Table1[[#This Row],[Actual End Date]],"mmm-yy"))</f>
        <v/>
      </c>
      <c r="T1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 s="185" t="str">
        <f>IFERROR((Table1[[#This Row],[Actual Effort (Hours)]]-Table1[[#This Row],[Estimated Effort (Hours)]])/Table1[[#This Row],[Estimated Effort (Hours)]],"")</f>
        <v/>
      </c>
      <c r="V189" s="149"/>
    </row>
    <row r="190" spans="2:22">
      <c r="B190" s="64"/>
      <c r="C190" s="123"/>
      <c r="D190" s="143"/>
      <c r="E190" s="123"/>
      <c r="F190" s="143"/>
      <c r="G190" s="129"/>
      <c r="H190" s="124"/>
      <c r="I190" s="124"/>
      <c r="J190" s="129"/>
      <c r="K190" s="194"/>
      <c r="L190" s="194"/>
      <c r="M190" s="129"/>
      <c r="N190" s="129" t="e">
        <f>Table1[[#This Row],[Estimated Effort (Hours)]]/NETWORKDAYS(Table1[[#This Row],[Planned Start Date]],Table1[[#This Row],[Planned End Date]])</f>
        <v>#DIV/0!</v>
      </c>
      <c r="O190" s="178">
        <f>NETWORKDAYS(Table1[[#This Row],[Planned Start Date]],Table1[[#This Row],[Planned End Date]])</f>
        <v>0</v>
      </c>
      <c r="P190" s="178">
        <f>NETWORKDAYS(Table1[[#This Row],[Planned Start Date]],$P$7)</f>
        <v>30643</v>
      </c>
      <c r="Q190" s="129"/>
      <c r="R190" s="183" t="str">
        <f>IF(Table1[[#This Row],[Actual Effort (Hours)]]="","",IF(Table1[[#This Row],[Estimated Effort (Hours)]]&lt;20,"L1",IF(Table1[[#This Row],[Estimated Effort (Hours)]]&lt;50,"L2",IF(Table1[[#This Row],[Estimated Effort (Hours)]]&lt;150,"L3",IF(Table1[[#This Row],[Estimated Effort (Hours)]]&lt;300,"L4","L5")))))</f>
        <v/>
      </c>
      <c r="S190" s="184" t="str">
        <f>IF(Table1[[#This Row],[Actual End Date]]="","",TEXT(Table1[[#This Row],[Actual End Date]],"mmm-yy"))</f>
        <v/>
      </c>
      <c r="T1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 s="185" t="str">
        <f>IFERROR((Table1[[#This Row],[Actual Effort (Hours)]]-Table1[[#This Row],[Estimated Effort (Hours)]])/Table1[[#This Row],[Estimated Effort (Hours)]],"")</f>
        <v/>
      </c>
      <c r="V190" s="149"/>
    </row>
    <row r="191" spans="2:22">
      <c r="B191" s="64"/>
      <c r="C191" s="123"/>
      <c r="D191" s="143"/>
      <c r="E191" s="123"/>
      <c r="F191" s="143"/>
      <c r="G191" s="129"/>
      <c r="H191" s="124"/>
      <c r="I191" s="124"/>
      <c r="J191" s="129"/>
      <c r="K191" s="194"/>
      <c r="L191" s="194"/>
      <c r="M191" s="129"/>
      <c r="N191" s="129" t="e">
        <f>Table1[[#This Row],[Estimated Effort (Hours)]]/NETWORKDAYS(Table1[[#This Row],[Planned Start Date]],Table1[[#This Row],[Planned End Date]])</f>
        <v>#DIV/0!</v>
      </c>
      <c r="O191" s="178">
        <f>NETWORKDAYS(Table1[[#This Row],[Planned Start Date]],Table1[[#This Row],[Planned End Date]])</f>
        <v>0</v>
      </c>
      <c r="P191" s="178">
        <f>NETWORKDAYS(Table1[[#This Row],[Planned Start Date]],$P$7)</f>
        <v>30643</v>
      </c>
      <c r="Q191" s="129"/>
      <c r="R191" s="183" t="str">
        <f>IF(Table1[[#This Row],[Actual Effort (Hours)]]="","",IF(Table1[[#This Row],[Estimated Effort (Hours)]]&lt;20,"L1",IF(Table1[[#This Row],[Estimated Effort (Hours)]]&lt;50,"L2",IF(Table1[[#This Row],[Estimated Effort (Hours)]]&lt;150,"L3",IF(Table1[[#This Row],[Estimated Effort (Hours)]]&lt;300,"L4","L5")))))</f>
        <v/>
      </c>
      <c r="S191" s="184" t="str">
        <f>IF(Table1[[#This Row],[Actual End Date]]="","",TEXT(Table1[[#This Row],[Actual End Date]],"mmm-yy"))</f>
        <v/>
      </c>
      <c r="T1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 s="185" t="str">
        <f>IFERROR((Table1[[#This Row],[Actual Effort (Hours)]]-Table1[[#This Row],[Estimated Effort (Hours)]])/Table1[[#This Row],[Estimated Effort (Hours)]],"")</f>
        <v/>
      </c>
      <c r="V191" s="149"/>
    </row>
    <row r="192" spans="2:22">
      <c r="B192" s="64"/>
      <c r="C192" s="123"/>
      <c r="D192" s="143"/>
      <c r="E192" s="123"/>
      <c r="F192" s="143"/>
      <c r="G192" s="129"/>
      <c r="H192" s="124"/>
      <c r="I192" s="124"/>
      <c r="J192" s="129"/>
      <c r="K192" s="194"/>
      <c r="L192" s="194"/>
      <c r="M192" s="129"/>
      <c r="N192" s="129" t="e">
        <f>Table1[[#This Row],[Estimated Effort (Hours)]]/NETWORKDAYS(Table1[[#This Row],[Planned Start Date]],Table1[[#This Row],[Planned End Date]])</f>
        <v>#DIV/0!</v>
      </c>
      <c r="O192" s="178">
        <f>NETWORKDAYS(Table1[[#This Row],[Planned Start Date]],Table1[[#This Row],[Planned End Date]])</f>
        <v>0</v>
      </c>
      <c r="P192" s="178">
        <f>NETWORKDAYS(Table1[[#This Row],[Planned Start Date]],$P$7)</f>
        <v>30643</v>
      </c>
      <c r="Q192" s="129"/>
      <c r="R192" s="183" t="str">
        <f>IF(Table1[[#This Row],[Actual Effort (Hours)]]="","",IF(Table1[[#This Row],[Estimated Effort (Hours)]]&lt;20,"L1",IF(Table1[[#This Row],[Estimated Effort (Hours)]]&lt;50,"L2",IF(Table1[[#This Row],[Estimated Effort (Hours)]]&lt;150,"L3",IF(Table1[[#This Row],[Estimated Effort (Hours)]]&lt;300,"L4","L5")))))</f>
        <v/>
      </c>
      <c r="S192" s="184" t="str">
        <f>IF(Table1[[#This Row],[Actual End Date]]="","",TEXT(Table1[[#This Row],[Actual End Date]],"mmm-yy"))</f>
        <v/>
      </c>
      <c r="T1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 s="185" t="str">
        <f>IFERROR((Table1[[#This Row],[Actual Effort (Hours)]]-Table1[[#This Row],[Estimated Effort (Hours)]])/Table1[[#This Row],[Estimated Effort (Hours)]],"")</f>
        <v/>
      </c>
      <c r="V192" s="149"/>
    </row>
    <row r="193" spans="2:22">
      <c r="B193" s="64"/>
      <c r="C193" s="123"/>
      <c r="D193" s="143"/>
      <c r="E193" s="123"/>
      <c r="F193" s="143"/>
      <c r="G193" s="129"/>
      <c r="H193" s="124"/>
      <c r="I193" s="124"/>
      <c r="J193" s="129"/>
      <c r="K193" s="194"/>
      <c r="L193" s="194"/>
      <c r="M193" s="129"/>
      <c r="N193" s="129" t="e">
        <f>Table1[[#This Row],[Estimated Effort (Hours)]]/NETWORKDAYS(Table1[[#This Row],[Planned Start Date]],Table1[[#This Row],[Planned End Date]])</f>
        <v>#DIV/0!</v>
      </c>
      <c r="O193" s="178">
        <f>NETWORKDAYS(Table1[[#This Row],[Planned Start Date]],Table1[[#This Row],[Planned End Date]])</f>
        <v>0</v>
      </c>
      <c r="P193" s="178">
        <f>NETWORKDAYS(Table1[[#This Row],[Planned Start Date]],$P$7)</f>
        <v>30643</v>
      </c>
      <c r="Q193" s="129"/>
      <c r="R193" s="183" t="str">
        <f>IF(Table1[[#This Row],[Actual Effort (Hours)]]="","",IF(Table1[[#This Row],[Estimated Effort (Hours)]]&lt;20,"L1",IF(Table1[[#This Row],[Estimated Effort (Hours)]]&lt;50,"L2",IF(Table1[[#This Row],[Estimated Effort (Hours)]]&lt;150,"L3",IF(Table1[[#This Row],[Estimated Effort (Hours)]]&lt;300,"L4","L5")))))</f>
        <v/>
      </c>
      <c r="S193" s="184" t="str">
        <f>IF(Table1[[#This Row],[Actual End Date]]="","",TEXT(Table1[[#This Row],[Actual End Date]],"mmm-yy"))</f>
        <v/>
      </c>
      <c r="T1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3" s="185" t="str">
        <f>IFERROR((Table1[[#This Row],[Actual Effort (Hours)]]-Table1[[#This Row],[Estimated Effort (Hours)]])/Table1[[#This Row],[Estimated Effort (Hours)]],"")</f>
        <v/>
      </c>
      <c r="V193" s="149"/>
    </row>
    <row r="194" spans="2:22">
      <c r="B194" s="64"/>
      <c r="C194" s="123"/>
      <c r="D194" s="143"/>
      <c r="E194" s="123"/>
      <c r="F194" s="143"/>
      <c r="G194" s="129"/>
      <c r="H194" s="124"/>
      <c r="I194" s="124"/>
      <c r="J194" s="129"/>
      <c r="K194" s="194"/>
      <c r="L194" s="194"/>
      <c r="M194" s="129"/>
      <c r="N194" s="129" t="e">
        <f>Table1[[#This Row],[Estimated Effort (Hours)]]/NETWORKDAYS(Table1[[#This Row],[Planned Start Date]],Table1[[#This Row],[Planned End Date]])</f>
        <v>#DIV/0!</v>
      </c>
      <c r="O194" s="178">
        <f>NETWORKDAYS(Table1[[#This Row],[Planned Start Date]],Table1[[#This Row],[Planned End Date]])</f>
        <v>0</v>
      </c>
      <c r="P194" s="178">
        <f>NETWORKDAYS(Table1[[#This Row],[Planned Start Date]],$P$7)</f>
        <v>30643</v>
      </c>
      <c r="Q194" s="129"/>
      <c r="R194" s="183" t="str">
        <f>IF(Table1[[#This Row],[Actual Effort (Hours)]]="","",IF(Table1[[#This Row],[Estimated Effort (Hours)]]&lt;20,"L1",IF(Table1[[#This Row],[Estimated Effort (Hours)]]&lt;50,"L2",IF(Table1[[#This Row],[Estimated Effort (Hours)]]&lt;150,"L3",IF(Table1[[#This Row],[Estimated Effort (Hours)]]&lt;300,"L4","L5")))))</f>
        <v/>
      </c>
      <c r="S194" s="184" t="str">
        <f>IF(Table1[[#This Row],[Actual End Date]]="","",TEXT(Table1[[#This Row],[Actual End Date]],"mmm-yy"))</f>
        <v/>
      </c>
      <c r="T1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4" s="185" t="str">
        <f>IFERROR((Table1[[#This Row],[Actual Effort (Hours)]]-Table1[[#This Row],[Estimated Effort (Hours)]])/Table1[[#This Row],[Estimated Effort (Hours)]],"")</f>
        <v/>
      </c>
      <c r="V194" s="149"/>
    </row>
    <row r="195" spans="2:22">
      <c r="B195" s="64"/>
      <c r="C195" s="123"/>
      <c r="D195" s="143"/>
      <c r="E195" s="123"/>
      <c r="F195" s="143"/>
      <c r="G195" s="129"/>
      <c r="H195" s="124"/>
      <c r="I195" s="124"/>
      <c r="J195" s="129"/>
      <c r="K195" s="194"/>
      <c r="L195" s="194"/>
      <c r="M195" s="129"/>
      <c r="N195" s="129" t="e">
        <f>Table1[[#This Row],[Estimated Effort (Hours)]]/NETWORKDAYS(Table1[[#This Row],[Planned Start Date]],Table1[[#This Row],[Planned End Date]])</f>
        <v>#DIV/0!</v>
      </c>
      <c r="O195" s="178">
        <f>NETWORKDAYS(Table1[[#This Row],[Planned Start Date]],Table1[[#This Row],[Planned End Date]])</f>
        <v>0</v>
      </c>
      <c r="P195" s="178">
        <f>NETWORKDAYS(Table1[[#This Row],[Planned Start Date]],$P$7)</f>
        <v>30643</v>
      </c>
      <c r="Q195" s="129"/>
      <c r="R195" s="183" t="str">
        <f>IF(Table1[[#This Row],[Actual Effort (Hours)]]="","",IF(Table1[[#This Row],[Estimated Effort (Hours)]]&lt;20,"L1",IF(Table1[[#This Row],[Estimated Effort (Hours)]]&lt;50,"L2",IF(Table1[[#This Row],[Estimated Effort (Hours)]]&lt;150,"L3",IF(Table1[[#This Row],[Estimated Effort (Hours)]]&lt;300,"L4","L5")))))</f>
        <v/>
      </c>
      <c r="S195" s="184" t="str">
        <f>IF(Table1[[#This Row],[Actual End Date]]="","",TEXT(Table1[[#This Row],[Actual End Date]],"mmm-yy"))</f>
        <v/>
      </c>
      <c r="T1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5" s="185" t="str">
        <f>IFERROR((Table1[[#This Row],[Actual Effort (Hours)]]-Table1[[#This Row],[Estimated Effort (Hours)]])/Table1[[#This Row],[Estimated Effort (Hours)]],"")</f>
        <v/>
      </c>
      <c r="V195" s="149"/>
    </row>
    <row r="196" spans="2:22">
      <c r="B196" s="64"/>
      <c r="C196" s="123"/>
      <c r="D196" s="143"/>
      <c r="E196" s="123"/>
      <c r="F196" s="143"/>
      <c r="G196" s="129"/>
      <c r="H196" s="124"/>
      <c r="I196" s="124"/>
      <c r="J196" s="129"/>
      <c r="K196" s="194"/>
      <c r="L196" s="194"/>
      <c r="M196" s="129"/>
      <c r="N196" s="129" t="e">
        <f>Table1[[#This Row],[Estimated Effort (Hours)]]/NETWORKDAYS(Table1[[#This Row],[Planned Start Date]],Table1[[#This Row],[Planned End Date]])</f>
        <v>#DIV/0!</v>
      </c>
      <c r="O196" s="178">
        <f>NETWORKDAYS(Table1[[#This Row],[Planned Start Date]],Table1[[#This Row],[Planned End Date]])</f>
        <v>0</v>
      </c>
      <c r="P196" s="178">
        <f>NETWORKDAYS(Table1[[#This Row],[Planned Start Date]],$P$7)</f>
        <v>30643</v>
      </c>
      <c r="Q196" s="129"/>
      <c r="R196" s="183" t="str">
        <f>IF(Table1[[#This Row],[Actual Effort (Hours)]]="","",IF(Table1[[#This Row],[Estimated Effort (Hours)]]&lt;20,"L1",IF(Table1[[#This Row],[Estimated Effort (Hours)]]&lt;50,"L2",IF(Table1[[#This Row],[Estimated Effort (Hours)]]&lt;150,"L3",IF(Table1[[#This Row],[Estimated Effort (Hours)]]&lt;300,"L4","L5")))))</f>
        <v/>
      </c>
      <c r="S196" s="184" t="str">
        <f>IF(Table1[[#This Row],[Actual End Date]]="","",TEXT(Table1[[#This Row],[Actual End Date]],"mmm-yy"))</f>
        <v/>
      </c>
      <c r="T1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6" s="185" t="str">
        <f>IFERROR((Table1[[#This Row],[Actual Effort (Hours)]]-Table1[[#This Row],[Estimated Effort (Hours)]])/Table1[[#This Row],[Estimated Effort (Hours)]],"")</f>
        <v/>
      </c>
      <c r="V196" s="149"/>
    </row>
    <row r="197" spans="2:22">
      <c r="B197" s="64"/>
      <c r="C197" s="123"/>
      <c r="D197" s="143"/>
      <c r="E197" s="123"/>
      <c r="F197" s="143"/>
      <c r="G197" s="129"/>
      <c r="H197" s="124"/>
      <c r="I197" s="124"/>
      <c r="J197" s="129"/>
      <c r="K197" s="194"/>
      <c r="L197" s="194"/>
      <c r="M197" s="129"/>
      <c r="N197" s="129" t="e">
        <f>Table1[[#This Row],[Estimated Effort (Hours)]]/NETWORKDAYS(Table1[[#This Row],[Planned Start Date]],Table1[[#This Row],[Planned End Date]])</f>
        <v>#DIV/0!</v>
      </c>
      <c r="O197" s="178">
        <f>NETWORKDAYS(Table1[[#This Row],[Planned Start Date]],Table1[[#This Row],[Planned End Date]])</f>
        <v>0</v>
      </c>
      <c r="P197" s="178">
        <f>NETWORKDAYS(Table1[[#This Row],[Planned Start Date]],$P$7)</f>
        <v>30643</v>
      </c>
      <c r="Q197" s="129"/>
      <c r="R197" s="183" t="str">
        <f>IF(Table1[[#This Row],[Actual Effort (Hours)]]="","",IF(Table1[[#This Row],[Estimated Effort (Hours)]]&lt;20,"L1",IF(Table1[[#This Row],[Estimated Effort (Hours)]]&lt;50,"L2",IF(Table1[[#This Row],[Estimated Effort (Hours)]]&lt;150,"L3",IF(Table1[[#This Row],[Estimated Effort (Hours)]]&lt;300,"L4","L5")))))</f>
        <v/>
      </c>
      <c r="S197" s="184" t="str">
        <f>IF(Table1[[#This Row],[Actual End Date]]="","",TEXT(Table1[[#This Row],[Actual End Date]],"mmm-yy"))</f>
        <v/>
      </c>
      <c r="T1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7" s="185" t="str">
        <f>IFERROR((Table1[[#This Row],[Actual Effort (Hours)]]-Table1[[#This Row],[Estimated Effort (Hours)]])/Table1[[#This Row],[Estimated Effort (Hours)]],"")</f>
        <v/>
      </c>
      <c r="V197" s="149"/>
    </row>
    <row r="198" spans="2:22">
      <c r="B198" s="64"/>
      <c r="C198" s="123"/>
      <c r="D198" s="143"/>
      <c r="E198" s="123"/>
      <c r="F198" s="143"/>
      <c r="G198" s="129"/>
      <c r="H198" s="124"/>
      <c r="I198" s="124"/>
      <c r="J198" s="129"/>
      <c r="K198" s="194"/>
      <c r="L198" s="194"/>
      <c r="M198" s="129"/>
      <c r="N198" s="129" t="e">
        <f>Table1[[#This Row],[Estimated Effort (Hours)]]/NETWORKDAYS(Table1[[#This Row],[Planned Start Date]],Table1[[#This Row],[Planned End Date]])</f>
        <v>#DIV/0!</v>
      </c>
      <c r="O198" s="178">
        <f>NETWORKDAYS(Table1[[#This Row],[Planned Start Date]],Table1[[#This Row],[Planned End Date]])</f>
        <v>0</v>
      </c>
      <c r="P198" s="178">
        <f>NETWORKDAYS(Table1[[#This Row],[Planned Start Date]],$P$7)</f>
        <v>30643</v>
      </c>
      <c r="Q198" s="129"/>
      <c r="R198" s="183" t="str">
        <f>IF(Table1[[#This Row],[Actual Effort (Hours)]]="","",IF(Table1[[#This Row],[Estimated Effort (Hours)]]&lt;20,"L1",IF(Table1[[#This Row],[Estimated Effort (Hours)]]&lt;50,"L2",IF(Table1[[#This Row],[Estimated Effort (Hours)]]&lt;150,"L3",IF(Table1[[#This Row],[Estimated Effort (Hours)]]&lt;300,"L4","L5")))))</f>
        <v/>
      </c>
      <c r="S198" s="184" t="str">
        <f>IF(Table1[[#This Row],[Actual End Date]]="","",TEXT(Table1[[#This Row],[Actual End Date]],"mmm-yy"))</f>
        <v/>
      </c>
      <c r="T1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8" s="185" t="str">
        <f>IFERROR((Table1[[#This Row],[Actual Effort (Hours)]]-Table1[[#This Row],[Estimated Effort (Hours)]])/Table1[[#This Row],[Estimated Effort (Hours)]],"")</f>
        <v/>
      </c>
      <c r="V198" s="149"/>
    </row>
    <row r="199" spans="2:22">
      <c r="B199" s="64"/>
      <c r="C199" s="123"/>
      <c r="D199" s="143"/>
      <c r="E199" s="123"/>
      <c r="F199" s="143"/>
      <c r="G199" s="129"/>
      <c r="H199" s="124"/>
      <c r="I199" s="124"/>
      <c r="J199" s="129"/>
      <c r="K199" s="194"/>
      <c r="L199" s="194"/>
      <c r="M199" s="129"/>
      <c r="N199" s="129" t="e">
        <f>Table1[[#This Row],[Estimated Effort (Hours)]]/NETWORKDAYS(Table1[[#This Row],[Planned Start Date]],Table1[[#This Row],[Planned End Date]])</f>
        <v>#DIV/0!</v>
      </c>
      <c r="O199" s="178">
        <f>NETWORKDAYS(Table1[[#This Row],[Planned Start Date]],Table1[[#This Row],[Planned End Date]])</f>
        <v>0</v>
      </c>
      <c r="P199" s="178">
        <f>NETWORKDAYS(Table1[[#This Row],[Planned Start Date]],$P$7)</f>
        <v>30643</v>
      </c>
      <c r="Q199" s="129"/>
      <c r="R199" s="183" t="str">
        <f>IF(Table1[[#This Row],[Actual Effort (Hours)]]="","",IF(Table1[[#This Row],[Estimated Effort (Hours)]]&lt;20,"L1",IF(Table1[[#This Row],[Estimated Effort (Hours)]]&lt;50,"L2",IF(Table1[[#This Row],[Estimated Effort (Hours)]]&lt;150,"L3",IF(Table1[[#This Row],[Estimated Effort (Hours)]]&lt;300,"L4","L5")))))</f>
        <v/>
      </c>
      <c r="S199" s="184" t="str">
        <f>IF(Table1[[#This Row],[Actual End Date]]="","",TEXT(Table1[[#This Row],[Actual End Date]],"mmm-yy"))</f>
        <v/>
      </c>
      <c r="T1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9" s="185" t="str">
        <f>IFERROR((Table1[[#This Row],[Actual Effort (Hours)]]-Table1[[#This Row],[Estimated Effort (Hours)]])/Table1[[#This Row],[Estimated Effort (Hours)]],"")</f>
        <v/>
      </c>
      <c r="V199" s="149"/>
    </row>
    <row r="200" spans="2:22">
      <c r="B200" s="64"/>
      <c r="C200" s="123"/>
      <c r="D200" s="143"/>
      <c r="E200" s="123"/>
      <c r="F200" s="143"/>
      <c r="G200" s="129"/>
      <c r="H200" s="124"/>
      <c r="I200" s="124"/>
      <c r="J200" s="129"/>
      <c r="K200" s="194"/>
      <c r="L200" s="194"/>
      <c r="M200" s="129"/>
      <c r="N200" s="129" t="e">
        <f>Table1[[#This Row],[Estimated Effort (Hours)]]/NETWORKDAYS(Table1[[#This Row],[Planned Start Date]],Table1[[#This Row],[Planned End Date]])</f>
        <v>#DIV/0!</v>
      </c>
      <c r="O200" s="178">
        <f>NETWORKDAYS(Table1[[#This Row],[Planned Start Date]],Table1[[#This Row],[Planned End Date]])</f>
        <v>0</v>
      </c>
      <c r="P200" s="178">
        <f>NETWORKDAYS(Table1[[#This Row],[Planned Start Date]],$P$7)</f>
        <v>30643</v>
      </c>
      <c r="Q200" s="129"/>
      <c r="R200" s="183" t="str">
        <f>IF(Table1[[#This Row],[Actual Effort (Hours)]]="","",IF(Table1[[#This Row],[Estimated Effort (Hours)]]&lt;20,"L1",IF(Table1[[#This Row],[Estimated Effort (Hours)]]&lt;50,"L2",IF(Table1[[#This Row],[Estimated Effort (Hours)]]&lt;150,"L3",IF(Table1[[#This Row],[Estimated Effort (Hours)]]&lt;300,"L4","L5")))))</f>
        <v/>
      </c>
      <c r="S200" s="184" t="str">
        <f>IF(Table1[[#This Row],[Actual End Date]]="","",TEXT(Table1[[#This Row],[Actual End Date]],"mmm-yy"))</f>
        <v/>
      </c>
      <c r="T2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0" s="185" t="str">
        <f>IFERROR((Table1[[#This Row],[Actual Effort (Hours)]]-Table1[[#This Row],[Estimated Effort (Hours)]])/Table1[[#This Row],[Estimated Effort (Hours)]],"")</f>
        <v/>
      </c>
      <c r="V200" s="149"/>
    </row>
    <row r="201" spans="2:22">
      <c r="B201" s="195"/>
      <c r="C201" s="123"/>
      <c r="D201" s="143"/>
      <c r="E201" s="123"/>
      <c r="F201" s="143"/>
      <c r="G201" s="129"/>
      <c r="H201" s="124"/>
      <c r="I201" s="124"/>
      <c r="J201" s="129"/>
      <c r="K201" s="124"/>
      <c r="L201" s="124"/>
      <c r="M201" s="129"/>
      <c r="N201" s="129" t="e">
        <f>Table1[[#This Row],[Estimated Effort (Hours)]]/NETWORKDAYS(Table1[[#This Row],[Planned Start Date]],Table1[[#This Row],[Planned End Date]])</f>
        <v>#DIV/0!</v>
      </c>
      <c r="O201" s="178">
        <f>NETWORKDAYS(Table1[[#This Row],[Planned Start Date]],Table1[[#This Row],[Planned End Date]])</f>
        <v>0</v>
      </c>
      <c r="P201" s="178">
        <f>NETWORKDAYS(Table1[[#This Row],[Planned Start Date]],$P$7)</f>
        <v>30643</v>
      </c>
      <c r="Q201" s="129"/>
      <c r="R201" s="183" t="str">
        <f>IF(Table1[[#This Row],[Actual Effort (Hours)]]="","",IF(Table1[[#This Row],[Estimated Effort (Hours)]]&lt;20,"L1",IF(Table1[[#This Row],[Estimated Effort (Hours)]]&lt;50,"L2",IF(Table1[[#This Row],[Estimated Effort (Hours)]]&lt;150,"L3",IF(Table1[[#This Row],[Estimated Effort (Hours)]]&lt;300,"L4","L5")))))</f>
        <v/>
      </c>
      <c r="S201" s="184" t="str">
        <f>IF(Table1[[#This Row],[Actual End Date]]="","",TEXT(Table1[[#This Row],[Actual End Date]],"mmm-yy"))</f>
        <v/>
      </c>
      <c r="T2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1" s="185" t="str">
        <f>IFERROR((Table1[[#This Row],[Actual Effort (Hours)]]-Table1[[#This Row],[Estimated Effort (Hours)]])/Table1[[#This Row],[Estimated Effort (Hours)]],"")</f>
        <v/>
      </c>
      <c r="V201" s="149"/>
    </row>
    <row r="202" spans="2:22">
      <c r="B202" s="195"/>
      <c r="C202" s="123"/>
      <c r="D202" s="143"/>
      <c r="E202" s="123"/>
      <c r="F202" s="143"/>
      <c r="G202" s="129"/>
      <c r="H202" s="124"/>
      <c r="I202" s="124"/>
      <c r="J202" s="129"/>
      <c r="K202" s="124"/>
      <c r="L202" s="124"/>
      <c r="M202" s="129"/>
      <c r="N202" s="129" t="e">
        <f>Table1[[#This Row],[Estimated Effort (Hours)]]/NETWORKDAYS(Table1[[#This Row],[Planned Start Date]],Table1[[#This Row],[Planned End Date]])</f>
        <v>#DIV/0!</v>
      </c>
      <c r="O202" s="178">
        <f>NETWORKDAYS(Table1[[#This Row],[Planned Start Date]],Table1[[#This Row],[Planned End Date]])</f>
        <v>0</v>
      </c>
      <c r="P202" s="178">
        <f>NETWORKDAYS(Table1[[#This Row],[Planned Start Date]],$P$7)</f>
        <v>30643</v>
      </c>
      <c r="Q202" s="129"/>
      <c r="R202" s="183" t="str">
        <f>IF(Table1[[#This Row],[Actual Effort (Hours)]]="","",IF(Table1[[#This Row],[Estimated Effort (Hours)]]&lt;20,"L1",IF(Table1[[#This Row],[Estimated Effort (Hours)]]&lt;50,"L2",IF(Table1[[#This Row],[Estimated Effort (Hours)]]&lt;150,"L3",IF(Table1[[#This Row],[Estimated Effort (Hours)]]&lt;300,"L4","L5")))))</f>
        <v/>
      </c>
      <c r="S202" s="184" t="str">
        <f>IF(Table1[[#This Row],[Actual End Date]]="","",TEXT(Table1[[#This Row],[Actual End Date]],"mmm-yy"))</f>
        <v/>
      </c>
      <c r="T2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2" s="185" t="str">
        <f>IFERROR((Table1[[#This Row],[Actual Effort (Hours)]]-Table1[[#This Row],[Estimated Effort (Hours)]])/Table1[[#This Row],[Estimated Effort (Hours)]],"")</f>
        <v/>
      </c>
      <c r="V202" s="149"/>
    </row>
    <row r="203" spans="2:22">
      <c r="B203" s="195"/>
      <c r="C203" s="123"/>
      <c r="D203" s="143"/>
      <c r="E203" s="123"/>
      <c r="F203" s="143"/>
      <c r="G203" s="129"/>
      <c r="H203" s="124"/>
      <c r="I203" s="124"/>
      <c r="J203" s="129"/>
      <c r="K203" s="124"/>
      <c r="L203" s="124"/>
      <c r="M203" s="129"/>
      <c r="N203" s="129" t="e">
        <f>Table1[[#This Row],[Estimated Effort (Hours)]]/NETWORKDAYS(Table1[[#This Row],[Planned Start Date]],Table1[[#This Row],[Planned End Date]])</f>
        <v>#DIV/0!</v>
      </c>
      <c r="O203" s="178">
        <f>NETWORKDAYS(Table1[[#This Row],[Planned Start Date]],Table1[[#This Row],[Planned End Date]])</f>
        <v>0</v>
      </c>
      <c r="P203" s="178">
        <f>NETWORKDAYS(Table1[[#This Row],[Planned Start Date]],$P$7)</f>
        <v>30643</v>
      </c>
      <c r="Q203" s="129"/>
      <c r="R203" s="183" t="str">
        <f>IF(Table1[[#This Row],[Actual Effort (Hours)]]="","",IF(Table1[[#This Row],[Estimated Effort (Hours)]]&lt;20,"L1",IF(Table1[[#This Row],[Estimated Effort (Hours)]]&lt;50,"L2",IF(Table1[[#This Row],[Estimated Effort (Hours)]]&lt;150,"L3",IF(Table1[[#This Row],[Estimated Effort (Hours)]]&lt;300,"L4","L5")))))</f>
        <v/>
      </c>
      <c r="S203" s="184" t="str">
        <f>IF(Table1[[#This Row],[Actual End Date]]="","",TEXT(Table1[[#This Row],[Actual End Date]],"mmm-yy"))</f>
        <v/>
      </c>
      <c r="T2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3" s="185" t="str">
        <f>IFERROR((Table1[[#This Row],[Actual Effort (Hours)]]-Table1[[#This Row],[Estimated Effort (Hours)]])/Table1[[#This Row],[Estimated Effort (Hours)]],"")</f>
        <v/>
      </c>
      <c r="V203" s="149"/>
    </row>
    <row r="204" spans="2:22">
      <c r="B204" s="195"/>
      <c r="C204" s="123"/>
      <c r="D204" s="143"/>
      <c r="E204" s="123"/>
      <c r="F204" s="143"/>
      <c r="G204" s="129"/>
      <c r="H204" s="124"/>
      <c r="I204" s="124"/>
      <c r="J204" s="129"/>
      <c r="K204" s="124"/>
      <c r="L204" s="124"/>
      <c r="M204" s="129"/>
      <c r="N204" s="129" t="e">
        <f>Table1[[#This Row],[Estimated Effort (Hours)]]/NETWORKDAYS(Table1[[#This Row],[Planned Start Date]],Table1[[#This Row],[Planned End Date]])</f>
        <v>#DIV/0!</v>
      </c>
      <c r="O204" s="178">
        <f>NETWORKDAYS(Table1[[#This Row],[Planned Start Date]],Table1[[#This Row],[Planned End Date]])</f>
        <v>0</v>
      </c>
      <c r="P204" s="178">
        <f>NETWORKDAYS(Table1[[#This Row],[Planned Start Date]],$P$7)</f>
        <v>30643</v>
      </c>
      <c r="Q204" s="129"/>
      <c r="R204" s="183" t="str">
        <f>IF(Table1[[#This Row],[Actual Effort (Hours)]]="","",IF(Table1[[#This Row],[Estimated Effort (Hours)]]&lt;20,"L1",IF(Table1[[#This Row],[Estimated Effort (Hours)]]&lt;50,"L2",IF(Table1[[#This Row],[Estimated Effort (Hours)]]&lt;150,"L3",IF(Table1[[#This Row],[Estimated Effort (Hours)]]&lt;300,"L4","L5")))))</f>
        <v/>
      </c>
      <c r="S204" s="184" t="str">
        <f>IF(Table1[[#This Row],[Actual End Date]]="","",TEXT(Table1[[#This Row],[Actual End Date]],"mmm-yy"))</f>
        <v/>
      </c>
      <c r="T2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4" s="185" t="str">
        <f>IFERROR((Table1[[#This Row],[Actual Effort (Hours)]]-Table1[[#This Row],[Estimated Effort (Hours)]])/Table1[[#This Row],[Estimated Effort (Hours)]],"")</f>
        <v/>
      </c>
      <c r="V204" s="149"/>
    </row>
    <row r="205" spans="2:22">
      <c r="B205" s="195"/>
      <c r="C205" s="123"/>
      <c r="D205" s="143"/>
      <c r="E205" s="123"/>
      <c r="F205" s="143"/>
      <c r="G205" s="129"/>
      <c r="H205" s="124"/>
      <c r="I205" s="124"/>
      <c r="J205" s="129"/>
      <c r="K205" s="124"/>
      <c r="L205" s="124"/>
      <c r="M205" s="129"/>
      <c r="N205" s="129" t="e">
        <f>Table1[[#This Row],[Estimated Effort (Hours)]]/NETWORKDAYS(Table1[[#This Row],[Planned Start Date]],Table1[[#This Row],[Planned End Date]])</f>
        <v>#DIV/0!</v>
      </c>
      <c r="O205" s="178">
        <f>NETWORKDAYS(Table1[[#This Row],[Planned Start Date]],Table1[[#This Row],[Planned End Date]])</f>
        <v>0</v>
      </c>
      <c r="P205" s="178">
        <f>NETWORKDAYS(Table1[[#This Row],[Planned Start Date]],$P$7)</f>
        <v>30643</v>
      </c>
      <c r="Q205" s="129"/>
      <c r="R205" s="183" t="str">
        <f>IF(Table1[[#This Row],[Actual Effort (Hours)]]="","",IF(Table1[[#This Row],[Estimated Effort (Hours)]]&lt;20,"L1",IF(Table1[[#This Row],[Estimated Effort (Hours)]]&lt;50,"L2",IF(Table1[[#This Row],[Estimated Effort (Hours)]]&lt;150,"L3",IF(Table1[[#This Row],[Estimated Effort (Hours)]]&lt;300,"L4","L5")))))</f>
        <v/>
      </c>
      <c r="S205" s="184" t="str">
        <f>IF(Table1[[#This Row],[Actual End Date]]="","",TEXT(Table1[[#This Row],[Actual End Date]],"mmm-yy"))</f>
        <v/>
      </c>
      <c r="T2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5" s="185" t="str">
        <f>IFERROR((Table1[[#This Row],[Actual Effort (Hours)]]-Table1[[#This Row],[Estimated Effort (Hours)]])/Table1[[#This Row],[Estimated Effort (Hours)]],"")</f>
        <v/>
      </c>
      <c r="V205" s="149"/>
    </row>
    <row r="206" spans="2:22">
      <c r="B206" s="195"/>
      <c r="C206" s="123"/>
      <c r="D206" s="143"/>
      <c r="E206" s="123"/>
      <c r="F206" s="143"/>
      <c r="G206" s="129"/>
      <c r="H206" s="124"/>
      <c r="I206" s="124"/>
      <c r="J206" s="129"/>
      <c r="K206" s="124"/>
      <c r="L206" s="124"/>
      <c r="M206" s="129"/>
      <c r="N206" s="129" t="e">
        <f>Table1[[#This Row],[Estimated Effort (Hours)]]/NETWORKDAYS(Table1[[#This Row],[Planned Start Date]],Table1[[#This Row],[Planned End Date]])</f>
        <v>#DIV/0!</v>
      </c>
      <c r="O206" s="178">
        <f>NETWORKDAYS(Table1[[#This Row],[Planned Start Date]],Table1[[#This Row],[Planned End Date]])</f>
        <v>0</v>
      </c>
      <c r="P206" s="178">
        <f>NETWORKDAYS(Table1[[#This Row],[Planned Start Date]],$P$7)</f>
        <v>30643</v>
      </c>
      <c r="Q206" s="129"/>
      <c r="R206" s="183" t="str">
        <f>IF(Table1[[#This Row],[Actual Effort (Hours)]]="","",IF(Table1[[#This Row],[Estimated Effort (Hours)]]&lt;20,"L1",IF(Table1[[#This Row],[Estimated Effort (Hours)]]&lt;50,"L2",IF(Table1[[#This Row],[Estimated Effort (Hours)]]&lt;150,"L3",IF(Table1[[#This Row],[Estimated Effort (Hours)]]&lt;300,"L4","L5")))))</f>
        <v/>
      </c>
      <c r="S206" s="184" t="str">
        <f>IF(Table1[[#This Row],[Actual End Date]]="","",TEXT(Table1[[#This Row],[Actual End Date]],"mmm-yy"))</f>
        <v/>
      </c>
      <c r="T2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6" s="185" t="str">
        <f>IFERROR((Table1[[#This Row],[Actual Effort (Hours)]]-Table1[[#This Row],[Estimated Effort (Hours)]])/Table1[[#This Row],[Estimated Effort (Hours)]],"")</f>
        <v/>
      </c>
      <c r="V206" s="149"/>
    </row>
    <row r="207" spans="2:22">
      <c r="B207" s="195"/>
      <c r="C207" s="123"/>
      <c r="D207" s="143"/>
      <c r="E207" s="123"/>
      <c r="F207" s="143"/>
      <c r="G207" s="129"/>
      <c r="H207" s="124"/>
      <c r="I207" s="124"/>
      <c r="J207" s="129"/>
      <c r="K207" s="124"/>
      <c r="L207" s="124"/>
      <c r="M207" s="129"/>
      <c r="N207" s="129" t="e">
        <f>Table1[[#This Row],[Estimated Effort (Hours)]]/NETWORKDAYS(Table1[[#This Row],[Planned Start Date]],Table1[[#This Row],[Planned End Date]])</f>
        <v>#DIV/0!</v>
      </c>
      <c r="O207" s="178">
        <f>NETWORKDAYS(Table1[[#This Row],[Planned Start Date]],Table1[[#This Row],[Planned End Date]])</f>
        <v>0</v>
      </c>
      <c r="P207" s="178">
        <f>NETWORKDAYS(Table1[[#This Row],[Planned Start Date]],$P$7)</f>
        <v>30643</v>
      </c>
      <c r="Q207" s="129"/>
      <c r="R207" s="183" t="str">
        <f>IF(Table1[[#This Row],[Actual Effort (Hours)]]="","",IF(Table1[[#This Row],[Estimated Effort (Hours)]]&lt;20,"L1",IF(Table1[[#This Row],[Estimated Effort (Hours)]]&lt;50,"L2",IF(Table1[[#This Row],[Estimated Effort (Hours)]]&lt;150,"L3",IF(Table1[[#This Row],[Estimated Effort (Hours)]]&lt;300,"L4","L5")))))</f>
        <v/>
      </c>
      <c r="S207" s="184" t="str">
        <f>IF(Table1[[#This Row],[Actual End Date]]="","",TEXT(Table1[[#This Row],[Actual End Date]],"mmm-yy"))</f>
        <v/>
      </c>
      <c r="T2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7" s="185" t="str">
        <f>IFERROR((Table1[[#This Row],[Actual Effort (Hours)]]-Table1[[#This Row],[Estimated Effort (Hours)]])/Table1[[#This Row],[Estimated Effort (Hours)]],"")</f>
        <v/>
      </c>
      <c r="V207" s="149"/>
    </row>
    <row r="208" spans="2:22">
      <c r="B208" s="195"/>
      <c r="C208" s="123"/>
      <c r="D208" s="143"/>
      <c r="E208" s="123"/>
      <c r="F208" s="143"/>
      <c r="G208" s="129"/>
      <c r="H208" s="124"/>
      <c r="I208" s="124"/>
      <c r="J208" s="129"/>
      <c r="K208" s="124"/>
      <c r="L208" s="124"/>
      <c r="M208" s="129"/>
      <c r="N208" s="129" t="e">
        <f>Table1[[#This Row],[Estimated Effort (Hours)]]/NETWORKDAYS(Table1[[#This Row],[Planned Start Date]],Table1[[#This Row],[Planned End Date]])</f>
        <v>#DIV/0!</v>
      </c>
      <c r="O208" s="178">
        <f>NETWORKDAYS(Table1[[#This Row],[Planned Start Date]],Table1[[#This Row],[Planned End Date]])</f>
        <v>0</v>
      </c>
      <c r="P208" s="178">
        <f>NETWORKDAYS(Table1[[#This Row],[Planned Start Date]],$P$7)</f>
        <v>30643</v>
      </c>
      <c r="Q208" s="129"/>
      <c r="R208" s="183" t="str">
        <f>IF(Table1[[#This Row],[Actual Effort (Hours)]]="","",IF(Table1[[#This Row],[Estimated Effort (Hours)]]&lt;20,"L1",IF(Table1[[#This Row],[Estimated Effort (Hours)]]&lt;50,"L2",IF(Table1[[#This Row],[Estimated Effort (Hours)]]&lt;150,"L3",IF(Table1[[#This Row],[Estimated Effort (Hours)]]&lt;300,"L4","L5")))))</f>
        <v/>
      </c>
      <c r="S208" s="184" t="str">
        <f>IF(Table1[[#This Row],[Actual End Date]]="","",TEXT(Table1[[#This Row],[Actual End Date]],"mmm-yy"))</f>
        <v/>
      </c>
      <c r="T2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8" s="185" t="str">
        <f>IFERROR((Table1[[#This Row],[Actual Effort (Hours)]]-Table1[[#This Row],[Estimated Effort (Hours)]])/Table1[[#This Row],[Estimated Effort (Hours)]],"")</f>
        <v/>
      </c>
      <c r="V208" s="149"/>
    </row>
    <row r="209" spans="2:22">
      <c r="B209" s="195"/>
      <c r="C209" s="123"/>
      <c r="D209" s="143"/>
      <c r="E209" s="123"/>
      <c r="F209" s="143"/>
      <c r="G209" s="129"/>
      <c r="H209" s="124"/>
      <c r="I209" s="124"/>
      <c r="J209" s="129"/>
      <c r="K209" s="124"/>
      <c r="L209" s="124"/>
      <c r="M209" s="129"/>
      <c r="N209" s="129" t="e">
        <f>Table1[[#This Row],[Estimated Effort (Hours)]]/NETWORKDAYS(Table1[[#This Row],[Planned Start Date]],Table1[[#This Row],[Planned End Date]])</f>
        <v>#DIV/0!</v>
      </c>
      <c r="O209" s="178">
        <f>NETWORKDAYS(Table1[[#This Row],[Planned Start Date]],Table1[[#This Row],[Planned End Date]])</f>
        <v>0</v>
      </c>
      <c r="P209" s="178">
        <f>NETWORKDAYS(Table1[[#This Row],[Planned Start Date]],$P$7)</f>
        <v>30643</v>
      </c>
      <c r="Q209" s="129"/>
      <c r="R209" s="183" t="str">
        <f>IF(Table1[[#This Row],[Actual Effort (Hours)]]="","",IF(Table1[[#This Row],[Estimated Effort (Hours)]]&lt;20,"L1",IF(Table1[[#This Row],[Estimated Effort (Hours)]]&lt;50,"L2",IF(Table1[[#This Row],[Estimated Effort (Hours)]]&lt;150,"L3",IF(Table1[[#This Row],[Estimated Effort (Hours)]]&lt;300,"L4","L5")))))</f>
        <v/>
      </c>
      <c r="S209" s="184" t="str">
        <f>IF(Table1[[#This Row],[Actual End Date]]="","",TEXT(Table1[[#This Row],[Actual End Date]],"mmm-yy"))</f>
        <v/>
      </c>
      <c r="T2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09" s="185" t="str">
        <f>IFERROR((Table1[[#This Row],[Actual Effort (Hours)]]-Table1[[#This Row],[Estimated Effort (Hours)]])/Table1[[#This Row],[Estimated Effort (Hours)]],"")</f>
        <v/>
      </c>
      <c r="V209" s="149"/>
    </row>
    <row r="210" spans="2:22">
      <c r="B210" s="195"/>
      <c r="C210" s="123"/>
      <c r="D210" s="143"/>
      <c r="E210" s="123"/>
      <c r="F210" s="143"/>
      <c r="G210" s="129"/>
      <c r="H210" s="124"/>
      <c r="I210" s="124"/>
      <c r="J210" s="129"/>
      <c r="K210" s="124"/>
      <c r="L210" s="124"/>
      <c r="M210" s="129"/>
      <c r="N210" s="129" t="e">
        <f>Table1[[#This Row],[Estimated Effort (Hours)]]/NETWORKDAYS(Table1[[#This Row],[Planned Start Date]],Table1[[#This Row],[Planned End Date]])</f>
        <v>#DIV/0!</v>
      </c>
      <c r="O210" s="178">
        <f>NETWORKDAYS(Table1[[#This Row],[Planned Start Date]],Table1[[#This Row],[Planned End Date]])</f>
        <v>0</v>
      </c>
      <c r="P210" s="178">
        <f>NETWORKDAYS(Table1[[#This Row],[Planned Start Date]],$P$7)</f>
        <v>30643</v>
      </c>
      <c r="Q210" s="129"/>
      <c r="R210" s="183" t="str">
        <f>IF(Table1[[#This Row],[Actual Effort (Hours)]]="","",IF(Table1[[#This Row],[Estimated Effort (Hours)]]&lt;20,"L1",IF(Table1[[#This Row],[Estimated Effort (Hours)]]&lt;50,"L2",IF(Table1[[#This Row],[Estimated Effort (Hours)]]&lt;150,"L3",IF(Table1[[#This Row],[Estimated Effort (Hours)]]&lt;300,"L4","L5")))))</f>
        <v/>
      </c>
      <c r="S210" s="184" t="str">
        <f>IF(Table1[[#This Row],[Actual End Date]]="","",TEXT(Table1[[#This Row],[Actual End Date]],"mmm-yy"))</f>
        <v/>
      </c>
      <c r="T2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0" s="185" t="str">
        <f>IFERROR((Table1[[#This Row],[Actual Effort (Hours)]]-Table1[[#This Row],[Estimated Effort (Hours)]])/Table1[[#This Row],[Estimated Effort (Hours)]],"")</f>
        <v/>
      </c>
      <c r="V210" s="149"/>
    </row>
    <row r="211" spans="2:22">
      <c r="B211" s="195"/>
      <c r="C211" s="123"/>
      <c r="D211" s="143"/>
      <c r="E211" s="123"/>
      <c r="F211" s="143"/>
      <c r="G211" s="129"/>
      <c r="H211" s="124"/>
      <c r="I211" s="124"/>
      <c r="J211" s="129"/>
      <c r="K211" s="124"/>
      <c r="L211" s="124"/>
      <c r="M211" s="129"/>
      <c r="N211" s="129" t="e">
        <f>Table1[[#This Row],[Estimated Effort (Hours)]]/NETWORKDAYS(Table1[[#This Row],[Planned Start Date]],Table1[[#This Row],[Planned End Date]])</f>
        <v>#DIV/0!</v>
      </c>
      <c r="O211" s="178">
        <f>NETWORKDAYS(Table1[[#This Row],[Planned Start Date]],Table1[[#This Row],[Planned End Date]])</f>
        <v>0</v>
      </c>
      <c r="P211" s="178">
        <f>NETWORKDAYS(Table1[[#This Row],[Planned Start Date]],$P$7)</f>
        <v>30643</v>
      </c>
      <c r="Q211" s="129"/>
      <c r="R211" s="183" t="str">
        <f>IF(Table1[[#This Row],[Actual Effort (Hours)]]="","",IF(Table1[[#This Row],[Estimated Effort (Hours)]]&lt;20,"L1",IF(Table1[[#This Row],[Estimated Effort (Hours)]]&lt;50,"L2",IF(Table1[[#This Row],[Estimated Effort (Hours)]]&lt;150,"L3",IF(Table1[[#This Row],[Estimated Effort (Hours)]]&lt;300,"L4","L5")))))</f>
        <v/>
      </c>
      <c r="S211" s="184" t="str">
        <f>IF(Table1[[#This Row],[Actual End Date]]="","",TEXT(Table1[[#This Row],[Actual End Date]],"mmm-yy"))</f>
        <v/>
      </c>
      <c r="T2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1" s="185" t="str">
        <f>IFERROR((Table1[[#This Row],[Actual Effort (Hours)]]-Table1[[#This Row],[Estimated Effort (Hours)]])/Table1[[#This Row],[Estimated Effort (Hours)]],"")</f>
        <v/>
      </c>
      <c r="V211" s="149"/>
    </row>
    <row r="212" spans="2:22">
      <c r="B212" s="195"/>
      <c r="C212" s="123"/>
      <c r="D212" s="143"/>
      <c r="E212" s="123"/>
      <c r="F212" s="143"/>
      <c r="G212" s="129"/>
      <c r="H212" s="124"/>
      <c r="I212" s="124"/>
      <c r="J212" s="129"/>
      <c r="K212" s="124"/>
      <c r="L212" s="124"/>
      <c r="M212" s="129"/>
      <c r="N212" s="129" t="e">
        <f>Table1[[#This Row],[Estimated Effort (Hours)]]/NETWORKDAYS(Table1[[#This Row],[Planned Start Date]],Table1[[#This Row],[Planned End Date]])</f>
        <v>#DIV/0!</v>
      </c>
      <c r="O212" s="178">
        <f>NETWORKDAYS(Table1[[#This Row],[Planned Start Date]],Table1[[#This Row],[Planned End Date]])</f>
        <v>0</v>
      </c>
      <c r="P212" s="178">
        <f>NETWORKDAYS(Table1[[#This Row],[Planned Start Date]],$P$7)</f>
        <v>30643</v>
      </c>
      <c r="Q212" s="129"/>
      <c r="R212" s="183" t="str">
        <f>IF(Table1[[#This Row],[Actual Effort (Hours)]]="","",IF(Table1[[#This Row],[Estimated Effort (Hours)]]&lt;20,"L1",IF(Table1[[#This Row],[Estimated Effort (Hours)]]&lt;50,"L2",IF(Table1[[#This Row],[Estimated Effort (Hours)]]&lt;150,"L3",IF(Table1[[#This Row],[Estimated Effort (Hours)]]&lt;300,"L4","L5")))))</f>
        <v/>
      </c>
      <c r="S212" s="184" t="str">
        <f>IF(Table1[[#This Row],[Actual End Date]]="","",TEXT(Table1[[#This Row],[Actual End Date]],"mmm-yy"))</f>
        <v/>
      </c>
      <c r="T2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2" s="185" t="str">
        <f>IFERROR((Table1[[#This Row],[Actual Effort (Hours)]]-Table1[[#This Row],[Estimated Effort (Hours)]])/Table1[[#This Row],[Estimated Effort (Hours)]],"")</f>
        <v/>
      </c>
      <c r="V212" s="149"/>
    </row>
    <row r="213" spans="2:22">
      <c r="B213" s="195"/>
      <c r="C213" s="123"/>
      <c r="D213" s="143"/>
      <c r="E213" s="123"/>
      <c r="F213" s="143"/>
      <c r="G213" s="129"/>
      <c r="H213" s="124"/>
      <c r="I213" s="124"/>
      <c r="J213" s="129"/>
      <c r="K213" s="124"/>
      <c r="L213" s="124"/>
      <c r="M213" s="129"/>
      <c r="N213" s="129" t="e">
        <f>Table1[[#This Row],[Estimated Effort (Hours)]]/NETWORKDAYS(Table1[[#This Row],[Planned Start Date]],Table1[[#This Row],[Planned End Date]])</f>
        <v>#DIV/0!</v>
      </c>
      <c r="O213" s="178">
        <f>NETWORKDAYS(Table1[[#This Row],[Planned Start Date]],Table1[[#This Row],[Planned End Date]])</f>
        <v>0</v>
      </c>
      <c r="P213" s="178">
        <f>NETWORKDAYS(Table1[[#This Row],[Planned Start Date]],$P$7)</f>
        <v>30643</v>
      </c>
      <c r="Q213" s="129"/>
      <c r="R213" s="183" t="str">
        <f>IF(Table1[[#This Row],[Actual Effort (Hours)]]="","",IF(Table1[[#This Row],[Estimated Effort (Hours)]]&lt;20,"L1",IF(Table1[[#This Row],[Estimated Effort (Hours)]]&lt;50,"L2",IF(Table1[[#This Row],[Estimated Effort (Hours)]]&lt;150,"L3",IF(Table1[[#This Row],[Estimated Effort (Hours)]]&lt;300,"L4","L5")))))</f>
        <v/>
      </c>
      <c r="S213" s="184" t="str">
        <f>IF(Table1[[#This Row],[Actual End Date]]="","",TEXT(Table1[[#This Row],[Actual End Date]],"mmm-yy"))</f>
        <v/>
      </c>
      <c r="T2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3" s="185" t="str">
        <f>IFERROR((Table1[[#This Row],[Actual Effort (Hours)]]-Table1[[#This Row],[Estimated Effort (Hours)]])/Table1[[#This Row],[Estimated Effort (Hours)]],"")</f>
        <v/>
      </c>
      <c r="V213" s="149"/>
    </row>
    <row r="214" spans="2:22">
      <c r="B214" s="195"/>
      <c r="C214" s="123"/>
      <c r="D214" s="143"/>
      <c r="E214" s="123"/>
      <c r="F214" s="143"/>
      <c r="G214" s="129"/>
      <c r="H214" s="124"/>
      <c r="I214" s="124"/>
      <c r="J214" s="129"/>
      <c r="K214" s="124"/>
      <c r="L214" s="124"/>
      <c r="M214" s="129"/>
      <c r="N214" s="129" t="e">
        <f>Table1[[#This Row],[Estimated Effort (Hours)]]/NETWORKDAYS(Table1[[#This Row],[Planned Start Date]],Table1[[#This Row],[Planned End Date]])</f>
        <v>#DIV/0!</v>
      </c>
      <c r="O214" s="178">
        <f>NETWORKDAYS(Table1[[#This Row],[Planned Start Date]],Table1[[#This Row],[Planned End Date]])</f>
        <v>0</v>
      </c>
      <c r="P214" s="178">
        <f>NETWORKDAYS(Table1[[#This Row],[Planned Start Date]],$P$7)</f>
        <v>30643</v>
      </c>
      <c r="Q214" s="129"/>
      <c r="R214" s="183" t="str">
        <f>IF(Table1[[#This Row],[Actual Effort (Hours)]]="","",IF(Table1[[#This Row],[Estimated Effort (Hours)]]&lt;20,"L1",IF(Table1[[#This Row],[Estimated Effort (Hours)]]&lt;50,"L2",IF(Table1[[#This Row],[Estimated Effort (Hours)]]&lt;150,"L3",IF(Table1[[#This Row],[Estimated Effort (Hours)]]&lt;300,"L4","L5")))))</f>
        <v/>
      </c>
      <c r="S214" s="184" t="str">
        <f>IF(Table1[[#This Row],[Actual End Date]]="","",TEXT(Table1[[#This Row],[Actual End Date]],"mmm-yy"))</f>
        <v/>
      </c>
      <c r="T2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4" s="185" t="str">
        <f>IFERROR((Table1[[#This Row],[Actual Effort (Hours)]]-Table1[[#This Row],[Estimated Effort (Hours)]])/Table1[[#This Row],[Estimated Effort (Hours)]],"")</f>
        <v/>
      </c>
      <c r="V214" s="149"/>
    </row>
    <row r="215" spans="2:22">
      <c r="B215" s="195"/>
      <c r="C215" s="123"/>
      <c r="D215" s="143"/>
      <c r="E215" s="123"/>
      <c r="F215" s="143"/>
      <c r="G215" s="129"/>
      <c r="H215" s="124"/>
      <c r="I215" s="124"/>
      <c r="J215" s="129"/>
      <c r="K215" s="124"/>
      <c r="L215" s="124"/>
      <c r="M215" s="129"/>
      <c r="N215" s="129" t="e">
        <f>Table1[[#This Row],[Estimated Effort (Hours)]]/NETWORKDAYS(Table1[[#This Row],[Planned Start Date]],Table1[[#This Row],[Planned End Date]])</f>
        <v>#DIV/0!</v>
      </c>
      <c r="O215" s="178">
        <f>NETWORKDAYS(Table1[[#This Row],[Planned Start Date]],Table1[[#This Row],[Planned End Date]])</f>
        <v>0</v>
      </c>
      <c r="P215" s="178">
        <f>NETWORKDAYS(Table1[[#This Row],[Planned Start Date]],$P$7)</f>
        <v>30643</v>
      </c>
      <c r="Q215" s="129"/>
      <c r="R215" s="183" t="str">
        <f>IF(Table1[[#This Row],[Actual Effort (Hours)]]="","",IF(Table1[[#This Row],[Estimated Effort (Hours)]]&lt;20,"L1",IF(Table1[[#This Row],[Estimated Effort (Hours)]]&lt;50,"L2",IF(Table1[[#This Row],[Estimated Effort (Hours)]]&lt;150,"L3",IF(Table1[[#This Row],[Estimated Effort (Hours)]]&lt;300,"L4","L5")))))</f>
        <v/>
      </c>
      <c r="S215" s="184" t="str">
        <f>IF(Table1[[#This Row],[Actual End Date]]="","",TEXT(Table1[[#This Row],[Actual End Date]],"mmm-yy"))</f>
        <v/>
      </c>
      <c r="T2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5" s="185" t="str">
        <f>IFERROR((Table1[[#This Row],[Actual Effort (Hours)]]-Table1[[#This Row],[Estimated Effort (Hours)]])/Table1[[#This Row],[Estimated Effort (Hours)]],"")</f>
        <v/>
      </c>
      <c r="V215" s="149"/>
    </row>
    <row r="216" spans="2:22">
      <c r="B216" s="195"/>
      <c r="C216" s="123"/>
      <c r="D216" s="143"/>
      <c r="E216" s="123"/>
      <c r="F216" s="143"/>
      <c r="G216" s="129"/>
      <c r="H216" s="124"/>
      <c r="I216" s="124"/>
      <c r="J216" s="129"/>
      <c r="K216" s="124"/>
      <c r="L216" s="124"/>
      <c r="M216" s="129"/>
      <c r="N216" s="129" t="e">
        <f>Table1[[#This Row],[Estimated Effort (Hours)]]/NETWORKDAYS(Table1[[#This Row],[Planned Start Date]],Table1[[#This Row],[Planned End Date]])</f>
        <v>#DIV/0!</v>
      </c>
      <c r="O216" s="178">
        <f>NETWORKDAYS(Table1[[#This Row],[Planned Start Date]],Table1[[#This Row],[Planned End Date]])</f>
        <v>0</v>
      </c>
      <c r="P216" s="178">
        <f>NETWORKDAYS(Table1[[#This Row],[Planned Start Date]],$P$7)</f>
        <v>30643</v>
      </c>
      <c r="Q216" s="129"/>
      <c r="R216" s="183" t="str">
        <f>IF(Table1[[#This Row],[Actual Effort (Hours)]]="","",IF(Table1[[#This Row],[Estimated Effort (Hours)]]&lt;20,"L1",IF(Table1[[#This Row],[Estimated Effort (Hours)]]&lt;50,"L2",IF(Table1[[#This Row],[Estimated Effort (Hours)]]&lt;150,"L3",IF(Table1[[#This Row],[Estimated Effort (Hours)]]&lt;300,"L4","L5")))))</f>
        <v/>
      </c>
      <c r="S216" s="184" t="str">
        <f>IF(Table1[[#This Row],[Actual End Date]]="","",TEXT(Table1[[#This Row],[Actual End Date]],"mmm-yy"))</f>
        <v/>
      </c>
      <c r="T2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6" s="185" t="str">
        <f>IFERROR((Table1[[#This Row],[Actual Effort (Hours)]]-Table1[[#This Row],[Estimated Effort (Hours)]])/Table1[[#This Row],[Estimated Effort (Hours)]],"")</f>
        <v/>
      </c>
      <c r="V216" s="149"/>
    </row>
    <row r="217" spans="2:22">
      <c r="B217" s="195"/>
      <c r="C217" s="123"/>
      <c r="D217" s="143"/>
      <c r="E217" s="123"/>
      <c r="F217" s="143"/>
      <c r="G217" s="129"/>
      <c r="H217" s="124"/>
      <c r="I217" s="124"/>
      <c r="J217" s="129"/>
      <c r="K217" s="124"/>
      <c r="L217" s="124"/>
      <c r="M217" s="129"/>
      <c r="N217" s="129" t="e">
        <f>Table1[[#This Row],[Estimated Effort (Hours)]]/NETWORKDAYS(Table1[[#This Row],[Planned Start Date]],Table1[[#This Row],[Planned End Date]])</f>
        <v>#DIV/0!</v>
      </c>
      <c r="O217" s="178">
        <f>NETWORKDAYS(Table1[[#This Row],[Planned Start Date]],Table1[[#This Row],[Planned End Date]])</f>
        <v>0</v>
      </c>
      <c r="P217" s="178">
        <f>NETWORKDAYS(Table1[[#This Row],[Planned Start Date]],$P$7)</f>
        <v>30643</v>
      </c>
      <c r="Q217" s="129"/>
      <c r="R217" s="183" t="str">
        <f>IF(Table1[[#This Row],[Actual Effort (Hours)]]="","",IF(Table1[[#This Row],[Estimated Effort (Hours)]]&lt;20,"L1",IF(Table1[[#This Row],[Estimated Effort (Hours)]]&lt;50,"L2",IF(Table1[[#This Row],[Estimated Effort (Hours)]]&lt;150,"L3",IF(Table1[[#This Row],[Estimated Effort (Hours)]]&lt;300,"L4","L5")))))</f>
        <v/>
      </c>
      <c r="S217" s="184" t="str">
        <f>IF(Table1[[#This Row],[Actual End Date]]="","",TEXT(Table1[[#This Row],[Actual End Date]],"mmm-yy"))</f>
        <v/>
      </c>
      <c r="T2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7" s="185" t="str">
        <f>IFERROR((Table1[[#This Row],[Actual Effort (Hours)]]-Table1[[#This Row],[Estimated Effort (Hours)]])/Table1[[#This Row],[Estimated Effort (Hours)]],"")</f>
        <v/>
      </c>
      <c r="V217" s="149"/>
    </row>
    <row r="218" spans="2:22">
      <c r="B218" s="195"/>
      <c r="C218" s="123"/>
      <c r="D218" s="143"/>
      <c r="E218" s="123"/>
      <c r="F218" s="143"/>
      <c r="G218" s="129"/>
      <c r="H218" s="124"/>
      <c r="I218" s="124"/>
      <c r="J218" s="129"/>
      <c r="K218" s="124"/>
      <c r="L218" s="124"/>
      <c r="M218" s="129"/>
      <c r="N218" s="129" t="e">
        <f>Table1[[#This Row],[Estimated Effort (Hours)]]/NETWORKDAYS(Table1[[#This Row],[Planned Start Date]],Table1[[#This Row],[Planned End Date]])</f>
        <v>#DIV/0!</v>
      </c>
      <c r="O218" s="178">
        <f>NETWORKDAYS(Table1[[#This Row],[Planned Start Date]],Table1[[#This Row],[Planned End Date]])</f>
        <v>0</v>
      </c>
      <c r="P218" s="178">
        <f>NETWORKDAYS(Table1[[#This Row],[Planned Start Date]],$P$7)</f>
        <v>30643</v>
      </c>
      <c r="Q218" s="129"/>
      <c r="R218" s="183" t="str">
        <f>IF(Table1[[#This Row],[Actual Effort (Hours)]]="","",IF(Table1[[#This Row],[Estimated Effort (Hours)]]&lt;20,"L1",IF(Table1[[#This Row],[Estimated Effort (Hours)]]&lt;50,"L2",IF(Table1[[#This Row],[Estimated Effort (Hours)]]&lt;150,"L3",IF(Table1[[#This Row],[Estimated Effort (Hours)]]&lt;300,"L4","L5")))))</f>
        <v/>
      </c>
      <c r="S218" s="184" t="str">
        <f>IF(Table1[[#This Row],[Actual End Date]]="","",TEXT(Table1[[#This Row],[Actual End Date]],"mmm-yy"))</f>
        <v/>
      </c>
      <c r="T2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8" s="185" t="str">
        <f>IFERROR((Table1[[#This Row],[Actual Effort (Hours)]]-Table1[[#This Row],[Estimated Effort (Hours)]])/Table1[[#This Row],[Estimated Effort (Hours)]],"")</f>
        <v/>
      </c>
      <c r="V218" s="149"/>
    </row>
    <row r="219" spans="2:22">
      <c r="B219" s="195"/>
      <c r="C219" s="123"/>
      <c r="D219" s="143"/>
      <c r="E219" s="123"/>
      <c r="F219" s="143"/>
      <c r="G219" s="129"/>
      <c r="H219" s="124"/>
      <c r="I219" s="124"/>
      <c r="J219" s="129"/>
      <c r="K219" s="124"/>
      <c r="L219" s="124"/>
      <c r="M219" s="129"/>
      <c r="N219" s="129" t="e">
        <f>Table1[[#This Row],[Estimated Effort (Hours)]]/NETWORKDAYS(Table1[[#This Row],[Planned Start Date]],Table1[[#This Row],[Planned End Date]])</f>
        <v>#DIV/0!</v>
      </c>
      <c r="O219" s="178">
        <f>NETWORKDAYS(Table1[[#This Row],[Planned Start Date]],Table1[[#This Row],[Planned End Date]])</f>
        <v>0</v>
      </c>
      <c r="P219" s="178">
        <f>NETWORKDAYS(Table1[[#This Row],[Planned Start Date]],$P$7)</f>
        <v>30643</v>
      </c>
      <c r="Q219" s="129"/>
      <c r="R219" s="183" t="str">
        <f>IF(Table1[[#This Row],[Actual Effort (Hours)]]="","",IF(Table1[[#This Row],[Estimated Effort (Hours)]]&lt;20,"L1",IF(Table1[[#This Row],[Estimated Effort (Hours)]]&lt;50,"L2",IF(Table1[[#This Row],[Estimated Effort (Hours)]]&lt;150,"L3",IF(Table1[[#This Row],[Estimated Effort (Hours)]]&lt;300,"L4","L5")))))</f>
        <v/>
      </c>
      <c r="S219" s="184" t="str">
        <f>IF(Table1[[#This Row],[Actual End Date]]="","",TEXT(Table1[[#This Row],[Actual End Date]],"mmm-yy"))</f>
        <v/>
      </c>
      <c r="T2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19" s="185" t="str">
        <f>IFERROR((Table1[[#This Row],[Actual Effort (Hours)]]-Table1[[#This Row],[Estimated Effort (Hours)]])/Table1[[#This Row],[Estimated Effort (Hours)]],"")</f>
        <v/>
      </c>
      <c r="V219" s="149"/>
    </row>
    <row r="220" spans="2:22">
      <c r="B220" s="195"/>
      <c r="C220" s="123"/>
      <c r="D220" s="143"/>
      <c r="E220" s="123"/>
      <c r="F220" s="143"/>
      <c r="G220" s="129"/>
      <c r="H220" s="124"/>
      <c r="I220" s="124"/>
      <c r="J220" s="129"/>
      <c r="K220" s="124"/>
      <c r="L220" s="124"/>
      <c r="M220" s="129"/>
      <c r="N220" s="129" t="e">
        <f>Table1[[#This Row],[Estimated Effort (Hours)]]/NETWORKDAYS(Table1[[#This Row],[Planned Start Date]],Table1[[#This Row],[Planned End Date]])</f>
        <v>#DIV/0!</v>
      </c>
      <c r="O220" s="178">
        <f>NETWORKDAYS(Table1[[#This Row],[Planned Start Date]],Table1[[#This Row],[Planned End Date]])</f>
        <v>0</v>
      </c>
      <c r="P220" s="178">
        <f>NETWORKDAYS(Table1[[#This Row],[Planned Start Date]],$P$7)</f>
        <v>30643</v>
      </c>
      <c r="Q220" s="129"/>
      <c r="R220" s="183" t="str">
        <f>IF(Table1[[#This Row],[Actual Effort (Hours)]]="","",IF(Table1[[#This Row],[Estimated Effort (Hours)]]&lt;20,"L1",IF(Table1[[#This Row],[Estimated Effort (Hours)]]&lt;50,"L2",IF(Table1[[#This Row],[Estimated Effort (Hours)]]&lt;150,"L3",IF(Table1[[#This Row],[Estimated Effort (Hours)]]&lt;300,"L4","L5")))))</f>
        <v/>
      </c>
      <c r="S220" s="184" t="str">
        <f>IF(Table1[[#This Row],[Actual End Date]]="","",TEXT(Table1[[#This Row],[Actual End Date]],"mmm-yy"))</f>
        <v/>
      </c>
      <c r="T2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0" s="185" t="str">
        <f>IFERROR((Table1[[#This Row],[Actual Effort (Hours)]]-Table1[[#This Row],[Estimated Effort (Hours)]])/Table1[[#This Row],[Estimated Effort (Hours)]],"")</f>
        <v/>
      </c>
      <c r="V220" s="149"/>
    </row>
    <row r="221" spans="2:22">
      <c r="B221" s="195"/>
      <c r="C221" s="123"/>
      <c r="D221" s="143"/>
      <c r="E221" s="123"/>
      <c r="F221" s="143"/>
      <c r="G221" s="129"/>
      <c r="H221" s="124"/>
      <c r="I221" s="124"/>
      <c r="J221" s="129"/>
      <c r="K221" s="124"/>
      <c r="L221" s="124"/>
      <c r="M221" s="129"/>
      <c r="N221" s="129" t="e">
        <f>Table1[[#This Row],[Estimated Effort (Hours)]]/NETWORKDAYS(Table1[[#This Row],[Planned Start Date]],Table1[[#This Row],[Planned End Date]])</f>
        <v>#DIV/0!</v>
      </c>
      <c r="O221" s="178">
        <f>NETWORKDAYS(Table1[[#This Row],[Planned Start Date]],Table1[[#This Row],[Planned End Date]])</f>
        <v>0</v>
      </c>
      <c r="P221" s="178">
        <f>NETWORKDAYS(Table1[[#This Row],[Planned Start Date]],$P$7)</f>
        <v>30643</v>
      </c>
      <c r="Q221" s="129"/>
      <c r="R221" s="183" t="str">
        <f>IF(Table1[[#This Row],[Actual Effort (Hours)]]="","",IF(Table1[[#This Row],[Estimated Effort (Hours)]]&lt;20,"L1",IF(Table1[[#This Row],[Estimated Effort (Hours)]]&lt;50,"L2",IF(Table1[[#This Row],[Estimated Effort (Hours)]]&lt;150,"L3",IF(Table1[[#This Row],[Estimated Effort (Hours)]]&lt;300,"L4","L5")))))</f>
        <v/>
      </c>
      <c r="S221" s="184" t="str">
        <f>IF(Table1[[#This Row],[Actual End Date]]="","",TEXT(Table1[[#This Row],[Actual End Date]],"mmm-yy"))</f>
        <v/>
      </c>
      <c r="T2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1" s="185" t="str">
        <f>IFERROR((Table1[[#This Row],[Actual Effort (Hours)]]-Table1[[#This Row],[Estimated Effort (Hours)]])/Table1[[#This Row],[Estimated Effort (Hours)]],"")</f>
        <v/>
      </c>
      <c r="V221" s="149"/>
    </row>
    <row r="222" spans="2:22">
      <c r="B222" s="195"/>
      <c r="C222" s="123"/>
      <c r="D222" s="143"/>
      <c r="E222" s="123"/>
      <c r="F222" s="143"/>
      <c r="G222" s="129"/>
      <c r="H222" s="124"/>
      <c r="I222" s="124"/>
      <c r="J222" s="129"/>
      <c r="K222" s="124"/>
      <c r="L222" s="124"/>
      <c r="M222" s="129"/>
      <c r="N222" s="129" t="e">
        <f>Table1[[#This Row],[Estimated Effort (Hours)]]/NETWORKDAYS(Table1[[#This Row],[Planned Start Date]],Table1[[#This Row],[Planned End Date]])</f>
        <v>#DIV/0!</v>
      </c>
      <c r="O222" s="178">
        <f>NETWORKDAYS(Table1[[#This Row],[Planned Start Date]],Table1[[#This Row],[Planned End Date]])</f>
        <v>0</v>
      </c>
      <c r="P222" s="178">
        <f>NETWORKDAYS(Table1[[#This Row],[Planned Start Date]],$P$7)</f>
        <v>30643</v>
      </c>
      <c r="Q222" s="129"/>
      <c r="R222" s="183" t="str">
        <f>IF(Table1[[#This Row],[Actual Effort (Hours)]]="","",IF(Table1[[#This Row],[Estimated Effort (Hours)]]&lt;20,"L1",IF(Table1[[#This Row],[Estimated Effort (Hours)]]&lt;50,"L2",IF(Table1[[#This Row],[Estimated Effort (Hours)]]&lt;150,"L3",IF(Table1[[#This Row],[Estimated Effort (Hours)]]&lt;300,"L4","L5")))))</f>
        <v/>
      </c>
      <c r="S222" s="184" t="str">
        <f>IF(Table1[[#This Row],[Actual End Date]]="","",TEXT(Table1[[#This Row],[Actual End Date]],"mmm-yy"))</f>
        <v/>
      </c>
      <c r="T2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2" s="185" t="str">
        <f>IFERROR((Table1[[#This Row],[Actual Effort (Hours)]]-Table1[[#This Row],[Estimated Effort (Hours)]])/Table1[[#This Row],[Estimated Effort (Hours)]],"")</f>
        <v/>
      </c>
      <c r="V222" s="149"/>
    </row>
    <row r="223" spans="2:22">
      <c r="B223" s="195"/>
      <c r="C223" s="123"/>
      <c r="D223" s="143"/>
      <c r="E223" s="123"/>
      <c r="F223" s="143"/>
      <c r="G223" s="129"/>
      <c r="H223" s="124"/>
      <c r="I223" s="124"/>
      <c r="J223" s="129"/>
      <c r="K223" s="124"/>
      <c r="L223" s="124"/>
      <c r="M223" s="129"/>
      <c r="N223" s="129" t="e">
        <f>Table1[[#This Row],[Estimated Effort (Hours)]]/NETWORKDAYS(Table1[[#This Row],[Planned Start Date]],Table1[[#This Row],[Planned End Date]])</f>
        <v>#DIV/0!</v>
      </c>
      <c r="O223" s="178">
        <f>NETWORKDAYS(Table1[[#This Row],[Planned Start Date]],Table1[[#This Row],[Planned End Date]])</f>
        <v>0</v>
      </c>
      <c r="P223" s="178">
        <f>NETWORKDAYS(Table1[[#This Row],[Planned Start Date]],$P$7)</f>
        <v>30643</v>
      </c>
      <c r="Q223" s="129"/>
      <c r="R223" s="183" t="str">
        <f>IF(Table1[[#This Row],[Actual Effort (Hours)]]="","",IF(Table1[[#This Row],[Estimated Effort (Hours)]]&lt;20,"L1",IF(Table1[[#This Row],[Estimated Effort (Hours)]]&lt;50,"L2",IF(Table1[[#This Row],[Estimated Effort (Hours)]]&lt;150,"L3",IF(Table1[[#This Row],[Estimated Effort (Hours)]]&lt;300,"L4","L5")))))</f>
        <v/>
      </c>
      <c r="S223" s="184" t="str">
        <f>IF(Table1[[#This Row],[Actual End Date]]="","",TEXT(Table1[[#This Row],[Actual End Date]],"mmm-yy"))</f>
        <v/>
      </c>
      <c r="T2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3" s="185" t="str">
        <f>IFERROR((Table1[[#This Row],[Actual Effort (Hours)]]-Table1[[#This Row],[Estimated Effort (Hours)]])/Table1[[#This Row],[Estimated Effort (Hours)]],"")</f>
        <v/>
      </c>
      <c r="V223" s="149"/>
    </row>
    <row r="224" spans="2:22">
      <c r="B224" s="195"/>
      <c r="C224" s="123"/>
      <c r="D224" s="143"/>
      <c r="E224" s="123"/>
      <c r="F224" s="143"/>
      <c r="G224" s="129"/>
      <c r="H224" s="124"/>
      <c r="I224" s="124"/>
      <c r="J224" s="129"/>
      <c r="K224" s="124"/>
      <c r="L224" s="124"/>
      <c r="M224" s="129"/>
      <c r="N224" s="129" t="e">
        <f>Table1[[#This Row],[Estimated Effort (Hours)]]/NETWORKDAYS(Table1[[#This Row],[Planned Start Date]],Table1[[#This Row],[Planned End Date]])</f>
        <v>#DIV/0!</v>
      </c>
      <c r="O224" s="178">
        <f>NETWORKDAYS(Table1[[#This Row],[Planned Start Date]],Table1[[#This Row],[Planned End Date]])</f>
        <v>0</v>
      </c>
      <c r="P224" s="178">
        <f>NETWORKDAYS(Table1[[#This Row],[Planned Start Date]],$P$7)</f>
        <v>30643</v>
      </c>
      <c r="Q224" s="129"/>
      <c r="R224" s="183" t="str">
        <f>IF(Table1[[#This Row],[Actual Effort (Hours)]]="","",IF(Table1[[#This Row],[Estimated Effort (Hours)]]&lt;20,"L1",IF(Table1[[#This Row],[Estimated Effort (Hours)]]&lt;50,"L2",IF(Table1[[#This Row],[Estimated Effort (Hours)]]&lt;150,"L3",IF(Table1[[#This Row],[Estimated Effort (Hours)]]&lt;300,"L4","L5")))))</f>
        <v/>
      </c>
      <c r="S224" s="184" t="str">
        <f>IF(Table1[[#This Row],[Actual End Date]]="","",TEXT(Table1[[#This Row],[Actual End Date]],"mmm-yy"))</f>
        <v/>
      </c>
      <c r="T2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4" s="185" t="str">
        <f>IFERROR((Table1[[#This Row],[Actual Effort (Hours)]]-Table1[[#This Row],[Estimated Effort (Hours)]])/Table1[[#This Row],[Estimated Effort (Hours)]],"")</f>
        <v/>
      </c>
      <c r="V224" s="149"/>
    </row>
    <row r="225" spans="2:22">
      <c r="B225" s="195"/>
      <c r="C225" s="123"/>
      <c r="D225" s="143"/>
      <c r="E225" s="123"/>
      <c r="F225" s="143"/>
      <c r="G225" s="129"/>
      <c r="H225" s="124"/>
      <c r="I225" s="124"/>
      <c r="J225" s="129"/>
      <c r="K225" s="124"/>
      <c r="L225" s="124"/>
      <c r="M225" s="129"/>
      <c r="N225" s="129" t="e">
        <f>Table1[[#This Row],[Estimated Effort (Hours)]]/NETWORKDAYS(Table1[[#This Row],[Planned Start Date]],Table1[[#This Row],[Planned End Date]])</f>
        <v>#DIV/0!</v>
      </c>
      <c r="O225" s="178">
        <f>NETWORKDAYS(Table1[[#This Row],[Planned Start Date]],Table1[[#This Row],[Planned End Date]])</f>
        <v>0</v>
      </c>
      <c r="P225" s="178">
        <f>NETWORKDAYS(Table1[[#This Row],[Planned Start Date]],$P$7)</f>
        <v>30643</v>
      </c>
      <c r="Q225" s="129"/>
      <c r="R225" s="183" t="str">
        <f>IF(Table1[[#This Row],[Actual Effort (Hours)]]="","",IF(Table1[[#This Row],[Estimated Effort (Hours)]]&lt;20,"L1",IF(Table1[[#This Row],[Estimated Effort (Hours)]]&lt;50,"L2",IF(Table1[[#This Row],[Estimated Effort (Hours)]]&lt;150,"L3",IF(Table1[[#This Row],[Estimated Effort (Hours)]]&lt;300,"L4","L5")))))</f>
        <v/>
      </c>
      <c r="S225" s="184" t="str">
        <f>IF(Table1[[#This Row],[Actual End Date]]="","",TEXT(Table1[[#This Row],[Actual End Date]],"mmm-yy"))</f>
        <v/>
      </c>
      <c r="T2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5" s="185" t="str">
        <f>IFERROR((Table1[[#This Row],[Actual Effort (Hours)]]-Table1[[#This Row],[Estimated Effort (Hours)]])/Table1[[#This Row],[Estimated Effort (Hours)]],"")</f>
        <v/>
      </c>
      <c r="V225" s="149"/>
    </row>
    <row r="226" spans="2:22">
      <c r="B226" s="195"/>
      <c r="C226" s="123"/>
      <c r="D226" s="143"/>
      <c r="E226" s="123"/>
      <c r="F226" s="143"/>
      <c r="G226" s="129"/>
      <c r="H226" s="124"/>
      <c r="I226" s="124"/>
      <c r="J226" s="129"/>
      <c r="K226" s="124"/>
      <c r="L226" s="124"/>
      <c r="M226" s="129"/>
      <c r="N226" s="129" t="e">
        <f>Table1[[#This Row],[Estimated Effort (Hours)]]/NETWORKDAYS(Table1[[#This Row],[Planned Start Date]],Table1[[#This Row],[Planned End Date]])</f>
        <v>#DIV/0!</v>
      </c>
      <c r="O226" s="178">
        <f>NETWORKDAYS(Table1[[#This Row],[Planned Start Date]],Table1[[#This Row],[Planned End Date]])</f>
        <v>0</v>
      </c>
      <c r="P226" s="178">
        <f>NETWORKDAYS(Table1[[#This Row],[Planned Start Date]],$P$7)</f>
        <v>30643</v>
      </c>
      <c r="Q226" s="129"/>
      <c r="R226" s="183" t="str">
        <f>IF(Table1[[#This Row],[Actual Effort (Hours)]]="","",IF(Table1[[#This Row],[Estimated Effort (Hours)]]&lt;20,"L1",IF(Table1[[#This Row],[Estimated Effort (Hours)]]&lt;50,"L2",IF(Table1[[#This Row],[Estimated Effort (Hours)]]&lt;150,"L3",IF(Table1[[#This Row],[Estimated Effort (Hours)]]&lt;300,"L4","L5")))))</f>
        <v/>
      </c>
      <c r="S226" s="184" t="str">
        <f>IF(Table1[[#This Row],[Actual End Date]]="","",TEXT(Table1[[#This Row],[Actual End Date]],"mmm-yy"))</f>
        <v/>
      </c>
      <c r="T2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6" s="185" t="str">
        <f>IFERROR((Table1[[#This Row],[Actual Effort (Hours)]]-Table1[[#This Row],[Estimated Effort (Hours)]])/Table1[[#This Row],[Estimated Effort (Hours)]],"")</f>
        <v/>
      </c>
      <c r="V226" s="149"/>
    </row>
    <row r="227" spans="2:22">
      <c r="B227" s="195"/>
      <c r="C227" s="123"/>
      <c r="D227" s="143"/>
      <c r="E227" s="123"/>
      <c r="F227" s="143"/>
      <c r="G227" s="129"/>
      <c r="H227" s="124"/>
      <c r="I227" s="124"/>
      <c r="J227" s="129"/>
      <c r="K227" s="124"/>
      <c r="L227" s="124"/>
      <c r="M227" s="129"/>
      <c r="N227" s="129" t="e">
        <f>Table1[[#This Row],[Estimated Effort (Hours)]]/NETWORKDAYS(Table1[[#This Row],[Planned Start Date]],Table1[[#This Row],[Planned End Date]])</f>
        <v>#DIV/0!</v>
      </c>
      <c r="O227" s="178">
        <f>NETWORKDAYS(Table1[[#This Row],[Planned Start Date]],Table1[[#This Row],[Planned End Date]])</f>
        <v>0</v>
      </c>
      <c r="P227" s="178">
        <f>NETWORKDAYS(Table1[[#This Row],[Planned Start Date]],$P$7)</f>
        <v>30643</v>
      </c>
      <c r="Q227" s="129"/>
      <c r="R227" s="183" t="str">
        <f>IF(Table1[[#This Row],[Actual Effort (Hours)]]="","",IF(Table1[[#This Row],[Estimated Effort (Hours)]]&lt;20,"L1",IF(Table1[[#This Row],[Estimated Effort (Hours)]]&lt;50,"L2",IF(Table1[[#This Row],[Estimated Effort (Hours)]]&lt;150,"L3",IF(Table1[[#This Row],[Estimated Effort (Hours)]]&lt;300,"L4","L5")))))</f>
        <v/>
      </c>
      <c r="S227" s="184" t="str">
        <f>IF(Table1[[#This Row],[Actual End Date]]="","",TEXT(Table1[[#This Row],[Actual End Date]],"mmm-yy"))</f>
        <v/>
      </c>
      <c r="T2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7" s="185" t="str">
        <f>IFERROR((Table1[[#This Row],[Actual Effort (Hours)]]-Table1[[#This Row],[Estimated Effort (Hours)]])/Table1[[#This Row],[Estimated Effort (Hours)]],"")</f>
        <v/>
      </c>
      <c r="V227" s="149"/>
    </row>
    <row r="228" spans="2:22">
      <c r="B228" s="195"/>
      <c r="C228" s="123"/>
      <c r="D228" s="143"/>
      <c r="E228" s="123"/>
      <c r="F228" s="143"/>
      <c r="G228" s="129"/>
      <c r="H228" s="124"/>
      <c r="I228" s="124"/>
      <c r="J228" s="129"/>
      <c r="K228" s="124"/>
      <c r="L228" s="124"/>
      <c r="M228" s="129"/>
      <c r="N228" s="129" t="e">
        <f>Table1[[#This Row],[Estimated Effort (Hours)]]/NETWORKDAYS(Table1[[#This Row],[Planned Start Date]],Table1[[#This Row],[Planned End Date]])</f>
        <v>#DIV/0!</v>
      </c>
      <c r="O228" s="178">
        <f>NETWORKDAYS(Table1[[#This Row],[Planned Start Date]],Table1[[#This Row],[Planned End Date]])</f>
        <v>0</v>
      </c>
      <c r="P228" s="178">
        <f>NETWORKDAYS(Table1[[#This Row],[Planned Start Date]],$P$7)</f>
        <v>30643</v>
      </c>
      <c r="Q228" s="129"/>
      <c r="R228" s="183" t="str">
        <f>IF(Table1[[#This Row],[Actual Effort (Hours)]]="","",IF(Table1[[#This Row],[Estimated Effort (Hours)]]&lt;20,"L1",IF(Table1[[#This Row],[Estimated Effort (Hours)]]&lt;50,"L2",IF(Table1[[#This Row],[Estimated Effort (Hours)]]&lt;150,"L3",IF(Table1[[#This Row],[Estimated Effort (Hours)]]&lt;300,"L4","L5")))))</f>
        <v/>
      </c>
      <c r="S228" s="184" t="str">
        <f>IF(Table1[[#This Row],[Actual End Date]]="","",TEXT(Table1[[#This Row],[Actual End Date]],"mmm-yy"))</f>
        <v/>
      </c>
      <c r="T2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8" s="185" t="str">
        <f>IFERROR((Table1[[#This Row],[Actual Effort (Hours)]]-Table1[[#This Row],[Estimated Effort (Hours)]])/Table1[[#This Row],[Estimated Effort (Hours)]],"")</f>
        <v/>
      </c>
      <c r="V228" s="149"/>
    </row>
    <row r="229" spans="2:22">
      <c r="B229" s="195"/>
      <c r="C229" s="123"/>
      <c r="D229" s="143"/>
      <c r="E229" s="123"/>
      <c r="F229" s="143"/>
      <c r="G229" s="129"/>
      <c r="H229" s="124"/>
      <c r="I229" s="124"/>
      <c r="J229" s="129"/>
      <c r="K229" s="124"/>
      <c r="L229" s="124"/>
      <c r="M229" s="129"/>
      <c r="N229" s="129" t="e">
        <f>Table1[[#This Row],[Estimated Effort (Hours)]]/NETWORKDAYS(Table1[[#This Row],[Planned Start Date]],Table1[[#This Row],[Planned End Date]])</f>
        <v>#DIV/0!</v>
      </c>
      <c r="O229" s="178">
        <f>NETWORKDAYS(Table1[[#This Row],[Planned Start Date]],Table1[[#This Row],[Planned End Date]])</f>
        <v>0</v>
      </c>
      <c r="P229" s="178">
        <f>NETWORKDAYS(Table1[[#This Row],[Planned Start Date]],$P$7)</f>
        <v>30643</v>
      </c>
      <c r="Q229" s="129"/>
      <c r="R229" s="183" t="str">
        <f>IF(Table1[[#This Row],[Actual Effort (Hours)]]="","",IF(Table1[[#This Row],[Estimated Effort (Hours)]]&lt;20,"L1",IF(Table1[[#This Row],[Estimated Effort (Hours)]]&lt;50,"L2",IF(Table1[[#This Row],[Estimated Effort (Hours)]]&lt;150,"L3",IF(Table1[[#This Row],[Estimated Effort (Hours)]]&lt;300,"L4","L5")))))</f>
        <v/>
      </c>
      <c r="S229" s="184" t="str">
        <f>IF(Table1[[#This Row],[Actual End Date]]="","",TEXT(Table1[[#This Row],[Actual End Date]],"mmm-yy"))</f>
        <v/>
      </c>
      <c r="T2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29" s="185" t="str">
        <f>IFERROR((Table1[[#This Row],[Actual Effort (Hours)]]-Table1[[#This Row],[Estimated Effort (Hours)]])/Table1[[#This Row],[Estimated Effort (Hours)]],"")</f>
        <v/>
      </c>
      <c r="V229" s="149"/>
    </row>
    <row r="230" spans="2:22">
      <c r="B230" s="195"/>
      <c r="C230" s="123"/>
      <c r="D230" s="143"/>
      <c r="E230" s="123"/>
      <c r="F230" s="143"/>
      <c r="G230" s="129"/>
      <c r="H230" s="124"/>
      <c r="I230" s="124"/>
      <c r="J230" s="129"/>
      <c r="K230" s="124"/>
      <c r="L230" s="124"/>
      <c r="M230" s="129"/>
      <c r="N230" s="129" t="e">
        <f>Table1[[#This Row],[Estimated Effort (Hours)]]/NETWORKDAYS(Table1[[#This Row],[Planned Start Date]],Table1[[#This Row],[Planned End Date]])</f>
        <v>#DIV/0!</v>
      </c>
      <c r="O230" s="178">
        <f>NETWORKDAYS(Table1[[#This Row],[Planned Start Date]],Table1[[#This Row],[Planned End Date]])</f>
        <v>0</v>
      </c>
      <c r="P230" s="178">
        <f>NETWORKDAYS(Table1[[#This Row],[Planned Start Date]],$P$7)</f>
        <v>30643</v>
      </c>
      <c r="Q230" s="129"/>
      <c r="R230" s="183" t="str">
        <f>IF(Table1[[#This Row],[Actual Effort (Hours)]]="","",IF(Table1[[#This Row],[Estimated Effort (Hours)]]&lt;20,"L1",IF(Table1[[#This Row],[Estimated Effort (Hours)]]&lt;50,"L2",IF(Table1[[#This Row],[Estimated Effort (Hours)]]&lt;150,"L3",IF(Table1[[#This Row],[Estimated Effort (Hours)]]&lt;300,"L4","L5")))))</f>
        <v/>
      </c>
      <c r="S230" s="184" t="str">
        <f>IF(Table1[[#This Row],[Actual End Date]]="","",TEXT(Table1[[#This Row],[Actual End Date]],"mmm-yy"))</f>
        <v/>
      </c>
      <c r="T2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0" s="185" t="str">
        <f>IFERROR((Table1[[#This Row],[Actual Effort (Hours)]]-Table1[[#This Row],[Estimated Effort (Hours)]])/Table1[[#This Row],[Estimated Effort (Hours)]],"")</f>
        <v/>
      </c>
      <c r="V230" s="149"/>
    </row>
    <row r="231" spans="2:22">
      <c r="B231" s="195"/>
      <c r="C231" s="123"/>
      <c r="D231" s="143"/>
      <c r="E231" s="123"/>
      <c r="F231" s="143"/>
      <c r="G231" s="129"/>
      <c r="H231" s="124"/>
      <c r="I231" s="124"/>
      <c r="J231" s="129"/>
      <c r="K231" s="124"/>
      <c r="L231" s="124"/>
      <c r="M231" s="129"/>
      <c r="N231" s="129" t="e">
        <f>Table1[[#This Row],[Estimated Effort (Hours)]]/NETWORKDAYS(Table1[[#This Row],[Planned Start Date]],Table1[[#This Row],[Planned End Date]])</f>
        <v>#DIV/0!</v>
      </c>
      <c r="O231" s="178">
        <f>NETWORKDAYS(Table1[[#This Row],[Planned Start Date]],Table1[[#This Row],[Planned End Date]])</f>
        <v>0</v>
      </c>
      <c r="P231" s="178">
        <f>NETWORKDAYS(Table1[[#This Row],[Planned Start Date]],$P$7)</f>
        <v>30643</v>
      </c>
      <c r="Q231" s="129"/>
      <c r="R231" s="183" t="str">
        <f>IF(Table1[[#This Row],[Actual Effort (Hours)]]="","",IF(Table1[[#This Row],[Estimated Effort (Hours)]]&lt;20,"L1",IF(Table1[[#This Row],[Estimated Effort (Hours)]]&lt;50,"L2",IF(Table1[[#This Row],[Estimated Effort (Hours)]]&lt;150,"L3",IF(Table1[[#This Row],[Estimated Effort (Hours)]]&lt;300,"L4","L5")))))</f>
        <v/>
      </c>
      <c r="S231" s="184" t="str">
        <f>IF(Table1[[#This Row],[Actual End Date]]="","",TEXT(Table1[[#This Row],[Actual End Date]],"mmm-yy"))</f>
        <v/>
      </c>
      <c r="T2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1" s="185" t="str">
        <f>IFERROR((Table1[[#This Row],[Actual Effort (Hours)]]-Table1[[#This Row],[Estimated Effort (Hours)]])/Table1[[#This Row],[Estimated Effort (Hours)]],"")</f>
        <v/>
      </c>
      <c r="V231" s="149"/>
    </row>
    <row r="232" spans="2:22">
      <c r="B232" s="195"/>
      <c r="C232" s="123"/>
      <c r="D232" s="143"/>
      <c r="E232" s="123"/>
      <c r="F232" s="143"/>
      <c r="G232" s="129"/>
      <c r="H232" s="124"/>
      <c r="I232" s="124"/>
      <c r="J232" s="129"/>
      <c r="K232" s="124"/>
      <c r="L232" s="124"/>
      <c r="M232" s="129"/>
      <c r="N232" s="129" t="e">
        <f>Table1[[#This Row],[Estimated Effort (Hours)]]/NETWORKDAYS(Table1[[#This Row],[Planned Start Date]],Table1[[#This Row],[Planned End Date]])</f>
        <v>#DIV/0!</v>
      </c>
      <c r="O232" s="178">
        <f>NETWORKDAYS(Table1[[#This Row],[Planned Start Date]],Table1[[#This Row],[Planned End Date]])</f>
        <v>0</v>
      </c>
      <c r="P232" s="178">
        <f>NETWORKDAYS(Table1[[#This Row],[Planned Start Date]],$P$7)</f>
        <v>30643</v>
      </c>
      <c r="Q232" s="129"/>
      <c r="R232" s="183" t="str">
        <f>IF(Table1[[#This Row],[Actual Effort (Hours)]]="","",IF(Table1[[#This Row],[Estimated Effort (Hours)]]&lt;20,"L1",IF(Table1[[#This Row],[Estimated Effort (Hours)]]&lt;50,"L2",IF(Table1[[#This Row],[Estimated Effort (Hours)]]&lt;150,"L3",IF(Table1[[#This Row],[Estimated Effort (Hours)]]&lt;300,"L4","L5")))))</f>
        <v/>
      </c>
      <c r="S232" s="184" t="str">
        <f>IF(Table1[[#This Row],[Actual End Date]]="","",TEXT(Table1[[#This Row],[Actual End Date]],"mmm-yy"))</f>
        <v/>
      </c>
      <c r="T2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2" s="185" t="str">
        <f>IFERROR((Table1[[#This Row],[Actual Effort (Hours)]]-Table1[[#This Row],[Estimated Effort (Hours)]])/Table1[[#This Row],[Estimated Effort (Hours)]],"")</f>
        <v/>
      </c>
      <c r="V232" s="149"/>
    </row>
    <row r="233" spans="2:22">
      <c r="B233" s="195"/>
      <c r="C233" s="123"/>
      <c r="D233" s="143"/>
      <c r="E233" s="123"/>
      <c r="F233" s="143"/>
      <c r="G233" s="129"/>
      <c r="H233" s="124"/>
      <c r="I233" s="124"/>
      <c r="J233" s="129"/>
      <c r="K233" s="124"/>
      <c r="L233" s="124"/>
      <c r="M233" s="129"/>
      <c r="N233" s="129" t="e">
        <f>Table1[[#This Row],[Estimated Effort (Hours)]]/NETWORKDAYS(Table1[[#This Row],[Planned Start Date]],Table1[[#This Row],[Planned End Date]])</f>
        <v>#DIV/0!</v>
      </c>
      <c r="O233" s="178">
        <f>NETWORKDAYS(Table1[[#This Row],[Planned Start Date]],Table1[[#This Row],[Planned End Date]])</f>
        <v>0</v>
      </c>
      <c r="P233" s="178">
        <f>NETWORKDAYS(Table1[[#This Row],[Planned Start Date]],$P$7)</f>
        <v>30643</v>
      </c>
      <c r="Q233" s="129"/>
      <c r="R233" s="183" t="str">
        <f>IF(Table1[[#This Row],[Actual Effort (Hours)]]="","",IF(Table1[[#This Row],[Estimated Effort (Hours)]]&lt;20,"L1",IF(Table1[[#This Row],[Estimated Effort (Hours)]]&lt;50,"L2",IF(Table1[[#This Row],[Estimated Effort (Hours)]]&lt;150,"L3",IF(Table1[[#This Row],[Estimated Effort (Hours)]]&lt;300,"L4","L5")))))</f>
        <v/>
      </c>
      <c r="S233" s="184" t="str">
        <f>IF(Table1[[#This Row],[Actual End Date]]="","",TEXT(Table1[[#This Row],[Actual End Date]],"mmm-yy"))</f>
        <v/>
      </c>
      <c r="T2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3" s="185" t="str">
        <f>IFERROR((Table1[[#This Row],[Actual Effort (Hours)]]-Table1[[#This Row],[Estimated Effort (Hours)]])/Table1[[#This Row],[Estimated Effort (Hours)]],"")</f>
        <v/>
      </c>
      <c r="V233" s="149"/>
    </row>
    <row r="234" spans="2:22">
      <c r="B234" s="195"/>
      <c r="C234" s="123"/>
      <c r="D234" s="143"/>
      <c r="E234" s="123"/>
      <c r="F234" s="143"/>
      <c r="G234" s="129"/>
      <c r="H234" s="124"/>
      <c r="I234" s="124"/>
      <c r="J234" s="129"/>
      <c r="K234" s="124"/>
      <c r="L234" s="124"/>
      <c r="M234" s="129"/>
      <c r="N234" s="129" t="e">
        <f>Table1[[#This Row],[Estimated Effort (Hours)]]/NETWORKDAYS(Table1[[#This Row],[Planned Start Date]],Table1[[#This Row],[Planned End Date]])</f>
        <v>#DIV/0!</v>
      </c>
      <c r="O234" s="178">
        <f>NETWORKDAYS(Table1[[#This Row],[Planned Start Date]],Table1[[#This Row],[Planned End Date]])</f>
        <v>0</v>
      </c>
      <c r="P234" s="178">
        <f>NETWORKDAYS(Table1[[#This Row],[Planned Start Date]],$P$7)</f>
        <v>30643</v>
      </c>
      <c r="Q234" s="129"/>
      <c r="R234" s="183" t="str">
        <f>IF(Table1[[#This Row],[Actual Effort (Hours)]]="","",IF(Table1[[#This Row],[Estimated Effort (Hours)]]&lt;20,"L1",IF(Table1[[#This Row],[Estimated Effort (Hours)]]&lt;50,"L2",IF(Table1[[#This Row],[Estimated Effort (Hours)]]&lt;150,"L3",IF(Table1[[#This Row],[Estimated Effort (Hours)]]&lt;300,"L4","L5")))))</f>
        <v/>
      </c>
      <c r="S234" s="184" t="str">
        <f>IF(Table1[[#This Row],[Actual End Date]]="","",TEXT(Table1[[#This Row],[Actual End Date]],"mmm-yy"))</f>
        <v/>
      </c>
      <c r="T2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4" s="185" t="str">
        <f>IFERROR((Table1[[#This Row],[Actual Effort (Hours)]]-Table1[[#This Row],[Estimated Effort (Hours)]])/Table1[[#This Row],[Estimated Effort (Hours)]],"")</f>
        <v/>
      </c>
      <c r="V234" s="149"/>
    </row>
    <row r="235" spans="2:22">
      <c r="B235" s="195"/>
      <c r="C235" s="123"/>
      <c r="D235" s="143"/>
      <c r="E235" s="123"/>
      <c r="F235" s="143"/>
      <c r="G235" s="129"/>
      <c r="H235" s="124"/>
      <c r="I235" s="124"/>
      <c r="J235" s="129"/>
      <c r="K235" s="124"/>
      <c r="L235" s="124"/>
      <c r="M235" s="129"/>
      <c r="N235" s="129" t="e">
        <f>Table1[[#This Row],[Estimated Effort (Hours)]]/NETWORKDAYS(Table1[[#This Row],[Planned Start Date]],Table1[[#This Row],[Planned End Date]])</f>
        <v>#DIV/0!</v>
      </c>
      <c r="O235" s="178">
        <f>NETWORKDAYS(Table1[[#This Row],[Planned Start Date]],Table1[[#This Row],[Planned End Date]])</f>
        <v>0</v>
      </c>
      <c r="P235" s="178">
        <f>NETWORKDAYS(Table1[[#This Row],[Planned Start Date]],$P$7)</f>
        <v>30643</v>
      </c>
      <c r="Q235" s="129"/>
      <c r="R235" s="183" t="str">
        <f>IF(Table1[[#This Row],[Actual Effort (Hours)]]="","",IF(Table1[[#This Row],[Estimated Effort (Hours)]]&lt;20,"L1",IF(Table1[[#This Row],[Estimated Effort (Hours)]]&lt;50,"L2",IF(Table1[[#This Row],[Estimated Effort (Hours)]]&lt;150,"L3",IF(Table1[[#This Row],[Estimated Effort (Hours)]]&lt;300,"L4","L5")))))</f>
        <v/>
      </c>
      <c r="S235" s="184" t="str">
        <f>IF(Table1[[#This Row],[Actual End Date]]="","",TEXT(Table1[[#This Row],[Actual End Date]],"mmm-yy"))</f>
        <v/>
      </c>
      <c r="T2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5" s="185" t="str">
        <f>IFERROR((Table1[[#This Row],[Actual Effort (Hours)]]-Table1[[#This Row],[Estimated Effort (Hours)]])/Table1[[#This Row],[Estimated Effort (Hours)]],"")</f>
        <v/>
      </c>
      <c r="V235" s="149"/>
    </row>
    <row r="236" spans="2:22">
      <c r="B236" s="195"/>
      <c r="C236" s="123"/>
      <c r="D236" s="143"/>
      <c r="E236" s="123"/>
      <c r="F236" s="143"/>
      <c r="G236" s="129"/>
      <c r="H236" s="124"/>
      <c r="I236" s="124"/>
      <c r="J236" s="129"/>
      <c r="K236" s="124"/>
      <c r="L236" s="124"/>
      <c r="M236" s="129"/>
      <c r="N236" s="129" t="e">
        <f>Table1[[#This Row],[Estimated Effort (Hours)]]/NETWORKDAYS(Table1[[#This Row],[Planned Start Date]],Table1[[#This Row],[Planned End Date]])</f>
        <v>#DIV/0!</v>
      </c>
      <c r="O236" s="178">
        <f>NETWORKDAYS(Table1[[#This Row],[Planned Start Date]],Table1[[#This Row],[Planned End Date]])</f>
        <v>0</v>
      </c>
      <c r="P236" s="178">
        <f>NETWORKDAYS(Table1[[#This Row],[Planned Start Date]],$P$7)</f>
        <v>30643</v>
      </c>
      <c r="Q236" s="129"/>
      <c r="R236" s="183" t="str">
        <f>IF(Table1[[#This Row],[Actual Effort (Hours)]]="","",IF(Table1[[#This Row],[Estimated Effort (Hours)]]&lt;20,"L1",IF(Table1[[#This Row],[Estimated Effort (Hours)]]&lt;50,"L2",IF(Table1[[#This Row],[Estimated Effort (Hours)]]&lt;150,"L3",IF(Table1[[#This Row],[Estimated Effort (Hours)]]&lt;300,"L4","L5")))))</f>
        <v/>
      </c>
      <c r="S236" s="184" t="str">
        <f>IF(Table1[[#This Row],[Actual End Date]]="","",TEXT(Table1[[#This Row],[Actual End Date]],"mmm-yy"))</f>
        <v/>
      </c>
      <c r="T2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6" s="185" t="str">
        <f>IFERROR((Table1[[#This Row],[Actual Effort (Hours)]]-Table1[[#This Row],[Estimated Effort (Hours)]])/Table1[[#This Row],[Estimated Effort (Hours)]],"")</f>
        <v/>
      </c>
      <c r="V236" s="149"/>
    </row>
    <row r="237" spans="2:22">
      <c r="B237" s="195"/>
      <c r="C237" s="123"/>
      <c r="D237" s="143"/>
      <c r="E237" s="123"/>
      <c r="F237" s="143"/>
      <c r="G237" s="129"/>
      <c r="H237" s="124"/>
      <c r="I237" s="124"/>
      <c r="J237" s="129"/>
      <c r="K237" s="124"/>
      <c r="L237" s="124"/>
      <c r="M237" s="129"/>
      <c r="N237" s="129" t="e">
        <f>Table1[[#This Row],[Estimated Effort (Hours)]]/NETWORKDAYS(Table1[[#This Row],[Planned Start Date]],Table1[[#This Row],[Planned End Date]])</f>
        <v>#DIV/0!</v>
      </c>
      <c r="O237" s="178">
        <f>NETWORKDAYS(Table1[[#This Row],[Planned Start Date]],Table1[[#This Row],[Planned End Date]])</f>
        <v>0</v>
      </c>
      <c r="P237" s="178">
        <f>NETWORKDAYS(Table1[[#This Row],[Planned Start Date]],$P$7)</f>
        <v>30643</v>
      </c>
      <c r="Q237" s="129"/>
      <c r="R237" s="183" t="str">
        <f>IF(Table1[[#This Row],[Actual Effort (Hours)]]="","",IF(Table1[[#This Row],[Estimated Effort (Hours)]]&lt;20,"L1",IF(Table1[[#This Row],[Estimated Effort (Hours)]]&lt;50,"L2",IF(Table1[[#This Row],[Estimated Effort (Hours)]]&lt;150,"L3",IF(Table1[[#This Row],[Estimated Effort (Hours)]]&lt;300,"L4","L5")))))</f>
        <v/>
      </c>
      <c r="S237" s="184" t="str">
        <f>IF(Table1[[#This Row],[Actual End Date]]="","",TEXT(Table1[[#This Row],[Actual End Date]],"mmm-yy"))</f>
        <v/>
      </c>
      <c r="T2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7" s="185" t="str">
        <f>IFERROR((Table1[[#This Row],[Actual Effort (Hours)]]-Table1[[#This Row],[Estimated Effort (Hours)]])/Table1[[#This Row],[Estimated Effort (Hours)]],"")</f>
        <v/>
      </c>
      <c r="V237" s="149"/>
    </row>
    <row r="238" spans="2:22">
      <c r="B238" s="195"/>
      <c r="C238" s="123"/>
      <c r="D238" s="143"/>
      <c r="E238" s="123"/>
      <c r="F238" s="143"/>
      <c r="G238" s="129"/>
      <c r="H238" s="124"/>
      <c r="I238" s="124"/>
      <c r="J238" s="129"/>
      <c r="K238" s="124"/>
      <c r="L238" s="124"/>
      <c r="M238" s="129"/>
      <c r="N238" s="129" t="e">
        <f>Table1[[#This Row],[Estimated Effort (Hours)]]/NETWORKDAYS(Table1[[#This Row],[Planned Start Date]],Table1[[#This Row],[Planned End Date]])</f>
        <v>#DIV/0!</v>
      </c>
      <c r="O238" s="178">
        <f>NETWORKDAYS(Table1[[#This Row],[Planned Start Date]],Table1[[#This Row],[Planned End Date]])</f>
        <v>0</v>
      </c>
      <c r="P238" s="178">
        <f>NETWORKDAYS(Table1[[#This Row],[Planned Start Date]],$P$7)</f>
        <v>30643</v>
      </c>
      <c r="Q238" s="129"/>
      <c r="R238" s="183" t="str">
        <f>IF(Table1[[#This Row],[Actual Effort (Hours)]]="","",IF(Table1[[#This Row],[Estimated Effort (Hours)]]&lt;20,"L1",IF(Table1[[#This Row],[Estimated Effort (Hours)]]&lt;50,"L2",IF(Table1[[#This Row],[Estimated Effort (Hours)]]&lt;150,"L3",IF(Table1[[#This Row],[Estimated Effort (Hours)]]&lt;300,"L4","L5")))))</f>
        <v/>
      </c>
      <c r="S238" s="184" t="str">
        <f>IF(Table1[[#This Row],[Actual End Date]]="","",TEXT(Table1[[#This Row],[Actual End Date]],"mmm-yy"))</f>
        <v/>
      </c>
      <c r="T2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8" s="185" t="str">
        <f>IFERROR((Table1[[#This Row],[Actual Effort (Hours)]]-Table1[[#This Row],[Estimated Effort (Hours)]])/Table1[[#This Row],[Estimated Effort (Hours)]],"")</f>
        <v/>
      </c>
      <c r="V238" s="149"/>
    </row>
    <row r="239" spans="2:22">
      <c r="B239" s="195"/>
      <c r="C239" s="123"/>
      <c r="D239" s="143"/>
      <c r="E239" s="123"/>
      <c r="F239" s="143"/>
      <c r="G239" s="129"/>
      <c r="H239" s="124"/>
      <c r="I239" s="124"/>
      <c r="J239" s="129"/>
      <c r="K239" s="124"/>
      <c r="L239" s="124"/>
      <c r="M239" s="129"/>
      <c r="N239" s="129" t="e">
        <f>Table1[[#This Row],[Estimated Effort (Hours)]]/NETWORKDAYS(Table1[[#This Row],[Planned Start Date]],Table1[[#This Row],[Planned End Date]])</f>
        <v>#DIV/0!</v>
      </c>
      <c r="O239" s="178">
        <f>NETWORKDAYS(Table1[[#This Row],[Planned Start Date]],Table1[[#This Row],[Planned End Date]])</f>
        <v>0</v>
      </c>
      <c r="P239" s="178">
        <f>NETWORKDAYS(Table1[[#This Row],[Planned Start Date]],$P$7)</f>
        <v>30643</v>
      </c>
      <c r="Q239" s="129"/>
      <c r="R239" s="183" t="str">
        <f>IF(Table1[[#This Row],[Actual Effort (Hours)]]="","",IF(Table1[[#This Row],[Estimated Effort (Hours)]]&lt;20,"L1",IF(Table1[[#This Row],[Estimated Effort (Hours)]]&lt;50,"L2",IF(Table1[[#This Row],[Estimated Effort (Hours)]]&lt;150,"L3",IF(Table1[[#This Row],[Estimated Effort (Hours)]]&lt;300,"L4","L5")))))</f>
        <v/>
      </c>
      <c r="S239" s="184" t="str">
        <f>IF(Table1[[#This Row],[Actual End Date]]="","",TEXT(Table1[[#This Row],[Actual End Date]],"mmm-yy"))</f>
        <v/>
      </c>
      <c r="T2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39" s="185" t="str">
        <f>IFERROR((Table1[[#This Row],[Actual Effort (Hours)]]-Table1[[#This Row],[Estimated Effort (Hours)]])/Table1[[#This Row],[Estimated Effort (Hours)]],"")</f>
        <v/>
      </c>
      <c r="V239" s="149"/>
    </row>
    <row r="240" spans="2:22">
      <c r="B240" s="195"/>
      <c r="C240" s="123"/>
      <c r="D240" s="143"/>
      <c r="E240" s="123"/>
      <c r="F240" s="143"/>
      <c r="G240" s="129"/>
      <c r="H240" s="124"/>
      <c r="I240" s="124"/>
      <c r="J240" s="129"/>
      <c r="K240" s="124"/>
      <c r="L240" s="124"/>
      <c r="M240" s="129"/>
      <c r="N240" s="129" t="e">
        <f>Table1[[#This Row],[Estimated Effort (Hours)]]/NETWORKDAYS(Table1[[#This Row],[Planned Start Date]],Table1[[#This Row],[Planned End Date]])</f>
        <v>#DIV/0!</v>
      </c>
      <c r="O240" s="178">
        <f>NETWORKDAYS(Table1[[#This Row],[Planned Start Date]],Table1[[#This Row],[Planned End Date]])</f>
        <v>0</v>
      </c>
      <c r="P240" s="178">
        <f>NETWORKDAYS(Table1[[#This Row],[Planned Start Date]],$P$7)</f>
        <v>30643</v>
      </c>
      <c r="Q240" s="129"/>
      <c r="R240" s="183" t="str">
        <f>IF(Table1[[#This Row],[Actual Effort (Hours)]]="","",IF(Table1[[#This Row],[Estimated Effort (Hours)]]&lt;20,"L1",IF(Table1[[#This Row],[Estimated Effort (Hours)]]&lt;50,"L2",IF(Table1[[#This Row],[Estimated Effort (Hours)]]&lt;150,"L3",IF(Table1[[#This Row],[Estimated Effort (Hours)]]&lt;300,"L4","L5")))))</f>
        <v/>
      </c>
      <c r="S240" s="184" t="str">
        <f>IF(Table1[[#This Row],[Actual End Date]]="","",TEXT(Table1[[#This Row],[Actual End Date]],"mmm-yy"))</f>
        <v/>
      </c>
      <c r="T2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0" s="185" t="str">
        <f>IFERROR((Table1[[#This Row],[Actual Effort (Hours)]]-Table1[[#This Row],[Estimated Effort (Hours)]])/Table1[[#This Row],[Estimated Effort (Hours)]],"")</f>
        <v/>
      </c>
      <c r="V240" s="149"/>
    </row>
    <row r="241" spans="2:22">
      <c r="B241" s="195"/>
      <c r="C241" s="123"/>
      <c r="D241" s="143"/>
      <c r="E241" s="123"/>
      <c r="F241" s="143"/>
      <c r="G241" s="129"/>
      <c r="H241" s="124"/>
      <c r="I241" s="124"/>
      <c r="J241" s="129"/>
      <c r="K241" s="124"/>
      <c r="L241" s="124"/>
      <c r="M241" s="129"/>
      <c r="N241" s="129" t="e">
        <f>Table1[[#This Row],[Estimated Effort (Hours)]]/NETWORKDAYS(Table1[[#This Row],[Planned Start Date]],Table1[[#This Row],[Planned End Date]])</f>
        <v>#DIV/0!</v>
      </c>
      <c r="O241" s="178">
        <f>NETWORKDAYS(Table1[[#This Row],[Planned Start Date]],Table1[[#This Row],[Planned End Date]])</f>
        <v>0</v>
      </c>
      <c r="P241" s="178">
        <f>NETWORKDAYS(Table1[[#This Row],[Planned Start Date]],$P$7)</f>
        <v>30643</v>
      </c>
      <c r="Q241" s="129"/>
      <c r="R241" s="183" t="str">
        <f>IF(Table1[[#This Row],[Actual Effort (Hours)]]="","",IF(Table1[[#This Row],[Estimated Effort (Hours)]]&lt;20,"L1",IF(Table1[[#This Row],[Estimated Effort (Hours)]]&lt;50,"L2",IF(Table1[[#This Row],[Estimated Effort (Hours)]]&lt;150,"L3",IF(Table1[[#This Row],[Estimated Effort (Hours)]]&lt;300,"L4","L5")))))</f>
        <v/>
      </c>
      <c r="S241" s="184" t="str">
        <f>IF(Table1[[#This Row],[Actual End Date]]="","",TEXT(Table1[[#This Row],[Actual End Date]],"mmm-yy"))</f>
        <v/>
      </c>
      <c r="T2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1" s="185" t="str">
        <f>IFERROR((Table1[[#This Row],[Actual Effort (Hours)]]-Table1[[#This Row],[Estimated Effort (Hours)]])/Table1[[#This Row],[Estimated Effort (Hours)]],"")</f>
        <v/>
      </c>
      <c r="V241" s="149"/>
    </row>
    <row r="242" spans="2:22">
      <c r="B242" s="195"/>
      <c r="C242" s="123"/>
      <c r="D242" s="143"/>
      <c r="E242" s="123"/>
      <c r="F242" s="143"/>
      <c r="G242" s="129"/>
      <c r="H242" s="124"/>
      <c r="I242" s="124"/>
      <c r="J242" s="129"/>
      <c r="K242" s="124"/>
      <c r="L242" s="124"/>
      <c r="M242" s="129"/>
      <c r="N242" s="129" t="e">
        <f>Table1[[#This Row],[Estimated Effort (Hours)]]/NETWORKDAYS(Table1[[#This Row],[Planned Start Date]],Table1[[#This Row],[Planned End Date]])</f>
        <v>#DIV/0!</v>
      </c>
      <c r="O242" s="178">
        <f>NETWORKDAYS(Table1[[#This Row],[Planned Start Date]],Table1[[#This Row],[Planned End Date]])</f>
        <v>0</v>
      </c>
      <c r="P242" s="178">
        <f>NETWORKDAYS(Table1[[#This Row],[Planned Start Date]],$P$7)</f>
        <v>30643</v>
      </c>
      <c r="Q242" s="129"/>
      <c r="R242" s="183" t="str">
        <f>IF(Table1[[#This Row],[Actual Effort (Hours)]]="","",IF(Table1[[#This Row],[Estimated Effort (Hours)]]&lt;20,"L1",IF(Table1[[#This Row],[Estimated Effort (Hours)]]&lt;50,"L2",IF(Table1[[#This Row],[Estimated Effort (Hours)]]&lt;150,"L3",IF(Table1[[#This Row],[Estimated Effort (Hours)]]&lt;300,"L4","L5")))))</f>
        <v/>
      </c>
      <c r="S242" s="184" t="str">
        <f>IF(Table1[[#This Row],[Actual End Date]]="","",TEXT(Table1[[#This Row],[Actual End Date]],"mmm-yy"))</f>
        <v/>
      </c>
      <c r="T2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2" s="185" t="str">
        <f>IFERROR((Table1[[#This Row],[Actual Effort (Hours)]]-Table1[[#This Row],[Estimated Effort (Hours)]])/Table1[[#This Row],[Estimated Effort (Hours)]],"")</f>
        <v/>
      </c>
      <c r="V242" s="149"/>
    </row>
    <row r="243" spans="2:22">
      <c r="B243" s="195"/>
      <c r="C243" s="123"/>
      <c r="D243" s="143"/>
      <c r="E243" s="123"/>
      <c r="F243" s="143"/>
      <c r="G243" s="129"/>
      <c r="H243" s="124"/>
      <c r="I243" s="124"/>
      <c r="J243" s="129"/>
      <c r="K243" s="124"/>
      <c r="L243" s="124"/>
      <c r="M243" s="129"/>
      <c r="N243" s="129" t="e">
        <f>Table1[[#This Row],[Estimated Effort (Hours)]]/NETWORKDAYS(Table1[[#This Row],[Planned Start Date]],Table1[[#This Row],[Planned End Date]])</f>
        <v>#DIV/0!</v>
      </c>
      <c r="O243" s="178">
        <f>NETWORKDAYS(Table1[[#This Row],[Planned Start Date]],Table1[[#This Row],[Planned End Date]])</f>
        <v>0</v>
      </c>
      <c r="P243" s="178">
        <f>NETWORKDAYS(Table1[[#This Row],[Planned Start Date]],$P$7)</f>
        <v>30643</v>
      </c>
      <c r="Q243" s="129"/>
      <c r="R243" s="183" t="str">
        <f>IF(Table1[[#This Row],[Actual Effort (Hours)]]="","",IF(Table1[[#This Row],[Estimated Effort (Hours)]]&lt;20,"L1",IF(Table1[[#This Row],[Estimated Effort (Hours)]]&lt;50,"L2",IF(Table1[[#This Row],[Estimated Effort (Hours)]]&lt;150,"L3",IF(Table1[[#This Row],[Estimated Effort (Hours)]]&lt;300,"L4","L5")))))</f>
        <v/>
      </c>
      <c r="S243" s="184" t="str">
        <f>IF(Table1[[#This Row],[Actual End Date]]="","",TEXT(Table1[[#This Row],[Actual End Date]],"mmm-yy"))</f>
        <v/>
      </c>
      <c r="T2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3" s="185" t="str">
        <f>IFERROR((Table1[[#This Row],[Actual Effort (Hours)]]-Table1[[#This Row],[Estimated Effort (Hours)]])/Table1[[#This Row],[Estimated Effort (Hours)]],"")</f>
        <v/>
      </c>
      <c r="V243" s="149"/>
    </row>
    <row r="244" spans="2:22">
      <c r="B244" s="195"/>
      <c r="C244" s="123"/>
      <c r="D244" s="143"/>
      <c r="E244" s="123"/>
      <c r="F244" s="143"/>
      <c r="G244" s="129"/>
      <c r="H244" s="124"/>
      <c r="I244" s="124"/>
      <c r="J244" s="129"/>
      <c r="K244" s="124"/>
      <c r="L244" s="124"/>
      <c r="M244" s="129"/>
      <c r="N244" s="129" t="e">
        <f>Table1[[#This Row],[Estimated Effort (Hours)]]/NETWORKDAYS(Table1[[#This Row],[Planned Start Date]],Table1[[#This Row],[Planned End Date]])</f>
        <v>#DIV/0!</v>
      </c>
      <c r="O244" s="178">
        <f>NETWORKDAYS(Table1[[#This Row],[Planned Start Date]],Table1[[#This Row],[Planned End Date]])</f>
        <v>0</v>
      </c>
      <c r="P244" s="178">
        <f>NETWORKDAYS(Table1[[#This Row],[Planned Start Date]],$P$7)</f>
        <v>30643</v>
      </c>
      <c r="Q244" s="129"/>
      <c r="R244" s="183" t="str">
        <f>IF(Table1[[#This Row],[Actual Effort (Hours)]]="","",IF(Table1[[#This Row],[Estimated Effort (Hours)]]&lt;20,"L1",IF(Table1[[#This Row],[Estimated Effort (Hours)]]&lt;50,"L2",IF(Table1[[#This Row],[Estimated Effort (Hours)]]&lt;150,"L3",IF(Table1[[#This Row],[Estimated Effort (Hours)]]&lt;300,"L4","L5")))))</f>
        <v/>
      </c>
      <c r="S244" s="184" t="str">
        <f>IF(Table1[[#This Row],[Actual End Date]]="","",TEXT(Table1[[#This Row],[Actual End Date]],"mmm-yy"))</f>
        <v/>
      </c>
      <c r="T2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4" s="185" t="str">
        <f>IFERROR((Table1[[#This Row],[Actual Effort (Hours)]]-Table1[[#This Row],[Estimated Effort (Hours)]])/Table1[[#This Row],[Estimated Effort (Hours)]],"")</f>
        <v/>
      </c>
      <c r="V244" s="149"/>
    </row>
    <row r="245" spans="2:22">
      <c r="B245" s="195"/>
      <c r="C245" s="123"/>
      <c r="D245" s="143"/>
      <c r="E245" s="123"/>
      <c r="F245" s="143"/>
      <c r="G245" s="129"/>
      <c r="H245" s="124"/>
      <c r="I245" s="124"/>
      <c r="J245" s="129"/>
      <c r="K245" s="124"/>
      <c r="L245" s="124"/>
      <c r="M245" s="129"/>
      <c r="N245" s="129" t="e">
        <f>Table1[[#This Row],[Estimated Effort (Hours)]]/NETWORKDAYS(Table1[[#This Row],[Planned Start Date]],Table1[[#This Row],[Planned End Date]])</f>
        <v>#DIV/0!</v>
      </c>
      <c r="O245" s="178">
        <f>NETWORKDAYS(Table1[[#This Row],[Planned Start Date]],Table1[[#This Row],[Planned End Date]])</f>
        <v>0</v>
      </c>
      <c r="P245" s="178">
        <f>NETWORKDAYS(Table1[[#This Row],[Planned Start Date]],$P$7)</f>
        <v>30643</v>
      </c>
      <c r="Q245" s="129"/>
      <c r="R245" s="183" t="str">
        <f>IF(Table1[[#This Row],[Actual Effort (Hours)]]="","",IF(Table1[[#This Row],[Estimated Effort (Hours)]]&lt;20,"L1",IF(Table1[[#This Row],[Estimated Effort (Hours)]]&lt;50,"L2",IF(Table1[[#This Row],[Estimated Effort (Hours)]]&lt;150,"L3",IF(Table1[[#This Row],[Estimated Effort (Hours)]]&lt;300,"L4","L5")))))</f>
        <v/>
      </c>
      <c r="S245" s="184" t="str">
        <f>IF(Table1[[#This Row],[Actual End Date]]="","",TEXT(Table1[[#This Row],[Actual End Date]],"mmm-yy"))</f>
        <v/>
      </c>
      <c r="T2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5" s="185" t="str">
        <f>IFERROR((Table1[[#This Row],[Actual Effort (Hours)]]-Table1[[#This Row],[Estimated Effort (Hours)]])/Table1[[#This Row],[Estimated Effort (Hours)]],"")</f>
        <v/>
      </c>
      <c r="V245" s="149"/>
    </row>
    <row r="246" spans="2:22">
      <c r="B246" s="195"/>
      <c r="C246" s="123"/>
      <c r="D246" s="143"/>
      <c r="E246" s="123"/>
      <c r="F246" s="143"/>
      <c r="G246" s="129"/>
      <c r="H246" s="124"/>
      <c r="I246" s="124"/>
      <c r="J246" s="129"/>
      <c r="K246" s="124"/>
      <c r="L246" s="124"/>
      <c r="M246" s="129"/>
      <c r="N246" s="129" t="e">
        <f>Table1[[#This Row],[Estimated Effort (Hours)]]/NETWORKDAYS(Table1[[#This Row],[Planned Start Date]],Table1[[#This Row],[Planned End Date]])</f>
        <v>#DIV/0!</v>
      </c>
      <c r="O246" s="178">
        <f>NETWORKDAYS(Table1[[#This Row],[Planned Start Date]],Table1[[#This Row],[Planned End Date]])</f>
        <v>0</v>
      </c>
      <c r="P246" s="178">
        <f>NETWORKDAYS(Table1[[#This Row],[Planned Start Date]],$P$7)</f>
        <v>30643</v>
      </c>
      <c r="Q246" s="129"/>
      <c r="R246" s="183" t="str">
        <f>IF(Table1[[#This Row],[Actual Effort (Hours)]]="","",IF(Table1[[#This Row],[Estimated Effort (Hours)]]&lt;20,"L1",IF(Table1[[#This Row],[Estimated Effort (Hours)]]&lt;50,"L2",IF(Table1[[#This Row],[Estimated Effort (Hours)]]&lt;150,"L3",IF(Table1[[#This Row],[Estimated Effort (Hours)]]&lt;300,"L4","L5")))))</f>
        <v/>
      </c>
      <c r="S246" s="184" t="str">
        <f>IF(Table1[[#This Row],[Actual End Date]]="","",TEXT(Table1[[#This Row],[Actual End Date]],"mmm-yy"))</f>
        <v/>
      </c>
      <c r="T2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6" s="185" t="str">
        <f>IFERROR((Table1[[#This Row],[Actual Effort (Hours)]]-Table1[[#This Row],[Estimated Effort (Hours)]])/Table1[[#This Row],[Estimated Effort (Hours)]],"")</f>
        <v/>
      </c>
      <c r="V246" s="149"/>
    </row>
    <row r="247" spans="2:22">
      <c r="B247" s="195"/>
      <c r="C247" s="123"/>
      <c r="D247" s="143"/>
      <c r="E247" s="123"/>
      <c r="F247" s="143"/>
      <c r="G247" s="129"/>
      <c r="H247" s="124"/>
      <c r="I247" s="124"/>
      <c r="J247" s="129"/>
      <c r="K247" s="124"/>
      <c r="L247" s="124"/>
      <c r="M247" s="129"/>
      <c r="N247" s="129" t="e">
        <f>Table1[[#This Row],[Estimated Effort (Hours)]]/NETWORKDAYS(Table1[[#This Row],[Planned Start Date]],Table1[[#This Row],[Planned End Date]])</f>
        <v>#DIV/0!</v>
      </c>
      <c r="O247" s="178">
        <f>NETWORKDAYS(Table1[[#This Row],[Planned Start Date]],Table1[[#This Row],[Planned End Date]])</f>
        <v>0</v>
      </c>
      <c r="P247" s="178">
        <f>NETWORKDAYS(Table1[[#This Row],[Planned Start Date]],$P$7)</f>
        <v>30643</v>
      </c>
      <c r="Q247" s="129"/>
      <c r="R247" s="183" t="str">
        <f>IF(Table1[[#This Row],[Actual Effort (Hours)]]="","",IF(Table1[[#This Row],[Estimated Effort (Hours)]]&lt;20,"L1",IF(Table1[[#This Row],[Estimated Effort (Hours)]]&lt;50,"L2",IF(Table1[[#This Row],[Estimated Effort (Hours)]]&lt;150,"L3",IF(Table1[[#This Row],[Estimated Effort (Hours)]]&lt;300,"L4","L5")))))</f>
        <v/>
      </c>
      <c r="S247" s="184" t="str">
        <f>IF(Table1[[#This Row],[Actual End Date]]="","",TEXT(Table1[[#This Row],[Actual End Date]],"mmm-yy"))</f>
        <v/>
      </c>
      <c r="T2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7" s="185" t="str">
        <f>IFERROR((Table1[[#This Row],[Actual Effort (Hours)]]-Table1[[#This Row],[Estimated Effort (Hours)]])/Table1[[#This Row],[Estimated Effort (Hours)]],"")</f>
        <v/>
      </c>
      <c r="V247" s="149"/>
    </row>
    <row r="248" spans="2:22">
      <c r="B248" s="195"/>
      <c r="C248" s="123"/>
      <c r="D248" s="143"/>
      <c r="E248" s="123"/>
      <c r="F248" s="143"/>
      <c r="G248" s="129"/>
      <c r="H248" s="124"/>
      <c r="I248" s="124"/>
      <c r="J248" s="129"/>
      <c r="K248" s="124"/>
      <c r="L248" s="124"/>
      <c r="M248" s="129"/>
      <c r="N248" s="129" t="e">
        <f>Table1[[#This Row],[Estimated Effort (Hours)]]/NETWORKDAYS(Table1[[#This Row],[Planned Start Date]],Table1[[#This Row],[Planned End Date]])</f>
        <v>#DIV/0!</v>
      </c>
      <c r="O248" s="178">
        <f>NETWORKDAYS(Table1[[#This Row],[Planned Start Date]],Table1[[#This Row],[Planned End Date]])</f>
        <v>0</v>
      </c>
      <c r="P248" s="178">
        <f>NETWORKDAYS(Table1[[#This Row],[Planned Start Date]],$P$7)</f>
        <v>30643</v>
      </c>
      <c r="Q248" s="129"/>
      <c r="R248" s="183" t="str">
        <f>IF(Table1[[#This Row],[Actual Effort (Hours)]]="","",IF(Table1[[#This Row],[Estimated Effort (Hours)]]&lt;20,"L1",IF(Table1[[#This Row],[Estimated Effort (Hours)]]&lt;50,"L2",IF(Table1[[#This Row],[Estimated Effort (Hours)]]&lt;150,"L3",IF(Table1[[#This Row],[Estimated Effort (Hours)]]&lt;300,"L4","L5")))))</f>
        <v/>
      </c>
      <c r="S248" s="184" t="str">
        <f>IF(Table1[[#This Row],[Actual End Date]]="","",TEXT(Table1[[#This Row],[Actual End Date]],"mmm-yy"))</f>
        <v/>
      </c>
      <c r="T2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8" s="185" t="str">
        <f>IFERROR((Table1[[#This Row],[Actual Effort (Hours)]]-Table1[[#This Row],[Estimated Effort (Hours)]])/Table1[[#This Row],[Estimated Effort (Hours)]],"")</f>
        <v/>
      </c>
      <c r="V248" s="149"/>
    </row>
    <row r="249" spans="2:22">
      <c r="B249" s="195"/>
      <c r="C249" s="123"/>
      <c r="D249" s="143"/>
      <c r="E249" s="123"/>
      <c r="F249" s="143"/>
      <c r="G249" s="129"/>
      <c r="H249" s="124"/>
      <c r="I249" s="124"/>
      <c r="J249" s="129"/>
      <c r="K249" s="124"/>
      <c r="L249" s="124"/>
      <c r="M249" s="129"/>
      <c r="N249" s="129" t="e">
        <f>Table1[[#This Row],[Estimated Effort (Hours)]]/NETWORKDAYS(Table1[[#This Row],[Planned Start Date]],Table1[[#This Row],[Planned End Date]])</f>
        <v>#DIV/0!</v>
      </c>
      <c r="O249" s="178">
        <f>NETWORKDAYS(Table1[[#This Row],[Planned Start Date]],Table1[[#This Row],[Planned End Date]])</f>
        <v>0</v>
      </c>
      <c r="P249" s="178">
        <f>NETWORKDAYS(Table1[[#This Row],[Planned Start Date]],$P$7)</f>
        <v>30643</v>
      </c>
      <c r="Q249" s="129"/>
      <c r="R249" s="183" t="str">
        <f>IF(Table1[[#This Row],[Actual Effort (Hours)]]="","",IF(Table1[[#This Row],[Estimated Effort (Hours)]]&lt;20,"L1",IF(Table1[[#This Row],[Estimated Effort (Hours)]]&lt;50,"L2",IF(Table1[[#This Row],[Estimated Effort (Hours)]]&lt;150,"L3",IF(Table1[[#This Row],[Estimated Effort (Hours)]]&lt;300,"L4","L5")))))</f>
        <v/>
      </c>
      <c r="S249" s="184" t="str">
        <f>IF(Table1[[#This Row],[Actual End Date]]="","",TEXT(Table1[[#This Row],[Actual End Date]],"mmm-yy"))</f>
        <v/>
      </c>
      <c r="T2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49" s="185" t="str">
        <f>IFERROR((Table1[[#This Row],[Actual Effort (Hours)]]-Table1[[#This Row],[Estimated Effort (Hours)]])/Table1[[#This Row],[Estimated Effort (Hours)]],"")</f>
        <v/>
      </c>
      <c r="V249" s="149"/>
    </row>
    <row r="250" spans="2:22">
      <c r="B250" s="195"/>
      <c r="C250" s="123"/>
      <c r="D250" s="143"/>
      <c r="E250" s="123"/>
      <c r="F250" s="143"/>
      <c r="G250" s="129"/>
      <c r="H250" s="124"/>
      <c r="I250" s="124"/>
      <c r="J250" s="129"/>
      <c r="K250" s="124"/>
      <c r="L250" s="124"/>
      <c r="M250" s="129"/>
      <c r="N250" s="129" t="e">
        <f>Table1[[#This Row],[Estimated Effort (Hours)]]/NETWORKDAYS(Table1[[#This Row],[Planned Start Date]],Table1[[#This Row],[Planned End Date]])</f>
        <v>#DIV/0!</v>
      </c>
      <c r="O250" s="178">
        <f>NETWORKDAYS(Table1[[#This Row],[Planned Start Date]],Table1[[#This Row],[Planned End Date]])</f>
        <v>0</v>
      </c>
      <c r="P250" s="178">
        <f>NETWORKDAYS(Table1[[#This Row],[Planned Start Date]],$P$7)</f>
        <v>30643</v>
      </c>
      <c r="Q250" s="129"/>
      <c r="R250" s="183" t="str">
        <f>IF(Table1[[#This Row],[Actual Effort (Hours)]]="","",IF(Table1[[#This Row],[Estimated Effort (Hours)]]&lt;20,"L1",IF(Table1[[#This Row],[Estimated Effort (Hours)]]&lt;50,"L2",IF(Table1[[#This Row],[Estimated Effort (Hours)]]&lt;150,"L3",IF(Table1[[#This Row],[Estimated Effort (Hours)]]&lt;300,"L4","L5")))))</f>
        <v/>
      </c>
      <c r="S250" s="184" t="str">
        <f>IF(Table1[[#This Row],[Actual End Date]]="","",TEXT(Table1[[#This Row],[Actual End Date]],"mmm-yy"))</f>
        <v/>
      </c>
      <c r="T2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0" s="185" t="str">
        <f>IFERROR((Table1[[#This Row],[Actual Effort (Hours)]]-Table1[[#This Row],[Estimated Effort (Hours)]])/Table1[[#This Row],[Estimated Effort (Hours)]],"")</f>
        <v/>
      </c>
      <c r="V250" s="149"/>
    </row>
    <row r="251" spans="2:22">
      <c r="B251" s="195"/>
      <c r="C251" s="123"/>
      <c r="D251" s="143"/>
      <c r="E251" s="123"/>
      <c r="F251" s="143"/>
      <c r="G251" s="129"/>
      <c r="H251" s="124"/>
      <c r="I251" s="124"/>
      <c r="J251" s="129"/>
      <c r="K251" s="124"/>
      <c r="L251" s="124"/>
      <c r="M251" s="129"/>
      <c r="N251" s="129" t="e">
        <f>Table1[[#This Row],[Estimated Effort (Hours)]]/NETWORKDAYS(Table1[[#This Row],[Planned Start Date]],Table1[[#This Row],[Planned End Date]])</f>
        <v>#DIV/0!</v>
      </c>
      <c r="O251" s="178">
        <f>NETWORKDAYS(Table1[[#This Row],[Planned Start Date]],Table1[[#This Row],[Planned End Date]])</f>
        <v>0</v>
      </c>
      <c r="P251" s="178">
        <f>NETWORKDAYS(Table1[[#This Row],[Planned Start Date]],$P$7)</f>
        <v>30643</v>
      </c>
      <c r="Q251" s="129"/>
      <c r="R251" s="183" t="str">
        <f>IF(Table1[[#This Row],[Actual Effort (Hours)]]="","",IF(Table1[[#This Row],[Estimated Effort (Hours)]]&lt;20,"L1",IF(Table1[[#This Row],[Estimated Effort (Hours)]]&lt;50,"L2",IF(Table1[[#This Row],[Estimated Effort (Hours)]]&lt;150,"L3",IF(Table1[[#This Row],[Estimated Effort (Hours)]]&lt;300,"L4","L5")))))</f>
        <v/>
      </c>
      <c r="S251" s="184" t="str">
        <f>IF(Table1[[#This Row],[Actual End Date]]="","",TEXT(Table1[[#This Row],[Actual End Date]],"mmm-yy"))</f>
        <v/>
      </c>
      <c r="T2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1" s="185" t="str">
        <f>IFERROR((Table1[[#This Row],[Actual Effort (Hours)]]-Table1[[#This Row],[Estimated Effort (Hours)]])/Table1[[#This Row],[Estimated Effort (Hours)]],"")</f>
        <v/>
      </c>
      <c r="V251" s="149"/>
    </row>
    <row r="252" spans="2:22">
      <c r="B252" s="195"/>
      <c r="C252" s="123"/>
      <c r="D252" s="143"/>
      <c r="E252" s="123"/>
      <c r="F252" s="143"/>
      <c r="G252" s="129"/>
      <c r="H252" s="124"/>
      <c r="I252" s="124"/>
      <c r="J252" s="129"/>
      <c r="K252" s="124"/>
      <c r="L252" s="124"/>
      <c r="M252" s="129"/>
      <c r="N252" s="129" t="e">
        <f>Table1[[#This Row],[Estimated Effort (Hours)]]/NETWORKDAYS(Table1[[#This Row],[Planned Start Date]],Table1[[#This Row],[Planned End Date]])</f>
        <v>#DIV/0!</v>
      </c>
      <c r="O252" s="178">
        <f>NETWORKDAYS(Table1[[#This Row],[Planned Start Date]],Table1[[#This Row],[Planned End Date]])</f>
        <v>0</v>
      </c>
      <c r="P252" s="178">
        <f>NETWORKDAYS(Table1[[#This Row],[Planned Start Date]],$P$7)</f>
        <v>30643</v>
      </c>
      <c r="Q252" s="129"/>
      <c r="R252" s="183" t="str">
        <f>IF(Table1[[#This Row],[Actual Effort (Hours)]]="","",IF(Table1[[#This Row],[Estimated Effort (Hours)]]&lt;20,"L1",IF(Table1[[#This Row],[Estimated Effort (Hours)]]&lt;50,"L2",IF(Table1[[#This Row],[Estimated Effort (Hours)]]&lt;150,"L3",IF(Table1[[#This Row],[Estimated Effort (Hours)]]&lt;300,"L4","L5")))))</f>
        <v/>
      </c>
      <c r="S252" s="184" t="str">
        <f>IF(Table1[[#This Row],[Actual End Date]]="","",TEXT(Table1[[#This Row],[Actual End Date]],"mmm-yy"))</f>
        <v/>
      </c>
      <c r="T2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2" s="185" t="str">
        <f>IFERROR((Table1[[#This Row],[Actual Effort (Hours)]]-Table1[[#This Row],[Estimated Effort (Hours)]])/Table1[[#This Row],[Estimated Effort (Hours)]],"")</f>
        <v/>
      </c>
      <c r="V252" s="149"/>
    </row>
    <row r="253" spans="2:22">
      <c r="B253" s="195"/>
      <c r="C253" s="123"/>
      <c r="D253" s="143"/>
      <c r="E253" s="123"/>
      <c r="F253" s="143"/>
      <c r="G253" s="129"/>
      <c r="H253" s="124"/>
      <c r="I253" s="124"/>
      <c r="J253" s="129"/>
      <c r="K253" s="124"/>
      <c r="L253" s="124"/>
      <c r="M253" s="129"/>
      <c r="N253" s="129" t="e">
        <f>Table1[[#This Row],[Estimated Effort (Hours)]]/NETWORKDAYS(Table1[[#This Row],[Planned Start Date]],Table1[[#This Row],[Planned End Date]])</f>
        <v>#DIV/0!</v>
      </c>
      <c r="O253" s="178">
        <f>NETWORKDAYS(Table1[[#This Row],[Planned Start Date]],Table1[[#This Row],[Planned End Date]])</f>
        <v>0</v>
      </c>
      <c r="P253" s="178">
        <f>NETWORKDAYS(Table1[[#This Row],[Planned Start Date]],$P$7)</f>
        <v>30643</v>
      </c>
      <c r="Q253" s="129"/>
      <c r="R253" s="183" t="str">
        <f>IF(Table1[[#This Row],[Actual Effort (Hours)]]="","",IF(Table1[[#This Row],[Estimated Effort (Hours)]]&lt;20,"L1",IF(Table1[[#This Row],[Estimated Effort (Hours)]]&lt;50,"L2",IF(Table1[[#This Row],[Estimated Effort (Hours)]]&lt;150,"L3",IF(Table1[[#This Row],[Estimated Effort (Hours)]]&lt;300,"L4","L5")))))</f>
        <v/>
      </c>
      <c r="S253" s="184" t="str">
        <f>IF(Table1[[#This Row],[Actual End Date]]="","",TEXT(Table1[[#This Row],[Actual End Date]],"mmm-yy"))</f>
        <v/>
      </c>
      <c r="T2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3" s="185" t="str">
        <f>IFERROR((Table1[[#This Row],[Actual Effort (Hours)]]-Table1[[#This Row],[Estimated Effort (Hours)]])/Table1[[#This Row],[Estimated Effort (Hours)]],"")</f>
        <v/>
      </c>
      <c r="V253" s="149"/>
    </row>
    <row r="254" spans="2:22">
      <c r="B254" s="195"/>
      <c r="C254" s="123"/>
      <c r="D254" s="143"/>
      <c r="E254" s="123"/>
      <c r="F254" s="143"/>
      <c r="G254" s="129"/>
      <c r="H254" s="124"/>
      <c r="I254" s="124"/>
      <c r="J254" s="129"/>
      <c r="K254" s="124"/>
      <c r="L254" s="124"/>
      <c r="M254" s="129"/>
      <c r="N254" s="129" t="e">
        <f>Table1[[#This Row],[Estimated Effort (Hours)]]/NETWORKDAYS(Table1[[#This Row],[Planned Start Date]],Table1[[#This Row],[Planned End Date]])</f>
        <v>#DIV/0!</v>
      </c>
      <c r="O254" s="178">
        <f>NETWORKDAYS(Table1[[#This Row],[Planned Start Date]],Table1[[#This Row],[Planned End Date]])</f>
        <v>0</v>
      </c>
      <c r="P254" s="178">
        <f>NETWORKDAYS(Table1[[#This Row],[Planned Start Date]],$P$7)</f>
        <v>30643</v>
      </c>
      <c r="Q254" s="129"/>
      <c r="R254" s="183" t="str">
        <f>IF(Table1[[#This Row],[Actual Effort (Hours)]]="","",IF(Table1[[#This Row],[Estimated Effort (Hours)]]&lt;20,"L1",IF(Table1[[#This Row],[Estimated Effort (Hours)]]&lt;50,"L2",IF(Table1[[#This Row],[Estimated Effort (Hours)]]&lt;150,"L3",IF(Table1[[#This Row],[Estimated Effort (Hours)]]&lt;300,"L4","L5")))))</f>
        <v/>
      </c>
      <c r="S254" s="184" t="str">
        <f>IF(Table1[[#This Row],[Actual End Date]]="","",TEXT(Table1[[#This Row],[Actual End Date]],"mmm-yy"))</f>
        <v/>
      </c>
      <c r="T2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4" s="185" t="str">
        <f>IFERROR((Table1[[#This Row],[Actual Effort (Hours)]]-Table1[[#This Row],[Estimated Effort (Hours)]])/Table1[[#This Row],[Estimated Effort (Hours)]],"")</f>
        <v/>
      </c>
      <c r="V254" s="149"/>
    </row>
    <row r="255" spans="2:22">
      <c r="B255" s="195"/>
      <c r="C255" s="123"/>
      <c r="D255" s="143"/>
      <c r="E255" s="123"/>
      <c r="F255" s="143"/>
      <c r="G255" s="129"/>
      <c r="H255" s="124"/>
      <c r="I255" s="124"/>
      <c r="J255" s="129"/>
      <c r="K255" s="124"/>
      <c r="L255" s="124"/>
      <c r="M255" s="129"/>
      <c r="N255" s="129" t="e">
        <f>Table1[[#This Row],[Estimated Effort (Hours)]]/NETWORKDAYS(Table1[[#This Row],[Planned Start Date]],Table1[[#This Row],[Planned End Date]])</f>
        <v>#DIV/0!</v>
      </c>
      <c r="O255" s="178">
        <f>NETWORKDAYS(Table1[[#This Row],[Planned Start Date]],Table1[[#This Row],[Planned End Date]])</f>
        <v>0</v>
      </c>
      <c r="P255" s="178">
        <f>NETWORKDAYS(Table1[[#This Row],[Planned Start Date]],$P$7)</f>
        <v>30643</v>
      </c>
      <c r="Q255" s="129"/>
      <c r="R255" s="183" t="str">
        <f>IF(Table1[[#This Row],[Actual Effort (Hours)]]="","",IF(Table1[[#This Row],[Estimated Effort (Hours)]]&lt;20,"L1",IF(Table1[[#This Row],[Estimated Effort (Hours)]]&lt;50,"L2",IF(Table1[[#This Row],[Estimated Effort (Hours)]]&lt;150,"L3",IF(Table1[[#This Row],[Estimated Effort (Hours)]]&lt;300,"L4","L5")))))</f>
        <v/>
      </c>
      <c r="S255" s="184" t="str">
        <f>IF(Table1[[#This Row],[Actual End Date]]="","",TEXT(Table1[[#This Row],[Actual End Date]],"mmm-yy"))</f>
        <v/>
      </c>
      <c r="T2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5" s="185" t="str">
        <f>IFERROR((Table1[[#This Row],[Actual Effort (Hours)]]-Table1[[#This Row],[Estimated Effort (Hours)]])/Table1[[#This Row],[Estimated Effort (Hours)]],"")</f>
        <v/>
      </c>
      <c r="V255" s="149"/>
    </row>
    <row r="256" spans="2:22">
      <c r="B256" s="195"/>
      <c r="C256" s="123"/>
      <c r="D256" s="143"/>
      <c r="E256" s="123"/>
      <c r="F256" s="143"/>
      <c r="G256" s="129"/>
      <c r="H256" s="124"/>
      <c r="I256" s="124"/>
      <c r="J256" s="129"/>
      <c r="K256" s="124"/>
      <c r="L256" s="124"/>
      <c r="M256" s="129"/>
      <c r="N256" s="129" t="e">
        <f>Table1[[#This Row],[Estimated Effort (Hours)]]/NETWORKDAYS(Table1[[#This Row],[Planned Start Date]],Table1[[#This Row],[Planned End Date]])</f>
        <v>#DIV/0!</v>
      </c>
      <c r="O256" s="178">
        <f>NETWORKDAYS(Table1[[#This Row],[Planned Start Date]],Table1[[#This Row],[Planned End Date]])</f>
        <v>0</v>
      </c>
      <c r="P256" s="178">
        <f>NETWORKDAYS(Table1[[#This Row],[Planned Start Date]],$P$7)</f>
        <v>30643</v>
      </c>
      <c r="Q256" s="129"/>
      <c r="R256" s="183" t="str">
        <f>IF(Table1[[#This Row],[Actual Effort (Hours)]]="","",IF(Table1[[#This Row],[Estimated Effort (Hours)]]&lt;20,"L1",IF(Table1[[#This Row],[Estimated Effort (Hours)]]&lt;50,"L2",IF(Table1[[#This Row],[Estimated Effort (Hours)]]&lt;150,"L3",IF(Table1[[#This Row],[Estimated Effort (Hours)]]&lt;300,"L4","L5")))))</f>
        <v/>
      </c>
      <c r="S256" s="184" t="str">
        <f>IF(Table1[[#This Row],[Actual End Date]]="","",TEXT(Table1[[#This Row],[Actual End Date]],"mmm-yy"))</f>
        <v/>
      </c>
      <c r="T2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6" s="185" t="str">
        <f>IFERROR((Table1[[#This Row],[Actual Effort (Hours)]]-Table1[[#This Row],[Estimated Effort (Hours)]])/Table1[[#This Row],[Estimated Effort (Hours)]],"")</f>
        <v/>
      </c>
      <c r="V256" s="149"/>
    </row>
    <row r="257" spans="2:22">
      <c r="B257" s="195"/>
      <c r="C257" s="123"/>
      <c r="D257" s="143"/>
      <c r="E257" s="123"/>
      <c r="F257" s="143"/>
      <c r="G257" s="129"/>
      <c r="H257" s="124"/>
      <c r="I257" s="124"/>
      <c r="J257" s="129"/>
      <c r="K257" s="124"/>
      <c r="L257" s="124"/>
      <c r="M257" s="129"/>
      <c r="N257" s="129" t="e">
        <f>Table1[[#This Row],[Estimated Effort (Hours)]]/NETWORKDAYS(Table1[[#This Row],[Planned Start Date]],Table1[[#This Row],[Planned End Date]])</f>
        <v>#DIV/0!</v>
      </c>
      <c r="O257" s="178">
        <f>NETWORKDAYS(Table1[[#This Row],[Planned Start Date]],Table1[[#This Row],[Planned End Date]])</f>
        <v>0</v>
      </c>
      <c r="P257" s="178">
        <f>NETWORKDAYS(Table1[[#This Row],[Planned Start Date]],$P$7)</f>
        <v>30643</v>
      </c>
      <c r="Q257" s="129"/>
      <c r="R257" s="183" t="str">
        <f>IF(Table1[[#This Row],[Actual Effort (Hours)]]="","",IF(Table1[[#This Row],[Estimated Effort (Hours)]]&lt;20,"L1",IF(Table1[[#This Row],[Estimated Effort (Hours)]]&lt;50,"L2",IF(Table1[[#This Row],[Estimated Effort (Hours)]]&lt;150,"L3",IF(Table1[[#This Row],[Estimated Effort (Hours)]]&lt;300,"L4","L5")))))</f>
        <v/>
      </c>
      <c r="S257" s="184" t="str">
        <f>IF(Table1[[#This Row],[Actual End Date]]="","",TEXT(Table1[[#This Row],[Actual End Date]],"mmm-yy"))</f>
        <v/>
      </c>
      <c r="T2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7" s="185" t="str">
        <f>IFERROR((Table1[[#This Row],[Actual Effort (Hours)]]-Table1[[#This Row],[Estimated Effort (Hours)]])/Table1[[#This Row],[Estimated Effort (Hours)]],"")</f>
        <v/>
      </c>
      <c r="V257" s="149"/>
    </row>
    <row r="258" spans="2:22">
      <c r="B258" s="195"/>
      <c r="C258" s="123"/>
      <c r="D258" s="143"/>
      <c r="E258" s="123"/>
      <c r="F258" s="143"/>
      <c r="G258" s="129"/>
      <c r="H258" s="124"/>
      <c r="I258" s="124"/>
      <c r="J258" s="129"/>
      <c r="K258" s="124"/>
      <c r="L258" s="124"/>
      <c r="M258" s="129"/>
      <c r="N258" s="129" t="e">
        <f>Table1[[#This Row],[Estimated Effort (Hours)]]/NETWORKDAYS(Table1[[#This Row],[Planned Start Date]],Table1[[#This Row],[Planned End Date]])</f>
        <v>#DIV/0!</v>
      </c>
      <c r="O258" s="178">
        <f>NETWORKDAYS(Table1[[#This Row],[Planned Start Date]],Table1[[#This Row],[Planned End Date]])</f>
        <v>0</v>
      </c>
      <c r="P258" s="178">
        <f>NETWORKDAYS(Table1[[#This Row],[Planned Start Date]],$P$7)</f>
        <v>30643</v>
      </c>
      <c r="Q258" s="129"/>
      <c r="R258" s="183" t="str">
        <f>IF(Table1[[#This Row],[Actual Effort (Hours)]]="","",IF(Table1[[#This Row],[Estimated Effort (Hours)]]&lt;20,"L1",IF(Table1[[#This Row],[Estimated Effort (Hours)]]&lt;50,"L2",IF(Table1[[#This Row],[Estimated Effort (Hours)]]&lt;150,"L3",IF(Table1[[#This Row],[Estimated Effort (Hours)]]&lt;300,"L4","L5")))))</f>
        <v/>
      </c>
      <c r="S258" s="184" t="str">
        <f>IF(Table1[[#This Row],[Actual End Date]]="","",TEXT(Table1[[#This Row],[Actual End Date]],"mmm-yy"))</f>
        <v/>
      </c>
      <c r="T2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8" s="185" t="str">
        <f>IFERROR((Table1[[#This Row],[Actual Effort (Hours)]]-Table1[[#This Row],[Estimated Effort (Hours)]])/Table1[[#This Row],[Estimated Effort (Hours)]],"")</f>
        <v/>
      </c>
      <c r="V258" s="149"/>
    </row>
    <row r="259" spans="2:22">
      <c r="B259" s="195"/>
      <c r="C259" s="123"/>
      <c r="D259" s="143"/>
      <c r="E259" s="123"/>
      <c r="F259" s="143"/>
      <c r="G259" s="129"/>
      <c r="H259" s="124"/>
      <c r="I259" s="124"/>
      <c r="J259" s="129"/>
      <c r="K259" s="124"/>
      <c r="L259" s="124"/>
      <c r="M259" s="129"/>
      <c r="N259" s="129" t="e">
        <f>Table1[[#This Row],[Estimated Effort (Hours)]]/NETWORKDAYS(Table1[[#This Row],[Planned Start Date]],Table1[[#This Row],[Planned End Date]])</f>
        <v>#DIV/0!</v>
      </c>
      <c r="O259" s="178">
        <f>NETWORKDAYS(Table1[[#This Row],[Planned Start Date]],Table1[[#This Row],[Planned End Date]])</f>
        <v>0</v>
      </c>
      <c r="P259" s="178">
        <f>NETWORKDAYS(Table1[[#This Row],[Planned Start Date]],$P$7)</f>
        <v>30643</v>
      </c>
      <c r="Q259" s="129"/>
      <c r="R259" s="183" t="str">
        <f>IF(Table1[[#This Row],[Actual Effort (Hours)]]="","",IF(Table1[[#This Row],[Estimated Effort (Hours)]]&lt;20,"L1",IF(Table1[[#This Row],[Estimated Effort (Hours)]]&lt;50,"L2",IF(Table1[[#This Row],[Estimated Effort (Hours)]]&lt;150,"L3",IF(Table1[[#This Row],[Estimated Effort (Hours)]]&lt;300,"L4","L5")))))</f>
        <v/>
      </c>
      <c r="S259" s="184" t="str">
        <f>IF(Table1[[#This Row],[Actual End Date]]="","",TEXT(Table1[[#This Row],[Actual End Date]],"mmm-yy"))</f>
        <v/>
      </c>
      <c r="T2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59" s="185" t="str">
        <f>IFERROR((Table1[[#This Row],[Actual Effort (Hours)]]-Table1[[#This Row],[Estimated Effort (Hours)]])/Table1[[#This Row],[Estimated Effort (Hours)]],"")</f>
        <v/>
      </c>
      <c r="V259" s="149"/>
    </row>
    <row r="260" spans="2:22">
      <c r="B260" s="195"/>
      <c r="C260" s="123"/>
      <c r="D260" s="143"/>
      <c r="E260" s="123"/>
      <c r="F260" s="143"/>
      <c r="G260" s="129"/>
      <c r="H260" s="124"/>
      <c r="I260" s="124"/>
      <c r="J260" s="129"/>
      <c r="K260" s="124"/>
      <c r="L260" s="124"/>
      <c r="M260" s="129"/>
      <c r="N260" s="129" t="e">
        <f>Table1[[#This Row],[Estimated Effort (Hours)]]/NETWORKDAYS(Table1[[#This Row],[Planned Start Date]],Table1[[#This Row],[Planned End Date]])</f>
        <v>#DIV/0!</v>
      </c>
      <c r="O260" s="178">
        <f>NETWORKDAYS(Table1[[#This Row],[Planned Start Date]],Table1[[#This Row],[Planned End Date]])</f>
        <v>0</v>
      </c>
      <c r="P260" s="178">
        <f>NETWORKDAYS(Table1[[#This Row],[Planned Start Date]],$P$7)</f>
        <v>30643</v>
      </c>
      <c r="Q260" s="129"/>
      <c r="R260" s="183" t="str">
        <f>IF(Table1[[#This Row],[Actual Effort (Hours)]]="","",IF(Table1[[#This Row],[Estimated Effort (Hours)]]&lt;20,"L1",IF(Table1[[#This Row],[Estimated Effort (Hours)]]&lt;50,"L2",IF(Table1[[#This Row],[Estimated Effort (Hours)]]&lt;150,"L3",IF(Table1[[#This Row],[Estimated Effort (Hours)]]&lt;300,"L4","L5")))))</f>
        <v/>
      </c>
      <c r="S260" s="184" t="str">
        <f>IF(Table1[[#This Row],[Actual End Date]]="","",TEXT(Table1[[#This Row],[Actual End Date]],"mmm-yy"))</f>
        <v/>
      </c>
      <c r="T2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0" s="185" t="str">
        <f>IFERROR((Table1[[#This Row],[Actual Effort (Hours)]]-Table1[[#This Row],[Estimated Effort (Hours)]])/Table1[[#This Row],[Estimated Effort (Hours)]],"")</f>
        <v/>
      </c>
      <c r="V260" s="149"/>
    </row>
    <row r="261" spans="2:22">
      <c r="B261" s="195"/>
      <c r="C261" s="123"/>
      <c r="D261" s="143"/>
      <c r="E261" s="123"/>
      <c r="F261" s="143"/>
      <c r="G261" s="129"/>
      <c r="H261" s="124"/>
      <c r="I261" s="124"/>
      <c r="J261" s="129"/>
      <c r="K261" s="124"/>
      <c r="L261" s="124"/>
      <c r="M261" s="129"/>
      <c r="N261" s="129" t="e">
        <f>Table1[[#This Row],[Estimated Effort (Hours)]]/NETWORKDAYS(Table1[[#This Row],[Planned Start Date]],Table1[[#This Row],[Planned End Date]])</f>
        <v>#DIV/0!</v>
      </c>
      <c r="O261" s="178">
        <f>NETWORKDAYS(Table1[[#This Row],[Planned Start Date]],Table1[[#This Row],[Planned End Date]])</f>
        <v>0</v>
      </c>
      <c r="P261" s="178">
        <f>NETWORKDAYS(Table1[[#This Row],[Planned Start Date]],$P$7)</f>
        <v>30643</v>
      </c>
      <c r="Q261" s="129"/>
      <c r="R261" s="183" t="str">
        <f>IF(Table1[[#This Row],[Actual Effort (Hours)]]="","",IF(Table1[[#This Row],[Estimated Effort (Hours)]]&lt;20,"L1",IF(Table1[[#This Row],[Estimated Effort (Hours)]]&lt;50,"L2",IF(Table1[[#This Row],[Estimated Effort (Hours)]]&lt;150,"L3",IF(Table1[[#This Row],[Estimated Effort (Hours)]]&lt;300,"L4","L5")))))</f>
        <v/>
      </c>
      <c r="S261" s="184" t="str">
        <f>IF(Table1[[#This Row],[Actual End Date]]="","",TEXT(Table1[[#This Row],[Actual End Date]],"mmm-yy"))</f>
        <v/>
      </c>
      <c r="T2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1" s="185" t="str">
        <f>IFERROR((Table1[[#This Row],[Actual Effort (Hours)]]-Table1[[#This Row],[Estimated Effort (Hours)]])/Table1[[#This Row],[Estimated Effort (Hours)]],"")</f>
        <v/>
      </c>
      <c r="V261" s="149"/>
    </row>
    <row r="262" spans="2:22">
      <c r="B262" s="195"/>
      <c r="C262" s="123"/>
      <c r="D262" s="143"/>
      <c r="E262" s="123"/>
      <c r="F262" s="143"/>
      <c r="G262" s="129"/>
      <c r="H262" s="124"/>
      <c r="I262" s="124"/>
      <c r="J262" s="129"/>
      <c r="K262" s="124"/>
      <c r="L262" s="124"/>
      <c r="M262" s="129"/>
      <c r="N262" s="129" t="e">
        <f>Table1[[#This Row],[Estimated Effort (Hours)]]/NETWORKDAYS(Table1[[#This Row],[Planned Start Date]],Table1[[#This Row],[Planned End Date]])</f>
        <v>#DIV/0!</v>
      </c>
      <c r="O262" s="178">
        <f>NETWORKDAYS(Table1[[#This Row],[Planned Start Date]],Table1[[#This Row],[Planned End Date]])</f>
        <v>0</v>
      </c>
      <c r="P262" s="178">
        <f>NETWORKDAYS(Table1[[#This Row],[Planned Start Date]],$P$7)</f>
        <v>30643</v>
      </c>
      <c r="Q262" s="129"/>
      <c r="R262" s="183" t="str">
        <f>IF(Table1[[#This Row],[Actual Effort (Hours)]]="","",IF(Table1[[#This Row],[Estimated Effort (Hours)]]&lt;20,"L1",IF(Table1[[#This Row],[Estimated Effort (Hours)]]&lt;50,"L2",IF(Table1[[#This Row],[Estimated Effort (Hours)]]&lt;150,"L3",IF(Table1[[#This Row],[Estimated Effort (Hours)]]&lt;300,"L4","L5")))))</f>
        <v/>
      </c>
      <c r="S262" s="184" t="str">
        <f>IF(Table1[[#This Row],[Actual End Date]]="","",TEXT(Table1[[#This Row],[Actual End Date]],"mmm-yy"))</f>
        <v/>
      </c>
      <c r="T2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2" s="185" t="str">
        <f>IFERROR((Table1[[#This Row],[Actual Effort (Hours)]]-Table1[[#This Row],[Estimated Effort (Hours)]])/Table1[[#This Row],[Estimated Effort (Hours)]],"")</f>
        <v/>
      </c>
      <c r="V262" s="149"/>
    </row>
    <row r="263" spans="2:22">
      <c r="B263" s="195"/>
      <c r="C263" s="123"/>
      <c r="D263" s="143"/>
      <c r="E263" s="123"/>
      <c r="F263" s="143"/>
      <c r="G263" s="129"/>
      <c r="H263" s="124"/>
      <c r="I263" s="124"/>
      <c r="J263" s="129"/>
      <c r="K263" s="124"/>
      <c r="L263" s="124"/>
      <c r="M263" s="129"/>
      <c r="N263" s="129" t="e">
        <f>Table1[[#This Row],[Estimated Effort (Hours)]]/NETWORKDAYS(Table1[[#This Row],[Planned Start Date]],Table1[[#This Row],[Planned End Date]])</f>
        <v>#DIV/0!</v>
      </c>
      <c r="O263" s="178">
        <f>NETWORKDAYS(Table1[[#This Row],[Planned Start Date]],Table1[[#This Row],[Planned End Date]])</f>
        <v>0</v>
      </c>
      <c r="P263" s="178">
        <f>NETWORKDAYS(Table1[[#This Row],[Planned Start Date]],$P$7)</f>
        <v>30643</v>
      </c>
      <c r="Q263" s="129"/>
      <c r="R263" s="183" t="str">
        <f>IF(Table1[[#This Row],[Actual Effort (Hours)]]="","",IF(Table1[[#This Row],[Estimated Effort (Hours)]]&lt;20,"L1",IF(Table1[[#This Row],[Estimated Effort (Hours)]]&lt;50,"L2",IF(Table1[[#This Row],[Estimated Effort (Hours)]]&lt;150,"L3",IF(Table1[[#This Row],[Estimated Effort (Hours)]]&lt;300,"L4","L5")))))</f>
        <v/>
      </c>
      <c r="S263" s="184" t="str">
        <f>IF(Table1[[#This Row],[Actual End Date]]="","",TEXT(Table1[[#This Row],[Actual End Date]],"mmm-yy"))</f>
        <v/>
      </c>
      <c r="T2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3" s="185" t="str">
        <f>IFERROR((Table1[[#This Row],[Actual Effort (Hours)]]-Table1[[#This Row],[Estimated Effort (Hours)]])/Table1[[#This Row],[Estimated Effort (Hours)]],"")</f>
        <v/>
      </c>
      <c r="V263" s="149"/>
    </row>
    <row r="264" spans="2:22">
      <c r="B264" s="195"/>
      <c r="C264" s="123"/>
      <c r="D264" s="143"/>
      <c r="E264" s="123"/>
      <c r="F264" s="143"/>
      <c r="G264" s="129"/>
      <c r="H264" s="124"/>
      <c r="I264" s="124"/>
      <c r="J264" s="129"/>
      <c r="K264" s="124"/>
      <c r="L264" s="124"/>
      <c r="M264" s="129"/>
      <c r="N264" s="129" t="e">
        <f>Table1[[#This Row],[Estimated Effort (Hours)]]/NETWORKDAYS(Table1[[#This Row],[Planned Start Date]],Table1[[#This Row],[Planned End Date]])</f>
        <v>#DIV/0!</v>
      </c>
      <c r="O264" s="178">
        <f>NETWORKDAYS(Table1[[#This Row],[Planned Start Date]],Table1[[#This Row],[Planned End Date]])</f>
        <v>0</v>
      </c>
      <c r="P264" s="178">
        <f>NETWORKDAYS(Table1[[#This Row],[Planned Start Date]],$P$7)</f>
        <v>30643</v>
      </c>
      <c r="Q264" s="129"/>
      <c r="R264" s="183" t="str">
        <f>IF(Table1[[#This Row],[Actual Effort (Hours)]]="","",IF(Table1[[#This Row],[Estimated Effort (Hours)]]&lt;20,"L1",IF(Table1[[#This Row],[Estimated Effort (Hours)]]&lt;50,"L2",IF(Table1[[#This Row],[Estimated Effort (Hours)]]&lt;150,"L3",IF(Table1[[#This Row],[Estimated Effort (Hours)]]&lt;300,"L4","L5")))))</f>
        <v/>
      </c>
      <c r="S264" s="184" t="str">
        <f>IF(Table1[[#This Row],[Actual End Date]]="","",TEXT(Table1[[#This Row],[Actual End Date]],"mmm-yy"))</f>
        <v/>
      </c>
      <c r="T2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4" s="185" t="str">
        <f>IFERROR((Table1[[#This Row],[Actual Effort (Hours)]]-Table1[[#This Row],[Estimated Effort (Hours)]])/Table1[[#This Row],[Estimated Effort (Hours)]],"")</f>
        <v/>
      </c>
      <c r="V264" s="149"/>
    </row>
    <row r="265" spans="2:22">
      <c r="B265" s="195"/>
      <c r="C265" s="123"/>
      <c r="D265" s="143"/>
      <c r="E265" s="123"/>
      <c r="F265" s="143"/>
      <c r="G265" s="129"/>
      <c r="H265" s="124"/>
      <c r="I265" s="124"/>
      <c r="J265" s="129"/>
      <c r="K265" s="124"/>
      <c r="L265" s="124"/>
      <c r="M265" s="129"/>
      <c r="N265" s="129" t="e">
        <f>Table1[[#This Row],[Estimated Effort (Hours)]]/NETWORKDAYS(Table1[[#This Row],[Planned Start Date]],Table1[[#This Row],[Planned End Date]])</f>
        <v>#DIV/0!</v>
      </c>
      <c r="O265" s="178">
        <f>NETWORKDAYS(Table1[[#This Row],[Planned Start Date]],Table1[[#This Row],[Planned End Date]])</f>
        <v>0</v>
      </c>
      <c r="P265" s="178">
        <f>NETWORKDAYS(Table1[[#This Row],[Planned Start Date]],$P$7)</f>
        <v>30643</v>
      </c>
      <c r="Q265" s="129"/>
      <c r="R265" s="183" t="str">
        <f>IF(Table1[[#This Row],[Actual Effort (Hours)]]="","",IF(Table1[[#This Row],[Estimated Effort (Hours)]]&lt;20,"L1",IF(Table1[[#This Row],[Estimated Effort (Hours)]]&lt;50,"L2",IF(Table1[[#This Row],[Estimated Effort (Hours)]]&lt;150,"L3",IF(Table1[[#This Row],[Estimated Effort (Hours)]]&lt;300,"L4","L5")))))</f>
        <v/>
      </c>
      <c r="S265" s="184" t="str">
        <f>IF(Table1[[#This Row],[Actual End Date]]="","",TEXT(Table1[[#This Row],[Actual End Date]],"mmm-yy"))</f>
        <v/>
      </c>
      <c r="T2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5" s="185" t="str">
        <f>IFERROR((Table1[[#This Row],[Actual Effort (Hours)]]-Table1[[#This Row],[Estimated Effort (Hours)]])/Table1[[#This Row],[Estimated Effort (Hours)]],"")</f>
        <v/>
      </c>
      <c r="V265" s="149"/>
    </row>
    <row r="266" spans="2:22">
      <c r="B266" s="195"/>
      <c r="C266" s="123"/>
      <c r="D266" s="143"/>
      <c r="E266" s="123"/>
      <c r="F266" s="143"/>
      <c r="G266" s="129"/>
      <c r="H266" s="124"/>
      <c r="I266" s="124"/>
      <c r="J266" s="129"/>
      <c r="K266" s="124"/>
      <c r="L266" s="124"/>
      <c r="M266" s="129"/>
      <c r="N266" s="129" t="e">
        <f>Table1[[#This Row],[Estimated Effort (Hours)]]/NETWORKDAYS(Table1[[#This Row],[Planned Start Date]],Table1[[#This Row],[Planned End Date]])</f>
        <v>#DIV/0!</v>
      </c>
      <c r="O266" s="178">
        <f>NETWORKDAYS(Table1[[#This Row],[Planned Start Date]],Table1[[#This Row],[Planned End Date]])</f>
        <v>0</v>
      </c>
      <c r="P266" s="178">
        <f>NETWORKDAYS(Table1[[#This Row],[Planned Start Date]],$P$7)</f>
        <v>30643</v>
      </c>
      <c r="Q266" s="129"/>
      <c r="R266" s="183" t="str">
        <f>IF(Table1[[#This Row],[Actual Effort (Hours)]]="","",IF(Table1[[#This Row],[Estimated Effort (Hours)]]&lt;20,"L1",IF(Table1[[#This Row],[Estimated Effort (Hours)]]&lt;50,"L2",IF(Table1[[#This Row],[Estimated Effort (Hours)]]&lt;150,"L3",IF(Table1[[#This Row],[Estimated Effort (Hours)]]&lt;300,"L4","L5")))))</f>
        <v/>
      </c>
      <c r="S266" s="184" t="str">
        <f>IF(Table1[[#This Row],[Actual End Date]]="","",TEXT(Table1[[#This Row],[Actual End Date]],"mmm-yy"))</f>
        <v/>
      </c>
      <c r="T2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6" s="185" t="str">
        <f>IFERROR((Table1[[#This Row],[Actual Effort (Hours)]]-Table1[[#This Row],[Estimated Effort (Hours)]])/Table1[[#This Row],[Estimated Effort (Hours)]],"")</f>
        <v/>
      </c>
      <c r="V266" s="149"/>
    </row>
    <row r="267" spans="2:22">
      <c r="B267" s="195"/>
      <c r="C267" s="123"/>
      <c r="D267" s="143"/>
      <c r="E267" s="123"/>
      <c r="F267" s="143"/>
      <c r="G267" s="129"/>
      <c r="H267" s="124"/>
      <c r="I267" s="124"/>
      <c r="J267" s="129"/>
      <c r="K267" s="124"/>
      <c r="L267" s="124"/>
      <c r="M267" s="129"/>
      <c r="N267" s="129" t="e">
        <f>Table1[[#This Row],[Estimated Effort (Hours)]]/NETWORKDAYS(Table1[[#This Row],[Planned Start Date]],Table1[[#This Row],[Planned End Date]])</f>
        <v>#DIV/0!</v>
      </c>
      <c r="O267" s="178">
        <f>NETWORKDAYS(Table1[[#This Row],[Planned Start Date]],Table1[[#This Row],[Planned End Date]])</f>
        <v>0</v>
      </c>
      <c r="P267" s="178">
        <f>NETWORKDAYS(Table1[[#This Row],[Planned Start Date]],$P$7)</f>
        <v>30643</v>
      </c>
      <c r="Q267" s="129"/>
      <c r="R267" s="183" t="str">
        <f>IF(Table1[[#This Row],[Actual Effort (Hours)]]="","",IF(Table1[[#This Row],[Estimated Effort (Hours)]]&lt;20,"L1",IF(Table1[[#This Row],[Estimated Effort (Hours)]]&lt;50,"L2",IF(Table1[[#This Row],[Estimated Effort (Hours)]]&lt;150,"L3",IF(Table1[[#This Row],[Estimated Effort (Hours)]]&lt;300,"L4","L5")))))</f>
        <v/>
      </c>
      <c r="S267" s="184" t="str">
        <f>IF(Table1[[#This Row],[Actual End Date]]="","",TEXT(Table1[[#This Row],[Actual End Date]],"mmm-yy"))</f>
        <v/>
      </c>
      <c r="T2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7" s="185" t="str">
        <f>IFERROR((Table1[[#This Row],[Actual Effort (Hours)]]-Table1[[#This Row],[Estimated Effort (Hours)]])/Table1[[#This Row],[Estimated Effort (Hours)]],"")</f>
        <v/>
      </c>
      <c r="V267" s="149"/>
    </row>
    <row r="268" spans="2:22">
      <c r="B268" s="195"/>
      <c r="C268" s="123"/>
      <c r="D268" s="143"/>
      <c r="E268" s="123"/>
      <c r="F268" s="143"/>
      <c r="G268" s="129"/>
      <c r="H268" s="124"/>
      <c r="I268" s="124"/>
      <c r="J268" s="129"/>
      <c r="K268" s="124"/>
      <c r="L268" s="124"/>
      <c r="M268" s="129"/>
      <c r="N268" s="129" t="e">
        <f>Table1[[#This Row],[Estimated Effort (Hours)]]/NETWORKDAYS(Table1[[#This Row],[Planned Start Date]],Table1[[#This Row],[Planned End Date]])</f>
        <v>#DIV/0!</v>
      </c>
      <c r="O268" s="178">
        <f>NETWORKDAYS(Table1[[#This Row],[Planned Start Date]],Table1[[#This Row],[Planned End Date]])</f>
        <v>0</v>
      </c>
      <c r="P268" s="178">
        <f>NETWORKDAYS(Table1[[#This Row],[Planned Start Date]],$P$7)</f>
        <v>30643</v>
      </c>
      <c r="Q268" s="129"/>
      <c r="R268" s="183" t="str">
        <f>IF(Table1[[#This Row],[Actual Effort (Hours)]]="","",IF(Table1[[#This Row],[Estimated Effort (Hours)]]&lt;20,"L1",IF(Table1[[#This Row],[Estimated Effort (Hours)]]&lt;50,"L2",IF(Table1[[#This Row],[Estimated Effort (Hours)]]&lt;150,"L3",IF(Table1[[#This Row],[Estimated Effort (Hours)]]&lt;300,"L4","L5")))))</f>
        <v/>
      </c>
      <c r="S268" s="184" t="str">
        <f>IF(Table1[[#This Row],[Actual End Date]]="","",TEXT(Table1[[#This Row],[Actual End Date]],"mmm-yy"))</f>
        <v/>
      </c>
      <c r="T2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8" s="185" t="str">
        <f>IFERROR((Table1[[#This Row],[Actual Effort (Hours)]]-Table1[[#This Row],[Estimated Effort (Hours)]])/Table1[[#This Row],[Estimated Effort (Hours)]],"")</f>
        <v/>
      </c>
      <c r="V268" s="149"/>
    </row>
    <row r="269" spans="2:22">
      <c r="B269" s="195"/>
      <c r="C269" s="123"/>
      <c r="D269" s="143"/>
      <c r="E269" s="123"/>
      <c r="F269" s="143"/>
      <c r="G269" s="129"/>
      <c r="H269" s="124"/>
      <c r="I269" s="124"/>
      <c r="J269" s="129"/>
      <c r="K269" s="124"/>
      <c r="L269" s="124"/>
      <c r="M269" s="129"/>
      <c r="N269" s="129" t="e">
        <f>Table1[[#This Row],[Estimated Effort (Hours)]]/NETWORKDAYS(Table1[[#This Row],[Planned Start Date]],Table1[[#This Row],[Planned End Date]])</f>
        <v>#DIV/0!</v>
      </c>
      <c r="O269" s="178">
        <f>NETWORKDAYS(Table1[[#This Row],[Planned Start Date]],Table1[[#This Row],[Planned End Date]])</f>
        <v>0</v>
      </c>
      <c r="P269" s="178">
        <f>NETWORKDAYS(Table1[[#This Row],[Planned Start Date]],$P$7)</f>
        <v>30643</v>
      </c>
      <c r="Q269" s="129"/>
      <c r="R269" s="183" t="str">
        <f>IF(Table1[[#This Row],[Actual Effort (Hours)]]="","",IF(Table1[[#This Row],[Estimated Effort (Hours)]]&lt;20,"L1",IF(Table1[[#This Row],[Estimated Effort (Hours)]]&lt;50,"L2",IF(Table1[[#This Row],[Estimated Effort (Hours)]]&lt;150,"L3",IF(Table1[[#This Row],[Estimated Effort (Hours)]]&lt;300,"L4","L5")))))</f>
        <v/>
      </c>
      <c r="S269" s="184" t="str">
        <f>IF(Table1[[#This Row],[Actual End Date]]="","",TEXT(Table1[[#This Row],[Actual End Date]],"mmm-yy"))</f>
        <v/>
      </c>
      <c r="T2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69" s="185" t="str">
        <f>IFERROR((Table1[[#This Row],[Actual Effort (Hours)]]-Table1[[#This Row],[Estimated Effort (Hours)]])/Table1[[#This Row],[Estimated Effort (Hours)]],"")</f>
        <v/>
      </c>
      <c r="V269" s="149"/>
    </row>
    <row r="270" spans="2:22">
      <c r="B270" s="195"/>
      <c r="C270" s="123"/>
      <c r="D270" s="143"/>
      <c r="E270" s="123"/>
      <c r="F270" s="143"/>
      <c r="G270" s="129"/>
      <c r="H270" s="124"/>
      <c r="I270" s="124"/>
      <c r="J270" s="129"/>
      <c r="K270" s="124"/>
      <c r="L270" s="124"/>
      <c r="M270" s="129"/>
      <c r="N270" s="129" t="e">
        <f>Table1[[#This Row],[Estimated Effort (Hours)]]/NETWORKDAYS(Table1[[#This Row],[Planned Start Date]],Table1[[#This Row],[Planned End Date]])</f>
        <v>#DIV/0!</v>
      </c>
      <c r="O270" s="178">
        <f>NETWORKDAYS(Table1[[#This Row],[Planned Start Date]],Table1[[#This Row],[Planned End Date]])</f>
        <v>0</v>
      </c>
      <c r="P270" s="178">
        <f>NETWORKDAYS(Table1[[#This Row],[Planned Start Date]],$P$7)</f>
        <v>30643</v>
      </c>
      <c r="Q270" s="129"/>
      <c r="R270" s="183" t="str">
        <f>IF(Table1[[#This Row],[Actual Effort (Hours)]]="","",IF(Table1[[#This Row],[Estimated Effort (Hours)]]&lt;20,"L1",IF(Table1[[#This Row],[Estimated Effort (Hours)]]&lt;50,"L2",IF(Table1[[#This Row],[Estimated Effort (Hours)]]&lt;150,"L3",IF(Table1[[#This Row],[Estimated Effort (Hours)]]&lt;300,"L4","L5")))))</f>
        <v/>
      </c>
      <c r="S270" s="184" t="str">
        <f>IF(Table1[[#This Row],[Actual End Date]]="","",TEXT(Table1[[#This Row],[Actual End Date]],"mmm-yy"))</f>
        <v/>
      </c>
      <c r="T2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0" s="185" t="str">
        <f>IFERROR((Table1[[#This Row],[Actual Effort (Hours)]]-Table1[[#This Row],[Estimated Effort (Hours)]])/Table1[[#This Row],[Estimated Effort (Hours)]],"")</f>
        <v/>
      </c>
      <c r="V270" s="149"/>
    </row>
    <row r="271" spans="2:22">
      <c r="B271" s="195"/>
      <c r="C271" s="123"/>
      <c r="D271" s="143"/>
      <c r="E271" s="123"/>
      <c r="F271" s="143"/>
      <c r="G271" s="129"/>
      <c r="H271" s="124"/>
      <c r="I271" s="124"/>
      <c r="J271" s="129"/>
      <c r="K271" s="124"/>
      <c r="L271" s="124"/>
      <c r="M271" s="129"/>
      <c r="N271" s="129" t="e">
        <f>Table1[[#This Row],[Estimated Effort (Hours)]]/NETWORKDAYS(Table1[[#This Row],[Planned Start Date]],Table1[[#This Row],[Planned End Date]])</f>
        <v>#DIV/0!</v>
      </c>
      <c r="O271" s="178">
        <f>NETWORKDAYS(Table1[[#This Row],[Planned Start Date]],Table1[[#This Row],[Planned End Date]])</f>
        <v>0</v>
      </c>
      <c r="P271" s="178">
        <f>NETWORKDAYS(Table1[[#This Row],[Planned Start Date]],$P$7)</f>
        <v>30643</v>
      </c>
      <c r="Q271" s="129"/>
      <c r="R271" s="183" t="str">
        <f>IF(Table1[[#This Row],[Actual Effort (Hours)]]="","",IF(Table1[[#This Row],[Estimated Effort (Hours)]]&lt;20,"L1",IF(Table1[[#This Row],[Estimated Effort (Hours)]]&lt;50,"L2",IF(Table1[[#This Row],[Estimated Effort (Hours)]]&lt;150,"L3",IF(Table1[[#This Row],[Estimated Effort (Hours)]]&lt;300,"L4","L5")))))</f>
        <v/>
      </c>
      <c r="S271" s="184" t="str">
        <f>IF(Table1[[#This Row],[Actual End Date]]="","",TEXT(Table1[[#This Row],[Actual End Date]],"mmm-yy"))</f>
        <v/>
      </c>
      <c r="T2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1" s="185" t="str">
        <f>IFERROR((Table1[[#This Row],[Actual Effort (Hours)]]-Table1[[#This Row],[Estimated Effort (Hours)]])/Table1[[#This Row],[Estimated Effort (Hours)]],"")</f>
        <v/>
      </c>
      <c r="V271" s="149"/>
    </row>
    <row r="272" spans="2:22">
      <c r="B272" s="195"/>
      <c r="C272" s="123"/>
      <c r="D272" s="143"/>
      <c r="E272" s="123"/>
      <c r="F272" s="143"/>
      <c r="G272" s="129"/>
      <c r="H272" s="124"/>
      <c r="I272" s="124"/>
      <c r="J272" s="129"/>
      <c r="K272" s="124"/>
      <c r="L272" s="124"/>
      <c r="M272" s="129"/>
      <c r="N272" s="129" t="e">
        <f>Table1[[#This Row],[Estimated Effort (Hours)]]/NETWORKDAYS(Table1[[#This Row],[Planned Start Date]],Table1[[#This Row],[Planned End Date]])</f>
        <v>#DIV/0!</v>
      </c>
      <c r="O272" s="178">
        <f>NETWORKDAYS(Table1[[#This Row],[Planned Start Date]],Table1[[#This Row],[Planned End Date]])</f>
        <v>0</v>
      </c>
      <c r="P272" s="178">
        <f>NETWORKDAYS(Table1[[#This Row],[Planned Start Date]],$P$7)</f>
        <v>30643</v>
      </c>
      <c r="Q272" s="129"/>
      <c r="R272" s="183" t="str">
        <f>IF(Table1[[#This Row],[Actual Effort (Hours)]]="","",IF(Table1[[#This Row],[Estimated Effort (Hours)]]&lt;20,"L1",IF(Table1[[#This Row],[Estimated Effort (Hours)]]&lt;50,"L2",IF(Table1[[#This Row],[Estimated Effort (Hours)]]&lt;150,"L3",IF(Table1[[#This Row],[Estimated Effort (Hours)]]&lt;300,"L4","L5")))))</f>
        <v/>
      </c>
      <c r="S272" s="184" t="str">
        <f>IF(Table1[[#This Row],[Actual End Date]]="","",TEXT(Table1[[#This Row],[Actual End Date]],"mmm-yy"))</f>
        <v/>
      </c>
      <c r="T2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2" s="185" t="str">
        <f>IFERROR((Table1[[#This Row],[Actual Effort (Hours)]]-Table1[[#This Row],[Estimated Effort (Hours)]])/Table1[[#This Row],[Estimated Effort (Hours)]],"")</f>
        <v/>
      </c>
      <c r="V272" s="149"/>
    </row>
    <row r="273" spans="2:22">
      <c r="B273" s="195"/>
      <c r="C273" s="123"/>
      <c r="D273" s="143"/>
      <c r="E273" s="123"/>
      <c r="F273" s="143"/>
      <c r="G273" s="129"/>
      <c r="H273" s="124"/>
      <c r="I273" s="124"/>
      <c r="J273" s="129"/>
      <c r="K273" s="124"/>
      <c r="L273" s="124"/>
      <c r="M273" s="129"/>
      <c r="N273" s="129" t="e">
        <f>Table1[[#This Row],[Estimated Effort (Hours)]]/NETWORKDAYS(Table1[[#This Row],[Planned Start Date]],Table1[[#This Row],[Planned End Date]])</f>
        <v>#DIV/0!</v>
      </c>
      <c r="O273" s="178">
        <f>NETWORKDAYS(Table1[[#This Row],[Planned Start Date]],Table1[[#This Row],[Planned End Date]])</f>
        <v>0</v>
      </c>
      <c r="P273" s="178">
        <f>NETWORKDAYS(Table1[[#This Row],[Planned Start Date]],$P$7)</f>
        <v>30643</v>
      </c>
      <c r="Q273" s="129"/>
      <c r="R273" s="183" t="str">
        <f>IF(Table1[[#This Row],[Actual Effort (Hours)]]="","",IF(Table1[[#This Row],[Estimated Effort (Hours)]]&lt;20,"L1",IF(Table1[[#This Row],[Estimated Effort (Hours)]]&lt;50,"L2",IF(Table1[[#This Row],[Estimated Effort (Hours)]]&lt;150,"L3",IF(Table1[[#This Row],[Estimated Effort (Hours)]]&lt;300,"L4","L5")))))</f>
        <v/>
      </c>
      <c r="S273" s="184" t="str">
        <f>IF(Table1[[#This Row],[Actual End Date]]="","",TEXT(Table1[[#This Row],[Actual End Date]],"mmm-yy"))</f>
        <v/>
      </c>
      <c r="T2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3" s="185" t="str">
        <f>IFERROR((Table1[[#This Row],[Actual Effort (Hours)]]-Table1[[#This Row],[Estimated Effort (Hours)]])/Table1[[#This Row],[Estimated Effort (Hours)]],"")</f>
        <v/>
      </c>
      <c r="V273" s="149"/>
    </row>
    <row r="274" spans="2:22">
      <c r="B274" s="195"/>
      <c r="C274" s="123"/>
      <c r="D274" s="143"/>
      <c r="E274" s="123"/>
      <c r="F274" s="143"/>
      <c r="G274" s="129"/>
      <c r="H274" s="124"/>
      <c r="I274" s="124"/>
      <c r="J274" s="129"/>
      <c r="K274" s="124"/>
      <c r="L274" s="124"/>
      <c r="M274" s="129"/>
      <c r="N274" s="129" t="e">
        <f>Table1[[#This Row],[Estimated Effort (Hours)]]/NETWORKDAYS(Table1[[#This Row],[Planned Start Date]],Table1[[#This Row],[Planned End Date]])</f>
        <v>#DIV/0!</v>
      </c>
      <c r="O274" s="178">
        <f>NETWORKDAYS(Table1[[#This Row],[Planned Start Date]],Table1[[#This Row],[Planned End Date]])</f>
        <v>0</v>
      </c>
      <c r="P274" s="178">
        <f>NETWORKDAYS(Table1[[#This Row],[Planned Start Date]],$P$7)</f>
        <v>30643</v>
      </c>
      <c r="Q274" s="129"/>
      <c r="R274" s="183" t="str">
        <f>IF(Table1[[#This Row],[Actual Effort (Hours)]]="","",IF(Table1[[#This Row],[Estimated Effort (Hours)]]&lt;20,"L1",IF(Table1[[#This Row],[Estimated Effort (Hours)]]&lt;50,"L2",IF(Table1[[#This Row],[Estimated Effort (Hours)]]&lt;150,"L3",IF(Table1[[#This Row],[Estimated Effort (Hours)]]&lt;300,"L4","L5")))))</f>
        <v/>
      </c>
      <c r="S274" s="184" t="str">
        <f>IF(Table1[[#This Row],[Actual End Date]]="","",TEXT(Table1[[#This Row],[Actual End Date]],"mmm-yy"))</f>
        <v/>
      </c>
      <c r="T2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4" s="185" t="str">
        <f>IFERROR((Table1[[#This Row],[Actual Effort (Hours)]]-Table1[[#This Row],[Estimated Effort (Hours)]])/Table1[[#This Row],[Estimated Effort (Hours)]],"")</f>
        <v/>
      </c>
      <c r="V274" s="149"/>
    </row>
    <row r="275" spans="2:22">
      <c r="B275" s="195"/>
      <c r="C275" s="123"/>
      <c r="D275" s="143"/>
      <c r="E275" s="123"/>
      <c r="F275" s="143"/>
      <c r="G275" s="129"/>
      <c r="H275" s="124"/>
      <c r="I275" s="124"/>
      <c r="J275" s="129"/>
      <c r="K275" s="124"/>
      <c r="L275" s="124"/>
      <c r="M275" s="129"/>
      <c r="N275" s="129" t="e">
        <f>Table1[[#This Row],[Estimated Effort (Hours)]]/NETWORKDAYS(Table1[[#This Row],[Planned Start Date]],Table1[[#This Row],[Planned End Date]])</f>
        <v>#DIV/0!</v>
      </c>
      <c r="O275" s="178">
        <f>NETWORKDAYS(Table1[[#This Row],[Planned Start Date]],Table1[[#This Row],[Planned End Date]])</f>
        <v>0</v>
      </c>
      <c r="P275" s="178">
        <f>NETWORKDAYS(Table1[[#This Row],[Planned Start Date]],$P$7)</f>
        <v>30643</v>
      </c>
      <c r="Q275" s="129"/>
      <c r="R275" s="183" t="str">
        <f>IF(Table1[[#This Row],[Actual Effort (Hours)]]="","",IF(Table1[[#This Row],[Estimated Effort (Hours)]]&lt;20,"L1",IF(Table1[[#This Row],[Estimated Effort (Hours)]]&lt;50,"L2",IF(Table1[[#This Row],[Estimated Effort (Hours)]]&lt;150,"L3",IF(Table1[[#This Row],[Estimated Effort (Hours)]]&lt;300,"L4","L5")))))</f>
        <v/>
      </c>
      <c r="S275" s="184" t="str">
        <f>IF(Table1[[#This Row],[Actual End Date]]="","",TEXT(Table1[[#This Row],[Actual End Date]],"mmm-yy"))</f>
        <v/>
      </c>
      <c r="T2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5" s="185" t="str">
        <f>IFERROR((Table1[[#This Row],[Actual Effort (Hours)]]-Table1[[#This Row],[Estimated Effort (Hours)]])/Table1[[#This Row],[Estimated Effort (Hours)]],"")</f>
        <v/>
      </c>
      <c r="V275" s="149"/>
    </row>
    <row r="276" spans="2:22">
      <c r="B276" s="195"/>
      <c r="C276" s="123"/>
      <c r="D276" s="143"/>
      <c r="E276" s="123"/>
      <c r="F276" s="143"/>
      <c r="G276" s="129"/>
      <c r="H276" s="124"/>
      <c r="I276" s="124"/>
      <c r="J276" s="129"/>
      <c r="K276" s="124"/>
      <c r="L276" s="124"/>
      <c r="M276" s="129"/>
      <c r="N276" s="129" t="e">
        <f>Table1[[#This Row],[Estimated Effort (Hours)]]/NETWORKDAYS(Table1[[#This Row],[Planned Start Date]],Table1[[#This Row],[Planned End Date]])</f>
        <v>#DIV/0!</v>
      </c>
      <c r="O276" s="178">
        <f>NETWORKDAYS(Table1[[#This Row],[Planned Start Date]],Table1[[#This Row],[Planned End Date]])</f>
        <v>0</v>
      </c>
      <c r="P276" s="178">
        <f>NETWORKDAYS(Table1[[#This Row],[Planned Start Date]],$P$7)</f>
        <v>30643</v>
      </c>
      <c r="Q276" s="129"/>
      <c r="R276" s="183" t="str">
        <f>IF(Table1[[#This Row],[Actual Effort (Hours)]]="","",IF(Table1[[#This Row],[Estimated Effort (Hours)]]&lt;20,"L1",IF(Table1[[#This Row],[Estimated Effort (Hours)]]&lt;50,"L2",IF(Table1[[#This Row],[Estimated Effort (Hours)]]&lt;150,"L3",IF(Table1[[#This Row],[Estimated Effort (Hours)]]&lt;300,"L4","L5")))))</f>
        <v/>
      </c>
      <c r="S276" s="184" t="str">
        <f>IF(Table1[[#This Row],[Actual End Date]]="","",TEXT(Table1[[#This Row],[Actual End Date]],"mmm-yy"))</f>
        <v/>
      </c>
      <c r="T2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6" s="185" t="str">
        <f>IFERROR((Table1[[#This Row],[Actual Effort (Hours)]]-Table1[[#This Row],[Estimated Effort (Hours)]])/Table1[[#This Row],[Estimated Effort (Hours)]],"")</f>
        <v/>
      </c>
      <c r="V276" s="149"/>
    </row>
    <row r="277" spans="2:22">
      <c r="B277" s="195"/>
      <c r="C277" s="123"/>
      <c r="D277" s="143"/>
      <c r="E277" s="123"/>
      <c r="F277" s="143"/>
      <c r="G277" s="129"/>
      <c r="H277" s="124"/>
      <c r="I277" s="124"/>
      <c r="J277" s="129"/>
      <c r="K277" s="124"/>
      <c r="L277" s="124"/>
      <c r="M277" s="129"/>
      <c r="N277" s="129" t="e">
        <f>Table1[[#This Row],[Estimated Effort (Hours)]]/NETWORKDAYS(Table1[[#This Row],[Planned Start Date]],Table1[[#This Row],[Planned End Date]])</f>
        <v>#DIV/0!</v>
      </c>
      <c r="O277" s="178">
        <f>NETWORKDAYS(Table1[[#This Row],[Planned Start Date]],Table1[[#This Row],[Planned End Date]])</f>
        <v>0</v>
      </c>
      <c r="P277" s="178">
        <f>NETWORKDAYS(Table1[[#This Row],[Planned Start Date]],$P$7)</f>
        <v>30643</v>
      </c>
      <c r="Q277" s="129"/>
      <c r="R277" s="183" t="str">
        <f>IF(Table1[[#This Row],[Actual Effort (Hours)]]="","",IF(Table1[[#This Row],[Estimated Effort (Hours)]]&lt;20,"L1",IF(Table1[[#This Row],[Estimated Effort (Hours)]]&lt;50,"L2",IF(Table1[[#This Row],[Estimated Effort (Hours)]]&lt;150,"L3",IF(Table1[[#This Row],[Estimated Effort (Hours)]]&lt;300,"L4","L5")))))</f>
        <v/>
      </c>
      <c r="S277" s="184" t="str">
        <f>IF(Table1[[#This Row],[Actual End Date]]="","",TEXT(Table1[[#This Row],[Actual End Date]],"mmm-yy"))</f>
        <v/>
      </c>
      <c r="T2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7" s="185" t="str">
        <f>IFERROR((Table1[[#This Row],[Actual Effort (Hours)]]-Table1[[#This Row],[Estimated Effort (Hours)]])/Table1[[#This Row],[Estimated Effort (Hours)]],"")</f>
        <v/>
      </c>
      <c r="V277" s="149"/>
    </row>
    <row r="278" spans="2:22">
      <c r="B278" s="195"/>
      <c r="C278" s="123"/>
      <c r="D278" s="143"/>
      <c r="E278" s="123"/>
      <c r="F278" s="143"/>
      <c r="G278" s="129"/>
      <c r="H278" s="124"/>
      <c r="I278" s="124"/>
      <c r="J278" s="129"/>
      <c r="K278" s="124"/>
      <c r="L278" s="124"/>
      <c r="M278" s="129"/>
      <c r="N278" s="129" t="e">
        <f>Table1[[#This Row],[Estimated Effort (Hours)]]/NETWORKDAYS(Table1[[#This Row],[Planned Start Date]],Table1[[#This Row],[Planned End Date]])</f>
        <v>#DIV/0!</v>
      </c>
      <c r="O278" s="178">
        <f>NETWORKDAYS(Table1[[#This Row],[Planned Start Date]],Table1[[#This Row],[Planned End Date]])</f>
        <v>0</v>
      </c>
      <c r="P278" s="178">
        <f>NETWORKDAYS(Table1[[#This Row],[Planned Start Date]],$P$7)</f>
        <v>30643</v>
      </c>
      <c r="Q278" s="129"/>
      <c r="R278" s="183" t="str">
        <f>IF(Table1[[#This Row],[Actual Effort (Hours)]]="","",IF(Table1[[#This Row],[Estimated Effort (Hours)]]&lt;20,"L1",IF(Table1[[#This Row],[Estimated Effort (Hours)]]&lt;50,"L2",IF(Table1[[#This Row],[Estimated Effort (Hours)]]&lt;150,"L3",IF(Table1[[#This Row],[Estimated Effort (Hours)]]&lt;300,"L4","L5")))))</f>
        <v/>
      </c>
      <c r="S278" s="184" t="str">
        <f>IF(Table1[[#This Row],[Actual End Date]]="","",TEXT(Table1[[#This Row],[Actual End Date]],"mmm-yy"))</f>
        <v/>
      </c>
      <c r="T2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8" s="185" t="str">
        <f>IFERROR((Table1[[#This Row],[Actual Effort (Hours)]]-Table1[[#This Row],[Estimated Effort (Hours)]])/Table1[[#This Row],[Estimated Effort (Hours)]],"")</f>
        <v/>
      </c>
      <c r="V278" s="149"/>
    </row>
    <row r="279" spans="2:22">
      <c r="B279" s="195"/>
      <c r="C279" s="123"/>
      <c r="D279" s="143"/>
      <c r="E279" s="123"/>
      <c r="F279" s="143"/>
      <c r="G279" s="129"/>
      <c r="H279" s="124"/>
      <c r="I279" s="124"/>
      <c r="J279" s="129"/>
      <c r="K279" s="124"/>
      <c r="L279" s="124"/>
      <c r="M279" s="129"/>
      <c r="N279" s="129" t="e">
        <f>Table1[[#This Row],[Estimated Effort (Hours)]]/NETWORKDAYS(Table1[[#This Row],[Planned Start Date]],Table1[[#This Row],[Planned End Date]])</f>
        <v>#DIV/0!</v>
      </c>
      <c r="O279" s="178">
        <f>NETWORKDAYS(Table1[[#This Row],[Planned Start Date]],Table1[[#This Row],[Planned End Date]])</f>
        <v>0</v>
      </c>
      <c r="P279" s="178">
        <f>NETWORKDAYS(Table1[[#This Row],[Planned Start Date]],$P$7)</f>
        <v>30643</v>
      </c>
      <c r="Q279" s="129"/>
      <c r="R279" s="183" t="str">
        <f>IF(Table1[[#This Row],[Actual Effort (Hours)]]="","",IF(Table1[[#This Row],[Estimated Effort (Hours)]]&lt;20,"L1",IF(Table1[[#This Row],[Estimated Effort (Hours)]]&lt;50,"L2",IF(Table1[[#This Row],[Estimated Effort (Hours)]]&lt;150,"L3",IF(Table1[[#This Row],[Estimated Effort (Hours)]]&lt;300,"L4","L5")))))</f>
        <v/>
      </c>
      <c r="S279" s="184" t="str">
        <f>IF(Table1[[#This Row],[Actual End Date]]="","",TEXT(Table1[[#This Row],[Actual End Date]],"mmm-yy"))</f>
        <v/>
      </c>
      <c r="T2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79" s="185" t="str">
        <f>IFERROR((Table1[[#This Row],[Actual Effort (Hours)]]-Table1[[#This Row],[Estimated Effort (Hours)]])/Table1[[#This Row],[Estimated Effort (Hours)]],"")</f>
        <v/>
      </c>
      <c r="V279" s="149"/>
    </row>
    <row r="280" spans="2:22">
      <c r="B280" s="195"/>
      <c r="C280" s="123"/>
      <c r="D280" s="143"/>
      <c r="E280" s="123"/>
      <c r="F280" s="143"/>
      <c r="G280" s="129"/>
      <c r="H280" s="124"/>
      <c r="I280" s="124"/>
      <c r="J280" s="129"/>
      <c r="K280" s="124"/>
      <c r="L280" s="124"/>
      <c r="M280" s="129"/>
      <c r="N280" s="129" t="e">
        <f>Table1[[#This Row],[Estimated Effort (Hours)]]/NETWORKDAYS(Table1[[#This Row],[Planned Start Date]],Table1[[#This Row],[Planned End Date]])</f>
        <v>#DIV/0!</v>
      </c>
      <c r="O280" s="178">
        <f>NETWORKDAYS(Table1[[#This Row],[Planned Start Date]],Table1[[#This Row],[Planned End Date]])</f>
        <v>0</v>
      </c>
      <c r="P280" s="178">
        <f>NETWORKDAYS(Table1[[#This Row],[Planned Start Date]],$P$7)</f>
        <v>30643</v>
      </c>
      <c r="Q280" s="129"/>
      <c r="R280" s="183" t="str">
        <f>IF(Table1[[#This Row],[Actual Effort (Hours)]]="","",IF(Table1[[#This Row],[Estimated Effort (Hours)]]&lt;20,"L1",IF(Table1[[#This Row],[Estimated Effort (Hours)]]&lt;50,"L2",IF(Table1[[#This Row],[Estimated Effort (Hours)]]&lt;150,"L3",IF(Table1[[#This Row],[Estimated Effort (Hours)]]&lt;300,"L4","L5")))))</f>
        <v/>
      </c>
      <c r="S280" s="184" t="str">
        <f>IF(Table1[[#This Row],[Actual End Date]]="","",TEXT(Table1[[#This Row],[Actual End Date]],"mmm-yy"))</f>
        <v/>
      </c>
      <c r="T2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0" s="185" t="str">
        <f>IFERROR((Table1[[#This Row],[Actual Effort (Hours)]]-Table1[[#This Row],[Estimated Effort (Hours)]])/Table1[[#This Row],[Estimated Effort (Hours)]],"")</f>
        <v/>
      </c>
      <c r="V280" s="149"/>
    </row>
    <row r="281" spans="2:22">
      <c r="B281" s="195"/>
      <c r="C281" s="123"/>
      <c r="D281" s="143"/>
      <c r="E281" s="123"/>
      <c r="F281" s="143"/>
      <c r="G281" s="129"/>
      <c r="H281" s="124"/>
      <c r="I281" s="124"/>
      <c r="J281" s="129"/>
      <c r="K281" s="124"/>
      <c r="L281" s="124"/>
      <c r="M281" s="129"/>
      <c r="N281" s="129" t="e">
        <f>Table1[[#This Row],[Estimated Effort (Hours)]]/NETWORKDAYS(Table1[[#This Row],[Planned Start Date]],Table1[[#This Row],[Planned End Date]])</f>
        <v>#DIV/0!</v>
      </c>
      <c r="O281" s="178">
        <f>NETWORKDAYS(Table1[[#This Row],[Planned Start Date]],Table1[[#This Row],[Planned End Date]])</f>
        <v>0</v>
      </c>
      <c r="P281" s="178">
        <f>NETWORKDAYS(Table1[[#This Row],[Planned Start Date]],$P$7)</f>
        <v>30643</v>
      </c>
      <c r="Q281" s="129"/>
      <c r="R281" s="183" t="str">
        <f>IF(Table1[[#This Row],[Actual Effort (Hours)]]="","",IF(Table1[[#This Row],[Estimated Effort (Hours)]]&lt;20,"L1",IF(Table1[[#This Row],[Estimated Effort (Hours)]]&lt;50,"L2",IF(Table1[[#This Row],[Estimated Effort (Hours)]]&lt;150,"L3",IF(Table1[[#This Row],[Estimated Effort (Hours)]]&lt;300,"L4","L5")))))</f>
        <v/>
      </c>
      <c r="S281" s="184" t="str">
        <f>IF(Table1[[#This Row],[Actual End Date]]="","",TEXT(Table1[[#This Row],[Actual End Date]],"mmm-yy"))</f>
        <v/>
      </c>
      <c r="T2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1" s="185" t="str">
        <f>IFERROR((Table1[[#This Row],[Actual Effort (Hours)]]-Table1[[#This Row],[Estimated Effort (Hours)]])/Table1[[#This Row],[Estimated Effort (Hours)]],"")</f>
        <v/>
      </c>
      <c r="V281" s="149"/>
    </row>
    <row r="282" spans="2:22">
      <c r="B282" s="195"/>
      <c r="C282" s="123"/>
      <c r="D282" s="143"/>
      <c r="E282" s="123"/>
      <c r="F282" s="143"/>
      <c r="G282" s="129"/>
      <c r="H282" s="124"/>
      <c r="I282" s="124"/>
      <c r="J282" s="129"/>
      <c r="K282" s="124"/>
      <c r="L282" s="124"/>
      <c r="M282" s="129"/>
      <c r="N282" s="129" t="e">
        <f>Table1[[#This Row],[Estimated Effort (Hours)]]/NETWORKDAYS(Table1[[#This Row],[Planned Start Date]],Table1[[#This Row],[Planned End Date]])</f>
        <v>#DIV/0!</v>
      </c>
      <c r="O282" s="178">
        <f>NETWORKDAYS(Table1[[#This Row],[Planned Start Date]],Table1[[#This Row],[Planned End Date]])</f>
        <v>0</v>
      </c>
      <c r="P282" s="178">
        <f>NETWORKDAYS(Table1[[#This Row],[Planned Start Date]],$P$7)</f>
        <v>30643</v>
      </c>
      <c r="Q282" s="129"/>
      <c r="R282" s="183" t="str">
        <f>IF(Table1[[#This Row],[Actual Effort (Hours)]]="","",IF(Table1[[#This Row],[Estimated Effort (Hours)]]&lt;20,"L1",IF(Table1[[#This Row],[Estimated Effort (Hours)]]&lt;50,"L2",IF(Table1[[#This Row],[Estimated Effort (Hours)]]&lt;150,"L3",IF(Table1[[#This Row],[Estimated Effort (Hours)]]&lt;300,"L4","L5")))))</f>
        <v/>
      </c>
      <c r="S282" s="184" t="str">
        <f>IF(Table1[[#This Row],[Actual End Date]]="","",TEXT(Table1[[#This Row],[Actual End Date]],"mmm-yy"))</f>
        <v/>
      </c>
      <c r="T2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2" s="185" t="str">
        <f>IFERROR((Table1[[#This Row],[Actual Effort (Hours)]]-Table1[[#This Row],[Estimated Effort (Hours)]])/Table1[[#This Row],[Estimated Effort (Hours)]],"")</f>
        <v/>
      </c>
      <c r="V282" s="149"/>
    </row>
    <row r="283" spans="2:22">
      <c r="B283" s="195"/>
      <c r="C283" s="123"/>
      <c r="D283" s="143"/>
      <c r="E283" s="123"/>
      <c r="F283" s="143"/>
      <c r="G283" s="129"/>
      <c r="H283" s="124"/>
      <c r="I283" s="124"/>
      <c r="J283" s="129"/>
      <c r="K283" s="124"/>
      <c r="L283" s="124"/>
      <c r="M283" s="129"/>
      <c r="N283" s="129" t="e">
        <f>Table1[[#This Row],[Estimated Effort (Hours)]]/NETWORKDAYS(Table1[[#This Row],[Planned Start Date]],Table1[[#This Row],[Planned End Date]])</f>
        <v>#DIV/0!</v>
      </c>
      <c r="O283" s="178">
        <f>NETWORKDAYS(Table1[[#This Row],[Planned Start Date]],Table1[[#This Row],[Planned End Date]])</f>
        <v>0</v>
      </c>
      <c r="P283" s="178">
        <f>NETWORKDAYS(Table1[[#This Row],[Planned Start Date]],$P$7)</f>
        <v>30643</v>
      </c>
      <c r="Q283" s="129"/>
      <c r="R283" s="183" t="str">
        <f>IF(Table1[[#This Row],[Actual Effort (Hours)]]="","",IF(Table1[[#This Row],[Estimated Effort (Hours)]]&lt;20,"L1",IF(Table1[[#This Row],[Estimated Effort (Hours)]]&lt;50,"L2",IF(Table1[[#This Row],[Estimated Effort (Hours)]]&lt;150,"L3",IF(Table1[[#This Row],[Estimated Effort (Hours)]]&lt;300,"L4","L5")))))</f>
        <v/>
      </c>
      <c r="S283" s="184" t="str">
        <f>IF(Table1[[#This Row],[Actual End Date]]="","",TEXT(Table1[[#This Row],[Actual End Date]],"mmm-yy"))</f>
        <v/>
      </c>
      <c r="T2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3" s="185" t="str">
        <f>IFERROR((Table1[[#This Row],[Actual Effort (Hours)]]-Table1[[#This Row],[Estimated Effort (Hours)]])/Table1[[#This Row],[Estimated Effort (Hours)]],"")</f>
        <v/>
      </c>
      <c r="V283" s="149"/>
    </row>
    <row r="284" spans="2:22">
      <c r="B284" s="195"/>
      <c r="C284" s="123"/>
      <c r="D284" s="143"/>
      <c r="E284" s="123"/>
      <c r="F284" s="143"/>
      <c r="G284" s="129"/>
      <c r="H284" s="124"/>
      <c r="I284" s="124"/>
      <c r="J284" s="129"/>
      <c r="K284" s="124"/>
      <c r="L284" s="124"/>
      <c r="M284" s="129"/>
      <c r="N284" s="129" t="e">
        <f>Table1[[#This Row],[Estimated Effort (Hours)]]/NETWORKDAYS(Table1[[#This Row],[Planned Start Date]],Table1[[#This Row],[Planned End Date]])</f>
        <v>#DIV/0!</v>
      </c>
      <c r="O284" s="178">
        <f>NETWORKDAYS(Table1[[#This Row],[Planned Start Date]],Table1[[#This Row],[Planned End Date]])</f>
        <v>0</v>
      </c>
      <c r="P284" s="178">
        <f>NETWORKDAYS(Table1[[#This Row],[Planned Start Date]],$P$7)</f>
        <v>30643</v>
      </c>
      <c r="Q284" s="129"/>
      <c r="R284" s="183" t="str">
        <f>IF(Table1[[#This Row],[Actual Effort (Hours)]]="","",IF(Table1[[#This Row],[Estimated Effort (Hours)]]&lt;20,"L1",IF(Table1[[#This Row],[Estimated Effort (Hours)]]&lt;50,"L2",IF(Table1[[#This Row],[Estimated Effort (Hours)]]&lt;150,"L3",IF(Table1[[#This Row],[Estimated Effort (Hours)]]&lt;300,"L4","L5")))))</f>
        <v/>
      </c>
      <c r="S284" s="184" t="str">
        <f>IF(Table1[[#This Row],[Actual End Date]]="","",TEXT(Table1[[#This Row],[Actual End Date]],"mmm-yy"))</f>
        <v/>
      </c>
      <c r="T2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4" s="185" t="str">
        <f>IFERROR((Table1[[#This Row],[Actual Effort (Hours)]]-Table1[[#This Row],[Estimated Effort (Hours)]])/Table1[[#This Row],[Estimated Effort (Hours)]],"")</f>
        <v/>
      </c>
      <c r="V284" s="149"/>
    </row>
    <row r="285" spans="2:22">
      <c r="B285" s="195"/>
      <c r="C285" s="123"/>
      <c r="D285" s="143"/>
      <c r="E285" s="123"/>
      <c r="F285" s="143"/>
      <c r="G285" s="129"/>
      <c r="H285" s="124"/>
      <c r="I285" s="124"/>
      <c r="J285" s="129"/>
      <c r="K285" s="124"/>
      <c r="L285" s="124"/>
      <c r="M285" s="129"/>
      <c r="N285" s="129" t="e">
        <f>Table1[[#This Row],[Estimated Effort (Hours)]]/NETWORKDAYS(Table1[[#This Row],[Planned Start Date]],Table1[[#This Row],[Planned End Date]])</f>
        <v>#DIV/0!</v>
      </c>
      <c r="O285" s="178">
        <f>NETWORKDAYS(Table1[[#This Row],[Planned Start Date]],Table1[[#This Row],[Planned End Date]])</f>
        <v>0</v>
      </c>
      <c r="P285" s="178">
        <f>NETWORKDAYS(Table1[[#This Row],[Planned Start Date]],$P$7)</f>
        <v>30643</v>
      </c>
      <c r="Q285" s="129"/>
      <c r="R285" s="183" t="str">
        <f>IF(Table1[[#This Row],[Actual Effort (Hours)]]="","",IF(Table1[[#This Row],[Estimated Effort (Hours)]]&lt;20,"L1",IF(Table1[[#This Row],[Estimated Effort (Hours)]]&lt;50,"L2",IF(Table1[[#This Row],[Estimated Effort (Hours)]]&lt;150,"L3",IF(Table1[[#This Row],[Estimated Effort (Hours)]]&lt;300,"L4","L5")))))</f>
        <v/>
      </c>
      <c r="S285" s="184" t="str">
        <f>IF(Table1[[#This Row],[Actual End Date]]="","",TEXT(Table1[[#This Row],[Actual End Date]],"mmm-yy"))</f>
        <v/>
      </c>
      <c r="T2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5" s="185" t="str">
        <f>IFERROR((Table1[[#This Row],[Actual Effort (Hours)]]-Table1[[#This Row],[Estimated Effort (Hours)]])/Table1[[#This Row],[Estimated Effort (Hours)]],"")</f>
        <v/>
      </c>
      <c r="V285" s="149"/>
    </row>
    <row r="286" spans="2:22">
      <c r="B286" s="195"/>
      <c r="C286" s="123"/>
      <c r="D286" s="143"/>
      <c r="E286" s="123"/>
      <c r="F286" s="143"/>
      <c r="G286" s="129"/>
      <c r="H286" s="124"/>
      <c r="I286" s="124"/>
      <c r="J286" s="129"/>
      <c r="K286" s="124"/>
      <c r="L286" s="124"/>
      <c r="M286" s="129"/>
      <c r="N286" s="129" t="e">
        <f>Table1[[#This Row],[Estimated Effort (Hours)]]/NETWORKDAYS(Table1[[#This Row],[Planned Start Date]],Table1[[#This Row],[Planned End Date]])</f>
        <v>#DIV/0!</v>
      </c>
      <c r="O286" s="178">
        <f>NETWORKDAYS(Table1[[#This Row],[Planned Start Date]],Table1[[#This Row],[Planned End Date]])</f>
        <v>0</v>
      </c>
      <c r="P286" s="178">
        <f>NETWORKDAYS(Table1[[#This Row],[Planned Start Date]],$P$7)</f>
        <v>30643</v>
      </c>
      <c r="Q286" s="129"/>
      <c r="R286" s="183" t="str">
        <f>IF(Table1[[#This Row],[Actual Effort (Hours)]]="","",IF(Table1[[#This Row],[Estimated Effort (Hours)]]&lt;20,"L1",IF(Table1[[#This Row],[Estimated Effort (Hours)]]&lt;50,"L2",IF(Table1[[#This Row],[Estimated Effort (Hours)]]&lt;150,"L3",IF(Table1[[#This Row],[Estimated Effort (Hours)]]&lt;300,"L4","L5")))))</f>
        <v/>
      </c>
      <c r="S286" s="184" t="str">
        <f>IF(Table1[[#This Row],[Actual End Date]]="","",TEXT(Table1[[#This Row],[Actual End Date]],"mmm-yy"))</f>
        <v/>
      </c>
      <c r="T2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6" s="185" t="str">
        <f>IFERROR((Table1[[#This Row],[Actual Effort (Hours)]]-Table1[[#This Row],[Estimated Effort (Hours)]])/Table1[[#This Row],[Estimated Effort (Hours)]],"")</f>
        <v/>
      </c>
      <c r="V286" s="149"/>
    </row>
    <row r="287" spans="2:22">
      <c r="B287" s="195"/>
      <c r="C287" s="123"/>
      <c r="D287" s="143"/>
      <c r="E287" s="123"/>
      <c r="F287" s="143"/>
      <c r="G287" s="129"/>
      <c r="H287" s="124"/>
      <c r="I287" s="124"/>
      <c r="J287" s="129"/>
      <c r="K287" s="124"/>
      <c r="L287" s="124"/>
      <c r="M287" s="129"/>
      <c r="N287" s="129" t="e">
        <f>Table1[[#This Row],[Estimated Effort (Hours)]]/NETWORKDAYS(Table1[[#This Row],[Planned Start Date]],Table1[[#This Row],[Planned End Date]])</f>
        <v>#DIV/0!</v>
      </c>
      <c r="O287" s="178">
        <f>NETWORKDAYS(Table1[[#This Row],[Planned Start Date]],Table1[[#This Row],[Planned End Date]])</f>
        <v>0</v>
      </c>
      <c r="P287" s="178">
        <f>NETWORKDAYS(Table1[[#This Row],[Planned Start Date]],$P$7)</f>
        <v>30643</v>
      </c>
      <c r="Q287" s="129"/>
      <c r="R287" s="183" t="str">
        <f>IF(Table1[[#This Row],[Actual Effort (Hours)]]="","",IF(Table1[[#This Row],[Estimated Effort (Hours)]]&lt;20,"L1",IF(Table1[[#This Row],[Estimated Effort (Hours)]]&lt;50,"L2",IF(Table1[[#This Row],[Estimated Effort (Hours)]]&lt;150,"L3",IF(Table1[[#This Row],[Estimated Effort (Hours)]]&lt;300,"L4","L5")))))</f>
        <v/>
      </c>
      <c r="S287" s="184" t="str">
        <f>IF(Table1[[#This Row],[Actual End Date]]="","",TEXT(Table1[[#This Row],[Actual End Date]],"mmm-yy"))</f>
        <v/>
      </c>
      <c r="T2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7" s="185" t="str">
        <f>IFERROR((Table1[[#This Row],[Actual Effort (Hours)]]-Table1[[#This Row],[Estimated Effort (Hours)]])/Table1[[#This Row],[Estimated Effort (Hours)]],"")</f>
        <v/>
      </c>
      <c r="V287" s="149"/>
    </row>
    <row r="288" spans="2:22">
      <c r="B288" s="195"/>
      <c r="C288" s="123"/>
      <c r="D288" s="143"/>
      <c r="E288" s="123"/>
      <c r="F288" s="143"/>
      <c r="G288" s="129"/>
      <c r="H288" s="124"/>
      <c r="I288" s="124"/>
      <c r="J288" s="129"/>
      <c r="K288" s="124"/>
      <c r="L288" s="124"/>
      <c r="M288" s="129"/>
      <c r="N288" s="129" t="e">
        <f>Table1[[#This Row],[Estimated Effort (Hours)]]/NETWORKDAYS(Table1[[#This Row],[Planned Start Date]],Table1[[#This Row],[Planned End Date]])</f>
        <v>#DIV/0!</v>
      </c>
      <c r="O288" s="178">
        <f>NETWORKDAYS(Table1[[#This Row],[Planned Start Date]],Table1[[#This Row],[Planned End Date]])</f>
        <v>0</v>
      </c>
      <c r="P288" s="178">
        <f>NETWORKDAYS(Table1[[#This Row],[Planned Start Date]],$P$7)</f>
        <v>30643</v>
      </c>
      <c r="Q288" s="129"/>
      <c r="R288" s="183" t="str">
        <f>IF(Table1[[#This Row],[Actual Effort (Hours)]]="","",IF(Table1[[#This Row],[Estimated Effort (Hours)]]&lt;20,"L1",IF(Table1[[#This Row],[Estimated Effort (Hours)]]&lt;50,"L2",IF(Table1[[#This Row],[Estimated Effort (Hours)]]&lt;150,"L3",IF(Table1[[#This Row],[Estimated Effort (Hours)]]&lt;300,"L4","L5")))))</f>
        <v/>
      </c>
      <c r="S288" s="184" t="str">
        <f>IF(Table1[[#This Row],[Actual End Date]]="","",TEXT(Table1[[#This Row],[Actual End Date]],"mmm-yy"))</f>
        <v/>
      </c>
      <c r="T2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8" s="185" t="str">
        <f>IFERROR((Table1[[#This Row],[Actual Effort (Hours)]]-Table1[[#This Row],[Estimated Effort (Hours)]])/Table1[[#This Row],[Estimated Effort (Hours)]],"")</f>
        <v/>
      </c>
      <c r="V288" s="149"/>
    </row>
    <row r="289" spans="2:22">
      <c r="B289" s="195"/>
      <c r="C289" s="123"/>
      <c r="D289" s="143"/>
      <c r="E289" s="123"/>
      <c r="F289" s="143"/>
      <c r="G289" s="129"/>
      <c r="H289" s="124"/>
      <c r="I289" s="124"/>
      <c r="J289" s="129"/>
      <c r="K289" s="124"/>
      <c r="L289" s="124"/>
      <c r="M289" s="129"/>
      <c r="N289" s="129" t="e">
        <f>Table1[[#This Row],[Estimated Effort (Hours)]]/NETWORKDAYS(Table1[[#This Row],[Planned Start Date]],Table1[[#This Row],[Planned End Date]])</f>
        <v>#DIV/0!</v>
      </c>
      <c r="O289" s="178">
        <f>NETWORKDAYS(Table1[[#This Row],[Planned Start Date]],Table1[[#This Row],[Planned End Date]])</f>
        <v>0</v>
      </c>
      <c r="P289" s="178">
        <f>NETWORKDAYS(Table1[[#This Row],[Planned Start Date]],$P$7)</f>
        <v>30643</v>
      </c>
      <c r="Q289" s="129"/>
      <c r="R289" s="183" t="str">
        <f>IF(Table1[[#This Row],[Actual Effort (Hours)]]="","",IF(Table1[[#This Row],[Estimated Effort (Hours)]]&lt;20,"L1",IF(Table1[[#This Row],[Estimated Effort (Hours)]]&lt;50,"L2",IF(Table1[[#This Row],[Estimated Effort (Hours)]]&lt;150,"L3",IF(Table1[[#This Row],[Estimated Effort (Hours)]]&lt;300,"L4","L5")))))</f>
        <v/>
      </c>
      <c r="S289" s="184" t="str">
        <f>IF(Table1[[#This Row],[Actual End Date]]="","",TEXT(Table1[[#This Row],[Actual End Date]],"mmm-yy"))</f>
        <v/>
      </c>
      <c r="T2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89" s="185" t="str">
        <f>IFERROR((Table1[[#This Row],[Actual Effort (Hours)]]-Table1[[#This Row],[Estimated Effort (Hours)]])/Table1[[#This Row],[Estimated Effort (Hours)]],"")</f>
        <v/>
      </c>
      <c r="V289" s="149"/>
    </row>
    <row r="290" spans="2:22">
      <c r="B290" s="195"/>
      <c r="C290" s="123"/>
      <c r="D290" s="143"/>
      <c r="E290" s="123"/>
      <c r="F290" s="143"/>
      <c r="G290" s="129"/>
      <c r="H290" s="124"/>
      <c r="I290" s="124"/>
      <c r="J290" s="129"/>
      <c r="K290" s="124"/>
      <c r="L290" s="124"/>
      <c r="M290" s="129"/>
      <c r="N290" s="129" t="e">
        <f>Table1[[#This Row],[Estimated Effort (Hours)]]/NETWORKDAYS(Table1[[#This Row],[Planned Start Date]],Table1[[#This Row],[Planned End Date]])</f>
        <v>#DIV/0!</v>
      </c>
      <c r="O290" s="178">
        <f>NETWORKDAYS(Table1[[#This Row],[Planned Start Date]],Table1[[#This Row],[Planned End Date]])</f>
        <v>0</v>
      </c>
      <c r="P290" s="178">
        <f>NETWORKDAYS(Table1[[#This Row],[Planned Start Date]],$P$7)</f>
        <v>30643</v>
      </c>
      <c r="Q290" s="129"/>
      <c r="R290" s="183" t="str">
        <f>IF(Table1[[#This Row],[Actual Effort (Hours)]]="","",IF(Table1[[#This Row],[Estimated Effort (Hours)]]&lt;20,"L1",IF(Table1[[#This Row],[Estimated Effort (Hours)]]&lt;50,"L2",IF(Table1[[#This Row],[Estimated Effort (Hours)]]&lt;150,"L3",IF(Table1[[#This Row],[Estimated Effort (Hours)]]&lt;300,"L4","L5")))))</f>
        <v/>
      </c>
      <c r="S290" s="184" t="str">
        <f>IF(Table1[[#This Row],[Actual End Date]]="","",TEXT(Table1[[#This Row],[Actual End Date]],"mmm-yy"))</f>
        <v/>
      </c>
      <c r="T2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0" s="185" t="str">
        <f>IFERROR((Table1[[#This Row],[Actual Effort (Hours)]]-Table1[[#This Row],[Estimated Effort (Hours)]])/Table1[[#This Row],[Estimated Effort (Hours)]],"")</f>
        <v/>
      </c>
      <c r="V290" s="149"/>
    </row>
    <row r="291" spans="2:22">
      <c r="B291" s="195"/>
      <c r="C291" s="123"/>
      <c r="D291" s="143"/>
      <c r="E291" s="123"/>
      <c r="F291" s="143"/>
      <c r="G291" s="129"/>
      <c r="H291" s="124"/>
      <c r="I291" s="124"/>
      <c r="J291" s="129"/>
      <c r="K291" s="124"/>
      <c r="L291" s="124"/>
      <c r="M291" s="129"/>
      <c r="N291" s="129" t="e">
        <f>Table1[[#This Row],[Estimated Effort (Hours)]]/NETWORKDAYS(Table1[[#This Row],[Planned Start Date]],Table1[[#This Row],[Planned End Date]])</f>
        <v>#DIV/0!</v>
      </c>
      <c r="O291" s="178">
        <f>NETWORKDAYS(Table1[[#This Row],[Planned Start Date]],Table1[[#This Row],[Planned End Date]])</f>
        <v>0</v>
      </c>
      <c r="P291" s="178">
        <f>NETWORKDAYS(Table1[[#This Row],[Planned Start Date]],$P$7)</f>
        <v>30643</v>
      </c>
      <c r="Q291" s="129"/>
      <c r="R291" s="183" t="str">
        <f>IF(Table1[[#This Row],[Actual Effort (Hours)]]="","",IF(Table1[[#This Row],[Estimated Effort (Hours)]]&lt;20,"L1",IF(Table1[[#This Row],[Estimated Effort (Hours)]]&lt;50,"L2",IF(Table1[[#This Row],[Estimated Effort (Hours)]]&lt;150,"L3",IF(Table1[[#This Row],[Estimated Effort (Hours)]]&lt;300,"L4","L5")))))</f>
        <v/>
      </c>
      <c r="S291" s="184" t="str">
        <f>IF(Table1[[#This Row],[Actual End Date]]="","",TEXT(Table1[[#This Row],[Actual End Date]],"mmm-yy"))</f>
        <v/>
      </c>
      <c r="T2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1" s="185" t="str">
        <f>IFERROR((Table1[[#This Row],[Actual Effort (Hours)]]-Table1[[#This Row],[Estimated Effort (Hours)]])/Table1[[#This Row],[Estimated Effort (Hours)]],"")</f>
        <v/>
      </c>
      <c r="V291" s="149"/>
    </row>
    <row r="292" spans="2:22">
      <c r="B292" s="195"/>
      <c r="C292" s="123"/>
      <c r="D292" s="143"/>
      <c r="E292" s="123"/>
      <c r="F292" s="143"/>
      <c r="G292" s="129"/>
      <c r="H292" s="124"/>
      <c r="I292" s="124"/>
      <c r="J292" s="129"/>
      <c r="K292" s="124"/>
      <c r="L292" s="124"/>
      <c r="M292" s="129"/>
      <c r="N292" s="129" t="e">
        <f>Table1[[#This Row],[Estimated Effort (Hours)]]/NETWORKDAYS(Table1[[#This Row],[Planned Start Date]],Table1[[#This Row],[Planned End Date]])</f>
        <v>#DIV/0!</v>
      </c>
      <c r="O292" s="178">
        <f>NETWORKDAYS(Table1[[#This Row],[Planned Start Date]],Table1[[#This Row],[Planned End Date]])</f>
        <v>0</v>
      </c>
      <c r="P292" s="178">
        <f>NETWORKDAYS(Table1[[#This Row],[Planned Start Date]],$P$7)</f>
        <v>30643</v>
      </c>
      <c r="Q292" s="129"/>
      <c r="R292" s="183" t="str">
        <f>IF(Table1[[#This Row],[Actual Effort (Hours)]]="","",IF(Table1[[#This Row],[Estimated Effort (Hours)]]&lt;20,"L1",IF(Table1[[#This Row],[Estimated Effort (Hours)]]&lt;50,"L2",IF(Table1[[#This Row],[Estimated Effort (Hours)]]&lt;150,"L3",IF(Table1[[#This Row],[Estimated Effort (Hours)]]&lt;300,"L4","L5")))))</f>
        <v/>
      </c>
      <c r="S292" s="184" t="str">
        <f>IF(Table1[[#This Row],[Actual End Date]]="","",TEXT(Table1[[#This Row],[Actual End Date]],"mmm-yy"))</f>
        <v/>
      </c>
      <c r="T2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2" s="185" t="str">
        <f>IFERROR((Table1[[#This Row],[Actual Effort (Hours)]]-Table1[[#This Row],[Estimated Effort (Hours)]])/Table1[[#This Row],[Estimated Effort (Hours)]],"")</f>
        <v/>
      </c>
      <c r="V292" s="149"/>
    </row>
    <row r="293" spans="2:22">
      <c r="B293" s="195"/>
      <c r="C293" s="123"/>
      <c r="D293" s="143"/>
      <c r="E293" s="123"/>
      <c r="F293" s="143"/>
      <c r="G293" s="129"/>
      <c r="H293" s="124"/>
      <c r="I293" s="124"/>
      <c r="J293" s="129"/>
      <c r="K293" s="124"/>
      <c r="L293" s="124"/>
      <c r="M293" s="129"/>
      <c r="N293" s="129" t="e">
        <f>Table1[[#This Row],[Estimated Effort (Hours)]]/NETWORKDAYS(Table1[[#This Row],[Planned Start Date]],Table1[[#This Row],[Planned End Date]])</f>
        <v>#DIV/0!</v>
      </c>
      <c r="O293" s="178">
        <f>NETWORKDAYS(Table1[[#This Row],[Planned Start Date]],Table1[[#This Row],[Planned End Date]])</f>
        <v>0</v>
      </c>
      <c r="P293" s="178">
        <f>NETWORKDAYS(Table1[[#This Row],[Planned Start Date]],$P$7)</f>
        <v>30643</v>
      </c>
      <c r="Q293" s="129"/>
      <c r="R293" s="183" t="str">
        <f>IF(Table1[[#This Row],[Actual Effort (Hours)]]="","",IF(Table1[[#This Row],[Estimated Effort (Hours)]]&lt;20,"L1",IF(Table1[[#This Row],[Estimated Effort (Hours)]]&lt;50,"L2",IF(Table1[[#This Row],[Estimated Effort (Hours)]]&lt;150,"L3",IF(Table1[[#This Row],[Estimated Effort (Hours)]]&lt;300,"L4","L5")))))</f>
        <v/>
      </c>
      <c r="S293" s="184" t="str">
        <f>IF(Table1[[#This Row],[Actual End Date]]="","",TEXT(Table1[[#This Row],[Actual End Date]],"mmm-yy"))</f>
        <v/>
      </c>
      <c r="T2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3" s="185" t="str">
        <f>IFERROR((Table1[[#This Row],[Actual Effort (Hours)]]-Table1[[#This Row],[Estimated Effort (Hours)]])/Table1[[#This Row],[Estimated Effort (Hours)]],"")</f>
        <v/>
      </c>
      <c r="V293" s="149"/>
    </row>
    <row r="294" spans="2:22">
      <c r="B294" s="195"/>
      <c r="C294" s="123"/>
      <c r="D294" s="143"/>
      <c r="E294" s="123"/>
      <c r="F294" s="143"/>
      <c r="G294" s="129"/>
      <c r="H294" s="124"/>
      <c r="I294" s="124"/>
      <c r="J294" s="129"/>
      <c r="K294" s="124"/>
      <c r="L294" s="124"/>
      <c r="M294" s="129"/>
      <c r="N294" s="129" t="e">
        <f>Table1[[#This Row],[Estimated Effort (Hours)]]/NETWORKDAYS(Table1[[#This Row],[Planned Start Date]],Table1[[#This Row],[Planned End Date]])</f>
        <v>#DIV/0!</v>
      </c>
      <c r="O294" s="178">
        <f>NETWORKDAYS(Table1[[#This Row],[Planned Start Date]],Table1[[#This Row],[Planned End Date]])</f>
        <v>0</v>
      </c>
      <c r="P294" s="178">
        <f>NETWORKDAYS(Table1[[#This Row],[Planned Start Date]],$P$7)</f>
        <v>30643</v>
      </c>
      <c r="Q294" s="129"/>
      <c r="R294" s="183" t="str">
        <f>IF(Table1[[#This Row],[Actual Effort (Hours)]]="","",IF(Table1[[#This Row],[Estimated Effort (Hours)]]&lt;20,"L1",IF(Table1[[#This Row],[Estimated Effort (Hours)]]&lt;50,"L2",IF(Table1[[#This Row],[Estimated Effort (Hours)]]&lt;150,"L3",IF(Table1[[#This Row],[Estimated Effort (Hours)]]&lt;300,"L4","L5")))))</f>
        <v/>
      </c>
      <c r="S294" s="184" t="str">
        <f>IF(Table1[[#This Row],[Actual End Date]]="","",TEXT(Table1[[#This Row],[Actual End Date]],"mmm-yy"))</f>
        <v/>
      </c>
      <c r="T2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4" s="185" t="str">
        <f>IFERROR((Table1[[#This Row],[Actual Effort (Hours)]]-Table1[[#This Row],[Estimated Effort (Hours)]])/Table1[[#This Row],[Estimated Effort (Hours)]],"")</f>
        <v/>
      </c>
      <c r="V294" s="149"/>
    </row>
    <row r="295" spans="2:22">
      <c r="B295" s="195"/>
      <c r="C295" s="123"/>
      <c r="D295" s="143"/>
      <c r="E295" s="123"/>
      <c r="F295" s="143"/>
      <c r="G295" s="129"/>
      <c r="H295" s="124"/>
      <c r="I295" s="124"/>
      <c r="J295" s="129"/>
      <c r="K295" s="124"/>
      <c r="L295" s="124"/>
      <c r="M295" s="129"/>
      <c r="N295" s="129" t="e">
        <f>Table1[[#This Row],[Estimated Effort (Hours)]]/NETWORKDAYS(Table1[[#This Row],[Planned Start Date]],Table1[[#This Row],[Planned End Date]])</f>
        <v>#DIV/0!</v>
      </c>
      <c r="O295" s="178">
        <f>NETWORKDAYS(Table1[[#This Row],[Planned Start Date]],Table1[[#This Row],[Planned End Date]])</f>
        <v>0</v>
      </c>
      <c r="P295" s="178">
        <f>NETWORKDAYS(Table1[[#This Row],[Planned Start Date]],$P$7)</f>
        <v>30643</v>
      </c>
      <c r="Q295" s="129"/>
      <c r="R295" s="183" t="str">
        <f>IF(Table1[[#This Row],[Actual Effort (Hours)]]="","",IF(Table1[[#This Row],[Estimated Effort (Hours)]]&lt;20,"L1",IF(Table1[[#This Row],[Estimated Effort (Hours)]]&lt;50,"L2",IF(Table1[[#This Row],[Estimated Effort (Hours)]]&lt;150,"L3",IF(Table1[[#This Row],[Estimated Effort (Hours)]]&lt;300,"L4","L5")))))</f>
        <v/>
      </c>
      <c r="S295" s="184" t="str">
        <f>IF(Table1[[#This Row],[Actual End Date]]="","",TEXT(Table1[[#This Row],[Actual End Date]],"mmm-yy"))</f>
        <v/>
      </c>
      <c r="T2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5" s="185" t="str">
        <f>IFERROR((Table1[[#This Row],[Actual Effort (Hours)]]-Table1[[#This Row],[Estimated Effort (Hours)]])/Table1[[#This Row],[Estimated Effort (Hours)]],"")</f>
        <v/>
      </c>
      <c r="V295" s="149"/>
    </row>
    <row r="296" spans="2:22">
      <c r="B296" s="195"/>
      <c r="C296" s="123"/>
      <c r="D296" s="143"/>
      <c r="E296" s="123"/>
      <c r="F296" s="143"/>
      <c r="G296" s="129"/>
      <c r="H296" s="124"/>
      <c r="I296" s="124"/>
      <c r="J296" s="129"/>
      <c r="K296" s="124"/>
      <c r="L296" s="124"/>
      <c r="M296" s="129"/>
      <c r="N296" s="129" t="e">
        <f>Table1[[#This Row],[Estimated Effort (Hours)]]/NETWORKDAYS(Table1[[#This Row],[Planned Start Date]],Table1[[#This Row],[Planned End Date]])</f>
        <v>#DIV/0!</v>
      </c>
      <c r="O296" s="178">
        <f>NETWORKDAYS(Table1[[#This Row],[Planned Start Date]],Table1[[#This Row],[Planned End Date]])</f>
        <v>0</v>
      </c>
      <c r="P296" s="178">
        <f>NETWORKDAYS(Table1[[#This Row],[Planned Start Date]],$P$7)</f>
        <v>30643</v>
      </c>
      <c r="Q296" s="129"/>
      <c r="R296" s="183" t="str">
        <f>IF(Table1[[#This Row],[Actual Effort (Hours)]]="","",IF(Table1[[#This Row],[Estimated Effort (Hours)]]&lt;20,"L1",IF(Table1[[#This Row],[Estimated Effort (Hours)]]&lt;50,"L2",IF(Table1[[#This Row],[Estimated Effort (Hours)]]&lt;150,"L3",IF(Table1[[#This Row],[Estimated Effort (Hours)]]&lt;300,"L4","L5")))))</f>
        <v/>
      </c>
      <c r="S296" s="184" t="str">
        <f>IF(Table1[[#This Row],[Actual End Date]]="","",TEXT(Table1[[#This Row],[Actual End Date]],"mmm-yy"))</f>
        <v/>
      </c>
      <c r="T2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6" s="185" t="str">
        <f>IFERROR((Table1[[#This Row],[Actual Effort (Hours)]]-Table1[[#This Row],[Estimated Effort (Hours)]])/Table1[[#This Row],[Estimated Effort (Hours)]],"")</f>
        <v/>
      </c>
      <c r="V296" s="149"/>
    </row>
    <row r="297" spans="2:22">
      <c r="B297" s="195"/>
      <c r="C297" s="123"/>
      <c r="D297" s="143"/>
      <c r="E297" s="123"/>
      <c r="F297" s="143"/>
      <c r="G297" s="129"/>
      <c r="H297" s="124"/>
      <c r="I297" s="124"/>
      <c r="J297" s="129"/>
      <c r="K297" s="124"/>
      <c r="L297" s="124"/>
      <c r="M297" s="129"/>
      <c r="N297" s="129" t="e">
        <f>Table1[[#This Row],[Estimated Effort (Hours)]]/NETWORKDAYS(Table1[[#This Row],[Planned Start Date]],Table1[[#This Row],[Planned End Date]])</f>
        <v>#DIV/0!</v>
      </c>
      <c r="O297" s="178">
        <f>NETWORKDAYS(Table1[[#This Row],[Planned Start Date]],Table1[[#This Row],[Planned End Date]])</f>
        <v>0</v>
      </c>
      <c r="P297" s="178">
        <f>NETWORKDAYS(Table1[[#This Row],[Planned Start Date]],$P$7)</f>
        <v>30643</v>
      </c>
      <c r="Q297" s="129"/>
      <c r="R297" s="183" t="str">
        <f>IF(Table1[[#This Row],[Actual Effort (Hours)]]="","",IF(Table1[[#This Row],[Estimated Effort (Hours)]]&lt;20,"L1",IF(Table1[[#This Row],[Estimated Effort (Hours)]]&lt;50,"L2",IF(Table1[[#This Row],[Estimated Effort (Hours)]]&lt;150,"L3",IF(Table1[[#This Row],[Estimated Effort (Hours)]]&lt;300,"L4","L5")))))</f>
        <v/>
      </c>
      <c r="S297" s="184" t="str">
        <f>IF(Table1[[#This Row],[Actual End Date]]="","",TEXT(Table1[[#This Row],[Actual End Date]],"mmm-yy"))</f>
        <v/>
      </c>
      <c r="T2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7" s="185" t="str">
        <f>IFERROR((Table1[[#This Row],[Actual Effort (Hours)]]-Table1[[#This Row],[Estimated Effort (Hours)]])/Table1[[#This Row],[Estimated Effort (Hours)]],"")</f>
        <v/>
      </c>
      <c r="V297" s="149"/>
    </row>
    <row r="298" spans="2:22">
      <c r="B298" s="195"/>
      <c r="C298" s="123"/>
      <c r="D298" s="143"/>
      <c r="E298" s="123"/>
      <c r="F298" s="143"/>
      <c r="G298" s="129"/>
      <c r="H298" s="124"/>
      <c r="I298" s="124"/>
      <c r="J298" s="129"/>
      <c r="K298" s="124"/>
      <c r="L298" s="124"/>
      <c r="M298" s="129"/>
      <c r="N298" s="129" t="e">
        <f>Table1[[#This Row],[Estimated Effort (Hours)]]/NETWORKDAYS(Table1[[#This Row],[Planned Start Date]],Table1[[#This Row],[Planned End Date]])</f>
        <v>#DIV/0!</v>
      </c>
      <c r="O298" s="178">
        <f>NETWORKDAYS(Table1[[#This Row],[Planned Start Date]],Table1[[#This Row],[Planned End Date]])</f>
        <v>0</v>
      </c>
      <c r="P298" s="178">
        <f>NETWORKDAYS(Table1[[#This Row],[Planned Start Date]],$P$7)</f>
        <v>30643</v>
      </c>
      <c r="Q298" s="129"/>
      <c r="R298" s="183" t="str">
        <f>IF(Table1[[#This Row],[Actual Effort (Hours)]]="","",IF(Table1[[#This Row],[Estimated Effort (Hours)]]&lt;20,"L1",IF(Table1[[#This Row],[Estimated Effort (Hours)]]&lt;50,"L2",IF(Table1[[#This Row],[Estimated Effort (Hours)]]&lt;150,"L3",IF(Table1[[#This Row],[Estimated Effort (Hours)]]&lt;300,"L4","L5")))))</f>
        <v/>
      </c>
      <c r="S298" s="184" t="str">
        <f>IF(Table1[[#This Row],[Actual End Date]]="","",TEXT(Table1[[#This Row],[Actual End Date]],"mmm-yy"))</f>
        <v/>
      </c>
      <c r="T2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8" s="185" t="str">
        <f>IFERROR((Table1[[#This Row],[Actual Effort (Hours)]]-Table1[[#This Row],[Estimated Effort (Hours)]])/Table1[[#This Row],[Estimated Effort (Hours)]],"")</f>
        <v/>
      </c>
      <c r="V298" s="149"/>
    </row>
    <row r="299" spans="2:22">
      <c r="B299" s="195"/>
      <c r="C299" s="123"/>
      <c r="D299" s="143"/>
      <c r="E299" s="123"/>
      <c r="F299" s="143"/>
      <c r="G299" s="129"/>
      <c r="H299" s="124"/>
      <c r="I299" s="124"/>
      <c r="J299" s="129"/>
      <c r="K299" s="124"/>
      <c r="L299" s="124"/>
      <c r="M299" s="129"/>
      <c r="N299" s="129" t="e">
        <f>Table1[[#This Row],[Estimated Effort (Hours)]]/NETWORKDAYS(Table1[[#This Row],[Planned Start Date]],Table1[[#This Row],[Planned End Date]])</f>
        <v>#DIV/0!</v>
      </c>
      <c r="O299" s="178">
        <f>NETWORKDAYS(Table1[[#This Row],[Planned Start Date]],Table1[[#This Row],[Planned End Date]])</f>
        <v>0</v>
      </c>
      <c r="P299" s="178">
        <f>NETWORKDAYS(Table1[[#This Row],[Planned Start Date]],$P$7)</f>
        <v>30643</v>
      </c>
      <c r="Q299" s="129"/>
      <c r="R299" s="183" t="str">
        <f>IF(Table1[[#This Row],[Actual Effort (Hours)]]="","",IF(Table1[[#This Row],[Estimated Effort (Hours)]]&lt;20,"L1",IF(Table1[[#This Row],[Estimated Effort (Hours)]]&lt;50,"L2",IF(Table1[[#This Row],[Estimated Effort (Hours)]]&lt;150,"L3",IF(Table1[[#This Row],[Estimated Effort (Hours)]]&lt;300,"L4","L5")))))</f>
        <v/>
      </c>
      <c r="S299" s="184" t="str">
        <f>IF(Table1[[#This Row],[Actual End Date]]="","",TEXT(Table1[[#This Row],[Actual End Date]],"mmm-yy"))</f>
        <v/>
      </c>
      <c r="T2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299" s="185" t="str">
        <f>IFERROR((Table1[[#This Row],[Actual Effort (Hours)]]-Table1[[#This Row],[Estimated Effort (Hours)]])/Table1[[#This Row],[Estimated Effort (Hours)]],"")</f>
        <v/>
      </c>
      <c r="V299" s="149"/>
    </row>
    <row r="300" spans="2:22">
      <c r="B300" s="195"/>
      <c r="C300" s="123"/>
      <c r="D300" s="143"/>
      <c r="E300" s="123"/>
      <c r="F300" s="143"/>
      <c r="G300" s="129"/>
      <c r="H300" s="124"/>
      <c r="I300" s="124"/>
      <c r="J300" s="129"/>
      <c r="K300" s="124"/>
      <c r="L300" s="124"/>
      <c r="M300" s="129"/>
      <c r="N300" s="129" t="e">
        <f>Table1[[#This Row],[Estimated Effort (Hours)]]/NETWORKDAYS(Table1[[#This Row],[Planned Start Date]],Table1[[#This Row],[Planned End Date]])</f>
        <v>#DIV/0!</v>
      </c>
      <c r="O300" s="178">
        <f>NETWORKDAYS(Table1[[#This Row],[Planned Start Date]],Table1[[#This Row],[Planned End Date]])</f>
        <v>0</v>
      </c>
      <c r="P300" s="178">
        <f>NETWORKDAYS(Table1[[#This Row],[Planned Start Date]],$P$7)</f>
        <v>30643</v>
      </c>
      <c r="Q300" s="129"/>
      <c r="R300" s="183" t="str">
        <f>IF(Table1[[#This Row],[Actual Effort (Hours)]]="","",IF(Table1[[#This Row],[Estimated Effort (Hours)]]&lt;20,"L1",IF(Table1[[#This Row],[Estimated Effort (Hours)]]&lt;50,"L2",IF(Table1[[#This Row],[Estimated Effort (Hours)]]&lt;150,"L3",IF(Table1[[#This Row],[Estimated Effort (Hours)]]&lt;300,"L4","L5")))))</f>
        <v/>
      </c>
      <c r="S300" s="184" t="str">
        <f>IF(Table1[[#This Row],[Actual End Date]]="","",TEXT(Table1[[#This Row],[Actual End Date]],"mmm-yy"))</f>
        <v/>
      </c>
      <c r="T3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0" s="185" t="str">
        <f>IFERROR((Table1[[#This Row],[Actual Effort (Hours)]]-Table1[[#This Row],[Estimated Effort (Hours)]])/Table1[[#This Row],[Estimated Effort (Hours)]],"")</f>
        <v/>
      </c>
      <c r="V300" s="149"/>
    </row>
    <row r="301" spans="2:22">
      <c r="B301" s="195"/>
      <c r="C301" s="123"/>
      <c r="D301" s="143"/>
      <c r="E301" s="123"/>
      <c r="F301" s="143"/>
      <c r="G301" s="129"/>
      <c r="H301" s="124"/>
      <c r="I301" s="124"/>
      <c r="J301" s="129"/>
      <c r="K301" s="124"/>
      <c r="L301" s="124"/>
      <c r="M301" s="129"/>
      <c r="N301" s="129" t="e">
        <f>Table1[[#This Row],[Estimated Effort (Hours)]]/NETWORKDAYS(Table1[[#This Row],[Planned Start Date]],Table1[[#This Row],[Planned End Date]])</f>
        <v>#DIV/0!</v>
      </c>
      <c r="O301" s="178">
        <f>NETWORKDAYS(Table1[[#This Row],[Planned Start Date]],Table1[[#This Row],[Planned End Date]])</f>
        <v>0</v>
      </c>
      <c r="P301" s="178">
        <f>NETWORKDAYS(Table1[[#This Row],[Planned Start Date]],$P$7)</f>
        <v>30643</v>
      </c>
      <c r="Q301" s="129"/>
      <c r="R301" s="183" t="str">
        <f>IF(Table1[[#This Row],[Actual Effort (Hours)]]="","",IF(Table1[[#This Row],[Estimated Effort (Hours)]]&lt;20,"L1",IF(Table1[[#This Row],[Estimated Effort (Hours)]]&lt;50,"L2",IF(Table1[[#This Row],[Estimated Effort (Hours)]]&lt;150,"L3",IF(Table1[[#This Row],[Estimated Effort (Hours)]]&lt;300,"L4","L5")))))</f>
        <v/>
      </c>
      <c r="S301" s="184" t="str">
        <f>IF(Table1[[#This Row],[Actual End Date]]="","",TEXT(Table1[[#This Row],[Actual End Date]],"mmm-yy"))</f>
        <v/>
      </c>
      <c r="T3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1" s="185" t="str">
        <f>IFERROR((Table1[[#This Row],[Actual Effort (Hours)]]-Table1[[#This Row],[Estimated Effort (Hours)]])/Table1[[#This Row],[Estimated Effort (Hours)]],"")</f>
        <v/>
      </c>
      <c r="V301" s="149"/>
    </row>
    <row r="302" spans="2:22">
      <c r="B302" s="195"/>
      <c r="C302" s="123"/>
      <c r="D302" s="143"/>
      <c r="E302" s="123"/>
      <c r="F302" s="143"/>
      <c r="G302" s="129"/>
      <c r="H302" s="124"/>
      <c r="I302" s="124"/>
      <c r="J302" s="129"/>
      <c r="K302" s="124"/>
      <c r="L302" s="124"/>
      <c r="M302" s="129"/>
      <c r="N302" s="129" t="e">
        <f>Table1[[#This Row],[Estimated Effort (Hours)]]/NETWORKDAYS(Table1[[#This Row],[Planned Start Date]],Table1[[#This Row],[Planned End Date]])</f>
        <v>#DIV/0!</v>
      </c>
      <c r="O302" s="178">
        <f>NETWORKDAYS(Table1[[#This Row],[Planned Start Date]],Table1[[#This Row],[Planned End Date]])</f>
        <v>0</v>
      </c>
      <c r="P302" s="178">
        <f>NETWORKDAYS(Table1[[#This Row],[Planned Start Date]],$P$7)</f>
        <v>30643</v>
      </c>
      <c r="Q302" s="129"/>
      <c r="R302" s="183" t="str">
        <f>IF(Table1[[#This Row],[Actual Effort (Hours)]]="","",IF(Table1[[#This Row],[Estimated Effort (Hours)]]&lt;20,"L1",IF(Table1[[#This Row],[Estimated Effort (Hours)]]&lt;50,"L2",IF(Table1[[#This Row],[Estimated Effort (Hours)]]&lt;150,"L3",IF(Table1[[#This Row],[Estimated Effort (Hours)]]&lt;300,"L4","L5")))))</f>
        <v/>
      </c>
      <c r="S302" s="184" t="str">
        <f>IF(Table1[[#This Row],[Actual End Date]]="","",TEXT(Table1[[#This Row],[Actual End Date]],"mmm-yy"))</f>
        <v/>
      </c>
      <c r="T3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2" s="185" t="str">
        <f>IFERROR((Table1[[#This Row],[Actual Effort (Hours)]]-Table1[[#This Row],[Estimated Effort (Hours)]])/Table1[[#This Row],[Estimated Effort (Hours)]],"")</f>
        <v/>
      </c>
      <c r="V302" s="149"/>
    </row>
    <row r="303" spans="2:22">
      <c r="B303" s="195"/>
      <c r="C303" s="123"/>
      <c r="D303" s="143"/>
      <c r="E303" s="123"/>
      <c r="F303" s="143"/>
      <c r="G303" s="129"/>
      <c r="H303" s="124"/>
      <c r="I303" s="124"/>
      <c r="J303" s="129"/>
      <c r="K303" s="124"/>
      <c r="L303" s="124"/>
      <c r="M303" s="129"/>
      <c r="N303" s="129" t="e">
        <f>Table1[[#This Row],[Estimated Effort (Hours)]]/NETWORKDAYS(Table1[[#This Row],[Planned Start Date]],Table1[[#This Row],[Planned End Date]])</f>
        <v>#DIV/0!</v>
      </c>
      <c r="O303" s="178">
        <f>NETWORKDAYS(Table1[[#This Row],[Planned Start Date]],Table1[[#This Row],[Planned End Date]])</f>
        <v>0</v>
      </c>
      <c r="P303" s="178">
        <f>NETWORKDAYS(Table1[[#This Row],[Planned Start Date]],$P$7)</f>
        <v>30643</v>
      </c>
      <c r="Q303" s="129"/>
      <c r="R303" s="183" t="str">
        <f>IF(Table1[[#This Row],[Actual Effort (Hours)]]="","",IF(Table1[[#This Row],[Estimated Effort (Hours)]]&lt;20,"L1",IF(Table1[[#This Row],[Estimated Effort (Hours)]]&lt;50,"L2",IF(Table1[[#This Row],[Estimated Effort (Hours)]]&lt;150,"L3",IF(Table1[[#This Row],[Estimated Effort (Hours)]]&lt;300,"L4","L5")))))</f>
        <v/>
      </c>
      <c r="S303" s="184" t="str">
        <f>IF(Table1[[#This Row],[Actual End Date]]="","",TEXT(Table1[[#This Row],[Actual End Date]],"mmm-yy"))</f>
        <v/>
      </c>
      <c r="T3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3" s="185" t="str">
        <f>IFERROR((Table1[[#This Row],[Actual Effort (Hours)]]-Table1[[#This Row],[Estimated Effort (Hours)]])/Table1[[#This Row],[Estimated Effort (Hours)]],"")</f>
        <v/>
      </c>
      <c r="V303" s="149"/>
    </row>
    <row r="304" spans="2:22">
      <c r="B304" s="195"/>
      <c r="C304" s="123"/>
      <c r="D304" s="143"/>
      <c r="E304" s="123"/>
      <c r="F304" s="143"/>
      <c r="G304" s="129"/>
      <c r="H304" s="124"/>
      <c r="I304" s="124"/>
      <c r="J304" s="129"/>
      <c r="K304" s="124"/>
      <c r="L304" s="124"/>
      <c r="M304" s="129"/>
      <c r="N304" s="129" t="e">
        <f>Table1[[#This Row],[Estimated Effort (Hours)]]/NETWORKDAYS(Table1[[#This Row],[Planned Start Date]],Table1[[#This Row],[Planned End Date]])</f>
        <v>#DIV/0!</v>
      </c>
      <c r="O304" s="178">
        <f>NETWORKDAYS(Table1[[#This Row],[Planned Start Date]],Table1[[#This Row],[Planned End Date]])</f>
        <v>0</v>
      </c>
      <c r="P304" s="178">
        <f>NETWORKDAYS(Table1[[#This Row],[Planned Start Date]],$P$7)</f>
        <v>30643</v>
      </c>
      <c r="Q304" s="129"/>
      <c r="R304" s="183" t="str">
        <f>IF(Table1[[#This Row],[Actual Effort (Hours)]]="","",IF(Table1[[#This Row],[Estimated Effort (Hours)]]&lt;20,"L1",IF(Table1[[#This Row],[Estimated Effort (Hours)]]&lt;50,"L2",IF(Table1[[#This Row],[Estimated Effort (Hours)]]&lt;150,"L3",IF(Table1[[#This Row],[Estimated Effort (Hours)]]&lt;300,"L4","L5")))))</f>
        <v/>
      </c>
      <c r="S304" s="184" t="str">
        <f>IF(Table1[[#This Row],[Actual End Date]]="","",TEXT(Table1[[#This Row],[Actual End Date]],"mmm-yy"))</f>
        <v/>
      </c>
      <c r="T3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4" s="185" t="str">
        <f>IFERROR((Table1[[#This Row],[Actual Effort (Hours)]]-Table1[[#This Row],[Estimated Effort (Hours)]])/Table1[[#This Row],[Estimated Effort (Hours)]],"")</f>
        <v/>
      </c>
      <c r="V304" s="149"/>
    </row>
    <row r="305" spans="2:22">
      <c r="B305" s="195"/>
      <c r="C305" s="123"/>
      <c r="D305" s="143"/>
      <c r="E305" s="123"/>
      <c r="F305" s="143"/>
      <c r="G305" s="129"/>
      <c r="H305" s="124"/>
      <c r="I305" s="124"/>
      <c r="J305" s="129"/>
      <c r="K305" s="124"/>
      <c r="L305" s="124"/>
      <c r="M305" s="129"/>
      <c r="N305" s="129" t="e">
        <f>Table1[[#This Row],[Estimated Effort (Hours)]]/NETWORKDAYS(Table1[[#This Row],[Planned Start Date]],Table1[[#This Row],[Planned End Date]])</f>
        <v>#DIV/0!</v>
      </c>
      <c r="O305" s="178">
        <f>NETWORKDAYS(Table1[[#This Row],[Planned Start Date]],Table1[[#This Row],[Planned End Date]])</f>
        <v>0</v>
      </c>
      <c r="P305" s="178">
        <f>NETWORKDAYS(Table1[[#This Row],[Planned Start Date]],$P$7)</f>
        <v>30643</v>
      </c>
      <c r="Q305" s="129"/>
      <c r="R305" s="183" t="str">
        <f>IF(Table1[[#This Row],[Actual Effort (Hours)]]="","",IF(Table1[[#This Row],[Estimated Effort (Hours)]]&lt;20,"L1",IF(Table1[[#This Row],[Estimated Effort (Hours)]]&lt;50,"L2",IF(Table1[[#This Row],[Estimated Effort (Hours)]]&lt;150,"L3",IF(Table1[[#This Row],[Estimated Effort (Hours)]]&lt;300,"L4","L5")))))</f>
        <v/>
      </c>
      <c r="S305" s="184" t="str">
        <f>IF(Table1[[#This Row],[Actual End Date]]="","",TEXT(Table1[[#This Row],[Actual End Date]],"mmm-yy"))</f>
        <v/>
      </c>
      <c r="T3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5" s="185" t="str">
        <f>IFERROR((Table1[[#This Row],[Actual Effort (Hours)]]-Table1[[#This Row],[Estimated Effort (Hours)]])/Table1[[#This Row],[Estimated Effort (Hours)]],"")</f>
        <v/>
      </c>
      <c r="V305" s="149"/>
    </row>
    <row r="306" spans="2:22">
      <c r="B306" s="195"/>
      <c r="C306" s="123"/>
      <c r="D306" s="143"/>
      <c r="E306" s="123"/>
      <c r="F306" s="143"/>
      <c r="G306" s="129"/>
      <c r="H306" s="124"/>
      <c r="I306" s="124"/>
      <c r="J306" s="129"/>
      <c r="K306" s="124"/>
      <c r="L306" s="124"/>
      <c r="M306" s="129"/>
      <c r="N306" s="129" t="e">
        <f>Table1[[#This Row],[Estimated Effort (Hours)]]/NETWORKDAYS(Table1[[#This Row],[Planned Start Date]],Table1[[#This Row],[Planned End Date]])</f>
        <v>#DIV/0!</v>
      </c>
      <c r="O306" s="178">
        <f>NETWORKDAYS(Table1[[#This Row],[Planned Start Date]],Table1[[#This Row],[Planned End Date]])</f>
        <v>0</v>
      </c>
      <c r="P306" s="178">
        <f>NETWORKDAYS(Table1[[#This Row],[Planned Start Date]],$P$7)</f>
        <v>30643</v>
      </c>
      <c r="Q306" s="129"/>
      <c r="R306" s="183" t="str">
        <f>IF(Table1[[#This Row],[Actual Effort (Hours)]]="","",IF(Table1[[#This Row],[Estimated Effort (Hours)]]&lt;20,"L1",IF(Table1[[#This Row],[Estimated Effort (Hours)]]&lt;50,"L2",IF(Table1[[#This Row],[Estimated Effort (Hours)]]&lt;150,"L3",IF(Table1[[#This Row],[Estimated Effort (Hours)]]&lt;300,"L4","L5")))))</f>
        <v/>
      </c>
      <c r="S306" s="184" t="str">
        <f>IF(Table1[[#This Row],[Actual End Date]]="","",TEXT(Table1[[#This Row],[Actual End Date]],"mmm-yy"))</f>
        <v/>
      </c>
      <c r="T3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6" s="185" t="str">
        <f>IFERROR((Table1[[#This Row],[Actual Effort (Hours)]]-Table1[[#This Row],[Estimated Effort (Hours)]])/Table1[[#This Row],[Estimated Effort (Hours)]],"")</f>
        <v/>
      </c>
      <c r="V306" s="149"/>
    </row>
    <row r="307" spans="2:22">
      <c r="B307" s="195"/>
      <c r="C307" s="123"/>
      <c r="D307" s="143"/>
      <c r="E307" s="123"/>
      <c r="F307" s="143"/>
      <c r="G307" s="129"/>
      <c r="H307" s="124"/>
      <c r="I307" s="124"/>
      <c r="J307" s="129"/>
      <c r="K307" s="124"/>
      <c r="L307" s="124"/>
      <c r="M307" s="129"/>
      <c r="N307" s="129" t="e">
        <f>Table1[[#This Row],[Estimated Effort (Hours)]]/NETWORKDAYS(Table1[[#This Row],[Planned Start Date]],Table1[[#This Row],[Planned End Date]])</f>
        <v>#DIV/0!</v>
      </c>
      <c r="O307" s="178">
        <f>NETWORKDAYS(Table1[[#This Row],[Planned Start Date]],Table1[[#This Row],[Planned End Date]])</f>
        <v>0</v>
      </c>
      <c r="P307" s="178">
        <f>NETWORKDAYS(Table1[[#This Row],[Planned Start Date]],$P$7)</f>
        <v>30643</v>
      </c>
      <c r="Q307" s="129"/>
      <c r="R307" s="183" t="str">
        <f>IF(Table1[[#This Row],[Actual Effort (Hours)]]="","",IF(Table1[[#This Row],[Estimated Effort (Hours)]]&lt;20,"L1",IF(Table1[[#This Row],[Estimated Effort (Hours)]]&lt;50,"L2",IF(Table1[[#This Row],[Estimated Effort (Hours)]]&lt;150,"L3",IF(Table1[[#This Row],[Estimated Effort (Hours)]]&lt;300,"L4","L5")))))</f>
        <v/>
      </c>
      <c r="S307" s="184" t="str">
        <f>IF(Table1[[#This Row],[Actual End Date]]="","",TEXT(Table1[[#This Row],[Actual End Date]],"mmm-yy"))</f>
        <v/>
      </c>
      <c r="T3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7" s="185" t="str">
        <f>IFERROR((Table1[[#This Row],[Actual Effort (Hours)]]-Table1[[#This Row],[Estimated Effort (Hours)]])/Table1[[#This Row],[Estimated Effort (Hours)]],"")</f>
        <v/>
      </c>
      <c r="V307" s="149"/>
    </row>
    <row r="308" spans="2:22">
      <c r="B308" s="125"/>
      <c r="C308" s="123"/>
      <c r="D308" s="143"/>
      <c r="E308" s="123"/>
      <c r="F308" s="143"/>
      <c r="G308" s="129"/>
      <c r="H308" s="124"/>
      <c r="I308" s="124"/>
      <c r="J308" s="129"/>
      <c r="K308" s="194"/>
      <c r="L308" s="194"/>
      <c r="M308" s="129"/>
      <c r="N308" s="129" t="e">
        <f>Table1[[#This Row],[Estimated Effort (Hours)]]/NETWORKDAYS(Table1[[#This Row],[Planned Start Date]],Table1[[#This Row],[Planned End Date]])</f>
        <v>#DIV/0!</v>
      </c>
      <c r="O308" s="178">
        <f>NETWORKDAYS(Table1[[#This Row],[Planned Start Date]],Table1[[#This Row],[Planned End Date]])</f>
        <v>0</v>
      </c>
      <c r="P308" s="178">
        <f>NETWORKDAYS(Table1[[#This Row],[Planned Start Date]],$P$7)</f>
        <v>30643</v>
      </c>
      <c r="Q308" s="129"/>
      <c r="R308" s="183" t="str">
        <f>IF(Table1[[#This Row],[Actual Effort (Hours)]]="","",IF(Table1[[#This Row],[Estimated Effort (Hours)]]&lt;20,"L1",IF(Table1[[#This Row],[Estimated Effort (Hours)]]&lt;50,"L2",IF(Table1[[#This Row],[Estimated Effort (Hours)]]&lt;150,"L3",IF(Table1[[#This Row],[Estimated Effort (Hours)]]&lt;300,"L4","L5")))))</f>
        <v/>
      </c>
      <c r="S308" s="184" t="str">
        <f>IF(Table1[[#This Row],[Actual End Date]]="","",TEXT(Table1[[#This Row],[Actual End Date]],"mmm-yy"))</f>
        <v/>
      </c>
      <c r="T3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8" s="185" t="str">
        <f>IFERROR((Table1[[#This Row],[Actual Effort (Hours)]]-Table1[[#This Row],[Estimated Effort (Hours)]])/Table1[[#This Row],[Estimated Effort (Hours)]],"")</f>
        <v/>
      </c>
      <c r="V308" s="149"/>
    </row>
    <row r="309" spans="2:22">
      <c r="B309" s="125"/>
      <c r="C309" s="123"/>
      <c r="D309" s="143"/>
      <c r="E309" s="123"/>
      <c r="F309" s="143"/>
      <c r="G309" s="129"/>
      <c r="H309" s="124"/>
      <c r="I309" s="124"/>
      <c r="J309" s="129"/>
      <c r="K309" s="194"/>
      <c r="L309" s="194"/>
      <c r="M309" s="129"/>
      <c r="N309" s="129" t="e">
        <f>Table1[[#This Row],[Estimated Effort (Hours)]]/NETWORKDAYS(Table1[[#This Row],[Planned Start Date]],Table1[[#This Row],[Planned End Date]])</f>
        <v>#DIV/0!</v>
      </c>
      <c r="O309" s="178">
        <f>NETWORKDAYS(Table1[[#This Row],[Planned Start Date]],Table1[[#This Row],[Planned End Date]])</f>
        <v>0</v>
      </c>
      <c r="P309" s="178">
        <f>NETWORKDAYS(Table1[[#This Row],[Planned Start Date]],$P$7)</f>
        <v>30643</v>
      </c>
      <c r="Q309" s="129"/>
      <c r="R309" s="183" t="str">
        <f>IF(Table1[[#This Row],[Actual Effort (Hours)]]="","",IF(Table1[[#This Row],[Estimated Effort (Hours)]]&lt;20,"L1",IF(Table1[[#This Row],[Estimated Effort (Hours)]]&lt;50,"L2",IF(Table1[[#This Row],[Estimated Effort (Hours)]]&lt;150,"L3",IF(Table1[[#This Row],[Estimated Effort (Hours)]]&lt;300,"L4","L5")))))</f>
        <v/>
      </c>
      <c r="S309" s="184" t="str">
        <f>IF(Table1[[#This Row],[Actual End Date]]="","",TEXT(Table1[[#This Row],[Actual End Date]],"mmm-yy"))</f>
        <v/>
      </c>
      <c r="T3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09" s="185" t="str">
        <f>IFERROR((Table1[[#This Row],[Actual Effort (Hours)]]-Table1[[#This Row],[Estimated Effort (Hours)]])/Table1[[#This Row],[Estimated Effort (Hours)]],"")</f>
        <v/>
      </c>
      <c r="V309" s="149"/>
    </row>
    <row r="310" spans="2:22">
      <c r="B310" s="125"/>
      <c r="C310" s="123"/>
      <c r="D310" s="143"/>
      <c r="E310" s="123"/>
      <c r="F310" s="143"/>
      <c r="G310" s="129"/>
      <c r="H310" s="124"/>
      <c r="I310" s="124"/>
      <c r="J310" s="129"/>
      <c r="K310" s="194"/>
      <c r="L310" s="194"/>
      <c r="M310" s="129"/>
      <c r="N310" s="129" t="e">
        <f>Table1[[#This Row],[Estimated Effort (Hours)]]/NETWORKDAYS(Table1[[#This Row],[Planned Start Date]],Table1[[#This Row],[Planned End Date]])</f>
        <v>#DIV/0!</v>
      </c>
      <c r="O310" s="178">
        <f>NETWORKDAYS(Table1[[#This Row],[Planned Start Date]],Table1[[#This Row],[Planned End Date]])</f>
        <v>0</v>
      </c>
      <c r="P310" s="178">
        <f>NETWORKDAYS(Table1[[#This Row],[Planned Start Date]],$P$7)</f>
        <v>30643</v>
      </c>
      <c r="Q310" s="129"/>
      <c r="R310" s="183" t="str">
        <f>IF(Table1[[#This Row],[Actual Effort (Hours)]]="","",IF(Table1[[#This Row],[Estimated Effort (Hours)]]&lt;20,"L1",IF(Table1[[#This Row],[Estimated Effort (Hours)]]&lt;50,"L2",IF(Table1[[#This Row],[Estimated Effort (Hours)]]&lt;150,"L3",IF(Table1[[#This Row],[Estimated Effort (Hours)]]&lt;300,"L4","L5")))))</f>
        <v/>
      </c>
      <c r="S310" s="184" t="str">
        <f>IF(Table1[[#This Row],[Actual End Date]]="","",TEXT(Table1[[#This Row],[Actual End Date]],"mmm-yy"))</f>
        <v/>
      </c>
      <c r="T3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0" s="185" t="str">
        <f>IFERROR((Table1[[#This Row],[Actual Effort (Hours)]]-Table1[[#This Row],[Estimated Effort (Hours)]])/Table1[[#This Row],[Estimated Effort (Hours)]],"")</f>
        <v/>
      </c>
      <c r="V310" s="149"/>
    </row>
    <row r="311" spans="2:22">
      <c r="B311" s="125"/>
      <c r="C311" s="123"/>
      <c r="D311" s="143"/>
      <c r="E311" s="123"/>
      <c r="F311" s="143"/>
      <c r="G311" s="129"/>
      <c r="H311" s="124"/>
      <c r="I311" s="124"/>
      <c r="J311" s="129"/>
      <c r="K311" s="194"/>
      <c r="L311" s="194"/>
      <c r="M311" s="129"/>
      <c r="N311" s="129" t="e">
        <f>Table1[[#This Row],[Estimated Effort (Hours)]]/NETWORKDAYS(Table1[[#This Row],[Planned Start Date]],Table1[[#This Row],[Planned End Date]])</f>
        <v>#DIV/0!</v>
      </c>
      <c r="O311" s="178">
        <f>NETWORKDAYS(Table1[[#This Row],[Planned Start Date]],Table1[[#This Row],[Planned End Date]])</f>
        <v>0</v>
      </c>
      <c r="P311" s="178">
        <f>NETWORKDAYS(Table1[[#This Row],[Planned Start Date]],$P$7)</f>
        <v>30643</v>
      </c>
      <c r="Q311" s="129"/>
      <c r="R311" s="183" t="str">
        <f>IF(Table1[[#This Row],[Actual Effort (Hours)]]="","",IF(Table1[[#This Row],[Estimated Effort (Hours)]]&lt;20,"L1",IF(Table1[[#This Row],[Estimated Effort (Hours)]]&lt;50,"L2",IF(Table1[[#This Row],[Estimated Effort (Hours)]]&lt;150,"L3",IF(Table1[[#This Row],[Estimated Effort (Hours)]]&lt;300,"L4","L5")))))</f>
        <v/>
      </c>
      <c r="S311" s="184" t="str">
        <f>IF(Table1[[#This Row],[Actual End Date]]="","",TEXT(Table1[[#This Row],[Actual End Date]],"mmm-yy"))</f>
        <v/>
      </c>
      <c r="T3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1" s="185" t="str">
        <f>IFERROR((Table1[[#This Row],[Actual Effort (Hours)]]-Table1[[#This Row],[Estimated Effort (Hours)]])/Table1[[#This Row],[Estimated Effort (Hours)]],"")</f>
        <v/>
      </c>
      <c r="V311" s="149"/>
    </row>
    <row r="312" spans="2:22">
      <c r="B312" s="125"/>
      <c r="C312" s="123"/>
      <c r="D312" s="143"/>
      <c r="E312" s="123"/>
      <c r="F312" s="143"/>
      <c r="G312" s="129"/>
      <c r="H312" s="124"/>
      <c r="I312" s="124"/>
      <c r="J312" s="129"/>
      <c r="K312" s="194"/>
      <c r="L312" s="194"/>
      <c r="M312" s="129"/>
      <c r="N312" s="129" t="e">
        <f>Table1[[#This Row],[Estimated Effort (Hours)]]/NETWORKDAYS(Table1[[#This Row],[Planned Start Date]],Table1[[#This Row],[Planned End Date]])</f>
        <v>#DIV/0!</v>
      </c>
      <c r="O312" s="178">
        <f>NETWORKDAYS(Table1[[#This Row],[Planned Start Date]],Table1[[#This Row],[Planned End Date]])</f>
        <v>0</v>
      </c>
      <c r="P312" s="178">
        <f>NETWORKDAYS(Table1[[#This Row],[Planned Start Date]],$P$7)</f>
        <v>30643</v>
      </c>
      <c r="Q312" s="129"/>
      <c r="R312" s="183" t="str">
        <f>IF(Table1[[#This Row],[Actual Effort (Hours)]]="","",IF(Table1[[#This Row],[Estimated Effort (Hours)]]&lt;20,"L1",IF(Table1[[#This Row],[Estimated Effort (Hours)]]&lt;50,"L2",IF(Table1[[#This Row],[Estimated Effort (Hours)]]&lt;150,"L3",IF(Table1[[#This Row],[Estimated Effort (Hours)]]&lt;300,"L4","L5")))))</f>
        <v/>
      </c>
      <c r="S312" s="184" t="str">
        <f>IF(Table1[[#This Row],[Actual End Date]]="","",TEXT(Table1[[#This Row],[Actual End Date]],"mmm-yy"))</f>
        <v/>
      </c>
      <c r="T3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2" s="185" t="str">
        <f>IFERROR((Table1[[#This Row],[Actual Effort (Hours)]]-Table1[[#This Row],[Estimated Effort (Hours)]])/Table1[[#This Row],[Estimated Effort (Hours)]],"")</f>
        <v/>
      </c>
      <c r="V312" s="149"/>
    </row>
    <row r="313" spans="2:22">
      <c r="B313" s="125"/>
      <c r="C313" s="123"/>
      <c r="D313" s="143"/>
      <c r="E313" s="123"/>
      <c r="F313" s="143"/>
      <c r="G313" s="129"/>
      <c r="H313" s="124"/>
      <c r="I313" s="124"/>
      <c r="J313" s="129"/>
      <c r="K313" s="194"/>
      <c r="L313" s="194"/>
      <c r="M313" s="129"/>
      <c r="N313" s="129" t="e">
        <f>Table1[[#This Row],[Estimated Effort (Hours)]]/NETWORKDAYS(Table1[[#This Row],[Planned Start Date]],Table1[[#This Row],[Planned End Date]])</f>
        <v>#DIV/0!</v>
      </c>
      <c r="O313" s="178">
        <f>NETWORKDAYS(Table1[[#This Row],[Planned Start Date]],Table1[[#This Row],[Planned End Date]])</f>
        <v>0</v>
      </c>
      <c r="P313" s="178">
        <f>NETWORKDAYS(Table1[[#This Row],[Planned Start Date]],$P$7)</f>
        <v>30643</v>
      </c>
      <c r="Q313" s="129"/>
      <c r="R313" s="183" t="str">
        <f>IF(Table1[[#This Row],[Actual Effort (Hours)]]="","",IF(Table1[[#This Row],[Estimated Effort (Hours)]]&lt;20,"L1",IF(Table1[[#This Row],[Estimated Effort (Hours)]]&lt;50,"L2",IF(Table1[[#This Row],[Estimated Effort (Hours)]]&lt;150,"L3",IF(Table1[[#This Row],[Estimated Effort (Hours)]]&lt;300,"L4","L5")))))</f>
        <v/>
      </c>
      <c r="S313" s="184" t="str">
        <f>IF(Table1[[#This Row],[Actual End Date]]="","",TEXT(Table1[[#This Row],[Actual End Date]],"mmm-yy"))</f>
        <v/>
      </c>
      <c r="T3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3" s="185" t="str">
        <f>IFERROR((Table1[[#This Row],[Actual Effort (Hours)]]-Table1[[#This Row],[Estimated Effort (Hours)]])/Table1[[#This Row],[Estimated Effort (Hours)]],"")</f>
        <v/>
      </c>
      <c r="V313" s="149"/>
    </row>
    <row r="314" spans="2:22">
      <c r="B314" s="125"/>
      <c r="C314" s="123"/>
      <c r="D314" s="143"/>
      <c r="E314" s="123"/>
      <c r="F314" s="143"/>
      <c r="G314" s="129"/>
      <c r="H314" s="124"/>
      <c r="I314" s="124"/>
      <c r="J314" s="129"/>
      <c r="K314" s="194"/>
      <c r="L314" s="194"/>
      <c r="M314" s="129"/>
      <c r="N314" s="129" t="e">
        <f>Table1[[#This Row],[Estimated Effort (Hours)]]/NETWORKDAYS(Table1[[#This Row],[Planned Start Date]],Table1[[#This Row],[Planned End Date]])</f>
        <v>#DIV/0!</v>
      </c>
      <c r="O314" s="178">
        <f>NETWORKDAYS(Table1[[#This Row],[Planned Start Date]],Table1[[#This Row],[Planned End Date]])</f>
        <v>0</v>
      </c>
      <c r="P314" s="178">
        <f>NETWORKDAYS(Table1[[#This Row],[Planned Start Date]],$P$7)</f>
        <v>30643</v>
      </c>
      <c r="Q314" s="129"/>
      <c r="R314" s="183" t="str">
        <f>IF(Table1[[#This Row],[Actual Effort (Hours)]]="","",IF(Table1[[#This Row],[Estimated Effort (Hours)]]&lt;20,"L1",IF(Table1[[#This Row],[Estimated Effort (Hours)]]&lt;50,"L2",IF(Table1[[#This Row],[Estimated Effort (Hours)]]&lt;150,"L3",IF(Table1[[#This Row],[Estimated Effort (Hours)]]&lt;300,"L4","L5")))))</f>
        <v/>
      </c>
      <c r="S314" s="184" t="str">
        <f>IF(Table1[[#This Row],[Actual End Date]]="","",TEXT(Table1[[#This Row],[Actual End Date]],"mmm-yy"))</f>
        <v/>
      </c>
      <c r="T3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4" s="185" t="str">
        <f>IFERROR((Table1[[#This Row],[Actual Effort (Hours)]]-Table1[[#This Row],[Estimated Effort (Hours)]])/Table1[[#This Row],[Estimated Effort (Hours)]],"")</f>
        <v/>
      </c>
      <c r="V314" s="149"/>
    </row>
    <row r="315" spans="2:22">
      <c r="B315" s="125"/>
      <c r="C315" s="123"/>
      <c r="D315" s="143"/>
      <c r="E315" s="123"/>
      <c r="F315" s="143"/>
      <c r="G315" s="129"/>
      <c r="H315" s="124"/>
      <c r="I315" s="124"/>
      <c r="J315" s="129"/>
      <c r="K315" s="194"/>
      <c r="L315" s="194"/>
      <c r="M315" s="129"/>
      <c r="N315" s="129" t="e">
        <f>Table1[[#This Row],[Estimated Effort (Hours)]]/NETWORKDAYS(Table1[[#This Row],[Planned Start Date]],Table1[[#This Row],[Planned End Date]])</f>
        <v>#DIV/0!</v>
      </c>
      <c r="O315" s="178">
        <f>NETWORKDAYS(Table1[[#This Row],[Planned Start Date]],Table1[[#This Row],[Planned End Date]])</f>
        <v>0</v>
      </c>
      <c r="P315" s="178">
        <f>NETWORKDAYS(Table1[[#This Row],[Planned Start Date]],$P$7)</f>
        <v>30643</v>
      </c>
      <c r="Q315" s="129"/>
      <c r="R315" s="183" t="str">
        <f>IF(Table1[[#This Row],[Actual Effort (Hours)]]="","",IF(Table1[[#This Row],[Estimated Effort (Hours)]]&lt;20,"L1",IF(Table1[[#This Row],[Estimated Effort (Hours)]]&lt;50,"L2",IF(Table1[[#This Row],[Estimated Effort (Hours)]]&lt;150,"L3",IF(Table1[[#This Row],[Estimated Effort (Hours)]]&lt;300,"L4","L5")))))</f>
        <v/>
      </c>
      <c r="S315" s="184" t="str">
        <f>IF(Table1[[#This Row],[Actual End Date]]="","",TEXT(Table1[[#This Row],[Actual End Date]],"mmm-yy"))</f>
        <v/>
      </c>
      <c r="T3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5" s="185" t="str">
        <f>IFERROR((Table1[[#This Row],[Actual Effort (Hours)]]-Table1[[#This Row],[Estimated Effort (Hours)]])/Table1[[#This Row],[Estimated Effort (Hours)]],"")</f>
        <v/>
      </c>
      <c r="V315" s="149"/>
    </row>
    <row r="316" spans="2:22">
      <c r="B316" s="125"/>
      <c r="C316" s="123"/>
      <c r="D316" s="143"/>
      <c r="E316" s="123"/>
      <c r="F316" s="143"/>
      <c r="G316" s="129"/>
      <c r="H316" s="124"/>
      <c r="I316" s="124"/>
      <c r="J316" s="129"/>
      <c r="K316" s="194"/>
      <c r="L316" s="194"/>
      <c r="M316" s="129"/>
      <c r="N316" s="129" t="e">
        <f>Table1[[#This Row],[Estimated Effort (Hours)]]/NETWORKDAYS(Table1[[#This Row],[Planned Start Date]],Table1[[#This Row],[Planned End Date]])</f>
        <v>#DIV/0!</v>
      </c>
      <c r="O316" s="178">
        <f>NETWORKDAYS(Table1[[#This Row],[Planned Start Date]],Table1[[#This Row],[Planned End Date]])</f>
        <v>0</v>
      </c>
      <c r="P316" s="178">
        <f>NETWORKDAYS(Table1[[#This Row],[Planned Start Date]],$P$7)</f>
        <v>30643</v>
      </c>
      <c r="Q316" s="129"/>
      <c r="R316" s="183" t="str">
        <f>IF(Table1[[#This Row],[Actual Effort (Hours)]]="","",IF(Table1[[#This Row],[Estimated Effort (Hours)]]&lt;20,"L1",IF(Table1[[#This Row],[Estimated Effort (Hours)]]&lt;50,"L2",IF(Table1[[#This Row],[Estimated Effort (Hours)]]&lt;150,"L3",IF(Table1[[#This Row],[Estimated Effort (Hours)]]&lt;300,"L4","L5")))))</f>
        <v/>
      </c>
      <c r="S316" s="184" t="str">
        <f>IF(Table1[[#This Row],[Actual End Date]]="","",TEXT(Table1[[#This Row],[Actual End Date]],"mmm-yy"))</f>
        <v/>
      </c>
      <c r="T3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6" s="185" t="str">
        <f>IFERROR((Table1[[#This Row],[Actual Effort (Hours)]]-Table1[[#This Row],[Estimated Effort (Hours)]])/Table1[[#This Row],[Estimated Effort (Hours)]],"")</f>
        <v/>
      </c>
      <c r="V316" s="149"/>
    </row>
    <row r="317" spans="2:22">
      <c r="B317" s="125"/>
      <c r="C317" s="123"/>
      <c r="D317" s="143"/>
      <c r="E317" s="123"/>
      <c r="F317" s="143"/>
      <c r="G317" s="129"/>
      <c r="H317" s="124"/>
      <c r="I317" s="124"/>
      <c r="J317" s="129"/>
      <c r="K317" s="194"/>
      <c r="L317" s="194"/>
      <c r="M317" s="129"/>
      <c r="N317" s="129" t="e">
        <f>Table1[[#This Row],[Estimated Effort (Hours)]]/NETWORKDAYS(Table1[[#This Row],[Planned Start Date]],Table1[[#This Row],[Planned End Date]])</f>
        <v>#DIV/0!</v>
      </c>
      <c r="O317" s="178">
        <f>NETWORKDAYS(Table1[[#This Row],[Planned Start Date]],Table1[[#This Row],[Planned End Date]])</f>
        <v>0</v>
      </c>
      <c r="P317" s="178">
        <f>NETWORKDAYS(Table1[[#This Row],[Planned Start Date]],$P$7)</f>
        <v>30643</v>
      </c>
      <c r="Q317" s="129"/>
      <c r="R317" s="183" t="str">
        <f>IF(Table1[[#This Row],[Actual Effort (Hours)]]="","",IF(Table1[[#This Row],[Estimated Effort (Hours)]]&lt;20,"L1",IF(Table1[[#This Row],[Estimated Effort (Hours)]]&lt;50,"L2",IF(Table1[[#This Row],[Estimated Effort (Hours)]]&lt;150,"L3",IF(Table1[[#This Row],[Estimated Effort (Hours)]]&lt;300,"L4","L5")))))</f>
        <v/>
      </c>
      <c r="S317" s="184" t="str">
        <f>IF(Table1[[#This Row],[Actual End Date]]="","",TEXT(Table1[[#This Row],[Actual End Date]],"mmm-yy"))</f>
        <v/>
      </c>
      <c r="T3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7" s="185" t="str">
        <f>IFERROR((Table1[[#This Row],[Actual Effort (Hours)]]-Table1[[#This Row],[Estimated Effort (Hours)]])/Table1[[#This Row],[Estimated Effort (Hours)]],"")</f>
        <v/>
      </c>
      <c r="V317" s="149"/>
    </row>
    <row r="318" spans="2:22">
      <c r="B318" s="125"/>
      <c r="C318" s="123"/>
      <c r="D318" s="143"/>
      <c r="E318" s="123"/>
      <c r="F318" s="143"/>
      <c r="G318" s="129"/>
      <c r="H318" s="124"/>
      <c r="I318" s="124"/>
      <c r="J318" s="129"/>
      <c r="K318" s="194"/>
      <c r="L318" s="194"/>
      <c r="M318" s="129"/>
      <c r="N318" s="129" t="e">
        <f>Table1[[#This Row],[Estimated Effort (Hours)]]/NETWORKDAYS(Table1[[#This Row],[Planned Start Date]],Table1[[#This Row],[Planned End Date]])</f>
        <v>#DIV/0!</v>
      </c>
      <c r="O318" s="178">
        <f>NETWORKDAYS(Table1[[#This Row],[Planned Start Date]],Table1[[#This Row],[Planned End Date]])</f>
        <v>0</v>
      </c>
      <c r="P318" s="178">
        <f>NETWORKDAYS(Table1[[#This Row],[Planned Start Date]],$P$7)</f>
        <v>30643</v>
      </c>
      <c r="Q318" s="129"/>
      <c r="R318" s="183" t="str">
        <f>IF(Table1[[#This Row],[Actual Effort (Hours)]]="","",IF(Table1[[#This Row],[Estimated Effort (Hours)]]&lt;20,"L1",IF(Table1[[#This Row],[Estimated Effort (Hours)]]&lt;50,"L2",IF(Table1[[#This Row],[Estimated Effort (Hours)]]&lt;150,"L3",IF(Table1[[#This Row],[Estimated Effort (Hours)]]&lt;300,"L4","L5")))))</f>
        <v/>
      </c>
      <c r="S318" s="184" t="str">
        <f>IF(Table1[[#This Row],[Actual End Date]]="","",TEXT(Table1[[#This Row],[Actual End Date]],"mmm-yy"))</f>
        <v/>
      </c>
      <c r="T3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8" s="185" t="str">
        <f>IFERROR((Table1[[#This Row],[Actual Effort (Hours)]]-Table1[[#This Row],[Estimated Effort (Hours)]])/Table1[[#This Row],[Estimated Effort (Hours)]],"")</f>
        <v/>
      </c>
      <c r="V318" s="149"/>
    </row>
    <row r="319" spans="2:22">
      <c r="B319" s="125"/>
      <c r="C319" s="123"/>
      <c r="D319" s="143"/>
      <c r="E319" s="123"/>
      <c r="F319" s="143"/>
      <c r="G319" s="129"/>
      <c r="H319" s="124"/>
      <c r="I319" s="124"/>
      <c r="J319" s="129"/>
      <c r="K319" s="194"/>
      <c r="L319" s="194"/>
      <c r="M319" s="129"/>
      <c r="N319" s="129" t="e">
        <f>Table1[[#This Row],[Estimated Effort (Hours)]]/NETWORKDAYS(Table1[[#This Row],[Planned Start Date]],Table1[[#This Row],[Planned End Date]])</f>
        <v>#DIV/0!</v>
      </c>
      <c r="O319" s="178">
        <f>NETWORKDAYS(Table1[[#This Row],[Planned Start Date]],Table1[[#This Row],[Planned End Date]])</f>
        <v>0</v>
      </c>
      <c r="P319" s="178">
        <f>NETWORKDAYS(Table1[[#This Row],[Planned Start Date]],$P$7)</f>
        <v>30643</v>
      </c>
      <c r="Q319" s="129"/>
      <c r="R319" s="183" t="str">
        <f>IF(Table1[[#This Row],[Actual Effort (Hours)]]="","",IF(Table1[[#This Row],[Estimated Effort (Hours)]]&lt;20,"L1",IF(Table1[[#This Row],[Estimated Effort (Hours)]]&lt;50,"L2",IF(Table1[[#This Row],[Estimated Effort (Hours)]]&lt;150,"L3",IF(Table1[[#This Row],[Estimated Effort (Hours)]]&lt;300,"L4","L5")))))</f>
        <v/>
      </c>
      <c r="S319" s="184" t="str">
        <f>IF(Table1[[#This Row],[Actual End Date]]="","",TEXT(Table1[[#This Row],[Actual End Date]],"mmm-yy"))</f>
        <v/>
      </c>
      <c r="T3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19" s="185" t="str">
        <f>IFERROR((Table1[[#This Row],[Actual Effort (Hours)]]-Table1[[#This Row],[Estimated Effort (Hours)]])/Table1[[#This Row],[Estimated Effort (Hours)]],"")</f>
        <v/>
      </c>
      <c r="V319" s="149"/>
    </row>
    <row r="320" spans="2:22">
      <c r="B320" s="125"/>
      <c r="C320" s="123"/>
      <c r="D320" s="143"/>
      <c r="E320" s="123"/>
      <c r="F320" s="143"/>
      <c r="G320" s="129"/>
      <c r="H320" s="124"/>
      <c r="I320" s="124"/>
      <c r="J320" s="129"/>
      <c r="K320" s="194"/>
      <c r="L320" s="194"/>
      <c r="M320" s="129"/>
      <c r="N320" s="129" t="e">
        <f>Table1[[#This Row],[Estimated Effort (Hours)]]/NETWORKDAYS(Table1[[#This Row],[Planned Start Date]],Table1[[#This Row],[Planned End Date]])</f>
        <v>#DIV/0!</v>
      </c>
      <c r="O320" s="178">
        <f>NETWORKDAYS(Table1[[#This Row],[Planned Start Date]],Table1[[#This Row],[Planned End Date]])</f>
        <v>0</v>
      </c>
      <c r="P320" s="178">
        <f>NETWORKDAYS(Table1[[#This Row],[Planned Start Date]],$P$7)</f>
        <v>30643</v>
      </c>
      <c r="Q320" s="129"/>
      <c r="R320" s="183" t="str">
        <f>IF(Table1[[#This Row],[Actual Effort (Hours)]]="","",IF(Table1[[#This Row],[Estimated Effort (Hours)]]&lt;20,"L1",IF(Table1[[#This Row],[Estimated Effort (Hours)]]&lt;50,"L2",IF(Table1[[#This Row],[Estimated Effort (Hours)]]&lt;150,"L3",IF(Table1[[#This Row],[Estimated Effort (Hours)]]&lt;300,"L4","L5")))))</f>
        <v/>
      </c>
      <c r="S320" s="184" t="str">
        <f>IF(Table1[[#This Row],[Actual End Date]]="","",TEXT(Table1[[#This Row],[Actual End Date]],"mmm-yy"))</f>
        <v/>
      </c>
      <c r="T3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0" s="185" t="str">
        <f>IFERROR((Table1[[#This Row],[Actual Effort (Hours)]]-Table1[[#This Row],[Estimated Effort (Hours)]])/Table1[[#This Row],[Estimated Effort (Hours)]],"")</f>
        <v/>
      </c>
      <c r="V320" s="149"/>
    </row>
    <row r="321" spans="2:22">
      <c r="B321" s="125"/>
      <c r="C321" s="123"/>
      <c r="D321" s="143"/>
      <c r="E321" s="123"/>
      <c r="F321" s="143"/>
      <c r="G321" s="129"/>
      <c r="H321" s="124"/>
      <c r="I321" s="124"/>
      <c r="J321" s="129"/>
      <c r="K321" s="194"/>
      <c r="L321" s="194"/>
      <c r="M321" s="129"/>
      <c r="N321" s="129" t="e">
        <f>Table1[[#This Row],[Estimated Effort (Hours)]]/NETWORKDAYS(Table1[[#This Row],[Planned Start Date]],Table1[[#This Row],[Planned End Date]])</f>
        <v>#DIV/0!</v>
      </c>
      <c r="O321" s="178">
        <f>NETWORKDAYS(Table1[[#This Row],[Planned Start Date]],Table1[[#This Row],[Planned End Date]])</f>
        <v>0</v>
      </c>
      <c r="P321" s="178">
        <f>NETWORKDAYS(Table1[[#This Row],[Planned Start Date]],$P$7)</f>
        <v>30643</v>
      </c>
      <c r="Q321" s="129"/>
      <c r="R321" s="183" t="str">
        <f>IF(Table1[[#This Row],[Actual Effort (Hours)]]="","",IF(Table1[[#This Row],[Estimated Effort (Hours)]]&lt;20,"L1",IF(Table1[[#This Row],[Estimated Effort (Hours)]]&lt;50,"L2",IF(Table1[[#This Row],[Estimated Effort (Hours)]]&lt;150,"L3",IF(Table1[[#This Row],[Estimated Effort (Hours)]]&lt;300,"L4","L5")))))</f>
        <v/>
      </c>
      <c r="S321" s="184" t="str">
        <f>IF(Table1[[#This Row],[Actual End Date]]="","",TEXT(Table1[[#This Row],[Actual End Date]],"mmm-yy"))</f>
        <v/>
      </c>
      <c r="T3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1" s="185" t="str">
        <f>IFERROR((Table1[[#This Row],[Actual Effort (Hours)]]-Table1[[#This Row],[Estimated Effort (Hours)]])/Table1[[#This Row],[Estimated Effort (Hours)]],"")</f>
        <v/>
      </c>
      <c r="V321" s="149"/>
    </row>
    <row r="322" spans="2:22">
      <c r="B322" s="125"/>
      <c r="C322" s="123"/>
      <c r="D322" s="143"/>
      <c r="E322" s="123"/>
      <c r="F322" s="143"/>
      <c r="G322" s="129"/>
      <c r="H322" s="124"/>
      <c r="I322" s="124"/>
      <c r="J322" s="129"/>
      <c r="K322" s="194"/>
      <c r="L322" s="194"/>
      <c r="M322" s="129"/>
      <c r="N322" s="129" t="e">
        <f>Table1[[#This Row],[Estimated Effort (Hours)]]/NETWORKDAYS(Table1[[#This Row],[Planned Start Date]],Table1[[#This Row],[Planned End Date]])</f>
        <v>#DIV/0!</v>
      </c>
      <c r="O322" s="178">
        <f>NETWORKDAYS(Table1[[#This Row],[Planned Start Date]],Table1[[#This Row],[Planned End Date]])</f>
        <v>0</v>
      </c>
      <c r="P322" s="178">
        <f>NETWORKDAYS(Table1[[#This Row],[Planned Start Date]],$P$7)</f>
        <v>30643</v>
      </c>
      <c r="Q322" s="129"/>
      <c r="R322" s="183" t="str">
        <f>IF(Table1[[#This Row],[Actual Effort (Hours)]]="","",IF(Table1[[#This Row],[Estimated Effort (Hours)]]&lt;20,"L1",IF(Table1[[#This Row],[Estimated Effort (Hours)]]&lt;50,"L2",IF(Table1[[#This Row],[Estimated Effort (Hours)]]&lt;150,"L3",IF(Table1[[#This Row],[Estimated Effort (Hours)]]&lt;300,"L4","L5")))))</f>
        <v/>
      </c>
      <c r="S322" s="184" t="str">
        <f>IF(Table1[[#This Row],[Actual End Date]]="","",TEXT(Table1[[#This Row],[Actual End Date]],"mmm-yy"))</f>
        <v/>
      </c>
      <c r="T3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2" s="185" t="str">
        <f>IFERROR((Table1[[#This Row],[Actual Effort (Hours)]]-Table1[[#This Row],[Estimated Effort (Hours)]])/Table1[[#This Row],[Estimated Effort (Hours)]],"")</f>
        <v/>
      </c>
      <c r="V322" s="149"/>
    </row>
    <row r="323" spans="2:22">
      <c r="B323" s="125"/>
      <c r="C323" s="123"/>
      <c r="D323" s="143"/>
      <c r="E323" s="123"/>
      <c r="F323" s="143"/>
      <c r="G323" s="129"/>
      <c r="H323" s="124"/>
      <c r="I323" s="124"/>
      <c r="J323" s="129"/>
      <c r="K323" s="194"/>
      <c r="L323" s="194"/>
      <c r="M323" s="129"/>
      <c r="N323" s="129" t="e">
        <f>Table1[[#This Row],[Estimated Effort (Hours)]]/NETWORKDAYS(Table1[[#This Row],[Planned Start Date]],Table1[[#This Row],[Planned End Date]])</f>
        <v>#DIV/0!</v>
      </c>
      <c r="O323" s="178">
        <f>NETWORKDAYS(Table1[[#This Row],[Planned Start Date]],Table1[[#This Row],[Planned End Date]])</f>
        <v>0</v>
      </c>
      <c r="P323" s="178">
        <f>NETWORKDAYS(Table1[[#This Row],[Planned Start Date]],$P$7)</f>
        <v>30643</v>
      </c>
      <c r="Q323" s="129"/>
      <c r="R323" s="183" t="str">
        <f>IF(Table1[[#This Row],[Actual Effort (Hours)]]="","",IF(Table1[[#This Row],[Estimated Effort (Hours)]]&lt;20,"L1",IF(Table1[[#This Row],[Estimated Effort (Hours)]]&lt;50,"L2",IF(Table1[[#This Row],[Estimated Effort (Hours)]]&lt;150,"L3",IF(Table1[[#This Row],[Estimated Effort (Hours)]]&lt;300,"L4","L5")))))</f>
        <v/>
      </c>
      <c r="S323" s="184" t="str">
        <f>IF(Table1[[#This Row],[Actual End Date]]="","",TEXT(Table1[[#This Row],[Actual End Date]],"mmm-yy"))</f>
        <v/>
      </c>
      <c r="T3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3" s="185" t="str">
        <f>IFERROR((Table1[[#This Row],[Actual Effort (Hours)]]-Table1[[#This Row],[Estimated Effort (Hours)]])/Table1[[#This Row],[Estimated Effort (Hours)]],"")</f>
        <v/>
      </c>
      <c r="V323" s="149"/>
    </row>
    <row r="324" spans="2:22">
      <c r="B324" s="125"/>
      <c r="C324" s="123"/>
      <c r="D324" s="143"/>
      <c r="E324" s="123"/>
      <c r="F324" s="143"/>
      <c r="G324" s="129"/>
      <c r="H324" s="124"/>
      <c r="I324" s="124"/>
      <c r="J324" s="129"/>
      <c r="K324" s="194"/>
      <c r="L324" s="194"/>
      <c r="M324" s="129"/>
      <c r="N324" s="129" t="e">
        <f>Table1[[#This Row],[Estimated Effort (Hours)]]/NETWORKDAYS(Table1[[#This Row],[Planned Start Date]],Table1[[#This Row],[Planned End Date]])</f>
        <v>#DIV/0!</v>
      </c>
      <c r="O324" s="178">
        <f>NETWORKDAYS(Table1[[#This Row],[Planned Start Date]],Table1[[#This Row],[Planned End Date]])</f>
        <v>0</v>
      </c>
      <c r="P324" s="178">
        <f>NETWORKDAYS(Table1[[#This Row],[Planned Start Date]],$P$7)</f>
        <v>30643</v>
      </c>
      <c r="Q324" s="129"/>
      <c r="R324" s="183" t="str">
        <f>IF(Table1[[#This Row],[Actual Effort (Hours)]]="","",IF(Table1[[#This Row],[Estimated Effort (Hours)]]&lt;20,"L1",IF(Table1[[#This Row],[Estimated Effort (Hours)]]&lt;50,"L2",IF(Table1[[#This Row],[Estimated Effort (Hours)]]&lt;150,"L3",IF(Table1[[#This Row],[Estimated Effort (Hours)]]&lt;300,"L4","L5")))))</f>
        <v/>
      </c>
      <c r="S324" s="184" t="str">
        <f>IF(Table1[[#This Row],[Actual End Date]]="","",TEXT(Table1[[#This Row],[Actual End Date]],"mmm-yy"))</f>
        <v/>
      </c>
      <c r="T3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4" s="185" t="str">
        <f>IFERROR((Table1[[#This Row],[Actual Effort (Hours)]]-Table1[[#This Row],[Estimated Effort (Hours)]])/Table1[[#This Row],[Estimated Effort (Hours)]],"")</f>
        <v/>
      </c>
      <c r="V324" s="149"/>
    </row>
    <row r="325" spans="2:22">
      <c r="B325" s="125"/>
      <c r="C325" s="123"/>
      <c r="D325" s="143"/>
      <c r="E325" s="123"/>
      <c r="F325" s="143"/>
      <c r="G325" s="129"/>
      <c r="H325" s="124"/>
      <c r="I325" s="124"/>
      <c r="J325" s="129"/>
      <c r="K325" s="194"/>
      <c r="L325" s="194"/>
      <c r="M325" s="129"/>
      <c r="N325" s="129" t="e">
        <f>Table1[[#This Row],[Estimated Effort (Hours)]]/NETWORKDAYS(Table1[[#This Row],[Planned Start Date]],Table1[[#This Row],[Planned End Date]])</f>
        <v>#DIV/0!</v>
      </c>
      <c r="O325" s="178">
        <f>NETWORKDAYS(Table1[[#This Row],[Planned Start Date]],Table1[[#This Row],[Planned End Date]])</f>
        <v>0</v>
      </c>
      <c r="P325" s="178">
        <f>NETWORKDAYS(Table1[[#This Row],[Planned Start Date]],$P$7)</f>
        <v>30643</v>
      </c>
      <c r="Q325" s="129"/>
      <c r="R325" s="183" t="str">
        <f>IF(Table1[[#This Row],[Actual Effort (Hours)]]="","",IF(Table1[[#This Row],[Estimated Effort (Hours)]]&lt;20,"L1",IF(Table1[[#This Row],[Estimated Effort (Hours)]]&lt;50,"L2",IF(Table1[[#This Row],[Estimated Effort (Hours)]]&lt;150,"L3",IF(Table1[[#This Row],[Estimated Effort (Hours)]]&lt;300,"L4","L5")))))</f>
        <v/>
      </c>
      <c r="S325" s="184" t="str">
        <f>IF(Table1[[#This Row],[Actual End Date]]="","",TEXT(Table1[[#This Row],[Actual End Date]],"mmm-yy"))</f>
        <v/>
      </c>
      <c r="T3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5" s="185" t="str">
        <f>IFERROR((Table1[[#This Row],[Actual Effort (Hours)]]-Table1[[#This Row],[Estimated Effort (Hours)]])/Table1[[#This Row],[Estimated Effort (Hours)]],"")</f>
        <v/>
      </c>
      <c r="V325" s="149"/>
    </row>
    <row r="326" spans="2:22">
      <c r="B326" s="125"/>
      <c r="C326" s="116"/>
      <c r="D326" s="143"/>
      <c r="E326" s="123"/>
      <c r="F326" s="143"/>
      <c r="G326" s="129"/>
      <c r="H326" s="124"/>
      <c r="I326" s="124"/>
      <c r="J326" s="129"/>
      <c r="K326" s="194"/>
      <c r="L326" s="194"/>
      <c r="M326" s="129"/>
      <c r="N326" s="129" t="e">
        <f>Table1[[#This Row],[Estimated Effort (Hours)]]/NETWORKDAYS(Table1[[#This Row],[Planned Start Date]],Table1[[#This Row],[Planned End Date]])</f>
        <v>#DIV/0!</v>
      </c>
      <c r="O326" s="178">
        <f>NETWORKDAYS(Table1[[#This Row],[Planned Start Date]],Table1[[#This Row],[Planned End Date]])</f>
        <v>0</v>
      </c>
      <c r="P326" s="178">
        <f>NETWORKDAYS(Table1[[#This Row],[Planned Start Date]],$P$7)</f>
        <v>30643</v>
      </c>
      <c r="Q326" s="129"/>
      <c r="R326" s="183" t="str">
        <f>IF(Table1[[#This Row],[Actual Effort (Hours)]]="","",IF(Table1[[#This Row],[Estimated Effort (Hours)]]&lt;20,"L1",IF(Table1[[#This Row],[Estimated Effort (Hours)]]&lt;50,"L2",IF(Table1[[#This Row],[Estimated Effort (Hours)]]&lt;150,"L3",IF(Table1[[#This Row],[Estimated Effort (Hours)]]&lt;300,"L4","L5")))))</f>
        <v/>
      </c>
      <c r="S326" s="184" t="str">
        <f>IF(Table1[[#This Row],[Actual End Date]]="","",TEXT(Table1[[#This Row],[Actual End Date]],"mmm-yy"))</f>
        <v/>
      </c>
      <c r="T3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6" s="185" t="str">
        <f>IFERROR((Table1[[#This Row],[Actual Effort (Hours)]]-Table1[[#This Row],[Estimated Effort (Hours)]])/Table1[[#This Row],[Estimated Effort (Hours)]],"")</f>
        <v/>
      </c>
      <c r="V326" s="149"/>
    </row>
    <row r="327" spans="2:22">
      <c r="B327" s="125"/>
      <c r="C327" s="116"/>
      <c r="D327" s="143"/>
      <c r="E327" s="123"/>
      <c r="F327" s="143"/>
      <c r="G327" s="129"/>
      <c r="H327" s="124"/>
      <c r="I327" s="124"/>
      <c r="J327" s="129"/>
      <c r="K327" s="194"/>
      <c r="L327" s="194"/>
      <c r="M327" s="129"/>
      <c r="N327" s="129" t="e">
        <f>Table1[[#This Row],[Estimated Effort (Hours)]]/NETWORKDAYS(Table1[[#This Row],[Planned Start Date]],Table1[[#This Row],[Planned End Date]])</f>
        <v>#DIV/0!</v>
      </c>
      <c r="O327" s="178">
        <f>NETWORKDAYS(Table1[[#This Row],[Planned Start Date]],Table1[[#This Row],[Planned End Date]])</f>
        <v>0</v>
      </c>
      <c r="P327" s="178">
        <f>NETWORKDAYS(Table1[[#This Row],[Planned Start Date]],$P$7)</f>
        <v>30643</v>
      </c>
      <c r="Q327" s="129"/>
      <c r="R327" s="183" t="str">
        <f>IF(Table1[[#This Row],[Actual Effort (Hours)]]="","",IF(Table1[[#This Row],[Estimated Effort (Hours)]]&lt;20,"L1",IF(Table1[[#This Row],[Estimated Effort (Hours)]]&lt;50,"L2",IF(Table1[[#This Row],[Estimated Effort (Hours)]]&lt;150,"L3",IF(Table1[[#This Row],[Estimated Effort (Hours)]]&lt;300,"L4","L5")))))</f>
        <v/>
      </c>
      <c r="S327" s="184" t="str">
        <f>IF(Table1[[#This Row],[Actual End Date]]="","",TEXT(Table1[[#This Row],[Actual End Date]],"mmm-yy"))</f>
        <v/>
      </c>
      <c r="T3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7" s="185" t="str">
        <f>IFERROR((Table1[[#This Row],[Actual Effort (Hours)]]-Table1[[#This Row],[Estimated Effort (Hours)]])/Table1[[#This Row],[Estimated Effort (Hours)]],"")</f>
        <v/>
      </c>
      <c r="V327" s="149"/>
    </row>
    <row r="328" spans="2:22">
      <c r="B328" s="125"/>
      <c r="C328" s="116"/>
      <c r="D328" s="143"/>
      <c r="E328" s="123"/>
      <c r="F328" s="143"/>
      <c r="G328" s="129"/>
      <c r="H328" s="124"/>
      <c r="I328" s="124"/>
      <c r="J328" s="129"/>
      <c r="K328" s="194"/>
      <c r="L328" s="194"/>
      <c r="M328" s="129"/>
      <c r="N328" s="129" t="e">
        <f>Table1[[#This Row],[Estimated Effort (Hours)]]/NETWORKDAYS(Table1[[#This Row],[Planned Start Date]],Table1[[#This Row],[Planned End Date]])</f>
        <v>#DIV/0!</v>
      </c>
      <c r="O328" s="178">
        <f>NETWORKDAYS(Table1[[#This Row],[Planned Start Date]],Table1[[#This Row],[Planned End Date]])</f>
        <v>0</v>
      </c>
      <c r="P328" s="178">
        <f>NETWORKDAYS(Table1[[#This Row],[Planned Start Date]],$P$7)</f>
        <v>30643</v>
      </c>
      <c r="Q328" s="129"/>
      <c r="R328" s="183" t="str">
        <f>IF(Table1[[#This Row],[Actual Effort (Hours)]]="","",IF(Table1[[#This Row],[Estimated Effort (Hours)]]&lt;20,"L1",IF(Table1[[#This Row],[Estimated Effort (Hours)]]&lt;50,"L2",IF(Table1[[#This Row],[Estimated Effort (Hours)]]&lt;150,"L3",IF(Table1[[#This Row],[Estimated Effort (Hours)]]&lt;300,"L4","L5")))))</f>
        <v/>
      </c>
      <c r="S328" s="184" t="str">
        <f>IF(Table1[[#This Row],[Actual End Date]]="","",TEXT(Table1[[#This Row],[Actual End Date]],"mmm-yy"))</f>
        <v/>
      </c>
      <c r="T3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8" s="185" t="str">
        <f>IFERROR((Table1[[#This Row],[Actual Effort (Hours)]]-Table1[[#This Row],[Estimated Effort (Hours)]])/Table1[[#This Row],[Estimated Effort (Hours)]],"")</f>
        <v/>
      </c>
      <c r="V328" s="149"/>
    </row>
    <row r="329" spans="2:22">
      <c r="B329" s="125"/>
      <c r="C329" s="116"/>
      <c r="D329" s="143"/>
      <c r="E329" s="123"/>
      <c r="F329" s="143"/>
      <c r="G329" s="129"/>
      <c r="H329" s="124"/>
      <c r="I329" s="124"/>
      <c r="J329" s="129"/>
      <c r="K329" s="194"/>
      <c r="L329" s="194"/>
      <c r="M329" s="129"/>
      <c r="N329" s="129" t="e">
        <f>Table1[[#This Row],[Estimated Effort (Hours)]]/NETWORKDAYS(Table1[[#This Row],[Planned Start Date]],Table1[[#This Row],[Planned End Date]])</f>
        <v>#DIV/0!</v>
      </c>
      <c r="O329" s="178">
        <f>NETWORKDAYS(Table1[[#This Row],[Planned Start Date]],Table1[[#This Row],[Planned End Date]])</f>
        <v>0</v>
      </c>
      <c r="P329" s="178">
        <f>NETWORKDAYS(Table1[[#This Row],[Planned Start Date]],$P$7)</f>
        <v>30643</v>
      </c>
      <c r="Q329" s="129"/>
      <c r="R329" s="183" t="str">
        <f>IF(Table1[[#This Row],[Actual Effort (Hours)]]="","",IF(Table1[[#This Row],[Estimated Effort (Hours)]]&lt;20,"L1",IF(Table1[[#This Row],[Estimated Effort (Hours)]]&lt;50,"L2",IF(Table1[[#This Row],[Estimated Effort (Hours)]]&lt;150,"L3",IF(Table1[[#This Row],[Estimated Effort (Hours)]]&lt;300,"L4","L5")))))</f>
        <v/>
      </c>
      <c r="S329" s="184" t="str">
        <f>IF(Table1[[#This Row],[Actual End Date]]="","",TEXT(Table1[[#This Row],[Actual End Date]],"mmm-yy"))</f>
        <v/>
      </c>
      <c r="T3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29" s="185" t="str">
        <f>IFERROR((Table1[[#This Row],[Actual Effort (Hours)]]-Table1[[#This Row],[Estimated Effort (Hours)]])/Table1[[#This Row],[Estimated Effort (Hours)]],"")</f>
        <v/>
      </c>
      <c r="V329" s="149"/>
    </row>
    <row r="330" spans="2:22">
      <c r="B330" s="125"/>
      <c r="C330" s="116"/>
      <c r="D330" s="143"/>
      <c r="E330" s="123"/>
      <c r="F330" s="143"/>
      <c r="G330" s="129"/>
      <c r="H330" s="124"/>
      <c r="I330" s="124"/>
      <c r="J330" s="129"/>
      <c r="K330" s="194"/>
      <c r="L330" s="194"/>
      <c r="M330" s="129"/>
      <c r="N330" s="129" t="e">
        <f>Table1[[#This Row],[Estimated Effort (Hours)]]/NETWORKDAYS(Table1[[#This Row],[Planned Start Date]],Table1[[#This Row],[Planned End Date]])</f>
        <v>#DIV/0!</v>
      </c>
      <c r="O330" s="178">
        <f>NETWORKDAYS(Table1[[#This Row],[Planned Start Date]],Table1[[#This Row],[Planned End Date]])</f>
        <v>0</v>
      </c>
      <c r="P330" s="178">
        <f>NETWORKDAYS(Table1[[#This Row],[Planned Start Date]],$P$7)</f>
        <v>30643</v>
      </c>
      <c r="Q330" s="129"/>
      <c r="R330" s="183" t="str">
        <f>IF(Table1[[#This Row],[Actual Effort (Hours)]]="","",IF(Table1[[#This Row],[Estimated Effort (Hours)]]&lt;20,"L1",IF(Table1[[#This Row],[Estimated Effort (Hours)]]&lt;50,"L2",IF(Table1[[#This Row],[Estimated Effort (Hours)]]&lt;150,"L3",IF(Table1[[#This Row],[Estimated Effort (Hours)]]&lt;300,"L4","L5")))))</f>
        <v/>
      </c>
      <c r="S330" s="184" t="str">
        <f>IF(Table1[[#This Row],[Actual End Date]]="","",TEXT(Table1[[#This Row],[Actual End Date]],"mmm-yy"))</f>
        <v/>
      </c>
      <c r="T3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0" s="185" t="str">
        <f>IFERROR((Table1[[#This Row],[Actual Effort (Hours)]]-Table1[[#This Row],[Estimated Effort (Hours)]])/Table1[[#This Row],[Estimated Effort (Hours)]],"")</f>
        <v/>
      </c>
      <c r="V330" s="149"/>
    </row>
    <row r="331" spans="2:22">
      <c r="B331" s="125"/>
      <c r="C331" s="116"/>
      <c r="D331" s="143"/>
      <c r="E331" s="123"/>
      <c r="F331" s="143"/>
      <c r="G331" s="129"/>
      <c r="H331" s="124"/>
      <c r="I331" s="124"/>
      <c r="J331" s="129"/>
      <c r="K331" s="194"/>
      <c r="L331" s="194"/>
      <c r="M331" s="129"/>
      <c r="N331" s="129" t="e">
        <f>Table1[[#This Row],[Estimated Effort (Hours)]]/NETWORKDAYS(Table1[[#This Row],[Planned Start Date]],Table1[[#This Row],[Planned End Date]])</f>
        <v>#DIV/0!</v>
      </c>
      <c r="O331" s="178">
        <f>NETWORKDAYS(Table1[[#This Row],[Planned Start Date]],Table1[[#This Row],[Planned End Date]])</f>
        <v>0</v>
      </c>
      <c r="P331" s="178">
        <f>NETWORKDAYS(Table1[[#This Row],[Planned Start Date]],$P$7)</f>
        <v>30643</v>
      </c>
      <c r="Q331" s="129"/>
      <c r="R331" s="183" t="str">
        <f>IF(Table1[[#This Row],[Actual Effort (Hours)]]="","",IF(Table1[[#This Row],[Estimated Effort (Hours)]]&lt;20,"L1",IF(Table1[[#This Row],[Estimated Effort (Hours)]]&lt;50,"L2",IF(Table1[[#This Row],[Estimated Effort (Hours)]]&lt;150,"L3",IF(Table1[[#This Row],[Estimated Effort (Hours)]]&lt;300,"L4","L5")))))</f>
        <v/>
      </c>
      <c r="S331" s="184" t="str">
        <f>IF(Table1[[#This Row],[Actual End Date]]="","",TEXT(Table1[[#This Row],[Actual End Date]],"mmm-yy"))</f>
        <v/>
      </c>
      <c r="T3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1" s="185" t="str">
        <f>IFERROR((Table1[[#This Row],[Actual Effort (Hours)]]-Table1[[#This Row],[Estimated Effort (Hours)]])/Table1[[#This Row],[Estimated Effort (Hours)]],"")</f>
        <v/>
      </c>
      <c r="V331" s="149"/>
    </row>
    <row r="332" spans="2:22">
      <c r="B332" s="125"/>
      <c r="C332" s="116"/>
      <c r="D332" s="143"/>
      <c r="E332" s="123"/>
      <c r="F332" s="143"/>
      <c r="G332" s="129"/>
      <c r="H332" s="124"/>
      <c r="I332" s="124"/>
      <c r="J332" s="129"/>
      <c r="K332" s="194"/>
      <c r="L332" s="194"/>
      <c r="M332" s="129"/>
      <c r="N332" s="129" t="e">
        <f>Table1[[#This Row],[Estimated Effort (Hours)]]/NETWORKDAYS(Table1[[#This Row],[Planned Start Date]],Table1[[#This Row],[Planned End Date]])</f>
        <v>#DIV/0!</v>
      </c>
      <c r="O332" s="178">
        <f>NETWORKDAYS(Table1[[#This Row],[Planned Start Date]],Table1[[#This Row],[Planned End Date]])</f>
        <v>0</v>
      </c>
      <c r="P332" s="178">
        <f>NETWORKDAYS(Table1[[#This Row],[Planned Start Date]],$P$7)</f>
        <v>30643</v>
      </c>
      <c r="Q332" s="129"/>
      <c r="R332" s="183" t="str">
        <f>IF(Table1[[#This Row],[Actual Effort (Hours)]]="","",IF(Table1[[#This Row],[Estimated Effort (Hours)]]&lt;20,"L1",IF(Table1[[#This Row],[Estimated Effort (Hours)]]&lt;50,"L2",IF(Table1[[#This Row],[Estimated Effort (Hours)]]&lt;150,"L3",IF(Table1[[#This Row],[Estimated Effort (Hours)]]&lt;300,"L4","L5")))))</f>
        <v/>
      </c>
      <c r="S332" s="184" t="str">
        <f>IF(Table1[[#This Row],[Actual End Date]]="","",TEXT(Table1[[#This Row],[Actual End Date]],"mmm-yy"))</f>
        <v/>
      </c>
      <c r="T3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2" s="185" t="str">
        <f>IFERROR((Table1[[#This Row],[Actual Effort (Hours)]]-Table1[[#This Row],[Estimated Effort (Hours)]])/Table1[[#This Row],[Estimated Effort (Hours)]],"")</f>
        <v/>
      </c>
      <c r="V332" s="149"/>
    </row>
    <row r="333" spans="2:22">
      <c r="B333" s="125"/>
      <c r="C333" s="116"/>
      <c r="D333" s="143"/>
      <c r="E333" s="123"/>
      <c r="F333" s="143"/>
      <c r="G333" s="129"/>
      <c r="H333" s="124"/>
      <c r="I333" s="124"/>
      <c r="J333" s="129"/>
      <c r="K333" s="194"/>
      <c r="L333" s="194"/>
      <c r="M333" s="129"/>
      <c r="N333" s="129" t="e">
        <f>Table1[[#This Row],[Estimated Effort (Hours)]]/NETWORKDAYS(Table1[[#This Row],[Planned Start Date]],Table1[[#This Row],[Planned End Date]])</f>
        <v>#DIV/0!</v>
      </c>
      <c r="O333" s="178">
        <f>NETWORKDAYS(Table1[[#This Row],[Planned Start Date]],Table1[[#This Row],[Planned End Date]])</f>
        <v>0</v>
      </c>
      <c r="P333" s="178">
        <f>NETWORKDAYS(Table1[[#This Row],[Planned Start Date]],$P$7)</f>
        <v>30643</v>
      </c>
      <c r="Q333" s="129"/>
      <c r="R333" s="183" t="str">
        <f>IF(Table1[[#This Row],[Actual Effort (Hours)]]="","",IF(Table1[[#This Row],[Estimated Effort (Hours)]]&lt;20,"L1",IF(Table1[[#This Row],[Estimated Effort (Hours)]]&lt;50,"L2",IF(Table1[[#This Row],[Estimated Effort (Hours)]]&lt;150,"L3",IF(Table1[[#This Row],[Estimated Effort (Hours)]]&lt;300,"L4","L5")))))</f>
        <v/>
      </c>
      <c r="S333" s="184" t="str">
        <f>IF(Table1[[#This Row],[Actual End Date]]="","",TEXT(Table1[[#This Row],[Actual End Date]],"mmm-yy"))</f>
        <v/>
      </c>
      <c r="T3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3" s="185" t="str">
        <f>IFERROR((Table1[[#This Row],[Actual Effort (Hours)]]-Table1[[#This Row],[Estimated Effort (Hours)]])/Table1[[#This Row],[Estimated Effort (Hours)]],"")</f>
        <v/>
      </c>
      <c r="V333" s="149"/>
    </row>
    <row r="334" spans="2:22">
      <c r="B334" s="125"/>
      <c r="C334" s="116"/>
      <c r="D334" s="143"/>
      <c r="E334" s="123"/>
      <c r="F334" s="143"/>
      <c r="G334" s="129"/>
      <c r="H334" s="124"/>
      <c r="I334" s="124"/>
      <c r="J334" s="129"/>
      <c r="K334" s="194"/>
      <c r="L334" s="194"/>
      <c r="M334" s="129"/>
      <c r="N334" s="129" t="e">
        <f>Table1[[#This Row],[Estimated Effort (Hours)]]/NETWORKDAYS(Table1[[#This Row],[Planned Start Date]],Table1[[#This Row],[Planned End Date]])</f>
        <v>#DIV/0!</v>
      </c>
      <c r="O334" s="178">
        <f>NETWORKDAYS(Table1[[#This Row],[Planned Start Date]],Table1[[#This Row],[Planned End Date]])</f>
        <v>0</v>
      </c>
      <c r="P334" s="178">
        <f>NETWORKDAYS(Table1[[#This Row],[Planned Start Date]],$P$7)</f>
        <v>30643</v>
      </c>
      <c r="Q334" s="129"/>
      <c r="R334" s="183" t="str">
        <f>IF(Table1[[#This Row],[Actual Effort (Hours)]]="","",IF(Table1[[#This Row],[Estimated Effort (Hours)]]&lt;20,"L1",IF(Table1[[#This Row],[Estimated Effort (Hours)]]&lt;50,"L2",IF(Table1[[#This Row],[Estimated Effort (Hours)]]&lt;150,"L3",IF(Table1[[#This Row],[Estimated Effort (Hours)]]&lt;300,"L4","L5")))))</f>
        <v/>
      </c>
      <c r="S334" s="184" t="str">
        <f>IF(Table1[[#This Row],[Actual End Date]]="","",TEXT(Table1[[#This Row],[Actual End Date]],"mmm-yy"))</f>
        <v/>
      </c>
      <c r="T3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4" s="185" t="str">
        <f>IFERROR((Table1[[#This Row],[Actual Effort (Hours)]]-Table1[[#This Row],[Estimated Effort (Hours)]])/Table1[[#This Row],[Estimated Effort (Hours)]],"")</f>
        <v/>
      </c>
      <c r="V334" s="149"/>
    </row>
    <row r="335" spans="2:22">
      <c r="B335" s="125"/>
      <c r="C335" s="116"/>
      <c r="D335" s="143"/>
      <c r="E335" s="123"/>
      <c r="F335" s="143"/>
      <c r="G335" s="129"/>
      <c r="H335" s="124"/>
      <c r="I335" s="124"/>
      <c r="J335" s="129"/>
      <c r="K335" s="194"/>
      <c r="L335" s="194"/>
      <c r="M335" s="129"/>
      <c r="N335" s="129" t="e">
        <f>Table1[[#This Row],[Estimated Effort (Hours)]]/NETWORKDAYS(Table1[[#This Row],[Planned Start Date]],Table1[[#This Row],[Planned End Date]])</f>
        <v>#DIV/0!</v>
      </c>
      <c r="O335" s="178">
        <f>NETWORKDAYS(Table1[[#This Row],[Planned Start Date]],Table1[[#This Row],[Planned End Date]])</f>
        <v>0</v>
      </c>
      <c r="P335" s="178">
        <f>NETWORKDAYS(Table1[[#This Row],[Planned Start Date]],$P$7)</f>
        <v>30643</v>
      </c>
      <c r="Q335" s="129"/>
      <c r="R335" s="183" t="str">
        <f>IF(Table1[[#This Row],[Actual Effort (Hours)]]="","",IF(Table1[[#This Row],[Estimated Effort (Hours)]]&lt;20,"L1",IF(Table1[[#This Row],[Estimated Effort (Hours)]]&lt;50,"L2",IF(Table1[[#This Row],[Estimated Effort (Hours)]]&lt;150,"L3",IF(Table1[[#This Row],[Estimated Effort (Hours)]]&lt;300,"L4","L5")))))</f>
        <v/>
      </c>
      <c r="S335" s="184" t="str">
        <f>IF(Table1[[#This Row],[Actual End Date]]="","",TEXT(Table1[[#This Row],[Actual End Date]],"mmm-yy"))</f>
        <v/>
      </c>
      <c r="T3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5" s="185" t="str">
        <f>IFERROR((Table1[[#This Row],[Actual Effort (Hours)]]-Table1[[#This Row],[Estimated Effort (Hours)]])/Table1[[#This Row],[Estimated Effort (Hours)]],"")</f>
        <v/>
      </c>
      <c r="V335" s="149"/>
    </row>
    <row r="336" spans="2:22">
      <c r="B336" s="125"/>
      <c r="C336" s="116"/>
      <c r="D336" s="143"/>
      <c r="E336" s="123"/>
      <c r="F336" s="143"/>
      <c r="G336" s="129"/>
      <c r="H336" s="124"/>
      <c r="I336" s="124"/>
      <c r="J336" s="129"/>
      <c r="K336" s="194"/>
      <c r="L336" s="194"/>
      <c r="M336" s="129"/>
      <c r="N336" s="129" t="e">
        <f>Table1[[#This Row],[Estimated Effort (Hours)]]/NETWORKDAYS(Table1[[#This Row],[Planned Start Date]],Table1[[#This Row],[Planned End Date]])</f>
        <v>#DIV/0!</v>
      </c>
      <c r="O336" s="178">
        <f>NETWORKDAYS(Table1[[#This Row],[Planned Start Date]],Table1[[#This Row],[Planned End Date]])</f>
        <v>0</v>
      </c>
      <c r="P336" s="178">
        <f>NETWORKDAYS(Table1[[#This Row],[Planned Start Date]],$P$7)</f>
        <v>30643</v>
      </c>
      <c r="Q336" s="129"/>
      <c r="R336" s="183" t="str">
        <f>IF(Table1[[#This Row],[Actual Effort (Hours)]]="","",IF(Table1[[#This Row],[Estimated Effort (Hours)]]&lt;20,"L1",IF(Table1[[#This Row],[Estimated Effort (Hours)]]&lt;50,"L2",IF(Table1[[#This Row],[Estimated Effort (Hours)]]&lt;150,"L3",IF(Table1[[#This Row],[Estimated Effort (Hours)]]&lt;300,"L4","L5")))))</f>
        <v/>
      </c>
      <c r="S336" s="184" t="str">
        <f>IF(Table1[[#This Row],[Actual End Date]]="","",TEXT(Table1[[#This Row],[Actual End Date]],"mmm-yy"))</f>
        <v/>
      </c>
      <c r="T3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6" s="185" t="str">
        <f>IFERROR((Table1[[#This Row],[Actual Effort (Hours)]]-Table1[[#This Row],[Estimated Effort (Hours)]])/Table1[[#This Row],[Estimated Effort (Hours)]],"")</f>
        <v/>
      </c>
      <c r="V336" s="149"/>
    </row>
    <row r="337" spans="2:22">
      <c r="B337" s="125"/>
      <c r="C337" s="116"/>
      <c r="D337" s="143"/>
      <c r="E337" s="123"/>
      <c r="F337" s="143"/>
      <c r="G337" s="129"/>
      <c r="H337" s="124"/>
      <c r="I337" s="124"/>
      <c r="J337" s="129"/>
      <c r="K337" s="194"/>
      <c r="L337" s="194"/>
      <c r="M337" s="129"/>
      <c r="N337" s="129" t="e">
        <f>Table1[[#This Row],[Estimated Effort (Hours)]]/NETWORKDAYS(Table1[[#This Row],[Planned Start Date]],Table1[[#This Row],[Planned End Date]])</f>
        <v>#DIV/0!</v>
      </c>
      <c r="O337" s="178">
        <f>NETWORKDAYS(Table1[[#This Row],[Planned Start Date]],Table1[[#This Row],[Planned End Date]])</f>
        <v>0</v>
      </c>
      <c r="P337" s="178">
        <f>NETWORKDAYS(Table1[[#This Row],[Planned Start Date]],$P$7)</f>
        <v>30643</v>
      </c>
      <c r="Q337" s="129"/>
      <c r="R337" s="183" t="str">
        <f>IF(Table1[[#This Row],[Actual Effort (Hours)]]="","",IF(Table1[[#This Row],[Estimated Effort (Hours)]]&lt;20,"L1",IF(Table1[[#This Row],[Estimated Effort (Hours)]]&lt;50,"L2",IF(Table1[[#This Row],[Estimated Effort (Hours)]]&lt;150,"L3",IF(Table1[[#This Row],[Estimated Effort (Hours)]]&lt;300,"L4","L5")))))</f>
        <v/>
      </c>
      <c r="S337" s="184" t="str">
        <f>IF(Table1[[#This Row],[Actual End Date]]="","",TEXT(Table1[[#This Row],[Actual End Date]],"mmm-yy"))</f>
        <v/>
      </c>
      <c r="T3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7" s="185" t="str">
        <f>IFERROR((Table1[[#This Row],[Actual Effort (Hours)]]-Table1[[#This Row],[Estimated Effort (Hours)]])/Table1[[#This Row],[Estimated Effort (Hours)]],"")</f>
        <v/>
      </c>
      <c r="V337" s="149"/>
    </row>
    <row r="338" spans="2:22">
      <c r="B338" s="125"/>
      <c r="C338" s="116"/>
      <c r="D338" s="143"/>
      <c r="E338" s="123"/>
      <c r="F338" s="143"/>
      <c r="G338" s="129"/>
      <c r="H338" s="124"/>
      <c r="I338" s="124"/>
      <c r="J338" s="129"/>
      <c r="K338" s="194"/>
      <c r="L338" s="194"/>
      <c r="M338" s="129"/>
      <c r="N338" s="129" t="e">
        <f>Table1[[#This Row],[Estimated Effort (Hours)]]/NETWORKDAYS(Table1[[#This Row],[Planned Start Date]],Table1[[#This Row],[Planned End Date]])</f>
        <v>#DIV/0!</v>
      </c>
      <c r="O338" s="178">
        <f>NETWORKDAYS(Table1[[#This Row],[Planned Start Date]],Table1[[#This Row],[Planned End Date]])</f>
        <v>0</v>
      </c>
      <c r="P338" s="178">
        <f>NETWORKDAYS(Table1[[#This Row],[Planned Start Date]],$P$7)</f>
        <v>30643</v>
      </c>
      <c r="Q338" s="129"/>
      <c r="R338" s="183" t="str">
        <f>IF(Table1[[#This Row],[Actual Effort (Hours)]]="","",IF(Table1[[#This Row],[Estimated Effort (Hours)]]&lt;20,"L1",IF(Table1[[#This Row],[Estimated Effort (Hours)]]&lt;50,"L2",IF(Table1[[#This Row],[Estimated Effort (Hours)]]&lt;150,"L3",IF(Table1[[#This Row],[Estimated Effort (Hours)]]&lt;300,"L4","L5")))))</f>
        <v/>
      </c>
      <c r="S338" s="184" t="str">
        <f>IF(Table1[[#This Row],[Actual End Date]]="","",TEXT(Table1[[#This Row],[Actual End Date]],"mmm-yy"))</f>
        <v/>
      </c>
      <c r="T3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8" s="185" t="str">
        <f>IFERROR((Table1[[#This Row],[Actual Effort (Hours)]]-Table1[[#This Row],[Estimated Effort (Hours)]])/Table1[[#This Row],[Estimated Effort (Hours)]],"")</f>
        <v/>
      </c>
      <c r="V338" s="149"/>
    </row>
    <row r="339" spans="2:22">
      <c r="B339" s="125"/>
      <c r="C339" s="116"/>
      <c r="D339" s="143"/>
      <c r="E339" s="123"/>
      <c r="F339" s="143"/>
      <c r="G339" s="129"/>
      <c r="H339" s="124"/>
      <c r="I339" s="124"/>
      <c r="J339" s="129"/>
      <c r="K339" s="194"/>
      <c r="L339" s="194"/>
      <c r="M339" s="129"/>
      <c r="N339" s="129" t="e">
        <f>Table1[[#This Row],[Estimated Effort (Hours)]]/NETWORKDAYS(Table1[[#This Row],[Planned Start Date]],Table1[[#This Row],[Planned End Date]])</f>
        <v>#DIV/0!</v>
      </c>
      <c r="O339" s="178">
        <f>NETWORKDAYS(Table1[[#This Row],[Planned Start Date]],Table1[[#This Row],[Planned End Date]])</f>
        <v>0</v>
      </c>
      <c r="P339" s="178">
        <f>NETWORKDAYS(Table1[[#This Row],[Planned Start Date]],$P$7)</f>
        <v>30643</v>
      </c>
      <c r="Q339" s="129"/>
      <c r="R339" s="183" t="str">
        <f>IF(Table1[[#This Row],[Actual Effort (Hours)]]="","",IF(Table1[[#This Row],[Estimated Effort (Hours)]]&lt;20,"L1",IF(Table1[[#This Row],[Estimated Effort (Hours)]]&lt;50,"L2",IF(Table1[[#This Row],[Estimated Effort (Hours)]]&lt;150,"L3",IF(Table1[[#This Row],[Estimated Effort (Hours)]]&lt;300,"L4","L5")))))</f>
        <v/>
      </c>
      <c r="S339" s="184" t="str">
        <f>IF(Table1[[#This Row],[Actual End Date]]="","",TEXT(Table1[[#This Row],[Actual End Date]],"mmm-yy"))</f>
        <v/>
      </c>
      <c r="T3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39" s="185" t="str">
        <f>IFERROR((Table1[[#This Row],[Actual Effort (Hours)]]-Table1[[#This Row],[Estimated Effort (Hours)]])/Table1[[#This Row],[Estimated Effort (Hours)]],"")</f>
        <v/>
      </c>
      <c r="V339" s="149"/>
    </row>
    <row r="340" spans="2:22">
      <c r="B340" s="125"/>
      <c r="C340" s="116"/>
      <c r="D340" s="143"/>
      <c r="E340" s="123"/>
      <c r="F340" s="143"/>
      <c r="G340" s="129"/>
      <c r="H340" s="124"/>
      <c r="I340" s="124"/>
      <c r="J340" s="129"/>
      <c r="K340" s="194"/>
      <c r="L340" s="194"/>
      <c r="M340" s="129"/>
      <c r="N340" s="129" t="e">
        <f>Table1[[#This Row],[Estimated Effort (Hours)]]/NETWORKDAYS(Table1[[#This Row],[Planned Start Date]],Table1[[#This Row],[Planned End Date]])</f>
        <v>#DIV/0!</v>
      </c>
      <c r="O340" s="178">
        <f>NETWORKDAYS(Table1[[#This Row],[Planned Start Date]],Table1[[#This Row],[Planned End Date]])</f>
        <v>0</v>
      </c>
      <c r="P340" s="178">
        <f>NETWORKDAYS(Table1[[#This Row],[Planned Start Date]],$P$7)</f>
        <v>30643</v>
      </c>
      <c r="Q340" s="129"/>
      <c r="R340" s="183" t="str">
        <f>IF(Table1[[#This Row],[Actual Effort (Hours)]]="","",IF(Table1[[#This Row],[Estimated Effort (Hours)]]&lt;20,"L1",IF(Table1[[#This Row],[Estimated Effort (Hours)]]&lt;50,"L2",IF(Table1[[#This Row],[Estimated Effort (Hours)]]&lt;150,"L3",IF(Table1[[#This Row],[Estimated Effort (Hours)]]&lt;300,"L4","L5")))))</f>
        <v/>
      </c>
      <c r="S340" s="184" t="str">
        <f>IF(Table1[[#This Row],[Actual End Date]]="","",TEXT(Table1[[#This Row],[Actual End Date]],"mmm-yy"))</f>
        <v/>
      </c>
      <c r="T3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0" s="185" t="str">
        <f>IFERROR((Table1[[#This Row],[Actual Effort (Hours)]]-Table1[[#This Row],[Estimated Effort (Hours)]])/Table1[[#This Row],[Estimated Effort (Hours)]],"")</f>
        <v/>
      </c>
      <c r="V340" s="149"/>
    </row>
    <row r="341" spans="2:22">
      <c r="B341" s="125"/>
      <c r="C341" s="116"/>
      <c r="D341" s="143"/>
      <c r="E341" s="123"/>
      <c r="F341" s="143"/>
      <c r="G341" s="129"/>
      <c r="H341" s="124"/>
      <c r="I341" s="124"/>
      <c r="J341" s="129"/>
      <c r="K341" s="194"/>
      <c r="L341" s="194"/>
      <c r="M341" s="129"/>
      <c r="N341" s="129" t="e">
        <f>Table1[[#This Row],[Estimated Effort (Hours)]]/NETWORKDAYS(Table1[[#This Row],[Planned Start Date]],Table1[[#This Row],[Planned End Date]])</f>
        <v>#DIV/0!</v>
      </c>
      <c r="O341" s="178">
        <f>NETWORKDAYS(Table1[[#This Row],[Planned Start Date]],Table1[[#This Row],[Planned End Date]])</f>
        <v>0</v>
      </c>
      <c r="P341" s="178">
        <f>NETWORKDAYS(Table1[[#This Row],[Planned Start Date]],$P$7)</f>
        <v>30643</v>
      </c>
      <c r="Q341" s="129"/>
      <c r="R341" s="183" t="str">
        <f>IF(Table1[[#This Row],[Actual Effort (Hours)]]="","",IF(Table1[[#This Row],[Estimated Effort (Hours)]]&lt;20,"L1",IF(Table1[[#This Row],[Estimated Effort (Hours)]]&lt;50,"L2",IF(Table1[[#This Row],[Estimated Effort (Hours)]]&lt;150,"L3",IF(Table1[[#This Row],[Estimated Effort (Hours)]]&lt;300,"L4","L5")))))</f>
        <v/>
      </c>
      <c r="S341" s="184" t="str">
        <f>IF(Table1[[#This Row],[Actual End Date]]="","",TEXT(Table1[[#This Row],[Actual End Date]],"mmm-yy"))</f>
        <v/>
      </c>
      <c r="T3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1" s="185" t="str">
        <f>IFERROR((Table1[[#This Row],[Actual Effort (Hours)]]-Table1[[#This Row],[Estimated Effort (Hours)]])/Table1[[#This Row],[Estimated Effort (Hours)]],"")</f>
        <v/>
      </c>
      <c r="V341" s="149"/>
    </row>
    <row r="342" spans="2:22">
      <c r="B342" s="125"/>
      <c r="C342" s="116"/>
      <c r="D342" s="143"/>
      <c r="E342" s="123"/>
      <c r="F342" s="143"/>
      <c r="G342" s="129"/>
      <c r="H342" s="124"/>
      <c r="I342" s="124"/>
      <c r="J342" s="129"/>
      <c r="K342" s="194"/>
      <c r="L342" s="194"/>
      <c r="M342" s="129"/>
      <c r="N342" s="129" t="e">
        <f>Table1[[#This Row],[Estimated Effort (Hours)]]/NETWORKDAYS(Table1[[#This Row],[Planned Start Date]],Table1[[#This Row],[Planned End Date]])</f>
        <v>#DIV/0!</v>
      </c>
      <c r="O342" s="178">
        <f>NETWORKDAYS(Table1[[#This Row],[Planned Start Date]],Table1[[#This Row],[Planned End Date]])</f>
        <v>0</v>
      </c>
      <c r="P342" s="178">
        <f>NETWORKDAYS(Table1[[#This Row],[Planned Start Date]],$P$7)</f>
        <v>30643</v>
      </c>
      <c r="Q342" s="129"/>
      <c r="R342" s="183" t="str">
        <f>IF(Table1[[#This Row],[Actual Effort (Hours)]]="","",IF(Table1[[#This Row],[Estimated Effort (Hours)]]&lt;20,"L1",IF(Table1[[#This Row],[Estimated Effort (Hours)]]&lt;50,"L2",IF(Table1[[#This Row],[Estimated Effort (Hours)]]&lt;150,"L3",IF(Table1[[#This Row],[Estimated Effort (Hours)]]&lt;300,"L4","L5")))))</f>
        <v/>
      </c>
      <c r="S342" s="184" t="str">
        <f>IF(Table1[[#This Row],[Actual End Date]]="","",TEXT(Table1[[#This Row],[Actual End Date]],"mmm-yy"))</f>
        <v/>
      </c>
      <c r="T3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2" s="185" t="str">
        <f>IFERROR((Table1[[#This Row],[Actual Effort (Hours)]]-Table1[[#This Row],[Estimated Effort (Hours)]])/Table1[[#This Row],[Estimated Effort (Hours)]],"")</f>
        <v/>
      </c>
      <c r="V342" s="149"/>
    </row>
    <row r="343" spans="2:22">
      <c r="B343" s="125"/>
      <c r="C343" s="116"/>
      <c r="D343" s="143"/>
      <c r="E343" s="123"/>
      <c r="F343" s="143"/>
      <c r="G343" s="129"/>
      <c r="H343" s="124"/>
      <c r="I343" s="124"/>
      <c r="J343" s="129"/>
      <c r="K343" s="194"/>
      <c r="L343" s="194"/>
      <c r="M343" s="129"/>
      <c r="N343" s="129" t="e">
        <f>Table1[[#This Row],[Estimated Effort (Hours)]]/NETWORKDAYS(Table1[[#This Row],[Planned Start Date]],Table1[[#This Row],[Planned End Date]])</f>
        <v>#DIV/0!</v>
      </c>
      <c r="O343" s="178">
        <f>NETWORKDAYS(Table1[[#This Row],[Planned Start Date]],Table1[[#This Row],[Planned End Date]])</f>
        <v>0</v>
      </c>
      <c r="P343" s="178">
        <f>NETWORKDAYS(Table1[[#This Row],[Planned Start Date]],$P$7)</f>
        <v>30643</v>
      </c>
      <c r="Q343" s="129"/>
      <c r="R343" s="183" t="str">
        <f>IF(Table1[[#This Row],[Actual Effort (Hours)]]="","",IF(Table1[[#This Row],[Estimated Effort (Hours)]]&lt;20,"L1",IF(Table1[[#This Row],[Estimated Effort (Hours)]]&lt;50,"L2",IF(Table1[[#This Row],[Estimated Effort (Hours)]]&lt;150,"L3",IF(Table1[[#This Row],[Estimated Effort (Hours)]]&lt;300,"L4","L5")))))</f>
        <v/>
      </c>
      <c r="S343" s="184" t="str">
        <f>IF(Table1[[#This Row],[Actual End Date]]="","",TEXT(Table1[[#This Row],[Actual End Date]],"mmm-yy"))</f>
        <v/>
      </c>
      <c r="T3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3" s="185" t="str">
        <f>IFERROR((Table1[[#This Row],[Actual Effort (Hours)]]-Table1[[#This Row],[Estimated Effort (Hours)]])/Table1[[#This Row],[Estimated Effort (Hours)]],"")</f>
        <v/>
      </c>
      <c r="V343" s="149"/>
    </row>
    <row r="344" spans="2:22">
      <c r="B344" s="125"/>
      <c r="C344" s="116"/>
      <c r="D344" s="143"/>
      <c r="E344" s="123"/>
      <c r="F344" s="143"/>
      <c r="G344" s="129"/>
      <c r="H344" s="124"/>
      <c r="I344" s="124"/>
      <c r="J344" s="129"/>
      <c r="K344" s="194"/>
      <c r="L344" s="194"/>
      <c r="M344" s="129"/>
      <c r="N344" s="129" t="e">
        <f>Table1[[#This Row],[Estimated Effort (Hours)]]/NETWORKDAYS(Table1[[#This Row],[Planned Start Date]],Table1[[#This Row],[Planned End Date]])</f>
        <v>#DIV/0!</v>
      </c>
      <c r="O344" s="178">
        <f>NETWORKDAYS(Table1[[#This Row],[Planned Start Date]],Table1[[#This Row],[Planned End Date]])</f>
        <v>0</v>
      </c>
      <c r="P344" s="178">
        <f>NETWORKDAYS(Table1[[#This Row],[Planned Start Date]],$P$7)</f>
        <v>30643</v>
      </c>
      <c r="Q344" s="129"/>
      <c r="R344" s="183" t="str">
        <f>IF(Table1[[#This Row],[Actual Effort (Hours)]]="","",IF(Table1[[#This Row],[Estimated Effort (Hours)]]&lt;20,"L1",IF(Table1[[#This Row],[Estimated Effort (Hours)]]&lt;50,"L2",IF(Table1[[#This Row],[Estimated Effort (Hours)]]&lt;150,"L3",IF(Table1[[#This Row],[Estimated Effort (Hours)]]&lt;300,"L4","L5")))))</f>
        <v/>
      </c>
      <c r="S344" s="184" t="str">
        <f>IF(Table1[[#This Row],[Actual End Date]]="","",TEXT(Table1[[#This Row],[Actual End Date]],"mmm-yy"))</f>
        <v/>
      </c>
      <c r="T3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4" s="185" t="str">
        <f>IFERROR((Table1[[#This Row],[Actual Effort (Hours)]]-Table1[[#This Row],[Estimated Effort (Hours)]])/Table1[[#This Row],[Estimated Effort (Hours)]],"")</f>
        <v/>
      </c>
      <c r="V344" s="149"/>
    </row>
    <row r="345" spans="2:22">
      <c r="B345" s="125"/>
      <c r="C345" s="116"/>
      <c r="D345" s="143"/>
      <c r="E345" s="123"/>
      <c r="F345" s="143"/>
      <c r="G345" s="129"/>
      <c r="H345" s="124"/>
      <c r="I345" s="124"/>
      <c r="J345" s="129"/>
      <c r="K345" s="194"/>
      <c r="L345" s="194"/>
      <c r="M345" s="129"/>
      <c r="N345" s="129" t="e">
        <f>Table1[[#This Row],[Estimated Effort (Hours)]]/NETWORKDAYS(Table1[[#This Row],[Planned Start Date]],Table1[[#This Row],[Planned End Date]])</f>
        <v>#DIV/0!</v>
      </c>
      <c r="O345" s="178">
        <f>NETWORKDAYS(Table1[[#This Row],[Planned Start Date]],Table1[[#This Row],[Planned End Date]])</f>
        <v>0</v>
      </c>
      <c r="P345" s="178">
        <f>NETWORKDAYS(Table1[[#This Row],[Planned Start Date]],$P$7)</f>
        <v>30643</v>
      </c>
      <c r="Q345" s="129"/>
      <c r="R345" s="183" t="str">
        <f>IF(Table1[[#This Row],[Actual Effort (Hours)]]="","",IF(Table1[[#This Row],[Estimated Effort (Hours)]]&lt;20,"L1",IF(Table1[[#This Row],[Estimated Effort (Hours)]]&lt;50,"L2",IF(Table1[[#This Row],[Estimated Effort (Hours)]]&lt;150,"L3",IF(Table1[[#This Row],[Estimated Effort (Hours)]]&lt;300,"L4","L5")))))</f>
        <v/>
      </c>
      <c r="S345" s="184" t="str">
        <f>IF(Table1[[#This Row],[Actual End Date]]="","",TEXT(Table1[[#This Row],[Actual End Date]],"mmm-yy"))</f>
        <v/>
      </c>
      <c r="T3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5" s="185" t="str">
        <f>IFERROR((Table1[[#This Row],[Actual Effort (Hours)]]-Table1[[#This Row],[Estimated Effort (Hours)]])/Table1[[#This Row],[Estimated Effort (Hours)]],"")</f>
        <v/>
      </c>
      <c r="V345" s="149"/>
    </row>
    <row r="346" spans="2:22">
      <c r="B346" s="125"/>
      <c r="C346" s="116"/>
      <c r="D346" s="143"/>
      <c r="E346" s="123"/>
      <c r="F346" s="143"/>
      <c r="G346" s="129"/>
      <c r="H346" s="124"/>
      <c r="I346" s="124"/>
      <c r="J346" s="129"/>
      <c r="K346" s="194"/>
      <c r="L346" s="194"/>
      <c r="M346" s="129"/>
      <c r="N346" s="129" t="e">
        <f>Table1[[#This Row],[Estimated Effort (Hours)]]/NETWORKDAYS(Table1[[#This Row],[Planned Start Date]],Table1[[#This Row],[Planned End Date]])</f>
        <v>#DIV/0!</v>
      </c>
      <c r="O346" s="178">
        <f>NETWORKDAYS(Table1[[#This Row],[Planned Start Date]],Table1[[#This Row],[Planned End Date]])</f>
        <v>0</v>
      </c>
      <c r="P346" s="178">
        <f>NETWORKDAYS(Table1[[#This Row],[Planned Start Date]],$P$7)</f>
        <v>30643</v>
      </c>
      <c r="Q346" s="129"/>
      <c r="R346" s="183" t="str">
        <f>IF(Table1[[#This Row],[Actual Effort (Hours)]]="","",IF(Table1[[#This Row],[Estimated Effort (Hours)]]&lt;20,"L1",IF(Table1[[#This Row],[Estimated Effort (Hours)]]&lt;50,"L2",IF(Table1[[#This Row],[Estimated Effort (Hours)]]&lt;150,"L3",IF(Table1[[#This Row],[Estimated Effort (Hours)]]&lt;300,"L4","L5")))))</f>
        <v/>
      </c>
      <c r="S346" s="184" t="str">
        <f>IF(Table1[[#This Row],[Actual End Date]]="","",TEXT(Table1[[#This Row],[Actual End Date]],"mmm-yy"))</f>
        <v/>
      </c>
      <c r="T3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6" s="185" t="str">
        <f>IFERROR((Table1[[#This Row],[Actual Effort (Hours)]]-Table1[[#This Row],[Estimated Effort (Hours)]])/Table1[[#This Row],[Estimated Effort (Hours)]],"")</f>
        <v/>
      </c>
      <c r="V346" s="149"/>
    </row>
    <row r="347" spans="2:22">
      <c r="B347" s="125"/>
      <c r="C347" s="116"/>
      <c r="D347" s="143"/>
      <c r="E347" s="123"/>
      <c r="F347" s="143"/>
      <c r="G347" s="129"/>
      <c r="H347" s="124"/>
      <c r="I347" s="124"/>
      <c r="J347" s="129"/>
      <c r="K347" s="194"/>
      <c r="L347" s="194"/>
      <c r="M347" s="129"/>
      <c r="N347" s="129" t="e">
        <f>Table1[[#This Row],[Estimated Effort (Hours)]]/NETWORKDAYS(Table1[[#This Row],[Planned Start Date]],Table1[[#This Row],[Planned End Date]])</f>
        <v>#DIV/0!</v>
      </c>
      <c r="O347" s="178">
        <f>NETWORKDAYS(Table1[[#This Row],[Planned Start Date]],Table1[[#This Row],[Planned End Date]])</f>
        <v>0</v>
      </c>
      <c r="P347" s="178">
        <f>NETWORKDAYS(Table1[[#This Row],[Planned Start Date]],$P$7)</f>
        <v>30643</v>
      </c>
      <c r="Q347" s="129"/>
      <c r="R347" s="183" t="str">
        <f>IF(Table1[[#This Row],[Actual Effort (Hours)]]="","",IF(Table1[[#This Row],[Estimated Effort (Hours)]]&lt;20,"L1",IF(Table1[[#This Row],[Estimated Effort (Hours)]]&lt;50,"L2",IF(Table1[[#This Row],[Estimated Effort (Hours)]]&lt;150,"L3",IF(Table1[[#This Row],[Estimated Effort (Hours)]]&lt;300,"L4","L5")))))</f>
        <v/>
      </c>
      <c r="S347" s="184" t="str">
        <f>IF(Table1[[#This Row],[Actual End Date]]="","",TEXT(Table1[[#This Row],[Actual End Date]],"mmm-yy"))</f>
        <v/>
      </c>
      <c r="T3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7" s="185" t="str">
        <f>IFERROR((Table1[[#This Row],[Actual Effort (Hours)]]-Table1[[#This Row],[Estimated Effort (Hours)]])/Table1[[#This Row],[Estimated Effort (Hours)]],"")</f>
        <v/>
      </c>
      <c r="V347" s="149"/>
    </row>
    <row r="348" spans="2:22">
      <c r="B348" s="125"/>
      <c r="C348" s="116"/>
      <c r="D348" s="143"/>
      <c r="E348" s="123"/>
      <c r="F348" s="143"/>
      <c r="G348" s="129"/>
      <c r="H348" s="124"/>
      <c r="I348" s="124"/>
      <c r="J348" s="129"/>
      <c r="K348" s="194"/>
      <c r="L348" s="194"/>
      <c r="M348" s="129"/>
      <c r="N348" s="129" t="e">
        <f>Table1[[#This Row],[Estimated Effort (Hours)]]/NETWORKDAYS(Table1[[#This Row],[Planned Start Date]],Table1[[#This Row],[Planned End Date]])</f>
        <v>#DIV/0!</v>
      </c>
      <c r="O348" s="178">
        <f>NETWORKDAYS(Table1[[#This Row],[Planned Start Date]],Table1[[#This Row],[Planned End Date]])</f>
        <v>0</v>
      </c>
      <c r="P348" s="178">
        <f>NETWORKDAYS(Table1[[#This Row],[Planned Start Date]],$P$7)</f>
        <v>30643</v>
      </c>
      <c r="Q348" s="129"/>
      <c r="R348" s="183" t="str">
        <f>IF(Table1[[#This Row],[Actual Effort (Hours)]]="","",IF(Table1[[#This Row],[Estimated Effort (Hours)]]&lt;20,"L1",IF(Table1[[#This Row],[Estimated Effort (Hours)]]&lt;50,"L2",IF(Table1[[#This Row],[Estimated Effort (Hours)]]&lt;150,"L3",IF(Table1[[#This Row],[Estimated Effort (Hours)]]&lt;300,"L4","L5")))))</f>
        <v/>
      </c>
      <c r="S348" s="184" t="str">
        <f>IF(Table1[[#This Row],[Actual End Date]]="","",TEXT(Table1[[#This Row],[Actual End Date]],"mmm-yy"))</f>
        <v/>
      </c>
      <c r="T3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8" s="185" t="str">
        <f>IFERROR((Table1[[#This Row],[Actual Effort (Hours)]]-Table1[[#This Row],[Estimated Effort (Hours)]])/Table1[[#This Row],[Estimated Effort (Hours)]],"")</f>
        <v/>
      </c>
      <c r="V348" s="149"/>
    </row>
    <row r="349" spans="2:22">
      <c r="B349" s="125"/>
      <c r="C349" s="116"/>
      <c r="D349" s="143"/>
      <c r="E349" s="123"/>
      <c r="F349" s="143"/>
      <c r="G349" s="129"/>
      <c r="H349" s="124"/>
      <c r="I349" s="124"/>
      <c r="J349" s="129"/>
      <c r="K349" s="194"/>
      <c r="L349" s="194"/>
      <c r="M349" s="129"/>
      <c r="N349" s="129" t="e">
        <f>Table1[[#This Row],[Estimated Effort (Hours)]]/NETWORKDAYS(Table1[[#This Row],[Planned Start Date]],Table1[[#This Row],[Planned End Date]])</f>
        <v>#DIV/0!</v>
      </c>
      <c r="O349" s="178">
        <f>NETWORKDAYS(Table1[[#This Row],[Planned Start Date]],Table1[[#This Row],[Planned End Date]])</f>
        <v>0</v>
      </c>
      <c r="P349" s="178">
        <f>NETWORKDAYS(Table1[[#This Row],[Planned Start Date]],$P$7)</f>
        <v>30643</v>
      </c>
      <c r="Q349" s="129"/>
      <c r="R349" s="183" t="str">
        <f>IF(Table1[[#This Row],[Actual Effort (Hours)]]="","",IF(Table1[[#This Row],[Estimated Effort (Hours)]]&lt;20,"L1",IF(Table1[[#This Row],[Estimated Effort (Hours)]]&lt;50,"L2",IF(Table1[[#This Row],[Estimated Effort (Hours)]]&lt;150,"L3",IF(Table1[[#This Row],[Estimated Effort (Hours)]]&lt;300,"L4","L5")))))</f>
        <v/>
      </c>
      <c r="S349" s="184" t="str">
        <f>IF(Table1[[#This Row],[Actual End Date]]="","",TEXT(Table1[[#This Row],[Actual End Date]],"mmm-yy"))</f>
        <v/>
      </c>
      <c r="T3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49" s="185" t="str">
        <f>IFERROR((Table1[[#This Row],[Actual Effort (Hours)]]-Table1[[#This Row],[Estimated Effort (Hours)]])/Table1[[#This Row],[Estimated Effort (Hours)]],"")</f>
        <v/>
      </c>
      <c r="V349" s="149"/>
    </row>
    <row r="350" spans="2:22">
      <c r="B350" s="125"/>
      <c r="C350" s="116"/>
      <c r="D350" s="143"/>
      <c r="E350" s="123"/>
      <c r="F350" s="143"/>
      <c r="G350" s="129"/>
      <c r="H350" s="124"/>
      <c r="I350" s="124"/>
      <c r="J350" s="129"/>
      <c r="K350" s="194"/>
      <c r="L350" s="194"/>
      <c r="M350" s="129"/>
      <c r="N350" s="129" t="e">
        <f>Table1[[#This Row],[Estimated Effort (Hours)]]/NETWORKDAYS(Table1[[#This Row],[Planned Start Date]],Table1[[#This Row],[Planned End Date]])</f>
        <v>#DIV/0!</v>
      </c>
      <c r="O350" s="178">
        <f>NETWORKDAYS(Table1[[#This Row],[Planned Start Date]],Table1[[#This Row],[Planned End Date]])</f>
        <v>0</v>
      </c>
      <c r="P350" s="178">
        <f>NETWORKDAYS(Table1[[#This Row],[Planned Start Date]],$P$7)</f>
        <v>30643</v>
      </c>
      <c r="Q350" s="129"/>
      <c r="R350" s="183" t="str">
        <f>IF(Table1[[#This Row],[Actual Effort (Hours)]]="","",IF(Table1[[#This Row],[Estimated Effort (Hours)]]&lt;20,"L1",IF(Table1[[#This Row],[Estimated Effort (Hours)]]&lt;50,"L2",IF(Table1[[#This Row],[Estimated Effort (Hours)]]&lt;150,"L3",IF(Table1[[#This Row],[Estimated Effort (Hours)]]&lt;300,"L4","L5")))))</f>
        <v/>
      </c>
      <c r="S350" s="184" t="str">
        <f>IF(Table1[[#This Row],[Actual End Date]]="","",TEXT(Table1[[#This Row],[Actual End Date]],"mmm-yy"))</f>
        <v/>
      </c>
      <c r="T3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0" s="185" t="str">
        <f>IFERROR((Table1[[#This Row],[Actual Effort (Hours)]]-Table1[[#This Row],[Estimated Effort (Hours)]])/Table1[[#This Row],[Estimated Effort (Hours)]],"")</f>
        <v/>
      </c>
      <c r="V350" s="149"/>
    </row>
    <row r="351" spans="2:22">
      <c r="B351" s="125"/>
      <c r="C351" s="116"/>
      <c r="D351" s="143"/>
      <c r="E351" s="123"/>
      <c r="F351" s="143"/>
      <c r="G351" s="129"/>
      <c r="H351" s="124"/>
      <c r="I351" s="124"/>
      <c r="J351" s="129"/>
      <c r="K351" s="194"/>
      <c r="L351" s="194"/>
      <c r="M351" s="129"/>
      <c r="N351" s="129" t="e">
        <f>Table1[[#This Row],[Estimated Effort (Hours)]]/NETWORKDAYS(Table1[[#This Row],[Planned Start Date]],Table1[[#This Row],[Planned End Date]])</f>
        <v>#DIV/0!</v>
      </c>
      <c r="O351" s="178">
        <f>NETWORKDAYS(Table1[[#This Row],[Planned Start Date]],Table1[[#This Row],[Planned End Date]])</f>
        <v>0</v>
      </c>
      <c r="P351" s="178">
        <f>NETWORKDAYS(Table1[[#This Row],[Planned Start Date]],$P$7)</f>
        <v>30643</v>
      </c>
      <c r="Q351" s="129"/>
      <c r="R351" s="183" t="str">
        <f>IF(Table1[[#This Row],[Actual Effort (Hours)]]="","",IF(Table1[[#This Row],[Estimated Effort (Hours)]]&lt;20,"L1",IF(Table1[[#This Row],[Estimated Effort (Hours)]]&lt;50,"L2",IF(Table1[[#This Row],[Estimated Effort (Hours)]]&lt;150,"L3",IF(Table1[[#This Row],[Estimated Effort (Hours)]]&lt;300,"L4","L5")))))</f>
        <v/>
      </c>
      <c r="S351" s="184" t="str">
        <f>IF(Table1[[#This Row],[Actual End Date]]="","",TEXT(Table1[[#This Row],[Actual End Date]],"mmm-yy"))</f>
        <v/>
      </c>
      <c r="T3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1" s="185" t="str">
        <f>IFERROR((Table1[[#This Row],[Actual Effort (Hours)]]-Table1[[#This Row],[Estimated Effort (Hours)]])/Table1[[#This Row],[Estimated Effort (Hours)]],"")</f>
        <v/>
      </c>
      <c r="V351" s="149"/>
    </row>
    <row r="352" spans="2:22">
      <c r="B352" s="125"/>
      <c r="C352" s="123"/>
      <c r="D352" s="143"/>
      <c r="E352" s="123"/>
      <c r="F352" s="143"/>
      <c r="G352" s="129"/>
      <c r="H352" s="124"/>
      <c r="I352" s="124"/>
      <c r="J352" s="129"/>
      <c r="K352" s="194"/>
      <c r="L352" s="194"/>
      <c r="M352" s="129"/>
      <c r="N352" s="129" t="e">
        <f>Table1[[#This Row],[Estimated Effort (Hours)]]/NETWORKDAYS(Table1[[#This Row],[Planned Start Date]],Table1[[#This Row],[Planned End Date]])</f>
        <v>#DIV/0!</v>
      </c>
      <c r="O352" s="178">
        <f>NETWORKDAYS(Table1[[#This Row],[Planned Start Date]],Table1[[#This Row],[Planned End Date]])</f>
        <v>0</v>
      </c>
      <c r="P352" s="178">
        <f>NETWORKDAYS(Table1[[#This Row],[Planned Start Date]],$P$7)</f>
        <v>30643</v>
      </c>
      <c r="Q352" s="129"/>
      <c r="R352" s="183" t="str">
        <f>IF(Table1[[#This Row],[Actual Effort (Hours)]]="","",IF(Table1[[#This Row],[Estimated Effort (Hours)]]&lt;20,"L1",IF(Table1[[#This Row],[Estimated Effort (Hours)]]&lt;50,"L2",IF(Table1[[#This Row],[Estimated Effort (Hours)]]&lt;150,"L3",IF(Table1[[#This Row],[Estimated Effort (Hours)]]&lt;300,"L4","L5")))))</f>
        <v/>
      </c>
      <c r="S352" s="184" t="str">
        <f>IF(Table1[[#This Row],[Actual End Date]]="","",TEXT(Table1[[#This Row],[Actual End Date]],"mmm-yy"))</f>
        <v/>
      </c>
      <c r="T3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2" s="185" t="str">
        <f>IFERROR((Table1[[#This Row],[Actual Effort (Hours)]]-Table1[[#This Row],[Estimated Effort (Hours)]])/Table1[[#This Row],[Estimated Effort (Hours)]],"")</f>
        <v/>
      </c>
      <c r="V352" s="149"/>
    </row>
    <row r="353" spans="2:22">
      <c r="B353" s="125"/>
      <c r="C353" s="123"/>
      <c r="D353" s="143"/>
      <c r="E353" s="123"/>
      <c r="F353" s="143"/>
      <c r="G353" s="129"/>
      <c r="H353" s="124"/>
      <c r="I353" s="124"/>
      <c r="J353" s="129"/>
      <c r="K353" s="194"/>
      <c r="L353" s="194"/>
      <c r="M353" s="129"/>
      <c r="N353" s="129" t="e">
        <f>Table1[[#This Row],[Estimated Effort (Hours)]]/NETWORKDAYS(Table1[[#This Row],[Planned Start Date]],Table1[[#This Row],[Planned End Date]])</f>
        <v>#DIV/0!</v>
      </c>
      <c r="O353" s="178">
        <f>NETWORKDAYS(Table1[[#This Row],[Planned Start Date]],Table1[[#This Row],[Planned End Date]])</f>
        <v>0</v>
      </c>
      <c r="P353" s="178">
        <f>NETWORKDAYS(Table1[[#This Row],[Planned Start Date]],$P$7)</f>
        <v>30643</v>
      </c>
      <c r="Q353" s="129"/>
      <c r="R353" s="183" t="str">
        <f>IF(Table1[[#This Row],[Actual Effort (Hours)]]="","",IF(Table1[[#This Row],[Estimated Effort (Hours)]]&lt;20,"L1",IF(Table1[[#This Row],[Estimated Effort (Hours)]]&lt;50,"L2",IF(Table1[[#This Row],[Estimated Effort (Hours)]]&lt;150,"L3",IF(Table1[[#This Row],[Estimated Effort (Hours)]]&lt;300,"L4","L5")))))</f>
        <v/>
      </c>
      <c r="S353" s="184" t="str">
        <f>IF(Table1[[#This Row],[Actual End Date]]="","",TEXT(Table1[[#This Row],[Actual End Date]],"mmm-yy"))</f>
        <v/>
      </c>
      <c r="T3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3" s="185" t="str">
        <f>IFERROR((Table1[[#This Row],[Actual Effort (Hours)]]-Table1[[#This Row],[Estimated Effort (Hours)]])/Table1[[#This Row],[Estimated Effort (Hours)]],"")</f>
        <v/>
      </c>
      <c r="V353" s="149"/>
    </row>
    <row r="354" spans="2:22">
      <c r="B354" s="125"/>
      <c r="C354" s="123"/>
      <c r="D354" s="143"/>
      <c r="E354" s="123"/>
      <c r="F354" s="143"/>
      <c r="G354" s="129"/>
      <c r="H354" s="124"/>
      <c r="I354" s="124"/>
      <c r="J354" s="129"/>
      <c r="K354" s="194"/>
      <c r="L354" s="194"/>
      <c r="M354" s="129"/>
      <c r="N354" s="129" t="e">
        <f>Table1[[#This Row],[Estimated Effort (Hours)]]/NETWORKDAYS(Table1[[#This Row],[Planned Start Date]],Table1[[#This Row],[Planned End Date]])</f>
        <v>#DIV/0!</v>
      </c>
      <c r="O354" s="178">
        <f>NETWORKDAYS(Table1[[#This Row],[Planned Start Date]],Table1[[#This Row],[Planned End Date]])</f>
        <v>0</v>
      </c>
      <c r="P354" s="178">
        <f>NETWORKDAYS(Table1[[#This Row],[Planned Start Date]],$P$7)</f>
        <v>30643</v>
      </c>
      <c r="Q354" s="129"/>
      <c r="R354" s="183" t="str">
        <f>IF(Table1[[#This Row],[Actual Effort (Hours)]]="","",IF(Table1[[#This Row],[Estimated Effort (Hours)]]&lt;20,"L1",IF(Table1[[#This Row],[Estimated Effort (Hours)]]&lt;50,"L2",IF(Table1[[#This Row],[Estimated Effort (Hours)]]&lt;150,"L3",IF(Table1[[#This Row],[Estimated Effort (Hours)]]&lt;300,"L4","L5")))))</f>
        <v/>
      </c>
      <c r="S354" s="184" t="str">
        <f>IF(Table1[[#This Row],[Actual End Date]]="","",TEXT(Table1[[#This Row],[Actual End Date]],"mmm-yy"))</f>
        <v/>
      </c>
      <c r="T3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4" s="185" t="str">
        <f>IFERROR((Table1[[#This Row],[Actual Effort (Hours)]]-Table1[[#This Row],[Estimated Effort (Hours)]])/Table1[[#This Row],[Estimated Effort (Hours)]],"")</f>
        <v/>
      </c>
      <c r="V354" s="149"/>
    </row>
    <row r="355" spans="2:22">
      <c r="B355" s="125"/>
      <c r="C355" s="123"/>
      <c r="D355" s="143"/>
      <c r="E355" s="123"/>
      <c r="F355" s="143"/>
      <c r="G355" s="129"/>
      <c r="H355" s="124"/>
      <c r="I355" s="124"/>
      <c r="J355" s="129"/>
      <c r="K355" s="194"/>
      <c r="L355" s="194"/>
      <c r="M355" s="129"/>
      <c r="N355" s="129" t="e">
        <f>Table1[[#This Row],[Estimated Effort (Hours)]]/NETWORKDAYS(Table1[[#This Row],[Planned Start Date]],Table1[[#This Row],[Planned End Date]])</f>
        <v>#DIV/0!</v>
      </c>
      <c r="O355" s="178">
        <f>NETWORKDAYS(Table1[[#This Row],[Planned Start Date]],Table1[[#This Row],[Planned End Date]])</f>
        <v>0</v>
      </c>
      <c r="P355" s="178">
        <f>NETWORKDAYS(Table1[[#This Row],[Planned Start Date]],$P$7)</f>
        <v>30643</v>
      </c>
      <c r="Q355" s="129"/>
      <c r="R355" s="183" t="str">
        <f>IF(Table1[[#This Row],[Actual Effort (Hours)]]="","",IF(Table1[[#This Row],[Estimated Effort (Hours)]]&lt;20,"L1",IF(Table1[[#This Row],[Estimated Effort (Hours)]]&lt;50,"L2",IF(Table1[[#This Row],[Estimated Effort (Hours)]]&lt;150,"L3",IF(Table1[[#This Row],[Estimated Effort (Hours)]]&lt;300,"L4","L5")))))</f>
        <v/>
      </c>
      <c r="S355" s="184" t="str">
        <f>IF(Table1[[#This Row],[Actual End Date]]="","",TEXT(Table1[[#This Row],[Actual End Date]],"mmm-yy"))</f>
        <v/>
      </c>
      <c r="T3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5" s="185" t="str">
        <f>IFERROR((Table1[[#This Row],[Actual Effort (Hours)]]-Table1[[#This Row],[Estimated Effort (Hours)]])/Table1[[#This Row],[Estimated Effort (Hours)]],"")</f>
        <v/>
      </c>
      <c r="V355" s="149"/>
    </row>
    <row r="356" spans="2:22">
      <c r="B356" s="125"/>
      <c r="C356" s="123"/>
      <c r="D356" s="143"/>
      <c r="E356" s="123"/>
      <c r="F356" s="143"/>
      <c r="G356" s="129"/>
      <c r="H356" s="124"/>
      <c r="I356" s="124"/>
      <c r="J356" s="129"/>
      <c r="K356" s="194"/>
      <c r="L356" s="194"/>
      <c r="M356" s="129"/>
      <c r="N356" s="129" t="e">
        <f>Table1[[#This Row],[Estimated Effort (Hours)]]/NETWORKDAYS(Table1[[#This Row],[Planned Start Date]],Table1[[#This Row],[Planned End Date]])</f>
        <v>#DIV/0!</v>
      </c>
      <c r="O356" s="178">
        <f>NETWORKDAYS(Table1[[#This Row],[Planned Start Date]],Table1[[#This Row],[Planned End Date]])</f>
        <v>0</v>
      </c>
      <c r="P356" s="178">
        <f>NETWORKDAYS(Table1[[#This Row],[Planned Start Date]],$P$7)</f>
        <v>30643</v>
      </c>
      <c r="Q356" s="129"/>
      <c r="R356" s="183" t="str">
        <f>IF(Table1[[#This Row],[Actual Effort (Hours)]]="","",IF(Table1[[#This Row],[Estimated Effort (Hours)]]&lt;20,"L1",IF(Table1[[#This Row],[Estimated Effort (Hours)]]&lt;50,"L2",IF(Table1[[#This Row],[Estimated Effort (Hours)]]&lt;150,"L3",IF(Table1[[#This Row],[Estimated Effort (Hours)]]&lt;300,"L4","L5")))))</f>
        <v/>
      </c>
      <c r="S356" s="184" t="str">
        <f>IF(Table1[[#This Row],[Actual End Date]]="","",TEXT(Table1[[#This Row],[Actual End Date]],"mmm-yy"))</f>
        <v/>
      </c>
      <c r="T3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6" s="185" t="str">
        <f>IFERROR((Table1[[#This Row],[Actual Effort (Hours)]]-Table1[[#This Row],[Estimated Effort (Hours)]])/Table1[[#This Row],[Estimated Effort (Hours)]],"")</f>
        <v/>
      </c>
      <c r="V356" s="149"/>
    </row>
    <row r="357" spans="2:22">
      <c r="B357" s="125"/>
      <c r="C357" s="123"/>
      <c r="D357" s="143"/>
      <c r="E357" s="123"/>
      <c r="F357" s="143"/>
      <c r="G357" s="129"/>
      <c r="H357" s="124"/>
      <c r="I357" s="124"/>
      <c r="J357" s="129"/>
      <c r="K357" s="194"/>
      <c r="L357" s="194"/>
      <c r="M357" s="129"/>
      <c r="N357" s="129" t="e">
        <f>Table1[[#This Row],[Estimated Effort (Hours)]]/NETWORKDAYS(Table1[[#This Row],[Planned Start Date]],Table1[[#This Row],[Planned End Date]])</f>
        <v>#DIV/0!</v>
      </c>
      <c r="O357" s="178">
        <f>NETWORKDAYS(Table1[[#This Row],[Planned Start Date]],Table1[[#This Row],[Planned End Date]])</f>
        <v>0</v>
      </c>
      <c r="P357" s="178">
        <f>NETWORKDAYS(Table1[[#This Row],[Planned Start Date]],$P$7)</f>
        <v>30643</v>
      </c>
      <c r="Q357" s="129"/>
      <c r="R357" s="183" t="str">
        <f>IF(Table1[[#This Row],[Actual Effort (Hours)]]="","",IF(Table1[[#This Row],[Estimated Effort (Hours)]]&lt;20,"L1",IF(Table1[[#This Row],[Estimated Effort (Hours)]]&lt;50,"L2",IF(Table1[[#This Row],[Estimated Effort (Hours)]]&lt;150,"L3",IF(Table1[[#This Row],[Estimated Effort (Hours)]]&lt;300,"L4","L5")))))</f>
        <v/>
      </c>
      <c r="S357" s="184" t="str">
        <f>IF(Table1[[#This Row],[Actual End Date]]="","",TEXT(Table1[[#This Row],[Actual End Date]],"mmm-yy"))</f>
        <v/>
      </c>
      <c r="T3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7" s="185" t="str">
        <f>IFERROR((Table1[[#This Row],[Actual Effort (Hours)]]-Table1[[#This Row],[Estimated Effort (Hours)]])/Table1[[#This Row],[Estimated Effort (Hours)]],"")</f>
        <v/>
      </c>
      <c r="V357" s="149"/>
    </row>
    <row r="358" spans="2:22">
      <c r="B358" s="125"/>
      <c r="C358" s="123"/>
      <c r="D358" s="143"/>
      <c r="E358" s="123"/>
      <c r="F358" s="143"/>
      <c r="G358" s="129"/>
      <c r="H358" s="124"/>
      <c r="I358" s="124"/>
      <c r="J358" s="129"/>
      <c r="K358" s="194"/>
      <c r="L358" s="194"/>
      <c r="M358" s="129"/>
      <c r="N358" s="129" t="e">
        <f>Table1[[#This Row],[Estimated Effort (Hours)]]/NETWORKDAYS(Table1[[#This Row],[Planned Start Date]],Table1[[#This Row],[Planned End Date]])</f>
        <v>#DIV/0!</v>
      </c>
      <c r="O358" s="178">
        <f>NETWORKDAYS(Table1[[#This Row],[Planned Start Date]],Table1[[#This Row],[Planned End Date]])</f>
        <v>0</v>
      </c>
      <c r="P358" s="178">
        <f>NETWORKDAYS(Table1[[#This Row],[Planned Start Date]],$P$7)</f>
        <v>30643</v>
      </c>
      <c r="Q358" s="129"/>
      <c r="R358" s="183" t="str">
        <f>IF(Table1[[#This Row],[Actual Effort (Hours)]]="","",IF(Table1[[#This Row],[Estimated Effort (Hours)]]&lt;20,"L1",IF(Table1[[#This Row],[Estimated Effort (Hours)]]&lt;50,"L2",IF(Table1[[#This Row],[Estimated Effort (Hours)]]&lt;150,"L3",IF(Table1[[#This Row],[Estimated Effort (Hours)]]&lt;300,"L4","L5")))))</f>
        <v/>
      </c>
      <c r="S358" s="184" t="str">
        <f>IF(Table1[[#This Row],[Actual End Date]]="","",TEXT(Table1[[#This Row],[Actual End Date]],"mmm-yy"))</f>
        <v/>
      </c>
      <c r="T3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8" s="185" t="str">
        <f>IFERROR((Table1[[#This Row],[Actual Effort (Hours)]]-Table1[[#This Row],[Estimated Effort (Hours)]])/Table1[[#This Row],[Estimated Effort (Hours)]],"")</f>
        <v/>
      </c>
      <c r="V358" s="149"/>
    </row>
    <row r="359" spans="2:22">
      <c r="B359" s="125"/>
      <c r="C359" s="123"/>
      <c r="D359" s="143"/>
      <c r="E359" s="123"/>
      <c r="F359" s="143"/>
      <c r="G359" s="129"/>
      <c r="H359" s="124"/>
      <c r="I359" s="124"/>
      <c r="J359" s="129"/>
      <c r="K359" s="194"/>
      <c r="L359" s="194"/>
      <c r="M359" s="129"/>
      <c r="N359" s="129" t="e">
        <f>Table1[[#This Row],[Estimated Effort (Hours)]]/NETWORKDAYS(Table1[[#This Row],[Planned Start Date]],Table1[[#This Row],[Planned End Date]])</f>
        <v>#DIV/0!</v>
      </c>
      <c r="O359" s="178">
        <f>NETWORKDAYS(Table1[[#This Row],[Planned Start Date]],Table1[[#This Row],[Planned End Date]])</f>
        <v>0</v>
      </c>
      <c r="P359" s="178">
        <f>NETWORKDAYS(Table1[[#This Row],[Planned Start Date]],$P$7)</f>
        <v>30643</v>
      </c>
      <c r="Q359" s="129"/>
      <c r="R359" s="183" t="str">
        <f>IF(Table1[[#This Row],[Actual Effort (Hours)]]="","",IF(Table1[[#This Row],[Estimated Effort (Hours)]]&lt;20,"L1",IF(Table1[[#This Row],[Estimated Effort (Hours)]]&lt;50,"L2",IF(Table1[[#This Row],[Estimated Effort (Hours)]]&lt;150,"L3",IF(Table1[[#This Row],[Estimated Effort (Hours)]]&lt;300,"L4","L5")))))</f>
        <v/>
      </c>
      <c r="S359" s="184" t="str">
        <f>IF(Table1[[#This Row],[Actual End Date]]="","",TEXT(Table1[[#This Row],[Actual End Date]],"mmm-yy"))</f>
        <v/>
      </c>
      <c r="T3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59" s="185" t="str">
        <f>IFERROR((Table1[[#This Row],[Actual Effort (Hours)]]-Table1[[#This Row],[Estimated Effort (Hours)]])/Table1[[#This Row],[Estimated Effort (Hours)]],"")</f>
        <v/>
      </c>
      <c r="V359" s="149"/>
    </row>
    <row r="360" spans="2:22">
      <c r="B360" s="125"/>
      <c r="C360" s="123"/>
      <c r="D360" s="143"/>
      <c r="E360" s="123"/>
      <c r="F360" s="143"/>
      <c r="G360" s="129"/>
      <c r="H360" s="124"/>
      <c r="I360" s="124"/>
      <c r="J360" s="129"/>
      <c r="K360" s="194"/>
      <c r="L360" s="194"/>
      <c r="M360" s="129"/>
      <c r="N360" s="129" t="e">
        <f>Table1[[#This Row],[Estimated Effort (Hours)]]/NETWORKDAYS(Table1[[#This Row],[Planned Start Date]],Table1[[#This Row],[Planned End Date]])</f>
        <v>#DIV/0!</v>
      </c>
      <c r="O360" s="178">
        <f>NETWORKDAYS(Table1[[#This Row],[Planned Start Date]],Table1[[#This Row],[Planned End Date]])</f>
        <v>0</v>
      </c>
      <c r="P360" s="178">
        <f>NETWORKDAYS(Table1[[#This Row],[Planned Start Date]],$P$7)</f>
        <v>30643</v>
      </c>
      <c r="Q360" s="129"/>
      <c r="R360" s="183" t="str">
        <f>IF(Table1[[#This Row],[Actual Effort (Hours)]]="","",IF(Table1[[#This Row],[Estimated Effort (Hours)]]&lt;20,"L1",IF(Table1[[#This Row],[Estimated Effort (Hours)]]&lt;50,"L2",IF(Table1[[#This Row],[Estimated Effort (Hours)]]&lt;150,"L3",IF(Table1[[#This Row],[Estimated Effort (Hours)]]&lt;300,"L4","L5")))))</f>
        <v/>
      </c>
      <c r="S360" s="184" t="str">
        <f>IF(Table1[[#This Row],[Actual End Date]]="","",TEXT(Table1[[#This Row],[Actual End Date]],"mmm-yy"))</f>
        <v/>
      </c>
      <c r="T3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0" s="185" t="str">
        <f>IFERROR((Table1[[#This Row],[Actual Effort (Hours)]]-Table1[[#This Row],[Estimated Effort (Hours)]])/Table1[[#This Row],[Estimated Effort (Hours)]],"")</f>
        <v/>
      </c>
      <c r="V360" s="149"/>
    </row>
    <row r="361" spans="2:22">
      <c r="B361" s="125"/>
      <c r="C361" s="123"/>
      <c r="D361" s="143"/>
      <c r="E361" s="123"/>
      <c r="F361" s="143"/>
      <c r="G361" s="129"/>
      <c r="H361" s="124"/>
      <c r="I361" s="124"/>
      <c r="J361" s="129"/>
      <c r="K361" s="194"/>
      <c r="L361" s="194"/>
      <c r="M361" s="129"/>
      <c r="N361" s="129" t="e">
        <f>Table1[[#This Row],[Estimated Effort (Hours)]]/NETWORKDAYS(Table1[[#This Row],[Planned Start Date]],Table1[[#This Row],[Planned End Date]])</f>
        <v>#DIV/0!</v>
      </c>
      <c r="O361" s="178">
        <f>NETWORKDAYS(Table1[[#This Row],[Planned Start Date]],Table1[[#This Row],[Planned End Date]])</f>
        <v>0</v>
      </c>
      <c r="P361" s="178">
        <f>NETWORKDAYS(Table1[[#This Row],[Planned Start Date]],$P$7)</f>
        <v>30643</v>
      </c>
      <c r="Q361" s="129"/>
      <c r="R361" s="183" t="str">
        <f>IF(Table1[[#This Row],[Actual Effort (Hours)]]="","",IF(Table1[[#This Row],[Estimated Effort (Hours)]]&lt;20,"L1",IF(Table1[[#This Row],[Estimated Effort (Hours)]]&lt;50,"L2",IF(Table1[[#This Row],[Estimated Effort (Hours)]]&lt;150,"L3",IF(Table1[[#This Row],[Estimated Effort (Hours)]]&lt;300,"L4","L5")))))</f>
        <v/>
      </c>
      <c r="S361" s="184" t="str">
        <f>IF(Table1[[#This Row],[Actual End Date]]="","",TEXT(Table1[[#This Row],[Actual End Date]],"mmm-yy"))</f>
        <v/>
      </c>
      <c r="T3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1" s="185" t="str">
        <f>IFERROR((Table1[[#This Row],[Actual Effort (Hours)]]-Table1[[#This Row],[Estimated Effort (Hours)]])/Table1[[#This Row],[Estimated Effort (Hours)]],"")</f>
        <v/>
      </c>
      <c r="V361" s="149"/>
    </row>
    <row r="362" spans="2:22">
      <c r="B362" s="125"/>
      <c r="C362" s="123"/>
      <c r="D362" s="143"/>
      <c r="E362" s="123"/>
      <c r="F362" s="143"/>
      <c r="G362" s="129"/>
      <c r="H362" s="124"/>
      <c r="I362" s="124"/>
      <c r="J362" s="129"/>
      <c r="K362" s="194"/>
      <c r="L362" s="194"/>
      <c r="M362" s="129"/>
      <c r="N362" s="129" t="e">
        <f>Table1[[#This Row],[Estimated Effort (Hours)]]/NETWORKDAYS(Table1[[#This Row],[Planned Start Date]],Table1[[#This Row],[Planned End Date]])</f>
        <v>#DIV/0!</v>
      </c>
      <c r="O362" s="178">
        <f>NETWORKDAYS(Table1[[#This Row],[Planned Start Date]],Table1[[#This Row],[Planned End Date]])</f>
        <v>0</v>
      </c>
      <c r="P362" s="178">
        <f>NETWORKDAYS(Table1[[#This Row],[Planned Start Date]],$P$7)</f>
        <v>30643</v>
      </c>
      <c r="Q362" s="129"/>
      <c r="R362" s="183" t="str">
        <f>IF(Table1[[#This Row],[Actual Effort (Hours)]]="","",IF(Table1[[#This Row],[Estimated Effort (Hours)]]&lt;20,"L1",IF(Table1[[#This Row],[Estimated Effort (Hours)]]&lt;50,"L2",IF(Table1[[#This Row],[Estimated Effort (Hours)]]&lt;150,"L3",IF(Table1[[#This Row],[Estimated Effort (Hours)]]&lt;300,"L4","L5")))))</f>
        <v/>
      </c>
      <c r="S362" s="184" t="str">
        <f>IF(Table1[[#This Row],[Actual End Date]]="","",TEXT(Table1[[#This Row],[Actual End Date]],"mmm-yy"))</f>
        <v/>
      </c>
      <c r="T3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2" s="185" t="str">
        <f>IFERROR((Table1[[#This Row],[Actual Effort (Hours)]]-Table1[[#This Row],[Estimated Effort (Hours)]])/Table1[[#This Row],[Estimated Effort (Hours)]],"")</f>
        <v/>
      </c>
      <c r="V362" s="149"/>
    </row>
    <row r="363" spans="2:22">
      <c r="B363" s="125"/>
      <c r="C363" s="123"/>
      <c r="D363" s="143"/>
      <c r="E363" s="123"/>
      <c r="F363" s="143"/>
      <c r="G363" s="129"/>
      <c r="H363" s="124"/>
      <c r="I363" s="124"/>
      <c r="J363" s="129"/>
      <c r="K363" s="194"/>
      <c r="L363" s="194"/>
      <c r="M363" s="129"/>
      <c r="N363" s="129" t="e">
        <f>Table1[[#This Row],[Estimated Effort (Hours)]]/NETWORKDAYS(Table1[[#This Row],[Planned Start Date]],Table1[[#This Row],[Planned End Date]])</f>
        <v>#DIV/0!</v>
      </c>
      <c r="O363" s="178">
        <f>NETWORKDAYS(Table1[[#This Row],[Planned Start Date]],Table1[[#This Row],[Planned End Date]])</f>
        <v>0</v>
      </c>
      <c r="P363" s="178">
        <f>NETWORKDAYS(Table1[[#This Row],[Planned Start Date]],$P$7)</f>
        <v>30643</v>
      </c>
      <c r="Q363" s="129"/>
      <c r="R363" s="183" t="str">
        <f>IF(Table1[[#This Row],[Actual Effort (Hours)]]="","",IF(Table1[[#This Row],[Estimated Effort (Hours)]]&lt;20,"L1",IF(Table1[[#This Row],[Estimated Effort (Hours)]]&lt;50,"L2",IF(Table1[[#This Row],[Estimated Effort (Hours)]]&lt;150,"L3",IF(Table1[[#This Row],[Estimated Effort (Hours)]]&lt;300,"L4","L5")))))</f>
        <v/>
      </c>
      <c r="S363" s="184" t="str">
        <f>IF(Table1[[#This Row],[Actual End Date]]="","",TEXT(Table1[[#This Row],[Actual End Date]],"mmm-yy"))</f>
        <v/>
      </c>
      <c r="T3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3" s="185" t="str">
        <f>IFERROR((Table1[[#This Row],[Actual Effort (Hours)]]-Table1[[#This Row],[Estimated Effort (Hours)]])/Table1[[#This Row],[Estimated Effort (Hours)]],"")</f>
        <v/>
      </c>
      <c r="V363" s="149"/>
    </row>
    <row r="364" spans="2:22">
      <c r="B364" s="125"/>
      <c r="C364" s="123"/>
      <c r="D364" s="143"/>
      <c r="E364" s="123"/>
      <c r="F364" s="143"/>
      <c r="G364" s="129"/>
      <c r="H364" s="124"/>
      <c r="I364" s="124"/>
      <c r="J364" s="129"/>
      <c r="K364" s="194"/>
      <c r="L364" s="194"/>
      <c r="M364" s="129"/>
      <c r="N364" s="129" t="e">
        <f>Table1[[#This Row],[Estimated Effort (Hours)]]/NETWORKDAYS(Table1[[#This Row],[Planned Start Date]],Table1[[#This Row],[Planned End Date]])</f>
        <v>#DIV/0!</v>
      </c>
      <c r="O364" s="178">
        <f>NETWORKDAYS(Table1[[#This Row],[Planned Start Date]],Table1[[#This Row],[Planned End Date]])</f>
        <v>0</v>
      </c>
      <c r="P364" s="178">
        <f>NETWORKDAYS(Table1[[#This Row],[Planned Start Date]],$P$7)</f>
        <v>30643</v>
      </c>
      <c r="Q364" s="129"/>
      <c r="R364" s="183" t="str">
        <f>IF(Table1[[#This Row],[Actual Effort (Hours)]]="","",IF(Table1[[#This Row],[Estimated Effort (Hours)]]&lt;20,"L1",IF(Table1[[#This Row],[Estimated Effort (Hours)]]&lt;50,"L2",IF(Table1[[#This Row],[Estimated Effort (Hours)]]&lt;150,"L3",IF(Table1[[#This Row],[Estimated Effort (Hours)]]&lt;300,"L4","L5")))))</f>
        <v/>
      </c>
      <c r="S364" s="184" t="str">
        <f>IF(Table1[[#This Row],[Actual End Date]]="","",TEXT(Table1[[#This Row],[Actual End Date]],"mmm-yy"))</f>
        <v/>
      </c>
      <c r="T3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4" s="185" t="str">
        <f>IFERROR((Table1[[#This Row],[Actual Effort (Hours)]]-Table1[[#This Row],[Estimated Effort (Hours)]])/Table1[[#This Row],[Estimated Effort (Hours)]],"")</f>
        <v/>
      </c>
      <c r="V364" s="149"/>
    </row>
    <row r="365" spans="2:22">
      <c r="B365" s="125"/>
      <c r="C365" s="123"/>
      <c r="D365" s="143"/>
      <c r="E365" s="123"/>
      <c r="F365" s="143"/>
      <c r="G365" s="129"/>
      <c r="H365" s="124"/>
      <c r="I365" s="124"/>
      <c r="J365" s="129"/>
      <c r="K365" s="194"/>
      <c r="L365" s="194"/>
      <c r="M365" s="129"/>
      <c r="N365" s="129" t="e">
        <f>Table1[[#This Row],[Estimated Effort (Hours)]]/NETWORKDAYS(Table1[[#This Row],[Planned Start Date]],Table1[[#This Row],[Planned End Date]])</f>
        <v>#DIV/0!</v>
      </c>
      <c r="O365" s="178">
        <f>NETWORKDAYS(Table1[[#This Row],[Planned Start Date]],Table1[[#This Row],[Planned End Date]])</f>
        <v>0</v>
      </c>
      <c r="P365" s="178">
        <f>NETWORKDAYS(Table1[[#This Row],[Planned Start Date]],$P$7)</f>
        <v>30643</v>
      </c>
      <c r="Q365" s="129"/>
      <c r="R365" s="183" t="str">
        <f>IF(Table1[[#This Row],[Actual Effort (Hours)]]="","",IF(Table1[[#This Row],[Estimated Effort (Hours)]]&lt;20,"L1",IF(Table1[[#This Row],[Estimated Effort (Hours)]]&lt;50,"L2",IF(Table1[[#This Row],[Estimated Effort (Hours)]]&lt;150,"L3",IF(Table1[[#This Row],[Estimated Effort (Hours)]]&lt;300,"L4","L5")))))</f>
        <v/>
      </c>
      <c r="S365" s="184" t="str">
        <f>IF(Table1[[#This Row],[Actual End Date]]="","",TEXT(Table1[[#This Row],[Actual End Date]],"mmm-yy"))</f>
        <v/>
      </c>
      <c r="T3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5" s="185" t="str">
        <f>IFERROR((Table1[[#This Row],[Actual Effort (Hours)]]-Table1[[#This Row],[Estimated Effort (Hours)]])/Table1[[#This Row],[Estimated Effort (Hours)]],"")</f>
        <v/>
      </c>
      <c r="V365" s="149"/>
    </row>
    <row r="366" spans="2:22">
      <c r="B366" s="125"/>
      <c r="C366" s="123"/>
      <c r="D366" s="143"/>
      <c r="E366" s="123"/>
      <c r="F366" s="143"/>
      <c r="G366" s="129"/>
      <c r="H366" s="124"/>
      <c r="I366" s="124"/>
      <c r="J366" s="129"/>
      <c r="K366" s="194"/>
      <c r="L366" s="194"/>
      <c r="M366" s="129"/>
      <c r="N366" s="129" t="e">
        <f>Table1[[#This Row],[Estimated Effort (Hours)]]/NETWORKDAYS(Table1[[#This Row],[Planned Start Date]],Table1[[#This Row],[Planned End Date]])</f>
        <v>#DIV/0!</v>
      </c>
      <c r="O366" s="178">
        <f>NETWORKDAYS(Table1[[#This Row],[Planned Start Date]],Table1[[#This Row],[Planned End Date]])</f>
        <v>0</v>
      </c>
      <c r="P366" s="178">
        <f>NETWORKDAYS(Table1[[#This Row],[Planned Start Date]],$P$7)</f>
        <v>30643</v>
      </c>
      <c r="Q366" s="129"/>
      <c r="R366" s="183" t="str">
        <f>IF(Table1[[#This Row],[Actual Effort (Hours)]]="","",IF(Table1[[#This Row],[Estimated Effort (Hours)]]&lt;20,"L1",IF(Table1[[#This Row],[Estimated Effort (Hours)]]&lt;50,"L2",IF(Table1[[#This Row],[Estimated Effort (Hours)]]&lt;150,"L3",IF(Table1[[#This Row],[Estimated Effort (Hours)]]&lt;300,"L4","L5")))))</f>
        <v/>
      </c>
      <c r="S366" s="184" t="str">
        <f>IF(Table1[[#This Row],[Actual End Date]]="","",TEXT(Table1[[#This Row],[Actual End Date]],"mmm-yy"))</f>
        <v/>
      </c>
      <c r="T3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6" s="185" t="str">
        <f>IFERROR((Table1[[#This Row],[Actual Effort (Hours)]]-Table1[[#This Row],[Estimated Effort (Hours)]])/Table1[[#This Row],[Estimated Effort (Hours)]],"")</f>
        <v/>
      </c>
      <c r="V366" s="149"/>
    </row>
    <row r="367" spans="2:22">
      <c r="B367" s="125"/>
      <c r="C367" s="123"/>
      <c r="D367" s="143"/>
      <c r="E367" s="123"/>
      <c r="F367" s="143"/>
      <c r="G367" s="129"/>
      <c r="H367" s="124"/>
      <c r="I367" s="124"/>
      <c r="J367" s="129"/>
      <c r="K367" s="194"/>
      <c r="L367" s="194"/>
      <c r="M367" s="129"/>
      <c r="N367" s="129" t="e">
        <f>Table1[[#This Row],[Estimated Effort (Hours)]]/NETWORKDAYS(Table1[[#This Row],[Planned Start Date]],Table1[[#This Row],[Planned End Date]])</f>
        <v>#DIV/0!</v>
      </c>
      <c r="O367" s="178">
        <f>NETWORKDAYS(Table1[[#This Row],[Planned Start Date]],Table1[[#This Row],[Planned End Date]])</f>
        <v>0</v>
      </c>
      <c r="P367" s="178">
        <f>NETWORKDAYS(Table1[[#This Row],[Planned Start Date]],$P$7)</f>
        <v>30643</v>
      </c>
      <c r="Q367" s="129"/>
      <c r="R367" s="183" t="str">
        <f>IF(Table1[[#This Row],[Actual Effort (Hours)]]="","",IF(Table1[[#This Row],[Estimated Effort (Hours)]]&lt;20,"L1",IF(Table1[[#This Row],[Estimated Effort (Hours)]]&lt;50,"L2",IF(Table1[[#This Row],[Estimated Effort (Hours)]]&lt;150,"L3",IF(Table1[[#This Row],[Estimated Effort (Hours)]]&lt;300,"L4","L5")))))</f>
        <v/>
      </c>
      <c r="S367" s="184" t="str">
        <f>IF(Table1[[#This Row],[Actual End Date]]="","",TEXT(Table1[[#This Row],[Actual End Date]],"mmm-yy"))</f>
        <v/>
      </c>
      <c r="T3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7" s="185" t="str">
        <f>IFERROR((Table1[[#This Row],[Actual Effort (Hours)]]-Table1[[#This Row],[Estimated Effort (Hours)]])/Table1[[#This Row],[Estimated Effort (Hours)]],"")</f>
        <v/>
      </c>
      <c r="V367" s="149"/>
    </row>
    <row r="368" spans="2:22">
      <c r="B368" s="125"/>
      <c r="C368" s="123"/>
      <c r="D368" s="143"/>
      <c r="E368" s="123"/>
      <c r="F368" s="143"/>
      <c r="G368" s="129"/>
      <c r="H368" s="124"/>
      <c r="I368" s="124"/>
      <c r="J368" s="129"/>
      <c r="K368" s="194"/>
      <c r="L368" s="194"/>
      <c r="M368" s="129"/>
      <c r="N368" s="129" t="e">
        <f>Table1[[#This Row],[Estimated Effort (Hours)]]/NETWORKDAYS(Table1[[#This Row],[Planned Start Date]],Table1[[#This Row],[Planned End Date]])</f>
        <v>#DIV/0!</v>
      </c>
      <c r="O368" s="178">
        <f>NETWORKDAYS(Table1[[#This Row],[Planned Start Date]],Table1[[#This Row],[Planned End Date]])</f>
        <v>0</v>
      </c>
      <c r="P368" s="178">
        <f>NETWORKDAYS(Table1[[#This Row],[Planned Start Date]],$P$7)</f>
        <v>30643</v>
      </c>
      <c r="Q368" s="129"/>
      <c r="R368" s="183" t="str">
        <f>IF(Table1[[#This Row],[Actual Effort (Hours)]]="","",IF(Table1[[#This Row],[Estimated Effort (Hours)]]&lt;20,"L1",IF(Table1[[#This Row],[Estimated Effort (Hours)]]&lt;50,"L2",IF(Table1[[#This Row],[Estimated Effort (Hours)]]&lt;150,"L3",IF(Table1[[#This Row],[Estimated Effort (Hours)]]&lt;300,"L4","L5")))))</f>
        <v/>
      </c>
      <c r="S368" s="184" t="str">
        <f>IF(Table1[[#This Row],[Actual End Date]]="","",TEXT(Table1[[#This Row],[Actual End Date]],"mmm-yy"))</f>
        <v/>
      </c>
      <c r="T3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8" s="185" t="str">
        <f>IFERROR((Table1[[#This Row],[Actual Effort (Hours)]]-Table1[[#This Row],[Estimated Effort (Hours)]])/Table1[[#This Row],[Estimated Effort (Hours)]],"")</f>
        <v/>
      </c>
      <c r="V368" s="149"/>
    </row>
    <row r="369" spans="2:22">
      <c r="B369" s="125"/>
      <c r="C369" s="123"/>
      <c r="D369" s="143"/>
      <c r="E369" s="123"/>
      <c r="F369" s="143"/>
      <c r="G369" s="129"/>
      <c r="H369" s="124"/>
      <c r="I369" s="124"/>
      <c r="J369" s="129"/>
      <c r="K369" s="194"/>
      <c r="L369" s="194"/>
      <c r="M369" s="129"/>
      <c r="N369" s="129" t="e">
        <f>Table1[[#This Row],[Estimated Effort (Hours)]]/NETWORKDAYS(Table1[[#This Row],[Planned Start Date]],Table1[[#This Row],[Planned End Date]])</f>
        <v>#DIV/0!</v>
      </c>
      <c r="O369" s="178">
        <f>NETWORKDAYS(Table1[[#This Row],[Planned Start Date]],Table1[[#This Row],[Planned End Date]])</f>
        <v>0</v>
      </c>
      <c r="P369" s="178">
        <f>NETWORKDAYS(Table1[[#This Row],[Planned Start Date]],$P$7)</f>
        <v>30643</v>
      </c>
      <c r="Q369" s="129"/>
      <c r="R369" s="183" t="str">
        <f>IF(Table1[[#This Row],[Actual Effort (Hours)]]="","",IF(Table1[[#This Row],[Estimated Effort (Hours)]]&lt;20,"L1",IF(Table1[[#This Row],[Estimated Effort (Hours)]]&lt;50,"L2",IF(Table1[[#This Row],[Estimated Effort (Hours)]]&lt;150,"L3",IF(Table1[[#This Row],[Estimated Effort (Hours)]]&lt;300,"L4","L5")))))</f>
        <v/>
      </c>
      <c r="S369" s="184" t="str">
        <f>IF(Table1[[#This Row],[Actual End Date]]="","",TEXT(Table1[[#This Row],[Actual End Date]],"mmm-yy"))</f>
        <v/>
      </c>
      <c r="T3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69" s="185" t="str">
        <f>IFERROR((Table1[[#This Row],[Actual Effort (Hours)]]-Table1[[#This Row],[Estimated Effort (Hours)]])/Table1[[#This Row],[Estimated Effort (Hours)]],"")</f>
        <v/>
      </c>
      <c r="V369" s="149"/>
    </row>
    <row r="370" spans="2:22">
      <c r="B370" s="125"/>
      <c r="C370" s="123"/>
      <c r="D370" s="143"/>
      <c r="E370" s="123"/>
      <c r="F370" s="143"/>
      <c r="G370" s="129"/>
      <c r="H370" s="124"/>
      <c r="I370" s="124"/>
      <c r="J370" s="129"/>
      <c r="K370" s="194"/>
      <c r="L370" s="194"/>
      <c r="M370" s="129"/>
      <c r="N370" s="129" t="e">
        <f>Table1[[#This Row],[Estimated Effort (Hours)]]/NETWORKDAYS(Table1[[#This Row],[Planned Start Date]],Table1[[#This Row],[Planned End Date]])</f>
        <v>#DIV/0!</v>
      </c>
      <c r="O370" s="178">
        <f>NETWORKDAYS(Table1[[#This Row],[Planned Start Date]],Table1[[#This Row],[Planned End Date]])</f>
        <v>0</v>
      </c>
      <c r="P370" s="178">
        <f>NETWORKDAYS(Table1[[#This Row],[Planned Start Date]],$P$7)</f>
        <v>30643</v>
      </c>
      <c r="Q370" s="129"/>
      <c r="R370" s="183" t="str">
        <f>IF(Table1[[#This Row],[Actual Effort (Hours)]]="","",IF(Table1[[#This Row],[Estimated Effort (Hours)]]&lt;20,"L1",IF(Table1[[#This Row],[Estimated Effort (Hours)]]&lt;50,"L2",IF(Table1[[#This Row],[Estimated Effort (Hours)]]&lt;150,"L3",IF(Table1[[#This Row],[Estimated Effort (Hours)]]&lt;300,"L4","L5")))))</f>
        <v/>
      </c>
      <c r="S370" s="184" t="str">
        <f>IF(Table1[[#This Row],[Actual End Date]]="","",TEXT(Table1[[#This Row],[Actual End Date]],"mmm-yy"))</f>
        <v/>
      </c>
      <c r="T3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0" s="185" t="str">
        <f>IFERROR((Table1[[#This Row],[Actual Effort (Hours)]]-Table1[[#This Row],[Estimated Effort (Hours)]])/Table1[[#This Row],[Estimated Effort (Hours)]],"")</f>
        <v/>
      </c>
      <c r="V370" s="149"/>
    </row>
    <row r="371" spans="2:22">
      <c r="B371" s="125"/>
      <c r="C371" s="123"/>
      <c r="D371" s="143"/>
      <c r="E371" s="123"/>
      <c r="F371" s="143"/>
      <c r="G371" s="129"/>
      <c r="H371" s="124"/>
      <c r="I371" s="124"/>
      <c r="J371" s="129"/>
      <c r="K371" s="194"/>
      <c r="L371" s="194"/>
      <c r="M371" s="129"/>
      <c r="N371" s="129" t="e">
        <f>Table1[[#This Row],[Estimated Effort (Hours)]]/NETWORKDAYS(Table1[[#This Row],[Planned Start Date]],Table1[[#This Row],[Planned End Date]])</f>
        <v>#DIV/0!</v>
      </c>
      <c r="O371" s="178">
        <f>NETWORKDAYS(Table1[[#This Row],[Planned Start Date]],Table1[[#This Row],[Planned End Date]])</f>
        <v>0</v>
      </c>
      <c r="P371" s="178">
        <f>NETWORKDAYS(Table1[[#This Row],[Planned Start Date]],$P$7)</f>
        <v>30643</v>
      </c>
      <c r="Q371" s="129"/>
      <c r="R371" s="183" t="str">
        <f>IF(Table1[[#This Row],[Actual Effort (Hours)]]="","",IF(Table1[[#This Row],[Estimated Effort (Hours)]]&lt;20,"L1",IF(Table1[[#This Row],[Estimated Effort (Hours)]]&lt;50,"L2",IF(Table1[[#This Row],[Estimated Effort (Hours)]]&lt;150,"L3",IF(Table1[[#This Row],[Estimated Effort (Hours)]]&lt;300,"L4","L5")))))</f>
        <v/>
      </c>
      <c r="S371" s="184" t="str">
        <f>IF(Table1[[#This Row],[Actual End Date]]="","",TEXT(Table1[[#This Row],[Actual End Date]],"mmm-yy"))</f>
        <v/>
      </c>
      <c r="T3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1" s="185" t="str">
        <f>IFERROR((Table1[[#This Row],[Actual Effort (Hours)]]-Table1[[#This Row],[Estimated Effort (Hours)]])/Table1[[#This Row],[Estimated Effort (Hours)]],"")</f>
        <v/>
      </c>
      <c r="V371" s="149"/>
    </row>
    <row r="372" spans="2:22">
      <c r="B372" s="125"/>
      <c r="C372" s="123"/>
      <c r="D372" s="143"/>
      <c r="E372" s="123"/>
      <c r="F372" s="143"/>
      <c r="G372" s="129"/>
      <c r="H372" s="124"/>
      <c r="I372" s="124"/>
      <c r="J372" s="129"/>
      <c r="K372" s="194"/>
      <c r="L372" s="194"/>
      <c r="M372" s="129"/>
      <c r="N372" s="129" t="e">
        <f>Table1[[#This Row],[Estimated Effort (Hours)]]/NETWORKDAYS(Table1[[#This Row],[Planned Start Date]],Table1[[#This Row],[Planned End Date]])</f>
        <v>#DIV/0!</v>
      </c>
      <c r="O372" s="178">
        <f>NETWORKDAYS(Table1[[#This Row],[Planned Start Date]],Table1[[#This Row],[Planned End Date]])</f>
        <v>0</v>
      </c>
      <c r="P372" s="178">
        <f>NETWORKDAYS(Table1[[#This Row],[Planned Start Date]],$P$7)</f>
        <v>30643</v>
      </c>
      <c r="Q372" s="129"/>
      <c r="R372" s="183" t="str">
        <f>IF(Table1[[#This Row],[Actual Effort (Hours)]]="","",IF(Table1[[#This Row],[Estimated Effort (Hours)]]&lt;20,"L1",IF(Table1[[#This Row],[Estimated Effort (Hours)]]&lt;50,"L2",IF(Table1[[#This Row],[Estimated Effort (Hours)]]&lt;150,"L3",IF(Table1[[#This Row],[Estimated Effort (Hours)]]&lt;300,"L4","L5")))))</f>
        <v/>
      </c>
      <c r="S372" s="184" t="str">
        <f>IF(Table1[[#This Row],[Actual End Date]]="","",TEXT(Table1[[#This Row],[Actual End Date]],"mmm-yy"))</f>
        <v/>
      </c>
      <c r="T3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2" s="185" t="str">
        <f>IFERROR((Table1[[#This Row],[Actual Effort (Hours)]]-Table1[[#This Row],[Estimated Effort (Hours)]])/Table1[[#This Row],[Estimated Effort (Hours)]],"")</f>
        <v/>
      </c>
      <c r="V372" s="149"/>
    </row>
    <row r="373" spans="2:22">
      <c r="B373" s="125"/>
      <c r="C373" s="123"/>
      <c r="D373" s="143"/>
      <c r="E373" s="123"/>
      <c r="F373" s="143"/>
      <c r="G373" s="129"/>
      <c r="H373" s="124"/>
      <c r="I373" s="124"/>
      <c r="J373" s="129"/>
      <c r="K373" s="194"/>
      <c r="L373" s="194"/>
      <c r="M373" s="129"/>
      <c r="N373" s="129" t="e">
        <f>Table1[[#This Row],[Estimated Effort (Hours)]]/NETWORKDAYS(Table1[[#This Row],[Planned Start Date]],Table1[[#This Row],[Planned End Date]])</f>
        <v>#DIV/0!</v>
      </c>
      <c r="O373" s="178">
        <f>NETWORKDAYS(Table1[[#This Row],[Planned Start Date]],Table1[[#This Row],[Planned End Date]])</f>
        <v>0</v>
      </c>
      <c r="P373" s="178">
        <f>NETWORKDAYS(Table1[[#This Row],[Planned Start Date]],$P$7)</f>
        <v>30643</v>
      </c>
      <c r="Q373" s="129"/>
      <c r="R373" s="183" t="str">
        <f>IF(Table1[[#This Row],[Actual Effort (Hours)]]="","",IF(Table1[[#This Row],[Estimated Effort (Hours)]]&lt;20,"L1",IF(Table1[[#This Row],[Estimated Effort (Hours)]]&lt;50,"L2",IF(Table1[[#This Row],[Estimated Effort (Hours)]]&lt;150,"L3",IF(Table1[[#This Row],[Estimated Effort (Hours)]]&lt;300,"L4","L5")))))</f>
        <v/>
      </c>
      <c r="S373" s="184" t="str">
        <f>IF(Table1[[#This Row],[Actual End Date]]="","",TEXT(Table1[[#This Row],[Actual End Date]],"mmm-yy"))</f>
        <v/>
      </c>
      <c r="T3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3" s="185" t="str">
        <f>IFERROR((Table1[[#This Row],[Actual Effort (Hours)]]-Table1[[#This Row],[Estimated Effort (Hours)]])/Table1[[#This Row],[Estimated Effort (Hours)]],"")</f>
        <v/>
      </c>
      <c r="V373" s="149"/>
    </row>
    <row r="374" spans="2:22">
      <c r="B374" s="125"/>
      <c r="C374" s="123"/>
      <c r="D374" s="143"/>
      <c r="E374" s="123"/>
      <c r="F374" s="143"/>
      <c r="G374" s="129"/>
      <c r="H374" s="124"/>
      <c r="I374" s="124"/>
      <c r="J374" s="129"/>
      <c r="K374" s="194"/>
      <c r="L374" s="194"/>
      <c r="M374" s="129"/>
      <c r="N374" s="129" t="e">
        <f>Table1[[#This Row],[Estimated Effort (Hours)]]/NETWORKDAYS(Table1[[#This Row],[Planned Start Date]],Table1[[#This Row],[Planned End Date]])</f>
        <v>#DIV/0!</v>
      </c>
      <c r="O374" s="178">
        <f>NETWORKDAYS(Table1[[#This Row],[Planned Start Date]],Table1[[#This Row],[Planned End Date]])</f>
        <v>0</v>
      </c>
      <c r="P374" s="178">
        <f>NETWORKDAYS(Table1[[#This Row],[Planned Start Date]],$P$7)</f>
        <v>30643</v>
      </c>
      <c r="Q374" s="129"/>
      <c r="R374" s="183" t="str">
        <f>IF(Table1[[#This Row],[Actual Effort (Hours)]]="","",IF(Table1[[#This Row],[Estimated Effort (Hours)]]&lt;20,"L1",IF(Table1[[#This Row],[Estimated Effort (Hours)]]&lt;50,"L2",IF(Table1[[#This Row],[Estimated Effort (Hours)]]&lt;150,"L3",IF(Table1[[#This Row],[Estimated Effort (Hours)]]&lt;300,"L4","L5")))))</f>
        <v/>
      </c>
      <c r="S374" s="184" t="str">
        <f>IF(Table1[[#This Row],[Actual End Date]]="","",TEXT(Table1[[#This Row],[Actual End Date]],"mmm-yy"))</f>
        <v/>
      </c>
      <c r="T3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4" s="185" t="str">
        <f>IFERROR((Table1[[#This Row],[Actual Effort (Hours)]]-Table1[[#This Row],[Estimated Effort (Hours)]])/Table1[[#This Row],[Estimated Effort (Hours)]],"")</f>
        <v/>
      </c>
      <c r="V374" s="149"/>
    </row>
    <row r="375" spans="2:22">
      <c r="B375" s="125"/>
      <c r="C375" s="123"/>
      <c r="D375" s="143"/>
      <c r="E375" s="123"/>
      <c r="F375" s="143"/>
      <c r="G375" s="129"/>
      <c r="H375" s="124"/>
      <c r="I375" s="124"/>
      <c r="J375" s="129"/>
      <c r="K375" s="194"/>
      <c r="L375" s="194"/>
      <c r="M375" s="129"/>
      <c r="N375" s="129" t="e">
        <f>Table1[[#This Row],[Estimated Effort (Hours)]]/NETWORKDAYS(Table1[[#This Row],[Planned Start Date]],Table1[[#This Row],[Planned End Date]])</f>
        <v>#DIV/0!</v>
      </c>
      <c r="O375" s="178">
        <f>NETWORKDAYS(Table1[[#This Row],[Planned Start Date]],Table1[[#This Row],[Planned End Date]])</f>
        <v>0</v>
      </c>
      <c r="P375" s="178">
        <f>NETWORKDAYS(Table1[[#This Row],[Planned Start Date]],$P$7)</f>
        <v>30643</v>
      </c>
      <c r="Q375" s="129"/>
      <c r="R375" s="183" t="str">
        <f>IF(Table1[[#This Row],[Actual Effort (Hours)]]="","",IF(Table1[[#This Row],[Estimated Effort (Hours)]]&lt;20,"L1",IF(Table1[[#This Row],[Estimated Effort (Hours)]]&lt;50,"L2",IF(Table1[[#This Row],[Estimated Effort (Hours)]]&lt;150,"L3",IF(Table1[[#This Row],[Estimated Effort (Hours)]]&lt;300,"L4","L5")))))</f>
        <v/>
      </c>
      <c r="S375" s="184" t="str">
        <f>IF(Table1[[#This Row],[Actual End Date]]="","",TEXT(Table1[[#This Row],[Actual End Date]],"mmm-yy"))</f>
        <v/>
      </c>
      <c r="T3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5" s="185" t="str">
        <f>IFERROR((Table1[[#This Row],[Actual Effort (Hours)]]-Table1[[#This Row],[Estimated Effort (Hours)]])/Table1[[#This Row],[Estimated Effort (Hours)]],"")</f>
        <v/>
      </c>
      <c r="V375" s="149"/>
    </row>
    <row r="376" spans="2:22">
      <c r="B376" s="125"/>
      <c r="C376" s="123"/>
      <c r="D376" s="143"/>
      <c r="E376" s="123"/>
      <c r="F376" s="143"/>
      <c r="G376" s="129"/>
      <c r="H376" s="124"/>
      <c r="I376" s="124"/>
      <c r="J376" s="129"/>
      <c r="K376" s="194"/>
      <c r="L376" s="194"/>
      <c r="M376" s="129"/>
      <c r="N376" s="129" t="e">
        <f>Table1[[#This Row],[Estimated Effort (Hours)]]/NETWORKDAYS(Table1[[#This Row],[Planned Start Date]],Table1[[#This Row],[Planned End Date]])</f>
        <v>#DIV/0!</v>
      </c>
      <c r="O376" s="178">
        <f>NETWORKDAYS(Table1[[#This Row],[Planned Start Date]],Table1[[#This Row],[Planned End Date]])</f>
        <v>0</v>
      </c>
      <c r="P376" s="178">
        <f>NETWORKDAYS(Table1[[#This Row],[Planned Start Date]],$P$7)</f>
        <v>30643</v>
      </c>
      <c r="Q376" s="129"/>
      <c r="R376" s="183" t="str">
        <f>IF(Table1[[#This Row],[Actual Effort (Hours)]]="","",IF(Table1[[#This Row],[Estimated Effort (Hours)]]&lt;20,"L1",IF(Table1[[#This Row],[Estimated Effort (Hours)]]&lt;50,"L2",IF(Table1[[#This Row],[Estimated Effort (Hours)]]&lt;150,"L3",IF(Table1[[#This Row],[Estimated Effort (Hours)]]&lt;300,"L4","L5")))))</f>
        <v/>
      </c>
      <c r="S376" s="184" t="str">
        <f>IF(Table1[[#This Row],[Actual End Date]]="","",TEXT(Table1[[#This Row],[Actual End Date]],"mmm-yy"))</f>
        <v/>
      </c>
      <c r="T3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6" s="185" t="str">
        <f>IFERROR((Table1[[#This Row],[Actual Effort (Hours)]]-Table1[[#This Row],[Estimated Effort (Hours)]])/Table1[[#This Row],[Estimated Effort (Hours)]],"")</f>
        <v/>
      </c>
      <c r="V376" s="149"/>
    </row>
    <row r="377" spans="2:22">
      <c r="B377" s="125"/>
      <c r="C377" s="123"/>
      <c r="D377" s="143"/>
      <c r="E377" s="123"/>
      <c r="F377" s="143"/>
      <c r="G377" s="129"/>
      <c r="H377" s="124"/>
      <c r="I377" s="124"/>
      <c r="J377" s="129"/>
      <c r="K377" s="194"/>
      <c r="L377" s="194"/>
      <c r="M377" s="129"/>
      <c r="N377" s="129" t="e">
        <f>Table1[[#This Row],[Estimated Effort (Hours)]]/NETWORKDAYS(Table1[[#This Row],[Planned Start Date]],Table1[[#This Row],[Planned End Date]])</f>
        <v>#DIV/0!</v>
      </c>
      <c r="O377" s="178">
        <f>NETWORKDAYS(Table1[[#This Row],[Planned Start Date]],Table1[[#This Row],[Planned End Date]])</f>
        <v>0</v>
      </c>
      <c r="P377" s="178">
        <f>NETWORKDAYS(Table1[[#This Row],[Planned Start Date]],$P$7)</f>
        <v>30643</v>
      </c>
      <c r="Q377" s="129"/>
      <c r="R377" s="183" t="str">
        <f>IF(Table1[[#This Row],[Actual Effort (Hours)]]="","",IF(Table1[[#This Row],[Estimated Effort (Hours)]]&lt;20,"L1",IF(Table1[[#This Row],[Estimated Effort (Hours)]]&lt;50,"L2",IF(Table1[[#This Row],[Estimated Effort (Hours)]]&lt;150,"L3",IF(Table1[[#This Row],[Estimated Effort (Hours)]]&lt;300,"L4","L5")))))</f>
        <v/>
      </c>
      <c r="S377" s="184" t="str">
        <f>IF(Table1[[#This Row],[Actual End Date]]="","",TEXT(Table1[[#This Row],[Actual End Date]],"mmm-yy"))</f>
        <v/>
      </c>
      <c r="T3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7" s="185" t="str">
        <f>IFERROR((Table1[[#This Row],[Actual Effort (Hours)]]-Table1[[#This Row],[Estimated Effort (Hours)]])/Table1[[#This Row],[Estimated Effort (Hours)]],"")</f>
        <v/>
      </c>
      <c r="V377" s="149"/>
    </row>
    <row r="378" spans="2:22">
      <c r="B378" s="125"/>
      <c r="C378" s="123"/>
      <c r="D378" s="143"/>
      <c r="E378" s="123"/>
      <c r="F378" s="143"/>
      <c r="G378" s="129"/>
      <c r="H378" s="124"/>
      <c r="I378" s="124"/>
      <c r="J378" s="129"/>
      <c r="K378" s="194"/>
      <c r="L378" s="194"/>
      <c r="M378" s="129"/>
      <c r="N378" s="129" t="e">
        <f>Table1[[#This Row],[Estimated Effort (Hours)]]/NETWORKDAYS(Table1[[#This Row],[Planned Start Date]],Table1[[#This Row],[Planned End Date]])</f>
        <v>#DIV/0!</v>
      </c>
      <c r="O378" s="178">
        <f>NETWORKDAYS(Table1[[#This Row],[Planned Start Date]],Table1[[#This Row],[Planned End Date]])</f>
        <v>0</v>
      </c>
      <c r="P378" s="178">
        <f>NETWORKDAYS(Table1[[#This Row],[Planned Start Date]],$P$7)</f>
        <v>30643</v>
      </c>
      <c r="Q378" s="129"/>
      <c r="R378" s="183" t="str">
        <f>IF(Table1[[#This Row],[Actual Effort (Hours)]]="","",IF(Table1[[#This Row],[Estimated Effort (Hours)]]&lt;20,"L1",IF(Table1[[#This Row],[Estimated Effort (Hours)]]&lt;50,"L2",IF(Table1[[#This Row],[Estimated Effort (Hours)]]&lt;150,"L3",IF(Table1[[#This Row],[Estimated Effort (Hours)]]&lt;300,"L4","L5")))))</f>
        <v/>
      </c>
      <c r="S378" s="184" t="str">
        <f>IF(Table1[[#This Row],[Actual End Date]]="","",TEXT(Table1[[#This Row],[Actual End Date]],"mmm-yy"))</f>
        <v/>
      </c>
      <c r="T3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8" s="185" t="str">
        <f>IFERROR((Table1[[#This Row],[Actual Effort (Hours)]]-Table1[[#This Row],[Estimated Effort (Hours)]])/Table1[[#This Row],[Estimated Effort (Hours)]],"")</f>
        <v/>
      </c>
      <c r="V378" s="149"/>
    </row>
    <row r="379" spans="2:22">
      <c r="B379" s="125"/>
      <c r="C379" s="123"/>
      <c r="D379" s="143"/>
      <c r="E379" s="123"/>
      <c r="F379" s="143"/>
      <c r="G379" s="129"/>
      <c r="H379" s="124"/>
      <c r="I379" s="124"/>
      <c r="J379" s="129"/>
      <c r="K379" s="194"/>
      <c r="L379" s="194"/>
      <c r="M379" s="129"/>
      <c r="N379" s="129" t="e">
        <f>Table1[[#This Row],[Estimated Effort (Hours)]]/NETWORKDAYS(Table1[[#This Row],[Planned Start Date]],Table1[[#This Row],[Planned End Date]])</f>
        <v>#DIV/0!</v>
      </c>
      <c r="O379" s="178">
        <f>NETWORKDAYS(Table1[[#This Row],[Planned Start Date]],Table1[[#This Row],[Planned End Date]])</f>
        <v>0</v>
      </c>
      <c r="P379" s="178">
        <f>NETWORKDAYS(Table1[[#This Row],[Planned Start Date]],$P$7)</f>
        <v>30643</v>
      </c>
      <c r="Q379" s="129"/>
      <c r="R379" s="183" t="str">
        <f>IF(Table1[[#This Row],[Actual Effort (Hours)]]="","",IF(Table1[[#This Row],[Estimated Effort (Hours)]]&lt;20,"L1",IF(Table1[[#This Row],[Estimated Effort (Hours)]]&lt;50,"L2",IF(Table1[[#This Row],[Estimated Effort (Hours)]]&lt;150,"L3",IF(Table1[[#This Row],[Estimated Effort (Hours)]]&lt;300,"L4","L5")))))</f>
        <v/>
      </c>
      <c r="S379" s="184" t="str">
        <f>IF(Table1[[#This Row],[Actual End Date]]="","",TEXT(Table1[[#This Row],[Actual End Date]],"mmm-yy"))</f>
        <v/>
      </c>
      <c r="T3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79" s="185" t="str">
        <f>IFERROR((Table1[[#This Row],[Actual Effort (Hours)]]-Table1[[#This Row],[Estimated Effort (Hours)]])/Table1[[#This Row],[Estimated Effort (Hours)]],"")</f>
        <v/>
      </c>
      <c r="V379" s="149"/>
    </row>
    <row r="380" spans="2:22">
      <c r="B380" s="125"/>
      <c r="C380" s="123"/>
      <c r="D380" s="143"/>
      <c r="E380" s="123"/>
      <c r="F380" s="143"/>
      <c r="G380" s="129"/>
      <c r="H380" s="124"/>
      <c r="I380" s="124"/>
      <c r="J380" s="129"/>
      <c r="K380" s="194"/>
      <c r="L380" s="194"/>
      <c r="M380" s="129"/>
      <c r="N380" s="129" t="e">
        <f>Table1[[#This Row],[Estimated Effort (Hours)]]/NETWORKDAYS(Table1[[#This Row],[Planned Start Date]],Table1[[#This Row],[Planned End Date]])</f>
        <v>#DIV/0!</v>
      </c>
      <c r="O380" s="178">
        <f>NETWORKDAYS(Table1[[#This Row],[Planned Start Date]],Table1[[#This Row],[Planned End Date]])</f>
        <v>0</v>
      </c>
      <c r="P380" s="178">
        <f>NETWORKDAYS(Table1[[#This Row],[Planned Start Date]],$P$7)</f>
        <v>30643</v>
      </c>
      <c r="Q380" s="129"/>
      <c r="R380" s="183" t="str">
        <f>IF(Table1[[#This Row],[Actual Effort (Hours)]]="","",IF(Table1[[#This Row],[Estimated Effort (Hours)]]&lt;20,"L1",IF(Table1[[#This Row],[Estimated Effort (Hours)]]&lt;50,"L2",IF(Table1[[#This Row],[Estimated Effort (Hours)]]&lt;150,"L3",IF(Table1[[#This Row],[Estimated Effort (Hours)]]&lt;300,"L4","L5")))))</f>
        <v/>
      </c>
      <c r="S380" s="184" t="str">
        <f>IF(Table1[[#This Row],[Actual End Date]]="","",TEXT(Table1[[#This Row],[Actual End Date]],"mmm-yy"))</f>
        <v/>
      </c>
      <c r="T3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0" s="185" t="str">
        <f>IFERROR((Table1[[#This Row],[Actual Effort (Hours)]]-Table1[[#This Row],[Estimated Effort (Hours)]])/Table1[[#This Row],[Estimated Effort (Hours)]],"")</f>
        <v/>
      </c>
      <c r="V380" s="149"/>
    </row>
    <row r="381" spans="2:22">
      <c r="B381" s="125"/>
      <c r="C381" s="123"/>
      <c r="D381" s="143"/>
      <c r="E381" s="123"/>
      <c r="F381" s="143"/>
      <c r="G381" s="129"/>
      <c r="H381" s="124"/>
      <c r="I381" s="124"/>
      <c r="J381" s="129"/>
      <c r="K381" s="194"/>
      <c r="L381" s="194"/>
      <c r="M381" s="129"/>
      <c r="N381" s="129" t="e">
        <f>Table1[[#This Row],[Estimated Effort (Hours)]]/NETWORKDAYS(Table1[[#This Row],[Planned Start Date]],Table1[[#This Row],[Planned End Date]])</f>
        <v>#DIV/0!</v>
      </c>
      <c r="O381" s="178">
        <f>NETWORKDAYS(Table1[[#This Row],[Planned Start Date]],Table1[[#This Row],[Planned End Date]])</f>
        <v>0</v>
      </c>
      <c r="P381" s="178">
        <f>NETWORKDAYS(Table1[[#This Row],[Planned Start Date]],$P$7)</f>
        <v>30643</v>
      </c>
      <c r="Q381" s="129"/>
      <c r="R381" s="183" t="str">
        <f>IF(Table1[[#This Row],[Actual Effort (Hours)]]="","",IF(Table1[[#This Row],[Estimated Effort (Hours)]]&lt;20,"L1",IF(Table1[[#This Row],[Estimated Effort (Hours)]]&lt;50,"L2",IF(Table1[[#This Row],[Estimated Effort (Hours)]]&lt;150,"L3",IF(Table1[[#This Row],[Estimated Effort (Hours)]]&lt;300,"L4","L5")))))</f>
        <v/>
      </c>
      <c r="S381" s="184" t="str">
        <f>IF(Table1[[#This Row],[Actual End Date]]="","",TEXT(Table1[[#This Row],[Actual End Date]],"mmm-yy"))</f>
        <v/>
      </c>
      <c r="T3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1" s="185" t="str">
        <f>IFERROR((Table1[[#This Row],[Actual Effort (Hours)]]-Table1[[#This Row],[Estimated Effort (Hours)]])/Table1[[#This Row],[Estimated Effort (Hours)]],"")</f>
        <v/>
      </c>
      <c r="V381" s="149"/>
    </row>
    <row r="382" spans="2:22">
      <c r="B382" s="125"/>
      <c r="C382" s="123"/>
      <c r="D382" s="143"/>
      <c r="E382" s="123"/>
      <c r="F382" s="143"/>
      <c r="G382" s="129"/>
      <c r="H382" s="124"/>
      <c r="I382" s="124"/>
      <c r="J382" s="129"/>
      <c r="K382" s="194"/>
      <c r="L382" s="194"/>
      <c r="M382" s="129"/>
      <c r="N382" s="129" t="e">
        <f>Table1[[#This Row],[Estimated Effort (Hours)]]/NETWORKDAYS(Table1[[#This Row],[Planned Start Date]],Table1[[#This Row],[Planned End Date]])</f>
        <v>#DIV/0!</v>
      </c>
      <c r="O382" s="178">
        <f>NETWORKDAYS(Table1[[#This Row],[Planned Start Date]],Table1[[#This Row],[Planned End Date]])</f>
        <v>0</v>
      </c>
      <c r="P382" s="178">
        <f>NETWORKDAYS(Table1[[#This Row],[Planned Start Date]],$P$7)</f>
        <v>30643</v>
      </c>
      <c r="Q382" s="129"/>
      <c r="R382" s="183" t="str">
        <f>IF(Table1[[#This Row],[Actual Effort (Hours)]]="","",IF(Table1[[#This Row],[Estimated Effort (Hours)]]&lt;20,"L1",IF(Table1[[#This Row],[Estimated Effort (Hours)]]&lt;50,"L2",IF(Table1[[#This Row],[Estimated Effort (Hours)]]&lt;150,"L3",IF(Table1[[#This Row],[Estimated Effort (Hours)]]&lt;300,"L4","L5")))))</f>
        <v/>
      </c>
      <c r="S382" s="184" t="str">
        <f>IF(Table1[[#This Row],[Actual End Date]]="","",TEXT(Table1[[#This Row],[Actual End Date]],"mmm-yy"))</f>
        <v/>
      </c>
      <c r="T3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2" s="185" t="str">
        <f>IFERROR((Table1[[#This Row],[Actual Effort (Hours)]]-Table1[[#This Row],[Estimated Effort (Hours)]])/Table1[[#This Row],[Estimated Effort (Hours)]],"")</f>
        <v/>
      </c>
      <c r="V382" s="149"/>
    </row>
    <row r="383" spans="2:22">
      <c r="B383" s="125"/>
      <c r="C383" s="123"/>
      <c r="D383" s="143"/>
      <c r="E383" s="123"/>
      <c r="F383" s="143"/>
      <c r="G383" s="129"/>
      <c r="H383" s="124"/>
      <c r="I383" s="124"/>
      <c r="J383" s="129"/>
      <c r="K383" s="194"/>
      <c r="L383" s="194"/>
      <c r="M383" s="129"/>
      <c r="N383" s="129" t="e">
        <f>Table1[[#This Row],[Estimated Effort (Hours)]]/NETWORKDAYS(Table1[[#This Row],[Planned Start Date]],Table1[[#This Row],[Planned End Date]])</f>
        <v>#DIV/0!</v>
      </c>
      <c r="O383" s="178">
        <f>NETWORKDAYS(Table1[[#This Row],[Planned Start Date]],Table1[[#This Row],[Planned End Date]])</f>
        <v>0</v>
      </c>
      <c r="P383" s="178">
        <f>NETWORKDAYS(Table1[[#This Row],[Planned Start Date]],$P$7)</f>
        <v>30643</v>
      </c>
      <c r="Q383" s="129"/>
      <c r="R383" s="183" t="str">
        <f>IF(Table1[[#This Row],[Actual Effort (Hours)]]="","",IF(Table1[[#This Row],[Estimated Effort (Hours)]]&lt;20,"L1",IF(Table1[[#This Row],[Estimated Effort (Hours)]]&lt;50,"L2",IF(Table1[[#This Row],[Estimated Effort (Hours)]]&lt;150,"L3",IF(Table1[[#This Row],[Estimated Effort (Hours)]]&lt;300,"L4","L5")))))</f>
        <v/>
      </c>
      <c r="S383" s="184" t="str">
        <f>IF(Table1[[#This Row],[Actual End Date]]="","",TEXT(Table1[[#This Row],[Actual End Date]],"mmm-yy"))</f>
        <v/>
      </c>
      <c r="T3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3" s="185" t="str">
        <f>IFERROR((Table1[[#This Row],[Actual Effort (Hours)]]-Table1[[#This Row],[Estimated Effort (Hours)]])/Table1[[#This Row],[Estimated Effort (Hours)]],"")</f>
        <v/>
      </c>
      <c r="V383" s="149"/>
    </row>
    <row r="384" spans="2:22">
      <c r="B384" s="125"/>
      <c r="C384" s="123"/>
      <c r="D384" s="143"/>
      <c r="E384" s="123"/>
      <c r="F384" s="143"/>
      <c r="G384" s="129"/>
      <c r="H384" s="124"/>
      <c r="I384" s="124"/>
      <c r="J384" s="129"/>
      <c r="K384" s="194"/>
      <c r="L384" s="194"/>
      <c r="M384" s="129"/>
      <c r="N384" s="129" t="e">
        <f>Table1[[#This Row],[Estimated Effort (Hours)]]/NETWORKDAYS(Table1[[#This Row],[Planned Start Date]],Table1[[#This Row],[Planned End Date]])</f>
        <v>#DIV/0!</v>
      </c>
      <c r="O384" s="178">
        <f>NETWORKDAYS(Table1[[#This Row],[Planned Start Date]],Table1[[#This Row],[Planned End Date]])</f>
        <v>0</v>
      </c>
      <c r="P384" s="178">
        <f>NETWORKDAYS(Table1[[#This Row],[Planned Start Date]],$P$7)</f>
        <v>30643</v>
      </c>
      <c r="Q384" s="129"/>
      <c r="R384" s="183" t="str">
        <f>IF(Table1[[#This Row],[Actual Effort (Hours)]]="","",IF(Table1[[#This Row],[Estimated Effort (Hours)]]&lt;20,"L1",IF(Table1[[#This Row],[Estimated Effort (Hours)]]&lt;50,"L2",IF(Table1[[#This Row],[Estimated Effort (Hours)]]&lt;150,"L3",IF(Table1[[#This Row],[Estimated Effort (Hours)]]&lt;300,"L4","L5")))))</f>
        <v/>
      </c>
      <c r="S384" s="184" t="str">
        <f>IF(Table1[[#This Row],[Actual End Date]]="","",TEXT(Table1[[#This Row],[Actual End Date]],"mmm-yy"))</f>
        <v/>
      </c>
      <c r="T3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4" s="185" t="str">
        <f>IFERROR((Table1[[#This Row],[Actual Effort (Hours)]]-Table1[[#This Row],[Estimated Effort (Hours)]])/Table1[[#This Row],[Estimated Effort (Hours)]],"")</f>
        <v/>
      </c>
      <c r="V384" s="149"/>
    </row>
    <row r="385" spans="2:22">
      <c r="B385" s="125"/>
      <c r="C385" s="123"/>
      <c r="D385" s="143"/>
      <c r="E385" s="123"/>
      <c r="F385" s="143"/>
      <c r="G385" s="129"/>
      <c r="H385" s="124"/>
      <c r="I385" s="124"/>
      <c r="J385" s="129"/>
      <c r="K385" s="194"/>
      <c r="L385" s="194"/>
      <c r="M385" s="129"/>
      <c r="N385" s="129" t="e">
        <f>Table1[[#This Row],[Estimated Effort (Hours)]]/NETWORKDAYS(Table1[[#This Row],[Planned Start Date]],Table1[[#This Row],[Planned End Date]])</f>
        <v>#DIV/0!</v>
      </c>
      <c r="O385" s="178">
        <f>NETWORKDAYS(Table1[[#This Row],[Planned Start Date]],Table1[[#This Row],[Planned End Date]])</f>
        <v>0</v>
      </c>
      <c r="P385" s="178">
        <f>NETWORKDAYS(Table1[[#This Row],[Planned Start Date]],$P$7)</f>
        <v>30643</v>
      </c>
      <c r="Q385" s="129"/>
      <c r="R385" s="183" t="str">
        <f>IF(Table1[[#This Row],[Actual Effort (Hours)]]="","",IF(Table1[[#This Row],[Estimated Effort (Hours)]]&lt;20,"L1",IF(Table1[[#This Row],[Estimated Effort (Hours)]]&lt;50,"L2",IF(Table1[[#This Row],[Estimated Effort (Hours)]]&lt;150,"L3",IF(Table1[[#This Row],[Estimated Effort (Hours)]]&lt;300,"L4","L5")))))</f>
        <v/>
      </c>
      <c r="S385" s="184" t="str">
        <f>IF(Table1[[#This Row],[Actual End Date]]="","",TEXT(Table1[[#This Row],[Actual End Date]],"mmm-yy"))</f>
        <v/>
      </c>
      <c r="T3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5" s="185" t="str">
        <f>IFERROR((Table1[[#This Row],[Actual Effort (Hours)]]-Table1[[#This Row],[Estimated Effort (Hours)]])/Table1[[#This Row],[Estimated Effort (Hours)]],"")</f>
        <v/>
      </c>
      <c r="V385" s="149"/>
    </row>
    <row r="386" spans="2:22">
      <c r="B386" s="125"/>
      <c r="C386" s="123"/>
      <c r="D386" s="143"/>
      <c r="E386" s="123"/>
      <c r="F386" s="143"/>
      <c r="G386" s="129"/>
      <c r="H386" s="124"/>
      <c r="I386" s="124"/>
      <c r="J386" s="129"/>
      <c r="K386" s="194"/>
      <c r="L386" s="194"/>
      <c r="M386" s="129"/>
      <c r="N386" s="129" t="e">
        <f>Table1[[#This Row],[Estimated Effort (Hours)]]/NETWORKDAYS(Table1[[#This Row],[Planned Start Date]],Table1[[#This Row],[Planned End Date]])</f>
        <v>#DIV/0!</v>
      </c>
      <c r="O386" s="178">
        <f>NETWORKDAYS(Table1[[#This Row],[Planned Start Date]],Table1[[#This Row],[Planned End Date]])</f>
        <v>0</v>
      </c>
      <c r="P386" s="178">
        <f>NETWORKDAYS(Table1[[#This Row],[Planned Start Date]],$P$7)</f>
        <v>30643</v>
      </c>
      <c r="Q386" s="129"/>
      <c r="R386" s="183" t="str">
        <f>IF(Table1[[#This Row],[Actual Effort (Hours)]]="","",IF(Table1[[#This Row],[Estimated Effort (Hours)]]&lt;20,"L1",IF(Table1[[#This Row],[Estimated Effort (Hours)]]&lt;50,"L2",IF(Table1[[#This Row],[Estimated Effort (Hours)]]&lt;150,"L3",IF(Table1[[#This Row],[Estimated Effort (Hours)]]&lt;300,"L4","L5")))))</f>
        <v/>
      </c>
      <c r="S386" s="184" t="str">
        <f>IF(Table1[[#This Row],[Actual End Date]]="","",TEXT(Table1[[#This Row],[Actual End Date]],"mmm-yy"))</f>
        <v/>
      </c>
      <c r="T3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6" s="185" t="str">
        <f>IFERROR((Table1[[#This Row],[Actual Effort (Hours)]]-Table1[[#This Row],[Estimated Effort (Hours)]])/Table1[[#This Row],[Estimated Effort (Hours)]],"")</f>
        <v/>
      </c>
      <c r="V386" s="149"/>
    </row>
    <row r="387" spans="2:22">
      <c r="B387" s="125"/>
      <c r="C387" s="123"/>
      <c r="D387" s="143"/>
      <c r="E387" s="123"/>
      <c r="F387" s="143"/>
      <c r="G387" s="129"/>
      <c r="H387" s="124"/>
      <c r="I387" s="124"/>
      <c r="J387" s="129"/>
      <c r="K387" s="194"/>
      <c r="L387" s="194"/>
      <c r="M387" s="129"/>
      <c r="N387" s="129" t="e">
        <f>Table1[[#This Row],[Estimated Effort (Hours)]]/NETWORKDAYS(Table1[[#This Row],[Planned Start Date]],Table1[[#This Row],[Planned End Date]])</f>
        <v>#DIV/0!</v>
      </c>
      <c r="O387" s="178">
        <f>NETWORKDAYS(Table1[[#This Row],[Planned Start Date]],Table1[[#This Row],[Planned End Date]])</f>
        <v>0</v>
      </c>
      <c r="P387" s="178">
        <f>NETWORKDAYS(Table1[[#This Row],[Planned Start Date]],$P$7)</f>
        <v>30643</v>
      </c>
      <c r="Q387" s="129"/>
      <c r="R387" s="183" t="str">
        <f>IF(Table1[[#This Row],[Actual Effort (Hours)]]="","",IF(Table1[[#This Row],[Estimated Effort (Hours)]]&lt;20,"L1",IF(Table1[[#This Row],[Estimated Effort (Hours)]]&lt;50,"L2",IF(Table1[[#This Row],[Estimated Effort (Hours)]]&lt;150,"L3",IF(Table1[[#This Row],[Estimated Effort (Hours)]]&lt;300,"L4","L5")))))</f>
        <v/>
      </c>
      <c r="S387" s="184" t="str">
        <f>IF(Table1[[#This Row],[Actual End Date]]="","",TEXT(Table1[[#This Row],[Actual End Date]],"mmm-yy"))</f>
        <v/>
      </c>
      <c r="T3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7" s="185" t="str">
        <f>IFERROR((Table1[[#This Row],[Actual Effort (Hours)]]-Table1[[#This Row],[Estimated Effort (Hours)]])/Table1[[#This Row],[Estimated Effort (Hours)]],"")</f>
        <v/>
      </c>
      <c r="V387" s="149"/>
    </row>
    <row r="388" spans="2:22">
      <c r="B388" s="125"/>
      <c r="C388" s="123"/>
      <c r="D388" s="143"/>
      <c r="E388" s="123"/>
      <c r="F388" s="143"/>
      <c r="G388" s="129"/>
      <c r="H388" s="124"/>
      <c r="I388" s="124"/>
      <c r="J388" s="129"/>
      <c r="K388" s="194"/>
      <c r="L388" s="194"/>
      <c r="M388" s="129"/>
      <c r="N388" s="129" t="e">
        <f>Table1[[#This Row],[Estimated Effort (Hours)]]/NETWORKDAYS(Table1[[#This Row],[Planned Start Date]],Table1[[#This Row],[Planned End Date]])</f>
        <v>#DIV/0!</v>
      </c>
      <c r="O388" s="178">
        <f>NETWORKDAYS(Table1[[#This Row],[Planned Start Date]],Table1[[#This Row],[Planned End Date]])</f>
        <v>0</v>
      </c>
      <c r="P388" s="178">
        <f>NETWORKDAYS(Table1[[#This Row],[Planned Start Date]],$P$7)</f>
        <v>30643</v>
      </c>
      <c r="Q388" s="129"/>
      <c r="R388" s="183" t="str">
        <f>IF(Table1[[#This Row],[Actual Effort (Hours)]]="","",IF(Table1[[#This Row],[Estimated Effort (Hours)]]&lt;20,"L1",IF(Table1[[#This Row],[Estimated Effort (Hours)]]&lt;50,"L2",IF(Table1[[#This Row],[Estimated Effort (Hours)]]&lt;150,"L3",IF(Table1[[#This Row],[Estimated Effort (Hours)]]&lt;300,"L4","L5")))))</f>
        <v/>
      </c>
      <c r="S388" s="184" t="str">
        <f>IF(Table1[[#This Row],[Actual End Date]]="","",TEXT(Table1[[#This Row],[Actual End Date]],"mmm-yy"))</f>
        <v/>
      </c>
      <c r="T3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8" s="185" t="str">
        <f>IFERROR((Table1[[#This Row],[Actual Effort (Hours)]]-Table1[[#This Row],[Estimated Effort (Hours)]])/Table1[[#This Row],[Estimated Effort (Hours)]],"")</f>
        <v/>
      </c>
      <c r="V388" s="149"/>
    </row>
    <row r="389" spans="2:22">
      <c r="B389" s="125"/>
      <c r="C389" s="123"/>
      <c r="D389" s="143"/>
      <c r="E389" s="123"/>
      <c r="F389" s="143"/>
      <c r="G389" s="129"/>
      <c r="H389" s="124"/>
      <c r="I389" s="124"/>
      <c r="J389" s="129"/>
      <c r="K389" s="194"/>
      <c r="L389" s="194"/>
      <c r="M389" s="129"/>
      <c r="N389" s="129" t="e">
        <f>Table1[[#This Row],[Estimated Effort (Hours)]]/NETWORKDAYS(Table1[[#This Row],[Planned Start Date]],Table1[[#This Row],[Planned End Date]])</f>
        <v>#DIV/0!</v>
      </c>
      <c r="O389" s="178">
        <f>NETWORKDAYS(Table1[[#This Row],[Planned Start Date]],Table1[[#This Row],[Planned End Date]])</f>
        <v>0</v>
      </c>
      <c r="P389" s="178">
        <f>NETWORKDAYS(Table1[[#This Row],[Planned Start Date]],$P$7)</f>
        <v>30643</v>
      </c>
      <c r="Q389" s="129"/>
      <c r="R389" s="183" t="str">
        <f>IF(Table1[[#This Row],[Actual Effort (Hours)]]="","",IF(Table1[[#This Row],[Estimated Effort (Hours)]]&lt;20,"L1",IF(Table1[[#This Row],[Estimated Effort (Hours)]]&lt;50,"L2",IF(Table1[[#This Row],[Estimated Effort (Hours)]]&lt;150,"L3",IF(Table1[[#This Row],[Estimated Effort (Hours)]]&lt;300,"L4","L5")))))</f>
        <v/>
      </c>
      <c r="S389" s="184" t="str">
        <f>IF(Table1[[#This Row],[Actual End Date]]="","",TEXT(Table1[[#This Row],[Actual End Date]],"mmm-yy"))</f>
        <v/>
      </c>
      <c r="T3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89" s="185" t="str">
        <f>IFERROR((Table1[[#This Row],[Actual Effort (Hours)]]-Table1[[#This Row],[Estimated Effort (Hours)]])/Table1[[#This Row],[Estimated Effort (Hours)]],"")</f>
        <v/>
      </c>
      <c r="V389" s="149"/>
    </row>
    <row r="390" spans="2:22">
      <c r="B390" s="125"/>
      <c r="C390" s="123"/>
      <c r="D390" s="143"/>
      <c r="E390" s="123"/>
      <c r="F390" s="143"/>
      <c r="G390" s="129"/>
      <c r="H390" s="124"/>
      <c r="I390" s="124"/>
      <c r="J390" s="129"/>
      <c r="K390" s="194"/>
      <c r="L390" s="194"/>
      <c r="M390" s="129"/>
      <c r="N390" s="129" t="e">
        <f>Table1[[#This Row],[Estimated Effort (Hours)]]/NETWORKDAYS(Table1[[#This Row],[Planned Start Date]],Table1[[#This Row],[Planned End Date]])</f>
        <v>#DIV/0!</v>
      </c>
      <c r="O390" s="178">
        <f>NETWORKDAYS(Table1[[#This Row],[Planned Start Date]],Table1[[#This Row],[Planned End Date]])</f>
        <v>0</v>
      </c>
      <c r="P390" s="178">
        <f>NETWORKDAYS(Table1[[#This Row],[Planned Start Date]],$P$7)</f>
        <v>30643</v>
      </c>
      <c r="Q390" s="129"/>
      <c r="R390" s="183" t="str">
        <f>IF(Table1[[#This Row],[Actual Effort (Hours)]]="","",IF(Table1[[#This Row],[Estimated Effort (Hours)]]&lt;20,"L1",IF(Table1[[#This Row],[Estimated Effort (Hours)]]&lt;50,"L2",IF(Table1[[#This Row],[Estimated Effort (Hours)]]&lt;150,"L3",IF(Table1[[#This Row],[Estimated Effort (Hours)]]&lt;300,"L4","L5")))))</f>
        <v/>
      </c>
      <c r="S390" s="184" t="str">
        <f>IF(Table1[[#This Row],[Actual End Date]]="","",TEXT(Table1[[#This Row],[Actual End Date]],"mmm-yy"))</f>
        <v/>
      </c>
      <c r="T3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0" s="185" t="str">
        <f>IFERROR((Table1[[#This Row],[Actual Effort (Hours)]]-Table1[[#This Row],[Estimated Effort (Hours)]])/Table1[[#This Row],[Estimated Effort (Hours)]],"")</f>
        <v/>
      </c>
      <c r="V390" s="149"/>
    </row>
    <row r="391" spans="2:22">
      <c r="B391" s="125"/>
      <c r="C391" s="123"/>
      <c r="D391" s="143"/>
      <c r="E391" s="123"/>
      <c r="F391" s="143"/>
      <c r="G391" s="129"/>
      <c r="H391" s="124"/>
      <c r="I391" s="124"/>
      <c r="J391" s="129"/>
      <c r="K391" s="194"/>
      <c r="L391" s="194"/>
      <c r="M391" s="129"/>
      <c r="N391" s="129" t="e">
        <f>Table1[[#This Row],[Estimated Effort (Hours)]]/NETWORKDAYS(Table1[[#This Row],[Planned Start Date]],Table1[[#This Row],[Planned End Date]])</f>
        <v>#DIV/0!</v>
      </c>
      <c r="O391" s="178">
        <f>NETWORKDAYS(Table1[[#This Row],[Planned Start Date]],Table1[[#This Row],[Planned End Date]])</f>
        <v>0</v>
      </c>
      <c r="P391" s="178">
        <f>NETWORKDAYS(Table1[[#This Row],[Planned Start Date]],$P$7)</f>
        <v>30643</v>
      </c>
      <c r="Q391" s="129"/>
      <c r="R391" s="183" t="str">
        <f>IF(Table1[[#This Row],[Actual Effort (Hours)]]="","",IF(Table1[[#This Row],[Estimated Effort (Hours)]]&lt;20,"L1",IF(Table1[[#This Row],[Estimated Effort (Hours)]]&lt;50,"L2",IF(Table1[[#This Row],[Estimated Effort (Hours)]]&lt;150,"L3",IF(Table1[[#This Row],[Estimated Effort (Hours)]]&lt;300,"L4","L5")))))</f>
        <v/>
      </c>
      <c r="S391" s="184" t="str">
        <f>IF(Table1[[#This Row],[Actual End Date]]="","",TEXT(Table1[[#This Row],[Actual End Date]],"mmm-yy"))</f>
        <v/>
      </c>
      <c r="T3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1" s="185" t="str">
        <f>IFERROR((Table1[[#This Row],[Actual Effort (Hours)]]-Table1[[#This Row],[Estimated Effort (Hours)]])/Table1[[#This Row],[Estimated Effort (Hours)]],"")</f>
        <v/>
      </c>
      <c r="V391" s="149"/>
    </row>
    <row r="392" spans="2:22">
      <c r="B392" s="125"/>
      <c r="C392" s="123"/>
      <c r="D392" s="143"/>
      <c r="E392" s="123"/>
      <c r="F392" s="143"/>
      <c r="G392" s="129"/>
      <c r="H392" s="124"/>
      <c r="I392" s="124"/>
      <c r="J392" s="129"/>
      <c r="K392" s="194"/>
      <c r="L392" s="194"/>
      <c r="M392" s="129"/>
      <c r="N392" s="129" t="e">
        <f>Table1[[#This Row],[Estimated Effort (Hours)]]/NETWORKDAYS(Table1[[#This Row],[Planned Start Date]],Table1[[#This Row],[Planned End Date]])</f>
        <v>#DIV/0!</v>
      </c>
      <c r="O392" s="178">
        <f>NETWORKDAYS(Table1[[#This Row],[Planned Start Date]],Table1[[#This Row],[Planned End Date]])</f>
        <v>0</v>
      </c>
      <c r="P392" s="178">
        <f>NETWORKDAYS(Table1[[#This Row],[Planned Start Date]],$P$7)</f>
        <v>30643</v>
      </c>
      <c r="Q392" s="129"/>
      <c r="R392" s="183" t="str">
        <f>IF(Table1[[#This Row],[Actual Effort (Hours)]]="","",IF(Table1[[#This Row],[Estimated Effort (Hours)]]&lt;20,"L1",IF(Table1[[#This Row],[Estimated Effort (Hours)]]&lt;50,"L2",IF(Table1[[#This Row],[Estimated Effort (Hours)]]&lt;150,"L3",IF(Table1[[#This Row],[Estimated Effort (Hours)]]&lt;300,"L4","L5")))))</f>
        <v/>
      </c>
      <c r="S392" s="184" t="str">
        <f>IF(Table1[[#This Row],[Actual End Date]]="","",TEXT(Table1[[#This Row],[Actual End Date]],"mmm-yy"))</f>
        <v/>
      </c>
      <c r="T3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2" s="185" t="str">
        <f>IFERROR((Table1[[#This Row],[Actual Effort (Hours)]]-Table1[[#This Row],[Estimated Effort (Hours)]])/Table1[[#This Row],[Estimated Effort (Hours)]],"")</f>
        <v/>
      </c>
      <c r="V392" s="149"/>
    </row>
    <row r="393" spans="2:22">
      <c r="B393" s="125"/>
      <c r="C393" s="123"/>
      <c r="D393" s="143"/>
      <c r="E393" s="123"/>
      <c r="F393" s="143"/>
      <c r="G393" s="129"/>
      <c r="H393" s="124"/>
      <c r="I393" s="124"/>
      <c r="J393" s="129"/>
      <c r="K393" s="194"/>
      <c r="L393" s="194"/>
      <c r="M393" s="129"/>
      <c r="N393" s="129" t="e">
        <f>Table1[[#This Row],[Estimated Effort (Hours)]]/NETWORKDAYS(Table1[[#This Row],[Planned Start Date]],Table1[[#This Row],[Planned End Date]])</f>
        <v>#DIV/0!</v>
      </c>
      <c r="O393" s="178">
        <f>NETWORKDAYS(Table1[[#This Row],[Planned Start Date]],Table1[[#This Row],[Planned End Date]])</f>
        <v>0</v>
      </c>
      <c r="P393" s="178">
        <f>NETWORKDAYS(Table1[[#This Row],[Planned Start Date]],$P$7)</f>
        <v>30643</v>
      </c>
      <c r="Q393" s="129"/>
      <c r="R393" s="183" t="str">
        <f>IF(Table1[[#This Row],[Actual Effort (Hours)]]="","",IF(Table1[[#This Row],[Estimated Effort (Hours)]]&lt;20,"L1",IF(Table1[[#This Row],[Estimated Effort (Hours)]]&lt;50,"L2",IF(Table1[[#This Row],[Estimated Effort (Hours)]]&lt;150,"L3",IF(Table1[[#This Row],[Estimated Effort (Hours)]]&lt;300,"L4","L5")))))</f>
        <v/>
      </c>
      <c r="S393" s="184" t="str">
        <f>IF(Table1[[#This Row],[Actual End Date]]="","",TEXT(Table1[[#This Row],[Actual End Date]],"mmm-yy"))</f>
        <v/>
      </c>
      <c r="T3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3" s="185" t="str">
        <f>IFERROR((Table1[[#This Row],[Actual Effort (Hours)]]-Table1[[#This Row],[Estimated Effort (Hours)]])/Table1[[#This Row],[Estimated Effort (Hours)]],"")</f>
        <v/>
      </c>
      <c r="V393" s="149"/>
    </row>
    <row r="394" spans="2:22">
      <c r="B394" s="125"/>
      <c r="C394" s="123"/>
      <c r="D394" s="143"/>
      <c r="E394" s="123"/>
      <c r="F394" s="143"/>
      <c r="G394" s="129"/>
      <c r="H394" s="124"/>
      <c r="I394" s="124"/>
      <c r="J394" s="129"/>
      <c r="K394" s="194"/>
      <c r="L394" s="194"/>
      <c r="M394" s="129"/>
      <c r="N394" s="129" t="e">
        <f>Table1[[#This Row],[Estimated Effort (Hours)]]/NETWORKDAYS(Table1[[#This Row],[Planned Start Date]],Table1[[#This Row],[Planned End Date]])</f>
        <v>#DIV/0!</v>
      </c>
      <c r="O394" s="178">
        <f>NETWORKDAYS(Table1[[#This Row],[Planned Start Date]],Table1[[#This Row],[Planned End Date]])</f>
        <v>0</v>
      </c>
      <c r="P394" s="178">
        <f>NETWORKDAYS(Table1[[#This Row],[Planned Start Date]],$P$7)</f>
        <v>30643</v>
      </c>
      <c r="Q394" s="129"/>
      <c r="R394" s="183" t="str">
        <f>IF(Table1[[#This Row],[Actual Effort (Hours)]]="","",IF(Table1[[#This Row],[Estimated Effort (Hours)]]&lt;20,"L1",IF(Table1[[#This Row],[Estimated Effort (Hours)]]&lt;50,"L2",IF(Table1[[#This Row],[Estimated Effort (Hours)]]&lt;150,"L3",IF(Table1[[#This Row],[Estimated Effort (Hours)]]&lt;300,"L4","L5")))))</f>
        <v/>
      </c>
      <c r="S394" s="184" t="str">
        <f>IF(Table1[[#This Row],[Actual End Date]]="","",TEXT(Table1[[#This Row],[Actual End Date]],"mmm-yy"))</f>
        <v/>
      </c>
      <c r="T3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4" s="185" t="str">
        <f>IFERROR((Table1[[#This Row],[Actual Effort (Hours)]]-Table1[[#This Row],[Estimated Effort (Hours)]])/Table1[[#This Row],[Estimated Effort (Hours)]],"")</f>
        <v/>
      </c>
      <c r="V394" s="149"/>
    </row>
    <row r="395" spans="2:22">
      <c r="B395" s="125"/>
      <c r="C395" s="123"/>
      <c r="D395" s="143"/>
      <c r="E395" s="123"/>
      <c r="F395" s="143"/>
      <c r="G395" s="129"/>
      <c r="H395" s="124"/>
      <c r="I395" s="124"/>
      <c r="J395" s="129"/>
      <c r="K395" s="194"/>
      <c r="L395" s="194"/>
      <c r="M395" s="129"/>
      <c r="N395" s="129" t="e">
        <f>Table1[[#This Row],[Estimated Effort (Hours)]]/NETWORKDAYS(Table1[[#This Row],[Planned Start Date]],Table1[[#This Row],[Planned End Date]])</f>
        <v>#DIV/0!</v>
      </c>
      <c r="O395" s="178">
        <f>NETWORKDAYS(Table1[[#This Row],[Planned Start Date]],Table1[[#This Row],[Planned End Date]])</f>
        <v>0</v>
      </c>
      <c r="P395" s="178">
        <f>NETWORKDAYS(Table1[[#This Row],[Planned Start Date]],$P$7)</f>
        <v>30643</v>
      </c>
      <c r="Q395" s="129"/>
      <c r="R395" s="183" t="str">
        <f>IF(Table1[[#This Row],[Actual Effort (Hours)]]="","",IF(Table1[[#This Row],[Estimated Effort (Hours)]]&lt;20,"L1",IF(Table1[[#This Row],[Estimated Effort (Hours)]]&lt;50,"L2",IF(Table1[[#This Row],[Estimated Effort (Hours)]]&lt;150,"L3",IF(Table1[[#This Row],[Estimated Effort (Hours)]]&lt;300,"L4","L5")))))</f>
        <v/>
      </c>
      <c r="S395" s="184" t="str">
        <f>IF(Table1[[#This Row],[Actual End Date]]="","",TEXT(Table1[[#This Row],[Actual End Date]],"mmm-yy"))</f>
        <v/>
      </c>
      <c r="T3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5" s="185" t="str">
        <f>IFERROR((Table1[[#This Row],[Actual Effort (Hours)]]-Table1[[#This Row],[Estimated Effort (Hours)]])/Table1[[#This Row],[Estimated Effort (Hours)]],"")</f>
        <v/>
      </c>
      <c r="V395" s="149"/>
    </row>
    <row r="396" spans="2:22">
      <c r="B396" s="125"/>
      <c r="C396" s="123"/>
      <c r="D396" s="143"/>
      <c r="E396" s="123"/>
      <c r="F396" s="143"/>
      <c r="G396" s="129"/>
      <c r="H396" s="124"/>
      <c r="I396" s="124"/>
      <c r="J396" s="129"/>
      <c r="K396" s="194"/>
      <c r="L396" s="194"/>
      <c r="M396" s="129"/>
      <c r="N396" s="129" t="e">
        <f>Table1[[#This Row],[Estimated Effort (Hours)]]/NETWORKDAYS(Table1[[#This Row],[Planned Start Date]],Table1[[#This Row],[Planned End Date]])</f>
        <v>#DIV/0!</v>
      </c>
      <c r="O396" s="178">
        <f>NETWORKDAYS(Table1[[#This Row],[Planned Start Date]],Table1[[#This Row],[Planned End Date]])</f>
        <v>0</v>
      </c>
      <c r="P396" s="178">
        <f>NETWORKDAYS(Table1[[#This Row],[Planned Start Date]],$P$7)</f>
        <v>30643</v>
      </c>
      <c r="Q396" s="129"/>
      <c r="R396" s="183" t="str">
        <f>IF(Table1[[#This Row],[Actual Effort (Hours)]]="","",IF(Table1[[#This Row],[Estimated Effort (Hours)]]&lt;20,"L1",IF(Table1[[#This Row],[Estimated Effort (Hours)]]&lt;50,"L2",IF(Table1[[#This Row],[Estimated Effort (Hours)]]&lt;150,"L3",IF(Table1[[#This Row],[Estimated Effort (Hours)]]&lt;300,"L4","L5")))))</f>
        <v/>
      </c>
      <c r="S396" s="184" t="str">
        <f>IF(Table1[[#This Row],[Actual End Date]]="","",TEXT(Table1[[#This Row],[Actual End Date]],"mmm-yy"))</f>
        <v/>
      </c>
      <c r="T3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6" s="185" t="str">
        <f>IFERROR((Table1[[#This Row],[Actual Effort (Hours)]]-Table1[[#This Row],[Estimated Effort (Hours)]])/Table1[[#This Row],[Estimated Effort (Hours)]],"")</f>
        <v/>
      </c>
      <c r="V396" s="149"/>
    </row>
    <row r="397" spans="2:22">
      <c r="B397" s="125"/>
      <c r="C397" s="123"/>
      <c r="D397" s="143"/>
      <c r="E397" s="123"/>
      <c r="F397" s="143"/>
      <c r="G397" s="129"/>
      <c r="H397" s="124"/>
      <c r="I397" s="124"/>
      <c r="J397" s="129"/>
      <c r="K397" s="194"/>
      <c r="L397" s="194"/>
      <c r="M397" s="129"/>
      <c r="N397" s="129" t="e">
        <f>Table1[[#This Row],[Estimated Effort (Hours)]]/NETWORKDAYS(Table1[[#This Row],[Planned Start Date]],Table1[[#This Row],[Planned End Date]])</f>
        <v>#DIV/0!</v>
      </c>
      <c r="O397" s="178">
        <f>NETWORKDAYS(Table1[[#This Row],[Planned Start Date]],Table1[[#This Row],[Planned End Date]])</f>
        <v>0</v>
      </c>
      <c r="P397" s="178">
        <f>NETWORKDAYS(Table1[[#This Row],[Planned Start Date]],$P$7)</f>
        <v>30643</v>
      </c>
      <c r="Q397" s="129"/>
      <c r="R397" s="183" t="str">
        <f>IF(Table1[[#This Row],[Actual Effort (Hours)]]="","",IF(Table1[[#This Row],[Estimated Effort (Hours)]]&lt;20,"L1",IF(Table1[[#This Row],[Estimated Effort (Hours)]]&lt;50,"L2",IF(Table1[[#This Row],[Estimated Effort (Hours)]]&lt;150,"L3",IF(Table1[[#This Row],[Estimated Effort (Hours)]]&lt;300,"L4","L5")))))</f>
        <v/>
      </c>
      <c r="S397" s="184" t="str">
        <f>IF(Table1[[#This Row],[Actual End Date]]="","",TEXT(Table1[[#This Row],[Actual End Date]],"mmm-yy"))</f>
        <v/>
      </c>
      <c r="T3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7" s="185" t="str">
        <f>IFERROR((Table1[[#This Row],[Actual Effort (Hours)]]-Table1[[#This Row],[Estimated Effort (Hours)]])/Table1[[#This Row],[Estimated Effort (Hours)]],"")</f>
        <v/>
      </c>
      <c r="V397" s="149"/>
    </row>
    <row r="398" spans="2:22">
      <c r="B398" s="125"/>
      <c r="C398" s="123"/>
      <c r="D398" s="143"/>
      <c r="E398" s="123"/>
      <c r="F398" s="143"/>
      <c r="G398" s="129"/>
      <c r="H398" s="124"/>
      <c r="I398" s="124"/>
      <c r="J398" s="129"/>
      <c r="K398" s="194"/>
      <c r="L398" s="194"/>
      <c r="M398" s="129"/>
      <c r="N398" s="129" t="e">
        <f>Table1[[#This Row],[Estimated Effort (Hours)]]/NETWORKDAYS(Table1[[#This Row],[Planned Start Date]],Table1[[#This Row],[Planned End Date]])</f>
        <v>#DIV/0!</v>
      </c>
      <c r="O398" s="178">
        <f>NETWORKDAYS(Table1[[#This Row],[Planned Start Date]],Table1[[#This Row],[Planned End Date]])</f>
        <v>0</v>
      </c>
      <c r="P398" s="178">
        <f>NETWORKDAYS(Table1[[#This Row],[Planned Start Date]],$P$7)</f>
        <v>30643</v>
      </c>
      <c r="Q398" s="129"/>
      <c r="R398" s="183" t="str">
        <f>IF(Table1[[#This Row],[Actual Effort (Hours)]]="","",IF(Table1[[#This Row],[Estimated Effort (Hours)]]&lt;20,"L1",IF(Table1[[#This Row],[Estimated Effort (Hours)]]&lt;50,"L2",IF(Table1[[#This Row],[Estimated Effort (Hours)]]&lt;150,"L3",IF(Table1[[#This Row],[Estimated Effort (Hours)]]&lt;300,"L4","L5")))))</f>
        <v/>
      </c>
      <c r="S398" s="184" t="str">
        <f>IF(Table1[[#This Row],[Actual End Date]]="","",TEXT(Table1[[#This Row],[Actual End Date]],"mmm-yy"))</f>
        <v/>
      </c>
      <c r="T3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8" s="185" t="str">
        <f>IFERROR((Table1[[#This Row],[Actual Effort (Hours)]]-Table1[[#This Row],[Estimated Effort (Hours)]])/Table1[[#This Row],[Estimated Effort (Hours)]],"")</f>
        <v/>
      </c>
      <c r="V398" s="149"/>
    </row>
    <row r="399" spans="2:22">
      <c r="B399" s="125"/>
      <c r="C399" s="123"/>
      <c r="D399" s="143"/>
      <c r="E399" s="123"/>
      <c r="F399" s="143"/>
      <c r="G399" s="129"/>
      <c r="H399" s="124"/>
      <c r="I399" s="124"/>
      <c r="J399" s="129"/>
      <c r="K399" s="194"/>
      <c r="L399" s="194"/>
      <c r="M399" s="129"/>
      <c r="N399" s="129" t="e">
        <f>Table1[[#This Row],[Estimated Effort (Hours)]]/NETWORKDAYS(Table1[[#This Row],[Planned Start Date]],Table1[[#This Row],[Planned End Date]])</f>
        <v>#DIV/0!</v>
      </c>
      <c r="O399" s="178">
        <f>NETWORKDAYS(Table1[[#This Row],[Planned Start Date]],Table1[[#This Row],[Planned End Date]])</f>
        <v>0</v>
      </c>
      <c r="P399" s="178">
        <f>NETWORKDAYS(Table1[[#This Row],[Planned Start Date]],$P$7)</f>
        <v>30643</v>
      </c>
      <c r="Q399" s="129"/>
      <c r="R399" s="183" t="str">
        <f>IF(Table1[[#This Row],[Actual Effort (Hours)]]="","",IF(Table1[[#This Row],[Estimated Effort (Hours)]]&lt;20,"L1",IF(Table1[[#This Row],[Estimated Effort (Hours)]]&lt;50,"L2",IF(Table1[[#This Row],[Estimated Effort (Hours)]]&lt;150,"L3",IF(Table1[[#This Row],[Estimated Effort (Hours)]]&lt;300,"L4","L5")))))</f>
        <v/>
      </c>
      <c r="S399" s="184" t="str">
        <f>IF(Table1[[#This Row],[Actual End Date]]="","",TEXT(Table1[[#This Row],[Actual End Date]],"mmm-yy"))</f>
        <v/>
      </c>
      <c r="T3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399" s="185" t="str">
        <f>IFERROR((Table1[[#This Row],[Actual Effort (Hours)]]-Table1[[#This Row],[Estimated Effort (Hours)]])/Table1[[#This Row],[Estimated Effort (Hours)]],"")</f>
        <v/>
      </c>
      <c r="V399" s="149"/>
    </row>
    <row r="400" spans="2:22">
      <c r="B400" s="125"/>
      <c r="C400" s="123"/>
      <c r="D400" s="143"/>
      <c r="E400" s="123"/>
      <c r="F400" s="143"/>
      <c r="G400" s="129"/>
      <c r="H400" s="124"/>
      <c r="I400" s="124"/>
      <c r="J400" s="129"/>
      <c r="K400" s="194"/>
      <c r="L400" s="194"/>
      <c r="M400" s="129"/>
      <c r="N400" s="129" t="e">
        <f>Table1[[#This Row],[Estimated Effort (Hours)]]/NETWORKDAYS(Table1[[#This Row],[Planned Start Date]],Table1[[#This Row],[Planned End Date]])</f>
        <v>#DIV/0!</v>
      </c>
      <c r="O400" s="178">
        <f>NETWORKDAYS(Table1[[#This Row],[Planned Start Date]],Table1[[#This Row],[Planned End Date]])</f>
        <v>0</v>
      </c>
      <c r="P400" s="178">
        <f>NETWORKDAYS(Table1[[#This Row],[Planned Start Date]],$P$7)</f>
        <v>30643</v>
      </c>
      <c r="Q400" s="129"/>
      <c r="R400" s="183" t="str">
        <f>IF(Table1[[#This Row],[Actual Effort (Hours)]]="","",IF(Table1[[#This Row],[Estimated Effort (Hours)]]&lt;20,"L1",IF(Table1[[#This Row],[Estimated Effort (Hours)]]&lt;50,"L2",IF(Table1[[#This Row],[Estimated Effort (Hours)]]&lt;150,"L3",IF(Table1[[#This Row],[Estimated Effort (Hours)]]&lt;300,"L4","L5")))))</f>
        <v/>
      </c>
      <c r="S400" s="184" t="str">
        <f>IF(Table1[[#This Row],[Actual End Date]]="","",TEXT(Table1[[#This Row],[Actual End Date]],"mmm-yy"))</f>
        <v/>
      </c>
      <c r="T4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0" s="185" t="str">
        <f>IFERROR((Table1[[#This Row],[Actual Effort (Hours)]]-Table1[[#This Row],[Estimated Effort (Hours)]])/Table1[[#This Row],[Estimated Effort (Hours)]],"")</f>
        <v/>
      </c>
      <c r="V400" s="149"/>
    </row>
    <row r="401" spans="2:22">
      <c r="B401" s="125"/>
      <c r="C401" s="123"/>
      <c r="D401" s="143"/>
      <c r="E401" s="123"/>
      <c r="F401" s="143"/>
      <c r="G401" s="129"/>
      <c r="H401" s="124"/>
      <c r="I401" s="124"/>
      <c r="J401" s="129"/>
      <c r="K401" s="194"/>
      <c r="L401" s="194"/>
      <c r="M401" s="129"/>
      <c r="N401" s="129" t="e">
        <f>Table1[[#This Row],[Estimated Effort (Hours)]]/NETWORKDAYS(Table1[[#This Row],[Planned Start Date]],Table1[[#This Row],[Planned End Date]])</f>
        <v>#DIV/0!</v>
      </c>
      <c r="O401" s="178">
        <f>NETWORKDAYS(Table1[[#This Row],[Planned Start Date]],Table1[[#This Row],[Planned End Date]])</f>
        <v>0</v>
      </c>
      <c r="P401" s="178">
        <f>NETWORKDAYS(Table1[[#This Row],[Planned Start Date]],$P$7)</f>
        <v>30643</v>
      </c>
      <c r="Q401" s="129"/>
      <c r="R401" s="183" t="str">
        <f>IF(Table1[[#This Row],[Actual Effort (Hours)]]="","",IF(Table1[[#This Row],[Estimated Effort (Hours)]]&lt;20,"L1",IF(Table1[[#This Row],[Estimated Effort (Hours)]]&lt;50,"L2",IF(Table1[[#This Row],[Estimated Effort (Hours)]]&lt;150,"L3",IF(Table1[[#This Row],[Estimated Effort (Hours)]]&lt;300,"L4","L5")))))</f>
        <v/>
      </c>
      <c r="S401" s="184" t="str">
        <f>IF(Table1[[#This Row],[Actual End Date]]="","",TEXT(Table1[[#This Row],[Actual End Date]],"mmm-yy"))</f>
        <v/>
      </c>
      <c r="T4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1" s="185" t="str">
        <f>IFERROR((Table1[[#This Row],[Actual Effort (Hours)]]-Table1[[#This Row],[Estimated Effort (Hours)]])/Table1[[#This Row],[Estimated Effort (Hours)]],"")</f>
        <v/>
      </c>
      <c r="V401" s="149"/>
    </row>
    <row r="402" spans="2:22">
      <c r="B402" s="125"/>
      <c r="C402" s="123"/>
      <c r="D402" s="143"/>
      <c r="E402" s="123"/>
      <c r="F402" s="143"/>
      <c r="G402" s="129"/>
      <c r="H402" s="124"/>
      <c r="I402" s="124"/>
      <c r="J402" s="129"/>
      <c r="K402" s="194"/>
      <c r="L402" s="194"/>
      <c r="M402" s="129"/>
      <c r="N402" s="129" t="e">
        <f>Table1[[#This Row],[Estimated Effort (Hours)]]/NETWORKDAYS(Table1[[#This Row],[Planned Start Date]],Table1[[#This Row],[Planned End Date]])</f>
        <v>#DIV/0!</v>
      </c>
      <c r="O402" s="178">
        <f>NETWORKDAYS(Table1[[#This Row],[Planned Start Date]],Table1[[#This Row],[Planned End Date]])</f>
        <v>0</v>
      </c>
      <c r="P402" s="178">
        <f>NETWORKDAYS(Table1[[#This Row],[Planned Start Date]],$P$7)</f>
        <v>30643</v>
      </c>
      <c r="Q402" s="129"/>
      <c r="R402" s="183" t="str">
        <f>IF(Table1[[#This Row],[Actual Effort (Hours)]]="","",IF(Table1[[#This Row],[Estimated Effort (Hours)]]&lt;20,"L1",IF(Table1[[#This Row],[Estimated Effort (Hours)]]&lt;50,"L2",IF(Table1[[#This Row],[Estimated Effort (Hours)]]&lt;150,"L3",IF(Table1[[#This Row],[Estimated Effort (Hours)]]&lt;300,"L4","L5")))))</f>
        <v/>
      </c>
      <c r="S402" s="184" t="str">
        <f>IF(Table1[[#This Row],[Actual End Date]]="","",TEXT(Table1[[#This Row],[Actual End Date]],"mmm-yy"))</f>
        <v/>
      </c>
      <c r="T4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2" s="185" t="str">
        <f>IFERROR((Table1[[#This Row],[Actual Effort (Hours)]]-Table1[[#This Row],[Estimated Effort (Hours)]])/Table1[[#This Row],[Estimated Effort (Hours)]],"")</f>
        <v/>
      </c>
      <c r="V402" s="149"/>
    </row>
    <row r="403" spans="2:22">
      <c r="B403" s="196"/>
      <c r="C403" s="116"/>
      <c r="D403" s="197"/>
      <c r="E403" s="198"/>
      <c r="F403" s="197"/>
      <c r="G403" s="116"/>
      <c r="H403" s="199"/>
      <c r="I403" s="199"/>
      <c r="J403" s="204"/>
      <c r="K403" s="199"/>
      <c r="L403" s="199"/>
      <c r="M403" s="204"/>
      <c r="N403" s="129" t="e">
        <f>Table1[[#This Row],[Estimated Effort (Hours)]]/NETWORKDAYS(Table1[[#This Row],[Planned Start Date]],Table1[[#This Row],[Planned End Date]])</f>
        <v>#DIV/0!</v>
      </c>
      <c r="O403" s="178">
        <f>NETWORKDAYS(Table1[[#This Row],[Planned Start Date]],Table1[[#This Row],[Planned End Date]])</f>
        <v>0</v>
      </c>
      <c r="P403" s="178">
        <f>NETWORKDAYS(Table1[[#This Row],[Planned Start Date]],$P$7)</f>
        <v>30643</v>
      </c>
      <c r="Q403" s="129"/>
      <c r="R403" s="183" t="str">
        <f>IF(Table1[[#This Row],[Actual Effort (Hours)]]="","",IF(Table1[[#This Row],[Estimated Effort (Hours)]]&lt;20,"L1",IF(Table1[[#This Row],[Estimated Effort (Hours)]]&lt;50,"L2",IF(Table1[[#This Row],[Estimated Effort (Hours)]]&lt;150,"L3",IF(Table1[[#This Row],[Estimated Effort (Hours)]]&lt;300,"L4","L5")))))</f>
        <v/>
      </c>
      <c r="S403" s="184" t="str">
        <f>IF(Table1[[#This Row],[Actual End Date]]="","",TEXT(Table1[[#This Row],[Actual End Date]],"mmm-yy"))</f>
        <v/>
      </c>
      <c r="T4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3" s="185" t="str">
        <f>IFERROR((Table1[[#This Row],[Actual Effort (Hours)]]-Table1[[#This Row],[Estimated Effort (Hours)]])/Table1[[#This Row],[Estimated Effort (Hours)]],"")</f>
        <v/>
      </c>
      <c r="V403" s="149"/>
    </row>
    <row r="404" spans="2:22">
      <c r="B404" s="196"/>
      <c r="C404" s="116"/>
      <c r="D404" s="197"/>
      <c r="E404" s="198"/>
      <c r="F404" s="197"/>
      <c r="G404" s="116"/>
      <c r="H404" s="199"/>
      <c r="I404" s="199"/>
      <c r="J404" s="204"/>
      <c r="K404" s="199"/>
      <c r="L404" s="199"/>
      <c r="M404" s="204"/>
      <c r="N404" s="129" t="e">
        <f>Table1[[#This Row],[Estimated Effort (Hours)]]/NETWORKDAYS(Table1[[#This Row],[Planned Start Date]],Table1[[#This Row],[Planned End Date]])</f>
        <v>#DIV/0!</v>
      </c>
      <c r="O404" s="178">
        <f>NETWORKDAYS(Table1[[#This Row],[Planned Start Date]],Table1[[#This Row],[Planned End Date]])</f>
        <v>0</v>
      </c>
      <c r="P404" s="178">
        <f>NETWORKDAYS(Table1[[#This Row],[Planned Start Date]],$P$7)</f>
        <v>30643</v>
      </c>
      <c r="Q404" s="129"/>
      <c r="R404" s="183" t="str">
        <f>IF(Table1[[#This Row],[Actual Effort (Hours)]]="","",IF(Table1[[#This Row],[Estimated Effort (Hours)]]&lt;20,"L1",IF(Table1[[#This Row],[Estimated Effort (Hours)]]&lt;50,"L2",IF(Table1[[#This Row],[Estimated Effort (Hours)]]&lt;150,"L3",IF(Table1[[#This Row],[Estimated Effort (Hours)]]&lt;300,"L4","L5")))))</f>
        <v/>
      </c>
      <c r="S404" s="184" t="str">
        <f>IF(Table1[[#This Row],[Actual End Date]]="","",TEXT(Table1[[#This Row],[Actual End Date]],"mmm-yy"))</f>
        <v/>
      </c>
      <c r="T4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4" s="185" t="str">
        <f>IFERROR((Table1[[#This Row],[Actual Effort (Hours)]]-Table1[[#This Row],[Estimated Effort (Hours)]])/Table1[[#This Row],[Estimated Effort (Hours)]],"")</f>
        <v/>
      </c>
      <c r="V404" s="149"/>
    </row>
    <row r="405" spans="2:22">
      <c r="B405" s="196"/>
      <c r="C405" s="116"/>
      <c r="D405" s="197"/>
      <c r="E405" s="198"/>
      <c r="F405" s="197"/>
      <c r="G405" s="116"/>
      <c r="H405" s="199"/>
      <c r="I405" s="199"/>
      <c r="J405" s="204"/>
      <c r="K405" s="199"/>
      <c r="L405" s="199"/>
      <c r="M405" s="204"/>
      <c r="N405" s="129" t="e">
        <f>Table1[[#This Row],[Estimated Effort (Hours)]]/NETWORKDAYS(Table1[[#This Row],[Planned Start Date]],Table1[[#This Row],[Planned End Date]])</f>
        <v>#DIV/0!</v>
      </c>
      <c r="O405" s="178">
        <f>NETWORKDAYS(Table1[[#This Row],[Planned Start Date]],Table1[[#This Row],[Planned End Date]])</f>
        <v>0</v>
      </c>
      <c r="P405" s="178">
        <f>NETWORKDAYS(Table1[[#This Row],[Planned Start Date]],$P$7)</f>
        <v>30643</v>
      </c>
      <c r="Q405" s="129"/>
      <c r="R405" s="183" t="str">
        <f>IF(Table1[[#This Row],[Actual Effort (Hours)]]="","",IF(Table1[[#This Row],[Estimated Effort (Hours)]]&lt;20,"L1",IF(Table1[[#This Row],[Estimated Effort (Hours)]]&lt;50,"L2",IF(Table1[[#This Row],[Estimated Effort (Hours)]]&lt;150,"L3",IF(Table1[[#This Row],[Estimated Effort (Hours)]]&lt;300,"L4","L5")))))</f>
        <v/>
      </c>
      <c r="S405" s="184" t="str">
        <f>IF(Table1[[#This Row],[Actual End Date]]="","",TEXT(Table1[[#This Row],[Actual End Date]],"mmm-yy"))</f>
        <v/>
      </c>
      <c r="T4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5" s="185" t="str">
        <f>IFERROR((Table1[[#This Row],[Actual Effort (Hours)]]-Table1[[#This Row],[Estimated Effort (Hours)]])/Table1[[#This Row],[Estimated Effort (Hours)]],"")</f>
        <v/>
      </c>
      <c r="V405" s="149"/>
    </row>
    <row r="406" spans="2:22">
      <c r="B406" s="196"/>
      <c r="C406" s="116"/>
      <c r="D406" s="197"/>
      <c r="E406" s="198"/>
      <c r="F406" s="197"/>
      <c r="G406" s="116"/>
      <c r="H406" s="199"/>
      <c r="I406" s="199"/>
      <c r="J406" s="204"/>
      <c r="K406" s="199"/>
      <c r="L406" s="199"/>
      <c r="M406" s="204"/>
      <c r="N406" s="129" t="e">
        <f>Table1[[#This Row],[Estimated Effort (Hours)]]/NETWORKDAYS(Table1[[#This Row],[Planned Start Date]],Table1[[#This Row],[Planned End Date]])</f>
        <v>#DIV/0!</v>
      </c>
      <c r="O406" s="178">
        <f>NETWORKDAYS(Table1[[#This Row],[Planned Start Date]],Table1[[#This Row],[Planned End Date]])</f>
        <v>0</v>
      </c>
      <c r="P406" s="178">
        <f>NETWORKDAYS(Table1[[#This Row],[Planned Start Date]],$P$7)</f>
        <v>30643</v>
      </c>
      <c r="Q406" s="129"/>
      <c r="R406" s="183" t="str">
        <f>IF(Table1[[#This Row],[Actual Effort (Hours)]]="","",IF(Table1[[#This Row],[Estimated Effort (Hours)]]&lt;20,"L1",IF(Table1[[#This Row],[Estimated Effort (Hours)]]&lt;50,"L2",IF(Table1[[#This Row],[Estimated Effort (Hours)]]&lt;150,"L3",IF(Table1[[#This Row],[Estimated Effort (Hours)]]&lt;300,"L4","L5")))))</f>
        <v/>
      </c>
      <c r="S406" s="184" t="str">
        <f>IF(Table1[[#This Row],[Actual End Date]]="","",TEXT(Table1[[#This Row],[Actual End Date]],"mmm-yy"))</f>
        <v/>
      </c>
      <c r="T4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6" s="185" t="str">
        <f>IFERROR((Table1[[#This Row],[Actual Effort (Hours)]]-Table1[[#This Row],[Estimated Effort (Hours)]])/Table1[[#This Row],[Estimated Effort (Hours)]],"")</f>
        <v/>
      </c>
      <c r="V406" s="149"/>
    </row>
    <row r="407" spans="2:22">
      <c r="B407" s="196"/>
      <c r="C407" s="116"/>
      <c r="D407" s="197"/>
      <c r="E407" s="198"/>
      <c r="F407" s="197"/>
      <c r="G407" s="116"/>
      <c r="H407" s="199"/>
      <c r="I407" s="199"/>
      <c r="J407" s="204"/>
      <c r="K407" s="199"/>
      <c r="L407" s="199"/>
      <c r="M407" s="204"/>
      <c r="N407" s="129" t="e">
        <f>Table1[[#This Row],[Estimated Effort (Hours)]]/NETWORKDAYS(Table1[[#This Row],[Planned Start Date]],Table1[[#This Row],[Planned End Date]])</f>
        <v>#DIV/0!</v>
      </c>
      <c r="O407" s="178">
        <f>NETWORKDAYS(Table1[[#This Row],[Planned Start Date]],Table1[[#This Row],[Planned End Date]])</f>
        <v>0</v>
      </c>
      <c r="P407" s="178">
        <f>NETWORKDAYS(Table1[[#This Row],[Planned Start Date]],$P$7)</f>
        <v>30643</v>
      </c>
      <c r="Q407" s="129"/>
      <c r="R407" s="183" t="str">
        <f>IF(Table1[[#This Row],[Actual Effort (Hours)]]="","",IF(Table1[[#This Row],[Estimated Effort (Hours)]]&lt;20,"L1",IF(Table1[[#This Row],[Estimated Effort (Hours)]]&lt;50,"L2",IF(Table1[[#This Row],[Estimated Effort (Hours)]]&lt;150,"L3",IF(Table1[[#This Row],[Estimated Effort (Hours)]]&lt;300,"L4","L5")))))</f>
        <v/>
      </c>
      <c r="S407" s="184" t="str">
        <f>IF(Table1[[#This Row],[Actual End Date]]="","",TEXT(Table1[[#This Row],[Actual End Date]],"mmm-yy"))</f>
        <v/>
      </c>
      <c r="T4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7" s="185" t="str">
        <f>IFERROR((Table1[[#This Row],[Actual Effort (Hours)]]-Table1[[#This Row],[Estimated Effort (Hours)]])/Table1[[#This Row],[Estimated Effort (Hours)]],"")</f>
        <v/>
      </c>
      <c r="V407" s="149"/>
    </row>
    <row r="408" spans="2:22">
      <c r="B408" s="196"/>
      <c r="C408" s="116"/>
      <c r="D408" s="197"/>
      <c r="E408" s="198"/>
      <c r="F408" s="197"/>
      <c r="G408" s="116"/>
      <c r="H408" s="199"/>
      <c r="I408" s="199"/>
      <c r="J408" s="204"/>
      <c r="K408" s="199"/>
      <c r="L408" s="199"/>
      <c r="M408" s="204"/>
      <c r="N408" s="129" t="e">
        <f>Table1[[#This Row],[Estimated Effort (Hours)]]/NETWORKDAYS(Table1[[#This Row],[Planned Start Date]],Table1[[#This Row],[Planned End Date]])</f>
        <v>#DIV/0!</v>
      </c>
      <c r="O408" s="178">
        <f>NETWORKDAYS(Table1[[#This Row],[Planned Start Date]],Table1[[#This Row],[Planned End Date]])</f>
        <v>0</v>
      </c>
      <c r="P408" s="178">
        <f>NETWORKDAYS(Table1[[#This Row],[Planned Start Date]],$P$7)</f>
        <v>30643</v>
      </c>
      <c r="Q408" s="129"/>
      <c r="R408" s="183" t="str">
        <f>IF(Table1[[#This Row],[Actual Effort (Hours)]]="","",IF(Table1[[#This Row],[Estimated Effort (Hours)]]&lt;20,"L1",IF(Table1[[#This Row],[Estimated Effort (Hours)]]&lt;50,"L2",IF(Table1[[#This Row],[Estimated Effort (Hours)]]&lt;150,"L3",IF(Table1[[#This Row],[Estimated Effort (Hours)]]&lt;300,"L4","L5")))))</f>
        <v/>
      </c>
      <c r="S408" s="184" t="str">
        <f>IF(Table1[[#This Row],[Actual End Date]]="","",TEXT(Table1[[#This Row],[Actual End Date]],"mmm-yy"))</f>
        <v/>
      </c>
      <c r="T4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8" s="185" t="str">
        <f>IFERROR((Table1[[#This Row],[Actual Effort (Hours)]]-Table1[[#This Row],[Estimated Effort (Hours)]])/Table1[[#This Row],[Estimated Effort (Hours)]],"")</f>
        <v/>
      </c>
      <c r="V408" s="149"/>
    </row>
    <row r="409" spans="2:22">
      <c r="B409" s="196"/>
      <c r="C409" s="116"/>
      <c r="D409" s="197"/>
      <c r="E409" s="198"/>
      <c r="F409" s="197"/>
      <c r="G409" s="116"/>
      <c r="H409" s="199"/>
      <c r="I409" s="199"/>
      <c r="J409" s="204"/>
      <c r="K409" s="199"/>
      <c r="L409" s="199"/>
      <c r="M409" s="204"/>
      <c r="N409" s="129" t="e">
        <f>Table1[[#This Row],[Estimated Effort (Hours)]]/NETWORKDAYS(Table1[[#This Row],[Planned Start Date]],Table1[[#This Row],[Planned End Date]])</f>
        <v>#DIV/0!</v>
      </c>
      <c r="O409" s="178">
        <f>NETWORKDAYS(Table1[[#This Row],[Planned Start Date]],Table1[[#This Row],[Planned End Date]])</f>
        <v>0</v>
      </c>
      <c r="P409" s="178">
        <f>NETWORKDAYS(Table1[[#This Row],[Planned Start Date]],$P$7)</f>
        <v>30643</v>
      </c>
      <c r="Q409" s="129"/>
      <c r="R409" s="183" t="str">
        <f>IF(Table1[[#This Row],[Actual Effort (Hours)]]="","",IF(Table1[[#This Row],[Estimated Effort (Hours)]]&lt;20,"L1",IF(Table1[[#This Row],[Estimated Effort (Hours)]]&lt;50,"L2",IF(Table1[[#This Row],[Estimated Effort (Hours)]]&lt;150,"L3",IF(Table1[[#This Row],[Estimated Effort (Hours)]]&lt;300,"L4","L5")))))</f>
        <v/>
      </c>
      <c r="S409" s="184" t="str">
        <f>IF(Table1[[#This Row],[Actual End Date]]="","",TEXT(Table1[[#This Row],[Actual End Date]],"mmm-yy"))</f>
        <v/>
      </c>
      <c r="T4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09" s="185" t="str">
        <f>IFERROR((Table1[[#This Row],[Actual Effort (Hours)]]-Table1[[#This Row],[Estimated Effort (Hours)]])/Table1[[#This Row],[Estimated Effort (Hours)]],"")</f>
        <v/>
      </c>
      <c r="V409" s="149"/>
    </row>
    <row r="410" spans="2:22">
      <c r="B410" s="196"/>
      <c r="C410" s="116"/>
      <c r="D410" s="197"/>
      <c r="E410" s="198"/>
      <c r="F410" s="197"/>
      <c r="G410" s="116"/>
      <c r="H410" s="199"/>
      <c r="I410" s="199"/>
      <c r="J410" s="204"/>
      <c r="K410" s="199"/>
      <c r="L410" s="199"/>
      <c r="M410" s="204"/>
      <c r="N410" s="129" t="e">
        <f>Table1[[#This Row],[Estimated Effort (Hours)]]/NETWORKDAYS(Table1[[#This Row],[Planned Start Date]],Table1[[#This Row],[Planned End Date]])</f>
        <v>#DIV/0!</v>
      </c>
      <c r="O410" s="178">
        <f>NETWORKDAYS(Table1[[#This Row],[Planned Start Date]],Table1[[#This Row],[Planned End Date]])</f>
        <v>0</v>
      </c>
      <c r="P410" s="178">
        <f>NETWORKDAYS(Table1[[#This Row],[Planned Start Date]],$P$7)</f>
        <v>30643</v>
      </c>
      <c r="Q410" s="129"/>
      <c r="R410" s="183" t="str">
        <f>IF(Table1[[#This Row],[Actual Effort (Hours)]]="","",IF(Table1[[#This Row],[Estimated Effort (Hours)]]&lt;20,"L1",IF(Table1[[#This Row],[Estimated Effort (Hours)]]&lt;50,"L2",IF(Table1[[#This Row],[Estimated Effort (Hours)]]&lt;150,"L3",IF(Table1[[#This Row],[Estimated Effort (Hours)]]&lt;300,"L4","L5")))))</f>
        <v/>
      </c>
      <c r="S410" s="184" t="str">
        <f>IF(Table1[[#This Row],[Actual End Date]]="","",TEXT(Table1[[#This Row],[Actual End Date]],"mmm-yy"))</f>
        <v/>
      </c>
      <c r="T4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0" s="185" t="str">
        <f>IFERROR((Table1[[#This Row],[Actual Effort (Hours)]]-Table1[[#This Row],[Estimated Effort (Hours)]])/Table1[[#This Row],[Estimated Effort (Hours)]],"")</f>
        <v/>
      </c>
      <c r="V410" s="149"/>
    </row>
    <row r="411" spans="2:22">
      <c r="B411" s="196"/>
      <c r="C411" s="116"/>
      <c r="D411" s="197"/>
      <c r="E411" s="198"/>
      <c r="F411" s="197"/>
      <c r="G411" s="116"/>
      <c r="H411" s="199"/>
      <c r="I411" s="199"/>
      <c r="J411" s="204"/>
      <c r="K411" s="199"/>
      <c r="L411" s="199"/>
      <c r="M411" s="204"/>
      <c r="N411" s="129" t="e">
        <f>Table1[[#This Row],[Estimated Effort (Hours)]]/NETWORKDAYS(Table1[[#This Row],[Planned Start Date]],Table1[[#This Row],[Planned End Date]])</f>
        <v>#DIV/0!</v>
      </c>
      <c r="O411" s="178">
        <f>NETWORKDAYS(Table1[[#This Row],[Planned Start Date]],Table1[[#This Row],[Planned End Date]])</f>
        <v>0</v>
      </c>
      <c r="P411" s="178">
        <f>NETWORKDAYS(Table1[[#This Row],[Planned Start Date]],$P$7)</f>
        <v>30643</v>
      </c>
      <c r="Q411" s="129"/>
      <c r="R411" s="183" t="str">
        <f>IF(Table1[[#This Row],[Actual Effort (Hours)]]="","",IF(Table1[[#This Row],[Estimated Effort (Hours)]]&lt;20,"L1",IF(Table1[[#This Row],[Estimated Effort (Hours)]]&lt;50,"L2",IF(Table1[[#This Row],[Estimated Effort (Hours)]]&lt;150,"L3",IF(Table1[[#This Row],[Estimated Effort (Hours)]]&lt;300,"L4","L5")))))</f>
        <v/>
      </c>
      <c r="S411" s="184" t="str">
        <f>IF(Table1[[#This Row],[Actual End Date]]="","",TEXT(Table1[[#This Row],[Actual End Date]],"mmm-yy"))</f>
        <v/>
      </c>
      <c r="T4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1" s="185" t="str">
        <f>IFERROR((Table1[[#This Row],[Actual Effort (Hours)]]-Table1[[#This Row],[Estimated Effort (Hours)]])/Table1[[#This Row],[Estimated Effort (Hours)]],"")</f>
        <v/>
      </c>
      <c r="V411" s="149"/>
    </row>
    <row r="412" spans="2:22">
      <c r="B412" s="125"/>
      <c r="C412" s="123"/>
      <c r="D412" s="143"/>
      <c r="E412" s="123"/>
      <c r="F412" s="143"/>
      <c r="G412" s="129"/>
      <c r="H412" s="124"/>
      <c r="I412" s="124"/>
      <c r="J412" s="129"/>
      <c r="K412" s="194"/>
      <c r="L412" s="194"/>
      <c r="M412" s="129"/>
      <c r="N412" s="129" t="e">
        <f>Table1[[#This Row],[Estimated Effort (Hours)]]/NETWORKDAYS(Table1[[#This Row],[Planned Start Date]],Table1[[#This Row],[Planned End Date]])</f>
        <v>#DIV/0!</v>
      </c>
      <c r="O412" s="178">
        <f>NETWORKDAYS(Table1[[#This Row],[Planned Start Date]],Table1[[#This Row],[Planned End Date]])</f>
        <v>0</v>
      </c>
      <c r="P412" s="178">
        <f>NETWORKDAYS(Table1[[#This Row],[Planned Start Date]],$P$7)</f>
        <v>30643</v>
      </c>
      <c r="Q412" s="129"/>
      <c r="R412" s="183" t="str">
        <f>IF(Table1[[#This Row],[Actual Effort (Hours)]]="","",IF(Table1[[#This Row],[Estimated Effort (Hours)]]&lt;20,"L1",IF(Table1[[#This Row],[Estimated Effort (Hours)]]&lt;50,"L2",IF(Table1[[#This Row],[Estimated Effort (Hours)]]&lt;150,"L3",IF(Table1[[#This Row],[Estimated Effort (Hours)]]&lt;300,"L4","L5")))))</f>
        <v/>
      </c>
      <c r="S412" s="184" t="str">
        <f>IF(Table1[[#This Row],[Actual End Date]]="","",TEXT(Table1[[#This Row],[Actual End Date]],"mmm-yy"))</f>
        <v/>
      </c>
      <c r="T4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2" s="185" t="str">
        <f>IFERROR((Table1[[#This Row],[Actual Effort (Hours)]]-Table1[[#This Row],[Estimated Effort (Hours)]])/Table1[[#This Row],[Estimated Effort (Hours)]],"")</f>
        <v/>
      </c>
      <c r="V412" s="149"/>
    </row>
    <row r="413" spans="2:22">
      <c r="B413" s="125"/>
      <c r="C413" s="123"/>
      <c r="D413" s="143"/>
      <c r="E413" s="123"/>
      <c r="F413" s="143"/>
      <c r="G413" s="129"/>
      <c r="H413" s="124"/>
      <c r="I413" s="124"/>
      <c r="J413" s="129"/>
      <c r="K413" s="194"/>
      <c r="L413" s="194"/>
      <c r="M413" s="129"/>
      <c r="N413" s="129" t="e">
        <f>Table1[[#This Row],[Estimated Effort (Hours)]]/NETWORKDAYS(Table1[[#This Row],[Planned Start Date]],Table1[[#This Row],[Planned End Date]])</f>
        <v>#DIV/0!</v>
      </c>
      <c r="O413" s="178">
        <f>NETWORKDAYS(Table1[[#This Row],[Planned Start Date]],Table1[[#This Row],[Planned End Date]])</f>
        <v>0</v>
      </c>
      <c r="P413" s="178">
        <f>NETWORKDAYS(Table1[[#This Row],[Planned Start Date]],$P$7)</f>
        <v>30643</v>
      </c>
      <c r="Q413" s="129"/>
      <c r="R413" s="183" t="str">
        <f>IF(Table1[[#This Row],[Actual Effort (Hours)]]="","",IF(Table1[[#This Row],[Estimated Effort (Hours)]]&lt;20,"L1",IF(Table1[[#This Row],[Estimated Effort (Hours)]]&lt;50,"L2",IF(Table1[[#This Row],[Estimated Effort (Hours)]]&lt;150,"L3",IF(Table1[[#This Row],[Estimated Effort (Hours)]]&lt;300,"L4","L5")))))</f>
        <v/>
      </c>
      <c r="S413" s="184" t="str">
        <f>IF(Table1[[#This Row],[Actual End Date]]="","",TEXT(Table1[[#This Row],[Actual End Date]],"mmm-yy"))</f>
        <v/>
      </c>
      <c r="T4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3" s="185" t="str">
        <f>IFERROR((Table1[[#This Row],[Actual Effort (Hours)]]-Table1[[#This Row],[Estimated Effort (Hours)]])/Table1[[#This Row],[Estimated Effort (Hours)]],"")</f>
        <v/>
      </c>
      <c r="V413" s="149"/>
    </row>
    <row r="414" spans="2:22">
      <c r="B414" s="125"/>
      <c r="C414" s="123"/>
      <c r="D414" s="143"/>
      <c r="E414" s="123"/>
      <c r="F414" s="143"/>
      <c r="G414" s="129"/>
      <c r="H414" s="124"/>
      <c r="I414" s="124"/>
      <c r="J414" s="129"/>
      <c r="K414" s="194"/>
      <c r="L414" s="194"/>
      <c r="M414" s="129"/>
      <c r="N414" s="129" t="e">
        <f>Table1[[#This Row],[Estimated Effort (Hours)]]/NETWORKDAYS(Table1[[#This Row],[Planned Start Date]],Table1[[#This Row],[Planned End Date]])</f>
        <v>#DIV/0!</v>
      </c>
      <c r="O414" s="178">
        <f>NETWORKDAYS(Table1[[#This Row],[Planned Start Date]],Table1[[#This Row],[Planned End Date]])</f>
        <v>0</v>
      </c>
      <c r="P414" s="178">
        <f>NETWORKDAYS(Table1[[#This Row],[Planned Start Date]],$P$7)</f>
        <v>30643</v>
      </c>
      <c r="Q414" s="129"/>
      <c r="R414" s="183" t="str">
        <f>IF(Table1[[#This Row],[Actual Effort (Hours)]]="","",IF(Table1[[#This Row],[Estimated Effort (Hours)]]&lt;20,"L1",IF(Table1[[#This Row],[Estimated Effort (Hours)]]&lt;50,"L2",IF(Table1[[#This Row],[Estimated Effort (Hours)]]&lt;150,"L3",IF(Table1[[#This Row],[Estimated Effort (Hours)]]&lt;300,"L4","L5")))))</f>
        <v/>
      </c>
      <c r="S414" s="184" t="str">
        <f>IF(Table1[[#This Row],[Actual End Date]]="","",TEXT(Table1[[#This Row],[Actual End Date]],"mmm-yy"))</f>
        <v/>
      </c>
      <c r="T4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4" s="185" t="str">
        <f>IFERROR((Table1[[#This Row],[Actual Effort (Hours)]]-Table1[[#This Row],[Estimated Effort (Hours)]])/Table1[[#This Row],[Estimated Effort (Hours)]],"")</f>
        <v/>
      </c>
      <c r="V414" s="149"/>
    </row>
    <row r="415" spans="2:22">
      <c r="B415" s="125"/>
      <c r="C415" s="123"/>
      <c r="D415" s="143"/>
      <c r="E415" s="123"/>
      <c r="F415" s="143"/>
      <c r="G415" s="129"/>
      <c r="H415" s="124"/>
      <c r="I415" s="124"/>
      <c r="J415" s="129"/>
      <c r="K415" s="194"/>
      <c r="L415" s="194"/>
      <c r="M415" s="129"/>
      <c r="N415" s="129" t="e">
        <f>Table1[[#This Row],[Estimated Effort (Hours)]]/NETWORKDAYS(Table1[[#This Row],[Planned Start Date]],Table1[[#This Row],[Planned End Date]])</f>
        <v>#DIV/0!</v>
      </c>
      <c r="O415" s="178">
        <f>NETWORKDAYS(Table1[[#This Row],[Planned Start Date]],Table1[[#This Row],[Planned End Date]])</f>
        <v>0</v>
      </c>
      <c r="P415" s="178">
        <f>NETWORKDAYS(Table1[[#This Row],[Planned Start Date]],$P$7)</f>
        <v>30643</v>
      </c>
      <c r="Q415" s="129"/>
      <c r="R415" s="183" t="str">
        <f>IF(Table1[[#This Row],[Actual Effort (Hours)]]="","",IF(Table1[[#This Row],[Estimated Effort (Hours)]]&lt;20,"L1",IF(Table1[[#This Row],[Estimated Effort (Hours)]]&lt;50,"L2",IF(Table1[[#This Row],[Estimated Effort (Hours)]]&lt;150,"L3",IF(Table1[[#This Row],[Estimated Effort (Hours)]]&lt;300,"L4","L5")))))</f>
        <v/>
      </c>
      <c r="S415" s="184" t="str">
        <f>IF(Table1[[#This Row],[Actual End Date]]="","",TEXT(Table1[[#This Row],[Actual End Date]],"mmm-yy"))</f>
        <v/>
      </c>
      <c r="T4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5" s="185" t="str">
        <f>IFERROR((Table1[[#This Row],[Actual Effort (Hours)]]-Table1[[#This Row],[Estimated Effort (Hours)]])/Table1[[#This Row],[Estimated Effort (Hours)]],"")</f>
        <v/>
      </c>
      <c r="V415" s="149"/>
    </row>
    <row r="416" spans="2:22">
      <c r="B416" s="125"/>
      <c r="C416" s="123"/>
      <c r="D416" s="143"/>
      <c r="E416" s="123"/>
      <c r="F416" s="143"/>
      <c r="G416" s="129"/>
      <c r="H416" s="124"/>
      <c r="I416" s="124"/>
      <c r="J416" s="129"/>
      <c r="K416" s="194"/>
      <c r="L416" s="194"/>
      <c r="M416" s="129"/>
      <c r="N416" s="129" t="e">
        <f>Table1[[#This Row],[Estimated Effort (Hours)]]/NETWORKDAYS(Table1[[#This Row],[Planned Start Date]],Table1[[#This Row],[Planned End Date]])</f>
        <v>#DIV/0!</v>
      </c>
      <c r="O416" s="178">
        <f>NETWORKDAYS(Table1[[#This Row],[Planned Start Date]],Table1[[#This Row],[Planned End Date]])</f>
        <v>0</v>
      </c>
      <c r="P416" s="178">
        <f>NETWORKDAYS(Table1[[#This Row],[Planned Start Date]],$P$7)</f>
        <v>30643</v>
      </c>
      <c r="Q416" s="129"/>
      <c r="R416" s="183" t="str">
        <f>IF(Table1[[#This Row],[Actual Effort (Hours)]]="","",IF(Table1[[#This Row],[Estimated Effort (Hours)]]&lt;20,"L1",IF(Table1[[#This Row],[Estimated Effort (Hours)]]&lt;50,"L2",IF(Table1[[#This Row],[Estimated Effort (Hours)]]&lt;150,"L3",IF(Table1[[#This Row],[Estimated Effort (Hours)]]&lt;300,"L4","L5")))))</f>
        <v/>
      </c>
      <c r="S416" s="184" t="str">
        <f>IF(Table1[[#This Row],[Actual End Date]]="","",TEXT(Table1[[#This Row],[Actual End Date]],"mmm-yy"))</f>
        <v/>
      </c>
      <c r="T4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6" s="185" t="str">
        <f>IFERROR((Table1[[#This Row],[Actual Effort (Hours)]]-Table1[[#This Row],[Estimated Effort (Hours)]])/Table1[[#This Row],[Estimated Effort (Hours)]],"")</f>
        <v/>
      </c>
      <c r="V416" s="149"/>
    </row>
    <row r="417" spans="2:22">
      <c r="B417" s="125"/>
      <c r="C417" s="123"/>
      <c r="D417" s="143"/>
      <c r="E417" s="123"/>
      <c r="F417" s="143"/>
      <c r="G417" s="129"/>
      <c r="H417" s="124"/>
      <c r="I417" s="124"/>
      <c r="J417" s="129"/>
      <c r="K417" s="194"/>
      <c r="L417" s="194"/>
      <c r="M417" s="129"/>
      <c r="N417" s="129" t="e">
        <f>Table1[[#This Row],[Estimated Effort (Hours)]]/NETWORKDAYS(Table1[[#This Row],[Planned Start Date]],Table1[[#This Row],[Planned End Date]])</f>
        <v>#DIV/0!</v>
      </c>
      <c r="O417" s="178">
        <f>NETWORKDAYS(Table1[[#This Row],[Planned Start Date]],Table1[[#This Row],[Planned End Date]])</f>
        <v>0</v>
      </c>
      <c r="P417" s="178">
        <f>NETWORKDAYS(Table1[[#This Row],[Planned Start Date]],$P$7)</f>
        <v>30643</v>
      </c>
      <c r="Q417" s="129"/>
      <c r="R417" s="183" t="str">
        <f>IF(Table1[[#This Row],[Actual Effort (Hours)]]="","",IF(Table1[[#This Row],[Estimated Effort (Hours)]]&lt;20,"L1",IF(Table1[[#This Row],[Estimated Effort (Hours)]]&lt;50,"L2",IF(Table1[[#This Row],[Estimated Effort (Hours)]]&lt;150,"L3",IF(Table1[[#This Row],[Estimated Effort (Hours)]]&lt;300,"L4","L5")))))</f>
        <v/>
      </c>
      <c r="S417" s="184" t="str">
        <f>IF(Table1[[#This Row],[Actual End Date]]="","",TEXT(Table1[[#This Row],[Actual End Date]],"mmm-yy"))</f>
        <v/>
      </c>
      <c r="T4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7" s="185" t="str">
        <f>IFERROR((Table1[[#This Row],[Actual Effort (Hours)]]-Table1[[#This Row],[Estimated Effort (Hours)]])/Table1[[#This Row],[Estimated Effort (Hours)]],"")</f>
        <v/>
      </c>
      <c r="V417" s="149"/>
    </row>
    <row r="418" spans="2:22">
      <c r="B418" s="125"/>
      <c r="C418" s="123"/>
      <c r="D418" s="143"/>
      <c r="E418" s="123"/>
      <c r="F418" s="143"/>
      <c r="G418" s="129"/>
      <c r="H418" s="124"/>
      <c r="I418" s="124"/>
      <c r="J418" s="129"/>
      <c r="K418" s="194"/>
      <c r="L418" s="194"/>
      <c r="M418" s="129"/>
      <c r="N418" s="129" t="e">
        <f>Table1[[#This Row],[Estimated Effort (Hours)]]/NETWORKDAYS(Table1[[#This Row],[Planned Start Date]],Table1[[#This Row],[Planned End Date]])</f>
        <v>#DIV/0!</v>
      </c>
      <c r="O418" s="178">
        <f>NETWORKDAYS(Table1[[#This Row],[Planned Start Date]],Table1[[#This Row],[Planned End Date]])</f>
        <v>0</v>
      </c>
      <c r="P418" s="178">
        <f>NETWORKDAYS(Table1[[#This Row],[Planned Start Date]],$P$7)</f>
        <v>30643</v>
      </c>
      <c r="Q418" s="129"/>
      <c r="R418" s="183" t="str">
        <f>IF(Table1[[#This Row],[Actual Effort (Hours)]]="","",IF(Table1[[#This Row],[Estimated Effort (Hours)]]&lt;20,"L1",IF(Table1[[#This Row],[Estimated Effort (Hours)]]&lt;50,"L2",IF(Table1[[#This Row],[Estimated Effort (Hours)]]&lt;150,"L3",IF(Table1[[#This Row],[Estimated Effort (Hours)]]&lt;300,"L4","L5")))))</f>
        <v/>
      </c>
      <c r="S418" s="184" t="str">
        <f>IF(Table1[[#This Row],[Actual End Date]]="","",TEXT(Table1[[#This Row],[Actual End Date]],"mmm-yy"))</f>
        <v/>
      </c>
      <c r="T4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8" s="185" t="str">
        <f>IFERROR((Table1[[#This Row],[Actual Effort (Hours)]]-Table1[[#This Row],[Estimated Effort (Hours)]])/Table1[[#This Row],[Estimated Effort (Hours)]],"")</f>
        <v/>
      </c>
      <c r="V418" s="149"/>
    </row>
    <row r="419" spans="2:22">
      <c r="B419" s="125"/>
      <c r="C419" s="123"/>
      <c r="D419" s="143"/>
      <c r="E419" s="123"/>
      <c r="F419" s="143"/>
      <c r="G419" s="129"/>
      <c r="H419" s="124"/>
      <c r="I419" s="124"/>
      <c r="J419" s="129"/>
      <c r="K419" s="194"/>
      <c r="L419" s="194"/>
      <c r="M419" s="129"/>
      <c r="N419" s="129" t="e">
        <f>Table1[[#This Row],[Estimated Effort (Hours)]]/NETWORKDAYS(Table1[[#This Row],[Planned Start Date]],Table1[[#This Row],[Planned End Date]])</f>
        <v>#DIV/0!</v>
      </c>
      <c r="O419" s="178">
        <f>NETWORKDAYS(Table1[[#This Row],[Planned Start Date]],Table1[[#This Row],[Planned End Date]])</f>
        <v>0</v>
      </c>
      <c r="P419" s="178">
        <f>NETWORKDAYS(Table1[[#This Row],[Planned Start Date]],$P$7)</f>
        <v>30643</v>
      </c>
      <c r="Q419" s="129"/>
      <c r="R419" s="183" t="str">
        <f>IF(Table1[[#This Row],[Actual Effort (Hours)]]="","",IF(Table1[[#This Row],[Estimated Effort (Hours)]]&lt;20,"L1",IF(Table1[[#This Row],[Estimated Effort (Hours)]]&lt;50,"L2",IF(Table1[[#This Row],[Estimated Effort (Hours)]]&lt;150,"L3",IF(Table1[[#This Row],[Estimated Effort (Hours)]]&lt;300,"L4","L5")))))</f>
        <v/>
      </c>
      <c r="S419" s="184" t="str">
        <f>IF(Table1[[#This Row],[Actual End Date]]="","",TEXT(Table1[[#This Row],[Actual End Date]],"mmm-yy"))</f>
        <v/>
      </c>
      <c r="T4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19" s="185" t="str">
        <f>IFERROR((Table1[[#This Row],[Actual Effort (Hours)]]-Table1[[#This Row],[Estimated Effort (Hours)]])/Table1[[#This Row],[Estimated Effort (Hours)]],"")</f>
        <v/>
      </c>
      <c r="V419" s="149"/>
    </row>
    <row r="420" spans="2:22">
      <c r="B420" s="125"/>
      <c r="C420" s="123"/>
      <c r="D420" s="143"/>
      <c r="E420" s="123"/>
      <c r="F420" s="143"/>
      <c r="G420" s="129"/>
      <c r="H420" s="124"/>
      <c r="I420" s="124"/>
      <c r="J420" s="129"/>
      <c r="K420" s="194"/>
      <c r="L420" s="194"/>
      <c r="M420" s="129"/>
      <c r="N420" s="129" t="e">
        <f>Table1[[#This Row],[Estimated Effort (Hours)]]/NETWORKDAYS(Table1[[#This Row],[Planned Start Date]],Table1[[#This Row],[Planned End Date]])</f>
        <v>#DIV/0!</v>
      </c>
      <c r="O420" s="178">
        <f>NETWORKDAYS(Table1[[#This Row],[Planned Start Date]],Table1[[#This Row],[Planned End Date]])</f>
        <v>0</v>
      </c>
      <c r="P420" s="178">
        <f>NETWORKDAYS(Table1[[#This Row],[Planned Start Date]],$P$7)</f>
        <v>30643</v>
      </c>
      <c r="Q420" s="129"/>
      <c r="R420" s="183" t="str">
        <f>IF(Table1[[#This Row],[Actual Effort (Hours)]]="","",IF(Table1[[#This Row],[Estimated Effort (Hours)]]&lt;20,"L1",IF(Table1[[#This Row],[Estimated Effort (Hours)]]&lt;50,"L2",IF(Table1[[#This Row],[Estimated Effort (Hours)]]&lt;150,"L3",IF(Table1[[#This Row],[Estimated Effort (Hours)]]&lt;300,"L4","L5")))))</f>
        <v/>
      </c>
      <c r="S420" s="184" t="str">
        <f>IF(Table1[[#This Row],[Actual End Date]]="","",TEXT(Table1[[#This Row],[Actual End Date]],"mmm-yy"))</f>
        <v/>
      </c>
      <c r="T4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0" s="185" t="str">
        <f>IFERROR((Table1[[#This Row],[Actual Effort (Hours)]]-Table1[[#This Row],[Estimated Effort (Hours)]])/Table1[[#This Row],[Estimated Effort (Hours)]],"")</f>
        <v/>
      </c>
      <c r="V420" s="149"/>
    </row>
    <row r="421" spans="2:22">
      <c r="B421" s="125"/>
      <c r="C421" s="123"/>
      <c r="D421" s="143"/>
      <c r="E421" s="123"/>
      <c r="F421" s="143"/>
      <c r="G421" s="129"/>
      <c r="H421" s="124"/>
      <c r="I421" s="124"/>
      <c r="J421" s="129"/>
      <c r="K421" s="194"/>
      <c r="L421" s="194"/>
      <c r="M421" s="129"/>
      <c r="N421" s="129" t="e">
        <f>Table1[[#This Row],[Estimated Effort (Hours)]]/NETWORKDAYS(Table1[[#This Row],[Planned Start Date]],Table1[[#This Row],[Planned End Date]])</f>
        <v>#DIV/0!</v>
      </c>
      <c r="O421" s="178">
        <f>NETWORKDAYS(Table1[[#This Row],[Planned Start Date]],Table1[[#This Row],[Planned End Date]])</f>
        <v>0</v>
      </c>
      <c r="P421" s="178">
        <f>NETWORKDAYS(Table1[[#This Row],[Planned Start Date]],$P$7)</f>
        <v>30643</v>
      </c>
      <c r="Q421" s="129"/>
      <c r="R421" s="183" t="str">
        <f>IF(Table1[[#This Row],[Actual Effort (Hours)]]="","",IF(Table1[[#This Row],[Estimated Effort (Hours)]]&lt;20,"L1",IF(Table1[[#This Row],[Estimated Effort (Hours)]]&lt;50,"L2",IF(Table1[[#This Row],[Estimated Effort (Hours)]]&lt;150,"L3",IF(Table1[[#This Row],[Estimated Effort (Hours)]]&lt;300,"L4","L5")))))</f>
        <v/>
      </c>
      <c r="S421" s="184" t="str">
        <f>IF(Table1[[#This Row],[Actual End Date]]="","",TEXT(Table1[[#This Row],[Actual End Date]],"mmm-yy"))</f>
        <v/>
      </c>
      <c r="T4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1" s="185" t="str">
        <f>IFERROR((Table1[[#This Row],[Actual Effort (Hours)]]-Table1[[#This Row],[Estimated Effort (Hours)]])/Table1[[#This Row],[Estimated Effort (Hours)]],"")</f>
        <v/>
      </c>
      <c r="V421" s="149"/>
    </row>
    <row r="422" spans="2:22">
      <c r="B422" s="125"/>
      <c r="C422" s="123"/>
      <c r="D422" s="143"/>
      <c r="E422" s="123"/>
      <c r="F422" s="143"/>
      <c r="G422" s="129"/>
      <c r="H422" s="124"/>
      <c r="I422" s="124"/>
      <c r="J422" s="129"/>
      <c r="K422" s="194"/>
      <c r="L422" s="194"/>
      <c r="M422" s="129"/>
      <c r="N422" s="129" t="e">
        <f>Table1[[#This Row],[Estimated Effort (Hours)]]/NETWORKDAYS(Table1[[#This Row],[Planned Start Date]],Table1[[#This Row],[Planned End Date]])</f>
        <v>#DIV/0!</v>
      </c>
      <c r="O422" s="178">
        <f>NETWORKDAYS(Table1[[#This Row],[Planned Start Date]],Table1[[#This Row],[Planned End Date]])</f>
        <v>0</v>
      </c>
      <c r="P422" s="178">
        <f>NETWORKDAYS(Table1[[#This Row],[Planned Start Date]],$P$7)</f>
        <v>30643</v>
      </c>
      <c r="Q422" s="129"/>
      <c r="R422" s="183" t="str">
        <f>IF(Table1[[#This Row],[Actual Effort (Hours)]]="","",IF(Table1[[#This Row],[Estimated Effort (Hours)]]&lt;20,"L1",IF(Table1[[#This Row],[Estimated Effort (Hours)]]&lt;50,"L2",IF(Table1[[#This Row],[Estimated Effort (Hours)]]&lt;150,"L3",IF(Table1[[#This Row],[Estimated Effort (Hours)]]&lt;300,"L4","L5")))))</f>
        <v/>
      </c>
      <c r="S422" s="184" t="str">
        <f>IF(Table1[[#This Row],[Actual End Date]]="","",TEXT(Table1[[#This Row],[Actual End Date]],"mmm-yy"))</f>
        <v/>
      </c>
      <c r="T4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2" s="185" t="str">
        <f>IFERROR((Table1[[#This Row],[Actual Effort (Hours)]]-Table1[[#This Row],[Estimated Effort (Hours)]])/Table1[[#This Row],[Estimated Effort (Hours)]],"")</f>
        <v/>
      </c>
      <c r="V422" s="149"/>
    </row>
    <row r="423" spans="2:22">
      <c r="B423" s="125"/>
      <c r="C423" s="123"/>
      <c r="D423" s="143"/>
      <c r="E423" s="123"/>
      <c r="F423" s="143"/>
      <c r="G423" s="129"/>
      <c r="H423" s="124"/>
      <c r="I423" s="124"/>
      <c r="J423" s="129"/>
      <c r="K423" s="194"/>
      <c r="L423" s="194"/>
      <c r="M423" s="129"/>
      <c r="N423" s="129" t="e">
        <f>Table1[[#This Row],[Estimated Effort (Hours)]]/NETWORKDAYS(Table1[[#This Row],[Planned Start Date]],Table1[[#This Row],[Planned End Date]])</f>
        <v>#DIV/0!</v>
      </c>
      <c r="O423" s="178">
        <f>NETWORKDAYS(Table1[[#This Row],[Planned Start Date]],Table1[[#This Row],[Planned End Date]])</f>
        <v>0</v>
      </c>
      <c r="P423" s="178">
        <f>NETWORKDAYS(Table1[[#This Row],[Planned Start Date]],$P$7)</f>
        <v>30643</v>
      </c>
      <c r="Q423" s="129"/>
      <c r="R423" s="183" t="str">
        <f>IF(Table1[[#This Row],[Actual Effort (Hours)]]="","",IF(Table1[[#This Row],[Estimated Effort (Hours)]]&lt;20,"L1",IF(Table1[[#This Row],[Estimated Effort (Hours)]]&lt;50,"L2",IF(Table1[[#This Row],[Estimated Effort (Hours)]]&lt;150,"L3",IF(Table1[[#This Row],[Estimated Effort (Hours)]]&lt;300,"L4","L5")))))</f>
        <v/>
      </c>
      <c r="S423" s="184" t="str">
        <f>IF(Table1[[#This Row],[Actual End Date]]="","",TEXT(Table1[[#This Row],[Actual End Date]],"mmm-yy"))</f>
        <v/>
      </c>
      <c r="T4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3" s="185" t="str">
        <f>IFERROR((Table1[[#This Row],[Actual Effort (Hours)]]-Table1[[#This Row],[Estimated Effort (Hours)]])/Table1[[#This Row],[Estimated Effort (Hours)]],"")</f>
        <v/>
      </c>
      <c r="V423" s="149"/>
    </row>
    <row r="424" spans="2:22">
      <c r="B424" s="125"/>
      <c r="C424" s="123"/>
      <c r="D424" s="143"/>
      <c r="E424" s="123"/>
      <c r="F424" s="143"/>
      <c r="G424" s="129"/>
      <c r="H424" s="124"/>
      <c r="I424" s="124"/>
      <c r="J424" s="129"/>
      <c r="K424" s="194"/>
      <c r="L424" s="194"/>
      <c r="M424" s="129"/>
      <c r="N424" s="129" t="e">
        <f>Table1[[#This Row],[Estimated Effort (Hours)]]/NETWORKDAYS(Table1[[#This Row],[Planned Start Date]],Table1[[#This Row],[Planned End Date]])</f>
        <v>#DIV/0!</v>
      </c>
      <c r="O424" s="178">
        <f>NETWORKDAYS(Table1[[#This Row],[Planned Start Date]],Table1[[#This Row],[Planned End Date]])</f>
        <v>0</v>
      </c>
      <c r="P424" s="178">
        <f>NETWORKDAYS(Table1[[#This Row],[Planned Start Date]],$P$7)</f>
        <v>30643</v>
      </c>
      <c r="Q424" s="129"/>
      <c r="R424" s="183" t="str">
        <f>IF(Table1[[#This Row],[Actual Effort (Hours)]]="","",IF(Table1[[#This Row],[Estimated Effort (Hours)]]&lt;20,"L1",IF(Table1[[#This Row],[Estimated Effort (Hours)]]&lt;50,"L2",IF(Table1[[#This Row],[Estimated Effort (Hours)]]&lt;150,"L3",IF(Table1[[#This Row],[Estimated Effort (Hours)]]&lt;300,"L4","L5")))))</f>
        <v/>
      </c>
      <c r="S424" s="184" t="str">
        <f>IF(Table1[[#This Row],[Actual End Date]]="","",TEXT(Table1[[#This Row],[Actual End Date]],"mmm-yy"))</f>
        <v/>
      </c>
      <c r="T4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4" s="185" t="str">
        <f>IFERROR((Table1[[#This Row],[Actual Effort (Hours)]]-Table1[[#This Row],[Estimated Effort (Hours)]])/Table1[[#This Row],[Estimated Effort (Hours)]],"")</f>
        <v/>
      </c>
      <c r="V424" s="149"/>
    </row>
    <row r="425" spans="2:22">
      <c r="B425" s="125"/>
      <c r="C425" s="123"/>
      <c r="D425" s="143"/>
      <c r="E425" s="123"/>
      <c r="F425" s="143"/>
      <c r="G425" s="129"/>
      <c r="H425" s="124"/>
      <c r="I425" s="124"/>
      <c r="J425" s="129"/>
      <c r="K425" s="194"/>
      <c r="L425" s="194"/>
      <c r="M425" s="129"/>
      <c r="N425" s="129" t="e">
        <f>Table1[[#This Row],[Estimated Effort (Hours)]]/NETWORKDAYS(Table1[[#This Row],[Planned Start Date]],Table1[[#This Row],[Planned End Date]])</f>
        <v>#DIV/0!</v>
      </c>
      <c r="O425" s="178">
        <f>NETWORKDAYS(Table1[[#This Row],[Planned Start Date]],Table1[[#This Row],[Planned End Date]])</f>
        <v>0</v>
      </c>
      <c r="P425" s="178">
        <f>NETWORKDAYS(Table1[[#This Row],[Planned Start Date]],$P$7)</f>
        <v>30643</v>
      </c>
      <c r="Q425" s="129"/>
      <c r="R425" s="183" t="str">
        <f>IF(Table1[[#This Row],[Actual Effort (Hours)]]="","",IF(Table1[[#This Row],[Estimated Effort (Hours)]]&lt;20,"L1",IF(Table1[[#This Row],[Estimated Effort (Hours)]]&lt;50,"L2",IF(Table1[[#This Row],[Estimated Effort (Hours)]]&lt;150,"L3",IF(Table1[[#This Row],[Estimated Effort (Hours)]]&lt;300,"L4","L5")))))</f>
        <v/>
      </c>
      <c r="S425" s="184" t="str">
        <f>IF(Table1[[#This Row],[Actual End Date]]="","",TEXT(Table1[[#This Row],[Actual End Date]],"mmm-yy"))</f>
        <v/>
      </c>
      <c r="T4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5" s="185" t="str">
        <f>IFERROR((Table1[[#This Row],[Actual Effort (Hours)]]-Table1[[#This Row],[Estimated Effort (Hours)]])/Table1[[#This Row],[Estimated Effort (Hours)]],"")</f>
        <v/>
      </c>
      <c r="V425" s="149"/>
    </row>
    <row r="426" spans="2:22">
      <c r="B426" s="125"/>
      <c r="C426" s="123"/>
      <c r="D426" s="143"/>
      <c r="E426" s="123"/>
      <c r="F426" s="143"/>
      <c r="G426" s="129"/>
      <c r="H426" s="124"/>
      <c r="I426" s="124"/>
      <c r="J426" s="129"/>
      <c r="K426" s="194"/>
      <c r="L426" s="194"/>
      <c r="M426" s="129"/>
      <c r="N426" s="129" t="e">
        <f>Table1[[#This Row],[Estimated Effort (Hours)]]/NETWORKDAYS(Table1[[#This Row],[Planned Start Date]],Table1[[#This Row],[Planned End Date]])</f>
        <v>#DIV/0!</v>
      </c>
      <c r="O426" s="178">
        <f>NETWORKDAYS(Table1[[#This Row],[Planned Start Date]],Table1[[#This Row],[Planned End Date]])</f>
        <v>0</v>
      </c>
      <c r="P426" s="178">
        <f>NETWORKDAYS(Table1[[#This Row],[Planned Start Date]],$P$7)</f>
        <v>30643</v>
      </c>
      <c r="Q426" s="129"/>
      <c r="R426" s="183" t="str">
        <f>IF(Table1[[#This Row],[Actual Effort (Hours)]]="","",IF(Table1[[#This Row],[Estimated Effort (Hours)]]&lt;20,"L1",IF(Table1[[#This Row],[Estimated Effort (Hours)]]&lt;50,"L2",IF(Table1[[#This Row],[Estimated Effort (Hours)]]&lt;150,"L3",IF(Table1[[#This Row],[Estimated Effort (Hours)]]&lt;300,"L4","L5")))))</f>
        <v/>
      </c>
      <c r="S426" s="184" t="str">
        <f>IF(Table1[[#This Row],[Actual End Date]]="","",TEXT(Table1[[#This Row],[Actual End Date]],"mmm-yy"))</f>
        <v/>
      </c>
      <c r="T4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6" s="185" t="str">
        <f>IFERROR((Table1[[#This Row],[Actual Effort (Hours)]]-Table1[[#This Row],[Estimated Effort (Hours)]])/Table1[[#This Row],[Estimated Effort (Hours)]],"")</f>
        <v/>
      </c>
      <c r="V426" s="149"/>
    </row>
    <row r="427" spans="2:22">
      <c r="B427" s="125"/>
      <c r="C427" s="123"/>
      <c r="D427" s="143"/>
      <c r="E427" s="123"/>
      <c r="F427" s="143"/>
      <c r="G427" s="129"/>
      <c r="H427" s="124"/>
      <c r="I427" s="124"/>
      <c r="J427" s="129"/>
      <c r="K427" s="194"/>
      <c r="L427" s="194"/>
      <c r="M427" s="129"/>
      <c r="N427" s="129" t="e">
        <f>Table1[[#This Row],[Estimated Effort (Hours)]]/NETWORKDAYS(Table1[[#This Row],[Planned Start Date]],Table1[[#This Row],[Planned End Date]])</f>
        <v>#DIV/0!</v>
      </c>
      <c r="O427" s="178">
        <f>NETWORKDAYS(Table1[[#This Row],[Planned Start Date]],Table1[[#This Row],[Planned End Date]])</f>
        <v>0</v>
      </c>
      <c r="P427" s="178">
        <f>NETWORKDAYS(Table1[[#This Row],[Planned Start Date]],$P$7)</f>
        <v>30643</v>
      </c>
      <c r="Q427" s="129"/>
      <c r="R427" s="183" t="str">
        <f>IF(Table1[[#This Row],[Actual Effort (Hours)]]="","",IF(Table1[[#This Row],[Estimated Effort (Hours)]]&lt;20,"L1",IF(Table1[[#This Row],[Estimated Effort (Hours)]]&lt;50,"L2",IF(Table1[[#This Row],[Estimated Effort (Hours)]]&lt;150,"L3",IF(Table1[[#This Row],[Estimated Effort (Hours)]]&lt;300,"L4","L5")))))</f>
        <v/>
      </c>
      <c r="S427" s="184" t="str">
        <f>IF(Table1[[#This Row],[Actual End Date]]="","",TEXT(Table1[[#This Row],[Actual End Date]],"mmm-yy"))</f>
        <v/>
      </c>
      <c r="T4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7" s="185" t="str">
        <f>IFERROR((Table1[[#This Row],[Actual Effort (Hours)]]-Table1[[#This Row],[Estimated Effort (Hours)]])/Table1[[#This Row],[Estimated Effort (Hours)]],"")</f>
        <v/>
      </c>
      <c r="V427" s="149"/>
    </row>
    <row r="428" spans="2:22">
      <c r="B428" s="125"/>
      <c r="C428" s="123"/>
      <c r="D428" s="143"/>
      <c r="E428" s="123"/>
      <c r="F428" s="143"/>
      <c r="G428" s="129"/>
      <c r="H428" s="124"/>
      <c r="I428" s="124"/>
      <c r="J428" s="129"/>
      <c r="K428" s="194"/>
      <c r="L428" s="194"/>
      <c r="M428" s="129"/>
      <c r="N428" s="129" t="e">
        <f>Table1[[#This Row],[Estimated Effort (Hours)]]/NETWORKDAYS(Table1[[#This Row],[Planned Start Date]],Table1[[#This Row],[Planned End Date]])</f>
        <v>#DIV/0!</v>
      </c>
      <c r="O428" s="178">
        <f>NETWORKDAYS(Table1[[#This Row],[Planned Start Date]],Table1[[#This Row],[Planned End Date]])</f>
        <v>0</v>
      </c>
      <c r="P428" s="178">
        <f>NETWORKDAYS(Table1[[#This Row],[Planned Start Date]],$P$7)</f>
        <v>30643</v>
      </c>
      <c r="Q428" s="129"/>
      <c r="R428" s="183" t="str">
        <f>IF(Table1[[#This Row],[Actual Effort (Hours)]]="","",IF(Table1[[#This Row],[Estimated Effort (Hours)]]&lt;20,"L1",IF(Table1[[#This Row],[Estimated Effort (Hours)]]&lt;50,"L2",IF(Table1[[#This Row],[Estimated Effort (Hours)]]&lt;150,"L3",IF(Table1[[#This Row],[Estimated Effort (Hours)]]&lt;300,"L4","L5")))))</f>
        <v/>
      </c>
      <c r="S428" s="184" t="str">
        <f>IF(Table1[[#This Row],[Actual End Date]]="","",TEXT(Table1[[#This Row],[Actual End Date]],"mmm-yy"))</f>
        <v/>
      </c>
      <c r="T4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8" s="185" t="str">
        <f>IFERROR((Table1[[#This Row],[Actual Effort (Hours)]]-Table1[[#This Row],[Estimated Effort (Hours)]])/Table1[[#This Row],[Estimated Effort (Hours)]],"")</f>
        <v/>
      </c>
      <c r="V428" s="149"/>
    </row>
    <row r="429" spans="2:22">
      <c r="B429" s="200"/>
      <c r="C429" s="201"/>
      <c r="D429" s="202"/>
      <c r="E429" s="201"/>
      <c r="F429" s="202"/>
      <c r="G429" s="203"/>
      <c r="H429" s="193"/>
      <c r="I429" s="193"/>
      <c r="J429" s="203"/>
      <c r="K429" s="205"/>
      <c r="L429" s="205"/>
      <c r="M429" s="203"/>
      <c r="N429" s="129" t="e">
        <f>Table1[[#This Row],[Estimated Effort (Hours)]]/NETWORKDAYS(Table1[[#This Row],[Planned Start Date]],Table1[[#This Row],[Planned End Date]])</f>
        <v>#DIV/0!</v>
      </c>
      <c r="O429" s="178">
        <f>NETWORKDAYS(Table1[[#This Row],[Planned Start Date]],Table1[[#This Row],[Planned End Date]])</f>
        <v>0</v>
      </c>
      <c r="P429" s="178">
        <f>NETWORKDAYS(Table1[[#This Row],[Planned Start Date]],$P$7)</f>
        <v>30643</v>
      </c>
      <c r="Q429" s="129"/>
      <c r="R429" s="183" t="str">
        <f>IF(Table1[[#This Row],[Actual Effort (Hours)]]="","",IF(Table1[[#This Row],[Estimated Effort (Hours)]]&lt;20,"L1",IF(Table1[[#This Row],[Estimated Effort (Hours)]]&lt;50,"L2",IF(Table1[[#This Row],[Estimated Effort (Hours)]]&lt;150,"L3",IF(Table1[[#This Row],[Estimated Effort (Hours)]]&lt;300,"L4","L5")))))</f>
        <v/>
      </c>
      <c r="S429" s="184" t="str">
        <f>IF(Table1[[#This Row],[Actual End Date]]="","",TEXT(Table1[[#This Row],[Actual End Date]],"mmm-yy"))</f>
        <v/>
      </c>
      <c r="T4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29" s="185" t="str">
        <f>IFERROR((Table1[[#This Row],[Actual Effort (Hours)]]-Table1[[#This Row],[Estimated Effort (Hours)]])/Table1[[#This Row],[Estimated Effort (Hours)]],"")</f>
        <v/>
      </c>
      <c r="V429" s="149"/>
    </row>
    <row r="430" spans="2:22">
      <c r="B430" s="125"/>
      <c r="C430" s="123"/>
      <c r="D430" s="143"/>
      <c r="E430" s="123"/>
      <c r="F430" s="143"/>
      <c r="G430" s="129"/>
      <c r="H430" s="124"/>
      <c r="I430" s="124"/>
      <c r="J430" s="129"/>
      <c r="K430" s="194"/>
      <c r="L430" s="194"/>
      <c r="M430" s="129"/>
      <c r="N430" s="129" t="e">
        <f>Table1[[#This Row],[Estimated Effort (Hours)]]/NETWORKDAYS(Table1[[#This Row],[Planned Start Date]],Table1[[#This Row],[Planned End Date]])</f>
        <v>#DIV/0!</v>
      </c>
      <c r="O430" s="178">
        <f>NETWORKDAYS(Table1[[#This Row],[Planned Start Date]],Table1[[#This Row],[Planned End Date]])</f>
        <v>0</v>
      </c>
      <c r="P430" s="178">
        <f>NETWORKDAYS(Table1[[#This Row],[Planned Start Date]],$P$7)</f>
        <v>30643</v>
      </c>
      <c r="Q430" s="129"/>
      <c r="R430" s="183" t="str">
        <f>IF(Table1[[#This Row],[Actual Effort (Hours)]]="","",IF(Table1[[#This Row],[Estimated Effort (Hours)]]&lt;20,"L1",IF(Table1[[#This Row],[Estimated Effort (Hours)]]&lt;50,"L2",IF(Table1[[#This Row],[Estimated Effort (Hours)]]&lt;150,"L3",IF(Table1[[#This Row],[Estimated Effort (Hours)]]&lt;300,"L4","L5")))))</f>
        <v/>
      </c>
      <c r="S430" s="184" t="str">
        <f>IF(Table1[[#This Row],[Actual End Date]]="","",TEXT(Table1[[#This Row],[Actual End Date]],"mmm-yy"))</f>
        <v/>
      </c>
      <c r="T4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0" s="185" t="str">
        <f>IFERROR((Table1[[#This Row],[Actual Effort (Hours)]]-Table1[[#This Row],[Estimated Effort (Hours)]])/Table1[[#This Row],[Estimated Effort (Hours)]],"")</f>
        <v/>
      </c>
      <c r="V430" s="149"/>
    </row>
    <row r="431" spans="2:22">
      <c r="B431" s="125"/>
      <c r="C431" s="123"/>
      <c r="D431" s="143"/>
      <c r="E431" s="123"/>
      <c r="F431" s="143"/>
      <c r="G431" s="129"/>
      <c r="H431" s="124"/>
      <c r="I431" s="124"/>
      <c r="J431" s="129"/>
      <c r="K431" s="194"/>
      <c r="L431" s="194"/>
      <c r="M431" s="129"/>
      <c r="N431" s="129" t="e">
        <f>Table1[[#This Row],[Estimated Effort (Hours)]]/NETWORKDAYS(Table1[[#This Row],[Planned Start Date]],Table1[[#This Row],[Planned End Date]])</f>
        <v>#DIV/0!</v>
      </c>
      <c r="O431" s="178">
        <f>NETWORKDAYS(Table1[[#This Row],[Planned Start Date]],Table1[[#This Row],[Planned End Date]])</f>
        <v>0</v>
      </c>
      <c r="P431" s="178">
        <f>NETWORKDAYS(Table1[[#This Row],[Planned Start Date]],$P$7)</f>
        <v>30643</v>
      </c>
      <c r="Q431" s="129"/>
      <c r="R431" s="183" t="str">
        <f>IF(Table1[[#This Row],[Actual Effort (Hours)]]="","",IF(Table1[[#This Row],[Estimated Effort (Hours)]]&lt;20,"L1",IF(Table1[[#This Row],[Estimated Effort (Hours)]]&lt;50,"L2",IF(Table1[[#This Row],[Estimated Effort (Hours)]]&lt;150,"L3",IF(Table1[[#This Row],[Estimated Effort (Hours)]]&lt;300,"L4","L5")))))</f>
        <v/>
      </c>
      <c r="S431" s="184" t="str">
        <f>IF(Table1[[#This Row],[Actual End Date]]="","",TEXT(Table1[[#This Row],[Actual End Date]],"mmm-yy"))</f>
        <v/>
      </c>
      <c r="T4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1" s="185" t="str">
        <f>IFERROR((Table1[[#This Row],[Actual Effort (Hours)]]-Table1[[#This Row],[Estimated Effort (Hours)]])/Table1[[#This Row],[Estimated Effort (Hours)]],"")</f>
        <v/>
      </c>
      <c r="V431" s="149"/>
    </row>
    <row r="432" spans="2:22">
      <c r="B432" s="125"/>
      <c r="C432" s="123"/>
      <c r="D432" s="143"/>
      <c r="E432" s="123"/>
      <c r="F432" s="143"/>
      <c r="G432" s="129"/>
      <c r="H432" s="124"/>
      <c r="I432" s="124"/>
      <c r="J432" s="129"/>
      <c r="K432" s="194"/>
      <c r="L432" s="194"/>
      <c r="M432" s="129"/>
      <c r="N432" s="129" t="e">
        <f>Table1[[#This Row],[Estimated Effort (Hours)]]/NETWORKDAYS(Table1[[#This Row],[Planned Start Date]],Table1[[#This Row],[Planned End Date]])</f>
        <v>#DIV/0!</v>
      </c>
      <c r="O432" s="178">
        <f>NETWORKDAYS(Table1[[#This Row],[Planned Start Date]],Table1[[#This Row],[Planned End Date]])</f>
        <v>0</v>
      </c>
      <c r="P432" s="178">
        <f>NETWORKDAYS(Table1[[#This Row],[Planned Start Date]],$P$7)</f>
        <v>30643</v>
      </c>
      <c r="Q432" s="129"/>
      <c r="R432" s="183" t="str">
        <f>IF(Table1[[#This Row],[Actual Effort (Hours)]]="","",IF(Table1[[#This Row],[Estimated Effort (Hours)]]&lt;20,"L1",IF(Table1[[#This Row],[Estimated Effort (Hours)]]&lt;50,"L2",IF(Table1[[#This Row],[Estimated Effort (Hours)]]&lt;150,"L3",IF(Table1[[#This Row],[Estimated Effort (Hours)]]&lt;300,"L4","L5")))))</f>
        <v/>
      </c>
      <c r="S432" s="184" t="str">
        <f>IF(Table1[[#This Row],[Actual End Date]]="","",TEXT(Table1[[#This Row],[Actual End Date]],"mmm-yy"))</f>
        <v/>
      </c>
      <c r="T4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2" s="185" t="str">
        <f>IFERROR((Table1[[#This Row],[Actual Effort (Hours)]]-Table1[[#This Row],[Estimated Effort (Hours)]])/Table1[[#This Row],[Estimated Effort (Hours)]],"")</f>
        <v/>
      </c>
      <c r="V432" s="149"/>
    </row>
    <row r="433" spans="2:22">
      <c r="B433" s="125"/>
      <c r="C433" s="123"/>
      <c r="D433" s="143"/>
      <c r="E433" s="123"/>
      <c r="F433" s="143"/>
      <c r="G433" s="129"/>
      <c r="H433" s="124"/>
      <c r="I433" s="124"/>
      <c r="J433" s="129"/>
      <c r="K433" s="194"/>
      <c r="L433" s="194"/>
      <c r="M433" s="129"/>
      <c r="N433" s="129" t="e">
        <f>Table1[[#This Row],[Estimated Effort (Hours)]]/NETWORKDAYS(Table1[[#This Row],[Planned Start Date]],Table1[[#This Row],[Planned End Date]])</f>
        <v>#DIV/0!</v>
      </c>
      <c r="O433" s="178">
        <f>NETWORKDAYS(Table1[[#This Row],[Planned Start Date]],Table1[[#This Row],[Planned End Date]])</f>
        <v>0</v>
      </c>
      <c r="P433" s="178">
        <f>NETWORKDAYS(Table1[[#This Row],[Planned Start Date]],$P$7)</f>
        <v>30643</v>
      </c>
      <c r="Q433" s="129"/>
      <c r="R433" s="183" t="str">
        <f>IF(Table1[[#This Row],[Actual Effort (Hours)]]="","",IF(Table1[[#This Row],[Estimated Effort (Hours)]]&lt;20,"L1",IF(Table1[[#This Row],[Estimated Effort (Hours)]]&lt;50,"L2",IF(Table1[[#This Row],[Estimated Effort (Hours)]]&lt;150,"L3",IF(Table1[[#This Row],[Estimated Effort (Hours)]]&lt;300,"L4","L5")))))</f>
        <v/>
      </c>
      <c r="S433" s="184" t="str">
        <f>IF(Table1[[#This Row],[Actual End Date]]="","",TEXT(Table1[[#This Row],[Actual End Date]],"mmm-yy"))</f>
        <v/>
      </c>
      <c r="T4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3" s="185" t="str">
        <f>IFERROR((Table1[[#This Row],[Actual Effort (Hours)]]-Table1[[#This Row],[Estimated Effort (Hours)]])/Table1[[#This Row],[Estimated Effort (Hours)]],"")</f>
        <v/>
      </c>
      <c r="V433" s="149"/>
    </row>
    <row r="434" spans="2:22">
      <c r="B434" s="125"/>
      <c r="C434" s="123"/>
      <c r="D434" s="143"/>
      <c r="E434" s="123"/>
      <c r="F434" s="143"/>
      <c r="G434" s="129"/>
      <c r="H434" s="124"/>
      <c r="I434" s="124"/>
      <c r="J434" s="129"/>
      <c r="K434" s="194"/>
      <c r="L434" s="194"/>
      <c r="M434" s="129"/>
      <c r="N434" s="129" t="e">
        <f>Table1[[#This Row],[Estimated Effort (Hours)]]/NETWORKDAYS(Table1[[#This Row],[Planned Start Date]],Table1[[#This Row],[Planned End Date]])</f>
        <v>#DIV/0!</v>
      </c>
      <c r="O434" s="178">
        <f>NETWORKDAYS(Table1[[#This Row],[Planned Start Date]],Table1[[#This Row],[Planned End Date]])</f>
        <v>0</v>
      </c>
      <c r="P434" s="178">
        <f>NETWORKDAYS(Table1[[#This Row],[Planned Start Date]],$P$7)</f>
        <v>30643</v>
      </c>
      <c r="Q434" s="129"/>
      <c r="R434" s="183" t="str">
        <f>IF(Table1[[#This Row],[Actual Effort (Hours)]]="","",IF(Table1[[#This Row],[Estimated Effort (Hours)]]&lt;20,"L1",IF(Table1[[#This Row],[Estimated Effort (Hours)]]&lt;50,"L2",IF(Table1[[#This Row],[Estimated Effort (Hours)]]&lt;150,"L3",IF(Table1[[#This Row],[Estimated Effort (Hours)]]&lt;300,"L4","L5")))))</f>
        <v/>
      </c>
      <c r="S434" s="184" t="str">
        <f>IF(Table1[[#This Row],[Actual End Date]]="","",TEXT(Table1[[#This Row],[Actual End Date]],"mmm-yy"))</f>
        <v/>
      </c>
      <c r="T4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4" s="185" t="str">
        <f>IFERROR((Table1[[#This Row],[Actual Effort (Hours)]]-Table1[[#This Row],[Estimated Effort (Hours)]])/Table1[[#This Row],[Estimated Effort (Hours)]],"")</f>
        <v/>
      </c>
      <c r="V434" s="149"/>
    </row>
    <row r="435" spans="2:22">
      <c r="B435" s="125"/>
      <c r="C435" s="123"/>
      <c r="D435" s="143"/>
      <c r="E435" s="123"/>
      <c r="F435" s="143"/>
      <c r="G435" s="129"/>
      <c r="H435" s="124"/>
      <c r="I435" s="124"/>
      <c r="J435" s="129"/>
      <c r="K435" s="194"/>
      <c r="L435" s="194"/>
      <c r="M435" s="129"/>
      <c r="N435" s="129" t="e">
        <f>Table1[[#This Row],[Estimated Effort (Hours)]]/NETWORKDAYS(Table1[[#This Row],[Planned Start Date]],Table1[[#This Row],[Planned End Date]])</f>
        <v>#DIV/0!</v>
      </c>
      <c r="O435" s="178">
        <f>NETWORKDAYS(Table1[[#This Row],[Planned Start Date]],Table1[[#This Row],[Planned End Date]])</f>
        <v>0</v>
      </c>
      <c r="P435" s="178">
        <f>NETWORKDAYS(Table1[[#This Row],[Planned Start Date]],$P$7)</f>
        <v>30643</v>
      </c>
      <c r="Q435" s="129"/>
      <c r="R435" s="183" t="str">
        <f>IF(Table1[[#This Row],[Actual Effort (Hours)]]="","",IF(Table1[[#This Row],[Estimated Effort (Hours)]]&lt;20,"L1",IF(Table1[[#This Row],[Estimated Effort (Hours)]]&lt;50,"L2",IF(Table1[[#This Row],[Estimated Effort (Hours)]]&lt;150,"L3",IF(Table1[[#This Row],[Estimated Effort (Hours)]]&lt;300,"L4","L5")))))</f>
        <v/>
      </c>
      <c r="S435" s="184" t="str">
        <f>IF(Table1[[#This Row],[Actual End Date]]="","",TEXT(Table1[[#This Row],[Actual End Date]],"mmm-yy"))</f>
        <v/>
      </c>
      <c r="T4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5" s="185" t="str">
        <f>IFERROR((Table1[[#This Row],[Actual Effort (Hours)]]-Table1[[#This Row],[Estimated Effort (Hours)]])/Table1[[#This Row],[Estimated Effort (Hours)]],"")</f>
        <v/>
      </c>
      <c r="V435" s="149"/>
    </row>
    <row r="436" spans="2:22">
      <c r="B436" s="125"/>
      <c r="C436" s="123"/>
      <c r="D436" s="143"/>
      <c r="E436" s="123"/>
      <c r="F436" s="143"/>
      <c r="G436" s="129"/>
      <c r="H436" s="124"/>
      <c r="I436" s="124"/>
      <c r="J436" s="129"/>
      <c r="K436" s="194"/>
      <c r="L436" s="194"/>
      <c r="M436" s="129"/>
      <c r="N436" s="129" t="e">
        <f>Table1[[#This Row],[Estimated Effort (Hours)]]/NETWORKDAYS(Table1[[#This Row],[Planned Start Date]],Table1[[#This Row],[Planned End Date]])</f>
        <v>#DIV/0!</v>
      </c>
      <c r="O436" s="178">
        <f>NETWORKDAYS(Table1[[#This Row],[Planned Start Date]],Table1[[#This Row],[Planned End Date]])</f>
        <v>0</v>
      </c>
      <c r="P436" s="178">
        <f>NETWORKDAYS(Table1[[#This Row],[Planned Start Date]],$P$7)</f>
        <v>30643</v>
      </c>
      <c r="Q436" s="129"/>
      <c r="R436" s="183" t="str">
        <f>IF(Table1[[#This Row],[Actual Effort (Hours)]]="","",IF(Table1[[#This Row],[Estimated Effort (Hours)]]&lt;20,"L1",IF(Table1[[#This Row],[Estimated Effort (Hours)]]&lt;50,"L2",IF(Table1[[#This Row],[Estimated Effort (Hours)]]&lt;150,"L3",IF(Table1[[#This Row],[Estimated Effort (Hours)]]&lt;300,"L4","L5")))))</f>
        <v/>
      </c>
      <c r="S436" s="184" t="str">
        <f>IF(Table1[[#This Row],[Actual End Date]]="","",TEXT(Table1[[#This Row],[Actual End Date]],"mmm-yy"))</f>
        <v/>
      </c>
      <c r="T4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6" s="185" t="str">
        <f>IFERROR((Table1[[#This Row],[Actual Effort (Hours)]]-Table1[[#This Row],[Estimated Effort (Hours)]])/Table1[[#This Row],[Estimated Effort (Hours)]],"")</f>
        <v/>
      </c>
      <c r="V436" s="149"/>
    </row>
    <row r="437" spans="2:22">
      <c r="B437" s="125"/>
      <c r="C437" s="123"/>
      <c r="D437" s="143"/>
      <c r="E437" s="123"/>
      <c r="F437" s="143"/>
      <c r="G437" s="129"/>
      <c r="H437" s="124"/>
      <c r="I437" s="124"/>
      <c r="J437" s="129"/>
      <c r="K437" s="194"/>
      <c r="L437" s="194"/>
      <c r="M437" s="129"/>
      <c r="N437" s="129" t="e">
        <f>Table1[[#This Row],[Estimated Effort (Hours)]]/NETWORKDAYS(Table1[[#This Row],[Planned Start Date]],Table1[[#This Row],[Planned End Date]])</f>
        <v>#DIV/0!</v>
      </c>
      <c r="O437" s="178">
        <f>NETWORKDAYS(Table1[[#This Row],[Planned Start Date]],Table1[[#This Row],[Planned End Date]])</f>
        <v>0</v>
      </c>
      <c r="P437" s="178">
        <f>NETWORKDAYS(Table1[[#This Row],[Planned Start Date]],$P$7)</f>
        <v>30643</v>
      </c>
      <c r="Q437" s="129"/>
      <c r="R437" s="183" t="str">
        <f>IF(Table1[[#This Row],[Actual Effort (Hours)]]="","",IF(Table1[[#This Row],[Estimated Effort (Hours)]]&lt;20,"L1",IF(Table1[[#This Row],[Estimated Effort (Hours)]]&lt;50,"L2",IF(Table1[[#This Row],[Estimated Effort (Hours)]]&lt;150,"L3",IF(Table1[[#This Row],[Estimated Effort (Hours)]]&lt;300,"L4","L5")))))</f>
        <v/>
      </c>
      <c r="S437" s="184" t="str">
        <f>IF(Table1[[#This Row],[Actual End Date]]="","",TEXT(Table1[[#This Row],[Actual End Date]],"mmm-yy"))</f>
        <v/>
      </c>
      <c r="T4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7" s="185" t="str">
        <f>IFERROR((Table1[[#This Row],[Actual Effort (Hours)]]-Table1[[#This Row],[Estimated Effort (Hours)]])/Table1[[#This Row],[Estimated Effort (Hours)]],"")</f>
        <v/>
      </c>
      <c r="V437" s="149"/>
    </row>
    <row r="438" spans="2:22">
      <c r="B438" s="125"/>
      <c r="C438" s="123"/>
      <c r="D438" s="143"/>
      <c r="E438" s="123"/>
      <c r="F438" s="143"/>
      <c r="G438" s="129"/>
      <c r="H438" s="124"/>
      <c r="I438" s="124"/>
      <c r="J438" s="129"/>
      <c r="K438" s="194"/>
      <c r="L438" s="194"/>
      <c r="M438" s="129"/>
      <c r="N438" s="129" t="e">
        <f>Table1[[#This Row],[Estimated Effort (Hours)]]/NETWORKDAYS(Table1[[#This Row],[Planned Start Date]],Table1[[#This Row],[Planned End Date]])</f>
        <v>#DIV/0!</v>
      </c>
      <c r="O438" s="178">
        <f>NETWORKDAYS(Table1[[#This Row],[Planned Start Date]],Table1[[#This Row],[Planned End Date]])</f>
        <v>0</v>
      </c>
      <c r="P438" s="178">
        <f>NETWORKDAYS(Table1[[#This Row],[Planned Start Date]],$P$7)</f>
        <v>30643</v>
      </c>
      <c r="Q438" s="129"/>
      <c r="R438" s="183" t="str">
        <f>IF(Table1[[#This Row],[Actual Effort (Hours)]]="","",IF(Table1[[#This Row],[Estimated Effort (Hours)]]&lt;20,"L1",IF(Table1[[#This Row],[Estimated Effort (Hours)]]&lt;50,"L2",IF(Table1[[#This Row],[Estimated Effort (Hours)]]&lt;150,"L3",IF(Table1[[#This Row],[Estimated Effort (Hours)]]&lt;300,"L4","L5")))))</f>
        <v/>
      </c>
      <c r="S438" s="184" t="str">
        <f>IF(Table1[[#This Row],[Actual End Date]]="","",TEXT(Table1[[#This Row],[Actual End Date]],"mmm-yy"))</f>
        <v/>
      </c>
      <c r="T4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8" s="185" t="str">
        <f>IFERROR((Table1[[#This Row],[Actual Effort (Hours)]]-Table1[[#This Row],[Estimated Effort (Hours)]])/Table1[[#This Row],[Estimated Effort (Hours)]],"")</f>
        <v/>
      </c>
      <c r="V438" s="149"/>
    </row>
    <row r="439" spans="2:22">
      <c r="B439" s="125"/>
      <c r="C439" s="123"/>
      <c r="D439" s="143"/>
      <c r="E439" s="123"/>
      <c r="F439" s="143"/>
      <c r="G439" s="129"/>
      <c r="H439" s="124"/>
      <c r="I439" s="124"/>
      <c r="J439" s="129"/>
      <c r="K439" s="194"/>
      <c r="L439" s="194"/>
      <c r="M439" s="129"/>
      <c r="N439" s="129" t="e">
        <f>Table1[[#This Row],[Estimated Effort (Hours)]]/NETWORKDAYS(Table1[[#This Row],[Planned Start Date]],Table1[[#This Row],[Planned End Date]])</f>
        <v>#DIV/0!</v>
      </c>
      <c r="O439" s="178">
        <f>NETWORKDAYS(Table1[[#This Row],[Planned Start Date]],Table1[[#This Row],[Planned End Date]])</f>
        <v>0</v>
      </c>
      <c r="P439" s="178">
        <f>NETWORKDAYS(Table1[[#This Row],[Planned Start Date]],$P$7)</f>
        <v>30643</v>
      </c>
      <c r="Q439" s="129"/>
      <c r="R439" s="183" t="str">
        <f>IF(Table1[[#This Row],[Actual Effort (Hours)]]="","",IF(Table1[[#This Row],[Estimated Effort (Hours)]]&lt;20,"L1",IF(Table1[[#This Row],[Estimated Effort (Hours)]]&lt;50,"L2",IF(Table1[[#This Row],[Estimated Effort (Hours)]]&lt;150,"L3",IF(Table1[[#This Row],[Estimated Effort (Hours)]]&lt;300,"L4","L5")))))</f>
        <v/>
      </c>
      <c r="S439" s="184" t="str">
        <f>IF(Table1[[#This Row],[Actual End Date]]="","",TEXT(Table1[[#This Row],[Actual End Date]],"mmm-yy"))</f>
        <v/>
      </c>
      <c r="T4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39" s="185" t="str">
        <f>IFERROR((Table1[[#This Row],[Actual Effort (Hours)]]-Table1[[#This Row],[Estimated Effort (Hours)]])/Table1[[#This Row],[Estimated Effort (Hours)]],"")</f>
        <v/>
      </c>
      <c r="V439" s="149"/>
    </row>
    <row r="440" spans="2:22">
      <c r="B440" s="125"/>
      <c r="C440" s="123"/>
      <c r="D440" s="143"/>
      <c r="E440" s="123"/>
      <c r="F440" s="143"/>
      <c r="G440" s="129"/>
      <c r="H440" s="124"/>
      <c r="I440" s="124"/>
      <c r="J440" s="129"/>
      <c r="K440" s="194"/>
      <c r="L440" s="194"/>
      <c r="M440" s="129"/>
      <c r="N440" s="129" t="e">
        <f>Table1[[#This Row],[Estimated Effort (Hours)]]/NETWORKDAYS(Table1[[#This Row],[Planned Start Date]],Table1[[#This Row],[Planned End Date]])</f>
        <v>#DIV/0!</v>
      </c>
      <c r="O440" s="178">
        <f>NETWORKDAYS(Table1[[#This Row],[Planned Start Date]],Table1[[#This Row],[Planned End Date]])</f>
        <v>0</v>
      </c>
      <c r="P440" s="178">
        <f>NETWORKDAYS(Table1[[#This Row],[Planned Start Date]],$P$7)</f>
        <v>30643</v>
      </c>
      <c r="Q440" s="129"/>
      <c r="R440" s="183" t="str">
        <f>IF(Table1[[#This Row],[Actual Effort (Hours)]]="","",IF(Table1[[#This Row],[Estimated Effort (Hours)]]&lt;20,"L1",IF(Table1[[#This Row],[Estimated Effort (Hours)]]&lt;50,"L2",IF(Table1[[#This Row],[Estimated Effort (Hours)]]&lt;150,"L3",IF(Table1[[#This Row],[Estimated Effort (Hours)]]&lt;300,"L4","L5")))))</f>
        <v/>
      </c>
      <c r="S440" s="184" t="str">
        <f>IF(Table1[[#This Row],[Actual End Date]]="","",TEXT(Table1[[#This Row],[Actual End Date]],"mmm-yy"))</f>
        <v/>
      </c>
      <c r="T4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0" s="185" t="str">
        <f>IFERROR((Table1[[#This Row],[Actual Effort (Hours)]]-Table1[[#This Row],[Estimated Effort (Hours)]])/Table1[[#This Row],[Estimated Effort (Hours)]],"")</f>
        <v/>
      </c>
      <c r="V440" s="149"/>
    </row>
    <row r="441" spans="2:22">
      <c r="B441" s="125"/>
      <c r="C441" s="123"/>
      <c r="D441" s="143"/>
      <c r="E441" s="123"/>
      <c r="F441" s="143"/>
      <c r="G441" s="129"/>
      <c r="H441" s="124"/>
      <c r="I441" s="124"/>
      <c r="J441" s="129"/>
      <c r="K441" s="194"/>
      <c r="L441" s="194"/>
      <c r="M441" s="129"/>
      <c r="N441" s="129" t="e">
        <f>Table1[[#This Row],[Estimated Effort (Hours)]]/NETWORKDAYS(Table1[[#This Row],[Planned Start Date]],Table1[[#This Row],[Planned End Date]])</f>
        <v>#DIV/0!</v>
      </c>
      <c r="O441" s="178">
        <f>NETWORKDAYS(Table1[[#This Row],[Planned Start Date]],Table1[[#This Row],[Planned End Date]])</f>
        <v>0</v>
      </c>
      <c r="P441" s="178">
        <f>NETWORKDAYS(Table1[[#This Row],[Planned Start Date]],$P$7)</f>
        <v>30643</v>
      </c>
      <c r="Q441" s="129"/>
      <c r="R441" s="183" t="str">
        <f>IF(Table1[[#This Row],[Actual Effort (Hours)]]="","",IF(Table1[[#This Row],[Estimated Effort (Hours)]]&lt;20,"L1",IF(Table1[[#This Row],[Estimated Effort (Hours)]]&lt;50,"L2",IF(Table1[[#This Row],[Estimated Effort (Hours)]]&lt;150,"L3",IF(Table1[[#This Row],[Estimated Effort (Hours)]]&lt;300,"L4","L5")))))</f>
        <v/>
      </c>
      <c r="S441" s="184" t="str">
        <f>IF(Table1[[#This Row],[Actual End Date]]="","",TEXT(Table1[[#This Row],[Actual End Date]],"mmm-yy"))</f>
        <v/>
      </c>
      <c r="T4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1" s="185" t="str">
        <f>IFERROR((Table1[[#This Row],[Actual Effort (Hours)]]-Table1[[#This Row],[Estimated Effort (Hours)]])/Table1[[#This Row],[Estimated Effort (Hours)]],"")</f>
        <v/>
      </c>
      <c r="V441" s="149"/>
    </row>
    <row r="442" spans="2:22">
      <c r="B442" s="125"/>
      <c r="C442" s="123"/>
      <c r="D442" s="143"/>
      <c r="E442" s="123"/>
      <c r="F442" s="143"/>
      <c r="G442" s="129"/>
      <c r="H442" s="124"/>
      <c r="I442" s="124"/>
      <c r="J442" s="129"/>
      <c r="K442" s="194"/>
      <c r="L442" s="194"/>
      <c r="M442" s="129"/>
      <c r="N442" s="129" t="e">
        <f>Table1[[#This Row],[Estimated Effort (Hours)]]/NETWORKDAYS(Table1[[#This Row],[Planned Start Date]],Table1[[#This Row],[Planned End Date]])</f>
        <v>#DIV/0!</v>
      </c>
      <c r="O442" s="178">
        <f>NETWORKDAYS(Table1[[#This Row],[Planned Start Date]],Table1[[#This Row],[Planned End Date]])</f>
        <v>0</v>
      </c>
      <c r="P442" s="178">
        <f>NETWORKDAYS(Table1[[#This Row],[Planned Start Date]],$P$7)</f>
        <v>30643</v>
      </c>
      <c r="Q442" s="129"/>
      <c r="R442" s="183" t="str">
        <f>IF(Table1[[#This Row],[Actual Effort (Hours)]]="","",IF(Table1[[#This Row],[Estimated Effort (Hours)]]&lt;20,"L1",IF(Table1[[#This Row],[Estimated Effort (Hours)]]&lt;50,"L2",IF(Table1[[#This Row],[Estimated Effort (Hours)]]&lt;150,"L3",IF(Table1[[#This Row],[Estimated Effort (Hours)]]&lt;300,"L4","L5")))))</f>
        <v/>
      </c>
      <c r="S442" s="184" t="str">
        <f>IF(Table1[[#This Row],[Actual End Date]]="","",TEXT(Table1[[#This Row],[Actual End Date]],"mmm-yy"))</f>
        <v/>
      </c>
      <c r="T4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2" s="185" t="str">
        <f>IFERROR((Table1[[#This Row],[Actual Effort (Hours)]]-Table1[[#This Row],[Estimated Effort (Hours)]])/Table1[[#This Row],[Estimated Effort (Hours)]],"")</f>
        <v/>
      </c>
      <c r="V442" s="149"/>
    </row>
    <row r="443" spans="2:22">
      <c r="B443" s="125"/>
      <c r="C443" s="123"/>
      <c r="D443" s="143"/>
      <c r="E443" s="123"/>
      <c r="F443" s="143"/>
      <c r="G443" s="129"/>
      <c r="H443" s="124"/>
      <c r="I443" s="124"/>
      <c r="J443" s="129"/>
      <c r="K443" s="194"/>
      <c r="L443" s="194"/>
      <c r="M443" s="129"/>
      <c r="N443" s="129" t="e">
        <f>Table1[[#This Row],[Estimated Effort (Hours)]]/NETWORKDAYS(Table1[[#This Row],[Planned Start Date]],Table1[[#This Row],[Planned End Date]])</f>
        <v>#DIV/0!</v>
      </c>
      <c r="O443" s="178">
        <f>NETWORKDAYS(Table1[[#This Row],[Planned Start Date]],Table1[[#This Row],[Planned End Date]])</f>
        <v>0</v>
      </c>
      <c r="P443" s="178">
        <f>NETWORKDAYS(Table1[[#This Row],[Planned Start Date]],$P$7)</f>
        <v>30643</v>
      </c>
      <c r="Q443" s="129"/>
      <c r="R443" s="183" t="str">
        <f>IF(Table1[[#This Row],[Actual Effort (Hours)]]="","",IF(Table1[[#This Row],[Estimated Effort (Hours)]]&lt;20,"L1",IF(Table1[[#This Row],[Estimated Effort (Hours)]]&lt;50,"L2",IF(Table1[[#This Row],[Estimated Effort (Hours)]]&lt;150,"L3",IF(Table1[[#This Row],[Estimated Effort (Hours)]]&lt;300,"L4","L5")))))</f>
        <v/>
      </c>
      <c r="S443" s="184" t="str">
        <f>IF(Table1[[#This Row],[Actual End Date]]="","",TEXT(Table1[[#This Row],[Actual End Date]],"mmm-yy"))</f>
        <v/>
      </c>
      <c r="T4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3" s="185" t="str">
        <f>IFERROR((Table1[[#This Row],[Actual Effort (Hours)]]-Table1[[#This Row],[Estimated Effort (Hours)]])/Table1[[#This Row],[Estimated Effort (Hours)]],"")</f>
        <v/>
      </c>
      <c r="V443" s="149"/>
    </row>
    <row r="444" spans="2:22">
      <c r="B444" s="125"/>
      <c r="C444" s="123"/>
      <c r="D444" s="143"/>
      <c r="E444" s="123"/>
      <c r="F444" s="143"/>
      <c r="G444" s="129"/>
      <c r="H444" s="124"/>
      <c r="I444" s="124"/>
      <c r="J444" s="129"/>
      <c r="K444" s="194"/>
      <c r="L444" s="194"/>
      <c r="M444" s="129"/>
      <c r="N444" s="129" t="e">
        <f>Table1[[#This Row],[Estimated Effort (Hours)]]/NETWORKDAYS(Table1[[#This Row],[Planned Start Date]],Table1[[#This Row],[Planned End Date]])</f>
        <v>#DIV/0!</v>
      </c>
      <c r="O444" s="178">
        <f>NETWORKDAYS(Table1[[#This Row],[Planned Start Date]],Table1[[#This Row],[Planned End Date]])</f>
        <v>0</v>
      </c>
      <c r="P444" s="178">
        <f>NETWORKDAYS(Table1[[#This Row],[Planned Start Date]],$P$7)</f>
        <v>30643</v>
      </c>
      <c r="Q444" s="129"/>
      <c r="R444" s="183" t="str">
        <f>IF(Table1[[#This Row],[Actual Effort (Hours)]]="","",IF(Table1[[#This Row],[Estimated Effort (Hours)]]&lt;20,"L1",IF(Table1[[#This Row],[Estimated Effort (Hours)]]&lt;50,"L2",IF(Table1[[#This Row],[Estimated Effort (Hours)]]&lt;150,"L3",IF(Table1[[#This Row],[Estimated Effort (Hours)]]&lt;300,"L4","L5")))))</f>
        <v/>
      </c>
      <c r="S444" s="184" t="str">
        <f>IF(Table1[[#This Row],[Actual End Date]]="","",TEXT(Table1[[#This Row],[Actual End Date]],"mmm-yy"))</f>
        <v/>
      </c>
      <c r="T4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4" s="185" t="str">
        <f>IFERROR((Table1[[#This Row],[Actual Effort (Hours)]]-Table1[[#This Row],[Estimated Effort (Hours)]])/Table1[[#This Row],[Estimated Effort (Hours)]],"")</f>
        <v/>
      </c>
      <c r="V444" s="149"/>
    </row>
    <row r="445" spans="2:22">
      <c r="B445" s="125"/>
      <c r="C445" s="123"/>
      <c r="D445" s="143"/>
      <c r="E445" s="123"/>
      <c r="F445" s="143"/>
      <c r="G445" s="129"/>
      <c r="H445" s="124"/>
      <c r="I445" s="124"/>
      <c r="J445" s="129"/>
      <c r="K445" s="194"/>
      <c r="L445" s="194"/>
      <c r="M445" s="129"/>
      <c r="N445" s="129" t="e">
        <f>Table1[[#This Row],[Estimated Effort (Hours)]]/NETWORKDAYS(Table1[[#This Row],[Planned Start Date]],Table1[[#This Row],[Planned End Date]])</f>
        <v>#DIV/0!</v>
      </c>
      <c r="O445" s="178">
        <f>NETWORKDAYS(Table1[[#This Row],[Planned Start Date]],Table1[[#This Row],[Planned End Date]])</f>
        <v>0</v>
      </c>
      <c r="P445" s="178">
        <f>NETWORKDAYS(Table1[[#This Row],[Planned Start Date]],$P$7)</f>
        <v>30643</v>
      </c>
      <c r="Q445" s="129"/>
      <c r="R445" s="183" t="str">
        <f>IF(Table1[[#This Row],[Actual Effort (Hours)]]="","",IF(Table1[[#This Row],[Estimated Effort (Hours)]]&lt;20,"L1",IF(Table1[[#This Row],[Estimated Effort (Hours)]]&lt;50,"L2",IF(Table1[[#This Row],[Estimated Effort (Hours)]]&lt;150,"L3",IF(Table1[[#This Row],[Estimated Effort (Hours)]]&lt;300,"L4","L5")))))</f>
        <v/>
      </c>
      <c r="S445" s="184" t="str">
        <f>IF(Table1[[#This Row],[Actual End Date]]="","",TEXT(Table1[[#This Row],[Actual End Date]],"mmm-yy"))</f>
        <v/>
      </c>
      <c r="T4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5" s="185" t="str">
        <f>IFERROR((Table1[[#This Row],[Actual Effort (Hours)]]-Table1[[#This Row],[Estimated Effort (Hours)]])/Table1[[#This Row],[Estimated Effort (Hours)]],"")</f>
        <v/>
      </c>
      <c r="V445" s="149"/>
    </row>
    <row r="446" spans="2:22">
      <c r="B446" s="125"/>
      <c r="C446" s="123"/>
      <c r="D446" s="143"/>
      <c r="E446" s="123"/>
      <c r="F446" s="143"/>
      <c r="G446" s="129"/>
      <c r="H446" s="124"/>
      <c r="I446" s="124"/>
      <c r="J446" s="129"/>
      <c r="K446" s="194"/>
      <c r="L446" s="194"/>
      <c r="M446" s="129"/>
      <c r="N446" s="129" t="e">
        <f>Table1[[#This Row],[Estimated Effort (Hours)]]/NETWORKDAYS(Table1[[#This Row],[Planned Start Date]],Table1[[#This Row],[Planned End Date]])</f>
        <v>#DIV/0!</v>
      </c>
      <c r="O446" s="178">
        <f>NETWORKDAYS(Table1[[#This Row],[Planned Start Date]],Table1[[#This Row],[Planned End Date]])</f>
        <v>0</v>
      </c>
      <c r="P446" s="178">
        <f>NETWORKDAYS(Table1[[#This Row],[Planned Start Date]],$P$7)</f>
        <v>30643</v>
      </c>
      <c r="Q446" s="129"/>
      <c r="R446" s="183" t="str">
        <f>IF(Table1[[#This Row],[Actual Effort (Hours)]]="","",IF(Table1[[#This Row],[Estimated Effort (Hours)]]&lt;20,"L1",IF(Table1[[#This Row],[Estimated Effort (Hours)]]&lt;50,"L2",IF(Table1[[#This Row],[Estimated Effort (Hours)]]&lt;150,"L3",IF(Table1[[#This Row],[Estimated Effort (Hours)]]&lt;300,"L4","L5")))))</f>
        <v/>
      </c>
      <c r="S446" s="184" t="str">
        <f>IF(Table1[[#This Row],[Actual End Date]]="","",TEXT(Table1[[#This Row],[Actual End Date]],"mmm-yy"))</f>
        <v/>
      </c>
      <c r="T4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6" s="185" t="str">
        <f>IFERROR((Table1[[#This Row],[Actual Effort (Hours)]]-Table1[[#This Row],[Estimated Effort (Hours)]])/Table1[[#This Row],[Estimated Effort (Hours)]],"")</f>
        <v/>
      </c>
      <c r="V446" s="149"/>
    </row>
    <row r="447" spans="2:22">
      <c r="B447" s="125"/>
      <c r="C447" s="123"/>
      <c r="D447" s="143"/>
      <c r="E447" s="123"/>
      <c r="F447" s="143"/>
      <c r="G447" s="129"/>
      <c r="H447" s="124"/>
      <c r="I447" s="124"/>
      <c r="J447" s="129"/>
      <c r="K447" s="194"/>
      <c r="L447" s="194"/>
      <c r="M447" s="129"/>
      <c r="N447" s="129" t="e">
        <f>Table1[[#This Row],[Estimated Effort (Hours)]]/NETWORKDAYS(Table1[[#This Row],[Planned Start Date]],Table1[[#This Row],[Planned End Date]])</f>
        <v>#DIV/0!</v>
      </c>
      <c r="O447" s="178">
        <f>NETWORKDAYS(Table1[[#This Row],[Planned Start Date]],Table1[[#This Row],[Planned End Date]])</f>
        <v>0</v>
      </c>
      <c r="P447" s="178">
        <f>NETWORKDAYS(Table1[[#This Row],[Planned Start Date]],$P$7)</f>
        <v>30643</v>
      </c>
      <c r="Q447" s="129"/>
      <c r="R447" s="183" t="str">
        <f>IF(Table1[[#This Row],[Actual Effort (Hours)]]="","",IF(Table1[[#This Row],[Estimated Effort (Hours)]]&lt;20,"L1",IF(Table1[[#This Row],[Estimated Effort (Hours)]]&lt;50,"L2",IF(Table1[[#This Row],[Estimated Effort (Hours)]]&lt;150,"L3",IF(Table1[[#This Row],[Estimated Effort (Hours)]]&lt;300,"L4","L5")))))</f>
        <v/>
      </c>
      <c r="S447" s="184" t="str">
        <f>IF(Table1[[#This Row],[Actual End Date]]="","",TEXT(Table1[[#This Row],[Actual End Date]],"mmm-yy"))</f>
        <v/>
      </c>
      <c r="T4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7" s="185" t="str">
        <f>IFERROR((Table1[[#This Row],[Actual Effort (Hours)]]-Table1[[#This Row],[Estimated Effort (Hours)]])/Table1[[#This Row],[Estimated Effort (Hours)]],"")</f>
        <v/>
      </c>
      <c r="V447" s="149"/>
    </row>
    <row r="448" spans="2:22">
      <c r="B448" s="125"/>
      <c r="C448" s="123"/>
      <c r="D448" s="143"/>
      <c r="E448" s="123"/>
      <c r="F448" s="143"/>
      <c r="G448" s="129"/>
      <c r="H448" s="124"/>
      <c r="I448" s="124"/>
      <c r="J448" s="129"/>
      <c r="K448" s="194"/>
      <c r="L448" s="194"/>
      <c r="M448" s="129"/>
      <c r="N448" s="129" t="e">
        <f>Table1[[#This Row],[Estimated Effort (Hours)]]/NETWORKDAYS(Table1[[#This Row],[Planned Start Date]],Table1[[#This Row],[Planned End Date]])</f>
        <v>#DIV/0!</v>
      </c>
      <c r="O448" s="178">
        <f>NETWORKDAYS(Table1[[#This Row],[Planned Start Date]],Table1[[#This Row],[Planned End Date]])</f>
        <v>0</v>
      </c>
      <c r="P448" s="178">
        <f>NETWORKDAYS(Table1[[#This Row],[Planned Start Date]],$P$7)</f>
        <v>30643</v>
      </c>
      <c r="Q448" s="129"/>
      <c r="R448" s="183" t="str">
        <f>IF(Table1[[#This Row],[Actual Effort (Hours)]]="","",IF(Table1[[#This Row],[Estimated Effort (Hours)]]&lt;20,"L1",IF(Table1[[#This Row],[Estimated Effort (Hours)]]&lt;50,"L2",IF(Table1[[#This Row],[Estimated Effort (Hours)]]&lt;150,"L3",IF(Table1[[#This Row],[Estimated Effort (Hours)]]&lt;300,"L4","L5")))))</f>
        <v/>
      </c>
      <c r="S448" s="184" t="str">
        <f>IF(Table1[[#This Row],[Actual End Date]]="","",TEXT(Table1[[#This Row],[Actual End Date]],"mmm-yy"))</f>
        <v/>
      </c>
      <c r="T4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8" s="185" t="str">
        <f>IFERROR((Table1[[#This Row],[Actual Effort (Hours)]]-Table1[[#This Row],[Estimated Effort (Hours)]])/Table1[[#This Row],[Estimated Effort (Hours)]],"")</f>
        <v/>
      </c>
      <c r="V448" s="149"/>
    </row>
    <row r="449" spans="2:22">
      <c r="B449" s="125"/>
      <c r="C449" s="123"/>
      <c r="D449" s="143"/>
      <c r="E449" s="123"/>
      <c r="F449" s="143"/>
      <c r="G449" s="129"/>
      <c r="H449" s="124"/>
      <c r="I449" s="124"/>
      <c r="J449" s="129"/>
      <c r="K449" s="194"/>
      <c r="L449" s="194"/>
      <c r="M449" s="129"/>
      <c r="N449" s="129" t="e">
        <f>Table1[[#This Row],[Estimated Effort (Hours)]]/NETWORKDAYS(Table1[[#This Row],[Planned Start Date]],Table1[[#This Row],[Planned End Date]])</f>
        <v>#DIV/0!</v>
      </c>
      <c r="O449" s="178">
        <f>NETWORKDAYS(Table1[[#This Row],[Planned Start Date]],Table1[[#This Row],[Planned End Date]])</f>
        <v>0</v>
      </c>
      <c r="P449" s="178">
        <f>NETWORKDAYS(Table1[[#This Row],[Planned Start Date]],$P$7)</f>
        <v>30643</v>
      </c>
      <c r="Q449" s="129"/>
      <c r="R449" s="183" t="str">
        <f>IF(Table1[[#This Row],[Actual Effort (Hours)]]="","",IF(Table1[[#This Row],[Estimated Effort (Hours)]]&lt;20,"L1",IF(Table1[[#This Row],[Estimated Effort (Hours)]]&lt;50,"L2",IF(Table1[[#This Row],[Estimated Effort (Hours)]]&lt;150,"L3",IF(Table1[[#This Row],[Estimated Effort (Hours)]]&lt;300,"L4","L5")))))</f>
        <v/>
      </c>
      <c r="S449" s="184" t="str">
        <f>IF(Table1[[#This Row],[Actual End Date]]="","",TEXT(Table1[[#This Row],[Actual End Date]],"mmm-yy"))</f>
        <v/>
      </c>
      <c r="T4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49" s="185" t="str">
        <f>IFERROR((Table1[[#This Row],[Actual Effort (Hours)]]-Table1[[#This Row],[Estimated Effort (Hours)]])/Table1[[#This Row],[Estimated Effort (Hours)]],"")</f>
        <v/>
      </c>
      <c r="V449" s="149"/>
    </row>
    <row r="450" spans="2:22">
      <c r="B450" s="125"/>
      <c r="C450" s="123"/>
      <c r="D450" s="143"/>
      <c r="E450" s="123"/>
      <c r="F450" s="143"/>
      <c r="G450" s="129"/>
      <c r="H450" s="124"/>
      <c r="I450" s="124"/>
      <c r="J450" s="129"/>
      <c r="K450" s="194"/>
      <c r="L450" s="194"/>
      <c r="M450" s="129"/>
      <c r="N450" s="129" t="e">
        <f>Table1[[#This Row],[Estimated Effort (Hours)]]/NETWORKDAYS(Table1[[#This Row],[Planned Start Date]],Table1[[#This Row],[Planned End Date]])</f>
        <v>#DIV/0!</v>
      </c>
      <c r="O450" s="178">
        <f>NETWORKDAYS(Table1[[#This Row],[Planned Start Date]],Table1[[#This Row],[Planned End Date]])</f>
        <v>0</v>
      </c>
      <c r="P450" s="178">
        <f>NETWORKDAYS(Table1[[#This Row],[Planned Start Date]],$P$7)</f>
        <v>30643</v>
      </c>
      <c r="Q450" s="129"/>
      <c r="R450" s="183" t="str">
        <f>IF(Table1[[#This Row],[Actual Effort (Hours)]]="","",IF(Table1[[#This Row],[Estimated Effort (Hours)]]&lt;20,"L1",IF(Table1[[#This Row],[Estimated Effort (Hours)]]&lt;50,"L2",IF(Table1[[#This Row],[Estimated Effort (Hours)]]&lt;150,"L3",IF(Table1[[#This Row],[Estimated Effort (Hours)]]&lt;300,"L4","L5")))))</f>
        <v/>
      </c>
      <c r="S450" s="184" t="str">
        <f>IF(Table1[[#This Row],[Actual End Date]]="","",TEXT(Table1[[#This Row],[Actual End Date]],"mmm-yy"))</f>
        <v/>
      </c>
      <c r="T4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0" s="185" t="str">
        <f>IFERROR((Table1[[#This Row],[Actual Effort (Hours)]]-Table1[[#This Row],[Estimated Effort (Hours)]])/Table1[[#This Row],[Estimated Effort (Hours)]],"")</f>
        <v/>
      </c>
      <c r="V450" s="149"/>
    </row>
    <row r="451" spans="2:22">
      <c r="B451" s="125"/>
      <c r="C451" s="123"/>
      <c r="D451" s="143"/>
      <c r="E451" s="123"/>
      <c r="F451" s="143"/>
      <c r="G451" s="129"/>
      <c r="H451" s="124"/>
      <c r="I451" s="124"/>
      <c r="J451" s="129"/>
      <c r="K451" s="194"/>
      <c r="L451" s="194"/>
      <c r="M451" s="129"/>
      <c r="N451" s="129" t="e">
        <f>Table1[[#This Row],[Estimated Effort (Hours)]]/NETWORKDAYS(Table1[[#This Row],[Planned Start Date]],Table1[[#This Row],[Planned End Date]])</f>
        <v>#DIV/0!</v>
      </c>
      <c r="O451" s="178">
        <f>NETWORKDAYS(Table1[[#This Row],[Planned Start Date]],Table1[[#This Row],[Planned End Date]])</f>
        <v>0</v>
      </c>
      <c r="P451" s="178">
        <f>NETWORKDAYS(Table1[[#This Row],[Planned Start Date]],$P$7)</f>
        <v>30643</v>
      </c>
      <c r="Q451" s="129"/>
      <c r="R451" s="183" t="str">
        <f>IF(Table1[[#This Row],[Actual Effort (Hours)]]="","",IF(Table1[[#This Row],[Estimated Effort (Hours)]]&lt;20,"L1",IF(Table1[[#This Row],[Estimated Effort (Hours)]]&lt;50,"L2",IF(Table1[[#This Row],[Estimated Effort (Hours)]]&lt;150,"L3",IF(Table1[[#This Row],[Estimated Effort (Hours)]]&lt;300,"L4","L5")))))</f>
        <v/>
      </c>
      <c r="S451" s="184" t="str">
        <f>IF(Table1[[#This Row],[Actual End Date]]="","",TEXT(Table1[[#This Row],[Actual End Date]],"mmm-yy"))</f>
        <v/>
      </c>
      <c r="T4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1" s="185" t="str">
        <f>IFERROR((Table1[[#This Row],[Actual Effort (Hours)]]-Table1[[#This Row],[Estimated Effort (Hours)]])/Table1[[#This Row],[Estimated Effort (Hours)]],"")</f>
        <v/>
      </c>
      <c r="V451" s="149"/>
    </row>
    <row r="452" spans="2:22">
      <c r="B452" s="125"/>
      <c r="C452" s="123"/>
      <c r="D452" s="143"/>
      <c r="E452" s="123"/>
      <c r="F452" s="143"/>
      <c r="G452" s="129"/>
      <c r="H452" s="124"/>
      <c r="I452" s="124"/>
      <c r="J452" s="129"/>
      <c r="K452" s="194"/>
      <c r="L452" s="194"/>
      <c r="M452" s="129"/>
      <c r="N452" s="129" t="e">
        <f>Table1[[#This Row],[Estimated Effort (Hours)]]/NETWORKDAYS(Table1[[#This Row],[Planned Start Date]],Table1[[#This Row],[Planned End Date]])</f>
        <v>#DIV/0!</v>
      </c>
      <c r="O452" s="178">
        <f>NETWORKDAYS(Table1[[#This Row],[Planned Start Date]],Table1[[#This Row],[Planned End Date]])</f>
        <v>0</v>
      </c>
      <c r="P452" s="178">
        <f>NETWORKDAYS(Table1[[#This Row],[Planned Start Date]],$P$7)</f>
        <v>30643</v>
      </c>
      <c r="Q452" s="129"/>
      <c r="R452" s="183" t="str">
        <f>IF(Table1[[#This Row],[Actual Effort (Hours)]]="","",IF(Table1[[#This Row],[Estimated Effort (Hours)]]&lt;20,"L1",IF(Table1[[#This Row],[Estimated Effort (Hours)]]&lt;50,"L2",IF(Table1[[#This Row],[Estimated Effort (Hours)]]&lt;150,"L3",IF(Table1[[#This Row],[Estimated Effort (Hours)]]&lt;300,"L4","L5")))))</f>
        <v/>
      </c>
      <c r="S452" s="184" t="str">
        <f>IF(Table1[[#This Row],[Actual End Date]]="","",TEXT(Table1[[#This Row],[Actual End Date]],"mmm-yy"))</f>
        <v/>
      </c>
      <c r="T4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2" s="185" t="str">
        <f>IFERROR((Table1[[#This Row],[Actual Effort (Hours)]]-Table1[[#This Row],[Estimated Effort (Hours)]])/Table1[[#This Row],[Estimated Effort (Hours)]],"")</f>
        <v/>
      </c>
      <c r="V452" s="149"/>
    </row>
    <row r="453" spans="2:22">
      <c r="B453" s="125"/>
      <c r="C453" s="123"/>
      <c r="D453" s="143"/>
      <c r="E453" s="123"/>
      <c r="F453" s="143"/>
      <c r="G453" s="129"/>
      <c r="H453" s="124"/>
      <c r="I453" s="124"/>
      <c r="J453" s="129"/>
      <c r="K453" s="194"/>
      <c r="L453" s="194"/>
      <c r="M453" s="129"/>
      <c r="N453" s="129" t="e">
        <f>Table1[[#This Row],[Estimated Effort (Hours)]]/NETWORKDAYS(Table1[[#This Row],[Planned Start Date]],Table1[[#This Row],[Planned End Date]])</f>
        <v>#DIV/0!</v>
      </c>
      <c r="O453" s="178">
        <f>NETWORKDAYS(Table1[[#This Row],[Planned Start Date]],Table1[[#This Row],[Planned End Date]])</f>
        <v>0</v>
      </c>
      <c r="P453" s="178">
        <f>NETWORKDAYS(Table1[[#This Row],[Planned Start Date]],$P$7)</f>
        <v>30643</v>
      </c>
      <c r="Q453" s="129"/>
      <c r="R453" s="183" t="str">
        <f>IF(Table1[[#This Row],[Actual Effort (Hours)]]="","",IF(Table1[[#This Row],[Estimated Effort (Hours)]]&lt;20,"L1",IF(Table1[[#This Row],[Estimated Effort (Hours)]]&lt;50,"L2",IF(Table1[[#This Row],[Estimated Effort (Hours)]]&lt;150,"L3",IF(Table1[[#This Row],[Estimated Effort (Hours)]]&lt;300,"L4","L5")))))</f>
        <v/>
      </c>
      <c r="S453" s="184" t="str">
        <f>IF(Table1[[#This Row],[Actual End Date]]="","",TEXT(Table1[[#This Row],[Actual End Date]],"mmm-yy"))</f>
        <v/>
      </c>
      <c r="T4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3" s="185" t="str">
        <f>IFERROR((Table1[[#This Row],[Actual Effort (Hours)]]-Table1[[#This Row],[Estimated Effort (Hours)]])/Table1[[#This Row],[Estimated Effort (Hours)]],"")</f>
        <v/>
      </c>
      <c r="V453" s="149"/>
    </row>
    <row r="454" spans="2:22">
      <c r="B454" s="125"/>
      <c r="C454" s="123"/>
      <c r="D454" s="143"/>
      <c r="E454" s="123"/>
      <c r="F454" s="143"/>
      <c r="G454" s="129"/>
      <c r="H454" s="124"/>
      <c r="I454" s="124"/>
      <c r="J454" s="129"/>
      <c r="K454" s="194"/>
      <c r="L454" s="194"/>
      <c r="M454" s="129"/>
      <c r="N454" s="129" t="e">
        <f>Table1[[#This Row],[Estimated Effort (Hours)]]/NETWORKDAYS(Table1[[#This Row],[Planned Start Date]],Table1[[#This Row],[Planned End Date]])</f>
        <v>#DIV/0!</v>
      </c>
      <c r="O454" s="178">
        <f>NETWORKDAYS(Table1[[#This Row],[Planned Start Date]],Table1[[#This Row],[Planned End Date]])</f>
        <v>0</v>
      </c>
      <c r="P454" s="178">
        <f>NETWORKDAYS(Table1[[#This Row],[Planned Start Date]],$P$7)</f>
        <v>30643</v>
      </c>
      <c r="Q454" s="129"/>
      <c r="R454" s="183" t="str">
        <f>IF(Table1[[#This Row],[Actual Effort (Hours)]]="","",IF(Table1[[#This Row],[Estimated Effort (Hours)]]&lt;20,"L1",IF(Table1[[#This Row],[Estimated Effort (Hours)]]&lt;50,"L2",IF(Table1[[#This Row],[Estimated Effort (Hours)]]&lt;150,"L3",IF(Table1[[#This Row],[Estimated Effort (Hours)]]&lt;300,"L4","L5")))))</f>
        <v/>
      </c>
      <c r="S454" s="184" t="str">
        <f>IF(Table1[[#This Row],[Actual End Date]]="","",TEXT(Table1[[#This Row],[Actual End Date]],"mmm-yy"))</f>
        <v/>
      </c>
      <c r="T4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4" s="185" t="str">
        <f>IFERROR((Table1[[#This Row],[Actual Effort (Hours)]]-Table1[[#This Row],[Estimated Effort (Hours)]])/Table1[[#This Row],[Estimated Effort (Hours)]],"")</f>
        <v/>
      </c>
      <c r="V454" s="149"/>
    </row>
    <row r="455" spans="2:22">
      <c r="B455" s="125"/>
      <c r="C455" s="123"/>
      <c r="D455" s="143"/>
      <c r="E455" s="123"/>
      <c r="F455" s="143"/>
      <c r="G455" s="129"/>
      <c r="H455" s="124"/>
      <c r="I455" s="124"/>
      <c r="J455" s="129"/>
      <c r="K455" s="194"/>
      <c r="L455" s="194"/>
      <c r="M455" s="129"/>
      <c r="N455" s="129" t="e">
        <f>Table1[[#This Row],[Estimated Effort (Hours)]]/NETWORKDAYS(Table1[[#This Row],[Planned Start Date]],Table1[[#This Row],[Planned End Date]])</f>
        <v>#DIV/0!</v>
      </c>
      <c r="O455" s="178">
        <f>NETWORKDAYS(Table1[[#This Row],[Planned Start Date]],Table1[[#This Row],[Planned End Date]])</f>
        <v>0</v>
      </c>
      <c r="P455" s="178">
        <f>NETWORKDAYS(Table1[[#This Row],[Planned Start Date]],$P$7)</f>
        <v>30643</v>
      </c>
      <c r="Q455" s="129"/>
      <c r="R455" s="183" t="str">
        <f>IF(Table1[[#This Row],[Actual Effort (Hours)]]="","",IF(Table1[[#This Row],[Estimated Effort (Hours)]]&lt;20,"L1",IF(Table1[[#This Row],[Estimated Effort (Hours)]]&lt;50,"L2",IF(Table1[[#This Row],[Estimated Effort (Hours)]]&lt;150,"L3",IF(Table1[[#This Row],[Estimated Effort (Hours)]]&lt;300,"L4","L5")))))</f>
        <v/>
      </c>
      <c r="S455" s="184" t="str">
        <f>IF(Table1[[#This Row],[Actual End Date]]="","",TEXT(Table1[[#This Row],[Actual End Date]],"mmm-yy"))</f>
        <v/>
      </c>
      <c r="T4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5" s="185" t="str">
        <f>IFERROR((Table1[[#This Row],[Actual Effort (Hours)]]-Table1[[#This Row],[Estimated Effort (Hours)]])/Table1[[#This Row],[Estimated Effort (Hours)]],"")</f>
        <v/>
      </c>
      <c r="V455" s="149"/>
    </row>
    <row r="456" spans="2:22">
      <c r="B456" s="125"/>
      <c r="C456" s="123"/>
      <c r="D456" s="143"/>
      <c r="E456" s="123"/>
      <c r="F456" s="143"/>
      <c r="G456" s="129"/>
      <c r="H456" s="124"/>
      <c r="I456" s="124"/>
      <c r="J456" s="129"/>
      <c r="K456" s="194"/>
      <c r="L456" s="194"/>
      <c r="M456" s="129"/>
      <c r="N456" s="129" t="e">
        <f>Table1[[#This Row],[Estimated Effort (Hours)]]/NETWORKDAYS(Table1[[#This Row],[Planned Start Date]],Table1[[#This Row],[Planned End Date]])</f>
        <v>#DIV/0!</v>
      </c>
      <c r="O456" s="178">
        <f>NETWORKDAYS(Table1[[#This Row],[Planned Start Date]],Table1[[#This Row],[Planned End Date]])</f>
        <v>0</v>
      </c>
      <c r="P456" s="178">
        <f>NETWORKDAYS(Table1[[#This Row],[Planned Start Date]],$P$7)</f>
        <v>30643</v>
      </c>
      <c r="Q456" s="129"/>
      <c r="R456" s="183" t="str">
        <f>IF(Table1[[#This Row],[Actual Effort (Hours)]]="","",IF(Table1[[#This Row],[Estimated Effort (Hours)]]&lt;20,"L1",IF(Table1[[#This Row],[Estimated Effort (Hours)]]&lt;50,"L2",IF(Table1[[#This Row],[Estimated Effort (Hours)]]&lt;150,"L3",IF(Table1[[#This Row],[Estimated Effort (Hours)]]&lt;300,"L4","L5")))))</f>
        <v/>
      </c>
      <c r="S456" s="184" t="str">
        <f>IF(Table1[[#This Row],[Actual End Date]]="","",TEXT(Table1[[#This Row],[Actual End Date]],"mmm-yy"))</f>
        <v/>
      </c>
      <c r="T4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6" s="185" t="str">
        <f>IFERROR((Table1[[#This Row],[Actual Effort (Hours)]]-Table1[[#This Row],[Estimated Effort (Hours)]])/Table1[[#This Row],[Estimated Effort (Hours)]],"")</f>
        <v/>
      </c>
      <c r="V456" s="149"/>
    </row>
    <row r="457" spans="2:22">
      <c r="B457" s="125"/>
      <c r="C457" s="123"/>
      <c r="D457" s="143"/>
      <c r="E457" s="123"/>
      <c r="F457" s="143"/>
      <c r="G457" s="129"/>
      <c r="H457" s="124"/>
      <c r="I457" s="124"/>
      <c r="J457" s="129"/>
      <c r="K457" s="194"/>
      <c r="L457" s="194"/>
      <c r="M457" s="129"/>
      <c r="N457" s="129" t="e">
        <f>Table1[[#This Row],[Estimated Effort (Hours)]]/NETWORKDAYS(Table1[[#This Row],[Planned Start Date]],Table1[[#This Row],[Planned End Date]])</f>
        <v>#DIV/0!</v>
      </c>
      <c r="O457" s="178">
        <f>NETWORKDAYS(Table1[[#This Row],[Planned Start Date]],Table1[[#This Row],[Planned End Date]])</f>
        <v>0</v>
      </c>
      <c r="P457" s="178">
        <f>NETWORKDAYS(Table1[[#This Row],[Planned Start Date]],$P$7)</f>
        <v>30643</v>
      </c>
      <c r="Q457" s="129"/>
      <c r="R457" s="183" t="str">
        <f>IF(Table1[[#This Row],[Actual Effort (Hours)]]="","",IF(Table1[[#This Row],[Estimated Effort (Hours)]]&lt;20,"L1",IF(Table1[[#This Row],[Estimated Effort (Hours)]]&lt;50,"L2",IF(Table1[[#This Row],[Estimated Effort (Hours)]]&lt;150,"L3",IF(Table1[[#This Row],[Estimated Effort (Hours)]]&lt;300,"L4","L5")))))</f>
        <v/>
      </c>
      <c r="S457" s="184" t="str">
        <f>IF(Table1[[#This Row],[Actual End Date]]="","",TEXT(Table1[[#This Row],[Actual End Date]],"mmm-yy"))</f>
        <v/>
      </c>
      <c r="T4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7" s="185" t="str">
        <f>IFERROR((Table1[[#This Row],[Actual Effort (Hours)]]-Table1[[#This Row],[Estimated Effort (Hours)]])/Table1[[#This Row],[Estimated Effort (Hours)]],"")</f>
        <v/>
      </c>
      <c r="V457" s="149"/>
    </row>
    <row r="458" spans="2:22">
      <c r="B458" s="125"/>
      <c r="C458" s="123"/>
      <c r="D458" s="143"/>
      <c r="E458" s="123"/>
      <c r="F458" s="143"/>
      <c r="G458" s="129"/>
      <c r="H458" s="124"/>
      <c r="I458" s="124"/>
      <c r="J458" s="129"/>
      <c r="K458" s="194"/>
      <c r="L458" s="194"/>
      <c r="M458" s="129"/>
      <c r="N458" s="129" t="e">
        <f>Table1[[#This Row],[Estimated Effort (Hours)]]/NETWORKDAYS(Table1[[#This Row],[Planned Start Date]],Table1[[#This Row],[Planned End Date]])</f>
        <v>#DIV/0!</v>
      </c>
      <c r="O458" s="178">
        <f>NETWORKDAYS(Table1[[#This Row],[Planned Start Date]],Table1[[#This Row],[Planned End Date]])</f>
        <v>0</v>
      </c>
      <c r="P458" s="178">
        <f>NETWORKDAYS(Table1[[#This Row],[Planned Start Date]],$P$7)</f>
        <v>30643</v>
      </c>
      <c r="Q458" s="129"/>
      <c r="R458" s="183" t="str">
        <f>IF(Table1[[#This Row],[Actual Effort (Hours)]]="","",IF(Table1[[#This Row],[Estimated Effort (Hours)]]&lt;20,"L1",IF(Table1[[#This Row],[Estimated Effort (Hours)]]&lt;50,"L2",IF(Table1[[#This Row],[Estimated Effort (Hours)]]&lt;150,"L3",IF(Table1[[#This Row],[Estimated Effort (Hours)]]&lt;300,"L4","L5")))))</f>
        <v/>
      </c>
      <c r="S458" s="184" t="str">
        <f>IF(Table1[[#This Row],[Actual End Date]]="","",TEXT(Table1[[#This Row],[Actual End Date]],"mmm-yy"))</f>
        <v/>
      </c>
      <c r="T4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8" s="185" t="str">
        <f>IFERROR((Table1[[#This Row],[Actual Effort (Hours)]]-Table1[[#This Row],[Estimated Effort (Hours)]])/Table1[[#This Row],[Estimated Effort (Hours)]],"")</f>
        <v/>
      </c>
      <c r="V458" s="149"/>
    </row>
    <row r="459" spans="2:22">
      <c r="B459" s="125"/>
      <c r="C459" s="123"/>
      <c r="D459" s="143"/>
      <c r="E459" s="123"/>
      <c r="F459" s="143"/>
      <c r="G459" s="129"/>
      <c r="H459" s="124"/>
      <c r="I459" s="124"/>
      <c r="J459" s="129"/>
      <c r="K459" s="194"/>
      <c r="L459" s="194"/>
      <c r="M459" s="129"/>
      <c r="N459" s="129" t="e">
        <f>Table1[[#This Row],[Estimated Effort (Hours)]]/NETWORKDAYS(Table1[[#This Row],[Planned Start Date]],Table1[[#This Row],[Planned End Date]])</f>
        <v>#DIV/0!</v>
      </c>
      <c r="O459" s="178">
        <f>NETWORKDAYS(Table1[[#This Row],[Planned Start Date]],Table1[[#This Row],[Planned End Date]])</f>
        <v>0</v>
      </c>
      <c r="P459" s="178">
        <f>NETWORKDAYS(Table1[[#This Row],[Planned Start Date]],$P$7)</f>
        <v>30643</v>
      </c>
      <c r="Q459" s="129"/>
      <c r="R459" s="183" t="str">
        <f>IF(Table1[[#This Row],[Actual Effort (Hours)]]="","",IF(Table1[[#This Row],[Estimated Effort (Hours)]]&lt;20,"L1",IF(Table1[[#This Row],[Estimated Effort (Hours)]]&lt;50,"L2",IF(Table1[[#This Row],[Estimated Effort (Hours)]]&lt;150,"L3",IF(Table1[[#This Row],[Estimated Effort (Hours)]]&lt;300,"L4","L5")))))</f>
        <v/>
      </c>
      <c r="S459" s="184" t="str">
        <f>IF(Table1[[#This Row],[Actual End Date]]="","",TEXT(Table1[[#This Row],[Actual End Date]],"mmm-yy"))</f>
        <v/>
      </c>
      <c r="T4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59" s="185" t="str">
        <f>IFERROR((Table1[[#This Row],[Actual Effort (Hours)]]-Table1[[#This Row],[Estimated Effort (Hours)]])/Table1[[#This Row],[Estimated Effort (Hours)]],"")</f>
        <v/>
      </c>
      <c r="V459" s="149"/>
    </row>
    <row r="460" spans="2:22">
      <c r="B460" s="125"/>
      <c r="C460" s="123"/>
      <c r="D460" s="143"/>
      <c r="E460" s="123"/>
      <c r="F460" s="143"/>
      <c r="G460" s="129"/>
      <c r="H460" s="124"/>
      <c r="I460" s="124"/>
      <c r="J460" s="129"/>
      <c r="K460" s="194"/>
      <c r="L460" s="194"/>
      <c r="M460" s="129"/>
      <c r="N460" s="129" t="e">
        <f>Table1[[#This Row],[Estimated Effort (Hours)]]/NETWORKDAYS(Table1[[#This Row],[Planned Start Date]],Table1[[#This Row],[Planned End Date]])</f>
        <v>#DIV/0!</v>
      </c>
      <c r="O460" s="178">
        <f>NETWORKDAYS(Table1[[#This Row],[Planned Start Date]],Table1[[#This Row],[Planned End Date]])</f>
        <v>0</v>
      </c>
      <c r="P460" s="178">
        <f>NETWORKDAYS(Table1[[#This Row],[Planned Start Date]],$P$7)</f>
        <v>30643</v>
      </c>
      <c r="Q460" s="129"/>
      <c r="R460" s="183" t="str">
        <f>IF(Table1[[#This Row],[Actual Effort (Hours)]]="","",IF(Table1[[#This Row],[Estimated Effort (Hours)]]&lt;20,"L1",IF(Table1[[#This Row],[Estimated Effort (Hours)]]&lt;50,"L2",IF(Table1[[#This Row],[Estimated Effort (Hours)]]&lt;150,"L3",IF(Table1[[#This Row],[Estimated Effort (Hours)]]&lt;300,"L4","L5")))))</f>
        <v/>
      </c>
      <c r="S460" s="184" t="str">
        <f>IF(Table1[[#This Row],[Actual End Date]]="","",TEXT(Table1[[#This Row],[Actual End Date]],"mmm-yy"))</f>
        <v/>
      </c>
      <c r="T4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0" s="185" t="str">
        <f>IFERROR((Table1[[#This Row],[Actual Effort (Hours)]]-Table1[[#This Row],[Estimated Effort (Hours)]])/Table1[[#This Row],[Estimated Effort (Hours)]],"")</f>
        <v/>
      </c>
      <c r="V460" s="149"/>
    </row>
    <row r="461" spans="2:22">
      <c r="B461" s="125"/>
      <c r="C461" s="123"/>
      <c r="D461" s="143"/>
      <c r="E461" s="123"/>
      <c r="F461" s="143"/>
      <c r="G461" s="129"/>
      <c r="H461" s="124"/>
      <c r="I461" s="124"/>
      <c r="J461" s="129"/>
      <c r="K461" s="194"/>
      <c r="L461" s="194"/>
      <c r="M461" s="129"/>
      <c r="N461" s="129" t="e">
        <f>Table1[[#This Row],[Estimated Effort (Hours)]]/NETWORKDAYS(Table1[[#This Row],[Planned Start Date]],Table1[[#This Row],[Planned End Date]])</f>
        <v>#DIV/0!</v>
      </c>
      <c r="O461" s="178">
        <f>NETWORKDAYS(Table1[[#This Row],[Planned Start Date]],Table1[[#This Row],[Planned End Date]])</f>
        <v>0</v>
      </c>
      <c r="P461" s="178">
        <f>NETWORKDAYS(Table1[[#This Row],[Planned Start Date]],$P$7)</f>
        <v>30643</v>
      </c>
      <c r="Q461" s="129"/>
      <c r="R461" s="183" t="str">
        <f>IF(Table1[[#This Row],[Actual Effort (Hours)]]="","",IF(Table1[[#This Row],[Estimated Effort (Hours)]]&lt;20,"L1",IF(Table1[[#This Row],[Estimated Effort (Hours)]]&lt;50,"L2",IF(Table1[[#This Row],[Estimated Effort (Hours)]]&lt;150,"L3",IF(Table1[[#This Row],[Estimated Effort (Hours)]]&lt;300,"L4","L5")))))</f>
        <v/>
      </c>
      <c r="S461" s="184" t="str">
        <f>IF(Table1[[#This Row],[Actual End Date]]="","",TEXT(Table1[[#This Row],[Actual End Date]],"mmm-yy"))</f>
        <v/>
      </c>
      <c r="T4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1" s="185" t="str">
        <f>IFERROR((Table1[[#This Row],[Actual Effort (Hours)]]-Table1[[#This Row],[Estimated Effort (Hours)]])/Table1[[#This Row],[Estimated Effort (Hours)]],"")</f>
        <v/>
      </c>
      <c r="V461" s="149"/>
    </row>
    <row r="462" spans="2:22">
      <c r="B462" s="125"/>
      <c r="C462" s="123"/>
      <c r="D462" s="143"/>
      <c r="E462" s="123"/>
      <c r="F462" s="143"/>
      <c r="G462" s="129"/>
      <c r="H462" s="124"/>
      <c r="I462" s="124"/>
      <c r="J462" s="129"/>
      <c r="K462" s="194"/>
      <c r="L462" s="194"/>
      <c r="M462" s="129"/>
      <c r="N462" s="129" t="e">
        <f>Table1[[#This Row],[Estimated Effort (Hours)]]/NETWORKDAYS(Table1[[#This Row],[Planned Start Date]],Table1[[#This Row],[Planned End Date]])</f>
        <v>#DIV/0!</v>
      </c>
      <c r="O462" s="178">
        <f>NETWORKDAYS(Table1[[#This Row],[Planned Start Date]],Table1[[#This Row],[Planned End Date]])</f>
        <v>0</v>
      </c>
      <c r="P462" s="178">
        <f>NETWORKDAYS(Table1[[#This Row],[Planned Start Date]],$P$7)</f>
        <v>30643</v>
      </c>
      <c r="Q462" s="129"/>
      <c r="R462" s="183" t="str">
        <f>IF(Table1[[#This Row],[Actual Effort (Hours)]]="","",IF(Table1[[#This Row],[Estimated Effort (Hours)]]&lt;20,"L1",IF(Table1[[#This Row],[Estimated Effort (Hours)]]&lt;50,"L2",IF(Table1[[#This Row],[Estimated Effort (Hours)]]&lt;150,"L3",IF(Table1[[#This Row],[Estimated Effort (Hours)]]&lt;300,"L4","L5")))))</f>
        <v/>
      </c>
      <c r="S462" s="184" t="str">
        <f>IF(Table1[[#This Row],[Actual End Date]]="","",TEXT(Table1[[#This Row],[Actual End Date]],"mmm-yy"))</f>
        <v/>
      </c>
      <c r="T4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2" s="185" t="str">
        <f>IFERROR((Table1[[#This Row],[Actual Effort (Hours)]]-Table1[[#This Row],[Estimated Effort (Hours)]])/Table1[[#This Row],[Estimated Effort (Hours)]],"")</f>
        <v/>
      </c>
      <c r="V462" s="149"/>
    </row>
    <row r="463" spans="2:22">
      <c r="B463" s="125"/>
      <c r="C463" s="123"/>
      <c r="D463" s="143"/>
      <c r="E463" s="123"/>
      <c r="F463" s="143"/>
      <c r="G463" s="129"/>
      <c r="H463" s="124"/>
      <c r="I463" s="124"/>
      <c r="J463" s="129"/>
      <c r="K463" s="194"/>
      <c r="L463" s="194"/>
      <c r="M463" s="129"/>
      <c r="N463" s="129" t="e">
        <f>Table1[[#This Row],[Estimated Effort (Hours)]]/NETWORKDAYS(Table1[[#This Row],[Planned Start Date]],Table1[[#This Row],[Planned End Date]])</f>
        <v>#DIV/0!</v>
      </c>
      <c r="O463" s="178">
        <f>NETWORKDAYS(Table1[[#This Row],[Planned Start Date]],Table1[[#This Row],[Planned End Date]])</f>
        <v>0</v>
      </c>
      <c r="P463" s="178">
        <f>NETWORKDAYS(Table1[[#This Row],[Planned Start Date]],$P$7)</f>
        <v>30643</v>
      </c>
      <c r="Q463" s="129"/>
      <c r="R463" s="183" t="str">
        <f>IF(Table1[[#This Row],[Actual Effort (Hours)]]="","",IF(Table1[[#This Row],[Estimated Effort (Hours)]]&lt;20,"L1",IF(Table1[[#This Row],[Estimated Effort (Hours)]]&lt;50,"L2",IF(Table1[[#This Row],[Estimated Effort (Hours)]]&lt;150,"L3",IF(Table1[[#This Row],[Estimated Effort (Hours)]]&lt;300,"L4","L5")))))</f>
        <v/>
      </c>
      <c r="S463" s="184" t="str">
        <f>IF(Table1[[#This Row],[Actual End Date]]="","",TEXT(Table1[[#This Row],[Actual End Date]],"mmm-yy"))</f>
        <v/>
      </c>
      <c r="T4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3" s="185" t="str">
        <f>IFERROR((Table1[[#This Row],[Actual Effort (Hours)]]-Table1[[#This Row],[Estimated Effort (Hours)]])/Table1[[#This Row],[Estimated Effort (Hours)]],"")</f>
        <v/>
      </c>
      <c r="V463" s="149"/>
    </row>
    <row r="464" spans="2:22">
      <c r="B464" s="125"/>
      <c r="C464" s="123"/>
      <c r="D464" s="143"/>
      <c r="E464" s="123"/>
      <c r="F464" s="143"/>
      <c r="G464" s="129"/>
      <c r="H464" s="124"/>
      <c r="I464" s="124"/>
      <c r="J464" s="129"/>
      <c r="K464" s="194"/>
      <c r="L464" s="194"/>
      <c r="M464" s="129"/>
      <c r="N464" s="129" t="e">
        <f>Table1[[#This Row],[Estimated Effort (Hours)]]/NETWORKDAYS(Table1[[#This Row],[Planned Start Date]],Table1[[#This Row],[Planned End Date]])</f>
        <v>#DIV/0!</v>
      </c>
      <c r="O464" s="178">
        <f>NETWORKDAYS(Table1[[#This Row],[Planned Start Date]],Table1[[#This Row],[Planned End Date]])</f>
        <v>0</v>
      </c>
      <c r="P464" s="178">
        <f>NETWORKDAYS(Table1[[#This Row],[Planned Start Date]],$P$7)</f>
        <v>30643</v>
      </c>
      <c r="Q464" s="129"/>
      <c r="R464" s="183" t="str">
        <f>IF(Table1[[#This Row],[Actual Effort (Hours)]]="","",IF(Table1[[#This Row],[Estimated Effort (Hours)]]&lt;20,"L1",IF(Table1[[#This Row],[Estimated Effort (Hours)]]&lt;50,"L2",IF(Table1[[#This Row],[Estimated Effort (Hours)]]&lt;150,"L3",IF(Table1[[#This Row],[Estimated Effort (Hours)]]&lt;300,"L4","L5")))))</f>
        <v/>
      </c>
      <c r="S464" s="184" t="str">
        <f>IF(Table1[[#This Row],[Actual End Date]]="","",TEXT(Table1[[#This Row],[Actual End Date]],"mmm-yy"))</f>
        <v/>
      </c>
      <c r="T4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4" s="185" t="str">
        <f>IFERROR((Table1[[#This Row],[Actual Effort (Hours)]]-Table1[[#This Row],[Estimated Effort (Hours)]])/Table1[[#This Row],[Estimated Effort (Hours)]],"")</f>
        <v/>
      </c>
      <c r="V464" s="149"/>
    </row>
    <row r="465" spans="2:22">
      <c r="B465" s="125"/>
      <c r="C465" s="123"/>
      <c r="D465" s="143"/>
      <c r="E465" s="123"/>
      <c r="F465" s="143"/>
      <c r="G465" s="129"/>
      <c r="H465" s="124"/>
      <c r="I465" s="124"/>
      <c r="J465" s="129"/>
      <c r="K465" s="194"/>
      <c r="L465" s="194"/>
      <c r="M465" s="129"/>
      <c r="N465" s="129" t="e">
        <f>Table1[[#This Row],[Estimated Effort (Hours)]]/NETWORKDAYS(Table1[[#This Row],[Planned Start Date]],Table1[[#This Row],[Planned End Date]])</f>
        <v>#DIV/0!</v>
      </c>
      <c r="O465" s="178">
        <f>NETWORKDAYS(Table1[[#This Row],[Planned Start Date]],Table1[[#This Row],[Planned End Date]])</f>
        <v>0</v>
      </c>
      <c r="P465" s="178">
        <f>NETWORKDAYS(Table1[[#This Row],[Planned Start Date]],$P$7)</f>
        <v>30643</v>
      </c>
      <c r="Q465" s="129"/>
      <c r="R465" s="183" t="str">
        <f>IF(Table1[[#This Row],[Actual Effort (Hours)]]="","",IF(Table1[[#This Row],[Estimated Effort (Hours)]]&lt;20,"L1",IF(Table1[[#This Row],[Estimated Effort (Hours)]]&lt;50,"L2",IF(Table1[[#This Row],[Estimated Effort (Hours)]]&lt;150,"L3",IF(Table1[[#This Row],[Estimated Effort (Hours)]]&lt;300,"L4","L5")))))</f>
        <v/>
      </c>
      <c r="S465" s="184" t="str">
        <f>IF(Table1[[#This Row],[Actual End Date]]="","",TEXT(Table1[[#This Row],[Actual End Date]],"mmm-yy"))</f>
        <v/>
      </c>
      <c r="T4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5" s="185" t="str">
        <f>IFERROR((Table1[[#This Row],[Actual Effort (Hours)]]-Table1[[#This Row],[Estimated Effort (Hours)]])/Table1[[#This Row],[Estimated Effort (Hours)]],"")</f>
        <v/>
      </c>
      <c r="V465" s="149"/>
    </row>
    <row r="466" spans="2:22">
      <c r="B466" s="125"/>
      <c r="C466" s="123"/>
      <c r="D466" s="143"/>
      <c r="E466" s="123"/>
      <c r="F466" s="143"/>
      <c r="G466" s="129"/>
      <c r="H466" s="124"/>
      <c r="I466" s="124"/>
      <c r="J466" s="129"/>
      <c r="K466" s="194"/>
      <c r="L466" s="194"/>
      <c r="M466" s="129"/>
      <c r="N466" s="129" t="e">
        <f>Table1[[#This Row],[Estimated Effort (Hours)]]/NETWORKDAYS(Table1[[#This Row],[Planned Start Date]],Table1[[#This Row],[Planned End Date]])</f>
        <v>#DIV/0!</v>
      </c>
      <c r="O466" s="178">
        <f>NETWORKDAYS(Table1[[#This Row],[Planned Start Date]],Table1[[#This Row],[Planned End Date]])</f>
        <v>0</v>
      </c>
      <c r="P466" s="178">
        <f>NETWORKDAYS(Table1[[#This Row],[Planned Start Date]],$P$7)</f>
        <v>30643</v>
      </c>
      <c r="Q466" s="129"/>
      <c r="R466" s="183" t="str">
        <f>IF(Table1[[#This Row],[Actual Effort (Hours)]]="","",IF(Table1[[#This Row],[Estimated Effort (Hours)]]&lt;20,"L1",IF(Table1[[#This Row],[Estimated Effort (Hours)]]&lt;50,"L2",IF(Table1[[#This Row],[Estimated Effort (Hours)]]&lt;150,"L3",IF(Table1[[#This Row],[Estimated Effort (Hours)]]&lt;300,"L4","L5")))))</f>
        <v/>
      </c>
      <c r="S466" s="184" t="str">
        <f>IF(Table1[[#This Row],[Actual End Date]]="","",TEXT(Table1[[#This Row],[Actual End Date]],"mmm-yy"))</f>
        <v/>
      </c>
      <c r="T4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6" s="185" t="str">
        <f>IFERROR((Table1[[#This Row],[Actual Effort (Hours)]]-Table1[[#This Row],[Estimated Effort (Hours)]])/Table1[[#This Row],[Estimated Effort (Hours)]],"")</f>
        <v/>
      </c>
      <c r="V466" s="149"/>
    </row>
    <row r="467" spans="2:22">
      <c r="B467" s="125"/>
      <c r="C467" s="123"/>
      <c r="D467" s="143"/>
      <c r="E467" s="123"/>
      <c r="F467" s="143"/>
      <c r="G467" s="129"/>
      <c r="H467" s="124"/>
      <c r="I467" s="124"/>
      <c r="J467" s="129"/>
      <c r="K467" s="194"/>
      <c r="L467" s="194"/>
      <c r="M467" s="129"/>
      <c r="N467" s="129" t="e">
        <f>Table1[[#This Row],[Estimated Effort (Hours)]]/NETWORKDAYS(Table1[[#This Row],[Planned Start Date]],Table1[[#This Row],[Planned End Date]])</f>
        <v>#DIV/0!</v>
      </c>
      <c r="O467" s="178">
        <f>NETWORKDAYS(Table1[[#This Row],[Planned Start Date]],Table1[[#This Row],[Planned End Date]])</f>
        <v>0</v>
      </c>
      <c r="P467" s="178">
        <f>NETWORKDAYS(Table1[[#This Row],[Planned Start Date]],$P$7)</f>
        <v>30643</v>
      </c>
      <c r="Q467" s="129"/>
      <c r="R467" s="183" t="str">
        <f>IF(Table1[[#This Row],[Actual Effort (Hours)]]="","",IF(Table1[[#This Row],[Estimated Effort (Hours)]]&lt;20,"L1",IF(Table1[[#This Row],[Estimated Effort (Hours)]]&lt;50,"L2",IF(Table1[[#This Row],[Estimated Effort (Hours)]]&lt;150,"L3",IF(Table1[[#This Row],[Estimated Effort (Hours)]]&lt;300,"L4","L5")))))</f>
        <v/>
      </c>
      <c r="S467" s="184" t="str">
        <f>IF(Table1[[#This Row],[Actual End Date]]="","",TEXT(Table1[[#This Row],[Actual End Date]],"mmm-yy"))</f>
        <v/>
      </c>
      <c r="T4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7" s="185" t="str">
        <f>IFERROR((Table1[[#This Row],[Actual Effort (Hours)]]-Table1[[#This Row],[Estimated Effort (Hours)]])/Table1[[#This Row],[Estimated Effort (Hours)]],"")</f>
        <v/>
      </c>
      <c r="V467" s="149"/>
    </row>
    <row r="468" spans="2:22">
      <c r="B468" s="125"/>
      <c r="C468" s="123"/>
      <c r="D468" s="143"/>
      <c r="E468" s="123"/>
      <c r="F468" s="143"/>
      <c r="G468" s="129"/>
      <c r="H468" s="124"/>
      <c r="I468" s="124"/>
      <c r="J468" s="129"/>
      <c r="K468" s="194"/>
      <c r="L468" s="194"/>
      <c r="M468" s="129"/>
      <c r="N468" s="129" t="e">
        <f>Table1[[#This Row],[Estimated Effort (Hours)]]/NETWORKDAYS(Table1[[#This Row],[Planned Start Date]],Table1[[#This Row],[Planned End Date]])</f>
        <v>#DIV/0!</v>
      </c>
      <c r="O468" s="178">
        <f>NETWORKDAYS(Table1[[#This Row],[Planned Start Date]],Table1[[#This Row],[Planned End Date]])</f>
        <v>0</v>
      </c>
      <c r="P468" s="178">
        <f>NETWORKDAYS(Table1[[#This Row],[Planned Start Date]],$P$7)</f>
        <v>30643</v>
      </c>
      <c r="Q468" s="129"/>
      <c r="R468" s="183" t="str">
        <f>IF(Table1[[#This Row],[Actual Effort (Hours)]]="","",IF(Table1[[#This Row],[Estimated Effort (Hours)]]&lt;20,"L1",IF(Table1[[#This Row],[Estimated Effort (Hours)]]&lt;50,"L2",IF(Table1[[#This Row],[Estimated Effort (Hours)]]&lt;150,"L3",IF(Table1[[#This Row],[Estimated Effort (Hours)]]&lt;300,"L4","L5")))))</f>
        <v/>
      </c>
      <c r="S468" s="184" t="str">
        <f>IF(Table1[[#This Row],[Actual End Date]]="","",TEXT(Table1[[#This Row],[Actual End Date]],"mmm-yy"))</f>
        <v/>
      </c>
      <c r="T4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8" s="185" t="str">
        <f>IFERROR((Table1[[#This Row],[Actual Effort (Hours)]]-Table1[[#This Row],[Estimated Effort (Hours)]])/Table1[[#This Row],[Estimated Effort (Hours)]],"")</f>
        <v/>
      </c>
      <c r="V468" s="149"/>
    </row>
    <row r="469" spans="2:22">
      <c r="B469" s="125"/>
      <c r="C469" s="123"/>
      <c r="D469" s="143"/>
      <c r="E469" s="123"/>
      <c r="F469" s="143"/>
      <c r="G469" s="129"/>
      <c r="H469" s="124"/>
      <c r="I469" s="124"/>
      <c r="J469" s="129"/>
      <c r="K469" s="194"/>
      <c r="L469" s="194"/>
      <c r="M469" s="129"/>
      <c r="N469" s="129" t="e">
        <f>Table1[[#This Row],[Estimated Effort (Hours)]]/NETWORKDAYS(Table1[[#This Row],[Planned Start Date]],Table1[[#This Row],[Planned End Date]])</f>
        <v>#DIV/0!</v>
      </c>
      <c r="O469" s="178">
        <f>NETWORKDAYS(Table1[[#This Row],[Planned Start Date]],Table1[[#This Row],[Planned End Date]])</f>
        <v>0</v>
      </c>
      <c r="P469" s="178">
        <f>NETWORKDAYS(Table1[[#This Row],[Planned Start Date]],$P$7)</f>
        <v>30643</v>
      </c>
      <c r="Q469" s="129"/>
      <c r="R469" s="183" t="str">
        <f>IF(Table1[[#This Row],[Actual Effort (Hours)]]="","",IF(Table1[[#This Row],[Estimated Effort (Hours)]]&lt;20,"L1",IF(Table1[[#This Row],[Estimated Effort (Hours)]]&lt;50,"L2",IF(Table1[[#This Row],[Estimated Effort (Hours)]]&lt;150,"L3",IF(Table1[[#This Row],[Estimated Effort (Hours)]]&lt;300,"L4","L5")))))</f>
        <v/>
      </c>
      <c r="S469" s="184" t="str">
        <f>IF(Table1[[#This Row],[Actual End Date]]="","",TEXT(Table1[[#This Row],[Actual End Date]],"mmm-yy"))</f>
        <v/>
      </c>
      <c r="T4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69" s="185" t="str">
        <f>IFERROR((Table1[[#This Row],[Actual Effort (Hours)]]-Table1[[#This Row],[Estimated Effort (Hours)]])/Table1[[#This Row],[Estimated Effort (Hours)]],"")</f>
        <v/>
      </c>
      <c r="V469" s="149"/>
    </row>
    <row r="470" spans="2:22">
      <c r="B470" s="125"/>
      <c r="C470" s="123"/>
      <c r="D470" s="143"/>
      <c r="E470" s="123"/>
      <c r="F470" s="143"/>
      <c r="G470" s="129"/>
      <c r="H470" s="124"/>
      <c r="I470" s="124"/>
      <c r="J470" s="129"/>
      <c r="K470" s="194"/>
      <c r="L470" s="194"/>
      <c r="M470" s="129"/>
      <c r="N470" s="129" t="e">
        <f>Table1[[#This Row],[Estimated Effort (Hours)]]/NETWORKDAYS(Table1[[#This Row],[Planned Start Date]],Table1[[#This Row],[Planned End Date]])</f>
        <v>#DIV/0!</v>
      </c>
      <c r="O470" s="178">
        <f>NETWORKDAYS(Table1[[#This Row],[Planned Start Date]],Table1[[#This Row],[Planned End Date]])</f>
        <v>0</v>
      </c>
      <c r="P470" s="178">
        <f>NETWORKDAYS(Table1[[#This Row],[Planned Start Date]],$P$7)</f>
        <v>30643</v>
      </c>
      <c r="Q470" s="129"/>
      <c r="R470" s="183" t="str">
        <f>IF(Table1[[#This Row],[Actual Effort (Hours)]]="","",IF(Table1[[#This Row],[Estimated Effort (Hours)]]&lt;20,"L1",IF(Table1[[#This Row],[Estimated Effort (Hours)]]&lt;50,"L2",IF(Table1[[#This Row],[Estimated Effort (Hours)]]&lt;150,"L3",IF(Table1[[#This Row],[Estimated Effort (Hours)]]&lt;300,"L4","L5")))))</f>
        <v/>
      </c>
      <c r="S470" s="184" t="str">
        <f>IF(Table1[[#This Row],[Actual End Date]]="","",TEXT(Table1[[#This Row],[Actual End Date]],"mmm-yy"))</f>
        <v/>
      </c>
      <c r="T4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0" s="185" t="str">
        <f>IFERROR((Table1[[#This Row],[Actual Effort (Hours)]]-Table1[[#This Row],[Estimated Effort (Hours)]])/Table1[[#This Row],[Estimated Effort (Hours)]],"")</f>
        <v/>
      </c>
      <c r="V470" s="149"/>
    </row>
    <row r="471" spans="2:22">
      <c r="B471" s="125"/>
      <c r="C471" s="123"/>
      <c r="D471" s="143"/>
      <c r="E471" s="123"/>
      <c r="F471" s="143"/>
      <c r="G471" s="129"/>
      <c r="H471" s="124"/>
      <c r="I471" s="124"/>
      <c r="J471" s="129"/>
      <c r="K471" s="194"/>
      <c r="L471" s="194"/>
      <c r="M471" s="129"/>
      <c r="N471" s="129" t="e">
        <f>Table1[[#This Row],[Estimated Effort (Hours)]]/NETWORKDAYS(Table1[[#This Row],[Planned Start Date]],Table1[[#This Row],[Planned End Date]])</f>
        <v>#DIV/0!</v>
      </c>
      <c r="O471" s="178">
        <f>NETWORKDAYS(Table1[[#This Row],[Planned Start Date]],Table1[[#This Row],[Planned End Date]])</f>
        <v>0</v>
      </c>
      <c r="P471" s="178">
        <f>NETWORKDAYS(Table1[[#This Row],[Planned Start Date]],$P$7)</f>
        <v>30643</v>
      </c>
      <c r="Q471" s="129"/>
      <c r="R471" s="183" t="str">
        <f>IF(Table1[[#This Row],[Actual Effort (Hours)]]="","",IF(Table1[[#This Row],[Estimated Effort (Hours)]]&lt;20,"L1",IF(Table1[[#This Row],[Estimated Effort (Hours)]]&lt;50,"L2",IF(Table1[[#This Row],[Estimated Effort (Hours)]]&lt;150,"L3",IF(Table1[[#This Row],[Estimated Effort (Hours)]]&lt;300,"L4","L5")))))</f>
        <v/>
      </c>
      <c r="S471" s="184" t="str">
        <f>IF(Table1[[#This Row],[Actual End Date]]="","",TEXT(Table1[[#This Row],[Actual End Date]],"mmm-yy"))</f>
        <v/>
      </c>
      <c r="T4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1" s="185" t="str">
        <f>IFERROR((Table1[[#This Row],[Actual Effort (Hours)]]-Table1[[#This Row],[Estimated Effort (Hours)]])/Table1[[#This Row],[Estimated Effort (Hours)]],"")</f>
        <v/>
      </c>
      <c r="V471" s="149"/>
    </row>
    <row r="472" spans="2:22">
      <c r="B472" s="125"/>
      <c r="C472" s="123"/>
      <c r="D472" s="143"/>
      <c r="E472" s="123"/>
      <c r="F472" s="143"/>
      <c r="G472" s="129"/>
      <c r="H472" s="124"/>
      <c r="I472" s="124"/>
      <c r="J472" s="129"/>
      <c r="K472" s="194"/>
      <c r="L472" s="194"/>
      <c r="M472" s="129"/>
      <c r="N472" s="129" t="e">
        <f>Table1[[#This Row],[Estimated Effort (Hours)]]/NETWORKDAYS(Table1[[#This Row],[Planned Start Date]],Table1[[#This Row],[Planned End Date]])</f>
        <v>#DIV/0!</v>
      </c>
      <c r="O472" s="178">
        <f>NETWORKDAYS(Table1[[#This Row],[Planned Start Date]],Table1[[#This Row],[Planned End Date]])</f>
        <v>0</v>
      </c>
      <c r="P472" s="178">
        <f>NETWORKDAYS(Table1[[#This Row],[Planned Start Date]],$P$7)</f>
        <v>30643</v>
      </c>
      <c r="Q472" s="129"/>
      <c r="R472" s="183" t="str">
        <f>IF(Table1[[#This Row],[Actual Effort (Hours)]]="","",IF(Table1[[#This Row],[Estimated Effort (Hours)]]&lt;20,"L1",IF(Table1[[#This Row],[Estimated Effort (Hours)]]&lt;50,"L2",IF(Table1[[#This Row],[Estimated Effort (Hours)]]&lt;150,"L3",IF(Table1[[#This Row],[Estimated Effort (Hours)]]&lt;300,"L4","L5")))))</f>
        <v/>
      </c>
      <c r="S472" s="184" t="str">
        <f>IF(Table1[[#This Row],[Actual End Date]]="","",TEXT(Table1[[#This Row],[Actual End Date]],"mmm-yy"))</f>
        <v/>
      </c>
      <c r="T4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2" s="185" t="str">
        <f>IFERROR((Table1[[#This Row],[Actual Effort (Hours)]]-Table1[[#This Row],[Estimated Effort (Hours)]])/Table1[[#This Row],[Estimated Effort (Hours)]],"")</f>
        <v/>
      </c>
      <c r="V472" s="149"/>
    </row>
    <row r="473" spans="2:22">
      <c r="B473" s="125"/>
      <c r="C473" s="116"/>
      <c r="D473" s="143"/>
      <c r="E473" s="123"/>
      <c r="F473" s="143"/>
      <c r="G473" s="143"/>
      <c r="H473" s="124"/>
      <c r="I473" s="124"/>
      <c r="J473" s="129"/>
      <c r="K473" s="194"/>
      <c r="L473" s="194"/>
      <c r="M473" s="129"/>
      <c r="N473" s="129" t="e">
        <f>Table1[[#This Row],[Estimated Effort (Hours)]]/NETWORKDAYS(Table1[[#This Row],[Planned Start Date]],Table1[[#This Row],[Planned End Date]])</f>
        <v>#DIV/0!</v>
      </c>
      <c r="O473" s="178">
        <f>NETWORKDAYS(Table1[[#This Row],[Planned Start Date]],Table1[[#This Row],[Planned End Date]])</f>
        <v>0</v>
      </c>
      <c r="P473" s="178">
        <f>NETWORKDAYS(Table1[[#This Row],[Planned Start Date]],$P$7)</f>
        <v>30643</v>
      </c>
      <c r="Q473" s="129"/>
      <c r="R473" s="183" t="str">
        <f>IF(Table1[[#This Row],[Actual Effort (Hours)]]="","",IF(Table1[[#This Row],[Estimated Effort (Hours)]]&lt;20,"L1",IF(Table1[[#This Row],[Estimated Effort (Hours)]]&lt;50,"L2",IF(Table1[[#This Row],[Estimated Effort (Hours)]]&lt;150,"L3",IF(Table1[[#This Row],[Estimated Effort (Hours)]]&lt;300,"L4","L5")))))</f>
        <v/>
      </c>
      <c r="S473" s="184" t="str">
        <f>IF(Table1[[#This Row],[Actual End Date]]="","",TEXT(Table1[[#This Row],[Actual End Date]],"mmm-yy"))</f>
        <v/>
      </c>
      <c r="T4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3" s="185" t="str">
        <f>IFERROR((Table1[[#This Row],[Actual Effort (Hours)]]-Table1[[#This Row],[Estimated Effort (Hours)]])/Table1[[#This Row],[Estimated Effort (Hours)]],"")</f>
        <v/>
      </c>
      <c r="V473" s="149"/>
    </row>
    <row r="474" spans="2:22">
      <c r="B474" s="125"/>
      <c r="C474" s="116"/>
      <c r="D474" s="143"/>
      <c r="E474" s="123"/>
      <c r="F474" s="143"/>
      <c r="G474" s="143"/>
      <c r="H474" s="124"/>
      <c r="I474" s="124"/>
      <c r="J474" s="129"/>
      <c r="K474" s="194"/>
      <c r="L474" s="194"/>
      <c r="M474" s="129"/>
      <c r="N474" s="129" t="e">
        <f>Table1[[#This Row],[Estimated Effort (Hours)]]/NETWORKDAYS(Table1[[#This Row],[Planned Start Date]],Table1[[#This Row],[Planned End Date]])</f>
        <v>#DIV/0!</v>
      </c>
      <c r="O474" s="178">
        <f>NETWORKDAYS(Table1[[#This Row],[Planned Start Date]],Table1[[#This Row],[Planned End Date]])</f>
        <v>0</v>
      </c>
      <c r="P474" s="178">
        <f>NETWORKDAYS(Table1[[#This Row],[Planned Start Date]],$P$7)</f>
        <v>30643</v>
      </c>
      <c r="Q474" s="129"/>
      <c r="R474" s="183" t="str">
        <f>IF(Table1[[#This Row],[Actual Effort (Hours)]]="","",IF(Table1[[#This Row],[Estimated Effort (Hours)]]&lt;20,"L1",IF(Table1[[#This Row],[Estimated Effort (Hours)]]&lt;50,"L2",IF(Table1[[#This Row],[Estimated Effort (Hours)]]&lt;150,"L3",IF(Table1[[#This Row],[Estimated Effort (Hours)]]&lt;300,"L4","L5")))))</f>
        <v/>
      </c>
      <c r="S474" s="184" t="str">
        <f>IF(Table1[[#This Row],[Actual End Date]]="","",TEXT(Table1[[#This Row],[Actual End Date]],"mmm-yy"))</f>
        <v/>
      </c>
      <c r="T4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4" s="185" t="str">
        <f>IFERROR((Table1[[#This Row],[Actual Effort (Hours)]]-Table1[[#This Row],[Estimated Effort (Hours)]])/Table1[[#This Row],[Estimated Effort (Hours)]],"")</f>
        <v/>
      </c>
      <c r="V474" s="149"/>
    </row>
    <row r="475" spans="2:22">
      <c r="B475" s="125"/>
      <c r="C475" s="116"/>
      <c r="D475" s="143"/>
      <c r="E475" s="123"/>
      <c r="F475" s="143"/>
      <c r="G475" s="143"/>
      <c r="H475" s="124"/>
      <c r="I475" s="124"/>
      <c r="J475" s="129"/>
      <c r="K475" s="194"/>
      <c r="L475" s="194"/>
      <c r="M475" s="129"/>
      <c r="N475" s="129" t="e">
        <f>Table1[[#This Row],[Estimated Effort (Hours)]]/NETWORKDAYS(Table1[[#This Row],[Planned Start Date]],Table1[[#This Row],[Planned End Date]])</f>
        <v>#DIV/0!</v>
      </c>
      <c r="O475" s="178">
        <f>NETWORKDAYS(Table1[[#This Row],[Planned Start Date]],Table1[[#This Row],[Planned End Date]])</f>
        <v>0</v>
      </c>
      <c r="P475" s="178">
        <f>NETWORKDAYS(Table1[[#This Row],[Planned Start Date]],$P$7)</f>
        <v>30643</v>
      </c>
      <c r="Q475" s="129"/>
      <c r="R475" s="183" t="str">
        <f>IF(Table1[[#This Row],[Actual Effort (Hours)]]="","",IF(Table1[[#This Row],[Estimated Effort (Hours)]]&lt;20,"L1",IF(Table1[[#This Row],[Estimated Effort (Hours)]]&lt;50,"L2",IF(Table1[[#This Row],[Estimated Effort (Hours)]]&lt;150,"L3",IF(Table1[[#This Row],[Estimated Effort (Hours)]]&lt;300,"L4","L5")))))</f>
        <v/>
      </c>
      <c r="S475" s="184" t="str">
        <f>IF(Table1[[#This Row],[Actual End Date]]="","",TEXT(Table1[[#This Row],[Actual End Date]],"mmm-yy"))</f>
        <v/>
      </c>
      <c r="T4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5" s="185" t="str">
        <f>IFERROR((Table1[[#This Row],[Actual Effort (Hours)]]-Table1[[#This Row],[Estimated Effort (Hours)]])/Table1[[#This Row],[Estimated Effort (Hours)]],"")</f>
        <v/>
      </c>
      <c r="V475" s="149"/>
    </row>
    <row r="476" spans="2:22">
      <c r="B476" s="125"/>
      <c r="C476" s="123"/>
      <c r="D476" s="143"/>
      <c r="E476" s="123"/>
      <c r="F476" s="143"/>
      <c r="G476" s="129"/>
      <c r="H476" s="124"/>
      <c r="I476" s="124"/>
      <c r="J476" s="129"/>
      <c r="K476" s="194"/>
      <c r="L476" s="194"/>
      <c r="M476" s="129"/>
      <c r="N476" s="129" t="e">
        <f>Table1[[#This Row],[Estimated Effort (Hours)]]/NETWORKDAYS(Table1[[#This Row],[Planned Start Date]],Table1[[#This Row],[Planned End Date]])</f>
        <v>#DIV/0!</v>
      </c>
      <c r="O476" s="178">
        <f>NETWORKDAYS(Table1[[#This Row],[Planned Start Date]],Table1[[#This Row],[Planned End Date]])</f>
        <v>0</v>
      </c>
      <c r="P476" s="178">
        <f>NETWORKDAYS(Table1[[#This Row],[Planned Start Date]],$P$7)</f>
        <v>30643</v>
      </c>
      <c r="Q476" s="129"/>
      <c r="R476" s="183" t="str">
        <f>IF(Table1[[#This Row],[Actual Effort (Hours)]]="","",IF(Table1[[#This Row],[Estimated Effort (Hours)]]&lt;20,"L1",IF(Table1[[#This Row],[Estimated Effort (Hours)]]&lt;50,"L2",IF(Table1[[#This Row],[Estimated Effort (Hours)]]&lt;150,"L3",IF(Table1[[#This Row],[Estimated Effort (Hours)]]&lt;300,"L4","L5")))))</f>
        <v/>
      </c>
      <c r="S476" s="184" t="str">
        <f>IF(Table1[[#This Row],[Actual End Date]]="","",TEXT(Table1[[#This Row],[Actual End Date]],"mmm-yy"))</f>
        <v/>
      </c>
      <c r="T4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6" s="185" t="str">
        <f>IFERROR((Table1[[#This Row],[Actual Effort (Hours)]]-Table1[[#This Row],[Estimated Effort (Hours)]])/Table1[[#This Row],[Estimated Effort (Hours)]],"")</f>
        <v/>
      </c>
      <c r="V476" s="149"/>
    </row>
    <row r="477" spans="2:22">
      <c r="B477" s="125"/>
      <c r="C477" s="123"/>
      <c r="D477" s="143"/>
      <c r="E477" s="123"/>
      <c r="F477" s="143"/>
      <c r="G477" s="129"/>
      <c r="H477" s="124"/>
      <c r="I477" s="124"/>
      <c r="J477" s="129"/>
      <c r="K477" s="194"/>
      <c r="L477" s="194"/>
      <c r="M477" s="129"/>
      <c r="N477" s="129" t="e">
        <f>Table1[[#This Row],[Estimated Effort (Hours)]]/NETWORKDAYS(Table1[[#This Row],[Planned Start Date]],Table1[[#This Row],[Planned End Date]])</f>
        <v>#DIV/0!</v>
      </c>
      <c r="O477" s="178">
        <f>NETWORKDAYS(Table1[[#This Row],[Planned Start Date]],Table1[[#This Row],[Planned End Date]])</f>
        <v>0</v>
      </c>
      <c r="P477" s="178">
        <f>NETWORKDAYS(Table1[[#This Row],[Planned Start Date]],$P$7)</f>
        <v>30643</v>
      </c>
      <c r="Q477" s="129"/>
      <c r="R477" s="183" t="str">
        <f>IF(Table1[[#This Row],[Actual Effort (Hours)]]="","",IF(Table1[[#This Row],[Estimated Effort (Hours)]]&lt;20,"L1",IF(Table1[[#This Row],[Estimated Effort (Hours)]]&lt;50,"L2",IF(Table1[[#This Row],[Estimated Effort (Hours)]]&lt;150,"L3",IF(Table1[[#This Row],[Estimated Effort (Hours)]]&lt;300,"L4","L5")))))</f>
        <v/>
      </c>
      <c r="S477" s="184" t="str">
        <f>IF(Table1[[#This Row],[Actual End Date]]="","",TEXT(Table1[[#This Row],[Actual End Date]],"mmm-yy"))</f>
        <v/>
      </c>
      <c r="T4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7" s="185" t="str">
        <f>IFERROR((Table1[[#This Row],[Actual Effort (Hours)]]-Table1[[#This Row],[Estimated Effort (Hours)]])/Table1[[#This Row],[Estimated Effort (Hours)]],"")</f>
        <v/>
      </c>
      <c r="V477" s="149"/>
    </row>
    <row r="478" spans="2:22">
      <c r="B478" s="125"/>
      <c r="C478" s="123"/>
      <c r="D478" s="143"/>
      <c r="E478" s="123"/>
      <c r="F478" s="143"/>
      <c r="G478" s="129"/>
      <c r="H478" s="124"/>
      <c r="I478" s="124"/>
      <c r="J478" s="129"/>
      <c r="K478" s="194"/>
      <c r="L478" s="194"/>
      <c r="M478" s="129"/>
      <c r="N478" s="129" t="e">
        <f>Table1[[#This Row],[Estimated Effort (Hours)]]/NETWORKDAYS(Table1[[#This Row],[Planned Start Date]],Table1[[#This Row],[Planned End Date]])</f>
        <v>#DIV/0!</v>
      </c>
      <c r="O478" s="178">
        <f>NETWORKDAYS(Table1[[#This Row],[Planned Start Date]],Table1[[#This Row],[Planned End Date]])</f>
        <v>0</v>
      </c>
      <c r="P478" s="178">
        <f>NETWORKDAYS(Table1[[#This Row],[Planned Start Date]],$P$7)</f>
        <v>30643</v>
      </c>
      <c r="Q478" s="129"/>
      <c r="R478" s="183" t="str">
        <f>IF(Table1[[#This Row],[Actual Effort (Hours)]]="","",IF(Table1[[#This Row],[Estimated Effort (Hours)]]&lt;20,"L1",IF(Table1[[#This Row],[Estimated Effort (Hours)]]&lt;50,"L2",IF(Table1[[#This Row],[Estimated Effort (Hours)]]&lt;150,"L3",IF(Table1[[#This Row],[Estimated Effort (Hours)]]&lt;300,"L4","L5")))))</f>
        <v/>
      </c>
      <c r="S478" s="184" t="str">
        <f>IF(Table1[[#This Row],[Actual End Date]]="","",TEXT(Table1[[#This Row],[Actual End Date]],"mmm-yy"))</f>
        <v/>
      </c>
      <c r="T4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8" s="185" t="str">
        <f>IFERROR((Table1[[#This Row],[Actual Effort (Hours)]]-Table1[[#This Row],[Estimated Effort (Hours)]])/Table1[[#This Row],[Estimated Effort (Hours)]],"")</f>
        <v/>
      </c>
      <c r="V478" s="149"/>
    </row>
    <row r="479" spans="2:22">
      <c r="B479" s="125"/>
      <c r="C479" s="123"/>
      <c r="D479" s="143"/>
      <c r="E479" s="123"/>
      <c r="F479" s="143"/>
      <c r="G479" s="129"/>
      <c r="H479" s="124"/>
      <c r="I479" s="124"/>
      <c r="J479" s="129"/>
      <c r="K479" s="194"/>
      <c r="L479" s="194"/>
      <c r="M479" s="129"/>
      <c r="N479" s="129" t="e">
        <f>Table1[[#This Row],[Estimated Effort (Hours)]]/NETWORKDAYS(Table1[[#This Row],[Planned Start Date]],Table1[[#This Row],[Planned End Date]])</f>
        <v>#DIV/0!</v>
      </c>
      <c r="O479" s="178">
        <f>NETWORKDAYS(Table1[[#This Row],[Planned Start Date]],Table1[[#This Row],[Planned End Date]])</f>
        <v>0</v>
      </c>
      <c r="P479" s="178">
        <f>NETWORKDAYS(Table1[[#This Row],[Planned Start Date]],$P$7)</f>
        <v>30643</v>
      </c>
      <c r="Q479" s="129"/>
      <c r="R479" s="183" t="str">
        <f>IF(Table1[[#This Row],[Actual Effort (Hours)]]="","",IF(Table1[[#This Row],[Estimated Effort (Hours)]]&lt;20,"L1",IF(Table1[[#This Row],[Estimated Effort (Hours)]]&lt;50,"L2",IF(Table1[[#This Row],[Estimated Effort (Hours)]]&lt;150,"L3",IF(Table1[[#This Row],[Estimated Effort (Hours)]]&lt;300,"L4","L5")))))</f>
        <v/>
      </c>
      <c r="S479" s="184" t="str">
        <f>IF(Table1[[#This Row],[Actual End Date]]="","",TEXT(Table1[[#This Row],[Actual End Date]],"mmm-yy"))</f>
        <v/>
      </c>
      <c r="T4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79" s="185" t="str">
        <f>IFERROR((Table1[[#This Row],[Actual Effort (Hours)]]-Table1[[#This Row],[Estimated Effort (Hours)]])/Table1[[#This Row],[Estimated Effort (Hours)]],"")</f>
        <v/>
      </c>
      <c r="V479" s="149"/>
    </row>
    <row r="480" spans="2:22">
      <c r="B480" s="125"/>
      <c r="C480" s="123"/>
      <c r="D480" s="143"/>
      <c r="E480" s="123"/>
      <c r="F480" s="143"/>
      <c r="G480" s="129"/>
      <c r="H480" s="124"/>
      <c r="I480" s="124"/>
      <c r="J480" s="129"/>
      <c r="K480" s="194"/>
      <c r="L480" s="194"/>
      <c r="M480" s="129"/>
      <c r="N480" s="129" t="e">
        <f>Table1[[#This Row],[Estimated Effort (Hours)]]/NETWORKDAYS(Table1[[#This Row],[Planned Start Date]],Table1[[#This Row],[Planned End Date]])</f>
        <v>#DIV/0!</v>
      </c>
      <c r="O480" s="178">
        <f>NETWORKDAYS(Table1[[#This Row],[Planned Start Date]],Table1[[#This Row],[Planned End Date]])</f>
        <v>0</v>
      </c>
      <c r="P480" s="178">
        <f>NETWORKDAYS(Table1[[#This Row],[Planned Start Date]],$P$7)</f>
        <v>30643</v>
      </c>
      <c r="Q480" s="129"/>
      <c r="R480" s="183" t="str">
        <f>IF(Table1[[#This Row],[Actual Effort (Hours)]]="","",IF(Table1[[#This Row],[Estimated Effort (Hours)]]&lt;20,"L1",IF(Table1[[#This Row],[Estimated Effort (Hours)]]&lt;50,"L2",IF(Table1[[#This Row],[Estimated Effort (Hours)]]&lt;150,"L3",IF(Table1[[#This Row],[Estimated Effort (Hours)]]&lt;300,"L4","L5")))))</f>
        <v/>
      </c>
      <c r="S480" s="184" t="str">
        <f>IF(Table1[[#This Row],[Actual End Date]]="","",TEXT(Table1[[#This Row],[Actual End Date]],"mmm-yy"))</f>
        <v/>
      </c>
      <c r="T4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0" s="185" t="str">
        <f>IFERROR((Table1[[#This Row],[Actual Effort (Hours)]]-Table1[[#This Row],[Estimated Effort (Hours)]])/Table1[[#This Row],[Estimated Effort (Hours)]],"")</f>
        <v/>
      </c>
      <c r="V480" s="149"/>
    </row>
    <row r="481" spans="2:22">
      <c r="B481" s="125"/>
      <c r="C481" s="123"/>
      <c r="D481" s="143"/>
      <c r="E481" s="123"/>
      <c r="F481" s="143"/>
      <c r="G481" s="129"/>
      <c r="H481" s="124"/>
      <c r="I481" s="124"/>
      <c r="J481" s="129"/>
      <c r="K481" s="194"/>
      <c r="L481" s="194"/>
      <c r="M481" s="129"/>
      <c r="N481" s="129" t="e">
        <f>Table1[[#This Row],[Estimated Effort (Hours)]]/NETWORKDAYS(Table1[[#This Row],[Planned Start Date]],Table1[[#This Row],[Planned End Date]])</f>
        <v>#DIV/0!</v>
      </c>
      <c r="O481" s="178">
        <f>NETWORKDAYS(Table1[[#This Row],[Planned Start Date]],Table1[[#This Row],[Planned End Date]])</f>
        <v>0</v>
      </c>
      <c r="P481" s="178">
        <f>NETWORKDAYS(Table1[[#This Row],[Planned Start Date]],$P$7)</f>
        <v>30643</v>
      </c>
      <c r="Q481" s="129"/>
      <c r="R481" s="183" t="str">
        <f>IF(Table1[[#This Row],[Actual Effort (Hours)]]="","",IF(Table1[[#This Row],[Estimated Effort (Hours)]]&lt;20,"L1",IF(Table1[[#This Row],[Estimated Effort (Hours)]]&lt;50,"L2",IF(Table1[[#This Row],[Estimated Effort (Hours)]]&lt;150,"L3",IF(Table1[[#This Row],[Estimated Effort (Hours)]]&lt;300,"L4","L5")))))</f>
        <v/>
      </c>
      <c r="S481" s="184" t="str">
        <f>IF(Table1[[#This Row],[Actual End Date]]="","",TEXT(Table1[[#This Row],[Actual End Date]],"mmm-yy"))</f>
        <v/>
      </c>
      <c r="T4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1" s="185" t="str">
        <f>IFERROR((Table1[[#This Row],[Actual Effort (Hours)]]-Table1[[#This Row],[Estimated Effort (Hours)]])/Table1[[#This Row],[Estimated Effort (Hours)]],"")</f>
        <v/>
      </c>
      <c r="V481" s="149"/>
    </row>
    <row r="482" spans="2:22">
      <c r="B482" s="125"/>
      <c r="C482" s="123"/>
      <c r="D482" s="143"/>
      <c r="E482" s="123"/>
      <c r="F482" s="143"/>
      <c r="G482" s="129"/>
      <c r="H482" s="124"/>
      <c r="I482" s="124"/>
      <c r="J482" s="129"/>
      <c r="K482" s="194"/>
      <c r="L482" s="194"/>
      <c r="M482" s="129"/>
      <c r="N482" s="129" t="e">
        <f>Table1[[#This Row],[Estimated Effort (Hours)]]/NETWORKDAYS(Table1[[#This Row],[Planned Start Date]],Table1[[#This Row],[Planned End Date]])</f>
        <v>#DIV/0!</v>
      </c>
      <c r="O482" s="178">
        <f>NETWORKDAYS(Table1[[#This Row],[Planned Start Date]],Table1[[#This Row],[Planned End Date]])</f>
        <v>0</v>
      </c>
      <c r="P482" s="178">
        <f>NETWORKDAYS(Table1[[#This Row],[Planned Start Date]],$P$7)</f>
        <v>30643</v>
      </c>
      <c r="Q482" s="129"/>
      <c r="R482" s="183" t="str">
        <f>IF(Table1[[#This Row],[Actual Effort (Hours)]]="","",IF(Table1[[#This Row],[Estimated Effort (Hours)]]&lt;20,"L1",IF(Table1[[#This Row],[Estimated Effort (Hours)]]&lt;50,"L2",IF(Table1[[#This Row],[Estimated Effort (Hours)]]&lt;150,"L3",IF(Table1[[#This Row],[Estimated Effort (Hours)]]&lt;300,"L4","L5")))))</f>
        <v/>
      </c>
      <c r="S482" s="184" t="str">
        <f>IF(Table1[[#This Row],[Actual End Date]]="","",TEXT(Table1[[#This Row],[Actual End Date]],"mmm-yy"))</f>
        <v/>
      </c>
      <c r="T4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2" s="185" t="str">
        <f>IFERROR((Table1[[#This Row],[Actual Effort (Hours)]]-Table1[[#This Row],[Estimated Effort (Hours)]])/Table1[[#This Row],[Estimated Effort (Hours)]],"")</f>
        <v/>
      </c>
      <c r="V482" s="149"/>
    </row>
    <row r="483" spans="2:22">
      <c r="B483" s="125"/>
      <c r="C483" s="123"/>
      <c r="D483" s="143"/>
      <c r="E483" s="123"/>
      <c r="F483" s="143"/>
      <c r="G483" s="129"/>
      <c r="H483" s="124"/>
      <c r="I483" s="124"/>
      <c r="J483" s="129"/>
      <c r="K483" s="194"/>
      <c r="L483" s="194"/>
      <c r="M483" s="129"/>
      <c r="N483" s="129" t="e">
        <f>Table1[[#This Row],[Estimated Effort (Hours)]]/NETWORKDAYS(Table1[[#This Row],[Planned Start Date]],Table1[[#This Row],[Planned End Date]])</f>
        <v>#DIV/0!</v>
      </c>
      <c r="O483" s="178">
        <f>NETWORKDAYS(Table1[[#This Row],[Planned Start Date]],Table1[[#This Row],[Planned End Date]])</f>
        <v>0</v>
      </c>
      <c r="P483" s="178">
        <f>NETWORKDAYS(Table1[[#This Row],[Planned Start Date]],$P$7)</f>
        <v>30643</v>
      </c>
      <c r="Q483" s="129"/>
      <c r="R483" s="183" t="str">
        <f>IF(Table1[[#This Row],[Actual Effort (Hours)]]="","",IF(Table1[[#This Row],[Estimated Effort (Hours)]]&lt;20,"L1",IF(Table1[[#This Row],[Estimated Effort (Hours)]]&lt;50,"L2",IF(Table1[[#This Row],[Estimated Effort (Hours)]]&lt;150,"L3",IF(Table1[[#This Row],[Estimated Effort (Hours)]]&lt;300,"L4","L5")))))</f>
        <v/>
      </c>
      <c r="S483" s="184" t="str">
        <f>IF(Table1[[#This Row],[Actual End Date]]="","",TEXT(Table1[[#This Row],[Actual End Date]],"mmm-yy"))</f>
        <v/>
      </c>
      <c r="T4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3" s="185" t="str">
        <f>IFERROR((Table1[[#This Row],[Actual Effort (Hours)]]-Table1[[#This Row],[Estimated Effort (Hours)]])/Table1[[#This Row],[Estimated Effort (Hours)]],"")</f>
        <v/>
      </c>
      <c r="V483" s="149"/>
    </row>
    <row r="484" spans="2:22">
      <c r="B484" s="125"/>
      <c r="C484" s="123"/>
      <c r="D484" s="143"/>
      <c r="E484" s="123"/>
      <c r="F484" s="143"/>
      <c r="G484" s="129"/>
      <c r="H484" s="124"/>
      <c r="I484" s="124"/>
      <c r="J484" s="129"/>
      <c r="K484" s="194"/>
      <c r="L484" s="194"/>
      <c r="M484" s="129"/>
      <c r="N484" s="129" t="e">
        <f>Table1[[#This Row],[Estimated Effort (Hours)]]/NETWORKDAYS(Table1[[#This Row],[Planned Start Date]],Table1[[#This Row],[Planned End Date]])</f>
        <v>#DIV/0!</v>
      </c>
      <c r="O484" s="178">
        <f>NETWORKDAYS(Table1[[#This Row],[Planned Start Date]],Table1[[#This Row],[Planned End Date]])</f>
        <v>0</v>
      </c>
      <c r="P484" s="178">
        <f>NETWORKDAYS(Table1[[#This Row],[Planned Start Date]],$P$7)</f>
        <v>30643</v>
      </c>
      <c r="Q484" s="129"/>
      <c r="R484" s="183" t="str">
        <f>IF(Table1[[#This Row],[Actual Effort (Hours)]]="","",IF(Table1[[#This Row],[Estimated Effort (Hours)]]&lt;20,"L1",IF(Table1[[#This Row],[Estimated Effort (Hours)]]&lt;50,"L2",IF(Table1[[#This Row],[Estimated Effort (Hours)]]&lt;150,"L3",IF(Table1[[#This Row],[Estimated Effort (Hours)]]&lt;300,"L4","L5")))))</f>
        <v/>
      </c>
      <c r="S484" s="184" t="str">
        <f>IF(Table1[[#This Row],[Actual End Date]]="","",TEXT(Table1[[#This Row],[Actual End Date]],"mmm-yy"))</f>
        <v/>
      </c>
      <c r="T4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4" s="185" t="str">
        <f>IFERROR((Table1[[#This Row],[Actual Effort (Hours)]]-Table1[[#This Row],[Estimated Effort (Hours)]])/Table1[[#This Row],[Estimated Effort (Hours)]],"")</f>
        <v/>
      </c>
      <c r="V484" s="149"/>
    </row>
    <row r="485" spans="2:22">
      <c r="B485" s="125"/>
      <c r="C485" s="123"/>
      <c r="D485" s="143"/>
      <c r="E485" s="123"/>
      <c r="F485" s="143"/>
      <c r="G485" s="129"/>
      <c r="H485" s="124"/>
      <c r="I485" s="124"/>
      <c r="J485" s="129"/>
      <c r="K485" s="194"/>
      <c r="L485" s="194"/>
      <c r="M485" s="129"/>
      <c r="N485" s="129" t="e">
        <f>Table1[[#This Row],[Estimated Effort (Hours)]]/NETWORKDAYS(Table1[[#This Row],[Planned Start Date]],Table1[[#This Row],[Planned End Date]])</f>
        <v>#DIV/0!</v>
      </c>
      <c r="O485" s="178">
        <f>NETWORKDAYS(Table1[[#This Row],[Planned Start Date]],Table1[[#This Row],[Planned End Date]])</f>
        <v>0</v>
      </c>
      <c r="P485" s="178">
        <f>NETWORKDAYS(Table1[[#This Row],[Planned Start Date]],$P$7)</f>
        <v>30643</v>
      </c>
      <c r="Q485" s="129"/>
      <c r="R485" s="183" t="str">
        <f>IF(Table1[[#This Row],[Actual Effort (Hours)]]="","",IF(Table1[[#This Row],[Estimated Effort (Hours)]]&lt;20,"L1",IF(Table1[[#This Row],[Estimated Effort (Hours)]]&lt;50,"L2",IF(Table1[[#This Row],[Estimated Effort (Hours)]]&lt;150,"L3",IF(Table1[[#This Row],[Estimated Effort (Hours)]]&lt;300,"L4","L5")))))</f>
        <v/>
      </c>
      <c r="S485" s="184" t="str">
        <f>IF(Table1[[#This Row],[Actual End Date]]="","",TEXT(Table1[[#This Row],[Actual End Date]],"mmm-yy"))</f>
        <v/>
      </c>
      <c r="T4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5" s="185" t="str">
        <f>IFERROR((Table1[[#This Row],[Actual Effort (Hours)]]-Table1[[#This Row],[Estimated Effort (Hours)]])/Table1[[#This Row],[Estimated Effort (Hours)]],"")</f>
        <v/>
      </c>
      <c r="V485" s="149"/>
    </row>
    <row r="486" spans="2:22">
      <c r="B486" s="125"/>
      <c r="C486" s="123"/>
      <c r="D486" s="143"/>
      <c r="E486" s="123"/>
      <c r="F486" s="143"/>
      <c r="G486" s="129"/>
      <c r="H486" s="124"/>
      <c r="I486" s="124"/>
      <c r="J486" s="129"/>
      <c r="K486" s="194"/>
      <c r="L486" s="194"/>
      <c r="M486" s="129"/>
      <c r="N486" s="129" t="e">
        <f>Table1[[#This Row],[Estimated Effort (Hours)]]/NETWORKDAYS(Table1[[#This Row],[Planned Start Date]],Table1[[#This Row],[Planned End Date]])</f>
        <v>#DIV/0!</v>
      </c>
      <c r="O486" s="178">
        <f>NETWORKDAYS(Table1[[#This Row],[Planned Start Date]],Table1[[#This Row],[Planned End Date]])</f>
        <v>0</v>
      </c>
      <c r="P486" s="178">
        <f>NETWORKDAYS(Table1[[#This Row],[Planned Start Date]],$P$7)</f>
        <v>30643</v>
      </c>
      <c r="Q486" s="129"/>
      <c r="R486" s="183" t="str">
        <f>IF(Table1[[#This Row],[Actual Effort (Hours)]]="","",IF(Table1[[#This Row],[Estimated Effort (Hours)]]&lt;20,"L1",IF(Table1[[#This Row],[Estimated Effort (Hours)]]&lt;50,"L2",IF(Table1[[#This Row],[Estimated Effort (Hours)]]&lt;150,"L3",IF(Table1[[#This Row],[Estimated Effort (Hours)]]&lt;300,"L4","L5")))))</f>
        <v/>
      </c>
      <c r="S486" s="184" t="str">
        <f>IF(Table1[[#This Row],[Actual End Date]]="","",TEXT(Table1[[#This Row],[Actual End Date]],"mmm-yy"))</f>
        <v/>
      </c>
      <c r="T4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6" s="185" t="str">
        <f>IFERROR((Table1[[#This Row],[Actual Effort (Hours)]]-Table1[[#This Row],[Estimated Effort (Hours)]])/Table1[[#This Row],[Estimated Effort (Hours)]],"")</f>
        <v/>
      </c>
      <c r="V486" s="149"/>
    </row>
    <row r="487" spans="2:22">
      <c r="B487" s="125"/>
      <c r="C487" s="123"/>
      <c r="D487" s="143"/>
      <c r="E487" s="123"/>
      <c r="F487" s="143"/>
      <c r="G487" s="129"/>
      <c r="H487" s="124"/>
      <c r="I487" s="124"/>
      <c r="J487" s="129"/>
      <c r="K487" s="194"/>
      <c r="L487" s="194"/>
      <c r="M487" s="129"/>
      <c r="N487" s="129" t="e">
        <f>Table1[[#This Row],[Estimated Effort (Hours)]]/NETWORKDAYS(Table1[[#This Row],[Planned Start Date]],Table1[[#This Row],[Planned End Date]])</f>
        <v>#DIV/0!</v>
      </c>
      <c r="O487" s="178">
        <f>NETWORKDAYS(Table1[[#This Row],[Planned Start Date]],Table1[[#This Row],[Planned End Date]])</f>
        <v>0</v>
      </c>
      <c r="P487" s="178">
        <f>NETWORKDAYS(Table1[[#This Row],[Planned Start Date]],$P$7)</f>
        <v>30643</v>
      </c>
      <c r="Q487" s="129"/>
      <c r="R487" s="183" t="str">
        <f>IF(Table1[[#This Row],[Actual Effort (Hours)]]="","",IF(Table1[[#This Row],[Estimated Effort (Hours)]]&lt;20,"L1",IF(Table1[[#This Row],[Estimated Effort (Hours)]]&lt;50,"L2",IF(Table1[[#This Row],[Estimated Effort (Hours)]]&lt;150,"L3",IF(Table1[[#This Row],[Estimated Effort (Hours)]]&lt;300,"L4","L5")))))</f>
        <v/>
      </c>
      <c r="S487" s="184" t="str">
        <f>IF(Table1[[#This Row],[Actual End Date]]="","",TEXT(Table1[[#This Row],[Actual End Date]],"mmm-yy"))</f>
        <v/>
      </c>
      <c r="T4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7" s="185" t="str">
        <f>IFERROR((Table1[[#This Row],[Actual Effort (Hours)]]-Table1[[#This Row],[Estimated Effort (Hours)]])/Table1[[#This Row],[Estimated Effort (Hours)]],"")</f>
        <v/>
      </c>
      <c r="V487" s="149"/>
    </row>
    <row r="488" spans="2:22">
      <c r="B488" s="125"/>
      <c r="C488" s="123"/>
      <c r="D488" s="143"/>
      <c r="E488" s="123"/>
      <c r="F488" s="143"/>
      <c r="G488" s="129"/>
      <c r="H488" s="124"/>
      <c r="I488" s="124"/>
      <c r="J488" s="129"/>
      <c r="K488" s="194"/>
      <c r="L488" s="194"/>
      <c r="M488" s="129"/>
      <c r="N488" s="129" t="e">
        <f>Table1[[#This Row],[Estimated Effort (Hours)]]/NETWORKDAYS(Table1[[#This Row],[Planned Start Date]],Table1[[#This Row],[Planned End Date]])</f>
        <v>#DIV/0!</v>
      </c>
      <c r="O488" s="178">
        <f>NETWORKDAYS(Table1[[#This Row],[Planned Start Date]],Table1[[#This Row],[Planned End Date]])</f>
        <v>0</v>
      </c>
      <c r="P488" s="178">
        <f>NETWORKDAYS(Table1[[#This Row],[Planned Start Date]],$P$7)</f>
        <v>30643</v>
      </c>
      <c r="Q488" s="129"/>
      <c r="R488" s="183" t="str">
        <f>IF(Table1[[#This Row],[Actual Effort (Hours)]]="","",IF(Table1[[#This Row],[Estimated Effort (Hours)]]&lt;20,"L1",IF(Table1[[#This Row],[Estimated Effort (Hours)]]&lt;50,"L2",IF(Table1[[#This Row],[Estimated Effort (Hours)]]&lt;150,"L3",IF(Table1[[#This Row],[Estimated Effort (Hours)]]&lt;300,"L4","L5")))))</f>
        <v/>
      </c>
      <c r="S488" s="184" t="str">
        <f>IF(Table1[[#This Row],[Actual End Date]]="","",TEXT(Table1[[#This Row],[Actual End Date]],"mmm-yy"))</f>
        <v/>
      </c>
      <c r="T4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8" s="185" t="str">
        <f>IFERROR((Table1[[#This Row],[Actual Effort (Hours)]]-Table1[[#This Row],[Estimated Effort (Hours)]])/Table1[[#This Row],[Estimated Effort (Hours)]],"")</f>
        <v/>
      </c>
      <c r="V488" s="149"/>
    </row>
    <row r="489" spans="2:22">
      <c r="B489" s="125"/>
      <c r="C489" s="123"/>
      <c r="D489" s="143"/>
      <c r="E489" s="123"/>
      <c r="F489" s="143"/>
      <c r="G489" s="129"/>
      <c r="H489" s="124"/>
      <c r="I489" s="124"/>
      <c r="J489" s="129"/>
      <c r="K489" s="194"/>
      <c r="L489" s="194"/>
      <c r="M489" s="129"/>
      <c r="N489" s="129" t="e">
        <f>Table1[[#This Row],[Estimated Effort (Hours)]]/NETWORKDAYS(Table1[[#This Row],[Planned Start Date]],Table1[[#This Row],[Planned End Date]])</f>
        <v>#DIV/0!</v>
      </c>
      <c r="O489" s="178">
        <f>NETWORKDAYS(Table1[[#This Row],[Planned Start Date]],Table1[[#This Row],[Planned End Date]])</f>
        <v>0</v>
      </c>
      <c r="P489" s="178">
        <f>NETWORKDAYS(Table1[[#This Row],[Planned Start Date]],$P$7)</f>
        <v>30643</v>
      </c>
      <c r="Q489" s="129"/>
      <c r="R489" s="183" t="str">
        <f>IF(Table1[[#This Row],[Actual Effort (Hours)]]="","",IF(Table1[[#This Row],[Estimated Effort (Hours)]]&lt;20,"L1",IF(Table1[[#This Row],[Estimated Effort (Hours)]]&lt;50,"L2",IF(Table1[[#This Row],[Estimated Effort (Hours)]]&lt;150,"L3",IF(Table1[[#This Row],[Estimated Effort (Hours)]]&lt;300,"L4","L5")))))</f>
        <v/>
      </c>
      <c r="S489" s="184" t="str">
        <f>IF(Table1[[#This Row],[Actual End Date]]="","",TEXT(Table1[[#This Row],[Actual End Date]],"mmm-yy"))</f>
        <v/>
      </c>
      <c r="T4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89" s="185" t="str">
        <f>IFERROR((Table1[[#This Row],[Actual Effort (Hours)]]-Table1[[#This Row],[Estimated Effort (Hours)]])/Table1[[#This Row],[Estimated Effort (Hours)]],"")</f>
        <v/>
      </c>
      <c r="V489" s="149"/>
    </row>
    <row r="490" spans="2:22">
      <c r="B490" s="125"/>
      <c r="C490" s="123"/>
      <c r="D490" s="143"/>
      <c r="E490" s="123"/>
      <c r="F490" s="143"/>
      <c r="G490" s="129"/>
      <c r="H490" s="124"/>
      <c r="I490" s="124"/>
      <c r="J490" s="129"/>
      <c r="K490" s="194"/>
      <c r="L490" s="194"/>
      <c r="M490" s="129"/>
      <c r="N490" s="129" t="e">
        <f>Table1[[#This Row],[Estimated Effort (Hours)]]/NETWORKDAYS(Table1[[#This Row],[Planned Start Date]],Table1[[#This Row],[Planned End Date]])</f>
        <v>#DIV/0!</v>
      </c>
      <c r="O490" s="178">
        <f>NETWORKDAYS(Table1[[#This Row],[Planned Start Date]],Table1[[#This Row],[Planned End Date]])</f>
        <v>0</v>
      </c>
      <c r="P490" s="178">
        <f>NETWORKDAYS(Table1[[#This Row],[Planned Start Date]],$P$7)</f>
        <v>30643</v>
      </c>
      <c r="Q490" s="129"/>
      <c r="R490" s="183" t="str">
        <f>IF(Table1[[#This Row],[Actual Effort (Hours)]]="","",IF(Table1[[#This Row],[Estimated Effort (Hours)]]&lt;20,"L1",IF(Table1[[#This Row],[Estimated Effort (Hours)]]&lt;50,"L2",IF(Table1[[#This Row],[Estimated Effort (Hours)]]&lt;150,"L3",IF(Table1[[#This Row],[Estimated Effort (Hours)]]&lt;300,"L4","L5")))))</f>
        <v/>
      </c>
      <c r="S490" s="184" t="str">
        <f>IF(Table1[[#This Row],[Actual End Date]]="","",TEXT(Table1[[#This Row],[Actual End Date]],"mmm-yy"))</f>
        <v/>
      </c>
      <c r="T4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0" s="185" t="str">
        <f>IFERROR((Table1[[#This Row],[Actual Effort (Hours)]]-Table1[[#This Row],[Estimated Effort (Hours)]])/Table1[[#This Row],[Estimated Effort (Hours)]],"")</f>
        <v/>
      </c>
      <c r="V490" s="149"/>
    </row>
    <row r="491" spans="2:22">
      <c r="B491" s="125"/>
      <c r="C491" s="123"/>
      <c r="D491" s="143"/>
      <c r="E491" s="123"/>
      <c r="F491" s="143"/>
      <c r="G491" s="129"/>
      <c r="H491" s="124"/>
      <c r="I491" s="124"/>
      <c r="J491" s="129"/>
      <c r="K491" s="194"/>
      <c r="L491" s="194"/>
      <c r="M491" s="129"/>
      <c r="N491" s="129" t="e">
        <f>Table1[[#This Row],[Estimated Effort (Hours)]]/NETWORKDAYS(Table1[[#This Row],[Planned Start Date]],Table1[[#This Row],[Planned End Date]])</f>
        <v>#DIV/0!</v>
      </c>
      <c r="O491" s="178">
        <f>NETWORKDAYS(Table1[[#This Row],[Planned Start Date]],Table1[[#This Row],[Planned End Date]])</f>
        <v>0</v>
      </c>
      <c r="P491" s="178">
        <f>NETWORKDAYS(Table1[[#This Row],[Planned Start Date]],$P$7)</f>
        <v>30643</v>
      </c>
      <c r="Q491" s="129"/>
      <c r="R491" s="183" t="str">
        <f>IF(Table1[[#This Row],[Actual Effort (Hours)]]="","",IF(Table1[[#This Row],[Estimated Effort (Hours)]]&lt;20,"L1",IF(Table1[[#This Row],[Estimated Effort (Hours)]]&lt;50,"L2",IF(Table1[[#This Row],[Estimated Effort (Hours)]]&lt;150,"L3",IF(Table1[[#This Row],[Estimated Effort (Hours)]]&lt;300,"L4","L5")))))</f>
        <v/>
      </c>
      <c r="S491" s="184" t="str">
        <f>IF(Table1[[#This Row],[Actual End Date]]="","",TEXT(Table1[[#This Row],[Actual End Date]],"mmm-yy"))</f>
        <v/>
      </c>
      <c r="T4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1" s="185" t="str">
        <f>IFERROR((Table1[[#This Row],[Actual Effort (Hours)]]-Table1[[#This Row],[Estimated Effort (Hours)]])/Table1[[#This Row],[Estimated Effort (Hours)]],"")</f>
        <v/>
      </c>
      <c r="V491" s="149"/>
    </row>
    <row r="492" spans="2:22">
      <c r="B492" s="125"/>
      <c r="C492" s="123"/>
      <c r="D492" s="143"/>
      <c r="E492" s="123"/>
      <c r="F492" s="143"/>
      <c r="G492" s="129"/>
      <c r="H492" s="124"/>
      <c r="I492" s="124"/>
      <c r="J492" s="129"/>
      <c r="K492" s="194"/>
      <c r="L492" s="194"/>
      <c r="M492" s="129"/>
      <c r="N492" s="129" t="e">
        <f>Table1[[#This Row],[Estimated Effort (Hours)]]/NETWORKDAYS(Table1[[#This Row],[Planned Start Date]],Table1[[#This Row],[Planned End Date]])</f>
        <v>#DIV/0!</v>
      </c>
      <c r="O492" s="178">
        <f>NETWORKDAYS(Table1[[#This Row],[Planned Start Date]],Table1[[#This Row],[Planned End Date]])</f>
        <v>0</v>
      </c>
      <c r="P492" s="178">
        <f>NETWORKDAYS(Table1[[#This Row],[Planned Start Date]],$P$7)</f>
        <v>30643</v>
      </c>
      <c r="Q492" s="129"/>
      <c r="R492" s="183" t="str">
        <f>IF(Table1[[#This Row],[Actual Effort (Hours)]]="","",IF(Table1[[#This Row],[Estimated Effort (Hours)]]&lt;20,"L1",IF(Table1[[#This Row],[Estimated Effort (Hours)]]&lt;50,"L2",IF(Table1[[#This Row],[Estimated Effort (Hours)]]&lt;150,"L3",IF(Table1[[#This Row],[Estimated Effort (Hours)]]&lt;300,"L4","L5")))))</f>
        <v/>
      </c>
      <c r="S492" s="184" t="str">
        <f>IF(Table1[[#This Row],[Actual End Date]]="","",TEXT(Table1[[#This Row],[Actual End Date]],"mmm-yy"))</f>
        <v/>
      </c>
      <c r="T4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2" s="185" t="str">
        <f>IFERROR((Table1[[#This Row],[Actual Effort (Hours)]]-Table1[[#This Row],[Estimated Effort (Hours)]])/Table1[[#This Row],[Estimated Effort (Hours)]],"")</f>
        <v/>
      </c>
      <c r="V492" s="149"/>
    </row>
    <row r="493" spans="2:22">
      <c r="B493" s="125"/>
      <c r="C493" s="123"/>
      <c r="D493" s="143"/>
      <c r="E493" s="123"/>
      <c r="F493" s="143"/>
      <c r="G493" s="129"/>
      <c r="H493" s="124"/>
      <c r="I493" s="124"/>
      <c r="J493" s="129"/>
      <c r="K493" s="194"/>
      <c r="L493" s="194"/>
      <c r="M493" s="129"/>
      <c r="N493" s="129" t="e">
        <f>Table1[[#This Row],[Estimated Effort (Hours)]]/NETWORKDAYS(Table1[[#This Row],[Planned Start Date]],Table1[[#This Row],[Planned End Date]])</f>
        <v>#DIV/0!</v>
      </c>
      <c r="O493" s="178">
        <f>NETWORKDAYS(Table1[[#This Row],[Planned Start Date]],Table1[[#This Row],[Planned End Date]])</f>
        <v>0</v>
      </c>
      <c r="P493" s="178">
        <f>NETWORKDAYS(Table1[[#This Row],[Planned Start Date]],$P$7)</f>
        <v>30643</v>
      </c>
      <c r="Q493" s="129"/>
      <c r="R493" s="183" t="str">
        <f>IF(Table1[[#This Row],[Actual Effort (Hours)]]="","",IF(Table1[[#This Row],[Estimated Effort (Hours)]]&lt;20,"L1",IF(Table1[[#This Row],[Estimated Effort (Hours)]]&lt;50,"L2",IF(Table1[[#This Row],[Estimated Effort (Hours)]]&lt;150,"L3",IF(Table1[[#This Row],[Estimated Effort (Hours)]]&lt;300,"L4","L5")))))</f>
        <v/>
      </c>
      <c r="S493" s="184" t="str">
        <f>IF(Table1[[#This Row],[Actual End Date]]="","",TEXT(Table1[[#This Row],[Actual End Date]],"mmm-yy"))</f>
        <v/>
      </c>
      <c r="T4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3" s="185" t="str">
        <f>IFERROR((Table1[[#This Row],[Actual Effort (Hours)]]-Table1[[#This Row],[Estimated Effort (Hours)]])/Table1[[#This Row],[Estimated Effort (Hours)]],"")</f>
        <v/>
      </c>
      <c r="V493" s="149"/>
    </row>
    <row r="494" spans="2:22">
      <c r="B494" s="125"/>
      <c r="C494" s="123"/>
      <c r="D494" s="143"/>
      <c r="E494" s="123"/>
      <c r="F494" s="143"/>
      <c r="G494" s="129"/>
      <c r="H494" s="124"/>
      <c r="I494" s="124"/>
      <c r="J494" s="129"/>
      <c r="K494" s="194"/>
      <c r="L494" s="194"/>
      <c r="M494" s="129"/>
      <c r="N494" s="129" t="e">
        <f>Table1[[#This Row],[Estimated Effort (Hours)]]/NETWORKDAYS(Table1[[#This Row],[Planned Start Date]],Table1[[#This Row],[Planned End Date]])</f>
        <v>#DIV/0!</v>
      </c>
      <c r="O494" s="178">
        <f>NETWORKDAYS(Table1[[#This Row],[Planned Start Date]],Table1[[#This Row],[Planned End Date]])</f>
        <v>0</v>
      </c>
      <c r="P494" s="178">
        <f>NETWORKDAYS(Table1[[#This Row],[Planned Start Date]],$P$7)</f>
        <v>30643</v>
      </c>
      <c r="Q494" s="129"/>
      <c r="R494" s="183" t="str">
        <f>IF(Table1[[#This Row],[Actual Effort (Hours)]]="","",IF(Table1[[#This Row],[Estimated Effort (Hours)]]&lt;20,"L1",IF(Table1[[#This Row],[Estimated Effort (Hours)]]&lt;50,"L2",IF(Table1[[#This Row],[Estimated Effort (Hours)]]&lt;150,"L3",IF(Table1[[#This Row],[Estimated Effort (Hours)]]&lt;300,"L4","L5")))))</f>
        <v/>
      </c>
      <c r="S494" s="184" t="str">
        <f>IF(Table1[[#This Row],[Actual End Date]]="","",TEXT(Table1[[#This Row],[Actual End Date]],"mmm-yy"))</f>
        <v/>
      </c>
      <c r="T4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4" s="185" t="str">
        <f>IFERROR((Table1[[#This Row],[Actual Effort (Hours)]]-Table1[[#This Row],[Estimated Effort (Hours)]])/Table1[[#This Row],[Estimated Effort (Hours)]],"")</f>
        <v/>
      </c>
      <c r="V494" s="149"/>
    </row>
    <row r="495" spans="2:22">
      <c r="B495" s="125"/>
      <c r="C495" s="123"/>
      <c r="D495" s="143"/>
      <c r="E495" s="123"/>
      <c r="F495" s="143"/>
      <c r="G495" s="129"/>
      <c r="H495" s="124"/>
      <c r="I495" s="124"/>
      <c r="J495" s="129"/>
      <c r="K495" s="194"/>
      <c r="L495" s="194"/>
      <c r="M495" s="129"/>
      <c r="N495" s="129" t="e">
        <f>Table1[[#This Row],[Estimated Effort (Hours)]]/NETWORKDAYS(Table1[[#This Row],[Planned Start Date]],Table1[[#This Row],[Planned End Date]])</f>
        <v>#DIV/0!</v>
      </c>
      <c r="O495" s="178">
        <f>NETWORKDAYS(Table1[[#This Row],[Planned Start Date]],Table1[[#This Row],[Planned End Date]])</f>
        <v>0</v>
      </c>
      <c r="P495" s="178">
        <f>NETWORKDAYS(Table1[[#This Row],[Planned Start Date]],$P$7)</f>
        <v>30643</v>
      </c>
      <c r="Q495" s="129"/>
      <c r="R495" s="183" t="str">
        <f>IF(Table1[[#This Row],[Actual Effort (Hours)]]="","",IF(Table1[[#This Row],[Estimated Effort (Hours)]]&lt;20,"L1",IF(Table1[[#This Row],[Estimated Effort (Hours)]]&lt;50,"L2",IF(Table1[[#This Row],[Estimated Effort (Hours)]]&lt;150,"L3",IF(Table1[[#This Row],[Estimated Effort (Hours)]]&lt;300,"L4","L5")))))</f>
        <v/>
      </c>
      <c r="S495" s="184" t="str">
        <f>IF(Table1[[#This Row],[Actual End Date]]="","",TEXT(Table1[[#This Row],[Actual End Date]],"mmm-yy"))</f>
        <v/>
      </c>
      <c r="T4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5" s="185" t="str">
        <f>IFERROR((Table1[[#This Row],[Actual Effort (Hours)]]-Table1[[#This Row],[Estimated Effort (Hours)]])/Table1[[#This Row],[Estimated Effort (Hours)]],"")</f>
        <v/>
      </c>
      <c r="V495" s="149"/>
    </row>
    <row r="496" spans="2:22">
      <c r="B496" s="125"/>
      <c r="C496" s="123"/>
      <c r="D496" s="143"/>
      <c r="E496" s="123"/>
      <c r="F496" s="143"/>
      <c r="G496" s="129"/>
      <c r="H496" s="124"/>
      <c r="I496" s="124"/>
      <c r="J496" s="129"/>
      <c r="K496" s="194"/>
      <c r="L496" s="194"/>
      <c r="M496" s="129"/>
      <c r="N496" s="129" t="e">
        <f>Table1[[#This Row],[Estimated Effort (Hours)]]/NETWORKDAYS(Table1[[#This Row],[Planned Start Date]],Table1[[#This Row],[Planned End Date]])</f>
        <v>#DIV/0!</v>
      </c>
      <c r="O496" s="178">
        <f>NETWORKDAYS(Table1[[#This Row],[Planned Start Date]],Table1[[#This Row],[Planned End Date]])</f>
        <v>0</v>
      </c>
      <c r="P496" s="178">
        <f>NETWORKDAYS(Table1[[#This Row],[Planned Start Date]],$P$7)</f>
        <v>30643</v>
      </c>
      <c r="Q496" s="129"/>
      <c r="R496" s="183" t="str">
        <f>IF(Table1[[#This Row],[Actual Effort (Hours)]]="","",IF(Table1[[#This Row],[Estimated Effort (Hours)]]&lt;20,"L1",IF(Table1[[#This Row],[Estimated Effort (Hours)]]&lt;50,"L2",IF(Table1[[#This Row],[Estimated Effort (Hours)]]&lt;150,"L3",IF(Table1[[#This Row],[Estimated Effort (Hours)]]&lt;300,"L4","L5")))))</f>
        <v/>
      </c>
      <c r="S496" s="184" t="str">
        <f>IF(Table1[[#This Row],[Actual End Date]]="","",TEXT(Table1[[#This Row],[Actual End Date]],"mmm-yy"))</f>
        <v/>
      </c>
      <c r="T4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6" s="185" t="str">
        <f>IFERROR((Table1[[#This Row],[Actual Effort (Hours)]]-Table1[[#This Row],[Estimated Effort (Hours)]])/Table1[[#This Row],[Estimated Effort (Hours)]],"")</f>
        <v/>
      </c>
      <c r="V496" s="149"/>
    </row>
    <row r="497" spans="2:22">
      <c r="B497" s="125"/>
      <c r="C497" s="123"/>
      <c r="D497" s="143"/>
      <c r="E497" s="123"/>
      <c r="F497" s="143"/>
      <c r="G497" s="129"/>
      <c r="H497" s="124"/>
      <c r="I497" s="124"/>
      <c r="J497" s="129"/>
      <c r="K497" s="194"/>
      <c r="L497" s="194"/>
      <c r="M497" s="129"/>
      <c r="N497" s="129" t="e">
        <f>Table1[[#This Row],[Estimated Effort (Hours)]]/NETWORKDAYS(Table1[[#This Row],[Planned Start Date]],Table1[[#This Row],[Planned End Date]])</f>
        <v>#DIV/0!</v>
      </c>
      <c r="O497" s="178">
        <f>NETWORKDAYS(Table1[[#This Row],[Planned Start Date]],Table1[[#This Row],[Planned End Date]])</f>
        <v>0</v>
      </c>
      <c r="P497" s="178">
        <f>NETWORKDAYS(Table1[[#This Row],[Planned Start Date]],$P$7)</f>
        <v>30643</v>
      </c>
      <c r="Q497" s="129"/>
      <c r="R497" s="183" t="str">
        <f>IF(Table1[[#This Row],[Actual Effort (Hours)]]="","",IF(Table1[[#This Row],[Estimated Effort (Hours)]]&lt;20,"L1",IF(Table1[[#This Row],[Estimated Effort (Hours)]]&lt;50,"L2",IF(Table1[[#This Row],[Estimated Effort (Hours)]]&lt;150,"L3",IF(Table1[[#This Row],[Estimated Effort (Hours)]]&lt;300,"L4","L5")))))</f>
        <v/>
      </c>
      <c r="S497" s="184" t="str">
        <f>IF(Table1[[#This Row],[Actual End Date]]="","",TEXT(Table1[[#This Row],[Actual End Date]],"mmm-yy"))</f>
        <v/>
      </c>
      <c r="T4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7" s="185" t="str">
        <f>IFERROR((Table1[[#This Row],[Actual Effort (Hours)]]-Table1[[#This Row],[Estimated Effort (Hours)]])/Table1[[#This Row],[Estimated Effort (Hours)]],"")</f>
        <v/>
      </c>
      <c r="V497" s="149"/>
    </row>
    <row r="498" spans="2:22">
      <c r="B498" s="125"/>
      <c r="C498" s="123"/>
      <c r="D498" s="143"/>
      <c r="E498" s="123"/>
      <c r="F498" s="143"/>
      <c r="G498" s="129"/>
      <c r="H498" s="124"/>
      <c r="I498" s="124"/>
      <c r="J498" s="129"/>
      <c r="K498" s="194"/>
      <c r="L498" s="194"/>
      <c r="M498" s="129"/>
      <c r="N498" s="129" t="e">
        <f>Table1[[#This Row],[Estimated Effort (Hours)]]/NETWORKDAYS(Table1[[#This Row],[Planned Start Date]],Table1[[#This Row],[Planned End Date]])</f>
        <v>#DIV/0!</v>
      </c>
      <c r="O498" s="178">
        <f>NETWORKDAYS(Table1[[#This Row],[Planned Start Date]],Table1[[#This Row],[Planned End Date]])</f>
        <v>0</v>
      </c>
      <c r="P498" s="178">
        <f>NETWORKDAYS(Table1[[#This Row],[Planned Start Date]],$P$7)</f>
        <v>30643</v>
      </c>
      <c r="Q498" s="129"/>
      <c r="R498" s="183" t="str">
        <f>IF(Table1[[#This Row],[Actual Effort (Hours)]]="","",IF(Table1[[#This Row],[Estimated Effort (Hours)]]&lt;20,"L1",IF(Table1[[#This Row],[Estimated Effort (Hours)]]&lt;50,"L2",IF(Table1[[#This Row],[Estimated Effort (Hours)]]&lt;150,"L3",IF(Table1[[#This Row],[Estimated Effort (Hours)]]&lt;300,"L4","L5")))))</f>
        <v/>
      </c>
      <c r="S498" s="184" t="str">
        <f>IF(Table1[[#This Row],[Actual End Date]]="","",TEXT(Table1[[#This Row],[Actual End Date]],"mmm-yy"))</f>
        <v/>
      </c>
      <c r="T4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8" s="185" t="str">
        <f>IFERROR((Table1[[#This Row],[Actual Effort (Hours)]]-Table1[[#This Row],[Estimated Effort (Hours)]])/Table1[[#This Row],[Estimated Effort (Hours)]],"")</f>
        <v/>
      </c>
      <c r="V498" s="149"/>
    </row>
    <row r="499" spans="2:22">
      <c r="B499" s="125"/>
      <c r="C499" s="123"/>
      <c r="D499" s="143"/>
      <c r="E499" s="123"/>
      <c r="F499" s="143"/>
      <c r="G499" s="129"/>
      <c r="H499" s="124"/>
      <c r="I499" s="124"/>
      <c r="J499" s="129"/>
      <c r="K499" s="194"/>
      <c r="L499" s="194"/>
      <c r="M499" s="129"/>
      <c r="N499" s="129" t="e">
        <f>Table1[[#This Row],[Estimated Effort (Hours)]]/NETWORKDAYS(Table1[[#This Row],[Planned Start Date]],Table1[[#This Row],[Planned End Date]])</f>
        <v>#DIV/0!</v>
      </c>
      <c r="O499" s="178">
        <f>NETWORKDAYS(Table1[[#This Row],[Planned Start Date]],Table1[[#This Row],[Planned End Date]])</f>
        <v>0</v>
      </c>
      <c r="P499" s="178">
        <f>NETWORKDAYS(Table1[[#This Row],[Planned Start Date]],$P$7)</f>
        <v>30643</v>
      </c>
      <c r="Q499" s="129"/>
      <c r="R499" s="183" t="str">
        <f>IF(Table1[[#This Row],[Actual Effort (Hours)]]="","",IF(Table1[[#This Row],[Estimated Effort (Hours)]]&lt;20,"L1",IF(Table1[[#This Row],[Estimated Effort (Hours)]]&lt;50,"L2",IF(Table1[[#This Row],[Estimated Effort (Hours)]]&lt;150,"L3",IF(Table1[[#This Row],[Estimated Effort (Hours)]]&lt;300,"L4","L5")))))</f>
        <v/>
      </c>
      <c r="S499" s="184" t="str">
        <f>IF(Table1[[#This Row],[Actual End Date]]="","",TEXT(Table1[[#This Row],[Actual End Date]],"mmm-yy"))</f>
        <v/>
      </c>
      <c r="T4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499" s="185" t="str">
        <f>IFERROR((Table1[[#This Row],[Actual Effort (Hours)]]-Table1[[#This Row],[Estimated Effort (Hours)]])/Table1[[#This Row],[Estimated Effort (Hours)]],"")</f>
        <v/>
      </c>
      <c r="V499" s="149"/>
    </row>
    <row r="500" spans="2:22">
      <c r="B500" s="125"/>
      <c r="C500" s="123"/>
      <c r="D500" s="143"/>
      <c r="E500" s="123"/>
      <c r="F500" s="143"/>
      <c r="G500" s="129"/>
      <c r="H500" s="124"/>
      <c r="I500" s="124"/>
      <c r="J500" s="129"/>
      <c r="K500" s="194"/>
      <c r="L500" s="194"/>
      <c r="M500" s="129"/>
      <c r="N500" s="129" t="e">
        <f>Table1[[#This Row],[Estimated Effort (Hours)]]/NETWORKDAYS(Table1[[#This Row],[Planned Start Date]],Table1[[#This Row],[Planned End Date]])</f>
        <v>#DIV/0!</v>
      </c>
      <c r="O500" s="178">
        <f>NETWORKDAYS(Table1[[#This Row],[Planned Start Date]],Table1[[#This Row],[Planned End Date]])</f>
        <v>0</v>
      </c>
      <c r="P500" s="178">
        <f>NETWORKDAYS(Table1[[#This Row],[Planned Start Date]],$P$7)</f>
        <v>30643</v>
      </c>
      <c r="Q500" s="129"/>
      <c r="R500" s="183" t="str">
        <f>IF(Table1[[#This Row],[Actual Effort (Hours)]]="","",IF(Table1[[#This Row],[Estimated Effort (Hours)]]&lt;20,"L1",IF(Table1[[#This Row],[Estimated Effort (Hours)]]&lt;50,"L2",IF(Table1[[#This Row],[Estimated Effort (Hours)]]&lt;150,"L3",IF(Table1[[#This Row],[Estimated Effort (Hours)]]&lt;300,"L4","L5")))))</f>
        <v/>
      </c>
      <c r="S500" s="184" t="str">
        <f>IF(Table1[[#This Row],[Actual End Date]]="","",TEXT(Table1[[#This Row],[Actual End Date]],"mmm-yy"))</f>
        <v/>
      </c>
      <c r="T5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0" s="185" t="str">
        <f>IFERROR((Table1[[#This Row],[Actual Effort (Hours)]]-Table1[[#This Row],[Estimated Effort (Hours)]])/Table1[[#This Row],[Estimated Effort (Hours)]],"")</f>
        <v/>
      </c>
      <c r="V500" s="149"/>
    </row>
    <row r="501" spans="2:22">
      <c r="B501" s="125"/>
      <c r="C501" s="123"/>
      <c r="D501" s="143"/>
      <c r="E501" s="123"/>
      <c r="F501" s="143"/>
      <c r="G501" s="129"/>
      <c r="H501" s="124"/>
      <c r="I501" s="124"/>
      <c r="J501" s="129"/>
      <c r="K501" s="194"/>
      <c r="L501" s="194"/>
      <c r="M501" s="129"/>
      <c r="N501" s="129" t="e">
        <f>Table1[[#This Row],[Estimated Effort (Hours)]]/NETWORKDAYS(Table1[[#This Row],[Planned Start Date]],Table1[[#This Row],[Planned End Date]])</f>
        <v>#DIV/0!</v>
      </c>
      <c r="O501" s="178">
        <f>NETWORKDAYS(Table1[[#This Row],[Planned Start Date]],Table1[[#This Row],[Planned End Date]])</f>
        <v>0</v>
      </c>
      <c r="P501" s="178">
        <f>NETWORKDAYS(Table1[[#This Row],[Planned Start Date]],$P$7)</f>
        <v>30643</v>
      </c>
      <c r="Q501" s="129"/>
      <c r="R501" s="183" t="str">
        <f>IF(Table1[[#This Row],[Actual Effort (Hours)]]="","",IF(Table1[[#This Row],[Estimated Effort (Hours)]]&lt;20,"L1",IF(Table1[[#This Row],[Estimated Effort (Hours)]]&lt;50,"L2",IF(Table1[[#This Row],[Estimated Effort (Hours)]]&lt;150,"L3",IF(Table1[[#This Row],[Estimated Effort (Hours)]]&lt;300,"L4","L5")))))</f>
        <v/>
      </c>
      <c r="S501" s="184" t="str">
        <f>IF(Table1[[#This Row],[Actual End Date]]="","",TEXT(Table1[[#This Row],[Actual End Date]],"mmm-yy"))</f>
        <v/>
      </c>
      <c r="T5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1" s="185" t="str">
        <f>IFERROR((Table1[[#This Row],[Actual Effort (Hours)]]-Table1[[#This Row],[Estimated Effort (Hours)]])/Table1[[#This Row],[Estimated Effort (Hours)]],"")</f>
        <v/>
      </c>
      <c r="V501" s="149"/>
    </row>
    <row r="502" spans="2:22">
      <c r="B502" s="125"/>
      <c r="C502" s="123"/>
      <c r="D502" s="143"/>
      <c r="E502" s="123"/>
      <c r="F502" s="143"/>
      <c r="G502" s="129"/>
      <c r="H502" s="124"/>
      <c r="I502" s="124"/>
      <c r="J502" s="129"/>
      <c r="K502" s="194"/>
      <c r="L502" s="194"/>
      <c r="M502" s="129"/>
      <c r="N502" s="129" t="e">
        <f>Table1[[#This Row],[Estimated Effort (Hours)]]/NETWORKDAYS(Table1[[#This Row],[Planned Start Date]],Table1[[#This Row],[Planned End Date]])</f>
        <v>#DIV/0!</v>
      </c>
      <c r="O502" s="178">
        <f>NETWORKDAYS(Table1[[#This Row],[Planned Start Date]],Table1[[#This Row],[Planned End Date]])</f>
        <v>0</v>
      </c>
      <c r="P502" s="178">
        <f>NETWORKDAYS(Table1[[#This Row],[Planned Start Date]],$P$7)</f>
        <v>30643</v>
      </c>
      <c r="Q502" s="129"/>
      <c r="R502" s="183" t="str">
        <f>IF(Table1[[#This Row],[Actual Effort (Hours)]]="","",IF(Table1[[#This Row],[Estimated Effort (Hours)]]&lt;20,"L1",IF(Table1[[#This Row],[Estimated Effort (Hours)]]&lt;50,"L2",IF(Table1[[#This Row],[Estimated Effort (Hours)]]&lt;150,"L3",IF(Table1[[#This Row],[Estimated Effort (Hours)]]&lt;300,"L4","L5")))))</f>
        <v/>
      </c>
      <c r="S502" s="184" t="str">
        <f>IF(Table1[[#This Row],[Actual End Date]]="","",TEXT(Table1[[#This Row],[Actual End Date]],"mmm-yy"))</f>
        <v/>
      </c>
      <c r="T5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2" s="185" t="str">
        <f>IFERROR((Table1[[#This Row],[Actual Effort (Hours)]]-Table1[[#This Row],[Estimated Effort (Hours)]])/Table1[[#This Row],[Estimated Effort (Hours)]],"")</f>
        <v/>
      </c>
    </row>
    <row r="503" spans="2:22">
      <c r="B503" s="125"/>
      <c r="C503" s="123"/>
      <c r="D503" s="143"/>
      <c r="E503" s="123"/>
      <c r="F503" s="143"/>
      <c r="G503" s="129"/>
      <c r="H503" s="124"/>
      <c r="I503" s="124"/>
      <c r="J503" s="129"/>
      <c r="K503" s="194"/>
      <c r="L503" s="194"/>
      <c r="M503" s="129"/>
      <c r="N503" s="129" t="e">
        <f>Table1[[#This Row],[Estimated Effort (Hours)]]/NETWORKDAYS(Table1[[#This Row],[Planned Start Date]],Table1[[#This Row],[Planned End Date]])</f>
        <v>#DIV/0!</v>
      </c>
      <c r="O503" s="178">
        <f>NETWORKDAYS(Table1[[#This Row],[Planned Start Date]],Table1[[#This Row],[Planned End Date]])</f>
        <v>0</v>
      </c>
      <c r="P503" s="178">
        <f>NETWORKDAYS(Table1[[#This Row],[Planned Start Date]],$P$7)</f>
        <v>30643</v>
      </c>
      <c r="Q503" s="129"/>
      <c r="R503" s="183" t="str">
        <f>IF(Table1[[#This Row],[Actual Effort (Hours)]]="","",IF(Table1[[#This Row],[Estimated Effort (Hours)]]&lt;20,"L1",IF(Table1[[#This Row],[Estimated Effort (Hours)]]&lt;50,"L2",IF(Table1[[#This Row],[Estimated Effort (Hours)]]&lt;150,"L3",IF(Table1[[#This Row],[Estimated Effort (Hours)]]&lt;300,"L4","L5")))))</f>
        <v/>
      </c>
      <c r="S503" s="184" t="str">
        <f>IF(Table1[[#This Row],[Actual End Date]]="","",TEXT(Table1[[#This Row],[Actual End Date]],"mmm-yy"))</f>
        <v/>
      </c>
      <c r="T5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3" s="185" t="str">
        <f>IFERROR((Table1[[#This Row],[Actual Effort (Hours)]]-Table1[[#This Row],[Estimated Effort (Hours)]])/Table1[[#This Row],[Estimated Effort (Hours)]],"")</f>
        <v/>
      </c>
    </row>
    <row r="504" spans="2:22">
      <c r="B504" s="125"/>
      <c r="C504" s="123"/>
      <c r="D504" s="143"/>
      <c r="E504" s="123"/>
      <c r="F504" s="143"/>
      <c r="G504" s="129"/>
      <c r="H504" s="124"/>
      <c r="I504" s="124"/>
      <c r="J504" s="129"/>
      <c r="K504" s="194"/>
      <c r="L504" s="194"/>
      <c r="M504" s="129"/>
      <c r="N504" s="129" t="e">
        <f>Table1[[#This Row],[Estimated Effort (Hours)]]/NETWORKDAYS(Table1[[#This Row],[Planned Start Date]],Table1[[#This Row],[Planned End Date]])</f>
        <v>#DIV/0!</v>
      </c>
      <c r="O504" s="178">
        <f>NETWORKDAYS(Table1[[#This Row],[Planned Start Date]],Table1[[#This Row],[Planned End Date]])</f>
        <v>0</v>
      </c>
      <c r="P504" s="178">
        <f>NETWORKDAYS(Table1[[#This Row],[Planned Start Date]],$P$7)</f>
        <v>30643</v>
      </c>
      <c r="Q504" s="129"/>
      <c r="R504" s="183" t="str">
        <f>IF(Table1[[#This Row],[Actual Effort (Hours)]]="","",IF(Table1[[#This Row],[Estimated Effort (Hours)]]&lt;20,"L1",IF(Table1[[#This Row],[Estimated Effort (Hours)]]&lt;50,"L2",IF(Table1[[#This Row],[Estimated Effort (Hours)]]&lt;150,"L3",IF(Table1[[#This Row],[Estimated Effort (Hours)]]&lt;300,"L4","L5")))))</f>
        <v/>
      </c>
      <c r="S504" s="184" t="str">
        <f>IF(Table1[[#This Row],[Actual End Date]]="","",TEXT(Table1[[#This Row],[Actual End Date]],"mmm-yy"))</f>
        <v/>
      </c>
      <c r="T5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4" s="185" t="str">
        <f>IFERROR((Table1[[#This Row],[Actual Effort (Hours)]]-Table1[[#This Row],[Estimated Effort (Hours)]])/Table1[[#This Row],[Estimated Effort (Hours)]],"")</f>
        <v/>
      </c>
    </row>
    <row r="505" spans="2:22">
      <c r="B505" s="125"/>
      <c r="C505" s="123"/>
      <c r="D505" s="143"/>
      <c r="E505" s="123"/>
      <c r="F505" s="143"/>
      <c r="G505" s="129"/>
      <c r="H505" s="124"/>
      <c r="I505" s="124"/>
      <c r="J505" s="129"/>
      <c r="K505" s="124"/>
      <c r="L505" s="124"/>
      <c r="M505" s="129"/>
      <c r="N505" s="129" t="e">
        <f>Table1[[#This Row],[Estimated Effort (Hours)]]/NETWORKDAYS(Table1[[#This Row],[Planned Start Date]],Table1[[#This Row],[Planned End Date]])</f>
        <v>#DIV/0!</v>
      </c>
      <c r="O505" s="178">
        <f>NETWORKDAYS(Table1[[#This Row],[Planned Start Date]],Table1[[#This Row],[Planned End Date]])</f>
        <v>0</v>
      </c>
      <c r="P505" s="178">
        <f>NETWORKDAYS(Table1[[#This Row],[Planned Start Date]],$P$7)</f>
        <v>30643</v>
      </c>
      <c r="Q505" s="129"/>
      <c r="R505" s="183" t="str">
        <f>IF(Table1[[#This Row],[Actual Effort (Hours)]]="","",IF(Table1[[#This Row],[Estimated Effort (Hours)]]&lt;20,"L1",IF(Table1[[#This Row],[Estimated Effort (Hours)]]&lt;50,"L2",IF(Table1[[#This Row],[Estimated Effort (Hours)]]&lt;150,"L3",IF(Table1[[#This Row],[Estimated Effort (Hours)]]&lt;300,"L4","L5")))))</f>
        <v/>
      </c>
      <c r="S505" s="184" t="str">
        <f>IF(Table1[[#This Row],[Actual End Date]]="","",TEXT(Table1[[#This Row],[Actual End Date]],"mmm-yy"))</f>
        <v/>
      </c>
      <c r="T5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5" s="185" t="str">
        <f>IFERROR((Table1[[#This Row],[Actual Effort (Hours)]]-Table1[[#This Row],[Estimated Effort (Hours)]])/Table1[[#This Row],[Estimated Effort (Hours)]],"")</f>
        <v/>
      </c>
    </row>
    <row r="506" spans="2:22">
      <c r="B506" s="125"/>
      <c r="C506" s="123"/>
      <c r="D506" s="143"/>
      <c r="E506" s="123"/>
      <c r="F506" s="143"/>
      <c r="G506" s="129"/>
      <c r="H506" s="124"/>
      <c r="I506" s="124"/>
      <c r="J506" s="129"/>
      <c r="K506" s="194"/>
      <c r="L506" s="194"/>
      <c r="M506" s="129"/>
      <c r="N506" s="129" t="e">
        <f>Table1[[#This Row],[Estimated Effort (Hours)]]/NETWORKDAYS(Table1[[#This Row],[Planned Start Date]],Table1[[#This Row],[Planned End Date]])</f>
        <v>#DIV/0!</v>
      </c>
      <c r="O506" s="178">
        <f>NETWORKDAYS(Table1[[#This Row],[Planned Start Date]],Table1[[#This Row],[Planned End Date]])</f>
        <v>0</v>
      </c>
      <c r="P506" s="178">
        <f>NETWORKDAYS(Table1[[#This Row],[Planned Start Date]],$P$7)</f>
        <v>30643</v>
      </c>
      <c r="Q506" s="129"/>
      <c r="R506" s="183" t="str">
        <f>IF(Table1[[#This Row],[Actual Effort (Hours)]]="","",IF(Table1[[#This Row],[Estimated Effort (Hours)]]&lt;20,"L1",IF(Table1[[#This Row],[Estimated Effort (Hours)]]&lt;50,"L2",IF(Table1[[#This Row],[Estimated Effort (Hours)]]&lt;150,"L3",IF(Table1[[#This Row],[Estimated Effort (Hours)]]&lt;300,"L4","L5")))))</f>
        <v/>
      </c>
      <c r="S506" s="184" t="str">
        <f>IF(Table1[[#This Row],[Actual End Date]]="","",TEXT(Table1[[#This Row],[Actual End Date]],"mmm-yy"))</f>
        <v/>
      </c>
      <c r="T5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6" s="185" t="str">
        <f>IFERROR((Table1[[#This Row],[Actual Effort (Hours)]]-Table1[[#This Row],[Estimated Effort (Hours)]])/Table1[[#This Row],[Estimated Effort (Hours)]],"")</f>
        <v/>
      </c>
    </row>
    <row r="507" spans="2:22">
      <c r="B507" s="125"/>
      <c r="C507" s="123"/>
      <c r="D507" s="143"/>
      <c r="E507" s="123"/>
      <c r="F507" s="143"/>
      <c r="G507" s="129"/>
      <c r="H507" s="124"/>
      <c r="I507" s="124"/>
      <c r="J507" s="129"/>
      <c r="K507" s="194"/>
      <c r="L507" s="194"/>
      <c r="M507" s="129"/>
      <c r="N507" s="129" t="e">
        <f>Table1[[#This Row],[Estimated Effort (Hours)]]/NETWORKDAYS(Table1[[#This Row],[Planned Start Date]],Table1[[#This Row],[Planned End Date]])</f>
        <v>#DIV/0!</v>
      </c>
      <c r="O507" s="178">
        <f>NETWORKDAYS(Table1[[#This Row],[Planned Start Date]],Table1[[#This Row],[Planned End Date]])</f>
        <v>0</v>
      </c>
      <c r="P507" s="178">
        <f>NETWORKDAYS(Table1[[#This Row],[Planned Start Date]],$P$7)</f>
        <v>30643</v>
      </c>
      <c r="Q507" s="129"/>
      <c r="R507" s="183" t="str">
        <f>IF(Table1[[#This Row],[Actual Effort (Hours)]]="","",IF(Table1[[#This Row],[Estimated Effort (Hours)]]&lt;20,"L1",IF(Table1[[#This Row],[Estimated Effort (Hours)]]&lt;50,"L2",IF(Table1[[#This Row],[Estimated Effort (Hours)]]&lt;150,"L3",IF(Table1[[#This Row],[Estimated Effort (Hours)]]&lt;300,"L4","L5")))))</f>
        <v/>
      </c>
      <c r="S507" s="184" t="str">
        <f>IF(Table1[[#This Row],[Actual End Date]]="","",TEXT(Table1[[#This Row],[Actual End Date]],"mmm-yy"))</f>
        <v/>
      </c>
      <c r="T5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7" s="185" t="str">
        <f>IFERROR((Table1[[#This Row],[Actual Effort (Hours)]]-Table1[[#This Row],[Estimated Effort (Hours)]])/Table1[[#This Row],[Estimated Effort (Hours)]],"")</f>
        <v/>
      </c>
    </row>
    <row r="508" spans="2:22">
      <c r="B508" s="125"/>
      <c r="C508" s="123"/>
      <c r="D508" s="143"/>
      <c r="E508" s="123"/>
      <c r="F508" s="143"/>
      <c r="G508" s="129"/>
      <c r="H508" s="124"/>
      <c r="I508" s="124"/>
      <c r="J508" s="129"/>
      <c r="K508" s="194"/>
      <c r="L508" s="194"/>
      <c r="M508" s="129"/>
      <c r="N508" s="129" t="e">
        <f>Table1[[#This Row],[Estimated Effort (Hours)]]/NETWORKDAYS(Table1[[#This Row],[Planned Start Date]],Table1[[#This Row],[Planned End Date]])</f>
        <v>#DIV/0!</v>
      </c>
      <c r="O508" s="178">
        <f>NETWORKDAYS(Table1[[#This Row],[Planned Start Date]],Table1[[#This Row],[Planned End Date]])</f>
        <v>0</v>
      </c>
      <c r="P508" s="178">
        <f>NETWORKDAYS(Table1[[#This Row],[Planned Start Date]],$P$7)</f>
        <v>30643</v>
      </c>
      <c r="Q508" s="129"/>
      <c r="R508" s="183" t="str">
        <f>IF(Table1[[#This Row],[Actual Effort (Hours)]]="","",IF(Table1[[#This Row],[Estimated Effort (Hours)]]&lt;20,"L1",IF(Table1[[#This Row],[Estimated Effort (Hours)]]&lt;50,"L2",IF(Table1[[#This Row],[Estimated Effort (Hours)]]&lt;150,"L3",IF(Table1[[#This Row],[Estimated Effort (Hours)]]&lt;300,"L4","L5")))))</f>
        <v/>
      </c>
      <c r="S508" s="184" t="str">
        <f>IF(Table1[[#This Row],[Actual End Date]]="","",TEXT(Table1[[#This Row],[Actual End Date]],"mmm-yy"))</f>
        <v/>
      </c>
      <c r="T5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8" s="185" t="str">
        <f>IFERROR((Table1[[#This Row],[Actual Effort (Hours)]]-Table1[[#This Row],[Estimated Effort (Hours)]])/Table1[[#This Row],[Estimated Effort (Hours)]],"")</f>
        <v/>
      </c>
    </row>
    <row r="509" spans="2:22">
      <c r="B509" s="125"/>
      <c r="C509" s="123"/>
      <c r="D509" s="143"/>
      <c r="E509" s="123"/>
      <c r="F509" s="143"/>
      <c r="G509" s="129"/>
      <c r="H509" s="124"/>
      <c r="I509" s="124"/>
      <c r="J509" s="129"/>
      <c r="K509" s="194"/>
      <c r="L509" s="194"/>
      <c r="M509" s="129"/>
      <c r="N509" s="129" t="e">
        <f>Table1[[#This Row],[Estimated Effort (Hours)]]/NETWORKDAYS(Table1[[#This Row],[Planned Start Date]],Table1[[#This Row],[Planned End Date]])</f>
        <v>#DIV/0!</v>
      </c>
      <c r="O509" s="178">
        <f>NETWORKDAYS(Table1[[#This Row],[Planned Start Date]],Table1[[#This Row],[Planned End Date]])</f>
        <v>0</v>
      </c>
      <c r="P509" s="178">
        <f>NETWORKDAYS(Table1[[#This Row],[Planned Start Date]],$P$7)</f>
        <v>30643</v>
      </c>
      <c r="Q509" s="129"/>
      <c r="R509" s="183" t="str">
        <f>IF(Table1[[#This Row],[Actual Effort (Hours)]]="","",IF(Table1[[#This Row],[Estimated Effort (Hours)]]&lt;20,"L1",IF(Table1[[#This Row],[Estimated Effort (Hours)]]&lt;50,"L2",IF(Table1[[#This Row],[Estimated Effort (Hours)]]&lt;150,"L3",IF(Table1[[#This Row],[Estimated Effort (Hours)]]&lt;300,"L4","L5")))))</f>
        <v/>
      </c>
      <c r="S509" s="184" t="str">
        <f>IF(Table1[[#This Row],[Actual End Date]]="","",TEXT(Table1[[#This Row],[Actual End Date]],"mmm-yy"))</f>
        <v/>
      </c>
      <c r="T5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09" s="185" t="str">
        <f>IFERROR((Table1[[#This Row],[Actual Effort (Hours)]]-Table1[[#This Row],[Estimated Effort (Hours)]])/Table1[[#This Row],[Estimated Effort (Hours)]],"")</f>
        <v/>
      </c>
    </row>
    <row r="510" spans="2:22">
      <c r="B510" s="125"/>
      <c r="C510" s="123"/>
      <c r="D510" s="143"/>
      <c r="E510" s="123"/>
      <c r="F510" s="143"/>
      <c r="G510" s="129"/>
      <c r="H510" s="124"/>
      <c r="I510" s="124"/>
      <c r="J510" s="129"/>
      <c r="K510" s="194"/>
      <c r="L510" s="194"/>
      <c r="M510" s="129"/>
      <c r="N510" s="129" t="e">
        <f>Table1[[#This Row],[Estimated Effort (Hours)]]/NETWORKDAYS(Table1[[#This Row],[Planned Start Date]],Table1[[#This Row],[Planned End Date]])</f>
        <v>#DIV/0!</v>
      </c>
      <c r="O510" s="178">
        <f>NETWORKDAYS(Table1[[#This Row],[Planned Start Date]],Table1[[#This Row],[Planned End Date]])</f>
        <v>0</v>
      </c>
      <c r="P510" s="178">
        <f>NETWORKDAYS(Table1[[#This Row],[Planned Start Date]],$P$7)</f>
        <v>30643</v>
      </c>
      <c r="Q510" s="129"/>
      <c r="R510" s="183" t="str">
        <f>IF(Table1[[#This Row],[Actual Effort (Hours)]]="","",IF(Table1[[#This Row],[Estimated Effort (Hours)]]&lt;20,"L1",IF(Table1[[#This Row],[Estimated Effort (Hours)]]&lt;50,"L2",IF(Table1[[#This Row],[Estimated Effort (Hours)]]&lt;150,"L3",IF(Table1[[#This Row],[Estimated Effort (Hours)]]&lt;300,"L4","L5")))))</f>
        <v/>
      </c>
      <c r="S510" s="184" t="str">
        <f>IF(Table1[[#This Row],[Actual End Date]]="","",TEXT(Table1[[#This Row],[Actual End Date]],"mmm-yy"))</f>
        <v/>
      </c>
      <c r="T5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0" s="185" t="str">
        <f>IFERROR((Table1[[#This Row],[Actual Effort (Hours)]]-Table1[[#This Row],[Estimated Effort (Hours)]])/Table1[[#This Row],[Estimated Effort (Hours)]],"")</f>
        <v/>
      </c>
    </row>
    <row r="511" spans="2:22">
      <c r="B511" s="125"/>
      <c r="C511" s="123"/>
      <c r="D511" s="143"/>
      <c r="E511" s="123"/>
      <c r="F511" s="143"/>
      <c r="G511" s="129"/>
      <c r="H511" s="124"/>
      <c r="I511" s="124"/>
      <c r="J511" s="129"/>
      <c r="K511" s="124"/>
      <c r="L511" s="124"/>
      <c r="M511" s="129"/>
      <c r="N511" s="129" t="e">
        <f>Table1[[#This Row],[Estimated Effort (Hours)]]/NETWORKDAYS(Table1[[#This Row],[Planned Start Date]],Table1[[#This Row],[Planned End Date]])</f>
        <v>#DIV/0!</v>
      </c>
      <c r="O511" s="178">
        <f>NETWORKDAYS(Table1[[#This Row],[Planned Start Date]],Table1[[#This Row],[Planned End Date]])</f>
        <v>0</v>
      </c>
      <c r="P511" s="178">
        <f>NETWORKDAYS(Table1[[#This Row],[Planned Start Date]],$P$7)</f>
        <v>30643</v>
      </c>
      <c r="Q511" s="129"/>
      <c r="R511" s="183" t="str">
        <f>IF(Table1[[#This Row],[Actual Effort (Hours)]]="","",IF(Table1[[#This Row],[Estimated Effort (Hours)]]&lt;20,"L1",IF(Table1[[#This Row],[Estimated Effort (Hours)]]&lt;50,"L2",IF(Table1[[#This Row],[Estimated Effort (Hours)]]&lt;150,"L3",IF(Table1[[#This Row],[Estimated Effort (Hours)]]&lt;300,"L4","L5")))))</f>
        <v/>
      </c>
      <c r="S511" s="184" t="str">
        <f>IF(Table1[[#This Row],[Actual End Date]]="","",TEXT(Table1[[#This Row],[Actual End Date]],"mmm-yy"))</f>
        <v/>
      </c>
      <c r="T5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1" s="185" t="str">
        <f>IFERROR((Table1[[#This Row],[Actual Effort (Hours)]]-Table1[[#This Row],[Estimated Effort (Hours)]])/Table1[[#This Row],[Estimated Effort (Hours)]],"")</f>
        <v/>
      </c>
    </row>
    <row r="512" spans="2:22">
      <c r="B512" s="125"/>
      <c r="C512" s="123"/>
      <c r="D512" s="143"/>
      <c r="E512" s="123"/>
      <c r="F512" s="143"/>
      <c r="G512" s="129"/>
      <c r="H512" s="124"/>
      <c r="I512" s="124"/>
      <c r="J512" s="129"/>
      <c r="K512" s="124"/>
      <c r="L512" s="124"/>
      <c r="M512" s="129"/>
      <c r="N512" s="129" t="e">
        <f>Table1[[#This Row],[Estimated Effort (Hours)]]/NETWORKDAYS(Table1[[#This Row],[Planned Start Date]],Table1[[#This Row],[Planned End Date]])</f>
        <v>#DIV/0!</v>
      </c>
      <c r="O512" s="178">
        <f>NETWORKDAYS(Table1[[#This Row],[Planned Start Date]],Table1[[#This Row],[Planned End Date]])</f>
        <v>0</v>
      </c>
      <c r="P512" s="178">
        <f>NETWORKDAYS(Table1[[#This Row],[Planned Start Date]],$P$7)</f>
        <v>30643</v>
      </c>
      <c r="Q512" s="129"/>
      <c r="R512" s="183" t="str">
        <f>IF(Table1[[#This Row],[Actual Effort (Hours)]]="","",IF(Table1[[#This Row],[Estimated Effort (Hours)]]&lt;20,"L1",IF(Table1[[#This Row],[Estimated Effort (Hours)]]&lt;50,"L2",IF(Table1[[#This Row],[Estimated Effort (Hours)]]&lt;150,"L3",IF(Table1[[#This Row],[Estimated Effort (Hours)]]&lt;300,"L4","L5")))))</f>
        <v/>
      </c>
      <c r="S512" s="184" t="str">
        <f>IF(Table1[[#This Row],[Actual End Date]]="","",TEXT(Table1[[#This Row],[Actual End Date]],"mmm-yy"))</f>
        <v/>
      </c>
      <c r="T5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2" s="185" t="str">
        <f>IFERROR((Table1[[#This Row],[Actual Effort (Hours)]]-Table1[[#This Row],[Estimated Effort (Hours)]])/Table1[[#This Row],[Estimated Effort (Hours)]],"")</f>
        <v/>
      </c>
    </row>
    <row r="513" spans="2:21">
      <c r="B513" s="125"/>
      <c r="C513" s="123"/>
      <c r="D513" s="143"/>
      <c r="E513" s="123"/>
      <c r="F513" s="143"/>
      <c r="G513" s="129"/>
      <c r="H513" s="124"/>
      <c r="I513" s="124"/>
      <c r="J513" s="129"/>
      <c r="K513" s="124"/>
      <c r="L513" s="124"/>
      <c r="M513" s="129"/>
      <c r="N513" s="129" t="e">
        <f>Table1[[#This Row],[Estimated Effort (Hours)]]/NETWORKDAYS(Table1[[#This Row],[Planned Start Date]],Table1[[#This Row],[Planned End Date]])</f>
        <v>#DIV/0!</v>
      </c>
      <c r="O513" s="178">
        <f>NETWORKDAYS(Table1[[#This Row],[Planned Start Date]],Table1[[#This Row],[Planned End Date]])</f>
        <v>0</v>
      </c>
      <c r="P513" s="178">
        <f>NETWORKDAYS(Table1[[#This Row],[Planned Start Date]],$P$7)</f>
        <v>30643</v>
      </c>
      <c r="Q513" s="129"/>
      <c r="R513" s="183" t="str">
        <f>IF(Table1[[#This Row],[Actual Effort (Hours)]]="","",IF(Table1[[#This Row],[Estimated Effort (Hours)]]&lt;20,"L1",IF(Table1[[#This Row],[Estimated Effort (Hours)]]&lt;50,"L2",IF(Table1[[#This Row],[Estimated Effort (Hours)]]&lt;150,"L3",IF(Table1[[#This Row],[Estimated Effort (Hours)]]&lt;300,"L4","L5")))))</f>
        <v/>
      </c>
      <c r="S513" s="184" t="str">
        <f>IF(Table1[[#This Row],[Actual End Date]]="","",TEXT(Table1[[#This Row],[Actual End Date]],"mmm-yy"))</f>
        <v/>
      </c>
      <c r="T5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3" s="185" t="str">
        <f>IFERROR((Table1[[#This Row],[Actual Effort (Hours)]]-Table1[[#This Row],[Estimated Effort (Hours)]])/Table1[[#This Row],[Estimated Effort (Hours)]],"")</f>
        <v/>
      </c>
    </row>
    <row r="514" spans="2:21">
      <c r="B514" s="125"/>
      <c r="C514" s="123"/>
      <c r="D514" s="143"/>
      <c r="E514" s="123"/>
      <c r="F514" s="143"/>
      <c r="G514" s="129"/>
      <c r="H514" s="124"/>
      <c r="I514" s="124"/>
      <c r="J514" s="129"/>
      <c r="K514" s="124"/>
      <c r="L514" s="124"/>
      <c r="M514" s="129"/>
      <c r="N514" s="129" t="e">
        <f>Table1[[#This Row],[Estimated Effort (Hours)]]/NETWORKDAYS(Table1[[#This Row],[Planned Start Date]],Table1[[#This Row],[Planned End Date]])</f>
        <v>#DIV/0!</v>
      </c>
      <c r="O514" s="178">
        <f>NETWORKDAYS(Table1[[#This Row],[Planned Start Date]],Table1[[#This Row],[Planned End Date]])</f>
        <v>0</v>
      </c>
      <c r="P514" s="178">
        <f>NETWORKDAYS(Table1[[#This Row],[Planned Start Date]],$P$7)</f>
        <v>30643</v>
      </c>
      <c r="Q514" s="129"/>
      <c r="R514" s="183" t="str">
        <f>IF(Table1[[#This Row],[Actual Effort (Hours)]]="","",IF(Table1[[#This Row],[Estimated Effort (Hours)]]&lt;20,"L1",IF(Table1[[#This Row],[Estimated Effort (Hours)]]&lt;50,"L2",IF(Table1[[#This Row],[Estimated Effort (Hours)]]&lt;150,"L3",IF(Table1[[#This Row],[Estimated Effort (Hours)]]&lt;300,"L4","L5")))))</f>
        <v/>
      </c>
      <c r="S514" s="184" t="str">
        <f>IF(Table1[[#This Row],[Actual End Date]]="","",TEXT(Table1[[#This Row],[Actual End Date]],"mmm-yy"))</f>
        <v/>
      </c>
      <c r="T5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4" s="185" t="str">
        <f>IFERROR((Table1[[#This Row],[Actual Effort (Hours)]]-Table1[[#This Row],[Estimated Effort (Hours)]])/Table1[[#This Row],[Estimated Effort (Hours)]],"")</f>
        <v/>
      </c>
    </row>
    <row r="515" spans="2:21">
      <c r="B515" s="125"/>
      <c r="C515" s="123"/>
      <c r="D515" s="143"/>
      <c r="E515" s="123"/>
      <c r="F515" s="143"/>
      <c r="G515" s="129"/>
      <c r="H515" s="124"/>
      <c r="I515" s="124"/>
      <c r="J515" s="129"/>
      <c r="K515" s="124"/>
      <c r="L515" s="124"/>
      <c r="M515" s="129"/>
      <c r="N515" s="129" t="e">
        <f>Table1[[#This Row],[Estimated Effort (Hours)]]/NETWORKDAYS(Table1[[#This Row],[Planned Start Date]],Table1[[#This Row],[Planned End Date]])</f>
        <v>#DIV/0!</v>
      </c>
      <c r="O515" s="178">
        <f>NETWORKDAYS(Table1[[#This Row],[Planned Start Date]],Table1[[#This Row],[Planned End Date]])</f>
        <v>0</v>
      </c>
      <c r="P515" s="178">
        <f>NETWORKDAYS(Table1[[#This Row],[Planned Start Date]],$P$7)</f>
        <v>30643</v>
      </c>
      <c r="Q515" s="129"/>
      <c r="R515" s="183" t="str">
        <f>IF(Table1[[#This Row],[Actual Effort (Hours)]]="","",IF(Table1[[#This Row],[Estimated Effort (Hours)]]&lt;20,"L1",IF(Table1[[#This Row],[Estimated Effort (Hours)]]&lt;50,"L2",IF(Table1[[#This Row],[Estimated Effort (Hours)]]&lt;150,"L3",IF(Table1[[#This Row],[Estimated Effort (Hours)]]&lt;300,"L4","L5")))))</f>
        <v/>
      </c>
      <c r="S515" s="184" t="str">
        <f>IF(Table1[[#This Row],[Actual End Date]]="","",TEXT(Table1[[#This Row],[Actual End Date]],"mmm-yy"))</f>
        <v/>
      </c>
      <c r="T5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5" s="185" t="str">
        <f>IFERROR((Table1[[#This Row],[Actual Effort (Hours)]]-Table1[[#This Row],[Estimated Effort (Hours)]])/Table1[[#This Row],[Estimated Effort (Hours)]],"")</f>
        <v/>
      </c>
    </row>
    <row r="516" spans="2:21">
      <c r="B516" s="125"/>
      <c r="C516" s="123"/>
      <c r="D516" s="143"/>
      <c r="E516" s="123"/>
      <c r="F516" s="143"/>
      <c r="G516" s="129"/>
      <c r="H516" s="124"/>
      <c r="I516" s="124"/>
      <c r="J516" s="129"/>
      <c r="K516" s="124"/>
      <c r="L516" s="194"/>
      <c r="M516" s="129"/>
      <c r="N516" s="129" t="e">
        <f>Table1[[#This Row],[Estimated Effort (Hours)]]/NETWORKDAYS(Table1[[#This Row],[Planned Start Date]],Table1[[#This Row],[Planned End Date]])</f>
        <v>#DIV/0!</v>
      </c>
      <c r="O516" s="178">
        <f>NETWORKDAYS(Table1[[#This Row],[Planned Start Date]],Table1[[#This Row],[Planned End Date]])</f>
        <v>0</v>
      </c>
      <c r="P516" s="178">
        <f>NETWORKDAYS(Table1[[#This Row],[Planned Start Date]],$P$7)</f>
        <v>30643</v>
      </c>
      <c r="Q516" s="129"/>
      <c r="R516" s="183" t="str">
        <f>IF(Table1[[#This Row],[Actual Effort (Hours)]]="","",IF(Table1[[#This Row],[Estimated Effort (Hours)]]&lt;20,"L1",IF(Table1[[#This Row],[Estimated Effort (Hours)]]&lt;50,"L2",IF(Table1[[#This Row],[Estimated Effort (Hours)]]&lt;150,"L3",IF(Table1[[#This Row],[Estimated Effort (Hours)]]&lt;300,"L4","L5")))))</f>
        <v/>
      </c>
      <c r="S516" s="184" t="str">
        <f>IF(Table1[[#This Row],[Actual End Date]]="","",TEXT(Table1[[#This Row],[Actual End Date]],"mmm-yy"))</f>
        <v/>
      </c>
      <c r="T5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6" s="185" t="str">
        <f>IFERROR((Table1[[#This Row],[Actual Effort (Hours)]]-Table1[[#This Row],[Estimated Effort (Hours)]])/Table1[[#This Row],[Estimated Effort (Hours)]],"")</f>
        <v/>
      </c>
    </row>
    <row r="517" spans="2:21">
      <c r="B517" s="125"/>
      <c r="C517" s="123"/>
      <c r="D517" s="143"/>
      <c r="E517" s="123"/>
      <c r="F517" s="143"/>
      <c r="G517" s="129"/>
      <c r="H517" s="124"/>
      <c r="I517" s="124"/>
      <c r="J517" s="129"/>
      <c r="K517" s="194"/>
      <c r="L517" s="194"/>
      <c r="M517" s="129"/>
      <c r="N517" s="129" t="e">
        <f>Table1[[#This Row],[Estimated Effort (Hours)]]/NETWORKDAYS(Table1[[#This Row],[Planned Start Date]],Table1[[#This Row],[Planned End Date]])</f>
        <v>#DIV/0!</v>
      </c>
      <c r="O517" s="178">
        <f>NETWORKDAYS(Table1[[#This Row],[Planned Start Date]],Table1[[#This Row],[Planned End Date]])</f>
        <v>0</v>
      </c>
      <c r="P517" s="178">
        <f>NETWORKDAYS(Table1[[#This Row],[Planned Start Date]],$P$7)</f>
        <v>30643</v>
      </c>
      <c r="Q517" s="129"/>
      <c r="R517" s="183" t="str">
        <f>IF(Table1[[#This Row],[Actual Effort (Hours)]]="","",IF(Table1[[#This Row],[Estimated Effort (Hours)]]&lt;20,"L1",IF(Table1[[#This Row],[Estimated Effort (Hours)]]&lt;50,"L2",IF(Table1[[#This Row],[Estimated Effort (Hours)]]&lt;150,"L3",IF(Table1[[#This Row],[Estimated Effort (Hours)]]&lt;300,"L4","L5")))))</f>
        <v/>
      </c>
      <c r="S517" s="184" t="str">
        <f>IF(Table1[[#This Row],[Actual End Date]]="","",TEXT(Table1[[#This Row],[Actual End Date]],"mmm-yy"))</f>
        <v/>
      </c>
      <c r="T5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7" s="185" t="str">
        <f>IFERROR((Table1[[#This Row],[Actual Effort (Hours)]]-Table1[[#This Row],[Estimated Effort (Hours)]])/Table1[[#This Row],[Estimated Effort (Hours)]],"")</f>
        <v/>
      </c>
    </row>
    <row r="518" spans="2:21">
      <c r="B518" s="125"/>
      <c r="C518" s="123"/>
      <c r="D518" s="143"/>
      <c r="E518" s="123"/>
      <c r="F518" s="143"/>
      <c r="G518" s="129"/>
      <c r="H518" s="124"/>
      <c r="I518" s="124"/>
      <c r="J518" s="129"/>
      <c r="K518" s="124"/>
      <c r="L518" s="124"/>
      <c r="M518" s="129"/>
      <c r="N518" s="129" t="e">
        <f>Table1[[#This Row],[Estimated Effort (Hours)]]/NETWORKDAYS(Table1[[#This Row],[Planned Start Date]],Table1[[#This Row],[Planned End Date]])</f>
        <v>#DIV/0!</v>
      </c>
      <c r="O518" s="178">
        <f>NETWORKDAYS(Table1[[#This Row],[Planned Start Date]],Table1[[#This Row],[Planned End Date]])</f>
        <v>0</v>
      </c>
      <c r="P518" s="178">
        <f>NETWORKDAYS(Table1[[#This Row],[Planned Start Date]],$P$7)</f>
        <v>30643</v>
      </c>
      <c r="Q518" s="129"/>
      <c r="R518" s="183" t="str">
        <f>IF(Table1[[#This Row],[Actual Effort (Hours)]]="","",IF(Table1[[#This Row],[Estimated Effort (Hours)]]&lt;20,"L1",IF(Table1[[#This Row],[Estimated Effort (Hours)]]&lt;50,"L2",IF(Table1[[#This Row],[Estimated Effort (Hours)]]&lt;150,"L3",IF(Table1[[#This Row],[Estimated Effort (Hours)]]&lt;300,"L4","L5")))))</f>
        <v/>
      </c>
      <c r="S518" s="184" t="str">
        <f>IF(Table1[[#This Row],[Actual End Date]]="","",TEXT(Table1[[#This Row],[Actual End Date]],"mmm-yy"))</f>
        <v/>
      </c>
      <c r="T5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8" s="185" t="str">
        <f>IFERROR((Table1[[#This Row],[Actual Effort (Hours)]]-Table1[[#This Row],[Estimated Effort (Hours)]])/Table1[[#This Row],[Estimated Effort (Hours)]],"")</f>
        <v/>
      </c>
    </row>
    <row r="519" spans="2:21">
      <c r="B519" s="125"/>
      <c r="C519" s="123"/>
      <c r="D519" s="143"/>
      <c r="E519" s="123"/>
      <c r="F519" s="143"/>
      <c r="G519" s="129"/>
      <c r="H519" s="124"/>
      <c r="I519" s="124"/>
      <c r="J519" s="129"/>
      <c r="K519" s="194"/>
      <c r="L519" s="194"/>
      <c r="M519" s="129"/>
      <c r="N519" s="129" t="e">
        <f>Table1[[#This Row],[Estimated Effort (Hours)]]/NETWORKDAYS(Table1[[#This Row],[Planned Start Date]],Table1[[#This Row],[Planned End Date]])</f>
        <v>#DIV/0!</v>
      </c>
      <c r="O519" s="178">
        <f>NETWORKDAYS(Table1[[#This Row],[Planned Start Date]],Table1[[#This Row],[Planned End Date]])</f>
        <v>0</v>
      </c>
      <c r="P519" s="178">
        <f>NETWORKDAYS(Table1[[#This Row],[Planned Start Date]],$P$7)</f>
        <v>30643</v>
      </c>
      <c r="Q519" s="129"/>
      <c r="R519" s="183" t="str">
        <f>IF(Table1[[#This Row],[Actual Effort (Hours)]]="","",IF(Table1[[#This Row],[Estimated Effort (Hours)]]&lt;20,"L1",IF(Table1[[#This Row],[Estimated Effort (Hours)]]&lt;50,"L2",IF(Table1[[#This Row],[Estimated Effort (Hours)]]&lt;150,"L3",IF(Table1[[#This Row],[Estimated Effort (Hours)]]&lt;300,"L4","L5")))))</f>
        <v/>
      </c>
      <c r="S519" s="184" t="str">
        <f>IF(Table1[[#This Row],[Actual End Date]]="","",TEXT(Table1[[#This Row],[Actual End Date]],"mmm-yy"))</f>
        <v/>
      </c>
      <c r="T5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19" s="185" t="str">
        <f>IFERROR((Table1[[#This Row],[Actual Effort (Hours)]]-Table1[[#This Row],[Estimated Effort (Hours)]])/Table1[[#This Row],[Estimated Effort (Hours)]],"")</f>
        <v/>
      </c>
    </row>
    <row r="520" spans="2:21">
      <c r="B520" s="125"/>
      <c r="C520" s="123"/>
      <c r="D520" s="143"/>
      <c r="E520" s="123"/>
      <c r="F520" s="143"/>
      <c r="G520" s="129"/>
      <c r="H520" s="124"/>
      <c r="I520" s="124"/>
      <c r="J520" s="129"/>
      <c r="K520" s="194"/>
      <c r="L520" s="194"/>
      <c r="M520" s="129"/>
      <c r="N520" s="129" t="e">
        <f>Table1[[#This Row],[Estimated Effort (Hours)]]/NETWORKDAYS(Table1[[#This Row],[Planned Start Date]],Table1[[#This Row],[Planned End Date]])</f>
        <v>#DIV/0!</v>
      </c>
      <c r="O520" s="178">
        <f>NETWORKDAYS(Table1[[#This Row],[Planned Start Date]],Table1[[#This Row],[Planned End Date]])</f>
        <v>0</v>
      </c>
      <c r="P520" s="178">
        <f>NETWORKDAYS(Table1[[#This Row],[Planned Start Date]],$P$7)</f>
        <v>30643</v>
      </c>
      <c r="Q520" s="129"/>
      <c r="R520" s="183" t="str">
        <f>IF(Table1[[#This Row],[Actual Effort (Hours)]]="","",IF(Table1[[#This Row],[Estimated Effort (Hours)]]&lt;20,"L1",IF(Table1[[#This Row],[Estimated Effort (Hours)]]&lt;50,"L2",IF(Table1[[#This Row],[Estimated Effort (Hours)]]&lt;150,"L3",IF(Table1[[#This Row],[Estimated Effort (Hours)]]&lt;300,"L4","L5")))))</f>
        <v/>
      </c>
      <c r="S520" s="184" t="str">
        <f>IF(Table1[[#This Row],[Actual End Date]]="","",TEXT(Table1[[#This Row],[Actual End Date]],"mmm-yy"))</f>
        <v/>
      </c>
      <c r="T5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0" s="185" t="str">
        <f>IFERROR((Table1[[#This Row],[Actual Effort (Hours)]]-Table1[[#This Row],[Estimated Effort (Hours)]])/Table1[[#This Row],[Estimated Effort (Hours)]],"")</f>
        <v/>
      </c>
    </row>
    <row r="521" spans="2:21">
      <c r="B521" s="125"/>
      <c r="C521" s="123"/>
      <c r="D521" s="143"/>
      <c r="E521" s="123"/>
      <c r="F521" s="143"/>
      <c r="G521" s="129"/>
      <c r="H521" s="124"/>
      <c r="I521" s="124"/>
      <c r="J521" s="129"/>
      <c r="K521" s="194"/>
      <c r="L521" s="194"/>
      <c r="M521" s="129"/>
      <c r="N521" s="129" t="e">
        <f>Table1[[#This Row],[Estimated Effort (Hours)]]/NETWORKDAYS(Table1[[#This Row],[Planned Start Date]],Table1[[#This Row],[Planned End Date]])</f>
        <v>#DIV/0!</v>
      </c>
      <c r="O521" s="178">
        <f>NETWORKDAYS(Table1[[#This Row],[Planned Start Date]],Table1[[#This Row],[Planned End Date]])</f>
        <v>0</v>
      </c>
      <c r="P521" s="178">
        <f>NETWORKDAYS(Table1[[#This Row],[Planned Start Date]],$P$7)</f>
        <v>30643</v>
      </c>
      <c r="Q521" s="129"/>
      <c r="R521" s="183" t="str">
        <f>IF(Table1[[#This Row],[Actual Effort (Hours)]]="","",IF(Table1[[#This Row],[Estimated Effort (Hours)]]&lt;20,"L1",IF(Table1[[#This Row],[Estimated Effort (Hours)]]&lt;50,"L2",IF(Table1[[#This Row],[Estimated Effort (Hours)]]&lt;150,"L3",IF(Table1[[#This Row],[Estimated Effort (Hours)]]&lt;300,"L4","L5")))))</f>
        <v/>
      </c>
      <c r="S521" s="184" t="str">
        <f>IF(Table1[[#This Row],[Actual End Date]]="","",TEXT(Table1[[#This Row],[Actual End Date]],"mmm-yy"))</f>
        <v/>
      </c>
      <c r="T5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1" s="185" t="str">
        <f>IFERROR((Table1[[#This Row],[Actual Effort (Hours)]]-Table1[[#This Row],[Estimated Effort (Hours)]])/Table1[[#This Row],[Estimated Effort (Hours)]],"")</f>
        <v/>
      </c>
    </row>
    <row r="522" spans="2:21">
      <c r="B522" s="125"/>
      <c r="C522" s="123"/>
      <c r="D522" s="143"/>
      <c r="E522" s="123"/>
      <c r="F522" s="143"/>
      <c r="G522" s="129"/>
      <c r="H522" s="124"/>
      <c r="I522" s="124"/>
      <c r="J522" s="129"/>
      <c r="K522" s="194"/>
      <c r="L522" s="194"/>
      <c r="M522" s="129"/>
      <c r="N522" s="129" t="e">
        <f>Table1[[#This Row],[Estimated Effort (Hours)]]/NETWORKDAYS(Table1[[#This Row],[Planned Start Date]],Table1[[#This Row],[Planned End Date]])</f>
        <v>#DIV/0!</v>
      </c>
      <c r="O522" s="178">
        <f>NETWORKDAYS(Table1[[#This Row],[Planned Start Date]],Table1[[#This Row],[Planned End Date]])</f>
        <v>0</v>
      </c>
      <c r="P522" s="178">
        <f>NETWORKDAYS(Table1[[#This Row],[Planned Start Date]],$P$7)</f>
        <v>30643</v>
      </c>
      <c r="Q522" s="129"/>
      <c r="R522" s="183" t="str">
        <f>IF(Table1[[#This Row],[Actual Effort (Hours)]]="","",IF(Table1[[#This Row],[Estimated Effort (Hours)]]&lt;20,"L1",IF(Table1[[#This Row],[Estimated Effort (Hours)]]&lt;50,"L2",IF(Table1[[#This Row],[Estimated Effort (Hours)]]&lt;150,"L3",IF(Table1[[#This Row],[Estimated Effort (Hours)]]&lt;300,"L4","L5")))))</f>
        <v/>
      </c>
      <c r="S522" s="184" t="str">
        <f>IF(Table1[[#This Row],[Actual End Date]]="","",TEXT(Table1[[#This Row],[Actual End Date]],"mmm-yy"))</f>
        <v/>
      </c>
      <c r="T5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2" s="185" t="str">
        <f>IFERROR((Table1[[#This Row],[Actual Effort (Hours)]]-Table1[[#This Row],[Estimated Effort (Hours)]])/Table1[[#This Row],[Estimated Effort (Hours)]],"")</f>
        <v/>
      </c>
    </row>
    <row r="523" spans="2:21">
      <c r="B523" s="125"/>
      <c r="C523" s="123"/>
      <c r="D523" s="143"/>
      <c r="E523" s="123"/>
      <c r="F523" s="143"/>
      <c r="G523" s="129"/>
      <c r="H523" s="124"/>
      <c r="I523" s="124"/>
      <c r="J523" s="129"/>
      <c r="K523" s="194"/>
      <c r="L523" s="194"/>
      <c r="M523" s="129"/>
      <c r="N523" s="129" t="e">
        <f>Table1[[#This Row],[Estimated Effort (Hours)]]/NETWORKDAYS(Table1[[#This Row],[Planned Start Date]],Table1[[#This Row],[Planned End Date]])</f>
        <v>#DIV/0!</v>
      </c>
      <c r="O523" s="178">
        <f>NETWORKDAYS(Table1[[#This Row],[Planned Start Date]],Table1[[#This Row],[Planned End Date]])</f>
        <v>0</v>
      </c>
      <c r="P523" s="178">
        <f>NETWORKDAYS(Table1[[#This Row],[Planned Start Date]],$P$7)</f>
        <v>30643</v>
      </c>
      <c r="Q523" s="129"/>
      <c r="R523" s="183" t="str">
        <f>IF(Table1[[#This Row],[Actual Effort (Hours)]]="","",IF(Table1[[#This Row],[Estimated Effort (Hours)]]&lt;20,"L1",IF(Table1[[#This Row],[Estimated Effort (Hours)]]&lt;50,"L2",IF(Table1[[#This Row],[Estimated Effort (Hours)]]&lt;150,"L3",IF(Table1[[#This Row],[Estimated Effort (Hours)]]&lt;300,"L4","L5")))))</f>
        <v/>
      </c>
      <c r="S523" s="184" t="str">
        <f>IF(Table1[[#This Row],[Actual End Date]]="","",TEXT(Table1[[#This Row],[Actual End Date]],"mmm-yy"))</f>
        <v/>
      </c>
      <c r="T5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3" s="185" t="str">
        <f>IFERROR((Table1[[#This Row],[Actual Effort (Hours)]]-Table1[[#This Row],[Estimated Effort (Hours)]])/Table1[[#This Row],[Estimated Effort (Hours)]],"")</f>
        <v/>
      </c>
    </row>
    <row r="524" spans="2:21">
      <c r="B524" s="125"/>
      <c r="C524" s="123"/>
      <c r="D524" s="143"/>
      <c r="E524" s="123"/>
      <c r="F524" s="143"/>
      <c r="G524" s="129"/>
      <c r="H524" s="124"/>
      <c r="I524" s="124"/>
      <c r="J524" s="129"/>
      <c r="K524" s="194"/>
      <c r="L524" s="194"/>
      <c r="M524" s="129"/>
      <c r="N524" s="129" t="e">
        <f>Table1[[#This Row],[Estimated Effort (Hours)]]/NETWORKDAYS(Table1[[#This Row],[Planned Start Date]],Table1[[#This Row],[Planned End Date]])</f>
        <v>#DIV/0!</v>
      </c>
      <c r="O524" s="178">
        <f>NETWORKDAYS(Table1[[#This Row],[Planned Start Date]],Table1[[#This Row],[Planned End Date]])</f>
        <v>0</v>
      </c>
      <c r="P524" s="178">
        <f>NETWORKDAYS(Table1[[#This Row],[Planned Start Date]],$P$7)</f>
        <v>30643</v>
      </c>
      <c r="Q524" s="129"/>
      <c r="R524" s="183" t="str">
        <f>IF(Table1[[#This Row],[Actual Effort (Hours)]]="","",IF(Table1[[#This Row],[Estimated Effort (Hours)]]&lt;20,"L1",IF(Table1[[#This Row],[Estimated Effort (Hours)]]&lt;50,"L2",IF(Table1[[#This Row],[Estimated Effort (Hours)]]&lt;150,"L3",IF(Table1[[#This Row],[Estimated Effort (Hours)]]&lt;300,"L4","L5")))))</f>
        <v/>
      </c>
      <c r="S524" s="184" t="str">
        <f>IF(Table1[[#This Row],[Actual End Date]]="","",TEXT(Table1[[#This Row],[Actual End Date]],"mmm-yy"))</f>
        <v/>
      </c>
      <c r="T5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4" s="185" t="str">
        <f>IFERROR((Table1[[#This Row],[Actual Effort (Hours)]]-Table1[[#This Row],[Estimated Effort (Hours)]])/Table1[[#This Row],[Estimated Effort (Hours)]],"")</f>
        <v/>
      </c>
    </row>
    <row r="525" spans="2:21">
      <c r="B525" s="125"/>
      <c r="C525" s="123"/>
      <c r="D525" s="143"/>
      <c r="E525" s="123"/>
      <c r="F525" s="143"/>
      <c r="G525" s="129"/>
      <c r="H525" s="124"/>
      <c r="I525" s="124"/>
      <c r="J525" s="129"/>
      <c r="K525" s="194"/>
      <c r="L525" s="194"/>
      <c r="M525" s="129"/>
      <c r="N525" s="129" t="e">
        <f>Table1[[#This Row],[Estimated Effort (Hours)]]/NETWORKDAYS(Table1[[#This Row],[Planned Start Date]],Table1[[#This Row],[Planned End Date]])</f>
        <v>#DIV/0!</v>
      </c>
      <c r="O525" s="178">
        <f>NETWORKDAYS(Table1[[#This Row],[Planned Start Date]],Table1[[#This Row],[Planned End Date]])</f>
        <v>0</v>
      </c>
      <c r="P525" s="178">
        <f>NETWORKDAYS(Table1[[#This Row],[Planned Start Date]],$P$7)</f>
        <v>30643</v>
      </c>
      <c r="Q525" s="129"/>
      <c r="R525" s="183" t="str">
        <f>IF(Table1[[#This Row],[Actual Effort (Hours)]]="","",IF(Table1[[#This Row],[Estimated Effort (Hours)]]&lt;20,"L1",IF(Table1[[#This Row],[Estimated Effort (Hours)]]&lt;50,"L2",IF(Table1[[#This Row],[Estimated Effort (Hours)]]&lt;150,"L3",IF(Table1[[#This Row],[Estimated Effort (Hours)]]&lt;300,"L4","L5")))))</f>
        <v/>
      </c>
      <c r="S525" s="184" t="str">
        <f>IF(Table1[[#This Row],[Actual End Date]]="","",TEXT(Table1[[#This Row],[Actual End Date]],"mmm-yy"))</f>
        <v/>
      </c>
      <c r="T5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5" s="185" t="str">
        <f>IFERROR((Table1[[#This Row],[Actual Effort (Hours)]]-Table1[[#This Row],[Estimated Effort (Hours)]])/Table1[[#This Row],[Estimated Effort (Hours)]],"")</f>
        <v/>
      </c>
    </row>
    <row r="526" spans="2:21">
      <c r="B526" s="125"/>
      <c r="C526" s="123"/>
      <c r="D526" s="143"/>
      <c r="E526" s="123"/>
      <c r="F526" s="143"/>
      <c r="G526" s="129"/>
      <c r="H526" s="124"/>
      <c r="I526" s="124"/>
      <c r="J526" s="129"/>
      <c r="K526" s="194"/>
      <c r="L526" s="194"/>
      <c r="M526" s="129"/>
      <c r="N526" s="129" t="e">
        <f>Table1[[#This Row],[Estimated Effort (Hours)]]/NETWORKDAYS(Table1[[#This Row],[Planned Start Date]],Table1[[#This Row],[Planned End Date]])</f>
        <v>#DIV/0!</v>
      </c>
      <c r="O526" s="178">
        <f>NETWORKDAYS(Table1[[#This Row],[Planned Start Date]],Table1[[#This Row],[Planned End Date]])</f>
        <v>0</v>
      </c>
      <c r="P526" s="178">
        <f>NETWORKDAYS(Table1[[#This Row],[Planned Start Date]],$P$7)</f>
        <v>30643</v>
      </c>
      <c r="Q526" s="129"/>
      <c r="R526" s="183" t="str">
        <f>IF(Table1[[#This Row],[Actual Effort (Hours)]]="","",IF(Table1[[#This Row],[Estimated Effort (Hours)]]&lt;20,"L1",IF(Table1[[#This Row],[Estimated Effort (Hours)]]&lt;50,"L2",IF(Table1[[#This Row],[Estimated Effort (Hours)]]&lt;150,"L3",IF(Table1[[#This Row],[Estimated Effort (Hours)]]&lt;300,"L4","L5")))))</f>
        <v/>
      </c>
      <c r="S526" s="184" t="str">
        <f>IF(Table1[[#This Row],[Actual End Date]]="","",TEXT(Table1[[#This Row],[Actual End Date]],"mmm-yy"))</f>
        <v/>
      </c>
      <c r="T5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6" s="185" t="str">
        <f>IFERROR((Table1[[#This Row],[Actual Effort (Hours)]]-Table1[[#This Row],[Estimated Effort (Hours)]])/Table1[[#This Row],[Estimated Effort (Hours)]],"")</f>
        <v/>
      </c>
    </row>
    <row r="527" spans="2:21">
      <c r="B527" s="125"/>
      <c r="C527" s="123"/>
      <c r="D527" s="143"/>
      <c r="E527" s="123"/>
      <c r="F527" s="143"/>
      <c r="G527" s="129"/>
      <c r="H527" s="124"/>
      <c r="I527" s="124"/>
      <c r="J527" s="129"/>
      <c r="K527" s="194"/>
      <c r="L527" s="194"/>
      <c r="M527" s="129"/>
      <c r="N527" s="129" t="e">
        <f>Table1[[#This Row],[Estimated Effort (Hours)]]/NETWORKDAYS(Table1[[#This Row],[Planned Start Date]],Table1[[#This Row],[Planned End Date]])</f>
        <v>#DIV/0!</v>
      </c>
      <c r="O527" s="178">
        <f>NETWORKDAYS(Table1[[#This Row],[Planned Start Date]],Table1[[#This Row],[Planned End Date]])</f>
        <v>0</v>
      </c>
      <c r="P527" s="178">
        <f>NETWORKDAYS(Table1[[#This Row],[Planned Start Date]],$P$7)</f>
        <v>30643</v>
      </c>
      <c r="Q527" s="129"/>
      <c r="R527" s="183" t="str">
        <f>IF(Table1[[#This Row],[Actual Effort (Hours)]]="","",IF(Table1[[#This Row],[Estimated Effort (Hours)]]&lt;20,"L1",IF(Table1[[#This Row],[Estimated Effort (Hours)]]&lt;50,"L2",IF(Table1[[#This Row],[Estimated Effort (Hours)]]&lt;150,"L3",IF(Table1[[#This Row],[Estimated Effort (Hours)]]&lt;300,"L4","L5")))))</f>
        <v/>
      </c>
      <c r="S527" s="184" t="str">
        <f>IF(Table1[[#This Row],[Actual End Date]]="","",TEXT(Table1[[#This Row],[Actual End Date]],"mmm-yy"))</f>
        <v/>
      </c>
      <c r="T5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7" s="185" t="str">
        <f>IFERROR((Table1[[#This Row],[Actual Effort (Hours)]]-Table1[[#This Row],[Estimated Effort (Hours)]])/Table1[[#This Row],[Estimated Effort (Hours)]],"")</f>
        <v/>
      </c>
    </row>
    <row r="528" spans="2:21">
      <c r="B528" s="125"/>
      <c r="C528" s="123"/>
      <c r="D528" s="143"/>
      <c r="E528" s="123"/>
      <c r="F528" s="143"/>
      <c r="G528" s="129"/>
      <c r="H528" s="124"/>
      <c r="I528" s="124"/>
      <c r="J528" s="129"/>
      <c r="K528" s="194"/>
      <c r="L528" s="194"/>
      <c r="M528" s="129"/>
      <c r="N528" s="129" t="e">
        <f>Table1[[#This Row],[Estimated Effort (Hours)]]/NETWORKDAYS(Table1[[#This Row],[Planned Start Date]],Table1[[#This Row],[Planned End Date]])</f>
        <v>#DIV/0!</v>
      </c>
      <c r="O528" s="178">
        <f>NETWORKDAYS(Table1[[#This Row],[Planned Start Date]],Table1[[#This Row],[Planned End Date]])</f>
        <v>0</v>
      </c>
      <c r="P528" s="178">
        <f>NETWORKDAYS(Table1[[#This Row],[Planned Start Date]],$P$7)</f>
        <v>30643</v>
      </c>
      <c r="Q528" s="129"/>
      <c r="R528" s="183" t="str">
        <f>IF(Table1[[#This Row],[Actual Effort (Hours)]]="","",IF(Table1[[#This Row],[Estimated Effort (Hours)]]&lt;20,"L1",IF(Table1[[#This Row],[Estimated Effort (Hours)]]&lt;50,"L2",IF(Table1[[#This Row],[Estimated Effort (Hours)]]&lt;150,"L3",IF(Table1[[#This Row],[Estimated Effort (Hours)]]&lt;300,"L4","L5")))))</f>
        <v/>
      </c>
      <c r="S528" s="184" t="str">
        <f>IF(Table1[[#This Row],[Actual End Date]]="","",TEXT(Table1[[#This Row],[Actual End Date]],"mmm-yy"))</f>
        <v/>
      </c>
      <c r="T5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8" s="185" t="str">
        <f>IFERROR((Table1[[#This Row],[Actual Effort (Hours)]]-Table1[[#This Row],[Estimated Effort (Hours)]])/Table1[[#This Row],[Estimated Effort (Hours)]],"")</f>
        <v/>
      </c>
    </row>
    <row r="529" spans="2:21">
      <c r="B529" s="125"/>
      <c r="C529" s="123"/>
      <c r="D529" s="143"/>
      <c r="E529" s="123"/>
      <c r="F529" s="143"/>
      <c r="G529" s="129"/>
      <c r="H529" s="124"/>
      <c r="I529" s="124"/>
      <c r="J529" s="129"/>
      <c r="K529" s="194"/>
      <c r="L529" s="194"/>
      <c r="M529" s="129"/>
      <c r="N529" s="129" t="e">
        <f>Table1[[#This Row],[Estimated Effort (Hours)]]/NETWORKDAYS(Table1[[#This Row],[Planned Start Date]],Table1[[#This Row],[Planned End Date]])</f>
        <v>#DIV/0!</v>
      </c>
      <c r="O529" s="178">
        <f>NETWORKDAYS(Table1[[#This Row],[Planned Start Date]],Table1[[#This Row],[Planned End Date]])</f>
        <v>0</v>
      </c>
      <c r="P529" s="178">
        <f>NETWORKDAYS(Table1[[#This Row],[Planned Start Date]],$P$7)</f>
        <v>30643</v>
      </c>
      <c r="Q529" s="129"/>
      <c r="R529" s="183" t="str">
        <f>IF(Table1[[#This Row],[Actual Effort (Hours)]]="","",IF(Table1[[#This Row],[Estimated Effort (Hours)]]&lt;20,"L1",IF(Table1[[#This Row],[Estimated Effort (Hours)]]&lt;50,"L2",IF(Table1[[#This Row],[Estimated Effort (Hours)]]&lt;150,"L3",IF(Table1[[#This Row],[Estimated Effort (Hours)]]&lt;300,"L4","L5")))))</f>
        <v/>
      </c>
      <c r="S529" s="184" t="str">
        <f>IF(Table1[[#This Row],[Actual End Date]]="","",TEXT(Table1[[#This Row],[Actual End Date]],"mmm-yy"))</f>
        <v/>
      </c>
      <c r="T5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29" s="185" t="str">
        <f>IFERROR((Table1[[#This Row],[Actual Effort (Hours)]]-Table1[[#This Row],[Estimated Effort (Hours)]])/Table1[[#This Row],[Estimated Effort (Hours)]],"")</f>
        <v/>
      </c>
    </row>
    <row r="530" spans="2:21">
      <c r="B530" s="125"/>
      <c r="C530" s="123"/>
      <c r="D530" s="143"/>
      <c r="E530" s="123"/>
      <c r="F530" s="143"/>
      <c r="G530" s="129"/>
      <c r="H530" s="124"/>
      <c r="I530" s="124"/>
      <c r="J530" s="129"/>
      <c r="K530" s="194"/>
      <c r="L530" s="194"/>
      <c r="M530" s="129"/>
      <c r="N530" s="129" t="e">
        <f>Table1[[#This Row],[Estimated Effort (Hours)]]/NETWORKDAYS(Table1[[#This Row],[Planned Start Date]],Table1[[#This Row],[Planned End Date]])</f>
        <v>#DIV/0!</v>
      </c>
      <c r="O530" s="178">
        <f>NETWORKDAYS(Table1[[#This Row],[Planned Start Date]],Table1[[#This Row],[Planned End Date]])</f>
        <v>0</v>
      </c>
      <c r="P530" s="178">
        <f>NETWORKDAYS(Table1[[#This Row],[Planned Start Date]],$P$7)</f>
        <v>30643</v>
      </c>
      <c r="Q530" s="129"/>
      <c r="R530" s="183" t="str">
        <f>IF(Table1[[#This Row],[Actual Effort (Hours)]]="","",IF(Table1[[#This Row],[Estimated Effort (Hours)]]&lt;20,"L1",IF(Table1[[#This Row],[Estimated Effort (Hours)]]&lt;50,"L2",IF(Table1[[#This Row],[Estimated Effort (Hours)]]&lt;150,"L3",IF(Table1[[#This Row],[Estimated Effort (Hours)]]&lt;300,"L4","L5")))))</f>
        <v/>
      </c>
      <c r="S530" s="184" t="str">
        <f>IF(Table1[[#This Row],[Actual End Date]]="","",TEXT(Table1[[#This Row],[Actual End Date]],"mmm-yy"))</f>
        <v/>
      </c>
      <c r="T5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0" s="185" t="str">
        <f>IFERROR((Table1[[#This Row],[Actual Effort (Hours)]]-Table1[[#This Row],[Estimated Effort (Hours)]])/Table1[[#This Row],[Estimated Effort (Hours)]],"")</f>
        <v/>
      </c>
    </row>
    <row r="531" spans="2:21">
      <c r="B531" s="125"/>
      <c r="C531" s="123"/>
      <c r="D531" s="143"/>
      <c r="E531" s="123"/>
      <c r="F531" s="143"/>
      <c r="G531" s="129"/>
      <c r="H531" s="124"/>
      <c r="I531" s="124"/>
      <c r="J531" s="129"/>
      <c r="K531" s="194"/>
      <c r="L531" s="194"/>
      <c r="M531" s="129"/>
      <c r="N531" s="129" t="e">
        <f>Table1[[#This Row],[Estimated Effort (Hours)]]/NETWORKDAYS(Table1[[#This Row],[Planned Start Date]],Table1[[#This Row],[Planned End Date]])</f>
        <v>#DIV/0!</v>
      </c>
      <c r="O531" s="178">
        <f>NETWORKDAYS(Table1[[#This Row],[Planned Start Date]],Table1[[#This Row],[Planned End Date]])</f>
        <v>0</v>
      </c>
      <c r="P531" s="178">
        <f>NETWORKDAYS(Table1[[#This Row],[Planned Start Date]],$P$7)</f>
        <v>30643</v>
      </c>
      <c r="Q531" s="129"/>
      <c r="R531" s="183" t="str">
        <f>IF(Table1[[#This Row],[Actual Effort (Hours)]]="","",IF(Table1[[#This Row],[Estimated Effort (Hours)]]&lt;20,"L1",IF(Table1[[#This Row],[Estimated Effort (Hours)]]&lt;50,"L2",IF(Table1[[#This Row],[Estimated Effort (Hours)]]&lt;150,"L3",IF(Table1[[#This Row],[Estimated Effort (Hours)]]&lt;300,"L4","L5")))))</f>
        <v/>
      </c>
      <c r="S531" s="184" t="str">
        <f>IF(Table1[[#This Row],[Actual End Date]]="","",TEXT(Table1[[#This Row],[Actual End Date]],"mmm-yy"))</f>
        <v/>
      </c>
      <c r="T5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1" s="185" t="str">
        <f>IFERROR((Table1[[#This Row],[Actual Effort (Hours)]]-Table1[[#This Row],[Estimated Effort (Hours)]])/Table1[[#This Row],[Estimated Effort (Hours)]],"")</f>
        <v/>
      </c>
    </row>
    <row r="532" spans="2:21">
      <c r="B532" s="125"/>
      <c r="C532" s="123"/>
      <c r="D532" s="143"/>
      <c r="E532" s="123"/>
      <c r="F532" s="143"/>
      <c r="G532" s="129"/>
      <c r="H532" s="124"/>
      <c r="I532" s="124"/>
      <c r="J532" s="129"/>
      <c r="K532" s="194"/>
      <c r="L532" s="194"/>
      <c r="M532" s="129"/>
      <c r="N532" s="129" t="e">
        <f>Table1[[#This Row],[Estimated Effort (Hours)]]/NETWORKDAYS(Table1[[#This Row],[Planned Start Date]],Table1[[#This Row],[Planned End Date]])</f>
        <v>#DIV/0!</v>
      </c>
      <c r="O532" s="178">
        <f>NETWORKDAYS(Table1[[#This Row],[Planned Start Date]],Table1[[#This Row],[Planned End Date]])</f>
        <v>0</v>
      </c>
      <c r="P532" s="178">
        <f>NETWORKDAYS(Table1[[#This Row],[Planned Start Date]],$P$7)</f>
        <v>30643</v>
      </c>
      <c r="Q532" s="129"/>
      <c r="R532" s="183" t="str">
        <f>IF(Table1[[#This Row],[Actual Effort (Hours)]]="","",IF(Table1[[#This Row],[Estimated Effort (Hours)]]&lt;20,"L1",IF(Table1[[#This Row],[Estimated Effort (Hours)]]&lt;50,"L2",IF(Table1[[#This Row],[Estimated Effort (Hours)]]&lt;150,"L3",IF(Table1[[#This Row],[Estimated Effort (Hours)]]&lt;300,"L4","L5")))))</f>
        <v/>
      </c>
      <c r="S532" s="184" t="str">
        <f>IF(Table1[[#This Row],[Actual End Date]]="","",TEXT(Table1[[#This Row],[Actual End Date]],"mmm-yy"))</f>
        <v/>
      </c>
      <c r="T5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2" s="185" t="str">
        <f>IFERROR((Table1[[#This Row],[Actual Effort (Hours)]]-Table1[[#This Row],[Estimated Effort (Hours)]])/Table1[[#This Row],[Estimated Effort (Hours)]],"")</f>
        <v/>
      </c>
    </row>
    <row r="533" spans="2:21">
      <c r="B533" s="125"/>
      <c r="C533" s="123"/>
      <c r="D533" s="143"/>
      <c r="E533" s="123"/>
      <c r="F533" s="143"/>
      <c r="G533" s="129"/>
      <c r="H533" s="124"/>
      <c r="I533" s="124"/>
      <c r="J533" s="129"/>
      <c r="K533" s="194"/>
      <c r="L533" s="194"/>
      <c r="M533" s="129"/>
      <c r="N533" s="129" t="e">
        <f>Table1[[#This Row],[Estimated Effort (Hours)]]/NETWORKDAYS(Table1[[#This Row],[Planned Start Date]],Table1[[#This Row],[Planned End Date]])</f>
        <v>#DIV/0!</v>
      </c>
      <c r="O533" s="178">
        <f>NETWORKDAYS(Table1[[#This Row],[Planned Start Date]],Table1[[#This Row],[Planned End Date]])</f>
        <v>0</v>
      </c>
      <c r="P533" s="178">
        <f>NETWORKDAYS(Table1[[#This Row],[Planned Start Date]],$P$7)</f>
        <v>30643</v>
      </c>
      <c r="Q533" s="129"/>
      <c r="R533" s="183" t="str">
        <f>IF(Table1[[#This Row],[Actual Effort (Hours)]]="","",IF(Table1[[#This Row],[Estimated Effort (Hours)]]&lt;20,"L1",IF(Table1[[#This Row],[Estimated Effort (Hours)]]&lt;50,"L2",IF(Table1[[#This Row],[Estimated Effort (Hours)]]&lt;150,"L3",IF(Table1[[#This Row],[Estimated Effort (Hours)]]&lt;300,"L4","L5")))))</f>
        <v/>
      </c>
      <c r="S533" s="184" t="str">
        <f>IF(Table1[[#This Row],[Actual End Date]]="","",TEXT(Table1[[#This Row],[Actual End Date]],"mmm-yy"))</f>
        <v/>
      </c>
      <c r="T5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3" s="185" t="str">
        <f>IFERROR((Table1[[#This Row],[Actual Effort (Hours)]]-Table1[[#This Row],[Estimated Effort (Hours)]])/Table1[[#This Row],[Estimated Effort (Hours)]],"")</f>
        <v/>
      </c>
    </row>
    <row r="534" spans="2:21">
      <c r="B534" s="125"/>
      <c r="C534" s="123"/>
      <c r="D534" s="143"/>
      <c r="E534" s="123"/>
      <c r="F534" s="143"/>
      <c r="G534" s="129"/>
      <c r="H534" s="124"/>
      <c r="I534" s="124"/>
      <c r="J534" s="129"/>
      <c r="K534" s="194"/>
      <c r="L534" s="194"/>
      <c r="M534" s="129"/>
      <c r="N534" s="129" t="e">
        <f>Table1[[#This Row],[Estimated Effort (Hours)]]/NETWORKDAYS(Table1[[#This Row],[Planned Start Date]],Table1[[#This Row],[Planned End Date]])</f>
        <v>#DIV/0!</v>
      </c>
      <c r="O534" s="178">
        <f>NETWORKDAYS(Table1[[#This Row],[Planned Start Date]],Table1[[#This Row],[Planned End Date]])</f>
        <v>0</v>
      </c>
      <c r="P534" s="178">
        <f>NETWORKDAYS(Table1[[#This Row],[Planned Start Date]],$P$7)</f>
        <v>30643</v>
      </c>
      <c r="Q534" s="129"/>
      <c r="R534" s="183" t="str">
        <f>IF(Table1[[#This Row],[Actual Effort (Hours)]]="","",IF(Table1[[#This Row],[Estimated Effort (Hours)]]&lt;20,"L1",IF(Table1[[#This Row],[Estimated Effort (Hours)]]&lt;50,"L2",IF(Table1[[#This Row],[Estimated Effort (Hours)]]&lt;150,"L3",IF(Table1[[#This Row],[Estimated Effort (Hours)]]&lt;300,"L4","L5")))))</f>
        <v/>
      </c>
      <c r="S534" s="184" t="str">
        <f>IF(Table1[[#This Row],[Actual End Date]]="","",TEXT(Table1[[#This Row],[Actual End Date]],"mmm-yy"))</f>
        <v/>
      </c>
      <c r="T5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4" s="185" t="str">
        <f>IFERROR((Table1[[#This Row],[Actual Effort (Hours)]]-Table1[[#This Row],[Estimated Effort (Hours)]])/Table1[[#This Row],[Estimated Effort (Hours)]],"")</f>
        <v/>
      </c>
    </row>
    <row r="535" spans="2:21">
      <c r="B535" s="125"/>
      <c r="C535" s="123"/>
      <c r="D535" s="143"/>
      <c r="E535" s="123"/>
      <c r="F535" s="143"/>
      <c r="G535" s="129"/>
      <c r="H535" s="124"/>
      <c r="I535" s="124"/>
      <c r="J535" s="129"/>
      <c r="K535" s="194"/>
      <c r="L535" s="194"/>
      <c r="M535" s="129"/>
      <c r="N535" s="129" t="e">
        <f>Table1[[#This Row],[Estimated Effort (Hours)]]/NETWORKDAYS(Table1[[#This Row],[Planned Start Date]],Table1[[#This Row],[Planned End Date]])</f>
        <v>#DIV/0!</v>
      </c>
      <c r="O535" s="178">
        <f>NETWORKDAYS(Table1[[#This Row],[Planned Start Date]],Table1[[#This Row],[Planned End Date]])</f>
        <v>0</v>
      </c>
      <c r="P535" s="178">
        <f>NETWORKDAYS(Table1[[#This Row],[Planned Start Date]],$P$7)</f>
        <v>30643</v>
      </c>
      <c r="Q535" s="129"/>
      <c r="R535" s="183" t="str">
        <f>IF(Table1[[#This Row],[Actual Effort (Hours)]]="","",IF(Table1[[#This Row],[Estimated Effort (Hours)]]&lt;20,"L1",IF(Table1[[#This Row],[Estimated Effort (Hours)]]&lt;50,"L2",IF(Table1[[#This Row],[Estimated Effort (Hours)]]&lt;150,"L3",IF(Table1[[#This Row],[Estimated Effort (Hours)]]&lt;300,"L4","L5")))))</f>
        <v/>
      </c>
      <c r="S535" s="184" t="str">
        <f>IF(Table1[[#This Row],[Actual End Date]]="","",TEXT(Table1[[#This Row],[Actual End Date]],"mmm-yy"))</f>
        <v/>
      </c>
      <c r="T5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5" s="185" t="str">
        <f>IFERROR((Table1[[#This Row],[Actual Effort (Hours)]]-Table1[[#This Row],[Estimated Effort (Hours)]])/Table1[[#This Row],[Estimated Effort (Hours)]],"")</f>
        <v/>
      </c>
    </row>
    <row r="536" spans="2:21">
      <c r="B536" s="125"/>
      <c r="C536" s="123"/>
      <c r="D536" s="143"/>
      <c r="E536" s="123"/>
      <c r="F536" s="143"/>
      <c r="G536" s="129"/>
      <c r="H536" s="124"/>
      <c r="I536" s="124"/>
      <c r="J536" s="129"/>
      <c r="K536" s="194"/>
      <c r="L536" s="194"/>
      <c r="M536" s="129"/>
      <c r="N536" s="129" t="e">
        <f>Table1[[#This Row],[Estimated Effort (Hours)]]/NETWORKDAYS(Table1[[#This Row],[Planned Start Date]],Table1[[#This Row],[Planned End Date]])</f>
        <v>#DIV/0!</v>
      </c>
      <c r="O536" s="178">
        <f>NETWORKDAYS(Table1[[#This Row],[Planned Start Date]],Table1[[#This Row],[Planned End Date]])</f>
        <v>0</v>
      </c>
      <c r="P536" s="178">
        <f>NETWORKDAYS(Table1[[#This Row],[Planned Start Date]],$P$7)</f>
        <v>30643</v>
      </c>
      <c r="Q536" s="129"/>
      <c r="R536" s="183" t="str">
        <f>IF(Table1[[#This Row],[Actual Effort (Hours)]]="","",IF(Table1[[#This Row],[Estimated Effort (Hours)]]&lt;20,"L1",IF(Table1[[#This Row],[Estimated Effort (Hours)]]&lt;50,"L2",IF(Table1[[#This Row],[Estimated Effort (Hours)]]&lt;150,"L3",IF(Table1[[#This Row],[Estimated Effort (Hours)]]&lt;300,"L4","L5")))))</f>
        <v/>
      </c>
      <c r="S536" s="184" t="str">
        <f>IF(Table1[[#This Row],[Actual End Date]]="","",TEXT(Table1[[#This Row],[Actual End Date]],"mmm-yy"))</f>
        <v/>
      </c>
      <c r="T5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6" s="185" t="str">
        <f>IFERROR((Table1[[#This Row],[Actual Effort (Hours)]]-Table1[[#This Row],[Estimated Effort (Hours)]])/Table1[[#This Row],[Estimated Effort (Hours)]],"")</f>
        <v/>
      </c>
    </row>
    <row r="537" spans="2:21">
      <c r="B537" s="125"/>
      <c r="C537" s="123"/>
      <c r="D537" s="143"/>
      <c r="E537" s="123"/>
      <c r="F537" s="143"/>
      <c r="G537" s="129"/>
      <c r="H537" s="124"/>
      <c r="I537" s="124"/>
      <c r="J537" s="129"/>
      <c r="K537" s="194"/>
      <c r="L537" s="194"/>
      <c r="M537" s="129"/>
      <c r="N537" s="129" t="e">
        <f>Table1[[#This Row],[Estimated Effort (Hours)]]/NETWORKDAYS(Table1[[#This Row],[Planned Start Date]],Table1[[#This Row],[Planned End Date]])</f>
        <v>#DIV/0!</v>
      </c>
      <c r="O537" s="178">
        <f>NETWORKDAYS(Table1[[#This Row],[Planned Start Date]],Table1[[#This Row],[Planned End Date]])</f>
        <v>0</v>
      </c>
      <c r="P537" s="178">
        <f>NETWORKDAYS(Table1[[#This Row],[Planned Start Date]],$P$7)</f>
        <v>30643</v>
      </c>
      <c r="Q537" s="129"/>
      <c r="R537" s="183" t="str">
        <f>IF(Table1[[#This Row],[Actual Effort (Hours)]]="","",IF(Table1[[#This Row],[Estimated Effort (Hours)]]&lt;20,"L1",IF(Table1[[#This Row],[Estimated Effort (Hours)]]&lt;50,"L2",IF(Table1[[#This Row],[Estimated Effort (Hours)]]&lt;150,"L3",IF(Table1[[#This Row],[Estimated Effort (Hours)]]&lt;300,"L4","L5")))))</f>
        <v/>
      </c>
      <c r="S537" s="184" t="str">
        <f>IF(Table1[[#This Row],[Actual End Date]]="","",TEXT(Table1[[#This Row],[Actual End Date]],"mmm-yy"))</f>
        <v/>
      </c>
      <c r="T5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7" s="185" t="str">
        <f>IFERROR((Table1[[#This Row],[Actual Effort (Hours)]]-Table1[[#This Row],[Estimated Effort (Hours)]])/Table1[[#This Row],[Estimated Effort (Hours)]],"")</f>
        <v/>
      </c>
    </row>
    <row r="538" spans="2:21">
      <c r="B538" s="125"/>
      <c r="C538" s="123"/>
      <c r="D538" s="143"/>
      <c r="E538" s="123"/>
      <c r="F538" s="143"/>
      <c r="G538" s="129"/>
      <c r="H538" s="124"/>
      <c r="I538" s="124"/>
      <c r="J538" s="129"/>
      <c r="K538" s="194"/>
      <c r="L538" s="194"/>
      <c r="M538" s="129"/>
      <c r="N538" s="129" t="e">
        <f>Table1[[#This Row],[Estimated Effort (Hours)]]/NETWORKDAYS(Table1[[#This Row],[Planned Start Date]],Table1[[#This Row],[Planned End Date]])</f>
        <v>#DIV/0!</v>
      </c>
      <c r="O538" s="178">
        <f>NETWORKDAYS(Table1[[#This Row],[Planned Start Date]],Table1[[#This Row],[Planned End Date]])</f>
        <v>0</v>
      </c>
      <c r="P538" s="178">
        <f>NETWORKDAYS(Table1[[#This Row],[Planned Start Date]],$P$7)</f>
        <v>30643</v>
      </c>
      <c r="Q538" s="129"/>
      <c r="R538" s="183" t="str">
        <f>IF(Table1[[#This Row],[Actual Effort (Hours)]]="","",IF(Table1[[#This Row],[Estimated Effort (Hours)]]&lt;20,"L1",IF(Table1[[#This Row],[Estimated Effort (Hours)]]&lt;50,"L2",IF(Table1[[#This Row],[Estimated Effort (Hours)]]&lt;150,"L3",IF(Table1[[#This Row],[Estimated Effort (Hours)]]&lt;300,"L4","L5")))))</f>
        <v/>
      </c>
      <c r="S538" s="184" t="str">
        <f>IF(Table1[[#This Row],[Actual End Date]]="","",TEXT(Table1[[#This Row],[Actual End Date]],"mmm-yy"))</f>
        <v/>
      </c>
      <c r="T5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8" s="185" t="str">
        <f>IFERROR((Table1[[#This Row],[Actual Effort (Hours)]]-Table1[[#This Row],[Estimated Effort (Hours)]])/Table1[[#This Row],[Estimated Effort (Hours)]],"")</f>
        <v/>
      </c>
    </row>
    <row r="539" spans="2:21">
      <c r="B539" s="125"/>
      <c r="C539" s="123"/>
      <c r="D539" s="143"/>
      <c r="E539" s="123"/>
      <c r="F539" s="143"/>
      <c r="G539" s="129"/>
      <c r="H539" s="124"/>
      <c r="I539" s="124"/>
      <c r="J539" s="129"/>
      <c r="K539" s="194"/>
      <c r="L539" s="194"/>
      <c r="M539" s="129"/>
      <c r="N539" s="129" t="e">
        <f>Table1[[#This Row],[Estimated Effort (Hours)]]/NETWORKDAYS(Table1[[#This Row],[Planned Start Date]],Table1[[#This Row],[Planned End Date]])</f>
        <v>#DIV/0!</v>
      </c>
      <c r="O539" s="178">
        <f>NETWORKDAYS(Table1[[#This Row],[Planned Start Date]],Table1[[#This Row],[Planned End Date]])</f>
        <v>0</v>
      </c>
      <c r="P539" s="178">
        <f>NETWORKDAYS(Table1[[#This Row],[Planned Start Date]],$P$7)</f>
        <v>30643</v>
      </c>
      <c r="Q539" s="129"/>
      <c r="R539" s="183" t="str">
        <f>IF(Table1[[#This Row],[Actual Effort (Hours)]]="","",IF(Table1[[#This Row],[Estimated Effort (Hours)]]&lt;20,"L1",IF(Table1[[#This Row],[Estimated Effort (Hours)]]&lt;50,"L2",IF(Table1[[#This Row],[Estimated Effort (Hours)]]&lt;150,"L3",IF(Table1[[#This Row],[Estimated Effort (Hours)]]&lt;300,"L4","L5")))))</f>
        <v/>
      </c>
      <c r="S539" s="184" t="str">
        <f>IF(Table1[[#This Row],[Actual End Date]]="","",TEXT(Table1[[#This Row],[Actual End Date]],"mmm-yy"))</f>
        <v/>
      </c>
      <c r="T5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39" s="185" t="str">
        <f>IFERROR((Table1[[#This Row],[Actual Effort (Hours)]]-Table1[[#This Row],[Estimated Effort (Hours)]])/Table1[[#This Row],[Estimated Effort (Hours)]],"")</f>
        <v/>
      </c>
    </row>
    <row r="540" spans="2:21">
      <c r="B540" s="125"/>
      <c r="C540" s="123"/>
      <c r="D540" s="143"/>
      <c r="E540" s="123"/>
      <c r="F540" s="143"/>
      <c r="G540" s="129"/>
      <c r="H540" s="124"/>
      <c r="I540" s="124"/>
      <c r="J540" s="129"/>
      <c r="K540" s="194"/>
      <c r="L540" s="194"/>
      <c r="M540" s="129"/>
      <c r="N540" s="129" t="e">
        <f>Table1[[#This Row],[Estimated Effort (Hours)]]/NETWORKDAYS(Table1[[#This Row],[Planned Start Date]],Table1[[#This Row],[Planned End Date]])</f>
        <v>#DIV/0!</v>
      </c>
      <c r="O540" s="178">
        <f>NETWORKDAYS(Table1[[#This Row],[Planned Start Date]],Table1[[#This Row],[Planned End Date]])</f>
        <v>0</v>
      </c>
      <c r="P540" s="178">
        <f>NETWORKDAYS(Table1[[#This Row],[Planned Start Date]],$P$7)</f>
        <v>30643</v>
      </c>
      <c r="Q540" s="129"/>
      <c r="R540" s="183" t="str">
        <f>IF(Table1[[#This Row],[Actual Effort (Hours)]]="","",IF(Table1[[#This Row],[Estimated Effort (Hours)]]&lt;20,"L1",IF(Table1[[#This Row],[Estimated Effort (Hours)]]&lt;50,"L2",IF(Table1[[#This Row],[Estimated Effort (Hours)]]&lt;150,"L3",IF(Table1[[#This Row],[Estimated Effort (Hours)]]&lt;300,"L4","L5")))))</f>
        <v/>
      </c>
      <c r="S540" s="184" t="str">
        <f>IF(Table1[[#This Row],[Actual End Date]]="","",TEXT(Table1[[#This Row],[Actual End Date]],"mmm-yy"))</f>
        <v/>
      </c>
      <c r="T5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0" s="185" t="str">
        <f>IFERROR((Table1[[#This Row],[Actual Effort (Hours)]]-Table1[[#This Row],[Estimated Effort (Hours)]])/Table1[[#This Row],[Estimated Effort (Hours)]],"")</f>
        <v/>
      </c>
    </row>
    <row r="541" spans="2:21">
      <c r="B541" s="125"/>
      <c r="C541" s="123"/>
      <c r="D541" s="143"/>
      <c r="E541" s="123"/>
      <c r="F541" s="143"/>
      <c r="G541" s="129"/>
      <c r="H541" s="124"/>
      <c r="I541" s="124"/>
      <c r="J541" s="129"/>
      <c r="K541" s="194"/>
      <c r="L541" s="194"/>
      <c r="M541" s="129"/>
      <c r="N541" s="129" t="e">
        <f>Table1[[#This Row],[Estimated Effort (Hours)]]/NETWORKDAYS(Table1[[#This Row],[Planned Start Date]],Table1[[#This Row],[Planned End Date]])</f>
        <v>#DIV/0!</v>
      </c>
      <c r="O541" s="178">
        <f>NETWORKDAYS(Table1[[#This Row],[Planned Start Date]],Table1[[#This Row],[Planned End Date]])</f>
        <v>0</v>
      </c>
      <c r="P541" s="178">
        <f>NETWORKDAYS(Table1[[#This Row],[Planned Start Date]],$P$7)</f>
        <v>30643</v>
      </c>
      <c r="Q541" s="129"/>
      <c r="R541" s="183" t="str">
        <f>IF(Table1[[#This Row],[Actual Effort (Hours)]]="","",IF(Table1[[#This Row],[Estimated Effort (Hours)]]&lt;20,"L1",IF(Table1[[#This Row],[Estimated Effort (Hours)]]&lt;50,"L2",IF(Table1[[#This Row],[Estimated Effort (Hours)]]&lt;150,"L3",IF(Table1[[#This Row],[Estimated Effort (Hours)]]&lt;300,"L4","L5")))))</f>
        <v/>
      </c>
      <c r="S541" s="184" t="str">
        <f>IF(Table1[[#This Row],[Actual End Date]]="","",TEXT(Table1[[#This Row],[Actual End Date]],"mmm-yy"))</f>
        <v/>
      </c>
      <c r="T5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1" s="185" t="str">
        <f>IFERROR((Table1[[#This Row],[Actual Effort (Hours)]]-Table1[[#This Row],[Estimated Effort (Hours)]])/Table1[[#This Row],[Estimated Effort (Hours)]],"")</f>
        <v/>
      </c>
    </row>
    <row r="542" spans="2:21">
      <c r="B542" s="125"/>
      <c r="C542" s="123"/>
      <c r="D542" s="143"/>
      <c r="E542" s="123"/>
      <c r="F542" s="143"/>
      <c r="G542" s="129"/>
      <c r="H542" s="124"/>
      <c r="I542" s="124"/>
      <c r="J542" s="129"/>
      <c r="K542" s="194"/>
      <c r="L542" s="194"/>
      <c r="M542" s="129"/>
      <c r="N542" s="129" t="e">
        <f>Table1[[#This Row],[Estimated Effort (Hours)]]/NETWORKDAYS(Table1[[#This Row],[Planned Start Date]],Table1[[#This Row],[Planned End Date]])</f>
        <v>#DIV/0!</v>
      </c>
      <c r="O542" s="178">
        <f>NETWORKDAYS(Table1[[#This Row],[Planned Start Date]],Table1[[#This Row],[Planned End Date]])</f>
        <v>0</v>
      </c>
      <c r="P542" s="178">
        <f>NETWORKDAYS(Table1[[#This Row],[Planned Start Date]],$P$7)</f>
        <v>30643</v>
      </c>
      <c r="Q542" s="129"/>
      <c r="R542" s="183" t="str">
        <f>IF(Table1[[#This Row],[Actual Effort (Hours)]]="","",IF(Table1[[#This Row],[Estimated Effort (Hours)]]&lt;20,"L1",IF(Table1[[#This Row],[Estimated Effort (Hours)]]&lt;50,"L2",IF(Table1[[#This Row],[Estimated Effort (Hours)]]&lt;150,"L3",IF(Table1[[#This Row],[Estimated Effort (Hours)]]&lt;300,"L4","L5")))))</f>
        <v/>
      </c>
      <c r="S542" s="184" t="str">
        <f>IF(Table1[[#This Row],[Actual End Date]]="","",TEXT(Table1[[#This Row],[Actual End Date]],"mmm-yy"))</f>
        <v/>
      </c>
      <c r="T5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2" s="185" t="str">
        <f>IFERROR((Table1[[#This Row],[Actual Effort (Hours)]]-Table1[[#This Row],[Estimated Effort (Hours)]])/Table1[[#This Row],[Estimated Effort (Hours)]],"")</f>
        <v/>
      </c>
    </row>
    <row r="543" spans="2:21">
      <c r="B543" s="125"/>
      <c r="C543" s="123"/>
      <c r="D543" s="143"/>
      <c r="E543" s="123"/>
      <c r="F543" s="143"/>
      <c r="G543" s="129"/>
      <c r="H543" s="124"/>
      <c r="I543" s="124"/>
      <c r="J543" s="129"/>
      <c r="K543" s="194"/>
      <c r="L543" s="194"/>
      <c r="M543" s="129"/>
      <c r="N543" s="129" t="e">
        <f>Table1[[#This Row],[Estimated Effort (Hours)]]/NETWORKDAYS(Table1[[#This Row],[Planned Start Date]],Table1[[#This Row],[Planned End Date]])</f>
        <v>#DIV/0!</v>
      </c>
      <c r="O543" s="178">
        <f>NETWORKDAYS(Table1[[#This Row],[Planned Start Date]],Table1[[#This Row],[Planned End Date]])</f>
        <v>0</v>
      </c>
      <c r="P543" s="178">
        <f>NETWORKDAYS(Table1[[#This Row],[Planned Start Date]],$P$7)</f>
        <v>30643</v>
      </c>
      <c r="Q543" s="129"/>
      <c r="R543" s="183" t="str">
        <f>IF(Table1[[#This Row],[Actual Effort (Hours)]]="","",IF(Table1[[#This Row],[Estimated Effort (Hours)]]&lt;20,"L1",IF(Table1[[#This Row],[Estimated Effort (Hours)]]&lt;50,"L2",IF(Table1[[#This Row],[Estimated Effort (Hours)]]&lt;150,"L3",IF(Table1[[#This Row],[Estimated Effort (Hours)]]&lt;300,"L4","L5")))))</f>
        <v/>
      </c>
      <c r="S543" s="184" t="str">
        <f>IF(Table1[[#This Row],[Actual End Date]]="","",TEXT(Table1[[#This Row],[Actual End Date]],"mmm-yy"))</f>
        <v/>
      </c>
      <c r="T5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3" s="185" t="str">
        <f>IFERROR((Table1[[#This Row],[Actual Effort (Hours)]]-Table1[[#This Row],[Estimated Effort (Hours)]])/Table1[[#This Row],[Estimated Effort (Hours)]],"")</f>
        <v/>
      </c>
    </row>
    <row r="544" spans="2:21">
      <c r="B544" s="125"/>
      <c r="C544" s="123"/>
      <c r="D544" s="143"/>
      <c r="E544" s="123"/>
      <c r="F544" s="143"/>
      <c r="G544" s="129"/>
      <c r="H544" s="124"/>
      <c r="I544" s="124"/>
      <c r="J544" s="129"/>
      <c r="K544" s="194"/>
      <c r="L544" s="194"/>
      <c r="M544" s="129"/>
      <c r="N544" s="129" t="e">
        <f>Table1[[#This Row],[Estimated Effort (Hours)]]/NETWORKDAYS(Table1[[#This Row],[Planned Start Date]],Table1[[#This Row],[Planned End Date]])</f>
        <v>#DIV/0!</v>
      </c>
      <c r="O544" s="178">
        <f>NETWORKDAYS(Table1[[#This Row],[Planned Start Date]],Table1[[#This Row],[Planned End Date]])</f>
        <v>0</v>
      </c>
      <c r="P544" s="178">
        <f>NETWORKDAYS(Table1[[#This Row],[Planned Start Date]],$P$7)</f>
        <v>30643</v>
      </c>
      <c r="Q544" s="129"/>
      <c r="R544" s="183" t="str">
        <f>IF(Table1[[#This Row],[Actual Effort (Hours)]]="","",IF(Table1[[#This Row],[Estimated Effort (Hours)]]&lt;20,"L1",IF(Table1[[#This Row],[Estimated Effort (Hours)]]&lt;50,"L2",IF(Table1[[#This Row],[Estimated Effort (Hours)]]&lt;150,"L3",IF(Table1[[#This Row],[Estimated Effort (Hours)]]&lt;300,"L4","L5")))))</f>
        <v/>
      </c>
      <c r="S544" s="184" t="str">
        <f>IF(Table1[[#This Row],[Actual End Date]]="","",TEXT(Table1[[#This Row],[Actual End Date]],"mmm-yy"))</f>
        <v/>
      </c>
      <c r="T5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4" s="185" t="str">
        <f>IFERROR((Table1[[#This Row],[Actual Effort (Hours)]]-Table1[[#This Row],[Estimated Effort (Hours)]])/Table1[[#This Row],[Estimated Effort (Hours)]],"")</f>
        <v/>
      </c>
    </row>
    <row r="545" spans="2:21">
      <c r="B545" s="125"/>
      <c r="C545" s="123"/>
      <c r="D545" s="143"/>
      <c r="E545" s="123"/>
      <c r="F545" s="143"/>
      <c r="G545" s="129"/>
      <c r="H545" s="124"/>
      <c r="I545" s="124"/>
      <c r="J545" s="129"/>
      <c r="K545" s="194"/>
      <c r="L545" s="194"/>
      <c r="M545" s="129"/>
      <c r="N545" s="129" t="e">
        <f>Table1[[#This Row],[Estimated Effort (Hours)]]/NETWORKDAYS(Table1[[#This Row],[Planned Start Date]],Table1[[#This Row],[Planned End Date]])</f>
        <v>#DIV/0!</v>
      </c>
      <c r="O545" s="178">
        <f>NETWORKDAYS(Table1[[#This Row],[Planned Start Date]],Table1[[#This Row],[Planned End Date]])</f>
        <v>0</v>
      </c>
      <c r="P545" s="178">
        <f>NETWORKDAYS(Table1[[#This Row],[Planned Start Date]],$P$7)</f>
        <v>30643</v>
      </c>
      <c r="Q545" s="129"/>
      <c r="R545" s="183" t="str">
        <f>IF(Table1[[#This Row],[Actual Effort (Hours)]]="","",IF(Table1[[#This Row],[Estimated Effort (Hours)]]&lt;20,"L1",IF(Table1[[#This Row],[Estimated Effort (Hours)]]&lt;50,"L2",IF(Table1[[#This Row],[Estimated Effort (Hours)]]&lt;150,"L3",IF(Table1[[#This Row],[Estimated Effort (Hours)]]&lt;300,"L4","L5")))))</f>
        <v/>
      </c>
      <c r="S545" s="184" t="str">
        <f>IF(Table1[[#This Row],[Actual End Date]]="","",TEXT(Table1[[#This Row],[Actual End Date]],"mmm-yy"))</f>
        <v/>
      </c>
      <c r="T5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5" s="185" t="str">
        <f>IFERROR((Table1[[#This Row],[Actual Effort (Hours)]]-Table1[[#This Row],[Estimated Effort (Hours)]])/Table1[[#This Row],[Estimated Effort (Hours)]],"")</f>
        <v/>
      </c>
    </row>
    <row r="546" spans="2:21">
      <c r="B546" s="125"/>
      <c r="C546" s="123"/>
      <c r="D546" s="143"/>
      <c r="E546" s="123"/>
      <c r="F546" s="143"/>
      <c r="G546" s="129"/>
      <c r="H546" s="124"/>
      <c r="I546" s="124"/>
      <c r="J546" s="129"/>
      <c r="K546" s="194"/>
      <c r="L546" s="194"/>
      <c r="M546" s="129"/>
      <c r="N546" s="129" t="e">
        <f>Table1[[#This Row],[Estimated Effort (Hours)]]/NETWORKDAYS(Table1[[#This Row],[Planned Start Date]],Table1[[#This Row],[Planned End Date]])</f>
        <v>#DIV/0!</v>
      </c>
      <c r="O546" s="178">
        <f>NETWORKDAYS(Table1[[#This Row],[Planned Start Date]],Table1[[#This Row],[Planned End Date]])</f>
        <v>0</v>
      </c>
      <c r="P546" s="178">
        <f>NETWORKDAYS(Table1[[#This Row],[Planned Start Date]],$P$7)</f>
        <v>30643</v>
      </c>
      <c r="Q546" s="129"/>
      <c r="R546" s="183" t="str">
        <f>IF(Table1[[#This Row],[Actual Effort (Hours)]]="","",IF(Table1[[#This Row],[Estimated Effort (Hours)]]&lt;20,"L1",IF(Table1[[#This Row],[Estimated Effort (Hours)]]&lt;50,"L2",IF(Table1[[#This Row],[Estimated Effort (Hours)]]&lt;150,"L3",IF(Table1[[#This Row],[Estimated Effort (Hours)]]&lt;300,"L4","L5")))))</f>
        <v/>
      </c>
      <c r="S546" s="184" t="str">
        <f>IF(Table1[[#This Row],[Actual End Date]]="","",TEXT(Table1[[#This Row],[Actual End Date]],"mmm-yy"))</f>
        <v/>
      </c>
      <c r="T5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6" s="185" t="str">
        <f>IFERROR((Table1[[#This Row],[Actual Effort (Hours)]]-Table1[[#This Row],[Estimated Effort (Hours)]])/Table1[[#This Row],[Estimated Effort (Hours)]],"")</f>
        <v/>
      </c>
    </row>
    <row r="547" spans="2:21">
      <c r="B547" s="125"/>
      <c r="C547" s="123"/>
      <c r="D547" s="143"/>
      <c r="E547" s="123"/>
      <c r="F547" s="143"/>
      <c r="G547" s="129"/>
      <c r="H547" s="124"/>
      <c r="I547" s="124"/>
      <c r="J547" s="129"/>
      <c r="K547" s="194"/>
      <c r="L547" s="194"/>
      <c r="M547" s="129"/>
      <c r="N547" s="129" t="e">
        <f>Table1[[#This Row],[Estimated Effort (Hours)]]/NETWORKDAYS(Table1[[#This Row],[Planned Start Date]],Table1[[#This Row],[Planned End Date]])</f>
        <v>#DIV/0!</v>
      </c>
      <c r="O547" s="178">
        <f>NETWORKDAYS(Table1[[#This Row],[Planned Start Date]],Table1[[#This Row],[Planned End Date]])</f>
        <v>0</v>
      </c>
      <c r="P547" s="178">
        <f>NETWORKDAYS(Table1[[#This Row],[Planned Start Date]],$P$7)</f>
        <v>30643</v>
      </c>
      <c r="Q547" s="129"/>
      <c r="R547" s="183" t="str">
        <f>IF(Table1[[#This Row],[Actual Effort (Hours)]]="","",IF(Table1[[#This Row],[Estimated Effort (Hours)]]&lt;20,"L1",IF(Table1[[#This Row],[Estimated Effort (Hours)]]&lt;50,"L2",IF(Table1[[#This Row],[Estimated Effort (Hours)]]&lt;150,"L3",IF(Table1[[#This Row],[Estimated Effort (Hours)]]&lt;300,"L4","L5")))))</f>
        <v/>
      </c>
      <c r="S547" s="184" t="str">
        <f>IF(Table1[[#This Row],[Actual End Date]]="","",TEXT(Table1[[#This Row],[Actual End Date]],"mmm-yy"))</f>
        <v/>
      </c>
      <c r="T5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7" s="185" t="str">
        <f>IFERROR((Table1[[#This Row],[Actual Effort (Hours)]]-Table1[[#This Row],[Estimated Effort (Hours)]])/Table1[[#This Row],[Estimated Effort (Hours)]],"")</f>
        <v/>
      </c>
    </row>
    <row r="548" spans="2:21">
      <c r="B548" s="125"/>
      <c r="C548" s="123"/>
      <c r="D548" s="143"/>
      <c r="E548" s="123"/>
      <c r="F548" s="143"/>
      <c r="G548" s="129"/>
      <c r="H548" s="124"/>
      <c r="I548" s="124"/>
      <c r="J548" s="129"/>
      <c r="K548" s="194"/>
      <c r="L548" s="194"/>
      <c r="M548" s="129"/>
      <c r="N548" s="129" t="e">
        <f>Table1[[#This Row],[Estimated Effort (Hours)]]/NETWORKDAYS(Table1[[#This Row],[Planned Start Date]],Table1[[#This Row],[Planned End Date]])</f>
        <v>#DIV/0!</v>
      </c>
      <c r="O548" s="178">
        <f>NETWORKDAYS(Table1[[#This Row],[Planned Start Date]],Table1[[#This Row],[Planned End Date]])</f>
        <v>0</v>
      </c>
      <c r="P548" s="178">
        <f>NETWORKDAYS(Table1[[#This Row],[Planned Start Date]],$P$7)</f>
        <v>30643</v>
      </c>
      <c r="Q548" s="129"/>
      <c r="R548" s="183" t="str">
        <f>IF(Table1[[#This Row],[Actual Effort (Hours)]]="","",IF(Table1[[#This Row],[Estimated Effort (Hours)]]&lt;20,"L1",IF(Table1[[#This Row],[Estimated Effort (Hours)]]&lt;50,"L2",IF(Table1[[#This Row],[Estimated Effort (Hours)]]&lt;150,"L3",IF(Table1[[#This Row],[Estimated Effort (Hours)]]&lt;300,"L4","L5")))))</f>
        <v/>
      </c>
      <c r="S548" s="184" t="str">
        <f>IF(Table1[[#This Row],[Actual End Date]]="","",TEXT(Table1[[#This Row],[Actual End Date]],"mmm-yy"))</f>
        <v/>
      </c>
      <c r="T5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8" s="185" t="str">
        <f>IFERROR((Table1[[#This Row],[Actual Effort (Hours)]]-Table1[[#This Row],[Estimated Effort (Hours)]])/Table1[[#This Row],[Estimated Effort (Hours)]],"")</f>
        <v/>
      </c>
    </row>
    <row r="549" spans="2:21">
      <c r="B549" s="125"/>
      <c r="C549" s="123"/>
      <c r="D549" s="143"/>
      <c r="E549" s="123"/>
      <c r="F549" s="143"/>
      <c r="G549" s="129"/>
      <c r="H549" s="124"/>
      <c r="I549" s="124"/>
      <c r="J549" s="129"/>
      <c r="K549" s="194"/>
      <c r="L549" s="194"/>
      <c r="M549" s="129"/>
      <c r="N549" s="129" t="e">
        <f>Table1[[#This Row],[Estimated Effort (Hours)]]/NETWORKDAYS(Table1[[#This Row],[Planned Start Date]],Table1[[#This Row],[Planned End Date]])</f>
        <v>#DIV/0!</v>
      </c>
      <c r="O549" s="178">
        <f>NETWORKDAYS(Table1[[#This Row],[Planned Start Date]],Table1[[#This Row],[Planned End Date]])</f>
        <v>0</v>
      </c>
      <c r="P549" s="178">
        <f>NETWORKDAYS(Table1[[#This Row],[Planned Start Date]],$P$7)</f>
        <v>30643</v>
      </c>
      <c r="Q549" s="129"/>
      <c r="R549" s="183" t="str">
        <f>IF(Table1[[#This Row],[Actual Effort (Hours)]]="","",IF(Table1[[#This Row],[Estimated Effort (Hours)]]&lt;20,"L1",IF(Table1[[#This Row],[Estimated Effort (Hours)]]&lt;50,"L2",IF(Table1[[#This Row],[Estimated Effort (Hours)]]&lt;150,"L3",IF(Table1[[#This Row],[Estimated Effort (Hours)]]&lt;300,"L4","L5")))))</f>
        <v/>
      </c>
      <c r="S549" s="184" t="str">
        <f>IF(Table1[[#This Row],[Actual End Date]]="","",TEXT(Table1[[#This Row],[Actual End Date]],"mmm-yy"))</f>
        <v/>
      </c>
      <c r="T5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49" s="185" t="str">
        <f>IFERROR((Table1[[#This Row],[Actual Effort (Hours)]]-Table1[[#This Row],[Estimated Effort (Hours)]])/Table1[[#This Row],[Estimated Effort (Hours)]],"")</f>
        <v/>
      </c>
    </row>
    <row r="550" spans="2:21">
      <c r="B550" s="125"/>
      <c r="C550" s="123"/>
      <c r="D550" s="143"/>
      <c r="E550" s="123"/>
      <c r="F550" s="143"/>
      <c r="G550" s="129"/>
      <c r="H550" s="124"/>
      <c r="I550" s="124"/>
      <c r="J550" s="129"/>
      <c r="K550" s="194"/>
      <c r="L550" s="194"/>
      <c r="M550" s="129"/>
      <c r="N550" s="129" t="e">
        <f>Table1[[#This Row],[Estimated Effort (Hours)]]/NETWORKDAYS(Table1[[#This Row],[Planned Start Date]],Table1[[#This Row],[Planned End Date]])</f>
        <v>#DIV/0!</v>
      </c>
      <c r="O550" s="178">
        <f>NETWORKDAYS(Table1[[#This Row],[Planned Start Date]],Table1[[#This Row],[Planned End Date]])</f>
        <v>0</v>
      </c>
      <c r="P550" s="178">
        <f>NETWORKDAYS(Table1[[#This Row],[Planned Start Date]],$P$7)</f>
        <v>30643</v>
      </c>
      <c r="Q550" s="129"/>
      <c r="R550" s="183" t="str">
        <f>IF(Table1[[#This Row],[Actual Effort (Hours)]]="","",IF(Table1[[#This Row],[Estimated Effort (Hours)]]&lt;20,"L1",IF(Table1[[#This Row],[Estimated Effort (Hours)]]&lt;50,"L2",IF(Table1[[#This Row],[Estimated Effort (Hours)]]&lt;150,"L3",IF(Table1[[#This Row],[Estimated Effort (Hours)]]&lt;300,"L4","L5")))))</f>
        <v/>
      </c>
      <c r="S550" s="184" t="str">
        <f>IF(Table1[[#This Row],[Actual End Date]]="","",TEXT(Table1[[#This Row],[Actual End Date]],"mmm-yy"))</f>
        <v/>
      </c>
      <c r="T5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0" s="185" t="str">
        <f>IFERROR((Table1[[#This Row],[Actual Effort (Hours)]]-Table1[[#This Row],[Estimated Effort (Hours)]])/Table1[[#This Row],[Estimated Effort (Hours)]],"")</f>
        <v/>
      </c>
    </row>
    <row r="551" spans="2:21">
      <c r="B551" s="125"/>
      <c r="C551" s="123"/>
      <c r="D551" s="143"/>
      <c r="E551" s="123"/>
      <c r="F551" s="143"/>
      <c r="G551" s="129"/>
      <c r="H551" s="124"/>
      <c r="I551" s="124"/>
      <c r="J551" s="129"/>
      <c r="K551" s="194"/>
      <c r="L551" s="194"/>
      <c r="M551" s="129"/>
      <c r="N551" s="129" t="e">
        <f>Table1[[#This Row],[Estimated Effort (Hours)]]/NETWORKDAYS(Table1[[#This Row],[Planned Start Date]],Table1[[#This Row],[Planned End Date]])</f>
        <v>#DIV/0!</v>
      </c>
      <c r="O551" s="178">
        <f>NETWORKDAYS(Table1[[#This Row],[Planned Start Date]],Table1[[#This Row],[Planned End Date]])</f>
        <v>0</v>
      </c>
      <c r="P551" s="178">
        <f>NETWORKDAYS(Table1[[#This Row],[Planned Start Date]],$P$7)</f>
        <v>30643</v>
      </c>
      <c r="Q551" s="129"/>
      <c r="R551" s="183" t="str">
        <f>IF(Table1[[#This Row],[Actual Effort (Hours)]]="","",IF(Table1[[#This Row],[Estimated Effort (Hours)]]&lt;20,"L1",IF(Table1[[#This Row],[Estimated Effort (Hours)]]&lt;50,"L2",IF(Table1[[#This Row],[Estimated Effort (Hours)]]&lt;150,"L3",IF(Table1[[#This Row],[Estimated Effort (Hours)]]&lt;300,"L4","L5")))))</f>
        <v/>
      </c>
      <c r="S551" s="184" t="str">
        <f>IF(Table1[[#This Row],[Actual End Date]]="","",TEXT(Table1[[#This Row],[Actual End Date]],"mmm-yy"))</f>
        <v/>
      </c>
      <c r="T5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1" s="185" t="str">
        <f>IFERROR((Table1[[#This Row],[Actual Effort (Hours)]]-Table1[[#This Row],[Estimated Effort (Hours)]])/Table1[[#This Row],[Estimated Effort (Hours)]],"")</f>
        <v/>
      </c>
    </row>
    <row r="552" spans="2:21">
      <c r="B552" s="125"/>
      <c r="C552" s="123"/>
      <c r="D552" s="143"/>
      <c r="E552" s="123"/>
      <c r="F552" s="143"/>
      <c r="G552" s="129"/>
      <c r="H552" s="124"/>
      <c r="I552" s="124"/>
      <c r="J552" s="129"/>
      <c r="K552" s="194"/>
      <c r="L552" s="194"/>
      <c r="M552" s="129"/>
      <c r="N552" s="129" t="e">
        <f>Table1[[#This Row],[Estimated Effort (Hours)]]/NETWORKDAYS(Table1[[#This Row],[Planned Start Date]],Table1[[#This Row],[Planned End Date]])</f>
        <v>#DIV/0!</v>
      </c>
      <c r="O552" s="178">
        <f>NETWORKDAYS(Table1[[#This Row],[Planned Start Date]],Table1[[#This Row],[Planned End Date]])</f>
        <v>0</v>
      </c>
      <c r="P552" s="178">
        <f>NETWORKDAYS(Table1[[#This Row],[Planned Start Date]],$P$7)</f>
        <v>30643</v>
      </c>
      <c r="Q552" s="129"/>
      <c r="R552" s="183" t="str">
        <f>IF(Table1[[#This Row],[Actual Effort (Hours)]]="","",IF(Table1[[#This Row],[Estimated Effort (Hours)]]&lt;20,"L1",IF(Table1[[#This Row],[Estimated Effort (Hours)]]&lt;50,"L2",IF(Table1[[#This Row],[Estimated Effort (Hours)]]&lt;150,"L3",IF(Table1[[#This Row],[Estimated Effort (Hours)]]&lt;300,"L4","L5")))))</f>
        <v/>
      </c>
      <c r="S552" s="184" t="str">
        <f>IF(Table1[[#This Row],[Actual End Date]]="","",TEXT(Table1[[#This Row],[Actual End Date]],"mmm-yy"))</f>
        <v/>
      </c>
      <c r="T5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2" s="185" t="str">
        <f>IFERROR((Table1[[#This Row],[Actual Effort (Hours)]]-Table1[[#This Row],[Estimated Effort (Hours)]])/Table1[[#This Row],[Estimated Effort (Hours)]],"")</f>
        <v/>
      </c>
    </row>
    <row r="553" spans="2:21">
      <c r="B553" s="125"/>
      <c r="C553" s="123"/>
      <c r="D553" s="143"/>
      <c r="E553" s="123"/>
      <c r="F553" s="143"/>
      <c r="G553" s="129"/>
      <c r="H553" s="124"/>
      <c r="I553" s="124"/>
      <c r="J553" s="129"/>
      <c r="K553" s="194"/>
      <c r="L553" s="194"/>
      <c r="M553" s="129"/>
      <c r="N553" s="129" t="e">
        <f>Table1[[#This Row],[Estimated Effort (Hours)]]/NETWORKDAYS(Table1[[#This Row],[Planned Start Date]],Table1[[#This Row],[Planned End Date]])</f>
        <v>#DIV/0!</v>
      </c>
      <c r="O553" s="178">
        <f>NETWORKDAYS(Table1[[#This Row],[Planned Start Date]],Table1[[#This Row],[Planned End Date]])</f>
        <v>0</v>
      </c>
      <c r="P553" s="178">
        <f>NETWORKDAYS(Table1[[#This Row],[Planned Start Date]],$P$7)</f>
        <v>30643</v>
      </c>
      <c r="Q553" s="129"/>
      <c r="R553" s="183" t="str">
        <f>IF(Table1[[#This Row],[Actual Effort (Hours)]]="","",IF(Table1[[#This Row],[Estimated Effort (Hours)]]&lt;20,"L1",IF(Table1[[#This Row],[Estimated Effort (Hours)]]&lt;50,"L2",IF(Table1[[#This Row],[Estimated Effort (Hours)]]&lt;150,"L3",IF(Table1[[#This Row],[Estimated Effort (Hours)]]&lt;300,"L4","L5")))))</f>
        <v/>
      </c>
      <c r="S553" s="184" t="str">
        <f>IF(Table1[[#This Row],[Actual End Date]]="","",TEXT(Table1[[#This Row],[Actual End Date]],"mmm-yy"))</f>
        <v/>
      </c>
      <c r="T5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3" s="185" t="str">
        <f>IFERROR((Table1[[#This Row],[Actual Effort (Hours)]]-Table1[[#This Row],[Estimated Effort (Hours)]])/Table1[[#This Row],[Estimated Effort (Hours)]],"")</f>
        <v/>
      </c>
    </row>
    <row r="554" spans="2:21">
      <c r="B554" s="125"/>
      <c r="C554" s="123"/>
      <c r="D554" s="143"/>
      <c r="E554" s="123"/>
      <c r="F554" s="143"/>
      <c r="G554" s="129"/>
      <c r="H554" s="124"/>
      <c r="I554" s="124"/>
      <c r="J554" s="129"/>
      <c r="K554" s="194"/>
      <c r="L554" s="194"/>
      <c r="M554" s="129"/>
      <c r="N554" s="129" t="e">
        <f>Table1[[#This Row],[Estimated Effort (Hours)]]/NETWORKDAYS(Table1[[#This Row],[Planned Start Date]],Table1[[#This Row],[Planned End Date]])</f>
        <v>#DIV/0!</v>
      </c>
      <c r="O554" s="178">
        <f>NETWORKDAYS(Table1[[#This Row],[Planned Start Date]],Table1[[#This Row],[Planned End Date]])</f>
        <v>0</v>
      </c>
      <c r="P554" s="178">
        <f>NETWORKDAYS(Table1[[#This Row],[Planned Start Date]],$P$7)</f>
        <v>30643</v>
      </c>
      <c r="Q554" s="129"/>
      <c r="R554" s="183" t="str">
        <f>IF(Table1[[#This Row],[Actual Effort (Hours)]]="","",IF(Table1[[#This Row],[Estimated Effort (Hours)]]&lt;20,"L1",IF(Table1[[#This Row],[Estimated Effort (Hours)]]&lt;50,"L2",IF(Table1[[#This Row],[Estimated Effort (Hours)]]&lt;150,"L3",IF(Table1[[#This Row],[Estimated Effort (Hours)]]&lt;300,"L4","L5")))))</f>
        <v/>
      </c>
      <c r="S554" s="184" t="str">
        <f>IF(Table1[[#This Row],[Actual End Date]]="","",TEXT(Table1[[#This Row],[Actual End Date]],"mmm-yy"))</f>
        <v/>
      </c>
      <c r="T5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4" s="185" t="str">
        <f>IFERROR((Table1[[#This Row],[Actual Effort (Hours)]]-Table1[[#This Row],[Estimated Effort (Hours)]])/Table1[[#This Row],[Estimated Effort (Hours)]],"")</f>
        <v/>
      </c>
    </row>
    <row r="555" spans="2:21">
      <c r="B555" s="125"/>
      <c r="C555" s="123"/>
      <c r="D555" s="143"/>
      <c r="E555" s="123"/>
      <c r="F555" s="143"/>
      <c r="G555" s="129"/>
      <c r="H555" s="124"/>
      <c r="I555" s="124"/>
      <c r="J555" s="129"/>
      <c r="K555" s="194"/>
      <c r="L555" s="194"/>
      <c r="M555" s="129"/>
      <c r="N555" s="129" t="e">
        <f>Table1[[#This Row],[Estimated Effort (Hours)]]/NETWORKDAYS(Table1[[#This Row],[Planned Start Date]],Table1[[#This Row],[Planned End Date]])</f>
        <v>#DIV/0!</v>
      </c>
      <c r="O555" s="178">
        <f>NETWORKDAYS(Table1[[#This Row],[Planned Start Date]],Table1[[#This Row],[Planned End Date]])</f>
        <v>0</v>
      </c>
      <c r="P555" s="178">
        <f>NETWORKDAYS(Table1[[#This Row],[Planned Start Date]],$P$7)</f>
        <v>30643</v>
      </c>
      <c r="Q555" s="129"/>
      <c r="R555" s="183" t="str">
        <f>IF(Table1[[#This Row],[Actual Effort (Hours)]]="","",IF(Table1[[#This Row],[Estimated Effort (Hours)]]&lt;20,"L1",IF(Table1[[#This Row],[Estimated Effort (Hours)]]&lt;50,"L2",IF(Table1[[#This Row],[Estimated Effort (Hours)]]&lt;150,"L3",IF(Table1[[#This Row],[Estimated Effort (Hours)]]&lt;300,"L4","L5")))))</f>
        <v/>
      </c>
      <c r="S555" s="184" t="str">
        <f>IF(Table1[[#This Row],[Actual End Date]]="","",TEXT(Table1[[#This Row],[Actual End Date]],"mmm-yy"))</f>
        <v/>
      </c>
      <c r="T5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5" s="185" t="str">
        <f>IFERROR((Table1[[#This Row],[Actual Effort (Hours)]]-Table1[[#This Row],[Estimated Effort (Hours)]])/Table1[[#This Row],[Estimated Effort (Hours)]],"")</f>
        <v/>
      </c>
    </row>
    <row r="556" spans="2:21">
      <c r="B556" s="125"/>
      <c r="C556" s="123"/>
      <c r="D556" s="143"/>
      <c r="E556" s="123"/>
      <c r="F556" s="143"/>
      <c r="G556" s="129"/>
      <c r="H556" s="124"/>
      <c r="I556" s="124"/>
      <c r="J556" s="129"/>
      <c r="K556" s="194"/>
      <c r="L556" s="194"/>
      <c r="M556" s="129"/>
      <c r="N556" s="129" t="e">
        <f>Table1[[#This Row],[Estimated Effort (Hours)]]/NETWORKDAYS(Table1[[#This Row],[Planned Start Date]],Table1[[#This Row],[Planned End Date]])</f>
        <v>#DIV/0!</v>
      </c>
      <c r="O556" s="178">
        <f>NETWORKDAYS(Table1[[#This Row],[Planned Start Date]],Table1[[#This Row],[Planned End Date]])</f>
        <v>0</v>
      </c>
      <c r="P556" s="178">
        <f>NETWORKDAYS(Table1[[#This Row],[Planned Start Date]],$P$7)</f>
        <v>30643</v>
      </c>
      <c r="Q556" s="129"/>
      <c r="R556" s="183" t="str">
        <f>IF(Table1[[#This Row],[Actual Effort (Hours)]]="","",IF(Table1[[#This Row],[Estimated Effort (Hours)]]&lt;20,"L1",IF(Table1[[#This Row],[Estimated Effort (Hours)]]&lt;50,"L2",IF(Table1[[#This Row],[Estimated Effort (Hours)]]&lt;150,"L3",IF(Table1[[#This Row],[Estimated Effort (Hours)]]&lt;300,"L4","L5")))))</f>
        <v/>
      </c>
      <c r="S556" s="184" t="str">
        <f>IF(Table1[[#This Row],[Actual End Date]]="","",TEXT(Table1[[#This Row],[Actual End Date]],"mmm-yy"))</f>
        <v/>
      </c>
      <c r="T5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6" s="185" t="str">
        <f>IFERROR((Table1[[#This Row],[Actual Effort (Hours)]]-Table1[[#This Row],[Estimated Effort (Hours)]])/Table1[[#This Row],[Estimated Effort (Hours)]],"")</f>
        <v/>
      </c>
    </row>
    <row r="557" spans="2:21">
      <c r="B557" s="125"/>
      <c r="C557" s="123"/>
      <c r="D557" s="143"/>
      <c r="E557" s="123"/>
      <c r="F557" s="143"/>
      <c r="G557" s="129"/>
      <c r="H557" s="124"/>
      <c r="I557" s="124"/>
      <c r="J557" s="129"/>
      <c r="K557" s="194"/>
      <c r="L557" s="194"/>
      <c r="M557" s="129"/>
      <c r="N557" s="129" t="e">
        <f>Table1[[#This Row],[Estimated Effort (Hours)]]/NETWORKDAYS(Table1[[#This Row],[Planned Start Date]],Table1[[#This Row],[Planned End Date]])</f>
        <v>#DIV/0!</v>
      </c>
      <c r="O557" s="178">
        <f>NETWORKDAYS(Table1[[#This Row],[Planned Start Date]],Table1[[#This Row],[Planned End Date]])</f>
        <v>0</v>
      </c>
      <c r="P557" s="178">
        <f>NETWORKDAYS(Table1[[#This Row],[Planned Start Date]],$P$7)</f>
        <v>30643</v>
      </c>
      <c r="Q557" s="129"/>
      <c r="R557" s="183" t="str">
        <f>IF(Table1[[#This Row],[Actual Effort (Hours)]]="","",IF(Table1[[#This Row],[Estimated Effort (Hours)]]&lt;20,"L1",IF(Table1[[#This Row],[Estimated Effort (Hours)]]&lt;50,"L2",IF(Table1[[#This Row],[Estimated Effort (Hours)]]&lt;150,"L3",IF(Table1[[#This Row],[Estimated Effort (Hours)]]&lt;300,"L4","L5")))))</f>
        <v/>
      </c>
      <c r="S557" s="184" t="str">
        <f>IF(Table1[[#This Row],[Actual End Date]]="","",TEXT(Table1[[#This Row],[Actual End Date]],"mmm-yy"))</f>
        <v/>
      </c>
      <c r="T5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7" s="185" t="str">
        <f>IFERROR((Table1[[#This Row],[Actual Effort (Hours)]]-Table1[[#This Row],[Estimated Effort (Hours)]])/Table1[[#This Row],[Estimated Effort (Hours)]],"")</f>
        <v/>
      </c>
    </row>
    <row r="558" spans="2:21">
      <c r="B558" s="125"/>
      <c r="C558" s="123"/>
      <c r="D558" s="143"/>
      <c r="E558" s="123"/>
      <c r="F558" s="143"/>
      <c r="G558" s="129"/>
      <c r="H558" s="124"/>
      <c r="I558" s="124"/>
      <c r="J558" s="129"/>
      <c r="K558" s="194"/>
      <c r="L558" s="194"/>
      <c r="M558" s="129"/>
      <c r="N558" s="129" t="e">
        <f>Table1[[#This Row],[Estimated Effort (Hours)]]/NETWORKDAYS(Table1[[#This Row],[Planned Start Date]],Table1[[#This Row],[Planned End Date]])</f>
        <v>#DIV/0!</v>
      </c>
      <c r="O558" s="178">
        <f>NETWORKDAYS(Table1[[#This Row],[Planned Start Date]],Table1[[#This Row],[Planned End Date]])</f>
        <v>0</v>
      </c>
      <c r="P558" s="178">
        <f>NETWORKDAYS(Table1[[#This Row],[Planned Start Date]],$P$7)</f>
        <v>30643</v>
      </c>
      <c r="Q558" s="129"/>
      <c r="R558" s="183" t="str">
        <f>IF(Table1[[#This Row],[Actual Effort (Hours)]]="","",IF(Table1[[#This Row],[Estimated Effort (Hours)]]&lt;20,"L1",IF(Table1[[#This Row],[Estimated Effort (Hours)]]&lt;50,"L2",IF(Table1[[#This Row],[Estimated Effort (Hours)]]&lt;150,"L3",IF(Table1[[#This Row],[Estimated Effort (Hours)]]&lt;300,"L4","L5")))))</f>
        <v/>
      </c>
      <c r="S558" s="184" t="str">
        <f>IF(Table1[[#This Row],[Actual End Date]]="","",TEXT(Table1[[#This Row],[Actual End Date]],"mmm-yy"))</f>
        <v/>
      </c>
      <c r="T5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8" s="185" t="str">
        <f>IFERROR((Table1[[#This Row],[Actual Effort (Hours)]]-Table1[[#This Row],[Estimated Effort (Hours)]])/Table1[[#This Row],[Estimated Effort (Hours)]],"")</f>
        <v/>
      </c>
    </row>
    <row r="559" spans="2:21">
      <c r="B559" s="125"/>
      <c r="C559" s="123"/>
      <c r="D559" s="143"/>
      <c r="E559" s="123"/>
      <c r="F559" s="143"/>
      <c r="G559" s="129"/>
      <c r="H559" s="124"/>
      <c r="I559" s="124"/>
      <c r="J559" s="129"/>
      <c r="K559" s="194"/>
      <c r="L559" s="194"/>
      <c r="M559" s="129"/>
      <c r="N559" s="129" t="e">
        <f>Table1[[#This Row],[Estimated Effort (Hours)]]/NETWORKDAYS(Table1[[#This Row],[Planned Start Date]],Table1[[#This Row],[Planned End Date]])</f>
        <v>#DIV/0!</v>
      </c>
      <c r="O559" s="178">
        <f>NETWORKDAYS(Table1[[#This Row],[Planned Start Date]],Table1[[#This Row],[Planned End Date]])</f>
        <v>0</v>
      </c>
      <c r="P559" s="178">
        <f>NETWORKDAYS(Table1[[#This Row],[Planned Start Date]],$P$7)</f>
        <v>30643</v>
      </c>
      <c r="Q559" s="129"/>
      <c r="R559" s="183" t="str">
        <f>IF(Table1[[#This Row],[Actual Effort (Hours)]]="","",IF(Table1[[#This Row],[Estimated Effort (Hours)]]&lt;20,"L1",IF(Table1[[#This Row],[Estimated Effort (Hours)]]&lt;50,"L2",IF(Table1[[#This Row],[Estimated Effort (Hours)]]&lt;150,"L3",IF(Table1[[#This Row],[Estimated Effort (Hours)]]&lt;300,"L4","L5")))))</f>
        <v/>
      </c>
      <c r="S559" s="184" t="str">
        <f>IF(Table1[[#This Row],[Actual End Date]]="","",TEXT(Table1[[#This Row],[Actual End Date]],"mmm-yy"))</f>
        <v/>
      </c>
      <c r="T5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59" s="185" t="str">
        <f>IFERROR((Table1[[#This Row],[Actual Effort (Hours)]]-Table1[[#This Row],[Estimated Effort (Hours)]])/Table1[[#This Row],[Estimated Effort (Hours)]],"")</f>
        <v/>
      </c>
    </row>
    <row r="560" spans="2:21">
      <c r="B560" s="125"/>
      <c r="C560" s="123"/>
      <c r="D560" s="143"/>
      <c r="E560" s="123"/>
      <c r="F560" s="143"/>
      <c r="G560" s="129"/>
      <c r="H560" s="124"/>
      <c r="I560" s="124"/>
      <c r="J560" s="129"/>
      <c r="K560" s="194"/>
      <c r="L560" s="194"/>
      <c r="M560" s="129"/>
      <c r="N560" s="129" t="e">
        <f>Table1[[#This Row],[Estimated Effort (Hours)]]/NETWORKDAYS(Table1[[#This Row],[Planned Start Date]],Table1[[#This Row],[Planned End Date]])</f>
        <v>#DIV/0!</v>
      </c>
      <c r="O560" s="178">
        <f>NETWORKDAYS(Table1[[#This Row],[Planned Start Date]],Table1[[#This Row],[Planned End Date]])</f>
        <v>0</v>
      </c>
      <c r="P560" s="178">
        <f>NETWORKDAYS(Table1[[#This Row],[Planned Start Date]],$P$7)</f>
        <v>30643</v>
      </c>
      <c r="Q560" s="129"/>
      <c r="R560" s="183" t="str">
        <f>IF(Table1[[#This Row],[Actual Effort (Hours)]]="","",IF(Table1[[#This Row],[Estimated Effort (Hours)]]&lt;20,"L1",IF(Table1[[#This Row],[Estimated Effort (Hours)]]&lt;50,"L2",IF(Table1[[#This Row],[Estimated Effort (Hours)]]&lt;150,"L3",IF(Table1[[#This Row],[Estimated Effort (Hours)]]&lt;300,"L4","L5")))))</f>
        <v/>
      </c>
      <c r="S560" s="184" t="str">
        <f>IF(Table1[[#This Row],[Actual End Date]]="","",TEXT(Table1[[#This Row],[Actual End Date]],"mmm-yy"))</f>
        <v/>
      </c>
      <c r="T5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0" s="185" t="str">
        <f>IFERROR((Table1[[#This Row],[Actual Effort (Hours)]]-Table1[[#This Row],[Estimated Effort (Hours)]])/Table1[[#This Row],[Estimated Effort (Hours)]],"")</f>
        <v/>
      </c>
    </row>
    <row r="561" spans="2:21">
      <c r="B561" s="125"/>
      <c r="C561" s="123"/>
      <c r="D561" s="143"/>
      <c r="E561" s="123"/>
      <c r="F561" s="143"/>
      <c r="G561" s="129"/>
      <c r="H561" s="124"/>
      <c r="I561" s="124"/>
      <c r="J561" s="129"/>
      <c r="K561" s="194"/>
      <c r="L561" s="194"/>
      <c r="M561" s="129"/>
      <c r="N561" s="129" t="e">
        <f>Table1[[#This Row],[Estimated Effort (Hours)]]/NETWORKDAYS(Table1[[#This Row],[Planned Start Date]],Table1[[#This Row],[Planned End Date]])</f>
        <v>#DIV/0!</v>
      </c>
      <c r="O561" s="178">
        <f>NETWORKDAYS(Table1[[#This Row],[Planned Start Date]],Table1[[#This Row],[Planned End Date]])</f>
        <v>0</v>
      </c>
      <c r="P561" s="178">
        <f>NETWORKDAYS(Table1[[#This Row],[Planned Start Date]],$P$7)</f>
        <v>30643</v>
      </c>
      <c r="Q561" s="129"/>
      <c r="R561" s="183" t="str">
        <f>IF(Table1[[#This Row],[Actual Effort (Hours)]]="","",IF(Table1[[#This Row],[Estimated Effort (Hours)]]&lt;20,"L1",IF(Table1[[#This Row],[Estimated Effort (Hours)]]&lt;50,"L2",IF(Table1[[#This Row],[Estimated Effort (Hours)]]&lt;150,"L3",IF(Table1[[#This Row],[Estimated Effort (Hours)]]&lt;300,"L4","L5")))))</f>
        <v/>
      </c>
      <c r="S561" s="184" t="str">
        <f>IF(Table1[[#This Row],[Actual End Date]]="","",TEXT(Table1[[#This Row],[Actual End Date]],"mmm-yy"))</f>
        <v/>
      </c>
      <c r="T5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1" s="185" t="str">
        <f>IFERROR((Table1[[#This Row],[Actual Effort (Hours)]]-Table1[[#This Row],[Estimated Effort (Hours)]])/Table1[[#This Row],[Estimated Effort (Hours)]],"")</f>
        <v/>
      </c>
    </row>
    <row r="562" spans="2:21">
      <c r="B562" s="125"/>
      <c r="C562" s="123"/>
      <c r="D562" s="143"/>
      <c r="E562" s="123"/>
      <c r="F562" s="143"/>
      <c r="G562" s="129"/>
      <c r="H562" s="124"/>
      <c r="I562" s="124"/>
      <c r="J562" s="129"/>
      <c r="K562" s="194"/>
      <c r="L562" s="194"/>
      <c r="M562" s="129"/>
      <c r="N562" s="129" t="e">
        <f>Table1[[#This Row],[Estimated Effort (Hours)]]/NETWORKDAYS(Table1[[#This Row],[Planned Start Date]],Table1[[#This Row],[Planned End Date]])</f>
        <v>#DIV/0!</v>
      </c>
      <c r="O562" s="178">
        <f>NETWORKDAYS(Table1[[#This Row],[Planned Start Date]],Table1[[#This Row],[Planned End Date]])</f>
        <v>0</v>
      </c>
      <c r="P562" s="178">
        <f>NETWORKDAYS(Table1[[#This Row],[Planned Start Date]],$P$7)</f>
        <v>30643</v>
      </c>
      <c r="Q562" s="129"/>
      <c r="R562" s="183" t="str">
        <f>IF(Table1[[#This Row],[Actual Effort (Hours)]]="","",IF(Table1[[#This Row],[Estimated Effort (Hours)]]&lt;20,"L1",IF(Table1[[#This Row],[Estimated Effort (Hours)]]&lt;50,"L2",IF(Table1[[#This Row],[Estimated Effort (Hours)]]&lt;150,"L3",IF(Table1[[#This Row],[Estimated Effort (Hours)]]&lt;300,"L4","L5")))))</f>
        <v/>
      </c>
      <c r="S562" s="184" t="str">
        <f>IF(Table1[[#This Row],[Actual End Date]]="","",TEXT(Table1[[#This Row],[Actual End Date]],"mmm-yy"))</f>
        <v/>
      </c>
      <c r="T5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2" s="185" t="str">
        <f>IFERROR((Table1[[#This Row],[Actual Effort (Hours)]]-Table1[[#This Row],[Estimated Effort (Hours)]])/Table1[[#This Row],[Estimated Effort (Hours)]],"")</f>
        <v/>
      </c>
    </row>
    <row r="563" spans="2:21">
      <c r="B563" s="125"/>
      <c r="C563" s="123"/>
      <c r="D563" s="143"/>
      <c r="E563" s="123"/>
      <c r="F563" s="143"/>
      <c r="G563" s="129"/>
      <c r="H563" s="124"/>
      <c r="I563" s="124"/>
      <c r="J563" s="129"/>
      <c r="K563" s="194"/>
      <c r="L563" s="194"/>
      <c r="M563" s="129"/>
      <c r="N563" s="129" t="e">
        <f>Table1[[#This Row],[Estimated Effort (Hours)]]/NETWORKDAYS(Table1[[#This Row],[Planned Start Date]],Table1[[#This Row],[Planned End Date]])</f>
        <v>#DIV/0!</v>
      </c>
      <c r="O563" s="178">
        <f>NETWORKDAYS(Table1[[#This Row],[Planned Start Date]],Table1[[#This Row],[Planned End Date]])</f>
        <v>0</v>
      </c>
      <c r="P563" s="178">
        <f>NETWORKDAYS(Table1[[#This Row],[Planned Start Date]],$P$7)</f>
        <v>30643</v>
      </c>
      <c r="Q563" s="129"/>
      <c r="R563" s="183" t="str">
        <f>IF(Table1[[#This Row],[Actual Effort (Hours)]]="","",IF(Table1[[#This Row],[Estimated Effort (Hours)]]&lt;20,"L1",IF(Table1[[#This Row],[Estimated Effort (Hours)]]&lt;50,"L2",IF(Table1[[#This Row],[Estimated Effort (Hours)]]&lt;150,"L3",IF(Table1[[#This Row],[Estimated Effort (Hours)]]&lt;300,"L4","L5")))))</f>
        <v/>
      </c>
      <c r="S563" s="184" t="str">
        <f>IF(Table1[[#This Row],[Actual End Date]]="","",TEXT(Table1[[#This Row],[Actual End Date]],"mmm-yy"))</f>
        <v/>
      </c>
      <c r="T5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3" s="185" t="str">
        <f>IFERROR((Table1[[#This Row],[Actual Effort (Hours)]]-Table1[[#This Row],[Estimated Effort (Hours)]])/Table1[[#This Row],[Estimated Effort (Hours)]],"")</f>
        <v/>
      </c>
    </row>
    <row r="564" spans="2:21">
      <c r="B564" s="125"/>
      <c r="C564" s="123"/>
      <c r="D564" s="143"/>
      <c r="E564" s="123"/>
      <c r="F564" s="143"/>
      <c r="G564" s="129"/>
      <c r="H564" s="124"/>
      <c r="I564" s="124"/>
      <c r="J564" s="129"/>
      <c r="K564" s="194"/>
      <c r="L564" s="194"/>
      <c r="M564" s="129"/>
      <c r="N564" s="129" t="e">
        <f>Table1[[#This Row],[Estimated Effort (Hours)]]/NETWORKDAYS(Table1[[#This Row],[Planned Start Date]],Table1[[#This Row],[Planned End Date]])</f>
        <v>#DIV/0!</v>
      </c>
      <c r="O564" s="178">
        <f>NETWORKDAYS(Table1[[#This Row],[Planned Start Date]],Table1[[#This Row],[Planned End Date]])</f>
        <v>0</v>
      </c>
      <c r="P564" s="178">
        <f>NETWORKDAYS(Table1[[#This Row],[Planned Start Date]],$P$7)</f>
        <v>30643</v>
      </c>
      <c r="Q564" s="129"/>
      <c r="R564" s="183" t="str">
        <f>IF(Table1[[#This Row],[Actual Effort (Hours)]]="","",IF(Table1[[#This Row],[Estimated Effort (Hours)]]&lt;20,"L1",IF(Table1[[#This Row],[Estimated Effort (Hours)]]&lt;50,"L2",IF(Table1[[#This Row],[Estimated Effort (Hours)]]&lt;150,"L3",IF(Table1[[#This Row],[Estimated Effort (Hours)]]&lt;300,"L4","L5")))))</f>
        <v/>
      </c>
      <c r="S564" s="184" t="str">
        <f>IF(Table1[[#This Row],[Actual End Date]]="","",TEXT(Table1[[#This Row],[Actual End Date]],"mmm-yy"))</f>
        <v/>
      </c>
      <c r="T5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4" s="185" t="str">
        <f>IFERROR((Table1[[#This Row],[Actual Effort (Hours)]]-Table1[[#This Row],[Estimated Effort (Hours)]])/Table1[[#This Row],[Estimated Effort (Hours)]],"")</f>
        <v/>
      </c>
    </row>
    <row r="565" spans="2:21">
      <c r="B565" s="125"/>
      <c r="C565" s="123"/>
      <c r="D565" s="143"/>
      <c r="E565" s="123"/>
      <c r="F565" s="143"/>
      <c r="G565" s="129"/>
      <c r="H565" s="124"/>
      <c r="I565" s="124"/>
      <c r="J565" s="129"/>
      <c r="K565" s="194"/>
      <c r="L565" s="194"/>
      <c r="M565" s="129"/>
      <c r="N565" s="129" t="e">
        <f>Table1[[#This Row],[Estimated Effort (Hours)]]/NETWORKDAYS(Table1[[#This Row],[Planned Start Date]],Table1[[#This Row],[Planned End Date]])</f>
        <v>#DIV/0!</v>
      </c>
      <c r="O565" s="178">
        <f>NETWORKDAYS(Table1[[#This Row],[Planned Start Date]],Table1[[#This Row],[Planned End Date]])</f>
        <v>0</v>
      </c>
      <c r="P565" s="178">
        <f>NETWORKDAYS(Table1[[#This Row],[Planned Start Date]],$P$7)</f>
        <v>30643</v>
      </c>
      <c r="Q565" s="129"/>
      <c r="R565" s="183" t="str">
        <f>IF(Table1[[#This Row],[Actual Effort (Hours)]]="","",IF(Table1[[#This Row],[Estimated Effort (Hours)]]&lt;20,"L1",IF(Table1[[#This Row],[Estimated Effort (Hours)]]&lt;50,"L2",IF(Table1[[#This Row],[Estimated Effort (Hours)]]&lt;150,"L3",IF(Table1[[#This Row],[Estimated Effort (Hours)]]&lt;300,"L4","L5")))))</f>
        <v/>
      </c>
      <c r="S565" s="184" t="str">
        <f>IF(Table1[[#This Row],[Actual End Date]]="","",TEXT(Table1[[#This Row],[Actual End Date]],"mmm-yy"))</f>
        <v/>
      </c>
      <c r="T5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5" s="185" t="str">
        <f>IFERROR((Table1[[#This Row],[Actual Effort (Hours)]]-Table1[[#This Row],[Estimated Effort (Hours)]])/Table1[[#This Row],[Estimated Effort (Hours)]],"")</f>
        <v/>
      </c>
    </row>
    <row r="566" spans="2:21">
      <c r="B566" s="125"/>
      <c r="C566" s="123"/>
      <c r="D566" s="143"/>
      <c r="E566" s="123"/>
      <c r="F566" s="143"/>
      <c r="G566" s="129"/>
      <c r="H566" s="124"/>
      <c r="I566" s="124"/>
      <c r="J566" s="129"/>
      <c r="K566" s="194"/>
      <c r="L566" s="194"/>
      <c r="M566" s="129"/>
      <c r="N566" s="129" t="e">
        <f>Table1[[#This Row],[Estimated Effort (Hours)]]/NETWORKDAYS(Table1[[#This Row],[Planned Start Date]],Table1[[#This Row],[Planned End Date]])</f>
        <v>#DIV/0!</v>
      </c>
      <c r="O566" s="178">
        <f>NETWORKDAYS(Table1[[#This Row],[Planned Start Date]],Table1[[#This Row],[Planned End Date]])</f>
        <v>0</v>
      </c>
      <c r="P566" s="178">
        <f>NETWORKDAYS(Table1[[#This Row],[Planned Start Date]],$P$7)</f>
        <v>30643</v>
      </c>
      <c r="Q566" s="129"/>
      <c r="R566" s="183" t="str">
        <f>IF(Table1[[#This Row],[Actual Effort (Hours)]]="","",IF(Table1[[#This Row],[Estimated Effort (Hours)]]&lt;20,"L1",IF(Table1[[#This Row],[Estimated Effort (Hours)]]&lt;50,"L2",IF(Table1[[#This Row],[Estimated Effort (Hours)]]&lt;150,"L3",IF(Table1[[#This Row],[Estimated Effort (Hours)]]&lt;300,"L4","L5")))))</f>
        <v/>
      </c>
      <c r="S566" s="184" t="str">
        <f>IF(Table1[[#This Row],[Actual End Date]]="","",TEXT(Table1[[#This Row],[Actual End Date]],"mmm-yy"))</f>
        <v/>
      </c>
      <c r="T5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6" s="185" t="str">
        <f>IFERROR((Table1[[#This Row],[Actual Effort (Hours)]]-Table1[[#This Row],[Estimated Effort (Hours)]])/Table1[[#This Row],[Estimated Effort (Hours)]],"")</f>
        <v/>
      </c>
    </row>
    <row r="567" spans="2:21">
      <c r="B567" s="125"/>
      <c r="C567" s="123"/>
      <c r="D567" s="143"/>
      <c r="E567" s="123"/>
      <c r="F567" s="143"/>
      <c r="G567" s="129"/>
      <c r="H567" s="124"/>
      <c r="I567" s="124"/>
      <c r="J567" s="129"/>
      <c r="K567" s="194"/>
      <c r="L567" s="194"/>
      <c r="M567" s="129"/>
      <c r="N567" s="129" t="e">
        <f>Table1[[#This Row],[Estimated Effort (Hours)]]/NETWORKDAYS(Table1[[#This Row],[Planned Start Date]],Table1[[#This Row],[Planned End Date]])</f>
        <v>#DIV/0!</v>
      </c>
      <c r="O567" s="178">
        <f>NETWORKDAYS(Table1[[#This Row],[Planned Start Date]],Table1[[#This Row],[Planned End Date]])</f>
        <v>0</v>
      </c>
      <c r="P567" s="178">
        <f>NETWORKDAYS(Table1[[#This Row],[Planned Start Date]],$P$7)</f>
        <v>30643</v>
      </c>
      <c r="Q567" s="129"/>
      <c r="R567" s="183" t="str">
        <f>IF(Table1[[#This Row],[Actual Effort (Hours)]]="","",IF(Table1[[#This Row],[Estimated Effort (Hours)]]&lt;20,"L1",IF(Table1[[#This Row],[Estimated Effort (Hours)]]&lt;50,"L2",IF(Table1[[#This Row],[Estimated Effort (Hours)]]&lt;150,"L3",IF(Table1[[#This Row],[Estimated Effort (Hours)]]&lt;300,"L4","L5")))))</f>
        <v/>
      </c>
      <c r="S567" s="184" t="str">
        <f>IF(Table1[[#This Row],[Actual End Date]]="","",TEXT(Table1[[#This Row],[Actual End Date]],"mmm-yy"))</f>
        <v/>
      </c>
      <c r="T5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7" s="185" t="str">
        <f>IFERROR((Table1[[#This Row],[Actual Effort (Hours)]]-Table1[[#This Row],[Estimated Effort (Hours)]])/Table1[[#This Row],[Estimated Effort (Hours)]],"")</f>
        <v/>
      </c>
    </row>
    <row r="568" spans="2:21">
      <c r="B568" s="125"/>
      <c r="C568" s="123"/>
      <c r="D568" s="143"/>
      <c r="E568" s="123"/>
      <c r="F568" s="143"/>
      <c r="G568" s="129"/>
      <c r="H568" s="124"/>
      <c r="I568" s="124"/>
      <c r="J568" s="129"/>
      <c r="K568" s="194"/>
      <c r="L568" s="194"/>
      <c r="M568" s="129"/>
      <c r="N568" s="129" t="e">
        <f>Table1[[#This Row],[Estimated Effort (Hours)]]/NETWORKDAYS(Table1[[#This Row],[Planned Start Date]],Table1[[#This Row],[Planned End Date]])</f>
        <v>#DIV/0!</v>
      </c>
      <c r="O568" s="178">
        <f>NETWORKDAYS(Table1[[#This Row],[Planned Start Date]],Table1[[#This Row],[Planned End Date]])</f>
        <v>0</v>
      </c>
      <c r="P568" s="178">
        <f>NETWORKDAYS(Table1[[#This Row],[Planned Start Date]],$P$7)</f>
        <v>30643</v>
      </c>
      <c r="Q568" s="129"/>
      <c r="R568" s="183" t="str">
        <f>IF(Table1[[#This Row],[Actual Effort (Hours)]]="","",IF(Table1[[#This Row],[Estimated Effort (Hours)]]&lt;20,"L1",IF(Table1[[#This Row],[Estimated Effort (Hours)]]&lt;50,"L2",IF(Table1[[#This Row],[Estimated Effort (Hours)]]&lt;150,"L3",IF(Table1[[#This Row],[Estimated Effort (Hours)]]&lt;300,"L4","L5")))))</f>
        <v/>
      </c>
      <c r="S568" s="184" t="str">
        <f>IF(Table1[[#This Row],[Actual End Date]]="","",TEXT(Table1[[#This Row],[Actual End Date]],"mmm-yy"))</f>
        <v/>
      </c>
      <c r="T5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8" s="185" t="str">
        <f>IFERROR((Table1[[#This Row],[Actual Effort (Hours)]]-Table1[[#This Row],[Estimated Effort (Hours)]])/Table1[[#This Row],[Estimated Effort (Hours)]],"")</f>
        <v/>
      </c>
    </row>
    <row r="569" spans="2:21">
      <c r="B569" s="125"/>
      <c r="C569" s="123"/>
      <c r="D569" s="143"/>
      <c r="E569" s="123"/>
      <c r="F569" s="143"/>
      <c r="G569" s="129"/>
      <c r="H569" s="124"/>
      <c r="I569" s="124"/>
      <c r="J569" s="129"/>
      <c r="K569" s="194"/>
      <c r="L569" s="194"/>
      <c r="M569" s="129"/>
      <c r="N569" s="129" t="e">
        <f>Table1[[#This Row],[Estimated Effort (Hours)]]/NETWORKDAYS(Table1[[#This Row],[Planned Start Date]],Table1[[#This Row],[Planned End Date]])</f>
        <v>#DIV/0!</v>
      </c>
      <c r="O569" s="178">
        <f>NETWORKDAYS(Table1[[#This Row],[Planned Start Date]],Table1[[#This Row],[Planned End Date]])</f>
        <v>0</v>
      </c>
      <c r="P569" s="178">
        <f>NETWORKDAYS(Table1[[#This Row],[Planned Start Date]],$P$7)</f>
        <v>30643</v>
      </c>
      <c r="Q569" s="129"/>
      <c r="R569" s="183" t="str">
        <f>IF(Table1[[#This Row],[Actual Effort (Hours)]]="","",IF(Table1[[#This Row],[Estimated Effort (Hours)]]&lt;20,"L1",IF(Table1[[#This Row],[Estimated Effort (Hours)]]&lt;50,"L2",IF(Table1[[#This Row],[Estimated Effort (Hours)]]&lt;150,"L3",IF(Table1[[#This Row],[Estimated Effort (Hours)]]&lt;300,"L4","L5")))))</f>
        <v/>
      </c>
      <c r="S569" s="184" t="str">
        <f>IF(Table1[[#This Row],[Actual End Date]]="","",TEXT(Table1[[#This Row],[Actual End Date]],"mmm-yy"))</f>
        <v/>
      </c>
      <c r="T5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69" s="185" t="str">
        <f>IFERROR((Table1[[#This Row],[Actual Effort (Hours)]]-Table1[[#This Row],[Estimated Effort (Hours)]])/Table1[[#This Row],[Estimated Effort (Hours)]],"")</f>
        <v/>
      </c>
    </row>
    <row r="570" spans="2:21">
      <c r="B570" s="125"/>
      <c r="C570" s="123"/>
      <c r="D570" s="143"/>
      <c r="E570" s="123"/>
      <c r="F570" s="143"/>
      <c r="G570" s="129"/>
      <c r="H570" s="124"/>
      <c r="I570" s="124"/>
      <c r="J570" s="129"/>
      <c r="K570" s="194"/>
      <c r="L570" s="194"/>
      <c r="M570" s="129"/>
      <c r="N570" s="129" t="e">
        <f>Table1[[#This Row],[Estimated Effort (Hours)]]/NETWORKDAYS(Table1[[#This Row],[Planned Start Date]],Table1[[#This Row],[Planned End Date]])</f>
        <v>#DIV/0!</v>
      </c>
      <c r="O570" s="178">
        <f>NETWORKDAYS(Table1[[#This Row],[Planned Start Date]],Table1[[#This Row],[Planned End Date]])</f>
        <v>0</v>
      </c>
      <c r="P570" s="178">
        <f>NETWORKDAYS(Table1[[#This Row],[Planned Start Date]],$P$7)</f>
        <v>30643</v>
      </c>
      <c r="Q570" s="129"/>
      <c r="R570" s="183" t="str">
        <f>IF(Table1[[#This Row],[Actual Effort (Hours)]]="","",IF(Table1[[#This Row],[Estimated Effort (Hours)]]&lt;20,"L1",IF(Table1[[#This Row],[Estimated Effort (Hours)]]&lt;50,"L2",IF(Table1[[#This Row],[Estimated Effort (Hours)]]&lt;150,"L3",IF(Table1[[#This Row],[Estimated Effort (Hours)]]&lt;300,"L4","L5")))))</f>
        <v/>
      </c>
      <c r="S570" s="184" t="str">
        <f>IF(Table1[[#This Row],[Actual End Date]]="","",TEXT(Table1[[#This Row],[Actual End Date]],"mmm-yy"))</f>
        <v/>
      </c>
      <c r="T5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0" s="185" t="str">
        <f>IFERROR((Table1[[#This Row],[Actual Effort (Hours)]]-Table1[[#This Row],[Estimated Effort (Hours)]])/Table1[[#This Row],[Estimated Effort (Hours)]],"")</f>
        <v/>
      </c>
    </row>
    <row r="571" spans="2:21">
      <c r="B571" s="125"/>
      <c r="C571" s="123"/>
      <c r="D571" s="143"/>
      <c r="E571" s="123"/>
      <c r="F571" s="143"/>
      <c r="G571" s="129"/>
      <c r="H571" s="124"/>
      <c r="I571" s="124"/>
      <c r="J571" s="129"/>
      <c r="K571" s="194"/>
      <c r="L571" s="194"/>
      <c r="M571" s="129"/>
      <c r="N571" s="129" t="e">
        <f>Table1[[#This Row],[Estimated Effort (Hours)]]/NETWORKDAYS(Table1[[#This Row],[Planned Start Date]],Table1[[#This Row],[Planned End Date]])</f>
        <v>#DIV/0!</v>
      </c>
      <c r="O571" s="178">
        <f>NETWORKDAYS(Table1[[#This Row],[Planned Start Date]],Table1[[#This Row],[Planned End Date]])</f>
        <v>0</v>
      </c>
      <c r="P571" s="178">
        <f>NETWORKDAYS(Table1[[#This Row],[Planned Start Date]],$P$7)</f>
        <v>30643</v>
      </c>
      <c r="Q571" s="129"/>
      <c r="R571" s="183" t="str">
        <f>IF(Table1[[#This Row],[Actual Effort (Hours)]]="","",IF(Table1[[#This Row],[Estimated Effort (Hours)]]&lt;20,"L1",IF(Table1[[#This Row],[Estimated Effort (Hours)]]&lt;50,"L2",IF(Table1[[#This Row],[Estimated Effort (Hours)]]&lt;150,"L3",IF(Table1[[#This Row],[Estimated Effort (Hours)]]&lt;300,"L4","L5")))))</f>
        <v/>
      </c>
      <c r="S571" s="184" t="str">
        <f>IF(Table1[[#This Row],[Actual End Date]]="","",TEXT(Table1[[#This Row],[Actual End Date]],"mmm-yy"))</f>
        <v/>
      </c>
      <c r="T5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1" s="185" t="str">
        <f>IFERROR((Table1[[#This Row],[Actual Effort (Hours)]]-Table1[[#This Row],[Estimated Effort (Hours)]])/Table1[[#This Row],[Estimated Effort (Hours)]],"")</f>
        <v/>
      </c>
    </row>
    <row r="572" spans="2:21">
      <c r="B572" s="125"/>
      <c r="C572" s="123"/>
      <c r="D572" s="143"/>
      <c r="E572" s="123"/>
      <c r="F572" s="143"/>
      <c r="G572" s="129"/>
      <c r="H572" s="124"/>
      <c r="I572" s="124"/>
      <c r="J572" s="129"/>
      <c r="K572" s="194"/>
      <c r="L572" s="194"/>
      <c r="M572" s="129"/>
      <c r="N572" s="129" t="e">
        <f>Table1[[#This Row],[Estimated Effort (Hours)]]/NETWORKDAYS(Table1[[#This Row],[Planned Start Date]],Table1[[#This Row],[Planned End Date]])</f>
        <v>#DIV/0!</v>
      </c>
      <c r="O572" s="178">
        <f>NETWORKDAYS(Table1[[#This Row],[Planned Start Date]],Table1[[#This Row],[Planned End Date]])</f>
        <v>0</v>
      </c>
      <c r="P572" s="178">
        <f>NETWORKDAYS(Table1[[#This Row],[Planned Start Date]],$P$7)</f>
        <v>30643</v>
      </c>
      <c r="Q572" s="129"/>
      <c r="R572" s="183" t="str">
        <f>IF(Table1[[#This Row],[Actual Effort (Hours)]]="","",IF(Table1[[#This Row],[Estimated Effort (Hours)]]&lt;20,"L1",IF(Table1[[#This Row],[Estimated Effort (Hours)]]&lt;50,"L2",IF(Table1[[#This Row],[Estimated Effort (Hours)]]&lt;150,"L3",IF(Table1[[#This Row],[Estimated Effort (Hours)]]&lt;300,"L4","L5")))))</f>
        <v/>
      </c>
      <c r="S572" s="184" t="str">
        <f>IF(Table1[[#This Row],[Actual End Date]]="","",TEXT(Table1[[#This Row],[Actual End Date]],"mmm-yy"))</f>
        <v/>
      </c>
      <c r="T5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2" s="185" t="str">
        <f>IFERROR((Table1[[#This Row],[Actual Effort (Hours)]]-Table1[[#This Row],[Estimated Effort (Hours)]])/Table1[[#This Row],[Estimated Effort (Hours)]],"")</f>
        <v/>
      </c>
    </row>
    <row r="573" spans="2:21">
      <c r="B573" s="125"/>
      <c r="C573" s="123"/>
      <c r="D573" s="143"/>
      <c r="E573" s="123"/>
      <c r="F573" s="143"/>
      <c r="G573" s="129"/>
      <c r="H573" s="124"/>
      <c r="I573" s="124"/>
      <c r="J573" s="129"/>
      <c r="K573" s="194"/>
      <c r="L573" s="194"/>
      <c r="M573" s="129"/>
      <c r="N573" s="129" t="e">
        <f>Table1[[#This Row],[Estimated Effort (Hours)]]/NETWORKDAYS(Table1[[#This Row],[Planned Start Date]],Table1[[#This Row],[Planned End Date]])</f>
        <v>#DIV/0!</v>
      </c>
      <c r="O573" s="178">
        <f>NETWORKDAYS(Table1[[#This Row],[Planned Start Date]],Table1[[#This Row],[Planned End Date]])</f>
        <v>0</v>
      </c>
      <c r="P573" s="178">
        <f>NETWORKDAYS(Table1[[#This Row],[Planned Start Date]],$P$7)</f>
        <v>30643</v>
      </c>
      <c r="Q573" s="129"/>
      <c r="R573" s="183" t="str">
        <f>IF(Table1[[#This Row],[Actual Effort (Hours)]]="","",IF(Table1[[#This Row],[Estimated Effort (Hours)]]&lt;20,"L1",IF(Table1[[#This Row],[Estimated Effort (Hours)]]&lt;50,"L2",IF(Table1[[#This Row],[Estimated Effort (Hours)]]&lt;150,"L3",IF(Table1[[#This Row],[Estimated Effort (Hours)]]&lt;300,"L4","L5")))))</f>
        <v/>
      </c>
      <c r="S573" s="184" t="str">
        <f>IF(Table1[[#This Row],[Actual End Date]]="","",TEXT(Table1[[#This Row],[Actual End Date]],"mmm-yy"))</f>
        <v/>
      </c>
      <c r="T5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3" s="185" t="str">
        <f>IFERROR((Table1[[#This Row],[Actual Effort (Hours)]]-Table1[[#This Row],[Estimated Effort (Hours)]])/Table1[[#This Row],[Estimated Effort (Hours)]],"")</f>
        <v/>
      </c>
    </row>
    <row r="574" spans="2:21">
      <c r="B574" s="125"/>
      <c r="C574" s="123"/>
      <c r="D574" s="143"/>
      <c r="E574" s="123"/>
      <c r="F574" s="143"/>
      <c r="G574" s="129"/>
      <c r="H574" s="124"/>
      <c r="I574" s="124"/>
      <c r="J574" s="129"/>
      <c r="K574" s="194"/>
      <c r="L574" s="194"/>
      <c r="M574" s="129"/>
      <c r="N574" s="129" t="e">
        <f>Table1[[#This Row],[Estimated Effort (Hours)]]/NETWORKDAYS(Table1[[#This Row],[Planned Start Date]],Table1[[#This Row],[Planned End Date]])</f>
        <v>#DIV/0!</v>
      </c>
      <c r="O574" s="178">
        <f>NETWORKDAYS(Table1[[#This Row],[Planned Start Date]],Table1[[#This Row],[Planned End Date]])</f>
        <v>0</v>
      </c>
      <c r="P574" s="178">
        <f>NETWORKDAYS(Table1[[#This Row],[Planned Start Date]],$P$7)</f>
        <v>30643</v>
      </c>
      <c r="Q574" s="129"/>
      <c r="R574" s="183" t="str">
        <f>IF(Table1[[#This Row],[Actual Effort (Hours)]]="","",IF(Table1[[#This Row],[Estimated Effort (Hours)]]&lt;20,"L1",IF(Table1[[#This Row],[Estimated Effort (Hours)]]&lt;50,"L2",IF(Table1[[#This Row],[Estimated Effort (Hours)]]&lt;150,"L3",IF(Table1[[#This Row],[Estimated Effort (Hours)]]&lt;300,"L4","L5")))))</f>
        <v/>
      </c>
      <c r="S574" s="184" t="str">
        <f>IF(Table1[[#This Row],[Actual End Date]]="","",TEXT(Table1[[#This Row],[Actual End Date]],"mmm-yy"))</f>
        <v/>
      </c>
      <c r="T5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4" s="185" t="str">
        <f>IFERROR((Table1[[#This Row],[Actual Effort (Hours)]]-Table1[[#This Row],[Estimated Effort (Hours)]])/Table1[[#This Row],[Estimated Effort (Hours)]],"")</f>
        <v/>
      </c>
    </row>
    <row r="575" spans="2:21">
      <c r="B575" s="125"/>
      <c r="C575" s="123"/>
      <c r="D575" s="143"/>
      <c r="E575" s="123"/>
      <c r="F575" s="143"/>
      <c r="G575" s="129"/>
      <c r="H575" s="124"/>
      <c r="I575" s="124"/>
      <c r="J575" s="129"/>
      <c r="K575" s="194"/>
      <c r="L575" s="194"/>
      <c r="M575" s="129"/>
      <c r="N575" s="129" t="e">
        <f>Table1[[#This Row],[Estimated Effort (Hours)]]/NETWORKDAYS(Table1[[#This Row],[Planned Start Date]],Table1[[#This Row],[Planned End Date]])</f>
        <v>#DIV/0!</v>
      </c>
      <c r="O575" s="178">
        <f>NETWORKDAYS(Table1[[#This Row],[Planned Start Date]],Table1[[#This Row],[Planned End Date]])</f>
        <v>0</v>
      </c>
      <c r="P575" s="178">
        <f>NETWORKDAYS(Table1[[#This Row],[Planned Start Date]],$P$7)</f>
        <v>30643</v>
      </c>
      <c r="Q575" s="129"/>
      <c r="R575" s="183" t="str">
        <f>IF(Table1[[#This Row],[Actual Effort (Hours)]]="","",IF(Table1[[#This Row],[Estimated Effort (Hours)]]&lt;20,"L1",IF(Table1[[#This Row],[Estimated Effort (Hours)]]&lt;50,"L2",IF(Table1[[#This Row],[Estimated Effort (Hours)]]&lt;150,"L3",IF(Table1[[#This Row],[Estimated Effort (Hours)]]&lt;300,"L4","L5")))))</f>
        <v/>
      </c>
      <c r="S575" s="184" t="str">
        <f>IF(Table1[[#This Row],[Actual End Date]]="","",TEXT(Table1[[#This Row],[Actual End Date]],"mmm-yy"))</f>
        <v/>
      </c>
      <c r="T5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5" s="185" t="str">
        <f>IFERROR((Table1[[#This Row],[Actual Effort (Hours)]]-Table1[[#This Row],[Estimated Effort (Hours)]])/Table1[[#This Row],[Estimated Effort (Hours)]],"")</f>
        <v/>
      </c>
    </row>
    <row r="576" spans="2:21">
      <c r="B576" s="125"/>
      <c r="C576" s="123"/>
      <c r="D576" s="143"/>
      <c r="E576" s="123"/>
      <c r="F576" s="143"/>
      <c r="G576" s="129"/>
      <c r="H576" s="124"/>
      <c r="I576" s="124"/>
      <c r="J576" s="129"/>
      <c r="K576" s="194"/>
      <c r="L576" s="194"/>
      <c r="M576" s="129"/>
      <c r="N576" s="129" t="e">
        <f>Table1[[#This Row],[Estimated Effort (Hours)]]/NETWORKDAYS(Table1[[#This Row],[Planned Start Date]],Table1[[#This Row],[Planned End Date]])</f>
        <v>#DIV/0!</v>
      </c>
      <c r="O576" s="178">
        <f>NETWORKDAYS(Table1[[#This Row],[Planned Start Date]],Table1[[#This Row],[Planned End Date]])</f>
        <v>0</v>
      </c>
      <c r="P576" s="178">
        <f>NETWORKDAYS(Table1[[#This Row],[Planned Start Date]],$P$7)</f>
        <v>30643</v>
      </c>
      <c r="Q576" s="129"/>
      <c r="R576" s="183" t="str">
        <f>IF(Table1[[#This Row],[Actual Effort (Hours)]]="","",IF(Table1[[#This Row],[Estimated Effort (Hours)]]&lt;20,"L1",IF(Table1[[#This Row],[Estimated Effort (Hours)]]&lt;50,"L2",IF(Table1[[#This Row],[Estimated Effort (Hours)]]&lt;150,"L3",IF(Table1[[#This Row],[Estimated Effort (Hours)]]&lt;300,"L4","L5")))))</f>
        <v/>
      </c>
      <c r="S576" s="184" t="str">
        <f>IF(Table1[[#This Row],[Actual End Date]]="","",TEXT(Table1[[#This Row],[Actual End Date]],"mmm-yy"))</f>
        <v/>
      </c>
      <c r="T5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6" s="185" t="str">
        <f>IFERROR((Table1[[#This Row],[Actual Effort (Hours)]]-Table1[[#This Row],[Estimated Effort (Hours)]])/Table1[[#This Row],[Estimated Effort (Hours)]],"")</f>
        <v/>
      </c>
    </row>
    <row r="577" spans="2:21">
      <c r="B577" s="125"/>
      <c r="C577" s="123"/>
      <c r="D577" s="143"/>
      <c r="E577" s="123"/>
      <c r="F577" s="143"/>
      <c r="G577" s="129"/>
      <c r="H577" s="124"/>
      <c r="I577" s="124"/>
      <c r="J577" s="129"/>
      <c r="K577" s="194"/>
      <c r="L577" s="194"/>
      <c r="M577" s="129"/>
      <c r="N577" s="129" t="e">
        <f>Table1[[#This Row],[Estimated Effort (Hours)]]/NETWORKDAYS(Table1[[#This Row],[Planned Start Date]],Table1[[#This Row],[Planned End Date]])</f>
        <v>#DIV/0!</v>
      </c>
      <c r="O577" s="178">
        <f>NETWORKDAYS(Table1[[#This Row],[Planned Start Date]],Table1[[#This Row],[Planned End Date]])</f>
        <v>0</v>
      </c>
      <c r="P577" s="178">
        <f>NETWORKDAYS(Table1[[#This Row],[Planned Start Date]],$P$7)</f>
        <v>30643</v>
      </c>
      <c r="Q577" s="129"/>
      <c r="R577" s="183" t="str">
        <f>IF(Table1[[#This Row],[Actual Effort (Hours)]]="","",IF(Table1[[#This Row],[Estimated Effort (Hours)]]&lt;20,"L1",IF(Table1[[#This Row],[Estimated Effort (Hours)]]&lt;50,"L2",IF(Table1[[#This Row],[Estimated Effort (Hours)]]&lt;150,"L3",IF(Table1[[#This Row],[Estimated Effort (Hours)]]&lt;300,"L4","L5")))))</f>
        <v/>
      </c>
      <c r="S577" s="184" t="str">
        <f>IF(Table1[[#This Row],[Actual End Date]]="","",TEXT(Table1[[#This Row],[Actual End Date]],"mmm-yy"))</f>
        <v/>
      </c>
      <c r="T5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7" s="185" t="str">
        <f>IFERROR((Table1[[#This Row],[Actual Effort (Hours)]]-Table1[[#This Row],[Estimated Effort (Hours)]])/Table1[[#This Row],[Estimated Effort (Hours)]],"")</f>
        <v/>
      </c>
    </row>
    <row r="578" spans="2:21">
      <c r="B578" s="125"/>
      <c r="C578" s="123"/>
      <c r="D578" s="143"/>
      <c r="E578" s="123"/>
      <c r="F578" s="143"/>
      <c r="G578" s="129"/>
      <c r="H578" s="124"/>
      <c r="I578" s="124"/>
      <c r="J578" s="129"/>
      <c r="K578" s="194"/>
      <c r="L578" s="194"/>
      <c r="M578" s="129"/>
      <c r="N578" s="129" t="e">
        <f>Table1[[#This Row],[Estimated Effort (Hours)]]/NETWORKDAYS(Table1[[#This Row],[Planned Start Date]],Table1[[#This Row],[Planned End Date]])</f>
        <v>#DIV/0!</v>
      </c>
      <c r="O578" s="178">
        <f>NETWORKDAYS(Table1[[#This Row],[Planned Start Date]],Table1[[#This Row],[Planned End Date]])</f>
        <v>0</v>
      </c>
      <c r="P578" s="178">
        <f>NETWORKDAYS(Table1[[#This Row],[Planned Start Date]],$P$7)</f>
        <v>30643</v>
      </c>
      <c r="Q578" s="129"/>
      <c r="R578" s="183" t="str">
        <f>IF(Table1[[#This Row],[Actual Effort (Hours)]]="","",IF(Table1[[#This Row],[Estimated Effort (Hours)]]&lt;20,"L1",IF(Table1[[#This Row],[Estimated Effort (Hours)]]&lt;50,"L2",IF(Table1[[#This Row],[Estimated Effort (Hours)]]&lt;150,"L3",IF(Table1[[#This Row],[Estimated Effort (Hours)]]&lt;300,"L4","L5")))))</f>
        <v/>
      </c>
      <c r="S578" s="184" t="str">
        <f>IF(Table1[[#This Row],[Actual End Date]]="","",TEXT(Table1[[#This Row],[Actual End Date]],"mmm-yy"))</f>
        <v/>
      </c>
      <c r="T5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8" s="185" t="str">
        <f>IFERROR((Table1[[#This Row],[Actual Effort (Hours)]]-Table1[[#This Row],[Estimated Effort (Hours)]])/Table1[[#This Row],[Estimated Effort (Hours)]],"")</f>
        <v/>
      </c>
    </row>
    <row r="579" spans="2:21">
      <c r="B579" s="125"/>
      <c r="C579" s="123"/>
      <c r="D579" s="143"/>
      <c r="E579" s="123"/>
      <c r="F579" s="143"/>
      <c r="G579" s="129"/>
      <c r="H579" s="124"/>
      <c r="I579" s="124"/>
      <c r="J579" s="129"/>
      <c r="K579" s="194"/>
      <c r="L579" s="194"/>
      <c r="M579" s="129"/>
      <c r="N579" s="129" t="e">
        <f>Table1[[#This Row],[Estimated Effort (Hours)]]/NETWORKDAYS(Table1[[#This Row],[Planned Start Date]],Table1[[#This Row],[Planned End Date]])</f>
        <v>#DIV/0!</v>
      </c>
      <c r="O579" s="178">
        <f>NETWORKDAYS(Table1[[#This Row],[Planned Start Date]],Table1[[#This Row],[Planned End Date]])</f>
        <v>0</v>
      </c>
      <c r="P579" s="178">
        <f>NETWORKDAYS(Table1[[#This Row],[Planned Start Date]],$P$7)</f>
        <v>30643</v>
      </c>
      <c r="Q579" s="129"/>
      <c r="R579" s="183" t="str">
        <f>IF(Table1[[#This Row],[Actual Effort (Hours)]]="","",IF(Table1[[#This Row],[Estimated Effort (Hours)]]&lt;20,"L1",IF(Table1[[#This Row],[Estimated Effort (Hours)]]&lt;50,"L2",IF(Table1[[#This Row],[Estimated Effort (Hours)]]&lt;150,"L3",IF(Table1[[#This Row],[Estimated Effort (Hours)]]&lt;300,"L4","L5")))))</f>
        <v/>
      </c>
      <c r="S579" s="184" t="str">
        <f>IF(Table1[[#This Row],[Actual End Date]]="","",TEXT(Table1[[#This Row],[Actual End Date]],"mmm-yy"))</f>
        <v/>
      </c>
      <c r="T5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79" s="185" t="str">
        <f>IFERROR((Table1[[#This Row],[Actual Effort (Hours)]]-Table1[[#This Row],[Estimated Effort (Hours)]])/Table1[[#This Row],[Estimated Effort (Hours)]],"")</f>
        <v/>
      </c>
    </row>
    <row r="580" spans="2:21">
      <c r="B580" s="125"/>
      <c r="C580" s="123"/>
      <c r="D580" s="143"/>
      <c r="E580" s="123"/>
      <c r="F580" s="143"/>
      <c r="G580" s="129"/>
      <c r="H580" s="124"/>
      <c r="I580" s="124"/>
      <c r="J580" s="129"/>
      <c r="K580" s="194"/>
      <c r="L580" s="194"/>
      <c r="M580" s="129"/>
      <c r="N580" s="129" t="e">
        <f>Table1[[#This Row],[Estimated Effort (Hours)]]/NETWORKDAYS(Table1[[#This Row],[Planned Start Date]],Table1[[#This Row],[Planned End Date]])</f>
        <v>#DIV/0!</v>
      </c>
      <c r="O580" s="178">
        <f>NETWORKDAYS(Table1[[#This Row],[Planned Start Date]],Table1[[#This Row],[Planned End Date]])</f>
        <v>0</v>
      </c>
      <c r="P580" s="178">
        <f>NETWORKDAYS(Table1[[#This Row],[Planned Start Date]],$P$7)</f>
        <v>30643</v>
      </c>
      <c r="Q580" s="129"/>
      <c r="R580" s="183" t="str">
        <f>IF(Table1[[#This Row],[Actual Effort (Hours)]]="","",IF(Table1[[#This Row],[Estimated Effort (Hours)]]&lt;20,"L1",IF(Table1[[#This Row],[Estimated Effort (Hours)]]&lt;50,"L2",IF(Table1[[#This Row],[Estimated Effort (Hours)]]&lt;150,"L3",IF(Table1[[#This Row],[Estimated Effort (Hours)]]&lt;300,"L4","L5")))))</f>
        <v/>
      </c>
      <c r="S580" s="184" t="str">
        <f>IF(Table1[[#This Row],[Actual End Date]]="","",TEXT(Table1[[#This Row],[Actual End Date]],"mmm-yy"))</f>
        <v/>
      </c>
      <c r="T5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0" s="185" t="str">
        <f>IFERROR((Table1[[#This Row],[Actual Effort (Hours)]]-Table1[[#This Row],[Estimated Effort (Hours)]])/Table1[[#This Row],[Estimated Effort (Hours)]],"")</f>
        <v/>
      </c>
    </row>
    <row r="581" spans="2:21">
      <c r="B581" s="125"/>
      <c r="C581" s="123"/>
      <c r="D581" s="143"/>
      <c r="E581" s="123"/>
      <c r="F581" s="143"/>
      <c r="G581" s="129"/>
      <c r="H581" s="124"/>
      <c r="I581" s="124"/>
      <c r="J581" s="129"/>
      <c r="K581" s="194"/>
      <c r="L581" s="194"/>
      <c r="M581" s="129"/>
      <c r="N581" s="129" t="e">
        <f>Table1[[#This Row],[Estimated Effort (Hours)]]/NETWORKDAYS(Table1[[#This Row],[Planned Start Date]],Table1[[#This Row],[Planned End Date]])</f>
        <v>#DIV/0!</v>
      </c>
      <c r="O581" s="178">
        <f>NETWORKDAYS(Table1[[#This Row],[Planned Start Date]],Table1[[#This Row],[Planned End Date]])</f>
        <v>0</v>
      </c>
      <c r="P581" s="178">
        <f>NETWORKDAYS(Table1[[#This Row],[Planned Start Date]],$P$7)</f>
        <v>30643</v>
      </c>
      <c r="Q581" s="129"/>
      <c r="R581" s="183" t="str">
        <f>IF(Table1[[#This Row],[Actual Effort (Hours)]]="","",IF(Table1[[#This Row],[Estimated Effort (Hours)]]&lt;20,"L1",IF(Table1[[#This Row],[Estimated Effort (Hours)]]&lt;50,"L2",IF(Table1[[#This Row],[Estimated Effort (Hours)]]&lt;150,"L3",IF(Table1[[#This Row],[Estimated Effort (Hours)]]&lt;300,"L4","L5")))))</f>
        <v/>
      </c>
      <c r="S581" s="184" t="str">
        <f>IF(Table1[[#This Row],[Actual End Date]]="","",TEXT(Table1[[#This Row],[Actual End Date]],"mmm-yy"))</f>
        <v/>
      </c>
      <c r="T5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1" s="185" t="str">
        <f>IFERROR((Table1[[#This Row],[Actual Effort (Hours)]]-Table1[[#This Row],[Estimated Effort (Hours)]])/Table1[[#This Row],[Estimated Effort (Hours)]],"")</f>
        <v/>
      </c>
    </row>
    <row r="582" spans="2:21">
      <c r="B582" s="125"/>
      <c r="C582" s="123"/>
      <c r="D582" s="143"/>
      <c r="E582" s="123"/>
      <c r="F582" s="143"/>
      <c r="G582" s="129"/>
      <c r="H582" s="124"/>
      <c r="I582" s="124"/>
      <c r="J582" s="129"/>
      <c r="K582" s="194"/>
      <c r="L582" s="194"/>
      <c r="M582" s="129"/>
      <c r="N582" s="129" t="e">
        <f>Table1[[#This Row],[Estimated Effort (Hours)]]/NETWORKDAYS(Table1[[#This Row],[Planned Start Date]],Table1[[#This Row],[Planned End Date]])</f>
        <v>#DIV/0!</v>
      </c>
      <c r="O582" s="178">
        <f>NETWORKDAYS(Table1[[#This Row],[Planned Start Date]],Table1[[#This Row],[Planned End Date]])</f>
        <v>0</v>
      </c>
      <c r="P582" s="178">
        <f>NETWORKDAYS(Table1[[#This Row],[Planned Start Date]],$P$7)</f>
        <v>30643</v>
      </c>
      <c r="Q582" s="129"/>
      <c r="R582" s="183" t="str">
        <f>IF(Table1[[#This Row],[Actual Effort (Hours)]]="","",IF(Table1[[#This Row],[Estimated Effort (Hours)]]&lt;20,"L1",IF(Table1[[#This Row],[Estimated Effort (Hours)]]&lt;50,"L2",IF(Table1[[#This Row],[Estimated Effort (Hours)]]&lt;150,"L3",IF(Table1[[#This Row],[Estimated Effort (Hours)]]&lt;300,"L4","L5")))))</f>
        <v/>
      </c>
      <c r="S582" s="184" t="str">
        <f>IF(Table1[[#This Row],[Actual End Date]]="","",TEXT(Table1[[#This Row],[Actual End Date]],"mmm-yy"))</f>
        <v/>
      </c>
      <c r="T5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2" s="185" t="str">
        <f>IFERROR((Table1[[#This Row],[Actual Effort (Hours)]]-Table1[[#This Row],[Estimated Effort (Hours)]])/Table1[[#This Row],[Estimated Effort (Hours)]],"")</f>
        <v/>
      </c>
    </row>
    <row r="583" spans="2:21">
      <c r="B583" s="125"/>
      <c r="C583" s="123"/>
      <c r="D583" s="143"/>
      <c r="E583" s="123"/>
      <c r="F583" s="143"/>
      <c r="G583" s="129"/>
      <c r="H583" s="124"/>
      <c r="I583" s="124"/>
      <c r="J583" s="129"/>
      <c r="K583" s="194"/>
      <c r="L583" s="194"/>
      <c r="M583" s="129"/>
      <c r="N583" s="129" t="e">
        <f>Table1[[#This Row],[Estimated Effort (Hours)]]/NETWORKDAYS(Table1[[#This Row],[Planned Start Date]],Table1[[#This Row],[Planned End Date]])</f>
        <v>#DIV/0!</v>
      </c>
      <c r="O583" s="178">
        <f>NETWORKDAYS(Table1[[#This Row],[Planned Start Date]],Table1[[#This Row],[Planned End Date]])</f>
        <v>0</v>
      </c>
      <c r="P583" s="178">
        <f>NETWORKDAYS(Table1[[#This Row],[Planned Start Date]],$P$7)</f>
        <v>30643</v>
      </c>
      <c r="Q583" s="129"/>
      <c r="R583" s="183" t="str">
        <f>IF(Table1[[#This Row],[Actual Effort (Hours)]]="","",IF(Table1[[#This Row],[Estimated Effort (Hours)]]&lt;20,"L1",IF(Table1[[#This Row],[Estimated Effort (Hours)]]&lt;50,"L2",IF(Table1[[#This Row],[Estimated Effort (Hours)]]&lt;150,"L3",IF(Table1[[#This Row],[Estimated Effort (Hours)]]&lt;300,"L4","L5")))))</f>
        <v/>
      </c>
      <c r="S583" s="184" t="str">
        <f>IF(Table1[[#This Row],[Actual End Date]]="","",TEXT(Table1[[#This Row],[Actual End Date]],"mmm-yy"))</f>
        <v/>
      </c>
      <c r="T5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3" s="185" t="str">
        <f>IFERROR((Table1[[#This Row],[Actual Effort (Hours)]]-Table1[[#This Row],[Estimated Effort (Hours)]])/Table1[[#This Row],[Estimated Effort (Hours)]],"")</f>
        <v/>
      </c>
    </row>
    <row r="584" spans="2:21">
      <c r="B584" s="125"/>
      <c r="C584" s="123"/>
      <c r="D584" s="143"/>
      <c r="E584" s="123"/>
      <c r="F584" s="143"/>
      <c r="G584" s="129"/>
      <c r="H584" s="124"/>
      <c r="I584" s="124"/>
      <c r="J584" s="129"/>
      <c r="K584" s="194"/>
      <c r="L584" s="194"/>
      <c r="M584" s="129"/>
      <c r="N584" s="129" t="e">
        <f>Table1[[#This Row],[Estimated Effort (Hours)]]/NETWORKDAYS(Table1[[#This Row],[Planned Start Date]],Table1[[#This Row],[Planned End Date]])</f>
        <v>#DIV/0!</v>
      </c>
      <c r="O584" s="178">
        <f>NETWORKDAYS(Table1[[#This Row],[Planned Start Date]],Table1[[#This Row],[Planned End Date]])</f>
        <v>0</v>
      </c>
      <c r="P584" s="178">
        <f>NETWORKDAYS(Table1[[#This Row],[Planned Start Date]],$P$7)</f>
        <v>30643</v>
      </c>
      <c r="Q584" s="129"/>
      <c r="R584" s="183" t="str">
        <f>IF(Table1[[#This Row],[Actual Effort (Hours)]]="","",IF(Table1[[#This Row],[Estimated Effort (Hours)]]&lt;20,"L1",IF(Table1[[#This Row],[Estimated Effort (Hours)]]&lt;50,"L2",IF(Table1[[#This Row],[Estimated Effort (Hours)]]&lt;150,"L3",IF(Table1[[#This Row],[Estimated Effort (Hours)]]&lt;300,"L4","L5")))))</f>
        <v/>
      </c>
      <c r="S584" s="184" t="str">
        <f>IF(Table1[[#This Row],[Actual End Date]]="","",TEXT(Table1[[#This Row],[Actual End Date]],"mmm-yy"))</f>
        <v/>
      </c>
      <c r="T5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4" s="185" t="str">
        <f>IFERROR((Table1[[#This Row],[Actual Effort (Hours)]]-Table1[[#This Row],[Estimated Effort (Hours)]])/Table1[[#This Row],[Estimated Effort (Hours)]],"")</f>
        <v/>
      </c>
    </row>
    <row r="585" spans="2:21">
      <c r="B585" s="125"/>
      <c r="C585" s="123"/>
      <c r="D585" s="143"/>
      <c r="E585" s="123"/>
      <c r="F585" s="143"/>
      <c r="G585" s="129"/>
      <c r="H585" s="124"/>
      <c r="I585" s="124"/>
      <c r="J585" s="129"/>
      <c r="K585" s="194"/>
      <c r="L585" s="194"/>
      <c r="M585" s="129"/>
      <c r="N585" s="129" t="e">
        <f>Table1[[#This Row],[Estimated Effort (Hours)]]/NETWORKDAYS(Table1[[#This Row],[Planned Start Date]],Table1[[#This Row],[Planned End Date]])</f>
        <v>#DIV/0!</v>
      </c>
      <c r="O585" s="178">
        <f>NETWORKDAYS(Table1[[#This Row],[Planned Start Date]],Table1[[#This Row],[Planned End Date]])</f>
        <v>0</v>
      </c>
      <c r="P585" s="178">
        <f>NETWORKDAYS(Table1[[#This Row],[Planned Start Date]],$P$7)</f>
        <v>30643</v>
      </c>
      <c r="Q585" s="129"/>
      <c r="R585" s="183" t="str">
        <f>IF(Table1[[#This Row],[Actual Effort (Hours)]]="","",IF(Table1[[#This Row],[Estimated Effort (Hours)]]&lt;20,"L1",IF(Table1[[#This Row],[Estimated Effort (Hours)]]&lt;50,"L2",IF(Table1[[#This Row],[Estimated Effort (Hours)]]&lt;150,"L3",IF(Table1[[#This Row],[Estimated Effort (Hours)]]&lt;300,"L4","L5")))))</f>
        <v/>
      </c>
      <c r="S585" s="184" t="str">
        <f>IF(Table1[[#This Row],[Actual End Date]]="","",TEXT(Table1[[#This Row],[Actual End Date]],"mmm-yy"))</f>
        <v/>
      </c>
      <c r="T5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5" s="185" t="str">
        <f>IFERROR((Table1[[#This Row],[Actual Effort (Hours)]]-Table1[[#This Row],[Estimated Effort (Hours)]])/Table1[[#This Row],[Estimated Effort (Hours)]],"")</f>
        <v/>
      </c>
    </row>
    <row r="586" spans="2:21">
      <c r="B586" s="125"/>
      <c r="C586" s="123"/>
      <c r="D586" s="143"/>
      <c r="E586" s="123"/>
      <c r="F586" s="143"/>
      <c r="G586" s="129"/>
      <c r="H586" s="124"/>
      <c r="I586" s="124"/>
      <c r="J586" s="129"/>
      <c r="K586" s="194"/>
      <c r="L586" s="194"/>
      <c r="M586" s="129"/>
      <c r="N586" s="129" t="e">
        <f>Table1[[#This Row],[Estimated Effort (Hours)]]/NETWORKDAYS(Table1[[#This Row],[Planned Start Date]],Table1[[#This Row],[Planned End Date]])</f>
        <v>#DIV/0!</v>
      </c>
      <c r="O586" s="178">
        <f>NETWORKDAYS(Table1[[#This Row],[Planned Start Date]],Table1[[#This Row],[Planned End Date]])</f>
        <v>0</v>
      </c>
      <c r="P586" s="178">
        <f>NETWORKDAYS(Table1[[#This Row],[Planned Start Date]],$P$7)</f>
        <v>30643</v>
      </c>
      <c r="Q586" s="129"/>
      <c r="R586" s="183" t="str">
        <f>IF(Table1[[#This Row],[Actual Effort (Hours)]]="","",IF(Table1[[#This Row],[Estimated Effort (Hours)]]&lt;20,"L1",IF(Table1[[#This Row],[Estimated Effort (Hours)]]&lt;50,"L2",IF(Table1[[#This Row],[Estimated Effort (Hours)]]&lt;150,"L3",IF(Table1[[#This Row],[Estimated Effort (Hours)]]&lt;300,"L4","L5")))))</f>
        <v/>
      </c>
      <c r="S586" s="184" t="str">
        <f>IF(Table1[[#This Row],[Actual End Date]]="","",TEXT(Table1[[#This Row],[Actual End Date]],"mmm-yy"))</f>
        <v/>
      </c>
      <c r="T5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6" s="185" t="str">
        <f>IFERROR((Table1[[#This Row],[Actual Effort (Hours)]]-Table1[[#This Row],[Estimated Effort (Hours)]])/Table1[[#This Row],[Estimated Effort (Hours)]],"")</f>
        <v/>
      </c>
    </row>
    <row r="587" spans="2:21">
      <c r="B587" s="125"/>
      <c r="C587" s="123"/>
      <c r="D587" s="143"/>
      <c r="E587" s="123"/>
      <c r="F587" s="143"/>
      <c r="G587" s="129"/>
      <c r="H587" s="124"/>
      <c r="I587" s="124"/>
      <c r="J587" s="129"/>
      <c r="K587" s="194"/>
      <c r="L587" s="194"/>
      <c r="M587" s="129"/>
      <c r="N587" s="129" t="e">
        <f>Table1[[#This Row],[Estimated Effort (Hours)]]/NETWORKDAYS(Table1[[#This Row],[Planned Start Date]],Table1[[#This Row],[Planned End Date]])</f>
        <v>#DIV/0!</v>
      </c>
      <c r="O587" s="178">
        <f>NETWORKDAYS(Table1[[#This Row],[Planned Start Date]],Table1[[#This Row],[Planned End Date]])</f>
        <v>0</v>
      </c>
      <c r="P587" s="178">
        <f>NETWORKDAYS(Table1[[#This Row],[Planned Start Date]],$P$7)</f>
        <v>30643</v>
      </c>
      <c r="Q587" s="129"/>
      <c r="R587" s="183" t="str">
        <f>IF(Table1[[#This Row],[Actual Effort (Hours)]]="","",IF(Table1[[#This Row],[Estimated Effort (Hours)]]&lt;20,"L1",IF(Table1[[#This Row],[Estimated Effort (Hours)]]&lt;50,"L2",IF(Table1[[#This Row],[Estimated Effort (Hours)]]&lt;150,"L3",IF(Table1[[#This Row],[Estimated Effort (Hours)]]&lt;300,"L4","L5")))))</f>
        <v/>
      </c>
      <c r="S587" s="184" t="str">
        <f>IF(Table1[[#This Row],[Actual End Date]]="","",TEXT(Table1[[#This Row],[Actual End Date]],"mmm-yy"))</f>
        <v/>
      </c>
      <c r="T5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7" s="185" t="str">
        <f>IFERROR((Table1[[#This Row],[Actual Effort (Hours)]]-Table1[[#This Row],[Estimated Effort (Hours)]])/Table1[[#This Row],[Estimated Effort (Hours)]],"")</f>
        <v/>
      </c>
    </row>
    <row r="588" spans="2:21">
      <c r="B588" s="125"/>
      <c r="C588" s="123"/>
      <c r="D588" s="143"/>
      <c r="E588" s="123"/>
      <c r="F588" s="143"/>
      <c r="G588" s="129"/>
      <c r="H588" s="124"/>
      <c r="I588" s="124"/>
      <c r="J588" s="129"/>
      <c r="K588" s="194"/>
      <c r="L588" s="194"/>
      <c r="M588" s="129"/>
      <c r="N588" s="129" t="e">
        <f>Table1[[#This Row],[Estimated Effort (Hours)]]/NETWORKDAYS(Table1[[#This Row],[Planned Start Date]],Table1[[#This Row],[Planned End Date]])</f>
        <v>#DIV/0!</v>
      </c>
      <c r="O588" s="178">
        <f>NETWORKDAYS(Table1[[#This Row],[Planned Start Date]],Table1[[#This Row],[Planned End Date]])</f>
        <v>0</v>
      </c>
      <c r="P588" s="178">
        <f>NETWORKDAYS(Table1[[#This Row],[Planned Start Date]],$P$7)</f>
        <v>30643</v>
      </c>
      <c r="Q588" s="129"/>
      <c r="R588" s="183" t="str">
        <f>IF(Table1[[#This Row],[Actual Effort (Hours)]]="","",IF(Table1[[#This Row],[Estimated Effort (Hours)]]&lt;20,"L1",IF(Table1[[#This Row],[Estimated Effort (Hours)]]&lt;50,"L2",IF(Table1[[#This Row],[Estimated Effort (Hours)]]&lt;150,"L3",IF(Table1[[#This Row],[Estimated Effort (Hours)]]&lt;300,"L4","L5")))))</f>
        <v/>
      </c>
      <c r="S588" s="184" t="str">
        <f>IF(Table1[[#This Row],[Actual End Date]]="","",TEXT(Table1[[#This Row],[Actual End Date]],"mmm-yy"))</f>
        <v/>
      </c>
      <c r="T5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8" s="185" t="str">
        <f>IFERROR((Table1[[#This Row],[Actual Effort (Hours)]]-Table1[[#This Row],[Estimated Effort (Hours)]])/Table1[[#This Row],[Estimated Effort (Hours)]],"")</f>
        <v/>
      </c>
    </row>
    <row r="589" spans="2:21">
      <c r="B589" s="125"/>
      <c r="C589" s="123"/>
      <c r="D589" s="143"/>
      <c r="E589" s="123"/>
      <c r="F589" s="143"/>
      <c r="G589" s="129"/>
      <c r="H589" s="124"/>
      <c r="I589" s="124"/>
      <c r="J589" s="129"/>
      <c r="K589" s="194"/>
      <c r="L589" s="194"/>
      <c r="M589" s="129"/>
      <c r="N589" s="129" t="e">
        <f>Table1[[#This Row],[Estimated Effort (Hours)]]/NETWORKDAYS(Table1[[#This Row],[Planned Start Date]],Table1[[#This Row],[Planned End Date]])</f>
        <v>#DIV/0!</v>
      </c>
      <c r="O589" s="178">
        <f>NETWORKDAYS(Table1[[#This Row],[Planned Start Date]],Table1[[#This Row],[Planned End Date]])</f>
        <v>0</v>
      </c>
      <c r="P589" s="178">
        <f>NETWORKDAYS(Table1[[#This Row],[Planned Start Date]],$P$7)</f>
        <v>30643</v>
      </c>
      <c r="Q589" s="129"/>
      <c r="R589" s="183" t="str">
        <f>IF(Table1[[#This Row],[Actual Effort (Hours)]]="","",IF(Table1[[#This Row],[Estimated Effort (Hours)]]&lt;20,"L1",IF(Table1[[#This Row],[Estimated Effort (Hours)]]&lt;50,"L2",IF(Table1[[#This Row],[Estimated Effort (Hours)]]&lt;150,"L3",IF(Table1[[#This Row],[Estimated Effort (Hours)]]&lt;300,"L4","L5")))))</f>
        <v/>
      </c>
      <c r="S589" s="184" t="str">
        <f>IF(Table1[[#This Row],[Actual End Date]]="","",TEXT(Table1[[#This Row],[Actual End Date]],"mmm-yy"))</f>
        <v/>
      </c>
      <c r="T5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89" s="185" t="str">
        <f>IFERROR((Table1[[#This Row],[Actual Effort (Hours)]]-Table1[[#This Row],[Estimated Effort (Hours)]])/Table1[[#This Row],[Estimated Effort (Hours)]],"")</f>
        <v/>
      </c>
    </row>
    <row r="590" spans="2:21">
      <c r="B590" s="125"/>
      <c r="C590" s="123"/>
      <c r="D590" s="143"/>
      <c r="E590" s="123"/>
      <c r="F590" s="143"/>
      <c r="G590" s="129"/>
      <c r="H590" s="124"/>
      <c r="I590" s="124"/>
      <c r="J590" s="129"/>
      <c r="K590" s="194"/>
      <c r="L590" s="194"/>
      <c r="M590" s="129"/>
      <c r="N590" s="129" t="e">
        <f>Table1[[#This Row],[Estimated Effort (Hours)]]/NETWORKDAYS(Table1[[#This Row],[Planned Start Date]],Table1[[#This Row],[Planned End Date]])</f>
        <v>#DIV/0!</v>
      </c>
      <c r="O590" s="178">
        <f>NETWORKDAYS(Table1[[#This Row],[Planned Start Date]],Table1[[#This Row],[Planned End Date]])</f>
        <v>0</v>
      </c>
      <c r="P590" s="178">
        <f>NETWORKDAYS(Table1[[#This Row],[Planned Start Date]],$P$7)</f>
        <v>30643</v>
      </c>
      <c r="Q590" s="129"/>
      <c r="R590" s="183" t="str">
        <f>IF(Table1[[#This Row],[Actual Effort (Hours)]]="","",IF(Table1[[#This Row],[Estimated Effort (Hours)]]&lt;20,"L1",IF(Table1[[#This Row],[Estimated Effort (Hours)]]&lt;50,"L2",IF(Table1[[#This Row],[Estimated Effort (Hours)]]&lt;150,"L3",IF(Table1[[#This Row],[Estimated Effort (Hours)]]&lt;300,"L4","L5")))))</f>
        <v/>
      </c>
      <c r="S590" s="184" t="str">
        <f>IF(Table1[[#This Row],[Actual End Date]]="","",TEXT(Table1[[#This Row],[Actual End Date]],"mmm-yy"))</f>
        <v/>
      </c>
      <c r="T5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0" s="185" t="str">
        <f>IFERROR((Table1[[#This Row],[Actual Effort (Hours)]]-Table1[[#This Row],[Estimated Effort (Hours)]])/Table1[[#This Row],[Estimated Effort (Hours)]],"")</f>
        <v/>
      </c>
    </row>
    <row r="591" spans="2:21">
      <c r="B591" s="125"/>
      <c r="C591" s="123"/>
      <c r="D591" s="143"/>
      <c r="E591" s="123"/>
      <c r="F591" s="143"/>
      <c r="G591" s="129"/>
      <c r="H591" s="124"/>
      <c r="I591" s="124"/>
      <c r="J591" s="129"/>
      <c r="K591" s="194"/>
      <c r="L591" s="194"/>
      <c r="M591" s="129"/>
      <c r="N591" s="129" t="e">
        <f>Table1[[#This Row],[Estimated Effort (Hours)]]/NETWORKDAYS(Table1[[#This Row],[Planned Start Date]],Table1[[#This Row],[Planned End Date]])</f>
        <v>#DIV/0!</v>
      </c>
      <c r="O591" s="178">
        <f>NETWORKDAYS(Table1[[#This Row],[Planned Start Date]],Table1[[#This Row],[Planned End Date]])</f>
        <v>0</v>
      </c>
      <c r="P591" s="178">
        <f>NETWORKDAYS(Table1[[#This Row],[Planned Start Date]],$P$7)</f>
        <v>30643</v>
      </c>
      <c r="Q591" s="129"/>
      <c r="R591" s="183" t="str">
        <f>IF(Table1[[#This Row],[Actual Effort (Hours)]]="","",IF(Table1[[#This Row],[Estimated Effort (Hours)]]&lt;20,"L1",IF(Table1[[#This Row],[Estimated Effort (Hours)]]&lt;50,"L2",IF(Table1[[#This Row],[Estimated Effort (Hours)]]&lt;150,"L3",IF(Table1[[#This Row],[Estimated Effort (Hours)]]&lt;300,"L4","L5")))))</f>
        <v/>
      </c>
      <c r="S591" s="184" t="str">
        <f>IF(Table1[[#This Row],[Actual End Date]]="","",TEXT(Table1[[#This Row],[Actual End Date]],"mmm-yy"))</f>
        <v/>
      </c>
      <c r="T5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1" s="185" t="str">
        <f>IFERROR((Table1[[#This Row],[Actual Effort (Hours)]]-Table1[[#This Row],[Estimated Effort (Hours)]])/Table1[[#This Row],[Estimated Effort (Hours)]],"")</f>
        <v/>
      </c>
    </row>
    <row r="592" spans="2:21">
      <c r="B592" s="125"/>
      <c r="C592" s="123"/>
      <c r="D592" s="143"/>
      <c r="E592" s="123"/>
      <c r="F592" s="143"/>
      <c r="G592" s="129"/>
      <c r="H592" s="124"/>
      <c r="I592" s="124"/>
      <c r="J592" s="129"/>
      <c r="K592" s="194"/>
      <c r="L592" s="194"/>
      <c r="M592" s="129"/>
      <c r="N592" s="129" t="e">
        <f>Table1[[#This Row],[Estimated Effort (Hours)]]/NETWORKDAYS(Table1[[#This Row],[Planned Start Date]],Table1[[#This Row],[Planned End Date]])</f>
        <v>#DIV/0!</v>
      </c>
      <c r="O592" s="178">
        <f>NETWORKDAYS(Table1[[#This Row],[Planned Start Date]],Table1[[#This Row],[Planned End Date]])</f>
        <v>0</v>
      </c>
      <c r="P592" s="178">
        <f>NETWORKDAYS(Table1[[#This Row],[Planned Start Date]],$P$7)</f>
        <v>30643</v>
      </c>
      <c r="Q592" s="129"/>
      <c r="R592" s="183" t="str">
        <f>IF(Table1[[#This Row],[Actual Effort (Hours)]]="","",IF(Table1[[#This Row],[Estimated Effort (Hours)]]&lt;20,"L1",IF(Table1[[#This Row],[Estimated Effort (Hours)]]&lt;50,"L2",IF(Table1[[#This Row],[Estimated Effort (Hours)]]&lt;150,"L3",IF(Table1[[#This Row],[Estimated Effort (Hours)]]&lt;300,"L4","L5")))))</f>
        <v/>
      </c>
      <c r="S592" s="184" t="str">
        <f>IF(Table1[[#This Row],[Actual End Date]]="","",TEXT(Table1[[#This Row],[Actual End Date]],"mmm-yy"))</f>
        <v/>
      </c>
      <c r="T5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2" s="185" t="str">
        <f>IFERROR((Table1[[#This Row],[Actual Effort (Hours)]]-Table1[[#This Row],[Estimated Effort (Hours)]])/Table1[[#This Row],[Estimated Effort (Hours)]],"")</f>
        <v/>
      </c>
    </row>
    <row r="593" spans="2:21">
      <c r="B593" s="125"/>
      <c r="C593" s="123"/>
      <c r="D593" s="143"/>
      <c r="E593" s="123"/>
      <c r="F593" s="143"/>
      <c r="G593" s="129"/>
      <c r="H593" s="124"/>
      <c r="I593" s="124"/>
      <c r="J593" s="129"/>
      <c r="K593" s="194"/>
      <c r="L593" s="194"/>
      <c r="M593" s="129"/>
      <c r="N593" s="129" t="e">
        <f>Table1[[#This Row],[Estimated Effort (Hours)]]/NETWORKDAYS(Table1[[#This Row],[Planned Start Date]],Table1[[#This Row],[Planned End Date]])</f>
        <v>#DIV/0!</v>
      </c>
      <c r="O593" s="178">
        <f>NETWORKDAYS(Table1[[#This Row],[Planned Start Date]],Table1[[#This Row],[Planned End Date]])</f>
        <v>0</v>
      </c>
      <c r="P593" s="178">
        <f>NETWORKDAYS(Table1[[#This Row],[Planned Start Date]],$P$7)</f>
        <v>30643</v>
      </c>
      <c r="Q593" s="129"/>
      <c r="R593" s="183" t="str">
        <f>IF(Table1[[#This Row],[Actual Effort (Hours)]]="","",IF(Table1[[#This Row],[Estimated Effort (Hours)]]&lt;20,"L1",IF(Table1[[#This Row],[Estimated Effort (Hours)]]&lt;50,"L2",IF(Table1[[#This Row],[Estimated Effort (Hours)]]&lt;150,"L3",IF(Table1[[#This Row],[Estimated Effort (Hours)]]&lt;300,"L4","L5")))))</f>
        <v/>
      </c>
      <c r="S593" s="184" t="str">
        <f>IF(Table1[[#This Row],[Actual End Date]]="","",TEXT(Table1[[#This Row],[Actual End Date]],"mmm-yy"))</f>
        <v/>
      </c>
      <c r="T5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3" s="185" t="str">
        <f>IFERROR((Table1[[#This Row],[Actual Effort (Hours)]]-Table1[[#This Row],[Estimated Effort (Hours)]])/Table1[[#This Row],[Estimated Effort (Hours)]],"")</f>
        <v/>
      </c>
    </row>
    <row r="594" spans="2:21">
      <c r="B594" s="125"/>
      <c r="C594" s="123"/>
      <c r="D594" s="143"/>
      <c r="E594" s="123"/>
      <c r="F594" s="143"/>
      <c r="G594" s="129"/>
      <c r="H594" s="124"/>
      <c r="I594" s="124"/>
      <c r="J594" s="129"/>
      <c r="K594" s="194"/>
      <c r="L594" s="194"/>
      <c r="M594" s="129"/>
      <c r="N594" s="129" t="e">
        <f>Table1[[#This Row],[Estimated Effort (Hours)]]/NETWORKDAYS(Table1[[#This Row],[Planned Start Date]],Table1[[#This Row],[Planned End Date]])</f>
        <v>#DIV/0!</v>
      </c>
      <c r="O594" s="178">
        <f>NETWORKDAYS(Table1[[#This Row],[Planned Start Date]],Table1[[#This Row],[Planned End Date]])</f>
        <v>0</v>
      </c>
      <c r="P594" s="178">
        <f>NETWORKDAYS(Table1[[#This Row],[Planned Start Date]],$P$7)</f>
        <v>30643</v>
      </c>
      <c r="Q594" s="129"/>
      <c r="R594" s="183" t="str">
        <f>IF(Table1[[#This Row],[Actual Effort (Hours)]]="","",IF(Table1[[#This Row],[Estimated Effort (Hours)]]&lt;20,"L1",IF(Table1[[#This Row],[Estimated Effort (Hours)]]&lt;50,"L2",IF(Table1[[#This Row],[Estimated Effort (Hours)]]&lt;150,"L3",IF(Table1[[#This Row],[Estimated Effort (Hours)]]&lt;300,"L4","L5")))))</f>
        <v/>
      </c>
      <c r="S594" s="184" t="str">
        <f>IF(Table1[[#This Row],[Actual End Date]]="","",TEXT(Table1[[#This Row],[Actual End Date]],"mmm-yy"))</f>
        <v/>
      </c>
      <c r="T5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4" s="185" t="str">
        <f>IFERROR((Table1[[#This Row],[Actual Effort (Hours)]]-Table1[[#This Row],[Estimated Effort (Hours)]])/Table1[[#This Row],[Estimated Effort (Hours)]],"")</f>
        <v/>
      </c>
    </row>
    <row r="595" spans="2:21">
      <c r="B595" s="125"/>
      <c r="C595" s="123"/>
      <c r="D595" s="143"/>
      <c r="E595" s="123"/>
      <c r="F595" s="143"/>
      <c r="G595" s="129"/>
      <c r="H595" s="124"/>
      <c r="I595" s="124"/>
      <c r="J595" s="129"/>
      <c r="K595" s="194"/>
      <c r="L595" s="194"/>
      <c r="M595" s="129"/>
      <c r="N595" s="129" t="e">
        <f>Table1[[#This Row],[Estimated Effort (Hours)]]/NETWORKDAYS(Table1[[#This Row],[Planned Start Date]],Table1[[#This Row],[Planned End Date]])</f>
        <v>#DIV/0!</v>
      </c>
      <c r="O595" s="178">
        <f>NETWORKDAYS(Table1[[#This Row],[Planned Start Date]],Table1[[#This Row],[Planned End Date]])</f>
        <v>0</v>
      </c>
      <c r="P595" s="178">
        <f>NETWORKDAYS(Table1[[#This Row],[Planned Start Date]],$P$7)</f>
        <v>30643</v>
      </c>
      <c r="Q595" s="129"/>
      <c r="R595" s="183" t="str">
        <f>IF(Table1[[#This Row],[Actual Effort (Hours)]]="","",IF(Table1[[#This Row],[Estimated Effort (Hours)]]&lt;20,"L1",IF(Table1[[#This Row],[Estimated Effort (Hours)]]&lt;50,"L2",IF(Table1[[#This Row],[Estimated Effort (Hours)]]&lt;150,"L3",IF(Table1[[#This Row],[Estimated Effort (Hours)]]&lt;300,"L4","L5")))))</f>
        <v/>
      </c>
      <c r="S595" s="184" t="str">
        <f>IF(Table1[[#This Row],[Actual End Date]]="","",TEXT(Table1[[#This Row],[Actual End Date]],"mmm-yy"))</f>
        <v/>
      </c>
      <c r="T5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5" s="185" t="str">
        <f>IFERROR((Table1[[#This Row],[Actual Effort (Hours)]]-Table1[[#This Row],[Estimated Effort (Hours)]])/Table1[[#This Row],[Estimated Effort (Hours)]],"")</f>
        <v/>
      </c>
    </row>
    <row r="596" spans="2:21">
      <c r="B596" s="125"/>
      <c r="C596" s="123"/>
      <c r="D596" s="143"/>
      <c r="E596" s="123"/>
      <c r="F596" s="143"/>
      <c r="G596" s="129"/>
      <c r="H596" s="124"/>
      <c r="I596" s="124"/>
      <c r="J596" s="129"/>
      <c r="K596" s="194"/>
      <c r="L596" s="194"/>
      <c r="M596" s="129"/>
      <c r="N596" s="129" t="e">
        <f>Table1[[#This Row],[Estimated Effort (Hours)]]/NETWORKDAYS(Table1[[#This Row],[Planned Start Date]],Table1[[#This Row],[Planned End Date]])</f>
        <v>#DIV/0!</v>
      </c>
      <c r="O596" s="178">
        <f>NETWORKDAYS(Table1[[#This Row],[Planned Start Date]],Table1[[#This Row],[Planned End Date]])</f>
        <v>0</v>
      </c>
      <c r="P596" s="178">
        <f>NETWORKDAYS(Table1[[#This Row],[Planned Start Date]],$P$7)</f>
        <v>30643</v>
      </c>
      <c r="Q596" s="129"/>
      <c r="R596" s="183" t="str">
        <f>IF(Table1[[#This Row],[Actual Effort (Hours)]]="","",IF(Table1[[#This Row],[Estimated Effort (Hours)]]&lt;20,"L1",IF(Table1[[#This Row],[Estimated Effort (Hours)]]&lt;50,"L2",IF(Table1[[#This Row],[Estimated Effort (Hours)]]&lt;150,"L3",IF(Table1[[#This Row],[Estimated Effort (Hours)]]&lt;300,"L4","L5")))))</f>
        <v/>
      </c>
      <c r="S596" s="184" t="str">
        <f>IF(Table1[[#This Row],[Actual End Date]]="","",TEXT(Table1[[#This Row],[Actual End Date]],"mmm-yy"))</f>
        <v/>
      </c>
      <c r="T5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6" s="185" t="str">
        <f>IFERROR((Table1[[#This Row],[Actual Effort (Hours)]]-Table1[[#This Row],[Estimated Effort (Hours)]])/Table1[[#This Row],[Estimated Effort (Hours)]],"")</f>
        <v/>
      </c>
    </row>
    <row r="597" spans="2:21">
      <c r="B597" s="125"/>
      <c r="C597" s="123"/>
      <c r="D597" s="143"/>
      <c r="E597" s="123"/>
      <c r="F597" s="143"/>
      <c r="G597" s="129"/>
      <c r="H597" s="124"/>
      <c r="I597" s="124"/>
      <c r="J597" s="129"/>
      <c r="K597" s="194"/>
      <c r="L597" s="194"/>
      <c r="M597" s="129"/>
      <c r="N597" s="129" t="e">
        <f>Table1[[#This Row],[Estimated Effort (Hours)]]/NETWORKDAYS(Table1[[#This Row],[Planned Start Date]],Table1[[#This Row],[Planned End Date]])</f>
        <v>#DIV/0!</v>
      </c>
      <c r="O597" s="178">
        <f>NETWORKDAYS(Table1[[#This Row],[Planned Start Date]],Table1[[#This Row],[Planned End Date]])</f>
        <v>0</v>
      </c>
      <c r="P597" s="178">
        <f>NETWORKDAYS(Table1[[#This Row],[Planned Start Date]],$P$7)</f>
        <v>30643</v>
      </c>
      <c r="Q597" s="129"/>
      <c r="R597" s="183" t="str">
        <f>IF(Table1[[#This Row],[Actual Effort (Hours)]]="","",IF(Table1[[#This Row],[Estimated Effort (Hours)]]&lt;20,"L1",IF(Table1[[#This Row],[Estimated Effort (Hours)]]&lt;50,"L2",IF(Table1[[#This Row],[Estimated Effort (Hours)]]&lt;150,"L3",IF(Table1[[#This Row],[Estimated Effort (Hours)]]&lt;300,"L4","L5")))))</f>
        <v/>
      </c>
      <c r="S597" s="184" t="str">
        <f>IF(Table1[[#This Row],[Actual End Date]]="","",TEXT(Table1[[#This Row],[Actual End Date]],"mmm-yy"))</f>
        <v/>
      </c>
      <c r="T5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7" s="185" t="str">
        <f>IFERROR((Table1[[#This Row],[Actual Effort (Hours)]]-Table1[[#This Row],[Estimated Effort (Hours)]])/Table1[[#This Row],[Estimated Effort (Hours)]],"")</f>
        <v/>
      </c>
    </row>
    <row r="598" spans="2:21">
      <c r="B598" s="125"/>
      <c r="C598" s="123"/>
      <c r="D598" s="143"/>
      <c r="E598" s="123"/>
      <c r="F598" s="143"/>
      <c r="G598" s="129"/>
      <c r="H598" s="124"/>
      <c r="I598" s="124"/>
      <c r="J598" s="129"/>
      <c r="K598" s="194"/>
      <c r="L598" s="194"/>
      <c r="M598" s="129"/>
      <c r="N598" s="129" t="e">
        <f>Table1[[#This Row],[Estimated Effort (Hours)]]/NETWORKDAYS(Table1[[#This Row],[Planned Start Date]],Table1[[#This Row],[Planned End Date]])</f>
        <v>#DIV/0!</v>
      </c>
      <c r="O598" s="178">
        <f>NETWORKDAYS(Table1[[#This Row],[Planned Start Date]],Table1[[#This Row],[Planned End Date]])</f>
        <v>0</v>
      </c>
      <c r="P598" s="178">
        <f>NETWORKDAYS(Table1[[#This Row],[Planned Start Date]],$P$7)</f>
        <v>30643</v>
      </c>
      <c r="Q598" s="129"/>
      <c r="R598" s="183" t="str">
        <f>IF(Table1[[#This Row],[Actual Effort (Hours)]]="","",IF(Table1[[#This Row],[Estimated Effort (Hours)]]&lt;20,"L1",IF(Table1[[#This Row],[Estimated Effort (Hours)]]&lt;50,"L2",IF(Table1[[#This Row],[Estimated Effort (Hours)]]&lt;150,"L3",IF(Table1[[#This Row],[Estimated Effort (Hours)]]&lt;300,"L4","L5")))))</f>
        <v/>
      </c>
      <c r="S598" s="184" t="str">
        <f>IF(Table1[[#This Row],[Actual End Date]]="","",TEXT(Table1[[#This Row],[Actual End Date]],"mmm-yy"))</f>
        <v/>
      </c>
      <c r="T5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8" s="185" t="str">
        <f>IFERROR((Table1[[#This Row],[Actual Effort (Hours)]]-Table1[[#This Row],[Estimated Effort (Hours)]])/Table1[[#This Row],[Estimated Effort (Hours)]],"")</f>
        <v/>
      </c>
    </row>
    <row r="599" spans="2:21">
      <c r="B599" s="125"/>
      <c r="C599" s="123"/>
      <c r="D599" s="143"/>
      <c r="E599" s="123"/>
      <c r="F599" s="143"/>
      <c r="G599" s="129"/>
      <c r="H599" s="124"/>
      <c r="I599" s="124"/>
      <c r="J599" s="129"/>
      <c r="K599" s="194"/>
      <c r="L599" s="194"/>
      <c r="M599" s="129"/>
      <c r="N599" s="129" t="e">
        <f>Table1[[#This Row],[Estimated Effort (Hours)]]/NETWORKDAYS(Table1[[#This Row],[Planned Start Date]],Table1[[#This Row],[Planned End Date]])</f>
        <v>#DIV/0!</v>
      </c>
      <c r="O599" s="178">
        <f>NETWORKDAYS(Table1[[#This Row],[Planned Start Date]],Table1[[#This Row],[Planned End Date]])</f>
        <v>0</v>
      </c>
      <c r="P599" s="178">
        <f>NETWORKDAYS(Table1[[#This Row],[Planned Start Date]],$P$7)</f>
        <v>30643</v>
      </c>
      <c r="Q599" s="129"/>
      <c r="R599" s="183" t="str">
        <f>IF(Table1[[#This Row],[Actual Effort (Hours)]]="","",IF(Table1[[#This Row],[Estimated Effort (Hours)]]&lt;20,"L1",IF(Table1[[#This Row],[Estimated Effort (Hours)]]&lt;50,"L2",IF(Table1[[#This Row],[Estimated Effort (Hours)]]&lt;150,"L3",IF(Table1[[#This Row],[Estimated Effort (Hours)]]&lt;300,"L4","L5")))))</f>
        <v/>
      </c>
      <c r="S599" s="184" t="str">
        <f>IF(Table1[[#This Row],[Actual End Date]]="","",TEXT(Table1[[#This Row],[Actual End Date]],"mmm-yy"))</f>
        <v/>
      </c>
      <c r="T5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599" s="185" t="str">
        <f>IFERROR((Table1[[#This Row],[Actual Effort (Hours)]]-Table1[[#This Row],[Estimated Effort (Hours)]])/Table1[[#This Row],[Estimated Effort (Hours)]],"")</f>
        <v/>
      </c>
    </row>
    <row r="600" spans="2:21">
      <c r="B600" s="125"/>
      <c r="C600" s="123"/>
      <c r="D600" s="143"/>
      <c r="E600" s="123"/>
      <c r="F600" s="143"/>
      <c r="G600" s="129"/>
      <c r="H600" s="124"/>
      <c r="I600" s="124"/>
      <c r="J600" s="129"/>
      <c r="K600" s="194"/>
      <c r="L600" s="194"/>
      <c r="M600" s="129"/>
      <c r="N600" s="129" t="e">
        <f>Table1[[#This Row],[Estimated Effort (Hours)]]/NETWORKDAYS(Table1[[#This Row],[Planned Start Date]],Table1[[#This Row],[Planned End Date]])</f>
        <v>#DIV/0!</v>
      </c>
      <c r="O600" s="178">
        <f>NETWORKDAYS(Table1[[#This Row],[Planned Start Date]],Table1[[#This Row],[Planned End Date]])</f>
        <v>0</v>
      </c>
      <c r="P600" s="178">
        <f>NETWORKDAYS(Table1[[#This Row],[Planned Start Date]],$P$7)</f>
        <v>30643</v>
      </c>
      <c r="Q600" s="129"/>
      <c r="R600" s="183" t="str">
        <f>IF(Table1[[#This Row],[Actual Effort (Hours)]]="","",IF(Table1[[#This Row],[Estimated Effort (Hours)]]&lt;20,"L1",IF(Table1[[#This Row],[Estimated Effort (Hours)]]&lt;50,"L2",IF(Table1[[#This Row],[Estimated Effort (Hours)]]&lt;150,"L3",IF(Table1[[#This Row],[Estimated Effort (Hours)]]&lt;300,"L4","L5")))))</f>
        <v/>
      </c>
      <c r="S600" s="184" t="str">
        <f>IF(Table1[[#This Row],[Actual End Date]]="","",TEXT(Table1[[#This Row],[Actual End Date]],"mmm-yy"))</f>
        <v/>
      </c>
      <c r="T6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0" s="185" t="str">
        <f>IFERROR((Table1[[#This Row],[Actual Effort (Hours)]]-Table1[[#This Row],[Estimated Effort (Hours)]])/Table1[[#This Row],[Estimated Effort (Hours)]],"")</f>
        <v/>
      </c>
    </row>
    <row r="601" spans="2:21">
      <c r="B601" s="125"/>
      <c r="C601" s="123"/>
      <c r="D601" s="143"/>
      <c r="E601" s="123"/>
      <c r="F601" s="143"/>
      <c r="G601" s="129"/>
      <c r="H601" s="124"/>
      <c r="I601" s="124"/>
      <c r="J601" s="129"/>
      <c r="K601" s="194"/>
      <c r="L601" s="194"/>
      <c r="M601" s="129"/>
      <c r="N601" s="129" t="e">
        <f>Table1[[#This Row],[Estimated Effort (Hours)]]/NETWORKDAYS(Table1[[#This Row],[Planned Start Date]],Table1[[#This Row],[Planned End Date]])</f>
        <v>#DIV/0!</v>
      </c>
      <c r="O601" s="178">
        <f>NETWORKDAYS(Table1[[#This Row],[Planned Start Date]],Table1[[#This Row],[Planned End Date]])</f>
        <v>0</v>
      </c>
      <c r="P601" s="178">
        <f>NETWORKDAYS(Table1[[#This Row],[Planned Start Date]],$P$7)</f>
        <v>30643</v>
      </c>
      <c r="Q601" s="129"/>
      <c r="R601" s="183" t="str">
        <f>IF(Table1[[#This Row],[Actual Effort (Hours)]]="","",IF(Table1[[#This Row],[Estimated Effort (Hours)]]&lt;20,"L1",IF(Table1[[#This Row],[Estimated Effort (Hours)]]&lt;50,"L2",IF(Table1[[#This Row],[Estimated Effort (Hours)]]&lt;150,"L3",IF(Table1[[#This Row],[Estimated Effort (Hours)]]&lt;300,"L4","L5")))))</f>
        <v/>
      </c>
      <c r="S601" s="184" t="str">
        <f>IF(Table1[[#This Row],[Actual End Date]]="","",TEXT(Table1[[#This Row],[Actual End Date]],"mmm-yy"))</f>
        <v/>
      </c>
      <c r="T6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1" s="185" t="str">
        <f>IFERROR((Table1[[#This Row],[Actual Effort (Hours)]]-Table1[[#This Row],[Estimated Effort (Hours)]])/Table1[[#This Row],[Estimated Effort (Hours)]],"")</f>
        <v/>
      </c>
    </row>
    <row r="602" spans="2:21">
      <c r="B602" s="125"/>
      <c r="C602" s="123"/>
      <c r="D602" s="143"/>
      <c r="E602" s="123"/>
      <c r="F602" s="143"/>
      <c r="G602" s="129"/>
      <c r="H602" s="124"/>
      <c r="I602" s="124"/>
      <c r="J602" s="129"/>
      <c r="K602" s="194"/>
      <c r="L602" s="194"/>
      <c r="M602" s="129"/>
      <c r="N602" s="129" t="e">
        <f>Table1[[#This Row],[Estimated Effort (Hours)]]/NETWORKDAYS(Table1[[#This Row],[Planned Start Date]],Table1[[#This Row],[Planned End Date]])</f>
        <v>#DIV/0!</v>
      </c>
      <c r="O602" s="178">
        <f>NETWORKDAYS(Table1[[#This Row],[Planned Start Date]],Table1[[#This Row],[Planned End Date]])</f>
        <v>0</v>
      </c>
      <c r="P602" s="178">
        <f>NETWORKDAYS(Table1[[#This Row],[Planned Start Date]],$P$7)</f>
        <v>30643</v>
      </c>
      <c r="Q602" s="129"/>
      <c r="R602" s="183" t="str">
        <f>IF(Table1[[#This Row],[Actual Effort (Hours)]]="","",IF(Table1[[#This Row],[Estimated Effort (Hours)]]&lt;20,"L1",IF(Table1[[#This Row],[Estimated Effort (Hours)]]&lt;50,"L2",IF(Table1[[#This Row],[Estimated Effort (Hours)]]&lt;150,"L3",IF(Table1[[#This Row],[Estimated Effort (Hours)]]&lt;300,"L4","L5")))))</f>
        <v/>
      </c>
      <c r="S602" s="184" t="str">
        <f>IF(Table1[[#This Row],[Actual End Date]]="","",TEXT(Table1[[#This Row],[Actual End Date]],"mmm-yy"))</f>
        <v/>
      </c>
      <c r="T6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2" s="185" t="str">
        <f>IFERROR((Table1[[#This Row],[Actual Effort (Hours)]]-Table1[[#This Row],[Estimated Effort (Hours)]])/Table1[[#This Row],[Estimated Effort (Hours)]],"")</f>
        <v/>
      </c>
    </row>
    <row r="603" spans="2:21">
      <c r="B603" s="125"/>
      <c r="C603" s="123"/>
      <c r="D603" s="143"/>
      <c r="E603" s="123"/>
      <c r="F603" s="143"/>
      <c r="G603" s="129"/>
      <c r="H603" s="124"/>
      <c r="I603" s="124"/>
      <c r="J603" s="129"/>
      <c r="K603" s="194"/>
      <c r="L603" s="194"/>
      <c r="M603" s="129"/>
      <c r="N603" s="129" t="e">
        <f>Table1[[#This Row],[Estimated Effort (Hours)]]/NETWORKDAYS(Table1[[#This Row],[Planned Start Date]],Table1[[#This Row],[Planned End Date]])</f>
        <v>#DIV/0!</v>
      </c>
      <c r="O603" s="178">
        <f>NETWORKDAYS(Table1[[#This Row],[Planned Start Date]],Table1[[#This Row],[Planned End Date]])</f>
        <v>0</v>
      </c>
      <c r="P603" s="178">
        <f>NETWORKDAYS(Table1[[#This Row],[Planned Start Date]],$P$7)</f>
        <v>30643</v>
      </c>
      <c r="Q603" s="129"/>
      <c r="R603" s="183" t="str">
        <f>IF(Table1[[#This Row],[Actual Effort (Hours)]]="","",IF(Table1[[#This Row],[Estimated Effort (Hours)]]&lt;20,"L1",IF(Table1[[#This Row],[Estimated Effort (Hours)]]&lt;50,"L2",IF(Table1[[#This Row],[Estimated Effort (Hours)]]&lt;150,"L3",IF(Table1[[#This Row],[Estimated Effort (Hours)]]&lt;300,"L4","L5")))))</f>
        <v/>
      </c>
      <c r="S603" s="184" t="str">
        <f>IF(Table1[[#This Row],[Actual End Date]]="","",TEXT(Table1[[#This Row],[Actual End Date]],"mmm-yy"))</f>
        <v/>
      </c>
      <c r="T6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3" s="185" t="str">
        <f>IFERROR((Table1[[#This Row],[Actual Effort (Hours)]]-Table1[[#This Row],[Estimated Effort (Hours)]])/Table1[[#This Row],[Estimated Effort (Hours)]],"")</f>
        <v/>
      </c>
    </row>
    <row r="604" spans="2:21">
      <c r="B604" s="125"/>
      <c r="C604" s="123"/>
      <c r="D604" s="143"/>
      <c r="E604" s="123"/>
      <c r="F604" s="143"/>
      <c r="G604" s="129"/>
      <c r="H604" s="124"/>
      <c r="I604" s="124"/>
      <c r="J604" s="129"/>
      <c r="K604" s="194"/>
      <c r="L604" s="194"/>
      <c r="M604" s="129"/>
      <c r="N604" s="129" t="e">
        <f>Table1[[#This Row],[Estimated Effort (Hours)]]/NETWORKDAYS(Table1[[#This Row],[Planned Start Date]],Table1[[#This Row],[Planned End Date]])</f>
        <v>#DIV/0!</v>
      </c>
      <c r="O604" s="178">
        <f>NETWORKDAYS(Table1[[#This Row],[Planned Start Date]],Table1[[#This Row],[Planned End Date]])</f>
        <v>0</v>
      </c>
      <c r="P604" s="178">
        <f>NETWORKDAYS(Table1[[#This Row],[Planned Start Date]],$P$7)</f>
        <v>30643</v>
      </c>
      <c r="Q604" s="129"/>
      <c r="R604" s="183" t="str">
        <f>IF(Table1[[#This Row],[Actual Effort (Hours)]]="","",IF(Table1[[#This Row],[Estimated Effort (Hours)]]&lt;20,"L1",IF(Table1[[#This Row],[Estimated Effort (Hours)]]&lt;50,"L2",IF(Table1[[#This Row],[Estimated Effort (Hours)]]&lt;150,"L3",IF(Table1[[#This Row],[Estimated Effort (Hours)]]&lt;300,"L4","L5")))))</f>
        <v/>
      </c>
      <c r="S604" s="184" t="str">
        <f>IF(Table1[[#This Row],[Actual End Date]]="","",TEXT(Table1[[#This Row],[Actual End Date]],"mmm-yy"))</f>
        <v/>
      </c>
      <c r="T6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4" s="185" t="str">
        <f>IFERROR((Table1[[#This Row],[Actual Effort (Hours)]]-Table1[[#This Row],[Estimated Effort (Hours)]])/Table1[[#This Row],[Estimated Effort (Hours)]],"")</f>
        <v/>
      </c>
    </row>
    <row r="605" spans="2:21">
      <c r="B605" s="125"/>
      <c r="C605" s="123"/>
      <c r="D605" s="143"/>
      <c r="E605" s="123"/>
      <c r="F605" s="143"/>
      <c r="G605" s="129"/>
      <c r="H605" s="124"/>
      <c r="I605" s="124"/>
      <c r="J605" s="129"/>
      <c r="K605" s="194"/>
      <c r="L605" s="194"/>
      <c r="M605" s="129"/>
      <c r="N605" s="129" t="e">
        <f>Table1[[#This Row],[Estimated Effort (Hours)]]/NETWORKDAYS(Table1[[#This Row],[Planned Start Date]],Table1[[#This Row],[Planned End Date]])</f>
        <v>#DIV/0!</v>
      </c>
      <c r="O605" s="178">
        <f>NETWORKDAYS(Table1[[#This Row],[Planned Start Date]],Table1[[#This Row],[Planned End Date]])</f>
        <v>0</v>
      </c>
      <c r="P605" s="178">
        <f>NETWORKDAYS(Table1[[#This Row],[Planned Start Date]],$P$7)</f>
        <v>30643</v>
      </c>
      <c r="Q605" s="129"/>
      <c r="R605" s="183" t="str">
        <f>IF(Table1[[#This Row],[Actual Effort (Hours)]]="","",IF(Table1[[#This Row],[Estimated Effort (Hours)]]&lt;20,"L1",IF(Table1[[#This Row],[Estimated Effort (Hours)]]&lt;50,"L2",IF(Table1[[#This Row],[Estimated Effort (Hours)]]&lt;150,"L3",IF(Table1[[#This Row],[Estimated Effort (Hours)]]&lt;300,"L4","L5")))))</f>
        <v/>
      </c>
      <c r="S605" s="184" t="str">
        <f>IF(Table1[[#This Row],[Actual End Date]]="","",TEXT(Table1[[#This Row],[Actual End Date]],"mmm-yy"))</f>
        <v/>
      </c>
      <c r="T6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5" s="185" t="str">
        <f>IFERROR((Table1[[#This Row],[Actual Effort (Hours)]]-Table1[[#This Row],[Estimated Effort (Hours)]])/Table1[[#This Row],[Estimated Effort (Hours)]],"")</f>
        <v/>
      </c>
    </row>
    <row r="606" spans="2:21">
      <c r="B606" s="125"/>
      <c r="C606" s="123"/>
      <c r="D606" s="143"/>
      <c r="E606" s="123"/>
      <c r="F606" s="143"/>
      <c r="G606" s="129"/>
      <c r="H606" s="124"/>
      <c r="I606" s="124"/>
      <c r="J606" s="129"/>
      <c r="K606" s="194"/>
      <c r="L606" s="194"/>
      <c r="M606" s="129"/>
      <c r="N606" s="129" t="e">
        <f>Table1[[#This Row],[Estimated Effort (Hours)]]/NETWORKDAYS(Table1[[#This Row],[Planned Start Date]],Table1[[#This Row],[Planned End Date]])</f>
        <v>#DIV/0!</v>
      </c>
      <c r="O606" s="178">
        <f>NETWORKDAYS(Table1[[#This Row],[Planned Start Date]],Table1[[#This Row],[Planned End Date]])</f>
        <v>0</v>
      </c>
      <c r="P606" s="178">
        <f>NETWORKDAYS(Table1[[#This Row],[Planned Start Date]],$P$7)</f>
        <v>30643</v>
      </c>
      <c r="Q606" s="129"/>
      <c r="R606" s="183" t="str">
        <f>IF(Table1[[#This Row],[Actual Effort (Hours)]]="","",IF(Table1[[#This Row],[Estimated Effort (Hours)]]&lt;20,"L1",IF(Table1[[#This Row],[Estimated Effort (Hours)]]&lt;50,"L2",IF(Table1[[#This Row],[Estimated Effort (Hours)]]&lt;150,"L3",IF(Table1[[#This Row],[Estimated Effort (Hours)]]&lt;300,"L4","L5")))))</f>
        <v/>
      </c>
      <c r="S606" s="184" t="str">
        <f>IF(Table1[[#This Row],[Actual End Date]]="","",TEXT(Table1[[#This Row],[Actual End Date]],"mmm-yy"))</f>
        <v/>
      </c>
      <c r="T6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6" s="185" t="str">
        <f>IFERROR((Table1[[#This Row],[Actual Effort (Hours)]]-Table1[[#This Row],[Estimated Effort (Hours)]])/Table1[[#This Row],[Estimated Effort (Hours)]],"")</f>
        <v/>
      </c>
    </row>
    <row r="607" spans="2:21">
      <c r="B607" s="125"/>
      <c r="C607" s="123"/>
      <c r="D607" s="143"/>
      <c r="E607" s="123"/>
      <c r="F607" s="143"/>
      <c r="G607" s="129"/>
      <c r="H607" s="124"/>
      <c r="I607" s="124"/>
      <c r="J607" s="129"/>
      <c r="K607" s="194"/>
      <c r="L607" s="194"/>
      <c r="M607" s="129"/>
      <c r="N607" s="129" t="e">
        <f>Table1[[#This Row],[Estimated Effort (Hours)]]/NETWORKDAYS(Table1[[#This Row],[Planned Start Date]],Table1[[#This Row],[Planned End Date]])</f>
        <v>#DIV/0!</v>
      </c>
      <c r="O607" s="178">
        <f>NETWORKDAYS(Table1[[#This Row],[Planned Start Date]],Table1[[#This Row],[Planned End Date]])</f>
        <v>0</v>
      </c>
      <c r="P607" s="178">
        <f>NETWORKDAYS(Table1[[#This Row],[Planned Start Date]],$P$7)</f>
        <v>30643</v>
      </c>
      <c r="Q607" s="129"/>
      <c r="R607" s="183" t="str">
        <f>IF(Table1[[#This Row],[Actual Effort (Hours)]]="","",IF(Table1[[#This Row],[Estimated Effort (Hours)]]&lt;20,"L1",IF(Table1[[#This Row],[Estimated Effort (Hours)]]&lt;50,"L2",IF(Table1[[#This Row],[Estimated Effort (Hours)]]&lt;150,"L3",IF(Table1[[#This Row],[Estimated Effort (Hours)]]&lt;300,"L4","L5")))))</f>
        <v/>
      </c>
      <c r="S607" s="184" t="str">
        <f>IF(Table1[[#This Row],[Actual End Date]]="","",TEXT(Table1[[#This Row],[Actual End Date]],"mmm-yy"))</f>
        <v/>
      </c>
      <c r="T6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7" s="185" t="str">
        <f>IFERROR((Table1[[#This Row],[Actual Effort (Hours)]]-Table1[[#This Row],[Estimated Effort (Hours)]])/Table1[[#This Row],[Estimated Effort (Hours)]],"")</f>
        <v/>
      </c>
    </row>
    <row r="608" spans="2:21">
      <c r="B608" s="125"/>
      <c r="C608" s="123"/>
      <c r="D608" s="143"/>
      <c r="E608" s="123"/>
      <c r="F608" s="143"/>
      <c r="G608" s="129"/>
      <c r="H608" s="124"/>
      <c r="I608" s="124"/>
      <c r="J608" s="129"/>
      <c r="K608" s="194"/>
      <c r="L608" s="194"/>
      <c r="M608" s="129"/>
      <c r="N608" s="129" t="e">
        <f>Table1[[#This Row],[Estimated Effort (Hours)]]/NETWORKDAYS(Table1[[#This Row],[Planned Start Date]],Table1[[#This Row],[Planned End Date]])</f>
        <v>#DIV/0!</v>
      </c>
      <c r="O608" s="178">
        <f>NETWORKDAYS(Table1[[#This Row],[Planned Start Date]],Table1[[#This Row],[Planned End Date]])</f>
        <v>0</v>
      </c>
      <c r="P608" s="178">
        <f>NETWORKDAYS(Table1[[#This Row],[Planned Start Date]],$P$7)</f>
        <v>30643</v>
      </c>
      <c r="Q608" s="129"/>
      <c r="R608" s="183" t="str">
        <f>IF(Table1[[#This Row],[Actual Effort (Hours)]]="","",IF(Table1[[#This Row],[Estimated Effort (Hours)]]&lt;20,"L1",IF(Table1[[#This Row],[Estimated Effort (Hours)]]&lt;50,"L2",IF(Table1[[#This Row],[Estimated Effort (Hours)]]&lt;150,"L3",IF(Table1[[#This Row],[Estimated Effort (Hours)]]&lt;300,"L4","L5")))))</f>
        <v/>
      </c>
      <c r="S608" s="184" t="str">
        <f>IF(Table1[[#This Row],[Actual End Date]]="","",TEXT(Table1[[#This Row],[Actual End Date]],"mmm-yy"))</f>
        <v/>
      </c>
      <c r="T6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8" s="185" t="str">
        <f>IFERROR((Table1[[#This Row],[Actual Effort (Hours)]]-Table1[[#This Row],[Estimated Effort (Hours)]])/Table1[[#This Row],[Estimated Effort (Hours)]],"")</f>
        <v/>
      </c>
    </row>
    <row r="609" spans="2:21">
      <c r="B609" s="125"/>
      <c r="C609" s="123"/>
      <c r="D609" s="143"/>
      <c r="E609" s="123"/>
      <c r="F609" s="143"/>
      <c r="G609" s="129"/>
      <c r="H609" s="124"/>
      <c r="I609" s="124"/>
      <c r="J609" s="129"/>
      <c r="K609" s="194"/>
      <c r="L609" s="194"/>
      <c r="M609" s="129"/>
      <c r="N609" s="129" t="e">
        <f>Table1[[#This Row],[Estimated Effort (Hours)]]/NETWORKDAYS(Table1[[#This Row],[Planned Start Date]],Table1[[#This Row],[Planned End Date]])</f>
        <v>#DIV/0!</v>
      </c>
      <c r="O609" s="178">
        <f>NETWORKDAYS(Table1[[#This Row],[Planned Start Date]],Table1[[#This Row],[Planned End Date]])</f>
        <v>0</v>
      </c>
      <c r="P609" s="178">
        <f>NETWORKDAYS(Table1[[#This Row],[Planned Start Date]],$P$7)</f>
        <v>30643</v>
      </c>
      <c r="Q609" s="129"/>
      <c r="R609" s="183" t="str">
        <f>IF(Table1[[#This Row],[Actual Effort (Hours)]]="","",IF(Table1[[#This Row],[Estimated Effort (Hours)]]&lt;20,"L1",IF(Table1[[#This Row],[Estimated Effort (Hours)]]&lt;50,"L2",IF(Table1[[#This Row],[Estimated Effort (Hours)]]&lt;150,"L3",IF(Table1[[#This Row],[Estimated Effort (Hours)]]&lt;300,"L4","L5")))))</f>
        <v/>
      </c>
      <c r="S609" s="184" t="str">
        <f>IF(Table1[[#This Row],[Actual End Date]]="","",TEXT(Table1[[#This Row],[Actual End Date]],"mmm-yy"))</f>
        <v/>
      </c>
      <c r="T6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09" s="185" t="str">
        <f>IFERROR((Table1[[#This Row],[Actual Effort (Hours)]]-Table1[[#This Row],[Estimated Effort (Hours)]])/Table1[[#This Row],[Estimated Effort (Hours)]],"")</f>
        <v/>
      </c>
    </row>
    <row r="610" spans="2:21">
      <c r="B610" s="125"/>
      <c r="C610" s="123"/>
      <c r="D610" s="143"/>
      <c r="E610" s="123"/>
      <c r="F610" s="143"/>
      <c r="G610" s="129"/>
      <c r="H610" s="124"/>
      <c r="I610" s="124"/>
      <c r="J610" s="129"/>
      <c r="K610" s="194"/>
      <c r="L610" s="194"/>
      <c r="M610" s="129"/>
      <c r="N610" s="129" t="e">
        <f>Table1[[#This Row],[Estimated Effort (Hours)]]/NETWORKDAYS(Table1[[#This Row],[Planned Start Date]],Table1[[#This Row],[Planned End Date]])</f>
        <v>#DIV/0!</v>
      </c>
      <c r="O610" s="178">
        <f>NETWORKDAYS(Table1[[#This Row],[Planned Start Date]],Table1[[#This Row],[Planned End Date]])</f>
        <v>0</v>
      </c>
      <c r="P610" s="178">
        <f>NETWORKDAYS(Table1[[#This Row],[Planned Start Date]],$P$7)</f>
        <v>30643</v>
      </c>
      <c r="Q610" s="129"/>
      <c r="R610" s="183" t="str">
        <f>IF(Table1[[#This Row],[Actual Effort (Hours)]]="","",IF(Table1[[#This Row],[Estimated Effort (Hours)]]&lt;20,"L1",IF(Table1[[#This Row],[Estimated Effort (Hours)]]&lt;50,"L2",IF(Table1[[#This Row],[Estimated Effort (Hours)]]&lt;150,"L3",IF(Table1[[#This Row],[Estimated Effort (Hours)]]&lt;300,"L4","L5")))))</f>
        <v/>
      </c>
      <c r="S610" s="184" t="str">
        <f>IF(Table1[[#This Row],[Actual End Date]]="","",TEXT(Table1[[#This Row],[Actual End Date]],"mmm-yy"))</f>
        <v/>
      </c>
      <c r="T6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0" s="185" t="str">
        <f>IFERROR((Table1[[#This Row],[Actual Effort (Hours)]]-Table1[[#This Row],[Estimated Effort (Hours)]])/Table1[[#This Row],[Estimated Effort (Hours)]],"")</f>
        <v/>
      </c>
    </row>
    <row r="611" spans="2:21">
      <c r="B611" s="125"/>
      <c r="C611" s="123"/>
      <c r="D611" s="143"/>
      <c r="E611" s="123"/>
      <c r="F611" s="143"/>
      <c r="G611" s="129"/>
      <c r="H611" s="124"/>
      <c r="I611" s="124"/>
      <c r="J611" s="129"/>
      <c r="K611" s="194"/>
      <c r="L611" s="194"/>
      <c r="M611" s="129"/>
      <c r="N611" s="129" t="e">
        <f>Table1[[#This Row],[Estimated Effort (Hours)]]/NETWORKDAYS(Table1[[#This Row],[Planned Start Date]],Table1[[#This Row],[Planned End Date]])</f>
        <v>#DIV/0!</v>
      </c>
      <c r="O611" s="178">
        <f>NETWORKDAYS(Table1[[#This Row],[Planned Start Date]],Table1[[#This Row],[Planned End Date]])</f>
        <v>0</v>
      </c>
      <c r="P611" s="178">
        <f>NETWORKDAYS(Table1[[#This Row],[Planned Start Date]],$P$7)</f>
        <v>30643</v>
      </c>
      <c r="Q611" s="129"/>
      <c r="R611" s="183" t="str">
        <f>IF(Table1[[#This Row],[Actual Effort (Hours)]]="","",IF(Table1[[#This Row],[Estimated Effort (Hours)]]&lt;20,"L1",IF(Table1[[#This Row],[Estimated Effort (Hours)]]&lt;50,"L2",IF(Table1[[#This Row],[Estimated Effort (Hours)]]&lt;150,"L3",IF(Table1[[#This Row],[Estimated Effort (Hours)]]&lt;300,"L4","L5")))))</f>
        <v/>
      </c>
      <c r="S611" s="184" t="str">
        <f>IF(Table1[[#This Row],[Actual End Date]]="","",TEXT(Table1[[#This Row],[Actual End Date]],"mmm-yy"))</f>
        <v/>
      </c>
      <c r="T6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1" s="185" t="str">
        <f>IFERROR((Table1[[#This Row],[Actual Effort (Hours)]]-Table1[[#This Row],[Estimated Effort (Hours)]])/Table1[[#This Row],[Estimated Effort (Hours)]],"")</f>
        <v/>
      </c>
    </row>
    <row r="612" spans="2:21">
      <c r="B612" s="125"/>
      <c r="C612" s="123"/>
      <c r="D612" s="143"/>
      <c r="E612" s="123"/>
      <c r="F612" s="143"/>
      <c r="G612" s="129"/>
      <c r="H612" s="124"/>
      <c r="I612" s="124"/>
      <c r="J612" s="129"/>
      <c r="K612" s="194"/>
      <c r="L612" s="194"/>
      <c r="M612" s="129"/>
      <c r="N612" s="129" t="e">
        <f>Table1[[#This Row],[Estimated Effort (Hours)]]/NETWORKDAYS(Table1[[#This Row],[Planned Start Date]],Table1[[#This Row],[Planned End Date]])</f>
        <v>#DIV/0!</v>
      </c>
      <c r="O612" s="178">
        <f>NETWORKDAYS(Table1[[#This Row],[Planned Start Date]],Table1[[#This Row],[Planned End Date]])</f>
        <v>0</v>
      </c>
      <c r="P612" s="178">
        <f>NETWORKDAYS(Table1[[#This Row],[Planned Start Date]],$P$7)</f>
        <v>30643</v>
      </c>
      <c r="Q612" s="129"/>
      <c r="R612" s="183" t="str">
        <f>IF(Table1[[#This Row],[Actual Effort (Hours)]]="","",IF(Table1[[#This Row],[Estimated Effort (Hours)]]&lt;20,"L1",IF(Table1[[#This Row],[Estimated Effort (Hours)]]&lt;50,"L2",IF(Table1[[#This Row],[Estimated Effort (Hours)]]&lt;150,"L3",IF(Table1[[#This Row],[Estimated Effort (Hours)]]&lt;300,"L4","L5")))))</f>
        <v/>
      </c>
      <c r="S612" s="184" t="str">
        <f>IF(Table1[[#This Row],[Actual End Date]]="","",TEXT(Table1[[#This Row],[Actual End Date]],"mmm-yy"))</f>
        <v/>
      </c>
      <c r="T6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2" s="185" t="str">
        <f>IFERROR((Table1[[#This Row],[Actual Effort (Hours)]]-Table1[[#This Row],[Estimated Effort (Hours)]])/Table1[[#This Row],[Estimated Effort (Hours)]],"")</f>
        <v/>
      </c>
    </row>
    <row r="613" spans="2:21">
      <c r="B613" s="125"/>
      <c r="C613" s="123"/>
      <c r="D613" s="143"/>
      <c r="E613" s="123"/>
      <c r="F613" s="143"/>
      <c r="G613" s="129"/>
      <c r="H613" s="124"/>
      <c r="I613" s="124"/>
      <c r="J613" s="129"/>
      <c r="K613" s="194"/>
      <c r="L613" s="194"/>
      <c r="M613" s="129"/>
      <c r="N613" s="129" t="e">
        <f>Table1[[#This Row],[Estimated Effort (Hours)]]/NETWORKDAYS(Table1[[#This Row],[Planned Start Date]],Table1[[#This Row],[Planned End Date]])</f>
        <v>#DIV/0!</v>
      </c>
      <c r="O613" s="178">
        <f>NETWORKDAYS(Table1[[#This Row],[Planned Start Date]],Table1[[#This Row],[Planned End Date]])</f>
        <v>0</v>
      </c>
      <c r="P613" s="178">
        <f>NETWORKDAYS(Table1[[#This Row],[Planned Start Date]],$P$7)</f>
        <v>30643</v>
      </c>
      <c r="Q613" s="129"/>
      <c r="R613" s="183" t="str">
        <f>IF(Table1[[#This Row],[Actual Effort (Hours)]]="","",IF(Table1[[#This Row],[Estimated Effort (Hours)]]&lt;20,"L1",IF(Table1[[#This Row],[Estimated Effort (Hours)]]&lt;50,"L2",IF(Table1[[#This Row],[Estimated Effort (Hours)]]&lt;150,"L3",IF(Table1[[#This Row],[Estimated Effort (Hours)]]&lt;300,"L4","L5")))))</f>
        <v/>
      </c>
      <c r="S613" s="184" t="str">
        <f>IF(Table1[[#This Row],[Actual End Date]]="","",TEXT(Table1[[#This Row],[Actual End Date]],"mmm-yy"))</f>
        <v/>
      </c>
      <c r="T6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3" s="185" t="str">
        <f>IFERROR((Table1[[#This Row],[Actual Effort (Hours)]]-Table1[[#This Row],[Estimated Effort (Hours)]])/Table1[[#This Row],[Estimated Effort (Hours)]],"")</f>
        <v/>
      </c>
    </row>
    <row r="614" spans="2:21">
      <c r="B614" s="125"/>
      <c r="C614" s="123"/>
      <c r="D614" s="143"/>
      <c r="E614" s="123"/>
      <c r="F614" s="143"/>
      <c r="G614" s="129"/>
      <c r="H614" s="124"/>
      <c r="I614" s="124"/>
      <c r="J614" s="129"/>
      <c r="K614" s="194"/>
      <c r="L614" s="194"/>
      <c r="M614" s="129"/>
      <c r="N614" s="129" t="e">
        <f>Table1[[#This Row],[Estimated Effort (Hours)]]/NETWORKDAYS(Table1[[#This Row],[Planned Start Date]],Table1[[#This Row],[Planned End Date]])</f>
        <v>#DIV/0!</v>
      </c>
      <c r="O614" s="178">
        <f>NETWORKDAYS(Table1[[#This Row],[Planned Start Date]],Table1[[#This Row],[Planned End Date]])</f>
        <v>0</v>
      </c>
      <c r="P614" s="178">
        <f>NETWORKDAYS(Table1[[#This Row],[Planned Start Date]],$P$7)</f>
        <v>30643</v>
      </c>
      <c r="Q614" s="129"/>
      <c r="R614" s="183" t="str">
        <f>IF(Table1[[#This Row],[Actual Effort (Hours)]]="","",IF(Table1[[#This Row],[Estimated Effort (Hours)]]&lt;20,"L1",IF(Table1[[#This Row],[Estimated Effort (Hours)]]&lt;50,"L2",IF(Table1[[#This Row],[Estimated Effort (Hours)]]&lt;150,"L3",IF(Table1[[#This Row],[Estimated Effort (Hours)]]&lt;300,"L4","L5")))))</f>
        <v/>
      </c>
      <c r="S614" s="184" t="str">
        <f>IF(Table1[[#This Row],[Actual End Date]]="","",TEXT(Table1[[#This Row],[Actual End Date]],"mmm-yy"))</f>
        <v/>
      </c>
      <c r="T6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4" s="185" t="str">
        <f>IFERROR((Table1[[#This Row],[Actual Effort (Hours)]]-Table1[[#This Row],[Estimated Effort (Hours)]])/Table1[[#This Row],[Estimated Effort (Hours)]],"")</f>
        <v/>
      </c>
    </row>
    <row r="615" spans="2:21">
      <c r="B615" s="125"/>
      <c r="C615" s="123"/>
      <c r="D615" s="143"/>
      <c r="E615" s="123"/>
      <c r="F615" s="143"/>
      <c r="G615" s="129"/>
      <c r="H615" s="124"/>
      <c r="I615" s="124"/>
      <c r="J615" s="129"/>
      <c r="K615" s="194"/>
      <c r="L615" s="194"/>
      <c r="M615" s="129"/>
      <c r="N615" s="129" t="e">
        <f>Table1[[#This Row],[Estimated Effort (Hours)]]/NETWORKDAYS(Table1[[#This Row],[Planned Start Date]],Table1[[#This Row],[Planned End Date]])</f>
        <v>#DIV/0!</v>
      </c>
      <c r="O615" s="178">
        <f>NETWORKDAYS(Table1[[#This Row],[Planned Start Date]],Table1[[#This Row],[Planned End Date]])</f>
        <v>0</v>
      </c>
      <c r="P615" s="178">
        <f>NETWORKDAYS(Table1[[#This Row],[Planned Start Date]],$P$7)</f>
        <v>30643</v>
      </c>
      <c r="Q615" s="129"/>
      <c r="R615" s="183" t="str">
        <f>IF(Table1[[#This Row],[Actual Effort (Hours)]]="","",IF(Table1[[#This Row],[Estimated Effort (Hours)]]&lt;20,"L1",IF(Table1[[#This Row],[Estimated Effort (Hours)]]&lt;50,"L2",IF(Table1[[#This Row],[Estimated Effort (Hours)]]&lt;150,"L3",IF(Table1[[#This Row],[Estimated Effort (Hours)]]&lt;300,"L4","L5")))))</f>
        <v/>
      </c>
      <c r="S615" s="184" t="str">
        <f>IF(Table1[[#This Row],[Actual End Date]]="","",TEXT(Table1[[#This Row],[Actual End Date]],"mmm-yy"))</f>
        <v/>
      </c>
      <c r="T6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5" s="185" t="str">
        <f>IFERROR((Table1[[#This Row],[Actual Effort (Hours)]]-Table1[[#This Row],[Estimated Effort (Hours)]])/Table1[[#This Row],[Estimated Effort (Hours)]],"")</f>
        <v/>
      </c>
    </row>
    <row r="616" spans="2:21">
      <c r="B616" s="125"/>
      <c r="C616" s="123"/>
      <c r="D616" s="143"/>
      <c r="E616" s="123"/>
      <c r="F616" s="143"/>
      <c r="G616" s="129"/>
      <c r="H616" s="124"/>
      <c r="I616" s="124"/>
      <c r="J616" s="129"/>
      <c r="K616" s="194"/>
      <c r="L616" s="194"/>
      <c r="M616" s="129"/>
      <c r="N616" s="129" t="e">
        <f>Table1[[#This Row],[Estimated Effort (Hours)]]/NETWORKDAYS(Table1[[#This Row],[Planned Start Date]],Table1[[#This Row],[Planned End Date]])</f>
        <v>#DIV/0!</v>
      </c>
      <c r="O616" s="178">
        <f>NETWORKDAYS(Table1[[#This Row],[Planned Start Date]],Table1[[#This Row],[Planned End Date]])</f>
        <v>0</v>
      </c>
      <c r="P616" s="178">
        <f>NETWORKDAYS(Table1[[#This Row],[Planned Start Date]],$P$7)</f>
        <v>30643</v>
      </c>
      <c r="Q616" s="129"/>
      <c r="R616" s="183" t="str">
        <f>IF(Table1[[#This Row],[Actual Effort (Hours)]]="","",IF(Table1[[#This Row],[Estimated Effort (Hours)]]&lt;20,"L1",IF(Table1[[#This Row],[Estimated Effort (Hours)]]&lt;50,"L2",IF(Table1[[#This Row],[Estimated Effort (Hours)]]&lt;150,"L3",IF(Table1[[#This Row],[Estimated Effort (Hours)]]&lt;300,"L4","L5")))))</f>
        <v/>
      </c>
      <c r="S616" s="184" t="str">
        <f>IF(Table1[[#This Row],[Actual End Date]]="","",TEXT(Table1[[#This Row],[Actual End Date]],"mmm-yy"))</f>
        <v/>
      </c>
      <c r="T6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6" s="185" t="str">
        <f>IFERROR((Table1[[#This Row],[Actual Effort (Hours)]]-Table1[[#This Row],[Estimated Effort (Hours)]])/Table1[[#This Row],[Estimated Effort (Hours)]],"")</f>
        <v/>
      </c>
    </row>
    <row r="617" spans="2:21">
      <c r="B617" s="125"/>
      <c r="C617" s="123"/>
      <c r="D617" s="143"/>
      <c r="E617" s="123"/>
      <c r="F617" s="143"/>
      <c r="G617" s="129"/>
      <c r="H617" s="124"/>
      <c r="I617" s="124"/>
      <c r="J617" s="129"/>
      <c r="K617" s="194"/>
      <c r="L617" s="194"/>
      <c r="M617" s="129"/>
      <c r="N617" s="129" t="e">
        <f>Table1[[#This Row],[Estimated Effort (Hours)]]/NETWORKDAYS(Table1[[#This Row],[Planned Start Date]],Table1[[#This Row],[Planned End Date]])</f>
        <v>#DIV/0!</v>
      </c>
      <c r="O617" s="178">
        <f>NETWORKDAYS(Table1[[#This Row],[Planned Start Date]],Table1[[#This Row],[Planned End Date]])</f>
        <v>0</v>
      </c>
      <c r="P617" s="178">
        <f>NETWORKDAYS(Table1[[#This Row],[Planned Start Date]],$P$7)</f>
        <v>30643</v>
      </c>
      <c r="Q617" s="129"/>
      <c r="R617" s="183" t="str">
        <f>IF(Table1[[#This Row],[Actual Effort (Hours)]]="","",IF(Table1[[#This Row],[Estimated Effort (Hours)]]&lt;20,"L1",IF(Table1[[#This Row],[Estimated Effort (Hours)]]&lt;50,"L2",IF(Table1[[#This Row],[Estimated Effort (Hours)]]&lt;150,"L3",IF(Table1[[#This Row],[Estimated Effort (Hours)]]&lt;300,"L4","L5")))))</f>
        <v/>
      </c>
      <c r="S617" s="184" t="str">
        <f>IF(Table1[[#This Row],[Actual End Date]]="","",TEXT(Table1[[#This Row],[Actual End Date]],"mmm-yy"))</f>
        <v/>
      </c>
      <c r="T6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7" s="185" t="str">
        <f>IFERROR((Table1[[#This Row],[Actual Effort (Hours)]]-Table1[[#This Row],[Estimated Effort (Hours)]])/Table1[[#This Row],[Estimated Effort (Hours)]],"")</f>
        <v/>
      </c>
    </row>
    <row r="618" spans="2:21">
      <c r="B618" s="125"/>
      <c r="C618" s="123"/>
      <c r="D618" s="143"/>
      <c r="E618" s="123"/>
      <c r="F618" s="143"/>
      <c r="G618" s="129"/>
      <c r="H618" s="124"/>
      <c r="I618" s="124"/>
      <c r="J618" s="129"/>
      <c r="K618" s="194"/>
      <c r="L618" s="194"/>
      <c r="M618" s="129"/>
      <c r="N618" s="129" t="e">
        <f>Table1[[#This Row],[Estimated Effort (Hours)]]/NETWORKDAYS(Table1[[#This Row],[Planned Start Date]],Table1[[#This Row],[Planned End Date]])</f>
        <v>#DIV/0!</v>
      </c>
      <c r="O618" s="178">
        <f>NETWORKDAYS(Table1[[#This Row],[Planned Start Date]],Table1[[#This Row],[Planned End Date]])</f>
        <v>0</v>
      </c>
      <c r="P618" s="178">
        <f>NETWORKDAYS(Table1[[#This Row],[Planned Start Date]],$P$7)</f>
        <v>30643</v>
      </c>
      <c r="Q618" s="129"/>
      <c r="R618" s="183" t="str">
        <f>IF(Table1[[#This Row],[Actual Effort (Hours)]]="","",IF(Table1[[#This Row],[Estimated Effort (Hours)]]&lt;20,"L1",IF(Table1[[#This Row],[Estimated Effort (Hours)]]&lt;50,"L2",IF(Table1[[#This Row],[Estimated Effort (Hours)]]&lt;150,"L3",IF(Table1[[#This Row],[Estimated Effort (Hours)]]&lt;300,"L4","L5")))))</f>
        <v/>
      </c>
      <c r="S618" s="184" t="str">
        <f>IF(Table1[[#This Row],[Actual End Date]]="","",TEXT(Table1[[#This Row],[Actual End Date]],"mmm-yy"))</f>
        <v/>
      </c>
      <c r="T6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8" s="185" t="str">
        <f>IFERROR((Table1[[#This Row],[Actual Effort (Hours)]]-Table1[[#This Row],[Estimated Effort (Hours)]])/Table1[[#This Row],[Estimated Effort (Hours)]],"")</f>
        <v/>
      </c>
    </row>
    <row r="619" spans="2:21">
      <c r="B619" s="125"/>
      <c r="C619" s="123"/>
      <c r="D619" s="143"/>
      <c r="E619" s="123"/>
      <c r="F619" s="143"/>
      <c r="G619" s="129"/>
      <c r="H619" s="124"/>
      <c r="I619" s="124"/>
      <c r="J619" s="129"/>
      <c r="K619" s="194"/>
      <c r="L619" s="194"/>
      <c r="M619" s="129"/>
      <c r="N619" s="129" t="e">
        <f>Table1[[#This Row],[Estimated Effort (Hours)]]/NETWORKDAYS(Table1[[#This Row],[Planned Start Date]],Table1[[#This Row],[Planned End Date]])</f>
        <v>#DIV/0!</v>
      </c>
      <c r="O619" s="178">
        <f>NETWORKDAYS(Table1[[#This Row],[Planned Start Date]],Table1[[#This Row],[Planned End Date]])</f>
        <v>0</v>
      </c>
      <c r="P619" s="178">
        <f>NETWORKDAYS(Table1[[#This Row],[Planned Start Date]],$P$7)</f>
        <v>30643</v>
      </c>
      <c r="Q619" s="129"/>
      <c r="R619" s="183" t="str">
        <f>IF(Table1[[#This Row],[Actual Effort (Hours)]]="","",IF(Table1[[#This Row],[Estimated Effort (Hours)]]&lt;20,"L1",IF(Table1[[#This Row],[Estimated Effort (Hours)]]&lt;50,"L2",IF(Table1[[#This Row],[Estimated Effort (Hours)]]&lt;150,"L3",IF(Table1[[#This Row],[Estimated Effort (Hours)]]&lt;300,"L4","L5")))))</f>
        <v/>
      </c>
      <c r="S619" s="184" t="str">
        <f>IF(Table1[[#This Row],[Actual End Date]]="","",TEXT(Table1[[#This Row],[Actual End Date]],"mmm-yy"))</f>
        <v/>
      </c>
      <c r="T6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19" s="185" t="str">
        <f>IFERROR((Table1[[#This Row],[Actual Effort (Hours)]]-Table1[[#This Row],[Estimated Effort (Hours)]])/Table1[[#This Row],[Estimated Effort (Hours)]],"")</f>
        <v/>
      </c>
    </row>
    <row r="620" spans="2:21">
      <c r="B620" s="125"/>
      <c r="C620" s="123"/>
      <c r="D620" s="143"/>
      <c r="E620" s="123"/>
      <c r="F620" s="143"/>
      <c r="G620" s="129"/>
      <c r="H620" s="124"/>
      <c r="I620" s="124"/>
      <c r="J620" s="129"/>
      <c r="K620" s="194"/>
      <c r="L620" s="194"/>
      <c r="M620" s="129"/>
      <c r="N620" s="129" t="e">
        <f>Table1[[#This Row],[Estimated Effort (Hours)]]/NETWORKDAYS(Table1[[#This Row],[Planned Start Date]],Table1[[#This Row],[Planned End Date]])</f>
        <v>#DIV/0!</v>
      </c>
      <c r="O620" s="178">
        <f>NETWORKDAYS(Table1[[#This Row],[Planned Start Date]],Table1[[#This Row],[Planned End Date]])</f>
        <v>0</v>
      </c>
      <c r="P620" s="178">
        <f>NETWORKDAYS(Table1[[#This Row],[Planned Start Date]],$P$7)</f>
        <v>30643</v>
      </c>
      <c r="Q620" s="129"/>
      <c r="R620" s="183" t="str">
        <f>IF(Table1[[#This Row],[Actual Effort (Hours)]]="","",IF(Table1[[#This Row],[Estimated Effort (Hours)]]&lt;20,"L1",IF(Table1[[#This Row],[Estimated Effort (Hours)]]&lt;50,"L2",IF(Table1[[#This Row],[Estimated Effort (Hours)]]&lt;150,"L3",IF(Table1[[#This Row],[Estimated Effort (Hours)]]&lt;300,"L4","L5")))))</f>
        <v/>
      </c>
      <c r="S620" s="184" t="str">
        <f>IF(Table1[[#This Row],[Actual End Date]]="","",TEXT(Table1[[#This Row],[Actual End Date]],"mmm-yy"))</f>
        <v/>
      </c>
      <c r="T6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0" s="185" t="str">
        <f>IFERROR((Table1[[#This Row],[Actual Effort (Hours)]]-Table1[[#This Row],[Estimated Effort (Hours)]])/Table1[[#This Row],[Estimated Effort (Hours)]],"")</f>
        <v/>
      </c>
    </row>
    <row r="621" spans="2:21">
      <c r="B621" s="125"/>
      <c r="C621" s="123"/>
      <c r="D621" s="143"/>
      <c r="E621" s="123"/>
      <c r="F621" s="143"/>
      <c r="G621" s="129"/>
      <c r="H621" s="124"/>
      <c r="I621" s="124"/>
      <c r="J621" s="129"/>
      <c r="K621" s="194"/>
      <c r="L621" s="194"/>
      <c r="M621" s="129"/>
      <c r="N621" s="129" t="e">
        <f>Table1[[#This Row],[Estimated Effort (Hours)]]/NETWORKDAYS(Table1[[#This Row],[Planned Start Date]],Table1[[#This Row],[Planned End Date]])</f>
        <v>#DIV/0!</v>
      </c>
      <c r="O621" s="178">
        <f>NETWORKDAYS(Table1[[#This Row],[Planned Start Date]],Table1[[#This Row],[Planned End Date]])</f>
        <v>0</v>
      </c>
      <c r="P621" s="178">
        <f>NETWORKDAYS(Table1[[#This Row],[Planned Start Date]],$P$7)</f>
        <v>30643</v>
      </c>
      <c r="Q621" s="129"/>
      <c r="R621" s="183" t="str">
        <f>IF(Table1[[#This Row],[Actual Effort (Hours)]]="","",IF(Table1[[#This Row],[Estimated Effort (Hours)]]&lt;20,"L1",IF(Table1[[#This Row],[Estimated Effort (Hours)]]&lt;50,"L2",IF(Table1[[#This Row],[Estimated Effort (Hours)]]&lt;150,"L3",IF(Table1[[#This Row],[Estimated Effort (Hours)]]&lt;300,"L4","L5")))))</f>
        <v/>
      </c>
      <c r="S621" s="184" t="str">
        <f>IF(Table1[[#This Row],[Actual End Date]]="","",TEXT(Table1[[#This Row],[Actual End Date]],"mmm-yy"))</f>
        <v/>
      </c>
      <c r="T6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1" s="185" t="str">
        <f>IFERROR((Table1[[#This Row],[Actual Effort (Hours)]]-Table1[[#This Row],[Estimated Effort (Hours)]])/Table1[[#This Row],[Estimated Effort (Hours)]],"")</f>
        <v/>
      </c>
    </row>
    <row r="622" spans="2:21">
      <c r="B622" s="125"/>
      <c r="C622" s="123"/>
      <c r="D622" s="143"/>
      <c r="E622" s="123"/>
      <c r="F622" s="143"/>
      <c r="G622" s="129"/>
      <c r="H622" s="124"/>
      <c r="I622" s="124"/>
      <c r="J622" s="129"/>
      <c r="K622" s="194"/>
      <c r="L622" s="194"/>
      <c r="M622" s="129"/>
      <c r="N622" s="129" t="e">
        <f>Table1[[#This Row],[Estimated Effort (Hours)]]/NETWORKDAYS(Table1[[#This Row],[Planned Start Date]],Table1[[#This Row],[Planned End Date]])</f>
        <v>#DIV/0!</v>
      </c>
      <c r="O622" s="178">
        <f>NETWORKDAYS(Table1[[#This Row],[Planned Start Date]],Table1[[#This Row],[Planned End Date]])</f>
        <v>0</v>
      </c>
      <c r="P622" s="178">
        <f>NETWORKDAYS(Table1[[#This Row],[Planned Start Date]],$P$7)</f>
        <v>30643</v>
      </c>
      <c r="Q622" s="129"/>
      <c r="R622" s="183" t="str">
        <f>IF(Table1[[#This Row],[Actual Effort (Hours)]]="","",IF(Table1[[#This Row],[Estimated Effort (Hours)]]&lt;20,"L1",IF(Table1[[#This Row],[Estimated Effort (Hours)]]&lt;50,"L2",IF(Table1[[#This Row],[Estimated Effort (Hours)]]&lt;150,"L3",IF(Table1[[#This Row],[Estimated Effort (Hours)]]&lt;300,"L4","L5")))))</f>
        <v/>
      </c>
      <c r="S622" s="184" t="str">
        <f>IF(Table1[[#This Row],[Actual End Date]]="","",TEXT(Table1[[#This Row],[Actual End Date]],"mmm-yy"))</f>
        <v/>
      </c>
      <c r="T6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2" s="185" t="str">
        <f>IFERROR((Table1[[#This Row],[Actual Effort (Hours)]]-Table1[[#This Row],[Estimated Effort (Hours)]])/Table1[[#This Row],[Estimated Effort (Hours)]],"")</f>
        <v/>
      </c>
    </row>
    <row r="623" spans="2:21">
      <c r="B623" s="125"/>
      <c r="C623" s="123"/>
      <c r="D623" s="143"/>
      <c r="E623" s="123"/>
      <c r="F623" s="143"/>
      <c r="G623" s="129"/>
      <c r="H623" s="124"/>
      <c r="I623" s="124"/>
      <c r="J623" s="129"/>
      <c r="K623" s="194"/>
      <c r="L623" s="194"/>
      <c r="M623" s="129"/>
      <c r="N623" s="129" t="e">
        <f>Table1[[#This Row],[Estimated Effort (Hours)]]/NETWORKDAYS(Table1[[#This Row],[Planned Start Date]],Table1[[#This Row],[Planned End Date]])</f>
        <v>#DIV/0!</v>
      </c>
      <c r="O623" s="178">
        <f>NETWORKDAYS(Table1[[#This Row],[Planned Start Date]],Table1[[#This Row],[Planned End Date]])</f>
        <v>0</v>
      </c>
      <c r="P623" s="178">
        <f>NETWORKDAYS(Table1[[#This Row],[Planned Start Date]],$P$7)</f>
        <v>30643</v>
      </c>
      <c r="Q623" s="129"/>
      <c r="R623" s="183" t="str">
        <f>IF(Table1[[#This Row],[Actual Effort (Hours)]]="","",IF(Table1[[#This Row],[Estimated Effort (Hours)]]&lt;20,"L1",IF(Table1[[#This Row],[Estimated Effort (Hours)]]&lt;50,"L2",IF(Table1[[#This Row],[Estimated Effort (Hours)]]&lt;150,"L3",IF(Table1[[#This Row],[Estimated Effort (Hours)]]&lt;300,"L4","L5")))))</f>
        <v/>
      </c>
      <c r="S623" s="184" t="str">
        <f>IF(Table1[[#This Row],[Actual End Date]]="","",TEXT(Table1[[#This Row],[Actual End Date]],"mmm-yy"))</f>
        <v/>
      </c>
      <c r="T6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3" s="185" t="str">
        <f>IFERROR((Table1[[#This Row],[Actual Effort (Hours)]]-Table1[[#This Row],[Estimated Effort (Hours)]])/Table1[[#This Row],[Estimated Effort (Hours)]],"")</f>
        <v/>
      </c>
    </row>
    <row r="624" spans="2:21">
      <c r="B624" s="125"/>
      <c r="C624" s="123"/>
      <c r="D624" s="143"/>
      <c r="E624" s="123"/>
      <c r="F624" s="143"/>
      <c r="G624" s="129"/>
      <c r="H624" s="124"/>
      <c r="I624" s="124"/>
      <c r="J624" s="129"/>
      <c r="K624" s="194"/>
      <c r="L624" s="194"/>
      <c r="M624" s="129"/>
      <c r="N624" s="129" t="e">
        <f>Table1[[#This Row],[Estimated Effort (Hours)]]/NETWORKDAYS(Table1[[#This Row],[Planned Start Date]],Table1[[#This Row],[Planned End Date]])</f>
        <v>#DIV/0!</v>
      </c>
      <c r="O624" s="178">
        <f>NETWORKDAYS(Table1[[#This Row],[Planned Start Date]],Table1[[#This Row],[Planned End Date]])</f>
        <v>0</v>
      </c>
      <c r="P624" s="178">
        <f>NETWORKDAYS(Table1[[#This Row],[Planned Start Date]],$P$7)</f>
        <v>30643</v>
      </c>
      <c r="Q624" s="129"/>
      <c r="R624" s="183" t="str">
        <f>IF(Table1[[#This Row],[Actual Effort (Hours)]]="","",IF(Table1[[#This Row],[Estimated Effort (Hours)]]&lt;20,"L1",IF(Table1[[#This Row],[Estimated Effort (Hours)]]&lt;50,"L2",IF(Table1[[#This Row],[Estimated Effort (Hours)]]&lt;150,"L3",IF(Table1[[#This Row],[Estimated Effort (Hours)]]&lt;300,"L4","L5")))))</f>
        <v/>
      </c>
      <c r="S624" s="184" t="str">
        <f>IF(Table1[[#This Row],[Actual End Date]]="","",TEXT(Table1[[#This Row],[Actual End Date]],"mmm-yy"))</f>
        <v/>
      </c>
      <c r="T6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4" s="185" t="str">
        <f>IFERROR((Table1[[#This Row],[Actual Effort (Hours)]]-Table1[[#This Row],[Estimated Effort (Hours)]])/Table1[[#This Row],[Estimated Effort (Hours)]],"")</f>
        <v/>
      </c>
    </row>
    <row r="625" spans="2:21">
      <c r="B625" s="125"/>
      <c r="C625" s="123"/>
      <c r="D625" s="143"/>
      <c r="E625" s="123"/>
      <c r="F625" s="143"/>
      <c r="G625" s="129"/>
      <c r="H625" s="124"/>
      <c r="I625" s="124"/>
      <c r="J625" s="129"/>
      <c r="K625" s="194"/>
      <c r="L625" s="194"/>
      <c r="M625" s="129"/>
      <c r="N625" s="129" t="e">
        <f>Table1[[#This Row],[Estimated Effort (Hours)]]/NETWORKDAYS(Table1[[#This Row],[Planned Start Date]],Table1[[#This Row],[Planned End Date]])</f>
        <v>#DIV/0!</v>
      </c>
      <c r="O625" s="178">
        <f>NETWORKDAYS(Table1[[#This Row],[Planned Start Date]],Table1[[#This Row],[Planned End Date]])</f>
        <v>0</v>
      </c>
      <c r="P625" s="178">
        <f>NETWORKDAYS(Table1[[#This Row],[Planned Start Date]],$P$7)</f>
        <v>30643</v>
      </c>
      <c r="Q625" s="129"/>
      <c r="R625" s="183" t="str">
        <f>IF(Table1[[#This Row],[Actual Effort (Hours)]]="","",IF(Table1[[#This Row],[Estimated Effort (Hours)]]&lt;20,"L1",IF(Table1[[#This Row],[Estimated Effort (Hours)]]&lt;50,"L2",IF(Table1[[#This Row],[Estimated Effort (Hours)]]&lt;150,"L3",IF(Table1[[#This Row],[Estimated Effort (Hours)]]&lt;300,"L4","L5")))))</f>
        <v/>
      </c>
      <c r="S625" s="184" t="str">
        <f>IF(Table1[[#This Row],[Actual End Date]]="","",TEXT(Table1[[#This Row],[Actual End Date]],"mmm-yy"))</f>
        <v/>
      </c>
      <c r="T6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5" s="185" t="str">
        <f>IFERROR((Table1[[#This Row],[Actual Effort (Hours)]]-Table1[[#This Row],[Estimated Effort (Hours)]])/Table1[[#This Row],[Estimated Effort (Hours)]],"")</f>
        <v/>
      </c>
    </row>
    <row r="626" spans="2:21">
      <c r="B626" s="125"/>
      <c r="C626" s="123"/>
      <c r="D626" s="143"/>
      <c r="E626" s="123"/>
      <c r="F626" s="143"/>
      <c r="G626" s="129"/>
      <c r="H626" s="124"/>
      <c r="I626" s="124"/>
      <c r="J626" s="129"/>
      <c r="K626" s="194"/>
      <c r="L626" s="194"/>
      <c r="M626" s="129"/>
      <c r="N626" s="129" t="e">
        <f>Table1[[#This Row],[Estimated Effort (Hours)]]/NETWORKDAYS(Table1[[#This Row],[Planned Start Date]],Table1[[#This Row],[Planned End Date]])</f>
        <v>#DIV/0!</v>
      </c>
      <c r="O626" s="178">
        <f>NETWORKDAYS(Table1[[#This Row],[Planned Start Date]],Table1[[#This Row],[Planned End Date]])</f>
        <v>0</v>
      </c>
      <c r="P626" s="178">
        <f>NETWORKDAYS(Table1[[#This Row],[Planned Start Date]],$P$7)</f>
        <v>30643</v>
      </c>
      <c r="Q626" s="129"/>
      <c r="R626" s="183" t="str">
        <f>IF(Table1[[#This Row],[Actual Effort (Hours)]]="","",IF(Table1[[#This Row],[Estimated Effort (Hours)]]&lt;20,"L1",IF(Table1[[#This Row],[Estimated Effort (Hours)]]&lt;50,"L2",IF(Table1[[#This Row],[Estimated Effort (Hours)]]&lt;150,"L3",IF(Table1[[#This Row],[Estimated Effort (Hours)]]&lt;300,"L4","L5")))))</f>
        <v/>
      </c>
      <c r="S626" s="184" t="str">
        <f>IF(Table1[[#This Row],[Actual End Date]]="","",TEXT(Table1[[#This Row],[Actual End Date]],"mmm-yy"))</f>
        <v/>
      </c>
      <c r="T6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6" s="185" t="str">
        <f>IFERROR((Table1[[#This Row],[Actual Effort (Hours)]]-Table1[[#This Row],[Estimated Effort (Hours)]])/Table1[[#This Row],[Estimated Effort (Hours)]],"")</f>
        <v/>
      </c>
    </row>
    <row r="627" spans="2:21">
      <c r="B627" s="125"/>
      <c r="C627" s="123"/>
      <c r="D627" s="143"/>
      <c r="E627" s="123"/>
      <c r="F627" s="143"/>
      <c r="G627" s="129"/>
      <c r="H627" s="124"/>
      <c r="I627" s="124"/>
      <c r="J627" s="129"/>
      <c r="K627" s="194"/>
      <c r="L627" s="194"/>
      <c r="M627" s="129"/>
      <c r="N627" s="129" t="e">
        <f>Table1[[#This Row],[Estimated Effort (Hours)]]/NETWORKDAYS(Table1[[#This Row],[Planned Start Date]],Table1[[#This Row],[Planned End Date]])</f>
        <v>#DIV/0!</v>
      </c>
      <c r="O627" s="178">
        <f>NETWORKDAYS(Table1[[#This Row],[Planned Start Date]],Table1[[#This Row],[Planned End Date]])</f>
        <v>0</v>
      </c>
      <c r="P627" s="178">
        <f>NETWORKDAYS(Table1[[#This Row],[Planned Start Date]],$P$7)</f>
        <v>30643</v>
      </c>
      <c r="Q627" s="129"/>
      <c r="R627" s="183" t="str">
        <f>IF(Table1[[#This Row],[Actual Effort (Hours)]]="","",IF(Table1[[#This Row],[Estimated Effort (Hours)]]&lt;20,"L1",IF(Table1[[#This Row],[Estimated Effort (Hours)]]&lt;50,"L2",IF(Table1[[#This Row],[Estimated Effort (Hours)]]&lt;150,"L3",IF(Table1[[#This Row],[Estimated Effort (Hours)]]&lt;300,"L4","L5")))))</f>
        <v/>
      </c>
      <c r="S627" s="184" t="str">
        <f>IF(Table1[[#This Row],[Actual End Date]]="","",TEXT(Table1[[#This Row],[Actual End Date]],"mmm-yy"))</f>
        <v/>
      </c>
      <c r="T6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7" s="185" t="str">
        <f>IFERROR((Table1[[#This Row],[Actual Effort (Hours)]]-Table1[[#This Row],[Estimated Effort (Hours)]])/Table1[[#This Row],[Estimated Effort (Hours)]],"")</f>
        <v/>
      </c>
    </row>
    <row r="628" spans="2:21">
      <c r="B628" s="125"/>
      <c r="C628" s="123"/>
      <c r="D628" s="143"/>
      <c r="E628" s="123"/>
      <c r="F628" s="143"/>
      <c r="G628" s="129"/>
      <c r="H628" s="124"/>
      <c r="I628" s="124"/>
      <c r="J628" s="129"/>
      <c r="K628" s="194"/>
      <c r="L628" s="194"/>
      <c r="M628" s="129"/>
      <c r="N628" s="129" t="e">
        <f>Table1[[#This Row],[Estimated Effort (Hours)]]/NETWORKDAYS(Table1[[#This Row],[Planned Start Date]],Table1[[#This Row],[Planned End Date]])</f>
        <v>#DIV/0!</v>
      </c>
      <c r="O628" s="178">
        <f>NETWORKDAYS(Table1[[#This Row],[Planned Start Date]],Table1[[#This Row],[Planned End Date]])</f>
        <v>0</v>
      </c>
      <c r="P628" s="178">
        <f>NETWORKDAYS(Table1[[#This Row],[Planned Start Date]],$P$7)</f>
        <v>30643</v>
      </c>
      <c r="Q628" s="129"/>
      <c r="R628" s="183" t="str">
        <f>IF(Table1[[#This Row],[Actual Effort (Hours)]]="","",IF(Table1[[#This Row],[Estimated Effort (Hours)]]&lt;20,"L1",IF(Table1[[#This Row],[Estimated Effort (Hours)]]&lt;50,"L2",IF(Table1[[#This Row],[Estimated Effort (Hours)]]&lt;150,"L3",IF(Table1[[#This Row],[Estimated Effort (Hours)]]&lt;300,"L4","L5")))))</f>
        <v/>
      </c>
      <c r="S628" s="184" t="str">
        <f>IF(Table1[[#This Row],[Actual End Date]]="","",TEXT(Table1[[#This Row],[Actual End Date]],"mmm-yy"))</f>
        <v/>
      </c>
      <c r="T6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8" s="185" t="str">
        <f>IFERROR((Table1[[#This Row],[Actual Effort (Hours)]]-Table1[[#This Row],[Estimated Effort (Hours)]])/Table1[[#This Row],[Estimated Effort (Hours)]],"")</f>
        <v/>
      </c>
    </row>
    <row r="629" spans="2:21">
      <c r="B629" s="125"/>
      <c r="C629" s="123"/>
      <c r="D629" s="143"/>
      <c r="E629" s="123"/>
      <c r="F629" s="143"/>
      <c r="G629" s="129"/>
      <c r="H629" s="124"/>
      <c r="I629" s="124"/>
      <c r="J629" s="129"/>
      <c r="K629" s="194"/>
      <c r="L629" s="194"/>
      <c r="M629" s="129"/>
      <c r="N629" s="129" t="e">
        <f>Table1[[#This Row],[Estimated Effort (Hours)]]/NETWORKDAYS(Table1[[#This Row],[Planned Start Date]],Table1[[#This Row],[Planned End Date]])</f>
        <v>#DIV/0!</v>
      </c>
      <c r="O629" s="178">
        <f>NETWORKDAYS(Table1[[#This Row],[Planned Start Date]],Table1[[#This Row],[Planned End Date]])</f>
        <v>0</v>
      </c>
      <c r="P629" s="178">
        <f>NETWORKDAYS(Table1[[#This Row],[Planned Start Date]],$P$7)</f>
        <v>30643</v>
      </c>
      <c r="Q629" s="129"/>
      <c r="R629" s="183" t="str">
        <f>IF(Table1[[#This Row],[Actual Effort (Hours)]]="","",IF(Table1[[#This Row],[Estimated Effort (Hours)]]&lt;20,"L1",IF(Table1[[#This Row],[Estimated Effort (Hours)]]&lt;50,"L2",IF(Table1[[#This Row],[Estimated Effort (Hours)]]&lt;150,"L3",IF(Table1[[#This Row],[Estimated Effort (Hours)]]&lt;300,"L4","L5")))))</f>
        <v/>
      </c>
      <c r="S629" s="184" t="str">
        <f>IF(Table1[[#This Row],[Actual End Date]]="","",TEXT(Table1[[#This Row],[Actual End Date]],"mmm-yy"))</f>
        <v/>
      </c>
      <c r="T6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29" s="185" t="str">
        <f>IFERROR((Table1[[#This Row],[Actual Effort (Hours)]]-Table1[[#This Row],[Estimated Effort (Hours)]])/Table1[[#This Row],[Estimated Effort (Hours)]],"")</f>
        <v/>
      </c>
    </row>
    <row r="630" spans="2:21">
      <c r="B630" s="125"/>
      <c r="C630" s="123"/>
      <c r="D630" s="143"/>
      <c r="E630" s="123"/>
      <c r="F630" s="143"/>
      <c r="G630" s="129"/>
      <c r="H630" s="124"/>
      <c r="I630" s="124"/>
      <c r="J630" s="129"/>
      <c r="K630" s="194"/>
      <c r="L630" s="194"/>
      <c r="M630" s="129"/>
      <c r="N630" s="129" t="e">
        <f>Table1[[#This Row],[Estimated Effort (Hours)]]/NETWORKDAYS(Table1[[#This Row],[Planned Start Date]],Table1[[#This Row],[Planned End Date]])</f>
        <v>#DIV/0!</v>
      </c>
      <c r="O630" s="178">
        <f>NETWORKDAYS(Table1[[#This Row],[Planned Start Date]],Table1[[#This Row],[Planned End Date]])</f>
        <v>0</v>
      </c>
      <c r="P630" s="178">
        <f>NETWORKDAYS(Table1[[#This Row],[Planned Start Date]],$P$7)</f>
        <v>30643</v>
      </c>
      <c r="Q630" s="129"/>
      <c r="R630" s="183" t="str">
        <f>IF(Table1[[#This Row],[Actual Effort (Hours)]]="","",IF(Table1[[#This Row],[Estimated Effort (Hours)]]&lt;20,"L1",IF(Table1[[#This Row],[Estimated Effort (Hours)]]&lt;50,"L2",IF(Table1[[#This Row],[Estimated Effort (Hours)]]&lt;150,"L3",IF(Table1[[#This Row],[Estimated Effort (Hours)]]&lt;300,"L4","L5")))))</f>
        <v/>
      </c>
      <c r="S630" s="184" t="str">
        <f>IF(Table1[[#This Row],[Actual End Date]]="","",TEXT(Table1[[#This Row],[Actual End Date]],"mmm-yy"))</f>
        <v/>
      </c>
      <c r="T6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0" s="185" t="str">
        <f>IFERROR((Table1[[#This Row],[Actual Effort (Hours)]]-Table1[[#This Row],[Estimated Effort (Hours)]])/Table1[[#This Row],[Estimated Effort (Hours)]],"")</f>
        <v/>
      </c>
    </row>
    <row r="631" spans="2:21">
      <c r="B631" s="125"/>
      <c r="C631" s="123"/>
      <c r="D631" s="143"/>
      <c r="E631" s="123"/>
      <c r="F631" s="143"/>
      <c r="G631" s="129"/>
      <c r="H631" s="124"/>
      <c r="I631" s="124"/>
      <c r="J631" s="129"/>
      <c r="K631" s="194"/>
      <c r="L631" s="194"/>
      <c r="M631" s="129"/>
      <c r="N631" s="129" t="e">
        <f>Table1[[#This Row],[Estimated Effort (Hours)]]/NETWORKDAYS(Table1[[#This Row],[Planned Start Date]],Table1[[#This Row],[Planned End Date]])</f>
        <v>#DIV/0!</v>
      </c>
      <c r="O631" s="178">
        <f>NETWORKDAYS(Table1[[#This Row],[Planned Start Date]],Table1[[#This Row],[Planned End Date]])</f>
        <v>0</v>
      </c>
      <c r="P631" s="178">
        <f>NETWORKDAYS(Table1[[#This Row],[Planned Start Date]],$P$7)</f>
        <v>30643</v>
      </c>
      <c r="Q631" s="129"/>
      <c r="R631" s="183" t="str">
        <f>IF(Table1[[#This Row],[Actual Effort (Hours)]]="","",IF(Table1[[#This Row],[Estimated Effort (Hours)]]&lt;20,"L1",IF(Table1[[#This Row],[Estimated Effort (Hours)]]&lt;50,"L2",IF(Table1[[#This Row],[Estimated Effort (Hours)]]&lt;150,"L3",IF(Table1[[#This Row],[Estimated Effort (Hours)]]&lt;300,"L4","L5")))))</f>
        <v/>
      </c>
      <c r="S631" s="184" t="str">
        <f>IF(Table1[[#This Row],[Actual End Date]]="","",TEXT(Table1[[#This Row],[Actual End Date]],"mmm-yy"))</f>
        <v/>
      </c>
      <c r="T6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1" s="185" t="str">
        <f>IFERROR((Table1[[#This Row],[Actual Effort (Hours)]]-Table1[[#This Row],[Estimated Effort (Hours)]])/Table1[[#This Row],[Estimated Effort (Hours)]],"")</f>
        <v/>
      </c>
    </row>
    <row r="632" spans="2:21">
      <c r="B632" s="125"/>
      <c r="C632" s="123"/>
      <c r="D632" s="143"/>
      <c r="E632" s="123"/>
      <c r="F632" s="143"/>
      <c r="G632" s="129"/>
      <c r="H632" s="124"/>
      <c r="I632" s="124"/>
      <c r="J632" s="129"/>
      <c r="K632" s="194"/>
      <c r="L632" s="194"/>
      <c r="M632" s="129"/>
      <c r="N632" s="129" t="e">
        <f>Table1[[#This Row],[Estimated Effort (Hours)]]/NETWORKDAYS(Table1[[#This Row],[Planned Start Date]],Table1[[#This Row],[Planned End Date]])</f>
        <v>#DIV/0!</v>
      </c>
      <c r="O632" s="178">
        <f>NETWORKDAYS(Table1[[#This Row],[Planned Start Date]],Table1[[#This Row],[Planned End Date]])</f>
        <v>0</v>
      </c>
      <c r="P632" s="178">
        <f>NETWORKDAYS(Table1[[#This Row],[Planned Start Date]],$P$7)</f>
        <v>30643</v>
      </c>
      <c r="Q632" s="129"/>
      <c r="R632" s="183" t="str">
        <f>IF(Table1[[#This Row],[Actual Effort (Hours)]]="","",IF(Table1[[#This Row],[Estimated Effort (Hours)]]&lt;20,"L1",IF(Table1[[#This Row],[Estimated Effort (Hours)]]&lt;50,"L2",IF(Table1[[#This Row],[Estimated Effort (Hours)]]&lt;150,"L3",IF(Table1[[#This Row],[Estimated Effort (Hours)]]&lt;300,"L4","L5")))))</f>
        <v/>
      </c>
      <c r="S632" s="184" t="str">
        <f>IF(Table1[[#This Row],[Actual End Date]]="","",TEXT(Table1[[#This Row],[Actual End Date]],"mmm-yy"))</f>
        <v/>
      </c>
      <c r="T6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2" s="185" t="str">
        <f>IFERROR((Table1[[#This Row],[Actual Effort (Hours)]]-Table1[[#This Row],[Estimated Effort (Hours)]])/Table1[[#This Row],[Estimated Effort (Hours)]],"")</f>
        <v/>
      </c>
    </row>
    <row r="633" spans="2:21">
      <c r="B633" s="125"/>
      <c r="C633" s="123"/>
      <c r="D633" s="143"/>
      <c r="E633" s="123"/>
      <c r="F633" s="143"/>
      <c r="G633" s="129"/>
      <c r="H633" s="124"/>
      <c r="I633" s="124"/>
      <c r="J633" s="129"/>
      <c r="K633" s="194"/>
      <c r="L633" s="194"/>
      <c r="M633" s="129"/>
      <c r="N633" s="129" t="e">
        <f>Table1[[#This Row],[Estimated Effort (Hours)]]/NETWORKDAYS(Table1[[#This Row],[Planned Start Date]],Table1[[#This Row],[Planned End Date]])</f>
        <v>#DIV/0!</v>
      </c>
      <c r="O633" s="178">
        <f>NETWORKDAYS(Table1[[#This Row],[Planned Start Date]],Table1[[#This Row],[Planned End Date]])</f>
        <v>0</v>
      </c>
      <c r="P633" s="178">
        <f>NETWORKDAYS(Table1[[#This Row],[Planned Start Date]],$P$7)</f>
        <v>30643</v>
      </c>
      <c r="Q633" s="129"/>
      <c r="R633" s="183" t="str">
        <f>IF(Table1[[#This Row],[Actual Effort (Hours)]]="","",IF(Table1[[#This Row],[Estimated Effort (Hours)]]&lt;20,"L1",IF(Table1[[#This Row],[Estimated Effort (Hours)]]&lt;50,"L2",IF(Table1[[#This Row],[Estimated Effort (Hours)]]&lt;150,"L3",IF(Table1[[#This Row],[Estimated Effort (Hours)]]&lt;300,"L4","L5")))))</f>
        <v/>
      </c>
      <c r="S633" s="184" t="str">
        <f>IF(Table1[[#This Row],[Actual End Date]]="","",TEXT(Table1[[#This Row],[Actual End Date]],"mmm-yy"))</f>
        <v/>
      </c>
      <c r="T6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3" s="185" t="str">
        <f>IFERROR((Table1[[#This Row],[Actual Effort (Hours)]]-Table1[[#This Row],[Estimated Effort (Hours)]])/Table1[[#This Row],[Estimated Effort (Hours)]],"")</f>
        <v/>
      </c>
    </row>
    <row r="634" spans="2:21">
      <c r="B634" s="125"/>
      <c r="C634" s="123"/>
      <c r="D634" s="143"/>
      <c r="E634" s="123"/>
      <c r="F634" s="143"/>
      <c r="G634" s="129"/>
      <c r="H634" s="124"/>
      <c r="I634" s="124"/>
      <c r="J634" s="129"/>
      <c r="K634" s="194"/>
      <c r="L634" s="194"/>
      <c r="M634" s="129"/>
      <c r="N634" s="129" t="e">
        <f>Table1[[#This Row],[Estimated Effort (Hours)]]/NETWORKDAYS(Table1[[#This Row],[Planned Start Date]],Table1[[#This Row],[Planned End Date]])</f>
        <v>#DIV/0!</v>
      </c>
      <c r="O634" s="178">
        <f>NETWORKDAYS(Table1[[#This Row],[Planned Start Date]],Table1[[#This Row],[Planned End Date]])</f>
        <v>0</v>
      </c>
      <c r="P634" s="178">
        <f>NETWORKDAYS(Table1[[#This Row],[Planned Start Date]],$P$7)</f>
        <v>30643</v>
      </c>
      <c r="Q634" s="129"/>
      <c r="R634" s="183" t="str">
        <f>IF(Table1[[#This Row],[Actual Effort (Hours)]]="","",IF(Table1[[#This Row],[Estimated Effort (Hours)]]&lt;20,"L1",IF(Table1[[#This Row],[Estimated Effort (Hours)]]&lt;50,"L2",IF(Table1[[#This Row],[Estimated Effort (Hours)]]&lt;150,"L3",IF(Table1[[#This Row],[Estimated Effort (Hours)]]&lt;300,"L4","L5")))))</f>
        <v/>
      </c>
      <c r="S634" s="184" t="str">
        <f>IF(Table1[[#This Row],[Actual End Date]]="","",TEXT(Table1[[#This Row],[Actual End Date]],"mmm-yy"))</f>
        <v/>
      </c>
      <c r="T6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4" s="185" t="str">
        <f>IFERROR((Table1[[#This Row],[Actual Effort (Hours)]]-Table1[[#This Row],[Estimated Effort (Hours)]])/Table1[[#This Row],[Estimated Effort (Hours)]],"")</f>
        <v/>
      </c>
    </row>
    <row r="635" spans="2:21">
      <c r="B635" s="125"/>
      <c r="C635" s="123"/>
      <c r="D635" s="143"/>
      <c r="E635" s="123"/>
      <c r="F635" s="143"/>
      <c r="G635" s="129"/>
      <c r="H635" s="124"/>
      <c r="I635" s="124"/>
      <c r="J635" s="129"/>
      <c r="K635" s="194"/>
      <c r="L635" s="194"/>
      <c r="M635" s="129"/>
      <c r="N635" s="129" t="e">
        <f>Table1[[#This Row],[Estimated Effort (Hours)]]/NETWORKDAYS(Table1[[#This Row],[Planned Start Date]],Table1[[#This Row],[Planned End Date]])</f>
        <v>#DIV/0!</v>
      </c>
      <c r="O635" s="178">
        <f>NETWORKDAYS(Table1[[#This Row],[Planned Start Date]],Table1[[#This Row],[Planned End Date]])</f>
        <v>0</v>
      </c>
      <c r="P635" s="178">
        <f>NETWORKDAYS(Table1[[#This Row],[Planned Start Date]],$P$7)</f>
        <v>30643</v>
      </c>
      <c r="Q635" s="129"/>
      <c r="R635" s="183" t="str">
        <f>IF(Table1[[#This Row],[Actual Effort (Hours)]]="","",IF(Table1[[#This Row],[Estimated Effort (Hours)]]&lt;20,"L1",IF(Table1[[#This Row],[Estimated Effort (Hours)]]&lt;50,"L2",IF(Table1[[#This Row],[Estimated Effort (Hours)]]&lt;150,"L3",IF(Table1[[#This Row],[Estimated Effort (Hours)]]&lt;300,"L4","L5")))))</f>
        <v/>
      </c>
      <c r="S635" s="184" t="str">
        <f>IF(Table1[[#This Row],[Actual End Date]]="","",TEXT(Table1[[#This Row],[Actual End Date]],"mmm-yy"))</f>
        <v/>
      </c>
      <c r="T6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5" s="185" t="str">
        <f>IFERROR((Table1[[#This Row],[Actual Effort (Hours)]]-Table1[[#This Row],[Estimated Effort (Hours)]])/Table1[[#This Row],[Estimated Effort (Hours)]],"")</f>
        <v/>
      </c>
    </row>
    <row r="636" spans="2:21">
      <c r="B636" s="125"/>
      <c r="C636" s="123"/>
      <c r="D636" s="143"/>
      <c r="E636" s="123"/>
      <c r="F636" s="143"/>
      <c r="G636" s="129"/>
      <c r="H636" s="124"/>
      <c r="I636" s="124"/>
      <c r="J636" s="129"/>
      <c r="K636" s="194"/>
      <c r="L636" s="194"/>
      <c r="M636" s="129"/>
      <c r="N636" s="129" t="e">
        <f>Table1[[#This Row],[Estimated Effort (Hours)]]/NETWORKDAYS(Table1[[#This Row],[Planned Start Date]],Table1[[#This Row],[Planned End Date]])</f>
        <v>#DIV/0!</v>
      </c>
      <c r="O636" s="178">
        <f>NETWORKDAYS(Table1[[#This Row],[Planned Start Date]],Table1[[#This Row],[Planned End Date]])</f>
        <v>0</v>
      </c>
      <c r="P636" s="178">
        <f>NETWORKDAYS(Table1[[#This Row],[Planned Start Date]],$P$7)</f>
        <v>30643</v>
      </c>
      <c r="Q636" s="129"/>
      <c r="R636" s="183" t="str">
        <f>IF(Table1[[#This Row],[Actual Effort (Hours)]]="","",IF(Table1[[#This Row],[Estimated Effort (Hours)]]&lt;20,"L1",IF(Table1[[#This Row],[Estimated Effort (Hours)]]&lt;50,"L2",IF(Table1[[#This Row],[Estimated Effort (Hours)]]&lt;150,"L3",IF(Table1[[#This Row],[Estimated Effort (Hours)]]&lt;300,"L4","L5")))))</f>
        <v/>
      </c>
      <c r="S636" s="184" t="str">
        <f>IF(Table1[[#This Row],[Actual End Date]]="","",TEXT(Table1[[#This Row],[Actual End Date]],"mmm-yy"))</f>
        <v/>
      </c>
      <c r="T6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6" s="185" t="str">
        <f>IFERROR((Table1[[#This Row],[Actual Effort (Hours)]]-Table1[[#This Row],[Estimated Effort (Hours)]])/Table1[[#This Row],[Estimated Effort (Hours)]],"")</f>
        <v/>
      </c>
    </row>
    <row r="637" spans="2:21">
      <c r="B637" s="125"/>
      <c r="C637" s="123"/>
      <c r="D637" s="143"/>
      <c r="E637" s="123"/>
      <c r="F637" s="143"/>
      <c r="G637" s="129"/>
      <c r="H637" s="124"/>
      <c r="I637" s="124"/>
      <c r="J637" s="129"/>
      <c r="K637" s="194"/>
      <c r="L637" s="194"/>
      <c r="M637" s="129"/>
      <c r="N637" s="129" t="e">
        <f>Table1[[#This Row],[Estimated Effort (Hours)]]/NETWORKDAYS(Table1[[#This Row],[Planned Start Date]],Table1[[#This Row],[Planned End Date]])</f>
        <v>#DIV/0!</v>
      </c>
      <c r="O637" s="178">
        <f>NETWORKDAYS(Table1[[#This Row],[Planned Start Date]],Table1[[#This Row],[Planned End Date]])</f>
        <v>0</v>
      </c>
      <c r="P637" s="178">
        <f>NETWORKDAYS(Table1[[#This Row],[Planned Start Date]],$P$7)</f>
        <v>30643</v>
      </c>
      <c r="Q637" s="129"/>
      <c r="R637" s="183" t="str">
        <f>IF(Table1[[#This Row],[Actual Effort (Hours)]]="","",IF(Table1[[#This Row],[Estimated Effort (Hours)]]&lt;20,"L1",IF(Table1[[#This Row],[Estimated Effort (Hours)]]&lt;50,"L2",IF(Table1[[#This Row],[Estimated Effort (Hours)]]&lt;150,"L3",IF(Table1[[#This Row],[Estimated Effort (Hours)]]&lt;300,"L4","L5")))))</f>
        <v/>
      </c>
      <c r="S637" s="184" t="str">
        <f>IF(Table1[[#This Row],[Actual End Date]]="","",TEXT(Table1[[#This Row],[Actual End Date]],"mmm-yy"))</f>
        <v/>
      </c>
      <c r="T6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7" s="185" t="str">
        <f>IFERROR((Table1[[#This Row],[Actual Effort (Hours)]]-Table1[[#This Row],[Estimated Effort (Hours)]])/Table1[[#This Row],[Estimated Effort (Hours)]],"")</f>
        <v/>
      </c>
    </row>
    <row r="638" spans="2:21">
      <c r="B638" s="125"/>
      <c r="C638" s="123"/>
      <c r="D638" s="143"/>
      <c r="E638" s="123"/>
      <c r="F638" s="143"/>
      <c r="G638" s="129"/>
      <c r="H638" s="124"/>
      <c r="I638" s="124"/>
      <c r="J638" s="129"/>
      <c r="K638" s="194"/>
      <c r="L638" s="194"/>
      <c r="M638" s="129"/>
      <c r="N638" s="129" t="e">
        <f>Table1[[#This Row],[Estimated Effort (Hours)]]/NETWORKDAYS(Table1[[#This Row],[Planned Start Date]],Table1[[#This Row],[Planned End Date]])</f>
        <v>#DIV/0!</v>
      </c>
      <c r="O638" s="178">
        <f>NETWORKDAYS(Table1[[#This Row],[Planned Start Date]],Table1[[#This Row],[Planned End Date]])</f>
        <v>0</v>
      </c>
      <c r="P638" s="178">
        <f>NETWORKDAYS(Table1[[#This Row],[Planned Start Date]],$P$7)</f>
        <v>30643</v>
      </c>
      <c r="Q638" s="129"/>
      <c r="R638" s="183" t="str">
        <f>IF(Table1[[#This Row],[Actual Effort (Hours)]]="","",IF(Table1[[#This Row],[Estimated Effort (Hours)]]&lt;20,"L1",IF(Table1[[#This Row],[Estimated Effort (Hours)]]&lt;50,"L2",IF(Table1[[#This Row],[Estimated Effort (Hours)]]&lt;150,"L3",IF(Table1[[#This Row],[Estimated Effort (Hours)]]&lt;300,"L4","L5")))))</f>
        <v/>
      </c>
      <c r="S638" s="184" t="str">
        <f>IF(Table1[[#This Row],[Actual End Date]]="","",TEXT(Table1[[#This Row],[Actual End Date]],"mmm-yy"))</f>
        <v/>
      </c>
      <c r="T6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8" s="185" t="str">
        <f>IFERROR((Table1[[#This Row],[Actual Effort (Hours)]]-Table1[[#This Row],[Estimated Effort (Hours)]])/Table1[[#This Row],[Estimated Effort (Hours)]],"")</f>
        <v/>
      </c>
    </row>
    <row r="639" spans="2:21">
      <c r="B639" s="125"/>
      <c r="C639" s="123"/>
      <c r="D639" s="143"/>
      <c r="E639" s="123"/>
      <c r="F639" s="143"/>
      <c r="G639" s="129"/>
      <c r="H639" s="124"/>
      <c r="I639" s="124"/>
      <c r="J639" s="129"/>
      <c r="K639" s="194"/>
      <c r="L639" s="194"/>
      <c r="M639" s="129"/>
      <c r="N639" s="129" t="e">
        <f>Table1[[#This Row],[Estimated Effort (Hours)]]/NETWORKDAYS(Table1[[#This Row],[Planned Start Date]],Table1[[#This Row],[Planned End Date]])</f>
        <v>#DIV/0!</v>
      </c>
      <c r="O639" s="178">
        <f>NETWORKDAYS(Table1[[#This Row],[Planned Start Date]],Table1[[#This Row],[Planned End Date]])</f>
        <v>0</v>
      </c>
      <c r="P639" s="178">
        <f>NETWORKDAYS(Table1[[#This Row],[Planned Start Date]],$P$7)</f>
        <v>30643</v>
      </c>
      <c r="Q639" s="129"/>
      <c r="R639" s="183" t="str">
        <f>IF(Table1[[#This Row],[Actual Effort (Hours)]]="","",IF(Table1[[#This Row],[Estimated Effort (Hours)]]&lt;20,"L1",IF(Table1[[#This Row],[Estimated Effort (Hours)]]&lt;50,"L2",IF(Table1[[#This Row],[Estimated Effort (Hours)]]&lt;150,"L3",IF(Table1[[#This Row],[Estimated Effort (Hours)]]&lt;300,"L4","L5")))))</f>
        <v/>
      </c>
      <c r="S639" s="184" t="str">
        <f>IF(Table1[[#This Row],[Actual End Date]]="","",TEXT(Table1[[#This Row],[Actual End Date]],"mmm-yy"))</f>
        <v/>
      </c>
      <c r="T6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39" s="185" t="str">
        <f>IFERROR((Table1[[#This Row],[Actual Effort (Hours)]]-Table1[[#This Row],[Estimated Effort (Hours)]])/Table1[[#This Row],[Estimated Effort (Hours)]],"")</f>
        <v/>
      </c>
    </row>
    <row r="640" spans="2:21">
      <c r="B640" s="125"/>
      <c r="C640" s="123"/>
      <c r="D640" s="143"/>
      <c r="E640" s="123"/>
      <c r="F640" s="143"/>
      <c r="G640" s="129"/>
      <c r="H640" s="124"/>
      <c r="I640" s="124"/>
      <c r="J640" s="129"/>
      <c r="K640" s="194"/>
      <c r="L640" s="194"/>
      <c r="M640" s="129"/>
      <c r="N640" s="129" t="e">
        <f>Table1[[#This Row],[Estimated Effort (Hours)]]/NETWORKDAYS(Table1[[#This Row],[Planned Start Date]],Table1[[#This Row],[Planned End Date]])</f>
        <v>#DIV/0!</v>
      </c>
      <c r="O640" s="178">
        <f>NETWORKDAYS(Table1[[#This Row],[Planned Start Date]],Table1[[#This Row],[Planned End Date]])</f>
        <v>0</v>
      </c>
      <c r="P640" s="178">
        <f>NETWORKDAYS(Table1[[#This Row],[Planned Start Date]],$P$7)</f>
        <v>30643</v>
      </c>
      <c r="Q640" s="129"/>
      <c r="R640" s="183" t="str">
        <f>IF(Table1[[#This Row],[Actual Effort (Hours)]]="","",IF(Table1[[#This Row],[Estimated Effort (Hours)]]&lt;20,"L1",IF(Table1[[#This Row],[Estimated Effort (Hours)]]&lt;50,"L2",IF(Table1[[#This Row],[Estimated Effort (Hours)]]&lt;150,"L3",IF(Table1[[#This Row],[Estimated Effort (Hours)]]&lt;300,"L4","L5")))))</f>
        <v/>
      </c>
      <c r="S640" s="184" t="str">
        <f>IF(Table1[[#This Row],[Actual End Date]]="","",TEXT(Table1[[#This Row],[Actual End Date]],"mmm-yy"))</f>
        <v/>
      </c>
      <c r="T6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0" s="185" t="str">
        <f>IFERROR((Table1[[#This Row],[Actual Effort (Hours)]]-Table1[[#This Row],[Estimated Effort (Hours)]])/Table1[[#This Row],[Estimated Effort (Hours)]],"")</f>
        <v/>
      </c>
    </row>
    <row r="641" spans="2:21">
      <c r="B641" s="125"/>
      <c r="C641" s="123"/>
      <c r="D641" s="143"/>
      <c r="E641" s="123"/>
      <c r="F641" s="143"/>
      <c r="G641" s="129"/>
      <c r="H641" s="124"/>
      <c r="I641" s="124"/>
      <c r="J641" s="129"/>
      <c r="K641" s="194"/>
      <c r="L641" s="194"/>
      <c r="M641" s="129"/>
      <c r="N641" s="129" t="e">
        <f>Table1[[#This Row],[Estimated Effort (Hours)]]/NETWORKDAYS(Table1[[#This Row],[Planned Start Date]],Table1[[#This Row],[Planned End Date]])</f>
        <v>#DIV/0!</v>
      </c>
      <c r="O641" s="178">
        <f>NETWORKDAYS(Table1[[#This Row],[Planned Start Date]],Table1[[#This Row],[Planned End Date]])</f>
        <v>0</v>
      </c>
      <c r="P641" s="178">
        <f>NETWORKDAYS(Table1[[#This Row],[Planned Start Date]],$P$7)</f>
        <v>30643</v>
      </c>
      <c r="Q641" s="129"/>
      <c r="R641" s="183" t="str">
        <f>IF(Table1[[#This Row],[Actual Effort (Hours)]]="","",IF(Table1[[#This Row],[Estimated Effort (Hours)]]&lt;20,"L1",IF(Table1[[#This Row],[Estimated Effort (Hours)]]&lt;50,"L2",IF(Table1[[#This Row],[Estimated Effort (Hours)]]&lt;150,"L3",IF(Table1[[#This Row],[Estimated Effort (Hours)]]&lt;300,"L4","L5")))))</f>
        <v/>
      </c>
      <c r="S641" s="184" t="str">
        <f>IF(Table1[[#This Row],[Actual End Date]]="","",TEXT(Table1[[#This Row],[Actual End Date]],"mmm-yy"))</f>
        <v/>
      </c>
      <c r="T6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1" s="185" t="str">
        <f>IFERROR((Table1[[#This Row],[Actual Effort (Hours)]]-Table1[[#This Row],[Estimated Effort (Hours)]])/Table1[[#This Row],[Estimated Effort (Hours)]],"")</f>
        <v/>
      </c>
    </row>
    <row r="642" spans="2:21">
      <c r="B642" s="125"/>
      <c r="C642" s="123"/>
      <c r="D642" s="143"/>
      <c r="E642" s="123"/>
      <c r="F642" s="143"/>
      <c r="G642" s="129"/>
      <c r="H642" s="124"/>
      <c r="I642" s="124"/>
      <c r="J642" s="129"/>
      <c r="K642" s="194"/>
      <c r="L642" s="194"/>
      <c r="M642" s="129"/>
      <c r="N642" s="129" t="e">
        <f>Table1[[#This Row],[Estimated Effort (Hours)]]/NETWORKDAYS(Table1[[#This Row],[Planned Start Date]],Table1[[#This Row],[Planned End Date]])</f>
        <v>#DIV/0!</v>
      </c>
      <c r="O642" s="178">
        <f>NETWORKDAYS(Table1[[#This Row],[Planned Start Date]],Table1[[#This Row],[Planned End Date]])</f>
        <v>0</v>
      </c>
      <c r="P642" s="178">
        <f>NETWORKDAYS(Table1[[#This Row],[Planned Start Date]],$P$7)</f>
        <v>30643</v>
      </c>
      <c r="Q642" s="129"/>
      <c r="R642" s="183" t="str">
        <f>IF(Table1[[#This Row],[Actual Effort (Hours)]]="","",IF(Table1[[#This Row],[Estimated Effort (Hours)]]&lt;20,"L1",IF(Table1[[#This Row],[Estimated Effort (Hours)]]&lt;50,"L2",IF(Table1[[#This Row],[Estimated Effort (Hours)]]&lt;150,"L3",IF(Table1[[#This Row],[Estimated Effort (Hours)]]&lt;300,"L4","L5")))))</f>
        <v/>
      </c>
      <c r="S642" s="184" t="str">
        <f>IF(Table1[[#This Row],[Actual End Date]]="","",TEXT(Table1[[#This Row],[Actual End Date]],"mmm-yy"))</f>
        <v/>
      </c>
      <c r="T6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2" s="185" t="str">
        <f>IFERROR((Table1[[#This Row],[Actual Effort (Hours)]]-Table1[[#This Row],[Estimated Effort (Hours)]])/Table1[[#This Row],[Estimated Effort (Hours)]],"")</f>
        <v/>
      </c>
    </row>
    <row r="643" spans="2:21">
      <c r="B643" s="125"/>
      <c r="C643" s="123"/>
      <c r="D643" s="143"/>
      <c r="E643" s="123"/>
      <c r="F643" s="143"/>
      <c r="G643" s="129"/>
      <c r="H643" s="124"/>
      <c r="I643" s="124"/>
      <c r="J643" s="129"/>
      <c r="K643" s="194"/>
      <c r="L643" s="194"/>
      <c r="M643" s="129"/>
      <c r="N643" s="129" t="e">
        <f>Table1[[#This Row],[Estimated Effort (Hours)]]/NETWORKDAYS(Table1[[#This Row],[Planned Start Date]],Table1[[#This Row],[Planned End Date]])</f>
        <v>#DIV/0!</v>
      </c>
      <c r="O643" s="178">
        <f>NETWORKDAYS(Table1[[#This Row],[Planned Start Date]],Table1[[#This Row],[Planned End Date]])</f>
        <v>0</v>
      </c>
      <c r="P643" s="178">
        <f>NETWORKDAYS(Table1[[#This Row],[Planned Start Date]],$P$7)</f>
        <v>30643</v>
      </c>
      <c r="Q643" s="129"/>
      <c r="R643" s="183" t="str">
        <f>IF(Table1[[#This Row],[Actual Effort (Hours)]]="","",IF(Table1[[#This Row],[Estimated Effort (Hours)]]&lt;20,"L1",IF(Table1[[#This Row],[Estimated Effort (Hours)]]&lt;50,"L2",IF(Table1[[#This Row],[Estimated Effort (Hours)]]&lt;150,"L3",IF(Table1[[#This Row],[Estimated Effort (Hours)]]&lt;300,"L4","L5")))))</f>
        <v/>
      </c>
      <c r="S643" s="184" t="str">
        <f>IF(Table1[[#This Row],[Actual End Date]]="","",TEXT(Table1[[#This Row],[Actual End Date]],"mmm-yy"))</f>
        <v/>
      </c>
      <c r="T6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3" s="185" t="str">
        <f>IFERROR((Table1[[#This Row],[Actual Effort (Hours)]]-Table1[[#This Row],[Estimated Effort (Hours)]])/Table1[[#This Row],[Estimated Effort (Hours)]],"")</f>
        <v/>
      </c>
    </row>
    <row r="644" spans="2:21">
      <c r="B644" s="125"/>
      <c r="C644" s="123"/>
      <c r="D644" s="143"/>
      <c r="E644" s="123"/>
      <c r="F644" s="143"/>
      <c r="G644" s="129"/>
      <c r="H644" s="124"/>
      <c r="I644" s="124"/>
      <c r="J644" s="129"/>
      <c r="K644" s="194"/>
      <c r="L644" s="194"/>
      <c r="M644" s="129"/>
      <c r="N644" s="129" t="e">
        <f>Table1[[#This Row],[Estimated Effort (Hours)]]/NETWORKDAYS(Table1[[#This Row],[Planned Start Date]],Table1[[#This Row],[Planned End Date]])</f>
        <v>#DIV/0!</v>
      </c>
      <c r="O644" s="178">
        <f>NETWORKDAYS(Table1[[#This Row],[Planned Start Date]],Table1[[#This Row],[Planned End Date]])</f>
        <v>0</v>
      </c>
      <c r="P644" s="178">
        <f>NETWORKDAYS(Table1[[#This Row],[Planned Start Date]],$P$7)</f>
        <v>30643</v>
      </c>
      <c r="Q644" s="129"/>
      <c r="R644" s="183" t="str">
        <f>IF(Table1[[#This Row],[Actual Effort (Hours)]]="","",IF(Table1[[#This Row],[Estimated Effort (Hours)]]&lt;20,"L1",IF(Table1[[#This Row],[Estimated Effort (Hours)]]&lt;50,"L2",IF(Table1[[#This Row],[Estimated Effort (Hours)]]&lt;150,"L3",IF(Table1[[#This Row],[Estimated Effort (Hours)]]&lt;300,"L4","L5")))))</f>
        <v/>
      </c>
      <c r="S644" s="184" t="str">
        <f>IF(Table1[[#This Row],[Actual End Date]]="","",TEXT(Table1[[#This Row],[Actual End Date]],"mmm-yy"))</f>
        <v/>
      </c>
      <c r="T6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4" s="185" t="str">
        <f>IFERROR((Table1[[#This Row],[Actual Effort (Hours)]]-Table1[[#This Row],[Estimated Effort (Hours)]])/Table1[[#This Row],[Estimated Effort (Hours)]],"")</f>
        <v/>
      </c>
    </row>
    <row r="645" spans="2:21">
      <c r="B645" s="125"/>
      <c r="C645" s="123"/>
      <c r="D645" s="143"/>
      <c r="E645" s="123"/>
      <c r="F645" s="143"/>
      <c r="G645" s="129"/>
      <c r="H645" s="124"/>
      <c r="I645" s="124"/>
      <c r="J645" s="129"/>
      <c r="K645" s="194"/>
      <c r="L645" s="194"/>
      <c r="M645" s="129"/>
      <c r="N645" s="129" t="e">
        <f>Table1[[#This Row],[Estimated Effort (Hours)]]/NETWORKDAYS(Table1[[#This Row],[Planned Start Date]],Table1[[#This Row],[Planned End Date]])</f>
        <v>#DIV/0!</v>
      </c>
      <c r="O645" s="178">
        <f>NETWORKDAYS(Table1[[#This Row],[Planned Start Date]],Table1[[#This Row],[Planned End Date]])</f>
        <v>0</v>
      </c>
      <c r="P645" s="178">
        <f>NETWORKDAYS(Table1[[#This Row],[Planned Start Date]],$P$7)</f>
        <v>30643</v>
      </c>
      <c r="Q645" s="129"/>
      <c r="R645" s="183" t="str">
        <f>IF(Table1[[#This Row],[Actual Effort (Hours)]]="","",IF(Table1[[#This Row],[Estimated Effort (Hours)]]&lt;20,"L1",IF(Table1[[#This Row],[Estimated Effort (Hours)]]&lt;50,"L2",IF(Table1[[#This Row],[Estimated Effort (Hours)]]&lt;150,"L3",IF(Table1[[#This Row],[Estimated Effort (Hours)]]&lt;300,"L4","L5")))))</f>
        <v/>
      </c>
      <c r="S645" s="184" t="str">
        <f>IF(Table1[[#This Row],[Actual End Date]]="","",TEXT(Table1[[#This Row],[Actual End Date]],"mmm-yy"))</f>
        <v/>
      </c>
      <c r="T6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5" s="185" t="str">
        <f>IFERROR((Table1[[#This Row],[Actual Effort (Hours)]]-Table1[[#This Row],[Estimated Effort (Hours)]])/Table1[[#This Row],[Estimated Effort (Hours)]],"")</f>
        <v/>
      </c>
    </row>
    <row r="646" spans="2:21">
      <c r="B646" s="125"/>
      <c r="C646" s="123"/>
      <c r="D646" s="143"/>
      <c r="E646" s="123"/>
      <c r="F646" s="143"/>
      <c r="G646" s="129"/>
      <c r="H646" s="124"/>
      <c r="I646" s="124"/>
      <c r="J646" s="129"/>
      <c r="K646" s="194"/>
      <c r="L646" s="194"/>
      <c r="M646" s="129"/>
      <c r="N646" s="129" t="e">
        <f>Table1[[#This Row],[Estimated Effort (Hours)]]/NETWORKDAYS(Table1[[#This Row],[Planned Start Date]],Table1[[#This Row],[Planned End Date]])</f>
        <v>#DIV/0!</v>
      </c>
      <c r="O646" s="178">
        <f>NETWORKDAYS(Table1[[#This Row],[Planned Start Date]],Table1[[#This Row],[Planned End Date]])</f>
        <v>0</v>
      </c>
      <c r="P646" s="178">
        <f>NETWORKDAYS(Table1[[#This Row],[Planned Start Date]],$P$7)</f>
        <v>30643</v>
      </c>
      <c r="Q646" s="129"/>
      <c r="R646" s="183" t="str">
        <f>IF(Table1[[#This Row],[Actual Effort (Hours)]]="","",IF(Table1[[#This Row],[Estimated Effort (Hours)]]&lt;20,"L1",IF(Table1[[#This Row],[Estimated Effort (Hours)]]&lt;50,"L2",IF(Table1[[#This Row],[Estimated Effort (Hours)]]&lt;150,"L3",IF(Table1[[#This Row],[Estimated Effort (Hours)]]&lt;300,"L4","L5")))))</f>
        <v/>
      </c>
      <c r="S646" s="184" t="str">
        <f>IF(Table1[[#This Row],[Actual End Date]]="","",TEXT(Table1[[#This Row],[Actual End Date]],"mmm-yy"))</f>
        <v/>
      </c>
      <c r="T6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6" s="185" t="str">
        <f>IFERROR((Table1[[#This Row],[Actual Effort (Hours)]]-Table1[[#This Row],[Estimated Effort (Hours)]])/Table1[[#This Row],[Estimated Effort (Hours)]],"")</f>
        <v/>
      </c>
    </row>
    <row r="647" spans="2:21">
      <c r="B647" s="125"/>
      <c r="C647" s="123"/>
      <c r="D647" s="143"/>
      <c r="E647" s="123"/>
      <c r="F647" s="143"/>
      <c r="G647" s="129"/>
      <c r="H647" s="124"/>
      <c r="I647" s="124"/>
      <c r="J647" s="129"/>
      <c r="K647" s="194"/>
      <c r="L647" s="194"/>
      <c r="M647" s="129"/>
      <c r="N647" s="129" t="e">
        <f>Table1[[#This Row],[Estimated Effort (Hours)]]/NETWORKDAYS(Table1[[#This Row],[Planned Start Date]],Table1[[#This Row],[Planned End Date]])</f>
        <v>#DIV/0!</v>
      </c>
      <c r="O647" s="178">
        <f>NETWORKDAYS(Table1[[#This Row],[Planned Start Date]],Table1[[#This Row],[Planned End Date]])</f>
        <v>0</v>
      </c>
      <c r="P647" s="178">
        <f>NETWORKDAYS(Table1[[#This Row],[Planned Start Date]],$P$7)</f>
        <v>30643</v>
      </c>
      <c r="Q647" s="129"/>
      <c r="R647" s="183" t="str">
        <f>IF(Table1[[#This Row],[Actual Effort (Hours)]]="","",IF(Table1[[#This Row],[Estimated Effort (Hours)]]&lt;20,"L1",IF(Table1[[#This Row],[Estimated Effort (Hours)]]&lt;50,"L2",IF(Table1[[#This Row],[Estimated Effort (Hours)]]&lt;150,"L3",IF(Table1[[#This Row],[Estimated Effort (Hours)]]&lt;300,"L4","L5")))))</f>
        <v/>
      </c>
      <c r="S647" s="184" t="str">
        <f>IF(Table1[[#This Row],[Actual End Date]]="","",TEXT(Table1[[#This Row],[Actual End Date]],"mmm-yy"))</f>
        <v/>
      </c>
      <c r="T6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7" s="185" t="str">
        <f>IFERROR((Table1[[#This Row],[Actual Effort (Hours)]]-Table1[[#This Row],[Estimated Effort (Hours)]])/Table1[[#This Row],[Estimated Effort (Hours)]],"")</f>
        <v/>
      </c>
    </row>
    <row r="648" spans="2:21">
      <c r="B648" s="125"/>
      <c r="C648" s="123"/>
      <c r="D648" s="143"/>
      <c r="E648" s="123"/>
      <c r="F648" s="143"/>
      <c r="G648" s="129"/>
      <c r="H648" s="124"/>
      <c r="I648" s="124"/>
      <c r="J648" s="129"/>
      <c r="K648" s="194"/>
      <c r="L648" s="194"/>
      <c r="M648" s="129"/>
      <c r="N648" s="129" t="e">
        <f>Table1[[#This Row],[Estimated Effort (Hours)]]/NETWORKDAYS(Table1[[#This Row],[Planned Start Date]],Table1[[#This Row],[Planned End Date]])</f>
        <v>#DIV/0!</v>
      </c>
      <c r="O648" s="178">
        <f>NETWORKDAYS(Table1[[#This Row],[Planned Start Date]],Table1[[#This Row],[Planned End Date]])</f>
        <v>0</v>
      </c>
      <c r="P648" s="178">
        <f>NETWORKDAYS(Table1[[#This Row],[Planned Start Date]],$P$7)</f>
        <v>30643</v>
      </c>
      <c r="Q648" s="129"/>
      <c r="R648" s="183" t="str">
        <f>IF(Table1[[#This Row],[Actual Effort (Hours)]]="","",IF(Table1[[#This Row],[Estimated Effort (Hours)]]&lt;20,"L1",IF(Table1[[#This Row],[Estimated Effort (Hours)]]&lt;50,"L2",IF(Table1[[#This Row],[Estimated Effort (Hours)]]&lt;150,"L3",IF(Table1[[#This Row],[Estimated Effort (Hours)]]&lt;300,"L4","L5")))))</f>
        <v/>
      </c>
      <c r="S648" s="184" t="str">
        <f>IF(Table1[[#This Row],[Actual End Date]]="","",TEXT(Table1[[#This Row],[Actual End Date]],"mmm-yy"))</f>
        <v/>
      </c>
      <c r="T6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8" s="185" t="str">
        <f>IFERROR((Table1[[#This Row],[Actual Effort (Hours)]]-Table1[[#This Row],[Estimated Effort (Hours)]])/Table1[[#This Row],[Estimated Effort (Hours)]],"")</f>
        <v/>
      </c>
    </row>
    <row r="649" spans="2:21">
      <c r="B649" s="125"/>
      <c r="C649" s="123"/>
      <c r="D649" s="143"/>
      <c r="E649" s="123"/>
      <c r="F649" s="143"/>
      <c r="G649" s="129"/>
      <c r="H649" s="124"/>
      <c r="I649" s="124"/>
      <c r="J649" s="129"/>
      <c r="K649" s="194"/>
      <c r="L649" s="194"/>
      <c r="M649" s="129"/>
      <c r="N649" s="129" t="e">
        <f>Table1[[#This Row],[Estimated Effort (Hours)]]/NETWORKDAYS(Table1[[#This Row],[Planned Start Date]],Table1[[#This Row],[Planned End Date]])</f>
        <v>#DIV/0!</v>
      </c>
      <c r="O649" s="178">
        <f>NETWORKDAYS(Table1[[#This Row],[Planned Start Date]],Table1[[#This Row],[Planned End Date]])</f>
        <v>0</v>
      </c>
      <c r="P649" s="178">
        <f>NETWORKDAYS(Table1[[#This Row],[Planned Start Date]],$P$7)</f>
        <v>30643</v>
      </c>
      <c r="Q649" s="129"/>
      <c r="R649" s="183" t="str">
        <f>IF(Table1[[#This Row],[Actual Effort (Hours)]]="","",IF(Table1[[#This Row],[Estimated Effort (Hours)]]&lt;20,"L1",IF(Table1[[#This Row],[Estimated Effort (Hours)]]&lt;50,"L2",IF(Table1[[#This Row],[Estimated Effort (Hours)]]&lt;150,"L3",IF(Table1[[#This Row],[Estimated Effort (Hours)]]&lt;300,"L4","L5")))))</f>
        <v/>
      </c>
      <c r="S649" s="184" t="str">
        <f>IF(Table1[[#This Row],[Actual End Date]]="","",TEXT(Table1[[#This Row],[Actual End Date]],"mmm-yy"))</f>
        <v/>
      </c>
      <c r="T6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49" s="185" t="str">
        <f>IFERROR((Table1[[#This Row],[Actual Effort (Hours)]]-Table1[[#This Row],[Estimated Effort (Hours)]])/Table1[[#This Row],[Estimated Effort (Hours)]],"")</f>
        <v/>
      </c>
    </row>
    <row r="650" spans="2:21">
      <c r="B650" s="125"/>
      <c r="C650" s="123"/>
      <c r="D650" s="143"/>
      <c r="E650" s="123"/>
      <c r="F650" s="143"/>
      <c r="G650" s="129"/>
      <c r="H650" s="124"/>
      <c r="I650" s="124"/>
      <c r="J650" s="129"/>
      <c r="K650" s="194"/>
      <c r="L650" s="194"/>
      <c r="M650" s="129"/>
      <c r="N650" s="129" t="e">
        <f>Table1[[#This Row],[Estimated Effort (Hours)]]/NETWORKDAYS(Table1[[#This Row],[Planned Start Date]],Table1[[#This Row],[Planned End Date]])</f>
        <v>#DIV/0!</v>
      </c>
      <c r="O650" s="178">
        <f>NETWORKDAYS(Table1[[#This Row],[Planned Start Date]],Table1[[#This Row],[Planned End Date]])</f>
        <v>0</v>
      </c>
      <c r="P650" s="178">
        <f>NETWORKDAYS(Table1[[#This Row],[Planned Start Date]],$P$7)</f>
        <v>30643</v>
      </c>
      <c r="Q650" s="129"/>
      <c r="R650" s="183" t="str">
        <f>IF(Table1[[#This Row],[Actual Effort (Hours)]]="","",IF(Table1[[#This Row],[Estimated Effort (Hours)]]&lt;20,"L1",IF(Table1[[#This Row],[Estimated Effort (Hours)]]&lt;50,"L2",IF(Table1[[#This Row],[Estimated Effort (Hours)]]&lt;150,"L3",IF(Table1[[#This Row],[Estimated Effort (Hours)]]&lt;300,"L4","L5")))))</f>
        <v/>
      </c>
      <c r="S650" s="184" t="str">
        <f>IF(Table1[[#This Row],[Actual End Date]]="","",TEXT(Table1[[#This Row],[Actual End Date]],"mmm-yy"))</f>
        <v/>
      </c>
      <c r="T6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0" s="185" t="str">
        <f>IFERROR((Table1[[#This Row],[Actual Effort (Hours)]]-Table1[[#This Row],[Estimated Effort (Hours)]])/Table1[[#This Row],[Estimated Effort (Hours)]],"")</f>
        <v/>
      </c>
    </row>
    <row r="651" spans="2:21">
      <c r="B651" s="125"/>
      <c r="C651" s="123"/>
      <c r="D651" s="143"/>
      <c r="E651" s="123"/>
      <c r="F651" s="143"/>
      <c r="G651" s="129"/>
      <c r="H651" s="124"/>
      <c r="I651" s="124"/>
      <c r="J651" s="129"/>
      <c r="K651" s="194"/>
      <c r="L651" s="194"/>
      <c r="M651" s="129"/>
      <c r="N651" s="129" t="e">
        <f>Table1[[#This Row],[Estimated Effort (Hours)]]/NETWORKDAYS(Table1[[#This Row],[Planned Start Date]],Table1[[#This Row],[Planned End Date]])</f>
        <v>#DIV/0!</v>
      </c>
      <c r="O651" s="178">
        <f>NETWORKDAYS(Table1[[#This Row],[Planned Start Date]],Table1[[#This Row],[Planned End Date]])</f>
        <v>0</v>
      </c>
      <c r="P651" s="178">
        <f>NETWORKDAYS(Table1[[#This Row],[Planned Start Date]],$P$7)</f>
        <v>30643</v>
      </c>
      <c r="Q651" s="129"/>
      <c r="R651" s="183" t="str">
        <f>IF(Table1[[#This Row],[Actual Effort (Hours)]]="","",IF(Table1[[#This Row],[Estimated Effort (Hours)]]&lt;20,"L1",IF(Table1[[#This Row],[Estimated Effort (Hours)]]&lt;50,"L2",IF(Table1[[#This Row],[Estimated Effort (Hours)]]&lt;150,"L3",IF(Table1[[#This Row],[Estimated Effort (Hours)]]&lt;300,"L4","L5")))))</f>
        <v/>
      </c>
      <c r="S651" s="184" t="str">
        <f>IF(Table1[[#This Row],[Actual End Date]]="","",TEXT(Table1[[#This Row],[Actual End Date]],"mmm-yy"))</f>
        <v/>
      </c>
      <c r="T6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1" s="185" t="str">
        <f>IFERROR((Table1[[#This Row],[Actual Effort (Hours)]]-Table1[[#This Row],[Estimated Effort (Hours)]])/Table1[[#This Row],[Estimated Effort (Hours)]],"")</f>
        <v/>
      </c>
    </row>
    <row r="652" spans="2:21">
      <c r="B652" s="125"/>
      <c r="C652" s="123"/>
      <c r="D652" s="143"/>
      <c r="E652" s="123"/>
      <c r="F652" s="143"/>
      <c r="G652" s="129"/>
      <c r="H652" s="124"/>
      <c r="I652" s="124"/>
      <c r="J652" s="129"/>
      <c r="K652" s="194"/>
      <c r="L652" s="194"/>
      <c r="M652" s="129"/>
      <c r="N652" s="129" t="e">
        <f>Table1[[#This Row],[Estimated Effort (Hours)]]/NETWORKDAYS(Table1[[#This Row],[Planned Start Date]],Table1[[#This Row],[Planned End Date]])</f>
        <v>#DIV/0!</v>
      </c>
      <c r="O652" s="178">
        <f>NETWORKDAYS(Table1[[#This Row],[Planned Start Date]],Table1[[#This Row],[Planned End Date]])</f>
        <v>0</v>
      </c>
      <c r="P652" s="178">
        <f>NETWORKDAYS(Table1[[#This Row],[Planned Start Date]],$P$7)</f>
        <v>30643</v>
      </c>
      <c r="Q652" s="129"/>
      <c r="R652" s="183" t="str">
        <f>IF(Table1[[#This Row],[Actual Effort (Hours)]]="","",IF(Table1[[#This Row],[Estimated Effort (Hours)]]&lt;20,"L1",IF(Table1[[#This Row],[Estimated Effort (Hours)]]&lt;50,"L2",IF(Table1[[#This Row],[Estimated Effort (Hours)]]&lt;150,"L3",IF(Table1[[#This Row],[Estimated Effort (Hours)]]&lt;300,"L4","L5")))))</f>
        <v/>
      </c>
      <c r="S652" s="184" t="str">
        <f>IF(Table1[[#This Row],[Actual End Date]]="","",TEXT(Table1[[#This Row],[Actual End Date]],"mmm-yy"))</f>
        <v/>
      </c>
      <c r="T6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2" s="185" t="str">
        <f>IFERROR((Table1[[#This Row],[Actual Effort (Hours)]]-Table1[[#This Row],[Estimated Effort (Hours)]])/Table1[[#This Row],[Estimated Effort (Hours)]],"")</f>
        <v/>
      </c>
    </row>
    <row r="653" spans="2:21">
      <c r="B653" s="125"/>
      <c r="C653" s="123"/>
      <c r="D653" s="143"/>
      <c r="E653" s="123"/>
      <c r="F653" s="143"/>
      <c r="G653" s="129"/>
      <c r="H653" s="124"/>
      <c r="I653" s="124"/>
      <c r="J653" s="129"/>
      <c r="K653" s="194"/>
      <c r="L653" s="194"/>
      <c r="M653" s="129"/>
      <c r="N653" s="129" t="e">
        <f>Table1[[#This Row],[Estimated Effort (Hours)]]/NETWORKDAYS(Table1[[#This Row],[Planned Start Date]],Table1[[#This Row],[Planned End Date]])</f>
        <v>#DIV/0!</v>
      </c>
      <c r="O653" s="178">
        <f>NETWORKDAYS(Table1[[#This Row],[Planned Start Date]],Table1[[#This Row],[Planned End Date]])</f>
        <v>0</v>
      </c>
      <c r="P653" s="178">
        <f>NETWORKDAYS(Table1[[#This Row],[Planned Start Date]],$P$7)</f>
        <v>30643</v>
      </c>
      <c r="Q653" s="129"/>
      <c r="R653" s="183" t="str">
        <f>IF(Table1[[#This Row],[Actual Effort (Hours)]]="","",IF(Table1[[#This Row],[Estimated Effort (Hours)]]&lt;20,"L1",IF(Table1[[#This Row],[Estimated Effort (Hours)]]&lt;50,"L2",IF(Table1[[#This Row],[Estimated Effort (Hours)]]&lt;150,"L3",IF(Table1[[#This Row],[Estimated Effort (Hours)]]&lt;300,"L4","L5")))))</f>
        <v/>
      </c>
      <c r="S653" s="184" t="str">
        <f>IF(Table1[[#This Row],[Actual End Date]]="","",TEXT(Table1[[#This Row],[Actual End Date]],"mmm-yy"))</f>
        <v/>
      </c>
      <c r="T6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3" s="185" t="str">
        <f>IFERROR((Table1[[#This Row],[Actual Effort (Hours)]]-Table1[[#This Row],[Estimated Effort (Hours)]])/Table1[[#This Row],[Estimated Effort (Hours)]],"")</f>
        <v/>
      </c>
    </row>
    <row r="654" spans="2:21">
      <c r="B654" s="125"/>
      <c r="C654" s="123"/>
      <c r="D654" s="143"/>
      <c r="E654" s="123"/>
      <c r="F654" s="143"/>
      <c r="G654" s="129"/>
      <c r="H654" s="124"/>
      <c r="I654" s="124"/>
      <c r="J654" s="129"/>
      <c r="K654" s="194"/>
      <c r="L654" s="194"/>
      <c r="M654" s="129"/>
      <c r="N654" s="129" t="e">
        <f>Table1[[#This Row],[Estimated Effort (Hours)]]/NETWORKDAYS(Table1[[#This Row],[Planned Start Date]],Table1[[#This Row],[Planned End Date]])</f>
        <v>#DIV/0!</v>
      </c>
      <c r="O654" s="178">
        <f>NETWORKDAYS(Table1[[#This Row],[Planned Start Date]],Table1[[#This Row],[Planned End Date]])</f>
        <v>0</v>
      </c>
      <c r="P654" s="178">
        <f>NETWORKDAYS(Table1[[#This Row],[Planned Start Date]],$P$7)</f>
        <v>30643</v>
      </c>
      <c r="Q654" s="129"/>
      <c r="R654" s="183" t="str">
        <f>IF(Table1[[#This Row],[Actual Effort (Hours)]]="","",IF(Table1[[#This Row],[Estimated Effort (Hours)]]&lt;20,"L1",IF(Table1[[#This Row],[Estimated Effort (Hours)]]&lt;50,"L2",IF(Table1[[#This Row],[Estimated Effort (Hours)]]&lt;150,"L3",IF(Table1[[#This Row],[Estimated Effort (Hours)]]&lt;300,"L4","L5")))))</f>
        <v/>
      </c>
      <c r="S654" s="184" t="str">
        <f>IF(Table1[[#This Row],[Actual End Date]]="","",TEXT(Table1[[#This Row],[Actual End Date]],"mmm-yy"))</f>
        <v/>
      </c>
      <c r="T6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4" s="185" t="str">
        <f>IFERROR((Table1[[#This Row],[Actual Effort (Hours)]]-Table1[[#This Row],[Estimated Effort (Hours)]])/Table1[[#This Row],[Estimated Effort (Hours)]],"")</f>
        <v/>
      </c>
    </row>
    <row r="655" spans="2:21">
      <c r="B655" s="125"/>
      <c r="C655" s="123"/>
      <c r="D655" s="143"/>
      <c r="E655" s="123"/>
      <c r="F655" s="143"/>
      <c r="G655" s="129"/>
      <c r="H655" s="124"/>
      <c r="I655" s="124"/>
      <c r="J655" s="129"/>
      <c r="K655" s="194"/>
      <c r="L655" s="194"/>
      <c r="M655" s="129"/>
      <c r="N655" s="129" t="e">
        <f>Table1[[#This Row],[Estimated Effort (Hours)]]/NETWORKDAYS(Table1[[#This Row],[Planned Start Date]],Table1[[#This Row],[Planned End Date]])</f>
        <v>#DIV/0!</v>
      </c>
      <c r="O655" s="178">
        <f>NETWORKDAYS(Table1[[#This Row],[Planned Start Date]],Table1[[#This Row],[Planned End Date]])</f>
        <v>0</v>
      </c>
      <c r="P655" s="178">
        <f>NETWORKDAYS(Table1[[#This Row],[Planned Start Date]],$P$7)</f>
        <v>30643</v>
      </c>
      <c r="Q655" s="129"/>
      <c r="R655" s="183" t="str">
        <f>IF(Table1[[#This Row],[Actual Effort (Hours)]]="","",IF(Table1[[#This Row],[Estimated Effort (Hours)]]&lt;20,"L1",IF(Table1[[#This Row],[Estimated Effort (Hours)]]&lt;50,"L2",IF(Table1[[#This Row],[Estimated Effort (Hours)]]&lt;150,"L3",IF(Table1[[#This Row],[Estimated Effort (Hours)]]&lt;300,"L4","L5")))))</f>
        <v/>
      </c>
      <c r="S655" s="184" t="str">
        <f>IF(Table1[[#This Row],[Actual End Date]]="","",TEXT(Table1[[#This Row],[Actual End Date]],"mmm-yy"))</f>
        <v/>
      </c>
      <c r="T6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5" s="185" t="str">
        <f>IFERROR((Table1[[#This Row],[Actual Effort (Hours)]]-Table1[[#This Row],[Estimated Effort (Hours)]])/Table1[[#This Row],[Estimated Effort (Hours)]],"")</f>
        <v/>
      </c>
    </row>
    <row r="656" spans="2:21">
      <c r="B656" s="125"/>
      <c r="C656" s="123"/>
      <c r="D656" s="143"/>
      <c r="E656" s="123"/>
      <c r="F656" s="143"/>
      <c r="G656" s="129"/>
      <c r="H656" s="124"/>
      <c r="I656" s="124"/>
      <c r="J656" s="129"/>
      <c r="K656" s="194"/>
      <c r="L656" s="194"/>
      <c r="M656" s="129"/>
      <c r="N656" s="129" t="e">
        <f>Table1[[#This Row],[Estimated Effort (Hours)]]/NETWORKDAYS(Table1[[#This Row],[Planned Start Date]],Table1[[#This Row],[Planned End Date]])</f>
        <v>#DIV/0!</v>
      </c>
      <c r="O656" s="178">
        <f>NETWORKDAYS(Table1[[#This Row],[Planned Start Date]],Table1[[#This Row],[Planned End Date]])</f>
        <v>0</v>
      </c>
      <c r="P656" s="178">
        <f>NETWORKDAYS(Table1[[#This Row],[Planned Start Date]],$P$7)</f>
        <v>30643</v>
      </c>
      <c r="Q656" s="129"/>
      <c r="R656" s="183" t="str">
        <f>IF(Table1[[#This Row],[Actual Effort (Hours)]]="","",IF(Table1[[#This Row],[Estimated Effort (Hours)]]&lt;20,"L1",IF(Table1[[#This Row],[Estimated Effort (Hours)]]&lt;50,"L2",IF(Table1[[#This Row],[Estimated Effort (Hours)]]&lt;150,"L3",IF(Table1[[#This Row],[Estimated Effort (Hours)]]&lt;300,"L4","L5")))))</f>
        <v/>
      </c>
      <c r="S656" s="184" t="str">
        <f>IF(Table1[[#This Row],[Actual End Date]]="","",TEXT(Table1[[#This Row],[Actual End Date]],"mmm-yy"))</f>
        <v/>
      </c>
      <c r="T6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6" s="185" t="str">
        <f>IFERROR((Table1[[#This Row],[Actual Effort (Hours)]]-Table1[[#This Row],[Estimated Effort (Hours)]])/Table1[[#This Row],[Estimated Effort (Hours)]],"")</f>
        <v/>
      </c>
    </row>
    <row r="657" spans="2:21">
      <c r="B657" s="125"/>
      <c r="C657" s="123"/>
      <c r="D657" s="143"/>
      <c r="E657" s="123"/>
      <c r="F657" s="143"/>
      <c r="G657" s="129"/>
      <c r="H657" s="124"/>
      <c r="I657" s="124"/>
      <c r="J657" s="129"/>
      <c r="K657" s="194"/>
      <c r="L657" s="194"/>
      <c r="M657" s="129"/>
      <c r="N657" s="129" t="e">
        <f>Table1[[#This Row],[Estimated Effort (Hours)]]/NETWORKDAYS(Table1[[#This Row],[Planned Start Date]],Table1[[#This Row],[Planned End Date]])</f>
        <v>#DIV/0!</v>
      </c>
      <c r="O657" s="178">
        <f>NETWORKDAYS(Table1[[#This Row],[Planned Start Date]],Table1[[#This Row],[Planned End Date]])</f>
        <v>0</v>
      </c>
      <c r="P657" s="178">
        <f>NETWORKDAYS(Table1[[#This Row],[Planned Start Date]],$P$7)</f>
        <v>30643</v>
      </c>
      <c r="Q657" s="129"/>
      <c r="R657" s="183" t="str">
        <f>IF(Table1[[#This Row],[Actual Effort (Hours)]]="","",IF(Table1[[#This Row],[Estimated Effort (Hours)]]&lt;20,"L1",IF(Table1[[#This Row],[Estimated Effort (Hours)]]&lt;50,"L2",IF(Table1[[#This Row],[Estimated Effort (Hours)]]&lt;150,"L3",IF(Table1[[#This Row],[Estimated Effort (Hours)]]&lt;300,"L4","L5")))))</f>
        <v/>
      </c>
      <c r="S657" s="184" t="str">
        <f>IF(Table1[[#This Row],[Actual End Date]]="","",TEXT(Table1[[#This Row],[Actual End Date]],"mmm-yy"))</f>
        <v/>
      </c>
      <c r="T6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7" s="185" t="str">
        <f>IFERROR((Table1[[#This Row],[Actual Effort (Hours)]]-Table1[[#This Row],[Estimated Effort (Hours)]])/Table1[[#This Row],[Estimated Effort (Hours)]],"")</f>
        <v/>
      </c>
    </row>
    <row r="658" spans="2:21">
      <c r="B658" s="125"/>
      <c r="C658" s="123"/>
      <c r="D658" s="143"/>
      <c r="E658" s="123"/>
      <c r="F658" s="143"/>
      <c r="G658" s="129"/>
      <c r="H658" s="124"/>
      <c r="I658" s="124"/>
      <c r="J658" s="129"/>
      <c r="K658" s="194"/>
      <c r="L658" s="194"/>
      <c r="M658" s="129"/>
      <c r="N658" s="129" t="e">
        <f>Table1[[#This Row],[Estimated Effort (Hours)]]/NETWORKDAYS(Table1[[#This Row],[Planned Start Date]],Table1[[#This Row],[Planned End Date]])</f>
        <v>#DIV/0!</v>
      </c>
      <c r="O658" s="178">
        <f>NETWORKDAYS(Table1[[#This Row],[Planned Start Date]],Table1[[#This Row],[Planned End Date]])</f>
        <v>0</v>
      </c>
      <c r="P658" s="178">
        <f>NETWORKDAYS(Table1[[#This Row],[Planned Start Date]],$P$7)</f>
        <v>30643</v>
      </c>
      <c r="Q658" s="129"/>
      <c r="R658" s="183" t="str">
        <f>IF(Table1[[#This Row],[Actual Effort (Hours)]]="","",IF(Table1[[#This Row],[Estimated Effort (Hours)]]&lt;20,"L1",IF(Table1[[#This Row],[Estimated Effort (Hours)]]&lt;50,"L2",IF(Table1[[#This Row],[Estimated Effort (Hours)]]&lt;150,"L3",IF(Table1[[#This Row],[Estimated Effort (Hours)]]&lt;300,"L4","L5")))))</f>
        <v/>
      </c>
      <c r="S658" s="184" t="str">
        <f>IF(Table1[[#This Row],[Actual End Date]]="","",TEXT(Table1[[#This Row],[Actual End Date]],"mmm-yy"))</f>
        <v/>
      </c>
      <c r="T6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8" s="185" t="str">
        <f>IFERROR((Table1[[#This Row],[Actual Effort (Hours)]]-Table1[[#This Row],[Estimated Effort (Hours)]])/Table1[[#This Row],[Estimated Effort (Hours)]],"")</f>
        <v/>
      </c>
    </row>
    <row r="659" spans="2:21">
      <c r="B659" s="125"/>
      <c r="C659" s="123"/>
      <c r="D659" s="143"/>
      <c r="E659" s="123"/>
      <c r="F659" s="143"/>
      <c r="G659" s="129"/>
      <c r="H659" s="124"/>
      <c r="I659" s="124"/>
      <c r="J659" s="129"/>
      <c r="K659" s="194"/>
      <c r="L659" s="194"/>
      <c r="M659" s="129"/>
      <c r="N659" s="129" t="e">
        <f>Table1[[#This Row],[Estimated Effort (Hours)]]/NETWORKDAYS(Table1[[#This Row],[Planned Start Date]],Table1[[#This Row],[Planned End Date]])</f>
        <v>#DIV/0!</v>
      </c>
      <c r="O659" s="178">
        <f>NETWORKDAYS(Table1[[#This Row],[Planned Start Date]],Table1[[#This Row],[Planned End Date]])</f>
        <v>0</v>
      </c>
      <c r="P659" s="178">
        <f>NETWORKDAYS(Table1[[#This Row],[Planned Start Date]],$P$7)</f>
        <v>30643</v>
      </c>
      <c r="Q659" s="129"/>
      <c r="R659" s="183" t="str">
        <f>IF(Table1[[#This Row],[Actual Effort (Hours)]]="","",IF(Table1[[#This Row],[Estimated Effort (Hours)]]&lt;20,"L1",IF(Table1[[#This Row],[Estimated Effort (Hours)]]&lt;50,"L2",IF(Table1[[#This Row],[Estimated Effort (Hours)]]&lt;150,"L3",IF(Table1[[#This Row],[Estimated Effort (Hours)]]&lt;300,"L4","L5")))))</f>
        <v/>
      </c>
      <c r="S659" s="184" t="str">
        <f>IF(Table1[[#This Row],[Actual End Date]]="","",TEXT(Table1[[#This Row],[Actual End Date]],"mmm-yy"))</f>
        <v/>
      </c>
      <c r="T6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59" s="185" t="str">
        <f>IFERROR((Table1[[#This Row],[Actual Effort (Hours)]]-Table1[[#This Row],[Estimated Effort (Hours)]])/Table1[[#This Row],[Estimated Effort (Hours)]],"")</f>
        <v/>
      </c>
    </row>
    <row r="660" spans="2:21">
      <c r="B660" s="125"/>
      <c r="C660" s="123"/>
      <c r="D660" s="143"/>
      <c r="E660" s="123"/>
      <c r="F660" s="143"/>
      <c r="G660" s="129"/>
      <c r="H660" s="124"/>
      <c r="I660" s="124"/>
      <c r="J660" s="129"/>
      <c r="K660" s="194"/>
      <c r="L660" s="194"/>
      <c r="M660" s="129"/>
      <c r="N660" s="129" t="e">
        <f>Table1[[#This Row],[Estimated Effort (Hours)]]/NETWORKDAYS(Table1[[#This Row],[Planned Start Date]],Table1[[#This Row],[Planned End Date]])</f>
        <v>#DIV/0!</v>
      </c>
      <c r="O660" s="178">
        <f>NETWORKDAYS(Table1[[#This Row],[Planned Start Date]],Table1[[#This Row],[Planned End Date]])</f>
        <v>0</v>
      </c>
      <c r="P660" s="178">
        <f>NETWORKDAYS(Table1[[#This Row],[Planned Start Date]],$P$7)</f>
        <v>30643</v>
      </c>
      <c r="Q660" s="129"/>
      <c r="R660" s="183" t="str">
        <f>IF(Table1[[#This Row],[Actual Effort (Hours)]]="","",IF(Table1[[#This Row],[Estimated Effort (Hours)]]&lt;20,"L1",IF(Table1[[#This Row],[Estimated Effort (Hours)]]&lt;50,"L2",IF(Table1[[#This Row],[Estimated Effort (Hours)]]&lt;150,"L3",IF(Table1[[#This Row],[Estimated Effort (Hours)]]&lt;300,"L4","L5")))))</f>
        <v/>
      </c>
      <c r="S660" s="184" t="str">
        <f>IF(Table1[[#This Row],[Actual End Date]]="","",TEXT(Table1[[#This Row],[Actual End Date]],"mmm-yy"))</f>
        <v/>
      </c>
      <c r="T6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0" s="185" t="str">
        <f>IFERROR((Table1[[#This Row],[Actual Effort (Hours)]]-Table1[[#This Row],[Estimated Effort (Hours)]])/Table1[[#This Row],[Estimated Effort (Hours)]],"")</f>
        <v/>
      </c>
    </row>
    <row r="661" spans="2:21">
      <c r="B661" s="125"/>
      <c r="C661" s="123"/>
      <c r="D661" s="143"/>
      <c r="E661" s="123"/>
      <c r="F661" s="143"/>
      <c r="G661" s="129"/>
      <c r="H661" s="124"/>
      <c r="I661" s="124"/>
      <c r="J661" s="129"/>
      <c r="K661" s="194"/>
      <c r="L661" s="194"/>
      <c r="M661" s="129"/>
      <c r="N661" s="129" t="e">
        <f>Table1[[#This Row],[Estimated Effort (Hours)]]/NETWORKDAYS(Table1[[#This Row],[Planned Start Date]],Table1[[#This Row],[Planned End Date]])</f>
        <v>#DIV/0!</v>
      </c>
      <c r="O661" s="178">
        <f>NETWORKDAYS(Table1[[#This Row],[Planned Start Date]],Table1[[#This Row],[Planned End Date]])</f>
        <v>0</v>
      </c>
      <c r="P661" s="178">
        <f>NETWORKDAYS(Table1[[#This Row],[Planned Start Date]],$P$7)</f>
        <v>30643</v>
      </c>
      <c r="Q661" s="129"/>
      <c r="R661" s="183" t="str">
        <f>IF(Table1[[#This Row],[Actual Effort (Hours)]]="","",IF(Table1[[#This Row],[Estimated Effort (Hours)]]&lt;20,"L1",IF(Table1[[#This Row],[Estimated Effort (Hours)]]&lt;50,"L2",IF(Table1[[#This Row],[Estimated Effort (Hours)]]&lt;150,"L3",IF(Table1[[#This Row],[Estimated Effort (Hours)]]&lt;300,"L4","L5")))))</f>
        <v/>
      </c>
      <c r="S661" s="184" t="str">
        <f>IF(Table1[[#This Row],[Actual End Date]]="","",TEXT(Table1[[#This Row],[Actual End Date]],"mmm-yy"))</f>
        <v/>
      </c>
      <c r="T6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1" s="185" t="str">
        <f>IFERROR((Table1[[#This Row],[Actual Effort (Hours)]]-Table1[[#This Row],[Estimated Effort (Hours)]])/Table1[[#This Row],[Estimated Effort (Hours)]],"")</f>
        <v/>
      </c>
    </row>
    <row r="662" spans="2:21">
      <c r="B662" s="125"/>
      <c r="C662" s="123"/>
      <c r="D662" s="143"/>
      <c r="E662" s="123"/>
      <c r="F662" s="143"/>
      <c r="G662" s="129"/>
      <c r="H662" s="124"/>
      <c r="I662" s="124"/>
      <c r="J662" s="129"/>
      <c r="K662" s="194"/>
      <c r="L662" s="194"/>
      <c r="M662" s="129"/>
      <c r="N662" s="129" t="e">
        <f>Table1[[#This Row],[Estimated Effort (Hours)]]/NETWORKDAYS(Table1[[#This Row],[Planned Start Date]],Table1[[#This Row],[Planned End Date]])</f>
        <v>#DIV/0!</v>
      </c>
      <c r="O662" s="178">
        <f>NETWORKDAYS(Table1[[#This Row],[Planned Start Date]],Table1[[#This Row],[Planned End Date]])</f>
        <v>0</v>
      </c>
      <c r="P662" s="178">
        <f>NETWORKDAYS(Table1[[#This Row],[Planned Start Date]],$P$7)</f>
        <v>30643</v>
      </c>
      <c r="Q662" s="129"/>
      <c r="R662" s="183" t="str">
        <f>IF(Table1[[#This Row],[Actual Effort (Hours)]]="","",IF(Table1[[#This Row],[Estimated Effort (Hours)]]&lt;20,"L1",IF(Table1[[#This Row],[Estimated Effort (Hours)]]&lt;50,"L2",IF(Table1[[#This Row],[Estimated Effort (Hours)]]&lt;150,"L3",IF(Table1[[#This Row],[Estimated Effort (Hours)]]&lt;300,"L4","L5")))))</f>
        <v/>
      </c>
      <c r="S662" s="184" t="str">
        <f>IF(Table1[[#This Row],[Actual End Date]]="","",TEXT(Table1[[#This Row],[Actual End Date]],"mmm-yy"))</f>
        <v/>
      </c>
      <c r="T6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2" s="185" t="str">
        <f>IFERROR((Table1[[#This Row],[Actual Effort (Hours)]]-Table1[[#This Row],[Estimated Effort (Hours)]])/Table1[[#This Row],[Estimated Effort (Hours)]],"")</f>
        <v/>
      </c>
    </row>
    <row r="663" spans="2:21">
      <c r="B663" s="125"/>
      <c r="C663" s="123"/>
      <c r="D663" s="143"/>
      <c r="E663" s="123"/>
      <c r="F663" s="143"/>
      <c r="G663" s="129"/>
      <c r="H663" s="124"/>
      <c r="I663" s="124"/>
      <c r="J663" s="129"/>
      <c r="K663" s="194"/>
      <c r="L663" s="194"/>
      <c r="M663" s="129"/>
      <c r="N663" s="129" t="e">
        <f>Table1[[#This Row],[Estimated Effort (Hours)]]/NETWORKDAYS(Table1[[#This Row],[Planned Start Date]],Table1[[#This Row],[Planned End Date]])</f>
        <v>#DIV/0!</v>
      </c>
      <c r="O663" s="178">
        <f>NETWORKDAYS(Table1[[#This Row],[Planned Start Date]],Table1[[#This Row],[Planned End Date]])</f>
        <v>0</v>
      </c>
      <c r="P663" s="178">
        <f>NETWORKDAYS(Table1[[#This Row],[Planned Start Date]],$P$7)</f>
        <v>30643</v>
      </c>
      <c r="Q663" s="129"/>
      <c r="R663" s="183" t="str">
        <f>IF(Table1[[#This Row],[Actual Effort (Hours)]]="","",IF(Table1[[#This Row],[Estimated Effort (Hours)]]&lt;20,"L1",IF(Table1[[#This Row],[Estimated Effort (Hours)]]&lt;50,"L2",IF(Table1[[#This Row],[Estimated Effort (Hours)]]&lt;150,"L3",IF(Table1[[#This Row],[Estimated Effort (Hours)]]&lt;300,"L4","L5")))))</f>
        <v/>
      </c>
      <c r="S663" s="184" t="str">
        <f>IF(Table1[[#This Row],[Actual End Date]]="","",TEXT(Table1[[#This Row],[Actual End Date]],"mmm-yy"))</f>
        <v/>
      </c>
      <c r="T6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3" s="185" t="str">
        <f>IFERROR((Table1[[#This Row],[Actual Effort (Hours)]]-Table1[[#This Row],[Estimated Effort (Hours)]])/Table1[[#This Row],[Estimated Effort (Hours)]],"")</f>
        <v/>
      </c>
    </row>
    <row r="664" spans="2:21">
      <c r="B664" s="125"/>
      <c r="C664" s="123"/>
      <c r="D664" s="143"/>
      <c r="E664" s="123"/>
      <c r="F664" s="143"/>
      <c r="G664" s="129"/>
      <c r="H664" s="124"/>
      <c r="I664" s="124"/>
      <c r="J664" s="129"/>
      <c r="K664" s="194"/>
      <c r="L664" s="194"/>
      <c r="M664" s="129"/>
      <c r="N664" s="129" t="e">
        <f>Table1[[#This Row],[Estimated Effort (Hours)]]/NETWORKDAYS(Table1[[#This Row],[Planned Start Date]],Table1[[#This Row],[Planned End Date]])</f>
        <v>#DIV/0!</v>
      </c>
      <c r="O664" s="178">
        <f>NETWORKDAYS(Table1[[#This Row],[Planned Start Date]],Table1[[#This Row],[Planned End Date]])</f>
        <v>0</v>
      </c>
      <c r="P664" s="178">
        <f>NETWORKDAYS(Table1[[#This Row],[Planned Start Date]],$P$7)</f>
        <v>30643</v>
      </c>
      <c r="Q664" s="129"/>
      <c r="R664" s="183" t="str">
        <f>IF(Table1[[#This Row],[Actual Effort (Hours)]]="","",IF(Table1[[#This Row],[Estimated Effort (Hours)]]&lt;20,"L1",IF(Table1[[#This Row],[Estimated Effort (Hours)]]&lt;50,"L2",IF(Table1[[#This Row],[Estimated Effort (Hours)]]&lt;150,"L3",IF(Table1[[#This Row],[Estimated Effort (Hours)]]&lt;300,"L4","L5")))))</f>
        <v/>
      </c>
      <c r="S664" s="184" t="str">
        <f>IF(Table1[[#This Row],[Actual End Date]]="","",TEXT(Table1[[#This Row],[Actual End Date]],"mmm-yy"))</f>
        <v/>
      </c>
      <c r="T6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4" s="185" t="str">
        <f>IFERROR((Table1[[#This Row],[Actual Effort (Hours)]]-Table1[[#This Row],[Estimated Effort (Hours)]])/Table1[[#This Row],[Estimated Effort (Hours)]],"")</f>
        <v/>
      </c>
    </row>
    <row r="665" spans="2:21">
      <c r="B665" s="125"/>
      <c r="C665" s="123"/>
      <c r="D665" s="143"/>
      <c r="E665" s="123"/>
      <c r="F665" s="143"/>
      <c r="G665" s="129"/>
      <c r="H665" s="124"/>
      <c r="I665" s="124"/>
      <c r="J665" s="129"/>
      <c r="K665" s="194"/>
      <c r="L665" s="194"/>
      <c r="M665" s="129"/>
      <c r="N665" s="129" t="e">
        <f>Table1[[#This Row],[Estimated Effort (Hours)]]/NETWORKDAYS(Table1[[#This Row],[Planned Start Date]],Table1[[#This Row],[Planned End Date]])</f>
        <v>#DIV/0!</v>
      </c>
      <c r="O665" s="178">
        <f>NETWORKDAYS(Table1[[#This Row],[Planned Start Date]],Table1[[#This Row],[Planned End Date]])</f>
        <v>0</v>
      </c>
      <c r="P665" s="178">
        <f>NETWORKDAYS(Table1[[#This Row],[Planned Start Date]],$P$7)</f>
        <v>30643</v>
      </c>
      <c r="Q665" s="129"/>
      <c r="R665" s="183" t="str">
        <f>IF(Table1[[#This Row],[Actual Effort (Hours)]]="","",IF(Table1[[#This Row],[Estimated Effort (Hours)]]&lt;20,"L1",IF(Table1[[#This Row],[Estimated Effort (Hours)]]&lt;50,"L2",IF(Table1[[#This Row],[Estimated Effort (Hours)]]&lt;150,"L3",IF(Table1[[#This Row],[Estimated Effort (Hours)]]&lt;300,"L4","L5")))))</f>
        <v/>
      </c>
      <c r="S665" s="184" t="str">
        <f>IF(Table1[[#This Row],[Actual End Date]]="","",TEXT(Table1[[#This Row],[Actual End Date]],"mmm-yy"))</f>
        <v/>
      </c>
      <c r="T6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5" s="185" t="str">
        <f>IFERROR((Table1[[#This Row],[Actual Effort (Hours)]]-Table1[[#This Row],[Estimated Effort (Hours)]])/Table1[[#This Row],[Estimated Effort (Hours)]],"")</f>
        <v/>
      </c>
    </row>
    <row r="666" spans="2:21">
      <c r="B666" s="125"/>
      <c r="C666" s="123"/>
      <c r="D666" s="143"/>
      <c r="E666" s="123"/>
      <c r="F666" s="143"/>
      <c r="G666" s="129"/>
      <c r="H666" s="124"/>
      <c r="I666" s="124"/>
      <c r="J666" s="129"/>
      <c r="K666" s="194"/>
      <c r="L666" s="194"/>
      <c r="M666" s="129"/>
      <c r="N666" s="129" t="e">
        <f>Table1[[#This Row],[Estimated Effort (Hours)]]/NETWORKDAYS(Table1[[#This Row],[Planned Start Date]],Table1[[#This Row],[Planned End Date]])</f>
        <v>#DIV/0!</v>
      </c>
      <c r="O666" s="178">
        <f>NETWORKDAYS(Table1[[#This Row],[Planned Start Date]],Table1[[#This Row],[Planned End Date]])</f>
        <v>0</v>
      </c>
      <c r="P666" s="178">
        <f>NETWORKDAYS(Table1[[#This Row],[Planned Start Date]],$P$7)</f>
        <v>30643</v>
      </c>
      <c r="Q666" s="129"/>
      <c r="R666" s="183" t="str">
        <f>IF(Table1[[#This Row],[Actual Effort (Hours)]]="","",IF(Table1[[#This Row],[Estimated Effort (Hours)]]&lt;20,"L1",IF(Table1[[#This Row],[Estimated Effort (Hours)]]&lt;50,"L2",IF(Table1[[#This Row],[Estimated Effort (Hours)]]&lt;150,"L3",IF(Table1[[#This Row],[Estimated Effort (Hours)]]&lt;300,"L4","L5")))))</f>
        <v/>
      </c>
      <c r="S666" s="184" t="str">
        <f>IF(Table1[[#This Row],[Actual End Date]]="","",TEXT(Table1[[#This Row],[Actual End Date]],"mmm-yy"))</f>
        <v/>
      </c>
      <c r="T6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6" s="185" t="str">
        <f>IFERROR((Table1[[#This Row],[Actual Effort (Hours)]]-Table1[[#This Row],[Estimated Effort (Hours)]])/Table1[[#This Row],[Estimated Effort (Hours)]],"")</f>
        <v/>
      </c>
    </row>
    <row r="667" spans="2:21">
      <c r="B667" s="125"/>
      <c r="C667" s="123"/>
      <c r="D667" s="143"/>
      <c r="E667" s="123"/>
      <c r="F667" s="143"/>
      <c r="G667" s="129"/>
      <c r="H667" s="124"/>
      <c r="I667" s="124"/>
      <c r="J667" s="129"/>
      <c r="K667" s="194"/>
      <c r="L667" s="194"/>
      <c r="M667" s="129"/>
      <c r="N667" s="129" t="e">
        <f>Table1[[#This Row],[Estimated Effort (Hours)]]/NETWORKDAYS(Table1[[#This Row],[Planned Start Date]],Table1[[#This Row],[Planned End Date]])</f>
        <v>#DIV/0!</v>
      </c>
      <c r="O667" s="178">
        <f>NETWORKDAYS(Table1[[#This Row],[Planned Start Date]],Table1[[#This Row],[Planned End Date]])</f>
        <v>0</v>
      </c>
      <c r="P667" s="178">
        <f>NETWORKDAYS(Table1[[#This Row],[Planned Start Date]],$P$7)</f>
        <v>30643</v>
      </c>
      <c r="Q667" s="129"/>
      <c r="R667" s="183" t="str">
        <f>IF(Table1[[#This Row],[Actual Effort (Hours)]]="","",IF(Table1[[#This Row],[Estimated Effort (Hours)]]&lt;20,"L1",IF(Table1[[#This Row],[Estimated Effort (Hours)]]&lt;50,"L2",IF(Table1[[#This Row],[Estimated Effort (Hours)]]&lt;150,"L3",IF(Table1[[#This Row],[Estimated Effort (Hours)]]&lt;300,"L4","L5")))))</f>
        <v/>
      </c>
      <c r="S667" s="184" t="str">
        <f>IF(Table1[[#This Row],[Actual End Date]]="","",TEXT(Table1[[#This Row],[Actual End Date]],"mmm-yy"))</f>
        <v/>
      </c>
      <c r="T6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7" s="185" t="str">
        <f>IFERROR((Table1[[#This Row],[Actual Effort (Hours)]]-Table1[[#This Row],[Estimated Effort (Hours)]])/Table1[[#This Row],[Estimated Effort (Hours)]],"")</f>
        <v/>
      </c>
    </row>
    <row r="668" spans="2:21">
      <c r="B668" s="125"/>
      <c r="C668" s="123"/>
      <c r="D668" s="143"/>
      <c r="E668" s="123"/>
      <c r="F668" s="143"/>
      <c r="G668" s="129"/>
      <c r="H668" s="124"/>
      <c r="I668" s="124"/>
      <c r="J668" s="129"/>
      <c r="K668" s="194"/>
      <c r="L668" s="194"/>
      <c r="M668" s="129"/>
      <c r="N668" s="129" t="e">
        <f>Table1[[#This Row],[Estimated Effort (Hours)]]/NETWORKDAYS(Table1[[#This Row],[Planned Start Date]],Table1[[#This Row],[Planned End Date]])</f>
        <v>#DIV/0!</v>
      </c>
      <c r="O668" s="178">
        <f>NETWORKDAYS(Table1[[#This Row],[Planned Start Date]],Table1[[#This Row],[Planned End Date]])</f>
        <v>0</v>
      </c>
      <c r="P668" s="178">
        <f>NETWORKDAYS(Table1[[#This Row],[Planned Start Date]],$P$7)</f>
        <v>30643</v>
      </c>
      <c r="Q668" s="129"/>
      <c r="R668" s="183" t="str">
        <f>IF(Table1[[#This Row],[Actual Effort (Hours)]]="","",IF(Table1[[#This Row],[Estimated Effort (Hours)]]&lt;20,"L1",IF(Table1[[#This Row],[Estimated Effort (Hours)]]&lt;50,"L2",IF(Table1[[#This Row],[Estimated Effort (Hours)]]&lt;150,"L3",IF(Table1[[#This Row],[Estimated Effort (Hours)]]&lt;300,"L4","L5")))))</f>
        <v/>
      </c>
      <c r="S668" s="184" t="str">
        <f>IF(Table1[[#This Row],[Actual End Date]]="","",TEXT(Table1[[#This Row],[Actual End Date]],"mmm-yy"))</f>
        <v/>
      </c>
      <c r="T6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8" s="185" t="str">
        <f>IFERROR((Table1[[#This Row],[Actual Effort (Hours)]]-Table1[[#This Row],[Estimated Effort (Hours)]])/Table1[[#This Row],[Estimated Effort (Hours)]],"")</f>
        <v/>
      </c>
    </row>
    <row r="669" spans="2:21">
      <c r="B669" s="125"/>
      <c r="C669" s="123"/>
      <c r="D669" s="143"/>
      <c r="E669" s="123"/>
      <c r="F669" s="143"/>
      <c r="G669" s="129"/>
      <c r="H669" s="124"/>
      <c r="I669" s="124"/>
      <c r="J669" s="129"/>
      <c r="K669" s="194"/>
      <c r="L669" s="194"/>
      <c r="M669" s="129"/>
      <c r="N669" s="129" t="e">
        <f>Table1[[#This Row],[Estimated Effort (Hours)]]/NETWORKDAYS(Table1[[#This Row],[Planned Start Date]],Table1[[#This Row],[Planned End Date]])</f>
        <v>#DIV/0!</v>
      </c>
      <c r="O669" s="178">
        <f>NETWORKDAYS(Table1[[#This Row],[Planned Start Date]],Table1[[#This Row],[Planned End Date]])</f>
        <v>0</v>
      </c>
      <c r="P669" s="178">
        <f>NETWORKDAYS(Table1[[#This Row],[Planned Start Date]],$P$7)</f>
        <v>30643</v>
      </c>
      <c r="Q669" s="129"/>
      <c r="R669" s="183" t="str">
        <f>IF(Table1[[#This Row],[Actual Effort (Hours)]]="","",IF(Table1[[#This Row],[Estimated Effort (Hours)]]&lt;20,"L1",IF(Table1[[#This Row],[Estimated Effort (Hours)]]&lt;50,"L2",IF(Table1[[#This Row],[Estimated Effort (Hours)]]&lt;150,"L3",IF(Table1[[#This Row],[Estimated Effort (Hours)]]&lt;300,"L4","L5")))))</f>
        <v/>
      </c>
      <c r="S669" s="184" t="str">
        <f>IF(Table1[[#This Row],[Actual End Date]]="","",TEXT(Table1[[#This Row],[Actual End Date]],"mmm-yy"))</f>
        <v/>
      </c>
      <c r="T6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69" s="185" t="str">
        <f>IFERROR((Table1[[#This Row],[Actual Effort (Hours)]]-Table1[[#This Row],[Estimated Effort (Hours)]])/Table1[[#This Row],[Estimated Effort (Hours)]],"")</f>
        <v/>
      </c>
    </row>
    <row r="670" spans="2:21">
      <c r="B670" s="125"/>
      <c r="C670" s="123"/>
      <c r="D670" s="143"/>
      <c r="E670" s="123"/>
      <c r="F670" s="143"/>
      <c r="G670" s="129"/>
      <c r="H670" s="124"/>
      <c r="I670" s="124"/>
      <c r="J670" s="129"/>
      <c r="K670" s="194"/>
      <c r="L670" s="194"/>
      <c r="M670" s="129"/>
      <c r="N670" s="129" t="e">
        <f>Table1[[#This Row],[Estimated Effort (Hours)]]/NETWORKDAYS(Table1[[#This Row],[Planned Start Date]],Table1[[#This Row],[Planned End Date]])</f>
        <v>#DIV/0!</v>
      </c>
      <c r="O670" s="178">
        <f>NETWORKDAYS(Table1[[#This Row],[Planned Start Date]],Table1[[#This Row],[Planned End Date]])</f>
        <v>0</v>
      </c>
      <c r="P670" s="178">
        <f>NETWORKDAYS(Table1[[#This Row],[Planned Start Date]],$P$7)</f>
        <v>30643</v>
      </c>
      <c r="Q670" s="129"/>
      <c r="R670" s="183" t="str">
        <f>IF(Table1[[#This Row],[Actual Effort (Hours)]]="","",IF(Table1[[#This Row],[Estimated Effort (Hours)]]&lt;20,"L1",IF(Table1[[#This Row],[Estimated Effort (Hours)]]&lt;50,"L2",IF(Table1[[#This Row],[Estimated Effort (Hours)]]&lt;150,"L3",IF(Table1[[#This Row],[Estimated Effort (Hours)]]&lt;300,"L4","L5")))))</f>
        <v/>
      </c>
      <c r="S670" s="184" t="str">
        <f>IF(Table1[[#This Row],[Actual End Date]]="","",TEXT(Table1[[#This Row],[Actual End Date]],"mmm-yy"))</f>
        <v/>
      </c>
      <c r="T6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0" s="185" t="str">
        <f>IFERROR((Table1[[#This Row],[Actual Effort (Hours)]]-Table1[[#This Row],[Estimated Effort (Hours)]])/Table1[[#This Row],[Estimated Effort (Hours)]],"")</f>
        <v/>
      </c>
    </row>
    <row r="671" spans="2:21">
      <c r="B671" s="125"/>
      <c r="C671" s="123"/>
      <c r="D671" s="143"/>
      <c r="E671" s="123"/>
      <c r="F671" s="143"/>
      <c r="G671" s="129"/>
      <c r="H671" s="124"/>
      <c r="I671" s="124"/>
      <c r="J671" s="129"/>
      <c r="K671" s="194"/>
      <c r="L671" s="194"/>
      <c r="M671" s="129"/>
      <c r="N671" s="129" t="e">
        <f>Table1[[#This Row],[Estimated Effort (Hours)]]/NETWORKDAYS(Table1[[#This Row],[Planned Start Date]],Table1[[#This Row],[Planned End Date]])</f>
        <v>#DIV/0!</v>
      </c>
      <c r="O671" s="178">
        <f>NETWORKDAYS(Table1[[#This Row],[Planned Start Date]],Table1[[#This Row],[Planned End Date]])</f>
        <v>0</v>
      </c>
      <c r="P671" s="178">
        <f>NETWORKDAYS(Table1[[#This Row],[Planned Start Date]],$P$7)</f>
        <v>30643</v>
      </c>
      <c r="Q671" s="129"/>
      <c r="R671" s="183" t="str">
        <f>IF(Table1[[#This Row],[Actual Effort (Hours)]]="","",IF(Table1[[#This Row],[Estimated Effort (Hours)]]&lt;20,"L1",IF(Table1[[#This Row],[Estimated Effort (Hours)]]&lt;50,"L2",IF(Table1[[#This Row],[Estimated Effort (Hours)]]&lt;150,"L3",IF(Table1[[#This Row],[Estimated Effort (Hours)]]&lt;300,"L4","L5")))))</f>
        <v/>
      </c>
      <c r="S671" s="184" t="str">
        <f>IF(Table1[[#This Row],[Actual End Date]]="","",TEXT(Table1[[#This Row],[Actual End Date]],"mmm-yy"))</f>
        <v/>
      </c>
      <c r="T6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1" s="185" t="str">
        <f>IFERROR((Table1[[#This Row],[Actual Effort (Hours)]]-Table1[[#This Row],[Estimated Effort (Hours)]])/Table1[[#This Row],[Estimated Effort (Hours)]],"")</f>
        <v/>
      </c>
    </row>
    <row r="672" spans="2:21">
      <c r="B672" s="125"/>
      <c r="C672" s="123"/>
      <c r="D672" s="143"/>
      <c r="E672" s="123"/>
      <c r="F672" s="143"/>
      <c r="G672" s="129"/>
      <c r="H672" s="124"/>
      <c r="I672" s="124"/>
      <c r="J672" s="129"/>
      <c r="K672" s="194"/>
      <c r="L672" s="194"/>
      <c r="M672" s="129"/>
      <c r="N672" s="129" t="e">
        <f>Table1[[#This Row],[Estimated Effort (Hours)]]/NETWORKDAYS(Table1[[#This Row],[Planned Start Date]],Table1[[#This Row],[Planned End Date]])</f>
        <v>#DIV/0!</v>
      </c>
      <c r="O672" s="178">
        <f>NETWORKDAYS(Table1[[#This Row],[Planned Start Date]],Table1[[#This Row],[Planned End Date]])</f>
        <v>0</v>
      </c>
      <c r="P672" s="178">
        <f>NETWORKDAYS(Table1[[#This Row],[Planned Start Date]],$P$7)</f>
        <v>30643</v>
      </c>
      <c r="Q672" s="129"/>
      <c r="R672" s="183" t="str">
        <f>IF(Table1[[#This Row],[Actual Effort (Hours)]]="","",IF(Table1[[#This Row],[Estimated Effort (Hours)]]&lt;20,"L1",IF(Table1[[#This Row],[Estimated Effort (Hours)]]&lt;50,"L2",IF(Table1[[#This Row],[Estimated Effort (Hours)]]&lt;150,"L3",IF(Table1[[#This Row],[Estimated Effort (Hours)]]&lt;300,"L4","L5")))))</f>
        <v/>
      </c>
      <c r="S672" s="184" t="str">
        <f>IF(Table1[[#This Row],[Actual End Date]]="","",TEXT(Table1[[#This Row],[Actual End Date]],"mmm-yy"))</f>
        <v/>
      </c>
      <c r="T6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2" s="185" t="str">
        <f>IFERROR((Table1[[#This Row],[Actual Effort (Hours)]]-Table1[[#This Row],[Estimated Effort (Hours)]])/Table1[[#This Row],[Estimated Effort (Hours)]],"")</f>
        <v/>
      </c>
    </row>
    <row r="673" spans="2:21">
      <c r="B673" s="125"/>
      <c r="C673" s="123"/>
      <c r="D673" s="143"/>
      <c r="E673" s="123"/>
      <c r="F673" s="143"/>
      <c r="G673" s="129"/>
      <c r="H673" s="124"/>
      <c r="I673" s="124"/>
      <c r="J673" s="129"/>
      <c r="K673" s="194"/>
      <c r="L673" s="194"/>
      <c r="M673" s="129"/>
      <c r="N673" s="129" t="e">
        <f>Table1[[#This Row],[Estimated Effort (Hours)]]/NETWORKDAYS(Table1[[#This Row],[Planned Start Date]],Table1[[#This Row],[Planned End Date]])</f>
        <v>#DIV/0!</v>
      </c>
      <c r="O673" s="178">
        <f>NETWORKDAYS(Table1[[#This Row],[Planned Start Date]],Table1[[#This Row],[Planned End Date]])</f>
        <v>0</v>
      </c>
      <c r="P673" s="178">
        <f>NETWORKDAYS(Table1[[#This Row],[Planned Start Date]],$P$7)</f>
        <v>30643</v>
      </c>
      <c r="Q673" s="129"/>
      <c r="R673" s="183" t="str">
        <f>IF(Table1[[#This Row],[Actual Effort (Hours)]]="","",IF(Table1[[#This Row],[Estimated Effort (Hours)]]&lt;20,"L1",IF(Table1[[#This Row],[Estimated Effort (Hours)]]&lt;50,"L2",IF(Table1[[#This Row],[Estimated Effort (Hours)]]&lt;150,"L3",IF(Table1[[#This Row],[Estimated Effort (Hours)]]&lt;300,"L4","L5")))))</f>
        <v/>
      </c>
      <c r="S673" s="184" t="str">
        <f>IF(Table1[[#This Row],[Actual End Date]]="","",TEXT(Table1[[#This Row],[Actual End Date]],"mmm-yy"))</f>
        <v/>
      </c>
      <c r="T6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3" s="185" t="str">
        <f>IFERROR((Table1[[#This Row],[Actual Effort (Hours)]]-Table1[[#This Row],[Estimated Effort (Hours)]])/Table1[[#This Row],[Estimated Effort (Hours)]],"")</f>
        <v/>
      </c>
    </row>
    <row r="674" spans="2:21">
      <c r="B674" s="125"/>
      <c r="C674" s="123"/>
      <c r="D674" s="143"/>
      <c r="E674" s="123"/>
      <c r="F674" s="143"/>
      <c r="G674" s="129"/>
      <c r="H674" s="124"/>
      <c r="I674" s="124"/>
      <c r="J674" s="129"/>
      <c r="K674" s="194"/>
      <c r="L674" s="194"/>
      <c r="M674" s="129"/>
      <c r="N674" s="129" t="e">
        <f>Table1[[#This Row],[Estimated Effort (Hours)]]/NETWORKDAYS(Table1[[#This Row],[Planned Start Date]],Table1[[#This Row],[Planned End Date]])</f>
        <v>#DIV/0!</v>
      </c>
      <c r="O674" s="178">
        <f>NETWORKDAYS(Table1[[#This Row],[Planned Start Date]],Table1[[#This Row],[Planned End Date]])</f>
        <v>0</v>
      </c>
      <c r="P674" s="178">
        <f>NETWORKDAYS(Table1[[#This Row],[Planned Start Date]],$P$7)</f>
        <v>30643</v>
      </c>
      <c r="Q674" s="129"/>
      <c r="R674" s="183" t="str">
        <f>IF(Table1[[#This Row],[Actual Effort (Hours)]]="","",IF(Table1[[#This Row],[Estimated Effort (Hours)]]&lt;20,"L1",IF(Table1[[#This Row],[Estimated Effort (Hours)]]&lt;50,"L2",IF(Table1[[#This Row],[Estimated Effort (Hours)]]&lt;150,"L3",IF(Table1[[#This Row],[Estimated Effort (Hours)]]&lt;300,"L4","L5")))))</f>
        <v/>
      </c>
      <c r="S674" s="184" t="str">
        <f>IF(Table1[[#This Row],[Actual End Date]]="","",TEXT(Table1[[#This Row],[Actual End Date]],"mmm-yy"))</f>
        <v/>
      </c>
      <c r="T6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4" s="185" t="str">
        <f>IFERROR((Table1[[#This Row],[Actual Effort (Hours)]]-Table1[[#This Row],[Estimated Effort (Hours)]])/Table1[[#This Row],[Estimated Effort (Hours)]],"")</f>
        <v/>
      </c>
    </row>
    <row r="675" spans="2:21">
      <c r="B675" s="125"/>
      <c r="C675" s="123"/>
      <c r="D675" s="143"/>
      <c r="E675" s="123"/>
      <c r="F675" s="143"/>
      <c r="G675" s="129"/>
      <c r="H675" s="124"/>
      <c r="I675" s="124"/>
      <c r="J675" s="129"/>
      <c r="K675" s="194"/>
      <c r="L675" s="194"/>
      <c r="M675" s="129"/>
      <c r="N675" s="129" t="e">
        <f>Table1[[#This Row],[Estimated Effort (Hours)]]/NETWORKDAYS(Table1[[#This Row],[Planned Start Date]],Table1[[#This Row],[Planned End Date]])</f>
        <v>#DIV/0!</v>
      </c>
      <c r="O675" s="178">
        <f>NETWORKDAYS(Table1[[#This Row],[Planned Start Date]],Table1[[#This Row],[Planned End Date]])</f>
        <v>0</v>
      </c>
      <c r="P675" s="178">
        <f>NETWORKDAYS(Table1[[#This Row],[Planned Start Date]],$P$7)</f>
        <v>30643</v>
      </c>
      <c r="Q675" s="129"/>
      <c r="R675" s="183" t="str">
        <f>IF(Table1[[#This Row],[Actual Effort (Hours)]]="","",IF(Table1[[#This Row],[Estimated Effort (Hours)]]&lt;20,"L1",IF(Table1[[#This Row],[Estimated Effort (Hours)]]&lt;50,"L2",IF(Table1[[#This Row],[Estimated Effort (Hours)]]&lt;150,"L3",IF(Table1[[#This Row],[Estimated Effort (Hours)]]&lt;300,"L4","L5")))))</f>
        <v/>
      </c>
      <c r="S675" s="184" t="str">
        <f>IF(Table1[[#This Row],[Actual End Date]]="","",TEXT(Table1[[#This Row],[Actual End Date]],"mmm-yy"))</f>
        <v/>
      </c>
      <c r="T6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5" s="185" t="str">
        <f>IFERROR((Table1[[#This Row],[Actual Effort (Hours)]]-Table1[[#This Row],[Estimated Effort (Hours)]])/Table1[[#This Row],[Estimated Effort (Hours)]],"")</f>
        <v/>
      </c>
    </row>
    <row r="676" spans="2:21">
      <c r="B676" s="125"/>
      <c r="C676" s="123"/>
      <c r="D676" s="143"/>
      <c r="E676" s="123"/>
      <c r="F676" s="143"/>
      <c r="G676" s="129"/>
      <c r="H676" s="124"/>
      <c r="I676" s="124"/>
      <c r="J676" s="129"/>
      <c r="K676" s="194"/>
      <c r="L676" s="194"/>
      <c r="M676" s="129"/>
      <c r="N676" s="129" t="e">
        <f>Table1[[#This Row],[Estimated Effort (Hours)]]/NETWORKDAYS(Table1[[#This Row],[Planned Start Date]],Table1[[#This Row],[Planned End Date]])</f>
        <v>#DIV/0!</v>
      </c>
      <c r="O676" s="178">
        <f>NETWORKDAYS(Table1[[#This Row],[Planned Start Date]],Table1[[#This Row],[Planned End Date]])</f>
        <v>0</v>
      </c>
      <c r="P676" s="178">
        <f>NETWORKDAYS(Table1[[#This Row],[Planned Start Date]],$P$7)</f>
        <v>30643</v>
      </c>
      <c r="Q676" s="129"/>
      <c r="R676" s="183" t="str">
        <f>IF(Table1[[#This Row],[Actual Effort (Hours)]]="","",IF(Table1[[#This Row],[Estimated Effort (Hours)]]&lt;20,"L1",IF(Table1[[#This Row],[Estimated Effort (Hours)]]&lt;50,"L2",IF(Table1[[#This Row],[Estimated Effort (Hours)]]&lt;150,"L3",IF(Table1[[#This Row],[Estimated Effort (Hours)]]&lt;300,"L4","L5")))))</f>
        <v/>
      </c>
      <c r="S676" s="184" t="str">
        <f>IF(Table1[[#This Row],[Actual End Date]]="","",TEXT(Table1[[#This Row],[Actual End Date]],"mmm-yy"))</f>
        <v/>
      </c>
      <c r="T6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6" s="185" t="str">
        <f>IFERROR((Table1[[#This Row],[Actual Effort (Hours)]]-Table1[[#This Row],[Estimated Effort (Hours)]])/Table1[[#This Row],[Estimated Effort (Hours)]],"")</f>
        <v/>
      </c>
    </row>
    <row r="677" spans="2:21">
      <c r="B677" s="125"/>
      <c r="C677" s="123"/>
      <c r="D677" s="143"/>
      <c r="E677" s="123"/>
      <c r="F677" s="143"/>
      <c r="G677" s="129"/>
      <c r="H677" s="124"/>
      <c r="I677" s="124"/>
      <c r="J677" s="129"/>
      <c r="K677" s="194"/>
      <c r="L677" s="194"/>
      <c r="M677" s="129"/>
      <c r="N677" s="129" t="e">
        <f>Table1[[#This Row],[Estimated Effort (Hours)]]/NETWORKDAYS(Table1[[#This Row],[Planned Start Date]],Table1[[#This Row],[Planned End Date]])</f>
        <v>#DIV/0!</v>
      </c>
      <c r="O677" s="178">
        <f>NETWORKDAYS(Table1[[#This Row],[Planned Start Date]],Table1[[#This Row],[Planned End Date]])</f>
        <v>0</v>
      </c>
      <c r="P677" s="178">
        <f>NETWORKDAYS(Table1[[#This Row],[Planned Start Date]],$P$7)</f>
        <v>30643</v>
      </c>
      <c r="Q677" s="129"/>
      <c r="R677" s="183" t="str">
        <f>IF(Table1[[#This Row],[Actual Effort (Hours)]]="","",IF(Table1[[#This Row],[Estimated Effort (Hours)]]&lt;20,"L1",IF(Table1[[#This Row],[Estimated Effort (Hours)]]&lt;50,"L2",IF(Table1[[#This Row],[Estimated Effort (Hours)]]&lt;150,"L3",IF(Table1[[#This Row],[Estimated Effort (Hours)]]&lt;300,"L4","L5")))))</f>
        <v/>
      </c>
      <c r="S677" s="184" t="str">
        <f>IF(Table1[[#This Row],[Actual End Date]]="","",TEXT(Table1[[#This Row],[Actual End Date]],"mmm-yy"))</f>
        <v/>
      </c>
      <c r="T6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7" s="185" t="str">
        <f>IFERROR((Table1[[#This Row],[Actual Effort (Hours)]]-Table1[[#This Row],[Estimated Effort (Hours)]])/Table1[[#This Row],[Estimated Effort (Hours)]],"")</f>
        <v/>
      </c>
    </row>
    <row r="678" spans="2:21">
      <c r="B678" s="125"/>
      <c r="C678" s="123"/>
      <c r="D678" s="143"/>
      <c r="E678" s="123"/>
      <c r="F678" s="143"/>
      <c r="G678" s="129"/>
      <c r="H678" s="124"/>
      <c r="I678" s="124"/>
      <c r="J678" s="129"/>
      <c r="K678" s="194"/>
      <c r="L678" s="194"/>
      <c r="M678" s="129"/>
      <c r="N678" s="129" t="e">
        <f>Table1[[#This Row],[Estimated Effort (Hours)]]/NETWORKDAYS(Table1[[#This Row],[Planned Start Date]],Table1[[#This Row],[Planned End Date]])</f>
        <v>#DIV/0!</v>
      </c>
      <c r="O678" s="178">
        <f>NETWORKDAYS(Table1[[#This Row],[Planned Start Date]],Table1[[#This Row],[Planned End Date]])</f>
        <v>0</v>
      </c>
      <c r="P678" s="178">
        <f>NETWORKDAYS(Table1[[#This Row],[Planned Start Date]],$P$7)</f>
        <v>30643</v>
      </c>
      <c r="Q678" s="129"/>
      <c r="R678" s="183" t="str">
        <f>IF(Table1[[#This Row],[Actual Effort (Hours)]]="","",IF(Table1[[#This Row],[Estimated Effort (Hours)]]&lt;20,"L1",IF(Table1[[#This Row],[Estimated Effort (Hours)]]&lt;50,"L2",IF(Table1[[#This Row],[Estimated Effort (Hours)]]&lt;150,"L3",IF(Table1[[#This Row],[Estimated Effort (Hours)]]&lt;300,"L4","L5")))))</f>
        <v/>
      </c>
      <c r="S678" s="184" t="str">
        <f>IF(Table1[[#This Row],[Actual End Date]]="","",TEXT(Table1[[#This Row],[Actual End Date]],"mmm-yy"))</f>
        <v/>
      </c>
      <c r="T6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8" s="185" t="str">
        <f>IFERROR((Table1[[#This Row],[Actual Effort (Hours)]]-Table1[[#This Row],[Estimated Effort (Hours)]])/Table1[[#This Row],[Estimated Effort (Hours)]],"")</f>
        <v/>
      </c>
    </row>
    <row r="679" spans="2:21">
      <c r="B679" s="125"/>
      <c r="C679" s="123"/>
      <c r="D679" s="143"/>
      <c r="E679" s="123"/>
      <c r="F679" s="143"/>
      <c r="G679" s="129"/>
      <c r="H679" s="124"/>
      <c r="I679" s="124"/>
      <c r="J679" s="129"/>
      <c r="K679" s="194"/>
      <c r="L679" s="194"/>
      <c r="M679" s="129"/>
      <c r="N679" s="129" t="e">
        <f>Table1[[#This Row],[Estimated Effort (Hours)]]/NETWORKDAYS(Table1[[#This Row],[Planned Start Date]],Table1[[#This Row],[Planned End Date]])</f>
        <v>#DIV/0!</v>
      </c>
      <c r="O679" s="178">
        <f>NETWORKDAYS(Table1[[#This Row],[Planned Start Date]],Table1[[#This Row],[Planned End Date]])</f>
        <v>0</v>
      </c>
      <c r="P679" s="178">
        <f>NETWORKDAYS(Table1[[#This Row],[Planned Start Date]],$P$7)</f>
        <v>30643</v>
      </c>
      <c r="Q679" s="129"/>
      <c r="R679" s="183" t="str">
        <f>IF(Table1[[#This Row],[Actual Effort (Hours)]]="","",IF(Table1[[#This Row],[Estimated Effort (Hours)]]&lt;20,"L1",IF(Table1[[#This Row],[Estimated Effort (Hours)]]&lt;50,"L2",IF(Table1[[#This Row],[Estimated Effort (Hours)]]&lt;150,"L3",IF(Table1[[#This Row],[Estimated Effort (Hours)]]&lt;300,"L4","L5")))))</f>
        <v/>
      </c>
      <c r="S679" s="184" t="str">
        <f>IF(Table1[[#This Row],[Actual End Date]]="","",TEXT(Table1[[#This Row],[Actual End Date]],"mmm-yy"))</f>
        <v/>
      </c>
      <c r="T6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79" s="185" t="str">
        <f>IFERROR((Table1[[#This Row],[Actual Effort (Hours)]]-Table1[[#This Row],[Estimated Effort (Hours)]])/Table1[[#This Row],[Estimated Effort (Hours)]],"")</f>
        <v/>
      </c>
    </row>
    <row r="680" spans="2:21">
      <c r="B680" s="125"/>
      <c r="C680" s="123"/>
      <c r="D680" s="143"/>
      <c r="E680" s="123"/>
      <c r="F680" s="143"/>
      <c r="G680" s="129"/>
      <c r="H680" s="124"/>
      <c r="I680" s="124"/>
      <c r="J680" s="129"/>
      <c r="K680" s="194"/>
      <c r="L680" s="194"/>
      <c r="M680" s="129"/>
      <c r="N680" s="129" t="e">
        <f>Table1[[#This Row],[Estimated Effort (Hours)]]/NETWORKDAYS(Table1[[#This Row],[Planned Start Date]],Table1[[#This Row],[Planned End Date]])</f>
        <v>#DIV/0!</v>
      </c>
      <c r="O680" s="178">
        <f>NETWORKDAYS(Table1[[#This Row],[Planned Start Date]],Table1[[#This Row],[Planned End Date]])</f>
        <v>0</v>
      </c>
      <c r="P680" s="178">
        <f>NETWORKDAYS(Table1[[#This Row],[Planned Start Date]],$P$7)</f>
        <v>30643</v>
      </c>
      <c r="Q680" s="129"/>
      <c r="R680" s="183" t="str">
        <f>IF(Table1[[#This Row],[Actual Effort (Hours)]]="","",IF(Table1[[#This Row],[Estimated Effort (Hours)]]&lt;20,"L1",IF(Table1[[#This Row],[Estimated Effort (Hours)]]&lt;50,"L2",IF(Table1[[#This Row],[Estimated Effort (Hours)]]&lt;150,"L3",IF(Table1[[#This Row],[Estimated Effort (Hours)]]&lt;300,"L4","L5")))))</f>
        <v/>
      </c>
      <c r="S680" s="184" t="str">
        <f>IF(Table1[[#This Row],[Actual End Date]]="","",TEXT(Table1[[#This Row],[Actual End Date]],"mmm-yy"))</f>
        <v/>
      </c>
      <c r="T6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0" s="185" t="str">
        <f>IFERROR((Table1[[#This Row],[Actual Effort (Hours)]]-Table1[[#This Row],[Estimated Effort (Hours)]])/Table1[[#This Row],[Estimated Effort (Hours)]],"")</f>
        <v/>
      </c>
    </row>
    <row r="681" spans="2:21">
      <c r="B681" s="125"/>
      <c r="C681" s="123"/>
      <c r="D681" s="143"/>
      <c r="E681" s="123"/>
      <c r="F681" s="143"/>
      <c r="G681" s="129"/>
      <c r="H681" s="124"/>
      <c r="I681" s="124"/>
      <c r="J681" s="129"/>
      <c r="K681" s="194"/>
      <c r="L681" s="194"/>
      <c r="M681" s="129"/>
      <c r="N681" s="129" t="e">
        <f>Table1[[#This Row],[Estimated Effort (Hours)]]/NETWORKDAYS(Table1[[#This Row],[Planned Start Date]],Table1[[#This Row],[Planned End Date]])</f>
        <v>#DIV/0!</v>
      </c>
      <c r="O681" s="178">
        <f>NETWORKDAYS(Table1[[#This Row],[Planned Start Date]],Table1[[#This Row],[Planned End Date]])</f>
        <v>0</v>
      </c>
      <c r="P681" s="178">
        <f>NETWORKDAYS(Table1[[#This Row],[Planned Start Date]],$P$7)</f>
        <v>30643</v>
      </c>
      <c r="Q681" s="129"/>
      <c r="R681" s="183" t="str">
        <f>IF(Table1[[#This Row],[Actual Effort (Hours)]]="","",IF(Table1[[#This Row],[Estimated Effort (Hours)]]&lt;20,"L1",IF(Table1[[#This Row],[Estimated Effort (Hours)]]&lt;50,"L2",IF(Table1[[#This Row],[Estimated Effort (Hours)]]&lt;150,"L3",IF(Table1[[#This Row],[Estimated Effort (Hours)]]&lt;300,"L4","L5")))))</f>
        <v/>
      </c>
      <c r="S681" s="184" t="str">
        <f>IF(Table1[[#This Row],[Actual End Date]]="","",TEXT(Table1[[#This Row],[Actual End Date]],"mmm-yy"))</f>
        <v/>
      </c>
      <c r="T6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1" s="185" t="str">
        <f>IFERROR((Table1[[#This Row],[Actual Effort (Hours)]]-Table1[[#This Row],[Estimated Effort (Hours)]])/Table1[[#This Row],[Estimated Effort (Hours)]],"")</f>
        <v/>
      </c>
    </row>
    <row r="682" spans="2:21">
      <c r="B682" s="125"/>
      <c r="C682" s="123"/>
      <c r="D682" s="143"/>
      <c r="E682" s="123"/>
      <c r="F682" s="143"/>
      <c r="G682" s="129"/>
      <c r="H682" s="124"/>
      <c r="I682" s="124"/>
      <c r="J682" s="129"/>
      <c r="K682" s="194"/>
      <c r="L682" s="194"/>
      <c r="M682" s="129"/>
      <c r="N682" s="129" t="e">
        <f>Table1[[#This Row],[Estimated Effort (Hours)]]/NETWORKDAYS(Table1[[#This Row],[Planned Start Date]],Table1[[#This Row],[Planned End Date]])</f>
        <v>#DIV/0!</v>
      </c>
      <c r="O682" s="178">
        <f>NETWORKDAYS(Table1[[#This Row],[Planned Start Date]],Table1[[#This Row],[Planned End Date]])</f>
        <v>0</v>
      </c>
      <c r="P682" s="178">
        <f>NETWORKDAYS(Table1[[#This Row],[Planned Start Date]],$P$7)</f>
        <v>30643</v>
      </c>
      <c r="Q682" s="129"/>
      <c r="R682" s="183" t="str">
        <f>IF(Table1[[#This Row],[Actual Effort (Hours)]]="","",IF(Table1[[#This Row],[Estimated Effort (Hours)]]&lt;20,"L1",IF(Table1[[#This Row],[Estimated Effort (Hours)]]&lt;50,"L2",IF(Table1[[#This Row],[Estimated Effort (Hours)]]&lt;150,"L3",IF(Table1[[#This Row],[Estimated Effort (Hours)]]&lt;300,"L4","L5")))))</f>
        <v/>
      </c>
      <c r="S682" s="184" t="str">
        <f>IF(Table1[[#This Row],[Actual End Date]]="","",TEXT(Table1[[#This Row],[Actual End Date]],"mmm-yy"))</f>
        <v/>
      </c>
      <c r="T6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2" s="185" t="str">
        <f>IFERROR((Table1[[#This Row],[Actual Effort (Hours)]]-Table1[[#This Row],[Estimated Effort (Hours)]])/Table1[[#This Row],[Estimated Effort (Hours)]],"")</f>
        <v/>
      </c>
    </row>
    <row r="683" spans="2:21">
      <c r="B683" s="125"/>
      <c r="C683" s="123"/>
      <c r="D683" s="143"/>
      <c r="E683" s="123"/>
      <c r="F683" s="143"/>
      <c r="G683" s="129"/>
      <c r="H683" s="124"/>
      <c r="I683" s="124"/>
      <c r="J683" s="129"/>
      <c r="K683" s="194"/>
      <c r="L683" s="194"/>
      <c r="M683" s="129"/>
      <c r="N683" s="129" t="e">
        <f>Table1[[#This Row],[Estimated Effort (Hours)]]/NETWORKDAYS(Table1[[#This Row],[Planned Start Date]],Table1[[#This Row],[Planned End Date]])</f>
        <v>#DIV/0!</v>
      </c>
      <c r="O683" s="178">
        <f>NETWORKDAYS(Table1[[#This Row],[Planned Start Date]],Table1[[#This Row],[Planned End Date]])</f>
        <v>0</v>
      </c>
      <c r="P683" s="178">
        <f>NETWORKDAYS(Table1[[#This Row],[Planned Start Date]],$P$7)</f>
        <v>30643</v>
      </c>
      <c r="Q683" s="129"/>
      <c r="R683" s="183" t="str">
        <f>IF(Table1[[#This Row],[Actual Effort (Hours)]]="","",IF(Table1[[#This Row],[Estimated Effort (Hours)]]&lt;20,"L1",IF(Table1[[#This Row],[Estimated Effort (Hours)]]&lt;50,"L2",IF(Table1[[#This Row],[Estimated Effort (Hours)]]&lt;150,"L3",IF(Table1[[#This Row],[Estimated Effort (Hours)]]&lt;300,"L4","L5")))))</f>
        <v/>
      </c>
      <c r="S683" s="184" t="str">
        <f>IF(Table1[[#This Row],[Actual End Date]]="","",TEXT(Table1[[#This Row],[Actual End Date]],"mmm-yy"))</f>
        <v/>
      </c>
      <c r="T6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3" s="185" t="str">
        <f>IFERROR((Table1[[#This Row],[Actual Effort (Hours)]]-Table1[[#This Row],[Estimated Effort (Hours)]])/Table1[[#This Row],[Estimated Effort (Hours)]],"")</f>
        <v/>
      </c>
    </row>
    <row r="684" spans="2:21">
      <c r="B684" s="125"/>
      <c r="C684" s="123"/>
      <c r="D684" s="143"/>
      <c r="E684" s="123"/>
      <c r="F684" s="143"/>
      <c r="G684" s="129"/>
      <c r="H684" s="124"/>
      <c r="I684" s="124"/>
      <c r="J684" s="129"/>
      <c r="K684" s="194"/>
      <c r="L684" s="194"/>
      <c r="M684" s="129"/>
      <c r="N684" s="129" t="e">
        <f>Table1[[#This Row],[Estimated Effort (Hours)]]/NETWORKDAYS(Table1[[#This Row],[Planned Start Date]],Table1[[#This Row],[Planned End Date]])</f>
        <v>#DIV/0!</v>
      </c>
      <c r="O684" s="178">
        <f>NETWORKDAYS(Table1[[#This Row],[Planned Start Date]],Table1[[#This Row],[Planned End Date]])</f>
        <v>0</v>
      </c>
      <c r="P684" s="178">
        <f>NETWORKDAYS(Table1[[#This Row],[Planned Start Date]],$P$7)</f>
        <v>30643</v>
      </c>
      <c r="Q684" s="129"/>
      <c r="R684" s="183" t="str">
        <f>IF(Table1[[#This Row],[Actual Effort (Hours)]]="","",IF(Table1[[#This Row],[Estimated Effort (Hours)]]&lt;20,"L1",IF(Table1[[#This Row],[Estimated Effort (Hours)]]&lt;50,"L2",IF(Table1[[#This Row],[Estimated Effort (Hours)]]&lt;150,"L3",IF(Table1[[#This Row],[Estimated Effort (Hours)]]&lt;300,"L4","L5")))))</f>
        <v/>
      </c>
      <c r="S684" s="184" t="str">
        <f>IF(Table1[[#This Row],[Actual End Date]]="","",TEXT(Table1[[#This Row],[Actual End Date]],"mmm-yy"))</f>
        <v/>
      </c>
      <c r="T6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4" s="185" t="str">
        <f>IFERROR((Table1[[#This Row],[Actual Effort (Hours)]]-Table1[[#This Row],[Estimated Effort (Hours)]])/Table1[[#This Row],[Estimated Effort (Hours)]],"")</f>
        <v/>
      </c>
    </row>
    <row r="685" spans="2:21">
      <c r="B685" s="125"/>
      <c r="C685" s="123"/>
      <c r="D685" s="143"/>
      <c r="E685" s="123"/>
      <c r="F685" s="143"/>
      <c r="G685" s="129"/>
      <c r="H685" s="124"/>
      <c r="I685" s="124"/>
      <c r="J685" s="129"/>
      <c r="K685" s="194"/>
      <c r="L685" s="194"/>
      <c r="M685" s="129"/>
      <c r="N685" s="129" t="e">
        <f>Table1[[#This Row],[Estimated Effort (Hours)]]/NETWORKDAYS(Table1[[#This Row],[Planned Start Date]],Table1[[#This Row],[Planned End Date]])</f>
        <v>#DIV/0!</v>
      </c>
      <c r="O685" s="178">
        <f>NETWORKDAYS(Table1[[#This Row],[Planned Start Date]],Table1[[#This Row],[Planned End Date]])</f>
        <v>0</v>
      </c>
      <c r="P685" s="178">
        <f>NETWORKDAYS(Table1[[#This Row],[Planned Start Date]],$P$7)</f>
        <v>30643</v>
      </c>
      <c r="Q685" s="129"/>
      <c r="R685" s="183" t="str">
        <f>IF(Table1[[#This Row],[Actual Effort (Hours)]]="","",IF(Table1[[#This Row],[Estimated Effort (Hours)]]&lt;20,"L1",IF(Table1[[#This Row],[Estimated Effort (Hours)]]&lt;50,"L2",IF(Table1[[#This Row],[Estimated Effort (Hours)]]&lt;150,"L3",IF(Table1[[#This Row],[Estimated Effort (Hours)]]&lt;300,"L4","L5")))))</f>
        <v/>
      </c>
      <c r="S685" s="184" t="str">
        <f>IF(Table1[[#This Row],[Actual End Date]]="","",TEXT(Table1[[#This Row],[Actual End Date]],"mmm-yy"))</f>
        <v/>
      </c>
      <c r="T6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5" s="185" t="str">
        <f>IFERROR((Table1[[#This Row],[Actual Effort (Hours)]]-Table1[[#This Row],[Estimated Effort (Hours)]])/Table1[[#This Row],[Estimated Effort (Hours)]],"")</f>
        <v/>
      </c>
    </row>
    <row r="686" spans="2:21">
      <c r="B686" s="125"/>
      <c r="C686" s="123"/>
      <c r="D686" s="143"/>
      <c r="E686" s="123"/>
      <c r="F686" s="143"/>
      <c r="G686" s="129"/>
      <c r="H686" s="124"/>
      <c r="I686" s="124"/>
      <c r="J686" s="129"/>
      <c r="K686" s="194"/>
      <c r="L686" s="194"/>
      <c r="M686" s="129"/>
      <c r="N686" s="129" t="e">
        <f>Table1[[#This Row],[Estimated Effort (Hours)]]/NETWORKDAYS(Table1[[#This Row],[Planned Start Date]],Table1[[#This Row],[Planned End Date]])</f>
        <v>#DIV/0!</v>
      </c>
      <c r="O686" s="178">
        <f>NETWORKDAYS(Table1[[#This Row],[Planned Start Date]],Table1[[#This Row],[Planned End Date]])</f>
        <v>0</v>
      </c>
      <c r="P686" s="178">
        <f>NETWORKDAYS(Table1[[#This Row],[Planned Start Date]],$P$7)</f>
        <v>30643</v>
      </c>
      <c r="Q686" s="129"/>
      <c r="R686" s="183" t="str">
        <f>IF(Table1[[#This Row],[Actual Effort (Hours)]]="","",IF(Table1[[#This Row],[Estimated Effort (Hours)]]&lt;20,"L1",IF(Table1[[#This Row],[Estimated Effort (Hours)]]&lt;50,"L2",IF(Table1[[#This Row],[Estimated Effort (Hours)]]&lt;150,"L3",IF(Table1[[#This Row],[Estimated Effort (Hours)]]&lt;300,"L4","L5")))))</f>
        <v/>
      </c>
      <c r="S686" s="184" t="str">
        <f>IF(Table1[[#This Row],[Actual End Date]]="","",TEXT(Table1[[#This Row],[Actual End Date]],"mmm-yy"))</f>
        <v/>
      </c>
      <c r="T6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6" s="185" t="str">
        <f>IFERROR((Table1[[#This Row],[Actual Effort (Hours)]]-Table1[[#This Row],[Estimated Effort (Hours)]])/Table1[[#This Row],[Estimated Effort (Hours)]],"")</f>
        <v/>
      </c>
    </row>
    <row r="687" spans="2:21">
      <c r="B687" s="125"/>
      <c r="C687" s="123"/>
      <c r="D687" s="143"/>
      <c r="E687" s="123"/>
      <c r="F687" s="143"/>
      <c r="G687" s="129"/>
      <c r="H687" s="124"/>
      <c r="I687" s="124"/>
      <c r="J687" s="129"/>
      <c r="K687" s="194"/>
      <c r="L687" s="194"/>
      <c r="M687" s="129"/>
      <c r="N687" s="129" t="e">
        <f>Table1[[#This Row],[Estimated Effort (Hours)]]/NETWORKDAYS(Table1[[#This Row],[Planned Start Date]],Table1[[#This Row],[Planned End Date]])</f>
        <v>#DIV/0!</v>
      </c>
      <c r="O687" s="178">
        <f>NETWORKDAYS(Table1[[#This Row],[Planned Start Date]],Table1[[#This Row],[Planned End Date]])</f>
        <v>0</v>
      </c>
      <c r="P687" s="178">
        <f>NETWORKDAYS(Table1[[#This Row],[Planned Start Date]],$P$7)</f>
        <v>30643</v>
      </c>
      <c r="Q687" s="129"/>
      <c r="R687" s="183" t="str">
        <f>IF(Table1[[#This Row],[Actual Effort (Hours)]]="","",IF(Table1[[#This Row],[Estimated Effort (Hours)]]&lt;20,"L1",IF(Table1[[#This Row],[Estimated Effort (Hours)]]&lt;50,"L2",IF(Table1[[#This Row],[Estimated Effort (Hours)]]&lt;150,"L3",IF(Table1[[#This Row],[Estimated Effort (Hours)]]&lt;300,"L4","L5")))))</f>
        <v/>
      </c>
      <c r="S687" s="184" t="str">
        <f>IF(Table1[[#This Row],[Actual End Date]]="","",TEXT(Table1[[#This Row],[Actual End Date]],"mmm-yy"))</f>
        <v/>
      </c>
      <c r="T6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7" s="185" t="str">
        <f>IFERROR((Table1[[#This Row],[Actual Effort (Hours)]]-Table1[[#This Row],[Estimated Effort (Hours)]])/Table1[[#This Row],[Estimated Effort (Hours)]],"")</f>
        <v/>
      </c>
    </row>
    <row r="688" spans="2:21">
      <c r="B688" s="125"/>
      <c r="C688" s="123"/>
      <c r="D688" s="143"/>
      <c r="E688" s="123"/>
      <c r="F688" s="143"/>
      <c r="G688" s="129"/>
      <c r="H688" s="124"/>
      <c r="I688" s="124"/>
      <c r="J688" s="129"/>
      <c r="K688" s="194"/>
      <c r="L688" s="194"/>
      <c r="M688" s="129"/>
      <c r="N688" s="129" t="e">
        <f>Table1[[#This Row],[Estimated Effort (Hours)]]/NETWORKDAYS(Table1[[#This Row],[Planned Start Date]],Table1[[#This Row],[Planned End Date]])</f>
        <v>#DIV/0!</v>
      </c>
      <c r="O688" s="178">
        <f>NETWORKDAYS(Table1[[#This Row],[Planned Start Date]],Table1[[#This Row],[Planned End Date]])</f>
        <v>0</v>
      </c>
      <c r="P688" s="178">
        <f>NETWORKDAYS(Table1[[#This Row],[Planned Start Date]],$P$7)</f>
        <v>30643</v>
      </c>
      <c r="Q688" s="129"/>
      <c r="R688" s="183" t="str">
        <f>IF(Table1[[#This Row],[Actual Effort (Hours)]]="","",IF(Table1[[#This Row],[Estimated Effort (Hours)]]&lt;20,"L1",IF(Table1[[#This Row],[Estimated Effort (Hours)]]&lt;50,"L2",IF(Table1[[#This Row],[Estimated Effort (Hours)]]&lt;150,"L3",IF(Table1[[#This Row],[Estimated Effort (Hours)]]&lt;300,"L4","L5")))))</f>
        <v/>
      </c>
      <c r="S688" s="184" t="str">
        <f>IF(Table1[[#This Row],[Actual End Date]]="","",TEXT(Table1[[#This Row],[Actual End Date]],"mmm-yy"))</f>
        <v/>
      </c>
      <c r="T6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8" s="185" t="str">
        <f>IFERROR((Table1[[#This Row],[Actual Effort (Hours)]]-Table1[[#This Row],[Estimated Effort (Hours)]])/Table1[[#This Row],[Estimated Effort (Hours)]],"")</f>
        <v/>
      </c>
    </row>
    <row r="689" spans="2:21">
      <c r="B689" s="125"/>
      <c r="C689" s="123"/>
      <c r="D689" s="143"/>
      <c r="E689" s="123"/>
      <c r="F689" s="143"/>
      <c r="G689" s="129"/>
      <c r="H689" s="124"/>
      <c r="I689" s="124"/>
      <c r="J689" s="129"/>
      <c r="K689" s="194"/>
      <c r="L689" s="194"/>
      <c r="M689" s="129"/>
      <c r="N689" s="129" t="e">
        <f>Table1[[#This Row],[Estimated Effort (Hours)]]/NETWORKDAYS(Table1[[#This Row],[Planned Start Date]],Table1[[#This Row],[Planned End Date]])</f>
        <v>#DIV/0!</v>
      </c>
      <c r="O689" s="178">
        <f>NETWORKDAYS(Table1[[#This Row],[Planned Start Date]],Table1[[#This Row],[Planned End Date]])</f>
        <v>0</v>
      </c>
      <c r="P689" s="178">
        <f>NETWORKDAYS(Table1[[#This Row],[Planned Start Date]],$P$7)</f>
        <v>30643</v>
      </c>
      <c r="Q689" s="129"/>
      <c r="R689" s="183" t="str">
        <f>IF(Table1[[#This Row],[Actual Effort (Hours)]]="","",IF(Table1[[#This Row],[Estimated Effort (Hours)]]&lt;20,"L1",IF(Table1[[#This Row],[Estimated Effort (Hours)]]&lt;50,"L2",IF(Table1[[#This Row],[Estimated Effort (Hours)]]&lt;150,"L3",IF(Table1[[#This Row],[Estimated Effort (Hours)]]&lt;300,"L4","L5")))))</f>
        <v/>
      </c>
      <c r="S689" s="184" t="str">
        <f>IF(Table1[[#This Row],[Actual End Date]]="","",TEXT(Table1[[#This Row],[Actual End Date]],"mmm-yy"))</f>
        <v/>
      </c>
      <c r="T6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89" s="185" t="str">
        <f>IFERROR((Table1[[#This Row],[Actual Effort (Hours)]]-Table1[[#This Row],[Estimated Effort (Hours)]])/Table1[[#This Row],[Estimated Effort (Hours)]],"")</f>
        <v/>
      </c>
    </row>
    <row r="690" spans="2:21">
      <c r="B690" s="125"/>
      <c r="C690" s="123"/>
      <c r="D690" s="143"/>
      <c r="E690" s="123"/>
      <c r="F690" s="143"/>
      <c r="G690" s="129"/>
      <c r="H690" s="124"/>
      <c r="I690" s="124"/>
      <c r="J690" s="129"/>
      <c r="K690" s="194"/>
      <c r="L690" s="194"/>
      <c r="M690" s="129"/>
      <c r="N690" s="129" t="e">
        <f>Table1[[#This Row],[Estimated Effort (Hours)]]/NETWORKDAYS(Table1[[#This Row],[Planned Start Date]],Table1[[#This Row],[Planned End Date]])</f>
        <v>#DIV/0!</v>
      </c>
      <c r="O690" s="178">
        <f>NETWORKDAYS(Table1[[#This Row],[Planned Start Date]],Table1[[#This Row],[Planned End Date]])</f>
        <v>0</v>
      </c>
      <c r="P690" s="178">
        <f>NETWORKDAYS(Table1[[#This Row],[Planned Start Date]],$P$7)</f>
        <v>30643</v>
      </c>
      <c r="Q690" s="129"/>
      <c r="R690" s="183" t="str">
        <f>IF(Table1[[#This Row],[Actual Effort (Hours)]]="","",IF(Table1[[#This Row],[Estimated Effort (Hours)]]&lt;20,"L1",IF(Table1[[#This Row],[Estimated Effort (Hours)]]&lt;50,"L2",IF(Table1[[#This Row],[Estimated Effort (Hours)]]&lt;150,"L3",IF(Table1[[#This Row],[Estimated Effort (Hours)]]&lt;300,"L4","L5")))))</f>
        <v/>
      </c>
      <c r="S690" s="184" t="str">
        <f>IF(Table1[[#This Row],[Actual End Date]]="","",TEXT(Table1[[#This Row],[Actual End Date]],"mmm-yy"))</f>
        <v/>
      </c>
      <c r="T6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0" s="185" t="str">
        <f>IFERROR((Table1[[#This Row],[Actual Effort (Hours)]]-Table1[[#This Row],[Estimated Effort (Hours)]])/Table1[[#This Row],[Estimated Effort (Hours)]],"")</f>
        <v/>
      </c>
    </row>
    <row r="691" spans="2:21">
      <c r="B691" s="125"/>
      <c r="C691" s="123"/>
      <c r="D691" s="143"/>
      <c r="E691" s="123"/>
      <c r="F691" s="143"/>
      <c r="G691" s="129"/>
      <c r="H691" s="124"/>
      <c r="I691" s="124"/>
      <c r="J691" s="129"/>
      <c r="K691" s="194"/>
      <c r="L691" s="194"/>
      <c r="M691" s="129"/>
      <c r="N691" s="129" t="e">
        <f>Table1[[#This Row],[Estimated Effort (Hours)]]/NETWORKDAYS(Table1[[#This Row],[Planned Start Date]],Table1[[#This Row],[Planned End Date]])</f>
        <v>#DIV/0!</v>
      </c>
      <c r="O691" s="178">
        <f>NETWORKDAYS(Table1[[#This Row],[Planned Start Date]],Table1[[#This Row],[Planned End Date]])</f>
        <v>0</v>
      </c>
      <c r="P691" s="178">
        <f>NETWORKDAYS(Table1[[#This Row],[Planned Start Date]],$P$7)</f>
        <v>30643</v>
      </c>
      <c r="Q691" s="129"/>
      <c r="R691" s="183" t="str">
        <f>IF(Table1[[#This Row],[Actual Effort (Hours)]]="","",IF(Table1[[#This Row],[Estimated Effort (Hours)]]&lt;20,"L1",IF(Table1[[#This Row],[Estimated Effort (Hours)]]&lt;50,"L2",IF(Table1[[#This Row],[Estimated Effort (Hours)]]&lt;150,"L3",IF(Table1[[#This Row],[Estimated Effort (Hours)]]&lt;300,"L4","L5")))))</f>
        <v/>
      </c>
      <c r="S691" s="184" t="str">
        <f>IF(Table1[[#This Row],[Actual End Date]]="","",TEXT(Table1[[#This Row],[Actual End Date]],"mmm-yy"))</f>
        <v/>
      </c>
      <c r="T6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1" s="185" t="str">
        <f>IFERROR((Table1[[#This Row],[Actual Effort (Hours)]]-Table1[[#This Row],[Estimated Effort (Hours)]])/Table1[[#This Row],[Estimated Effort (Hours)]],"")</f>
        <v/>
      </c>
    </row>
    <row r="692" spans="2:21">
      <c r="B692" s="125"/>
      <c r="C692" s="123"/>
      <c r="D692" s="143"/>
      <c r="E692" s="123"/>
      <c r="F692" s="143"/>
      <c r="G692" s="129"/>
      <c r="H692" s="124"/>
      <c r="I692" s="124"/>
      <c r="J692" s="129"/>
      <c r="K692" s="194"/>
      <c r="L692" s="194"/>
      <c r="M692" s="129"/>
      <c r="N692" s="129" t="e">
        <f>Table1[[#This Row],[Estimated Effort (Hours)]]/NETWORKDAYS(Table1[[#This Row],[Planned Start Date]],Table1[[#This Row],[Planned End Date]])</f>
        <v>#DIV/0!</v>
      </c>
      <c r="O692" s="178">
        <f>NETWORKDAYS(Table1[[#This Row],[Planned Start Date]],Table1[[#This Row],[Planned End Date]])</f>
        <v>0</v>
      </c>
      <c r="P692" s="178">
        <f>NETWORKDAYS(Table1[[#This Row],[Planned Start Date]],$P$7)</f>
        <v>30643</v>
      </c>
      <c r="Q692" s="129"/>
      <c r="R692" s="183" t="str">
        <f>IF(Table1[[#This Row],[Actual Effort (Hours)]]="","",IF(Table1[[#This Row],[Estimated Effort (Hours)]]&lt;20,"L1",IF(Table1[[#This Row],[Estimated Effort (Hours)]]&lt;50,"L2",IF(Table1[[#This Row],[Estimated Effort (Hours)]]&lt;150,"L3",IF(Table1[[#This Row],[Estimated Effort (Hours)]]&lt;300,"L4","L5")))))</f>
        <v/>
      </c>
      <c r="S692" s="184" t="str">
        <f>IF(Table1[[#This Row],[Actual End Date]]="","",TEXT(Table1[[#This Row],[Actual End Date]],"mmm-yy"))</f>
        <v/>
      </c>
      <c r="T6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2" s="185" t="str">
        <f>IFERROR((Table1[[#This Row],[Actual Effort (Hours)]]-Table1[[#This Row],[Estimated Effort (Hours)]])/Table1[[#This Row],[Estimated Effort (Hours)]],"")</f>
        <v/>
      </c>
    </row>
    <row r="693" spans="2:21">
      <c r="B693" s="125"/>
      <c r="C693" s="123"/>
      <c r="D693" s="143"/>
      <c r="E693" s="123"/>
      <c r="F693" s="143"/>
      <c r="G693" s="129"/>
      <c r="H693" s="124"/>
      <c r="I693" s="124"/>
      <c r="J693" s="129"/>
      <c r="K693" s="194"/>
      <c r="L693" s="194"/>
      <c r="M693" s="129"/>
      <c r="N693" s="129" t="e">
        <f>Table1[[#This Row],[Estimated Effort (Hours)]]/NETWORKDAYS(Table1[[#This Row],[Planned Start Date]],Table1[[#This Row],[Planned End Date]])</f>
        <v>#DIV/0!</v>
      </c>
      <c r="O693" s="178">
        <f>NETWORKDAYS(Table1[[#This Row],[Planned Start Date]],Table1[[#This Row],[Planned End Date]])</f>
        <v>0</v>
      </c>
      <c r="P693" s="178">
        <f>NETWORKDAYS(Table1[[#This Row],[Planned Start Date]],$P$7)</f>
        <v>30643</v>
      </c>
      <c r="Q693" s="129"/>
      <c r="R693" s="183" t="str">
        <f>IF(Table1[[#This Row],[Actual Effort (Hours)]]="","",IF(Table1[[#This Row],[Estimated Effort (Hours)]]&lt;20,"L1",IF(Table1[[#This Row],[Estimated Effort (Hours)]]&lt;50,"L2",IF(Table1[[#This Row],[Estimated Effort (Hours)]]&lt;150,"L3",IF(Table1[[#This Row],[Estimated Effort (Hours)]]&lt;300,"L4","L5")))))</f>
        <v/>
      </c>
      <c r="S693" s="184" t="str">
        <f>IF(Table1[[#This Row],[Actual End Date]]="","",TEXT(Table1[[#This Row],[Actual End Date]],"mmm-yy"))</f>
        <v/>
      </c>
      <c r="T6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3" s="185" t="str">
        <f>IFERROR((Table1[[#This Row],[Actual Effort (Hours)]]-Table1[[#This Row],[Estimated Effort (Hours)]])/Table1[[#This Row],[Estimated Effort (Hours)]],"")</f>
        <v/>
      </c>
    </row>
    <row r="694" spans="2:21">
      <c r="B694" s="125"/>
      <c r="C694" s="123"/>
      <c r="D694" s="143"/>
      <c r="E694" s="123"/>
      <c r="F694" s="143"/>
      <c r="G694" s="129"/>
      <c r="H694" s="124"/>
      <c r="I694" s="124"/>
      <c r="J694" s="129"/>
      <c r="K694" s="194"/>
      <c r="L694" s="194"/>
      <c r="M694" s="129"/>
      <c r="N694" s="129" t="e">
        <f>Table1[[#This Row],[Estimated Effort (Hours)]]/NETWORKDAYS(Table1[[#This Row],[Planned Start Date]],Table1[[#This Row],[Planned End Date]])</f>
        <v>#DIV/0!</v>
      </c>
      <c r="O694" s="178">
        <f>NETWORKDAYS(Table1[[#This Row],[Planned Start Date]],Table1[[#This Row],[Planned End Date]])</f>
        <v>0</v>
      </c>
      <c r="P694" s="178">
        <f>NETWORKDAYS(Table1[[#This Row],[Planned Start Date]],$P$7)</f>
        <v>30643</v>
      </c>
      <c r="Q694" s="129"/>
      <c r="R694" s="183" t="str">
        <f>IF(Table1[[#This Row],[Actual Effort (Hours)]]="","",IF(Table1[[#This Row],[Estimated Effort (Hours)]]&lt;20,"L1",IF(Table1[[#This Row],[Estimated Effort (Hours)]]&lt;50,"L2",IF(Table1[[#This Row],[Estimated Effort (Hours)]]&lt;150,"L3",IF(Table1[[#This Row],[Estimated Effort (Hours)]]&lt;300,"L4","L5")))))</f>
        <v/>
      </c>
      <c r="S694" s="184" t="str">
        <f>IF(Table1[[#This Row],[Actual End Date]]="","",TEXT(Table1[[#This Row],[Actual End Date]],"mmm-yy"))</f>
        <v/>
      </c>
      <c r="T6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4" s="185" t="str">
        <f>IFERROR((Table1[[#This Row],[Actual Effort (Hours)]]-Table1[[#This Row],[Estimated Effort (Hours)]])/Table1[[#This Row],[Estimated Effort (Hours)]],"")</f>
        <v/>
      </c>
    </row>
    <row r="695" spans="2:21">
      <c r="B695" s="125"/>
      <c r="C695" s="123"/>
      <c r="D695" s="143"/>
      <c r="E695" s="123"/>
      <c r="F695" s="143"/>
      <c r="G695" s="129"/>
      <c r="H695" s="124"/>
      <c r="I695" s="124"/>
      <c r="J695" s="129"/>
      <c r="K695" s="194"/>
      <c r="L695" s="194"/>
      <c r="M695" s="129"/>
      <c r="N695" s="129" t="e">
        <f>Table1[[#This Row],[Estimated Effort (Hours)]]/NETWORKDAYS(Table1[[#This Row],[Planned Start Date]],Table1[[#This Row],[Planned End Date]])</f>
        <v>#DIV/0!</v>
      </c>
      <c r="O695" s="178">
        <f>NETWORKDAYS(Table1[[#This Row],[Planned Start Date]],Table1[[#This Row],[Planned End Date]])</f>
        <v>0</v>
      </c>
      <c r="P695" s="178">
        <f>NETWORKDAYS(Table1[[#This Row],[Planned Start Date]],$P$7)</f>
        <v>30643</v>
      </c>
      <c r="Q695" s="129"/>
      <c r="R695" s="183" t="str">
        <f>IF(Table1[[#This Row],[Actual Effort (Hours)]]="","",IF(Table1[[#This Row],[Estimated Effort (Hours)]]&lt;20,"L1",IF(Table1[[#This Row],[Estimated Effort (Hours)]]&lt;50,"L2",IF(Table1[[#This Row],[Estimated Effort (Hours)]]&lt;150,"L3",IF(Table1[[#This Row],[Estimated Effort (Hours)]]&lt;300,"L4","L5")))))</f>
        <v/>
      </c>
      <c r="S695" s="184" t="str">
        <f>IF(Table1[[#This Row],[Actual End Date]]="","",TEXT(Table1[[#This Row],[Actual End Date]],"mmm-yy"))</f>
        <v/>
      </c>
      <c r="T6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5" s="185" t="str">
        <f>IFERROR((Table1[[#This Row],[Actual Effort (Hours)]]-Table1[[#This Row],[Estimated Effort (Hours)]])/Table1[[#This Row],[Estimated Effort (Hours)]],"")</f>
        <v/>
      </c>
    </row>
    <row r="696" spans="2:21">
      <c r="B696" s="125"/>
      <c r="C696" s="123"/>
      <c r="D696" s="143"/>
      <c r="E696" s="123"/>
      <c r="F696" s="143"/>
      <c r="G696" s="129"/>
      <c r="H696" s="124"/>
      <c r="I696" s="124"/>
      <c r="J696" s="129"/>
      <c r="K696" s="194"/>
      <c r="L696" s="194"/>
      <c r="M696" s="129"/>
      <c r="N696" s="129" t="e">
        <f>Table1[[#This Row],[Estimated Effort (Hours)]]/NETWORKDAYS(Table1[[#This Row],[Planned Start Date]],Table1[[#This Row],[Planned End Date]])</f>
        <v>#DIV/0!</v>
      </c>
      <c r="O696" s="178">
        <f>NETWORKDAYS(Table1[[#This Row],[Planned Start Date]],Table1[[#This Row],[Planned End Date]])</f>
        <v>0</v>
      </c>
      <c r="P696" s="178">
        <f>NETWORKDAYS(Table1[[#This Row],[Planned Start Date]],$P$7)</f>
        <v>30643</v>
      </c>
      <c r="Q696" s="129"/>
      <c r="R696" s="183" t="str">
        <f>IF(Table1[[#This Row],[Actual Effort (Hours)]]="","",IF(Table1[[#This Row],[Estimated Effort (Hours)]]&lt;20,"L1",IF(Table1[[#This Row],[Estimated Effort (Hours)]]&lt;50,"L2",IF(Table1[[#This Row],[Estimated Effort (Hours)]]&lt;150,"L3",IF(Table1[[#This Row],[Estimated Effort (Hours)]]&lt;300,"L4","L5")))))</f>
        <v/>
      </c>
      <c r="S696" s="184" t="str">
        <f>IF(Table1[[#This Row],[Actual End Date]]="","",TEXT(Table1[[#This Row],[Actual End Date]],"mmm-yy"))</f>
        <v/>
      </c>
      <c r="T6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6" s="185" t="str">
        <f>IFERROR((Table1[[#This Row],[Actual Effort (Hours)]]-Table1[[#This Row],[Estimated Effort (Hours)]])/Table1[[#This Row],[Estimated Effort (Hours)]],"")</f>
        <v/>
      </c>
    </row>
    <row r="697" spans="2:21">
      <c r="B697" s="125"/>
      <c r="C697" s="123"/>
      <c r="D697" s="143"/>
      <c r="E697" s="123"/>
      <c r="F697" s="143"/>
      <c r="G697" s="129"/>
      <c r="H697" s="124"/>
      <c r="I697" s="124"/>
      <c r="J697" s="129"/>
      <c r="K697" s="194"/>
      <c r="L697" s="194"/>
      <c r="M697" s="129"/>
      <c r="N697" s="129" t="e">
        <f>Table1[[#This Row],[Estimated Effort (Hours)]]/NETWORKDAYS(Table1[[#This Row],[Planned Start Date]],Table1[[#This Row],[Planned End Date]])</f>
        <v>#DIV/0!</v>
      </c>
      <c r="O697" s="178">
        <f>NETWORKDAYS(Table1[[#This Row],[Planned Start Date]],Table1[[#This Row],[Planned End Date]])</f>
        <v>0</v>
      </c>
      <c r="P697" s="178">
        <f>NETWORKDAYS(Table1[[#This Row],[Planned Start Date]],$P$7)</f>
        <v>30643</v>
      </c>
      <c r="Q697" s="129"/>
      <c r="R697" s="183" t="str">
        <f>IF(Table1[[#This Row],[Actual Effort (Hours)]]="","",IF(Table1[[#This Row],[Estimated Effort (Hours)]]&lt;20,"L1",IF(Table1[[#This Row],[Estimated Effort (Hours)]]&lt;50,"L2",IF(Table1[[#This Row],[Estimated Effort (Hours)]]&lt;150,"L3",IF(Table1[[#This Row],[Estimated Effort (Hours)]]&lt;300,"L4","L5")))))</f>
        <v/>
      </c>
      <c r="S697" s="184" t="str">
        <f>IF(Table1[[#This Row],[Actual End Date]]="","",TEXT(Table1[[#This Row],[Actual End Date]],"mmm-yy"))</f>
        <v/>
      </c>
      <c r="T6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7" s="185" t="str">
        <f>IFERROR((Table1[[#This Row],[Actual Effort (Hours)]]-Table1[[#This Row],[Estimated Effort (Hours)]])/Table1[[#This Row],[Estimated Effort (Hours)]],"")</f>
        <v/>
      </c>
    </row>
    <row r="698" spans="2:21">
      <c r="B698" s="125"/>
      <c r="C698" s="123"/>
      <c r="D698" s="143"/>
      <c r="E698" s="123"/>
      <c r="F698" s="143"/>
      <c r="G698" s="129"/>
      <c r="H698" s="124"/>
      <c r="I698" s="124"/>
      <c r="J698" s="129"/>
      <c r="K698" s="194"/>
      <c r="L698" s="194"/>
      <c r="M698" s="129"/>
      <c r="N698" s="129" t="e">
        <f>Table1[[#This Row],[Estimated Effort (Hours)]]/NETWORKDAYS(Table1[[#This Row],[Planned Start Date]],Table1[[#This Row],[Planned End Date]])</f>
        <v>#DIV/0!</v>
      </c>
      <c r="O698" s="178">
        <f>NETWORKDAYS(Table1[[#This Row],[Planned Start Date]],Table1[[#This Row],[Planned End Date]])</f>
        <v>0</v>
      </c>
      <c r="P698" s="178">
        <f>NETWORKDAYS(Table1[[#This Row],[Planned Start Date]],$P$7)</f>
        <v>30643</v>
      </c>
      <c r="Q698" s="129"/>
      <c r="R698" s="183" t="str">
        <f>IF(Table1[[#This Row],[Actual Effort (Hours)]]="","",IF(Table1[[#This Row],[Estimated Effort (Hours)]]&lt;20,"L1",IF(Table1[[#This Row],[Estimated Effort (Hours)]]&lt;50,"L2",IF(Table1[[#This Row],[Estimated Effort (Hours)]]&lt;150,"L3",IF(Table1[[#This Row],[Estimated Effort (Hours)]]&lt;300,"L4","L5")))))</f>
        <v/>
      </c>
      <c r="S698" s="184" t="str">
        <f>IF(Table1[[#This Row],[Actual End Date]]="","",TEXT(Table1[[#This Row],[Actual End Date]],"mmm-yy"))</f>
        <v/>
      </c>
      <c r="T6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8" s="185" t="str">
        <f>IFERROR((Table1[[#This Row],[Actual Effort (Hours)]]-Table1[[#This Row],[Estimated Effort (Hours)]])/Table1[[#This Row],[Estimated Effort (Hours)]],"")</f>
        <v/>
      </c>
    </row>
    <row r="699" spans="2:21">
      <c r="B699" s="125"/>
      <c r="C699" s="123"/>
      <c r="D699" s="143"/>
      <c r="E699" s="123"/>
      <c r="F699" s="143"/>
      <c r="G699" s="129"/>
      <c r="H699" s="124"/>
      <c r="I699" s="124"/>
      <c r="J699" s="129"/>
      <c r="K699" s="194"/>
      <c r="L699" s="194"/>
      <c r="M699" s="129"/>
      <c r="N699" s="129" t="e">
        <f>Table1[[#This Row],[Estimated Effort (Hours)]]/NETWORKDAYS(Table1[[#This Row],[Planned Start Date]],Table1[[#This Row],[Planned End Date]])</f>
        <v>#DIV/0!</v>
      </c>
      <c r="O699" s="178">
        <f>NETWORKDAYS(Table1[[#This Row],[Planned Start Date]],Table1[[#This Row],[Planned End Date]])</f>
        <v>0</v>
      </c>
      <c r="P699" s="178">
        <f>NETWORKDAYS(Table1[[#This Row],[Planned Start Date]],$P$7)</f>
        <v>30643</v>
      </c>
      <c r="Q699" s="129"/>
      <c r="R699" s="183" t="str">
        <f>IF(Table1[[#This Row],[Actual Effort (Hours)]]="","",IF(Table1[[#This Row],[Estimated Effort (Hours)]]&lt;20,"L1",IF(Table1[[#This Row],[Estimated Effort (Hours)]]&lt;50,"L2",IF(Table1[[#This Row],[Estimated Effort (Hours)]]&lt;150,"L3",IF(Table1[[#This Row],[Estimated Effort (Hours)]]&lt;300,"L4","L5")))))</f>
        <v/>
      </c>
      <c r="S699" s="184" t="str">
        <f>IF(Table1[[#This Row],[Actual End Date]]="","",TEXT(Table1[[#This Row],[Actual End Date]],"mmm-yy"))</f>
        <v/>
      </c>
      <c r="T6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699" s="185" t="str">
        <f>IFERROR((Table1[[#This Row],[Actual Effort (Hours)]]-Table1[[#This Row],[Estimated Effort (Hours)]])/Table1[[#This Row],[Estimated Effort (Hours)]],"")</f>
        <v/>
      </c>
    </row>
    <row r="700" spans="2:21">
      <c r="B700" s="125"/>
      <c r="C700" s="123"/>
      <c r="D700" s="143"/>
      <c r="E700" s="123"/>
      <c r="F700" s="143"/>
      <c r="G700" s="129"/>
      <c r="H700" s="124"/>
      <c r="I700" s="124"/>
      <c r="J700" s="129"/>
      <c r="K700" s="194"/>
      <c r="L700" s="194"/>
      <c r="M700" s="129"/>
      <c r="N700" s="129" t="e">
        <f>Table1[[#This Row],[Estimated Effort (Hours)]]/NETWORKDAYS(Table1[[#This Row],[Planned Start Date]],Table1[[#This Row],[Planned End Date]])</f>
        <v>#DIV/0!</v>
      </c>
      <c r="O700" s="178">
        <f>NETWORKDAYS(Table1[[#This Row],[Planned Start Date]],Table1[[#This Row],[Planned End Date]])</f>
        <v>0</v>
      </c>
      <c r="P700" s="178">
        <f>NETWORKDAYS(Table1[[#This Row],[Planned Start Date]],$P$7)</f>
        <v>30643</v>
      </c>
      <c r="Q700" s="129"/>
      <c r="R700" s="183" t="str">
        <f>IF(Table1[[#This Row],[Actual Effort (Hours)]]="","",IF(Table1[[#This Row],[Estimated Effort (Hours)]]&lt;20,"L1",IF(Table1[[#This Row],[Estimated Effort (Hours)]]&lt;50,"L2",IF(Table1[[#This Row],[Estimated Effort (Hours)]]&lt;150,"L3",IF(Table1[[#This Row],[Estimated Effort (Hours)]]&lt;300,"L4","L5")))))</f>
        <v/>
      </c>
      <c r="S700" s="184" t="str">
        <f>IF(Table1[[#This Row],[Actual End Date]]="","",TEXT(Table1[[#This Row],[Actual End Date]],"mmm-yy"))</f>
        <v/>
      </c>
      <c r="T7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0" s="185" t="str">
        <f>IFERROR((Table1[[#This Row],[Actual Effort (Hours)]]-Table1[[#This Row],[Estimated Effort (Hours)]])/Table1[[#This Row],[Estimated Effort (Hours)]],"")</f>
        <v/>
      </c>
    </row>
    <row r="701" spans="2:21">
      <c r="B701" s="125"/>
      <c r="C701" s="123"/>
      <c r="D701" s="143"/>
      <c r="E701" s="123"/>
      <c r="F701" s="143"/>
      <c r="G701" s="129"/>
      <c r="H701" s="124"/>
      <c r="I701" s="124"/>
      <c r="J701" s="129"/>
      <c r="K701" s="194"/>
      <c r="L701" s="194"/>
      <c r="M701" s="129"/>
      <c r="N701" s="129" t="e">
        <f>Table1[[#This Row],[Estimated Effort (Hours)]]/NETWORKDAYS(Table1[[#This Row],[Planned Start Date]],Table1[[#This Row],[Planned End Date]])</f>
        <v>#DIV/0!</v>
      </c>
      <c r="O701" s="178">
        <f>NETWORKDAYS(Table1[[#This Row],[Planned Start Date]],Table1[[#This Row],[Planned End Date]])</f>
        <v>0</v>
      </c>
      <c r="P701" s="178">
        <f>NETWORKDAYS(Table1[[#This Row],[Planned Start Date]],$P$7)</f>
        <v>30643</v>
      </c>
      <c r="Q701" s="129"/>
      <c r="R701" s="183" t="str">
        <f>IF(Table1[[#This Row],[Actual Effort (Hours)]]="","",IF(Table1[[#This Row],[Estimated Effort (Hours)]]&lt;20,"L1",IF(Table1[[#This Row],[Estimated Effort (Hours)]]&lt;50,"L2",IF(Table1[[#This Row],[Estimated Effort (Hours)]]&lt;150,"L3",IF(Table1[[#This Row],[Estimated Effort (Hours)]]&lt;300,"L4","L5")))))</f>
        <v/>
      </c>
      <c r="S701" s="184" t="str">
        <f>IF(Table1[[#This Row],[Actual End Date]]="","",TEXT(Table1[[#This Row],[Actual End Date]],"mmm-yy"))</f>
        <v/>
      </c>
      <c r="T7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1" s="185" t="str">
        <f>IFERROR((Table1[[#This Row],[Actual Effort (Hours)]]-Table1[[#This Row],[Estimated Effort (Hours)]])/Table1[[#This Row],[Estimated Effort (Hours)]],"")</f>
        <v/>
      </c>
    </row>
    <row r="702" spans="2:21">
      <c r="B702" s="125"/>
      <c r="C702" s="123"/>
      <c r="D702" s="143"/>
      <c r="E702" s="123"/>
      <c r="F702" s="143"/>
      <c r="G702" s="129"/>
      <c r="H702" s="124"/>
      <c r="I702" s="124"/>
      <c r="J702" s="129"/>
      <c r="K702" s="194"/>
      <c r="L702" s="194"/>
      <c r="M702" s="129"/>
      <c r="N702" s="129" t="e">
        <f>Table1[[#This Row],[Estimated Effort (Hours)]]/NETWORKDAYS(Table1[[#This Row],[Planned Start Date]],Table1[[#This Row],[Planned End Date]])</f>
        <v>#DIV/0!</v>
      </c>
      <c r="O702" s="178">
        <f>NETWORKDAYS(Table1[[#This Row],[Planned Start Date]],Table1[[#This Row],[Planned End Date]])</f>
        <v>0</v>
      </c>
      <c r="P702" s="178">
        <f>NETWORKDAYS(Table1[[#This Row],[Planned Start Date]],$P$7)</f>
        <v>30643</v>
      </c>
      <c r="Q702" s="129"/>
      <c r="R702" s="183" t="str">
        <f>IF(Table1[[#This Row],[Actual Effort (Hours)]]="","",IF(Table1[[#This Row],[Estimated Effort (Hours)]]&lt;20,"L1",IF(Table1[[#This Row],[Estimated Effort (Hours)]]&lt;50,"L2",IF(Table1[[#This Row],[Estimated Effort (Hours)]]&lt;150,"L3",IF(Table1[[#This Row],[Estimated Effort (Hours)]]&lt;300,"L4","L5")))))</f>
        <v/>
      </c>
      <c r="S702" s="184" t="str">
        <f>IF(Table1[[#This Row],[Actual End Date]]="","",TEXT(Table1[[#This Row],[Actual End Date]],"mmm-yy"))</f>
        <v/>
      </c>
      <c r="T7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2" s="185" t="str">
        <f>IFERROR((Table1[[#This Row],[Actual Effort (Hours)]]-Table1[[#This Row],[Estimated Effort (Hours)]])/Table1[[#This Row],[Estimated Effort (Hours)]],"")</f>
        <v/>
      </c>
    </row>
    <row r="703" spans="2:21">
      <c r="B703" s="125"/>
      <c r="C703" s="123"/>
      <c r="D703" s="143"/>
      <c r="E703" s="123"/>
      <c r="F703" s="143"/>
      <c r="G703" s="129"/>
      <c r="H703" s="124"/>
      <c r="I703" s="124"/>
      <c r="J703" s="129"/>
      <c r="K703" s="194"/>
      <c r="L703" s="194"/>
      <c r="M703" s="129"/>
      <c r="N703" s="129" t="e">
        <f>Table1[[#This Row],[Estimated Effort (Hours)]]/NETWORKDAYS(Table1[[#This Row],[Planned Start Date]],Table1[[#This Row],[Planned End Date]])</f>
        <v>#DIV/0!</v>
      </c>
      <c r="O703" s="178">
        <f>NETWORKDAYS(Table1[[#This Row],[Planned Start Date]],Table1[[#This Row],[Planned End Date]])</f>
        <v>0</v>
      </c>
      <c r="P703" s="178">
        <f>NETWORKDAYS(Table1[[#This Row],[Planned Start Date]],$P$7)</f>
        <v>30643</v>
      </c>
      <c r="Q703" s="129"/>
      <c r="R703" s="183" t="str">
        <f>IF(Table1[[#This Row],[Actual Effort (Hours)]]="","",IF(Table1[[#This Row],[Estimated Effort (Hours)]]&lt;20,"L1",IF(Table1[[#This Row],[Estimated Effort (Hours)]]&lt;50,"L2",IF(Table1[[#This Row],[Estimated Effort (Hours)]]&lt;150,"L3",IF(Table1[[#This Row],[Estimated Effort (Hours)]]&lt;300,"L4","L5")))))</f>
        <v/>
      </c>
      <c r="S703" s="184" t="str">
        <f>IF(Table1[[#This Row],[Actual End Date]]="","",TEXT(Table1[[#This Row],[Actual End Date]],"mmm-yy"))</f>
        <v/>
      </c>
      <c r="T7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3" s="185" t="str">
        <f>IFERROR((Table1[[#This Row],[Actual Effort (Hours)]]-Table1[[#This Row],[Estimated Effort (Hours)]])/Table1[[#This Row],[Estimated Effort (Hours)]],"")</f>
        <v/>
      </c>
    </row>
    <row r="704" spans="2:21">
      <c r="B704" s="125"/>
      <c r="C704" s="123"/>
      <c r="D704" s="143"/>
      <c r="E704" s="123"/>
      <c r="F704" s="143"/>
      <c r="G704" s="129"/>
      <c r="H704" s="124"/>
      <c r="I704" s="124"/>
      <c r="J704" s="129"/>
      <c r="K704" s="194"/>
      <c r="L704" s="194"/>
      <c r="M704" s="129"/>
      <c r="N704" s="129" t="e">
        <f>Table1[[#This Row],[Estimated Effort (Hours)]]/NETWORKDAYS(Table1[[#This Row],[Planned Start Date]],Table1[[#This Row],[Planned End Date]])</f>
        <v>#DIV/0!</v>
      </c>
      <c r="O704" s="178">
        <f>NETWORKDAYS(Table1[[#This Row],[Planned Start Date]],Table1[[#This Row],[Planned End Date]])</f>
        <v>0</v>
      </c>
      <c r="P704" s="178">
        <f>NETWORKDAYS(Table1[[#This Row],[Planned Start Date]],$P$7)</f>
        <v>30643</v>
      </c>
      <c r="Q704" s="129"/>
      <c r="R704" s="183" t="str">
        <f>IF(Table1[[#This Row],[Actual Effort (Hours)]]="","",IF(Table1[[#This Row],[Estimated Effort (Hours)]]&lt;20,"L1",IF(Table1[[#This Row],[Estimated Effort (Hours)]]&lt;50,"L2",IF(Table1[[#This Row],[Estimated Effort (Hours)]]&lt;150,"L3",IF(Table1[[#This Row],[Estimated Effort (Hours)]]&lt;300,"L4","L5")))))</f>
        <v/>
      </c>
      <c r="S704" s="184" t="str">
        <f>IF(Table1[[#This Row],[Actual End Date]]="","",TEXT(Table1[[#This Row],[Actual End Date]],"mmm-yy"))</f>
        <v/>
      </c>
      <c r="T7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4" s="185" t="str">
        <f>IFERROR((Table1[[#This Row],[Actual Effort (Hours)]]-Table1[[#This Row],[Estimated Effort (Hours)]])/Table1[[#This Row],[Estimated Effort (Hours)]],"")</f>
        <v/>
      </c>
    </row>
    <row r="705" spans="2:21">
      <c r="B705" s="125"/>
      <c r="C705" s="123"/>
      <c r="D705" s="143"/>
      <c r="E705" s="123"/>
      <c r="F705" s="143"/>
      <c r="G705" s="129"/>
      <c r="H705" s="124"/>
      <c r="I705" s="124"/>
      <c r="J705" s="129"/>
      <c r="K705" s="194"/>
      <c r="L705" s="194"/>
      <c r="M705" s="129"/>
      <c r="N705" s="129" t="e">
        <f>Table1[[#This Row],[Estimated Effort (Hours)]]/NETWORKDAYS(Table1[[#This Row],[Planned Start Date]],Table1[[#This Row],[Planned End Date]])</f>
        <v>#DIV/0!</v>
      </c>
      <c r="O705" s="178">
        <f>NETWORKDAYS(Table1[[#This Row],[Planned Start Date]],Table1[[#This Row],[Planned End Date]])</f>
        <v>0</v>
      </c>
      <c r="P705" s="178">
        <f>NETWORKDAYS(Table1[[#This Row],[Planned Start Date]],$P$7)</f>
        <v>30643</v>
      </c>
      <c r="Q705" s="129"/>
      <c r="R705" s="183" t="str">
        <f>IF(Table1[[#This Row],[Actual Effort (Hours)]]="","",IF(Table1[[#This Row],[Estimated Effort (Hours)]]&lt;20,"L1",IF(Table1[[#This Row],[Estimated Effort (Hours)]]&lt;50,"L2",IF(Table1[[#This Row],[Estimated Effort (Hours)]]&lt;150,"L3",IF(Table1[[#This Row],[Estimated Effort (Hours)]]&lt;300,"L4","L5")))))</f>
        <v/>
      </c>
      <c r="S705" s="184" t="str">
        <f>IF(Table1[[#This Row],[Actual End Date]]="","",TEXT(Table1[[#This Row],[Actual End Date]],"mmm-yy"))</f>
        <v/>
      </c>
      <c r="T7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5" s="185" t="str">
        <f>IFERROR((Table1[[#This Row],[Actual Effort (Hours)]]-Table1[[#This Row],[Estimated Effort (Hours)]])/Table1[[#This Row],[Estimated Effort (Hours)]],"")</f>
        <v/>
      </c>
    </row>
    <row r="706" spans="2:21">
      <c r="B706" s="125"/>
      <c r="C706" s="123"/>
      <c r="D706" s="143"/>
      <c r="E706" s="123"/>
      <c r="F706" s="143"/>
      <c r="G706" s="129"/>
      <c r="H706" s="124"/>
      <c r="I706" s="124"/>
      <c r="J706" s="129"/>
      <c r="K706" s="194"/>
      <c r="L706" s="194"/>
      <c r="M706" s="129"/>
      <c r="N706" s="129" t="e">
        <f>Table1[[#This Row],[Estimated Effort (Hours)]]/NETWORKDAYS(Table1[[#This Row],[Planned Start Date]],Table1[[#This Row],[Planned End Date]])</f>
        <v>#DIV/0!</v>
      </c>
      <c r="O706" s="178">
        <f>NETWORKDAYS(Table1[[#This Row],[Planned Start Date]],Table1[[#This Row],[Planned End Date]])</f>
        <v>0</v>
      </c>
      <c r="P706" s="178">
        <f>NETWORKDAYS(Table1[[#This Row],[Planned Start Date]],$P$7)</f>
        <v>30643</v>
      </c>
      <c r="Q706" s="129"/>
      <c r="R706" s="183" t="str">
        <f>IF(Table1[[#This Row],[Actual Effort (Hours)]]="","",IF(Table1[[#This Row],[Estimated Effort (Hours)]]&lt;20,"L1",IF(Table1[[#This Row],[Estimated Effort (Hours)]]&lt;50,"L2",IF(Table1[[#This Row],[Estimated Effort (Hours)]]&lt;150,"L3",IF(Table1[[#This Row],[Estimated Effort (Hours)]]&lt;300,"L4","L5")))))</f>
        <v/>
      </c>
      <c r="S706" s="184" t="str">
        <f>IF(Table1[[#This Row],[Actual End Date]]="","",TEXT(Table1[[#This Row],[Actual End Date]],"mmm-yy"))</f>
        <v/>
      </c>
      <c r="T7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6" s="185" t="str">
        <f>IFERROR((Table1[[#This Row],[Actual Effort (Hours)]]-Table1[[#This Row],[Estimated Effort (Hours)]])/Table1[[#This Row],[Estimated Effort (Hours)]],"")</f>
        <v/>
      </c>
    </row>
    <row r="707" spans="2:21">
      <c r="B707" s="125"/>
      <c r="C707" s="123"/>
      <c r="D707" s="143"/>
      <c r="E707" s="123"/>
      <c r="F707" s="143"/>
      <c r="G707" s="129"/>
      <c r="H707" s="124"/>
      <c r="I707" s="124"/>
      <c r="J707" s="129"/>
      <c r="K707" s="194"/>
      <c r="L707" s="194"/>
      <c r="M707" s="129"/>
      <c r="N707" s="129" t="e">
        <f>Table1[[#This Row],[Estimated Effort (Hours)]]/NETWORKDAYS(Table1[[#This Row],[Planned Start Date]],Table1[[#This Row],[Planned End Date]])</f>
        <v>#DIV/0!</v>
      </c>
      <c r="O707" s="178">
        <f>NETWORKDAYS(Table1[[#This Row],[Planned Start Date]],Table1[[#This Row],[Planned End Date]])</f>
        <v>0</v>
      </c>
      <c r="P707" s="178">
        <f>NETWORKDAYS(Table1[[#This Row],[Planned Start Date]],$P$7)</f>
        <v>30643</v>
      </c>
      <c r="Q707" s="129"/>
      <c r="R707" s="183" t="str">
        <f>IF(Table1[[#This Row],[Actual Effort (Hours)]]="","",IF(Table1[[#This Row],[Estimated Effort (Hours)]]&lt;20,"L1",IF(Table1[[#This Row],[Estimated Effort (Hours)]]&lt;50,"L2",IF(Table1[[#This Row],[Estimated Effort (Hours)]]&lt;150,"L3",IF(Table1[[#This Row],[Estimated Effort (Hours)]]&lt;300,"L4","L5")))))</f>
        <v/>
      </c>
      <c r="S707" s="184" t="str">
        <f>IF(Table1[[#This Row],[Actual End Date]]="","",TEXT(Table1[[#This Row],[Actual End Date]],"mmm-yy"))</f>
        <v/>
      </c>
      <c r="T7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7" s="185" t="str">
        <f>IFERROR((Table1[[#This Row],[Actual Effort (Hours)]]-Table1[[#This Row],[Estimated Effort (Hours)]])/Table1[[#This Row],[Estimated Effort (Hours)]],"")</f>
        <v/>
      </c>
    </row>
    <row r="708" spans="2:21">
      <c r="B708" s="125"/>
      <c r="C708" s="123"/>
      <c r="D708" s="143"/>
      <c r="E708" s="123"/>
      <c r="F708" s="143"/>
      <c r="G708" s="129"/>
      <c r="H708" s="124"/>
      <c r="I708" s="124"/>
      <c r="J708" s="129"/>
      <c r="K708" s="194"/>
      <c r="L708" s="194"/>
      <c r="M708" s="129"/>
      <c r="N708" s="129" t="e">
        <f>Table1[[#This Row],[Estimated Effort (Hours)]]/NETWORKDAYS(Table1[[#This Row],[Planned Start Date]],Table1[[#This Row],[Planned End Date]])</f>
        <v>#DIV/0!</v>
      </c>
      <c r="O708" s="178">
        <f>NETWORKDAYS(Table1[[#This Row],[Planned Start Date]],Table1[[#This Row],[Planned End Date]])</f>
        <v>0</v>
      </c>
      <c r="P708" s="178">
        <f>NETWORKDAYS(Table1[[#This Row],[Planned Start Date]],$P$7)</f>
        <v>30643</v>
      </c>
      <c r="Q708" s="129"/>
      <c r="R708" s="183" t="str">
        <f>IF(Table1[[#This Row],[Actual Effort (Hours)]]="","",IF(Table1[[#This Row],[Estimated Effort (Hours)]]&lt;20,"L1",IF(Table1[[#This Row],[Estimated Effort (Hours)]]&lt;50,"L2",IF(Table1[[#This Row],[Estimated Effort (Hours)]]&lt;150,"L3",IF(Table1[[#This Row],[Estimated Effort (Hours)]]&lt;300,"L4","L5")))))</f>
        <v/>
      </c>
      <c r="S708" s="184" t="str">
        <f>IF(Table1[[#This Row],[Actual End Date]]="","",TEXT(Table1[[#This Row],[Actual End Date]],"mmm-yy"))</f>
        <v/>
      </c>
      <c r="T7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8" s="185" t="str">
        <f>IFERROR((Table1[[#This Row],[Actual Effort (Hours)]]-Table1[[#This Row],[Estimated Effort (Hours)]])/Table1[[#This Row],[Estimated Effort (Hours)]],"")</f>
        <v/>
      </c>
    </row>
    <row r="709" spans="2:21">
      <c r="B709" s="125"/>
      <c r="C709" s="123"/>
      <c r="D709" s="143"/>
      <c r="E709" s="123"/>
      <c r="F709" s="143"/>
      <c r="G709" s="129"/>
      <c r="H709" s="124"/>
      <c r="I709" s="124"/>
      <c r="J709" s="129"/>
      <c r="K709" s="194"/>
      <c r="L709" s="194"/>
      <c r="M709" s="129"/>
      <c r="N709" s="129" t="e">
        <f>Table1[[#This Row],[Estimated Effort (Hours)]]/NETWORKDAYS(Table1[[#This Row],[Planned Start Date]],Table1[[#This Row],[Planned End Date]])</f>
        <v>#DIV/0!</v>
      </c>
      <c r="O709" s="178">
        <f>NETWORKDAYS(Table1[[#This Row],[Planned Start Date]],Table1[[#This Row],[Planned End Date]])</f>
        <v>0</v>
      </c>
      <c r="P709" s="178">
        <f>NETWORKDAYS(Table1[[#This Row],[Planned Start Date]],$P$7)</f>
        <v>30643</v>
      </c>
      <c r="Q709" s="129"/>
      <c r="R709" s="183" t="str">
        <f>IF(Table1[[#This Row],[Actual Effort (Hours)]]="","",IF(Table1[[#This Row],[Estimated Effort (Hours)]]&lt;20,"L1",IF(Table1[[#This Row],[Estimated Effort (Hours)]]&lt;50,"L2",IF(Table1[[#This Row],[Estimated Effort (Hours)]]&lt;150,"L3",IF(Table1[[#This Row],[Estimated Effort (Hours)]]&lt;300,"L4","L5")))))</f>
        <v/>
      </c>
      <c r="S709" s="184" t="str">
        <f>IF(Table1[[#This Row],[Actual End Date]]="","",TEXT(Table1[[#This Row],[Actual End Date]],"mmm-yy"))</f>
        <v/>
      </c>
      <c r="T7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09" s="185" t="str">
        <f>IFERROR((Table1[[#This Row],[Actual Effort (Hours)]]-Table1[[#This Row],[Estimated Effort (Hours)]])/Table1[[#This Row],[Estimated Effort (Hours)]],"")</f>
        <v/>
      </c>
    </row>
    <row r="710" spans="2:21">
      <c r="B710" s="125"/>
      <c r="C710" s="123"/>
      <c r="D710" s="143"/>
      <c r="E710" s="123"/>
      <c r="F710" s="143"/>
      <c r="G710" s="129"/>
      <c r="H710" s="124"/>
      <c r="I710" s="124"/>
      <c r="J710" s="129"/>
      <c r="K710" s="194"/>
      <c r="L710" s="194"/>
      <c r="M710" s="129"/>
      <c r="N710" s="129" t="e">
        <f>Table1[[#This Row],[Estimated Effort (Hours)]]/NETWORKDAYS(Table1[[#This Row],[Planned Start Date]],Table1[[#This Row],[Planned End Date]])</f>
        <v>#DIV/0!</v>
      </c>
      <c r="O710" s="178">
        <f>NETWORKDAYS(Table1[[#This Row],[Planned Start Date]],Table1[[#This Row],[Planned End Date]])</f>
        <v>0</v>
      </c>
      <c r="P710" s="178">
        <f>NETWORKDAYS(Table1[[#This Row],[Planned Start Date]],$P$7)</f>
        <v>30643</v>
      </c>
      <c r="Q710" s="129"/>
      <c r="R710" s="183" t="str">
        <f>IF(Table1[[#This Row],[Actual Effort (Hours)]]="","",IF(Table1[[#This Row],[Estimated Effort (Hours)]]&lt;20,"L1",IF(Table1[[#This Row],[Estimated Effort (Hours)]]&lt;50,"L2",IF(Table1[[#This Row],[Estimated Effort (Hours)]]&lt;150,"L3",IF(Table1[[#This Row],[Estimated Effort (Hours)]]&lt;300,"L4","L5")))))</f>
        <v/>
      </c>
      <c r="S710" s="184" t="str">
        <f>IF(Table1[[#This Row],[Actual End Date]]="","",TEXT(Table1[[#This Row],[Actual End Date]],"mmm-yy"))</f>
        <v/>
      </c>
      <c r="T7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0" s="185" t="str">
        <f>IFERROR((Table1[[#This Row],[Actual Effort (Hours)]]-Table1[[#This Row],[Estimated Effort (Hours)]])/Table1[[#This Row],[Estimated Effort (Hours)]],"")</f>
        <v/>
      </c>
    </row>
    <row r="711" spans="2:21">
      <c r="B711" s="125"/>
      <c r="C711" s="123"/>
      <c r="D711" s="143"/>
      <c r="E711" s="123"/>
      <c r="F711" s="143"/>
      <c r="G711" s="129"/>
      <c r="H711" s="124"/>
      <c r="I711" s="124"/>
      <c r="J711" s="129"/>
      <c r="K711" s="194"/>
      <c r="L711" s="194"/>
      <c r="M711" s="129"/>
      <c r="N711" s="129" t="e">
        <f>Table1[[#This Row],[Estimated Effort (Hours)]]/NETWORKDAYS(Table1[[#This Row],[Planned Start Date]],Table1[[#This Row],[Planned End Date]])</f>
        <v>#DIV/0!</v>
      </c>
      <c r="O711" s="178">
        <f>NETWORKDAYS(Table1[[#This Row],[Planned Start Date]],Table1[[#This Row],[Planned End Date]])</f>
        <v>0</v>
      </c>
      <c r="P711" s="178">
        <f>NETWORKDAYS(Table1[[#This Row],[Planned Start Date]],$P$7)</f>
        <v>30643</v>
      </c>
      <c r="Q711" s="129"/>
      <c r="R711" s="183" t="str">
        <f>IF(Table1[[#This Row],[Actual Effort (Hours)]]="","",IF(Table1[[#This Row],[Estimated Effort (Hours)]]&lt;20,"L1",IF(Table1[[#This Row],[Estimated Effort (Hours)]]&lt;50,"L2",IF(Table1[[#This Row],[Estimated Effort (Hours)]]&lt;150,"L3",IF(Table1[[#This Row],[Estimated Effort (Hours)]]&lt;300,"L4","L5")))))</f>
        <v/>
      </c>
      <c r="S711" s="184" t="str">
        <f>IF(Table1[[#This Row],[Actual End Date]]="","",TEXT(Table1[[#This Row],[Actual End Date]],"mmm-yy"))</f>
        <v/>
      </c>
      <c r="T7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1" s="185" t="str">
        <f>IFERROR((Table1[[#This Row],[Actual Effort (Hours)]]-Table1[[#This Row],[Estimated Effort (Hours)]])/Table1[[#This Row],[Estimated Effort (Hours)]],"")</f>
        <v/>
      </c>
    </row>
    <row r="712" spans="2:21">
      <c r="B712" s="125"/>
      <c r="C712" s="123"/>
      <c r="D712" s="143"/>
      <c r="E712" s="123"/>
      <c r="F712" s="143"/>
      <c r="G712" s="129"/>
      <c r="H712" s="124"/>
      <c r="I712" s="124"/>
      <c r="J712" s="129"/>
      <c r="K712" s="194"/>
      <c r="L712" s="194"/>
      <c r="M712" s="129"/>
      <c r="N712" s="129" t="e">
        <f>Table1[[#This Row],[Estimated Effort (Hours)]]/NETWORKDAYS(Table1[[#This Row],[Planned Start Date]],Table1[[#This Row],[Planned End Date]])</f>
        <v>#DIV/0!</v>
      </c>
      <c r="O712" s="178">
        <f>NETWORKDAYS(Table1[[#This Row],[Planned Start Date]],Table1[[#This Row],[Planned End Date]])</f>
        <v>0</v>
      </c>
      <c r="P712" s="178">
        <f>NETWORKDAYS(Table1[[#This Row],[Planned Start Date]],$P$7)</f>
        <v>30643</v>
      </c>
      <c r="Q712" s="129"/>
      <c r="R712" s="183" t="str">
        <f>IF(Table1[[#This Row],[Actual Effort (Hours)]]="","",IF(Table1[[#This Row],[Estimated Effort (Hours)]]&lt;20,"L1",IF(Table1[[#This Row],[Estimated Effort (Hours)]]&lt;50,"L2",IF(Table1[[#This Row],[Estimated Effort (Hours)]]&lt;150,"L3",IF(Table1[[#This Row],[Estimated Effort (Hours)]]&lt;300,"L4","L5")))))</f>
        <v/>
      </c>
      <c r="S712" s="184" t="str">
        <f>IF(Table1[[#This Row],[Actual End Date]]="","",TEXT(Table1[[#This Row],[Actual End Date]],"mmm-yy"))</f>
        <v/>
      </c>
      <c r="T7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2" s="185" t="str">
        <f>IFERROR((Table1[[#This Row],[Actual Effort (Hours)]]-Table1[[#This Row],[Estimated Effort (Hours)]])/Table1[[#This Row],[Estimated Effort (Hours)]],"")</f>
        <v/>
      </c>
    </row>
    <row r="713" spans="2:21">
      <c r="B713" s="125"/>
      <c r="C713" s="123"/>
      <c r="D713" s="143"/>
      <c r="E713" s="123"/>
      <c r="F713" s="143"/>
      <c r="G713" s="129"/>
      <c r="H713" s="124"/>
      <c r="I713" s="124"/>
      <c r="J713" s="129"/>
      <c r="K713" s="194"/>
      <c r="L713" s="194"/>
      <c r="M713" s="129"/>
      <c r="N713" s="129" t="e">
        <f>Table1[[#This Row],[Estimated Effort (Hours)]]/NETWORKDAYS(Table1[[#This Row],[Planned Start Date]],Table1[[#This Row],[Planned End Date]])</f>
        <v>#DIV/0!</v>
      </c>
      <c r="O713" s="178">
        <f>NETWORKDAYS(Table1[[#This Row],[Planned Start Date]],Table1[[#This Row],[Planned End Date]])</f>
        <v>0</v>
      </c>
      <c r="P713" s="178">
        <f>NETWORKDAYS(Table1[[#This Row],[Planned Start Date]],$P$7)</f>
        <v>30643</v>
      </c>
      <c r="Q713" s="129"/>
      <c r="R713" s="183" t="str">
        <f>IF(Table1[[#This Row],[Actual Effort (Hours)]]="","",IF(Table1[[#This Row],[Estimated Effort (Hours)]]&lt;20,"L1",IF(Table1[[#This Row],[Estimated Effort (Hours)]]&lt;50,"L2",IF(Table1[[#This Row],[Estimated Effort (Hours)]]&lt;150,"L3",IF(Table1[[#This Row],[Estimated Effort (Hours)]]&lt;300,"L4","L5")))))</f>
        <v/>
      </c>
      <c r="S713" s="184" t="str">
        <f>IF(Table1[[#This Row],[Actual End Date]]="","",TEXT(Table1[[#This Row],[Actual End Date]],"mmm-yy"))</f>
        <v/>
      </c>
      <c r="T7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3" s="185" t="str">
        <f>IFERROR((Table1[[#This Row],[Actual Effort (Hours)]]-Table1[[#This Row],[Estimated Effort (Hours)]])/Table1[[#This Row],[Estimated Effort (Hours)]],"")</f>
        <v/>
      </c>
    </row>
    <row r="714" spans="2:21">
      <c r="B714" s="125"/>
      <c r="C714" s="123"/>
      <c r="D714" s="143"/>
      <c r="E714" s="123"/>
      <c r="F714" s="143"/>
      <c r="G714" s="129"/>
      <c r="H714" s="124"/>
      <c r="I714" s="124"/>
      <c r="J714" s="129"/>
      <c r="K714" s="194"/>
      <c r="L714" s="194"/>
      <c r="M714" s="129"/>
      <c r="N714" s="129" t="e">
        <f>Table1[[#This Row],[Estimated Effort (Hours)]]/NETWORKDAYS(Table1[[#This Row],[Planned Start Date]],Table1[[#This Row],[Planned End Date]])</f>
        <v>#DIV/0!</v>
      </c>
      <c r="O714" s="178">
        <f>NETWORKDAYS(Table1[[#This Row],[Planned Start Date]],Table1[[#This Row],[Planned End Date]])</f>
        <v>0</v>
      </c>
      <c r="P714" s="178">
        <f>NETWORKDAYS(Table1[[#This Row],[Planned Start Date]],$P$7)</f>
        <v>30643</v>
      </c>
      <c r="Q714" s="129"/>
      <c r="R714" s="183" t="str">
        <f>IF(Table1[[#This Row],[Actual Effort (Hours)]]="","",IF(Table1[[#This Row],[Estimated Effort (Hours)]]&lt;20,"L1",IF(Table1[[#This Row],[Estimated Effort (Hours)]]&lt;50,"L2",IF(Table1[[#This Row],[Estimated Effort (Hours)]]&lt;150,"L3",IF(Table1[[#This Row],[Estimated Effort (Hours)]]&lt;300,"L4","L5")))))</f>
        <v/>
      </c>
      <c r="S714" s="184" t="str">
        <f>IF(Table1[[#This Row],[Actual End Date]]="","",TEXT(Table1[[#This Row],[Actual End Date]],"mmm-yy"))</f>
        <v/>
      </c>
      <c r="T7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4" s="185" t="str">
        <f>IFERROR((Table1[[#This Row],[Actual Effort (Hours)]]-Table1[[#This Row],[Estimated Effort (Hours)]])/Table1[[#This Row],[Estimated Effort (Hours)]],"")</f>
        <v/>
      </c>
    </row>
    <row r="715" spans="2:21">
      <c r="B715" s="125"/>
      <c r="C715" s="123"/>
      <c r="D715" s="143"/>
      <c r="E715" s="123"/>
      <c r="F715" s="143"/>
      <c r="G715" s="129"/>
      <c r="H715" s="124"/>
      <c r="I715" s="124"/>
      <c r="J715" s="129"/>
      <c r="K715" s="194"/>
      <c r="L715" s="194"/>
      <c r="M715" s="129"/>
      <c r="N715" s="129" t="e">
        <f>Table1[[#This Row],[Estimated Effort (Hours)]]/NETWORKDAYS(Table1[[#This Row],[Planned Start Date]],Table1[[#This Row],[Planned End Date]])</f>
        <v>#DIV/0!</v>
      </c>
      <c r="O715" s="178">
        <f>NETWORKDAYS(Table1[[#This Row],[Planned Start Date]],Table1[[#This Row],[Planned End Date]])</f>
        <v>0</v>
      </c>
      <c r="P715" s="178">
        <f>NETWORKDAYS(Table1[[#This Row],[Planned Start Date]],$P$7)</f>
        <v>30643</v>
      </c>
      <c r="Q715" s="129"/>
      <c r="R715" s="183" t="str">
        <f>IF(Table1[[#This Row],[Actual Effort (Hours)]]="","",IF(Table1[[#This Row],[Estimated Effort (Hours)]]&lt;20,"L1",IF(Table1[[#This Row],[Estimated Effort (Hours)]]&lt;50,"L2",IF(Table1[[#This Row],[Estimated Effort (Hours)]]&lt;150,"L3",IF(Table1[[#This Row],[Estimated Effort (Hours)]]&lt;300,"L4","L5")))))</f>
        <v/>
      </c>
      <c r="S715" s="184" t="str">
        <f>IF(Table1[[#This Row],[Actual End Date]]="","",TEXT(Table1[[#This Row],[Actual End Date]],"mmm-yy"))</f>
        <v/>
      </c>
      <c r="T7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5" s="185" t="str">
        <f>IFERROR((Table1[[#This Row],[Actual Effort (Hours)]]-Table1[[#This Row],[Estimated Effort (Hours)]])/Table1[[#This Row],[Estimated Effort (Hours)]],"")</f>
        <v/>
      </c>
    </row>
    <row r="716" spans="2:21">
      <c r="B716" s="125"/>
      <c r="C716" s="123"/>
      <c r="D716" s="143"/>
      <c r="E716" s="123"/>
      <c r="F716" s="143"/>
      <c r="G716" s="129"/>
      <c r="H716" s="124"/>
      <c r="I716" s="124"/>
      <c r="J716" s="129"/>
      <c r="K716" s="194"/>
      <c r="L716" s="194"/>
      <c r="M716" s="129"/>
      <c r="N716" s="129" t="e">
        <f>Table1[[#This Row],[Estimated Effort (Hours)]]/NETWORKDAYS(Table1[[#This Row],[Planned Start Date]],Table1[[#This Row],[Planned End Date]])</f>
        <v>#DIV/0!</v>
      </c>
      <c r="O716" s="178">
        <f>NETWORKDAYS(Table1[[#This Row],[Planned Start Date]],Table1[[#This Row],[Planned End Date]])</f>
        <v>0</v>
      </c>
      <c r="P716" s="178">
        <f>NETWORKDAYS(Table1[[#This Row],[Planned Start Date]],$P$7)</f>
        <v>30643</v>
      </c>
      <c r="Q716" s="129"/>
      <c r="R716" s="183" t="str">
        <f>IF(Table1[[#This Row],[Actual Effort (Hours)]]="","",IF(Table1[[#This Row],[Estimated Effort (Hours)]]&lt;20,"L1",IF(Table1[[#This Row],[Estimated Effort (Hours)]]&lt;50,"L2",IF(Table1[[#This Row],[Estimated Effort (Hours)]]&lt;150,"L3",IF(Table1[[#This Row],[Estimated Effort (Hours)]]&lt;300,"L4","L5")))))</f>
        <v/>
      </c>
      <c r="S716" s="184" t="str">
        <f>IF(Table1[[#This Row],[Actual End Date]]="","",TEXT(Table1[[#This Row],[Actual End Date]],"mmm-yy"))</f>
        <v/>
      </c>
      <c r="T7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6" s="185" t="str">
        <f>IFERROR((Table1[[#This Row],[Actual Effort (Hours)]]-Table1[[#This Row],[Estimated Effort (Hours)]])/Table1[[#This Row],[Estimated Effort (Hours)]],"")</f>
        <v/>
      </c>
    </row>
    <row r="717" spans="2:21">
      <c r="B717" s="125"/>
      <c r="C717" s="123"/>
      <c r="D717" s="143"/>
      <c r="E717" s="123"/>
      <c r="F717" s="143"/>
      <c r="G717" s="129"/>
      <c r="H717" s="124"/>
      <c r="I717" s="124"/>
      <c r="J717" s="129"/>
      <c r="K717" s="194"/>
      <c r="L717" s="194"/>
      <c r="M717" s="129"/>
      <c r="N717" s="129" t="e">
        <f>Table1[[#This Row],[Estimated Effort (Hours)]]/NETWORKDAYS(Table1[[#This Row],[Planned Start Date]],Table1[[#This Row],[Planned End Date]])</f>
        <v>#DIV/0!</v>
      </c>
      <c r="O717" s="178">
        <f>NETWORKDAYS(Table1[[#This Row],[Planned Start Date]],Table1[[#This Row],[Planned End Date]])</f>
        <v>0</v>
      </c>
      <c r="P717" s="178">
        <f>NETWORKDAYS(Table1[[#This Row],[Planned Start Date]],$P$7)</f>
        <v>30643</v>
      </c>
      <c r="Q717" s="129"/>
      <c r="R717" s="183" t="str">
        <f>IF(Table1[[#This Row],[Actual Effort (Hours)]]="","",IF(Table1[[#This Row],[Estimated Effort (Hours)]]&lt;20,"L1",IF(Table1[[#This Row],[Estimated Effort (Hours)]]&lt;50,"L2",IF(Table1[[#This Row],[Estimated Effort (Hours)]]&lt;150,"L3",IF(Table1[[#This Row],[Estimated Effort (Hours)]]&lt;300,"L4","L5")))))</f>
        <v/>
      </c>
      <c r="S717" s="184" t="str">
        <f>IF(Table1[[#This Row],[Actual End Date]]="","",TEXT(Table1[[#This Row],[Actual End Date]],"mmm-yy"))</f>
        <v/>
      </c>
      <c r="T7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7" s="185" t="str">
        <f>IFERROR((Table1[[#This Row],[Actual Effort (Hours)]]-Table1[[#This Row],[Estimated Effort (Hours)]])/Table1[[#This Row],[Estimated Effort (Hours)]],"")</f>
        <v/>
      </c>
    </row>
    <row r="718" spans="2:21">
      <c r="B718" s="125"/>
      <c r="C718" s="123"/>
      <c r="D718" s="143"/>
      <c r="E718" s="123"/>
      <c r="F718" s="143"/>
      <c r="G718" s="129"/>
      <c r="H718" s="124"/>
      <c r="I718" s="124"/>
      <c r="J718" s="129"/>
      <c r="K718" s="194"/>
      <c r="L718" s="194"/>
      <c r="M718" s="129"/>
      <c r="N718" s="129" t="e">
        <f>Table1[[#This Row],[Estimated Effort (Hours)]]/NETWORKDAYS(Table1[[#This Row],[Planned Start Date]],Table1[[#This Row],[Planned End Date]])</f>
        <v>#DIV/0!</v>
      </c>
      <c r="O718" s="178">
        <f>NETWORKDAYS(Table1[[#This Row],[Planned Start Date]],Table1[[#This Row],[Planned End Date]])</f>
        <v>0</v>
      </c>
      <c r="P718" s="178">
        <f>NETWORKDAYS(Table1[[#This Row],[Planned Start Date]],$P$7)</f>
        <v>30643</v>
      </c>
      <c r="Q718" s="129"/>
      <c r="R718" s="183" t="str">
        <f>IF(Table1[[#This Row],[Actual Effort (Hours)]]="","",IF(Table1[[#This Row],[Estimated Effort (Hours)]]&lt;20,"L1",IF(Table1[[#This Row],[Estimated Effort (Hours)]]&lt;50,"L2",IF(Table1[[#This Row],[Estimated Effort (Hours)]]&lt;150,"L3",IF(Table1[[#This Row],[Estimated Effort (Hours)]]&lt;300,"L4","L5")))))</f>
        <v/>
      </c>
      <c r="S718" s="184" t="str">
        <f>IF(Table1[[#This Row],[Actual End Date]]="","",TEXT(Table1[[#This Row],[Actual End Date]],"mmm-yy"))</f>
        <v/>
      </c>
      <c r="T7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8" s="185" t="str">
        <f>IFERROR((Table1[[#This Row],[Actual Effort (Hours)]]-Table1[[#This Row],[Estimated Effort (Hours)]])/Table1[[#This Row],[Estimated Effort (Hours)]],"")</f>
        <v/>
      </c>
    </row>
    <row r="719" spans="2:21">
      <c r="B719" s="125"/>
      <c r="C719" s="123"/>
      <c r="D719" s="143"/>
      <c r="E719" s="123"/>
      <c r="F719" s="143"/>
      <c r="G719" s="129"/>
      <c r="H719" s="124"/>
      <c r="I719" s="124"/>
      <c r="J719" s="129"/>
      <c r="K719" s="194"/>
      <c r="L719" s="194"/>
      <c r="M719" s="129"/>
      <c r="N719" s="129" t="e">
        <f>Table1[[#This Row],[Estimated Effort (Hours)]]/NETWORKDAYS(Table1[[#This Row],[Planned Start Date]],Table1[[#This Row],[Planned End Date]])</f>
        <v>#DIV/0!</v>
      </c>
      <c r="O719" s="178">
        <f>NETWORKDAYS(Table1[[#This Row],[Planned Start Date]],Table1[[#This Row],[Planned End Date]])</f>
        <v>0</v>
      </c>
      <c r="P719" s="178">
        <f>NETWORKDAYS(Table1[[#This Row],[Planned Start Date]],$P$7)</f>
        <v>30643</v>
      </c>
      <c r="Q719" s="129"/>
      <c r="R719" s="183" t="str">
        <f>IF(Table1[[#This Row],[Actual Effort (Hours)]]="","",IF(Table1[[#This Row],[Estimated Effort (Hours)]]&lt;20,"L1",IF(Table1[[#This Row],[Estimated Effort (Hours)]]&lt;50,"L2",IF(Table1[[#This Row],[Estimated Effort (Hours)]]&lt;150,"L3",IF(Table1[[#This Row],[Estimated Effort (Hours)]]&lt;300,"L4","L5")))))</f>
        <v/>
      </c>
      <c r="S719" s="184" t="str">
        <f>IF(Table1[[#This Row],[Actual End Date]]="","",TEXT(Table1[[#This Row],[Actual End Date]],"mmm-yy"))</f>
        <v/>
      </c>
      <c r="T7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19" s="185" t="str">
        <f>IFERROR((Table1[[#This Row],[Actual Effort (Hours)]]-Table1[[#This Row],[Estimated Effort (Hours)]])/Table1[[#This Row],[Estimated Effort (Hours)]],"")</f>
        <v/>
      </c>
    </row>
    <row r="720" spans="2:21">
      <c r="B720" s="125"/>
      <c r="C720" s="123"/>
      <c r="D720" s="143"/>
      <c r="E720" s="123"/>
      <c r="F720" s="143"/>
      <c r="G720" s="129"/>
      <c r="H720" s="124"/>
      <c r="I720" s="124"/>
      <c r="J720" s="129"/>
      <c r="K720" s="194"/>
      <c r="L720" s="194"/>
      <c r="M720" s="129"/>
      <c r="N720" s="129" t="e">
        <f>Table1[[#This Row],[Estimated Effort (Hours)]]/NETWORKDAYS(Table1[[#This Row],[Planned Start Date]],Table1[[#This Row],[Planned End Date]])</f>
        <v>#DIV/0!</v>
      </c>
      <c r="O720" s="178">
        <f>NETWORKDAYS(Table1[[#This Row],[Planned Start Date]],Table1[[#This Row],[Planned End Date]])</f>
        <v>0</v>
      </c>
      <c r="P720" s="178">
        <f>NETWORKDAYS(Table1[[#This Row],[Planned Start Date]],$P$7)</f>
        <v>30643</v>
      </c>
      <c r="Q720" s="129"/>
      <c r="R720" s="183" t="str">
        <f>IF(Table1[[#This Row],[Actual Effort (Hours)]]="","",IF(Table1[[#This Row],[Estimated Effort (Hours)]]&lt;20,"L1",IF(Table1[[#This Row],[Estimated Effort (Hours)]]&lt;50,"L2",IF(Table1[[#This Row],[Estimated Effort (Hours)]]&lt;150,"L3",IF(Table1[[#This Row],[Estimated Effort (Hours)]]&lt;300,"L4","L5")))))</f>
        <v/>
      </c>
      <c r="S720" s="184" t="str">
        <f>IF(Table1[[#This Row],[Actual End Date]]="","",TEXT(Table1[[#This Row],[Actual End Date]],"mmm-yy"))</f>
        <v/>
      </c>
      <c r="T7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0" s="185" t="str">
        <f>IFERROR((Table1[[#This Row],[Actual Effort (Hours)]]-Table1[[#This Row],[Estimated Effort (Hours)]])/Table1[[#This Row],[Estimated Effort (Hours)]],"")</f>
        <v/>
      </c>
    </row>
    <row r="721" spans="2:21">
      <c r="B721" s="125"/>
      <c r="C721" s="123"/>
      <c r="D721" s="143"/>
      <c r="E721" s="123"/>
      <c r="F721" s="143"/>
      <c r="G721" s="129"/>
      <c r="H721" s="124"/>
      <c r="I721" s="124"/>
      <c r="J721" s="129"/>
      <c r="K721" s="194"/>
      <c r="L721" s="194"/>
      <c r="M721" s="129"/>
      <c r="N721" s="129" t="e">
        <f>Table1[[#This Row],[Estimated Effort (Hours)]]/NETWORKDAYS(Table1[[#This Row],[Planned Start Date]],Table1[[#This Row],[Planned End Date]])</f>
        <v>#DIV/0!</v>
      </c>
      <c r="O721" s="178">
        <f>NETWORKDAYS(Table1[[#This Row],[Planned Start Date]],Table1[[#This Row],[Planned End Date]])</f>
        <v>0</v>
      </c>
      <c r="P721" s="178">
        <f>NETWORKDAYS(Table1[[#This Row],[Planned Start Date]],$P$7)</f>
        <v>30643</v>
      </c>
      <c r="Q721" s="129"/>
      <c r="R721" s="183" t="str">
        <f>IF(Table1[[#This Row],[Actual Effort (Hours)]]="","",IF(Table1[[#This Row],[Estimated Effort (Hours)]]&lt;20,"L1",IF(Table1[[#This Row],[Estimated Effort (Hours)]]&lt;50,"L2",IF(Table1[[#This Row],[Estimated Effort (Hours)]]&lt;150,"L3",IF(Table1[[#This Row],[Estimated Effort (Hours)]]&lt;300,"L4","L5")))))</f>
        <v/>
      </c>
      <c r="S721" s="184" t="str">
        <f>IF(Table1[[#This Row],[Actual End Date]]="","",TEXT(Table1[[#This Row],[Actual End Date]],"mmm-yy"))</f>
        <v/>
      </c>
      <c r="T7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1" s="185" t="str">
        <f>IFERROR((Table1[[#This Row],[Actual Effort (Hours)]]-Table1[[#This Row],[Estimated Effort (Hours)]])/Table1[[#This Row],[Estimated Effort (Hours)]],"")</f>
        <v/>
      </c>
    </row>
    <row r="722" spans="2:21">
      <c r="B722" s="125"/>
      <c r="C722" s="123"/>
      <c r="D722" s="143"/>
      <c r="E722" s="123"/>
      <c r="F722" s="143"/>
      <c r="G722" s="129"/>
      <c r="H722" s="124"/>
      <c r="I722" s="124"/>
      <c r="J722" s="129"/>
      <c r="K722" s="194"/>
      <c r="L722" s="194"/>
      <c r="M722" s="129"/>
      <c r="N722" s="129" t="e">
        <f>Table1[[#This Row],[Estimated Effort (Hours)]]/NETWORKDAYS(Table1[[#This Row],[Planned Start Date]],Table1[[#This Row],[Planned End Date]])</f>
        <v>#DIV/0!</v>
      </c>
      <c r="O722" s="178">
        <f>NETWORKDAYS(Table1[[#This Row],[Planned Start Date]],Table1[[#This Row],[Planned End Date]])</f>
        <v>0</v>
      </c>
      <c r="P722" s="178">
        <f>NETWORKDAYS(Table1[[#This Row],[Planned Start Date]],$P$7)</f>
        <v>30643</v>
      </c>
      <c r="Q722" s="129"/>
      <c r="R722" s="183" t="str">
        <f>IF(Table1[[#This Row],[Actual Effort (Hours)]]="","",IF(Table1[[#This Row],[Estimated Effort (Hours)]]&lt;20,"L1",IF(Table1[[#This Row],[Estimated Effort (Hours)]]&lt;50,"L2",IF(Table1[[#This Row],[Estimated Effort (Hours)]]&lt;150,"L3",IF(Table1[[#This Row],[Estimated Effort (Hours)]]&lt;300,"L4","L5")))))</f>
        <v/>
      </c>
      <c r="S722" s="184" t="str">
        <f>IF(Table1[[#This Row],[Actual End Date]]="","",TEXT(Table1[[#This Row],[Actual End Date]],"mmm-yy"))</f>
        <v/>
      </c>
      <c r="T7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2" s="185" t="str">
        <f>IFERROR((Table1[[#This Row],[Actual Effort (Hours)]]-Table1[[#This Row],[Estimated Effort (Hours)]])/Table1[[#This Row],[Estimated Effort (Hours)]],"")</f>
        <v/>
      </c>
    </row>
    <row r="723" spans="2:21">
      <c r="B723" s="125"/>
      <c r="C723" s="123"/>
      <c r="D723" s="143"/>
      <c r="E723" s="123"/>
      <c r="F723" s="143"/>
      <c r="G723" s="129"/>
      <c r="H723" s="124"/>
      <c r="I723" s="124"/>
      <c r="J723" s="129"/>
      <c r="K723" s="194"/>
      <c r="L723" s="194"/>
      <c r="M723" s="129"/>
      <c r="N723" s="129" t="e">
        <f>Table1[[#This Row],[Estimated Effort (Hours)]]/NETWORKDAYS(Table1[[#This Row],[Planned Start Date]],Table1[[#This Row],[Planned End Date]])</f>
        <v>#DIV/0!</v>
      </c>
      <c r="O723" s="178">
        <f>NETWORKDAYS(Table1[[#This Row],[Planned Start Date]],Table1[[#This Row],[Planned End Date]])</f>
        <v>0</v>
      </c>
      <c r="P723" s="178">
        <f>NETWORKDAYS(Table1[[#This Row],[Planned Start Date]],$P$7)</f>
        <v>30643</v>
      </c>
      <c r="Q723" s="129"/>
      <c r="R723" s="183" t="str">
        <f>IF(Table1[[#This Row],[Actual Effort (Hours)]]="","",IF(Table1[[#This Row],[Estimated Effort (Hours)]]&lt;20,"L1",IF(Table1[[#This Row],[Estimated Effort (Hours)]]&lt;50,"L2",IF(Table1[[#This Row],[Estimated Effort (Hours)]]&lt;150,"L3",IF(Table1[[#This Row],[Estimated Effort (Hours)]]&lt;300,"L4","L5")))))</f>
        <v/>
      </c>
      <c r="S723" s="184" t="str">
        <f>IF(Table1[[#This Row],[Actual End Date]]="","",TEXT(Table1[[#This Row],[Actual End Date]],"mmm-yy"))</f>
        <v/>
      </c>
      <c r="T7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3" s="185" t="str">
        <f>IFERROR((Table1[[#This Row],[Actual Effort (Hours)]]-Table1[[#This Row],[Estimated Effort (Hours)]])/Table1[[#This Row],[Estimated Effort (Hours)]],"")</f>
        <v/>
      </c>
    </row>
    <row r="724" spans="2:21">
      <c r="B724" s="125"/>
      <c r="C724" s="123"/>
      <c r="D724" s="143"/>
      <c r="E724" s="123"/>
      <c r="F724" s="143"/>
      <c r="G724" s="129"/>
      <c r="H724" s="124"/>
      <c r="I724" s="124"/>
      <c r="J724" s="129"/>
      <c r="K724" s="194"/>
      <c r="L724" s="194"/>
      <c r="M724" s="129"/>
      <c r="N724" s="129" t="e">
        <f>Table1[[#This Row],[Estimated Effort (Hours)]]/NETWORKDAYS(Table1[[#This Row],[Planned Start Date]],Table1[[#This Row],[Planned End Date]])</f>
        <v>#DIV/0!</v>
      </c>
      <c r="O724" s="178">
        <f>NETWORKDAYS(Table1[[#This Row],[Planned Start Date]],Table1[[#This Row],[Planned End Date]])</f>
        <v>0</v>
      </c>
      <c r="P724" s="178">
        <f>NETWORKDAYS(Table1[[#This Row],[Planned Start Date]],$P$7)</f>
        <v>30643</v>
      </c>
      <c r="Q724" s="129"/>
      <c r="R724" s="183" t="str">
        <f>IF(Table1[[#This Row],[Actual Effort (Hours)]]="","",IF(Table1[[#This Row],[Estimated Effort (Hours)]]&lt;20,"L1",IF(Table1[[#This Row],[Estimated Effort (Hours)]]&lt;50,"L2",IF(Table1[[#This Row],[Estimated Effort (Hours)]]&lt;150,"L3",IF(Table1[[#This Row],[Estimated Effort (Hours)]]&lt;300,"L4","L5")))))</f>
        <v/>
      </c>
      <c r="S724" s="184" t="str">
        <f>IF(Table1[[#This Row],[Actual End Date]]="","",TEXT(Table1[[#This Row],[Actual End Date]],"mmm-yy"))</f>
        <v/>
      </c>
      <c r="T7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4" s="185" t="str">
        <f>IFERROR((Table1[[#This Row],[Actual Effort (Hours)]]-Table1[[#This Row],[Estimated Effort (Hours)]])/Table1[[#This Row],[Estimated Effort (Hours)]],"")</f>
        <v/>
      </c>
    </row>
    <row r="725" spans="2:21">
      <c r="B725" s="125"/>
      <c r="C725" s="123"/>
      <c r="D725" s="143"/>
      <c r="E725" s="123"/>
      <c r="F725" s="143"/>
      <c r="G725" s="129"/>
      <c r="H725" s="124"/>
      <c r="I725" s="124"/>
      <c r="J725" s="129"/>
      <c r="K725" s="194"/>
      <c r="L725" s="194"/>
      <c r="M725" s="129"/>
      <c r="N725" s="129" t="e">
        <f>Table1[[#This Row],[Estimated Effort (Hours)]]/NETWORKDAYS(Table1[[#This Row],[Planned Start Date]],Table1[[#This Row],[Planned End Date]])</f>
        <v>#DIV/0!</v>
      </c>
      <c r="O725" s="178">
        <f>NETWORKDAYS(Table1[[#This Row],[Planned Start Date]],Table1[[#This Row],[Planned End Date]])</f>
        <v>0</v>
      </c>
      <c r="P725" s="178">
        <f>NETWORKDAYS(Table1[[#This Row],[Planned Start Date]],$P$7)</f>
        <v>30643</v>
      </c>
      <c r="Q725" s="129"/>
      <c r="R725" s="183" t="str">
        <f>IF(Table1[[#This Row],[Actual Effort (Hours)]]="","",IF(Table1[[#This Row],[Estimated Effort (Hours)]]&lt;20,"L1",IF(Table1[[#This Row],[Estimated Effort (Hours)]]&lt;50,"L2",IF(Table1[[#This Row],[Estimated Effort (Hours)]]&lt;150,"L3",IF(Table1[[#This Row],[Estimated Effort (Hours)]]&lt;300,"L4","L5")))))</f>
        <v/>
      </c>
      <c r="S725" s="184" t="str">
        <f>IF(Table1[[#This Row],[Actual End Date]]="","",TEXT(Table1[[#This Row],[Actual End Date]],"mmm-yy"))</f>
        <v/>
      </c>
      <c r="T7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5" s="185" t="str">
        <f>IFERROR((Table1[[#This Row],[Actual Effort (Hours)]]-Table1[[#This Row],[Estimated Effort (Hours)]])/Table1[[#This Row],[Estimated Effort (Hours)]],"")</f>
        <v/>
      </c>
    </row>
    <row r="726" spans="2:21">
      <c r="B726" s="125"/>
      <c r="C726" s="123"/>
      <c r="D726" s="143"/>
      <c r="E726" s="123"/>
      <c r="F726" s="143"/>
      <c r="G726" s="129"/>
      <c r="H726" s="124"/>
      <c r="I726" s="124"/>
      <c r="J726" s="129"/>
      <c r="K726" s="194"/>
      <c r="L726" s="194"/>
      <c r="M726" s="129"/>
      <c r="N726" s="129" t="e">
        <f>Table1[[#This Row],[Estimated Effort (Hours)]]/NETWORKDAYS(Table1[[#This Row],[Planned Start Date]],Table1[[#This Row],[Planned End Date]])</f>
        <v>#DIV/0!</v>
      </c>
      <c r="O726" s="178">
        <f>NETWORKDAYS(Table1[[#This Row],[Planned Start Date]],Table1[[#This Row],[Planned End Date]])</f>
        <v>0</v>
      </c>
      <c r="P726" s="178">
        <f>NETWORKDAYS(Table1[[#This Row],[Planned Start Date]],$P$7)</f>
        <v>30643</v>
      </c>
      <c r="Q726" s="129"/>
      <c r="R726" s="183" t="str">
        <f>IF(Table1[[#This Row],[Actual Effort (Hours)]]="","",IF(Table1[[#This Row],[Estimated Effort (Hours)]]&lt;20,"L1",IF(Table1[[#This Row],[Estimated Effort (Hours)]]&lt;50,"L2",IF(Table1[[#This Row],[Estimated Effort (Hours)]]&lt;150,"L3",IF(Table1[[#This Row],[Estimated Effort (Hours)]]&lt;300,"L4","L5")))))</f>
        <v/>
      </c>
      <c r="S726" s="184" t="str">
        <f>IF(Table1[[#This Row],[Actual End Date]]="","",TEXT(Table1[[#This Row],[Actual End Date]],"mmm-yy"))</f>
        <v/>
      </c>
      <c r="T7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6" s="185" t="str">
        <f>IFERROR((Table1[[#This Row],[Actual Effort (Hours)]]-Table1[[#This Row],[Estimated Effort (Hours)]])/Table1[[#This Row],[Estimated Effort (Hours)]],"")</f>
        <v/>
      </c>
    </row>
    <row r="727" spans="2:21">
      <c r="B727" s="125"/>
      <c r="C727" s="123"/>
      <c r="D727" s="143"/>
      <c r="E727" s="123"/>
      <c r="F727" s="143"/>
      <c r="G727" s="129"/>
      <c r="H727" s="124"/>
      <c r="I727" s="124"/>
      <c r="J727" s="129"/>
      <c r="K727" s="194"/>
      <c r="L727" s="194"/>
      <c r="M727" s="129"/>
      <c r="N727" s="129" t="e">
        <f>Table1[[#This Row],[Estimated Effort (Hours)]]/NETWORKDAYS(Table1[[#This Row],[Planned Start Date]],Table1[[#This Row],[Planned End Date]])</f>
        <v>#DIV/0!</v>
      </c>
      <c r="O727" s="178">
        <f>NETWORKDAYS(Table1[[#This Row],[Planned Start Date]],Table1[[#This Row],[Planned End Date]])</f>
        <v>0</v>
      </c>
      <c r="P727" s="178">
        <f>NETWORKDAYS(Table1[[#This Row],[Planned Start Date]],$P$7)</f>
        <v>30643</v>
      </c>
      <c r="Q727" s="129"/>
      <c r="R727" s="183" t="str">
        <f>IF(Table1[[#This Row],[Actual Effort (Hours)]]="","",IF(Table1[[#This Row],[Estimated Effort (Hours)]]&lt;20,"L1",IF(Table1[[#This Row],[Estimated Effort (Hours)]]&lt;50,"L2",IF(Table1[[#This Row],[Estimated Effort (Hours)]]&lt;150,"L3",IF(Table1[[#This Row],[Estimated Effort (Hours)]]&lt;300,"L4","L5")))))</f>
        <v/>
      </c>
      <c r="S727" s="184" t="str">
        <f>IF(Table1[[#This Row],[Actual End Date]]="","",TEXT(Table1[[#This Row],[Actual End Date]],"mmm-yy"))</f>
        <v/>
      </c>
      <c r="T7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7" s="185" t="str">
        <f>IFERROR((Table1[[#This Row],[Actual Effort (Hours)]]-Table1[[#This Row],[Estimated Effort (Hours)]])/Table1[[#This Row],[Estimated Effort (Hours)]],"")</f>
        <v/>
      </c>
    </row>
    <row r="728" spans="2:21">
      <c r="B728" s="125"/>
      <c r="C728" s="123"/>
      <c r="D728" s="143"/>
      <c r="E728" s="123"/>
      <c r="F728" s="143"/>
      <c r="G728" s="129"/>
      <c r="H728" s="124"/>
      <c r="I728" s="124"/>
      <c r="J728" s="129"/>
      <c r="K728" s="194"/>
      <c r="L728" s="194"/>
      <c r="M728" s="129"/>
      <c r="N728" s="129" t="e">
        <f>Table1[[#This Row],[Estimated Effort (Hours)]]/NETWORKDAYS(Table1[[#This Row],[Planned Start Date]],Table1[[#This Row],[Planned End Date]])</f>
        <v>#DIV/0!</v>
      </c>
      <c r="O728" s="178">
        <f>NETWORKDAYS(Table1[[#This Row],[Planned Start Date]],Table1[[#This Row],[Planned End Date]])</f>
        <v>0</v>
      </c>
      <c r="P728" s="178">
        <f>NETWORKDAYS(Table1[[#This Row],[Planned Start Date]],$P$7)</f>
        <v>30643</v>
      </c>
      <c r="Q728" s="129"/>
      <c r="R728" s="183" t="str">
        <f>IF(Table1[[#This Row],[Actual Effort (Hours)]]="","",IF(Table1[[#This Row],[Estimated Effort (Hours)]]&lt;20,"L1",IF(Table1[[#This Row],[Estimated Effort (Hours)]]&lt;50,"L2",IF(Table1[[#This Row],[Estimated Effort (Hours)]]&lt;150,"L3",IF(Table1[[#This Row],[Estimated Effort (Hours)]]&lt;300,"L4","L5")))))</f>
        <v/>
      </c>
      <c r="S728" s="184" t="str">
        <f>IF(Table1[[#This Row],[Actual End Date]]="","",TEXT(Table1[[#This Row],[Actual End Date]],"mmm-yy"))</f>
        <v/>
      </c>
      <c r="T7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8" s="185" t="str">
        <f>IFERROR((Table1[[#This Row],[Actual Effort (Hours)]]-Table1[[#This Row],[Estimated Effort (Hours)]])/Table1[[#This Row],[Estimated Effort (Hours)]],"")</f>
        <v/>
      </c>
    </row>
    <row r="729" spans="2:21">
      <c r="B729" s="125"/>
      <c r="C729" s="123"/>
      <c r="D729" s="143"/>
      <c r="E729" s="123"/>
      <c r="F729" s="143"/>
      <c r="G729" s="129"/>
      <c r="H729" s="124"/>
      <c r="I729" s="124"/>
      <c r="J729" s="129"/>
      <c r="K729" s="194"/>
      <c r="L729" s="194"/>
      <c r="M729" s="129"/>
      <c r="N729" s="129" t="e">
        <f>Table1[[#This Row],[Estimated Effort (Hours)]]/NETWORKDAYS(Table1[[#This Row],[Planned Start Date]],Table1[[#This Row],[Planned End Date]])</f>
        <v>#DIV/0!</v>
      </c>
      <c r="O729" s="178">
        <f>NETWORKDAYS(Table1[[#This Row],[Planned Start Date]],Table1[[#This Row],[Planned End Date]])</f>
        <v>0</v>
      </c>
      <c r="P729" s="178">
        <f>NETWORKDAYS(Table1[[#This Row],[Planned Start Date]],$P$7)</f>
        <v>30643</v>
      </c>
      <c r="Q729" s="129"/>
      <c r="R729" s="183" t="str">
        <f>IF(Table1[[#This Row],[Actual Effort (Hours)]]="","",IF(Table1[[#This Row],[Estimated Effort (Hours)]]&lt;20,"L1",IF(Table1[[#This Row],[Estimated Effort (Hours)]]&lt;50,"L2",IF(Table1[[#This Row],[Estimated Effort (Hours)]]&lt;150,"L3",IF(Table1[[#This Row],[Estimated Effort (Hours)]]&lt;300,"L4","L5")))))</f>
        <v/>
      </c>
      <c r="S729" s="184" t="str">
        <f>IF(Table1[[#This Row],[Actual End Date]]="","",TEXT(Table1[[#This Row],[Actual End Date]],"mmm-yy"))</f>
        <v/>
      </c>
      <c r="T7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29" s="185" t="str">
        <f>IFERROR((Table1[[#This Row],[Actual Effort (Hours)]]-Table1[[#This Row],[Estimated Effort (Hours)]])/Table1[[#This Row],[Estimated Effort (Hours)]],"")</f>
        <v/>
      </c>
    </row>
    <row r="730" spans="2:21">
      <c r="B730" s="125"/>
      <c r="C730" s="123"/>
      <c r="D730" s="143"/>
      <c r="E730" s="123"/>
      <c r="F730" s="143"/>
      <c r="G730" s="129"/>
      <c r="H730" s="124"/>
      <c r="I730" s="124"/>
      <c r="J730" s="129"/>
      <c r="K730" s="194"/>
      <c r="L730" s="194"/>
      <c r="M730" s="129"/>
      <c r="N730" s="129" t="e">
        <f>Table1[[#This Row],[Estimated Effort (Hours)]]/NETWORKDAYS(Table1[[#This Row],[Planned Start Date]],Table1[[#This Row],[Planned End Date]])</f>
        <v>#DIV/0!</v>
      </c>
      <c r="O730" s="178">
        <f>NETWORKDAYS(Table1[[#This Row],[Planned Start Date]],Table1[[#This Row],[Planned End Date]])</f>
        <v>0</v>
      </c>
      <c r="P730" s="178">
        <f>NETWORKDAYS(Table1[[#This Row],[Planned Start Date]],$P$7)</f>
        <v>30643</v>
      </c>
      <c r="Q730" s="129"/>
      <c r="R730" s="183" t="str">
        <f>IF(Table1[[#This Row],[Actual Effort (Hours)]]="","",IF(Table1[[#This Row],[Estimated Effort (Hours)]]&lt;20,"L1",IF(Table1[[#This Row],[Estimated Effort (Hours)]]&lt;50,"L2",IF(Table1[[#This Row],[Estimated Effort (Hours)]]&lt;150,"L3",IF(Table1[[#This Row],[Estimated Effort (Hours)]]&lt;300,"L4","L5")))))</f>
        <v/>
      </c>
      <c r="S730" s="184" t="str">
        <f>IF(Table1[[#This Row],[Actual End Date]]="","",TEXT(Table1[[#This Row],[Actual End Date]],"mmm-yy"))</f>
        <v/>
      </c>
      <c r="T7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0" s="185" t="str">
        <f>IFERROR((Table1[[#This Row],[Actual Effort (Hours)]]-Table1[[#This Row],[Estimated Effort (Hours)]])/Table1[[#This Row],[Estimated Effort (Hours)]],"")</f>
        <v/>
      </c>
    </row>
    <row r="731" spans="2:21">
      <c r="B731" s="125"/>
      <c r="C731" s="123"/>
      <c r="D731" s="143"/>
      <c r="E731" s="123"/>
      <c r="F731" s="143"/>
      <c r="G731" s="129"/>
      <c r="H731" s="124"/>
      <c r="I731" s="124"/>
      <c r="J731" s="129"/>
      <c r="K731" s="194"/>
      <c r="L731" s="194"/>
      <c r="M731" s="129"/>
      <c r="N731" s="129" t="e">
        <f>Table1[[#This Row],[Estimated Effort (Hours)]]/NETWORKDAYS(Table1[[#This Row],[Planned Start Date]],Table1[[#This Row],[Planned End Date]])</f>
        <v>#DIV/0!</v>
      </c>
      <c r="O731" s="178">
        <f>NETWORKDAYS(Table1[[#This Row],[Planned Start Date]],Table1[[#This Row],[Planned End Date]])</f>
        <v>0</v>
      </c>
      <c r="P731" s="178">
        <f>NETWORKDAYS(Table1[[#This Row],[Planned Start Date]],$P$7)</f>
        <v>30643</v>
      </c>
      <c r="Q731" s="129"/>
      <c r="R731" s="183" t="str">
        <f>IF(Table1[[#This Row],[Actual Effort (Hours)]]="","",IF(Table1[[#This Row],[Estimated Effort (Hours)]]&lt;20,"L1",IF(Table1[[#This Row],[Estimated Effort (Hours)]]&lt;50,"L2",IF(Table1[[#This Row],[Estimated Effort (Hours)]]&lt;150,"L3",IF(Table1[[#This Row],[Estimated Effort (Hours)]]&lt;300,"L4","L5")))))</f>
        <v/>
      </c>
      <c r="S731" s="184" t="str">
        <f>IF(Table1[[#This Row],[Actual End Date]]="","",TEXT(Table1[[#This Row],[Actual End Date]],"mmm-yy"))</f>
        <v/>
      </c>
      <c r="T7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1" s="185" t="str">
        <f>IFERROR((Table1[[#This Row],[Actual Effort (Hours)]]-Table1[[#This Row],[Estimated Effort (Hours)]])/Table1[[#This Row],[Estimated Effort (Hours)]],"")</f>
        <v/>
      </c>
    </row>
    <row r="732" spans="2:21">
      <c r="B732" s="125"/>
      <c r="C732" s="123"/>
      <c r="D732" s="143"/>
      <c r="E732" s="123"/>
      <c r="F732" s="143"/>
      <c r="G732" s="129"/>
      <c r="H732" s="124"/>
      <c r="I732" s="124"/>
      <c r="J732" s="129"/>
      <c r="K732" s="194"/>
      <c r="L732" s="194"/>
      <c r="M732" s="129"/>
      <c r="N732" s="129" t="e">
        <f>Table1[[#This Row],[Estimated Effort (Hours)]]/NETWORKDAYS(Table1[[#This Row],[Planned Start Date]],Table1[[#This Row],[Planned End Date]])</f>
        <v>#DIV/0!</v>
      </c>
      <c r="O732" s="178">
        <f>NETWORKDAYS(Table1[[#This Row],[Planned Start Date]],Table1[[#This Row],[Planned End Date]])</f>
        <v>0</v>
      </c>
      <c r="P732" s="178">
        <f>NETWORKDAYS(Table1[[#This Row],[Planned Start Date]],$P$7)</f>
        <v>30643</v>
      </c>
      <c r="Q732" s="129"/>
      <c r="R732" s="183" t="str">
        <f>IF(Table1[[#This Row],[Actual Effort (Hours)]]="","",IF(Table1[[#This Row],[Estimated Effort (Hours)]]&lt;20,"L1",IF(Table1[[#This Row],[Estimated Effort (Hours)]]&lt;50,"L2",IF(Table1[[#This Row],[Estimated Effort (Hours)]]&lt;150,"L3",IF(Table1[[#This Row],[Estimated Effort (Hours)]]&lt;300,"L4","L5")))))</f>
        <v/>
      </c>
      <c r="S732" s="184" t="str">
        <f>IF(Table1[[#This Row],[Actual End Date]]="","",TEXT(Table1[[#This Row],[Actual End Date]],"mmm-yy"))</f>
        <v/>
      </c>
      <c r="T7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2" s="185" t="str">
        <f>IFERROR((Table1[[#This Row],[Actual Effort (Hours)]]-Table1[[#This Row],[Estimated Effort (Hours)]])/Table1[[#This Row],[Estimated Effort (Hours)]],"")</f>
        <v/>
      </c>
    </row>
    <row r="733" spans="2:21">
      <c r="B733" s="125"/>
      <c r="C733" s="123"/>
      <c r="D733" s="143"/>
      <c r="E733" s="123"/>
      <c r="F733" s="143"/>
      <c r="G733" s="129"/>
      <c r="H733" s="124"/>
      <c r="I733" s="124"/>
      <c r="J733" s="129"/>
      <c r="K733" s="194"/>
      <c r="L733" s="194"/>
      <c r="M733" s="129"/>
      <c r="N733" s="129" t="e">
        <f>Table1[[#This Row],[Estimated Effort (Hours)]]/NETWORKDAYS(Table1[[#This Row],[Planned Start Date]],Table1[[#This Row],[Planned End Date]])</f>
        <v>#DIV/0!</v>
      </c>
      <c r="O733" s="178">
        <f>NETWORKDAYS(Table1[[#This Row],[Planned Start Date]],Table1[[#This Row],[Planned End Date]])</f>
        <v>0</v>
      </c>
      <c r="P733" s="178">
        <f>NETWORKDAYS(Table1[[#This Row],[Planned Start Date]],$P$7)</f>
        <v>30643</v>
      </c>
      <c r="Q733" s="129"/>
      <c r="R733" s="183" t="str">
        <f>IF(Table1[[#This Row],[Actual Effort (Hours)]]="","",IF(Table1[[#This Row],[Estimated Effort (Hours)]]&lt;20,"L1",IF(Table1[[#This Row],[Estimated Effort (Hours)]]&lt;50,"L2",IF(Table1[[#This Row],[Estimated Effort (Hours)]]&lt;150,"L3",IF(Table1[[#This Row],[Estimated Effort (Hours)]]&lt;300,"L4","L5")))))</f>
        <v/>
      </c>
      <c r="S733" s="184" t="str">
        <f>IF(Table1[[#This Row],[Actual End Date]]="","",TEXT(Table1[[#This Row],[Actual End Date]],"mmm-yy"))</f>
        <v/>
      </c>
      <c r="T7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3" s="185" t="str">
        <f>IFERROR((Table1[[#This Row],[Actual Effort (Hours)]]-Table1[[#This Row],[Estimated Effort (Hours)]])/Table1[[#This Row],[Estimated Effort (Hours)]],"")</f>
        <v/>
      </c>
    </row>
    <row r="734" spans="2:21">
      <c r="B734" s="125"/>
      <c r="C734" s="123"/>
      <c r="D734" s="143"/>
      <c r="E734" s="123"/>
      <c r="F734" s="143"/>
      <c r="G734" s="129"/>
      <c r="H734" s="124"/>
      <c r="I734" s="124"/>
      <c r="J734" s="129"/>
      <c r="K734" s="194"/>
      <c r="L734" s="194"/>
      <c r="M734" s="129"/>
      <c r="N734" s="129" t="e">
        <f>Table1[[#This Row],[Estimated Effort (Hours)]]/NETWORKDAYS(Table1[[#This Row],[Planned Start Date]],Table1[[#This Row],[Planned End Date]])</f>
        <v>#DIV/0!</v>
      </c>
      <c r="O734" s="178">
        <f>NETWORKDAYS(Table1[[#This Row],[Planned Start Date]],Table1[[#This Row],[Planned End Date]])</f>
        <v>0</v>
      </c>
      <c r="P734" s="178">
        <f>NETWORKDAYS(Table1[[#This Row],[Planned Start Date]],$P$7)</f>
        <v>30643</v>
      </c>
      <c r="Q734" s="129"/>
      <c r="R734" s="183" t="str">
        <f>IF(Table1[[#This Row],[Actual Effort (Hours)]]="","",IF(Table1[[#This Row],[Estimated Effort (Hours)]]&lt;20,"L1",IF(Table1[[#This Row],[Estimated Effort (Hours)]]&lt;50,"L2",IF(Table1[[#This Row],[Estimated Effort (Hours)]]&lt;150,"L3",IF(Table1[[#This Row],[Estimated Effort (Hours)]]&lt;300,"L4","L5")))))</f>
        <v/>
      </c>
      <c r="S734" s="184" t="str">
        <f>IF(Table1[[#This Row],[Actual End Date]]="","",TEXT(Table1[[#This Row],[Actual End Date]],"mmm-yy"))</f>
        <v/>
      </c>
      <c r="T7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4" s="185" t="str">
        <f>IFERROR((Table1[[#This Row],[Actual Effort (Hours)]]-Table1[[#This Row],[Estimated Effort (Hours)]])/Table1[[#This Row],[Estimated Effort (Hours)]],"")</f>
        <v/>
      </c>
    </row>
    <row r="735" spans="2:21">
      <c r="B735" s="125"/>
      <c r="C735" s="123"/>
      <c r="D735" s="143"/>
      <c r="E735" s="123"/>
      <c r="F735" s="143"/>
      <c r="G735" s="129"/>
      <c r="H735" s="124"/>
      <c r="I735" s="124"/>
      <c r="J735" s="129"/>
      <c r="K735" s="194"/>
      <c r="L735" s="194"/>
      <c r="M735" s="129"/>
      <c r="N735" s="129" t="e">
        <f>Table1[[#This Row],[Estimated Effort (Hours)]]/NETWORKDAYS(Table1[[#This Row],[Planned Start Date]],Table1[[#This Row],[Planned End Date]])</f>
        <v>#DIV/0!</v>
      </c>
      <c r="O735" s="178">
        <f>NETWORKDAYS(Table1[[#This Row],[Planned Start Date]],Table1[[#This Row],[Planned End Date]])</f>
        <v>0</v>
      </c>
      <c r="P735" s="178">
        <f>NETWORKDAYS(Table1[[#This Row],[Planned Start Date]],$P$7)</f>
        <v>30643</v>
      </c>
      <c r="Q735" s="129"/>
      <c r="R735" s="183" t="str">
        <f>IF(Table1[[#This Row],[Actual Effort (Hours)]]="","",IF(Table1[[#This Row],[Estimated Effort (Hours)]]&lt;20,"L1",IF(Table1[[#This Row],[Estimated Effort (Hours)]]&lt;50,"L2",IF(Table1[[#This Row],[Estimated Effort (Hours)]]&lt;150,"L3",IF(Table1[[#This Row],[Estimated Effort (Hours)]]&lt;300,"L4","L5")))))</f>
        <v/>
      </c>
      <c r="S735" s="184" t="str">
        <f>IF(Table1[[#This Row],[Actual End Date]]="","",TEXT(Table1[[#This Row],[Actual End Date]],"mmm-yy"))</f>
        <v/>
      </c>
      <c r="T7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5" s="185" t="str">
        <f>IFERROR((Table1[[#This Row],[Actual Effort (Hours)]]-Table1[[#This Row],[Estimated Effort (Hours)]])/Table1[[#This Row],[Estimated Effort (Hours)]],"")</f>
        <v/>
      </c>
    </row>
    <row r="736" spans="2:21">
      <c r="B736" s="125"/>
      <c r="C736" s="123"/>
      <c r="D736" s="143"/>
      <c r="E736" s="123"/>
      <c r="F736" s="143"/>
      <c r="G736" s="129"/>
      <c r="H736" s="124"/>
      <c r="I736" s="124"/>
      <c r="J736" s="129"/>
      <c r="K736" s="194"/>
      <c r="L736" s="194"/>
      <c r="M736" s="129"/>
      <c r="N736" s="129" t="e">
        <f>Table1[[#This Row],[Estimated Effort (Hours)]]/NETWORKDAYS(Table1[[#This Row],[Planned Start Date]],Table1[[#This Row],[Planned End Date]])</f>
        <v>#DIV/0!</v>
      </c>
      <c r="O736" s="178">
        <f>NETWORKDAYS(Table1[[#This Row],[Planned Start Date]],Table1[[#This Row],[Planned End Date]])</f>
        <v>0</v>
      </c>
      <c r="P736" s="178">
        <f>NETWORKDAYS(Table1[[#This Row],[Planned Start Date]],$P$7)</f>
        <v>30643</v>
      </c>
      <c r="Q736" s="129"/>
      <c r="R736" s="183" t="str">
        <f>IF(Table1[[#This Row],[Actual Effort (Hours)]]="","",IF(Table1[[#This Row],[Estimated Effort (Hours)]]&lt;20,"L1",IF(Table1[[#This Row],[Estimated Effort (Hours)]]&lt;50,"L2",IF(Table1[[#This Row],[Estimated Effort (Hours)]]&lt;150,"L3",IF(Table1[[#This Row],[Estimated Effort (Hours)]]&lt;300,"L4","L5")))))</f>
        <v/>
      </c>
      <c r="S736" s="184" t="str">
        <f>IF(Table1[[#This Row],[Actual End Date]]="","",TEXT(Table1[[#This Row],[Actual End Date]],"mmm-yy"))</f>
        <v/>
      </c>
      <c r="T7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6" s="185" t="str">
        <f>IFERROR((Table1[[#This Row],[Actual Effort (Hours)]]-Table1[[#This Row],[Estimated Effort (Hours)]])/Table1[[#This Row],[Estimated Effort (Hours)]],"")</f>
        <v/>
      </c>
    </row>
    <row r="737" spans="2:21">
      <c r="B737" s="125"/>
      <c r="C737" s="123"/>
      <c r="D737" s="143"/>
      <c r="E737" s="123"/>
      <c r="F737" s="143"/>
      <c r="G737" s="129"/>
      <c r="H737" s="124"/>
      <c r="I737" s="124"/>
      <c r="J737" s="129"/>
      <c r="K737" s="194"/>
      <c r="L737" s="194"/>
      <c r="M737" s="129"/>
      <c r="N737" s="129" t="e">
        <f>Table1[[#This Row],[Estimated Effort (Hours)]]/NETWORKDAYS(Table1[[#This Row],[Planned Start Date]],Table1[[#This Row],[Planned End Date]])</f>
        <v>#DIV/0!</v>
      </c>
      <c r="O737" s="178">
        <f>NETWORKDAYS(Table1[[#This Row],[Planned Start Date]],Table1[[#This Row],[Planned End Date]])</f>
        <v>0</v>
      </c>
      <c r="P737" s="178">
        <f>NETWORKDAYS(Table1[[#This Row],[Planned Start Date]],$P$7)</f>
        <v>30643</v>
      </c>
      <c r="Q737" s="129"/>
      <c r="R737" s="183" t="str">
        <f>IF(Table1[[#This Row],[Actual Effort (Hours)]]="","",IF(Table1[[#This Row],[Estimated Effort (Hours)]]&lt;20,"L1",IF(Table1[[#This Row],[Estimated Effort (Hours)]]&lt;50,"L2",IF(Table1[[#This Row],[Estimated Effort (Hours)]]&lt;150,"L3",IF(Table1[[#This Row],[Estimated Effort (Hours)]]&lt;300,"L4","L5")))))</f>
        <v/>
      </c>
      <c r="S737" s="184" t="str">
        <f>IF(Table1[[#This Row],[Actual End Date]]="","",TEXT(Table1[[#This Row],[Actual End Date]],"mmm-yy"))</f>
        <v/>
      </c>
      <c r="T7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7" s="185" t="str">
        <f>IFERROR((Table1[[#This Row],[Actual Effort (Hours)]]-Table1[[#This Row],[Estimated Effort (Hours)]])/Table1[[#This Row],[Estimated Effort (Hours)]],"")</f>
        <v/>
      </c>
    </row>
    <row r="738" spans="2:21">
      <c r="B738" s="125"/>
      <c r="C738" s="123"/>
      <c r="D738" s="143"/>
      <c r="E738" s="123"/>
      <c r="F738" s="143"/>
      <c r="G738" s="129"/>
      <c r="H738" s="124"/>
      <c r="I738" s="124"/>
      <c r="J738" s="129"/>
      <c r="K738" s="194"/>
      <c r="L738" s="194"/>
      <c r="M738" s="129"/>
      <c r="N738" s="129" t="e">
        <f>Table1[[#This Row],[Estimated Effort (Hours)]]/NETWORKDAYS(Table1[[#This Row],[Planned Start Date]],Table1[[#This Row],[Planned End Date]])</f>
        <v>#DIV/0!</v>
      </c>
      <c r="O738" s="178">
        <f>NETWORKDAYS(Table1[[#This Row],[Planned Start Date]],Table1[[#This Row],[Planned End Date]])</f>
        <v>0</v>
      </c>
      <c r="P738" s="178">
        <f>NETWORKDAYS(Table1[[#This Row],[Planned Start Date]],$P$7)</f>
        <v>30643</v>
      </c>
      <c r="Q738" s="129"/>
      <c r="R738" s="183" t="str">
        <f>IF(Table1[[#This Row],[Actual Effort (Hours)]]="","",IF(Table1[[#This Row],[Estimated Effort (Hours)]]&lt;20,"L1",IF(Table1[[#This Row],[Estimated Effort (Hours)]]&lt;50,"L2",IF(Table1[[#This Row],[Estimated Effort (Hours)]]&lt;150,"L3",IF(Table1[[#This Row],[Estimated Effort (Hours)]]&lt;300,"L4","L5")))))</f>
        <v/>
      </c>
      <c r="S738" s="184" t="str">
        <f>IF(Table1[[#This Row],[Actual End Date]]="","",TEXT(Table1[[#This Row],[Actual End Date]],"mmm-yy"))</f>
        <v/>
      </c>
      <c r="T7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8" s="185" t="str">
        <f>IFERROR((Table1[[#This Row],[Actual Effort (Hours)]]-Table1[[#This Row],[Estimated Effort (Hours)]])/Table1[[#This Row],[Estimated Effort (Hours)]],"")</f>
        <v/>
      </c>
    </row>
    <row r="739" spans="2:21">
      <c r="B739" s="125"/>
      <c r="C739" s="123"/>
      <c r="D739" s="143"/>
      <c r="E739" s="123"/>
      <c r="F739" s="143"/>
      <c r="G739" s="129"/>
      <c r="H739" s="124"/>
      <c r="I739" s="124"/>
      <c r="J739" s="129"/>
      <c r="K739" s="194"/>
      <c r="L739" s="194"/>
      <c r="M739" s="129"/>
      <c r="N739" s="129" t="e">
        <f>Table1[[#This Row],[Estimated Effort (Hours)]]/NETWORKDAYS(Table1[[#This Row],[Planned Start Date]],Table1[[#This Row],[Planned End Date]])</f>
        <v>#DIV/0!</v>
      </c>
      <c r="O739" s="178">
        <f>NETWORKDAYS(Table1[[#This Row],[Planned Start Date]],Table1[[#This Row],[Planned End Date]])</f>
        <v>0</v>
      </c>
      <c r="P739" s="178">
        <f>NETWORKDAYS(Table1[[#This Row],[Planned Start Date]],$P$7)</f>
        <v>30643</v>
      </c>
      <c r="Q739" s="129"/>
      <c r="R739" s="183" t="str">
        <f>IF(Table1[[#This Row],[Actual Effort (Hours)]]="","",IF(Table1[[#This Row],[Estimated Effort (Hours)]]&lt;20,"L1",IF(Table1[[#This Row],[Estimated Effort (Hours)]]&lt;50,"L2",IF(Table1[[#This Row],[Estimated Effort (Hours)]]&lt;150,"L3",IF(Table1[[#This Row],[Estimated Effort (Hours)]]&lt;300,"L4","L5")))))</f>
        <v/>
      </c>
      <c r="S739" s="184" t="str">
        <f>IF(Table1[[#This Row],[Actual End Date]]="","",TEXT(Table1[[#This Row],[Actual End Date]],"mmm-yy"))</f>
        <v/>
      </c>
      <c r="T7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39" s="185" t="str">
        <f>IFERROR((Table1[[#This Row],[Actual Effort (Hours)]]-Table1[[#This Row],[Estimated Effort (Hours)]])/Table1[[#This Row],[Estimated Effort (Hours)]],"")</f>
        <v/>
      </c>
    </row>
    <row r="740" spans="2:21">
      <c r="B740" s="125"/>
      <c r="C740" s="123"/>
      <c r="D740" s="143"/>
      <c r="E740" s="123"/>
      <c r="F740" s="143"/>
      <c r="G740" s="129"/>
      <c r="H740" s="124"/>
      <c r="I740" s="124"/>
      <c r="J740" s="129"/>
      <c r="K740" s="194"/>
      <c r="L740" s="194"/>
      <c r="M740" s="129"/>
      <c r="N740" s="129" t="e">
        <f>Table1[[#This Row],[Estimated Effort (Hours)]]/NETWORKDAYS(Table1[[#This Row],[Planned Start Date]],Table1[[#This Row],[Planned End Date]])</f>
        <v>#DIV/0!</v>
      </c>
      <c r="O740" s="178">
        <f>NETWORKDAYS(Table1[[#This Row],[Planned Start Date]],Table1[[#This Row],[Planned End Date]])</f>
        <v>0</v>
      </c>
      <c r="P740" s="178">
        <f>NETWORKDAYS(Table1[[#This Row],[Planned Start Date]],$P$7)</f>
        <v>30643</v>
      </c>
      <c r="Q740" s="129"/>
      <c r="R740" s="183" t="str">
        <f>IF(Table1[[#This Row],[Actual Effort (Hours)]]="","",IF(Table1[[#This Row],[Estimated Effort (Hours)]]&lt;20,"L1",IF(Table1[[#This Row],[Estimated Effort (Hours)]]&lt;50,"L2",IF(Table1[[#This Row],[Estimated Effort (Hours)]]&lt;150,"L3",IF(Table1[[#This Row],[Estimated Effort (Hours)]]&lt;300,"L4","L5")))))</f>
        <v/>
      </c>
      <c r="S740" s="184" t="str">
        <f>IF(Table1[[#This Row],[Actual End Date]]="","",TEXT(Table1[[#This Row],[Actual End Date]],"mmm-yy"))</f>
        <v/>
      </c>
      <c r="T7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0" s="185" t="str">
        <f>IFERROR((Table1[[#This Row],[Actual Effort (Hours)]]-Table1[[#This Row],[Estimated Effort (Hours)]])/Table1[[#This Row],[Estimated Effort (Hours)]],"")</f>
        <v/>
      </c>
    </row>
    <row r="741" spans="2:21">
      <c r="B741" s="125"/>
      <c r="C741" s="123"/>
      <c r="D741" s="143"/>
      <c r="E741" s="123"/>
      <c r="F741" s="143"/>
      <c r="G741" s="129"/>
      <c r="H741" s="124"/>
      <c r="I741" s="124"/>
      <c r="J741" s="129"/>
      <c r="K741" s="194"/>
      <c r="L741" s="194"/>
      <c r="M741" s="129"/>
      <c r="N741" s="129" t="e">
        <f>Table1[[#This Row],[Estimated Effort (Hours)]]/NETWORKDAYS(Table1[[#This Row],[Planned Start Date]],Table1[[#This Row],[Planned End Date]])</f>
        <v>#DIV/0!</v>
      </c>
      <c r="O741" s="178">
        <f>NETWORKDAYS(Table1[[#This Row],[Planned Start Date]],Table1[[#This Row],[Planned End Date]])</f>
        <v>0</v>
      </c>
      <c r="P741" s="178">
        <f>NETWORKDAYS(Table1[[#This Row],[Planned Start Date]],$P$7)</f>
        <v>30643</v>
      </c>
      <c r="Q741" s="129"/>
      <c r="R741" s="183" t="str">
        <f>IF(Table1[[#This Row],[Actual Effort (Hours)]]="","",IF(Table1[[#This Row],[Estimated Effort (Hours)]]&lt;20,"L1",IF(Table1[[#This Row],[Estimated Effort (Hours)]]&lt;50,"L2",IF(Table1[[#This Row],[Estimated Effort (Hours)]]&lt;150,"L3",IF(Table1[[#This Row],[Estimated Effort (Hours)]]&lt;300,"L4","L5")))))</f>
        <v/>
      </c>
      <c r="S741" s="184" t="str">
        <f>IF(Table1[[#This Row],[Actual End Date]]="","",TEXT(Table1[[#This Row],[Actual End Date]],"mmm-yy"))</f>
        <v/>
      </c>
      <c r="T7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1" s="185" t="str">
        <f>IFERROR((Table1[[#This Row],[Actual Effort (Hours)]]-Table1[[#This Row],[Estimated Effort (Hours)]])/Table1[[#This Row],[Estimated Effort (Hours)]],"")</f>
        <v/>
      </c>
    </row>
    <row r="742" spans="2:21">
      <c r="B742" s="125"/>
      <c r="C742" s="123"/>
      <c r="D742" s="143"/>
      <c r="E742" s="123"/>
      <c r="F742" s="143"/>
      <c r="G742" s="129"/>
      <c r="H742" s="124"/>
      <c r="I742" s="124"/>
      <c r="J742" s="129"/>
      <c r="K742" s="194"/>
      <c r="L742" s="194"/>
      <c r="M742" s="129"/>
      <c r="N742" s="129" t="e">
        <f>Table1[[#This Row],[Estimated Effort (Hours)]]/NETWORKDAYS(Table1[[#This Row],[Planned Start Date]],Table1[[#This Row],[Planned End Date]])</f>
        <v>#DIV/0!</v>
      </c>
      <c r="O742" s="178">
        <f>NETWORKDAYS(Table1[[#This Row],[Planned Start Date]],Table1[[#This Row],[Planned End Date]])</f>
        <v>0</v>
      </c>
      <c r="P742" s="178">
        <f>NETWORKDAYS(Table1[[#This Row],[Planned Start Date]],$P$7)</f>
        <v>30643</v>
      </c>
      <c r="Q742" s="129"/>
      <c r="R742" s="183" t="str">
        <f>IF(Table1[[#This Row],[Actual Effort (Hours)]]="","",IF(Table1[[#This Row],[Estimated Effort (Hours)]]&lt;20,"L1",IF(Table1[[#This Row],[Estimated Effort (Hours)]]&lt;50,"L2",IF(Table1[[#This Row],[Estimated Effort (Hours)]]&lt;150,"L3",IF(Table1[[#This Row],[Estimated Effort (Hours)]]&lt;300,"L4","L5")))))</f>
        <v/>
      </c>
      <c r="S742" s="184" t="str">
        <f>IF(Table1[[#This Row],[Actual End Date]]="","",TEXT(Table1[[#This Row],[Actual End Date]],"mmm-yy"))</f>
        <v/>
      </c>
      <c r="T7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2" s="185" t="str">
        <f>IFERROR((Table1[[#This Row],[Actual Effort (Hours)]]-Table1[[#This Row],[Estimated Effort (Hours)]])/Table1[[#This Row],[Estimated Effort (Hours)]],"")</f>
        <v/>
      </c>
    </row>
    <row r="743" spans="2:21">
      <c r="B743" s="125"/>
      <c r="C743" s="123"/>
      <c r="D743" s="143"/>
      <c r="E743" s="123"/>
      <c r="F743" s="143"/>
      <c r="G743" s="129"/>
      <c r="H743" s="124"/>
      <c r="I743" s="124"/>
      <c r="J743" s="129"/>
      <c r="K743" s="194"/>
      <c r="L743" s="194"/>
      <c r="M743" s="129"/>
      <c r="N743" s="129" t="e">
        <f>Table1[[#This Row],[Estimated Effort (Hours)]]/NETWORKDAYS(Table1[[#This Row],[Planned Start Date]],Table1[[#This Row],[Planned End Date]])</f>
        <v>#DIV/0!</v>
      </c>
      <c r="O743" s="178">
        <f>NETWORKDAYS(Table1[[#This Row],[Planned Start Date]],Table1[[#This Row],[Planned End Date]])</f>
        <v>0</v>
      </c>
      <c r="P743" s="178">
        <f>NETWORKDAYS(Table1[[#This Row],[Planned Start Date]],$P$7)</f>
        <v>30643</v>
      </c>
      <c r="Q743" s="129"/>
      <c r="R743" s="183" t="str">
        <f>IF(Table1[[#This Row],[Actual Effort (Hours)]]="","",IF(Table1[[#This Row],[Estimated Effort (Hours)]]&lt;20,"L1",IF(Table1[[#This Row],[Estimated Effort (Hours)]]&lt;50,"L2",IF(Table1[[#This Row],[Estimated Effort (Hours)]]&lt;150,"L3",IF(Table1[[#This Row],[Estimated Effort (Hours)]]&lt;300,"L4","L5")))))</f>
        <v/>
      </c>
      <c r="S743" s="184" t="str">
        <f>IF(Table1[[#This Row],[Actual End Date]]="","",TEXT(Table1[[#This Row],[Actual End Date]],"mmm-yy"))</f>
        <v/>
      </c>
      <c r="T7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3" s="185" t="str">
        <f>IFERROR((Table1[[#This Row],[Actual Effort (Hours)]]-Table1[[#This Row],[Estimated Effort (Hours)]])/Table1[[#This Row],[Estimated Effort (Hours)]],"")</f>
        <v/>
      </c>
    </row>
    <row r="744" spans="2:21">
      <c r="B744" s="125"/>
      <c r="C744" s="123"/>
      <c r="D744" s="143"/>
      <c r="E744" s="123"/>
      <c r="F744" s="143"/>
      <c r="G744" s="129"/>
      <c r="H744" s="124"/>
      <c r="I744" s="124"/>
      <c r="J744" s="129"/>
      <c r="K744" s="194"/>
      <c r="L744" s="194"/>
      <c r="M744" s="129"/>
      <c r="N744" s="129" t="e">
        <f>Table1[[#This Row],[Estimated Effort (Hours)]]/NETWORKDAYS(Table1[[#This Row],[Planned Start Date]],Table1[[#This Row],[Planned End Date]])</f>
        <v>#DIV/0!</v>
      </c>
      <c r="O744" s="178">
        <f>NETWORKDAYS(Table1[[#This Row],[Planned Start Date]],Table1[[#This Row],[Planned End Date]])</f>
        <v>0</v>
      </c>
      <c r="P744" s="178">
        <f>NETWORKDAYS(Table1[[#This Row],[Planned Start Date]],$P$7)</f>
        <v>30643</v>
      </c>
      <c r="Q744" s="129"/>
      <c r="R744" s="183" t="str">
        <f>IF(Table1[[#This Row],[Actual Effort (Hours)]]="","",IF(Table1[[#This Row],[Estimated Effort (Hours)]]&lt;20,"L1",IF(Table1[[#This Row],[Estimated Effort (Hours)]]&lt;50,"L2",IF(Table1[[#This Row],[Estimated Effort (Hours)]]&lt;150,"L3",IF(Table1[[#This Row],[Estimated Effort (Hours)]]&lt;300,"L4","L5")))))</f>
        <v/>
      </c>
      <c r="S744" s="184" t="str">
        <f>IF(Table1[[#This Row],[Actual End Date]]="","",TEXT(Table1[[#This Row],[Actual End Date]],"mmm-yy"))</f>
        <v/>
      </c>
      <c r="T7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4" s="185" t="str">
        <f>IFERROR((Table1[[#This Row],[Actual Effort (Hours)]]-Table1[[#This Row],[Estimated Effort (Hours)]])/Table1[[#This Row],[Estimated Effort (Hours)]],"")</f>
        <v/>
      </c>
    </row>
    <row r="745" spans="2:21">
      <c r="B745" s="125"/>
      <c r="C745" s="123"/>
      <c r="D745" s="143"/>
      <c r="E745" s="123"/>
      <c r="F745" s="143"/>
      <c r="G745" s="129"/>
      <c r="H745" s="124"/>
      <c r="I745" s="124"/>
      <c r="J745" s="129"/>
      <c r="K745" s="194"/>
      <c r="L745" s="194"/>
      <c r="M745" s="129"/>
      <c r="N745" s="129" t="e">
        <f>Table1[[#This Row],[Estimated Effort (Hours)]]/NETWORKDAYS(Table1[[#This Row],[Planned Start Date]],Table1[[#This Row],[Planned End Date]])</f>
        <v>#DIV/0!</v>
      </c>
      <c r="O745" s="178">
        <f>NETWORKDAYS(Table1[[#This Row],[Planned Start Date]],Table1[[#This Row],[Planned End Date]])</f>
        <v>0</v>
      </c>
      <c r="P745" s="178">
        <f>NETWORKDAYS(Table1[[#This Row],[Planned Start Date]],$P$7)</f>
        <v>30643</v>
      </c>
      <c r="Q745" s="129"/>
      <c r="R745" s="183" t="str">
        <f>IF(Table1[[#This Row],[Actual Effort (Hours)]]="","",IF(Table1[[#This Row],[Estimated Effort (Hours)]]&lt;20,"L1",IF(Table1[[#This Row],[Estimated Effort (Hours)]]&lt;50,"L2",IF(Table1[[#This Row],[Estimated Effort (Hours)]]&lt;150,"L3",IF(Table1[[#This Row],[Estimated Effort (Hours)]]&lt;300,"L4","L5")))))</f>
        <v/>
      </c>
      <c r="S745" s="184" t="str">
        <f>IF(Table1[[#This Row],[Actual End Date]]="","",TEXT(Table1[[#This Row],[Actual End Date]],"mmm-yy"))</f>
        <v/>
      </c>
      <c r="T7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5" s="185" t="str">
        <f>IFERROR((Table1[[#This Row],[Actual Effort (Hours)]]-Table1[[#This Row],[Estimated Effort (Hours)]])/Table1[[#This Row],[Estimated Effort (Hours)]],"")</f>
        <v/>
      </c>
    </row>
    <row r="746" spans="2:21">
      <c r="B746" s="125"/>
      <c r="C746" s="123"/>
      <c r="D746" s="143"/>
      <c r="E746" s="123"/>
      <c r="F746" s="143"/>
      <c r="G746" s="129"/>
      <c r="H746" s="124"/>
      <c r="I746" s="124"/>
      <c r="J746" s="129"/>
      <c r="K746" s="194"/>
      <c r="L746" s="194"/>
      <c r="M746" s="129"/>
      <c r="N746" s="129" t="e">
        <f>Table1[[#This Row],[Estimated Effort (Hours)]]/NETWORKDAYS(Table1[[#This Row],[Planned Start Date]],Table1[[#This Row],[Planned End Date]])</f>
        <v>#DIV/0!</v>
      </c>
      <c r="O746" s="178">
        <f>NETWORKDAYS(Table1[[#This Row],[Planned Start Date]],Table1[[#This Row],[Planned End Date]])</f>
        <v>0</v>
      </c>
      <c r="P746" s="178">
        <f>NETWORKDAYS(Table1[[#This Row],[Planned Start Date]],$P$7)</f>
        <v>30643</v>
      </c>
      <c r="Q746" s="129"/>
      <c r="R746" s="183" t="str">
        <f>IF(Table1[[#This Row],[Actual Effort (Hours)]]="","",IF(Table1[[#This Row],[Estimated Effort (Hours)]]&lt;20,"L1",IF(Table1[[#This Row],[Estimated Effort (Hours)]]&lt;50,"L2",IF(Table1[[#This Row],[Estimated Effort (Hours)]]&lt;150,"L3",IF(Table1[[#This Row],[Estimated Effort (Hours)]]&lt;300,"L4","L5")))))</f>
        <v/>
      </c>
      <c r="S746" s="184" t="str">
        <f>IF(Table1[[#This Row],[Actual End Date]]="","",TEXT(Table1[[#This Row],[Actual End Date]],"mmm-yy"))</f>
        <v/>
      </c>
      <c r="T7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6" s="185" t="str">
        <f>IFERROR((Table1[[#This Row],[Actual Effort (Hours)]]-Table1[[#This Row],[Estimated Effort (Hours)]])/Table1[[#This Row],[Estimated Effort (Hours)]],"")</f>
        <v/>
      </c>
    </row>
    <row r="747" spans="2:21">
      <c r="B747" s="125"/>
      <c r="C747" s="123"/>
      <c r="D747" s="143"/>
      <c r="E747" s="123"/>
      <c r="F747" s="143"/>
      <c r="G747" s="129"/>
      <c r="H747" s="124"/>
      <c r="I747" s="124"/>
      <c r="J747" s="129"/>
      <c r="K747" s="194"/>
      <c r="L747" s="194"/>
      <c r="M747" s="129"/>
      <c r="N747" s="129" t="e">
        <f>Table1[[#This Row],[Estimated Effort (Hours)]]/NETWORKDAYS(Table1[[#This Row],[Planned Start Date]],Table1[[#This Row],[Planned End Date]])</f>
        <v>#DIV/0!</v>
      </c>
      <c r="O747" s="178">
        <f>NETWORKDAYS(Table1[[#This Row],[Planned Start Date]],Table1[[#This Row],[Planned End Date]])</f>
        <v>0</v>
      </c>
      <c r="P747" s="178">
        <f>NETWORKDAYS(Table1[[#This Row],[Planned Start Date]],$P$7)</f>
        <v>30643</v>
      </c>
      <c r="Q747" s="129"/>
      <c r="R747" s="183" t="str">
        <f>IF(Table1[[#This Row],[Actual Effort (Hours)]]="","",IF(Table1[[#This Row],[Estimated Effort (Hours)]]&lt;20,"L1",IF(Table1[[#This Row],[Estimated Effort (Hours)]]&lt;50,"L2",IF(Table1[[#This Row],[Estimated Effort (Hours)]]&lt;150,"L3",IF(Table1[[#This Row],[Estimated Effort (Hours)]]&lt;300,"L4","L5")))))</f>
        <v/>
      </c>
      <c r="S747" s="184" t="str">
        <f>IF(Table1[[#This Row],[Actual End Date]]="","",TEXT(Table1[[#This Row],[Actual End Date]],"mmm-yy"))</f>
        <v/>
      </c>
      <c r="T7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7" s="185" t="str">
        <f>IFERROR((Table1[[#This Row],[Actual Effort (Hours)]]-Table1[[#This Row],[Estimated Effort (Hours)]])/Table1[[#This Row],[Estimated Effort (Hours)]],"")</f>
        <v/>
      </c>
    </row>
    <row r="748" spans="2:21">
      <c r="B748" s="125"/>
      <c r="C748" s="123"/>
      <c r="D748" s="143"/>
      <c r="E748" s="123"/>
      <c r="F748" s="143"/>
      <c r="G748" s="129"/>
      <c r="H748" s="124"/>
      <c r="I748" s="124"/>
      <c r="J748" s="129"/>
      <c r="K748" s="194"/>
      <c r="L748" s="194"/>
      <c r="M748" s="129"/>
      <c r="N748" s="129" t="e">
        <f>Table1[[#This Row],[Estimated Effort (Hours)]]/NETWORKDAYS(Table1[[#This Row],[Planned Start Date]],Table1[[#This Row],[Planned End Date]])</f>
        <v>#DIV/0!</v>
      </c>
      <c r="O748" s="178">
        <f>NETWORKDAYS(Table1[[#This Row],[Planned Start Date]],Table1[[#This Row],[Planned End Date]])</f>
        <v>0</v>
      </c>
      <c r="P748" s="178">
        <f>NETWORKDAYS(Table1[[#This Row],[Planned Start Date]],$P$7)</f>
        <v>30643</v>
      </c>
      <c r="Q748" s="129"/>
      <c r="R748" s="183" t="str">
        <f>IF(Table1[[#This Row],[Actual Effort (Hours)]]="","",IF(Table1[[#This Row],[Estimated Effort (Hours)]]&lt;20,"L1",IF(Table1[[#This Row],[Estimated Effort (Hours)]]&lt;50,"L2",IF(Table1[[#This Row],[Estimated Effort (Hours)]]&lt;150,"L3",IF(Table1[[#This Row],[Estimated Effort (Hours)]]&lt;300,"L4","L5")))))</f>
        <v/>
      </c>
      <c r="S748" s="184" t="str">
        <f>IF(Table1[[#This Row],[Actual End Date]]="","",TEXT(Table1[[#This Row],[Actual End Date]],"mmm-yy"))</f>
        <v/>
      </c>
      <c r="T7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8" s="185" t="str">
        <f>IFERROR((Table1[[#This Row],[Actual Effort (Hours)]]-Table1[[#This Row],[Estimated Effort (Hours)]])/Table1[[#This Row],[Estimated Effort (Hours)]],"")</f>
        <v/>
      </c>
    </row>
    <row r="749" spans="2:21">
      <c r="B749" s="125"/>
      <c r="C749" s="123"/>
      <c r="D749" s="143"/>
      <c r="E749" s="123"/>
      <c r="F749" s="143"/>
      <c r="G749" s="129"/>
      <c r="H749" s="124"/>
      <c r="I749" s="124"/>
      <c r="J749" s="129"/>
      <c r="K749" s="194"/>
      <c r="L749" s="194"/>
      <c r="M749" s="129"/>
      <c r="N749" s="129" t="e">
        <f>Table1[[#This Row],[Estimated Effort (Hours)]]/NETWORKDAYS(Table1[[#This Row],[Planned Start Date]],Table1[[#This Row],[Planned End Date]])</f>
        <v>#DIV/0!</v>
      </c>
      <c r="O749" s="178">
        <f>NETWORKDAYS(Table1[[#This Row],[Planned Start Date]],Table1[[#This Row],[Planned End Date]])</f>
        <v>0</v>
      </c>
      <c r="P749" s="178">
        <f>NETWORKDAYS(Table1[[#This Row],[Planned Start Date]],$P$7)</f>
        <v>30643</v>
      </c>
      <c r="Q749" s="129"/>
      <c r="R749" s="183" t="str">
        <f>IF(Table1[[#This Row],[Actual Effort (Hours)]]="","",IF(Table1[[#This Row],[Estimated Effort (Hours)]]&lt;20,"L1",IF(Table1[[#This Row],[Estimated Effort (Hours)]]&lt;50,"L2",IF(Table1[[#This Row],[Estimated Effort (Hours)]]&lt;150,"L3",IF(Table1[[#This Row],[Estimated Effort (Hours)]]&lt;300,"L4","L5")))))</f>
        <v/>
      </c>
      <c r="S749" s="184" t="str">
        <f>IF(Table1[[#This Row],[Actual End Date]]="","",TEXT(Table1[[#This Row],[Actual End Date]],"mmm-yy"))</f>
        <v/>
      </c>
      <c r="T7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49" s="185" t="str">
        <f>IFERROR((Table1[[#This Row],[Actual Effort (Hours)]]-Table1[[#This Row],[Estimated Effort (Hours)]])/Table1[[#This Row],[Estimated Effort (Hours)]],"")</f>
        <v/>
      </c>
    </row>
    <row r="750" spans="2:21">
      <c r="B750" s="125"/>
      <c r="C750" s="123"/>
      <c r="D750" s="143"/>
      <c r="E750" s="123"/>
      <c r="F750" s="143"/>
      <c r="G750" s="129"/>
      <c r="H750" s="124"/>
      <c r="I750" s="124"/>
      <c r="J750" s="129"/>
      <c r="K750" s="194"/>
      <c r="L750" s="194"/>
      <c r="M750" s="129"/>
      <c r="N750" s="129" t="e">
        <f>Table1[[#This Row],[Estimated Effort (Hours)]]/NETWORKDAYS(Table1[[#This Row],[Planned Start Date]],Table1[[#This Row],[Planned End Date]])</f>
        <v>#DIV/0!</v>
      </c>
      <c r="O750" s="178">
        <f>NETWORKDAYS(Table1[[#This Row],[Planned Start Date]],Table1[[#This Row],[Planned End Date]])</f>
        <v>0</v>
      </c>
      <c r="P750" s="178">
        <f>NETWORKDAYS(Table1[[#This Row],[Planned Start Date]],$P$7)</f>
        <v>30643</v>
      </c>
      <c r="Q750" s="129"/>
      <c r="R750" s="183" t="str">
        <f>IF(Table1[[#This Row],[Actual Effort (Hours)]]="","",IF(Table1[[#This Row],[Estimated Effort (Hours)]]&lt;20,"L1",IF(Table1[[#This Row],[Estimated Effort (Hours)]]&lt;50,"L2",IF(Table1[[#This Row],[Estimated Effort (Hours)]]&lt;150,"L3",IF(Table1[[#This Row],[Estimated Effort (Hours)]]&lt;300,"L4","L5")))))</f>
        <v/>
      </c>
      <c r="S750" s="184" t="str">
        <f>IF(Table1[[#This Row],[Actual End Date]]="","",TEXT(Table1[[#This Row],[Actual End Date]],"mmm-yy"))</f>
        <v/>
      </c>
      <c r="T7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0" s="185" t="str">
        <f>IFERROR((Table1[[#This Row],[Actual Effort (Hours)]]-Table1[[#This Row],[Estimated Effort (Hours)]])/Table1[[#This Row],[Estimated Effort (Hours)]],"")</f>
        <v/>
      </c>
    </row>
    <row r="751" spans="2:21">
      <c r="B751" s="125"/>
      <c r="C751" s="123"/>
      <c r="D751" s="143"/>
      <c r="E751" s="123"/>
      <c r="F751" s="143"/>
      <c r="G751" s="129"/>
      <c r="H751" s="124"/>
      <c r="I751" s="124"/>
      <c r="J751" s="129"/>
      <c r="K751" s="194"/>
      <c r="L751" s="194"/>
      <c r="M751" s="129"/>
      <c r="N751" s="129" t="e">
        <f>Table1[[#This Row],[Estimated Effort (Hours)]]/NETWORKDAYS(Table1[[#This Row],[Planned Start Date]],Table1[[#This Row],[Planned End Date]])</f>
        <v>#DIV/0!</v>
      </c>
      <c r="O751" s="178">
        <f>NETWORKDAYS(Table1[[#This Row],[Planned Start Date]],Table1[[#This Row],[Planned End Date]])</f>
        <v>0</v>
      </c>
      <c r="P751" s="178">
        <f>NETWORKDAYS(Table1[[#This Row],[Planned Start Date]],$P$7)</f>
        <v>30643</v>
      </c>
      <c r="Q751" s="129"/>
      <c r="R751" s="183" t="str">
        <f>IF(Table1[[#This Row],[Actual Effort (Hours)]]="","",IF(Table1[[#This Row],[Estimated Effort (Hours)]]&lt;20,"L1",IF(Table1[[#This Row],[Estimated Effort (Hours)]]&lt;50,"L2",IF(Table1[[#This Row],[Estimated Effort (Hours)]]&lt;150,"L3",IF(Table1[[#This Row],[Estimated Effort (Hours)]]&lt;300,"L4","L5")))))</f>
        <v/>
      </c>
      <c r="S751" s="184" t="str">
        <f>IF(Table1[[#This Row],[Actual End Date]]="","",TEXT(Table1[[#This Row],[Actual End Date]],"mmm-yy"))</f>
        <v/>
      </c>
      <c r="T7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1" s="185" t="str">
        <f>IFERROR((Table1[[#This Row],[Actual Effort (Hours)]]-Table1[[#This Row],[Estimated Effort (Hours)]])/Table1[[#This Row],[Estimated Effort (Hours)]],"")</f>
        <v/>
      </c>
    </row>
    <row r="752" spans="2:21">
      <c r="B752" s="125"/>
      <c r="C752" s="123"/>
      <c r="D752" s="143"/>
      <c r="E752" s="123"/>
      <c r="F752" s="143"/>
      <c r="G752" s="129"/>
      <c r="H752" s="124"/>
      <c r="I752" s="124"/>
      <c r="J752" s="129"/>
      <c r="K752" s="194"/>
      <c r="L752" s="194"/>
      <c r="M752" s="129"/>
      <c r="N752" s="129" t="e">
        <f>Table1[[#This Row],[Estimated Effort (Hours)]]/NETWORKDAYS(Table1[[#This Row],[Planned Start Date]],Table1[[#This Row],[Planned End Date]])</f>
        <v>#DIV/0!</v>
      </c>
      <c r="O752" s="178">
        <f>NETWORKDAYS(Table1[[#This Row],[Planned Start Date]],Table1[[#This Row],[Planned End Date]])</f>
        <v>0</v>
      </c>
      <c r="P752" s="178">
        <f>NETWORKDAYS(Table1[[#This Row],[Planned Start Date]],$P$7)</f>
        <v>30643</v>
      </c>
      <c r="Q752" s="129"/>
      <c r="R752" s="183" t="str">
        <f>IF(Table1[[#This Row],[Actual Effort (Hours)]]="","",IF(Table1[[#This Row],[Estimated Effort (Hours)]]&lt;20,"L1",IF(Table1[[#This Row],[Estimated Effort (Hours)]]&lt;50,"L2",IF(Table1[[#This Row],[Estimated Effort (Hours)]]&lt;150,"L3",IF(Table1[[#This Row],[Estimated Effort (Hours)]]&lt;300,"L4","L5")))))</f>
        <v/>
      </c>
      <c r="S752" s="184" t="str">
        <f>IF(Table1[[#This Row],[Actual End Date]]="","",TEXT(Table1[[#This Row],[Actual End Date]],"mmm-yy"))</f>
        <v/>
      </c>
      <c r="T7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2" s="185" t="str">
        <f>IFERROR((Table1[[#This Row],[Actual Effort (Hours)]]-Table1[[#This Row],[Estimated Effort (Hours)]])/Table1[[#This Row],[Estimated Effort (Hours)]],"")</f>
        <v/>
      </c>
    </row>
    <row r="753" spans="2:21">
      <c r="B753" s="125"/>
      <c r="C753" s="123"/>
      <c r="D753" s="143"/>
      <c r="E753" s="123"/>
      <c r="F753" s="143"/>
      <c r="G753" s="129"/>
      <c r="H753" s="124"/>
      <c r="I753" s="124"/>
      <c r="J753" s="129"/>
      <c r="K753" s="194"/>
      <c r="L753" s="194"/>
      <c r="M753" s="129"/>
      <c r="N753" s="129" t="e">
        <f>Table1[[#This Row],[Estimated Effort (Hours)]]/NETWORKDAYS(Table1[[#This Row],[Planned Start Date]],Table1[[#This Row],[Planned End Date]])</f>
        <v>#DIV/0!</v>
      </c>
      <c r="O753" s="178">
        <f>NETWORKDAYS(Table1[[#This Row],[Planned Start Date]],Table1[[#This Row],[Planned End Date]])</f>
        <v>0</v>
      </c>
      <c r="P753" s="178">
        <f>NETWORKDAYS(Table1[[#This Row],[Planned Start Date]],$P$7)</f>
        <v>30643</v>
      </c>
      <c r="Q753" s="129"/>
      <c r="R753" s="183" t="str">
        <f>IF(Table1[[#This Row],[Actual Effort (Hours)]]="","",IF(Table1[[#This Row],[Estimated Effort (Hours)]]&lt;20,"L1",IF(Table1[[#This Row],[Estimated Effort (Hours)]]&lt;50,"L2",IF(Table1[[#This Row],[Estimated Effort (Hours)]]&lt;150,"L3",IF(Table1[[#This Row],[Estimated Effort (Hours)]]&lt;300,"L4","L5")))))</f>
        <v/>
      </c>
      <c r="S753" s="184" t="str">
        <f>IF(Table1[[#This Row],[Actual End Date]]="","",TEXT(Table1[[#This Row],[Actual End Date]],"mmm-yy"))</f>
        <v/>
      </c>
      <c r="T7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3" s="185" t="str">
        <f>IFERROR((Table1[[#This Row],[Actual Effort (Hours)]]-Table1[[#This Row],[Estimated Effort (Hours)]])/Table1[[#This Row],[Estimated Effort (Hours)]],"")</f>
        <v/>
      </c>
    </row>
    <row r="754" spans="2:21">
      <c r="B754" s="125"/>
      <c r="C754" s="123"/>
      <c r="D754" s="143"/>
      <c r="E754" s="123"/>
      <c r="F754" s="143"/>
      <c r="G754" s="129"/>
      <c r="H754" s="124"/>
      <c r="I754" s="124"/>
      <c r="J754" s="129"/>
      <c r="K754" s="194"/>
      <c r="L754" s="194"/>
      <c r="M754" s="129"/>
      <c r="N754" s="129" t="e">
        <f>Table1[[#This Row],[Estimated Effort (Hours)]]/NETWORKDAYS(Table1[[#This Row],[Planned Start Date]],Table1[[#This Row],[Planned End Date]])</f>
        <v>#DIV/0!</v>
      </c>
      <c r="O754" s="178">
        <f>NETWORKDAYS(Table1[[#This Row],[Planned Start Date]],Table1[[#This Row],[Planned End Date]])</f>
        <v>0</v>
      </c>
      <c r="P754" s="178">
        <f>NETWORKDAYS(Table1[[#This Row],[Planned Start Date]],$P$7)</f>
        <v>30643</v>
      </c>
      <c r="Q754" s="129"/>
      <c r="R754" s="183" t="str">
        <f>IF(Table1[[#This Row],[Actual Effort (Hours)]]="","",IF(Table1[[#This Row],[Estimated Effort (Hours)]]&lt;20,"L1",IF(Table1[[#This Row],[Estimated Effort (Hours)]]&lt;50,"L2",IF(Table1[[#This Row],[Estimated Effort (Hours)]]&lt;150,"L3",IF(Table1[[#This Row],[Estimated Effort (Hours)]]&lt;300,"L4","L5")))))</f>
        <v/>
      </c>
      <c r="S754" s="184" t="str">
        <f>IF(Table1[[#This Row],[Actual End Date]]="","",TEXT(Table1[[#This Row],[Actual End Date]],"mmm-yy"))</f>
        <v/>
      </c>
      <c r="T7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4" s="185" t="str">
        <f>IFERROR((Table1[[#This Row],[Actual Effort (Hours)]]-Table1[[#This Row],[Estimated Effort (Hours)]])/Table1[[#This Row],[Estimated Effort (Hours)]],"")</f>
        <v/>
      </c>
    </row>
    <row r="755" spans="2:21">
      <c r="B755" s="125"/>
      <c r="C755" s="123"/>
      <c r="D755" s="143"/>
      <c r="E755" s="123"/>
      <c r="F755" s="143"/>
      <c r="G755" s="129"/>
      <c r="H755" s="124"/>
      <c r="I755" s="124"/>
      <c r="J755" s="129"/>
      <c r="K755" s="194"/>
      <c r="L755" s="194"/>
      <c r="M755" s="129"/>
      <c r="N755" s="129" t="e">
        <f>Table1[[#This Row],[Estimated Effort (Hours)]]/NETWORKDAYS(Table1[[#This Row],[Planned Start Date]],Table1[[#This Row],[Planned End Date]])</f>
        <v>#DIV/0!</v>
      </c>
      <c r="O755" s="178">
        <f>NETWORKDAYS(Table1[[#This Row],[Planned Start Date]],Table1[[#This Row],[Planned End Date]])</f>
        <v>0</v>
      </c>
      <c r="P755" s="178">
        <f>NETWORKDAYS(Table1[[#This Row],[Planned Start Date]],$P$7)</f>
        <v>30643</v>
      </c>
      <c r="Q755" s="129"/>
      <c r="R755" s="183" t="str">
        <f>IF(Table1[[#This Row],[Actual Effort (Hours)]]="","",IF(Table1[[#This Row],[Estimated Effort (Hours)]]&lt;20,"L1",IF(Table1[[#This Row],[Estimated Effort (Hours)]]&lt;50,"L2",IF(Table1[[#This Row],[Estimated Effort (Hours)]]&lt;150,"L3",IF(Table1[[#This Row],[Estimated Effort (Hours)]]&lt;300,"L4","L5")))))</f>
        <v/>
      </c>
      <c r="S755" s="184" t="str">
        <f>IF(Table1[[#This Row],[Actual End Date]]="","",TEXT(Table1[[#This Row],[Actual End Date]],"mmm-yy"))</f>
        <v/>
      </c>
      <c r="T7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5" s="185" t="str">
        <f>IFERROR((Table1[[#This Row],[Actual Effort (Hours)]]-Table1[[#This Row],[Estimated Effort (Hours)]])/Table1[[#This Row],[Estimated Effort (Hours)]],"")</f>
        <v/>
      </c>
    </row>
    <row r="756" spans="2:21">
      <c r="B756" s="125"/>
      <c r="C756" s="123"/>
      <c r="D756" s="143"/>
      <c r="E756" s="123"/>
      <c r="F756" s="143"/>
      <c r="G756" s="129"/>
      <c r="H756" s="124"/>
      <c r="I756" s="124"/>
      <c r="J756" s="129"/>
      <c r="K756" s="194"/>
      <c r="L756" s="194"/>
      <c r="M756" s="129"/>
      <c r="N756" s="129" t="e">
        <f>Table1[[#This Row],[Estimated Effort (Hours)]]/NETWORKDAYS(Table1[[#This Row],[Planned Start Date]],Table1[[#This Row],[Planned End Date]])</f>
        <v>#DIV/0!</v>
      </c>
      <c r="O756" s="178">
        <f>NETWORKDAYS(Table1[[#This Row],[Planned Start Date]],Table1[[#This Row],[Planned End Date]])</f>
        <v>0</v>
      </c>
      <c r="P756" s="178">
        <f>NETWORKDAYS(Table1[[#This Row],[Planned Start Date]],$P$7)</f>
        <v>30643</v>
      </c>
      <c r="Q756" s="129"/>
      <c r="R756" s="183" t="str">
        <f>IF(Table1[[#This Row],[Actual Effort (Hours)]]="","",IF(Table1[[#This Row],[Estimated Effort (Hours)]]&lt;20,"L1",IF(Table1[[#This Row],[Estimated Effort (Hours)]]&lt;50,"L2",IF(Table1[[#This Row],[Estimated Effort (Hours)]]&lt;150,"L3",IF(Table1[[#This Row],[Estimated Effort (Hours)]]&lt;300,"L4","L5")))))</f>
        <v/>
      </c>
      <c r="S756" s="184" t="str">
        <f>IF(Table1[[#This Row],[Actual End Date]]="","",TEXT(Table1[[#This Row],[Actual End Date]],"mmm-yy"))</f>
        <v/>
      </c>
      <c r="T7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6" s="185" t="str">
        <f>IFERROR((Table1[[#This Row],[Actual Effort (Hours)]]-Table1[[#This Row],[Estimated Effort (Hours)]])/Table1[[#This Row],[Estimated Effort (Hours)]],"")</f>
        <v/>
      </c>
    </row>
    <row r="757" spans="2:21">
      <c r="B757" s="125"/>
      <c r="C757" s="123"/>
      <c r="D757" s="143"/>
      <c r="E757" s="123"/>
      <c r="F757" s="143"/>
      <c r="G757" s="129"/>
      <c r="H757" s="124"/>
      <c r="I757" s="124"/>
      <c r="J757" s="129"/>
      <c r="K757" s="194"/>
      <c r="L757" s="194"/>
      <c r="M757" s="129"/>
      <c r="N757" s="129" t="e">
        <f>Table1[[#This Row],[Estimated Effort (Hours)]]/NETWORKDAYS(Table1[[#This Row],[Planned Start Date]],Table1[[#This Row],[Planned End Date]])</f>
        <v>#DIV/0!</v>
      </c>
      <c r="O757" s="178">
        <f>NETWORKDAYS(Table1[[#This Row],[Planned Start Date]],Table1[[#This Row],[Planned End Date]])</f>
        <v>0</v>
      </c>
      <c r="P757" s="178">
        <f>NETWORKDAYS(Table1[[#This Row],[Planned Start Date]],$P$7)</f>
        <v>30643</v>
      </c>
      <c r="Q757" s="129"/>
      <c r="R757" s="183" t="str">
        <f>IF(Table1[[#This Row],[Actual Effort (Hours)]]="","",IF(Table1[[#This Row],[Estimated Effort (Hours)]]&lt;20,"L1",IF(Table1[[#This Row],[Estimated Effort (Hours)]]&lt;50,"L2",IF(Table1[[#This Row],[Estimated Effort (Hours)]]&lt;150,"L3",IF(Table1[[#This Row],[Estimated Effort (Hours)]]&lt;300,"L4","L5")))))</f>
        <v/>
      </c>
      <c r="S757" s="184" t="str">
        <f>IF(Table1[[#This Row],[Actual End Date]]="","",TEXT(Table1[[#This Row],[Actual End Date]],"mmm-yy"))</f>
        <v/>
      </c>
      <c r="T7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7" s="185" t="str">
        <f>IFERROR((Table1[[#This Row],[Actual Effort (Hours)]]-Table1[[#This Row],[Estimated Effort (Hours)]])/Table1[[#This Row],[Estimated Effort (Hours)]],"")</f>
        <v/>
      </c>
    </row>
    <row r="758" spans="2:21">
      <c r="B758" s="125"/>
      <c r="C758" s="123"/>
      <c r="D758" s="143"/>
      <c r="E758" s="123"/>
      <c r="F758" s="143"/>
      <c r="G758" s="129"/>
      <c r="H758" s="124"/>
      <c r="I758" s="124"/>
      <c r="J758" s="129"/>
      <c r="K758" s="194"/>
      <c r="L758" s="194"/>
      <c r="M758" s="129"/>
      <c r="N758" s="129" t="e">
        <f>Table1[[#This Row],[Estimated Effort (Hours)]]/NETWORKDAYS(Table1[[#This Row],[Planned Start Date]],Table1[[#This Row],[Planned End Date]])</f>
        <v>#DIV/0!</v>
      </c>
      <c r="O758" s="178">
        <f>NETWORKDAYS(Table1[[#This Row],[Planned Start Date]],Table1[[#This Row],[Planned End Date]])</f>
        <v>0</v>
      </c>
      <c r="P758" s="178">
        <f>NETWORKDAYS(Table1[[#This Row],[Planned Start Date]],$P$7)</f>
        <v>30643</v>
      </c>
      <c r="Q758" s="129"/>
      <c r="R758" s="183" t="str">
        <f>IF(Table1[[#This Row],[Actual Effort (Hours)]]="","",IF(Table1[[#This Row],[Estimated Effort (Hours)]]&lt;20,"L1",IF(Table1[[#This Row],[Estimated Effort (Hours)]]&lt;50,"L2",IF(Table1[[#This Row],[Estimated Effort (Hours)]]&lt;150,"L3",IF(Table1[[#This Row],[Estimated Effort (Hours)]]&lt;300,"L4","L5")))))</f>
        <v/>
      </c>
      <c r="S758" s="184" t="str">
        <f>IF(Table1[[#This Row],[Actual End Date]]="","",TEXT(Table1[[#This Row],[Actual End Date]],"mmm-yy"))</f>
        <v/>
      </c>
      <c r="T7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8" s="185" t="str">
        <f>IFERROR((Table1[[#This Row],[Actual Effort (Hours)]]-Table1[[#This Row],[Estimated Effort (Hours)]])/Table1[[#This Row],[Estimated Effort (Hours)]],"")</f>
        <v/>
      </c>
    </row>
    <row r="759" spans="2:21">
      <c r="B759" s="125"/>
      <c r="C759" s="123"/>
      <c r="D759" s="143"/>
      <c r="E759" s="123"/>
      <c r="F759" s="143"/>
      <c r="G759" s="129"/>
      <c r="H759" s="124"/>
      <c r="I759" s="124"/>
      <c r="J759" s="129"/>
      <c r="K759" s="194"/>
      <c r="L759" s="194"/>
      <c r="M759" s="129"/>
      <c r="N759" s="129" t="e">
        <f>Table1[[#This Row],[Estimated Effort (Hours)]]/NETWORKDAYS(Table1[[#This Row],[Planned Start Date]],Table1[[#This Row],[Planned End Date]])</f>
        <v>#DIV/0!</v>
      </c>
      <c r="O759" s="178">
        <f>NETWORKDAYS(Table1[[#This Row],[Planned Start Date]],Table1[[#This Row],[Planned End Date]])</f>
        <v>0</v>
      </c>
      <c r="P759" s="178">
        <f>NETWORKDAYS(Table1[[#This Row],[Planned Start Date]],$P$7)</f>
        <v>30643</v>
      </c>
      <c r="Q759" s="129"/>
      <c r="R759" s="183" t="str">
        <f>IF(Table1[[#This Row],[Actual Effort (Hours)]]="","",IF(Table1[[#This Row],[Estimated Effort (Hours)]]&lt;20,"L1",IF(Table1[[#This Row],[Estimated Effort (Hours)]]&lt;50,"L2",IF(Table1[[#This Row],[Estimated Effort (Hours)]]&lt;150,"L3",IF(Table1[[#This Row],[Estimated Effort (Hours)]]&lt;300,"L4","L5")))))</f>
        <v/>
      </c>
      <c r="S759" s="184" t="str">
        <f>IF(Table1[[#This Row],[Actual End Date]]="","",TEXT(Table1[[#This Row],[Actual End Date]],"mmm-yy"))</f>
        <v/>
      </c>
      <c r="T7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59" s="185" t="str">
        <f>IFERROR((Table1[[#This Row],[Actual Effort (Hours)]]-Table1[[#This Row],[Estimated Effort (Hours)]])/Table1[[#This Row],[Estimated Effort (Hours)]],"")</f>
        <v/>
      </c>
    </row>
    <row r="760" spans="2:21">
      <c r="B760" s="125"/>
      <c r="C760" s="123"/>
      <c r="D760" s="143"/>
      <c r="E760" s="123"/>
      <c r="F760" s="143"/>
      <c r="G760" s="129"/>
      <c r="H760" s="124"/>
      <c r="I760" s="124"/>
      <c r="J760" s="129"/>
      <c r="K760" s="194"/>
      <c r="L760" s="194"/>
      <c r="M760" s="129"/>
      <c r="N760" s="129" t="e">
        <f>Table1[[#This Row],[Estimated Effort (Hours)]]/NETWORKDAYS(Table1[[#This Row],[Planned Start Date]],Table1[[#This Row],[Planned End Date]])</f>
        <v>#DIV/0!</v>
      </c>
      <c r="O760" s="178">
        <f>NETWORKDAYS(Table1[[#This Row],[Planned Start Date]],Table1[[#This Row],[Planned End Date]])</f>
        <v>0</v>
      </c>
      <c r="P760" s="178">
        <f>NETWORKDAYS(Table1[[#This Row],[Planned Start Date]],$P$7)</f>
        <v>30643</v>
      </c>
      <c r="Q760" s="129"/>
      <c r="R760" s="183" t="str">
        <f>IF(Table1[[#This Row],[Actual Effort (Hours)]]="","",IF(Table1[[#This Row],[Estimated Effort (Hours)]]&lt;20,"L1",IF(Table1[[#This Row],[Estimated Effort (Hours)]]&lt;50,"L2",IF(Table1[[#This Row],[Estimated Effort (Hours)]]&lt;150,"L3",IF(Table1[[#This Row],[Estimated Effort (Hours)]]&lt;300,"L4","L5")))))</f>
        <v/>
      </c>
      <c r="S760" s="184" t="str">
        <f>IF(Table1[[#This Row],[Actual End Date]]="","",TEXT(Table1[[#This Row],[Actual End Date]],"mmm-yy"))</f>
        <v/>
      </c>
      <c r="T7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0" s="185" t="str">
        <f>IFERROR((Table1[[#This Row],[Actual Effort (Hours)]]-Table1[[#This Row],[Estimated Effort (Hours)]])/Table1[[#This Row],[Estimated Effort (Hours)]],"")</f>
        <v/>
      </c>
    </row>
    <row r="761" spans="2:21">
      <c r="B761" s="125"/>
      <c r="C761" s="123"/>
      <c r="D761" s="143"/>
      <c r="E761" s="123"/>
      <c r="F761" s="143"/>
      <c r="G761" s="129"/>
      <c r="H761" s="124"/>
      <c r="I761" s="124"/>
      <c r="J761" s="129"/>
      <c r="K761" s="194"/>
      <c r="L761" s="194"/>
      <c r="M761" s="129"/>
      <c r="N761" s="129" t="e">
        <f>Table1[[#This Row],[Estimated Effort (Hours)]]/NETWORKDAYS(Table1[[#This Row],[Planned Start Date]],Table1[[#This Row],[Planned End Date]])</f>
        <v>#DIV/0!</v>
      </c>
      <c r="O761" s="178">
        <f>NETWORKDAYS(Table1[[#This Row],[Planned Start Date]],Table1[[#This Row],[Planned End Date]])</f>
        <v>0</v>
      </c>
      <c r="P761" s="178">
        <f>NETWORKDAYS(Table1[[#This Row],[Planned Start Date]],$P$7)</f>
        <v>30643</v>
      </c>
      <c r="Q761" s="129"/>
      <c r="R761" s="183" t="str">
        <f>IF(Table1[[#This Row],[Actual Effort (Hours)]]="","",IF(Table1[[#This Row],[Estimated Effort (Hours)]]&lt;20,"L1",IF(Table1[[#This Row],[Estimated Effort (Hours)]]&lt;50,"L2",IF(Table1[[#This Row],[Estimated Effort (Hours)]]&lt;150,"L3",IF(Table1[[#This Row],[Estimated Effort (Hours)]]&lt;300,"L4","L5")))))</f>
        <v/>
      </c>
      <c r="S761" s="184" t="str">
        <f>IF(Table1[[#This Row],[Actual End Date]]="","",TEXT(Table1[[#This Row],[Actual End Date]],"mmm-yy"))</f>
        <v/>
      </c>
      <c r="T7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1" s="185" t="str">
        <f>IFERROR((Table1[[#This Row],[Actual Effort (Hours)]]-Table1[[#This Row],[Estimated Effort (Hours)]])/Table1[[#This Row],[Estimated Effort (Hours)]],"")</f>
        <v/>
      </c>
    </row>
    <row r="762" spans="2:21">
      <c r="B762" s="125"/>
      <c r="C762" s="123"/>
      <c r="D762" s="143"/>
      <c r="E762" s="123"/>
      <c r="F762" s="143"/>
      <c r="G762" s="129"/>
      <c r="H762" s="124"/>
      <c r="I762" s="124"/>
      <c r="J762" s="129"/>
      <c r="K762" s="194"/>
      <c r="L762" s="194"/>
      <c r="M762" s="129"/>
      <c r="N762" s="129" t="e">
        <f>Table1[[#This Row],[Estimated Effort (Hours)]]/NETWORKDAYS(Table1[[#This Row],[Planned Start Date]],Table1[[#This Row],[Planned End Date]])</f>
        <v>#DIV/0!</v>
      </c>
      <c r="O762" s="178">
        <f>NETWORKDAYS(Table1[[#This Row],[Planned Start Date]],Table1[[#This Row],[Planned End Date]])</f>
        <v>0</v>
      </c>
      <c r="P762" s="178">
        <f>NETWORKDAYS(Table1[[#This Row],[Planned Start Date]],$P$7)</f>
        <v>30643</v>
      </c>
      <c r="Q762" s="129"/>
      <c r="R762" s="183" t="str">
        <f>IF(Table1[[#This Row],[Actual Effort (Hours)]]="","",IF(Table1[[#This Row],[Estimated Effort (Hours)]]&lt;20,"L1",IF(Table1[[#This Row],[Estimated Effort (Hours)]]&lt;50,"L2",IF(Table1[[#This Row],[Estimated Effort (Hours)]]&lt;150,"L3",IF(Table1[[#This Row],[Estimated Effort (Hours)]]&lt;300,"L4","L5")))))</f>
        <v/>
      </c>
      <c r="S762" s="184" t="str">
        <f>IF(Table1[[#This Row],[Actual End Date]]="","",TEXT(Table1[[#This Row],[Actual End Date]],"mmm-yy"))</f>
        <v/>
      </c>
      <c r="T7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2" s="185" t="str">
        <f>IFERROR((Table1[[#This Row],[Actual Effort (Hours)]]-Table1[[#This Row],[Estimated Effort (Hours)]])/Table1[[#This Row],[Estimated Effort (Hours)]],"")</f>
        <v/>
      </c>
    </row>
    <row r="763" spans="2:21">
      <c r="B763" s="125"/>
      <c r="C763" s="123"/>
      <c r="D763" s="143"/>
      <c r="E763" s="123"/>
      <c r="F763" s="143"/>
      <c r="G763" s="129"/>
      <c r="H763" s="124"/>
      <c r="I763" s="124"/>
      <c r="J763" s="129"/>
      <c r="K763" s="194"/>
      <c r="L763" s="194"/>
      <c r="M763" s="129"/>
      <c r="N763" s="129" t="e">
        <f>Table1[[#This Row],[Estimated Effort (Hours)]]/NETWORKDAYS(Table1[[#This Row],[Planned Start Date]],Table1[[#This Row],[Planned End Date]])</f>
        <v>#DIV/0!</v>
      </c>
      <c r="O763" s="178">
        <f>NETWORKDAYS(Table1[[#This Row],[Planned Start Date]],Table1[[#This Row],[Planned End Date]])</f>
        <v>0</v>
      </c>
      <c r="P763" s="178">
        <f>NETWORKDAYS(Table1[[#This Row],[Planned Start Date]],$P$7)</f>
        <v>30643</v>
      </c>
      <c r="Q763" s="129"/>
      <c r="R763" s="183" t="str">
        <f>IF(Table1[[#This Row],[Actual Effort (Hours)]]="","",IF(Table1[[#This Row],[Estimated Effort (Hours)]]&lt;20,"L1",IF(Table1[[#This Row],[Estimated Effort (Hours)]]&lt;50,"L2",IF(Table1[[#This Row],[Estimated Effort (Hours)]]&lt;150,"L3",IF(Table1[[#This Row],[Estimated Effort (Hours)]]&lt;300,"L4","L5")))))</f>
        <v/>
      </c>
      <c r="S763" s="184" t="str">
        <f>IF(Table1[[#This Row],[Actual End Date]]="","",TEXT(Table1[[#This Row],[Actual End Date]],"mmm-yy"))</f>
        <v/>
      </c>
      <c r="T7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3" s="185" t="str">
        <f>IFERROR((Table1[[#This Row],[Actual Effort (Hours)]]-Table1[[#This Row],[Estimated Effort (Hours)]])/Table1[[#This Row],[Estimated Effort (Hours)]],"")</f>
        <v/>
      </c>
    </row>
    <row r="764" spans="2:21">
      <c r="B764" s="125"/>
      <c r="C764" s="123"/>
      <c r="D764" s="143"/>
      <c r="E764" s="123"/>
      <c r="F764" s="143"/>
      <c r="G764" s="129"/>
      <c r="H764" s="124"/>
      <c r="I764" s="124"/>
      <c r="J764" s="129"/>
      <c r="K764" s="194"/>
      <c r="L764" s="194"/>
      <c r="M764" s="129"/>
      <c r="N764" s="129" t="e">
        <f>Table1[[#This Row],[Estimated Effort (Hours)]]/NETWORKDAYS(Table1[[#This Row],[Planned Start Date]],Table1[[#This Row],[Planned End Date]])</f>
        <v>#DIV/0!</v>
      </c>
      <c r="O764" s="178">
        <f>NETWORKDAYS(Table1[[#This Row],[Planned Start Date]],Table1[[#This Row],[Planned End Date]])</f>
        <v>0</v>
      </c>
      <c r="P764" s="178">
        <f>NETWORKDAYS(Table1[[#This Row],[Planned Start Date]],$P$7)</f>
        <v>30643</v>
      </c>
      <c r="Q764" s="129"/>
      <c r="R764" s="183" t="str">
        <f>IF(Table1[[#This Row],[Actual Effort (Hours)]]="","",IF(Table1[[#This Row],[Estimated Effort (Hours)]]&lt;20,"L1",IF(Table1[[#This Row],[Estimated Effort (Hours)]]&lt;50,"L2",IF(Table1[[#This Row],[Estimated Effort (Hours)]]&lt;150,"L3",IF(Table1[[#This Row],[Estimated Effort (Hours)]]&lt;300,"L4","L5")))))</f>
        <v/>
      </c>
      <c r="S764" s="184" t="str">
        <f>IF(Table1[[#This Row],[Actual End Date]]="","",TEXT(Table1[[#This Row],[Actual End Date]],"mmm-yy"))</f>
        <v/>
      </c>
      <c r="T7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4" s="185" t="str">
        <f>IFERROR((Table1[[#This Row],[Actual Effort (Hours)]]-Table1[[#This Row],[Estimated Effort (Hours)]])/Table1[[#This Row],[Estimated Effort (Hours)]],"")</f>
        <v/>
      </c>
    </row>
    <row r="765" spans="2:21">
      <c r="B765" s="125"/>
      <c r="C765" s="123"/>
      <c r="D765" s="143"/>
      <c r="E765" s="123"/>
      <c r="F765" s="143"/>
      <c r="G765" s="129"/>
      <c r="H765" s="124"/>
      <c r="I765" s="124"/>
      <c r="J765" s="129"/>
      <c r="K765" s="194"/>
      <c r="L765" s="194"/>
      <c r="M765" s="129"/>
      <c r="N765" s="129" t="e">
        <f>Table1[[#This Row],[Estimated Effort (Hours)]]/NETWORKDAYS(Table1[[#This Row],[Planned Start Date]],Table1[[#This Row],[Planned End Date]])</f>
        <v>#DIV/0!</v>
      </c>
      <c r="O765" s="178">
        <f>NETWORKDAYS(Table1[[#This Row],[Planned Start Date]],Table1[[#This Row],[Planned End Date]])</f>
        <v>0</v>
      </c>
      <c r="P765" s="178">
        <f>NETWORKDAYS(Table1[[#This Row],[Planned Start Date]],$P$7)</f>
        <v>30643</v>
      </c>
      <c r="Q765" s="129"/>
      <c r="R765" s="183" t="str">
        <f>IF(Table1[[#This Row],[Actual Effort (Hours)]]="","",IF(Table1[[#This Row],[Estimated Effort (Hours)]]&lt;20,"L1",IF(Table1[[#This Row],[Estimated Effort (Hours)]]&lt;50,"L2",IF(Table1[[#This Row],[Estimated Effort (Hours)]]&lt;150,"L3",IF(Table1[[#This Row],[Estimated Effort (Hours)]]&lt;300,"L4","L5")))))</f>
        <v/>
      </c>
      <c r="S765" s="184" t="str">
        <f>IF(Table1[[#This Row],[Actual End Date]]="","",TEXT(Table1[[#This Row],[Actual End Date]],"mmm-yy"))</f>
        <v/>
      </c>
      <c r="T7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5" s="185" t="str">
        <f>IFERROR((Table1[[#This Row],[Actual Effort (Hours)]]-Table1[[#This Row],[Estimated Effort (Hours)]])/Table1[[#This Row],[Estimated Effort (Hours)]],"")</f>
        <v/>
      </c>
    </row>
    <row r="766" spans="2:21">
      <c r="B766" s="125"/>
      <c r="C766" s="123"/>
      <c r="D766" s="143"/>
      <c r="E766" s="123"/>
      <c r="F766" s="143"/>
      <c r="G766" s="129"/>
      <c r="H766" s="124"/>
      <c r="I766" s="124"/>
      <c r="J766" s="129"/>
      <c r="K766" s="194"/>
      <c r="L766" s="194"/>
      <c r="M766" s="129"/>
      <c r="N766" s="129" t="e">
        <f>Table1[[#This Row],[Estimated Effort (Hours)]]/NETWORKDAYS(Table1[[#This Row],[Planned Start Date]],Table1[[#This Row],[Planned End Date]])</f>
        <v>#DIV/0!</v>
      </c>
      <c r="O766" s="178">
        <f>NETWORKDAYS(Table1[[#This Row],[Planned Start Date]],Table1[[#This Row],[Planned End Date]])</f>
        <v>0</v>
      </c>
      <c r="P766" s="178">
        <f>NETWORKDAYS(Table1[[#This Row],[Planned Start Date]],$P$7)</f>
        <v>30643</v>
      </c>
      <c r="Q766" s="129"/>
      <c r="R766" s="183" t="str">
        <f>IF(Table1[[#This Row],[Actual Effort (Hours)]]="","",IF(Table1[[#This Row],[Estimated Effort (Hours)]]&lt;20,"L1",IF(Table1[[#This Row],[Estimated Effort (Hours)]]&lt;50,"L2",IF(Table1[[#This Row],[Estimated Effort (Hours)]]&lt;150,"L3",IF(Table1[[#This Row],[Estimated Effort (Hours)]]&lt;300,"L4","L5")))))</f>
        <v/>
      </c>
      <c r="S766" s="184" t="str">
        <f>IF(Table1[[#This Row],[Actual End Date]]="","",TEXT(Table1[[#This Row],[Actual End Date]],"mmm-yy"))</f>
        <v/>
      </c>
      <c r="T7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6" s="185" t="str">
        <f>IFERROR((Table1[[#This Row],[Actual Effort (Hours)]]-Table1[[#This Row],[Estimated Effort (Hours)]])/Table1[[#This Row],[Estimated Effort (Hours)]],"")</f>
        <v/>
      </c>
    </row>
    <row r="767" spans="2:21">
      <c r="B767" s="125"/>
      <c r="C767" s="123"/>
      <c r="D767" s="143"/>
      <c r="E767" s="123"/>
      <c r="F767" s="143"/>
      <c r="G767" s="129"/>
      <c r="H767" s="124"/>
      <c r="I767" s="124"/>
      <c r="J767" s="129"/>
      <c r="K767" s="194"/>
      <c r="L767" s="194"/>
      <c r="M767" s="129"/>
      <c r="N767" s="129" t="e">
        <f>Table1[[#This Row],[Estimated Effort (Hours)]]/NETWORKDAYS(Table1[[#This Row],[Planned Start Date]],Table1[[#This Row],[Planned End Date]])</f>
        <v>#DIV/0!</v>
      </c>
      <c r="O767" s="178">
        <f>NETWORKDAYS(Table1[[#This Row],[Planned Start Date]],Table1[[#This Row],[Planned End Date]])</f>
        <v>0</v>
      </c>
      <c r="P767" s="178">
        <f>NETWORKDAYS(Table1[[#This Row],[Planned Start Date]],$P$7)</f>
        <v>30643</v>
      </c>
      <c r="Q767" s="129"/>
      <c r="R767" s="183" t="str">
        <f>IF(Table1[[#This Row],[Actual Effort (Hours)]]="","",IF(Table1[[#This Row],[Estimated Effort (Hours)]]&lt;20,"L1",IF(Table1[[#This Row],[Estimated Effort (Hours)]]&lt;50,"L2",IF(Table1[[#This Row],[Estimated Effort (Hours)]]&lt;150,"L3",IF(Table1[[#This Row],[Estimated Effort (Hours)]]&lt;300,"L4","L5")))))</f>
        <v/>
      </c>
      <c r="S767" s="184" t="str">
        <f>IF(Table1[[#This Row],[Actual End Date]]="","",TEXT(Table1[[#This Row],[Actual End Date]],"mmm-yy"))</f>
        <v/>
      </c>
      <c r="T7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7" s="185" t="str">
        <f>IFERROR((Table1[[#This Row],[Actual Effort (Hours)]]-Table1[[#This Row],[Estimated Effort (Hours)]])/Table1[[#This Row],[Estimated Effort (Hours)]],"")</f>
        <v/>
      </c>
    </row>
    <row r="768" spans="2:21">
      <c r="B768" s="125"/>
      <c r="C768" s="123"/>
      <c r="D768" s="143"/>
      <c r="E768" s="123"/>
      <c r="F768" s="143"/>
      <c r="G768" s="129"/>
      <c r="H768" s="124"/>
      <c r="I768" s="124"/>
      <c r="J768" s="129"/>
      <c r="K768" s="194"/>
      <c r="L768" s="194"/>
      <c r="M768" s="129"/>
      <c r="N768" s="129" t="e">
        <f>Table1[[#This Row],[Estimated Effort (Hours)]]/NETWORKDAYS(Table1[[#This Row],[Planned Start Date]],Table1[[#This Row],[Planned End Date]])</f>
        <v>#DIV/0!</v>
      </c>
      <c r="O768" s="178">
        <f>NETWORKDAYS(Table1[[#This Row],[Planned Start Date]],Table1[[#This Row],[Planned End Date]])</f>
        <v>0</v>
      </c>
      <c r="P768" s="178">
        <f>NETWORKDAYS(Table1[[#This Row],[Planned Start Date]],$P$7)</f>
        <v>30643</v>
      </c>
      <c r="Q768" s="129"/>
      <c r="R768" s="183" t="str">
        <f>IF(Table1[[#This Row],[Actual Effort (Hours)]]="","",IF(Table1[[#This Row],[Estimated Effort (Hours)]]&lt;20,"L1",IF(Table1[[#This Row],[Estimated Effort (Hours)]]&lt;50,"L2",IF(Table1[[#This Row],[Estimated Effort (Hours)]]&lt;150,"L3",IF(Table1[[#This Row],[Estimated Effort (Hours)]]&lt;300,"L4","L5")))))</f>
        <v/>
      </c>
      <c r="S768" s="184" t="str">
        <f>IF(Table1[[#This Row],[Actual End Date]]="","",TEXT(Table1[[#This Row],[Actual End Date]],"mmm-yy"))</f>
        <v/>
      </c>
      <c r="T7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8" s="185" t="str">
        <f>IFERROR((Table1[[#This Row],[Actual Effort (Hours)]]-Table1[[#This Row],[Estimated Effort (Hours)]])/Table1[[#This Row],[Estimated Effort (Hours)]],"")</f>
        <v/>
      </c>
    </row>
    <row r="769" spans="2:21">
      <c r="B769" s="125"/>
      <c r="C769" s="123"/>
      <c r="D769" s="143"/>
      <c r="E769" s="123"/>
      <c r="F769" s="143"/>
      <c r="G769" s="129"/>
      <c r="H769" s="124"/>
      <c r="I769" s="124"/>
      <c r="J769" s="129"/>
      <c r="K769" s="194"/>
      <c r="L769" s="194"/>
      <c r="M769" s="129"/>
      <c r="N769" s="129" t="e">
        <f>Table1[[#This Row],[Estimated Effort (Hours)]]/NETWORKDAYS(Table1[[#This Row],[Planned Start Date]],Table1[[#This Row],[Planned End Date]])</f>
        <v>#DIV/0!</v>
      </c>
      <c r="O769" s="178">
        <f>NETWORKDAYS(Table1[[#This Row],[Planned Start Date]],Table1[[#This Row],[Planned End Date]])</f>
        <v>0</v>
      </c>
      <c r="P769" s="178">
        <f>NETWORKDAYS(Table1[[#This Row],[Planned Start Date]],$P$7)</f>
        <v>30643</v>
      </c>
      <c r="Q769" s="129"/>
      <c r="R769" s="183" t="str">
        <f>IF(Table1[[#This Row],[Actual Effort (Hours)]]="","",IF(Table1[[#This Row],[Estimated Effort (Hours)]]&lt;20,"L1",IF(Table1[[#This Row],[Estimated Effort (Hours)]]&lt;50,"L2",IF(Table1[[#This Row],[Estimated Effort (Hours)]]&lt;150,"L3",IF(Table1[[#This Row],[Estimated Effort (Hours)]]&lt;300,"L4","L5")))))</f>
        <v/>
      </c>
      <c r="S769" s="184" t="str">
        <f>IF(Table1[[#This Row],[Actual End Date]]="","",TEXT(Table1[[#This Row],[Actual End Date]],"mmm-yy"))</f>
        <v/>
      </c>
      <c r="T7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69" s="185" t="str">
        <f>IFERROR((Table1[[#This Row],[Actual Effort (Hours)]]-Table1[[#This Row],[Estimated Effort (Hours)]])/Table1[[#This Row],[Estimated Effort (Hours)]],"")</f>
        <v/>
      </c>
    </row>
    <row r="770" spans="2:21">
      <c r="B770" s="125"/>
      <c r="C770" s="123"/>
      <c r="D770" s="143"/>
      <c r="E770" s="123"/>
      <c r="F770" s="143"/>
      <c r="G770" s="129"/>
      <c r="H770" s="124"/>
      <c r="I770" s="124"/>
      <c r="J770" s="129"/>
      <c r="K770" s="194"/>
      <c r="L770" s="194"/>
      <c r="M770" s="129"/>
      <c r="N770" s="129" t="e">
        <f>Table1[[#This Row],[Estimated Effort (Hours)]]/NETWORKDAYS(Table1[[#This Row],[Planned Start Date]],Table1[[#This Row],[Planned End Date]])</f>
        <v>#DIV/0!</v>
      </c>
      <c r="O770" s="178">
        <f>NETWORKDAYS(Table1[[#This Row],[Planned Start Date]],Table1[[#This Row],[Planned End Date]])</f>
        <v>0</v>
      </c>
      <c r="P770" s="178">
        <f>NETWORKDAYS(Table1[[#This Row],[Planned Start Date]],$P$7)</f>
        <v>30643</v>
      </c>
      <c r="Q770" s="129"/>
      <c r="R770" s="183" t="str">
        <f>IF(Table1[[#This Row],[Actual Effort (Hours)]]="","",IF(Table1[[#This Row],[Estimated Effort (Hours)]]&lt;20,"L1",IF(Table1[[#This Row],[Estimated Effort (Hours)]]&lt;50,"L2",IF(Table1[[#This Row],[Estimated Effort (Hours)]]&lt;150,"L3",IF(Table1[[#This Row],[Estimated Effort (Hours)]]&lt;300,"L4","L5")))))</f>
        <v/>
      </c>
      <c r="S770" s="184" t="str">
        <f>IF(Table1[[#This Row],[Actual End Date]]="","",TEXT(Table1[[#This Row],[Actual End Date]],"mmm-yy"))</f>
        <v/>
      </c>
      <c r="T7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0" s="185" t="str">
        <f>IFERROR((Table1[[#This Row],[Actual Effort (Hours)]]-Table1[[#This Row],[Estimated Effort (Hours)]])/Table1[[#This Row],[Estimated Effort (Hours)]],"")</f>
        <v/>
      </c>
    </row>
    <row r="771" spans="2:21">
      <c r="B771" s="125"/>
      <c r="C771" s="123"/>
      <c r="D771" s="143"/>
      <c r="E771" s="123"/>
      <c r="F771" s="143"/>
      <c r="G771" s="129"/>
      <c r="H771" s="124"/>
      <c r="I771" s="124"/>
      <c r="J771" s="129"/>
      <c r="K771" s="194"/>
      <c r="L771" s="194"/>
      <c r="M771" s="129"/>
      <c r="N771" s="129" t="e">
        <f>Table1[[#This Row],[Estimated Effort (Hours)]]/NETWORKDAYS(Table1[[#This Row],[Planned Start Date]],Table1[[#This Row],[Planned End Date]])</f>
        <v>#DIV/0!</v>
      </c>
      <c r="O771" s="178">
        <f>NETWORKDAYS(Table1[[#This Row],[Planned Start Date]],Table1[[#This Row],[Planned End Date]])</f>
        <v>0</v>
      </c>
      <c r="P771" s="178">
        <f>NETWORKDAYS(Table1[[#This Row],[Planned Start Date]],$P$7)</f>
        <v>30643</v>
      </c>
      <c r="Q771" s="129"/>
      <c r="R771" s="183" t="str">
        <f>IF(Table1[[#This Row],[Actual Effort (Hours)]]="","",IF(Table1[[#This Row],[Estimated Effort (Hours)]]&lt;20,"L1",IF(Table1[[#This Row],[Estimated Effort (Hours)]]&lt;50,"L2",IF(Table1[[#This Row],[Estimated Effort (Hours)]]&lt;150,"L3",IF(Table1[[#This Row],[Estimated Effort (Hours)]]&lt;300,"L4","L5")))))</f>
        <v/>
      </c>
      <c r="S771" s="184" t="str">
        <f>IF(Table1[[#This Row],[Actual End Date]]="","",TEXT(Table1[[#This Row],[Actual End Date]],"mmm-yy"))</f>
        <v/>
      </c>
      <c r="T7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1" s="185" t="str">
        <f>IFERROR((Table1[[#This Row],[Actual Effort (Hours)]]-Table1[[#This Row],[Estimated Effort (Hours)]])/Table1[[#This Row],[Estimated Effort (Hours)]],"")</f>
        <v/>
      </c>
    </row>
    <row r="772" spans="2:21">
      <c r="B772" s="125"/>
      <c r="C772" s="123"/>
      <c r="D772" s="143"/>
      <c r="E772" s="123"/>
      <c r="F772" s="143"/>
      <c r="G772" s="129"/>
      <c r="H772" s="124"/>
      <c r="I772" s="124"/>
      <c r="J772" s="129"/>
      <c r="K772" s="194"/>
      <c r="L772" s="194"/>
      <c r="M772" s="129"/>
      <c r="N772" s="129" t="e">
        <f>Table1[[#This Row],[Estimated Effort (Hours)]]/NETWORKDAYS(Table1[[#This Row],[Planned Start Date]],Table1[[#This Row],[Planned End Date]])</f>
        <v>#DIV/0!</v>
      </c>
      <c r="O772" s="178">
        <f>NETWORKDAYS(Table1[[#This Row],[Planned Start Date]],Table1[[#This Row],[Planned End Date]])</f>
        <v>0</v>
      </c>
      <c r="P772" s="178">
        <f>NETWORKDAYS(Table1[[#This Row],[Planned Start Date]],$P$7)</f>
        <v>30643</v>
      </c>
      <c r="Q772" s="129"/>
      <c r="R772" s="183" t="str">
        <f>IF(Table1[[#This Row],[Actual Effort (Hours)]]="","",IF(Table1[[#This Row],[Estimated Effort (Hours)]]&lt;20,"L1",IF(Table1[[#This Row],[Estimated Effort (Hours)]]&lt;50,"L2",IF(Table1[[#This Row],[Estimated Effort (Hours)]]&lt;150,"L3",IF(Table1[[#This Row],[Estimated Effort (Hours)]]&lt;300,"L4","L5")))))</f>
        <v/>
      </c>
      <c r="S772" s="184" t="str">
        <f>IF(Table1[[#This Row],[Actual End Date]]="","",TEXT(Table1[[#This Row],[Actual End Date]],"mmm-yy"))</f>
        <v/>
      </c>
      <c r="T7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2" s="185" t="str">
        <f>IFERROR((Table1[[#This Row],[Actual Effort (Hours)]]-Table1[[#This Row],[Estimated Effort (Hours)]])/Table1[[#This Row],[Estimated Effort (Hours)]],"")</f>
        <v/>
      </c>
    </row>
    <row r="773" spans="2:21">
      <c r="B773" s="125"/>
      <c r="C773" s="123"/>
      <c r="D773" s="143"/>
      <c r="E773" s="123"/>
      <c r="F773" s="143"/>
      <c r="G773" s="129"/>
      <c r="H773" s="124"/>
      <c r="I773" s="124"/>
      <c r="J773" s="129"/>
      <c r="K773" s="194"/>
      <c r="L773" s="194"/>
      <c r="M773" s="129"/>
      <c r="N773" s="129" t="e">
        <f>Table1[[#This Row],[Estimated Effort (Hours)]]/NETWORKDAYS(Table1[[#This Row],[Planned Start Date]],Table1[[#This Row],[Planned End Date]])</f>
        <v>#DIV/0!</v>
      </c>
      <c r="O773" s="178">
        <f>NETWORKDAYS(Table1[[#This Row],[Planned Start Date]],Table1[[#This Row],[Planned End Date]])</f>
        <v>0</v>
      </c>
      <c r="P773" s="178">
        <f>NETWORKDAYS(Table1[[#This Row],[Planned Start Date]],$P$7)</f>
        <v>30643</v>
      </c>
      <c r="Q773" s="129"/>
      <c r="R773" s="183" t="str">
        <f>IF(Table1[[#This Row],[Actual Effort (Hours)]]="","",IF(Table1[[#This Row],[Estimated Effort (Hours)]]&lt;20,"L1",IF(Table1[[#This Row],[Estimated Effort (Hours)]]&lt;50,"L2",IF(Table1[[#This Row],[Estimated Effort (Hours)]]&lt;150,"L3",IF(Table1[[#This Row],[Estimated Effort (Hours)]]&lt;300,"L4","L5")))))</f>
        <v/>
      </c>
      <c r="S773" s="184" t="str">
        <f>IF(Table1[[#This Row],[Actual End Date]]="","",TEXT(Table1[[#This Row],[Actual End Date]],"mmm-yy"))</f>
        <v/>
      </c>
      <c r="T7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3" s="185" t="str">
        <f>IFERROR((Table1[[#This Row],[Actual Effort (Hours)]]-Table1[[#This Row],[Estimated Effort (Hours)]])/Table1[[#This Row],[Estimated Effort (Hours)]],"")</f>
        <v/>
      </c>
    </row>
    <row r="774" spans="2:21">
      <c r="B774" s="125"/>
      <c r="C774" s="123"/>
      <c r="D774" s="143"/>
      <c r="E774" s="123"/>
      <c r="F774" s="143"/>
      <c r="G774" s="129"/>
      <c r="H774" s="124"/>
      <c r="I774" s="124"/>
      <c r="J774" s="129"/>
      <c r="K774" s="194"/>
      <c r="L774" s="194"/>
      <c r="M774" s="129"/>
      <c r="N774" s="129" t="e">
        <f>Table1[[#This Row],[Estimated Effort (Hours)]]/NETWORKDAYS(Table1[[#This Row],[Planned Start Date]],Table1[[#This Row],[Planned End Date]])</f>
        <v>#DIV/0!</v>
      </c>
      <c r="O774" s="178">
        <f>NETWORKDAYS(Table1[[#This Row],[Planned Start Date]],Table1[[#This Row],[Planned End Date]])</f>
        <v>0</v>
      </c>
      <c r="P774" s="178">
        <f>NETWORKDAYS(Table1[[#This Row],[Planned Start Date]],$P$7)</f>
        <v>30643</v>
      </c>
      <c r="Q774" s="129"/>
      <c r="R774" s="183" t="str">
        <f>IF(Table1[[#This Row],[Actual Effort (Hours)]]="","",IF(Table1[[#This Row],[Estimated Effort (Hours)]]&lt;20,"L1",IF(Table1[[#This Row],[Estimated Effort (Hours)]]&lt;50,"L2",IF(Table1[[#This Row],[Estimated Effort (Hours)]]&lt;150,"L3",IF(Table1[[#This Row],[Estimated Effort (Hours)]]&lt;300,"L4","L5")))))</f>
        <v/>
      </c>
      <c r="S774" s="184" t="str">
        <f>IF(Table1[[#This Row],[Actual End Date]]="","",TEXT(Table1[[#This Row],[Actual End Date]],"mmm-yy"))</f>
        <v/>
      </c>
      <c r="T7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4" s="185" t="str">
        <f>IFERROR((Table1[[#This Row],[Actual Effort (Hours)]]-Table1[[#This Row],[Estimated Effort (Hours)]])/Table1[[#This Row],[Estimated Effort (Hours)]],"")</f>
        <v/>
      </c>
    </row>
    <row r="775" spans="2:21">
      <c r="B775" s="125"/>
      <c r="C775" s="123"/>
      <c r="D775" s="143"/>
      <c r="E775" s="123"/>
      <c r="F775" s="143"/>
      <c r="G775" s="129"/>
      <c r="H775" s="124"/>
      <c r="I775" s="124"/>
      <c r="J775" s="129"/>
      <c r="K775" s="194"/>
      <c r="L775" s="194"/>
      <c r="M775" s="129"/>
      <c r="N775" s="129" t="e">
        <f>Table1[[#This Row],[Estimated Effort (Hours)]]/NETWORKDAYS(Table1[[#This Row],[Planned Start Date]],Table1[[#This Row],[Planned End Date]])</f>
        <v>#DIV/0!</v>
      </c>
      <c r="O775" s="178">
        <f>NETWORKDAYS(Table1[[#This Row],[Planned Start Date]],Table1[[#This Row],[Planned End Date]])</f>
        <v>0</v>
      </c>
      <c r="P775" s="178">
        <f>NETWORKDAYS(Table1[[#This Row],[Planned Start Date]],$P$7)</f>
        <v>30643</v>
      </c>
      <c r="Q775" s="129"/>
      <c r="R775" s="183" t="str">
        <f>IF(Table1[[#This Row],[Actual Effort (Hours)]]="","",IF(Table1[[#This Row],[Estimated Effort (Hours)]]&lt;20,"L1",IF(Table1[[#This Row],[Estimated Effort (Hours)]]&lt;50,"L2",IF(Table1[[#This Row],[Estimated Effort (Hours)]]&lt;150,"L3",IF(Table1[[#This Row],[Estimated Effort (Hours)]]&lt;300,"L4","L5")))))</f>
        <v/>
      </c>
      <c r="S775" s="184" t="str">
        <f>IF(Table1[[#This Row],[Actual End Date]]="","",TEXT(Table1[[#This Row],[Actual End Date]],"mmm-yy"))</f>
        <v/>
      </c>
      <c r="T7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5" s="185" t="str">
        <f>IFERROR((Table1[[#This Row],[Actual Effort (Hours)]]-Table1[[#This Row],[Estimated Effort (Hours)]])/Table1[[#This Row],[Estimated Effort (Hours)]],"")</f>
        <v/>
      </c>
    </row>
    <row r="776" spans="2:21">
      <c r="B776" s="125"/>
      <c r="C776" s="123"/>
      <c r="D776" s="143"/>
      <c r="E776" s="123"/>
      <c r="F776" s="143"/>
      <c r="G776" s="129"/>
      <c r="H776" s="124"/>
      <c r="I776" s="124"/>
      <c r="J776" s="129"/>
      <c r="K776" s="194"/>
      <c r="L776" s="194"/>
      <c r="M776" s="129"/>
      <c r="N776" s="129" t="e">
        <f>Table1[[#This Row],[Estimated Effort (Hours)]]/NETWORKDAYS(Table1[[#This Row],[Planned Start Date]],Table1[[#This Row],[Planned End Date]])</f>
        <v>#DIV/0!</v>
      </c>
      <c r="O776" s="178">
        <f>NETWORKDAYS(Table1[[#This Row],[Planned Start Date]],Table1[[#This Row],[Planned End Date]])</f>
        <v>0</v>
      </c>
      <c r="P776" s="178">
        <f>NETWORKDAYS(Table1[[#This Row],[Planned Start Date]],$P$7)</f>
        <v>30643</v>
      </c>
      <c r="Q776" s="129"/>
      <c r="R776" s="183" t="str">
        <f>IF(Table1[[#This Row],[Actual Effort (Hours)]]="","",IF(Table1[[#This Row],[Estimated Effort (Hours)]]&lt;20,"L1",IF(Table1[[#This Row],[Estimated Effort (Hours)]]&lt;50,"L2",IF(Table1[[#This Row],[Estimated Effort (Hours)]]&lt;150,"L3",IF(Table1[[#This Row],[Estimated Effort (Hours)]]&lt;300,"L4","L5")))))</f>
        <v/>
      </c>
      <c r="S776" s="184" t="str">
        <f>IF(Table1[[#This Row],[Actual End Date]]="","",TEXT(Table1[[#This Row],[Actual End Date]],"mmm-yy"))</f>
        <v/>
      </c>
      <c r="T7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6" s="185" t="str">
        <f>IFERROR((Table1[[#This Row],[Actual Effort (Hours)]]-Table1[[#This Row],[Estimated Effort (Hours)]])/Table1[[#This Row],[Estimated Effort (Hours)]],"")</f>
        <v/>
      </c>
    </row>
    <row r="777" spans="2:21">
      <c r="B777" s="125"/>
      <c r="C777" s="123"/>
      <c r="D777" s="143"/>
      <c r="E777" s="123"/>
      <c r="F777" s="143"/>
      <c r="G777" s="129"/>
      <c r="H777" s="124"/>
      <c r="I777" s="124"/>
      <c r="J777" s="129"/>
      <c r="K777" s="194"/>
      <c r="L777" s="194"/>
      <c r="M777" s="129"/>
      <c r="N777" s="129" t="e">
        <f>Table1[[#This Row],[Estimated Effort (Hours)]]/NETWORKDAYS(Table1[[#This Row],[Planned Start Date]],Table1[[#This Row],[Planned End Date]])</f>
        <v>#DIV/0!</v>
      </c>
      <c r="O777" s="178">
        <f>NETWORKDAYS(Table1[[#This Row],[Planned Start Date]],Table1[[#This Row],[Planned End Date]])</f>
        <v>0</v>
      </c>
      <c r="P777" s="178">
        <f>NETWORKDAYS(Table1[[#This Row],[Planned Start Date]],$P$7)</f>
        <v>30643</v>
      </c>
      <c r="Q777" s="129"/>
      <c r="R777" s="183" t="str">
        <f>IF(Table1[[#This Row],[Actual Effort (Hours)]]="","",IF(Table1[[#This Row],[Estimated Effort (Hours)]]&lt;20,"L1",IF(Table1[[#This Row],[Estimated Effort (Hours)]]&lt;50,"L2",IF(Table1[[#This Row],[Estimated Effort (Hours)]]&lt;150,"L3",IF(Table1[[#This Row],[Estimated Effort (Hours)]]&lt;300,"L4","L5")))))</f>
        <v/>
      </c>
      <c r="S777" s="184" t="str">
        <f>IF(Table1[[#This Row],[Actual End Date]]="","",TEXT(Table1[[#This Row],[Actual End Date]],"mmm-yy"))</f>
        <v/>
      </c>
      <c r="T7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7" s="185" t="str">
        <f>IFERROR((Table1[[#This Row],[Actual Effort (Hours)]]-Table1[[#This Row],[Estimated Effort (Hours)]])/Table1[[#This Row],[Estimated Effort (Hours)]],"")</f>
        <v/>
      </c>
    </row>
    <row r="778" spans="2:21">
      <c r="B778" s="125"/>
      <c r="C778" s="123"/>
      <c r="D778" s="143"/>
      <c r="E778" s="123"/>
      <c r="F778" s="143"/>
      <c r="G778" s="129"/>
      <c r="H778" s="124"/>
      <c r="I778" s="124"/>
      <c r="J778" s="129"/>
      <c r="K778" s="194"/>
      <c r="L778" s="194"/>
      <c r="M778" s="129"/>
      <c r="N778" s="129" t="e">
        <f>Table1[[#This Row],[Estimated Effort (Hours)]]/NETWORKDAYS(Table1[[#This Row],[Planned Start Date]],Table1[[#This Row],[Planned End Date]])</f>
        <v>#DIV/0!</v>
      </c>
      <c r="O778" s="178">
        <f>NETWORKDAYS(Table1[[#This Row],[Planned Start Date]],Table1[[#This Row],[Planned End Date]])</f>
        <v>0</v>
      </c>
      <c r="P778" s="178">
        <f>NETWORKDAYS(Table1[[#This Row],[Planned Start Date]],$P$7)</f>
        <v>30643</v>
      </c>
      <c r="Q778" s="129"/>
      <c r="R778" s="183" t="str">
        <f>IF(Table1[[#This Row],[Actual Effort (Hours)]]="","",IF(Table1[[#This Row],[Estimated Effort (Hours)]]&lt;20,"L1",IF(Table1[[#This Row],[Estimated Effort (Hours)]]&lt;50,"L2",IF(Table1[[#This Row],[Estimated Effort (Hours)]]&lt;150,"L3",IF(Table1[[#This Row],[Estimated Effort (Hours)]]&lt;300,"L4","L5")))))</f>
        <v/>
      </c>
      <c r="S778" s="184" t="str">
        <f>IF(Table1[[#This Row],[Actual End Date]]="","",TEXT(Table1[[#This Row],[Actual End Date]],"mmm-yy"))</f>
        <v/>
      </c>
      <c r="T7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8" s="185" t="str">
        <f>IFERROR((Table1[[#This Row],[Actual Effort (Hours)]]-Table1[[#This Row],[Estimated Effort (Hours)]])/Table1[[#This Row],[Estimated Effort (Hours)]],"")</f>
        <v/>
      </c>
    </row>
    <row r="779" spans="2:21">
      <c r="B779" s="125"/>
      <c r="C779" s="123"/>
      <c r="D779" s="143"/>
      <c r="E779" s="123"/>
      <c r="F779" s="143"/>
      <c r="G779" s="129"/>
      <c r="H779" s="124"/>
      <c r="I779" s="124"/>
      <c r="J779" s="129"/>
      <c r="K779" s="194"/>
      <c r="L779" s="194"/>
      <c r="M779" s="129"/>
      <c r="N779" s="129" t="e">
        <f>Table1[[#This Row],[Estimated Effort (Hours)]]/NETWORKDAYS(Table1[[#This Row],[Planned Start Date]],Table1[[#This Row],[Planned End Date]])</f>
        <v>#DIV/0!</v>
      </c>
      <c r="O779" s="178">
        <f>NETWORKDAYS(Table1[[#This Row],[Planned Start Date]],Table1[[#This Row],[Planned End Date]])</f>
        <v>0</v>
      </c>
      <c r="P779" s="178">
        <f>NETWORKDAYS(Table1[[#This Row],[Planned Start Date]],$P$7)</f>
        <v>30643</v>
      </c>
      <c r="Q779" s="129"/>
      <c r="R779" s="183" t="str">
        <f>IF(Table1[[#This Row],[Actual Effort (Hours)]]="","",IF(Table1[[#This Row],[Estimated Effort (Hours)]]&lt;20,"L1",IF(Table1[[#This Row],[Estimated Effort (Hours)]]&lt;50,"L2",IF(Table1[[#This Row],[Estimated Effort (Hours)]]&lt;150,"L3",IF(Table1[[#This Row],[Estimated Effort (Hours)]]&lt;300,"L4","L5")))))</f>
        <v/>
      </c>
      <c r="S779" s="184" t="str">
        <f>IF(Table1[[#This Row],[Actual End Date]]="","",TEXT(Table1[[#This Row],[Actual End Date]],"mmm-yy"))</f>
        <v/>
      </c>
      <c r="T7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79" s="185" t="str">
        <f>IFERROR((Table1[[#This Row],[Actual Effort (Hours)]]-Table1[[#This Row],[Estimated Effort (Hours)]])/Table1[[#This Row],[Estimated Effort (Hours)]],"")</f>
        <v/>
      </c>
    </row>
    <row r="780" spans="2:21">
      <c r="B780" s="125"/>
      <c r="C780" s="123"/>
      <c r="D780" s="143"/>
      <c r="E780" s="123"/>
      <c r="F780" s="143"/>
      <c r="G780" s="129"/>
      <c r="H780" s="124"/>
      <c r="I780" s="124"/>
      <c r="J780" s="129"/>
      <c r="K780" s="194"/>
      <c r="L780" s="194"/>
      <c r="M780" s="129"/>
      <c r="N780" s="129" t="e">
        <f>Table1[[#This Row],[Estimated Effort (Hours)]]/NETWORKDAYS(Table1[[#This Row],[Planned Start Date]],Table1[[#This Row],[Planned End Date]])</f>
        <v>#DIV/0!</v>
      </c>
      <c r="O780" s="178">
        <f>NETWORKDAYS(Table1[[#This Row],[Planned Start Date]],Table1[[#This Row],[Planned End Date]])</f>
        <v>0</v>
      </c>
      <c r="P780" s="178">
        <f>NETWORKDAYS(Table1[[#This Row],[Planned Start Date]],$P$7)</f>
        <v>30643</v>
      </c>
      <c r="Q780" s="129"/>
      <c r="R780" s="183" t="str">
        <f>IF(Table1[[#This Row],[Actual Effort (Hours)]]="","",IF(Table1[[#This Row],[Estimated Effort (Hours)]]&lt;20,"L1",IF(Table1[[#This Row],[Estimated Effort (Hours)]]&lt;50,"L2",IF(Table1[[#This Row],[Estimated Effort (Hours)]]&lt;150,"L3",IF(Table1[[#This Row],[Estimated Effort (Hours)]]&lt;300,"L4","L5")))))</f>
        <v/>
      </c>
      <c r="S780" s="184" t="str">
        <f>IF(Table1[[#This Row],[Actual End Date]]="","",TEXT(Table1[[#This Row],[Actual End Date]],"mmm-yy"))</f>
        <v/>
      </c>
      <c r="T7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0" s="185" t="str">
        <f>IFERROR((Table1[[#This Row],[Actual Effort (Hours)]]-Table1[[#This Row],[Estimated Effort (Hours)]])/Table1[[#This Row],[Estimated Effort (Hours)]],"")</f>
        <v/>
      </c>
    </row>
    <row r="781" spans="2:21">
      <c r="B781" s="125"/>
      <c r="C781" s="123"/>
      <c r="D781" s="143"/>
      <c r="E781" s="123"/>
      <c r="F781" s="143"/>
      <c r="G781" s="129"/>
      <c r="H781" s="124"/>
      <c r="I781" s="124"/>
      <c r="J781" s="129"/>
      <c r="K781" s="194"/>
      <c r="L781" s="194"/>
      <c r="M781" s="129"/>
      <c r="N781" s="129" t="e">
        <f>Table1[[#This Row],[Estimated Effort (Hours)]]/NETWORKDAYS(Table1[[#This Row],[Planned Start Date]],Table1[[#This Row],[Planned End Date]])</f>
        <v>#DIV/0!</v>
      </c>
      <c r="O781" s="178">
        <f>NETWORKDAYS(Table1[[#This Row],[Planned Start Date]],Table1[[#This Row],[Planned End Date]])</f>
        <v>0</v>
      </c>
      <c r="P781" s="178">
        <f>NETWORKDAYS(Table1[[#This Row],[Planned Start Date]],$P$7)</f>
        <v>30643</v>
      </c>
      <c r="Q781" s="129"/>
      <c r="R781" s="183" t="str">
        <f>IF(Table1[[#This Row],[Actual Effort (Hours)]]="","",IF(Table1[[#This Row],[Estimated Effort (Hours)]]&lt;20,"L1",IF(Table1[[#This Row],[Estimated Effort (Hours)]]&lt;50,"L2",IF(Table1[[#This Row],[Estimated Effort (Hours)]]&lt;150,"L3",IF(Table1[[#This Row],[Estimated Effort (Hours)]]&lt;300,"L4","L5")))))</f>
        <v/>
      </c>
      <c r="S781" s="184" t="str">
        <f>IF(Table1[[#This Row],[Actual End Date]]="","",TEXT(Table1[[#This Row],[Actual End Date]],"mmm-yy"))</f>
        <v/>
      </c>
      <c r="T7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1" s="185" t="str">
        <f>IFERROR((Table1[[#This Row],[Actual Effort (Hours)]]-Table1[[#This Row],[Estimated Effort (Hours)]])/Table1[[#This Row],[Estimated Effort (Hours)]],"")</f>
        <v/>
      </c>
    </row>
    <row r="782" spans="2:21">
      <c r="B782" s="125"/>
      <c r="C782" s="123"/>
      <c r="D782" s="143"/>
      <c r="E782" s="123"/>
      <c r="F782" s="143"/>
      <c r="G782" s="129"/>
      <c r="H782" s="124"/>
      <c r="I782" s="124"/>
      <c r="J782" s="129"/>
      <c r="K782" s="194"/>
      <c r="L782" s="194"/>
      <c r="M782" s="129"/>
      <c r="N782" s="129" t="e">
        <f>Table1[[#This Row],[Estimated Effort (Hours)]]/NETWORKDAYS(Table1[[#This Row],[Planned Start Date]],Table1[[#This Row],[Planned End Date]])</f>
        <v>#DIV/0!</v>
      </c>
      <c r="O782" s="178">
        <f>NETWORKDAYS(Table1[[#This Row],[Planned Start Date]],Table1[[#This Row],[Planned End Date]])</f>
        <v>0</v>
      </c>
      <c r="P782" s="178">
        <f>NETWORKDAYS(Table1[[#This Row],[Planned Start Date]],$P$7)</f>
        <v>30643</v>
      </c>
      <c r="Q782" s="129"/>
      <c r="R782" s="183" t="str">
        <f>IF(Table1[[#This Row],[Actual Effort (Hours)]]="","",IF(Table1[[#This Row],[Estimated Effort (Hours)]]&lt;20,"L1",IF(Table1[[#This Row],[Estimated Effort (Hours)]]&lt;50,"L2",IF(Table1[[#This Row],[Estimated Effort (Hours)]]&lt;150,"L3",IF(Table1[[#This Row],[Estimated Effort (Hours)]]&lt;300,"L4","L5")))))</f>
        <v/>
      </c>
      <c r="S782" s="184" t="str">
        <f>IF(Table1[[#This Row],[Actual End Date]]="","",TEXT(Table1[[#This Row],[Actual End Date]],"mmm-yy"))</f>
        <v/>
      </c>
      <c r="T7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2" s="185" t="str">
        <f>IFERROR((Table1[[#This Row],[Actual Effort (Hours)]]-Table1[[#This Row],[Estimated Effort (Hours)]])/Table1[[#This Row],[Estimated Effort (Hours)]],"")</f>
        <v/>
      </c>
    </row>
    <row r="783" spans="2:21">
      <c r="B783" s="125"/>
      <c r="C783" s="123"/>
      <c r="D783" s="143"/>
      <c r="E783" s="123"/>
      <c r="F783" s="143"/>
      <c r="G783" s="129"/>
      <c r="H783" s="124"/>
      <c r="I783" s="124"/>
      <c r="J783" s="129"/>
      <c r="K783" s="194"/>
      <c r="L783" s="194"/>
      <c r="M783" s="129"/>
      <c r="N783" s="129" t="e">
        <f>Table1[[#This Row],[Estimated Effort (Hours)]]/NETWORKDAYS(Table1[[#This Row],[Planned Start Date]],Table1[[#This Row],[Planned End Date]])</f>
        <v>#DIV/0!</v>
      </c>
      <c r="O783" s="178">
        <f>NETWORKDAYS(Table1[[#This Row],[Planned Start Date]],Table1[[#This Row],[Planned End Date]])</f>
        <v>0</v>
      </c>
      <c r="P783" s="178">
        <f>NETWORKDAYS(Table1[[#This Row],[Planned Start Date]],$P$7)</f>
        <v>30643</v>
      </c>
      <c r="Q783" s="129"/>
      <c r="R783" s="183" t="str">
        <f>IF(Table1[[#This Row],[Actual Effort (Hours)]]="","",IF(Table1[[#This Row],[Estimated Effort (Hours)]]&lt;20,"L1",IF(Table1[[#This Row],[Estimated Effort (Hours)]]&lt;50,"L2",IF(Table1[[#This Row],[Estimated Effort (Hours)]]&lt;150,"L3",IF(Table1[[#This Row],[Estimated Effort (Hours)]]&lt;300,"L4","L5")))))</f>
        <v/>
      </c>
      <c r="S783" s="184" t="str">
        <f>IF(Table1[[#This Row],[Actual End Date]]="","",TEXT(Table1[[#This Row],[Actual End Date]],"mmm-yy"))</f>
        <v/>
      </c>
      <c r="T7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3" s="185" t="str">
        <f>IFERROR((Table1[[#This Row],[Actual Effort (Hours)]]-Table1[[#This Row],[Estimated Effort (Hours)]])/Table1[[#This Row],[Estimated Effort (Hours)]],"")</f>
        <v/>
      </c>
    </row>
    <row r="784" spans="2:21">
      <c r="B784" s="125"/>
      <c r="C784" s="123"/>
      <c r="D784" s="143"/>
      <c r="E784" s="123"/>
      <c r="F784" s="143"/>
      <c r="G784" s="129"/>
      <c r="H784" s="124"/>
      <c r="I784" s="124"/>
      <c r="J784" s="129"/>
      <c r="K784" s="194"/>
      <c r="L784" s="194"/>
      <c r="M784" s="129"/>
      <c r="N784" s="129" t="e">
        <f>Table1[[#This Row],[Estimated Effort (Hours)]]/NETWORKDAYS(Table1[[#This Row],[Planned Start Date]],Table1[[#This Row],[Planned End Date]])</f>
        <v>#DIV/0!</v>
      </c>
      <c r="O784" s="178">
        <f>NETWORKDAYS(Table1[[#This Row],[Planned Start Date]],Table1[[#This Row],[Planned End Date]])</f>
        <v>0</v>
      </c>
      <c r="P784" s="178">
        <f>NETWORKDAYS(Table1[[#This Row],[Planned Start Date]],$P$7)</f>
        <v>30643</v>
      </c>
      <c r="Q784" s="129"/>
      <c r="R784" s="183" t="str">
        <f>IF(Table1[[#This Row],[Actual Effort (Hours)]]="","",IF(Table1[[#This Row],[Estimated Effort (Hours)]]&lt;20,"L1",IF(Table1[[#This Row],[Estimated Effort (Hours)]]&lt;50,"L2",IF(Table1[[#This Row],[Estimated Effort (Hours)]]&lt;150,"L3",IF(Table1[[#This Row],[Estimated Effort (Hours)]]&lt;300,"L4","L5")))))</f>
        <v/>
      </c>
      <c r="S784" s="184" t="str">
        <f>IF(Table1[[#This Row],[Actual End Date]]="","",TEXT(Table1[[#This Row],[Actual End Date]],"mmm-yy"))</f>
        <v/>
      </c>
      <c r="T7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4" s="185" t="str">
        <f>IFERROR((Table1[[#This Row],[Actual Effort (Hours)]]-Table1[[#This Row],[Estimated Effort (Hours)]])/Table1[[#This Row],[Estimated Effort (Hours)]],"")</f>
        <v/>
      </c>
    </row>
    <row r="785" spans="2:21">
      <c r="B785" s="125"/>
      <c r="C785" s="123"/>
      <c r="D785" s="143"/>
      <c r="E785" s="123"/>
      <c r="F785" s="143"/>
      <c r="G785" s="129"/>
      <c r="H785" s="124"/>
      <c r="I785" s="124"/>
      <c r="J785" s="129"/>
      <c r="K785" s="194"/>
      <c r="L785" s="194"/>
      <c r="M785" s="129"/>
      <c r="N785" s="129" t="e">
        <f>Table1[[#This Row],[Estimated Effort (Hours)]]/NETWORKDAYS(Table1[[#This Row],[Planned Start Date]],Table1[[#This Row],[Planned End Date]])</f>
        <v>#DIV/0!</v>
      </c>
      <c r="O785" s="178">
        <f>NETWORKDAYS(Table1[[#This Row],[Planned Start Date]],Table1[[#This Row],[Planned End Date]])</f>
        <v>0</v>
      </c>
      <c r="P785" s="178">
        <f>NETWORKDAYS(Table1[[#This Row],[Planned Start Date]],$P$7)</f>
        <v>30643</v>
      </c>
      <c r="Q785" s="129"/>
      <c r="R785" s="183" t="str">
        <f>IF(Table1[[#This Row],[Actual Effort (Hours)]]="","",IF(Table1[[#This Row],[Estimated Effort (Hours)]]&lt;20,"L1",IF(Table1[[#This Row],[Estimated Effort (Hours)]]&lt;50,"L2",IF(Table1[[#This Row],[Estimated Effort (Hours)]]&lt;150,"L3",IF(Table1[[#This Row],[Estimated Effort (Hours)]]&lt;300,"L4","L5")))))</f>
        <v/>
      </c>
      <c r="S785" s="184" t="str">
        <f>IF(Table1[[#This Row],[Actual End Date]]="","",TEXT(Table1[[#This Row],[Actual End Date]],"mmm-yy"))</f>
        <v/>
      </c>
      <c r="T7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5" s="185" t="str">
        <f>IFERROR((Table1[[#This Row],[Actual Effort (Hours)]]-Table1[[#This Row],[Estimated Effort (Hours)]])/Table1[[#This Row],[Estimated Effort (Hours)]],"")</f>
        <v/>
      </c>
    </row>
    <row r="786" spans="2:21">
      <c r="B786" s="125"/>
      <c r="C786" s="123"/>
      <c r="D786" s="143"/>
      <c r="E786" s="123"/>
      <c r="F786" s="143"/>
      <c r="G786" s="129"/>
      <c r="H786" s="124"/>
      <c r="I786" s="124"/>
      <c r="J786" s="129"/>
      <c r="K786" s="194"/>
      <c r="L786" s="194"/>
      <c r="M786" s="129"/>
      <c r="N786" s="129" t="e">
        <f>Table1[[#This Row],[Estimated Effort (Hours)]]/NETWORKDAYS(Table1[[#This Row],[Planned Start Date]],Table1[[#This Row],[Planned End Date]])</f>
        <v>#DIV/0!</v>
      </c>
      <c r="O786" s="178">
        <f>NETWORKDAYS(Table1[[#This Row],[Planned Start Date]],Table1[[#This Row],[Planned End Date]])</f>
        <v>0</v>
      </c>
      <c r="P786" s="178">
        <f>NETWORKDAYS(Table1[[#This Row],[Planned Start Date]],$P$7)</f>
        <v>30643</v>
      </c>
      <c r="Q786" s="129"/>
      <c r="R786" s="183" t="str">
        <f>IF(Table1[[#This Row],[Actual Effort (Hours)]]="","",IF(Table1[[#This Row],[Estimated Effort (Hours)]]&lt;20,"L1",IF(Table1[[#This Row],[Estimated Effort (Hours)]]&lt;50,"L2",IF(Table1[[#This Row],[Estimated Effort (Hours)]]&lt;150,"L3",IF(Table1[[#This Row],[Estimated Effort (Hours)]]&lt;300,"L4","L5")))))</f>
        <v/>
      </c>
      <c r="S786" s="184" t="str">
        <f>IF(Table1[[#This Row],[Actual End Date]]="","",TEXT(Table1[[#This Row],[Actual End Date]],"mmm-yy"))</f>
        <v/>
      </c>
      <c r="T7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6" s="185" t="str">
        <f>IFERROR((Table1[[#This Row],[Actual Effort (Hours)]]-Table1[[#This Row],[Estimated Effort (Hours)]])/Table1[[#This Row],[Estimated Effort (Hours)]],"")</f>
        <v/>
      </c>
    </row>
    <row r="787" spans="2:21">
      <c r="B787" s="125"/>
      <c r="C787" s="123"/>
      <c r="D787" s="143"/>
      <c r="E787" s="123"/>
      <c r="F787" s="143"/>
      <c r="G787" s="129"/>
      <c r="H787" s="124"/>
      <c r="I787" s="124"/>
      <c r="J787" s="129"/>
      <c r="K787" s="194"/>
      <c r="L787" s="194"/>
      <c r="M787" s="129"/>
      <c r="N787" s="129" t="e">
        <f>Table1[[#This Row],[Estimated Effort (Hours)]]/NETWORKDAYS(Table1[[#This Row],[Planned Start Date]],Table1[[#This Row],[Planned End Date]])</f>
        <v>#DIV/0!</v>
      </c>
      <c r="O787" s="178">
        <f>NETWORKDAYS(Table1[[#This Row],[Planned Start Date]],Table1[[#This Row],[Planned End Date]])</f>
        <v>0</v>
      </c>
      <c r="P787" s="178">
        <f>NETWORKDAYS(Table1[[#This Row],[Planned Start Date]],$P$7)</f>
        <v>30643</v>
      </c>
      <c r="Q787" s="129"/>
      <c r="R787" s="183" t="str">
        <f>IF(Table1[[#This Row],[Actual Effort (Hours)]]="","",IF(Table1[[#This Row],[Estimated Effort (Hours)]]&lt;20,"L1",IF(Table1[[#This Row],[Estimated Effort (Hours)]]&lt;50,"L2",IF(Table1[[#This Row],[Estimated Effort (Hours)]]&lt;150,"L3",IF(Table1[[#This Row],[Estimated Effort (Hours)]]&lt;300,"L4","L5")))))</f>
        <v/>
      </c>
      <c r="S787" s="184" t="str">
        <f>IF(Table1[[#This Row],[Actual End Date]]="","",TEXT(Table1[[#This Row],[Actual End Date]],"mmm-yy"))</f>
        <v/>
      </c>
      <c r="T7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7" s="185" t="str">
        <f>IFERROR((Table1[[#This Row],[Actual Effort (Hours)]]-Table1[[#This Row],[Estimated Effort (Hours)]])/Table1[[#This Row],[Estimated Effort (Hours)]],"")</f>
        <v/>
      </c>
    </row>
    <row r="788" spans="2:21">
      <c r="B788" s="125"/>
      <c r="C788" s="123"/>
      <c r="D788" s="143"/>
      <c r="E788" s="123"/>
      <c r="F788" s="143"/>
      <c r="G788" s="129"/>
      <c r="H788" s="124"/>
      <c r="I788" s="124"/>
      <c r="J788" s="129"/>
      <c r="K788" s="194"/>
      <c r="L788" s="194"/>
      <c r="M788" s="129"/>
      <c r="N788" s="129" t="e">
        <f>Table1[[#This Row],[Estimated Effort (Hours)]]/NETWORKDAYS(Table1[[#This Row],[Planned Start Date]],Table1[[#This Row],[Planned End Date]])</f>
        <v>#DIV/0!</v>
      </c>
      <c r="O788" s="178">
        <f>NETWORKDAYS(Table1[[#This Row],[Planned Start Date]],Table1[[#This Row],[Planned End Date]])</f>
        <v>0</v>
      </c>
      <c r="P788" s="178">
        <f>NETWORKDAYS(Table1[[#This Row],[Planned Start Date]],$P$7)</f>
        <v>30643</v>
      </c>
      <c r="Q788" s="129"/>
      <c r="R788" s="183" t="str">
        <f>IF(Table1[[#This Row],[Actual Effort (Hours)]]="","",IF(Table1[[#This Row],[Estimated Effort (Hours)]]&lt;20,"L1",IF(Table1[[#This Row],[Estimated Effort (Hours)]]&lt;50,"L2",IF(Table1[[#This Row],[Estimated Effort (Hours)]]&lt;150,"L3",IF(Table1[[#This Row],[Estimated Effort (Hours)]]&lt;300,"L4","L5")))))</f>
        <v/>
      </c>
      <c r="S788" s="184" t="str">
        <f>IF(Table1[[#This Row],[Actual End Date]]="","",TEXT(Table1[[#This Row],[Actual End Date]],"mmm-yy"))</f>
        <v/>
      </c>
      <c r="T7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8" s="185" t="str">
        <f>IFERROR((Table1[[#This Row],[Actual Effort (Hours)]]-Table1[[#This Row],[Estimated Effort (Hours)]])/Table1[[#This Row],[Estimated Effort (Hours)]],"")</f>
        <v/>
      </c>
    </row>
    <row r="789" spans="2:21">
      <c r="B789" s="125"/>
      <c r="C789" s="123"/>
      <c r="D789" s="143"/>
      <c r="E789" s="123"/>
      <c r="F789" s="143"/>
      <c r="G789" s="129"/>
      <c r="H789" s="124"/>
      <c r="I789" s="124"/>
      <c r="J789" s="129"/>
      <c r="K789" s="194"/>
      <c r="L789" s="194"/>
      <c r="M789" s="129"/>
      <c r="N789" s="129" t="e">
        <f>Table1[[#This Row],[Estimated Effort (Hours)]]/NETWORKDAYS(Table1[[#This Row],[Planned Start Date]],Table1[[#This Row],[Planned End Date]])</f>
        <v>#DIV/0!</v>
      </c>
      <c r="O789" s="178">
        <f>NETWORKDAYS(Table1[[#This Row],[Planned Start Date]],Table1[[#This Row],[Planned End Date]])</f>
        <v>0</v>
      </c>
      <c r="P789" s="178">
        <f>NETWORKDAYS(Table1[[#This Row],[Planned Start Date]],$P$7)</f>
        <v>30643</v>
      </c>
      <c r="Q789" s="129"/>
      <c r="R789" s="183" t="str">
        <f>IF(Table1[[#This Row],[Actual Effort (Hours)]]="","",IF(Table1[[#This Row],[Estimated Effort (Hours)]]&lt;20,"L1",IF(Table1[[#This Row],[Estimated Effort (Hours)]]&lt;50,"L2",IF(Table1[[#This Row],[Estimated Effort (Hours)]]&lt;150,"L3",IF(Table1[[#This Row],[Estimated Effort (Hours)]]&lt;300,"L4","L5")))))</f>
        <v/>
      </c>
      <c r="S789" s="184" t="str">
        <f>IF(Table1[[#This Row],[Actual End Date]]="","",TEXT(Table1[[#This Row],[Actual End Date]],"mmm-yy"))</f>
        <v/>
      </c>
      <c r="T7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89" s="185" t="str">
        <f>IFERROR((Table1[[#This Row],[Actual Effort (Hours)]]-Table1[[#This Row],[Estimated Effort (Hours)]])/Table1[[#This Row],[Estimated Effort (Hours)]],"")</f>
        <v/>
      </c>
    </row>
    <row r="790" spans="2:21">
      <c r="B790" s="125"/>
      <c r="C790" s="123"/>
      <c r="D790" s="143"/>
      <c r="E790" s="123"/>
      <c r="F790" s="143"/>
      <c r="G790" s="129"/>
      <c r="H790" s="124"/>
      <c r="I790" s="124"/>
      <c r="J790" s="129"/>
      <c r="K790" s="194"/>
      <c r="L790" s="194"/>
      <c r="M790" s="129"/>
      <c r="N790" s="129" t="e">
        <f>Table1[[#This Row],[Estimated Effort (Hours)]]/NETWORKDAYS(Table1[[#This Row],[Planned Start Date]],Table1[[#This Row],[Planned End Date]])</f>
        <v>#DIV/0!</v>
      </c>
      <c r="O790" s="178">
        <f>NETWORKDAYS(Table1[[#This Row],[Planned Start Date]],Table1[[#This Row],[Planned End Date]])</f>
        <v>0</v>
      </c>
      <c r="P790" s="178">
        <f>NETWORKDAYS(Table1[[#This Row],[Planned Start Date]],$P$7)</f>
        <v>30643</v>
      </c>
      <c r="Q790" s="129"/>
      <c r="R790" s="183" t="str">
        <f>IF(Table1[[#This Row],[Actual Effort (Hours)]]="","",IF(Table1[[#This Row],[Estimated Effort (Hours)]]&lt;20,"L1",IF(Table1[[#This Row],[Estimated Effort (Hours)]]&lt;50,"L2",IF(Table1[[#This Row],[Estimated Effort (Hours)]]&lt;150,"L3",IF(Table1[[#This Row],[Estimated Effort (Hours)]]&lt;300,"L4","L5")))))</f>
        <v/>
      </c>
      <c r="S790" s="184" t="str">
        <f>IF(Table1[[#This Row],[Actual End Date]]="","",TEXT(Table1[[#This Row],[Actual End Date]],"mmm-yy"))</f>
        <v/>
      </c>
      <c r="T7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0" s="185" t="str">
        <f>IFERROR((Table1[[#This Row],[Actual Effort (Hours)]]-Table1[[#This Row],[Estimated Effort (Hours)]])/Table1[[#This Row],[Estimated Effort (Hours)]],"")</f>
        <v/>
      </c>
    </row>
    <row r="791" spans="2:21">
      <c r="B791" s="125"/>
      <c r="C791" s="123"/>
      <c r="D791" s="143"/>
      <c r="E791" s="123"/>
      <c r="F791" s="143"/>
      <c r="G791" s="129"/>
      <c r="H791" s="124"/>
      <c r="I791" s="124"/>
      <c r="J791" s="129"/>
      <c r="K791" s="194"/>
      <c r="L791" s="194"/>
      <c r="M791" s="129"/>
      <c r="N791" s="129" t="e">
        <f>Table1[[#This Row],[Estimated Effort (Hours)]]/NETWORKDAYS(Table1[[#This Row],[Planned Start Date]],Table1[[#This Row],[Planned End Date]])</f>
        <v>#DIV/0!</v>
      </c>
      <c r="O791" s="178">
        <f>NETWORKDAYS(Table1[[#This Row],[Planned Start Date]],Table1[[#This Row],[Planned End Date]])</f>
        <v>0</v>
      </c>
      <c r="P791" s="178">
        <f>NETWORKDAYS(Table1[[#This Row],[Planned Start Date]],$P$7)</f>
        <v>30643</v>
      </c>
      <c r="Q791" s="129"/>
      <c r="R791" s="183" t="str">
        <f>IF(Table1[[#This Row],[Actual Effort (Hours)]]="","",IF(Table1[[#This Row],[Estimated Effort (Hours)]]&lt;20,"L1",IF(Table1[[#This Row],[Estimated Effort (Hours)]]&lt;50,"L2",IF(Table1[[#This Row],[Estimated Effort (Hours)]]&lt;150,"L3",IF(Table1[[#This Row],[Estimated Effort (Hours)]]&lt;300,"L4","L5")))))</f>
        <v/>
      </c>
      <c r="S791" s="184" t="str">
        <f>IF(Table1[[#This Row],[Actual End Date]]="","",TEXT(Table1[[#This Row],[Actual End Date]],"mmm-yy"))</f>
        <v/>
      </c>
      <c r="T7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1" s="185" t="str">
        <f>IFERROR((Table1[[#This Row],[Actual Effort (Hours)]]-Table1[[#This Row],[Estimated Effort (Hours)]])/Table1[[#This Row],[Estimated Effort (Hours)]],"")</f>
        <v/>
      </c>
    </row>
    <row r="792" spans="2:21">
      <c r="B792" s="125"/>
      <c r="C792" s="123"/>
      <c r="D792" s="143"/>
      <c r="E792" s="123"/>
      <c r="F792" s="143"/>
      <c r="G792" s="129"/>
      <c r="H792" s="124"/>
      <c r="I792" s="124"/>
      <c r="J792" s="129"/>
      <c r="K792" s="194"/>
      <c r="L792" s="194"/>
      <c r="M792" s="129"/>
      <c r="N792" s="129" t="e">
        <f>Table1[[#This Row],[Estimated Effort (Hours)]]/NETWORKDAYS(Table1[[#This Row],[Planned Start Date]],Table1[[#This Row],[Planned End Date]])</f>
        <v>#DIV/0!</v>
      </c>
      <c r="O792" s="178">
        <f>NETWORKDAYS(Table1[[#This Row],[Planned Start Date]],Table1[[#This Row],[Planned End Date]])</f>
        <v>0</v>
      </c>
      <c r="P792" s="178">
        <f>NETWORKDAYS(Table1[[#This Row],[Planned Start Date]],$P$7)</f>
        <v>30643</v>
      </c>
      <c r="Q792" s="129"/>
      <c r="R792" s="183" t="str">
        <f>IF(Table1[[#This Row],[Actual Effort (Hours)]]="","",IF(Table1[[#This Row],[Estimated Effort (Hours)]]&lt;20,"L1",IF(Table1[[#This Row],[Estimated Effort (Hours)]]&lt;50,"L2",IF(Table1[[#This Row],[Estimated Effort (Hours)]]&lt;150,"L3",IF(Table1[[#This Row],[Estimated Effort (Hours)]]&lt;300,"L4","L5")))))</f>
        <v/>
      </c>
      <c r="S792" s="184" t="str">
        <f>IF(Table1[[#This Row],[Actual End Date]]="","",TEXT(Table1[[#This Row],[Actual End Date]],"mmm-yy"))</f>
        <v/>
      </c>
      <c r="T7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2" s="185" t="str">
        <f>IFERROR((Table1[[#This Row],[Actual Effort (Hours)]]-Table1[[#This Row],[Estimated Effort (Hours)]])/Table1[[#This Row],[Estimated Effort (Hours)]],"")</f>
        <v/>
      </c>
    </row>
    <row r="793" spans="2:21">
      <c r="B793" s="125"/>
      <c r="C793" s="123"/>
      <c r="D793" s="143"/>
      <c r="E793" s="123"/>
      <c r="F793" s="143"/>
      <c r="G793" s="129"/>
      <c r="H793" s="124"/>
      <c r="I793" s="124"/>
      <c r="J793" s="129"/>
      <c r="K793" s="194"/>
      <c r="L793" s="194"/>
      <c r="M793" s="129"/>
      <c r="N793" s="129" t="e">
        <f>Table1[[#This Row],[Estimated Effort (Hours)]]/NETWORKDAYS(Table1[[#This Row],[Planned Start Date]],Table1[[#This Row],[Planned End Date]])</f>
        <v>#DIV/0!</v>
      </c>
      <c r="O793" s="178">
        <f>NETWORKDAYS(Table1[[#This Row],[Planned Start Date]],Table1[[#This Row],[Planned End Date]])</f>
        <v>0</v>
      </c>
      <c r="P793" s="178">
        <f>NETWORKDAYS(Table1[[#This Row],[Planned Start Date]],$P$7)</f>
        <v>30643</v>
      </c>
      <c r="Q793" s="129"/>
      <c r="R793" s="183" t="str">
        <f>IF(Table1[[#This Row],[Actual Effort (Hours)]]="","",IF(Table1[[#This Row],[Estimated Effort (Hours)]]&lt;20,"L1",IF(Table1[[#This Row],[Estimated Effort (Hours)]]&lt;50,"L2",IF(Table1[[#This Row],[Estimated Effort (Hours)]]&lt;150,"L3",IF(Table1[[#This Row],[Estimated Effort (Hours)]]&lt;300,"L4","L5")))))</f>
        <v/>
      </c>
      <c r="S793" s="184" t="str">
        <f>IF(Table1[[#This Row],[Actual End Date]]="","",TEXT(Table1[[#This Row],[Actual End Date]],"mmm-yy"))</f>
        <v/>
      </c>
      <c r="T7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3" s="185" t="str">
        <f>IFERROR((Table1[[#This Row],[Actual Effort (Hours)]]-Table1[[#This Row],[Estimated Effort (Hours)]])/Table1[[#This Row],[Estimated Effort (Hours)]],"")</f>
        <v/>
      </c>
    </row>
    <row r="794" spans="2:21">
      <c r="B794" s="125"/>
      <c r="C794" s="123"/>
      <c r="D794" s="143"/>
      <c r="E794" s="123"/>
      <c r="F794" s="143"/>
      <c r="G794" s="129"/>
      <c r="H794" s="124"/>
      <c r="I794" s="124"/>
      <c r="J794" s="129"/>
      <c r="K794" s="194"/>
      <c r="L794" s="194"/>
      <c r="M794" s="129"/>
      <c r="N794" s="129" t="e">
        <f>Table1[[#This Row],[Estimated Effort (Hours)]]/NETWORKDAYS(Table1[[#This Row],[Planned Start Date]],Table1[[#This Row],[Planned End Date]])</f>
        <v>#DIV/0!</v>
      </c>
      <c r="O794" s="178">
        <f>NETWORKDAYS(Table1[[#This Row],[Planned Start Date]],Table1[[#This Row],[Planned End Date]])</f>
        <v>0</v>
      </c>
      <c r="P794" s="178">
        <f>NETWORKDAYS(Table1[[#This Row],[Planned Start Date]],$P$7)</f>
        <v>30643</v>
      </c>
      <c r="Q794" s="129"/>
      <c r="R794" s="183" t="str">
        <f>IF(Table1[[#This Row],[Actual Effort (Hours)]]="","",IF(Table1[[#This Row],[Estimated Effort (Hours)]]&lt;20,"L1",IF(Table1[[#This Row],[Estimated Effort (Hours)]]&lt;50,"L2",IF(Table1[[#This Row],[Estimated Effort (Hours)]]&lt;150,"L3",IF(Table1[[#This Row],[Estimated Effort (Hours)]]&lt;300,"L4","L5")))))</f>
        <v/>
      </c>
      <c r="S794" s="184" t="str">
        <f>IF(Table1[[#This Row],[Actual End Date]]="","",TEXT(Table1[[#This Row],[Actual End Date]],"mmm-yy"))</f>
        <v/>
      </c>
      <c r="T7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4" s="185" t="str">
        <f>IFERROR((Table1[[#This Row],[Actual Effort (Hours)]]-Table1[[#This Row],[Estimated Effort (Hours)]])/Table1[[#This Row],[Estimated Effort (Hours)]],"")</f>
        <v/>
      </c>
    </row>
    <row r="795" spans="2:21">
      <c r="B795" s="125"/>
      <c r="C795" s="123"/>
      <c r="D795" s="143"/>
      <c r="E795" s="123"/>
      <c r="F795" s="143"/>
      <c r="G795" s="129"/>
      <c r="H795" s="124"/>
      <c r="I795" s="124"/>
      <c r="J795" s="129"/>
      <c r="K795" s="194"/>
      <c r="L795" s="194"/>
      <c r="M795" s="129"/>
      <c r="N795" s="129" t="e">
        <f>Table1[[#This Row],[Estimated Effort (Hours)]]/NETWORKDAYS(Table1[[#This Row],[Planned Start Date]],Table1[[#This Row],[Planned End Date]])</f>
        <v>#DIV/0!</v>
      </c>
      <c r="O795" s="178">
        <f>NETWORKDAYS(Table1[[#This Row],[Planned Start Date]],Table1[[#This Row],[Planned End Date]])</f>
        <v>0</v>
      </c>
      <c r="P795" s="178">
        <f>NETWORKDAYS(Table1[[#This Row],[Planned Start Date]],$P$7)</f>
        <v>30643</v>
      </c>
      <c r="Q795" s="129"/>
      <c r="R795" s="183" t="str">
        <f>IF(Table1[[#This Row],[Actual Effort (Hours)]]="","",IF(Table1[[#This Row],[Estimated Effort (Hours)]]&lt;20,"L1",IF(Table1[[#This Row],[Estimated Effort (Hours)]]&lt;50,"L2",IF(Table1[[#This Row],[Estimated Effort (Hours)]]&lt;150,"L3",IF(Table1[[#This Row],[Estimated Effort (Hours)]]&lt;300,"L4","L5")))))</f>
        <v/>
      </c>
      <c r="S795" s="184" t="str">
        <f>IF(Table1[[#This Row],[Actual End Date]]="","",TEXT(Table1[[#This Row],[Actual End Date]],"mmm-yy"))</f>
        <v/>
      </c>
      <c r="T7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5" s="185" t="str">
        <f>IFERROR((Table1[[#This Row],[Actual Effort (Hours)]]-Table1[[#This Row],[Estimated Effort (Hours)]])/Table1[[#This Row],[Estimated Effort (Hours)]],"")</f>
        <v/>
      </c>
    </row>
    <row r="796" spans="2:21">
      <c r="B796" s="125"/>
      <c r="C796" s="123"/>
      <c r="D796" s="143"/>
      <c r="E796" s="123"/>
      <c r="F796" s="143"/>
      <c r="G796" s="129"/>
      <c r="H796" s="124"/>
      <c r="I796" s="124"/>
      <c r="J796" s="129"/>
      <c r="K796" s="194"/>
      <c r="L796" s="194"/>
      <c r="M796" s="129"/>
      <c r="N796" s="129" t="e">
        <f>Table1[[#This Row],[Estimated Effort (Hours)]]/NETWORKDAYS(Table1[[#This Row],[Planned Start Date]],Table1[[#This Row],[Planned End Date]])</f>
        <v>#DIV/0!</v>
      </c>
      <c r="O796" s="178">
        <f>NETWORKDAYS(Table1[[#This Row],[Planned Start Date]],Table1[[#This Row],[Planned End Date]])</f>
        <v>0</v>
      </c>
      <c r="P796" s="178">
        <f>NETWORKDAYS(Table1[[#This Row],[Planned Start Date]],$P$7)</f>
        <v>30643</v>
      </c>
      <c r="Q796" s="129"/>
      <c r="R796" s="183" t="str">
        <f>IF(Table1[[#This Row],[Actual Effort (Hours)]]="","",IF(Table1[[#This Row],[Estimated Effort (Hours)]]&lt;20,"L1",IF(Table1[[#This Row],[Estimated Effort (Hours)]]&lt;50,"L2",IF(Table1[[#This Row],[Estimated Effort (Hours)]]&lt;150,"L3",IF(Table1[[#This Row],[Estimated Effort (Hours)]]&lt;300,"L4","L5")))))</f>
        <v/>
      </c>
      <c r="S796" s="184" t="str">
        <f>IF(Table1[[#This Row],[Actual End Date]]="","",TEXT(Table1[[#This Row],[Actual End Date]],"mmm-yy"))</f>
        <v/>
      </c>
      <c r="T7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6" s="185" t="str">
        <f>IFERROR((Table1[[#This Row],[Actual Effort (Hours)]]-Table1[[#This Row],[Estimated Effort (Hours)]])/Table1[[#This Row],[Estimated Effort (Hours)]],"")</f>
        <v/>
      </c>
    </row>
    <row r="797" spans="2:21">
      <c r="B797" s="125"/>
      <c r="C797" s="123"/>
      <c r="D797" s="143"/>
      <c r="E797" s="123"/>
      <c r="F797" s="143"/>
      <c r="G797" s="129"/>
      <c r="H797" s="124"/>
      <c r="I797" s="124"/>
      <c r="J797" s="129"/>
      <c r="K797" s="194"/>
      <c r="L797" s="194"/>
      <c r="M797" s="129"/>
      <c r="N797" s="129" t="e">
        <f>Table1[[#This Row],[Estimated Effort (Hours)]]/NETWORKDAYS(Table1[[#This Row],[Planned Start Date]],Table1[[#This Row],[Planned End Date]])</f>
        <v>#DIV/0!</v>
      </c>
      <c r="O797" s="178">
        <f>NETWORKDAYS(Table1[[#This Row],[Planned Start Date]],Table1[[#This Row],[Planned End Date]])</f>
        <v>0</v>
      </c>
      <c r="P797" s="178">
        <f>NETWORKDAYS(Table1[[#This Row],[Planned Start Date]],$P$7)</f>
        <v>30643</v>
      </c>
      <c r="Q797" s="129"/>
      <c r="R797" s="183" t="str">
        <f>IF(Table1[[#This Row],[Actual Effort (Hours)]]="","",IF(Table1[[#This Row],[Estimated Effort (Hours)]]&lt;20,"L1",IF(Table1[[#This Row],[Estimated Effort (Hours)]]&lt;50,"L2",IF(Table1[[#This Row],[Estimated Effort (Hours)]]&lt;150,"L3",IF(Table1[[#This Row],[Estimated Effort (Hours)]]&lt;300,"L4","L5")))))</f>
        <v/>
      </c>
      <c r="S797" s="184" t="str">
        <f>IF(Table1[[#This Row],[Actual End Date]]="","",TEXT(Table1[[#This Row],[Actual End Date]],"mmm-yy"))</f>
        <v/>
      </c>
      <c r="T7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7" s="185" t="str">
        <f>IFERROR((Table1[[#This Row],[Actual Effort (Hours)]]-Table1[[#This Row],[Estimated Effort (Hours)]])/Table1[[#This Row],[Estimated Effort (Hours)]],"")</f>
        <v/>
      </c>
    </row>
    <row r="798" spans="2:21">
      <c r="B798" s="125"/>
      <c r="C798" s="123"/>
      <c r="D798" s="143"/>
      <c r="E798" s="123"/>
      <c r="F798" s="143"/>
      <c r="G798" s="129"/>
      <c r="H798" s="124"/>
      <c r="I798" s="124"/>
      <c r="J798" s="129"/>
      <c r="K798" s="194"/>
      <c r="L798" s="194"/>
      <c r="M798" s="129"/>
      <c r="N798" s="129" t="e">
        <f>Table1[[#This Row],[Estimated Effort (Hours)]]/NETWORKDAYS(Table1[[#This Row],[Planned Start Date]],Table1[[#This Row],[Planned End Date]])</f>
        <v>#DIV/0!</v>
      </c>
      <c r="O798" s="178">
        <f>NETWORKDAYS(Table1[[#This Row],[Planned Start Date]],Table1[[#This Row],[Planned End Date]])</f>
        <v>0</v>
      </c>
      <c r="P798" s="178">
        <f>NETWORKDAYS(Table1[[#This Row],[Planned Start Date]],$P$7)</f>
        <v>30643</v>
      </c>
      <c r="Q798" s="129"/>
      <c r="R798" s="183" t="str">
        <f>IF(Table1[[#This Row],[Actual Effort (Hours)]]="","",IF(Table1[[#This Row],[Estimated Effort (Hours)]]&lt;20,"L1",IF(Table1[[#This Row],[Estimated Effort (Hours)]]&lt;50,"L2",IF(Table1[[#This Row],[Estimated Effort (Hours)]]&lt;150,"L3",IF(Table1[[#This Row],[Estimated Effort (Hours)]]&lt;300,"L4","L5")))))</f>
        <v/>
      </c>
      <c r="S798" s="184" t="str">
        <f>IF(Table1[[#This Row],[Actual End Date]]="","",TEXT(Table1[[#This Row],[Actual End Date]],"mmm-yy"))</f>
        <v/>
      </c>
      <c r="T7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8" s="185" t="str">
        <f>IFERROR((Table1[[#This Row],[Actual Effort (Hours)]]-Table1[[#This Row],[Estimated Effort (Hours)]])/Table1[[#This Row],[Estimated Effort (Hours)]],"")</f>
        <v/>
      </c>
    </row>
    <row r="799" spans="2:21">
      <c r="B799" s="125"/>
      <c r="C799" s="123"/>
      <c r="D799" s="143"/>
      <c r="E799" s="123"/>
      <c r="F799" s="143"/>
      <c r="G799" s="129"/>
      <c r="H799" s="124"/>
      <c r="I799" s="124"/>
      <c r="J799" s="129"/>
      <c r="K799" s="194"/>
      <c r="L799" s="194"/>
      <c r="M799" s="129"/>
      <c r="N799" s="129" t="e">
        <f>Table1[[#This Row],[Estimated Effort (Hours)]]/NETWORKDAYS(Table1[[#This Row],[Planned Start Date]],Table1[[#This Row],[Planned End Date]])</f>
        <v>#DIV/0!</v>
      </c>
      <c r="O799" s="178">
        <f>NETWORKDAYS(Table1[[#This Row],[Planned Start Date]],Table1[[#This Row],[Planned End Date]])</f>
        <v>0</v>
      </c>
      <c r="P799" s="178">
        <f>NETWORKDAYS(Table1[[#This Row],[Planned Start Date]],$P$7)</f>
        <v>30643</v>
      </c>
      <c r="Q799" s="129"/>
      <c r="R799" s="183" t="str">
        <f>IF(Table1[[#This Row],[Actual Effort (Hours)]]="","",IF(Table1[[#This Row],[Estimated Effort (Hours)]]&lt;20,"L1",IF(Table1[[#This Row],[Estimated Effort (Hours)]]&lt;50,"L2",IF(Table1[[#This Row],[Estimated Effort (Hours)]]&lt;150,"L3",IF(Table1[[#This Row],[Estimated Effort (Hours)]]&lt;300,"L4","L5")))))</f>
        <v/>
      </c>
      <c r="S799" s="184" t="str">
        <f>IF(Table1[[#This Row],[Actual End Date]]="","",TEXT(Table1[[#This Row],[Actual End Date]],"mmm-yy"))</f>
        <v/>
      </c>
      <c r="T7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799" s="185" t="str">
        <f>IFERROR((Table1[[#This Row],[Actual Effort (Hours)]]-Table1[[#This Row],[Estimated Effort (Hours)]])/Table1[[#This Row],[Estimated Effort (Hours)]],"")</f>
        <v/>
      </c>
    </row>
    <row r="800" spans="2:21">
      <c r="B800" s="125"/>
      <c r="C800" s="123"/>
      <c r="D800" s="143"/>
      <c r="E800" s="123"/>
      <c r="F800" s="143"/>
      <c r="G800" s="129"/>
      <c r="H800" s="124"/>
      <c r="I800" s="124"/>
      <c r="J800" s="129"/>
      <c r="K800" s="194"/>
      <c r="L800" s="194"/>
      <c r="M800" s="129"/>
      <c r="N800" s="129" t="e">
        <f>Table1[[#This Row],[Estimated Effort (Hours)]]/NETWORKDAYS(Table1[[#This Row],[Planned Start Date]],Table1[[#This Row],[Planned End Date]])</f>
        <v>#DIV/0!</v>
      </c>
      <c r="O800" s="178">
        <f>NETWORKDAYS(Table1[[#This Row],[Planned Start Date]],Table1[[#This Row],[Planned End Date]])</f>
        <v>0</v>
      </c>
      <c r="P800" s="178">
        <f>NETWORKDAYS(Table1[[#This Row],[Planned Start Date]],$P$7)</f>
        <v>30643</v>
      </c>
      <c r="Q800" s="129"/>
      <c r="R800" s="183" t="str">
        <f>IF(Table1[[#This Row],[Actual Effort (Hours)]]="","",IF(Table1[[#This Row],[Estimated Effort (Hours)]]&lt;20,"L1",IF(Table1[[#This Row],[Estimated Effort (Hours)]]&lt;50,"L2",IF(Table1[[#This Row],[Estimated Effort (Hours)]]&lt;150,"L3",IF(Table1[[#This Row],[Estimated Effort (Hours)]]&lt;300,"L4","L5")))))</f>
        <v/>
      </c>
      <c r="S800" s="184" t="str">
        <f>IF(Table1[[#This Row],[Actual End Date]]="","",TEXT(Table1[[#This Row],[Actual End Date]],"mmm-yy"))</f>
        <v/>
      </c>
      <c r="T8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0" s="185" t="str">
        <f>IFERROR((Table1[[#This Row],[Actual Effort (Hours)]]-Table1[[#This Row],[Estimated Effort (Hours)]])/Table1[[#This Row],[Estimated Effort (Hours)]],"")</f>
        <v/>
      </c>
    </row>
    <row r="801" spans="2:21">
      <c r="B801" s="125"/>
      <c r="C801" s="123"/>
      <c r="D801" s="143"/>
      <c r="E801" s="123"/>
      <c r="F801" s="143"/>
      <c r="G801" s="129"/>
      <c r="H801" s="124"/>
      <c r="I801" s="124"/>
      <c r="J801" s="129"/>
      <c r="K801" s="194"/>
      <c r="L801" s="194"/>
      <c r="M801" s="129"/>
      <c r="N801" s="129" t="e">
        <f>Table1[[#This Row],[Estimated Effort (Hours)]]/NETWORKDAYS(Table1[[#This Row],[Planned Start Date]],Table1[[#This Row],[Planned End Date]])</f>
        <v>#DIV/0!</v>
      </c>
      <c r="O801" s="178">
        <f>NETWORKDAYS(Table1[[#This Row],[Planned Start Date]],Table1[[#This Row],[Planned End Date]])</f>
        <v>0</v>
      </c>
      <c r="P801" s="178">
        <f>NETWORKDAYS(Table1[[#This Row],[Planned Start Date]],$P$7)</f>
        <v>30643</v>
      </c>
      <c r="Q801" s="129"/>
      <c r="R801" s="183" t="str">
        <f>IF(Table1[[#This Row],[Actual Effort (Hours)]]="","",IF(Table1[[#This Row],[Estimated Effort (Hours)]]&lt;20,"L1",IF(Table1[[#This Row],[Estimated Effort (Hours)]]&lt;50,"L2",IF(Table1[[#This Row],[Estimated Effort (Hours)]]&lt;150,"L3",IF(Table1[[#This Row],[Estimated Effort (Hours)]]&lt;300,"L4","L5")))))</f>
        <v/>
      </c>
      <c r="S801" s="184" t="str">
        <f>IF(Table1[[#This Row],[Actual End Date]]="","",TEXT(Table1[[#This Row],[Actual End Date]],"mmm-yy"))</f>
        <v/>
      </c>
      <c r="T8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1" s="185" t="str">
        <f>IFERROR((Table1[[#This Row],[Actual Effort (Hours)]]-Table1[[#This Row],[Estimated Effort (Hours)]])/Table1[[#This Row],[Estimated Effort (Hours)]],"")</f>
        <v/>
      </c>
    </row>
    <row r="802" spans="2:21">
      <c r="B802" s="125"/>
      <c r="C802" s="123"/>
      <c r="D802" s="143"/>
      <c r="E802" s="123"/>
      <c r="F802" s="143"/>
      <c r="G802" s="129"/>
      <c r="H802" s="124"/>
      <c r="I802" s="124"/>
      <c r="J802" s="129"/>
      <c r="K802" s="194"/>
      <c r="L802" s="194"/>
      <c r="M802" s="129"/>
      <c r="N802" s="129" t="e">
        <f>Table1[[#This Row],[Estimated Effort (Hours)]]/NETWORKDAYS(Table1[[#This Row],[Planned Start Date]],Table1[[#This Row],[Planned End Date]])</f>
        <v>#DIV/0!</v>
      </c>
      <c r="O802" s="178">
        <f>NETWORKDAYS(Table1[[#This Row],[Planned Start Date]],Table1[[#This Row],[Planned End Date]])</f>
        <v>0</v>
      </c>
      <c r="P802" s="178">
        <f>NETWORKDAYS(Table1[[#This Row],[Planned Start Date]],$P$7)</f>
        <v>30643</v>
      </c>
      <c r="Q802" s="129"/>
      <c r="R802" s="183" t="str">
        <f>IF(Table1[[#This Row],[Actual Effort (Hours)]]="","",IF(Table1[[#This Row],[Estimated Effort (Hours)]]&lt;20,"L1",IF(Table1[[#This Row],[Estimated Effort (Hours)]]&lt;50,"L2",IF(Table1[[#This Row],[Estimated Effort (Hours)]]&lt;150,"L3",IF(Table1[[#This Row],[Estimated Effort (Hours)]]&lt;300,"L4","L5")))))</f>
        <v/>
      </c>
      <c r="S802" s="184" t="str">
        <f>IF(Table1[[#This Row],[Actual End Date]]="","",TEXT(Table1[[#This Row],[Actual End Date]],"mmm-yy"))</f>
        <v/>
      </c>
      <c r="T8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2" s="185" t="str">
        <f>IFERROR((Table1[[#This Row],[Actual Effort (Hours)]]-Table1[[#This Row],[Estimated Effort (Hours)]])/Table1[[#This Row],[Estimated Effort (Hours)]],"")</f>
        <v/>
      </c>
    </row>
    <row r="803" spans="2:21">
      <c r="B803" s="125"/>
      <c r="C803" s="123"/>
      <c r="D803" s="143"/>
      <c r="E803" s="123"/>
      <c r="F803" s="143"/>
      <c r="G803" s="129"/>
      <c r="H803" s="124"/>
      <c r="I803" s="124"/>
      <c r="J803" s="129"/>
      <c r="K803" s="194"/>
      <c r="L803" s="194"/>
      <c r="M803" s="129"/>
      <c r="N803" s="129" t="e">
        <f>Table1[[#This Row],[Estimated Effort (Hours)]]/NETWORKDAYS(Table1[[#This Row],[Planned Start Date]],Table1[[#This Row],[Planned End Date]])</f>
        <v>#DIV/0!</v>
      </c>
      <c r="O803" s="178">
        <f>NETWORKDAYS(Table1[[#This Row],[Planned Start Date]],Table1[[#This Row],[Planned End Date]])</f>
        <v>0</v>
      </c>
      <c r="P803" s="178">
        <f>NETWORKDAYS(Table1[[#This Row],[Planned Start Date]],$P$7)</f>
        <v>30643</v>
      </c>
      <c r="Q803" s="129"/>
      <c r="R803" s="183" t="str">
        <f>IF(Table1[[#This Row],[Actual Effort (Hours)]]="","",IF(Table1[[#This Row],[Estimated Effort (Hours)]]&lt;20,"L1",IF(Table1[[#This Row],[Estimated Effort (Hours)]]&lt;50,"L2",IF(Table1[[#This Row],[Estimated Effort (Hours)]]&lt;150,"L3",IF(Table1[[#This Row],[Estimated Effort (Hours)]]&lt;300,"L4","L5")))))</f>
        <v/>
      </c>
      <c r="S803" s="184" t="str">
        <f>IF(Table1[[#This Row],[Actual End Date]]="","",TEXT(Table1[[#This Row],[Actual End Date]],"mmm-yy"))</f>
        <v/>
      </c>
      <c r="T8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3" s="185" t="str">
        <f>IFERROR((Table1[[#This Row],[Actual Effort (Hours)]]-Table1[[#This Row],[Estimated Effort (Hours)]])/Table1[[#This Row],[Estimated Effort (Hours)]],"")</f>
        <v/>
      </c>
    </row>
    <row r="804" spans="2:21">
      <c r="B804" s="125"/>
      <c r="C804" s="123"/>
      <c r="D804" s="143"/>
      <c r="E804" s="123"/>
      <c r="F804" s="143"/>
      <c r="G804" s="129"/>
      <c r="H804" s="124"/>
      <c r="I804" s="124"/>
      <c r="J804" s="129"/>
      <c r="K804" s="194"/>
      <c r="L804" s="194"/>
      <c r="M804" s="129"/>
      <c r="N804" s="129" t="e">
        <f>Table1[[#This Row],[Estimated Effort (Hours)]]/NETWORKDAYS(Table1[[#This Row],[Planned Start Date]],Table1[[#This Row],[Planned End Date]])</f>
        <v>#DIV/0!</v>
      </c>
      <c r="O804" s="178">
        <f>NETWORKDAYS(Table1[[#This Row],[Planned Start Date]],Table1[[#This Row],[Planned End Date]])</f>
        <v>0</v>
      </c>
      <c r="P804" s="178">
        <f>NETWORKDAYS(Table1[[#This Row],[Planned Start Date]],$P$7)</f>
        <v>30643</v>
      </c>
      <c r="Q804" s="129"/>
      <c r="R804" s="183" t="str">
        <f>IF(Table1[[#This Row],[Actual Effort (Hours)]]="","",IF(Table1[[#This Row],[Estimated Effort (Hours)]]&lt;20,"L1",IF(Table1[[#This Row],[Estimated Effort (Hours)]]&lt;50,"L2",IF(Table1[[#This Row],[Estimated Effort (Hours)]]&lt;150,"L3",IF(Table1[[#This Row],[Estimated Effort (Hours)]]&lt;300,"L4","L5")))))</f>
        <v/>
      </c>
      <c r="S804" s="184" t="str">
        <f>IF(Table1[[#This Row],[Actual End Date]]="","",TEXT(Table1[[#This Row],[Actual End Date]],"mmm-yy"))</f>
        <v/>
      </c>
      <c r="T8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4" s="185" t="str">
        <f>IFERROR((Table1[[#This Row],[Actual Effort (Hours)]]-Table1[[#This Row],[Estimated Effort (Hours)]])/Table1[[#This Row],[Estimated Effort (Hours)]],"")</f>
        <v/>
      </c>
    </row>
    <row r="805" spans="2:21">
      <c r="B805" s="125"/>
      <c r="C805" s="123"/>
      <c r="D805" s="143"/>
      <c r="E805" s="123"/>
      <c r="F805" s="143"/>
      <c r="G805" s="129"/>
      <c r="H805" s="124"/>
      <c r="I805" s="124"/>
      <c r="J805" s="129"/>
      <c r="K805" s="194"/>
      <c r="L805" s="194"/>
      <c r="M805" s="129"/>
      <c r="N805" s="129" t="e">
        <f>Table1[[#This Row],[Estimated Effort (Hours)]]/NETWORKDAYS(Table1[[#This Row],[Planned Start Date]],Table1[[#This Row],[Planned End Date]])</f>
        <v>#DIV/0!</v>
      </c>
      <c r="O805" s="178">
        <f>NETWORKDAYS(Table1[[#This Row],[Planned Start Date]],Table1[[#This Row],[Planned End Date]])</f>
        <v>0</v>
      </c>
      <c r="P805" s="178">
        <f>NETWORKDAYS(Table1[[#This Row],[Planned Start Date]],$P$7)</f>
        <v>30643</v>
      </c>
      <c r="Q805" s="129"/>
      <c r="R805" s="183" t="str">
        <f>IF(Table1[[#This Row],[Actual Effort (Hours)]]="","",IF(Table1[[#This Row],[Estimated Effort (Hours)]]&lt;20,"L1",IF(Table1[[#This Row],[Estimated Effort (Hours)]]&lt;50,"L2",IF(Table1[[#This Row],[Estimated Effort (Hours)]]&lt;150,"L3",IF(Table1[[#This Row],[Estimated Effort (Hours)]]&lt;300,"L4","L5")))))</f>
        <v/>
      </c>
      <c r="S805" s="184" t="str">
        <f>IF(Table1[[#This Row],[Actual End Date]]="","",TEXT(Table1[[#This Row],[Actual End Date]],"mmm-yy"))</f>
        <v/>
      </c>
      <c r="T8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5" s="185" t="str">
        <f>IFERROR((Table1[[#This Row],[Actual Effort (Hours)]]-Table1[[#This Row],[Estimated Effort (Hours)]])/Table1[[#This Row],[Estimated Effort (Hours)]],"")</f>
        <v/>
      </c>
    </row>
    <row r="806" spans="2:21">
      <c r="B806" s="125"/>
      <c r="C806" s="123"/>
      <c r="D806" s="143"/>
      <c r="E806" s="123"/>
      <c r="F806" s="143"/>
      <c r="G806" s="129"/>
      <c r="H806" s="124"/>
      <c r="I806" s="124"/>
      <c r="J806" s="129"/>
      <c r="K806" s="194"/>
      <c r="L806" s="194"/>
      <c r="M806" s="129"/>
      <c r="N806" s="129" t="e">
        <f>Table1[[#This Row],[Estimated Effort (Hours)]]/NETWORKDAYS(Table1[[#This Row],[Planned Start Date]],Table1[[#This Row],[Planned End Date]])</f>
        <v>#DIV/0!</v>
      </c>
      <c r="O806" s="178">
        <f>NETWORKDAYS(Table1[[#This Row],[Planned Start Date]],Table1[[#This Row],[Planned End Date]])</f>
        <v>0</v>
      </c>
      <c r="P806" s="178">
        <f>NETWORKDAYS(Table1[[#This Row],[Planned Start Date]],$P$7)</f>
        <v>30643</v>
      </c>
      <c r="Q806" s="129"/>
      <c r="R806" s="183" t="str">
        <f>IF(Table1[[#This Row],[Actual Effort (Hours)]]="","",IF(Table1[[#This Row],[Estimated Effort (Hours)]]&lt;20,"L1",IF(Table1[[#This Row],[Estimated Effort (Hours)]]&lt;50,"L2",IF(Table1[[#This Row],[Estimated Effort (Hours)]]&lt;150,"L3",IF(Table1[[#This Row],[Estimated Effort (Hours)]]&lt;300,"L4","L5")))))</f>
        <v/>
      </c>
      <c r="S806" s="184" t="str">
        <f>IF(Table1[[#This Row],[Actual End Date]]="","",TEXT(Table1[[#This Row],[Actual End Date]],"mmm-yy"))</f>
        <v/>
      </c>
      <c r="T8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6" s="185" t="str">
        <f>IFERROR((Table1[[#This Row],[Actual Effort (Hours)]]-Table1[[#This Row],[Estimated Effort (Hours)]])/Table1[[#This Row],[Estimated Effort (Hours)]],"")</f>
        <v/>
      </c>
    </row>
    <row r="807" spans="2:21">
      <c r="B807" s="125"/>
      <c r="C807" s="123"/>
      <c r="D807" s="143"/>
      <c r="E807" s="123"/>
      <c r="F807" s="143"/>
      <c r="G807" s="129"/>
      <c r="H807" s="124"/>
      <c r="I807" s="124"/>
      <c r="J807" s="129"/>
      <c r="K807" s="194"/>
      <c r="L807" s="194"/>
      <c r="M807" s="129"/>
      <c r="N807" s="129" t="e">
        <f>Table1[[#This Row],[Estimated Effort (Hours)]]/NETWORKDAYS(Table1[[#This Row],[Planned Start Date]],Table1[[#This Row],[Planned End Date]])</f>
        <v>#DIV/0!</v>
      </c>
      <c r="O807" s="178">
        <f>NETWORKDAYS(Table1[[#This Row],[Planned Start Date]],Table1[[#This Row],[Planned End Date]])</f>
        <v>0</v>
      </c>
      <c r="P807" s="178">
        <f>NETWORKDAYS(Table1[[#This Row],[Planned Start Date]],$P$7)</f>
        <v>30643</v>
      </c>
      <c r="Q807" s="129"/>
      <c r="R807" s="183" t="str">
        <f>IF(Table1[[#This Row],[Actual Effort (Hours)]]="","",IF(Table1[[#This Row],[Estimated Effort (Hours)]]&lt;20,"L1",IF(Table1[[#This Row],[Estimated Effort (Hours)]]&lt;50,"L2",IF(Table1[[#This Row],[Estimated Effort (Hours)]]&lt;150,"L3",IF(Table1[[#This Row],[Estimated Effort (Hours)]]&lt;300,"L4","L5")))))</f>
        <v/>
      </c>
      <c r="S807" s="184" t="str">
        <f>IF(Table1[[#This Row],[Actual End Date]]="","",TEXT(Table1[[#This Row],[Actual End Date]],"mmm-yy"))</f>
        <v/>
      </c>
      <c r="T8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7" s="185" t="str">
        <f>IFERROR((Table1[[#This Row],[Actual Effort (Hours)]]-Table1[[#This Row],[Estimated Effort (Hours)]])/Table1[[#This Row],[Estimated Effort (Hours)]],"")</f>
        <v/>
      </c>
    </row>
    <row r="808" spans="2:21">
      <c r="B808" s="125"/>
      <c r="C808" s="123"/>
      <c r="D808" s="143"/>
      <c r="E808" s="123"/>
      <c r="F808" s="143"/>
      <c r="G808" s="129"/>
      <c r="H808" s="124"/>
      <c r="I808" s="124"/>
      <c r="J808" s="129"/>
      <c r="K808" s="194"/>
      <c r="L808" s="194"/>
      <c r="M808" s="129"/>
      <c r="N808" s="129" t="e">
        <f>Table1[[#This Row],[Estimated Effort (Hours)]]/NETWORKDAYS(Table1[[#This Row],[Planned Start Date]],Table1[[#This Row],[Planned End Date]])</f>
        <v>#DIV/0!</v>
      </c>
      <c r="O808" s="178">
        <f>NETWORKDAYS(Table1[[#This Row],[Planned Start Date]],Table1[[#This Row],[Planned End Date]])</f>
        <v>0</v>
      </c>
      <c r="P808" s="178">
        <f>NETWORKDAYS(Table1[[#This Row],[Planned Start Date]],$P$7)</f>
        <v>30643</v>
      </c>
      <c r="Q808" s="129"/>
      <c r="R808" s="183" t="str">
        <f>IF(Table1[[#This Row],[Actual Effort (Hours)]]="","",IF(Table1[[#This Row],[Estimated Effort (Hours)]]&lt;20,"L1",IF(Table1[[#This Row],[Estimated Effort (Hours)]]&lt;50,"L2",IF(Table1[[#This Row],[Estimated Effort (Hours)]]&lt;150,"L3",IF(Table1[[#This Row],[Estimated Effort (Hours)]]&lt;300,"L4","L5")))))</f>
        <v/>
      </c>
      <c r="S808" s="184" t="str">
        <f>IF(Table1[[#This Row],[Actual End Date]]="","",TEXT(Table1[[#This Row],[Actual End Date]],"mmm-yy"))</f>
        <v/>
      </c>
      <c r="T8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8" s="185" t="str">
        <f>IFERROR((Table1[[#This Row],[Actual Effort (Hours)]]-Table1[[#This Row],[Estimated Effort (Hours)]])/Table1[[#This Row],[Estimated Effort (Hours)]],"")</f>
        <v/>
      </c>
    </row>
    <row r="809" spans="2:21">
      <c r="B809" s="125"/>
      <c r="C809" s="123"/>
      <c r="D809" s="143"/>
      <c r="E809" s="123"/>
      <c r="F809" s="143"/>
      <c r="G809" s="129"/>
      <c r="H809" s="124"/>
      <c r="I809" s="124"/>
      <c r="J809" s="129"/>
      <c r="K809" s="194"/>
      <c r="L809" s="194"/>
      <c r="M809" s="129"/>
      <c r="N809" s="129" t="e">
        <f>Table1[[#This Row],[Estimated Effort (Hours)]]/NETWORKDAYS(Table1[[#This Row],[Planned Start Date]],Table1[[#This Row],[Planned End Date]])</f>
        <v>#DIV/0!</v>
      </c>
      <c r="O809" s="178">
        <f>NETWORKDAYS(Table1[[#This Row],[Planned Start Date]],Table1[[#This Row],[Planned End Date]])</f>
        <v>0</v>
      </c>
      <c r="P809" s="178">
        <f>NETWORKDAYS(Table1[[#This Row],[Planned Start Date]],$P$7)</f>
        <v>30643</v>
      </c>
      <c r="Q809" s="129"/>
      <c r="R809" s="183" t="str">
        <f>IF(Table1[[#This Row],[Actual Effort (Hours)]]="","",IF(Table1[[#This Row],[Estimated Effort (Hours)]]&lt;20,"L1",IF(Table1[[#This Row],[Estimated Effort (Hours)]]&lt;50,"L2",IF(Table1[[#This Row],[Estimated Effort (Hours)]]&lt;150,"L3",IF(Table1[[#This Row],[Estimated Effort (Hours)]]&lt;300,"L4","L5")))))</f>
        <v/>
      </c>
      <c r="S809" s="184" t="str">
        <f>IF(Table1[[#This Row],[Actual End Date]]="","",TEXT(Table1[[#This Row],[Actual End Date]],"mmm-yy"))</f>
        <v/>
      </c>
      <c r="T8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09" s="185" t="str">
        <f>IFERROR((Table1[[#This Row],[Actual Effort (Hours)]]-Table1[[#This Row],[Estimated Effort (Hours)]])/Table1[[#This Row],[Estimated Effort (Hours)]],"")</f>
        <v/>
      </c>
    </row>
    <row r="810" spans="2:21">
      <c r="B810" s="125"/>
      <c r="C810" s="123"/>
      <c r="D810" s="143"/>
      <c r="E810" s="123"/>
      <c r="F810" s="143"/>
      <c r="G810" s="129"/>
      <c r="H810" s="124"/>
      <c r="I810" s="124"/>
      <c r="J810" s="129"/>
      <c r="K810" s="194"/>
      <c r="L810" s="194"/>
      <c r="M810" s="129"/>
      <c r="N810" s="129" t="e">
        <f>Table1[[#This Row],[Estimated Effort (Hours)]]/NETWORKDAYS(Table1[[#This Row],[Planned Start Date]],Table1[[#This Row],[Planned End Date]])</f>
        <v>#DIV/0!</v>
      </c>
      <c r="O810" s="178">
        <f>NETWORKDAYS(Table1[[#This Row],[Planned Start Date]],Table1[[#This Row],[Planned End Date]])</f>
        <v>0</v>
      </c>
      <c r="P810" s="178">
        <f>NETWORKDAYS(Table1[[#This Row],[Planned Start Date]],$P$7)</f>
        <v>30643</v>
      </c>
      <c r="Q810" s="129"/>
      <c r="R810" s="183" t="str">
        <f>IF(Table1[[#This Row],[Actual Effort (Hours)]]="","",IF(Table1[[#This Row],[Estimated Effort (Hours)]]&lt;20,"L1",IF(Table1[[#This Row],[Estimated Effort (Hours)]]&lt;50,"L2",IF(Table1[[#This Row],[Estimated Effort (Hours)]]&lt;150,"L3",IF(Table1[[#This Row],[Estimated Effort (Hours)]]&lt;300,"L4","L5")))))</f>
        <v/>
      </c>
      <c r="S810" s="184" t="str">
        <f>IF(Table1[[#This Row],[Actual End Date]]="","",TEXT(Table1[[#This Row],[Actual End Date]],"mmm-yy"))</f>
        <v/>
      </c>
      <c r="T8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0" s="185" t="str">
        <f>IFERROR((Table1[[#This Row],[Actual Effort (Hours)]]-Table1[[#This Row],[Estimated Effort (Hours)]])/Table1[[#This Row],[Estimated Effort (Hours)]],"")</f>
        <v/>
      </c>
    </row>
    <row r="811" spans="2:21">
      <c r="B811" s="125"/>
      <c r="C811" s="123"/>
      <c r="D811" s="143"/>
      <c r="E811" s="123"/>
      <c r="F811" s="143"/>
      <c r="G811" s="129"/>
      <c r="H811" s="124"/>
      <c r="I811" s="124"/>
      <c r="J811" s="129"/>
      <c r="K811" s="194"/>
      <c r="L811" s="194"/>
      <c r="M811" s="129"/>
      <c r="N811" s="129" t="e">
        <f>Table1[[#This Row],[Estimated Effort (Hours)]]/NETWORKDAYS(Table1[[#This Row],[Planned Start Date]],Table1[[#This Row],[Planned End Date]])</f>
        <v>#DIV/0!</v>
      </c>
      <c r="O811" s="178">
        <f>NETWORKDAYS(Table1[[#This Row],[Planned Start Date]],Table1[[#This Row],[Planned End Date]])</f>
        <v>0</v>
      </c>
      <c r="P811" s="178">
        <f>NETWORKDAYS(Table1[[#This Row],[Planned Start Date]],$P$7)</f>
        <v>30643</v>
      </c>
      <c r="Q811" s="129"/>
      <c r="R811" s="183" t="str">
        <f>IF(Table1[[#This Row],[Actual Effort (Hours)]]="","",IF(Table1[[#This Row],[Estimated Effort (Hours)]]&lt;20,"L1",IF(Table1[[#This Row],[Estimated Effort (Hours)]]&lt;50,"L2",IF(Table1[[#This Row],[Estimated Effort (Hours)]]&lt;150,"L3",IF(Table1[[#This Row],[Estimated Effort (Hours)]]&lt;300,"L4","L5")))))</f>
        <v/>
      </c>
      <c r="S811" s="184" t="str">
        <f>IF(Table1[[#This Row],[Actual End Date]]="","",TEXT(Table1[[#This Row],[Actual End Date]],"mmm-yy"))</f>
        <v/>
      </c>
      <c r="T8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1" s="185" t="str">
        <f>IFERROR((Table1[[#This Row],[Actual Effort (Hours)]]-Table1[[#This Row],[Estimated Effort (Hours)]])/Table1[[#This Row],[Estimated Effort (Hours)]],"")</f>
        <v/>
      </c>
    </row>
    <row r="812" spans="2:21">
      <c r="B812" s="125"/>
      <c r="C812" s="123"/>
      <c r="D812" s="143"/>
      <c r="E812" s="123"/>
      <c r="F812" s="143"/>
      <c r="G812" s="129"/>
      <c r="H812" s="124"/>
      <c r="I812" s="124"/>
      <c r="J812" s="129"/>
      <c r="K812" s="194"/>
      <c r="L812" s="194"/>
      <c r="M812" s="129"/>
      <c r="N812" s="129" t="e">
        <f>Table1[[#This Row],[Estimated Effort (Hours)]]/NETWORKDAYS(Table1[[#This Row],[Planned Start Date]],Table1[[#This Row],[Planned End Date]])</f>
        <v>#DIV/0!</v>
      </c>
      <c r="O812" s="178">
        <f>NETWORKDAYS(Table1[[#This Row],[Planned Start Date]],Table1[[#This Row],[Planned End Date]])</f>
        <v>0</v>
      </c>
      <c r="P812" s="178">
        <f>NETWORKDAYS(Table1[[#This Row],[Planned Start Date]],$P$7)</f>
        <v>30643</v>
      </c>
      <c r="Q812" s="129"/>
      <c r="R812" s="183" t="str">
        <f>IF(Table1[[#This Row],[Actual Effort (Hours)]]="","",IF(Table1[[#This Row],[Estimated Effort (Hours)]]&lt;20,"L1",IF(Table1[[#This Row],[Estimated Effort (Hours)]]&lt;50,"L2",IF(Table1[[#This Row],[Estimated Effort (Hours)]]&lt;150,"L3",IF(Table1[[#This Row],[Estimated Effort (Hours)]]&lt;300,"L4","L5")))))</f>
        <v/>
      </c>
      <c r="S812" s="184" t="str">
        <f>IF(Table1[[#This Row],[Actual End Date]]="","",TEXT(Table1[[#This Row],[Actual End Date]],"mmm-yy"))</f>
        <v/>
      </c>
      <c r="T8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2" s="185" t="str">
        <f>IFERROR((Table1[[#This Row],[Actual Effort (Hours)]]-Table1[[#This Row],[Estimated Effort (Hours)]])/Table1[[#This Row],[Estimated Effort (Hours)]],"")</f>
        <v/>
      </c>
    </row>
    <row r="813" spans="2:21">
      <c r="B813" s="125"/>
      <c r="C813" s="123"/>
      <c r="D813" s="143"/>
      <c r="E813" s="123"/>
      <c r="F813" s="143"/>
      <c r="G813" s="129"/>
      <c r="H813" s="124"/>
      <c r="I813" s="124"/>
      <c r="J813" s="129"/>
      <c r="K813" s="194"/>
      <c r="L813" s="194"/>
      <c r="M813" s="129"/>
      <c r="N813" s="129" t="e">
        <f>Table1[[#This Row],[Estimated Effort (Hours)]]/NETWORKDAYS(Table1[[#This Row],[Planned Start Date]],Table1[[#This Row],[Planned End Date]])</f>
        <v>#DIV/0!</v>
      </c>
      <c r="O813" s="178">
        <f>NETWORKDAYS(Table1[[#This Row],[Planned Start Date]],Table1[[#This Row],[Planned End Date]])</f>
        <v>0</v>
      </c>
      <c r="P813" s="178">
        <f>NETWORKDAYS(Table1[[#This Row],[Planned Start Date]],$P$7)</f>
        <v>30643</v>
      </c>
      <c r="Q813" s="129"/>
      <c r="R813" s="183" t="str">
        <f>IF(Table1[[#This Row],[Actual Effort (Hours)]]="","",IF(Table1[[#This Row],[Estimated Effort (Hours)]]&lt;20,"L1",IF(Table1[[#This Row],[Estimated Effort (Hours)]]&lt;50,"L2",IF(Table1[[#This Row],[Estimated Effort (Hours)]]&lt;150,"L3",IF(Table1[[#This Row],[Estimated Effort (Hours)]]&lt;300,"L4","L5")))))</f>
        <v/>
      </c>
      <c r="S813" s="184" t="str">
        <f>IF(Table1[[#This Row],[Actual End Date]]="","",TEXT(Table1[[#This Row],[Actual End Date]],"mmm-yy"))</f>
        <v/>
      </c>
      <c r="T8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3" s="185" t="str">
        <f>IFERROR((Table1[[#This Row],[Actual Effort (Hours)]]-Table1[[#This Row],[Estimated Effort (Hours)]])/Table1[[#This Row],[Estimated Effort (Hours)]],"")</f>
        <v/>
      </c>
    </row>
    <row r="814" spans="2:21">
      <c r="B814" s="125"/>
      <c r="C814" s="123"/>
      <c r="D814" s="143"/>
      <c r="E814" s="123"/>
      <c r="F814" s="143"/>
      <c r="G814" s="129"/>
      <c r="H814" s="124"/>
      <c r="I814" s="124"/>
      <c r="J814" s="129"/>
      <c r="K814" s="194"/>
      <c r="L814" s="194"/>
      <c r="M814" s="129"/>
      <c r="N814" s="129" t="e">
        <f>Table1[[#This Row],[Estimated Effort (Hours)]]/NETWORKDAYS(Table1[[#This Row],[Planned Start Date]],Table1[[#This Row],[Planned End Date]])</f>
        <v>#DIV/0!</v>
      </c>
      <c r="O814" s="178">
        <f>NETWORKDAYS(Table1[[#This Row],[Planned Start Date]],Table1[[#This Row],[Planned End Date]])</f>
        <v>0</v>
      </c>
      <c r="P814" s="178">
        <f>NETWORKDAYS(Table1[[#This Row],[Planned Start Date]],$P$7)</f>
        <v>30643</v>
      </c>
      <c r="Q814" s="129"/>
      <c r="R814" s="183" t="str">
        <f>IF(Table1[[#This Row],[Actual Effort (Hours)]]="","",IF(Table1[[#This Row],[Estimated Effort (Hours)]]&lt;20,"L1",IF(Table1[[#This Row],[Estimated Effort (Hours)]]&lt;50,"L2",IF(Table1[[#This Row],[Estimated Effort (Hours)]]&lt;150,"L3",IF(Table1[[#This Row],[Estimated Effort (Hours)]]&lt;300,"L4","L5")))))</f>
        <v/>
      </c>
      <c r="S814" s="184" t="str">
        <f>IF(Table1[[#This Row],[Actual End Date]]="","",TEXT(Table1[[#This Row],[Actual End Date]],"mmm-yy"))</f>
        <v/>
      </c>
      <c r="T8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4" s="185" t="str">
        <f>IFERROR((Table1[[#This Row],[Actual Effort (Hours)]]-Table1[[#This Row],[Estimated Effort (Hours)]])/Table1[[#This Row],[Estimated Effort (Hours)]],"")</f>
        <v/>
      </c>
    </row>
    <row r="815" spans="2:21">
      <c r="B815" s="125"/>
      <c r="C815" s="123"/>
      <c r="D815" s="143"/>
      <c r="E815" s="123"/>
      <c r="F815" s="143"/>
      <c r="G815" s="129"/>
      <c r="H815" s="124"/>
      <c r="I815" s="124"/>
      <c r="J815" s="129"/>
      <c r="K815" s="194"/>
      <c r="L815" s="194"/>
      <c r="M815" s="129"/>
      <c r="N815" s="129" t="e">
        <f>Table1[[#This Row],[Estimated Effort (Hours)]]/NETWORKDAYS(Table1[[#This Row],[Planned Start Date]],Table1[[#This Row],[Planned End Date]])</f>
        <v>#DIV/0!</v>
      </c>
      <c r="O815" s="178">
        <f>NETWORKDAYS(Table1[[#This Row],[Planned Start Date]],Table1[[#This Row],[Planned End Date]])</f>
        <v>0</v>
      </c>
      <c r="P815" s="178">
        <f>NETWORKDAYS(Table1[[#This Row],[Planned Start Date]],$P$7)</f>
        <v>30643</v>
      </c>
      <c r="Q815" s="129"/>
      <c r="R815" s="183" t="str">
        <f>IF(Table1[[#This Row],[Actual Effort (Hours)]]="","",IF(Table1[[#This Row],[Estimated Effort (Hours)]]&lt;20,"L1",IF(Table1[[#This Row],[Estimated Effort (Hours)]]&lt;50,"L2",IF(Table1[[#This Row],[Estimated Effort (Hours)]]&lt;150,"L3",IF(Table1[[#This Row],[Estimated Effort (Hours)]]&lt;300,"L4","L5")))))</f>
        <v/>
      </c>
      <c r="S815" s="184" t="str">
        <f>IF(Table1[[#This Row],[Actual End Date]]="","",TEXT(Table1[[#This Row],[Actual End Date]],"mmm-yy"))</f>
        <v/>
      </c>
      <c r="T8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5" s="185" t="str">
        <f>IFERROR((Table1[[#This Row],[Actual Effort (Hours)]]-Table1[[#This Row],[Estimated Effort (Hours)]])/Table1[[#This Row],[Estimated Effort (Hours)]],"")</f>
        <v/>
      </c>
    </row>
    <row r="816" spans="2:21">
      <c r="B816" s="125"/>
      <c r="C816" s="123"/>
      <c r="D816" s="143"/>
      <c r="E816" s="123"/>
      <c r="F816" s="143"/>
      <c r="G816" s="129"/>
      <c r="H816" s="124"/>
      <c r="I816" s="124"/>
      <c r="J816" s="129"/>
      <c r="K816" s="194"/>
      <c r="L816" s="194"/>
      <c r="M816" s="129"/>
      <c r="N816" s="129" t="e">
        <f>Table1[[#This Row],[Estimated Effort (Hours)]]/NETWORKDAYS(Table1[[#This Row],[Planned Start Date]],Table1[[#This Row],[Planned End Date]])</f>
        <v>#DIV/0!</v>
      </c>
      <c r="O816" s="178">
        <f>NETWORKDAYS(Table1[[#This Row],[Planned Start Date]],Table1[[#This Row],[Planned End Date]])</f>
        <v>0</v>
      </c>
      <c r="P816" s="178">
        <f>NETWORKDAYS(Table1[[#This Row],[Planned Start Date]],$P$7)</f>
        <v>30643</v>
      </c>
      <c r="Q816" s="129"/>
      <c r="R816" s="183" t="str">
        <f>IF(Table1[[#This Row],[Actual Effort (Hours)]]="","",IF(Table1[[#This Row],[Estimated Effort (Hours)]]&lt;20,"L1",IF(Table1[[#This Row],[Estimated Effort (Hours)]]&lt;50,"L2",IF(Table1[[#This Row],[Estimated Effort (Hours)]]&lt;150,"L3",IF(Table1[[#This Row],[Estimated Effort (Hours)]]&lt;300,"L4","L5")))))</f>
        <v/>
      </c>
      <c r="S816" s="184" t="str">
        <f>IF(Table1[[#This Row],[Actual End Date]]="","",TEXT(Table1[[#This Row],[Actual End Date]],"mmm-yy"))</f>
        <v/>
      </c>
      <c r="T8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6" s="185" t="str">
        <f>IFERROR((Table1[[#This Row],[Actual Effort (Hours)]]-Table1[[#This Row],[Estimated Effort (Hours)]])/Table1[[#This Row],[Estimated Effort (Hours)]],"")</f>
        <v/>
      </c>
    </row>
    <row r="817" spans="2:21">
      <c r="B817" s="125"/>
      <c r="C817" s="123"/>
      <c r="D817" s="143"/>
      <c r="E817" s="123"/>
      <c r="F817" s="143"/>
      <c r="G817" s="129"/>
      <c r="H817" s="124"/>
      <c r="I817" s="124"/>
      <c r="J817" s="129"/>
      <c r="K817" s="194"/>
      <c r="L817" s="194"/>
      <c r="M817" s="129"/>
      <c r="N817" s="129" t="e">
        <f>Table1[[#This Row],[Estimated Effort (Hours)]]/NETWORKDAYS(Table1[[#This Row],[Planned Start Date]],Table1[[#This Row],[Planned End Date]])</f>
        <v>#DIV/0!</v>
      </c>
      <c r="O817" s="178">
        <f>NETWORKDAYS(Table1[[#This Row],[Planned Start Date]],Table1[[#This Row],[Planned End Date]])</f>
        <v>0</v>
      </c>
      <c r="P817" s="178">
        <f>NETWORKDAYS(Table1[[#This Row],[Planned Start Date]],$P$7)</f>
        <v>30643</v>
      </c>
      <c r="Q817" s="129"/>
      <c r="R817" s="183" t="str">
        <f>IF(Table1[[#This Row],[Actual Effort (Hours)]]="","",IF(Table1[[#This Row],[Estimated Effort (Hours)]]&lt;20,"L1",IF(Table1[[#This Row],[Estimated Effort (Hours)]]&lt;50,"L2",IF(Table1[[#This Row],[Estimated Effort (Hours)]]&lt;150,"L3",IF(Table1[[#This Row],[Estimated Effort (Hours)]]&lt;300,"L4","L5")))))</f>
        <v/>
      </c>
      <c r="S817" s="184" t="str">
        <f>IF(Table1[[#This Row],[Actual End Date]]="","",TEXT(Table1[[#This Row],[Actual End Date]],"mmm-yy"))</f>
        <v/>
      </c>
      <c r="T8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7" s="185" t="str">
        <f>IFERROR((Table1[[#This Row],[Actual Effort (Hours)]]-Table1[[#This Row],[Estimated Effort (Hours)]])/Table1[[#This Row],[Estimated Effort (Hours)]],"")</f>
        <v/>
      </c>
    </row>
    <row r="818" spans="2:21">
      <c r="B818" s="125"/>
      <c r="C818" s="123"/>
      <c r="D818" s="143"/>
      <c r="E818" s="123"/>
      <c r="F818" s="143"/>
      <c r="G818" s="129"/>
      <c r="H818" s="124"/>
      <c r="I818" s="124"/>
      <c r="J818" s="129"/>
      <c r="K818" s="194"/>
      <c r="L818" s="194"/>
      <c r="M818" s="129"/>
      <c r="N818" s="129" t="e">
        <f>Table1[[#This Row],[Estimated Effort (Hours)]]/NETWORKDAYS(Table1[[#This Row],[Planned Start Date]],Table1[[#This Row],[Planned End Date]])</f>
        <v>#DIV/0!</v>
      </c>
      <c r="O818" s="178">
        <f>NETWORKDAYS(Table1[[#This Row],[Planned Start Date]],Table1[[#This Row],[Planned End Date]])</f>
        <v>0</v>
      </c>
      <c r="P818" s="178">
        <f>NETWORKDAYS(Table1[[#This Row],[Planned Start Date]],$P$7)</f>
        <v>30643</v>
      </c>
      <c r="Q818" s="129"/>
      <c r="R818" s="183" t="str">
        <f>IF(Table1[[#This Row],[Actual Effort (Hours)]]="","",IF(Table1[[#This Row],[Estimated Effort (Hours)]]&lt;20,"L1",IF(Table1[[#This Row],[Estimated Effort (Hours)]]&lt;50,"L2",IF(Table1[[#This Row],[Estimated Effort (Hours)]]&lt;150,"L3",IF(Table1[[#This Row],[Estimated Effort (Hours)]]&lt;300,"L4","L5")))))</f>
        <v/>
      </c>
      <c r="S818" s="184" t="str">
        <f>IF(Table1[[#This Row],[Actual End Date]]="","",TEXT(Table1[[#This Row],[Actual End Date]],"mmm-yy"))</f>
        <v/>
      </c>
      <c r="T8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8" s="185" t="str">
        <f>IFERROR((Table1[[#This Row],[Actual Effort (Hours)]]-Table1[[#This Row],[Estimated Effort (Hours)]])/Table1[[#This Row],[Estimated Effort (Hours)]],"")</f>
        <v/>
      </c>
    </row>
    <row r="819" spans="2:21">
      <c r="B819" s="125"/>
      <c r="C819" s="123"/>
      <c r="D819" s="143"/>
      <c r="E819" s="123"/>
      <c r="F819" s="143"/>
      <c r="G819" s="129"/>
      <c r="H819" s="124"/>
      <c r="I819" s="124"/>
      <c r="J819" s="129"/>
      <c r="K819" s="194"/>
      <c r="L819" s="194"/>
      <c r="M819" s="129"/>
      <c r="N819" s="129" t="e">
        <f>Table1[[#This Row],[Estimated Effort (Hours)]]/NETWORKDAYS(Table1[[#This Row],[Planned Start Date]],Table1[[#This Row],[Planned End Date]])</f>
        <v>#DIV/0!</v>
      </c>
      <c r="O819" s="178">
        <f>NETWORKDAYS(Table1[[#This Row],[Planned Start Date]],Table1[[#This Row],[Planned End Date]])</f>
        <v>0</v>
      </c>
      <c r="P819" s="178">
        <f>NETWORKDAYS(Table1[[#This Row],[Planned Start Date]],$P$7)</f>
        <v>30643</v>
      </c>
      <c r="Q819" s="129"/>
      <c r="R819" s="183" t="str">
        <f>IF(Table1[[#This Row],[Actual Effort (Hours)]]="","",IF(Table1[[#This Row],[Estimated Effort (Hours)]]&lt;20,"L1",IF(Table1[[#This Row],[Estimated Effort (Hours)]]&lt;50,"L2",IF(Table1[[#This Row],[Estimated Effort (Hours)]]&lt;150,"L3",IF(Table1[[#This Row],[Estimated Effort (Hours)]]&lt;300,"L4","L5")))))</f>
        <v/>
      </c>
      <c r="S819" s="184" t="str">
        <f>IF(Table1[[#This Row],[Actual End Date]]="","",TEXT(Table1[[#This Row],[Actual End Date]],"mmm-yy"))</f>
        <v/>
      </c>
      <c r="T8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19" s="185" t="str">
        <f>IFERROR((Table1[[#This Row],[Actual Effort (Hours)]]-Table1[[#This Row],[Estimated Effort (Hours)]])/Table1[[#This Row],[Estimated Effort (Hours)]],"")</f>
        <v/>
      </c>
    </row>
    <row r="820" spans="2:21">
      <c r="B820" s="125"/>
      <c r="C820" s="123"/>
      <c r="D820" s="143"/>
      <c r="E820" s="123"/>
      <c r="F820" s="143"/>
      <c r="G820" s="129"/>
      <c r="H820" s="124"/>
      <c r="I820" s="124"/>
      <c r="J820" s="129"/>
      <c r="K820" s="194"/>
      <c r="L820" s="194"/>
      <c r="M820" s="129"/>
      <c r="N820" s="129" t="e">
        <f>Table1[[#This Row],[Estimated Effort (Hours)]]/NETWORKDAYS(Table1[[#This Row],[Planned Start Date]],Table1[[#This Row],[Planned End Date]])</f>
        <v>#DIV/0!</v>
      </c>
      <c r="O820" s="178">
        <f>NETWORKDAYS(Table1[[#This Row],[Planned Start Date]],Table1[[#This Row],[Planned End Date]])</f>
        <v>0</v>
      </c>
      <c r="P820" s="178">
        <f>NETWORKDAYS(Table1[[#This Row],[Planned Start Date]],$P$7)</f>
        <v>30643</v>
      </c>
      <c r="Q820" s="129"/>
      <c r="R820" s="183" t="str">
        <f>IF(Table1[[#This Row],[Actual Effort (Hours)]]="","",IF(Table1[[#This Row],[Estimated Effort (Hours)]]&lt;20,"L1",IF(Table1[[#This Row],[Estimated Effort (Hours)]]&lt;50,"L2",IF(Table1[[#This Row],[Estimated Effort (Hours)]]&lt;150,"L3",IF(Table1[[#This Row],[Estimated Effort (Hours)]]&lt;300,"L4","L5")))))</f>
        <v/>
      </c>
      <c r="S820" s="184" t="str">
        <f>IF(Table1[[#This Row],[Actual End Date]]="","",TEXT(Table1[[#This Row],[Actual End Date]],"mmm-yy"))</f>
        <v/>
      </c>
      <c r="T8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0" s="185" t="str">
        <f>IFERROR((Table1[[#This Row],[Actual Effort (Hours)]]-Table1[[#This Row],[Estimated Effort (Hours)]])/Table1[[#This Row],[Estimated Effort (Hours)]],"")</f>
        <v/>
      </c>
    </row>
    <row r="821" spans="2:21">
      <c r="B821" s="125"/>
      <c r="C821" s="123"/>
      <c r="D821" s="143"/>
      <c r="E821" s="123"/>
      <c r="F821" s="143"/>
      <c r="G821" s="129"/>
      <c r="H821" s="124"/>
      <c r="I821" s="124"/>
      <c r="J821" s="129"/>
      <c r="K821" s="194"/>
      <c r="L821" s="194"/>
      <c r="M821" s="129"/>
      <c r="N821" s="129" t="e">
        <f>Table1[[#This Row],[Estimated Effort (Hours)]]/NETWORKDAYS(Table1[[#This Row],[Planned Start Date]],Table1[[#This Row],[Planned End Date]])</f>
        <v>#DIV/0!</v>
      </c>
      <c r="O821" s="178">
        <f>NETWORKDAYS(Table1[[#This Row],[Planned Start Date]],Table1[[#This Row],[Planned End Date]])</f>
        <v>0</v>
      </c>
      <c r="P821" s="178">
        <f>NETWORKDAYS(Table1[[#This Row],[Planned Start Date]],$P$7)</f>
        <v>30643</v>
      </c>
      <c r="Q821" s="129"/>
      <c r="R821" s="183" t="str">
        <f>IF(Table1[[#This Row],[Actual Effort (Hours)]]="","",IF(Table1[[#This Row],[Estimated Effort (Hours)]]&lt;20,"L1",IF(Table1[[#This Row],[Estimated Effort (Hours)]]&lt;50,"L2",IF(Table1[[#This Row],[Estimated Effort (Hours)]]&lt;150,"L3",IF(Table1[[#This Row],[Estimated Effort (Hours)]]&lt;300,"L4","L5")))))</f>
        <v/>
      </c>
      <c r="S821" s="184" t="str">
        <f>IF(Table1[[#This Row],[Actual End Date]]="","",TEXT(Table1[[#This Row],[Actual End Date]],"mmm-yy"))</f>
        <v/>
      </c>
      <c r="T8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1" s="185" t="str">
        <f>IFERROR((Table1[[#This Row],[Actual Effort (Hours)]]-Table1[[#This Row],[Estimated Effort (Hours)]])/Table1[[#This Row],[Estimated Effort (Hours)]],"")</f>
        <v/>
      </c>
    </row>
    <row r="822" spans="2:21">
      <c r="B822" s="125"/>
      <c r="C822" s="123"/>
      <c r="D822" s="143"/>
      <c r="E822" s="123"/>
      <c r="F822" s="143"/>
      <c r="G822" s="129"/>
      <c r="H822" s="124"/>
      <c r="I822" s="124"/>
      <c r="J822" s="129"/>
      <c r="K822" s="194"/>
      <c r="L822" s="194"/>
      <c r="M822" s="129"/>
      <c r="N822" s="129" t="e">
        <f>Table1[[#This Row],[Estimated Effort (Hours)]]/NETWORKDAYS(Table1[[#This Row],[Planned Start Date]],Table1[[#This Row],[Planned End Date]])</f>
        <v>#DIV/0!</v>
      </c>
      <c r="O822" s="178">
        <f>NETWORKDAYS(Table1[[#This Row],[Planned Start Date]],Table1[[#This Row],[Planned End Date]])</f>
        <v>0</v>
      </c>
      <c r="P822" s="178">
        <f>NETWORKDAYS(Table1[[#This Row],[Planned Start Date]],$P$7)</f>
        <v>30643</v>
      </c>
      <c r="Q822" s="129"/>
      <c r="R822" s="183" t="str">
        <f>IF(Table1[[#This Row],[Actual Effort (Hours)]]="","",IF(Table1[[#This Row],[Estimated Effort (Hours)]]&lt;20,"L1",IF(Table1[[#This Row],[Estimated Effort (Hours)]]&lt;50,"L2",IF(Table1[[#This Row],[Estimated Effort (Hours)]]&lt;150,"L3",IF(Table1[[#This Row],[Estimated Effort (Hours)]]&lt;300,"L4","L5")))))</f>
        <v/>
      </c>
      <c r="S822" s="184" t="str">
        <f>IF(Table1[[#This Row],[Actual End Date]]="","",TEXT(Table1[[#This Row],[Actual End Date]],"mmm-yy"))</f>
        <v/>
      </c>
      <c r="T8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2" s="185" t="str">
        <f>IFERROR((Table1[[#This Row],[Actual Effort (Hours)]]-Table1[[#This Row],[Estimated Effort (Hours)]])/Table1[[#This Row],[Estimated Effort (Hours)]],"")</f>
        <v/>
      </c>
    </row>
    <row r="823" spans="2:21">
      <c r="B823" s="125"/>
      <c r="C823" s="123"/>
      <c r="D823" s="143"/>
      <c r="E823" s="123"/>
      <c r="F823" s="143"/>
      <c r="G823" s="129"/>
      <c r="H823" s="124"/>
      <c r="I823" s="124"/>
      <c r="J823" s="129"/>
      <c r="K823" s="194"/>
      <c r="L823" s="194"/>
      <c r="M823" s="129"/>
      <c r="N823" s="129" t="e">
        <f>Table1[[#This Row],[Estimated Effort (Hours)]]/NETWORKDAYS(Table1[[#This Row],[Planned Start Date]],Table1[[#This Row],[Planned End Date]])</f>
        <v>#DIV/0!</v>
      </c>
      <c r="O823" s="178">
        <f>NETWORKDAYS(Table1[[#This Row],[Planned Start Date]],Table1[[#This Row],[Planned End Date]])</f>
        <v>0</v>
      </c>
      <c r="P823" s="178">
        <f>NETWORKDAYS(Table1[[#This Row],[Planned Start Date]],$P$7)</f>
        <v>30643</v>
      </c>
      <c r="Q823" s="129"/>
      <c r="R823" s="183" t="str">
        <f>IF(Table1[[#This Row],[Actual Effort (Hours)]]="","",IF(Table1[[#This Row],[Estimated Effort (Hours)]]&lt;20,"L1",IF(Table1[[#This Row],[Estimated Effort (Hours)]]&lt;50,"L2",IF(Table1[[#This Row],[Estimated Effort (Hours)]]&lt;150,"L3",IF(Table1[[#This Row],[Estimated Effort (Hours)]]&lt;300,"L4","L5")))))</f>
        <v/>
      </c>
      <c r="S823" s="184" t="str">
        <f>IF(Table1[[#This Row],[Actual End Date]]="","",TEXT(Table1[[#This Row],[Actual End Date]],"mmm-yy"))</f>
        <v/>
      </c>
      <c r="T8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3" s="185" t="str">
        <f>IFERROR((Table1[[#This Row],[Actual Effort (Hours)]]-Table1[[#This Row],[Estimated Effort (Hours)]])/Table1[[#This Row],[Estimated Effort (Hours)]],"")</f>
        <v/>
      </c>
    </row>
    <row r="824" spans="2:21">
      <c r="B824" s="125"/>
      <c r="C824" s="123"/>
      <c r="D824" s="143"/>
      <c r="E824" s="123"/>
      <c r="F824" s="143"/>
      <c r="G824" s="129"/>
      <c r="H824" s="124"/>
      <c r="I824" s="124"/>
      <c r="J824" s="129"/>
      <c r="K824" s="194"/>
      <c r="L824" s="194"/>
      <c r="M824" s="129"/>
      <c r="N824" s="129" t="e">
        <f>Table1[[#This Row],[Estimated Effort (Hours)]]/NETWORKDAYS(Table1[[#This Row],[Planned Start Date]],Table1[[#This Row],[Planned End Date]])</f>
        <v>#DIV/0!</v>
      </c>
      <c r="O824" s="178">
        <f>NETWORKDAYS(Table1[[#This Row],[Planned Start Date]],Table1[[#This Row],[Planned End Date]])</f>
        <v>0</v>
      </c>
      <c r="P824" s="178">
        <f>NETWORKDAYS(Table1[[#This Row],[Planned Start Date]],$P$7)</f>
        <v>30643</v>
      </c>
      <c r="Q824" s="129"/>
      <c r="R824" s="183" t="str">
        <f>IF(Table1[[#This Row],[Actual Effort (Hours)]]="","",IF(Table1[[#This Row],[Estimated Effort (Hours)]]&lt;20,"L1",IF(Table1[[#This Row],[Estimated Effort (Hours)]]&lt;50,"L2",IF(Table1[[#This Row],[Estimated Effort (Hours)]]&lt;150,"L3",IF(Table1[[#This Row],[Estimated Effort (Hours)]]&lt;300,"L4","L5")))))</f>
        <v/>
      </c>
      <c r="S824" s="184" t="str">
        <f>IF(Table1[[#This Row],[Actual End Date]]="","",TEXT(Table1[[#This Row],[Actual End Date]],"mmm-yy"))</f>
        <v/>
      </c>
      <c r="T8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4" s="185" t="str">
        <f>IFERROR((Table1[[#This Row],[Actual Effort (Hours)]]-Table1[[#This Row],[Estimated Effort (Hours)]])/Table1[[#This Row],[Estimated Effort (Hours)]],"")</f>
        <v/>
      </c>
    </row>
    <row r="825" spans="2:21">
      <c r="B825" s="125"/>
      <c r="C825" s="123"/>
      <c r="D825" s="143"/>
      <c r="E825" s="123"/>
      <c r="F825" s="143"/>
      <c r="G825" s="129"/>
      <c r="H825" s="124"/>
      <c r="I825" s="124"/>
      <c r="J825" s="129"/>
      <c r="K825" s="194"/>
      <c r="L825" s="194"/>
      <c r="M825" s="129"/>
      <c r="N825" s="129" t="e">
        <f>Table1[[#This Row],[Estimated Effort (Hours)]]/NETWORKDAYS(Table1[[#This Row],[Planned Start Date]],Table1[[#This Row],[Planned End Date]])</f>
        <v>#DIV/0!</v>
      </c>
      <c r="O825" s="178">
        <f>NETWORKDAYS(Table1[[#This Row],[Planned Start Date]],Table1[[#This Row],[Planned End Date]])</f>
        <v>0</v>
      </c>
      <c r="P825" s="178">
        <f>NETWORKDAYS(Table1[[#This Row],[Planned Start Date]],$P$7)</f>
        <v>30643</v>
      </c>
      <c r="Q825" s="129"/>
      <c r="R825" s="183" t="str">
        <f>IF(Table1[[#This Row],[Actual Effort (Hours)]]="","",IF(Table1[[#This Row],[Estimated Effort (Hours)]]&lt;20,"L1",IF(Table1[[#This Row],[Estimated Effort (Hours)]]&lt;50,"L2",IF(Table1[[#This Row],[Estimated Effort (Hours)]]&lt;150,"L3",IF(Table1[[#This Row],[Estimated Effort (Hours)]]&lt;300,"L4","L5")))))</f>
        <v/>
      </c>
      <c r="S825" s="184" t="str">
        <f>IF(Table1[[#This Row],[Actual End Date]]="","",TEXT(Table1[[#This Row],[Actual End Date]],"mmm-yy"))</f>
        <v/>
      </c>
      <c r="T8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5" s="185" t="str">
        <f>IFERROR((Table1[[#This Row],[Actual Effort (Hours)]]-Table1[[#This Row],[Estimated Effort (Hours)]])/Table1[[#This Row],[Estimated Effort (Hours)]],"")</f>
        <v/>
      </c>
    </row>
    <row r="826" spans="2:21">
      <c r="B826" s="125"/>
      <c r="C826" s="123"/>
      <c r="D826" s="143"/>
      <c r="E826" s="123"/>
      <c r="F826" s="143"/>
      <c r="G826" s="129"/>
      <c r="H826" s="124"/>
      <c r="I826" s="124"/>
      <c r="J826" s="129"/>
      <c r="K826" s="194"/>
      <c r="L826" s="194"/>
      <c r="M826" s="129"/>
      <c r="N826" s="129" t="e">
        <f>Table1[[#This Row],[Estimated Effort (Hours)]]/NETWORKDAYS(Table1[[#This Row],[Planned Start Date]],Table1[[#This Row],[Planned End Date]])</f>
        <v>#DIV/0!</v>
      </c>
      <c r="O826" s="178">
        <f>NETWORKDAYS(Table1[[#This Row],[Planned Start Date]],Table1[[#This Row],[Planned End Date]])</f>
        <v>0</v>
      </c>
      <c r="P826" s="178">
        <f>NETWORKDAYS(Table1[[#This Row],[Planned Start Date]],$P$7)</f>
        <v>30643</v>
      </c>
      <c r="Q826" s="129"/>
      <c r="R826" s="183" t="str">
        <f>IF(Table1[[#This Row],[Actual Effort (Hours)]]="","",IF(Table1[[#This Row],[Estimated Effort (Hours)]]&lt;20,"L1",IF(Table1[[#This Row],[Estimated Effort (Hours)]]&lt;50,"L2",IF(Table1[[#This Row],[Estimated Effort (Hours)]]&lt;150,"L3",IF(Table1[[#This Row],[Estimated Effort (Hours)]]&lt;300,"L4","L5")))))</f>
        <v/>
      </c>
      <c r="S826" s="184" t="str">
        <f>IF(Table1[[#This Row],[Actual End Date]]="","",TEXT(Table1[[#This Row],[Actual End Date]],"mmm-yy"))</f>
        <v/>
      </c>
      <c r="T8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6" s="185" t="str">
        <f>IFERROR((Table1[[#This Row],[Actual Effort (Hours)]]-Table1[[#This Row],[Estimated Effort (Hours)]])/Table1[[#This Row],[Estimated Effort (Hours)]],"")</f>
        <v/>
      </c>
    </row>
    <row r="827" spans="2:21">
      <c r="B827" s="125"/>
      <c r="C827" s="123"/>
      <c r="D827" s="143"/>
      <c r="E827" s="123"/>
      <c r="F827" s="143"/>
      <c r="G827" s="129"/>
      <c r="H827" s="124"/>
      <c r="I827" s="124"/>
      <c r="J827" s="129"/>
      <c r="K827" s="194"/>
      <c r="L827" s="194"/>
      <c r="M827" s="129"/>
      <c r="N827" s="129" t="e">
        <f>Table1[[#This Row],[Estimated Effort (Hours)]]/NETWORKDAYS(Table1[[#This Row],[Planned Start Date]],Table1[[#This Row],[Planned End Date]])</f>
        <v>#DIV/0!</v>
      </c>
      <c r="O827" s="178">
        <f>NETWORKDAYS(Table1[[#This Row],[Planned Start Date]],Table1[[#This Row],[Planned End Date]])</f>
        <v>0</v>
      </c>
      <c r="P827" s="178">
        <f>NETWORKDAYS(Table1[[#This Row],[Planned Start Date]],$P$7)</f>
        <v>30643</v>
      </c>
      <c r="Q827" s="129"/>
      <c r="R827" s="183" t="str">
        <f>IF(Table1[[#This Row],[Actual Effort (Hours)]]="","",IF(Table1[[#This Row],[Estimated Effort (Hours)]]&lt;20,"L1",IF(Table1[[#This Row],[Estimated Effort (Hours)]]&lt;50,"L2",IF(Table1[[#This Row],[Estimated Effort (Hours)]]&lt;150,"L3",IF(Table1[[#This Row],[Estimated Effort (Hours)]]&lt;300,"L4","L5")))))</f>
        <v/>
      </c>
      <c r="S827" s="184" t="str">
        <f>IF(Table1[[#This Row],[Actual End Date]]="","",TEXT(Table1[[#This Row],[Actual End Date]],"mmm-yy"))</f>
        <v/>
      </c>
      <c r="T8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7" s="185" t="str">
        <f>IFERROR((Table1[[#This Row],[Actual Effort (Hours)]]-Table1[[#This Row],[Estimated Effort (Hours)]])/Table1[[#This Row],[Estimated Effort (Hours)]],"")</f>
        <v/>
      </c>
    </row>
    <row r="828" spans="2:21">
      <c r="B828" s="125"/>
      <c r="C828" s="123"/>
      <c r="D828" s="143"/>
      <c r="E828" s="123"/>
      <c r="F828" s="143"/>
      <c r="G828" s="129"/>
      <c r="H828" s="124"/>
      <c r="I828" s="124"/>
      <c r="J828" s="129"/>
      <c r="K828" s="194"/>
      <c r="L828" s="194"/>
      <c r="M828" s="129"/>
      <c r="N828" s="129" t="e">
        <f>Table1[[#This Row],[Estimated Effort (Hours)]]/NETWORKDAYS(Table1[[#This Row],[Planned Start Date]],Table1[[#This Row],[Planned End Date]])</f>
        <v>#DIV/0!</v>
      </c>
      <c r="O828" s="178">
        <f>NETWORKDAYS(Table1[[#This Row],[Planned Start Date]],Table1[[#This Row],[Planned End Date]])</f>
        <v>0</v>
      </c>
      <c r="P828" s="178">
        <f>NETWORKDAYS(Table1[[#This Row],[Planned Start Date]],$P$7)</f>
        <v>30643</v>
      </c>
      <c r="Q828" s="129"/>
      <c r="R828" s="183" t="str">
        <f>IF(Table1[[#This Row],[Actual Effort (Hours)]]="","",IF(Table1[[#This Row],[Estimated Effort (Hours)]]&lt;20,"L1",IF(Table1[[#This Row],[Estimated Effort (Hours)]]&lt;50,"L2",IF(Table1[[#This Row],[Estimated Effort (Hours)]]&lt;150,"L3",IF(Table1[[#This Row],[Estimated Effort (Hours)]]&lt;300,"L4","L5")))))</f>
        <v/>
      </c>
      <c r="S828" s="184" t="str">
        <f>IF(Table1[[#This Row],[Actual End Date]]="","",TEXT(Table1[[#This Row],[Actual End Date]],"mmm-yy"))</f>
        <v/>
      </c>
      <c r="T8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8" s="185" t="str">
        <f>IFERROR((Table1[[#This Row],[Actual Effort (Hours)]]-Table1[[#This Row],[Estimated Effort (Hours)]])/Table1[[#This Row],[Estimated Effort (Hours)]],"")</f>
        <v/>
      </c>
    </row>
    <row r="829" spans="2:21">
      <c r="B829" s="125"/>
      <c r="C829" s="123"/>
      <c r="D829" s="143"/>
      <c r="E829" s="123"/>
      <c r="F829" s="143"/>
      <c r="G829" s="129"/>
      <c r="H829" s="124"/>
      <c r="I829" s="124"/>
      <c r="J829" s="129"/>
      <c r="K829" s="194"/>
      <c r="L829" s="194"/>
      <c r="M829" s="129"/>
      <c r="N829" s="129" t="e">
        <f>Table1[[#This Row],[Estimated Effort (Hours)]]/NETWORKDAYS(Table1[[#This Row],[Planned Start Date]],Table1[[#This Row],[Planned End Date]])</f>
        <v>#DIV/0!</v>
      </c>
      <c r="O829" s="178">
        <f>NETWORKDAYS(Table1[[#This Row],[Planned Start Date]],Table1[[#This Row],[Planned End Date]])</f>
        <v>0</v>
      </c>
      <c r="P829" s="178">
        <f>NETWORKDAYS(Table1[[#This Row],[Planned Start Date]],$P$7)</f>
        <v>30643</v>
      </c>
      <c r="Q829" s="129"/>
      <c r="R829" s="183" t="str">
        <f>IF(Table1[[#This Row],[Actual Effort (Hours)]]="","",IF(Table1[[#This Row],[Estimated Effort (Hours)]]&lt;20,"L1",IF(Table1[[#This Row],[Estimated Effort (Hours)]]&lt;50,"L2",IF(Table1[[#This Row],[Estimated Effort (Hours)]]&lt;150,"L3",IF(Table1[[#This Row],[Estimated Effort (Hours)]]&lt;300,"L4","L5")))))</f>
        <v/>
      </c>
      <c r="S829" s="184" t="str">
        <f>IF(Table1[[#This Row],[Actual End Date]]="","",TEXT(Table1[[#This Row],[Actual End Date]],"mmm-yy"))</f>
        <v/>
      </c>
      <c r="T8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29" s="185" t="str">
        <f>IFERROR((Table1[[#This Row],[Actual Effort (Hours)]]-Table1[[#This Row],[Estimated Effort (Hours)]])/Table1[[#This Row],[Estimated Effort (Hours)]],"")</f>
        <v/>
      </c>
    </row>
    <row r="830" spans="2:21">
      <c r="B830" s="125"/>
      <c r="C830" s="123"/>
      <c r="D830" s="143"/>
      <c r="E830" s="123"/>
      <c r="F830" s="143"/>
      <c r="G830" s="129"/>
      <c r="H830" s="124"/>
      <c r="I830" s="124"/>
      <c r="J830" s="129"/>
      <c r="K830" s="194"/>
      <c r="L830" s="194"/>
      <c r="M830" s="129"/>
      <c r="N830" s="129" t="e">
        <f>Table1[[#This Row],[Estimated Effort (Hours)]]/NETWORKDAYS(Table1[[#This Row],[Planned Start Date]],Table1[[#This Row],[Planned End Date]])</f>
        <v>#DIV/0!</v>
      </c>
      <c r="O830" s="178">
        <f>NETWORKDAYS(Table1[[#This Row],[Planned Start Date]],Table1[[#This Row],[Planned End Date]])</f>
        <v>0</v>
      </c>
      <c r="P830" s="178">
        <f>NETWORKDAYS(Table1[[#This Row],[Planned Start Date]],$P$7)</f>
        <v>30643</v>
      </c>
      <c r="Q830" s="129"/>
      <c r="R830" s="183" t="str">
        <f>IF(Table1[[#This Row],[Actual Effort (Hours)]]="","",IF(Table1[[#This Row],[Estimated Effort (Hours)]]&lt;20,"L1",IF(Table1[[#This Row],[Estimated Effort (Hours)]]&lt;50,"L2",IF(Table1[[#This Row],[Estimated Effort (Hours)]]&lt;150,"L3",IF(Table1[[#This Row],[Estimated Effort (Hours)]]&lt;300,"L4","L5")))))</f>
        <v/>
      </c>
      <c r="S830" s="184" t="str">
        <f>IF(Table1[[#This Row],[Actual End Date]]="","",TEXT(Table1[[#This Row],[Actual End Date]],"mmm-yy"))</f>
        <v/>
      </c>
      <c r="T8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0" s="185" t="str">
        <f>IFERROR((Table1[[#This Row],[Actual Effort (Hours)]]-Table1[[#This Row],[Estimated Effort (Hours)]])/Table1[[#This Row],[Estimated Effort (Hours)]],"")</f>
        <v/>
      </c>
    </row>
    <row r="831" spans="2:21">
      <c r="B831" s="125"/>
      <c r="C831" s="123"/>
      <c r="D831" s="143"/>
      <c r="E831" s="123"/>
      <c r="F831" s="143"/>
      <c r="G831" s="129"/>
      <c r="H831" s="124"/>
      <c r="I831" s="124"/>
      <c r="J831" s="129"/>
      <c r="K831" s="194"/>
      <c r="L831" s="194"/>
      <c r="M831" s="129"/>
      <c r="N831" s="129" t="e">
        <f>Table1[[#This Row],[Estimated Effort (Hours)]]/NETWORKDAYS(Table1[[#This Row],[Planned Start Date]],Table1[[#This Row],[Planned End Date]])</f>
        <v>#DIV/0!</v>
      </c>
      <c r="O831" s="178">
        <f>NETWORKDAYS(Table1[[#This Row],[Planned Start Date]],Table1[[#This Row],[Planned End Date]])</f>
        <v>0</v>
      </c>
      <c r="P831" s="178">
        <f>NETWORKDAYS(Table1[[#This Row],[Planned Start Date]],$P$7)</f>
        <v>30643</v>
      </c>
      <c r="Q831" s="129"/>
      <c r="R831" s="183" t="str">
        <f>IF(Table1[[#This Row],[Actual Effort (Hours)]]="","",IF(Table1[[#This Row],[Estimated Effort (Hours)]]&lt;20,"L1",IF(Table1[[#This Row],[Estimated Effort (Hours)]]&lt;50,"L2",IF(Table1[[#This Row],[Estimated Effort (Hours)]]&lt;150,"L3",IF(Table1[[#This Row],[Estimated Effort (Hours)]]&lt;300,"L4","L5")))))</f>
        <v/>
      </c>
      <c r="S831" s="184" t="str">
        <f>IF(Table1[[#This Row],[Actual End Date]]="","",TEXT(Table1[[#This Row],[Actual End Date]],"mmm-yy"))</f>
        <v/>
      </c>
      <c r="T8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1" s="185" t="str">
        <f>IFERROR((Table1[[#This Row],[Actual Effort (Hours)]]-Table1[[#This Row],[Estimated Effort (Hours)]])/Table1[[#This Row],[Estimated Effort (Hours)]],"")</f>
        <v/>
      </c>
    </row>
    <row r="832" spans="2:21">
      <c r="B832" s="125"/>
      <c r="C832" s="123"/>
      <c r="D832" s="143"/>
      <c r="E832" s="123"/>
      <c r="F832" s="143"/>
      <c r="G832" s="129"/>
      <c r="H832" s="124"/>
      <c r="I832" s="124"/>
      <c r="J832" s="129"/>
      <c r="K832" s="194"/>
      <c r="L832" s="194"/>
      <c r="M832" s="129"/>
      <c r="N832" s="129" t="e">
        <f>Table1[[#This Row],[Estimated Effort (Hours)]]/NETWORKDAYS(Table1[[#This Row],[Planned Start Date]],Table1[[#This Row],[Planned End Date]])</f>
        <v>#DIV/0!</v>
      </c>
      <c r="O832" s="178">
        <f>NETWORKDAYS(Table1[[#This Row],[Planned Start Date]],Table1[[#This Row],[Planned End Date]])</f>
        <v>0</v>
      </c>
      <c r="P832" s="178">
        <f>NETWORKDAYS(Table1[[#This Row],[Planned Start Date]],$P$7)</f>
        <v>30643</v>
      </c>
      <c r="Q832" s="129"/>
      <c r="R832" s="183" t="str">
        <f>IF(Table1[[#This Row],[Actual Effort (Hours)]]="","",IF(Table1[[#This Row],[Estimated Effort (Hours)]]&lt;20,"L1",IF(Table1[[#This Row],[Estimated Effort (Hours)]]&lt;50,"L2",IF(Table1[[#This Row],[Estimated Effort (Hours)]]&lt;150,"L3",IF(Table1[[#This Row],[Estimated Effort (Hours)]]&lt;300,"L4","L5")))))</f>
        <v/>
      </c>
      <c r="S832" s="184" t="str">
        <f>IF(Table1[[#This Row],[Actual End Date]]="","",TEXT(Table1[[#This Row],[Actual End Date]],"mmm-yy"))</f>
        <v/>
      </c>
      <c r="T8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2" s="185" t="str">
        <f>IFERROR((Table1[[#This Row],[Actual Effort (Hours)]]-Table1[[#This Row],[Estimated Effort (Hours)]])/Table1[[#This Row],[Estimated Effort (Hours)]],"")</f>
        <v/>
      </c>
    </row>
    <row r="833" spans="2:21">
      <c r="B833" s="125"/>
      <c r="C833" s="123"/>
      <c r="D833" s="143"/>
      <c r="E833" s="123"/>
      <c r="F833" s="143"/>
      <c r="G833" s="129"/>
      <c r="H833" s="124"/>
      <c r="I833" s="124"/>
      <c r="J833" s="129"/>
      <c r="K833" s="194"/>
      <c r="L833" s="194"/>
      <c r="M833" s="129"/>
      <c r="N833" s="129" t="e">
        <f>Table1[[#This Row],[Estimated Effort (Hours)]]/NETWORKDAYS(Table1[[#This Row],[Planned Start Date]],Table1[[#This Row],[Planned End Date]])</f>
        <v>#DIV/0!</v>
      </c>
      <c r="O833" s="178">
        <f>NETWORKDAYS(Table1[[#This Row],[Planned Start Date]],Table1[[#This Row],[Planned End Date]])</f>
        <v>0</v>
      </c>
      <c r="P833" s="178">
        <f>NETWORKDAYS(Table1[[#This Row],[Planned Start Date]],$P$7)</f>
        <v>30643</v>
      </c>
      <c r="Q833" s="129"/>
      <c r="R833" s="183" t="str">
        <f>IF(Table1[[#This Row],[Actual Effort (Hours)]]="","",IF(Table1[[#This Row],[Estimated Effort (Hours)]]&lt;20,"L1",IF(Table1[[#This Row],[Estimated Effort (Hours)]]&lt;50,"L2",IF(Table1[[#This Row],[Estimated Effort (Hours)]]&lt;150,"L3",IF(Table1[[#This Row],[Estimated Effort (Hours)]]&lt;300,"L4","L5")))))</f>
        <v/>
      </c>
      <c r="S833" s="184" t="str">
        <f>IF(Table1[[#This Row],[Actual End Date]]="","",TEXT(Table1[[#This Row],[Actual End Date]],"mmm-yy"))</f>
        <v/>
      </c>
      <c r="T8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3" s="185" t="str">
        <f>IFERROR((Table1[[#This Row],[Actual Effort (Hours)]]-Table1[[#This Row],[Estimated Effort (Hours)]])/Table1[[#This Row],[Estimated Effort (Hours)]],"")</f>
        <v/>
      </c>
    </row>
    <row r="834" spans="2:21">
      <c r="B834" s="125"/>
      <c r="C834" s="123"/>
      <c r="D834" s="143"/>
      <c r="E834" s="123"/>
      <c r="F834" s="143"/>
      <c r="G834" s="129"/>
      <c r="H834" s="124"/>
      <c r="I834" s="124"/>
      <c r="J834" s="129"/>
      <c r="K834" s="194"/>
      <c r="L834" s="194"/>
      <c r="M834" s="129"/>
      <c r="N834" s="129" t="e">
        <f>Table1[[#This Row],[Estimated Effort (Hours)]]/NETWORKDAYS(Table1[[#This Row],[Planned Start Date]],Table1[[#This Row],[Planned End Date]])</f>
        <v>#DIV/0!</v>
      </c>
      <c r="O834" s="178">
        <f>NETWORKDAYS(Table1[[#This Row],[Planned Start Date]],Table1[[#This Row],[Planned End Date]])</f>
        <v>0</v>
      </c>
      <c r="P834" s="178">
        <f>NETWORKDAYS(Table1[[#This Row],[Planned Start Date]],$P$7)</f>
        <v>30643</v>
      </c>
      <c r="Q834" s="129"/>
      <c r="R834" s="183" t="str">
        <f>IF(Table1[[#This Row],[Actual Effort (Hours)]]="","",IF(Table1[[#This Row],[Estimated Effort (Hours)]]&lt;20,"L1",IF(Table1[[#This Row],[Estimated Effort (Hours)]]&lt;50,"L2",IF(Table1[[#This Row],[Estimated Effort (Hours)]]&lt;150,"L3",IF(Table1[[#This Row],[Estimated Effort (Hours)]]&lt;300,"L4","L5")))))</f>
        <v/>
      </c>
      <c r="S834" s="184" t="str">
        <f>IF(Table1[[#This Row],[Actual End Date]]="","",TEXT(Table1[[#This Row],[Actual End Date]],"mmm-yy"))</f>
        <v/>
      </c>
      <c r="T8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4" s="185" t="str">
        <f>IFERROR((Table1[[#This Row],[Actual Effort (Hours)]]-Table1[[#This Row],[Estimated Effort (Hours)]])/Table1[[#This Row],[Estimated Effort (Hours)]],"")</f>
        <v/>
      </c>
    </row>
    <row r="835" spans="2:21">
      <c r="B835" s="125"/>
      <c r="C835" s="123"/>
      <c r="D835" s="143"/>
      <c r="E835" s="123"/>
      <c r="F835" s="143"/>
      <c r="G835" s="129"/>
      <c r="H835" s="124"/>
      <c r="I835" s="124"/>
      <c r="J835" s="129"/>
      <c r="K835" s="194"/>
      <c r="L835" s="194"/>
      <c r="M835" s="129"/>
      <c r="N835" s="129" t="e">
        <f>Table1[[#This Row],[Estimated Effort (Hours)]]/NETWORKDAYS(Table1[[#This Row],[Planned Start Date]],Table1[[#This Row],[Planned End Date]])</f>
        <v>#DIV/0!</v>
      </c>
      <c r="O835" s="178">
        <f>NETWORKDAYS(Table1[[#This Row],[Planned Start Date]],Table1[[#This Row],[Planned End Date]])</f>
        <v>0</v>
      </c>
      <c r="P835" s="178">
        <f>NETWORKDAYS(Table1[[#This Row],[Planned Start Date]],$P$7)</f>
        <v>30643</v>
      </c>
      <c r="Q835" s="129"/>
      <c r="R835" s="183" t="str">
        <f>IF(Table1[[#This Row],[Actual Effort (Hours)]]="","",IF(Table1[[#This Row],[Estimated Effort (Hours)]]&lt;20,"L1",IF(Table1[[#This Row],[Estimated Effort (Hours)]]&lt;50,"L2",IF(Table1[[#This Row],[Estimated Effort (Hours)]]&lt;150,"L3",IF(Table1[[#This Row],[Estimated Effort (Hours)]]&lt;300,"L4","L5")))))</f>
        <v/>
      </c>
      <c r="S835" s="184" t="str">
        <f>IF(Table1[[#This Row],[Actual End Date]]="","",TEXT(Table1[[#This Row],[Actual End Date]],"mmm-yy"))</f>
        <v/>
      </c>
      <c r="T8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5" s="185" t="str">
        <f>IFERROR((Table1[[#This Row],[Actual Effort (Hours)]]-Table1[[#This Row],[Estimated Effort (Hours)]])/Table1[[#This Row],[Estimated Effort (Hours)]],"")</f>
        <v/>
      </c>
    </row>
    <row r="836" spans="2:21">
      <c r="B836" s="125"/>
      <c r="C836" s="123"/>
      <c r="D836" s="143"/>
      <c r="E836" s="123"/>
      <c r="F836" s="143"/>
      <c r="G836" s="129"/>
      <c r="H836" s="124"/>
      <c r="I836" s="124"/>
      <c r="J836" s="129"/>
      <c r="K836" s="194"/>
      <c r="L836" s="194"/>
      <c r="M836" s="129"/>
      <c r="N836" s="129" t="e">
        <f>Table1[[#This Row],[Estimated Effort (Hours)]]/NETWORKDAYS(Table1[[#This Row],[Planned Start Date]],Table1[[#This Row],[Planned End Date]])</f>
        <v>#DIV/0!</v>
      </c>
      <c r="O836" s="178">
        <f>NETWORKDAYS(Table1[[#This Row],[Planned Start Date]],Table1[[#This Row],[Planned End Date]])</f>
        <v>0</v>
      </c>
      <c r="P836" s="178">
        <f>NETWORKDAYS(Table1[[#This Row],[Planned Start Date]],$P$7)</f>
        <v>30643</v>
      </c>
      <c r="Q836" s="129"/>
      <c r="R836" s="183" t="str">
        <f>IF(Table1[[#This Row],[Actual Effort (Hours)]]="","",IF(Table1[[#This Row],[Estimated Effort (Hours)]]&lt;20,"L1",IF(Table1[[#This Row],[Estimated Effort (Hours)]]&lt;50,"L2",IF(Table1[[#This Row],[Estimated Effort (Hours)]]&lt;150,"L3",IF(Table1[[#This Row],[Estimated Effort (Hours)]]&lt;300,"L4","L5")))))</f>
        <v/>
      </c>
      <c r="S836" s="184" t="str">
        <f>IF(Table1[[#This Row],[Actual End Date]]="","",TEXT(Table1[[#This Row],[Actual End Date]],"mmm-yy"))</f>
        <v/>
      </c>
      <c r="T8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6" s="185" t="str">
        <f>IFERROR((Table1[[#This Row],[Actual Effort (Hours)]]-Table1[[#This Row],[Estimated Effort (Hours)]])/Table1[[#This Row],[Estimated Effort (Hours)]],"")</f>
        <v/>
      </c>
    </row>
    <row r="837" spans="2:21">
      <c r="B837" s="125"/>
      <c r="C837" s="123"/>
      <c r="D837" s="143"/>
      <c r="E837" s="123"/>
      <c r="F837" s="143"/>
      <c r="G837" s="129"/>
      <c r="H837" s="124"/>
      <c r="I837" s="124"/>
      <c r="J837" s="129"/>
      <c r="K837" s="194"/>
      <c r="L837" s="194"/>
      <c r="M837" s="129"/>
      <c r="N837" s="129" t="e">
        <f>Table1[[#This Row],[Estimated Effort (Hours)]]/NETWORKDAYS(Table1[[#This Row],[Planned Start Date]],Table1[[#This Row],[Planned End Date]])</f>
        <v>#DIV/0!</v>
      </c>
      <c r="O837" s="178">
        <f>NETWORKDAYS(Table1[[#This Row],[Planned Start Date]],Table1[[#This Row],[Planned End Date]])</f>
        <v>0</v>
      </c>
      <c r="P837" s="178">
        <f>NETWORKDAYS(Table1[[#This Row],[Planned Start Date]],$P$7)</f>
        <v>30643</v>
      </c>
      <c r="Q837" s="129"/>
      <c r="R837" s="183" t="str">
        <f>IF(Table1[[#This Row],[Actual Effort (Hours)]]="","",IF(Table1[[#This Row],[Estimated Effort (Hours)]]&lt;20,"L1",IF(Table1[[#This Row],[Estimated Effort (Hours)]]&lt;50,"L2",IF(Table1[[#This Row],[Estimated Effort (Hours)]]&lt;150,"L3",IF(Table1[[#This Row],[Estimated Effort (Hours)]]&lt;300,"L4","L5")))))</f>
        <v/>
      </c>
      <c r="S837" s="184" t="str">
        <f>IF(Table1[[#This Row],[Actual End Date]]="","",TEXT(Table1[[#This Row],[Actual End Date]],"mmm-yy"))</f>
        <v/>
      </c>
      <c r="T8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7" s="185" t="str">
        <f>IFERROR((Table1[[#This Row],[Actual Effort (Hours)]]-Table1[[#This Row],[Estimated Effort (Hours)]])/Table1[[#This Row],[Estimated Effort (Hours)]],"")</f>
        <v/>
      </c>
    </row>
    <row r="838" spans="2:21">
      <c r="B838" s="125"/>
      <c r="C838" s="123"/>
      <c r="D838" s="143"/>
      <c r="E838" s="123"/>
      <c r="F838" s="143"/>
      <c r="G838" s="129"/>
      <c r="H838" s="124"/>
      <c r="I838" s="124"/>
      <c r="J838" s="129"/>
      <c r="K838" s="194"/>
      <c r="L838" s="194"/>
      <c r="M838" s="129"/>
      <c r="N838" s="129" t="e">
        <f>Table1[[#This Row],[Estimated Effort (Hours)]]/NETWORKDAYS(Table1[[#This Row],[Planned Start Date]],Table1[[#This Row],[Planned End Date]])</f>
        <v>#DIV/0!</v>
      </c>
      <c r="O838" s="178">
        <f>NETWORKDAYS(Table1[[#This Row],[Planned Start Date]],Table1[[#This Row],[Planned End Date]])</f>
        <v>0</v>
      </c>
      <c r="P838" s="178">
        <f>NETWORKDAYS(Table1[[#This Row],[Planned Start Date]],$P$7)</f>
        <v>30643</v>
      </c>
      <c r="Q838" s="129"/>
      <c r="R838" s="183" t="str">
        <f>IF(Table1[[#This Row],[Actual Effort (Hours)]]="","",IF(Table1[[#This Row],[Estimated Effort (Hours)]]&lt;20,"L1",IF(Table1[[#This Row],[Estimated Effort (Hours)]]&lt;50,"L2",IF(Table1[[#This Row],[Estimated Effort (Hours)]]&lt;150,"L3",IF(Table1[[#This Row],[Estimated Effort (Hours)]]&lt;300,"L4","L5")))))</f>
        <v/>
      </c>
      <c r="S838" s="184" t="str">
        <f>IF(Table1[[#This Row],[Actual End Date]]="","",TEXT(Table1[[#This Row],[Actual End Date]],"mmm-yy"))</f>
        <v/>
      </c>
      <c r="T8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8" s="185" t="str">
        <f>IFERROR((Table1[[#This Row],[Actual Effort (Hours)]]-Table1[[#This Row],[Estimated Effort (Hours)]])/Table1[[#This Row],[Estimated Effort (Hours)]],"")</f>
        <v/>
      </c>
    </row>
    <row r="839" spans="2:21">
      <c r="B839" s="125"/>
      <c r="C839" s="123"/>
      <c r="D839" s="143"/>
      <c r="E839" s="123"/>
      <c r="F839" s="143"/>
      <c r="G839" s="129"/>
      <c r="H839" s="124"/>
      <c r="I839" s="124"/>
      <c r="J839" s="129"/>
      <c r="K839" s="194"/>
      <c r="L839" s="194"/>
      <c r="M839" s="129"/>
      <c r="N839" s="129" t="e">
        <f>Table1[[#This Row],[Estimated Effort (Hours)]]/NETWORKDAYS(Table1[[#This Row],[Planned Start Date]],Table1[[#This Row],[Planned End Date]])</f>
        <v>#DIV/0!</v>
      </c>
      <c r="O839" s="178">
        <f>NETWORKDAYS(Table1[[#This Row],[Planned Start Date]],Table1[[#This Row],[Planned End Date]])</f>
        <v>0</v>
      </c>
      <c r="P839" s="178">
        <f>NETWORKDAYS(Table1[[#This Row],[Planned Start Date]],$P$7)</f>
        <v>30643</v>
      </c>
      <c r="Q839" s="129"/>
      <c r="R839" s="183" t="str">
        <f>IF(Table1[[#This Row],[Actual Effort (Hours)]]="","",IF(Table1[[#This Row],[Estimated Effort (Hours)]]&lt;20,"L1",IF(Table1[[#This Row],[Estimated Effort (Hours)]]&lt;50,"L2",IF(Table1[[#This Row],[Estimated Effort (Hours)]]&lt;150,"L3",IF(Table1[[#This Row],[Estimated Effort (Hours)]]&lt;300,"L4","L5")))))</f>
        <v/>
      </c>
      <c r="S839" s="184" t="str">
        <f>IF(Table1[[#This Row],[Actual End Date]]="","",TEXT(Table1[[#This Row],[Actual End Date]],"mmm-yy"))</f>
        <v/>
      </c>
      <c r="T8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39" s="185" t="str">
        <f>IFERROR((Table1[[#This Row],[Actual Effort (Hours)]]-Table1[[#This Row],[Estimated Effort (Hours)]])/Table1[[#This Row],[Estimated Effort (Hours)]],"")</f>
        <v/>
      </c>
    </row>
    <row r="840" spans="2:21">
      <c r="B840" s="125"/>
      <c r="C840" s="123"/>
      <c r="D840" s="143"/>
      <c r="E840" s="123"/>
      <c r="F840" s="143"/>
      <c r="G840" s="129"/>
      <c r="H840" s="124"/>
      <c r="I840" s="124"/>
      <c r="J840" s="129"/>
      <c r="K840" s="194"/>
      <c r="L840" s="194"/>
      <c r="M840" s="129"/>
      <c r="N840" s="129" t="e">
        <f>Table1[[#This Row],[Estimated Effort (Hours)]]/NETWORKDAYS(Table1[[#This Row],[Planned Start Date]],Table1[[#This Row],[Planned End Date]])</f>
        <v>#DIV/0!</v>
      </c>
      <c r="O840" s="178">
        <f>NETWORKDAYS(Table1[[#This Row],[Planned Start Date]],Table1[[#This Row],[Planned End Date]])</f>
        <v>0</v>
      </c>
      <c r="P840" s="178">
        <f>NETWORKDAYS(Table1[[#This Row],[Planned Start Date]],$P$7)</f>
        <v>30643</v>
      </c>
      <c r="Q840" s="129"/>
      <c r="R840" s="183" t="str">
        <f>IF(Table1[[#This Row],[Actual Effort (Hours)]]="","",IF(Table1[[#This Row],[Estimated Effort (Hours)]]&lt;20,"L1",IF(Table1[[#This Row],[Estimated Effort (Hours)]]&lt;50,"L2",IF(Table1[[#This Row],[Estimated Effort (Hours)]]&lt;150,"L3",IF(Table1[[#This Row],[Estimated Effort (Hours)]]&lt;300,"L4","L5")))))</f>
        <v/>
      </c>
      <c r="S840" s="184" t="str">
        <f>IF(Table1[[#This Row],[Actual End Date]]="","",TEXT(Table1[[#This Row],[Actual End Date]],"mmm-yy"))</f>
        <v/>
      </c>
      <c r="T8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0" s="185" t="str">
        <f>IFERROR((Table1[[#This Row],[Actual Effort (Hours)]]-Table1[[#This Row],[Estimated Effort (Hours)]])/Table1[[#This Row],[Estimated Effort (Hours)]],"")</f>
        <v/>
      </c>
    </row>
    <row r="841" spans="2:21">
      <c r="B841" s="125"/>
      <c r="C841" s="123"/>
      <c r="D841" s="143"/>
      <c r="E841" s="123"/>
      <c r="F841" s="143"/>
      <c r="G841" s="129"/>
      <c r="H841" s="124"/>
      <c r="I841" s="124"/>
      <c r="J841" s="129"/>
      <c r="K841" s="194"/>
      <c r="L841" s="194"/>
      <c r="M841" s="129"/>
      <c r="N841" s="129" t="e">
        <f>Table1[[#This Row],[Estimated Effort (Hours)]]/NETWORKDAYS(Table1[[#This Row],[Planned Start Date]],Table1[[#This Row],[Planned End Date]])</f>
        <v>#DIV/0!</v>
      </c>
      <c r="O841" s="178">
        <f>NETWORKDAYS(Table1[[#This Row],[Planned Start Date]],Table1[[#This Row],[Planned End Date]])</f>
        <v>0</v>
      </c>
      <c r="P841" s="178">
        <f>NETWORKDAYS(Table1[[#This Row],[Planned Start Date]],$P$7)</f>
        <v>30643</v>
      </c>
      <c r="Q841" s="129"/>
      <c r="R841" s="183" t="str">
        <f>IF(Table1[[#This Row],[Actual Effort (Hours)]]="","",IF(Table1[[#This Row],[Estimated Effort (Hours)]]&lt;20,"L1",IF(Table1[[#This Row],[Estimated Effort (Hours)]]&lt;50,"L2",IF(Table1[[#This Row],[Estimated Effort (Hours)]]&lt;150,"L3",IF(Table1[[#This Row],[Estimated Effort (Hours)]]&lt;300,"L4","L5")))))</f>
        <v/>
      </c>
      <c r="S841" s="184" t="str">
        <f>IF(Table1[[#This Row],[Actual End Date]]="","",TEXT(Table1[[#This Row],[Actual End Date]],"mmm-yy"))</f>
        <v/>
      </c>
      <c r="T8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1" s="185" t="str">
        <f>IFERROR((Table1[[#This Row],[Actual Effort (Hours)]]-Table1[[#This Row],[Estimated Effort (Hours)]])/Table1[[#This Row],[Estimated Effort (Hours)]],"")</f>
        <v/>
      </c>
    </row>
    <row r="842" spans="2:21">
      <c r="B842" s="125"/>
      <c r="C842" s="123"/>
      <c r="D842" s="143"/>
      <c r="E842" s="123"/>
      <c r="F842" s="143"/>
      <c r="G842" s="129"/>
      <c r="H842" s="124"/>
      <c r="I842" s="124"/>
      <c r="J842" s="129"/>
      <c r="K842" s="194"/>
      <c r="L842" s="194"/>
      <c r="M842" s="129"/>
      <c r="N842" s="129" t="e">
        <f>Table1[[#This Row],[Estimated Effort (Hours)]]/NETWORKDAYS(Table1[[#This Row],[Planned Start Date]],Table1[[#This Row],[Planned End Date]])</f>
        <v>#DIV/0!</v>
      </c>
      <c r="O842" s="178">
        <f>NETWORKDAYS(Table1[[#This Row],[Planned Start Date]],Table1[[#This Row],[Planned End Date]])</f>
        <v>0</v>
      </c>
      <c r="P842" s="178">
        <f>NETWORKDAYS(Table1[[#This Row],[Planned Start Date]],$P$7)</f>
        <v>30643</v>
      </c>
      <c r="Q842" s="129"/>
      <c r="R842" s="183" t="str">
        <f>IF(Table1[[#This Row],[Actual Effort (Hours)]]="","",IF(Table1[[#This Row],[Estimated Effort (Hours)]]&lt;20,"L1",IF(Table1[[#This Row],[Estimated Effort (Hours)]]&lt;50,"L2",IF(Table1[[#This Row],[Estimated Effort (Hours)]]&lt;150,"L3",IF(Table1[[#This Row],[Estimated Effort (Hours)]]&lt;300,"L4","L5")))))</f>
        <v/>
      </c>
      <c r="S842" s="184" t="str">
        <f>IF(Table1[[#This Row],[Actual End Date]]="","",TEXT(Table1[[#This Row],[Actual End Date]],"mmm-yy"))</f>
        <v/>
      </c>
      <c r="T8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2" s="185" t="str">
        <f>IFERROR((Table1[[#This Row],[Actual Effort (Hours)]]-Table1[[#This Row],[Estimated Effort (Hours)]])/Table1[[#This Row],[Estimated Effort (Hours)]],"")</f>
        <v/>
      </c>
    </row>
    <row r="843" spans="2:21">
      <c r="B843" s="125"/>
      <c r="C843" s="123"/>
      <c r="D843" s="143"/>
      <c r="E843" s="123"/>
      <c r="F843" s="143"/>
      <c r="G843" s="129"/>
      <c r="H843" s="124"/>
      <c r="I843" s="124"/>
      <c r="J843" s="129"/>
      <c r="K843" s="194"/>
      <c r="L843" s="194"/>
      <c r="M843" s="129"/>
      <c r="N843" s="129" t="e">
        <f>Table1[[#This Row],[Estimated Effort (Hours)]]/NETWORKDAYS(Table1[[#This Row],[Planned Start Date]],Table1[[#This Row],[Planned End Date]])</f>
        <v>#DIV/0!</v>
      </c>
      <c r="O843" s="178">
        <f>NETWORKDAYS(Table1[[#This Row],[Planned Start Date]],Table1[[#This Row],[Planned End Date]])</f>
        <v>0</v>
      </c>
      <c r="P843" s="178">
        <f>NETWORKDAYS(Table1[[#This Row],[Planned Start Date]],$P$7)</f>
        <v>30643</v>
      </c>
      <c r="Q843" s="129"/>
      <c r="R843" s="183" t="str">
        <f>IF(Table1[[#This Row],[Actual Effort (Hours)]]="","",IF(Table1[[#This Row],[Estimated Effort (Hours)]]&lt;20,"L1",IF(Table1[[#This Row],[Estimated Effort (Hours)]]&lt;50,"L2",IF(Table1[[#This Row],[Estimated Effort (Hours)]]&lt;150,"L3",IF(Table1[[#This Row],[Estimated Effort (Hours)]]&lt;300,"L4","L5")))))</f>
        <v/>
      </c>
      <c r="S843" s="184" t="str">
        <f>IF(Table1[[#This Row],[Actual End Date]]="","",TEXT(Table1[[#This Row],[Actual End Date]],"mmm-yy"))</f>
        <v/>
      </c>
      <c r="T8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3" s="185" t="str">
        <f>IFERROR((Table1[[#This Row],[Actual Effort (Hours)]]-Table1[[#This Row],[Estimated Effort (Hours)]])/Table1[[#This Row],[Estimated Effort (Hours)]],"")</f>
        <v/>
      </c>
    </row>
    <row r="844" spans="2:21">
      <c r="B844" s="125"/>
      <c r="C844" s="123"/>
      <c r="D844" s="143"/>
      <c r="E844" s="123"/>
      <c r="F844" s="143"/>
      <c r="G844" s="129"/>
      <c r="H844" s="124"/>
      <c r="I844" s="124"/>
      <c r="J844" s="129"/>
      <c r="K844" s="194"/>
      <c r="L844" s="194"/>
      <c r="M844" s="129"/>
      <c r="N844" s="129" t="e">
        <f>Table1[[#This Row],[Estimated Effort (Hours)]]/NETWORKDAYS(Table1[[#This Row],[Planned Start Date]],Table1[[#This Row],[Planned End Date]])</f>
        <v>#DIV/0!</v>
      </c>
      <c r="O844" s="178">
        <f>NETWORKDAYS(Table1[[#This Row],[Planned Start Date]],Table1[[#This Row],[Planned End Date]])</f>
        <v>0</v>
      </c>
      <c r="P844" s="178">
        <f>NETWORKDAYS(Table1[[#This Row],[Planned Start Date]],$P$7)</f>
        <v>30643</v>
      </c>
      <c r="Q844" s="129"/>
      <c r="R844" s="183" t="str">
        <f>IF(Table1[[#This Row],[Actual Effort (Hours)]]="","",IF(Table1[[#This Row],[Estimated Effort (Hours)]]&lt;20,"L1",IF(Table1[[#This Row],[Estimated Effort (Hours)]]&lt;50,"L2",IF(Table1[[#This Row],[Estimated Effort (Hours)]]&lt;150,"L3",IF(Table1[[#This Row],[Estimated Effort (Hours)]]&lt;300,"L4","L5")))))</f>
        <v/>
      </c>
      <c r="S844" s="184" t="str">
        <f>IF(Table1[[#This Row],[Actual End Date]]="","",TEXT(Table1[[#This Row],[Actual End Date]],"mmm-yy"))</f>
        <v/>
      </c>
      <c r="T8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4" s="185" t="str">
        <f>IFERROR((Table1[[#This Row],[Actual Effort (Hours)]]-Table1[[#This Row],[Estimated Effort (Hours)]])/Table1[[#This Row],[Estimated Effort (Hours)]],"")</f>
        <v/>
      </c>
    </row>
    <row r="845" spans="2:21">
      <c r="B845" s="125"/>
      <c r="C845" s="123"/>
      <c r="D845" s="143"/>
      <c r="E845" s="123"/>
      <c r="F845" s="143"/>
      <c r="G845" s="129"/>
      <c r="H845" s="124"/>
      <c r="I845" s="124"/>
      <c r="J845" s="129"/>
      <c r="K845" s="194"/>
      <c r="L845" s="194"/>
      <c r="M845" s="129"/>
      <c r="N845" s="129" t="e">
        <f>Table1[[#This Row],[Estimated Effort (Hours)]]/NETWORKDAYS(Table1[[#This Row],[Planned Start Date]],Table1[[#This Row],[Planned End Date]])</f>
        <v>#DIV/0!</v>
      </c>
      <c r="O845" s="178">
        <f>NETWORKDAYS(Table1[[#This Row],[Planned Start Date]],Table1[[#This Row],[Planned End Date]])</f>
        <v>0</v>
      </c>
      <c r="P845" s="178">
        <f>NETWORKDAYS(Table1[[#This Row],[Planned Start Date]],$P$7)</f>
        <v>30643</v>
      </c>
      <c r="Q845" s="129"/>
      <c r="R845" s="183" t="str">
        <f>IF(Table1[[#This Row],[Actual Effort (Hours)]]="","",IF(Table1[[#This Row],[Estimated Effort (Hours)]]&lt;20,"L1",IF(Table1[[#This Row],[Estimated Effort (Hours)]]&lt;50,"L2",IF(Table1[[#This Row],[Estimated Effort (Hours)]]&lt;150,"L3",IF(Table1[[#This Row],[Estimated Effort (Hours)]]&lt;300,"L4","L5")))))</f>
        <v/>
      </c>
      <c r="S845" s="184" t="str">
        <f>IF(Table1[[#This Row],[Actual End Date]]="","",TEXT(Table1[[#This Row],[Actual End Date]],"mmm-yy"))</f>
        <v/>
      </c>
      <c r="T8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5" s="185" t="str">
        <f>IFERROR((Table1[[#This Row],[Actual Effort (Hours)]]-Table1[[#This Row],[Estimated Effort (Hours)]])/Table1[[#This Row],[Estimated Effort (Hours)]],"")</f>
        <v/>
      </c>
    </row>
    <row r="846" spans="2:21">
      <c r="B846" s="125"/>
      <c r="C846" s="123"/>
      <c r="D846" s="143"/>
      <c r="E846" s="123"/>
      <c r="F846" s="143"/>
      <c r="G846" s="129"/>
      <c r="H846" s="124"/>
      <c r="I846" s="124"/>
      <c r="J846" s="129"/>
      <c r="K846" s="194"/>
      <c r="L846" s="194"/>
      <c r="M846" s="129"/>
      <c r="N846" s="129" t="e">
        <f>Table1[[#This Row],[Estimated Effort (Hours)]]/NETWORKDAYS(Table1[[#This Row],[Planned Start Date]],Table1[[#This Row],[Planned End Date]])</f>
        <v>#DIV/0!</v>
      </c>
      <c r="O846" s="178">
        <f>NETWORKDAYS(Table1[[#This Row],[Planned Start Date]],Table1[[#This Row],[Planned End Date]])</f>
        <v>0</v>
      </c>
      <c r="P846" s="178">
        <f>NETWORKDAYS(Table1[[#This Row],[Planned Start Date]],$P$7)</f>
        <v>30643</v>
      </c>
      <c r="Q846" s="129"/>
      <c r="R846" s="183" t="str">
        <f>IF(Table1[[#This Row],[Actual Effort (Hours)]]="","",IF(Table1[[#This Row],[Estimated Effort (Hours)]]&lt;20,"L1",IF(Table1[[#This Row],[Estimated Effort (Hours)]]&lt;50,"L2",IF(Table1[[#This Row],[Estimated Effort (Hours)]]&lt;150,"L3",IF(Table1[[#This Row],[Estimated Effort (Hours)]]&lt;300,"L4","L5")))))</f>
        <v/>
      </c>
      <c r="S846" s="184" t="str">
        <f>IF(Table1[[#This Row],[Actual End Date]]="","",TEXT(Table1[[#This Row],[Actual End Date]],"mmm-yy"))</f>
        <v/>
      </c>
      <c r="T8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6" s="185" t="str">
        <f>IFERROR((Table1[[#This Row],[Actual Effort (Hours)]]-Table1[[#This Row],[Estimated Effort (Hours)]])/Table1[[#This Row],[Estimated Effort (Hours)]],"")</f>
        <v/>
      </c>
    </row>
    <row r="847" spans="2:21">
      <c r="B847" s="125"/>
      <c r="C847" s="123"/>
      <c r="D847" s="143"/>
      <c r="E847" s="123"/>
      <c r="F847" s="143"/>
      <c r="G847" s="129"/>
      <c r="H847" s="124"/>
      <c r="I847" s="124"/>
      <c r="J847" s="129"/>
      <c r="K847" s="194"/>
      <c r="L847" s="194"/>
      <c r="M847" s="129"/>
      <c r="N847" s="129" t="e">
        <f>Table1[[#This Row],[Estimated Effort (Hours)]]/NETWORKDAYS(Table1[[#This Row],[Planned Start Date]],Table1[[#This Row],[Planned End Date]])</f>
        <v>#DIV/0!</v>
      </c>
      <c r="O847" s="178">
        <f>NETWORKDAYS(Table1[[#This Row],[Planned Start Date]],Table1[[#This Row],[Planned End Date]])</f>
        <v>0</v>
      </c>
      <c r="P847" s="178">
        <f>NETWORKDAYS(Table1[[#This Row],[Planned Start Date]],$P$7)</f>
        <v>30643</v>
      </c>
      <c r="Q847" s="129"/>
      <c r="R847" s="183" t="str">
        <f>IF(Table1[[#This Row],[Actual Effort (Hours)]]="","",IF(Table1[[#This Row],[Estimated Effort (Hours)]]&lt;20,"L1",IF(Table1[[#This Row],[Estimated Effort (Hours)]]&lt;50,"L2",IF(Table1[[#This Row],[Estimated Effort (Hours)]]&lt;150,"L3",IF(Table1[[#This Row],[Estimated Effort (Hours)]]&lt;300,"L4","L5")))))</f>
        <v/>
      </c>
      <c r="S847" s="184" t="str">
        <f>IF(Table1[[#This Row],[Actual End Date]]="","",TEXT(Table1[[#This Row],[Actual End Date]],"mmm-yy"))</f>
        <v/>
      </c>
      <c r="T8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7" s="185" t="str">
        <f>IFERROR((Table1[[#This Row],[Actual Effort (Hours)]]-Table1[[#This Row],[Estimated Effort (Hours)]])/Table1[[#This Row],[Estimated Effort (Hours)]],"")</f>
        <v/>
      </c>
    </row>
    <row r="848" spans="2:21">
      <c r="B848" s="125"/>
      <c r="C848" s="123"/>
      <c r="D848" s="143"/>
      <c r="E848" s="123"/>
      <c r="F848" s="143"/>
      <c r="G848" s="129"/>
      <c r="H848" s="124"/>
      <c r="I848" s="124"/>
      <c r="J848" s="129"/>
      <c r="K848" s="194"/>
      <c r="L848" s="194"/>
      <c r="M848" s="129"/>
      <c r="N848" s="129" t="e">
        <f>Table1[[#This Row],[Estimated Effort (Hours)]]/NETWORKDAYS(Table1[[#This Row],[Planned Start Date]],Table1[[#This Row],[Planned End Date]])</f>
        <v>#DIV/0!</v>
      </c>
      <c r="O848" s="178">
        <f>NETWORKDAYS(Table1[[#This Row],[Planned Start Date]],Table1[[#This Row],[Planned End Date]])</f>
        <v>0</v>
      </c>
      <c r="P848" s="178">
        <f>NETWORKDAYS(Table1[[#This Row],[Planned Start Date]],$P$7)</f>
        <v>30643</v>
      </c>
      <c r="Q848" s="129"/>
      <c r="R848" s="183" t="str">
        <f>IF(Table1[[#This Row],[Actual Effort (Hours)]]="","",IF(Table1[[#This Row],[Estimated Effort (Hours)]]&lt;20,"L1",IF(Table1[[#This Row],[Estimated Effort (Hours)]]&lt;50,"L2",IF(Table1[[#This Row],[Estimated Effort (Hours)]]&lt;150,"L3",IF(Table1[[#This Row],[Estimated Effort (Hours)]]&lt;300,"L4","L5")))))</f>
        <v/>
      </c>
      <c r="S848" s="184" t="str">
        <f>IF(Table1[[#This Row],[Actual End Date]]="","",TEXT(Table1[[#This Row],[Actual End Date]],"mmm-yy"))</f>
        <v/>
      </c>
      <c r="T8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8" s="185" t="str">
        <f>IFERROR((Table1[[#This Row],[Actual Effort (Hours)]]-Table1[[#This Row],[Estimated Effort (Hours)]])/Table1[[#This Row],[Estimated Effort (Hours)]],"")</f>
        <v/>
      </c>
    </row>
    <row r="849" spans="2:21">
      <c r="B849" s="125"/>
      <c r="C849" s="123"/>
      <c r="D849" s="143"/>
      <c r="E849" s="123"/>
      <c r="F849" s="143"/>
      <c r="G849" s="129"/>
      <c r="H849" s="124"/>
      <c r="I849" s="124"/>
      <c r="J849" s="129"/>
      <c r="K849" s="194"/>
      <c r="L849" s="194"/>
      <c r="M849" s="129"/>
      <c r="N849" s="129" t="e">
        <f>Table1[[#This Row],[Estimated Effort (Hours)]]/NETWORKDAYS(Table1[[#This Row],[Planned Start Date]],Table1[[#This Row],[Planned End Date]])</f>
        <v>#DIV/0!</v>
      </c>
      <c r="O849" s="178">
        <f>NETWORKDAYS(Table1[[#This Row],[Planned Start Date]],Table1[[#This Row],[Planned End Date]])</f>
        <v>0</v>
      </c>
      <c r="P849" s="178">
        <f>NETWORKDAYS(Table1[[#This Row],[Planned Start Date]],$P$7)</f>
        <v>30643</v>
      </c>
      <c r="Q849" s="129"/>
      <c r="R849" s="183" t="str">
        <f>IF(Table1[[#This Row],[Actual Effort (Hours)]]="","",IF(Table1[[#This Row],[Estimated Effort (Hours)]]&lt;20,"L1",IF(Table1[[#This Row],[Estimated Effort (Hours)]]&lt;50,"L2",IF(Table1[[#This Row],[Estimated Effort (Hours)]]&lt;150,"L3",IF(Table1[[#This Row],[Estimated Effort (Hours)]]&lt;300,"L4","L5")))))</f>
        <v/>
      </c>
      <c r="S849" s="184" t="str">
        <f>IF(Table1[[#This Row],[Actual End Date]]="","",TEXT(Table1[[#This Row],[Actual End Date]],"mmm-yy"))</f>
        <v/>
      </c>
      <c r="T8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49" s="185" t="str">
        <f>IFERROR((Table1[[#This Row],[Actual Effort (Hours)]]-Table1[[#This Row],[Estimated Effort (Hours)]])/Table1[[#This Row],[Estimated Effort (Hours)]],"")</f>
        <v/>
      </c>
    </row>
    <row r="850" spans="2:21">
      <c r="B850" s="125"/>
      <c r="C850" s="123"/>
      <c r="D850" s="143"/>
      <c r="E850" s="123"/>
      <c r="F850" s="143"/>
      <c r="G850" s="129"/>
      <c r="H850" s="124"/>
      <c r="I850" s="124"/>
      <c r="J850" s="129"/>
      <c r="K850" s="194"/>
      <c r="L850" s="194"/>
      <c r="M850" s="129"/>
      <c r="N850" s="129" t="e">
        <f>Table1[[#This Row],[Estimated Effort (Hours)]]/NETWORKDAYS(Table1[[#This Row],[Planned Start Date]],Table1[[#This Row],[Planned End Date]])</f>
        <v>#DIV/0!</v>
      </c>
      <c r="O850" s="178">
        <f>NETWORKDAYS(Table1[[#This Row],[Planned Start Date]],Table1[[#This Row],[Planned End Date]])</f>
        <v>0</v>
      </c>
      <c r="P850" s="178">
        <f>NETWORKDAYS(Table1[[#This Row],[Planned Start Date]],$P$7)</f>
        <v>30643</v>
      </c>
      <c r="Q850" s="129"/>
      <c r="R850" s="183" t="str">
        <f>IF(Table1[[#This Row],[Actual Effort (Hours)]]="","",IF(Table1[[#This Row],[Estimated Effort (Hours)]]&lt;20,"L1",IF(Table1[[#This Row],[Estimated Effort (Hours)]]&lt;50,"L2",IF(Table1[[#This Row],[Estimated Effort (Hours)]]&lt;150,"L3",IF(Table1[[#This Row],[Estimated Effort (Hours)]]&lt;300,"L4","L5")))))</f>
        <v/>
      </c>
      <c r="S850" s="184" t="str">
        <f>IF(Table1[[#This Row],[Actual End Date]]="","",TEXT(Table1[[#This Row],[Actual End Date]],"mmm-yy"))</f>
        <v/>
      </c>
      <c r="T8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0" s="185" t="str">
        <f>IFERROR((Table1[[#This Row],[Actual Effort (Hours)]]-Table1[[#This Row],[Estimated Effort (Hours)]])/Table1[[#This Row],[Estimated Effort (Hours)]],"")</f>
        <v/>
      </c>
    </row>
    <row r="851" spans="2:21">
      <c r="B851" s="125"/>
      <c r="C851" s="123"/>
      <c r="D851" s="143"/>
      <c r="E851" s="123"/>
      <c r="F851" s="143"/>
      <c r="G851" s="129"/>
      <c r="H851" s="124"/>
      <c r="I851" s="124"/>
      <c r="J851" s="129"/>
      <c r="K851" s="194"/>
      <c r="L851" s="194"/>
      <c r="M851" s="129"/>
      <c r="N851" s="129" t="e">
        <f>Table1[[#This Row],[Estimated Effort (Hours)]]/NETWORKDAYS(Table1[[#This Row],[Planned Start Date]],Table1[[#This Row],[Planned End Date]])</f>
        <v>#DIV/0!</v>
      </c>
      <c r="O851" s="178">
        <f>NETWORKDAYS(Table1[[#This Row],[Planned Start Date]],Table1[[#This Row],[Planned End Date]])</f>
        <v>0</v>
      </c>
      <c r="P851" s="178">
        <f>NETWORKDAYS(Table1[[#This Row],[Planned Start Date]],$P$7)</f>
        <v>30643</v>
      </c>
      <c r="Q851" s="129"/>
      <c r="R851" s="183" t="str">
        <f>IF(Table1[[#This Row],[Actual Effort (Hours)]]="","",IF(Table1[[#This Row],[Estimated Effort (Hours)]]&lt;20,"L1",IF(Table1[[#This Row],[Estimated Effort (Hours)]]&lt;50,"L2",IF(Table1[[#This Row],[Estimated Effort (Hours)]]&lt;150,"L3",IF(Table1[[#This Row],[Estimated Effort (Hours)]]&lt;300,"L4","L5")))))</f>
        <v/>
      </c>
      <c r="S851" s="184" t="str">
        <f>IF(Table1[[#This Row],[Actual End Date]]="","",TEXT(Table1[[#This Row],[Actual End Date]],"mmm-yy"))</f>
        <v/>
      </c>
      <c r="T8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1" s="185" t="str">
        <f>IFERROR((Table1[[#This Row],[Actual Effort (Hours)]]-Table1[[#This Row],[Estimated Effort (Hours)]])/Table1[[#This Row],[Estimated Effort (Hours)]],"")</f>
        <v/>
      </c>
    </row>
    <row r="852" spans="2:21">
      <c r="B852" s="125"/>
      <c r="C852" s="123"/>
      <c r="D852" s="143"/>
      <c r="E852" s="123"/>
      <c r="F852" s="143"/>
      <c r="G852" s="129"/>
      <c r="H852" s="124"/>
      <c r="I852" s="124"/>
      <c r="J852" s="129"/>
      <c r="K852" s="194"/>
      <c r="L852" s="194"/>
      <c r="M852" s="129"/>
      <c r="N852" s="129" t="e">
        <f>Table1[[#This Row],[Estimated Effort (Hours)]]/NETWORKDAYS(Table1[[#This Row],[Planned Start Date]],Table1[[#This Row],[Planned End Date]])</f>
        <v>#DIV/0!</v>
      </c>
      <c r="O852" s="178">
        <f>NETWORKDAYS(Table1[[#This Row],[Planned Start Date]],Table1[[#This Row],[Planned End Date]])</f>
        <v>0</v>
      </c>
      <c r="P852" s="178">
        <f>NETWORKDAYS(Table1[[#This Row],[Planned Start Date]],$P$7)</f>
        <v>30643</v>
      </c>
      <c r="Q852" s="129"/>
      <c r="R852" s="183" t="str">
        <f>IF(Table1[[#This Row],[Actual Effort (Hours)]]="","",IF(Table1[[#This Row],[Estimated Effort (Hours)]]&lt;20,"L1",IF(Table1[[#This Row],[Estimated Effort (Hours)]]&lt;50,"L2",IF(Table1[[#This Row],[Estimated Effort (Hours)]]&lt;150,"L3",IF(Table1[[#This Row],[Estimated Effort (Hours)]]&lt;300,"L4","L5")))))</f>
        <v/>
      </c>
      <c r="S852" s="184" t="str">
        <f>IF(Table1[[#This Row],[Actual End Date]]="","",TEXT(Table1[[#This Row],[Actual End Date]],"mmm-yy"))</f>
        <v/>
      </c>
      <c r="T8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2" s="185" t="str">
        <f>IFERROR((Table1[[#This Row],[Actual Effort (Hours)]]-Table1[[#This Row],[Estimated Effort (Hours)]])/Table1[[#This Row],[Estimated Effort (Hours)]],"")</f>
        <v/>
      </c>
    </row>
    <row r="853" spans="2:21">
      <c r="B853" s="125"/>
      <c r="C853" s="123"/>
      <c r="D853" s="143"/>
      <c r="E853" s="123"/>
      <c r="F853" s="143"/>
      <c r="G853" s="129"/>
      <c r="H853" s="124"/>
      <c r="I853" s="124"/>
      <c r="J853" s="129"/>
      <c r="K853" s="194"/>
      <c r="L853" s="194"/>
      <c r="M853" s="129"/>
      <c r="N853" s="129" t="e">
        <f>Table1[[#This Row],[Estimated Effort (Hours)]]/NETWORKDAYS(Table1[[#This Row],[Planned Start Date]],Table1[[#This Row],[Planned End Date]])</f>
        <v>#DIV/0!</v>
      </c>
      <c r="O853" s="178">
        <f>NETWORKDAYS(Table1[[#This Row],[Planned Start Date]],Table1[[#This Row],[Planned End Date]])</f>
        <v>0</v>
      </c>
      <c r="P853" s="178">
        <f>NETWORKDAYS(Table1[[#This Row],[Planned Start Date]],$P$7)</f>
        <v>30643</v>
      </c>
      <c r="Q853" s="129"/>
      <c r="R853" s="183" t="str">
        <f>IF(Table1[[#This Row],[Actual Effort (Hours)]]="","",IF(Table1[[#This Row],[Estimated Effort (Hours)]]&lt;20,"L1",IF(Table1[[#This Row],[Estimated Effort (Hours)]]&lt;50,"L2",IF(Table1[[#This Row],[Estimated Effort (Hours)]]&lt;150,"L3",IF(Table1[[#This Row],[Estimated Effort (Hours)]]&lt;300,"L4","L5")))))</f>
        <v/>
      </c>
      <c r="S853" s="184" t="str">
        <f>IF(Table1[[#This Row],[Actual End Date]]="","",TEXT(Table1[[#This Row],[Actual End Date]],"mmm-yy"))</f>
        <v/>
      </c>
      <c r="T8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3" s="185" t="str">
        <f>IFERROR((Table1[[#This Row],[Actual Effort (Hours)]]-Table1[[#This Row],[Estimated Effort (Hours)]])/Table1[[#This Row],[Estimated Effort (Hours)]],"")</f>
        <v/>
      </c>
    </row>
    <row r="854" spans="2:21">
      <c r="B854" s="125"/>
      <c r="C854" s="123"/>
      <c r="D854" s="143"/>
      <c r="E854" s="123"/>
      <c r="F854" s="143"/>
      <c r="G854" s="129"/>
      <c r="H854" s="124"/>
      <c r="I854" s="124"/>
      <c r="J854" s="129"/>
      <c r="K854" s="194"/>
      <c r="L854" s="194"/>
      <c r="M854" s="129"/>
      <c r="N854" s="129" t="e">
        <f>Table1[[#This Row],[Estimated Effort (Hours)]]/NETWORKDAYS(Table1[[#This Row],[Planned Start Date]],Table1[[#This Row],[Planned End Date]])</f>
        <v>#DIV/0!</v>
      </c>
      <c r="O854" s="178">
        <f>NETWORKDAYS(Table1[[#This Row],[Planned Start Date]],Table1[[#This Row],[Planned End Date]])</f>
        <v>0</v>
      </c>
      <c r="P854" s="178">
        <f>NETWORKDAYS(Table1[[#This Row],[Planned Start Date]],$P$7)</f>
        <v>30643</v>
      </c>
      <c r="Q854" s="129"/>
      <c r="R854" s="183" t="str">
        <f>IF(Table1[[#This Row],[Actual Effort (Hours)]]="","",IF(Table1[[#This Row],[Estimated Effort (Hours)]]&lt;20,"L1",IF(Table1[[#This Row],[Estimated Effort (Hours)]]&lt;50,"L2",IF(Table1[[#This Row],[Estimated Effort (Hours)]]&lt;150,"L3",IF(Table1[[#This Row],[Estimated Effort (Hours)]]&lt;300,"L4","L5")))))</f>
        <v/>
      </c>
      <c r="S854" s="184" t="str">
        <f>IF(Table1[[#This Row],[Actual End Date]]="","",TEXT(Table1[[#This Row],[Actual End Date]],"mmm-yy"))</f>
        <v/>
      </c>
      <c r="T8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4" s="185" t="str">
        <f>IFERROR((Table1[[#This Row],[Actual Effort (Hours)]]-Table1[[#This Row],[Estimated Effort (Hours)]])/Table1[[#This Row],[Estimated Effort (Hours)]],"")</f>
        <v/>
      </c>
    </row>
    <row r="855" spans="2:21">
      <c r="B855" s="125"/>
      <c r="C855" s="123"/>
      <c r="D855" s="143"/>
      <c r="E855" s="123"/>
      <c r="F855" s="143"/>
      <c r="G855" s="129"/>
      <c r="H855" s="124"/>
      <c r="I855" s="124"/>
      <c r="J855" s="129"/>
      <c r="K855" s="194"/>
      <c r="L855" s="194"/>
      <c r="M855" s="129"/>
      <c r="N855" s="129" t="e">
        <f>Table1[[#This Row],[Estimated Effort (Hours)]]/NETWORKDAYS(Table1[[#This Row],[Planned Start Date]],Table1[[#This Row],[Planned End Date]])</f>
        <v>#DIV/0!</v>
      </c>
      <c r="O855" s="178">
        <f>NETWORKDAYS(Table1[[#This Row],[Planned Start Date]],Table1[[#This Row],[Planned End Date]])</f>
        <v>0</v>
      </c>
      <c r="P855" s="178">
        <f>NETWORKDAYS(Table1[[#This Row],[Planned Start Date]],$P$7)</f>
        <v>30643</v>
      </c>
      <c r="Q855" s="129"/>
      <c r="R855" s="183" t="str">
        <f>IF(Table1[[#This Row],[Actual Effort (Hours)]]="","",IF(Table1[[#This Row],[Estimated Effort (Hours)]]&lt;20,"L1",IF(Table1[[#This Row],[Estimated Effort (Hours)]]&lt;50,"L2",IF(Table1[[#This Row],[Estimated Effort (Hours)]]&lt;150,"L3",IF(Table1[[#This Row],[Estimated Effort (Hours)]]&lt;300,"L4","L5")))))</f>
        <v/>
      </c>
      <c r="S855" s="184" t="str">
        <f>IF(Table1[[#This Row],[Actual End Date]]="","",TEXT(Table1[[#This Row],[Actual End Date]],"mmm-yy"))</f>
        <v/>
      </c>
      <c r="T8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5" s="185" t="str">
        <f>IFERROR((Table1[[#This Row],[Actual Effort (Hours)]]-Table1[[#This Row],[Estimated Effort (Hours)]])/Table1[[#This Row],[Estimated Effort (Hours)]],"")</f>
        <v/>
      </c>
    </row>
    <row r="856" spans="2:21">
      <c r="B856" s="125"/>
      <c r="C856" s="123"/>
      <c r="D856" s="143"/>
      <c r="E856" s="123"/>
      <c r="F856" s="143"/>
      <c r="G856" s="129"/>
      <c r="H856" s="124"/>
      <c r="I856" s="124"/>
      <c r="J856" s="129"/>
      <c r="K856" s="194"/>
      <c r="L856" s="194"/>
      <c r="M856" s="129"/>
      <c r="N856" s="129" t="e">
        <f>Table1[[#This Row],[Estimated Effort (Hours)]]/NETWORKDAYS(Table1[[#This Row],[Planned Start Date]],Table1[[#This Row],[Planned End Date]])</f>
        <v>#DIV/0!</v>
      </c>
      <c r="O856" s="178">
        <f>NETWORKDAYS(Table1[[#This Row],[Planned Start Date]],Table1[[#This Row],[Planned End Date]])</f>
        <v>0</v>
      </c>
      <c r="P856" s="178">
        <f>NETWORKDAYS(Table1[[#This Row],[Planned Start Date]],$P$7)</f>
        <v>30643</v>
      </c>
      <c r="Q856" s="129"/>
      <c r="R856" s="183" t="str">
        <f>IF(Table1[[#This Row],[Actual Effort (Hours)]]="","",IF(Table1[[#This Row],[Estimated Effort (Hours)]]&lt;20,"L1",IF(Table1[[#This Row],[Estimated Effort (Hours)]]&lt;50,"L2",IF(Table1[[#This Row],[Estimated Effort (Hours)]]&lt;150,"L3",IF(Table1[[#This Row],[Estimated Effort (Hours)]]&lt;300,"L4","L5")))))</f>
        <v/>
      </c>
      <c r="S856" s="184" t="str">
        <f>IF(Table1[[#This Row],[Actual End Date]]="","",TEXT(Table1[[#This Row],[Actual End Date]],"mmm-yy"))</f>
        <v/>
      </c>
      <c r="T8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6" s="185" t="str">
        <f>IFERROR((Table1[[#This Row],[Actual Effort (Hours)]]-Table1[[#This Row],[Estimated Effort (Hours)]])/Table1[[#This Row],[Estimated Effort (Hours)]],"")</f>
        <v/>
      </c>
    </row>
    <row r="857" spans="2:21">
      <c r="B857" s="125"/>
      <c r="C857" s="123"/>
      <c r="D857" s="143"/>
      <c r="E857" s="123"/>
      <c r="F857" s="143"/>
      <c r="G857" s="129"/>
      <c r="H857" s="124"/>
      <c r="I857" s="124"/>
      <c r="J857" s="129"/>
      <c r="K857" s="194"/>
      <c r="L857" s="194"/>
      <c r="M857" s="129"/>
      <c r="N857" s="129" t="e">
        <f>Table1[[#This Row],[Estimated Effort (Hours)]]/NETWORKDAYS(Table1[[#This Row],[Planned Start Date]],Table1[[#This Row],[Planned End Date]])</f>
        <v>#DIV/0!</v>
      </c>
      <c r="O857" s="178">
        <f>NETWORKDAYS(Table1[[#This Row],[Planned Start Date]],Table1[[#This Row],[Planned End Date]])</f>
        <v>0</v>
      </c>
      <c r="P857" s="178">
        <f>NETWORKDAYS(Table1[[#This Row],[Planned Start Date]],$P$7)</f>
        <v>30643</v>
      </c>
      <c r="Q857" s="129"/>
      <c r="R857" s="183" t="str">
        <f>IF(Table1[[#This Row],[Actual Effort (Hours)]]="","",IF(Table1[[#This Row],[Estimated Effort (Hours)]]&lt;20,"L1",IF(Table1[[#This Row],[Estimated Effort (Hours)]]&lt;50,"L2",IF(Table1[[#This Row],[Estimated Effort (Hours)]]&lt;150,"L3",IF(Table1[[#This Row],[Estimated Effort (Hours)]]&lt;300,"L4","L5")))))</f>
        <v/>
      </c>
      <c r="S857" s="184" t="str">
        <f>IF(Table1[[#This Row],[Actual End Date]]="","",TEXT(Table1[[#This Row],[Actual End Date]],"mmm-yy"))</f>
        <v/>
      </c>
      <c r="T8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7" s="185" t="str">
        <f>IFERROR((Table1[[#This Row],[Actual Effort (Hours)]]-Table1[[#This Row],[Estimated Effort (Hours)]])/Table1[[#This Row],[Estimated Effort (Hours)]],"")</f>
        <v/>
      </c>
    </row>
    <row r="858" spans="2:21">
      <c r="B858" s="125"/>
      <c r="C858" s="123"/>
      <c r="D858" s="143"/>
      <c r="E858" s="123"/>
      <c r="F858" s="143"/>
      <c r="G858" s="129"/>
      <c r="H858" s="124"/>
      <c r="I858" s="124"/>
      <c r="J858" s="129"/>
      <c r="K858" s="194"/>
      <c r="L858" s="194"/>
      <c r="M858" s="129"/>
      <c r="N858" s="129" t="e">
        <f>Table1[[#This Row],[Estimated Effort (Hours)]]/NETWORKDAYS(Table1[[#This Row],[Planned Start Date]],Table1[[#This Row],[Planned End Date]])</f>
        <v>#DIV/0!</v>
      </c>
      <c r="O858" s="178">
        <f>NETWORKDAYS(Table1[[#This Row],[Planned Start Date]],Table1[[#This Row],[Planned End Date]])</f>
        <v>0</v>
      </c>
      <c r="P858" s="178">
        <f>NETWORKDAYS(Table1[[#This Row],[Planned Start Date]],$P$7)</f>
        <v>30643</v>
      </c>
      <c r="Q858" s="129"/>
      <c r="R858" s="183" t="str">
        <f>IF(Table1[[#This Row],[Actual Effort (Hours)]]="","",IF(Table1[[#This Row],[Estimated Effort (Hours)]]&lt;20,"L1",IF(Table1[[#This Row],[Estimated Effort (Hours)]]&lt;50,"L2",IF(Table1[[#This Row],[Estimated Effort (Hours)]]&lt;150,"L3",IF(Table1[[#This Row],[Estimated Effort (Hours)]]&lt;300,"L4","L5")))))</f>
        <v/>
      </c>
      <c r="S858" s="184" t="str">
        <f>IF(Table1[[#This Row],[Actual End Date]]="","",TEXT(Table1[[#This Row],[Actual End Date]],"mmm-yy"))</f>
        <v/>
      </c>
      <c r="T8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8" s="185" t="str">
        <f>IFERROR((Table1[[#This Row],[Actual Effort (Hours)]]-Table1[[#This Row],[Estimated Effort (Hours)]])/Table1[[#This Row],[Estimated Effort (Hours)]],"")</f>
        <v/>
      </c>
    </row>
    <row r="859" spans="2:21">
      <c r="B859" s="125"/>
      <c r="C859" s="123"/>
      <c r="D859" s="143"/>
      <c r="E859" s="123"/>
      <c r="F859" s="143"/>
      <c r="G859" s="129"/>
      <c r="H859" s="124"/>
      <c r="I859" s="124"/>
      <c r="J859" s="129"/>
      <c r="K859" s="194"/>
      <c r="L859" s="194"/>
      <c r="M859" s="129"/>
      <c r="N859" s="129" t="e">
        <f>Table1[[#This Row],[Estimated Effort (Hours)]]/NETWORKDAYS(Table1[[#This Row],[Planned Start Date]],Table1[[#This Row],[Planned End Date]])</f>
        <v>#DIV/0!</v>
      </c>
      <c r="O859" s="178">
        <f>NETWORKDAYS(Table1[[#This Row],[Planned Start Date]],Table1[[#This Row],[Planned End Date]])</f>
        <v>0</v>
      </c>
      <c r="P859" s="178">
        <f>NETWORKDAYS(Table1[[#This Row],[Planned Start Date]],$P$7)</f>
        <v>30643</v>
      </c>
      <c r="Q859" s="129"/>
      <c r="R859" s="183" t="str">
        <f>IF(Table1[[#This Row],[Actual Effort (Hours)]]="","",IF(Table1[[#This Row],[Estimated Effort (Hours)]]&lt;20,"L1",IF(Table1[[#This Row],[Estimated Effort (Hours)]]&lt;50,"L2",IF(Table1[[#This Row],[Estimated Effort (Hours)]]&lt;150,"L3",IF(Table1[[#This Row],[Estimated Effort (Hours)]]&lt;300,"L4","L5")))))</f>
        <v/>
      </c>
      <c r="S859" s="184" t="str">
        <f>IF(Table1[[#This Row],[Actual End Date]]="","",TEXT(Table1[[#This Row],[Actual End Date]],"mmm-yy"))</f>
        <v/>
      </c>
      <c r="T8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59" s="185" t="str">
        <f>IFERROR((Table1[[#This Row],[Actual Effort (Hours)]]-Table1[[#This Row],[Estimated Effort (Hours)]])/Table1[[#This Row],[Estimated Effort (Hours)]],"")</f>
        <v/>
      </c>
    </row>
    <row r="860" spans="2:21">
      <c r="B860" s="125"/>
      <c r="C860" s="123"/>
      <c r="D860" s="143"/>
      <c r="E860" s="123"/>
      <c r="F860" s="143"/>
      <c r="G860" s="129"/>
      <c r="H860" s="124"/>
      <c r="I860" s="124"/>
      <c r="J860" s="129"/>
      <c r="K860" s="194"/>
      <c r="L860" s="194"/>
      <c r="M860" s="129"/>
      <c r="N860" s="129" t="e">
        <f>Table1[[#This Row],[Estimated Effort (Hours)]]/NETWORKDAYS(Table1[[#This Row],[Planned Start Date]],Table1[[#This Row],[Planned End Date]])</f>
        <v>#DIV/0!</v>
      </c>
      <c r="O860" s="178">
        <f>NETWORKDAYS(Table1[[#This Row],[Planned Start Date]],Table1[[#This Row],[Planned End Date]])</f>
        <v>0</v>
      </c>
      <c r="P860" s="178">
        <f>NETWORKDAYS(Table1[[#This Row],[Planned Start Date]],$P$7)</f>
        <v>30643</v>
      </c>
      <c r="Q860" s="129"/>
      <c r="R860" s="183" t="str">
        <f>IF(Table1[[#This Row],[Actual Effort (Hours)]]="","",IF(Table1[[#This Row],[Estimated Effort (Hours)]]&lt;20,"L1",IF(Table1[[#This Row],[Estimated Effort (Hours)]]&lt;50,"L2",IF(Table1[[#This Row],[Estimated Effort (Hours)]]&lt;150,"L3",IF(Table1[[#This Row],[Estimated Effort (Hours)]]&lt;300,"L4","L5")))))</f>
        <v/>
      </c>
      <c r="S860" s="184" t="str">
        <f>IF(Table1[[#This Row],[Actual End Date]]="","",TEXT(Table1[[#This Row],[Actual End Date]],"mmm-yy"))</f>
        <v/>
      </c>
      <c r="T8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0" s="185" t="str">
        <f>IFERROR((Table1[[#This Row],[Actual Effort (Hours)]]-Table1[[#This Row],[Estimated Effort (Hours)]])/Table1[[#This Row],[Estimated Effort (Hours)]],"")</f>
        <v/>
      </c>
    </row>
    <row r="861" spans="2:21">
      <c r="B861" s="125"/>
      <c r="C861" s="123"/>
      <c r="D861" s="143"/>
      <c r="E861" s="123"/>
      <c r="F861" s="143"/>
      <c r="G861" s="129"/>
      <c r="H861" s="124"/>
      <c r="I861" s="124"/>
      <c r="J861" s="129"/>
      <c r="K861" s="194"/>
      <c r="L861" s="194"/>
      <c r="M861" s="129"/>
      <c r="N861" s="129" t="e">
        <f>Table1[[#This Row],[Estimated Effort (Hours)]]/NETWORKDAYS(Table1[[#This Row],[Planned Start Date]],Table1[[#This Row],[Planned End Date]])</f>
        <v>#DIV/0!</v>
      </c>
      <c r="O861" s="178">
        <f>NETWORKDAYS(Table1[[#This Row],[Planned Start Date]],Table1[[#This Row],[Planned End Date]])</f>
        <v>0</v>
      </c>
      <c r="P861" s="178">
        <f>NETWORKDAYS(Table1[[#This Row],[Planned Start Date]],$P$7)</f>
        <v>30643</v>
      </c>
      <c r="Q861" s="129"/>
      <c r="R861" s="183" t="str">
        <f>IF(Table1[[#This Row],[Actual Effort (Hours)]]="","",IF(Table1[[#This Row],[Estimated Effort (Hours)]]&lt;20,"L1",IF(Table1[[#This Row],[Estimated Effort (Hours)]]&lt;50,"L2",IF(Table1[[#This Row],[Estimated Effort (Hours)]]&lt;150,"L3",IF(Table1[[#This Row],[Estimated Effort (Hours)]]&lt;300,"L4","L5")))))</f>
        <v/>
      </c>
      <c r="S861" s="184" t="str">
        <f>IF(Table1[[#This Row],[Actual End Date]]="","",TEXT(Table1[[#This Row],[Actual End Date]],"mmm-yy"))</f>
        <v/>
      </c>
      <c r="T8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1" s="185" t="str">
        <f>IFERROR((Table1[[#This Row],[Actual Effort (Hours)]]-Table1[[#This Row],[Estimated Effort (Hours)]])/Table1[[#This Row],[Estimated Effort (Hours)]],"")</f>
        <v/>
      </c>
    </row>
    <row r="862" spans="2:21">
      <c r="B862" s="125"/>
      <c r="C862" s="123"/>
      <c r="D862" s="143"/>
      <c r="E862" s="123"/>
      <c r="F862" s="143"/>
      <c r="G862" s="129"/>
      <c r="H862" s="124"/>
      <c r="I862" s="124"/>
      <c r="J862" s="129"/>
      <c r="K862" s="194"/>
      <c r="L862" s="194"/>
      <c r="M862" s="129"/>
      <c r="N862" s="129" t="e">
        <f>Table1[[#This Row],[Estimated Effort (Hours)]]/NETWORKDAYS(Table1[[#This Row],[Planned Start Date]],Table1[[#This Row],[Planned End Date]])</f>
        <v>#DIV/0!</v>
      </c>
      <c r="O862" s="178">
        <f>NETWORKDAYS(Table1[[#This Row],[Planned Start Date]],Table1[[#This Row],[Planned End Date]])</f>
        <v>0</v>
      </c>
      <c r="P862" s="178">
        <f>NETWORKDAYS(Table1[[#This Row],[Planned Start Date]],$P$7)</f>
        <v>30643</v>
      </c>
      <c r="Q862" s="129"/>
      <c r="R862" s="183" t="str">
        <f>IF(Table1[[#This Row],[Actual Effort (Hours)]]="","",IF(Table1[[#This Row],[Estimated Effort (Hours)]]&lt;20,"L1",IF(Table1[[#This Row],[Estimated Effort (Hours)]]&lt;50,"L2",IF(Table1[[#This Row],[Estimated Effort (Hours)]]&lt;150,"L3",IF(Table1[[#This Row],[Estimated Effort (Hours)]]&lt;300,"L4","L5")))))</f>
        <v/>
      </c>
      <c r="S862" s="184" t="str">
        <f>IF(Table1[[#This Row],[Actual End Date]]="","",TEXT(Table1[[#This Row],[Actual End Date]],"mmm-yy"))</f>
        <v/>
      </c>
      <c r="T8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2" s="185" t="str">
        <f>IFERROR((Table1[[#This Row],[Actual Effort (Hours)]]-Table1[[#This Row],[Estimated Effort (Hours)]])/Table1[[#This Row],[Estimated Effort (Hours)]],"")</f>
        <v/>
      </c>
    </row>
    <row r="863" spans="2:21">
      <c r="B863" s="125"/>
      <c r="C863" s="123"/>
      <c r="D863" s="143"/>
      <c r="E863" s="123"/>
      <c r="F863" s="143"/>
      <c r="G863" s="129"/>
      <c r="H863" s="124"/>
      <c r="I863" s="124"/>
      <c r="J863" s="129"/>
      <c r="K863" s="194"/>
      <c r="L863" s="194"/>
      <c r="M863" s="129"/>
      <c r="N863" s="129" t="e">
        <f>Table1[[#This Row],[Estimated Effort (Hours)]]/NETWORKDAYS(Table1[[#This Row],[Planned Start Date]],Table1[[#This Row],[Planned End Date]])</f>
        <v>#DIV/0!</v>
      </c>
      <c r="O863" s="178">
        <f>NETWORKDAYS(Table1[[#This Row],[Planned Start Date]],Table1[[#This Row],[Planned End Date]])</f>
        <v>0</v>
      </c>
      <c r="P863" s="178">
        <f>NETWORKDAYS(Table1[[#This Row],[Planned Start Date]],$P$7)</f>
        <v>30643</v>
      </c>
      <c r="Q863" s="129"/>
      <c r="R863" s="183" t="str">
        <f>IF(Table1[[#This Row],[Actual Effort (Hours)]]="","",IF(Table1[[#This Row],[Estimated Effort (Hours)]]&lt;20,"L1",IF(Table1[[#This Row],[Estimated Effort (Hours)]]&lt;50,"L2",IF(Table1[[#This Row],[Estimated Effort (Hours)]]&lt;150,"L3",IF(Table1[[#This Row],[Estimated Effort (Hours)]]&lt;300,"L4","L5")))))</f>
        <v/>
      </c>
      <c r="S863" s="184" t="str">
        <f>IF(Table1[[#This Row],[Actual End Date]]="","",TEXT(Table1[[#This Row],[Actual End Date]],"mmm-yy"))</f>
        <v/>
      </c>
      <c r="T8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3" s="185" t="str">
        <f>IFERROR((Table1[[#This Row],[Actual Effort (Hours)]]-Table1[[#This Row],[Estimated Effort (Hours)]])/Table1[[#This Row],[Estimated Effort (Hours)]],"")</f>
        <v/>
      </c>
    </row>
    <row r="864" spans="2:21">
      <c r="B864" s="125"/>
      <c r="C864" s="123"/>
      <c r="D864" s="143"/>
      <c r="E864" s="123"/>
      <c r="F864" s="143"/>
      <c r="G864" s="129"/>
      <c r="H864" s="124"/>
      <c r="I864" s="124"/>
      <c r="J864" s="129"/>
      <c r="K864" s="194"/>
      <c r="L864" s="194"/>
      <c r="M864" s="129"/>
      <c r="N864" s="129" t="e">
        <f>Table1[[#This Row],[Estimated Effort (Hours)]]/NETWORKDAYS(Table1[[#This Row],[Planned Start Date]],Table1[[#This Row],[Planned End Date]])</f>
        <v>#DIV/0!</v>
      </c>
      <c r="O864" s="178">
        <f>NETWORKDAYS(Table1[[#This Row],[Planned Start Date]],Table1[[#This Row],[Planned End Date]])</f>
        <v>0</v>
      </c>
      <c r="P864" s="178">
        <f>NETWORKDAYS(Table1[[#This Row],[Planned Start Date]],$P$7)</f>
        <v>30643</v>
      </c>
      <c r="Q864" s="129"/>
      <c r="R864" s="183" t="str">
        <f>IF(Table1[[#This Row],[Actual Effort (Hours)]]="","",IF(Table1[[#This Row],[Estimated Effort (Hours)]]&lt;20,"L1",IF(Table1[[#This Row],[Estimated Effort (Hours)]]&lt;50,"L2",IF(Table1[[#This Row],[Estimated Effort (Hours)]]&lt;150,"L3",IF(Table1[[#This Row],[Estimated Effort (Hours)]]&lt;300,"L4","L5")))))</f>
        <v/>
      </c>
      <c r="S864" s="184" t="str">
        <f>IF(Table1[[#This Row],[Actual End Date]]="","",TEXT(Table1[[#This Row],[Actual End Date]],"mmm-yy"))</f>
        <v/>
      </c>
      <c r="T8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4" s="185" t="str">
        <f>IFERROR((Table1[[#This Row],[Actual Effort (Hours)]]-Table1[[#This Row],[Estimated Effort (Hours)]])/Table1[[#This Row],[Estimated Effort (Hours)]],"")</f>
        <v/>
      </c>
    </row>
    <row r="865" spans="2:21">
      <c r="B865" s="125"/>
      <c r="C865" s="123"/>
      <c r="D865" s="143"/>
      <c r="E865" s="123"/>
      <c r="F865" s="143"/>
      <c r="G865" s="129"/>
      <c r="H865" s="124"/>
      <c r="I865" s="124"/>
      <c r="J865" s="129"/>
      <c r="K865" s="194"/>
      <c r="L865" s="194"/>
      <c r="M865" s="129"/>
      <c r="N865" s="129" t="e">
        <f>Table1[[#This Row],[Estimated Effort (Hours)]]/NETWORKDAYS(Table1[[#This Row],[Planned Start Date]],Table1[[#This Row],[Planned End Date]])</f>
        <v>#DIV/0!</v>
      </c>
      <c r="O865" s="178">
        <f>NETWORKDAYS(Table1[[#This Row],[Planned Start Date]],Table1[[#This Row],[Planned End Date]])</f>
        <v>0</v>
      </c>
      <c r="P865" s="178">
        <f>NETWORKDAYS(Table1[[#This Row],[Planned Start Date]],$P$7)</f>
        <v>30643</v>
      </c>
      <c r="Q865" s="129"/>
      <c r="R865" s="183" t="str">
        <f>IF(Table1[[#This Row],[Actual Effort (Hours)]]="","",IF(Table1[[#This Row],[Estimated Effort (Hours)]]&lt;20,"L1",IF(Table1[[#This Row],[Estimated Effort (Hours)]]&lt;50,"L2",IF(Table1[[#This Row],[Estimated Effort (Hours)]]&lt;150,"L3",IF(Table1[[#This Row],[Estimated Effort (Hours)]]&lt;300,"L4","L5")))))</f>
        <v/>
      </c>
      <c r="S865" s="184" t="str">
        <f>IF(Table1[[#This Row],[Actual End Date]]="","",TEXT(Table1[[#This Row],[Actual End Date]],"mmm-yy"))</f>
        <v/>
      </c>
      <c r="T8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5" s="185" t="str">
        <f>IFERROR((Table1[[#This Row],[Actual Effort (Hours)]]-Table1[[#This Row],[Estimated Effort (Hours)]])/Table1[[#This Row],[Estimated Effort (Hours)]],"")</f>
        <v/>
      </c>
    </row>
    <row r="866" spans="2:21">
      <c r="B866" s="125"/>
      <c r="C866" s="123"/>
      <c r="D866" s="143"/>
      <c r="E866" s="123"/>
      <c r="F866" s="143"/>
      <c r="G866" s="129"/>
      <c r="H866" s="124"/>
      <c r="I866" s="124"/>
      <c r="J866" s="129"/>
      <c r="K866" s="194"/>
      <c r="L866" s="194"/>
      <c r="M866" s="129"/>
      <c r="N866" s="129" t="e">
        <f>Table1[[#This Row],[Estimated Effort (Hours)]]/NETWORKDAYS(Table1[[#This Row],[Planned Start Date]],Table1[[#This Row],[Planned End Date]])</f>
        <v>#DIV/0!</v>
      </c>
      <c r="O866" s="178">
        <f>NETWORKDAYS(Table1[[#This Row],[Planned Start Date]],Table1[[#This Row],[Planned End Date]])</f>
        <v>0</v>
      </c>
      <c r="P866" s="178">
        <f>NETWORKDAYS(Table1[[#This Row],[Planned Start Date]],$P$7)</f>
        <v>30643</v>
      </c>
      <c r="Q866" s="129"/>
      <c r="R866" s="183" t="str">
        <f>IF(Table1[[#This Row],[Actual Effort (Hours)]]="","",IF(Table1[[#This Row],[Estimated Effort (Hours)]]&lt;20,"L1",IF(Table1[[#This Row],[Estimated Effort (Hours)]]&lt;50,"L2",IF(Table1[[#This Row],[Estimated Effort (Hours)]]&lt;150,"L3",IF(Table1[[#This Row],[Estimated Effort (Hours)]]&lt;300,"L4","L5")))))</f>
        <v/>
      </c>
      <c r="S866" s="184" t="str">
        <f>IF(Table1[[#This Row],[Actual End Date]]="","",TEXT(Table1[[#This Row],[Actual End Date]],"mmm-yy"))</f>
        <v/>
      </c>
      <c r="T8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6" s="185" t="str">
        <f>IFERROR((Table1[[#This Row],[Actual Effort (Hours)]]-Table1[[#This Row],[Estimated Effort (Hours)]])/Table1[[#This Row],[Estimated Effort (Hours)]],"")</f>
        <v/>
      </c>
    </row>
    <row r="867" spans="2:21">
      <c r="B867" s="125"/>
      <c r="C867" s="123"/>
      <c r="D867" s="143"/>
      <c r="E867" s="123"/>
      <c r="F867" s="143"/>
      <c r="G867" s="129"/>
      <c r="H867" s="124"/>
      <c r="I867" s="124"/>
      <c r="J867" s="129"/>
      <c r="K867" s="194"/>
      <c r="L867" s="194"/>
      <c r="M867" s="129"/>
      <c r="N867" s="129" t="e">
        <f>Table1[[#This Row],[Estimated Effort (Hours)]]/NETWORKDAYS(Table1[[#This Row],[Planned Start Date]],Table1[[#This Row],[Planned End Date]])</f>
        <v>#DIV/0!</v>
      </c>
      <c r="O867" s="178">
        <f>NETWORKDAYS(Table1[[#This Row],[Planned Start Date]],Table1[[#This Row],[Planned End Date]])</f>
        <v>0</v>
      </c>
      <c r="P867" s="178">
        <f>NETWORKDAYS(Table1[[#This Row],[Planned Start Date]],$P$7)</f>
        <v>30643</v>
      </c>
      <c r="Q867" s="129"/>
      <c r="R867" s="183" t="str">
        <f>IF(Table1[[#This Row],[Actual Effort (Hours)]]="","",IF(Table1[[#This Row],[Estimated Effort (Hours)]]&lt;20,"L1",IF(Table1[[#This Row],[Estimated Effort (Hours)]]&lt;50,"L2",IF(Table1[[#This Row],[Estimated Effort (Hours)]]&lt;150,"L3",IF(Table1[[#This Row],[Estimated Effort (Hours)]]&lt;300,"L4","L5")))))</f>
        <v/>
      </c>
      <c r="S867" s="184" t="str">
        <f>IF(Table1[[#This Row],[Actual End Date]]="","",TEXT(Table1[[#This Row],[Actual End Date]],"mmm-yy"))</f>
        <v/>
      </c>
      <c r="T8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7" s="185" t="str">
        <f>IFERROR((Table1[[#This Row],[Actual Effort (Hours)]]-Table1[[#This Row],[Estimated Effort (Hours)]])/Table1[[#This Row],[Estimated Effort (Hours)]],"")</f>
        <v/>
      </c>
    </row>
    <row r="868" spans="2:21">
      <c r="B868" s="125"/>
      <c r="C868" s="123"/>
      <c r="D868" s="143"/>
      <c r="E868" s="123"/>
      <c r="F868" s="143"/>
      <c r="G868" s="129"/>
      <c r="H868" s="124"/>
      <c r="I868" s="124"/>
      <c r="J868" s="129"/>
      <c r="K868" s="194"/>
      <c r="L868" s="194"/>
      <c r="M868" s="129"/>
      <c r="N868" s="129" t="e">
        <f>Table1[[#This Row],[Estimated Effort (Hours)]]/NETWORKDAYS(Table1[[#This Row],[Planned Start Date]],Table1[[#This Row],[Planned End Date]])</f>
        <v>#DIV/0!</v>
      </c>
      <c r="O868" s="178">
        <f>NETWORKDAYS(Table1[[#This Row],[Planned Start Date]],Table1[[#This Row],[Planned End Date]])</f>
        <v>0</v>
      </c>
      <c r="P868" s="178">
        <f>NETWORKDAYS(Table1[[#This Row],[Planned Start Date]],$P$7)</f>
        <v>30643</v>
      </c>
      <c r="Q868" s="129"/>
      <c r="R868" s="183" t="str">
        <f>IF(Table1[[#This Row],[Actual Effort (Hours)]]="","",IF(Table1[[#This Row],[Estimated Effort (Hours)]]&lt;20,"L1",IF(Table1[[#This Row],[Estimated Effort (Hours)]]&lt;50,"L2",IF(Table1[[#This Row],[Estimated Effort (Hours)]]&lt;150,"L3",IF(Table1[[#This Row],[Estimated Effort (Hours)]]&lt;300,"L4","L5")))))</f>
        <v/>
      </c>
      <c r="S868" s="184" t="str">
        <f>IF(Table1[[#This Row],[Actual End Date]]="","",TEXT(Table1[[#This Row],[Actual End Date]],"mmm-yy"))</f>
        <v/>
      </c>
      <c r="T8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8" s="185" t="str">
        <f>IFERROR((Table1[[#This Row],[Actual Effort (Hours)]]-Table1[[#This Row],[Estimated Effort (Hours)]])/Table1[[#This Row],[Estimated Effort (Hours)]],"")</f>
        <v/>
      </c>
    </row>
    <row r="869" spans="2:21">
      <c r="B869" s="125"/>
      <c r="C869" s="123"/>
      <c r="D869" s="143"/>
      <c r="E869" s="123"/>
      <c r="F869" s="143"/>
      <c r="G869" s="129"/>
      <c r="H869" s="124"/>
      <c r="I869" s="124"/>
      <c r="J869" s="129"/>
      <c r="K869" s="194"/>
      <c r="L869" s="194"/>
      <c r="M869" s="129"/>
      <c r="N869" s="129" t="e">
        <f>Table1[[#This Row],[Estimated Effort (Hours)]]/NETWORKDAYS(Table1[[#This Row],[Planned Start Date]],Table1[[#This Row],[Planned End Date]])</f>
        <v>#DIV/0!</v>
      </c>
      <c r="O869" s="178">
        <f>NETWORKDAYS(Table1[[#This Row],[Planned Start Date]],Table1[[#This Row],[Planned End Date]])</f>
        <v>0</v>
      </c>
      <c r="P869" s="178">
        <f>NETWORKDAYS(Table1[[#This Row],[Planned Start Date]],$P$7)</f>
        <v>30643</v>
      </c>
      <c r="Q869" s="129"/>
      <c r="R869" s="183" t="str">
        <f>IF(Table1[[#This Row],[Actual Effort (Hours)]]="","",IF(Table1[[#This Row],[Estimated Effort (Hours)]]&lt;20,"L1",IF(Table1[[#This Row],[Estimated Effort (Hours)]]&lt;50,"L2",IF(Table1[[#This Row],[Estimated Effort (Hours)]]&lt;150,"L3",IF(Table1[[#This Row],[Estimated Effort (Hours)]]&lt;300,"L4","L5")))))</f>
        <v/>
      </c>
      <c r="S869" s="184" t="str">
        <f>IF(Table1[[#This Row],[Actual End Date]]="","",TEXT(Table1[[#This Row],[Actual End Date]],"mmm-yy"))</f>
        <v/>
      </c>
      <c r="T8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69" s="185" t="str">
        <f>IFERROR((Table1[[#This Row],[Actual Effort (Hours)]]-Table1[[#This Row],[Estimated Effort (Hours)]])/Table1[[#This Row],[Estimated Effort (Hours)]],"")</f>
        <v/>
      </c>
    </row>
    <row r="870" spans="2:21">
      <c r="B870" s="125"/>
      <c r="C870" s="123"/>
      <c r="D870" s="143"/>
      <c r="E870" s="123"/>
      <c r="F870" s="143"/>
      <c r="G870" s="129"/>
      <c r="H870" s="124"/>
      <c r="I870" s="124"/>
      <c r="J870" s="129"/>
      <c r="K870" s="194"/>
      <c r="L870" s="194"/>
      <c r="M870" s="129"/>
      <c r="N870" s="129" t="e">
        <f>Table1[[#This Row],[Estimated Effort (Hours)]]/NETWORKDAYS(Table1[[#This Row],[Planned Start Date]],Table1[[#This Row],[Planned End Date]])</f>
        <v>#DIV/0!</v>
      </c>
      <c r="O870" s="178">
        <f>NETWORKDAYS(Table1[[#This Row],[Planned Start Date]],Table1[[#This Row],[Planned End Date]])</f>
        <v>0</v>
      </c>
      <c r="P870" s="178">
        <f>NETWORKDAYS(Table1[[#This Row],[Planned Start Date]],$P$7)</f>
        <v>30643</v>
      </c>
      <c r="Q870" s="129"/>
      <c r="R870" s="183" t="str">
        <f>IF(Table1[[#This Row],[Actual Effort (Hours)]]="","",IF(Table1[[#This Row],[Estimated Effort (Hours)]]&lt;20,"L1",IF(Table1[[#This Row],[Estimated Effort (Hours)]]&lt;50,"L2",IF(Table1[[#This Row],[Estimated Effort (Hours)]]&lt;150,"L3",IF(Table1[[#This Row],[Estimated Effort (Hours)]]&lt;300,"L4","L5")))))</f>
        <v/>
      </c>
      <c r="S870" s="184" t="str">
        <f>IF(Table1[[#This Row],[Actual End Date]]="","",TEXT(Table1[[#This Row],[Actual End Date]],"mmm-yy"))</f>
        <v/>
      </c>
      <c r="T8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0" s="185" t="str">
        <f>IFERROR((Table1[[#This Row],[Actual Effort (Hours)]]-Table1[[#This Row],[Estimated Effort (Hours)]])/Table1[[#This Row],[Estimated Effort (Hours)]],"")</f>
        <v/>
      </c>
    </row>
    <row r="871" spans="2:21">
      <c r="B871" s="125"/>
      <c r="C871" s="123"/>
      <c r="D871" s="143"/>
      <c r="E871" s="123"/>
      <c r="F871" s="143"/>
      <c r="G871" s="129"/>
      <c r="H871" s="124"/>
      <c r="I871" s="124"/>
      <c r="J871" s="129"/>
      <c r="K871" s="194"/>
      <c r="L871" s="194"/>
      <c r="M871" s="129"/>
      <c r="N871" s="129" t="e">
        <f>Table1[[#This Row],[Estimated Effort (Hours)]]/NETWORKDAYS(Table1[[#This Row],[Planned Start Date]],Table1[[#This Row],[Planned End Date]])</f>
        <v>#DIV/0!</v>
      </c>
      <c r="O871" s="178">
        <f>NETWORKDAYS(Table1[[#This Row],[Planned Start Date]],Table1[[#This Row],[Planned End Date]])</f>
        <v>0</v>
      </c>
      <c r="P871" s="178">
        <f>NETWORKDAYS(Table1[[#This Row],[Planned Start Date]],$P$7)</f>
        <v>30643</v>
      </c>
      <c r="Q871" s="129"/>
      <c r="R871" s="183" t="str">
        <f>IF(Table1[[#This Row],[Actual Effort (Hours)]]="","",IF(Table1[[#This Row],[Estimated Effort (Hours)]]&lt;20,"L1",IF(Table1[[#This Row],[Estimated Effort (Hours)]]&lt;50,"L2",IF(Table1[[#This Row],[Estimated Effort (Hours)]]&lt;150,"L3",IF(Table1[[#This Row],[Estimated Effort (Hours)]]&lt;300,"L4","L5")))))</f>
        <v/>
      </c>
      <c r="S871" s="184" t="str">
        <f>IF(Table1[[#This Row],[Actual End Date]]="","",TEXT(Table1[[#This Row],[Actual End Date]],"mmm-yy"))</f>
        <v/>
      </c>
      <c r="T8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1" s="185" t="str">
        <f>IFERROR((Table1[[#This Row],[Actual Effort (Hours)]]-Table1[[#This Row],[Estimated Effort (Hours)]])/Table1[[#This Row],[Estimated Effort (Hours)]],"")</f>
        <v/>
      </c>
    </row>
    <row r="872" spans="2:21">
      <c r="B872" s="125"/>
      <c r="C872" s="123"/>
      <c r="D872" s="143"/>
      <c r="E872" s="123"/>
      <c r="F872" s="143"/>
      <c r="G872" s="129"/>
      <c r="H872" s="124"/>
      <c r="I872" s="124"/>
      <c r="J872" s="129"/>
      <c r="K872" s="194"/>
      <c r="L872" s="194"/>
      <c r="M872" s="129"/>
      <c r="N872" s="129" t="e">
        <f>Table1[[#This Row],[Estimated Effort (Hours)]]/NETWORKDAYS(Table1[[#This Row],[Planned Start Date]],Table1[[#This Row],[Planned End Date]])</f>
        <v>#DIV/0!</v>
      </c>
      <c r="O872" s="178">
        <f>NETWORKDAYS(Table1[[#This Row],[Planned Start Date]],Table1[[#This Row],[Planned End Date]])</f>
        <v>0</v>
      </c>
      <c r="P872" s="178">
        <f>NETWORKDAYS(Table1[[#This Row],[Planned Start Date]],$P$7)</f>
        <v>30643</v>
      </c>
      <c r="Q872" s="129"/>
      <c r="R872" s="183" t="str">
        <f>IF(Table1[[#This Row],[Actual Effort (Hours)]]="","",IF(Table1[[#This Row],[Estimated Effort (Hours)]]&lt;20,"L1",IF(Table1[[#This Row],[Estimated Effort (Hours)]]&lt;50,"L2",IF(Table1[[#This Row],[Estimated Effort (Hours)]]&lt;150,"L3",IF(Table1[[#This Row],[Estimated Effort (Hours)]]&lt;300,"L4","L5")))))</f>
        <v/>
      </c>
      <c r="S872" s="184" t="str">
        <f>IF(Table1[[#This Row],[Actual End Date]]="","",TEXT(Table1[[#This Row],[Actual End Date]],"mmm-yy"))</f>
        <v/>
      </c>
      <c r="T8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2" s="185" t="str">
        <f>IFERROR((Table1[[#This Row],[Actual Effort (Hours)]]-Table1[[#This Row],[Estimated Effort (Hours)]])/Table1[[#This Row],[Estimated Effort (Hours)]],"")</f>
        <v/>
      </c>
    </row>
    <row r="873" spans="2:21">
      <c r="B873" s="125"/>
      <c r="C873" s="123"/>
      <c r="D873" s="143"/>
      <c r="E873" s="123"/>
      <c r="F873" s="143"/>
      <c r="G873" s="129"/>
      <c r="H873" s="124"/>
      <c r="I873" s="124"/>
      <c r="J873" s="129"/>
      <c r="K873" s="194"/>
      <c r="L873" s="194"/>
      <c r="M873" s="129"/>
      <c r="N873" s="129" t="e">
        <f>Table1[[#This Row],[Estimated Effort (Hours)]]/NETWORKDAYS(Table1[[#This Row],[Planned Start Date]],Table1[[#This Row],[Planned End Date]])</f>
        <v>#DIV/0!</v>
      </c>
      <c r="O873" s="178">
        <f>NETWORKDAYS(Table1[[#This Row],[Planned Start Date]],Table1[[#This Row],[Planned End Date]])</f>
        <v>0</v>
      </c>
      <c r="P873" s="178">
        <f>NETWORKDAYS(Table1[[#This Row],[Planned Start Date]],$P$7)</f>
        <v>30643</v>
      </c>
      <c r="Q873" s="129"/>
      <c r="R873" s="183" t="str">
        <f>IF(Table1[[#This Row],[Actual Effort (Hours)]]="","",IF(Table1[[#This Row],[Estimated Effort (Hours)]]&lt;20,"L1",IF(Table1[[#This Row],[Estimated Effort (Hours)]]&lt;50,"L2",IF(Table1[[#This Row],[Estimated Effort (Hours)]]&lt;150,"L3",IF(Table1[[#This Row],[Estimated Effort (Hours)]]&lt;300,"L4","L5")))))</f>
        <v/>
      </c>
      <c r="S873" s="184" t="str">
        <f>IF(Table1[[#This Row],[Actual End Date]]="","",TEXT(Table1[[#This Row],[Actual End Date]],"mmm-yy"))</f>
        <v/>
      </c>
      <c r="T8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3" s="185" t="str">
        <f>IFERROR((Table1[[#This Row],[Actual Effort (Hours)]]-Table1[[#This Row],[Estimated Effort (Hours)]])/Table1[[#This Row],[Estimated Effort (Hours)]],"")</f>
        <v/>
      </c>
    </row>
    <row r="874" spans="2:21">
      <c r="B874" s="125"/>
      <c r="C874" s="123"/>
      <c r="D874" s="143"/>
      <c r="E874" s="123"/>
      <c r="F874" s="143"/>
      <c r="G874" s="129"/>
      <c r="H874" s="124"/>
      <c r="I874" s="124"/>
      <c r="J874" s="129"/>
      <c r="K874" s="194"/>
      <c r="L874" s="194"/>
      <c r="M874" s="129"/>
      <c r="N874" s="129" t="e">
        <f>Table1[[#This Row],[Estimated Effort (Hours)]]/NETWORKDAYS(Table1[[#This Row],[Planned Start Date]],Table1[[#This Row],[Planned End Date]])</f>
        <v>#DIV/0!</v>
      </c>
      <c r="O874" s="178">
        <f>NETWORKDAYS(Table1[[#This Row],[Planned Start Date]],Table1[[#This Row],[Planned End Date]])</f>
        <v>0</v>
      </c>
      <c r="P874" s="178">
        <f>NETWORKDAYS(Table1[[#This Row],[Planned Start Date]],$P$7)</f>
        <v>30643</v>
      </c>
      <c r="Q874" s="129"/>
      <c r="R874" s="183" t="str">
        <f>IF(Table1[[#This Row],[Actual Effort (Hours)]]="","",IF(Table1[[#This Row],[Estimated Effort (Hours)]]&lt;20,"L1",IF(Table1[[#This Row],[Estimated Effort (Hours)]]&lt;50,"L2",IF(Table1[[#This Row],[Estimated Effort (Hours)]]&lt;150,"L3",IF(Table1[[#This Row],[Estimated Effort (Hours)]]&lt;300,"L4","L5")))))</f>
        <v/>
      </c>
      <c r="S874" s="184" t="str">
        <f>IF(Table1[[#This Row],[Actual End Date]]="","",TEXT(Table1[[#This Row],[Actual End Date]],"mmm-yy"))</f>
        <v/>
      </c>
      <c r="T8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4" s="185" t="str">
        <f>IFERROR((Table1[[#This Row],[Actual Effort (Hours)]]-Table1[[#This Row],[Estimated Effort (Hours)]])/Table1[[#This Row],[Estimated Effort (Hours)]],"")</f>
        <v/>
      </c>
    </row>
    <row r="875" spans="2:21">
      <c r="B875" s="125"/>
      <c r="C875" s="123"/>
      <c r="D875" s="143"/>
      <c r="E875" s="123"/>
      <c r="F875" s="143"/>
      <c r="G875" s="129"/>
      <c r="H875" s="124"/>
      <c r="I875" s="124"/>
      <c r="J875" s="129"/>
      <c r="K875" s="194"/>
      <c r="L875" s="194"/>
      <c r="M875" s="129"/>
      <c r="N875" s="129" t="e">
        <f>Table1[[#This Row],[Estimated Effort (Hours)]]/NETWORKDAYS(Table1[[#This Row],[Planned Start Date]],Table1[[#This Row],[Planned End Date]])</f>
        <v>#DIV/0!</v>
      </c>
      <c r="O875" s="178">
        <f>NETWORKDAYS(Table1[[#This Row],[Planned Start Date]],Table1[[#This Row],[Planned End Date]])</f>
        <v>0</v>
      </c>
      <c r="P875" s="178">
        <f>NETWORKDAYS(Table1[[#This Row],[Planned Start Date]],$P$7)</f>
        <v>30643</v>
      </c>
      <c r="Q875" s="129"/>
      <c r="R875" s="183" t="str">
        <f>IF(Table1[[#This Row],[Actual Effort (Hours)]]="","",IF(Table1[[#This Row],[Estimated Effort (Hours)]]&lt;20,"L1",IF(Table1[[#This Row],[Estimated Effort (Hours)]]&lt;50,"L2",IF(Table1[[#This Row],[Estimated Effort (Hours)]]&lt;150,"L3",IF(Table1[[#This Row],[Estimated Effort (Hours)]]&lt;300,"L4","L5")))))</f>
        <v/>
      </c>
      <c r="S875" s="184" t="str">
        <f>IF(Table1[[#This Row],[Actual End Date]]="","",TEXT(Table1[[#This Row],[Actual End Date]],"mmm-yy"))</f>
        <v/>
      </c>
      <c r="T8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5" s="185" t="str">
        <f>IFERROR((Table1[[#This Row],[Actual Effort (Hours)]]-Table1[[#This Row],[Estimated Effort (Hours)]])/Table1[[#This Row],[Estimated Effort (Hours)]],"")</f>
        <v/>
      </c>
    </row>
    <row r="876" spans="2:21">
      <c r="B876" s="125"/>
      <c r="C876" s="123"/>
      <c r="D876" s="143"/>
      <c r="E876" s="123"/>
      <c r="F876" s="143"/>
      <c r="G876" s="129"/>
      <c r="H876" s="124"/>
      <c r="I876" s="124"/>
      <c r="J876" s="129"/>
      <c r="K876" s="194"/>
      <c r="L876" s="194"/>
      <c r="M876" s="129"/>
      <c r="N876" s="129" t="e">
        <f>Table1[[#This Row],[Estimated Effort (Hours)]]/NETWORKDAYS(Table1[[#This Row],[Planned Start Date]],Table1[[#This Row],[Planned End Date]])</f>
        <v>#DIV/0!</v>
      </c>
      <c r="O876" s="178">
        <f>NETWORKDAYS(Table1[[#This Row],[Planned Start Date]],Table1[[#This Row],[Planned End Date]])</f>
        <v>0</v>
      </c>
      <c r="P876" s="178">
        <f>NETWORKDAYS(Table1[[#This Row],[Planned Start Date]],$P$7)</f>
        <v>30643</v>
      </c>
      <c r="Q876" s="129"/>
      <c r="R876" s="183" t="str">
        <f>IF(Table1[[#This Row],[Actual Effort (Hours)]]="","",IF(Table1[[#This Row],[Estimated Effort (Hours)]]&lt;20,"L1",IF(Table1[[#This Row],[Estimated Effort (Hours)]]&lt;50,"L2",IF(Table1[[#This Row],[Estimated Effort (Hours)]]&lt;150,"L3",IF(Table1[[#This Row],[Estimated Effort (Hours)]]&lt;300,"L4","L5")))))</f>
        <v/>
      </c>
      <c r="S876" s="184" t="str">
        <f>IF(Table1[[#This Row],[Actual End Date]]="","",TEXT(Table1[[#This Row],[Actual End Date]],"mmm-yy"))</f>
        <v/>
      </c>
      <c r="T8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6" s="185" t="str">
        <f>IFERROR((Table1[[#This Row],[Actual Effort (Hours)]]-Table1[[#This Row],[Estimated Effort (Hours)]])/Table1[[#This Row],[Estimated Effort (Hours)]],"")</f>
        <v/>
      </c>
    </row>
    <row r="877" spans="2:21">
      <c r="B877" s="125"/>
      <c r="C877" s="123"/>
      <c r="D877" s="143"/>
      <c r="E877" s="123"/>
      <c r="F877" s="143"/>
      <c r="G877" s="129"/>
      <c r="H877" s="124"/>
      <c r="I877" s="124"/>
      <c r="J877" s="129"/>
      <c r="K877" s="194"/>
      <c r="L877" s="194"/>
      <c r="M877" s="129"/>
      <c r="N877" s="129" t="e">
        <f>Table1[[#This Row],[Estimated Effort (Hours)]]/NETWORKDAYS(Table1[[#This Row],[Planned Start Date]],Table1[[#This Row],[Planned End Date]])</f>
        <v>#DIV/0!</v>
      </c>
      <c r="O877" s="178">
        <f>NETWORKDAYS(Table1[[#This Row],[Planned Start Date]],Table1[[#This Row],[Planned End Date]])</f>
        <v>0</v>
      </c>
      <c r="P877" s="178">
        <f>NETWORKDAYS(Table1[[#This Row],[Planned Start Date]],$P$7)</f>
        <v>30643</v>
      </c>
      <c r="Q877" s="129"/>
      <c r="R877" s="183" t="str">
        <f>IF(Table1[[#This Row],[Actual Effort (Hours)]]="","",IF(Table1[[#This Row],[Estimated Effort (Hours)]]&lt;20,"L1",IF(Table1[[#This Row],[Estimated Effort (Hours)]]&lt;50,"L2",IF(Table1[[#This Row],[Estimated Effort (Hours)]]&lt;150,"L3",IF(Table1[[#This Row],[Estimated Effort (Hours)]]&lt;300,"L4","L5")))))</f>
        <v/>
      </c>
      <c r="S877" s="184" t="str">
        <f>IF(Table1[[#This Row],[Actual End Date]]="","",TEXT(Table1[[#This Row],[Actual End Date]],"mmm-yy"))</f>
        <v/>
      </c>
      <c r="T8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7" s="185" t="str">
        <f>IFERROR((Table1[[#This Row],[Actual Effort (Hours)]]-Table1[[#This Row],[Estimated Effort (Hours)]])/Table1[[#This Row],[Estimated Effort (Hours)]],"")</f>
        <v/>
      </c>
    </row>
    <row r="878" spans="2:21">
      <c r="B878" s="125"/>
      <c r="C878" s="123"/>
      <c r="D878" s="143"/>
      <c r="E878" s="123"/>
      <c r="F878" s="143"/>
      <c r="G878" s="129"/>
      <c r="H878" s="124"/>
      <c r="I878" s="124"/>
      <c r="J878" s="129"/>
      <c r="K878" s="194"/>
      <c r="L878" s="194"/>
      <c r="M878" s="129"/>
      <c r="N878" s="129" t="e">
        <f>Table1[[#This Row],[Estimated Effort (Hours)]]/NETWORKDAYS(Table1[[#This Row],[Planned Start Date]],Table1[[#This Row],[Planned End Date]])</f>
        <v>#DIV/0!</v>
      </c>
      <c r="O878" s="178">
        <f>NETWORKDAYS(Table1[[#This Row],[Planned Start Date]],Table1[[#This Row],[Planned End Date]])</f>
        <v>0</v>
      </c>
      <c r="P878" s="178">
        <f>NETWORKDAYS(Table1[[#This Row],[Planned Start Date]],$P$7)</f>
        <v>30643</v>
      </c>
      <c r="Q878" s="129"/>
      <c r="R878" s="183" t="str">
        <f>IF(Table1[[#This Row],[Actual Effort (Hours)]]="","",IF(Table1[[#This Row],[Estimated Effort (Hours)]]&lt;20,"L1",IF(Table1[[#This Row],[Estimated Effort (Hours)]]&lt;50,"L2",IF(Table1[[#This Row],[Estimated Effort (Hours)]]&lt;150,"L3",IF(Table1[[#This Row],[Estimated Effort (Hours)]]&lt;300,"L4","L5")))))</f>
        <v/>
      </c>
      <c r="S878" s="184" t="str">
        <f>IF(Table1[[#This Row],[Actual End Date]]="","",TEXT(Table1[[#This Row],[Actual End Date]],"mmm-yy"))</f>
        <v/>
      </c>
      <c r="T8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8" s="185" t="str">
        <f>IFERROR((Table1[[#This Row],[Actual Effort (Hours)]]-Table1[[#This Row],[Estimated Effort (Hours)]])/Table1[[#This Row],[Estimated Effort (Hours)]],"")</f>
        <v/>
      </c>
    </row>
    <row r="879" spans="2:21">
      <c r="B879" s="125"/>
      <c r="C879" s="123"/>
      <c r="D879" s="143"/>
      <c r="E879" s="123"/>
      <c r="F879" s="143"/>
      <c r="G879" s="129"/>
      <c r="H879" s="124"/>
      <c r="I879" s="124"/>
      <c r="J879" s="129"/>
      <c r="K879" s="194"/>
      <c r="L879" s="194"/>
      <c r="M879" s="129"/>
      <c r="N879" s="129" t="e">
        <f>Table1[[#This Row],[Estimated Effort (Hours)]]/NETWORKDAYS(Table1[[#This Row],[Planned Start Date]],Table1[[#This Row],[Planned End Date]])</f>
        <v>#DIV/0!</v>
      </c>
      <c r="O879" s="178">
        <f>NETWORKDAYS(Table1[[#This Row],[Planned Start Date]],Table1[[#This Row],[Planned End Date]])</f>
        <v>0</v>
      </c>
      <c r="P879" s="178">
        <f>NETWORKDAYS(Table1[[#This Row],[Planned Start Date]],$P$7)</f>
        <v>30643</v>
      </c>
      <c r="Q879" s="129"/>
      <c r="R879" s="183" t="str">
        <f>IF(Table1[[#This Row],[Actual Effort (Hours)]]="","",IF(Table1[[#This Row],[Estimated Effort (Hours)]]&lt;20,"L1",IF(Table1[[#This Row],[Estimated Effort (Hours)]]&lt;50,"L2",IF(Table1[[#This Row],[Estimated Effort (Hours)]]&lt;150,"L3",IF(Table1[[#This Row],[Estimated Effort (Hours)]]&lt;300,"L4","L5")))))</f>
        <v/>
      </c>
      <c r="S879" s="184" t="str">
        <f>IF(Table1[[#This Row],[Actual End Date]]="","",TEXT(Table1[[#This Row],[Actual End Date]],"mmm-yy"))</f>
        <v/>
      </c>
      <c r="T8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79" s="185" t="str">
        <f>IFERROR((Table1[[#This Row],[Actual Effort (Hours)]]-Table1[[#This Row],[Estimated Effort (Hours)]])/Table1[[#This Row],[Estimated Effort (Hours)]],"")</f>
        <v/>
      </c>
    </row>
    <row r="880" spans="2:21">
      <c r="B880" s="125"/>
      <c r="C880" s="123"/>
      <c r="D880" s="143"/>
      <c r="E880" s="123"/>
      <c r="F880" s="143"/>
      <c r="G880" s="129"/>
      <c r="H880" s="124"/>
      <c r="I880" s="124"/>
      <c r="J880" s="129"/>
      <c r="K880" s="194"/>
      <c r="L880" s="194"/>
      <c r="M880" s="129"/>
      <c r="N880" s="129" t="e">
        <f>Table1[[#This Row],[Estimated Effort (Hours)]]/NETWORKDAYS(Table1[[#This Row],[Planned Start Date]],Table1[[#This Row],[Planned End Date]])</f>
        <v>#DIV/0!</v>
      </c>
      <c r="O880" s="178">
        <f>NETWORKDAYS(Table1[[#This Row],[Planned Start Date]],Table1[[#This Row],[Planned End Date]])</f>
        <v>0</v>
      </c>
      <c r="P880" s="178">
        <f>NETWORKDAYS(Table1[[#This Row],[Planned Start Date]],$P$7)</f>
        <v>30643</v>
      </c>
      <c r="Q880" s="129"/>
      <c r="R880" s="183" t="str">
        <f>IF(Table1[[#This Row],[Actual Effort (Hours)]]="","",IF(Table1[[#This Row],[Estimated Effort (Hours)]]&lt;20,"L1",IF(Table1[[#This Row],[Estimated Effort (Hours)]]&lt;50,"L2",IF(Table1[[#This Row],[Estimated Effort (Hours)]]&lt;150,"L3",IF(Table1[[#This Row],[Estimated Effort (Hours)]]&lt;300,"L4","L5")))))</f>
        <v/>
      </c>
      <c r="S880" s="184" t="str">
        <f>IF(Table1[[#This Row],[Actual End Date]]="","",TEXT(Table1[[#This Row],[Actual End Date]],"mmm-yy"))</f>
        <v/>
      </c>
      <c r="T8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0" s="185" t="str">
        <f>IFERROR((Table1[[#This Row],[Actual Effort (Hours)]]-Table1[[#This Row],[Estimated Effort (Hours)]])/Table1[[#This Row],[Estimated Effort (Hours)]],"")</f>
        <v/>
      </c>
    </row>
    <row r="881" spans="2:21">
      <c r="B881" s="125"/>
      <c r="C881" s="123"/>
      <c r="D881" s="143"/>
      <c r="E881" s="123"/>
      <c r="F881" s="143"/>
      <c r="G881" s="129"/>
      <c r="H881" s="124"/>
      <c r="I881" s="124"/>
      <c r="J881" s="129"/>
      <c r="K881" s="194"/>
      <c r="L881" s="194"/>
      <c r="M881" s="129"/>
      <c r="N881" s="129" t="e">
        <f>Table1[[#This Row],[Estimated Effort (Hours)]]/NETWORKDAYS(Table1[[#This Row],[Planned Start Date]],Table1[[#This Row],[Planned End Date]])</f>
        <v>#DIV/0!</v>
      </c>
      <c r="O881" s="178">
        <f>NETWORKDAYS(Table1[[#This Row],[Planned Start Date]],Table1[[#This Row],[Planned End Date]])</f>
        <v>0</v>
      </c>
      <c r="P881" s="178">
        <f>NETWORKDAYS(Table1[[#This Row],[Planned Start Date]],$P$7)</f>
        <v>30643</v>
      </c>
      <c r="Q881" s="129"/>
      <c r="R881" s="183" t="str">
        <f>IF(Table1[[#This Row],[Actual Effort (Hours)]]="","",IF(Table1[[#This Row],[Estimated Effort (Hours)]]&lt;20,"L1",IF(Table1[[#This Row],[Estimated Effort (Hours)]]&lt;50,"L2",IF(Table1[[#This Row],[Estimated Effort (Hours)]]&lt;150,"L3",IF(Table1[[#This Row],[Estimated Effort (Hours)]]&lt;300,"L4","L5")))))</f>
        <v/>
      </c>
      <c r="S881" s="184" t="str">
        <f>IF(Table1[[#This Row],[Actual End Date]]="","",TEXT(Table1[[#This Row],[Actual End Date]],"mmm-yy"))</f>
        <v/>
      </c>
      <c r="T8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1" s="185" t="str">
        <f>IFERROR((Table1[[#This Row],[Actual Effort (Hours)]]-Table1[[#This Row],[Estimated Effort (Hours)]])/Table1[[#This Row],[Estimated Effort (Hours)]],"")</f>
        <v/>
      </c>
    </row>
    <row r="882" spans="2:21">
      <c r="B882" s="125"/>
      <c r="C882" s="123"/>
      <c r="D882" s="143"/>
      <c r="E882" s="123"/>
      <c r="F882" s="143"/>
      <c r="G882" s="129"/>
      <c r="H882" s="124"/>
      <c r="I882" s="124"/>
      <c r="J882" s="129"/>
      <c r="K882" s="194"/>
      <c r="L882" s="194"/>
      <c r="M882" s="129"/>
      <c r="N882" s="129" t="e">
        <f>Table1[[#This Row],[Estimated Effort (Hours)]]/NETWORKDAYS(Table1[[#This Row],[Planned Start Date]],Table1[[#This Row],[Planned End Date]])</f>
        <v>#DIV/0!</v>
      </c>
      <c r="O882" s="178">
        <f>NETWORKDAYS(Table1[[#This Row],[Planned Start Date]],Table1[[#This Row],[Planned End Date]])</f>
        <v>0</v>
      </c>
      <c r="P882" s="178">
        <f>NETWORKDAYS(Table1[[#This Row],[Planned Start Date]],$P$7)</f>
        <v>30643</v>
      </c>
      <c r="Q882" s="129"/>
      <c r="R882" s="183" t="str">
        <f>IF(Table1[[#This Row],[Actual Effort (Hours)]]="","",IF(Table1[[#This Row],[Estimated Effort (Hours)]]&lt;20,"L1",IF(Table1[[#This Row],[Estimated Effort (Hours)]]&lt;50,"L2",IF(Table1[[#This Row],[Estimated Effort (Hours)]]&lt;150,"L3",IF(Table1[[#This Row],[Estimated Effort (Hours)]]&lt;300,"L4","L5")))))</f>
        <v/>
      </c>
      <c r="S882" s="184" t="str">
        <f>IF(Table1[[#This Row],[Actual End Date]]="","",TEXT(Table1[[#This Row],[Actual End Date]],"mmm-yy"))</f>
        <v/>
      </c>
      <c r="T8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2" s="185" t="str">
        <f>IFERROR((Table1[[#This Row],[Actual Effort (Hours)]]-Table1[[#This Row],[Estimated Effort (Hours)]])/Table1[[#This Row],[Estimated Effort (Hours)]],"")</f>
        <v/>
      </c>
    </row>
    <row r="883" spans="2:21">
      <c r="B883" s="125"/>
      <c r="C883" s="123"/>
      <c r="D883" s="143"/>
      <c r="E883" s="123"/>
      <c r="F883" s="143"/>
      <c r="G883" s="129"/>
      <c r="H883" s="124"/>
      <c r="I883" s="124"/>
      <c r="J883" s="129"/>
      <c r="K883" s="194"/>
      <c r="L883" s="194"/>
      <c r="M883" s="129"/>
      <c r="N883" s="129" t="e">
        <f>Table1[[#This Row],[Estimated Effort (Hours)]]/NETWORKDAYS(Table1[[#This Row],[Planned Start Date]],Table1[[#This Row],[Planned End Date]])</f>
        <v>#DIV/0!</v>
      </c>
      <c r="O883" s="178">
        <f>NETWORKDAYS(Table1[[#This Row],[Planned Start Date]],Table1[[#This Row],[Planned End Date]])</f>
        <v>0</v>
      </c>
      <c r="P883" s="178">
        <f>NETWORKDAYS(Table1[[#This Row],[Planned Start Date]],$P$7)</f>
        <v>30643</v>
      </c>
      <c r="Q883" s="129"/>
      <c r="R883" s="183" t="str">
        <f>IF(Table1[[#This Row],[Actual Effort (Hours)]]="","",IF(Table1[[#This Row],[Estimated Effort (Hours)]]&lt;20,"L1",IF(Table1[[#This Row],[Estimated Effort (Hours)]]&lt;50,"L2",IF(Table1[[#This Row],[Estimated Effort (Hours)]]&lt;150,"L3",IF(Table1[[#This Row],[Estimated Effort (Hours)]]&lt;300,"L4","L5")))))</f>
        <v/>
      </c>
      <c r="S883" s="184" t="str">
        <f>IF(Table1[[#This Row],[Actual End Date]]="","",TEXT(Table1[[#This Row],[Actual End Date]],"mmm-yy"))</f>
        <v/>
      </c>
      <c r="T8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3" s="185" t="str">
        <f>IFERROR((Table1[[#This Row],[Actual Effort (Hours)]]-Table1[[#This Row],[Estimated Effort (Hours)]])/Table1[[#This Row],[Estimated Effort (Hours)]],"")</f>
        <v/>
      </c>
    </row>
    <row r="884" spans="2:21">
      <c r="B884" s="125"/>
      <c r="C884" s="123"/>
      <c r="D884" s="143"/>
      <c r="E884" s="123"/>
      <c r="F884" s="143"/>
      <c r="G884" s="129"/>
      <c r="H884" s="124"/>
      <c r="I884" s="124"/>
      <c r="J884" s="129"/>
      <c r="K884" s="194"/>
      <c r="L884" s="194"/>
      <c r="M884" s="129"/>
      <c r="N884" s="129" t="e">
        <f>Table1[[#This Row],[Estimated Effort (Hours)]]/NETWORKDAYS(Table1[[#This Row],[Planned Start Date]],Table1[[#This Row],[Planned End Date]])</f>
        <v>#DIV/0!</v>
      </c>
      <c r="O884" s="178">
        <f>NETWORKDAYS(Table1[[#This Row],[Planned Start Date]],Table1[[#This Row],[Planned End Date]])</f>
        <v>0</v>
      </c>
      <c r="P884" s="178">
        <f>NETWORKDAYS(Table1[[#This Row],[Planned Start Date]],$P$7)</f>
        <v>30643</v>
      </c>
      <c r="Q884" s="129"/>
      <c r="R884" s="183" t="str">
        <f>IF(Table1[[#This Row],[Actual Effort (Hours)]]="","",IF(Table1[[#This Row],[Estimated Effort (Hours)]]&lt;20,"L1",IF(Table1[[#This Row],[Estimated Effort (Hours)]]&lt;50,"L2",IF(Table1[[#This Row],[Estimated Effort (Hours)]]&lt;150,"L3",IF(Table1[[#This Row],[Estimated Effort (Hours)]]&lt;300,"L4","L5")))))</f>
        <v/>
      </c>
      <c r="S884" s="184" t="str">
        <f>IF(Table1[[#This Row],[Actual End Date]]="","",TEXT(Table1[[#This Row],[Actual End Date]],"mmm-yy"))</f>
        <v/>
      </c>
      <c r="T8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4" s="185" t="str">
        <f>IFERROR((Table1[[#This Row],[Actual Effort (Hours)]]-Table1[[#This Row],[Estimated Effort (Hours)]])/Table1[[#This Row],[Estimated Effort (Hours)]],"")</f>
        <v/>
      </c>
    </row>
    <row r="885" spans="2:21">
      <c r="B885" s="125"/>
      <c r="C885" s="123"/>
      <c r="D885" s="143"/>
      <c r="E885" s="123"/>
      <c r="F885" s="143"/>
      <c r="G885" s="129"/>
      <c r="H885" s="124"/>
      <c r="I885" s="124"/>
      <c r="J885" s="129"/>
      <c r="K885" s="194"/>
      <c r="L885" s="194"/>
      <c r="M885" s="129"/>
      <c r="N885" s="129" t="e">
        <f>Table1[[#This Row],[Estimated Effort (Hours)]]/NETWORKDAYS(Table1[[#This Row],[Planned Start Date]],Table1[[#This Row],[Planned End Date]])</f>
        <v>#DIV/0!</v>
      </c>
      <c r="O885" s="178">
        <f>NETWORKDAYS(Table1[[#This Row],[Planned Start Date]],Table1[[#This Row],[Planned End Date]])</f>
        <v>0</v>
      </c>
      <c r="P885" s="178">
        <f>NETWORKDAYS(Table1[[#This Row],[Planned Start Date]],$P$7)</f>
        <v>30643</v>
      </c>
      <c r="Q885" s="129"/>
      <c r="R885" s="183" t="str">
        <f>IF(Table1[[#This Row],[Actual Effort (Hours)]]="","",IF(Table1[[#This Row],[Estimated Effort (Hours)]]&lt;20,"L1",IF(Table1[[#This Row],[Estimated Effort (Hours)]]&lt;50,"L2",IF(Table1[[#This Row],[Estimated Effort (Hours)]]&lt;150,"L3",IF(Table1[[#This Row],[Estimated Effort (Hours)]]&lt;300,"L4","L5")))))</f>
        <v/>
      </c>
      <c r="S885" s="184" t="str">
        <f>IF(Table1[[#This Row],[Actual End Date]]="","",TEXT(Table1[[#This Row],[Actual End Date]],"mmm-yy"))</f>
        <v/>
      </c>
      <c r="T8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5" s="185" t="str">
        <f>IFERROR((Table1[[#This Row],[Actual Effort (Hours)]]-Table1[[#This Row],[Estimated Effort (Hours)]])/Table1[[#This Row],[Estimated Effort (Hours)]],"")</f>
        <v/>
      </c>
    </row>
    <row r="886" spans="2:21">
      <c r="B886" s="125"/>
      <c r="C886" s="123"/>
      <c r="D886" s="143"/>
      <c r="E886" s="123"/>
      <c r="F886" s="143"/>
      <c r="G886" s="129"/>
      <c r="H886" s="124"/>
      <c r="I886" s="124"/>
      <c r="J886" s="129"/>
      <c r="K886" s="194"/>
      <c r="L886" s="194"/>
      <c r="M886" s="129"/>
      <c r="N886" s="129" t="e">
        <f>Table1[[#This Row],[Estimated Effort (Hours)]]/NETWORKDAYS(Table1[[#This Row],[Planned Start Date]],Table1[[#This Row],[Planned End Date]])</f>
        <v>#DIV/0!</v>
      </c>
      <c r="O886" s="178">
        <f>NETWORKDAYS(Table1[[#This Row],[Planned Start Date]],Table1[[#This Row],[Planned End Date]])</f>
        <v>0</v>
      </c>
      <c r="P886" s="178">
        <f>NETWORKDAYS(Table1[[#This Row],[Planned Start Date]],$P$7)</f>
        <v>30643</v>
      </c>
      <c r="Q886" s="129"/>
      <c r="R886" s="183" t="str">
        <f>IF(Table1[[#This Row],[Actual Effort (Hours)]]="","",IF(Table1[[#This Row],[Estimated Effort (Hours)]]&lt;20,"L1",IF(Table1[[#This Row],[Estimated Effort (Hours)]]&lt;50,"L2",IF(Table1[[#This Row],[Estimated Effort (Hours)]]&lt;150,"L3",IF(Table1[[#This Row],[Estimated Effort (Hours)]]&lt;300,"L4","L5")))))</f>
        <v/>
      </c>
      <c r="S886" s="184" t="str">
        <f>IF(Table1[[#This Row],[Actual End Date]]="","",TEXT(Table1[[#This Row],[Actual End Date]],"mmm-yy"))</f>
        <v/>
      </c>
      <c r="T8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6" s="185" t="str">
        <f>IFERROR((Table1[[#This Row],[Actual Effort (Hours)]]-Table1[[#This Row],[Estimated Effort (Hours)]])/Table1[[#This Row],[Estimated Effort (Hours)]],"")</f>
        <v/>
      </c>
    </row>
    <row r="887" spans="2:21">
      <c r="B887" s="125"/>
      <c r="C887" s="123"/>
      <c r="D887" s="143"/>
      <c r="E887" s="123"/>
      <c r="F887" s="143"/>
      <c r="G887" s="129"/>
      <c r="H887" s="124"/>
      <c r="I887" s="124"/>
      <c r="J887" s="129"/>
      <c r="K887" s="194"/>
      <c r="L887" s="194"/>
      <c r="M887" s="129"/>
      <c r="N887" s="129" t="e">
        <f>Table1[[#This Row],[Estimated Effort (Hours)]]/NETWORKDAYS(Table1[[#This Row],[Planned Start Date]],Table1[[#This Row],[Planned End Date]])</f>
        <v>#DIV/0!</v>
      </c>
      <c r="O887" s="178">
        <f>NETWORKDAYS(Table1[[#This Row],[Planned Start Date]],Table1[[#This Row],[Planned End Date]])</f>
        <v>0</v>
      </c>
      <c r="P887" s="178">
        <f>NETWORKDAYS(Table1[[#This Row],[Planned Start Date]],$P$7)</f>
        <v>30643</v>
      </c>
      <c r="Q887" s="129"/>
      <c r="R887" s="183" t="str">
        <f>IF(Table1[[#This Row],[Actual Effort (Hours)]]="","",IF(Table1[[#This Row],[Estimated Effort (Hours)]]&lt;20,"L1",IF(Table1[[#This Row],[Estimated Effort (Hours)]]&lt;50,"L2",IF(Table1[[#This Row],[Estimated Effort (Hours)]]&lt;150,"L3",IF(Table1[[#This Row],[Estimated Effort (Hours)]]&lt;300,"L4","L5")))))</f>
        <v/>
      </c>
      <c r="S887" s="184" t="str">
        <f>IF(Table1[[#This Row],[Actual End Date]]="","",TEXT(Table1[[#This Row],[Actual End Date]],"mmm-yy"))</f>
        <v/>
      </c>
      <c r="T8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7" s="185" t="str">
        <f>IFERROR((Table1[[#This Row],[Actual Effort (Hours)]]-Table1[[#This Row],[Estimated Effort (Hours)]])/Table1[[#This Row],[Estimated Effort (Hours)]],"")</f>
        <v/>
      </c>
    </row>
    <row r="888" spans="2:21">
      <c r="B888" s="125"/>
      <c r="C888" s="123"/>
      <c r="D888" s="143"/>
      <c r="E888" s="123"/>
      <c r="F888" s="143"/>
      <c r="G888" s="129"/>
      <c r="H888" s="124"/>
      <c r="I888" s="124"/>
      <c r="J888" s="129"/>
      <c r="K888" s="194"/>
      <c r="L888" s="194"/>
      <c r="M888" s="129"/>
      <c r="N888" s="129" t="e">
        <f>Table1[[#This Row],[Estimated Effort (Hours)]]/NETWORKDAYS(Table1[[#This Row],[Planned Start Date]],Table1[[#This Row],[Planned End Date]])</f>
        <v>#DIV/0!</v>
      </c>
      <c r="O888" s="178">
        <f>NETWORKDAYS(Table1[[#This Row],[Planned Start Date]],Table1[[#This Row],[Planned End Date]])</f>
        <v>0</v>
      </c>
      <c r="P888" s="178">
        <f>NETWORKDAYS(Table1[[#This Row],[Planned Start Date]],$P$7)</f>
        <v>30643</v>
      </c>
      <c r="Q888" s="129"/>
      <c r="R888" s="183" t="str">
        <f>IF(Table1[[#This Row],[Actual Effort (Hours)]]="","",IF(Table1[[#This Row],[Estimated Effort (Hours)]]&lt;20,"L1",IF(Table1[[#This Row],[Estimated Effort (Hours)]]&lt;50,"L2",IF(Table1[[#This Row],[Estimated Effort (Hours)]]&lt;150,"L3",IF(Table1[[#This Row],[Estimated Effort (Hours)]]&lt;300,"L4","L5")))))</f>
        <v/>
      </c>
      <c r="S888" s="184" t="str">
        <f>IF(Table1[[#This Row],[Actual End Date]]="","",TEXT(Table1[[#This Row],[Actual End Date]],"mmm-yy"))</f>
        <v/>
      </c>
      <c r="T8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8" s="185" t="str">
        <f>IFERROR((Table1[[#This Row],[Actual Effort (Hours)]]-Table1[[#This Row],[Estimated Effort (Hours)]])/Table1[[#This Row],[Estimated Effort (Hours)]],"")</f>
        <v/>
      </c>
    </row>
    <row r="889" spans="2:21">
      <c r="B889" s="125"/>
      <c r="C889" s="123"/>
      <c r="D889" s="143"/>
      <c r="E889" s="123"/>
      <c r="F889" s="143"/>
      <c r="G889" s="129"/>
      <c r="H889" s="124"/>
      <c r="I889" s="124"/>
      <c r="J889" s="129"/>
      <c r="K889" s="194"/>
      <c r="L889" s="194"/>
      <c r="M889" s="129"/>
      <c r="N889" s="129" t="e">
        <f>Table1[[#This Row],[Estimated Effort (Hours)]]/NETWORKDAYS(Table1[[#This Row],[Planned Start Date]],Table1[[#This Row],[Planned End Date]])</f>
        <v>#DIV/0!</v>
      </c>
      <c r="O889" s="178">
        <f>NETWORKDAYS(Table1[[#This Row],[Planned Start Date]],Table1[[#This Row],[Planned End Date]])</f>
        <v>0</v>
      </c>
      <c r="P889" s="178">
        <f>NETWORKDAYS(Table1[[#This Row],[Planned Start Date]],$P$7)</f>
        <v>30643</v>
      </c>
      <c r="Q889" s="129"/>
      <c r="R889" s="183" t="str">
        <f>IF(Table1[[#This Row],[Actual Effort (Hours)]]="","",IF(Table1[[#This Row],[Estimated Effort (Hours)]]&lt;20,"L1",IF(Table1[[#This Row],[Estimated Effort (Hours)]]&lt;50,"L2",IF(Table1[[#This Row],[Estimated Effort (Hours)]]&lt;150,"L3",IF(Table1[[#This Row],[Estimated Effort (Hours)]]&lt;300,"L4","L5")))))</f>
        <v/>
      </c>
      <c r="S889" s="184" t="str">
        <f>IF(Table1[[#This Row],[Actual End Date]]="","",TEXT(Table1[[#This Row],[Actual End Date]],"mmm-yy"))</f>
        <v/>
      </c>
      <c r="T8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89" s="185" t="str">
        <f>IFERROR((Table1[[#This Row],[Actual Effort (Hours)]]-Table1[[#This Row],[Estimated Effort (Hours)]])/Table1[[#This Row],[Estimated Effort (Hours)]],"")</f>
        <v/>
      </c>
    </row>
    <row r="890" spans="2:21">
      <c r="B890" s="125"/>
      <c r="C890" s="123"/>
      <c r="D890" s="143"/>
      <c r="E890" s="123"/>
      <c r="F890" s="143"/>
      <c r="G890" s="129"/>
      <c r="H890" s="124"/>
      <c r="I890" s="124"/>
      <c r="J890" s="129"/>
      <c r="K890" s="194"/>
      <c r="L890" s="194"/>
      <c r="M890" s="129"/>
      <c r="N890" s="129" t="e">
        <f>Table1[[#This Row],[Estimated Effort (Hours)]]/NETWORKDAYS(Table1[[#This Row],[Planned Start Date]],Table1[[#This Row],[Planned End Date]])</f>
        <v>#DIV/0!</v>
      </c>
      <c r="O890" s="178">
        <f>NETWORKDAYS(Table1[[#This Row],[Planned Start Date]],Table1[[#This Row],[Planned End Date]])</f>
        <v>0</v>
      </c>
      <c r="P890" s="178">
        <f>NETWORKDAYS(Table1[[#This Row],[Planned Start Date]],$P$7)</f>
        <v>30643</v>
      </c>
      <c r="Q890" s="129"/>
      <c r="R890" s="183" t="str">
        <f>IF(Table1[[#This Row],[Actual Effort (Hours)]]="","",IF(Table1[[#This Row],[Estimated Effort (Hours)]]&lt;20,"L1",IF(Table1[[#This Row],[Estimated Effort (Hours)]]&lt;50,"L2",IF(Table1[[#This Row],[Estimated Effort (Hours)]]&lt;150,"L3",IF(Table1[[#This Row],[Estimated Effort (Hours)]]&lt;300,"L4","L5")))))</f>
        <v/>
      </c>
      <c r="S890" s="184" t="str">
        <f>IF(Table1[[#This Row],[Actual End Date]]="","",TEXT(Table1[[#This Row],[Actual End Date]],"mmm-yy"))</f>
        <v/>
      </c>
      <c r="T8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0" s="185" t="str">
        <f>IFERROR((Table1[[#This Row],[Actual Effort (Hours)]]-Table1[[#This Row],[Estimated Effort (Hours)]])/Table1[[#This Row],[Estimated Effort (Hours)]],"")</f>
        <v/>
      </c>
    </row>
    <row r="891" spans="2:21">
      <c r="B891" s="125"/>
      <c r="C891" s="123"/>
      <c r="D891" s="143"/>
      <c r="E891" s="123"/>
      <c r="F891" s="143"/>
      <c r="G891" s="129"/>
      <c r="H891" s="124"/>
      <c r="I891" s="124"/>
      <c r="J891" s="129"/>
      <c r="K891" s="194"/>
      <c r="L891" s="194"/>
      <c r="M891" s="129"/>
      <c r="N891" s="129" t="e">
        <f>Table1[[#This Row],[Estimated Effort (Hours)]]/NETWORKDAYS(Table1[[#This Row],[Planned Start Date]],Table1[[#This Row],[Planned End Date]])</f>
        <v>#DIV/0!</v>
      </c>
      <c r="O891" s="178">
        <f>NETWORKDAYS(Table1[[#This Row],[Planned Start Date]],Table1[[#This Row],[Planned End Date]])</f>
        <v>0</v>
      </c>
      <c r="P891" s="178">
        <f>NETWORKDAYS(Table1[[#This Row],[Planned Start Date]],$P$7)</f>
        <v>30643</v>
      </c>
      <c r="Q891" s="129"/>
      <c r="R891" s="183" t="str">
        <f>IF(Table1[[#This Row],[Actual Effort (Hours)]]="","",IF(Table1[[#This Row],[Estimated Effort (Hours)]]&lt;20,"L1",IF(Table1[[#This Row],[Estimated Effort (Hours)]]&lt;50,"L2",IF(Table1[[#This Row],[Estimated Effort (Hours)]]&lt;150,"L3",IF(Table1[[#This Row],[Estimated Effort (Hours)]]&lt;300,"L4","L5")))))</f>
        <v/>
      </c>
      <c r="S891" s="184" t="str">
        <f>IF(Table1[[#This Row],[Actual End Date]]="","",TEXT(Table1[[#This Row],[Actual End Date]],"mmm-yy"))</f>
        <v/>
      </c>
      <c r="T8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1" s="185" t="str">
        <f>IFERROR((Table1[[#This Row],[Actual Effort (Hours)]]-Table1[[#This Row],[Estimated Effort (Hours)]])/Table1[[#This Row],[Estimated Effort (Hours)]],"")</f>
        <v/>
      </c>
    </row>
    <row r="892" spans="2:21">
      <c r="B892" s="125"/>
      <c r="C892" s="123"/>
      <c r="D892" s="143"/>
      <c r="E892" s="123"/>
      <c r="F892" s="143"/>
      <c r="G892" s="129"/>
      <c r="H892" s="124"/>
      <c r="I892" s="124"/>
      <c r="J892" s="129"/>
      <c r="K892" s="194"/>
      <c r="L892" s="194"/>
      <c r="M892" s="129"/>
      <c r="N892" s="129" t="e">
        <f>Table1[[#This Row],[Estimated Effort (Hours)]]/NETWORKDAYS(Table1[[#This Row],[Planned Start Date]],Table1[[#This Row],[Planned End Date]])</f>
        <v>#DIV/0!</v>
      </c>
      <c r="O892" s="178">
        <f>NETWORKDAYS(Table1[[#This Row],[Planned Start Date]],Table1[[#This Row],[Planned End Date]])</f>
        <v>0</v>
      </c>
      <c r="P892" s="178">
        <f>NETWORKDAYS(Table1[[#This Row],[Planned Start Date]],$P$7)</f>
        <v>30643</v>
      </c>
      <c r="Q892" s="129"/>
      <c r="R892" s="183" t="str">
        <f>IF(Table1[[#This Row],[Actual Effort (Hours)]]="","",IF(Table1[[#This Row],[Estimated Effort (Hours)]]&lt;20,"L1",IF(Table1[[#This Row],[Estimated Effort (Hours)]]&lt;50,"L2",IF(Table1[[#This Row],[Estimated Effort (Hours)]]&lt;150,"L3",IF(Table1[[#This Row],[Estimated Effort (Hours)]]&lt;300,"L4","L5")))))</f>
        <v/>
      </c>
      <c r="S892" s="184" t="str">
        <f>IF(Table1[[#This Row],[Actual End Date]]="","",TEXT(Table1[[#This Row],[Actual End Date]],"mmm-yy"))</f>
        <v/>
      </c>
      <c r="T8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2" s="185" t="str">
        <f>IFERROR((Table1[[#This Row],[Actual Effort (Hours)]]-Table1[[#This Row],[Estimated Effort (Hours)]])/Table1[[#This Row],[Estimated Effort (Hours)]],"")</f>
        <v/>
      </c>
    </row>
    <row r="893" spans="2:21">
      <c r="B893" s="125"/>
      <c r="C893" s="123"/>
      <c r="D893" s="143"/>
      <c r="E893" s="123"/>
      <c r="F893" s="143"/>
      <c r="G893" s="129"/>
      <c r="H893" s="124"/>
      <c r="I893" s="124"/>
      <c r="J893" s="129"/>
      <c r="K893" s="194"/>
      <c r="L893" s="194"/>
      <c r="M893" s="129"/>
      <c r="N893" s="129" t="e">
        <f>Table1[[#This Row],[Estimated Effort (Hours)]]/NETWORKDAYS(Table1[[#This Row],[Planned Start Date]],Table1[[#This Row],[Planned End Date]])</f>
        <v>#DIV/0!</v>
      </c>
      <c r="O893" s="178">
        <f>NETWORKDAYS(Table1[[#This Row],[Planned Start Date]],Table1[[#This Row],[Planned End Date]])</f>
        <v>0</v>
      </c>
      <c r="P893" s="178">
        <f>NETWORKDAYS(Table1[[#This Row],[Planned Start Date]],$P$7)</f>
        <v>30643</v>
      </c>
      <c r="Q893" s="129"/>
      <c r="R893" s="183" t="str">
        <f>IF(Table1[[#This Row],[Actual Effort (Hours)]]="","",IF(Table1[[#This Row],[Estimated Effort (Hours)]]&lt;20,"L1",IF(Table1[[#This Row],[Estimated Effort (Hours)]]&lt;50,"L2",IF(Table1[[#This Row],[Estimated Effort (Hours)]]&lt;150,"L3",IF(Table1[[#This Row],[Estimated Effort (Hours)]]&lt;300,"L4","L5")))))</f>
        <v/>
      </c>
      <c r="S893" s="184" t="str">
        <f>IF(Table1[[#This Row],[Actual End Date]]="","",TEXT(Table1[[#This Row],[Actual End Date]],"mmm-yy"))</f>
        <v/>
      </c>
      <c r="T8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3" s="185" t="str">
        <f>IFERROR((Table1[[#This Row],[Actual Effort (Hours)]]-Table1[[#This Row],[Estimated Effort (Hours)]])/Table1[[#This Row],[Estimated Effort (Hours)]],"")</f>
        <v/>
      </c>
    </row>
    <row r="894" spans="2:21">
      <c r="B894" s="125"/>
      <c r="C894" s="123"/>
      <c r="D894" s="143"/>
      <c r="E894" s="123"/>
      <c r="F894" s="143"/>
      <c r="G894" s="129"/>
      <c r="H894" s="124"/>
      <c r="I894" s="124"/>
      <c r="J894" s="129"/>
      <c r="K894" s="194"/>
      <c r="L894" s="194"/>
      <c r="M894" s="129"/>
      <c r="N894" s="129" t="e">
        <f>Table1[[#This Row],[Estimated Effort (Hours)]]/NETWORKDAYS(Table1[[#This Row],[Planned Start Date]],Table1[[#This Row],[Planned End Date]])</f>
        <v>#DIV/0!</v>
      </c>
      <c r="O894" s="178">
        <f>NETWORKDAYS(Table1[[#This Row],[Planned Start Date]],Table1[[#This Row],[Planned End Date]])</f>
        <v>0</v>
      </c>
      <c r="P894" s="178">
        <f>NETWORKDAYS(Table1[[#This Row],[Planned Start Date]],$P$7)</f>
        <v>30643</v>
      </c>
      <c r="Q894" s="129"/>
      <c r="R894" s="183" t="str">
        <f>IF(Table1[[#This Row],[Actual Effort (Hours)]]="","",IF(Table1[[#This Row],[Estimated Effort (Hours)]]&lt;20,"L1",IF(Table1[[#This Row],[Estimated Effort (Hours)]]&lt;50,"L2",IF(Table1[[#This Row],[Estimated Effort (Hours)]]&lt;150,"L3",IF(Table1[[#This Row],[Estimated Effort (Hours)]]&lt;300,"L4","L5")))))</f>
        <v/>
      </c>
      <c r="S894" s="184" t="str">
        <f>IF(Table1[[#This Row],[Actual End Date]]="","",TEXT(Table1[[#This Row],[Actual End Date]],"mmm-yy"))</f>
        <v/>
      </c>
      <c r="T8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4" s="185" t="str">
        <f>IFERROR((Table1[[#This Row],[Actual Effort (Hours)]]-Table1[[#This Row],[Estimated Effort (Hours)]])/Table1[[#This Row],[Estimated Effort (Hours)]],"")</f>
        <v/>
      </c>
    </row>
    <row r="895" spans="2:21">
      <c r="B895" s="125"/>
      <c r="C895" s="123"/>
      <c r="D895" s="143"/>
      <c r="E895" s="123"/>
      <c r="F895" s="143"/>
      <c r="G895" s="129"/>
      <c r="H895" s="124"/>
      <c r="I895" s="124"/>
      <c r="J895" s="129"/>
      <c r="K895" s="194"/>
      <c r="L895" s="194"/>
      <c r="M895" s="129"/>
      <c r="N895" s="129" t="e">
        <f>Table1[[#This Row],[Estimated Effort (Hours)]]/NETWORKDAYS(Table1[[#This Row],[Planned Start Date]],Table1[[#This Row],[Planned End Date]])</f>
        <v>#DIV/0!</v>
      </c>
      <c r="O895" s="178">
        <f>NETWORKDAYS(Table1[[#This Row],[Planned Start Date]],Table1[[#This Row],[Planned End Date]])</f>
        <v>0</v>
      </c>
      <c r="P895" s="178">
        <f>NETWORKDAYS(Table1[[#This Row],[Planned Start Date]],$P$7)</f>
        <v>30643</v>
      </c>
      <c r="Q895" s="129"/>
      <c r="R895" s="183" t="str">
        <f>IF(Table1[[#This Row],[Actual Effort (Hours)]]="","",IF(Table1[[#This Row],[Estimated Effort (Hours)]]&lt;20,"L1",IF(Table1[[#This Row],[Estimated Effort (Hours)]]&lt;50,"L2",IF(Table1[[#This Row],[Estimated Effort (Hours)]]&lt;150,"L3",IF(Table1[[#This Row],[Estimated Effort (Hours)]]&lt;300,"L4","L5")))))</f>
        <v/>
      </c>
      <c r="S895" s="184" t="str">
        <f>IF(Table1[[#This Row],[Actual End Date]]="","",TEXT(Table1[[#This Row],[Actual End Date]],"mmm-yy"))</f>
        <v/>
      </c>
      <c r="T8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5" s="185" t="str">
        <f>IFERROR((Table1[[#This Row],[Actual Effort (Hours)]]-Table1[[#This Row],[Estimated Effort (Hours)]])/Table1[[#This Row],[Estimated Effort (Hours)]],"")</f>
        <v/>
      </c>
    </row>
    <row r="896" spans="2:21">
      <c r="B896" s="125"/>
      <c r="C896" s="123"/>
      <c r="D896" s="143"/>
      <c r="E896" s="123"/>
      <c r="F896" s="143"/>
      <c r="G896" s="129"/>
      <c r="H896" s="124"/>
      <c r="I896" s="124"/>
      <c r="J896" s="129"/>
      <c r="K896" s="194"/>
      <c r="L896" s="194"/>
      <c r="M896" s="129"/>
      <c r="N896" s="129" t="e">
        <f>Table1[[#This Row],[Estimated Effort (Hours)]]/NETWORKDAYS(Table1[[#This Row],[Planned Start Date]],Table1[[#This Row],[Planned End Date]])</f>
        <v>#DIV/0!</v>
      </c>
      <c r="O896" s="178">
        <f>NETWORKDAYS(Table1[[#This Row],[Planned Start Date]],Table1[[#This Row],[Planned End Date]])</f>
        <v>0</v>
      </c>
      <c r="P896" s="178">
        <f>NETWORKDAYS(Table1[[#This Row],[Planned Start Date]],$P$7)</f>
        <v>30643</v>
      </c>
      <c r="Q896" s="129"/>
      <c r="R896" s="183" t="str">
        <f>IF(Table1[[#This Row],[Actual Effort (Hours)]]="","",IF(Table1[[#This Row],[Estimated Effort (Hours)]]&lt;20,"L1",IF(Table1[[#This Row],[Estimated Effort (Hours)]]&lt;50,"L2",IF(Table1[[#This Row],[Estimated Effort (Hours)]]&lt;150,"L3",IF(Table1[[#This Row],[Estimated Effort (Hours)]]&lt;300,"L4","L5")))))</f>
        <v/>
      </c>
      <c r="S896" s="184" t="str">
        <f>IF(Table1[[#This Row],[Actual End Date]]="","",TEXT(Table1[[#This Row],[Actual End Date]],"mmm-yy"))</f>
        <v/>
      </c>
      <c r="T8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6" s="185" t="str">
        <f>IFERROR((Table1[[#This Row],[Actual Effort (Hours)]]-Table1[[#This Row],[Estimated Effort (Hours)]])/Table1[[#This Row],[Estimated Effort (Hours)]],"")</f>
        <v/>
      </c>
    </row>
    <row r="897" spans="2:21">
      <c r="B897" s="125"/>
      <c r="C897" s="123"/>
      <c r="D897" s="143"/>
      <c r="E897" s="123"/>
      <c r="F897" s="143"/>
      <c r="G897" s="129"/>
      <c r="H897" s="124"/>
      <c r="I897" s="124"/>
      <c r="J897" s="129"/>
      <c r="K897" s="194"/>
      <c r="L897" s="194"/>
      <c r="M897" s="129"/>
      <c r="N897" s="129" t="e">
        <f>Table1[[#This Row],[Estimated Effort (Hours)]]/NETWORKDAYS(Table1[[#This Row],[Planned Start Date]],Table1[[#This Row],[Planned End Date]])</f>
        <v>#DIV/0!</v>
      </c>
      <c r="O897" s="178">
        <f>NETWORKDAYS(Table1[[#This Row],[Planned Start Date]],Table1[[#This Row],[Planned End Date]])</f>
        <v>0</v>
      </c>
      <c r="P897" s="178">
        <f>NETWORKDAYS(Table1[[#This Row],[Planned Start Date]],$P$7)</f>
        <v>30643</v>
      </c>
      <c r="Q897" s="129"/>
      <c r="R897" s="183" t="str">
        <f>IF(Table1[[#This Row],[Actual Effort (Hours)]]="","",IF(Table1[[#This Row],[Estimated Effort (Hours)]]&lt;20,"L1",IF(Table1[[#This Row],[Estimated Effort (Hours)]]&lt;50,"L2",IF(Table1[[#This Row],[Estimated Effort (Hours)]]&lt;150,"L3",IF(Table1[[#This Row],[Estimated Effort (Hours)]]&lt;300,"L4","L5")))))</f>
        <v/>
      </c>
      <c r="S897" s="184" t="str">
        <f>IF(Table1[[#This Row],[Actual End Date]]="","",TEXT(Table1[[#This Row],[Actual End Date]],"mmm-yy"))</f>
        <v/>
      </c>
      <c r="T8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7" s="185" t="str">
        <f>IFERROR((Table1[[#This Row],[Actual Effort (Hours)]]-Table1[[#This Row],[Estimated Effort (Hours)]])/Table1[[#This Row],[Estimated Effort (Hours)]],"")</f>
        <v/>
      </c>
    </row>
    <row r="898" spans="2:21">
      <c r="B898" s="125"/>
      <c r="C898" s="123"/>
      <c r="D898" s="143"/>
      <c r="E898" s="123"/>
      <c r="F898" s="143"/>
      <c r="G898" s="129"/>
      <c r="H898" s="124"/>
      <c r="I898" s="124"/>
      <c r="J898" s="129"/>
      <c r="K898" s="194"/>
      <c r="L898" s="194"/>
      <c r="M898" s="129"/>
      <c r="N898" s="129" t="e">
        <f>Table1[[#This Row],[Estimated Effort (Hours)]]/NETWORKDAYS(Table1[[#This Row],[Planned Start Date]],Table1[[#This Row],[Planned End Date]])</f>
        <v>#DIV/0!</v>
      </c>
      <c r="O898" s="178">
        <f>NETWORKDAYS(Table1[[#This Row],[Planned Start Date]],Table1[[#This Row],[Planned End Date]])</f>
        <v>0</v>
      </c>
      <c r="P898" s="178">
        <f>NETWORKDAYS(Table1[[#This Row],[Planned Start Date]],$P$7)</f>
        <v>30643</v>
      </c>
      <c r="Q898" s="129"/>
      <c r="R898" s="183" t="str">
        <f>IF(Table1[[#This Row],[Actual Effort (Hours)]]="","",IF(Table1[[#This Row],[Estimated Effort (Hours)]]&lt;20,"L1",IF(Table1[[#This Row],[Estimated Effort (Hours)]]&lt;50,"L2",IF(Table1[[#This Row],[Estimated Effort (Hours)]]&lt;150,"L3",IF(Table1[[#This Row],[Estimated Effort (Hours)]]&lt;300,"L4","L5")))))</f>
        <v/>
      </c>
      <c r="S898" s="184" t="str">
        <f>IF(Table1[[#This Row],[Actual End Date]]="","",TEXT(Table1[[#This Row],[Actual End Date]],"mmm-yy"))</f>
        <v/>
      </c>
      <c r="T8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8" s="185" t="str">
        <f>IFERROR((Table1[[#This Row],[Actual Effort (Hours)]]-Table1[[#This Row],[Estimated Effort (Hours)]])/Table1[[#This Row],[Estimated Effort (Hours)]],"")</f>
        <v/>
      </c>
    </row>
    <row r="899" spans="2:21">
      <c r="B899" s="125"/>
      <c r="C899" s="123"/>
      <c r="D899" s="143"/>
      <c r="E899" s="123"/>
      <c r="F899" s="143"/>
      <c r="G899" s="129"/>
      <c r="H899" s="124"/>
      <c r="I899" s="124"/>
      <c r="J899" s="129"/>
      <c r="K899" s="194"/>
      <c r="L899" s="194"/>
      <c r="M899" s="129"/>
      <c r="N899" s="129" t="e">
        <f>Table1[[#This Row],[Estimated Effort (Hours)]]/NETWORKDAYS(Table1[[#This Row],[Planned Start Date]],Table1[[#This Row],[Planned End Date]])</f>
        <v>#DIV/0!</v>
      </c>
      <c r="O899" s="178">
        <f>NETWORKDAYS(Table1[[#This Row],[Planned Start Date]],Table1[[#This Row],[Planned End Date]])</f>
        <v>0</v>
      </c>
      <c r="P899" s="178">
        <f>NETWORKDAYS(Table1[[#This Row],[Planned Start Date]],$P$7)</f>
        <v>30643</v>
      </c>
      <c r="Q899" s="129"/>
      <c r="R899" s="183" t="str">
        <f>IF(Table1[[#This Row],[Actual Effort (Hours)]]="","",IF(Table1[[#This Row],[Estimated Effort (Hours)]]&lt;20,"L1",IF(Table1[[#This Row],[Estimated Effort (Hours)]]&lt;50,"L2",IF(Table1[[#This Row],[Estimated Effort (Hours)]]&lt;150,"L3",IF(Table1[[#This Row],[Estimated Effort (Hours)]]&lt;300,"L4","L5")))))</f>
        <v/>
      </c>
      <c r="S899" s="184" t="str">
        <f>IF(Table1[[#This Row],[Actual End Date]]="","",TEXT(Table1[[#This Row],[Actual End Date]],"mmm-yy"))</f>
        <v/>
      </c>
      <c r="T8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899" s="185" t="str">
        <f>IFERROR((Table1[[#This Row],[Actual Effort (Hours)]]-Table1[[#This Row],[Estimated Effort (Hours)]])/Table1[[#This Row],[Estimated Effort (Hours)]],"")</f>
        <v/>
      </c>
    </row>
    <row r="900" spans="2:21">
      <c r="B900" s="125"/>
      <c r="C900" s="123"/>
      <c r="D900" s="143"/>
      <c r="E900" s="123"/>
      <c r="F900" s="143"/>
      <c r="G900" s="129"/>
      <c r="H900" s="124"/>
      <c r="I900" s="124"/>
      <c r="J900" s="129"/>
      <c r="K900" s="194"/>
      <c r="L900" s="194"/>
      <c r="M900" s="129"/>
      <c r="N900" s="129" t="e">
        <f>Table1[[#This Row],[Estimated Effort (Hours)]]/NETWORKDAYS(Table1[[#This Row],[Planned Start Date]],Table1[[#This Row],[Planned End Date]])</f>
        <v>#DIV/0!</v>
      </c>
      <c r="O900" s="178">
        <f>NETWORKDAYS(Table1[[#This Row],[Planned Start Date]],Table1[[#This Row],[Planned End Date]])</f>
        <v>0</v>
      </c>
      <c r="P900" s="178">
        <f>NETWORKDAYS(Table1[[#This Row],[Planned Start Date]],$P$7)</f>
        <v>30643</v>
      </c>
      <c r="Q900" s="129"/>
      <c r="R900" s="183" t="str">
        <f>IF(Table1[[#This Row],[Actual Effort (Hours)]]="","",IF(Table1[[#This Row],[Estimated Effort (Hours)]]&lt;20,"L1",IF(Table1[[#This Row],[Estimated Effort (Hours)]]&lt;50,"L2",IF(Table1[[#This Row],[Estimated Effort (Hours)]]&lt;150,"L3",IF(Table1[[#This Row],[Estimated Effort (Hours)]]&lt;300,"L4","L5")))))</f>
        <v/>
      </c>
      <c r="S900" s="184" t="str">
        <f>IF(Table1[[#This Row],[Actual End Date]]="","",TEXT(Table1[[#This Row],[Actual End Date]],"mmm-yy"))</f>
        <v/>
      </c>
      <c r="T9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0" s="185" t="str">
        <f>IFERROR((Table1[[#This Row],[Actual Effort (Hours)]]-Table1[[#This Row],[Estimated Effort (Hours)]])/Table1[[#This Row],[Estimated Effort (Hours)]],"")</f>
        <v/>
      </c>
    </row>
    <row r="901" spans="2:21">
      <c r="B901" s="125"/>
      <c r="C901" s="123"/>
      <c r="D901" s="143"/>
      <c r="E901" s="123"/>
      <c r="F901" s="143"/>
      <c r="G901" s="129"/>
      <c r="H901" s="124"/>
      <c r="I901" s="124"/>
      <c r="J901" s="129"/>
      <c r="K901" s="194"/>
      <c r="L901" s="194"/>
      <c r="M901" s="129"/>
      <c r="N901" s="129" t="e">
        <f>Table1[[#This Row],[Estimated Effort (Hours)]]/NETWORKDAYS(Table1[[#This Row],[Planned Start Date]],Table1[[#This Row],[Planned End Date]])</f>
        <v>#DIV/0!</v>
      </c>
      <c r="O901" s="178">
        <f>NETWORKDAYS(Table1[[#This Row],[Planned Start Date]],Table1[[#This Row],[Planned End Date]])</f>
        <v>0</v>
      </c>
      <c r="P901" s="178">
        <f>NETWORKDAYS(Table1[[#This Row],[Planned Start Date]],$P$7)</f>
        <v>30643</v>
      </c>
      <c r="Q901" s="129"/>
      <c r="R901" s="183" t="str">
        <f>IF(Table1[[#This Row],[Actual Effort (Hours)]]="","",IF(Table1[[#This Row],[Estimated Effort (Hours)]]&lt;20,"L1",IF(Table1[[#This Row],[Estimated Effort (Hours)]]&lt;50,"L2",IF(Table1[[#This Row],[Estimated Effort (Hours)]]&lt;150,"L3",IF(Table1[[#This Row],[Estimated Effort (Hours)]]&lt;300,"L4","L5")))))</f>
        <v/>
      </c>
      <c r="S901" s="184" t="str">
        <f>IF(Table1[[#This Row],[Actual End Date]]="","",TEXT(Table1[[#This Row],[Actual End Date]],"mmm-yy"))</f>
        <v/>
      </c>
      <c r="T9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1" s="185" t="str">
        <f>IFERROR((Table1[[#This Row],[Actual Effort (Hours)]]-Table1[[#This Row],[Estimated Effort (Hours)]])/Table1[[#This Row],[Estimated Effort (Hours)]],"")</f>
        <v/>
      </c>
    </row>
    <row r="902" spans="2:21">
      <c r="B902" s="125"/>
      <c r="C902" s="123"/>
      <c r="D902" s="143"/>
      <c r="E902" s="123"/>
      <c r="F902" s="143"/>
      <c r="G902" s="129"/>
      <c r="H902" s="124"/>
      <c r="I902" s="124"/>
      <c r="J902" s="129"/>
      <c r="K902" s="194"/>
      <c r="L902" s="194"/>
      <c r="M902" s="129"/>
      <c r="N902" s="129" t="e">
        <f>Table1[[#This Row],[Estimated Effort (Hours)]]/NETWORKDAYS(Table1[[#This Row],[Planned Start Date]],Table1[[#This Row],[Planned End Date]])</f>
        <v>#DIV/0!</v>
      </c>
      <c r="O902" s="178">
        <f>NETWORKDAYS(Table1[[#This Row],[Planned Start Date]],Table1[[#This Row],[Planned End Date]])</f>
        <v>0</v>
      </c>
      <c r="P902" s="178">
        <f>NETWORKDAYS(Table1[[#This Row],[Planned Start Date]],$P$7)</f>
        <v>30643</v>
      </c>
      <c r="Q902" s="129"/>
      <c r="R902" s="183" t="str">
        <f>IF(Table1[[#This Row],[Actual Effort (Hours)]]="","",IF(Table1[[#This Row],[Estimated Effort (Hours)]]&lt;20,"L1",IF(Table1[[#This Row],[Estimated Effort (Hours)]]&lt;50,"L2",IF(Table1[[#This Row],[Estimated Effort (Hours)]]&lt;150,"L3",IF(Table1[[#This Row],[Estimated Effort (Hours)]]&lt;300,"L4","L5")))))</f>
        <v/>
      </c>
      <c r="S902" s="184" t="str">
        <f>IF(Table1[[#This Row],[Actual End Date]]="","",TEXT(Table1[[#This Row],[Actual End Date]],"mmm-yy"))</f>
        <v/>
      </c>
      <c r="T9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2" s="185" t="str">
        <f>IFERROR((Table1[[#This Row],[Actual Effort (Hours)]]-Table1[[#This Row],[Estimated Effort (Hours)]])/Table1[[#This Row],[Estimated Effort (Hours)]],"")</f>
        <v/>
      </c>
    </row>
    <row r="903" spans="2:21">
      <c r="B903" s="125"/>
      <c r="C903" s="123"/>
      <c r="D903" s="143"/>
      <c r="E903" s="123"/>
      <c r="F903" s="143"/>
      <c r="G903" s="129"/>
      <c r="H903" s="124"/>
      <c r="I903" s="124"/>
      <c r="J903" s="129"/>
      <c r="K903" s="194"/>
      <c r="L903" s="194"/>
      <c r="M903" s="129"/>
      <c r="N903" s="129" t="e">
        <f>Table1[[#This Row],[Estimated Effort (Hours)]]/NETWORKDAYS(Table1[[#This Row],[Planned Start Date]],Table1[[#This Row],[Planned End Date]])</f>
        <v>#DIV/0!</v>
      </c>
      <c r="O903" s="178">
        <f>NETWORKDAYS(Table1[[#This Row],[Planned Start Date]],Table1[[#This Row],[Planned End Date]])</f>
        <v>0</v>
      </c>
      <c r="P903" s="178">
        <f>NETWORKDAYS(Table1[[#This Row],[Planned Start Date]],$P$7)</f>
        <v>30643</v>
      </c>
      <c r="Q903" s="129"/>
      <c r="R903" s="183" t="str">
        <f>IF(Table1[[#This Row],[Actual Effort (Hours)]]="","",IF(Table1[[#This Row],[Estimated Effort (Hours)]]&lt;20,"L1",IF(Table1[[#This Row],[Estimated Effort (Hours)]]&lt;50,"L2",IF(Table1[[#This Row],[Estimated Effort (Hours)]]&lt;150,"L3",IF(Table1[[#This Row],[Estimated Effort (Hours)]]&lt;300,"L4","L5")))))</f>
        <v/>
      </c>
      <c r="S903" s="184" t="str">
        <f>IF(Table1[[#This Row],[Actual End Date]]="","",TEXT(Table1[[#This Row],[Actual End Date]],"mmm-yy"))</f>
        <v/>
      </c>
      <c r="T9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3" s="185" t="str">
        <f>IFERROR((Table1[[#This Row],[Actual Effort (Hours)]]-Table1[[#This Row],[Estimated Effort (Hours)]])/Table1[[#This Row],[Estimated Effort (Hours)]],"")</f>
        <v/>
      </c>
    </row>
    <row r="904" spans="2:21">
      <c r="B904" s="125"/>
      <c r="C904" s="123"/>
      <c r="D904" s="143"/>
      <c r="E904" s="123"/>
      <c r="F904" s="143"/>
      <c r="G904" s="129"/>
      <c r="H904" s="124"/>
      <c r="I904" s="124"/>
      <c r="J904" s="129"/>
      <c r="K904" s="194"/>
      <c r="L904" s="194"/>
      <c r="M904" s="129"/>
      <c r="N904" s="129" t="e">
        <f>Table1[[#This Row],[Estimated Effort (Hours)]]/NETWORKDAYS(Table1[[#This Row],[Planned Start Date]],Table1[[#This Row],[Planned End Date]])</f>
        <v>#DIV/0!</v>
      </c>
      <c r="O904" s="178">
        <f>NETWORKDAYS(Table1[[#This Row],[Planned Start Date]],Table1[[#This Row],[Planned End Date]])</f>
        <v>0</v>
      </c>
      <c r="P904" s="178">
        <f>NETWORKDAYS(Table1[[#This Row],[Planned Start Date]],$P$7)</f>
        <v>30643</v>
      </c>
      <c r="Q904" s="129"/>
      <c r="R904" s="183" t="str">
        <f>IF(Table1[[#This Row],[Actual Effort (Hours)]]="","",IF(Table1[[#This Row],[Estimated Effort (Hours)]]&lt;20,"L1",IF(Table1[[#This Row],[Estimated Effort (Hours)]]&lt;50,"L2",IF(Table1[[#This Row],[Estimated Effort (Hours)]]&lt;150,"L3",IF(Table1[[#This Row],[Estimated Effort (Hours)]]&lt;300,"L4","L5")))))</f>
        <v/>
      </c>
      <c r="S904" s="184" t="str">
        <f>IF(Table1[[#This Row],[Actual End Date]]="","",TEXT(Table1[[#This Row],[Actual End Date]],"mmm-yy"))</f>
        <v/>
      </c>
      <c r="T9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4" s="185" t="str">
        <f>IFERROR((Table1[[#This Row],[Actual Effort (Hours)]]-Table1[[#This Row],[Estimated Effort (Hours)]])/Table1[[#This Row],[Estimated Effort (Hours)]],"")</f>
        <v/>
      </c>
    </row>
    <row r="905" spans="2:21">
      <c r="B905" s="125"/>
      <c r="C905" s="123"/>
      <c r="D905" s="143"/>
      <c r="E905" s="123"/>
      <c r="F905" s="143"/>
      <c r="G905" s="129"/>
      <c r="H905" s="124"/>
      <c r="I905" s="124"/>
      <c r="J905" s="129"/>
      <c r="K905" s="194"/>
      <c r="L905" s="194"/>
      <c r="M905" s="129"/>
      <c r="N905" s="129" t="e">
        <f>Table1[[#This Row],[Estimated Effort (Hours)]]/NETWORKDAYS(Table1[[#This Row],[Planned Start Date]],Table1[[#This Row],[Planned End Date]])</f>
        <v>#DIV/0!</v>
      </c>
      <c r="O905" s="178">
        <f>NETWORKDAYS(Table1[[#This Row],[Planned Start Date]],Table1[[#This Row],[Planned End Date]])</f>
        <v>0</v>
      </c>
      <c r="P905" s="178">
        <f>NETWORKDAYS(Table1[[#This Row],[Planned Start Date]],$P$7)</f>
        <v>30643</v>
      </c>
      <c r="Q905" s="129"/>
      <c r="R905" s="183" t="str">
        <f>IF(Table1[[#This Row],[Actual Effort (Hours)]]="","",IF(Table1[[#This Row],[Estimated Effort (Hours)]]&lt;20,"L1",IF(Table1[[#This Row],[Estimated Effort (Hours)]]&lt;50,"L2",IF(Table1[[#This Row],[Estimated Effort (Hours)]]&lt;150,"L3",IF(Table1[[#This Row],[Estimated Effort (Hours)]]&lt;300,"L4","L5")))))</f>
        <v/>
      </c>
      <c r="S905" s="184" t="str">
        <f>IF(Table1[[#This Row],[Actual End Date]]="","",TEXT(Table1[[#This Row],[Actual End Date]],"mmm-yy"))</f>
        <v/>
      </c>
      <c r="T9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5" s="185" t="str">
        <f>IFERROR((Table1[[#This Row],[Actual Effort (Hours)]]-Table1[[#This Row],[Estimated Effort (Hours)]])/Table1[[#This Row],[Estimated Effort (Hours)]],"")</f>
        <v/>
      </c>
    </row>
    <row r="906" spans="2:21">
      <c r="B906" s="125"/>
      <c r="C906" s="123"/>
      <c r="D906" s="143"/>
      <c r="E906" s="123"/>
      <c r="F906" s="143"/>
      <c r="G906" s="129"/>
      <c r="H906" s="124"/>
      <c r="I906" s="124"/>
      <c r="J906" s="129"/>
      <c r="K906" s="194"/>
      <c r="L906" s="194"/>
      <c r="M906" s="129"/>
      <c r="N906" s="129" t="e">
        <f>Table1[[#This Row],[Estimated Effort (Hours)]]/NETWORKDAYS(Table1[[#This Row],[Planned Start Date]],Table1[[#This Row],[Planned End Date]])</f>
        <v>#DIV/0!</v>
      </c>
      <c r="O906" s="178">
        <f>NETWORKDAYS(Table1[[#This Row],[Planned Start Date]],Table1[[#This Row],[Planned End Date]])</f>
        <v>0</v>
      </c>
      <c r="P906" s="178">
        <f>NETWORKDAYS(Table1[[#This Row],[Planned Start Date]],$P$7)</f>
        <v>30643</v>
      </c>
      <c r="Q906" s="129"/>
      <c r="R906" s="183" t="str">
        <f>IF(Table1[[#This Row],[Actual Effort (Hours)]]="","",IF(Table1[[#This Row],[Estimated Effort (Hours)]]&lt;20,"L1",IF(Table1[[#This Row],[Estimated Effort (Hours)]]&lt;50,"L2",IF(Table1[[#This Row],[Estimated Effort (Hours)]]&lt;150,"L3",IF(Table1[[#This Row],[Estimated Effort (Hours)]]&lt;300,"L4","L5")))))</f>
        <v/>
      </c>
      <c r="S906" s="184" t="str">
        <f>IF(Table1[[#This Row],[Actual End Date]]="","",TEXT(Table1[[#This Row],[Actual End Date]],"mmm-yy"))</f>
        <v/>
      </c>
      <c r="T9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6" s="185" t="str">
        <f>IFERROR((Table1[[#This Row],[Actual Effort (Hours)]]-Table1[[#This Row],[Estimated Effort (Hours)]])/Table1[[#This Row],[Estimated Effort (Hours)]],"")</f>
        <v/>
      </c>
    </row>
    <row r="907" spans="2:21">
      <c r="B907" s="125"/>
      <c r="C907" s="123"/>
      <c r="D907" s="143"/>
      <c r="E907" s="123"/>
      <c r="F907" s="143"/>
      <c r="G907" s="129"/>
      <c r="H907" s="124"/>
      <c r="I907" s="124"/>
      <c r="J907" s="129"/>
      <c r="K907" s="194"/>
      <c r="L907" s="194"/>
      <c r="M907" s="129"/>
      <c r="N907" s="129" t="e">
        <f>Table1[[#This Row],[Estimated Effort (Hours)]]/NETWORKDAYS(Table1[[#This Row],[Planned Start Date]],Table1[[#This Row],[Planned End Date]])</f>
        <v>#DIV/0!</v>
      </c>
      <c r="O907" s="178">
        <f>NETWORKDAYS(Table1[[#This Row],[Planned Start Date]],Table1[[#This Row],[Planned End Date]])</f>
        <v>0</v>
      </c>
      <c r="P907" s="178">
        <f>NETWORKDAYS(Table1[[#This Row],[Planned Start Date]],$P$7)</f>
        <v>30643</v>
      </c>
      <c r="Q907" s="129"/>
      <c r="R907" s="183" t="str">
        <f>IF(Table1[[#This Row],[Actual Effort (Hours)]]="","",IF(Table1[[#This Row],[Estimated Effort (Hours)]]&lt;20,"L1",IF(Table1[[#This Row],[Estimated Effort (Hours)]]&lt;50,"L2",IF(Table1[[#This Row],[Estimated Effort (Hours)]]&lt;150,"L3",IF(Table1[[#This Row],[Estimated Effort (Hours)]]&lt;300,"L4","L5")))))</f>
        <v/>
      </c>
      <c r="S907" s="184" t="str">
        <f>IF(Table1[[#This Row],[Actual End Date]]="","",TEXT(Table1[[#This Row],[Actual End Date]],"mmm-yy"))</f>
        <v/>
      </c>
      <c r="T9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7" s="185" t="str">
        <f>IFERROR((Table1[[#This Row],[Actual Effort (Hours)]]-Table1[[#This Row],[Estimated Effort (Hours)]])/Table1[[#This Row],[Estimated Effort (Hours)]],"")</f>
        <v/>
      </c>
    </row>
    <row r="908" spans="2:21">
      <c r="B908" s="125"/>
      <c r="C908" s="123"/>
      <c r="D908" s="143"/>
      <c r="E908" s="123"/>
      <c r="F908" s="143"/>
      <c r="G908" s="129"/>
      <c r="H908" s="124"/>
      <c r="I908" s="124"/>
      <c r="J908" s="129"/>
      <c r="K908" s="194"/>
      <c r="L908" s="194"/>
      <c r="M908" s="129"/>
      <c r="N908" s="129" t="e">
        <f>Table1[[#This Row],[Estimated Effort (Hours)]]/NETWORKDAYS(Table1[[#This Row],[Planned Start Date]],Table1[[#This Row],[Planned End Date]])</f>
        <v>#DIV/0!</v>
      </c>
      <c r="O908" s="178">
        <f>NETWORKDAYS(Table1[[#This Row],[Planned Start Date]],Table1[[#This Row],[Planned End Date]])</f>
        <v>0</v>
      </c>
      <c r="P908" s="178">
        <f>NETWORKDAYS(Table1[[#This Row],[Planned Start Date]],$P$7)</f>
        <v>30643</v>
      </c>
      <c r="Q908" s="129"/>
      <c r="R908" s="183" t="str">
        <f>IF(Table1[[#This Row],[Actual Effort (Hours)]]="","",IF(Table1[[#This Row],[Estimated Effort (Hours)]]&lt;20,"L1",IF(Table1[[#This Row],[Estimated Effort (Hours)]]&lt;50,"L2",IF(Table1[[#This Row],[Estimated Effort (Hours)]]&lt;150,"L3",IF(Table1[[#This Row],[Estimated Effort (Hours)]]&lt;300,"L4","L5")))))</f>
        <v/>
      </c>
      <c r="S908" s="184" t="str">
        <f>IF(Table1[[#This Row],[Actual End Date]]="","",TEXT(Table1[[#This Row],[Actual End Date]],"mmm-yy"))</f>
        <v/>
      </c>
      <c r="T9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8" s="185" t="str">
        <f>IFERROR((Table1[[#This Row],[Actual Effort (Hours)]]-Table1[[#This Row],[Estimated Effort (Hours)]])/Table1[[#This Row],[Estimated Effort (Hours)]],"")</f>
        <v/>
      </c>
    </row>
    <row r="909" spans="2:21">
      <c r="B909" s="125"/>
      <c r="C909" s="123"/>
      <c r="D909" s="143"/>
      <c r="E909" s="123"/>
      <c r="F909" s="143"/>
      <c r="G909" s="129"/>
      <c r="H909" s="124"/>
      <c r="I909" s="124"/>
      <c r="J909" s="129"/>
      <c r="K909" s="194"/>
      <c r="L909" s="194"/>
      <c r="M909" s="129"/>
      <c r="N909" s="129" t="e">
        <f>Table1[[#This Row],[Estimated Effort (Hours)]]/NETWORKDAYS(Table1[[#This Row],[Planned Start Date]],Table1[[#This Row],[Planned End Date]])</f>
        <v>#DIV/0!</v>
      </c>
      <c r="O909" s="178">
        <f>NETWORKDAYS(Table1[[#This Row],[Planned Start Date]],Table1[[#This Row],[Planned End Date]])</f>
        <v>0</v>
      </c>
      <c r="P909" s="178">
        <f>NETWORKDAYS(Table1[[#This Row],[Planned Start Date]],$P$7)</f>
        <v>30643</v>
      </c>
      <c r="Q909" s="129"/>
      <c r="R909" s="183" t="str">
        <f>IF(Table1[[#This Row],[Actual Effort (Hours)]]="","",IF(Table1[[#This Row],[Estimated Effort (Hours)]]&lt;20,"L1",IF(Table1[[#This Row],[Estimated Effort (Hours)]]&lt;50,"L2",IF(Table1[[#This Row],[Estimated Effort (Hours)]]&lt;150,"L3",IF(Table1[[#This Row],[Estimated Effort (Hours)]]&lt;300,"L4","L5")))))</f>
        <v/>
      </c>
      <c r="S909" s="184" t="str">
        <f>IF(Table1[[#This Row],[Actual End Date]]="","",TEXT(Table1[[#This Row],[Actual End Date]],"mmm-yy"))</f>
        <v/>
      </c>
      <c r="T9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09" s="185" t="str">
        <f>IFERROR((Table1[[#This Row],[Actual Effort (Hours)]]-Table1[[#This Row],[Estimated Effort (Hours)]])/Table1[[#This Row],[Estimated Effort (Hours)]],"")</f>
        <v/>
      </c>
    </row>
    <row r="910" spans="2:21">
      <c r="B910" s="125"/>
      <c r="C910" s="123"/>
      <c r="D910" s="143"/>
      <c r="E910" s="123"/>
      <c r="F910" s="143"/>
      <c r="G910" s="129"/>
      <c r="H910" s="124"/>
      <c r="I910" s="124"/>
      <c r="J910" s="129"/>
      <c r="K910" s="194"/>
      <c r="L910" s="194"/>
      <c r="M910" s="129"/>
      <c r="N910" s="129" t="e">
        <f>Table1[[#This Row],[Estimated Effort (Hours)]]/NETWORKDAYS(Table1[[#This Row],[Planned Start Date]],Table1[[#This Row],[Planned End Date]])</f>
        <v>#DIV/0!</v>
      </c>
      <c r="O910" s="178">
        <f>NETWORKDAYS(Table1[[#This Row],[Planned Start Date]],Table1[[#This Row],[Planned End Date]])</f>
        <v>0</v>
      </c>
      <c r="P910" s="178">
        <f>NETWORKDAYS(Table1[[#This Row],[Planned Start Date]],$P$7)</f>
        <v>30643</v>
      </c>
      <c r="Q910" s="129"/>
      <c r="R910" s="183" t="str">
        <f>IF(Table1[[#This Row],[Actual Effort (Hours)]]="","",IF(Table1[[#This Row],[Estimated Effort (Hours)]]&lt;20,"L1",IF(Table1[[#This Row],[Estimated Effort (Hours)]]&lt;50,"L2",IF(Table1[[#This Row],[Estimated Effort (Hours)]]&lt;150,"L3",IF(Table1[[#This Row],[Estimated Effort (Hours)]]&lt;300,"L4","L5")))))</f>
        <v/>
      </c>
      <c r="S910" s="184" t="str">
        <f>IF(Table1[[#This Row],[Actual End Date]]="","",TEXT(Table1[[#This Row],[Actual End Date]],"mmm-yy"))</f>
        <v/>
      </c>
      <c r="T9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0" s="185" t="str">
        <f>IFERROR((Table1[[#This Row],[Actual Effort (Hours)]]-Table1[[#This Row],[Estimated Effort (Hours)]])/Table1[[#This Row],[Estimated Effort (Hours)]],"")</f>
        <v/>
      </c>
    </row>
    <row r="911" spans="2:21">
      <c r="B911" s="125"/>
      <c r="C911" s="123"/>
      <c r="D911" s="143"/>
      <c r="E911" s="123"/>
      <c r="F911" s="143"/>
      <c r="G911" s="129"/>
      <c r="H911" s="124"/>
      <c r="I911" s="124"/>
      <c r="J911" s="129"/>
      <c r="K911" s="194"/>
      <c r="L911" s="194"/>
      <c r="M911" s="129"/>
      <c r="N911" s="129" t="e">
        <f>Table1[[#This Row],[Estimated Effort (Hours)]]/NETWORKDAYS(Table1[[#This Row],[Planned Start Date]],Table1[[#This Row],[Planned End Date]])</f>
        <v>#DIV/0!</v>
      </c>
      <c r="O911" s="178">
        <f>NETWORKDAYS(Table1[[#This Row],[Planned Start Date]],Table1[[#This Row],[Planned End Date]])</f>
        <v>0</v>
      </c>
      <c r="P911" s="178">
        <f>NETWORKDAYS(Table1[[#This Row],[Planned Start Date]],$P$7)</f>
        <v>30643</v>
      </c>
      <c r="Q911" s="129"/>
      <c r="R911" s="183" t="str">
        <f>IF(Table1[[#This Row],[Actual Effort (Hours)]]="","",IF(Table1[[#This Row],[Estimated Effort (Hours)]]&lt;20,"L1",IF(Table1[[#This Row],[Estimated Effort (Hours)]]&lt;50,"L2",IF(Table1[[#This Row],[Estimated Effort (Hours)]]&lt;150,"L3",IF(Table1[[#This Row],[Estimated Effort (Hours)]]&lt;300,"L4","L5")))))</f>
        <v/>
      </c>
      <c r="S911" s="184" t="str">
        <f>IF(Table1[[#This Row],[Actual End Date]]="","",TEXT(Table1[[#This Row],[Actual End Date]],"mmm-yy"))</f>
        <v/>
      </c>
      <c r="T9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1" s="185" t="str">
        <f>IFERROR((Table1[[#This Row],[Actual Effort (Hours)]]-Table1[[#This Row],[Estimated Effort (Hours)]])/Table1[[#This Row],[Estimated Effort (Hours)]],"")</f>
        <v/>
      </c>
    </row>
    <row r="912" spans="2:21">
      <c r="B912" s="125"/>
      <c r="C912" s="123"/>
      <c r="D912" s="143"/>
      <c r="E912" s="123"/>
      <c r="F912" s="143"/>
      <c r="G912" s="129"/>
      <c r="H912" s="124"/>
      <c r="I912" s="124"/>
      <c r="J912" s="129"/>
      <c r="K912" s="194"/>
      <c r="L912" s="194"/>
      <c r="M912" s="129"/>
      <c r="N912" s="129" t="e">
        <f>Table1[[#This Row],[Estimated Effort (Hours)]]/NETWORKDAYS(Table1[[#This Row],[Planned Start Date]],Table1[[#This Row],[Planned End Date]])</f>
        <v>#DIV/0!</v>
      </c>
      <c r="O912" s="178">
        <f>NETWORKDAYS(Table1[[#This Row],[Planned Start Date]],Table1[[#This Row],[Planned End Date]])</f>
        <v>0</v>
      </c>
      <c r="P912" s="178">
        <f>NETWORKDAYS(Table1[[#This Row],[Planned Start Date]],$P$7)</f>
        <v>30643</v>
      </c>
      <c r="Q912" s="129"/>
      <c r="R912" s="183" t="str">
        <f>IF(Table1[[#This Row],[Actual Effort (Hours)]]="","",IF(Table1[[#This Row],[Estimated Effort (Hours)]]&lt;20,"L1",IF(Table1[[#This Row],[Estimated Effort (Hours)]]&lt;50,"L2",IF(Table1[[#This Row],[Estimated Effort (Hours)]]&lt;150,"L3",IF(Table1[[#This Row],[Estimated Effort (Hours)]]&lt;300,"L4","L5")))))</f>
        <v/>
      </c>
      <c r="S912" s="184" t="str">
        <f>IF(Table1[[#This Row],[Actual End Date]]="","",TEXT(Table1[[#This Row],[Actual End Date]],"mmm-yy"))</f>
        <v/>
      </c>
      <c r="T9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2" s="185" t="str">
        <f>IFERROR((Table1[[#This Row],[Actual Effort (Hours)]]-Table1[[#This Row],[Estimated Effort (Hours)]])/Table1[[#This Row],[Estimated Effort (Hours)]],"")</f>
        <v/>
      </c>
    </row>
    <row r="913" spans="2:21">
      <c r="B913" s="125"/>
      <c r="C913" s="123"/>
      <c r="D913" s="143"/>
      <c r="E913" s="123"/>
      <c r="F913" s="143"/>
      <c r="G913" s="129"/>
      <c r="H913" s="124"/>
      <c r="I913" s="124"/>
      <c r="J913" s="129"/>
      <c r="K913" s="194"/>
      <c r="L913" s="194"/>
      <c r="M913" s="129"/>
      <c r="N913" s="129" t="e">
        <f>Table1[[#This Row],[Estimated Effort (Hours)]]/NETWORKDAYS(Table1[[#This Row],[Planned Start Date]],Table1[[#This Row],[Planned End Date]])</f>
        <v>#DIV/0!</v>
      </c>
      <c r="O913" s="178">
        <f>NETWORKDAYS(Table1[[#This Row],[Planned Start Date]],Table1[[#This Row],[Planned End Date]])</f>
        <v>0</v>
      </c>
      <c r="P913" s="178">
        <f>NETWORKDAYS(Table1[[#This Row],[Planned Start Date]],$P$7)</f>
        <v>30643</v>
      </c>
      <c r="Q913" s="129"/>
      <c r="R913" s="183" t="str">
        <f>IF(Table1[[#This Row],[Actual Effort (Hours)]]="","",IF(Table1[[#This Row],[Estimated Effort (Hours)]]&lt;20,"L1",IF(Table1[[#This Row],[Estimated Effort (Hours)]]&lt;50,"L2",IF(Table1[[#This Row],[Estimated Effort (Hours)]]&lt;150,"L3",IF(Table1[[#This Row],[Estimated Effort (Hours)]]&lt;300,"L4","L5")))))</f>
        <v/>
      </c>
      <c r="S913" s="184" t="str">
        <f>IF(Table1[[#This Row],[Actual End Date]]="","",TEXT(Table1[[#This Row],[Actual End Date]],"mmm-yy"))</f>
        <v/>
      </c>
      <c r="T9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3" s="185" t="str">
        <f>IFERROR((Table1[[#This Row],[Actual Effort (Hours)]]-Table1[[#This Row],[Estimated Effort (Hours)]])/Table1[[#This Row],[Estimated Effort (Hours)]],"")</f>
        <v/>
      </c>
    </row>
    <row r="914" spans="2:21">
      <c r="B914" s="125"/>
      <c r="C914" s="123"/>
      <c r="D914" s="143"/>
      <c r="E914" s="123"/>
      <c r="F914" s="143"/>
      <c r="G914" s="129"/>
      <c r="H914" s="124"/>
      <c r="I914" s="124"/>
      <c r="J914" s="129"/>
      <c r="K914" s="194"/>
      <c r="L914" s="194"/>
      <c r="M914" s="129"/>
      <c r="N914" s="129" t="e">
        <f>Table1[[#This Row],[Estimated Effort (Hours)]]/NETWORKDAYS(Table1[[#This Row],[Planned Start Date]],Table1[[#This Row],[Planned End Date]])</f>
        <v>#DIV/0!</v>
      </c>
      <c r="O914" s="178">
        <f>NETWORKDAYS(Table1[[#This Row],[Planned Start Date]],Table1[[#This Row],[Planned End Date]])</f>
        <v>0</v>
      </c>
      <c r="P914" s="178">
        <f>NETWORKDAYS(Table1[[#This Row],[Planned Start Date]],$P$7)</f>
        <v>30643</v>
      </c>
      <c r="Q914" s="129"/>
      <c r="R914" s="183" t="str">
        <f>IF(Table1[[#This Row],[Actual Effort (Hours)]]="","",IF(Table1[[#This Row],[Estimated Effort (Hours)]]&lt;20,"L1",IF(Table1[[#This Row],[Estimated Effort (Hours)]]&lt;50,"L2",IF(Table1[[#This Row],[Estimated Effort (Hours)]]&lt;150,"L3",IF(Table1[[#This Row],[Estimated Effort (Hours)]]&lt;300,"L4","L5")))))</f>
        <v/>
      </c>
      <c r="S914" s="184" t="str">
        <f>IF(Table1[[#This Row],[Actual End Date]]="","",TEXT(Table1[[#This Row],[Actual End Date]],"mmm-yy"))</f>
        <v/>
      </c>
      <c r="T9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4" s="185" t="str">
        <f>IFERROR((Table1[[#This Row],[Actual Effort (Hours)]]-Table1[[#This Row],[Estimated Effort (Hours)]])/Table1[[#This Row],[Estimated Effort (Hours)]],"")</f>
        <v/>
      </c>
    </row>
    <row r="915" spans="2:21">
      <c r="B915" s="125"/>
      <c r="C915" s="123"/>
      <c r="D915" s="143"/>
      <c r="E915" s="123"/>
      <c r="F915" s="143"/>
      <c r="G915" s="129"/>
      <c r="H915" s="124"/>
      <c r="I915" s="124"/>
      <c r="J915" s="129"/>
      <c r="K915" s="194"/>
      <c r="L915" s="194"/>
      <c r="M915" s="129"/>
      <c r="N915" s="129" t="e">
        <f>Table1[[#This Row],[Estimated Effort (Hours)]]/NETWORKDAYS(Table1[[#This Row],[Planned Start Date]],Table1[[#This Row],[Planned End Date]])</f>
        <v>#DIV/0!</v>
      </c>
      <c r="O915" s="178">
        <f>NETWORKDAYS(Table1[[#This Row],[Planned Start Date]],Table1[[#This Row],[Planned End Date]])</f>
        <v>0</v>
      </c>
      <c r="P915" s="178">
        <f>NETWORKDAYS(Table1[[#This Row],[Planned Start Date]],$P$7)</f>
        <v>30643</v>
      </c>
      <c r="Q915" s="129"/>
      <c r="R915" s="183" t="str">
        <f>IF(Table1[[#This Row],[Actual Effort (Hours)]]="","",IF(Table1[[#This Row],[Estimated Effort (Hours)]]&lt;20,"L1",IF(Table1[[#This Row],[Estimated Effort (Hours)]]&lt;50,"L2",IF(Table1[[#This Row],[Estimated Effort (Hours)]]&lt;150,"L3",IF(Table1[[#This Row],[Estimated Effort (Hours)]]&lt;300,"L4","L5")))))</f>
        <v/>
      </c>
      <c r="S915" s="184" t="str">
        <f>IF(Table1[[#This Row],[Actual End Date]]="","",TEXT(Table1[[#This Row],[Actual End Date]],"mmm-yy"))</f>
        <v/>
      </c>
      <c r="T9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5" s="185" t="str">
        <f>IFERROR((Table1[[#This Row],[Actual Effort (Hours)]]-Table1[[#This Row],[Estimated Effort (Hours)]])/Table1[[#This Row],[Estimated Effort (Hours)]],"")</f>
        <v/>
      </c>
    </row>
    <row r="916" spans="2:21">
      <c r="B916" s="125"/>
      <c r="C916" s="123"/>
      <c r="D916" s="143"/>
      <c r="E916" s="123"/>
      <c r="F916" s="143"/>
      <c r="G916" s="129"/>
      <c r="H916" s="124"/>
      <c r="I916" s="124"/>
      <c r="J916" s="129"/>
      <c r="K916" s="194"/>
      <c r="L916" s="194"/>
      <c r="M916" s="129"/>
      <c r="N916" s="129" t="e">
        <f>Table1[[#This Row],[Estimated Effort (Hours)]]/NETWORKDAYS(Table1[[#This Row],[Planned Start Date]],Table1[[#This Row],[Planned End Date]])</f>
        <v>#DIV/0!</v>
      </c>
      <c r="O916" s="178">
        <f>NETWORKDAYS(Table1[[#This Row],[Planned Start Date]],Table1[[#This Row],[Planned End Date]])</f>
        <v>0</v>
      </c>
      <c r="P916" s="178">
        <f>NETWORKDAYS(Table1[[#This Row],[Planned Start Date]],$P$7)</f>
        <v>30643</v>
      </c>
      <c r="Q916" s="129"/>
      <c r="R916" s="183" t="str">
        <f>IF(Table1[[#This Row],[Actual Effort (Hours)]]="","",IF(Table1[[#This Row],[Estimated Effort (Hours)]]&lt;20,"L1",IF(Table1[[#This Row],[Estimated Effort (Hours)]]&lt;50,"L2",IF(Table1[[#This Row],[Estimated Effort (Hours)]]&lt;150,"L3",IF(Table1[[#This Row],[Estimated Effort (Hours)]]&lt;300,"L4","L5")))))</f>
        <v/>
      </c>
      <c r="S916" s="184" t="str">
        <f>IF(Table1[[#This Row],[Actual End Date]]="","",TEXT(Table1[[#This Row],[Actual End Date]],"mmm-yy"))</f>
        <v/>
      </c>
      <c r="T9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6" s="185" t="str">
        <f>IFERROR((Table1[[#This Row],[Actual Effort (Hours)]]-Table1[[#This Row],[Estimated Effort (Hours)]])/Table1[[#This Row],[Estimated Effort (Hours)]],"")</f>
        <v/>
      </c>
    </row>
    <row r="917" spans="2:21">
      <c r="B917" s="125"/>
      <c r="C917" s="123"/>
      <c r="D917" s="143"/>
      <c r="E917" s="123"/>
      <c r="F917" s="143"/>
      <c r="G917" s="129"/>
      <c r="H917" s="124"/>
      <c r="I917" s="124"/>
      <c r="J917" s="129"/>
      <c r="K917" s="194"/>
      <c r="L917" s="194"/>
      <c r="M917" s="129"/>
      <c r="N917" s="129" t="e">
        <f>Table1[[#This Row],[Estimated Effort (Hours)]]/NETWORKDAYS(Table1[[#This Row],[Planned Start Date]],Table1[[#This Row],[Planned End Date]])</f>
        <v>#DIV/0!</v>
      </c>
      <c r="O917" s="178">
        <f>NETWORKDAYS(Table1[[#This Row],[Planned Start Date]],Table1[[#This Row],[Planned End Date]])</f>
        <v>0</v>
      </c>
      <c r="P917" s="178">
        <f>NETWORKDAYS(Table1[[#This Row],[Planned Start Date]],$P$7)</f>
        <v>30643</v>
      </c>
      <c r="Q917" s="129"/>
      <c r="R917" s="183" t="str">
        <f>IF(Table1[[#This Row],[Actual Effort (Hours)]]="","",IF(Table1[[#This Row],[Estimated Effort (Hours)]]&lt;20,"L1",IF(Table1[[#This Row],[Estimated Effort (Hours)]]&lt;50,"L2",IF(Table1[[#This Row],[Estimated Effort (Hours)]]&lt;150,"L3",IF(Table1[[#This Row],[Estimated Effort (Hours)]]&lt;300,"L4","L5")))))</f>
        <v/>
      </c>
      <c r="S917" s="184" t="str">
        <f>IF(Table1[[#This Row],[Actual End Date]]="","",TEXT(Table1[[#This Row],[Actual End Date]],"mmm-yy"))</f>
        <v/>
      </c>
      <c r="T9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7" s="185" t="str">
        <f>IFERROR((Table1[[#This Row],[Actual Effort (Hours)]]-Table1[[#This Row],[Estimated Effort (Hours)]])/Table1[[#This Row],[Estimated Effort (Hours)]],"")</f>
        <v/>
      </c>
    </row>
    <row r="918" spans="2:21">
      <c r="B918" s="125"/>
      <c r="C918" s="123"/>
      <c r="D918" s="143"/>
      <c r="E918" s="123"/>
      <c r="F918" s="143"/>
      <c r="G918" s="129"/>
      <c r="H918" s="124"/>
      <c r="I918" s="124"/>
      <c r="J918" s="129"/>
      <c r="K918" s="194"/>
      <c r="L918" s="194"/>
      <c r="M918" s="129"/>
      <c r="N918" s="129" t="e">
        <f>Table1[[#This Row],[Estimated Effort (Hours)]]/NETWORKDAYS(Table1[[#This Row],[Planned Start Date]],Table1[[#This Row],[Planned End Date]])</f>
        <v>#DIV/0!</v>
      </c>
      <c r="O918" s="178">
        <f>NETWORKDAYS(Table1[[#This Row],[Planned Start Date]],Table1[[#This Row],[Planned End Date]])</f>
        <v>0</v>
      </c>
      <c r="P918" s="178">
        <f>NETWORKDAYS(Table1[[#This Row],[Planned Start Date]],$P$7)</f>
        <v>30643</v>
      </c>
      <c r="Q918" s="129"/>
      <c r="R918" s="183" t="str">
        <f>IF(Table1[[#This Row],[Actual Effort (Hours)]]="","",IF(Table1[[#This Row],[Estimated Effort (Hours)]]&lt;20,"L1",IF(Table1[[#This Row],[Estimated Effort (Hours)]]&lt;50,"L2",IF(Table1[[#This Row],[Estimated Effort (Hours)]]&lt;150,"L3",IF(Table1[[#This Row],[Estimated Effort (Hours)]]&lt;300,"L4","L5")))))</f>
        <v/>
      </c>
      <c r="S918" s="184" t="str">
        <f>IF(Table1[[#This Row],[Actual End Date]]="","",TEXT(Table1[[#This Row],[Actual End Date]],"mmm-yy"))</f>
        <v/>
      </c>
      <c r="T9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8" s="185" t="str">
        <f>IFERROR((Table1[[#This Row],[Actual Effort (Hours)]]-Table1[[#This Row],[Estimated Effort (Hours)]])/Table1[[#This Row],[Estimated Effort (Hours)]],"")</f>
        <v/>
      </c>
    </row>
    <row r="919" spans="2:21">
      <c r="B919" s="125"/>
      <c r="C919" s="123"/>
      <c r="D919" s="143"/>
      <c r="E919" s="123"/>
      <c r="F919" s="143"/>
      <c r="G919" s="129"/>
      <c r="H919" s="124"/>
      <c r="I919" s="124"/>
      <c r="J919" s="129"/>
      <c r="K919" s="194"/>
      <c r="L919" s="194"/>
      <c r="M919" s="129"/>
      <c r="N919" s="129" t="e">
        <f>Table1[[#This Row],[Estimated Effort (Hours)]]/NETWORKDAYS(Table1[[#This Row],[Planned Start Date]],Table1[[#This Row],[Planned End Date]])</f>
        <v>#DIV/0!</v>
      </c>
      <c r="O919" s="178">
        <f>NETWORKDAYS(Table1[[#This Row],[Planned Start Date]],Table1[[#This Row],[Planned End Date]])</f>
        <v>0</v>
      </c>
      <c r="P919" s="178">
        <f>NETWORKDAYS(Table1[[#This Row],[Planned Start Date]],$P$7)</f>
        <v>30643</v>
      </c>
      <c r="Q919" s="129"/>
      <c r="R919" s="183" t="str">
        <f>IF(Table1[[#This Row],[Actual Effort (Hours)]]="","",IF(Table1[[#This Row],[Estimated Effort (Hours)]]&lt;20,"L1",IF(Table1[[#This Row],[Estimated Effort (Hours)]]&lt;50,"L2",IF(Table1[[#This Row],[Estimated Effort (Hours)]]&lt;150,"L3",IF(Table1[[#This Row],[Estimated Effort (Hours)]]&lt;300,"L4","L5")))))</f>
        <v/>
      </c>
      <c r="S919" s="184" t="str">
        <f>IF(Table1[[#This Row],[Actual End Date]]="","",TEXT(Table1[[#This Row],[Actual End Date]],"mmm-yy"))</f>
        <v/>
      </c>
      <c r="T9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19" s="185" t="str">
        <f>IFERROR((Table1[[#This Row],[Actual Effort (Hours)]]-Table1[[#This Row],[Estimated Effort (Hours)]])/Table1[[#This Row],[Estimated Effort (Hours)]],"")</f>
        <v/>
      </c>
    </row>
    <row r="920" spans="2:21">
      <c r="B920" s="125"/>
      <c r="C920" s="123"/>
      <c r="D920" s="143"/>
      <c r="E920" s="123"/>
      <c r="F920" s="143"/>
      <c r="G920" s="129"/>
      <c r="H920" s="124"/>
      <c r="I920" s="124"/>
      <c r="J920" s="129"/>
      <c r="K920" s="194"/>
      <c r="L920" s="194"/>
      <c r="M920" s="129"/>
      <c r="N920" s="129" t="e">
        <f>Table1[[#This Row],[Estimated Effort (Hours)]]/NETWORKDAYS(Table1[[#This Row],[Planned Start Date]],Table1[[#This Row],[Planned End Date]])</f>
        <v>#DIV/0!</v>
      </c>
      <c r="O920" s="178">
        <f>NETWORKDAYS(Table1[[#This Row],[Planned Start Date]],Table1[[#This Row],[Planned End Date]])</f>
        <v>0</v>
      </c>
      <c r="P920" s="178">
        <f>NETWORKDAYS(Table1[[#This Row],[Planned Start Date]],$P$7)</f>
        <v>30643</v>
      </c>
      <c r="Q920" s="129"/>
      <c r="R920" s="183" t="str">
        <f>IF(Table1[[#This Row],[Actual Effort (Hours)]]="","",IF(Table1[[#This Row],[Estimated Effort (Hours)]]&lt;20,"L1",IF(Table1[[#This Row],[Estimated Effort (Hours)]]&lt;50,"L2",IF(Table1[[#This Row],[Estimated Effort (Hours)]]&lt;150,"L3",IF(Table1[[#This Row],[Estimated Effort (Hours)]]&lt;300,"L4","L5")))))</f>
        <v/>
      </c>
      <c r="S920" s="184" t="str">
        <f>IF(Table1[[#This Row],[Actual End Date]]="","",TEXT(Table1[[#This Row],[Actual End Date]],"mmm-yy"))</f>
        <v/>
      </c>
      <c r="T9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0" s="185" t="str">
        <f>IFERROR((Table1[[#This Row],[Actual Effort (Hours)]]-Table1[[#This Row],[Estimated Effort (Hours)]])/Table1[[#This Row],[Estimated Effort (Hours)]],"")</f>
        <v/>
      </c>
    </row>
    <row r="921" spans="2:21">
      <c r="B921" s="125"/>
      <c r="C921" s="123"/>
      <c r="D921" s="143"/>
      <c r="E921" s="123"/>
      <c r="F921" s="143"/>
      <c r="G921" s="129"/>
      <c r="H921" s="124"/>
      <c r="I921" s="124"/>
      <c r="J921" s="129"/>
      <c r="K921" s="194"/>
      <c r="L921" s="194"/>
      <c r="M921" s="129"/>
      <c r="N921" s="129" t="e">
        <f>Table1[[#This Row],[Estimated Effort (Hours)]]/NETWORKDAYS(Table1[[#This Row],[Planned Start Date]],Table1[[#This Row],[Planned End Date]])</f>
        <v>#DIV/0!</v>
      </c>
      <c r="O921" s="178">
        <f>NETWORKDAYS(Table1[[#This Row],[Planned Start Date]],Table1[[#This Row],[Planned End Date]])</f>
        <v>0</v>
      </c>
      <c r="P921" s="178">
        <f>NETWORKDAYS(Table1[[#This Row],[Planned Start Date]],$P$7)</f>
        <v>30643</v>
      </c>
      <c r="Q921" s="129"/>
      <c r="R921" s="183" t="str">
        <f>IF(Table1[[#This Row],[Actual Effort (Hours)]]="","",IF(Table1[[#This Row],[Estimated Effort (Hours)]]&lt;20,"L1",IF(Table1[[#This Row],[Estimated Effort (Hours)]]&lt;50,"L2",IF(Table1[[#This Row],[Estimated Effort (Hours)]]&lt;150,"L3",IF(Table1[[#This Row],[Estimated Effort (Hours)]]&lt;300,"L4","L5")))))</f>
        <v/>
      </c>
      <c r="S921" s="184" t="str">
        <f>IF(Table1[[#This Row],[Actual End Date]]="","",TEXT(Table1[[#This Row],[Actual End Date]],"mmm-yy"))</f>
        <v/>
      </c>
      <c r="T9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1" s="185" t="str">
        <f>IFERROR((Table1[[#This Row],[Actual Effort (Hours)]]-Table1[[#This Row],[Estimated Effort (Hours)]])/Table1[[#This Row],[Estimated Effort (Hours)]],"")</f>
        <v/>
      </c>
    </row>
    <row r="922" spans="2:21">
      <c r="B922" s="125"/>
      <c r="C922" s="123"/>
      <c r="D922" s="143"/>
      <c r="E922" s="123"/>
      <c r="F922" s="143"/>
      <c r="G922" s="129"/>
      <c r="H922" s="124"/>
      <c r="I922" s="124"/>
      <c r="J922" s="129"/>
      <c r="K922" s="194"/>
      <c r="L922" s="194"/>
      <c r="M922" s="129"/>
      <c r="N922" s="129" t="e">
        <f>Table1[[#This Row],[Estimated Effort (Hours)]]/NETWORKDAYS(Table1[[#This Row],[Planned Start Date]],Table1[[#This Row],[Planned End Date]])</f>
        <v>#DIV/0!</v>
      </c>
      <c r="O922" s="178">
        <f>NETWORKDAYS(Table1[[#This Row],[Planned Start Date]],Table1[[#This Row],[Planned End Date]])</f>
        <v>0</v>
      </c>
      <c r="P922" s="178">
        <f>NETWORKDAYS(Table1[[#This Row],[Planned Start Date]],$P$7)</f>
        <v>30643</v>
      </c>
      <c r="Q922" s="129"/>
      <c r="R922" s="183" t="str">
        <f>IF(Table1[[#This Row],[Actual Effort (Hours)]]="","",IF(Table1[[#This Row],[Estimated Effort (Hours)]]&lt;20,"L1",IF(Table1[[#This Row],[Estimated Effort (Hours)]]&lt;50,"L2",IF(Table1[[#This Row],[Estimated Effort (Hours)]]&lt;150,"L3",IF(Table1[[#This Row],[Estimated Effort (Hours)]]&lt;300,"L4","L5")))))</f>
        <v/>
      </c>
      <c r="S922" s="184" t="str">
        <f>IF(Table1[[#This Row],[Actual End Date]]="","",TEXT(Table1[[#This Row],[Actual End Date]],"mmm-yy"))</f>
        <v/>
      </c>
      <c r="T9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2" s="185" t="str">
        <f>IFERROR((Table1[[#This Row],[Actual Effort (Hours)]]-Table1[[#This Row],[Estimated Effort (Hours)]])/Table1[[#This Row],[Estimated Effort (Hours)]],"")</f>
        <v/>
      </c>
    </row>
    <row r="923" spans="2:21">
      <c r="B923" s="125"/>
      <c r="C923" s="123"/>
      <c r="D923" s="143"/>
      <c r="E923" s="123"/>
      <c r="F923" s="143"/>
      <c r="G923" s="129"/>
      <c r="H923" s="124"/>
      <c r="I923" s="124"/>
      <c r="J923" s="129"/>
      <c r="K923" s="194"/>
      <c r="L923" s="194"/>
      <c r="M923" s="129"/>
      <c r="N923" s="129" t="e">
        <f>Table1[[#This Row],[Estimated Effort (Hours)]]/NETWORKDAYS(Table1[[#This Row],[Planned Start Date]],Table1[[#This Row],[Planned End Date]])</f>
        <v>#DIV/0!</v>
      </c>
      <c r="O923" s="178">
        <f>NETWORKDAYS(Table1[[#This Row],[Planned Start Date]],Table1[[#This Row],[Planned End Date]])</f>
        <v>0</v>
      </c>
      <c r="P923" s="178">
        <f>NETWORKDAYS(Table1[[#This Row],[Planned Start Date]],$P$7)</f>
        <v>30643</v>
      </c>
      <c r="Q923" s="129"/>
      <c r="R923" s="183" t="str">
        <f>IF(Table1[[#This Row],[Actual Effort (Hours)]]="","",IF(Table1[[#This Row],[Estimated Effort (Hours)]]&lt;20,"L1",IF(Table1[[#This Row],[Estimated Effort (Hours)]]&lt;50,"L2",IF(Table1[[#This Row],[Estimated Effort (Hours)]]&lt;150,"L3",IF(Table1[[#This Row],[Estimated Effort (Hours)]]&lt;300,"L4","L5")))))</f>
        <v/>
      </c>
      <c r="S923" s="184" t="str">
        <f>IF(Table1[[#This Row],[Actual End Date]]="","",TEXT(Table1[[#This Row],[Actual End Date]],"mmm-yy"))</f>
        <v/>
      </c>
      <c r="T9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3" s="185" t="str">
        <f>IFERROR((Table1[[#This Row],[Actual Effort (Hours)]]-Table1[[#This Row],[Estimated Effort (Hours)]])/Table1[[#This Row],[Estimated Effort (Hours)]],"")</f>
        <v/>
      </c>
    </row>
    <row r="924" spans="2:21">
      <c r="B924" s="125"/>
      <c r="C924" s="123"/>
      <c r="D924" s="143"/>
      <c r="E924" s="123"/>
      <c r="F924" s="143"/>
      <c r="G924" s="129"/>
      <c r="H924" s="124"/>
      <c r="I924" s="124"/>
      <c r="J924" s="129"/>
      <c r="K924" s="194"/>
      <c r="L924" s="194"/>
      <c r="M924" s="129"/>
      <c r="N924" s="129" t="e">
        <f>Table1[[#This Row],[Estimated Effort (Hours)]]/NETWORKDAYS(Table1[[#This Row],[Planned Start Date]],Table1[[#This Row],[Planned End Date]])</f>
        <v>#DIV/0!</v>
      </c>
      <c r="O924" s="178">
        <f>NETWORKDAYS(Table1[[#This Row],[Planned Start Date]],Table1[[#This Row],[Planned End Date]])</f>
        <v>0</v>
      </c>
      <c r="P924" s="178">
        <f>NETWORKDAYS(Table1[[#This Row],[Planned Start Date]],$P$7)</f>
        <v>30643</v>
      </c>
      <c r="Q924" s="129"/>
      <c r="R924" s="183" t="str">
        <f>IF(Table1[[#This Row],[Actual Effort (Hours)]]="","",IF(Table1[[#This Row],[Estimated Effort (Hours)]]&lt;20,"L1",IF(Table1[[#This Row],[Estimated Effort (Hours)]]&lt;50,"L2",IF(Table1[[#This Row],[Estimated Effort (Hours)]]&lt;150,"L3",IF(Table1[[#This Row],[Estimated Effort (Hours)]]&lt;300,"L4","L5")))))</f>
        <v/>
      </c>
      <c r="S924" s="184" t="str">
        <f>IF(Table1[[#This Row],[Actual End Date]]="","",TEXT(Table1[[#This Row],[Actual End Date]],"mmm-yy"))</f>
        <v/>
      </c>
      <c r="T9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4" s="185" t="str">
        <f>IFERROR((Table1[[#This Row],[Actual Effort (Hours)]]-Table1[[#This Row],[Estimated Effort (Hours)]])/Table1[[#This Row],[Estimated Effort (Hours)]],"")</f>
        <v/>
      </c>
    </row>
    <row r="925" spans="2:21">
      <c r="B925" s="125"/>
      <c r="C925" s="123"/>
      <c r="D925" s="143"/>
      <c r="E925" s="123"/>
      <c r="F925" s="143"/>
      <c r="G925" s="129"/>
      <c r="H925" s="124"/>
      <c r="I925" s="124"/>
      <c r="J925" s="129"/>
      <c r="K925" s="194"/>
      <c r="L925" s="194"/>
      <c r="M925" s="129"/>
      <c r="N925" s="129" t="e">
        <f>Table1[[#This Row],[Estimated Effort (Hours)]]/NETWORKDAYS(Table1[[#This Row],[Planned Start Date]],Table1[[#This Row],[Planned End Date]])</f>
        <v>#DIV/0!</v>
      </c>
      <c r="O925" s="178">
        <f>NETWORKDAYS(Table1[[#This Row],[Planned Start Date]],Table1[[#This Row],[Planned End Date]])</f>
        <v>0</v>
      </c>
      <c r="P925" s="178">
        <f>NETWORKDAYS(Table1[[#This Row],[Planned Start Date]],$P$7)</f>
        <v>30643</v>
      </c>
      <c r="Q925" s="129"/>
      <c r="R925" s="183" t="str">
        <f>IF(Table1[[#This Row],[Actual Effort (Hours)]]="","",IF(Table1[[#This Row],[Estimated Effort (Hours)]]&lt;20,"L1",IF(Table1[[#This Row],[Estimated Effort (Hours)]]&lt;50,"L2",IF(Table1[[#This Row],[Estimated Effort (Hours)]]&lt;150,"L3",IF(Table1[[#This Row],[Estimated Effort (Hours)]]&lt;300,"L4","L5")))))</f>
        <v/>
      </c>
      <c r="S925" s="184" t="str">
        <f>IF(Table1[[#This Row],[Actual End Date]]="","",TEXT(Table1[[#This Row],[Actual End Date]],"mmm-yy"))</f>
        <v/>
      </c>
      <c r="T9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5" s="185" t="str">
        <f>IFERROR((Table1[[#This Row],[Actual Effort (Hours)]]-Table1[[#This Row],[Estimated Effort (Hours)]])/Table1[[#This Row],[Estimated Effort (Hours)]],"")</f>
        <v/>
      </c>
    </row>
    <row r="926" spans="2:21">
      <c r="B926" s="125"/>
      <c r="C926" s="123"/>
      <c r="D926" s="143"/>
      <c r="E926" s="123"/>
      <c r="F926" s="143"/>
      <c r="G926" s="129"/>
      <c r="H926" s="124"/>
      <c r="I926" s="124"/>
      <c r="J926" s="129"/>
      <c r="K926" s="194"/>
      <c r="L926" s="194"/>
      <c r="M926" s="129"/>
      <c r="N926" s="129" t="e">
        <f>Table1[[#This Row],[Estimated Effort (Hours)]]/NETWORKDAYS(Table1[[#This Row],[Planned Start Date]],Table1[[#This Row],[Planned End Date]])</f>
        <v>#DIV/0!</v>
      </c>
      <c r="O926" s="178">
        <f>NETWORKDAYS(Table1[[#This Row],[Planned Start Date]],Table1[[#This Row],[Planned End Date]])</f>
        <v>0</v>
      </c>
      <c r="P926" s="178">
        <f>NETWORKDAYS(Table1[[#This Row],[Planned Start Date]],$P$7)</f>
        <v>30643</v>
      </c>
      <c r="Q926" s="129"/>
      <c r="R926" s="183" t="str">
        <f>IF(Table1[[#This Row],[Actual Effort (Hours)]]="","",IF(Table1[[#This Row],[Estimated Effort (Hours)]]&lt;20,"L1",IF(Table1[[#This Row],[Estimated Effort (Hours)]]&lt;50,"L2",IF(Table1[[#This Row],[Estimated Effort (Hours)]]&lt;150,"L3",IF(Table1[[#This Row],[Estimated Effort (Hours)]]&lt;300,"L4","L5")))))</f>
        <v/>
      </c>
      <c r="S926" s="184" t="str">
        <f>IF(Table1[[#This Row],[Actual End Date]]="","",TEXT(Table1[[#This Row],[Actual End Date]],"mmm-yy"))</f>
        <v/>
      </c>
      <c r="T9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6" s="185" t="str">
        <f>IFERROR((Table1[[#This Row],[Actual Effort (Hours)]]-Table1[[#This Row],[Estimated Effort (Hours)]])/Table1[[#This Row],[Estimated Effort (Hours)]],"")</f>
        <v/>
      </c>
    </row>
    <row r="927" spans="2:21">
      <c r="B927" s="125"/>
      <c r="C927" s="123"/>
      <c r="D927" s="143"/>
      <c r="E927" s="123"/>
      <c r="F927" s="143"/>
      <c r="G927" s="129"/>
      <c r="H927" s="124"/>
      <c r="I927" s="124"/>
      <c r="J927" s="129"/>
      <c r="K927" s="194"/>
      <c r="L927" s="194"/>
      <c r="M927" s="129"/>
      <c r="N927" s="129" t="e">
        <f>Table1[[#This Row],[Estimated Effort (Hours)]]/NETWORKDAYS(Table1[[#This Row],[Planned Start Date]],Table1[[#This Row],[Planned End Date]])</f>
        <v>#DIV/0!</v>
      </c>
      <c r="O927" s="178">
        <f>NETWORKDAYS(Table1[[#This Row],[Planned Start Date]],Table1[[#This Row],[Planned End Date]])</f>
        <v>0</v>
      </c>
      <c r="P927" s="178">
        <f>NETWORKDAYS(Table1[[#This Row],[Planned Start Date]],$P$7)</f>
        <v>30643</v>
      </c>
      <c r="Q927" s="129"/>
      <c r="R927" s="183" t="str">
        <f>IF(Table1[[#This Row],[Actual Effort (Hours)]]="","",IF(Table1[[#This Row],[Estimated Effort (Hours)]]&lt;20,"L1",IF(Table1[[#This Row],[Estimated Effort (Hours)]]&lt;50,"L2",IF(Table1[[#This Row],[Estimated Effort (Hours)]]&lt;150,"L3",IF(Table1[[#This Row],[Estimated Effort (Hours)]]&lt;300,"L4","L5")))))</f>
        <v/>
      </c>
      <c r="S927" s="184" t="str">
        <f>IF(Table1[[#This Row],[Actual End Date]]="","",TEXT(Table1[[#This Row],[Actual End Date]],"mmm-yy"))</f>
        <v/>
      </c>
      <c r="T9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7" s="185" t="str">
        <f>IFERROR((Table1[[#This Row],[Actual Effort (Hours)]]-Table1[[#This Row],[Estimated Effort (Hours)]])/Table1[[#This Row],[Estimated Effort (Hours)]],"")</f>
        <v/>
      </c>
    </row>
    <row r="928" spans="2:21">
      <c r="B928" s="125"/>
      <c r="C928" s="123"/>
      <c r="D928" s="143"/>
      <c r="E928" s="123"/>
      <c r="F928" s="143"/>
      <c r="G928" s="129"/>
      <c r="H928" s="124"/>
      <c r="I928" s="124"/>
      <c r="J928" s="129"/>
      <c r="K928" s="194"/>
      <c r="L928" s="194"/>
      <c r="M928" s="129"/>
      <c r="N928" s="129" t="e">
        <f>Table1[[#This Row],[Estimated Effort (Hours)]]/NETWORKDAYS(Table1[[#This Row],[Planned Start Date]],Table1[[#This Row],[Planned End Date]])</f>
        <v>#DIV/0!</v>
      </c>
      <c r="O928" s="178">
        <f>NETWORKDAYS(Table1[[#This Row],[Planned Start Date]],Table1[[#This Row],[Planned End Date]])</f>
        <v>0</v>
      </c>
      <c r="P928" s="178">
        <f>NETWORKDAYS(Table1[[#This Row],[Planned Start Date]],$P$7)</f>
        <v>30643</v>
      </c>
      <c r="Q928" s="129"/>
      <c r="R928" s="183" t="str">
        <f>IF(Table1[[#This Row],[Actual Effort (Hours)]]="","",IF(Table1[[#This Row],[Estimated Effort (Hours)]]&lt;20,"L1",IF(Table1[[#This Row],[Estimated Effort (Hours)]]&lt;50,"L2",IF(Table1[[#This Row],[Estimated Effort (Hours)]]&lt;150,"L3",IF(Table1[[#This Row],[Estimated Effort (Hours)]]&lt;300,"L4","L5")))))</f>
        <v/>
      </c>
      <c r="S928" s="184" t="str">
        <f>IF(Table1[[#This Row],[Actual End Date]]="","",TEXT(Table1[[#This Row],[Actual End Date]],"mmm-yy"))</f>
        <v/>
      </c>
      <c r="T9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8" s="185" t="str">
        <f>IFERROR((Table1[[#This Row],[Actual Effort (Hours)]]-Table1[[#This Row],[Estimated Effort (Hours)]])/Table1[[#This Row],[Estimated Effort (Hours)]],"")</f>
        <v/>
      </c>
    </row>
    <row r="929" spans="2:21">
      <c r="B929" s="125"/>
      <c r="C929" s="123"/>
      <c r="D929" s="143"/>
      <c r="E929" s="123"/>
      <c r="F929" s="143"/>
      <c r="G929" s="129"/>
      <c r="H929" s="124"/>
      <c r="I929" s="124"/>
      <c r="J929" s="129"/>
      <c r="K929" s="194"/>
      <c r="L929" s="194"/>
      <c r="M929" s="129"/>
      <c r="N929" s="129" t="e">
        <f>Table1[[#This Row],[Estimated Effort (Hours)]]/NETWORKDAYS(Table1[[#This Row],[Planned Start Date]],Table1[[#This Row],[Planned End Date]])</f>
        <v>#DIV/0!</v>
      </c>
      <c r="O929" s="178">
        <f>NETWORKDAYS(Table1[[#This Row],[Planned Start Date]],Table1[[#This Row],[Planned End Date]])</f>
        <v>0</v>
      </c>
      <c r="P929" s="178">
        <f>NETWORKDAYS(Table1[[#This Row],[Planned Start Date]],$P$7)</f>
        <v>30643</v>
      </c>
      <c r="Q929" s="129"/>
      <c r="R929" s="183" t="str">
        <f>IF(Table1[[#This Row],[Actual Effort (Hours)]]="","",IF(Table1[[#This Row],[Estimated Effort (Hours)]]&lt;20,"L1",IF(Table1[[#This Row],[Estimated Effort (Hours)]]&lt;50,"L2",IF(Table1[[#This Row],[Estimated Effort (Hours)]]&lt;150,"L3",IF(Table1[[#This Row],[Estimated Effort (Hours)]]&lt;300,"L4","L5")))))</f>
        <v/>
      </c>
      <c r="S929" s="184" t="str">
        <f>IF(Table1[[#This Row],[Actual End Date]]="","",TEXT(Table1[[#This Row],[Actual End Date]],"mmm-yy"))</f>
        <v/>
      </c>
      <c r="T9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29" s="185" t="str">
        <f>IFERROR((Table1[[#This Row],[Actual Effort (Hours)]]-Table1[[#This Row],[Estimated Effort (Hours)]])/Table1[[#This Row],[Estimated Effort (Hours)]],"")</f>
        <v/>
      </c>
    </row>
    <row r="930" spans="2:21">
      <c r="B930" s="125"/>
      <c r="C930" s="123"/>
      <c r="D930" s="143"/>
      <c r="E930" s="123"/>
      <c r="F930" s="143"/>
      <c r="G930" s="129"/>
      <c r="H930" s="124"/>
      <c r="I930" s="124"/>
      <c r="J930" s="129"/>
      <c r="K930" s="194"/>
      <c r="L930" s="194"/>
      <c r="M930" s="129"/>
      <c r="N930" s="129" t="e">
        <f>Table1[[#This Row],[Estimated Effort (Hours)]]/NETWORKDAYS(Table1[[#This Row],[Planned Start Date]],Table1[[#This Row],[Planned End Date]])</f>
        <v>#DIV/0!</v>
      </c>
      <c r="O930" s="178">
        <f>NETWORKDAYS(Table1[[#This Row],[Planned Start Date]],Table1[[#This Row],[Planned End Date]])</f>
        <v>0</v>
      </c>
      <c r="P930" s="178">
        <f>NETWORKDAYS(Table1[[#This Row],[Planned Start Date]],$P$7)</f>
        <v>30643</v>
      </c>
      <c r="Q930" s="129"/>
      <c r="R930" s="183" t="str">
        <f>IF(Table1[[#This Row],[Actual Effort (Hours)]]="","",IF(Table1[[#This Row],[Estimated Effort (Hours)]]&lt;20,"L1",IF(Table1[[#This Row],[Estimated Effort (Hours)]]&lt;50,"L2",IF(Table1[[#This Row],[Estimated Effort (Hours)]]&lt;150,"L3",IF(Table1[[#This Row],[Estimated Effort (Hours)]]&lt;300,"L4","L5")))))</f>
        <v/>
      </c>
      <c r="S930" s="184" t="str">
        <f>IF(Table1[[#This Row],[Actual End Date]]="","",TEXT(Table1[[#This Row],[Actual End Date]],"mmm-yy"))</f>
        <v/>
      </c>
      <c r="T9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0" s="185" t="str">
        <f>IFERROR((Table1[[#This Row],[Actual Effort (Hours)]]-Table1[[#This Row],[Estimated Effort (Hours)]])/Table1[[#This Row],[Estimated Effort (Hours)]],"")</f>
        <v/>
      </c>
    </row>
    <row r="931" spans="2:21">
      <c r="B931" s="125"/>
      <c r="C931" s="123"/>
      <c r="D931" s="143"/>
      <c r="E931" s="123"/>
      <c r="F931" s="143"/>
      <c r="G931" s="129"/>
      <c r="H931" s="124"/>
      <c r="I931" s="124"/>
      <c r="J931" s="129"/>
      <c r="K931" s="194"/>
      <c r="L931" s="194"/>
      <c r="M931" s="129"/>
      <c r="N931" s="129" t="e">
        <f>Table1[[#This Row],[Estimated Effort (Hours)]]/NETWORKDAYS(Table1[[#This Row],[Planned Start Date]],Table1[[#This Row],[Planned End Date]])</f>
        <v>#DIV/0!</v>
      </c>
      <c r="O931" s="178">
        <f>NETWORKDAYS(Table1[[#This Row],[Planned Start Date]],Table1[[#This Row],[Planned End Date]])</f>
        <v>0</v>
      </c>
      <c r="P931" s="178">
        <f>NETWORKDAYS(Table1[[#This Row],[Planned Start Date]],$P$7)</f>
        <v>30643</v>
      </c>
      <c r="Q931" s="129"/>
      <c r="R931" s="183" t="str">
        <f>IF(Table1[[#This Row],[Actual Effort (Hours)]]="","",IF(Table1[[#This Row],[Estimated Effort (Hours)]]&lt;20,"L1",IF(Table1[[#This Row],[Estimated Effort (Hours)]]&lt;50,"L2",IF(Table1[[#This Row],[Estimated Effort (Hours)]]&lt;150,"L3",IF(Table1[[#This Row],[Estimated Effort (Hours)]]&lt;300,"L4","L5")))))</f>
        <v/>
      </c>
      <c r="S931" s="184" t="str">
        <f>IF(Table1[[#This Row],[Actual End Date]]="","",TEXT(Table1[[#This Row],[Actual End Date]],"mmm-yy"))</f>
        <v/>
      </c>
      <c r="T9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1" s="185" t="str">
        <f>IFERROR((Table1[[#This Row],[Actual Effort (Hours)]]-Table1[[#This Row],[Estimated Effort (Hours)]])/Table1[[#This Row],[Estimated Effort (Hours)]],"")</f>
        <v/>
      </c>
    </row>
    <row r="932" spans="2:21">
      <c r="B932" s="125"/>
      <c r="C932" s="123"/>
      <c r="D932" s="143"/>
      <c r="E932" s="123"/>
      <c r="F932" s="143"/>
      <c r="G932" s="129"/>
      <c r="H932" s="124"/>
      <c r="I932" s="124"/>
      <c r="J932" s="129"/>
      <c r="K932" s="194"/>
      <c r="L932" s="194"/>
      <c r="M932" s="129"/>
      <c r="N932" s="129" t="e">
        <f>Table1[[#This Row],[Estimated Effort (Hours)]]/NETWORKDAYS(Table1[[#This Row],[Planned Start Date]],Table1[[#This Row],[Planned End Date]])</f>
        <v>#DIV/0!</v>
      </c>
      <c r="O932" s="178">
        <f>NETWORKDAYS(Table1[[#This Row],[Planned Start Date]],Table1[[#This Row],[Planned End Date]])</f>
        <v>0</v>
      </c>
      <c r="P932" s="178">
        <f>NETWORKDAYS(Table1[[#This Row],[Planned Start Date]],$P$7)</f>
        <v>30643</v>
      </c>
      <c r="Q932" s="129"/>
      <c r="R932" s="183" t="str">
        <f>IF(Table1[[#This Row],[Actual Effort (Hours)]]="","",IF(Table1[[#This Row],[Estimated Effort (Hours)]]&lt;20,"L1",IF(Table1[[#This Row],[Estimated Effort (Hours)]]&lt;50,"L2",IF(Table1[[#This Row],[Estimated Effort (Hours)]]&lt;150,"L3",IF(Table1[[#This Row],[Estimated Effort (Hours)]]&lt;300,"L4","L5")))))</f>
        <v/>
      </c>
      <c r="S932" s="184" t="str">
        <f>IF(Table1[[#This Row],[Actual End Date]]="","",TEXT(Table1[[#This Row],[Actual End Date]],"mmm-yy"))</f>
        <v/>
      </c>
      <c r="T9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2" s="185" t="str">
        <f>IFERROR((Table1[[#This Row],[Actual Effort (Hours)]]-Table1[[#This Row],[Estimated Effort (Hours)]])/Table1[[#This Row],[Estimated Effort (Hours)]],"")</f>
        <v/>
      </c>
    </row>
    <row r="933" spans="2:21">
      <c r="B933" s="125"/>
      <c r="C933" s="123"/>
      <c r="D933" s="143"/>
      <c r="E933" s="123"/>
      <c r="F933" s="143"/>
      <c r="G933" s="129"/>
      <c r="H933" s="124"/>
      <c r="I933" s="124"/>
      <c r="J933" s="129"/>
      <c r="K933" s="194"/>
      <c r="L933" s="194"/>
      <c r="M933" s="129"/>
      <c r="N933" s="129" t="e">
        <f>Table1[[#This Row],[Estimated Effort (Hours)]]/NETWORKDAYS(Table1[[#This Row],[Planned Start Date]],Table1[[#This Row],[Planned End Date]])</f>
        <v>#DIV/0!</v>
      </c>
      <c r="O933" s="178">
        <f>NETWORKDAYS(Table1[[#This Row],[Planned Start Date]],Table1[[#This Row],[Planned End Date]])</f>
        <v>0</v>
      </c>
      <c r="P933" s="178">
        <f>NETWORKDAYS(Table1[[#This Row],[Planned Start Date]],$P$7)</f>
        <v>30643</v>
      </c>
      <c r="Q933" s="129"/>
      <c r="R933" s="183" t="str">
        <f>IF(Table1[[#This Row],[Actual Effort (Hours)]]="","",IF(Table1[[#This Row],[Estimated Effort (Hours)]]&lt;20,"L1",IF(Table1[[#This Row],[Estimated Effort (Hours)]]&lt;50,"L2",IF(Table1[[#This Row],[Estimated Effort (Hours)]]&lt;150,"L3",IF(Table1[[#This Row],[Estimated Effort (Hours)]]&lt;300,"L4","L5")))))</f>
        <v/>
      </c>
      <c r="S933" s="184" t="str">
        <f>IF(Table1[[#This Row],[Actual End Date]]="","",TEXT(Table1[[#This Row],[Actual End Date]],"mmm-yy"))</f>
        <v/>
      </c>
      <c r="T9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3" s="185" t="str">
        <f>IFERROR((Table1[[#This Row],[Actual Effort (Hours)]]-Table1[[#This Row],[Estimated Effort (Hours)]])/Table1[[#This Row],[Estimated Effort (Hours)]],"")</f>
        <v/>
      </c>
    </row>
    <row r="934" spans="2:21">
      <c r="B934" s="125"/>
      <c r="C934" s="123"/>
      <c r="D934" s="143"/>
      <c r="E934" s="123"/>
      <c r="F934" s="143"/>
      <c r="G934" s="129"/>
      <c r="H934" s="124"/>
      <c r="I934" s="124"/>
      <c r="J934" s="129"/>
      <c r="K934" s="194"/>
      <c r="L934" s="194"/>
      <c r="M934" s="129"/>
      <c r="N934" s="129" t="e">
        <f>Table1[[#This Row],[Estimated Effort (Hours)]]/NETWORKDAYS(Table1[[#This Row],[Planned Start Date]],Table1[[#This Row],[Planned End Date]])</f>
        <v>#DIV/0!</v>
      </c>
      <c r="O934" s="178">
        <f>NETWORKDAYS(Table1[[#This Row],[Planned Start Date]],Table1[[#This Row],[Planned End Date]])</f>
        <v>0</v>
      </c>
      <c r="P934" s="178">
        <f>NETWORKDAYS(Table1[[#This Row],[Planned Start Date]],$P$7)</f>
        <v>30643</v>
      </c>
      <c r="Q934" s="129"/>
      <c r="R934" s="183" t="str">
        <f>IF(Table1[[#This Row],[Actual Effort (Hours)]]="","",IF(Table1[[#This Row],[Estimated Effort (Hours)]]&lt;20,"L1",IF(Table1[[#This Row],[Estimated Effort (Hours)]]&lt;50,"L2",IF(Table1[[#This Row],[Estimated Effort (Hours)]]&lt;150,"L3",IF(Table1[[#This Row],[Estimated Effort (Hours)]]&lt;300,"L4","L5")))))</f>
        <v/>
      </c>
      <c r="S934" s="184" t="str">
        <f>IF(Table1[[#This Row],[Actual End Date]]="","",TEXT(Table1[[#This Row],[Actual End Date]],"mmm-yy"))</f>
        <v/>
      </c>
      <c r="T9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4" s="185" t="str">
        <f>IFERROR((Table1[[#This Row],[Actual Effort (Hours)]]-Table1[[#This Row],[Estimated Effort (Hours)]])/Table1[[#This Row],[Estimated Effort (Hours)]],"")</f>
        <v/>
      </c>
    </row>
    <row r="935" spans="2:21">
      <c r="B935" s="125"/>
      <c r="C935" s="123"/>
      <c r="D935" s="143"/>
      <c r="E935" s="123"/>
      <c r="F935" s="143"/>
      <c r="G935" s="129"/>
      <c r="H935" s="124"/>
      <c r="I935" s="124"/>
      <c r="J935" s="129"/>
      <c r="K935" s="194"/>
      <c r="L935" s="194"/>
      <c r="M935" s="129"/>
      <c r="N935" s="129" t="e">
        <f>Table1[[#This Row],[Estimated Effort (Hours)]]/NETWORKDAYS(Table1[[#This Row],[Planned Start Date]],Table1[[#This Row],[Planned End Date]])</f>
        <v>#DIV/0!</v>
      </c>
      <c r="O935" s="178">
        <f>NETWORKDAYS(Table1[[#This Row],[Planned Start Date]],Table1[[#This Row],[Planned End Date]])</f>
        <v>0</v>
      </c>
      <c r="P935" s="178">
        <f>NETWORKDAYS(Table1[[#This Row],[Planned Start Date]],$P$7)</f>
        <v>30643</v>
      </c>
      <c r="Q935" s="129"/>
      <c r="R935" s="183" t="str">
        <f>IF(Table1[[#This Row],[Actual Effort (Hours)]]="","",IF(Table1[[#This Row],[Estimated Effort (Hours)]]&lt;20,"L1",IF(Table1[[#This Row],[Estimated Effort (Hours)]]&lt;50,"L2",IF(Table1[[#This Row],[Estimated Effort (Hours)]]&lt;150,"L3",IF(Table1[[#This Row],[Estimated Effort (Hours)]]&lt;300,"L4","L5")))))</f>
        <v/>
      </c>
      <c r="S935" s="184" t="str">
        <f>IF(Table1[[#This Row],[Actual End Date]]="","",TEXT(Table1[[#This Row],[Actual End Date]],"mmm-yy"))</f>
        <v/>
      </c>
      <c r="T9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5" s="185" t="str">
        <f>IFERROR((Table1[[#This Row],[Actual Effort (Hours)]]-Table1[[#This Row],[Estimated Effort (Hours)]])/Table1[[#This Row],[Estimated Effort (Hours)]],"")</f>
        <v/>
      </c>
    </row>
    <row r="936" spans="2:21">
      <c r="B936" s="125"/>
      <c r="C936" s="123"/>
      <c r="D936" s="143"/>
      <c r="E936" s="123"/>
      <c r="F936" s="143"/>
      <c r="G936" s="129"/>
      <c r="H936" s="124"/>
      <c r="I936" s="124"/>
      <c r="J936" s="129"/>
      <c r="K936" s="194"/>
      <c r="L936" s="194"/>
      <c r="M936" s="129"/>
      <c r="N936" s="129" t="e">
        <f>Table1[[#This Row],[Estimated Effort (Hours)]]/NETWORKDAYS(Table1[[#This Row],[Planned Start Date]],Table1[[#This Row],[Planned End Date]])</f>
        <v>#DIV/0!</v>
      </c>
      <c r="O936" s="178">
        <f>NETWORKDAYS(Table1[[#This Row],[Planned Start Date]],Table1[[#This Row],[Planned End Date]])</f>
        <v>0</v>
      </c>
      <c r="P936" s="178">
        <f>NETWORKDAYS(Table1[[#This Row],[Planned Start Date]],$P$7)</f>
        <v>30643</v>
      </c>
      <c r="Q936" s="129"/>
      <c r="R936" s="183" t="str">
        <f>IF(Table1[[#This Row],[Actual Effort (Hours)]]="","",IF(Table1[[#This Row],[Estimated Effort (Hours)]]&lt;20,"L1",IF(Table1[[#This Row],[Estimated Effort (Hours)]]&lt;50,"L2",IF(Table1[[#This Row],[Estimated Effort (Hours)]]&lt;150,"L3",IF(Table1[[#This Row],[Estimated Effort (Hours)]]&lt;300,"L4","L5")))))</f>
        <v/>
      </c>
      <c r="S936" s="184" t="str">
        <f>IF(Table1[[#This Row],[Actual End Date]]="","",TEXT(Table1[[#This Row],[Actual End Date]],"mmm-yy"))</f>
        <v/>
      </c>
      <c r="T9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6" s="185" t="str">
        <f>IFERROR((Table1[[#This Row],[Actual Effort (Hours)]]-Table1[[#This Row],[Estimated Effort (Hours)]])/Table1[[#This Row],[Estimated Effort (Hours)]],"")</f>
        <v/>
      </c>
    </row>
    <row r="937" spans="2:21">
      <c r="B937" s="125"/>
      <c r="C937" s="123"/>
      <c r="D937" s="143"/>
      <c r="E937" s="123"/>
      <c r="F937" s="143"/>
      <c r="G937" s="129"/>
      <c r="H937" s="124"/>
      <c r="I937" s="124"/>
      <c r="J937" s="129"/>
      <c r="K937" s="194"/>
      <c r="L937" s="194"/>
      <c r="M937" s="129"/>
      <c r="N937" s="129" t="e">
        <f>Table1[[#This Row],[Estimated Effort (Hours)]]/NETWORKDAYS(Table1[[#This Row],[Planned Start Date]],Table1[[#This Row],[Planned End Date]])</f>
        <v>#DIV/0!</v>
      </c>
      <c r="O937" s="178">
        <f>NETWORKDAYS(Table1[[#This Row],[Planned Start Date]],Table1[[#This Row],[Planned End Date]])</f>
        <v>0</v>
      </c>
      <c r="P937" s="178">
        <f>NETWORKDAYS(Table1[[#This Row],[Planned Start Date]],$P$7)</f>
        <v>30643</v>
      </c>
      <c r="Q937" s="129"/>
      <c r="R937" s="183" t="str">
        <f>IF(Table1[[#This Row],[Actual Effort (Hours)]]="","",IF(Table1[[#This Row],[Estimated Effort (Hours)]]&lt;20,"L1",IF(Table1[[#This Row],[Estimated Effort (Hours)]]&lt;50,"L2",IF(Table1[[#This Row],[Estimated Effort (Hours)]]&lt;150,"L3",IF(Table1[[#This Row],[Estimated Effort (Hours)]]&lt;300,"L4","L5")))))</f>
        <v/>
      </c>
      <c r="S937" s="184" t="str">
        <f>IF(Table1[[#This Row],[Actual End Date]]="","",TEXT(Table1[[#This Row],[Actual End Date]],"mmm-yy"))</f>
        <v/>
      </c>
      <c r="T9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7" s="185" t="str">
        <f>IFERROR((Table1[[#This Row],[Actual Effort (Hours)]]-Table1[[#This Row],[Estimated Effort (Hours)]])/Table1[[#This Row],[Estimated Effort (Hours)]],"")</f>
        <v/>
      </c>
    </row>
    <row r="938" spans="2:21">
      <c r="B938" s="125"/>
      <c r="C938" s="123"/>
      <c r="D938" s="143"/>
      <c r="E938" s="123"/>
      <c r="F938" s="143"/>
      <c r="G938" s="129"/>
      <c r="H938" s="124"/>
      <c r="I938" s="124"/>
      <c r="J938" s="129"/>
      <c r="K938" s="194"/>
      <c r="L938" s="194"/>
      <c r="M938" s="129"/>
      <c r="N938" s="129" t="e">
        <f>Table1[[#This Row],[Estimated Effort (Hours)]]/NETWORKDAYS(Table1[[#This Row],[Planned Start Date]],Table1[[#This Row],[Planned End Date]])</f>
        <v>#DIV/0!</v>
      </c>
      <c r="O938" s="178">
        <f>NETWORKDAYS(Table1[[#This Row],[Planned Start Date]],Table1[[#This Row],[Planned End Date]])</f>
        <v>0</v>
      </c>
      <c r="P938" s="178">
        <f>NETWORKDAYS(Table1[[#This Row],[Planned Start Date]],$P$7)</f>
        <v>30643</v>
      </c>
      <c r="Q938" s="129"/>
      <c r="R938" s="183" t="str">
        <f>IF(Table1[[#This Row],[Actual Effort (Hours)]]="","",IF(Table1[[#This Row],[Estimated Effort (Hours)]]&lt;20,"L1",IF(Table1[[#This Row],[Estimated Effort (Hours)]]&lt;50,"L2",IF(Table1[[#This Row],[Estimated Effort (Hours)]]&lt;150,"L3",IF(Table1[[#This Row],[Estimated Effort (Hours)]]&lt;300,"L4","L5")))))</f>
        <v/>
      </c>
      <c r="S938" s="184" t="str">
        <f>IF(Table1[[#This Row],[Actual End Date]]="","",TEXT(Table1[[#This Row],[Actual End Date]],"mmm-yy"))</f>
        <v/>
      </c>
      <c r="T9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8" s="185" t="str">
        <f>IFERROR((Table1[[#This Row],[Actual Effort (Hours)]]-Table1[[#This Row],[Estimated Effort (Hours)]])/Table1[[#This Row],[Estimated Effort (Hours)]],"")</f>
        <v/>
      </c>
    </row>
    <row r="939" spans="2:21">
      <c r="B939" s="125"/>
      <c r="C939" s="123"/>
      <c r="D939" s="143"/>
      <c r="E939" s="123"/>
      <c r="F939" s="143"/>
      <c r="G939" s="129"/>
      <c r="H939" s="124"/>
      <c r="I939" s="124"/>
      <c r="J939" s="129"/>
      <c r="K939" s="194"/>
      <c r="L939" s="194"/>
      <c r="M939" s="129"/>
      <c r="N939" s="129" t="e">
        <f>Table1[[#This Row],[Estimated Effort (Hours)]]/NETWORKDAYS(Table1[[#This Row],[Planned Start Date]],Table1[[#This Row],[Planned End Date]])</f>
        <v>#DIV/0!</v>
      </c>
      <c r="O939" s="178">
        <f>NETWORKDAYS(Table1[[#This Row],[Planned Start Date]],Table1[[#This Row],[Planned End Date]])</f>
        <v>0</v>
      </c>
      <c r="P939" s="178">
        <f>NETWORKDAYS(Table1[[#This Row],[Planned Start Date]],$P$7)</f>
        <v>30643</v>
      </c>
      <c r="Q939" s="129"/>
      <c r="R939" s="183" t="str">
        <f>IF(Table1[[#This Row],[Actual Effort (Hours)]]="","",IF(Table1[[#This Row],[Estimated Effort (Hours)]]&lt;20,"L1",IF(Table1[[#This Row],[Estimated Effort (Hours)]]&lt;50,"L2",IF(Table1[[#This Row],[Estimated Effort (Hours)]]&lt;150,"L3",IF(Table1[[#This Row],[Estimated Effort (Hours)]]&lt;300,"L4","L5")))))</f>
        <v/>
      </c>
      <c r="S939" s="184" t="str">
        <f>IF(Table1[[#This Row],[Actual End Date]]="","",TEXT(Table1[[#This Row],[Actual End Date]],"mmm-yy"))</f>
        <v/>
      </c>
      <c r="T9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39" s="185" t="str">
        <f>IFERROR((Table1[[#This Row],[Actual Effort (Hours)]]-Table1[[#This Row],[Estimated Effort (Hours)]])/Table1[[#This Row],[Estimated Effort (Hours)]],"")</f>
        <v/>
      </c>
    </row>
    <row r="940" spans="2:21">
      <c r="B940" s="125"/>
      <c r="C940" s="123"/>
      <c r="D940" s="143"/>
      <c r="E940" s="123"/>
      <c r="F940" s="143"/>
      <c r="G940" s="129"/>
      <c r="H940" s="124"/>
      <c r="I940" s="124"/>
      <c r="J940" s="129"/>
      <c r="K940" s="194"/>
      <c r="L940" s="194"/>
      <c r="M940" s="129"/>
      <c r="N940" s="129" t="e">
        <f>Table1[[#This Row],[Estimated Effort (Hours)]]/NETWORKDAYS(Table1[[#This Row],[Planned Start Date]],Table1[[#This Row],[Planned End Date]])</f>
        <v>#DIV/0!</v>
      </c>
      <c r="O940" s="178">
        <f>NETWORKDAYS(Table1[[#This Row],[Planned Start Date]],Table1[[#This Row],[Planned End Date]])</f>
        <v>0</v>
      </c>
      <c r="P940" s="178">
        <f>NETWORKDAYS(Table1[[#This Row],[Planned Start Date]],$P$7)</f>
        <v>30643</v>
      </c>
      <c r="Q940" s="129"/>
      <c r="R940" s="183" t="str">
        <f>IF(Table1[[#This Row],[Actual Effort (Hours)]]="","",IF(Table1[[#This Row],[Estimated Effort (Hours)]]&lt;20,"L1",IF(Table1[[#This Row],[Estimated Effort (Hours)]]&lt;50,"L2",IF(Table1[[#This Row],[Estimated Effort (Hours)]]&lt;150,"L3",IF(Table1[[#This Row],[Estimated Effort (Hours)]]&lt;300,"L4","L5")))))</f>
        <v/>
      </c>
      <c r="S940" s="184" t="str">
        <f>IF(Table1[[#This Row],[Actual End Date]]="","",TEXT(Table1[[#This Row],[Actual End Date]],"mmm-yy"))</f>
        <v/>
      </c>
      <c r="T9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0" s="185" t="str">
        <f>IFERROR((Table1[[#This Row],[Actual Effort (Hours)]]-Table1[[#This Row],[Estimated Effort (Hours)]])/Table1[[#This Row],[Estimated Effort (Hours)]],"")</f>
        <v/>
      </c>
    </row>
    <row r="941" spans="2:21">
      <c r="B941" s="125"/>
      <c r="C941" s="123"/>
      <c r="D941" s="143"/>
      <c r="E941" s="123"/>
      <c r="F941" s="143"/>
      <c r="G941" s="129"/>
      <c r="H941" s="124"/>
      <c r="I941" s="124"/>
      <c r="J941" s="129"/>
      <c r="K941" s="194"/>
      <c r="L941" s="194"/>
      <c r="M941" s="129"/>
      <c r="N941" s="129" t="e">
        <f>Table1[[#This Row],[Estimated Effort (Hours)]]/NETWORKDAYS(Table1[[#This Row],[Planned Start Date]],Table1[[#This Row],[Planned End Date]])</f>
        <v>#DIV/0!</v>
      </c>
      <c r="O941" s="178">
        <f>NETWORKDAYS(Table1[[#This Row],[Planned Start Date]],Table1[[#This Row],[Planned End Date]])</f>
        <v>0</v>
      </c>
      <c r="P941" s="178">
        <f>NETWORKDAYS(Table1[[#This Row],[Planned Start Date]],$P$7)</f>
        <v>30643</v>
      </c>
      <c r="Q941" s="129"/>
      <c r="R941" s="183" t="str">
        <f>IF(Table1[[#This Row],[Actual Effort (Hours)]]="","",IF(Table1[[#This Row],[Estimated Effort (Hours)]]&lt;20,"L1",IF(Table1[[#This Row],[Estimated Effort (Hours)]]&lt;50,"L2",IF(Table1[[#This Row],[Estimated Effort (Hours)]]&lt;150,"L3",IF(Table1[[#This Row],[Estimated Effort (Hours)]]&lt;300,"L4","L5")))))</f>
        <v/>
      </c>
      <c r="S941" s="184" t="str">
        <f>IF(Table1[[#This Row],[Actual End Date]]="","",TEXT(Table1[[#This Row],[Actual End Date]],"mmm-yy"))</f>
        <v/>
      </c>
      <c r="T9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1" s="185" t="str">
        <f>IFERROR((Table1[[#This Row],[Actual Effort (Hours)]]-Table1[[#This Row],[Estimated Effort (Hours)]])/Table1[[#This Row],[Estimated Effort (Hours)]],"")</f>
        <v/>
      </c>
    </row>
    <row r="942" spans="2:21">
      <c r="B942" s="125"/>
      <c r="C942" s="123"/>
      <c r="D942" s="143"/>
      <c r="E942" s="123"/>
      <c r="F942" s="143"/>
      <c r="G942" s="129"/>
      <c r="H942" s="124"/>
      <c r="I942" s="124"/>
      <c r="J942" s="129"/>
      <c r="K942" s="194"/>
      <c r="L942" s="194"/>
      <c r="M942" s="129"/>
      <c r="N942" s="129" t="e">
        <f>Table1[[#This Row],[Estimated Effort (Hours)]]/NETWORKDAYS(Table1[[#This Row],[Planned Start Date]],Table1[[#This Row],[Planned End Date]])</f>
        <v>#DIV/0!</v>
      </c>
      <c r="O942" s="178">
        <f>NETWORKDAYS(Table1[[#This Row],[Planned Start Date]],Table1[[#This Row],[Planned End Date]])</f>
        <v>0</v>
      </c>
      <c r="P942" s="178">
        <f>NETWORKDAYS(Table1[[#This Row],[Planned Start Date]],$P$7)</f>
        <v>30643</v>
      </c>
      <c r="Q942" s="129"/>
      <c r="R942" s="183" t="str">
        <f>IF(Table1[[#This Row],[Actual Effort (Hours)]]="","",IF(Table1[[#This Row],[Estimated Effort (Hours)]]&lt;20,"L1",IF(Table1[[#This Row],[Estimated Effort (Hours)]]&lt;50,"L2",IF(Table1[[#This Row],[Estimated Effort (Hours)]]&lt;150,"L3",IF(Table1[[#This Row],[Estimated Effort (Hours)]]&lt;300,"L4","L5")))))</f>
        <v/>
      </c>
      <c r="S942" s="184" t="str">
        <f>IF(Table1[[#This Row],[Actual End Date]]="","",TEXT(Table1[[#This Row],[Actual End Date]],"mmm-yy"))</f>
        <v/>
      </c>
      <c r="T9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2" s="185" t="str">
        <f>IFERROR((Table1[[#This Row],[Actual Effort (Hours)]]-Table1[[#This Row],[Estimated Effort (Hours)]])/Table1[[#This Row],[Estimated Effort (Hours)]],"")</f>
        <v/>
      </c>
    </row>
    <row r="943" spans="2:21">
      <c r="B943" s="125"/>
      <c r="C943" s="123"/>
      <c r="D943" s="143"/>
      <c r="E943" s="123"/>
      <c r="F943" s="143"/>
      <c r="G943" s="129"/>
      <c r="H943" s="124"/>
      <c r="I943" s="124"/>
      <c r="J943" s="129"/>
      <c r="K943" s="194"/>
      <c r="L943" s="194"/>
      <c r="M943" s="129"/>
      <c r="N943" s="129" t="e">
        <f>Table1[[#This Row],[Estimated Effort (Hours)]]/NETWORKDAYS(Table1[[#This Row],[Planned Start Date]],Table1[[#This Row],[Planned End Date]])</f>
        <v>#DIV/0!</v>
      </c>
      <c r="O943" s="178">
        <f>NETWORKDAYS(Table1[[#This Row],[Planned Start Date]],Table1[[#This Row],[Planned End Date]])</f>
        <v>0</v>
      </c>
      <c r="P943" s="178">
        <f>NETWORKDAYS(Table1[[#This Row],[Planned Start Date]],$P$7)</f>
        <v>30643</v>
      </c>
      <c r="Q943" s="129"/>
      <c r="R943" s="183" t="str">
        <f>IF(Table1[[#This Row],[Actual Effort (Hours)]]="","",IF(Table1[[#This Row],[Estimated Effort (Hours)]]&lt;20,"L1",IF(Table1[[#This Row],[Estimated Effort (Hours)]]&lt;50,"L2",IF(Table1[[#This Row],[Estimated Effort (Hours)]]&lt;150,"L3",IF(Table1[[#This Row],[Estimated Effort (Hours)]]&lt;300,"L4","L5")))))</f>
        <v/>
      </c>
      <c r="S943" s="184" t="str">
        <f>IF(Table1[[#This Row],[Actual End Date]]="","",TEXT(Table1[[#This Row],[Actual End Date]],"mmm-yy"))</f>
        <v/>
      </c>
      <c r="T9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3" s="185" t="str">
        <f>IFERROR((Table1[[#This Row],[Actual Effort (Hours)]]-Table1[[#This Row],[Estimated Effort (Hours)]])/Table1[[#This Row],[Estimated Effort (Hours)]],"")</f>
        <v/>
      </c>
    </row>
    <row r="944" spans="2:21">
      <c r="B944" s="125"/>
      <c r="C944" s="123"/>
      <c r="D944" s="143"/>
      <c r="E944" s="123"/>
      <c r="F944" s="143"/>
      <c r="G944" s="129"/>
      <c r="H944" s="124"/>
      <c r="I944" s="124"/>
      <c r="J944" s="129"/>
      <c r="K944" s="194"/>
      <c r="L944" s="194"/>
      <c r="M944" s="129"/>
      <c r="N944" s="129" t="e">
        <f>Table1[[#This Row],[Estimated Effort (Hours)]]/NETWORKDAYS(Table1[[#This Row],[Planned Start Date]],Table1[[#This Row],[Planned End Date]])</f>
        <v>#DIV/0!</v>
      </c>
      <c r="O944" s="178">
        <f>NETWORKDAYS(Table1[[#This Row],[Planned Start Date]],Table1[[#This Row],[Planned End Date]])</f>
        <v>0</v>
      </c>
      <c r="P944" s="178">
        <f>NETWORKDAYS(Table1[[#This Row],[Planned Start Date]],$P$7)</f>
        <v>30643</v>
      </c>
      <c r="Q944" s="129"/>
      <c r="R944" s="183" t="str">
        <f>IF(Table1[[#This Row],[Actual Effort (Hours)]]="","",IF(Table1[[#This Row],[Estimated Effort (Hours)]]&lt;20,"L1",IF(Table1[[#This Row],[Estimated Effort (Hours)]]&lt;50,"L2",IF(Table1[[#This Row],[Estimated Effort (Hours)]]&lt;150,"L3",IF(Table1[[#This Row],[Estimated Effort (Hours)]]&lt;300,"L4","L5")))))</f>
        <v/>
      </c>
      <c r="S944" s="184" t="str">
        <f>IF(Table1[[#This Row],[Actual End Date]]="","",TEXT(Table1[[#This Row],[Actual End Date]],"mmm-yy"))</f>
        <v/>
      </c>
      <c r="T9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4" s="185" t="str">
        <f>IFERROR((Table1[[#This Row],[Actual Effort (Hours)]]-Table1[[#This Row],[Estimated Effort (Hours)]])/Table1[[#This Row],[Estimated Effort (Hours)]],"")</f>
        <v/>
      </c>
    </row>
    <row r="945" spans="2:21">
      <c r="B945" s="125"/>
      <c r="C945" s="123"/>
      <c r="D945" s="143"/>
      <c r="E945" s="123"/>
      <c r="F945" s="143"/>
      <c r="G945" s="129"/>
      <c r="H945" s="124"/>
      <c r="I945" s="124"/>
      <c r="J945" s="129"/>
      <c r="K945" s="194"/>
      <c r="L945" s="194"/>
      <c r="M945" s="129"/>
      <c r="N945" s="129" t="e">
        <f>Table1[[#This Row],[Estimated Effort (Hours)]]/NETWORKDAYS(Table1[[#This Row],[Planned Start Date]],Table1[[#This Row],[Planned End Date]])</f>
        <v>#DIV/0!</v>
      </c>
      <c r="O945" s="178">
        <f>NETWORKDAYS(Table1[[#This Row],[Planned Start Date]],Table1[[#This Row],[Planned End Date]])</f>
        <v>0</v>
      </c>
      <c r="P945" s="178">
        <f>NETWORKDAYS(Table1[[#This Row],[Planned Start Date]],$P$7)</f>
        <v>30643</v>
      </c>
      <c r="Q945" s="129"/>
      <c r="R945" s="183" t="str">
        <f>IF(Table1[[#This Row],[Actual Effort (Hours)]]="","",IF(Table1[[#This Row],[Estimated Effort (Hours)]]&lt;20,"L1",IF(Table1[[#This Row],[Estimated Effort (Hours)]]&lt;50,"L2",IF(Table1[[#This Row],[Estimated Effort (Hours)]]&lt;150,"L3",IF(Table1[[#This Row],[Estimated Effort (Hours)]]&lt;300,"L4","L5")))))</f>
        <v/>
      </c>
      <c r="S945" s="184" t="str">
        <f>IF(Table1[[#This Row],[Actual End Date]]="","",TEXT(Table1[[#This Row],[Actual End Date]],"mmm-yy"))</f>
        <v/>
      </c>
      <c r="T9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5" s="185" t="str">
        <f>IFERROR((Table1[[#This Row],[Actual Effort (Hours)]]-Table1[[#This Row],[Estimated Effort (Hours)]])/Table1[[#This Row],[Estimated Effort (Hours)]],"")</f>
        <v/>
      </c>
    </row>
    <row r="946" spans="2:21">
      <c r="B946" s="125"/>
      <c r="C946" s="123"/>
      <c r="D946" s="143"/>
      <c r="E946" s="123"/>
      <c r="F946" s="143"/>
      <c r="G946" s="129"/>
      <c r="H946" s="124"/>
      <c r="I946" s="124"/>
      <c r="J946" s="129"/>
      <c r="K946" s="194"/>
      <c r="L946" s="194"/>
      <c r="M946" s="129"/>
      <c r="N946" s="129" t="e">
        <f>Table1[[#This Row],[Estimated Effort (Hours)]]/NETWORKDAYS(Table1[[#This Row],[Planned Start Date]],Table1[[#This Row],[Planned End Date]])</f>
        <v>#DIV/0!</v>
      </c>
      <c r="O946" s="178">
        <f>NETWORKDAYS(Table1[[#This Row],[Planned Start Date]],Table1[[#This Row],[Planned End Date]])</f>
        <v>0</v>
      </c>
      <c r="P946" s="178">
        <f>NETWORKDAYS(Table1[[#This Row],[Planned Start Date]],$P$7)</f>
        <v>30643</v>
      </c>
      <c r="Q946" s="129"/>
      <c r="R946" s="183" t="str">
        <f>IF(Table1[[#This Row],[Actual Effort (Hours)]]="","",IF(Table1[[#This Row],[Estimated Effort (Hours)]]&lt;20,"L1",IF(Table1[[#This Row],[Estimated Effort (Hours)]]&lt;50,"L2",IF(Table1[[#This Row],[Estimated Effort (Hours)]]&lt;150,"L3",IF(Table1[[#This Row],[Estimated Effort (Hours)]]&lt;300,"L4","L5")))))</f>
        <v/>
      </c>
      <c r="S946" s="184" t="str">
        <f>IF(Table1[[#This Row],[Actual End Date]]="","",TEXT(Table1[[#This Row],[Actual End Date]],"mmm-yy"))</f>
        <v/>
      </c>
      <c r="T9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6" s="185" t="str">
        <f>IFERROR((Table1[[#This Row],[Actual Effort (Hours)]]-Table1[[#This Row],[Estimated Effort (Hours)]])/Table1[[#This Row],[Estimated Effort (Hours)]],"")</f>
        <v/>
      </c>
    </row>
    <row r="947" spans="2:21">
      <c r="B947" s="125"/>
      <c r="C947" s="123"/>
      <c r="D947" s="143"/>
      <c r="E947" s="123"/>
      <c r="F947" s="143"/>
      <c r="G947" s="129"/>
      <c r="H947" s="124"/>
      <c r="I947" s="124"/>
      <c r="J947" s="129"/>
      <c r="K947" s="194"/>
      <c r="L947" s="194"/>
      <c r="M947" s="129"/>
      <c r="N947" s="129" t="e">
        <f>Table1[[#This Row],[Estimated Effort (Hours)]]/NETWORKDAYS(Table1[[#This Row],[Planned Start Date]],Table1[[#This Row],[Planned End Date]])</f>
        <v>#DIV/0!</v>
      </c>
      <c r="O947" s="178">
        <f>NETWORKDAYS(Table1[[#This Row],[Planned Start Date]],Table1[[#This Row],[Planned End Date]])</f>
        <v>0</v>
      </c>
      <c r="P947" s="178">
        <f>NETWORKDAYS(Table1[[#This Row],[Planned Start Date]],$P$7)</f>
        <v>30643</v>
      </c>
      <c r="Q947" s="129"/>
      <c r="R947" s="183" t="str">
        <f>IF(Table1[[#This Row],[Actual Effort (Hours)]]="","",IF(Table1[[#This Row],[Estimated Effort (Hours)]]&lt;20,"L1",IF(Table1[[#This Row],[Estimated Effort (Hours)]]&lt;50,"L2",IF(Table1[[#This Row],[Estimated Effort (Hours)]]&lt;150,"L3",IF(Table1[[#This Row],[Estimated Effort (Hours)]]&lt;300,"L4","L5")))))</f>
        <v/>
      </c>
      <c r="S947" s="184" t="str">
        <f>IF(Table1[[#This Row],[Actual End Date]]="","",TEXT(Table1[[#This Row],[Actual End Date]],"mmm-yy"))</f>
        <v/>
      </c>
      <c r="T9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7" s="185" t="str">
        <f>IFERROR((Table1[[#This Row],[Actual Effort (Hours)]]-Table1[[#This Row],[Estimated Effort (Hours)]])/Table1[[#This Row],[Estimated Effort (Hours)]],"")</f>
        <v/>
      </c>
    </row>
    <row r="948" spans="2:21">
      <c r="B948" s="125"/>
      <c r="C948" s="123"/>
      <c r="D948" s="143"/>
      <c r="E948" s="123"/>
      <c r="F948" s="143"/>
      <c r="G948" s="129"/>
      <c r="H948" s="124"/>
      <c r="I948" s="124"/>
      <c r="J948" s="129"/>
      <c r="K948" s="194"/>
      <c r="L948" s="194"/>
      <c r="M948" s="129"/>
      <c r="N948" s="129" t="e">
        <f>Table1[[#This Row],[Estimated Effort (Hours)]]/NETWORKDAYS(Table1[[#This Row],[Planned Start Date]],Table1[[#This Row],[Planned End Date]])</f>
        <v>#DIV/0!</v>
      </c>
      <c r="O948" s="178">
        <f>NETWORKDAYS(Table1[[#This Row],[Planned Start Date]],Table1[[#This Row],[Planned End Date]])</f>
        <v>0</v>
      </c>
      <c r="P948" s="178">
        <f>NETWORKDAYS(Table1[[#This Row],[Planned Start Date]],$P$7)</f>
        <v>30643</v>
      </c>
      <c r="Q948" s="129"/>
      <c r="R948" s="183" t="str">
        <f>IF(Table1[[#This Row],[Actual Effort (Hours)]]="","",IF(Table1[[#This Row],[Estimated Effort (Hours)]]&lt;20,"L1",IF(Table1[[#This Row],[Estimated Effort (Hours)]]&lt;50,"L2",IF(Table1[[#This Row],[Estimated Effort (Hours)]]&lt;150,"L3",IF(Table1[[#This Row],[Estimated Effort (Hours)]]&lt;300,"L4","L5")))))</f>
        <v/>
      </c>
      <c r="S948" s="184" t="str">
        <f>IF(Table1[[#This Row],[Actual End Date]]="","",TEXT(Table1[[#This Row],[Actual End Date]],"mmm-yy"))</f>
        <v/>
      </c>
      <c r="T9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8" s="185" t="str">
        <f>IFERROR((Table1[[#This Row],[Actual Effort (Hours)]]-Table1[[#This Row],[Estimated Effort (Hours)]])/Table1[[#This Row],[Estimated Effort (Hours)]],"")</f>
        <v/>
      </c>
    </row>
    <row r="949" spans="2:21">
      <c r="B949" s="125"/>
      <c r="C949" s="123"/>
      <c r="D949" s="143"/>
      <c r="E949" s="123"/>
      <c r="F949" s="143"/>
      <c r="G949" s="129"/>
      <c r="H949" s="124"/>
      <c r="I949" s="124"/>
      <c r="J949" s="129"/>
      <c r="K949" s="194"/>
      <c r="L949" s="194"/>
      <c r="M949" s="129"/>
      <c r="N949" s="129" t="e">
        <f>Table1[[#This Row],[Estimated Effort (Hours)]]/NETWORKDAYS(Table1[[#This Row],[Planned Start Date]],Table1[[#This Row],[Planned End Date]])</f>
        <v>#DIV/0!</v>
      </c>
      <c r="O949" s="178">
        <f>NETWORKDAYS(Table1[[#This Row],[Planned Start Date]],Table1[[#This Row],[Planned End Date]])</f>
        <v>0</v>
      </c>
      <c r="P949" s="178">
        <f>NETWORKDAYS(Table1[[#This Row],[Planned Start Date]],$P$7)</f>
        <v>30643</v>
      </c>
      <c r="Q949" s="129"/>
      <c r="R949" s="183" t="str">
        <f>IF(Table1[[#This Row],[Actual Effort (Hours)]]="","",IF(Table1[[#This Row],[Estimated Effort (Hours)]]&lt;20,"L1",IF(Table1[[#This Row],[Estimated Effort (Hours)]]&lt;50,"L2",IF(Table1[[#This Row],[Estimated Effort (Hours)]]&lt;150,"L3",IF(Table1[[#This Row],[Estimated Effort (Hours)]]&lt;300,"L4","L5")))))</f>
        <v/>
      </c>
      <c r="S949" s="184" t="str">
        <f>IF(Table1[[#This Row],[Actual End Date]]="","",TEXT(Table1[[#This Row],[Actual End Date]],"mmm-yy"))</f>
        <v/>
      </c>
      <c r="T9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49" s="185" t="str">
        <f>IFERROR((Table1[[#This Row],[Actual Effort (Hours)]]-Table1[[#This Row],[Estimated Effort (Hours)]])/Table1[[#This Row],[Estimated Effort (Hours)]],"")</f>
        <v/>
      </c>
    </row>
    <row r="950" spans="2:21">
      <c r="B950" s="125"/>
      <c r="C950" s="123"/>
      <c r="D950" s="143"/>
      <c r="E950" s="123"/>
      <c r="F950" s="143"/>
      <c r="G950" s="129"/>
      <c r="H950" s="124"/>
      <c r="I950" s="124"/>
      <c r="J950" s="129"/>
      <c r="K950" s="194"/>
      <c r="L950" s="194"/>
      <c r="M950" s="129"/>
      <c r="N950" s="129" t="e">
        <f>Table1[[#This Row],[Estimated Effort (Hours)]]/NETWORKDAYS(Table1[[#This Row],[Planned Start Date]],Table1[[#This Row],[Planned End Date]])</f>
        <v>#DIV/0!</v>
      </c>
      <c r="O950" s="178">
        <f>NETWORKDAYS(Table1[[#This Row],[Planned Start Date]],Table1[[#This Row],[Planned End Date]])</f>
        <v>0</v>
      </c>
      <c r="P950" s="178">
        <f>NETWORKDAYS(Table1[[#This Row],[Planned Start Date]],$P$7)</f>
        <v>30643</v>
      </c>
      <c r="Q950" s="129"/>
      <c r="R950" s="183" t="str">
        <f>IF(Table1[[#This Row],[Actual Effort (Hours)]]="","",IF(Table1[[#This Row],[Estimated Effort (Hours)]]&lt;20,"L1",IF(Table1[[#This Row],[Estimated Effort (Hours)]]&lt;50,"L2",IF(Table1[[#This Row],[Estimated Effort (Hours)]]&lt;150,"L3",IF(Table1[[#This Row],[Estimated Effort (Hours)]]&lt;300,"L4","L5")))))</f>
        <v/>
      </c>
      <c r="S950" s="184" t="str">
        <f>IF(Table1[[#This Row],[Actual End Date]]="","",TEXT(Table1[[#This Row],[Actual End Date]],"mmm-yy"))</f>
        <v/>
      </c>
      <c r="T9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0" s="185" t="str">
        <f>IFERROR((Table1[[#This Row],[Actual Effort (Hours)]]-Table1[[#This Row],[Estimated Effort (Hours)]])/Table1[[#This Row],[Estimated Effort (Hours)]],"")</f>
        <v/>
      </c>
    </row>
    <row r="951" spans="2:21">
      <c r="B951" s="125"/>
      <c r="C951" s="123"/>
      <c r="D951" s="143"/>
      <c r="E951" s="123"/>
      <c r="F951" s="143"/>
      <c r="G951" s="129"/>
      <c r="H951" s="124"/>
      <c r="I951" s="124"/>
      <c r="J951" s="129"/>
      <c r="K951" s="194"/>
      <c r="L951" s="194"/>
      <c r="M951" s="129"/>
      <c r="N951" s="129" t="e">
        <f>Table1[[#This Row],[Estimated Effort (Hours)]]/NETWORKDAYS(Table1[[#This Row],[Planned Start Date]],Table1[[#This Row],[Planned End Date]])</f>
        <v>#DIV/0!</v>
      </c>
      <c r="O951" s="178">
        <f>NETWORKDAYS(Table1[[#This Row],[Planned Start Date]],Table1[[#This Row],[Planned End Date]])</f>
        <v>0</v>
      </c>
      <c r="P951" s="178">
        <f>NETWORKDAYS(Table1[[#This Row],[Planned Start Date]],$P$7)</f>
        <v>30643</v>
      </c>
      <c r="Q951" s="129"/>
      <c r="R951" s="183" t="str">
        <f>IF(Table1[[#This Row],[Actual Effort (Hours)]]="","",IF(Table1[[#This Row],[Estimated Effort (Hours)]]&lt;20,"L1",IF(Table1[[#This Row],[Estimated Effort (Hours)]]&lt;50,"L2",IF(Table1[[#This Row],[Estimated Effort (Hours)]]&lt;150,"L3",IF(Table1[[#This Row],[Estimated Effort (Hours)]]&lt;300,"L4","L5")))))</f>
        <v/>
      </c>
      <c r="S951" s="184" t="str">
        <f>IF(Table1[[#This Row],[Actual End Date]]="","",TEXT(Table1[[#This Row],[Actual End Date]],"mmm-yy"))</f>
        <v/>
      </c>
      <c r="T9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1" s="185" t="str">
        <f>IFERROR((Table1[[#This Row],[Actual Effort (Hours)]]-Table1[[#This Row],[Estimated Effort (Hours)]])/Table1[[#This Row],[Estimated Effort (Hours)]],"")</f>
        <v/>
      </c>
    </row>
    <row r="952" spans="2:21">
      <c r="B952" s="125"/>
      <c r="C952" s="123"/>
      <c r="D952" s="143"/>
      <c r="E952" s="123"/>
      <c r="F952" s="143"/>
      <c r="G952" s="129"/>
      <c r="H952" s="124"/>
      <c r="I952" s="124"/>
      <c r="J952" s="129"/>
      <c r="K952" s="194"/>
      <c r="L952" s="194"/>
      <c r="M952" s="129"/>
      <c r="N952" s="129" t="e">
        <f>Table1[[#This Row],[Estimated Effort (Hours)]]/NETWORKDAYS(Table1[[#This Row],[Planned Start Date]],Table1[[#This Row],[Planned End Date]])</f>
        <v>#DIV/0!</v>
      </c>
      <c r="O952" s="178">
        <f>NETWORKDAYS(Table1[[#This Row],[Planned Start Date]],Table1[[#This Row],[Planned End Date]])</f>
        <v>0</v>
      </c>
      <c r="P952" s="178">
        <f>NETWORKDAYS(Table1[[#This Row],[Planned Start Date]],$P$7)</f>
        <v>30643</v>
      </c>
      <c r="Q952" s="129"/>
      <c r="R952" s="183" t="str">
        <f>IF(Table1[[#This Row],[Actual Effort (Hours)]]="","",IF(Table1[[#This Row],[Estimated Effort (Hours)]]&lt;20,"L1",IF(Table1[[#This Row],[Estimated Effort (Hours)]]&lt;50,"L2",IF(Table1[[#This Row],[Estimated Effort (Hours)]]&lt;150,"L3",IF(Table1[[#This Row],[Estimated Effort (Hours)]]&lt;300,"L4","L5")))))</f>
        <v/>
      </c>
      <c r="S952" s="184" t="str">
        <f>IF(Table1[[#This Row],[Actual End Date]]="","",TEXT(Table1[[#This Row],[Actual End Date]],"mmm-yy"))</f>
        <v/>
      </c>
      <c r="T9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2" s="185" t="str">
        <f>IFERROR((Table1[[#This Row],[Actual Effort (Hours)]]-Table1[[#This Row],[Estimated Effort (Hours)]])/Table1[[#This Row],[Estimated Effort (Hours)]],"")</f>
        <v/>
      </c>
    </row>
    <row r="953" spans="2:21">
      <c r="B953" s="125"/>
      <c r="C953" s="123"/>
      <c r="D953" s="143"/>
      <c r="E953" s="123"/>
      <c r="F953" s="143"/>
      <c r="G953" s="129"/>
      <c r="H953" s="124"/>
      <c r="I953" s="124"/>
      <c r="J953" s="129"/>
      <c r="K953" s="194"/>
      <c r="L953" s="194"/>
      <c r="M953" s="129"/>
      <c r="N953" s="129" t="e">
        <f>Table1[[#This Row],[Estimated Effort (Hours)]]/NETWORKDAYS(Table1[[#This Row],[Planned Start Date]],Table1[[#This Row],[Planned End Date]])</f>
        <v>#DIV/0!</v>
      </c>
      <c r="O953" s="178">
        <f>NETWORKDAYS(Table1[[#This Row],[Planned Start Date]],Table1[[#This Row],[Planned End Date]])</f>
        <v>0</v>
      </c>
      <c r="P953" s="178">
        <f>NETWORKDAYS(Table1[[#This Row],[Planned Start Date]],$P$7)</f>
        <v>30643</v>
      </c>
      <c r="Q953" s="129"/>
      <c r="R953" s="183" t="str">
        <f>IF(Table1[[#This Row],[Actual Effort (Hours)]]="","",IF(Table1[[#This Row],[Estimated Effort (Hours)]]&lt;20,"L1",IF(Table1[[#This Row],[Estimated Effort (Hours)]]&lt;50,"L2",IF(Table1[[#This Row],[Estimated Effort (Hours)]]&lt;150,"L3",IF(Table1[[#This Row],[Estimated Effort (Hours)]]&lt;300,"L4","L5")))))</f>
        <v/>
      </c>
      <c r="S953" s="184" t="str">
        <f>IF(Table1[[#This Row],[Actual End Date]]="","",TEXT(Table1[[#This Row],[Actual End Date]],"mmm-yy"))</f>
        <v/>
      </c>
      <c r="T9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3" s="185" t="str">
        <f>IFERROR((Table1[[#This Row],[Actual Effort (Hours)]]-Table1[[#This Row],[Estimated Effort (Hours)]])/Table1[[#This Row],[Estimated Effort (Hours)]],"")</f>
        <v/>
      </c>
    </row>
    <row r="954" spans="2:21">
      <c r="B954" s="125"/>
      <c r="C954" s="123"/>
      <c r="D954" s="143"/>
      <c r="E954" s="123"/>
      <c r="F954" s="143"/>
      <c r="G954" s="129"/>
      <c r="H954" s="124"/>
      <c r="I954" s="124"/>
      <c r="J954" s="129"/>
      <c r="K954" s="194"/>
      <c r="L954" s="194"/>
      <c r="M954" s="129"/>
      <c r="N954" s="129" t="e">
        <f>Table1[[#This Row],[Estimated Effort (Hours)]]/NETWORKDAYS(Table1[[#This Row],[Planned Start Date]],Table1[[#This Row],[Planned End Date]])</f>
        <v>#DIV/0!</v>
      </c>
      <c r="O954" s="178">
        <f>NETWORKDAYS(Table1[[#This Row],[Planned Start Date]],Table1[[#This Row],[Planned End Date]])</f>
        <v>0</v>
      </c>
      <c r="P954" s="178">
        <f>NETWORKDAYS(Table1[[#This Row],[Planned Start Date]],$P$7)</f>
        <v>30643</v>
      </c>
      <c r="Q954" s="129"/>
      <c r="R954" s="183" t="str">
        <f>IF(Table1[[#This Row],[Actual Effort (Hours)]]="","",IF(Table1[[#This Row],[Estimated Effort (Hours)]]&lt;20,"L1",IF(Table1[[#This Row],[Estimated Effort (Hours)]]&lt;50,"L2",IF(Table1[[#This Row],[Estimated Effort (Hours)]]&lt;150,"L3",IF(Table1[[#This Row],[Estimated Effort (Hours)]]&lt;300,"L4","L5")))))</f>
        <v/>
      </c>
      <c r="S954" s="184" t="str">
        <f>IF(Table1[[#This Row],[Actual End Date]]="","",TEXT(Table1[[#This Row],[Actual End Date]],"mmm-yy"))</f>
        <v/>
      </c>
      <c r="T9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4" s="185" t="str">
        <f>IFERROR((Table1[[#This Row],[Actual Effort (Hours)]]-Table1[[#This Row],[Estimated Effort (Hours)]])/Table1[[#This Row],[Estimated Effort (Hours)]],"")</f>
        <v/>
      </c>
    </row>
    <row r="955" spans="2:21">
      <c r="B955" s="125"/>
      <c r="C955" s="123"/>
      <c r="D955" s="143"/>
      <c r="E955" s="123"/>
      <c r="F955" s="143"/>
      <c r="G955" s="129"/>
      <c r="H955" s="124"/>
      <c r="I955" s="124"/>
      <c r="J955" s="129"/>
      <c r="K955" s="194"/>
      <c r="L955" s="194"/>
      <c r="M955" s="129"/>
      <c r="N955" s="129" t="e">
        <f>Table1[[#This Row],[Estimated Effort (Hours)]]/NETWORKDAYS(Table1[[#This Row],[Planned Start Date]],Table1[[#This Row],[Planned End Date]])</f>
        <v>#DIV/0!</v>
      </c>
      <c r="O955" s="178">
        <f>NETWORKDAYS(Table1[[#This Row],[Planned Start Date]],Table1[[#This Row],[Planned End Date]])</f>
        <v>0</v>
      </c>
      <c r="P955" s="178">
        <f>NETWORKDAYS(Table1[[#This Row],[Planned Start Date]],$P$7)</f>
        <v>30643</v>
      </c>
      <c r="Q955" s="129"/>
      <c r="R955" s="183" t="str">
        <f>IF(Table1[[#This Row],[Actual Effort (Hours)]]="","",IF(Table1[[#This Row],[Estimated Effort (Hours)]]&lt;20,"L1",IF(Table1[[#This Row],[Estimated Effort (Hours)]]&lt;50,"L2",IF(Table1[[#This Row],[Estimated Effort (Hours)]]&lt;150,"L3",IF(Table1[[#This Row],[Estimated Effort (Hours)]]&lt;300,"L4","L5")))))</f>
        <v/>
      </c>
      <c r="S955" s="184" t="str">
        <f>IF(Table1[[#This Row],[Actual End Date]]="","",TEXT(Table1[[#This Row],[Actual End Date]],"mmm-yy"))</f>
        <v/>
      </c>
      <c r="T9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5" s="185" t="str">
        <f>IFERROR((Table1[[#This Row],[Actual Effort (Hours)]]-Table1[[#This Row],[Estimated Effort (Hours)]])/Table1[[#This Row],[Estimated Effort (Hours)]],"")</f>
        <v/>
      </c>
    </row>
    <row r="956" spans="2:21">
      <c r="B956" s="125"/>
      <c r="C956" s="123"/>
      <c r="D956" s="143"/>
      <c r="E956" s="123"/>
      <c r="F956" s="143"/>
      <c r="G956" s="129"/>
      <c r="H956" s="124"/>
      <c r="I956" s="124"/>
      <c r="J956" s="129"/>
      <c r="K956" s="194"/>
      <c r="L956" s="194"/>
      <c r="M956" s="129"/>
      <c r="N956" s="129" t="e">
        <f>Table1[[#This Row],[Estimated Effort (Hours)]]/NETWORKDAYS(Table1[[#This Row],[Planned Start Date]],Table1[[#This Row],[Planned End Date]])</f>
        <v>#DIV/0!</v>
      </c>
      <c r="O956" s="178">
        <f>NETWORKDAYS(Table1[[#This Row],[Planned Start Date]],Table1[[#This Row],[Planned End Date]])</f>
        <v>0</v>
      </c>
      <c r="P956" s="178">
        <f>NETWORKDAYS(Table1[[#This Row],[Planned Start Date]],$P$7)</f>
        <v>30643</v>
      </c>
      <c r="Q956" s="129"/>
      <c r="R956" s="183" t="str">
        <f>IF(Table1[[#This Row],[Actual Effort (Hours)]]="","",IF(Table1[[#This Row],[Estimated Effort (Hours)]]&lt;20,"L1",IF(Table1[[#This Row],[Estimated Effort (Hours)]]&lt;50,"L2",IF(Table1[[#This Row],[Estimated Effort (Hours)]]&lt;150,"L3",IF(Table1[[#This Row],[Estimated Effort (Hours)]]&lt;300,"L4","L5")))))</f>
        <v/>
      </c>
      <c r="S956" s="184" t="str">
        <f>IF(Table1[[#This Row],[Actual End Date]]="","",TEXT(Table1[[#This Row],[Actual End Date]],"mmm-yy"))</f>
        <v/>
      </c>
      <c r="T9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6" s="185" t="str">
        <f>IFERROR((Table1[[#This Row],[Actual Effort (Hours)]]-Table1[[#This Row],[Estimated Effort (Hours)]])/Table1[[#This Row],[Estimated Effort (Hours)]],"")</f>
        <v/>
      </c>
    </row>
    <row r="957" spans="2:21">
      <c r="B957" s="125"/>
      <c r="C957" s="123"/>
      <c r="D957" s="143"/>
      <c r="E957" s="123"/>
      <c r="F957" s="143"/>
      <c r="G957" s="129"/>
      <c r="H957" s="124"/>
      <c r="I957" s="124"/>
      <c r="J957" s="129"/>
      <c r="K957" s="194"/>
      <c r="L957" s="194"/>
      <c r="M957" s="129"/>
      <c r="N957" s="129" t="e">
        <f>Table1[[#This Row],[Estimated Effort (Hours)]]/NETWORKDAYS(Table1[[#This Row],[Planned Start Date]],Table1[[#This Row],[Planned End Date]])</f>
        <v>#DIV/0!</v>
      </c>
      <c r="O957" s="178">
        <f>NETWORKDAYS(Table1[[#This Row],[Planned Start Date]],Table1[[#This Row],[Planned End Date]])</f>
        <v>0</v>
      </c>
      <c r="P957" s="178">
        <f>NETWORKDAYS(Table1[[#This Row],[Planned Start Date]],$P$7)</f>
        <v>30643</v>
      </c>
      <c r="Q957" s="129"/>
      <c r="R957" s="183" t="str">
        <f>IF(Table1[[#This Row],[Actual Effort (Hours)]]="","",IF(Table1[[#This Row],[Estimated Effort (Hours)]]&lt;20,"L1",IF(Table1[[#This Row],[Estimated Effort (Hours)]]&lt;50,"L2",IF(Table1[[#This Row],[Estimated Effort (Hours)]]&lt;150,"L3",IF(Table1[[#This Row],[Estimated Effort (Hours)]]&lt;300,"L4","L5")))))</f>
        <v/>
      </c>
      <c r="S957" s="184" t="str">
        <f>IF(Table1[[#This Row],[Actual End Date]]="","",TEXT(Table1[[#This Row],[Actual End Date]],"mmm-yy"))</f>
        <v/>
      </c>
      <c r="T9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7" s="185" t="str">
        <f>IFERROR((Table1[[#This Row],[Actual Effort (Hours)]]-Table1[[#This Row],[Estimated Effort (Hours)]])/Table1[[#This Row],[Estimated Effort (Hours)]],"")</f>
        <v/>
      </c>
    </row>
    <row r="958" spans="2:21">
      <c r="B958" s="125"/>
      <c r="C958" s="123"/>
      <c r="D958" s="143"/>
      <c r="E958" s="123"/>
      <c r="F958" s="143"/>
      <c r="G958" s="129"/>
      <c r="H958" s="124"/>
      <c r="I958" s="124"/>
      <c r="J958" s="129"/>
      <c r="K958" s="194"/>
      <c r="L958" s="194"/>
      <c r="M958" s="129"/>
      <c r="N958" s="129" t="e">
        <f>Table1[[#This Row],[Estimated Effort (Hours)]]/NETWORKDAYS(Table1[[#This Row],[Planned Start Date]],Table1[[#This Row],[Planned End Date]])</f>
        <v>#DIV/0!</v>
      </c>
      <c r="O958" s="178">
        <f>NETWORKDAYS(Table1[[#This Row],[Planned Start Date]],Table1[[#This Row],[Planned End Date]])</f>
        <v>0</v>
      </c>
      <c r="P958" s="178">
        <f>NETWORKDAYS(Table1[[#This Row],[Planned Start Date]],$P$7)</f>
        <v>30643</v>
      </c>
      <c r="Q958" s="129"/>
      <c r="R958" s="183" t="str">
        <f>IF(Table1[[#This Row],[Actual Effort (Hours)]]="","",IF(Table1[[#This Row],[Estimated Effort (Hours)]]&lt;20,"L1",IF(Table1[[#This Row],[Estimated Effort (Hours)]]&lt;50,"L2",IF(Table1[[#This Row],[Estimated Effort (Hours)]]&lt;150,"L3",IF(Table1[[#This Row],[Estimated Effort (Hours)]]&lt;300,"L4","L5")))))</f>
        <v/>
      </c>
      <c r="S958" s="184" t="str">
        <f>IF(Table1[[#This Row],[Actual End Date]]="","",TEXT(Table1[[#This Row],[Actual End Date]],"mmm-yy"))</f>
        <v/>
      </c>
      <c r="T9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8" s="185" t="str">
        <f>IFERROR((Table1[[#This Row],[Actual Effort (Hours)]]-Table1[[#This Row],[Estimated Effort (Hours)]])/Table1[[#This Row],[Estimated Effort (Hours)]],"")</f>
        <v/>
      </c>
    </row>
    <row r="959" spans="2:21">
      <c r="B959" s="125"/>
      <c r="C959" s="123"/>
      <c r="D959" s="143"/>
      <c r="E959" s="123"/>
      <c r="F959" s="143"/>
      <c r="G959" s="129"/>
      <c r="H959" s="124"/>
      <c r="I959" s="124"/>
      <c r="J959" s="129"/>
      <c r="K959" s="194"/>
      <c r="L959" s="194"/>
      <c r="M959" s="129"/>
      <c r="N959" s="129" t="e">
        <f>Table1[[#This Row],[Estimated Effort (Hours)]]/NETWORKDAYS(Table1[[#This Row],[Planned Start Date]],Table1[[#This Row],[Planned End Date]])</f>
        <v>#DIV/0!</v>
      </c>
      <c r="O959" s="178">
        <f>NETWORKDAYS(Table1[[#This Row],[Planned Start Date]],Table1[[#This Row],[Planned End Date]])</f>
        <v>0</v>
      </c>
      <c r="P959" s="178">
        <f>NETWORKDAYS(Table1[[#This Row],[Planned Start Date]],$P$7)</f>
        <v>30643</v>
      </c>
      <c r="Q959" s="129"/>
      <c r="R959" s="183" t="str">
        <f>IF(Table1[[#This Row],[Actual Effort (Hours)]]="","",IF(Table1[[#This Row],[Estimated Effort (Hours)]]&lt;20,"L1",IF(Table1[[#This Row],[Estimated Effort (Hours)]]&lt;50,"L2",IF(Table1[[#This Row],[Estimated Effort (Hours)]]&lt;150,"L3",IF(Table1[[#This Row],[Estimated Effort (Hours)]]&lt;300,"L4","L5")))))</f>
        <v/>
      </c>
      <c r="S959" s="184" t="str">
        <f>IF(Table1[[#This Row],[Actual End Date]]="","",TEXT(Table1[[#This Row],[Actual End Date]],"mmm-yy"))</f>
        <v/>
      </c>
      <c r="T9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59" s="185" t="str">
        <f>IFERROR((Table1[[#This Row],[Actual Effort (Hours)]]-Table1[[#This Row],[Estimated Effort (Hours)]])/Table1[[#This Row],[Estimated Effort (Hours)]],"")</f>
        <v/>
      </c>
    </row>
    <row r="960" spans="2:21">
      <c r="B960" s="125"/>
      <c r="C960" s="123"/>
      <c r="D960" s="143"/>
      <c r="E960" s="123"/>
      <c r="F960" s="143"/>
      <c r="G960" s="129"/>
      <c r="H960" s="124"/>
      <c r="I960" s="124"/>
      <c r="J960" s="129"/>
      <c r="K960" s="194"/>
      <c r="L960" s="194"/>
      <c r="M960" s="129"/>
      <c r="N960" s="129" t="e">
        <f>Table1[[#This Row],[Estimated Effort (Hours)]]/NETWORKDAYS(Table1[[#This Row],[Planned Start Date]],Table1[[#This Row],[Planned End Date]])</f>
        <v>#DIV/0!</v>
      </c>
      <c r="O960" s="178">
        <f>NETWORKDAYS(Table1[[#This Row],[Planned Start Date]],Table1[[#This Row],[Planned End Date]])</f>
        <v>0</v>
      </c>
      <c r="P960" s="178">
        <f>NETWORKDAYS(Table1[[#This Row],[Planned Start Date]],$P$7)</f>
        <v>30643</v>
      </c>
      <c r="Q960" s="129"/>
      <c r="R960" s="183" t="str">
        <f>IF(Table1[[#This Row],[Actual Effort (Hours)]]="","",IF(Table1[[#This Row],[Estimated Effort (Hours)]]&lt;20,"L1",IF(Table1[[#This Row],[Estimated Effort (Hours)]]&lt;50,"L2",IF(Table1[[#This Row],[Estimated Effort (Hours)]]&lt;150,"L3",IF(Table1[[#This Row],[Estimated Effort (Hours)]]&lt;300,"L4","L5")))))</f>
        <v/>
      </c>
      <c r="S960" s="184" t="str">
        <f>IF(Table1[[#This Row],[Actual End Date]]="","",TEXT(Table1[[#This Row],[Actual End Date]],"mmm-yy"))</f>
        <v/>
      </c>
      <c r="T9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0" s="185" t="str">
        <f>IFERROR((Table1[[#This Row],[Actual Effort (Hours)]]-Table1[[#This Row],[Estimated Effort (Hours)]])/Table1[[#This Row],[Estimated Effort (Hours)]],"")</f>
        <v/>
      </c>
    </row>
    <row r="961" spans="2:21">
      <c r="B961" s="125"/>
      <c r="C961" s="123"/>
      <c r="D961" s="143"/>
      <c r="E961" s="123"/>
      <c r="F961" s="143"/>
      <c r="G961" s="129"/>
      <c r="H961" s="124"/>
      <c r="I961" s="124"/>
      <c r="J961" s="129"/>
      <c r="K961" s="194"/>
      <c r="L961" s="194"/>
      <c r="M961" s="129"/>
      <c r="N961" s="129" t="e">
        <f>Table1[[#This Row],[Estimated Effort (Hours)]]/NETWORKDAYS(Table1[[#This Row],[Planned Start Date]],Table1[[#This Row],[Planned End Date]])</f>
        <v>#DIV/0!</v>
      </c>
      <c r="O961" s="178">
        <f>NETWORKDAYS(Table1[[#This Row],[Planned Start Date]],Table1[[#This Row],[Planned End Date]])</f>
        <v>0</v>
      </c>
      <c r="P961" s="178">
        <f>NETWORKDAYS(Table1[[#This Row],[Planned Start Date]],$P$7)</f>
        <v>30643</v>
      </c>
      <c r="Q961" s="129"/>
      <c r="R961" s="183" t="str">
        <f>IF(Table1[[#This Row],[Actual Effort (Hours)]]="","",IF(Table1[[#This Row],[Estimated Effort (Hours)]]&lt;20,"L1",IF(Table1[[#This Row],[Estimated Effort (Hours)]]&lt;50,"L2",IF(Table1[[#This Row],[Estimated Effort (Hours)]]&lt;150,"L3",IF(Table1[[#This Row],[Estimated Effort (Hours)]]&lt;300,"L4","L5")))))</f>
        <v/>
      </c>
      <c r="S961" s="184" t="str">
        <f>IF(Table1[[#This Row],[Actual End Date]]="","",TEXT(Table1[[#This Row],[Actual End Date]],"mmm-yy"))</f>
        <v/>
      </c>
      <c r="T9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1" s="185" t="str">
        <f>IFERROR((Table1[[#This Row],[Actual Effort (Hours)]]-Table1[[#This Row],[Estimated Effort (Hours)]])/Table1[[#This Row],[Estimated Effort (Hours)]],"")</f>
        <v/>
      </c>
    </row>
    <row r="962" spans="2:21">
      <c r="B962" s="125"/>
      <c r="C962" s="123"/>
      <c r="D962" s="143"/>
      <c r="E962" s="123"/>
      <c r="F962" s="143"/>
      <c r="G962" s="129"/>
      <c r="H962" s="124"/>
      <c r="I962" s="124"/>
      <c r="J962" s="129"/>
      <c r="K962" s="194"/>
      <c r="L962" s="194"/>
      <c r="M962" s="129"/>
      <c r="N962" s="129" t="e">
        <f>Table1[[#This Row],[Estimated Effort (Hours)]]/NETWORKDAYS(Table1[[#This Row],[Planned Start Date]],Table1[[#This Row],[Planned End Date]])</f>
        <v>#DIV/0!</v>
      </c>
      <c r="O962" s="178">
        <f>NETWORKDAYS(Table1[[#This Row],[Planned Start Date]],Table1[[#This Row],[Planned End Date]])</f>
        <v>0</v>
      </c>
      <c r="P962" s="178">
        <f>NETWORKDAYS(Table1[[#This Row],[Planned Start Date]],$P$7)</f>
        <v>30643</v>
      </c>
      <c r="Q962" s="129"/>
      <c r="R962" s="183" t="str">
        <f>IF(Table1[[#This Row],[Actual Effort (Hours)]]="","",IF(Table1[[#This Row],[Estimated Effort (Hours)]]&lt;20,"L1",IF(Table1[[#This Row],[Estimated Effort (Hours)]]&lt;50,"L2",IF(Table1[[#This Row],[Estimated Effort (Hours)]]&lt;150,"L3",IF(Table1[[#This Row],[Estimated Effort (Hours)]]&lt;300,"L4","L5")))))</f>
        <v/>
      </c>
      <c r="S962" s="184" t="str">
        <f>IF(Table1[[#This Row],[Actual End Date]]="","",TEXT(Table1[[#This Row],[Actual End Date]],"mmm-yy"))</f>
        <v/>
      </c>
      <c r="T9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2" s="185" t="str">
        <f>IFERROR((Table1[[#This Row],[Actual Effort (Hours)]]-Table1[[#This Row],[Estimated Effort (Hours)]])/Table1[[#This Row],[Estimated Effort (Hours)]],"")</f>
        <v/>
      </c>
    </row>
    <row r="963" spans="2:21">
      <c r="B963" s="125"/>
      <c r="C963" s="123"/>
      <c r="D963" s="143"/>
      <c r="E963" s="123"/>
      <c r="F963" s="143"/>
      <c r="G963" s="129"/>
      <c r="H963" s="124"/>
      <c r="I963" s="124"/>
      <c r="J963" s="129"/>
      <c r="K963" s="194"/>
      <c r="L963" s="194"/>
      <c r="M963" s="129"/>
      <c r="N963" s="129" t="e">
        <f>Table1[[#This Row],[Estimated Effort (Hours)]]/NETWORKDAYS(Table1[[#This Row],[Planned Start Date]],Table1[[#This Row],[Planned End Date]])</f>
        <v>#DIV/0!</v>
      </c>
      <c r="O963" s="178">
        <f>NETWORKDAYS(Table1[[#This Row],[Planned Start Date]],Table1[[#This Row],[Planned End Date]])</f>
        <v>0</v>
      </c>
      <c r="P963" s="178">
        <f>NETWORKDAYS(Table1[[#This Row],[Planned Start Date]],$P$7)</f>
        <v>30643</v>
      </c>
      <c r="Q963" s="129"/>
      <c r="R963" s="183" t="str">
        <f>IF(Table1[[#This Row],[Actual Effort (Hours)]]="","",IF(Table1[[#This Row],[Estimated Effort (Hours)]]&lt;20,"L1",IF(Table1[[#This Row],[Estimated Effort (Hours)]]&lt;50,"L2",IF(Table1[[#This Row],[Estimated Effort (Hours)]]&lt;150,"L3",IF(Table1[[#This Row],[Estimated Effort (Hours)]]&lt;300,"L4","L5")))))</f>
        <v/>
      </c>
      <c r="S963" s="184" t="str">
        <f>IF(Table1[[#This Row],[Actual End Date]]="","",TEXT(Table1[[#This Row],[Actual End Date]],"mmm-yy"))</f>
        <v/>
      </c>
      <c r="T9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3" s="185" t="str">
        <f>IFERROR((Table1[[#This Row],[Actual Effort (Hours)]]-Table1[[#This Row],[Estimated Effort (Hours)]])/Table1[[#This Row],[Estimated Effort (Hours)]],"")</f>
        <v/>
      </c>
    </row>
    <row r="964" spans="2:21">
      <c r="B964" s="125"/>
      <c r="C964" s="123"/>
      <c r="D964" s="143"/>
      <c r="E964" s="123"/>
      <c r="F964" s="143"/>
      <c r="G964" s="129"/>
      <c r="H964" s="124"/>
      <c r="I964" s="124"/>
      <c r="J964" s="129"/>
      <c r="K964" s="194"/>
      <c r="L964" s="194"/>
      <c r="M964" s="129"/>
      <c r="N964" s="129" t="e">
        <f>Table1[[#This Row],[Estimated Effort (Hours)]]/NETWORKDAYS(Table1[[#This Row],[Planned Start Date]],Table1[[#This Row],[Planned End Date]])</f>
        <v>#DIV/0!</v>
      </c>
      <c r="O964" s="178">
        <f>NETWORKDAYS(Table1[[#This Row],[Planned Start Date]],Table1[[#This Row],[Planned End Date]])</f>
        <v>0</v>
      </c>
      <c r="P964" s="178">
        <f>NETWORKDAYS(Table1[[#This Row],[Planned Start Date]],$P$7)</f>
        <v>30643</v>
      </c>
      <c r="Q964" s="129"/>
      <c r="R964" s="183" t="str">
        <f>IF(Table1[[#This Row],[Actual Effort (Hours)]]="","",IF(Table1[[#This Row],[Estimated Effort (Hours)]]&lt;20,"L1",IF(Table1[[#This Row],[Estimated Effort (Hours)]]&lt;50,"L2",IF(Table1[[#This Row],[Estimated Effort (Hours)]]&lt;150,"L3",IF(Table1[[#This Row],[Estimated Effort (Hours)]]&lt;300,"L4","L5")))))</f>
        <v/>
      </c>
      <c r="S964" s="184" t="str">
        <f>IF(Table1[[#This Row],[Actual End Date]]="","",TEXT(Table1[[#This Row],[Actual End Date]],"mmm-yy"))</f>
        <v/>
      </c>
      <c r="T9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4" s="185" t="str">
        <f>IFERROR((Table1[[#This Row],[Actual Effort (Hours)]]-Table1[[#This Row],[Estimated Effort (Hours)]])/Table1[[#This Row],[Estimated Effort (Hours)]],"")</f>
        <v/>
      </c>
    </row>
    <row r="965" spans="2:21">
      <c r="B965" s="125"/>
      <c r="C965" s="123"/>
      <c r="D965" s="143"/>
      <c r="E965" s="123"/>
      <c r="F965" s="143"/>
      <c r="G965" s="129"/>
      <c r="H965" s="124"/>
      <c r="I965" s="124"/>
      <c r="J965" s="129"/>
      <c r="K965" s="194"/>
      <c r="L965" s="194"/>
      <c r="M965" s="129"/>
      <c r="N965" s="129" t="e">
        <f>Table1[[#This Row],[Estimated Effort (Hours)]]/NETWORKDAYS(Table1[[#This Row],[Planned Start Date]],Table1[[#This Row],[Planned End Date]])</f>
        <v>#DIV/0!</v>
      </c>
      <c r="O965" s="178">
        <f>NETWORKDAYS(Table1[[#This Row],[Planned Start Date]],Table1[[#This Row],[Planned End Date]])</f>
        <v>0</v>
      </c>
      <c r="P965" s="178">
        <f>NETWORKDAYS(Table1[[#This Row],[Planned Start Date]],$P$7)</f>
        <v>30643</v>
      </c>
      <c r="Q965" s="129"/>
      <c r="R965" s="183" t="str">
        <f>IF(Table1[[#This Row],[Actual Effort (Hours)]]="","",IF(Table1[[#This Row],[Estimated Effort (Hours)]]&lt;20,"L1",IF(Table1[[#This Row],[Estimated Effort (Hours)]]&lt;50,"L2",IF(Table1[[#This Row],[Estimated Effort (Hours)]]&lt;150,"L3",IF(Table1[[#This Row],[Estimated Effort (Hours)]]&lt;300,"L4","L5")))))</f>
        <v/>
      </c>
      <c r="S965" s="184" t="str">
        <f>IF(Table1[[#This Row],[Actual End Date]]="","",TEXT(Table1[[#This Row],[Actual End Date]],"mmm-yy"))</f>
        <v/>
      </c>
      <c r="T9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5" s="185" t="str">
        <f>IFERROR((Table1[[#This Row],[Actual Effort (Hours)]]-Table1[[#This Row],[Estimated Effort (Hours)]])/Table1[[#This Row],[Estimated Effort (Hours)]],"")</f>
        <v/>
      </c>
    </row>
    <row r="966" spans="2:21">
      <c r="B966" s="125"/>
      <c r="C966" s="123"/>
      <c r="D966" s="143"/>
      <c r="E966" s="123"/>
      <c r="F966" s="143"/>
      <c r="G966" s="129"/>
      <c r="H966" s="124"/>
      <c r="I966" s="124"/>
      <c r="J966" s="129"/>
      <c r="K966" s="194"/>
      <c r="L966" s="194"/>
      <c r="M966" s="129"/>
      <c r="N966" s="129" t="e">
        <f>Table1[[#This Row],[Estimated Effort (Hours)]]/NETWORKDAYS(Table1[[#This Row],[Planned Start Date]],Table1[[#This Row],[Planned End Date]])</f>
        <v>#DIV/0!</v>
      </c>
      <c r="O966" s="178">
        <f>NETWORKDAYS(Table1[[#This Row],[Planned Start Date]],Table1[[#This Row],[Planned End Date]])</f>
        <v>0</v>
      </c>
      <c r="P966" s="178">
        <f>NETWORKDAYS(Table1[[#This Row],[Planned Start Date]],$P$7)</f>
        <v>30643</v>
      </c>
      <c r="Q966" s="129"/>
      <c r="R966" s="183" t="str">
        <f>IF(Table1[[#This Row],[Actual Effort (Hours)]]="","",IF(Table1[[#This Row],[Estimated Effort (Hours)]]&lt;20,"L1",IF(Table1[[#This Row],[Estimated Effort (Hours)]]&lt;50,"L2",IF(Table1[[#This Row],[Estimated Effort (Hours)]]&lt;150,"L3",IF(Table1[[#This Row],[Estimated Effort (Hours)]]&lt;300,"L4","L5")))))</f>
        <v/>
      </c>
      <c r="S966" s="184" t="str">
        <f>IF(Table1[[#This Row],[Actual End Date]]="","",TEXT(Table1[[#This Row],[Actual End Date]],"mmm-yy"))</f>
        <v/>
      </c>
      <c r="T9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6" s="185" t="str">
        <f>IFERROR((Table1[[#This Row],[Actual Effort (Hours)]]-Table1[[#This Row],[Estimated Effort (Hours)]])/Table1[[#This Row],[Estimated Effort (Hours)]],"")</f>
        <v/>
      </c>
    </row>
    <row r="967" spans="2:21">
      <c r="B967" s="125"/>
      <c r="C967" s="123"/>
      <c r="D967" s="143"/>
      <c r="E967" s="123"/>
      <c r="F967" s="143"/>
      <c r="G967" s="129"/>
      <c r="H967" s="124"/>
      <c r="I967" s="124"/>
      <c r="J967" s="129"/>
      <c r="K967" s="194"/>
      <c r="L967" s="194"/>
      <c r="M967" s="129"/>
      <c r="N967" s="129" t="e">
        <f>Table1[[#This Row],[Estimated Effort (Hours)]]/NETWORKDAYS(Table1[[#This Row],[Planned Start Date]],Table1[[#This Row],[Planned End Date]])</f>
        <v>#DIV/0!</v>
      </c>
      <c r="O967" s="178">
        <f>NETWORKDAYS(Table1[[#This Row],[Planned Start Date]],Table1[[#This Row],[Planned End Date]])</f>
        <v>0</v>
      </c>
      <c r="P967" s="178">
        <f>NETWORKDAYS(Table1[[#This Row],[Planned Start Date]],$P$7)</f>
        <v>30643</v>
      </c>
      <c r="Q967" s="129"/>
      <c r="R967" s="183" t="str">
        <f>IF(Table1[[#This Row],[Actual Effort (Hours)]]="","",IF(Table1[[#This Row],[Estimated Effort (Hours)]]&lt;20,"L1",IF(Table1[[#This Row],[Estimated Effort (Hours)]]&lt;50,"L2",IF(Table1[[#This Row],[Estimated Effort (Hours)]]&lt;150,"L3",IF(Table1[[#This Row],[Estimated Effort (Hours)]]&lt;300,"L4","L5")))))</f>
        <v/>
      </c>
      <c r="S967" s="184" t="str">
        <f>IF(Table1[[#This Row],[Actual End Date]]="","",TEXT(Table1[[#This Row],[Actual End Date]],"mmm-yy"))</f>
        <v/>
      </c>
      <c r="T9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7" s="185" t="str">
        <f>IFERROR((Table1[[#This Row],[Actual Effort (Hours)]]-Table1[[#This Row],[Estimated Effort (Hours)]])/Table1[[#This Row],[Estimated Effort (Hours)]],"")</f>
        <v/>
      </c>
    </row>
    <row r="968" spans="2:21">
      <c r="B968" s="125"/>
      <c r="C968" s="123"/>
      <c r="D968" s="143"/>
      <c r="E968" s="123"/>
      <c r="F968" s="143"/>
      <c r="G968" s="129"/>
      <c r="H968" s="124"/>
      <c r="I968" s="124"/>
      <c r="J968" s="129"/>
      <c r="K968" s="194"/>
      <c r="L968" s="194"/>
      <c r="M968" s="129"/>
      <c r="N968" s="129" t="e">
        <f>Table1[[#This Row],[Estimated Effort (Hours)]]/NETWORKDAYS(Table1[[#This Row],[Planned Start Date]],Table1[[#This Row],[Planned End Date]])</f>
        <v>#DIV/0!</v>
      </c>
      <c r="O968" s="178">
        <f>NETWORKDAYS(Table1[[#This Row],[Planned Start Date]],Table1[[#This Row],[Planned End Date]])</f>
        <v>0</v>
      </c>
      <c r="P968" s="178">
        <f>NETWORKDAYS(Table1[[#This Row],[Planned Start Date]],$P$7)</f>
        <v>30643</v>
      </c>
      <c r="Q968" s="129"/>
      <c r="R968" s="183" t="str">
        <f>IF(Table1[[#This Row],[Actual Effort (Hours)]]="","",IF(Table1[[#This Row],[Estimated Effort (Hours)]]&lt;20,"L1",IF(Table1[[#This Row],[Estimated Effort (Hours)]]&lt;50,"L2",IF(Table1[[#This Row],[Estimated Effort (Hours)]]&lt;150,"L3",IF(Table1[[#This Row],[Estimated Effort (Hours)]]&lt;300,"L4","L5")))))</f>
        <v/>
      </c>
      <c r="S968" s="184" t="str">
        <f>IF(Table1[[#This Row],[Actual End Date]]="","",TEXT(Table1[[#This Row],[Actual End Date]],"mmm-yy"))</f>
        <v/>
      </c>
      <c r="T9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8" s="185" t="str">
        <f>IFERROR((Table1[[#This Row],[Actual Effort (Hours)]]-Table1[[#This Row],[Estimated Effort (Hours)]])/Table1[[#This Row],[Estimated Effort (Hours)]],"")</f>
        <v/>
      </c>
    </row>
    <row r="969" spans="2:21">
      <c r="B969" s="125"/>
      <c r="C969" s="123"/>
      <c r="D969" s="143"/>
      <c r="E969" s="123"/>
      <c r="F969" s="143"/>
      <c r="G969" s="129"/>
      <c r="H969" s="124"/>
      <c r="I969" s="124"/>
      <c r="J969" s="129"/>
      <c r="K969" s="194"/>
      <c r="L969" s="194"/>
      <c r="M969" s="129"/>
      <c r="N969" s="129" t="e">
        <f>Table1[[#This Row],[Estimated Effort (Hours)]]/NETWORKDAYS(Table1[[#This Row],[Planned Start Date]],Table1[[#This Row],[Planned End Date]])</f>
        <v>#DIV/0!</v>
      </c>
      <c r="O969" s="178">
        <f>NETWORKDAYS(Table1[[#This Row],[Planned Start Date]],Table1[[#This Row],[Planned End Date]])</f>
        <v>0</v>
      </c>
      <c r="P969" s="178">
        <f>NETWORKDAYS(Table1[[#This Row],[Planned Start Date]],$P$7)</f>
        <v>30643</v>
      </c>
      <c r="Q969" s="129"/>
      <c r="R969" s="183" t="str">
        <f>IF(Table1[[#This Row],[Actual Effort (Hours)]]="","",IF(Table1[[#This Row],[Estimated Effort (Hours)]]&lt;20,"L1",IF(Table1[[#This Row],[Estimated Effort (Hours)]]&lt;50,"L2",IF(Table1[[#This Row],[Estimated Effort (Hours)]]&lt;150,"L3",IF(Table1[[#This Row],[Estimated Effort (Hours)]]&lt;300,"L4","L5")))))</f>
        <v/>
      </c>
      <c r="S969" s="184" t="str">
        <f>IF(Table1[[#This Row],[Actual End Date]]="","",TEXT(Table1[[#This Row],[Actual End Date]],"mmm-yy"))</f>
        <v/>
      </c>
      <c r="T9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69" s="185" t="str">
        <f>IFERROR((Table1[[#This Row],[Actual Effort (Hours)]]-Table1[[#This Row],[Estimated Effort (Hours)]])/Table1[[#This Row],[Estimated Effort (Hours)]],"")</f>
        <v/>
      </c>
    </row>
    <row r="970" spans="2:21">
      <c r="B970" s="125"/>
      <c r="C970" s="123"/>
      <c r="D970" s="143"/>
      <c r="E970" s="123"/>
      <c r="F970" s="143"/>
      <c r="G970" s="129"/>
      <c r="H970" s="124"/>
      <c r="I970" s="124"/>
      <c r="J970" s="129"/>
      <c r="K970" s="194"/>
      <c r="L970" s="194"/>
      <c r="M970" s="129"/>
      <c r="N970" s="129" t="e">
        <f>Table1[[#This Row],[Estimated Effort (Hours)]]/NETWORKDAYS(Table1[[#This Row],[Planned Start Date]],Table1[[#This Row],[Planned End Date]])</f>
        <v>#DIV/0!</v>
      </c>
      <c r="O970" s="178">
        <f>NETWORKDAYS(Table1[[#This Row],[Planned Start Date]],Table1[[#This Row],[Planned End Date]])</f>
        <v>0</v>
      </c>
      <c r="P970" s="178">
        <f>NETWORKDAYS(Table1[[#This Row],[Planned Start Date]],$P$7)</f>
        <v>30643</v>
      </c>
      <c r="Q970" s="129"/>
      <c r="R970" s="183" t="str">
        <f>IF(Table1[[#This Row],[Actual Effort (Hours)]]="","",IF(Table1[[#This Row],[Estimated Effort (Hours)]]&lt;20,"L1",IF(Table1[[#This Row],[Estimated Effort (Hours)]]&lt;50,"L2",IF(Table1[[#This Row],[Estimated Effort (Hours)]]&lt;150,"L3",IF(Table1[[#This Row],[Estimated Effort (Hours)]]&lt;300,"L4","L5")))))</f>
        <v/>
      </c>
      <c r="S970" s="184" t="str">
        <f>IF(Table1[[#This Row],[Actual End Date]]="","",TEXT(Table1[[#This Row],[Actual End Date]],"mmm-yy"))</f>
        <v/>
      </c>
      <c r="T9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0" s="185" t="str">
        <f>IFERROR((Table1[[#This Row],[Actual Effort (Hours)]]-Table1[[#This Row],[Estimated Effort (Hours)]])/Table1[[#This Row],[Estimated Effort (Hours)]],"")</f>
        <v/>
      </c>
    </row>
    <row r="971" spans="2:21">
      <c r="B971" s="125"/>
      <c r="C971" s="123"/>
      <c r="D971" s="143"/>
      <c r="E971" s="123"/>
      <c r="F971" s="143"/>
      <c r="G971" s="129"/>
      <c r="H971" s="124"/>
      <c r="I971" s="124"/>
      <c r="J971" s="129"/>
      <c r="K971" s="194"/>
      <c r="L971" s="194"/>
      <c r="M971" s="129"/>
      <c r="N971" s="129" t="e">
        <f>Table1[[#This Row],[Estimated Effort (Hours)]]/NETWORKDAYS(Table1[[#This Row],[Planned Start Date]],Table1[[#This Row],[Planned End Date]])</f>
        <v>#DIV/0!</v>
      </c>
      <c r="O971" s="178">
        <f>NETWORKDAYS(Table1[[#This Row],[Planned Start Date]],Table1[[#This Row],[Planned End Date]])</f>
        <v>0</v>
      </c>
      <c r="P971" s="178">
        <f>NETWORKDAYS(Table1[[#This Row],[Planned Start Date]],$P$7)</f>
        <v>30643</v>
      </c>
      <c r="Q971" s="129"/>
      <c r="R971" s="183" t="str">
        <f>IF(Table1[[#This Row],[Actual Effort (Hours)]]="","",IF(Table1[[#This Row],[Estimated Effort (Hours)]]&lt;20,"L1",IF(Table1[[#This Row],[Estimated Effort (Hours)]]&lt;50,"L2",IF(Table1[[#This Row],[Estimated Effort (Hours)]]&lt;150,"L3",IF(Table1[[#This Row],[Estimated Effort (Hours)]]&lt;300,"L4","L5")))))</f>
        <v/>
      </c>
      <c r="S971" s="184" t="str">
        <f>IF(Table1[[#This Row],[Actual End Date]]="","",TEXT(Table1[[#This Row],[Actual End Date]],"mmm-yy"))</f>
        <v/>
      </c>
      <c r="T9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1" s="185" t="str">
        <f>IFERROR((Table1[[#This Row],[Actual Effort (Hours)]]-Table1[[#This Row],[Estimated Effort (Hours)]])/Table1[[#This Row],[Estimated Effort (Hours)]],"")</f>
        <v/>
      </c>
    </row>
    <row r="972" spans="2:21">
      <c r="B972" s="125"/>
      <c r="C972" s="123"/>
      <c r="D972" s="143"/>
      <c r="E972" s="123"/>
      <c r="F972" s="143"/>
      <c r="G972" s="129"/>
      <c r="H972" s="124"/>
      <c r="I972" s="124"/>
      <c r="J972" s="129"/>
      <c r="K972" s="194"/>
      <c r="L972" s="194"/>
      <c r="M972" s="129"/>
      <c r="N972" s="129" t="e">
        <f>Table1[[#This Row],[Estimated Effort (Hours)]]/NETWORKDAYS(Table1[[#This Row],[Planned Start Date]],Table1[[#This Row],[Planned End Date]])</f>
        <v>#DIV/0!</v>
      </c>
      <c r="O972" s="178">
        <f>NETWORKDAYS(Table1[[#This Row],[Planned Start Date]],Table1[[#This Row],[Planned End Date]])</f>
        <v>0</v>
      </c>
      <c r="P972" s="178">
        <f>NETWORKDAYS(Table1[[#This Row],[Planned Start Date]],$P$7)</f>
        <v>30643</v>
      </c>
      <c r="Q972" s="129"/>
      <c r="R972" s="183" t="str">
        <f>IF(Table1[[#This Row],[Actual Effort (Hours)]]="","",IF(Table1[[#This Row],[Estimated Effort (Hours)]]&lt;20,"L1",IF(Table1[[#This Row],[Estimated Effort (Hours)]]&lt;50,"L2",IF(Table1[[#This Row],[Estimated Effort (Hours)]]&lt;150,"L3",IF(Table1[[#This Row],[Estimated Effort (Hours)]]&lt;300,"L4","L5")))))</f>
        <v/>
      </c>
      <c r="S972" s="184" t="str">
        <f>IF(Table1[[#This Row],[Actual End Date]]="","",TEXT(Table1[[#This Row],[Actual End Date]],"mmm-yy"))</f>
        <v/>
      </c>
      <c r="T9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2" s="185" t="str">
        <f>IFERROR((Table1[[#This Row],[Actual Effort (Hours)]]-Table1[[#This Row],[Estimated Effort (Hours)]])/Table1[[#This Row],[Estimated Effort (Hours)]],"")</f>
        <v/>
      </c>
    </row>
    <row r="973" spans="2:21">
      <c r="B973" s="125"/>
      <c r="C973" s="123"/>
      <c r="D973" s="143"/>
      <c r="E973" s="123"/>
      <c r="F973" s="143"/>
      <c r="G973" s="129"/>
      <c r="H973" s="124"/>
      <c r="I973" s="124"/>
      <c r="J973" s="129"/>
      <c r="K973" s="194"/>
      <c r="L973" s="194"/>
      <c r="M973" s="129"/>
      <c r="N973" s="129" t="e">
        <f>Table1[[#This Row],[Estimated Effort (Hours)]]/NETWORKDAYS(Table1[[#This Row],[Planned Start Date]],Table1[[#This Row],[Planned End Date]])</f>
        <v>#DIV/0!</v>
      </c>
      <c r="O973" s="178">
        <f>NETWORKDAYS(Table1[[#This Row],[Planned Start Date]],Table1[[#This Row],[Planned End Date]])</f>
        <v>0</v>
      </c>
      <c r="P973" s="178">
        <f>NETWORKDAYS(Table1[[#This Row],[Planned Start Date]],$P$7)</f>
        <v>30643</v>
      </c>
      <c r="Q973" s="129"/>
      <c r="R973" s="183" t="str">
        <f>IF(Table1[[#This Row],[Actual Effort (Hours)]]="","",IF(Table1[[#This Row],[Estimated Effort (Hours)]]&lt;20,"L1",IF(Table1[[#This Row],[Estimated Effort (Hours)]]&lt;50,"L2",IF(Table1[[#This Row],[Estimated Effort (Hours)]]&lt;150,"L3",IF(Table1[[#This Row],[Estimated Effort (Hours)]]&lt;300,"L4","L5")))))</f>
        <v/>
      </c>
      <c r="S973" s="184" t="str">
        <f>IF(Table1[[#This Row],[Actual End Date]]="","",TEXT(Table1[[#This Row],[Actual End Date]],"mmm-yy"))</f>
        <v/>
      </c>
      <c r="T9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3" s="185" t="str">
        <f>IFERROR((Table1[[#This Row],[Actual Effort (Hours)]]-Table1[[#This Row],[Estimated Effort (Hours)]])/Table1[[#This Row],[Estimated Effort (Hours)]],"")</f>
        <v/>
      </c>
    </row>
    <row r="974" spans="2:21">
      <c r="B974" s="125"/>
      <c r="C974" s="123"/>
      <c r="D974" s="143"/>
      <c r="E974" s="123"/>
      <c r="F974" s="143"/>
      <c r="G974" s="129"/>
      <c r="H974" s="124"/>
      <c r="I974" s="124"/>
      <c r="J974" s="129"/>
      <c r="K974" s="194"/>
      <c r="L974" s="194"/>
      <c r="M974" s="129"/>
      <c r="N974" s="129" t="e">
        <f>Table1[[#This Row],[Estimated Effort (Hours)]]/NETWORKDAYS(Table1[[#This Row],[Planned Start Date]],Table1[[#This Row],[Planned End Date]])</f>
        <v>#DIV/0!</v>
      </c>
      <c r="O974" s="178">
        <f>NETWORKDAYS(Table1[[#This Row],[Planned Start Date]],Table1[[#This Row],[Planned End Date]])</f>
        <v>0</v>
      </c>
      <c r="P974" s="178">
        <f>NETWORKDAYS(Table1[[#This Row],[Planned Start Date]],$P$7)</f>
        <v>30643</v>
      </c>
      <c r="Q974" s="129"/>
      <c r="R974" s="183" t="str">
        <f>IF(Table1[[#This Row],[Actual Effort (Hours)]]="","",IF(Table1[[#This Row],[Estimated Effort (Hours)]]&lt;20,"L1",IF(Table1[[#This Row],[Estimated Effort (Hours)]]&lt;50,"L2",IF(Table1[[#This Row],[Estimated Effort (Hours)]]&lt;150,"L3",IF(Table1[[#This Row],[Estimated Effort (Hours)]]&lt;300,"L4","L5")))))</f>
        <v/>
      </c>
      <c r="S974" s="184" t="str">
        <f>IF(Table1[[#This Row],[Actual End Date]]="","",TEXT(Table1[[#This Row],[Actual End Date]],"mmm-yy"))</f>
        <v/>
      </c>
      <c r="T9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4" s="185" t="str">
        <f>IFERROR((Table1[[#This Row],[Actual Effort (Hours)]]-Table1[[#This Row],[Estimated Effort (Hours)]])/Table1[[#This Row],[Estimated Effort (Hours)]],"")</f>
        <v/>
      </c>
    </row>
    <row r="975" spans="2:21">
      <c r="B975" s="125"/>
      <c r="C975" s="123"/>
      <c r="D975" s="143"/>
      <c r="E975" s="123"/>
      <c r="F975" s="143"/>
      <c r="G975" s="129"/>
      <c r="H975" s="124"/>
      <c r="I975" s="124"/>
      <c r="J975" s="129"/>
      <c r="K975" s="194"/>
      <c r="L975" s="194"/>
      <c r="M975" s="129"/>
      <c r="N975" s="129" t="e">
        <f>Table1[[#This Row],[Estimated Effort (Hours)]]/NETWORKDAYS(Table1[[#This Row],[Planned Start Date]],Table1[[#This Row],[Planned End Date]])</f>
        <v>#DIV/0!</v>
      </c>
      <c r="O975" s="178">
        <f>NETWORKDAYS(Table1[[#This Row],[Planned Start Date]],Table1[[#This Row],[Planned End Date]])</f>
        <v>0</v>
      </c>
      <c r="P975" s="178">
        <f>NETWORKDAYS(Table1[[#This Row],[Planned Start Date]],$P$7)</f>
        <v>30643</v>
      </c>
      <c r="Q975" s="129"/>
      <c r="R975" s="183" t="str">
        <f>IF(Table1[[#This Row],[Actual Effort (Hours)]]="","",IF(Table1[[#This Row],[Estimated Effort (Hours)]]&lt;20,"L1",IF(Table1[[#This Row],[Estimated Effort (Hours)]]&lt;50,"L2",IF(Table1[[#This Row],[Estimated Effort (Hours)]]&lt;150,"L3",IF(Table1[[#This Row],[Estimated Effort (Hours)]]&lt;300,"L4","L5")))))</f>
        <v/>
      </c>
      <c r="S975" s="184" t="str">
        <f>IF(Table1[[#This Row],[Actual End Date]]="","",TEXT(Table1[[#This Row],[Actual End Date]],"mmm-yy"))</f>
        <v/>
      </c>
      <c r="T9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5" s="185" t="str">
        <f>IFERROR((Table1[[#This Row],[Actual Effort (Hours)]]-Table1[[#This Row],[Estimated Effort (Hours)]])/Table1[[#This Row],[Estimated Effort (Hours)]],"")</f>
        <v/>
      </c>
    </row>
    <row r="976" spans="2:21">
      <c r="B976" s="125"/>
      <c r="C976" s="123"/>
      <c r="D976" s="143"/>
      <c r="E976" s="123"/>
      <c r="F976" s="143"/>
      <c r="G976" s="129"/>
      <c r="H976" s="124"/>
      <c r="I976" s="124"/>
      <c r="J976" s="129"/>
      <c r="K976" s="194"/>
      <c r="L976" s="194"/>
      <c r="M976" s="129"/>
      <c r="N976" s="129" t="e">
        <f>Table1[[#This Row],[Estimated Effort (Hours)]]/NETWORKDAYS(Table1[[#This Row],[Planned Start Date]],Table1[[#This Row],[Planned End Date]])</f>
        <v>#DIV/0!</v>
      </c>
      <c r="O976" s="178">
        <f>NETWORKDAYS(Table1[[#This Row],[Planned Start Date]],Table1[[#This Row],[Planned End Date]])</f>
        <v>0</v>
      </c>
      <c r="P976" s="178">
        <f>NETWORKDAYS(Table1[[#This Row],[Planned Start Date]],$P$7)</f>
        <v>30643</v>
      </c>
      <c r="Q976" s="129"/>
      <c r="R976" s="183" t="str">
        <f>IF(Table1[[#This Row],[Actual Effort (Hours)]]="","",IF(Table1[[#This Row],[Estimated Effort (Hours)]]&lt;20,"L1",IF(Table1[[#This Row],[Estimated Effort (Hours)]]&lt;50,"L2",IF(Table1[[#This Row],[Estimated Effort (Hours)]]&lt;150,"L3",IF(Table1[[#This Row],[Estimated Effort (Hours)]]&lt;300,"L4","L5")))))</f>
        <v/>
      </c>
      <c r="S976" s="184" t="str">
        <f>IF(Table1[[#This Row],[Actual End Date]]="","",TEXT(Table1[[#This Row],[Actual End Date]],"mmm-yy"))</f>
        <v/>
      </c>
      <c r="T9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6" s="185" t="str">
        <f>IFERROR((Table1[[#This Row],[Actual Effort (Hours)]]-Table1[[#This Row],[Estimated Effort (Hours)]])/Table1[[#This Row],[Estimated Effort (Hours)]],"")</f>
        <v/>
      </c>
    </row>
    <row r="977" spans="2:21">
      <c r="B977" s="125"/>
      <c r="C977" s="123"/>
      <c r="D977" s="143"/>
      <c r="E977" s="123"/>
      <c r="F977" s="143"/>
      <c r="G977" s="129"/>
      <c r="H977" s="124"/>
      <c r="I977" s="124"/>
      <c r="J977" s="129"/>
      <c r="K977" s="194"/>
      <c r="L977" s="194"/>
      <c r="M977" s="129"/>
      <c r="N977" s="129" t="e">
        <f>Table1[[#This Row],[Estimated Effort (Hours)]]/NETWORKDAYS(Table1[[#This Row],[Planned Start Date]],Table1[[#This Row],[Planned End Date]])</f>
        <v>#DIV/0!</v>
      </c>
      <c r="O977" s="178">
        <f>NETWORKDAYS(Table1[[#This Row],[Planned Start Date]],Table1[[#This Row],[Planned End Date]])</f>
        <v>0</v>
      </c>
      <c r="P977" s="178">
        <f>NETWORKDAYS(Table1[[#This Row],[Planned Start Date]],$P$7)</f>
        <v>30643</v>
      </c>
      <c r="Q977" s="129"/>
      <c r="R977" s="183" t="str">
        <f>IF(Table1[[#This Row],[Actual Effort (Hours)]]="","",IF(Table1[[#This Row],[Estimated Effort (Hours)]]&lt;20,"L1",IF(Table1[[#This Row],[Estimated Effort (Hours)]]&lt;50,"L2",IF(Table1[[#This Row],[Estimated Effort (Hours)]]&lt;150,"L3",IF(Table1[[#This Row],[Estimated Effort (Hours)]]&lt;300,"L4","L5")))))</f>
        <v/>
      </c>
      <c r="S977" s="184" t="str">
        <f>IF(Table1[[#This Row],[Actual End Date]]="","",TEXT(Table1[[#This Row],[Actual End Date]],"mmm-yy"))</f>
        <v/>
      </c>
      <c r="T9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7" s="185" t="str">
        <f>IFERROR((Table1[[#This Row],[Actual Effort (Hours)]]-Table1[[#This Row],[Estimated Effort (Hours)]])/Table1[[#This Row],[Estimated Effort (Hours)]],"")</f>
        <v/>
      </c>
    </row>
    <row r="978" spans="2:21">
      <c r="B978" s="125"/>
      <c r="C978" s="123"/>
      <c r="D978" s="143"/>
      <c r="E978" s="123"/>
      <c r="F978" s="143"/>
      <c r="G978" s="129"/>
      <c r="H978" s="124"/>
      <c r="I978" s="124"/>
      <c r="J978" s="129"/>
      <c r="K978" s="194"/>
      <c r="L978" s="194"/>
      <c r="M978" s="129"/>
      <c r="N978" s="129" t="e">
        <f>Table1[[#This Row],[Estimated Effort (Hours)]]/NETWORKDAYS(Table1[[#This Row],[Planned Start Date]],Table1[[#This Row],[Planned End Date]])</f>
        <v>#DIV/0!</v>
      </c>
      <c r="O978" s="178">
        <f>NETWORKDAYS(Table1[[#This Row],[Planned Start Date]],Table1[[#This Row],[Planned End Date]])</f>
        <v>0</v>
      </c>
      <c r="P978" s="178">
        <f>NETWORKDAYS(Table1[[#This Row],[Planned Start Date]],$P$7)</f>
        <v>30643</v>
      </c>
      <c r="Q978" s="129"/>
      <c r="R978" s="183" t="str">
        <f>IF(Table1[[#This Row],[Actual Effort (Hours)]]="","",IF(Table1[[#This Row],[Estimated Effort (Hours)]]&lt;20,"L1",IF(Table1[[#This Row],[Estimated Effort (Hours)]]&lt;50,"L2",IF(Table1[[#This Row],[Estimated Effort (Hours)]]&lt;150,"L3",IF(Table1[[#This Row],[Estimated Effort (Hours)]]&lt;300,"L4","L5")))))</f>
        <v/>
      </c>
      <c r="S978" s="184" t="str">
        <f>IF(Table1[[#This Row],[Actual End Date]]="","",TEXT(Table1[[#This Row],[Actual End Date]],"mmm-yy"))</f>
        <v/>
      </c>
      <c r="T9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8" s="185" t="str">
        <f>IFERROR((Table1[[#This Row],[Actual Effort (Hours)]]-Table1[[#This Row],[Estimated Effort (Hours)]])/Table1[[#This Row],[Estimated Effort (Hours)]],"")</f>
        <v/>
      </c>
    </row>
    <row r="979" spans="2:21">
      <c r="B979" s="125"/>
      <c r="C979" s="123"/>
      <c r="D979" s="143"/>
      <c r="E979" s="123"/>
      <c r="F979" s="143"/>
      <c r="G979" s="129"/>
      <c r="H979" s="124"/>
      <c r="I979" s="124"/>
      <c r="J979" s="129"/>
      <c r="K979" s="194"/>
      <c r="L979" s="194"/>
      <c r="M979" s="129"/>
      <c r="N979" s="129" t="e">
        <f>Table1[[#This Row],[Estimated Effort (Hours)]]/NETWORKDAYS(Table1[[#This Row],[Planned Start Date]],Table1[[#This Row],[Planned End Date]])</f>
        <v>#DIV/0!</v>
      </c>
      <c r="O979" s="178">
        <f>NETWORKDAYS(Table1[[#This Row],[Planned Start Date]],Table1[[#This Row],[Planned End Date]])</f>
        <v>0</v>
      </c>
      <c r="P979" s="178">
        <f>NETWORKDAYS(Table1[[#This Row],[Planned Start Date]],$P$7)</f>
        <v>30643</v>
      </c>
      <c r="Q979" s="129"/>
      <c r="R979" s="183" t="str">
        <f>IF(Table1[[#This Row],[Actual Effort (Hours)]]="","",IF(Table1[[#This Row],[Estimated Effort (Hours)]]&lt;20,"L1",IF(Table1[[#This Row],[Estimated Effort (Hours)]]&lt;50,"L2",IF(Table1[[#This Row],[Estimated Effort (Hours)]]&lt;150,"L3",IF(Table1[[#This Row],[Estimated Effort (Hours)]]&lt;300,"L4","L5")))))</f>
        <v/>
      </c>
      <c r="S979" s="184" t="str">
        <f>IF(Table1[[#This Row],[Actual End Date]]="","",TEXT(Table1[[#This Row],[Actual End Date]],"mmm-yy"))</f>
        <v/>
      </c>
      <c r="T9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79" s="185" t="str">
        <f>IFERROR((Table1[[#This Row],[Actual Effort (Hours)]]-Table1[[#This Row],[Estimated Effort (Hours)]])/Table1[[#This Row],[Estimated Effort (Hours)]],"")</f>
        <v/>
      </c>
    </row>
    <row r="980" spans="2:21">
      <c r="B980" s="125"/>
      <c r="C980" s="123"/>
      <c r="D980" s="143"/>
      <c r="E980" s="123"/>
      <c r="F980" s="143"/>
      <c r="G980" s="129"/>
      <c r="H980" s="124"/>
      <c r="I980" s="124"/>
      <c r="J980" s="129"/>
      <c r="K980" s="194"/>
      <c r="L980" s="194"/>
      <c r="M980" s="129"/>
      <c r="N980" s="129" t="e">
        <f>Table1[[#This Row],[Estimated Effort (Hours)]]/NETWORKDAYS(Table1[[#This Row],[Planned Start Date]],Table1[[#This Row],[Planned End Date]])</f>
        <v>#DIV/0!</v>
      </c>
      <c r="O980" s="178">
        <f>NETWORKDAYS(Table1[[#This Row],[Planned Start Date]],Table1[[#This Row],[Planned End Date]])</f>
        <v>0</v>
      </c>
      <c r="P980" s="178">
        <f>NETWORKDAYS(Table1[[#This Row],[Planned Start Date]],$P$7)</f>
        <v>30643</v>
      </c>
      <c r="Q980" s="129"/>
      <c r="R980" s="183" t="str">
        <f>IF(Table1[[#This Row],[Actual Effort (Hours)]]="","",IF(Table1[[#This Row],[Estimated Effort (Hours)]]&lt;20,"L1",IF(Table1[[#This Row],[Estimated Effort (Hours)]]&lt;50,"L2",IF(Table1[[#This Row],[Estimated Effort (Hours)]]&lt;150,"L3",IF(Table1[[#This Row],[Estimated Effort (Hours)]]&lt;300,"L4","L5")))))</f>
        <v/>
      </c>
      <c r="S980" s="184" t="str">
        <f>IF(Table1[[#This Row],[Actual End Date]]="","",TEXT(Table1[[#This Row],[Actual End Date]],"mmm-yy"))</f>
        <v/>
      </c>
      <c r="T9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0" s="185" t="str">
        <f>IFERROR((Table1[[#This Row],[Actual Effort (Hours)]]-Table1[[#This Row],[Estimated Effort (Hours)]])/Table1[[#This Row],[Estimated Effort (Hours)]],"")</f>
        <v/>
      </c>
    </row>
    <row r="981" spans="2:21">
      <c r="B981" s="125"/>
      <c r="C981" s="123"/>
      <c r="D981" s="143"/>
      <c r="E981" s="123"/>
      <c r="F981" s="143"/>
      <c r="G981" s="129"/>
      <c r="H981" s="124"/>
      <c r="I981" s="124"/>
      <c r="J981" s="129"/>
      <c r="K981" s="194"/>
      <c r="L981" s="194"/>
      <c r="M981" s="129"/>
      <c r="N981" s="129" t="e">
        <f>Table1[[#This Row],[Estimated Effort (Hours)]]/NETWORKDAYS(Table1[[#This Row],[Planned Start Date]],Table1[[#This Row],[Planned End Date]])</f>
        <v>#DIV/0!</v>
      </c>
      <c r="O981" s="178">
        <f>NETWORKDAYS(Table1[[#This Row],[Planned Start Date]],Table1[[#This Row],[Planned End Date]])</f>
        <v>0</v>
      </c>
      <c r="P981" s="178">
        <f>NETWORKDAYS(Table1[[#This Row],[Planned Start Date]],$P$7)</f>
        <v>30643</v>
      </c>
      <c r="Q981" s="129"/>
      <c r="R981" s="183" t="str">
        <f>IF(Table1[[#This Row],[Actual Effort (Hours)]]="","",IF(Table1[[#This Row],[Estimated Effort (Hours)]]&lt;20,"L1",IF(Table1[[#This Row],[Estimated Effort (Hours)]]&lt;50,"L2",IF(Table1[[#This Row],[Estimated Effort (Hours)]]&lt;150,"L3",IF(Table1[[#This Row],[Estimated Effort (Hours)]]&lt;300,"L4","L5")))))</f>
        <v/>
      </c>
      <c r="S981" s="184" t="str">
        <f>IF(Table1[[#This Row],[Actual End Date]]="","",TEXT(Table1[[#This Row],[Actual End Date]],"mmm-yy"))</f>
        <v/>
      </c>
      <c r="T9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1" s="185" t="str">
        <f>IFERROR((Table1[[#This Row],[Actual Effort (Hours)]]-Table1[[#This Row],[Estimated Effort (Hours)]])/Table1[[#This Row],[Estimated Effort (Hours)]],"")</f>
        <v/>
      </c>
    </row>
    <row r="982" spans="2:21">
      <c r="B982" s="125"/>
      <c r="C982" s="123"/>
      <c r="D982" s="143"/>
      <c r="E982" s="123"/>
      <c r="F982" s="143"/>
      <c r="G982" s="129"/>
      <c r="H982" s="124"/>
      <c r="I982" s="124"/>
      <c r="J982" s="129"/>
      <c r="K982" s="194"/>
      <c r="L982" s="194"/>
      <c r="M982" s="129"/>
      <c r="N982" s="129" t="e">
        <f>Table1[[#This Row],[Estimated Effort (Hours)]]/NETWORKDAYS(Table1[[#This Row],[Planned Start Date]],Table1[[#This Row],[Planned End Date]])</f>
        <v>#DIV/0!</v>
      </c>
      <c r="O982" s="178">
        <f>NETWORKDAYS(Table1[[#This Row],[Planned Start Date]],Table1[[#This Row],[Planned End Date]])</f>
        <v>0</v>
      </c>
      <c r="P982" s="178">
        <f>NETWORKDAYS(Table1[[#This Row],[Planned Start Date]],$P$7)</f>
        <v>30643</v>
      </c>
      <c r="Q982" s="129"/>
      <c r="R982" s="183" t="str">
        <f>IF(Table1[[#This Row],[Actual Effort (Hours)]]="","",IF(Table1[[#This Row],[Estimated Effort (Hours)]]&lt;20,"L1",IF(Table1[[#This Row],[Estimated Effort (Hours)]]&lt;50,"L2",IF(Table1[[#This Row],[Estimated Effort (Hours)]]&lt;150,"L3",IF(Table1[[#This Row],[Estimated Effort (Hours)]]&lt;300,"L4","L5")))))</f>
        <v/>
      </c>
      <c r="S982" s="184" t="str">
        <f>IF(Table1[[#This Row],[Actual End Date]]="","",TEXT(Table1[[#This Row],[Actual End Date]],"mmm-yy"))</f>
        <v/>
      </c>
      <c r="T9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2" s="185" t="str">
        <f>IFERROR((Table1[[#This Row],[Actual Effort (Hours)]]-Table1[[#This Row],[Estimated Effort (Hours)]])/Table1[[#This Row],[Estimated Effort (Hours)]],"")</f>
        <v/>
      </c>
    </row>
    <row r="983" spans="2:21">
      <c r="B983" s="125"/>
      <c r="C983" s="123"/>
      <c r="D983" s="143"/>
      <c r="E983" s="123"/>
      <c r="F983" s="143"/>
      <c r="G983" s="129"/>
      <c r="H983" s="124"/>
      <c r="I983" s="124"/>
      <c r="J983" s="129"/>
      <c r="K983" s="194"/>
      <c r="L983" s="194"/>
      <c r="M983" s="129"/>
      <c r="N983" s="129" t="e">
        <f>Table1[[#This Row],[Estimated Effort (Hours)]]/NETWORKDAYS(Table1[[#This Row],[Planned Start Date]],Table1[[#This Row],[Planned End Date]])</f>
        <v>#DIV/0!</v>
      </c>
      <c r="O983" s="178">
        <f>NETWORKDAYS(Table1[[#This Row],[Planned Start Date]],Table1[[#This Row],[Planned End Date]])</f>
        <v>0</v>
      </c>
      <c r="P983" s="178">
        <f>NETWORKDAYS(Table1[[#This Row],[Planned Start Date]],$P$7)</f>
        <v>30643</v>
      </c>
      <c r="Q983" s="129"/>
      <c r="R983" s="183" t="str">
        <f>IF(Table1[[#This Row],[Actual Effort (Hours)]]="","",IF(Table1[[#This Row],[Estimated Effort (Hours)]]&lt;20,"L1",IF(Table1[[#This Row],[Estimated Effort (Hours)]]&lt;50,"L2",IF(Table1[[#This Row],[Estimated Effort (Hours)]]&lt;150,"L3",IF(Table1[[#This Row],[Estimated Effort (Hours)]]&lt;300,"L4","L5")))))</f>
        <v/>
      </c>
      <c r="S983" s="184" t="str">
        <f>IF(Table1[[#This Row],[Actual End Date]]="","",TEXT(Table1[[#This Row],[Actual End Date]],"mmm-yy"))</f>
        <v/>
      </c>
      <c r="T9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3" s="185" t="str">
        <f>IFERROR((Table1[[#This Row],[Actual Effort (Hours)]]-Table1[[#This Row],[Estimated Effort (Hours)]])/Table1[[#This Row],[Estimated Effort (Hours)]],"")</f>
        <v/>
      </c>
    </row>
    <row r="984" spans="2:21">
      <c r="B984" s="125"/>
      <c r="C984" s="123"/>
      <c r="D984" s="143"/>
      <c r="E984" s="123"/>
      <c r="F984" s="143"/>
      <c r="G984" s="129"/>
      <c r="H984" s="124"/>
      <c r="I984" s="124"/>
      <c r="J984" s="129"/>
      <c r="K984" s="194"/>
      <c r="L984" s="194"/>
      <c r="M984" s="129"/>
      <c r="N984" s="129" t="e">
        <f>Table1[[#This Row],[Estimated Effort (Hours)]]/NETWORKDAYS(Table1[[#This Row],[Planned Start Date]],Table1[[#This Row],[Planned End Date]])</f>
        <v>#DIV/0!</v>
      </c>
      <c r="O984" s="178">
        <f>NETWORKDAYS(Table1[[#This Row],[Planned Start Date]],Table1[[#This Row],[Planned End Date]])</f>
        <v>0</v>
      </c>
      <c r="P984" s="178">
        <f>NETWORKDAYS(Table1[[#This Row],[Planned Start Date]],$P$7)</f>
        <v>30643</v>
      </c>
      <c r="Q984" s="129"/>
      <c r="R984" s="183" t="str">
        <f>IF(Table1[[#This Row],[Actual Effort (Hours)]]="","",IF(Table1[[#This Row],[Estimated Effort (Hours)]]&lt;20,"L1",IF(Table1[[#This Row],[Estimated Effort (Hours)]]&lt;50,"L2",IF(Table1[[#This Row],[Estimated Effort (Hours)]]&lt;150,"L3",IF(Table1[[#This Row],[Estimated Effort (Hours)]]&lt;300,"L4","L5")))))</f>
        <v/>
      </c>
      <c r="S984" s="184" t="str">
        <f>IF(Table1[[#This Row],[Actual End Date]]="","",TEXT(Table1[[#This Row],[Actual End Date]],"mmm-yy"))</f>
        <v/>
      </c>
      <c r="T9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4" s="185" t="str">
        <f>IFERROR((Table1[[#This Row],[Actual Effort (Hours)]]-Table1[[#This Row],[Estimated Effort (Hours)]])/Table1[[#This Row],[Estimated Effort (Hours)]],"")</f>
        <v/>
      </c>
    </row>
    <row r="985" spans="2:21">
      <c r="B985" s="125"/>
      <c r="C985" s="123"/>
      <c r="D985" s="143"/>
      <c r="E985" s="123"/>
      <c r="F985" s="143"/>
      <c r="G985" s="129"/>
      <c r="H985" s="124"/>
      <c r="I985" s="124"/>
      <c r="J985" s="129"/>
      <c r="K985" s="194"/>
      <c r="L985" s="194"/>
      <c r="M985" s="129"/>
      <c r="N985" s="129" t="e">
        <f>Table1[[#This Row],[Estimated Effort (Hours)]]/NETWORKDAYS(Table1[[#This Row],[Planned Start Date]],Table1[[#This Row],[Planned End Date]])</f>
        <v>#DIV/0!</v>
      </c>
      <c r="O985" s="178">
        <f>NETWORKDAYS(Table1[[#This Row],[Planned Start Date]],Table1[[#This Row],[Planned End Date]])</f>
        <v>0</v>
      </c>
      <c r="P985" s="178">
        <f>NETWORKDAYS(Table1[[#This Row],[Planned Start Date]],$P$7)</f>
        <v>30643</v>
      </c>
      <c r="Q985" s="129"/>
      <c r="R985" s="183" t="str">
        <f>IF(Table1[[#This Row],[Actual Effort (Hours)]]="","",IF(Table1[[#This Row],[Estimated Effort (Hours)]]&lt;20,"L1",IF(Table1[[#This Row],[Estimated Effort (Hours)]]&lt;50,"L2",IF(Table1[[#This Row],[Estimated Effort (Hours)]]&lt;150,"L3",IF(Table1[[#This Row],[Estimated Effort (Hours)]]&lt;300,"L4","L5")))))</f>
        <v/>
      </c>
      <c r="S985" s="184" t="str">
        <f>IF(Table1[[#This Row],[Actual End Date]]="","",TEXT(Table1[[#This Row],[Actual End Date]],"mmm-yy"))</f>
        <v/>
      </c>
      <c r="T9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5" s="185" t="str">
        <f>IFERROR((Table1[[#This Row],[Actual Effort (Hours)]]-Table1[[#This Row],[Estimated Effort (Hours)]])/Table1[[#This Row],[Estimated Effort (Hours)]],"")</f>
        <v/>
      </c>
    </row>
    <row r="986" spans="2:21">
      <c r="B986" s="125"/>
      <c r="C986" s="123"/>
      <c r="D986" s="143"/>
      <c r="E986" s="123"/>
      <c r="F986" s="143"/>
      <c r="G986" s="129"/>
      <c r="H986" s="124"/>
      <c r="I986" s="124"/>
      <c r="J986" s="129"/>
      <c r="K986" s="194"/>
      <c r="L986" s="194"/>
      <c r="M986" s="129"/>
      <c r="N986" s="129" t="e">
        <f>Table1[[#This Row],[Estimated Effort (Hours)]]/NETWORKDAYS(Table1[[#This Row],[Planned Start Date]],Table1[[#This Row],[Planned End Date]])</f>
        <v>#DIV/0!</v>
      </c>
      <c r="O986" s="178">
        <f>NETWORKDAYS(Table1[[#This Row],[Planned Start Date]],Table1[[#This Row],[Planned End Date]])</f>
        <v>0</v>
      </c>
      <c r="P986" s="178">
        <f>NETWORKDAYS(Table1[[#This Row],[Planned Start Date]],$P$7)</f>
        <v>30643</v>
      </c>
      <c r="Q986" s="129"/>
      <c r="R986" s="183" t="str">
        <f>IF(Table1[[#This Row],[Actual Effort (Hours)]]="","",IF(Table1[[#This Row],[Estimated Effort (Hours)]]&lt;20,"L1",IF(Table1[[#This Row],[Estimated Effort (Hours)]]&lt;50,"L2",IF(Table1[[#This Row],[Estimated Effort (Hours)]]&lt;150,"L3",IF(Table1[[#This Row],[Estimated Effort (Hours)]]&lt;300,"L4","L5")))))</f>
        <v/>
      </c>
      <c r="S986" s="184" t="str">
        <f>IF(Table1[[#This Row],[Actual End Date]]="","",TEXT(Table1[[#This Row],[Actual End Date]],"mmm-yy"))</f>
        <v/>
      </c>
      <c r="T9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6" s="185" t="str">
        <f>IFERROR((Table1[[#This Row],[Actual Effort (Hours)]]-Table1[[#This Row],[Estimated Effort (Hours)]])/Table1[[#This Row],[Estimated Effort (Hours)]],"")</f>
        <v/>
      </c>
    </row>
    <row r="987" spans="2:21">
      <c r="B987" s="125"/>
      <c r="C987" s="123"/>
      <c r="D987" s="143"/>
      <c r="E987" s="123"/>
      <c r="F987" s="143"/>
      <c r="G987" s="129"/>
      <c r="H987" s="124"/>
      <c r="I987" s="124"/>
      <c r="J987" s="129"/>
      <c r="K987" s="194"/>
      <c r="L987" s="194"/>
      <c r="M987" s="129"/>
      <c r="N987" s="129" t="e">
        <f>Table1[[#This Row],[Estimated Effort (Hours)]]/NETWORKDAYS(Table1[[#This Row],[Planned Start Date]],Table1[[#This Row],[Planned End Date]])</f>
        <v>#DIV/0!</v>
      </c>
      <c r="O987" s="178">
        <f>NETWORKDAYS(Table1[[#This Row],[Planned Start Date]],Table1[[#This Row],[Planned End Date]])</f>
        <v>0</v>
      </c>
      <c r="P987" s="178">
        <f>NETWORKDAYS(Table1[[#This Row],[Planned Start Date]],$P$7)</f>
        <v>30643</v>
      </c>
      <c r="Q987" s="129"/>
      <c r="R987" s="183" t="str">
        <f>IF(Table1[[#This Row],[Actual Effort (Hours)]]="","",IF(Table1[[#This Row],[Estimated Effort (Hours)]]&lt;20,"L1",IF(Table1[[#This Row],[Estimated Effort (Hours)]]&lt;50,"L2",IF(Table1[[#This Row],[Estimated Effort (Hours)]]&lt;150,"L3",IF(Table1[[#This Row],[Estimated Effort (Hours)]]&lt;300,"L4","L5")))))</f>
        <v/>
      </c>
      <c r="S987" s="184" t="str">
        <f>IF(Table1[[#This Row],[Actual End Date]]="","",TEXT(Table1[[#This Row],[Actual End Date]],"mmm-yy"))</f>
        <v/>
      </c>
      <c r="T9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7" s="185" t="str">
        <f>IFERROR((Table1[[#This Row],[Actual Effort (Hours)]]-Table1[[#This Row],[Estimated Effort (Hours)]])/Table1[[#This Row],[Estimated Effort (Hours)]],"")</f>
        <v/>
      </c>
    </row>
    <row r="988" spans="2:21">
      <c r="B988" s="125"/>
      <c r="C988" s="123"/>
      <c r="D988" s="143"/>
      <c r="E988" s="123"/>
      <c r="F988" s="143"/>
      <c r="G988" s="129"/>
      <c r="H988" s="124"/>
      <c r="I988" s="124"/>
      <c r="J988" s="129"/>
      <c r="K988" s="194"/>
      <c r="L988" s="194"/>
      <c r="M988" s="129"/>
      <c r="N988" s="129" t="e">
        <f>Table1[[#This Row],[Estimated Effort (Hours)]]/NETWORKDAYS(Table1[[#This Row],[Planned Start Date]],Table1[[#This Row],[Planned End Date]])</f>
        <v>#DIV/0!</v>
      </c>
      <c r="O988" s="178">
        <f>NETWORKDAYS(Table1[[#This Row],[Planned Start Date]],Table1[[#This Row],[Planned End Date]])</f>
        <v>0</v>
      </c>
      <c r="P988" s="178">
        <f>NETWORKDAYS(Table1[[#This Row],[Planned Start Date]],$P$7)</f>
        <v>30643</v>
      </c>
      <c r="Q988" s="129"/>
      <c r="R988" s="183" t="str">
        <f>IF(Table1[[#This Row],[Actual Effort (Hours)]]="","",IF(Table1[[#This Row],[Estimated Effort (Hours)]]&lt;20,"L1",IF(Table1[[#This Row],[Estimated Effort (Hours)]]&lt;50,"L2",IF(Table1[[#This Row],[Estimated Effort (Hours)]]&lt;150,"L3",IF(Table1[[#This Row],[Estimated Effort (Hours)]]&lt;300,"L4","L5")))))</f>
        <v/>
      </c>
      <c r="S988" s="184" t="str">
        <f>IF(Table1[[#This Row],[Actual End Date]]="","",TEXT(Table1[[#This Row],[Actual End Date]],"mmm-yy"))</f>
        <v/>
      </c>
      <c r="T9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8" s="185" t="str">
        <f>IFERROR((Table1[[#This Row],[Actual Effort (Hours)]]-Table1[[#This Row],[Estimated Effort (Hours)]])/Table1[[#This Row],[Estimated Effort (Hours)]],"")</f>
        <v/>
      </c>
    </row>
    <row r="989" spans="2:21">
      <c r="B989" s="125"/>
      <c r="C989" s="123"/>
      <c r="D989" s="143"/>
      <c r="E989" s="123"/>
      <c r="F989" s="143"/>
      <c r="G989" s="129"/>
      <c r="H989" s="124"/>
      <c r="I989" s="124"/>
      <c r="J989" s="129"/>
      <c r="K989" s="194"/>
      <c r="L989" s="194"/>
      <c r="M989" s="129"/>
      <c r="N989" s="129" t="e">
        <f>Table1[[#This Row],[Estimated Effort (Hours)]]/NETWORKDAYS(Table1[[#This Row],[Planned Start Date]],Table1[[#This Row],[Planned End Date]])</f>
        <v>#DIV/0!</v>
      </c>
      <c r="O989" s="178">
        <f>NETWORKDAYS(Table1[[#This Row],[Planned Start Date]],Table1[[#This Row],[Planned End Date]])</f>
        <v>0</v>
      </c>
      <c r="P989" s="178">
        <f>NETWORKDAYS(Table1[[#This Row],[Planned Start Date]],$P$7)</f>
        <v>30643</v>
      </c>
      <c r="Q989" s="129"/>
      <c r="R989" s="183" t="str">
        <f>IF(Table1[[#This Row],[Actual Effort (Hours)]]="","",IF(Table1[[#This Row],[Estimated Effort (Hours)]]&lt;20,"L1",IF(Table1[[#This Row],[Estimated Effort (Hours)]]&lt;50,"L2",IF(Table1[[#This Row],[Estimated Effort (Hours)]]&lt;150,"L3",IF(Table1[[#This Row],[Estimated Effort (Hours)]]&lt;300,"L4","L5")))))</f>
        <v/>
      </c>
      <c r="S989" s="184" t="str">
        <f>IF(Table1[[#This Row],[Actual End Date]]="","",TEXT(Table1[[#This Row],[Actual End Date]],"mmm-yy"))</f>
        <v/>
      </c>
      <c r="T9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89" s="185" t="str">
        <f>IFERROR((Table1[[#This Row],[Actual Effort (Hours)]]-Table1[[#This Row],[Estimated Effort (Hours)]])/Table1[[#This Row],[Estimated Effort (Hours)]],"")</f>
        <v/>
      </c>
    </row>
    <row r="990" spans="2:21">
      <c r="B990" s="125"/>
      <c r="C990" s="123"/>
      <c r="D990" s="143"/>
      <c r="E990" s="123"/>
      <c r="F990" s="143"/>
      <c r="G990" s="129"/>
      <c r="H990" s="124"/>
      <c r="I990" s="124"/>
      <c r="J990" s="129"/>
      <c r="K990" s="194"/>
      <c r="L990" s="194"/>
      <c r="M990" s="129"/>
      <c r="N990" s="129" t="e">
        <f>Table1[[#This Row],[Estimated Effort (Hours)]]/NETWORKDAYS(Table1[[#This Row],[Planned Start Date]],Table1[[#This Row],[Planned End Date]])</f>
        <v>#DIV/0!</v>
      </c>
      <c r="O990" s="178">
        <f>NETWORKDAYS(Table1[[#This Row],[Planned Start Date]],Table1[[#This Row],[Planned End Date]])</f>
        <v>0</v>
      </c>
      <c r="P990" s="178">
        <f>NETWORKDAYS(Table1[[#This Row],[Planned Start Date]],$P$7)</f>
        <v>30643</v>
      </c>
      <c r="Q990" s="129"/>
      <c r="R990" s="183" t="str">
        <f>IF(Table1[[#This Row],[Actual Effort (Hours)]]="","",IF(Table1[[#This Row],[Estimated Effort (Hours)]]&lt;20,"L1",IF(Table1[[#This Row],[Estimated Effort (Hours)]]&lt;50,"L2",IF(Table1[[#This Row],[Estimated Effort (Hours)]]&lt;150,"L3",IF(Table1[[#This Row],[Estimated Effort (Hours)]]&lt;300,"L4","L5")))))</f>
        <v/>
      </c>
      <c r="S990" s="184" t="str">
        <f>IF(Table1[[#This Row],[Actual End Date]]="","",TEXT(Table1[[#This Row],[Actual End Date]],"mmm-yy"))</f>
        <v/>
      </c>
      <c r="T9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0" s="185" t="str">
        <f>IFERROR((Table1[[#This Row],[Actual Effort (Hours)]]-Table1[[#This Row],[Estimated Effort (Hours)]])/Table1[[#This Row],[Estimated Effort (Hours)]],"")</f>
        <v/>
      </c>
    </row>
    <row r="991" spans="2:21">
      <c r="B991" s="125"/>
      <c r="C991" s="123"/>
      <c r="D991" s="143"/>
      <c r="E991" s="123"/>
      <c r="F991" s="143"/>
      <c r="G991" s="129"/>
      <c r="H991" s="124"/>
      <c r="I991" s="124"/>
      <c r="J991" s="129"/>
      <c r="K991" s="194"/>
      <c r="L991" s="194"/>
      <c r="M991" s="129"/>
      <c r="N991" s="129" t="e">
        <f>Table1[[#This Row],[Estimated Effort (Hours)]]/NETWORKDAYS(Table1[[#This Row],[Planned Start Date]],Table1[[#This Row],[Planned End Date]])</f>
        <v>#DIV/0!</v>
      </c>
      <c r="O991" s="178">
        <f>NETWORKDAYS(Table1[[#This Row],[Planned Start Date]],Table1[[#This Row],[Planned End Date]])</f>
        <v>0</v>
      </c>
      <c r="P991" s="178">
        <f>NETWORKDAYS(Table1[[#This Row],[Planned Start Date]],$P$7)</f>
        <v>30643</v>
      </c>
      <c r="Q991" s="129"/>
      <c r="R991" s="183" t="str">
        <f>IF(Table1[[#This Row],[Actual Effort (Hours)]]="","",IF(Table1[[#This Row],[Estimated Effort (Hours)]]&lt;20,"L1",IF(Table1[[#This Row],[Estimated Effort (Hours)]]&lt;50,"L2",IF(Table1[[#This Row],[Estimated Effort (Hours)]]&lt;150,"L3",IF(Table1[[#This Row],[Estimated Effort (Hours)]]&lt;300,"L4","L5")))))</f>
        <v/>
      </c>
      <c r="S991" s="184" t="str">
        <f>IF(Table1[[#This Row],[Actual End Date]]="","",TEXT(Table1[[#This Row],[Actual End Date]],"mmm-yy"))</f>
        <v/>
      </c>
      <c r="T9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1" s="185" t="str">
        <f>IFERROR((Table1[[#This Row],[Actual Effort (Hours)]]-Table1[[#This Row],[Estimated Effort (Hours)]])/Table1[[#This Row],[Estimated Effort (Hours)]],"")</f>
        <v/>
      </c>
    </row>
    <row r="992" spans="2:21">
      <c r="B992" s="125"/>
      <c r="C992" s="123"/>
      <c r="D992" s="143"/>
      <c r="E992" s="123"/>
      <c r="F992" s="143"/>
      <c r="G992" s="129"/>
      <c r="H992" s="124"/>
      <c r="I992" s="124"/>
      <c r="J992" s="129"/>
      <c r="K992" s="194"/>
      <c r="L992" s="194"/>
      <c r="M992" s="129"/>
      <c r="N992" s="129" t="e">
        <f>Table1[[#This Row],[Estimated Effort (Hours)]]/NETWORKDAYS(Table1[[#This Row],[Planned Start Date]],Table1[[#This Row],[Planned End Date]])</f>
        <v>#DIV/0!</v>
      </c>
      <c r="O992" s="178">
        <f>NETWORKDAYS(Table1[[#This Row],[Planned Start Date]],Table1[[#This Row],[Planned End Date]])</f>
        <v>0</v>
      </c>
      <c r="P992" s="178">
        <f>NETWORKDAYS(Table1[[#This Row],[Planned Start Date]],$P$7)</f>
        <v>30643</v>
      </c>
      <c r="Q992" s="129"/>
      <c r="R992" s="183" t="str">
        <f>IF(Table1[[#This Row],[Actual Effort (Hours)]]="","",IF(Table1[[#This Row],[Estimated Effort (Hours)]]&lt;20,"L1",IF(Table1[[#This Row],[Estimated Effort (Hours)]]&lt;50,"L2",IF(Table1[[#This Row],[Estimated Effort (Hours)]]&lt;150,"L3",IF(Table1[[#This Row],[Estimated Effort (Hours)]]&lt;300,"L4","L5")))))</f>
        <v/>
      </c>
      <c r="S992" s="184" t="str">
        <f>IF(Table1[[#This Row],[Actual End Date]]="","",TEXT(Table1[[#This Row],[Actual End Date]],"mmm-yy"))</f>
        <v/>
      </c>
      <c r="T9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2" s="185" t="str">
        <f>IFERROR((Table1[[#This Row],[Actual Effort (Hours)]]-Table1[[#This Row],[Estimated Effort (Hours)]])/Table1[[#This Row],[Estimated Effort (Hours)]],"")</f>
        <v/>
      </c>
    </row>
    <row r="993" spans="2:21">
      <c r="B993" s="125"/>
      <c r="C993" s="123"/>
      <c r="D993" s="143"/>
      <c r="E993" s="123"/>
      <c r="F993" s="143"/>
      <c r="G993" s="129"/>
      <c r="H993" s="124"/>
      <c r="I993" s="124"/>
      <c r="J993" s="129"/>
      <c r="K993" s="194"/>
      <c r="L993" s="194"/>
      <c r="M993" s="129"/>
      <c r="N993" s="129" t="e">
        <f>Table1[[#This Row],[Estimated Effort (Hours)]]/NETWORKDAYS(Table1[[#This Row],[Planned Start Date]],Table1[[#This Row],[Planned End Date]])</f>
        <v>#DIV/0!</v>
      </c>
      <c r="O993" s="178">
        <f>NETWORKDAYS(Table1[[#This Row],[Planned Start Date]],Table1[[#This Row],[Planned End Date]])</f>
        <v>0</v>
      </c>
      <c r="P993" s="178">
        <f>NETWORKDAYS(Table1[[#This Row],[Planned Start Date]],$P$7)</f>
        <v>30643</v>
      </c>
      <c r="Q993" s="129"/>
      <c r="R993" s="183" t="str">
        <f>IF(Table1[[#This Row],[Actual Effort (Hours)]]="","",IF(Table1[[#This Row],[Estimated Effort (Hours)]]&lt;20,"L1",IF(Table1[[#This Row],[Estimated Effort (Hours)]]&lt;50,"L2",IF(Table1[[#This Row],[Estimated Effort (Hours)]]&lt;150,"L3",IF(Table1[[#This Row],[Estimated Effort (Hours)]]&lt;300,"L4","L5")))))</f>
        <v/>
      </c>
      <c r="S993" s="184" t="str">
        <f>IF(Table1[[#This Row],[Actual End Date]]="","",TEXT(Table1[[#This Row],[Actual End Date]],"mmm-yy"))</f>
        <v/>
      </c>
      <c r="T9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3" s="185" t="str">
        <f>IFERROR((Table1[[#This Row],[Actual Effort (Hours)]]-Table1[[#This Row],[Estimated Effort (Hours)]])/Table1[[#This Row],[Estimated Effort (Hours)]],"")</f>
        <v/>
      </c>
    </row>
    <row r="994" spans="2:21">
      <c r="B994" s="125"/>
      <c r="C994" s="123"/>
      <c r="D994" s="143"/>
      <c r="E994" s="123"/>
      <c r="F994" s="143"/>
      <c r="G994" s="129"/>
      <c r="H994" s="124"/>
      <c r="I994" s="124"/>
      <c r="J994" s="129"/>
      <c r="K994" s="194"/>
      <c r="L994" s="194"/>
      <c r="M994" s="129"/>
      <c r="N994" s="129" t="e">
        <f>Table1[[#This Row],[Estimated Effort (Hours)]]/NETWORKDAYS(Table1[[#This Row],[Planned Start Date]],Table1[[#This Row],[Planned End Date]])</f>
        <v>#DIV/0!</v>
      </c>
      <c r="O994" s="178">
        <f>NETWORKDAYS(Table1[[#This Row],[Planned Start Date]],Table1[[#This Row],[Planned End Date]])</f>
        <v>0</v>
      </c>
      <c r="P994" s="178">
        <f>NETWORKDAYS(Table1[[#This Row],[Planned Start Date]],$P$7)</f>
        <v>30643</v>
      </c>
      <c r="Q994" s="129"/>
      <c r="R994" s="183" t="str">
        <f>IF(Table1[[#This Row],[Actual Effort (Hours)]]="","",IF(Table1[[#This Row],[Estimated Effort (Hours)]]&lt;20,"L1",IF(Table1[[#This Row],[Estimated Effort (Hours)]]&lt;50,"L2",IF(Table1[[#This Row],[Estimated Effort (Hours)]]&lt;150,"L3",IF(Table1[[#This Row],[Estimated Effort (Hours)]]&lt;300,"L4","L5")))))</f>
        <v/>
      </c>
      <c r="S994" s="184" t="str">
        <f>IF(Table1[[#This Row],[Actual End Date]]="","",TEXT(Table1[[#This Row],[Actual End Date]],"mmm-yy"))</f>
        <v/>
      </c>
      <c r="T9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4" s="185" t="str">
        <f>IFERROR((Table1[[#This Row],[Actual Effort (Hours)]]-Table1[[#This Row],[Estimated Effort (Hours)]])/Table1[[#This Row],[Estimated Effort (Hours)]],"")</f>
        <v/>
      </c>
    </row>
    <row r="995" spans="2:21">
      <c r="B995" s="125"/>
      <c r="C995" s="123"/>
      <c r="D995" s="143"/>
      <c r="E995" s="123"/>
      <c r="F995" s="143"/>
      <c r="G995" s="129"/>
      <c r="H995" s="124"/>
      <c r="I995" s="124"/>
      <c r="J995" s="129"/>
      <c r="K995" s="194"/>
      <c r="L995" s="194"/>
      <c r="M995" s="129"/>
      <c r="N995" s="129" t="e">
        <f>Table1[[#This Row],[Estimated Effort (Hours)]]/NETWORKDAYS(Table1[[#This Row],[Planned Start Date]],Table1[[#This Row],[Planned End Date]])</f>
        <v>#DIV/0!</v>
      </c>
      <c r="O995" s="178">
        <f>NETWORKDAYS(Table1[[#This Row],[Planned Start Date]],Table1[[#This Row],[Planned End Date]])</f>
        <v>0</v>
      </c>
      <c r="P995" s="178">
        <f>NETWORKDAYS(Table1[[#This Row],[Planned Start Date]],$P$7)</f>
        <v>30643</v>
      </c>
      <c r="Q995" s="129"/>
      <c r="R995" s="183" t="str">
        <f>IF(Table1[[#This Row],[Actual Effort (Hours)]]="","",IF(Table1[[#This Row],[Estimated Effort (Hours)]]&lt;20,"L1",IF(Table1[[#This Row],[Estimated Effort (Hours)]]&lt;50,"L2",IF(Table1[[#This Row],[Estimated Effort (Hours)]]&lt;150,"L3",IF(Table1[[#This Row],[Estimated Effort (Hours)]]&lt;300,"L4","L5")))))</f>
        <v/>
      </c>
      <c r="S995" s="184" t="str">
        <f>IF(Table1[[#This Row],[Actual End Date]]="","",TEXT(Table1[[#This Row],[Actual End Date]],"mmm-yy"))</f>
        <v/>
      </c>
      <c r="T9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5" s="185" t="str">
        <f>IFERROR((Table1[[#This Row],[Actual Effort (Hours)]]-Table1[[#This Row],[Estimated Effort (Hours)]])/Table1[[#This Row],[Estimated Effort (Hours)]],"")</f>
        <v/>
      </c>
    </row>
    <row r="996" spans="2:21">
      <c r="B996" s="125"/>
      <c r="C996" s="123"/>
      <c r="D996" s="143"/>
      <c r="E996" s="123"/>
      <c r="F996" s="143"/>
      <c r="G996" s="129"/>
      <c r="H996" s="124"/>
      <c r="I996" s="124"/>
      <c r="J996" s="129"/>
      <c r="K996" s="194"/>
      <c r="L996" s="194"/>
      <c r="M996" s="129"/>
      <c r="N996" s="129" t="e">
        <f>Table1[[#This Row],[Estimated Effort (Hours)]]/NETWORKDAYS(Table1[[#This Row],[Planned Start Date]],Table1[[#This Row],[Planned End Date]])</f>
        <v>#DIV/0!</v>
      </c>
      <c r="O996" s="178">
        <f>NETWORKDAYS(Table1[[#This Row],[Planned Start Date]],Table1[[#This Row],[Planned End Date]])</f>
        <v>0</v>
      </c>
      <c r="P996" s="178">
        <f>NETWORKDAYS(Table1[[#This Row],[Planned Start Date]],$P$7)</f>
        <v>30643</v>
      </c>
      <c r="Q996" s="129"/>
      <c r="R996" s="183" t="str">
        <f>IF(Table1[[#This Row],[Actual Effort (Hours)]]="","",IF(Table1[[#This Row],[Estimated Effort (Hours)]]&lt;20,"L1",IF(Table1[[#This Row],[Estimated Effort (Hours)]]&lt;50,"L2",IF(Table1[[#This Row],[Estimated Effort (Hours)]]&lt;150,"L3",IF(Table1[[#This Row],[Estimated Effort (Hours)]]&lt;300,"L4","L5")))))</f>
        <v/>
      </c>
      <c r="S996" s="184" t="str">
        <f>IF(Table1[[#This Row],[Actual End Date]]="","",TEXT(Table1[[#This Row],[Actual End Date]],"mmm-yy"))</f>
        <v/>
      </c>
      <c r="T9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6" s="185" t="str">
        <f>IFERROR((Table1[[#This Row],[Actual Effort (Hours)]]-Table1[[#This Row],[Estimated Effort (Hours)]])/Table1[[#This Row],[Estimated Effort (Hours)]],"")</f>
        <v/>
      </c>
    </row>
    <row r="997" spans="2:21">
      <c r="B997" s="125"/>
      <c r="C997" s="123"/>
      <c r="D997" s="143"/>
      <c r="E997" s="123"/>
      <c r="F997" s="143"/>
      <c r="G997" s="129"/>
      <c r="H997" s="124"/>
      <c r="I997" s="124"/>
      <c r="J997" s="129"/>
      <c r="K997" s="194"/>
      <c r="L997" s="194"/>
      <c r="M997" s="129"/>
      <c r="N997" s="129" t="e">
        <f>Table1[[#This Row],[Estimated Effort (Hours)]]/NETWORKDAYS(Table1[[#This Row],[Planned Start Date]],Table1[[#This Row],[Planned End Date]])</f>
        <v>#DIV/0!</v>
      </c>
      <c r="O997" s="178">
        <f>NETWORKDAYS(Table1[[#This Row],[Planned Start Date]],Table1[[#This Row],[Planned End Date]])</f>
        <v>0</v>
      </c>
      <c r="P997" s="178">
        <f>NETWORKDAYS(Table1[[#This Row],[Planned Start Date]],$P$7)</f>
        <v>30643</v>
      </c>
      <c r="Q997" s="129"/>
      <c r="R997" s="183" t="str">
        <f>IF(Table1[[#This Row],[Actual Effort (Hours)]]="","",IF(Table1[[#This Row],[Estimated Effort (Hours)]]&lt;20,"L1",IF(Table1[[#This Row],[Estimated Effort (Hours)]]&lt;50,"L2",IF(Table1[[#This Row],[Estimated Effort (Hours)]]&lt;150,"L3",IF(Table1[[#This Row],[Estimated Effort (Hours)]]&lt;300,"L4","L5")))))</f>
        <v/>
      </c>
      <c r="S997" s="184" t="str">
        <f>IF(Table1[[#This Row],[Actual End Date]]="","",TEXT(Table1[[#This Row],[Actual End Date]],"mmm-yy"))</f>
        <v/>
      </c>
      <c r="T9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7" s="185" t="str">
        <f>IFERROR((Table1[[#This Row],[Actual Effort (Hours)]]-Table1[[#This Row],[Estimated Effort (Hours)]])/Table1[[#This Row],[Estimated Effort (Hours)]],"")</f>
        <v/>
      </c>
    </row>
    <row r="998" spans="2:21">
      <c r="B998" s="125"/>
      <c r="C998" s="123"/>
      <c r="D998" s="143"/>
      <c r="E998" s="123"/>
      <c r="F998" s="143"/>
      <c r="G998" s="129"/>
      <c r="H998" s="124"/>
      <c r="I998" s="124"/>
      <c r="J998" s="129"/>
      <c r="K998" s="194"/>
      <c r="L998" s="194"/>
      <c r="M998" s="129"/>
      <c r="N998" s="129" t="e">
        <f>Table1[[#This Row],[Estimated Effort (Hours)]]/NETWORKDAYS(Table1[[#This Row],[Planned Start Date]],Table1[[#This Row],[Planned End Date]])</f>
        <v>#DIV/0!</v>
      </c>
      <c r="O998" s="178">
        <f>NETWORKDAYS(Table1[[#This Row],[Planned Start Date]],Table1[[#This Row],[Planned End Date]])</f>
        <v>0</v>
      </c>
      <c r="P998" s="178">
        <f>NETWORKDAYS(Table1[[#This Row],[Planned Start Date]],$P$7)</f>
        <v>30643</v>
      </c>
      <c r="Q998" s="129"/>
      <c r="R998" s="183" t="str">
        <f>IF(Table1[[#This Row],[Actual Effort (Hours)]]="","",IF(Table1[[#This Row],[Estimated Effort (Hours)]]&lt;20,"L1",IF(Table1[[#This Row],[Estimated Effort (Hours)]]&lt;50,"L2",IF(Table1[[#This Row],[Estimated Effort (Hours)]]&lt;150,"L3",IF(Table1[[#This Row],[Estimated Effort (Hours)]]&lt;300,"L4","L5")))))</f>
        <v/>
      </c>
      <c r="S998" s="184" t="str">
        <f>IF(Table1[[#This Row],[Actual End Date]]="","",TEXT(Table1[[#This Row],[Actual End Date]],"mmm-yy"))</f>
        <v/>
      </c>
      <c r="T9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8" s="185" t="str">
        <f>IFERROR((Table1[[#This Row],[Actual Effort (Hours)]]-Table1[[#This Row],[Estimated Effort (Hours)]])/Table1[[#This Row],[Estimated Effort (Hours)]],"")</f>
        <v/>
      </c>
    </row>
    <row r="999" spans="2:21">
      <c r="B999" s="125"/>
      <c r="C999" s="123"/>
      <c r="D999" s="143"/>
      <c r="E999" s="123"/>
      <c r="F999" s="143"/>
      <c r="G999" s="129"/>
      <c r="H999" s="124"/>
      <c r="I999" s="124"/>
      <c r="J999" s="129"/>
      <c r="K999" s="194"/>
      <c r="L999" s="194"/>
      <c r="M999" s="129"/>
      <c r="N999" s="129" t="e">
        <f>Table1[[#This Row],[Estimated Effort (Hours)]]/NETWORKDAYS(Table1[[#This Row],[Planned Start Date]],Table1[[#This Row],[Planned End Date]])</f>
        <v>#DIV/0!</v>
      </c>
      <c r="O999" s="178">
        <f>NETWORKDAYS(Table1[[#This Row],[Planned Start Date]],Table1[[#This Row],[Planned End Date]])</f>
        <v>0</v>
      </c>
      <c r="P999" s="178">
        <f>NETWORKDAYS(Table1[[#This Row],[Planned Start Date]],$P$7)</f>
        <v>30643</v>
      </c>
      <c r="Q999" s="129"/>
      <c r="R999" s="183" t="str">
        <f>IF(Table1[[#This Row],[Actual Effort (Hours)]]="","",IF(Table1[[#This Row],[Estimated Effort (Hours)]]&lt;20,"L1",IF(Table1[[#This Row],[Estimated Effort (Hours)]]&lt;50,"L2",IF(Table1[[#This Row],[Estimated Effort (Hours)]]&lt;150,"L3",IF(Table1[[#This Row],[Estimated Effort (Hours)]]&lt;300,"L4","L5")))))</f>
        <v/>
      </c>
      <c r="S999" s="184" t="str">
        <f>IF(Table1[[#This Row],[Actual End Date]]="","",TEXT(Table1[[#This Row],[Actual End Date]],"mmm-yy"))</f>
        <v/>
      </c>
      <c r="T9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999" s="185" t="str">
        <f>IFERROR((Table1[[#This Row],[Actual Effort (Hours)]]-Table1[[#This Row],[Estimated Effort (Hours)]])/Table1[[#This Row],[Estimated Effort (Hours)]],"")</f>
        <v/>
      </c>
    </row>
    <row r="1000" spans="2:21">
      <c r="B1000" s="125"/>
      <c r="C1000" s="123"/>
      <c r="D1000" s="143"/>
      <c r="E1000" s="123"/>
      <c r="F1000" s="143"/>
      <c r="G1000" s="129"/>
      <c r="H1000" s="124"/>
      <c r="I1000" s="124"/>
      <c r="J1000" s="129"/>
      <c r="K1000" s="194"/>
      <c r="L1000" s="194"/>
      <c r="M1000" s="129"/>
      <c r="N1000" s="129" t="e">
        <f>Table1[[#This Row],[Estimated Effort (Hours)]]/NETWORKDAYS(Table1[[#This Row],[Planned Start Date]],Table1[[#This Row],[Planned End Date]])</f>
        <v>#DIV/0!</v>
      </c>
      <c r="O1000" s="178">
        <f>NETWORKDAYS(Table1[[#This Row],[Planned Start Date]],Table1[[#This Row],[Planned End Date]])</f>
        <v>0</v>
      </c>
      <c r="P1000" s="178">
        <f>NETWORKDAYS(Table1[[#This Row],[Planned Start Date]],$P$7)</f>
        <v>30643</v>
      </c>
      <c r="Q1000" s="129"/>
      <c r="R1000" s="183" t="str">
        <f>IF(Table1[[#This Row],[Actual Effort (Hours)]]="","",IF(Table1[[#This Row],[Estimated Effort (Hours)]]&lt;20,"L1",IF(Table1[[#This Row],[Estimated Effort (Hours)]]&lt;50,"L2",IF(Table1[[#This Row],[Estimated Effort (Hours)]]&lt;150,"L3",IF(Table1[[#This Row],[Estimated Effort (Hours)]]&lt;300,"L4","L5")))))</f>
        <v/>
      </c>
      <c r="S1000" s="184" t="str">
        <f>IF(Table1[[#This Row],[Actual End Date]]="","",TEXT(Table1[[#This Row],[Actual End Date]],"mmm-yy"))</f>
        <v/>
      </c>
      <c r="T10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0" s="185" t="str">
        <f>IFERROR((Table1[[#This Row],[Actual Effort (Hours)]]-Table1[[#This Row],[Estimated Effort (Hours)]])/Table1[[#This Row],[Estimated Effort (Hours)]],"")</f>
        <v/>
      </c>
    </row>
    <row r="1001" spans="2:21">
      <c r="B1001" s="125"/>
      <c r="C1001" s="123"/>
      <c r="D1001" s="143"/>
      <c r="E1001" s="123"/>
      <c r="F1001" s="143"/>
      <c r="G1001" s="129"/>
      <c r="H1001" s="124"/>
      <c r="I1001" s="124"/>
      <c r="J1001" s="129"/>
      <c r="K1001" s="194"/>
      <c r="L1001" s="194"/>
      <c r="M1001" s="129"/>
      <c r="N1001" s="129" t="e">
        <f>Table1[[#This Row],[Estimated Effort (Hours)]]/NETWORKDAYS(Table1[[#This Row],[Planned Start Date]],Table1[[#This Row],[Planned End Date]])</f>
        <v>#DIV/0!</v>
      </c>
      <c r="O1001" s="178">
        <f>NETWORKDAYS(Table1[[#This Row],[Planned Start Date]],Table1[[#This Row],[Planned End Date]])</f>
        <v>0</v>
      </c>
      <c r="P1001" s="178">
        <f>NETWORKDAYS(Table1[[#This Row],[Planned Start Date]],$P$7)</f>
        <v>30643</v>
      </c>
      <c r="Q1001" s="129"/>
      <c r="R1001" s="183" t="str">
        <f>IF(Table1[[#This Row],[Actual Effort (Hours)]]="","",IF(Table1[[#This Row],[Estimated Effort (Hours)]]&lt;20,"L1",IF(Table1[[#This Row],[Estimated Effort (Hours)]]&lt;50,"L2",IF(Table1[[#This Row],[Estimated Effort (Hours)]]&lt;150,"L3",IF(Table1[[#This Row],[Estimated Effort (Hours)]]&lt;300,"L4","L5")))))</f>
        <v/>
      </c>
      <c r="S1001" s="184" t="str">
        <f>IF(Table1[[#This Row],[Actual End Date]]="","",TEXT(Table1[[#This Row],[Actual End Date]],"mmm-yy"))</f>
        <v/>
      </c>
      <c r="T10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1" s="185" t="str">
        <f>IFERROR((Table1[[#This Row],[Actual Effort (Hours)]]-Table1[[#This Row],[Estimated Effort (Hours)]])/Table1[[#This Row],[Estimated Effort (Hours)]],"")</f>
        <v/>
      </c>
    </row>
    <row r="1002" spans="2:21">
      <c r="B1002" s="125"/>
      <c r="C1002" s="123"/>
      <c r="D1002" s="143"/>
      <c r="E1002" s="123"/>
      <c r="F1002" s="143"/>
      <c r="G1002" s="129"/>
      <c r="H1002" s="124"/>
      <c r="I1002" s="124"/>
      <c r="J1002" s="129"/>
      <c r="K1002" s="194"/>
      <c r="L1002" s="194"/>
      <c r="M1002" s="129"/>
      <c r="N1002" s="129" t="e">
        <f>Table1[[#This Row],[Estimated Effort (Hours)]]/NETWORKDAYS(Table1[[#This Row],[Planned Start Date]],Table1[[#This Row],[Planned End Date]])</f>
        <v>#DIV/0!</v>
      </c>
      <c r="O1002" s="178">
        <f>NETWORKDAYS(Table1[[#This Row],[Planned Start Date]],Table1[[#This Row],[Planned End Date]])</f>
        <v>0</v>
      </c>
      <c r="P1002" s="178">
        <f>NETWORKDAYS(Table1[[#This Row],[Planned Start Date]],$P$7)</f>
        <v>30643</v>
      </c>
      <c r="Q1002" s="129"/>
      <c r="R1002" s="183" t="str">
        <f>IF(Table1[[#This Row],[Actual Effort (Hours)]]="","",IF(Table1[[#This Row],[Estimated Effort (Hours)]]&lt;20,"L1",IF(Table1[[#This Row],[Estimated Effort (Hours)]]&lt;50,"L2",IF(Table1[[#This Row],[Estimated Effort (Hours)]]&lt;150,"L3",IF(Table1[[#This Row],[Estimated Effort (Hours)]]&lt;300,"L4","L5")))))</f>
        <v/>
      </c>
      <c r="S1002" s="184" t="str">
        <f>IF(Table1[[#This Row],[Actual End Date]]="","",TEXT(Table1[[#This Row],[Actual End Date]],"mmm-yy"))</f>
        <v/>
      </c>
      <c r="T10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2" s="185" t="str">
        <f>IFERROR((Table1[[#This Row],[Actual Effort (Hours)]]-Table1[[#This Row],[Estimated Effort (Hours)]])/Table1[[#This Row],[Estimated Effort (Hours)]],"")</f>
        <v/>
      </c>
    </row>
    <row r="1003" spans="2:21">
      <c r="B1003" s="125"/>
      <c r="C1003" s="123"/>
      <c r="D1003" s="143"/>
      <c r="E1003" s="123"/>
      <c r="F1003" s="143"/>
      <c r="G1003" s="129"/>
      <c r="H1003" s="124"/>
      <c r="I1003" s="124"/>
      <c r="J1003" s="129"/>
      <c r="K1003" s="194"/>
      <c r="L1003" s="194"/>
      <c r="M1003" s="129"/>
      <c r="N1003" s="129" t="e">
        <f>Table1[[#This Row],[Estimated Effort (Hours)]]/NETWORKDAYS(Table1[[#This Row],[Planned Start Date]],Table1[[#This Row],[Planned End Date]])</f>
        <v>#DIV/0!</v>
      </c>
      <c r="O1003" s="178">
        <f>NETWORKDAYS(Table1[[#This Row],[Planned Start Date]],Table1[[#This Row],[Planned End Date]])</f>
        <v>0</v>
      </c>
      <c r="P1003" s="178">
        <f>NETWORKDAYS(Table1[[#This Row],[Planned Start Date]],$P$7)</f>
        <v>30643</v>
      </c>
      <c r="Q1003" s="129"/>
      <c r="R1003" s="183" t="str">
        <f>IF(Table1[[#This Row],[Actual Effort (Hours)]]="","",IF(Table1[[#This Row],[Estimated Effort (Hours)]]&lt;20,"L1",IF(Table1[[#This Row],[Estimated Effort (Hours)]]&lt;50,"L2",IF(Table1[[#This Row],[Estimated Effort (Hours)]]&lt;150,"L3",IF(Table1[[#This Row],[Estimated Effort (Hours)]]&lt;300,"L4","L5")))))</f>
        <v/>
      </c>
      <c r="S1003" s="184" t="str">
        <f>IF(Table1[[#This Row],[Actual End Date]]="","",TEXT(Table1[[#This Row],[Actual End Date]],"mmm-yy"))</f>
        <v/>
      </c>
      <c r="T10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3" s="185" t="str">
        <f>IFERROR((Table1[[#This Row],[Actual Effort (Hours)]]-Table1[[#This Row],[Estimated Effort (Hours)]])/Table1[[#This Row],[Estimated Effort (Hours)]],"")</f>
        <v/>
      </c>
    </row>
    <row r="1004" spans="2:21">
      <c r="B1004" s="125"/>
      <c r="C1004" s="123"/>
      <c r="D1004" s="143"/>
      <c r="E1004" s="123"/>
      <c r="F1004" s="143"/>
      <c r="G1004" s="129"/>
      <c r="H1004" s="124"/>
      <c r="I1004" s="124"/>
      <c r="J1004" s="129"/>
      <c r="K1004" s="194"/>
      <c r="L1004" s="194"/>
      <c r="M1004" s="129"/>
      <c r="N1004" s="129" t="e">
        <f>Table1[[#This Row],[Estimated Effort (Hours)]]/NETWORKDAYS(Table1[[#This Row],[Planned Start Date]],Table1[[#This Row],[Planned End Date]])</f>
        <v>#DIV/0!</v>
      </c>
      <c r="O1004" s="178">
        <f>NETWORKDAYS(Table1[[#This Row],[Planned Start Date]],Table1[[#This Row],[Planned End Date]])</f>
        <v>0</v>
      </c>
      <c r="P1004" s="178">
        <f>NETWORKDAYS(Table1[[#This Row],[Planned Start Date]],$P$7)</f>
        <v>30643</v>
      </c>
      <c r="Q1004" s="129"/>
      <c r="R1004" s="183" t="str">
        <f>IF(Table1[[#This Row],[Actual Effort (Hours)]]="","",IF(Table1[[#This Row],[Estimated Effort (Hours)]]&lt;20,"L1",IF(Table1[[#This Row],[Estimated Effort (Hours)]]&lt;50,"L2",IF(Table1[[#This Row],[Estimated Effort (Hours)]]&lt;150,"L3",IF(Table1[[#This Row],[Estimated Effort (Hours)]]&lt;300,"L4","L5")))))</f>
        <v/>
      </c>
      <c r="S1004" s="184" t="str">
        <f>IF(Table1[[#This Row],[Actual End Date]]="","",TEXT(Table1[[#This Row],[Actual End Date]],"mmm-yy"))</f>
        <v/>
      </c>
      <c r="T10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4" s="185" t="str">
        <f>IFERROR((Table1[[#This Row],[Actual Effort (Hours)]]-Table1[[#This Row],[Estimated Effort (Hours)]])/Table1[[#This Row],[Estimated Effort (Hours)]],"")</f>
        <v/>
      </c>
    </row>
    <row r="1005" spans="2:21">
      <c r="B1005" s="125"/>
      <c r="C1005" s="123"/>
      <c r="D1005" s="143"/>
      <c r="E1005" s="123"/>
      <c r="F1005" s="143"/>
      <c r="G1005" s="129"/>
      <c r="H1005" s="124"/>
      <c r="I1005" s="124"/>
      <c r="J1005" s="129"/>
      <c r="K1005" s="194"/>
      <c r="L1005" s="194"/>
      <c r="M1005" s="129"/>
      <c r="N1005" s="129" t="e">
        <f>Table1[[#This Row],[Estimated Effort (Hours)]]/NETWORKDAYS(Table1[[#This Row],[Planned Start Date]],Table1[[#This Row],[Planned End Date]])</f>
        <v>#DIV/0!</v>
      </c>
      <c r="O1005" s="178">
        <f>NETWORKDAYS(Table1[[#This Row],[Planned Start Date]],Table1[[#This Row],[Planned End Date]])</f>
        <v>0</v>
      </c>
      <c r="P1005" s="178">
        <f>NETWORKDAYS(Table1[[#This Row],[Planned Start Date]],$P$7)</f>
        <v>30643</v>
      </c>
      <c r="Q1005" s="129"/>
      <c r="R1005" s="183" t="str">
        <f>IF(Table1[[#This Row],[Actual Effort (Hours)]]="","",IF(Table1[[#This Row],[Estimated Effort (Hours)]]&lt;20,"L1",IF(Table1[[#This Row],[Estimated Effort (Hours)]]&lt;50,"L2",IF(Table1[[#This Row],[Estimated Effort (Hours)]]&lt;150,"L3",IF(Table1[[#This Row],[Estimated Effort (Hours)]]&lt;300,"L4","L5")))))</f>
        <v/>
      </c>
      <c r="S1005" s="184" t="str">
        <f>IF(Table1[[#This Row],[Actual End Date]]="","",TEXT(Table1[[#This Row],[Actual End Date]],"mmm-yy"))</f>
        <v/>
      </c>
      <c r="T10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5" s="185" t="str">
        <f>IFERROR((Table1[[#This Row],[Actual Effort (Hours)]]-Table1[[#This Row],[Estimated Effort (Hours)]])/Table1[[#This Row],[Estimated Effort (Hours)]],"")</f>
        <v/>
      </c>
    </row>
    <row r="1006" spans="2:21">
      <c r="B1006" s="125"/>
      <c r="C1006" s="123"/>
      <c r="D1006" s="143"/>
      <c r="E1006" s="123"/>
      <c r="F1006" s="143"/>
      <c r="G1006" s="129"/>
      <c r="H1006" s="124"/>
      <c r="I1006" s="124"/>
      <c r="J1006" s="129"/>
      <c r="K1006" s="194"/>
      <c r="L1006" s="194"/>
      <c r="M1006" s="129"/>
      <c r="N1006" s="129" t="e">
        <f>Table1[[#This Row],[Estimated Effort (Hours)]]/NETWORKDAYS(Table1[[#This Row],[Planned Start Date]],Table1[[#This Row],[Planned End Date]])</f>
        <v>#DIV/0!</v>
      </c>
      <c r="O1006" s="178">
        <f>NETWORKDAYS(Table1[[#This Row],[Planned Start Date]],Table1[[#This Row],[Planned End Date]])</f>
        <v>0</v>
      </c>
      <c r="P1006" s="178">
        <f>NETWORKDAYS(Table1[[#This Row],[Planned Start Date]],$P$7)</f>
        <v>30643</v>
      </c>
      <c r="Q1006" s="129"/>
      <c r="R1006" s="183" t="str">
        <f>IF(Table1[[#This Row],[Actual Effort (Hours)]]="","",IF(Table1[[#This Row],[Estimated Effort (Hours)]]&lt;20,"L1",IF(Table1[[#This Row],[Estimated Effort (Hours)]]&lt;50,"L2",IF(Table1[[#This Row],[Estimated Effort (Hours)]]&lt;150,"L3",IF(Table1[[#This Row],[Estimated Effort (Hours)]]&lt;300,"L4","L5")))))</f>
        <v/>
      </c>
      <c r="S1006" s="184" t="str">
        <f>IF(Table1[[#This Row],[Actual End Date]]="","",TEXT(Table1[[#This Row],[Actual End Date]],"mmm-yy"))</f>
        <v/>
      </c>
      <c r="T10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6" s="185" t="str">
        <f>IFERROR((Table1[[#This Row],[Actual Effort (Hours)]]-Table1[[#This Row],[Estimated Effort (Hours)]])/Table1[[#This Row],[Estimated Effort (Hours)]],"")</f>
        <v/>
      </c>
    </row>
    <row r="1007" spans="2:21">
      <c r="B1007" s="125"/>
      <c r="C1007" s="123"/>
      <c r="D1007" s="143"/>
      <c r="E1007" s="123"/>
      <c r="F1007" s="143"/>
      <c r="G1007" s="129"/>
      <c r="H1007" s="124"/>
      <c r="I1007" s="124"/>
      <c r="J1007" s="129"/>
      <c r="K1007" s="194"/>
      <c r="L1007" s="194"/>
      <c r="M1007" s="129"/>
      <c r="N1007" s="129" t="e">
        <f>Table1[[#This Row],[Estimated Effort (Hours)]]/NETWORKDAYS(Table1[[#This Row],[Planned Start Date]],Table1[[#This Row],[Planned End Date]])</f>
        <v>#DIV/0!</v>
      </c>
      <c r="O1007" s="178">
        <f>NETWORKDAYS(Table1[[#This Row],[Planned Start Date]],Table1[[#This Row],[Planned End Date]])</f>
        <v>0</v>
      </c>
      <c r="P1007" s="178">
        <f>NETWORKDAYS(Table1[[#This Row],[Planned Start Date]],$P$7)</f>
        <v>30643</v>
      </c>
      <c r="Q1007" s="129"/>
      <c r="R1007" s="183" t="str">
        <f>IF(Table1[[#This Row],[Actual Effort (Hours)]]="","",IF(Table1[[#This Row],[Estimated Effort (Hours)]]&lt;20,"L1",IF(Table1[[#This Row],[Estimated Effort (Hours)]]&lt;50,"L2",IF(Table1[[#This Row],[Estimated Effort (Hours)]]&lt;150,"L3",IF(Table1[[#This Row],[Estimated Effort (Hours)]]&lt;300,"L4","L5")))))</f>
        <v/>
      </c>
      <c r="S1007" s="184" t="str">
        <f>IF(Table1[[#This Row],[Actual End Date]]="","",TEXT(Table1[[#This Row],[Actual End Date]],"mmm-yy"))</f>
        <v/>
      </c>
      <c r="T10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7" s="185" t="str">
        <f>IFERROR((Table1[[#This Row],[Actual Effort (Hours)]]-Table1[[#This Row],[Estimated Effort (Hours)]])/Table1[[#This Row],[Estimated Effort (Hours)]],"")</f>
        <v/>
      </c>
    </row>
    <row r="1008" spans="2:21">
      <c r="B1008" s="125"/>
      <c r="C1008" s="123"/>
      <c r="D1008" s="143"/>
      <c r="E1008" s="123"/>
      <c r="F1008" s="143"/>
      <c r="G1008" s="129"/>
      <c r="H1008" s="124"/>
      <c r="I1008" s="124"/>
      <c r="J1008" s="129"/>
      <c r="K1008" s="194"/>
      <c r="L1008" s="194"/>
      <c r="M1008" s="129"/>
      <c r="N1008" s="129" t="e">
        <f>Table1[[#This Row],[Estimated Effort (Hours)]]/NETWORKDAYS(Table1[[#This Row],[Planned Start Date]],Table1[[#This Row],[Planned End Date]])</f>
        <v>#DIV/0!</v>
      </c>
      <c r="O1008" s="178">
        <f>NETWORKDAYS(Table1[[#This Row],[Planned Start Date]],Table1[[#This Row],[Planned End Date]])</f>
        <v>0</v>
      </c>
      <c r="P1008" s="178">
        <f>NETWORKDAYS(Table1[[#This Row],[Planned Start Date]],$P$7)</f>
        <v>30643</v>
      </c>
      <c r="Q1008" s="129"/>
      <c r="R1008" s="183" t="str">
        <f>IF(Table1[[#This Row],[Actual Effort (Hours)]]="","",IF(Table1[[#This Row],[Estimated Effort (Hours)]]&lt;20,"L1",IF(Table1[[#This Row],[Estimated Effort (Hours)]]&lt;50,"L2",IF(Table1[[#This Row],[Estimated Effort (Hours)]]&lt;150,"L3",IF(Table1[[#This Row],[Estimated Effort (Hours)]]&lt;300,"L4","L5")))))</f>
        <v/>
      </c>
      <c r="S1008" s="184" t="str">
        <f>IF(Table1[[#This Row],[Actual End Date]]="","",TEXT(Table1[[#This Row],[Actual End Date]],"mmm-yy"))</f>
        <v/>
      </c>
      <c r="T10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8" s="185" t="str">
        <f>IFERROR((Table1[[#This Row],[Actual Effort (Hours)]]-Table1[[#This Row],[Estimated Effort (Hours)]])/Table1[[#This Row],[Estimated Effort (Hours)]],"")</f>
        <v/>
      </c>
    </row>
    <row r="1009" spans="2:21">
      <c r="B1009" s="125"/>
      <c r="C1009" s="123"/>
      <c r="D1009" s="143"/>
      <c r="E1009" s="123"/>
      <c r="F1009" s="143"/>
      <c r="G1009" s="129"/>
      <c r="H1009" s="124"/>
      <c r="I1009" s="124"/>
      <c r="J1009" s="129"/>
      <c r="K1009" s="194"/>
      <c r="L1009" s="194"/>
      <c r="M1009" s="129"/>
      <c r="N1009" s="129" t="e">
        <f>Table1[[#This Row],[Estimated Effort (Hours)]]/NETWORKDAYS(Table1[[#This Row],[Planned Start Date]],Table1[[#This Row],[Planned End Date]])</f>
        <v>#DIV/0!</v>
      </c>
      <c r="O1009" s="178">
        <f>NETWORKDAYS(Table1[[#This Row],[Planned Start Date]],Table1[[#This Row],[Planned End Date]])</f>
        <v>0</v>
      </c>
      <c r="P1009" s="178">
        <f>NETWORKDAYS(Table1[[#This Row],[Planned Start Date]],$P$7)</f>
        <v>30643</v>
      </c>
      <c r="Q1009" s="129"/>
      <c r="R1009" s="183" t="str">
        <f>IF(Table1[[#This Row],[Actual Effort (Hours)]]="","",IF(Table1[[#This Row],[Estimated Effort (Hours)]]&lt;20,"L1",IF(Table1[[#This Row],[Estimated Effort (Hours)]]&lt;50,"L2",IF(Table1[[#This Row],[Estimated Effort (Hours)]]&lt;150,"L3",IF(Table1[[#This Row],[Estimated Effort (Hours)]]&lt;300,"L4","L5")))))</f>
        <v/>
      </c>
      <c r="S1009" s="184" t="str">
        <f>IF(Table1[[#This Row],[Actual End Date]]="","",TEXT(Table1[[#This Row],[Actual End Date]],"mmm-yy"))</f>
        <v/>
      </c>
      <c r="T10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09" s="185" t="str">
        <f>IFERROR((Table1[[#This Row],[Actual Effort (Hours)]]-Table1[[#This Row],[Estimated Effort (Hours)]])/Table1[[#This Row],[Estimated Effort (Hours)]],"")</f>
        <v/>
      </c>
    </row>
    <row r="1010" spans="2:21">
      <c r="B1010" s="125"/>
      <c r="C1010" s="123"/>
      <c r="D1010" s="143"/>
      <c r="E1010" s="123"/>
      <c r="F1010" s="143"/>
      <c r="G1010" s="129"/>
      <c r="H1010" s="124"/>
      <c r="I1010" s="124"/>
      <c r="J1010" s="129"/>
      <c r="K1010" s="194"/>
      <c r="L1010" s="194"/>
      <c r="M1010" s="129"/>
      <c r="N1010" s="129" t="e">
        <f>Table1[[#This Row],[Estimated Effort (Hours)]]/NETWORKDAYS(Table1[[#This Row],[Planned Start Date]],Table1[[#This Row],[Planned End Date]])</f>
        <v>#DIV/0!</v>
      </c>
      <c r="O1010" s="178">
        <f>NETWORKDAYS(Table1[[#This Row],[Planned Start Date]],Table1[[#This Row],[Planned End Date]])</f>
        <v>0</v>
      </c>
      <c r="P1010" s="178">
        <f>NETWORKDAYS(Table1[[#This Row],[Planned Start Date]],$P$7)</f>
        <v>30643</v>
      </c>
      <c r="Q1010" s="129"/>
      <c r="R1010" s="183" t="str">
        <f>IF(Table1[[#This Row],[Actual Effort (Hours)]]="","",IF(Table1[[#This Row],[Estimated Effort (Hours)]]&lt;20,"L1",IF(Table1[[#This Row],[Estimated Effort (Hours)]]&lt;50,"L2",IF(Table1[[#This Row],[Estimated Effort (Hours)]]&lt;150,"L3",IF(Table1[[#This Row],[Estimated Effort (Hours)]]&lt;300,"L4","L5")))))</f>
        <v/>
      </c>
      <c r="S1010" s="184" t="str">
        <f>IF(Table1[[#This Row],[Actual End Date]]="","",TEXT(Table1[[#This Row],[Actual End Date]],"mmm-yy"))</f>
        <v/>
      </c>
      <c r="T10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0" s="185" t="str">
        <f>IFERROR((Table1[[#This Row],[Actual Effort (Hours)]]-Table1[[#This Row],[Estimated Effort (Hours)]])/Table1[[#This Row],[Estimated Effort (Hours)]],"")</f>
        <v/>
      </c>
    </row>
    <row r="1011" spans="2:21">
      <c r="B1011" s="125"/>
      <c r="C1011" s="123"/>
      <c r="D1011" s="143"/>
      <c r="E1011" s="123"/>
      <c r="F1011" s="143"/>
      <c r="G1011" s="129"/>
      <c r="H1011" s="124"/>
      <c r="I1011" s="124"/>
      <c r="J1011" s="129"/>
      <c r="K1011" s="194"/>
      <c r="L1011" s="194"/>
      <c r="M1011" s="129"/>
      <c r="N1011" s="129" t="e">
        <f>Table1[[#This Row],[Estimated Effort (Hours)]]/NETWORKDAYS(Table1[[#This Row],[Planned Start Date]],Table1[[#This Row],[Planned End Date]])</f>
        <v>#DIV/0!</v>
      </c>
      <c r="O1011" s="178">
        <f>NETWORKDAYS(Table1[[#This Row],[Planned Start Date]],Table1[[#This Row],[Planned End Date]])</f>
        <v>0</v>
      </c>
      <c r="P1011" s="178">
        <f>NETWORKDAYS(Table1[[#This Row],[Planned Start Date]],$P$7)</f>
        <v>30643</v>
      </c>
      <c r="Q1011" s="129"/>
      <c r="R1011" s="183" t="str">
        <f>IF(Table1[[#This Row],[Actual Effort (Hours)]]="","",IF(Table1[[#This Row],[Estimated Effort (Hours)]]&lt;20,"L1",IF(Table1[[#This Row],[Estimated Effort (Hours)]]&lt;50,"L2",IF(Table1[[#This Row],[Estimated Effort (Hours)]]&lt;150,"L3",IF(Table1[[#This Row],[Estimated Effort (Hours)]]&lt;300,"L4","L5")))))</f>
        <v/>
      </c>
      <c r="S1011" s="184" t="str">
        <f>IF(Table1[[#This Row],[Actual End Date]]="","",TEXT(Table1[[#This Row],[Actual End Date]],"mmm-yy"))</f>
        <v/>
      </c>
      <c r="T10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1" s="185" t="str">
        <f>IFERROR((Table1[[#This Row],[Actual Effort (Hours)]]-Table1[[#This Row],[Estimated Effort (Hours)]])/Table1[[#This Row],[Estimated Effort (Hours)]],"")</f>
        <v/>
      </c>
    </row>
    <row r="1012" spans="2:21">
      <c r="B1012" s="125"/>
      <c r="C1012" s="123"/>
      <c r="D1012" s="143"/>
      <c r="E1012" s="123"/>
      <c r="F1012" s="143"/>
      <c r="G1012" s="129"/>
      <c r="H1012" s="124"/>
      <c r="I1012" s="124"/>
      <c r="J1012" s="129"/>
      <c r="K1012" s="194"/>
      <c r="L1012" s="194"/>
      <c r="M1012" s="129"/>
      <c r="N1012" s="129" t="e">
        <f>Table1[[#This Row],[Estimated Effort (Hours)]]/NETWORKDAYS(Table1[[#This Row],[Planned Start Date]],Table1[[#This Row],[Planned End Date]])</f>
        <v>#DIV/0!</v>
      </c>
      <c r="O1012" s="178">
        <f>NETWORKDAYS(Table1[[#This Row],[Planned Start Date]],Table1[[#This Row],[Planned End Date]])</f>
        <v>0</v>
      </c>
      <c r="P1012" s="178">
        <f>NETWORKDAYS(Table1[[#This Row],[Planned Start Date]],$P$7)</f>
        <v>30643</v>
      </c>
      <c r="Q1012" s="129"/>
      <c r="R1012" s="183" t="str">
        <f>IF(Table1[[#This Row],[Actual Effort (Hours)]]="","",IF(Table1[[#This Row],[Estimated Effort (Hours)]]&lt;20,"L1",IF(Table1[[#This Row],[Estimated Effort (Hours)]]&lt;50,"L2",IF(Table1[[#This Row],[Estimated Effort (Hours)]]&lt;150,"L3",IF(Table1[[#This Row],[Estimated Effort (Hours)]]&lt;300,"L4","L5")))))</f>
        <v/>
      </c>
      <c r="S1012" s="184" t="str">
        <f>IF(Table1[[#This Row],[Actual End Date]]="","",TEXT(Table1[[#This Row],[Actual End Date]],"mmm-yy"))</f>
        <v/>
      </c>
      <c r="T10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2" s="185" t="str">
        <f>IFERROR((Table1[[#This Row],[Actual Effort (Hours)]]-Table1[[#This Row],[Estimated Effort (Hours)]])/Table1[[#This Row],[Estimated Effort (Hours)]],"")</f>
        <v/>
      </c>
    </row>
    <row r="1013" spans="2:21">
      <c r="B1013" s="125"/>
      <c r="C1013" s="123"/>
      <c r="D1013" s="143"/>
      <c r="E1013" s="123"/>
      <c r="F1013" s="143"/>
      <c r="G1013" s="129"/>
      <c r="H1013" s="124"/>
      <c r="I1013" s="124"/>
      <c r="J1013" s="129"/>
      <c r="K1013" s="194"/>
      <c r="L1013" s="194"/>
      <c r="M1013" s="129"/>
      <c r="N1013" s="129" t="e">
        <f>Table1[[#This Row],[Estimated Effort (Hours)]]/NETWORKDAYS(Table1[[#This Row],[Planned Start Date]],Table1[[#This Row],[Planned End Date]])</f>
        <v>#DIV/0!</v>
      </c>
      <c r="O1013" s="178">
        <f>NETWORKDAYS(Table1[[#This Row],[Planned Start Date]],Table1[[#This Row],[Planned End Date]])</f>
        <v>0</v>
      </c>
      <c r="P1013" s="178">
        <f>NETWORKDAYS(Table1[[#This Row],[Planned Start Date]],$P$7)</f>
        <v>30643</v>
      </c>
      <c r="Q1013" s="129"/>
      <c r="R1013" s="183" t="str">
        <f>IF(Table1[[#This Row],[Actual Effort (Hours)]]="","",IF(Table1[[#This Row],[Estimated Effort (Hours)]]&lt;20,"L1",IF(Table1[[#This Row],[Estimated Effort (Hours)]]&lt;50,"L2",IF(Table1[[#This Row],[Estimated Effort (Hours)]]&lt;150,"L3",IF(Table1[[#This Row],[Estimated Effort (Hours)]]&lt;300,"L4","L5")))))</f>
        <v/>
      </c>
      <c r="S1013" s="184" t="str">
        <f>IF(Table1[[#This Row],[Actual End Date]]="","",TEXT(Table1[[#This Row],[Actual End Date]],"mmm-yy"))</f>
        <v/>
      </c>
      <c r="T10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3" s="185" t="str">
        <f>IFERROR((Table1[[#This Row],[Actual Effort (Hours)]]-Table1[[#This Row],[Estimated Effort (Hours)]])/Table1[[#This Row],[Estimated Effort (Hours)]],"")</f>
        <v/>
      </c>
    </row>
    <row r="1014" spans="2:21">
      <c r="B1014" s="125"/>
      <c r="C1014" s="123"/>
      <c r="D1014" s="143"/>
      <c r="E1014" s="123"/>
      <c r="F1014" s="143"/>
      <c r="G1014" s="129"/>
      <c r="H1014" s="124"/>
      <c r="I1014" s="124"/>
      <c r="J1014" s="129"/>
      <c r="K1014" s="194"/>
      <c r="L1014" s="194"/>
      <c r="M1014" s="129"/>
      <c r="N1014" s="129" t="e">
        <f>Table1[[#This Row],[Estimated Effort (Hours)]]/NETWORKDAYS(Table1[[#This Row],[Planned Start Date]],Table1[[#This Row],[Planned End Date]])</f>
        <v>#DIV/0!</v>
      </c>
      <c r="O1014" s="178">
        <f>NETWORKDAYS(Table1[[#This Row],[Planned Start Date]],Table1[[#This Row],[Planned End Date]])</f>
        <v>0</v>
      </c>
      <c r="P1014" s="178">
        <f>NETWORKDAYS(Table1[[#This Row],[Planned Start Date]],$P$7)</f>
        <v>30643</v>
      </c>
      <c r="Q1014" s="129"/>
      <c r="R1014" s="183" t="str">
        <f>IF(Table1[[#This Row],[Actual Effort (Hours)]]="","",IF(Table1[[#This Row],[Estimated Effort (Hours)]]&lt;20,"L1",IF(Table1[[#This Row],[Estimated Effort (Hours)]]&lt;50,"L2",IF(Table1[[#This Row],[Estimated Effort (Hours)]]&lt;150,"L3",IF(Table1[[#This Row],[Estimated Effort (Hours)]]&lt;300,"L4","L5")))))</f>
        <v/>
      </c>
      <c r="S1014" s="184" t="str">
        <f>IF(Table1[[#This Row],[Actual End Date]]="","",TEXT(Table1[[#This Row],[Actual End Date]],"mmm-yy"))</f>
        <v/>
      </c>
      <c r="T10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4" s="185" t="str">
        <f>IFERROR((Table1[[#This Row],[Actual Effort (Hours)]]-Table1[[#This Row],[Estimated Effort (Hours)]])/Table1[[#This Row],[Estimated Effort (Hours)]],"")</f>
        <v/>
      </c>
    </row>
    <row r="1015" spans="2:21">
      <c r="B1015" s="125"/>
      <c r="C1015" s="123"/>
      <c r="D1015" s="143"/>
      <c r="E1015" s="123"/>
      <c r="F1015" s="143"/>
      <c r="G1015" s="129"/>
      <c r="H1015" s="124"/>
      <c r="I1015" s="124"/>
      <c r="J1015" s="129"/>
      <c r="K1015" s="194"/>
      <c r="L1015" s="194"/>
      <c r="M1015" s="129"/>
      <c r="N1015" s="129" t="e">
        <f>Table1[[#This Row],[Estimated Effort (Hours)]]/NETWORKDAYS(Table1[[#This Row],[Planned Start Date]],Table1[[#This Row],[Planned End Date]])</f>
        <v>#DIV/0!</v>
      </c>
      <c r="O1015" s="178">
        <f>NETWORKDAYS(Table1[[#This Row],[Planned Start Date]],Table1[[#This Row],[Planned End Date]])</f>
        <v>0</v>
      </c>
      <c r="P1015" s="178">
        <f>NETWORKDAYS(Table1[[#This Row],[Planned Start Date]],$P$7)</f>
        <v>30643</v>
      </c>
      <c r="Q1015" s="129"/>
      <c r="R1015" s="183" t="str">
        <f>IF(Table1[[#This Row],[Actual Effort (Hours)]]="","",IF(Table1[[#This Row],[Estimated Effort (Hours)]]&lt;20,"L1",IF(Table1[[#This Row],[Estimated Effort (Hours)]]&lt;50,"L2",IF(Table1[[#This Row],[Estimated Effort (Hours)]]&lt;150,"L3",IF(Table1[[#This Row],[Estimated Effort (Hours)]]&lt;300,"L4","L5")))))</f>
        <v/>
      </c>
      <c r="S1015" s="184" t="str">
        <f>IF(Table1[[#This Row],[Actual End Date]]="","",TEXT(Table1[[#This Row],[Actual End Date]],"mmm-yy"))</f>
        <v/>
      </c>
      <c r="T10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5" s="185" t="str">
        <f>IFERROR((Table1[[#This Row],[Actual Effort (Hours)]]-Table1[[#This Row],[Estimated Effort (Hours)]])/Table1[[#This Row],[Estimated Effort (Hours)]],"")</f>
        <v/>
      </c>
    </row>
    <row r="1016" spans="2:21">
      <c r="B1016" s="125"/>
      <c r="C1016" s="123"/>
      <c r="D1016" s="143"/>
      <c r="E1016" s="123"/>
      <c r="F1016" s="143"/>
      <c r="G1016" s="129"/>
      <c r="H1016" s="124"/>
      <c r="I1016" s="124"/>
      <c r="J1016" s="129"/>
      <c r="K1016" s="194"/>
      <c r="L1016" s="194"/>
      <c r="M1016" s="129"/>
      <c r="N1016" s="129" t="e">
        <f>Table1[[#This Row],[Estimated Effort (Hours)]]/NETWORKDAYS(Table1[[#This Row],[Planned Start Date]],Table1[[#This Row],[Planned End Date]])</f>
        <v>#DIV/0!</v>
      </c>
      <c r="O1016" s="178">
        <f>NETWORKDAYS(Table1[[#This Row],[Planned Start Date]],Table1[[#This Row],[Planned End Date]])</f>
        <v>0</v>
      </c>
      <c r="P1016" s="178">
        <f>NETWORKDAYS(Table1[[#This Row],[Planned Start Date]],$P$7)</f>
        <v>30643</v>
      </c>
      <c r="Q1016" s="129"/>
      <c r="R1016" s="183" t="str">
        <f>IF(Table1[[#This Row],[Actual Effort (Hours)]]="","",IF(Table1[[#This Row],[Estimated Effort (Hours)]]&lt;20,"L1",IF(Table1[[#This Row],[Estimated Effort (Hours)]]&lt;50,"L2",IF(Table1[[#This Row],[Estimated Effort (Hours)]]&lt;150,"L3",IF(Table1[[#This Row],[Estimated Effort (Hours)]]&lt;300,"L4","L5")))))</f>
        <v/>
      </c>
      <c r="S1016" s="184" t="str">
        <f>IF(Table1[[#This Row],[Actual End Date]]="","",TEXT(Table1[[#This Row],[Actual End Date]],"mmm-yy"))</f>
        <v/>
      </c>
      <c r="T10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6" s="185" t="str">
        <f>IFERROR((Table1[[#This Row],[Actual Effort (Hours)]]-Table1[[#This Row],[Estimated Effort (Hours)]])/Table1[[#This Row],[Estimated Effort (Hours)]],"")</f>
        <v/>
      </c>
    </row>
    <row r="1017" spans="2:21">
      <c r="B1017" s="125"/>
      <c r="C1017" s="123"/>
      <c r="D1017" s="143"/>
      <c r="E1017" s="123"/>
      <c r="F1017" s="143"/>
      <c r="G1017" s="129"/>
      <c r="H1017" s="124"/>
      <c r="I1017" s="124"/>
      <c r="J1017" s="129"/>
      <c r="K1017" s="194"/>
      <c r="L1017" s="194"/>
      <c r="M1017" s="129"/>
      <c r="N1017" s="129" t="e">
        <f>Table1[[#This Row],[Estimated Effort (Hours)]]/NETWORKDAYS(Table1[[#This Row],[Planned Start Date]],Table1[[#This Row],[Planned End Date]])</f>
        <v>#DIV/0!</v>
      </c>
      <c r="O1017" s="178">
        <f>NETWORKDAYS(Table1[[#This Row],[Planned Start Date]],Table1[[#This Row],[Planned End Date]])</f>
        <v>0</v>
      </c>
      <c r="P1017" s="178">
        <f>NETWORKDAYS(Table1[[#This Row],[Planned Start Date]],$P$7)</f>
        <v>30643</v>
      </c>
      <c r="Q1017" s="129"/>
      <c r="R1017" s="183" t="str">
        <f>IF(Table1[[#This Row],[Actual Effort (Hours)]]="","",IF(Table1[[#This Row],[Estimated Effort (Hours)]]&lt;20,"L1",IF(Table1[[#This Row],[Estimated Effort (Hours)]]&lt;50,"L2",IF(Table1[[#This Row],[Estimated Effort (Hours)]]&lt;150,"L3",IF(Table1[[#This Row],[Estimated Effort (Hours)]]&lt;300,"L4","L5")))))</f>
        <v/>
      </c>
      <c r="S1017" s="184" t="str">
        <f>IF(Table1[[#This Row],[Actual End Date]]="","",TEXT(Table1[[#This Row],[Actual End Date]],"mmm-yy"))</f>
        <v/>
      </c>
      <c r="T10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7" s="185" t="str">
        <f>IFERROR((Table1[[#This Row],[Actual Effort (Hours)]]-Table1[[#This Row],[Estimated Effort (Hours)]])/Table1[[#This Row],[Estimated Effort (Hours)]],"")</f>
        <v/>
      </c>
    </row>
    <row r="1018" spans="2:21">
      <c r="B1018" s="125"/>
      <c r="C1018" s="123"/>
      <c r="D1018" s="143"/>
      <c r="E1018" s="123"/>
      <c r="F1018" s="143"/>
      <c r="G1018" s="129"/>
      <c r="H1018" s="124"/>
      <c r="I1018" s="124"/>
      <c r="J1018" s="129"/>
      <c r="K1018" s="194"/>
      <c r="L1018" s="194"/>
      <c r="M1018" s="129"/>
      <c r="N1018" s="129" t="e">
        <f>Table1[[#This Row],[Estimated Effort (Hours)]]/NETWORKDAYS(Table1[[#This Row],[Planned Start Date]],Table1[[#This Row],[Planned End Date]])</f>
        <v>#DIV/0!</v>
      </c>
      <c r="O1018" s="178">
        <f>NETWORKDAYS(Table1[[#This Row],[Planned Start Date]],Table1[[#This Row],[Planned End Date]])</f>
        <v>0</v>
      </c>
      <c r="P1018" s="178">
        <f>NETWORKDAYS(Table1[[#This Row],[Planned Start Date]],$P$7)</f>
        <v>30643</v>
      </c>
      <c r="Q1018" s="129"/>
      <c r="R1018" s="183" t="str">
        <f>IF(Table1[[#This Row],[Actual Effort (Hours)]]="","",IF(Table1[[#This Row],[Estimated Effort (Hours)]]&lt;20,"L1",IF(Table1[[#This Row],[Estimated Effort (Hours)]]&lt;50,"L2",IF(Table1[[#This Row],[Estimated Effort (Hours)]]&lt;150,"L3",IF(Table1[[#This Row],[Estimated Effort (Hours)]]&lt;300,"L4","L5")))))</f>
        <v/>
      </c>
      <c r="S1018" s="184" t="str">
        <f>IF(Table1[[#This Row],[Actual End Date]]="","",TEXT(Table1[[#This Row],[Actual End Date]],"mmm-yy"))</f>
        <v/>
      </c>
      <c r="T10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8" s="185" t="str">
        <f>IFERROR((Table1[[#This Row],[Actual Effort (Hours)]]-Table1[[#This Row],[Estimated Effort (Hours)]])/Table1[[#This Row],[Estimated Effort (Hours)]],"")</f>
        <v/>
      </c>
    </row>
    <row r="1019" spans="2:21">
      <c r="B1019" s="125"/>
      <c r="C1019" s="123"/>
      <c r="D1019" s="143"/>
      <c r="E1019" s="123"/>
      <c r="F1019" s="143"/>
      <c r="G1019" s="129"/>
      <c r="H1019" s="124"/>
      <c r="I1019" s="124"/>
      <c r="J1019" s="129"/>
      <c r="K1019" s="194"/>
      <c r="L1019" s="194"/>
      <c r="M1019" s="129"/>
      <c r="N1019" s="129" t="e">
        <f>Table1[[#This Row],[Estimated Effort (Hours)]]/NETWORKDAYS(Table1[[#This Row],[Planned Start Date]],Table1[[#This Row],[Planned End Date]])</f>
        <v>#DIV/0!</v>
      </c>
      <c r="O1019" s="178">
        <f>NETWORKDAYS(Table1[[#This Row],[Planned Start Date]],Table1[[#This Row],[Planned End Date]])</f>
        <v>0</v>
      </c>
      <c r="P1019" s="178">
        <f>NETWORKDAYS(Table1[[#This Row],[Planned Start Date]],$P$7)</f>
        <v>30643</v>
      </c>
      <c r="Q1019" s="129"/>
      <c r="R1019" s="183" t="str">
        <f>IF(Table1[[#This Row],[Actual Effort (Hours)]]="","",IF(Table1[[#This Row],[Estimated Effort (Hours)]]&lt;20,"L1",IF(Table1[[#This Row],[Estimated Effort (Hours)]]&lt;50,"L2",IF(Table1[[#This Row],[Estimated Effort (Hours)]]&lt;150,"L3",IF(Table1[[#This Row],[Estimated Effort (Hours)]]&lt;300,"L4","L5")))))</f>
        <v/>
      </c>
      <c r="S1019" s="184" t="str">
        <f>IF(Table1[[#This Row],[Actual End Date]]="","",TEXT(Table1[[#This Row],[Actual End Date]],"mmm-yy"))</f>
        <v/>
      </c>
      <c r="T10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19" s="185" t="str">
        <f>IFERROR((Table1[[#This Row],[Actual Effort (Hours)]]-Table1[[#This Row],[Estimated Effort (Hours)]])/Table1[[#This Row],[Estimated Effort (Hours)]],"")</f>
        <v/>
      </c>
    </row>
    <row r="1020" spans="2:21">
      <c r="B1020" s="125"/>
      <c r="C1020" s="123"/>
      <c r="D1020" s="143"/>
      <c r="E1020" s="123"/>
      <c r="F1020" s="143"/>
      <c r="G1020" s="129"/>
      <c r="H1020" s="124"/>
      <c r="I1020" s="124"/>
      <c r="J1020" s="129"/>
      <c r="K1020" s="194"/>
      <c r="L1020" s="194"/>
      <c r="M1020" s="129"/>
      <c r="N1020" s="129" t="e">
        <f>Table1[[#This Row],[Estimated Effort (Hours)]]/NETWORKDAYS(Table1[[#This Row],[Planned Start Date]],Table1[[#This Row],[Planned End Date]])</f>
        <v>#DIV/0!</v>
      </c>
      <c r="O1020" s="178">
        <f>NETWORKDAYS(Table1[[#This Row],[Planned Start Date]],Table1[[#This Row],[Planned End Date]])</f>
        <v>0</v>
      </c>
      <c r="P1020" s="178">
        <f>NETWORKDAYS(Table1[[#This Row],[Planned Start Date]],$P$7)</f>
        <v>30643</v>
      </c>
      <c r="Q1020" s="129"/>
      <c r="R1020" s="183" t="str">
        <f>IF(Table1[[#This Row],[Actual Effort (Hours)]]="","",IF(Table1[[#This Row],[Estimated Effort (Hours)]]&lt;20,"L1",IF(Table1[[#This Row],[Estimated Effort (Hours)]]&lt;50,"L2",IF(Table1[[#This Row],[Estimated Effort (Hours)]]&lt;150,"L3",IF(Table1[[#This Row],[Estimated Effort (Hours)]]&lt;300,"L4","L5")))))</f>
        <v/>
      </c>
      <c r="S1020" s="184" t="str">
        <f>IF(Table1[[#This Row],[Actual End Date]]="","",TEXT(Table1[[#This Row],[Actual End Date]],"mmm-yy"))</f>
        <v/>
      </c>
      <c r="T10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0" s="185" t="str">
        <f>IFERROR((Table1[[#This Row],[Actual Effort (Hours)]]-Table1[[#This Row],[Estimated Effort (Hours)]])/Table1[[#This Row],[Estimated Effort (Hours)]],"")</f>
        <v/>
      </c>
    </row>
    <row r="1021" spans="2:21">
      <c r="B1021" s="125"/>
      <c r="C1021" s="123"/>
      <c r="D1021" s="143"/>
      <c r="E1021" s="123"/>
      <c r="F1021" s="143"/>
      <c r="G1021" s="129"/>
      <c r="H1021" s="124"/>
      <c r="I1021" s="124"/>
      <c r="J1021" s="129"/>
      <c r="K1021" s="194"/>
      <c r="L1021" s="194"/>
      <c r="M1021" s="129"/>
      <c r="N1021" s="129" t="e">
        <f>Table1[[#This Row],[Estimated Effort (Hours)]]/NETWORKDAYS(Table1[[#This Row],[Planned Start Date]],Table1[[#This Row],[Planned End Date]])</f>
        <v>#DIV/0!</v>
      </c>
      <c r="O1021" s="178">
        <f>NETWORKDAYS(Table1[[#This Row],[Planned Start Date]],Table1[[#This Row],[Planned End Date]])</f>
        <v>0</v>
      </c>
      <c r="P1021" s="178">
        <f>NETWORKDAYS(Table1[[#This Row],[Planned Start Date]],$P$7)</f>
        <v>30643</v>
      </c>
      <c r="Q1021" s="129"/>
      <c r="R1021" s="183" t="str">
        <f>IF(Table1[[#This Row],[Actual Effort (Hours)]]="","",IF(Table1[[#This Row],[Estimated Effort (Hours)]]&lt;20,"L1",IF(Table1[[#This Row],[Estimated Effort (Hours)]]&lt;50,"L2",IF(Table1[[#This Row],[Estimated Effort (Hours)]]&lt;150,"L3",IF(Table1[[#This Row],[Estimated Effort (Hours)]]&lt;300,"L4","L5")))))</f>
        <v/>
      </c>
      <c r="S1021" s="184" t="str">
        <f>IF(Table1[[#This Row],[Actual End Date]]="","",TEXT(Table1[[#This Row],[Actual End Date]],"mmm-yy"))</f>
        <v/>
      </c>
      <c r="T10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1" s="185" t="str">
        <f>IFERROR((Table1[[#This Row],[Actual Effort (Hours)]]-Table1[[#This Row],[Estimated Effort (Hours)]])/Table1[[#This Row],[Estimated Effort (Hours)]],"")</f>
        <v/>
      </c>
    </row>
    <row r="1022" spans="2:21">
      <c r="B1022" s="125"/>
      <c r="C1022" s="123"/>
      <c r="D1022" s="143"/>
      <c r="E1022" s="123"/>
      <c r="F1022" s="143"/>
      <c r="G1022" s="129"/>
      <c r="H1022" s="124"/>
      <c r="I1022" s="124"/>
      <c r="J1022" s="129"/>
      <c r="K1022" s="194"/>
      <c r="L1022" s="194"/>
      <c r="M1022" s="129"/>
      <c r="N1022" s="129" t="e">
        <f>Table1[[#This Row],[Estimated Effort (Hours)]]/NETWORKDAYS(Table1[[#This Row],[Planned Start Date]],Table1[[#This Row],[Planned End Date]])</f>
        <v>#DIV/0!</v>
      </c>
      <c r="O1022" s="178">
        <f>NETWORKDAYS(Table1[[#This Row],[Planned Start Date]],Table1[[#This Row],[Planned End Date]])</f>
        <v>0</v>
      </c>
      <c r="P1022" s="178">
        <f>NETWORKDAYS(Table1[[#This Row],[Planned Start Date]],$P$7)</f>
        <v>30643</v>
      </c>
      <c r="Q1022" s="129"/>
      <c r="R1022" s="183" t="str">
        <f>IF(Table1[[#This Row],[Actual Effort (Hours)]]="","",IF(Table1[[#This Row],[Estimated Effort (Hours)]]&lt;20,"L1",IF(Table1[[#This Row],[Estimated Effort (Hours)]]&lt;50,"L2",IF(Table1[[#This Row],[Estimated Effort (Hours)]]&lt;150,"L3",IF(Table1[[#This Row],[Estimated Effort (Hours)]]&lt;300,"L4","L5")))))</f>
        <v/>
      </c>
      <c r="S1022" s="184" t="str">
        <f>IF(Table1[[#This Row],[Actual End Date]]="","",TEXT(Table1[[#This Row],[Actual End Date]],"mmm-yy"))</f>
        <v/>
      </c>
      <c r="T10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2" s="185" t="str">
        <f>IFERROR((Table1[[#This Row],[Actual Effort (Hours)]]-Table1[[#This Row],[Estimated Effort (Hours)]])/Table1[[#This Row],[Estimated Effort (Hours)]],"")</f>
        <v/>
      </c>
    </row>
    <row r="1023" spans="2:21">
      <c r="B1023" s="125"/>
      <c r="C1023" s="123"/>
      <c r="D1023" s="143"/>
      <c r="E1023" s="123"/>
      <c r="F1023" s="143"/>
      <c r="G1023" s="129"/>
      <c r="H1023" s="124"/>
      <c r="I1023" s="124"/>
      <c r="J1023" s="129"/>
      <c r="K1023" s="194"/>
      <c r="L1023" s="194"/>
      <c r="M1023" s="129"/>
      <c r="N1023" s="129" t="e">
        <f>Table1[[#This Row],[Estimated Effort (Hours)]]/NETWORKDAYS(Table1[[#This Row],[Planned Start Date]],Table1[[#This Row],[Planned End Date]])</f>
        <v>#DIV/0!</v>
      </c>
      <c r="O1023" s="178">
        <f>NETWORKDAYS(Table1[[#This Row],[Planned Start Date]],Table1[[#This Row],[Planned End Date]])</f>
        <v>0</v>
      </c>
      <c r="P1023" s="178">
        <f>NETWORKDAYS(Table1[[#This Row],[Planned Start Date]],$P$7)</f>
        <v>30643</v>
      </c>
      <c r="Q1023" s="129"/>
      <c r="R1023" s="183" t="str">
        <f>IF(Table1[[#This Row],[Actual Effort (Hours)]]="","",IF(Table1[[#This Row],[Estimated Effort (Hours)]]&lt;20,"L1",IF(Table1[[#This Row],[Estimated Effort (Hours)]]&lt;50,"L2",IF(Table1[[#This Row],[Estimated Effort (Hours)]]&lt;150,"L3",IF(Table1[[#This Row],[Estimated Effort (Hours)]]&lt;300,"L4","L5")))))</f>
        <v/>
      </c>
      <c r="S1023" s="184" t="str">
        <f>IF(Table1[[#This Row],[Actual End Date]]="","",TEXT(Table1[[#This Row],[Actual End Date]],"mmm-yy"))</f>
        <v/>
      </c>
      <c r="T10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3" s="185" t="str">
        <f>IFERROR((Table1[[#This Row],[Actual Effort (Hours)]]-Table1[[#This Row],[Estimated Effort (Hours)]])/Table1[[#This Row],[Estimated Effort (Hours)]],"")</f>
        <v/>
      </c>
    </row>
    <row r="1024" spans="2:21">
      <c r="B1024" s="125"/>
      <c r="C1024" s="123"/>
      <c r="D1024" s="143"/>
      <c r="E1024" s="123"/>
      <c r="F1024" s="143"/>
      <c r="G1024" s="129"/>
      <c r="H1024" s="124"/>
      <c r="I1024" s="124"/>
      <c r="J1024" s="129"/>
      <c r="K1024" s="194"/>
      <c r="L1024" s="194"/>
      <c r="M1024" s="129"/>
      <c r="N1024" s="129" t="e">
        <f>Table1[[#This Row],[Estimated Effort (Hours)]]/NETWORKDAYS(Table1[[#This Row],[Planned Start Date]],Table1[[#This Row],[Planned End Date]])</f>
        <v>#DIV/0!</v>
      </c>
      <c r="O1024" s="178">
        <f>NETWORKDAYS(Table1[[#This Row],[Planned Start Date]],Table1[[#This Row],[Planned End Date]])</f>
        <v>0</v>
      </c>
      <c r="P1024" s="178">
        <f>NETWORKDAYS(Table1[[#This Row],[Planned Start Date]],$P$7)</f>
        <v>30643</v>
      </c>
      <c r="Q1024" s="129"/>
      <c r="R1024" s="183" t="str">
        <f>IF(Table1[[#This Row],[Actual Effort (Hours)]]="","",IF(Table1[[#This Row],[Estimated Effort (Hours)]]&lt;20,"L1",IF(Table1[[#This Row],[Estimated Effort (Hours)]]&lt;50,"L2",IF(Table1[[#This Row],[Estimated Effort (Hours)]]&lt;150,"L3",IF(Table1[[#This Row],[Estimated Effort (Hours)]]&lt;300,"L4","L5")))))</f>
        <v/>
      </c>
      <c r="S1024" s="184" t="str">
        <f>IF(Table1[[#This Row],[Actual End Date]]="","",TEXT(Table1[[#This Row],[Actual End Date]],"mmm-yy"))</f>
        <v/>
      </c>
      <c r="T10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4" s="185" t="str">
        <f>IFERROR((Table1[[#This Row],[Actual Effort (Hours)]]-Table1[[#This Row],[Estimated Effort (Hours)]])/Table1[[#This Row],[Estimated Effort (Hours)]],"")</f>
        <v/>
      </c>
    </row>
    <row r="1025" spans="2:21">
      <c r="B1025" s="125"/>
      <c r="C1025" s="123"/>
      <c r="D1025" s="143"/>
      <c r="E1025" s="123"/>
      <c r="F1025" s="143"/>
      <c r="G1025" s="129"/>
      <c r="H1025" s="124"/>
      <c r="I1025" s="124"/>
      <c r="J1025" s="129"/>
      <c r="K1025" s="194"/>
      <c r="L1025" s="194"/>
      <c r="M1025" s="129"/>
      <c r="N1025" s="129" t="e">
        <f>Table1[[#This Row],[Estimated Effort (Hours)]]/NETWORKDAYS(Table1[[#This Row],[Planned Start Date]],Table1[[#This Row],[Planned End Date]])</f>
        <v>#DIV/0!</v>
      </c>
      <c r="O1025" s="178">
        <f>NETWORKDAYS(Table1[[#This Row],[Planned Start Date]],Table1[[#This Row],[Planned End Date]])</f>
        <v>0</v>
      </c>
      <c r="P1025" s="178">
        <f>NETWORKDAYS(Table1[[#This Row],[Planned Start Date]],$P$7)</f>
        <v>30643</v>
      </c>
      <c r="Q1025" s="129"/>
      <c r="R1025" s="183" t="str">
        <f>IF(Table1[[#This Row],[Actual Effort (Hours)]]="","",IF(Table1[[#This Row],[Estimated Effort (Hours)]]&lt;20,"L1",IF(Table1[[#This Row],[Estimated Effort (Hours)]]&lt;50,"L2",IF(Table1[[#This Row],[Estimated Effort (Hours)]]&lt;150,"L3",IF(Table1[[#This Row],[Estimated Effort (Hours)]]&lt;300,"L4","L5")))))</f>
        <v/>
      </c>
      <c r="S1025" s="184" t="str">
        <f>IF(Table1[[#This Row],[Actual End Date]]="","",TEXT(Table1[[#This Row],[Actual End Date]],"mmm-yy"))</f>
        <v/>
      </c>
      <c r="T10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5" s="185" t="str">
        <f>IFERROR((Table1[[#This Row],[Actual Effort (Hours)]]-Table1[[#This Row],[Estimated Effort (Hours)]])/Table1[[#This Row],[Estimated Effort (Hours)]],"")</f>
        <v/>
      </c>
    </row>
    <row r="1026" spans="2:21">
      <c r="B1026" s="125"/>
      <c r="C1026" s="123"/>
      <c r="D1026" s="143"/>
      <c r="E1026" s="123"/>
      <c r="F1026" s="143"/>
      <c r="G1026" s="129"/>
      <c r="H1026" s="124"/>
      <c r="I1026" s="124"/>
      <c r="J1026" s="129"/>
      <c r="K1026" s="194"/>
      <c r="L1026" s="194"/>
      <c r="M1026" s="129"/>
      <c r="N1026" s="129" t="e">
        <f>Table1[[#This Row],[Estimated Effort (Hours)]]/NETWORKDAYS(Table1[[#This Row],[Planned Start Date]],Table1[[#This Row],[Planned End Date]])</f>
        <v>#DIV/0!</v>
      </c>
      <c r="O1026" s="178">
        <f>NETWORKDAYS(Table1[[#This Row],[Planned Start Date]],Table1[[#This Row],[Planned End Date]])</f>
        <v>0</v>
      </c>
      <c r="P1026" s="178">
        <f>NETWORKDAYS(Table1[[#This Row],[Planned Start Date]],$P$7)</f>
        <v>30643</v>
      </c>
      <c r="Q1026" s="129"/>
      <c r="R1026" s="183" t="str">
        <f>IF(Table1[[#This Row],[Actual Effort (Hours)]]="","",IF(Table1[[#This Row],[Estimated Effort (Hours)]]&lt;20,"L1",IF(Table1[[#This Row],[Estimated Effort (Hours)]]&lt;50,"L2",IF(Table1[[#This Row],[Estimated Effort (Hours)]]&lt;150,"L3",IF(Table1[[#This Row],[Estimated Effort (Hours)]]&lt;300,"L4","L5")))))</f>
        <v/>
      </c>
      <c r="S1026" s="184" t="str">
        <f>IF(Table1[[#This Row],[Actual End Date]]="","",TEXT(Table1[[#This Row],[Actual End Date]],"mmm-yy"))</f>
        <v/>
      </c>
      <c r="T10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6" s="185" t="str">
        <f>IFERROR((Table1[[#This Row],[Actual Effort (Hours)]]-Table1[[#This Row],[Estimated Effort (Hours)]])/Table1[[#This Row],[Estimated Effort (Hours)]],"")</f>
        <v/>
      </c>
    </row>
    <row r="1027" spans="2:21">
      <c r="B1027" s="125"/>
      <c r="C1027" s="123"/>
      <c r="D1027" s="143"/>
      <c r="E1027" s="123"/>
      <c r="F1027" s="143"/>
      <c r="G1027" s="129"/>
      <c r="H1027" s="124"/>
      <c r="I1027" s="124"/>
      <c r="J1027" s="129"/>
      <c r="K1027" s="194"/>
      <c r="L1027" s="194"/>
      <c r="M1027" s="129"/>
      <c r="N1027" s="129" t="e">
        <f>Table1[[#This Row],[Estimated Effort (Hours)]]/NETWORKDAYS(Table1[[#This Row],[Planned Start Date]],Table1[[#This Row],[Planned End Date]])</f>
        <v>#DIV/0!</v>
      </c>
      <c r="O1027" s="178">
        <f>NETWORKDAYS(Table1[[#This Row],[Planned Start Date]],Table1[[#This Row],[Planned End Date]])</f>
        <v>0</v>
      </c>
      <c r="P1027" s="178">
        <f>NETWORKDAYS(Table1[[#This Row],[Planned Start Date]],$P$7)</f>
        <v>30643</v>
      </c>
      <c r="Q1027" s="129"/>
      <c r="R1027" s="183" t="str">
        <f>IF(Table1[[#This Row],[Actual Effort (Hours)]]="","",IF(Table1[[#This Row],[Estimated Effort (Hours)]]&lt;20,"L1",IF(Table1[[#This Row],[Estimated Effort (Hours)]]&lt;50,"L2",IF(Table1[[#This Row],[Estimated Effort (Hours)]]&lt;150,"L3",IF(Table1[[#This Row],[Estimated Effort (Hours)]]&lt;300,"L4","L5")))))</f>
        <v/>
      </c>
      <c r="S1027" s="184" t="str">
        <f>IF(Table1[[#This Row],[Actual End Date]]="","",TEXT(Table1[[#This Row],[Actual End Date]],"mmm-yy"))</f>
        <v/>
      </c>
      <c r="T10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7" s="185" t="str">
        <f>IFERROR((Table1[[#This Row],[Actual Effort (Hours)]]-Table1[[#This Row],[Estimated Effort (Hours)]])/Table1[[#This Row],[Estimated Effort (Hours)]],"")</f>
        <v/>
      </c>
    </row>
    <row r="1028" spans="2:21">
      <c r="B1028" s="125"/>
      <c r="C1028" s="123"/>
      <c r="D1028" s="143"/>
      <c r="E1028" s="123"/>
      <c r="F1028" s="143"/>
      <c r="G1028" s="129"/>
      <c r="H1028" s="124"/>
      <c r="I1028" s="124"/>
      <c r="J1028" s="129"/>
      <c r="K1028" s="194"/>
      <c r="L1028" s="194"/>
      <c r="M1028" s="129"/>
      <c r="N1028" s="129" t="e">
        <f>Table1[[#This Row],[Estimated Effort (Hours)]]/NETWORKDAYS(Table1[[#This Row],[Planned Start Date]],Table1[[#This Row],[Planned End Date]])</f>
        <v>#DIV/0!</v>
      </c>
      <c r="O1028" s="178">
        <f>NETWORKDAYS(Table1[[#This Row],[Planned Start Date]],Table1[[#This Row],[Planned End Date]])</f>
        <v>0</v>
      </c>
      <c r="P1028" s="178">
        <f>NETWORKDAYS(Table1[[#This Row],[Planned Start Date]],$P$7)</f>
        <v>30643</v>
      </c>
      <c r="Q1028" s="129"/>
      <c r="R1028" s="183" t="str">
        <f>IF(Table1[[#This Row],[Actual Effort (Hours)]]="","",IF(Table1[[#This Row],[Estimated Effort (Hours)]]&lt;20,"L1",IF(Table1[[#This Row],[Estimated Effort (Hours)]]&lt;50,"L2",IF(Table1[[#This Row],[Estimated Effort (Hours)]]&lt;150,"L3",IF(Table1[[#This Row],[Estimated Effort (Hours)]]&lt;300,"L4","L5")))))</f>
        <v/>
      </c>
      <c r="S1028" s="184" t="str">
        <f>IF(Table1[[#This Row],[Actual End Date]]="","",TEXT(Table1[[#This Row],[Actual End Date]],"mmm-yy"))</f>
        <v/>
      </c>
      <c r="T10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8" s="185" t="str">
        <f>IFERROR((Table1[[#This Row],[Actual Effort (Hours)]]-Table1[[#This Row],[Estimated Effort (Hours)]])/Table1[[#This Row],[Estimated Effort (Hours)]],"")</f>
        <v/>
      </c>
    </row>
    <row r="1029" spans="2:21">
      <c r="B1029" s="125"/>
      <c r="C1029" s="123"/>
      <c r="D1029" s="143"/>
      <c r="E1029" s="123"/>
      <c r="F1029" s="143"/>
      <c r="G1029" s="129"/>
      <c r="H1029" s="124"/>
      <c r="I1029" s="124"/>
      <c r="J1029" s="129"/>
      <c r="K1029" s="194"/>
      <c r="L1029" s="194"/>
      <c r="M1029" s="129"/>
      <c r="N1029" s="129" t="e">
        <f>Table1[[#This Row],[Estimated Effort (Hours)]]/NETWORKDAYS(Table1[[#This Row],[Planned Start Date]],Table1[[#This Row],[Planned End Date]])</f>
        <v>#DIV/0!</v>
      </c>
      <c r="O1029" s="178">
        <f>NETWORKDAYS(Table1[[#This Row],[Planned Start Date]],Table1[[#This Row],[Planned End Date]])</f>
        <v>0</v>
      </c>
      <c r="P1029" s="178">
        <f>NETWORKDAYS(Table1[[#This Row],[Planned Start Date]],$P$7)</f>
        <v>30643</v>
      </c>
      <c r="Q1029" s="129"/>
      <c r="R1029" s="183" t="str">
        <f>IF(Table1[[#This Row],[Actual Effort (Hours)]]="","",IF(Table1[[#This Row],[Estimated Effort (Hours)]]&lt;20,"L1",IF(Table1[[#This Row],[Estimated Effort (Hours)]]&lt;50,"L2",IF(Table1[[#This Row],[Estimated Effort (Hours)]]&lt;150,"L3",IF(Table1[[#This Row],[Estimated Effort (Hours)]]&lt;300,"L4","L5")))))</f>
        <v/>
      </c>
      <c r="S1029" s="184" t="str">
        <f>IF(Table1[[#This Row],[Actual End Date]]="","",TEXT(Table1[[#This Row],[Actual End Date]],"mmm-yy"))</f>
        <v/>
      </c>
      <c r="T10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29" s="185" t="str">
        <f>IFERROR((Table1[[#This Row],[Actual Effort (Hours)]]-Table1[[#This Row],[Estimated Effort (Hours)]])/Table1[[#This Row],[Estimated Effort (Hours)]],"")</f>
        <v/>
      </c>
    </row>
    <row r="1030" spans="2:21">
      <c r="B1030" s="125"/>
      <c r="C1030" s="123"/>
      <c r="D1030" s="143"/>
      <c r="E1030" s="123"/>
      <c r="F1030" s="143"/>
      <c r="G1030" s="129"/>
      <c r="H1030" s="124"/>
      <c r="I1030" s="124"/>
      <c r="J1030" s="129"/>
      <c r="K1030" s="194"/>
      <c r="L1030" s="194"/>
      <c r="M1030" s="129"/>
      <c r="N1030" s="129" t="e">
        <f>Table1[[#This Row],[Estimated Effort (Hours)]]/NETWORKDAYS(Table1[[#This Row],[Planned Start Date]],Table1[[#This Row],[Planned End Date]])</f>
        <v>#DIV/0!</v>
      </c>
      <c r="O1030" s="178">
        <f>NETWORKDAYS(Table1[[#This Row],[Planned Start Date]],Table1[[#This Row],[Planned End Date]])</f>
        <v>0</v>
      </c>
      <c r="P1030" s="178">
        <f>NETWORKDAYS(Table1[[#This Row],[Planned Start Date]],$P$7)</f>
        <v>30643</v>
      </c>
      <c r="Q1030" s="129"/>
      <c r="R1030" s="183" t="str">
        <f>IF(Table1[[#This Row],[Actual Effort (Hours)]]="","",IF(Table1[[#This Row],[Estimated Effort (Hours)]]&lt;20,"L1",IF(Table1[[#This Row],[Estimated Effort (Hours)]]&lt;50,"L2",IF(Table1[[#This Row],[Estimated Effort (Hours)]]&lt;150,"L3",IF(Table1[[#This Row],[Estimated Effort (Hours)]]&lt;300,"L4","L5")))))</f>
        <v/>
      </c>
      <c r="S1030" s="184" t="str">
        <f>IF(Table1[[#This Row],[Actual End Date]]="","",TEXT(Table1[[#This Row],[Actual End Date]],"mmm-yy"))</f>
        <v/>
      </c>
      <c r="T10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0" s="185" t="str">
        <f>IFERROR((Table1[[#This Row],[Actual Effort (Hours)]]-Table1[[#This Row],[Estimated Effort (Hours)]])/Table1[[#This Row],[Estimated Effort (Hours)]],"")</f>
        <v/>
      </c>
    </row>
    <row r="1031" spans="2:21">
      <c r="B1031" s="125"/>
      <c r="C1031" s="123"/>
      <c r="D1031" s="143"/>
      <c r="E1031" s="123"/>
      <c r="F1031" s="143"/>
      <c r="G1031" s="129"/>
      <c r="H1031" s="124"/>
      <c r="I1031" s="124"/>
      <c r="J1031" s="129"/>
      <c r="K1031" s="194"/>
      <c r="L1031" s="194"/>
      <c r="M1031" s="129"/>
      <c r="N1031" s="129" t="e">
        <f>Table1[[#This Row],[Estimated Effort (Hours)]]/NETWORKDAYS(Table1[[#This Row],[Planned Start Date]],Table1[[#This Row],[Planned End Date]])</f>
        <v>#DIV/0!</v>
      </c>
      <c r="O1031" s="178">
        <f>NETWORKDAYS(Table1[[#This Row],[Planned Start Date]],Table1[[#This Row],[Planned End Date]])</f>
        <v>0</v>
      </c>
      <c r="P1031" s="178">
        <f>NETWORKDAYS(Table1[[#This Row],[Planned Start Date]],$P$7)</f>
        <v>30643</v>
      </c>
      <c r="Q1031" s="129"/>
      <c r="R1031" s="183" t="str">
        <f>IF(Table1[[#This Row],[Actual Effort (Hours)]]="","",IF(Table1[[#This Row],[Estimated Effort (Hours)]]&lt;20,"L1",IF(Table1[[#This Row],[Estimated Effort (Hours)]]&lt;50,"L2",IF(Table1[[#This Row],[Estimated Effort (Hours)]]&lt;150,"L3",IF(Table1[[#This Row],[Estimated Effort (Hours)]]&lt;300,"L4","L5")))))</f>
        <v/>
      </c>
      <c r="S1031" s="184" t="str">
        <f>IF(Table1[[#This Row],[Actual End Date]]="","",TEXT(Table1[[#This Row],[Actual End Date]],"mmm-yy"))</f>
        <v/>
      </c>
      <c r="T10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1" s="185" t="str">
        <f>IFERROR((Table1[[#This Row],[Actual Effort (Hours)]]-Table1[[#This Row],[Estimated Effort (Hours)]])/Table1[[#This Row],[Estimated Effort (Hours)]],"")</f>
        <v/>
      </c>
    </row>
    <row r="1032" spans="2:21">
      <c r="B1032" s="125"/>
      <c r="C1032" s="123"/>
      <c r="D1032" s="143"/>
      <c r="E1032" s="123"/>
      <c r="F1032" s="143"/>
      <c r="G1032" s="129"/>
      <c r="H1032" s="124"/>
      <c r="I1032" s="124"/>
      <c r="J1032" s="129"/>
      <c r="K1032" s="194"/>
      <c r="L1032" s="194"/>
      <c r="M1032" s="129"/>
      <c r="N1032" s="129" t="e">
        <f>Table1[[#This Row],[Estimated Effort (Hours)]]/NETWORKDAYS(Table1[[#This Row],[Planned Start Date]],Table1[[#This Row],[Planned End Date]])</f>
        <v>#DIV/0!</v>
      </c>
      <c r="O1032" s="178">
        <f>NETWORKDAYS(Table1[[#This Row],[Planned Start Date]],Table1[[#This Row],[Planned End Date]])</f>
        <v>0</v>
      </c>
      <c r="P1032" s="178">
        <f>NETWORKDAYS(Table1[[#This Row],[Planned Start Date]],$P$7)</f>
        <v>30643</v>
      </c>
      <c r="Q1032" s="129"/>
      <c r="R1032" s="183" t="str">
        <f>IF(Table1[[#This Row],[Actual Effort (Hours)]]="","",IF(Table1[[#This Row],[Estimated Effort (Hours)]]&lt;20,"L1",IF(Table1[[#This Row],[Estimated Effort (Hours)]]&lt;50,"L2",IF(Table1[[#This Row],[Estimated Effort (Hours)]]&lt;150,"L3",IF(Table1[[#This Row],[Estimated Effort (Hours)]]&lt;300,"L4","L5")))))</f>
        <v/>
      </c>
      <c r="S1032" s="184" t="str">
        <f>IF(Table1[[#This Row],[Actual End Date]]="","",TEXT(Table1[[#This Row],[Actual End Date]],"mmm-yy"))</f>
        <v/>
      </c>
      <c r="T10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2" s="185" t="str">
        <f>IFERROR((Table1[[#This Row],[Actual Effort (Hours)]]-Table1[[#This Row],[Estimated Effort (Hours)]])/Table1[[#This Row],[Estimated Effort (Hours)]],"")</f>
        <v/>
      </c>
    </row>
    <row r="1033" spans="2:21">
      <c r="B1033" s="125"/>
      <c r="C1033" s="123"/>
      <c r="D1033" s="143"/>
      <c r="E1033" s="123"/>
      <c r="F1033" s="143"/>
      <c r="G1033" s="129"/>
      <c r="H1033" s="124"/>
      <c r="I1033" s="124"/>
      <c r="J1033" s="129"/>
      <c r="K1033" s="194"/>
      <c r="L1033" s="194"/>
      <c r="M1033" s="129"/>
      <c r="N1033" s="129" t="e">
        <f>Table1[[#This Row],[Estimated Effort (Hours)]]/NETWORKDAYS(Table1[[#This Row],[Planned Start Date]],Table1[[#This Row],[Planned End Date]])</f>
        <v>#DIV/0!</v>
      </c>
      <c r="O1033" s="178">
        <f>NETWORKDAYS(Table1[[#This Row],[Planned Start Date]],Table1[[#This Row],[Planned End Date]])</f>
        <v>0</v>
      </c>
      <c r="P1033" s="178">
        <f>NETWORKDAYS(Table1[[#This Row],[Planned Start Date]],$P$7)</f>
        <v>30643</v>
      </c>
      <c r="Q1033" s="129"/>
      <c r="R1033" s="183" t="str">
        <f>IF(Table1[[#This Row],[Actual Effort (Hours)]]="","",IF(Table1[[#This Row],[Estimated Effort (Hours)]]&lt;20,"L1",IF(Table1[[#This Row],[Estimated Effort (Hours)]]&lt;50,"L2",IF(Table1[[#This Row],[Estimated Effort (Hours)]]&lt;150,"L3",IF(Table1[[#This Row],[Estimated Effort (Hours)]]&lt;300,"L4","L5")))))</f>
        <v/>
      </c>
      <c r="S1033" s="184" t="str">
        <f>IF(Table1[[#This Row],[Actual End Date]]="","",TEXT(Table1[[#This Row],[Actual End Date]],"mmm-yy"))</f>
        <v/>
      </c>
      <c r="T10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3" s="185" t="str">
        <f>IFERROR((Table1[[#This Row],[Actual Effort (Hours)]]-Table1[[#This Row],[Estimated Effort (Hours)]])/Table1[[#This Row],[Estimated Effort (Hours)]],"")</f>
        <v/>
      </c>
    </row>
    <row r="1034" spans="2:21">
      <c r="B1034" s="125"/>
      <c r="C1034" s="123"/>
      <c r="D1034" s="143"/>
      <c r="E1034" s="123"/>
      <c r="F1034" s="143"/>
      <c r="G1034" s="129"/>
      <c r="H1034" s="124"/>
      <c r="I1034" s="124"/>
      <c r="J1034" s="129"/>
      <c r="K1034" s="194"/>
      <c r="L1034" s="194"/>
      <c r="M1034" s="129"/>
      <c r="N1034" s="129" t="e">
        <f>Table1[[#This Row],[Estimated Effort (Hours)]]/NETWORKDAYS(Table1[[#This Row],[Planned Start Date]],Table1[[#This Row],[Planned End Date]])</f>
        <v>#DIV/0!</v>
      </c>
      <c r="O1034" s="178">
        <f>NETWORKDAYS(Table1[[#This Row],[Planned Start Date]],Table1[[#This Row],[Planned End Date]])</f>
        <v>0</v>
      </c>
      <c r="P1034" s="178">
        <f>NETWORKDAYS(Table1[[#This Row],[Planned Start Date]],$P$7)</f>
        <v>30643</v>
      </c>
      <c r="Q1034" s="129"/>
      <c r="R1034" s="183" t="str">
        <f>IF(Table1[[#This Row],[Actual Effort (Hours)]]="","",IF(Table1[[#This Row],[Estimated Effort (Hours)]]&lt;20,"L1",IF(Table1[[#This Row],[Estimated Effort (Hours)]]&lt;50,"L2",IF(Table1[[#This Row],[Estimated Effort (Hours)]]&lt;150,"L3",IF(Table1[[#This Row],[Estimated Effort (Hours)]]&lt;300,"L4","L5")))))</f>
        <v/>
      </c>
      <c r="S1034" s="184" t="str">
        <f>IF(Table1[[#This Row],[Actual End Date]]="","",TEXT(Table1[[#This Row],[Actual End Date]],"mmm-yy"))</f>
        <v/>
      </c>
      <c r="T10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4" s="185" t="str">
        <f>IFERROR((Table1[[#This Row],[Actual Effort (Hours)]]-Table1[[#This Row],[Estimated Effort (Hours)]])/Table1[[#This Row],[Estimated Effort (Hours)]],"")</f>
        <v/>
      </c>
    </row>
    <row r="1035" spans="2:21">
      <c r="B1035" s="125"/>
      <c r="C1035" s="123"/>
      <c r="D1035" s="143"/>
      <c r="E1035" s="123"/>
      <c r="F1035" s="143"/>
      <c r="G1035" s="129"/>
      <c r="H1035" s="124"/>
      <c r="I1035" s="124"/>
      <c r="J1035" s="129"/>
      <c r="K1035" s="194"/>
      <c r="L1035" s="194"/>
      <c r="M1035" s="129"/>
      <c r="N1035" s="129" t="e">
        <f>Table1[[#This Row],[Estimated Effort (Hours)]]/NETWORKDAYS(Table1[[#This Row],[Planned Start Date]],Table1[[#This Row],[Planned End Date]])</f>
        <v>#DIV/0!</v>
      </c>
      <c r="O1035" s="178">
        <f>NETWORKDAYS(Table1[[#This Row],[Planned Start Date]],Table1[[#This Row],[Planned End Date]])</f>
        <v>0</v>
      </c>
      <c r="P1035" s="178">
        <f>NETWORKDAYS(Table1[[#This Row],[Planned Start Date]],$P$7)</f>
        <v>30643</v>
      </c>
      <c r="Q1035" s="129"/>
      <c r="R1035" s="183" t="str">
        <f>IF(Table1[[#This Row],[Actual Effort (Hours)]]="","",IF(Table1[[#This Row],[Estimated Effort (Hours)]]&lt;20,"L1",IF(Table1[[#This Row],[Estimated Effort (Hours)]]&lt;50,"L2",IF(Table1[[#This Row],[Estimated Effort (Hours)]]&lt;150,"L3",IF(Table1[[#This Row],[Estimated Effort (Hours)]]&lt;300,"L4","L5")))))</f>
        <v/>
      </c>
      <c r="S1035" s="184" t="str">
        <f>IF(Table1[[#This Row],[Actual End Date]]="","",TEXT(Table1[[#This Row],[Actual End Date]],"mmm-yy"))</f>
        <v/>
      </c>
      <c r="T10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5" s="185" t="str">
        <f>IFERROR((Table1[[#This Row],[Actual Effort (Hours)]]-Table1[[#This Row],[Estimated Effort (Hours)]])/Table1[[#This Row],[Estimated Effort (Hours)]],"")</f>
        <v/>
      </c>
    </row>
    <row r="1036" spans="2:21">
      <c r="B1036" s="125"/>
      <c r="C1036" s="123"/>
      <c r="D1036" s="143"/>
      <c r="E1036" s="123"/>
      <c r="F1036" s="143"/>
      <c r="G1036" s="129"/>
      <c r="H1036" s="124"/>
      <c r="I1036" s="124"/>
      <c r="J1036" s="129"/>
      <c r="K1036" s="194"/>
      <c r="L1036" s="194"/>
      <c r="M1036" s="129"/>
      <c r="N1036" s="129" t="e">
        <f>Table1[[#This Row],[Estimated Effort (Hours)]]/NETWORKDAYS(Table1[[#This Row],[Planned Start Date]],Table1[[#This Row],[Planned End Date]])</f>
        <v>#DIV/0!</v>
      </c>
      <c r="O1036" s="178">
        <f>NETWORKDAYS(Table1[[#This Row],[Planned Start Date]],Table1[[#This Row],[Planned End Date]])</f>
        <v>0</v>
      </c>
      <c r="P1036" s="178">
        <f>NETWORKDAYS(Table1[[#This Row],[Planned Start Date]],$P$7)</f>
        <v>30643</v>
      </c>
      <c r="Q1036" s="129"/>
      <c r="R1036" s="183" t="str">
        <f>IF(Table1[[#This Row],[Actual Effort (Hours)]]="","",IF(Table1[[#This Row],[Estimated Effort (Hours)]]&lt;20,"L1",IF(Table1[[#This Row],[Estimated Effort (Hours)]]&lt;50,"L2",IF(Table1[[#This Row],[Estimated Effort (Hours)]]&lt;150,"L3",IF(Table1[[#This Row],[Estimated Effort (Hours)]]&lt;300,"L4","L5")))))</f>
        <v/>
      </c>
      <c r="S1036" s="184" t="str">
        <f>IF(Table1[[#This Row],[Actual End Date]]="","",TEXT(Table1[[#This Row],[Actual End Date]],"mmm-yy"))</f>
        <v/>
      </c>
      <c r="T10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6" s="185" t="str">
        <f>IFERROR((Table1[[#This Row],[Actual Effort (Hours)]]-Table1[[#This Row],[Estimated Effort (Hours)]])/Table1[[#This Row],[Estimated Effort (Hours)]],"")</f>
        <v/>
      </c>
    </row>
    <row r="1037" spans="2:21">
      <c r="B1037" s="125"/>
      <c r="C1037" s="123"/>
      <c r="D1037" s="143"/>
      <c r="E1037" s="123"/>
      <c r="F1037" s="143"/>
      <c r="G1037" s="129"/>
      <c r="H1037" s="124"/>
      <c r="I1037" s="124"/>
      <c r="J1037" s="129"/>
      <c r="K1037" s="194"/>
      <c r="L1037" s="194"/>
      <c r="M1037" s="129"/>
      <c r="N1037" s="129" t="e">
        <f>Table1[[#This Row],[Estimated Effort (Hours)]]/NETWORKDAYS(Table1[[#This Row],[Planned Start Date]],Table1[[#This Row],[Planned End Date]])</f>
        <v>#DIV/0!</v>
      </c>
      <c r="O1037" s="178">
        <f>NETWORKDAYS(Table1[[#This Row],[Planned Start Date]],Table1[[#This Row],[Planned End Date]])</f>
        <v>0</v>
      </c>
      <c r="P1037" s="178">
        <f>NETWORKDAYS(Table1[[#This Row],[Planned Start Date]],$P$7)</f>
        <v>30643</v>
      </c>
      <c r="Q1037" s="129"/>
      <c r="R1037" s="183" t="str">
        <f>IF(Table1[[#This Row],[Actual Effort (Hours)]]="","",IF(Table1[[#This Row],[Estimated Effort (Hours)]]&lt;20,"L1",IF(Table1[[#This Row],[Estimated Effort (Hours)]]&lt;50,"L2",IF(Table1[[#This Row],[Estimated Effort (Hours)]]&lt;150,"L3",IF(Table1[[#This Row],[Estimated Effort (Hours)]]&lt;300,"L4","L5")))))</f>
        <v/>
      </c>
      <c r="S1037" s="184" t="str">
        <f>IF(Table1[[#This Row],[Actual End Date]]="","",TEXT(Table1[[#This Row],[Actual End Date]],"mmm-yy"))</f>
        <v/>
      </c>
      <c r="T10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7" s="185" t="str">
        <f>IFERROR((Table1[[#This Row],[Actual Effort (Hours)]]-Table1[[#This Row],[Estimated Effort (Hours)]])/Table1[[#This Row],[Estimated Effort (Hours)]],"")</f>
        <v/>
      </c>
    </row>
    <row r="1038" spans="2:21">
      <c r="B1038" s="125"/>
      <c r="C1038" s="123"/>
      <c r="D1038" s="143"/>
      <c r="E1038" s="123"/>
      <c r="F1038" s="143"/>
      <c r="G1038" s="129"/>
      <c r="H1038" s="124"/>
      <c r="I1038" s="124"/>
      <c r="J1038" s="129"/>
      <c r="K1038" s="194"/>
      <c r="L1038" s="194"/>
      <c r="M1038" s="129"/>
      <c r="N1038" s="129" t="e">
        <f>Table1[[#This Row],[Estimated Effort (Hours)]]/NETWORKDAYS(Table1[[#This Row],[Planned Start Date]],Table1[[#This Row],[Planned End Date]])</f>
        <v>#DIV/0!</v>
      </c>
      <c r="O1038" s="178">
        <f>NETWORKDAYS(Table1[[#This Row],[Planned Start Date]],Table1[[#This Row],[Planned End Date]])</f>
        <v>0</v>
      </c>
      <c r="P1038" s="178">
        <f>NETWORKDAYS(Table1[[#This Row],[Planned Start Date]],$P$7)</f>
        <v>30643</v>
      </c>
      <c r="Q1038" s="129"/>
      <c r="R1038" s="183" t="str">
        <f>IF(Table1[[#This Row],[Actual Effort (Hours)]]="","",IF(Table1[[#This Row],[Estimated Effort (Hours)]]&lt;20,"L1",IF(Table1[[#This Row],[Estimated Effort (Hours)]]&lt;50,"L2",IF(Table1[[#This Row],[Estimated Effort (Hours)]]&lt;150,"L3",IF(Table1[[#This Row],[Estimated Effort (Hours)]]&lt;300,"L4","L5")))))</f>
        <v/>
      </c>
      <c r="S1038" s="184" t="str">
        <f>IF(Table1[[#This Row],[Actual End Date]]="","",TEXT(Table1[[#This Row],[Actual End Date]],"mmm-yy"))</f>
        <v/>
      </c>
      <c r="T10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8" s="185" t="str">
        <f>IFERROR((Table1[[#This Row],[Actual Effort (Hours)]]-Table1[[#This Row],[Estimated Effort (Hours)]])/Table1[[#This Row],[Estimated Effort (Hours)]],"")</f>
        <v/>
      </c>
    </row>
    <row r="1039" spans="2:21">
      <c r="B1039" s="125"/>
      <c r="C1039" s="123"/>
      <c r="D1039" s="143"/>
      <c r="E1039" s="123"/>
      <c r="F1039" s="143"/>
      <c r="G1039" s="129"/>
      <c r="H1039" s="124"/>
      <c r="I1039" s="124"/>
      <c r="J1039" s="129"/>
      <c r="K1039" s="194"/>
      <c r="L1039" s="194"/>
      <c r="M1039" s="129"/>
      <c r="N1039" s="129" t="e">
        <f>Table1[[#This Row],[Estimated Effort (Hours)]]/NETWORKDAYS(Table1[[#This Row],[Planned Start Date]],Table1[[#This Row],[Planned End Date]])</f>
        <v>#DIV/0!</v>
      </c>
      <c r="O1039" s="178">
        <f>NETWORKDAYS(Table1[[#This Row],[Planned Start Date]],Table1[[#This Row],[Planned End Date]])</f>
        <v>0</v>
      </c>
      <c r="P1039" s="178">
        <f>NETWORKDAYS(Table1[[#This Row],[Planned Start Date]],$P$7)</f>
        <v>30643</v>
      </c>
      <c r="Q1039" s="129"/>
      <c r="R1039" s="183" t="str">
        <f>IF(Table1[[#This Row],[Actual Effort (Hours)]]="","",IF(Table1[[#This Row],[Estimated Effort (Hours)]]&lt;20,"L1",IF(Table1[[#This Row],[Estimated Effort (Hours)]]&lt;50,"L2",IF(Table1[[#This Row],[Estimated Effort (Hours)]]&lt;150,"L3",IF(Table1[[#This Row],[Estimated Effort (Hours)]]&lt;300,"L4","L5")))))</f>
        <v/>
      </c>
      <c r="S1039" s="184" t="str">
        <f>IF(Table1[[#This Row],[Actual End Date]]="","",TEXT(Table1[[#This Row],[Actual End Date]],"mmm-yy"))</f>
        <v/>
      </c>
      <c r="T10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39" s="185" t="str">
        <f>IFERROR((Table1[[#This Row],[Actual Effort (Hours)]]-Table1[[#This Row],[Estimated Effort (Hours)]])/Table1[[#This Row],[Estimated Effort (Hours)]],"")</f>
        <v/>
      </c>
    </row>
    <row r="1040" spans="2:21">
      <c r="B1040" s="125"/>
      <c r="C1040" s="123"/>
      <c r="D1040" s="143"/>
      <c r="E1040" s="123"/>
      <c r="F1040" s="143"/>
      <c r="G1040" s="129"/>
      <c r="H1040" s="124"/>
      <c r="I1040" s="124"/>
      <c r="J1040" s="129"/>
      <c r="K1040" s="194"/>
      <c r="L1040" s="194"/>
      <c r="M1040" s="129"/>
      <c r="N1040" s="129" t="e">
        <f>Table1[[#This Row],[Estimated Effort (Hours)]]/NETWORKDAYS(Table1[[#This Row],[Planned Start Date]],Table1[[#This Row],[Planned End Date]])</f>
        <v>#DIV/0!</v>
      </c>
      <c r="O1040" s="178">
        <f>NETWORKDAYS(Table1[[#This Row],[Planned Start Date]],Table1[[#This Row],[Planned End Date]])</f>
        <v>0</v>
      </c>
      <c r="P1040" s="178">
        <f>NETWORKDAYS(Table1[[#This Row],[Planned Start Date]],$P$7)</f>
        <v>30643</v>
      </c>
      <c r="Q1040" s="129"/>
      <c r="R1040" s="183" t="str">
        <f>IF(Table1[[#This Row],[Actual Effort (Hours)]]="","",IF(Table1[[#This Row],[Estimated Effort (Hours)]]&lt;20,"L1",IF(Table1[[#This Row],[Estimated Effort (Hours)]]&lt;50,"L2",IF(Table1[[#This Row],[Estimated Effort (Hours)]]&lt;150,"L3",IF(Table1[[#This Row],[Estimated Effort (Hours)]]&lt;300,"L4","L5")))))</f>
        <v/>
      </c>
      <c r="S1040" s="184" t="str">
        <f>IF(Table1[[#This Row],[Actual End Date]]="","",TEXT(Table1[[#This Row],[Actual End Date]],"mmm-yy"))</f>
        <v/>
      </c>
      <c r="T10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0" s="185" t="str">
        <f>IFERROR((Table1[[#This Row],[Actual Effort (Hours)]]-Table1[[#This Row],[Estimated Effort (Hours)]])/Table1[[#This Row],[Estimated Effort (Hours)]],"")</f>
        <v/>
      </c>
    </row>
    <row r="1041" spans="2:21">
      <c r="B1041" s="125"/>
      <c r="C1041" s="123"/>
      <c r="D1041" s="143"/>
      <c r="E1041" s="123"/>
      <c r="F1041" s="143"/>
      <c r="G1041" s="129"/>
      <c r="H1041" s="124"/>
      <c r="I1041" s="124"/>
      <c r="J1041" s="129"/>
      <c r="K1041" s="194"/>
      <c r="L1041" s="194"/>
      <c r="M1041" s="129"/>
      <c r="N1041" s="129" t="e">
        <f>Table1[[#This Row],[Estimated Effort (Hours)]]/NETWORKDAYS(Table1[[#This Row],[Planned Start Date]],Table1[[#This Row],[Planned End Date]])</f>
        <v>#DIV/0!</v>
      </c>
      <c r="O1041" s="178">
        <f>NETWORKDAYS(Table1[[#This Row],[Planned Start Date]],Table1[[#This Row],[Planned End Date]])</f>
        <v>0</v>
      </c>
      <c r="P1041" s="178">
        <f>NETWORKDAYS(Table1[[#This Row],[Planned Start Date]],$P$7)</f>
        <v>30643</v>
      </c>
      <c r="Q1041" s="129"/>
      <c r="R1041" s="183" t="str">
        <f>IF(Table1[[#This Row],[Actual Effort (Hours)]]="","",IF(Table1[[#This Row],[Estimated Effort (Hours)]]&lt;20,"L1",IF(Table1[[#This Row],[Estimated Effort (Hours)]]&lt;50,"L2",IF(Table1[[#This Row],[Estimated Effort (Hours)]]&lt;150,"L3",IF(Table1[[#This Row],[Estimated Effort (Hours)]]&lt;300,"L4","L5")))))</f>
        <v/>
      </c>
      <c r="S1041" s="184" t="str">
        <f>IF(Table1[[#This Row],[Actual End Date]]="","",TEXT(Table1[[#This Row],[Actual End Date]],"mmm-yy"))</f>
        <v/>
      </c>
      <c r="T10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1" s="185" t="str">
        <f>IFERROR((Table1[[#This Row],[Actual Effort (Hours)]]-Table1[[#This Row],[Estimated Effort (Hours)]])/Table1[[#This Row],[Estimated Effort (Hours)]],"")</f>
        <v/>
      </c>
    </row>
    <row r="1042" spans="2:21">
      <c r="B1042" s="125"/>
      <c r="C1042" s="123"/>
      <c r="D1042" s="143"/>
      <c r="E1042" s="123"/>
      <c r="F1042" s="143"/>
      <c r="G1042" s="129"/>
      <c r="H1042" s="124"/>
      <c r="I1042" s="124"/>
      <c r="J1042" s="129"/>
      <c r="K1042" s="194"/>
      <c r="L1042" s="194"/>
      <c r="M1042" s="129"/>
      <c r="N1042" s="129" t="e">
        <f>Table1[[#This Row],[Estimated Effort (Hours)]]/NETWORKDAYS(Table1[[#This Row],[Planned Start Date]],Table1[[#This Row],[Planned End Date]])</f>
        <v>#DIV/0!</v>
      </c>
      <c r="O1042" s="178">
        <f>NETWORKDAYS(Table1[[#This Row],[Planned Start Date]],Table1[[#This Row],[Planned End Date]])</f>
        <v>0</v>
      </c>
      <c r="P1042" s="178">
        <f>NETWORKDAYS(Table1[[#This Row],[Planned Start Date]],$P$7)</f>
        <v>30643</v>
      </c>
      <c r="Q1042" s="129"/>
      <c r="R1042" s="183" t="str">
        <f>IF(Table1[[#This Row],[Actual Effort (Hours)]]="","",IF(Table1[[#This Row],[Estimated Effort (Hours)]]&lt;20,"L1",IF(Table1[[#This Row],[Estimated Effort (Hours)]]&lt;50,"L2",IF(Table1[[#This Row],[Estimated Effort (Hours)]]&lt;150,"L3",IF(Table1[[#This Row],[Estimated Effort (Hours)]]&lt;300,"L4","L5")))))</f>
        <v/>
      </c>
      <c r="S1042" s="184" t="str">
        <f>IF(Table1[[#This Row],[Actual End Date]]="","",TEXT(Table1[[#This Row],[Actual End Date]],"mmm-yy"))</f>
        <v/>
      </c>
      <c r="T10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2" s="185" t="str">
        <f>IFERROR((Table1[[#This Row],[Actual Effort (Hours)]]-Table1[[#This Row],[Estimated Effort (Hours)]])/Table1[[#This Row],[Estimated Effort (Hours)]],"")</f>
        <v/>
      </c>
    </row>
    <row r="1043" spans="2:21">
      <c r="B1043" s="125"/>
      <c r="C1043" s="123"/>
      <c r="D1043" s="143"/>
      <c r="E1043" s="123"/>
      <c r="F1043" s="143"/>
      <c r="G1043" s="129"/>
      <c r="H1043" s="124"/>
      <c r="I1043" s="124"/>
      <c r="J1043" s="129"/>
      <c r="K1043" s="194"/>
      <c r="L1043" s="194"/>
      <c r="M1043" s="129"/>
      <c r="N1043" s="129" t="e">
        <f>Table1[[#This Row],[Estimated Effort (Hours)]]/NETWORKDAYS(Table1[[#This Row],[Planned Start Date]],Table1[[#This Row],[Planned End Date]])</f>
        <v>#DIV/0!</v>
      </c>
      <c r="O1043" s="178">
        <f>NETWORKDAYS(Table1[[#This Row],[Planned Start Date]],Table1[[#This Row],[Planned End Date]])</f>
        <v>0</v>
      </c>
      <c r="P1043" s="178">
        <f>NETWORKDAYS(Table1[[#This Row],[Planned Start Date]],$P$7)</f>
        <v>30643</v>
      </c>
      <c r="Q1043" s="129"/>
      <c r="R1043" s="183" t="str">
        <f>IF(Table1[[#This Row],[Actual Effort (Hours)]]="","",IF(Table1[[#This Row],[Estimated Effort (Hours)]]&lt;20,"L1",IF(Table1[[#This Row],[Estimated Effort (Hours)]]&lt;50,"L2",IF(Table1[[#This Row],[Estimated Effort (Hours)]]&lt;150,"L3",IF(Table1[[#This Row],[Estimated Effort (Hours)]]&lt;300,"L4","L5")))))</f>
        <v/>
      </c>
      <c r="S1043" s="184" t="str">
        <f>IF(Table1[[#This Row],[Actual End Date]]="","",TEXT(Table1[[#This Row],[Actual End Date]],"mmm-yy"))</f>
        <v/>
      </c>
      <c r="T10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3" s="185" t="str">
        <f>IFERROR((Table1[[#This Row],[Actual Effort (Hours)]]-Table1[[#This Row],[Estimated Effort (Hours)]])/Table1[[#This Row],[Estimated Effort (Hours)]],"")</f>
        <v/>
      </c>
    </row>
    <row r="1044" spans="2:21">
      <c r="B1044" s="125"/>
      <c r="C1044" s="123"/>
      <c r="D1044" s="143"/>
      <c r="E1044" s="123"/>
      <c r="F1044" s="143"/>
      <c r="G1044" s="129"/>
      <c r="H1044" s="124"/>
      <c r="I1044" s="124"/>
      <c r="J1044" s="129"/>
      <c r="K1044" s="194"/>
      <c r="L1044" s="194"/>
      <c r="M1044" s="129"/>
      <c r="N1044" s="129" t="e">
        <f>Table1[[#This Row],[Estimated Effort (Hours)]]/NETWORKDAYS(Table1[[#This Row],[Planned Start Date]],Table1[[#This Row],[Planned End Date]])</f>
        <v>#DIV/0!</v>
      </c>
      <c r="O1044" s="178">
        <f>NETWORKDAYS(Table1[[#This Row],[Planned Start Date]],Table1[[#This Row],[Planned End Date]])</f>
        <v>0</v>
      </c>
      <c r="P1044" s="178">
        <f>NETWORKDAYS(Table1[[#This Row],[Planned Start Date]],$P$7)</f>
        <v>30643</v>
      </c>
      <c r="Q1044" s="129"/>
      <c r="R1044" s="183" t="str">
        <f>IF(Table1[[#This Row],[Actual Effort (Hours)]]="","",IF(Table1[[#This Row],[Estimated Effort (Hours)]]&lt;20,"L1",IF(Table1[[#This Row],[Estimated Effort (Hours)]]&lt;50,"L2",IF(Table1[[#This Row],[Estimated Effort (Hours)]]&lt;150,"L3",IF(Table1[[#This Row],[Estimated Effort (Hours)]]&lt;300,"L4","L5")))))</f>
        <v/>
      </c>
      <c r="S1044" s="184" t="str">
        <f>IF(Table1[[#This Row],[Actual End Date]]="","",TEXT(Table1[[#This Row],[Actual End Date]],"mmm-yy"))</f>
        <v/>
      </c>
      <c r="T10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4" s="185" t="str">
        <f>IFERROR((Table1[[#This Row],[Actual Effort (Hours)]]-Table1[[#This Row],[Estimated Effort (Hours)]])/Table1[[#This Row],[Estimated Effort (Hours)]],"")</f>
        <v/>
      </c>
    </row>
    <row r="1045" spans="2:21">
      <c r="B1045" s="125"/>
      <c r="C1045" s="123"/>
      <c r="D1045" s="143"/>
      <c r="E1045" s="123"/>
      <c r="F1045" s="143"/>
      <c r="G1045" s="129"/>
      <c r="H1045" s="124"/>
      <c r="I1045" s="124"/>
      <c r="J1045" s="129"/>
      <c r="K1045" s="194"/>
      <c r="L1045" s="194"/>
      <c r="M1045" s="129"/>
      <c r="N1045" s="129" t="e">
        <f>Table1[[#This Row],[Estimated Effort (Hours)]]/NETWORKDAYS(Table1[[#This Row],[Planned Start Date]],Table1[[#This Row],[Planned End Date]])</f>
        <v>#DIV/0!</v>
      </c>
      <c r="O1045" s="178">
        <f>NETWORKDAYS(Table1[[#This Row],[Planned Start Date]],Table1[[#This Row],[Planned End Date]])</f>
        <v>0</v>
      </c>
      <c r="P1045" s="178">
        <f>NETWORKDAYS(Table1[[#This Row],[Planned Start Date]],$P$7)</f>
        <v>30643</v>
      </c>
      <c r="Q1045" s="129"/>
      <c r="R1045" s="183" t="str">
        <f>IF(Table1[[#This Row],[Actual Effort (Hours)]]="","",IF(Table1[[#This Row],[Estimated Effort (Hours)]]&lt;20,"L1",IF(Table1[[#This Row],[Estimated Effort (Hours)]]&lt;50,"L2",IF(Table1[[#This Row],[Estimated Effort (Hours)]]&lt;150,"L3",IF(Table1[[#This Row],[Estimated Effort (Hours)]]&lt;300,"L4","L5")))))</f>
        <v/>
      </c>
      <c r="S1045" s="184" t="str">
        <f>IF(Table1[[#This Row],[Actual End Date]]="","",TEXT(Table1[[#This Row],[Actual End Date]],"mmm-yy"))</f>
        <v/>
      </c>
      <c r="T10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5" s="185" t="str">
        <f>IFERROR((Table1[[#This Row],[Actual Effort (Hours)]]-Table1[[#This Row],[Estimated Effort (Hours)]])/Table1[[#This Row],[Estimated Effort (Hours)]],"")</f>
        <v/>
      </c>
    </row>
    <row r="1046" spans="2:21">
      <c r="B1046" s="125"/>
      <c r="C1046" s="123"/>
      <c r="D1046" s="143"/>
      <c r="E1046" s="123"/>
      <c r="F1046" s="143"/>
      <c r="G1046" s="129"/>
      <c r="H1046" s="124"/>
      <c r="I1046" s="124"/>
      <c r="J1046" s="129"/>
      <c r="K1046" s="194"/>
      <c r="L1046" s="194"/>
      <c r="M1046" s="129"/>
      <c r="N1046" s="129" t="e">
        <f>Table1[[#This Row],[Estimated Effort (Hours)]]/NETWORKDAYS(Table1[[#This Row],[Planned Start Date]],Table1[[#This Row],[Planned End Date]])</f>
        <v>#DIV/0!</v>
      </c>
      <c r="O1046" s="178">
        <f>NETWORKDAYS(Table1[[#This Row],[Planned Start Date]],Table1[[#This Row],[Planned End Date]])</f>
        <v>0</v>
      </c>
      <c r="P1046" s="178">
        <f>NETWORKDAYS(Table1[[#This Row],[Planned Start Date]],$P$7)</f>
        <v>30643</v>
      </c>
      <c r="Q1046" s="129"/>
      <c r="R1046" s="183" t="str">
        <f>IF(Table1[[#This Row],[Actual Effort (Hours)]]="","",IF(Table1[[#This Row],[Estimated Effort (Hours)]]&lt;20,"L1",IF(Table1[[#This Row],[Estimated Effort (Hours)]]&lt;50,"L2",IF(Table1[[#This Row],[Estimated Effort (Hours)]]&lt;150,"L3",IF(Table1[[#This Row],[Estimated Effort (Hours)]]&lt;300,"L4","L5")))))</f>
        <v/>
      </c>
      <c r="S1046" s="184" t="str">
        <f>IF(Table1[[#This Row],[Actual End Date]]="","",TEXT(Table1[[#This Row],[Actual End Date]],"mmm-yy"))</f>
        <v/>
      </c>
      <c r="T10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6" s="185" t="str">
        <f>IFERROR((Table1[[#This Row],[Actual Effort (Hours)]]-Table1[[#This Row],[Estimated Effort (Hours)]])/Table1[[#This Row],[Estimated Effort (Hours)]],"")</f>
        <v/>
      </c>
    </row>
    <row r="1047" spans="2:21">
      <c r="B1047" s="125"/>
      <c r="C1047" s="123"/>
      <c r="D1047" s="143"/>
      <c r="E1047" s="123"/>
      <c r="F1047" s="143"/>
      <c r="G1047" s="129"/>
      <c r="H1047" s="124"/>
      <c r="I1047" s="124"/>
      <c r="J1047" s="129"/>
      <c r="K1047" s="194"/>
      <c r="L1047" s="194"/>
      <c r="M1047" s="129"/>
      <c r="N1047" s="129" t="e">
        <f>Table1[[#This Row],[Estimated Effort (Hours)]]/NETWORKDAYS(Table1[[#This Row],[Planned Start Date]],Table1[[#This Row],[Planned End Date]])</f>
        <v>#DIV/0!</v>
      </c>
      <c r="O1047" s="178">
        <f>NETWORKDAYS(Table1[[#This Row],[Planned Start Date]],Table1[[#This Row],[Planned End Date]])</f>
        <v>0</v>
      </c>
      <c r="P1047" s="178">
        <f>NETWORKDAYS(Table1[[#This Row],[Planned Start Date]],$P$7)</f>
        <v>30643</v>
      </c>
      <c r="Q1047" s="129"/>
      <c r="R1047" s="183" t="str">
        <f>IF(Table1[[#This Row],[Actual Effort (Hours)]]="","",IF(Table1[[#This Row],[Estimated Effort (Hours)]]&lt;20,"L1",IF(Table1[[#This Row],[Estimated Effort (Hours)]]&lt;50,"L2",IF(Table1[[#This Row],[Estimated Effort (Hours)]]&lt;150,"L3",IF(Table1[[#This Row],[Estimated Effort (Hours)]]&lt;300,"L4","L5")))))</f>
        <v/>
      </c>
      <c r="S1047" s="184" t="str">
        <f>IF(Table1[[#This Row],[Actual End Date]]="","",TEXT(Table1[[#This Row],[Actual End Date]],"mmm-yy"))</f>
        <v/>
      </c>
      <c r="T10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7" s="185" t="str">
        <f>IFERROR((Table1[[#This Row],[Actual Effort (Hours)]]-Table1[[#This Row],[Estimated Effort (Hours)]])/Table1[[#This Row],[Estimated Effort (Hours)]],"")</f>
        <v/>
      </c>
    </row>
    <row r="1048" spans="2:21">
      <c r="B1048" s="125"/>
      <c r="C1048" s="123"/>
      <c r="D1048" s="143"/>
      <c r="E1048" s="123"/>
      <c r="F1048" s="143"/>
      <c r="G1048" s="129"/>
      <c r="H1048" s="124"/>
      <c r="I1048" s="124"/>
      <c r="J1048" s="129"/>
      <c r="K1048" s="194"/>
      <c r="L1048" s="194"/>
      <c r="M1048" s="129"/>
      <c r="N1048" s="129" t="e">
        <f>Table1[[#This Row],[Estimated Effort (Hours)]]/NETWORKDAYS(Table1[[#This Row],[Planned Start Date]],Table1[[#This Row],[Planned End Date]])</f>
        <v>#DIV/0!</v>
      </c>
      <c r="O1048" s="178">
        <f>NETWORKDAYS(Table1[[#This Row],[Planned Start Date]],Table1[[#This Row],[Planned End Date]])</f>
        <v>0</v>
      </c>
      <c r="P1048" s="178">
        <f>NETWORKDAYS(Table1[[#This Row],[Planned Start Date]],$P$7)</f>
        <v>30643</v>
      </c>
      <c r="Q1048" s="129"/>
      <c r="R1048" s="183" t="str">
        <f>IF(Table1[[#This Row],[Actual Effort (Hours)]]="","",IF(Table1[[#This Row],[Estimated Effort (Hours)]]&lt;20,"L1",IF(Table1[[#This Row],[Estimated Effort (Hours)]]&lt;50,"L2",IF(Table1[[#This Row],[Estimated Effort (Hours)]]&lt;150,"L3",IF(Table1[[#This Row],[Estimated Effort (Hours)]]&lt;300,"L4","L5")))))</f>
        <v/>
      </c>
      <c r="S1048" s="184" t="str">
        <f>IF(Table1[[#This Row],[Actual End Date]]="","",TEXT(Table1[[#This Row],[Actual End Date]],"mmm-yy"))</f>
        <v/>
      </c>
      <c r="T10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8" s="185" t="str">
        <f>IFERROR((Table1[[#This Row],[Actual Effort (Hours)]]-Table1[[#This Row],[Estimated Effort (Hours)]])/Table1[[#This Row],[Estimated Effort (Hours)]],"")</f>
        <v/>
      </c>
    </row>
    <row r="1049" spans="2:21">
      <c r="B1049" s="125"/>
      <c r="C1049" s="123"/>
      <c r="D1049" s="143"/>
      <c r="E1049" s="123"/>
      <c r="F1049" s="143"/>
      <c r="G1049" s="129"/>
      <c r="H1049" s="124"/>
      <c r="I1049" s="124"/>
      <c r="J1049" s="129"/>
      <c r="K1049" s="194"/>
      <c r="L1049" s="194"/>
      <c r="M1049" s="129"/>
      <c r="N1049" s="129" t="e">
        <f>Table1[[#This Row],[Estimated Effort (Hours)]]/NETWORKDAYS(Table1[[#This Row],[Planned Start Date]],Table1[[#This Row],[Planned End Date]])</f>
        <v>#DIV/0!</v>
      </c>
      <c r="O1049" s="178">
        <f>NETWORKDAYS(Table1[[#This Row],[Planned Start Date]],Table1[[#This Row],[Planned End Date]])</f>
        <v>0</v>
      </c>
      <c r="P1049" s="178">
        <f>NETWORKDAYS(Table1[[#This Row],[Planned Start Date]],$P$7)</f>
        <v>30643</v>
      </c>
      <c r="Q1049" s="129"/>
      <c r="R1049" s="183" t="str">
        <f>IF(Table1[[#This Row],[Actual Effort (Hours)]]="","",IF(Table1[[#This Row],[Estimated Effort (Hours)]]&lt;20,"L1",IF(Table1[[#This Row],[Estimated Effort (Hours)]]&lt;50,"L2",IF(Table1[[#This Row],[Estimated Effort (Hours)]]&lt;150,"L3",IF(Table1[[#This Row],[Estimated Effort (Hours)]]&lt;300,"L4","L5")))))</f>
        <v/>
      </c>
      <c r="S1049" s="184" t="str">
        <f>IF(Table1[[#This Row],[Actual End Date]]="","",TEXT(Table1[[#This Row],[Actual End Date]],"mmm-yy"))</f>
        <v/>
      </c>
      <c r="T10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49" s="185" t="str">
        <f>IFERROR((Table1[[#This Row],[Actual Effort (Hours)]]-Table1[[#This Row],[Estimated Effort (Hours)]])/Table1[[#This Row],[Estimated Effort (Hours)]],"")</f>
        <v/>
      </c>
    </row>
    <row r="1050" spans="2:21">
      <c r="B1050" s="125"/>
      <c r="C1050" s="123"/>
      <c r="D1050" s="143"/>
      <c r="E1050" s="123"/>
      <c r="F1050" s="143"/>
      <c r="G1050" s="129"/>
      <c r="H1050" s="124"/>
      <c r="I1050" s="124"/>
      <c r="J1050" s="129"/>
      <c r="K1050" s="194"/>
      <c r="L1050" s="194"/>
      <c r="M1050" s="129"/>
      <c r="N1050" s="129" t="e">
        <f>Table1[[#This Row],[Estimated Effort (Hours)]]/NETWORKDAYS(Table1[[#This Row],[Planned Start Date]],Table1[[#This Row],[Planned End Date]])</f>
        <v>#DIV/0!</v>
      </c>
      <c r="O1050" s="178">
        <f>NETWORKDAYS(Table1[[#This Row],[Planned Start Date]],Table1[[#This Row],[Planned End Date]])</f>
        <v>0</v>
      </c>
      <c r="P1050" s="178">
        <f>NETWORKDAYS(Table1[[#This Row],[Planned Start Date]],$P$7)</f>
        <v>30643</v>
      </c>
      <c r="Q1050" s="129"/>
      <c r="R1050" s="183" t="str">
        <f>IF(Table1[[#This Row],[Actual Effort (Hours)]]="","",IF(Table1[[#This Row],[Estimated Effort (Hours)]]&lt;20,"L1",IF(Table1[[#This Row],[Estimated Effort (Hours)]]&lt;50,"L2",IF(Table1[[#This Row],[Estimated Effort (Hours)]]&lt;150,"L3",IF(Table1[[#This Row],[Estimated Effort (Hours)]]&lt;300,"L4","L5")))))</f>
        <v/>
      </c>
      <c r="S1050" s="184" t="str">
        <f>IF(Table1[[#This Row],[Actual End Date]]="","",TEXT(Table1[[#This Row],[Actual End Date]],"mmm-yy"))</f>
        <v/>
      </c>
      <c r="T10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0" s="185" t="str">
        <f>IFERROR((Table1[[#This Row],[Actual Effort (Hours)]]-Table1[[#This Row],[Estimated Effort (Hours)]])/Table1[[#This Row],[Estimated Effort (Hours)]],"")</f>
        <v/>
      </c>
    </row>
    <row r="1051" spans="2:21">
      <c r="B1051" s="125"/>
      <c r="C1051" s="123"/>
      <c r="D1051" s="143"/>
      <c r="E1051" s="123"/>
      <c r="F1051" s="143"/>
      <c r="G1051" s="129"/>
      <c r="H1051" s="124"/>
      <c r="I1051" s="124"/>
      <c r="J1051" s="129"/>
      <c r="K1051" s="194"/>
      <c r="L1051" s="194"/>
      <c r="M1051" s="129"/>
      <c r="N1051" s="129" t="e">
        <f>Table1[[#This Row],[Estimated Effort (Hours)]]/NETWORKDAYS(Table1[[#This Row],[Planned Start Date]],Table1[[#This Row],[Planned End Date]])</f>
        <v>#DIV/0!</v>
      </c>
      <c r="O1051" s="178">
        <f>NETWORKDAYS(Table1[[#This Row],[Planned Start Date]],Table1[[#This Row],[Planned End Date]])</f>
        <v>0</v>
      </c>
      <c r="P1051" s="178">
        <f>NETWORKDAYS(Table1[[#This Row],[Planned Start Date]],$P$7)</f>
        <v>30643</v>
      </c>
      <c r="Q1051" s="129"/>
      <c r="R1051" s="183" t="str">
        <f>IF(Table1[[#This Row],[Actual Effort (Hours)]]="","",IF(Table1[[#This Row],[Estimated Effort (Hours)]]&lt;20,"L1",IF(Table1[[#This Row],[Estimated Effort (Hours)]]&lt;50,"L2",IF(Table1[[#This Row],[Estimated Effort (Hours)]]&lt;150,"L3",IF(Table1[[#This Row],[Estimated Effort (Hours)]]&lt;300,"L4","L5")))))</f>
        <v/>
      </c>
      <c r="S1051" s="184" t="str">
        <f>IF(Table1[[#This Row],[Actual End Date]]="","",TEXT(Table1[[#This Row],[Actual End Date]],"mmm-yy"))</f>
        <v/>
      </c>
      <c r="T10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1" s="185" t="str">
        <f>IFERROR((Table1[[#This Row],[Actual Effort (Hours)]]-Table1[[#This Row],[Estimated Effort (Hours)]])/Table1[[#This Row],[Estimated Effort (Hours)]],"")</f>
        <v/>
      </c>
    </row>
    <row r="1052" spans="2:21">
      <c r="B1052" s="125"/>
      <c r="C1052" s="123"/>
      <c r="D1052" s="143"/>
      <c r="E1052" s="123"/>
      <c r="F1052" s="143"/>
      <c r="G1052" s="129"/>
      <c r="H1052" s="124"/>
      <c r="I1052" s="124"/>
      <c r="J1052" s="129"/>
      <c r="K1052" s="194"/>
      <c r="L1052" s="194"/>
      <c r="M1052" s="129"/>
      <c r="N1052" s="129" t="e">
        <f>Table1[[#This Row],[Estimated Effort (Hours)]]/NETWORKDAYS(Table1[[#This Row],[Planned Start Date]],Table1[[#This Row],[Planned End Date]])</f>
        <v>#DIV/0!</v>
      </c>
      <c r="O1052" s="178">
        <f>NETWORKDAYS(Table1[[#This Row],[Planned Start Date]],Table1[[#This Row],[Planned End Date]])</f>
        <v>0</v>
      </c>
      <c r="P1052" s="178">
        <f>NETWORKDAYS(Table1[[#This Row],[Planned Start Date]],$P$7)</f>
        <v>30643</v>
      </c>
      <c r="Q1052" s="129"/>
      <c r="R1052" s="183" t="str">
        <f>IF(Table1[[#This Row],[Actual Effort (Hours)]]="","",IF(Table1[[#This Row],[Estimated Effort (Hours)]]&lt;20,"L1",IF(Table1[[#This Row],[Estimated Effort (Hours)]]&lt;50,"L2",IF(Table1[[#This Row],[Estimated Effort (Hours)]]&lt;150,"L3",IF(Table1[[#This Row],[Estimated Effort (Hours)]]&lt;300,"L4","L5")))))</f>
        <v/>
      </c>
      <c r="S1052" s="184" t="str">
        <f>IF(Table1[[#This Row],[Actual End Date]]="","",TEXT(Table1[[#This Row],[Actual End Date]],"mmm-yy"))</f>
        <v/>
      </c>
      <c r="T10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2" s="185" t="str">
        <f>IFERROR((Table1[[#This Row],[Actual Effort (Hours)]]-Table1[[#This Row],[Estimated Effort (Hours)]])/Table1[[#This Row],[Estimated Effort (Hours)]],"")</f>
        <v/>
      </c>
    </row>
    <row r="1053" spans="2:21">
      <c r="B1053" s="125"/>
      <c r="C1053" s="123"/>
      <c r="D1053" s="143"/>
      <c r="E1053" s="123"/>
      <c r="F1053" s="143"/>
      <c r="G1053" s="129"/>
      <c r="H1053" s="124"/>
      <c r="I1053" s="124"/>
      <c r="J1053" s="129"/>
      <c r="K1053" s="194"/>
      <c r="L1053" s="194"/>
      <c r="M1053" s="129"/>
      <c r="N1053" s="129" t="e">
        <f>Table1[[#This Row],[Estimated Effort (Hours)]]/NETWORKDAYS(Table1[[#This Row],[Planned Start Date]],Table1[[#This Row],[Planned End Date]])</f>
        <v>#DIV/0!</v>
      </c>
      <c r="O1053" s="178">
        <f>NETWORKDAYS(Table1[[#This Row],[Planned Start Date]],Table1[[#This Row],[Planned End Date]])</f>
        <v>0</v>
      </c>
      <c r="P1053" s="178">
        <f>NETWORKDAYS(Table1[[#This Row],[Planned Start Date]],$P$7)</f>
        <v>30643</v>
      </c>
      <c r="Q1053" s="129"/>
      <c r="R1053" s="183" t="str">
        <f>IF(Table1[[#This Row],[Actual Effort (Hours)]]="","",IF(Table1[[#This Row],[Estimated Effort (Hours)]]&lt;20,"L1",IF(Table1[[#This Row],[Estimated Effort (Hours)]]&lt;50,"L2",IF(Table1[[#This Row],[Estimated Effort (Hours)]]&lt;150,"L3",IF(Table1[[#This Row],[Estimated Effort (Hours)]]&lt;300,"L4","L5")))))</f>
        <v/>
      </c>
      <c r="S1053" s="184" t="str">
        <f>IF(Table1[[#This Row],[Actual End Date]]="","",TEXT(Table1[[#This Row],[Actual End Date]],"mmm-yy"))</f>
        <v/>
      </c>
      <c r="T10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3" s="185" t="str">
        <f>IFERROR((Table1[[#This Row],[Actual Effort (Hours)]]-Table1[[#This Row],[Estimated Effort (Hours)]])/Table1[[#This Row],[Estimated Effort (Hours)]],"")</f>
        <v/>
      </c>
    </row>
    <row r="1054" spans="2:21">
      <c r="B1054" s="125"/>
      <c r="C1054" s="123"/>
      <c r="D1054" s="143"/>
      <c r="E1054" s="123"/>
      <c r="F1054" s="143"/>
      <c r="G1054" s="129"/>
      <c r="H1054" s="124"/>
      <c r="I1054" s="124"/>
      <c r="J1054" s="129"/>
      <c r="K1054" s="194"/>
      <c r="L1054" s="194"/>
      <c r="M1054" s="129"/>
      <c r="N1054" s="129" t="e">
        <f>Table1[[#This Row],[Estimated Effort (Hours)]]/NETWORKDAYS(Table1[[#This Row],[Planned Start Date]],Table1[[#This Row],[Planned End Date]])</f>
        <v>#DIV/0!</v>
      </c>
      <c r="O1054" s="178">
        <f>NETWORKDAYS(Table1[[#This Row],[Planned Start Date]],Table1[[#This Row],[Planned End Date]])</f>
        <v>0</v>
      </c>
      <c r="P1054" s="178">
        <f>NETWORKDAYS(Table1[[#This Row],[Planned Start Date]],$P$7)</f>
        <v>30643</v>
      </c>
      <c r="Q1054" s="129"/>
      <c r="R1054" s="183" t="str">
        <f>IF(Table1[[#This Row],[Actual Effort (Hours)]]="","",IF(Table1[[#This Row],[Estimated Effort (Hours)]]&lt;20,"L1",IF(Table1[[#This Row],[Estimated Effort (Hours)]]&lt;50,"L2",IF(Table1[[#This Row],[Estimated Effort (Hours)]]&lt;150,"L3",IF(Table1[[#This Row],[Estimated Effort (Hours)]]&lt;300,"L4","L5")))))</f>
        <v/>
      </c>
      <c r="S1054" s="184" t="str">
        <f>IF(Table1[[#This Row],[Actual End Date]]="","",TEXT(Table1[[#This Row],[Actual End Date]],"mmm-yy"))</f>
        <v/>
      </c>
      <c r="T10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4" s="185" t="str">
        <f>IFERROR((Table1[[#This Row],[Actual Effort (Hours)]]-Table1[[#This Row],[Estimated Effort (Hours)]])/Table1[[#This Row],[Estimated Effort (Hours)]],"")</f>
        <v/>
      </c>
    </row>
    <row r="1055" spans="2:21">
      <c r="B1055" s="125"/>
      <c r="C1055" s="123"/>
      <c r="D1055" s="143"/>
      <c r="E1055" s="123"/>
      <c r="F1055" s="143"/>
      <c r="G1055" s="129"/>
      <c r="H1055" s="124"/>
      <c r="I1055" s="124"/>
      <c r="J1055" s="129"/>
      <c r="K1055" s="194"/>
      <c r="L1055" s="194"/>
      <c r="M1055" s="129"/>
      <c r="N1055" s="129" t="e">
        <f>Table1[[#This Row],[Estimated Effort (Hours)]]/NETWORKDAYS(Table1[[#This Row],[Planned Start Date]],Table1[[#This Row],[Planned End Date]])</f>
        <v>#DIV/0!</v>
      </c>
      <c r="O1055" s="178">
        <f>NETWORKDAYS(Table1[[#This Row],[Planned Start Date]],Table1[[#This Row],[Planned End Date]])</f>
        <v>0</v>
      </c>
      <c r="P1055" s="178">
        <f>NETWORKDAYS(Table1[[#This Row],[Planned Start Date]],$P$7)</f>
        <v>30643</v>
      </c>
      <c r="Q1055" s="129"/>
      <c r="R1055" s="183" t="str">
        <f>IF(Table1[[#This Row],[Actual Effort (Hours)]]="","",IF(Table1[[#This Row],[Estimated Effort (Hours)]]&lt;20,"L1",IF(Table1[[#This Row],[Estimated Effort (Hours)]]&lt;50,"L2",IF(Table1[[#This Row],[Estimated Effort (Hours)]]&lt;150,"L3",IF(Table1[[#This Row],[Estimated Effort (Hours)]]&lt;300,"L4","L5")))))</f>
        <v/>
      </c>
      <c r="S1055" s="184" t="str">
        <f>IF(Table1[[#This Row],[Actual End Date]]="","",TEXT(Table1[[#This Row],[Actual End Date]],"mmm-yy"))</f>
        <v/>
      </c>
      <c r="T10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5" s="185" t="str">
        <f>IFERROR((Table1[[#This Row],[Actual Effort (Hours)]]-Table1[[#This Row],[Estimated Effort (Hours)]])/Table1[[#This Row],[Estimated Effort (Hours)]],"")</f>
        <v/>
      </c>
    </row>
    <row r="1056" spans="2:21">
      <c r="B1056" s="125"/>
      <c r="C1056" s="123"/>
      <c r="D1056" s="143"/>
      <c r="E1056" s="123"/>
      <c r="F1056" s="143"/>
      <c r="G1056" s="129"/>
      <c r="H1056" s="124"/>
      <c r="I1056" s="124"/>
      <c r="J1056" s="129"/>
      <c r="K1056" s="194"/>
      <c r="L1056" s="194"/>
      <c r="M1056" s="129"/>
      <c r="N1056" s="129" t="e">
        <f>Table1[[#This Row],[Estimated Effort (Hours)]]/NETWORKDAYS(Table1[[#This Row],[Planned Start Date]],Table1[[#This Row],[Planned End Date]])</f>
        <v>#DIV/0!</v>
      </c>
      <c r="O1056" s="178">
        <f>NETWORKDAYS(Table1[[#This Row],[Planned Start Date]],Table1[[#This Row],[Planned End Date]])</f>
        <v>0</v>
      </c>
      <c r="P1056" s="178">
        <f>NETWORKDAYS(Table1[[#This Row],[Planned Start Date]],$P$7)</f>
        <v>30643</v>
      </c>
      <c r="Q1056" s="129"/>
      <c r="R1056" s="183" t="str">
        <f>IF(Table1[[#This Row],[Actual Effort (Hours)]]="","",IF(Table1[[#This Row],[Estimated Effort (Hours)]]&lt;20,"L1",IF(Table1[[#This Row],[Estimated Effort (Hours)]]&lt;50,"L2",IF(Table1[[#This Row],[Estimated Effort (Hours)]]&lt;150,"L3",IF(Table1[[#This Row],[Estimated Effort (Hours)]]&lt;300,"L4","L5")))))</f>
        <v/>
      </c>
      <c r="S1056" s="184" t="str">
        <f>IF(Table1[[#This Row],[Actual End Date]]="","",TEXT(Table1[[#This Row],[Actual End Date]],"mmm-yy"))</f>
        <v/>
      </c>
      <c r="T10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6" s="185" t="str">
        <f>IFERROR((Table1[[#This Row],[Actual Effort (Hours)]]-Table1[[#This Row],[Estimated Effort (Hours)]])/Table1[[#This Row],[Estimated Effort (Hours)]],"")</f>
        <v/>
      </c>
    </row>
    <row r="1057" spans="2:21">
      <c r="B1057" s="125"/>
      <c r="C1057" s="123"/>
      <c r="D1057" s="143"/>
      <c r="E1057" s="123"/>
      <c r="F1057" s="143"/>
      <c r="G1057" s="129"/>
      <c r="H1057" s="124"/>
      <c r="I1057" s="124"/>
      <c r="J1057" s="129"/>
      <c r="K1057" s="194"/>
      <c r="L1057" s="194"/>
      <c r="M1057" s="129"/>
      <c r="N1057" s="129" t="e">
        <f>Table1[[#This Row],[Estimated Effort (Hours)]]/NETWORKDAYS(Table1[[#This Row],[Planned Start Date]],Table1[[#This Row],[Planned End Date]])</f>
        <v>#DIV/0!</v>
      </c>
      <c r="O1057" s="178">
        <f>NETWORKDAYS(Table1[[#This Row],[Planned Start Date]],Table1[[#This Row],[Planned End Date]])</f>
        <v>0</v>
      </c>
      <c r="P1057" s="178">
        <f>NETWORKDAYS(Table1[[#This Row],[Planned Start Date]],$P$7)</f>
        <v>30643</v>
      </c>
      <c r="Q1057" s="129"/>
      <c r="R1057" s="183" t="str">
        <f>IF(Table1[[#This Row],[Actual Effort (Hours)]]="","",IF(Table1[[#This Row],[Estimated Effort (Hours)]]&lt;20,"L1",IF(Table1[[#This Row],[Estimated Effort (Hours)]]&lt;50,"L2",IF(Table1[[#This Row],[Estimated Effort (Hours)]]&lt;150,"L3",IF(Table1[[#This Row],[Estimated Effort (Hours)]]&lt;300,"L4","L5")))))</f>
        <v/>
      </c>
      <c r="S1057" s="184" t="str">
        <f>IF(Table1[[#This Row],[Actual End Date]]="","",TEXT(Table1[[#This Row],[Actual End Date]],"mmm-yy"))</f>
        <v/>
      </c>
      <c r="T10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7" s="185" t="str">
        <f>IFERROR((Table1[[#This Row],[Actual Effort (Hours)]]-Table1[[#This Row],[Estimated Effort (Hours)]])/Table1[[#This Row],[Estimated Effort (Hours)]],"")</f>
        <v/>
      </c>
    </row>
    <row r="1058" spans="2:21">
      <c r="B1058" s="125"/>
      <c r="C1058" s="123"/>
      <c r="D1058" s="143"/>
      <c r="E1058" s="123"/>
      <c r="F1058" s="143"/>
      <c r="G1058" s="129"/>
      <c r="H1058" s="124"/>
      <c r="I1058" s="124"/>
      <c r="J1058" s="129"/>
      <c r="K1058" s="194"/>
      <c r="L1058" s="194"/>
      <c r="M1058" s="129"/>
      <c r="N1058" s="129" t="e">
        <f>Table1[[#This Row],[Estimated Effort (Hours)]]/NETWORKDAYS(Table1[[#This Row],[Planned Start Date]],Table1[[#This Row],[Planned End Date]])</f>
        <v>#DIV/0!</v>
      </c>
      <c r="O1058" s="178">
        <f>NETWORKDAYS(Table1[[#This Row],[Planned Start Date]],Table1[[#This Row],[Planned End Date]])</f>
        <v>0</v>
      </c>
      <c r="P1058" s="178">
        <f>NETWORKDAYS(Table1[[#This Row],[Planned Start Date]],$P$7)</f>
        <v>30643</v>
      </c>
      <c r="Q1058" s="129"/>
      <c r="R1058" s="183" t="str">
        <f>IF(Table1[[#This Row],[Actual Effort (Hours)]]="","",IF(Table1[[#This Row],[Estimated Effort (Hours)]]&lt;20,"L1",IF(Table1[[#This Row],[Estimated Effort (Hours)]]&lt;50,"L2",IF(Table1[[#This Row],[Estimated Effort (Hours)]]&lt;150,"L3",IF(Table1[[#This Row],[Estimated Effort (Hours)]]&lt;300,"L4","L5")))))</f>
        <v/>
      </c>
      <c r="S1058" s="184" t="str">
        <f>IF(Table1[[#This Row],[Actual End Date]]="","",TEXT(Table1[[#This Row],[Actual End Date]],"mmm-yy"))</f>
        <v/>
      </c>
      <c r="T10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8" s="185" t="str">
        <f>IFERROR((Table1[[#This Row],[Actual Effort (Hours)]]-Table1[[#This Row],[Estimated Effort (Hours)]])/Table1[[#This Row],[Estimated Effort (Hours)]],"")</f>
        <v/>
      </c>
    </row>
    <row r="1059" spans="2:21">
      <c r="B1059" s="125"/>
      <c r="C1059" s="123"/>
      <c r="D1059" s="143"/>
      <c r="E1059" s="123"/>
      <c r="F1059" s="143"/>
      <c r="G1059" s="129"/>
      <c r="H1059" s="124"/>
      <c r="I1059" s="124"/>
      <c r="J1059" s="129"/>
      <c r="K1059" s="194"/>
      <c r="L1059" s="194"/>
      <c r="M1059" s="129"/>
      <c r="N1059" s="129" t="e">
        <f>Table1[[#This Row],[Estimated Effort (Hours)]]/NETWORKDAYS(Table1[[#This Row],[Planned Start Date]],Table1[[#This Row],[Planned End Date]])</f>
        <v>#DIV/0!</v>
      </c>
      <c r="O1059" s="178">
        <f>NETWORKDAYS(Table1[[#This Row],[Planned Start Date]],Table1[[#This Row],[Planned End Date]])</f>
        <v>0</v>
      </c>
      <c r="P1059" s="178">
        <f>NETWORKDAYS(Table1[[#This Row],[Planned Start Date]],$P$7)</f>
        <v>30643</v>
      </c>
      <c r="Q1059" s="129"/>
      <c r="R1059" s="183" t="str">
        <f>IF(Table1[[#This Row],[Actual Effort (Hours)]]="","",IF(Table1[[#This Row],[Estimated Effort (Hours)]]&lt;20,"L1",IF(Table1[[#This Row],[Estimated Effort (Hours)]]&lt;50,"L2",IF(Table1[[#This Row],[Estimated Effort (Hours)]]&lt;150,"L3",IF(Table1[[#This Row],[Estimated Effort (Hours)]]&lt;300,"L4","L5")))))</f>
        <v/>
      </c>
      <c r="S1059" s="184" t="str">
        <f>IF(Table1[[#This Row],[Actual End Date]]="","",TEXT(Table1[[#This Row],[Actual End Date]],"mmm-yy"))</f>
        <v/>
      </c>
      <c r="T10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59" s="185" t="str">
        <f>IFERROR((Table1[[#This Row],[Actual Effort (Hours)]]-Table1[[#This Row],[Estimated Effort (Hours)]])/Table1[[#This Row],[Estimated Effort (Hours)]],"")</f>
        <v/>
      </c>
    </row>
    <row r="1060" spans="2:21">
      <c r="B1060" s="125"/>
      <c r="C1060" s="123"/>
      <c r="D1060" s="143"/>
      <c r="E1060" s="123"/>
      <c r="F1060" s="143"/>
      <c r="G1060" s="129"/>
      <c r="H1060" s="124"/>
      <c r="I1060" s="124"/>
      <c r="J1060" s="129"/>
      <c r="K1060" s="194"/>
      <c r="L1060" s="194"/>
      <c r="M1060" s="129"/>
      <c r="N1060" s="129" t="e">
        <f>Table1[[#This Row],[Estimated Effort (Hours)]]/NETWORKDAYS(Table1[[#This Row],[Planned Start Date]],Table1[[#This Row],[Planned End Date]])</f>
        <v>#DIV/0!</v>
      </c>
      <c r="O1060" s="178">
        <f>NETWORKDAYS(Table1[[#This Row],[Planned Start Date]],Table1[[#This Row],[Planned End Date]])</f>
        <v>0</v>
      </c>
      <c r="P1060" s="178">
        <f>NETWORKDAYS(Table1[[#This Row],[Planned Start Date]],$P$7)</f>
        <v>30643</v>
      </c>
      <c r="Q1060" s="129"/>
      <c r="R1060" s="183" t="str">
        <f>IF(Table1[[#This Row],[Actual Effort (Hours)]]="","",IF(Table1[[#This Row],[Estimated Effort (Hours)]]&lt;20,"L1",IF(Table1[[#This Row],[Estimated Effort (Hours)]]&lt;50,"L2",IF(Table1[[#This Row],[Estimated Effort (Hours)]]&lt;150,"L3",IF(Table1[[#This Row],[Estimated Effort (Hours)]]&lt;300,"L4","L5")))))</f>
        <v/>
      </c>
      <c r="S1060" s="184" t="str">
        <f>IF(Table1[[#This Row],[Actual End Date]]="","",TEXT(Table1[[#This Row],[Actual End Date]],"mmm-yy"))</f>
        <v/>
      </c>
      <c r="T10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0" s="185" t="str">
        <f>IFERROR((Table1[[#This Row],[Actual Effort (Hours)]]-Table1[[#This Row],[Estimated Effort (Hours)]])/Table1[[#This Row],[Estimated Effort (Hours)]],"")</f>
        <v/>
      </c>
    </row>
    <row r="1061" spans="2:21">
      <c r="B1061" s="125"/>
      <c r="C1061" s="123"/>
      <c r="D1061" s="143"/>
      <c r="E1061" s="123"/>
      <c r="F1061" s="143"/>
      <c r="G1061" s="129"/>
      <c r="H1061" s="124"/>
      <c r="I1061" s="124"/>
      <c r="J1061" s="129"/>
      <c r="K1061" s="194"/>
      <c r="L1061" s="194"/>
      <c r="M1061" s="129"/>
      <c r="N1061" s="129" t="e">
        <f>Table1[[#This Row],[Estimated Effort (Hours)]]/NETWORKDAYS(Table1[[#This Row],[Planned Start Date]],Table1[[#This Row],[Planned End Date]])</f>
        <v>#DIV/0!</v>
      </c>
      <c r="O1061" s="178">
        <f>NETWORKDAYS(Table1[[#This Row],[Planned Start Date]],Table1[[#This Row],[Planned End Date]])</f>
        <v>0</v>
      </c>
      <c r="P1061" s="178">
        <f>NETWORKDAYS(Table1[[#This Row],[Planned Start Date]],$P$7)</f>
        <v>30643</v>
      </c>
      <c r="Q1061" s="129"/>
      <c r="R1061" s="183" t="str">
        <f>IF(Table1[[#This Row],[Actual Effort (Hours)]]="","",IF(Table1[[#This Row],[Estimated Effort (Hours)]]&lt;20,"L1",IF(Table1[[#This Row],[Estimated Effort (Hours)]]&lt;50,"L2",IF(Table1[[#This Row],[Estimated Effort (Hours)]]&lt;150,"L3",IF(Table1[[#This Row],[Estimated Effort (Hours)]]&lt;300,"L4","L5")))))</f>
        <v/>
      </c>
      <c r="S1061" s="184" t="str">
        <f>IF(Table1[[#This Row],[Actual End Date]]="","",TEXT(Table1[[#This Row],[Actual End Date]],"mmm-yy"))</f>
        <v/>
      </c>
      <c r="T10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1" s="185" t="str">
        <f>IFERROR((Table1[[#This Row],[Actual Effort (Hours)]]-Table1[[#This Row],[Estimated Effort (Hours)]])/Table1[[#This Row],[Estimated Effort (Hours)]],"")</f>
        <v/>
      </c>
    </row>
    <row r="1062" spans="2:21">
      <c r="B1062" s="125"/>
      <c r="C1062" s="123"/>
      <c r="D1062" s="143"/>
      <c r="E1062" s="123"/>
      <c r="F1062" s="143"/>
      <c r="G1062" s="129"/>
      <c r="H1062" s="124"/>
      <c r="I1062" s="124"/>
      <c r="J1062" s="129"/>
      <c r="K1062" s="194"/>
      <c r="L1062" s="194"/>
      <c r="M1062" s="129"/>
      <c r="N1062" s="129" t="e">
        <f>Table1[[#This Row],[Estimated Effort (Hours)]]/NETWORKDAYS(Table1[[#This Row],[Planned Start Date]],Table1[[#This Row],[Planned End Date]])</f>
        <v>#DIV/0!</v>
      </c>
      <c r="O1062" s="178">
        <f>NETWORKDAYS(Table1[[#This Row],[Planned Start Date]],Table1[[#This Row],[Planned End Date]])</f>
        <v>0</v>
      </c>
      <c r="P1062" s="178">
        <f>NETWORKDAYS(Table1[[#This Row],[Planned Start Date]],$P$7)</f>
        <v>30643</v>
      </c>
      <c r="Q1062" s="129"/>
      <c r="R1062" s="183" t="str">
        <f>IF(Table1[[#This Row],[Actual Effort (Hours)]]="","",IF(Table1[[#This Row],[Estimated Effort (Hours)]]&lt;20,"L1",IF(Table1[[#This Row],[Estimated Effort (Hours)]]&lt;50,"L2",IF(Table1[[#This Row],[Estimated Effort (Hours)]]&lt;150,"L3",IF(Table1[[#This Row],[Estimated Effort (Hours)]]&lt;300,"L4","L5")))))</f>
        <v/>
      </c>
      <c r="S1062" s="184" t="str">
        <f>IF(Table1[[#This Row],[Actual End Date]]="","",TEXT(Table1[[#This Row],[Actual End Date]],"mmm-yy"))</f>
        <v/>
      </c>
      <c r="T10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2" s="185" t="str">
        <f>IFERROR((Table1[[#This Row],[Actual Effort (Hours)]]-Table1[[#This Row],[Estimated Effort (Hours)]])/Table1[[#This Row],[Estimated Effort (Hours)]],"")</f>
        <v/>
      </c>
    </row>
    <row r="1063" spans="2:21">
      <c r="B1063" s="125"/>
      <c r="C1063" s="123"/>
      <c r="D1063" s="143"/>
      <c r="E1063" s="123"/>
      <c r="F1063" s="143"/>
      <c r="G1063" s="129"/>
      <c r="H1063" s="124"/>
      <c r="I1063" s="124"/>
      <c r="J1063" s="129"/>
      <c r="K1063" s="194"/>
      <c r="L1063" s="194"/>
      <c r="M1063" s="129"/>
      <c r="N1063" s="129" t="e">
        <f>Table1[[#This Row],[Estimated Effort (Hours)]]/NETWORKDAYS(Table1[[#This Row],[Planned Start Date]],Table1[[#This Row],[Planned End Date]])</f>
        <v>#DIV/0!</v>
      </c>
      <c r="O1063" s="178">
        <f>NETWORKDAYS(Table1[[#This Row],[Planned Start Date]],Table1[[#This Row],[Planned End Date]])</f>
        <v>0</v>
      </c>
      <c r="P1063" s="178">
        <f>NETWORKDAYS(Table1[[#This Row],[Planned Start Date]],$P$7)</f>
        <v>30643</v>
      </c>
      <c r="Q1063" s="129"/>
      <c r="R1063" s="183" t="str">
        <f>IF(Table1[[#This Row],[Actual Effort (Hours)]]="","",IF(Table1[[#This Row],[Estimated Effort (Hours)]]&lt;20,"L1",IF(Table1[[#This Row],[Estimated Effort (Hours)]]&lt;50,"L2",IF(Table1[[#This Row],[Estimated Effort (Hours)]]&lt;150,"L3",IF(Table1[[#This Row],[Estimated Effort (Hours)]]&lt;300,"L4","L5")))))</f>
        <v/>
      </c>
      <c r="S1063" s="184" t="str">
        <f>IF(Table1[[#This Row],[Actual End Date]]="","",TEXT(Table1[[#This Row],[Actual End Date]],"mmm-yy"))</f>
        <v/>
      </c>
      <c r="T10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3" s="185" t="str">
        <f>IFERROR((Table1[[#This Row],[Actual Effort (Hours)]]-Table1[[#This Row],[Estimated Effort (Hours)]])/Table1[[#This Row],[Estimated Effort (Hours)]],"")</f>
        <v/>
      </c>
    </row>
    <row r="1064" spans="2:21">
      <c r="B1064" s="125"/>
      <c r="C1064" s="123"/>
      <c r="D1064" s="143"/>
      <c r="E1064" s="123"/>
      <c r="F1064" s="143"/>
      <c r="G1064" s="129"/>
      <c r="H1064" s="124"/>
      <c r="I1064" s="124"/>
      <c r="J1064" s="129"/>
      <c r="K1064" s="194"/>
      <c r="L1064" s="194"/>
      <c r="M1064" s="129"/>
      <c r="N1064" s="129" t="e">
        <f>Table1[[#This Row],[Estimated Effort (Hours)]]/NETWORKDAYS(Table1[[#This Row],[Planned Start Date]],Table1[[#This Row],[Planned End Date]])</f>
        <v>#DIV/0!</v>
      </c>
      <c r="O1064" s="178">
        <f>NETWORKDAYS(Table1[[#This Row],[Planned Start Date]],Table1[[#This Row],[Planned End Date]])</f>
        <v>0</v>
      </c>
      <c r="P1064" s="178">
        <f>NETWORKDAYS(Table1[[#This Row],[Planned Start Date]],$P$7)</f>
        <v>30643</v>
      </c>
      <c r="Q1064" s="129"/>
      <c r="R1064" s="183" t="str">
        <f>IF(Table1[[#This Row],[Actual Effort (Hours)]]="","",IF(Table1[[#This Row],[Estimated Effort (Hours)]]&lt;20,"L1",IF(Table1[[#This Row],[Estimated Effort (Hours)]]&lt;50,"L2",IF(Table1[[#This Row],[Estimated Effort (Hours)]]&lt;150,"L3",IF(Table1[[#This Row],[Estimated Effort (Hours)]]&lt;300,"L4","L5")))))</f>
        <v/>
      </c>
      <c r="S1064" s="184" t="str">
        <f>IF(Table1[[#This Row],[Actual End Date]]="","",TEXT(Table1[[#This Row],[Actual End Date]],"mmm-yy"))</f>
        <v/>
      </c>
      <c r="T10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4" s="185" t="str">
        <f>IFERROR((Table1[[#This Row],[Actual Effort (Hours)]]-Table1[[#This Row],[Estimated Effort (Hours)]])/Table1[[#This Row],[Estimated Effort (Hours)]],"")</f>
        <v/>
      </c>
    </row>
    <row r="1065" spans="2:21">
      <c r="B1065" s="125"/>
      <c r="C1065" s="123"/>
      <c r="D1065" s="143"/>
      <c r="E1065" s="123"/>
      <c r="F1065" s="143"/>
      <c r="G1065" s="129"/>
      <c r="H1065" s="124"/>
      <c r="I1065" s="124"/>
      <c r="J1065" s="129"/>
      <c r="K1065" s="194"/>
      <c r="L1065" s="194"/>
      <c r="M1065" s="129"/>
      <c r="N1065" s="129" t="e">
        <f>Table1[[#This Row],[Estimated Effort (Hours)]]/NETWORKDAYS(Table1[[#This Row],[Planned Start Date]],Table1[[#This Row],[Planned End Date]])</f>
        <v>#DIV/0!</v>
      </c>
      <c r="O1065" s="178">
        <f>NETWORKDAYS(Table1[[#This Row],[Planned Start Date]],Table1[[#This Row],[Planned End Date]])</f>
        <v>0</v>
      </c>
      <c r="P1065" s="178">
        <f>NETWORKDAYS(Table1[[#This Row],[Planned Start Date]],$P$7)</f>
        <v>30643</v>
      </c>
      <c r="Q1065" s="129"/>
      <c r="R1065" s="183" t="str">
        <f>IF(Table1[[#This Row],[Actual Effort (Hours)]]="","",IF(Table1[[#This Row],[Estimated Effort (Hours)]]&lt;20,"L1",IF(Table1[[#This Row],[Estimated Effort (Hours)]]&lt;50,"L2",IF(Table1[[#This Row],[Estimated Effort (Hours)]]&lt;150,"L3",IF(Table1[[#This Row],[Estimated Effort (Hours)]]&lt;300,"L4","L5")))))</f>
        <v/>
      </c>
      <c r="S1065" s="184" t="str">
        <f>IF(Table1[[#This Row],[Actual End Date]]="","",TEXT(Table1[[#This Row],[Actual End Date]],"mmm-yy"))</f>
        <v/>
      </c>
      <c r="T10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5" s="185" t="str">
        <f>IFERROR((Table1[[#This Row],[Actual Effort (Hours)]]-Table1[[#This Row],[Estimated Effort (Hours)]])/Table1[[#This Row],[Estimated Effort (Hours)]],"")</f>
        <v/>
      </c>
    </row>
    <row r="1066" spans="2:21">
      <c r="B1066" s="125"/>
      <c r="C1066" s="123"/>
      <c r="D1066" s="143"/>
      <c r="E1066" s="123"/>
      <c r="F1066" s="143"/>
      <c r="G1066" s="129"/>
      <c r="H1066" s="124"/>
      <c r="I1066" s="124"/>
      <c r="J1066" s="129"/>
      <c r="K1066" s="194"/>
      <c r="L1066" s="194"/>
      <c r="M1066" s="129"/>
      <c r="N1066" s="129" t="e">
        <f>Table1[[#This Row],[Estimated Effort (Hours)]]/NETWORKDAYS(Table1[[#This Row],[Planned Start Date]],Table1[[#This Row],[Planned End Date]])</f>
        <v>#DIV/0!</v>
      </c>
      <c r="O1066" s="178">
        <f>NETWORKDAYS(Table1[[#This Row],[Planned Start Date]],Table1[[#This Row],[Planned End Date]])</f>
        <v>0</v>
      </c>
      <c r="P1066" s="178">
        <f>NETWORKDAYS(Table1[[#This Row],[Planned Start Date]],$P$7)</f>
        <v>30643</v>
      </c>
      <c r="Q1066" s="129"/>
      <c r="R1066" s="183" t="str">
        <f>IF(Table1[[#This Row],[Actual Effort (Hours)]]="","",IF(Table1[[#This Row],[Estimated Effort (Hours)]]&lt;20,"L1",IF(Table1[[#This Row],[Estimated Effort (Hours)]]&lt;50,"L2",IF(Table1[[#This Row],[Estimated Effort (Hours)]]&lt;150,"L3",IF(Table1[[#This Row],[Estimated Effort (Hours)]]&lt;300,"L4","L5")))))</f>
        <v/>
      </c>
      <c r="S1066" s="184" t="str">
        <f>IF(Table1[[#This Row],[Actual End Date]]="","",TEXT(Table1[[#This Row],[Actual End Date]],"mmm-yy"))</f>
        <v/>
      </c>
      <c r="T10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6" s="185" t="str">
        <f>IFERROR((Table1[[#This Row],[Actual Effort (Hours)]]-Table1[[#This Row],[Estimated Effort (Hours)]])/Table1[[#This Row],[Estimated Effort (Hours)]],"")</f>
        <v/>
      </c>
    </row>
    <row r="1067" spans="2:21">
      <c r="B1067" s="125"/>
      <c r="C1067" s="123"/>
      <c r="D1067" s="143"/>
      <c r="E1067" s="123"/>
      <c r="F1067" s="143"/>
      <c r="G1067" s="129"/>
      <c r="H1067" s="124"/>
      <c r="I1067" s="124"/>
      <c r="J1067" s="129"/>
      <c r="K1067" s="194"/>
      <c r="L1067" s="194"/>
      <c r="M1067" s="129"/>
      <c r="N1067" s="129" t="e">
        <f>Table1[[#This Row],[Estimated Effort (Hours)]]/NETWORKDAYS(Table1[[#This Row],[Planned Start Date]],Table1[[#This Row],[Planned End Date]])</f>
        <v>#DIV/0!</v>
      </c>
      <c r="O1067" s="178">
        <f>NETWORKDAYS(Table1[[#This Row],[Planned Start Date]],Table1[[#This Row],[Planned End Date]])</f>
        <v>0</v>
      </c>
      <c r="P1067" s="178">
        <f>NETWORKDAYS(Table1[[#This Row],[Planned Start Date]],$P$7)</f>
        <v>30643</v>
      </c>
      <c r="Q1067" s="129"/>
      <c r="R1067" s="183" t="str">
        <f>IF(Table1[[#This Row],[Actual Effort (Hours)]]="","",IF(Table1[[#This Row],[Estimated Effort (Hours)]]&lt;20,"L1",IF(Table1[[#This Row],[Estimated Effort (Hours)]]&lt;50,"L2",IF(Table1[[#This Row],[Estimated Effort (Hours)]]&lt;150,"L3",IF(Table1[[#This Row],[Estimated Effort (Hours)]]&lt;300,"L4","L5")))))</f>
        <v/>
      </c>
      <c r="S1067" s="184" t="str">
        <f>IF(Table1[[#This Row],[Actual End Date]]="","",TEXT(Table1[[#This Row],[Actual End Date]],"mmm-yy"))</f>
        <v/>
      </c>
      <c r="T10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7" s="185" t="str">
        <f>IFERROR((Table1[[#This Row],[Actual Effort (Hours)]]-Table1[[#This Row],[Estimated Effort (Hours)]])/Table1[[#This Row],[Estimated Effort (Hours)]],"")</f>
        <v/>
      </c>
    </row>
    <row r="1068" spans="2:21">
      <c r="B1068" s="125"/>
      <c r="C1068" s="123"/>
      <c r="D1068" s="143"/>
      <c r="E1068" s="123"/>
      <c r="F1068" s="143"/>
      <c r="G1068" s="129"/>
      <c r="H1068" s="124"/>
      <c r="I1068" s="124"/>
      <c r="J1068" s="129"/>
      <c r="K1068" s="194"/>
      <c r="L1068" s="194"/>
      <c r="M1068" s="129"/>
      <c r="N1068" s="129" t="e">
        <f>Table1[[#This Row],[Estimated Effort (Hours)]]/NETWORKDAYS(Table1[[#This Row],[Planned Start Date]],Table1[[#This Row],[Planned End Date]])</f>
        <v>#DIV/0!</v>
      </c>
      <c r="O1068" s="178">
        <f>NETWORKDAYS(Table1[[#This Row],[Planned Start Date]],Table1[[#This Row],[Planned End Date]])</f>
        <v>0</v>
      </c>
      <c r="P1068" s="178">
        <f>NETWORKDAYS(Table1[[#This Row],[Planned Start Date]],$P$7)</f>
        <v>30643</v>
      </c>
      <c r="Q1068" s="129"/>
      <c r="R1068" s="183" t="str">
        <f>IF(Table1[[#This Row],[Actual Effort (Hours)]]="","",IF(Table1[[#This Row],[Estimated Effort (Hours)]]&lt;20,"L1",IF(Table1[[#This Row],[Estimated Effort (Hours)]]&lt;50,"L2",IF(Table1[[#This Row],[Estimated Effort (Hours)]]&lt;150,"L3",IF(Table1[[#This Row],[Estimated Effort (Hours)]]&lt;300,"L4","L5")))))</f>
        <v/>
      </c>
      <c r="S1068" s="184" t="str">
        <f>IF(Table1[[#This Row],[Actual End Date]]="","",TEXT(Table1[[#This Row],[Actual End Date]],"mmm-yy"))</f>
        <v/>
      </c>
      <c r="T10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8" s="185" t="str">
        <f>IFERROR((Table1[[#This Row],[Actual Effort (Hours)]]-Table1[[#This Row],[Estimated Effort (Hours)]])/Table1[[#This Row],[Estimated Effort (Hours)]],"")</f>
        <v/>
      </c>
    </row>
    <row r="1069" spans="2:21">
      <c r="B1069" s="125"/>
      <c r="C1069" s="123"/>
      <c r="D1069" s="143"/>
      <c r="E1069" s="123"/>
      <c r="F1069" s="143"/>
      <c r="G1069" s="129"/>
      <c r="H1069" s="124"/>
      <c r="I1069" s="124"/>
      <c r="J1069" s="129"/>
      <c r="K1069" s="194"/>
      <c r="L1069" s="194"/>
      <c r="M1069" s="129"/>
      <c r="N1069" s="129" t="e">
        <f>Table1[[#This Row],[Estimated Effort (Hours)]]/NETWORKDAYS(Table1[[#This Row],[Planned Start Date]],Table1[[#This Row],[Planned End Date]])</f>
        <v>#DIV/0!</v>
      </c>
      <c r="O1069" s="178">
        <f>NETWORKDAYS(Table1[[#This Row],[Planned Start Date]],Table1[[#This Row],[Planned End Date]])</f>
        <v>0</v>
      </c>
      <c r="P1069" s="178">
        <f>NETWORKDAYS(Table1[[#This Row],[Planned Start Date]],$P$7)</f>
        <v>30643</v>
      </c>
      <c r="Q1069" s="129"/>
      <c r="R1069" s="183" t="str">
        <f>IF(Table1[[#This Row],[Actual Effort (Hours)]]="","",IF(Table1[[#This Row],[Estimated Effort (Hours)]]&lt;20,"L1",IF(Table1[[#This Row],[Estimated Effort (Hours)]]&lt;50,"L2",IF(Table1[[#This Row],[Estimated Effort (Hours)]]&lt;150,"L3",IF(Table1[[#This Row],[Estimated Effort (Hours)]]&lt;300,"L4","L5")))))</f>
        <v/>
      </c>
      <c r="S1069" s="184" t="str">
        <f>IF(Table1[[#This Row],[Actual End Date]]="","",TEXT(Table1[[#This Row],[Actual End Date]],"mmm-yy"))</f>
        <v/>
      </c>
      <c r="T10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69" s="185" t="str">
        <f>IFERROR((Table1[[#This Row],[Actual Effort (Hours)]]-Table1[[#This Row],[Estimated Effort (Hours)]])/Table1[[#This Row],[Estimated Effort (Hours)]],"")</f>
        <v/>
      </c>
    </row>
    <row r="1070" spans="2:21">
      <c r="B1070" s="125"/>
      <c r="C1070" s="123"/>
      <c r="D1070" s="143"/>
      <c r="E1070" s="123"/>
      <c r="F1070" s="143"/>
      <c r="G1070" s="129"/>
      <c r="H1070" s="124"/>
      <c r="I1070" s="124"/>
      <c r="J1070" s="129"/>
      <c r="K1070" s="194"/>
      <c r="L1070" s="194"/>
      <c r="M1070" s="129"/>
      <c r="N1070" s="129" t="e">
        <f>Table1[[#This Row],[Estimated Effort (Hours)]]/NETWORKDAYS(Table1[[#This Row],[Planned Start Date]],Table1[[#This Row],[Planned End Date]])</f>
        <v>#DIV/0!</v>
      </c>
      <c r="O1070" s="178">
        <f>NETWORKDAYS(Table1[[#This Row],[Planned Start Date]],Table1[[#This Row],[Planned End Date]])</f>
        <v>0</v>
      </c>
      <c r="P1070" s="178">
        <f>NETWORKDAYS(Table1[[#This Row],[Planned Start Date]],$P$7)</f>
        <v>30643</v>
      </c>
      <c r="Q1070" s="129"/>
      <c r="R1070" s="183" t="str">
        <f>IF(Table1[[#This Row],[Actual Effort (Hours)]]="","",IF(Table1[[#This Row],[Estimated Effort (Hours)]]&lt;20,"L1",IF(Table1[[#This Row],[Estimated Effort (Hours)]]&lt;50,"L2",IF(Table1[[#This Row],[Estimated Effort (Hours)]]&lt;150,"L3",IF(Table1[[#This Row],[Estimated Effort (Hours)]]&lt;300,"L4","L5")))))</f>
        <v/>
      </c>
      <c r="S1070" s="184" t="str">
        <f>IF(Table1[[#This Row],[Actual End Date]]="","",TEXT(Table1[[#This Row],[Actual End Date]],"mmm-yy"))</f>
        <v/>
      </c>
      <c r="T10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0" s="185" t="str">
        <f>IFERROR((Table1[[#This Row],[Actual Effort (Hours)]]-Table1[[#This Row],[Estimated Effort (Hours)]])/Table1[[#This Row],[Estimated Effort (Hours)]],"")</f>
        <v/>
      </c>
    </row>
    <row r="1071" spans="2:21">
      <c r="B1071" s="125"/>
      <c r="C1071" s="123"/>
      <c r="D1071" s="143"/>
      <c r="E1071" s="123"/>
      <c r="F1071" s="143"/>
      <c r="G1071" s="129"/>
      <c r="H1071" s="124"/>
      <c r="I1071" s="124"/>
      <c r="J1071" s="129"/>
      <c r="K1071" s="194"/>
      <c r="L1071" s="194"/>
      <c r="M1071" s="129"/>
      <c r="N1071" s="129" t="e">
        <f>Table1[[#This Row],[Estimated Effort (Hours)]]/NETWORKDAYS(Table1[[#This Row],[Planned Start Date]],Table1[[#This Row],[Planned End Date]])</f>
        <v>#DIV/0!</v>
      </c>
      <c r="O1071" s="178">
        <f>NETWORKDAYS(Table1[[#This Row],[Planned Start Date]],Table1[[#This Row],[Planned End Date]])</f>
        <v>0</v>
      </c>
      <c r="P1071" s="178">
        <f>NETWORKDAYS(Table1[[#This Row],[Planned Start Date]],$P$7)</f>
        <v>30643</v>
      </c>
      <c r="Q1071" s="129"/>
      <c r="R1071" s="183" t="str">
        <f>IF(Table1[[#This Row],[Actual Effort (Hours)]]="","",IF(Table1[[#This Row],[Estimated Effort (Hours)]]&lt;20,"L1",IF(Table1[[#This Row],[Estimated Effort (Hours)]]&lt;50,"L2",IF(Table1[[#This Row],[Estimated Effort (Hours)]]&lt;150,"L3",IF(Table1[[#This Row],[Estimated Effort (Hours)]]&lt;300,"L4","L5")))))</f>
        <v/>
      </c>
      <c r="S1071" s="184" t="str">
        <f>IF(Table1[[#This Row],[Actual End Date]]="","",TEXT(Table1[[#This Row],[Actual End Date]],"mmm-yy"))</f>
        <v/>
      </c>
      <c r="T10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1" s="185" t="str">
        <f>IFERROR((Table1[[#This Row],[Actual Effort (Hours)]]-Table1[[#This Row],[Estimated Effort (Hours)]])/Table1[[#This Row],[Estimated Effort (Hours)]],"")</f>
        <v/>
      </c>
    </row>
    <row r="1072" spans="2:21">
      <c r="B1072" s="125"/>
      <c r="C1072" s="123"/>
      <c r="D1072" s="143"/>
      <c r="E1072" s="123"/>
      <c r="F1072" s="143"/>
      <c r="G1072" s="129"/>
      <c r="H1072" s="124"/>
      <c r="I1072" s="124"/>
      <c r="J1072" s="129"/>
      <c r="K1072" s="194"/>
      <c r="L1072" s="194"/>
      <c r="M1072" s="129"/>
      <c r="N1072" s="129" t="e">
        <f>Table1[[#This Row],[Estimated Effort (Hours)]]/NETWORKDAYS(Table1[[#This Row],[Planned Start Date]],Table1[[#This Row],[Planned End Date]])</f>
        <v>#DIV/0!</v>
      </c>
      <c r="O1072" s="178">
        <f>NETWORKDAYS(Table1[[#This Row],[Planned Start Date]],Table1[[#This Row],[Planned End Date]])</f>
        <v>0</v>
      </c>
      <c r="P1072" s="178">
        <f>NETWORKDAYS(Table1[[#This Row],[Planned Start Date]],$P$7)</f>
        <v>30643</v>
      </c>
      <c r="Q1072" s="129"/>
      <c r="R1072" s="183" t="str">
        <f>IF(Table1[[#This Row],[Actual Effort (Hours)]]="","",IF(Table1[[#This Row],[Estimated Effort (Hours)]]&lt;20,"L1",IF(Table1[[#This Row],[Estimated Effort (Hours)]]&lt;50,"L2",IF(Table1[[#This Row],[Estimated Effort (Hours)]]&lt;150,"L3",IF(Table1[[#This Row],[Estimated Effort (Hours)]]&lt;300,"L4","L5")))))</f>
        <v/>
      </c>
      <c r="S1072" s="184" t="str">
        <f>IF(Table1[[#This Row],[Actual End Date]]="","",TEXT(Table1[[#This Row],[Actual End Date]],"mmm-yy"))</f>
        <v/>
      </c>
      <c r="T10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2" s="185" t="str">
        <f>IFERROR((Table1[[#This Row],[Actual Effort (Hours)]]-Table1[[#This Row],[Estimated Effort (Hours)]])/Table1[[#This Row],[Estimated Effort (Hours)]],"")</f>
        <v/>
      </c>
    </row>
    <row r="1073" spans="2:21">
      <c r="B1073" s="125"/>
      <c r="C1073" s="123"/>
      <c r="D1073" s="143"/>
      <c r="E1073" s="123"/>
      <c r="F1073" s="143"/>
      <c r="G1073" s="129"/>
      <c r="H1073" s="124"/>
      <c r="I1073" s="124"/>
      <c r="J1073" s="129"/>
      <c r="K1073" s="194"/>
      <c r="L1073" s="194"/>
      <c r="M1073" s="129"/>
      <c r="N1073" s="129" t="e">
        <f>Table1[[#This Row],[Estimated Effort (Hours)]]/NETWORKDAYS(Table1[[#This Row],[Planned Start Date]],Table1[[#This Row],[Planned End Date]])</f>
        <v>#DIV/0!</v>
      </c>
      <c r="O1073" s="178">
        <f>NETWORKDAYS(Table1[[#This Row],[Planned Start Date]],Table1[[#This Row],[Planned End Date]])</f>
        <v>0</v>
      </c>
      <c r="P1073" s="178">
        <f>NETWORKDAYS(Table1[[#This Row],[Planned Start Date]],$P$7)</f>
        <v>30643</v>
      </c>
      <c r="Q1073" s="129"/>
      <c r="R1073" s="183" t="str">
        <f>IF(Table1[[#This Row],[Actual Effort (Hours)]]="","",IF(Table1[[#This Row],[Estimated Effort (Hours)]]&lt;20,"L1",IF(Table1[[#This Row],[Estimated Effort (Hours)]]&lt;50,"L2",IF(Table1[[#This Row],[Estimated Effort (Hours)]]&lt;150,"L3",IF(Table1[[#This Row],[Estimated Effort (Hours)]]&lt;300,"L4","L5")))))</f>
        <v/>
      </c>
      <c r="S1073" s="184" t="str">
        <f>IF(Table1[[#This Row],[Actual End Date]]="","",TEXT(Table1[[#This Row],[Actual End Date]],"mmm-yy"))</f>
        <v/>
      </c>
      <c r="T10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3" s="185" t="str">
        <f>IFERROR((Table1[[#This Row],[Actual Effort (Hours)]]-Table1[[#This Row],[Estimated Effort (Hours)]])/Table1[[#This Row],[Estimated Effort (Hours)]],"")</f>
        <v/>
      </c>
    </row>
    <row r="1074" spans="2:21">
      <c r="B1074" s="125"/>
      <c r="C1074" s="123"/>
      <c r="D1074" s="143"/>
      <c r="E1074" s="123"/>
      <c r="F1074" s="143"/>
      <c r="G1074" s="129"/>
      <c r="H1074" s="124"/>
      <c r="I1074" s="124"/>
      <c r="J1074" s="129"/>
      <c r="K1074" s="194"/>
      <c r="L1074" s="194"/>
      <c r="M1074" s="129"/>
      <c r="N1074" s="129" t="e">
        <f>Table1[[#This Row],[Estimated Effort (Hours)]]/NETWORKDAYS(Table1[[#This Row],[Planned Start Date]],Table1[[#This Row],[Planned End Date]])</f>
        <v>#DIV/0!</v>
      </c>
      <c r="O1074" s="178">
        <f>NETWORKDAYS(Table1[[#This Row],[Planned Start Date]],Table1[[#This Row],[Planned End Date]])</f>
        <v>0</v>
      </c>
      <c r="P1074" s="178">
        <f>NETWORKDAYS(Table1[[#This Row],[Planned Start Date]],$P$7)</f>
        <v>30643</v>
      </c>
      <c r="Q1074" s="129"/>
      <c r="R1074" s="183" t="str">
        <f>IF(Table1[[#This Row],[Actual Effort (Hours)]]="","",IF(Table1[[#This Row],[Estimated Effort (Hours)]]&lt;20,"L1",IF(Table1[[#This Row],[Estimated Effort (Hours)]]&lt;50,"L2",IF(Table1[[#This Row],[Estimated Effort (Hours)]]&lt;150,"L3",IF(Table1[[#This Row],[Estimated Effort (Hours)]]&lt;300,"L4","L5")))))</f>
        <v/>
      </c>
      <c r="S1074" s="184" t="str">
        <f>IF(Table1[[#This Row],[Actual End Date]]="","",TEXT(Table1[[#This Row],[Actual End Date]],"mmm-yy"))</f>
        <v/>
      </c>
      <c r="T10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4" s="185" t="str">
        <f>IFERROR((Table1[[#This Row],[Actual Effort (Hours)]]-Table1[[#This Row],[Estimated Effort (Hours)]])/Table1[[#This Row],[Estimated Effort (Hours)]],"")</f>
        <v/>
      </c>
    </row>
    <row r="1075" spans="2:21">
      <c r="B1075" s="125"/>
      <c r="C1075" s="123"/>
      <c r="D1075" s="143"/>
      <c r="E1075" s="123"/>
      <c r="F1075" s="143"/>
      <c r="G1075" s="129"/>
      <c r="H1075" s="124"/>
      <c r="I1075" s="124"/>
      <c r="J1075" s="129"/>
      <c r="K1075" s="194"/>
      <c r="L1075" s="194"/>
      <c r="M1075" s="129"/>
      <c r="N1075" s="129" t="e">
        <f>Table1[[#This Row],[Estimated Effort (Hours)]]/NETWORKDAYS(Table1[[#This Row],[Planned Start Date]],Table1[[#This Row],[Planned End Date]])</f>
        <v>#DIV/0!</v>
      </c>
      <c r="O1075" s="178">
        <f>NETWORKDAYS(Table1[[#This Row],[Planned Start Date]],Table1[[#This Row],[Planned End Date]])</f>
        <v>0</v>
      </c>
      <c r="P1075" s="178">
        <f>NETWORKDAYS(Table1[[#This Row],[Planned Start Date]],$P$7)</f>
        <v>30643</v>
      </c>
      <c r="Q1075" s="129"/>
      <c r="R1075" s="183" t="str">
        <f>IF(Table1[[#This Row],[Actual Effort (Hours)]]="","",IF(Table1[[#This Row],[Estimated Effort (Hours)]]&lt;20,"L1",IF(Table1[[#This Row],[Estimated Effort (Hours)]]&lt;50,"L2",IF(Table1[[#This Row],[Estimated Effort (Hours)]]&lt;150,"L3",IF(Table1[[#This Row],[Estimated Effort (Hours)]]&lt;300,"L4","L5")))))</f>
        <v/>
      </c>
      <c r="S1075" s="184" t="str">
        <f>IF(Table1[[#This Row],[Actual End Date]]="","",TEXT(Table1[[#This Row],[Actual End Date]],"mmm-yy"))</f>
        <v/>
      </c>
      <c r="T10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5" s="185" t="str">
        <f>IFERROR((Table1[[#This Row],[Actual Effort (Hours)]]-Table1[[#This Row],[Estimated Effort (Hours)]])/Table1[[#This Row],[Estimated Effort (Hours)]],"")</f>
        <v/>
      </c>
    </row>
    <row r="1076" spans="2:21">
      <c r="B1076" s="125"/>
      <c r="C1076" s="123"/>
      <c r="D1076" s="143"/>
      <c r="E1076" s="123"/>
      <c r="F1076" s="143"/>
      <c r="G1076" s="129"/>
      <c r="H1076" s="124"/>
      <c r="I1076" s="124"/>
      <c r="J1076" s="129"/>
      <c r="K1076" s="194"/>
      <c r="L1076" s="194"/>
      <c r="M1076" s="129"/>
      <c r="N1076" s="129" t="e">
        <f>Table1[[#This Row],[Estimated Effort (Hours)]]/NETWORKDAYS(Table1[[#This Row],[Planned Start Date]],Table1[[#This Row],[Planned End Date]])</f>
        <v>#DIV/0!</v>
      </c>
      <c r="O1076" s="178">
        <f>NETWORKDAYS(Table1[[#This Row],[Planned Start Date]],Table1[[#This Row],[Planned End Date]])</f>
        <v>0</v>
      </c>
      <c r="P1076" s="178">
        <f>NETWORKDAYS(Table1[[#This Row],[Planned Start Date]],$P$7)</f>
        <v>30643</v>
      </c>
      <c r="Q1076" s="129"/>
      <c r="R1076" s="183" t="str">
        <f>IF(Table1[[#This Row],[Actual Effort (Hours)]]="","",IF(Table1[[#This Row],[Estimated Effort (Hours)]]&lt;20,"L1",IF(Table1[[#This Row],[Estimated Effort (Hours)]]&lt;50,"L2",IF(Table1[[#This Row],[Estimated Effort (Hours)]]&lt;150,"L3",IF(Table1[[#This Row],[Estimated Effort (Hours)]]&lt;300,"L4","L5")))))</f>
        <v/>
      </c>
      <c r="S1076" s="184" t="str">
        <f>IF(Table1[[#This Row],[Actual End Date]]="","",TEXT(Table1[[#This Row],[Actual End Date]],"mmm-yy"))</f>
        <v/>
      </c>
      <c r="T10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6" s="185" t="str">
        <f>IFERROR((Table1[[#This Row],[Actual Effort (Hours)]]-Table1[[#This Row],[Estimated Effort (Hours)]])/Table1[[#This Row],[Estimated Effort (Hours)]],"")</f>
        <v/>
      </c>
    </row>
    <row r="1077" spans="2:21">
      <c r="B1077" s="125"/>
      <c r="C1077" s="123"/>
      <c r="D1077" s="143"/>
      <c r="E1077" s="123"/>
      <c r="F1077" s="143"/>
      <c r="G1077" s="129"/>
      <c r="H1077" s="124"/>
      <c r="I1077" s="124"/>
      <c r="J1077" s="129"/>
      <c r="K1077" s="194"/>
      <c r="L1077" s="194"/>
      <c r="M1077" s="129"/>
      <c r="N1077" s="129" t="e">
        <f>Table1[[#This Row],[Estimated Effort (Hours)]]/NETWORKDAYS(Table1[[#This Row],[Planned Start Date]],Table1[[#This Row],[Planned End Date]])</f>
        <v>#DIV/0!</v>
      </c>
      <c r="O1077" s="178">
        <f>NETWORKDAYS(Table1[[#This Row],[Planned Start Date]],Table1[[#This Row],[Planned End Date]])</f>
        <v>0</v>
      </c>
      <c r="P1077" s="178">
        <f>NETWORKDAYS(Table1[[#This Row],[Planned Start Date]],$P$7)</f>
        <v>30643</v>
      </c>
      <c r="Q1077" s="129"/>
      <c r="R1077" s="183" t="str">
        <f>IF(Table1[[#This Row],[Actual Effort (Hours)]]="","",IF(Table1[[#This Row],[Estimated Effort (Hours)]]&lt;20,"L1",IF(Table1[[#This Row],[Estimated Effort (Hours)]]&lt;50,"L2",IF(Table1[[#This Row],[Estimated Effort (Hours)]]&lt;150,"L3",IF(Table1[[#This Row],[Estimated Effort (Hours)]]&lt;300,"L4","L5")))))</f>
        <v/>
      </c>
      <c r="S1077" s="184" t="str">
        <f>IF(Table1[[#This Row],[Actual End Date]]="","",TEXT(Table1[[#This Row],[Actual End Date]],"mmm-yy"))</f>
        <v/>
      </c>
      <c r="T10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7" s="185" t="str">
        <f>IFERROR((Table1[[#This Row],[Actual Effort (Hours)]]-Table1[[#This Row],[Estimated Effort (Hours)]])/Table1[[#This Row],[Estimated Effort (Hours)]],"")</f>
        <v/>
      </c>
    </row>
    <row r="1078" spans="2:21">
      <c r="B1078" s="125"/>
      <c r="C1078" s="123"/>
      <c r="D1078" s="143"/>
      <c r="E1078" s="123"/>
      <c r="F1078" s="143"/>
      <c r="G1078" s="129"/>
      <c r="H1078" s="124"/>
      <c r="I1078" s="124"/>
      <c r="J1078" s="129"/>
      <c r="K1078" s="194"/>
      <c r="L1078" s="194"/>
      <c r="M1078" s="129"/>
      <c r="N1078" s="129" t="e">
        <f>Table1[[#This Row],[Estimated Effort (Hours)]]/NETWORKDAYS(Table1[[#This Row],[Planned Start Date]],Table1[[#This Row],[Planned End Date]])</f>
        <v>#DIV/0!</v>
      </c>
      <c r="O1078" s="178">
        <f>NETWORKDAYS(Table1[[#This Row],[Planned Start Date]],Table1[[#This Row],[Planned End Date]])</f>
        <v>0</v>
      </c>
      <c r="P1078" s="178">
        <f>NETWORKDAYS(Table1[[#This Row],[Planned Start Date]],$P$7)</f>
        <v>30643</v>
      </c>
      <c r="Q1078" s="129"/>
      <c r="R1078" s="183" t="str">
        <f>IF(Table1[[#This Row],[Actual Effort (Hours)]]="","",IF(Table1[[#This Row],[Estimated Effort (Hours)]]&lt;20,"L1",IF(Table1[[#This Row],[Estimated Effort (Hours)]]&lt;50,"L2",IF(Table1[[#This Row],[Estimated Effort (Hours)]]&lt;150,"L3",IF(Table1[[#This Row],[Estimated Effort (Hours)]]&lt;300,"L4","L5")))))</f>
        <v/>
      </c>
      <c r="S1078" s="184" t="str">
        <f>IF(Table1[[#This Row],[Actual End Date]]="","",TEXT(Table1[[#This Row],[Actual End Date]],"mmm-yy"))</f>
        <v/>
      </c>
      <c r="T10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8" s="185" t="str">
        <f>IFERROR((Table1[[#This Row],[Actual Effort (Hours)]]-Table1[[#This Row],[Estimated Effort (Hours)]])/Table1[[#This Row],[Estimated Effort (Hours)]],"")</f>
        <v/>
      </c>
    </row>
    <row r="1079" spans="2:21">
      <c r="B1079" s="125"/>
      <c r="C1079" s="123"/>
      <c r="D1079" s="143"/>
      <c r="E1079" s="123"/>
      <c r="F1079" s="143"/>
      <c r="G1079" s="129"/>
      <c r="H1079" s="124"/>
      <c r="I1079" s="124"/>
      <c r="J1079" s="129"/>
      <c r="K1079" s="194"/>
      <c r="L1079" s="194"/>
      <c r="M1079" s="129"/>
      <c r="N1079" s="129" t="e">
        <f>Table1[[#This Row],[Estimated Effort (Hours)]]/NETWORKDAYS(Table1[[#This Row],[Planned Start Date]],Table1[[#This Row],[Planned End Date]])</f>
        <v>#DIV/0!</v>
      </c>
      <c r="O1079" s="178">
        <f>NETWORKDAYS(Table1[[#This Row],[Planned Start Date]],Table1[[#This Row],[Planned End Date]])</f>
        <v>0</v>
      </c>
      <c r="P1079" s="178">
        <f>NETWORKDAYS(Table1[[#This Row],[Planned Start Date]],$P$7)</f>
        <v>30643</v>
      </c>
      <c r="Q1079" s="129"/>
      <c r="R1079" s="183" t="str">
        <f>IF(Table1[[#This Row],[Actual Effort (Hours)]]="","",IF(Table1[[#This Row],[Estimated Effort (Hours)]]&lt;20,"L1",IF(Table1[[#This Row],[Estimated Effort (Hours)]]&lt;50,"L2",IF(Table1[[#This Row],[Estimated Effort (Hours)]]&lt;150,"L3",IF(Table1[[#This Row],[Estimated Effort (Hours)]]&lt;300,"L4","L5")))))</f>
        <v/>
      </c>
      <c r="S1079" s="184" t="str">
        <f>IF(Table1[[#This Row],[Actual End Date]]="","",TEXT(Table1[[#This Row],[Actual End Date]],"mmm-yy"))</f>
        <v/>
      </c>
      <c r="T10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79" s="185" t="str">
        <f>IFERROR((Table1[[#This Row],[Actual Effort (Hours)]]-Table1[[#This Row],[Estimated Effort (Hours)]])/Table1[[#This Row],[Estimated Effort (Hours)]],"")</f>
        <v/>
      </c>
    </row>
    <row r="1080" spans="2:21">
      <c r="B1080" s="125"/>
      <c r="C1080" s="123"/>
      <c r="D1080" s="143"/>
      <c r="E1080" s="123"/>
      <c r="F1080" s="143"/>
      <c r="G1080" s="129"/>
      <c r="H1080" s="124"/>
      <c r="I1080" s="124"/>
      <c r="J1080" s="129"/>
      <c r="K1080" s="194"/>
      <c r="L1080" s="194"/>
      <c r="M1080" s="129"/>
      <c r="N1080" s="129" t="e">
        <f>Table1[[#This Row],[Estimated Effort (Hours)]]/NETWORKDAYS(Table1[[#This Row],[Planned Start Date]],Table1[[#This Row],[Planned End Date]])</f>
        <v>#DIV/0!</v>
      </c>
      <c r="O1080" s="178">
        <f>NETWORKDAYS(Table1[[#This Row],[Planned Start Date]],Table1[[#This Row],[Planned End Date]])</f>
        <v>0</v>
      </c>
      <c r="P1080" s="178">
        <f>NETWORKDAYS(Table1[[#This Row],[Planned Start Date]],$P$7)</f>
        <v>30643</v>
      </c>
      <c r="Q1080" s="129"/>
      <c r="R1080" s="183" t="str">
        <f>IF(Table1[[#This Row],[Actual Effort (Hours)]]="","",IF(Table1[[#This Row],[Estimated Effort (Hours)]]&lt;20,"L1",IF(Table1[[#This Row],[Estimated Effort (Hours)]]&lt;50,"L2",IF(Table1[[#This Row],[Estimated Effort (Hours)]]&lt;150,"L3",IF(Table1[[#This Row],[Estimated Effort (Hours)]]&lt;300,"L4","L5")))))</f>
        <v/>
      </c>
      <c r="S1080" s="184" t="str">
        <f>IF(Table1[[#This Row],[Actual End Date]]="","",TEXT(Table1[[#This Row],[Actual End Date]],"mmm-yy"))</f>
        <v/>
      </c>
      <c r="T10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0" s="185" t="str">
        <f>IFERROR((Table1[[#This Row],[Actual Effort (Hours)]]-Table1[[#This Row],[Estimated Effort (Hours)]])/Table1[[#This Row],[Estimated Effort (Hours)]],"")</f>
        <v/>
      </c>
    </row>
    <row r="1081" spans="2:21">
      <c r="B1081" s="125"/>
      <c r="C1081" s="123"/>
      <c r="D1081" s="143"/>
      <c r="E1081" s="123"/>
      <c r="F1081" s="143"/>
      <c r="G1081" s="129"/>
      <c r="H1081" s="124"/>
      <c r="I1081" s="124"/>
      <c r="J1081" s="129"/>
      <c r="K1081" s="194"/>
      <c r="L1081" s="194"/>
      <c r="M1081" s="129"/>
      <c r="N1081" s="129" t="e">
        <f>Table1[[#This Row],[Estimated Effort (Hours)]]/NETWORKDAYS(Table1[[#This Row],[Planned Start Date]],Table1[[#This Row],[Planned End Date]])</f>
        <v>#DIV/0!</v>
      </c>
      <c r="O1081" s="178">
        <f>NETWORKDAYS(Table1[[#This Row],[Planned Start Date]],Table1[[#This Row],[Planned End Date]])</f>
        <v>0</v>
      </c>
      <c r="P1081" s="178">
        <f>NETWORKDAYS(Table1[[#This Row],[Planned Start Date]],$P$7)</f>
        <v>30643</v>
      </c>
      <c r="Q1081" s="129"/>
      <c r="R1081" s="183" t="str">
        <f>IF(Table1[[#This Row],[Actual Effort (Hours)]]="","",IF(Table1[[#This Row],[Estimated Effort (Hours)]]&lt;20,"L1",IF(Table1[[#This Row],[Estimated Effort (Hours)]]&lt;50,"L2",IF(Table1[[#This Row],[Estimated Effort (Hours)]]&lt;150,"L3",IF(Table1[[#This Row],[Estimated Effort (Hours)]]&lt;300,"L4","L5")))))</f>
        <v/>
      </c>
      <c r="S1081" s="184" t="str">
        <f>IF(Table1[[#This Row],[Actual End Date]]="","",TEXT(Table1[[#This Row],[Actual End Date]],"mmm-yy"))</f>
        <v/>
      </c>
      <c r="T10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1" s="185" t="str">
        <f>IFERROR((Table1[[#This Row],[Actual Effort (Hours)]]-Table1[[#This Row],[Estimated Effort (Hours)]])/Table1[[#This Row],[Estimated Effort (Hours)]],"")</f>
        <v/>
      </c>
    </row>
    <row r="1082" spans="2:21">
      <c r="B1082" s="125"/>
      <c r="C1082" s="123"/>
      <c r="D1082" s="143"/>
      <c r="E1082" s="123"/>
      <c r="F1082" s="143"/>
      <c r="G1082" s="129"/>
      <c r="H1082" s="124"/>
      <c r="I1082" s="124"/>
      <c r="J1082" s="129"/>
      <c r="K1082" s="194"/>
      <c r="L1082" s="194"/>
      <c r="M1082" s="129"/>
      <c r="N1082" s="129" t="e">
        <f>Table1[[#This Row],[Estimated Effort (Hours)]]/NETWORKDAYS(Table1[[#This Row],[Planned Start Date]],Table1[[#This Row],[Planned End Date]])</f>
        <v>#DIV/0!</v>
      </c>
      <c r="O1082" s="178">
        <f>NETWORKDAYS(Table1[[#This Row],[Planned Start Date]],Table1[[#This Row],[Planned End Date]])</f>
        <v>0</v>
      </c>
      <c r="P1082" s="178">
        <f>NETWORKDAYS(Table1[[#This Row],[Planned Start Date]],$P$7)</f>
        <v>30643</v>
      </c>
      <c r="Q1082" s="129"/>
      <c r="R1082" s="183" t="str">
        <f>IF(Table1[[#This Row],[Actual Effort (Hours)]]="","",IF(Table1[[#This Row],[Estimated Effort (Hours)]]&lt;20,"L1",IF(Table1[[#This Row],[Estimated Effort (Hours)]]&lt;50,"L2",IF(Table1[[#This Row],[Estimated Effort (Hours)]]&lt;150,"L3",IF(Table1[[#This Row],[Estimated Effort (Hours)]]&lt;300,"L4","L5")))))</f>
        <v/>
      </c>
      <c r="S1082" s="184" t="str">
        <f>IF(Table1[[#This Row],[Actual End Date]]="","",TEXT(Table1[[#This Row],[Actual End Date]],"mmm-yy"))</f>
        <v/>
      </c>
      <c r="T10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2" s="185" t="str">
        <f>IFERROR((Table1[[#This Row],[Actual Effort (Hours)]]-Table1[[#This Row],[Estimated Effort (Hours)]])/Table1[[#This Row],[Estimated Effort (Hours)]],"")</f>
        <v/>
      </c>
    </row>
    <row r="1083" spans="2:21">
      <c r="B1083" s="125"/>
      <c r="C1083" s="123"/>
      <c r="D1083" s="143"/>
      <c r="E1083" s="123"/>
      <c r="F1083" s="143"/>
      <c r="G1083" s="129"/>
      <c r="H1083" s="124"/>
      <c r="I1083" s="124"/>
      <c r="J1083" s="129"/>
      <c r="K1083" s="194"/>
      <c r="L1083" s="194"/>
      <c r="M1083" s="129"/>
      <c r="N1083" s="129" t="e">
        <f>Table1[[#This Row],[Estimated Effort (Hours)]]/NETWORKDAYS(Table1[[#This Row],[Planned Start Date]],Table1[[#This Row],[Planned End Date]])</f>
        <v>#DIV/0!</v>
      </c>
      <c r="O1083" s="178">
        <f>NETWORKDAYS(Table1[[#This Row],[Planned Start Date]],Table1[[#This Row],[Planned End Date]])</f>
        <v>0</v>
      </c>
      <c r="P1083" s="178">
        <f>NETWORKDAYS(Table1[[#This Row],[Planned Start Date]],$P$7)</f>
        <v>30643</v>
      </c>
      <c r="Q1083" s="129"/>
      <c r="R1083" s="183" t="str">
        <f>IF(Table1[[#This Row],[Actual Effort (Hours)]]="","",IF(Table1[[#This Row],[Estimated Effort (Hours)]]&lt;20,"L1",IF(Table1[[#This Row],[Estimated Effort (Hours)]]&lt;50,"L2",IF(Table1[[#This Row],[Estimated Effort (Hours)]]&lt;150,"L3",IF(Table1[[#This Row],[Estimated Effort (Hours)]]&lt;300,"L4","L5")))))</f>
        <v/>
      </c>
      <c r="S1083" s="184" t="str">
        <f>IF(Table1[[#This Row],[Actual End Date]]="","",TEXT(Table1[[#This Row],[Actual End Date]],"mmm-yy"))</f>
        <v/>
      </c>
      <c r="T10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3" s="185" t="str">
        <f>IFERROR((Table1[[#This Row],[Actual Effort (Hours)]]-Table1[[#This Row],[Estimated Effort (Hours)]])/Table1[[#This Row],[Estimated Effort (Hours)]],"")</f>
        <v/>
      </c>
    </row>
    <row r="1084" spans="2:21">
      <c r="B1084" s="125"/>
      <c r="C1084" s="123"/>
      <c r="D1084" s="143"/>
      <c r="E1084" s="123"/>
      <c r="F1084" s="143"/>
      <c r="G1084" s="129"/>
      <c r="H1084" s="124"/>
      <c r="I1084" s="124"/>
      <c r="J1084" s="129"/>
      <c r="K1084" s="194"/>
      <c r="L1084" s="194"/>
      <c r="M1084" s="129"/>
      <c r="N1084" s="129" t="e">
        <f>Table1[[#This Row],[Estimated Effort (Hours)]]/NETWORKDAYS(Table1[[#This Row],[Planned Start Date]],Table1[[#This Row],[Planned End Date]])</f>
        <v>#DIV/0!</v>
      </c>
      <c r="O1084" s="178">
        <f>NETWORKDAYS(Table1[[#This Row],[Planned Start Date]],Table1[[#This Row],[Planned End Date]])</f>
        <v>0</v>
      </c>
      <c r="P1084" s="178">
        <f>NETWORKDAYS(Table1[[#This Row],[Planned Start Date]],$P$7)</f>
        <v>30643</v>
      </c>
      <c r="Q1084" s="129"/>
      <c r="R1084" s="183" t="str">
        <f>IF(Table1[[#This Row],[Actual Effort (Hours)]]="","",IF(Table1[[#This Row],[Estimated Effort (Hours)]]&lt;20,"L1",IF(Table1[[#This Row],[Estimated Effort (Hours)]]&lt;50,"L2",IF(Table1[[#This Row],[Estimated Effort (Hours)]]&lt;150,"L3",IF(Table1[[#This Row],[Estimated Effort (Hours)]]&lt;300,"L4","L5")))))</f>
        <v/>
      </c>
      <c r="S1084" s="184" t="str">
        <f>IF(Table1[[#This Row],[Actual End Date]]="","",TEXT(Table1[[#This Row],[Actual End Date]],"mmm-yy"))</f>
        <v/>
      </c>
      <c r="T10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4" s="185" t="str">
        <f>IFERROR((Table1[[#This Row],[Actual Effort (Hours)]]-Table1[[#This Row],[Estimated Effort (Hours)]])/Table1[[#This Row],[Estimated Effort (Hours)]],"")</f>
        <v/>
      </c>
    </row>
    <row r="1085" spans="2:21">
      <c r="B1085" s="125"/>
      <c r="C1085" s="123"/>
      <c r="D1085" s="143"/>
      <c r="E1085" s="123"/>
      <c r="F1085" s="143"/>
      <c r="G1085" s="129"/>
      <c r="H1085" s="124"/>
      <c r="I1085" s="124"/>
      <c r="J1085" s="129"/>
      <c r="K1085" s="194"/>
      <c r="L1085" s="194"/>
      <c r="M1085" s="129"/>
      <c r="N1085" s="129" t="e">
        <f>Table1[[#This Row],[Estimated Effort (Hours)]]/NETWORKDAYS(Table1[[#This Row],[Planned Start Date]],Table1[[#This Row],[Planned End Date]])</f>
        <v>#DIV/0!</v>
      </c>
      <c r="O1085" s="178">
        <f>NETWORKDAYS(Table1[[#This Row],[Planned Start Date]],Table1[[#This Row],[Planned End Date]])</f>
        <v>0</v>
      </c>
      <c r="P1085" s="178">
        <f>NETWORKDAYS(Table1[[#This Row],[Planned Start Date]],$P$7)</f>
        <v>30643</v>
      </c>
      <c r="Q1085" s="129"/>
      <c r="R1085" s="183" t="str">
        <f>IF(Table1[[#This Row],[Actual Effort (Hours)]]="","",IF(Table1[[#This Row],[Estimated Effort (Hours)]]&lt;20,"L1",IF(Table1[[#This Row],[Estimated Effort (Hours)]]&lt;50,"L2",IF(Table1[[#This Row],[Estimated Effort (Hours)]]&lt;150,"L3",IF(Table1[[#This Row],[Estimated Effort (Hours)]]&lt;300,"L4","L5")))))</f>
        <v/>
      </c>
      <c r="S1085" s="184" t="str">
        <f>IF(Table1[[#This Row],[Actual End Date]]="","",TEXT(Table1[[#This Row],[Actual End Date]],"mmm-yy"))</f>
        <v/>
      </c>
      <c r="T10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5" s="185" t="str">
        <f>IFERROR((Table1[[#This Row],[Actual Effort (Hours)]]-Table1[[#This Row],[Estimated Effort (Hours)]])/Table1[[#This Row],[Estimated Effort (Hours)]],"")</f>
        <v/>
      </c>
    </row>
    <row r="1086" spans="2:21">
      <c r="B1086" s="125"/>
      <c r="C1086" s="123"/>
      <c r="D1086" s="143"/>
      <c r="E1086" s="123"/>
      <c r="F1086" s="143"/>
      <c r="G1086" s="129"/>
      <c r="H1086" s="124"/>
      <c r="I1086" s="124"/>
      <c r="J1086" s="129"/>
      <c r="K1086" s="194"/>
      <c r="L1086" s="194"/>
      <c r="M1086" s="129"/>
      <c r="N1086" s="129" t="e">
        <f>Table1[[#This Row],[Estimated Effort (Hours)]]/NETWORKDAYS(Table1[[#This Row],[Planned Start Date]],Table1[[#This Row],[Planned End Date]])</f>
        <v>#DIV/0!</v>
      </c>
      <c r="O1086" s="178">
        <f>NETWORKDAYS(Table1[[#This Row],[Planned Start Date]],Table1[[#This Row],[Planned End Date]])</f>
        <v>0</v>
      </c>
      <c r="P1086" s="178">
        <f>NETWORKDAYS(Table1[[#This Row],[Planned Start Date]],$P$7)</f>
        <v>30643</v>
      </c>
      <c r="Q1086" s="129"/>
      <c r="R1086" s="183" t="str">
        <f>IF(Table1[[#This Row],[Actual Effort (Hours)]]="","",IF(Table1[[#This Row],[Estimated Effort (Hours)]]&lt;20,"L1",IF(Table1[[#This Row],[Estimated Effort (Hours)]]&lt;50,"L2",IF(Table1[[#This Row],[Estimated Effort (Hours)]]&lt;150,"L3",IF(Table1[[#This Row],[Estimated Effort (Hours)]]&lt;300,"L4","L5")))))</f>
        <v/>
      </c>
      <c r="S1086" s="184" t="str">
        <f>IF(Table1[[#This Row],[Actual End Date]]="","",TEXT(Table1[[#This Row],[Actual End Date]],"mmm-yy"))</f>
        <v/>
      </c>
      <c r="T10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6" s="185" t="str">
        <f>IFERROR((Table1[[#This Row],[Actual Effort (Hours)]]-Table1[[#This Row],[Estimated Effort (Hours)]])/Table1[[#This Row],[Estimated Effort (Hours)]],"")</f>
        <v/>
      </c>
    </row>
    <row r="1087" spans="2:21">
      <c r="B1087" s="125"/>
      <c r="C1087" s="123"/>
      <c r="D1087" s="143"/>
      <c r="E1087" s="123"/>
      <c r="F1087" s="143"/>
      <c r="G1087" s="129"/>
      <c r="H1087" s="124"/>
      <c r="I1087" s="124"/>
      <c r="J1087" s="129"/>
      <c r="K1087" s="194"/>
      <c r="L1087" s="194"/>
      <c r="M1087" s="129"/>
      <c r="N1087" s="129" t="e">
        <f>Table1[[#This Row],[Estimated Effort (Hours)]]/NETWORKDAYS(Table1[[#This Row],[Planned Start Date]],Table1[[#This Row],[Planned End Date]])</f>
        <v>#DIV/0!</v>
      </c>
      <c r="O1087" s="178">
        <f>NETWORKDAYS(Table1[[#This Row],[Planned Start Date]],Table1[[#This Row],[Planned End Date]])</f>
        <v>0</v>
      </c>
      <c r="P1087" s="178">
        <f>NETWORKDAYS(Table1[[#This Row],[Planned Start Date]],$P$7)</f>
        <v>30643</v>
      </c>
      <c r="Q1087" s="129"/>
      <c r="R1087" s="183" t="str">
        <f>IF(Table1[[#This Row],[Actual Effort (Hours)]]="","",IF(Table1[[#This Row],[Estimated Effort (Hours)]]&lt;20,"L1",IF(Table1[[#This Row],[Estimated Effort (Hours)]]&lt;50,"L2",IF(Table1[[#This Row],[Estimated Effort (Hours)]]&lt;150,"L3",IF(Table1[[#This Row],[Estimated Effort (Hours)]]&lt;300,"L4","L5")))))</f>
        <v/>
      </c>
      <c r="S1087" s="184" t="str">
        <f>IF(Table1[[#This Row],[Actual End Date]]="","",TEXT(Table1[[#This Row],[Actual End Date]],"mmm-yy"))</f>
        <v/>
      </c>
      <c r="T10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7" s="185" t="str">
        <f>IFERROR((Table1[[#This Row],[Actual Effort (Hours)]]-Table1[[#This Row],[Estimated Effort (Hours)]])/Table1[[#This Row],[Estimated Effort (Hours)]],"")</f>
        <v/>
      </c>
    </row>
    <row r="1088" spans="2:21">
      <c r="B1088" s="125"/>
      <c r="C1088" s="123"/>
      <c r="D1088" s="143"/>
      <c r="E1088" s="123"/>
      <c r="F1088" s="143"/>
      <c r="G1088" s="129"/>
      <c r="H1088" s="124"/>
      <c r="I1088" s="124"/>
      <c r="J1088" s="129"/>
      <c r="K1088" s="194"/>
      <c r="L1088" s="194"/>
      <c r="M1088" s="129"/>
      <c r="N1088" s="129" t="e">
        <f>Table1[[#This Row],[Estimated Effort (Hours)]]/NETWORKDAYS(Table1[[#This Row],[Planned Start Date]],Table1[[#This Row],[Planned End Date]])</f>
        <v>#DIV/0!</v>
      </c>
      <c r="O1088" s="178">
        <f>NETWORKDAYS(Table1[[#This Row],[Planned Start Date]],Table1[[#This Row],[Planned End Date]])</f>
        <v>0</v>
      </c>
      <c r="P1088" s="178">
        <f>NETWORKDAYS(Table1[[#This Row],[Planned Start Date]],$P$7)</f>
        <v>30643</v>
      </c>
      <c r="Q1088" s="129"/>
      <c r="R1088" s="183" t="str">
        <f>IF(Table1[[#This Row],[Actual Effort (Hours)]]="","",IF(Table1[[#This Row],[Estimated Effort (Hours)]]&lt;20,"L1",IF(Table1[[#This Row],[Estimated Effort (Hours)]]&lt;50,"L2",IF(Table1[[#This Row],[Estimated Effort (Hours)]]&lt;150,"L3",IF(Table1[[#This Row],[Estimated Effort (Hours)]]&lt;300,"L4","L5")))))</f>
        <v/>
      </c>
      <c r="S1088" s="184" t="str">
        <f>IF(Table1[[#This Row],[Actual End Date]]="","",TEXT(Table1[[#This Row],[Actual End Date]],"mmm-yy"))</f>
        <v/>
      </c>
      <c r="T10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8" s="185" t="str">
        <f>IFERROR((Table1[[#This Row],[Actual Effort (Hours)]]-Table1[[#This Row],[Estimated Effort (Hours)]])/Table1[[#This Row],[Estimated Effort (Hours)]],"")</f>
        <v/>
      </c>
    </row>
    <row r="1089" spans="2:21">
      <c r="B1089" s="125"/>
      <c r="C1089" s="123"/>
      <c r="D1089" s="143"/>
      <c r="E1089" s="123"/>
      <c r="F1089" s="143"/>
      <c r="G1089" s="129"/>
      <c r="H1089" s="124"/>
      <c r="I1089" s="124"/>
      <c r="J1089" s="129"/>
      <c r="K1089" s="194"/>
      <c r="L1089" s="194"/>
      <c r="M1089" s="129"/>
      <c r="N1089" s="129" t="e">
        <f>Table1[[#This Row],[Estimated Effort (Hours)]]/NETWORKDAYS(Table1[[#This Row],[Planned Start Date]],Table1[[#This Row],[Planned End Date]])</f>
        <v>#DIV/0!</v>
      </c>
      <c r="O1089" s="178">
        <f>NETWORKDAYS(Table1[[#This Row],[Planned Start Date]],Table1[[#This Row],[Planned End Date]])</f>
        <v>0</v>
      </c>
      <c r="P1089" s="178">
        <f>NETWORKDAYS(Table1[[#This Row],[Planned Start Date]],$P$7)</f>
        <v>30643</v>
      </c>
      <c r="Q1089" s="129"/>
      <c r="R1089" s="183" t="str">
        <f>IF(Table1[[#This Row],[Actual Effort (Hours)]]="","",IF(Table1[[#This Row],[Estimated Effort (Hours)]]&lt;20,"L1",IF(Table1[[#This Row],[Estimated Effort (Hours)]]&lt;50,"L2",IF(Table1[[#This Row],[Estimated Effort (Hours)]]&lt;150,"L3",IF(Table1[[#This Row],[Estimated Effort (Hours)]]&lt;300,"L4","L5")))))</f>
        <v/>
      </c>
      <c r="S1089" s="184" t="str">
        <f>IF(Table1[[#This Row],[Actual End Date]]="","",TEXT(Table1[[#This Row],[Actual End Date]],"mmm-yy"))</f>
        <v/>
      </c>
      <c r="T10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89" s="185" t="str">
        <f>IFERROR((Table1[[#This Row],[Actual Effort (Hours)]]-Table1[[#This Row],[Estimated Effort (Hours)]])/Table1[[#This Row],[Estimated Effort (Hours)]],"")</f>
        <v/>
      </c>
    </row>
    <row r="1090" spans="2:21">
      <c r="B1090" s="125"/>
      <c r="C1090" s="123"/>
      <c r="D1090" s="143"/>
      <c r="E1090" s="123"/>
      <c r="F1090" s="143"/>
      <c r="G1090" s="129"/>
      <c r="H1090" s="124"/>
      <c r="I1090" s="124"/>
      <c r="J1090" s="129"/>
      <c r="K1090" s="194"/>
      <c r="L1090" s="194"/>
      <c r="M1090" s="129"/>
      <c r="N1090" s="129" t="e">
        <f>Table1[[#This Row],[Estimated Effort (Hours)]]/NETWORKDAYS(Table1[[#This Row],[Planned Start Date]],Table1[[#This Row],[Planned End Date]])</f>
        <v>#DIV/0!</v>
      </c>
      <c r="O1090" s="178">
        <f>NETWORKDAYS(Table1[[#This Row],[Planned Start Date]],Table1[[#This Row],[Planned End Date]])</f>
        <v>0</v>
      </c>
      <c r="P1090" s="178">
        <f>NETWORKDAYS(Table1[[#This Row],[Planned Start Date]],$P$7)</f>
        <v>30643</v>
      </c>
      <c r="Q1090" s="129"/>
      <c r="R1090" s="183" t="str">
        <f>IF(Table1[[#This Row],[Actual Effort (Hours)]]="","",IF(Table1[[#This Row],[Estimated Effort (Hours)]]&lt;20,"L1",IF(Table1[[#This Row],[Estimated Effort (Hours)]]&lt;50,"L2",IF(Table1[[#This Row],[Estimated Effort (Hours)]]&lt;150,"L3",IF(Table1[[#This Row],[Estimated Effort (Hours)]]&lt;300,"L4","L5")))))</f>
        <v/>
      </c>
      <c r="S1090" s="184" t="str">
        <f>IF(Table1[[#This Row],[Actual End Date]]="","",TEXT(Table1[[#This Row],[Actual End Date]],"mmm-yy"))</f>
        <v/>
      </c>
      <c r="T10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0" s="185" t="str">
        <f>IFERROR((Table1[[#This Row],[Actual Effort (Hours)]]-Table1[[#This Row],[Estimated Effort (Hours)]])/Table1[[#This Row],[Estimated Effort (Hours)]],"")</f>
        <v/>
      </c>
    </row>
    <row r="1091" spans="2:21">
      <c r="B1091" s="125"/>
      <c r="C1091" s="123"/>
      <c r="D1091" s="143"/>
      <c r="E1091" s="123"/>
      <c r="F1091" s="143"/>
      <c r="G1091" s="129"/>
      <c r="H1091" s="124"/>
      <c r="I1091" s="124"/>
      <c r="J1091" s="129"/>
      <c r="K1091" s="194"/>
      <c r="L1091" s="194"/>
      <c r="M1091" s="129"/>
      <c r="N1091" s="129" t="e">
        <f>Table1[[#This Row],[Estimated Effort (Hours)]]/NETWORKDAYS(Table1[[#This Row],[Planned Start Date]],Table1[[#This Row],[Planned End Date]])</f>
        <v>#DIV/0!</v>
      </c>
      <c r="O1091" s="178">
        <f>NETWORKDAYS(Table1[[#This Row],[Planned Start Date]],Table1[[#This Row],[Planned End Date]])</f>
        <v>0</v>
      </c>
      <c r="P1091" s="178">
        <f>NETWORKDAYS(Table1[[#This Row],[Planned Start Date]],$P$7)</f>
        <v>30643</v>
      </c>
      <c r="Q1091" s="129"/>
      <c r="R1091" s="183" t="str">
        <f>IF(Table1[[#This Row],[Actual Effort (Hours)]]="","",IF(Table1[[#This Row],[Estimated Effort (Hours)]]&lt;20,"L1",IF(Table1[[#This Row],[Estimated Effort (Hours)]]&lt;50,"L2",IF(Table1[[#This Row],[Estimated Effort (Hours)]]&lt;150,"L3",IF(Table1[[#This Row],[Estimated Effort (Hours)]]&lt;300,"L4","L5")))))</f>
        <v/>
      </c>
      <c r="S1091" s="184" t="str">
        <f>IF(Table1[[#This Row],[Actual End Date]]="","",TEXT(Table1[[#This Row],[Actual End Date]],"mmm-yy"))</f>
        <v/>
      </c>
      <c r="T10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1" s="185" t="str">
        <f>IFERROR((Table1[[#This Row],[Actual Effort (Hours)]]-Table1[[#This Row],[Estimated Effort (Hours)]])/Table1[[#This Row],[Estimated Effort (Hours)]],"")</f>
        <v/>
      </c>
    </row>
    <row r="1092" spans="2:21">
      <c r="B1092" s="125"/>
      <c r="C1092" s="123"/>
      <c r="D1092" s="143"/>
      <c r="E1092" s="123"/>
      <c r="F1092" s="143"/>
      <c r="G1092" s="129"/>
      <c r="H1092" s="124"/>
      <c r="I1092" s="124"/>
      <c r="J1092" s="129"/>
      <c r="K1092" s="194"/>
      <c r="L1092" s="194"/>
      <c r="M1092" s="129"/>
      <c r="N1092" s="129" t="e">
        <f>Table1[[#This Row],[Estimated Effort (Hours)]]/NETWORKDAYS(Table1[[#This Row],[Planned Start Date]],Table1[[#This Row],[Planned End Date]])</f>
        <v>#DIV/0!</v>
      </c>
      <c r="O1092" s="178">
        <f>NETWORKDAYS(Table1[[#This Row],[Planned Start Date]],Table1[[#This Row],[Planned End Date]])</f>
        <v>0</v>
      </c>
      <c r="P1092" s="178">
        <f>NETWORKDAYS(Table1[[#This Row],[Planned Start Date]],$P$7)</f>
        <v>30643</v>
      </c>
      <c r="Q1092" s="129"/>
      <c r="R1092" s="183" t="str">
        <f>IF(Table1[[#This Row],[Actual Effort (Hours)]]="","",IF(Table1[[#This Row],[Estimated Effort (Hours)]]&lt;20,"L1",IF(Table1[[#This Row],[Estimated Effort (Hours)]]&lt;50,"L2",IF(Table1[[#This Row],[Estimated Effort (Hours)]]&lt;150,"L3",IF(Table1[[#This Row],[Estimated Effort (Hours)]]&lt;300,"L4","L5")))))</f>
        <v/>
      </c>
      <c r="S1092" s="184" t="str">
        <f>IF(Table1[[#This Row],[Actual End Date]]="","",TEXT(Table1[[#This Row],[Actual End Date]],"mmm-yy"))</f>
        <v/>
      </c>
      <c r="T10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2" s="185" t="str">
        <f>IFERROR((Table1[[#This Row],[Actual Effort (Hours)]]-Table1[[#This Row],[Estimated Effort (Hours)]])/Table1[[#This Row],[Estimated Effort (Hours)]],"")</f>
        <v/>
      </c>
    </row>
    <row r="1093" spans="2:21">
      <c r="B1093" s="125"/>
      <c r="C1093" s="123"/>
      <c r="D1093" s="143"/>
      <c r="E1093" s="123"/>
      <c r="F1093" s="143"/>
      <c r="G1093" s="129"/>
      <c r="H1093" s="124"/>
      <c r="I1093" s="124"/>
      <c r="J1093" s="129"/>
      <c r="K1093" s="194"/>
      <c r="L1093" s="194"/>
      <c r="M1093" s="129"/>
      <c r="N1093" s="129" t="e">
        <f>Table1[[#This Row],[Estimated Effort (Hours)]]/NETWORKDAYS(Table1[[#This Row],[Planned Start Date]],Table1[[#This Row],[Planned End Date]])</f>
        <v>#DIV/0!</v>
      </c>
      <c r="O1093" s="178">
        <f>NETWORKDAYS(Table1[[#This Row],[Planned Start Date]],Table1[[#This Row],[Planned End Date]])</f>
        <v>0</v>
      </c>
      <c r="P1093" s="178">
        <f>NETWORKDAYS(Table1[[#This Row],[Planned Start Date]],$P$7)</f>
        <v>30643</v>
      </c>
      <c r="Q1093" s="129"/>
      <c r="R1093" s="183" t="str">
        <f>IF(Table1[[#This Row],[Actual Effort (Hours)]]="","",IF(Table1[[#This Row],[Estimated Effort (Hours)]]&lt;20,"L1",IF(Table1[[#This Row],[Estimated Effort (Hours)]]&lt;50,"L2",IF(Table1[[#This Row],[Estimated Effort (Hours)]]&lt;150,"L3",IF(Table1[[#This Row],[Estimated Effort (Hours)]]&lt;300,"L4","L5")))))</f>
        <v/>
      </c>
      <c r="S1093" s="184" t="str">
        <f>IF(Table1[[#This Row],[Actual End Date]]="","",TEXT(Table1[[#This Row],[Actual End Date]],"mmm-yy"))</f>
        <v/>
      </c>
      <c r="T10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3" s="185" t="str">
        <f>IFERROR((Table1[[#This Row],[Actual Effort (Hours)]]-Table1[[#This Row],[Estimated Effort (Hours)]])/Table1[[#This Row],[Estimated Effort (Hours)]],"")</f>
        <v/>
      </c>
    </row>
    <row r="1094" spans="2:21">
      <c r="B1094" s="125"/>
      <c r="C1094" s="123"/>
      <c r="D1094" s="143"/>
      <c r="E1094" s="123"/>
      <c r="F1094" s="143"/>
      <c r="G1094" s="129"/>
      <c r="H1094" s="124"/>
      <c r="I1094" s="124"/>
      <c r="J1094" s="129"/>
      <c r="K1094" s="194"/>
      <c r="L1094" s="194"/>
      <c r="M1094" s="129"/>
      <c r="N1094" s="129" t="e">
        <f>Table1[[#This Row],[Estimated Effort (Hours)]]/NETWORKDAYS(Table1[[#This Row],[Planned Start Date]],Table1[[#This Row],[Planned End Date]])</f>
        <v>#DIV/0!</v>
      </c>
      <c r="O1094" s="178">
        <f>NETWORKDAYS(Table1[[#This Row],[Planned Start Date]],Table1[[#This Row],[Planned End Date]])</f>
        <v>0</v>
      </c>
      <c r="P1094" s="178">
        <f>NETWORKDAYS(Table1[[#This Row],[Planned Start Date]],$P$7)</f>
        <v>30643</v>
      </c>
      <c r="Q1094" s="129"/>
      <c r="R1094" s="183" t="str">
        <f>IF(Table1[[#This Row],[Actual Effort (Hours)]]="","",IF(Table1[[#This Row],[Estimated Effort (Hours)]]&lt;20,"L1",IF(Table1[[#This Row],[Estimated Effort (Hours)]]&lt;50,"L2",IF(Table1[[#This Row],[Estimated Effort (Hours)]]&lt;150,"L3",IF(Table1[[#This Row],[Estimated Effort (Hours)]]&lt;300,"L4","L5")))))</f>
        <v/>
      </c>
      <c r="S1094" s="184" t="str">
        <f>IF(Table1[[#This Row],[Actual End Date]]="","",TEXT(Table1[[#This Row],[Actual End Date]],"mmm-yy"))</f>
        <v/>
      </c>
      <c r="T10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4" s="185" t="str">
        <f>IFERROR((Table1[[#This Row],[Actual Effort (Hours)]]-Table1[[#This Row],[Estimated Effort (Hours)]])/Table1[[#This Row],[Estimated Effort (Hours)]],"")</f>
        <v/>
      </c>
    </row>
    <row r="1095" spans="2:21">
      <c r="B1095" s="125"/>
      <c r="C1095" s="123"/>
      <c r="D1095" s="143"/>
      <c r="E1095" s="123"/>
      <c r="F1095" s="143"/>
      <c r="G1095" s="129"/>
      <c r="H1095" s="124"/>
      <c r="I1095" s="124"/>
      <c r="J1095" s="129"/>
      <c r="K1095" s="194"/>
      <c r="L1095" s="194"/>
      <c r="M1095" s="129"/>
      <c r="N1095" s="129" t="e">
        <f>Table1[[#This Row],[Estimated Effort (Hours)]]/NETWORKDAYS(Table1[[#This Row],[Planned Start Date]],Table1[[#This Row],[Planned End Date]])</f>
        <v>#DIV/0!</v>
      </c>
      <c r="O1095" s="178">
        <f>NETWORKDAYS(Table1[[#This Row],[Planned Start Date]],Table1[[#This Row],[Planned End Date]])</f>
        <v>0</v>
      </c>
      <c r="P1095" s="178">
        <f>NETWORKDAYS(Table1[[#This Row],[Planned Start Date]],$P$7)</f>
        <v>30643</v>
      </c>
      <c r="Q1095" s="129"/>
      <c r="R1095" s="183" t="str">
        <f>IF(Table1[[#This Row],[Actual Effort (Hours)]]="","",IF(Table1[[#This Row],[Estimated Effort (Hours)]]&lt;20,"L1",IF(Table1[[#This Row],[Estimated Effort (Hours)]]&lt;50,"L2",IF(Table1[[#This Row],[Estimated Effort (Hours)]]&lt;150,"L3",IF(Table1[[#This Row],[Estimated Effort (Hours)]]&lt;300,"L4","L5")))))</f>
        <v/>
      </c>
      <c r="S1095" s="184" t="str">
        <f>IF(Table1[[#This Row],[Actual End Date]]="","",TEXT(Table1[[#This Row],[Actual End Date]],"mmm-yy"))</f>
        <v/>
      </c>
      <c r="T10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5" s="185" t="str">
        <f>IFERROR((Table1[[#This Row],[Actual Effort (Hours)]]-Table1[[#This Row],[Estimated Effort (Hours)]])/Table1[[#This Row],[Estimated Effort (Hours)]],"")</f>
        <v/>
      </c>
    </row>
    <row r="1096" spans="2:21">
      <c r="B1096" s="125"/>
      <c r="C1096" s="123"/>
      <c r="D1096" s="143"/>
      <c r="E1096" s="123"/>
      <c r="F1096" s="143"/>
      <c r="G1096" s="129"/>
      <c r="H1096" s="124"/>
      <c r="I1096" s="124"/>
      <c r="J1096" s="129"/>
      <c r="K1096" s="194"/>
      <c r="L1096" s="194"/>
      <c r="M1096" s="129"/>
      <c r="N1096" s="129" t="e">
        <f>Table1[[#This Row],[Estimated Effort (Hours)]]/NETWORKDAYS(Table1[[#This Row],[Planned Start Date]],Table1[[#This Row],[Planned End Date]])</f>
        <v>#DIV/0!</v>
      </c>
      <c r="O1096" s="178">
        <f>NETWORKDAYS(Table1[[#This Row],[Planned Start Date]],Table1[[#This Row],[Planned End Date]])</f>
        <v>0</v>
      </c>
      <c r="P1096" s="178">
        <f>NETWORKDAYS(Table1[[#This Row],[Planned Start Date]],$P$7)</f>
        <v>30643</v>
      </c>
      <c r="Q1096" s="129"/>
      <c r="R1096" s="183" t="str">
        <f>IF(Table1[[#This Row],[Actual Effort (Hours)]]="","",IF(Table1[[#This Row],[Estimated Effort (Hours)]]&lt;20,"L1",IF(Table1[[#This Row],[Estimated Effort (Hours)]]&lt;50,"L2",IF(Table1[[#This Row],[Estimated Effort (Hours)]]&lt;150,"L3",IF(Table1[[#This Row],[Estimated Effort (Hours)]]&lt;300,"L4","L5")))))</f>
        <v/>
      </c>
      <c r="S1096" s="184" t="str">
        <f>IF(Table1[[#This Row],[Actual End Date]]="","",TEXT(Table1[[#This Row],[Actual End Date]],"mmm-yy"))</f>
        <v/>
      </c>
      <c r="T10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6" s="185" t="str">
        <f>IFERROR((Table1[[#This Row],[Actual Effort (Hours)]]-Table1[[#This Row],[Estimated Effort (Hours)]])/Table1[[#This Row],[Estimated Effort (Hours)]],"")</f>
        <v/>
      </c>
    </row>
    <row r="1097" spans="2:21">
      <c r="B1097" s="125"/>
      <c r="C1097" s="123"/>
      <c r="D1097" s="143"/>
      <c r="E1097" s="123"/>
      <c r="F1097" s="143"/>
      <c r="G1097" s="129"/>
      <c r="H1097" s="124"/>
      <c r="I1097" s="124"/>
      <c r="J1097" s="129"/>
      <c r="K1097" s="194"/>
      <c r="L1097" s="194"/>
      <c r="M1097" s="129"/>
      <c r="N1097" s="129" t="e">
        <f>Table1[[#This Row],[Estimated Effort (Hours)]]/NETWORKDAYS(Table1[[#This Row],[Planned Start Date]],Table1[[#This Row],[Planned End Date]])</f>
        <v>#DIV/0!</v>
      </c>
      <c r="O1097" s="178">
        <f>NETWORKDAYS(Table1[[#This Row],[Planned Start Date]],Table1[[#This Row],[Planned End Date]])</f>
        <v>0</v>
      </c>
      <c r="P1097" s="178">
        <f>NETWORKDAYS(Table1[[#This Row],[Planned Start Date]],$P$7)</f>
        <v>30643</v>
      </c>
      <c r="Q1097" s="129"/>
      <c r="R1097" s="183" t="str">
        <f>IF(Table1[[#This Row],[Actual Effort (Hours)]]="","",IF(Table1[[#This Row],[Estimated Effort (Hours)]]&lt;20,"L1",IF(Table1[[#This Row],[Estimated Effort (Hours)]]&lt;50,"L2",IF(Table1[[#This Row],[Estimated Effort (Hours)]]&lt;150,"L3",IF(Table1[[#This Row],[Estimated Effort (Hours)]]&lt;300,"L4","L5")))))</f>
        <v/>
      </c>
      <c r="S1097" s="184" t="str">
        <f>IF(Table1[[#This Row],[Actual End Date]]="","",TEXT(Table1[[#This Row],[Actual End Date]],"mmm-yy"))</f>
        <v/>
      </c>
      <c r="T10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7" s="185" t="str">
        <f>IFERROR((Table1[[#This Row],[Actual Effort (Hours)]]-Table1[[#This Row],[Estimated Effort (Hours)]])/Table1[[#This Row],[Estimated Effort (Hours)]],"")</f>
        <v/>
      </c>
    </row>
    <row r="1098" spans="2:21">
      <c r="B1098" s="125"/>
      <c r="C1098" s="123"/>
      <c r="D1098" s="143"/>
      <c r="E1098" s="123"/>
      <c r="F1098" s="143"/>
      <c r="G1098" s="129"/>
      <c r="H1098" s="124"/>
      <c r="I1098" s="124"/>
      <c r="J1098" s="129"/>
      <c r="K1098" s="194"/>
      <c r="L1098" s="194"/>
      <c r="M1098" s="129"/>
      <c r="N1098" s="129" t="e">
        <f>Table1[[#This Row],[Estimated Effort (Hours)]]/NETWORKDAYS(Table1[[#This Row],[Planned Start Date]],Table1[[#This Row],[Planned End Date]])</f>
        <v>#DIV/0!</v>
      </c>
      <c r="O1098" s="178">
        <f>NETWORKDAYS(Table1[[#This Row],[Planned Start Date]],Table1[[#This Row],[Planned End Date]])</f>
        <v>0</v>
      </c>
      <c r="P1098" s="178">
        <f>NETWORKDAYS(Table1[[#This Row],[Planned Start Date]],$P$7)</f>
        <v>30643</v>
      </c>
      <c r="Q1098" s="129"/>
      <c r="R1098" s="183" t="str">
        <f>IF(Table1[[#This Row],[Actual Effort (Hours)]]="","",IF(Table1[[#This Row],[Estimated Effort (Hours)]]&lt;20,"L1",IF(Table1[[#This Row],[Estimated Effort (Hours)]]&lt;50,"L2",IF(Table1[[#This Row],[Estimated Effort (Hours)]]&lt;150,"L3",IF(Table1[[#This Row],[Estimated Effort (Hours)]]&lt;300,"L4","L5")))))</f>
        <v/>
      </c>
      <c r="S1098" s="184" t="str">
        <f>IF(Table1[[#This Row],[Actual End Date]]="","",TEXT(Table1[[#This Row],[Actual End Date]],"mmm-yy"))</f>
        <v/>
      </c>
      <c r="T10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8" s="185" t="str">
        <f>IFERROR((Table1[[#This Row],[Actual Effort (Hours)]]-Table1[[#This Row],[Estimated Effort (Hours)]])/Table1[[#This Row],[Estimated Effort (Hours)]],"")</f>
        <v/>
      </c>
    </row>
    <row r="1099" spans="2:21">
      <c r="B1099" s="125"/>
      <c r="C1099" s="123"/>
      <c r="D1099" s="143"/>
      <c r="E1099" s="123"/>
      <c r="F1099" s="143"/>
      <c r="G1099" s="129"/>
      <c r="H1099" s="124"/>
      <c r="I1099" s="124"/>
      <c r="J1099" s="129"/>
      <c r="K1099" s="194"/>
      <c r="L1099" s="194"/>
      <c r="M1099" s="129"/>
      <c r="N1099" s="129" t="e">
        <f>Table1[[#This Row],[Estimated Effort (Hours)]]/NETWORKDAYS(Table1[[#This Row],[Planned Start Date]],Table1[[#This Row],[Planned End Date]])</f>
        <v>#DIV/0!</v>
      </c>
      <c r="O1099" s="178">
        <f>NETWORKDAYS(Table1[[#This Row],[Planned Start Date]],Table1[[#This Row],[Planned End Date]])</f>
        <v>0</v>
      </c>
      <c r="P1099" s="178">
        <f>NETWORKDAYS(Table1[[#This Row],[Planned Start Date]],$P$7)</f>
        <v>30643</v>
      </c>
      <c r="Q1099" s="129"/>
      <c r="R1099" s="183" t="str">
        <f>IF(Table1[[#This Row],[Actual Effort (Hours)]]="","",IF(Table1[[#This Row],[Estimated Effort (Hours)]]&lt;20,"L1",IF(Table1[[#This Row],[Estimated Effort (Hours)]]&lt;50,"L2",IF(Table1[[#This Row],[Estimated Effort (Hours)]]&lt;150,"L3",IF(Table1[[#This Row],[Estimated Effort (Hours)]]&lt;300,"L4","L5")))))</f>
        <v/>
      </c>
      <c r="S1099" s="184" t="str">
        <f>IF(Table1[[#This Row],[Actual End Date]]="","",TEXT(Table1[[#This Row],[Actual End Date]],"mmm-yy"))</f>
        <v/>
      </c>
      <c r="T10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099" s="185" t="str">
        <f>IFERROR((Table1[[#This Row],[Actual Effort (Hours)]]-Table1[[#This Row],[Estimated Effort (Hours)]])/Table1[[#This Row],[Estimated Effort (Hours)]],"")</f>
        <v/>
      </c>
    </row>
    <row r="1100" spans="2:21">
      <c r="B1100" s="125"/>
      <c r="C1100" s="123"/>
      <c r="D1100" s="143"/>
      <c r="E1100" s="123"/>
      <c r="F1100" s="143"/>
      <c r="G1100" s="129"/>
      <c r="H1100" s="124"/>
      <c r="I1100" s="124"/>
      <c r="J1100" s="129"/>
      <c r="K1100" s="194"/>
      <c r="L1100" s="194"/>
      <c r="M1100" s="129"/>
      <c r="N1100" s="129" t="e">
        <f>Table1[[#This Row],[Estimated Effort (Hours)]]/NETWORKDAYS(Table1[[#This Row],[Planned Start Date]],Table1[[#This Row],[Planned End Date]])</f>
        <v>#DIV/0!</v>
      </c>
      <c r="O1100" s="178">
        <f>NETWORKDAYS(Table1[[#This Row],[Planned Start Date]],Table1[[#This Row],[Planned End Date]])</f>
        <v>0</v>
      </c>
      <c r="P1100" s="178">
        <f>NETWORKDAYS(Table1[[#This Row],[Planned Start Date]],$P$7)</f>
        <v>30643</v>
      </c>
      <c r="Q1100" s="129"/>
      <c r="R1100" s="183" t="str">
        <f>IF(Table1[[#This Row],[Actual Effort (Hours)]]="","",IF(Table1[[#This Row],[Estimated Effort (Hours)]]&lt;20,"L1",IF(Table1[[#This Row],[Estimated Effort (Hours)]]&lt;50,"L2",IF(Table1[[#This Row],[Estimated Effort (Hours)]]&lt;150,"L3",IF(Table1[[#This Row],[Estimated Effort (Hours)]]&lt;300,"L4","L5")))))</f>
        <v/>
      </c>
      <c r="S1100" s="184" t="str">
        <f>IF(Table1[[#This Row],[Actual End Date]]="","",TEXT(Table1[[#This Row],[Actual End Date]],"mmm-yy"))</f>
        <v/>
      </c>
      <c r="T11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0" s="185" t="str">
        <f>IFERROR((Table1[[#This Row],[Actual Effort (Hours)]]-Table1[[#This Row],[Estimated Effort (Hours)]])/Table1[[#This Row],[Estimated Effort (Hours)]],"")</f>
        <v/>
      </c>
    </row>
    <row r="1101" spans="2:21">
      <c r="B1101" s="125"/>
      <c r="C1101" s="123"/>
      <c r="D1101" s="143"/>
      <c r="E1101" s="123"/>
      <c r="F1101" s="143"/>
      <c r="G1101" s="129"/>
      <c r="H1101" s="124"/>
      <c r="I1101" s="124"/>
      <c r="J1101" s="129"/>
      <c r="K1101" s="194"/>
      <c r="L1101" s="194"/>
      <c r="M1101" s="129"/>
      <c r="N1101" s="129" t="e">
        <f>Table1[[#This Row],[Estimated Effort (Hours)]]/NETWORKDAYS(Table1[[#This Row],[Planned Start Date]],Table1[[#This Row],[Planned End Date]])</f>
        <v>#DIV/0!</v>
      </c>
      <c r="O1101" s="178">
        <f>NETWORKDAYS(Table1[[#This Row],[Planned Start Date]],Table1[[#This Row],[Planned End Date]])</f>
        <v>0</v>
      </c>
      <c r="P1101" s="178">
        <f>NETWORKDAYS(Table1[[#This Row],[Planned Start Date]],$P$7)</f>
        <v>30643</v>
      </c>
      <c r="Q1101" s="129"/>
      <c r="R1101" s="183" t="str">
        <f>IF(Table1[[#This Row],[Actual Effort (Hours)]]="","",IF(Table1[[#This Row],[Estimated Effort (Hours)]]&lt;20,"L1",IF(Table1[[#This Row],[Estimated Effort (Hours)]]&lt;50,"L2",IF(Table1[[#This Row],[Estimated Effort (Hours)]]&lt;150,"L3",IF(Table1[[#This Row],[Estimated Effort (Hours)]]&lt;300,"L4","L5")))))</f>
        <v/>
      </c>
      <c r="S1101" s="184" t="str">
        <f>IF(Table1[[#This Row],[Actual End Date]]="","",TEXT(Table1[[#This Row],[Actual End Date]],"mmm-yy"))</f>
        <v/>
      </c>
      <c r="T11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1" s="185" t="str">
        <f>IFERROR((Table1[[#This Row],[Actual Effort (Hours)]]-Table1[[#This Row],[Estimated Effort (Hours)]])/Table1[[#This Row],[Estimated Effort (Hours)]],"")</f>
        <v/>
      </c>
    </row>
    <row r="1102" spans="2:21">
      <c r="B1102" s="125"/>
      <c r="C1102" s="123"/>
      <c r="D1102" s="143"/>
      <c r="E1102" s="123"/>
      <c r="F1102" s="143"/>
      <c r="G1102" s="129"/>
      <c r="H1102" s="124"/>
      <c r="I1102" s="124"/>
      <c r="J1102" s="129"/>
      <c r="K1102" s="194"/>
      <c r="L1102" s="194"/>
      <c r="M1102" s="129"/>
      <c r="N1102" s="129" t="e">
        <f>Table1[[#This Row],[Estimated Effort (Hours)]]/NETWORKDAYS(Table1[[#This Row],[Planned Start Date]],Table1[[#This Row],[Planned End Date]])</f>
        <v>#DIV/0!</v>
      </c>
      <c r="O1102" s="178">
        <f>NETWORKDAYS(Table1[[#This Row],[Planned Start Date]],Table1[[#This Row],[Planned End Date]])</f>
        <v>0</v>
      </c>
      <c r="P1102" s="178">
        <f>NETWORKDAYS(Table1[[#This Row],[Planned Start Date]],$P$7)</f>
        <v>30643</v>
      </c>
      <c r="Q1102" s="129"/>
      <c r="R1102" s="183" t="str">
        <f>IF(Table1[[#This Row],[Actual Effort (Hours)]]="","",IF(Table1[[#This Row],[Estimated Effort (Hours)]]&lt;20,"L1",IF(Table1[[#This Row],[Estimated Effort (Hours)]]&lt;50,"L2",IF(Table1[[#This Row],[Estimated Effort (Hours)]]&lt;150,"L3",IF(Table1[[#This Row],[Estimated Effort (Hours)]]&lt;300,"L4","L5")))))</f>
        <v/>
      </c>
      <c r="S1102" s="184" t="str">
        <f>IF(Table1[[#This Row],[Actual End Date]]="","",TEXT(Table1[[#This Row],[Actual End Date]],"mmm-yy"))</f>
        <v/>
      </c>
      <c r="T11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2" s="185" t="str">
        <f>IFERROR((Table1[[#This Row],[Actual Effort (Hours)]]-Table1[[#This Row],[Estimated Effort (Hours)]])/Table1[[#This Row],[Estimated Effort (Hours)]],"")</f>
        <v/>
      </c>
    </row>
    <row r="1103" spans="2:21">
      <c r="B1103" s="125"/>
      <c r="C1103" s="123"/>
      <c r="D1103" s="143"/>
      <c r="E1103" s="123"/>
      <c r="F1103" s="143"/>
      <c r="G1103" s="129"/>
      <c r="H1103" s="124"/>
      <c r="I1103" s="124"/>
      <c r="J1103" s="129"/>
      <c r="K1103" s="194"/>
      <c r="L1103" s="194"/>
      <c r="M1103" s="129"/>
      <c r="N1103" s="129" t="e">
        <f>Table1[[#This Row],[Estimated Effort (Hours)]]/NETWORKDAYS(Table1[[#This Row],[Planned Start Date]],Table1[[#This Row],[Planned End Date]])</f>
        <v>#DIV/0!</v>
      </c>
      <c r="O1103" s="178">
        <f>NETWORKDAYS(Table1[[#This Row],[Planned Start Date]],Table1[[#This Row],[Planned End Date]])</f>
        <v>0</v>
      </c>
      <c r="P1103" s="178">
        <f>NETWORKDAYS(Table1[[#This Row],[Planned Start Date]],$P$7)</f>
        <v>30643</v>
      </c>
      <c r="Q1103" s="129"/>
      <c r="R1103" s="183" t="str">
        <f>IF(Table1[[#This Row],[Actual Effort (Hours)]]="","",IF(Table1[[#This Row],[Estimated Effort (Hours)]]&lt;20,"L1",IF(Table1[[#This Row],[Estimated Effort (Hours)]]&lt;50,"L2",IF(Table1[[#This Row],[Estimated Effort (Hours)]]&lt;150,"L3",IF(Table1[[#This Row],[Estimated Effort (Hours)]]&lt;300,"L4","L5")))))</f>
        <v/>
      </c>
      <c r="S1103" s="184" t="str">
        <f>IF(Table1[[#This Row],[Actual End Date]]="","",TEXT(Table1[[#This Row],[Actual End Date]],"mmm-yy"))</f>
        <v/>
      </c>
      <c r="T11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3" s="185" t="str">
        <f>IFERROR((Table1[[#This Row],[Actual Effort (Hours)]]-Table1[[#This Row],[Estimated Effort (Hours)]])/Table1[[#This Row],[Estimated Effort (Hours)]],"")</f>
        <v/>
      </c>
    </row>
    <row r="1104" spans="2:21">
      <c r="B1104" s="125"/>
      <c r="C1104" s="123"/>
      <c r="D1104" s="143"/>
      <c r="E1104" s="123"/>
      <c r="F1104" s="143"/>
      <c r="G1104" s="129"/>
      <c r="H1104" s="124"/>
      <c r="I1104" s="124"/>
      <c r="J1104" s="129"/>
      <c r="K1104" s="194"/>
      <c r="L1104" s="194"/>
      <c r="M1104" s="129"/>
      <c r="N1104" s="129" t="e">
        <f>Table1[[#This Row],[Estimated Effort (Hours)]]/NETWORKDAYS(Table1[[#This Row],[Planned Start Date]],Table1[[#This Row],[Planned End Date]])</f>
        <v>#DIV/0!</v>
      </c>
      <c r="O1104" s="178">
        <f>NETWORKDAYS(Table1[[#This Row],[Planned Start Date]],Table1[[#This Row],[Planned End Date]])</f>
        <v>0</v>
      </c>
      <c r="P1104" s="178">
        <f>NETWORKDAYS(Table1[[#This Row],[Planned Start Date]],$P$7)</f>
        <v>30643</v>
      </c>
      <c r="Q1104" s="129"/>
      <c r="R1104" s="183" t="str">
        <f>IF(Table1[[#This Row],[Actual Effort (Hours)]]="","",IF(Table1[[#This Row],[Estimated Effort (Hours)]]&lt;20,"L1",IF(Table1[[#This Row],[Estimated Effort (Hours)]]&lt;50,"L2",IF(Table1[[#This Row],[Estimated Effort (Hours)]]&lt;150,"L3",IF(Table1[[#This Row],[Estimated Effort (Hours)]]&lt;300,"L4","L5")))))</f>
        <v/>
      </c>
      <c r="S1104" s="184" t="str">
        <f>IF(Table1[[#This Row],[Actual End Date]]="","",TEXT(Table1[[#This Row],[Actual End Date]],"mmm-yy"))</f>
        <v/>
      </c>
      <c r="T11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4" s="185" t="str">
        <f>IFERROR((Table1[[#This Row],[Actual Effort (Hours)]]-Table1[[#This Row],[Estimated Effort (Hours)]])/Table1[[#This Row],[Estimated Effort (Hours)]],"")</f>
        <v/>
      </c>
    </row>
    <row r="1105" spans="2:21">
      <c r="B1105" s="125"/>
      <c r="C1105" s="123"/>
      <c r="D1105" s="143"/>
      <c r="E1105" s="123"/>
      <c r="F1105" s="143"/>
      <c r="G1105" s="129"/>
      <c r="H1105" s="124"/>
      <c r="I1105" s="124"/>
      <c r="J1105" s="129"/>
      <c r="K1105" s="194"/>
      <c r="L1105" s="194"/>
      <c r="M1105" s="129"/>
      <c r="N1105" s="129" t="e">
        <f>Table1[[#This Row],[Estimated Effort (Hours)]]/NETWORKDAYS(Table1[[#This Row],[Planned Start Date]],Table1[[#This Row],[Planned End Date]])</f>
        <v>#DIV/0!</v>
      </c>
      <c r="O1105" s="178">
        <f>NETWORKDAYS(Table1[[#This Row],[Planned Start Date]],Table1[[#This Row],[Planned End Date]])</f>
        <v>0</v>
      </c>
      <c r="P1105" s="178">
        <f>NETWORKDAYS(Table1[[#This Row],[Planned Start Date]],$P$7)</f>
        <v>30643</v>
      </c>
      <c r="Q1105" s="129"/>
      <c r="R1105" s="183" t="str">
        <f>IF(Table1[[#This Row],[Actual Effort (Hours)]]="","",IF(Table1[[#This Row],[Estimated Effort (Hours)]]&lt;20,"L1",IF(Table1[[#This Row],[Estimated Effort (Hours)]]&lt;50,"L2",IF(Table1[[#This Row],[Estimated Effort (Hours)]]&lt;150,"L3",IF(Table1[[#This Row],[Estimated Effort (Hours)]]&lt;300,"L4","L5")))))</f>
        <v/>
      </c>
      <c r="S1105" s="184" t="str">
        <f>IF(Table1[[#This Row],[Actual End Date]]="","",TEXT(Table1[[#This Row],[Actual End Date]],"mmm-yy"))</f>
        <v/>
      </c>
      <c r="T11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5" s="185" t="str">
        <f>IFERROR((Table1[[#This Row],[Actual Effort (Hours)]]-Table1[[#This Row],[Estimated Effort (Hours)]])/Table1[[#This Row],[Estimated Effort (Hours)]],"")</f>
        <v/>
      </c>
    </row>
    <row r="1106" spans="2:21">
      <c r="B1106" s="125"/>
      <c r="C1106" s="123"/>
      <c r="D1106" s="143"/>
      <c r="E1106" s="123"/>
      <c r="F1106" s="143"/>
      <c r="G1106" s="129"/>
      <c r="H1106" s="124"/>
      <c r="I1106" s="124"/>
      <c r="J1106" s="129"/>
      <c r="K1106" s="194"/>
      <c r="L1106" s="194"/>
      <c r="M1106" s="129"/>
      <c r="N1106" s="129" t="e">
        <f>Table1[[#This Row],[Estimated Effort (Hours)]]/NETWORKDAYS(Table1[[#This Row],[Planned Start Date]],Table1[[#This Row],[Planned End Date]])</f>
        <v>#DIV/0!</v>
      </c>
      <c r="O1106" s="178">
        <f>NETWORKDAYS(Table1[[#This Row],[Planned Start Date]],Table1[[#This Row],[Planned End Date]])</f>
        <v>0</v>
      </c>
      <c r="P1106" s="178">
        <f>NETWORKDAYS(Table1[[#This Row],[Planned Start Date]],$P$7)</f>
        <v>30643</v>
      </c>
      <c r="Q1106" s="129"/>
      <c r="R1106" s="183" t="str">
        <f>IF(Table1[[#This Row],[Actual Effort (Hours)]]="","",IF(Table1[[#This Row],[Estimated Effort (Hours)]]&lt;20,"L1",IF(Table1[[#This Row],[Estimated Effort (Hours)]]&lt;50,"L2",IF(Table1[[#This Row],[Estimated Effort (Hours)]]&lt;150,"L3",IF(Table1[[#This Row],[Estimated Effort (Hours)]]&lt;300,"L4","L5")))))</f>
        <v/>
      </c>
      <c r="S1106" s="184" t="str">
        <f>IF(Table1[[#This Row],[Actual End Date]]="","",TEXT(Table1[[#This Row],[Actual End Date]],"mmm-yy"))</f>
        <v/>
      </c>
      <c r="T11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6" s="185" t="str">
        <f>IFERROR((Table1[[#This Row],[Actual Effort (Hours)]]-Table1[[#This Row],[Estimated Effort (Hours)]])/Table1[[#This Row],[Estimated Effort (Hours)]],"")</f>
        <v/>
      </c>
    </row>
    <row r="1107" spans="2:21">
      <c r="B1107" s="125"/>
      <c r="C1107" s="123"/>
      <c r="D1107" s="143"/>
      <c r="E1107" s="123"/>
      <c r="F1107" s="143"/>
      <c r="G1107" s="129"/>
      <c r="H1107" s="124"/>
      <c r="I1107" s="124"/>
      <c r="J1107" s="129"/>
      <c r="K1107" s="194"/>
      <c r="L1107" s="194"/>
      <c r="M1107" s="129"/>
      <c r="N1107" s="129" t="e">
        <f>Table1[[#This Row],[Estimated Effort (Hours)]]/NETWORKDAYS(Table1[[#This Row],[Planned Start Date]],Table1[[#This Row],[Planned End Date]])</f>
        <v>#DIV/0!</v>
      </c>
      <c r="O1107" s="178">
        <f>NETWORKDAYS(Table1[[#This Row],[Planned Start Date]],Table1[[#This Row],[Planned End Date]])</f>
        <v>0</v>
      </c>
      <c r="P1107" s="178">
        <f>NETWORKDAYS(Table1[[#This Row],[Planned Start Date]],$P$7)</f>
        <v>30643</v>
      </c>
      <c r="Q1107" s="129"/>
      <c r="R1107" s="183" t="str">
        <f>IF(Table1[[#This Row],[Actual Effort (Hours)]]="","",IF(Table1[[#This Row],[Estimated Effort (Hours)]]&lt;20,"L1",IF(Table1[[#This Row],[Estimated Effort (Hours)]]&lt;50,"L2",IF(Table1[[#This Row],[Estimated Effort (Hours)]]&lt;150,"L3",IF(Table1[[#This Row],[Estimated Effort (Hours)]]&lt;300,"L4","L5")))))</f>
        <v/>
      </c>
      <c r="S1107" s="184" t="str">
        <f>IF(Table1[[#This Row],[Actual End Date]]="","",TEXT(Table1[[#This Row],[Actual End Date]],"mmm-yy"))</f>
        <v/>
      </c>
      <c r="T11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7" s="185" t="str">
        <f>IFERROR((Table1[[#This Row],[Actual Effort (Hours)]]-Table1[[#This Row],[Estimated Effort (Hours)]])/Table1[[#This Row],[Estimated Effort (Hours)]],"")</f>
        <v/>
      </c>
    </row>
    <row r="1108" spans="2:21">
      <c r="B1108" s="125"/>
      <c r="C1108" s="123"/>
      <c r="D1108" s="143"/>
      <c r="E1108" s="123"/>
      <c r="F1108" s="143"/>
      <c r="G1108" s="129"/>
      <c r="H1108" s="124"/>
      <c r="I1108" s="124"/>
      <c r="J1108" s="129"/>
      <c r="K1108" s="194"/>
      <c r="L1108" s="194"/>
      <c r="M1108" s="129"/>
      <c r="N1108" s="129" t="e">
        <f>Table1[[#This Row],[Estimated Effort (Hours)]]/NETWORKDAYS(Table1[[#This Row],[Planned Start Date]],Table1[[#This Row],[Planned End Date]])</f>
        <v>#DIV/0!</v>
      </c>
      <c r="O1108" s="178">
        <f>NETWORKDAYS(Table1[[#This Row],[Planned Start Date]],Table1[[#This Row],[Planned End Date]])</f>
        <v>0</v>
      </c>
      <c r="P1108" s="178">
        <f>NETWORKDAYS(Table1[[#This Row],[Planned Start Date]],$P$7)</f>
        <v>30643</v>
      </c>
      <c r="Q1108" s="129"/>
      <c r="R1108" s="183" t="str">
        <f>IF(Table1[[#This Row],[Actual Effort (Hours)]]="","",IF(Table1[[#This Row],[Estimated Effort (Hours)]]&lt;20,"L1",IF(Table1[[#This Row],[Estimated Effort (Hours)]]&lt;50,"L2",IF(Table1[[#This Row],[Estimated Effort (Hours)]]&lt;150,"L3",IF(Table1[[#This Row],[Estimated Effort (Hours)]]&lt;300,"L4","L5")))))</f>
        <v/>
      </c>
      <c r="S1108" s="184" t="str">
        <f>IF(Table1[[#This Row],[Actual End Date]]="","",TEXT(Table1[[#This Row],[Actual End Date]],"mmm-yy"))</f>
        <v/>
      </c>
      <c r="T11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8" s="185" t="str">
        <f>IFERROR((Table1[[#This Row],[Actual Effort (Hours)]]-Table1[[#This Row],[Estimated Effort (Hours)]])/Table1[[#This Row],[Estimated Effort (Hours)]],"")</f>
        <v/>
      </c>
    </row>
    <row r="1109" spans="2:21">
      <c r="B1109" s="125"/>
      <c r="C1109" s="123"/>
      <c r="D1109" s="143"/>
      <c r="E1109" s="123"/>
      <c r="F1109" s="143"/>
      <c r="G1109" s="129"/>
      <c r="H1109" s="124"/>
      <c r="I1109" s="124"/>
      <c r="J1109" s="129"/>
      <c r="K1109" s="194"/>
      <c r="L1109" s="194"/>
      <c r="M1109" s="129"/>
      <c r="N1109" s="129" t="e">
        <f>Table1[[#This Row],[Estimated Effort (Hours)]]/NETWORKDAYS(Table1[[#This Row],[Planned Start Date]],Table1[[#This Row],[Planned End Date]])</f>
        <v>#DIV/0!</v>
      </c>
      <c r="O1109" s="178">
        <f>NETWORKDAYS(Table1[[#This Row],[Planned Start Date]],Table1[[#This Row],[Planned End Date]])</f>
        <v>0</v>
      </c>
      <c r="P1109" s="178">
        <f>NETWORKDAYS(Table1[[#This Row],[Planned Start Date]],$P$7)</f>
        <v>30643</v>
      </c>
      <c r="Q1109" s="129"/>
      <c r="R1109" s="183" t="str">
        <f>IF(Table1[[#This Row],[Actual Effort (Hours)]]="","",IF(Table1[[#This Row],[Estimated Effort (Hours)]]&lt;20,"L1",IF(Table1[[#This Row],[Estimated Effort (Hours)]]&lt;50,"L2",IF(Table1[[#This Row],[Estimated Effort (Hours)]]&lt;150,"L3",IF(Table1[[#This Row],[Estimated Effort (Hours)]]&lt;300,"L4","L5")))))</f>
        <v/>
      </c>
      <c r="S1109" s="184" t="str">
        <f>IF(Table1[[#This Row],[Actual End Date]]="","",TEXT(Table1[[#This Row],[Actual End Date]],"mmm-yy"))</f>
        <v/>
      </c>
      <c r="T11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09" s="185" t="str">
        <f>IFERROR((Table1[[#This Row],[Actual Effort (Hours)]]-Table1[[#This Row],[Estimated Effort (Hours)]])/Table1[[#This Row],[Estimated Effort (Hours)]],"")</f>
        <v/>
      </c>
    </row>
    <row r="1110" spans="2:21">
      <c r="B1110" s="125"/>
      <c r="C1110" s="123"/>
      <c r="D1110" s="143"/>
      <c r="E1110" s="123"/>
      <c r="F1110" s="143"/>
      <c r="G1110" s="129"/>
      <c r="H1110" s="124"/>
      <c r="I1110" s="124"/>
      <c r="J1110" s="129"/>
      <c r="K1110" s="194"/>
      <c r="L1110" s="194"/>
      <c r="M1110" s="129"/>
      <c r="N1110" s="129" t="e">
        <f>Table1[[#This Row],[Estimated Effort (Hours)]]/NETWORKDAYS(Table1[[#This Row],[Planned Start Date]],Table1[[#This Row],[Planned End Date]])</f>
        <v>#DIV/0!</v>
      </c>
      <c r="O1110" s="178">
        <f>NETWORKDAYS(Table1[[#This Row],[Planned Start Date]],Table1[[#This Row],[Planned End Date]])</f>
        <v>0</v>
      </c>
      <c r="P1110" s="178">
        <f>NETWORKDAYS(Table1[[#This Row],[Planned Start Date]],$P$7)</f>
        <v>30643</v>
      </c>
      <c r="Q1110" s="129"/>
      <c r="R1110" s="183" t="str">
        <f>IF(Table1[[#This Row],[Actual Effort (Hours)]]="","",IF(Table1[[#This Row],[Estimated Effort (Hours)]]&lt;20,"L1",IF(Table1[[#This Row],[Estimated Effort (Hours)]]&lt;50,"L2",IF(Table1[[#This Row],[Estimated Effort (Hours)]]&lt;150,"L3",IF(Table1[[#This Row],[Estimated Effort (Hours)]]&lt;300,"L4","L5")))))</f>
        <v/>
      </c>
      <c r="S1110" s="184" t="str">
        <f>IF(Table1[[#This Row],[Actual End Date]]="","",TEXT(Table1[[#This Row],[Actual End Date]],"mmm-yy"))</f>
        <v/>
      </c>
      <c r="T11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0" s="185" t="str">
        <f>IFERROR((Table1[[#This Row],[Actual Effort (Hours)]]-Table1[[#This Row],[Estimated Effort (Hours)]])/Table1[[#This Row],[Estimated Effort (Hours)]],"")</f>
        <v/>
      </c>
    </row>
    <row r="1111" spans="2:21">
      <c r="B1111" s="125"/>
      <c r="C1111" s="123"/>
      <c r="D1111" s="143"/>
      <c r="E1111" s="123"/>
      <c r="F1111" s="143"/>
      <c r="G1111" s="129"/>
      <c r="H1111" s="124"/>
      <c r="I1111" s="124"/>
      <c r="J1111" s="129"/>
      <c r="K1111" s="194"/>
      <c r="L1111" s="194"/>
      <c r="M1111" s="129"/>
      <c r="N1111" s="129" t="e">
        <f>Table1[[#This Row],[Estimated Effort (Hours)]]/NETWORKDAYS(Table1[[#This Row],[Planned Start Date]],Table1[[#This Row],[Planned End Date]])</f>
        <v>#DIV/0!</v>
      </c>
      <c r="O1111" s="178">
        <f>NETWORKDAYS(Table1[[#This Row],[Planned Start Date]],Table1[[#This Row],[Planned End Date]])</f>
        <v>0</v>
      </c>
      <c r="P1111" s="178">
        <f>NETWORKDAYS(Table1[[#This Row],[Planned Start Date]],$P$7)</f>
        <v>30643</v>
      </c>
      <c r="Q1111" s="129"/>
      <c r="R1111" s="183" t="str">
        <f>IF(Table1[[#This Row],[Actual Effort (Hours)]]="","",IF(Table1[[#This Row],[Estimated Effort (Hours)]]&lt;20,"L1",IF(Table1[[#This Row],[Estimated Effort (Hours)]]&lt;50,"L2",IF(Table1[[#This Row],[Estimated Effort (Hours)]]&lt;150,"L3",IF(Table1[[#This Row],[Estimated Effort (Hours)]]&lt;300,"L4","L5")))))</f>
        <v/>
      </c>
      <c r="S1111" s="184" t="str">
        <f>IF(Table1[[#This Row],[Actual End Date]]="","",TEXT(Table1[[#This Row],[Actual End Date]],"mmm-yy"))</f>
        <v/>
      </c>
      <c r="T11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1" s="185" t="str">
        <f>IFERROR((Table1[[#This Row],[Actual Effort (Hours)]]-Table1[[#This Row],[Estimated Effort (Hours)]])/Table1[[#This Row],[Estimated Effort (Hours)]],"")</f>
        <v/>
      </c>
    </row>
    <row r="1112" spans="2:21">
      <c r="B1112" s="125"/>
      <c r="C1112" s="123"/>
      <c r="D1112" s="143"/>
      <c r="E1112" s="123"/>
      <c r="F1112" s="143"/>
      <c r="G1112" s="129"/>
      <c r="H1112" s="124"/>
      <c r="I1112" s="124"/>
      <c r="J1112" s="129"/>
      <c r="K1112" s="194"/>
      <c r="L1112" s="194"/>
      <c r="M1112" s="129"/>
      <c r="N1112" s="129" t="e">
        <f>Table1[[#This Row],[Estimated Effort (Hours)]]/NETWORKDAYS(Table1[[#This Row],[Planned Start Date]],Table1[[#This Row],[Planned End Date]])</f>
        <v>#DIV/0!</v>
      </c>
      <c r="O1112" s="178">
        <f>NETWORKDAYS(Table1[[#This Row],[Planned Start Date]],Table1[[#This Row],[Planned End Date]])</f>
        <v>0</v>
      </c>
      <c r="P1112" s="178">
        <f>NETWORKDAYS(Table1[[#This Row],[Planned Start Date]],$P$7)</f>
        <v>30643</v>
      </c>
      <c r="Q1112" s="129"/>
      <c r="R1112" s="183" t="str">
        <f>IF(Table1[[#This Row],[Actual Effort (Hours)]]="","",IF(Table1[[#This Row],[Estimated Effort (Hours)]]&lt;20,"L1",IF(Table1[[#This Row],[Estimated Effort (Hours)]]&lt;50,"L2",IF(Table1[[#This Row],[Estimated Effort (Hours)]]&lt;150,"L3",IF(Table1[[#This Row],[Estimated Effort (Hours)]]&lt;300,"L4","L5")))))</f>
        <v/>
      </c>
      <c r="S1112" s="184" t="str">
        <f>IF(Table1[[#This Row],[Actual End Date]]="","",TEXT(Table1[[#This Row],[Actual End Date]],"mmm-yy"))</f>
        <v/>
      </c>
      <c r="T11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2" s="185" t="str">
        <f>IFERROR((Table1[[#This Row],[Actual Effort (Hours)]]-Table1[[#This Row],[Estimated Effort (Hours)]])/Table1[[#This Row],[Estimated Effort (Hours)]],"")</f>
        <v/>
      </c>
    </row>
    <row r="1113" spans="2:21">
      <c r="B1113" s="125"/>
      <c r="C1113" s="123"/>
      <c r="D1113" s="143"/>
      <c r="E1113" s="123"/>
      <c r="F1113" s="143"/>
      <c r="G1113" s="129"/>
      <c r="H1113" s="124"/>
      <c r="I1113" s="124"/>
      <c r="J1113" s="129"/>
      <c r="K1113" s="194"/>
      <c r="L1113" s="194"/>
      <c r="M1113" s="129"/>
      <c r="N1113" s="129" t="e">
        <f>Table1[[#This Row],[Estimated Effort (Hours)]]/NETWORKDAYS(Table1[[#This Row],[Planned Start Date]],Table1[[#This Row],[Planned End Date]])</f>
        <v>#DIV/0!</v>
      </c>
      <c r="O1113" s="178">
        <f>NETWORKDAYS(Table1[[#This Row],[Planned Start Date]],Table1[[#This Row],[Planned End Date]])</f>
        <v>0</v>
      </c>
      <c r="P1113" s="178">
        <f>NETWORKDAYS(Table1[[#This Row],[Planned Start Date]],$P$7)</f>
        <v>30643</v>
      </c>
      <c r="Q1113" s="129"/>
      <c r="R1113" s="183" t="str">
        <f>IF(Table1[[#This Row],[Actual Effort (Hours)]]="","",IF(Table1[[#This Row],[Estimated Effort (Hours)]]&lt;20,"L1",IF(Table1[[#This Row],[Estimated Effort (Hours)]]&lt;50,"L2",IF(Table1[[#This Row],[Estimated Effort (Hours)]]&lt;150,"L3",IF(Table1[[#This Row],[Estimated Effort (Hours)]]&lt;300,"L4","L5")))))</f>
        <v/>
      </c>
      <c r="S1113" s="184" t="str">
        <f>IF(Table1[[#This Row],[Actual End Date]]="","",TEXT(Table1[[#This Row],[Actual End Date]],"mmm-yy"))</f>
        <v/>
      </c>
      <c r="T11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3" s="185" t="str">
        <f>IFERROR((Table1[[#This Row],[Actual Effort (Hours)]]-Table1[[#This Row],[Estimated Effort (Hours)]])/Table1[[#This Row],[Estimated Effort (Hours)]],"")</f>
        <v/>
      </c>
    </row>
    <row r="1114" spans="2:21">
      <c r="B1114" s="125"/>
      <c r="C1114" s="123"/>
      <c r="D1114" s="143"/>
      <c r="E1114" s="123"/>
      <c r="F1114" s="143"/>
      <c r="G1114" s="129"/>
      <c r="H1114" s="124"/>
      <c r="I1114" s="124"/>
      <c r="J1114" s="129"/>
      <c r="K1114" s="194"/>
      <c r="L1114" s="194"/>
      <c r="M1114" s="129"/>
      <c r="N1114" s="129" t="e">
        <f>Table1[[#This Row],[Estimated Effort (Hours)]]/NETWORKDAYS(Table1[[#This Row],[Planned Start Date]],Table1[[#This Row],[Planned End Date]])</f>
        <v>#DIV/0!</v>
      </c>
      <c r="O1114" s="178">
        <f>NETWORKDAYS(Table1[[#This Row],[Planned Start Date]],Table1[[#This Row],[Planned End Date]])</f>
        <v>0</v>
      </c>
      <c r="P1114" s="178">
        <f>NETWORKDAYS(Table1[[#This Row],[Planned Start Date]],$P$7)</f>
        <v>30643</v>
      </c>
      <c r="Q1114" s="129"/>
      <c r="R1114" s="183" t="str">
        <f>IF(Table1[[#This Row],[Actual Effort (Hours)]]="","",IF(Table1[[#This Row],[Estimated Effort (Hours)]]&lt;20,"L1",IF(Table1[[#This Row],[Estimated Effort (Hours)]]&lt;50,"L2",IF(Table1[[#This Row],[Estimated Effort (Hours)]]&lt;150,"L3",IF(Table1[[#This Row],[Estimated Effort (Hours)]]&lt;300,"L4","L5")))))</f>
        <v/>
      </c>
      <c r="S1114" s="184" t="str">
        <f>IF(Table1[[#This Row],[Actual End Date]]="","",TEXT(Table1[[#This Row],[Actual End Date]],"mmm-yy"))</f>
        <v/>
      </c>
      <c r="T11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4" s="185" t="str">
        <f>IFERROR((Table1[[#This Row],[Actual Effort (Hours)]]-Table1[[#This Row],[Estimated Effort (Hours)]])/Table1[[#This Row],[Estimated Effort (Hours)]],"")</f>
        <v/>
      </c>
    </row>
    <row r="1115" spans="2:21">
      <c r="B1115" s="125"/>
      <c r="C1115" s="123"/>
      <c r="D1115" s="143"/>
      <c r="E1115" s="123"/>
      <c r="F1115" s="143"/>
      <c r="G1115" s="129"/>
      <c r="H1115" s="124"/>
      <c r="I1115" s="124"/>
      <c r="J1115" s="129"/>
      <c r="K1115" s="194"/>
      <c r="L1115" s="194"/>
      <c r="M1115" s="129"/>
      <c r="N1115" s="129" t="e">
        <f>Table1[[#This Row],[Estimated Effort (Hours)]]/NETWORKDAYS(Table1[[#This Row],[Planned Start Date]],Table1[[#This Row],[Planned End Date]])</f>
        <v>#DIV/0!</v>
      </c>
      <c r="O1115" s="178">
        <f>NETWORKDAYS(Table1[[#This Row],[Planned Start Date]],Table1[[#This Row],[Planned End Date]])</f>
        <v>0</v>
      </c>
      <c r="P1115" s="178">
        <f>NETWORKDAYS(Table1[[#This Row],[Planned Start Date]],$P$7)</f>
        <v>30643</v>
      </c>
      <c r="Q1115" s="129"/>
      <c r="R1115" s="183" t="str">
        <f>IF(Table1[[#This Row],[Actual Effort (Hours)]]="","",IF(Table1[[#This Row],[Estimated Effort (Hours)]]&lt;20,"L1",IF(Table1[[#This Row],[Estimated Effort (Hours)]]&lt;50,"L2",IF(Table1[[#This Row],[Estimated Effort (Hours)]]&lt;150,"L3",IF(Table1[[#This Row],[Estimated Effort (Hours)]]&lt;300,"L4","L5")))))</f>
        <v/>
      </c>
      <c r="S1115" s="184" t="str">
        <f>IF(Table1[[#This Row],[Actual End Date]]="","",TEXT(Table1[[#This Row],[Actual End Date]],"mmm-yy"))</f>
        <v/>
      </c>
      <c r="T11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5" s="185" t="str">
        <f>IFERROR((Table1[[#This Row],[Actual Effort (Hours)]]-Table1[[#This Row],[Estimated Effort (Hours)]])/Table1[[#This Row],[Estimated Effort (Hours)]],"")</f>
        <v/>
      </c>
    </row>
    <row r="1116" spans="2:21">
      <c r="B1116" s="125"/>
      <c r="C1116" s="123"/>
      <c r="D1116" s="143"/>
      <c r="E1116" s="123"/>
      <c r="F1116" s="143"/>
      <c r="G1116" s="129"/>
      <c r="H1116" s="124"/>
      <c r="I1116" s="124"/>
      <c r="J1116" s="129"/>
      <c r="K1116" s="194"/>
      <c r="L1116" s="194"/>
      <c r="M1116" s="129"/>
      <c r="N1116" s="129" t="e">
        <f>Table1[[#This Row],[Estimated Effort (Hours)]]/NETWORKDAYS(Table1[[#This Row],[Planned Start Date]],Table1[[#This Row],[Planned End Date]])</f>
        <v>#DIV/0!</v>
      </c>
      <c r="O1116" s="178">
        <f>NETWORKDAYS(Table1[[#This Row],[Planned Start Date]],Table1[[#This Row],[Planned End Date]])</f>
        <v>0</v>
      </c>
      <c r="P1116" s="178">
        <f>NETWORKDAYS(Table1[[#This Row],[Planned Start Date]],$P$7)</f>
        <v>30643</v>
      </c>
      <c r="Q1116" s="129"/>
      <c r="R1116" s="183" t="str">
        <f>IF(Table1[[#This Row],[Actual Effort (Hours)]]="","",IF(Table1[[#This Row],[Estimated Effort (Hours)]]&lt;20,"L1",IF(Table1[[#This Row],[Estimated Effort (Hours)]]&lt;50,"L2",IF(Table1[[#This Row],[Estimated Effort (Hours)]]&lt;150,"L3",IF(Table1[[#This Row],[Estimated Effort (Hours)]]&lt;300,"L4","L5")))))</f>
        <v/>
      </c>
      <c r="S1116" s="184" t="str">
        <f>IF(Table1[[#This Row],[Actual End Date]]="","",TEXT(Table1[[#This Row],[Actual End Date]],"mmm-yy"))</f>
        <v/>
      </c>
      <c r="T11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6" s="185" t="str">
        <f>IFERROR((Table1[[#This Row],[Actual Effort (Hours)]]-Table1[[#This Row],[Estimated Effort (Hours)]])/Table1[[#This Row],[Estimated Effort (Hours)]],"")</f>
        <v/>
      </c>
    </row>
    <row r="1117" spans="2:21">
      <c r="B1117" s="125"/>
      <c r="C1117" s="123"/>
      <c r="D1117" s="143"/>
      <c r="E1117" s="123"/>
      <c r="F1117" s="143"/>
      <c r="G1117" s="129"/>
      <c r="H1117" s="124"/>
      <c r="I1117" s="124"/>
      <c r="J1117" s="129"/>
      <c r="K1117" s="194"/>
      <c r="L1117" s="194"/>
      <c r="M1117" s="129"/>
      <c r="N1117" s="129" t="e">
        <f>Table1[[#This Row],[Estimated Effort (Hours)]]/NETWORKDAYS(Table1[[#This Row],[Planned Start Date]],Table1[[#This Row],[Planned End Date]])</f>
        <v>#DIV/0!</v>
      </c>
      <c r="O1117" s="178">
        <f>NETWORKDAYS(Table1[[#This Row],[Planned Start Date]],Table1[[#This Row],[Planned End Date]])</f>
        <v>0</v>
      </c>
      <c r="P1117" s="178">
        <f>NETWORKDAYS(Table1[[#This Row],[Planned Start Date]],$P$7)</f>
        <v>30643</v>
      </c>
      <c r="Q1117" s="129"/>
      <c r="R1117" s="183" t="str">
        <f>IF(Table1[[#This Row],[Actual Effort (Hours)]]="","",IF(Table1[[#This Row],[Estimated Effort (Hours)]]&lt;20,"L1",IF(Table1[[#This Row],[Estimated Effort (Hours)]]&lt;50,"L2",IF(Table1[[#This Row],[Estimated Effort (Hours)]]&lt;150,"L3",IF(Table1[[#This Row],[Estimated Effort (Hours)]]&lt;300,"L4","L5")))))</f>
        <v/>
      </c>
      <c r="S1117" s="184" t="str">
        <f>IF(Table1[[#This Row],[Actual End Date]]="","",TEXT(Table1[[#This Row],[Actual End Date]],"mmm-yy"))</f>
        <v/>
      </c>
      <c r="T11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7" s="185" t="str">
        <f>IFERROR((Table1[[#This Row],[Actual Effort (Hours)]]-Table1[[#This Row],[Estimated Effort (Hours)]])/Table1[[#This Row],[Estimated Effort (Hours)]],"")</f>
        <v/>
      </c>
    </row>
    <row r="1118" spans="2:21">
      <c r="B1118" s="125"/>
      <c r="C1118" s="123"/>
      <c r="D1118" s="143"/>
      <c r="E1118" s="123"/>
      <c r="F1118" s="143"/>
      <c r="G1118" s="129"/>
      <c r="H1118" s="124"/>
      <c r="I1118" s="124"/>
      <c r="J1118" s="129"/>
      <c r="K1118" s="194"/>
      <c r="L1118" s="194"/>
      <c r="M1118" s="129"/>
      <c r="N1118" s="129" t="e">
        <f>Table1[[#This Row],[Estimated Effort (Hours)]]/NETWORKDAYS(Table1[[#This Row],[Planned Start Date]],Table1[[#This Row],[Planned End Date]])</f>
        <v>#DIV/0!</v>
      </c>
      <c r="O1118" s="178">
        <f>NETWORKDAYS(Table1[[#This Row],[Planned Start Date]],Table1[[#This Row],[Planned End Date]])</f>
        <v>0</v>
      </c>
      <c r="P1118" s="178">
        <f>NETWORKDAYS(Table1[[#This Row],[Planned Start Date]],$P$7)</f>
        <v>30643</v>
      </c>
      <c r="Q1118" s="129"/>
      <c r="R1118" s="183" t="str">
        <f>IF(Table1[[#This Row],[Actual Effort (Hours)]]="","",IF(Table1[[#This Row],[Estimated Effort (Hours)]]&lt;20,"L1",IF(Table1[[#This Row],[Estimated Effort (Hours)]]&lt;50,"L2",IF(Table1[[#This Row],[Estimated Effort (Hours)]]&lt;150,"L3",IF(Table1[[#This Row],[Estimated Effort (Hours)]]&lt;300,"L4","L5")))))</f>
        <v/>
      </c>
      <c r="S1118" s="184" t="str">
        <f>IF(Table1[[#This Row],[Actual End Date]]="","",TEXT(Table1[[#This Row],[Actual End Date]],"mmm-yy"))</f>
        <v/>
      </c>
      <c r="T11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8" s="185" t="str">
        <f>IFERROR((Table1[[#This Row],[Actual Effort (Hours)]]-Table1[[#This Row],[Estimated Effort (Hours)]])/Table1[[#This Row],[Estimated Effort (Hours)]],"")</f>
        <v/>
      </c>
    </row>
    <row r="1119" spans="2:21">
      <c r="B1119" s="125"/>
      <c r="C1119" s="123"/>
      <c r="D1119" s="143"/>
      <c r="E1119" s="123"/>
      <c r="F1119" s="143"/>
      <c r="G1119" s="129"/>
      <c r="H1119" s="124"/>
      <c r="I1119" s="124"/>
      <c r="J1119" s="129"/>
      <c r="K1119" s="194"/>
      <c r="L1119" s="194"/>
      <c r="M1119" s="129"/>
      <c r="N1119" s="129" t="e">
        <f>Table1[[#This Row],[Estimated Effort (Hours)]]/NETWORKDAYS(Table1[[#This Row],[Planned Start Date]],Table1[[#This Row],[Planned End Date]])</f>
        <v>#DIV/0!</v>
      </c>
      <c r="O1119" s="178">
        <f>NETWORKDAYS(Table1[[#This Row],[Planned Start Date]],Table1[[#This Row],[Planned End Date]])</f>
        <v>0</v>
      </c>
      <c r="P1119" s="178">
        <f>NETWORKDAYS(Table1[[#This Row],[Planned Start Date]],$P$7)</f>
        <v>30643</v>
      </c>
      <c r="Q1119" s="129"/>
      <c r="R1119" s="183" t="str">
        <f>IF(Table1[[#This Row],[Actual Effort (Hours)]]="","",IF(Table1[[#This Row],[Estimated Effort (Hours)]]&lt;20,"L1",IF(Table1[[#This Row],[Estimated Effort (Hours)]]&lt;50,"L2",IF(Table1[[#This Row],[Estimated Effort (Hours)]]&lt;150,"L3",IF(Table1[[#This Row],[Estimated Effort (Hours)]]&lt;300,"L4","L5")))))</f>
        <v/>
      </c>
      <c r="S1119" s="184" t="str">
        <f>IF(Table1[[#This Row],[Actual End Date]]="","",TEXT(Table1[[#This Row],[Actual End Date]],"mmm-yy"))</f>
        <v/>
      </c>
      <c r="T11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19" s="185" t="str">
        <f>IFERROR((Table1[[#This Row],[Actual Effort (Hours)]]-Table1[[#This Row],[Estimated Effort (Hours)]])/Table1[[#This Row],[Estimated Effort (Hours)]],"")</f>
        <v/>
      </c>
    </row>
    <row r="1120" spans="2:21">
      <c r="B1120" s="125"/>
      <c r="C1120" s="123"/>
      <c r="D1120" s="143"/>
      <c r="E1120" s="123"/>
      <c r="F1120" s="143"/>
      <c r="G1120" s="129"/>
      <c r="H1120" s="124"/>
      <c r="I1120" s="124"/>
      <c r="J1120" s="129"/>
      <c r="K1120" s="194"/>
      <c r="L1120" s="194"/>
      <c r="M1120" s="129"/>
      <c r="N1120" s="129" t="e">
        <f>Table1[[#This Row],[Estimated Effort (Hours)]]/NETWORKDAYS(Table1[[#This Row],[Planned Start Date]],Table1[[#This Row],[Planned End Date]])</f>
        <v>#DIV/0!</v>
      </c>
      <c r="O1120" s="178">
        <f>NETWORKDAYS(Table1[[#This Row],[Planned Start Date]],Table1[[#This Row],[Planned End Date]])</f>
        <v>0</v>
      </c>
      <c r="P1120" s="178">
        <f>NETWORKDAYS(Table1[[#This Row],[Planned Start Date]],$P$7)</f>
        <v>30643</v>
      </c>
      <c r="Q1120" s="129"/>
      <c r="R1120" s="183" t="str">
        <f>IF(Table1[[#This Row],[Actual Effort (Hours)]]="","",IF(Table1[[#This Row],[Estimated Effort (Hours)]]&lt;20,"L1",IF(Table1[[#This Row],[Estimated Effort (Hours)]]&lt;50,"L2",IF(Table1[[#This Row],[Estimated Effort (Hours)]]&lt;150,"L3",IF(Table1[[#This Row],[Estimated Effort (Hours)]]&lt;300,"L4","L5")))))</f>
        <v/>
      </c>
      <c r="S1120" s="184" t="str">
        <f>IF(Table1[[#This Row],[Actual End Date]]="","",TEXT(Table1[[#This Row],[Actual End Date]],"mmm-yy"))</f>
        <v/>
      </c>
      <c r="T11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0" s="185" t="str">
        <f>IFERROR((Table1[[#This Row],[Actual Effort (Hours)]]-Table1[[#This Row],[Estimated Effort (Hours)]])/Table1[[#This Row],[Estimated Effort (Hours)]],"")</f>
        <v/>
      </c>
    </row>
    <row r="1121" spans="2:21">
      <c r="B1121" s="125"/>
      <c r="C1121" s="123"/>
      <c r="D1121" s="143"/>
      <c r="E1121" s="123"/>
      <c r="F1121" s="143"/>
      <c r="G1121" s="129"/>
      <c r="H1121" s="124"/>
      <c r="I1121" s="124"/>
      <c r="J1121" s="129"/>
      <c r="K1121" s="194"/>
      <c r="L1121" s="194"/>
      <c r="M1121" s="129"/>
      <c r="N1121" s="129" t="e">
        <f>Table1[[#This Row],[Estimated Effort (Hours)]]/NETWORKDAYS(Table1[[#This Row],[Planned Start Date]],Table1[[#This Row],[Planned End Date]])</f>
        <v>#DIV/0!</v>
      </c>
      <c r="O1121" s="178">
        <f>NETWORKDAYS(Table1[[#This Row],[Planned Start Date]],Table1[[#This Row],[Planned End Date]])</f>
        <v>0</v>
      </c>
      <c r="P1121" s="178">
        <f>NETWORKDAYS(Table1[[#This Row],[Planned Start Date]],$P$7)</f>
        <v>30643</v>
      </c>
      <c r="Q1121" s="129"/>
      <c r="R1121" s="183" t="str">
        <f>IF(Table1[[#This Row],[Actual Effort (Hours)]]="","",IF(Table1[[#This Row],[Estimated Effort (Hours)]]&lt;20,"L1",IF(Table1[[#This Row],[Estimated Effort (Hours)]]&lt;50,"L2",IF(Table1[[#This Row],[Estimated Effort (Hours)]]&lt;150,"L3",IF(Table1[[#This Row],[Estimated Effort (Hours)]]&lt;300,"L4","L5")))))</f>
        <v/>
      </c>
      <c r="S1121" s="184" t="str">
        <f>IF(Table1[[#This Row],[Actual End Date]]="","",TEXT(Table1[[#This Row],[Actual End Date]],"mmm-yy"))</f>
        <v/>
      </c>
      <c r="T11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1" s="185" t="str">
        <f>IFERROR((Table1[[#This Row],[Actual Effort (Hours)]]-Table1[[#This Row],[Estimated Effort (Hours)]])/Table1[[#This Row],[Estimated Effort (Hours)]],"")</f>
        <v/>
      </c>
    </row>
    <row r="1122" spans="2:21">
      <c r="B1122" s="125"/>
      <c r="C1122" s="123"/>
      <c r="D1122" s="143"/>
      <c r="E1122" s="123"/>
      <c r="F1122" s="143"/>
      <c r="G1122" s="129"/>
      <c r="H1122" s="124"/>
      <c r="I1122" s="124"/>
      <c r="J1122" s="129"/>
      <c r="K1122" s="194"/>
      <c r="L1122" s="194"/>
      <c r="M1122" s="129"/>
      <c r="N1122" s="129" t="e">
        <f>Table1[[#This Row],[Estimated Effort (Hours)]]/NETWORKDAYS(Table1[[#This Row],[Planned Start Date]],Table1[[#This Row],[Planned End Date]])</f>
        <v>#DIV/0!</v>
      </c>
      <c r="O1122" s="178">
        <f>NETWORKDAYS(Table1[[#This Row],[Planned Start Date]],Table1[[#This Row],[Planned End Date]])</f>
        <v>0</v>
      </c>
      <c r="P1122" s="178">
        <f>NETWORKDAYS(Table1[[#This Row],[Planned Start Date]],$P$7)</f>
        <v>30643</v>
      </c>
      <c r="Q1122" s="129"/>
      <c r="R1122" s="183" t="str">
        <f>IF(Table1[[#This Row],[Actual Effort (Hours)]]="","",IF(Table1[[#This Row],[Estimated Effort (Hours)]]&lt;20,"L1",IF(Table1[[#This Row],[Estimated Effort (Hours)]]&lt;50,"L2",IF(Table1[[#This Row],[Estimated Effort (Hours)]]&lt;150,"L3",IF(Table1[[#This Row],[Estimated Effort (Hours)]]&lt;300,"L4","L5")))))</f>
        <v/>
      </c>
      <c r="S1122" s="184" t="str">
        <f>IF(Table1[[#This Row],[Actual End Date]]="","",TEXT(Table1[[#This Row],[Actual End Date]],"mmm-yy"))</f>
        <v/>
      </c>
      <c r="T11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2" s="185" t="str">
        <f>IFERROR((Table1[[#This Row],[Actual Effort (Hours)]]-Table1[[#This Row],[Estimated Effort (Hours)]])/Table1[[#This Row],[Estimated Effort (Hours)]],"")</f>
        <v/>
      </c>
    </row>
    <row r="1123" spans="2:21">
      <c r="B1123" s="125"/>
      <c r="C1123" s="123"/>
      <c r="D1123" s="143"/>
      <c r="E1123" s="123"/>
      <c r="F1123" s="143"/>
      <c r="G1123" s="129"/>
      <c r="H1123" s="124"/>
      <c r="I1123" s="124"/>
      <c r="J1123" s="129"/>
      <c r="K1123" s="194"/>
      <c r="L1123" s="194"/>
      <c r="M1123" s="129"/>
      <c r="N1123" s="129" t="e">
        <f>Table1[[#This Row],[Estimated Effort (Hours)]]/NETWORKDAYS(Table1[[#This Row],[Planned Start Date]],Table1[[#This Row],[Planned End Date]])</f>
        <v>#DIV/0!</v>
      </c>
      <c r="O1123" s="178">
        <f>NETWORKDAYS(Table1[[#This Row],[Planned Start Date]],Table1[[#This Row],[Planned End Date]])</f>
        <v>0</v>
      </c>
      <c r="P1123" s="178">
        <f>NETWORKDAYS(Table1[[#This Row],[Planned Start Date]],$P$7)</f>
        <v>30643</v>
      </c>
      <c r="Q1123" s="129"/>
      <c r="R1123" s="183" t="str">
        <f>IF(Table1[[#This Row],[Actual Effort (Hours)]]="","",IF(Table1[[#This Row],[Estimated Effort (Hours)]]&lt;20,"L1",IF(Table1[[#This Row],[Estimated Effort (Hours)]]&lt;50,"L2",IF(Table1[[#This Row],[Estimated Effort (Hours)]]&lt;150,"L3",IF(Table1[[#This Row],[Estimated Effort (Hours)]]&lt;300,"L4","L5")))))</f>
        <v/>
      </c>
      <c r="S1123" s="184" t="str">
        <f>IF(Table1[[#This Row],[Actual End Date]]="","",TEXT(Table1[[#This Row],[Actual End Date]],"mmm-yy"))</f>
        <v/>
      </c>
      <c r="T11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3" s="185" t="str">
        <f>IFERROR((Table1[[#This Row],[Actual Effort (Hours)]]-Table1[[#This Row],[Estimated Effort (Hours)]])/Table1[[#This Row],[Estimated Effort (Hours)]],"")</f>
        <v/>
      </c>
    </row>
    <row r="1124" spans="2:21">
      <c r="B1124" s="125"/>
      <c r="C1124" s="123"/>
      <c r="D1124" s="143"/>
      <c r="E1124" s="123"/>
      <c r="F1124" s="143"/>
      <c r="G1124" s="129"/>
      <c r="H1124" s="124"/>
      <c r="I1124" s="124"/>
      <c r="J1124" s="129"/>
      <c r="K1124" s="194"/>
      <c r="L1124" s="194"/>
      <c r="M1124" s="129"/>
      <c r="N1124" s="129" t="e">
        <f>Table1[[#This Row],[Estimated Effort (Hours)]]/NETWORKDAYS(Table1[[#This Row],[Planned Start Date]],Table1[[#This Row],[Planned End Date]])</f>
        <v>#DIV/0!</v>
      </c>
      <c r="O1124" s="178">
        <f>NETWORKDAYS(Table1[[#This Row],[Planned Start Date]],Table1[[#This Row],[Planned End Date]])</f>
        <v>0</v>
      </c>
      <c r="P1124" s="178">
        <f>NETWORKDAYS(Table1[[#This Row],[Planned Start Date]],$P$7)</f>
        <v>30643</v>
      </c>
      <c r="Q1124" s="129"/>
      <c r="R1124" s="183" t="str">
        <f>IF(Table1[[#This Row],[Actual Effort (Hours)]]="","",IF(Table1[[#This Row],[Estimated Effort (Hours)]]&lt;20,"L1",IF(Table1[[#This Row],[Estimated Effort (Hours)]]&lt;50,"L2",IF(Table1[[#This Row],[Estimated Effort (Hours)]]&lt;150,"L3",IF(Table1[[#This Row],[Estimated Effort (Hours)]]&lt;300,"L4","L5")))))</f>
        <v/>
      </c>
      <c r="S1124" s="184" t="str">
        <f>IF(Table1[[#This Row],[Actual End Date]]="","",TEXT(Table1[[#This Row],[Actual End Date]],"mmm-yy"))</f>
        <v/>
      </c>
      <c r="T11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4" s="185" t="str">
        <f>IFERROR((Table1[[#This Row],[Actual Effort (Hours)]]-Table1[[#This Row],[Estimated Effort (Hours)]])/Table1[[#This Row],[Estimated Effort (Hours)]],"")</f>
        <v/>
      </c>
    </row>
    <row r="1125" spans="2:21">
      <c r="B1125" s="125"/>
      <c r="C1125" s="123"/>
      <c r="D1125" s="143"/>
      <c r="E1125" s="123"/>
      <c r="F1125" s="143"/>
      <c r="G1125" s="129"/>
      <c r="H1125" s="124"/>
      <c r="I1125" s="124"/>
      <c r="J1125" s="129"/>
      <c r="K1125" s="194"/>
      <c r="L1125" s="194"/>
      <c r="M1125" s="129"/>
      <c r="N1125" s="129" t="e">
        <f>Table1[[#This Row],[Estimated Effort (Hours)]]/NETWORKDAYS(Table1[[#This Row],[Planned Start Date]],Table1[[#This Row],[Planned End Date]])</f>
        <v>#DIV/0!</v>
      </c>
      <c r="O1125" s="178">
        <f>NETWORKDAYS(Table1[[#This Row],[Planned Start Date]],Table1[[#This Row],[Planned End Date]])</f>
        <v>0</v>
      </c>
      <c r="P1125" s="178">
        <f>NETWORKDAYS(Table1[[#This Row],[Planned Start Date]],$P$7)</f>
        <v>30643</v>
      </c>
      <c r="Q1125" s="129"/>
      <c r="R1125" s="183" t="str">
        <f>IF(Table1[[#This Row],[Actual Effort (Hours)]]="","",IF(Table1[[#This Row],[Estimated Effort (Hours)]]&lt;20,"L1",IF(Table1[[#This Row],[Estimated Effort (Hours)]]&lt;50,"L2",IF(Table1[[#This Row],[Estimated Effort (Hours)]]&lt;150,"L3",IF(Table1[[#This Row],[Estimated Effort (Hours)]]&lt;300,"L4","L5")))))</f>
        <v/>
      </c>
      <c r="S1125" s="184" t="str">
        <f>IF(Table1[[#This Row],[Actual End Date]]="","",TEXT(Table1[[#This Row],[Actual End Date]],"mmm-yy"))</f>
        <v/>
      </c>
      <c r="T11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5" s="185" t="str">
        <f>IFERROR((Table1[[#This Row],[Actual Effort (Hours)]]-Table1[[#This Row],[Estimated Effort (Hours)]])/Table1[[#This Row],[Estimated Effort (Hours)]],"")</f>
        <v/>
      </c>
    </row>
    <row r="1126" spans="2:21">
      <c r="B1126" s="125"/>
      <c r="C1126" s="123"/>
      <c r="D1126" s="143"/>
      <c r="E1126" s="123"/>
      <c r="F1126" s="143"/>
      <c r="G1126" s="129"/>
      <c r="H1126" s="124"/>
      <c r="I1126" s="124"/>
      <c r="J1126" s="129"/>
      <c r="K1126" s="194"/>
      <c r="L1126" s="194"/>
      <c r="M1126" s="129"/>
      <c r="N1126" s="129" t="e">
        <f>Table1[[#This Row],[Estimated Effort (Hours)]]/NETWORKDAYS(Table1[[#This Row],[Planned Start Date]],Table1[[#This Row],[Planned End Date]])</f>
        <v>#DIV/0!</v>
      </c>
      <c r="O1126" s="178">
        <f>NETWORKDAYS(Table1[[#This Row],[Planned Start Date]],Table1[[#This Row],[Planned End Date]])</f>
        <v>0</v>
      </c>
      <c r="P1126" s="178">
        <f>NETWORKDAYS(Table1[[#This Row],[Planned Start Date]],$P$7)</f>
        <v>30643</v>
      </c>
      <c r="Q1126" s="129"/>
      <c r="R1126" s="183" t="str">
        <f>IF(Table1[[#This Row],[Actual Effort (Hours)]]="","",IF(Table1[[#This Row],[Estimated Effort (Hours)]]&lt;20,"L1",IF(Table1[[#This Row],[Estimated Effort (Hours)]]&lt;50,"L2",IF(Table1[[#This Row],[Estimated Effort (Hours)]]&lt;150,"L3",IF(Table1[[#This Row],[Estimated Effort (Hours)]]&lt;300,"L4","L5")))))</f>
        <v/>
      </c>
      <c r="S1126" s="184" t="str">
        <f>IF(Table1[[#This Row],[Actual End Date]]="","",TEXT(Table1[[#This Row],[Actual End Date]],"mmm-yy"))</f>
        <v/>
      </c>
      <c r="T11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6" s="185" t="str">
        <f>IFERROR((Table1[[#This Row],[Actual Effort (Hours)]]-Table1[[#This Row],[Estimated Effort (Hours)]])/Table1[[#This Row],[Estimated Effort (Hours)]],"")</f>
        <v/>
      </c>
    </row>
    <row r="1127" spans="2:21">
      <c r="B1127" s="125"/>
      <c r="C1127" s="123"/>
      <c r="D1127" s="143"/>
      <c r="E1127" s="123"/>
      <c r="F1127" s="143"/>
      <c r="G1127" s="129"/>
      <c r="H1127" s="124"/>
      <c r="I1127" s="124"/>
      <c r="J1127" s="129"/>
      <c r="K1127" s="194"/>
      <c r="L1127" s="194"/>
      <c r="M1127" s="129"/>
      <c r="N1127" s="129" t="e">
        <f>Table1[[#This Row],[Estimated Effort (Hours)]]/NETWORKDAYS(Table1[[#This Row],[Planned Start Date]],Table1[[#This Row],[Planned End Date]])</f>
        <v>#DIV/0!</v>
      </c>
      <c r="O1127" s="178">
        <f>NETWORKDAYS(Table1[[#This Row],[Planned Start Date]],Table1[[#This Row],[Planned End Date]])</f>
        <v>0</v>
      </c>
      <c r="P1127" s="178">
        <f>NETWORKDAYS(Table1[[#This Row],[Planned Start Date]],$P$7)</f>
        <v>30643</v>
      </c>
      <c r="Q1127" s="129"/>
      <c r="R1127" s="183" t="str">
        <f>IF(Table1[[#This Row],[Actual Effort (Hours)]]="","",IF(Table1[[#This Row],[Estimated Effort (Hours)]]&lt;20,"L1",IF(Table1[[#This Row],[Estimated Effort (Hours)]]&lt;50,"L2",IF(Table1[[#This Row],[Estimated Effort (Hours)]]&lt;150,"L3",IF(Table1[[#This Row],[Estimated Effort (Hours)]]&lt;300,"L4","L5")))))</f>
        <v/>
      </c>
      <c r="S1127" s="184" t="str">
        <f>IF(Table1[[#This Row],[Actual End Date]]="","",TEXT(Table1[[#This Row],[Actual End Date]],"mmm-yy"))</f>
        <v/>
      </c>
      <c r="T11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7" s="185" t="str">
        <f>IFERROR((Table1[[#This Row],[Actual Effort (Hours)]]-Table1[[#This Row],[Estimated Effort (Hours)]])/Table1[[#This Row],[Estimated Effort (Hours)]],"")</f>
        <v/>
      </c>
    </row>
    <row r="1128" spans="2:21">
      <c r="B1128" s="125"/>
      <c r="C1128" s="123"/>
      <c r="D1128" s="143"/>
      <c r="E1128" s="123"/>
      <c r="F1128" s="143"/>
      <c r="G1128" s="129"/>
      <c r="H1128" s="124"/>
      <c r="I1128" s="124"/>
      <c r="J1128" s="129"/>
      <c r="K1128" s="194"/>
      <c r="L1128" s="194"/>
      <c r="M1128" s="129"/>
      <c r="N1128" s="129" t="e">
        <f>Table1[[#This Row],[Estimated Effort (Hours)]]/NETWORKDAYS(Table1[[#This Row],[Planned Start Date]],Table1[[#This Row],[Planned End Date]])</f>
        <v>#DIV/0!</v>
      </c>
      <c r="O1128" s="178">
        <f>NETWORKDAYS(Table1[[#This Row],[Planned Start Date]],Table1[[#This Row],[Planned End Date]])</f>
        <v>0</v>
      </c>
      <c r="P1128" s="178">
        <f>NETWORKDAYS(Table1[[#This Row],[Planned Start Date]],$P$7)</f>
        <v>30643</v>
      </c>
      <c r="Q1128" s="129"/>
      <c r="R1128" s="183" t="str">
        <f>IF(Table1[[#This Row],[Actual Effort (Hours)]]="","",IF(Table1[[#This Row],[Estimated Effort (Hours)]]&lt;20,"L1",IF(Table1[[#This Row],[Estimated Effort (Hours)]]&lt;50,"L2",IF(Table1[[#This Row],[Estimated Effort (Hours)]]&lt;150,"L3",IF(Table1[[#This Row],[Estimated Effort (Hours)]]&lt;300,"L4","L5")))))</f>
        <v/>
      </c>
      <c r="S1128" s="184" t="str">
        <f>IF(Table1[[#This Row],[Actual End Date]]="","",TEXT(Table1[[#This Row],[Actual End Date]],"mmm-yy"))</f>
        <v/>
      </c>
      <c r="T11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8" s="185" t="str">
        <f>IFERROR((Table1[[#This Row],[Actual Effort (Hours)]]-Table1[[#This Row],[Estimated Effort (Hours)]])/Table1[[#This Row],[Estimated Effort (Hours)]],"")</f>
        <v/>
      </c>
    </row>
    <row r="1129" spans="2:21">
      <c r="B1129" s="125"/>
      <c r="C1129" s="123"/>
      <c r="D1129" s="143"/>
      <c r="E1129" s="123"/>
      <c r="F1129" s="143"/>
      <c r="G1129" s="129"/>
      <c r="H1129" s="124"/>
      <c r="I1129" s="124"/>
      <c r="J1129" s="129"/>
      <c r="K1129" s="194"/>
      <c r="L1129" s="194"/>
      <c r="M1129" s="129"/>
      <c r="N1129" s="129" t="e">
        <f>Table1[[#This Row],[Estimated Effort (Hours)]]/NETWORKDAYS(Table1[[#This Row],[Planned Start Date]],Table1[[#This Row],[Planned End Date]])</f>
        <v>#DIV/0!</v>
      </c>
      <c r="O1129" s="178">
        <f>NETWORKDAYS(Table1[[#This Row],[Planned Start Date]],Table1[[#This Row],[Planned End Date]])</f>
        <v>0</v>
      </c>
      <c r="P1129" s="178">
        <f>NETWORKDAYS(Table1[[#This Row],[Planned Start Date]],$P$7)</f>
        <v>30643</v>
      </c>
      <c r="Q1129" s="129"/>
      <c r="R1129" s="183" t="str">
        <f>IF(Table1[[#This Row],[Actual Effort (Hours)]]="","",IF(Table1[[#This Row],[Estimated Effort (Hours)]]&lt;20,"L1",IF(Table1[[#This Row],[Estimated Effort (Hours)]]&lt;50,"L2",IF(Table1[[#This Row],[Estimated Effort (Hours)]]&lt;150,"L3",IF(Table1[[#This Row],[Estimated Effort (Hours)]]&lt;300,"L4","L5")))))</f>
        <v/>
      </c>
      <c r="S1129" s="184" t="str">
        <f>IF(Table1[[#This Row],[Actual End Date]]="","",TEXT(Table1[[#This Row],[Actual End Date]],"mmm-yy"))</f>
        <v/>
      </c>
      <c r="T11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29" s="185" t="str">
        <f>IFERROR((Table1[[#This Row],[Actual Effort (Hours)]]-Table1[[#This Row],[Estimated Effort (Hours)]])/Table1[[#This Row],[Estimated Effort (Hours)]],"")</f>
        <v/>
      </c>
    </row>
    <row r="1130" spans="2:21">
      <c r="B1130" s="125"/>
      <c r="C1130" s="123"/>
      <c r="D1130" s="143"/>
      <c r="E1130" s="123"/>
      <c r="F1130" s="143"/>
      <c r="G1130" s="129"/>
      <c r="H1130" s="124"/>
      <c r="I1130" s="124"/>
      <c r="J1130" s="129"/>
      <c r="K1130" s="194"/>
      <c r="L1130" s="194"/>
      <c r="M1130" s="129"/>
      <c r="N1130" s="129" t="e">
        <f>Table1[[#This Row],[Estimated Effort (Hours)]]/NETWORKDAYS(Table1[[#This Row],[Planned Start Date]],Table1[[#This Row],[Planned End Date]])</f>
        <v>#DIV/0!</v>
      </c>
      <c r="O1130" s="178">
        <f>NETWORKDAYS(Table1[[#This Row],[Planned Start Date]],Table1[[#This Row],[Planned End Date]])</f>
        <v>0</v>
      </c>
      <c r="P1130" s="178">
        <f>NETWORKDAYS(Table1[[#This Row],[Planned Start Date]],$P$7)</f>
        <v>30643</v>
      </c>
      <c r="Q1130" s="129"/>
      <c r="R1130" s="183" t="str">
        <f>IF(Table1[[#This Row],[Actual Effort (Hours)]]="","",IF(Table1[[#This Row],[Estimated Effort (Hours)]]&lt;20,"L1",IF(Table1[[#This Row],[Estimated Effort (Hours)]]&lt;50,"L2",IF(Table1[[#This Row],[Estimated Effort (Hours)]]&lt;150,"L3",IF(Table1[[#This Row],[Estimated Effort (Hours)]]&lt;300,"L4","L5")))))</f>
        <v/>
      </c>
      <c r="S1130" s="184" t="str">
        <f>IF(Table1[[#This Row],[Actual End Date]]="","",TEXT(Table1[[#This Row],[Actual End Date]],"mmm-yy"))</f>
        <v/>
      </c>
      <c r="T11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0" s="185" t="str">
        <f>IFERROR((Table1[[#This Row],[Actual Effort (Hours)]]-Table1[[#This Row],[Estimated Effort (Hours)]])/Table1[[#This Row],[Estimated Effort (Hours)]],"")</f>
        <v/>
      </c>
    </row>
    <row r="1131" spans="2:21">
      <c r="B1131" s="125"/>
      <c r="C1131" s="123"/>
      <c r="D1131" s="143"/>
      <c r="E1131" s="123"/>
      <c r="F1131" s="143"/>
      <c r="G1131" s="129"/>
      <c r="H1131" s="124"/>
      <c r="I1131" s="124"/>
      <c r="J1131" s="129"/>
      <c r="K1131" s="194"/>
      <c r="L1131" s="194"/>
      <c r="M1131" s="129"/>
      <c r="N1131" s="129" t="e">
        <f>Table1[[#This Row],[Estimated Effort (Hours)]]/NETWORKDAYS(Table1[[#This Row],[Planned Start Date]],Table1[[#This Row],[Planned End Date]])</f>
        <v>#DIV/0!</v>
      </c>
      <c r="O1131" s="178">
        <f>NETWORKDAYS(Table1[[#This Row],[Planned Start Date]],Table1[[#This Row],[Planned End Date]])</f>
        <v>0</v>
      </c>
      <c r="P1131" s="178">
        <f>NETWORKDAYS(Table1[[#This Row],[Planned Start Date]],$P$7)</f>
        <v>30643</v>
      </c>
      <c r="Q1131" s="129"/>
      <c r="R1131" s="183" t="str">
        <f>IF(Table1[[#This Row],[Actual Effort (Hours)]]="","",IF(Table1[[#This Row],[Estimated Effort (Hours)]]&lt;20,"L1",IF(Table1[[#This Row],[Estimated Effort (Hours)]]&lt;50,"L2",IF(Table1[[#This Row],[Estimated Effort (Hours)]]&lt;150,"L3",IF(Table1[[#This Row],[Estimated Effort (Hours)]]&lt;300,"L4","L5")))))</f>
        <v/>
      </c>
      <c r="S1131" s="184" t="str">
        <f>IF(Table1[[#This Row],[Actual End Date]]="","",TEXT(Table1[[#This Row],[Actual End Date]],"mmm-yy"))</f>
        <v/>
      </c>
      <c r="T11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1" s="185" t="str">
        <f>IFERROR((Table1[[#This Row],[Actual Effort (Hours)]]-Table1[[#This Row],[Estimated Effort (Hours)]])/Table1[[#This Row],[Estimated Effort (Hours)]],"")</f>
        <v/>
      </c>
    </row>
    <row r="1132" spans="2:21">
      <c r="B1132" s="125"/>
      <c r="C1132" s="123"/>
      <c r="D1132" s="143"/>
      <c r="E1132" s="123"/>
      <c r="F1132" s="143"/>
      <c r="G1132" s="129"/>
      <c r="H1132" s="124"/>
      <c r="I1132" s="124"/>
      <c r="J1132" s="129"/>
      <c r="K1132" s="194"/>
      <c r="L1132" s="194"/>
      <c r="M1132" s="129"/>
      <c r="N1132" s="129" t="e">
        <f>Table1[[#This Row],[Estimated Effort (Hours)]]/NETWORKDAYS(Table1[[#This Row],[Planned Start Date]],Table1[[#This Row],[Planned End Date]])</f>
        <v>#DIV/0!</v>
      </c>
      <c r="O1132" s="178">
        <f>NETWORKDAYS(Table1[[#This Row],[Planned Start Date]],Table1[[#This Row],[Planned End Date]])</f>
        <v>0</v>
      </c>
      <c r="P1132" s="178">
        <f>NETWORKDAYS(Table1[[#This Row],[Planned Start Date]],$P$7)</f>
        <v>30643</v>
      </c>
      <c r="Q1132" s="129"/>
      <c r="R1132" s="183" t="str">
        <f>IF(Table1[[#This Row],[Actual Effort (Hours)]]="","",IF(Table1[[#This Row],[Estimated Effort (Hours)]]&lt;20,"L1",IF(Table1[[#This Row],[Estimated Effort (Hours)]]&lt;50,"L2",IF(Table1[[#This Row],[Estimated Effort (Hours)]]&lt;150,"L3",IF(Table1[[#This Row],[Estimated Effort (Hours)]]&lt;300,"L4","L5")))))</f>
        <v/>
      </c>
      <c r="S1132" s="184" t="str">
        <f>IF(Table1[[#This Row],[Actual End Date]]="","",TEXT(Table1[[#This Row],[Actual End Date]],"mmm-yy"))</f>
        <v/>
      </c>
      <c r="T11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2" s="185" t="str">
        <f>IFERROR((Table1[[#This Row],[Actual Effort (Hours)]]-Table1[[#This Row],[Estimated Effort (Hours)]])/Table1[[#This Row],[Estimated Effort (Hours)]],"")</f>
        <v/>
      </c>
    </row>
    <row r="1133" spans="2:21">
      <c r="B1133" s="125"/>
      <c r="C1133" s="123"/>
      <c r="D1133" s="143"/>
      <c r="E1133" s="123"/>
      <c r="F1133" s="143"/>
      <c r="G1133" s="129"/>
      <c r="H1133" s="124"/>
      <c r="I1133" s="124"/>
      <c r="J1133" s="129"/>
      <c r="K1133" s="194"/>
      <c r="L1133" s="194"/>
      <c r="M1133" s="129"/>
      <c r="N1133" s="129" t="e">
        <f>Table1[[#This Row],[Estimated Effort (Hours)]]/NETWORKDAYS(Table1[[#This Row],[Planned Start Date]],Table1[[#This Row],[Planned End Date]])</f>
        <v>#DIV/0!</v>
      </c>
      <c r="O1133" s="178">
        <f>NETWORKDAYS(Table1[[#This Row],[Planned Start Date]],Table1[[#This Row],[Planned End Date]])</f>
        <v>0</v>
      </c>
      <c r="P1133" s="178">
        <f>NETWORKDAYS(Table1[[#This Row],[Planned Start Date]],$P$7)</f>
        <v>30643</v>
      </c>
      <c r="Q1133" s="129"/>
      <c r="R1133" s="183" t="str">
        <f>IF(Table1[[#This Row],[Actual Effort (Hours)]]="","",IF(Table1[[#This Row],[Estimated Effort (Hours)]]&lt;20,"L1",IF(Table1[[#This Row],[Estimated Effort (Hours)]]&lt;50,"L2",IF(Table1[[#This Row],[Estimated Effort (Hours)]]&lt;150,"L3",IF(Table1[[#This Row],[Estimated Effort (Hours)]]&lt;300,"L4","L5")))))</f>
        <v/>
      </c>
      <c r="S1133" s="184" t="str">
        <f>IF(Table1[[#This Row],[Actual End Date]]="","",TEXT(Table1[[#This Row],[Actual End Date]],"mmm-yy"))</f>
        <v/>
      </c>
      <c r="T11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3" s="185" t="str">
        <f>IFERROR((Table1[[#This Row],[Actual Effort (Hours)]]-Table1[[#This Row],[Estimated Effort (Hours)]])/Table1[[#This Row],[Estimated Effort (Hours)]],"")</f>
        <v/>
      </c>
    </row>
    <row r="1134" spans="2:21">
      <c r="B1134" s="125"/>
      <c r="C1134" s="123"/>
      <c r="D1134" s="143"/>
      <c r="E1134" s="123"/>
      <c r="F1134" s="143"/>
      <c r="G1134" s="129"/>
      <c r="H1134" s="124"/>
      <c r="I1134" s="124"/>
      <c r="J1134" s="129"/>
      <c r="K1134" s="194"/>
      <c r="L1134" s="194"/>
      <c r="M1134" s="129"/>
      <c r="N1134" s="129" t="e">
        <f>Table1[[#This Row],[Estimated Effort (Hours)]]/NETWORKDAYS(Table1[[#This Row],[Planned Start Date]],Table1[[#This Row],[Planned End Date]])</f>
        <v>#DIV/0!</v>
      </c>
      <c r="O1134" s="178">
        <f>NETWORKDAYS(Table1[[#This Row],[Planned Start Date]],Table1[[#This Row],[Planned End Date]])</f>
        <v>0</v>
      </c>
      <c r="P1134" s="178">
        <f>NETWORKDAYS(Table1[[#This Row],[Planned Start Date]],$P$7)</f>
        <v>30643</v>
      </c>
      <c r="Q1134" s="129"/>
      <c r="R1134" s="183" t="str">
        <f>IF(Table1[[#This Row],[Actual Effort (Hours)]]="","",IF(Table1[[#This Row],[Estimated Effort (Hours)]]&lt;20,"L1",IF(Table1[[#This Row],[Estimated Effort (Hours)]]&lt;50,"L2",IF(Table1[[#This Row],[Estimated Effort (Hours)]]&lt;150,"L3",IF(Table1[[#This Row],[Estimated Effort (Hours)]]&lt;300,"L4","L5")))))</f>
        <v/>
      </c>
      <c r="S1134" s="184" t="str">
        <f>IF(Table1[[#This Row],[Actual End Date]]="","",TEXT(Table1[[#This Row],[Actual End Date]],"mmm-yy"))</f>
        <v/>
      </c>
      <c r="T11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4" s="185" t="str">
        <f>IFERROR((Table1[[#This Row],[Actual Effort (Hours)]]-Table1[[#This Row],[Estimated Effort (Hours)]])/Table1[[#This Row],[Estimated Effort (Hours)]],"")</f>
        <v/>
      </c>
    </row>
    <row r="1135" spans="2:21">
      <c r="B1135" s="125"/>
      <c r="C1135" s="123"/>
      <c r="D1135" s="143"/>
      <c r="E1135" s="123"/>
      <c r="F1135" s="143"/>
      <c r="G1135" s="129"/>
      <c r="H1135" s="124"/>
      <c r="I1135" s="124"/>
      <c r="J1135" s="129"/>
      <c r="K1135" s="194"/>
      <c r="L1135" s="194"/>
      <c r="M1135" s="129"/>
      <c r="N1135" s="129" t="e">
        <f>Table1[[#This Row],[Estimated Effort (Hours)]]/NETWORKDAYS(Table1[[#This Row],[Planned Start Date]],Table1[[#This Row],[Planned End Date]])</f>
        <v>#DIV/0!</v>
      </c>
      <c r="O1135" s="178">
        <f>NETWORKDAYS(Table1[[#This Row],[Planned Start Date]],Table1[[#This Row],[Planned End Date]])</f>
        <v>0</v>
      </c>
      <c r="P1135" s="178">
        <f>NETWORKDAYS(Table1[[#This Row],[Planned Start Date]],$P$7)</f>
        <v>30643</v>
      </c>
      <c r="Q1135" s="129"/>
      <c r="R1135" s="183" t="str">
        <f>IF(Table1[[#This Row],[Actual Effort (Hours)]]="","",IF(Table1[[#This Row],[Estimated Effort (Hours)]]&lt;20,"L1",IF(Table1[[#This Row],[Estimated Effort (Hours)]]&lt;50,"L2",IF(Table1[[#This Row],[Estimated Effort (Hours)]]&lt;150,"L3",IF(Table1[[#This Row],[Estimated Effort (Hours)]]&lt;300,"L4","L5")))))</f>
        <v/>
      </c>
      <c r="S1135" s="184" t="str">
        <f>IF(Table1[[#This Row],[Actual End Date]]="","",TEXT(Table1[[#This Row],[Actual End Date]],"mmm-yy"))</f>
        <v/>
      </c>
      <c r="T11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5" s="185" t="str">
        <f>IFERROR((Table1[[#This Row],[Actual Effort (Hours)]]-Table1[[#This Row],[Estimated Effort (Hours)]])/Table1[[#This Row],[Estimated Effort (Hours)]],"")</f>
        <v/>
      </c>
    </row>
    <row r="1136" spans="2:21">
      <c r="B1136" s="125"/>
      <c r="C1136" s="123"/>
      <c r="D1136" s="143"/>
      <c r="E1136" s="123"/>
      <c r="F1136" s="143"/>
      <c r="G1136" s="129"/>
      <c r="H1136" s="124"/>
      <c r="I1136" s="124"/>
      <c r="J1136" s="129"/>
      <c r="K1136" s="194"/>
      <c r="L1136" s="194"/>
      <c r="M1136" s="129"/>
      <c r="N1136" s="129" t="e">
        <f>Table1[[#This Row],[Estimated Effort (Hours)]]/NETWORKDAYS(Table1[[#This Row],[Planned Start Date]],Table1[[#This Row],[Planned End Date]])</f>
        <v>#DIV/0!</v>
      </c>
      <c r="O1136" s="178">
        <f>NETWORKDAYS(Table1[[#This Row],[Planned Start Date]],Table1[[#This Row],[Planned End Date]])</f>
        <v>0</v>
      </c>
      <c r="P1136" s="178">
        <f>NETWORKDAYS(Table1[[#This Row],[Planned Start Date]],$P$7)</f>
        <v>30643</v>
      </c>
      <c r="Q1136" s="129"/>
      <c r="R1136" s="183" t="str">
        <f>IF(Table1[[#This Row],[Actual Effort (Hours)]]="","",IF(Table1[[#This Row],[Estimated Effort (Hours)]]&lt;20,"L1",IF(Table1[[#This Row],[Estimated Effort (Hours)]]&lt;50,"L2",IF(Table1[[#This Row],[Estimated Effort (Hours)]]&lt;150,"L3",IF(Table1[[#This Row],[Estimated Effort (Hours)]]&lt;300,"L4","L5")))))</f>
        <v/>
      </c>
      <c r="S1136" s="184" t="str">
        <f>IF(Table1[[#This Row],[Actual End Date]]="","",TEXT(Table1[[#This Row],[Actual End Date]],"mmm-yy"))</f>
        <v/>
      </c>
      <c r="T11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6" s="185" t="str">
        <f>IFERROR((Table1[[#This Row],[Actual Effort (Hours)]]-Table1[[#This Row],[Estimated Effort (Hours)]])/Table1[[#This Row],[Estimated Effort (Hours)]],"")</f>
        <v/>
      </c>
    </row>
    <row r="1137" spans="2:21">
      <c r="B1137" s="125"/>
      <c r="C1137" s="123"/>
      <c r="D1137" s="143"/>
      <c r="E1137" s="123"/>
      <c r="F1137" s="143"/>
      <c r="G1137" s="129"/>
      <c r="H1137" s="124"/>
      <c r="I1137" s="124"/>
      <c r="J1137" s="129"/>
      <c r="K1137" s="194"/>
      <c r="L1137" s="194"/>
      <c r="M1137" s="129"/>
      <c r="N1137" s="129" t="e">
        <f>Table1[[#This Row],[Estimated Effort (Hours)]]/NETWORKDAYS(Table1[[#This Row],[Planned Start Date]],Table1[[#This Row],[Planned End Date]])</f>
        <v>#DIV/0!</v>
      </c>
      <c r="O1137" s="178">
        <f>NETWORKDAYS(Table1[[#This Row],[Planned Start Date]],Table1[[#This Row],[Planned End Date]])</f>
        <v>0</v>
      </c>
      <c r="P1137" s="178">
        <f>NETWORKDAYS(Table1[[#This Row],[Planned Start Date]],$P$7)</f>
        <v>30643</v>
      </c>
      <c r="Q1137" s="129"/>
      <c r="R1137" s="183" t="str">
        <f>IF(Table1[[#This Row],[Actual Effort (Hours)]]="","",IF(Table1[[#This Row],[Estimated Effort (Hours)]]&lt;20,"L1",IF(Table1[[#This Row],[Estimated Effort (Hours)]]&lt;50,"L2",IF(Table1[[#This Row],[Estimated Effort (Hours)]]&lt;150,"L3",IF(Table1[[#This Row],[Estimated Effort (Hours)]]&lt;300,"L4","L5")))))</f>
        <v/>
      </c>
      <c r="S1137" s="184" t="str">
        <f>IF(Table1[[#This Row],[Actual End Date]]="","",TEXT(Table1[[#This Row],[Actual End Date]],"mmm-yy"))</f>
        <v/>
      </c>
      <c r="T11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7" s="185" t="str">
        <f>IFERROR((Table1[[#This Row],[Actual Effort (Hours)]]-Table1[[#This Row],[Estimated Effort (Hours)]])/Table1[[#This Row],[Estimated Effort (Hours)]],"")</f>
        <v/>
      </c>
    </row>
    <row r="1138" spans="2:21">
      <c r="B1138" s="125"/>
      <c r="C1138" s="123"/>
      <c r="D1138" s="143"/>
      <c r="E1138" s="123"/>
      <c r="F1138" s="143"/>
      <c r="G1138" s="129"/>
      <c r="H1138" s="124"/>
      <c r="I1138" s="124"/>
      <c r="J1138" s="129"/>
      <c r="K1138" s="194"/>
      <c r="L1138" s="194"/>
      <c r="M1138" s="129"/>
      <c r="N1138" s="129" t="e">
        <f>Table1[[#This Row],[Estimated Effort (Hours)]]/NETWORKDAYS(Table1[[#This Row],[Planned Start Date]],Table1[[#This Row],[Planned End Date]])</f>
        <v>#DIV/0!</v>
      </c>
      <c r="O1138" s="178">
        <f>NETWORKDAYS(Table1[[#This Row],[Planned Start Date]],Table1[[#This Row],[Planned End Date]])</f>
        <v>0</v>
      </c>
      <c r="P1138" s="178">
        <f>NETWORKDAYS(Table1[[#This Row],[Planned Start Date]],$P$7)</f>
        <v>30643</v>
      </c>
      <c r="Q1138" s="129"/>
      <c r="R1138" s="183" t="str">
        <f>IF(Table1[[#This Row],[Actual Effort (Hours)]]="","",IF(Table1[[#This Row],[Estimated Effort (Hours)]]&lt;20,"L1",IF(Table1[[#This Row],[Estimated Effort (Hours)]]&lt;50,"L2",IF(Table1[[#This Row],[Estimated Effort (Hours)]]&lt;150,"L3",IF(Table1[[#This Row],[Estimated Effort (Hours)]]&lt;300,"L4","L5")))))</f>
        <v/>
      </c>
      <c r="S1138" s="184" t="str">
        <f>IF(Table1[[#This Row],[Actual End Date]]="","",TEXT(Table1[[#This Row],[Actual End Date]],"mmm-yy"))</f>
        <v/>
      </c>
      <c r="T11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8" s="185" t="str">
        <f>IFERROR((Table1[[#This Row],[Actual Effort (Hours)]]-Table1[[#This Row],[Estimated Effort (Hours)]])/Table1[[#This Row],[Estimated Effort (Hours)]],"")</f>
        <v/>
      </c>
    </row>
    <row r="1139" spans="2:21">
      <c r="B1139" s="125"/>
      <c r="C1139" s="123"/>
      <c r="D1139" s="143"/>
      <c r="E1139" s="123"/>
      <c r="F1139" s="143"/>
      <c r="G1139" s="129"/>
      <c r="H1139" s="124"/>
      <c r="I1139" s="124"/>
      <c r="J1139" s="129"/>
      <c r="K1139" s="194"/>
      <c r="L1139" s="194"/>
      <c r="M1139" s="129"/>
      <c r="N1139" s="129" t="e">
        <f>Table1[[#This Row],[Estimated Effort (Hours)]]/NETWORKDAYS(Table1[[#This Row],[Planned Start Date]],Table1[[#This Row],[Planned End Date]])</f>
        <v>#DIV/0!</v>
      </c>
      <c r="O1139" s="178">
        <f>NETWORKDAYS(Table1[[#This Row],[Planned Start Date]],Table1[[#This Row],[Planned End Date]])</f>
        <v>0</v>
      </c>
      <c r="P1139" s="178">
        <f>NETWORKDAYS(Table1[[#This Row],[Planned Start Date]],$P$7)</f>
        <v>30643</v>
      </c>
      <c r="Q1139" s="129"/>
      <c r="R1139" s="183" t="str">
        <f>IF(Table1[[#This Row],[Actual Effort (Hours)]]="","",IF(Table1[[#This Row],[Estimated Effort (Hours)]]&lt;20,"L1",IF(Table1[[#This Row],[Estimated Effort (Hours)]]&lt;50,"L2",IF(Table1[[#This Row],[Estimated Effort (Hours)]]&lt;150,"L3",IF(Table1[[#This Row],[Estimated Effort (Hours)]]&lt;300,"L4","L5")))))</f>
        <v/>
      </c>
      <c r="S1139" s="184" t="str">
        <f>IF(Table1[[#This Row],[Actual End Date]]="","",TEXT(Table1[[#This Row],[Actual End Date]],"mmm-yy"))</f>
        <v/>
      </c>
      <c r="T11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39" s="185" t="str">
        <f>IFERROR((Table1[[#This Row],[Actual Effort (Hours)]]-Table1[[#This Row],[Estimated Effort (Hours)]])/Table1[[#This Row],[Estimated Effort (Hours)]],"")</f>
        <v/>
      </c>
    </row>
    <row r="1140" spans="2:21">
      <c r="B1140" s="125"/>
      <c r="C1140" s="123"/>
      <c r="D1140" s="143"/>
      <c r="E1140" s="123"/>
      <c r="F1140" s="143"/>
      <c r="G1140" s="129"/>
      <c r="H1140" s="124"/>
      <c r="I1140" s="124"/>
      <c r="J1140" s="129"/>
      <c r="K1140" s="194"/>
      <c r="L1140" s="194"/>
      <c r="M1140" s="129"/>
      <c r="N1140" s="129" t="e">
        <f>Table1[[#This Row],[Estimated Effort (Hours)]]/NETWORKDAYS(Table1[[#This Row],[Planned Start Date]],Table1[[#This Row],[Planned End Date]])</f>
        <v>#DIV/0!</v>
      </c>
      <c r="O1140" s="178">
        <f>NETWORKDAYS(Table1[[#This Row],[Planned Start Date]],Table1[[#This Row],[Planned End Date]])</f>
        <v>0</v>
      </c>
      <c r="P1140" s="178">
        <f>NETWORKDAYS(Table1[[#This Row],[Planned Start Date]],$P$7)</f>
        <v>30643</v>
      </c>
      <c r="Q1140" s="129"/>
      <c r="R1140" s="183" t="str">
        <f>IF(Table1[[#This Row],[Actual Effort (Hours)]]="","",IF(Table1[[#This Row],[Estimated Effort (Hours)]]&lt;20,"L1",IF(Table1[[#This Row],[Estimated Effort (Hours)]]&lt;50,"L2",IF(Table1[[#This Row],[Estimated Effort (Hours)]]&lt;150,"L3",IF(Table1[[#This Row],[Estimated Effort (Hours)]]&lt;300,"L4","L5")))))</f>
        <v/>
      </c>
      <c r="S1140" s="184" t="str">
        <f>IF(Table1[[#This Row],[Actual End Date]]="","",TEXT(Table1[[#This Row],[Actual End Date]],"mmm-yy"))</f>
        <v/>
      </c>
      <c r="T11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0" s="185" t="str">
        <f>IFERROR((Table1[[#This Row],[Actual Effort (Hours)]]-Table1[[#This Row],[Estimated Effort (Hours)]])/Table1[[#This Row],[Estimated Effort (Hours)]],"")</f>
        <v/>
      </c>
    </row>
    <row r="1141" spans="2:21">
      <c r="B1141" s="125"/>
      <c r="C1141" s="123"/>
      <c r="D1141" s="143"/>
      <c r="E1141" s="123"/>
      <c r="F1141" s="143"/>
      <c r="G1141" s="129"/>
      <c r="H1141" s="124"/>
      <c r="I1141" s="124"/>
      <c r="J1141" s="129"/>
      <c r="K1141" s="194"/>
      <c r="L1141" s="194"/>
      <c r="M1141" s="129"/>
      <c r="N1141" s="129" t="e">
        <f>Table1[[#This Row],[Estimated Effort (Hours)]]/NETWORKDAYS(Table1[[#This Row],[Planned Start Date]],Table1[[#This Row],[Planned End Date]])</f>
        <v>#DIV/0!</v>
      </c>
      <c r="O1141" s="178">
        <f>NETWORKDAYS(Table1[[#This Row],[Planned Start Date]],Table1[[#This Row],[Planned End Date]])</f>
        <v>0</v>
      </c>
      <c r="P1141" s="178">
        <f>NETWORKDAYS(Table1[[#This Row],[Planned Start Date]],$P$7)</f>
        <v>30643</v>
      </c>
      <c r="Q1141" s="129"/>
      <c r="R1141" s="183" t="str">
        <f>IF(Table1[[#This Row],[Actual Effort (Hours)]]="","",IF(Table1[[#This Row],[Estimated Effort (Hours)]]&lt;20,"L1",IF(Table1[[#This Row],[Estimated Effort (Hours)]]&lt;50,"L2",IF(Table1[[#This Row],[Estimated Effort (Hours)]]&lt;150,"L3",IF(Table1[[#This Row],[Estimated Effort (Hours)]]&lt;300,"L4","L5")))))</f>
        <v/>
      </c>
      <c r="S1141" s="184" t="str">
        <f>IF(Table1[[#This Row],[Actual End Date]]="","",TEXT(Table1[[#This Row],[Actual End Date]],"mmm-yy"))</f>
        <v/>
      </c>
      <c r="T11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1" s="185" t="str">
        <f>IFERROR((Table1[[#This Row],[Actual Effort (Hours)]]-Table1[[#This Row],[Estimated Effort (Hours)]])/Table1[[#This Row],[Estimated Effort (Hours)]],"")</f>
        <v/>
      </c>
    </row>
    <row r="1142" spans="2:21">
      <c r="B1142" s="125"/>
      <c r="C1142" s="123"/>
      <c r="D1142" s="143"/>
      <c r="E1142" s="123"/>
      <c r="F1142" s="143"/>
      <c r="G1142" s="129"/>
      <c r="H1142" s="124"/>
      <c r="I1142" s="124"/>
      <c r="J1142" s="129"/>
      <c r="K1142" s="194"/>
      <c r="L1142" s="194"/>
      <c r="M1142" s="129"/>
      <c r="N1142" s="129" t="e">
        <f>Table1[[#This Row],[Estimated Effort (Hours)]]/NETWORKDAYS(Table1[[#This Row],[Planned Start Date]],Table1[[#This Row],[Planned End Date]])</f>
        <v>#DIV/0!</v>
      </c>
      <c r="O1142" s="178">
        <f>NETWORKDAYS(Table1[[#This Row],[Planned Start Date]],Table1[[#This Row],[Planned End Date]])</f>
        <v>0</v>
      </c>
      <c r="P1142" s="178">
        <f>NETWORKDAYS(Table1[[#This Row],[Planned Start Date]],$P$7)</f>
        <v>30643</v>
      </c>
      <c r="Q1142" s="129"/>
      <c r="R1142" s="183" t="str">
        <f>IF(Table1[[#This Row],[Actual Effort (Hours)]]="","",IF(Table1[[#This Row],[Estimated Effort (Hours)]]&lt;20,"L1",IF(Table1[[#This Row],[Estimated Effort (Hours)]]&lt;50,"L2",IF(Table1[[#This Row],[Estimated Effort (Hours)]]&lt;150,"L3",IF(Table1[[#This Row],[Estimated Effort (Hours)]]&lt;300,"L4","L5")))))</f>
        <v/>
      </c>
      <c r="S1142" s="184" t="str">
        <f>IF(Table1[[#This Row],[Actual End Date]]="","",TEXT(Table1[[#This Row],[Actual End Date]],"mmm-yy"))</f>
        <v/>
      </c>
      <c r="T11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2" s="185" t="str">
        <f>IFERROR((Table1[[#This Row],[Actual Effort (Hours)]]-Table1[[#This Row],[Estimated Effort (Hours)]])/Table1[[#This Row],[Estimated Effort (Hours)]],"")</f>
        <v/>
      </c>
    </row>
    <row r="1143" spans="2:21">
      <c r="B1143" s="125"/>
      <c r="C1143" s="123"/>
      <c r="D1143" s="143"/>
      <c r="E1143" s="123"/>
      <c r="F1143" s="143"/>
      <c r="G1143" s="129"/>
      <c r="H1143" s="124"/>
      <c r="I1143" s="124"/>
      <c r="J1143" s="129"/>
      <c r="K1143" s="194"/>
      <c r="L1143" s="194"/>
      <c r="M1143" s="129"/>
      <c r="N1143" s="129" t="e">
        <f>Table1[[#This Row],[Estimated Effort (Hours)]]/NETWORKDAYS(Table1[[#This Row],[Planned Start Date]],Table1[[#This Row],[Planned End Date]])</f>
        <v>#DIV/0!</v>
      </c>
      <c r="O1143" s="178">
        <f>NETWORKDAYS(Table1[[#This Row],[Planned Start Date]],Table1[[#This Row],[Planned End Date]])</f>
        <v>0</v>
      </c>
      <c r="P1143" s="178">
        <f>NETWORKDAYS(Table1[[#This Row],[Planned Start Date]],$P$7)</f>
        <v>30643</v>
      </c>
      <c r="Q1143" s="129"/>
      <c r="R1143" s="183" t="str">
        <f>IF(Table1[[#This Row],[Actual Effort (Hours)]]="","",IF(Table1[[#This Row],[Estimated Effort (Hours)]]&lt;20,"L1",IF(Table1[[#This Row],[Estimated Effort (Hours)]]&lt;50,"L2",IF(Table1[[#This Row],[Estimated Effort (Hours)]]&lt;150,"L3",IF(Table1[[#This Row],[Estimated Effort (Hours)]]&lt;300,"L4","L5")))))</f>
        <v/>
      </c>
      <c r="S1143" s="184" t="str">
        <f>IF(Table1[[#This Row],[Actual End Date]]="","",TEXT(Table1[[#This Row],[Actual End Date]],"mmm-yy"))</f>
        <v/>
      </c>
      <c r="T11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3" s="185" t="str">
        <f>IFERROR((Table1[[#This Row],[Actual Effort (Hours)]]-Table1[[#This Row],[Estimated Effort (Hours)]])/Table1[[#This Row],[Estimated Effort (Hours)]],"")</f>
        <v/>
      </c>
    </row>
    <row r="1144" spans="2:21">
      <c r="B1144" s="125"/>
      <c r="C1144" s="123"/>
      <c r="D1144" s="143"/>
      <c r="E1144" s="123"/>
      <c r="F1144" s="143"/>
      <c r="G1144" s="129"/>
      <c r="H1144" s="124"/>
      <c r="I1144" s="124"/>
      <c r="J1144" s="129"/>
      <c r="K1144" s="194"/>
      <c r="L1144" s="194"/>
      <c r="M1144" s="129"/>
      <c r="N1144" s="129" t="e">
        <f>Table1[[#This Row],[Estimated Effort (Hours)]]/NETWORKDAYS(Table1[[#This Row],[Planned Start Date]],Table1[[#This Row],[Planned End Date]])</f>
        <v>#DIV/0!</v>
      </c>
      <c r="O1144" s="178">
        <f>NETWORKDAYS(Table1[[#This Row],[Planned Start Date]],Table1[[#This Row],[Planned End Date]])</f>
        <v>0</v>
      </c>
      <c r="P1144" s="178">
        <f>NETWORKDAYS(Table1[[#This Row],[Planned Start Date]],$P$7)</f>
        <v>30643</v>
      </c>
      <c r="Q1144" s="129"/>
      <c r="R1144" s="183" t="str">
        <f>IF(Table1[[#This Row],[Actual Effort (Hours)]]="","",IF(Table1[[#This Row],[Estimated Effort (Hours)]]&lt;20,"L1",IF(Table1[[#This Row],[Estimated Effort (Hours)]]&lt;50,"L2",IF(Table1[[#This Row],[Estimated Effort (Hours)]]&lt;150,"L3",IF(Table1[[#This Row],[Estimated Effort (Hours)]]&lt;300,"L4","L5")))))</f>
        <v/>
      </c>
      <c r="S1144" s="184" t="str">
        <f>IF(Table1[[#This Row],[Actual End Date]]="","",TEXT(Table1[[#This Row],[Actual End Date]],"mmm-yy"))</f>
        <v/>
      </c>
      <c r="T11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4" s="185" t="str">
        <f>IFERROR((Table1[[#This Row],[Actual Effort (Hours)]]-Table1[[#This Row],[Estimated Effort (Hours)]])/Table1[[#This Row],[Estimated Effort (Hours)]],"")</f>
        <v/>
      </c>
    </row>
    <row r="1145" spans="2:21">
      <c r="B1145" s="125"/>
      <c r="C1145" s="123"/>
      <c r="D1145" s="143"/>
      <c r="E1145" s="123"/>
      <c r="F1145" s="143"/>
      <c r="G1145" s="129"/>
      <c r="H1145" s="124"/>
      <c r="I1145" s="124"/>
      <c r="J1145" s="129"/>
      <c r="K1145" s="194"/>
      <c r="L1145" s="194"/>
      <c r="M1145" s="129"/>
      <c r="N1145" s="129" t="e">
        <f>Table1[[#This Row],[Estimated Effort (Hours)]]/NETWORKDAYS(Table1[[#This Row],[Planned Start Date]],Table1[[#This Row],[Planned End Date]])</f>
        <v>#DIV/0!</v>
      </c>
      <c r="O1145" s="178">
        <f>NETWORKDAYS(Table1[[#This Row],[Planned Start Date]],Table1[[#This Row],[Planned End Date]])</f>
        <v>0</v>
      </c>
      <c r="P1145" s="178">
        <f>NETWORKDAYS(Table1[[#This Row],[Planned Start Date]],$P$7)</f>
        <v>30643</v>
      </c>
      <c r="Q1145" s="129"/>
      <c r="R1145" s="183" t="str">
        <f>IF(Table1[[#This Row],[Actual Effort (Hours)]]="","",IF(Table1[[#This Row],[Estimated Effort (Hours)]]&lt;20,"L1",IF(Table1[[#This Row],[Estimated Effort (Hours)]]&lt;50,"L2",IF(Table1[[#This Row],[Estimated Effort (Hours)]]&lt;150,"L3",IF(Table1[[#This Row],[Estimated Effort (Hours)]]&lt;300,"L4","L5")))))</f>
        <v/>
      </c>
      <c r="S1145" s="184" t="str">
        <f>IF(Table1[[#This Row],[Actual End Date]]="","",TEXT(Table1[[#This Row],[Actual End Date]],"mmm-yy"))</f>
        <v/>
      </c>
      <c r="T11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5" s="185" t="str">
        <f>IFERROR((Table1[[#This Row],[Actual Effort (Hours)]]-Table1[[#This Row],[Estimated Effort (Hours)]])/Table1[[#This Row],[Estimated Effort (Hours)]],"")</f>
        <v/>
      </c>
    </row>
    <row r="1146" spans="2:21">
      <c r="B1146" s="125"/>
      <c r="C1146" s="123"/>
      <c r="D1146" s="143"/>
      <c r="E1146" s="123"/>
      <c r="F1146" s="143"/>
      <c r="G1146" s="129"/>
      <c r="H1146" s="124"/>
      <c r="I1146" s="124"/>
      <c r="J1146" s="129"/>
      <c r="K1146" s="194"/>
      <c r="L1146" s="194"/>
      <c r="M1146" s="129"/>
      <c r="N1146" s="129" t="e">
        <f>Table1[[#This Row],[Estimated Effort (Hours)]]/NETWORKDAYS(Table1[[#This Row],[Planned Start Date]],Table1[[#This Row],[Planned End Date]])</f>
        <v>#DIV/0!</v>
      </c>
      <c r="O1146" s="178">
        <f>NETWORKDAYS(Table1[[#This Row],[Planned Start Date]],Table1[[#This Row],[Planned End Date]])</f>
        <v>0</v>
      </c>
      <c r="P1146" s="178">
        <f>NETWORKDAYS(Table1[[#This Row],[Planned Start Date]],$P$7)</f>
        <v>30643</v>
      </c>
      <c r="Q1146" s="129"/>
      <c r="R1146" s="183" t="str">
        <f>IF(Table1[[#This Row],[Actual Effort (Hours)]]="","",IF(Table1[[#This Row],[Estimated Effort (Hours)]]&lt;20,"L1",IF(Table1[[#This Row],[Estimated Effort (Hours)]]&lt;50,"L2",IF(Table1[[#This Row],[Estimated Effort (Hours)]]&lt;150,"L3",IF(Table1[[#This Row],[Estimated Effort (Hours)]]&lt;300,"L4","L5")))))</f>
        <v/>
      </c>
      <c r="S1146" s="184" t="str">
        <f>IF(Table1[[#This Row],[Actual End Date]]="","",TEXT(Table1[[#This Row],[Actual End Date]],"mmm-yy"))</f>
        <v/>
      </c>
      <c r="T11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6" s="185" t="str">
        <f>IFERROR((Table1[[#This Row],[Actual Effort (Hours)]]-Table1[[#This Row],[Estimated Effort (Hours)]])/Table1[[#This Row],[Estimated Effort (Hours)]],"")</f>
        <v/>
      </c>
    </row>
    <row r="1147" spans="2:21">
      <c r="B1147" s="125"/>
      <c r="C1147" s="123"/>
      <c r="D1147" s="143"/>
      <c r="E1147" s="123"/>
      <c r="F1147" s="143"/>
      <c r="G1147" s="129"/>
      <c r="H1147" s="124"/>
      <c r="I1147" s="124"/>
      <c r="J1147" s="129"/>
      <c r="K1147" s="194"/>
      <c r="L1147" s="194"/>
      <c r="M1147" s="129"/>
      <c r="N1147" s="129" t="e">
        <f>Table1[[#This Row],[Estimated Effort (Hours)]]/NETWORKDAYS(Table1[[#This Row],[Planned Start Date]],Table1[[#This Row],[Planned End Date]])</f>
        <v>#DIV/0!</v>
      </c>
      <c r="O1147" s="178">
        <f>NETWORKDAYS(Table1[[#This Row],[Planned Start Date]],Table1[[#This Row],[Planned End Date]])</f>
        <v>0</v>
      </c>
      <c r="P1147" s="178">
        <f>NETWORKDAYS(Table1[[#This Row],[Planned Start Date]],$P$7)</f>
        <v>30643</v>
      </c>
      <c r="Q1147" s="129"/>
      <c r="R1147" s="183" t="str">
        <f>IF(Table1[[#This Row],[Actual Effort (Hours)]]="","",IF(Table1[[#This Row],[Estimated Effort (Hours)]]&lt;20,"L1",IF(Table1[[#This Row],[Estimated Effort (Hours)]]&lt;50,"L2",IF(Table1[[#This Row],[Estimated Effort (Hours)]]&lt;150,"L3",IF(Table1[[#This Row],[Estimated Effort (Hours)]]&lt;300,"L4","L5")))))</f>
        <v/>
      </c>
      <c r="S1147" s="184" t="str">
        <f>IF(Table1[[#This Row],[Actual End Date]]="","",TEXT(Table1[[#This Row],[Actual End Date]],"mmm-yy"))</f>
        <v/>
      </c>
      <c r="T11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7" s="185" t="str">
        <f>IFERROR((Table1[[#This Row],[Actual Effort (Hours)]]-Table1[[#This Row],[Estimated Effort (Hours)]])/Table1[[#This Row],[Estimated Effort (Hours)]],"")</f>
        <v/>
      </c>
    </row>
    <row r="1148" spans="2:21">
      <c r="B1148" s="125"/>
      <c r="C1148" s="123"/>
      <c r="D1148" s="143"/>
      <c r="E1148" s="123"/>
      <c r="F1148" s="143"/>
      <c r="G1148" s="129"/>
      <c r="H1148" s="124"/>
      <c r="I1148" s="124"/>
      <c r="J1148" s="129"/>
      <c r="K1148" s="194"/>
      <c r="L1148" s="194"/>
      <c r="M1148" s="129"/>
      <c r="N1148" s="129" t="e">
        <f>Table1[[#This Row],[Estimated Effort (Hours)]]/NETWORKDAYS(Table1[[#This Row],[Planned Start Date]],Table1[[#This Row],[Planned End Date]])</f>
        <v>#DIV/0!</v>
      </c>
      <c r="O1148" s="178">
        <f>NETWORKDAYS(Table1[[#This Row],[Planned Start Date]],Table1[[#This Row],[Planned End Date]])</f>
        <v>0</v>
      </c>
      <c r="P1148" s="178">
        <f>NETWORKDAYS(Table1[[#This Row],[Planned Start Date]],$P$7)</f>
        <v>30643</v>
      </c>
      <c r="Q1148" s="129"/>
      <c r="R1148" s="183" t="str">
        <f>IF(Table1[[#This Row],[Actual Effort (Hours)]]="","",IF(Table1[[#This Row],[Estimated Effort (Hours)]]&lt;20,"L1",IF(Table1[[#This Row],[Estimated Effort (Hours)]]&lt;50,"L2",IF(Table1[[#This Row],[Estimated Effort (Hours)]]&lt;150,"L3",IF(Table1[[#This Row],[Estimated Effort (Hours)]]&lt;300,"L4","L5")))))</f>
        <v/>
      </c>
      <c r="S1148" s="184" t="str">
        <f>IF(Table1[[#This Row],[Actual End Date]]="","",TEXT(Table1[[#This Row],[Actual End Date]],"mmm-yy"))</f>
        <v/>
      </c>
      <c r="T11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8" s="185" t="str">
        <f>IFERROR((Table1[[#This Row],[Actual Effort (Hours)]]-Table1[[#This Row],[Estimated Effort (Hours)]])/Table1[[#This Row],[Estimated Effort (Hours)]],"")</f>
        <v/>
      </c>
    </row>
    <row r="1149" spans="2:21">
      <c r="B1149" s="125"/>
      <c r="C1149" s="123"/>
      <c r="D1149" s="143"/>
      <c r="E1149" s="123"/>
      <c r="F1149" s="143"/>
      <c r="G1149" s="129"/>
      <c r="H1149" s="124"/>
      <c r="I1149" s="124"/>
      <c r="J1149" s="129"/>
      <c r="K1149" s="194"/>
      <c r="L1149" s="194"/>
      <c r="M1149" s="129"/>
      <c r="N1149" s="129" t="e">
        <f>Table1[[#This Row],[Estimated Effort (Hours)]]/NETWORKDAYS(Table1[[#This Row],[Planned Start Date]],Table1[[#This Row],[Planned End Date]])</f>
        <v>#DIV/0!</v>
      </c>
      <c r="O1149" s="178">
        <f>NETWORKDAYS(Table1[[#This Row],[Planned Start Date]],Table1[[#This Row],[Planned End Date]])</f>
        <v>0</v>
      </c>
      <c r="P1149" s="178">
        <f>NETWORKDAYS(Table1[[#This Row],[Planned Start Date]],$P$7)</f>
        <v>30643</v>
      </c>
      <c r="Q1149" s="129"/>
      <c r="R1149" s="183" t="str">
        <f>IF(Table1[[#This Row],[Actual Effort (Hours)]]="","",IF(Table1[[#This Row],[Estimated Effort (Hours)]]&lt;20,"L1",IF(Table1[[#This Row],[Estimated Effort (Hours)]]&lt;50,"L2",IF(Table1[[#This Row],[Estimated Effort (Hours)]]&lt;150,"L3",IF(Table1[[#This Row],[Estimated Effort (Hours)]]&lt;300,"L4","L5")))))</f>
        <v/>
      </c>
      <c r="S1149" s="184" t="str">
        <f>IF(Table1[[#This Row],[Actual End Date]]="","",TEXT(Table1[[#This Row],[Actual End Date]],"mmm-yy"))</f>
        <v/>
      </c>
      <c r="T11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49" s="185" t="str">
        <f>IFERROR((Table1[[#This Row],[Actual Effort (Hours)]]-Table1[[#This Row],[Estimated Effort (Hours)]])/Table1[[#This Row],[Estimated Effort (Hours)]],"")</f>
        <v/>
      </c>
    </row>
    <row r="1150" spans="2:21">
      <c r="B1150" s="125"/>
      <c r="C1150" s="123"/>
      <c r="D1150" s="143"/>
      <c r="E1150" s="123"/>
      <c r="F1150" s="143"/>
      <c r="G1150" s="129"/>
      <c r="H1150" s="124"/>
      <c r="I1150" s="124"/>
      <c r="J1150" s="129"/>
      <c r="K1150" s="194"/>
      <c r="L1150" s="194"/>
      <c r="M1150" s="129"/>
      <c r="N1150" s="129" t="e">
        <f>Table1[[#This Row],[Estimated Effort (Hours)]]/NETWORKDAYS(Table1[[#This Row],[Planned Start Date]],Table1[[#This Row],[Planned End Date]])</f>
        <v>#DIV/0!</v>
      </c>
      <c r="O1150" s="178">
        <f>NETWORKDAYS(Table1[[#This Row],[Planned Start Date]],Table1[[#This Row],[Planned End Date]])</f>
        <v>0</v>
      </c>
      <c r="P1150" s="178">
        <f>NETWORKDAYS(Table1[[#This Row],[Planned Start Date]],$P$7)</f>
        <v>30643</v>
      </c>
      <c r="Q1150" s="129"/>
      <c r="R1150" s="183" t="str">
        <f>IF(Table1[[#This Row],[Actual Effort (Hours)]]="","",IF(Table1[[#This Row],[Estimated Effort (Hours)]]&lt;20,"L1",IF(Table1[[#This Row],[Estimated Effort (Hours)]]&lt;50,"L2",IF(Table1[[#This Row],[Estimated Effort (Hours)]]&lt;150,"L3",IF(Table1[[#This Row],[Estimated Effort (Hours)]]&lt;300,"L4","L5")))))</f>
        <v/>
      </c>
      <c r="S1150" s="184" t="str">
        <f>IF(Table1[[#This Row],[Actual End Date]]="","",TEXT(Table1[[#This Row],[Actual End Date]],"mmm-yy"))</f>
        <v/>
      </c>
      <c r="T11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0" s="185" t="str">
        <f>IFERROR((Table1[[#This Row],[Actual Effort (Hours)]]-Table1[[#This Row],[Estimated Effort (Hours)]])/Table1[[#This Row],[Estimated Effort (Hours)]],"")</f>
        <v/>
      </c>
    </row>
    <row r="1151" spans="2:21">
      <c r="B1151" s="125"/>
      <c r="C1151" s="123"/>
      <c r="D1151" s="143"/>
      <c r="E1151" s="123"/>
      <c r="F1151" s="143"/>
      <c r="G1151" s="129"/>
      <c r="H1151" s="124"/>
      <c r="I1151" s="124"/>
      <c r="J1151" s="129"/>
      <c r="K1151" s="194"/>
      <c r="L1151" s="194"/>
      <c r="M1151" s="129"/>
      <c r="N1151" s="129" t="e">
        <f>Table1[[#This Row],[Estimated Effort (Hours)]]/NETWORKDAYS(Table1[[#This Row],[Planned Start Date]],Table1[[#This Row],[Planned End Date]])</f>
        <v>#DIV/0!</v>
      </c>
      <c r="O1151" s="178">
        <f>NETWORKDAYS(Table1[[#This Row],[Planned Start Date]],Table1[[#This Row],[Planned End Date]])</f>
        <v>0</v>
      </c>
      <c r="P1151" s="178">
        <f>NETWORKDAYS(Table1[[#This Row],[Planned Start Date]],$P$7)</f>
        <v>30643</v>
      </c>
      <c r="Q1151" s="129"/>
      <c r="R1151" s="183" t="str">
        <f>IF(Table1[[#This Row],[Actual Effort (Hours)]]="","",IF(Table1[[#This Row],[Estimated Effort (Hours)]]&lt;20,"L1",IF(Table1[[#This Row],[Estimated Effort (Hours)]]&lt;50,"L2",IF(Table1[[#This Row],[Estimated Effort (Hours)]]&lt;150,"L3",IF(Table1[[#This Row],[Estimated Effort (Hours)]]&lt;300,"L4","L5")))))</f>
        <v/>
      </c>
      <c r="S1151" s="184" t="str">
        <f>IF(Table1[[#This Row],[Actual End Date]]="","",TEXT(Table1[[#This Row],[Actual End Date]],"mmm-yy"))</f>
        <v/>
      </c>
      <c r="T11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1" s="185" t="str">
        <f>IFERROR((Table1[[#This Row],[Actual Effort (Hours)]]-Table1[[#This Row],[Estimated Effort (Hours)]])/Table1[[#This Row],[Estimated Effort (Hours)]],"")</f>
        <v/>
      </c>
    </row>
    <row r="1152" spans="2:21">
      <c r="B1152" s="125"/>
      <c r="C1152" s="123"/>
      <c r="D1152" s="143"/>
      <c r="E1152" s="123"/>
      <c r="F1152" s="143"/>
      <c r="G1152" s="129"/>
      <c r="H1152" s="124"/>
      <c r="I1152" s="124"/>
      <c r="J1152" s="129"/>
      <c r="K1152" s="194"/>
      <c r="L1152" s="194"/>
      <c r="M1152" s="129"/>
      <c r="N1152" s="129" t="e">
        <f>Table1[[#This Row],[Estimated Effort (Hours)]]/NETWORKDAYS(Table1[[#This Row],[Planned Start Date]],Table1[[#This Row],[Planned End Date]])</f>
        <v>#DIV/0!</v>
      </c>
      <c r="O1152" s="178">
        <f>NETWORKDAYS(Table1[[#This Row],[Planned Start Date]],Table1[[#This Row],[Planned End Date]])</f>
        <v>0</v>
      </c>
      <c r="P1152" s="178">
        <f>NETWORKDAYS(Table1[[#This Row],[Planned Start Date]],$P$7)</f>
        <v>30643</v>
      </c>
      <c r="Q1152" s="129"/>
      <c r="R1152" s="183" t="str">
        <f>IF(Table1[[#This Row],[Actual Effort (Hours)]]="","",IF(Table1[[#This Row],[Estimated Effort (Hours)]]&lt;20,"L1",IF(Table1[[#This Row],[Estimated Effort (Hours)]]&lt;50,"L2",IF(Table1[[#This Row],[Estimated Effort (Hours)]]&lt;150,"L3",IF(Table1[[#This Row],[Estimated Effort (Hours)]]&lt;300,"L4","L5")))))</f>
        <v/>
      </c>
      <c r="S1152" s="184" t="str">
        <f>IF(Table1[[#This Row],[Actual End Date]]="","",TEXT(Table1[[#This Row],[Actual End Date]],"mmm-yy"))</f>
        <v/>
      </c>
      <c r="T11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2" s="185" t="str">
        <f>IFERROR((Table1[[#This Row],[Actual Effort (Hours)]]-Table1[[#This Row],[Estimated Effort (Hours)]])/Table1[[#This Row],[Estimated Effort (Hours)]],"")</f>
        <v/>
      </c>
    </row>
    <row r="1153" spans="2:21">
      <c r="B1153" s="125"/>
      <c r="C1153" s="123"/>
      <c r="D1153" s="143"/>
      <c r="E1153" s="123"/>
      <c r="F1153" s="143"/>
      <c r="G1153" s="129"/>
      <c r="H1153" s="124"/>
      <c r="I1153" s="124"/>
      <c r="J1153" s="129"/>
      <c r="K1153" s="194"/>
      <c r="L1153" s="194"/>
      <c r="M1153" s="129"/>
      <c r="N1153" s="129" t="e">
        <f>Table1[[#This Row],[Estimated Effort (Hours)]]/NETWORKDAYS(Table1[[#This Row],[Planned Start Date]],Table1[[#This Row],[Planned End Date]])</f>
        <v>#DIV/0!</v>
      </c>
      <c r="O1153" s="178">
        <f>NETWORKDAYS(Table1[[#This Row],[Planned Start Date]],Table1[[#This Row],[Planned End Date]])</f>
        <v>0</v>
      </c>
      <c r="P1153" s="178">
        <f>NETWORKDAYS(Table1[[#This Row],[Planned Start Date]],$P$7)</f>
        <v>30643</v>
      </c>
      <c r="Q1153" s="129"/>
      <c r="R1153" s="183" t="str">
        <f>IF(Table1[[#This Row],[Actual Effort (Hours)]]="","",IF(Table1[[#This Row],[Estimated Effort (Hours)]]&lt;20,"L1",IF(Table1[[#This Row],[Estimated Effort (Hours)]]&lt;50,"L2",IF(Table1[[#This Row],[Estimated Effort (Hours)]]&lt;150,"L3",IF(Table1[[#This Row],[Estimated Effort (Hours)]]&lt;300,"L4","L5")))))</f>
        <v/>
      </c>
      <c r="S1153" s="184" t="str">
        <f>IF(Table1[[#This Row],[Actual End Date]]="","",TEXT(Table1[[#This Row],[Actual End Date]],"mmm-yy"))</f>
        <v/>
      </c>
      <c r="T11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3" s="185" t="str">
        <f>IFERROR((Table1[[#This Row],[Actual Effort (Hours)]]-Table1[[#This Row],[Estimated Effort (Hours)]])/Table1[[#This Row],[Estimated Effort (Hours)]],"")</f>
        <v/>
      </c>
    </row>
    <row r="1154" spans="2:21">
      <c r="B1154" s="125"/>
      <c r="C1154" s="123"/>
      <c r="D1154" s="143"/>
      <c r="E1154" s="123"/>
      <c r="F1154" s="143"/>
      <c r="G1154" s="129"/>
      <c r="H1154" s="124"/>
      <c r="I1154" s="124"/>
      <c r="J1154" s="129"/>
      <c r="K1154" s="194"/>
      <c r="L1154" s="194"/>
      <c r="M1154" s="129"/>
      <c r="N1154" s="129" t="e">
        <f>Table1[[#This Row],[Estimated Effort (Hours)]]/NETWORKDAYS(Table1[[#This Row],[Planned Start Date]],Table1[[#This Row],[Planned End Date]])</f>
        <v>#DIV/0!</v>
      </c>
      <c r="O1154" s="178">
        <f>NETWORKDAYS(Table1[[#This Row],[Planned Start Date]],Table1[[#This Row],[Planned End Date]])</f>
        <v>0</v>
      </c>
      <c r="P1154" s="178">
        <f>NETWORKDAYS(Table1[[#This Row],[Planned Start Date]],$P$7)</f>
        <v>30643</v>
      </c>
      <c r="Q1154" s="129"/>
      <c r="R1154" s="183" t="str">
        <f>IF(Table1[[#This Row],[Actual Effort (Hours)]]="","",IF(Table1[[#This Row],[Estimated Effort (Hours)]]&lt;20,"L1",IF(Table1[[#This Row],[Estimated Effort (Hours)]]&lt;50,"L2",IF(Table1[[#This Row],[Estimated Effort (Hours)]]&lt;150,"L3",IF(Table1[[#This Row],[Estimated Effort (Hours)]]&lt;300,"L4","L5")))))</f>
        <v/>
      </c>
      <c r="S1154" s="184" t="str">
        <f>IF(Table1[[#This Row],[Actual End Date]]="","",TEXT(Table1[[#This Row],[Actual End Date]],"mmm-yy"))</f>
        <v/>
      </c>
      <c r="T11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4" s="185" t="str">
        <f>IFERROR((Table1[[#This Row],[Actual Effort (Hours)]]-Table1[[#This Row],[Estimated Effort (Hours)]])/Table1[[#This Row],[Estimated Effort (Hours)]],"")</f>
        <v/>
      </c>
    </row>
    <row r="1155" spans="2:21">
      <c r="B1155" s="125"/>
      <c r="C1155" s="123"/>
      <c r="D1155" s="143"/>
      <c r="E1155" s="123"/>
      <c r="F1155" s="143"/>
      <c r="G1155" s="129"/>
      <c r="H1155" s="124"/>
      <c r="I1155" s="124"/>
      <c r="J1155" s="129"/>
      <c r="K1155" s="194"/>
      <c r="L1155" s="194"/>
      <c r="M1155" s="129"/>
      <c r="N1155" s="129" t="e">
        <f>Table1[[#This Row],[Estimated Effort (Hours)]]/NETWORKDAYS(Table1[[#This Row],[Planned Start Date]],Table1[[#This Row],[Planned End Date]])</f>
        <v>#DIV/0!</v>
      </c>
      <c r="O1155" s="178">
        <f>NETWORKDAYS(Table1[[#This Row],[Planned Start Date]],Table1[[#This Row],[Planned End Date]])</f>
        <v>0</v>
      </c>
      <c r="P1155" s="178">
        <f>NETWORKDAYS(Table1[[#This Row],[Planned Start Date]],$P$7)</f>
        <v>30643</v>
      </c>
      <c r="Q1155" s="129"/>
      <c r="R1155" s="183" t="str">
        <f>IF(Table1[[#This Row],[Actual Effort (Hours)]]="","",IF(Table1[[#This Row],[Estimated Effort (Hours)]]&lt;20,"L1",IF(Table1[[#This Row],[Estimated Effort (Hours)]]&lt;50,"L2",IF(Table1[[#This Row],[Estimated Effort (Hours)]]&lt;150,"L3",IF(Table1[[#This Row],[Estimated Effort (Hours)]]&lt;300,"L4","L5")))))</f>
        <v/>
      </c>
      <c r="S1155" s="184" t="str">
        <f>IF(Table1[[#This Row],[Actual End Date]]="","",TEXT(Table1[[#This Row],[Actual End Date]],"mmm-yy"))</f>
        <v/>
      </c>
      <c r="T11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5" s="185" t="str">
        <f>IFERROR((Table1[[#This Row],[Actual Effort (Hours)]]-Table1[[#This Row],[Estimated Effort (Hours)]])/Table1[[#This Row],[Estimated Effort (Hours)]],"")</f>
        <v/>
      </c>
    </row>
    <row r="1156" spans="2:21">
      <c r="B1156" s="125"/>
      <c r="C1156" s="123"/>
      <c r="D1156" s="143"/>
      <c r="E1156" s="123"/>
      <c r="F1156" s="143"/>
      <c r="G1156" s="129"/>
      <c r="H1156" s="124"/>
      <c r="I1156" s="124"/>
      <c r="J1156" s="129"/>
      <c r="K1156" s="194"/>
      <c r="L1156" s="194"/>
      <c r="M1156" s="129"/>
      <c r="N1156" s="129" t="e">
        <f>Table1[[#This Row],[Estimated Effort (Hours)]]/NETWORKDAYS(Table1[[#This Row],[Planned Start Date]],Table1[[#This Row],[Planned End Date]])</f>
        <v>#DIV/0!</v>
      </c>
      <c r="O1156" s="178">
        <f>NETWORKDAYS(Table1[[#This Row],[Planned Start Date]],Table1[[#This Row],[Planned End Date]])</f>
        <v>0</v>
      </c>
      <c r="P1156" s="178">
        <f>NETWORKDAYS(Table1[[#This Row],[Planned Start Date]],$P$7)</f>
        <v>30643</v>
      </c>
      <c r="Q1156" s="129"/>
      <c r="R1156" s="183" t="str">
        <f>IF(Table1[[#This Row],[Actual Effort (Hours)]]="","",IF(Table1[[#This Row],[Estimated Effort (Hours)]]&lt;20,"L1",IF(Table1[[#This Row],[Estimated Effort (Hours)]]&lt;50,"L2",IF(Table1[[#This Row],[Estimated Effort (Hours)]]&lt;150,"L3",IF(Table1[[#This Row],[Estimated Effort (Hours)]]&lt;300,"L4","L5")))))</f>
        <v/>
      </c>
      <c r="S1156" s="184" t="str">
        <f>IF(Table1[[#This Row],[Actual End Date]]="","",TEXT(Table1[[#This Row],[Actual End Date]],"mmm-yy"))</f>
        <v/>
      </c>
      <c r="T11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6" s="185" t="str">
        <f>IFERROR((Table1[[#This Row],[Actual Effort (Hours)]]-Table1[[#This Row],[Estimated Effort (Hours)]])/Table1[[#This Row],[Estimated Effort (Hours)]],"")</f>
        <v/>
      </c>
    </row>
    <row r="1157" spans="2:21">
      <c r="B1157" s="125"/>
      <c r="C1157" s="123"/>
      <c r="D1157" s="143"/>
      <c r="E1157" s="123"/>
      <c r="F1157" s="143"/>
      <c r="G1157" s="129"/>
      <c r="H1157" s="124"/>
      <c r="I1157" s="124"/>
      <c r="J1157" s="129"/>
      <c r="K1157" s="194"/>
      <c r="L1157" s="194"/>
      <c r="M1157" s="129"/>
      <c r="N1157" s="129" t="e">
        <f>Table1[[#This Row],[Estimated Effort (Hours)]]/NETWORKDAYS(Table1[[#This Row],[Planned Start Date]],Table1[[#This Row],[Planned End Date]])</f>
        <v>#DIV/0!</v>
      </c>
      <c r="O1157" s="178">
        <f>NETWORKDAYS(Table1[[#This Row],[Planned Start Date]],Table1[[#This Row],[Planned End Date]])</f>
        <v>0</v>
      </c>
      <c r="P1157" s="178">
        <f>NETWORKDAYS(Table1[[#This Row],[Planned Start Date]],$P$7)</f>
        <v>30643</v>
      </c>
      <c r="Q1157" s="129"/>
      <c r="R1157" s="183" t="str">
        <f>IF(Table1[[#This Row],[Actual Effort (Hours)]]="","",IF(Table1[[#This Row],[Estimated Effort (Hours)]]&lt;20,"L1",IF(Table1[[#This Row],[Estimated Effort (Hours)]]&lt;50,"L2",IF(Table1[[#This Row],[Estimated Effort (Hours)]]&lt;150,"L3",IF(Table1[[#This Row],[Estimated Effort (Hours)]]&lt;300,"L4","L5")))))</f>
        <v/>
      </c>
      <c r="S1157" s="184" t="str">
        <f>IF(Table1[[#This Row],[Actual End Date]]="","",TEXT(Table1[[#This Row],[Actual End Date]],"mmm-yy"))</f>
        <v/>
      </c>
      <c r="T11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7" s="185" t="str">
        <f>IFERROR((Table1[[#This Row],[Actual Effort (Hours)]]-Table1[[#This Row],[Estimated Effort (Hours)]])/Table1[[#This Row],[Estimated Effort (Hours)]],"")</f>
        <v/>
      </c>
    </row>
    <row r="1158" spans="2:21">
      <c r="B1158" s="125"/>
      <c r="C1158" s="123"/>
      <c r="D1158" s="143"/>
      <c r="E1158" s="123"/>
      <c r="F1158" s="143"/>
      <c r="G1158" s="129"/>
      <c r="H1158" s="124"/>
      <c r="I1158" s="124"/>
      <c r="J1158" s="129"/>
      <c r="K1158" s="194"/>
      <c r="L1158" s="194"/>
      <c r="M1158" s="129"/>
      <c r="N1158" s="129" t="e">
        <f>Table1[[#This Row],[Estimated Effort (Hours)]]/NETWORKDAYS(Table1[[#This Row],[Planned Start Date]],Table1[[#This Row],[Planned End Date]])</f>
        <v>#DIV/0!</v>
      </c>
      <c r="O1158" s="178">
        <f>NETWORKDAYS(Table1[[#This Row],[Planned Start Date]],Table1[[#This Row],[Planned End Date]])</f>
        <v>0</v>
      </c>
      <c r="P1158" s="178">
        <f>NETWORKDAYS(Table1[[#This Row],[Planned Start Date]],$P$7)</f>
        <v>30643</v>
      </c>
      <c r="Q1158" s="129"/>
      <c r="R1158" s="183" t="str">
        <f>IF(Table1[[#This Row],[Actual Effort (Hours)]]="","",IF(Table1[[#This Row],[Estimated Effort (Hours)]]&lt;20,"L1",IF(Table1[[#This Row],[Estimated Effort (Hours)]]&lt;50,"L2",IF(Table1[[#This Row],[Estimated Effort (Hours)]]&lt;150,"L3",IF(Table1[[#This Row],[Estimated Effort (Hours)]]&lt;300,"L4","L5")))))</f>
        <v/>
      </c>
      <c r="S1158" s="184" t="str">
        <f>IF(Table1[[#This Row],[Actual End Date]]="","",TEXT(Table1[[#This Row],[Actual End Date]],"mmm-yy"))</f>
        <v/>
      </c>
      <c r="T11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8" s="185" t="str">
        <f>IFERROR((Table1[[#This Row],[Actual Effort (Hours)]]-Table1[[#This Row],[Estimated Effort (Hours)]])/Table1[[#This Row],[Estimated Effort (Hours)]],"")</f>
        <v/>
      </c>
    </row>
    <row r="1159" spans="2:21">
      <c r="B1159" s="125"/>
      <c r="C1159" s="123"/>
      <c r="D1159" s="143"/>
      <c r="E1159" s="123"/>
      <c r="F1159" s="143"/>
      <c r="G1159" s="129"/>
      <c r="H1159" s="124"/>
      <c r="I1159" s="124"/>
      <c r="J1159" s="129"/>
      <c r="K1159" s="194"/>
      <c r="L1159" s="194"/>
      <c r="M1159" s="129"/>
      <c r="N1159" s="129" t="e">
        <f>Table1[[#This Row],[Estimated Effort (Hours)]]/NETWORKDAYS(Table1[[#This Row],[Planned Start Date]],Table1[[#This Row],[Planned End Date]])</f>
        <v>#DIV/0!</v>
      </c>
      <c r="O1159" s="178">
        <f>NETWORKDAYS(Table1[[#This Row],[Planned Start Date]],Table1[[#This Row],[Planned End Date]])</f>
        <v>0</v>
      </c>
      <c r="P1159" s="178">
        <f>NETWORKDAYS(Table1[[#This Row],[Planned Start Date]],$P$7)</f>
        <v>30643</v>
      </c>
      <c r="Q1159" s="129"/>
      <c r="R1159" s="183" t="str">
        <f>IF(Table1[[#This Row],[Actual Effort (Hours)]]="","",IF(Table1[[#This Row],[Estimated Effort (Hours)]]&lt;20,"L1",IF(Table1[[#This Row],[Estimated Effort (Hours)]]&lt;50,"L2",IF(Table1[[#This Row],[Estimated Effort (Hours)]]&lt;150,"L3",IF(Table1[[#This Row],[Estimated Effort (Hours)]]&lt;300,"L4","L5")))))</f>
        <v/>
      </c>
      <c r="S1159" s="184" t="str">
        <f>IF(Table1[[#This Row],[Actual End Date]]="","",TEXT(Table1[[#This Row],[Actual End Date]],"mmm-yy"))</f>
        <v/>
      </c>
      <c r="T11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59" s="185" t="str">
        <f>IFERROR((Table1[[#This Row],[Actual Effort (Hours)]]-Table1[[#This Row],[Estimated Effort (Hours)]])/Table1[[#This Row],[Estimated Effort (Hours)]],"")</f>
        <v/>
      </c>
    </row>
    <row r="1160" spans="2:21">
      <c r="B1160" s="125"/>
      <c r="C1160" s="123"/>
      <c r="D1160" s="143"/>
      <c r="E1160" s="123"/>
      <c r="F1160" s="143"/>
      <c r="G1160" s="129"/>
      <c r="H1160" s="124"/>
      <c r="I1160" s="124"/>
      <c r="J1160" s="129"/>
      <c r="K1160" s="194"/>
      <c r="L1160" s="194"/>
      <c r="M1160" s="129"/>
      <c r="N1160" s="129" t="e">
        <f>Table1[[#This Row],[Estimated Effort (Hours)]]/NETWORKDAYS(Table1[[#This Row],[Planned Start Date]],Table1[[#This Row],[Planned End Date]])</f>
        <v>#DIV/0!</v>
      </c>
      <c r="O1160" s="178">
        <f>NETWORKDAYS(Table1[[#This Row],[Planned Start Date]],Table1[[#This Row],[Planned End Date]])</f>
        <v>0</v>
      </c>
      <c r="P1160" s="178">
        <f>NETWORKDAYS(Table1[[#This Row],[Planned Start Date]],$P$7)</f>
        <v>30643</v>
      </c>
      <c r="Q1160" s="129"/>
      <c r="R1160" s="183" t="str">
        <f>IF(Table1[[#This Row],[Actual Effort (Hours)]]="","",IF(Table1[[#This Row],[Estimated Effort (Hours)]]&lt;20,"L1",IF(Table1[[#This Row],[Estimated Effort (Hours)]]&lt;50,"L2",IF(Table1[[#This Row],[Estimated Effort (Hours)]]&lt;150,"L3",IF(Table1[[#This Row],[Estimated Effort (Hours)]]&lt;300,"L4","L5")))))</f>
        <v/>
      </c>
      <c r="S1160" s="184" t="str">
        <f>IF(Table1[[#This Row],[Actual End Date]]="","",TEXT(Table1[[#This Row],[Actual End Date]],"mmm-yy"))</f>
        <v/>
      </c>
      <c r="T11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0" s="185" t="str">
        <f>IFERROR((Table1[[#This Row],[Actual Effort (Hours)]]-Table1[[#This Row],[Estimated Effort (Hours)]])/Table1[[#This Row],[Estimated Effort (Hours)]],"")</f>
        <v/>
      </c>
    </row>
    <row r="1161" spans="2:21">
      <c r="B1161" s="125"/>
      <c r="C1161" s="123"/>
      <c r="D1161" s="143"/>
      <c r="E1161" s="123"/>
      <c r="F1161" s="143"/>
      <c r="G1161" s="129"/>
      <c r="H1161" s="124"/>
      <c r="I1161" s="124"/>
      <c r="J1161" s="129"/>
      <c r="K1161" s="194"/>
      <c r="L1161" s="194"/>
      <c r="M1161" s="129"/>
      <c r="N1161" s="129" t="e">
        <f>Table1[[#This Row],[Estimated Effort (Hours)]]/NETWORKDAYS(Table1[[#This Row],[Planned Start Date]],Table1[[#This Row],[Planned End Date]])</f>
        <v>#DIV/0!</v>
      </c>
      <c r="O1161" s="178">
        <f>NETWORKDAYS(Table1[[#This Row],[Planned Start Date]],Table1[[#This Row],[Planned End Date]])</f>
        <v>0</v>
      </c>
      <c r="P1161" s="178">
        <f>NETWORKDAYS(Table1[[#This Row],[Planned Start Date]],$P$7)</f>
        <v>30643</v>
      </c>
      <c r="Q1161" s="129"/>
      <c r="R1161" s="183" t="str">
        <f>IF(Table1[[#This Row],[Actual Effort (Hours)]]="","",IF(Table1[[#This Row],[Estimated Effort (Hours)]]&lt;20,"L1",IF(Table1[[#This Row],[Estimated Effort (Hours)]]&lt;50,"L2",IF(Table1[[#This Row],[Estimated Effort (Hours)]]&lt;150,"L3",IF(Table1[[#This Row],[Estimated Effort (Hours)]]&lt;300,"L4","L5")))))</f>
        <v/>
      </c>
      <c r="S1161" s="184" t="str">
        <f>IF(Table1[[#This Row],[Actual End Date]]="","",TEXT(Table1[[#This Row],[Actual End Date]],"mmm-yy"))</f>
        <v/>
      </c>
      <c r="T11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1" s="185" t="str">
        <f>IFERROR((Table1[[#This Row],[Actual Effort (Hours)]]-Table1[[#This Row],[Estimated Effort (Hours)]])/Table1[[#This Row],[Estimated Effort (Hours)]],"")</f>
        <v/>
      </c>
    </row>
    <row r="1162" spans="2:21">
      <c r="B1162" s="125"/>
      <c r="C1162" s="123"/>
      <c r="D1162" s="143"/>
      <c r="E1162" s="123"/>
      <c r="F1162" s="143"/>
      <c r="G1162" s="129"/>
      <c r="H1162" s="124"/>
      <c r="I1162" s="124"/>
      <c r="J1162" s="129"/>
      <c r="K1162" s="194"/>
      <c r="L1162" s="194"/>
      <c r="M1162" s="129"/>
      <c r="N1162" s="129" t="e">
        <f>Table1[[#This Row],[Estimated Effort (Hours)]]/NETWORKDAYS(Table1[[#This Row],[Planned Start Date]],Table1[[#This Row],[Planned End Date]])</f>
        <v>#DIV/0!</v>
      </c>
      <c r="O1162" s="178">
        <f>NETWORKDAYS(Table1[[#This Row],[Planned Start Date]],Table1[[#This Row],[Planned End Date]])</f>
        <v>0</v>
      </c>
      <c r="P1162" s="178">
        <f>NETWORKDAYS(Table1[[#This Row],[Planned Start Date]],$P$7)</f>
        <v>30643</v>
      </c>
      <c r="Q1162" s="129"/>
      <c r="R1162" s="183" t="str">
        <f>IF(Table1[[#This Row],[Actual Effort (Hours)]]="","",IF(Table1[[#This Row],[Estimated Effort (Hours)]]&lt;20,"L1",IF(Table1[[#This Row],[Estimated Effort (Hours)]]&lt;50,"L2",IF(Table1[[#This Row],[Estimated Effort (Hours)]]&lt;150,"L3",IF(Table1[[#This Row],[Estimated Effort (Hours)]]&lt;300,"L4","L5")))))</f>
        <v/>
      </c>
      <c r="S1162" s="184" t="str">
        <f>IF(Table1[[#This Row],[Actual End Date]]="","",TEXT(Table1[[#This Row],[Actual End Date]],"mmm-yy"))</f>
        <v/>
      </c>
      <c r="T11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2" s="185" t="str">
        <f>IFERROR((Table1[[#This Row],[Actual Effort (Hours)]]-Table1[[#This Row],[Estimated Effort (Hours)]])/Table1[[#This Row],[Estimated Effort (Hours)]],"")</f>
        <v/>
      </c>
    </row>
    <row r="1163" spans="2:21">
      <c r="B1163" s="125"/>
      <c r="C1163" s="123"/>
      <c r="D1163" s="143"/>
      <c r="E1163" s="123"/>
      <c r="F1163" s="143"/>
      <c r="G1163" s="129"/>
      <c r="H1163" s="124"/>
      <c r="I1163" s="124"/>
      <c r="J1163" s="129"/>
      <c r="K1163" s="194"/>
      <c r="L1163" s="194"/>
      <c r="M1163" s="129"/>
      <c r="N1163" s="129" t="e">
        <f>Table1[[#This Row],[Estimated Effort (Hours)]]/NETWORKDAYS(Table1[[#This Row],[Planned Start Date]],Table1[[#This Row],[Planned End Date]])</f>
        <v>#DIV/0!</v>
      </c>
      <c r="O1163" s="178">
        <f>NETWORKDAYS(Table1[[#This Row],[Planned Start Date]],Table1[[#This Row],[Planned End Date]])</f>
        <v>0</v>
      </c>
      <c r="P1163" s="178">
        <f>NETWORKDAYS(Table1[[#This Row],[Planned Start Date]],$P$7)</f>
        <v>30643</v>
      </c>
      <c r="Q1163" s="129"/>
      <c r="R1163" s="183" t="str">
        <f>IF(Table1[[#This Row],[Actual Effort (Hours)]]="","",IF(Table1[[#This Row],[Estimated Effort (Hours)]]&lt;20,"L1",IF(Table1[[#This Row],[Estimated Effort (Hours)]]&lt;50,"L2",IF(Table1[[#This Row],[Estimated Effort (Hours)]]&lt;150,"L3",IF(Table1[[#This Row],[Estimated Effort (Hours)]]&lt;300,"L4","L5")))))</f>
        <v/>
      </c>
      <c r="S1163" s="184" t="str">
        <f>IF(Table1[[#This Row],[Actual End Date]]="","",TEXT(Table1[[#This Row],[Actual End Date]],"mmm-yy"))</f>
        <v/>
      </c>
      <c r="T11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3" s="185" t="str">
        <f>IFERROR((Table1[[#This Row],[Actual Effort (Hours)]]-Table1[[#This Row],[Estimated Effort (Hours)]])/Table1[[#This Row],[Estimated Effort (Hours)]],"")</f>
        <v/>
      </c>
    </row>
    <row r="1164" spans="2:21">
      <c r="B1164" s="125"/>
      <c r="C1164" s="123"/>
      <c r="D1164" s="143"/>
      <c r="E1164" s="123"/>
      <c r="F1164" s="143"/>
      <c r="G1164" s="129"/>
      <c r="H1164" s="124"/>
      <c r="I1164" s="124"/>
      <c r="J1164" s="129"/>
      <c r="K1164" s="194"/>
      <c r="L1164" s="194"/>
      <c r="M1164" s="129"/>
      <c r="N1164" s="129" t="e">
        <f>Table1[[#This Row],[Estimated Effort (Hours)]]/NETWORKDAYS(Table1[[#This Row],[Planned Start Date]],Table1[[#This Row],[Planned End Date]])</f>
        <v>#DIV/0!</v>
      </c>
      <c r="O1164" s="178">
        <f>NETWORKDAYS(Table1[[#This Row],[Planned Start Date]],Table1[[#This Row],[Planned End Date]])</f>
        <v>0</v>
      </c>
      <c r="P1164" s="178">
        <f>NETWORKDAYS(Table1[[#This Row],[Planned Start Date]],$P$7)</f>
        <v>30643</v>
      </c>
      <c r="Q1164" s="129"/>
      <c r="R1164" s="183" t="str">
        <f>IF(Table1[[#This Row],[Actual Effort (Hours)]]="","",IF(Table1[[#This Row],[Estimated Effort (Hours)]]&lt;20,"L1",IF(Table1[[#This Row],[Estimated Effort (Hours)]]&lt;50,"L2",IF(Table1[[#This Row],[Estimated Effort (Hours)]]&lt;150,"L3",IF(Table1[[#This Row],[Estimated Effort (Hours)]]&lt;300,"L4","L5")))))</f>
        <v/>
      </c>
      <c r="S1164" s="184" t="str">
        <f>IF(Table1[[#This Row],[Actual End Date]]="","",TEXT(Table1[[#This Row],[Actual End Date]],"mmm-yy"))</f>
        <v/>
      </c>
      <c r="T11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4" s="185" t="str">
        <f>IFERROR((Table1[[#This Row],[Actual Effort (Hours)]]-Table1[[#This Row],[Estimated Effort (Hours)]])/Table1[[#This Row],[Estimated Effort (Hours)]],"")</f>
        <v/>
      </c>
    </row>
    <row r="1165" spans="2:21">
      <c r="B1165" s="125"/>
      <c r="C1165" s="123"/>
      <c r="D1165" s="143"/>
      <c r="E1165" s="123"/>
      <c r="F1165" s="143"/>
      <c r="G1165" s="129"/>
      <c r="H1165" s="124"/>
      <c r="I1165" s="124"/>
      <c r="J1165" s="129"/>
      <c r="K1165" s="194"/>
      <c r="L1165" s="194"/>
      <c r="M1165" s="129"/>
      <c r="N1165" s="129" t="e">
        <f>Table1[[#This Row],[Estimated Effort (Hours)]]/NETWORKDAYS(Table1[[#This Row],[Planned Start Date]],Table1[[#This Row],[Planned End Date]])</f>
        <v>#DIV/0!</v>
      </c>
      <c r="O1165" s="178">
        <f>NETWORKDAYS(Table1[[#This Row],[Planned Start Date]],Table1[[#This Row],[Planned End Date]])</f>
        <v>0</v>
      </c>
      <c r="P1165" s="178">
        <f>NETWORKDAYS(Table1[[#This Row],[Planned Start Date]],$P$7)</f>
        <v>30643</v>
      </c>
      <c r="Q1165" s="129"/>
      <c r="R1165" s="183" t="str">
        <f>IF(Table1[[#This Row],[Actual Effort (Hours)]]="","",IF(Table1[[#This Row],[Estimated Effort (Hours)]]&lt;20,"L1",IF(Table1[[#This Row],[Estimated Effort (Hours)]]&lt;50,"L2",IF(Table1[[#This Row],[Estimated Effort (Hours)]]&lt;150,"L3",IF(Table1[[#This Row],[Estimated Effort (Hours)]]&lt;300,"L4","L5")))))</f>
        <v/>
      </c>
      <c r="S1165" s="184" t="str">
        <f>IF(Table1[[#This Row],[Actual End Date]]="","",TEXT(Table1[[#This Row],[Actual End Date]],"mmm-yy"))</f>
        <v/>
      </c>
      <c r="T11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5" s="185" t="str">
        <f>IFERROR((Table1[[#This Row],[Actual Effort (Hours)]]-Table1[[#This Row],[Estimated Effort (Hours)]])/Table1[[#This Row],[Estimated Effort (Hours)]],"")</f>
        <v/>
      </c>
    </row>
    <row r="1166" spans="2:21">
      <c r="B1166" s="125"/>
      <c r="C1166" s="123"/>
      <c r="D1166" s="143"/>
      <c r="E1166" s="123"/>
      <c r="F1166" s="143"/>
      <c r="G1166" s="129"/>
      <c r="H1166" s="124"/>
      <c r="I1166" s="124"/>
      <c r="J1166" s="129"/>
      <c r="K1166" s="194"/>
      <c r="L1166" s="194"/>
      <c r="M1166" s="129"/>
      <c r="N1166" s="129" t="e">
        <f>Table1[[#This Row],[Estimated Effort (Hours)]]/NETWORKDAYS(Table1[[#This Row],[Planned Start Date]],Table1[[#This Row],[Planned End Date]])</f>
        <v>#DIV/0!</v>
      </c>
      <c r="O1166" s="178">
        <f>NETWORKDAYS(Table1[[#This Row],[Planned Start Date]],Table1[[#This Row],[Planned End Date]])</f>
        <v>0</v>
      </c>
      <c r="P1166" s="178">
        <f>NETWORKDAYS(Table1[[#This Row],[Planned Start Date]],$P$7)</f>
        <v>30643</v>
      </c>
      <c r="Q1166" s="129"/>
      <c r="R1166" s="183" t="str">
        <f>IF(Table1[[#This Row],[Actual Effort (Hours)]]="","",IF(Table1[[#This Row],[Estimated Effort (Hours)]]&lt;20,"L1",IF(Table1[[#This Row],[Estimated Effort (Hours)]]&lt;50,"L2",IF(Table1[[#This Row],[Estimated Effort (Hours)]]&lt;150,"L3",IF(Table1[[#This Row],[Estimated Effort (Hours)]]&lt;300,"L4","L5")))))</f>
        <v/>
      </c>
      <c r="S1166" s="184" t="str">
        <f>IF(Table1[[#This Row],[Actual End Date]]="","",TEXT(Table1[[#This Row],[Actual End Date]],"mmm-yy"))</f>
        <v/>
      </c>
      <c r="T11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6" s="185" t="str">
        <f>IFERROR((Table1[[#This Row],[Actual Effort (Hours)]]-Table1[[#This Row],[Estimated Effort (Hours)]])/Table1[[#This Row],[Estimated Effort (Hours)]],"")</f>
        <v/>
      </c>
    </row>
    <row r="1167" spans="2:21">
      <c r="B1167" s="125"/>
      <c r="C1167" s="123"/>
      <c r="D1167" s="143"/>
      <c r="E1167" s="123"/>
      <c r="F1167" s="143"/>
      <c r="G1167" s="129"/>
      <c r="H1167" s="124"/>
      <c r="I1167" s="124"/>
      <c r="J1167" s="129"/>
      <c r="K1167" s="194"/>
      <c r="L1167" s="194"/>
      <c r="M1167" s="129"/>
      <c r="N1167" s="129" t="e">
        <f>Table1[[#This Row],[Estimated Effort (Hours)]]/NETWORKDAYS(Table1[[#This Row],[Planned Start Date]],Table1[[#This Row],[Planned End Date]])</f>
        <v>#DIV/0!</v>
      </c>
      <c r="O1167" s="178">
        <f>NETWORKDAYS(Table1[[#This Row],[Planned Start Date]],Table1[[#This Row],[Planned End Date]])</f>
        <v>0</v>
      </c>
      <c r="P1167" s="178">
        <f>NETWORKDAYS(Table1[[#This Row],[Planned Start Date]],$P$7)</f>
        <v>30643</v>
      </c>
      <c r="Q1167" s="129"/>
      <c r="R1167" s="183" t="str">
        <f>IF(Table1[[#This Row],[Actual Effort (Hours)]]="","",IF(Table1[[#This Row],[Estimated Effort (Hours)]]&lt;20,"L1",IF(Table1[[#This Row],[Estimated Effort (Hours)]]&lt;50,"L2",IF(Table1[[#This Row],[Estimated Effort (Hours)]]&lt;150,"L3",IF(Table1[[#This Row],[Estimated Effort (Hours)]]&lt;300,"L4","L5")))))</f>
        <v/>
      </c>
      <c r="S1167" s="184" t="str">
        <f>IF(Table1[[#This Row],[Actual End Date]]="","",TEXT(Table1[[#This Row],[Actual End Date]],"mmm-yy"))</f>
        <v/>
      </c>
      <c r="T11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7" s="185" t="str">
        <f>IFERROR((Table1[[#This Row],[Actual Effort (Hours)]]-Table1[[#This Row],[Estimated Effort (Hours)]])/Table1[[#This Row],[Estimated Effort (Hours)]],"")</f>
        <v/>
      </c>
    </row>
    <row r="1168" spans="2:21">
      <c r="B1168" s="125"/>
      <c r="C1168" s="123"/>
      <c r="D1168" s="143"/>
      <c r="E1168" s="123"/>
      <c r="F1168" s="143"/>
      <c r="G1168" s="129"/>
      <c r="H1168" s="124"/>
      <c r="I1168" s="124"/>
      <c r="J1168" s="129"/>
      <c r="K1168" s="194"/>
      <c r="L1168" s="194"/>
      <c r="M1168" s="129"/>
      <c r="N1168" s="129" t="e">
        <f>Table1[[#This Row],[Estimated Effort (Hours)]]/NETWORKDAYS(Table1[[#This Row],[Planned Start Date]],Table1[[#This Row],[Planned End Date]])</f>
        <v>#DIV/0!</v>
      </c>
      <c r="O1168" s="178">
        <f>NETWORKDAYS(Table1[[#This Row],[Planned Start Date]],Table1[[#This Row],[Planned End Date]])</f>
        <v>0</v>
      </c>
      <c r="P1168" s="178">
        <f>NETWORKDAYS(Table1[[#This Row],[Planned Start Date]],$P$7)</f>
        <v>30643</v>
      </c>
      <c r="Q1168" s="129"/>
      <c r="R1168" s="183" t="str">
        <f>IF(Table1[[#This Row],[Actual Effort (Hours)]]="","",IF(Table1[[#This Row],[Estimated Effort (Hours)]]&lt;20,"L1",IF(Table1[[#This Row],[Estimated Effort (Hours)]]&lt;50,"L2",IF(Table1[[#This Row],[Estimated Effort (Hours)]]&lt;150,"L3",IF(Table1[[#This Row],[Estimated Effort (Hours)]]&lt;300,"L4","L5")))))</f>
        <v/>
      </c>
      <c r="S1168" s="184" t="str">
        <f>IF(Table1[[#This Row],[Actual End Date]]="","",TEXT(Table1[[#This Row],[Actual End Date]],"mmm-yy"))</f>
        <v/>
      </c>
      <c r="T11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8" s="185" t="str">
        <f>IFERROR((Table1[[#This Row],[Actual Effort (Hours)]]-Table1[[#This Row],[Estimated Effort (Hours)]])/Table1[[#This Row],[Estimated Effort (Hours)]],"")</f>
        <v/>
      </c>
    </row>
    <row r="1169" spans="2:21">
      <c r="B1169" s="125"/>
      <c r="C1169" s="123"/>
      <c r="D1169" s="143"/>
      <c r="E1169" s="123"/>
      <c r="F1169" s="143"/>
      <c r="G1169" s="129"/>
      <c r="H1169" s="124"/>
      <c r="I1169" s="124"/>
      <c r="J1169" s="129"/>
      <c r="K1169" s="194"/>
      <c r="L1169" s="194"/>
      <c r="M1169" s="129"/>
      <c r="N1169" s="129" t="e">
        <f>Table1[[#This Row],[Estimated Effort (Hours)]]/NETWORKDAYS(Table1[[#This Row],[Planned Start Date]],Table1[[#This Row],[Planned End Date]])</f>
        <v>#DIV/0!</v>
      </c>
      <c r="O1169" s="178">
        <f>NETWORKDAYS(Table1[[#This Row],[Planned Start Date]],Table1[[#This Row],[Planned End Date]])</f>
        <v>0</v>
      </c>
      <c r="P1169" s="178">
        <f>NETWORKDAYS(Table1[[#This Row],[Planned Start Date]],$P$7)</f>
        <v>30643</v>
      </c>
      <c r="Q1169" s="129"/>
      <c r="R1169" s="183" t="str">
        <f>IF(Table1[[#This Row],[Actual Effort (Hours)]]="","",IF(Table1[[#This Row],[Estimated Effort (Hours)]]&lt;20,"L1",IF(Table1[[#This Row],[Estimated Effort (Hours)]]&lt;50,"L2",IF(Table1[[#This Row],[Estimated Effort (Hours)]]&lt;150,"L3",IF(Table1[[#This Row],[Estimated Effort (Hours)]]&lt;300,"L4","L5")))))</f>
        <v/>
      </c>
      <c r="S1169" s="184" t="str">
        <f>IF(Table1[[#This Row],[Actual End Date]]="","",TEXT(Table1[[#This Row],[Actual End Date]],"mmm-yy"))</f>
        <v/>
      </c>
      <c r="T11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69" s="185" t="str">
        <f>IFERROR((Table1[[#This Row],[Actual Effort (Hours)]]-Table1[[#This Row],[Estimated Effort (Hours)]])/Table1[[#This Row],[Estimated Effort (Hours)]],"")</f>
        <v/>
      </c>
    </row>
    <row r="1170" spans="2:21">
      <c r="B1170" s="125"/>
      <c r="C1170" s="123"/>
      <c r="D1170" s="143"/>
      <c r="E1170" s="123"/>
      <c r="F1170" s="143"/>
      <c r="G1170" s="129"/>
      <c r="H1170" s="124"/>
      <c r="I1170" s="124"/>
      <c r="J1170" s="129"/>
      <c r="K1170" s="194"/>
      <c r="L1170" s="194"/>
      <c r="M1170" s="129"/>
      <c r="N1170" s="129" t="e">
        <f>Table1[[#This Row],[Estimated Effort (Hours)]]/NETWORKDAYS(Table1[[#This Row],[Planned Start Date]],Table1[[#This Row],[Planned End Date]])</f>
        <v>#DIV/0!</v>
      </c>
      <c r="O1170" s="178">
        <f>NETWORKDAYS(Table1[[#This Row],[Planned Start Date]],Table1[[#This Row],[Planned End Date]])</f>
        <v>0</v>
      </c>
      <c r="P1170" s="178">
        <f>NETWORKDAYS(Table1[[#This Row],[Planned Start Date]],$P$7)</f>
        <v>30643</v>
      </c>
      <c r="Q1170" s="129"/>
      <c r="R1170" s="183" t="str">
        <f>IF(Table1[[#This Row],[Actual Effort (Hours)]]="","",IF(Table1[[#This Row],[Estimated Effort (Hours)]]&lt;20,"L1",IF(Table1[[#This Row],[Estimated Effort (Hours)]]&lt;50,"L2",IF(Table1[[#This Row],[Estimated Effort (Hours)]]&lt;150,"L3",IF(Table1[[#This Row],[Estimated Effort (Hours)]]&lt;300,"L4","L5")))))</f>
        <v/>
      </c>
      <c r="S1170" s="184" t="str">
        <f>IF(Table1[[#This Row],[Actual End Date]]="","",TEXT(Table1[[#This Row],[Actual End Date]],"mmm-yy"))</f>
        <v/>
      </c>
      <c r="T11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0" s="185" t="str">
        <f>IFERROR((Table1[[#This Row],[Actual Effort (Hours)]]-Table1[[#This Row],[Estimated Effort (Hours)]])/Table1[[#This Row],[Estimated Effort (Hours)]],"")</f>
        <v/>
      </c>
    </row>
    <row r="1171" spans="2:21">
      <c r="B1171" s="125"/>
      <c r="C1171" s="123"/>
      <c r="D1171" s="143"/>
      <c r="E1171" s="123"/>
      <c r="F1171" s="143"/>
      <c r="G1171" s="129"/>
      <c r="H1171" s="124"/>
      <c r="I1171" s="124"/>
      <c r="J1171" s="129"/>
      <c r="K1171" s="194"/>
      <c r="L1171" s="194"/>
      <c r="M1171" s="129"/>
      <c r="N1171" s="129" t="e">
        <f>Table1[[#This Row],[Estimated Effort (Hours)]]/NETWORKDAYS(Table1[[#This Row],[Planned Start Date]],Table1[[#This Row],[Planned End Date]])</f>
        <v>#DIV/0!</v>
      </c>
      <c r="O1171" s="178">
        <f>NETWORKDAYS(Table1[[#This Row],[Planned Start Date]],Table1[[#This Row],[Planned End Date]])</f>
        <v>0</v>
      </c>
      <c r="P1171" s="178">
        <f>NETWORKDAYS(Table1[[#This Row],[Planned Start Date]],$P$7)</f>
        <v>30643</v>
      </c>
      <c r="Q1171" s="129"/>
      <c r="R1171" s="183" t="str">
        <f>IF(Table1[[#This Row],[Actual Effort (Hours)]]="","",IF(Table1[[#This Row],[Estimated Effort (Hours)]]&lt;20,"L1",IF(Table1[[#This Row],[Estimated Effort (Hours)]]&lt;50,"L2",IF(Table1[[#This Row],[Estimated Effort (Hours)]]&lt;150,"L3",IF(Table1[[#This Row],[Estimated Effort (Hours)]]&lt;300,"L4","L5")))))</f>
        <v/>
      </c>
      <c r="S1171" s="184" t="str">
        <f>IF(Table1[[#This Row],[Actual End Date]]="","",TEXT(Table1[[#This Row],[Actual End Date]],"mmm-yy"))</f>
        <v/>
      </c>
      <c r="T11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1" s="185" t="str">
        <f>IFERROR((Table1[[#This Row],[Actual Effort (Hours)]]-Table1[[#This Row],[Estimated Effort (Hours)]])/Table1[[#This Row],[Estimated Effort (Hours)]],"")</f>
        <v/>
      </c>
    </row>
    <row r="1172" spans="2:21">
      <c r="B1172" s="125"/>
      <c r="C1172" s="123"/>
      <c r="D1172" s="143"/>
      <c r="E1172" s="123"/>
      <c r="F1172" s="143"/>
      <c r="G1172" s="129"/>
      <c r="H1172" s="124"/>
      <c r="I1172" s="124"/>
      <c r="J1172" s="129"/>
      <c r="K1172" s="194"/>
      <c r="L1172" s="194"/>
      <c r="M1172" s="129"/>
      <c r="N1172" s="129" t="e">
        <f>Table1[[#This Row],[Estimated Effort (Hours)]]/NETWORKDAYS(Table1[[#This Row],[Planned Start Date]],Table1[[#This Row],[Planned End Date]])</f>
        <v>#DIV/0!</v>
      </c>
      <c r="O1172" s="178">
        <f>NETWORKDAYS(Table1[[#This Row],[Planned Start Date]],Table1[[#This Row],[Planned End Date]])</f>
        <v>0</v>
      </c>
      <c r="P1172" s="178">
        <f>NETWORKDAYS(Table1[[#This Row],[Planned Start Date]],$P$7)</f>
        <v>30643</v>
      </c>
      <c r="Q1172" s="129"/>
      <c r="R1172" s="183" t="str">
        <f>IF(Table1[[#This Row],[Actual Effort (Hours)]]="","",IF(Table1[[#This Row],[Estimated Effort (Hours)]]&lt;20,"L1",IF(Table1[[#This Row],[Estimated Effort (Hours)]]&lt;50,"L2",IF(Table1[[#This Row],[Estimated Effort (Hours)]]&lt;150,"L3",IF(Table1[[#This Row],[Estimated Effort (Hours)]]&lt;300,"L4","L5")))))</f>
        <v/>
      </c>
      <c r="S1172" s="184" t="str">
        <f>IF(Table1[[#This Row],[Actual End Date]]="","",TEXT(Table1[[#This Row],[Actual End Date]],"mmm-yy"))</f>
        <v/>
      </c>
      <c r="T11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2" s="185" t="str">
        <f>IFERROR((Table1[[#This Row],[Actual Effort (Hours)]]-Table1[[#This Row],[Estimated Effort (Hours)]])/Table1[[#This Row],[Estimated Effort (Hours)]],"")</f>
        <v/>
      </c>
    </row>
    <row r="1173" spans="2:21">
      <c r="B1173" s="125"/>
      <c r="C1173" s="123"/>
      <c r="D1173" s="143"/>
      <c r="E1173" s="123"/>
      <c r="F1173" s="143"/>
      <c r="G1173" s="129"/>
      <c r="H1173" s="124"/>
      <c r="I1173" s="124"/>
      <c r="J1173" s="129"/>
      <c r="K1173" s="194"/>
      <c r="L1173" s="194"/>
      <c r="M1173" s="129"/>
      <c r="N1173" s="129" t="e">
        <f>Table1[[#This Row],[Estimated Effort (Hours)]]/NETWORKDAYS(Table1[[#This Row],[Planned Start Date]],Table1[[#This Row],[Planned End Date]])</f>
        <v>#DIV/0!</v>
      </c>
      <c r="O1173" s="178">
        <f>NETWORKDAYS(Table1[[#This Row],[Planned Start Date]],Table1[[#This Row],[Planned End Date]])</f>
        <v>0</v>
      </c>
      <c r="P1173" s="178">
        <f>NETWORKDAYS(Table1[[#This Row],[Planned Start Date]],$P$7)</f>
        <v>30643</v>
      </c>
      <c r="Q1173" s="129"/>
      <c r="R1173" s="183" t="str">
        <f>IF(Table1[[#This Row],[Actual Effort (Hours)]]="","",IF(Table1[[#This Row],[Estimated Effort (Hours)]]&lt;20,"L1",IF(Table1[[#This Row],[Estimated Effort (Hours)]]&lt;50,"L2",IF(Table1[[#This Row],[Estimated Effort (Hours)]]&lt;150,"L3",IF(Table1[[#This Row],[Estimated Effort (Hours)]]&lt;300,"L4","L5")))))</f>
        <v/>
      </c>
      <c r="S1173" s="184" t="str">
        <f>IF(Table1[[#This Row],[Actual End Date]]="","",TEXT(Table1[[#This Row],[Actual End Date]],"mmm-yy"))</f>
        <v/>
      </c>
      <c r="T11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3" s="185" t="str">
        <f>IFERROR((Table1[[#This Row],[Actual Effort (Hours)]]-Table1[[#This Row],[Estimated Effort (Hours)]])/Table1[[#This Row],[Estimated Effort (Hours)]],"")</f>
        <v/>
      </c>
    </row>
    <row r="1174" spans="2:21">
      <c r="B1174" s="125"/>
      <c r="C1174" s="123"/>
      <c r="D1174" s="143"/>
      <c r="E1174" s="123"/>
      <c r="F1174" s="143"/>
      <c r="G1174" s="129"/>
      <c r="H1174" s="124"/>
      <c r="I1174" s="124"/>
      <c r="J1174" s="129"/>
      <c r="K1174" s="194"/>
      <c r="L1174" s="194"/>
      <c r="M1174" s="129"/>
      <c r="N1174" s="129" t="e">
        <f>Table1[[#This Row],[Estimated Effort (Hours)]]/NETWORKDAYS(Table1[[#This Row],[Planned Start Date]],Table1[[#This Row],[Planned End Date]])</f>
        <v>#DIV/0!</v>
      </c>
      <c r="O1174" s="178">
        <f>NETWORKDAYS(Table1[[#This Row],[Planned Start Date]],Table1[[#This Row],[Planned End Date]])</f>
        <v>0</v>
      </c>
      <c r="P1174" s="178">
        <f>NETWORKDAYS(Table1[[#This Row],[Planned Start Date]],$P$7)</f>
        <v>30643</v>
      </c>
      <c r="Q1174" s="129"/>
      <c r="R1174" s="183" t="str">
        <f>IF(Table1[[#This Row],[Actual Effort (Hours)]]="","",IF(Table1[[#This Row],[Estimated Effort (Hours)]]&lt;20,"L1",IF(Table1[[#This Row],[Estimated Effort (Hours)]]&lt;50,"L2",IF(Table1[[#This Row],[Estimated Effort (Hours)]]&lt;150,"L3",IF(Table1[[#This Row],[Estimated Effort (Hours)]]&lt;300,"L4","L5")))))</f>
        <v/>
      </c>
      <c r="S1174" s="184" t="str">
        <f>IF(Table1[[#This Row],[Actual End Date]]="","",TEXT(Table1[[#This Row],[Actual End Date]],"mmm-yy"))</f>
        <v/>
      </c>
      <c r="T11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4" s="185" t="str">
        <f>IFERROR((Table1[[#This Row],[Actual Effort (Hours)]]-Table1[[#This Row],[Estimated Effort (Hours)]])/Table1[[#This Row],[Estimated Effort (Hours)]],"")</f>
        <v/>
      </c>
    </row>
    <row r="1175" spans="2:21">
      <c r="B1175" s="125"/>
      <c r="C1175" s="123"/>
      <c r="D1175" s="143"/>
      <c r="E1175" s="123"/>
      <c r="F1175" s="143"/>
      <c r="G1175" s="129"/>
      <c r="H1175" s="124"/>
      <c r="I1175" s="124"/>
      <c r="J1175" s="129"/>
      <c r="K1175" s="194"/>
      <c r="L1175" s="194"/>
      <c r="M1175" s="129"/>
      <c r="N1175" s="129" t="e">
        <f>Table1[[#This Row],[Estimated Effort (Hours)]]/NETWORKDAYS(Table1[[#This Row],[Planned Start Date]],Table1[[#This Row],[Planned End Date]])</f>
        <v>#DIV/0!</v>
      </c>
      <c r="O1175" s="178">
        <f>NETWORKDAYS(Table1[[#This Row],[Planned Start Date]],Table1[[#This Row],[Planned End Date]])</f>
        <v>0</v>
      </c>
      <c r="P1175" s="178">
        <f>NETWORKDAYS(Table1[[#This Row],[Planned Start Date]],$P$7)</f>
        <v>30643</v>
      </c>
      <c r="Q1175" s="129"/>
      <c r="R1175" s="183" t="str">
        <f>IF(Table1[[#This Row],[Actual Effort (Hours)]]="","",IF(Table1[[#This Row],[Estimated Effort (Hours)]]&lt;20,"L1",IF(Table1[[#This Row],[Estimated Effort (Hours)]]&lt;50,"L2",IF(Table1[[#This Row],[Estimated Effort (Hours)]]&lt;150,"L3",IF(Table1[[#This Row],[Estimated Effort (Hours)]]&lt;300,"L4","L5")))))</f>
        <v/>
      </c>
      <c r="S1175" s="184" t="str">
        <f>IF(Table1[[#This Row],[Actual End Date]]="","",TEXT(Table1[[#This Row],[Actual End Date]],"mmm-yy"))</f>
        <v/>
      </c>
      <c r="T11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5" s="185" t="str">
        <f>IFERROR((Table1[[#This Row],[Actual Effort (Hours)]]-Table1[[#This Row],[Estimated Effort (Hours)]])/Table1[[#This Row],[Estimated Effort (Hours)]],"")</f>
        <v/>
      </c>
    </row>
    <row r="1176" spans="2:21">
      <c r="B1176" s="125"/>
      <c r="C1176" s="123"/>
      <c r="D1176" s="143"/>
      <c r="E1176" s="123"/>
      <c r="F1176" s="143"/>
      <c r="G1176" s="129"/>
      <c r="H1176" s="124"/>
      <c r="I1176" s="124"/>
      <c r="J1176" s="129"/>
      <c r="K1176" s="194"/>
      <c r="L1176" s="194"/>
      <c r="M1176" s="129"/>
      <c r="N1176" s="129" t="e">
        <f>Table1[[#This Row],[Estimated Effort (Hours)]]/NETWORKDAYS(Table1[[#This Row],[Planned Start Date]],Table1[[#This Row],[Planned End Date]])</f>
        <v>#DIV/0!</v>
      </c>
      <c r="O1176" s="178">
        <f>NETWORKDAYS(Table1[[#This Row],[Planned Start Date]],Table1[[#This Row],[Planned End Date]])</f>
        <v>0</v>
      </c>
      <c r="P1176" s="178">
        <f>NETWORKDAYS(Table1[[#This Row],[Planned Start Date]],$P$7)</f>
        <v>30643</v>
      </c>
      <c r="Q1176" s="129"/>
      <c r="R1176" s="183" t="str">
        <f>IF(Table1[[#This Row],[Actual Effort (Hours)]]="","",IF(Table1[[#This Row],[Estimated Effort (Hours)]]&lt;20,"L1",IF(Table1[[#This Row],[Estimated Effort (Hours)]]&lt;50,"L2",IF(Table1[[#This Row],[Estimated Effort (Hours)]]&lt;150,"L3",IF(Table1[[#This Row],[Estimated Effort (Hours)]]&lt;300,"L4","L5")))))</f>
        <v/>
      </c>
      <c r="S1176" s="184" t="str">
        <f>IF(Table1[[#This Row],[Actual End Date]]="","",TEXT(Table1[[#This Row],[Actual End Date]],"mmm-yy"))</f>
        <v/>
      </c>
      <c r="T11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6" s="185" t="str">
        <f>IFERROR((Table1[[#This Row],[Actual Effort (Hours)]]-Table1[[#This Row],[Estimated Effort (Hours)]])/Table1[[#This Row],[Estimated Effort (Hours)]],"")</f>
        <v/>
      </c>
    </row>
    <row r="1177" spans="2:21">
      <c r="B1177" s="125"/>
      <c r="C1177" s="123"/>
      <c r="D1177" s="143"/>
      <c r="E1177" s="123"/>
      <c r="F1177" s="143"/>
      <c r="G1177" s="129"/>
      <c r="H1177" s="124"/>
      <c r="I1177" s="124"/>
      <c r="J1177" s="129"/>
      <c r="K1177" s="194"/>
      <c r="L1177" s="194"/>
      <c r="M1177" s="129"/>
      <c r="N1177" s="129" t="e">
        <f>Table1[[#This Row],[Estimated Effort (Hours)]]/NETWORKDAYS(Table1[[#This Row],[Planned Start Date]],Table1[[#This Row],[Planned End Date]])</f>
        <v>#DIV/0!</v>
      </c>
      <c r="O1177" s="178">
        <f>NETWORKDAYS(Table1[[#This Row],[Planned Start Date]],Table1[[#This Row],[Planned End Date]])</f>
        <v>0</v>
      </c>
      <c r="P1177" s="178">
        <f>NETWORKDAYS(Table1[[#This Row],[Planned Start Date]],$P$7)</f>
        <v>30643</v>
      </c>
      <c r="Q1177" s="129"/>
      <c r="R1177" s="183" t="str">
        <f>IF(Table1[[#This Row],[Actual Effort (Hours)]]="","",IF(Table1[[#This Row],[Estimated Effort (Hours)]]&lt;20,"L1",IF(Table1[[#This Row],[Estimated Effort (Hours)]]&lt;50,"L2",IF(Table1[[#This Row],[Estimated Effort (Hours)]]&lt;150,"L3",IF(Table1[[#This Row],[Estimated Effort (Hours)]]&lt;300,"L4","L5")))))</f>
        <v/>
      </c>
      <c r="S1177" s="184" t="str">
        <f>IF(Table1[[#This Row],[Actual End Date]]="","",TEXT(Table1[[#This Row],[Actual End Date]],"mmm-yy"))</f>
        <v/>
      </c>
      <c r="T11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7" s="185" t="str">
        <f>IFERROR((Table1[[#This Row],[Actual Effort (Hours)]]-Table1[[#This Row],[Estimated Effort (Hours)]])/Table1[[#This Row],[Estimated Effort (Hours)]],"")</f>
        <v/>
      </c>
    </row>
    <row r="1178" spans="2:21">
      <c r="B1178" s="125"/>
      <c r="C1178" s="123"/>
      <c r="D1178" s="143"/>
      <c r="E1178" s="123"/>
      <c r="F1178" s="143"/>
      <c r="G1178" s="129"/>
      <c r="H1178" s="124"/>
      <c r="I1178" s="124"/>
      <c r="J1178" s="129"/>
      <c r="K1178" s="194"/>
      <c r="L1178" s="194"/>
      <c r="M1178" s="129"/>
      <c r="N1178" s="129" t="e">
        <f>Table1[[#This Row],[Estimated Effort (Hours)]]/NETWORKDAYS(Table1[[#This Row],[Planned Start Date]],Table1[[#This Row],[Planned End Date]])</f>
        <v>#DIV/0!</v>
      </c>
      <c r="O1178" s="178">
        <f>NETWORKDAYS(Table1[[#This Row],[Planned Start Date]],Table1[[#This Row],[Planned End Date]])</f>
        <v>0</v>
      </c>
      <c r="P1178" s="178">
        <f>NETWORKDAYS(Table1[[#This Row],[Planned Start Date]],$P$7)</f>
        <v>30643</v>
      </c>
      <c r="Q1178" s="129"/>
      <c r="R1178" s="183" t="str">
        <f>IF(Table1[[#This Row],[Actual Effort (Hours)]]="","",IF(Table1[[#This Row],[Estimated Effort (Hours)]]&lt;20,"L1",IF(Table1[[#This Row],[Estimated Effort (Hours)]]&lt;50,"L2",IF(Table1[[#This Row],[Estimated Effort (Hours)]]&lt;150,"L3",IF(Table1[[#This Row],[Estimated Effort (Hours)]]&lt;300,"L4","L5")))))</f>
        <v/>
      </c>
      <c r="S1178" s="184" t="str">
        <f>IF(Table1[[#This Row],[Actual End Date]]="","",TEXT(Table1[[#This Row],[Actual End Date]],"mmm-yy"))</f>
        <v/>
      </c>
      <c r="T11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8" s="185" t="str">
        <f>IFERROR((Table1[[#This Row],[Actual Effort (Hours)]]-Table1[[#This Row],[Estimated Effort (Hours)]])/Table1[[#This Row],[Estimated Effort (Hours)]],"")</f>
        <v/>
      </c>
    </row>
    <row r="1179" spans="2:21">
      <c r="B1179" s="125"/>
      <c r="C1179" s="123"/>
      <c r="D1179" s="143"/>
      <c r="E1179" s="123"/>
      <c r="F1179" s="143"/>
      <c r="G1179" s="129"/>
      <c r="H1179" s="124"/>
      <c r="I1179" s="124"/>
      <c r="J1179" s="129"/>
      <c r="K1179" s="194"/>
      <c r="L1179" s="194"/>
      <c r="M1179" s="129"/>
      <c r="N1179" s="129" t="e">
        <f>Table1[[#This Row],[Estimated Effort (Hours)]]/NETWORKDAYS(Table1[[#This Row],[Planned Start Date]],Table1[[#This Row],[Planned End Date]])</f>
        <v>#DIV/0!</v>
      </c>
      <c r="O1179" s="178">
        <f>NETWORKDAYS(Table1[[#This Row],[Planned Start Date]],Table1[[#This Row],[Planned End Date]])</f>
        <v>0</v>
      </c>
      <c r="P1179" s="178">
        <f>NETWORKDAYS(Table1[[#This Row],[Planned Start Date]],$P$7)</f>
        <v>30643</v>
      </c>
      <c r="Q1179" s="129"/>
      <c r="R1179" s="183" t="str">
        <f>IF(Table1[[#This Row],[Actual Effort (Hours)]]="","",IF(Table1[[#This Row],[Estimated Effort (Hours)]]&lt;20,"L1",IF(Table1[[#This Row],[Estimated Effort (Hours)]]&lt;50,"L2",IF(Table1[[#This Row],[Estimated Effort (Hours)]]&lt;150,"L3",IF(Table1[[#This Row],[Estimated Effort (Hours)]]&lt;300,"L4","L5")))))</f>
        <v/>
      </c>
      <c r="S1179" s="184" t="str">
        <f>IF(Table1[[#This Row],[Actual End Date]]="","",TEXT(Table1[[#This Row],[Actual End Date]],"mmm-yy"))</f>
        <v/>
      </c>
      <c r="T11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79" s="185" t="str">
        <f>IFERROR((Table1[[#This Row],[Actual Effort (Hours)]]-Table1[[#This Row],[Estimated Effort (Hours)]])/Table1[[#This Row],[Estimated Effort (Hours)]],"")</f>
        <v/>
      </c>
    </row>
    <row r="1180" spans="2:21">
      <c r="B1180" s="125"/>
      <c r="C1180" s="123"/>
      <c r="D1180" s="143"/>
      <c r="E1180" s="123"/>
      <c r="F1180" s="143"/>
      <c r="G1180" s="129"/>
      <c r="H1180" s="124"/>
      <c r="I1180" s="124"/>
      <c r="J1180" s="129"/>
      <c r="K1180" s="194"/>
      <c r="L1180" s="194"/>
      <c r="M1180" s="129"/>
      <c r="N1180" s="129" t="e">
        <f>Table1[[#This Row],[Estimated Effort (Hours)]]/NETWORKDAYS(Table1[[#This Row],[Planned Start Date]],Table1[[#This Row],[Planned End Date]])</f>
        <v>#DIV/0!</v>
      </c>
      <c r="O1180" s="178">
        <f>NETWORKDAYS(Table1[[#This Row],[Planned Start Date]],Table1[[#This Row],[Planned End Date]])</f>
        <v>0</v>
      </c>
      <c r="P1180" s="178">
        <f>NETWORKDAYS(Table1[[#This Row],[Planned Start Date]],$P$7)</f>
        <v>30643</v>
      </c>
      <c r="Q1180" s="129"/>
      <c r="R1180" s="183" t="str">
        <f>IF(Table1[[#This Row],[Actual Effort (Hours)]]="","",IF(Table1[[#This Row],[Estimated Effort (Hours)]]&lt;20,"L1",IF(Table1[[#This Row],[Estimated Effort (Hours)]]&lt;50,"L2",IF(Table1[[#This Row],[Estimated Effort (Hours)]]&lt;150,"L3",IF(Table1[[#This Row],[Estimated Effort (Hours)]]&lt;300,"L4","L5")))))</f>
        <v/>
      </c>
      <c r="S1180" s="184" t="str">
        <f>IF(Table1[[#This Row],[Actual End Date]]="","",TEXT(Table1[[#This Row],[Actual End Date]],"mmm-yy"))</f>
        <v/>
      </c>
      <c r="T11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0" s="185" t="str">
        <f>IFERROR((Table1[[#This Row],[Actual Effort (Hours)]]-Table1[[#This Row],[Estimated Effort (Hours)]])/Table1[[#This Row],[Estimated Effort (Hours)]],"")</f>
        <v/>
      </c>
    </row>
    <row r="1181" spans="2:21">
      <c r="B1181" s="125"/>
      <c r="C1181" s="123"/>
      <c r="D1181" s="143"/>
      <c r="E1181" s="123"/>
      <c r="F1181" s="143"/>
      <c r="G1181" s="129"/>
      <c r="H1181" s="124"/>
      <c r="I1181" s="124"/>
      <c r="J1181" s="129"/>
      <c r="K1181" s="194"/>
      <c r="L1181" s="194"/>
      <c r="M1181" s="129"/>
      <c r="N1181" s="129" t="e">
        <f>Table1[[#This Row],[Estimated Effort (Hours)]]/NETWORKDAYS(Table1[[#This Row],[Planned Start Date]],Table1[[#This Row],[Planned End Date]])</f>
        <v>#DIV/0!</v>
      </c>
      <c r="O1181" s="178">
        <f>NETWORKDAYS(Table1[[#This Row],[Planned Start Date]],Table1[[#This Row],[Planned End Date]])</f>
        <v>0</v>
      </c>
      <c r="P1181" s="178">
        <f>NETWORKDAYS(Table1[[#This Row],[Planned Start Date]],$P$7)</f>
        <v>30643</v>
      </c>
      <c r="Q1181" s="129"/>
      <c r="R1181" s="183" t="str">
        <f>IF(Table1[[#This Row],[Actual Effort (Hours)]]="","",IF(Table1[[#This Row],[Estimated Effort (Hours)]]&lt;20,"L1",IF(Table1[[#This Row],[Estimated Effort (Hours)]]&lt;50,"L2",IF(Table1[[#This Row],[Estimated Effort (Hours)]]&lt;150,"L3",IF(Table1[[#This Row],[Estimated Effort (Hours)]]&lt;300,"L4","L5")))))</f>
        <v/>
      </c>
      <c r="S1181" s="184" t="str">
        <f>IF(Table1[[#This Row],[Actual End Date]]="","",TEXT(Table1[[#This Row],[Actual End Date]],"mmm-yy"))</f>
        <v/>
      </c>
      <c r="T11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1" s="185" t="str">
        <f>IFERROR((Table1[[#This Row],[Actual Effort (Hours)]]-Table1[[#This Row],[Estimated Effort (Hours)]])/Table1[[#This Row],[Estimated Effort (Hours)]],"")</f>
        <v/>
      </c>
    </row>
    <row r="1182" spans="2:21">
      <c r="B1182" s="125"/>
      <c r="C1182" s="123"/>
      <c r="D1182" s="143"/>
      <c r="E1182" s="123"/>
      <c r="F1182" s="143"/>
      <c r="G1182" s="129"/>
      <c r="H1182" s="124"/>
      <c r="I1182" s="124"/>
      <c r="J1182" s="129"/>
      <c r="K1182" s="194"/>
      <c r="L1182" s="194"/>
      <c r="M1182" s="129"/>
      <c r="N1182" s="129" t="e">
        <f>Table1[[#This Row],[Estimated Effort (Hours)]]/NETWORKDAYS(Table1[[#This Row],[Planned Start Date]],Table1[[#This Row],[Planned End Date]])</f>
        <v>#DIV/0!</v>
      </c>
      <c r="O1182" s="178">
        <f>NETWORKDAYS(Table1[[#This Row],[Planned Start Date]],Table1[[#This Row],[Planned End Date]])</f>
        <v>0</v>
      </c>
      <c r="P1182" s="178">
        <f>NETWORKDAYS(Table1[[#This Row],[Planned Start Date]],$P$7)</f>
        <v>30643</v>
      </c>
      <c r="Q1182" s="129"/>
      <c r="R1182" s="183" t="str">
        <f>IF(Table1[[#This Row],[Actual Effort (Hours)]]="","",IF(Table1[[#This Row],[Estimated Effort (Hours)]]&lt;20,"L1",IF(Table1[[#This Row],[Estimated Effort (Hours)]]&lt;50,"L2",IF(Table1[[#This Row],[Estimated Effort (Hours)]]&lt;150,"L3",IF(Table1[[#This Row],[Estimated Effort (Hours)]]&lt;300,"L4","L5")))))</f>
        <v/>
      </c>
      <c r="S1182" s="184" t="str">
        <f>IF(Table1[[#This Row],[Actual End Date]]="","",TEXT(Table1[[#This Row],[Actual End Date]],"mmm-yy"))</f>
        <v/>
      </c>
      <c r="T11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2" s="185" t="str">
        <f>IFERROR((Table1[[#This Row],[Actual Effort (Hours)]]-Table1[[#This Row],[Estimated Effort (Hours)]])/Table1[[#This Row],[Estimated Effort (Hours)]],"")</f>
        <v/>
      </c>
    </row>
    <row r="1183" spans="2:21">
      <c r="B1183" s="125"/>
      <c r="C1183" s="123"/>
      <c r="D1183" s="143"/>
      <c r="E1183" s="123"/>
      <c r="F1183" s="143"/>
      <c r="G1183" s="129"/>
      <c r="H1183" s="124"/>
      <c r="I1183" s="124"/>
      <c r="J1183" s="129"/>
      <c r="K1183" s="194"/>
      <c r="L1183" s="194"/>
      <c r="M1183" s="129"/>
      <c r="N1183" s="129" t="e">
        <f>Table1[[#This Row],[Estimated Effort (Hours)]]/NETWORKDAYS(Table1[[#This Row],[Planned Start Date]],Table1[[#This Row],[Planned End Date]])</f>
        <v>#DIV/0!</v>
      </c>
      <c r="O1183" s="178">
        <f>NETWORKDAYS(Table1[[#This Row],[Planned Start Date]],Table1[[#This Row],[Planned End Date]])</f>
        <v>0</v>
      </c>
      <c r="P1183" s="178">
        <f>NETWORKDAYS(Table1[[#This Row],[Planned Start Date]],$P$7)</f>
        <v>30643</v>
      </c>
      <c r="Q1183" s="129"/>
      <c r="R1183" s="183" t="str">
        <f>IF(Table1[[#This Row],[Actual Effort (Hours)]]="","",IF(Table1[[#This Row],[Estimated Effort (Hours)]]&lt;20,"L1",IF(Table1[[#This Row],[Estimated Effort (Hours)]]&lt;50,"L2",IF(Table1[[#This Row],[Estimated Effort (Hours)]]&lt;150,"L3",IF(Table1[[#This Row],[Estimated Effort (Hours)]]&lt;300,"L4","L5")))))</f>
        <v/>
      </c>
      <c r="S1183" s="184" t="str">
        <f>IF(Table1[[#This Row],[Actual End Date]]="","",TEXT(Table1[[#This Row],[Actual End Date]],"mmm-yy"))</f>
        <v/>
      </c>
      <c r="T11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3" s="185" t="str">
        <f>IFERROR((Table1[[#This Row],[Actual Effort (Hours)]]-Table1[[#This Row],[Estimated Effort (Hours)]])/Table1[[#This Row],[Estimated Effort (Hours)]],"")</f>
        <v/>
      </c>
    </row>
    <row r="1184" spans="2:21">
      <c r="B1184" s="125"/>
      <c r="C1184" s="123"/>
      <c r="D1184" s="143"/>
      <c r="E1184" s="123"/>
      <c r="F1184" s="143"/>
      <c r="G1184" s="129"/>
      <c r="H1184" s="124"/>
      <c r="I1184" s="124"/>
      <c r="J1184" s="129"/>
      <c r="K1184" s="194"/>
      <c r="L1184" s="194"/>
      <c r="M1184" s="129"/>
      <c r="N1184" s="129" t="e">
        <f>Table1[[#This Row],[Estimated Effort (Hours)]]/NETWORKDAYS(Table1[[#This Row],[Planned Start Date]],Table1[[#This Row],[Planned End Date]])</f>
        <v>#DIV/0!</v>
      </c>
      <c r="O1184" s="178">
        <f>NETWORKDAYS(Table1[[#This Row],[Planned Start Date]],Table1[[#This Row],[Planned End Date]])</f>
        <v>0</v>
      </c>
      <c r="P1184" s="178">
        <f>NETWORKDAYS(Table1[[#This Row],[Planned Start Date]],$P$7)</f>
        <v>30643</v>
      </c>
      <c r="Q1184" s="129"/>
      <c r="R1184" s="183" t="str">
        <f>IF(Table1[[#This Row],[Actual Effort (Hours)]]="","",IF(Table1[[#This Row],[Estimated Effort (Hours)]]&lt;20,"L1",IF(Table1[[#This Row],[Estimated Effort (Hours)]]&lt;50,"L2",IF(Table1[[#This Row],[Estimated Effort (Hours)]]&lt;150,"L3",IF(Table1[[#This Row],[Estimated Effort (Hours)]]&lt;300,"L4","L5")))))</f>
        <v/>
      </c>
      <c r="S1184" s="184" t="str">
        <f>IF(Table1[[#This Row],[Actual End Date]]="","",TEXT(Table1[[#This Row],[Actual End Date]],"mmm-yy"))</f>
        <v/>
      </c>
      <c r="T11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4" s="185" t="str">
        <f>IFERROR((Table1[[#This Row],[Actual Effort (Hours)]]-Table1[[#This Row],[Estimated Effort (Hours)]])/Table1[[#This Row],[Estimated Effort (Hours)]],"")</f>
        <v/>
      </c>
    </row>
    <row r="1185" spans="2:21">
      <c r="B1185" s="125"/>
      <c r="C1185" s="123"/>
      <c r="D1185" s="143"/>
      <c r="E1185" s="123"/>
      <c r="F1185" s="143"/>
      <c r="G1185" s="129"/>
      <c r="H1185" s="124"/>
      <c r="I1185" s="124"/>
      <c r="J1185" s="129"/>
      <c r="K1185" s="194"/>
      <c r="L1185" s="194"/>
      <c r="M1185" s="129"/>
      <c r="N1185" s="129" t="e">
        <f>Table1[[#This Row],[Estimated Effort (Hours)]]/NETWORKDAYS(Table1[[#This Row],[Planned Start Date]],Table1[[#This Row],[Planned End Date]])</f>
        <v>#DIV/0!</v>
      </c>
      <c r="O1185" s="178">
        <f>NETWORKDAYS(Table1[[#This Row],[Planned Start Date]],Table1[[#This Row],[Planned End Date]])</f>
        <v>0</v>
      </c>
      <c r="P1185" s="178">
        <f>NETWORKDAYS(Table1[[#This Row],[Planned Start Date]],$P$7)</f>
        <v>30643</v>
      </c>
      <c r="Q1185" s="129"/>
      <c r="R1185" s="183" t="str">
        <f>IF(Table1[[#This Row],[Actual Effort (Hours)]]="","",IF(Table1[[#This Row],[Estimated Effort (Hours)]]&lt;20,"L1",IF(Table1[[#This Row],[Estimated Effort (Hours)]]&lt;50,"L2",IF(Table1[[#This Row],[Estimated Effort (Hours)]]&lt;150,"L3",IF(Table1[[#This Row],[Estimated Effort (Hours)]]&lt;300,"L4","L5")))))</f>
        <v/>
      </c>
      <c r="S1185" s="184" t="str">
        <f>IF(Table1[[#This Row],[Actual End Date]]="","",TEXT(Table1[[#This Row],[Actual End Date]],"mmm-yy"))</f>
        <v/>
      </c>
      <c r="T11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5" s="185" t="str">
        <f>IFERROR((Table1[[#This Row],[Actual Effort (Hours)]]-Table1[[#This Row],[Estimated Effort (Hours)]])/Table1[[#This Row],[Estimated Effort (Hours)]],"")</f>
        <v/>
      </c>
    </row>
    <row r="1186" spans="2:21">
      <c r="B1186" s="125"/>
      <c r="C1186" s="123"/>
      <c r="D1186" s="143"/>
      <c r="E1186" s="123"/>
      <c r="F1186" s="143"/>
      <c r="G1186" s="129"/>
      <c r="H1186" s="124"/>
      <c r="I1186" s="124"/>
      <c r="J1186" s="129"/>
      <c r="K1186" s="194"/>
      <c r="L1186" s="194"/>
      <c r="M1186" s="129"/>
      <c r="N1186" s="129" t="e">
        <f>Table1[[#This Row],[Estimated Effort (Hours)]]/NETWORKDAYS(Table1[[#This Row],[Planned Start Date]],Table1[[#This Row],[Planned End Date]])</f>
        <v>#DIV/0!</v>
      </c>
      <c r="O1186" s="178">
        <f>NETWORKDAYS(Table1[[#This Row],[Planned Start Date]],Table1[[#This Row],[Planned End Date]])</f>
        <v>0</v>
      </c>
      <c r="P1186" s="178">
        <f>NETWORKDAYS(Table1[[#This Row],[Planned Start Date]],$P$7)</f>
        <v>30643</v>
      </c>
      <c r="Q1186" s="129"/>
      <c r="R1186" s="183" t="str">
        <f>IF(Table1[[#This Row],[Actual Effort (Hours)]]="","",IF(Table1[[#This Row],[Estimated Effort (Hours)]]&lt;20,"L1",IF(Table1[[#This Row],[Estimated Effort (Hours)]]&lt;50,"L2",IF(Table1[[#This Row],[Estimated Effort (Hours)]]&lt;150,"L3",IF(Table1[[#This Row],[Estimated Effort (Hours)]]&lt;300,"L4","L5")))))</f>
        <v/>
      </c>
      <c r="S1186" s="184" t="str">
        <f>IF(Table1[[#This Row],[Actual End Date]]="","",TEXT(Table1[[#This Row],[Actual End Date]],"mmm-yy"))</f>
        <v/>
      </c>
      <c r="T11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6" s="185" t="str">
        <f>IFERROR((Table1[[#This Row],[Actual Effort (Hours)]]-Table1[[#This Row],[Estimated Effort (Hours)]])/Table1[[#This Row],[Estimated Effort (Hours)]],"")</f>
        <v/>
      </c>
    </row>
    <row r="1187" spans="2:21">
      <c r="B1187" s="125"/>
      <c r="C1187" s="123"/>
      <c r="D1187" s="143"/>
      <c r="E1187" s="123"/>
      <c r="F1187" s="143"/>
      <c r="G1187" s="129"/>
      <c r="H1187" s="124"/>
      <c r="I1187" s="124"/>
      <c r="J1187" s="129"/>
      <c r="K1187" s="194"/>
      <c r="L1187" s="194"/>
      <c r="M1187" s="129"/>
      <c r="N1187" s="129" t="e">
        <f>Table1[[#This Row],[Estimated Effort (Hours)]]/NETWORKDAYS(Table1[[#This Row],[Planned Start Date]],Table1[[#This Row],[Planned End Date]])</f>
        <v>#DIV/0!</v>
      </c>
      <c r="O1187" s="178">
        <f>NETWORKDAYS(Table1[[#This Row],[Planned Start Date]],Table1[[#This Row],[Planned End Date]])</f>
        <v>0</v>
      </c>
      <c r="P1187" s="178">
        <f>NETWORKDAYS(Table1[[#This Row],[Planned Start Date]],$P$7)</f>
        <v>30643</v>
      </c>
      <c r="Q1187" s="129"/>
      <c r="R1187" s="183" t="str">
        <f>IF(Table1[[#This Row],[Actual Effort (Hours)]]="","",IF(Table1[[#This Row],[Estimated Effort (Hours)]]&lt;20,"L1",IF(Table1[[#This Row],[Estimated Effort (Hours)]]&lt;50,"L2",IF(Table1[[#This Row],[Estimated Effort (Hours)]]&lt;150,"L3",IF(Table1[[#This Row],[Estimated Effort (Hours)]]&lt;300,"L4","L5")))))</f>
        <v/>
      </c>
      <c r="S1187" s="184" t="str">
        <f>IF(Table1[[#This Row],[Actual End Date]]="","",TEXT(Table1[[#This Row],[Actual End Date]],"mmm-yy"))</f>
        <v/>
      </c>
      <c r="T11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7" s="185" t="str">
        <f>IFERROR((Table1[[#This Row],[Actual Effort (Hours)]]-Table1[[#This Row],[Estimated Effort (Hours)]])/Table1[[#This Row],[Estimated Effort (Hours)]],"")</f>
        <v/>
      </c>
    </row>
    <row r="1188" spans="2:21">
      <c r="B1188" s="125"/>
      <c r="C1188" s="123"/>
      <c r="D1188" s="143"/>
      <c r="E1188" s="123"/>
      <c r="F1188" s="143"/>
      <c r="G1188" s="129"/>
      <c r="H1188" s="124"/>
      <c r="I1188" s="124"/>
      <c r="J1188" s="129"/>
      <c r="K1188" s="194"/>
      <c r="L1188" s="194"/>
      <c r="M1188" s="129"/>
      <c r="N1188" s="129" t="e">
        <f>Table1[[#This Row],[Estimated Effort (Hours)]]/NETWORKDAYS(Table1[[#This Row],[Planned Start Date]],Table1[[#This Row],[Planned End Date]])</f>
        <v>#DIV/0!</v>
      </c>
      <c r="O1188" s="178">
        <f>NETWORKDAYS(Table1[[#This Row],[Planned Start Date]],Table1[[#This Row],[Planned End Date]])</f>
        <v>0</v>
      </c>
      <c r="P1188" s="178">
        <f>NETWORKDAYS(Table1[[#This Row],[Planned Start Date]],$P$7)</f>
        <v>30643</v>
      </c>
      <c r="Q1188" s="129"/>
      <c r="R1188" s="183" t="str">
        <f>IF(Table1[[#This Row],[Actual Effort (Hours)]]="","",IF(Table1[[#This Row],[Estimated Effort (Hours)]]&lt;20,"L1",IF(Table1[[#This Row],[Estimated Effort (Hours)]]&lt;50,"L2",IF(Table1[[#This Row],[Estimated Effort (Hours)]]&lt;150,"L3",IF(Table1[[#This Row],[Estimated Effort (Hours)]]&lt;300,"L4","L5")))))</f>
        <v/>
      </c>
      <c r="S1188" s="184" t="str">
        <f>IF(Table1[[#This Row],[Actual End Date]]="","",TEXT(Table1[[#This Row],[Actual End Date]],"mmm-yy"))</f>
        <v/>
      </c>
      <c r="T11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8" s="185" t="str">
        <f>IFERROR((Table1[[#This Row],[Actual Effort (Hours)]]-Table1[[#This Row],[Estimated Effort (Hours)]])/Table1[[#This Row],[Estimated Effort (Hours)]],"")</f>
        <v/>
      </c>
    </row>
    <row r="1189" spans="2:21">
      <c r="B1189" s="125"/>
      <c r="C1189" s="123"/>
      <c r="D1189" s="143"/>
      <c r="E1189" s="123"/>
      <c r="F1189" s="143"/>
      <c r="G1189" s="129"/>
      <c r="H1189" s="124"/>
      <c r="I1189" s="124"/>
      <c r="J1189" s="129"/>
      <c r="K1189" s="194"/>
      <c r="L1189" s="194"/>
      <c r="M1189" s="129"/>
      <c r="N1189" s="129" t="e">
        <f>Table1[[#This Row],[Estimated Effort (Hours)]]/NETWORKDAYS(Table1[[#This Row],[Planned Start Date]],Table1[[#This Row],[Planned End Date]])</f>
        <v>#DIV/0!</v>
      </c>
      <c r="O1189" s="178">
        <f>NETWORKDAYS(Table1[[#This Row],[Planned Start Date]],Table1[[#This Row],[Planned End Date]])</f>
        <v>0</v>
      </c>
      <c r="P1189" s="178">
        <f>NETWORKDAYS(Table1[[#This Row],[Planned Start Date]],$P$7)</f>
        <v>30643</v>
      </c>
      <c r="Q1189" s="129"/>
      <c r="R1189" s="183" t="str">
        <f>IF(Table1[[#This Row],[Actual Effort (Hours)]]="","",IF(Table1[[#This Row],[Estimated Effort (Hours)]]&lt;20,"L1",IF(Table1[[#This Row],[Estimated Effort (Hours)]]&lt;50,"L2",IF(Table1[[#This Row],[Estimated Effort (Hours)]]&lt;150,"L3",IF(Table1[[#This Row],[Estimated Effort (Hours)]]&lt;300,"L4","L5")))))</f>
        <v/>
      </c>
      <c r="S1189" s="184" t="str">
        <f>IF(Table1[[#This Row],[Actual End Date]]="","",TEXT(Table1[[#This Row],[Actual End Date]],"mmm-yy"))</f>
        <v/>
      </c>
      <c r="T11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89" s="185" t="str">
        <f>IFERROR((Table1[[#This Row],[Actual Effort (Hours)]]-Table1[[#This Row],[Estimated Effort (Hours)]])/Table1[[#This Row],[Estimated Effort (Hours)]],"")</f>
        <v/>
      </c>
    </row>
    <row r="1190" spans="2:21">
      <c r="B1190" s="125"/>
      <c r="C1190" s="123"/>
      <c r="D1190" s="143"/>
      <c r="E1190" s="123"/>
      <c r="F1190" s="143"/>
      <c r="G1190" s="129"/>
      <c r="H1190" s="124"/>
      <c r="I1190" s="124"/>
      <c r="J1190" s="129"/>
      <c r="K1190" s="194"/>
      <c r="L1190" s="194"/>
      <c r="M1190" s="129"/>
      <c r="N1190" s="129" t="e">
        <f>Table1[[#This Row],[Estimated Effort (Hours)]]/NETWORKDAYS(Table1[[#This Row],[Planned Start Date]],Table1[[#This Row],[Planned End Date]])</f>
        <v>#DIV/0!</v>
      </c>
      <c r="O1190" s="178">
        <f>NETWORKDAYS(Table1[[#This Row],[Planned Start Date]],Table1[[#This Row],[Planned End Date]])</f>
        <v>0</v>
      </c>
      <c r="P1190" s="178">
        <f>NETWORKDAYS(Table1[[#This Row],[Planned Start Date]],$P$7)</f>
        <v>30643</v>
      </c>
      <c r="Q1190" s="129"/>
      <c r="R1190" s="183" t="str">
        <f>IF(Table1[[#This Row],[Actual Effort (Hours)]]="","",IF(Table1[[#This Row],[Estimated Effort (Hours)]]&lt;20,"L1",IF(Table1[[#This Row],[Estimated Effort (Hours)]]&lt;50,"L2",IF(Table1[[#This Row],[Estimated Effort (Hours)]]&lt;150,"L3",IF(Table1[[#This Row],[Estimated Effort (Hours)]]&lt;300,"L4","L5")))))</f>
        <v/>
      </c>
      <c r="S1190" s="184" t="str">
        <f>IF(Table1[[#This Row],[Actual End Date]]="","",TEXT(Table1[[#This Row],[Actual End Date]],"mmm-yy"))</f>
        <v/>
      </c>
      <c r="T11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0" s="185" t="str">
        <f>IFERROR((Table1[[#This Row],[Actual Effort (Hours)]]-Table1[[#This Row],[Estimated Effort (Hours)]])/Table1[[#This Row],[Estimated Effort (Hours)]],"")</f>
        <v/>
      </c>
    </row>
    <row r="1191" spans="2:21">
      <c r="B1191" s="125"/>
      <c r="C1191" s="123"/>
      <c r="D1191" s="143"/>
      <c r="E1191" s="123"/>
      <c r="F1191" s="143"/>
      <c r="G1191" s="129"/>
      <c r="H1191" s="124"/>
      <c r="I1191" s="124"/>
      <c r="J1191" s="129"/>
      <c r="K1191" s="194"/>
      <c r="L1191" s="194"/>
      <c r="M1191" s="129"/>
      <c r="N1191" s="129" t="e">
        <f>Table1[[#This Row],[Estimated Effort (Hours)]]/NETWORKDAYS(Table1[[#This Row],[Planned Start Date]],Table1[[#This Row],[Planned End Date]])</f>
        <v>#DIV/0!</v>
      </c>
      <c r="O1191" s="178">
        <f>NETWORKDAYS(Table1[[#This Row],[Planned Start Date]],Table1[[#This Row],[Planned End Date]])</f>
        <v>0</v>
      </c>
      <c r="P1191" s="178">
        <f>NETWORKDAYS(Table1[[#This Row],[Planned Start Date]],$P$7)</f>
        <v>30643</v>
      </c>
      <c r="Q1191" s="129"/>
      <c r="R1191" s="183" t="str">
        <f>IF(Table1[[#This Row],[Actual Effort (Hours)]]="","",IF(Table1[[#This Row],[Estimated Effort (Hours)]]&lt;20,"L1",IF(Table1[[#This Row],[Estimated Effort (Hours)]]&lt;50,"L2",IF(Table1[[#This Row],[Estimated Effort (Hours)]]&lt;150,"L3",IF(Table1[[#This Row],[Estimated Effort (Hours)]]&lt;300,"L4","L5")))))</f>
        <v/>
      </c>
      <c r="S1191" s="184" t="str">
        <f>IF(Table1[[#This Row],[Actual End Date]]="","",TEXT(Table1[[#This Row],[Actual End Date]],"mmm-yy"))</f>
        <v/>
      </c>
      <c r="T11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1" s="185" t="str">
        <f>IFERROR((Table1[[#This Row],[Actual Effort (Hours)]]-Table1[[#This Row],[Estimated Effort (Hours)]])/Table1[[#This Row],[Estimated Effort (Hours)]],"")</f>
        <v/>
      </c>
    </row>
    <row r="1192" spans="2:21">
      <c r="B1192" s="125"/>
      <c r="C1192" s="123"/>
      <c r="D1192" s="143"/>
      <c r="E1192" s="123"/>
      <c r="F1192" s="143"/>
      <c r="G1192" s="129"/>
      <c r="H1192" s="124"/>
      <c r="I1192" s="124"/>
      <c r="J1192" s="129"/>
      <c r="K1192" s="194"/>
      <c r="L1192" s="194"/>
      <c r="M1192" s="129"/>
      <c r="N1192" s="129" t="e">
        <f>Table1[[#This Row],[Estimated Effort (Hours)]]/NETWORKDAYS(Table1[[#This Row],[Planned Start Date]],Table1[[#This Row],[Planned End Date]])</f>
        <v>#DIV/0!</v>
      </c>
      <c r="O1192" s="178">
        <f>NETWORKDAYS(Table1[[#This Row],[Planned Start Date]],Table1[[#This Row],[Planned End Date]])</f>
        <v>0</v>
      </c>
      <c r="P1192" s="178">
        <f>NETWORKDAYS(Table1[[#This Row],[Planned Start Date]],$P$7)</f>
        <v>30643</v>
      </c>
      <c r="Q1192" s="129"/>
      <c r="R1192" s="183" t="str">
        <f>IF(Table1[[#This Row],[Actual Effort (Hours)]]="","",IF(Table1[[#This Row],[Estimated Effort (Hours)]]&lt;20,"L1",IF(Table1[[#This Row],[Estimated Effort (Hours)]]&lt;50,"L2",IF(Table1[[#This Row],[Estimated Effort (Hours)]]&lt;150,"L3",IF(Table1[[#This Row],[Estimated Effort (Hours)]]&lt;300,"L4","L5")))))</f>
        <v/>
      </c>
      <c r="S1192" s="184" t="str">
        <f>IF(Table1[[#This Row],[Actual End Date]]="","",TEXT(Table1[[#This Row],[Actual End Date]],"mmm-yy"))</f>
        <v/>
      </c>
      <c r="T11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2" s="185" t="str">
        <f>IFERROR((Table1[[#This Row],[Actual Effort (Hours)]]-Table1[[#This Row],[Estimated Effort (Hours)]])/Table1[[#This Row],[Estimated Effort (Hours)]],"")</f>
        <v/>
      </c>
    </row>
    <row r="1193" spans="2:21">
      <c r="B1193" s="125"/>
      <c r="C1193" s="123"/>
      <c r="D1193" s="143"/>
      <c r="E1193" s="123"/>
      <c r="F1193" s="143"/>
      <c r="G1193" s="129"/>
      <c r="H1193" s="124"/>
      <c r="I1193" s="124"/>
      <c r="J1193" s="129"/>
      <c r="K1193" s="194"/>
      <c r="L1193" s="194"/>
      <c r="M1193" s="129"/>
      <c r="N1193" s="129" t="e">
        <f>Table1[[#This Row],[Estimated Effort (Hours)]]/NETWORKDAYS(Table1[[#This Row],[Planned Start Date]],Table1[[#This Row],[Planned End Date]])</f>
        <v>#DIV/0!</v>
      </c>
      <c r="O1193" s="178">
        <f>NETWORKDAYS(Table1[[#This Row],[Planned Start Date]],Table1[[#This Row],[Planned End Date]])</f>
        <v>0</v>
      </c>
      <c r="P1193" s="178">
        <f>NETWORKDAYS(Table1[[#This Row],[Planned Start Date]],$P$7)</f>
        <v>30643</v>
      </c>
      <c r="Q1193" s="129"/>
      <c r="R1193" s="183" t="str">
        <f>IF(Table1[[#This Row],[Actual Effort (Hours)]]="","",IF(Table1[[#This Row],[Estimated Effort (Hours)]]&lt;20,"L1",IF(Table1[[#This Row],[Estimated Effort (Hours)]]&lt;50,"L2",IF(Table1[[#This Row],[Estimated Effort (Hours)]]&lt;150,"L3",IF(Table1[[#This Row],[Estimated Effort (Hours)]]&lt;300,"L4","L5")))))</f>
        <v/>
      </c>
      <c r="S1193" s="184" t="str">
        <f>IF(Table1[[#This Row],[Actual End Date]]="","",TEXT(Table1[[#This Row],[Actual End Date]],"mmm-yy"))</f>
        <v/>
      </c>
      <c r="T11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3" s="185" t="str">
        <f>IFERROR((Table1[[#This Row],[Actual Effort (Hours)]]-Table1[[#This Row],[Estimated Effort (Hours)]])/Table1[[#This Row],[Estimated Effort (Hours)]],"")</f>
        <v/>
      </c>
    </row>
    <row r="1194" spans="2:21">
      <c r="B1194" s="125"/>
      <c r="C1194" s="123"/>
      <c r="D1194" s="143"/>
      <c r="E1194" s="123"/>
      <c r="F1194" s="143"/>
      <c r="G1194" s="129"/>
      <c r="H1194" s="124"/>
      <c r="I1194" s="124"/>
      <c r="J1194" s="129"/>
      <c r="K1194" s="194"/>
      <c r="L1194" s="194"/>
      <c r="M1194" s="129"/>
      <c r="N1194" s="129" t="e">
        <f>Table1[[#This Row],[Estimated Effort (Hours)]]/NETWORKDAYS(Table1[[#This Row],[Planned Start Date]],Table1[[#This Row],[Planned End Date]])</f>
        <v>#DIV/0!</v>
      </c>
      <c r="O1194" s="178">
        <f>NETWORKDAYS(Table1[[#This Row],[Planned Start Date]],Table1[[#This Row],[Planned End Date]])</f>
        <v>0</v>
      </c>
      <c r="P1194" s="178">
        <f>NETWORKDAYS(Table1[[#This Row],[Planned Start Date]],$P$7)</f>
        <v>30643</v>
      </c>
      <c r="Q1194" s="129"/>
      <c r="R1194" s="183" t="str">
        <f>IF(Table1[[#This Row],[Actual Effort (Hours)]]="","",IF(Table1[[#This Row],[Estimated Effort (Hours)]]&lt;20,"L1",IF(Table1[[#This Row],[Estimated Effort (Hours)]]&lt;50,"L2",IF(Table1[[#This Row],[Estimated Effort (Hours)]]&lt;150,"L3",IF(Table1[[#This Row],[Estimated Effort (Hours)]]&lt;300,"L4","L5")))))</f>
        <v/>
      </c>
      <c r="S1194" s="184" t="str">
        <f>IF(Table1[[#This Row],[Actual End Date]]="","",TEXT(Table1[[#This Row],[Actual End Date]],"mmm-yy"))</f>
        <v/>
      </c>
      <c r="T11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4" s="185" t="str">
        <f>IFERROR((Table1[[#This Row],[Actual Effort (Hours)]]-Table1[[#This Row],[Estimated Effort (Hours)]])/Table1[[#This Row],[Estimated Effort (Hours)]],"")</f>
        <v/>
      </c>
    </row>
    <row r="1195" spans="2:21">
      <c r="B1195" s="125"/>
      <c r="C1195" s="123"/>
      <c r="D1195" s="143"/>
      <c r="E1195" s="123"/>
      <c r="F1195" s="143"/>
      <c r="G1195" s="129"/>
      <c r="H1195" s="124"/>
      <c r="I1195" s="124"/>
      <c r="J1195" s="129"/>
      <c r="K1195" s="194"/>
      <c r="L1195" s="194"/>
      <c r="M1195" s="129"/>
      <c r="N1195" s="129" t="e">
        <f>Table1[[#This Row],[Estimated Effort (Hours)]]/NETWORKDAYS(Table1[[#This Row],[Planned Start Date]],Table1[[#This Row],[Planned End Date]])</f>
        <v>#DIV/0!</v>
      </c>
      <c r="O1195" s="178">
        <f>NETWORKDAYS(Table1[[#This Row],[Planned Start Date]],Table1[[#This Row],[Planned End Date]])</f>
        <v>0</v>
      </c>
      <c r="P1195" s="178">
        <f>NETWORKDAYS(Table1[[#This Row],[Planned Start Date]],$P$7)</f>
        <v>30643</v>
      </c>
      <c r="Q1195" s="129"/>
      <c r="R1195" s="183" t="str">
        <f>IF(Table1[[#This Row],[Actual Effort (Hours)]]="","",IF(Table1[[#This Row],[Estimated Effort (Hours)]]&lt;20,"L1",IF(Table1[[#This Row],[Estimated Effort (Hours)]]&lt;50,"L2",IF(Table1[[#This Row],[Estimated Effort (Hours)]]&lt;150,"L3",IF(Table1[[#This Row],[Estimated Effort (Hours)]]&lt;300,"L4","L5")))))</f>
        <v/>
      </c>
      <c r="S1195" s="184" t="str">
        <f>IF(Table1[[#This Row],[Actual End Date]]="","",TEXT(Table1[[#This Row],[Actual End Date]],"mmm-yy"))</f>
        <v/>
      </c>
      <c r="T11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5" s="185" t="str">
        <f>IFERROR((Table1[[#This Row],[Actual Effort (Hours)]]-Table1[[#This Row],[Estimated Effort (Hours)]])/Table1[[#This Row],[Estimated Effort (Hours)]],"")</f>
        <v/>
      </c>
    </row>
    <row r="1196" spans="2:21">
      <c r="B1196" s="125"/>
      <c r="C1196" s="123"/>
      <c r="D1196" s="143"/>
      <c r="E1196" s="123"/>
      <c r="F1196" s="143"/>
      <c r="G1196" s="129"/>
      <c r="H1196" s="124"/>
      <c r="I1196" s="124"/>
      <c r="J1196" s="129"/>
      <c r="K1196" s="194"/>
      <c r="L1196" s="194"/>
      <c r="M1196" s="129"/>
      <c r="N1196" s="129" t="e">
        <f>Table1[[#This Row],[Estimated Effort (Hours)]]/NETWORKDAYS(Table1[[#This Row],[Planned Start Date]],Table1[[#This Row],[Planned End Date]])</f>
        <v>#DIV/0!</v>
      </c>
      <c r="O1196" s="178">
        <f>NETWORKDAYS(Table1[[#This Row],[Planned Start Date]],Table1[[#This Row],[Planned End Date]])</f>
        <v>0</v>
      </c>
      <c r="P1196" s="178">
        <f>NETWORKDAYS(Table1[[#This Row],[Planned Start Date]],$P$7)</f>
        <v>30643</v>
      </c>
      <c r="Q1196" s="129"/>
      <c r="R1196" s="183" t="str">
        <f>IF(Table1[[#This Row],[Actual Effort (Hours)]]="","",IF(Table1[[#This Row],[Estimated Effort (Hours)]]&lt;20,"L1",IF(Table1[[#This Row],[Estimated Effort (Hours)]]&lt;50,"L2",IF(Table1[[#This Row],[Estimated Effort (Hours)]]&lt;150,"L3",IF(Table1[[#This Row],[Estimated Effort (Hours)]]&lt;300,"L4","L5")))))</f>
        <v/>
      </c>
      <c r="S1196" s="184" t="str">
        <f>IF(Table1[[#This Row],[Actual End Date]]="","",TEXT(Table1[[#This Row],[Actual End Date]],"mmm-yy"))</f>
        <v/>
      </c>
      <c r="T11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6" s="185" t="str">
        <f>IFERROR((Table1[[#This Row],[Actual Effort (Hours)]]-Table1[[#This Row],[Estimated Effort (Hours)]])/Table1[[#This Row],[Estimated Effort (Hours)]],"")</f>
        <v/>
      </c>
    </row>
    <row r="1197" spans="2:21">
      <c r="B1197" s="125"/>
      <c r="C1197" s="123"/>
      <c r="D1197" s="143"/>
      <c r="E1197" s="123"/>
      <c r="F1197" s="143"/>
      <c r="G1197" s="129"/>
      <c r="H1197" s="124"/>
      <c r="I1197" s="124"/>
      <c r="J1197" s="129"/>
      <c r="K1197" s="194"/>
      <c r="L1197" s="194"/>
      <c r="M1197" s="129"/>
      <c r="N1197" s="129" t="e">
        <f>Table1[[#This Row],[Estimated Effort (Hours)]]/NETWORKDAYS(Table1[[#This Row],[Planned Start Date]],Table1[[#This Row],[Planned End Date]])</f>
        <v>#DIV/0!</v>
      </c>
      <c r="O1197" s="178">
        <f>NETWORKDAYS(Table1[[#This Row],[Planned Start Date]],Table1[[#This Row],[Planned End Date]])</f>
        <v>0</v>
      </c>
      <c r="P1197" s="178">
        <f>NETWORKDAYS(Table1[[#This Row],[Planned Start Date]],$P$7)</f>
        <v>30643</v>
      </c>
      <c r="Q1197" s="129"/>
      <c r="R1197" s="183" t="str">
        <f>IF(Table1[[#This Row],[Actual Effort (Hours)]]="","",IF(Table1[[#This Row],[Estimated Effort (Hours)]]&lt;20,"L1",IF(Table1[[#This Row],[Estimated Effort (Hours)]]&lt;50,"L2",IF(Table1[[#This Row],[Estimated Effort (Hours)]]&lt;150,"L3",IF(Table1[[#This Row],[Estimated Effort (Hours)]]&lt;300,"L4","L5")))))</f>
        <v/>
      </c>
      <c r="S1197" s="184" t="str">
        <f>IF(Table1[[#This Row],[Actual End Date]]="","",TEXT(Table1[[#This Row],[Actual End Date]],"mmm-yy"))</f>
        <v/>
      </c>
      <c r="T11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7" s="185" t="str">
        <f>IFERROR((Table1[[#This Row],[Actual Effort (Hours)]]-Table1[[#This Row],[Estimated Effort (Hours)]])/Table1[[#This Row],[Estimated Effort (Hours)]],"")</f>
        <v/>
      </c>
    </row>
    <row r="1198" spans="2:21">
      <c r="B1198" s="125"/>
      <c r="C1198" s="123"/>
      <c r="D1198" s="143"/>
      <c r="E1198" s="123"/>
      <c r="F1198" s="143"/>
      <c r="G1198" s="129"/>
      <c r="H1198" s="124"/>
      <c r="I1198" s="124"/>
      <c r="J1198" s="129"/>
      <c r="K1198" s="194"/>
      <c r="L1198" s="194"/>
      <c r="M1198" s="129"/>
      <c r="N1198" s="129" t="e">
        <f>Table1[[#This Row],[Estimated Effort (Hours)]]/NETWORKDAYS(Table1[[#This Row],[Planned Start Date]],Table1[[#This Row],[Planned End Date]])</f>
        <v>#DIV/0!</v>
      </c>
      <c r="O1198" s="178">
        <f>NETWORKDAYS(Table1[[#This Row],[Planned Start Date]],Table1[[#This Row],[Planned End Date]])</f>
        <v>0</v>
      </c>
      <c r="P1198" s="178">
        <f>NETWORKDAYS(Table1[[#This Row],[Planned Start Date]],$P$7)</f>
        <v>30643</v>
      </c>
      <c r="Q1198" s="129"/>
      <c r="R1198" s="183" t="str">
        <f>IF(Table1[[#This Row],[Actual Effort (Hours)]]="","",IF(Table1[[#This Row],[Estimated Effort (Hours)]]&lt;20,"L1",IF(Table1[[#This Row],[Estimated Effort (Hours)]]&lt;50,"L2",IF(Table1[[#This Row],[Estimated Effort (Hours)]]&lt;150,"L3",IF(Table1[[#This Row],[Estimated Effort (Hours)]]&lt;300,"L4","L5")))))</f>
        <v/>
      </c>
      <c r="S1198" s="184" t="str">
        <f>IF(Table1[[#This Row],[Actual End Date]]="","",TEXT(Table1[[#This Row],[Actual End Date]],"mmm-yy"))</f>
        <v/>
      </c>
      <c r="T11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8" s="185" t="str">
        <f>IFERROR((Table1[[#This Row],[Actual Effort (Hours)]]-Table1[[#This Row],[Estimated Effort (Hours)]])/Table1[[#This Row],[Estimated Effort (Hours)]],"")</f>
        <v/>
      </c>
    </row>
    <row r="1199" spans="2:21">
      <c r="B1199" s="125"/>
      <c r="C1199" s="123"/>
      <c r="D1199" s="143"/>
      <c r="E1199" s="123"/>
      <c r="F1199" s="143"/>
      <c r="G1199" s="129"/>
      <c r="H1199" s="124"/>
      <c r="I1199" s="124"/>
      <c r="J1199" s="129"/>
      <c r="K1199" s="194"/>
      <c r="L1199" s="194"/>
      <c r="M1199" s="129"/>
      <c r="N1199" s="129" t="e">
        <f>Table1[[#This Row],[Estimated Effort (Hours)]]/NETWORKDAYS(Table1[[#This Row],[Planned Start Date]],Table1[[#This Row],[Planned End Date]])</f>
        <v>#DIV/0!</v>
      </c>
      <c r="O1199" s="178">
        <f>NETWORKDAYS(Table1[[#This Row],[Planned Start Date]],Table1[[#This Row],[Planned End Date]])</f>
        <v>0</v>
      </c>
      <c r="P1199" s="178">
        <f>NETWORKDAYS(Table1[[#This Row],[Planned Start Date]],$P$7)</f>
        <v>30643</v>
      </c>
      <c r="Q1199" s="129"/>
      <c r="R1199" s="183" t="str">
        <f>IF(Table1[[#This Row],[Actual Effort (Hours)]]="","",IF(Table1[[#This Row],[Estimated Effort (Hours)]]&lt;20,"L1",IF(Table1[[#This Row],[Estimated Effort (Hours)]]&lt;50,"L2",IF(Table1[[#This Row],[Estimated Effort (Hours)]]&lt;150,"L3",IF(Table1[[#This Row],[Estimated Effort (Hours)]]&lt;300,"L4","L5")))))</f>
        <v/>
      </c>
      <c r="S1199" s="184" t="str">
        <f>IF(Table1[[#This Row],[Actual End Date]]="","",TEXT(Table1[[#This Row],[Actual End Date]],"mmm-yy"))</f>
        <v/>
      </c>
      <c r="T11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199" s="185" t="str">
        <f>IFERROR((Table1[[#This Row],[Actual Effort (Hours)]]-Table1[[#This Row],[Estimated Effort (Hours)]])/Table1[[#This Row],[Estimated Effort (Hours)]],"")</f>
        <v/>
      </c>
    </row>
    <row r="1200" spans="2:21">
      <c r="B1200" s="125"/>
      <c r="C1200" s="123"/>
      <c r="D1200" s="143"/>
      <c r="E1200" s="123"/>
      <c r="F1200" s="143"/>
      <c r="G1200" s="129"/>
      <c r="H1200" s="124"/>
      <c r="I1200" s="124"/>
      <c r="J1200" s="129"/>
      <c r="K1200" s="194"/>
      <c r="L1200" s="194"/>
      <c r="M1200" s="129"/>
      <c r="N1200" s="129" t="e">
        <f>Table1[[#This Row],[Estimated Effort (Hours)]]/NETWORKDAYS(Table1[[#This Row],[Planned Start Date]],Table1[[#This Row],[Planned End Date]])</f>
        <v>#DIV/0!</v>
      </c>
      <c r="O1200" s="178">
        <f>NETWORKDAYS(Table1[[#This Row],[Planned Start Date]],Table1[[#This Row],[Planned End Date]])</f>
        <v>0</v>
      </c>
      <c r="P1200" s="178">
        <f>NETWORKDAYS(Table1[[#This Row],[Planned Start Date]],$P$7)</f>
        <v>30643</v>
      </c>
      <c r="Q1200" s="129"/>
      <c r="R1200" s="183" t="str">
        <f>IF(Table1[[#This Row],[Actual Effort (Hours)]]="","",IF(Table1[[#This Row],[Estimated Effort (Hours)]]&lt;20,"L1",IF(Table1[[#This Row],[Estimated Effort (Hours)]]&lt;50,"L2",IF(Table1[[#This Row],[Estimated Effort (Hours)]]&lt;150,"L3",IF(Table1[[#This Row],[Estimated Effort (Hours)]]&lt;300,"L4","L5")))))</f>
        <v/>
      </c>
      <c r="S1200" s="184" t="str">
        <f>IF(Table1[[#This Row],[Actual End Date]]="","",TEXT(Table1[[#This Row],[Actual End Date]],"mmm-yy"))</f>
        <v/>
      </c>
      <c r="T12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0" s="185" t="str">
        <f>IFERROR((Table1[[#This Row],[Actual Effort (Hours)]]-Table1[[#This Row],[Estimated Effort (Hours)]])/Table1[[#This Row],[Estimated Effort (Hours)]],"")</f>
        <v/>
      </c>
    </row>
    <row r="1201" spans="2:21">
      <c r="B1201" s="125"/>
      <c r="C1201" s="123"/>
      <c r="D1201" s="143"/>
      <c r="E1201" s="123"/>
      <c r="F1201" s="143"/>
      <c r="G1201" s="129"/>
      <c r="H1201" s="124"/>
      <c r="I1201" s="124"/>
      <c r="J1201" s="129"/>
      <c r="K1201" s="194"/>
      <c r="L1201" s="194"/>
      <c r="M1201" s="129"/>
      <c r="N1201" s="129" t="e">
        <f>Table1[[#This Row],[Estimated Effort (Hours)]]/NETWORKDAYS(Table1[[#This Row],[Planned Start Date]],Table1[[#This Row],[Planned End Date]])</f>
        <v>#DIV/0!</v>
      </c>
      <c r="O1201" s="178">
        <f>NETWORKDAYS(Table1[[#This Row],[Planned Start Date]],Table1[[#This Row],[Planned End Date]])</f>
        <v>0</v>
      </c>
      <c r="P1201" s="178">
        <f>NETWORKDAYS(Table1[[#This Row],[Planned Start Date]],$P$7)</f>
        <v>30643</v>
      </c>
      <c r="Q1201" s="129"/>
      <c r="R1201" s="183" t="str">
        <f>IF(Table1[[#This Row],[Actual Effort (Hours)]]="","",IF(Table1[[#This Row],[Estimated Effort (Hours)]]&lt;20,"L1",IF(Table1[[#This Row],[Estimated Effort (Hours)]]&lt;50,"L2",IF(Table1[[#This Row],[Estimated Effort (Hours)]]&lt;150,"L3",IF(Table1[[#This Row],[Estimated Effort (Hours)]]&lt;300,"L4","L5")))))</f>
        <v/>
      </c>
      <c r="S1201" s="184" t="str">
        <f>IF(Table1[[#This Row],[Actual End Date]]="","",TEXT(Table1[[#This Row],[Actual End Date]],"mmm-yy"))</f>
        <v/>
      </c>
      <c r="T12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1" s="185" t="str">
        <f>IFERROR((Table1[[#This Row],[Actual Effort (Hours)]]-Table1[[#This Row],[Estimated Effort (Hours)]])/Table1[[#This Row],[Estimated Effort (Hours)]],"")</f>
        <v/>
      </c>
    </row>
    <row r="1202" spans="2:21">
      <c r="B1202" s="125"/>
      <c r="C1202" s="123"/>
      <c r="D1202" s="143"/>
      <c r="E1202" s="123"/>
      <c r="F1202" s="143"/>
      <c r="G1202" s="129"/>
      <c r="H1202" s="124"/>
      <c r="I1202" s="124"/>
      <c r="J1202" s="129"/>
      <c r="K1202" s="194"/>
      <c r="L1202" s="194"/>
      <c r="M1202" s="129"/>
      <c r="N1202" s="129" t="e">
        <f>Table1[[#This Row],[Estimated Effort (Hours)]]/NETWORKDAYS(Table1[[#This Row],[Planned Start Date]],Table1[[#This Row],[Planned End Date]])</f>
        <v>#DIV/0!</v>
      </c>
      <c r="O1202" s="178">
        <f>NETWORKDAYS(Table1[[#This Row],[Planned Start Date]],Table1[[#This Row],[Planned End Date]])</f>
        <v>0</v>
      </c>
      <c r="P1202" s="178">
        <f>NETWORKDAYS(Table1[[#This Row],[Planned Start Date]],$P$7)</f>
        <v>30643</v>
      </c>
      <c r="Q1202" s="129"/>
      <c r="R1202" s="183" t="str">
        <f>IF(Table1[[#This Row],[Actual Effort (Hours)]]="","",IF(Table1[[#This Row],[Estimated Effort (Hours)]]&lt;20,"L1",IF(Table1[[#This Row],[Estimated Effort (Hours)]]&lt;50,"L2",IF(Table1[[#This Row],[Estimated Effort (Hours)]]&lt;150,"L3",IF(Table1[[#This Row],[Estimated Effort (Hours)]]&lt;300,"L4","L5")))))</f>
        <v/>
      </c>
      <c r="S1202" s="184" t="str">
        <f>IF(Table1[[#This Row],[Actual End Date]]="","",TEXT(Table1[[#This Row],[Actual End Date]],"mmm-yy"))</f>
        <v/>
      </c>
      <c r="T12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2" s="185" t="str">
        <f>IFERROR((Table1[[#This Row],[Actual Effort (Hours)]]-Table1[[#This Row],[Estimated Effort (Hours)]])/Table1[[#This Row],[Estimated Effort (Hours)]],"")</f>
        <v/>
      </c>
    </row>
    <row r="1203" spans="2:21">
      <c r="B1203" s="125"/>
      <c r="C1203" s="123"/>
      <c r="D1203" s="143"/>
      <c r="E1203" s="123"/>
      <c r="F1203" s="143"/>
      <c r="G1203" s="129"/>
      <c r="H1203" s="124"/>
      <c r="I1203" s="124"/>
      <c r="J1203" s="129"/>
      <c r="K1203" s="194"/>
      <c r="L1203" s="194"/>
      <c r="M1203" s="129"/>
      <c r="N1203" s="129" t="e">
        <f>Table1[[#This Row],[Estimated Effort (Hours)]]/NETWORKDAYS(Table1[[#This Row],[Planned Start Date]],Table1[[#This Row],[Planned End Date]])</f>
        <v>#DIV/0!</v>
      </c>
      <c r="O1203" s="178">
        <f>NETWORKDAYS(Table1[[#This Row],[Planned Start Date]],Table1[[#This Row],[Planned End Date]])</f>
        <v>0</v>
      </c>
      <c r="P1203" s="178">
        <f>NETWORKDAYS(Table1[[#This Row],[Planned Start Date]],$P$7)</f>
        <v>30643</v>
      </c>
      <c r="Q1203" s="129"/>
      <c r="R1203" s="183" t="str">
        <f>IF(Table1[[#This Row],[Actual Effort (Hours)]]="","",IF(Table1[[#This Row],[Estimated Effort (Hours)]]&lt;20,"L1",IF(Table1[[#This Row],[Estimated Effort (Hours)]]&lt;50,"L2",IF(Table1[[#This Row],[Estimated Effort (Hours)]]&lt;150,"L3",IF(Table1[[#This Row],[Estimated Effort (Hours)]]&lt;300,"L4","L5")))))</f>
        <v/>
      </c>
      <c r="S1203" s="184" t="str">
        <f>IF(Table1[[#This Row],[Actual End Date]]="","",TEXT(Table1[[#This Row],[Actual End Date]],"mmm-yy"))</f>
        <v/>
      </c>
      <c r="T12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3" s="185" t="str">
        <f>IFERROR((Table1[[#This Row],[Actual Effort (Hours)]]-Table1[[#This Row],[Estimated Effort (Hours)]])/Table1[[#This Row],[Estimated Effort (Hours)]],"")</f>
        <v/>
      </c>
    </row>
    <row r="1204" spans="2:21">
      <c r="B1204" s="125"/>
      <c r="C1204" s="123"/>
      <c r="D1204" s="143"/>
      <c r="E1204" s="123"/>
      <c r="F1204" s="143"/>
      <c r="G1204" s="129"/>
      <c r="H1204" s="124"/>
      <c r="I1204" s="124"/>
      <c r="J1204" s="129"/>
      <c r="K1204" s="194"/>
      <c r="L1204" s="194"/>
      <c r="M1204" s="129"/>
      <c r="N1204" s="129" t="e">
        <f>Table1[[#This Row],[Estimated Effort (Hours)]]/NETWORKDAYS(Table1[[#This Row],[Planned Start Date]],Table1[[#This Row],[Planned End Date]])</f>
        <v>#DIV/0!</v>
      </c>
      <c r="O1204" s="178">
        <f>NETWORKDAYS(Table1[[#This Row],[Planned Start Date]],Table1[[#This Row],[Planned End Date]])</f>
        <v>0</v>
      </c>
      <c r="P1204" s="178">
        <f>NETWORKDAYS(Table1[[#This Row],[Planned Start Date]],$P$7)</f>
        <v>30643</v>
      </c>
      <c r="Q1204" s="129"/>
      <c r="R1204" s="183" t="str">
        <f>IF(Table1[[#This Row],[Actual Effort (Hours)]]="","",IF(Table1[[#This Row],[Estimated Effort (Hours)]]&lt;20,"L1",IF(Table1[[#This Row],[Estimated Effort (Hours)]]&lt;50,"L2",IF(Table1[[#This Row],[Estimated Effort (Hours)]]&lt;150,"L3",IF(Table1[[#This Row],[Estimated Effort (Hours)]]&lt;300,"L4","L5")))))</f>
        <v/>
      </c>
      <c r="S1204" s="184" t="str">
        <f>IF(Table1[[#This Row],[Actual End Date]]="","",TEXT(Table1[[#This Row],[Actual End Date]],"mmm-yy"))</f>
        <v/>
      </c>
      <c r="T12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4" s="185" t="str">
        <f>IFERROR((Table1[[#This Row],[Actual Effort (Hours)]]-Table1[[#This Row],[Estimated Effort (Hours)]])/Table1[[#This Row],[Estimated Effort (Hours)]],"")</f>
        <v/>
      </c>
    </row>
    <row r="1205" spans="2:21">
      <c r="B1205" s="125"/>
      <c r="C1205" s="123"/>
      <c r="D1205" s="143"/>
      <c r="E1205" s="123"/>
      <c r="F1205" s="143"/>
      <c r="G1205" s="129"/>
      <c r="H1205" s="124"/>
      <c r="I1205" s="124"/>
      <c r="J1205" s="129"/>
      <c r="K1205" s="194"/>
      <c r="L1205" s="194"/>
      <c r="M1205" s="129"/>
      <c r="N1205" s="129" t="e">
        <f>Table1[[#This Row],[Estimated Effort (Hours)]]/NETWORKDAYS(Table1[[#This Row],[Planned Start Date]],Table1[[#This Row],[Planned End Date]])</f>
        <v>#DIV/0!</v>
      </c>
      <c r="O1205" s="178">
        <f>NETWORKDAYS(Table1[[#This Row],[Planned Start Date]],Table1[[#This Row],[Planned End Date]])</f>
        <v>0</v>
      </c>
      <c r="P1205" s="178">
        <f>NETWORKDAYS(Table1[[#This Row],[Planned Start Date]],$P$7)</f>
        <v>30643</v>
      </c>
      <c r="Q1205" s="129"/>
      <c r="R1205" s="183" t="str">
        <f>IF(Table1[[#This Row],[Actual Effort (Hours)]]="","",IF(Table1[[#This Row],[Estimated Effort (Hours)]]&lt;20,"L1",IF(Table1[[#This Row],[Estimated Effort (Hours)]]&lt;50,"L2",IF(Table1[[#This Row],[Estimated Effort (Hours)]]&lt;150,"L3",IF(Table1[[#This Row],[Estimated Effort (Hours)]]&lt;300,"L4","L5")))))</f>
        <v/>
      </c>
      <c r="S1205" s="184" t="str">
        <f>IF(Table1[[#This Row],[Actual End Date]]="","",TEXT(Table1[[#This Row],[Actual End Date]],"mmm-yy"))</f>
        <v/>
      </c>
      <c r="T12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5" s="185" t="str">
        <f>IFERROR((Table1[[#This Row],[Actual Effort (Hours)]]-Table1[[#This Row],[Estimated Effort (Hours)]])/Table1[[#This Row],[Estimated Effort (Hours)]],"")</f>
        <v/>
      </c>
    </row>
    <row r="1206" spans="2:21">
      <c r="B1206" s="125"/>
      <c r="C1206" s="123"/>
      <c r="D1206" s="143"/>
      <c r="E1206" s="123"/>
      <c r="F1206" s="143"/>
      <c r="G1206" s="129"/>
      <c r="H1206" s="124"/>
      <c r="I1206" s="124"/>
      <c r="J1206" s="129"/>
      <c r="K1206" s="194"/>
      <c r="L1206" s="194"/>
      <c r="M1206" s="129"/>
      <c r="N1206" s="129" t="e">
        <f>Table1[[#This Row],[Estimated Effort (Hours)]]/NETWORKDAYS(Table1[[#This Row],[Planned Start Date]],Table1[[#This Row],[Planned End Date]])</f>
        <v>#DIV/0!</v>
      </c>
      <c r="O1206" s="178">
        <f>NETWORKDAYS(Table1[[#This Row],[Planned Start Date]],Table1[[#This Row],[Planned End Date]])</f>
        <v>0</v>
      </c>
      <c r="P1206" s="178">
        <f>NETWORKDAYS(Table1[[#This Row],[Planned Start Date]],$P$7)</f>
        <v>30643</v>
      </c>
      <c r="Q1206" s="129"/>
      <c r="R1206" s="183" t="str">
        <f>IF(Table1[[#This Row],[Actual Effort (Hours)]]="","",IF(Table1[[#This Row],[Estimated Effort (Hours)]]&lt;20,"L1",IF(Table1[[#This Row],[Estimated Effort (Hours)]]&lt;50,"L2",IF(Table1[[#This Row],[Estimated Effort (Hours)]]&lt;150,"L3",IF(Table1[[#This Row],[Estimated Effort (Hours)]]&lt;300,"L4","L5")))))</f>
        <v/>
      </c>
      <c r="S1206" s="184" t="str">
        <f>IF(Table1[[#This Row],[Actual End Date]]="","",TEXT(Table1[[#This Row],[Actual End Date]],"mmm-yy"))</f>
        <v/>
      </c>
      <c r="T12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6" s="185" t="str">
        <f>IFERROR((Table1[[#This Row],[Actual Effort (Hours)]]-Table1[[#This Row],[Estimated Effort (Hours)]])/Table1[[#This Row],[Estimated Effort (Hours)]],"")</f>
        <v/>
      </c>
    </row>
    <row r="1207" spans="2:21">
      <c r="B1207" s="125"/>
      <c r="C1207" s="123"/>
      <c r="D1207" s="143"/>
      <c r="E1207" s="123"/>
      <c r="F1207" s="143"/>
      <c r="G1207" s="129"/>
      <c r="H1207" s="124"/>
      <c r="I1207" s="124"/>
      <c r="J1207" s="129"/>
      <c r="K1207" s="194"/>
      <c r="L1207" s="194"/>
      <c r="M1207" s="129"/>
      <c r="N1207" s="129" t="e">
        <f>Table1[[#This Row],[Estimated Effort (Hours)]]/NETWORKDAYS(Table1[[#This Row],[Planned Start Date]],Table1[[#This Row],[Planned End Date]])</f>
        <v>#DIV/0!</v>
      </c>
      <c r="O1207" s="178">
        <f>NETWORKDAYS(Table1[[#This Row],[Planned Start Date]],Table1[[#This Row],[Planned End Date]])</f>
        <v>0</v>
      </c>
      <c r="P1207" s="178">
        <f>NETWORKDAYS(Table1[[#This Row],[Planned Start Date]],$P$7)</f>
        <v>30643</v>
      </c>
      <c r="Q1207" s="129"/>
      <c r="R1207" s="183" t="str">
        <f>IF(Table1[[#This Row],[Actual Effort (Hours)]]="","",IF(Table1[[#This Row],[Estimated Effort (Hours)]]&lt;20,"L1",IF(Table1[[#This Row],[Estimated Effort (Hours)]]&lt;50,"L2",IF(Table1[[#This Row],[Estimated Effort (Hours)]]&lt;150,"L3",IF(Table1[[#This Row],[Estimated Effort (Hours)]]&lt;300,"L4","L5")))))</f>
        <v/>
      </c>
      <c r="S1207" s="184" t="str">
        <f>IF(Table1[[#This Row],[Actual End Date]]="","",TEXT(Table1[[#This Row],[Actual End Date]],"mmm-yy"))</f>
        <v/>
      </c>
      <c r="T12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7" s="185" t="str">
        <f>IFERROR((Table1[[#This Row],[Actual Effort (Hours)]]-Table1[[#This Row],[Estimated Effort (Hours)]])/Table1[[#This Row],[Estimated Effort (Hours)]],"")</f>
        <v/>
      </c>
    </row>
    <row r="1208" spans="2:21">
      <c r="B1208" s="125"/>
      <c r="C1208" s="123"/>
      <c r="D1208" s="143"/>
      <c r="E1208" s="123"/>
      <c r="F1208" s="143"/>
      <c r="G1208" s="129"/>
      <c r="H1208" s="124"/>
      <c r="I1208" s="124"/>
      <c r="J1208" s="129"/>
      <c r="K1208" s="194"/>
      <c r="L1208" s="194"/>
      <c r="M1208" s="129"/>
      <c r="N1208" s="129" t="e">
        <f>Table1[[#This Row],[Estimated Effort (Hours)]]/NETWORKDAYS(Table1[[#This Row],[Planned Start Date]],Table1[[#This Row],[Planned End Date]])</f>
        <v>#DIV/0!</v>
      </c>
      <c r="O1208" s="178">
        <f>NETWORKDAYS(Table1[[#This Row],[Planned Start Date]],Table1[[#This Row],[Planned End Date]])</f>
        <v>0</v>
      </c>
      <c r="P1208" s="178">
        <f>NETWORKDAYS(Table1[[#This Row],[Planned Start Date]],$P$7)</f>
        <v>30643</v>
      </c>
      <c r="Q1208" s="129"/>
      <c r="R1208" s="183" t="str">
        <f>IF(Table1[[#This Row],[Actual Effort (Hours)]]="","",IF(Table1[[#This Row],[Estimated Effort (Hours)]]&lt;20,"L1",IF(Table1[[#This Row],[Estimated Effort (Hours)]]&lt;50,"L2",IF(Table1[[#This Row],[Estimated Effort (Hours)]]&lt;150,"L3",IF(Table1[[#This Row],[Estimated Effort (Hours)]]&lt;300,"L4","L5")))))</f>
        <v/>
      </c>
      <c r="S1208" s="184" t="str">
        <f>IF(Table1[[#This Row],[Actual End Date]]="","",TEXT(Table1[[#This Row],[Actual End Date]],"mmm-yy"))</f>
        <v/>
      </c>
      <c r="T12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8" s="185" t="str">
        <f>IFERROR((Table1[[#This Row],[Actual Effort (Hours)]]-Table1[[#This Row],[Estimated Effort (Hours)]])/Table1[[#This Row],[Estimated Effort (Hours)]],"")</f>
        <v/>
      </c>
    </row>
    <row r="1209" spans="2:21">
      <c r="B1209" s="125"/>
      <c r="C1209" s="123"/>
      <c r="D1209" s="143"/>
      <c r="E1209" s="123"/>
      <c r="F1209" s="143"/>
      <c r="G1209" s="129"/>
      <c r="H1209" s="124"/>
      <c r="I1209" s="124"/>
      <c r="J1209" s="129"/>
      <c r="K1209" s="194"/>
      <c r="L1209" s="194"/>
      <c r="M1209" s="129"/>
      <c r="N1209" s="129" t="e">
        <f>Table1[[#This Row],[Estimated Effort (Hours)]]/NETWORKDAYS(Table1[[#This Row],[Planned Start Date]],Table1[[#This Row],[Planned End Date]])</f>
        <v>#DIV/0!</v>
      </c>
      <c r="O1209" s="178">
        <f>NETWORKDAYS(Table1[[#This Row],[Planned Start Date]],Table1[[#This Row],[Planned End Date]])</f>
        <v>0</v>
      </c>
      <c r="P1209" s="178">
        <f>NETWORKDAYS(Table1[[#This Row],[Planned Start Date]],$P$7)</f>
        <v>30643</v>
      </c>
      <c r="Q1209" s="129"/>
      <c r="R1209" s="183" t="str">
        <f>IF(Table1[[#This Row],[Actual Effort (Hours)]]="","",IF(Table1[[#This Row],[Estimated Effort (Hours)]]&lt;20,"L1",IF(Table1[[#This Row],[Estimated Effort (Hours)]]&lt;50,"L2",IF(Table1[[#This Row],[Estimated Effort (Hours)]]&lt;150,"L3",IF(Table1[[#This Row],[Estimated Effort (Hours)]]&lt;300,"L4","L5")))))</f>
        <v/>
      </c>
      <c r="S1209" s="184" t="str">
        <f>IF(Table1[[#This Row],[Actual End Date]]="","",TEXT(Table1[[#This Row],[Actual End Date]],"mmm-yy"))</f>
        <v/>
      </c>
      <c r="T12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09" s="185" t="str">
        <f>IFERROR((Table1[[#This Row],[Actual Effort (Hours)]]-Table1[[#This Row],[Estimated Effort (Hours)]])/Table1[[#This Row],[Estimated Effort (Hours)]],"")</f>
        <v/>
      </c>
    </row>
    <row r="1210" spans="2:21">
      <c r="B1210" s="125"/>
      <c r="C1210" s="123"/>
      <c r="D1210" s="143"/>
      <c r="E1210" s="123"/>
      <c r="F1210" s="143"/>
      <c r="G1210" s="129"/>
      <c r="H1210" s="124"/>
      <c r="I1210" s="124"/>
      <c r="J1210" s="129"/>
      <c r="K1210" s="194"/>
      <c r="L1210" s="194"/>
      <c r="M1210" s="129"/>
      <c r="N1210" s="129" t="e">
        <f>Table1[[#This Row],[Estimated Effort (Hours)]]/NETWORKDAYS(Table1[[#This Row],[Planned Start Date]],Table1[[#This Row],[Planned End Date]])</f>
        <v>#DIV/0!</v>
      </c>
      <c r="O1210" s="178">
        <f>NETWORKDAYS(Table1[[#This Row],[Planned Start Date]],Table1[[#This Row],[Planned End Date]])</f>
        <v>0</v>
      </c>
      <c r="P1210" s="178">
        <f>NETWORKDAYS(Table1[[#This Row],[Planned Start Date]],$P$7)</f>
        <v>30643</v>
      </c>
      <c r="Q1210" s="129"/>
      <c r="R1210" s="183" t="str">
        <f>IF(Table1[[#This Row],[Actual Effort (Hours)]]="","",IF(Table1[[#This Row],[Estimated Effort (Hours)]]&lt;20,"L1",IF(Table1[[#This Row],[Estimated Effort (Hours)]]&lt;50,"L2",IF(Table1[[#This Row],[Estimated Effort (Hours)]]&lt;150,"L3",IF(Table1[[#This Row],[Estimated Effort (Hours)]]&lt;300,"L4","L5")))))</f>
        <v/>
      </c>
      <c r="S1210" s="184" t="str">
        <f>IF(Table1[[#This Row],[Actual End Date]]="","",TEXT(Table1[[#This Row],[Actual End Date]],"mmm-yy"))</f>
        <v/>
      </c>
      <c r="T12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0" s="185" t="str">
        <f>IFERROR((Table1[[#This Row],[Actual Effort (Hours)]]-Table1[[#This Row],[Estimated Effort (Hours)]])/Table1[[#This Row],[Estimated Effort (Hours)]],"")</f>
        <v/>
      </c>
    </row>
    <row r="1211" spans="2:21">
      <c r="B1211" s="125"/>
      <c r="C1211" s="123"/>
      <c r="D1211" s="143"/>
      <c r="E1211" s="123"/>
      <c r="F1211" s="143"/>
      <c r="G1211" s="129"/>
      <c r="H1211" s="124"/>
      <c r="I1211" s="124"/>
      <c r="J1211" s="129"/>
      <c r="K1211" s="194"/>
      <c r="L1211" s="194"/>
      <c r="M1211" s="129"/>
      <c r="N1211" s="129" t="e">
        <f>Table1[[#This Row],[Estimated Effort (Hours)]]/NETWORKDAYS(Table1[[#This Row],[Planned Start Date]],Table1[[#This Row],[Planned End Date]])</f>
        <v>#DIV/0!</v>
      </c>
      <c r="O1211" s="178">
        <f>NETWORKDAYS(Table1[[#This Row],[Planned Start Date]],Table1[[#This Row],[Planned End Date]])</f>
        <v>0</v>
      </c>
      <c r="P1211" s="178">
        <f>NETWORKDAYS(Table1[[#This Row],[Planned Start Date]],$P$7)</f>
        <v>30643</v>
      </c>
      <c r="Q1211" s="129"/>
      <c r="R1211" s="183" t="str">
        <f>IF(Table1[[#This Row],[Actual Effort (Hours)]]="","",IF(Table1[[#This Row],[Estimated Effort (Hours)]]&lt;20,"L1",IF(Table1[[#This Row],[Estimated Effort (Hours)]]&lt;50,"L2",IF(Table1[[#This Row],[Estimated Effort (Hours)]]&lt;150,"L3",IF(Table1[[#This Row],[Estimated Effort (Hours)]]&lt;300,"L4","L5")))))</f>
        <v/>
      </c>
      <c r="S1211" s="184" t="str">
        <f>IF(Table1[[#This Row],[Actual End Date]]="","",TEXT(Table1[[#This Row],[Actual End Date]],"mmm-yy"))</f>
        <v/>
      </c>
      <c r="T12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1" s="185" t="str">
        <f>IFERROR((Table1[[#This Row],[Actual Effort (Hours)]]-Table1[[#This Row],[Estimated Effort (Hours)]])/Table1[[#This Row],[Estimated Effort (Hours)]],"")</f>
        <v/>
      </c>
    </row>
    <row r="1212" spans="2:21">
      <c r="B1212" s="125"/>
      <c r="C1212" s="123"/>
      <c r="D1212" s="143"/>
      <c r="E1212" s="123"/>
      <c r="F1212" s="143"/>
      <c r="G1212" s="129"/>
      <c r="H1212" s="124"/>
      <c r="I1212" s="124"/>
      <c r="J1212" s="129"/>
      <c r="K1212" s="194"/>
      <c r="L1212" s="194"/>
      <c r="M1212" s="129"/>
      <c r="N1212" s="129" t="e">
        <f>Table1[[#This Row],[Estimated Effort (Hours)]]/NETWORKDAYS(Table1[[#This Row],[Planned Start Date]],Table1[[#This Row],[Planned End Date]])</f>
        <v>#DIV/0!</v>
      </c>
      <c r="O1212" s="178">
        <f>NETWORKDAYS(Table1[[#This Row],[Planned Start Date]],Table1[[#This Row],[Planned End Date]])</f>
        <v>0</v>
      </c>
      <c r="P1212" s="178">
        <f>NETWORKDAYS(Table1[[#This Row],[Planned Start Date]],$P$7)</f>
        <v>30643</v>
      </c>
      <c r="Q1212" s="129"/>
      <c r="R1212" s="183" t="str">
        <f>IF(Table1[[#This Row],[Actual Effort (Hours)]]="","",IF(Table1[[#This Row],[Estimated Effort (Hours)]]&lt;20,"L1",IF(Table1[[#This Row],[Estimated Effort (Hours)]]&lt;50,"L2",IF(Table1[[#This Row],[Estimated Effort (Hours)]]&lt;150,"L3",IF(Table1[[#This Row],[Estimated Effort (Hours)]]&lt;300,"L4","L5")))))</f>
        <v/>
      </c>
      <c r="S1212" s="184" t="str">
        <f>IF(Table1[[#This Row],[Actual End Date]]="","",TEXT(Table1[[#This Row],[Actual End Date]],"mmm-yy"))</f>
        <v/>
      </c>
      <c r="T12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2" s="185" t="str">
        <f>IFERROR((Table1[[#This Row],[Actual Effort (Hours)]]-Table1[[#This Row],[Estimated Effort (Hours)]])/Table1[[#This Row],[Estimated Effort (Hours)]],"")</f>
        <v/>
      </c>
    </row>
    <row r="1213" spans="2:21">
      <c r="B1213" s="125"/>
      <c r="C1213" s="123"/>
      <c r="D1213" s="143"/>
      <c r="E1213" s="123"/>
      <c r="F1213" s="143"/>
      <c r="G1213" s="129"/>
      <c r="H1213" s="124"/>
      <c r="I1213" s="124"/>
      <c r="J1213" s="129"/>
      <c r="K1213" s="194"/>
      <c r="L1213" s="194"/>
      <c r="M1213" s="129"/>
      <c r="N1213" s="129" t="e">
        <f>Table1[[#This Row],[Estimated Effort (Hours)]]/NETWORKDAYS(Table1[[#This Row],[Planned Start Date]],Table1[[#This Row],[Planned End Date]])</f>
        <v>#DIV/0!</v>
      </c>
      <c r="O1213" s="178">
        <f>NETWORKDAYS(Table1[[#This Row],[Planned Start Date]],Table1[[#This Row],[Planned End Date]])</f>
        <v>0</v>
      </c>
      <c r="P1213" s="178">
        <f>NETWORKDAYS(Table1[[#This Row],[Planned Start Date]],$P$7)</f>
        <v>30643</v>
      </c>
      <c r="Q1213" s="129"/>
      <c r="R1213" s="183" t="str">
        <f>IF(Table1[[#This Row],[Actual Effort (Hours)]]="","",IF(Table1[[#This Row],[Estimated Effort (Hours)]]&lt;20,"L1",IF(Table1[[#This Row],[Estimated Effort (Hours)]]&lt;50,"L2",IF(Table1[[#This Row],[Estimated Effort (Hours)]]&lt;150,"L3",IF(Table1[[#This Row],[Estimated Effort (Hours)]]&lt;300,"L4","L5")))))</f>
        <v/>
      </c>
      <c r="S1213" s="184" t="str">
        <f>IF(Table1[[#This Row],[Actual End Date]]="","",TEXT(Table1[[#This Row],[Actual End Date]],"mmm-yy"))</f>
        <v/>
      </c>
      <c r="T12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3" s="185" t="str">
        <f>IFERROR((Table1[[#This Row],[Actual Effort (Hours)]]-Table1[[#This Row],[Estimated Effort (Hours)]])/Table1[[#This Row],[Estimated Effort (Hours)]],"")</f>
        <v/>
      </c>
    </row>
    <row r="1214" spans="2:21">
      <c r="B1214" s="125"/>
      <c r="C1214" s="123"/>
      <c r="D1214" s="143"/>
      <c r="E1214" s="123"/>
      <c r="F1214" s="143"/>
      <c r="G1214" s="129"/>
      <c r="H1214" s="124"/>
      <c r="I1214" s="124"/>
      <c r="J1214" s="129"/>
      <c r="K1214" s="194"/>
      <c r="L1214" s="194"/>
      <c r="M1214" s="129"/>
      <c r="N1214" s="129" t="e">
        <f>Table1[[#This Row],[Estimated Effort (Hours)]]/NETWORKDAYS(Table1[[#This Row],[Planned Start Date]],Table1[[#This Row],[Planned End Date]])</f>
        <v>#DIV/0!</v>
      </c>
      <c r="O1214" s="178">
        <f>NETWORKDAYS(Table1[[#This Row],[Planned Start Date]],Table1[[#This Row],[Planned End Date]])</f>
        <v>0</v>
      </c>
      <c r="P1214" s="178">
        <f>NETWORKDAYS(Table1[[#This Row],[Planned Start Date]],$P$7)</f>
        <v>30643</v>
      </c>
      <c r="Q1214" s="129"/>
      <c r="R1214" s="183" t="str">
        <f>IF(Table1[[#This Row],[Actual Effort (Hours)]]="","",IF(Table1[[#This Row],[Estimated Effort (Hours)]]&lt;20,"L1",IF(Table1[[#This Row],[Estimated Effort (Hours)]]&lt;50,"L2",IF(Table1[[#This Row],[Estimated Effort (Hours)]]&lt;150,"L3",IF(Table1[[#This Row],[Estimated Effort (Hours)]]&lt;300,"L4","L5")))))</f>
        <v/>
      </c>
      <c r="S1214" s="184" t="str">
        <f>IF(Table1[[#This Row],[Actual End Date]]="","",TEXT(Table1[[#This Row],[Actual End Date]],"mmm-yy"))</f>
        <v/>
      </c>
      <c r="T12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4" s="185" t="str">
        <f>IFERROR((Table1[[#This Row],[Actual Effort (Hours)]]-Table1[[#This Row],[Estimated Effort (Hours)]])/Table1[[#This Row],[Estimated Effort (Hours)]],"")</f>
        <v/>
      </c>
    </row>
    <row r="1215" spans="2:21">
      <c r="B1215" s="125"/>
      <c r="C1215" s="123"/>
      <c r="D1215" s="143"/>
      <c r="E1215" s="123"/>
      <c r="F1215" s="143"/>
      <c r="G1215" s="129"/>
      <c r="H1215" s="124"/>
      <c r="I1215" s="124"/>
      <c r="J1215" s="129"/>
      <c r="K1215" s="194"/>
      <c r="L1215" s="194"/>
      <c r="M1215" s="129"/>
      <c r="N1215" s="129" t="e">
        <f>Table1[[#This Row],[Estimated Effort (Hours)]]/NETWORKDAYS(Table1[[#This Row],[Planned Start Date]],Table1[[#This Row],[Planned End Date]])</f>
        <v>#DIV/0!</v>
      </c>
      <c r="O1215" s="178">
        <f>NETWORKDAYS(Table1[[#This Row],[Planned Start Date]],Table1[[#This Row],[Planned End Date]])</f>
        <v>0</v>
      </c>
      <c r="P1215" s="178">
        <f>NETWORKDAYS(Table1[[#This Row],[Planned Start Date]],$P$7)</f>
        <v>30643</v>
      </c>
      <c r="Q1215" s="129"/>
      <c r="R1215" s="183" t="str">
        <f>IF(Table1[[#This Row],[Actual Effort (Hours)]]="","",IF(Table1[[#This Row],[Estimated Effort (Hours)]]&lt;20,"L1",IF(Table1[[#This Row],[Estimated Effort (Hours)]]&lt;50,"L2",IF(Table1[[#This Row],[Estimated Effort (Hours)]]&lt;150,"L3",IF(Table1[[#This Row],[Estimated Effort (Hours)]]&lt;300,"L4","L5")))))</f>
        <v/>
      </c>
      <c r="S1215" s="184" t="str">
        <f>IF(Table1[[#This Row],[Actual End Date]]="","",TEXT(Table1[[#This Row],[Actual End Date]],"mmm-yy"))</f>
        <v/>
      </c>
      <c r="T12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5" s="185" t="str">
        <f>IFERROR((Table1[[#This Row],[Actual Effort (Hours)]]-Table1[[#This Row],[Estimated Effort (Hours)]])/Table1[[#This Row],[Estimated Effort (Hours)]],"")</f>
        <v/>
      </c>
    </row>
    <row r="1216" spans="2:21">
      <c r="B1216" s="125"/>
      <c r="C1216" s="123"/>
      <c r="D1216" s="143"/>
      <c r="E1216" s="123"/>
      <c r="F1216" s="143"/>
      <c r="G1216" s="129"/>
      <c r="H1216" s="124"/>
      <c r="I1216" s="124"/>
      <c r="J1216" s="129"/>
      <c r="K1216" s="194"/>
      <c r="L1216" s="194"/>
      <c r="M1216" s="129"/>
      <c r="N1216" s="129" t="e">
        <f>Table1[[#This Row],[Estimated Effort (Hours)]]/NETWORKDAYS(Table1[[#This Row],[Planned Start Date]],Table1[[#This Row],[Planned End Date]])</f>
        <v>#DIV/0!</v>
      </c>
      <c r="O1216" s="178">
        <f>NETWORKDAYS(Table1[[#This Row],[Planned Start Date]],Table1[[#This Row],[Planned End Date]])</f>
        <v>0</v>
      </c>
      <c r="P1216" s="178">
        <f>NETWORKDAYS(Table1[[#This Row],[Planned Start Date]],$P$7)</f>
        <v>30643</v>
      </c>
      <c r="Q1216" s="129"/>
      <c r="R1216" s="183" t="str">
        <f>IF(Table1[[#This Row],[Actual Effort (Hours)]]="","",IF(Table1[[#This Row],[Estimated Effort (Hours)]]&lt;20,"L1",IF(Table1[[#This Row],[Estimated Effort (Hours)]]&lt;50,"L2",IF(Table1[[#This Row],[Estimated Effort (Hours)]]&lt;150,"L3",IF(Table1[[#This Row],[Estimated Effort (Hours)]]&lt;300,"L4","L5")))))</f>
        <v/>
      </c>
      <c r="S1216" s="184" t="str">
        <f>IF(Table1[[#This Row],[Actual End Date]]="","",TEXT(Table1[[#This Row],[Actual End Date]],"mmm-yy"))</f>
        <v/>
      </c>
      <c r="T12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6" s="185" t="str">
        <f>IFERROR((Table1[[#This Row],[Actual Effort (Hours)]]-Table1[[#This Row],[Estimated Effort (Hours)]])/Table1[[#This Row],[Estimated Effort (Hours)]],"")</f>
        <v/>
      </c>
    </row>
    <row r="1217" spans="2:21">
      <c r="B1217" s="125"/>
      <c r="C1217" s="123"/>
      <c r="D1217" s="143"/>
      <c r="E1217" s="123"/>
      <c r="F1217" s="143"/>
      <c r="G1217" s="129"/>
      <c r="H1217" s="124"/>
      <c r="I1217" s="124"/>
      <c r="J1217" s="129"/>
      <c r="K1217" s="194"/>
      <c r="L1217" s="194"/>
      <c r="M1217" s="129"/>
      <c r="N1217" s="129" t="e">
        <f>Table1[[#This Row],[Estimated Effort (Hours)]]/NETWORKDAYS(Table1[[#This Row],[Planned Start Date]],Table1[[#This Row],[Planned End Date]])</f>
        <v>#DIV/0!</v>
      </c>
      <c r="O1217" s="178">
        <f>NETWORKDAYS(Table1[[#This Row],[Planned Start Date]],Table1[[#This Row],[Planned End Date]])</f>
        <v>0</v>
      </c>
      <c r="P1217" s="178">
        <f>NETWORKDAYS(Table1[[#This Row],[Planned Start Date]],$P$7)</f>
        <v>30643</v>
      </c>
      <c r="Q1217" s="129"/>
      <c r="R1217" s="183" t="str">
        <f>IF(Table1[[#This Row],[Actual Effort (Hours)]]="","",IF(Table1[[#This Row],[Estimated Effort (Hours)]]&lt;20,"L1",IF(Table1[[#This Row],[Estimated Effort (Hours)]]&lt;50,"L2",IF(Table1[[#This Row],[Estimated Effort (Hours)]]&lt;150,"L3",IF(Table1[[#This Row],[Estimated Effort (Hours)]]&lt;300,"L4","L5")))))</f>
        <v/>
      </c>
      <c r="S1217" s="184" t="str">
        <f>IF(Table1[[#This Row],[Actual End Date]]="","",TEXT(Table1[[#This Row],[Actual End Date]],"mmm-yy"))</f>
        <v/>
      </c>
      <c r="T12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7" s="185" t="str">
        <f>IFERROR((Table1[[#This Row],[Actual Effort (Hours)]]-Table1[[#This Row],[Estimated Effort (Hours)]])/Table1[[#This Row],[Estimated Effort (Hours)]],"")</f>
        <v/>
      </c>
    </row>
    <row r="1218" spans="2:21">
      <c r="B1218" s="125"/>
      <c r="C1218" s="123"/>
      <c r="D1218" s="143"/>
      <c r="E1218" s="123"/>
      <c r="F1218" s="143"/>
      <c r="G1218" s="129"/>
      <c r="H1218" s="124"/>
      <c r="I1218" s="124"/>
      <c r="J1218" s="129"/>
      <c r="K1218" s="194"/>
      <c r="L1218" s="194"/>
      <c r="M1218" s="129"/>
      <c r="N1218" s="129" t="e">
        <f>Table1[[#This Row],[Estimated Effort (Hours)]]/NETWORKDAYS(Table1[[#This Row],[Planned Start Date]],Table1[[#This Row],[Planned End Date]])</f>
        <v>#DIV/0!</v>
      </c>
      <c r="O1218" s="178">
        <f>NETWORKDAYS(Table1[[#This Row],[Planned Start Date]],Table1[[#This Row],[Planned End Date]])</f>
        <v>0</v>
      </c>
      <c r="P1218" s="178">
        <f>NETWORKDAYS(Table1[[#This Row],[Planned Start Date]],$P$7)</f>
        <v>30643</v>
      </c>
      <c r="Q1218" s="129"/>
      <c r="R1218" s="183" t="str">
        <f>IF(Table1[[#This Row],[Actual Effort (Hours)]]="","",IF(Table1[[#This Row],[Estimated Effort (Hours)]]&lt;20,"L1",IF(Table1[[#This Row],[Estimated Effort (Hours)]]&lt;50,"L2",IF(Table1[[#This Row],[Estimated Effort (Hours)]]&lt;150,"L3",IF(Table1[[#This Row],[Estimated Effort (Hours)]]&lt;300,"L4","L5")))))</f>
        <v/>
      </c>
      <c r="S1218" s="184" t="str">
        <f>IF(Table1[[#This Row],[Actual End Date]]="","",TEXT(Table1[[#This Row],[Actual End Date]],"mmm-yy"))</f>
        <v/>
      </c>
      <c r="T12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8" s="185" t="str">
        <f>IFERROR((Table1[[#This Row],[Actual Effort (Hours)]]-Table1[[#This Row],[Estimated Effort (Hours)]])/Table1[[#This Row],[Estimated Effort (Hours)]],"")</f>
        <v/>
      </c>
    </row>
    <row r="1219" spans="2:21">
      <c r="B1219" s="125"/>
      <c r="C1219" s="123"/>
      <c r="D1219" s="143"/>
      <c r="E1219" s="123"/>
      <c r="F1219" s="143"/>
      <c r="G1219" s="129"/>
      <c r="H1219" s="124"/>
      <c r="I1219" s="124"/>
      <c r="J1219" s="129"/>
      <c r="K1219" s="194"/>
      <c r="L1219" s="194"/>
      <c r="M1219" s="129"/>
      <c r="N1219" s="129" t="e">
        <f>Table1[[#This Row],[Estimated Effort (Hours)]]/NETWORKDAYS(Table1[[#This Row],[Planned Start Date]],Table1[[#This Row],[Planned End Date]])</f>
        <v>#DIV/0!</v>
      </c>
      <c r="O1219" s="178">
        <f>NETWORKDAYS(Table1[[#This Row],[Planned Start Date]],Table1[[#This Row],[Planned End Date]])</f>
        <v>0</v>
      </c>
      <c r="P1219" s="178">
        <f>NETWORKDAYS(Table1[[#This Row],[Planned Start Date]],$P$7)</f>
        <v>30643</v>
      </c>
      <c r="Q1219" s="129"/>
      <c r="R1219" s="183" t="str">
        <f>IF(Table1[[#This Row],[Actual Effort (Hours)]]="","",IF(Table1[[#This Row],[Estimated Effort (Hours)]]&lt;20,"L1",IF(Table1[[#This Row],[Estimated Effort (Hours)]]&lt;50,"L2",IF(Table1[[#This Row],[Estimated Effort (Hours)]]&lt;150,"L3",IF(Table1[[#This Row],[Estimated Effort (Hours)]]&lt;300,"L4","L5")))))</f>
        <v/>
      </c>
      <c r="S1219" s="184" t="str">
        <f>IF(Table1[[#This Row],[Actual End Date]]="","",TEXT(Table1[[#This Row],[Actual End Date]],"mmm-yy"))</f>
        <v/>
      </c>
      <c r="T12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19" s="185" t="str">
        <f>IFERROR((Table1[[#This Row],[Actual Effort (Hours)]]-Table1[[#This Row],[Estimated Effort (Hours)]])/Table1[[#This Row],[Estimated Effort (Hours)]],"")</f>
        <v/>
      </c>
    </row>
    <row r="1220" spans="2:21">
      <c r="B1220" s="125"/>
      <c r="C1220" s="123"/>
      <c r="D1220" s="143"/>
      <c r="E1220" s="123"/>
      <c r="F1220" s="143"/>
      <c r="G1220" s="129"/>
      <c r="H1220" s="124"/>
      <c r="I1220" s="124"/>
      <c r="J1220" s="129"/>
      <c r="K1220" s="194"/>
      <c r="L1220" s="194"/>
      <c r="M1220" s="129"/>
      <c r="N1220" s="129" t="e">
        <f>Table1[[#This Row],[Estimated Effort (Hours)]]/NETWORKDAYS(Table1[[#This Row],[Planned Start Date]],Table1[[#This Row],[Planned End Date]])</f>
        <v>#DIV/0!</v>
      </c>
      <c r="O1220" s="178">
        <f>NETWORKDAYS(Table1[[#This Row],[Planned Start Date]],Table1[[#This Row],[Planned End Date]])</f>
        <v>0</v>
      </c>
      <c r="P1220" s="178">
        <f>NETWORKDAYS(Table1[[#This Row],[Planned Start Date]],$P$7)</f>
        <v>30643</v>
      </c>
      <c r="Q1220" s="129"/>
      <c r="R1220" s="183" t="str">
        <f>IF(Table1[[#This Row],[Actual Effort (Hours)]]="","",IF(Table1[[#This Row],[Estimated Effort (Hours)]]&lt;20,"L1",IF(Table1[[#This Row],[Estimated Effort (Hours)]]&lt;50,"L2",IF(Table1[[#This Row],[Estimated Effort (Hours)]]&lt;150,"L3",IF(Table1[[#This Row],[Estimated Effort (Hours)]]&lt;300,"L4","L5")))))</f>
        <v/>
      </c>
      <c r="S1220" s="184" t="str">
        <f>IF(Table1[[#This Row],[Actual End Date]]="","",TEXT(Table1[[#This Row],[Actual End Date]],"mmm-yy"))</f>
        <v/>
      </c>
      <c r="T12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0" s="185" t="str">
        <f>IFERROR((Table1[[#This Row],[Actual Effort (Hours)]]-Table1[[#This Row],[Estimated Effort (Hours)]])/Table1[[#This Row],[Estimated Effort (Hours)]],"")</f>
        <v/>
      </c>
    </row>
    <row r="1221" spans="2:21">
      <c r="B1221" s="125"/>
      <c r="C1221" s="123"/>
      <c r="D1221" s="143"/>
      <c r="E1221" s="123"/>
      <c r="F1221" s="143"/>
      <c r="G1221" s="129"/>
      <c r="H1221" s="124"/>
      <c r="I1221" s="124"/>
      <c r="J1221" s="129"/>
      <c r="K1221" s="194"/>
      <c r="L1221" s="194"/>
      <c r="M1221" s="129"/>
      <c r="N1221" s="129" t="e">
        <f>Table1[[#This Row],[Estimated Effort (Hours)]]/NETWORKDAYS(Table1[[#This Row],[Planned Start Date]],Table1[[#This Row],[Planned End Date]])</f>
        <v>#DIV/0!</v>
      </c>
      <c r="O1221" s="178">
        <f>NETWORKDAYS(Table1[[#This Row],[Planned Start Date]],Table1[[#This Row],[Planned End Date]])</f>
        <v>0</v>
      </c>
      <c r="P1221" s="178">
        <f>NETWORKDAYS(Table1[[#This Row],[Planned Start Date]],$P$7)</f>
        <v>30643</v>
      </c>
      <c r="Q1221" s="129"/>
      <c r="R1221" s="183" t="str">
        <f>IF(Table1[[#This Row],[Actual Effort (Hours)]]="","",IF(Table1[[#This Row],[Estimated Effort (Hours)]]&lt;20,"L1",IF(Table1[[#This Row],[Estimated Effort (Hours)]]&lt;50,"L2",IF(Table1[[#This Row],[Estimated Effort (Hours)]]&lt;150,"L3",IF(Table1[[#This Row],[Estimated Effort (Hours)]]&lt;300,"L4","L5")))))</f>
        <v/>
      </c>
      <c r="S1221" s="184" t="str">
        <f>IF(Table1[[#This Row],[Actual End Date]]="","",TEXT(Table1[[#This Row],[Actual End Date]],"mmm-yy"))</f>
        <v/>
      </c>
      <c r="T12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1" s="185" t="str">
        <f>IFERROR((Table1[[#This Row],[Actual Effort (Hours)]]-Table1[[#This Row],[Estimated Effort (Hours)]])/Table1[[#This Row],[Estimated Effort (Hours)]],"")</f>
        <v/>
      </c>
    </row>
    <row r="1222" spans="2:21">
      <c r="B1222" s="125"/>
      <c r="C1222" s="123"/>
      <c r="D1222" s="143"/>
      <c r="E1222" s="123"/>
      <c r="F1222" s="143"/>
      <c r="G1222" s="129"/>
      <c r="H1222" s="124"/>
      <c r="I1222" s="124"/>
      <c r="J1222" s="129"/>
      <c r="K1222" s="194"/>
      <c r="L1222" s="194"/>
      <c r="M1222" s="129"/>
      <c r="N1222" s="129" t="e">
        <f>Table1[[#This Row],[Estimated Effort (Hours)]]/NETWORKDAYS(Table1[[#This Row],[Planned Start Date]],Table1[[#This Row],[Planned End Date]])</f>
        <v>#DIV/0!</v>
      </c>
      <c r="O1222" s="178">
        <f>NETWORKDAYS(Table1[[#This Row],[Planned Start Date]],Table1[[#This Row],[Planned End Date]])</f>
        <v>0</v>
      </c>
      <c r="P1222" s="178">
        <f>NETWORKDAYS(Table1[[#This Row],[Planned Start Date]],$P$7)</f>
        <v>30643</v>
      </c>
      <c r="Q1222" s="129"/>
      <c r="R1222" s="183" t="str">
        <f>IF(Table1[[#This Row],[Actual Effort (Hours)]]="","",IF(Table1[[#This Row],[Estimated Effort (Hours)]]&lt;20,"L1",IF(Table1[[#This Row],[Estimated Effort (Hours)]]&lt;50,"L2",IF(Table1[[#This Row],[Estimated Effort (Hours)]]&lt;150,"L3",IF(Table1[[#This Row],[Estimated Effort (Hours)]]&lt;300,"L4","L5")))))</f>
        <v/>
      </c>
      <c r="S1222" s="184" t="str">
        <f>IF(Table1[[#This Row],[Actual End Date]]="","",TEXT(Table1[[#This Row],[Actual End Date]],"mmm-yy"))</f>
        <v/>
      </c>
      <c r="T12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2" s="185" t="str">
        <f>IFERROR((Table1[[#This Row],[Actual Effort (Hours)]]-Table1[[#This Row],[Estimated Effort (Hours)]])/Table1[[#This Row],[Estimated Effort (Hours)]],"")</f>
        <v/>
      </c>
    </row>
    <row r="1223" spans="2:21">
      <c r="B1223" s="125"/>
      <c r="C1223" s="123"/>
      <c r="D1223" s="143"/>
      <c r="E1223" s="123"/>
      <c r="F1223" s="143"/>
      <c r="G1223" s="129"/>
      <c r="H1223" s="124"/>
      <c r="I1223" s="124"/>
      <c r="J1223" s="129"/>
      <c r="K1223" s="194"/>
      <c r="L1223" s="194"/>
      <c r="M1223" s="129"/>
      <c r="N1223" s="129" t="e">
        <f>Table1[[#This Row],[Estimated Effort (Hours)]]/NETWORKDAYS(Table1[[#This Row],[Planned Start Date]],Table1[[#This Row],[Planned End Date]])</f>
        <v>#DIV/0!</v>
      </c>
      <c r="O1223" s="178">
        <f>NETWORKDAYS(Table1[[#This Row],[Planned Start Date]],Table1[[#This Row],[Planned End Date]])</f>
        <v>0</v>
      </c>
      <c r="P1223" s="178">
        <f>NETWORKDAYS(Table1[[#This Row],[Planned Start Date]],$P$7)</f>
        <v>30643</v>
      </c>
      <c r="Q1223" s="129"/>
      <c r="R1223" s="183" t="str">
        <f>IF(Table1[[#This Row],[Actual Effort (Hours)]]="","",IF(Table1[[#This Row],[Estimated Effort (Hours)]]&lt;20,"L1",IF(Table1[[#This Row],[Estimated Effort (Hours)]]&lt;50,"L2",IF(Table1[[#This Row],[Estimated Effort (Hours)]]&lt;150,"L3",IF(Table1[[#This Row],[Estimated Effort (Hours)]]&lt;300,"L4","L5")))))</f>
        <v/>
      </c>
      <c r="S1223" s="184" t="str">
        <f>IF(Table1[[#This Row],[Actual End Date]]="","",TEXT(Table1[[#This Row],[Actual End Date]],"mmm-yy"))</f>
        <v/>
      </c>
      <c r="T12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3" s="185" t="str">
        <f>IFERROR((Table1[[#This Row],[Actual Effort (Hours)]]-Table1[[#This Row],[Estimated Effort (Hours)]])/Table1[[#This Row],[Estimated Effort (Hours)]],"")</f>
        <v/>
      </c>
    </row>
    <row r="1224" spans="2:21">
      <c r="B1224" s="125"/>
      <c r="C1224" s="123"/>
      <c r="D1224" s="143"/>
      <c r="E1224" s="123"/>
      <c r="F1224" s="143"/>
      <c r="G1224" s="129"/>
      <c r="H1224" s="124"/>
      <c r="I1224" s="124"/>
      <c r="J1224" s="129"/>
      <c r="K1224" s="194"/>
      <c r="L1224" s="194"/>
      <c r="M1224" s="129"/>
      <c r="N1224" s="129" t="e">
        <f>Table1[[#This Row],[Estimated Effort (Hours)]]/NETWORKDAYS(Table1[[#This Row],[Planned Start Date]],Table1[[#This Row],[Planned End Date]])</f>
        <v>#DIV/0!</v>
      </c>
      <c r="O1224" s="178">
        <f>NETWORKDAYS(Table1[[#This Row],[Planned Start Date]],Table1[[#This Row],[Planned End Date]])</f>
        <v>0</v>
      </c>
      <c r="P1224" s="178">
        <f>NETWORKDAYS(Table1[[#This Row],[Planned Start Date]],$P$7)</f>
        <v>30643</v>
      </c>
      <c r="Q1224" s="129"/>
      <c r="R1224" s="183" t="str">
        <f>IF(Table1[[#This Row],[Actual Effort (Hours)]]="","",IF(Table1[[#This Row],[Estimated Effort (Hours)]]&lt;20,"L1",IF(Table1[[#This Row],[Estimated Effort (Hours)]]&lt;50,"L2",IF(Table1[[#This Row],[Estimated Effort (Hours)]]&lt;150,"L3",IF(Table1[[#This Row],[Estimated Effort (Hours)]]&lt;300,"L4","L5")))))</f>
        <v/>
      </c>
      <c r="S1224" s="184" t="str">
        <f>IF(Table1[[#This Row],[Actual End Date]]="","",TEXT(Table1[[#This Row],[Actual End Date]],"mmm-yy"))</f>
        <v/>
      </c>
      <c r="T12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4" s="185" t="str">
        <f>IFERROR((Table1[[#This Row],[Actual Effort (Hours)]]-Table1[[#This Row],[Estimated Effort (Hours)]])/Table1[[#This Row],[Estimated Effort (Hours)]],"")</f>
        <v/>
      </c>
    </row>
    <row r="1225" spans="2:21">
      <c r="B1225" s="125"/>
      <c r="C1225" s="123"/>
      <c r="D1225" s="143"/>
      <c r="E1225" s="123"/>
      <c r="F1225" s="143"/>
      <c r="G1225" s="129"/>
      <c r="H1225" s="124"/>
      <c r="I1225" s="124"/>
      <c r="J1225" s="129"/>
      <c r="K1225" s="194"/>
      <c r="L1225" s="194"/>
      <c r="M1225" s="129"/>
      <c r="N1225" s="129" t="e">
        <f>Table1[[#This Row],[Estimated Effort (Hours)]]/NETWORKDAYS(Table1[[#This Row],[Planned Start Date]],Table1[[#This Row],[Planned End Date]])</f>
        <v>#DIV/0!</v>
      </c>
      <c r="O1225" s="178">
        <f>NETWORKDAYS(Table1[[#This Row],[Planned Start Date]],Table1[[#This Row],[Planned End Date]])</f>
        <v>0</v>
      </c>
      <c r="P1225" s="178">
        <f>NETWORKDAYS(Table1[[#This Row],[Planned Start Date]],$P$7)</f>
        <v>30643</v>
      </c>
      <c r="Q1225" s="129"/>
      <c r="R1225" s="183" t="str">
        <f>IF(Table1[[#This Row],[Actual Effort (Hours)]]="","",IF(Table1[[#This Row],[Estimated Effort (Hours)]]&lt;20,"L1",IF(Table1[[#This Row],[Estimated Effort (Hours)]]&lt;50,"L2",IF(Table1[[#This Row],[Estimated Effort (Hours)]]&lt;150,"L3",IF(Table1[[#This Row],[Estimated Effort (Hours)]]&lt;300,"L4","L5")))))</f>
        <v/>
      </c>
      <c r="S1225" s="184" t="str">
        <f>IF(Table1[[#This Row],[Actual End Date]]="","",TEXT(Table1[[#This Row],[Actual End Date]],"mmm-yy"))</f>
        <v/>
      </c>
      <c r="T12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5" s="185" t="str">
        <f>IFERROR((Table1[[#This Row],[Actual Effort (Hours)]]-Table1[[#This Row],[Estimated Effort (Hours)]])/Table1[[#This Row],[Estimated Effort (Hours)]],"")</f>
        <v/>
      </c>
    </row>
    <row r="1226" spans="2:21">
      <c r="B1226" s="125"/>
      <c r="C1226" s="123"/>
      <c r="D1226" s="143"/>
      <c r="E1226" s="123"/>
      <c r="F1226" s="143"/>
      <c r="G1226" s="129"/>
      <c r="H1226" s="124"/>
      <c r="I1226" s="124"/>
      <c r="J1226" s="129"/>
      <c r="K1226" s="194"/>
      <c r="L1226" s="194"/>
      <c r="M1226" s="129"/>
      <c r="N1226" s="129" t="e">
        <f>Table1[[#This Row],[Estimated Effort (Hours)]]/NETWORKDAYS(Table1[[#This Row],[Planned Start Date]],Table1[[#This Row],[Planned End Date]])</f>
        <v>#DIV/0!</v>
      </c>
      <c r="O1226" s="178">
        <f>NETWORKDAYS(Table1[[#This Row],[Planned Start Date]],Table1[[#This Row],[Planned End Date]])</f>
        <v>0</v>
      </c>
      <c r="P1226" s="178">
        <f>NETWORKDAYS(Table1[[#This Row],[Planned Start Date]],$P$7)</f>
        <v>30643</v>
      </c>
      <c r="Q1226" s="129"/>
      <c r="R1226" s="183" t="str">
        <f>IF(Table1[[#This Row],[Actual Effort (Hours)]]="","",IF(Table1[[#This Row],[Estimated Effort (Hours)]]&lt;20,"L1",IF(Table1[[#This Row],[Estimated Effort (Hours)]]&lt;50,"L2",IF(Table1[[#This Row],[Estimated Effort (Hours)]]&lt;150,"L3",IF(Table1[[#This Row],[Estimated Effort (Hours)]]&lt;300,"L4","L5")))))</f>
        <v/>
      </c>
      <c r="S1226" s="184" t="str">
        <f>IF(Table1[[#This Row],[Actual End Date]]="","",TEXT(Table1[[#This Row],[Actual End Date]],"mmm-yy"))</f>
        <v/>
      </c>
      <c r="T12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6" s="185" t="str">
        <f>IFERROR((Table1[[#This Row],[Actual Effort (Hours)]]-Table1[[#This Row],[Estimated Effort (Hours)]])/Table1[[#This Row],[Estimated Effort (Hours)]],"")</f>
        <v/>
      </c>
    </row>
    <row r="1227" spans="2:21">
      <c r="B1227" s="125"/>
      <c r="C1227" s="123"/>
      <c r="D1227" s="143"/>
      <c r="E1227" s="123"/>
      <c r="F1227" s="143"/>
      <c r="G1227" s="129"/>
      <c r="H1227" s="124"/>
      <c r="I1227" s="124"/>
      <c r="J1227" s="129"/>
      <c r="K1227" s="194"/>
      <c r="L1227" s="194"/>
      <c r="M1227" s="129"/>
      <c r="N1227" s="129" t="e">
        <f>Table1[[#This Row],[Estimated Effort (Hours)]]/NETWORKDAYS(Table1[[#This Row],[Planned Start Date]],Table1[[#This Row],[Planned End Date]])</f>
        <v>#DIV/0!</v>
      </c>
      <c r="O1227" s="178">
        <f>NETWORKDAYS(Table1[[#This Row],[Planned Start Date]],Table1[[#This Row],[Planned End Date]])</f>
        <v>0</v>
      </c>
      <c r="P1227" s="178">
        <f>NETWORKDAYS(Table1[[#This Row],[Planned Start Date]],$P$7)</f>
        <v>30643</v>
      </c>
      <c r="Q1227" s="129"/>
      <c r="R1227" s="183" t="str">
        <f>IF(Table1[[#This Row],[Actual Effort (Hours)]]="","",IF(Table1[[#This Row],[Estimated Effort (Hours)]]&lt;20,"L1",IF(Table1[[#This Row],[Estimated Effort (Hours)]]&lt;50,"L2",IF(Table1[[#This Row],[Estimated Effort (Hours)]]&lt;150,"L3",IF(Table1[[#This Row],[Estimated Effort (Hours)]]&lt;300,"L4","L5")))))</f>
        <v/>
      </c>
      <c r="S1227" s="184" t="str">
        <f>IF(Table1[[#This Row],[Actual End Date]]="","",TEXT(Table1[[#This Row],[Actual End Date]],"mmm-yy"))</f>
        <v/>
      </c>
      <c r="T12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7" s="185" t="str">
        <f>IFERROR((Table1[[#This Row],[Actual Effort (Hours)]]-Table1[[#This Row],[Estimated Effort (Hours)]])/Table1[[#This Row],[Estimated Effort (Hours)]],"")</f>
        <v/>
      </c>
    </row>
    <row r="1228" spans="2:21">
      <c r="B1228" s="125"/>
      <c r="C1228" s="123"/>
      <c r="D1228" s="143"/>
      <c r="E1228" s="123"/>
      <c r="F1228" s="143"/>
      <c r="G1228" s="129"/>
      <c r="H1228" s="124"/>
      <c r="I1228" s="124"/>
      <c r="J1228" s="129"/>
      <c r="K1228" s="194"/>
      <c r="L1228" s="194"/>
      <c r="M1228" s="129"/>
      <c r="N1228" s="129" t="e">
        <f>Table1[[#This Row],[Estimated Effort (Hours)]]/NETWORKDAYS(Table1[[#This Row],[Planned Start Date]],Table1[[#This Row],[Planned End Date]])</f>
        <v>#DIV/0!</v>
      </c>
      <c r="O1228" s="178">
        <f>NETWORKDAYS(Table1[[#This Row],[Planned Start Date]],Table1[[#This Row],[Planned End Date]])</f>
        <v>0</v>
      </c>
      <c r="P1228" s="178">
        <f>NETWORKDAYS(Table1[[#This Row],[Planned Start Date]],$P$7)</f>
        <v>30643</v>
      </c>
      <c r="Q1228" s="129"/>
      <c r="R1228" s="183" t="str">
        <f>IF(Table1[[#This Row],[Actual Effort (Hours)]]="","",IF(Table1[[#This Row],[Estimated Effort (Hours)]]&lt;20,"L1",IF(Table1[[#This Row],[Estimated Effort (Hours)]]&lt;50,"L2",IF(Table1[[#This Row],[Estimated Effort (Hours)]]&lt;150,"L3",IF(Table1[[#This Row],[Estimated Effort (Hours)]]&lt;300,"L4","L5")))))</f>
        <v/>
      </c>
      <c r="S1228" s="184" t="str">
        <f>IF(Table1[[#This Row],[Actual End Date]]="","",TEXT(Table1[[#This Row],[Actual End Date]],"mmm-yy"))</f>
        <v/>
      </c>
      <c r="T12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8" s="185" t="str">
        <f>IFERROR((Table1[[#This Row],[Actual Effort (Hours)]]-Table1[[#This Row],[Estimated Effort (Hours)]])/Table1[[#This Row],[Estimated Effort (Hours)]],"")</f>
        <v/>
      </c>
    </row>
    <row r="1229" spans="2:21">
      <c r="B1229" s="125"/>
      <c r="C1229" s="123"/>
      <c r="D1229" s="143"/>
      <c r="E1229" s="123"/>
      <c r="F1229" s="143"/>
      <c r="G1229" s="129"/>
      <c r="H1229" s="124"/>
      <c r="I1229" s="124"/>
      <c r="J1229" s="129"/>
      <c r="K1229" s="194"/>
      <c r="L1229" s="194"/>
      <c r="M1229" s="129"/>
      <c r="N1229" s="129" t="e">
        <f>Table1[[#This Row],[Estimated Effort (Hours)]]/NETWORKDAYS(Table1[[#This Row],[Planned Start Date]],Table1[[#This Row],[Planned End Date]])</f>
        <v>#DIV/0!</v>
      </c>
      <c r="O1229" s="178">
        <f>NETWORKDAYS(Table1[[#This Row],[Planned Start Date]],Table1[[#This Row],[Planned End Date]])</f>
        <v>0</v>
      </c>
      <c r="P1229" s="178">
        <f>NETWORKDAYS(Table1[[#This Row],[Planned Start Date]],$P$7)</f>
        <v>30643</v>
      </c>
      <c r="Q1229" s="129"/>
      <c r="R1229" s="183" t="str">
        <f>IF(Table1[[#This Row],[Actual Effort (Hours)]]="","",IF(Table1[[#This Row],[Estimated Effort (Hours)]]&lt;20,"L1",IF(Table1[[#This Row],[Estimated Effort (Hours)]]&lt;50,"L2",IF(Table1[[#This Row],[Estimated Effort (Hours)]]&lt;150,"L3",IF(Table1[[#This Row],[Estimated Effort (Hours)]]&lt;300,"L4","L5")))))</f>
        <v/>
      </c>
      <c r="S1229" s="184" t="str">
        <f>IF(Table1[[#This Row],[Actual End Date]]="","",TEXT(Table1[[#This Row],[Actual End Date]],"mmm-yy"))</f>
        <v/>
      </c>
      <c r="T12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29" s="185" t="str">
        <f>IFERROR((Table1[[#This Row],[Actual Effort (Hours)]]-Table1[[#This Row],[Estimated Effort (Hours)]])/Table1[[#This Row],[Estimated Effort (Hours)]],"")</f>
        <v/>
      </c>
    </row>
    <row r="1230" spans="2:21">
      <c r="B1230" s="125"/>
      <c r="C1230" s="123"/>
      <c r="D1230" s="143"/>
      <c r="E1230" s="123"/>
      <c r="F1230" s="143"/>
      <c r="G1230" s="129"/>
      <c r="H1230" s="124"/>
      <c r="I1230" s="124"/>
      <c r="J1230" s="129"/>
      <c r="K1230" s="194"/>
      <c r="L1230" s="194"/>
      <c r="M1230" s="129"/>
      <c r="N1230" s="129" t="e">
        <f>Table1[[#This Row],[Estimated Effort (Hours)]]/NETWORKDAYS(Table1[[#This Row],[Planned Start Date]],Table1[[#This Row],[Planned End Date]])</f>
        <v>#DIV/0!</v>
      </c>
      <c r="O1230" s="178">
        <f>NETWORKDAYS(Table1[[#This Row],[Planned Start Date]],Table1[[#This Row],[Planned End Date]])</f>
        <v>0</v>
      </c>
      <c r="P1230" s="178">
        <f>NETWORKDAYS(Table1[[#This Row],[Planned Start Date]],$P$7)</f>
        <v>30643</v>
      </c>
      <c r="Q1230" s="129"/>
      <c r="R1230" s="183" t="str">
        <f>IF(Table1[[#This Row],[Actual Effort (Hours)]]="","",IF(Table1[[#This Row],[Estimated Effort (Hours)]]&lt;20,"L1",IF(Table1[[#This Row],[Estimated Effort (Hours)]]&lt;50,"L2",IF(Table1[[#This Row],[Estimated Effort (Hours)]]&lt;150,"L3",IF(Table1[[#This Row],[Estimated Effort (Hours)]]&lt;300,"L4","L5")))))</f>
        <v/>
      </c>
      <c r="S1230" s="184" t="str">
        <f>IF(Table1[[#This Row],[Actual End Date]]="","",TEXT(Table1[[#This Row],[Actual End Date]],"mmm-yy"))</f>
        <v/>
      </c>
      <c r="T12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0" s="185" t="str">
        <f>IFERROR((Table1[[#This Row],[Actual Effort (Hours)]]-Table1[[#This Row],[Estimated Effort (Hours)]])/Table1[[#This Row],[Estimated Effort (Hours)]],"")</f>
        <v/>
      </c>
    </row>
    <row r="1231" spans="2:21">
      <c r="B1231" s="125"/>
      <c r="C1231" s="123"/>
      <c r="D1231" s="143"/>
      <c r="E1231" s="123"/>
      <c r="F1231" s="143"/>
      <c r="G1231" s="129"/>
      <c r="H1231" s="124"/>
      <c r="I1231" s="124"/>
      <c r="J1231" s="129"/>
      <c r="K1231" s="194"/>
      <c r="L1231" s="194"/>
      <c r="M1231" s="129"/>
      <c r="N1231" s="129" t="e">
        <f>Table1[[#This Row],[Estimated Effort (Hours)]]/NETWORKDAYS(Table1[[#This Row],[Planned Start Date]],Table1[[#This Row],[Planned End Date]])</f>
        <v>#DIV/0!</v>
      </c>
      <c r="O1231" s="178">
        <f>NETWORKDAYS(Table1[[#This Row],[Planned Start Date]],Table1[[#This Row],[Planned End Date]])</f>
        <v>0</v>
      </c>
      <c r="P1231" s="178">
        <f>NETWORKDAYS(Table1[[#This Row],[Planned Start Date]],$P$7)</f>
        <v>30643</v>
      </c>
      <c r="Q1231" s="129"/>
      <c r="R1231" s="183" t="str">
        <f>IF(Table1[[#This Row],[Actual Effort (Hours)]]="","",IF(Table1[[#This Row],[Estimated Effort (Hours)]]&lt;20,"L1",IF(Table1[[#This Row],[Estimated Effort (Hours)]]&lt;50,"L2",IF(Table1[[#This Row],[Estimated Effort (Hours)]]&lt;150,"L3",IF(Table1[[#This Row],[Estimated Effort (Hours)]]&lt;300,"L4","L5")))))</f>
        <v/>
      </c>
      <c r="S1231" s="184" t="str">
        <f>IF(Table1[[#This Row],[Actual End Date]]="","",TEXT(Table1[[#This Row],[Actual End Date]],"mmm-yy"))</f>
        <v/>
      </c>
      <c r="T12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1" s="185" t="str">
        <f>IFERROR((Table1[[#This Row],[Actual Effort (Hours)]]-Table1[[#This Row],[Estimated Effort (Hours)]])/Table1[[#This Row],[Estimated Effort (Hours)]],"")</f>
        <v/>
      </c>
    </row>
    <row r="1232" spans="2:21">
      <c r="B1232" s="125"/>
      <c r="C1232" s="123"/>
      <c r="D1232" s="143"/>
      <c r="E1232" s="123"/>
      <c r="F1232" s="143"/>
      <c r="G1232" s="129"/>
      <c r="H1232" s="124"/>
      <c r="I1232" s="124"/>
      <c r="J1232" s="129"/>
      <c r="K1232" s="194"/>
      <c r="L1232" s="194"/>
      <c r="M1232" s="129"/>
      <c r="N1232" s="129" t="e">
        <f>Table1[[#This Row],[Estimated Effort (Hours)]]/NETWORKDAYS(Table1[[#This Row],[Planned Start Date]],Table1[[#This Row],[Planned End Date]])</f>
        <v>#DIV/0!</v>
      </c>
      <c r="O1232" s="178">
        <f>NETWORKDAYS(Table1[[#This Row],[Planned Start Date]],Table1[[#This Row],[Planned End Date]])</f>
        <v>0</v>
      </c>
      <c r="P1232" s="178">
        <f>NETWORKDAYS(Table1[[#This Row],[Planned Start Date]],$P$7)</f>
        <v>30643</v>
      </c>
      <c r="Q1232" s="129"/>
      <c r="R1232" s="183" t="str">
        <f>IF(Table1[[#This Row],[Actual Effort (Hours)]]="","",IF(Table1[[#This Row],[Estimated Effort (Hours)]]&lt;20,"L1",IF(Table1[[#This Row],[Estimated Effort (Hours)]]&lt;50,"L2",IF(Table1[[#This Row],[Estimated Effort (Hours)]]&lt;150,"L3",IF(Table1[[#This Row],[Estimated Effort (Hours)]]&lt;300,"L4","L5")))))</f>
        <v/>
      </c>
      <c r="S1232" s="184" t="str">
        <f>IF(Table1[[#This Row],[Actual End Date]]="","",TEXT(Table1[[#This Row],[Actual End Date]],"mmm-yy"))</f>
        <v/>
      </c>
      <c r="T12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2" s="185" t="str">
        <f>IFERROR((Table1[[#This Row],[Actual Effort (Hours)]]-Table1[[#This Row],[Estimated Effort (Hours)]])/Table1[[#This Row],[Estimated Effort (Hours)]],"")</f>
        <v/>
      </c>
    </row>
    <row r="1233" spans="2:21">
      <c r="B1233" s="125"/>
      <c r="C1233" s="123"/>
      <c r="D1233" s="143"/>
      <c r="E1233" s="123"/>
      <c r="F1233" s="143"/>
      <c r="G1233" s="129"/>
      <c r="H1233" s="124"/>
      <c r="I1233" s="124"/>
      <c r="J1233" s="129"/>
      <c r="K1233" s="194"/>
      <c r="L1233" s="194"/>
      <c r="M1233" s="129"/>
      <c r="N1233" s="129" t="e">
        <f>Table1[[#This Row],[Estimated Effort (Hours)]]/NETWORKDAYS(Table1[[#This Row],[Planned Start Date]],Table1[[#This Row],[Planned End Date]])</f>
        <v>#DIV/0!</v>
      </c>
      <c r="O1233" s="178">
        <f>NETWORKDAYS(Table1[[#This Row],[Planned Start Date]],Table1[[#This Row],[Planned End Date]])</f>
        <v>0</v>
      </c>
      <c r="P1233" s="178">
        <f>NETWORKDAYS(Table1[[#This Row],[Planned Start Date]],$P$7)</f>
        <v>30643</v>
      </c>
      <c r="Q1233" s="129"/>
      <c r="R1233" s="183" t="str">
        <f>IF(Table1[[#This Row],[Actual Effort (Hours)]]="","",IF(Table1[[#This Row],[Estimated Effort (Hours)]]&lt;20,"L1",IF(Table1[[#This Row],[Estimated Effort (Hours)]]&lt;50,"L2",IF(Table1[[#This Row],[Estimated Effort (Hours)]]&lt;150,"L3",IF(Table1[[#This Row],[Estimated Effort (Hours)]]&lt;300,"L4","L5")))))</f>
        <v/>
      </c>
      <c r="S1233" s="184" t="str">
        <f>IF(Table1[[#This Row],[Actual End Date]]="","",TEXT(Table1[[#This Row],[Actual End Date]],"mmm-yy"))</f>
        <v/>
      </c>
      <c r="T12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3" s="185" t="str">
        <f>IFERROR((Table1[[#This Row],[Actual Effort (Hours)]]-Table1[[#This Row],[Estimated Effort (Hours)]])/Table1[[#This Row],[Estimated Effort (Hours)]],"")</f>
        <v/>
      </c>
    </row>
    <row r="1234" spans="2:21">
      <c r="B1234" s="125"/>
      <c r="C1234" s="123"/>
      <c r="D1234" s="143"/>
      <c r="E1234" s="123"/>
      <c r="F1234" s="143"/>
      <c r="G1234" s="129"/>
      <c r="H1234" s="124"/>
      <c r="I1234" s="124"/>
      <c r="J1234" s="129"/>
      <c r="K1234" s="194"/>
      <c r="L1234" s="194"/>
      <c r="M1234" s="129"/>
      <c r="N1234" s="129" t="e">
        <f>Table1[[#This Row],[Estimated Effort (Hours)]]/NETWORKDAYS(Table1[[#This Row],[Planned Start Date]],Table1[[#This Row],[Planned End Date]])</f>
        <v>#DIV/0!</v>
      </c>
      <c r="O1234" s="178">
        <f>NETWORKDAYS(Table1[[#This Row],[Planned Start Date]],Table1[[#This Row],[Planned End Date]])</f>
        <v>0</v>
      </c>
      <c r="P1234" s="178">
        <f>NETWORKDAYS(Table1[[#This Row],[Planned Start Date]],$P$7)</f>
        <v>30643</v>
      </c>
      <c r="Q1234" s="129"/>
      <c r="R1234" s="183" t="str">
        <f>IF(Table1[[#This Row],[Actual Effort (Hours)]]="","",IF(Table1[[#This Row],[Estimated Effort (Hours)]]&lt;20,"L1",IF(Table1[[#This Row],[Estimated Effort (Hours)]]&lt;50,"L2",IF(Table1[[#This Row],[Estimated Effort (Hours)]]&lt;150,"L3",IF(Table1[[#This Row],[Estimated Effort (Hours)]]&lt;300,"L4","L5")))))</f>
        <v/>
      </c>
      <c r="S1234" s="184" t="str">
        <f>IF(Table1[[#This Row],[Actual End Date]]="","",TEXT(Table1[[#This Row],[Actual End Date]],"mmm-yy"))</f>
        <v/>
      </c>
      <c r="T12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4" s="185" t="str">
        <f>IFERROR((Table1[[#This Row],[Actual Effort (Hours)]]-Table1[[#This Row],[Estimated Effort (Hours)]])/Table1[[#This Row],[Estimated Effort (Hours)]],"")</f>
        <v/>
      </c>
    </row>
    <row r="1235" spans="2:21">
      <c r="B1235" s="125"/>
      <c r="C1235" s="123"/>
      <c r="D1235" s="143"/>
      <c r="E1235" s="123"/>
      <c r="F1235" s="143"/>
      <c r="G1235" s="129"/>
      <c r="H1235" s="124"/>
      <c r="I1235" s="124"/>
      <c r="J1235" s="129"/>
      <c r="K1235" s="194"/>
      <c r="L1235" s="194"/>
      <c r="M1235" s="129"/>
      <c r="N1235" s="129" t="e">
        <f>Table1[[#This Row],[Estimated Effort (Hours)]]/NETWORKDAYS(Table1[[#This Row],[Planned Start Date]],Table1[[#This Row],[Planned End Date]])</f>
        <v>#DIV/0!</v>
      </c>
      <c r="O1235" s="178">
        <f>NETWORKDAYS(Table1[[#This Row],[Planned Start Date]],Table1[[#This Row],[Planned End Date]])</f>
        <v>0</v>
      </c>
      <c r="P1235" s="178">
        <f>NETWORKDAYS(Table1[[#This Row],[Planned Start Date]],$P$7)</f>
        <v>30643</v>
      </c>
      <c r="Q1235" s="129"/>
      <c r="R1235" s="183" t="str">
        <f>IF(Table1[[#This Row],[Actual Effort (Hours)]]="","",IF(Table1[[#This Row],[Estimated Effort (Hours)]]&lt;20,"L1",IF(Table1[[#This Row],[Estimated Effort (Hours)]]&lt;50,"L2",IF(Table1[[#This Row],[Estimated Effort (Hours)]]&lt;150,"L3",IF(Table1[[#This Row],[Estimated Effort (Hours)]]&lt;300,"L4","L5")))))</f>
        <v/>
      </c>
      <c r="S1235" s="184" t="str">
        <f>IF(Table1[[#This Row],[Actual End Date]]="","",TEXT(Table1[[#This Row],[Actual End Date]],"mmm-yy"))</f>
        <v/>
      </c>
      <c r="T12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5" s="185" t="str">
        <f>IFERROR((Table1[[#This Row],[Actual Effort (Hours)]]-Table1[[#This Row],[Estimated Effort (Hours)]])/Table1[[#This Row],[Estimated Effort (Hours)]],"")</f>
        <v/>
      </c>
    </row>
    <row r="1236" spans="2:21">
      <c r="B1236" s="125"/>
      <c r="C1236" s="123"/>
      <c r="D1236" s="143"/>
      <c r="E1236" s="123"/>
      <c r="F1236" s="143"/>
      <c r="G1236" s="129"/>
      <c r="H1236" s="124"/>
      <c r="I1236" s="124"/>
      <c r="J1236" s="129"/>
      <c r="K1236" s="194"/>
      <c r="L1236" s="194"/>
      <c r="M1236" s="129"/>
      <c r="N1236" s="129" t="e">
        <f>Table1[[#This Row],[Estimated Effort (Hours)]]/NETWORKDAYS(Table1[[#This Row],[Planned Start Date]],Table1[[#This Row],[Planned End Date]])</f>
        <v>#DIV/0!</v>
      </c>
      <c r="O1236" s="178">
        <f>NETWORKDAYS(Table1[[#This Row],[Planned Start Date]],Table1[[#This Row],[Planned End Date]])</f>
        <v>0</v>
      </c>
      <c r="P1236" s="178">
        <f>NETWORKDAYS(Table1[[#This Row],[Planned Start Date]],$P$7)</f>
        <v>30643</v>
      </c>
      <c r="Q1236" s="129"/>
      <c r="R1236" s="183" t="str">
        <f>IF(Table1[[#This Row],[Actual Effort (Hours)]]="","",IF(Table1[[#This Row],[Estimated Effort (Hours)]]&lt;20,"L1",IF(Table1[[#This Row],[Estimated Effort (Hours)]]&lt;50,"L2",IF(Table1[[#This Row],[Estimated Effort (Hours)]]&lt;150,"L3",IF(Table1[[#This Row],[Estimated Effort (Hours)]]&lt;300,"L4","L5")))))</f>
        <v/>
      </c>
      <c r="S1236" s="184" t="str">
        <f>IF(Table1[[#This Row],[Actual End Date]]="","",TEXT(Table1[[#This Row],[Actual End Date]],"mmm-yy"))</f>
        <v/>
      </c>
      <c r="T12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6" s="185" t="str">
        <f>IFERROR((Table1[[#This Row],[Actual Effort (Hours)]]-Table1[[#This Row],[Estimated Effort (Hours)]])/Table1[[#This Row],[Estimated Effort (Hours)]],"")</f>
        <v/>
      </c>
    </row>
    <row r="1237" spans="2:21">
      <c r="B1237" s="125"/>
      <c r="C1237" s="123"/>
      <c r="D1237" s="143"/>
      <c r="E1237" s="123"/>
      <c r="F1237" s="143"/>
      <c r="G1237" s="129"/>
      <c r="H1237" s="124"/>
      <c r="I1237" s="124"/>
      <c r="J1237" s="129"/>
      <c r="K1237" s="194"/>
      <c r="L1237" s="194"/>
      <c r="M1237" s="129"/>
      <c r="N1237" s="129" t="e">
        <f>Table1[[#This Row],[Estimated Effort (Hours)]]/NETWORKDAYS(Table1[[#This Row],[Planned Start Date]],Table1[[#This Row],[Planned End Date]])</f>
        <v>#DIV/0!</v>
      </c>
      <c r="O1237" s="178">
        <f>NETWORKDAYS(Table1[[#This Row],[Planned Start Date]],Table1[[#This Row],[Planned End Date]])</f>
        <v>0</v>
      </c>
      <c r="P1237" s="178">
        <f>NETWORKDAYS(Table1[[#This Row],[Planned Start Date]],$P$7)</f>
        <v>30643</v>
      </c>
      <c r="Q1237" s="129"/>
      <c r="R1237" s="183" t="str">
        <f>IF(Table1[[#This Row],[Actual Effort (Hours)]]="","",IF(Table1[[#This Row],[Estimated Effort (Hours)]]&lt;20,"L1",IF(Table1[[#This Row],[Estimated Effort (Hours)]]&lt;50,"L2",IF(Table1[[#This Row],[Estimated Effort (Hours)]]&lt;150,"L3",IF(Table1[[#This Row],[Estimated Effort (Hours)]]&lt;300,"L4","L5")))))</f>
        <v/>
      </c>
      <c r="S1237" s="184" t="str">
        <f>IF(Table1[[#This Row],[Actual End Date]]="","",TEXT(Table1[[#This Row],[Actual End Date]],"mmm-yy"))</f>
        <v/>
      </c>
      <c r="T12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7" s="185" t="str">
        <f>IFERROR((Table1[[#This Row],[Actual Effort (Hours)]]-Table1[[#This Row],[Estimated Effort (Hours)]])/Table1[[#This Row],[Estimated Effort (Hours)]],"")</f>
        <v/>
      </c>
    </row>
    <row r="1238" spans="2:21">
      <c r="B1238" s="125"/>
      <c r="C1238" s="123"/>
      <c r="D1238" s="143"/>
      <c r="E1238" s="123"/>
      <c r="F1238" s="143"/>
      <c r="G1238" s="129"/>
      <c r="H1238" s="124"/>
      <c r="I1238" s="124"/>
      <c r="J1238" s="129"/>
      <c r="K1238" s="194"/>
      <c r="L1238" s="194"/>
      <c r="M1238" s="129"/>
      <c r="N1238" s="129" t="e">
        <f>Table1[[#This Row],[Estimated Effort (Hours)]]/NETWORKDAYS(Table1[[#This Row],[Planned Start Date]],Table1[[#This Row],[Planned End Date]])</f>
        <v>#DIV/0!</v>
      </c>
      <c r="O1238" s="178">
        <f>NETWORKDAYS(Table1[[#This Row],[Planned Start Date]],Table1[[#This Row],[Planned End Date]])</f>
        <v>0</v>
      </c>
      <c r="P1238" s="178">
        <f>NETWORKDAYS(Table1[[#This Row],[Planned Start Date]],$P$7)</f>
        <v>30643</v>
      </c>
      <c r="Q1238" s="129"/>
      <c r="R1238" s="183" t="str">
        <f>IF(Table1[[#This Row],[Actual Effort (Hours)]]="","",IF(Table1[[#This Row],[Estimated Effort (Hours)]]&lt;20,"L1",IF(Table1[[#This Row],[Estimated Effort (Hours)]]&lt;50,"L2",IF(Table1[[#This Row],[Estimated Effort (Hours)]]&lt;150,"L3",IF(Table1[[#This Row],[Estimated Effort (Hours)]]&lt;300,"L4","L5")))))</f>
        <v/>
      </c>
      <c r="S1238" s="184" t="str">
        <f>IF(Table1[[#This Row],[Actual End Date]]="","",TEXT(Table1[[#This Row],[Actual End Date]],"mmm-yy"))</f>
        <v/>
      </c>
      <c r="T12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8" s="185" t="str">
        <f>IFERROR((Table1[[#This Row],[Actual Effort (Hours)]]-Table1[[#This Row],[Estimated Effort (Hours)]])/Table1[[#This Row],[Estimated Effort (Hours)]],"")</f>
        <v/>
      </c>
    </row>
    <row r="1239" spans="2:21">
      <c r="B1239" s="125"/>
      <c r="C1239" s="123"/>
      <c r="D1239" s="143"/>
      <c r="E1239" s="123"/>
      <c r="F1239" s="143"/>
      <c r="G1239" s="129"/>
      <c r="H1239" s="124"/>
      <c r="I1239" s="124"/>
      <c r="J1239" s="129"/>
      <c r="K1239" s="194"/>
      <c r="L1239" s="194"/>
      <c r="M1239" s="129"/>
      <c r="N1239" s="129" t="e">
        <f>Table1[[#This Row],[Estimated Effort (Hours)]]/NETWORKDAYS(Table1[[#This Row],[Planned Start Date]],Table1[[#This Row],[Planned End Date]])</f>
        <v>#DIV/0!</v>
      </c>
      <c r="O1239" s="178">
        <f>NETWORKDAYS(Table1[[#This Row],[Planned Start Date]],Table1[[#This Row],[Planned End Date]])</f>
        <v>0</v>
      </c>
      <c r="P1239" s="178">
        <f>NETWORKDAYS(Table1[[#This Row],[Planned Start Date]],$P$7)</f>
        <v>30643</v>
      </c>
      <c r="Q1239" s="129"/>
      <c r="R1239" s="183" t="str">
        <f>IF(Table1[[#This Row],[Actual Effort (Hours)]]="","",IF(Table1[[#This Row],[Estimated Effort (Hours)]]&lt;20,"L1",IF(Table1[[#This Row],[Estimated Effort (Hours)]]&lt;50,"L2",IF(Table1[[#This Row],[Estimated Effort (Hours)]]&lt;150,"L3",IF(Table1[[#This Row],[Estimated Effort (Hours)]]&lt;300,"L4","L5")))))</f>
        <v/>
      </c>
      <c r="S1239" s="184" t="str">
        <f>IF(Table1[[#This Row],[Actual End Date]]="","",TEXT(Table1[[#This Row],[Actual End Date]],"mmm-yy"))</f>
        <v/>
      </c>
      <c r="T12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39" s="185" t="str">
        <f>IFERROR((Table1[[#This Row],[Actual Effort (Hours)]]-Table1[[#This Row],[Estimated Effort (Hours)]])/Table1[[#This Row],[Estimated Effort (Hours)]],"")</f>
        <v/>
      </c>
    </row>
    <row r="1240" spans="2:21">
      <c r="B1240" s="125"/>
      <c r="C1240" s="123"/>
      <c r="D1240" s="143"/>
      <c r="E1240" s="123"/>
      <c r="F1240" s="143"/>
      <c r="G1240" s="129"/>
      <c r="H1240" s="124"/>
      <c r="I1240" s="124"/>
      <c r="J1240" s="129"/>
      <c r="K1240" s="194"/>
      <c r="L1240" s="194"/>
      <c r="M1240" s="129"/>
      <c r="N1240" s="129" t="e">
        <f>Table1[[#This Row],[Estimated Effort (Hours)]]/NETWORKDAYS(Table1[[#This Row],[Planned Start Date]],Table1[[#This Row],[Planned End Date]])</f>
        <v>#DIV/0!</v>
      </c>
      <c r="O1240" s="178">
        <f>NETWORKDAYS(Table1[[#This Row],[Planned Start Date]],Table1[[#This Row],[Planned End Date]])</f>
        <v>0</v>
      </c>
      <c r="P1240" s="178">
        <f>NETWORKDAYS(Table1[[#This Row],[Planned Start Date]],$P$7)</f>
        <v>30643</v>
      </c>
      <c r="Q1240" s="129"/>
      <c r="R1240" s="183" t="str">
        <f>IF(Table1[[#This Row],[Actual Effort (Hours)]]="","",IF(Table1[[#This Row],[Estimated Effort (Hours)]]&lt;20,"L1",IF(Table1[[#This Row],[Estimated Effort (Hours)]]&lt;50,"L2",IF(Table1[[#This Row],[Estimated Effort (Hours)]]&lt;150,"L3",IF(Table1[[#This Row],[Estimated Effort (Hours)]]&lt;300,"L4","L5")))))</f>
        <v/>
      </c>
      <c r="S1240" s="184" t="str">
        <f>IF(Table1[[#This Row],[Actual End Date]]="","",TEXT(Table1[[#This Row],[Actual End Date]],"mmm-yy"))</f>
        <v/>
      </c>
      <c r="T12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0" s="185" t="str">
        <f>IFERROR((Table1[[#This Row],[Actual Effort (Hours)]]-Table1[[#This Row],[Estimated Effort (Hours)]])/Table1[[#This Row],[Estimated Effort (Hours)]],"")</f>
        <v/>
      </c>
    </row>
    <row r="1241" spans="2:21">
      <c r="B1241" s="125"/>
      <c r="C1241" s="123"/>
      <c r="D1241" s="143"/>
      <c r="E1241" s="123"/>
      <c r="F1241" s="143"/>
      <c r="G1241" s="129"/>
      <c r="H1241" s="124"/>
      <c r="I1241" s="124"/>
      <c r="J1241" s="129"/>
      <c r="K1241" s="194"/>
      <c r="L1241" s="194"/>
      <c r="M1241" s="129"/>
      <c r="N1241" s="129" t="e">
        <f>Table1[[#This Row],[Estimated Effort (Hours)]]/NETWORKDAYS(Table1[[#This Row],[Planned Start Date]],Table1[[#This Row],[Planned End Date]])</f>
        <v>#DIV/0!</v>
      </c>
      <c r="O1241" s="178">
        <f>NETWORKDAYS(Table1[[#This Row],[Planned Start Date]],Table1[[#This Row],[Planned End Date]])</f>
        <v>0</v>
      </c>
      <c r="P1241" s="178">
        <f>NETWORKDAYS(Table1[[#This Row],[Planned Start Date]],$P$7)</f>
        <v>30643</v>
      </c>
      <c r="Q1241" s="129"/>
      <c r="R1241" s="183" t="str">
        <f>IF(Table1[[#This Row],[Actual Effort (Hours)]]="","",IF(Table1[[#This Row],[Estimated Effort (Hours)]]&lt;20,"L1",IF(Table1[[#This Row],[Estimated Effort (Hours)]]&lt;50,"L2",IF(Table1[[#This Row],[Estimated Effort (Hours)]]&lt;150,"L3",IF(Table1[[#This Row],[Estimated Effort (Hours)]]&lt;300,"L4","L5")))))</f>
        <v/>
      </c>
      <c r="S1241" s="184" t="str">
        <f>IF(Table1[[#This Row],[Actual End Date]]="","",TEXT(Table1[[#This Row],[Actual End Date]],"mmm-yy"))</f>
        <v/>
      </c>
      <c r="T12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1" s="185" t="str">
        <f>IFERROR((Table1[[#This Row],[Actual Effort (Hours)]]-Table1[[#This Row],[Estimated Effort (Hours)]])/Table1[[#This Row],[Estimated Effort (Hours)]],"")</f>
        <v/>
      </c>
    </row>
    <row r="1242" spans="2:21">
      <c r="B1242" s="125"/>
      <c r="C1242" s="123"/>
      <c r="D1242" s="143"/>
      <c r="E1242" s="123"/>
      <c r="F1242" s="143"/>
      <c r="G1242" s="129"/>
      <c r="H1242" s="124"/>
      <c r="I1242" s="124"/>
      <c r="J1242" s="129"/>
      <c r="K1242" s="194"/>
      <c r="L1242" s="194"/>
      <c r="M1242" s="129"/>
      <c r="N1242" s="129" t="e">
        <f>Table1[[#This Row],[Estimated Effort (Hours)]]/NETWORKDAYS(Table1[[#This Row],[Planned Start Date]],Table1[[#This Row],[Planned End Date]])</f>
        <v>#DIV/0!</v>
      </c>
      <c r="O1242" s="178">
        <f>NETWORKDAYS(Table1[[#This Row],[Planned Start Date]],Table1[[#This Row],[Planned End Date]])</f>
        <v>0</v>
      </c>
      <c r="P1242" s="178">
        <f>NETWORKDAYS(Table1[[#This Row],[Planned Start Date]],$P$7)</f>
        <v>30643</v>
      </c>
      <c r="Q1242" s="129"/>
      <c r="R1242" s="183" t="str">
        <f>IF(Table1[[#This Row],[Actual Effort (Hours)]]="","",IF(Table1[[#This Row],[Estimated Effort (Hours)]]&lt;20,"L1",IF(Table1[[#This Row],[Estimated Effort (Hours)]]&lt;50,"L2",IF(Table1[[#This Row],[Estimated Effort (Hours)]]&lt;150,"L3",IF(Table1[[#This Row],[Estimated Effort (Hours)]]&lt;300,"L4","L5")))))</f>
        <v/>
      </c>
      <c r="S1242" s="184" t="str">
        <f>IF(Table1[[#This Row],[Actual End Date]]="","",TEXT(Table1[[#This Row],[Actual End Date]],"mmm-yy"))</f>
        <v/>
      </c>
      <c r="T12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2" s="185" t="str">
        <f>IFERROR((Table1[[#This Row],[Actual Effort (Hours)]]-Table1[[#This Row],[Estimated Effort (Hours)]])/Table1[[#This Row],[Estimated Effort (Hours)]],"")</f>
        <v/>
      </c>
    </row>
    <row r="1243" spans="2:21">
      <c r="B1243" s="125"/>
      <c r="C1243" s="123"/>
      <c r="D1243" s="143"/>
      <c r="E1243" s="123"/>
      <c r="F1243" s="143"/>
      <c r="G1243" s="129"/>
      <c r="H1243" s="124"/>
      <c r="I1243" s="124"/>
      <c r="J1243" s="129"/>
      <c r="K1243" s="194"/>
      <c r="L1243" s="194"/>
      <c r="M1243" s="129"/>
      <c r="N1243" s="129" t="e">
        <f>Table1[[#This Row],[Estimated Effort (Hours)]]/NETWORKDAYS(Table1[[#This Row],[Planned Start Date]],Table1[[#This Row],[Planned End Date]])</f>
        <v>#DIV/0!</v>
      </c>
      <c r="O1243" s="178">
        <f>NETWORKDAYS(Table1[[#This Row],[Planned Start Date]],Table1[[#This Row],[Planned End Date]])</f>
        <v>0</v>
      </c>
      <c r="P1243" s="178">
        <f>NETWORKDAYS(Table1[[#This Row],[Planned Start Date]],$P$7)</f>
        <v>30643</v>
      </c>
      <c r="Q1243" s="129"/>
      <c r="R1243" s="183" t="str">
        <f>IF(Table1[[#This Row],[Actual Effort (Hours)]]="","",IF(Table1[[#This Row],[Estimated Effort (Hours)]]&lt;20,"L1",IF(Table1[[#This Row],[Estimated Effort (Hours)]]&lt;50,"L2",IF(Table1[[#This Row],[Estimated Effort (Hours)]]&lt;150,"L3",IF(Table1[[#This Row],[Estimated Effort (Hours)]]&lt;300,"L4","L5")))))</f>
        <v/>
      </c>
      <c r="S1243" s="184" t="str">
        <f>IF(Table1[[#This Row],[Actual End Date]]="","",TEXT(Table1[[#This Row],[Actual End Date]],"mmm-yy"))</f>
        <v/>
      </c>
      <c r="T12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3" s="185" t="str">
        <f>IFERROR((Table1[[#This Row],[Actual Effort (Hours)]]-Table1[[#This Row],[Estimated Effort (Hours)]])/Table1[[#This Row],[Estimated Effort (Hours)]],"")</f>
        <v/>
      </c>
    </row>
    <row r="1244" spans="2:21">
      <c r="B1244" s="125"/>
      <c r="C1244" s="123"/>
      <c r="D1244" s="143"/>
      <c r="E1244" s="123"/>
      <c r="F1244" s="143"/>
      <c r="G1244" s="129"/>
      <c r="H1244" s="124"/>
      <c r="I1244" s="124"/>
      <c r="J1244" s="129"/>
      <c r="K1244" s="194"/>
      <c r="L1244" s="194"/>
      <c r="M1244" s="129"/>
      <c r="N1244" s="129" t="e">
        <f>Table1[[#This Row],[Estimated Effort (Hours)]]/NETWORKDAYS(Table1[[#This Row],[Planned Start Date]],Table1[[#This Row],[Planned End Date]])</f>
        <v>#DIV/0!</v>
      </c>
      <c r="O1244" s="178">
        <f>NETWORKDAYS(Table1[[#This Row],[Planned Start Date]],Table1[[#This Row],[Planned End Date]])</f>
        <v>0</v>
      </c>
      <c r="P1244" s="178">
        <f>NETWORKDAYS(Table1[[#This Row],[Planned Start Date]],$P$7)</f>
        <v>30643</v>
      </c>
      <c r="Q1244" s="129"/>
      <c r="R1244" s="183" t="str">
        <f>IF(Table1[[#This Row],[Actual Effort (Hours)]]="","",IF(Table1[[#This Row],[Estimated Effort (Hours)]]&lt;20,"L1",IF(Table1[[#This Row],[Estimated Effort (Hours)]]&lt;50,"L2",IF(Table1[[#This Row],[Estimated Effort (Hours)]]&lt;150,"L3",IF(Table1[[#This Row],[Estimated Effort (Hours)]]&lt;300,"L4","L5")))))</f>
        <v/>
      </c>
      <c r="S1244" s="184" t="str">
        <f>IF(Table1[[#This Row],[Actual End Date]]="","",TEXT(Table1[[#This Row],[Actual End Date]],"mmm-yy"))</f>
        <v/>
      </c>
      <c r="T12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4" s="185" t="str">
        <f>IFERROR((Table1[[#This Row],[Actual Effort (Hours)]]-Table1[[#This Row],[Estimated Effort (Hours)]])/Table1[[#This Row],[Estimated Effort (Hours)]],"")</f>
        <v/>
      </c>
    </row>
    <row r="1245" spans="2:21">
      <c r="B1245" s="125"/>
      <c r="C1245" s="123"/>
      <c r="D1245" s="143"/>
      <c r="E1245" s="123"/>
      <c r="F1245" s="143"/>
      <c r="G1245" s="129"/>
      <c r="H1245" s="124"/>
      <c r="I1245" s="124"/>
      <c r="J1245" s="129"/>
      <c r="K1245" s="194"/>
      <c r="L1245" s="194"/>
      <c r="M1245" s="129"/>
      <c r="N1245" s="129" t="e">
        <f>Table1[[#This Row],[Estimated Effort (Hours)]]/NETWORKDAYS(Table1[[#This Row],[Planned Start Date]],Table1[[#This Row],[Planned End Date]])</f>
        <v>#DIV/0!</v>
      </c>
      <c r="O1245" s="178">
        <f>NETWORKDAYS(Table1[[#This Row],[Planned Start Date]],Table1[[#This Row],[Planned End Date]])</f>
        <v>0</v>
      </c>
      <c r="P1245" s="178">
        <f>NETWORKDAYS(Table1[[#This Row],[Planned Start Date]],$P$7)</f>
        <v>30643</v>
      </c>
      <c r="Q1245" s="129"/>
      <c r="R1245" s="183" t="str">
        <f>IF(Table1[[#This Row],[Actual Effort (Hours)]]="","",IF(Table1[[#This Row],[Estimated Effort (Hours)]]&lt;20,"L1",IF(Table1[[#This Row],[Estimated Effort (Hours)]]&lt;50,"L2",IF(Table1[[#This Row],[Estimated Effort (Hours)]]&lt;150,"L3",IF(Table1[[#This Row],[Estimated Effort (Hours)]]&lt;300,"L4","L5")))))</f>
        <v/>
      </c>
      <c r="S1245" s="184" t="str">
        <f>IF(Table1[[#This Row],[Actual End Date]]="","",TEXT(Table1[[#This Row],[Actual End Date]],"mmm-yy"))</f>
        <v/>
      </c>
      <c r="T12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5" s="185" t="str">
        <f>IFERROR((Table1[[#This Row],[Actual Effort (Hours)]]-Table1[[#This Row],[Estimated Effort (Hours)]])/Table1[[#This Row],[Estimated Effort (Hours)]],"")</f>
        <v/>
      </c>
    </row>
    <row r="1246" spans="2:21">
      <c r="B1246" s="125"/>
      <c r="C1246" s="123"/>
      <c r="D1246" s="143"/>
      <c r="E1246" s="123"/>
      <c r="F1246" s="143"/>
      <c r="G1246" s="129"/>
      <c r="H1246" s="124"/>
      <c r="I1246" s="124"/>
      <c r="J1246" s="129"/>
      <c r="K1246" s="194"/>
      <c r="L1246" s="194"/>
      <c r="M1246" s="129"/>
      <c r="N1246" s="129" t="e">
        <f>Table1[[#This Row],[Estimated Effort (Hours)]]/NETWORKDAYS(Table1[[#This Row],[Planned Start Date]],Table1[[#This Row],[Planned End Date]])</f>
        <v>#DIV/0!</v>
      </c>
      <c r="O1246" s="178">
        <f>NETWORKDAYS(Table1[[#This Row],[Planned Start Date]],Table1[[#This Row],[Planned End Date]])</f>
        <v>0</v>
      </c>
      <c r="P1246" s="178">
        <f>NETWORKDAYS(Table1[[#This Row],[Planned Start Date]],$P$7)</f>
        <v>30643</v>
      </c>
      <c r="Q1246" s="129"/>
      <c r="R1246" s="183" t="str">
        <f>IF(Table1[[#This Row],[Actual Effort (Hours)]]="","",IF(Table1[[#This Row],[Estimated Effort (Hours)]]&lt;20,"L1",IF(Table1[[#This Row],[Estimated Effort (Hours)]]&lt;50,"L2",IF(Table1[[#This Row],[Estimated Effort (Hours)]]&lt;150,"L3",IF(Table1[[#This Row],[Estimated Effort (Hours)]]&lt;300,"L4","L5")))))</f>
        <v/>
      </c>
      <c r="S1246" s="184" t="str">
        <f>IF(Table1[[#This Row],[Actual End Date]]="","",TEXT(Table1[[#This Row],[Actual End Date]],"mmm-yy"))</f>
        <v/>
      </c>
      <c r="T12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6" s="185" t="str">
        <f>IFERROR((Table1[[#This Row],[Actual Effort (Hours)]]-Table1[[#This Row],[Estimated Effort (Hours)]])/Table1[[#This Row],[Estimated Effort (Hours)]],"")</f>
        <v/>
      </c>
    </row>
    <row r="1247" spans="2:21">
      <c r="B1247" s="125"/>
      <c r="C1247" s="123"/>
      <c r="D1247" s="143"/>
      <c r="E1247" s="123"/>
      <c r="F1247" s="143"/>
      <c r="G1247" s="129"/>
      <c r="H1247" s="124"/>
      <c r="I1247" s="124"/>
      <c r="J1247" s="129"/>
      <c r="K1247" s="194"/>
      <c r="L1247" s="194"/>
      <c r="M1247" s="129"/>
      <c r="N1247" s="129" t="e">
        <f>Table1[[#This Row],[Estimated Effort (Hours)]]/NETWORKDAYS(Table1[[#This Row],[Planned Start Date]],Table1[[#This Row],[Planned End Date]])</f>
        <v>#DIV/0!</v>
      </c>
      <c r="O1247" s="178">
        <f>NETWORKDAYS(Table1[[#This Row],[Planned Start Date]],Table1[[#This Row],[Planned End Date]])</f>
        <v>0</v>
      </c>
      <c r="P1247" s="178">
        <f>NETWORKDAYS(Table1[[#This Row],[Planned Start Date]],$P$7)</f>
        <v>30643</v>
      </c>
      <c r="Q1247" s="129"/>
      <c r="R1247" s="183" t="str">
        <f>IF(Table1[[#This Row],[Actual Effort (Hours)]]="","",IF(Table1[[#This Row],[Estimated Effort (Hours)]]&lt;20,"L1",IF(Table1[[#This Row],[Estimated Effort (Hours)]]&lt;50,"L2",IF(Table1[[#This Row],[Estimated Effort (Hours)]]&lt;150,"L3",IF(Table1[[#This Row],[Estimated Effort (Hours)]]&lt;300,"L4","L5")))))</f>
        <v/>
      </c>
      <c r="S1247" s="184" t="str">
        <f>IF(Table1[[#This Row],[Actual End Date]]="","",TEXT(Table1[[#This Row],[Actual End Date]],"mmm-yy"))</f>
        <v/>
      </c>
      <c r="T12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7" s="185" t="str">
        <f>IFERROR((Table1[[#This Row],[Actual Effort (Hours)]]-Table1[[#This Row],[Estimated Effort (Hours)]])/Table1[[#This Row],[Estimated Effort (Hours)]],"")</f>
        <v/>
      </c>
    </row>
    <row r="1248" spans="2:21">
      <c r="B1248" s="125"/>
      <c r="C1248" s="123"/>
      <c r="D1248" s="143"/>
      <c r="E1248" s="123"/>
      <c r="F1248" s="143"/>
      <c r="G1248" s="129"/>
      <c r="H1248" s="124"/>
      <c r="I1248" s="124"/>
      <c r="J1248" s="129"/>
      <c r="K1248" s="194"/>
      <c r="L1248" s="194"/>
      <c r="M1248" s="129"/>
      <c r="N1248" s="129" t="e">
        <f>Table1[[#This Row],[Estimated Effort (Hours)]]/NETWORKDAYS(Table1[[#This Row],[Planned Start Date]],Table1[[#This Row],[Planned End Date]])</f>
        <v>#DIV/0!</v>
      </c>
      <c r="O1248" s="178">
        <f>NETWORKDAYS(Table1[[#This Row],[Planned Start Date]],Table1[[#This Row],[Planned End Date]])</f>
        <v>0</v>
      </c>
      <c r="P1248" s="178">
        <f>NETWORKDAYS(Table1[[#This Row],[Planned Start Date]],$P$7)</f>
        <v>30643</v>
      </c>
      <c r="Q1248" s="129"/>
      <c r="R1248" s="183" t="str">
        <f>IF(Table1[[#This Row],[Actual Effort (Hours)]]="","",IF(Table1[[#This Row],[Estimated Effort (Hours)]]&lt;20,"L1",IF(Table1[[#This Row],[Estimated Effort (Hours)]]&lt;50,"L2",IF(Table1[[#This Row],[Estimated Effort (Hours)]]&lt;150,"L3",IF(Table1[[#This Row],[Estimated Effort (Hours)]]&lt;300,"L4","L5")))))</f>
        <v/>
      </c>
      <c r="S1248" s="184" t="str">
        <f>IF(Table1[[#This Row],[Actual End Date]]="","",TEXT(Table1[[#This Row],[Actual End Date]],"mmm-yy"))</f>
        <v/>
      </c>
      <c r="T12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8" s="185" t="str">
        <f>IFERROR((Table1[[#This Row],[Actual Effort (Hours)]]-Table1[[#This Row],[Estimated Effort (Hours)]])/Table1[[#This Row],[Estimated Effort (Hours)]],"")</f>
        <v/>
      </c>
    </row>
    <row r="1249" spans="2:21">
      <c r="B1249" s="125"/>
      <c r="C1249" s="123"/>
      <c r="D1249" s="143"/>
      <c r="E1249" s="123"/>
      <c r="F1249" s="143"/>
      <c r="G1249" s="129"/>
      <c r="H1249" s="124"/>
      <c r="I1249" s="124"/>
      <c r="J1249" s="129"/>
      <c r="K1249" s="194"/>
      <c r="L1249" s="194"/>
      <c r="M1249" s="129"/>
      <c r="N1249" s="129" t="e">
        <f>Table1[[#This Row],[Estimated Effort (Hours)]]/NETWORKDAYS(Table1[[#This Row],[Planned Start Date]],Table1[[#This Row],[Planned End Date]])</f>
        <v>#DIV/0!</v>
      </c>
      <c r="O1249" s="178">
        <f>NETWORKDAYS(Table1[[#This Row],[Planned Start Date]],Table1[[#This Row],[Planned End Date]])</f>
        <v>0</v>
      </c>
      <c r="P1249" s="178">
        <f>NETWORKDAYS(Table1[[#This Row],[Planned Start Date]],$P$7)</f>
        <v>30643</v>
      </c>
      <c r="Q1249" s="129"/>
      <c r="R1249" s="183" t="str">
        <f>IF(Table1[[#This Row],[Actual Effort (Hours)]]="","",IF(Table1[[#This Row],[Estimated Effort (Hours)]]&lt;20,"L1",IF(Table1[[#This Row],[Estimated Effort (Hours)]]&lt;50,"L2",IF(Table1[[#This Row],[Estimated Effort (Hours)]]&lt;150,"L3",IF(Table1[[#This Row],[Estimated Effort (Hours)]]&lt;300,"L4","L5")))))</f>
        <v/>
      </c>
      <c r="S1249" s="184" t="str">
        <f>IF(Table1[[#This Row],[Actual End Date]]="","",TEXT(Table1[[#This Row],[Actual End Date]],"mmm-yy"))</f>
        <v/>
      </c>
      <c r="T12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49" s="185" t="str">
        <f>IFERROR((Table1[[#This Row],[Actual Effort (Hours)]]-Table1[[#This Row],[Estimated Effort (Hours)]])/Table1[[#This Row],[Estimated Effort (Hours)]],"")</f>
        <v/>
      </c>
    </row>
    <row r="1250" spans="2:21">
      <c r="B1250" s="125"/>
      <c r="C1250" s="123"/>
      <c r="D1250" s="143"/>
      <c r="E1250" s="123"/>
      <c r="F1250" s="143"/>
      <c r="G1250" s="129"/>
      <c r="H1250" s="124"/>
      <c r="I1250" s="124"/>
      <c r="J1250" s="129"/>
      <c r="K1250" s="194"/>
      <c r="L1250" s="194"/>
      <c r="M1250" s="129"/>
      <c r="N1250" s="129" t="e">
        <f>Table1[[#This Row],[Estimated Effort (Hours)]]/NETWORKDAYS(Table1[[#This Row],[Planned Start Date]],Table1[[#This Row],[Planned End Date]])</f>
        <v>#DIV/0!</v>
      </c>
      <c r="O1250" s="178">
        <f>NETWORKDAYS(Table1[[#This Row],[Planned Start Date]],Table1[[#This Row],[Planned End Date]])</f>
        <v>0</v>
      </c>
      <c r="P1250" s="178">
        <f>NETWORKDAYS(Table1[[#This Row],[Planned Start Date]],$P$7)</f>
        <v>30643</v>
      </c>
      <c r="Q1250" s="129"/>
      <c r="R1250" s="183" t="str">
        <f>IF(Table1[[#This Row],[Actual Effort (Hours)]]="","",IF(Table1[[#This Row],[Estimated Effort (Hours)]]&lt;20,"L1",IF(Table1[[#This Row],[Estimated Effort (Hours)]]&lt;50,"L2",IF(Table1[[#This Row],[Estimated Effort (Hours)]]&lt;150,"L3",IF(Table1[[#This Row],[Estimated Effort (Hours)]]&lt;300,"L4","L5")))))</f>
        <v/>
      </c>
      <c r="S1250" s="184" t="str">
        <f>IF(Table1[[#This Row],[Actual End Date]]="","",TEXT(Table1[[#This Row],[Actual End Date]],"mmm-yy"))</f>
        <v/>
      </c>
      <c r="T12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0" s="185" t="str">
        <f>IFERROR((Table1[[#This Row],[Actual Effort (Hours)]]-Table1[[#This Row],[Estimated Effort (Hours)]])/Table1[[#This Row],[Estimated Effort (Hours)]],"")</f>
        <v/>
      </c>
    </row>
    <row r="1251" spans="2:21">
      <c r="B1251" s="125"/>
      <c r="C1251" s="123"/>
      <c r="D1251" s="143"/>
      <c r="E1251" s="123"/>
      <c r="F1251" s="143"/>
      <c r="G1251" s="129"/>
      <c r="H1251" s="124"/>
      <c r="I1251" s="124"/>
      <c r="J1251" s="129"/>
      <c r="K1251" s="194"/>
      <c r="L1251" s="194"/>
      <c r="M1251" s="129"/>
      <c r="N1251" s="129" t="e">
        <f>Table1[[#This Row],[Estimated Effort (Hours)]]/NETWORKDAYS(Table1[[#This Row],[Planned Start Date]],Table1[[#This Row],[Planned End Date]])</f>
        <v>#DIV/0!</v>
      </c>
      <c r="O1251" s="178">
        <f>NETWORKDAYS(Table1[[#This Row],[Planned Start Date]],Table1[[#This Row],[Planned End Date]])</f>
        <v>0</v>
      </c>
      <c r="P1251" s="178">
        <f>NETWORKDAYS(Table1[[#This Row],[Planned Start Date]],$P$7)</f>
        <v>30643</v>
      </c>
      <c r="Q1251" s="129"/>
      <c r="R1251" s="183" t="str">
        <f>IF(Table1[[#This Row],[Actual Effort (Hours)]]="","",IF(Table1[[#This Row],[Estimated Effort (Hours)]]&lt;20,"L1",IF(Table1[[#This Row],[Estimated Effort (Hours)]]&lt;50,"L2",IF(Table1[[#This Row],[Estimated Effort (Hours)]]&lt;150,"L3",IF(Table1[[#This Row],[Estimated Effort (Hours)]]&lt;300,"L4","L5")))))</f>
        <v/>
      </c>
      <c r="S1251" s="184" t="str">
        <f>IF(Table1[[#This Row],[Actual End Date]]="","",TEXT(Table1[[#This Row],[Actual End Date]],"mmm-yy"))</f>
        <v/>
      </c>
      <c r="T12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1" s="185" t="str">
        <f>IFERROR((Table1[[#This Row],[Actual Effort (Hours)]]-Table1[[#This Row],[Estimated Effort (Hours)]])/Table1[[#This Row],[Estimated Effort (Hours)]],"")</f>
        <v/>
      </c>
    </row>
    <row r="1252" spans="2:21">
      <c r="B1252" s="125"/>
      <c r="C1252" s="123"/>
      <c r="D1252" s="143"/>
      <c r="E1252" s="123"/>
      <c r="F1252" s="143"/>
      <c r="G1252" s="129"/>
      <c r="H1252" s="124"/>
      <c r="I1252" s="124"/>
      <c r="J1252" s="129"/>
      <c r="K1252" s="194"/>
      <c r="L1252" s="194"/>
      <c r="M1252" s="129"/>
      <c r="N1252" s="129" t="e">
        <f>Table1[[#This Row],[Estimated Effort (Hours)]]/NETWORKDAYS(Table1[[#This Row],[Planned Start Date]],Table1[[#This Row],[Planned End Date]])</f>
        <v>#DIV/0!</v>
      </c>
      <c r="O1252" s="178">
        <f>NETWORKDAYS(Table1[[#This Row],[Planned Start Date]],Table1[[#This Row],[Planned End Date]])</f>
        <v>0</v>
      </c>
      <c r="P1252" s="178">
        <f>NETWORKDAYS(Table1[[#This Row],[Planned Start Date]],$P$7)</f>
        <v>30643</v>
      </c>
      <c r="Q1252" s="129"/>
      <c r="R1252" s="183" t="str">
        <f>IF(Table1[[#This Row],[Actual Effort (Hours)]]="","",IF(Table1[[#This Row],[Estimated Effort (Hours)]]&lt;20,"L1",IF(Table1[[#This Row],[Estimated Effort (Hours)]]&lt;50,"L2",IF(Table1[[#This Row],[Estimated Effort (Hours)]]&lt;150,"L3",IF(Table1[[#This Row],[Estimated Effort (Hours)]]&lt;300,"L4","L5")))))</f>
        <v/>
      </c>
      <c r="S1252" s="184" t="str">
        <f>IF(Table1[[#This Row],[Actual End Date]]="","",TEXT(Table1[[#This Row],[Actual End Date]],"mmm-yy"))</f>
        <v/>
      </c>
      <c r="T12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2" s="185" t="str">
        <f>IFERROR((Table1[[#This Row],[Actual Effort (Hours)]]-Table1[[#This Row],[Estimated Effort (Hours)]])/Table1[[#This Row],[Estimated Effort (Hours)]],"")</f>
        <v/>
      </c>
    </row>
    <row r="1253" spans="2:21">
      <c r="B1253" s="125"/>
      <c r="C1253" s="123"/>
      <c r="D1253" s="143"/>
      <c r="E1253" s="123"/>
      <c r="F1253" s="143"/>
      <c r="G1253" s="129"/>
      <c r="H1253" s="124"/>
      <c r="I1253" s="124"/>
      <c r="J1253" s="129"/>
      <c r="K1253" s="194"/>
      <c r="L1253" s="194"/>
      <c r="M1253" s="129"/>
      <c r="N1253" s="129" t="e">
        <f>Table1[[#This Row],[Estimated Effort (Hours)]]/NETWORKDAYS(Table1[[#This Row],[Planned Start Date]],Table1[[#This Row],[Planned End Date]])</f>
        <v>#DIV/0!</v>
      </c>
      <c r="O1253" s="178">
        <f>NETWORKDAYS(Table1[[#This Row],[Planned Start Date]],Table1[[#This Row],[Planned End Date]])</f>
        <v>0</v>
      </c>
      <c r="P1253" s="178">
        <f>NETWORKDAYS(Table1[[#This Row],[Planned Start Date]],$P$7)</f>
        <v>30643</v>
      </c>
      <c r="Q1253" s="129"/>
      <c r="R1253" s="183" t="str">
        <f>IF(Table1[[#This Row],[Actual Effort (Hours)]]="","",IF(Table1[[#This Row],[Estimated Effort (Hours)]]&lt;20,"L1",IF(Table1[[#This Row],[Estimated Effort (Hours)]]&lt;50,"L2",IF(Table1[[#This Row],[Estimated Effort (Hours)]]&lt;150,"L3",IF(Table1[[#This Row],[Estimated Effort (Hours)]]&lt;300,"L4","L5")))))</f>
        <v/>
      </c>
      <c r="S1253" s="184" t="str">
        <f>IF(Table1[[#This Row],[Actual End Date]]="","",TEXT(Table1[[#This Row],[Actual End Date]],"mmm-yy"))</f>
        <v/>
      </c>
      <c r="T12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3" s="185" t="str">
        <f>IFERROR((Table1[[#This Row],[Actual Effort (Hours)]]-Table1[[#This Row],[Estimated Effort (Hours)]])/Table1[[#This Row],[Estimated Effort (Hours)]],"")</f>
        <v/>
      </c>
    </row>
    <row r="1254" spans="2:21">
      <c r="B1254" s="125"/>
      <c r="C1254" s="123"/>
      <c r="D1254" s="143"/>
      <c r="E1254" s="123"/>
      <c r="F1254" s="143"/>
      <c r="G1254" s="129"/>
      <c r="H1254" s="124"/>
      <c r="I1254" s="124"/>
      <c r="J1254" s="129"/>
      <c r="K1254" s="194"/>
      <c r="L1254" s="194"/>
      <c r="M1254" s="129"/>
      <c r="N1254" s="129" t="e">
        <f>Table1[[#This Row],[Estimated Effort (Hours)]]/NETWORKDAYS(Table1[[#This Row],[Planned Start Date]],Table1[[#This Row],[Planned End Date]])</f>
        <v>#DIV/0!</v>
      </c>
      <c r="O1254" s="178">
        <f>NETWORKDAYS(Table1[[#This Row],[Planned Start Date]],Table1[[#This Row],[Planned End Date]])</f>
        <v>0</v>
      </c>
      <c r="P1254" s="178">
        <f>NETWORKDAYS(Table1[[#This Row],[Planned Start Date]],$P$7)</f>
        <v>30643</v>
      </c>
      <c r="Q1254" s="129"/>
      <c r="R1254" s="183" t="str">
        <f>IF(Table1[[#This Row],[Actual Effort (Hours)]]="","",IF(Table1[[#This Row],[Estimated Effort (Hours)]]&lt;20,"L1",IF(Table1[[#This Row],[Estimated Effort (Hours)]]&lt;50,"L2",IF(Table1[[#This Row],[Estimated Effort (Hours)]]&lt;150,"L3",IF(Table1[[#This Row],[Estimated Effort (Hours)]]&lt;300,"L4","L5")))))</f>
        <v/>
      </c>
      <c r="S1254" s="184" t="str">
        <f>IF(Table1[[#This Row],[Actual End Date]]="","",TEXT(Table1[[#This Row],[Actual End Date]],"mmm-yy"))</f>
        <v/>
      </c>
      <c r="T12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4" s="185" t="str">
        <f>IFERROR((Table1[[#This Row],[Actual Effort (Hours)]]-Table1[[#This Row],[Estimated Effort (Hours)]])/Table1[[#This Row],[Estimated Effort (Hours)]],"")</f>
        <v/>
      </c>
    </row>
    <row r="1255" spans="2:21">
      <c r="B1255" s="125"/>
      <c r="C1255" s="123"/>
      <c r="D1255" s="143"/>
      <c r="E1255" s="123"/>
      <c r="F1255" s="143"/>
      <c r="G1255" s="129"/>
      <c r="H1255" s="124"/>
      <c r="I1255" s="124"/>
      <c r="J1255" s="129"/>
      <c r="K1255" s="194"/>
      <c r="L1255" s="194"/>
      <c r="M1255" s="129"/>
      <c r="N1255" s="129" t="e">
        <f>Table1[[#This Row],[Estimated Effort (Hours)]]/NETWORKDAYS(Table1[[#This Row],[Planned Start Date]],Table1[[#This Row],[Planned End Date]])</f>
        <v>#DIV/0!</v>
      </c>
      <c r="O1255" s="178">
        <f>NETWORKDAYS(Table1[[#This Row],[Planned Start Date]],Table1[[#This Row],[Planned End Date]])</f>
        <v>0</v>
      </c>
      <c r="P1255" s="178">
        <f>NETWORKDAYS(Table1[[#This Row],[Planned Start Date]],$P$7)</f>
        <v>30643</v>
      </c>
      <c r="Q1255" s="129"/>
      <c r="R1255" s="183" t="str">
        <f>IF(Table1[[#This Row],[Actual Effort (Hours)]]="","",IF(Table1[[#This Row],[Estimated Effort (Hours)]]&lt;20,"L1",IF(Table1[[#This Row],[Estimated Effort (Hours)]]&lt;50,"L2",IF(Table1[[#This Row],[Estimated Effort (Hours)]]&lt;150,"L3",IF(Table1[[#This Row],[Estimated Effort (Hours)]]&lt;300,"L4","L5")))))</f>
        <v/>
      </c>
      <c r="S1255" s="184" t="str">
        <f>IF(Table1[[#This Row],[Actual End Date]]="","",TEXT(Table1[[#This Row],[Actual End Date]],"mmm-yy"))</f>
        <v/>
      </c>
      <c r="T12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5" s="185" t="str">
        <f>IFERROR((Table1[[#This Row],[Actual Effort (Hours)]]-Table1[[#This Row],[Estimated Effort (Hours)]])/Table1[[#This Row],[Estimated Effort (Hours)]],"")</f>
        <v/>
      </c>
    </row>
    <row r="1256" spans="2:21">
      <c r="B1256" s="125"/>
      <c r="C1256" s="123"/>
      <c r="D1256" s="143"/>
      <c r="E1256" s="123"/>
      <c r="F1256" s="143"/>
      <c r="G1256" s="129"/>
      <c r="H1256" s="124"/>
      <c r="I1256" s="124"/>
      <c r="J1256" s="129"/>
      <c r="K1256" s="194"/>
      <c r="L1256" s="194"/>
      <c r="M1256" s="129"/>
      <c r="N1256" s="129" t="e">
        <f>Table1[[#This Row],[Estimated Effort (Hours)]]/NETWORKDAYS(Table1[[#This Row],[Planned Start Date]],Table1[[#This Row],[Planned End Date]])</f>
        <v>#DIV/0!</v>
      </c>
      <c r="O1256" s="178">
        <f>NETWORKDAYS(Table1[[#This Row],[Planned Start Date]],Table1[[#This Row],[Planned End Date]])</f>
        <v>0</v>
      </c>
      <c r="P1256" s="178">
        <f>NETWORKDAYS(Table1[[#This Row],[Planned Start Date]],$P$7)</f>
        <v>30643</v>
      </c>
      <c r="Q1256" s="129"/>
      <c r="R1256" s="183" t="str">
        <f>IF(Table1[[#This Row],[Actual Effort (Hours)]]="","",IF(Table1[[#This Row],[Estimated Effort (Hours)]]&lt;20,"L1",IF(Table1[[#This Row],[Estimated Effort (Hours)]]&lt;50,"L2",IF(Table1[[#This Row],[Estimated Effort (Hours)]]&lt;150,"L3",IF(Table1[[#This Row],[Estimated Effort (Hours)]]&lt;300,"L4","L5")))))</f>
        <v/>
      </c>
      <c r="S1256" s="184" t="str">
        <f>IF(Table1[[#This Row],[Actual End Date]]="","",TEXT(Table1[[#This Row],[Actual End Date]],"mmm-yy"))</f>
        <v/>
      </c>
      <c r="T12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6" s="185" t="str">
        <f>IFERROR((Table1[[#This Row],[Actual Effort (Hours)]]-Table1[[#This Row],[Estimated Effort (Hours)]])/Table1[[#This Row],[Estimated Effort (Hours)]],"")</f>
        <v/>
      </c>
    </row>
    <row r="1257" spans="2:21">
      <c r="B1257" s="125"/>
      <c r="C1257" s="123"/>
      <c r="D1257" s="143"/>
      <c r="E1257" s="123"/>
      <c r="F1257" s="143"/>
      <c r="G1257" s="129"/>
      <c r="H1257" s="124"/>
      <c r="I1257" s="124"/>
      <c r="J1257" s="129"/>
      <c r="K1257" s="194"/>
      <c r="L1257" s="194"/>
      <c r="M1257" s="129"/>
      <c r="N1257" s="129" t="e">
        <f>Table1[[#This Row],[Estimated Effort (Hours)]]/NETWORKDAYS(Table1[[#This Row],[Planned Start Date]],Table1[[#This Row],[Planned End Date]])</f>
        <v>#DIV/0!</v>
      </c>
      <c r="O1257" s="178">
        <f>NETWORKDAYS(Table1[[#This Row],[Planned Start Date]],Table1[[#This Row],[Planned End Date]])</f>
        <v>0</v>
      </c>
      <c r="P1257" s="178">
        <f>NETWORKDAYS(Table1[[#This Row],[Planned Start Date]],$P$7)</f>
        <v>30643</v>
      </c>
      <c r="Q1257" s="129"/>
      <c r="R1257" s="183" t="str">
        <f>IF(Table1[[#This Row],[Actual Effort (Hours)]]="","",IF(Table1[[#This Row],[Estimated Effort (Hours)]]&lt;20,"L1",IF(Table1[[#This Row],[Estimated Effort (Hours)]]&lt;50,"L2",IF(Table1[[#This Row],[Estimated Effort (Hours)]]&lt;150,"L3",IF(Table1[[#This Row],[Estimated Effort (Hours)]]&lt;300,"L4","L5")))))</f>
        <v/>
      </c>
      <c r="S1257" s="184" t="str">
        <f>IF(Table1[[#This Row],[Actual End Date]]="","",TEXT(Table1[[#This Row],[Actual End Date]],"mmm-yy"))</f>
        <v/>
      </c>
      <c r="T12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7" s="185" t="str">
        <f>IFERROR((Table1[[#This Row],[Actual Effort (Hours)]]-Table1[[#This Row],[Estimated Effort (Hours)]])/Table1[[#This Row],[Estimated Effort (Hours)]],"")</f>
        <v/>
      </c>
    </row>
    <row r="1258" spans="2:21">
      <c r="B1258" s="125"/>
      <c r="C1258" s="123"/>
      <c r="D1258" s="143"/>
      <c r="E1258" s="123"/>
      <c r="F1258" s="143"/>
      <c r="G1258" s="129"/>
      <c r="H1258" s="124"/>
      <c r="I1258" s="124"/>
      <c r="J1258" s="129"/>
      <c r="K1258" s="194"/>
      <c r="L1258" s="194"/>
      <c r="M1258" s="129"/>
      <c r="N1258" s="129" t="e">
        <f>Table1[[#This Row],[Estimated Effort (Hours)]]/NETWORKDAYS(Table1[[#This Row],[Planned Start Date]],Table1[[#This Row],[Planned End Date]])</f>
        <v>#DIV/0!</v>
      </c>
      <c r="O1258" s="178">
        <f>NETWORKDAYS(Table1[[#This Row],[Planned Start Date]],Table1[[#This Row],[Planned End Date]])</f>
        <v>0</v>
      </c>
      <c r="P1258" s="178">
        <f>NETWORKDAYS(Table1[[#This Row],[Planned Start Date]],$P$7)</f>
        <v>30643</v>
      </c>
      <c r="Q1258" s="129"/>
      <c r="R1258" s="183" t="str">
        <f>IF(Table1[[#This Row],[Actual Effort (Hours)]]="","",IF(Table1[[#This Row],[Estimated Effort (Hours)]]&lt;20,"L1",IF(Table1[[#This Row],[Estimated Effort (Hours)]]&lt;50,"L2",IF(Table1[[#This Row],[Estimated Effort (Hours)]]&lt;150,"L3",IF(Table1[[#This Row],[Estimated Effort (Hours)]]&lt;300,"L4","L5")))))</f>
        <v/>
      </c>
      <c r="S1258" s="184" t="str">
        <f>IF(Table1[[#This Row],[Actual End Date]]="","",TEXT(Table1[[#This Row],[Actual End Date]],"mmm-yy"))</f>
        <v/>
      </c>
      <c r="T12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8" s="185" t="str">
        <f>IFERROR((Table1[[#This Row],[Actual Effort (Hours)]]-Table1[[#This Row],[Estimated Effort (Hours)]])/Table1[[#This Row],[Estimated Effort (Hours)]],"")</f>
        <v/>
      </c>
    </row>
    <row r="1259" spans="2:21">
      <c r="B1259" s="125"/>
      <c r="C1259" s="123"/>
      <c r="D1259" s="143"/>
      <c r="E1259" s="123"/>
      <c r="F1259" s="143"/>
      <c r="G1259" s="129"/>
      <c r="H1259" s="124"/>
      <c r="I1259" s="124"/>
      <c r="J1259" s="129"/>
      <c r="K1259" s="194"/>
      <c r="L1259" s="194"/>
      <c r="M1259" s="129"/>
      <c r="N1259" s="129" t="e">
        <f>Table1[[#This Row],[Estimated Effort (Hours)]]/NETWORKDAYS(Table1[[#This Row],[Planned Start Date]],Table1[[#This Row],[Planned End Date]])</f>
        <v>#DIV/0!</v>
      </c>
      <c r="O1259" s="178">
        <f>NETWORKDAYS(Table1[[#This Row],[Planned Start Date]],Table1[[#This Row],[Planned End Date]])</f>
        <v>0</v>
      </c>
      <c r="P1259" s="178">
        <f>NETWORKDAYS(Table1[[#This Row],[Planned Start Date]],$P$7)</f>
        <v>30643</v>
      </c>
      <c r="Q1259" s="129"/>
      <c r="R1259" s="183" t="str">
        <f>IF(Table1[[#This Row],[Actual Effort (Hours)]]="","",IF(Table1[[#This Row],[Estimated Effort (Hours)]]&lt;20,"L1",IF(Table1[[#This Row],[Estimated Effort (Hours)]]&lt;50,"L2",IF(Table1[[#This Row],[Estimated Effort (Hours)]]&lt;150,"L3",IF(Table1[[#This Row],[Estimated Effort (Hours)]]&lt;300,"L4","L5")))))</f>
        <v/>
      </c>
      <c r="S1259" s="184" t="str">
        <f>IF(Table1[[#This Row],[Actual End Date]]="","",TEXT(Table1[[#This Row],[Actual End Date]],"mmm-yy"))</f>
        <v/>
      </c>
      <c r="T12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59" s="185" t="str">
        <f>IFERROR((Table1[[#This Row],[Actual Effort (Hours)]]-Table1[[#This Row],[Estimated Effort (Hours)]])/Table1[[#This Row],[Estimated Effort (Hours)]],"")</f>
        <v/>
      </c>
    </row>
    <row r="1260" spans="2:21">
      <c r="B1260" s="125"/>
      <c r="C1260" s="123"/>
      <c r="D1260" s="143"/>
      <c r="E1260" s="123"/>
      <c r="F1260" s="143"/>
      <c r="G1260" s="129"/>
      <c r="H1260" s="124"/>
      <c r="I1260" s="124"/>
      <c r="J1260" s="129"/>
      <c r="K1260" s="194"/>
      <c r="L1260" s="194"/>
      <c r="M1260" s="129"/>
      <c r="N1260" s="129" t="e">
        <f>Table1[[#This Row],[Estimated Effort (Hours)]]/NETWORKDAYS(Table1[[#This Row],[Planned Start Date]],Table1[[#This Row],[Planned End Date]])</f>
        <v>#DIV/0!</v>
      </c>
      <c r="O1260" s="178">
        <f>NETWORKDAYS(Table1[[#This Row],[Planned Start Date]],Table1[[#This Row],[Planned End Date]])</f>
        <v>0</v>
      </c>
      <c r="P1260" s="178">
        <f>NETWORKDAYS(Table1[[#This Row],[Planned Start Date]],$P$7)</f>
        <v>30643</v>
      </c>
      <c r="Q1260" s="129"/>
      <c r="R1260" s="183" t="str">
        <f>IF(Table1[[#This Row],[Actual Effort (Hours)]]="","",IF(Table1[[#This Row],[Estimated Effort (Hours)]]&lt;20,"L1",IF(Table1[[#This Row],[Estimated Effort (Hours)]]&lt;50,"L2",IF(Table1[[#This Row],[Estimated Effort (Hours)]]&lt;150,"L3",IF(Table1[[#This Row],[Estimated Effort (Hours)]]&lt;300,"L4","L5")))))</f>
        <v/>
      </c>
      <c r="S1260" s="184" t="str">
        <f>IF(Table1[[#This Row],[Actual End Date]]="","",TEXT(Table1[[#This Row],[Actual End Date]],"mmm-yy"))</f>
        <v/>
      </c>
      <c r="T12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0" s="185" t="str">
        <f>IFERROR((Table1[[#This Row],[Actual Effort (Hours)]]-Table1[[#This Row],[Estimated Effort (Hours)]])/Table1[[#This Row],[Estimated Effort (Hours)]],"")</f>
        <v/>
      </c>
    </row>
    <row r="1261" spans="2:21">
      <c r="B1261" s="125"/>
      <c r="C1261" s="123"/>
      <c r="D1261" s="143"/>
      <c r="E1261" s="123"/>
      <c r="F1261" s="143"/>
      <c r="G1261" s="129"/>
      <c r="H1261" s="124"/>
      <c r="I1261" s="124"/>
      <c r="J1261" s="129"/>
      <c r="K1261" s="194"/>
      <c r="L1261" s="194"/>
      <c r="M1261" s="129"/>
      <c r="N1261" s="129" t="e">
        <f>Table1[[#This Row],[Estimated Effort (Hours)]]/NETWORKDAYS(Table1[[#This Row],[Planned Start Date]],Table1[[#This Row],[Planned End Date]])</f>
        <v>#DIV/0!</v>
      </c>
      <c r="O1261" s="178">
        <f>NETWORKDAYS(Table1[[#This Row],[Planned Start Date]],Table1[[#This Row],[Planned End Date]])</f>
        <v>0</v>
      </c>
      <c r="P1261" s="178">
        <f>NETWORKDAYS(Table1[[#This Row],[Planned Start Date]],$P$7)</f>
        <v>30643</v>
      </c>
      <c r="Q1261" s="129"/>
      <c r="R1261" s="183" t="str">
        <f>IF(Table1[[#This Row],[Actual Effort (Hours)]]="","",IF(Table1[[#This Row],[Estimated Effort (Hours)]]&lt;20,"L1",IF(Table1[[#This Row],[Estimated Effort (Hours)]]&lt;50,"L2",IF(Table1[[#This Row],[Estimated Effort (Hours)]]&lt;150,"L3",IF(Table1[[#This Row],[Estimated Effort (Hours)]]&lt;300,"L4","L5")))))</f>
        <v/>
      </c>
      <c r="S1261" s="184" t="str">
        <f>IF(Table1[[#This Row],[Actual End Date]]="","",TEXT(Table1[[#This Row],[Actual End Date]],"mmm-yy"))</f>
        <v/>
      </c>
      <c r="T12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1" s="185" t="str">
        <f>IFERROR((Table1[[#This Row],[Actual Effort (Hours)]]-Table1[[#This Row],[Estimated Effort (Hours)]])/Table1[[#This Row],[Estimated Effort (Hours)]],"")</f>
        <v/>
      </c>
    </row>
    <row r="1262" spans="2:21">
      <c r="B1262" s="125"/>
      <c r="C1262" s="123"/>
      <c r="D1262" s="143"/>
      <c r="E1262" s="123"/>
      <c r="F1262" s="143"/>
      <c r="G1262" s="129"/>
      <c r="H1262" s="124"/>
      <c r="I1262" s="124"/>
      <c r="J1262" s="129"/>
      <c r="K1262" s="194"/>
      <c r="L1262" s="194"/>
      <c r="M1262" s="129"/>
      <c r="N1262" s="129" t="e">
        <f>Table1[[#This Row],[Estimated Effort (Hours)]]/NETWORKDAYS(Table1[[#This Row],[Planned Start Date]],Table1[[#This Row],[Planned End Date]])</f>
        <v>#DIV/0!</v>
      </c>
      <c r="O1262" s="178">
        <f>NETWORKDAYS(Table1[[#This Row],[Planned Start Date]],Table1[[#This Row],[Planned End Date]])</f>
        <v>0</v>
      </c>
      <c r="P1262" s="178">
        <f>NETWORKDAYS(Table1[[#This Row],[Planned Start Date]],$P$7)</f>
        <v>30643</v>
      </c>
      <c r="Q1262" s="129"/>
      <c r="R1262" s="183" t="str">
        <f>IF(Table1[[#This Row],[Actual Effort (Hours)]]="","",IF(Table1[[#This Row],[Estimated Effort (Hours)]]&lt;20,"L1",IF(Table1[[#This Row],[Estimated Effort (Hours)]]&lt;50,"L2",IF(Table1[[#This Row],[Estimated Effort (Hours)]]&lt;150,"L3",IF(Table1[[#This Row],[Estimated Effort (Hours)]]&lt;300,"L4","L5")))))</f>
        <v/>
      </c>
      <c r="S1262" s="184" t="str">
        <f>IF(Table1[[#This Row],[Actual End Date]]="","",TEXT(Table1[[#This Row],[Actual End Date]],"mmm-yy"))</f>
        <v/>
      </c>
      <c r="T12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2" s="185" t="str">
        <f>IFERROR((Table1[[#This Row],[Actual Effort (Hours)]]-Table1[[#This Row],[Estimated Effort (Hours)]])/Table1[[#This Row],[Estimated Effort (Hours)]],"")</f>
        <v/>
      </c>
    </row>
    <row r="1263" spans="2:21">
      <c r="B1263" s="125"/>
      <c r="C1263" s="123"/>
      <c r="D1263" s="143"/>
      <c r="E1263" s="123"/>
      <c r="F1263" s="143"/>
      <c r="G1263" s="129"/>
      <c r="H1263" s="124"/>
      <c r="I1263" s="124"/>
      <c r="J1263" s="129"/>
      <c r="K1263" s="194"/>
      <c r="L1263" s="194"/>
      <c r="M1263" s="129"/>
      <c r="N1263" s="129" t="e">
        <f>Table1[[#This Row],[Estimated Effort (Hours)]]/NETWORKDAYS(Table1[[#This Row],[Planned Start Date]],Table1[[#This Row],[Planned End Date]])</f>
        <v>#DIV/0!</v>
      </c>
      <c r="O1263" s="178">
        <f>NETWORKDAYS(Table1[[#This Row],[Planned Start Date]],Table1[[#This Row],[Planned End Date]])</f>
        <v>0</v>
      </c>
      <c r="P1263" s="178">
        <f>NETWORKDAYS(Table1[[#This Row],[Planned Start Date]],$P$7)</f>
        <v>30643</v>
      </c>
      <c r="Q1263" s="129"/>
      <c r="R1263" s="183" t="str">
        <f>IF(Table1[[#This Row],[Actual Effort (Hours)]]="","",IF(Table1[[#This Row],[Estimated Effort (Hours)]]&lt;20,"L1",IF(Table1[[#This Row],[Estimated Effort (Hours)]]&lt;50,"L2",IF(Table1[[#This Row],[Estimated Effort (Hours)]]&lt;150,"L3",IF(Table1[[#This Row],[Estimated Effort (Hours)]]&lt;300,"L4","L5")))))</f>
        <v/>
      </c>
      <c r="S1263" s="184" t="str">
        <f>IF(Table1[[#This Row],[Actual End Date]]="","",TEXT(Table1[[#This Row],[Actual End Date]],"mmm-yy"))</f>
        <v/>
      </c>
      <c r="T12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3" s="185" t="str">
        <f>IFERROR((Table1[[#This Row],[Actual Effort (Hours)]]-Table1[[#This Row],[Estimated Effort (Hours)]])/Table1[[#This Row],[Estimated Effort (Hours)]],"")</f>
        <v/>
      </c>
    </row>
    <row r="1264" spans="2:21">
      <c r="B1264" s="125"/>
      <c r="C1264" s="123"/>
      <c r="D1264" s="143"/>
      <c r="E1264" s="123"/>
      <c r="F1264" s="143"/>
      <c r="G1264" s="129"/>
      <c r="H1264" s="124"/>
      <c r="I1264" s="124"/>
      <c r="J1264" s="129"/>
      <c r="K1264" s="194"/>
      <c r="L1264" s="194"/>
      <c r="M1264" s="129"/>
      <c r="N1264" s="129" t="e">
        <f>Table1[[#This Row],[Estimated Effort (Hours)]]/NETWORKDAYS(Table1[[#This Row],[Planned Start Date]],Table1[[#This Row],[Planned End Date]])</f>
        <v>#DIV/0!</v>
      </c>
      <c r="O1264" s="178">
        <f>NETWORKDAYS(Table1[[#This Row],[Planned Start Date]],Table1[[#This Row],[Planned End Date]])</f>
        <v>0</v>
      </c>
      <c r="P1264" s="178">
        <f>NETWORKDAYS(Table1[[#This Row],[Planned Start Date]],$P$7)</f>
        <v>30643</v>
      </c>
      <c r="Q1264" s="129"/>
      <c r="R1264" s="183" t="str">
        <f>IF(Table1[[#This Row],[Actual Effort (Hours)]]="","",IF(Table1[[#This Row],[Estimated Effort (Hours)]]&lt;20,"L1",IF(Table1[[#This Row],[Estimated Effort (Hours)]]&lt;50,"L2",IF(Table1[[#This Row],[Estimated Effort (Hours)]]&lt;150,"L3",IF(Table1[[#This Row],[Estimated Effort (Hours)]]&lt;300,"L4","L5")))))</f>
        <v/>
      </c>
      <c r="S1264" s="184" t="str">
        <f>IF(Table1[[#This Row],[Actual End Date]]="","",TEXT(Table1[[#This Row],[Actual End Date]],"mmm-yy"))</f>
        <v/>
      </c>
      <c r="T12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4" s="185" t="str">
        <f>IFERROR((Table1[[#This Row],[Actual Effort (Hours)]]-Table1[[#This Row],[Estimated Effort (Hours)]])/Table1[[#This Row],[Estimated Effort (Hours)]],"")</f>
        <v/>
      </c>
    </row>
    <row r="1265" spans="2:21">
      <c r="B1265" s="125"/>
      <c r="C1265" s="123"/>
      <c r="D1265" s="143"/>
      <c r="E1265" s="123"/>
      <c r="F1265" s="143"/>
      <c r="G1265" s="129"/>
      <c r="H1265" s="124"/>
      <c r="I1265" s="124"/>
      <c r="J1265" s="129"/>
      <c r="K1265" s="194"/>
      <c r="L1265" s="194"/>
      <c r="M1265" s="129"/>
      <c r="N1265" s="129" t="e">
        <f>Table1[[#This Row],[Estimated Effort (Hours)]]/NETWORKDAYS(Table1[[#This Row],[Planned Start Date]],Table1[[#This Row],[Planned End Date]])</f>
        <v>#DIV/0!</v>
      </c>
      <c r="O1265" s="178">
        <f>NETWORKDAYS(Table1[[#This Row],[Planned Start Date]],Table1[[#This Row],[Planned End Date]])</f>
        <v>0</v>
      </c>
      <c r="P1265" s="178">
        <f>NETWORKDAYS(Table1[[#This Row],[Planned Start Date]],$P$7)</f>
        <v>30643</v>
      </c>
      <c r="Q1265" s="129"/>
      <c r="R1265" s="183" t="str">
        <f>IF(Table1[[#This Row],[Actual Effort (Hours)]]="","",IF(Table1[[#This Row],[Estimated Effort (Hours)]]&lt;20,"L1",IF(Table1[[#This Row],[Estimated Effort (Hours)]]&lt;50,"L2",IF(Table1[[#This Row],[Estimated Effort (Hours)]]&lt;150,"L3",IF(Table1[[#This Row],[Estimated Effort (Hours)]]&lt;300,"L4","L5")))))</f>
        <v/>
      </c>
      <c r="S1265" s="184" t="str">
        <f>IF(Table1[[#This Row],[Actual End Date]]="","",TEXT(Table1[[#This Row],[Actual End Date]],"mmm-yy"))</f>
        <v/>
      </c>
      <c r="T12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5" s="185" t="str">
        <f>IFERROR((Table1[[#This Row],[Actual Effort (Hours)]]-Table1[[#This Row],[Estimated Effort (Hours)]])/Table1[[#This Row],[Estimated Effort (Hours)]],"")</f>
        <v/>
      </c>
    </row>
    <row r="1266" spans="2:21">
      <c r="B1266" s="125"/>
      <c r="C1266" s="123"/>
      <c r="D1266" s="143"/>
      <c r="E1266" s="123"/>
      <c r="F1266" s="143"/>
      <c r="G1266" s="129"/>
      <c r="H1266" s="124"/>
      <c r="I1266" s="124"/>
      <c r="J1266" s="129"/>
      <c r="K1266" s="194"/>
      <c r="L1266" s="194"/>
      <c r="M1266" s="129"/>
      <c r="N1266" s="129" t="e">
        <f>Table1[[#This Row],[Estimated Effort (Hours)]]/NETWORKDAYS(Table1[[#This Row],[Planned Start Date]],Table1[[#This Row],[Planned End Date]])</f>
        <v>#DIV/0!</v>
      </c>
      <c r="O1266" s="178">
        <f>NETWORKDAYS(Table1[[#This Row],[Planned Start Date]],Table1[[#This Row],[Planned End Date]])</f>
        <v>0</v>
      </c>
      <c r="P1266" s="178">
        <f>NETWORKDAYS(Table1[[#This Row],[Planned Start Date]],$P$7)</f>
        <v>30643</v>
      </c>
      <c r="Q1266" s="129"/>
      <c r="R1266" s="183" t="str">
        <f>IF(Table1[[#This Row],[Actual Effort (Hours)]]="","",IF(Table1[[#This Row],[Estimated Effort (Hours)]]&lt;20,"L1",IF(Table1[[#This Row],[Estimated Effort (Hours)]]&lt;50,"L2",IF(Table1[[#This Row],[Estimated Effort (Hours)]]&lt;150,"L3",IF(Table1[[#This Row],[Estimated Effort (Hours)]]&lt;300,"L4","L5")))))</f>
        <v/>
      </c>
      <c r="S1266" s="184" t="str">
        <f>IF(Table1[[#This Row],[Actual End Date]]="","",TEXT(Table1[[#This Row],[Actual End Date]],"mmm-yy"))</f>
        <v/>
      </c>
      <c r="T12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6" s="185" t="str">
        <f>IFERROR((Table1[[#This Row],[Actual Effort (Hours)]]-Table1[[#This Row],[Estimated Effort (Hours)]])/Table1[[#This Row],[Estimated Effort (Hours)]],"")</f>
        <v/>
      </c>
    </row>
    <row r="1267" spans="2:21">
      <c r="B1267" s="125"/>
      <c r="C1267" s="123"/>
      <c r="D1267" s="143"/>
      <c r="E1267" s="123"/>
      <c r="F1267" s="143"/>
      <c r="G1267" s="129"/>
      <c r="H1267" s="124"/>
      <c r="I1267" s="124"/>
      <c r="J1267" s="129"/>
      <c r="K1267" s="194"/>
      <c r="L1267" s="194"/>
      <c r="M1267" s="129"/>
      <c r="N1267" s="129" t="e">
        <f>Table1[[#This Row],[Estimated Effort (Hours)]]/NETWORKDAYS(Table1[[#This Row],[Planned Start Date]],Table1[[#This Row],[Planned End Date]])</f>
        <v>#DIV/0!</v>
      </c>
      <c r="O1267" s="178">
        <f>NETWORKDAYS(Table1[[#This Row],[Planned Start Date]],Table1[[#This Row],[Planned End Date]])</f>
        <v>0</v>
      </c>
      <c r="P1267" s="178">
        <f>NETWORKDAYS(Table1[[#This Row],[Planned Start Date]],$P$7)</f>
        <v>30643</v>
      </c>
      <c r="Q1267" s="129"/>
      <c r="R1267" s="183" t="str">
        <f>IF(Table1[[#This Row],[Actual Effort (Hours)]]="","",IF(Table1[[#This Row],[Estimated Effort (Hours)]]&lt;20,"L1",IF(Table1[[#This Row],[Estimated Effort (Hours)]]&lt;50,"L2",IF(Table1[[#This Row],[Estimated Effort (Hours)]]&lt;150,"L3",IF(Table1[[#This Row],[Estimated Effort (Hours)]]&lt;300,"L4","L5")))))</f>
        <v/>
      </c>
      <c r="S1267" s="184" t="str">
        <f>IF(Table1[[#This Row],[Actual End Date]]="","",TEXT(Table1[[#This Row],[Actual End Date]],"mmm-yy"))</f>
        <v/>
      </c>
      <c r="T12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7" s="185" t="str">
        <f>IFERROR((Table1[[#This Row],[Actual Effort (Hours)]]-Table1[[#This Row],[Estimated Effort (Hours)]])/Table1[[#This Row],[Estimated Effort (Hours)]],"")</f>
        <v/>
      </c>
    </row>
    <row r="1268" spans="2:21">
      <c r="B1268" s="125"/>
      <c r="C1268" s="123"/>
      <c r="D1268" s="143"/>
      <c r="E1268" s="123"/>
      <c r="F1268" s="143"/>
      <c r="G1268" s="129"/>
      <c r="H1268" s="124"/>
      <c r="I1268" s="124"/>
      <c r="J1268" s="129"/>
      <c r="K1268" s="194"/>
      <c r="L1268" s="194"/>
      <c r="M1268" s="129"/>
      <c r="N1268" s="129" t="e">
        <f>Table1[[#This Row],[Estimated Effort (Hours)]]/NETWORKDAYS(Table1[[#This Row],[Planned Start Date]],Table1[[#This Row],[Planned End Date]])</f>
        <v>#DIV/0!</v>
      </c>
      <c r="O1268" s="178">
        <f>NETWORKDAYS(Table1[[#This Row],[Planned Start Date]],Table1[[#This Row],[Planned End Date]])</f>
        <v>0</v>
      </c>
      <c r="P1268" s="178">
        <f>NETWORKDAYS(Table1[[#This Row],[Planned Start Date]],$P$7)</f>
        <v>30643</v>
      </c>
      <c r="Q1268" s="129"/>
      <c r="R1268" s="183" t="str">
        <f>IF(Table1[[#This Row],[Actual Effort (Hours)]]="","",IF(Table1[[#This Row],[Estimated Effort (Hours)]]&lt;20,"L1",IF(Table1[[#This Row],[Estimated Effort (Hours)]]&lt;50,"L2",IF(Table1[[#This Row],[Estimated Effort (Hours)]]&lt;150,"L3",IF(Table1[[#This Row],[Estimated Effort (Hours)]]&lt;300,"L4","L5")))))</f>
        <v/>
      </c>
      <c r="S1268" s="184" t="str">
        <f>IF(Table1[[#This Row],[Actual End Date]]="","",TEXT(Table1[[#This Row],[Actual End Date]],"mmm-yy"))</f>
        <v/>
      </c>
      <c r="T12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8" s="185" t="str">
        <f>IFERROR((Table1[[#This Row],[Actual Effort (Hours)]]-Table1[[#This Row],[Estimated Effort (Hours)]])/Table1[[#This Row],[Estimated Effort (Hours)]],"")</f>
        <v/>
      </c>
    </row>
    <row r="1269" spans="2:21">
      <c r="B1269" s="125"/>
      <c r="C1269" s="123"/>
      <c r="D1269" s="143"/>
      <c r="E1269" s="123"/>
      <c r="F1269" s="143"/>
      <c r="G1269" s="129"/>
      <c r="H1269" s="124"/>
      <c r="I1269" s="124"/>
      <c r="J1269" s="129"/>
      <c r="K1269" s="194"/>
      <c r="L1269" s="194"/>
      <c r="M1269" s="129"/>
      <c r="N1269" s="129" t="e">
        <f>Table1[[#This Row],[Estimated Effort (Hours)]]/NETWORKDAYS(Table1[[#This Row],[Planned Start Date]],Table1[[#This Row],[Planned End Date]])</f>
        <v>#DIV/0!</v>
      </c>
      <c r="O1269" s="178">
        <f>NETWORKDAYS(Table1[[#This Row],[Planned Start Date]],Table1[[#This Row],[Planned End Date]])</f>
        <v>0</v>
      </c>
      <c r="P1269" s="178">
        <f>NETWORKDAYS(Table1[[#This Row],[Planned Start Date]],$P$7)</f>
        <v>30643</v>
      </c>
      <c r="Q1269" s="129"/>
      <c r="R1269" s="183" t="str">
        <f>IF(Table1[[#This Row],[Actual Effort (Hours)]]="","",IF(Table1[[#This Row],[Estimated Effort (Hours)]]&lt;20,"L1",IF(Table1[[#This Row],[Estimated Effort (Hours)]]&lt;50,"L2",IF(Table1[[#This Row],[Estimated Effort (Hours)]]&lt;150,"L3",IF(Table1[[#This Row],[Estimated Effort (Hours)]]&lt;300,"L4","L5")))))</f>
        <v/>
      </c>
      <c r="S1269" s="184" t="str">
        <f>IF(Table1[[#This Row],[Actual End Date]]="","",TEXT(Table1[[#This Row],[Actual End Date]],"mmm-yy"))</f>
        <v/>
      </c>
      <c r="T12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69" s="185" t="str">
        <f>IFERROR((Table1[[#This Row],[Actual Effort (Hours)]]-Table1[[#This Row],[Estimated Effort (Hours)]])/Table1[[#This Row],[Estimated Effort (Hours)]],"")</f>
        <v/>
      </c>
    </row>
    <row r="1270" spans="2:21">
      <c r="B1270" s="125"/>
      <c r="C1270" s="123"/>
      <c r="D1270" s="143"/>
      <c r="E1270" s="123"/>
      <c r="F1270" s="143"/>
      <c r="G1270" s="129"/>
      <c r="H1270" s="124"/>
      <c r="I1270" s="124"/>
      <c r="J1270" s="129"/>
      <c r="K1270" s="194"/>
      <c r="L1270" s="194"/>
      <c r="M1270" s="129"/>
      <c r="N1270" s="129" t="e">
        <f>Table1[[#This Row],[Estimated Effort (Hours)]]/NETWORKDAYS(Table1[[#This Row],[Planned Start Date]],Table1[[#This Row],[Planned End Date]])</f>
        <v>#DIV/0!</v>
      </c>
      <c r="O1270" s="178">
        <f>NETWORKDAYS(Table1[[#This Row],[Planned Start Date]],Table1[[#This Row],[Planned End Date]])</f>
        <v>0</v>
      </c>
      <c r="P1270" s="178">
        <f>NETWORKDAYS(Table1[[#This Row],[Planned Start Date]],$P$7)</f>
        <v>30643</v>
      </c>
      <c r="Q1270" s="129"/>
      <c r="R1270" s="183" t="str">
        <f>IF(Table1[[#This Row],[Actual Effort (Hours)]]="","",IF(Table1[[#This Row],[Estimated Effort (Hours)]]&lt;20,"L1",IF(Table1[[#This Row],[Estimated Effort (Hours)]]&lt;50,"L2",IF(Table1[[#This Row],[Estimated Effort (Hours)]]&lt;150,"L3",IF(Table1[[#This Row],[Estimated Effort (Hours)]]&lt;300,"L4","L5")))))</f>
        <v/>
      </c>
      <c r="S1270" s="184" t="str">
        <f>IF(Table1[[#This Row],[Actual End Date]]="","",TEXT(Table1[[#This Row],[Actual End Date]],"mmm-yy"))</f>
        <v/>
      </c>
      <c r="T12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0" s="185" t="str">
        <f>IFERROR((Table1[[#This Row],[Actual Effort (Hours)]]-Table1[[#This Row],[Estimated Effort (Hours)]])/Table1[[#This Row],[Estimated Effort (Hours)]],"")</f>
        <v/>
      </c>
    </row>
    <row r="1271" spans="2:21">
      <c r="B1271" s="125"/>
      <c r="C1271" s="123"/>
      <c r="D1271" s="143"/>
      <c r="E1271" s="123"/>
      <c r="F1271" s="143"/>
      <c r="G1271" s="129"/>
      <c r="H1271" s="124"/>
      <c r="I1271" s="124"/>
      <c r="J1271" s="129"/>
      <c r="K1271" s="194"/>
      <c r="L1271" s="194"/>
      <c r="M1271" s="129"/>
      <c r="N1271" s="129" t="e">
        <f>Table1[[#This Row],[Estimated Effort (Hours)]]/NETWORKDAYS(Table1[[#This Row],[Planned Start Date]],Table1[[#This Row],[Planned End Date]])</f>
        <v>#DIV/0!</v>
      </c>
      <c r="O1271" s="178">
        <f>NETWORKDAYS(Table1[[#This Row],[Planned Start Date]],Table1[[#This Row],[Planned End Date]])</f>
        <v>0</v>
      </c>
      <c r="P1271" s="178">
        <f>NETWORKDAYS(Table1[[#This Row],[Planned Start Date]],$P$7)</f>
        <v>30643</v>
      </c>
      <c r="Q1271" s="129"/>
      <c r="R1271" s="183" t="str">
        <f>IF(Table1[[#This Row],[Actual Effort (Hours)]]="","",IF(Table1[[#This Row],[Estimated Effort (Hours)]]&lt;20,"L1",IF(Table1[[#This Row],[Estimated Effort (Hours)]]&lt;50,"L2",IF(Table1[[#This Row],[Estimated Effort (Hours)]]&lt;150,"L3",IF(Table1[[#This Row],[Estimated Effort (Hours)]]&lt;300,"L4","L5")))))</f>
        <v/>
      </c>
      <c r="S1271" s="184" t="str">
        <f>IF(Table1[[#This Row],[Actual End Date]]="","",TEXT(Table1[[#This Row],[Actual End Date]],"mmm-yy"))</f>
        <v/>
      </c>
      <c r="T12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1" s="185" t="str">
        <f>IFERROR((Table1[[#This Row],[Actual Effort (Hours)]]-Table1[[#This Row],[Estimated Effort (Hours)]])/Table1[[#This Row],[Estimated Effort (Hours)]],"")</f>
        <v/>
      </c>
    </row>
    <row r="1272" spans="2:21">
      <c r="B1272" s="125"/>
      <c r="C1272" s="123"/>
      <c r="D1272" s="143"/>
      <c r="E1272" s="123"/>
      <c r="F1272" s="143"/>
      <c r="G1272" s="129"/>
      <c r="H1272" s="124"/>
      <c r="I1272" s="124"/>
      <c r="J1272" s="129"/>
      <c r="K1272" s="194"/>
      <c r="L1272" s="194"/>
      <c r="M1272" s="129"/>
      <c r="N1272" s="129" t="e">
        <f>Table1[[#This Row],[Estimated Effort (Hours)]]/NETWORKDAYS(Table1[[#This Row],[Planned Start Date]],Table1[[#This Row],[Planned End Date]])</f>
        <v>#DIV/0!</v>
      </c>
      <c r="O1272" s="178">
        <f>NETWORKDAYS(Table1[[#This Row],[Planned Start Date]],Table1[[#This Row],[Planned End Date]])</f>
        <v>0</v>
      </c>
      <c r="P1272" s="178">
        <f>NETWORKDAYS(Table1[[#This Row],[Planned Start Date]],$P$7)</f>
        <v>30643</v>
      </c>
      <c r="Q1272" s="129"/>
      <c r="R1272" s="183" t="str">
        <f>IF(Table1[[#This Row],[Actual Effort (Hours)]]="","",IF(Table1[[#This Row],[Estimated Effort (Hours)]]&lt;20,"L1",IF(Table1[[#This Row],[Estimated Effort (Hours)]]&lt;50,"L2",IF(Table1[[#This Row],[Estimated Effort (Hours)]]&lt;150,"L3",IF(Table1[[#This Row],[Estimated Effort (Hours)]]&lt;300,"L4","L5")))))</f>
        <v/>
      </c>
      <c r="S1272" s="184" t="str">
        <f>IF(Table1[[#This Row],[Actual End Date]]="","",TEXT(Table1[[#This Row],[Actual End Date]],"mmm-yy"))</f>
        <v/>
      </c>
      <c r="T12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2" s="185" t="str">
        <f>IFERROR((Table1[[#This Row],[Actual Effort (Hours)]]-Table1[[#This Row],[Estimated Effort (Hours)]])/Table1[[#This Row],[Estimated Effort (Hours)]],"")</f>
        <v/>
      </c>
    </row>
    <row r="1273" spans="2:21">
      <c r="B1273" s="125"/>
      <c r="C1273" s="123"/>
      <c r="D1273" s="143"/>
      <c r="E1273" s="123"/>
      <c r="F1273" s="143"/>
      <c r="G1273" s="129"/>
      <c r="H1273" s="124"/>
      <c r="I1273" s="124"/>
      <c r="J1273" s="129"/>
      <c r="K1273" s="194"/>
      <c r="L1273" s="194"/>
      <c r="M1273" s="129"/>
      <c r="N1273" s="129" t="e">
        <f>Table1[[#This Row],[Estimated Effort (Hours)]]/NETWORKDAYS(Table1[[#This Row],[Planned Start Date]],Table1[[#This Row],[Planned End Date]])</f>
        <v>#DIV/0!</v>
      </c>
      <c r="O1273" s="178">
        <f>NETWORKDAYS(Table1[[#This Row],[Planned Start Date]],Table1[[#This Row],[Planned End Date]])</f>
        <v>0</v>
      </c>
      <c r="P1273" s="178">
        <f>NETWORKDAYS(Table1[[#This Row],[Planned Start Date]],$P$7)</f>
        <v>30643</v>
      </c>
      <c r="Q1273" s="129"/>
      <c r="R1273" s="183" t="str">
        <f>IF(Table1[[#This Row],[Actual Effort (Hours)]]="","",IF(Table1[[#This Row],[Estimated Effort (Hours)]]&lt;20,"L1",IF(Table1[[#This Row],[Estimated Effort (Hours)]]&lt;50,"L2",IF(Table1[[#This Row],[Estimated Effort (Hours)]]&lt;150,"L3",IF(Table1[[#This Row],[Estimated Effort (Hours)]]&lt;300,"L4","L5")))))</f>
        <v/>
      </c>
      <c r="S1273" s="184" t="str">
        <f>IF(Table1[[#This Row],[Actual End Date]]="","",TEXT(Table1[[#This Row],[Actual End Date]],"mmm-yy"))</f>
        <v/>
      </c>
      <c r="T12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3" s="185" t="str">
        <f>IFERROR((Table1[[#This Row],[Actual Effort (Hours)]]-Table1[[#This Row],[Estimated Effort (Hours)]])/Table1[[#This Row],[Estimated Effort (Hours)]],"")</f>
        <v/>
      </c>
    </row>
    <row r="1274" spans="2:21">
      <c r="B1274" s="125"/>
      <c r="C1274" s="123"/>
      <c r="D1274" s="143"/>
      <c r="E1274" s="123"/>
      <c r="F1274" s="143"/>
      <c r="G1274" s="129"/>
      <c r="H1274" s="124"/>
      <c r="I1274" s="124"/>
      <c r="J1274" s="129"/>
      <c r="K1274" s="194"/>
      <c r="L1274" s="194"/>
      <c r="M1274" s="129"/>
      <c r="N1274" s="129" t="e">
        <f>Table1[[#This Row],[Estimated Effort (Hours)]]/NETWORKDAYS(Table1[[#This Row],[Planned Start Date]],Table1[[#This Row],[Planned End Date]])</f>
        <v>#DIV/0!</v>
      </c>
      <c r="O1274" s="178">
        <f>NETWORKDAYS(Table1[[#This Row],[Planned Start Date]],Table1[[#This Row],[Planned End Date]])</f>
        <v>0</v>
      </c>
      <c r="P1274" s="178">
        <f>NETWORKDAYS(Table1[[#This Row],[Planned Start Date]],$P$7)</f>
        <v>30643</v>
      </c>
      <c r="Q1274" s="129"/>
      <c r="R1274" s="183" t="str">
        <f>IF(Table1[[#This Row],[Actual Effort (Hours)]]="","",IF(Table1[[#This Row],[Estimated Effort (Hours)]]&lt;20,"L1",IF(Table1[[#This Row],[Estimated Effort (Hours)]]&lt;50,"L2",IF(Table1[[#This Row],[Estimated Effort (Hours)]]&lt;150,"L3",IF(Table1[[#This Row],[Estimated Effort (Hours)]]&lt;300,"L4","L5")))))</f>
        <v/>
      </c>
      <c r="S1274" s="184" t="str">
        <f>IF(Table1[[#This Row],[Actual End Date]]="","",TEXT(Table1[[#This Row],[Actual End Date]],"mmm-yy"))</f>
        <v/>
      </c>
      <c r="T12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4" s="185" t="str">
        <f>IFERROR((Table1[[#This Row],[Actual Effort (Hours)]]-Table1[[#This Row],[Estimated Effort (Hours)]])/Table1[[#This Row],[Estimated Effort (Hours)]],"")</f>
        <v/>
      </c>
    </row>
    <row r="1275" spans="2:21">
      <c r="B1275" s="125"/>
      <c r="C1275" s="123"/>
      <c r="D1275" s="143"/>
      <c r="E1275" s="123"/>
      <c r="F1275" s="143"/>
      <c r="G1275" s="129"/>
      <c r="H1275" s="124"/>
      <c r="I1275" s="124"/>
      <c r="J1275" s="129"/>
      <c r="K1275" s="194"/>
      <c r="L1275" s="194"/>
      <c r="M1275" s="129"/>
      <c r="N1275" s="129" t="e">
        <f>Table1[[#This Row],[Estimated Effort (Hours)]]/NETWORKDAYS(Table1[[#This Row],[Planned Start Date]],Table1[[#This Row],[Planned End Date]])</f>
        <v>#DIV/0!</v>
      </c>
      <c r="O1275" s="178">
        <f>NETWORKDAYS(Table1[[#This Row],[Planned Start Date]],Table1[[#This Row],[Planned End Date]])</f>
        <v>0</v>
      </c>
      <c r="P1275" s="178">
        <f>NETWORKDAYS(Table1[[#This Row],[Planned Start Date]],$P$7)</f>
        <v>30643</v>
      </c>
      <c r="Q1275" s="129"/>
      <c r="R1275" s="183" t="str">
        <f>IF(Table1[[#This Row],[Actual Effort (Hours)]]="","",IF(Table1[[#This Row],[Estimated Effort (Hours)]]&lt;20,"L1",IF(Table1[[#This Row],[Estimated Effort (Hours)]]&lt;50,"L2",IF(Table1[[#This Row],[Estimated Effort (Hours)]]&lt;150,"L3",IF(Table1[[#This Row],[Estimated Effort (Hours)]]&lt;300,"L4","L5")))))</f>
        <v/>
      </c>
      <c r="S1275" s="184" t="str">
        <f>IF(Table1[[#This Row],[Actual End Date]]="","",TEXT(Table1[[#This Row],[Actual End Date]],"mmm-yy"))</f>
        <v/>
      </c>
      <c r="T12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5" s="185" t="str">
        <f>IFERROR((Table1[[#This Row],[Actual Effort (Hours)]]-Table1[[#This Row],[Estimated Effort (Hours)]])/Table1[[#This Row],[Estimated Effort (Hours)]],"")</f>
        <v/>
      </c>
    </row>
    <row r="1276" spans="2:21">
      <c r="B1276" s="125"/>
      <c r="C1276" s="123"/>
      <c r="D1276" s="143"/>
      <c r="E1276" s="123"/>
      <c r="F1276" s="143"/>
      <c r="G1276" s="129"/>
      <c r="H1276" s="124"/>
      <c r="I1276" s="124"/>
      <c r="J1276" s="129"/>
      <c r="K1276" s="194"/>
      <c r="L1276" s="194"/>
      <c r="M1276" s="129"/>
      <c r="N1276" s="129" t="e">
        <f>Table1[[#This Row],[Estimated Effort (Hours)]]/NETWORKDAYS(Table1[[#This Row],[Planned Start Date]],Table1[[#This Row],[Planned End Date]])</f>
        <v>#DIV/0!</v>
      </c>
      <c r="O1276" s="178">
        <f>NETWORKDAYS(Table1[[#This Row],[Planned Start Date]],Table1[[#This Row],[Planned End Date]])</f>
        <v>0</v>
      </c>
      <c r="P1276" s="178">
        <f>NETWORKDAYS(Table1[[#This Row],[Planned Start Date]],$P$7)</f>
        <v>30643</v>
      </c>
      <c r="Q1276" s="129"/>
      <c r="R1276" s="183" t="str">
        <f>IF(Table1[[#This Row],[Actual Effort (Hours)]]="","",IF(Table1[[#This Row],[Estimated Effort (Hours)]]&lt;20,"L1",IF(Table1[[#This Row],[Estimated Effort (Hours)]]&lt;50,"L2",IF(Table1[[#This Row],[Estimated Effort (Hours)]]&lt;150,"L3",IF(Table1[[#This Row],[Estimated Effort (Hours)]]&lt;300,"L4","L5")))))</f>
        <v/>
      </c>
      <c r="S1276" s="184" t="str">
        <f>IF(Table1[[#This Row],[Actual End Date]]="","",TEXT(Table1[[#This Row],[Actual End Date]],"mmm-yy"))</f>
        <v/>
      </c>
      <c r="T12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6" s="185" t="str">
        <f>IFERROR((Table1[[#This Row],[Actual Effort (Hours)]]-Table1[[#This Row],[Estimated Effort (Hours)]])/Table1[[#This Row],[Estimated Effort (Hours)]],"")</f>
        <v/>
      </c>
    </row>
    <row r="1277" spans="2:21">
      <c r="B1277" s="125"/>
      <c r="C1277" s="123"/>
      <c r="D1277" s="143"/>
      <c r="E1277" s="123"/>
      <c r="F1277" s="143"/>
      <c r="G1277" s="129"/>
      <c r="H1277" s="124"/>
      <c r="I1277" s="124"/>
      <c r="J1277" s="129"/>
      <c r="K1277" s="194"/>
      <c r="L1277" s="194"/>
      <c r="M1277" s="129"/>
      <c r="N1277" s="129" t="e">
        <f>Table1[[#This Row],[Estimated Effort (Hours)]]/NETWORKDAYS(Table1[[#This Row],[Planned Start Date]],Table1[[#This Row],[Planned End Date]])</f>
        <v>#DIV/0!</v>
      </c>
      <c r="O1277" s="178">
        <f>NETWORKDAYS(Table1[[#This Row],[Planned Start Date]],Table1[[#This Row],[Planned End Date]])</f>
        <v>0</v>
      </c>
      <c r="P1277" s="178">
        <f>NETWORKDAYS(Table1[[#This Row],[Planned Start Date]],$P$7)</f>
        <v>30643</v>
      </c>
      <c r="Q1277" s="129"/>
      <c r="R1277" s="183" t="str">
        <f>IF(Table1[[#This Row],[Actual Effort (Hours)]]="","",IF(Table1[[#This Row],[Estimated Effort (Hours)]]&lt;20,"L1",IF(Table1[[#This Row],[Estimated Effort (Hours)]]&lt;50,"L2",IF(Table1[[#This Row],[Estimated Effort (Hours)]]&lt;150,"L3",IF(Table1[[#This Row],[Estimated Effort (Hours)]]&lt;300,"L4","L5")))))</f>
        <v/>
      </c>
      <c r="S1277" s="184" t="str">
        <f>IF(Table1[[#This Row],[Actual End Date]]="","",TEXT(Table1[[#This Row],[Actual End Date]],"mmm-yy"))</f>
        <v/>
      </c>
      <c r="T12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7" s="185" t="str">
        <f>IFERROR((Table1[[#This Row],[Actual Effort (Hours)]]-Table1[[#This Row],[Estimated Effort (Hours)]])/Table1[[#This Row],[Estimated Effort (Hours)]],"")</f>
        <v/>
      </c>
    </row>
    <row r="1278" spans="2:21">
      <c r="B1278" s="125"/>
      <c r="C1278" s="123"/>
      <c r="D1278" s="143"/>
      <c r="E1278" s="123"/>
      <c r="F1278" s="143"/>
      <c r="G1278" s="129"/>
      <c r="H1278" s="124"/>
      <c r="I1278" s="124"/>
      <c r="J1278" s="129"/>
      <c r="K1278" s="194"/>
      <c r="L1278" s="194"/>
      <c r="M1278" s="129"/>
      <c r="N1278" s="129" t="e">
        <f>Table1[[#This Row],[Estimated Effort (Hours)]]/NETWORKDAYS(Table1[[#This Row],[Planned Start Date]],Table1[[#This Row],[Planned End Date]])</f>
        <v>#DIV/0!</v>
      </c>
      <c r="O1278" s="178">
        <f>NETWORKDAYS(Table1[[#This Row],[Planned Start Date]],Table1[[#This Row],[Planned End Date]])</f>
        <v>0</v>
      </c>
      <c r="P1278" s="178">
        <f>NETWORKDAYS(Table1[[#This Row],[Planned Start Date]],$P$7)</f>
        <v>30643</v>
      </c>
      <c r="Q1278" s="129"/>
      <c r="R1278" s="183" t="str">
        <f>IF(Table1[[#This Row],[Actual Effort (Hours)]]="","",IF(Table1[[#This Row],[Estimated Effort (Hours)]]&lt;20,"L1",IF(Table1[[#This Row],[Estimated Effort (Hours)]]&lt;50,"L2",IF(Table1[[#This Row],[Estimated Effort (Hours)]]&lt;150,"L3",IF(Table1[[#This Row],[Estimated Effort (Hours)]]&lt;300,"L4","L5")))))</f>
        <v/>
      </c>
      <c r="S1278" s="184" t="str">
        <f>IF(Table1[[#This Row],[Actual End Date]]="","",TEXT(Table1[[#This Row],[Actual End Date]],"mmm-yy"))</f>
        <v/>
      </c>
      <c r="T12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8" s="185" t="str">
        <f>IFERROR((Table1[[#This Row],[Actual Effort (Hours)]]-Table1[[#This Row],[Estimated Effort (Hours)]])/Table1[[#This Row],[Estimated Effort (Hours)]],"")</f>
        <v/>
      </c>
    </row>
    <row r="1279" spans="2:21">
      <c r="B1279" s="125"/>
      <c r="C1279" s="123"/>
      <c r="D1279" s="143"/>
      <c r="E1279" s="123"/>
      <c r="F1279" s="143"/>
      <c r="G1279" s="129"/>
      <c r="H1279" s="124"/>
      <c r="I1279" s="124"/>
      <c r="J1279" s="129"/>
      <c r="K1279" s="194"/>
      <c r="L1279" s="194"/>
      <c r="M1279" s="129"/>
      <c r="N1279" s="129" t="e">
        <f>Table1[[#This Row],[Estimated Effort (Hours)]]/NETWORKDAYS(Table1[[#This Row],[Planned Start Date]],Table1[[#This Row],[Planned End Date]])</f>
        <v>#DIV/0!</v>
      </c>
      <c r="O1279" s="178">
        <f>NETWORKDAYS(Table1[[#This Row],[Planned Start Date]],Table1[[#This Row],[Planned End Date]])</f>
        <v>0</v>
      </c>
      <c r="P1279" s="178">
        <f>NETWORKDAYS(Table1[[#This Row],[Planned Start Date]],$P$7)</f>
        <v>30643</v>
      </c>
      <c r="Q1279" s="129"/>
      <c r="R1279" s="183" t="str">
        <f>IF(Table1[[#This Row],[Actual Effort (Hours)]]="","",IF(Table1[[#This Row],[Estimated Effort (Hours)]]&lt;20,"L1",IF(Table1[[#This Row],[Estimated Effort (Hours)]]&lt;50,"L2",IF(Table1[[#This Row],[Estimated Effort (Hours)]]&lt;150,"L3",IF(Table1[[#This Row],[Estimated Effort (Hours)]]&lt;300,"L4","L5")))))</f>
        <v/>
      </c>
      <c r="S1279" s="184" t="str">
        <f>IF(Table1[[#This Row],[Actual End Date]]="","",TEXT(Table1[[#This Row],[Actual End Date]],"mmm-yy"))</f>
        <v/>
      </c>
      <c r="T12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79" s="185" t="str">
        <f>IFERROR((Table1[[#This Row],[Actual Effort (Hours)]]-Table1[[#This Row],[Estimated Effort (Hours)]])/Table1[[#This Row],[Estimated Effort (Hours)]],"")</f>
        <v/>
      </c>
    </row>
    <row r="1280" spans="2:21">
      <c r="B1280" s="125"/>
      <c r="C1280" s="123"/>
      <c r="D1280" s="143"/>
      <c r="E1280" s="123"/>
      <c r="F1280" s="143"/>
      <c r="G1280" s="129"/>
      <c r="H1280" s="124"/>
      <c r="I1280" s="124"/>
      <c r="J1280" s="129"/>
      <c r="K1280" s="194"/>
      <c r="L1280" s="194"/>
      <c r="M1280" s="129"/>
      <c r="N1280" s="129" t="e">
        <f>Table1[[#This Row],[Estimated Effort (Hours)]]/NETWORKDAYS(Table1[[#This Row],[Planned Start Date]],Table1[[#This Row],[Planned End Date]])</f>
        <v>#DIV/0!</v>
      </c>
      <c r="O1280" s="178">
        <f>NETWORKDAYS(Table1[[#This Row],[Planned Start Date]],Table1[[#This Row],[Planned End Date]])</f>
        <v>0</v>
      </c>
      <c r="P1280" s="178">
        <f>NETWORKDAYS(Table1[[#This Row],[Planned Start Date]],$P$7)</f>
        <v>30643</v>
      </c>
      <c r="Q1280" s="129"/>
      <c r="R1280" s="183" t="str">
        <f>IF(Table1[[#This Row],[Actual Effort (Hours)]]="","",IF(Table1[[#This Row],[Estimated Effort (Hours)]]&lt;20,"L1",IF(Table1[[#This Row],[Estimated Effort (Hours)]]&lt;50,"L2",IF(Table1[[#This Row],[Estimated Effort (Hours)]]&lt;150,"L3",IF(Table1[[#This Row],[Estimated Effort (Hours)]]&lt;300,"L4","L5")))))</f>
        <v/>
      </c>
      <c r="S1280" s="184" t="str">
        <f>IF(Table1[[#This Row],[Actual End Date]]="","",TEXT(Table1[[#This Row],[Actual End Date]],"mmm-yy"))</f>
        <v/>
      </c>
      <c r="T12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0" s="185" t="str">
        <f>IFERROR((Table1[[#This Row],[Actual Effort (Hours)]]-Table1[[#This Row],[Estimated Effort (Hours)]])/Table1[[#This Row],[Estimated Effort (Hours)]],"")</f>
        <v/>
      </c>
    </row>
    <row r="1281" spans="2:21">
      <c r="B1281" s="125"/>
      <c r="C1281" s="123"/>
      <c r="D1281" s="143"/>
      <c r="E1281" s="123"/>
      <c r="F1281" s="143"/>
      <c r="G1281" s="129"/>
      <c r="H1281" s="124"/>
      <c r="I1281" s="124"/>
      <c r="J1281" s="129"/>
      <c r="K1281" s="194"/>
      <c r="L1281" s="194"/>
      <c r="M1281" s="129"/>
      <c r="N1281" s="129" t="e">
        <f>Table1[[#This Row],[Estimated Effort (Hours)]]/NETWORKDAYS(Table1[[#This Row],[Planned Start Date]],Table1[[#This Row],[Planned End Date]])</f>
        <v>#DIV/0!</v>
      </c>
      <c r="O1281" s="178">
        <f>NETWORKDAYS(Table1[[#This Row],[Planned Start Date]],Table1[[#This Row],[Planned End Date]])</f>
        <v>0</v>
      </c>
      <c r="P1281" s="178">
        <f>NETWORKDAYS(Table1[[#This Row],[Planned Start Date]],$P$7)</f>
        <v>30643</v>
      </c>
      <c r="Q1281" s="129"/>
      <c r="R1281" s="183" t="str">
        <f>IF(Table1[[#This Row],[Actual Effort (Hours)]]="","",IF(Table1[[#This Row],[Estimated Effort (Hours)]]&lt;20,"L1",IF(Table1[[#This Row],[Estimated Effort (Hours)]]&lt;50,"L2",IF(Table1[[#This Row],[Estimated Effort (Hours)]]&lt;150,"L3",IF(Table1[[#This Row],[Estimated Effort (Hours)]]&lt;300,"L4","L5")))))</f>
        <v/>
      </c>
      <c r="S1281" s="184" t="str">
        <f>IF(Table1[[#This Row],[Actual End Date]]="","",TEXT(Table1[[#This Row],[Actual End Date]],"mmm-yy"))</f>
        <v/>
      </c>
      <c r="T12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1" s="185" t="str">
        <f>IFERROR((Table1[[#This Row],[Actual Effort (Hours)]]-Table1[[#This Row],[Estimated Effort (Hours)]])/Table1[[#This Row],[Estimated Effort (Hours)]],"")</f>
        <v/>
      </c>
    </row>
    <row r="1282" spans="2:21">
      <c r="B1282" s="125"/>
      <c r="C1282" s="123"/>
      <c r="D1282" s="143"/>
      <c r="E1282" s="123"/>
      <c r="F1282" s="143"/>
      <c r="G1282" s="129"/>
      <c r="H1282" s="124"/>
      <c r="I1282" s="124"/>
      <c r="J1282" s="129"/>
      <c r="K1282" s="194"/>
      <c r="L1282" s="194"/>
      <c r="M1282" s="129"/>
      <c r="N1282" s="129" t="e">
        <f>Table1[[#This Row],[Estimated Effort (Hours)]]/NETWORKDAYS(Table1[[#This Row],[Planned Start Date]],Table1[[#This Row],[Planned End Date]])</f>
        <v>#DIV/0!</v>
      </c>
      <c r="O1282" s="178">
        <f>NETWORKDAYS(Table1[[#This Row],[Planned Start Date]],Table1[[#This Row],[Planned End Date]])</f>
        <v>0</v>
      </c>
      <c r="P1282" s="178">
        <f>NETWORKDAYS(Table1[[#This Row],[Planned Start Date]],$P$7)</f>
        <v>30643</v>
      </c>
      <c r="Q1282" s="129"/>
      <c r="R1282" s="183" t="str">
        <f>IF(Table1[[#This Row],[Actual Effort (Hours)]]="","",IF(Table1[[#This Row],[Estimated Effort (Hours)]]&lt;20,"L1",IF(Table1[[#This Row],[Estimated Effort (Hours)]]&lt;50,"L2",IF(Table1[[#This Row],[Estimated Effort (Hours)]]&lt;150,"L3",IF(Table1[[#This Row],[Estimated Effort (Hours)]]&lt;300,"L4","L5")))))</f>
        <v/>
      </c>
      <c r="S1282" s="184" t="str">
        <f>IF(Table1[[#This Row],[Actual End Date]]="","",TEXT(Table1[[#This Row],[Actual End Date]],"mmm-yy"))</f>
        <v/>
      </c>
      <c r="T12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2" s="185" t="str">
        <f>IFERROR((Table1[[#This Row],[Actual Effort (Hours)]]-Table1[[#This Row],[Estimated Effort (Hours)]])/Table1[[#This Row],[Estimated Effort (Hours)]],"")</f>
        <v/>
      </c>
    </row>
    <row r="1283" spans="2:21">
      <c r="B1283" s="125"/>
      <c r="C1283" s="123"/>
      <c r="D1283" s="143"/>
      <c r="E1283" s="123"/>
      <c r="F1283" s="143"/>
      <c r="G1283" s="129"/>
      <c r="H1283" s="124"/>
      <c r="I1283" s="124"/>
      <c r="J1283" s="129"/>
      <c r="K1283" s="194"/>
      <c r="L1283" s="194"/>
      <c r="M1283" s="129"/>
      <c r="N1283" s="129" t="e">
        <f>Table1[[#This Row],[Estimated Effort (Hours)]]/NETWORKDAYS(Table1[[#This Row],[Planned Start Date]],Table1[[#This Row],[Planned End Date]])</f>
        <v>#DIV/0!</v>
      </c>
      <c r="O1283" s="178">
        <f>NETWORKDAYS(Table1[[#This Row],[Planned Start Date]],Table1[[#This Row],[Planned End Date]])</f>
        <v>0</v>
      </c>
      <c r="P1283" s="178">
        <f>NETWORKDAYS(Table1[[#This Row],[Planned Start Date]],$P$7)</f>
        <v>30643</v>
      </c>
      <c r="Q1283" s="129"/>
      <c r="R1283" s="183" t="str">
        <f>IF(Table1[[#This Row],[Actual Effort (Hours)]]="","",IF(Table1[[#This Row],[Estimated Effort (Hours)]]&lt;20,"L1",IF(Table1[[#This Row],[Estimated Effort (Hours)]]&lt;50,"L2",IF(Table1[[#This Row],[Estimated Effort (Hours)]]&lt;150,"L3",IF(Table1[[#This Row],[Estimated Effort (Hours)]]&lt;300,"L4","L5")))))</f>
        <v/>
      </c>
      <c r="S1283" s="184" t="str">
        <f>IF(Table1[[#This Row],[Actual End Date]]="","",TEXT(Table1[[#This Row],[Actual End Date]],"mmm-yy"))</f>
        <v/>
      </c>
      <c r="T12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3" s="185" t="str">
        <f>IFERROR((Table1[[#This Row],[Actual Effort (Hours)]]-Table1[[#This Row],[Estimated Effort (Hours)]])/Table1[[#This Row],[Estimated Effort (Hours)]],"")</f>
        <v/>
      </c>
    </row>
    <row r="1284" spans="2:21">
      <c r="B1284" s="125"/>
      <c r="C1284" s="123"/>
      <c r="D1284" s="143"/>
      <c r="E1284" s="123"/>
      <c r="F1284" s="143"/>
      <c r="G1284" s="129"/>
      <c r="H1284" s="124"/>
      <c r="I1284" s="124"/>
      <c r="J1284" s="129"/>
      <c r="K1284" s="194"/>
      <c r="L1284" s="194"/>
      <c r="M1284" s="129"/>
      <c r="N1284" s="129" t="e">
        <f>Table1[[#This Row],[Estimated Effort (Hours)]]/NETWORKDAYS(Table1[[#This Row],[Planned Start Date]],Table1[[#This Row],[Planned End Date]])</f>
        <v>#DIV/0!</v>
      </c>
      <c r="O1284" s="178">
        <f>NETWORKDAYS(Table1[[#This Row],[Planned Start Date]],Table1[[#This Row],[Planned End Date]])</f>
        <v>0</v>
      </c>
      <c r="P1284" s="178">
        <f>NETWORKDAYS(Table1[[#This Row],[Planned Start Date]],$P$7)</f>
        <v>30643</v>
      </c>
      <c r="Q1284" s="129"/>
      <c r="R1284" s="183" t="str">
        <f>IF(Table1[[#This Row],[Actual Effort (Hours)]]="","",IF(Table1[[#This Row],[Estimated Effort (Hours)]]&lt;20,"L1",IF(Table1[[#This Row],[Estimated Effort (Hours)]]&lt;50,"L2",IF(Table1[[#This Row],[Estimated Effort (Hours)]]&lt;150,"L3",IF(Table1[[#This Row],[Estimated Effort (Hours)]]&lt;300,"L4","L5")))))</f>
        <v/>
      </c>
      <c r="S1284" s="184" t="str">
        <f>IF(Table1[[#This Row],[Actual End Date]]="","",TEXT(Table1[[#This Row],[Actual End Date]],"mmm-yy"))</f>
        <v/>
      </c>
      <c r="T12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4" s="185" t="str">
        <f>IFERROR((Table1[[#This Row],[Actual Effort (Hours)]]-Table1[[#This Row],[Estimated Effort (Hours)]])/Table1[[#This Row],[Estimated Effort (Hours)]],"")</f>
        <v/>
      </c>
    </row>
    <row r="1285" spans="2:21">
      <c r="B1285" s="125"/>
      <c r="C1285" s="123"/>
      <c r="D1285" s="143"/>
      <c r="E1285" s="123"/>
      <c r="F1285" s="143"/>
      <c r="G1285" s="129"/>
      <c r="H1285" s="124"/>
      <c r="I1285" s="124"/>
      <c r="J1285" s="129"/>
      <c r="K1285" s="194"/>
      <c r="L1285" s="194"/>
      <c r="M1285" s="129"/>
      <c r="N1285" s="129" t="e">
        <f>Table1[[#This Row],[Estimated Effort (Hours)]]/NETWORKDAYS(Table1[[#This Row],[Planned Start Date]],Table1[[#This Row],[Planned End Date]])</f>
        <v>#DIV/0!</v>
      </c>
      <c r="O1285" s="178">
        <f>NETWORKDAYS(Table1[[#This Row],[Planned Start Date]],Table1[[#This Row],[Planned End Date]])</f>
        <v>0</v>
      </c>
      <c r="P1285" s="178">
        <f>NETWORKDAYS(Table1[[#This Row],[Planned Start Date]],$P$7)</f>
        <v>30643</v>
      </c>
      <c r="Q1285" s="129"/>
      <c r="R1285" s="183" t="str">
        <f>IF(Table1[[#This Row],[Actual Effort (Hours)]]="","",IF(Table1[[#This Row],[Estimated Effort (Hours)]]&lt;20,"L1",IF(Table1[[#This Row],[Estimated Effort (Hours)]]&lt;50,"L2",IF(Table1[[#This Row],[Estimated Effort (Hours)]]&lt;150,"L3",IF(Table1[[#This Row],[Estimated Effort (Hours)]]&lt;300,"L4","L5")))))</f>
        <v/>
      </c>
      <c r="S1285" s="184" t="str">
        <f>IF(Table1[[#This Row],[Actual End Date]]="","",TEXT(Table1[[#This Row],[Actual End Date]],"mmm-yy"))</f>
        <v/>
      </c>
      <c r="T12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5" s="185" t="str">
        <f>IFERROR((Table1[[#This Row],[Actual Effort (Hours)]]-Table1[[#This Row],[Estimated Effort (Hours)]])/Table1[[#This Row],[Estimated Effort (Hours)]],"")</f>
        <v/>
      </c>
    </row>
    <row r="1286" spans="2:21">
      <c r="B1286" s="125"/>
      <c r="C1286" s="123"/>
      <c r="D1286" s="143"/>
      <c r="E1286" s="123"/>
      <c r="F1286" s="143"/>
      <c r="G1286" s="129"/>
      <c r="H1286" s="124"/>
      <c r="I1286" s="124"/>
      <c r="J1286" s="129"/>
      <c r="K1286" s="194"/>
      <c r="L1286" s="194"/>
      <c r="M1286" s="129"/>
      <c r="N1286" s="129" t="e">
        <f>Table1[[#This Row],[Estimated Effort (Hours)]]/NETWORKDAYS(Table1[[#This Row],[Planned Start Date]],Table1[[#This Row],[Planned End Date]])</f>
        <v>#DIV/0!</v>
      </c>
      <c r="O1286" s="178">
        <f>NETWORKDAYS(Table1[[#This Row],[Planned Start Date]],Table1[[#This Row],[Planned End Date]])</f>
        <v>0</v>
      </c>
      <c r="P1286" s="178">
        <f>NETWORKDAYS(Table1[[#This Row],[Planned Start Date]],$P$7)</f>
        <v>30643</v>
      </c>
      <c r="Q1286" s="129"/>
      <c r="R1286" s="183" t="str">
        <f>IF(Table1[[#This Row],[Actual Effort (Hours)]]="","",IF(Table1[[#This Row],[Estimated Effort (Hours)]]&lt;20,"L1",IF(Table1[[#This Row],[Estimated Effort (Hours)]]&lt;50,"L2",IF(Table1[[#This Row],[Estimated Effort (Hours)]]&lt;150,"L3",IF(Table1[[#This Row],[Estimated Effort (Hours)]]&lt;300,"L4","L5")))))</f>
        <v/>
      </c>
      <c r="S1286" s="184" t="str">
        <f>IF(Table1[[#This Row],[Actual End Date]]="","",TEXT(Table1[[#This Row],[Actual End Date]],"mmm-yy"))</f>
        <v/>
      </c>
      <c r="T12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6" s="185" t="str">
        <f>IFERROR((Table1[[#This Row],[Actual Effort (Hours)]]-Table1[[#This Row],[Estimated Effort (Hours)]])/Table1[[#This Row],[Estimated Effort (Hours)]],"")</f>
        <v/>
      </c>
    </row>
    <row r="1287" spans="2:21">
      <c r="B1287" s="125"/>
      <c r="C1287" s="123"/>
      <c r="D1287" s="143"/>
      <c r="E1287" s="123"/>
      <c r="F1287" s="143"/>
      <c r="G1287" s="129"/>
      <c r="H1287" s="124"/>
      <c r="I1287" s="124"/>
      <c r="J1287" s="129"/>
      <c r="K1287" s="194"/>
      <c r="L1287" s="194"/>
      <c r="M1287" s="129"/>
      <c r="N1287" s="129" t="e">
        <f>Table1[[#This Row],[Estimated Effort (Hours)]]/NETWORKDAYS(Table1[[#This Row],[Planned Start Date]],Table1[[#This Row],[Planned End Date]])</f>
        <v>#DIV/0!</v>
      </c>
      <c r="O1287" s="178">
        <f>NETWORKDAYS(Table1[[#This Row],[Planned Start Date]],Table1[[#This Row],[Planned End Date]])</f>
        <v>0</v>
      </c>
      <c r="P1287" s="178">
        <f>NETWORKDAYS(Table1[[#This Row],[Planned Start Date]],$P$7)</f>
        <v>30643</v>
      </c>
      <c r="Q1287" s="129"/>
      <c r="R1287" s="183" t="str">
        <f>IF(Table1[[#This Row],[Actual Effort (Hours)]]="","",IF(Table1[[#This Row],[Estimated Effort (Hours)]]&lt;20,"L1",IF(Table1[[#This Row],[Estimated Effort (Hours)]]&lt;50,"L2",IF(Table1[[#This Row],[Estimated Effort (Hours)]]&lt;150,"L3",IF(Table1[[#This Row],[Estimated Effort (Hours)]]&lt;300,"L4","L5")))))</f>
        <v/>
      </c>
      <c r="S1287" s="184" t="str">
        <f>IF(Table1[[#This Row],[Actual End Date]]="","",TEXT(Table1[[#This Row],[Actual End Date]],"mmm-yy"))</f>
        <v/>
      </c>
      <c r="T12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7" s="185" t="str">
        <f>IFERROR((Table1[[#This Row],[Actual Effort (Hours)]]-Table1[[#This Row],[Estimated Effort (Hours)]])/Table1[[#This Row],[Estimated Effort (Hours)]],"")</f>
        <v/>
      </c>
    </row>
    <row r="1288" spans="2:21">
      <c r="B1288" s="125"/>
      <c r="C1288" s="123"/>
      <c r="D1288" s="143"/>
      <c r="E1288" s="123"/>
      <c r="F1288" s="143"/>
      <c r="G1288" s="129"/>
      <c r="H1288" s="124"/>
      <c r="I1288" s="124"/>
      <c r="J1288" s="129"/>
      <c r="K1288" s="194"/>
      <c r="L1288" s="194"/>
      <c r="M1288" s="129"/>
      <c r="N1288" s="129" t="e">
        <f>Table1[[#This Row],[Estimated Effort (Hours)]]/NETWORKDAYS(Table1[[#This Row],[Planned Start Date]],Table1[[#This Row],[Planned End Date]])</f>
        <v>#DIV/0!</v>
      </c>
      <c r="O1288" s="178">
        <f>NETWORKDAYS(Table1[[#This Row],[Planned Start Date]],Table1[[#This Row],[Planned End Date]])</f>
        <v>0</v>
      </c>
      <c r="P1288" s="178">
        <f>NETWORKDAYS(Table1[[#This Row],[Planned Start Date]],$P$7)</f>
        <v>30643</v>
      </c>
      <c r="Q1288" s="129"/>
      <c r="R1288" s="183" t="str">
        <f>IF(Table1[[#This Row],[Actual Effort (Hours)]]="","",IF(Table1[[#This Row],[Estimated Effort (Hours)]]&lt;20,"L1",IF(Table1[[#This Row],[Estimated Effort (Hours)]]&lt;50,"L2",IF(Table1[[#This Row],[Estimated Effort (Hours)]]&lt;150,"L3",IF(Table1[[#This Row],[Estimated Effort (Hours)]]&lt;300,"L4","L5")))))</f>
        <v/>
      </c>
      <c r="S1288" s="184" t="str">
        <f>IF(Table1[[#This Row],[Actual End Date]]="","",TEXT(Table1[[#This Row],[Actual End Date]],"mmm-yy"))</f>
        <v/>
      </c>
      <c r="T12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8" s="185" t="str">
        <f>IFERROR((Table1[[#This Row],[Actual Effort (Hours)]]-Table1[[#This Row],[Estimated Effort (Hours)]])/Table1[[#This Row],[Estimated Effort (Hours)]],"")</f>
        <v/>
      </c>
    </row>
    <row r="1289" spans="2:21">
      <c r="B1289" s="125"/>
      <c r="C1289" s="123"/>
      <c r="D1289" s="143"/>
      <c r="E1289" s="123"/>
      <c r="F1289" s="143"/>
      <c r="G1289" s="129"/>
      <c r="H1289" s="124"/>
      <c r="I1289" s="124"/>
      <c r="J1289" s="129"/>
      <c r="K1289" s="194"/>
      <c r="L1289" s="194"/>
      <c r="M1289" s="129"/>
      <c r="N1289" s="129" t="e">
        <f>Table1[[#This Row],[Estimated Effort (Hours)]]/NETWORKDAYS(Table1[[#This Row],[Planned Start Date]],Table1[[#This Row],[Planned End Date]])</f>
        <v>#DIV/0!</v>
      </c>
      <c r="O1289" s="178">
        <f>NETWORKDAYS(Table1[[#This Row],[Planned Start Date]],Table1[[#This Row],[Planned End Date]])</f>
        <v>0</v>
      </c>
      <c r="P1289" s="178">
        <f>NETWORKDAYS(Table1[[#This Row],[Planned Start Date]],$P$7)</f>
        <v>30643</v>
      </c>
      <c r="Q1289" s="129"/>
      <c r="R1289" s="183" t="str">
        <f>IF(Table1[[#This Row],[Actual Effort (Hours)]]="","",IF(Table1[[#This Row],[Estimated Effort (Hours)]]&lt;20,"L1",IF(Table1[[#This Row],[Estimated Effort (Hours)]]&lt;50,"L2",IF(Table1[[#This Row],[Estimated Effort (Hours)]]&lt;150,"L3",IF(Table1[[#This Row],[Estimated Effort (Hours)]]&lt;300,"L4","L5")))))</f>
        <v/>
      </c>
      <c r="S1289" s="184" t="str">
        <f>IF(Table1[[#This Row],[Actual End Date]]="","",TEXT(Table1[[#This Row],[Actual End Date]],"mmm-yy"))</f>
        <v/>
      </c>
      <c r="T12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89" s="185" t="str">
        <f>IFERROR((Table1[[#This Row],[Actual Effort (Hours)]]-Table1[[#This Row],[Estimated Effort (Hours)]])/Table1[[#This Row],[Estimated Effort (Hours)]],"")</f>
        <v/>
      </c>
    </row>
    <row r="1290" spans="2:21">
      <c r="B1290" s="125"/>
      <c r="C1290" s="123"/>
      <c r="D1290" s="143"/>
      <c r="E1290" s="123"/>
      <c r="F1290" s="143"/>
      <c r="G1290" s="129"/>
      <c r="H1290" s="124"/>
      <c r="I1290" s="124"/>
      <c r="J1290" s="129"/>
      <c r="K1290" s="194"/>
      <c r="L1290" s="194"/>
      <c r="M1290" s="129"/>
      <c r="N1290" s="129" t="e">
        <f>Table1[[#This Row],[Estimated Effort (Hours)]]/NETWORKDAYS(Table1[[#This Row],[Planned Start Date]],Table1[[#This Row],[Planned End Date]])</f>
        <v>#DIV/0!</v>
      </c>
      <c r="O1290" s="178">
        <f>NETWORKDAYS(Table1[[#This Row],[Planned Start Date]],Table1[[#This Row],[Planned End Date]])</f>
        <v>0</v>
      </c>
      <c r="P1290" s="178">
        <f>NETWORKDAYS(Table1[[#This Row],[Planned Start Date]],$P$7)</f>
        <v>30643</v>
      </c>
      <c r="Q1290" s="129"/>
      <c r="R1290" s="183" t="str">
        <f>IF(Table1[[#This Row],[Actual Effort (Hours)]]="","",IF(Table1[[#This Row],[Estimated Effort (Hours)]]&lt;20,"L1",IF(Table1[[#This Row],[Estimated Effort (Hours)]]&lt;50,"L2",IF(Table1[[#This Row],[Estimated Effort (Hours)]]&lt;150,"L3",IF(Table1[[#This Row],[Estimated Effort (Hours)]]&lt;300,"L4","L5")))))</f>
        <v/>
      </c>
      <c r="S1290" s="184" t="str">
        <f>IF(Table1[[#This Row],[Actual End Date]]="","",TEXT(Table1[[#This Row],[Actual End Date]],"mmm-yy"))</f>
        <v/>
      </c>
      <c r="T12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0" s="185" t="str">
        <f>IFERROR((Table1[[#This Row],[Actual Effort (Hours)]]-Table1[[#This Row],[Estimated Effort (Hours)]])/Table1[[#This Row],[Estimated Effort (Hours)]],"")</f>
        <v/>
      </c>
    </row>
    <row r="1291" spans="2:21">
      <c r="B1291" s="125"/>
      <c r="C1291" s="123"/>
      <c r="D1291" s="143"/>
      <c r="E1291" s="123"/>
      <c r="F1291" s="143"/>
      <c r="G1291" s="129"/>
      <c r="H1291" s="124"/>
      <c r="I1291" s="124"/>
      <c r="J1291" s="129"/>
      <c r="K1291" s="194"/>
      <c r="L1291" s="194"/>
      <c r="M1291" s="129"/>
      <c r="N1291" s="129" t="e">
        <f>Table1[[#This Row],[Estimated Effort (Hours)]]/NETWORKDAYS(Table1[[#This Row],[Planned Start Date]],Table1[[#This Row],[Planned End Date]])</f>
        <v>#DIV/0!</v>
      </c>
      <c r="O1291" s="178">
        <f>NETWORKDAYS(Table1[[#This Row],[Planned Start Date]],Table1[[#This Row],[Planned End Date]])</f>
        <v>0</v>
      </c>
      <c r="P1291" s="178">
        <f>NETWORKDAYS(Table1[[#This Row],[Planned Start Date]],$P$7)</f>
        <v>30643</v>
      </c>
      <c r="Q1291" s="129"/>
      <c r="R1291" s="183" t="str">
        <f>IF(Table1[[#This Row],[Actual Effort (Hours)]]="","",IF(Table1[[#This Row],[Estimated Effort (Hours)]]&lt;20,"L1",IF(Table1[[#This Row],[Estimated Effort (Hours)]]&lt;50,"L2",IF(Table1[[#This Row],[Estimated Effort (Hours)]]&lt;150,"L3",IF(Table1[[#This Row],[Estimated Effort (Hours)]]&lt;300,"L4","L5")))))</f>
        <v/>
      </c>
      <c r="S1291" s="184" t="str">
        <f>IF(Table1[[#This Row],[Actual End Date]]="","",TEXT(Table1[[#This Row],[Actual End Date]],"mmm-yy"))</f>
        <v/>
      </c>
      <c r="T12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1" s="185" t="str">
        <f>IFERROR((Table1[[#This Row],[Actual Effort (Hours)]]-Table1[[#This Row],[Estimated Effort (Hours)]])/Table1[[#This Row],[Estimated Effort (Hours)]],"")</f>
        <v/>
      </c>
    </row>
    <row r="1292" spans="2:21">
      <c r="B1292" s="125"/>
      <c r="C1292" s="123"/>
      <c r="D1292" s="143"/>
      <c r="E1292" s="123"/>
      <c r="F1292" s="143"/>
      <c r="G1292" s="129"/>
      <c r="H1292" s="124"/>
      <c r="I1292" s="124"/>
      <c r="J1292" s="129"/>
      <c r="K1292" s="194"/>
      <c r="L1292" s="194"/>
      <c r="M1292" s="129"/>
      <c r="N1292" s="129" t="e">
        <f>Table1[[#This Row],[Estimated Effort (Hours)]]/NETWORKDAYS(Table1[[#This Row],[Planned Start Date]],Table1[[#This Row],[Planned End Date]])</f>
        <v>#DIV/0!</v>
      </c>
      <c r="O1292" s="178">
        <f>NETWORKDAYS(Table1[[#This Row],[Planned Start Date]],Table1[[#This Row],[Planned End Date]])</f>
        <v>0</v>
      </c>
      <c r="P1292" s="178">
        <f>NETWORKDAYS(Table1[[#This Row],[Planned Start Date]],$P$7)</f>
        <v>30643</v>
      </c>
      <c r="Q1292" s="129"/>
      <c r="R1292" s="183" t="str">
        <f>IF(Table1[[#This Row],[Actual Effort (Hours)]]="","",IF(Table1[[#This Row],[Estimated Effort (Hours)]]&lt;20,"L1",IF(Table1[[#This Row],[Estimated Effort (Hours)]]&lt;50,"L2",IF(Table1[[#This Row],[Estimated Effort (Hours)]]&lt;150,"L3",IF(Table1[[#This Row],[Estimated Effort (Hours)]]&lt;300,"L4","L5")))))</f>
        <v/>
      </c>
      <c r="S1292" s="184" t="str">
        <f>IF(Table1[[#This Row],[Actual End Date]]="","",TEXT(Table1[[#This Row],[Actual End Date]],"mmm-yy"))</f>
        <v/>
      </c>
      <c r="T12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2" s="185" t="str">
        <f>IFERROR((Table1[[#This Row],[Actual Effort (Hours)]]-Table1[[#This Row],[Estimated Effort (Hours)]])/Table1[[#This Row],[Estimated Effort (Hours)]],"")</f>
        <v/>
      </c>
    </row>
    <row r="1293" spans="2:21">
      <c r="B1293" s="125"/>
      <c r="C1293" s="123"/>
      <c r="D1293" s="143"/>
      <c r="E1293" s="123"/>
      <c r="F1293" s="143"/>
      <c r="G1293" s="129"/>
      <c r="H1293" s="124"/>
      <c r="I1293" s="124"/>
      <c r="J1293" s="129"/>
      <c r="K1293" s="194"/>
      <c r="L1293" s="194"/>
      <c r="M1293" s="129"/>
      <c r="N1293" s="129" t="e">
        <f>Table1[[#This Row],[Estimated Effort (Hours)]]/NETWORKDAYS(Table1[[#This Row],[Planned Start Date]],Table1[[#This Row],[Planned End Date]])</f>
        <v>#DIV/0!</v>
      </c>
      <c r="O1293" s="178">
        <f>NETWORKDAYS(Table1[[#This Row],[Planned Start Date]],Table1[[#This Row],[Planned End Date]])</f>
        <v>0</v>
      </c>
      <c r="P1293" s="178">
        <f>NETWORKDAYS(Table1[[#This Row],[Planned Start Date]],$P$7)</f>
        <v>30643</v>
      </c>
      <c r="Q1293" s="129"/>
      <c r="R1293" s="183" t="str">
        <f>IF(Table1[[#This Row],[Actual Effort (Hours)]]="","",IF(Table1[[#This Row],[Estimated Effort (Hours)]]&lt;20,"L1",IF(Table1[[#This Row],[Estimated Effort (Hours)]]&lt;50,"L2",IF(Table1[[#This Row],[Estimated Effort (Hours)]]&lt;150,"L3",IF(Table1[[#This Row],[Estimated Effort (Hours)]]&lt;300,"L4","L5")))))</f>
        <v/>
      </c>
      <c r="S1293" s="184" t="str">
        <f>IF(Table1[[#This Row],[Actual End Date]]="","",TEXT(Table1[[#This Row],[Actual End Date]],"mmm-yy"))</f>
        <v/>
      </c>
      <c r="T12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3" s="185" t="str">
        <f>IFERROR((Table1[[#This Row],[Actual Effort (Hours)]]-Table1[[#This Row],[Estimated Effort (Hours)]])/Table1[[#This Row],[Estimated Effort (Hours)]],"")</f>
        <v/>
      </c>
    </row>
    <row r="1294" spans="2:21">
      <c r="B1294" s="125"/>
      <c r="C1294" s="123"/>
      <c r="D1294" s="143"/>
      <c r="E1294" s="123"/>
      <c r="F1294" s="143"/>
      <c r="G1294" s="129"/>
      <c r="H1294" s="124"/>
      <c r="I1294" s="124"/>
      <c r="J1294" s="129"/>
      <c r="K1294" s="194"/>
      <c r="L1294" s="194"/>
      <c r="M1294" s="129"/>
      <c r="N1294" s="129" t="e">
        <f>Table1[[#This Row],[Estimated Effort (Hours)]]/NETWORKDAYS(Table1[[#This Row],[Planned Start Date]],Table1[[#This Row],[Planned End Date]])</f>
        <v>#DIV/0!</v>
      </c>
      <c r="O1294" s="178">
        <f>NETWORKDAYS(Table1[[#This Row],[Planned Start Date]],Table1[[#This Row],[Planned End Date]])</f>
        <v>0</v>
      </c>
      <c r="P1294" s="178">
        <f>NETWORKDAYS(Table1[[#This Row],[Planned Start Date]],$P$7)</f>
        <v>30643</v>
      </c>
      <c r="Q1294" s="129"/>
      <c r="R1294" s="183" t="str">
        <f>IF(Table1[[#This Row],[Actual Effort (Hours)]]="","",IF(Table1[[#This Row],[Estimated Effort (Hours)]]&lt;20,"L1",IF(Table1[[#This Row],[Estimated Effort (Hours)]]&lt;50,"L2",IF(Table1[[#This Row],[Estimated Effort (Hours)]]&lt;150,"L3",IF(Table1[[#This Row],[Estimated Effort (Hours)]]&lt;300,"L4","L5")))))</f>
        <v/>
      </c>
      <c r="S1294" s="184" t="str">
        <f>IF(Table1[[#This Row],[Actual End Date]]="","",TEXT(Table1[[#This Row],[Actual End Date]],"mmm-yy"))</f>
        <v/>
      </c>
      <c r="T12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4" s="185" t="str">
        <f>IFERROR((Table1[[#This Row],[Actual Effort (Hours)]]-Table1[[#This Row],[Estimated Effort (Hours)]])/Table1[[#This Row],[Estimated Effort (Hours)]],"")</f>
        <v/>
      </c>
    </row>
    <row r="1295" spans="2:21">
      <c r="B1295" s="125"/>
      <c r="C1295" s="123"/>
      <c r="D1295" s="143"/>
      <c r="E1295" s="123"/>
      <c r="F1295" s="143"/>
      <c r="G1295" s="129"/>
      <c r="H1295" s="124"/>
      <c r="I1295" s="124"/>
      <c r="J1295" s="129"/>
      <c r="K1295" s="194"/>
      <c r="L1295" s="194"/>
      <c r="M1295" s="129"/>
      <c r="N1295" s="129" t="e">
        <f>Table1[[#This Row],[Estimated Effort (Hours)]]/NETWORKDAYS(Table1[[#This Row],[Planned Start Date]],Table1[[#This Row],[Planned End Date]])</f>
        <v>#DIV/0!</v>
      </c>
      <c r="O1295" s="178">
        <f>NETWORKDAYS(Table1[[#This Row],[Planned Start Date]],Table1[[#This Row],[Planned End Date]])</f>
        <v>0</v>
      </c>
      <c r="P1295" s="178">
        <f>NETWORKDAYS(Table1[[#This Row],[Planned Start Date]],$P$7)</f>
        <v>30643</v>
      </c>
      <c r="Q1295" s="129"/>
      <c r="R1295" s="183" t="str">
        <f>IF(Table1[[#This Row],[Actual Effort (Hours)]]="","",IF(Table1[[#This Row],[Estimated Effort (Hours)]]&lt;20,"L1",IF(Table1[[#This Row],[Estimated Effort (Hours)]]&lt;50,"L2",IF(Table1[[#This Row],[Estimated Effort (Hours)]]&lt;150,"L3",IF(Table1[[#This Row],[Estimated Effort (Hours)]]&lt;300,"L4","L5")))))</f>
        <v/>
      </c>
      <c r="S1295" s="184" t="str">
        <f>IF(Table1[[#This Row],[Actual End Date]]="","",TEXT(Table1[[#This Row],[Actual End Date]],"mmm-yy"))</f>
        <v/>
      </c>
      <c r="T12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5" s="185" t="str">
        <f>IFERROR((Table1[[#This Row],[Actual Effort (Hours)]]-Table1[[#This Row],[Estimated Effort (Hours)]])/Table1[[#This Row],[Estimated Effort (Hours)]],"")</f>
        <v/>
      </c>
    </row>
    <row r="1296" spans="2:21">
      <c r="B1296" s="125"/>
      <c r="C1296" s="123"/>
      <c r="D1296" s="143"/>
      <c r="E1296" s="123"/>
      <c r="F1296" s="143"/>
      <c r="G1296" s="129"/>
      <c r="H1296" s="124"/>
      <c r="I1296" s="124"/>
      <c r="J1296" s="129"/>
      <c r="K1296" s="194"/>
      <c r="L1296" s="194"/>
      <c r="M1296" s="129"/>
      <c r="N1296" s="129" t="e">
        <f>Table1[[#This Row],[Estimated Effort (Hours)]]/NETWORKDAYS(Table1[[#This Row],[Planned Start Date]],Table1[[#This Row],[Planned End Date]])</f>
        <v>#DIV/0!</v>
      </c>
      <c r="O1296" s="178">
        <f>NETWORKDAYS(Table1[[#This Row],[Planned Start Date]],Table1[[#This Row],[Planned End Date]])</f>
        <v>0</v>
      </c>
      <c r="P1296" s="178">
        <f>NETWORKDAYS(Table1[[#This Row],[Planned Start Date]],$P$7)</f>
        <v>30643</v>
      </c>
      <c r="Q1296" s="129"/>
      <c r="R1296" s="183" t="str">
        <f>IF(Table1[[#This Row],[Actual Effort (Hours)]]="","",IF(Table1[[#This Row],[Estimated Effort (Hours)]]&lt;20,"L1",IF(Table1[[#This Row],[Estimated Effort (Hours)]]&lt;50,"L2",IF(Table1[[#This Row],[Estimated Effort (Hours)]]&lt;150,"L3",IF(Table1[[#This Row],[Estimated Effort (Hours)]]&lt;300,"L4","L5")))))</f>
        <v/>
      </c>
      <c r="S1296" s="184" t="str">
        <f>IF(Table1[[#This Row],[Actual End Date]]="","",TEXT(Table1[[#This Row],[Actual End Date]],"mmm-yy"))</f>
        <v/>
      </c>
      <c r="T12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6" s="185" t="str">
        <f>IFERROR((Table1[[#This Row],[Actual Effort (Hours)]]-Table1[[#This Row],[Estimated Effort (Hours)]])/Table1[[#This Row],[Estimated Effort (Hours)]],"")</f>
        <v/>
      </c>
    </row>
    <row r="1297" spans="2:21">
      <c r="B1297" s="125"/>
      <c r="C1297" s="123"/>
      <c r="D1297" s="143"/>
      <c r="E1297" s="123"/>
      <c r="F1297" s="143"/>
      <c r="G1297" s="129"/>
      <c r="H1297" s="124"/>
      <c r="I1297" s="124"/>
      <c r="J1297" s="129"/>
      <c r="K1297" s="194"/>
      <c r="L1297" s="194"/>
      <c r="M1297" s="129"/>
      <c r="N1297" s="129" t="e">
        <f>Table1[[#This Row],[Estimated Effort (Hours)]]/NETWORKDAYS(Table1[[#This Row],[Planned Start Date]],Table1[[#This Row],[Planned End Date]])</f>
        <v>#DIV/0!</v>
      </c>
      <c r="O1297" s="178">
        <f>NETWORKDAYS(Table1[[#This Row],[Planned Start Date]],Table1[[#This Row],[Planned End Date]])</f>
        <v>0</v>
      </c>
      <c r="P1297" s="178">
        <f>NETWORKDAYS(Table1[[#This Row],[Planned Start Date]],$P$7)</f>
        <v>30643</v>
      </c>
      <c r="Q1297" s="129"/>
      <c r="R1297" s="183" t="str">
        <f>IF(Table1[[#This Row],[Actual Effort (Hours)]]="","",IF(Table1[[#This Row],[Estimated Effort (Hours)]]&lt;20,"L1",IF(Table1[[#This Row],[Estimated Effort (Hours)]]&lt;50,"L2",IF(Table1[[#This Row],[Estimated Effort (Hours)]]&lt;150,"L3",IF(Table1[[#This Row],[Estimated Effort (Hours)]]&lt;300,"L4","L5")))))</f>
        <v/>
      </c>
      <c r="S1297" s="184" t="str">
        <f>IF(Table1[[#This Row],[Actual End Date]]="","",TEXT(Table1[[#This Row],[Actual End Date]],"mmm-yy"))</f>
        <v/>
      </c>
      <c r="T12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7" s="185" t="str">
        <f>IFERROR((Table1[[#This Row],[Actual Effort (Hours)]]-Table1[[#This Row],[Estimated Effort (Hours)]])/Table1[[#This Row],[Estimated Effort (Hours)]],"")</f>
        <v/>
      </c>
    </row>
    <row r="1298" spans="2:21">
      <c r="B1298" s="125"/>
      <c r="C1298" s="123"/>
      <c r="D1298" s="143"/>
      <c r="E1298" s="123"/>
      <c r="F1298" s="143"/>
      <c r="G1298" s="129"/>
      <c r="H1298" s="124"/>
      <c r="I1298" s="124"/>
      <c r="J1298" s="129"/>
      <c r="K1298" s="194"/>
      <c r="L1298" s="194"/>
      <c r="M1298" s="129"/>
      <c r="N1298" s="129" t="e">
        <f>Table1[[#This Row],[Estimated Effort (Hours)]]/NETWORKDAYS(Table1[[#This Row],[Planned Start Date]],Table1[[#This Row],[Planned End Date]])</f>
        <v>#DIV/0!</v>
      </c>
      <c r="O1298" s="178">
        <f>NETWORKDAYS(Table1[[#This Row],[Planned Start Date]],Table1[[#This Row],[Planned End Date]])</f>
        <v>0</v>
      </c>
      <c r="P1298" s="178">
        <f>NETWORKDAYS(Table1[[#This Row],[Planned Start Date]],$P$7)</f>
        <v>30643</v>
      </c>
      <c r="Q1298" s="129"/>
      <c r="R1298" s="183" t="str">
        <f>IF(Table1[[#This Row],[Actual Effort (Hours)]]="","",IF(Table1[[#This Row],[Estimated Effort (Hours)]]&lt;20,"L1",IF(Table1[[#This Row],[Estimated Effort (Hours)]]&lt;50,"L2",IF(Table1[[#This Row],[Estimated Effort (Hours)]]&lt;150,"L3",IF(Table1[[#This Row],[Estimated Effort (Hours)]]&lt;300,"L4","L5")))))</f>
        <v/>
      </c>
      <c r="S1298" s="184" t="str">
        <f>IF(Table1[[#This Row],[Actual End Date]]="","",TEXT(Table1[[#This Row],[Actual End Date]],"mmm-yy"))</f>
        <v/>
      </c>
      <c r="T12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8" s="185" t="str">
        <f>IFERROR((Table1[[#This Row],[Actual Effort (Hours)]]-Table1[[#This Row],[Estimated Effort (Hours)]])/Table1[[#This Row],[Estimated Effort (Hours)]],"")</f>
        <v/>
      </c>
    </row>
    <row r="1299" spans="2:21">
      <c r="B1299" s="125"/>
      <c r="C1299" s="123"/>
      <c r="D1299" s="143"/>
      <c r="E1299" s="123"/>
      <c r="F1299" s="143"/>
      <c r="G1299" s="129"/>
      <c r="H1299" s="124"/>
      <c r="I1299" s="124"/>
      <c r="J1299" s="129"/>
      <c r="K1299" s="194"/>
      <c r="L1299" s="194"/>
      <c r="M1299" s="129"/>
      <c r="N1299" s="129" t="e">
        <f>Table1[[#This Row],[Estimated Effort (Hours)]]/NETWORKDAYS(Table1[[#This Row],[Planned Start Date]],Table1[[#This Row],[Planned End Date]])</f>
        <v>#DIV/0!</v>
      </c>
      <c r="O1299" s="178">
        <f>NETWORKDAYS(Table1[[#This Row],[Planned Start Date]],Table1[[#This Row],[Planned End Date]])</f>
        <v>0</v>
      </c>
      <c r="P1299" s="178">
        <f>NETWORKDAYS(Table1[[#This Row],[Planned Start Date]],$P$7)</f>
        <v>30643</v>
      </c>
      <c r="Q1299" s="129"/>
      <c r="R1299" s="183" t="str">
        <f>IF(Table1[[#This Row],[Actual Effort (Hours)]]="","",IF(Table1[[#This Row],[Estimated Effort (Hours)]]&lt;20,"L1",IF(Table1[[#This Row],[Estimated Effort (Hours)]]&lt;50,"L2",IF(Table1[[#This Row],[Estimated Effort (Hours)]]&lt;150,"L3",IF(Table1[[#This Row],[Estimated Effort (Hours)]]&lt;300,"L4","L5")))))</f>
        <v/>
      </c>
      <c r="S1299" s="184" t="str">
        <f>IF(Table1[[#This Row],[Actual End Date]]="","",TEXT(Table1[[#This Row],[Actual End Date]],"mmm-yy"))</f>
        <v/>
      </c>
      <c r="T12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299" s="185" t="str">
        <f>IFERROR((Table1[[#This Row],[Actual Effort (Hours)]]-Table1[[#This Row],[Estimated Effort (Hours)]])/Table1[[#This Row],[Estimated Effort (Hours)]],"")</f>
        <v/>
      </c>
    </row>
    <row r="1300" spans="2:21">
      <c r="B1300" s="125"/>
      <c r="C1300" s="123"/>
      <c r="D1300" s="143"/>
      <c r="E1300" s="123"/>
      <c r="F1300" s="143"/>
      <c r="G1300" s="129"/>
      <c r="H1300" s="124"/>
      <c r="I1300" s="124"/>
      <c r="J1300" s="129"/>
      <c r="K1300" s="194"/>
      <c r="L1300" s="194"/>
      <c r="M1300" s="129"/>
      <c r="N1300" s="129" t="e">
        <f>Table1[[#This Row],[Estimated Effort (Hours)]]/NETWORKDAYS(Table1[[#This Row],[Planned Start Date]],Table1[[#This Row],[Planned End Date]])</f>
        <v>#DIV/0!</v>
      </c>
      <c r="O1300" s="178">
        <f>NETWORKDAYS(Table1[[#This Row],[Planned Start Date]],Table1[[#This Row],[Planned End Date]])</f>
        <v>0</v>
      </c>
      <c r="P1300" s="178">
        <f>NETWORKDAYS(Table1[[#This Row],[Planned Start Date]],$P$7)</f>
        <v>30643</v>
      </c>
      <c r="Q1300" s="129"/>
      <c r="R1300" s="183" t="str">
        <f>IF(Table1[[#This Row],[Actual Effort (Hours)]]="","",IF(Table1[[#This Row],[Estimated Effort (Hours)]]&lt;20,"L1",IF(Table1[[#This Row],[Estimated Effort (Hours)]]&lt;50,"L2",IF(Table1[[#This Row],[Estimated Effort (Hours)]]&lt;150,"L3",IF(Table1[[#This Row],[Estimated Effort (Hours)]]&lt;300,"L4","L5")))))</f>
        <v/>
      </c>
      <c r="S1300" s="184" t="str">
        <f>IF(Table1[[#This Row],[Actual End Date]]="","",TEXT(Table1[[#This Row],[Actual End Date]],"mmm-yy"))</f>
        <v/>
      </c>
      <c r="T13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0" s="185" t="str">
        <f>IFERROR((Table1[[#This Row],[Actual Effort (Hours)]]-Table1[[#This Row],[Estimated Effort (Hours)]])/Table1[[#This Row],[Estimated Effort (Hours)]],"")</f>
        <v/>
      </c>
    </row>
    <row r="1301" spans="2:21">
      <c r="B1301" s="125"/>
      <c r="C1301" s="123"/>
      <c r="D1301" s="143"/>
      <c r="E1301" s="123"/>
      <c r="F1301" s="143"/>
      <c r="G1301" s="129"/>
      <c r="H1301" s="124"/>
      <c r="I1301" s="124"/>
      <c r="J1301" s="129"/>
      <c r="K1301" s="194"/>
      <c r="L1301" s="194"/>
      <c r="M1301" s="129"/>
      <c r="N1301" s="129" t="e">
        <f>Table1[[#This Row],[Estimated Effort (Hours)]]/NETWORKDAYS(Table1[[#This Row],[Planned Start Date]],Table1[[#This Row],[Planned End Date]])</f>
        <v>#DIV/0!</v>
      </c>
      <c r="O1301" s="178">
        <f>NETWORKDAYS(Table1[[#This Row],[Planned Start Date]],Table1[[#This Row],[Planned End Date]])</f>
        <v>0</v>
      </c>
      <c r="P1301" s="178">
        <f>NETWORKDAYS(Table1[[#This Row],[Planned Start Date]],$P$7)</f>
        <v>30643</v>
      </c>
      <c r="Q1301" s="129"/>
      <c r="R1301" s="183" t="str">
        <f>IF(Table1[[#This Row],[Actual Effort (Hours)]]="","",IF(Table1[[#This Row],[Estimated Effort (Hours)]]&lt;20,"L1",IF(Table1[[#This Row],[Estimated Effort (Hours)]]&lt;50,"L2",IF(Table1[[#This Row],[Estimated Effort (Hours)]]&lt;150,"L3",IF(Table1[[#This Row],[Estimated Effort (Hours)]]&lt;300,"L4","L5")))))</f>
        <v/>
      </c>
      <c r="S1301" s="184" t="str">
        <f>IF(Table1[[#This Row],[Actual End Date]]="","",TEXT(Table1[[#This Row],[Actual End Date]],"mmm-yy"))</f>
        <v/>
      </c>
      <c r="T13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1" s="185" t="str">
        <f>IFERROR((Table1[[#This Row],[Actual Effort (Hours)]]-Table1[[#This Row],[Estimated Effort (Hours)]])/Table1[[#This Row],[Estimated Effort (Hours)]],"")</f>
        <v/>
      </c>
    </row>
    <row r="1302" spans="2:21">
      <c r="B1302" s="125"/>
      <c r="C1302" s="123"/>
      <c r="D1302" s="143"/>
      <c r="E1302" s="123"/>
      <c r="F1302" s="143"/>
      <c r="G1302" s="129"/>
      <c r="H1302" s="124"/>
      <c r="I1302" s="124"/>
      <c r="J1302" s="129"/>
      <c r="K1302" s="194"/>
      <c r="L1302" s="194"/>
      <c r="M1302" s="129"/>
      <c r="N1302" s="129" t="e">
        <f>Table1[[#This Row],[Estimated Effort (Hours)]]/NETWORKDAYS(Table1[[#This Row],[Planned Start Date]],Table1[[#This Row],[Planned End Date]])</f>
        <v>#DIV/0!</v>
      </c>
      <c r="O1302" s="178">
        <f>NETWORKDAYS(Table1[[#This Row],[Planned Start Date]],Table1[[#This Row],[Planned End Date]])</f>
        <v>0</v>
      </c>
      <c r="P1302" s="178">
        <f>NETWORKDAYS(Table1[[#This Row],[Planned Start Date]],$P$7)</f>
        <v>30643</v>
      </c>
      <c r="Q1302" s="129"/>
      <c r="R1302" s="183" t="str">
        <f>IF(Table1[[#This Row],[Actual Effort (Hours)]]="","",IF(Table1[[#This Row],[Estimated Effort (Hours)]]&lt;20,"L1",IF(Table1[[#This Row],[Estimated Effort (Hours)]]&lt;50,"L2",IF(Table1[[#This Row],[Estimated Effort (Hours)]]&lt;150,"L3",IF(Table1[[#This Row],[Estimated Effort (Hours)]]&lt;300,"L4","L5")))))</f>
        <v/>
      </c>
      <c r="S1302" s="184" t="str">
        <f>IF(Table1[[#This Row],[Actual End Date]]="","",TEXT(Table1[[#This Row],[Actual End Date]],"mmm-yy"))</f>
        <v/>
      </c>
      <c r="T13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2" s="185" t="str">
        <f>IFERROR((Table1[[#This Row],[Actual Effort (Hours)]]-Table1[[#This Row],[Estimated Effort (Hours)]])/Table1[[#This Row],[Estimated Effort (Hours)]],"")</f>
        <v/>
      </c>
    </row>
    <row r="1303" spans="2:21">
      <c r="B1303" s="125"/>
      <c r="C1303" s="123"/>
      <c r="D1303" s="143"/>
      <c r="E1303" s="123"/>
      <c r="F1303" s="143"/>
      <c r="G1303" s="129"/>
      <c r="H1303" s="124"/>
      <c r="I1303" s="124"/>
      <c r="J1303" s="129"/>
      <c r="K1303" s="194"/>
      <c r="L1303" s="194"/>
      <c r="M1303" s="129"/>
      <c r="N1303" s="129" t="e">
        <f>Table1[[#This Row],[Estimated Effort (Hours)]]/NETWORKDAYS(Table1[[#This Row],[Planned Start Date]],Table1[[#This Row],[Planned End Date]])</f>
        <v>#DIV/0!</v>
      </c>
      <c r="O1303" s="178">
        <f>NETWORKDAYS(Table1[[#This Row],[Planned Start Date]],Table1[[#This Row],[Planned End Date]])</f>
        <v>0</v>
      </c>
      <c r="P1303" s="178">
        <f>NETWORKDAYS(Table1[[#This Row],[Planned Start Date]],$P$7)</f>
        <v>30643</v>
      </c>
      <c r="Q1303" s="129"/>
      <c r="R1303" s="183" t="str">
        <f>IF(Table1[[#This Row],[Actual Effort (Hours)]]="","",IF(Table1[[#This Row],[Estimated Effort (Hours)]]&lt;20,"L1",IF(Table1[[#This Row],[Estimated Effort (Hours)]]&lt;50,"L2",IF(Table1[[#This Row],[Estimated Effort (Hours)]]&lt;150,"L3",IF(Table1[[#This Row],[Estimated Effort (Hours)]]&lt;300,"L4","L5")))))</f>
        <v/>
      </c>
      <c r="S1303" s="184" t="str">
        <f>IF(Table1[[#This Row],[Actual End Date]]="","",TEXT(Table1[[#This Row],[Actual End Date]],"mmm-yy"))</f>
        <v/>
      </c>
      <c r="T13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3" s="185" t="str">
        <f>IFERROR((Table1[[#This Row],[Actual Effort (Hours)]]-Table1[[#This Row],[Estimated Effort (Hours)]])/Table1[[#This Row],[Estimated Effort (Hours)]],"")</f>
        <v/>
      </c>
    </row>
    <row r="1304" spans="2:21">
      <c r="B1304" s="125"/>
      <c r="C1304" s="123"/>
      <c r="D1304" s="143"/>
      <c r="E1304" s="123"/>
      <c r="F1304" s="143"/>
      <c r="G1304" s="129"/>
      <c r="H1304" s="124"/>
      <c r="I1304" s="124"/>
      <c r="J1304" s="129"/>
      <c r="K1304" s="194"/>
      <c r="L1304" s="194"/>
      <c r="M1304" s="129"/>
      <c r="N1304" s="129" t="e">
        <f>Table1[[#This Row],[Estimated Effort (Hours)]]/NETWORKDAYS(Table1[[#This Row],[Planned Start Date]],Table1[[#This Row],[Planned End Date]])</f>
        <v>#DIV/0!</v>
      </c>
      <c r="O1304" s="178">
        <f>NETWORKDAYS(Table1[[#This Row],[Planned Start Date]],Table1[[#This Row],[Planned End Date]])</f>
        <v>0</v>
      </c>
      <c r="P1304" s="178">
        <f>NETWORKDAYS(Table1[[#This Row],[Planned Start Date]],$P$7)</f>
        <v>30643</v>
      </c>
      <c r="Q1304" s="129"/>
      <c r="R1304" s="183" t="str">
        <f>IF(Table1[[#This Row],[Actual Effort (Hours)]]="","",IF(Table1[[#This Row],[Estimated Effort (Hours)]]&lt;20,"L1",IF(Table1[[#This Row],[Estimated Effort (Hours)]]&lt;50,"L2",IF(Table1[[#This Row],[Estimated Effort (Hours)]]&lt;150,"L3",IF(Table1[[#This Row],[Estimated Effort (Hours)]]&lt;300,"L4","L5")))))</f>
        <v/>
      </c>
      <c r="S1304" s="184" t="str">
        <f>IF(Table1[[#This Row],[Actual End Date]]="","",TEXT(Table1[[#This Row],[Actual End Date]],"mmm-yy"))</f>
        <v/>
      </c>
      <c r="T13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4" s="185" t="str">
        <f>IFERROR((Table1[[#This Row],[Actual Effort (Hours)]]-Table1[[#This Row],[Estimated Effort (Hours)]])/Table1[[#This Row],[Estimated Effort (Hours)]],"")</f>
        <v/>
      </c>
    </row>
    <row r="1305" spans="2:21">
      <c r="B1305" s="125"/>
      <c r="C1305" s="123"/>
      <c r="D1305" s="143"/>
      <c r="E1305" s="123"/>
      <c r="F1305" s="143"/>
      <c r="G1305" s="129"/>
      <c r="H1305" s="124"/>
      <c r="I1305" s="124"/>
      <c r="J1305" s="129"/>
      <c r="K1305" s="194"/>
      <c r="L1305" s="194"/>
      <c r="M1305" s="129"/>
      <c r="N1305" s="129" t="e">
        <f>Table1[[#This Row],[Estimated Effort (Hours)]]/NETWORKDAYS(Table1[[#This Row],[Planned Start Date]],Table1[[#This Row],[Planned End Date]])</f>
        <v>#DIV/0!</v>
      </c>
      <c r="O1305" s="178">
        <f>NETWORKDAYS(Table1[[#This Row],[Planned Start Date]],Table1[[#This Row],[Planned End Date]])</f>
        <v>0</v>
      </c>
      <c r="P1305" s="178">
        <f>NETWORKDAYS(Table1[[#This Row],[Planned Start Date]],$P$7)</f>
        <v>30643</v>
      </c>
      <c r="Q1305" s="129"/>
      <c r="R1305" s="183" t="str">
        <f>IF(Table1[[#This Row],[Actual Effort (Hours)]]="","",IF(Table1[[#This Row],[Estimated Effort (Hours)]]&lt;20,"L1",IF(Table1[[#This Row],[Estimated Effort (Hours)]]&lt;50,"L2",IF(Table1[[#This Row],[Estimated Effort (Hours)]]&lt;150,"L3",IF(Table1[[#This Row],[Estimated Effort (Hours)]]&lt;300,"L4","L5")))))</f>
        <v/>
      </c>
      <c r="S1305" s="184" t="str">
        <f>IF(Table1[[#This Row],[Actual End Date]]="","",TEXT(Table1[[#This Row],[Actual End Date]],"mmm-yy"))</f>
        <v/>
      </c>
      <c r="T13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5" s="185" t="str">
        <f>IFERROR((Table1[[#This Row],[Actual Effort (Hours)]]-Table1[[#This Row],[Estimated Effort (Hours)]])/Table1[[#This Row],[Estimated Effort (Hours)]],"")</f>
        <v/>
      </c>
    </row>
    <row r="1306" spans="2:21">
      <c r="B1306" s="125"/>
      <c r="C1306" s="123"/>
      <c r="D1306" s="143"/>
      <c r="E1306" s="123"/>
      <c r="F1306" s="143"/>
      <c r="G1306" s="129"/>
      <c r="H1306" s="124"/>
      <c r="I1306" s="124"/>
      <c r="J1306" s="129"/>
      <c r="K1306" s="194"/>
      <c r="L1306" s="194"/>
      <c r="M1306" s="129"/>
      <c r="N1306" s="129" t="e">
        <f>Table1[[#This Row],[Estimated Effort (Hours)]]/NETWORKDAYS(Table1[[#This Row],[Planned Start Date]],Table1[[#This Row],[Planned End Date]])</f>
        <v>#DIV/0!</v>
      </c>
      <c r="O1306" s="178">
        <f>NETWORKDAYS(Table1[[#This Row],[Planned Start Date]],Table1[[#This Row],[Planned End Date]])</f>
        <v>0</v>
      </c>
      <c r="P1306" s="178">
        <f>NETWORKDAYS(Table1[[#This Row],[Planned Start Date]],$P$7)</f>
        <v>30643</v>
      </c>
      <c r="Q1306" s="129"/>
      <c r="R1306" s="183" t="str">
        <f>IF(Table1[[#This Row],[Actual Effort (Hours)]]="","",IF(Table1[[#This Row],[Estimated Effort (Hours)]]&lt;20,"L1",IF(Table1[[#This Row],[Estimated Effort (Hours)]]&lt;50,"L2",IF(Table1[[#This Row],[Estimated Effort (Hours)]]&lt;150,"L3",IF(Table1[[#This Row],[Estimated Effort (Hours)]]&lt;300,"L4","L5")))))</f>
        <v/>
      </c>
      <c r="S1306" s="184" t="str">
        <f>IF(Table1[[#This Row],[Actual End Date]]="","",TEXT(Table1[[#This Row],[Actual End Date]],"mmm-yy"))</f>
        <v/>
      </c>
      <c r="T13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6" s="185" t="str">
        <f>IFERROR((Table1[[#This Row],[Actual Effort (Hours)]]-Table1[[#This Row],[Estimated Effort (Hours)]])/Table1[[#This Row],[Estimated Effort (Hours)]],"")</f>
        <v/>
      </c>
    </row>
    <row r="1307" spans="2:21">
      <c r="B1307" s="125"/>
      <c r="C1307" s="123"/>
      <c r="D1307" s="143"/>
      <c r="E1307" s="123"/>
      <c r="F1307" s="143"/>
      <c r="G1307" s="129"/>
      <c r="H1307" s="124"/>
      <c r="I1307" s="124"/>
      <c r="J1307" s="129"/>
      <c r="K1307" s="194"/>
      <c r="L1307" s="194"/>
      <c r="M1307" s="129"/>
      <c r="N1307" s="129" t="e">
        <f>Table1[[#This Row],[Estimated Effort (Hours)]]/NETWORKDAYS(Table1[[#This Row],[Planned Start Date]],Table1[[#This Row],[Planned End Date]])</f>
        <v>#DIV/0!</v>
      </c>
      <c r="O1307" s="178">
        <f>NETWORKDAYS(Table1[[#This Row],[Planned Start Date]],Table1[[#This Row],[Planned End Date]])</f>
        <v>0</v>
      </c>
      <c r="P1307" s="178">
        <f>NETWORKDAYS(Table1[[#This Row],[Planned Start Date]],$P$7)</f>
        <v>30643</v>
      </c>
      <c r="Q1307" s="129"/>
      <c r="R1307" s="183" t="str">
        <f>IF(Table1[[#This Row],[Actual Effort (Hours)]]="","",IF(Table1[[#This Row],[Estimated Effort (Hours)]]&lt;20,"L1",IF(Table1[[#This Row],[Estimated Effort (Hours)]]&lt;50,"L2",IF(Table1[[#This Row],[Estimated Effort (Hours)]]&lt;150,"L3",IF(Table1[[#This Row],[Estimated Effort (Hours)]]&lt;300,"L4","L5")))))</f>
        <v/>
      </c>
      <c r="S1307" s="184" t="str">
        <f>IF(Table1[[#This Row],[Actual End Date]]="","",TEXT(Table1[[#This Row],[Actual End Date]],"mmm-yy"))</f>
        <v/>
      </c>
      <c r="T13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7" s="185" t="str">
        <f>IFERROR((Table1[[#This Row],[Actual Effort (Hours)]]-Table1[[#This Row],[Estimated Effort (Hours)]])/Table1[[#This Row],[Estimated Effort (Hours)]],"")</f>
        <v/>
      </c>
    </row>
    <row r="1308" spans="2:21">
      <c r="B1308" s="125"/>
      <c r="C1308" s="123"/>
      <c r="D1308" s="143"/>
      <c r="E1308" s="123"/>
      <c r="F1308" s="143"/>
      <c r="G1308" s="129"/>
      <c r="H1308" s="124"/>
      <c r="I1308" s="124"/>
      <c r="J1308" s="129"/>
      <c r="K1308" s="194"/>
      <c r="L1308" s="194"/>
      <c r="M1308" s="129"/>
      <c r="N1308" s="129" t="e">
        <f>Table1[[#This Row],[Estimated Effort (Hours)]]/NETWORKDAYS(Table1[[#This Row],[Planned Start Date]],Table1[[#This Row],[Planned End Date]])</f>
        <v>#DIV/0!</v>
      </c>
      <c r="O1308" s="178">
        <f>NETWORKDAYS(Table1[[#This Row],[Planned Start Date]],Table1[[#This Row],[Planned End Date]])</f>
        <v>0</v>
      </c>
      <c r="P1308" s="178">
        <f>NETWORKDAYS(Table1[[#This Row],[Planned Start Date]],$P$7)</f>
        <v>30643</v>
      </c>
      <c r="Q1308" s="129"/>
      <c r="R1308" s="183" t="str">
        <f>IF(Table1[[#This Row],[Actual Effort (Hours)]]="","",IF(Table1[[#This Row],[Estimated Effort (Hours)]]&lt;20,"L1",IF(Table1[[#This Row],[Estimated Effort (Hours)]]&lt;50,"L2",IF(Table1[[#This Row],[Estimated Effort (Hours)]]&lt;150,"L3",IF(Table1[[#This Row],[Estimated Effort (Hours)]]&lt;300,"L4","L5")))))</f>
        <v/>
      </c>
      <c r="S1308" s="184" t="str">
        <f>IF(Table1[[#This Row],[Actual End Date]]="","",TEXT(Table1[[#This Row],[Actual End Date]],"mmm-yy"))</f>
        <v/>
      </c>
      <c r="T13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8" s="185" t="str">
        <f>IFERROR((Table1[[#This Row],[Actual Effort (Hours)]]-Table1[[#This Row],[Estimated Effort (Hours)]])/Table1[[#This Row],[Estimated Effort (Hours)]],"")</f>
        <v/>
      </c>
    </row>
    <row r="1309" spans="2:21">
      <c r="B1309" s="125"/>
      <c r="C1309" s="123"/>
      <c r="D1309" s="143"/>
      <c r="E1309" s="123"/>
      <c r="F1309" s="143"/>
      <c r="G1309" s="129"/>
      <c r="H1309" s="124"/>
      <c r="I1309" s="124"/>
      <c r="J1309" s="129"/>
      <c r="K1309" s="194"/>
      <c r="L1309" s="194"/>
      <c r="M1309" s="129"/>
      <c r="N1309" s="129" t="e">
        <f>Table1[[#This Row],[Estimated Effort (Hours)]]/NETWORKDAYS(Table1[[#This Row],[Planned Start Date]],Table1[[#This Row],[Planned End Date]])</f>
        <v>#DIV/0!</v>
      </c>
      <c r="O1309" s="178">
        <f>NETWORKDAYS(Table1[[#This Row],[Planned Start Date]],Table1[[#This Row],[Planned End Date]])</f>
        <v>0</v>
      </c>
      <c r="P1309" s="178">
        <f>NETWORKDAYS(Table1[[#This Row],[Planned Start Date]],$P$7)</f>
        <v>30643</v>
      </c>
      <c r="Q1309" s="129"/>
      <c r="R1309" s="183" t="str">
        <f>IF(Table1[[#This Row],[Actual Effort (Hours)]]="","",IF(Table1[[#This Row],[Estimated Effort (Hours)]]&lt;20,"L1",IF(Table1[[#This Row],[Estimated Effort (Hours)]]&lt;50,"L2",IF(Table1[[#This Row],[Estimated Effort (Hours)]]&lt;150,"L3",IF(Table1[[#This Row],[Estimated Effort (Hours)]]&lt;300,"L4","L5")))))</f>
        <v/>
      </c>
      <c r="S1309" s="184" t="str">
        <f>IF(Table1[[#This Row],[Actual End Date]]="","",TEXT(Table1[[#This Row],[Actual End Date]],"mmm-yy"))</f>
        <v/>
      </c>
      <c r="T13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09" s="185" t="str">
        <f>IFERROR((Table1[[#This Row],[Actual Effort (Hours)]]-Table1[[#This Row],[Estimated Effort (Hours)]])/Table1[[#This Row],[Estimated Effort (Hours)]],"")</f>
        <v/>
      </c>
    </row>
    <row r="1310" spans="2:21">
      <c r="B1310" s="125"/>
      <c r="C1310" s="123"/>
      <c r="D1310" s="143"/>
      <c r="E1310" s="123"/>
      <c r="F1310" s="143"/>
      <c r="G1310" s="129"/>
      <c r="H1310" s="124"/>
      <c r="I1310" s="124"/>
      <c r="J1310" s="129"/>
      <c r="K1310" s="194"/>
      <c r="L1310" s="194"/>
      <c r="M1310" s="129"/>
      <c r="N1310" s="129" t="e">
        <f>Table1[[#This Row],[Estimated Effort (Hours)]]/NETWORKDAYS(Table1[[#This Row],[Planned Start Date]],Table1[[#This Row],[Planned End Date]])</f>
        <v>#DIV/0!</v>
      </c>
      <c r="O1310" s="178">
        <f>NETWORKDAYS(Table1[[#This Row],[Planned Start Date]],Table1[[#This Row],[Planned End Date]])</f>
        <v>0</v>
      </c>
      <c r="P1310" s="178">
        <f>NETWORKDAYS(Table1[[#This Row],[Planned Start Date]],$P$7)</f>
        <v>30643</v>
      </c>
      <c r="Q1310" s="129"/>
      <c r="R1310" s="183" t="str">
        <f>IF(Table1[[#This Row],[Actual Effort (Hours)]]="","",IF(Table1[[#This Row],[Estimated Effort (Hours)]]&lt;20,"L1",IF(Table1[[#This Row],[Estimated Effort (Hours)]]&lt;50,"L2",IF(Table1[[#This Row],[Estimated Effort (Hours)]]&lt;150,"L3",IF(Table1[[#This Row],[Estimated Effort (Hours)]]&lt;300,"L4","L5")))))</f>
        <v/>
      </c>
      <c r="S1310" s="184" t="str">
        <f>IF(Table1[[#This Row],[Actual End Date]]="","",TEXT(Table1[[#This Row],[Actual End Date]],"mmm-yy"))</f>
        <v/>
      </c>
      <c r="T13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0" s="185" t="str">
        <f>IFERROR((Table1[[#This Row],[Actual Effort (Hours)]]-Table1[[#This Row],[Estimated Effort (Hours)]])/Table1[[#This Row],[Estimated Effort (Hours)]],"")</f>
        <v/>
      </c>
    </row>
    <row r="1311" spans="2:21">
      <c r="B1311" s="125"/>
      <c r="C1311" s="123"/>
      <c r="D1311" s="143"/>
      <c r="E1311" s="123"/>
      <c r="F1311" s="143"/>
      <c r="G1311" s="129"/>
      <c r="H1311" s="124"/>
      <c r="I1311" s="124"/>
      <c r="J1311" s="129"/>
      <c r="K1311" s="194"/>
      <c r="L1311" s="194"/>
      <c r="M1311" s="129"/>
      <c r="N1311" s="129" t="e">
        <f>Table1[[#This Row],[Estimated Effort (Hours)]]/NETWORKDAYS(Table1[[#This Row],[Planned Start Date]],Table1[[#This Row],[Planned End Date]])</f>
        <v>#DIV/0!</v>
      </c>
      <c r="O1311" s="178">
        <f>NETWORKDAYS(Table1[[#This Row],[Planned Start Date]],Table1[[#This Row],[Planned End Date]])</f>
        <v>0</v>
      </c>
      <c r="P1311" s="178">
        <f>NETWORKDAYS(Table1[[#This Row],[Planned Start Date]],$P$7)</f>
        <v>30643</v>
      </c>
      <c r="Q1311" s="129"/>
      <c r="R1311" s="183" t="str">
        <f>IF(Table1[[#This Row],[Actual Effort (Hours)]]="","",IF(Table1[[#This Row],[Estimated Effort (Hours)]]&lt;20,"L1",IF(Table1[[#This Row],[Estimated Effort (Hours)]]&lt;50,"L2",IF(Table1[[#This Row],[Estimated Effort (Hours)]]&lt;150,"L3",IF(Table1[[#This Row],[Estimated Effort (Hours)]]&lt;300,"L4","L5")))))</f>
        <v/>
      </c>
      <c r="S1311" s="184" t="str">
        <f>IF(Table1[[#This Row],[Actual End Date]]="","",TEXT(Table1[[#This Row],[Actual End Date]],"mmm-yy"))</f>
        <v/>
      </c>
      <c r="T13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1" s="185" t="str">
        <f>IFERROR((Table1[[#This Row],[Actual Effort (Hours)]]-Table1[[#This Row],[Estimated Effort (Hours)]])/Table1[[#This Row],[Estimated Effort (Hours)]],"")</f>
        <v/>
      </c>
    </row>
    <row r="1312" spans="2:21">
      <c r="B1312" s="125"/>
      <c r="C1312" s="123"/>
      <c r="D1312" s="143"/>
      <c r="E1312" s="123"/>
      <c r="F1312" s="143"/>
      <c r="G1312" s="129"/>
      <c r="H1312" s="124"/>
      <c r="I1312" s="124"/>
      <c r="J1312" s="129"/>
      <c r="K1312" s="194"/>
      <c r="L1312" s="194"/>
      <c r="M1312" s="129"/>
      <c r="N1312" s="129" t="e">
        <f>Table1[[#This Row],[Estimated Effort (Hours)]]/NETWORKDAYS(Table1[[#This Row],[Planned Start Date]],Table1[[#This Row],[Planned End Date]])</f>
        <v>#DIV/0!</v>
      </c>
      <c r="O1312" s="178">
        <f>NETWORKDAYS(Table1[[#This Row],[Planned Start Date]],Table1[[#This Row],[Planned End Date]])</f>
        <v>0</v>
      </c>
      <c r="P1312" s="178">
        <f>NETWORKDAYS(Table1[[#This Row],[Planned Start Date]],$P$7)</f>
        <v>30643</v>
      </c>
      <c r="Q1312" s="129"/>
      <c r="R1312" s="183" t="str">
        <f>IF(Table1[[#This Row],[Actual Effort (Hours)]]="","",IF(Table1[[#This Row],[Estimated Effort (Hours)]]&lt;20,"L1",IF(Table1[[#This Row],[Estimated Effort (Hours)]]&lt;50,"L2",IF(Table1[[#This Row],[Estimated Effort (Hours)]]&lt;150,"L3",IF(Table1[[#This Row],[Estimated Effort (Hours)]]&lt;300,"L4","L5")))))</f>
        <v/>
      </c>
      <c r="S1312" s="184" t="str">
        <f>IF(Table1[[#This Row],[Actual End Date]]="","",TEXT(Table1[[#This Row],[Actual End Date]],"mmm-yy"))</f>
        <v/>
      </c>
      <c r="T13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2" s="185" t="str">
        <f>IFERROR((Table1[[#This Row],[Actual Effort (Hours)]]-Table1[[#This Row],[Estimated Effort (Hours)]])/Table1[[#This Row],[Estimated Effort (Hours)]],"")</f>
        <v/>
      </c>
    </row>
    <row r="1313" spans="2:21">
      <c r="B1313" s="125"/>
      <c r="C1313" s="123"/>
      <c r="D1313" s="143"/>
      <c r="E1313" s="123"/>
      <c r="F1313" s="143"/>
      <c r="G1313" s="129"/>
      <c r="H1313" s="124"/>
      <c r="I1313" s="124"/>
      <c r="J1313" s="129"/>
      <c r="K1313" s="194"/>
      <c r="L1313" s="194"/>
      <c r="M1313" s="129"/>
      <c r="N1313" s="129" t="e">
        <f>Table1[[#This Row],[Estimated Effort (Hours)]]/NETWORKDAYS(Table1[[#This Row],[Planned Start Date]],Table1[[#This Row],[Planned End Date]])</f>
        <v>#DIV/0!</v>
      </c>
      <c r="O1313" s="178">
        <f>NETWORKDAYS(Table1[[#This Row],[Planned Start Date]],Table1[[#This Row],[Planned End Date]])</f>
        <v>0</v>
      </c>
      <c r="P1313" s="178">
        <f>NETWORKDAYS(Table1[[#This Row],[Planned Start Date]],$P$7)</f>
        <v>30643</v>
      </c>
      <c r="Q1313" s="129"/>
      <c r="R1313" s="183" t="str">
        <f>IF(Table1[[#This Row],[Actual Effort (Hours)]]="","",IF(Table1[[#This Row],[Estimated Effort (Hours)]]&lt;20,"L1",IF(Table1[[#This Row],[Estimated Effort (Hours)]]&lt;50,"L2",IF(Table1[[#This Row],[Estimated Effort (Hours)]]&lt;150,"L3",IF(Table1[[#This Row],[Estimated Effort (Hours)]]&lt;300,"L4","L5")))))</f>
        <v/>
      </c>
      <c r="S1313" s="184" t="str">
        <f>IF(Table1[[#This Row],[Actual End Date]]="","",TEXT(Table1[[#This Row],[Actual End Date]],"mmm-yy"))</f>
        <v/>
      </c>
      <c r="T13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3" s="185" t="str">
        <f>IFERROR((Table1[[#This Row],[Actual Effort (Hours)]]-Table1[[#This Row],[Estimated Effort (Hours)]])/Table1[[#This Row],[Estimated Effort (Hours)]],"")</f>
        <v/>
      </c>
    </row>
    <row r="1314" spans="2:21">
      <c r="B1314" s="125"/>
      <c r="C1314" s="123"/>
      <c r="D1314" s="143"/>
      <c r="E1314" s="123"/>
      <c r="F1314" s="143"/>
      <c r="G1314" s="129"/>
      <c r="H1314" s="124"/>
      <c r="I1314" s="124"/>
      <c r="J1314" s="129"/>
      <c r="K1314" s="194"/>
      <c r="L1314" s="194"/>
      <c r="M1314" s="129"/>
      <c r="N1314" s="129" t="e">
        <f>Table1[[#This Row],[Estimated Effort (Hours)]]/NETWORKDAYS(Table1[[#This Row],[Planned Start Date]],Table1[[#This Row],[Planned End Date]])</f>
        <v>#DIV/0!</v>
      </c>
      <c r="O1314" s="178">
        <f>NETWORKDAYS(Table1[[#This Row],[Planned Start Date]],Table1[[#This Row],[Planned End Date]])</f>
        <v>0</v>
      </c>
      <c r="P1314" s="178">
        <f>NETWORKDAYS(Table1[[#This Row],[Planned Start Date]],$P$7)</f>
        <v>30643</v>
      </c>
      <c r="Q1314" s="129"/>
      <c r="R1314" s="183" t="str">
        <f>IF(Table1[[#This Row],[Actual Effort (Hours)]]="","",IF(Table1[[#This Row],[Estimated Effort (Hours)]]&lt;20,"L1",IF(Table1[[#This Row],[Estimated Effort (Hours)]]&lt;50,"L2",IF(Table1[[#This Row],[Estimated Effort (Hours)]]&lt;150,"L3",IF(Table1[[#This Row],[Estimated Effort (Hours)]]&lt;300,"L4","L5")))))</f>
        <v/>
      </c>
      <c r="S1314" s="184" t="str">
        <f>IF(Table1[[#This Row],[Actual End Date]]="","",TEXT(Table1[[#This Row],[Actual End Date]],"mmm-yy"))</f>
        <v/>
      </c>
      <c r="T13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4" s="185" t="str">
        <f>IFERROR((Table1[[#This Row],[Actual Effort (Hours)]]-Table1[[#This Row],[Estimated Effort (Hours)]])/Table1[[#This Row],[Estimated Effort (Hours)]],"")</f>
        <v/>
      </c>
    </row>
    <row r="1315" spans="2:21">
      <c r="B1315" s="125"/>
      <c r="C1315" s="123"/>
      <c r="D1315" s="143"/>
      <c r="E1315" s="123"/>
      <c r="F1315" s="143"/>
      <c r="G1315" s="129"/>
      <c r="H1315" s="124"/>
      <c r="I1315" s="124"/>
      <c r="J1315" s="129"/>
      <c r="K1315" s="194"/>
      <c r="L1315" s="194"/>
      <c r="M1315" s="129"/>
      <c r="N1315" s="129" t="e">
        <f>Table1[[#This Row],[Estimated Effort (Hours)]]/NETWORKDAYS(Table1[[#This Row],[Planned Start Date]],Table1[[#This Row],[Planned End Date]])</f>
        <v>#DIV/0!</v>
      </c>
      <c r="O1315" s="178">
        <f>NETWORKDAYS(Table1[[#This Row],[Planned Start Date]],Table1[[#This Row],[Planned End Date]])</f>
        <v>0</v>
      </c>
      <c r="P1315" s="178">
        <f>NETWORKDAYS(Table1[[#This Row],[Planned Start Date]],$P$7)</f>
        <v>30643</v>
      </c>
      <c r="Q1315" s="129"/>
      <c r="R1315" s="183" t="str">
        <f>IF(Table1[[#This Row],[Actual Effort (Hours)]]="","",IF(Table1[[#This Row],[Estimated Effort (Hours)]]&lt;20,"L1",IF(Table1[[#This Row],[Estimated Effort (Hours)]]&lt;50,"L2",IF(Table1[[#This Row],[Estimated Effort (Hours)]]&lt;150,"L3",IF(Table1[[#This Row],[Estimated Effort (Hours)]]&lt;300,"L4","L5")))))</f>
        <v/>
      </c>
      <c r="S1315" s="184" t="str">
        <f>IF(Table1[[#This Row],[Actual End Date]]="","",TEXT(Table1[[#This Row],[Actual End Date]],"mmm-yy"))</f>
        <v/>
      </c>
      <c r="T13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5" s="185" t="str">
        <f>IFERROR((Table1[[#This Row],[Actual Effort (Hours)]]-Table1[[#This Row],[Estimated Effort (Hours)]])/Table1[[#This Row],[Estimated Effort (Hours)]],"")</f>
        <v/>
      </c>
    </row>
    <row r="1316" spans="2:21">
      <c r="B1316" s="125"/>
      <c r="C1316" s="123"/>
      <c r="D1316" s="143"/>
      <c r="E1316" s="123"/>
      <c r="F1316" s="143"/>
      <c r="G1316" s="129"/>
      <c r="H1316" s="124"/>
      <c r="I1316" s="124"/>
      <c r="J1316" s="129"/>
      <c r="K1316" s="194"/>
      <c r="L1316" s="194"/>
      <c r="M1316" s="129"/>
      <c r="N1316" s="129" t="e">
        <f>Table1[[#This Row],[Estimated Effort (Hours)]]/NETWORKDAYS(Table1[[#This Row],[Planned Start Date]],Table1[[#This Row],[Planned End Date]])</f>
        <v>#DIV/0!</v>
      </c>
      <c r="O1316" s="178">
        <f>NETWORKDAYS(Table1[[#This Row],[Planned Start Date]],Table1[[#This Row],[Planned End Date]])</f>
        <v>0</v>
      </c>
      <c r="P1316" s="178">
        <f>NETWORKDAYS(Table1[[#This Row],[Planned Start Date]],$P$7)</f>
        <v>30643</v>
      </c>
      <c r="Q1316" s="129"/>
      <c r="R1316" s="183" t="str">
        <f>IF(Table1[[#This Row],[Actual Effort (Hours)]]="","",IF(Table1[[#This Row],[Estimated Effort (Hours)]]&lt;20,"L1",IF(Table1[[#This Row],[Estimated Effort (Hours)]]&lt;50,"L2",IF(Table1[[#This Row],[Estimated Effort (Hours)]]&lt;150,"L3",IF(Table1[[#This Row],[Estimated Effort (Hours)]]&lt;300,"L4","L5")))))</f>
        <v/>
      </c>
      <c r="S1316" s="184" t="str">
        <f>IF(Table1[[#This Row],[Actual End Date]]="","",TEXT(Table1[[#This Row],[Actual End Date]],"mmm-yy"))</f>
        <v/>
      </c>
      <c r="T13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6" s="185" t="str">
        <f>IFERROR((Table1[[#This Row],[Actual Effort (Hours)]]-Table1[[#This Row],[Estimated Effort (Hours)]])/Table1[[#This Row],[Estimated Effort (Hours)]],"")</f>
        <v/>
      </c>
    </row>
    <row r="1317" spans="2:21">
      <c r="B1317" s="125"/>
      <c r="C1317" s="123"/>
      <c r="D1317" s="143"/>
      <c r="E1317" s="123"/>
      <c r="F1317" s="143"/>
      <c r="G1317" s="129"/>
      <c r="H1317" s="124"/>
      <c r="I1317" s="124"/>
      <c r="J1317" s="129"/>
      <c r="K1317" s="194"/>
      <c r="L1317" s="194"/>
      <c r="M1317" s="129"/>
      <c r="N1317" s="129" t="e">
        <f>Table1[[#This Row],[Estimated Effort (Hours)]]/NETWORKDAYS(Table1[[#This Row],[Planned Start Date]],Table1[[#This Row],[Planned End Date]])</f>
        <v>#DIV/0!</v>
      </c>
      <c r="O1317" s="178">
        <f>NETWORKDAYS(Table1[[#This Row],[Planned Start Date]],Table1[[#This Row],[Planned End Date]])</f>
        <v>0</v>
      </c>
      <c r="P1317" s="178">
        <f>NETWORKDAYS(Table1[[#This Row],[Planned Start Date]],$P$7)</f>
        <v>30643</v>
      </c>
      <c r="Q1317" s="129"/>
      <c r="R1317" s="183" t="str">
        <f>IF(Table1[[#This Row],[Actual Effort (Hours)]]="","",IF(Table1[[#This Row],[Estimated Effort (Hours)]]&lt;20,"L1",IF(Table1[[#This Row],[Estimated Effort (Hours)]]&lt;50,"L2",IF(Table1[[#This Row],[Estimated Effort (Hours)]]&lt;150,"L3",IF(Table1[[#This Row],[Estimated Effort (Hours)]]&lt;300,"L4","L5")))))</f>
        <v/>
      </c>
      <c r="S1317" s="184" t="str">
        <f>IF(Table1[[#This Row],[Actual End Date]]="","",TEXT(Table1[[#This Row],[Actual End Date]],"mmm-yy"))</f>
        <v/>
      </c>
      <c r="T13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7" s="185" t="str">
        <f>IFERROR((Table1[[#This Row],[Actual Effort (Hours)]]-Table1[[#This Row],[Estimated Effort (Hours)]])/Table1[[#This Row],[Estimated Effort (Hours)]],"")</f>
        <v/>
      </c>
    </row>
    <row r="1318" spans="2:21">
      <c r="B1318" s="125"/>
      <c r="C1318" s="123"/>
      <c r="D1318" s="143"/>
      <c r="E1318" s="123"/>
      <c r="F1318" s="143"/>
      <c r="G1318" s="129"/>
      <c r="H1318" s="124"/>
      <c r="I1318" s="124"/>
      <c r="J1318" s="129"/>
      <c r="K1318" s="194"/>
      <c r="L1318" s="194"/>
      <c r="M1318" s="129"/>
      <c r="N1318" s="129" t="e">
        <f>Table1[[#This Row],[Estimated Effort (Hours)]]/NETWORKDAYS(Table1[[#This Row],[Planned Start Date]],Table1[[#This Row],[Planned End Date]])</f>
        <v>#DIV/0!</v>
      </c>
      <c r="O1318" s="178">
        <f>NETWORKDAYS(Table1[[#This Row],[Planned Start Date]],Table1[[#This Row],[Planned End Date]])</f>
        <v>0</v>
      </c>
      <c r="P1318" s="178">
        <f>NETWORKDAYS(Table1[[#This Row],[Planned Start Date]],$P$7)</f>
        <v>30643</v>
      </c>
      <c r="Q1318" s="129"/>
      <c r="R1318" s="183" t="str">
        <f>IF(Table1[[#This Row],[Actual Effort (Hours)]]="","",IF(Table1[[#This Row],[Estimated Effort (Hours)]]&lt;20,"L1",IF(Table1[[#This Row],[Estimated Effort (Hours)]]&lt;50,"L2",IF(Table1[[#This Row],[Estimated Effort (Hours)]]&lt;150,"L3",IF(Table1[[#This Row],[Estimated Effort (Hours)]]&lt;300,"L4","L5")))))</f>
        <v/>
      </c>
      <c r="S1318" s="184" t="str">
        <f>IF(Table1[[#This Row],[Actual End Date]]="","",TEXT(Table1[[#This Row],[Actual End Date]],"mmm-yy"))</f>
        <v/>
      </c>
      <c r="T13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8" s="185" t="str">
        <f>IFERROR((Table1[[#This Row],[Actual Effort (Hours)]]-Table1[[#This Row],[Estimated Effort (Hours)]])/Table1[[#This Row],[Estimated Effort (Hours)]],"")</f>
        <v/>
      </c>
    </row>
    <row r="1319" spans="2:21">
      <c r="B1319" s="125"/>
      <c r="C1319" s="123"/>
      <c r="D1319" s="143"/>
      <c r="E1319" s="123"/>
      <c r="F1319" s="143"/>
      <c r="G1319" s="129"/>
      <c r="H1319" s="124"/>
      <c r="I1319" s="124"/>
      <c r="J1319" s="129"/>
      <c r="K1319" s="194"/>
      <c r="L1319" s="194"/>
      <c r="M1319" s="129"/>
      <c r="N1319" s="129" t="e">
        <f>Table1[[#This Row],[Estimated Effort (Hours)]]/NETWORKDAYS(Table1[[#This Row],[Planned Start Date]],Table1[[#This Row],[Planned End Date]])</f>
        <v>#DIV/0!</v>
      </c>
      <c r="O1319" s="178">
        <f>NETWORKDAYS(Table1[[#This Row],[Planned Start Date]],Table1[[#This Row],[Planned End Date]])</f>
        <v>0</v>
      </c>
      <c r="P1319" s="178">
        <f>NETWORKDAYS(Table1[[#This Row],[Planned Start Date]],$P$7)</f>
        <v>30643</v>
      </c>
      <c r="Q1319" s="129"/>
      <c r="R1319" s="183" t="str">
        <f>IF(Table1[[#This Row],[Actual Effort (Hours)]]="","",IF(Table1[[#This Row],[Estimated Effort (Hours)]]&lt;20,"L1",IF(Table1[[#This Row],[Estimated Effort (Hours)]]&lt;50,"L2",IF(Table1[[#This Row],[Estimated Effort (Hours)]]&lt;150,"L3",IF(Table1[[#This Row],[Estimated Effort (Hours)]]&lt;300,"L4","L5")))))</f>
        <v/>
      </c>
      <c r="S1319" s="184" t="str">
        <f>IF(Table1[[#This Row],[Actual End Date]]="","",TEXT(Table1[[#This Row],[Actual End Date]],"mmm-yy"))</f>
        <v/>
      </c>
      <c r="T13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19" s="185" t="str">
        <f>IFERROR((Table1[[#This Row],[Actual Effort (Hours)]]-Table1[[#This Row],[Estimated Effort (Hours)]])/Table1[[#This Row],[Estimated Effort (Hours)]],"")</f>
        <v/>
      </c>
    </row>
    <row r="1320" spans="2:21">
      <c r="B1320" s="125"/>
      <c r="C1320" s="123"/>
      <c r="D1320" s="143"/>
      <c r="E1320" s="123"/>
      <c r="F1320" s="143"/>
      <c r="G1320" s="129"/>
      <c r="H1320" s="124"/>
      <c r="I1320" s="124"/>
      <c r="J1320" s="129"/>
      <c r="K1320" s="194"/>
      <c r="L1320" s="194"/>
      <c r="M1320" s="129"/>
      <c r="N1320" s="129" t="e">
        <f>Table1[[#This Row],[Estimated Effort (Hours)]]/NETWORKDAYS(Table1[[#This Row],[Planned Start Date]],Table1[[#This Row],[Planned End Date]])</f>
        <v>#DIV/0!</v>
      </c>
      <c r="O1320" s="178">
        <f>NETWORKDAYS(Table1[[#This Row],[Planned Start Date]],Table1[[#This Row],[Planned End Date]])</f>
        <v>0</v>
      </c>
      <c r="P1320" s="178">
        <f>NETWORKDAYS(Table1[[#This Row],[Planned Start Date]],$P$7)</f>
        <v>30643</v>
      </c>
      <c r="Q1320" s="129"/>
      <c r="R1320" s="183" t="str">
        <f>IF(Table1[[#This Row],[Actual Effort (Hours)]]="","",IF(Table1[[#This Row],[Estimated Effort (Hours)]]&lt;20,"L1",IF(Table1[[#This Row],[Estimated Effort (Hours)]]&lt;50,"L2",IF(Table1[[#This Row],[Estimated Effort (Hours)]]&lt;150,"L3",IF(Table1[[#This Row],[Estimated Effort (Hours)]]&lt;300,"L4","L5")))))</f>
        <v/>
      </c>
      <c r="S1320" s="184" t="str">
        <f>IF(Table1[[#This Row],[Actual End Date]]="","",TEXT(Table1[[#This Row],[Actual End Date]],"mmm-yy"))</f>
        <v/>
      </c>
      <c r="T13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0" s="185" t="str">
        <f>IFERROR((Table1[[#This Row],[Actual Effort (Hours)]]-Table1[[#This Row],[Estimated Effort (Hours)]])/Table1[[#This Row],[Estimated Effort (Hours)]],"")</f>
        <v/>
      </c>
    </row>
    <row r="1321" spans="2:21">
      <c r="B1321" s="125"/>
      <c r="C1321" s="123"/>
      <c r="D1321" s="143"/>
      <c r="E1321" s="123"/>
      <c r="F1321" s="143"/>
      <c r="G1321" s="129"/>
      <c r="H1321" s="124"/>
      <c r="I1321" s="124"/>
      <c r="J1321" s="129"/>
      <c r="K1321" s="194"/>
      <c r="L1321" s="194"/>
      <c r="M1321" s="129"/>
      <c r="N1321" s="129" t="e">
        <f>Table1[[#This Row],[Estimated Effort (Hours)]]/NETWORKDAYS(Table1[[#This Row],[Planned Start Date]],Table1[[#This Row],[Planned End Date]])</f>
        <v>#DIV/0!</v>
      </c>
      <c r="O1321" s="178">
        <f>NETWORKDAYS(Table1[[#This Row],[Planned Start Date]],Table1[[#This Row],[Planned End Date]])</f>
        <v>0</v>
      </c>
      <c r="P1321" s="178">
        <f>NETWORKDAYS(Table1[[#This Row],[Planned Start Date]],$P$7)</f>
        <v>30643</v>
      </c>
      <c r="Q1321" s="129"/>
      <c r="R1321" s="183" t="str">
        <f>IF(Table1[[#This Row],[Actual Effort (Hours)]]="","",IF(Table1[[#This Row],[Estimated Effort (Hours)]]&lt;20,"L1",IF(Table1[[#This Row],[Estimated Effort (Hours)]]&lt;50,"L2",IF(Table1[[#This Row],[Estimated Effort (Hours)]]&lt;150,"L3",IF(Table1[[#This Row],[Estimated Effort (Hours)]]&lt;300,"L4","L5")))))</f>
        <v/>
      </c>
      <c r="S1321" s="184" t="str">
        <f>IF(Table1[[#This Row],[Actual End Date]]="","",TEXT(Table1[[#This Row],[Actual End Date]],"mmm-yy"))</f>
        <v/>
      </c>
      <c r="T13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1" s="185" t="str">
        <f>IFERROR((Table1[[#This Row],[Actual Effort (Hours)]]-Table1[[#This Row],[Estimated Effort (Hours)]])/Table1[[#This Row],[Estimated Effort (Hours)]],"")</f>
        <v/>
      </c>
    </row>
    <row r="1322" spans="2:21">
      <c r="B1322" s="125"/>
      <c r="C1322" s="123"/>
      <c r="D1322" s="143"/>
      <c r="E1322" s="123"/>
      <c r="F1322" s="143"/>
      <c r="G1322" s="129"/>
      <c r="H1322" s="124"/>
      <c r="I1322" s="124"/>
      <c r="J1322" s="129"/>
      <c r="K1322" s="194"/>
      <c r="L1322" s="194"/>
      <c r="M1322" s="129"/>
      <c r="N1322" s="129" t="e">
        <f>Table1[[#This Row],[Estimated Effort (Hours)]]/NETWORKDAYS(Table1[[#This Row],[Planned Start Date]],Table1[[#This Row],[Planned End Date]])</f>
        <v>#DIV/0!</v>
      </c>
      <c r="O1322" s="178">
        <f>NETWORKDAYS(Table1[[#This Row],[Planned Start Date]],Table1[[#This Row],[Planned End Date]])</f>
        <v>0</v>
      </c>
      <c r="P1322" s="178">
        <f>NETWORKDAYS(Table1[[#This Row],[Planned Start Date]],$P$7)</f>
        <v>30643</v>
      </c>
      <c r="Q1322" s="129"/>
      <c r="R1322" s="183" t="str">
        <f>IF(Table1[[#This Row],[Actual Effort (Hours)]]="","",IF(Table1[[#This Row],[Estimated Effort (Hours)]]&lt;20,"L1",IF(Table1[[#This Row],[Estimated Effort (Hours)]]&lt;50,"L2",IF(Table1[[#This Row],[Estimated Effort (Hours)]]&lt;150,"L3",IF(Table1[[#This Row],[Estimated Effort (Hours)]]&lt;300,"L4","L5")))))</f>
        <v/>
      </c>
      <c r="S1322" s="184" t="str">
        <f>IF(Table1[[#This Row],[Actual End Date]]="","",TEXT(Table1[[#This Row],[Actual End Date]],"mmm-yy"))</f>
        <v/>
      </c>
      <c r="T13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2" s="185" t="str">
        <f>IFERROR((Table1[[#This Row],[Actual Effort (Hours)]]-Table1[[#This Row],[Estimated Effort (Hours)]])/Table1[[#This Row],[Estimated Effort (Hours)]],"")</f>
        <v/>
      </c>
    </row>
    <row r="1323" spans="2:21">
      <c r="B1323" s="125"/>
      <c r="C1323" s="123"/>
      <c r="D1323" s="143"/>
      <c r="E1323" s="123"/>
      <c r="F1323" s="143"/>
      <c r="G1323" s="129"/>
      <c r="H1323" s="124"/>
      <c r="I1323" s="124"/>
      <c r="J1323" s="129"/>
      <c r="K1323" s="194"/>
      <c r="L1323" s="194"/>
      <c r="M1323" s="129"/>
      <c r="N1323" s="129" t="e">
        <f>Table1[[#This Row],[Estimated Effort (Hours)]]/NETWORKDAYS(Table1[[#This Row],[Planned Start Date]],Table1[[#This Row],[Planned End Date]])</f>
        <v>#DIV/0!</v>
      </c>
      <c r="O1323" s="178">
        <f>NETWORKDAYS(Table1[[#This Row],[Planned Start Date]],Table1[[#This Row],[Planned End Date]])</f>
        <v>0</v>
      </c>
      <c r="P1323" s="178">
        <f>NETWORKDAYS(Table1[[#This Row],[Planned Start Date]],$P$7)</f>
        <v>30643</v>
      </c>
      <c r="Q1323" s="129"/>
      <c r="R1323" s="183" t="str">
        <f>IF(Table1[[#This Row],[Actual Effort (Hours)]]="","",IF(Table1[[#This Row],[Estimated Effort (Hours)]]&lt;20,"L1",IF(Table1[[#This Row],[Estimated Effort (Hours)]]&lt;50,"L2",IF(Table1[[#This Row],[Estimated Effort (Hours)]]&lt;150,"L3",IF(Table1[[#This Row],[Estimated Effort (Hours)]]&lt;300,"L4","L5")))))</f>
        <v/>
      </c>
      <c r="S1323" s="184" t="str">
        <f>IF(Table1[[#This Row],[Actual End Date]]="","",TEXT(Table1[[#This Row],[Actual End Date]],"mmm-yy"))</f>
        <v/>
      </c>
      <c r="T13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3" s="185" t="str">
        <f>IFERROR((Table1[[#This Row],[Actual Effort (Hours)]]-Table1[[#This Row],[Estimated Effort (Hours)]])/Table1[[#This Row],[Estimated Effort (Hours)]],"")</f>
        <v/>
      </c>
    </row>
    <row r="1324" spans="2:21">
      <c r="B1324" s="125"/>
      <c r="C1324" s="123"/>
      <c r="D1324" s="143"/>
      <c r="E1324" s="123"/>
      <c r="F1324" s="143"/>
      <c r="G1324" s="129"/>
      <c r="H1324" s="124"/>
      <c r="I1324" s="124"/>
      <c r="J1324" s="129"/>
      <c r="K1324" s="194"/>
      <c r="L1324" s="194"/>
      <c r="M1324" s="129"/>
      <c r="N1324" s="129" t="e">
        <f>Table1[[#This Row],[Estimated Effort (Hours)]]/NETWORKDAYS(Table1[[#This Row],[Planned Start Date]],Table1[[#This Row],[Planned End Date]])</f>
        <v>#DIV/0!</v>
      </c>
      <c r="O1324" s="178">
        <f>NETWORKDAYS(Table1[[#This Row],[Planned Start Date]],Table1[[#This Row],[Planned End Date]])</f>
        <v>0</v>
      </c>
      <c r="P1324" s="178">
        <f>NETWORKDAYS(Table1[[#This Row],[Planned Start Date]],$P$7)</f>
        <v>30643</v>
      </c>
      <c r="Q1324" s="129"/>
      <c r="R1324" s="183" t="str">
        <f>IF(Table1[[#This Row],[Actual Effort (Hours)]]="","",IF(Table1[[#This Row],[Estimated Effort (Hours)]]&lt;20,"L1",IF(Table1[[#This Row],[Estimated Effort (Hours)]]&lt;50,"L2",IF(Table1[[#This Row],[Estimated Effort (Hours)]]&lt;150,"L3",IF(Table1[[#This Row],[Estimated Effort (Hours)]]&lt;300,"L4","L5")))))</f>
        <v/>
      </c>
      <c r="S1324" s="184" t="str">
        <f>IF(Table1[[#This Row],[Actual End Date]]="","",TEXT(Table1[[#This Row],[Actual End Date]],"mmm-yy"))</f>
        <v/>
      </c>
      <c r="T13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4" s="185" t="str">
        <f>IFERROR((Table1[[#This Row],[Actual Effort (Hours)]]-Table1[[#This Row],[Estimated Effort (Hours)]])/Table1[[#This Row],[Estimated Effort (Hours)]],"")</f>
        <v/>
      </c>
    </row>
    <row r="1325" spans="2:21">
      <c r="B1325" s="125"/>
      <c r="C1325" s="123"/>
      <c r="D1325" s="143"/>
      <c r="E1325" s="123"/>
      <c r="F1325" s="143"/>
      <c r="G1325" s="129"/>
      <c r="H1325" s="124"/>
      <c r="I1325" s="124"/>
      <c r="J1325" s="129"/>
      <c r="K1325" s="194"/>
      <c r="L1325" s="194"/>
      <c r="M1325" s="129"/>
      <c r="N1325" s="129" t="e">
        <f>Table1[[#This Row],[Estimated Effort (Hours)]]/NETWORKDAYS(Table1[[#This Row],[Planned Start Date]],Table1[[#This Row],[Planned End Date]])</f>
        <v>#DIV/0!</v>
      </c>
      <c r="O1325" s="178">
        <f>NETWORKDAYS(Table1[[#This Row],[Planned Start Date]],Table1[[#This Row],[Planned End Date]])</f>
        <v>0</v>
      </c>
      <c r="P1325" s="178">
        <f>NETWORKDAYS(Table1[[#This Row],[Planned Start Date]],$P$7)</f>
        <v>30643</v>
      </c>
      <c r="Q1325" s="129"/>
      <c r="R1325" s="183" t="str">
        <f>IF(Table1[[#This Row],[Actual Effort (Hours)]]="","",IF(Table1[[#This Row],[Estimated Effort (Hours)]]&lt;20,"L1",IF(Table1[[#This Row],[Estimated Effort (Hours)]]&lt;50,"L2",IF(Table1[[#This Row],[Estimated Effort (Hours)]]&lt;150,"L3",IF(Table1[[#This Row],[Estimated Effort (Hours)]]&lt;300,"L4","L5")))))</f>
        <v/>
      </c>
      <c r="S1325" s="184" t="str">
        <f>IF(Table1[[#This Row],[Actual End Date]]="","",TEXT(Table1[[#This Row],[Actual End Date]],"mmm-yy"))</f>
        <v/>
      </c>
      <c r="T13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5" s="185" t="str">
        <f>IFERROR((Table1[[#This Row],[Actual Effort (Hours)]]-Table1[[#This Row],[Estimated Effort (Hours)]])/Table1[[#This Row],[Estimated Effort (Hours)]],"")</f>
        <v/>
      </c>
    </row>
    <row r="1326" spans="2:21">
      <c r="B1326" s="125"/>
      <c r="C1326" s="123"/>
      <c r="D1326" s="143"/>
      <c r="E1326" s="123"/>
      <c r="F1326" s="143"/>
      <c r="G1326" s="129"/>
      <c r="H1326" s="124"/>
      <c r="I1326" s="124"/>
      <c r="J1326" s="129"/>
      <c r="K1326" s="194"/>
      <c r="L1326" s="194"/>
      <c r="M1326" s="129"/>
      <c r="N1326" s="129" t="e">
        <f>Table1[[#This Row],[Estimated Effort (Hours)]]/NETWORKDAYS(Table1[[#This Row],[Planned Start Date]],Table1[[#This Row],[Planned End Date]])</f>
        <v>#DIV/0!</v>
      </c>
      <c r="O1326" s="178">
        <f>NETWORKDAYS(Table1[[#This Row],[Planned Start Date]],Table1[[#This Row],[Planned End Date]])</f>
        <v>0</v>
      </c>
      <c r="P1326" s="178">
        <f>NETWORKDAYS(Table1[[#This Row],[Planned Start Date]],$P$7)</f>
        <v>30643</v>
      </c>
      <c r="Q1326" s="129"/>
      <c r="R1326" s="183" t="str">
        <f>IF(Table1[[#This Row],[Actual Effort (Hours)]]="","",IF(Table1[[#This Row],[Estimated Effort (Hours)]]&lt;20,"L1",IF(Table1[[#This Row],[Estimated Effort (Hours)]]&lt;50,"L2",IF(Table1[[#This Row],[Estimated Effort (Hours)]]&lt;150,"L3",IF(Table1[[#This Row],[Estimated Effort (Hours)]]&lt;300,"L4","L5")))))</f>
        <v/>
      </c>
      <c r="S1326" s="184" t="str">
        <f>IF(Table1[[#This Row],[Actual End Date]]="","",TEXT(Table1[[#This Row],[Actual End Date]],"mmm-yy"))</f>
        <v/>
      </c>
      <c r="T13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6" s="185" t="str">
        <f>IFERROR((Table1[[#This Row],[Actual Effort (Hours)]]-Table1[[#This Row],[Estimated Effort (Hours)]])/Table1[[#This Row],[Estimated Effort (Hours)]],"")</f>
        <v/>
      </c>
    </row>
    <row r="1327" spans="2:21">
      <c r="B1327" s="125"/>
      <c r="C1327" s="123"/>
      <c r="D1327" s="143"/>
      <c r="E1327" s="123"/>
      <c r="F1327" s="143"/>
      <c r="G1327" s="129"/>
      <c r="H1327" s="124"/>
      <c r="I1327" s="124"/>
      <c r="J1327" s="129"/>
      <c r="K1327" s="194"/>
      <c r="L1327" s="194"/>
      <c r="M1327" s="129"/>
      <c r="N1327" s="129" t="e">
        <f>Table1[[#This Row],[Estimated Effort (Hours)]]/NETWORKDAYS(Table1[[#This Row],[Planned Start Date]],Table1[[#This Row],[Planned End Date]])</f>
        <v>#DIV/0!</v>
      </c>
      <c r="O1327" s="178">
        <f>NETWORKDAYS(Table1[[#This Row],[Planned Start Date]],Table1[[#This Row],[Planned End Date]])</f>
        <v>0</v>
      </c>
      <c r="P1327" s="178">
        <f>NETWORKDAYS(Table1[[#This Row],[Planned Start Date]],$P$7)</f>
        <v>30643</v>
      </c>
      <c r="Q1327" s="129"/>
      <c r="R1327" s="183" t="str">
        <f>IF(Table1[[#This Row],[Actual Effort (Hours)]]="","",IF(Table1[[#This Row],[Estimated Effort (Hours)]]&lt;20,"L1",IF(Table1[[#This Row],[Estimated Effort (Hours)]]&lt;50,"L2",IF(Table1[[#This Row],[Estimated Effort (Hours)]]&lt;150,"L3",IF(Table1[[#This Row],[Estimated Effort (Hours)]]&lt;300,"L4","L5")))))</f>
        <v/>
      </c>
      <c r="S1327" s="184" t="str">
        <f>IF(Table1[[#This Row],[Actual End Date]]="","",TEXT(Table1[[#This Row],[Actual End Date]],"mmm-yy"))</f>
        <v/>
      </c>
      <c r="T13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7" s="185" t="str">
        <f>IFERROR((Table1[[#This Row],[Actual Effort (Hours)]]-Table1[[#This Row],[Estimated Effort (Hours)]])/Table1[[#This Row],[Estimated Effort (Hours)]],"")</f>
        <v/>
      </c>
    </row>
    <row r="1328" spans="2:21">
      <c r="B1328" s="125"/>
      <c r="C1328" s="123"/>
      <c r="D1328" s="143"/>
      <c r="E1328" s="123"/>
      <c r="F1328" s="143"/>
      <c r="G1328" s="129"/>
      <c r="H1328" s="124"/>
      <c r="I1328" s="124"/>
      <c r="J1328" s="129"/>
      <c r="K1328" s="194"/>
      <c r="L1328" s="194"/>
      <c r="M1328" s="129"/>
      <c r="N1328" s="129" t="e">
        <f>Table1[[#This Row],[Estimated Effort (Hours)]]/NETWORKDAYS(Table1[[#This Row],[Planned Start Date]],Table1[[#This Row],[Planned End Date]])</f>
        <v>#DIV/0!</v>
      </c>
      <c r="O1328" s="178">
        <f>NETWORKDAYS(Table1[[#This Row],[Planned Start Date]],Table1[[#This Row],[Planned End Date]])</f>
        <v>0</v>
      </c>
      <c r="P1328" s="178">
        <f>NETWORKDAYS(Table1[[#This Row],[Planned Start Date]],$P$7)</f>
        <v>30643</v>
      </c>
      <c r="Q1328" s="129"/>
      <c r="R1328" s="183" t="str">
        <f>IF(Table1[[#This Row],[Actual Effort (Hours)]]="","",IF(Table1[[#This Row],[Estimated Effort (Hours)]]&lt;20,"L1",IF(Table1[[#This Row],[Estimated Effort (Hours)]]&lt;50,"L2",IF(Table1[[#This Row],[Estimated Effort (Hours)]]&lt;150,"L3",IF(Table1[[#This Row],[Estimated Effort (Hours)]]&lt;300,"L4","L5")))))</f>
        <v/>
      </c>
      <c r="S1328" s="184" t="str">
        <f>IF(Table1[[#This Row],[Actual End Date]]="","",TEXT(Table1[[#This Row],[Actual End Date]],"mmm-yy"))</f>
        <v/>
      </c>
      <c r="T13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8" s="185" t="str">
        <f>IFERROR((Table1[[#This Row],[Actual Effort (Hours)]]-Table1[[#This Row],[Estimated Effort (Hours)]])/Table1[[#This Row],[Estimated Effort (Hours)]],"")</f>
        <v/>
      </c>
    </row>
    <row r="1329" spans="2:21">
      <c r="B1329" s="125"/>
      <c r="C1329" s="123"/>
      <c r="D1329" s="143"/>
      <c r="E1329" s="123"/>
      <c r="F1329" s="143"/>
      <c r="G1329" s="129"/>
      <c r="H1329" s="124"/>
      <c r="I1329" s="124"/>
      <c r="J1329" s="129"/>
      <c r="K1329" s="194"/>
      <c r="L1329" s="194"/>
      <c r="M1329" s="129"/>
      <c r="N1329" s="129" t="e">
        <f>Table1[[#This Row],[Estimated Effort (Hours)]]/NETWORKDAYS(Table1[[#This Row],[Planned Start Date]],Table1[[#This Row],[Planned End Date]])</f>
        <v>#DIV/0!</v>
      </c>
      <c r="O1329" s="178">
        <f>NETWORKDAYS(Table1[[#This Row],[Planned Start Date]],Table1[[#This Row],[Planned End Date]])</f>
        <v>0</v>
      </c>
      <c r="P1329" s="178">
        <f>NETWORKDAYS(Table1[[#This Row],[Planned Start Date]],$P$7)</f>
        <v>30643</v>
      </c>
      <c r="Q1329" s="129"/>
      <c r="R1329" s="183" t="str">
        <f>IF(Table1[[#This Row],[Actual Effort (Hours)]]="","",IF(Table1[[#This Row],[Estimated Effort (Hours)]]&lt;20,"L1",IF(Table1[[#This Row],[Estimated Effort (Hours)]]&lt;50,"L2",IF(Table1[[#This Row],[Estimated Effort (Hours)]]&lt;150,"L3",IF(Table1[[#This Row],[Estimated Effort (Hours)]]&lt;300,"L4","L5")))))</f>
        <v/>
      </c>
      <c r="S1329" s="184" t="str">
        <f>IF(Table1[[#This Row],[Actual End Date]]="","",TEXT(Table1[[#This Row],[Actual End Date]],"mmm-yy"))</f>
        <v/>
      </c>
      <c r="T13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29" s="185" t="str">
        <f>IFERROR((Table1[[#This Row],[Actual Effort (Hours)]]-Table1[[#This Row],[Estimated Effort (Hours)]])/Table1[[#This Row],[Estimated Effort (Hours)]],"")</f>
        <v/>
      </c>
    </row>
    <row r="1330" spans="2:21">
      <c r="B1330" s="125"/>
      <c r="C1330" s="123"/>
      <c r="D1330" s="143"/>
      <c r="E1330" s="123"/>
      <c r="F1330" s="143"/>
      <c r="G1330" s="129"/>
      <c r="H1330" s="124"/>
      <c r="I1330" s="124"/>
      <c r="J1330" s="129"/>
      <c r="K1330" s="194"/>
      <c r="L1330" s="194"/>
      <c r="M1330" s="129"/>
      <c r="N1330" s="129" t="e">
        <f>Table1[[#This Row],[Estimated Effort (Hours)]]/NETWORKDAYS(Table1[[#This Row],[Planned Start Date]],Table1[[#This Row],[Planned End Date]])</f>
        <v>#DIV/0!</v>
      </c>
      <c r="O1330" s="178">
        <f>NETWORKDAYS(Table1[[#This Row],[Planned Start Date]],Table1[[#This Row],[Planned End Date]])</f>
        <v>0</v>
      </c>
      <c r="P1330" s="178">
        <f>NETWORKDAYS(Table1[[#This Row],[Planned Start Date]],$P$7)</f>
        <v>30643</v>
      </c>
      <c r="Q1330" s="129"/>
      <c r="R1330" s="183" t="str">
        <f>IF(Table1[[#This Row],[Actual Effort (Hours)]]="","",IF(Table1[[#This Row],[Estimated Effort (Hours)]]&lt;20,"L1",IF(Table1[[#This Row],[Estimated Effort (Hours)]]&lt;50,"L2",IF(Table1[[#This Row],[Estimated Effort (Hours)]]&lt;150,"L3",IF(Table1[[#This Row],[Estimated Effort (Hours)]]&lt;300,"L4","L5")))))</f>
        <v/>
      </c>
      <c r="S1330" s="184" t="str">
        <f>IF(Table1[[#This Row],[Actual End Date]]="","",TEXT(Table1[[#This Row],[Actual End Date]],"mmm-yy"))</f>
        <v/>
      </c>
      <c r="T13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0" s="185" t="str">
        <f>IFERROR((Table1[[#This Row],[Actual Effort (Hours)]]-Table1[[#This Row],[Estimated Effort (Hours)]])/Table1[[#This Row],[Estimated Effort (Hours)]],"")</f>
        <v/>
      </c>
    </row>
    <row r="1331" spans="2:21">
      <c r="B1331" s="125"/>
      <c r="C1331" s="123"/>
      <c r="D1331" s="143"/>
      <c r="E1331" s="123"/>
      <c r="F1331" s="143"/>
      <c r="G1331" s="129"/>
      <c r="H1331" s="124"/>
      <c r="I1331" s="124"/>
      <c r="J1331" s="129"/>
      <c r="K1331" s="194"/>
      <c r="L1331" s="194"/>
      <c r="M1331" s="129"/>
      <c r="N1331" s="129" t="e">
        <f>Table1[[#This Row],[Estimated Effort (Hours)]]/NETWORKDAYS(Table1[[#This Row],[Planned Start Date]],Table1[[#This Row],[Planned End Date]])</f>
        <v>#DIV/0!</v>
      </c>
      <c r="O1331" s="178">
        <f>NETWORKDAYS(Table1[[#This Row],[Planned Start Date]],Table1[[#This Row],[Planned End Date]])</f>
        <v>0</v>
      </c>
      <c r="P1331" s="178">
        <f>NETWORKDAYS(Table1[[#This Row],[Planned Start Date]],$P$7)</f>
        <v>30643</v>
      </c>
      <c r="Q1331" s="129"/>
      <c r="R1331" s="183" t="str">
        <f>IF(Table1[[#This Row],[Actual Effort (Hours)]]="","",IF(Table1[[#This Row],[Estimated Effort (Hours)]]&lt;20,"L1",IF(Table1[[#This Row],[Estimated Effort (Hours)]]&lt;50,"L2",IF(Table1[[#This Row],[Estimated Effort (Hours)]]&lt;150,"L3",IF(Table1[[#This Row],[Estimated Effort (Hours)]]&lt;300,"L4","L5")))))</f>
        <v/>
      </c>
      <c r="S1331" s="184" t="str">
        <f>IF(Table1[[#This Row],[Actual End Date]]="","",TEXT(Table1[[#This Row],[Actual End Date]],"mmm-yy"))</f>
        <v/>
      </c>
      <c r="T13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1" s="185" t="str">
        <f>IFERROR((Table1[[#This Row],[Actual Effort (Hours)]]-Table1[[#This Row],[Estimated Effort (Hours)]])/Table1[[#This Row],[Estimated Effort (Hours)]],"")</f>
        <v/>
      </c>
    </row>
    <row r="1332" spans="2:21">
      <c r="B1332" s="125"/>
      <c r="C1332" s="123"/>
      <c r="D1332" s="143"/>
      <c r="E1332" s="123"/>
      <c r="F1332" s="143"/>
      <c r="G1332" s="129"/>
      <c r="H1332" s="124"/>
      <c r="I1332" s="124"/>
      <c r="J1332" s="129"/>
      <c r="K1332" s="194"/>
      <c r="L1332" s="194"/>
      <c r="M1332" s="129"/>
      <c r="N1332" s="129" t="e">
        <f>Table1[[#This Row],[Estimated Effort (Hours)]]/NETWORKDAYS(Table1[[#This Row],[Planned Start Date]],Table1[[#This Row],[Planned End Date]])</f>
        <v>#DIV/0!</v>
      </c>
      <c r="O1332" s="178">
        <f>NETWORKDAYS(Table1[[#This Row],[Planned Start Date]],Table1[[#This Row],[Planned End Date]])</f>
        <v>0</v>
      </c>
      <c r="P1332" s="178">
        <f>NETWORKDAYS(Table1[[#This Row],[Planned Start Date]],$P$7)</f>
        <v>30643</v>
      </c>
      <c r="Q1332" s="129"/>
      <c r="R1332" s="183" t="str">
        <f>IF(Table1[[#This Row],[Actual Effort (Hours)]]="","",IF(Table1[[#This Row],[Estimated Effort (Hours)]]&lt;20,"L1",IF(Table1[[#This Row],[Estimated Effort (Hours)]]&lt;50,"L2",IF(Table1[[#This Row],[Estimated Effort (Hours)]]&lt;150,"L3",IF(Table1[[#This Row],[Estimated Effort (Hours)]]&lt;300,"L4","L5")))))</f>
        <v/>
      </c>
      <c r="S1332" s="184" t="str">
        <f>IF(Table1[[#This Row],[Actual End Date]]="","",TEXT(Table1[[#This Row],[Actual End Date]],"mmm-yy"))</f>
        <v/>
      </c>
      <c r="T13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2" s="185" t="str">
        <f>IFERROR((Table1[[#This Row],[Actual Effort (Hours)]]-Table1[[#This Row],[Estimated Effort (Hours)]])/Table1[[#This Row],[Estimated Effort (Hours)]],"")</f>
        <v/>
      </c>
    </row>
    <row r="1333" spans="2:21">
      <c r="B1333" s="125"/>
      <c r="C1333" s="123"/>
      <c r="D1333" s="143"/>
      <c r="E1333" s="123"/>
      <c r="F1333" s="143"/>
      <c r="G1333" s="129"/>
      <c r="H1333" s="124"/>
      <c r="I1333" s="124"/>
      <c r="J1333" s="129"/>
      <c r="K1333" s="194"/>
      <c r="L1333" s="194"/>
      <c r="M1333" s="129"/>
      <c r="N1333" s="129" t="e">
        <f>Table1[[#This Row],[Estimated Effort (Hours)]]/NETWORKDAYS(Table1[[#This Row],[Planned Start Date]],Table1[[#This Row],[Planned End Date]])</f>
        <v>#DIV/0!</v>
      </c>
      <c r="O1333" s="178">
        <f>NETWORKDAYS(Table1[[#This Row],[Planned Start Date]],Table1[[#This Row],[Planned End Date]])</f>
        <v>0</v>
      </c>
      <c r="P1333" s="178">
        <f>NETWORKDAYS(Table1[[#This Row],[Planned Start Date]],$P$7)</f>
        <v>30643</v>
      </c>
      <c r="Q1333" s="129"/>
      <c r="R1333" s="183" t="str">
        <f>IF(Table1[[#This Row],[Actual Effort (Hours)]]="","",IF(Table1[[#This Row],[Estimated Effort (Hours)]]&lt;20,"L1",IF(Table1[[#This Row],[Estimated Effort (Hours)]]&lt;50,"L2",IF(Table1[[#This Row],[Estimated Effort (Hours)]]&lt;150,"L3",IF(Table1[[#This Row],[Estimated Effort (Hours)]]&lt;300,"L4","L5")))))</f>
        <v/>
      </c>
      <c r="S1333" s="184" t="str">
        <f>IF(Table1[[#This Row],[Actual End Date]]="","",TEXT(Table1[[#This Row],[Actual End Date]],"mmm-yy"))</f>
        <v/>
      </c>
      <c r="T13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3" s="185" t="str">
        <f>IFERROR((Table1[[#This Row],[Actual Effort (Hours)]]-Table1[[#This Row],[Estimated Effort (Hours)]])/Table1[[#This Row],[Estimated Effort (Hours)]],"")</f>
        <v/>
      </c>
    </row>
    <row r="1334" spans="2:21">
      <c r="B1334" s="125"/>
      <c r="C1334" s="123"/>
      <c r="D1334" s="143"/>
      <c r="E1334" s="123"/>
      <c r="F1334" s="143"/>
      <c r="G1334" s="129"/>
      <c r="H1334" s="124"/>
      <c r="I1334" s="124"/>
      <c r="J1334" s="129"/>
      <c r="K1334" s="194"/>
      <c r="L1334" s="194"/>
      <c r="M1334" s="129"/>
      <c r="N1334" s="129" t="e">
        <f>Table1[[#This Row],[Estimated Effort (Hours)]]/NETWORKDAYS(Table1[[#This Row],[Planned Start Date]],Table1[[#This Row],[Planned End Date]])</f>
        <v>#DIV/0!</v>
      </c>
      <c r="O1334" s="178">
        <f>NETWORKDAYS(Table1[[#This Row],[Planned Start Date]],Table1[[#This Row],[Planned End Date]])</f>
        <v>0</v>
      </c>
      <c r="P1334" s="178">
        <f>NETWORKDAYS(Table1[[#This Row],[Planned Start Date]],$P$7)</f>
        <v>30643</v>
      </c>
      <c r="Q1334" s="129"/>
      <c r="R1334" s="183" t="str">
        <f>IF(Table1[[#This Row],[Actual Effort (Hours)]]="","",IF(Table1[[#This Row],[Estimated Effort (Hours)]]&lt;20,"L1",IF(Table1[[#This Row],[Estimated Effort (Hours)]]&lt;50,"L2",IF(Table1[[#This Row],[Estimated Effort (Hours)]]&lt;150,"L3",IF(Table1[[#This Row],[Estimated Effort (Hours)]]&lt;300,"L4","L5")))))</f>
        <v/>
      </c>
      <c r="S1334" s="184" t="str">
        <f>IF(Table1[[#This Row],[Actual End Date]]="","",TEXT(Table1[[#This Row],[Actual End Date]],"mmm-yy"))</f>
        <v/>
      </c>
      <c r="T13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4" s="185" t="str">
        <f>IFERROR((Table1[[#This Row],[Actual Effort (Hours)]]-Table1[[#This Row],[Estimated Effort (Hours)]])/Table1[[#This Row],[Estimated Effort (Hours)]],"")</f>
        <v/>
      </c>
    </row>
    <row r="1335" spans="2:21">
      <c r="B1335" s="125"/>
      <c r="C1335" s="123"/>
      <c r="D1335" s="143"/>
      <c r="E1335" s="123"/>
      <c r="F1335" s="143"/>
      <c r="G1335" s="129"/>
      <c r="H1335" s="124"/>
      <c r="I1335" s="124"/>
      <c r="J1335" s="129"/>
      <c r="K1335" s="194"/>
      <c r="L1335" s="194"/>
      <c r="M1335" s="129"/>
      <c r="N1335" s="129" t="e">
        <f>Table1[[#This Row],[Estimated Effort (Hours)]]/NETWORKDAYS(Table1[[#This Row],[Planned Start Date]],Table1[[#This Row],[Planned End Date]])</f>
        <v>#DIV/0!</v>
      </c>
      <c r="O1335" s="178">
        <f>NETWORKDAYS(Table1[[#This Row],[Planned Start Date]],Table1[[#This Row],[Planned End Date]])</f>
        <v>0</v>
      </c>
      <c r="P1335" s="178">
        <f>NETWORKDAYS(Table1[[#This Row],[Planned Start Date]],$P$7)</f>
        <v>30643</v>
      </c>
      <c r="Q1335" s="129"/>
      <c r="R1335" s="183" t="str">
        <f>IF(Table1[[#This Row],[Actual Effort (Hours)]]="","",IF(Table1[[#This Row],[Estimated Effort (Hours)]]&lt;20,"L1",IF(Table1[[#This Row],[Estimated Effort (Hours)]]&lt;50,"L2",IF(Table1[[#This Row],[Estimated Effort (Hours)]]&lt;150,"L3",IF(Table1[[#This Row],[Estimated Effort (Hours)]]&lt;300,"L4","L5")))))</f>
        <v/>
      </c>
      <c r="S1335" s="184" t="str">
        <f>IF(Table1[[#This Row],[Actual End Date]]="","",TEXT(Table1[[#This Row],[Actual End Date]],"mmm-yy"))</f>
        <v/>
      </c>
      <c r="T13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5" s="185" t="str">
        <f>IFERROR((Table1[[#This Row],[Actual Effort (Hours)]]-Table1[[#This Row],[Estimated Effort (Hours)]])/Table1[[#This Row],[Estimated Effort (Hours)]],"")</f>
        <v/>
      </c>
    </row>
    <row r="1336" spans="2:21">
      <c r="B1336" s="125"/>
      <c r="C1336" s="123"/>
      <c r="D1336" s="143"/>
      <c r="E1336" s="123"/>
      <c r="F1336" s="143"/>
      <c r="G1336" s="129"/>
      <c r="H1336" s="124"/>
      <c r="I1336" s="124"/>
      <c r="J1336" s="129"/>
      <c r="K1336" s="194"/>
      <c r="L1336" s="194"/>
      <c r="M1336" s="129"/>
      <c r="N1336" s="129" t="e">
        <f>Table1[[#This Row],[Estimated Effort (Hours)]]/NETWORKDAYS(Table1[[#This Row],[Planned Start Date]],Table1[[#This Row],[Planned End Date]])</f>
        <v>#DIV/0!</v>
      </c>
      <c r="O1336" s="178">
        <f>NETWORKDAYS(Table1[[#This Row],[Planned Start Date]],Table1[[#This Row],[Planned End Date]])</f>
        <v>0</v>
      </c>
      <c r="P1336" s="178">
        <f>NETWORKDAYS(Table1[[#This Row],[Planned Start Date]],$P$7)</f>
        <v>30643</v>
      </c>
      <c r="Q1336" s="129"/>
      <c r="R1336" s="183" t="str">
        <f>IF(Table1[[#This Row],[Actual Effort (Hours)]]="","",IF(Table1[[#This Row],[Estimated Effort (Hours)]]&lt;20,"L1",IF(Table1[[#This Row],[Estimated Effort (Hours)]]&lt;50,"L2",IF(Table1[[#This Row],[Estimated Effort (Hours)]]&lt;150,"L3",IF(Table1[[#This Row],[Estimated Effort (Hours)]]&lt;300,"L4","L5")))))</f>
        <v/>
      </c>
      <c r="S1336" s="184" t="str">
        <f>IF(Table1[[#This Row],[Actual End Date]]="","",TEXT(Table1[[#This Row],[Actual End Date]],"mmm-yy"))</f>
        <v/>
      </c>
      <c r="T13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6" s="185" t="str">
        <f>IFERROR((Table1[[#This Row],[Actual Effort (Hours)]]-Table1[[#This Row],[Estimated Effort (Hours)]])/Table1[[#This Row],[Estimated Effort (Hours)]],"")</f>
        <v/>
      </c>
    </row>
    <row r="1337" spans="2:21">
      <c r="B1337" s="125"/>
      <c r="C1337" s="123"/>
      <c r="D1337" s="143"/>
      <c r="E1337" s="123"/>
      <c r="F1337" s="143"/>
      <c r="G1337" s="129"/>
      <c r="H1337" s="124"/>
      <c r="I1337" s="124"/>
      <c r="J1337" s="129"/>
      <c r="K1337" s="194"/>
      <c r="L1337" s="194"/>
      <c r="M1337" s="129"/>
      <c r="N1337" s="129" t="e">
        <f>Table1[[#This Row],[Estimated Effort (Hours)]]/NETWORKDAYS(Table1[[#This Row],[Planned Start Date]],Table1[[#This Row],[Planned End Date]])</f>
        <v>#DIV/0!</v>
      </c>
      <c r="O1337" s="178">
        <f>NETWORKDAYS(Table1[[#This Row],[Planned Start Date]],Table1[[#This Row],[Planned End Date]])</f>
        <v>0</v>
      </c>
      <c r="P1337" s="178">
        <f>NETWORKDAYS(Table1[[#This Row],[Planned Start Date]],$P$7)</f>
        <v>30643</v>
      </c>
      <c r="Q1337" s="129"/>
      <c r="R1337" s="183" t="str">
        <f>IF(Table1[[#This Row],[Actual Effort (Hours)]]="","",IF(Table1[[#This Row],[Estimated Effort (Hours)]]&lt;20,"L1",IF(Table1[[#This Row],[Estimated Effort (Hours)]]&lt;50,"L2",IF(Table1[[#This Row],[Estimated Effort (Hours)]]&lt;150,"L3",IF(Table1[[#This Row],[Estimated Effort (Hours)]]&lt;300,"L4","L5")))))</f>
        <v/>
      </c>
      <c r="S1337" s="184" t="str">
        <f>IF(Table1[[#This Row],[Actual End Date]]="","",TEXT(Table1[[#This Row],[Actual End Date]],"mmm-yy"))</f>
        <v/>
      </c>
      <c r="T13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7" s="185" t="str">
        <f>IFERROR((Table1[[#This Row],[Actual Effort (Hours)]]-Table1[[#This Row],[Estimated Effort (Hours)]])/Table1[[#This Row],[Estimated Effort (Hours)]],"")</f>
        <v/>
      </c>
    </row>
    <row r="1338" spans="2:21">
      <c r="B1338" s="125"/>
      <c r="C1338" s="123"/>
      <c r="D1338" s="143"/>
      <c r="E1338" s="123"/>
      <c r="F1338" s="143"/>
      <c r="G1338" s="129"/>
      <c r="H1338" s="124"/>
      <c r="I1338" s="124"/>
      <c r="J1338" s="129"/>
      <c r="K1338" s="194"/>
      <c r="L1338" s="194"/>
      <c r="M1338" s="129"/>
      <c r="N1338" s="129" t="e">
        <f>Table1[[#This Row],[Estimated Effort (Hours)]]/NETWORKDAYS(Table1[[#This Row],[Planned Start Date]],Table1[[#This Row],[Planned End Date]])</f>
        <v>#DIV/0!</v>
      </c>
      <c r="O1338" s="178">
        <f>NETWORKDAYS(Table1[[#This Row],[Planned Start Date]],Table1[[#This Row],[Planned End Date]])</f>
        <v>0</v>
      </c>
      <c r="P1338" s="178">
        <f>NETWORKDAYS(Table1[[#This Row],[Planned Start Date]],$P$7)</f>
        <v>30643</v>
      </c>
      <c r="Q1338" s="129"/>
      <c r="R1338" s="183" t="str">
        <f>IF(Table1[[#This Row],[Actual Effort (Hours)]]="","",IF(Table1[[#This Row],[Estimated Effort (Hours)]]&lt;20,"L1",IF(Table1[[#This Row],[Estimated Effort (Hours)]]&lt;50,"L2",IF(Table1[[#This Row],[Estimated Effort (Hours)]]&lt;150,"L3",IF(Table1[[#This Row],[Estimated Effort (Hours)]]&lt;300,"L4","L5")))))</f>
        <v/>
      </c>
      <c r="S1338" s="184" t="str">
        <f>IF(Table1[[#This Row],[Actual End Date]]="","",TEXT(Table1[[#This Row],[Actual End Date]],"mmm-yy"))</f>
        <v/>
      </c>
      <c r="T13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8" s="185" t="str">
        <f>IFERROR((Table1[[#This Row],[Actual Effort (Hours)]]-Table1[[#This Row],[Estimated Effort (Hours)]])/Table1[[#This Row],[Estimated Effort (Hours)]],"")</f>
        <v/>
      </c>
    </row>
    <row r="1339" spans="2:21">
      <c r="B1339" s="125"/>
      <c r="C1339" s="123"/>
      <c r="D1339" s="143"/>
      <c r="E1339" s="123"/>
      <c r="F1339" s="143"/>
      <c r="G1339" s="129"/>
      <c r="H1339" s="124"/>
      <c r="I1339" s="124"/>
      <c r="J1339" s="129"/>
      <c r="K1339" s="194"/>
      <c r="L1339" s="194"/>
      <c r="M1339" s="129"/>
      <c r="N1339" s="129" t="e">
        <f>Table1[[#This Row],[Estimated Effort (Hours)]]/NETWORKDAYS(Table1[[#This Row],[Planned Start Date]],Table1[[#This Row],[Planned End Date]])</f>
        <v>#DIV/0!</v>
      </c>
      <c r="O1339" s="178">
        <f>NETWORKDAYS(Table1[[#This Row],[Planned Start Date]],Table1[[#This Row],[Planned End Date]])</f>
        <v>0</v>
      </c>
      <c r="P1339" s="178">
        <f>NETWORKDAYS(Table1[[#This Row],[Planned Start Date]],$P$7)</f>
        <v>30643</v>
      </c>
      <c r="Q1339" s="129"/>
      <c r="R1339" s="183" t="str">
        <f>IF(Table1[[#This Row],[Actual Effort (Hours)]]="","",IF(Table1[[#This Row],[Estimated Effort (Hours)]]&lt;20,"L1",IF(Table1[[#This Row],[Estimated Effort (Hours)]]&lt;50,"L2",IF(Table1[[#This Row],[Estimated Effort (Hours)]]&lt;150,"L3",IF(Table1[[#This Row],[Estimated Effort (Hours)]]&lt;300,"L4","L5")))))</f>
        <v/>
      </c>
      <c r="S1339" s="184" t="str">
        <f>IF(Table1[[#This Row],[Actual End Date]]="","",TEXT(Table1[[#This Row],[Actual End Date]],"mmm-yy"))</f>
        <v/>
      </c>
      <c r="T13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39" s="185" t="str">
        <f>IFERROR((Table1[[#This Row],[Actual Effort (Hours)]]-Table1[[#This Row],[Estimated Effort (Hours)]])/Table1[[#This Row],[Estimated Effort (Hours)]],"")</f>
        <v/>
      </c>
    </row>
    <row r="1340" spans="2:21">
      <c r="B1340" s="125"/>
      <c r="C1340" s="123"/>
      <c r="D1340" s="143"/>
      <c r="E1340" s="123"/>
      <c r="F1340" s="143"/>
      <c r="G1340" s="129"/>
      <c r="H1340" s="124"/>
      <c r="I1340" s="124"/>
      <c r="J1340" s="129"/>
      <c r="K1340" s="194"/>
      <c r="L1340" s="194"/>
      <c r="M1340" s="129"/>
      <c r="N1340" s="129" t="e">
        <f>Table1[[#This Row],[Estimated Effort (Hours)]]/NETWORKDAYS(Table1[[#This Row],[Planned Start Date]],Table1[[#This Row],[Planned End Date]])</f>
        <v>#DIV/0!</v>
      </c>
      <c r="O1340" s="178">
        <f>NETWORKDAYS(Table1[[#This Row],[Planned Start Date]],Table1[[#This Row],[Planned End Date]])</f>
        <v>0</v>
      </c>
      <c r="P1340" s="178">
        <f>NETWORKDAYS(Table1[[#This Row],[Planned Start Date]],$P$7)</f>
        <v>30643</v>
      </c>
      <c r="Q1340" s="129"/>
      <c r="R1340" s="183" t="str">
        <f>IF(Table1[[#This Row],[Actual Effort (Hours)]]="","",IF(Table1[[#This Row],[Estimated Effort (Hours)]]&lt;20,"L1",IF(Table1[[#This Row],[Estimated Effort (Hours)]]&lt;50,"L2",IF(Table1[[#This Row],[Estimated Effort (Hours)]]&lt;150,"L3",IF(Table1[[#This Row],[Estimated Effort (Hours)]]&lt;300,"L4","L5")))))</f>
        <v/>
      </c>
      <c r="S1340" s="184" t="str">
        <f>IF(Table1[[#This Row],[Actual End Date]]="","",TEXT(Table1[[#This Row],[Actual End Date]],"mmm-yy"))</f>
        <v/>
      </c>
      <c r="T13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0" s="185" t="str">
        <f>IFERROR((Table1[[#This Row],[Actual Effort (Hours)]]-Table1[[#This Row],[Estimated Effort (Hours)]])/Table1[[#This Row],[Estimated Effort (Hours)]],"")</f>
        <v/>
      </c>
    </row>
    <row r="1341" spans="2:21">
      <c r="B1341" s="125"/>
      <c r="C1341" s="123"/>
      <c r="D1341" s="143"/>
      <c r="E1341" s="123"/>
      <c r="F1341" s="143"/>
      <c r="G1341" s="129"/>
      <c r="H1341" s="124"/>
      <c r="I1341" s="124"/>
      <c r="J1341" s="129"/>
      <c r="K1341" s="194"/>
      <c r="L1341" s="194"/>
      <c r="M1341" s="129"/>
      <c r="N1341" s="129" t="e">
        <f>Table1[[#This Row],[Estimated Effort (Hours)]]/NETWORKDAYS(Table1[[#This Row],[Planned Start Date]],Table1[[#This Row],[Planned End Date]])</f>
        <v>#DIV/0!</v>
      </c>
      <c r="O1341" s="178">
        <f>NETWORKDAYS(Table1[[#This Row],[Planned Start Date]],Table1[[#This Row],[Planned End Date]])</f>
        <v>0</v>
      </c>
      <c r="P1341" s="178">
        <f>NETWORKDAYS(Table1[[#This Row],[Planned Start Date]],$P$7)</f>
        <v>30643</v>
      </c>
      <c r="Q1341" s="129"/>
      <c r="R1341" s="183" t="str">
        <f>IF(Table1[[#This Row],[Actual Effort (Hours)]]="","",IF(Table1[[#This Row],[Estimated Effort (Hours)]]&lt;20,"L1",IF(Table1[[#This Row],[Estimated Effort (Hours)]]&lt;50,"L2",IF(Table1[[#This Row],[Estimated Effort (Hours)]]&lt;150,"L3",IF(Table1[[#This Row],[Estimated Effort (Hours)]]&lt;300,"L4","L5")))))</f>
        <v/>
      </c>
      <c r="S1341" s="184" t="str">
        <f>IF(Table1[[#This Row],[Actual End Date]]="","",TEXT(Table1[[#This Row],[Actual End Date]],"mmm-yy"))</f>
        <v/>
      </c>
      <c r="T13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1" s="185" t="str">
        <f>IFERROR((Table1[[#This Row],[Actual Effort (Hours)]]-Table1[[#This Row],[Estimated Effort (Hours)]])/Table1[[#This Row],[Estimated Effort (Hours)]],"")</f>
        <v/>
      </c>
    </row>
    <row r="1342" spans="2:21">
      <c r="B1342" s="125"/>
      <c r="C1342" s="123"/>
      <c r="D1342" s="143"/>
      <c r="E1342" s="123"/>
      <c r="F1342" s="143"/>
      <c r="G1342" s="129"/>
      <c r="H1342" s="124"/>
      <c r="I1342" s="124"/>
      <c r="J1342" s="129"/>
      <c r="K1342" s="194"/>
      <c r="L1342" s="194"/>
      <c r="M1342" s="129"/>
      <c r="N1342" s="129" t="e">
        <f>Table1[[#This Row],[Estimated Effort (Hours)]]/NETWORKDAYS(Table1[[#This Row],[Planned Start Date]],Table1[[#This Row],[Planned End Date]])</f>
        <v>#DIV/0!</v>
      </c>
      <c r="O1342" s="178">
        <f>NETWORKDAYS(Table1[[#This Row],[Planned Start Date]],Table1[[#This Row],[Planned End Date]])</f>
        <v>0</v>
      </c>
      <c r="P1342" s="178">
        <f>NETWORKDAYS(Table1[[#This Row],[Planned Start Date]],$P$7)</f>
        <v>30643</v>
      </c>
      <c r="Q1342" s="129"/>
      <c r="R1342" s="183" t="str">
        <f>IF(Table1[[#This Row],[Actual Effort (Hours)]]="","",IF(Table1[[#This Row],[Estimated Effort (Hours)]]&lt;20,"L1",IF(Table1[[#This Row],[Estimated Effort (Hours)]]&lt;50,"L2",IF(Table1[[#This Row],[Estimated Effort (Hours)]]&lt;150,"L3",IF(Table1[[#This Row],[Estimated Effort (Hours)]]&lt;300,"L4","L5")))))</f>
        <v/>
      </c>
      <c r="S1342" s="184" t="str">
        <f>IF(Table1[[#This Row],[Actual End Date]]="","",TEXT(Table1[[#This Row],[Actual End Date]],"mmm-yy"))</f>
        <v/>
      </c>
      <c r="T13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2" s="185" t="str">
        <f>IFERROR((Table1[[#This Row],[Actual Effort (Hours)]]-Table1[[#This Row],[Estimated Effort (Hours)]])/Table1[[#This Row],[Estimated Effort (Hours)]],"")</f>
        <v/>
      </c>
    </row>
    <row r="1343" spans="2:21">
      <c r="B1343" s="125"/>
      <c r="C1343" s="123"/>
      <c r="D1343" s="143"/>
      <c r="E1343" s="123"/>
      <c r="F1343" s="143"/>
      <c r="G1343" s="129"/>
      <c r="H1343" s="124"/>
      <c r="I1343" s="124"/>
      <c r="J1343" s="129"/>
      <c r="K1343" s="194"/>
      <c r="L1343" s="194"/>
      <c r="M1343" s="129"/>
      <c r="N1343" s="129" t="e">
        <f>Table1[[#This Row],[Estimated Effort (Hours)]]/NETWORKDAYS(Table1[[#This Row],[Planned Start Date]],Table1[[#This Row],[Planned End Date]])</f>
        <v>#DIV/0!</v>
      </c>
      <c r="O1343" s="178">
        <f>NETWORKDAYS(Table1[[#This Row],[Planned Start Date]],Table1[[#This Row],[Planned End Date]])</f>
        <v>0</v>
      </c>
      <c r="P1343" s="178">
        <f>NETWORKDAYS(Table1[[#This Row],[Planned Start Date]],$P$7)</f>
        <v>30643</v>
      </c>
      <c r="Q1343" s="129"/>
      <c r="R1343" s="183" t="str">
        <f>IF(Table1[[#This Row],[Actual Effort (Hours)]]="","",IF(Table1[[#This Row],[Estimated Effort (Hours)]]&lt;20,"L1",IF(Table1[[#This Row],[Estimated Effort (Hours)]]&lt;50,"L2",IF(Table1[[#This Row],[Estimated Effort (Hours)]]&lt;150,"L3",IF(Table1[[#This Row],[Estimated Effort (Hours)]]&lt;300,"L4","L5")))))</f>
        <v/>
      </c>
      <c r="S1343" s="184" t="str">
        <f>IF(Table1[[#This Row],[Actual End Date]]="","",TEXT(Table1[[#This Row],[Actual End Date]],"mmm-yy"))</f>
        <v/>
      </c>
      <c r="T13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3" s="185" t="str">
        <f>IFERROR((Table1[[#This Row],[Actual Effort (Hours)]]-Table1[[#This Row],[Estimated Effort (Hours)]])/Table1[[#This Row],[Estimated Effort (Hours)]],"")</f>
        <v/>
      </c>
    </row>
    <row r="1344" spans="2:21">
      <c r="B1344" s="125"/>
      <c r="C1344" s="123"/>
      <c r="D1344" s="143"/>
      <c r="E1344" s="123"/>
      <c r="F1344" s="143"/>
      <c r="G1344" s="129"/>
      <c r="H1344" s="124"/>
      <c r="I1344" s="124"/>
      <c r="J1344" s="129"/>
      <c r="K1344" s="194"/>
      <c r="L1344" s="194"/>
      <c r="M1344" s="129"/>
      <c r="N1344" s="129" t="e">
        <f>Table1[[#This Row],[Estimated Effort (Hours)]]/NETWORKDAYS(Table1[[#This Row],[Planned Start Date]],Table1[[#This Row],[Planned End Date]])</f>
        <v>#DIV/0!</v>
      </c>
      <c r="O1344" s="178">
        <f>NETWORKDAYS(Table1[[#This Row],[Planned Start Date]],Table1[[#This Row],[Planned End Date]])</f>
        <v>0</v>
      </c>
      <c r="P1344" s="178">
        <f>NETWORKDAYS(Table1[[#This Row],[Planned Start Date]],$P$7)</f>
        <v>30643</v>
      </c>
      <c r="Q1344" s="129"/>
      <c r="R1344" s="183" t="str">
        <f>IF(Table1[[#This Row],[Actual Effort (Hours)]]="","",IF(Table1[[#This Row],[Estimated Effort (Hours)]]&lt;20,"L1",IF(Table1[[#This Row],[Estimated Effort (Hours)]]&lt;50,"L2",IF(Table1[[#This Row],[Estimated Effort (Hours)]]&lt;150,"L3",IF(Table1[[#This Row],[Estimated Effort (Hours)]]&lt;300,"L4","L5")))))</f>
        <v/>
      </c>
      <c r="S1344" s="184" t="str">
        <f>IF(Table1[[#This Row],[Actual End Date]]="","",TEXT(Table1[[#This Row],[Actual End Date]],"mmm-yy"))</f>
        <v/>
      </c>
      <c r="T13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4" s="185" t="str">
        <f>IFERROR((Table1[[#This Row],[Actual Effort (Hours)]]-Table1[[#This Row],[Estimated Effort (Hours)]])/Table1[[#This Row],[Estimated Effort (Hours)]],"")</f>
        <v/>
      </c>
    </row>
    <row r="1345" spans="2:21">
      <c r="B1345" s="125"/>
      <c r="C1345" s="123"/>
      <c r="D1345" s="143"/>
      <c r="E1345" s="123"/>
      <c r="F1345" s="143"/>
      <c r="G1345" s="129"/>
      <c r="H1345" s="124"/>
      <c r="I1345" s="124"/>
      <c r="J1345" s="129"/>
      <c r="K1345" s="194"/>
      <c r="L1345" s="194"/>
      <c r="M1345" s="129"/>
      <c r="N1345" s="129" t="e">
        <f>Table1[[#This Row],[Estimated Effort (Hours)]]/NETWORKDAYS(Table1[[#This Row],[Planned Start Date]],Table1[[#This Row],[Planned End Date]])</f>
        <v>#DIV/0!</v>
      </c>
      <c r="O1345" s="178">
        <f>NETWORKDAYS(Table1[[#This Row],[Planned Start Date]],Table1[[#This Row],[Planned End Date]])</f>
        <v>0</v>
      </c>
      <c r="P1345" s="178">
        <f>NETWORKDAYS(Table1[[#This Row],[Planned Start Date]],$P$7)</f>
        <v>30643</v>
      </c>
      <c r="Q1345" s="129"/>
      <c r="R1345" s="183" t="str">
        <f>IF(Table1[[#This Row],[Actual Effort (Hours)]]="","",IF(Table1[[#This Row],[Estimated Effort (Hours)]]&lt;20,"L1",IF(Table1[[#This Row],[Estimated Effort (Hours)]]&lt;50,"L2",IF(Table1[[#This Row],[Estimated Effort (Hours)]]&lt;150,"L3",IF(Table1[[#This Row],[Estimated Effort (Hours)]]&lt;300,"L4","L5")))))</f>
        <v/>
      </c>
      <c r="S1345" s="184" t="str">
        <f>IF(Table1[[#This Row],[Actual End Date]]="","",TEXT(Table1[[#This Row],[Actual End Date]],"mmm-yy"))</f>
        <v/>
      </c>
      <c r="T13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5" s="185" t="str">
        <f>IFERROR((Table1[[#This Row],[Actual Effort (Hours)]]-Table1[[#This Row],[Estimated Effort (Hours)]])/Table1[[#This Row],[Estimated Effort (Hours)]],"")</f>
        <v/>
      </c>
    </row>
    <row r="1346" spans="2:21">
      <c r="B1346" s="125"/>
      <c r="C1346" s="123"/>
      <c r="D1346" s="143"/>
      <c r="E1346" s="123"/>
      <c r="F1346" s="143"/>
      <c r="G1346" s="129"/>
      <c r="H1346" s="124"/>
      <c r="I1346" s="124"/>
      <c r="J1346" s="129"/>
      <c r="K1346" s="194"/>
      <c r="L1346" s="194"/>
      <c r="M1346" s="129"/>
      <c r="N1346" s="129" t="e">
        <f>Table1[[#This Row],[Estimated Effort (Hours)]]/NETWORKDAYS(Table1[[#This Row],[Planned Start Date]],Table1[[#This Row],[Planned End Date]])</f>
        <v>#DIV/0!</v>
      </c>
      <c r="O1346" s="178">
        <f>NETWORKDAYS(Table1[[#This Row],[Planned Start Date]],Table1[[#This Row],[Planned End Date]])</f>
        <v>0</v>
      </c>
      <c r="P1346" s="178">
        <f>NETWORKDAYS(Table1[[#This Row],[Planned Start Date]],$P$7)</f>
        <v>30643</v>
      </c>
      <c r="Q1346" s="129"/>
      <c r="R1346" s="183" t="str">
        <f>IF(Table1[[#This Row],[Actual Effort (Hours)]]="","",IF(Table1[[#This Row],[Estimated Effort (Hours)]]&lt;20,"L1",IF(Table1[[#This Row],[Estimated Effort (Hours)]]&lt;50,"L2",IF(Table1[[#This Row],[Estimated Effort (Hours)]]&lt;150,"L3",IF(Table1[[#This Row],[Estimated Effort (Hours)]]&lt;300,"L4","L5")))))</f>
        <v/>
      </c>
      <c r="S1346" s="184" t="str">
        <f>IF(Table1[[#This Row],[Actual End Date]]="","",TEXT(Table1[[#This Row],[Actual End Date]],"mmm-yy"))</f>
        <v/>
      </c>
      <c r="T13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6" s="185" t="str">
        <f>IFERROR((Table1[[#This Row],[Actual Effort (Hours)]]-Table1[[#This Row],[Estimated Effort (Hours)]])/Table1[[#This Row],[Estimated Effort (Hours)]],"")</f>
        <v/>
      </c>
    </row>
    <row r="1347" spans="2:21">
      <c r="B1347" s="125"/>
      <c r="C1347" s="123"/>
      <c r="D1347" s="143"/>
      <c r="E1347" s="123"/>
      <c r="F1347" s="143"/>
      <c r="G1347" s="129"/>
      <c r="H1347" s="124"/>
      <c r="I1347" s="124"/>
      <c r="J1347" s="129"/>
      <c r="K1347" s="194"/>
      <c r="L1347" s="194"/>
      <c r="M1347" s="129"/>
      <c r="N1347" s="129" t="e">
        <f>Table1[[#This Row],[Estimated Effort (Hours)]]/NETWORKDAYS(Table1[[#This Row],[Planned Start Date]],Table1[[#This Row],[Planned End Date]])</f>
        <v>#DIV/0!</v>
      </c>
      <c r="O1347" s="178">
        <f>NETWORKDAYS(Table1[[#This Row],[Planned Start Date]],Table1[[#This Row],[Planned End Date]])</f>
        <v>0</v>
      </c>
      <c r="P1347" s="178">
        <f>NETWORKDAYS(Table1[[#This Row],[Planned Start Date]],$P$7)</f>
        <v>30643</v>
      </c>
      <c r="Q1347" s="129"/>
      <c r="R1347" s="183" t="str">
        <f>IF(Table1[[#This Row],[Actual Effort (Hours)]]="","",IF(Table1[[#This Row],[Estimated Effort (Hours)]]&lt;20,"L1",IF(Table1[[#This Row],[Estimated Effort (Hours)]]&lt;50,"L2",IF(Table1[[#This Row],[Estimated Effort (Hours)]]&lt;150,"L3",IF(Table1[[#This Row],[Estimated Effort (Hours)]]&lt;300,"L4","L5")))))</f>
        <v/>
      </c>
      <c r="S1347" s="184" t="str">
        <f>IF(Table1[[#This Row],[Actual End Date]]="","",TEXT(Table1[[#This Row],[Actual End Date]],"mmm-yy"))</f>
        <v/>
      </c>
      <c r="T13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7" s="185" t="str">
        <f>IFERROR((Table1[[#This Row],[Actual Effort (Hours)]]-Table1[[#This Row],[Estimated Effort (Hours)]])/Table1[[#This Row],[Estimated Effort (Hours)]],"")</f>
        <v/>
      </c>
    </row>
    <row r="1348" spans="2:21">
      <c r="B1348" s="125"/>
      <c r="C1348" s="123"/>
      <c r="D1348" s="143"/>
      <c r="E1348" s="123"/>
      <c r="F1348" s="143"/>
      <c r="G1348" s="129"/>
      <c r="H1348" s="124"/>
      <c r="I1348" s="124"/>
      <c r="J1348" s="129"/>
      <c r="K1348" s="194"/>
      <c r="L1348" s="194"/>
      <c r="M1348" s="129"/>
      <c r="N1348" s="129" t="e">
        <f>Table1[[#This Row],[Estimated Effort (Hours)]]/NETWORKDAYS(Table1[[#This Row],[Planned Start Date]],Table1[[#This Row],[Planned End Date]])</f>
        <v>#DIV/0!</v>
      </c>
      <c r="O1348" s="178">
        <f>NETWORKDAYS(Table1[[#This Row],[Planned Start Date]],Table1[[#This Row],[Planned End Date]])</f>
        <v>0</v>
      </c>
      <c r="P1348" s="178">
        <f>NETWORKDAYS(Table1[[#This Row],[Planned Start Date]],$P$7)</f>
        <v>30643</v>
      </c>
      <c r="Q1348" s="129"/>
      <c r="R1348" s="183" t="str">
        <f>IF(Table1[[#This Row],[Actual Effort (Hours)]]="","",IF(Table1[[#This Row],[Estimated Effort (Hours)]]&lt;20,"L1",IF(Table1[[#This Row],[Estimated Effort (Hours)]]&lt;50,"L2",IF(Table1[[#This Row],[Estimated Effort (Hours)]]&lt;150,"L3",IF(Table1[[#This Row],[Estimated Effort (Hours)]]&lt;300,"L4","L5")))))</f>
        <v/>
      </c>
      <c r="S1348" s="184" t="str">
        <f>IF(Table1[[#This Row],[Actual End Date]]="","",TEXT(Table1[[#This Row],[Actual End Date]],"mmm-yy"))</f>
        <v/>
      </c>
      <c r="T13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8" s="185" t="str">
        <f>IFERROR((Table1[[#This Row],[Actual Effort (Hours)]]-Table1[[#This Row],[Estimated Effort (Hours)]])/Table1[[#This Row],[Estimated Effort (Hours)]],"")</f>
        <v/>
      </c>
    </row>
    <row r="1349" spans="2:21">
      <c r="B1349" s="125"/>
      <c r="C1349" s="123"/>
      <c r="D1349" s="143"/>
      <c r="E1349" s="123"/>
      <c r="F1349" s="143"/>
      <c r="G1349" s="129"/>
      <c r="H1349" s="124"/>
      <c r="I1349" s="124"/>
      <c r="J1349" s="129"/>
      <c r="K1349" s="194"/>
      <c r="L1349" s="194"/>
      <c r="M1349" s="129"/>
      <c r="N1349" s="129" t="e">
        <f>Table1[[#This Row],[Estimated Effort (Hours)]]/NETWORKDAYS(Table1[[#This Row],[Planned Start Date]],Table1[[#This Row],[Planned End Date]])</f>
        <v>#DIV/0!</v>
      </c>
      <c r="O1349" s="178">
        <f>NETWORKDAYS(Table1[[#This Row],[Planned Start Date]],Table1[[#This Row],[Planned End Date]])</f>
        <v>0</v>
      </c>
      <c r="P1349" s="178">
        <f>NETWORKDAYS(Table1[[#This Row],[Planned Start Date]],$P$7)</f>
        <v>30643</v>
      </c>
      <c r="Q1349" s="129"/>
      <c r="R1349" s="183" t="str">
        <f>IF(Table1[[#This Row],[Actual Effort (Hours)]]="","",IF(Table1[[#This Row],[Estimated Effort (Hours)]]&lt;20,"L1",IF(Table1[[#This Row],[Estimated Effort (Hours)]]&lt;50,"L2",IF(Table1[[#This Row],[Estimated Effort (Hours)]]&lt;150,"L3",IF(Table1[[#This Row],[Estimated Effort (Hours)]]&lt;300,"L4","L5")))))</f>
        <v/>
      </c>
      <c r="S1349" s="184" t="str">
        <f>IF(Table1[[#This Row],[Actual End Date]]="","",TEXT(Table1[[#This Row],[Actual End Date]],"mmm-yy"))</f>
        <v/>
      </c>
      <c r="T13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49" s="185" t="str">
        <f>IFERROR((Table1[[#This Row],[Actual Effort (Hours)]]-Table1[[#This Row],[Estimated Effort (Hours)]])/Table1[[#This Row],[Estimated Effort (Hours)]],"")</f>
        <v/>
      </c>
    </row>
    <row r="1350" spans="2:21">
      <c r="B1350" s="125"/>
      <c r="C1350" s="123"/>
      <c r="D1350" s="143"/>
      <c r="E1350" s="123"/>
      <c r="F1350" s="143"/>
      <c r="G1350" s="129"/>
      <c r="H1350" s="124"/>
      <c r="I1350" s="124"/>
      <c r="J1350" s="129"/>
      <c r="K1350" s="194"/>
      <c r="L1350" s="194"/>
      <c r="M1350" s="129"/>
      <c r="N1350" s="129" t="e">
        <f>Table1[[#This Row],[Estimated Effort (Hours)]]/NETWORKDAYS(Table1[[#This Row],[Planned Start Date]],Table1[[#This Row],[Planned End Date]])</f>
        <v>#DIV/0!</v>
      </c>
      <c r="O1350" s="178">
        <f>NETWORKDAYS(Table1[[#This Row],[Planned Start Date]],Table1[[#This Row],[Planned End Date]])</f>
        <v>0</v>
      </c>
      <c r="P1350" s="178">
        <f>NETWORKDAYS(Table1[[#This Row],[Planned Start Date]],$P$7)</f>
        <v>30643</v>
      </c>
      <c r="Q1350" s="129"/>
      <c r="R1350" s="183" t="str">
        <f>IF(Table1[[#This Row],[Actual Effort (Hours)]]="","",IF(Table1[[#This Row],[Estimated Effort (Hours)]]&lt;20,"L1",IF(Table1[[#This Row],[Estimated Effort (Hours)]]&lt;50,"L2",IF(Table1[[#This Row],[Estimated Effort (Hours)]]&lt;150,"L3",IF(Table1[[#This Row],[Estimated Effort (Hours)]]&lt;300,"L4","L5")))))</f>
        <v/>
      </c>
      <c r="S1350" s="184" t="str">
        <f>IF(Table1[[#This Row],[Actual End Date]]="","",TEXT(Table1[[#This Row],[Actual End Date]],"mmm-yy"))</f>
        <v/>
      </c>
      <c r="T13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0" s="185" t="str">
        <f>IFERROR((Table1[[#This Row],[Actual Effort (Hours)]]-Table1[[#This Row],[Estimated Effort (Hours)]])/Table1[[#This Row],[Estimated Effort (Hours)]],"")</f>
        <v/>
      </c>
    </row>
    <row r="1351" spans="2:21">
      <c r="B1351" s="125"/>
      <c r="C1351" s="123"/>
      <c r="D1351" s="143"/>
      <c r="E1351" s="123"/>
      <c r="F1351" s="143"/>
      <c r="G1351" s="129"/>
      <c r="H1351" s="124"/>
      <c r="I1351" s="124"/>
      <c r="J1351" s="129"/>
      <c r="K1351" s="194"/>
      <c r="L1351" s="194"/>
      <c r="M1351" s="129"/>
      <c r="N1351" s="129" t="e">
        <f>Table1[[#This Row],[Estimated Effort (Hours)]]/NETWORKDAYS(Table1[[#This Row],[Planned Start Date]],Table1[[#This Row],[Planned End Date]])</f>
        <v>#DIV/0!</v>
      </c>
      <c r="O1351" s="178">
        <f>NETWORKDAYS(Table1[[#This Row],[Planned Start Date]],Table1[[#This Row],[Planned End Date]])</f>
        <v>0</v>
      </c>
      <c r="P1351" s="178">
        <f>NETWORKDAYS(Table1[[#This Row],[Planned Start Date]],$P$7)</f>
        <v>30643</v>
      </c>
      <c r="Q1351" s="129"/>
      <c r="R1351" s="183" t="str">
        <f>IF(Table1[[#This Row],[Actual Effort (Hours)]]="","",IF(Table1[[#This Row],[Estimated Effort (Hours)]]&lt;20,"L1",IF(Table1[[#This Row],[Estimated Effort (Hours)]]&lt;50,"L2",IF(Table1[[#This Row],[Estimated Effort (Hours)]]&lt;150,"L3",IF(Table1[[#This Row],[Estimated Effort (Hours)]]&lt;300,"L4","L5")))))</f>
        <v/>
      </c>
      <c r="S1351" s="184" t="str">
        <f>IF(Table1[[#This Row],[Actual End Date]]="","",TEXT(Table1[[#This Row],[Actual End Date]],"mmm-yy"))</f>
        <v/>
      </c>
      <c r="T13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1" s="185" t="str">
        <f>IFERROR((Table1[[#This Row],[Actual Effort (Hours)]]-Table1[[#This Row],[Estimated Effort (Hours)]])/Table1[[#This Row],[Estimated Effort (Hours)]],"")</f>
        <v/>
      </c>
    </row>
    <row r="1352" spans="2:21">
      <c r="B1352" s="125"/>
      <c r="C1352" s="123"/>
      <c r="D1352" s="143"/>
      <c r="E1352" s="123"/>
      <c r="F1352" s="143"/>
      <c r="G1352" s="129"/>
      <c r="H1352" s="124"/>
      <c r="I1352" s="124"/>
      <c r="J1352" s="129"/>
      <c r="K1352" s="194"/>
      <c r="L1352" s="194"/>
      <c r="M1352" s="129"/>
      <c r="N1352" s="129" t="e">
        <f>Table1[[#This Row],[Estimated Effort (Hours)]]/NETWORKDAYS(Table1[[#This Row],[Planned Start Date]],Table1[[#This Row],[Planned End Date]])</f>
        <v>#DIV/0!</v>
      </c>
      <c r="O1352" s="178">
        <f>NETWORKDAYS(Table1[[#This Row],[Planned Start Date]],Table1[[#This Row],[Planned End Date]])</f>
        <v>0</v>
      </c>
      <c r="P1352" s="178">
        <f>NETWORKDAYS(Table1[[#This Row],[Planned Start Date]],$P$7)</f>
        <v>30643</v>
      </c>
      <c r="Q1352" s="129"/>
      <c r="R1352" s="183" t="str">
        <f>IF(Table1[[#This Row],[Actual Effort (Hours)]]="","",IF(Table1[[#This Row],[Estimated Effort (Hours)]]&lt;20,"L1",IF(Table1[[#This Row],[Estimated Effort (Hours)]]&lt;50,"L2",IF(Table1[[#This Row],[Estimated Effort (Hours)]]&lt;150,"L3",IF(Table1[[#This Row],[Estimated Effort (Hours)]]&lt;300,"L4","L5")))))</f>
        <v/>
      </c>
      <c r="S1352" s="184" t="str">
        <f>IF(Table1[[#This Row],[Actual End Date]]="","",TEXT(Table1[[#This Row],[Actual End Date]],"mmm-yy"))</f>
        <v/>
      </c>
      <c r="T13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2" s="185" t="str">
        <f>IFERROR((Table1[[#This Row],[Actual Effort (Hours)]]-Table1[[#This Row],[Estimated Effort (Hours)]])/Table1[[#This Row],[Estimated Effort (Hours)]],"")</f>
        <v/>
      </c>
    </row>
    <row r="1353" spans="2:21">
      <c r="B1353" s="125"/>
      <c r="C1353" s="123"/>
      <c r="D1353" s="143"/>
      <c r="E1353" s="123"/>
      <c r="F1353" s="143"/>
      <c r="G1353" s="129"/>
      <c r="H1353" s="124"/>
      <c r="I1353" s="124"/>
      <c r="J1353" s="129"/>
      <c r="K1353" s="194"/>
      <c r="L1353" s="194"/>
      <c r="M1353" s="129"/>
      <c r="N1353" s="129" t="e">
        <f>Table1[[#This Row],[Estimated Effort (Hours)]]/NETWORKDAYS(Table1[[#This Row],[Planned Start Date]],Table1[[#This Row],[Planned End Date]])</f>
        <v>#DIV/0!</v>
      </c>
      <c r="O1353" s="178">
        <f>NETWORKDAYS(Table1[[#This Row],[Planned Start Date]],Table1[[#This Row],[Planned End Date]])</f>
        <v>0</v>
      </c>
      <c r="P1353" s="178">
        <f>NETWORKDAYS(Table1[[#This Row],[Planned Start Date]],$P$7)</f>
        <v>30643</v>
      </c>
      <c r="Q1353" s="129"/>
      <c r="R1353" s="183" t="str">
        <f>IF(Table1[[#This Row],[Actual Effort (Hours)]]="","",IF(Table1[[#This Row],[Estimated Effort (Hours)]]&lt;20,"L1",IF(Table1[[#This Row],[Estimated Effort (Hours)]]&lt;50,"L2",IF(Table1[[#This Row],[Estimated Effort (Hours)]]&lt;150,"L3",IF(Table1[[#This Row],[Estimated Effort (Hours)]]&lt;300,"L4","L5")))))</f>
        <v/>
      </c>
      <c r="S1353" s="184" t="str">
        <f>IF(Table1[[#This Row],[Actual End Date]]="","",TEXT(Table1[[#This Row],[Actual End Date]],"mmm-yy"))</f>
        <v/>
      </c>
      <c r="T13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3" s="185" t="str">
        <f>IFERROR((Table1[[#This Row],[Actual Effort (Hours)]]-Table1[[#This Row],[Estimated Effort (Hours)]])/Table1[[#This Row],[Estimated Effort (Hours)]],"")</f>
        <v/>
      </c>
    </row>
    <row r="1354" spans="2:21">
      <c r="B1354" s="125"/>
      <c r="C1354" s="123"/>
      <c r="D1354" s="143"/>
      <c r="E1354" s="123"/>
      <c r="F1354" s="143"/>
      <c r="G1354" s="129"/>
      <c r="H1354" s="124"/>
      <c r="I1354" s="124"/>
      <c r="J1354" s="129"/>
      <c r="K1354" s="194"/>
      <c r="L1354" s="194"/>
      <c r="M1354" s="129"/>
      <c r="N1354" s="129" t="e">
        <f>Table1[[#This Row],[Estimated Effort (Hours)]]/NETWORKDAYS(Table1[[#This Row],[Planned Start Date]],Table1[[#This Row],[Planned End Date]])</f>
        <v>#DIV/0!</v>
      </c>
      <c r="O1354" s="178">
        <f>NETWORKDAYS(Table1[[#This Row],[Planned Start Date]],Table1[[#This Row],[Planned End Date]])</f>
        <v>0</v>
      </c>
      <c r="P1354" s="178">
        <f>NETWORKDAYS(Table1[[#This Row],[Planned Start Date]],$P$7)</f>
        <v>30643</v>
      </c>
      <c r="Q1354" s="129"/>
      <c r="R1354" s="183" t="str">
        <f>IF(Table1[[#This Row],[Actual Effort (Hours)]]="","",IF(Table1[[#This Row],[Estimated Effort (Hours)]]&lt;20,"L1",IF(Table1[[#This Row],[Estimated Effort (Hours)]]&lt;50,"L2",IF(Table1[[#This Row],[Estimated Effort (Hours)]]&lt;150,"L3",IF(Table1[[#This Row],[Estimated Effort (Hours)]]&lt;300,"L4","L5")))))</f>
        <v/>
      </c>
      <c r="S1354" s="184" t="str">
        <f>IF(Table1[[#This Row],[Actual End Date]]="","",TEXT(Table1[[#This Row],[Actual End Date]],"mmm-yy"))</f>
        <v/>
      </c>
      <c r="T13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4" s="185" t="str">
        <f>IFERROR((Table1[[#This Row],[Actual Effort (Hours)]]-Table1[[#This Row],[Estimated Effort (Hours)]])/Table1[[#This Row],[Estimated Effort (Hours)]],"")</f>
        <v/>
      </c>
    </row>
    <row r="1355" spans="2:21">
      <c r="B1355" s="125"/>
      <c r="C1355" s="123"/>
      <c r="D1355" s="143"/>
      <c r="E1355" s="123"/>
      <c r="F1355" s="143"/>
      <c r="G1355" s="129"/>
      <c r="H1355" s="124"/>
      <c r="I1355" s="124"/>
      <c r="J1355" s="129"/>
      <c r="K1355" s="194"/>
      <c r="L1355" s="194"/>
      <c r="M1355" s="129"/>
      <c r="N1355" s="129" t="e">
        <f>Table1[[#This Row],[Estimated Effort (Hours)]]/NETWORKDAYS(Table1[[#This Row],[Planned Start Date]],Table1[[#This Row],[Planned End Date]])</f>
        <v>#DIV/0!</v>
      </c>
      <c r="O1355" s="178">
        <f>NETWORKDAYS(Table1[[#This Row],[Planned Start Date]],Table1[[#This Row],[Planned End Date]])</f>
        <v>0</v>
      </c>
      <c r="P1355" s="178">
        <f>NETWORKDAYS(Table1[[#This Row],[Planned Start Date]],$P$7)</f>
        <v>30643</v>
      </c>
      <c r="Q1355" s="129"/>
      <c r="R1355" s="183" t="str">
        <f>IF(Table1[[#This Row],[Actual Effort (Hours)]]="","",IF(Table1[[#This Row],[Estimated Effort (Hours)]]&lt;20,"L1",IF(Table1[[#This Row],[Estimated Effort (Hours)]]&lt;50,"L2",IF(Table1[[#This Row],[Estimated Effort (Hours)]]&lt;150,"L3",IF(Table1[[#This Row],[Estimated Effort (Hours)]]&lt;300,"L4","L5")))))</f>
        <v/>
      </c>
      <c r="S1355" s="184" t="str">
        <f>IF(Table1[[#This Row],[Actual End Date]]="","",TEXT(Table1[[#This Row],[Actual End Date]],"mmm-yy"))</f>
        <v/>
      </c>
      <c r="T13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5" s="185" t="str">
        <f>IFERROR((Table1[[#This Row],[Actual Effort (Hours)]]-Table1[[#This Row],[Estimated Effort (Hours)]])/Table1[[#This Row],[Estimated Effort (Hours)]],"")</f>
        <v/>
      </c>
    </row>
    <row r="1356" spans="2:21">
      <c r="B1356" s="125"/>
      <c r="C1356" s="123"/>
      <c r="D1356" s="143"/>
      <c r="E1356" s="123"/>
      <c r="F1356" s="143"/>
      <c r="G1356" s="129"/>
      <c r="H1356" s="124"/>
      <c r="I1356" s="124"/>
      <c r="J1356" s="129"/>
      <c r="K1356" s="194"/>
      <c r="L1356" s="194"/>
      <c r="M1356" s="129"/>
      <c r="N1356" s="129" t="e">
        <f>Table1[[#This Row],[Estimated Effort (Hours)]]/NETWORKDAYS(Table1[[#This Row],[Planned Start Date]],Table1[[#This Row],[Planned End Date]])</f>
        <v>#DIV/0!</v>
      </c>
      <c r="O1356" s="178">
        <f>NETWORKDAYS(Table1[[#This Row],[Planned Start Date]],Table1[[#This Row],[Planned End Date]])</f>
        <v>0</v>
      </c>
      <c r="P1356" s="178">
        <f>NETWORKDAYS(Table1[[#This Row],[Planned Start Date]],$P$7)</f>
        <v>30643</v>
      </c>
      <c r="Q1356" s="129"/>
      <c r="R1356" s="183" t="str">
        <f>IF(Table1[[#This Row],[Actual Effort (Hours)]]="","",IF(Table1[[#This Row],[Estimated Effort (Hours)]]&lt;20,"L1",IF(Table1[[#This Row],[Estimated Effort (Hours)]]&lt;50,"L2",IF(Table1[[#This Row],[Estimated Effort (Hours)]]&lt;150,"L3",IF(Table1[[#This Row],[Estimated Effort (Hours)]]&lt;300,"L4","L5")))))</f>
        <v/>
      </c>
      <c r="S1356" s="184" t="str">
        <f>IF(Table1[[#This Row],[Actual End Date]]="","",TEXT(Table1[[#This Row],[Actual End Date]],"mmm-yy"))</f>
        <v/>
      </c>
      <c r="T13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6" s="185" t="str">
        <f>IFERROR((Table1[[#This Row],[Actual Effort (Hours)]]-Table1[[#This Row],[Estimated Effort (Hours)]])/Table1[[#This Row],[Estimated Effort (Hours)]],"")</f>
        <v/>
      </c>
    </row>
    <row r="1357" spans="2:21">
      <c r="B1357" s="125"/>
      <c r="C1357" s="123"/>
      <c r="D1357" s="143"/>
      <c r="E1357" s="123"/>
      <c r="F1357" s="143"/>
      <c r="G1357" s="129"/>
      <c r="H1357" s="124"/>
      <c r="I1357" s="124"/>
      <c r="J1357" s="129"/>
      <c r="K1357" s="194"/>
      <c r="L1357" s="194"/>
      <c r="M1357" s="129"/>
      <c r="N1357" s="129" t="e">
        <f>Table1[[#This Row],[Estimated Effort (Hours)]]/NETWORKDAYS(Table1[[#This Row],[Planned Start Date]],Table1[[#This Row],[Planned End Date]])</f>
        <v>#DIV/0!</v>
      </c>
      <c r="O1357" s="178">
        <f>NETWORKDAYS(Table1[[#This Row],[Planned Start Date]],Table1[[#This Row],[Planned End Date]])</f>
        <v>0</v>
      </c>
      <c r="P1357" s="178">
        <f>NETWORKDAYS(Table1[[#This Row],[Planned Start Date]],$P$7)</f>
        <v>30643</v>
      </c>
      <c r="Q1357" s="129"/>
      <c r="R1357" s="183" t="str">
        <f>IF(Table1[[#This Row],[Actual Effort (Hours)]]="","",IF(Table1[[#This Row],[Estimated Effort (Hours)]]&lt;20,"L1",IF(Table1[[#This Row],[Estimated Effort (Hours)]]&lt;50,"L2",IF(Table1[[#This Row],[Estimated Effort (Hours)]]&lt;150,"L3",IF(Table1[[#This Row],[Estimated Effort (Hours)]]&lt;300,"L4","L5")))))</f>
        <v/>
      </c>
      <c r="S1357" s="184" t="str">
        <f>IF(Table1[[#This Row],[Actual End Date]]="","",TEXT(Table1[[#This Row],[Actual End Date]],"mmm-yy"))</f>
        <v/>
      </c>
      <c r="T13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7" s="185" t="str">
        <f>IFERROR((Table1[[#This Row],[Actual Effort (Hours)]]-Table1[[#This Row],[Estimated Effort (Hours)]])/Table1[[#This Row],[Estimated Effort (Hours)]],"")</f>
        <v/>
      </c>
    </row>
    <row r="1358" spans="2:21">
      <c r="B1358" s="125"/>
      <c r="C1358" s="123"/>
      <c r="D1358" s="143"/>
      <c r="E1358" s="123"/>
      <c r="F1358" s="143"/>
      <c r="G1358" s="129"/>
      <c r="H1358" s="124"/>
      <c r="I1358" s="124"/>
      <c r="J1358" s="129"/>
      <c r="K1358" s="194"/>
      <c r="L1358" s="194"/>
      <c r="M1358" s="129"/>
      <c r="N1358" s="129" t="e">
        <f>Table1[[#This Row],[Estimated Effort (Hours)]]/NETWORKDAYS(Table1[[#This Row],[Planned Start Date]],Table1[[#This Row],[Planned End Date]])</f>
        <v>#DIV/0!</v>
      </c>
      <c r="O1358" s="178">
        <f>NETWORKDAYS(Table1[[#This Row],[Planned Start Date]],Table1[[#This Row],[Planned End Date]])</f>
        <v>0</v>
      </c>
      <c r="P1358" s="178">
        <f>NETWORKDAYS(Table1[[#This Row],[Planned Start Date]],$P$7)</f>
        <v>30643</v>
      </c>
      <c r="Q1358" s="129"/>
      <c r="R1358" s="183" t="str">
        <f>IF(Table1[[#This Row],[Actual Effort (Hours)]]="","",IF(Table1[[#This Row],[Estimated Effort (Hours)]]&lt;20,"L1",IF(Table1[[#This Row],[Estimated Effort (Hours)]]&lt;50,"L2",IF(Table1[[#This Row],[Estimated Effort (Hours)]]&lt;150,"L3",IF(Table1[[#This Row],[Estimated Effort (Hours)]]&lt;300,"L4","L5")))))</f>
        <v/>
      </c>
      <c r="S1358" s="184" t="str">
        <f>IF(Table1[[#This Row],[Actual End Date]]="","",TEXT(Table1[[#This Row],[Actual End Date]],"mmm-yy"))</f>
        <v/>
      </c>
      <c r="T13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8" s="185" t="str">
        <f>IFERROR((Table1[[#This Row],[Actual Effort (Hours)]]-Table1[[#This Row],[Estimated Effort (Hours)]])/Table1[[#This Row],[Estimated Effort (Hours)]],"")</f>
        <v/>
      </c>
    </row>
    <row r="1359" spans="2:21">
      <c r="B1359" s="125"/>
      <c r="C1359" s="123"/>
      <c r="D1359" s="143"/>
      <c r="E1359" s="123"/>
      <c r="F1359" s="143"/>
      <c r="G1359" s="129"/>
      <c r="H1359" s="124"/>
      <c r="I1359" s="124"/>
      <c r="J1359" s="129"/>
      <c r="K1359" s="194"/>
      <c r="L1359" s="194"/>
      <c r="M1359" s="129"/>
      <c r="N1359" s="129" t="e">
        <f>Table1[[#This Row],[Estimated Effort (Hours)]]/NETWORKDAYS(Table1[[#This Row],[Planned Start Date]],Table1[[#This Row],[Planned End Date]])</f>
        <v>#DIV/0!</v>
      </c>
      <c r="O1359" s="178">
        <f>NETWORKDAYS(Table1[[#This Row],[Planned Start Date]],Table1[[#This Row],[Planned End Date]])</f>
        <v>0</v>
      </c>
      <c r="P1359" s="178">
        <f>NETWORKDAYS(Table1[[#This Row],[Planned Start Date]],$P$7)</f>
        <v>30643</v>
      </c>
      <c r="Q1359" s="129"/>
      <c r="R1359" s="183" t="str">
        <f>IF(Table1[[#This Row],[Actual Effort (Hours)]]="","",IF(Table1[[#This Row],[Estimated Effort (Hours)]]&lt;20,"L1",IF(Table1[[#This Row],[Estimated Effort (Hours)]]&lt;50,"L2",IF(Table1[[#This Row],[Estimated Effort (Hours)]]&lt;150,"L3",IF(Table1[[#This Row],[Estimated Effort (Hours)]]&lt;300,"L4","L5")))))</f>
        <v/>
      </c>
      <c r="S1359" s="184" t="str">
        <f>IF(Table1[[#This Row],[Actual End Date]]="","",TEXT(Table1[[#This Row],[Actual End Date]],"mmm-yy"))</f>
        <v/>
      </c>
      <c r="T13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59" s="185" t="str">
        <f>IFERROR((Table1[[#This Row],[Actual Effort (Hours)]]-Table1[[#This Row],[Estimated Effort (Hours)]])/Table1[[#This Row],[Estimated Effort (Hours)]],"")</f>
        <v/>
      </c>
    </row>
    <row r="1360" spans="2:21">
      <c r="B1360" s="125"/>
      <c r="C1360" s="123"/>
      <c r="D1360" s="143"/>
      <c r="E1360" s="123"/>
      <c r="F1360" s="143"/>
      <c r="G1360" s="129"/>
      <c r="H1360" s="124"/>
      <c r="I1360" s="124"/>
      <c r="J1360" s="129"/>
      <c r="K1360" s="194"/>
      <c r="L1360" s="194"/>
      <c r="M1360" s="129"/>
      <c r="N1360" s="129" t="e">
        <f>Table1[[#This Row],[Estimated Effort (Hours)]]/NETWORKDAYS(Table1[[#This Row],[Planned Start Date]],Table1[[#This Row],[Planned End Date]])</f>
        <v>#DIV/0!</v>
      </c>
      <c r="O1360" s="178">
        <f>NETWORKDAYS(Table1[[#This Row],[Planned Start Date]],Table1[[#This Row],[Planned End Date]])</f>
        <v>0</v>
      </c>
      <c r="P1360" s="178">
        <f>NETWORKDAYS(Table1[[#This Row],[Planned Start Date]],$P$7)</f>
        <v>30643</v>
      </c>
      <c r="Q1360" s="129"/>
      <c r="R1360" s="183" t="str">
        <f>IF(Table1[[#This Row],[Actual Effort (Hours)]]="","",IF(Table1[[#This Row],[Estimated Effort (Hours)]]&lt;20,"L1",IF(Table1[[#This Row],[Estimated Effort (Hours)]]&lt;50,"L2",IF(Table1[[#This Row],[Estimated Effort (Hours)]]&lt;150,"L3",IF(Table1[[#This Row],[Estimated Effort (Hours)]]&lt;300,"L4","L5")))))</f>
        <v/>
      </c>
      <c r="S1360" s="184" t="str">
        <f>IF(Table1[[#This Row],[Actual End Date]]="","",TEXT(Table1[[#This Row],[Actual End Date]],"mmm-yy"))</f>
        <v/>
      </c>
      <c r="T13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0" s="185" t="str">
        <f>IFERROR((Table1[[#This Row],[Actual Effort (Hours)]]-Table1[[#This Row],[Estimated Effort (Hours)]])/Table1[[#This Row],[Estimated Effort (Hours)]],"")</f>
        <v/>
      </c>
    </row>
    <row r="1361" spans="2:21">
      <c r="B1361" s="125"/>
      <c r="C1361" s="123"/>
      <c r="D1361" s="143"/>
      <c r="E1361" s="123"/>
      <c r="F1361" s="143"/>
      <c r="G1361" s="129"/>
      <c r="H1361" s="124"/>
      <c r="I1361" s="124"/>
      <c r="J1361" s="129"/>
      <c r="K1361" s="194"/>
      <c r="L1361" s="194"/>
      <c r="M1361" s="129"/>
      <c r="N1361" s="129" t="e">
        <f>Table1[[#This Row],[Estimated Effort (Hours)]]/NETWORKDAYS(Table1[[#This Row],[Planned Start Date]],Table1[[#This Row],[Planned End Date]])</f>
        <v>#DIV/0!</v>
      </c>
      <c r="O1361" s="178">
        <f>NETWORKDAYS(Table1[[#This Row],[Planned Start Date]],Table1[[#This Row],[Planned End Date]])</f>
        <v>0</v>
      </c>
      <c r="P1361" s="178">
        <f>NETWORKDAYS(Table1[[#This Row],[Planned Start Date]],$P$7)</f>
        <v>30643</v>
      </c>
      <c r="Q1361" s="129"/>
      <c r="R1361" s="183" t="str">
        <f>IF(Table1[[#This Row],[Actual Effort (Hours)]]="","",IF(Table1[[#This Row],[Estimated Effort (Hours)]]&lt;20,"L1",IF(Table1[[#This Row],[Estimated Effort (Hours)]]&lt;50,"L2",IF(Table1[[#This Row],[Estimated Effort (Hours)]]&lt;150,"L3",IF(Table1[[#This Row],[Estimated Effort (Hours)]]&lt;300,"L4","L5")))))</f>
        <v/>
      </c>
      <c r="S1361" s="184" t="str">
        <f>IF(Table1[[#This Row],[Actual End Date]]="","",TEXT(Table1[[#This Row],[Actual End Date]],"mmm-yy"))</f>
        <v/>
      </c>
      <c r="T13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1" s="185" t="str">
        <f>IFERROR((Table1[[#This Row],[Actual Effort (Hours)]]-Table1[[#This Row],[Estimated Effort (Hours)]])/Table1[[#This Row],[Estimated Effort (Hours)]],"")</f>
        <v/>
      </c>
    </row>
    <row r="1362" spans="2:21">
      <c r="B1362" s="125"/>
      <c r="C1362" s="123"/>
      <c r="D1362" s="143"/>
      <c r="E1362" s="123"/>
      <c r="F1362" s="143"/>
      <c r="G1362" s="129"/>
      <c r="H1362" s="124"/>
      <c r="I1362" s="124"/>
      <c r="J1362" s="129"/>
      <c r="K1362" s="194"/>
      <c r="L1362" s="194"/>
      <c r="M1362" s="129"/>
      <c r="N1362" s="129" t="e">
        <f>Table1[[#This Row],[Estimated Effort (Hours)]]/NETWORKDAYS(Table1[[#This Row],[Planned Start Date]],Table1[[#This Row],[Planned End Date]])</f>
        <v>#DIV/0!</v>
      </c>
      <c r="O1362" s="178">
        <f>NETWORKDAYS(Table1[[#This Row],[Planned Start Date]],Table1[[#This Row],[Planned End Date]])</f>
        <v>0</v>
      </c>
      <c r="P1362" s="178">
        <f>NETWORKDAYS(Table1[[#This Row],[Planned Start Date]],$P$7)</f>
        <v>30643</v>
      </c>
      <c r="Q1362" s="129"/>
      <c r="R1362" s="183" t="str">
        <f>IF(Table1[[#This Row],[Actual Effort (Hours)]]="","",IF(Table1[[#This Row],[Estimated Effort (Hours)]]&lt;20,"L1",IF(Table1[[#This Row],[Estimated Effort (Hours)]]&lt;50,"L2",IF(Table1[[#This Row],[Estimated Effort (Hours)]]&lt;150,"L3",IF(Table1[[#This Row],[Estimated Effort (Hours)]]&lt;300,"L4","L5")))))</f>
        <v/>
      </c>
      <c r="S1362" s="184" t="str">
        <f>IF(Table1[[#This Row],[Actual End Date]]="","",TEXT(Table1[[#This Row],[Actual End Date]],"mmm-yy"))</f>
        <v/>
      </c>
      <c r="T13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2" s="185" t="str">
        <f>IFERROR((Table1[[#This Row],[Actual Effort (Hours)]]-Table1[[#This Row],[Estimated Effort (Hours)]])/Table1[[#This Row],[Estimated Effort (Hours)]],"")</f>
        <v/>
      </c>
    </row>
    <row r="1363" spans="2:21">
      <c r="B1363" s="125"/>
      <c r="C1363" s="123"/>
      <c r="D1363" s="143"/>
      <c r="E1363" s="123"/>
      <c r="F1363" s="143"/>
      <c r="G1363" s="129"/>
      <c r="H1363" s="124"/>
      <c r="I1363" s="124"/>
      <c r="J1363" s="129"/>
      <c r="K1363" s="194"/>
      <c r="L1363" s="194"/>
      <c r="M1363" s="129"/>
      <c r="N1363" s="129" t="e">
        <f>Table1[[#This Row],[Estimated Effort (Hours)]]/NETWORKDAYS(Table1[[#This Row],[Planned Start Date]],Table1[[#This Row],[Planned End Date]])</f>
        <v>#DIV/0!</v>
      </c>
      <c r="O1363" s="178">
        <f>NETWORKDAYS(Table1[[#This Row],[Planned Start Date]],Table1[[#This Row],[Planned End Date]])</f>
        <v>0</v>
      </c>
      <c r="P1363" s="178">
        <f>NETWORKDAYS(Table1[[#This Row],[Planned Start Date]],$P$7)</f>
        <v>30643</v>
      </c>
      <c r="Q1363" s="129"/>
      <c r="R1363" s="183" t="str">
        <f>IF(Table1[[#This Row],[Actual Effort (Hours)]]="","",IF(Table1[[#This Row],[Estimated Effort (Hours)]]&lt;20,"L1",IF(Table1[[#This Row],[Estimated Effort (Hours)]]&lt;50,"L2",IF(Table1[[#This Row],[Estimated Effort (Hours)]]&lt;150,"L3",IF(Table1[[#This Row],[Estimated Effort (Hours)]]&lt;300,"L4","L5")))))</f>
        <v/>
      </c>
      <c r="S1363" s="184" t="str">
        <f>IF(Table1[[#This Row],[Actual End Date]]="","",TEXT(Table1[[#This Row],[Actual End Date]],"mmm-yy"))</f>
        <v/>
      </c>
      <c r="T13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3" s="185" t="str">
        <f>IFERROR((Table1[[#This Row],[Actual Effort (Hours)]]-Table1[[#This Row],[Estimated Effort (Hours)]])/Table1[[#This Row],[Estimated Effort (Hours)]],"")</f>
        <v/>
      </c>
    </row>
    <row r="1364" spans="2:21">
      <c r="B1364" s="125"/>
      <c r="C1364" s="123"/>
      <c r="D1364" s="143"/>
      <c r="E1364" s="123"/>
      <c r="F1364" s="143"/>
      <c r="G1364" s="129"/>
      <c r="H1364" s="124"/>
      <c r="I1364" s="124"/>
      <c r="J1364" s="129"/>
      <c r="K1364" s="194"/>
      <c r="L1364" s="194"/>
      <c r="M1364" s="129"/>
      <c r="N1364" s="129" t="e">
        <f>Table1[[#This Row],[Estimated Effort (Hours)]]/NETWORKDAYS(Table1[[#This Row],[Planned Start Date]],Table1[[#This Row],[Planned End Date]])</f>
        <v>#DIV/0!</v>
      </c>
      <c r="O1364" s="178">
        <f>NETWORKDAYS(Table1[[#This Row],[Planned Start Date]],Table1[[#This Row],[Planned End Date]])</f>
        <v>0</v>
      </c>
      <c r="P1364" s="178">
        <f>NETWORKDAYS(Table1[[#This Row],[Planned Start Date]],$P$7)</f>
        <v>30643</v>
      </c>
      <c r="Q1364" s="129"/>
      <c r="R1364" s="183" t="str">
        <f>IF(Table1[[#This Row],[Actual Effort (Hours)]]="","",IF(Table1[[#This Row],[Estimated Effort (Hours)]]&lt;20,"L1",IF(Table1[[#This Row],[Estimated Effort (Hours)]]&lt;50,"L2",IF(Table1[[#This Row],[Estimated Effort (Hours)]]&lt;150,"L3",IF(Table1[[#This Row],[Estimated Effort (Hours)]]&lt;300,"L4","L5")))))</f>
        <v/>
      </c>
      <c r="S1364" s="184" t="str">
        <f>IF(Table1[[#This Row],[Actual End Date]]="","",TEXT(Table1[[#This Row],[Actual End Date]],"mmm-yy"))</f>
        <v/>
      </c>
      <c r="T13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4" s="185" t="str">
        <f>IFERROR((Table1[[#This Row],[Actual Effort (Hours)]]-Table1[[#This Row],[Estimated Effort (Hours)]])/Table1[[#This Row],[Estimated Effort (Hours)]],"")</f>
        <v/>
      </c>
    </row>
    <row r="1365" spans="2:21">
      <c r="B1365" s="125"/>
      <c r="C1365" s="123"/>
      <c r="D1365" s="143"/>
      <c r="E1365" s="123"/>
      <c r="F1365" s="143"/>
      <c r="G1365" s="129"/>
      <c r="H1365" s="124"/>
      <c r="I1365" s="124"/>
      <c r="J1365" s="129"/>
      <c r="K1365" s="194"/>
      <c r="L1365" s="194"/>
      <c r="M1365" s="129"/>
      <c r="N1365" s="129" t="e">
        <f>Table1[[#This Row],[Estimated Effort (Hours)]]/NETWORKDAYS(Table1[[#This Row],[Planned Start Date]],Table1[[#This Row],[Planned End Date]])</f>
        <v>#DIV/0!</v>
      </c>
      <c r="O1365" s="178">
        <f>NETWORKDAYS(Table1[[#This Row],[Planned Start Date]],Table1[[#This Row],[Planned End Date]])</f>
        <v>0</v>
      </c>
      <c r="P1365" s="178">
        <f>NETWORKDAYS(Table1[[#This Row],[Planned Start Date]],$P$7)</f>
        <v>30643</v>
      </c>
      <c r="Q1365" s="129"/>
      <c r="R1365" s="183" t="str">
        <f>IF(Table1[[#This Row],[Actual Effort (Hours)]]="","",IF(Table1[[#This Row],[Estimated Effort (Hours)]]&lt;20,"L1",IF(Table1[[#This Row],[Estimated Effort (Hours)]]&lt;50,"L2",IF(Table1[[#This Row],[Estimated Effort (Hours)]]&lt;150,"L3",IF(Table1[[#This Row],[Estimated Effort (Hours)]]&lt;300,"L4","L5")))))</f>
        <v/>
      </c>
      <c r="S1365" s="184" t="str">
        <f>IF(Table1[[#This Row],[Actual End Date]]="","",TEXT(Table1[[#This Row],[Actual End Date]],"mmm-yy"))</f>
        <v/>
      </c>
      <c r="T13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5" s="185" t="str">
        <f>IFERROR((Table1[[#This Row],[Actual Effort (Hours)]]-Table1[[#This Row],[Estimated Effort (Hours)]])/Table1[[#This Row],[Estimated Effort (Hours)]],"")</f>
        <v/>
      </c>
    </row>
    <row r="1366" spans="2:21">
      <c r="B1366" s="125"/>
      <c r="C1366" s="123"/>
      <c r="D1366" s="143"/>
      <c r="E1366" s="123"/>
      <c r="F1366" s="143"/>
      <c r="G1366" s="129"/>
      <c r="H1366" s="124"/>
      <c r="I1366" s="124"/>
      <c r="J1366" s="129"/>
      <c r="K1366" s="194"/>
      <c r="L1366" s="194"/>
      <c r="M1366" s="129"/>
      <c r="N1366" s="129" t="e">
        <f>Table1[[#This Row],[Estimated Effort (Hours)]]/NETWORKDAYS(Table1[[#This Row],[Planned Start Date]],Table1[[#This Row],[Planned End Date]])</f>
        <v>#DIV/0!</v>
      </c>
      <c r="O1366" s="178">
        <f>NETWORKDAYS(Table1[[#This Row],[Planned Start Date]],Table1[[#This Row],[Planned End Date]])</f>
        <v>0</v>
      </c>
      <c r="P1366" s="178">
        <f>NETWORKDAYS(Table1[[#This Row],[Planned Start Date]],$P$7)</f>
        <v>30643</v>
      </c>
      <c r="Q1366" s="129"/>
      <c r="R1366" s="183" t="str">
        <f>IF(Table1[[#This Row],[Actual Effort (Hours)]]="","",IF(Table1[[#This Row],[Estimated Effort (Hours)]]&lt;20,"L1",IF(Table1[[#This Row],[Estimated Effort (Hours)]]&lt;50,"L2",IF(Table1[[#This Row],[Estimated Effort (Hours)]]&lt;150,"L3",IF(Table1[[#This Row],[Estimated Effort (Hours)]]&lt;300,"L4","L5")))))</f>
        <v/>
      </c>
      <c r="S1366" s="184" t="str">
        <f>IF(Table1[[#This Row],[Actual End Date]]="","",TEXT(Table1[[#This Row],[Actual End Date]],"mmm-yy"))</f>
        <v/>
      </c>
      <c r="T13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6" s="185" t="str">
        <f>IFERROR((Table1[[#This Row],[Actual Effort (Hours)]]-Table1[[#This Row],[Estimated Effort (Hours)]])/Table1[[#This Row],[Estimated Effort (Hours)]],"")</f>
        <v/>
      </c>
    </row>
    <row r="1367" spans="2:21">
      <c r="B1367" s="125"/>
      <c r="C1367" s="123"/>
      <c r="D1367" s="143"/>
      <c r="E1367" s="123"/>
      <c r="F1367" s="143"/>
      <c r="G1367" s="129"/>
      <c r="H1367" s="124"/>
      <c r="I1367" s="124"/>
      <c r="J1367" s="129"/>
      <c r="K1367" s="194"/>
      <c r="L1367" s="194"/>
      <c r="M1367" s="129"/>
      <c r="N1367" s="129" t="e">
        <f>Table1[[#This Row],[Estimated Effort (Hours)]]/NETWORKDAYS(Table1[[#This Row],[Planned Start Date]],Table1[[#This Row],[Planned End Date]])</f>
        <v>#DIV/0!</v>
      </c>
      <c r="O1367" s="178">
        <f>NETWORKDAYS(Table1[[#This Row],[Planned Start Date]],Table1[[#This Row],[Planned End Date]])</f>
        <v>0</v>
      </c>
      <c r="P1367" s="178">
        <f>NETWORKDAYS(Table1[[#This Row],[Planned Start Date]],$P$7)</f>
        <v>30643</v>
      </c>
      <c r="Q1367" s="129"/>
      <c r="R1367" s="183" t="str">
        <f>IF(Table1[[#This Row],[Actual Effort (Hours)]]="","",IF(Table1[[#This Row],[Estimated Effort (Hours)]]&lt;20,"L1",IF(Table1[[#This Row],[Estimated Effort (Hours)]]&lt;50,"L2",IF(Table1[[#This Row],[Estimated Effort (Hours)]]&lt;150,"L3",IF(Table1[[#This Row],[Estimated Effort (Hours)]]&lt;300,"L4","L5")))))</f>
        <v/>
      </c>
      <c r="S1367" s="184" t="str">
        <f>IF(Table1[[#This Row],[Actual End Date]]="","",TEXT(Table1[[#This Row],[Actual End Date]],"mmm-yy"))</f>
        <v/>
      </c>
      <c r="T13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7" s="185" t="str">
        <f>IFERROR((Table1[[#This Row],[Actual Effort (Hours)]]-Table1[[#This Row],[Estimated Effort (Hours)]])/Table1[[#This Row],[Estimated Effort (Hours)]],"")</f>
        <v/>
      </c>
    </row>
    <row r="1368" spans="2:21">
      <c r="B1368" s="125"/>
      <c r="C1368" s="123"/>
      <c r="D1368" s="143"/>
      <c r="E1368" s="123"/>
      <c r="F1368" s="143"/>
      <c r="G1368" s="129"/>
      <c r="H1368" s="124"/>
      <c r="I1368" s="124"/>
      <c r="J1368" s="129"/>
      <c r="K1368" s="194"/>
      <c r="L1368" s="194"/>
      <c r="M1368" s="129"/>
      <c r="N1368" s="129" t="e">
        <f>Table1[[#This Row],[Estimated Effort (Hours)]]/NETWORKDAYS(Table1[[#This Row],[Planned Start Date]],Table1[[#This Row],[Planned End Date]])</f>
        <v>#DIV/0!</v>
      </c>
      <c r="O1368" s="178">
        <f>NETWORKDAYS(Table1[[#This Row],[Planned Start Date]],Table1[[#This Row],[Planned End Date]])</f>
        <v>0</v>
      </c>
      <c r="P1368" s="178">
        <f>NETWORKDAYS(Table1[[#This Row],[Planned Start Date]],$P$7)</f>
        <v>30643</v>
      </c>
      <c r="Q1368" s="129"/>
      <c r="R1368" s="183" t="str">
        <f>IF(Table1[[#This Row],[Actual Effort (Hours)]]="","",IF(Table1[[#This Row],[Estimated Effort (Hours)]]&lt;20,"L1",IF(Table1[[#This Row],[Estimated Effort (Hours)]]&lt;50,"L2",IF(Table1[[#This Row],[Estimated Effort (Hours)]]&lt;150,"L3",IF(Table1[[#This Row],[Estimated Effort (Hours)]]&lt;300,"L4","L5")))))</f>
        <v/>
      </c>
      <c r="S1368" s="184" t="str">
        <f>IF(Table1[[#This Row],[Actual End Date]]="","",TEXT(Table1[[#This Row],[Actual End Date]],"mmm-yy"))</f>
        <v/>
      </c>
      <c r="T13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8" s="185" t="str">
        <f>IFERROR((Table1[[#This Row],[Actual Effort (Hours)]]-Table1[[#This Row],[Estimated Effort (Hours)]])/Table1[[#This Row],[Estimated Effort (Hours)]],"")</f>
        <v/>
      </c>
    </row>
    <row r="1369" spans="2:21">
      <c r="B1369" s="125"/>
      <c r="C1369" s="123"/>
      <c r="D1369" s="143"/>
      <c r="E1369" s="123"/>
      <c r="F1369" s="143"/>
      <c r="G1369" s="129"/>
      <c r="H1369" s="124"/>
      <c r="I1369" s="124"/>
      <c r="J1369" s="129"/>
      <c r="K1369" s="194"/>
      <c r="L1369" s="194"/>
      <c r="M1369" s="129"/>
      <c r="N1369" s="129" t="e">
        <f>Table1[[#This Row],[Estimated Effort (Hours)]]/NETWORKDAYS(Table1[[#This Row],[Planned Start Date]],Table1[[#This Row],[Planned End Date]])</f>
        <v>#DIV/0!</v>
      </c>
      <c r="O1369" s="178">
        <f>NETWORKDAYS(Table1[[#This Row],[Planned Start Date]],Table1[[#This Row],[Planned End Date]])</f>
        <v>0</v>
      </c>
      <c r="P1369" s="178">
        <f>NETWORKDAYS(Table1[[#This Row],[Planned Start Date]],$P$7)</f>
        <v>30643</v>
      </c>
      <c r="Q1369" s="129"/>
      <c r="R1369" s="183" t="str">
        <f>IF(Table1[[#This Row],[Actual Effort (Hours)]]="","",IF(Table1[[#This Row],[Estimated Effort (Hours)]]&lt;20,"L1",IF(Table1[[#This Row],[Estimated Effort (Hours)]]&lt;50,"L2",IF(Table1[[#This Row],[Estimated Effort (Hours)]]&lt;150,"L3",IF(Table1[[#This Row],[Estimated Effort (Hours)]]&lt;300,"L4","L5")))))</f>
        <v/>
      </c>
      <c r="S1369" s="184" t="str">
        <f>IF(Table1[[#This Row],[Actual End Date]]="","",TEXT(Table1[[#This Row],[Actual End Date]],"mmm-yy"))</f>
        <v/>
      </c>
      <c r="T13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69" s="185" t="str">
        <f>IFERROR((Table1[[#This Row],[Actual Effort (Hours)]]-Table1[[#This Row],[Estimated Effort (Hours)]])/Table1[[#This Row],[Estimated Effort (Hours)]],"")</f>
        <v/>
      </c>
    </row>
    <row r="1370" spans="2:21">
      <c r="B1370" s="125"/>
      <c r="C1370" s="123"/>
      <c r="D1370" s="143"/>
      <c r="E1370" s="123"/>
      <c r="F1370" s="143"/>
      <c r="G1370" s="129"/>
      <c r="H1370" s="124"/>
      <c r="I1370" s="124"/>
      <c r="J1370" s="129"/>
      <c r="K1370" s="194"/>
      <c r="L1370" s="194"/>
      <c r="M1370" s="129"/>
      <c r="N1370" s="129" t="e">
        <f>Table1[[#This Row],[Estimated Effort (Hours)]]/NETWORKDAYS(Table1[[#This Row],[Planned Start Date]],Table1[[#This Row],[Planned End Date]])</f>
        <v>#DIV/0!</v>
      </c>
      <c r="O1370" s="178">
        <f>NETWORKDAYS(Table1[[#This Row],[Planned Start Date]],Table1[[#This Row],[Planned End Date]])</f>
        <v>0</v>
      </c>
      <c r="P1370" s="178">
        <f>NETWORKDAYS(Table1[[#This Row],[Planned Start Date]],$P$7)</f>
        <v>30643</v>
      </c>
      <c r="Q1370" s="129"/>
      <c r="R1370" s="183" t="str">
        <f>IF(Table1[[#This Row],[Actual Effort (Hours)]]="","",IF(Table1[[#This Row],[Estimated Effort (Hours)]]&lt;20,"L1",IF(Table1[[#This Row],[Estimated Effort (Hours)]]&lt;50,"L2",IF(Table1[[#This Row],[Estimated Effort (Hours)]]&lt;150,"L3",IF(Table1[[#This Row],[Estimated Effort (Hours)]]&lt;300,"L4","L5")))))</f>
        <v/>
      </c>
      <c r="S1370" s="184" t="str">
        <f>IF(Table1[[#This Row],[Actual End Date]]="","",TEXT(Table1[[#This Row],[Actual End Date]],"mmm-yy"))</f>
        <v/>
      </c>
      <c r="T13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0" s="185" t="str">
        <f>IFERROR((Table1[[#This Row],[Actual Effort (Hours)]]-Table1[[#This Row],[Estimated Effort (Hours)]])/Table1[[#This Row],[Estimated Effort (Hours)]],"")</f>
        <v/>
      </c>
    </row>
    <row r="1371" spans="2:21">
      <c r="B1371" s="125"/>
      <c r="C1371" s="123"/>
      <c r="D1371" s="143"/>
      <c r="E1371" s="123"/>
      <c r="F1371" s="143"/>
      <c r="G1371" s="129"/>
      <c r="H1371" s="124"/>
      <c r="I1371" s="124"/>
      <c r="J1371" s="129"/>
      <c r="K1371" s="194"/>
      <c r="L1371" s="194"/>
      <c r="M1371" s="129"/>
      <c r="N1371" s="129" t="e">
        <f>Table1[[#This Row],[Estimated Effort (Hours)]]/NETWORKDAYS(Table1[[#This Row],[Planned Start Date]],Table1[[#This Row],[Planned End Date]])</f>
        <v>#DIV/0!</v>
      </c>
      <c r="O1371" s="178">
        <f>NETWORKDAYS(Table1[[#This Row],[Planned Start Date]],Table1[[#This Row],[Planned End Date]])</f>
        <v>0</v>
      </c>
      <c r="P1371" s="178">
        <f>NETWORKDAYS(Table1[[#This Row],[Planned Start Date]],$P$7)</f>
        <v>30643</v>
      </c>
      <c r="Q1371" s="129"/>
      <c r="R1371" s="183" t="str">
        <f>IF(Table1[[#This Row],[Actual Effort (Hours)]]="","",IF(Table1[[#This Row],[Estimated Effort (Hours)]]&lt;20,"L1",IF(Table1[[#This Row],[Estimated Effort (Hours)]]&lt;50,"L2",IF(Table1[[#This Row],[Estimated Effort (Hours)]]&lt;150,"L3",IF(Table1[[#This Row],[Estimated Effort (Hours)]]&lt;300,"L4","L5")))))</f>
        <v/>
      </c>
      <c r="S1371" s="184" t="str">
        <f>IF(Table1[[#This Row],[Actual End Date]]="","",TEXT(Table1[[#This Row],[Actual End Date]],"mmm-yy"))</f>
        <v/>
      </c>
      <c r="T13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1" s="185" t="str">
        <f>IFERROR((Table1[[#This Row],[Actual Effort (Hours)]]-Table1[[#This Row],[Estimated Effort (Hours)]])/Table1[[#This Row],[Estimated Effort (Hours)]],"")</f>
        <v/>
      </c>
    </row>
    <row r="1372" spans="2:21">
      <c r="B1372" s="125"/>
      <c r="C1372" s="123"/>
      <c r="D1372" s="143"/>
      <c r="E1372" s="123"/>
      <c r="F1372" s="143"/>
      <c r="G1372" s="129"/>
      <c r="H1372" s="124"/>
      <c r="I1372" s="124"/>
      <c r="J1372" s="129"/>
      <c r="K1372" s="194"/>
      <c r="L1372" s="194"/>
      <c r="M1372" s="129"/>
      <c r="N1372" s="129" t="e">
        <f>Table1[[#This Row],[Estimated Effort (Hours)]]/NETWORKDAYS(Table1[[#This Row],[Planned Start Date]],Table1[[#This Row],[Planned End Date]])</f>
        <v>#DIV/0!</v>
      </c>
      <c r="O1372" s="178">
        <f>NETWORKDAYS(Table1[[#This Row],[Planned Start Date]],Table1[[#This Row],[Planned End Date]])</f>
        <v>0</v>
      </c>
      <c r="P1372" s="178">
        <f>NETWORKDAYS(Table1[[#This Row],[Planned Start Date]],$P$7)</f>
        <v>30643</v>
      </c>
      <c r="Q1372" s="129"/>
      <c r="R1372" s="183" t="str">
        <f>IF(Table1[[#This Row],[Actual Effort (Hours)]]="","",IF(Table1[[#This Row],[Estimated Effort (Hours)]]&lt;20,"L1",IF(Table1[[#This Row],[Estimated Effort (Hours)]]&lt;50,"L2",IF(Table1[[#This Row],[Estimated Effort (Hours)]]&lt;150,"L3",IF(Table1[[#This Row],[Estimated Effort (Hours)]]&lt;300,"L4","L5")))))</f>
        <v/>
      </c>
      <c r="S1372" s="184" t="str">
        <f>IF(Table1[[#This Row],[Actual End Date]]="","",TEXT(Table1[[#This Row],[Actual End Date]],"mmm-yy"))</f>
        <v/>
      </c>
      <c r="T13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2" s="185" t="str">
        <f>IFERROR((Table1[[#This Row],[Actual Effort (Hours)]]-Table1[[#This Row],[Estimated Effort (Hours)]])/Table1[[#This Row],[Estimated Effort (Hours)]],"")</f>
        <v/>
      </c>
    </row>
    <row r="1373" spans="2:21">
      <c r="B1373" s="125"/>
      <c r="C1373" s="123"/>
      <c r="D1373" s="143"/>
      <c r="E1373" s="123"/>
      <c r="F1373" s="143"/>
      <c r="G1373" s="129"/>
      <c r="H1373" s="124"/>
      <c r="I1373" s="124"/>
      <c r="J1373" s="129"/>
      <c r="K1373" s="194"/>
      <c r="L1373" s="194"/>
      <c r="M1373" s="129"/>
      <c r="N1373" s="129" t="e">
        <f>Table1[[#This Row],[Estimated Effort (Hours)]]/NETWORKDAYS(Table1[[#This Row],[Planned Start Date]],Table1[[#This Row],[Planned End Date]])</f>
        <v>#DIV/0!</v>
      </c>
      <c r="O1373" s="178">
        <f>NETWORKDAYS(Table1[[#This Row],[Planned Start Date]],Table1[[#This Row],[Planned End Date]])</f>
        <v>0</v>
      </c>
      <c r="P1373" s="178">
        <f>NETWORKDAYS(Table1[[#This Row],[Planned Start Date]],$P$7)</f>
        <v>30643</v>
      </c>
      <c r="Q1373" s="129"/>
      <c r="R1373" s="183" t="str">
        <f>IF(Table1[[#This Row],[Actual Effort (Hours)]]="","",IF(Table1[[#This Row],[Estimated Effort (Hours)]]&lt;20,"L1",IF(Table1[[#This Row],[Estimated Effort (Hours)]]&lt;50,"L2",IF(Table1[[#This Row],[Estimated Effort (Hours)]]&lt;150,"L3",IF(Table1[[#This Row],[Estimated Effort (Hours)]]&lt;300,"L4","L5")))))</f>
        <v/>
      </c>
      <c r="S1373" s="184" t="str">
        <f>IF(Table1[[#This Row],[Actual End Date]]="","",TEXT(Table1[[#This Row],[Actual End Date]],"mmm-yy"))</f>
        <v/>
      </c>
      <c r="T13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3" s="185" t="str">
        <f>IFERROR((Table1[[#This Row],[Actual Effort (Hours)]]-Table1[[#This Row],[Estimated Effort (Hours)]])/Table1[[#This Row],[Estimated Effort (Hours)]],"")</f>
        <v/>
      </c>
    </row>
    <row r="1374" spans="2:21">
      <c r="B1374" s="125"/>
      <c r="C1374" s="123"/>
      <c r="D1374" s="143"/>
      <c r="E1374" s="123"/>
      <c r="F1374" s="143"/>
      <c r="G1374" s="129"/>
      <c r="H1374" s="124"/>
      <c r="I1374" s="124"/>
      <c r="J1374" s="129"/>
      <c r="K1374" s="194"/>
      <c r="L1374" s="194"/>
      <c r="M1374" s="129"/>
      <c r="N1374" s="129" t="e">
        <f>Table1[[#This Row],[Estimated Effort (Hours)]]/NETWORKDAYS(Table1[[#This Row],[Planned Start Date]],Table1[[#This Row],[Planned End Date]])</f>
        <v>#DIV/0!</v>
      </c>
      <c r="O1374" s="178">
        <f>NETWORKDAYS(Table1[[#This Row],[Planned Start Date]],Table1[[#This Row],[Planned End Date]])</f>
        <v>0</v>
      </c>
      <c r="P1374" s="178">
        <f>NETWORKDAYS(Table1[[#This Row],[Planned Start Date]],$P$7)</f>
        <v>30643</v>
      </c>
      <c r="Q1374" s="129"/>
      <c r="R1374" s="183" t="str">
        <f>IF(Table1[[#This Row],[Actual Effort (Hours)]]="","",IF(Table1[[#This Row],[Estimated Effort (Hours)]]&lt;20,"L1",IF(Table1[[#This Row],[Estimated Effort (Hours)]]&lt;50,"L2",IF(Table1[[#This Row],[Estimated Effort (Hours)]]&lt;150,"L3",IF(Table1[[#This Row],[Estimated Effort (Hours)]]&lt;300,"L4","L5")))))</f>
        <v/>
      </c>
      <c r="S1374" s="184" t="str">
        <f>IF(Table1[[#This Row],[Actual End Date]]="","",TEXT(Table1[[#This Row],[Actual End Date]],"mmm-yy"))</f>
        <v/>
      </c>
      <c r="T13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4" s="185" t="str">
        <f>IFERROR((Table1[[#This Row],[Actual Effort (Hours)]]-Table1[[#This Row],[Estimated Effort (Hours)]])/Table1[[#This Row],[Estimated Effort (Hours)]],"")</f>
        <v/>
      </c>
    </row>
    <row r="1375" spans="2:21">
      <c r="B1375" s="125"/>
      <c r="C1375" s="123"/>
      <c r="D1375" s="143"/>
      <c r="E1375" s="123"/>
      <c r="F1375" s="143"/>
      <c r="G1375" s="129"/>
      <c r="H1375" s="124"/>
      <c r="I1375" s="124"/>
      <c r="J1375" s="129"/>
      <c r="K1375" s="194"/>
      <c r="L1375" s="194"/>
      <c r="M1375" s="129"/>
      <c r="N1375" s="129" t="e">
        <f>Table1[[#This Row],[Estimated Effort (Hours)]]/NETWORKDAYS(Table1[[#This Row],[Planned Start Date]],Table1[[#This Row],[Planned End Date]])</f>
        <v>#DIV/0!</v>
      </c>
      <c r="O1375" s="178">
        <f>NETWORKDAYS(Table1[[#This Row],[Planned Start Date]],Table1[[#This Row],[Planned End Date]])</f>
        <v>0</v>
      </c>
      <c r="P1375" s="178">
        <f>NETWORKDAYS(Table1[[#This Row],[Planned Start Date]],$P$7)</f>
        <v>30643</v>
      </c>
      <c r="Q1375" s="129"/>
      <c r="R1375" s="183" t="str">
        <f>IF(Table1[[#This Row],[Actual Effort (Hours)]]="","",IF(Table1[[#This Row],[Estimated Effort (Hours)]]&lt;20,"L1",IF(Table1[[#This Row],[Estimated Effort (Hours)]]&lt;50,"L2",IF(Table1[[#This Row],[Estimated Effort (Hours)]]&lt;150,"L3",IF(Table1[[#This Row],[Estimated Effort (Hours)]]&lt;300,"L4","L5")))))</f>
        <v/>
      </c>
      <c r="S1375" s="184" t="str">
        <f>IF(Table1[[#This Row],[Actual End Date]]="","",TEXT(Table1[[#This Row],[Actual End Date]],"mmm-yy"))</f>
        <v/>
      </c>
      <c r="T13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5" s="185" t="str">
        <f>IFERROR((Table1[[#This Row],[Actual Effort (Hours)]]-Table1[[#This Row],[Estimated Effort (Hours)]])/Table1[[#This Row],[Estimated Effort (Hours)]],"")</f>
        <v/>
      </c>
    </row>
    <row r="1376" spans="2:21">
      <c r="B1376" s="125"/>
      <c r="C1376" s="123"/>
      <c r="D1376" s="143"/>
      <c r="E1376" s="123"/>
      <c r="F1376" s="143"/>
      <c r="G1376" s="129"/>
      <c r="H1376" s="124"/>
      <c r="I1376" s="124"/>
      <c r="J1376" s="129"/>
      <c r="K1376" s="194"/>
      <c r="L1376" s="194"/>
      <c r="M1376" s="129"/>
      <c r="N1376" s="129" t="e">
        <f>Table1[[#This Row],[Estimated Effort (Hours)]]/NETWORKDAYS(Table1[[#This Row],[Planned Start Date]],Table1[[#This Row],[Planned End Date]])</f>
        <v>#DIV/0!</v>
      </c>
      <c r="O1376" s="178">
        <f>NETWORKDAYS(Table1[[#This Row],[Planned Start Date]],Table1[[#This Row],[Planned End Date]])</f>
        <v>0</v>
      </c>
      <c r="P1376" s="178">
        <f>NETWORKDAYS(Table1[[#This Row],[Planned Start Date]],$P$7)</f>
        <v>30643</v>
      </c>
      <c r="Q1376" s="129"/>
      <c r="R1376" s="183" t="str">
        <f>IF(Table1[[#This Row],[Actual Effort (Hours)]]="","",IF(Table1[[#This Row],[Estimated Effort (Hours)]]&lt;20,"L1",IF(Table1[[#This Row],[Estimated Effort (Hours)]]&lt;50,"L2",IF(Table1[[#This Row],[Estimated Effort (Hours)]]&lt;150,"L3",IF(Table1[[#This Row],[Estimated Effort (Hours)]]&lt;300,"L4","L5")))))</f>
        <v/>
      </c>
      <c r="S1376" s="184" t="str">
        <f>IF(Table1[[#This Row],[Actual End Date]]="","",TEXT(Table1[[#This Row],[Actual End Date]],"mmm-yy"))</f>
        <v/>
      </c>
      <c r="T13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6" s="185" t="str">
        <f>IFERROR((Table1[[#This Row],[Actual Effort (Hours)]]-Table1[[#This Row],[Estimated Effort (Hours)]])/Table1[[#This Row],[Estimated Effort (Hours)]],"")</f>
        <v/>
      </c>
    </row>
    <row r="1377" spans="2:21">
      <c r="B1377" s="125"/>
      <c r="C1377" s="123"/>
      <c r="D1377" s="143"/>
      <c r="E1377" s="123"/>
      <c r="F1377" s="143"/>
      <c r="G1377" s="129"/>
      <c r="H1377" s="124"/>
      <c r="I1377" s="124"/>
      <c r="J1377" s="129"/>
      <c r="K1377" s="194"/>
      <c r="L1377" s="194"/>
      <c r="M1377" s="129"/>
      <c r="N1377" s="129" t="e">
        <f>Table1[[#This Row],[Estimated Effort (Hours)]]/NETWORKDAYS(Table1[[#This Row],[Planned Start Date]],Table1[[#This Row],[Planned End Date]])</f>
        <v>#DIV/0!</v>
      </c>
      <c r="O1377" s="178">
        <f>NETWORKDAYS(Table1[[#This Row],[Planned Start Date]],Table1[[#This Row],[Planned End Date]])</f>
        <v>0</v>
      </c>
      <c r="P1377" s="178">
        <f>NETWORKDAYS(Table1[[#This Row],[Planned Start Date]],$P$7)</f>
        <v>30643</v>
      </c>
      <c r="Q1377" s="129"/>
      <c r="R1377" s="183" t="str">
        <f>IF(Table1[[#This Row],[Actual Effort (Hours)]]="","",IF(Table1[[#This Row],[Estimated Effort (Hours)]]&lt;20,"L1",IF(Table1[[#This Row],[Estimated Effort (Hours)]]&lt;50,"L2",IF(Table1[[#This Row],[Estimated Effort (Hours)]]&lt;150,"L3",IF(Table1[[#This Row],[Estimated Effort (Hours)]]&lt;300,"L4","L5")))))</f>
        <v/>
      </c>
      <c r="S1377" s="184" t="str">
        <f>IF(Table1[[#This Row],[Actual End Date]]="","",TEXT(Table1[[#This Row],[Actual End Date]],"mmm-yy"))</f>
        <v/>
      </c>
      <c r="T13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7" s="185" t="str">
        <f>IFERROR((Table1[[#This Row],[Actual Effort (Hours)]]-Table1[[#This Row],[Estimated Effort (Hours)]])/Table1[[#This Row],[Estimated Effort (Hours)]],"")</f>
        <v/>
      </c>
    </row>
    <row r="1378" spans="2:21">
      <c r="B1378" s="125"/>
      <c r="C1378" s="123"/>
      <c r="D1378" s="143"/>
      <c r="E1378" s="123"/>
      <c r="F1378" s="143"/>
      <c r="G1378" s="129"/>
      <c r="H1378" s="124"/>
      <c r="I1378" s="124"/>
      <c r="J1378" s="129"/>
      <c r="K1378" s="194"/>
      <c r="L1378" s="194"/>
      <c r="M1378" s="129"/>
      <c r="N1378" s="129" t="e">
        <f>Table1[[#This Row],[Estimated Effort (Hours)]]/NETWORKDAYS(Table1[[#This Row],[Planned Start Date]],Table1[[#This Row],[Planned End Date]])</f>
        <v>#DIV/0!</v>
      </c>
      <c r="O1378" s="178">
        <f>NETWORKDAYS(Table1[[#This Row],[Planned Start Date]],Table1[[#This Row],[Planned End Date]])</f>
        <v>0</v>
      </c>
      <c r="P1378" s="178">
        <f>NETWORKDAYS(Table1[[#This Row],[Planned Start Date]],$P$7)</f>
        <v>30643</v>
      </c>
      <c r="Q1378" s="129"/>
      <c r="R1378" s="183" t="str">
        <f>IF(Table1[[#This Row],[Actual Effort (Hours)]]="","",IF(Table1[[#This Row],[Estimated Effort (Hours)]]&lt;20,"L1",IF(Table1[[#This Row],[Estimated Effort (Hours)]]&lt;50,"L2",IF(Table1[[#This Row],[Estimated Effort (Hours)]]&lt;150,"L3",IF(Table1[[#This Row],[Estimated Effort (Hours)]]&lt;300,"L4","L5")))))</f>
        <v/>
      </c>
      <c r="S1378" s="184" t="str">
        <f>IF(Table1[[#This Row],[Actual End Date]]="","",TEXT(Table1[[#This Row],[Actual End Date]],"mmm-yy"))</f>
        <v/>
      </c>
      <c r="T13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8" s="185" t="str">
        <f>IFERROR((Table1[[#This Row],[Actual Effort (Hours)]]-Table1[[#This Row],[Estimated Effort (Hours)]])/Table1[[#This Row],[Estimated Effort (Hours)]],"")</f>
        <v/>
      </c>
    </row>
    <row r="1379" spans="2:21">
      <c r="B1379" s="125"/>
      <c r="C1379" s="123"/>
      <c r="D1379" s="143"/>
      <c r="E1379" s="123"/>
      <c r="F1379" s="143"/>
      <c r="G1379" s="129"/>
      <c r="H1379" s="124"/>
      <c r="I1379" s="124"/>
      <c r="J1379" s="129"/>
      <c r="K1379" s="194"/>
      <c r="L1379" s="194"/>
      <c r="M1379" s="129"/>
      <c r="N1379" s="129" t="e">
        <f>Table1[[#This Row],[Estimated Effort (Hours)]]/NETWORKDAYS(Table1[[#This Row],[Planned Start Date]],Table1[[#This Row],[Planned End Date]])</f>
        <v>#DIV/0!</v>
      </c>
      <c r="O1379" s="178">
        <f>NETWORKDAYS(Table1[[#This Row],[Planned Start Date]],Table1[[#This Row],[Planned End Date]])</f>
        <v>0</v>
      </c>
      <c r="P1379" s="178">
        <f>NETWORKDAYS(Table1[[#This Row],[Planned Start Date]],$P$7)</f>
        <v>30643</v>
      </c>
      <c r="Q1379" s="129"/>
      <c r="R1379" s="183" t="str">
        <f>IF(Table1[[#This Row],[Actual Effort (Hours)]]="","",IF(Table1[[#This Row],[Estimated Effort (Hours)]]&lt;20,"L1",IF(Table1[[#This Row],[Estimated Effort (Hours)]]&lt;50,"L2",IF(Table1[[#This Row],[Estimated Effort (Hours)]]&lt;150,"L3",IF(Table1[[#This Row],[Estimated Effort (Hours)]]&lt;300,"L4","L5")))))</f>
        <v/>
      </c>
      <c r="S1379" s="184" t="str">
        <f>IF(Table1[[#This Row],[Actual End Date]]="","",TEXT(Table1[[#This Row],[Actual End Date]],"mmm-yy"))</f>
        <v/>
      </c>
      <c r="T13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79" s="185" t="str">
        <f>IFERROR((Table1[[#This Row],[Actual Effort (Hours)]]-Table1[[#This Row],[Estimated Effort (Hours)]])/Table1[[#This Row],[Estimated Effort (Hours)]],"")</f>
        <v/>
      </c>
    </row>
    <row r="1380" spans="2:21">
      <c r="B1380" s="125"/>
      <c r="C1380" s="123"/>
      <c r="D1380" s="143"/>
      <c r="E1380" s="123"/>
      <c r="F1380" s="143"/>
      <c r="G1380" s="129"/>
      <c r="H1380" s="124"/>
      <c r="I1380" s="124"/>
      <c r="J1380" s="129"/>
      <c r="K1380" s="194"/>
      <c r="L1380" s="194"/>
      <c r="M1380" s="129"/>
      <c r="N1380" s="129" t="e">
        <f>Table1[[#This Row],[Estimated Effort (Hours)]]/NETWORKDAYS(Table1[[#This Row],[Planned Start Date]],Table1[[#This Row],[Planned End Date]])</f>
        <v>#DIV/0!</v>
      </c>
      <c r="O1380" s="178">
        <f>NETWORKDAYS(Table1[[#This Row],[Planned Start Date]],Table1[[#This Row],[Planned End Date]])</f>
        <v>0</v>
      </c>
      <c r="P1380" s="178">
        <f>NETWORKDAYS(Table1[[#This Row],[Planned Start Date]],$P$7)</f>
        <v>30643</v>
      </c>
      <c r="Q1380" s="129"/>
      <c r="R1380" s="183" t="str">
        <f>IF(Table1[[#This Row],[Actual Effort (Hours)]]="","",IF(Table1[[#This Row],[Estimated Effort (Hours)]]&lt;20,"L1",IF(Table1[[#This Row],[Estimated Effort (Hours)]]&lt;50,"L2",IF(Table1[[#This Row],[Estimated Effort (Hours)]]&lt;150,"L3",IF(Table1[[#This Row],[Estimated Effort (Hours)]]&lt;300,"L4","L5")))))</f>
        <v/>
      </c>
      <c r="S1380" s="184" t="str">
        <f>IF(Table1[[#This Row],[Actual End Date]]="","",TEXT(Table1[[#This Row],[Actual End Date]],"mmm-yy"))</f>
        <v/>
      </c>
      <c r="T13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0" s="185" t="str">
        <f>IFERROR((Table1[[#This Row],[Actual Effort (Hours)]]-Table1[[#This Row],[Estimated Effort (Hours)]])/Table1[[#This Row],[Estimated Effort (Hours)]],"")</f>
        <v/>
      </c>
    </row>
    <row r="1381" spans="2:21">
      <c r="B1381" s="125"/>
      <c r="C1381" s="123"/>
      <c r="D1381" s="143"/>
      <c r="E1381" s="123"/>
      <c r="F1381" s="143"/>
      <c r="G1381" s="129"/>
      <c r="H1381" s="124"/>
      <c r="I1381" s="124"/>
      <c r="J1381" s="129"/>
      <c r="K1381" s="194"/>
      <c r="L1381" s="194"/>
      <c r="M1381" s="129"/>
      <c r="N1381" s="129" t="e">
        <f>Table1[[#This Row],[Estimated Effort (Hours)]]/NETWORKDAYS(Table1[[#This Row],[Planned Start Date]],Table1[[#This Row],[Planned End Date]])</f>
        <v>#DIV/0!</v>
      </c>
      <c r="O1381" s="178">
        <f>NETWORKDAYS(Table1[[#This Row],[Planned Start Date]],Table1[[#This Row],[Planned End Date]])</f>
        <v>0</v>
      </c>
      <c r="P1381" s="178">
        <f>NETWORKDAYS(Table1[[#This Row],[Planned Start Date]],$P$7)</f>
        <v>30643</v>
      </c>
      <c r="Q1381" s="129"/>
      <c r="R1381" s="183" t="str">
        <f>IF(Table1[[#This Row],[Actual Effort (Hours)]]="","",IF(Table1[[#This Row],[Estimated Effort (Hours)]]&lt;20,"L1",IF(Table1[[#This Row],[Estimated Effort (Hours)]]&lt;50,"L2",IF(Table1[[#This Row],[Estimated Effort (Hours)]]&lt;150,"L3",IF(Table1[[#This Row],[Estimated Effort (Hours)]]&lt;300,"L4","L5")))))</f>
        <v/>
      </c>
      <c r="S1381" s="184" t="str">
        <f>IF(Table1[[#This Row],[Actual End Date]]="","",TEXT(Table1[[#This Row],[Actual End Date]],"mmm-yy"))</f>
        <v/>
      </c>
      <c r="T13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1" s="185" t="str">
        <f>IFERROR((Table1[[#This Row],[Actual Effort (Hours)]]-Table1[[#This Row],[Estimated Effort (Hours)]])/Table1[[#This Row],[Estimated Effort (Hours)]],"")</f>
        <v/>
      </c>
    </row>
    <row r="1382" spans="2:21">
      <c r="B1382" s="125"/>
      <c r="C1382" s="123"/>
      <c r="D1382" s="143"/>
      <c r="E1382" s="123"/>
      <c r="F1382" s="143"/>
      <c r="G1382" s="129"/>
      <c r="H1382" s="124"/>
      <c r="I1382" s="124"/>
      <c r="J1382" s="129"/>
      <c r="K1382" s="194"/>
      <c r="L1382" s="194"/>
      <c r="M1382" s="129"/>
      <c r="N1382" s="129" t="e">
        <f>Table1[[#This Row],[Estimated Effort (Hours)]]/NETWORKDAYS(Table1[[#This Row],[Planned Start Date]],Table1[[#This Row],[Planned End Date]])</f>
        <v>#DIV/0!</v>
      </c>
      <c r="O1382" s="178">
        <f>NETWORKDAYS(Table1[[#This Row],[Planned Start Date]],Table1[[#This Row],[Planned End Date]])</f>
        <v>0</v>
      </c>
      <c r="P1382" s="178">
        <f>NETWORKDAYS(Table1[[#This Row],[Planned Start Date]],$P$7)</f>
        <v>30643</v>
      </c>
      <c r="Q1382" s="129"/>
      <c r="R1382" s="183" t="str">
        <f>IF(Table1[[#This Row],[Actual Effort (Hours)]]="","",IF(Table1[[#This Row],[Estimated Effort (Hours)]]&lt;20,"L1",IF(Table1[[#This Row],[Estimated Effort (Hours)]]&lt;50,"L2",IF(Table1[[#This Row],[Estimated Effort (Hours)]]&lt;150,"L3",IF(Table1[[#This Row],[Estimated Effort (Hours)]]&lt;300,"L4","L5")))))</f>
        <v/>
      </c>
      <c r="S1382" s="184" t="str">
        <f>IF(Table1[[#This Row],[Actual End Date]]="","",TEXT(Table1[[#This Row],[Actual End Date]],"mmm-yy"))</f>
        <v/>
      </c>
      <c r="T13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2" s="185" t="str">
        <f>IFERROR((Table1[[#This Row],[Actual Effort (Hours)]]-Table1[[#This Row],[Estimated Effort (Hours)]])/Table1[[#This Row],[Estimated Effort (Hours)]],"")</f>
        <v/>
      </c>
    </row>
    <row r="1383" spans="2:21">
      <c r="B1383" s="125"/>
      <c r="C1383" s="123"/>
      <c r="D1383" s="143"/>
      <c r="E1383" s="123"/>
      <c r="F1383" s="143"/>
      <c r="G1383" s="129"/>
      <c r="H1383" s="124"/>
      <c r="I1383" s="124"/>
      <c r="J1383" s="129"/>
      <c r="K1383" s="194"/>
      <c r="L1383" s="194"/>
      <c r="M1383" s="129"/>
      <c r="N1383" s="129" t="e">
        <f>Table1[[#This Row],[Estimated Effort (Hours)]]/NETWORKDAYS(Table1[[#This Row],[Planned Start Date]],Table1[[#This Row],[Planned End Date]])</f>
        <v>#DIV/0!</v>
      </c>
      <c r="O1383" s="178">
        <f>NETWORKDAYS(Table1[[#This Row],[Planned Start Date]],Table1[[#This Row],[Planned End Date]])</f>
        <v>0</v>
      </c>
      <c r="P1383" s="178">
        <f>NETWORKDAYS(Table1[[#This Row],[Planned Start Date]],$P$7)</f>
        <v>30643</v>
      </c>
      <c r="Q1383" s="129"/>
      <c r="R1383" s="183" t="str">
        <f>IF(Table1[[#This Row],[Actual Effort (Hours)]]="","",IF(Table1[[#This Row],[Estimated Effort (Hours)]]&lt;20,"L1",IF(Table1[[#This Row],[Estimated Effort (Hours)]]&lt;50,"L2",IF(Table1[[#This Row],[Estimated Effort (Hours)]]&lt;150,"L3",IF(Table1[[#This Row],[Estimated Effort (Hours)]]&lt;300,"L4","L5")))))</f>
        <v/>
      </c>
      <c r="S1383" s="184" t="str">
        <f>IF(Table1[[#This Row],[Actual End Date]]="","",TEXT(Table1[[#This Row],[Actual End Date]],"mmm-yy"))</f>
        <v/>
      </c>
      <c r="T13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3" s="185" t="str">
        <f>IFERROR((Table1[[#This Row],[Actual Effort (Hours)]]-Table1[[#This Row],[Estimated Effort (Hours)]])/Table1[[#This Row],[Estimated Effort (Hours)]],"")</f>
        <v/>
      </c>
    </row>
    <row r="1384" spans="2:21">
      <c r="B1384" s="125"/>
      <c r="C1384" s="123"/>
      <c r="D1384" s="143"/>
      <c r="E1384" s="123"/>
      <c r="F1384" s="143"/>
      <c r="G1384" s="129"/>
      <c r="H1384" s="124"/>
      <c r="I1384" s="124"/>
      <c r="J1384" s="129"/>
      <c r="K1384" s="194"/>
      <c r="L1384" s="194"/>
      <c r="M1384" s="129"/>
      <c r="N1384" s="129" t="e">
        <f>Table1[[#This Row],[Estimated Effort (Hours)]]/NETWORKDAYS(Table1[[#This Row],[Planned Start Date]],Table1[[#This Row],[Planned End Date]])</f>
        <v>#DIV/0!</v>
      </c>
      <c r="O1384" s="178">
        <f>NETWORKDAYS(Table1[[#This Row],[Planned Start Date]],Table1[[#This Row],[Planned End Date]])</f>
        <v>0</v>
      </c>
      <c r="P1384" s="178">
        <f>NETWORKDAYS(Table1[[#This Row],[Planned Start Date]],$P$7)</f>
        <v>30643</v>
      </c>
      <c r="Q1384" s="129"/>
      <c r="R1384" s="183" t="str">
        <f>IF(Table1[[#This Row],[Actual Effort (Hours)]]="","",IF(Table1[[#This Row],[Estimated Effort (Hours)]]&lt;20,"L1",IF(Table1[[#This Row],[Estimated Effort (Hours)]]&lt;50,"L2",IF(Table1[[#This Row],[Estimated Effort (Hours)]]&lt;150,"L3",IF(Table1[[#This Row],[Estimated Effort (Hours)]]&lt;300,"L4","L5")))))</f>
        <v/>
      </c>
      <c r="S1384" s="184" t="str">
        <f>IF(Table1[[#This Row],[Actual End Date]]="","",TEXT(Table1[[#This Row],[Actual End Date]],"mmm-yy"))</f>
        <v/>
      </c>
      <c r="T13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4" s="185" t="str">
        <f>IFERROR((Table1[[#This Row],[Actual Effort (Hours)]]-Table1[[#This Row],[Estimated Effort (Hours)]])/Table1[[#This Row],[Estimated Effort (Hours)]],"")</f>
        <v/>
      </c>
    </row>
    <row r="1385" spans="2:21">
      <c r="B1385" s="125"/>
      <c r="C1385" s="123"/>
      <c r="D1385" s="143"/>
      <c r="E1385" s="123"/>
      <c r="F1385" s="143"/>
      <c r="G1385" s="129"/>
      <c r="H1385" s="124"/>
      <c r="I1385" s="124"/>
      <c r="J1385" s="129"/>
      <c r="K1385" s="194"/>
      <c r="L1385" s="194"/>
      <c r="M1385" s="129"/>
      <c r="N1385" s="129" t="e">
        <f>Table1[[#This Row],[Estimated Effort (Hours)]]/NETWORKDAYS(Table1[[#This Row],[Planned Start Date]],Table1[[#This Row],[Planned End Date]])</f>
        <v>#DIV/0!</v>
      </c>
      <c r="O1385" s="178">
        <f>NETWORKDAYS(Table1[[#This Row],[Planned Start Date]],Table1[[#This Row],[Planned End Date]])</f>
        <v>0</v>
      </c>
      <c r="P1385" s="178">
        <f>NETWORKDAYS(Table1[[#This Row],[Planned Start Date]],$P$7)</f>
        <v>30643</v>
      </c>
      <c r="Q1385" s="129"/>
      <c r="R1385" s="183" t="str">
        <f>IF(Table1[[#This Row],[Actual Effort (Hours)]]="","",IF(Table1[[#This Row],[Estimated Effort (Hours)]]&lt;20,"L1",IF(Table1[[#This Row],[Estimated Effort (Hours)]]&lt;50,"L2",IF(Table1[[#This Row],[Estimated Effort (Hours)]]&lt;150,"L3",IF(Table1[[#This Row],[Estimated Effort (Hours)]]&lt;300,"L4","L5")))))</f>
        <v/>
      </c>
      <c r="S1385" s="184" t="str">
        <f>IF(Table1[[#This Row],[Actual End Date]]="","",TEXT(Table1[[#This Row],[Actual End Date]],"mmm-yy"))</f>
        <v/>
      </c>
      <c r="T13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5" s="185" t="str">
        <f>IFERROR((Table1[[#This Row],[Actual Effort (Hours)]]-Table1[[#This Row],[Estimated Effort (Hours)]])/Table1[[#This Row],[Estimated Effort (Hours)]],"")</f>
        <v/>
      </c>
    </row>
    <row r="1386" spans="2:21">
      <c r="B1386" s="125"/>
      <c r="C1386" s="123"/>
      <c r="D1386" s="143"/>
      <c r="E1386" s="123"/>
      <c r="F1386" s="143"/>
      <c r="G1386" s="129"/>
      <c r="H1386" s="124"/>
      <c r="I1386" s="124"/>
      <c r="J1386" s="129"/>
      <c r="K1386" s="194"/>
      <c r="L1386" s="194"/>
      <c r="M1386" s="129"/>
      <c r="N1386" s="129" t="e">
        <f>Table1[[#This Row],[Estimated Effort (Hours)]]/NETWORKDAYS(Table1[[#This Row],[Planned Start Date]],Table1[[#This Row],[Planned End Date]])</f>
        <v>#DIV/0!</v>
      </c>
      <c r="O1386" s="178">
        <f>NETWORKDAYS(Table1[[#This Row],[Planned Start Date]],Table1[[#This Row],[Planned End Date]])</f>
        <v>0</v>
      </c>
      <c r="P1386" s="178">
        <f>NETWORKDAYS(Table1[[#This Row],[Planned Start Date]],$P$7)</f>
        <v>30643</v>
      </c>
      <c r="Q1386" s="129"/>
      <c r="R1386" s="183" t="str">
        <f>IF(Table1[[#This Row],[Actual Effort (Hours)]]="","",IF(Table1[[#This Row],[Estimated Effort (Hours)]]&lt;20,"L1",IF(Table1[[#This Row],[Estimated Effort (Hours)]]&lt;50,"L2",IF(Table1[[#This Row],[Estimated Effort (Hours)]]&lt;150,"L3",IF(Table1[[#This Row],[Estimated Effort (Hours)]]&lt;300,"L4","L5")))))</f>
        <v/>
      </c>
      <c r="S1386" s="184" t="str">
        <f>IF(Table1[[#This Row],[Actual End Date]]="","",TEXT(Table1[[#This Row],[Actual End Date]],"mmm-yy"))</f>
        <v/>
      </c>
      <c r="T13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6" s="185" t="str">
        <f>IFERROR((Table1[[#This Row],[Actual Effort (Hours)]]-Table1[[#This Row],[Estimated Effort (Hours)]])/Table1[[#This Row],[Estimated Effort (Hours)]],"")</f>
        <v/>
      </c>
    </row>
    <row r="1387" spans="2:21">
      <c r="B1387" s="125"/>
      <c r="C1387" s="123"/>
      <c r="D1387" s="143"/>
      <c r="E1387" s="123"/>
      <c r="F1387" s="143"/>
      <c r="G1387" s="129"/>
      <c r="H1387" s="124"/>
      <c r="I1387" s="124"/>
      <c r="J1387" s="129"/>
      <c r="K1387" s="194"/>
      <c r="L1387" s="194"/>
      <c r="M1387" s="129"/>
      <c r="N1387" s="129" t="e">
        <f>Table1[[#This Row],[Estimated Effort (Hours)]]/NETWORKDAYS(Table1[[#This Row],[Planned Start Date]],Table1[[#This Row],[Planned End Date]])</f>
        <v>#DIV/0!</v>
      </c>
      <c r="O1387" s="178">
        <f>NETWORKDAYS(Table1[[#This Row],[Planned Start Date]],Table1[[#This Row],[Planned End Date]])</f>
        <v>0</v>
      </c>
      <c r="P1387" s="178">
        <f>NETWORKDAYS(Table1[[#This Row],[Planned Start Date]],$P$7)</f>
        <v>30643</v>
      </c>
      <c r="Q1387" s="129"/>
      <c r="R1387" s="183" t="str">
        <f>IF(Table1[[#This Row],[Actual Effort (Hours)]]="","",IF(Table1[[#This Row],[Estimated Effort (Hours)]]&lt;20,"L1",IF(Table1[[#This Row],[Estimated Effort (Hours)]]&lt;50,"L2",IF(Table1[[#This Row],[Estimated Effort (Hours)]]&lt;150,"L3",IF(Table1[[#This Row],[Estimated Effort (Hours)]]&lt;300,"L4","L5")))))</f>
        <v/>
      </c>
      <c r="S1387" s="184" t="str">
        <f>IF(Table1[[#This Row],[Actual End Date]]="","",TEXT(Table1[[#This Row],[Actual End Date]],"mmm-yy"))</f>
        <v/>
      </c>
      <c r="T13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7" s="185" t="str">
        <f>IFERROR((Table1[[#This Row],[Actual Effort (Hours)]]-Table1[[#This Row],[Estimated Effort (Hours)]])/Table1[[#This Row],[Estimated Effort (Hours)]],"")</f>
        <v/>
      </c>
    </row>
    <row r="1388" spans="2:21">
      <c r="B1388" s="125"/>
      <c r="C1388" s="123"/>
      <c r="D1388" s="143"/>
      <c r="E1388" s="123"/>
      <c r="F1388" s="143"/>
      <c r="G1388" s="129"/>
      <c r="H1388" s="124"/>
      <c r="I1388" s="124"/>
      <c r="J1388" s="129"/>
      <c r="K1388" s="194"/>
      <c r="L1388" s="194"/>
      <c r="M1388" s="129"/>
      <c r="N1388" s="129" t="e">
        <f>Table1[[#This Row],[Estimated Effort (Hours)]]/NETWORKDAYS(Table1[[#This Row],[Planned Start Date]],Table1[[#This Row],[Planned End Date]])</f>
        <v>#DIV/0!</v>
      </c>
      <c r="O1388" s="178">
        <f>NETWORKDAYS(Table1[[#This Row],[Planned Start Date]],Table1[[#This Row],[Planned End Date]])</f>
        <v>0</v>
      </c>
      <c r="P1388" s="178">
        <f>NETWORKDAYS(Table1[[#This Row],[Planned Start Date]],$P$7)</f>
        <v>30643</v>
      </c>
      <c r="Q1388" s="129"/>
      <c r="R1388" s="183" t="str">
        <f>IF(Table1[[#This Row],[Actual Effort (Hours)]]="","",IF(Table1[[#This Row],[Estimated Effort (Hours)]]&lt;20,"L1",IF(Table1[[#This Row],[Estimated Effort (Hours)]]&lt;50,"L2",IF(Table1[[#This Row],[Estimated Effort (Hours)]]&lt;150,"L3",IF(Table1[[#This Row],[Estimated Effort (Hours)]]&lt;300,"L4","L5")))))</f>
        <v/>
      </c>
      <c r="S1388" s="184" t="str">
        <f>IF(Table1[[#This Row],[Actual End Date]]="","",TEXT(Table1[[#This Row],[Actual End Date]],"mmm-yy"))</f>
        <v/>
      </c>
      <c r="T13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8" s="185" t="str">
        <f>IFERROR((Table1[[#This Row],[Actual Effort (Hours)]]-Table1[[#This Row],[Estimated Effort (Hours)]])/Table1[[#This Row],[Estimated Effort (Hours)]],"")</f>
        <v/>
      </c>
    </row>
    <row r="1389" spans="2:21">
      <c r="B1389" s="125"/>
      <c r="C1389" s="123"/>
      <c r="D1389" s="143"/>
      <c r="E1389" s="123"/>
      <c r="F1389" s="143"/>
      <c r="G1389" s="129"/>
      <c r="H1389" s="124"/>
      <c r="I1389" s="124"/>
      <c r="J1389" s="129"/>
      <c r="K1389" s="194"/>
      <c r="L1389" s="194"/>
      <c r="M1389" s="129"/>
      <c r="N1389" s="129" t="e">
        <f>Table1[[#This Row],[Estimated Effort (Hours)]]/NETWORKDAYS(Table1[[#This Row],[Planned Start Date]],Table1[[#This Row],[Planned End Date]])</f>
        <v>#DIV/0!</v>
      </c>
      <c r="O1389" s="178">
        <f>NETWORKDAYS(Table1[[#This Row],[Planned Start Date]],Table1[[#This Row],[Planned End Date]])</f>
        <v>0</v>
      </c>
      <c r="P1389" s="178">
        <f>NETWORKDAYS(Table1[[#This Row],[Planned Start Date]],$P$7)</f>
        <v>30643</v>
      </c>
      <c r="Q1389" s="129"/>
      <c r="R1389" s="183" t="str">
        <f>IF(Table1[[#This Row],[Actual Effort (Hours)]]="","",IF(Table1[[#This Row],[Estimated Effort (Hours)]]&lt;20,"L1",IF(Table1[[#This Row],[Estimated Effort (Hours)]]&lt;50,"L2",IF(Table1[[#This Row],[Estimated Effort (Hours)]]&lt;150,"L3",IF(Table1[[#This Row],[Estimated Effort (Hours)]]&lt;300,"L4","L5")))))</f>
        <v/>
      </c>
      <c r="S1389" s="184" t="str">
        <f>IF(Table1[[#This Row],[Actual End Date]]="","",TEXT(Table1[[#This Row],[Actual End Date]],"mmm-yy"))</f>
        <v/>
      </c>
      <c r="T13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89" s="185" t="str">
        <f>IFERROR((Table1[[#This Row],[Actual Effort (Hours)]]-Table1[[#This Row],[Estimated Effort (Hours)]])/Table1[[#This Row],[Estimated Effort (Hours)]],"")</f>
        <v/>
      </c>
    </row>
    <row r="1390" spans="2:21">
      <c r="B1390" s="125"/>
      <c r="C1390" s="123"/>
      <c r="D1390" s="143"/>
      <c r="E1390" s="123"/>
      <c r="F1390" s="143"/>
      <c r="G1390" s="129"/>
      <c r="H1390" s="124"/>
      <c r="I1390" s="124"/>
      <c r="J1390" s="129"/>
      <c r="K1390" s="194"/>
      <c r="L1390" s="194"/>
      <c r="M1390" s="129"/>
      <c r="N1390" s="129" t="e">
        <f>Table1[[#This Row],[Estimated Effort (Hours)]]/NETWORKDAYS(Table1[[#This Row],[Planned Start Date]],Table1[[#This Row],[Planned End Date]])</f>
        <v>#DIV/0!</v>
      </c>
      <c r="O1390" s="178">
        <f>NETWORKDAYS(Table1[[#This Row],[Planned Start Date]],Table1[[#This Row],[Planned End Date]])</f>
        <v>0</v>
      </c>
      <c r="P1390" s="178">
        <f>NETWORKDAYS(Table1[[#This Row],[Planned Start Date]],$P$7)</f>
        <v>30643</v>
      </c>
      <c r="Q1390" s="129"/>
      <c r="R1390" s="183" t="str">
        <f>IF(Table1[[#This Row],[Actual Effort (Hours)]]="","",IF(Table1[[#This Row],[Estimated Effort (Hours)]]&lt;20,"L1",IF(Table1[[#This Row],[Estimated Effort (Hours)]]&lt;50,"L2",IF(Table1[[#This Row],[Estimated Effort (Hours)]]&lt;150,"L3",IF(Table1[[#This Row],[Estimated Effort (Hours)]]&lt;300,"L4","L5")))))</f>
        <v/>
      </c>
      <c r="S1390" s="184" t="str">
        <f>IF(Table1[[#This Row],[Actual End Date]]="","",TEXT(Table1[[#This Row],[Actual End Date]],"mmm-yy"))</f>
        <v/>
      </c>
      <c r="T13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0" s="185" t="str">
        <f>IFERROR((Table1[[#This Row],[Actual Effort (Hours)]]-Table1[[#This Row],[Estimated Effort (Hours)]])/Table1[[#This Row],[Estimated Effort (Hours)]],"")</f>
        <v/>
      </c>
    </row>
    <row r="1391" spans="2:21">
      <c r="B1391" s="125"/>
      <c r="C1391" s="123"/>
      <c r="D1391" s="143"/>
      <c r="E1391" s="123"/>
      <c r="F1391" s="143"/>
      <c r="G1391" s="129"/>
      <c r="H1391" s="124"/>
      <c r="I1391" s="124"/>
      <c r="J1391" s="129"/>
      <c r="K1391" s="194"/>
      <c r="L1391" s="194"/>
      <c r="M1391" s="129"/>
      <c r="N1391" s="129" t="e">
        <f>Table1[[#This Row],[Estimated Effort (Hours)]]/NETWORKDAYS(Table1[[#This Row],[Planned Start Date]],Table1[[#This Row],[Planned End Date]])</f>
        <v>#DIV/0!</v>
      </c>
      <c r="O1391" s="178">
        <f>NETWORKDAYS(Table1[[#This Row],[Planned Start Date]],Table1[[#This Row],[Planned End Date]])</f>
        <v>0</v>
      </c>
      <c r="P1391" s="178">
        <f>NETWORKDAYS(Table1[[#This Row],[Planned Start Date]],$P$7)</f>
        <v>30643</v>
      </c>
      <c r="Q1391" s="129"/>
      <c r="R1391" s="183" t="str">
        <f>IF(Table1[[#This Row],[Actual Effort (Hours)]]="","",IF(Table1[[#This Row],[Estimated Effort (Hours)]]&lt;20,"L1",IF(Table1[[#This Row],[Estimated Effort (Hours)]]&lt;50,"L2",IF(Table1[[#This Row],[Estimated Effort (Hours)]]&lt;150,"L3",IF(Table1[[#This Row],[Estimated Effort (Hours)]]&lt;300,"L4","L5")))))</f>
        <v/>
      </c>
      <c r="S1391" s="184" t="str">
        <f>IF(Table1[[#This Row],[Actual End Date]]="","",TEXT(Table1[[#This Row],[Actual End Date]],"mmm-yy"))</f>
        <v/>
      </c>
      <c r="T13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1" s="185" t="str">
        <f>IFERROR((Table1[[#This Row],[Actual Effort (Hours)]]-Table1[[#This Row],[Estimated Effort (Hours)]])/Table1[[#This Row],[Estimated Effort (Hours)]],"")</f>
        <v/>
      </c>
    </row>
    <row r="1392" spans="2:21">
      <c r="B1392" s="125"/>
      <c r="C1392" s="123"/>
      <c r="D1392" s="143"/>
      <c r="E1392" s="123"/>
      <c r="F1392" s="143"/>
      <c r="G1392" s="129"/>
      <c r="H1392" s="124"/>
      <c r="I1392" s="124"/>
      <c r="J1392" s="129"/>
      <c r="K1392" s="194"/>
      <c r="L1392" s="194"/>
      <c r="M1392" s="129"/>
      <c r="N1392" s="129" t="e">
        <f>Table1[[#This Row],[Estimated Effort (Hours)]]/NETWORKDAYS(Table1[[#This Row],[Planned Start Date]],Table1[[#This Row],[Planned End Date]])</f>
        <v>#DIV/0!</v>
      </c>
      <c r="O1392" s="178">
        <f>NETWORKDAYS(Table1[[#This Row],[Planned Start Date]],Table1[[#This Row],[Planned End Date]])</f>
        <v>0</v>
      </c>
      <c r="P1392" s="178">
        <f>NETWORKDAYS(Table1[[#This Row],[Planned Start Date]],$P$7)</f>
        <v>30643</v>
      </c>
      <c r="Q1392" s="129"/>
      <c r="R1392" s="183" t="str">
        <f>IF(Table1[[#This Row],[Actual Effort (Hours)]]="","",IF(Table1[[#This Row],[Estimated Effort (Hours)]]&lt;20,"L1",IF(Table1[[#This Row],[Estimated Effort (Hours)]]&lt;50,"L2",IF(Table1[[#This Row],[Estimated Effort (Hours)]]&lt;150,"L3",IF(Table1[[#This Row],[Estimated Effort (Hours)]]&lt;300,"L4","L5")))))</f>
        <v/>
      </c>
      <c r="S1392" s="184" t="str">
        <f>IF(Table1[[#This Row],[Actual End Date]]="","",TEXT(Table1[[#This Row],[Actual End Date]],"mmm-yy"))</f>
        <v/>
      </c>
      <c r="T13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2" s="185" t="str">
        <f>IFERROR((Table1[[#This Row],[Actual Effort (Hours)]]-Table1[[#This Row],[Estimated Effort (Hours)]])/Table1[[#This Row],[Estimated Effort (Hours)]],"")</f>
        <v/>
      </c>
    </row>
    <row r="1393" spans="2:21">
      <c r="B1393" s="125"/>
      <c r="C1393" s="123"/>
      <c r="D1393" s="143"/>
      <c r="E1393" s="123"/>
      <c r="F1393" s="143"/>
      <c r="G1393" s="129"/>
      <c r="H1393" s="124"/>
      <c r="I1393" s="124"/>
      <c r="J1393" s="129"/>
      <c r="K1393" s="194"/>
      <c r="L1393" s="194"/>
      <c r="M1393" s="129"/>
      <c r="N1393" s="129" t="e">
        <f>Table1[[#This Row],[Estimated Effort (Hours)]]/NETWORKDAYS(Table1[[#This Row],[Planned Start Date]],Table1[[#This Row],[Planned End Date]])</f>
        <v>#DIV/0!</v>
      </c>
      <c r="O1393" s="178">
        <f>NETWORKDAYS(Table1[[#This Row],[Planned Start Date]],Table1[[#This Row],[Planned End Date]])</f>
        <v>0</v>
      </c>
      <c r="P1393" s="178">
        <f>NETWORKDAYS(Table1[[#This Row],[Planned Start Date]],$P$7)</f>
        <v>30643</v>
      </c>
      <c r="Q1393" s="129"/>
      <c r="R1393" s="183" t="str">
        <f>IF(Table1[[#This Row],[Actual Effort (Hours)]]="","",IF(Table1[[#This Row],[Estimated Effort (Hours)]]&lt;20,"L1",IF(Table1[[#This Row],[Estimated Effort (Hours)]]&lt;50,"L2",IF(Table1[[#This Row],[Estimated Effort (Hours)]]&lt;150,"L3",IF(Table1[[#This Row],[Estimated Effort (Hours)]]&lt;300,"L4","L5")))))</f>
        <v/>
      </c>
      <c r="S1393" s="184" t="str">
        <f>IF(Table1[[#This Row],[Actual End Date]]="","",TEXT(Table1[[#This Row],[Actual End Date]],"mmm-yy"))</f>
        <v/>
      </c>
      <c r="T13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3" s="185" t="str">
        <f>IFERROR((Table1[[#This Row],[Actual Effort (Hours)]]-Table1[[#This Row],[Estimated Effort (Hours)]])/Table1[[#This Row],[Estimated Effort (Hours)]],"")</f>
        <v/>
      </c>
    </row>
    <row r="1394" spans="2:21">
      <c r="B1394" s="125"/>
      <c r="C1394" s="123"/>
      <c r="D1394" s="143"/>
      <c r="E1394" s="123"/>
      <c r="F1394" s="143"/>
      <c r="G1394" s="129"/>
      <c r="H1394" s="124"/>
      <c r="I1394" s="124"/>
      <c r="J1394" s="129"/>
      <c r="K1394" s="194"/>
      <c r="L1394" s="194"/>
      <c r="M1394" s="129"/>
      <c r="N1394" s="129" t="e">
        <f>Table1[[#This Row],[Estimated Effort (Hours)]]/NETWORKDAYS(Table1[[#This Row],[Planned Start Date]],Table1[[#This Row],[Planned End Date]])</f>
        <v>#DIV/0!</v>
      </c>
      <c r="O1394" s="178">
        <f>NETWORKDAYS(Table1[[#This Row],[Planned Start Date]],Table1[[#This Row],[Planned End Date]])</f>
        <v>0</v>
      </c>
      <c r="P1394" s="178">
        <f>NETWORKDAYS(Table1[[#This Row],[Planned Start Date]],$P$7)</f>
        <v>30643</v>
      </c>
      <c r="Q1394" s="129"/>
      <c r="R1394" s="183" t="str">
        <f>IF(Table1[[#This Row],[Actual Effort (Hours)]]="","",IF(Table1[[#This Row],[Estimated Effort (Hours)]]&lt;20,"L1",IF(Table1[[#This Row],[Estimated Effort (Hours)]]&lt;50,"L2",IF(Table1[[#This Row],[Estimated Effort (Hours)]]&lt;150,"L3",IF(Table1[[#This Row],[Estimated Effort (Hours)]]&lt;300,"L4","L5")))))</f>
        <v/>
      </c>
      <c r="S1394" s="184" t="str">
        <f>IF(Table1[[#This Row],[Actual End Date]]="","",TEXT(Table1[[#This Row],[Actual End Date]],"mmm-yy"))</f>
        <v/>
      </c>
      <c r="T13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4" s="185" t="str">
        <f>IFERROR((Table1[[#This Row],[Actual Effort (Hours)]]-Table1[[#This Row],[Estimated Effort (Hours)]])/Table1[[#This Row],[Estimated Effort (Hours)]],"")</f>
        <v/>
      </c>
    </row>
    <row r="1395" spans="2:21">
      <c r="B1395" s="125"/>
      <c r="C1395" s="123"/>
      <c r="D1395" s="143"/>
      <c r="E1395" s="123"/>
      <c r="F1395" s="143"/>
      <c r="G1395" s="129"/>
      <c r="H1395" s="124"/>
      <c r="I1395" s="124"/>
      <c r="J1395" s="129"/>
      <c r="K1395" s="194"/>
      <c r="L1395" s="194"/>
      <c r="M1395" s="129"/>
      <c r="N1395" s="129" t="e">
        <f>Table1[[#This Row],[Estimated Effort (Hours)]]/NETWORKDAYS(Table1[[#This Row],[Planned Start Date]],Table1[[#This Row],[Planned End Date]])</f>
        <v>#DIV/0!</v>
      </c>
      <c r="O1395" s="178">
        <f>NETWORKDAYS(Table1[[#This Row],[Planned Start Date]],Table1[[#This Row],[Planned End Date]])</f>
        <v>0</v>
      </c>
      <c r="P1395" s="178">
        <f>NETWORKDAYS(Table1[[#This Row],[Planned Start Date]],$P$7)</f>
        <v>30643</v>
      </c>
      <c r="Q1395" s="129"/>
      <c r="R1395" s="183" t="str">
        <f>IF(Table1[[#This Row],[Actual Effort (Hours)]]="","",IF(Table1[[#This Row],[Estimated Effort (Hours)]]&lt;20,"L1",IF(Table1[[#This Row],[Estimated Effort (Hours)]]&lt;50,"L2",IF(Table1[[#This Row],[Estimated Effort (Hours)]]&lt;150,"L3",IF(Table1[[#This Row],[Estimated Effort (Hours)]]&lt;300,"L4","L5")))))</f>
        <v/>
      </c>
      <c r="S1395" s="184" t="str">
        <f>IF(Table1[[#This Row],[Actual End Date]]="","",TEXT(Table1[[#This Row],[Actual End Date]],"mmm-yy"))</f>
        <v/>
      </c>
      <c r="T13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5" s="185" t="str">
        <f>IFERROR((Table1[[#This Row],[Actual Effort (Hours)]]-Table1[[#This Row],[Estimated Effort (Hours)]])/Table1[[#This Row],[Estimated Effort (Hours)]],"")</f>
        <v/>
      </c>
    </row>
    <row r="1396" spans="2:21">
      <c r="B1396" s="125"/>
      <c r="C1396" s="123"/>
      <c r="D1396" s="143"/>
      <c r="E1396" s="123"/>
      <c r="F1396" s="143"/>
      <c r="G1396" s="129"/>
      <c r="H1396" s="124"/>
      <c r="I1396" s="124"/>
      <c r="J1396" s="129"/>
      <c r="K1396" s="194"/>
      <c r="L1396" s="194"/>
      <c r="M1396" s="129"/>
      <c r="N1396" s="129" t="e">
        <f>Table1[[#This Row],[Estimated Effort (Hours)]]/NETWORKDAYS(Table1[[#This Row],[Planned Start Date]],Table1[[#This Row],[Planned End Date]])</f>
        <v>#DIV/0!</v>
      </c>
      <c r="O1396" s="178">
        <f>NETWORKDAYS(Table1[[#This Row],[Planned Start Date]],Table1[[#This Row],[Planned End Date]])</f>
        <v>0</v>
      </c>
      <c r="P1396" s="178">
        <f>NETWORKDAYS(Table1[[#This Row],[Planned Start Date]],$P$7)</f>
        <v>30643</v>
      </c>
      <c r="Q1396" s="129"/>
      <c r="R1396" s="183" t="str">
        <f>IF(Table1[[#This Row],[Actual Effort (Hours)]]="","",IF(Table1[[#This Row],[Estimated Effort (Hours)]]&lt;20,"L1",IF(Table1[[#This Row],[Estimated Effort (Hours)]]&lt;50,"L2",IF(Table1[[#This Row],[Estimated Effort (Hours)]]&lt;150,"L3",IF(Table1[[#This Row],[Estimated Effort (Hours)]]&lt;300,"L4","L5")))))</f>
        <v/>
      </c>
      <c r="S1396" s="184" t="str">
        <f>IF(Table1[[#This Row],[Actual End Date]]="","",TEXT(Table1[[#This Row],[Actual End Date]],"mmm-yy"))</f>
        <v/>
      </c>
      <c r="T13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6" s="185" t="str">
        <f>IFERROR((Table1[[#This Row],[Actual Effort (Hours)]]-Table1[[#This Row],[Estimated Effort (Hours)]])/Table1[[#This Row],[Estimated Effort (Hours)]],"")</f>
        <v/>
      </c>
    </row>
    <row r="1397" spans="2:21">
      <c r="B1397" s="125"/>
      <c r="C1397" s="123"/>
      <c r="D1397" s="143"/>
      <c r="E1397" s="123"/>
      <c r="F1397" s="143"/>
      <c r="G1397" s="129"/>
      <c r="H1397" s="124"/>
      <c r="I1397" s="124"/>
      <c r="J1397" s="129"/>
      <c r="K1397" s="194"/>
      <c r="L1397" s="194"/>
      <c r="M1397" s="129"/>
      <c r="N1397" s="129" t="e">
        <f>Table1[[#This Row],[Estimated Effort (Hours)]]/NETWORKDAYS(Table1[[#This Row],[Planned Start Date]],Table1[[#This Row],[Planned End Date]])</f>
        <v>#DIV/0!</v>
      </c>
      <c r="O1397" s="178">
        <f>NETWORKDAYS(Table1[[#This Row],[Planned Start Date]],Table1[[#This Row],[Planned End Date]])</f>
        <v>0</v>
      </c>
      <c r="P1397" s="178">
        <f>NETWORKDAYS(Table1[[#This Row],[Planned Start Date]],$P$7)</f>
        <v>30643</v>
      </c>
      <c r="Q1397" s="129"/>
      <c r="R1397" s="183" t="str">
        <f>IF(Table1[[#This Row],[Actual Effort (Hours)]]="","",IF(Table1[[#This Row],[Estimated Effort (Hours)]]&lt;20,"L1",IF(Table1[[#This Row],[Estimated Effort (Hours)]]&lt;50,"L2",IF(Table1[[#This Row],[Estimated Effort (Hours)]]&lt;150,"L3",IF(Table1[[#This Row],[Estimated Effort (Hours)]]&lt;300,"L4","L5")))))</f>
        <v/>
      </c>
      <c r="S1397" s="184" t="str">
        <f>IF(Table1[[#This Row],[Actual End Date]]="","",TEXT(Table1[[#This Row],[Actual End Date]],"mmm-yy"))</f>
        <v/>
      </c>
      <c r="T13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7" s="185" t="str">
        <f>IFERROR((Table1[[#This Row],[Actual Effort (Hours)]]-Table1[[#This Row],[Estimated Effort (Hours)]])/Table1[[#This Row],[Estimated Effort (Hours)]],"")</f>
        <v/>
      </c>
    </row>
    <row r="1398" spans="2:21">
      <c r="B1398" s="125"/>
      <c r="C1398" s="123"/>
      <c r="D1398" s="143"/>
      <c r="E1398" s="123"/>
      <c r="F1398" s="143"/>
      <c r="G1398" s="129"/>
      <c r="H1398" s="124"/>
      <c r="I1398" s="124"/>
      <c r="J1398" s="129"/>
      <c r="K1398" s="194"/>
      <c r="L1398" s="194"/>
      <c r="M1398" s="129"/>
      <c r="N1398" s="129" t="e">
        <f>Table1[[#This Row],[Estimated Effort (Hours)]]/NETWORKDAYS(Table1[[#This Row],[Planned Start Date]],Table1[[#This Row],[Planned End Date]])</f>
        <v>#DIV/0!</v>
      </c>
      <c r="O1398" s="178">
        <f>NETWORKDAYS(Table1[[#This Row],[Planned Start Date]],Table1[[#This Row],[Planned End Date]])</f>
        <v>0</v>
      </c>
      <c r="P1398" s="178">
        <f>NETWORKDAYS(Table1[[#This Row],[Planned Start Date]],$P$7)</f>
        <v>30643</v>
      </c>
      <c r="Q1398" s="129"/>
      <c r="R1398" s="183" t="str">
        <f>IF(Table1[[#This Row],[Actual Effort (Hours)]]="","",IF(Table1[[#This Row],[Estimated Effort (Hours)]]&lt;20,"L1",IF(Table1[[#This Row],[Estimated Effort (Hours)]]&lt;50,"L2",IF(Table1[[#This Row],[Estimated Effort (Hours)]]&lt;150,"L3",IF(Table1[[#This Row],[Estimated Effort (Hours)]]&lt;300,"L4","L5")))))</f>
        <v/>
      </c>
      <c r="S1398" s="184" t="str">
        <f>IF(Table1[[#This Row],[Actual End Date]]="","",TEXT(Table1[[#This Row],[Actual End Date]],"mmm-yy"))</f>
        <v/>
      </c>
      <c r="T13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8" s="185" t="str">
        <f>IFERROR((Table1[[#This Row],[Actual Effort (Hours)]]-Table1[[#This Row],[Estimated Effort (Hours)]])/Table1[[#This Row],[Estimated Effort (Hours)]],"")</f>
        <v/>
      </c>
    </row>
    <row r="1399" spans="2:21">
      <c r="B1399" s="125"/>
      <c r="C1399" s="123"/>
      <c r="D1399" s="143"/>
      <c r="E1399" s="123"/>
      <c r="F1399" s="143"/>
      <c r="G1399" s="129"/>
      <c r="H1399" s="124"/>
      <c r="I1399" s="124"/>
      <c r="J1399" s="129"/>
      <c r="K1399" s="194"/>
      <c r="L1399" s="194"/>
      <c r="M1399" s="129"/>
      <c r="N1399" s="129" t="e">
        <f>Table1[[#This Row],[Estimated Effort (Hours)]]/NETWORKDAYS(Table1[[#This Row],[Planned Start Date]],Table1[[#This Row],[Planned End Date]])</f>
        <v>#DIV/0!</v>
      </c>
      <c r="O1399" s="178">
        <f>NETWORKDAYS(Table1[[#This Row],[Planned Start Date]],Table1[[#This Row],[Planned End Date]])</f>
        <v>0</v>
      </c>
      <c r="P1399" s="178">
        <f>NETWORKDAYS(Table1[[#This Row],[Planned Start Date]],$P$7)</f>
        <v>30643</v>
      </c>
      <c r="Q1399" s="129"/>
      <c r="R1399" s="183" t="str">
        <f>IF(Table1[[#This Row],[Actual Effort (Hours)]]="","",IF(Table1[[#This Row],[Estimated Effort (Hours)]]&lt;20,"L1",IF(Table1[[#This Row],[Estimated Effort (Hours)]]&lt;50,"L2",IF(Table1[[#This Row],[Estimated Effort (Hours)]]&lt;150,"L3",IF(Table1[[#This Row],[Estimated Effort (Hours)]]&lt;300,"L4","L5")))))</f>
        <v/>
      </c>
      <c r="S1399" s="184" t="str">
        <f>IF(Table1[[#This Row],[Actual End Date]]="","",TEXT(Table1[[#This Row],[Actual End Date]],"mmm-yy"))</f>
        <v/>
      </c>
      <c r="T13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399" s="185" t="str">
        <f>IFERROR((Table1[[#This Row],[Actual Effort (Hours)]]-Table1[[#This Row],[Estimated Effort (Hours)]])/Table1[[#This Row],[Estimated Effort (Hours)]],"")</f>
        <v/>
      </c>
    </row>
    <row r="1400" spans="2:21">
      <c r="B1400" s="125"/>
      <c r="C1400" s="123"/>
      <c r="D1400" s="143"/>
      <c r="E1400" s="123"/>
      <c r="F1400" s="143"/>
      <c r="G1400" s="129"/>
      <c r="H1400" s="124"/>
      <c r="I1400" s="124"/>
      <c r="J1400" s="129"/>
      <c r="K1400" s="194"/>
      <c r="L1400" s="194"/>
      <c r="M1400" s="129"/>
      <c r="N1400" s="129" t="e">
        <f>Table1[[#This Row],[Estimated Effort (Hours)]]/NETWORKDAYS(Table1[[#This Row],[Planned Start Date]],Table1[[#This Row],[Planned End Date]])</f>
        <v>#DIV/0!</v>
      </c>
      <c r="O1400" s="178">
        <f>NETWORKDAYS(Table1[[#This Row],[Planned Start Date]],Table1[[#This Row],[Planned End Date]])</f>
        <v>0</v>
      </c>
      <c r="P1400" s="178">
        <f>NETWORKDAYS(Table1[[#This Row],[Planned Start Date]],$P$7)</f>
        <v>30643</v>
      </c>
      <c r="Q1400" s="129"/>
      <c r="R1400" s="183" t="str">
        <f>IF(Table1[[#This Row],[Actual Effort (Hours)]]="","",IF(Table1[[#This Row],[Estimated Effort (Hours)]]&lt;20,"L1",IF(Table1[[#This Row],[Estimated Effort (Hours)]]&lt;50,"L2",IF(Table1[[#This Row],[Estimated Effort (Hours)]]&lt;150,"L3",IF(Table1[[#This Row],[Estimated Effort (Hours)]]&lt;300,"L4","L5")))))</f>
        <v/>
      </c>
      <c r="S1400" s="184" t="str">
        <f>IF(Table1[[#This Row],[Actual End Date]]="","",TEXT(Table1[[#This Row],[Actual End Date]],"mmm-yy"))</f>
        <v/>
      </c>
      <c r="T14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0" s="185" t="str">
        <f>IFERROR((Table1[[#This Row],[Actual Effort (Hours)]]-Table1[[#This Row],[Estimated Effort (Hours)]])/Table1[[#This Row],[Estimated Effort (Hours)]],"")</f>
        <v/>
      </c>
    </row>
    <row r="1401" spans="2:21">
      <c r="B1401" s="125"/>
      <c r="C1401" s="123"/>
      <c r="D1401" s="143"/>
      <c r="E1401" s="123"/>
      <c r="F1401" s="143"/>
      <c r="G1401" s="129"/>
      <c r="H1401" s="124"/>
      <c r="I1401" s="124"/>
      <c r="J1401" s="129"/>
      <c r="K1401" s="194"/>
      <c r="L1401" s="194"/>
      <c r="M1401" s="129"/>
      <c r="N1401" s="129" t="e">
        <f>Table1[[#This Row],[Estimated Effort (Hours)]]/NETWORKDAYS(Table1[[#This Row],[Planned Start Date]],Table1[[#This Row],[Planned End Date]])</f>
        <v>#DIV/0!</v>
      </c>
      <c r="O1401" s="178">
        <f>NETWORKDAYS(Table1[[#This Row],[Planned Start Date]],Table1[[#This Row],[Planned End Date]])</f>
        <v>0</v>
      </c>
      <c r="P1401" s="178">
        <f>NETWORKDAYS(Table1[[#This Row],[Planned Start Date]],$P$7)</f>
        <v>30643</v>
      </c>
      <c r="Q1401" s="129"/>
      <c r="R1401" s="183" t="str">
        <f>IF(Table1[[#This Row],[Actual Effort (Hours)]]="","",IF(Table1[[#This Row],[Estimated Effort (Hours)]]&lt;20,"L1",IF(Table1[[#This Row],[Estimated Effort (Hours)]]&lt;50,"L2",IF(Table1[[#This Row],[Estimated Effort (Hours)]]&lt;150,"L3",IF(Table1[[#This Row],[Estimated Effort (Hours)]]&lt;300,"L4","L5")))))</f>
        <v/>
      </c>
      <c r="S1401" s="184" t="str">
        <f>IF(Table1[[#This Row],[Actual End Date]]="","",TEXT(Table1[[#This Row],[Actual End Date]],"mmm-yy"))</f>
        <v/>
      </c>
      <c r="T14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1" s="185" t="str">
        <f>IFERROR((Table1[[#This Row],[Actual Effort (Hours)]]-Table1[[#This Row],[Estimated Effort (Hours)]])/Table1[[#This Row],[Estimated Effort (Hours)]],"")</f>
        <v/>
      </c>
    </row>
    <row r="1402" spans="2:21">
      <c r="B1402" s="125"/>
      <c r="C1402" s="123"/>
      <c r="D1402" s="143"/>
      <c r="E1402" s="123"/>
      <c r="F1402" s="143"/>
      <c r="G1402" s="129"/>
      <c r="H1402" s="124"/>
      <c r="I1402" s="124"/>
      <c r="J1402" s="129"/>
      <c r="K1402" s="194"/>
      <c r="L1402" s="194"/>
      <c r="M1402" s="129"/>
      <c r="N1402" s="129" t="e">
        <f>Table1[[#This Row],[Estimated Effort (Hours)]]/NETWORKDAYS(Table1[[#This Row],[Planned Start Date]],Table1[[#This Row],[Planned End Date]])</f>
        <v>#DIV/0!</v>
      </c>
      <c r="O1402" s="178">
        <f>NETWORKDAYS(Table1[[#This Row],[Planned Start Date]],Table1[[#This Row],[Planned End Date]])</f>
        <v>0</v>
      </c>
      <c r="P1402" s="178">
        <f>NETWORKDAYS(Table1[[#This Row],[Planned Start Date]],$P$7)</f>
        <v>30643</v>
      </c>
      <c r="Q1402" s="129"/>
      <c r="R1402" s="183" t="str">
        <f>IF(Table1[[#This Row],[Actual Effort (Hours)]]="","",IF(Table1[[#This Row],[Estimated Effort (Hours)]]&lt;20,"L1",IF(Table1[[#This Row],[Estimated Effort (Hours)]]&lt;50,"L2",IF(Table1[[#This Row],[Estimated Effort (Hours)]]&lt;150,"L3",IF(Table1[[#This Row],[Estimated Effort (Hours)]]&lt;300,"L4","L5")))))</f>
        <v/>
      </c>
      <c r="S1402" s="184" t="str">
        <f>IF(Table1[[#This Row],[Actual End Date]]="","",TEXT(Table1[[#This Row],[Actual End Date]],"mmm-yy"))</f>
        <v/>
      </c>
      <c r="T14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2" s="185" t="str">
        <f>IFERROR((Table1[[#This Row],[Actual Effort (Hours)]]-Table1[[#This Row],[Estimated Effort (Hours)]])/Table1[[#This Row],[Estimated Effort (Hours)]],"")</f>
        <v/>
      </c>
    </row>
    <row r="1403" spans="2:21">
      <c r="B1403" s="125"/>
      <c r="C1403" s="123"/>
      <c r="D1403" s="143"/>
      <c r="E1403" s="123"/>
      <c r="F1403" s="143"/>
      <c r="G1403" s="129"/>
      <c r="H1403" s="124"/>
      <c r="I1403" s="124"/>
      <c r="J1403" s="129"/>
      <c r="K1403" s="194"/>
      <c r="L1403" s="194"/>
      <c r="M1403" s="129"/>
      <c r="N1403" s="129" t="e">
        <f>Table1[[#This Row],[Estimated Effort (Hours)]]/NETWORKDAYS(Table1[[#This Row],[Planned Start Date]],Table1[[#This Row],[Planned End Date]])</f>
        <v>#DIV/0!</v>
      </c>
      <c r="O1403" s="178">
        <f>NETWORKDAYS(Table1[[#This Row],[Planned Start Date]],Table1[[#This Row],[Planned End Date]])</f>
        <v>0</v>
      </c>
      <c r="P1403" s="178">
        <f>NETWORKDAYS(Table1[[#This Row],[Planned Start Date]],$P$7)</f>
        <v>30643</v>
      </c>
      <c r="Q1403" s="129"/>
      <c r="R1403" s="183" t="str">
        <f>IF(Table1[[#This Row],[Actual Effort (Hours)]]="","",IF(Table1[[#This Row],[Estimated Effort (Hours)]]&lt;20,"L1",IF(Table1[[#This Row],[Estimated Effort (Hours)]]&lt;50,"L2",IF(Table1[[#This Row],[Estimated Effort (Hours)]]&lt;150,"L3",IF(Table1[[#This Row],[Estimated Effort (Hours)]]&lt;300,"L4","L5")))))</f>
        <v/>
      </c>
      <c r="S1403" s="184" t="str">
        <f>IF(Table1[[#This Row],[Actual End Date]]="","",TEXT(Table1[[#This Row],[Actual End Date]],"mmm-yy"))</f>
        <v/>
      </c>
      <c r="T14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3" s="185" t="str">
        <f>IFERROR((Table1[[#This Row],[Actual Effort (Hours)]]-Table1[[#This Row],[Estimated Effort (Hours)]])/Table1[[#This Row],[Estimated Effort (Hours)]],"")</f>
        <v/>
      </c>
    </row>
    <row r="1404" spans="2:21">
      <c r="B1404" s="125"/>
      <c r="C1404" s="123"/>
      <c r="D1404" s="143"/>
      <c r="E1404" s="123"/>
      <c r="F1404" s="143"/>
      <c r="G1404" s="129"/>
      <c r="H1404" s="124"/>
      <c r="I1404" s="124"/>
      <c r="J1404" s="129"/>
      <c r="K1404" s="194"/>
      <c r="L1404" s="194"/>
      <c r="M1404" s="129"/>
      <c r="N1404" s="129" t="e">
        <f>Table1[[#This Row],[Estimated Effort (Hours)]]/NETWORKDAYS(Table1[[#This Row],[Planned Start Date]],Table1[[#This Row],[Planned End Date]])</f>
        <v>#DIV/0!</v>
      </c>
      <c r="O1404" s="178">
        <f>NETWORKDAYS(Table1[[#This Row],[Planned Start Date]],Table1[[#This Row],[Planned End Date]])</f>
        <v>0</v>
      </c>
      <c r="P1404" s="178">
        <f>NETWORKDAYS(Table1[[#This Row],[Planned Start Date]],$P$7)</f>
        <v>30643</v>
      </c>
      <c r="Q1404" s="129"/>
      <c r="R1404" s="183" t="str">
        <f>IF(Table1[[#This Row],[Actual Effort (Hours)]]="","",IF(Table1[[#This Row],[Estimated Effort (Hours)]]&lt;20,"L1",IF(Table1[[#This Row],[Estimated Effort (Hours)]]&lt;50,"L2",IF(Table1[[#This Row],[Estimated Effort (Hours)]]&lt;150,"L3",IF(Table1[[#This Row],[Estimated Effort (Hours)]]&lt;300,"L4","L5")))))</f>
        <v/>
      </c>
      <c r="S1404" s="184" t="str">
        <f>IF(Table1[[#This Row],[Actual End Date]]="","",TEXT(Table1[[#This Row],[Actual End Date]],"mmm-yy"))</f>
        <v/>
      </c>
      <c r="T14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4" s="185" t="str">
        <f>IFERROR((Table1[[#This Row],[Actual Effort (Hours)]]-Table1[[#This Row],[Estimated Effort (Hours)]])/Table1[[#This Row],[Estimated Effort (Hours)]],"")</f>
        <v/>
      </c>
    </row>
    <row r="1405" spans="2:21">
      <c r="B1405" s="125"/>
      <c r="C1405" s="123"/>
      <c r="D1405" s="143"/>
      <c r="E1405" s="123"/>
      <c r="F1405" s="143"/>
      <c r="G1405" s="129"/>
      <c r="H1405" s="124"/>
      <c r="I1405" s="124"/>
      <c r="J1405" s="129"/>
      <c r="K1405" s="194"/>
      <c r="L1405" s="194"/>
      <c r="M1405" s="129"/>
      <c r="N1405" s="129" t="e">
        <f>Table1[[#This Row],[Estimated Effort (Hours)]]/NETWORKDAYS(Table1[[#This Row],[Planned Start Date]],Table1[[#This Row],[Planned End Date]])</f>
        <v>#DIV/0!</v>
      </c>
      <c r="O1405" s="178">
        <f>NETWORKDAYS(Table1[[#This Row],[Planned Start Date]],Table1[[#This Row],[Planned End Date]])</f>
        <v>0</v>
      </c>
      <c r="P1405" s="178">
        <f>NETWORKDAYS(Table1[[#This Row],[Planned Start Date]],$P$7)</f>
        <v>30643</v>
      </c>
      <c r="Q1405" s="129"/>
      <c r="R1405" s="183" t="str">
        <f>IF(Table1[[#This Row],[Actual Effort (Hours)]]="","",IF(Table1[[#This Row],[Estimated Effort (Hours)]]&lt;20,"L1",IF(Table1[[#This Row],[Estimated Effort (Hours)]]&lt;50,"L2",IF(Table1[[#This Row],[Estimated Effort (Hours)]]&lt;150,"L3",IF(Table1[[#This Row],[Estimated Effort (Hours)]]&lt;300,"L4","L5")))))</f>
        <v/>
      </c>
      <c r="S1405" s="184" t="str">
        <f>IF(Table1[[#This Row],[Actual End Date]]="","",TEXT(Table1[[#This Row],[Actual End Date]],"mmm-yy"))</f>
        <v/>
      </c>
      <c r="T14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5" s="185" t="str">
        <f>IFERROR((Table1[[#This Row],[Actual Effort (Hours)]]-Table1[[#This Row],[Estimated Effort (Hours)]])/Table1[[#This Row],[Estimated Effort (Hours)]],"")</f>
        <v/>
      </c>
    </row>
    <row r="1406" spans="2:21">
      <c r="B1406" s="125"/>
      <c r="C1406" s="123"/>
      <c r="D1406" s="143"/>
      <c r="E1406" s="123"/>
      <c r="F1406" s="143"/>
      <c r="G1406" s="129"/>
      <c r="H1406" s="124"/>
      <c r="I1406" s="124"/>
      <c r="J1406" s="129"/>
      <c r="K1406" s="194"/>
      <c r="L1406" s="194"/>
      <c r="M1406" s="129"/>
      <c r="N1406" s="129" t="e">
        <f>Table1[[#This Row],[Estimated Effort (Hours)]]/NETWORKDAYS(Table1[[#This Row],[Planned Start Date]],Table1[[#This Row],[Planned End Date]])</f>
        <v>#DIV/0!</v>
      </c>
      <c r="O1406" s="178">
        <f>NETWORKDAYS(Table1[[#This Row],[Planned Start Date]],Table1[[#This Row],[Planned End Date]])</f>
        <v>0</v>
      </c>
      <c r="P1406" s="178">
        <f>NETWORKDAYS(Table1[[#This Row],[Planned Start Date]],$P$7)</f>
        <v>30643</v>
      </c>
      <c r="Q1406" s="129"/>
      <c r="R1406" s="183" t="str">
        <f>IF(Table1[[#This Row],[Actual Effort (Hours)]]="","",IF(Table1[[#This Row],[Estimated Effort (Hours)]]&lt;20,"L1",IF(Table1[[#This Row],[Estimated Effort (Hours)]]&lt;50,"L2",IF(Table1[[#This Row],[Estimated Effort (Hours)]]&lt;150,"L3",IF(Table1[[#This Row],[Estimated Effort (Hours)]]&lt;300,"L4","L5")))))</f>
        <v/>
      </c>
      <c r="S1406" s="184" t="str">
        <f>IF(Table1[[#This Row],[Actual End Date]]="","",TEXT(Table1[[#This Row],[Actual End Date]],"mmm-yy"))</f>
        <v/>
      </c>
      <c r="T14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6" s="185" t="str">
        <f>IFERROR((Table1[[#This Row],[Actual Effort (Hours)]]-Table1[[#This Row],[Estimated Effort (Hours)]])/Table1[[#This Row],[Estimated Effort (Hours)]],"")</f>
        <v/>
      </c>
    </row>
    <row r="1407" spans="2:21">
      <c r="B1407" s="125"/>
      <c r="C1407" s="123"/>
      <c r="D1407" s="143"/>
      <c r="E1407" s="123"/>
      <c r="F1407" s="143"/>
      <c r="G1407" s="129"/>
      <c r="H1407" s="124"/>
      <c r="I1407" s="124"/>
      <c r="J1407" s="129"/>
      <c r="K1407" s="194"/>
      <c r="L1407" s="194"/>
      <c r="M1407" s="129"/>
      <c r="N1407" s="129" t="e">
        <f>Table1[[#This Row],[Estimated Effort (Hours)]]/NETWORKDAYS(Table1[[#This Row],[Planned Start Date]],Table1[[#This Row],[Planned End Date]])</f>
        <v>#DIV/0!</v>
      </c>
      <c r="O1407" s="178">
        <f>NETWORKDAYS(Table1[[#This Row],[Planned Start Date]],Table1[[#This Row],[Planned End Date]])</f>
        <v>0</v>
      </c>
      <c r="P1407" s="178">
        <f>NETWORKDAYS(Table1[[#This Row],[Planned Start Date]],$P$7)</f>
        <v>30643</v>
      </c>
      <c r="Q1407" s="129"/>
      <c r="R1407" s="183" t="str">
        <f>IF(Table1[[#This Row],[Actual Effort (Hours)]]="","",IF(Table1[[#This Row],[Estimated Effort (Hours)]]&lt;20,"L1",IF(Table1[[#This Row],[Estimated Effort (Hours)]]&lt;50,"L2",IF(Table1[[#This Row],[Estimated Effort (Hours)]]&lt;150,"L3",IF(Table1[[#This Row],[Estimated Effort (Hours)]]&lt;300,"L4","L5")))))</f>
        <v/>
      </c>
      <c r="S1407" s="184" t="str">
        <f>IF(Table1[[#This Row],[Actual End Date]]="","",TEXT(Table1[[#This Row],[Actual End Date]],"mmm-yy"))</f>
        <v/>
      </c>
      <c r="T14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7" s="185" t="str">
        <f>IFERROR((Table1[[#This Row],[Actual Effort (Hours)]]-Table1[[#This Row],[Estimated Effort (Hours)]])/Table1[[#This Row],[Estimated Effort (Hours)]],"")</f>
        <v/>
      </c>
    </row>
    <row r="1408" spans="2:21">
      <c r="B1408" s="125"/>
      <c r="C1408" s="123"/>
      <c r="D1408" s="143"/>
      <c r="E1408" s="123"/>
      <c r="F1408" s="143"/>
      <c r="G1408" s="129"/>
      <c r="H1408" s="124"/>
      <c r="I1408" s="124"/>
      <c r="J1408" s="129"/>
      <c r="K1408" s="194"/>
      <c r="L1408" s="194"/>
      <c r="M1408" s="129"/>
      <c r="N1408" s="129" t="e">
        <f>Table1[[#This Row],[Estimated Effort (Hours)]]/NETWORKDAYS(Table1[[#This Row],[Planned Start Date]],Table1[[#This Row],[Planned End Date]])</f>
        <v>#DIV/0!</v>
      </c>
      <c r="O1408" s="178">
        <f>NETWORKDAYS(Table1[[#This Row],[Planned Start Date]],Table1[[#This Row],[Planned End Date]])</f>
        <v>0</v>
      </c>
      <c r="P1408" s="178">
        <f>NETWORKDAYS(Table1[[#This Row],[Planned Start Date]],$P$7)</f>
        <v>30643</v>
      </c>
      <c r="Q1408" s="129"/>
      <c r="R1408" s="183" t="str">
        <f>IF(Table1[[#This Row],[Actual Effort (Hours)]]="","",IF(Table1[[#This Row],[Estimated Effort (Hours)]]&lt;20,"L1",IF(Table1[[#This Row],[Estimated Effort (Hours)]]&lt;50,"L2",IF(Table1[[#This Row],[Estimated Effort (Hours)]]&lt;150,"L3",IF(Table1[[#This Row],[Estimated Effort (Hours)]]&lt;300,"L4","L5")))))</f>
        <v/>
      </c>
      <c r="S1408" s="184" t="str">
        <f>IF(Table1[[#This Row],[Actual End Date]]="","",TEXT(Table1[[#This Row],[Actual End Date]],"mmm-yy"))</f>
        <v/>
      </c>
      <c r="T14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8" s="185" t="str">
        <f>IFERROR((Table1[[#This Row],[Actual Effort (Hours)]]-Table1[[#This Row],[Estimated Effort (Hours)]])/Table1[[#This Row],[Estimated Effort (Hours)]],"")</f>
        <v/>
      </c>
    </row>
    <row r="1409" spans="2:21">
      <c r="B1409" s="125"/>
      <c r="C1409" s="123"/>
      <c r="D1409" s="143"/>
      <c r="E1409" s="123"/>
      <c r="F1409" s="143"/>
      <c r="G1409" s="129"/>
      <c r="H1409" s="124"/>
      <c r="I1409" s="124"/>
      <c r="J1409" s="129"/>
      <c r="K1409" s="194"/>
      <c r="L1409" s="194"/>
      <c r="M1409" s="129"/>
      <c r="N1409" s="129" t="e">
        <f>Table1[[#This Row],[Estimated Effort (Hours)]]/NETWORKDAYS(Table1[[#This Row],[Planned Start Date]],Table1[[#This Row],[Planned End Date]])</f>
        <v>#DIV/0!</v>
      </c>
      <c r="O1409" s="178">
        <f>NETWORKDAYS(Table1[[#This Row],[Planned Start Date]],Table1[[#This Row],[Planned End Date]])</f>
        <v>0</v>
      </c>
      <c r="P1409" s="178">
        <f>NETWORKDAYS(Table1[[#This Row],[Planned Start Date]],$P$7)</f>
        <v>30643</v>
      </c>
      <c r="Q1409" s="129"/>
      <c r="R1409" s="183" t="str">
        <f>IF(Table1[[#This Row],[Actual Effort (Hours)]]="","",IF(Table1[[#This Row],[Estimated Effort (Hours)]]&lt;20,"L1",IF(Table1[[#This Row],[Estimated Effort (Hours)]]&lt;50,"L2",IF(Table1[[#This Row],[Estimated Effort (Hours)]]&lt;150,"L3",IF(Table1[[#This Row],[Estimated Effort (Hours)]]&lt;300,"L4","L5")))))</f>
        <v/>
      </c>
      <c r="S1409" s="184" t="str">
        <f>IF(Table1[[#This Row],[Actual End Date]]="","",TEXT(Table1[[#This Row],[Actual End Date]],"mmm-yy"))</f>
        <v/>
      </c>
      <c r="T14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09" s="185" t="str">
        <f>IFERROR((Table1[[#This Row],[Actual Effort (Hours)]]-Table1[[#This Row],[Estimated Effort (Hours)]])/Table1[[#This Row],[Estimated Effort (Hours)]],"")</f>
        <v/>
      </c>
    </row>
    <row r="1410" spans="2:21">
      <c r="B1410" s="125"/>
      <c r="C1410" s="123"/>
      <c r="D1410" s="143"/>
      <c r="E1410" s="123"/>
      <c r="F1410" s="143"/>
      <c r="G1410" s="129"/>
      <c r="H1410" s="124"/>
      <c r="I1410" s="124"/>
      <c r="J1410" s="129"/>
      <c r="K1410" s="194"/>
      <c r="L1410" s="194"/>
      <c r="M1410" s="129"/>
      <c r="N1410" s="129" t="e">
        <f>Table1[[#This Row],[Estimated Effort (Hours)]]/NETWORKDAYS(Table1[[#This Row],[Planned Start Date]],Table1[[#This Row],[Planned End Date]])</f>
        <v>#DIV/0!</v>
      </c>
      <c r="O1410" s="178">
        <f>NETWORKDAYS(Table1[[#This Row],[Planned Start Date]],Table1[[#This Row],[Planned End Date]])</f>
        <v>0</v>
      </c>
      <c r="P1410" s="178">
        <f>NETWORKDAYS(Table1[[#This Row],[Planned Start Date]],$P$7)</f>
        <v>30643</v>
      </c>
      <c r="Q1410" s="129"/>
      <c r="R1410" s="183" t="str">
        <f>IF(Table1[[#This Row],[Actual Effort (Hours)]]="","",IF(Table1[[#This Row],[Estimated Effort (Hours)]]&lt;20,"L1",IF(Table1[[#This Row],[Estimated Effort (Hours)]]&lt;50,"L2",IF(Table1[[#This Row],[Estimated Effort (Hours)]]&lt;150,"L3",IF(Table1[[#This Row],[Estimated Effort (Hours)]]&lt;300,"L4","L5")))))</f>
        <v/>
      </c>
      <c r="S1410" s="184" t="str">
        <f>IF(Table1[[#This Row],[Actual End Date]]="","",TEXT(Table1[[#This Row],[Actual End Date]],"mmm-yy"))</f>
        <v/>
      </c>
      <c r="T14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0" s="185" t="str">
        <f>IFERROR((Table1[[#This Row],[Actual Effort (Hours)]]-Table1[[#This Row],[Estimated Effort (Hours)]])/Table1[[#This Row],[Estimated Effort (Hours)]],"")</f>
        <v/>
      </c>
    </row>
    <row r="1411" spans="2:21">
      <c r="B1411" s="125"/>
      <c r="C1411" s="123"/>
      <c r="D1411" s="143"/>
      <c r="E1411" s="123"/>
      <c r="F1411" s="143"/>
      <c r="G1411" s="129"/>
      <c r="H1411" s="124"/>
      <c r="I1411" s="124"/>
      <c r="J1411" s="129"/>
      <c r="K1411" s="194"/>
      <c r="L1411" s="194"/>
      <c r="M1411" s="129"/>
      <c r="N1411" s="129" t="e">
        <f>Table1[[#This Row],[Estimated Effort (Hours)]]/NETWORKDAYS(Table1[[#This Row],[Planned Start Date]],Table1[[#This Row],[Planned End Date]])</f>
        <v>#DIV/0!</v>
      </c>
      <c r="O1411" s="178">
        <f>NETWORKDAYS(Table1[[#This Row],[Planned Start Date]],Table1[[#This Row],[Planned End Date]])</f>
        <v>0</v>
      </c>
      <c r="P1411" s="178">
        <f>NETWORKDAYS(Table1[[#This Row],[Planned Start Date]],$P$7)</f>
        <v>30643</v>
      </c>
      <c r="Q1411" s="129"/>
      <c r="R1411" s="183" t="str">
        <f>IF(Table1[[#This Row],[Actual Effort (Hours)]]="","",IF(Table1[[#This Row],[Estimated Effort (Hours)]]&lt;20,"L1",IF(Table1[[#This Row],[Estimated Effort (Hours)]]&lt;50,"L2",IF(Table1[[#This Row],[Estimated Effort (Hours)]]&lt;150,"L3",IF(Table1[[#This Row],[Estimated Effort (Hours)]]&lt;300,"L4","L5")))))</f>
        <v/>
      </c>
      <c r="S1411" s="184" t="str">
        <f>IF(Table1[[#This Row],[Actual End Date]]="","",TEXT(Table1[[#This Row],[Actual End Date]],"mmm-yy"))</f>
        <v/>
      </c>
      <c r="T14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1" s="185" t="str">
        <f>IFERROR((Table1[[#This Row],[Actual Effort (Hours)]]-Table1[[#This Row],[Estimated Effort (Hours)]])/Table1[[#This Row],[Estimated Effort (Hours)]],"")</f>
        <v/>
      </c>
    </row>
    <row r="1412" spans="2:21">
      <c r="B1412" s="125"/>
      <c r="C1412" s="123"/>
      <c r="D1412" s="143"/>
      <c r="E1412" s="123"/>
      <c r="F1412" s="143"/>
      <c r="G1412" s="129"/>
      <c r="H1412" s="124"/>
      <c r="I1412" s="124"/>
      <c r="J1412" s="129"/>
      <c r="K1412" s="194"/>
      <c r="L1412" s="194"/>
      <c r="M1412" s="129"/>
      <c r="N1412" s="129" t="e">
        <f>Table1[[#This Row],[Estimated Effort (Hours)]]/NETWORKDAYS(Table1[[#This Row],[Planned Start Date]],Table1[[#This Row],[Planned End Date]])</f>
        <v>#DIV/0!</v>
      </c>
      <c r="O1412" s="178">
        <f>NETWORKDAYS(Table1[[#This Row],[Planned Start Date]],Table1[[#This Row],[Planned End Date]])</f>
        <v>0</v>
      </c>
      <c r="P1412" s="178">
        <f>NETWORKDAYS(Table1[[#This Row],[Planned Start Date]],$P$7)</f>
        <v>30643</v>
      </c>
      <c r="Q1412" s="129"/>
      <c r="R1412" s="183" t="str">
        <f>IF(Table1[[#This Row],[Actual Effort (Hours)]]="","",IF(Table1[[#This Row],[Estimated Effort (Hours)]]&lt;20,"L1",IF(Table1[[#This Row],[Estimated Effort (Hours)]]&lt;50,"L2",IF(Table1[[#This Row],[Estimated Effort (Hours)]]&lt;150,"L3",IF(Table1[[#This Row],[Estimated Effort (Hours)]]&lt;300,"L4","L5")))))</f>
        <v/>
      </c>
      <c r="S1412" s="184" t="str">
        <f>IF(Table1[[#This Row],[Actual End Date]]="","",TEXT(Table1[[#This Row],[Actual End Date]],"mmm-yy"))</f>
        <v/>
      </c>
      <c r="T14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2" s="185" t="str">
        <f>IFERROR((Table1[[#This Row],[Actual Effort (Hours)]]-Table1[[#This Row],[Estimated Effort (Hours)]])/Table1[[#This Row],[Estimated Effort (Hours)]],"")</f>
        <v/>
      </c>
    </row>
    <row r="1413" spans="2:21">
      <c r="B1413" s="125"/>
      <c r="C1413" s="123"/>
      <c r="D1413" s="143"/>
      <c r="E1413" s="123"/>
      <c r="F1413" s="143"/>
      <c r="G1413" s="129"/>
      <c r="H1413" s="124"/>
      <c r="I1413" s="124"/>
      <c r="J1413" s="129"/>
      <c r="K1413" s="194"/>
      <c r="L1413" s="194"/>
      <c r="M1413" s="129"/>
      <c r="N1413" s="129" t="e">
        <f>Table1[[#This Row],[Estimated Effort (Hours)]]/NETWORKDAYS(Table1[[#This Row],[Planned Start Date]],Table1[[#This Row],[Planned End Date]])</f>
        <v>#DIV/0!</v>
      </c>
      <c r="O1413" s="178">
        <f>NETWORKDAYS(Table1[[#This Row],[Planned Start Date]],Table1[[#This Row],[Planned End Date]])</f>
        <v>0</v>
      </c>
      <c r="P1413" s="178">
        <f>NETWORKDAYS(Table1[[#This Row],[Planned Start Date]],$P$7)</f>
        <v>30643</v>
      </c>
      <c r="Q1413" s="129"/>
      <c r="R1413" s="183" t="str">
        <f>IF(Table1[[#This Row],[Actual Effort (Hours)]]="","",IF(Table1[[#This Row],[Estimated Effort (Hours)]]&lt;20,"L1",IF(Table1[[#This Row],[Estimated Effort (Hours)]]&lt;50,"L2",IF(Table1[[#This Row],[Estimated Effort (Hours)]]&lt;150,"L3",IF(Table1[[#This Row],[Estimated Effort (Hours)]]&lt;300,"L4","L5")))))</f>
        <v/>
      </c>
      <c r="S1413" s="184" t="str">
        <f>IF(Table1[[#This Row],[Actual End Date]]="","",TEXT(Table1[[#This Row],[Actual End Date]],"mmm-yy"))</f>
        <v/>
      </c>
      <c r="T14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3" s="185" t="str">
        <f>IFERROR((Table1[[#This Row],[Actual Effort (Hours)]]-Table1[[#This Row],[Estimated Effort (Hours)]])/Table1[[#This Row],[Estimated Effort (Hours)]],"")</f>
        <v/>
      </c>
    </row>
    <row r="1414" spans="2:21">
      <c r="B1414" s="125"/>
      <c r="C1414" s="123"/>
      <c r="D1414" s="143"/>
      <c r="E1414" s="123"/>
      <c r="F1414" s="143"/>
      <c r="G1414" s="129"/>
      <c r="H1414" s="124"/>
      <c r="I1414" s="124"/>
      <c r="J1414" s="129"/>
      <c r="K1414" s="194"/>
      <c r="L1414" s="194"/>
      <c r="M1414" s="129"/>
      <c r="N1414" s="129" t="e">
        <f>Table1[[#This Row],[Estimated Effort (Hours)]]/NETWORKDAYS(Table1[[#This Row],[Planned Start Date]],Table1[[#This Row],[Planned End Date]])</f>
        <v>#DIV/0!</v>
      </c>
      <c r="O1414" s="178">
        <f>NETWORKDAYS(Table1[[#This Row],[Planned Start Date]],Table1[[#This Row],[Planned End Date]])</f>
        <v>0</v>
      </c>
      <c r="P1414" s="178">
        <f>NETWORKDAYS(Table1[[#This Row],[Planned Start Date]],$P$7)</f>
        <v>30643</v>
      </c>
      <c r="Q1414" s="129"/>
      <c r="R1414" s="183" t="str">
        <f>IF(Table1[[#This Row],[Actual Effort (Hours)]]="","",IF(Table1[[#This Row],[Estimated Effort (Hours)]]&lt;20,"L1",IF(Table1[[#This Row],[Estimated Effort (Hours)]]&lt;50,"L2",IF(Table1[[#This Row],[Estimated Effort (Hours)]]&lt;150,"L3",IF(Table1[[#This Row],[Estimated Effort (Hours)]]&lt;300,"L4","L5")))))</f>
        <v/>
      </c>
      <c r="S1414" s="184" t="str">
        <f>IF(Table1[[#This Row],[Actual End Date]]="","",TEXT(Table1[[#This Row],[Actual End Date]],"mmm-yy"))</f>
        <v/>
      </c>
      <c r="T14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4" s="185" t="str">
        <f>IFERROR((Table1[[#This Row],[Actual Effort (Hours)]]-Table1[[#This Row],[Estimated Effort (Hours)]])/Table1[[#This Row],[Estimated Effort (Hours)]],"")</f>
        <v/>
      </c>
    </row>
    <row r="1415" spans="2:21">
      <c r="B1415" s="125"/>
      <c r="C1415" s="123"/>
      <c r="D1415" s="143"/>
      <c r="E1415" s="123"/>
      <c r="F1415" s="143"/>
      <c r="G1415" s="129"/>
      <c r="H1415" s="124"/>
      <c r="I1415" s="124"/>
      <c r="J1415" s="129"/>
      <c r="K1415" s="194"/>
      <c r="L1415" s="194"/>
      <c r="M1415" s="129"/>
      <c r="N1415" s="129" t="e">
        <f>Table1[[#This Row],[Estimated Effort (Hours)]]/NETWORKDAYS(Table1[[#This Row],[Planned Start Date]],Table1[[#This Row],[Planned End Date]])</f>
        <v>#DIV/0!</v>
      </c>
      <c r="O1415" s="178">
        <f>NETWORKDAYS(Table1[[#This Row],[Planned Start Date]],Table1[[#This Row],[Planned End Date]])</f>
        <v>0</v>
      </c>
      <c r="P1415" s="178">
        <f>NETWORKDAYS(Table1[[#This Row],[Planned Start Date]],$P$7)</f>
        <v>30643</v>
      </c>
      <c r="Q1415" s="129"/>
      <c r="R1415" s="183" t="str">
        <f>IF(Table1[[#This Row],[Actual Effort (Hours)]]="","",IF(Table1[[#This Row],[Estimated Effort (Hours)]]&lt;20,"L1",IF(Table1[[#This Row],[Estimated Effort (Hours)]]&lt;50,"L2",IF(Table1[[#This Row],[Estimated Effort (Hours)]]&lt;150,"L3",IF(Table1[[#This Row],[Estimated Effort (Hours)]]&lt;300,"L4","L5")))))</f>
        <v/>
      </c>
      <c r="S1415" s="184" t="str">
        <f>IF(Table1[[#This Row],[Actual End Date]]="","",TEXT(Table1[[#This Row],[Actual End Date]],"mmm-yy"))</f>
        <v/>
      </c>
      <c r="T14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5" s="185" t="str">
        <f>IFERROR((Table1[[#This Row],[Actual Effort (Hours)]]-Table1[[#This Row],[Estimated Effort (Hours)]])/Table1[[#This Row],[Estimated Effort (Hours)]],"")</f>
        <v/>
      </c>
    </row>
    <row r="1416" spans="2:21">
      <c r="B1416" s="125"/>
      <c r="C1416" s="123"/>
      <c r="D1416" s="143"/>
      <c r="E1416" s="123"/>
      <c r="F1416" s="143"/>
      <c r="G1416" s="129"/>
      <c r="H1416" s="124"/>
      <c r="I1416" s="124"/>
      <c r="J1416" s="129"/>
      <c r="K1416" s="194"/>
      <c r="L1416" s="194"/>
      <c r="M1416" s="129"/>
      <c r="N1416" s="129" t="e">
        <f>Table1[[#This Row],[Estimated Effort (Hours)]]/NETWORKDAYS(Table1[[#This Row],[Planned Start Date]],Table1[[#This Row],[Planned End Date]])</f>
        <v>#DIV/0!</v>
      </c>
      <c r="O1416" s="178">
        <f>NETWORKDAYS(Table1[[#This Row],[Planned Start Date]],Table1[[#This Row],[Planned End Date]])</f>
        <v>0</v>
      </c>
      <c r="P1416" s="178">
        <f>NETWORKDAYS(Table1[[#This Row],[Planned Start Date]],$P$7)</f>
        <v>30643</v>
      </c>
      <c r="Q1416" s="129"/>
      <c r="R1416" s="183" t="str">
        <f>IF(Table1[[#This Row],[Actual Effort (Hours)]]="","",IF(Table1[[#This Row],[Estimated Effort (Hours)]]&lt;20,"L1",IF(Table1[[#This Row],[Estimated Effort (Hours)]]&lt;50,"L2",IF(Table1[[#This Row],[Estimated Effort (Hours)]]&lt;150,"L3",IF(Table1[[#This Row],[Estimated Effort (Hours)]]&lt;300,"L4","L5")))))</f>
        <v/>
      </c>
      <c r="S1416" s="184" t="str">
        <f>IF(Table1[[#This Row],[Actual End Date]]="","",TEXT(Table1[[#This Row],[Actual End Date]],"mmm-yy"))</f>
        <v/>
      </c>
      <c r="T14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6" s="185" t="str">
        <f>IFERROR((Table1[[#This Row],[Actual Effort (Hours)]]-Table1[[#This Row],[Estimated Effort (Hours)]])/Table1[[#This Row],[Estimated Effort (Hours)]],"")</f>
        <v/>
      </c>
    </row>
    <row r="1417" spans="2:21">
      <c r="B1417" s="125"/>
      <c r="C1417" s="123"/>
      <c r="D1417" s="143"/>
      <c r="E1417" s="123"/>
      <c r="F1417" s="143"/>
      <c r="G1417" s="129"/>
      <c r="H1417" s="124"/>
      <c r="I1417" s="124"/>
      <c r="J1417" s="129"/>
      <c r="K1417" s="194"/>
      <c r="L1417" s="194"/>
      <c r="M1417" s="129"/>
      <c r="N1417" s="129" t="e">
        <f>Table1[[#This Row],[Estimated Effort (Hours)]]/NETWORKDAYS(Table1[[#This Row],[Planned Start Date]],Table1[[#This Row],[Planned End Date]])</f>
        <v>#DIV/0!</v>
      </c>
      <c r="O1417" s="178">
        <f>NETWORKDAYS(Table1[[#This Row],[Planned Start Date]],Table1[[#This Row],[Planned End Date]])</f>
        <v>0</v>
      </c>
      <c r="P1417" s="178">
        <f>NETWORKDAYS(Table1[[#This Row],[Planned Start Date]],$P$7)</f>
        <v>30643</v>
      </c>
      <c r="Q1417" s="129"/>
      <c r="R1417" s="183" t="str">
        <f>IF(Table1[[#This Row],[Actual Effort (Hours)]]="","",IF(Table1[[#This Row],[Estimated Effort (Hours)]]&lt;20,"L1",IF(Table1[[#This Row],[Estimated Effort (Hours)]]&lt;50,"L2",IF(Table1[[#This Row],[Estimated Effort (Hours)]]&lt;150,"L3",IF(Table1[[#This Row],[Estimated Effort (Hours)]]&lt;300,"L4","L5")))))</f>
        <v/>
      </c>
      <c r="S1417" s="184" t="str">
        <f>IF(Table1[[#This Row],[Actual End Date]]="","",TEXT(Table1[[#This Row],[Actual End Date]],"mmm-yy"))</f>
        <v/>
      </c>
      <c r="T14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7" s="185" t="str">
        <f>IFERROR((Table1[[#This Row],[Actual Effort (Hours)]]-Table1[[#This Row],[Estimated Effort (Hours)]])/Table1[[#This Row],[Estimated Effort (Hours)]],"")</f>
        <v/>
      </c>
    </row>
    <row r="1418" spans="2:21">
      <c r="B1418" s="125"/>
      <c r="C1418" s="123"/>
      <c r="D1418" s="143"/>
      <c r="E1418" s="123"/>
      <c r="F1418" s="143"/>
      <c r="G1418" s="129"/>
      <c r="H1418" s="124"/>
      <c r="I1418" s="124"/>
      <c r="J1418" s="129"/>
      <c r="K1418" s="194"/>
      <c r="L1418" s="194"/>
      <c r="M1418" s="129"/>
      <c r="N1418" s="129" t="e">
        <f>Table1[[#This Row],[Estimated Effort (Hours)]]/NETWORKDAYS(Table1[[#This Row],[Planned Start Date]],Table1[[#This Row],[Planned End Date]])</f>
        <v>#DIV/0!</v>
      </c>
      <c r="O1418" s="178">
        <f>NETWORKDAYS(Table1[[#This Row],[Planned Start Date]],Table1[[#This Row],[Planned End Date]])</f>
        <v>0</v>
      </c>
      <c r="P1418" s="178">
        <f>NETWORKDAYS(Table1[[#This Row],[Planned Start Date]],$P$7)</f>
        <v>30643</v>
      </c>
      <c r="Q1418" s="129"/>
      <c r="R1418" s="183" t="str">
        <f>IF(Table1[[#This Row],[Actual Effort (Hours)]]="","",IF(Table1[[#This Row],[Estimated Effort (Hours)]]&lt;20,"L1",IF(Table1[[#This Row],[Estimated Effort (Hours)]]&lt;50,"L2",IF(Table1[[#This Row],[Estimated Effort (Hours)]]&lt;150,"L3",IF(Table1[[#This Row],[Estimated Effort (Hours)]]&lt;300,"L4","L5")))))</f>
        <v/>
      </c>
      <c r="S1418" s="184" t="str">
        <f>IF(Table1[[#This Row],[Actual End Date]]="","",TEXT(Table1[[#This Row],[Actual End Date]],"mmm-yy"))</f>
        <v/>
      </c>
      <c r="T14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8" s="185" t="str">
        <f>IFERROR((Table1[[#This Row],[Actual Effort (Hours)]]-Table1[[#This Row],[Estimated Effort (Hours)]])/Table1[[#This Row],[Estimated Effort (Hours)]],"")</f>
        <v/>
      </c>
    </row>
    <row r="1419" spans="2:21">
      <c r="B1419" s="125"/>
      <c r="C1419" s="123"/>
      <c r="D1419" s="143"/>
      <c r="E1419" s="123"/>
      <c r="F1419" s="143"/>
      <c r="G1419" s="129"/>
      <c r="H1419" s="124"/>
      <c r="I1419" s="124"/>
      <c r="J1419" s="129"/>
      <c r="K1419" s="194"/>
      <c r="L1419" s="194"/>
      <c r="M1419" s="129"/>
      <c r="N1419" s="129" t="e">
        <f>Table1[[#This Row],[Estimated Effort (Hours)]]/NETWORKDAYS(Table1[[#This Row],[Planned Start Date]],Table1[[#This Row],[Planned End Date]])</f>
        <v>#DIV/0!</v>
      </c>
      <c r="O1419" s="178">
        <f>NETWORKDAYS(Table1[[#This Row],[Planned Start Date]],Table1[[#This Row],[Planned End Date]])</f>
        <v>0</v>
      </c>
      <c r="P1419" s="178">
        <f>NETWORKDAYS(Table1[[#This Row],[Planned Start Date]],$P$7)</f>
        <v>30643</v>
      </c>
      <c r="Q1419" s="129"/>
      <c r="R1419" s="183" t="str">
        <f>IF(Table1[[#This Row],[Actual Effort (Hours)]]="","",IF(Table1[[#This Row],[Estimated Effort (Hours)]]&lt;20,"L1",IF(Table1[[#This Row],[Estimated Effort (Hours)]]&lt;50,"L2",IF(Table1[[#This Row],[Estimated Effort (Hours)]]&lt;150,"L3",IF(Table1[[#This Row],[Estimated Effort (Hours)]]&lt;300,"L4","L5")))))</f>
        <v/>
      </c>
      <c r="S1419" s="184" t="str">
        <f>IF(Table1[[#This Row],[Actual End Date]]="","",TEXT(Table1[[#This Row],[Actual End Date]],"mmm-yy"))</f>
        <v/>
      </c>
      <c r="T14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19" s="185" t="str">
        <f>IFERROR((Table1[[#This Row],[Actual Effort (Hours)]]-Table1[[#This Row],[Estimated Effort (Hours)]])/Table1[[#This Row],[Estimated Effort (Hours)]],"")</f>
        <v/>
      </c>
    </row>
    <row r="1420" spans="2:21">
      <c r="B1420" s="125"/>
      <c r="C1420" s="123"/>
      <c r="D1420" s="143"/>
      <c r="E1420" s="123"/>
      <c r="F1420" s="143"/>
      <c r="G1420" s="129"/>
      <c r="H1420" s="124"/>
      <c r="I1420" s="124"/>
      <c r="J1420" s="129"/>
      <c r="K1420" s="194"/>
      <c r="L1420" s="194"/>
      <c r="M1420" s="129"/>
      <c r="N1420" s="129" t="e">
        <f>Table1[[#This Row],[Estimated Effort (Hours)]]/NETWORKDAYS(Table1[[#This Row],[Planned Start Date]],Table1[[#This Row],[Planned End Date]])</f>
        <v>#DIV/0!</v>
      </c>
      <c r="O1420" s="178">
        <f>NETWORKDAYS(Table1[[#This Row],[Planned Start Date]],Table1[[#This Row],[Planned End Date]])</f>
        <v>0</v>
      </c>
      <c r="P1420" s="178">
        <f>NETWORKDAYS(Table1[[#This Row],[Planned Start Date]],$P$7)</f>
        <v>30643</v>
      </c>
      <c r="Q1420" s="129"/>
      <c r="R1420" s="183" t="str">
        <f>IF(Table1[[#This Row],[Actual Effort (Hours)]]="","",IF(Table1[[#This Row],[Estimated Effort (Hours)]]&lt;20,"L1",IF(Table1[[#This Row],[Estimated Effort (Hours)]]&lt;50,"L2",IF(Table1[[#This Row],[Estimated Effort (Hours)]]&lt;150,"L3",IF(Table1[[#This Row],[Estimated Effort (Hours)]]&lt;300,"L4","L5")))))</f>
        <v/>
      </c>
      <c r="S1420" s="184" t="str">
        <f>IF(Table1[[#This Row],[Actual End Date]]="","",TEXT(Table1[[#This Row],[Actual End Date]],"mmm-yy"))</f>
        <v/>
      </c>
      <c r="T14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0" s="185" t="str">
        <f>IFERROR((Table1[[#This Row],[Actual Effort (Hours)]]-Table1[[#This Row],[Estimated Effort (Hours)]])/Table1[[#This Row],[Estimated Effort (Hours)]],"")</f>
        <v/>
      </c>
    </row>
    <row r="1421" spans="2:21">
      <c r="B1421" s="125"/>
      <c r="C1421" s="123"/>
      <c r="D1421" s="143"/>
      <c r="E1421" s="123"/>
      <c r="F1421" s="143"/>
      <c r="G1421" s="129"/>
      <c r="H1421" s="124"/>
      <c r="I1421" s="124"/>
      <c r="J1421" s="129"/>
      <c r="K1421" s="194"/>
      <c r="L1421" s="194"/>
      <c r="M1421" s="129"/>
      <c r="N1421" s="129" t="e">
        <f>Table1[[#This Row],[Estimated Effort (Hours)]]/NETWORKDAYS(Table1[[#This Row],[Planned Start Date]],Table1[[#This Row],[Planned End Date]])</f>
        <v>#DIV/0!</v>
      </c>
      <c r="O1421" s="178">
        <f>NETWORKDAYS(Table1[[#This Row],[Planned Start Date]],Table1[[#This Row],[Planned End Date]])</f>
        <v>0</v>
      </c>
      <c r="P1421" s="178">
        <f>NETWORKDAYS(Table1[[#This Row],[Planned Start Date]],$P$7)</f>
        <v>30643</v>
      </c>
      <c r="Q1421" s="129"/>
      <c r="R1421" s="183" t="str">
        <f>IF(Table1[[#This Row],[Actual Effort (Hours)]]="","",IF(Table1[[#This Row],[Estimated Effort (Hours)]]&lt;20,"L1",IF(Table1[[#This Row],[Estimated Effort (Hours)]]&lt;50,"L2",IF(Table1[[#This Row],[Estimated Effort (Hours)]]&lt;150,"L3",IF(Table1[[#This Row],[Estimated Effort (Hours)]]&lt;300,"L4","L5")))))</f>
        <v/>
      </c>
      <c r="S1421" s="184" t="str">
        <f>IF(Table1[[#This Row],[Actual End Date]]="","",TEXT(Table1[[#This Row],[Actual End Date]],"mmm-yy"))</f>
        <v/>
      </c>
      <c r="T14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1" s="185" t="str">
        <f>IFERROR((Table1[[#This Row],[Actual Effort (Hours)]]-Table1[[#This Row],[Estimated Effort (Hours)]])/Table1[[#This Row],[Estimated Effort (Hours)]],"")</f>
        <v/>
      </c>
    </row>
    <row r="1422" spans="2:21">
      <c r="B1422" s="125"/>
      <c r="C1422" s="123"/>
      <c r="D1422" s="143"/>
      <c r="E1422" s="123"/>
      <c r="F1422" s="143"/>
      <c r="G1422" s="129"/>
      <c r="H1422" s="124"/>
      <c r="I1422" s="124"/>
      <c r="J1422" s="129"/>
      <c r="K1422" s="194"/>
      <c r="L1422" s="194"/>
      <c r="M1422" s="129"/>
      <c r="N1422" s="129" t="e">
        <f>Table1[[#This Row],[Estimated Effort (Hours)]]/NETWORKDAYS(Table1[[#This Row],[Planned Start Date]],Table1[[#This Row],[Planned End Date]])</f>
        <v>#DIV/0!</v>
      </c>
      <c r="O1422" s="178">
        <f>NETWORKDAYS(Table1[[#This Row],[Planned Start Date]],Table1[[#This Row],[Planned End Date]])</f>
        <v>0</v>
      </c>
      <c r="P1422" s="178">
        <f>NETWORKDAYS(Table1[[#This Row],[Planned Start Date]],$P$7)</f>
        <v>30643</v>
      </c>
      <c r="Q1422" s="129"/>
      <c r="R1422" s="183" t="str">
        <f>IF(Table1[[#This Row],[Actual Effort (Hours)]]="","",IF(Table1[[#This Row],[Estimated Effort (Hours)]]&lt;20,"L1",IF(Table1[[#This Row],[Estimated Effort (Hours)]]&lt;50,"L2",IF(Table1[[#This Row],[Estimated Effort (Hours)]]&lt;150,"L3",IF(Table1[[#This Row],[Estimated Effort (Hours)]]&lt;300,"L4","L5")))))</f>
        <v/>
      </c>
      <c r="S1422" s="184" t="str">
        <f>IF(Table1[[#This Row],[Actual End Date]]="","",TEXT(Table1[[#This Row],[Actual End Date]],"mmm-yy"))</f>
        <v/>
      </c>
      <c r="T14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2" s="185" t="str">
        <f>IFERROR((Table1[[#This Row],[Actual Effort (Hours)]]-Table1[[#This Row],[Estimated Effort (Hours)]])/Table1[[#This Row],[Estimated Effort (Hours)]],"")</f>
        <v/>
      </c>
    </row>
    <row r="1423" spans="2:21">
      <c r="B1423" s="125"/>
      <c r="C1423" s="123"/>
      <c r="D1423" s="143"/>
      <c r="E1423" s="123"/>
      <c r="F1423" s="143"/>
      <c r="G1423" s="129"/>
      <c r="H1423" s="124"/>
      <c r="I1423" s="124"/>
      <c r="J1423" s="129"/>
      <c r="K1423" s="194"/>
      <c r="L1423" s="194"/>
      <c r="M1423" s="129"/>
      <c r="N1423" s="129" t="e">
        <f>Table1[[#This Row],[Estimated Effort (Hours)]]/NETWORKDAYS(Table1[[#This Row],[Planned Start Date]],Table1[[#This Row],[Planned End Date]])</f>
        <v>#DIV/0!</v>
      </c>
      <c r="O1423" s="178">
        <f>NETWORKDAYS(Table1[[#This Row],[Planned Start Date]],Table1[[#This Row],[Planned End Date]])</f>
        <v>0</v>
      </c>
      <c r="P1423" s="178">
        <f>NETWORKDAYS(Table1[[#This Row],[Planned Start Date]],$P$7)</f>
        <v>30643</v>
      </c>
      <c r="Q1423" s="129"/>
      <c r="R1423" s="183" t="str">
        <f>IF(Table1[[#This Row],[Actual Effort (Hours)]]="","",IF(Table1[[#This Row],[Estimated Effort (Hours)]]&lt;20,"L1",IF(Table1[[#This Row],[Estimated Effort (Hours)]]&lt;50,"L2",IF(Table1[[#This Row],[Estimated Effort (Hours)]]&lt;150,"L3",IF(Table1[[#This Row],[Estimated Effort (Hours)]]&lt;300,"L4","L5")))))</f>
        <v/>
      </c>
      <c r="S1423" s="184" t="str">
        <f>IF(Table1[[#This Row],[Actual End Date]]="","",TEXT(Table1[[#This Row],[Actual End Date]],"mmm-yy"))</f>
        <v/>
      </c>
      <c r="T14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3" s="185" t="str">
        <f>IFERROR((Table1[[#This Row],[Actual Effort (Hours)]]-Table1[[#This Row],[Estimated Effort (Hours)]])/Table1[[#This Row],[Estimated Effort (Hours)]],"")</f>
        <v/>
      </c>
    </row>
    <row r="1424" spans="2:21">
      <c r="B1424" s="125"/>
      <c r="C1424" s="123"/>
      <c r="D1424" s="143"/>
      <c r="E1424" s="123"/>
      <c r="F1424" s="143"/>
      <c r="G1424" s="129"/>
      <c r="H1424" s="124"/>
      <c r="I1424" s="124"/>
      <c r="J1424" s="129"/>
      <c r="K1424" s="194"/>
      <c r="L1424" s="194"/>
      <c r="M1424" s="129"/>
      <c r="N1424" s="129" t="e">
        <f>Table1[[#This Row],[Estimated Effort (Hours)]]/NETWORKDAYS(Table1[[#This Row],[Planned Start Date]],Table1[[#This Row],[Planned End Date]])</f>
        <v>#DIV/0!</v>
      </c>
      <c r="O1424" s="178">
        <f>NETWORKDAYS(Table1[[#This Row],[Planned Start Date]],Table1[[#This Row],[Planned End Date]])</f>
        <v>0</v>
      </c>
      <c r="P1424" s="178">
        <f>NETWORKDAYS(Table1[[#This Row],[Planned Start Date]],$P$7)</f>
        <v>30643</v>
      </c>
      <c r="Q1424" s="129"/>
      <c r="R1424" s="183" t="str">
        <f>IF(Table1[[#This Row],[Actual Effort (Hours)]]="","",IF(Table1[[#This Row],[Estimated Effort (Hours)]]&lt;20,"L1",IF(Table1[[#This Row],[Estimated Effort (Hours)]]&lt;50,"L2",IF(Table1[[#This Row],[Estimated Effort (Hours)]]&lt;150,"L3",IF(Table1[[#This Row],[Estimated Effort (Hours)]]&lt;300,"L4","L5")))))</f>
        <v/>
      </c>
      <c r="S1424" s="184" t="str">
        <f>IF(Table1[[#This Row],[Actual End Date]]="","",TEXT(Table1[[#This Row],[Actual End Date]],"mmm-yy"))</f>
        <v/>
      </c>
      <c r="T14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4" s="185" t="str">
        <f>IFERROR((Table1[[#This Row],[Actual Effort (Hours)]]-Table1[[#This Row],[Estimated Effort (Hours)]])/Table1[[#This Row],[Estimated Effort (Hours)]],"")</f>
        <v/>
      </c>
    </row>
    <row r="1425" spans="2:21">
      <c r="B1425" s="125"/>
      <c r="C1425" s="123"/>
      <c r="D1425" s="143"/>
      <c r="E1425" s="123"/>
      <c r="F1425" s="143"/>
      <c r="G1425" s="129"/>
      <c r="H1425" s="124"/>
      <c r="I1425" s="124"/>
      <c r="J1425" s="129"/>
      <c r="K1425" s="194"/>
      <c r="L1425" s="194"/>
      <c r="M1425" s="129"/>
      <c r="N1425" s="129" t="e">
        <f>Table1[[#This Row],[Estimated Effort (Hours)]]/NETWORKDAYS(Table1[[#This Row],[Planned Start Date]],Table1[[#This Row],[Planned End Date]])</f>
        <v>#DIV/0!</v>
      </c>
      <c r="O1425" s="178">
        <f>NETWORKDAYS(Table1[[#This Row],[Planned Start Date]],Table1[[#This Row],[Planned End Date]])</f>
        <v>0</v>
      </c>
      <c r="P1425" s="178">
        <f>NETWORKDAYS(Table1[[#This Row],[Planned Start Date]],$P$7)</f>
        <v>30643</v>
      </c>
      <c r="Q1425" s="129"/>
      <c r="R1425" s="183" t="str">
        <f>IF(Table1[[#This Row],[Actual Effort (Hours)]]="","",IF(Table1[[#This Row],[Estimated Effort (Hours)]]&lt;20,"L1",IF(Table1[[#This Row],[Estimated Effort (Hours)]]&lt;50,"L2",IF(Table1[[#This Row],[Estimated Effort (Hours)]]&lt;150,"L3",IF(Table1[[#This Row],[Estimated Effort (Hours)]]&lt;300,"L4","L5")))))</f>
        <v/>
      </c>
      <c r="S1425" s="184" t="str">
        <f>IF(Table1[[#This Row],[Actual End Date]]="","",TEXT(Table1[[#This Row],[Actual End Date]],"mmm-yy"))</f>
        <v/>
      </c>
      <c r="T14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5" s="185" t="str">
        <f>IFERROR((Table1[[#This Row],[Actual Effort (Hours)]]-Table1[[#This Row],[Estimated Effort (Hours)]])/Table1[[#This Row],[Estimated Effort (Hours)]],"")</f>
        <v/>
      </c>
    </row>
    <row r="1426" spans="2:21">
      <c r="B1426" s="125"/>
      <c r="C1426" s="123"/>
      <c r="D1426" s="143"/>
      <c r="E1426" s="123"/>
      <c r="F1426" s="143"/>
      <c r="G1426" s="129"/>
      <c r="H1426" s="124"/>
      <c r="I1426" s="124"/>
      <c r="J1426" s="129"/>
      <c r="K1426" s="194"/>
      <c r="L1426" s="194"/>
      <c r="M1426" s="129"/>
      <c r="N1426" s="129" t="e">
        <f>Table1[[#This Row],[Estimated Effort (Hours)]]/NETWORKDAYS(Table1[[#This Row],[Planned Start Date]],Table1[[#This Row],[Planned End Date]])</f>
        <v>#DIV/0!</v>
      </c>
      <c r="O1426" s="178">
        <f>NETWORKDAYS(Table1[[#This Row],[Planned Start Date]],Table1[[#This Row],[Planned End Date]])</f>
        <v>0</v>
      </c>
      <c r="P1426" s="178">
        <f>NETWORKDAYS(Table1[[#This Row],[Planned Start Date]],$P$7)</f>
        <v>30643</v>
      </c>
      <c r="Q1426" s="129"/>
      <c r="R1426" s="183" t="str">
        <f>IF(Table1[[#This Row],[Actual Effort (Hours)]]="","",IF(Table1[[#This Row],[Estimated Effort (Hours)]]&lt;20,"L1",IF(Table1[[#This Row],[Estimated Effort (Hours)]]&lt;50,"L2",IF(Table1[[#This Row],[Estimated Effort (Hours)]]&lt;150,"L3",IF(Table1[[#This Row],[Estimated Effort (Hours)]]&lt;300,"L4","L5")))))</f>
        <v/>
      </c>
      <c r="S1426" s="184" t="str">
        <f>IF(Table1[[#This Row],[Actual End Date]]="","",TEXT(Table1[[#This Row],[Actual End Date]],"mmm-yy"))</f>
        <v/>
      </c>
      <c r="T14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6" s="185" t="str">
        <f>IFERROR((Table1[[#This Row],[Actual Effort (Hours)]]-Table1[[#This Row],[Estimated Effort (Hours)]])/Table1[[#This Row],[Estimated Effort (Hours)]],"")</f>
        <v/>
      </c>
    </row>
    <row r="1427" spans="2:21">
      <c r="B1427" s="125"/>
      <c r="C1427" s="123"/>
      <c r="D1427" s="143"/>
      <c r="E1427" s="123"/>
      <c r="F1427" s="143"/>
      <c r="G1427" s="129"/>
      <c r="H1427" s="124"/>
      <c r="I1427" s="124"/>
      <c r="J1427" s="129"/>
      <c r="K1427" s="194"/>
      <c r="L1427" s="194"/>
      <c r="M1427" s="129"/>
      <c r="N1427" s="129" t="e">
        <f>Table1[[#This Row],[Estimated Effort (Hours)]]/NETWORKDAYS(Table1[[#This Row],[Planned Start Date]],Table1[[#This Row],[Planned End Date]])</f>
        <v>#DIV/0!</v>
      </c>
      <c r="O1427" s="178">
        <f>NETWORKDAYS(Table1[[#This Row],[Planned Start Date]],Table1[[#This Row],[Planned End Date]])</f>
        <v>0</v>
      </c>
      <c r="P1427" s="178">
        <f>NETWORKDAYS(Table1[[#This Row],[Planned Start Date]],$P$7)</f>
        <v>30643</v>
      </c>
      <c r="Q1427" s="129"/>
      <c r="R1427" s="183" t="str">
        <f>IF(Table1[[#This Row],[Actual Effort (Hours)]]="","",IF(Table1[[#This Row],[Estimated Effort (Hours)]]&lt;20,"L1",IF(Table1[[#This Row],[Estimated Effort (Hours)]]&lt;50,"L2",IF(Table1[[#This Row],[Estimated Effort (Hours)]]&lt;150,"L3",IF(Table1[[#This Row],[Estimated Effort (Hours)]]&lt;300,"L4","L5")))))</f>
        <v/>
      </c>
      <c r="S1427" s="184" t="str">
        <f>IF(Table1[[#This Row],[Actual End Date]]="","",TEXT(Table1[[#This Row],[Actual End Date]],"mmm-yy"))</f>
        <v/>
      </c>
      <c r="T14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7" s="185" t="str">
        <f>IFERROR((Table1[[#This Row],[Actual Effort (Hours)]]-Table1[[#This Row],[Estimated Effort (Hours)]])/Table1[[#This Row],[Estimated Effort (Hours)]],"")</f>
        <v/>
      </c>
    </row>
    <row r="1428" spans="2:21">
      <c r="B1428" s="125"/>
      <c r="C1428" s="123"/>
      <c r="D1428" s="143"/>
      <c r="E1428" s="123"/>
      <c r="F1428" s="143"/>
      <c r="G1428" s="129"/>
      <c r="H1428" s="124"/>
      <c r="I1428" s="124"/>
      <c r="J1428" s="129"/>
      <c r="K1428" s="194"/>
      <c r="L1428" s="194"/>
      <c r="M1428" s="129"/>
      <c r="N1428" s="129" t="e">
        <f>Table1[[#This Row],[Estimated Effort (Hours)]]/NETWORKDAYS(Table1[[#This Row],[Planned Start Date]],Table1[[#This Row],[Planned End Date]])</f>
        <v>#DIV/0!</v>
      </c>
      <c r="O1428" s="178">
        <f>NETWORKDAYS(Table1[[#This Row],[Planned Start Date]],Table1[[#This Row],[Planned End Date]])</f>
        <v>0</v>
      </c>
      <c r="P1428" s="178">
        <f>NETWORKDAYS(Table1[[#This Row],[Planned Start Date]],$P$7)</f>
        <v>30643</v>
      </c>
      <c r="Q1428" s="129"/>
      <c r="R1428" s="183" t="str">
        <f>IF(Table1[[#This Row],[Actual Effort (Hours)]]="","",IF(Table1[[#This Row],[Estimated Effort (Hours)]]&lt;20,"L1",IF(Table1[[#This Row],[Estimated Effort (Hours)]]&lt;50,"L2",IF(Table1[[#This Row],[Estimated Effort (Hours)]]&lt;150,"L3",IF(Table1[[#This Row],[Estimated Effort (Hours)]]&lt;300,"L4","L5")))))</f>
        <v/>
      </c>
      <c r="S1428" s="184" t="str">
        <f>IF(Table1[[#This Row],[Actual End Date]]="","",TEXT(Table1[[#This Row],[Actual End Date]],"mmm-yy"))</f>
        <v/>
      </c>
      <c r="T14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8" s="185" t="str">
        <f>IFERROR((Table1[[#This Row],[Actual Effort (Hours)]]-Table1[[#This Row],[Estimated Effort (Hours)]])/Table1[[#This Row],[Estimated Effort (Hours)]],"")</f>
        <v/>
      </c>
    </row>
    <row r="1429" spans="2:21">
      <c r="B1429" s="125"/>
      <c r="C1429" s="123"/>
      <c r="D1429" s="143"/>
      <c r="E1429" s="123"/>
      <c r="F1429" s="143"/>
      <c r="G1429" s="129"/>
      <c r="H1429" s="124"/>
      <c r="I1429" s="124"/>
      <c r="J1429" s="129"/>
      <c r="K1429" s="194"/>
      <c r="L1429" s="194"/>
      <c r="M1429" s="129"/>
      <c r="N1429" s="129" t="e">
        <f>Table1[[#This Row],[Estimated Effort (Hours)]]/NETWORKDAYS(Table1[[#This Row],[Planned Start Date]],Table1[[#This Row],[Planned End Date]])</f>
        <v>#DIV/0!</v>
      </c>
      <c r="O1429" s="178">
        <f>NETWORKDAYS(Table1[[#This Row],[Planned Start Date]],Table1[[#This Row],[Planned End Date]])</f>
        <v>0</v>
      </c>
      <c r="P1429" s="178">
        <f>NETWORKDAYS(Table1[[#This Row],[Planned Start Date]],$P$7)</f>
        <v>30643</v>
      </c>
      <c r="Q1429" s="129"/>
      <c r="R1429" s="183" t="str">
        <f>IF(Table1[[#This Row],[Actual Effort (Hours)]]="","",IF(Table1[[#This Row],[Estimated Effort (Hours)]]&lt;20,"L1",IF(Table1[[#This Row],[Estimated Effort (Hours)]]&lt;50,"L2",IF(Table1[[#This Row],[Estimated Effort (Hours)]]&lt;150,"L3",IF(Table1[[#This Row],[Estimated Effort (Hours)]]&lt;300,"L4","L5")))))</f>
        <v/>
      </c>
      <c r="S1429" s="184" t="str">
        <f>IF(Table1[[#This Row],[Actual End Date]]="","",TEXT(Table1[[#This Row],[Actual End Date]],"mmm-yy"))</f>
        <v/>
      </c>
      <c r="T14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29" s="185" t="str">
        <f>IFERROR((Table1[[#This Row],[Actual Effort (Hours)]]-Table1[[#This Row],[Estimated Effort (Hours)]])/Table1[[#This Row],[Estimated Effort (Hours)]],"")</f>
        <v/>
      </c>
    </row>
    <row r="1430" spans="2:21">
      <c r="B1430" s="125"/>
      <c r="C1430" s="123"/>
      <c r="D1430" s="143"/>
      <c r="E1430" s="123"/>
      <c r="F1430" s="143"/>
      <c r="G1430" s="129"/>
      <c r="H1430" s="124"/>
      <c r="I1430" s="124"/>
      <c r="J1430" s="129"/>
      <c r="K1430" s="194"/>
      <c r="L1430" s="194"/>
      <c r="M1430" s="129"/>
      <c r="N1430" s="129" t="e">
        <f>Table1[[#This Row],[Estimated Effort (Hours)]]/NETWORKDAYS(Table1[[#This Row],[Planned Start Date]],Table1[[#This Row],[Planned End Date]])</f>
        <v>#DIV/0!</v>
      </c>
      <c r="O1430" s="178">
        <f>NETWORKDAYS(Table1[[#This Row],[Planned Start Date]],Table1[[#This Row],[Planned End Date]])</f>
        <v>0</v>
      </c>
      <c r="P1430" s="178">
        <f>NETWORKDAYS(Table1[[#This Row],[Planned Start Date]],$P$7)</f>
        <v>30643</v>
      </c>
      <c r="Q1430" s="129"/>
      <c r="R1430" s="183" t="str">
        <f>IF(Table1[[#This Row],[Actual Effort (Hours)]]="","",IF(Table1[[#This Row],[Estimated Effort (Hours)]]&lt;20,"L1",IF(Table1[[#This Row],[Estimated Effort (Hours)]]&lt;50,"L2",IF(Table1[[#This Row],[Estimated Effort (Hours)]]&lt;150,"L3",IF(Table1[[#This Row],[Estimated Effort (Hours)]]&lt;300,"L4","L5")))))</f>
        <v/>
      </c>
      <c r="S1430" s="184" t="str">
        <f>IF(Table1[[#This Row],[Actual End Date]]="","",TEXT(Table1[[#This Row],[Actual End Date]],"mmm-yy"))</f>
        <v/>
      </c>
      <c r="T14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0" s="185" t="str">
        <f>IFERROR((Table1[[#This Row],[Actual Effort (Hours)]]-Table1[[#This Row],[Estimated Effort (Hours)]])/Table1[[#This Row],[Estimated Effort (Hours)]],"")</f>
        <v/>
      </c>
    </row>
    <row r="1431" spans="2:21">
      <c r="B1431" s="125"/>
      <c r="C1431" s="123"/>
      <c r="D1431" s="143"/>
      <c r="E1431" s="123"/>
      <c r="F1431" s="143"/>
      <c r="G1431" s="129"/>
      <c r="H1431" s="124"/>
      <c r="I1431" s="124"/>
      <c r="J1431" s="129"/>
      <c r="K1431" s="194"/>
      <c r="L1431" s="194"/>
      <c r="M1431" s="129"/>
      <c r="N1431" s="129" t="e">
        <f>Table1[[#This Row],[Estimated Effort (Hours)]]/NETWORKDAYS(Table1[[#This Row],[Planned Start Date]],Table1[[#This Row],[Planned End Date]])</f>
        <v>#DIV/0!</v>
      </c>
      <c r="O1431" s="178">
        <f>NETWORKDAYS(Table1[[#This Row],[Planned Start Date]],Table1[[#This Row],[Planned End Date]])</f>
        <v>0</v>
      </c>
      <c r="P1431" s="178">
        <f>NETWORKDAYS(Table1[[#This Row],[Planned Start Date]],$P$7)</f>
        <v>30643</v>
      </c>
      <c r="Q1431" s="129"/>
      <c r="R1431" s="183" t="str">
        <f>IF(Table1[[#This Row],[Actual Effort (Hours)]]="","",IF(Table1[[#This Row],[Estimated Effort (Hours)]]&lt;20,"L1",IF(Table1[[#This Row],[Estimated Effort (Hours)]]&lt;50,"L2",IF(Table1[[#This Row],[Estimated Effort (Hours)]]&lt;150,"L3",IF(Table1[[#This Row],[Estimated Effort (Hours)]]&lt;300,"L4","L5")))))</f>
        <v/>
      </c>
      <c r="S1431" s="184" t="str">
        <f>IF(Table1[[#This Row],[Actual End Date]]="","",TEXT(Table1[[#This Row],[Actual End Date]],"mmm-yy"))</f>
        <v/>
      </c>
      <c r="T14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1" s="185" t="str">
        <f>IFERROR((Table1[[#This Row],[Actual Effort (Hours)]]-Table1[[#This Row],[Estimated Effort (Hours)]])/Table1[[#This Row],[Estimated Effort (Hours)]],"")</f>
        <v/>
      </c>
    </row>
    <row r="1432" spans="2:21">
      <c r="B1432" s="125"/>
      <c r="C1432" s="123"/>
      <c r="D1432" s="143"/>
      <c r="E1432" s="123"/>
      <c r="F1432" s="143"/>
      <c r="G1432" s="129"/>
      <c r="H1432" s="124"/>
      <c r="I1432" s="124"/>
      <c r="J1432" s="129"/>
      <c r="K1432" s="194"/>
      <c r="L1432" s="194"/>
      <c r="M1432" s="129"/>
      <c r="N1432" s="129" t="e">
        <f>Table1[[#This Row],[Estimated Effort (Hours)]]/NETWORKDAYS(Table1[[#This Row],[Planned Start Date]],Table1[[#This Row],[Planned End Date]])</f>
        <v>#DIV/0!</v>
      </c>
      <c r="O1432" s="178">
        <f>NETWORKDAYS(Table1[[#This Row],[Planned Start Date]],Table1[[#This Row],[Planned End Date]])</f>
        <v>0</v>
      </c>
      <c r="P1432" s="178">
        <f>NETWORKDAYS(Table1[[#This Row],[Planned Start Date]],$P$7)</f>
        <v>30643</v>
      </c>
      <c r="Q1432" s="129"/>
      <c r="R1432" s="183" t="str">
        <f>IF(Table1[[#This Row],[Actual Effort (Hours)]]="","",IF(Table1[[#This Row],[Estimated Effort (Hours)]]&lt;20,"L1",IF(Table1[[#This Row],[Estimated Effort (Hours)]]&lt;50,"L2",IF(Table1[[#This Row],[Estimated Effort (Hours)]]&lt;150,"L3",IF(Table1[[#This Row],[Estimated Effort (Hours)]]&lt;300,"L4","L5")))))</f>
        <v/>
      </c>
      <c r="S1432" s="184" t="str">
        <f>IF(Table1[[#This Row],[Actual End Date]]="","",TEXT(Table1[[#This Row],[Actual End Date]],"mmm-yy"))</f>
        <v/>
      </c>
      <c r="T14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2" s="185" t="str">
        <f>IFERROR((Table1[[#This Row],[Actual Effort (Hours)]]-Table1[[#This Row],[Estimated Effort (Hours)]])/Table1[[#This Row],[Estimated Effort (Hours)]],"")</f>
        <v/>
      </c>
    </row>
    <row r="1433" spans="2:21">
      <c r="B1433" s="125"/>
      <c r="C1433" s="123"/>
      <c r="D1433" s="143"/>
      <c r="E1433" s="123"/>
      <c r="F1433" s="143"/>
      <c r="G1433" s="129"/>
      <c r="H1433" s="124"/>
      <c r="I1433" s="124"/>
      <c r="J1433" s="129"/>
      <c r="K1433" s="194"/>
      <c r="L1433" s="194"/>
      <c r="M1433" s="129"/>
      <c r="N1433" s="129" t="e">
        <f>Table1[[#This Row],[Estimated Effort (Hours)]]/NETWORKDAYS(Table1[[#This Row],[Planned Start Date]],Table1[[#This Row],[Planned End Date]])</f>
        <v>#DIV/0!</v>
      </c>
      <c r="O1433" s="178">
        <f>NETWORKDAYS(Table1[[#This Row],[Planned Start Date]],Table1[[#This Row],[Planned End Date]])</f>
        <v>0</v>
      </c>
      <c r="P1433" s="178">
        <f>NETWORKDAYS(Table1[[#This Row],[Planned Start Date]],$P$7)</f>
        <v>30643</v>
      </c>
      <c r="Q1433" s="129"/>
      <c r="R1433" s="183" t="str">
        <f>IF(Table1[[#This Row],[Actual Effort (Hours)]]="","",IF(Table1[[#This Row],[Estimated Effort (Hours)]]&lt;20,"L1",IF(Table1[[#This Row],[Estimated Effort (Hours)]]&lt;50,"L2",IF(Table1[[#This Row],[Estimated Effort (Hours)]]&lt;150,"L3",IF(Table1[[#This Row],[Estimated Effort (Hours)]]&lt;300,"L4","L5")))))</f>
        <v/>
      </c>
      <c r="S1433" s="184" t="str">
        <f>IF(Table1[[#This Row],[Actual End Date]]="","",TEXT(Table1[[#This Row],[Actual End Date]],"mmm-yy"))</f>
        <v/>
      </c>
      <c r="T14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3" s="185" t="str">
        <f>IFERROR((Table1[[#This Row],[Actual Effort (Hours)]]-Table1[[#This Row],[Estimated Effort (Hours)]])/Table1[[#This Row],[Estimated Effort (Hours)]],"")</f>
        <v/>
      </c>
    </row>
    <row r="1434" spans="2:21">
      <c r="B1434" s="125"/>
      <c r="C1434" s="123"/>
      <c r="D1434" s="143"/>
      <c r="E1434" s="123"/>
      <c r="F1434" s="143"/>
      <c r="G1434" s="129"/>
      <c r="H1434" s="124"/>
      <c r="I1434" s="124"/>
      <c r="J1434" s="129"/>
      <c r="K1434" s="194"/>
      <c r="L1434" s="194"/>
      <c r="M1434" s="129"/>
      <c r="N1434" s="129" t="e">
        <f>Table1[[#This Row],[Estimated Effort (Hours)]]/NETWORKDAYS(Table1[[#This Row],[Planned Start Date]],Table1[[#This Row],[Planned End Date]])</f>
        <v>#DIV/0!</v>
      </c>
      <c r="O1434" s="178">
        <f>NETWORKDAYS(Table1[[#This Row],[Planned Start Date]],Table1[[#This Row],[Planned End Date]])</f>
        <v>0</v>
      </c>
      <c r="P1434" s="178">
        <f>NETWORKDAYS(Table1[[#This Row],[Planned Start Date]],$P$7)</f>
        <v>30643</v>
      </c>
      <c r="Q1434" s="129"/>
      <c r="R1434" s="183" t="str">
        <f>IF(Table1[[#This Row],[Actual Effort (Hours)]]="","",IF(Table1[[#This Row],[Estimated Effort (Hours)]]&lt;20,"L1",IF(Table1[[#This Row],[Estimated Effort (Hours)]]&lt;50,"L2",IF(Table1[[#This Row],[Estimated Effort (Hours)]]&lt;150,"L3",IF(Table1[[#This Row],[Estimated Effort (Hours)]]&lt;300,"L4","L5")))))</f>
        <v/>
      </c>
      <c r="S1434" s="184" t="str">
        <f>IF(Table1[[#This Row],[Actual End Date]]="","",TEXT(Table1[[#This Row],[Actual End Date]],"mmm-yy"))</f>
        <v/>
      </c>
      <c r="T14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4" s="185" t="str">
        <f>IFERROR((Table1[[#This Row],[Actual Effort (Hours)]]-Table1[[#This Row],[Estimated Effort (Hours)]])/Table1[[#This Row],[Estimated Effort (Hours)]],"")</f>
        <v/>
      </c>
    </row>
    <row r="1435" spans="2:21">
      <c r="B1435" s="125"/>
      <c r="C1435" s="123"/>
      <c r="D1435" s="143"/>
      <c r="E1435" s="123"/>
      <c r="F1435" s="143"/>
      <c r="G1435" s="129"/>
      <c r="H1435" s="124"/>
      <c r="I1435" s="124"/>
      <c r="J1435" s="129"/>
      <c r="K1435" s="194"/>
      <c r="L1435" s="194"/>
      <c r="M1435" s="129"/>
      <c r="N1435" s="129" t="e">
        <f>Table1[[#This Row],[Estimated Effort (Hours)]]/NETWORKDAYS(Table1[[#This Row],[Planned Start Date]],Table1[[#This Row],[Planned End Date]])</f>
        <v>#DIV/0!</v>
      </c>
      <c r="O1435" s="178">
        <f>NETWORKDAYS(Table1[[#This Row],[Planned Start Date]],Table1[[#This Row],[Planned End Date]])</f>
        <v>0</v>
      </c>
      <c r="P1435" s="178">
        <f>NETWORKDAYS(Table1[[#This Row],[Planned Start Date]],$P$7)</f>
        <v>30643</v>
      </c>
      <c r="Q1435" s="129"/>
      <c r="R1435" s="183" t="str">
        <f>IF(Table1[[#This Row],[Actual Effort (Hours)]]="","",IF(Table1[[#This Row],[Estimated Effort (Hours)]]&lt;20,"L1",IF(Table1[[#This Row],[Estimated Effort (Hours)]]&lt;50,"L2",IF(Table1[[#This Row],[Estimated Effort (Hours)]]&lt;150,"L3",IF(Table1[[#This Row],[Estimated Effort (Hours)]]&lt;300,"L4","L5")))))</f>
        <v/>
      </c>
      <c r="S1435" s="184" t="str">
        <f>IF(Table1[[#This Row],[Actual End Date]]="","",TEXT(Table1[[#This Row],[Actual End Date]],"mmm-yy"))</f>
        <v/>
      </c>
      <c r="T14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5" s="185" t="str">
        <f>IFERROR((Table1[[#This Row],[Actual Effort (Hours)]]-Table1[[#This Row],[Estimated Effort (Hours)]])/Table1[[#This Row],[Estimated Effort (Hours)]],"")</f>
        <v/>
      </c>
    </row>
    <row r="1436" spans="2:21">
      <c r="B1436" s="125"/>
      <c r="C1436" s="123"/>
      <c r="D1436" s="143"/>
      <c r="E1436" s="123"/>
      <c r="F1436" s="143"/>
      <c r="G1436" s="129"/>
      <c r="H1436" s="124"/>
      <c r="I1436" s="124"/>
      <c r="J1436" s="129"/>
      <c r="K1436" s="194"/>
      <c r="L1436" s="194"/>
      <c r="M1436" s="129"/>
      <c r="N1436" s="129" t="e">
        <f>Table1[[#This Row],[Estimated Effort (Hours)]]/NETWORKDAYS(Table1[[#This Row],[Planned Start Date]],Table1[[#This Row],[Planned End Date]])</f>
        <v>#DIV/0!</v>
      </c>
      <c r="O1436" s="178">
        <f>NETWORKDAYS(Table1[[#This Row],[Planned Start Date]],Table1[[#This Row],[Planned End Date]])</f>
        <v>0</v>
      </c>
      <c r="P1436" s="178">
        <f>NETWORKDAYS(Table1[[#This Row],[Planned Start Date]],$P$7)</f>
        <v>30643</v>
      </c>
      <c r="Q1436" s="129"/>
      <c r="R1436" s="183" t="str">
        <f>IF(Table1[[#This Row],[Actual Effort (Hours)]]="","",IF(Table1[[#This Row],[Estimated Effort (Hours)]]&lt;20,"L1",IF(Table1[[#This Row],[Estimated Effort (Hours)]]&lt;50,"L2",IF(Table1[[#This Row],[Estimated Effort (Hours)]]&lt;150,"L3",IF(Table1[[#This Row],[Estimated Effort (Hours)]]&lt;300,"L4","L5")))))</f>
        <v/>
      </c>
      <c r="S1436" s="184" t="str">
        <f>IF(Table1[[#This Row],[Actual End Date]]="","",TEXT(Table1[[#This Row],[Actual End Date]],"mmm-yy"))</f>
        <v/>
      </c>
      <c r="T14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6" s="185" t="str">
        <f>IFERROR((Table1[[#This Row],[Actual Effort (Hours)]]-Table1[[#This Row],[Estimated Effort (Hours)]])/Table1[[#This Row],[Estimated Effort (Hours)]],"")</f>
        <v/>
      </c>
    </row>
    <row r="1437" spans="2:21">
      <c r="B1437" s="125"/>
      <c r="C1437" s="123"/>
      <c r="D1437" s="143"/>
      <c r="E1437" s="123"/>
      <c r="F1437" s="143"/>
      <c r="G1437" s="129"/>
      <c r="H1437" s="124"/>
      <c r="I1437" s="124"/>
      <c r="J1437" s="129"/>
      <c r="K1437" s="194"/>
      <c r="L1437" s="194"/>
      <c r="M1437" s="129"/>
      <c r="N1437" s="129" t="e">
        <f>Table1[[#This Row],[Estimated Effort (Hours)]]/NETWORKDAYS(Table1[[#This Row],[Planned Start Date]],Table1[[#This Row],[Planned End Date]])</f>
        <v>#DIV/0!</v>
      </c>
      <c r="O1437" s="178">
        <f>NETWORKDAYS(Table1[[#This Row],[Planned Start Date]],Table1[[#This Row],[Planned End Date]])</f>
        <v>0</v>
      </c>
      <c r="P1437" s="178">
        <f>NETWORKDAYS(Table1[[#This Row],[Planned Start Date]],$P$7)</f>
        <v>30643</v>
      </c>
      <c r="Q1437" s="129"/>
      <c r="R1437" s="183" t="str">
        <f>IF(Table1[[#This Row],[Actual Effort (Hours)]]="","",IF(Table1[[#This Row],[Estimated Effort (Hours)]]&lt;20,"L1",IF(Table1[[#This Row],[Estimated Effort (Hours)]]&lt;50,"L2",IF(Table1[[#This Row],[Estimated Effort (Hours)]]&lt;150,"L3",IF(Table1[[#This Row],[Estimated Effort (Hours)]]&lt;300,"L4","L5")))))</f>
        <v/>
      </c>
      <c r="S1437" s="184" t="str">
        <f>IF(Table1[[#This Row],[Actual End Date]]="","",TEXT(Table1[[#This Row],[Actual End Date]],"mmm-yy"))</f>
        <v/>
      </c>
      <c r="T14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7" s="185" t="str">
        <f>IFERROR((Table1[[#This Row],[Actual Effort (Hours)]]-Table1[[#This Row],[Estimated Effort (Hours)]])/Table1[[#This Row],[Estimated Effort (Hours)]],"")</f>
        <v/>
      </c>
    </row>
    <row r="1438" spans="2:21">
      <c r="B1438" s="125"/>
      <c r="C1438" s="123"/>
      <c r="D1438" s="143"/>
      <c r="E1438" s="123"/>
      <c r="F1438" s="143"/>
      <c r="G1438" s="129"/>
      <c r="H1438" s="124"/>
      <c r="I1438" s="124"/>
      <c r="J1438" s="129"/>
      <c r="K1438" s="194"/>
      <c r="L1438" s="194"/>
      <c r="M1438" s="129"/>
      <c r="N1438" s="129" t="e">
        <f>Table1[[#This Row],[Estimated Effort (Hours)]]/NETWORKDAYS(Table1[[#This Row],[Planned Start Date]],Table1[[#This Row],[Planned End Date]])</f>
        <v>#DIV/0!</v>
      </c>
      <c r="O1438" s="178">
        <f>NETWORKDAYS(Table1[[#This Row],[Planned Start Date]],Table1[[#This Row],[Planned End Date]])</f>
        <v>0</v>
      </c>
      <c r="P1438" s="178">
        <f>NETWORKDAYS(Table1[[#This Row],[Planned Start Date]],$P$7)</f>
        <v>30643</v>
      </c>
      <c r="Q1438" s="129"/>
      <c r="R1438" s="183" t="str">
        <f>IF(Table1[[#This Row],[Actual Effort (Hours)]]="","",IF(Table1[[#This Row],[Estimated Effort (Hours)]]&lt;20,"L1",IF(Table1[[#This Row],[Estimated Effort (Hours)]]&lt;50,"L2",IF(Table1[[#This Row],[Estimated Effort (Hours)]]&lt;150,"L3",IF(Table1[[#This Row],[Estimated Effort (Hours)]]&lt;300,"L4","L5")))))</f>
        <v/>
      </c>
      <c r="S1438" s="184" t="str">
        <f>IF(Table1[[#This Row],[Actual End Date]]="","",TEXT(Table1[[#This Row],[Actual End Date]],"mmm-yy"))</f>
        <v/>
      </c>
      <c r="T14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8" s="185" t="str">
        <f>IFERROR((Table1[[#This Row],[Actual Effort (Hours)]]-Table1[[#This Row],[Estimated Effort (Hours)]])/Table1[[#This Row],[Estimated Effort (Hours)]],"")</f>
        <v/>
      </c>
    </row>
    <row r="1439" spans="2:21">
      <c r="B1439" s="125"/>
      <c r="C1439" s="123"/>
      <c r="D1439" s="143"/>
      <c r="E1439" s="123"/>
      <c r="F1439" s="143"/>
      <c r="G1439" s="129"/>
      <c r="H1439" s="124"/>
      <c r="I1439" s="124"/>
      <c r="J1439" s="129"/>
      <c r="K1439" s="194"/>
      <c r="L1439" s="194"/>
      <c r="M1439" s="129"/>
      <c r="N1439" s="129" t="e">
        <f>Table1[[#This Row],[Estimated Effort (Hours)]]/NETWORKDAYS(Table1[[#This Row],[Planned Start Date]],Table1[[#This Row],[Planned End Date]])</f>
        <v>#DIV/0!</v>
      </c>
      <c r="O1439" s="178">
        <f>NETWORKDAYS(Table1[[#This Row],[Planned Start Date]],Table1[[#This Row],[Planned End Date]])</f>
        <v>0</v>
      </c>
      <c r="P1439" s="178">
        <f>NETWORKDAYS(Table1[[#This Row],[Planned Start Date]],$P$7)</f>
        <v>30643</v>
      </c>
      <c r="Q1439" s="129"/>
      <c r="R1439" s="183" t="str">
        <f>IF(Table1[[#This Row],[Actual Effort (Hours)]]="","",IF(Table1[[#This Row],[Estimated Effort (Hours)]]&lt;20,"L1",IF(Table1[[#This Row],[Estimated Effort (Hours)]]&lt;50,"L2",IF(Table1[[#This Row],[Estimated Effort (Hours)]]&lt;150,"L3",IF(Table1[[#This Row],[Estimated Effort (Hours)]]&lt;300,"L4","L5")))))</f>
        <v/>
      </c>
      <c r="S1439" s="184" t="str">
        <f>IF(Table1[[#This Row],[Actual End Date]]="","",TEXT(Table1[[#This Row],[Actual End Date]],"mmm-yy"))</f>
        <v/>
      </c>
      <c r="T14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39" s="185" t="str">
        <f>IFERROR((Table1[[#This Row],[Actual Effort (Hours)]]-Table1[[#This Row],[Estimated Effort (Hours)]])/Table1[[#This Row],[Estimated Effort (Hours)]],"")</f>
        <v/>
      </c>
    </row>
    <row r="1440" spans="2:21">
      <c r="B1440" s="125"/>
      <c r="C1440" s="123"/>
      <c r="D1440" s="143"/>
      <c r="E1440" s="123"/>
      <c r="F1440" s="143"/>
      <c r="G1440" s="129"/>
      <c r="H1440" s="124"/>
      <c r="I1440" s="124"/>
      <c r="J1440" s="129"/>
      <c r="K1440" s="194"/>
      <c r="L1440" s="194"/>
      <c r="M1440" s="129"/>
      <c r="N1440" s="129" t="e">
        <f>Table1[[#This Row],[Estimated Effort (Hours)]]/NETWORKDAYS(Table1[[#This Row],[Planned Start Date]],Table1[[#This Row],[Planned End Date]])</f>
        <v>#DIV/0!</v>
      </c>
      <c r="O1440" s="178">
        <f>NETWORKDAYS(Table1[[#This Row],[Planned Start Date]],Table1[[#This Row],[Planned End Date]])</f>
        <v>0</v>
      </c>
      <c r="P1440" s="178">
        <f>NETWORKDAYS(Table1[[#This Row],[Planned Start Date]],$P$7)</f>
        <v>30643</v>
      </c>
      <c r="Q1440" s="129"/>
      <c r="R1440" s="183" t="str">
        <f>IF(Table1[[#This Row],[Actual Effort (Hours)]]="","",IF(Table1[[#This Row],[Estimated Effort (Hours)]]&lt;20,"L1",IF(Table1[[#This Row],[Estimated Effort (Hours)]]&lt;50,"L2",IF(Table1[[#This Row],[Estimated Effort (Hours)]]&lt;150,"L3",IF(Table1[[#This Row],[Estimated Effort (Hours)]]&lt;300,"L4","L5")))))</f>
        <v/>
      </c>
      <c r="S1440" s="184" t="str">
        <f>IF(Table1[[#This Row],[Actual End Date]]="","",TEXT(Table1[[#This Row],[Actual End Date]],"mmm-yy"))</f>
        <v/>
      </c>
      <c r="T14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0" s="185" t="str">
        <f>IFERROR((Table1[[#This Row],[Actual Effort (Hours)]]-Table1[[#This Row],[Estimated Effort (Hours)]])/Table1[[#This Row],[Estimated Effort (Hours)]],"")</f>
        <v/>
      </c>
    </row>
    <row r="1441" spans="2:21">
      <c r="B1441" s="125"/>
      <c r="C1441" s="123"/>
      <c r="D1441" s="143"/>
      <c r="E1441" s="123"/>
      <c r="F1441" s="143"/>
      <c r="G1441" s="129"/>
      <c r="H1441" s="124"/>
      <c r="I1441" s="124"/>
      <c r="J1441" s="129"/>
      <c r="K1441" s="194"/>
      <c r="L1441" s="194"/>
      <c r="M1441" s="129"/>
      <c r="N1441" s="129" t="e">
        <f>Table1[[#This Row],[Estimated Effort (Hours)]]/NETWORKDAYS(Table1[[#This Row],[Planned Start Date]],Table1[[#This Row],[Planned End Date]])</f>
        <v>#DIV/0!</v>
      </c>
      <c r="O1441" s="178">
        <f>NETWORKDAYS(Table1[[#This Row],[Planned Start Date]],Table1[[#This Row],[Planned End Date]])</f>
        <v>0</v>
      </c>
      <c r="P1441" s="178">
        <f>NETWORKDAYS(Table1[[#This Row],[Planned Start Date]],$P$7)</f>
        <v>30643</v>
      </c>
      <c r="Q1441" s="129"/>
      <c r="R1441" s="183" t="str">
        <f>IF(Table1[[#This Row],[Actual Effort (Hours)]]="","",IF(Table1[[#This Row],[Estimated Effort (Hours)]]&lt;20,"L1",IF(Table1[[#This Row],[Estimated Effort (Hours)]]&lt;50,"L2",IF(Table1[[#This Row],[Estimated Effort (Hours)]]&lt;150,"L3",IF(Table1[[#This Row],[Estimated Effort (Hours)]]&lt;300,"L4","L5")))))</f>
        <v/>
      </c>
      <c r="S1441" s="184" t="str">
        <f>IF(Table1[[#This Row],[Actual End Date]]="","",TEXT(Table1[[#This Row],[Actual End Date]],"mmm-yy"))</f>
        <v/>
      </c>
      <c r="T14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1" s="185" t="str">
        <f>IFERROR((Table1[[#This Row],[Actual Effort (Hours)]]-Table1[[#This Row],[Estimated Effort (Hours)]])/Table1[[#This Row],[Estimated Effort (Hours)]],"")</f>
        <v/>
      </c>
    </row>
    <row r="1442" spans="2:21">
      <c r="B1442" s="125"/>
      <c r="C1442" s="123"/>
      <c r="D1442" s="143"/>
      <c r="E1442" s="123"/>
      <c r="F1442" s="143"/>
      <c r="G1442" s="129"/>
      <c r="H1442" s="124"/>
      <c r="I1442" s="124"/>
      <c r="J1442" s="129"/>
      <c r="K1442" s="194"/>
      <c r="L1442" s="194"/>
      <c r="M1442" s="129"/>
      <c r="N1442" s="129" t="e">
        <f>Table1[[#This Row],[Estimated Effort (Hours)]]/NETWORKDAYS(Table1[[#This Row],[Planned Start Date]],Table1[[#This Row],[Planned End Date]])</f>
        <v>#DIV/0!</v>
      </c>
      <c r="O1442" s="178">
        <f>NETWORKDAYS(Table1[[#This Row],[Planned Start Date]],Table1[[#This Row],[Planned End Date]])</f>
        <v>0</v>
      </c>
      <c r="P1442" s="178">
        <f>NETWORKDAYS(Table1[[#This Row],[Planned Start Date]],$P$7)</f>
        <v>30643</v>
      </c>
      <c r="Q1442" s="129"/>
      <c r="R1442" s="183" t="str">
        <f>IF(Table1[[#This Row],[Actual Effort (Hours)]]="","",IF(Table1[[#This Row],[Estimated Effort (Hours)]]&lt;20,"L1",IF(Table1[[#This Row],[Estimated Effort (Hours)]]&lt;50,"L2",IF(Table1[[#This Row],[Estimated Effort (Hours)]]&lt;150,"L3",IF(Table1[[#This Row],[Estimated Effort (Hours)]]&lt;300,"L4","L5")))))</f>
        <v/>
      </c>
      <c r="S1442" s="184" t="str">
        <f>IF(Table1[[#This Row],[Actual End Date]]="","",TEXT(Table1[[#This Row],[Actual End Date]],"mmm-yy"))</f>
        <v/>
      </c>
      <c r="T14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2" s="185" t="str">
        <f>IFERROR((Table1[[#This Row],[Actual Effort (Hours)]]-Table1[[#This Row],[Estimated Effort (Hours)]])/Table1[[#This Row],[Estimated Effort (Hours)]],"")</f>
        <v/>
      </c>
    </row>
    <row r="1443" spans="2:21">
      <c r="B1443" s="125"/>
      <c r="C1443" s="123"/>
      <c r="D1443" s="143"/>
      <c r="E1443" s="123"/>
      <c r="F1443" s="143"/>
      <c r="G1443" s="129"/>
      <c r="H1443" s="124"/>
      <c r="I1443" s="124"/>
      <c r="J1443" s="129"/>
      <c r="K1443" s="194"/>
      <c r="L1443" s="194"/>
      <c r="M1443" s="129"/>
      <c r="N1443" s="129" t="e">
        <f>Table1[[#This Row],[Estimated Effort (Hours)]]/NETWORKDAYS(Table1[[#This Row],[Planned Start Date]],Table1[[#This Row],[Planned End Date]])</f>
        <v>#DIV/0!</v>
      </c>
      <c r="O1443" s="178">
        <f>NETWORKDAYS(Table1[[#This Row],[Planned Start Date]],Table1[[#This Row],[Planned End Date]])</f>
        <v>0</v>
      </c>
      <c r="P1443" s="178">
        <f>NETWORKDAYS(Table1[[#This Row],[Planned Start Date]],$P$7)</f>
        <v>30643</v>
      </c>
      <c r="Q1443" s="129"/>
      <c r="R1443" s="183" t="str">
        <f>IF(Table1[[#This Row],[Actual Effort (Hours)]]="","",IF(Table1[[#This Row],[Estimated Effort (Hours)]]&lt;20,"L1",IF(Table1[[#This Row],[Estimated Effort (Hours)]]&lt;50,"L2",IF(Table1[[#This Row],[Estimated Effort (Hours)]]&lt;150,"L3",IF(Table1[[#This Row],[Estimated Effort (Hours)]]&lt;300,"L4","L5")))))</f>
        <v/>
      </c>
      <c r="S1443" s="184" t="str">
        <f>IF(Table1[[#This Row],[Actual End Date]]="","",TEXT(Table1[[#This Row],[Actual End Date]],"mmm-yy"))</f>
        <v/>
      </c>
      <c r="T14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3" s="185" t="str">
        <f>IFERROR((Table1[[#This Row],[Actual Effort (Hours)]]-Table1[[#This Row],[Estimated Effort (Hours)]])/Table1[[#This Row],[Estimated Effort (Hours)]],"")</f>
        <v/>
      </c>
    </row>
    <row r="1444" spans="2:21">
      <c r="B1444" s="125"/>
      <c r="C1444" s="123"/>
      <c r="D1444" s="143"/>
      <c r="E1444" s="123"/>
      <c r="F1444" s="143"/>
      <c r="G1444" s="129"/>
      <c r="H1444" s="124"/>
      <c r="I1444" s="124"/>
      <c r="J1444" s="129"/>
      <c r="K1444" s="194"/>
      <c r="L1444" s="194"/>
      <c r="M1444" s="129"/>
      <c r="N1444" s="129" t="e">
        <f>Table1[[#This Row],[Estimated Effort (Hours)]]/NETWORKDAYS(Table1[[#This Row],[Planned Start Date]],Table1[[#This Row],[Planned End Date]])</f>
        <v>#DIV/0!</v>
      </c>
      <c r="O1444" s="178">
        <f>NETWORKDAYS(Table1[[#This Row],[Planned Start Date]],Table1[[#This Row],[Planned End Date]])</f>
        <v>0</v>
      </c>
      <c r="P1444" s="178">
        <f>NETWORKDAYS(Table1[[#This Row],[Planned Start Date]],$P$7)</f>
        <v>30643</v>
      </c>
      <c r="Q1444" s="129"/>
      <c r="R1444" s="183" t="str">
        <f>IF(Table1[[#This Row],[Actual Effort (Hours)]]="","",IF(Table1[[#This Row],[Estimated Effort (Hours)]]&lt;20,"L1",IF(Table1[[#This Row],[Estimated Effort (Hours)]]&lt;50,"L2",IF(Table1[[#This Row],[Estimated Effort (Hours)]]&lt;150,"L3",IF(Table1[[#This Row],[Estimated Effort (Hours)]]&lt;300,"L4","L5")))))</f>
        <v/>
      </c>
      <c r="S1444" s="184" t="str">
        <f>IF(Table1[[#This Row],[Actual End Date]]="","",TEXT(Table1[[#This Row],[Actual End Date]],"mmm-yy"))</f>
        <v/>
      </c>
      <c r="T14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4" s="185" t="str">
        <f>IFERROR((Table1[[#This Row],[Actual Effort (Hours)]]-Table1[[#This Row],[Estimated Effort (Hours)]])/Table1[[#This Row],[Estimated Effort (Hours)]],"")</f>
        <v/>
      </c>
    </row>
    <row r="1445" spans="2:21">
      <c r="B1445" s="125"/>
      <c r="C1445" s="123"/>
      <c r="D1445" s="143"/>
      <c r="E1445" s="123"/>
      <c r="F1445" s="143"/>
      <c r="G1445" s="129"/>
      <c r="H1445" s="124"/>
      <c r="I1445" s="124"/>
      <c r="J1445" s="129"/>
      <c r="K1445" s="194"/>
      <c r="L1445" s="194"/>
      <c r="M1445" s="129"/>
      <c r="N1445" s="129" t="e">
        <f>Table1[[#This Row],[Estimated Effort (Hours)]]/NETWORKDAYS(Table1[[#This Row],[Planned Start Date]],Table1[[#This Row],[Planned End Date]])</f>
        <v>#DIV/0!</v>
      </c>
      <c r="O1445" s="178">
        <f>NETWORKDAYS(Table1[[#This Row],[Planned Start Date]],Table1[[#This Row],[Planned End Date]])</f>
        <v>0</v>
      </c>
      <c r="P1445" s="178">
        <f>NETWORKDAYS(Table1[[#This Row],[Planned Start Date]],$P$7)</f>
        <v>30643</v>
      </c>
      <c r="Q1445" s="129"/>
      <c r="R1445" s="183" t="str">
        <f>IF(Table1[[#This Row],[Actual Effort (Hours)]]="","",IF(Table1[[#This Row],[Estimated Effort (Hours)]]&lt;20,"L1",IF(Table1[[#This Row],[Estimated Effort (Hours)]]&lt;50,"L2",IF(Table1[[#This Row],[Estimated Effort (Hours)]]&lt;150,"L3",IF(Table1[[#This Row],[Estimated Effort (Hours)]]&lt;300,"L4","L5")))))</f>
        <v/>
      </c>
      <c r="S1445" s="184" t="str">
        <f>IF(Table1[[#This Row],[Actual End Date]]="","",TEXT(Table1[[#This Row],[Actual End Date]],"mmm-yy"))</f>
        <v/>
      </c>
      <c r="T14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5" s="185" t="str">
        <f>IFERROR((Table1[[#This Row],[Actual Effort (Hours)]]-Table1[[#This Row],[Estimated Effort (Hours)]])/Table1[[#This Row],[Estimated Effort (Hours)]],"")</f>
        <v/>
      </c>
    </row>
    <row r="1446" spans="2:21">
      <c r="B1446" s="125"/>
      <c r="C1446" s="123"/>
      <c r="D1446" s="143"/>
      <c r="E1446" s="123"/>
      <c r="F1446" s="143"/>
      <c r="G1446" s="129"/>
      <c r="H1446" s="124"/>
      <c r="I1446" s="124"/>
      <c r="J1446" s="129"/>
      <c r="K1446" s="194"/>
      <c r="L1446" s="194"/>
      <c r="M1446" s="129"/>
      <c r="N1446" s="129" t="e">
        <f>Table1[[#This Row],[Estimated Effort (Hours)]]/NETWORKDAYS(Table1[[#This Row],[Planned Start Date]],Table1[[#This Row],[Planned End Date]])</f>
        <v>#DIV/0!</v>
      </c>
      <c r="O1446" s="178">
        <f>NETWORKDAYS(Table1[[#This Row],[Planned Start Date]],Table1[[#This Row],[Planned End Date]])</f>
        <v>0</v>
      </c>
      <c r="P1446" s="178">
        <f>NETWORKDAYS(Table1[[#This Row],[Planned Start Date]],$P$7)</f>
        <v>30643</v>
      </c>
      <c r="Q1446" s="129"/>
      <c r="R1446" s="183" t="str">
        <f>IF(Table1[[#This Row],[Actual Effort (Hours)]]="","",IF(Table1[[#This Row],[Estimated Effort (Hours)]]&lt;20,"L1",IF(Table1[[#This Row],[Estimated Effort (Hours)]]&lt;50,"L2",IF(Table1[[#This Row],[Estimated Effort (Hours)]]&lt;150,"L3",IF(Table1[[#This Row],[Estimated Effort (Hours)]]&lt;300,"L4","L5")))))</f>
        <v/>
      </c>
      <c r="S1446" s="184" t="str">
        <f>IF(Table1[[#This Row],[Actual End Date]]="","",TEXT(Table1[[#This Row],[Actual End Date]],"mmm-yy"))</f>
        <v/>
      </c>
      <c r="T14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6" s="185" t="str">
        <f>IFERROR((Table1[[#This Row],[Actual Effort (Hours)]]-Table1[[#This Row],[Estimated Effort (Hours)]])/Table1[[#This Row],[Estimated Effort (Hours)]],"")</f>
        <v/>
      </c>
    </row>
    <row r="1447" spans="2:21">
      <c r="B1447" s="125"/>
      <c r="C1447" s="123"/>
      <c r="D1447" s="143"/>
      <c r="E1447" s="123"/>
      <c r="F1447" s="143"/>
      <c r="G1447" s="129"/>
      <c r="H1447" s="124"/>
      <c r="I1447" s="124"/>
      <c r="J1447" s="129"/>
      <c r="K1447" s="194"/>
      <c r="L1447" s="194"/>
      <c r="M1447" s="129"/>
      <c r="N1447" s="129" t="e">
        <f>Table1[[#This Row],[Estimated Effort (Hours)]]/NETWORKDAYS(Table1[[#This Row],[Planned Start Date]],Table1[[#This Row],[Planned End Date]])</f>
        <v>#DIV/0!</v>
      </c>
      <c r="O1447" s="178">
        <f>NETWORKDAYS(Table1[[#This Row],[Planned Start Date]],Table1[[#This Row],[Planned End Date]])</f>
        <v>0</v>
      </c>
      <c r="P1447" s="178">
        <f>NETWORKDAYS(Table1[[#This Row],[Planned Start Date]],$P$7)</f>
        <v>30643</v>
      </c>
      <c r="Q1447" s="129"/>
      <c r="R1447" s="183" t="str">
        <f>IF(Table1[[#This Row],[Actual Effort (Hours)]]="","",IF(Table1[[#This Row],[Estimated Effort (Hours)]]&lt;20,"L1",IF(Table1[[#This Row],[Estimated Effort (Hours)]]&lt;50,"L2",IF(Table1[[#This Row],[Estimated Effort (Hours)]]&lt;150,"L3",IF(Table1[[#This Row],[Estimated Effort (Hours)]]&lt;300,"L4","L5")))))</f>
        <v/>
      </c>
      <c r="S1447" s="184" t="str">
        <f>IF(Table1[[#This Row],[Actual End Date]]="","",TEXT(Table1[[#This Row],[Actual End Date]],"mmm-yy"))</f>
        <v/>
      </c>
      <c r="T14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7" s="185" t="str">
        <f>IFERROR((Table1[[#This Row],[Actual Effort (Hours)]]-Table1[[#This Row],[Estimated Effort (Hours)]])/Table1[[#This Row],[Estimated Effort (Hours)]],"")</f>
        <v/>
      </c>
    </row>
    <row r="1448" spans="2:21">
      <c r="B1448" s="125"/>
      <c r="C1448" s="123"/>
      <c r="D1448" s="143"/>
      <c r="E1448" s="123"/>
      <c r="F1448" s="143"/>
      <c r="G1448" s="129"/>
      <c r="H1448" s="124"/>
      <c r="I1448" s="124"/>
      <c r="J1448" s="129"/>
      <c r="K1448" s="194"/>
      <c r="L1448" s="194"/>
      <c r="M1448" s="129"/>
      <c r="N1448" s="129" t="e">
        <f>Table1[[#This Row],[Estimated Effort (Hours)]]/NETWORKDAYS(Table1[[#This Row],[Planned Start Date]],Table1[[#This Row],[Planned End Date]])</f>
        <v>#DIV/0!</v>
      </c>
      <c r="O1448" s="178">
        <f>NETWORKDAYS(Table1[[#This Row],[Planned Start Date]],Table1[[#This Row],[Planned End Date]])</f>
        <v>0</v>
      </c>
      <c r="P1448" s="178">
        <f>NETWORKDAYS(Table1[[#This Row],[Planned Start Date]],$P$7)</f>
        <v>30643</v>
      </c>
      <c r="Q1448" s="129"/>
      <c r="R1448" s="183" t="str">
        <f>IF(Table1[[#This Row],[Actual Effort (Hours)]]="","",IF(Table1[[#This Row],[Estimated Effort (Hours)]]&lt;20,"L1",IF(Table1[[#This Row],[Estimated Effort (Hours)]]&lt;50,"L2",IF(Table1[[#This Row],[Estimated Effort (Hours)]]&lt;150,"L3",IF(Table1[[#This Row],[Estimated Effort (Hours)]]&lt;300,"L4","L5")))))</f>
        <v/>
      </c>
      <c r="S1448" s="184" t="str">
        <f>IF(Table1[[#This Row],[Actual End Date]]="","",TEXT(Table1[[#This Row],[Actual End Date]],"mmm-yy"))</f>
        <v/>
      </c>
      <c r="T14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8" s="185" t="str">
        <f>IFERROR((Table1[[#This Row],[Actual Effort (Hours)]]-Table1[[#This Row],[Estimated Effort (Hours)]])/Table1[[#This Row],[Estimated Effort (Hours)]],"")</f>
        <v/>
      </c>
    </row>
    <row r="1449" spans="2:21">
      <c r="B1449" s="125"/>
      <c r="C1449" s="123"/>
      <c r="D1449" s="143"/>
      <c r="E1449" s="123"/>
      <c r="F1449" s="143"/>
      <c r="G1449" s="129"/>
      <c r="H1449" s="124"/>
      <c r="I1449" s="124"/>
      <c r="J1449" s="129"/>
      <c r="K1449" s="194"/>
      <c r="L1449" s="194"/>
      <c r="M1449" s="129"/>
      <c r="N1449" s="129" t="e">
        <f>Table1[[#This Row],[Estimated Effort (Hours)]]/NETWORKDAYS(Table1[[#This Row],[Planned Start Date]],Table1[[#This Row],[Planned End Date]])</f>
        <v>#DIV/0!</v>
      </c>
      <c r="O1449" s="178">
        <f>NETWORKDAYS(Table1[[#This Row],[Planned Start Date]],Table1[[#This Row],[Planned End Date]])</f>
        <v>0</v>
      </c>
      <c r="P1449" s="178">
        <f>NETWORKDAYS(Table1[[#This Row],[Planned Start Date]],$P$7)</f>
        <v>30643</v>
      </c>
      <c r="Q1449" s="129"/>
      <c r="R1449" s="183" t="str">
        <f>IF(Table1[[#This Row],[Actual Effort (Hours)]]="","",IF(Table1[[#This Row],[Estimated Effort (Hours)]]&lt;20,"L1",IF(Table1[[#This Row],[Estimated Effort (Hours)]]&lt;50,"L2",IF(Table1[[#This Row],[Estimated Effort (Hours)]]&lt;150,"L3",IF(Table1[[#This Row],[Estimated Effort (Hours)]]&lt;300,"L4","L5")))))</f>
        <v/>
      </c>
      <c r="S1449" s="184" t="str">
        <f>IF(Table1[[#This Row],[Actual End Date]]="","",TEXT(Table1[[#This Row],[Actual End Date]],"mmm-yy"))</f>
        <v/>
      </c>
      <c r="T14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49" s="185" t="str">
        <f>IFERROR((Table1[[#This Row],[Actual Effort (Hours)]]-Table1[[#This Row],[Estimated Effort (Hours)]])/Table1[[#This Row],[Estimated Effort (Hours)]],"")</f>
        <v/>
      </c>
    </row>
    <row r="1450" spans="2:21">
      <c r="B1450" s="125"/>
      <c r="C1450" s="123"/>
      <c r="D1450" s="143"/>
      <c r="E1450" s="123"/>
      <c r="F1450" s="143"/>
      <c r="G1450" s="129"/>
      <c r="H1450" s="124"/>
      <c r="I1450" s="124"/>
      <c r="J1450" s="129"/>
      <c r="K1450" s="194"/>
      <c r="L1450" s="194"/>
      <c r="M1450" s="129"/>
      <c r="N1450" s="129" t="e">
        <f>Table1[[#This Row],[Estimated Effort (Hours)]]/NETWORKDAYS(Table1[[#This Row],[Planned Start Date]],Table1[[#This Row],[Planned End Date]])</f>
        <v>#DIV/0!</v>
      </c>
      <c r="O1450" s="178">
        <f>NETWORKDAYS(Table1[[#This Row],[Planned Start Date]],Table1[[#This Row],[Planned End Date]])</f>
        <v>0</v>
      </c>
      <c r="P1450" s="178">
        <f>NETWORKDAYS(Table1[[#This Row],[Planned Start Date]],$P$7)</f>
        <v>30643</v>
      </c>
      <c r="Q1450" s="129"/>
      <c r="R1450" s="183" t="str">
        <f>IF(Table1[[#This Row],[Actual Effort (Hours)]]="","",IF(Table1[[#This Row],[Estimated Effort (Hours)]]&lt;20,"L1",IF(Table1[[#This Row],[Estimated Effort (Hours)]]&lt;50,"L2",IF(Table1[[#This Row],[Estimated Effort (Hours)]]&lt;150,"L3",IF(Table1[[#This Row],[Estimated Effort (Hours)]]&lt;300,"L4","L5")))))</f>
        <v/>
      </c>
      <c r="S1450" s="184" t="str">
        <f>IF(Table1[[#This Row],[Actual End Date]]="","",TEXT(Table1[[#This Row],[Actual End Date]],"mmm-yy"))</f>
        <v/>
      </c>
      <c r="T14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0" s="185" t="str">
        <f>IFERROR((Table1[[#This Row],[Actual Effort (Hours)]]-Table1[[#This Row],[Estimated Effort (Hours)]])/Table1[[#This Row],[Estimated Effort (Hours)]],"")</f>
        <v/>
      </c>
    </row>
    <row r="1451" spans="2:21">
      <c r="B1451" s="125"/>
      <c r="C1451" s="123"/>
      <c r="D1451" s="143"/>
      <c r="E1451" s="123"/>
      <c r="F1451" s="143"/>
      <c r="G1451" s="129"/>
      <c r="H1451" s="124"/>
      <c r="I1451" s="124"/>
      <c r="J1451" s="129"/>
      <c r="K1451" s="194"/>
      <c r="L1451" s="194"/>
      <c r="M1451" s="129"/>
      <c r="N1451" s="129" t="e">
        <f>Table1[[#This Row],[Estimated Effort (Hours)]]/NETWORKDAYS(Table1[[#This Row],[Planned Start Date]],Table1[[#This Row],[Planned End Date]])</f>
        <v>#DIV/0!</v>
      </c>
      <c r="O1451" s="178">
        <f>NETWORKDAYS(Table1[[#This Row],[Planned Start Date]],Table1[[#This Row],[Planned End Date]])</f>
        <v>0</v>
      </c>
      <c r="P1451" s="178">
        <f>NETWORKDAYS(Table1[[#This Row],[Planned Start Date]],$P$7)</f>
        <v>30643</v>
      </c>
      <c r="Q1451" s="129"/>
      <c r="R1451" s="183" t="str">
        <f>IF(Table1[[#This Row],[Actual Effort (Hours)]]="","",IF(Table1[[#This Row],[Estimated Effort (Hours)]]&lt;20,"L1",IF(Table1[[#This Row],[Estimated Effort (Hours)]]&lt;50,"L2",IF(Table1[[#This Row],[Estimated Effort (Hours)]]&lt;150,"L3",IF(Table1[[#This Row],[Estimated Effort (Hours)]]&lt;300,"L4","L5")))))</f>
        <v/>
      </c>
      <c r="S1451" s="184" t="str">
        <f>IF(Table1[[#This Row],[Actual End Date]]="","",TEXT(Table1[[#This Row],[Actual End Date]],"mmm-yy"))</f>
        <v/>
      </c>
      <c r="T14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1" s="185" t="str">
        <f>IFERROR((Table1[[#This Row],[Actual Effort (Hours)]]-Table1[[#This Row],[Estimated Effort (Hours)]])/Table1[[#This Row],[Estimated Effort (Hours)]],"")</f>
        <v/>
      </c>
    </row>
    <row r="1452" spans="2:21">
      <c r="B1452" s="125"/>
      <c r="C1452" s="123"/>
      <c r="D1452" s="143"/>
      <c r="E1452" s="123"/>
      <c r="F1452" s="143"/>
      <c r="G1452" s="129"/>
      <c r="H1452" s="124"/>
      <c r="I1452" s="124"/>
      <c r="J1452" s="129"/>
      <c r="K1452" s="194"/>
      <c r="L1452" s="194"/>
      <c r="M1452" s="129"/>
      <c r="N1452" s="129" t="e">
        <f>Table1[[#This Row],[Estimated Effort (Hours)]]/NETWORKDAYS(Table1[[#This Row],[Planned Start Date]],Table1[[#This Row],[Planned End Date]])</f>
        <v>#DIV/0!</v>
      </c>
      <c r="O1452" s="178">
        <f>NETWORKDAYS(Table1[[#This Row],[Planned Start Date]],Table1[[#This Row],[Planned End Date]])</f>
        <v>0</v>
      </c>
      <c r="P1452" s="178">
        <f>NETWORKDAYS(Table1[[#This Row],[Planned Start Date]],$P$7)</f>
        <v>30643</v>
      </c>
      <c r="Q1452" s="129"/>
      <c r="R1452" s="183" t="str">
        <f>IF(Table1[[#This Row],[Actual Effort (Hours)]]="","",IF(Table1[[#This Row],[Estimated Effort (Hours)]]&lt;20,"L1",IF(Table1[[#This Row],[Estimated Effort (Hours)]]&lt;50,"L2",IF(Table1[[#This Row],[Estimated Effort (Hours)]]&lt;150,"L3",IF(Table1[[#This Row],[Estimated Effort (Hours)]]&lt;300,"L4","L5")))))</f>
        <v/>
      </c>
      <c r="S1452" s="184" t="str">
        <f>IF(Table1[[#This Row],[Actual End Date]]="","",TEXT(Table1[[#This Row],[Actual End Date]],"mmm-yy"))</f>
        <v/>
      </c>
      <c r="T14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2" s="185" t="str">
        <f>IFERROR((Table1[[#This Row],[Actual Effort (Hours)]]-Table1[[#This Row],[Estimated Effort (Hours)]])/Table1[[#This Row],[Estimated Effort (Hours)]],"")</f>
        <v/>
      </c>
    </row>
    <row r="1453" spans="2:21">
      <c r="B1453" s="125"/>
      <c r="C1453" s="123"/>
      <c r="D1453" s="143"/>
      <c r="E1453" s="123"/>
      <c r="F1453" s="143"/>
      <c r="G1453" s="129"/>
      <c r="H1453" s="124"/>
      <c r="I1453" s="124"/>
      <c r="J1453" s="129"/>
      <c r="K1453" s="194"/>
      <c r="L1453" s="194"/>
      <c r="M1453" s="129"/>
      <c r="N1453" s="129" t="e">
        <f>Table1[[#This Row],[Estimated Effort (Hours)]]/NETWORKDAYS(Table1[[#This Row],[Planned Start Date]],Table1[[#This Row],[Planned End Date]])</f>
        <v>#DIV/0!</v>
      </c>
      <c r="O1453" s="178">
        <f>NETWORKDAYS(Table1[[#This Row],[Planned Start Date]],Table1[[#This Row],[Planned End Date]])</f>
        <v>0</v>
      </c>
      <c r="P1453" s="178">
        <f>NETWORKDAYS(Table1[[#This Row],[Planned Start Date]],$P$7)</f>
        <v>30643</v>
      </c>
      <c r="Q1453" s="129"/>
      <c r="R1453" s="183" t="str">
        <f>IF(Table1[[#This Row],[Actual Effort (Hours)]]="","",IF(Table1[[#This Row],[Estimated Effort (Hours)]]&lt;20,"L1",IF(Table1[[#This Row],[Estimated Effort (Hours)]]&lt;50,"L2",IF(Table1[[#This Row],[Estimated Effort (Hours)]]&lt;150,"L3",IF(Table1[[#This Row],[Estimated Effort (Hours)]]&lt;300,"L4","L5")))))</f>
        <v/>
      </c>
      <c r="S1453" s="184" t="str">
        <f>IF(Table1[[#This Row],[Actual End Date]]="","",TEXT(Table1[[#This Row],[Actual End Date]],"mmm-yy"))</f>
        <v/>
      </c>
      <c r="T14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3" s="185" t="str">
        <f>IFERROR((Table1[[#This Row],[Actual Effort (Hours)]]-Table1[[#This Row],[Estimated Effort (Hours)]])/Table1[[#This Row],[Estimated Effort (Hours)]],"")</f>
        <v/>
      </c>
    </row>
    <row r="1454" spans="2:21">
      <c r="B1454" s="125"/>
      <c r="C1454" s="123"/>
      <c r="D1454" s="143"/>
      <c r="E1454" s="123"/>
      <c r="F1454" s="143"/>
      <c r="G1454" s="129"/>
      <c r="H1454" s="124"/>
      <c r="I1454" s="124"/>
      <c r="J1454" s="129"/>
      <c r="K1454" s="194"/>
      <c r="L1454" s="194"/>
      <c r="M1454" s="129"/>
      <c r="N1454" s="129" t="e">
        <f>Table1[[#This Row],[Estimated Effort (Hours)]]/NETWORKDAYS(Table1[[#This Row],[Planned Start Date]],Table1[[#This Row],[Planned End Date]])</f>
        <v>#DIV/0!</v>
      </c>
      <c r="O1454" s="178">
        <f>NETWORKDAYS(Table1[[#This Row],[Planned Start Date]],Table1[[#This Row],[Planned End Date]])</f>
        <v>0</v>
      </c>
      <c r="P1454" s="178">
        <f>NETWORKDAYS(Table1[[#This Row],[Planned Start Date]],$P$7)</f>
        <v>30643</v>
      </c>
      <c r="Q1454" s="129"/>
      <c r="R1454" s="183" t="str">
        <f>IF(Table1[[#This Row],[Actual Effort (Hours)]]="","",IF(Table1[[#This Row],[Estimated Effort (Hours)]]&lt;20,"L1",IF(Table1[[#This Row],[Estimated Effort (Hours)]]&lt;50,"L2",IF(Table1[[#This Row],[Estimated Effort (Hours)]]&lt;150,"L3",IF(Table1[[#This Row],[Estimated Effort (Hours)]]&lt;300,"L4","L5")))))</f>
        <v/>
      </c>
      <c r="S1454" s="184" t="str">
        <f>IF(Table1[[#This Row],[Actual End Date]]="","",TEXT(Table1[[#This Row],[Actual End Date]],"mmm-yy"))</f>
        <v/>
      </c>
      <c r="T14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4" s="185" t="str">
        <f>IFERROR((Table1[[#This Row],[Actual Effort (Hours)]]-Table1[[#This Row],[Estimated Effort (Hours)]])/Table1[[#This Row],[Estimated Effort (Hours)]],"")</f>
        <v/>
      </c>
    </row>
    <row r="1455" spans="2:21">
      <c r="B1455" s="125"/>
      <c r="C1455" s="123"/>
      <c r="D1455" s="143"/>
      <c r="E1455" s="123"/>
      <c r="F1455" s="143"/>
      <c r="G1455" s="129"/>
      <c r="H1455" s="124"/>
      <c r="I1455" s="124"/>
      <c r="J1455" s="129"/>
      <c r="K1455" s="194"/>
      <c r="L1455" s="194"/>
      <c r="M1455" s="129"/>
      <c r="N1455" s="129" t="e">
        <f>Table1[[#This Row],[Estimated Effort (Hours)]]/NETWORKDAYS(Table1[[#This Row],[Planned Start Date]],Table1[[#This Row],[Planned End Date]])</f>
        <v>#DIV/0!</v>
      </c>
      <c r="O1455" s="178">
        <f>NETWORKDAYS(Table1[[#This Row],[Planned Start Date]],Table1[[#This Row],[Planned End Date]])</f>
        <v>0</v>
      </c>
      <c r="P1455" s="178">
        <f>NETWORKDAYS(Table1[[#This Row],[Planned Start Date]],$P$7)</f>
        <v>30643</v>
      </c>
      <c r="Q1455" s="129"/>
      <c r="R1455" s="183" t="str">
        <f>IF(Table1[[#This Row],[Actual Effort (Hours)]]="","",IF(Table1[[#This Row],[Estimated Effort (Hours)]]&lt;20,"L1",IF(Table1[[#This Row],[Estimated Effort (Hours)]]&lt;50,"L2",IF(Table1[[#This Row],[Estimated Effort (Hours)]]&lt;150,"L3",IF(Table1[[#This Row],[Estimated Effort (Hours)]]&lt;300,"L4","L5")))))</f>
        <v/>
      </c>
      <c r="S1455" s="184" t="str">
        <f>IF(Table1[[#This Row],[Actual End Date]]="","",TEXT(Table1[[#This Row],[Actual End Date]],"mmm-yy"))</f>
        <v/>
      </c>
      <c r="T14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5" s="185" t="str">
        <f>IFERROR((Table1[[#This Row],[Actual Effort (Hours)]]-Table1[[#This Row],[Estimated Effort (Hours)]])/Table1[[#This Row],[Estimated Effort (Hours)]],"")</f>
        <v/>
      </c>
    </row>
    <row r="1456" spans="2:21">
      <c r="B1456" s="125"/>
      <c r="C1456" s="123"/>
      <c r="D1456" s="143"/>
      <c r="E1456" s="123"/>
      <c r="F1456" s="143"/>
      <c r="G1456" s="129"/>
      <c r="H1456" s="124"/>
      <c r="I1456" s="124"/>
      <c r="J1456" s="129"/>
      <c r="K1456" s="194"/>
      <c r="L1456" s="194"/>
      <c r="M1456" s="129"/>
      <c r="N1456" s="129" t="e">
        <f>Table1[[#This Row],[Estimated Effort (Hours)]]/NETWORKDAYS(Table1[[#This Row],[Planned Start Date]],Table1[[#This Row],[Planned End Date]])</f>
        <v>#DIV/0!</v>
      </c>
      <c r="O1456" s="178">
        <f>NETWORKDAYS(Table1[[#This Row],[Planned Start Date]],Table1[[#This Row],[Planned End Date]])</f>
        <v>0</v>
      </c>
      <c r="P1456" s="178">
        <f>NETWORKDAYS(Table1[[#This Row],[Planned Start Date]],$P$7)</f>
        <v>30643</v>
      </c>
      <c r="Q1456" s="129"/>
      <c r="R1456" s="183" t="str">
        <f>IF(Table1[[#This Row],[Actual Effort (Hours)]]="","",IF(Table1[[#This Row],[Estimated Effort (Hours)]]&lt;20,"L1",IF(Table1[[#This Row],[Estimated Effort (Hours)]]&lt;50,"L2",IF(Table1[[#This Row],[Estimated Effort (Hours)]]&lt;150,"L3",IF(Table1[[#This Row],[Estimated Effort (Hours)]]&lt;300,"L4","L5")))))</f>
        <v/>
      </c>
      <c r="S1456" s="184" t="str">
        <f>IF(Table1[[#This Row],[Actual End Date]]="","",TEXT(Table1[[#This Row],[Actual End Date]],"mmm-yy"))</f>
        <v/>
      </c>
      <c r="T14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6" s="185" t="str">
        <f>IFERROR((Table1[[#This Row],[Actual Effort (Hours)]]-Table1[[#This Row],[Estimated Effort (Hours)]])/Table1[[#This Row],[Estimated Effort (Hours)]],"")</f>
        <v/>
      </c>
    </row>
    <row r="1457" spans="2:21">
      <c r="B1457" s="125"/>
      <c r="C1457" s="123"/>
      <c r="D1457" s="143"/>
      <c r="E1457" s="123"/>
      <c r="F1457" s="143"/>
      <c r="G1457" s="129"/>
      <c r="H1457" s="124"/>
      <c r="I1457" s="124"/>
      <c r="J1457" s="129"/>
      <c r="K1457" s="194"/>
      <c r="L1457" s="194"/>
      <c r="M1457" s="129"/>
      <c r="N1457" s="129" t="e">
        <f>Table1[[#This Row],[Estimated Effort (Hours)]]/NETWORKDAYS(Table1[[#This Row],[Planned Start Date]],Table1[[#This Row],[Planned End Date]])</f>
        <v>#DIV/0!</v>
      </c>
      <c r="O1457" s="178">
        <f>NETWORKDAYS(Table1[[#This Row],[Planned Start Date]],Table1[[#This Row],[Planned End Date]])</f>
        <v>0</v>
      </c>
      <c r="P1457" s="178">
        <f>NETWORKDAYS(Table1[[#This Row],[Planned Start Date]],$P$7)</f>
        <v>30643</v>
      </c>
      <c r="Q1457" s="129"/>
      <c r="R1457" s="183" t="str">
        <f>IF(Table1[[#This Row],[Actual Effort (Hours)]]="","",IF(Table1[[#This Row],[Estimated Effort (Hours)]]&lt;20,"L1",IF(Table1[[#This Row],[Estimated Effort (Hours)]]&lt;50,"L2",IF(Table1[[#This Row],[Estimated Effort (Hours)]]&lt;150,"L3",IF(Table1[[#This Row],[Estimated Effort (Hours)]]&lt;300,"L4","L5")))))</f>
        <v/>
      </c>
      <c r="S1457" s="184" t="str">
        <f>IF(Table1[[#This Row],[Actual End Date]]="","",TEXT(Table1[[#This Row],[Actual End Date]],"mmm-yy"))</f>
        <v/>
      </c>
      <c r="T14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7" s="185" t="str">
        <f>IFERROR((Table1[[#This Row],[Actual Effort (Hours)]]-Table1[[#This Row],[Estimated Effort (Hours)]])/Table1[[#This Row],[Estimated Effort (Hours)]],"")</f>
        <v/>
      </c>
    </row>
    <row r="1458" spans="2:21">
      <c r="B1458" s="125"/>
      <c r="C1458" s="123"/>
      <c r="D1458" s="143"/>
      <c r="E1458" s="123"/>
      <c r="F1458" s="143"/>
      <c r="G1458" s="129"/>
      <c r="H1458" s="124"/>
      <c r="I1458" s="124"/>
      <c r="J1458" s="129"/>
      <c r="K1458" s="194"/>
      <c r="L1458" s="194"/>
      <c r="M1458" s="129"/>
      <c r="N1458" s="129" t="e">
        <f>Table1[[#This Row],[Estimated Effort (Hours)]]/NETWORKDAYS(Table1[[#This Row],[Planned Start Date]],Table1[[#This Row],[Planned End Date]])</f>
        <v>#DIV/0!</v>
      </c>
      <c r="O1458" s="178">
        <f>NETWORKDAYS(Table1[[#This Row],[Planned Start Date]],Table1[[#This Row],[Planned End Date]])</f>
        <v>0</v>
      </c>
      <c r="P1458" s="178">
        <f>NETWORKDAYS(Table1[[#This Row],[Planned Start Date]],$P$7)</f>
        <v>30643</v>
      </c>
      <c r="Q1458" s="129"/>
      <c r="R1458" s="183" t="str">
        <f>IF(Table1[[#This Row],[Actual Effort (Hours)]]="","",IF(Table1[[#This Row],[Estimated Effort (Hours)]]&lt;20,"L1",IF(Table1[[#This Row],[Estimated Effort (Hours)]]&lt;50,"L2",IF(Table1[[#This Row],[Estimated Effort (Hours)]]&lt;150,"L3",IF(Table1[[#This Row],[Estimated Effort (Hours)]]&lt;300,"L4","L5")))))</f>
        <v/>
      </c>
      <c r="S1458" s="184" t="str">
        <f>IF(Table1[[#This Row],[Actual End Date]]="","",TEXT(Table1[[#This Row],[Actual End Date]],"mmm-yy"))</f>
        <v/>
      </c>
      <c r="T14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8" s="185" t="str">
        <f>IFERROR((Table1[[#This Row],[Actual Effort (Hours)]]-Table1[[#This Row],[Estimated Effort (Hours)]])/Table1[[#This Row],[Estimated Effort (Hours)]],"")</f>
        <v/>
      </c>
    </row>
    <row r="1459" spans="2:21">
      <c r="B1459" s="125"/>
      <c r="C1459" s="123"/>
      <c r="D1459" s="143"/>
      <c r="E1459" s="123"/>
      <c r="F1459" s="143"/>
      <c r="G1459" s="129"/>
      <c r="H1459" s="124"/>
      <c r="I1459" s="124"/>
      <c r="J1459" s="129"/>
      <c r="K1459" s="194"/>
      <c r="L1459" s="194"/>
      <c r="M1459" s="129"/>
      <c r="N1459" s="129" t="e">
        <f>Table1[[#This Row],[Estimated Effort (Hours)]]/NETWORKDAYS(Table1[[#This Row],[Planned Start Date]],Table1[[#This Row],[Planned End Date]])</f>
        <v>#DIV/0!</v>
      </c>
      <c r="O1459" s="178">
        <f>NETWORKDAYS(Table1[[#This Row],[Planned Start Date]],Table1[[#This Row],[Planned End Date]])</f>
        <v>0</v>
      </c>
      <c r="P1459" s="178">
        <f>NETWORKDAYS(Table1[[#This Row],[Planned Start Date]],$P$7)</f>
        <v>30643</v>
      </c>
      <c r="Q1459" s="129"/>
      <c r="R1459" s="183" t="str">
        <f>IF(Table1[[#This Row],[Actual Effort (Hours)]]="","",IF(Table1[[#This Row],[Estimated Effort (Hours)]]&lt;20,"L1",IF(Table1[[#This Row],[Estimated Effort (Hours)]]&lt;50,"L2",IF(Table1[[#This Row],[Estimated Effort (Hours)]]&lt;150,"L3",IF(Table1[[#This Row],[Estimated Effort (Hours)]]&lt;300,"L4","L5")))))</f>
        <v/>
      </c>
      <c r="S1459" s="184" t="str">
        <f>IF(Table1[[#This Row],[Actual End Date]]="","",TEXT(Table1[[#This Row],[Actual End Date]],"mmm-yy"))</f>
        <v/>
      </c>
      <c r="T14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59" s="185" t="str">
        <f>IFERROR((Table1[[#This Row],[Actual Effort (Hours)]]-Table1[[#This Row],[Estimated Effort (Hours)]])/Table1[[#This Row],[Estimated Effort (Hours)]],"")</f>
        <v/>
      </c>
    </row>
    <row r="1460" spans="2:21">
      <c r="B1460" s="125"/>
      <c r="C1460" s="123"/>
      <c r="D1460" s="143"/>
      <c r="E1460" s="123"/>
      <c r="F1460" s="143"/>
      <c r="G1460" s="129"/>
      <c r="H1460" s="124"/>
      <c r="I1460" s="124"/>
      <c r="J1460" s="129"/>
      <c r="K1460" s="194"/>
      <c r="L1460" s="194"/>
      <c r="M1460" s="129"/>
      <c r="N1460" s="129" t="e">
        <f>Table1[[#This Row],[Estimated Effort (Hours)]]/NETWORKDAYS(Table1[[#This Row],[Planned Start Date]],Table1[[#This Row],[Planned End Date]])</f>
        <v>#DIV/0!</v>
      </c>
      <c r="O1460" s="178">
        <f>NETWORKDAYS(Table1[[#This Row],[Planned Start Date]],Table1[[#This Row],[Planned End Date]])</f>
        <v>0</v>
      </c>
      <c r="P1460" s="178">
        <f>NETWORKDAYS(Table1[[#This Row],[Planned Start Date]],$P$7)</f>
        <v>30643</v>
      </c>
      <c r="Q1460" s="129"/>
      <c r="R1460" s="183" t="str">
        <f>IF(Table1[[#This Row],[Actual Effort (Hours)]]="","",IF(Table1[[#This Row],[Estimated Effort (Hours)]]&lt;20,"L1",IF(Table1[[#This Row],[Estimated Effort (Hours)]]&lt;50,"L2",IF(Table1[[#This Row],[Estimated Effort (Hours)]]&lt;150,"L3",IF(Table1[[#This Row],[Estimated Effort (Hours)]]&lt;300,"L4","L5")))))</f>
        <v/>
      </c>
      <c r="S1460" s="184" t="str">
        <f>IF(Table1[[#This Row],[Actual End Date]]="","",TEXT(Table1[[#This Row],[Actual End Date]],"mmm-yy"))</f>
        <v/>
      </c>
      <c r="T14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0" s="185" t="str">
        <f>IFERROR((Table1[[#This Row],[Actual Effort (Hours)]]-Table1[[#This Row],[Estimated Effort (Hours)]])/Table1[[#This Row],[Estimated Effort (Hours)]],"")</f>
        <v/>
      </c>
    </row>
    <row r="1461" spans="2:21">
      <c r="B1461" s="125"/>
      <c r="C1461" s="123"/>
      <c r="D1461" s="143"/>
      <c r="E1461" s="123"/>
      <c r="F1461" s="143"/>
      <c r="G1461" s="129"/>
      <c r="H1461" s="124"/>
      <c r="I1461" s="124"/>
      <c r="J1461" s="129"/>
      <c r="K1461" s="194"/>
      <c r="L1461" s="194"/>
      <c r="M1461" s="129"/>
      <c r="N1461" s="129" t="e">
        <f>Table1[[#This Row],[Estimated Effort (Hours)]]/NETWORKDAYS(Table1[[#This Row],[Planned Start Date]],Table1[[#This Row],[Planned End Date]])</f>
        <v>#DIV/0!</v>
      </c>
      <c r="O1461" s="178">
        <f>NETWORKDAYS(Table1[[#This Row],[Planned Start Date]],Table1[[#This Row],[Planned End Date]])</f>
        <v>0</v>
      </c>
      <c r="P1461" s="178">
        <f>NETWORKDAYS(Table1[[#This Row],[Planned Start Date]],$P$7)</f>
        <v>30643</v>
      </c>
      <c r="Q1461" s="129"/>
      <c r="R1461" s="183" t="str">
        <f>IF(Table1[[#This Row],[Actual Effort (Hours)]]="","",IF(Table1[[#This Row],[Estimated Effort (Hours)]]&lt;20,"L1",IF(Table1[[#This Row],[Estimated Effort (Hours)]]&lt;50,"L2",IF(Table1[[#This Row],[Estimated Effort (Hours)]]&lt;150,"L3",IF(Table1[[#This Row],[Estimated Effort (Hours)]]&lt;300,"L4","L5")))))</f>
        <v/>
      </c>
      <c r="S1461" s="184" t="str">
        <f>IF(Table1[[#This Row],[Actual End Date]]="","",TEXT(Table1[[#This Row],[Actual End Date]],"mmm-yy"))</f>
        <v/>
      </c>
      <c r="T14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1" s="185" t="str">
        <f>IFERROR((Table1[[#This Row],[Actual Effort (Hours)]]-Table1[[#This Row],[Estimated Effort (Hours)]])/Table1[[#This Row],[Estimated Effort (Hours)]],"")</f>
        <v/>
      </c>
    </row>
    <row r="1462" spans="2:21">
      <c r="B1462" s="125"/>
      <c r="C1462" s="123"/>
      <c r="D1462" s="143"/>
      <c r="E1462" s="123"/>
      <c r="F1462" s="143"/>
      <c r="G1462" s="129"/>
      <c r="H1462" s="124"/>
      <c r="I1462" s="124"/>
      <c r="J1462" s="129"/>
      <c r="K1462" s="194"/>
      <c r="L1462" s="194"/>
      <c r="M1462" s="129"/>
      <c r="N1462" s="129" t="e">
        <f>Table1[[#This Row],[Estimated Effort (Hours)]]/NETWORKDAYS(Table1[[#This Row],[Planned Start Date]],Table1[[#This Row],[Planned End Date]])</f>
        <v>#DIV/0!</v>
      </c>
      <c r="O1462" s="178">
        <f>NETWORKDAYS(Table1[[#This Row],[Planned Start Date]],Table1[[#This Row],[Planned End Date]])</f>
        <v>0</v>
      </c>
      <c r="P1462" s="178">
        <f>NETWORKDAYS(Table1[[#This Row],[Planned Start Date]],$P$7)</f>
        <v>30643</v>
      </c>
      <c r="Q1462" s="129"/>
      <c r="R1462" s="183" t="str">
        <f>IF(Table1[[#This Row],[Actual Effort (Hours)]]="","",IF(Table1[[#This Row],[Estimated Effort (Hours)]]&lt;20,"L1",IF(Table1[[#This Row],[Estimated Effort (Hours)]]&lt;50,"L2",IF(Table1[[#This Row],[Estimated Effort (Hours)]]&lt;150,"L3",IF(Table1[[#This Row],[Estimated Effort (Hours)]]&lt;300,"L4","L5")))))</f>
        <v/>
      </c>
      <c r="S1462" s="184" t="str">
        <f>IF(Table1[[#This Row],[Actual End Date]]="","",TEXT(Table1[[#This Row],[Actual End Date]],"mmm-yy"))</f>
        <v/>
      </c>
      <c r="T14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2" s="185" t="str">
        <f>IFERROR((Table1[[#This Row],[Actual Effort (Hours)]]-Table1[[#This Row],[Estimated Effort (Hours)]])/Table1[[#This Row],[Estimated Effort (Hours)]],"")</f>
        <v/>
      </c>
    </row>
    <row r="1463" spans="2:21">
      <c r="B1463" s="125"/>
      <c r="C1463" s="123"/>
      <c r="D1463" s="143"/>
      <c r="E1463" s="123"/>
      <c r="F1463" s="143"/>
      <c r="G1463" s="129"/>
      <c r="H1463" s="124"/>
      <c r="I1463" s="124"/>
      <c r="J1463" s="129"/>
      <c r="K1463" s="194"/>
      <c r="L1463" s="194"/>
      <c r="M1463" s="129"/>
      <c r="N1463" s="129" t="e">
        <f>Table1[[#This Row],[Estimated Effort (Hours)]]/NETWORKDAYS(Table1[[#This Row],[Planned Start Date]],Table1[[#This Row],[Planned End Date]])</f>
        <v>#DIV/0!</v>
      </c>
      <c r="O1463" s="178">
        <f>NETWORKDAYS(Table1[[#This Row],[Planned Start Date]],Table1[[#This Row],[Planned End Date]])</f>
        <v>0</v>
      </c>
      <c r="P1463" s="178">
        <f>NETWORKDAYS(Table1[[#This Row],[Planned Start Date]],$P$7)</f>
        <v>30643</v>
      </c>
      <c r="Q1463" s="129"/>
      <c r="R1463" s="183" t="str">
        <f>IF(Table1[[#This Row],[Actual Effort (Hours)]]="","",IF(Table1[[#This Row],[Estimated Effort (Hours)]]&lt;20,"L1",IF(Table1[[#This Row],[Estimated Effort (Hours)]]&lt;50,"L2",IF(Table1[[#This Row],[Estimated Effort (Hours)]]&lt;150,"L3",IF(Table1[[#This Row],[Estimated Effort (Hours)]]&lt;300,"L4","L5")))))</f>
        <v/>
      </c>
      <c r="S1463" s="184" t="str">
        <f>IF(Table1[[#This Row],[Actual End Date]]="","",TEXT(Table1[[#This Row],[Actual End Date]],"mmm-yy"))</f>
        <v/>
      </c>
      <c r="T14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3" s="185" t="str">
        <f>IFERROR((Table1[[#This Row],[Actual Effort (Hours)]]-Table1[[#This Row],[Estimated Effort (Hours)]])/Table1[[#This Row],[Estimated Effort (Hours)]],"")</f>
        <v/>
      </c>
    </row>
    <row r="1464" spans="2:21">
      <c r="B1464" s="125"/>
      <c r="C1464" s="123"/>
      <c r="D1464" s="143"/>
      <c r="E1464" s="123"/>
      <c r="F1464" s="143"/>
      <c r="G1464" s="129"/>
      <c r="H1464" s="124"/>
      <c r="I1464" s="124"/>
      <c r="J1464" s="129"/>
      <c r="K1464" s="194"/>
      <c r="L1464" s="194"/>
      <c r="M1464" s="129"/>
      <c r="N1464" s="129" t="e">
        <f>Table1[[#This Row],[Estimated Effort (Hours)]]/NETWORKDAYS(Table1[[#This Row],[Planned Start Date]],Table1[[#This Row],[Planned End Date]])</f>
        <v>#DIV/0!</v>
      </c>
      <c r="O1464" s="178">
        <f>NETWORKDAYS(Table1[[#This Row],[Planned Start Date]],Table1[[#This Row],[Planned End Date]])</f>
        <v>0</v>
      </c>
      <c r="P1464" s="178">
        <f>NETWORKDAYS(Table1[[#This Row],[Planned Start Date]],$P$7)</f>
        <v>30643</v>
      </c>
      <c r="Q1464" s="129"/>
      <c r="R1464" s="183" t="str">
        <f>IF(Table1[[#This Row],[Actual Effort (Hours)]]="","",IF(Table1[[#This Row],[Estimated Effort (Hours)]]&lt;20,"L1",IF(Table1[[#This Row],[Estimated Effort (Hours)]]&lt;50,"L2",IF(Table1[[#This Row],[Estimated Effort (Hours)]]&lt;150,"L3",IF(Table1[[#This Row],[Estimated Effort (Hours)]]&lt;300,"L4","L5")))))</f>
        <v/>
      </c>
      <c r="S1464" s="184" t="str">
        <f>IF(Table1[[#This Row],[Actual End Date]]="","",TEXT(Table1[[#This Row],[Actual End Date]],"mmm-yy"))</f>
        <v/>
      </c>
      <c r="T14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4" s="185" t="str">
        <f>IFERROR((Table1[[#This Row],[Actual Effort (Hours)]]-Table1[[#This Row],[Estimated Effort (Hours)]])/Table1[[#This Row],[Estimated Effort (Hours)]],"")</f>
        <v/>
      </c>
    </row>
    <row r="1465" spans="2:21">
      <c r="B1465" s="125"/>
      <c r="C1465" s="123"/>
      <c r="D1465" s="143"/>
      <c r="E1465" s="123"/>
      <c r="F1465" s="143"/>
      <c r="G1465" s="129"/>
      <c r="H1465" s="124"/>
      <c r="I1465" s="124"/>
      <c r="J1465" s="129"/>
      <c r="K1465" s="194"/>
      <c r="L1465" s="194"/>
      <c r="M1465" s="129"/>
      <c r="N1465" s="129" t="e">
        <f>Table1[[#This Row],[Estimated Effort (Hours)]]/NETWORKDAYS(Table1[[#This Row],[Planned Start Date]],Table1[[#This Row],[Planned End Date]])</f>
        <v>#DIV/0!</v>
      </c>
      <c r="O1465" s="178">
        <f>NETWORKDAYS(Table1[[#This Row],[Planned Start Date]],Table1[[#This Row],[Planned End Date]])</f>
        <v>0</v>
      </c>
      <c r="P1465" s="178">
        <f>NETWORKDAYS(Table1[[#This Row],[Planned Start Date]],$P$7)</f>
        <v>30643</v>
      </c>
      <c r="Q1465" s="129"/>
      <c r="R1465" s="183" t="str">
        <f>IF(Table1[[#This Row],[Actual Effort (Hours)]]="","",IF(Table1[[#This Row],[Estimated Effort (Hours)]]&lt;20,"L1",IF(Table1[[#This Row],[Estimated Effort (Hours)]]&lt;50,"L2",IF(Table1[[#This Row],[Estimated Effort (Hours)]]&lt;150,"L3",IF(Table1[[#This Row],[Estimated Effort (Hours)]]&lt;300,"L4","L5")))))</f>
        <v/>
      </c>
      <c r="S1465" s="184" t="str">
        <f>IF(Table1[[#This Row],[Actual End Date]]="","",TEXT(Table1[[#This Row],[Actual End Date]],"mmm-yy"))</f>
        <v/>
      </c>
      <c r="T14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5" s="185" t="str">
        <f>IFERROR((Table1[[#This Row],[Actual Effort (Hours)]]-Table1[[#This Row],[Estimated Effort (Hours)]])/Table1[[#This Row],[Estimated Effort (Hours)]],"")</f>
        <v/>
      </c>
    </row>
    <row r="1466" spans="2:21">
      <c r="B1466" s="125"/>
      <c r="C1466" s="123"/>
      <c r="D1466" s="143"/>
      <c r="E1466" s="123"/>
      <c r="F1466" s="143"/>
      <c r="G1466" s="129"/>
      <c r="H1466" s="124"/>
      <c r="I1466" s="124"/>
      <c r="J1466" s="129"/>
      <c r="K1466" s="194"/>
      <c r="L1466" s="194"/>
      <c r="M1466" s="129"/>
      <c r="N1466" s="129" t="e">
        <f>Table1[[#This Row],[Estimated Effort (Hours)]]/NETWORKDAYS(Table1[[#This Row],[Planned Start Date]],Table1[[#This Row],[Planned End Date]])</f>
        <v>#DIV/0!</v>
      </c>
      <c r="O1466" s="178">
        <f>NETWORKDAYS(Table1[[#This Row],[Planned Start Date]],Table1[[#This Row],[Planned End Date]])</f>
        <v>0</v>
      </c>
      <c r="P1466" s="178">
        <f>NETWORKDAYS(Table1[[#This Row],[Planned Start Date]],$P$7)</f>
        <v>30643</v>
      </c>
      <c r="Q1466" s="129"/>
      <c r="R1466" s="183" t="str">
        <f>IF(Table1[[#This Row],[Actual Effort (Hours)]]="","",IF(Table1[[#This Row],[Estimated Effort (Hours)]]&lt;20,"L1",IF(Table1[[#This Row],[Estimated Effort (Hours)]]&lt;50,"L2",IF(Table1[[#This Row],[Estimated Effort (Hours)]]&lt;150,"L3",IF(Table1[[#This Row],[Estimated Effort (Hours)]]&lt;300,"L4","L5")))))</f>
        <v/>
      </c>
      <c r="S1466" s="184" t="str">
        <f>IF(Table1[[#This Row],[Actual End Date]]="","",TEXT(Table1[[#This Row],[Actual End Date]],"mmm-yy"))</f>
        <v/>
      </c>
      <c r="T14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6" s="185" t="str">
        <f>IFERROR((Table1[[#This Row],[Actual Effort (Hours)]]-Table1[[#This Row],[Estimated Effort (Hours)]])/Table1[[#This Row],[Estimated Effort (Hours)]],"")</f>
        <v/>
      </c>
    </row>
    <row r="1467" spans="2:21">
      <c r="B1467" s="125"/>
      <c r="C1467" s="123"/>
      <c r="D1467" s="143"/>
      <c r="E1467" s="123"/>
      <c r="F1467" s="143"/>
      <c r="G1467" s="129"/>
      <c r="H1467" s="124"/>
      <c r="I1467" s="124"/>
      <c r="J1467" s="129"/>
      <c r="K1467" s="194"/>
      <c r="L1467" s="194"/>
      <c r="M1467" s="129"/>
      <c r="N1467" s="129" t="e">
        <f>Table1[[#This Row],[Estimated Effort (Hours)]]/NETWORKDAYS(Table1[[#This Row],[Planned Start Date]],Table1[[#This Row],[Planned End Date]])</f>
        <v>#DIV/0!</v>
      </c>
      <c r="O1467" s="178">
        <f>NETWORKDAYS(Table1[[#This Row],[Planned Start Date]],Table1[[#This Row],[Planned End Date]])</f>
        <v>0</v>
      </c>
      <c r="P1467" s="178">
        <f>NETWORKDAYS(Table1[[#This Row],[Planned Start Date]],$P$7)</f>
        <v>30643</v>
      </c>
      <c r="Q1467" s="129"/>
      <c r="R1467" s="183" t="str">
        <f>IF(Table1[[#This Row],[Actual Effort (Hours)]]="","",IF(Table1[[#This Row],[Estimated Effort (Hours)]]&lt;20,"L1",IF(Table1[[#This Row],[Estimated Effort (Hours)]]&lt;50,"L2",IF(Table1[[#This Row],[Estimated Effort (Hours)]]&lt;150,"L3",IF(Table1[[#This Row],[Estimated Effort (Hours)]]&lt;300,"L4","L5")))))</f>
        <v/>
      </c>
      <c r="S1467" s="184" t="str">
        <f>IF(Table1[[#This Row],[Actual End Date]]="","",TEXT(Table1[[#This Row],[Actual End Date]],"mmm-yy"))</f>
        <v/>
      </c>
      <c r="T14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7" s="185" t="str">
        <f>IFERROR((Table1[[#This Row],[Actual Effort (Hours)]]-Table1[[#This Row],[Estimated Effort (Hours)]])/Table1[[#This Row],[Estimated Effort (Hours)]],"")</f>
        <v/>
      </c>
    </row>
    <row r="1468" spans="2:21">
      <c r="B1468" s="125"/>
      <c r="C1468" s="123"/>
      <c r="D1468" s="143"/>
      <c r="E1468" s="123"/>
      <c r="F1468" s="143"/>
      <c r="G1468" s="129"/>
      <c r="H1468" s="124"/>
      <c r="I1468" s="124"/>
      <c r="J1468" s="129"/>
      <c r="K1468" s="194"/>
      <c r="L1468" s="194"/>
      <c r="M1468" s="129"/>
      <c r="N1468" s="129" t="e">
        <f>Table1[[#This Row],[Estimated Effort (Hours)]]/NETWORKDAYS(Table1[[#This Row],[Planned Start Date]],Table1[[#This Row],[Planned End Date]])</f>
        <v>#DIV/0!</v>
      </c>
      <c r="O1468" s="178">
        <f>NETWORKDAYS(Table1[[#This Row],[Planned Start Date]],Table1[[#This Row],[Planned End Date]])</f>
        <v>0</v>
      </c>
      <c r="P1468" s="178">
        <f>NETWORKDAYS(Table1[[#This Row],[Planned Start Date]],$P$7)</f>
        <v>30643</v>
      </c>
      <c r="Q1468" s="129"/>
      <c r="R1468" s="183" t="str">
        <f>IF(Table1[[#This Row],[Actual Effort (Hours)]]="","",IF(Table1[[#This Row],[Estimated Effort (Hours)]]&lt;20,"L1",IF(Table1[[#This Row],[Estimated Effort (Hours)]]&lt;50,"L2",IF(Table1[[#This Row],[Estimated Effort (Hours)]]&lt;150,"L3",IF(Table1[[#This Row],[Estimated Effort (Hours)]]&lt;300,"L4","L5")))))</f>
        <v/>
      </c>
      <c r="S1468" s="184" t="str">
        <f>IF(Table1[[#This Row],[Actual End Date]]="","",TEXT(Table1[[#This Row],[Actual End Date]],"mmm-yy"))</f>
        <v/>
      </c>
      <c r="T14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8" s="185" t="str">
        <f>IFERROR((Table1[[#This Row],[Actual Effort (Hours)]]-Table1[[#This Row],[Estimated Effort (Hours)]])/Table1[[#This Row],[Estimated Effort (Hours)]],"")</f>
        <v/>
      </c>
    </row>
    <row r="1469" spans="2:21">
      <c r="B1469" s="125"/>
      <c r="C1469" s="123"/>
      <c r="D1469" s="143"/>
      <c r="E1469" s="123"/>
      <c r="F1469" s="143"/>
      <c r="G1469" s="129"/>
      <c r="H1469" s="124"/>
      <c r="I1469" s="124"/>
      <c r="J1469" s="129"/>
      <c r="K1469" s="194"/>
      <c r="L1469" s="194"/>
      <c r="M1469" s="129"/>
      <c r="N1469" s="129" t="e">
        <f>Table1[[#This Row],[Estimated Effort (Hours)]]/NETWORKDAYS(Table1[[#This Row],[Planned Start Date]],Table1[[#This Row],[Planned End Date]])</f>
        <v>#DIV/0!</v>
      </c>
      <c r="O1469" s="178">
        <f>NETWORKDAYS(Table1[[#This Row],[Planned Start Date]],Table1[[#This Row],[Planned End Date]])</f>
        <v>0</v>
      </c>
      <c r="P1469" s="178">
        <f>NETWORKDAYS(Table1[[#This Row],[Planned Start Date]],$P$7)</f>
        <v>30643</v>
      </c>
      <c r="Q1469" s="129"/>
      <c r="R1469" s="183" t="str">
        <f>IF(Table1[[#This Row],[Actual Effort (Hours)]]="","",IF(Table1[[#This Row],[Estimated Effort (Hours)]]&lt;20,"L1",IF(Table1[[#This Row],[Estimated Effort (Hours)]]&lt;50,"L2",IF(Table1[[#This Row],[Estimated Effort (Hours)]]&lt;150,"L3",IF(Table1[[#This Row],[Estimated Effort (Hours)]]&lt;300,"L4","L5")))))</f>
        <v/>
      </c>
      <c r="S1469" s="184" t="str">
        <f>IF(Table1[[#This Row],[Actual End Date]]="","",TEXT(Table1[[#This Row],[Actual End Date]],"mmm-yy"))</f>
        <v/>
      </c>
      <c r="T14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69" s="185" t="str">
        <f>IFERROR((Table1[[#This Row],[Actual Effort (Hours)]]-Table1[[#This Row],[Estimated Effort (Hours)]])/Table1[[#This Row],[Estimated Effort (Hours)]],"")</f>
        <v/>
      </c>
    </row>
    <row r="1470" spans="2:21">
      <c r="B1470" s="125"/>
      <c r="C1470" s="123"/>
      <c r="D1470" s="143"/>
      <c r="E1470" s="123"/>
      <c r="F1470" s="143"/>
      <c r="G1470" s="129"/>
      <c r="H1470" s="124"/>
      <c r="I1470" s="124"/>
      <c r="J1470" s="129"/>
      <c r="K1470" s="194"/>
      <c r="L1470" s="194"/>
      <c r="M1470" s="129"/>
      <c r="N1470" s="129" t="e">
        <f>Table1[[#This Row],[Estimated Effort (Hours)]]/NETWORKDAYS(Table1[[#This Row],[Planned Start Date]],Table1[[#This Row],[Planned End Date]])</f>
        <v>#DIV/0!</v>
      </c>
      <c r="O1470" s="178">
        <f>NETWORKDAYS(Table1[[#This Row],[Planned Start Date]],Table1[[#This Row],[Planned End Date]])</f>
        <v>0</v>
      </c>
      <c r="P1470" s="178">
        <f>NETWORKDAYS(Table1[[#This Row],[Planned Start Date]],$P$7)</f>
        <v>30643</v>
      </c>
      <c r="Q1470" s="129"/>
      <c r="R1470" s="183" t="str">
        <f>IF(Table1[[#This Row],[Actual Effort (Hours)]]="","",IF(Table1[[#This Row],[Estimated Effort (Hours)]]&lt;20,"L1",IF(Table1[[#This Row],[Estimated Effort (Hours)]]&lt;50,"L2",IF(Table1[[#This Row],[Estimated Effort (Hours)]]&lt;150,"L3",IF(Table1[[#This Row],[Estimated Effort (Hours)]]&lt;300,"L4","L5")))))</f>
        <v/>
      </c>
      <c r="S1470" s="184" t="str">
        <f>IF(Table1[[#This Row],[Actual End Date]]="","",TEXT(Table1[[#This Row],[Actual End Date]],"mmm-yy"))</f>
        <v/>
      </c>
      <c r="T14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0" s="185" t="str">
        <f>IFERROR((Table1[[#This Row],[Actual Effort (Hours)]]-Table1[[#This Row],[Estimated Effort (Hours)]])/Table1[[#This Row],[Estimated Effort (Hours)]],"")</f>
        <v/>
      </c>
    </row>
    <row r="1471" spans="2:21">
      <c r="B1471" s="125"/>
      <c r="C1471" s="123"/>
      <c r="D1471" s="143"/>
      <c r="E1471" s="123"/>
      <c r="F1471" s="143"/>
      <c r="G1471" s="129"/>
      <c r="H1471" s="124"/>
      <c r="I1471" s="124"/>
      <c r="J1471" s="129"/>
      <c r="K1471" s="194"/>
      <c r="L1471" s="194"/>
      <c r="M1471" s="129"/>
      <c r="N1471" s="129" t="e">
        <f>Table1[[#This Row],[Estimated Effort (Hours)]]/NETWORKDAYS(Table1[[#This Row],[Planned Start Date]],Table1[[#This Row],[Planned End Date]])</f>
        <v>#DIV/0!</v>
      </c>
      <c r="O1471" s="178">
        <f>NETWORKDAYS(Table1[[#This Row],[Planned Start Date]],Table1[[#This Row],[Planned End Date]])</f>
        <v>0</v>
      </c>
      <c r="P1471" s="178">
        <f>NETWORKDAYS(Table1[[#This Row],[Planned Start Date]],$P$7)</f>
        <v>30643</v>
      </c>
      <c r="Q1471" s="129"/>
      <c r="R1471" s="183" t="str">
        <f>IF(Table1[[#This Row],[Actual Effort (Hours)]]="","",IF(Table1[[#This Row],[Estimated Effort (Hours)]]&lt;20,"L1",IF(Table1[[#This Row],[Estimated Effort (Hours)]]&lt;50,"L2",IF(Table1[[#This Row],[Estimated Effort (Hours)]]&lt;150,"L3",IF(Table1[[#This Row],[Estimated Effort (Hours)]]&lt;300,"L4","L5")))))</f>
        <v/>
      </c>
      <c r="S1471" s="184" t="str">
        <f>IF(Table1[[#This Row],[Actual End Date]]="","",TEXT(Table1[[#This Row],[Actual End Date]],"mmm-yy"))</f>
        <v/>
      </c>
      <c r="T14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1" s="185" t="str">
        <f>IFERROR((Table1[[#This Row],[Actual Effort (Hours)]]-Table1[[#This Row],[Estimated Effort (Hours)]])/Table1[[#This Row],[Estimated Effort (Hours)]],"")</f>
        <v/>
      </c>
    </row>
    <row r="1472" spans="2:21">
      <c r="B1472" s="125"/>
      <c r="C1472" s="123"/>
      <c r="D1472" s="143"/>
      <c r="E1472" s="123"/>
      <c r="F1472" s="143"/>
      <c r="G1472" s="129"/>
      <c r="H1472" s="124"/>
      <c r="I1472" s="124"/>
      <c r="J1472" s="129"/>
      <c r="K1472" s="194"/>
      <c r="L1472" s="194"/>
      <c r="M1472" s="129"/>
      <c r="N1472" s="129" t="e">
        <f>Table1[[#This Row],[Estimated Effort (Hours)]]/NETWORKDAYS(Table1[[#This Row],[Planned Start Date]],Table1[[#This Row],[Planned End Date]])</f>
        <v>#DIV/0!</v>
      </c>
      <c r="O1472" s="178">
        <f>NETWORKDAYS(Table1[[#This Row],[Planned Start Date]],Table1[[#This Row],[Planned End Date]])</f>
        <v>0</v>
      </c>
      <c r="P1472" s="178">
        <f>NETWORKDAYS(Table1[[#This Row],[Planned Start Date]],$P$7)</f>
        <v>30643</v>
      </c>
      <c r="Q1472" s="129"/>
      <c r="R1472" s="183" t="str">
        <f>IF(Table1[[#This Row],[Actual Effort (Hours)]]="","",IF(Table1[[#This Row],[Estimated Effort (Hours)]]&lt;20,"L1",IF(Table1[[#This Row],[Estimated Effort (Hours)]]&lt;50,"L2",IF(Table1[[#This Row],[Estimated Effort (Hours)]]&lt;150,"L3",IF(Table1[[#This Row],[Estimated Effort (Hours)]]&lt;300,"L4","L5")))))</f>
        <v/>
      </c>
      <c r="S1472" s="184" t="str">
        <f>IF(Table1[[#This Row],[Actual End Date]]="","",TEXT(Table1[[#This Row],[Actual End Date]],"mmm-yy"))</f>
        <v/>
      </c>
      <c r="T14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2" s="185" t="str">
        <f>IFERROR((Table1[[#This Row],[Actual Effort (Hours)]]-Table1[[#This Row],[Estimated Effort (Hours)]])/Table1[[#This Row],[Estimated Effort (Hours)]],"")</f>
        <v/>
      </c>
    </row>
    <row r="1473" spans="2:21">
      <c r="B1473" s="125"/>
      <c r="C1473" s="123"/>
      <c r="D1473" s="143"/>
      <c r="E1473" s="123"/>
      <c r="F1473" s="143"/>
      <c r="G1473" s="129"/>
      <c r="H1473" s="124"/>
      <c r="I1473" s="124"/>
      <c r="J1473" s="129"/>
      <c r="K1473" s="194"/>
      <c r="L1473" s="194"/>
      <c r="M1473" s="129"/>
      <c r="N1473" s="129" t="e">
        <f>Table1[[#This Row],[Estimated Effort (Hours)]]/NETWORKDAYS(Table1[[#This Row],[Planned Start Date]],Table1[[#This Row],[Planned End Date]])</f>
        <v>#DIV/0!</v>
      </c>
      <c r="O1473" s="178">
        <f>NETWORKDAYS(Table1[[#This Row],[Planned Start Date]],Table1[[#This Row],[Planned End Date]])</f>
        <v>0</v>
      </c>
      <c r="P1473" s="178">
        <f>NETWORKDAYS(Table1[[#This Row],[Planned Start Date]],$P$7)</f>
        <v>30643</v>
      </c>
      <c r="Q1473" s="129"/>
      <c r="R1473" s="183" t="str">
        <f>IF(Table1[[#This Row],[Actual Effort (Hours)]]="","",IF(Table1[[#This Row],[Estimated Effort (Hours)]]&lt;20,"L1",IF(Table1[[#This Row],[Estimated Effort (Hours)]]&lt;50,"L2",IF(Table1[[#This Row],[Estimated Effort (Hours)]]&lt;150,"L3",IF(Table1[[#This Row],[Estimated Effort (Hours)]]&lt;300,"L4","L5")))))</f>
        <v/>
      </c>
      <c r="S1473" s="184" t="str">
        <f>IF(Table1[[#This Row],[Actual End Date]]="","",TEXT(Table1[[#This Row],[Actual End Date]],"mmm-yy"))</f>
        <v/>
      </c>
      <c r="T14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3" s="185" t="str">
        <f>IFERROR((Table1[[#This Row],[Actual Effort (Hours)]]-Table1[[#This Row],[Estimated Effort (Hours)]])/Table1[[#This Row],[Estimated Effort (Hours)]],"")</f>
        <v/>
      </c>
    </row>
    <row r="1474" spans="2:21">
      <c r="B1474" s="125"/>
      <c r="C1474" s="123"/>
      <c r="D1474" s="143"/>
      <c r="E1474" s="123"/>
      <c r="F1474" s="143"/>
      <c r="G1474" s="129"/>
      <c r="H1474" s="124"/>
      <c r="I1474" s="124"/>
      <c r="J1474" s="129"/>
      <c r="K1474" s="194"/>
      <c r="L1474" s="194"/>
      <c r="M1474" s="129"/>
      <c r="N1474" s="129" t="e">
        <f>Table1[[#This Row],[Estimated Effort (Hours)]]/NETWORKDAYS(Table1[[#This Row],[Planned Start Date]],Table1[[#This Row],[Planned End Date]])</f>
        <v>#DIV/0!</v>
      </c>
      <c r="O1474" s="178">
        <f>NETWORKDAYS(Table1[[#This Row],[Planned Start Date]],Table1[[#This Row],[Planned End Date]])</f>
        <v>0</v>
      </c>
      <c r="P1474" s="178">
        <f>NETWORKDAYS(Table1[[#This Row],[Planned Start Date]],$P$7)</f>
        <v>30643</v>
      </c>
      <c r="Q1474" s="129"/>
      <c r="R1474" s="183" t="str">
        <f>IF(Table1[[#This Row],[Actual Effort (Hours)]]="","",IF(Table1[[#This Row],[Estimated Effort (Hours)]]&lt;20,"L1",IF(Table1[[#This Row],[Estimated Effort (Hours)]]&lt;50,"L2",IF(Table1[[#This Row],[Estimated Effort (Hours)]]&lt;150,"L3",IF(Table1[[#This Row],[Estimated Effort (Hours)]]&lt;300,"L4","L5")))))</f>
        <v/>
      </c>
      <c r="S1474" s="184" t="str">
        <f>IF(Table1[[#This Row],[Actual End Date]]="","",TEXT(Table1[[#This Row],[Actual End Date]],"mmm-yy"))</f>
        <v/>
      </c>
      <c r="T14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4" s="185" t="str">
        <f>IFERROR((Table1[[#This Row],[Actual Effort (Hours)]]-Table1[[#This Row],[Estimated Effort (Hours)]])/Table1[[#This Row],[Estimated Effort (Hours)]],"")</f>
        <v/>
      </c>
    </row>
    <row r="1475" spans="2:21">
      <c r="B1475" s="125"/>
      <c r="C1475" s="123"/>
      <c r="D1475" s="143"/>
      <c r="E1475" s="123"/>
      <c r="F1475" s="143"/>
      <c r="G1475" s="129"/>
      <c r="H1475" s="124"/>
      <c r="I1475" s="124"/>
      <c r="J1475" s="129"/>
      <c r="K1475" s="194"/>
      <c r="L1475" s="194"/>
      <c r="M1475" s="129"/>
      <c r="N1475" s="129" t="e">
        <f>Table1[[#This Row],[Estimated Effort (Hours)]]/NETWORKDAYS(Table1[[#This Row],[Planned Start Date]],Table1[[#This Row],[Planned End Date]])</f>
        <v>#DIV/0!</v>
      </c>
      <c r="O1475" s="178">
        <f>NETWORKDAYS(Table1[[#This Row],[Planned Start Date]],Table1[[#This Row],[Planned End Date]])</f>
        <v>0</v>
      </c>
      <c r="P1475" s="178">
        <f>NETWORKDAYS(Table1[[#This Row],[Planned Start Date]],$P$7)</f>
        <v>30643</v>
      </c>
      <c r="Q1475" s="129"/>
      <c r="R1475" s="183" t="str">
        <f>IF(Table1[[#This Row],[Actual Effort (Hours)]]="","",IF(Table1[[#This Row],[Estimated Effort (Hours)]]&lt;20,"L1",IF(Table1[[#This Row],[Estimated Effort (Hours)]]&lt;50,"L2",IF(Table1[[#This Row],[Estimated Effort (Hours)]]&lt;150,"L3",IF(Table1[[#This Row],[Estimated Effort (Hours)]]&lt;300,"L4","L5")))))</f>
        <v/>
      </c>
      <c r="S1475" s="184" t="str">
        <f>IF(Table1[[#This Row],[Actual End Date]]="","",TEXT(Table1[[#This Row],[Actual End Date]],"mmm-yy"))</f>
        <v/>
      </c>
      <c r="T14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5" s="185" t="str">
        <f>IFERROR((Table1[[#This Row],[Actual Effort (Hours)]]-Table1[[#This Row],[Estimated Effort (Hours)]])/Table1[[#This Row],[Estimated Effort (Hours)]],"")</f>
        <v/>
      </c>
    </row>
    <row r="1476" spans="2:21">
      <c r="B1476" s="125"/>
      <c r="C1476" s="123"/>
      <c r="D1476" s="143"/>
      <c r="E1476" s="123"/>
      <c r="F1476" s="143"/>
      <c r="G1476" s="129"/>
      <c r="H1476" s="124"/>
      <c r="I1476" s="124"/>
      <c r="J1476" s="129"/>
      <c r="K1476" s="194"/>
      <c r="L1476" s="194"/>
      <c r="M1476" s="129"/>
      <c r="N1476" s="129" t="e">
        <f>Table1[[#This Row],[Estimated Effort (Hours)]]/NETWORKDAYS(Table1[[#This Row],[Planned Start Date]],Table1[[#This Row],[Planned End Date]])</f>
        <v>#DIV/0!</v>
      </c>
      <c r="O1476" s="178">
        <f>NETWORKDAYS(Table1[[#This Row],[Planned Start Date]],Table1[[#This Row],[Planned End Date]])</f>
        <v>0</v>
      </c>
      <c r="P1476" s="178">
        <f>NETWORKDAYS(Table1[[#This Row],[Planned Start Date]],$P$7)</f>
        <v>30643</v>
      </c>
      <c r="Q1476" s="129"/>
      <c r="R1476" s="183" t="str">
        <f>IF(Table1[[#This Row],[Actual Effort (Hours)]]="","",IF(Table1[[#This Row],[Estimated Effort (Hours)]]&lt;20,"L1",IF(Table1[[#This Row],[Estimated Effort (Hours)]]&lt;50,"L2",IF(Table1[[#This Row],[Estimated Effort (Hours)]]&lt;150,"L3",IF(Table1[[#This Row],[Estimated Effort (Hours)]]&lt;300,"L4","L5")))))</f>
        <v/>
      </c>
      <c r="S1476" s="184" t="str">
        <f>IF(Table1[[#This Row],[Actual End Date]]="","",TEXT(Table1[[#This Row],[Actual End Date]],"mmm-yy"))</f>
        <v/>
      </c>
      <c r="T14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6" s="185" t="str">
        <f>IFERROR((Table1[[#This Row],[Actual Effort (Hours)]]-Table1[[#This Row],[Estimated Effort (Hours)]])/Table1[[#This Row],[Estimated Effort (Hours)]],"")</f>
        <v/>
      </c>
    </row>
    <row r="1477" spans="2:21">
      <c r="B1477" s="125"/>
      <c r="C1477" s="123"/>
      <c r="D1477" s="143"/>
      <c r="E1477" s="123"/>
      <c r="F1477" s="143"/>
      <c r="G1477" s="129"/>
      <c r="H1477" s="124"/>
      <c r="I1477" s="124"/>
      <c r="J1477" s="129"/>
      <c r="K1477" s="194"/>
      <c r="L1477" s="194"/>
      <c r="M1477" s="129"/>
      <c r="N1477" s="129" t="e">
        <f>Table1[[#This Row],[Estimated Effort (Hours)]]/NETWORKDAYS(Table1[[#This Row],[Planned Start Date]],Table1[[#This Row],[Planned End Date]])</f>
        <v>#DIV/0!</v>
      </c>
      <c r="O1477" s="178">
        <f>NETWORKDAYS(Table1[[#This Row],[Planned Start Date]],Table1[[#This Row],[Planned End Date]])</f>
        <v>0</v>
      </c>
      <c r="P1477" s="178">
        <f>NETWORKDAYS(Table1[[#This Row],[Planned Start Date]],$P$7)</f>
        <v>30643</v>
      </c>
      <c r="Q1477" s="129"/>
      <c r="R1477" s="183" t="str">
        <f>IF(Table1[[#This Row],[Actual Effort (Hours)]]="","",IF(Table1[[#This Row],[Estimated Effort (Hours)]]&lt;20,"L1",IF(Table1[[#This Row],[Estimated Effort (Hours)]]&lt;50,"L2",IF(Table1[[#This Row],[Estimated Effort (Hours)]]&lt;150,"L3",IF(Table1[[#This Row],[Estimated Effort (Hours)]]&lt;300,"L4","L5")))))</f>
        <v/>
      </c>
      <c r="S1477" s="184" t="str">
        <f>IF(Table1[[#This Row],[Actual End Date]]="","",TEXT(Table1[[#This Row],[Actual End Date]],"mmm-yy"))</f>
        <v/>
      </c>
      <c r="T14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7" s="185" t="str">
        <f>IFERROR((Table1[[#This Row],[Actual Effort (Hours)]]-Table1[[#This Row],[Estimated Effort (Hours)]])/Table1[[#This Row],[Estimated Effort (Hours)]],"")</f>
        <v/>
      </c>
    </row>
    <row r="1478" spans="2:21">
      <c r="B1478" s="125"/>
      <c r="C1478" s="123"/>
      <c r="D1478" s="143"/>
      <c r="E1478" s="123"/>
      <c r="F1478" s="143"/>
      <c r="G1478" s="129"/>
      <c r="H1478" s="124"/>
      <c r="I1478" s="124"/>
      <c r="J1478" s="129"/>
      <c r="K1478" s="194"/>
      <c r="L1478" s="194"/>
      <c r="M1478" s="129"/>
      <c r="N1478" s="129" t="e">
        <f>Table1[[#This Row],[Estimated Effort (Hours)]]/NETWORKDAYS(Table1[[#This Row],[Planned Start Date]],Table1[[#This Row],[Planned End Date]])</f>
        <v>#DIV/0!</v>
      </c>
      <c r="O1478" s="178">
        <f>NETWORKDAYS(Table1[[#This Row],[Planned Start Date]],Table1[[#This Row],[Planned End Date]])</f>
        <v>0</v>
      </c>
      <c r="P1478" s="178">
        <f>NETWORKDAYS(Table1[[#This Row],[Planned Start Date]],$P$7)</f>
        <v>30643</v>
      </c>
      <c r="Q1478" s="129"/>
      <c r="R1478" s="183" t="str">
        <f>IF(Table1[[#This Row],[Actual Effort (Hours)]]="","",IF(Table1[[#This Row],[Estimated Effort (Hours)]]&lt;20,"L1",IF(Table1[[#This Row],[Estimated Effort (Hours)]]&lt;50,"L2",IF(Table1[[#This Row],[Estimated Effort (Hours)]]&lt;150,"L3",IF(Table1[[#This Row],[Estimated Effort (Hours)]]&lt;300,"L4","L5")))))</f>
        <v/>
      </c>
      <c r="S1478" s="184" t="str">
        <f>IF(Table1[[#This Row],[Actual End Date]]="","",TEXT(Table1[[#This Row],[Actual End Date]],"mmm-yy"))</f>
        <v/>
      </c>
      <c r="T14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8" s="185" t="str">
        <f>IFERROR((Table1[[#This Row],[Actual Effort (Hours)]]-Table1[[#This Row],[Estimated Effort (Hours)]])/Table1[[#This Row],[Estimated Effort (Hours)]],"")</f>
        <v/>
      </c>
    </row>
    <row r="1479" spans="2:21">
      <c r="B1479" s="125"/>
      <c r="C1479" s="123"/>
      <c r="D1479" s="143"/>
      <c r="E1479" s="123"/>
      <c r="F1479" s="143"/>
      <c r="G1479" s="129"/>
      <c r="H1479" s="124"/>
      <c r="I1479" s="124"/>
      <c r="J1479" s="129"/>
      <c r="K1479" s="194"/>
      <c r="L1479" s="194"/>
      <c r="M1479" s="129"/>
      <c r="N1479" s="129" t="e">
        <f>Table1[[#This Row],[Estimated Effort (Hours)]]/NETWORKDAYS(Table1[[#This Row],[Planned Start Date]],Table1[[#This Row],[Planned End Date]])</f>
        <v>#DIV/0!</v>
      </c>
      <c r="O1479" s="178">
        <f>NETWORKDAYS(Table1[[#This Row],[Planned Start Date]],Table1[[#This Row],[Planned End Date]])</f>
        <v>0</v>
      </c>
      <c r="P1479" s="178">
        <f>NETWORKDAYS(Table1[[#This Row],[Planned Start Date]],$P$7)</f>
        <v>30643</v>
      </c>
      <c r="Q1479" s="129"/>
      <c r="R1479" s="183" t="str">
        <f>IF(Table1[[#This Row],[Actual Effort (Hours)]]="","",IF(Table1[[#This Row],[Estimated Effort (Hours)]]&lt;20,"L1",IF(Table1[[#This Row],[Estimated Effort (Hours)]]&lt;50,"L2",IF(Table1[[#This Row],[Estimated Effort (Hours)]]&lt;150,"L3",IF(Table1[[#This Row],[Estimated Effort (Hours)]]&lt;300,"L4","L5")))))</f>
        <v/>
      </c>
      <c r="S1479" s="184" t="str">
        <f>IF(Table1[[#This Row],[Actual End Date]]="","",TEXT(Table1[[#This Row],[Actual End Date]],"mmm-yy"))</f>
        <v/>
      </c>
      <c r="T14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79" s="185" t="str">
        <f>IFERROR((Table1[[#This Row],[Actual Effort (Hours)]]-Table1[[#This Row],[Estimated Effort (Hours)]])/Table1[[#This Row],[Estimated Effort (Hours)]],"")</f>
        <v/>
      </c>
    </row>
    <row r="1480" spans="2:21">
      <c r="B1480" s="125"/>
      <c r="C1480" s="123"/>
      <c r="D1480" s="143"/>
      <c r="E1480" s="123"/>
      <c r="F1480" s="143"/>
      <c r="G1480" s="129"/>
      <c r="H1480" s="124"/>
      <c r="I1480" s="124"/>
      <c r="J1480" s="129"/>
      <c r="K1480" s="194"/>
      <c r="L1480" s="194"/>
      <c r="M1480" s="129"/>
      <c r="N1480" s="129" t="e">
        <f>Table1[[#This Row],[Estimated Effort (Hours)]]/NETWORKDAYS(Table1[[#This Row],[Planned Start Date]],Table1[[#This Row],[Planned End Date]])</f>
        <v>#DIV/0!</v>
      </c>
      <c r="O1480" s="178">
        <f>NETWORKDAYS(Table1[[#This Row],[Planned Start Date]],Table1[[#This Row],[Planned End Date]])</f>
        <v>0</v>
      </c>
      <c r="P1480" s="178">
        <f>NETWORKDAYS(Table1[[#This Row],[Planned Start Date]],$P$7)</f>
        <v>30643</v>
      </c>
      <c r="Q1480" s="129"/>
      <c r="R1480" s="183" t="str">
        <f>IF(Table1[[#This Row],[Actual Effort (Hours)]]="","",IF(Table1[[#This Row],[Estimated Effort (Hours)]]&lt;20,"L1",IF(Table1[[#This Row],[Estimated Effort (Hours)]]&lt;50,"L2",IF(Table1[[#This Row],[Estimated Effort (Hours)]]&lt;150,"L3",IF(Table1[[#This Row],[Estimated Effort (Hours)]]&lt;300,"L4","L5")))))</f>
        <v/>
      </c>
      <c r="S1480" s="184" t="str">
        <f>IF(Table1[[#This Row],[Actual End Date]]="","",TEXT(Table1[[#This Row],[Actual End Date]],"mmm-yy"))</f>
        <v/>
      </c>
      <c r="T14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0" s="185" t="str">
        <f>IFERROR((Table1[[#This Row],[Actual Effort (Hours)]]-Table1[[#This Row],[Estimated Effort (Hours)]])/Table1[[#This Row],[Estimated Effort (Hours)]],"")</f>
        <v/>
      </c>
    </row>
    <row r="1481" spans="2:21">
      <c r="B1481" s="125"/>
      <c r="C1481" s="123"/>
      <c r="D1481" s="143"/>
      <c r="E1481" s="123"/>
      <c r="F1481" s="143"/>
      <c r="G1481" s="129"/>
      <c r="H1481" s="124"/>
      <c r="I1481" s="124"/>
      <c r="J1481" s="129"/>
      <c r="K1481" s="194"/>
      <c r="L1481" s="194"/>
      <c r="M1481" s="129"/>
      <c r="N1481" s="129" t="e">
        <f>Table1[[#This Row],[Estimated Effort (Hours)]]/NETWORKDAYS(Table1[[#This Row],[Planned Start Date]],Table1[[#This Row],[Planned End Date]])</f>
        <v>#DIV/0!</v>
      </c>
      <c r="O1481" s="178">
        <f>NETWORKDAYS(Table1[[#This Row],[Planned Start Date]],Table1[[#This Row],[Planned End Date]])</f>
        <v>0</v>
      </c>
      <c r="P1481" s="178">
        <f>NETWORKDAYS(Table1[[#This Row],[Planned Start Date]],$P$7)</f>
        <v>30643</v>
      </c>
      <c r="Q1481" s="129"/>
      <c r="R1481" s="183" t="str">
        <f>IF(Table1[[#This Row],[Actual Effort (Hours)]]="","",IF(Table1[[#This Row],[Estimated Effort (Hours)]]&lt;20,"L1",IF(Table1[[#This Row],[Estimated Effort (Hours)]]&lt;50,"L2",IF(Table1[[#This Row],[Estimated Effort (Hours)]]&lt;150,"L3",IF(Table1[[#This Row],[Estimated Effort (Hours)]]&lt;300,"L4","L5")))))</f>
        <v/>
      </c>
      <c r="S1481" s="184" t="str">
        <f>IF(Table1[[#This Row],[Actual End Date]]="","",TEXT(Table1[[#This Row],[Actual End Date]],"mmm-yy"))</f>
        <v/>
      </c>
      <c r="T14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1" s="185" t="str">
        <f>IFERROR((Table1[[#This Row],[Actual Effort (Hours)]]-Table1[[#This Row],[Estimated Effort (Hours)]])/Table1[[#This Row],[Estimated Effort (Hours)]],"")</f>
        <v/>
      </c>
    </row>
    <row r="1482" spans="2:21">
      <c r="B1482" s="125"/>
      <c r="C1482" s="123"/>
      <c r="D1482" s="143"/>
      <c r="E1482" s="123"/>
      <c r="F1482" s="143"/>
      <c r="G1482" s="129"/>
      <c r="H1482" s="124"/>
      <c r="I1482" s="124"/>
      <c r="J1482" s="129"/>
      <c r="K1482" s="194"/>
      <c r="L1482" s="194"/>
      <c r="M1482" s="129"/>
      <c r="N1482" s="129" t="e">
        <f>Table1[[#This Row],[Estimated Effort (Hours)]]/NETWORKDAYS(Table1[[#This Row],[Planned Start Date]],Table1[[#This Row],[Planned End Date]])</f>
        <v>#DIV/0!</v>
      </c>
      <c r="O1482" s="178">
        <f>NETWORKDAYS(Table1[[#This Row],[Planned Start Date]],Table1[[#This Row],[Planned End Date]])</f>
        <v>0</v>
      </c>
      <c r="P1482" s="178">
        <f>NETWORKDAYS(Table1[[#This Row],[Planned Start Date]],$P$7)</f>
        <v>30643</v>
      </c>
      <c r="Q1482" s="129"/>
      <c r="R1482" s="183" t="str">
        <f>IF(Table1[[#This Row],[Actual Effort (Hours)]]="","",IF(Table1[[#This Row],[Estimated Effort (Hours)]]&lt;20,"L1",IF(Table1[[#This Row],[Estimated Effort (Hours)]]&lt;50,"L2",IF(Table1[[#This Row],[Estimated Effort (Hours)]]&lt;150,"L3",IF(Table1[[#This Row],[Estimated Effort (Hours)]]&lt;300,"L4","L5")))))</f>
        <v/>
      </c>
      <c r="S1482" s="184" t="str">
        <f>IF(Table1[[#This Row],[Actual End Date]]="","",TEXT(Table1[[#This Row],[Actual End Date]],"mmm-yy"))</f>
        <v/>
      </c>
      <c r="T14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2" s="185" t="str">
        <f>IFERROR((Table1[[#This Row],[Actual Effort (Hours)]]-Table1[[#This Row],[Estimated Effort (Hours)]])/Table1[[#This Row],[Estimated Effort (Hours)]],"")</f>
        <v/>
      </c>
    </row>
    <row r="1483" spans="2:21">
      <c r="B1483" s="125"/>
      <c r="C1483" s="123"/>
      <c r="D1483" s="143"/>
      <c r="E1483" s="123"/>
      <c r="F1483" s="143"/>
      <c r="G1483" s="129"/>
      <c r="H1483" s="124"/>
      <c r="I1483" s="124"/>
      <c r="J1483" s="129"/>
      <c r="K1483" s="194"/>
      <c r="L1483" s="194"/>
      <c r="M1483" s="129"/>
      <c r="N1483" s="129" t="e">
        <f>Table1[[#This Row],[Estimated Effort (Hours)]]/NETWORKDAYS(Table1[[#This Row],[Planned Start Date]],Table1[[#This Row],[Planned End Date]])</f>
        <v>#DIV/0!</v>
      </c>
      <c r="O1483" s="178">
        <f>NETWORKDAYS(Table1[[#This Row],[Planned Start Date]],Table1[[#This Row],[Planned End Date]])</f>
        <v>0</v>
      </c>
      <c r="P1483" s="178">
        <f>NETWORKDAYS(Table1[[#This Row],[Planned Start Date]],$P$7)</f>
        <v>30643</v>
      </c>
      <c r="Q1483" s="129"/>
      <c r="R1483" s="183" t="str">
        <f>IF(Table1[[#This Row],[Actual Effort (Hours)]]="","",IF(Table1[[#This Row],[Estimated Effort (Hours)]]&lt;20,"L1",IF(Table1[[#This Row],[Estimated Effort (Hours)]]&lt;50,"L2",IF(Table1[[#This Row],[Estimated Effort (Hours)]]&lt;150,"L3",IF(Table1[[#This Row],[Estimated Effort (Hours)]]&lt;300,"L4","L5")))))</f>
        <v/>
      </c>
      <c r="S1483" s="184" t="str">
        <f>IF(Table1[[#This Row],[Actual End Date]]="","",TEXT(Table1[[#This Row],[Actual End Date]],"mmm-yy"))</f>
        <v/>
      </c>
      <c r="T14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3" s="185" t="str">
        <f>IFERROR((Table1[[#This Row],[Actual Effort (Hours)]]-Table1[[#This Row],[Estimated Effort (Hours)]])/Table1[[#This Row],[Estimated Effort (Hours)]],"")</f>
        <v/>
      </c>
    </row>
    <row r="1484" spans="2:21">
      <c r="B1484" s="125"/>
      <c r="C1484" s="123"/>
      <c r="D1484" s="143"/>
      <c r="E1484" s="123"/>
      <c r="F1484" s="143"/>
      <c r="G1484" s="129"/>
      <c r="H1484" s="124"/>
      <c r="I1484" s="124"/>
      <c r="J1484" s="129"/>
      <c r="K1484" s="194"/>
      <c r="L1484" s="194"/>
      <c r="M1484" s="129"/>
      <c r="N1484" s="129" t="e">
        <f>Table1[[#This Row],[Estimated Effort (Hours)]]/NETWORKDAYS(Table1[[#This Row],[Planned Start Date]],Table1[[#This Row],[Planned End Date]])</f>
        <v>#DIV/0!</v>
      </c>
      <c r="O1484" s="178">
        <f>NETWORKDAYS(Table1[[#This Row],[Planned Start Date]],Table1[[#This Row],[Planned End Date]])</f>
        <v>0</v>
      </c>
      <c r="P1484" s="178">
        <f>NETWORKDAYS(Table1[[#This Row],[Planned Start Date]],$P$7)</f>
        <v>30643</v>
      </c>
      <c r="Q1484" s="129"/>
      <c r="R1484" s="183" t="str">
        <f>IF(Table1[[#This Row],[Actual Effort (Hours)]]="","",IF(Table1[[#This Row],[Estimated Effort (Hours)]]&lt;20,"L1",IF(Table1[[#This Row],[Estimated Effort (Hours)]]&lt;50,"L2",IF(Table1[[#This Row],[Estimated Effort (Hours)]]&lt;150,"L3",IF(Table1[[#This Row],[Estimated Effort (Hours)]]&lt;300,"L4","L5")))))</f>
        <v/>
      </c>
      <c r="S1484" s="184" t="str">
        <f>IF(Table1[[#This Row],[Actual End Date]]="","",TEXT(Table1[[#This Row],[Actual End Date]],"mmm-yy"))</f>
        <v/>
      </c>
      <c r="T14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4" s="185" t="str">
        <f>IFERROR((Table1[[#This Row],[Actual Effort (Hours)]]-Table1[[#This Row],[Estimated Effort (Hours)]])/Table1[[#This Row],[Estimated Effort (Hours)]],"")</f>
        <v/>
      </c>
    </row>
    <row r="1485" spans="2:21">
      <c r="B1485" s="125"/>
      <c r="C1485" s="123"/>
      <c r="D1485" s="143"/>
      <c r="E1485" s="123"/>
      <c r="F1485" s="143"/>
      <c r="G1485" s="129"/>
      <c r="H1485" s="124"/>
      <c r="I1485" s="124"/>
      <c r="J1485" s="129"/>
      <c r="K1485" s="194"/>
      <c r="L1485" s="194"/>
      <c r="M1485" s="129"/>
      <c r="N1485" s="129" t="e">
        <f>Table1[[#This Row],[Estimated Effort (Hours)]]/NETWORKDAYS(Table1[[#This Row],[Planned Start Date]],Table1[[#This Row],[Planned End Date]])</f>
        <v>#DIV/0!</v>
      </c>
      <c r="O1485" s="178">
        <f>NETWORKDAYS(Table1[[#This Row],[Planned Start Date]],Table1[[#This Row],[Planned End Date]])</f>
        <v>0</v>
      </c>
      <c r="P1485" s="178">
        <f>NETWORKDAYS(Table1[[#This Row],[Planned Start Date]],$P$7)</f>
        <v>30643</v>
      </c>
      <c r="Q1485" s="129"/>
      <c r="R1485" s="183" t="str">
        <f>IF(Table1[[#This Row],[Actual Effort (Hours)]]="","",IF(Table1[[#This Row],[Estimated Effort (Hours)]]&lt;20,"L1",IF(Table1[[#This Row],[Estimated Effort (Hours)]]&lt;50,"L2",IF(Table1[[#This Row],[Estimated Effort (Hours)]]&lt;150,"L3",IF(Table1[[#This Row],[Estimated Effort (Hours)]]&lt;300,"L4","L5")))))</f>
        <v/>
      </c>
      <c r="S1485" s="184" t="str">
        <f>IF(Table1[[#This Row],[Actual End Date]]="","",TEXT(Table1[[#This Row],[Actual End Date]],"mmm-yy"))</f>
        <v/>
      </c>
      <c r="T14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5" s="185" t="str">
        <f>IFERROR((Table1[[#This Row],[Actual Effort (Hours)]]-Table1[[#This Row],[Estimated Effort (Hours)]])/Table1[[#This Row],[Estimated Effort (Hours)]],"")</f>
        <v/>
      </c>
    </row>
    <row r="1486" spans="2:21">
      <c r="B1486" s="125"/>
      <c r="C1486" s="123"/>
      <c r="D1486" s="143"/>
      <c r="E1486" s="123"/>
      <c r="F1486" s="143"/>
      <c r="G1486" s="129"/>
      <c r="H1486" s="124"/>
      <c r="I1486" s="124"/>
      <c r="J1486" s="129"/>
      <c r="K1486" s="194"/>
      <c r="L1486" s="194"/>
      <c r="M1486" s="129"/>
      <c r="N1486" s="129" t="e">
        <f>Table1[[#This Row],[Estimated Effort (Hours)]]/NETWORKDAYS(Table1[[#This Row],[Planned Start Date]],Table1[[#This Row],[Planned End Date]])</f>
        <v>#DIV/0!</v>
      </c>
      <c r="O1486" s="178">
        <f>NETWORKDAYS(Table1[[#This Row],[Planned Start Date]],Table1[[#This Row],[Planned End Date]])</f>
        <v>0</v>
      </c>
      <c r="P1486" s="178">
        <f>NETWORKDAYS(Table1[[#This Row],[Planned Start Date]],$P$7)</f>
        <v>30643</v>
      </c>
      <c r="Q1486" s="129"/>
      <c r="R1486" s="183" t="str">
        <f>IF(Table1[[#This Row],[Actual Effort (Hours)]]="","",IF(Table1[[#This Row],[Estimated Effort (Hours)]]&lt;20,"L1",IF(Table1[[#This Row],[Estimated Effort (Hours)]]&lt;50,"L2",IF(Table1[[#This Row],[Estimated Effort (Hours)]]&lt;150,"L3",IF(Table1[[#This Row],[Estimated Effort (Hours)]]&lt;300,"L4","L5")))))</f>
        <v/>
      </c>
      <c r="S1486" s="184" t="str">
        <f>IF(Table1[[#This Row],[Actual End Date]]="","",TEXT(Table1[[#This Row],[Actual End Date]],"mmm-yy"))</f>
        <v/>
      </c>
      <c r="T14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6" s="185" t="str">
        <f>IFERROR((Table1[[#This Row],[Actual Effort (Hours)]]-Table1[[#This Row],[Estimated Effort (Hours)]])/Table1[[#This Row],[Estimated Effort (Hours)]],"")</f>
        <v/>
      </c>
    </row>
    <row r="1487" spans="2:21">
      <c r="B1487" s="125"/>
      <c r="C1487" s="123"/>
      <c r="D1487" s="143"/>
      <c r="E1487" s="123"/>
      <c r="F1487" s="143"/>
      <c r="G1487" s="129"/>
      <c r="H1487" s="124"/>
      <c r="I1487" s="124"/>
      <c r="J1487" s="129"/>
      <c r="K1487" s="194"/>
      <c r="L1487" s="194"/>
      <c r="M1487" s="129"/>
      <c r="N1487" s="129" t="e">
        <f>Table1[[#This Row],[Estimated Effort (Hours)]]/NETWORKDAYS(Table1[[#This Row],[Planned Start Date]],Table1[[#This Row],[Planned End Date]])</f>
        <v>#DIV/0!</v>
      </c>
      <c r="O1487" s="178">
        <f>NETWORKDAYS(Table1[[#This Row],[Planned Start Date]],Table1[[#This Row],[Planned End Date]])</f>
        <v>0</v>
      </c>
      <c r="P1487" s="178">
        <f>NETWORKDAYS(Table1[[#This Row],[Planned Start Date]],$P$7)</f>
        <v>30643</v>
      </c>
      <c r="Q1487" s="129"/>
      <c r="R1487" s="183" t="str">
        <f>IF(Table1[[#This Row],[Actual Effort (Hours)]]="","",IF(Table1[[#This Row],[Estimated Effort (Hours)]]&lt;20,"L1",IF(Table1[[#This Row],[Estimated Effort (Hours)]]&lt;50,"L2",IF(Table1[[#This Row],[Estimated Effort (Hours)]]&lt;150,"L3",IF(Table1[[#This Row],[Estimated Effort (Hours)]]&lt;300,"L4","L5")))))</f>
        <v/>
      </c>
      <c r="S1487" s="184" t="str">
        <f>IF(Table1[[#This Row],[Actual End Date]]="","",TEXT(Table1[[#This Row],[Actual End Date]],"mmm-yy"))</f>
        <v/>
      </c>
      <c r="T14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7" s="185" t="str">
        <f>IFERROR((Table1[[#This Row],[Actual Effort (Hours)]]-Table1[[#This Row],[Estimated Effort (Hours)]])/Table1[[#This Row],[Estimated Effort (Hours)]],"")</f>
        <v/>
      </c>
    </row>
    <row r="1488" spans="2:21">
      <c r="B1488" s="125"/>
      <c r="C1488" s="123"/>
      <c r="D1488" s="143"/>
      <c r="E1488" s="123"/>
      <c r="F1488" s="143"/>
      <c r="G1488" s="129"/>
      <c r="H1488" s="124"/>
      <c r="I1488" s="124"/>
      <c r="J1488" s="129"/>
      <c r="K1488" s="194"/>
      <c r="L1488" s="194"/>
      <c r="M1488" s="129"/>
      <c r="N1488" s="129" t="e">
        <f>Table1[[#This Row],[Estimated Effort (Hours)]]/NETWORKDAYS(Table1[[#This Row],[Planned Start Date]],Table1[[#This Row],[Planned End Date]])</f>
        <v>#DIV/0!</v>
      </c>
      <c r="O1488" s="178">
        <f>NETWORKDAYS(Table1[[#This Row],[Planned Start Date]],Table1[[#This Row],[Planned End Date]])</f>
        <v>0</v>
      </c>
      <c r="P1488" s="178">
        <f>NETWORKDAYS(Table1[[#This Row],[Planned Start Date]],$P$7)</f>
        <v>30643</v>
      </c>
      <c r="Q1488" s="129"/>
      <c r="R1488" s="183" t="str">
        <f>IF(Table1[[#This Row],[Actual Effort (Hours)]]="","",IF(Table1[[#This Row],[Estimated Effort (Hours)]]&lt;20,"L1",IF(Table1[[#This Row],[Estimated Effort (Hours)]]&lt;50,"L2",IF(Table1[[#This Row],[Estimated Effort (Hours)]]&lt;150,"L3",IF(Table1[[#This Row],[Estimated Effort (Hours)]]&lt;300,"L4","L5")))))</f>
        <v/>
      </c>
      <c r="S1488" s="184" t="str">
        <f>IF(Table1[[#This Row],[Actual End Date]]="","",TEXT(Table1[[#This Row],[Actual End Date]],"mmm-yy"))</f>
        <v/>
      </c>
      <c r="T14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8" s="185" t="str">
        <f>IFERROR((Table1[[#This Row],[Actual Effort (Hours)]]-Table1[[#This Row],[Estimated Effort (Hours)]])/Table1[[#This Row],[Estimated Effort (Hours)]],"")</f>
        <v/>
      </c>
    </row>
    <row r="1489" spans="2:21">
      <c r="B1489" s="125"/>
      <c r="C1489" s="123"/>
      <c r="D1489" s="143"/>
      <c r="E1489" s="123"/>
      <c r="F1489" s="143"/>
      <c r="G1489" s="129"/>
      <c r="H1489" s="124"/>
      <c r="I1489" s="124"/>
      <c r="J1489" s="129"/>
      <c r="K1489" s="194"/>
      <c r="L1489" s="194"/>
      <c r="M1489" s="129"/>
      <c r="N1489" s="129" t="e">
        <f>Table1[[#This Row],[Estimated Effort (Hours)]]/NETWORKDAYS(Table1[[#This Row],[Planned Start Date]],Table1[[#This Row],[Planned End Date]])</f>
        <v>#DIV/0!</v>
      </c>
      <c r="O1489" s="178">
        <f>NETWORKDAYS(Table1[[#This Row],[Planned Start Date]],Table1[[#This Row],[Planned End Date]])</f>
        <v>0</v>
      </c>
      <c r="P1489" s="178">
        <f>NETWORKDAYS(Table1[[#This Row],[Planned Start Date]],$P$7)</f>
        <v>30643</v>
      </c>
      <c r="Q1489" s="129"/>
      <c r="R1489" s="183" t="str">
        <f>IF(Table1[[#This Row],[Actual Effort (Hours)]]="","",IF(Table1[[#This Row],[Estimated Effort (Hours)]]&lt;20,"L1",IF(Table1[[#This Row],[Estimated Effort (Hours)]]&lt;50,"L2",IF(Table1[[#This Row],[Estimated Effort (Hours)]]&lt;150,"L3",IF(Table1[[#This Row],[Estimated Effort (Hours)]]&lt;300,"L4","L5")))))</f>
        <v/>
      </c>
      <c r="S1489" s="184" t="str">
        <f>IF(Table1[[#This Row],[Actual End Date]]="","",TEXT(Table1[[#This Row],[Actual End Date]],"mmm-yy"))</f>
        <v/>
      </c>
      <c r="T14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89" s="185" t="str">
        <f>IFERROR((Table1[[#This Row],[Actual Effort (Hours)]]-Table1[[#This Row],[Estimated Effort (Hours)]])/Table1[[#This Row],[Estimated Effort (Hours)]],"")</f>
        <v/>
      </c>
    </row>
    <row r="1490" spans="2:21">
      <c r="B1490" s="125"/>
      <c r="C1490" s="123"/>
      <c r="D1490" s="143"/>
      <c r="E1490" s="123"/>
      <c r="F1490" s="143"/>
      <c r="G1490" s="129"/>
      <c r="H1490" s="124"/>
      <c r="I1490" s="124"/>
      <c r="J1490" s="129"/>
      <c r="K1490" s="194"/>
      <c r="L1490" s="194"/>
      <c r="M1490" s="129"/>
      <c r="N1490" s="129" t="e">
        <f>Table1[[#This Row],[Estimated Effort (Hours)]]/NETWORKDAYS(Table1[[#This Row],[Planned Start Date]],Table1[[#This Row],[Planned End Date]])</f>
        <v>#DIV/0!</v>
      </c>
      <c r="O1490" s="178">
        <f>NETWORKDAYS(Table1[[#This Row],[Planned Start Date]],Table1[[#This Row],[Planned End Date]])</f>
        <v>0</v>
      </c>
      <c r="P1490" s="178">
        <f>NETWORKDAYS(Table1[[#This Row],[Planned Start Date]],$P$7)</f>
        <v>30643</v>
      </c>
      <c r="Q1490" s="129"/>
      <c r="R1490" s="183" t="str">
        <f>IF(Table1[[#This Row],[Actual Effort (Hours)]]="","",IF(Table1[[#This Row],[Estimated Effort (Hours)]]&lt;20,"L1",IF(Table1[[#This Row],[Estimated Effort (Hours)]]&lt;50,"L2",IF(Table1[[#This Row],[Estimated Effort (Hours)]]&lt;150,"L3",IF(Table1[[#This Row],[Estimated Effort (Hours)]]&lt;300,"L4","L5")))))</f>
        <v/>
      </c>
      <c r="S1490" s="184" t="str">
        <f>IF(Table1[[#This Row],[Actual End Date]]="","",TEXT(Table1[[#This Row],[Actual End Date]],"mmm-yy"))</f>
        <v/>
      </c>
      <c r="T14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0" s="185" t="str">
        <f>IFERROR((Table1[[#This Row],[Actual Effort (Hours)]]-Table1[[#This Row],[Estimated Effort (Hours)]])/Table1[[#This Row],[Estimated Effort (Hours)]],"")</f>
        <v/>
      </c>
    </row>
    <row r="1491" spans="2:21">
      <c r="B1491" s="125"/>
      <c r="C1491" s="123"/>
      <c r="D1491" s="143"/>
      <c r="E1491" s="123"/>
      <c r="F1491" s="143"/>
      <c r="G1491" s="129"/>
      <c r="H1491" s="124"/>
      <c r="I1491" s="124"/>
      <c r="J1491" s="129"/>
      <c r="K1491" s="194"/>
      <c r="L1491" s="194"/>
      <c r="M1491" s="129"/>
      <c r="N1491" s="129" t="e">
        <f>Table1[[#This Row],[Estimated Effort (Hours)]]/NETWORKDAYS(Table1[[#This Row],[Planned Start Date]],Table1[[#This Row],[Planned End Date]])</f>
        <v>#DIV/0!</v>
      </c>
      <c r="O1491" s="178">
        <f>NETWORKDAYS(Table1[[#This Row],[Planned Start Date]],Table1[[#This Row],[Planned End Date]])</f>
        <v>0</v>
      </c>
      <c r="P1491" s="178">
        <f>NETWORKDAYS(Table1[[#This Row],[Planned Start Date]],$P$7)</f>
        <v>30643</v>
      </c>
      <c r="Q1491" s="129"/>
      <c r="R1491" s="183" t="str">
        <f>IF(Table1[[#This Row],[Actual Effort (Hours)]]="","",IF(Table1[[#This Row],[Estimated Effort (Hours)]]&lt;20,"L1",IF(Table1[[#This Row],[Estimated Effort (Hours)]]&lt;50,"L2",IF(Table1[[#This Row],[Estimated Effort (Hours)]]&lt;150,"L3",IF(Table1[[#This Row],[Estimated Effort (Hours)]]&lt;300,"L4","L5")))))</f>
        <v/>
      </c>
      <c r="S1491" s="184" t="str">
        <f>IF(Table1[[#This Row],[Actual End Date]]="","",TEXT(Table1[[#This Row],[Actual End Date]],"mmm-yy"))</f>
        <v/>
      </c>
      <c r="T14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1" s="185" t="str">
        <f>IFERROR((Table1[[#This Row],[Actual Effort (Hours)]]-Table1[[#This Row],[Estimated Effort (Hours)]])/Table1[[#This Row],[Estimated Effort (Hours)]],"")</f>
        <v/>
      </c>
    </row>
    <row r="1492" spans="2:21">
      <c r="B1492" s="125"/>
      <c r="C1492" s="123"/>
      <c r="D1492" s="143"/>
      <c r="E1492" s="123"/>
      <c r="F1492" s="143"/>
      <c r="G1492" s="129"/>
      <c r="H1492" s="124"/>
      <c r="I1492" s="124"/>
      <c r="J1492" s="129"/>
      <c r="K1492" s="194"/>
      <c r="L1492" s="194"/>
      <c r="M1492" s="129"/>
      <c r="N1492" s="129" t="e">
        <f>Table1[[#This Row],[Estimated Effort (Hours)]]/NETWORKDAYS(Table1[[#This Row],[Planned Start Date]],Table1[[#This Row],[Planned End Date]])</f>
        <v>#DIV/0!</v>
      </c>
      <c r="O1492" s="178">
        <f>NETWORKDAYS(Table1[[#This Row],[Planned Start Date]],Table1[[#This Row],[Planned End Date]])</f>
        <v>0</v>
      </c>
      <c r="P1492" s="178">
        <f>NETWORKDAYS(Table1[[#This Row],[Planned Start Date]],$P$7)</f>
        <v>30643</v>
      </c>
      <c r="Q1492" s="129"/>
      <c r="R1492" s="183" t="str">
        <f>IF(Table1[[#This Row],[Actual Effort (Hours)]]="","",IF(Table1[[#This Row],[Estimated Effort (Hours)]]&lt;20,"L1",IF(Table1[[#This Row],[Estimated Effort (Hours)]]&lt;50,"L2",IF(Table1[[#This Row],[Estimated Effort (Hours)]]&lt;150,"L3",IF(Table1[[#This Row],[Estimated Effort (Hours)]]&lt;300,"L4","L5")))))</f>
        <v/>
      </c>
      <c r="S1492" s="184" t="str">
        <f>IF(Table1[[#This Row],[Actual End Date]]="","",TEXT(Table1[[#This Row],[Actual End Date]],"mmm-yy"))</f>
        <v/>
      </c>
      <c r="T14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2" s="185" t="str">
        <f>IFERROR((Table1[[#This Row],[Actual Effort (Hours)]]-Table1[[#This Row],[Estimated Effort (Hours)]])/Table1[[#This Row],[Estimated Effort (Hours)]],"")</f>
        <v/>
      </c>
    </row>
    <row r="1493" spans="2:21">
      <c r="B1493" s="125"/>
      <c r="C1493" s="123"/>
      <c r="D1493" s="143"/>
      <c r="E1493" s="123"/>
      <c r="F1493" s="143"/>
      <c r="G1493" s="129"/>
      <c r="H1493" s="124"/>
      <c r="I1493" s="124"/>
      <c r="J1493" s="129"/>
      <c r="K1493" s="194"/>
      <c r="L1493" s="194"/>
      <c r="M1493" s="129"/>
      <c r="N1493" s="129" t="e">
        <f>Table1[[#This Row],[Estimated Effort (Hours)]]/NETWORKDAYS(Table1[[#This Row],[Planned Start Date]],Table1[[#This Row],[Planned End Date]])</f>
        <v>#DIV/0!</v>
      </c>
      <c r="O1493" s="178">
        <f>NETWORKDAYS(Table1[[#This Row],[Planned Start Date]],Table1[[#This Row],[Planned End Date]])</f>
        <v>0</v>
      </c>
      <c r="P1493" s="178">
        <f>NETWORKDAYS(Table1[[#This Row],[Planned Start Date]],$P$7)</f>
        <v>30643</v>
      </c>
      <c r="Q1493" s="129"/>
      <c r="R1493" s="183" t="str">
        <f>IF(Table1[[#This Row],[Actual Effort (Hours)]]="","",IF(Table1[[#This Row],[Estimated Effort (Hours)]]&lt;20,"L1",IF(Table1[[#This Row],[Estimated Effort (Hours)]]&lt;50,"L2",IF(Table1[[#This Row],[Estimated Effort (Hours)]]&lt;150,"L3",IF(Table1[[#This Row],[Estimated Effort (Hours)]]&lt;300,"L4","L5")))))</f>
        <v/>
      </c>
      <c r="S1493" s="184" t="str">
        <f>IF(Table1[[#This Row],[Actual End Date]]="","",TEXT(Table1[[#This Row],[Actual End Date]],"mmm-yy"))</f>
        <v/>
      </c>
      <c r="T14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3" s="185" t="str">
        <f>IFERROR((Table1[[#This Row],[Actual Effort (Hours)]]-Table1[[#This Row],[Estimated Effort (Hours)]])/Table1[[#This Row],[Estimated Effort (Hours)]],"")</f>
        <v/>
      </c>
    </row>
    <row r="1494" spans="2:21">
      <c r="B1494" s="125"/>
      <c r="C1494" s="123"/>
      <c r="D1494" s="143"/>
      <c r="E1494" s="123"/>
      <c r="F1494" s="143"/>
      <c r="G1494" s="129"/>
      <c r="H1494" s="124"/>
      <c r="I1494" s="124"/>
      <c r="J1494" s="129"/>
      <c r="K1494" s="194"/>
      <c r="L1494" s="194"/>
      <c r="M1494" s="129"/>
      <c r="N1494" s="129" t="e">
        <f>Table1[[#This Row],[Estimated Effort (Hours)]]/NETWORKDAYS(Table1[[#This Row],[Planned Start Date]],Table1[[#This Row],[Planned End Date]])</f>
        <v>#DIV/0!</v>
      </c>
      <c r="O1494" s="178">
        <f>NETWORKDAYS(Table1[[#This Row],[Planned Start Date]],Table1[[#This Row],[Planned End Date]])</f>
        <v>0</v>
      </c>
      <c r="P1494" s="178">
        <f>NETWORKDAYS(Table1[[#This Row],[Planned Start Date]],$P$7)</f>
        <v>30643</v>
      </c>
      <c r="Q1494" s="129"/>
      <c r="R1494" s="183" t="str">
        <f>IF(Table1[[#This Row],[Actual Effort (Hours)]]="","",IF(Table1[[#This Row],[Estimated Effort (Hours)]]&lt;20,"L1",IF(Table1[[#This Row],[Estimated Effort (Hours)]]&lt;50,"L2",IF(Table1[[#This Row],[Estimated Effort (Hours)]]&lt;150,"L3",IF(Table1[[#This Row],[Estimated Effort (Hours)]]&lt;300,"L4","L5")))))</f>
        <v/>
      </c>
      <c r="S1494" s="184" t="str">
        <f>IF(Table1[[#This Row],[Actual End Date]]="","",TEXT(Table1[[#This Row],[Actual End Date]],"mmm-yy"))</f>
        <v/>
      </c>
      <c r="T14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4" s="185" t="str">
        <f>IFERROR((Table1[[#This Row],[Actual Effort (Hours)]]-Table1[[#This Row],[Estimated Effort (Hours)]])/Table1[[#This Row],[Estimated Effort (Hours)]],"")</f>
        <v/>
      </c>
    </row>
    <row r="1495" spans="2:21">
      <c r="B1495" s="125"/>
      <c r="C1495" s="123"/>
      <c r="D1495" s="143"/>
      <c r="E1495" s="123"/>
      <c r="F1495" s="143"/>
      <c r="G1495" s="129"/>
      <c r="H1495" s="124"/>
      <c r="I1495" s="124"/>
      <c r="J1495" s="129"/>
      <c r="K1495" s="194"/>
      <c r="L1495" s="194"/>
      <c r="M1495" s="129"/>
      <c r="N1495" s="129" t="e">
        <f>Table1[[#This Row],[Estimated Effort (Hours)]]/NETWORKDAYS(Table1[[#This Row],[Planned Start Date]],Table1[[#This Row],[Planned End Date]])</f>
        <v>#DIV/0!</v>
      </c>
      <c r="O1495" s="178">
        <f>NETWORKDAYS(Table1[[#This Row],[Planned Start Date]],Table1[[#This Row],[Planned End Date]])</f>
        <v>0</v>
      </c>
      <c r="P1495" s="178">
        <f>NETWORKDAYS(Table1[[#This Row],[Planned Start Date]],$P$7)</f>
        <v>30643</v>
      </c>
      <c r="Q1495" s="129"/>
      <c r="R1495" s="183" t="str">
        <f>IF(Table1[[#This Row],[Actual Effort (Hours)]]="","",IF(Table1[[#This Row],[Estimated Effort (Hours)]]&lt;20,"L1",IF(Table1[[#This Row],[Estimated Effort (Hours)]]&lt;50,"L2",IF(Table1[[#This Row],[Estimated Effort (Hours)]]&lt;150,"L3",IF(Table1[[#This Row],[Estimated Effort (Hours)]]&lt;300,"L4","L5")))))</f>
        <v/>
      </c>
      <c r="S1495" s="184" t="str">
        <f>IF(Table1[[#This Row],[Actual End Date]]="","",TEXT(Table1[[#This Row],[Actual End Date]],"mmm-yy"))</f>
        <v/>
      </c>
      <c r="T14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5" s="185" t="str">
        <f>IFERROR((Table1[[#This Row],[Actual Effort (Hours)]]-Table1[[#This Row],[Estimated Effort (Hours)]])/Table1[[#This Row],[Estimated Effort (Hours)]],"")</f>
        <v/>
      </c>
    </row>
    <row r="1496" spans="2:21">
      <c r="B1496" s="125"/>
      <c r="C1496" s="123"/>
      <c r="D1496" s="143"/>
      <c r="E1496" s="123"/>
      <c r="F1496" s="143"/>
      <c r="G1496" s="129"/>
      <c r="H1496" s="124"/>
      <c r="I1496" s="124"/>
      <c r="J1496" s="129"/>
      <c r="K1496" s="194"/>
      <c r="L1496" s="194"/>
      <c r="M1496" s="129"/>
      <c r="N1496" s="129" t="e">
        <f>Table1[[#This Row],[Estimated Effort (Hours)]]/NETWORKDAYS(Table1[[#This Row],[Planned Start Date]],Table1[[#This Row],[Planned End Date]])</f>
        <v>#DIV/0!</v>
      </c>
      <c r="O1496" s="178">
        <f>NETWORKDAYS(Table1[[#This Row],[Planned Start Date]],Table1[[#This Row],[Planned End Date]])</f>
        <v>0</v>
      </c>
      <c r="P1496" s="178">
        <f>NETWORKDAYS(Table1[[#This Row],[Planned Start Date]],$P$7)</f>
        <v>30643</v>
      </c>
      <c r="Q1496" s="129"/>
      <c r="R1496" s="183" t="str">
        <f>IF(Table1[[#This Row],[Actual Effort (Hours)]]="","",IF(Table1[[#This Row],[Estimated Effort (Hours)]]&lt;20,"L1",IF(Table1[[#This Row],[Estimated Effort (Hours)]]&lt;50,"L2",IF(Table1[[#This Row],[Estimated Effort (Hours)]]&lt;150,"L3",IF(Table1[[#This Row],[Estimated Effort (Hours)]]&lt;300,"L4","L5")))))</f>
        <v/>
      </c>
      <c r="S1496" s="184" t="str">
        <f>IF(Table1[[#This Row],[Actual End Date]]="","",TEXT(Table1[[#This Row],[Actual End Date]],"mmm-yy"))</f>
        <v/>
      </c>
      <c r="T14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6" s="185" t="str">
        <f>IFERROR((Table1[[#This Row],[Actual Effort (Hours)]]-Table1[[#This Row],[Estimated Effort (Hours)]])/Table1[[#This Row],[Estimated Effort (Hours)]],"")</f>
        <v/>
      </c>
    </row>
    <row r="1497" spans="2:21">
      <c r="B1497" s="125"/>
      <c r="C1497" s="123"/>
      <c r="D1497" s="143"/>
      <c r="E1497" s="123"/>
      <c r="F1497" s="143"/>
      <c r="G1497" s="129"/>
      <c r="H1497" s="124"/>
      <c r="I1497" s="124"/>
      <c r="J1497" s="129"/>
      <c r="K1497" s="194"/>
      <c r="L1497" s="194"/>
      <c r="M1497" s="129"/>
      <c r="N1497" s="129" t="e">
        <f>Table1[[#This Row],[Estimated Effort (Hours)]]/NETWORKDAYS(Table1[[#This Row],[Planned Start Date]],Table1[[#This Row],[Planned End Date]])</f>
        <v>#DIV/0!</v>
      </c>
      <c r="O1497" s="178">
        <f>NETWORKDAYS(Table1[[#This Row],[Planned Start Date]],Table1[[#This Row],[Planned End Date]])</f>
        <v>0</v>
      </c>
      <c r="P1497" s="178">
        <f>NETWORKDAYS(Table1[[#This Row],[Planned Start Date]],$P$7)</f>
        <v>30643</v>
      </c>
      <c r="Q1497" s="129"/>
      <c r="R1497" s="183" t="str">
        <f>IF(Table1[[#This Row],[Actual Effort (Hours)]]="","",IF(Table1[[#This Row],[Estimated Effort (Hours)]]&lt;20,"L1",IF(Table1[[#This Row],[Estimated Effort (Hours)]]&lt;50,"L2",IF(Table1[[#This Row],[Estimated Effort (Hours)]]&lt;150,"L3",IF(Table1[[#This Row],[Estimated Effort (Hours)]]&lt;300,"L4","L5")))))</f>
        <v/>
      </c>
      <c r="S1497" s="184" t="str">
        <f>IF(Table1[[#This Row],[Actual End Date]]="","",TEXT(Table1[[#This Row],[Actual End Date]],"mmm-yy"))</f>
        <v/>
      </c>
      <c r="T14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7" s="185" t="str">
        <f>IFERROR((Table1[[#This Row],[Actual Effort (Hours)]]-Table1[[#This Row],[Estimated Effort (Hours)]])/Table1[[#This Row],[Estimated Effort (Hours)]],"")</f>
        <v/>
      </c>
    </row>
    <row r="1498" spans="2:21">
      <c r="B1498" s="125"/>
      <c r="C1498" s="123"/>
      <c r="D1498" s="143"/>
      <c r="E1498" s="123"/>
      <c r="F1498" s="143"/>
      <c r="G1498" s="129"/>
      <c r="H1498" s="124"/>
      <c r="I1498" s="124"/>
      <c r="J1498" s="129"/>
      <c r="K1498" s="194"/>
      <c r="L1498" s="194"/>
      <c r="M1498" s="129"/>
      <c r="N1498" s="129" t="e">
        <f>Table1[[#This Row],[Estimated Effort (Hours)]]/NETWORKDAYS(Table1[[#This Row],[Planned Start Date]],Table1[[#This Row],[Planned End Date]])</f>
        <v>#DIV/0!</v>
      </c>
      <c r="O1498" s="178">
        <f>NETWORKDAYS(Table1[[#This Row],[Planned Start Date]],Table1[[#This Row],[Planned End Date]])</f>
        <v>0</v>
      </c>
      <c r="P1498" s="178">
        <f>NETWORKDAYS(Table1[[#This Row],[Planned Start Date]],$P$7)</f>
        <v>30643</v>
      </c>
      <c r="Q1498" s="129"/>
      <c r="R1498" s="183" t="str">
        <f>IF(Table1[[#This Row],[Actual Effort (Hours)]]="","",IF(Table1[[#This Row],[Estimated Effort (Hours)]]&lt;20,"L1",IF(Table1[[#This Row],[Estimated Effort (Hours)]]&lt;50,"L2",IF(Table1[[#This Row],[Estimated Effort (Hours)]]&lt;150,"L3",IF(Table1[[#This Row],[Estimated Effort (Hours)]]&lt;300,"L4","L5")))))</f>
        <v/>
      </c>
      <c r="S1498" s="184" t="str">
        <f>IF(Table1[[#This Row],[Actual End Date]]="","",TEXT(Table1[[#This Row],[Actual End Date]],"mmm-yy"))</f>
        <v/>
      </c>
      <c r="T14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8" s="185" t="str">
        <f>IFERROR((Table1[[#This Row],[Actual Effort (Hours)]]-Table1[[#This Row],[Estimated Effort (Hours)]])/Table1[[#This Row],[Estimated Effort (Hours)]],"")</f>
        <v/>
      </c>
    </row>
    <row r="1499" spans="2:21">
      <c r="B1499" s="125"/>
      <c r="C1499" s="123"/>
      <c r="D1499" s="143"/>
      <c r="E1499" s="123"/>
      <c r="F1499" s="143"/>
      <c r="G1499" s="129"/>
      <c r="H1499" s="124"/>
      <c r="I1499" s="124"/>
      <c r="J1499" s="129"/>
      <c r="K1499" s="194"/>
      <c r="L1499" s="194"/>
      <c r="M1499" s="129"/>
      <c r="N1499" s="129" t="e">
        <f>Table1[[#This Row],[Estimated Effort (Hours)]]/NETWORKDAYS(Table1[[#This Row],[Planned Start Date]],Table1[[#This Row],[Planned End Date]])</f>
        <v>#DIV/0!</v>
      </c>
      <c r="O1499" s="178">
        <f>NETWORKDAYS(Table1[[#This Row],[Planned Start Date]],Table1[[#This Row],[Planned End Date]])</f>
        <v>0</v>
      </c>
      <c r="P1499" s="178">
        <f>NETWORKDAYS(Table1[[#This Row],[Planned Start Date]],$P$7)</f>
        <v>30643</v>
      </c>
      <c r="Q1499" s="129"/>
      <c r="R1499" s="183" t="str">
        <f>IF(Table1[[#This Row],[Actual Effort (Hours)]]="","",IF(Table1[[#This Row],[Estimated Effort (Hours)]]&lt;20,"L1",IF(Table1[[#This Row],[Estimated Effort (Hours)]]&lt;50,"L2",IF(Table1[[#This Row],[Estimated Effort (Hours)]]&lt;150,"L3",IF(Table1[[#This Row],[Estimated Effort (Hours)]]&lt;300,"L4","L5")))))</f>
        <v/>
      </c>
      <c r="S1499" s="184" t="str">
        <f>IF(Table1[[#This Row],[Actual End Date]]="","",TEXT(Table1[[#This Row],[Actual End Date]],"mmm-yy"))</f>
        <v/>
      </c>
      <c r="T14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499" s="185" t="str">
        <f>IFERROR((Table1[[#This Row],[Actual Effort (Hours)]]-Table1[[#This Row],[Estimated Effort (Hours)]])/Table1[[#This Row],[Estimated Effort (Hours)]],"")</f>
        <v/>
      </c>
    </row>
    <row r="1500" spans="2:21">
      <c r="B1500" s="125"/>
      <c r="C1500" s="123"/>
      <c r="D1500" s="143"/>
      <c r="E1500" s="123"/>
      <c r="F1500" s="143"/>
      <c r="G1500" s="129"/>
      <c r="H1500" s="124"/>
      <c r="I1500" s="124"/>
      <c r="J1500" s="129"/>
      <c r="K1500" s="194"/>
      <c r="L1500" s="194"/>
      <c r="M1500" s="129"/>
      <c r="N1500" s="129" t="e">
        <f>Table1[[#This Row],[Estimated Effort (Hours)]]/NETWORKDAYS(Table1[[#This Row],[Planned Start Date]],Table1[[#This Row],[Planned End Date]])</f>
        <v>#DIV/0!</v>
      </c>
      <c r="O1500" s="178">
        <f>NETWORKDAYS(Table1[[#This Row],[Planned Start Date]],Table1[[#This Row],[Planned End Date]])</f>
        <v>0</v>
      </c>
      <c r="P1500" s="178">
        <f>NETWORKDAYS(Table1[[#This Row],[Planned Start Date]],$P$7)</f>
        <v>30643</v>
      </c>
      <c r="Q1500" s="129"/>
      <c r="R1500" s="183" t="str">
        <f>IF(Table1[[#This Row],[Actual Effort (Hours)]]="","",IF(Table1[[#This Row],[Estimated Effort (Hours)]]&lt;20,"L1",IF(Table1[[#This Row],[Estimated Effort (Hours)]]&lt;50,"L2",IF(Table1[[#This Row],[Estimated Effort (Hours)]]&lt;150,"L3",IF(Table1[[#This Row],[Estimated Effort (Hours)]]&lt;300,"L4","L5")))))</f>
        <v/>
      </c>
      <c r="S1500" s="184" t="str">
        <f>IF(Table1[[#This Row],[Actual End Date]]="","",TEXT(Table1[[#This Row],[Actual End Date]],"mmm-yy"))</f>
        <v/>
      </c>
      <c r="T15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0" s="185" t="str">
        <f>IFERROR((Table1[[#This Row],[Actual Effort (Hours)]]-Table1[[#This Row],[Estimated Effort (Hours)]])/Table1[[#This Row],[Estimated Effort (Hours)]],"")</f>
        <v/>
      </c>
    </row>
    <row r="1501" spans="2:21">
      <c r="B1501" s="125"/>
      <c r="C1501" s="123"/>
      <c r="D1501" s="143"/>
      <c r="E1501" s="123"/>
      <c r="F1501" s="143"/>
      <c r="G1501" s="129"/>
      <c r="H1501" s="124"/>
      <c r="I1501" s="124"/>
      <c r="J1501" s="129"/>
      <c r="K1501" s="194"/>
      <c r="L1501" s="194"/>
      <c r="M1501" s="129"/>
      <c r="N1501" s="129" t="e">
        <f>Table1[[#This Row],[Estimated Effort (Hours)]]/NETWORKDAYS(Table1[[#This Row],[Planned Start Date]],Table1[[#This Row],[Planned End Date]])</f>
        <v>#DIV/0!</v>
      </c>
      <c r="O1501" s="178">
        <f>NETWORKDAYS(Table1[[#This Row],[Planned Start Date]],Table1[[#This Row],[Planned End Date]])</f>
        <v>0</v>
      </c>
      <c r="P1501" s="178">
        <f>NETWORKDAYS(Table1[[#This Row],[Planned Start Date]],$P$7)</f>
        <v>30643</v>
      </c>
      <c r="Q1501" s="129"/>
      <c r="R1501" s="183" t="str">
        <f>IF(Table1[[#This Row],[Actual Effort (Hours)]]="","",IF(Table1[[#This Row],[Estimated Effort (Hours)]]&lt;20,"L1",IF(Table1[[#This Row],[Estimated Effort (Hours)]]&lt;50,"L2",IF(Table1[[#This Row],[Estimated Effort (Hours)]]&lt;150,"L3",IF(Table1[[#This Row],[Estimated Effort (Hours)]]&lt;300,"L4","L5")))))</f>
        <v/>
      </c>
      <c r="S1501" s="184" t="str">
        <f>IF(Table1[[#This Row],[Actual End Date]]="","",TEXT(Table1[[#This Row],[Actual End Date]],"mmm-yy"))</f>
        <v/>
      </c>
      <c r="T15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1" s="185" t="str">
        <f>IFERROR((Table1[[#This Row],[Actual Effort (Hours)]]-Table1[[#This Row],[Estimated Effort (Hours)]])/Table1[[#This Row],[Estimated Effort (Hours)]],"")</f>
        <v/>
      </c>
    </row>
    <row r="1502" spans="2:21">
      <c r="B1502" s="125"/>
      <c r="C1502" s="123"/>
      <c r="D1502" s="143"/>
      <c r="E1502" s="123"/>
      <c r="F1502" s="143"/>
      <c r="G1502" s="129"/>
      <c r="H1502" s="124"/>
      <c r="I1502" s="124"/>
      <c r="J1502" s="129"/>
      <c r="K1502" s="194"/>
      <c r="L1502" s="194"/>
      <c r="M1502" s="129"/>
      <c r="N1502" s="129" t="e">
        <f>Table1[[#This Row],[Estimated Effort (Hours)]]/NETWORKDAYS(Table1[[#This Row],[Planned Start Date]],Table1[[#This Row],[Planned End Date]])</f>
        <v>#DIV/0!</v>
      </c>
      <c r="O1502" s="178">
        <f>NETWORKDAYS(Table1[[#This Row],[Planned Start Date]],Table1[[#This Row],[Planned End Date]])</f>
        <v>0</v>
      </c>
      <c r="P1502" s="178">
        <f>NETWORKDAYS(Table1[[#This Row],[Planned Start Date]],$P$7)</f>
        <v>30643</v>
      </c>
      <c r="Q1502" s="129"/>
      <c r="R1502" s="183" t="str">
        <f>IF(Table1[[#This Row],[Actual Effort (Hours)]]="","",IF(Table1[[#This Row],[Estimated Effort (Hours)]]&lt;20,"L1",IF(Table1[[#This Row],[Estimated Effort (Hours)]]&lt;50,"L2",IF(Table1[[#This Row],[Estimated Effort (Hours)]]&lt;150,"L3",IF(Table1[[#This Row],[Estimated Effort (Hours)]]&lt;300,"L4","L5")))))</f>
        <v/>
      </c>
      <c r="S1502" s="184" t="str">
        <f>IF(Table1[[#This Row],[Actual End Date]]="","",TEXT(Table1[[#This Row],[Actual End Date]],"mmm-yy"))</f>
        <v/>
      </c>
      <c r="T15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2" s="185" t="str">
        <f>IFERROR((Table1[[#This Row],[Actual Effort (Hours)]]-Table1[[#This Row],[Estimated Effort (Hours)]])/Table1[[#This Row],[Estimated Effort (Hours)]],"")</f>
        <v/>
      </c>
    </row>
    <row r="1503" spans="2:21">
      <c r="B1503" s="125"/>
      <c r="C1503" s="123"/>
      <c r="D1503" s="143"/>
      <c r="E1503" s="123"/>
      <c r="F1503" s="143"/>
      <c r="G1503" s="129"/>
      <c r="H1503" s="124"/>
      <c r="I1503" s="124"/>
      <c r="J1503" s="129"/>
      <c r="K1503" s="194"/>
      <c r="L1503" s="194"/>
      <c r="M1503" s="129"/>
      <c r="N1503" s="129" t="e">
        <f>Table1[[#This Row],[Estimated Effort (Hours)]]/NETWORKDAYS(Table1[[#This Row],[Planned Start Date]],Table1[[#This Row],[Planned End Date]])</f>
        <v>#DIV/0!</v>
      </c>
      <c r="O1503" s="178">
        <f>NETWORKDAYS(Table1[[#This Row],[Planned Start Date]],Table1[[#This Row],[Planned End Date]])</f>
        <v>0</v>
      </c>
      <c r="P1503" s="178">
        <f>NETWORKDAYS(Table1[[#This Row],[Planned Start Date]],$P$7)</f>
        <v>30643</v>
      </c>
      <c r="Q1503" s="129"/>
      <c r="R1503" s="183" t="str">
        <f>IF(Table1[[#This Row],[Actual Effort (Hours)]]="","",IF(Table1[[#This Row],[Estimated Effort (Hours)]]&lt;20,"L1",IF(Table1[[#This Row],[Estimated Effort (Hours)]]&lt;50,"L2",IF(Table1[[#This Row],[Estimated Effort (Hours)]]&lt;150,"L3",IF(Table1[[#This Row],[Estimated Effort (Hours)]]&lt;300,"L4","L5")))))</f>
        <v/>
      </c>
      <c r="S1503" s="184" t="str">
        <f>IF(Table1[[#This Row],[Actual End Date]]="","",TEXT(Table1[[#This Row],[Actual End Date]],"mmm-yy"))</f>
        <v/>
      </c>
      <c r="T15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3" s="185" t="str">
        <f>IFERROR((Table1[[#This Row],[Actual Effort (Hours)]]-Table1[[#This Row],[Estimated Effort (Hours)]])/Table1[[#This Row],[Estimated Effort (Hours)]],"")</f>
        <v/>
      </c>
    </row>
    <row r="1504" spans="2:21">
      <c r="B1504" s="125"/>
      <c r="C1504" s="123"/>
      <c r="D1504" s="143"/>
      <c r="E1504" s="123"/>
      <c r="F1504" s="143"/>
      <c r="G1504" s="129"/>
      <c r="H1504" s="124"/>
      <c r="I1504" s="124"/>
      <c r="J1504" s="129"/>
      <c r="K1504" s="194"/>
      <c r="L1504" s="194"/>
      <c r="M1504" s="129"/>
      <c r="N1504" s="129" t="e">
        <f>Table1[[#This Row],[Estimated Effort (Hours)]]/NETWORKDAYS(Table1[[#This Row],[Planned Start Date]],Table1[[#This Row],[Planned End Date]])</f>
        <v>#DIV/0!</v>
      </c>
      <c r="O1504" s="178">
        <f>NETWORKDAYS(Table1[[#This Row],[Planned Start Date]],Table1[[#This Row],[Planned End Date]])</f>
        <v>0</v>
      </c>
      <c r="P1504" s="178">
        <f>NETWORKDAYS(Table1[[#This Row],[Planned Start Date]],$P$7)</f>
        <v>30643</v>
      </c>
      <c r="Q1504" s="129"/>
      <c r="R1504" s="183" t="str">
        <f>IF(Table1[[#This Row],[Actual Effort (Hours)]]="","",IF(Table1[[#This Row],[Estimated Effort (Hours)]]&lt;20,"L1",IF(Table1[[#This Row],[Estimated Effort (Hours)]]&lt;50,"L2",IF(Table1[[#This Row],[Estimated Effort (Hours)]]&lt;150,"L3",IF(Table1[[#This Row],[Estimated Effort (Hours)]]&lt;300,"L4","L5")))))</f>
        <v/>
      </c>
      <c r="S1504" s="184" t="str">
        <f>IF(Table1[[#This Row],[Actual End Date]]="","",TEXT(Table1[[#This Row],[Actual End Date]],"mmm-yy"))</f>
        <v/>
      </c>
      <c r="T15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4" s="185" t="str">
        <f>IFERROR((Table1[[#This Row],[Actual Effort (Hours)]]-Table1[[#This Row],[Estimated Effort (Hours)]])/Table1[[#This Row],[Estimated Effort (Hours)]],"")</f>
        <v/>
      </c>
    </row>
    <row r="1505" spans="2:21">
      <c r="B1505" s="125"/>
      <c r="C1505" s="123"/>
      <c r="D1505" s="143"/>
      <c r="E1505" s="123"/>
      <c r="F1505" s="143"/>
      <c r="G1505" s="129"/>
      <c r="H1505" s="124"/>
      <c r="I1505" s="124"/>
      <c r="J1505" s="129"/>
      <c r="K1505" s="194"/>
      <c r="L1505" s="194"/>
      <c r="M1505" s="129"/>
      <c r="N1505" s="129" t="e">
        <f>Table1[[#This Row],[Estimated Effort (Hours)]]/NETWORKDAYS(Table1[[#This Row],[Planned Start Date]],Table1[[#This Row],[Planned End Date]])</f>
        <v>#DIV/0!</v>
      </c>
      <c r="O1505" s="178">
        <f>NETWORKDAYS(Table1[[#This Row],[Planned Start Date]],Table1[[#This Row],[Planned End Date]])</f>
        <v>0</v>
      </c>
      <c r="P1505" s="178">
        <f>NETWORKDAYS(Table1[[#This Row],[Planned Start Date]],$P$7)</f>
        <v>30643</v>
      </c>
      <c r="Q1505" s="129"/>
      <c r="R1505" s="183" t="str">
        <f>IF(Table1[[#This Row],[Actual Effort (Hours)]]="","",IF(Table1[[#This Row],[Estimated Effort (Hours)]]&lt;20,"L1",IF(Table1[[#This Row],[Estimated Effort (Hours)]]&lt;50,"L2",IF(Table1[[#This Row],[Estimated Effort (Hours)]]&lt;150,"L3",IF(Table1[[#This Row],[Estimated Effort (Hours)]]&lt;300,"L4","L5")))))</f>
        <v/>
      </c>
      <c r="S1505" s="184" t="str">
        <f>IF(Table1[[#This Row],[Actual End Date]]="","",TEXT(Table1[[#This Row],[Actual End Date]],"mmm-yy"))</f>
        <v/>
      </c>
      <c r="T15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5" s="185" t="str">
        <f>IFERROR((Table1[[#This Row],[Actual Effort (Hours)]]-Table1[[#This Row],[Estimated Effort (Hours)]])/Table1[[#This Row],[Estimated Effort (Hours)]],"")</f>
        <v/>
      </c>
    </row>
    <row r="1506" spans="2:21">
      <c r="B1506" s="125"/>
      <c r="C1506" s="123"/>
      <c r="D1506" s="143"/>
      <c r="E1506" s="123"/>
      <c r="F1506" s="143"/>
      <c r="G1506" s="129"/>
      <c r="H1506" s="124"/>
      <c r="I1506" s="124"/>
      <c r="J1506" s="129"/>
      <c r="K1506" s="194"/>
      <c r="L1506" s="194"/>
      <c r="M1506" s="129"/>
      <c r="N1506" s="129" t="e">
        <f>Table1[[#This Row],[Estimated Effort (Hours)]]/NETWORKDAYS(Table1[[#This Row],[Planned Start Date]],Table1[[#This Row],[Planned End Date]])</f>
        <v>#DIV/0!</v>
      </c>
      <c r="O1506" s="178">
        <f>NETWORKDAYS(Table1[[#This Row],[Planned Start Date]],Table1[[#This Row],[Planned End Date]])</f>
        <v>0</v>
      </c>
      <c r="P1506" s="178">
        <f>NETWORKDAYS(Table1[[#This Row],[Planned Start Date]],$P$7)</f>
        <v>30643</v>
      </c>
      <c r="Q1506" s="129"/>
      <c r="R1506" s="183" t="str">
        <f>IF(Table1[[#This Row],[Actual Effort (Hours)]]="","",IF(Table1[[#This Row],[Estimated Effort (Hours)]]&lt;20,"L1",IF(Table1[[#This Row],[Estimated Effort (Hours)]]&lt;50,"L2",IF(Table1[[#This Row],[Estimated Effort (Hours)]]&lt;150,"L3",IF(Table1[[#This Row],[Estimated Effort (Hours)]]&lt;300,"L4","L5")))))</f>
        <v/>
      </c>
      <c r="S1506" s="184" t="str">
        <f>IF(Table1[[#This Row],[Actual End Date]]="","",TEXT(Table1[[#This Row],[Actual End Date]],"mmm-yy"))</f>
        <v/>
      </c>
      <c r="T15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6" s="185" t="str">
        <f>IFERROR((Table1[[#This Row],[Actual Effort (Hours)]]-Table1[[#This Row],[Estimated Effort (Hours)]])/Table1[[#This Row],[Estimated Effort (Hours)]],"")</f>
        <v/>
      </c>
    </row>
    <row r="1507" spans="2:21">
      <c r="B1507" s="125"/>
      <c r="C1507" s="123"/>
      <c r="D1507" s="143"/>
      <c r="E1507" s="123"/>
      <c r="F1507" s="143"/>
      <c r="G1507" s="129"/>
      <c r="H1507" s="124"/>
      <c r="I1507" s="124"/>
      <c r="J1507" s="129"/>
      <c r="K1507" s="194"/>
      <c r="L1507" s="194"/>
      <c r="M1507" s="129"/>
      <c r="N1507" s="129" t="e">
        <f>Table1[[#This Row],[Estimated Effort (Hours)]]/NETWORKDAYS(Table1[[#This Row],[Planned Start Date]],Table1[[#This Row],[Planned End Date]])</f>
        <v>#DIV/0!</v>
      </c>
      <c r="O1507" s="178">
        <f>NETWORKDAYS(Table1[[#This Row],[Planned Start Date]],Table1[[#This Row],[Planned End Date]])</f>
        <v>0</v>
      </c>
      <c r="P1507" s="178">
        <f>NETWORKDAYS(Table1[[#This Row],[Planned Start Date]],$P$7)</f>
        <v>30643</v>
      </c>
      <c r="Q1507" s="129"/>
      <c r="R1507" s="183" t="str">
        <f>IF(Table1[[#This Row],[Actual Effort (Hours)]]="","",IF(Table1[[#This Row],[Estimated Effort (Hours)]]&lt;20,"L1",IF(Table1[[#This Row],[Estimated Effort (Hours)]]&lt;50,"L2",IF(Table1[[#This Row],[Estimated Effort (Hours)]]&lt;150,"L3",IF(Table1[[#This Row],[Estimated Effort (Hours)]]&lt;300,"L4","L5")))))</f>
        <v/>
      </c>
      <c r="S1507" s="184" t="str">
        <f>IF(Table1[[#This Row],[Actual End Date]]="","",TEXT(Table1[[#This Row],[Actual End Date]],"mmm-yy"))</f>
        <v/>
      </c>
      <c r="T15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7" s="185" t="str">
        <f>IFERROR((Table1[[#This Row],[Actual Effort (Hours)]]-Table1[[#This Row],[Estimated Effort (Hours)]])/Table1[[#This Row],[Estimated Effort (Hours)]],"")</f>
        <v/>
      </c>
    </row>
    <row r="1508" spans="2:21">
      <c r="B1508" s="125"/>
      <c r="C1508" s="123"/>
      <c r="D1508" s="143"/>
      <c r="E1508" s="123"/>
      <c r="F1508" s="143"/>
      <c r="G1508" s="129"/>
      <c r="H1508" s="124"/>
      <c r="I1508" s="124"/>
      <c r="J1508" s="129"/>
      <c r="K1508" s="194"/>
      <c r="L1508" s="194"/>
      <c r="M1508" s="129"/>
      <c r="N1508" s="129" t="e">
        <f>Table1[[#This Row],[Estimated Effort (Hours)]]/NETWORKDAYS(Table1[[#This Row],[Planned Start Date]],Table1[[#This Row],[Planned End Date]])</f>
        <v>#DIV/0!</v>
      </c>
      <c r="O1508" s="178">
        <f>NETWORKDAYS(Table1[[#This Row],[Planned Start Date]],Table1[[#This Row],[Planned End Date]])</f>
        <v>0</v>
      </c>
      <c r="P1508" s="178">
        <f>NETWORKDAYS(Table1[[#This Row],[Planned Start Date]],$P$7)</f>
        <v>30643</v>
      </c>
      <c r="Q1508" s="129"/>
      <c r="R1508" s="183" t="str">
        <f>IF(Table1[[#This Row],[Actual Effort (Hours)]]="","",IF(Table1[[#This Row],[Estimated Effort (Hours)]]&lt;20,"L1",IF(Table1[[#This Row],[Estimated Effort (Hours)]]&lt;50,"L2",IF(Table1[[#This Row],[Estimated Effort (Hours)]]&lt;150,"L3",IF(Table1[[#This Row],[Estimated Effort (Hours)]]&lt;300,"L4","L5")))))</f>
        <v/>
      </c>
      <c r="S1508" s="184" t="str">
        <f>IF(Table1[[#This Row],[Actual End Date]]="","",TEXT(Table1[[#This Row],[Actual End Date]],"mmm-yy"))</f>
        <v/>
      </c>
      <c r="T15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8" s="185" t="str">
        <f>IFERROR((Table1[[#This Row],[Actual Effort (Hours)]]-Table1[[#This Row],[Estimated Effort (Hours)]])/Table1[[#This Row],[Estimated Effort (Hours)]],"")</f>
        <v/>
      </c>
    </row>
    <row r="1509" spans="2:21">
      <c r="B1509" s="125"/>
      <c r="C1509" s="123"/>
      <c r="D1509" s="143"/>
      <c r="E1509" s="123"/>
      <c r="F1509" s="143"/>
      <c r="G1509" s="129"/>
      <c r="H1509" s="124"/>
      <c r="I1509" s="124"/>
      <c r="J1509" s="129"/>
      <c r="K1509" s="194"/>
      <c r="L1509" s="194"/>
      <c r="M1509" s="129"/>
      <c r="N1509" s="129" t="e">
        <f>Table1[[#This Row],[Estimated Effort (Hours)]]/NETWORKDAYS(Table1[[#This Row],[Planned Start Date]],Table1[[#This Row],[Planned End Date]])</f>
        <v>#DIV/0!</v>
      </c>
      <c r="O1509" s="178">
        <f>NETWORKDAYS(Table1[[#This Row],[Planned Start Date]],Table1[[#This Row],[Planned End Date]])</f>
        <v>0</v>
      </c>
      <c r="P1509" s="178">
        <f>NETWORKDAYS(Table1[[#This Row],[Planned Start Date]],$P$7)</f>
        <v>30643</v>
      </c>
      <c r="Q1509" s="129"/>
      <c r="R1509" s="183" t="str">
        <f>IF(Table1[[#This Row],[Actual Effort (Hours)]]="","",IF(Table1[[#This Row],[Estimated Effort (Hours)]]&lt;20,"L1",IF(Table1[[#This Row],[Estimated Effort (Hours)]]&lt;50,"L2",IF(Table1[[#This Row],[Estimated Effort (Hours)]]&lt;150,"L3",IF(Table1[[#This Row],[Estimated Effort (Hours)]]&lt;300,"L4","L5")))))</f>
        <v/>
      </c>
      <c r="S1509" s="184" t="str">
        <f>IF(Table1[[#This Row],[Actual End Date]]="","",TEXT(Table1[[#This Row],[Actual End Date]],"mmm-yy"))</f>
        <v/>
      </c>
      <c r="T15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09" s="185" t="str">
        <f>IFERROR((Table1[[#This Row],[Actual Effort (Hours)]]-Table1[[#This Row],[Estimated Effort (Hours)]])/Table1[[#This Row],[Estimated Effort (Hours)]],"")</f>
        <v/>
      </c>
    </row>
    <row r="1510" spans="2:21">
      <c r="B1510" s="125"/>
      <c r="C1510" s="123"/>
      <c r="D1510" s="143"/>
      <c r="E1510" s="123"/>
      <c r="F1510" s="143"/>
      <c r="G1510" s="129"/>
      <c r="H1510" s="124"/>
      <c r="I1510" s="124"/>
      <c r="J1510" s="129"/>
      <c r="K1510" s="194"/>
      <c r="L1510" s="194"/>
      <c r="M1510" s="129"/>
      <c r="N1510" s="129" t="e">
        <f>Table1[[#This Row],[Estimated Effort (Hours)]]/NETWORKDAYS(Table1[[#This Row],[Planned Start Date]],Table1[[#This Row],[Planned End Date]])</f>
        <v>#DIV/0!</v>
      </c>
      <c r="O1510" s="178">
        <f>NETWORKDAYS(Table1[[#This Row],[Planned Start Date]],Table1[[#This Row],[Planned End Date]])</f>
        <v>0</v>
      </c>
      <c r="P1510" s="178">
        <f>NETWORKDAYS(Table1[[#This Row],[Planned Start Date]],$P$7)</f>
        <v>30643</v>
      </c>
      <c r="Q1510" s="129"/>
      <c r="R1510" s="183" t="str">
        <f>IF(Table1[[#This Row],[Actual Effort (Hours)]]="","",IF(Table1[[#This Row],[Estimated Effort (Hours)]]&lt;20,"L1",IF(Table1[[#This Row],[Estimated Effort (Hours)]]&lt;50,"L2",IF(Table1[[#This Row],[Estimated Effort (Hours)]]&lt;150,"L3",IF(Table1[[#This Row],[Estimated Effort (Hours)]]&lt;300,"L4","L5")))))</f>
        <v/>
      </c>
      <c r="S1510" s="184" t="str">
        <f>IF(Table1[[#This Row],[Actual End Date]]="","",TEXT(Table1[[#This Row],[Actual End Date]],"mmm-yy"))</f>
        <v/>
      </c>
      <c r="T15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0" s="185" t="str">
        <f>IFERROR((Table1[[#This Row],[Actual Effort (Hours)]]-Table1[[#This Row],[Estimated Effort (Hours)]])/Table1[[#This Row],[Estimated Effort (Hours)]],"")</f>
        <v/>
      </c>
    </row>
    <row r="1511" spans="2:21">
      <c r="B1511" s="125"/>
      <c r="C1511" s="123"/>
      <c r="D1511" s="143"/>
      <c r="E1511" s="123"/>
      <c r="F1511" s="143"/>
      <c r="G1511" s="129"/>
      <c r="H1511" s="124"/>
      <c r="I1511" s="124"/>
      <c r="J1511" s="129"/>
      <c r="K1511" s="194"/>
      <c r="L1511" s="194"/>
      <c r="M1511" s="129"/>
      <c r="N1511" s="129" t="e">
        <f>Table1[[#This Row],[Estimated Effort (Hours)]]/NETWORKDAYS(Table1[[#This Row],[Planned Start Date]],Table1[[#This Row],[Planned End Date]])</f>
        <v>#DIV/0!</v>
      </c>
      <c r="O1511" s="178">
        <f>NETWORKDAYS(Table1[[#This Row],[Planned Start Date]],Table1[[#This Row],[Planned End Date]])</f>
        <v>0</v>
      </c>
      <c r="P1511" s="178">
        <f>NETWORKDAYS(Table1[[#This Row],[Planned Start Date]],$P$7)</f>
        <v>30643</v>
      </c>
      <c r="Q1511" s="129"/>
      <c r="R1511" s="183" t="str">
        <f>IF(Table1[[#This Row],[Actual Effort (Hours)]]="","",IF(Table1[[#This Row],[Estimated Effort (Hours)]]&lt;20,"L1",IF(Table1[[#This Row],[Estimated Effort (Hours)]]&lt;50,"L2",IF(Table1[[#This Row],[Estimated Effort (Hours)]]&lt;150,"L3",IF(Table1[[#This Row],[Estimated Effort (Hours)]]&lt;300,"L4","L5")))))</f>
        <v/>
      </c>
      <c r="S1511" s="184" t="str">
        <f>IF(Table1[[#This Row],[Actual End Date]]="","",TEXT(Table1[[#This Row],[Actual End Date]],"mmm-yy"))</f>
        <v/>
      </c>
      <c r="T15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1" s="185" t="str">
        <f>IFERROR((Table1[[#This Row],[Actual Effort (Hours)]]-Table1[[#This Row],[Estimated Effort (Hours)]])/Table1[[#This Row],[Estimated Effort (Hours)]],"")</f>
        <v/>
      </c>
    </row>
    <row r="1512" spans="2:21">
      <c r="B1512" s="125"/>
      <c r="C1512" s="123"/>
      <c r="D1512" s="143"/>
      <c r="E1512" s="123"/>
      <c r="F1512" s="143"/>
      <c r="G1512" s="129"/>
      <c r="H1512" s="124"/>
      <c r="I1512" s="124"/>
      <c r="J1512" s="129"/>
      <c r="K1512" s="194"/>
      <c r="L1512" s="194"/>
      <c r="M1512" s="129"/>
      <c r="N1512" s="129" t="e">
        <f>Table1[[#This Row],[Estimated Effort (Hours)]]/NETWORKDAYS(Table1[[#This Row],[Planned Start Date]],Table1[[#This Row],[Planned End Date]])</f>
        <v>#DIV/0!</v>
      </c>
      <c r="O1512" s="178">
        <f>NETWORKDAYS(Table1[[#This Row],[Planned Start Date]],Table1[[#This Row],[Planned End Date]])</f>
        <v>0</v>
      </c>
      <c r="P1512" s="178">
        <f>NETWORKDAYS(Table1[[#This Row],[Planned Start Date]],$P$7)</f>
        <v>30643</v>
      </c>
      <c r="Q1512" s="129"/>
      <c r="R1512" s="183" t="str">
        <f>IF(Table1[[#This Row],[Actual Effort (Hours)]]="","",IF(Table1[[#This Row],[Estimated Effort (Hours)]]&lt;20,"L1",IF(Table1[[#This Row],[Estimated Effort (Hours)]]&lt;50,"L2",IF(Table1[[#This Row],[Estimated Effort (Hours)]]&lt;150,"L3",IF(Table1[[#This Row],[Estimated Effort (Hours)]]&lt;300,"L4","L5")))))</f>
        <v/>
      </c>
      <c r="S1512" s="184" t="str">
        <f>IF(Table1[[#This Row],[Actual End Date]]="","",TEXT(Table1[[#This Row],[Actual End Date]],"mmm-yy"))</f>
        <v/>
      </c>
      <c r="T15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2" s="185" t="str">
        <f>IFERROR((Table1[[#This Row],[Actual Effort (Hours)]]-Table1[[#This Row],[Estimated Effort (Hours)]])/Table1[[#This Row],[Estimated Effort (Hours)]],"")</f>
        <v/>
      </c>
    </row>
    <row r="1513" spans="2:21">
      <c r="B1513" s="125"/>
      <c r="C1513" s="123"/>
      <c r="D1513" s="143"/>
      <c r="E1513" s="123"/>
      <c r="F1513" s="143"/>
      <c r="G1513" s="129"/>
      <c r="H1513" s="124"/>
      <c r="I1513" s="124"/>
      <c r="J1513" s="129"/>
      <c r="K1513" s="194"/>
      <c r="L1513" s="194"/>
      <c r="M1513" s="129"/>
      <c r="N1513" s="129" t="e">
        <f>Table1[[#This Row],[Estimated Effort (Hours)]]/NETWORKDAYS(Table1[[#This Row],[Planned Start Date]],Table1[[#This Row],[Planned End Date]])</f>
        <v>#DIV/0!</v>
      </c>
      <c r="O1513" s="178">
        <f>NETWORKDAYS(Table1[[#This Row],[Planned Start Date]],Table1[[#This Row],[Planned End Date]])</f>
        <v>0</v>
      </c>
      <c r="P1513" s="178">
        <f>NETWORKDAYS(Table1[[#This Row],[Planned Start Date]],$P$7)</f>
        <v>30643</v>
      </c>
      <c r="Q1513" s="129"/>
      <c r="R1513" s="183" t="str">
        <f>IF(Table1[[#This Row],[Actual Effort (Hours)]]="","",IF(Table1[[#This Row],[Estimated Effort (Hours)]]&lt;20,"L1",IF(Table1[[#This Row],[Estimated Effort (Hours)]]&lt;50,"L2",IF(Table1[[#This Row],[Estimated Effort (Hours)]]&lt;150,"L3",IF(Table1[[#This Row],[Estimated Effort (Hours)]]&lt;300,"L4","L5")))))</f>
        <v/>
      </c>
      <c r="S1513" s="184" t="str">
        <f>IF(Table1[[#This Row],[Actual End Date]]="","",TEXT(Table1[[#This Row],[Actual End Date]],"mmm-yy"))</f>
        <v/>
      </c>
      <c r="T15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3" s="185" t="str">
        <f>IFERROR((Table1[[#This Row],[Actual Effort (Hours)]]-Table1[[#This Row],[Estimated Effort (Hours)]])/Table1[[#This Row],[Estimated Effort (Hours)]],"")</f>
        <v/>
      </c>
    </row>
    <row r="1514" spans="2:21">
      <c r="B1514" s="125"/>
      <c r="C1514" s="123"/>
      <c r="D1514" s="143"/>
      <c r="E1514" s="123"/>
      <c r="F1514" s="143"/>
      <c r="G1514" s="129"/>
      <c r="H1514" s="124"/>
      <c r="I1514" s="124"/>
      <c r="J1514" s="129"/>
      <c r="K1514" s="194"/>
      <c r="L1514" s="194"/>
      <c r="M1514" s="129"/>
      <c r="N1514" s="129" t="e">
        <f>Table1[[#This Row],[Estimated Effort (Hours)]]/NETWORKDAYS(Table1[[#This Row],[Planned Start Date]],Table1[[#This Row],[Planned End Date]])</f>
        <v>#DIV/0!</v>
      </c>
      <c r="O1514" s="178">
        <f>NETWORKDAYS(Table1[[#This Row],[Planned Start Date]],Table1[[#This Row],[Planned End Date]])</f>
        <v>0</v>
      </c>
      <c r="P1514" s="178">
        <f>NETWORKDAYS(Table1[[#This Row],[Planned Start Date]],$P$7)</f>
        <v>30643</v>
      </c>
      <c r="Q1514" s="129"/>
      <c r="R1514" s="183" t="str">
        <f>IF(Table1[[#This Row],[Actual Effort (Hours)]]="","",IF(Table1[[#This Row],[Estimated Effort (Hours)]]&lt;20,"L1",IF(Table1[[#This Row],[Estimated Effort (Hours)]]&lt;50,"L2",IF(Table1[[#This Row],[Estimated Effort (Hours)]]&lt;150,"L3",IF(Table1[[#This Row],[Estimated Effort (Hours)]]&lt;300,"L4","L5")))))</f>
        <v/>
      </c>
      <c r="S1514" s="184" t="str">
        <f>IF(Table1[[#This Row],[Actual End Date]]="","",TEXT(Table1[[#This Row],[Actual End Date]],"mmm-yy"))</f>
        <v/>
      </c>
      <c r="T15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4" s="185" t="str">
        <f>IFERROR((Table1[[#This Row],[Actual Effort (Hours)]]-Table1[[#This Row],[Estimated Effort (Hours)]])/Table1[[#This Row],[Estimated Effort (Hours)]],"")</f>
        <v/>
      </c>
    </row>
    <row r="1515" spans="2:21">
      <c r="B1515" s="125"/>
      <c r="C1515" s="123"/>
      <c r="D1515" s="143"/>
      <c r="E1515" s="123"/>
      <c r="F1515" s="143"/>
      <c r="G1515" s="129"/>
      <c r="H1515" s="124"/>
      <c r="I1515" s="124"/>
      <c r="J1515" s="129"/>
      <c r="K1515" s="194"/>
      <c r="L1515" s="194"/>
      <c r="M1515" s="129"/>
      <c r="N1515" s="129" t="e">
        <f>Table1[[#This Row],[Estimated Effort (Hours)]]/NETWORKDAYS(Table1[[#This Row],[Planned Start Date]],Table1[[#This Row],[Planned End Date]])</f>
        <v>#DIV/0!</v>
      </c>
      <c r="O1515" s="178">
        <f>NETWORKDAYS(Table1[[#This Row],[Planned Start Date]],Table1[[#This Row],[Planned End Date]])</f>
        <v>0</v>
      </c>
      <c r="P1515" s="178">
        <f>NETWORKDAYS(Table1[[#This Row],[Planned Start Date]],$P$7)</f>
        <v>30643</v>
      </c>
      <c r="Q1515" s="129"/>
      <c r="R1515" s="183" t="str">
        <f>IF(Table1[[#This Row],[Actual Effort (Hours)]]="","",IF(Table1[[#This Row],[Estimated Effort (Hours)]]&lt;20,"L1",IF(Table1[[#This Row],[Estimated Effort (Hours)]]&lt;50,"L2",IF(Table1[[#This Row],[Estimated Effort (Hours)]]&lt;150,"L3",IF(Table1[[#This Row],[Estimated Effort (Hours)]]&lt;300,"L4","L5")))))</f>
        <v/>
      </c>
      <c r="S1515" s="184" t="str">
        <f>IF(Table1[[#This Row],[Actual End Date]]="","",TEXT(Table1[[#This Row],[Actual End Date]],"mmm-yy"))</f>
        <v/>
      </c>
      <c r="T15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5" s="185" t="str">
        <f>IFERROR((Table1[[#This Row],[Actual Effort (Hours)]]-Table1[[#This Row],[Estimated Effort (Hours)]])/Table1[[#This Row],[Estimated Effort (Hours)]],"")</f>
        <v/>
      </c>
    </row>
    <row r="1516" spans="2:21">
      <c r="B1516" s="125"/>
      <c r="C1516" s="123"/>
      <c r="D1516" s="143"/>
      <c r="E1516" s="123"/>
      <c r="F1516" s="143"/>
      <c r="G1516" s="129"/>
      <c r="H1516" s="124"/>
      <c r="I1516" s="124"/>
      <c r="J1516" s="129"/>
      <c r="K1516" s="194"/>
      <c r="L1516" s="194"/>
      <c r="M1516" s="129"/>
      <c r="N1516" s="129" t="e">
        <f>Table1[[#This Row],[Estimated Effort (Hours)]]/NETWORKDAYS(Table1[[#This Row],[Planned Start Date]],Table1[[#This Row],[Planned End Date]])</f>
        <v>#DIV/0!</v>
      </c>
      <c r="O1516" s="178">
        <f>NETWORKDAYS(Table1[[#This Row],[Planned Start Date]],Table1[[#This Row],[Planned End Date]])</f>
        <v>0</v>
      </c>
      <c r="P1516" s="178">
        <f>NETWORKDAYS(Table1[[#This Row],[Planned Start Date]],$P$7)</f>
        <v>30643</v>
      </c>
      <c r="Q1516" s="129"/>
      <c r="R1516" s="183" t="str">
        <f>IF(Table1[[#This Row],[Actual Effort (Hours)]]="","",IF(Table1[[#This Row],[Estimated Effort (Hours)]]&lt;20,"L1",IF(Table1[[#This Row],[Estimated Effort (Hours)]]&lt;50,"L2",IF(Table1[[#This Row],[Estimated Effort (Hours)]]&lt;150,"L3",IF(Table1[[#This Row],[Estimated Effort (Hours)]]&lt;300,"L4","L5")))))</f>
        <v/>
      </c>
      <c r="S1516" s="184" t="str">
        <f>IF(Table1[[#This Row],[Actual End Date]]="","",TEXT(Table1[[#This Row],[Actual End Date]],"mmm-yy"))</f>
        <v/>
      </c>
      <c r="T15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6" s="185" t="str">
        <f>IFERROR((Table1[[#This Row],[Actual Effort (Hours)]]-Table1[[#This Row],[Estimated Effort (Hours)]])/Table1[[#This Row],[Estimated Effort (Hours)]],"")</f>
        <v/>
      </c>
    </row>
    <row r="1517" spans="2:21">
      <c r="B1517" s="125"/>
      <c r="C1517" s="123"/>
      <c r="D1517" s="143"/>
      <c r="E1517" s="123"/>
      <c r="F1517" s="143"/>
      <c r="G1517" s="129"/>
      <c r="H1517" s="124"/>
      <c r="I1517" s="124"/>
      <c r="J1517" s="129"/>
      <c r="K1517" s="194"/>
      <c r="L1517" s="194"/>
      <c r="M1517" s="129"/>
      <c r="N1517" s="129" t="e">
        <f>Table1[[#This Row],[Estimated Effort (Hours)]]/NETWORKDAYS(Table1[[#This Row],[Planned Start Date]],Table1[[#This Row],[Planned End Date]])</f>
        <v>#DIV/0!</v>
      </c>
      <c r="O1517" s="178">
        <f>NETWORKDAYS(Table1[[#This Row],[Planned Start Date]],Table1[[#This Row],[Planned End Date]])</f>
        <v>0</v>
      </c>
      <c r="P1517" s="178">
        <f>NETWORKDAYS(Table1[[#This Row],[Planned Start Date]],$P$7)</f>
        <v>30643</v>
      </c>
      <c r="Q1517" s="129"/>
      <c r="R1517" s="183" t="str">
        <f>IF(Table1[[#This Row],[Actual Effort (Hours)]]="","",IF(Table1[[#This Row],[Estimated Effort (Hours)]]&lt;20,"L1",IF(Table1[[#This Row],[Estimated Effort (Hours)]]&lt;50,"L2",IF(Table1[[#This Row],[Estimated Effort (Hours)]]&lt;150,"L3",IF(Table1[[#This Row],[Estimated Effort (Hours)]]&lt;300,"L4","L5")))))</f>
        <v/>
      </c>
      <c r="S1517" s="184" t="str">
        <f>IF(Table1[[#This Row],[Actual End Date]]="","",TEXT(Table1[[#This Row],[Actual End Date]],"mmm-yy"))</f>
        <v/>
      </c>
      <c r="T15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7" s="185" t="str">
        <f>IFERROR((Table1[[#This Row],[Actual Effort (Hours)]]-Table1[[#This Row],[Estimated Effort (Hours)]])/Table1[[#This Row],[Estimated Effort (Hours)]],"")</f>
        <v/>
      </c>
    </row>
    <row r="1518" spans="2:21">
      <c r="B1518" s="125"/>
      <c r="C1518" s="123"/>
      <c r="D1518" s="143"/>
      <c r="E1518" s="123"/>
      <c r="F1518" s="143"/>
      <c r="G1518" s="129"/>
      <c r="H1518" s="124"/>
      <c r="I1518" s="124"/>
      <c r="J1518" s="129"/>
      <c r="K1518" s="194"/>
      <c r="L1518" s="194"/>
      <c r="M1518" s="129"/>
      <c r="N1518" s="129" t="e">
        <f>Table1[[#This Row],[Estimated Effort (Hours)]]/NETWORKDAYS(Table1[[#This Row],[Planned Start Date]],Table1[[#This Row],[Planned End Date]])</f>
        <v>#DIV/0!</v>
      </c>
      <c r="O1518" s="178">
        <f>NETWORKDAYS(Table1[[#This Row],[Planned Start Date]],Table1[[#This Row],[Planned End Date]])</f>
        <v>0</v>
      </c>
      <c r="P1518" s="178">
        <f>NETWORKDAYS(Table1[[#This Row],[Planned Start Date]],$P$7)</f>
        <v>30643</v>
      </c>
      <c r="Q1518" s="129"/>
      <c r="R1518" s="183" t="str">
        <f>IF(Table1[[#This Row],[Actual Effort (Hours)]]="","",IF(Table1[[#This Row],[Estimated Effort (Hours)]]&lt;20,"L1",IF(Table1[[#This Row],[Estimated Effort (Hours)]]&lt;50,"L2",IF(Table1[[#This Row],[Estimated Effort (Hours)]]&lt;150,"L3",IF(Table1[[#This Row],[Estimated Effort (Hours)]]&lt;300,"L4","L5")))))</f>
        <v/>
      </c>
      <c r="S1518" s="184" t="str">
        <f>IF(Table1[[#This Row],[Actual End Date]]="","",TEXT(Table1[[#This Row],[Actual End Date]],"mmm-yy"))</f>
        <v/>
      </c>
      <c r="T15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8" s="185" t="str">
        <f>IFERROR((Table1[[#This Row],[Actual Effort (Hours)]]-Table1[[#This Row],[Estimated Effort (Hours)]])/Table1[[#This Row],[Estimated Effort (Hours)]],"")</f>
        <v/>
      </c>
    </row>
    <row r="1519" spans="2:21">
      <c r="B1519" s="125"/>
      <c r="C1519" s="123"/>
      <c r="D1519" s="143"/>
      <c r="E1519" s="123"/>
      <c r="F1519" s="143"/>
      <c r="G1519" s="129"/>
      <c r="H1519" s="124"/>
      <c r="I1519" s="124"/>
      <c r="J1519" s="129"/>
      <c r="K1519" s="194"/>
      <c r="L1519" s="194"/>
      <c r="M1519" s="129"/>
      <c r="N1519" s="129" t="e">
        <f>Table1[[#This Row],[Estimated Effort (Hours)]]/NETWORKDAYS(Table1[[#This Row],[Planned Start Date]],Table1[[#This Row],[Planned End Date]])</f>
        <v>#DIV/0!</v>
      </c>
      <c r="O1519" s="178">
        <f>NETWORKDAYS(Table1[[#This Row],[Planned Start Date]],Table1[[#This Row],[Planned End Date]])</f>
        <v>0</v>
      </c>
      <c r="P1519" s="178">
        <f>NETWORKDAYS(Table1[[#This Row],[Planned Start Date]],$P$7)</f>
        <v>30643</v>
      </c>
      <c r="Q1519" s="129"/>
      <c r="R1519" s="183" t="str">
        <f>IF(Table1[[#This Row],[Actual Effort (Hours)]]="","",IF(Table1[[#This Row],[Estimated Effort (Hours)]]&lt;20,"L1",IF(Table1[[#This Row],[Estimated Effort (Hours)]]&lt;50,"L2",IF(Table1[[#This Row],[Estimated Effort (Hours)]]&lt;150,"L3",IF(Table1[[#This Row],[Estimated Effort (Hours)]]&lt;300,"L4","L5")))))</f>
        <v/>
      </c>
      <c r="S1519" s="184" t="str">
        <f>IF(Table1[[#This Row],[Actual End Date]]="","",TEXT(Table1[[#This Row],[Actual End Date]],"mmm-yy"))</f>
        <v/>
      </c>
      <c r="T15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19" s="185" t="str">
        <f>IFERROR((Table1[[#This Row],[Actual Effort (Hours)]]-Table1[[#This Row],[Estimated Effort (Hours)]])/Table1[[#This Row],[Estimated Effort (Hours)]],"")</f>
        <v/>
      </c>
    </row>
    <row r="1520" spans="2:21">
      <c r="B1520" s="125"/>
      <c r="C1520" s="123"/>
      <c r="D1520" s="143"/>
      <c r="E1520" s="123"/>
      <c r="F1520" s="143"/>
      <c r="G1520" s="129"/>
      <c r="H1520" s="124"/>
      <c r="I1520" s="124"/>
      <c r="J1520" s="129"/>
      <c r="K1520" s="194"/>
      <c r="L1520" s="194"/>
      <c r="M1520" s="129"/>
      <c r="N1520" s="129" t="e">
        <f>Table1[[#This Row],[Estimated Effort (Hours)]]/NETWORKDAYS(Table1[[#This Row],[Planned Start Date]],Table1[[#This Row],[Planned End Date]])</f>
        <v>#DIV/0!</v>
      </c>
      <c r="O1520" s="178">
        <f>NETWORKDAYS(Table1[[#This Row],[Planned Start Date]],Table1[[#This Row],[Planned End Date]])</f>
        <v>0</v>
      </c>
      <c r="P1520" s="178">
        <f>NETWORKDAYS(Table1[[#This Row],[Planned Start Date]],$P$7)</f>
        <v>30643</v>
      </c>
      <c r="Q1520" s="129"/>
      <c r="R1520" s="183" t="str">
        <f>IF(Table1[[#This Row],[Actual Effort (Hours)]]="","",IF(Table1[[#This Row],[Estimated Effort (Hours)]]&lt;20,"L1",IF(Table1[[#This Row],[Estimated Effort (Hours)]]&lt;50,"L2",IF(Table1[[#This Row],[Estimated Effort (Hours)]]&lt;150,"L3",IF(Table1[[#This Row],[Estimated Effort (Hours)]]&lt;300,"L4","L5")))))</f>
        <v/>
      </c>
      <c r="S1520" s="184" t="str">
        <f>IF(Table1[[#This Row],[Actual End Date]]="","",TEXT(Table1[[#This Row],[Actual End Date]],"mmm-yy"))</f>
        <v/>
      </c>
      <c r="T15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0" s="185" t="str">
        <f>IFERROR((Table1[[#This Row],[Actual Effort (Hours)]]-Table1[[#This Row],[Estimated Effort (Hours)]])/Table1[[#This Row],[Estimated Effort (Hours)]],"")</f>
        <v/>
      </c>
    </row>
    <row r="1521" spans="2:21">
      <c r="B1521" s="125"/>
      <c r="C1521" s="123"/>
      <c r="D1521" s="143"/>
      <c r="E1521" s="123"/>
      <c r="F1521" s="143"/>
      <c r="G1521" s="129"/>
      <c r="H1521" s="124"/>
      <c r="I1521" s="124"/>
      <c r="J1521" s="129"/>
      <c r="K1521" s="194"/>
      <c r="L1521" s="194"/>
      <c r="M1521" s="129"/>
      <c r="N1521" s="129" t="e">
        <f>Table1[[#This Row],[Estimated Effort (Hours)]]/NETWORKDAYS(Table1[[#This Row],[Planned Start Date]],Table1[[#This Row],[Planned End Date]])</f>
        <v>#DIV/0!</v>
      </c>
      <c r="O1521" s="178">
        <f>NETWORKDAYS(Table1[[#This Row],[Planned Start Date]],Table1[[#This Row],[Planned End Date]])</f>
        <v>0</v>
      </c>
      <c r="P1521" s="178">
        <f>NETWORKDAYS(Table1[[#This Row],[Planned Start Date]],$P$7)</f>
        <v>30643</v>
      </c>
      <c r="Q1521" s="129"/>
      <c r="R1521" s="183" t="str">
        <f>IF(Table1[[#This Row],[Actual Effort (Hours)]]="","",IF(Table1[[#This Row],[Estimated Effort (Hours)]]&lt;20,"L1",IF(Table1[[#This Row],[Estimated Effort (Hours)]]&lt;50,"L2",IF(Table1[[#This Row],[Estimated Effort (Hours)]]&lt;150,"L3",IF(Table1[[#This Row],[Estimated Effort (Hours)]]&lt;300,"L4","L5")))))</f>
        <v/>
      </c>
      <c r="S1521" s="184" t="str">
        <f>IF(Table1[[#This Row],[Actual End Date]]="","",TEXT(Table1[[#This Row],[Actual End Date]],"mmm-yy"))</f>
        <v/>
      </c>
      <c r="T15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1" s="185" t="str">
        <f>IFERROR((Table1[[#This Row],[Actual Effort (Hours)]]-Table1[[#This Row],[Estimated Effort (Hours)]])/Table1[[#This Row],[Estimated Effort (Hours)]],"")</f>
        <v/>
      </c>
    </row>
    <row r="1522" spans="2:21">
      <c r="B1522" s="125"/>
      <c r="C1522" s="123"/>
      <c r="D1522" s="143"/>
      <c r="E1522" s="123"/>
      <c r="F1522" s="143"/>
      <c r="G1522" s="129"/>
      <c r="H1522" s="124"/>
      <c r="I1522" s="124"/>
      <c r="J1522" s="129"/>
      <c r="K1522" s="194"/>
      <c r="L1522" s="194"/>
      <c r="M1522" s="129"/>
      <c r="N1522" s="129" t="e">
        <f>Table1[[#This Row],[Estimated Effort (Hours)]]/NETWORKDAYS(Table1[[#This Row],[Planned Start Date]],Table1[[#This Row],[Planned End Date]])</f>
        <v>#DIV/0!</v>
      </c>
      <c r="O1522" s="178">
        <f>NETWORKDAYS(Table1[[#This Row],[Planned Start Date]],Table1[[#This Row],[Planned End Date]])</f>
        <v>0</v>
      </c>
      <c r="P1522" s="178">
        <f>NETWORKDAYS(Table1[[#This Row],[Planned Start Date]],$P$7)</f>
        <v>30643</v>
      </c>
      <c r="Q1522" s="129"/>
      <c r="R1522" s="183" t="str">
        <f>IF(Table1[[#This Row],[Actual Effort (Hours)]]="","",IF(Table1[[#This Row],[Estimated Effort (Hours)]]&lt;20,"L1",IF(Table1[[#This Row],[Estimated Effort (Hours)]]&lt;50,"L2",IF(Table1[[#This Row],[Estimated Effort (Hours)]]&lt;150,"L3",IF(Table1[[#This Row],[Estimated Effort (Hours)]]&lt;300,"L4","L5")))))</f>
        <v/>
      </c>
      <c r="S1522" s="184" t="str">
        <f>IF(Table1[[#This Row],[Actual End Date]]="","",TEXT(Table1[[#This Row],[Actual End Date]],"mmm-yy"))</f>
        <v/>
      </c>
      <c r="T15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2" s="185" t="str">
        <f>IFERROR((Table1[[#This Row],[Actual Effort (Hours)]]-Table1[[#This Row],[Estimated Effort (Hours)]])/Table1[[#This Row],[Estimated Effort (Hours)]],"")</f>
        <v/>
      </c>
    </row>
    <row r="1523" spans="2:21">
      <c r="B1523" s="125"/>
      <c r="C1523" s="123"/>
      <c r="D1523" s="143"/>
      <c r="E1523" s="123"/>
      <c r="F1523" s="143"/>
      <c r="G1523" s="129"/>
      <c r="H1523" s="124"/>
      <c r="I1523" s="124"/>
      <c r="J1523" s="129"/>
      <c r="K1523" s="194"/>
      <c r="L1523" s="194"/>
      <c r="M1523" s="129"/>
      <c r="N1523" s="129" t="e">
        <f>Table1[[#This Row],[Estimated Effort (Hours)]]/NETWORKDAYS(Table1[[#This Row],[Planned Start Date]],Table1[[#This Row],[Planned End Date]])</f>
        <v>#DIV/0!</v>
      </c>
      <c r="O1523" s="178">
        <f>NETWORKDAYS(Table1[[#This Row],[Planned Start Date]],Table1[[#This Row],[Planned End Date]])</f>
        <v>0</v>
      </c>
      <c r="P1523" s="178">
        <f>NETWORKDAYS(Table1[[#This Row],[Planned Start Date]],$P$7)</f>
        <v>30643</v>
      </c>
      <c r="Q1523" s="129"/>
      <c r="R1523" s="183" t="str">
        <f>IF(Table1[[#This Row],[Actual Effort (Hours)]]="","",IF(Table1[[#This Row],[Estimated Effort (Hours)]]&lt;20,"L1",IF(Table1[[#This Row],[Estimated Effort (Hours)]]&lt;50,"L2",IF(Table1[[#This Row],[Estimated Effort (Hours)]]&lt;150,"L3",IF(Table1[[#This Row],[Estimated Effort (Hours)]]&lt;300,"L4","L5")))))</f>
        <v/>
      </c>
      <c r="S1523" s="184" t="str">
        <f>IF(Table1[[#This Row],[Actual End Date]]="","",TEXT(Table1[[#This Row],[Actual End Date]],"mmm-yy"))</f>
        <v/>
      </c>
      <c r="T15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3" s="185" t="str">
        <f>IFERROR((Table1[[#This Row],[Actual Effort (Hours)]]-Table1[[#This Row],[Estimated Effort (Hours)]])/Table1[[#This Row],[Estimated Effort (Hours)]],"")</f>
        <v/>
      </c>
    </row>
    <row r="1524" spans="2:21">
      <c r="B1524" s="125"/>
      <c r="C1524" s="123"/>
      <c r="D1524" s="143"/>
      <c r="E1524" s="123"/>
      <c r="F1524" s="143"/>
      <c r="G1524" s="129"/>
      <c r="H1524" s="124"/>
      <c r="I1524" s="124"/>
      <c r="J1524" s="129"/>
      <c r="K1524" s="194"/>
      <c r="L1524" s="194"/>
      <c r="M1524" s="129"/>
      <c r="N1524" s="129" t="e">
        <f>Table1[[#This Row],[Estimated Effort (Hours)]]/NETWORKDAYS(Table1[[#This Row],[Planned Start Date]],Table1[[#This Row],[Planned End Date]])</f>
        <v>#DIV/0!</v>
      </c>
      <c r="O1524" s="178">
        <f>NETWORKDAYS(Table1[[#This Row],[Planned Start Date]],Table1[[#This Row],[Planned End Date]])</f>
        <v>0</v>
      </c>
      <c r="P1524" s="178">
        <f>NETWORKDAYS(Table1[[#This Row],[Planned Start Date]],$P$7)</f>
        <v>30643</v>
      </c>
      <c r="Q1524" s="129"/>
      <c r="R1524" s="183" t="str">
        <f>IF(Table1[[#This Row],[Actual Effort (Hours)]]="","",IF(Table1[[#This Row],[Estimated Effort (Hours)]]&lt;20,"L1",IF(Table1[[#This Row],[Estimated Effort (Hours)]]&lt;50,"L2",IF(Table1[[#This Row],[Estimated Effort (Hours)]]&lt;150,"L3",IF(Table1[[#This Row],[Estimated Effort (Hours)]]&lt;300,"L4","L5")))))</f>
        <v/>
      </c>
      <c r="S1524" s="184" t="str">
        <f>IF(Table1[[#This Row],[Actual End Date]]="","",TEXT(Table1[[#This Row],[Actual End Date]],"mmm-yy"))</f>
        <v/>
      </c>
      <c r="T15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4" s="185" t="str">
        <f>IFERROR((Table1[[#This Row],[Actual Effort (Hours)]]-Table1[[#This Row],[Estimated Effort (Hours)]])/Table1[[#This Row],[Estimated Effort (Hours)]],"")</f>
        <v/>
      </c>
    </row>
    <row r="1525" spans="2:21">
      <c r="B1525" s="125"/>
      <c r="C1525" s="123"/>
      <c r="D1525" s="143"/>
      <c r="E1525" s="123"/>
      <c r="F1525" s="143"/>
      <c r="G1525" s="129"/>
      <c r="H1525" s="124"/>
      <c r="I1525" s="124"/>
      <c r="J1525" s="129"/>
      <c r="K1525" s="194"/>
      <c r="L1525" s="194"/>
      <c r="M1525" s="129"/>
      <c r="N1525" s="129" t="e">
        <f>Table1[[#This Row],[Estimated Effort (Hours)]]/NETWORKDAYS(Table1[[#This Row],[Planned Start Date]],Table1[[#This Row],[Planned End Date]])</f>
        <v>#DIV/0!</v>
      </c>
      <c r="O1525" s="178">
        <f>NETWORKDAYS(Table1[[#This Row],[Planned Start Date]],Table1[[#This Row],[Planned End Date]])</f>
        <v>0</v>
      </c>
      <c r="P1525" s="178">
        <f>NETWORKDAYS(Table1[[#This Row],[Planned Start Date]],$P$7)</f>
        <v>30643</v>
      </c>
      <c r="Q1525" s="129"/>
      <c r="R1525" s="183" t="str">
        <f>IF(Table1[[#This Row],[Actual Effort (Hours)]]="","",IF(Table1[[#This Row],[Estimated Effort (Hours)]]&lt;20,"L1",IF(Table1[[#This Row],[Estimated Effort (Hours)]]&lt;50,"L2",IF(Table1[[#This Row],[Estimated Effort (Hours)]]&lt;150,"L3",IF(Table1[[#This Row],[Estimated Effort (Hours)]]&lt;300,"L4","L5")))))</f>
        <v/>
      </c>
      <c r="S1525" s="184" t="str">
        <f>IF(Table1[[#This Row],[Actual End Date]]="","",TEXT(Table1[[#This Row],[Actual End Date]],"mmm-yy"))</f>
        <v/>
      </c>
      <c r="T15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5" s="185" t="str">
        <f>IFERROR((Table1[[#This Row],[Actual Effort (Hours)]]-Table1[[#This Row],[Estimated Effort (Hours)]])/Table1[[#This Row],[Estimated Effort (Hours)]],"")</f>
        <v/>
      </c>
    </row>
    <row r="1526" spans="2:21">
      <c r="B1526" s="125"/>
      <c r="C1526" s="123"/>
      <c r="D1526" s="143"/>
      <c r="E1526" s="123"/>
      <c r="F1526" s="143"/>
      <c r="G1526" s="129"/>
      <c r="H1526" s="124"/>
      <c r="I1526" s="124"/>
      <c r="J1526" s="129"/>
      <c r="K1526" s="194"/>
      <c r="L1526" s="194"/>
      <c r="M1526" s="129"/>
      <c r="N1526" s="129" t="e">
        <f>Table1[[#This Row],[Estimated Effort (Hours)]]/NETWORKDAYS(Table1[[#This Row],[Planned Start Date]],Table1[[#This Row],[Planned End Date]])</f>
        <v>#DIV/0!</v>
      </c>
      <c r="O1526" s="178">
        <f>NETWORKDAYS(Table1[[#This Row],[Planned Start Date]],Table1[[#This Row],[Planned End Date]])</f>
        <v>0</v>
      </c>
      <c r="P1526" s="178">
        <f>NETWORKDAYS(Table1[[#This Row],[Planned Start Date]],$P$7)</f>
        <v>30643</v>
      </c>
      <c r="Q1526" s="129"/>
      <c r="R1526" s="183" t="str">
        <f>IF(Table1[[#This Row],[Actual Effort (Hours)]]="","",IF(Table1[[#This Row],[Estimated Effort (Hours)]]&lt;20,"L1",IF(Table1[[#This Row],[Estimated Effort (Hours)]]&lt;50,"L2",IF(Table1[[#This Row],[Estimated Effort (Hours)]]&lt;150,"L3",IF(Table1[[#This Row],[Estimated Effort (Hours)]]&lt;300,"L4","L5")))))</f>
        <v/>
      </c>
      <c r="S1526" s="184" t="str">
        <f>IF(Table1[[#This Row],[Actual End Date]]="","",TEXT(Table1[[#This Row],[Actual End Date]],"mmm-yy"))</f>
        <v/>
      </c>
      <c r="T15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6" s="185" t="str">
        <f>IFERROR((Table1[[#This Row],[Actual Effort (Hours)]]-Table1[[#This Row],[Estimated Effort (Hours)]])/Table1[[#This Row],[Estimated Effort (Hours)]],"")</f>
        <v/>
      </c>
    </row>
    <row r="1527" spans="2:21">
      <c r="B1527" s="125"/>
      <c r="C1527" s="123"/>
      <c r="D1527" s="143"/>
      <c r="E1527" s="123"/>
      <c r="F1527" s="143"/>
      <c r="G1527" s="129"/>
      <c r="H1527" s="124"/>
      <c r="I1527" s="124"/>
      <c r="J1527" s="129"/>
      <c r="K1527" s="194"/>
      <c r="L1527" s="194"/>
      <c r="M1527" s="129"/>
      <c r="N1527" s="129" t="e">
        <f>Table1[[#This Row],[Estimated Effort (Hours)]]/NETWORKDAYS(Table1[[#This Row],[Planned Start Date]],Table1[[#This Row],[Planned End Date]])</f>
        <v>#DIV/0!</v>
      </c>
      <c r="O1527" s="178">
        <f>NETWORKDAYS(Table1[[#This Row],[Planned Start Date]],Table1[[#This Row],[Planned End Date]])</f>
        <v>0</v>
      </c>
      <c r="P1527" s="178">
        <f>NETWORKDAYS(Table1[[#This Row],[Planned Start Date]],$P$7)</f>
        <v>30643</v>
      </c>
      <c r="Q1527" s="129"/>
      <c r="R1527" s="183" t="str">
        <f>IF(Table1[[#This Row],[Actual Effort (Hours)]]="","",IF(Table1[[#This Row],[Estimated Effort (Hours)]]&lt;20,"L1",IF(Table1[[#This Row],[Estimated Effort (Hours)]]&lt;50,"L2",IF(Table1[[#This Row],[Estimated Effort (Hours)]]&lt;150,"L3",IF(Table1[[#This Row],[Estimated Effort (Hours)]]&lt;300,"L4","L5")))))</f>
        <v/>
      </c>
      <c r="S1527" s="184" t="str">
        <f>IF(Table1[[#This Row],[Actual End Date]]="","",TEXT(Table1[[#This Row],[Actual End Date]],"mmm-yy"))</f>
        <v/>
      </c>
      <c r="T15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7" s="185" t="str">
        <f>IFERROR((Table1[[#This Row],[Actual Effort (Hours)]]-Table1[[#This Row],[Estimated Effort (Hours)]])/Table1[[#This Row],[Estimated Effort (Hours)]],"")</f>
        <v/>
      </c>
    </row>
    <row r="1528" spans="2:21">
      <c r="B1528" s="125"/>
      <c r="C1528" s="123"/>
      <c r="D1528" s="143"/>
      <c r="E1528" s="123"/>
      <c r="F1528" s="143"/>
      <c r="G1528" s="129"/>
      <c r="H1528" s="124"/>
      <c r="I1528" s="124"/>
      <c r="J1528" s="129"/>
      <c r="K1528" s="194"/>
      <c r="L1528" s="194"/>
      <c r="M1528" s="129"/>
      <c r="N1528" s="129" t="e">
        <f>Table1[[#This Row],[Estimated Effort (Hours)]]/NETWORKDAYS(Table1[[#This Row],[Planned Start Date]],Table1[[#This Row],[Planned End Date]])</f>
        <v>#DIV/0!</v>
      </c>
      <c r="O1528" s="178">
        <f>NETWORKDAYS(Table1[[#This Row],[Planned Start Date]],Table1[[#This Row],[Planned End Date]])</f>
        <v>0</v>
      </c>
      <c r="P1528" s="178">
        <f>NETWORKDAYS(Table1[[#This Row],[Planned Start Date]],$P$7)</f>
        <v>30643</v>
      </c>
      <c r="Q1528" s="129"/>
      <c r="R1528" s="183" t="str">
        <f>IF(Table1[[#This Row],[Actual Effort (Hours)]]="","",IF(Table1[[#This Row],[Estimated Effort (Hours)]]&lt;20,"L1",IF(Table1[[#This Row],[Estimated Effort (Hours)]]&lt;50,"L2",IF(Table1[[#This Row],[Estimated Effort (Hours)]]&lt;150,"L3",IF(Table1[[#This Row],[Estimated Effort (Hours)]]&lt;300,"L4","L5")))))</f>
        <v/>
      </c>
      <c r="S1528" s="184" t="str">
        <f>IF(Table1[[#This Row],[Actual End Date]]="","",TEXT(Table1[[#This Row],[Actual End Date]],"mmm-yy"))</f>
        <v/>
      </c>
      <c r="T15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8" s="185" t="str">
        <f>IFERROR((Table1[[#This Row],[Actual Effort (Hours)]]-Table1[[#This Row],[Estimated Effort (Hours)]])/Table1[[#This Row],[Estimated Effort (Hours)]],"")</f>
        <v/>
      </c>
    </row>
    <row r="1529" spans="2:21">
      <c r="B1529" s="125"/>
      <c r="C1529" s="123"/>
      <c r="D1529" s="143"/>
      <c r="E1529" s="123"/>
      <c r="F1529" s="143"/>
      <c r="G1529" s="129"/>
      <c r="H1529" s="124"/>
      <c r="I1529" s="124"/>
      <c r="J1529" s="129"/>
      <c r="K1529" s="194"/>
      <c r="L1529" s="194"/>
      <c r="M1529" s="129"/>
      <c r="N1529" s="129" t="e">
        <f>Table1[[#This Row],[Estimated Effort (Hours)]]/NETWORKDAYS(Table1[[#This Row],[Planned Start Date]],Table1[[#This Row],[Planned End Date]])</f>
        <v>#DIV/0!</v>
      </c>
      <c r="O1529" s="178">
        <f>NETWORKDAYS(Table1[[#This Row],[Planned Start Date]],Table1[[#This Row],[Planned End Date]])</f>
        <v>0</v>
      </c>
      <c r="P1529" s="178">
        <f>NETWORKDAYS(Table1[[#This Row],[Planned Start Date]],$P$7)</f>
        <v>30643</v>
      </c>
      <c r="Q1529" s="129"/>
      <c r="R1529" s="183" t="str">
        <f>IF(Table1[[#This Row],[Actual Effort (Hours)]]="","",IF(Table1[[#This Row],[Estimated Effort (Hours)]]&lt;20,"L1",IF(Table1[[#This Row],[Estimated Effort (Hours)]]&lt;50,"L2",IF(Table1[[#This Row],[Estimated Effort (Hours)]]&lt;150,"L3",IF(Table1[[#This Row],[Estimated Effort (Hours)]]&lt;300,"L4","L5")))))</f>
        <v/>
      </c>
      <c r="S1529" s="184" t="str">
        <f>IF(Table1[[#This Row],[Actual End Date]]="","",TEXT(Table1[[#This Row],[Actual End Date]],"mmm-yy"))</f>
        <v/>
      </c>
      <c r="T15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29" s="185" t="str">
        <f>IFERROR((Table1[[#This Row],[Actual Effort (Hours)]]-Table1[[#This Row],[Estimated Effort (Hours)]])/Table1[[#This Row],[Estimated Effort (Hours)]],"")</f>
        <v/>
      </c>
    </row>
    <row r="1530" spans="2:21">
      <c r="B1530" s="125"/>
      <c r="C1530" s="123"/>
      <c r="D1530" s="143"/>
      <c r="E1530" s="123"/>
      <c r="F1530" s="143"/>
      <c r="G1530" s="129"/>
      <c r="H1530" s="124"/>
      <c r="I1530" s="124"/>
      <c r="J1530" s="129"/>
      <c r="K1530" s="194"/>
      <c r="L1530" s="194"/>
      <c r="M1530" s="129"/>
      <c r="N1530" s="129" t="e">
        <f>Table1[[#This Row],[Estimated Effort (Hours)]]/NETWORKDAYS(Table1[[#This Row],[Planned Start Date]],Table1[[#This Row],[Planned End Date]])</f>
        <v>#DIV/0!</v>
      </c>
      <c r="O1530" s="178">
        <f>NETWORKDAYS(Table1[[#This Row],[Planned Start Date]],Table1[[#This Row],[Planned End Date]])</f>
        <v>0</v>
      </c>
      <c r="P1530" s="178">
        <f>NETWORKDAYS(Table1[[#This Row],[Planned Start Date]],$P$7)</f>
        <v>30643</v>
      </c>
      <c r="Q1530" s="129"/>
      <c r="R1530" s="183" t="str">
        <f>IF(Table1[[#This Row],[Actual Effort (Hours)]]="","",IF(Table1[[#This Row],[Estimated Effort (Hours)]]&lt;20,"L1",IF(Table1[[#This Row],[Estimated Effort (Hours)]]&lt;50,"L2",IF(Table1[[#This Row],[Estimated Effort (Hours)]]&lt;150,"L3",IF(Table1[[#This Row],[Estimated Effort (Hours)]]&lt;300,"L4","L5")))))</f>
        <v/>
      </c>
      <c r="S1530" s="184" t="str">
        <f>IF(Table1[[#This Row],[Actual End Date]]="","",TEXT(Table1[[#This Row],[Actual End Date]],"mmm-yy"))</f>
        <v/>
      </c>
      <c r="T15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0" s="185" t="str">
        <f>IFERROR((Table1[[#This Row],[Actual Effort (Hours)]]-Table1[[#This Row],[Estimated Effort (Hours)]])/Table1[[#This Row],[Estimated Effort (Hours)]],"")</f>
        <v/>
      </c>
    </row>
    <row r="1531" spans="2:21">
      <c r="B1531" s="125"/>
      <c r="C1531" s="123"/>
      <c r="D1531" s="143"/>
      <c r="E1531" s="123"/>
      <c r="F1531" s="143"/>
      <c r="G1531" s="129"/>
      <c r="H1531" s="124"/>
      <c r="I1531" s="124"/>
      <c r="J1531" s="129"/>
      <c r="K1531" s="194"/>
      <c r="L1531" s="194"/>
      <c r="M1531" s="129"/>
      <c r="N1531" s="129" t="e">
        <f>Table1[[#This Row],[Estimated Effort (Hours)]]/NETWORKDAYS(Table1[[#This Row],[Planned Start Date]],Table1[[#This Row],[Planned End Date]])</f>
        <v>#DIV/0!</v>
      </c>
      <c r="O1531" s="178">
        <f>NETWORKDAYS(Table1[[#This Row],[Planned Start Date]],Table1[[#This Row],[Planned End Date]])</f>
        <v>0</v>
      </c>
      <c r="P1531" s="178">
        <f>NETWORKDAYS(Table1[[#This Row],[Planned Start Date]],$P$7)</f>
        <v>30643</v>
      </c>
      <c r="Q1531" s="129"/>
      <c r="R1531" s="183" t="str">
        <f>IF(Table1[[#This Row],[Actual Effort (Hours)]]="","",IF(Table1[[#This Row],[Estimated Effort (Hours)]]&lt;20,"L1",IF(Table1[[#This Row],[Estimated Effort (Hours)]]&lt;50,"L2",IF(Table1[[#This Row],[Estimated Effort (Hours)]]&lt;150,"L3",IF(Table1[[#This Row],[Estimated Effort (Hours)]]&lt;300,"L4","L5")))))</f>
        <v/>
      </c>
      <c r="S1531" s="184" t="str">
        <f>IF(Table1[[#This Row],[Actual End Date]]="","",TEXT(Table1[[#This Row],[Actual End Date]],"mmm-yy"))</f>
        <v/>
      </c>
      <c r="T15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1" s="185" t="str">
        <f>IFERROR((Table1[[#This Row],[Actual Effort (Hours)]]-Table1[[#This Row],[Estimated Effort (Hours)]])/Table1[[#This Row],[Estimated Effort (Hours)]],"")</f>
        <v/>
      </c>
    </row>
    <row r="1532" spans="2:21">
      <c r="B1532" s="125"/>
      <c r="C1532" s="123"/>
      <c r="D1532" s="143"/>
      <c r="E1532" s="123"/>
      <c r="F1532" s="143"/>
      <c r="G1532" s="129"/>
      <c r="H1532" s="124"/>
      <c r="I1532" s="124"/>
      <c r="J1532" s="129"/>
      <c r="K1532" s="194"/>
      <c r="L1532" s="194"/>
      <c r="M1532" s="129"/>
      <c r="N1532" s="129" t="e">
        <f>Table1[[#This Row],[Estimated Effort (Hours)]]/NETWORKDAYS(Table1[[#This Row],[Planned Start Date]],Table1[[#This Row],[Planned End Date]])</f>
        <v>#DIV/0!</v>
      </c>
      <c r="O1532" s="178">
        <f>NETWORKDAYS(Table1[[#This Row],[Planned Start Date]],Table1[[#This Row],[Planned End Date]])</f>
        <v>0</v>
      </c>
      <c r="P1532" s="178">
        <f>NETWORKDAYS(Table1[[#This Row],[Planned Start Date]],$P$7)</f>
        <v>30643</v>
      </c>
      <c r="Q1532" s="129"/>
      <c r="R1532" s="183" t="str">
        <f>IF(Table1[[#This Row],[Actual Effort (Hours)]]="","",IF(Table1[[#This Row],[Estimated Effort (Hours)]]&lt;20,"L1",IF(Table1[[#This Row],[Estimated Effort (Hours)]]&lt;50,"L2",IF(Table1[[#This Row],[Estimated Effort (Hours)]]&lt;150,"L3",IF(Table1[[#This Row],[Estimated Effort (Hours)]]&lt;300,"L4","L5")))))</f>
        <v/>
      </c>
      <c r="S1532" s="184" t="str">
        <f>IF(Table1[[#This Row],[Actual End Date]]="","",TEXT(Table1[[#This Row],[Actual End Date]],"mmm-yy"))</f>
        <v/>
      </c>
      <c r="T15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2" s="185" t="str">
        <f>IFERROR((Table1[[#This Row],[Actual Effort (Hours)]]-Table1[[#This Row],[Estimated Effort (Hours)]])/Table1[[#This Row],[Estimated Effort (Hours)]],"")</f>
        <v/>
      </c>
    </row>
    <row r="1533" spans="2:21">
      <c r="B1533" s="125"/>
      <c r="C1533" s="123"/>
      <c r="D1533" s="143"/>
      <c r="E1533" s="123"/>
      <c r="F1533" s="143"/>
      <c r="G1533" s="129"/>
      <c r="H1533" s="124"/>
      <c r="I1533" s="124"/>
      <c r="J1533" s="129"/>
      <c r="K1533" s="194"/>
      <c r="L1533" s="194"/>
      <c r="M1533" s="129"/>
      <c r="N1533" s="129" t="e">
        <f>Table1[[#This Row],[Estimated Effort (Hours)]]/NETWORKDAYS(Table1[[#This Row],[Planned Start Date]],Table1[[#This Row],[Planned End Date]])</f>
        <v>#DIV/0!</v>
      </c>
      <c r="O1533" s="178">
        <f>NETWORKDAYS(Table1[[#This Row],[Planned Start Date]],Table1[[#This Row],[Planned End Date]])</f>
        <v>0</v>
      </c>
      <c r="P1533" s="178">
        <f>NETWORKDAYS(Table1[[#This Row],[Planned Start Date]],$P$7)</f>
        <v>30643</v>
      </c>
      <c r="Q1533" s="129"/>
      <c r="R1533" s="183" t="str">
        <f>IF(Table1[[#This Row],[Actual Effort (Hours)]]="","",IF(Table1[[#This Row],[Estimated Effort (Hours)]]&lt;20,"L1",IF(Table1[[#This Row],[Estimated Effort (Hours)]]&lt;50,"L2",IF(Table1[[#This Row],[Estimated Effort (Hours)]]&lt;150,"L3",IF(Table1[[#This Row],[Estimated Effort (Hours)]]&lt;300,"L4","L5")))))</f>
        <v/>
      </c>
      <c r="S1533" s="184" t="str">
        <f>IF(Table1[[#This Row],[Actual End Date]]="","",TEXT(Table1[[#This Row],[Actual End Date]],"mmm-yy"))</f>
        <v/>
      </c>
      <c r="T15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3" s="185" t="str">
        <f>IFERROR((Table1[[#This Row],[Actual Effort (Hours)]]-Table1[[#This Row],[Estimated Effort (Hours)]])/Table1[[#This Row],[Estimated Effort (Hours)]],"")</f>
        <v/>
      </c>
    </row>
    <row r="1534" spans="2:21">
      <c r="B1534" s="125"/>
      <c r="C1534" s="123"/>
      <c r="D1534" s="143"/>
      <c r="E1534" s="123"/>
      <c r="F1534" s="143"/>
      <c r="G1534" s="129"/>
      <c r="H1534" s="124"/>
      <c r="I1534" s="124"/>
      <c r="J1534" s="129"/>
      <c r="K1534" s="194"/>
      <c r="L1534" s="194"/>
      <c r="M1534" s="129"/>
      <c r="N1534" s="129" t="e">
        <f>Table1[[#This Row],[Estimated Effort (Hours)]]/NETWORKDAYS(Table1[[#This Row],[Planned Start Date]],Table1[[#This Row],[Planned End Date]])</f>
        <v>#DIV/0!</v>
      </c>
      <c r="O1534" s="178">
        <f>NETWORKDAYS(Table1[[#This Row],[Planned Start Date]],Table1[[#This Row],[Planned End Date]])</f>
        <v>0</v>
      </c>
      <c r="P1534" s="178">
        <f>NETWORKDAYS(Table1[[#This Row],[Planned Start Date]],$P$7)</f>
        <v>30643</v>
      </c>
      <c r="Q1534" s="129"/>
      <c r="R1534" s="183" t="str">
        <f>IF(Table1[[#This Row],[Actual Effort (Hours)]]="","",IF(Table1[[#This Row],[Estimated Effort (Hours)]]&lt;20,"L1",IF(Table1[[#This Row],[Estimated Effort (Hours)]]&lt;50,"L2",IF(Table1[[#This Row],[Estimated Effort (Hours)]]&lt;150,"L3",IF(Table1[[#This Row],[Estimated Effort (Hours)]]&lt;300,"L4","L5")))))</f>
        <v/>
      </c>
      <c r="S1534" s="184" t="str">
        <f>IF(Table1[[#This Row],[Actual End Date]]="","",TEXT(Table1[[#This Row],[Actual End Date]],"mmm-yy"))</f>
        <v/>
      </c>
      <c r="T15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4" s="185" t="str">
        <f>IFERROR((Table1[[#This Row],[Actual Effort (Hours)]]-Table1[[#This Row],[Estimated Effort (Hours)]])/Table1[[#This Row],[Estimated Effort (Hours)]],"")</f>
        <v/>
      </c>
    </row>
    <row r="1535" spans="2:21">
      <c r="B1535" s="125"/>
      <c r="C1535" s="123"/>
      <c r="D1535" s="143"/>
      <c r="E1535" s="123"/>
      <c r="F1535" s="143"/>
      <c r="G1535" s="129"/>
      <c r="H1535" s="124"/>
      <c r="I1535" s="124"/>
      <c r="J1535" s="129"/>
      <c r="K1535" s="194"/>
      <c r="L1535" s="194"/>
      <c r="M1535" s="129"/>
      <c r="N1535" s="129" t="e">
        <f>Table1[[#This Row],[Estimated Effort (Hours)]]/NETWORKDAYS(Table1[[#This Row],[Planned Start Date]],Table1[[#This Row],[Planned End Date]])</f>
        <v>#DIV/0!</v>
      </c>
      <c r="O1535" s="178">
        <f>NETWORKDAYS(Table1[[#This Row],[Planned Start Date]],Table1[[#This Row],[Planned End Date]])</f>
        <v>0</v>
      </c>
      <c r="P1535" s="178">
        <f>NETWORKDAYS(Table1[[#This Row],[Planned Start Date]],$P$7)</f>
        <v>30643</v>
      </c>
      <c r="Q1535" s="129"/>
      <c r="R1535" s="183" t="str">
        <f>IF(Table1[[#This Row],[Actual Effort (Hours)]]="","",IF(Table1[[#This Row],[Estimated Effort (Hours)]]&lt;20,"L1",IF(Table1[[#This Row],[Estimated Effort (Hours)]]&lt;50,"L2",IF(Table1[[#This Row],[Estimated Effort (Hours)]]&lt;150,"L3",IF(Table1[[#This Row],[Estimated Effort (Hours)]]&lt;300,"L4","L5")))))</f>
        <v/>
      </c>
      <c r="S1535" s="184" t="str">
        <f>IF(Table1[[#This Row],[Actual End Date]]="","",TEXT(Table1[[#This Row],[Actual End Date]],"mmm-yy"))</f>
        <v/>
      </c>
      <c r="T15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5" s="185" t="str">
        <f>IFERROR((Table1[[#This Row],[Actual Effort (Hours)]]-Table1[[#This Row],[Estimated Effort (Hours)]])/Table1[[#This Row],[Estimated Effort (Hours)]],"")</f>
        <v/>
      </c>
    </row>
    <row r="1536" spans="2:21">
      <c r="B1536" s="125"/>
      <c r="C1536" s="123"/>
      <c r="D1536" s="143"/>
      <c r="E1536" s="123"/>
      <c r="F1536" s="143"/>
      <c r="G1536" s="129"/>
      <c r="H1536" s="124"/>
      <c r="I1536" s="124"/>
      <c r="J1536" s="129"/>
      <c r="K1536" s="194"/>
      <c r="L1536" s="194"/>
      <c r="M1536" s="129"/>
      <c r="N1536" s="129" t="e">
        <f>Table1[[#This Row],[Estimated Effort (Hours)]]/NETWORKDAYS(Table1[[#This Row],[Planned Start Date]],Table1[[#This Row],[Planned End Date]])</f>
        <v>#DIV/0!</v>
      </c>
      <c r="O1536" s="178">
        <f>NETWORKDAYS(Table1[[#This Row],[Planned Start Date]],Table1[[#This Row],[Planned End Date]])</f>
        <v>0</v>
      </c>
      <c r="P1536" s="178">
        <f>NETWORKDAYS(Table1[[#This Row],[Planned Start Date]],$P$7)</f>
        <v>30643</v>
      </c>
      <c r="Q1536" s="129"/>
      <c r="R1536" s="183" t="str">
        <f>IF(Table1[[#This Row],[Actual Effort (Hours)]]="","",IF(Table1[[#This Row],[Estimated Effort (Hours)]]&lt;20,"L1",IF(Table1[[#This Row],[Estimated Effort (Hours)]]&lt;50,"L2",IF(Table1[[#This Row],[Estimated Effort (Hours)]]&lt;150,"L3",IF(Table1[[#This Row],[Estimated Effort (Hours)]]&lt;300,"L4","L5")))))</f>
        <v/>
      </c>
      <c r="S1536" s="184" t="str">
        <f>IF(Table1[[#This Row],[Actual End Date]]="","",TEXT(Table1[[#This Row],[Actual End Date]],"mmm-yy"))</f>
        <v/>
      </c>
      <c r="T15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6" s="185" t="str">
        <f>IFERROR((Table1[[#This Row],[Actual Effort (Hours)]]-Table1[[#This Row],[Estimated Effort (Hours)]])/Table1[[#This Row],[Estimated Effort (Hours)]],"")</f>
        <v/>
      </c>
    </row>
    <row r="1537" spans="2:21">
      <c r="B1537" s="125"/>
      <c r="C1537" s="123"/>
      <c r="D1537" s="143"/>
      <c r="E1537" s="123"/>
      <c r="F1537" s="143"/>
      <c r="G1537" s="129"/>
      <c r="H1537" s="124"/>
      <c r="I1537" s="124"/>
      <c r="J1537" s="129"/>
      <c r="K1537" s="194"/>
      <c r="L1537" s="194"/>
      <c r="M1537" s="129"/>
      <c r="N1537" s="129" t="e">
        <f>Table1[[#This Row],[Estimated Effort (Hours)]]/NETWORKDAYS(Table1[[#This Row],[Planned Start Date]],Table1[[#This Row],[Planned End Date]])</f>
        <v>#DIV/0!</v>
      </c>
      <c r="O1537" s="178">
        <f>NETWORKDAYS(Table1[[#This Row],[Planned Start Date]],Table1[[#This Row],[Planned End Date]])</f>
        <v>0</v>
      </c>
      <c r="P1537" s="178">
        <f>NETWORKDAYS(Table1[[#This Row],[Planned Start Date]],$P$7)</f>
        <v>30643</v>
      </c>
      <c r="Q1537" s="129"/>
      <c r="R1537" s="183" t="str">
        <f>IF(Table1[[#This Row],[Actual Effort (Hours)]]="","",IF(Table1[[#This Row],[Estimated Effort (Hours)]]&lt;20,"L1",IF(Table1[[#This Row],[Estimated Effort (Hours)]]&lt;50,"L2",IF(Table1[[#This Row],[Estimated Effort (Hours)]]&lt;150,"L3",IF(Table1[[#This Row],[Estimated Effort (Hours)]]&lt;300,"L4","L5")))))</f>
        <v/>
      </c>
      <c r="S1537" s="184" t="str">
        <f>IF(Table1[[#This Row],[Actual End Date]]="","",TEXT(Table1[[#This Row],[Actual End Date]],"mmm-yy"))</f>
        <v/>
      </c>
      <c r="T15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7" s="185" t="str">
        <f>IFERROR((Table1[[#This Row],[Actual Effort (Hours)]]-Table1[[#This Row],[Estimated Effort (Hours)]])/Table1[[#This Row],[Estimated Effort (Hours)]],"")</f>
        <v/>
      </c>
    </row>
    <row r="1538" spans="2:21">
      <c r="B1538" s="125"/>
      <c r="C1538" s="123"/>
      <c r="D1538" s="143"/>
      <c r="E1538" s="123"/>
      <c r="F1538" s="143"/>
      <c r="G1538" s="129"/>
      <c r="H1538" s="124"/>
      <c r="I1538" s="124"/>
      <c r="J1538" s="129"/>
      <c r="K1538" s="194"/>
      <c r="L1538" s="194"/>
      <c r="M1538" s="129"/>
      <c r="N1538" s="129" t="e">
        <f>Table1[[#This Row],[Estimated Effort (Hours)]]/NETWORKDAYS(Table1[[#This Row],[Planned Start Date]],Table1[[#This Row],[Planned End Date]])</f>
        <v>#DIV/0!</v>
      </c>
      <c r="O1538" s="178">
        <f>NETWORKDAYS(Table1[[#This Row],[Planned Start Date]],Table1[[#This Row],[Planned End Date]])</f>
        <v>0</v>
      </c>
      <c r="P1538" s="178">
        <f>NETWORKDAYS(Table1[[#This Row],[Planned Start Date]],$P$7)</f>
        <v>30643</v>
      </c>
      <c r="Q1538" s="129"/>
      <c r="R1538" s="183" t="str">
        <f>IF(Table1[[#This Row],[Actual Effort (Hours)]]="","",IF(Table1[[#This Row],[Estimated Effort (Hours)]]&lt;20,"L1",IF(Table1[[#This Row],[Estimated Effort (Hours)]]&lt;50,"L2",IF(Table1[[#This Row],[Estimated Effort (Hours)]]&lt;150,"L3",IF(Table1[[#This Row],[Estimated Effort (Hours)]]&lt;300,"L4","L5")))))</f>
        <v/>
      </c>
      <c r="S1538" s="184" t="str">
        <f>IF(Table1[[#This Row],[Actual End Date]]="","",TEXT(Table1[[#This Row],[Actual End Date]],"mmm-yy"))</f>
        <v/>
      </c>
      <c r="T15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8" s="185" t="str">
        <f>IFERROR((Table1[[#This Row],[Actual Effort (Hours)]]-Table1[[#This Row],[Estimated Effort (Hours)]])/Table1[[#This Row],[Estimated Effort (Hours)]],"")</f>
        <v/>
      </c>
    </row>
    <row r="1539" spans="2:21">
      <c r="B1539" s="125"/>
      <c r="C1539" s="123"/>
      <c r="D1539" s="143"/>
      <c r="E1539" s="123"/>
      <c r="F1539" s="143"/>
      <c r="G1539" s="129"/>
      <c r="H1539" s="124"/>
      <c r="I1539" s="124"/>
      <c r="J1539" s="129"/>
      <c r="K1539" s="194"/>
      <c r="L1539" s="194"/>
      <c r="M1539" s="129"/>
      <c r="N1539" s="129" t="e">
        <f>Table1[[#This Row],[Estimated Effort (Hours)]]/NETWORKDAYS(Table1[[#This Row],[Planned Start Date]],Table1[[#This Row],[Planned End Date]])</f>
        <v>#DIV/0!</v>
      </c>
      <c r="O1539" s="178">
        <f>NETWORKDAYS(Table1[[#This Row],[Planned Start Date]],Table1[[#This Row],[Planned End Date]])</f>
        <v>0</v>
      </c>
      <c r="P1539" s="178">
        <f>NETWORKDAYS(Table1[[#This Row],[Planned Start Date]],$P$7)</f>
        <v>30643</v>
      </c>
      <c r="Q1539" s="129"/>
      <c r="R1539" s="183" t="str">
        <f>IF(Table1[[#This Row],[Actual Effort (Hours)]]="","",IF(Table1[[#This Row],[Estimated Effort (Hours)]]&lt;20,"L1",IF(Table1[[#This Row],[Estimated Effort (Hours)]]&lt;50,"L2",IF(Table1[[#This Row],[Estimated Effort (Hours)]]&lt;150,"L3",IF(Table1[[#This Row],[Estimated Effort (Hours)]]&lt;300,"L4","L5")))))</f>
        <v/>
      </c>
      <c r="S1539" s="184" t="str">
        <f>IF(Table1[[#This Row],[Actual End Date]]="","",TEXT(Table1[[#This Row],[Actual End Date]],"mmm-yy"))</f>
        <v/>
      </c>
      <c r="T15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39" s="185" t="str">
        <f>IFERROR((Table1[[#This Row],[Actual Effort (Hours)]]-Table1[[#This Row],[Estimated Effort (Hours)]])/Table1[[#This Row],[Estimated Effort (Hours)]],"")</f>
        <v/>
      </c>
    </row>
    <row r="1540" spans="2:21">
      <c r="B1540" s="125"/>
      <c r="C1540" s="123"/>
      <c r="D1540" s="143"/>
      <c r="E1540" s="123"/>
      <c r="F1540" s="143"/>
      <c r="G1540" s="129"/>
      <c r="H1540" s="124"/>
      <c r="I1540" s="124"/>
      <c r="J1540" s="129"/>
      <c r="K1540" s="194"/>
      <c r="L1540" s="194"/>
      <c r="M1540" s="129"/>
      <c r="N1540" s="129" t="e">
        <f>Table1[[#This Row],[Estimated Effort (Hours)]]/NETWORKDAYS(Table1[[#This Row],[Planned Start Date]],Table1[[#This Row],[Planned End Date]])</f>
        <v>#DIV/0!</v>
      </c>
      <c r="O1540" s="178">
        <f>NETWORKDAYS(Table1[[#This Row],[Planned Start Date]],Table1[[#This Row],[Planned End Date]])</f>
        <v>0</v>
      </c>
      <c r="P1540" s="178">
        <f>NETWORKDAYS(Table1[[#This Row],[Planned Start Date]],$P$7)</f>
        <v>30643</v>
      </c>
      <c r="Q1540" s="129"/>
      <c r="R1540" s="183" t="str">
        <f>IF(Table1[[#This Row],[Actual Effort (Hours)]]="","",IF(Table1[[#This Row],[Estimated Effort (Hours)]]&lt;20,"L1",IF(Table1[[#This Row],[Estimated Effort (Hours)]]&lt;50,"L2",IF(Table1[[#This Row],[Estimated Effort (Hours)]]&lt;150,"L3",IF(Table1[[#This Row],[Estimated Effort (Hours)]]&lt;300,"L4","L5")))))</f>
        <v/>
      </c>
      <c r="S1540" s="184" t="str">
        <f>IF(Table1[[#This Row],[Actual End Date]]="","",TEXT(Table1[[#This Row],[Actual End Date]],"mmm-yy"))</f>
        <v/>
      </c>
      <c r="T15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0" s="185" t="str">
        <f>IFERROR((Table1[[#This Row],[Actual Effort (Hours)]]-Table1[[#This Row],[Estimated Effort (Hours)]])/Table1[[#This Row],[Estimated Effort (Hours)]],"")</f>
        <v/>
      </c>
    </row>
    <row r="1541" spans="2:21">
      <c r="B1541" s="125"/>
      <c r="C1541" s="123"/>
      <c r="D1541" s="143"/>
      <c r="E1541" s="123"/>
      <c r="F1541" s="143"/>
      <c r="G1541" s="129"/>
      <c r="H1541" s="124"/>
      <c r="I1541" s="124"/>
      <c r="J1541" s="129"/>
      <c r="K1541" s="194"/>
      <c r="L1541" s="194"/>
      <c r="M1541" s="129"/>
      <c r="N1541" s="129" t="e">
        <f>Table1[[#This Row],[Estimated Effort (Hours)]]/NETWORKDAYS(Table1[[#This Row],[Planned Start Date]],Table1[[#This Row],[Planned End Date]])</f>
        <v>#DIV/0!</v>
      </c>
      <c r="O1541" s="178">
        <f>NETWORKDAYS(Table1[[#This Row],[Planned Start Date]],Table1[[#This Row],[Planned End Date]])</f>
        <v>0</v>
      </c>
      <c r="P1541" s="178">
        <f>NETWORKDAYS(Table1[[#This Row],[Planned Start Date]],$P$7)</f>
        <v>30643</v>
      </c>
      <c r="Q1541" s="129"/>
      <c r="R1541" s="183" t="str">
        <f>IF(Table1[[#This Row],[Actual Effort (Hours)]]="","",IF(Table1[[#This Row],[Estimated Effort (Hours)]]&lt;20,"L1",IF(Table1[[#This Row],[Estimated Effort (Hours)]]&lt;50,"L2",IF(Table1[[#This Row],[Estimated Effort (Hours)]]&lt;150,"L3",IF(Table1[[#This Row],[Estimated Effort (Hours)]]&lt;300,"L4","L5")))))</f>
        <v/>
      </c>
      <c r="S1541" s="184" t="str">
        <f>IF(Table1[[#This Row],[Actual End Date]]="","",TEXT(Table1[[#This Row],[Actual End Date]],"mmm-yy"))</f>
        <v/>
      </c>
      <c r="T15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1" s="185" t="str">
        <f>IFERROR((Table1[[#This Row],[Actual Effort (Hours)]]-Table1[[#This Row],[Estimated Effort (Hours)]])/Table1[[#This Row],[Estimated Effort (Hours)]],"")</f>
        <v/>
      </c>
    </row>
    <row r="1542" spans="2:21">
      <c r="B1542" s="125"/>
      <c r="C1542" s="123"/>
      <c r="D1542" s="143"/>
      <c r="E1542" s="123"/>
      <c r="F1542" s="143"/>
      <c r="G1542" s="129"/>
      <c r="H1542" s="124"/>
      <c r="I1542" s="124"/>
      <c r="J1542" s="129"/>
      <c r="K1542" s="194"/>
      <c r="L1542" s="194"/>
      <c r="M1542" s="129"/>
      <c r="N1542" s="129" t="e">
        <f>Table1[[#This Row],[Estimated Effort (Hours)]]/NETWORKDAYS(Table1[[#This Row],[Planned Start Date]],Table1[[#This Row],[Planned End Date]])</f>
        <v>#DIV/0!</v>
      </c>
      <c r="O1542" s="178">
        <f>NETWORKDAYS(Table1[[#This Row],[Planned Start Date]],Table1[[#This Row],[Planned End Date]])</f>
        <v>0</v>
      </c>
      <c r="P1542" s="178">
        <f>NETWORKDAYS(Table1[[#This Row],[Planned Start Date]],$P$7)</f>
        <v>30643</v>
      </c>
      <c r="Q1542" s="129"/>
      <c r="R1542" s="183" t="str">
        <f>IF(Table1[[#This Row],[Actual Effort (Hours)]]="","",IF(Table1[[#This Row],[Estimated Effort (Hours)]]&lt;20,"L1",IF(Table1[[#This Row],[Estimated Effort (Hours)]]&lt;50,"L2",IF(Table1[[#This Row],[Estimated Effort (Hours)]]&lt;150,"L3",IF(Table1[[#This Row],[Estimated Effort (Hours)]]&lt;300,"L4","L5")))))</f>
        <v/>
      </c>
      <c r="S1542" s="184" t="str">
        <f>IF(Table1[[#This Row],[Actual End Date]]="","",TEXT(Table1[[#This Row],[Actual End Date]],"mmm-yy"))</f>
        <v/>
      </c>
      <c r="T15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2" s="185" t="str">
        <f>IFERROR((Table1[[#This Row],[Actual Effort (Hours)]]-Table1[[#This Row],[Estimated Effort (Hours)]])/Table1[[#This Row],[Estimated Effort (Hours)]],"")</f>
        <v/>
      </c>
    </row>
    <row r="1543" spans="2:21">
      <c r="B1543" s="125"/>
      <c r="C1543" s="123"/>
      <c r="D1543" s="143"/>
      <c r="E1543" s="123"/>
      <c r="F1543" s="143"/>
      <c r="G1543" s="129"/>
      <c r="H1543" s="124"/>
      <c r="I1543" s="124"/>
      <c r="J1543" s="129"/>
      <c r="K1543" s="194"/>
      <c r="L1543" s="194"/>
      <c r="M1543" s="129"/>
      <c r="N1543" s="129" t="e">
        <f>Table1[[#This Row],[Estimated Effort (Hours)]]/NETWORKDAYS(Table1[[#This Row],[Planned Start Date]],Table1[[#This Row],[Planned End Date]])</f>
        <v>#DIV/0!</v>
      </c>
      <c r="O1543" s="178">
        <f>NETWORKDAYS(Table1[[#This Row],[Planned Start Date]],Table1[[#This Row],[Planned End Date]])</f>
        <v>0</v>
      </c>
      <c r="P1543" s="178">
        <f>NETWORKDAYS(Table1[[#This Row],[Planned Start Date]],$P$7)</f>
        <v>30643</v>
      </c>
      <c r="Q1543" s="129"/>
      <c r="R1543" s="183" t="str">
        <f>IF(Table1[[#This Row],[Actual Effort (Hours)]]="","",IF(Table1[[#This Row],[Estimated Effort (Hours)]]&lt;20,"L1",IF(Table1[[#This Row],[Estimated Effort (Hours)]]&lt;50,"L2",IF(Table1[[#This Row],[Estimated Effort (Hours)]]&lt;150,"L3",IF(Table1[[#This Row],[Estimated Effort (Hours)]]&lt;300,"L4","L5")))))</f>
        <v/>
      </c>
      <c r="S1543" s="184" t="str">
        <f>IF(Table1[[#This Row],[Actual End Date]]="","",TEXT(Table1[[#This Row],[Actual End Date]],"mmm-yy"))</f>
        <v/>
      </c>
      <c r="T15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3" s="185" t="str">
        <f>IFERROR((Table1[[#This Row],[Actual Effort (Hours)]]-Table1[[#This Row],[Estimated Effort (Hours)]])/Table1[[#This Row],[Estimated Effort (Hours)]],"")</f>
        <v/>
      </c>
    </row>
    <row r="1544" spans="2:21">
      <c r="B1544" s="125"/>
      <c r="C1544" s="123"/>
      <c r="D1544" s="143"/>
      <c r="E1544" s="123"/>
      <c r="F1544" s="143"/>
      <c r="G1544" s="129"/>
      <c r="H1544" s="124"/>
      <c r="I1544" s="124"/>
      <c r="J1544" s="129"/>
      <c r="K1544" s="194"/>
      <c r="L1544" s="194"/>
      <c r="M1544" s="129"/>
      <c r="N1544" s="129" t="e">
        <f>Table1[[#This Row],[Estimated Effort (Hours)]]/NETWORKDAYS(Table1[[#This Row],[Planned Start Date]],Table1[[#This Row],[Planned End Date]])</f>
        <v>#DIV/0!</v>
      </c>
      <c r="O1544" s="178">
        <f>NETWORKDAYS(Table1[[#This Row],[Planned Start Date]],Table1[[#This Row],[Planned End Date]])</f>
        <v>0</v>
      </c>
      <c r="P1544" s="178">
        <f>NETWORKDAYS(Table1[[#This Row],[Planned Start Date]],$P$7)</f>
        <v>30643</v>
      </c>
      <c r="Q1544" s="129"/>
      <c r="R1544" s="183" t="str">
        <f>IF(Table1[[#This Row],[Actual Effort (Hours)]]="","",IF(Table1[[#This Row],[Estimated Effort (Hours)]]&lt;20,"L1",IF(Table1[[#This Row],[Estimated Effort (Hours)]]&lt;50,"L2",IF(Table1[[#This Row],[Estimated Effort (Hours)]]&lt;150,"L3",IF(Table1[[#This Row],[Estimated Effort (Hours)]]&lt;300,"L4","L5")))))</f>
        <v/>
      </c>
      <c r="S1544" s="184" t="str">
        <f>IF(Table1[[#This Row],[Actual End Date]]="","",TEXT(Table1[[#This Row],[Actual End Date]],"mmm-yy"))</f>
        <v/>
      </c>
      <c r="T15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4" s="185" t="str">
        <f>IFERROR((Table1[[#This Row],[Actual Effort (Hours)]]-Table1[[#This Row],[Estimated Effort (Hours)]])/Table1[[#This Row],[Estimated Effort (Hours)]],"")</f>
        <v/>
      </c>
    </row>
    <row r="1545" spans="2:21">
      <c r="B1545" s="125"/>
      <c r="C1545" s="123"/>
      <c r="D1545" s="143"/>
      <c r="E1545" s="123"/>
      <c r="F1545" s="143"/>
      <c r="G1545" s="129"/>
      <c r="H1545" s="124"/>
      <c r="I1545" s="124"/>
      <c r="J1545" s="129"/>
      <c r="K1545" s="194"/>
      <c r="L1545" s="194"/>
      <c r="M1545" s="129"/>
      <c r="N1545" s="129" t="e">
        <f>Table1[[#This Row],[Estimated Effort (Hours)]]/NETWORKDAYS(Table1[[#This Row],[Planned Start Date]],Table1[[#This Row],[Planned End Date]])</f>
        <v>#DIV/0!</v>
      </c>
      <c r="O1545" s="178">
        <f>NETWORKDAYS(Table1[[#This Row],[Planned Start Date]],Table1[[#This Row],[Planned End Date]])</f>
        <v>0</v>
      </c>
      <c r="P1545" s="178">
        <f>NETWORKDAYS(Table1[[#This Row],[Planned Start Date]],$P$7)</f>
        <v>30643</v>
      </c>
      <c r="Q1545" s="129"/>
      <c r="R1545" s="183" t="str">
        <f>IF(Table1[[#This Row],[Actual Effort (Hours)]]="","",IF(Table1[[#This Row],[Estimated Effort (Hours)]]&lt;20,"L1",IF(Table1[[#This Row],[Estimated Effort (Hours)]]&lt;50,"L2",IF(Table1[[#This Row],[Estimated Effort (Hours)]]&lt;150,"L3",IF(Table1[[#This Row],[Estimated Effort (Hours)]]&lt;300,"L4","L5")))))</f>
        <v/>
      </c>
      <c r="S1545" s="184" t="str">
        <f>IF(Table1[[#This Row],[Actual End Date]]="","",TEXT(Table1[[#This Row],[Actual End Date]],"mmm-yy"))</f>
        <v/>
      </c>
      <c r="T15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5" s="185" t="str">
        <f>IFERROR((Table1[[#This Row],[Actual Effort (Hours)]]-Table1[[#This Row],[Estimated Effort (Hours)]])/Table1[[#This Row],[Estimated Effort (Hours)]],"")</f>
        <v/>
      </c>
    </row>
    <row r="1546" spans="2:21">
      <c r="B1546" s="125"/>
      <c r="C1546" s="123"/>
      <c r="D1546" s="143"/>
      <c r="E1546" s="123"/>
      <c r="F1546" s="143"/>
      <c r="G1546" s="129"/>
      <c r="H1546" s="124"/>
      <c r="I1546" s="124"/>
      <c r="J1546" s="129"/>
      <c r="K1546" s="194"/>
      <c r="L1546" s="194"/>
      <c r="M1546" s="129"/>
      <c r="N1546" s="129" t="e">
        <f>Table1[[#This Row],[Estimated Effort (Hours)]]/NETWORKDAYS(Table1[[#This Row],[Planned Start Date]],Table1[[#This Row],[Planned End Date]])</f>
        <v>#DIV/0!</v>
      </c>
      <c r="O1546" s="178">
        <f>NETWORKDAYS(Table1[[#This Row],[Planned Start Date]],Table1[[#This Row],[Planned End Date]])</f>
        <v>0</v>
      </c>
      <c r="P1546" s="178">
        <f>NETWORKDAYS(Table1[[#This Row],[Planned Start Date]],$P$7)</f>
        <v>30643</v>
      </c>
      <c r="Q1546" s="129"/>
      <c r="R1546" s="183" t="str">
        <f>IF(Table1[[#This Row],[Actual Effort (Hours)]]="","",IF(Table1[[#This Row],[Estimated Effort (Hours)]]&lt;20,"L1",IF(Table1[[#This Row],[Estimated Effort (Hours)]]&lt;50,"L2",IF(Table1[[#This Row],[Estimated Effort (Hours)]]&lt;150,"L3",IF(Table1[[#This Row],[Estimated Effort (Hours)]]&lt;300,"L4","L5")))))</f>
        <v/>
      </c>
      <c r="S1546" s="184" t="str">
        <f>IF(Table1[[#This Row],[Actual End Date]]="","",TEXT(Table1[[#This Row],[Actual End Date]],"mmm-yy"))</f>
        <v/>
      </c>
      <c r="T15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6" s="185" t="str">
        <f>IFERROR((Table1[[#This Row],[Actual Effort (Hours)]]-Table1[[#This Row],[Estimated Effort (Hours)]])/Table1[[#This Row],[Estimated Effort (Hours)]],"")</f>
        <v/>
      </c>
    </row>
    <row r="1547" spans="2:21">
      <c r="B1547" s="125"/>
      <c r="C1547" s="123"/>
      <c r="D1547" s="143"/>
      <c r="E1547" s="123"/>
      <c r="F1547" s="143"/>
      <c r="G1547" s="129"/>
      <c r="H1547" s="124"/>
      <c r="I1547" s="124"/>
      <c r="J1547" s="129"/>
      <c r="K1547" s="194"/>
      <c r="L1547" s="194"/>
      <c r="M1547" s="129"/>
      <c r="N1547" s="129" t="e">
        <f>Table1[[#This Row],[Estimated Effort (Hours)]]/NETWORKDAYS(Table1[[#This Row],[Planned Start Date]],Table1[[#This Row],[Planned End Date]])</f>
        <v>#DIV/0!</v>
      </c>
      <c r="O1547" s="178">
        <f>NETWORKDAYS(Table1[[#This Row],[Planned Start Date]],Table1[[#This Row],[Planned End Date]])</f>
        <v>0</v>
      </c>
      <c r="P1547" s="178">
        <f>NETWORKDAYS(Table1[[#This Row],[Planned Start Date]],$P$7)</f>
        <v>30643</v>
      </c>
      <c r="Q1547" s="129"/>
      <c r="R1547" s="183" t="str">
        <f>IF(Table1[[#This Row],[Actual Effort (Hours)]]="","",IF(Table1[[#This Row],[Estimated Effort (Hours)]]&lt;20,"L1",IF(Table1[[#This Row],[Estimated Effort (Hours)]]&lt;50,"L2",IF(Table1[[#This Row],[Estimated Effort (Hours)]]&lt;150,"L3",IF(Table1[[#This Row],[Estimated Effort (Hours)]]&lt;300,"L4","L5")))))</f>
        <v/>
      </c>
      <c r="S1547" s="184" t="str">
        <f>IF(Table1[[#This Row],[Actual End Date]]="","",TEXT(Table1[[#This Row],[Actual End Date]],"mmm-yy"))</f>
        <v/>
      </c>
      <c r="T15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7" s="185" t="str">
        <f>IFERROR((Table1[[#This Row],[Actual Effort (Hours)]]-Table1[[#This Row],[Estimated Effort (Hours)]])/Table1[[#This Row],[Estimated Effort (Hours)]],"")</f>
        <v/>
      </c>
    </row>
    <row r="1548" spans="2:21">
      <c r="B1548" s="125"/>
      <c r="C1548" s="123"/>
      <c r="D1548" s="143"/>
      <c r="E1548" s="123"/>
      <c r="F1548" s="143"/>
      <c r="G1548" s="129"/>
      <c r="H1548" s="124"/>
      <c r="I1548" s="124"/>
      <c r="J1548" s="129"/>
      <c r="K1548" s="194"/>
      <c r="L1548" s="194"/>
      <c r="M1548" s="129"/>
      <c r="N1548" s="129" t="e">
        <f>Table1[[#This Row],[Estimated Effort (Hours)]]/NETWORKDAYS(Table1[[#This Row],[Planned Start Date]],Table1[[#This Row],[Planned End Date]])</f>
        <v>#DIV/0!</v>
      </c>
      <c r="O1548" s="178">
        <f>NETWORKDAYS(Table1[[#This Row],[Planned Start Date]],Table1[[#This Row],[Planned End Date]])</f>
        <v>0</v>
      </c>
      <c r="P1548" s="178">
        <f>NETWORKDAYS(Table1[[#This Row],[Planned Start Date]],$P$7)</f>
        <v>30643</v>
      </c>
      <c r="Q1548" s="129"/>
      <c r="R1548" s="183" t="str">
        <f>IF(Table1[[#This Row],[Actual Effort (Hours)]]="","",IF(Table1[[#This Row],[Estimated Effort (Hours)]]&lt;20,"L1",IF(Table1[[#This Row],[Estimated Effort (Hours)]]&lt;50,"L2",IF(Table1[[#This Row],[Estimated Effort (Hours)]]&lt;150,"L3",IF(Table1[[#This Row],[Estimated Effort (Hours)]]&lt;300,"L4","L5")))))</f>
        <v/>
      </c>
      <c r="S1548" s="184" t="str">
        <f>IF(Table1[[#This Row],[Actual End Date]]="","",TEXT(Table1[[#This Row],[Actual End Date]],"mmm-yy"))</f>
        <v/>
      </c>
      <c r="T15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8" s="185" t="str">
        <f>IFERROR((Table1[[#This Row],[Actual Effort (Hours)]]-Table1[[#This Row],[Estimated Effort (Hours)]])/Table1[[#This Row],[Estimated Effort (Hours)]],"")</f>
        <v/>
      </c>
    </row>
    <row r="1549" spans="2:21">
      <c r="B1549" s="125"/>
      <c r="C1549" s="123"/>
      <c r="D1549" s="143"/>
      <c r="E1549" s="123"/>
      <c r="F1549" s="143"/>
      <c r="G1549" s="129"/>
      <c r="H1549" s="124"/>
      <c r="I1549" s="124"/>
      <c r="J1549" s="129"/>
      <c r="K1549" s="194"/>
      <c r="L1549" s="194"/>
      <c r="M1549" s="129"/>
      <c r="N1549" s="129" t="e">
        <f>Table1[[#This Row],[Estimated Effort (Hours)]]/NETWORKDAYS(Table1[[#This Row],[Planned Start Date]],Table1[[#This Row],[Planned End Date]])</f>
        <v>#DIV/0!</v>
      </c>
      <c r="O1549" s="178">
        <f>NETWORKDAYS(Table1[[#This Row],[Planned Start Date]],Table1[[#This Row],[Planned End Date]])</f>
        <v>0</v>
      </c>
      <c r="P1549" s="178">
        <f>NETWORKDAYS(Table1[[#This Row],[Planned Start Date]],$P$7)</f>
        <v>30643</v>
      </c>
      <c r="Q1549" s="129"/>
      <c r="R1549" s="183" t="str">
        <f>IF(Table1[[#This Row],[Actual Effort (Hours)]]="","",IF(Table1[[#This Row],[Estimated Effort (Hours)]]&lt;20,"L1",IF(Table1[[#This Row],[Estimated Effort (Hours)]]&lt;50,"L2",IF(Table1[[#This Row],[Estimated Effort (Hours)]]&lt;150,"L3",IF(Table1[[#This Row],[Estimated Effort (Hours)]]&lt;300,"L4","L5")))))</f>
        <v/>
      </c>
      <c r="S1549" s="184" t="str">
        <f>IF(Table1[[#This Row],[Actual End Date]]="","",TEXT(Table1[[#This Row],[Actual End Date]],"mmm-yy"))</f>
        <v/>
      </c>
      <c r="T15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49" s="185" t="str">
        <f>IFERROR((Table1[[#This Row],[Actual Effort (Hours)]]-Table1[[#This Row],[Estimated Effort (Hours)]])/Table1[[#This Row],[Estimated Effort (Hours)]],"")</f>
        <v/>
      </c>
    </row>
    <row r="1550" spans="2:21">
      <c r="B1550" s="125"/>
      <c r="C1550" s="123"/>
      <c r="D1550" s="143"/>
      <c r="E1550" s="123"/>
      <c r="F1550" s="143"/>
      <c r="G1550" s="129"/>
      <c r="H1550" s="124"/>
      <c r="I1550" s="124"/>
      <c r="J1550" s="129"/>
      <c r="K1550" s="194"/>
      <c r="L1550" s="194"/>
      <c r="M1550" s="129"/>
      <c r="N1550" s="129" t="e">
        <f>Table1[[#This Row],[Estimated Effort (Hours)]]/NETWORKDAYS(Table1[[#This Row],[Planned Start Date]],Table1[[#This Row],[Planned End Date]])</f>
        <v>#DIV/0!</v>
      </c>
      <c r="O1550" s="178">
        <f>NETWORKDAYS(Table1[[#This Row],[Planned Start Date]],Table1[[#This Row],[Planned End Date]])</f>
        <v>0</v>
      </c>
      <c r="P1550" s="178">
        <f>NETWORKDAYS(Table1[[#This Row],[Planned Start Date]],$P$7)</f>
        <v>30643</v>
      </c>
      <c r="Q1550" s="129"/>
      <c r="R1550" s="183" t="str">
        <f>IF(Table1[[#This Row],[Actual Effort (Hours)]]="","",IF(Table1[[#This Row],[Estimated Effort (Hours)]]&lt;20,"L1",IF(Table1[[#This Row],[Estimated Effort (Hours)]]&lt;50,"L2",IF(Table1[[#This Row],[Estimated Effort (Hours)]]&lt;150,"L3",IF(Table1[[#This Row],[Estimated Effort (Hours)]]&lt;300,"L4","L5")))))</f>
        <v/>
      </c>
      <c r="S1550" s="184" t="str">
        <f>IF(Table1[[#This Row],[Actual End Date]]="","",TEXT(Table1[[#This Row],[Actual End Date]],"mmm-yy"))</f>
        <v/>
      </c>
      <c r="T15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0" s="185" t="str">
        <f>IFERROR((Table1[[#This Row],[Actual Effort (Hours)]]-Table1[[#This Row],[Estimated Effort (Hours)]])/Table1[[#This Row],[Estimated Effort (Hours)]],"")</f>
        <v/>
      </c>
    </row>
    <row r="1551" spans="2:21">
      <c r="B1551" s="125"/>
      <c r="C1551" s="123"/>
      <c r="D1551" s="143"/>
      <c r="E1551" s="123"/>
      <c r="F1551" s="143"/>
      <c r="G1551" s="129"/>
      <c r="H1551" s="124"/>
      <c r="I1551" s="124"/>
      <c r="J1551" s="129"/>
      <c r="K1551" s="194"/>
      <c r="L1551" s="194"/>
      <c r="M1551" s="129"/>
      <c r="N1551" s="129" t="e">
        <f>Table1[[#This Row],[Estimated Effort (Hours)]]/NETWORKDAYS(Table1[[#This Row],[Planned Start Date]],Table1[[#This Row],[Planned End Date]])</f>
        <v>#DIV/0!</v>
      </c>
      <c r="O1551" s="178">
        <f>NETWORKDAYS(Table1[[#This Row],[Planned Start Date]],Table1[[#This Row],[Planned End Date]])</f>
        <v>0</v>
      </c>
      <c r="P1551" s="178">
        <f>NETWORKDAYS(Table1[[#This Row],[Planned Start Date]],$P$7)</f>
        <v>30643</v>
      </c>
      <c r="Q1551" s="129"/>
      <c r="R1551" s="183" t="str">
        <f>IF(Table1[[#This Row],[Actual Effort (Hours)]]="","",IF(Table1[[#This Row],[Estimated Effort (Hours)]]&lt;20,"L1",IF(Table1[[#This Row],[Estimated Effort (Hours)]]&lt;50,"L2",IF(Table1[[#This Row],[Estimated Effort (Hours)]]&lt;150,"L3",IF(Table1[[#This Row],[Estimated Effort (Hours)]]&lt;300,"L4","L5")))))</f>
        <v/>
      </c>
      <c r="S1551" s="184" t="str">
        <f>IF(Table1[[#This Row],[Actual End Date]]="","",TEXT(Table1[[#This Row],[Actual End Date]],"mmm-yy"))</f>
        <v/>
      </c>
      <c r="T15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1" s="185" t="str">
        <f>IFERROR((Table1[[#This Row],[Actual Effort (Hours)]]-Table1[[#This Row],[Estimated Effort (Hours)]])/Table1[[#This Row],[Estimated Effort (Hours)]],"")</f>
        <v/>
      </c>
    </row>
    <row r="1552" spans="2:21">
      <c r="B1552" s="125"/>
      <c r="C1552" s="123"/>
      <c r="D1552" s="143"/>
      <c r="E1552" s="123"/>
      <c r="F1552" s="143"/>
      <c r="G1552" s="129"/>
      <c r="H1552" s="124"/>
      <c r="I1552" s="124"/>
      <c r="J1552" s="129"/>
      <c r="K1552" s="194"/>
      <c r="L1552" s="194"/>
      <c r="M1552" s="129"/>
      <c r="N1552" s="129" t="e">
        <f>Table1[[#This Row],[Estimated Effort (Hours)]]/NETWORKDAYS(Table1[[#This Row],[Planned Start Date]],Table1[[#This Row],[Planned End Date]])</f>
        <v>#DIV/0!</v>
      </c>
      <c r="O1552" s="178">
        <f>NETWORKDAYS(Table1[[#This Row],[Planned Start Date]],Table1[[#This Row],[Planned End Date]])</f>
        <v>0</v>
      </c>
      <c r="P1552" s="178">
        <f>NETWORKDAYS(Table1[[#This Row],[Planned Start Date]],$P$7)</f>
        <v>30643</v>
      </c>
      <c r="Q1552" s="129"/>
      <c r="R1552" s="183" t="str">
        <f>IF(Table1[[#This Row],[Actual Effort (Hours)]]="","",IF(Table1[[#This Row],[Estimated Effort (Hours)]]&lt;20,"L1",IF(Table1[[#This Row],[Estimated Effort (Hours)]]&lt;50,"L2",IF(Table1[[#This Row],[Estimated Effort (Hours)]]&lt;150,"L3",IF(Table1[[#This Row],[Estimated Effort (Hours)]]&lt;300,"L4","L5")))))</f>
        <v/>
      </c>
      <c r="S1552" s="184" t="str">
        <f>IF(Table1[[#This Row],[Actual End Date]]="","",TEXT(Table1[[#This Row],[Actual End Date]],"mmm-yy"))</f>
        <v/>
      </c>
      <c r="T15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2" s="185" t="str">
        <f>IFERROR((Table1[[#This Row],[Actual Effort (Hours)]]-Table1[[#This Row],[Estimated Effort (Hours)]])/Table1[[#This Row],[Estimated Effort (Hours)]],"")</f>
        <v/>
      </c>
    </row>
    <row r="1553" spans="2:21">
      <c r="B1553" s="125"/>
      <c r="C1553" s="123"/>
      <c r="D1553" s="143"/>
      <c r="E1553" s="123"/>
      <c r="F1553" s="143"/>
      <c r="G1553" s="129"/>
      <c r="H1553" s="124"/>
      <c r="I1553" s="124"/>
      <c r="J1553" s="129"/>
      <c r="K1553" s="194"/>
      <c r="L1553" s="194"/>
      <c r="M1553" s="129"/>
      <c r="N1553" s="129" t="e">
        <f>Table1[[#This Row],[Estimated Effort (Hours)]]/NETWORKDAYS(Table1[[#This Row],[Planned Start Date]],Table1[[#This Row],[Planned End Date]])</f>
        <v>#DIV/0!</v>
      </c>
      <c r="O1553" s="178">
        <f>NETWORKDAYS(Table1[[#This Row],[Planned Start Date]],Table1[[#This Row],[Planned End Date]])</f>
        <v>0</v>
      </c>
      <c r="P1553" s="178">
        <f>NETWORKDAYS(Table1[[#This Row],[Planned Start Date]],$P$7)</f>
        <v>30643</v>
      </c>
      <c r="Q1553" s="129"/>
      <c r="R1553" s="183" t="str">
        <f>IF(Table1[[#This Row],[Actual Effort (Hours)]]="","",IF(Table1[[#This Row],[Estimated Effort (Hours)]]&lt;20,"L1",IF(Table1[[#This Row],[Estimated Effort (Hours)]]&lt;50,"L2",IF(Table1[[#This Row],[Estimated Effort (Hours)]]&lt;150,"L3",IF(Table1[[#This Row],[Estimated Effort (Hours)]]&lt;300,"L4","L5")))))</f>
        <v/>
      </c>
      <c r="S1553" s="184" t="str">
        <f>IF(Table1[[#This Row],[Actual End Date]]="","",TEXT(Table1[[#This Row],[Actual End Date]],"mmm-yy"))</f>
        <v/>
      </c>
      <c r="T15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3" s="185" t="str">
        <f>IFERROR((Table1[[#This Row],[Actual Effort (Hours)]]-Table1[[#This Row],[Estimated Effort (Hours)]])/Table1[[#This Row],[Estimated Effort (Hours)]],"")</f>
        <v/>
      </c>
    </row>
    <row r="1554" spans="2:21">
      <c r="B1554" s="125"/>
      <c r="C1554" s="123"/>
      <c r="D1554" s="143"/>
      <c r="E1554" s="123"/>
      <c r="F1554" s="143"/>
      <c r="G1554" s="129"/>
      <c r="H1554" s="124"/>
      <c r="I1554" s="124"/>
      <c r="J1554" s="129"/>
      <c r="K1554" s="194"/>
      <c r="L1554" s="194"/>
      <c r="M1554" s="129"/>
      <c r="N1554" s="129" t="e">
        <f>Table1[[#This Row],[Estimated Effort (Hours)]]/NETWORKDAYS(Table1[[#This Row],[Planned Start Date]],Table1[[#This Row],[Planned End Date]])</f>
        <v>#DIV/0!</v>
      </c>
      <c r="O1554" s="178">
        <f>NETWORKDAYS(Table1[[#This Row],[Planned Start Date]],Table1[[#This Row],[Planned End Date]])</f>
        <v>0</v>
      </c>
      <c r="P1554" s="178">
        <f>NETWORKDAYS(Table1[[#This Row],[Planned Start Date]],$P$7)</f>
        <v>30643</v>
      </c>
      <c r="Q1554" s="129"/>
      <c r="R1554" s="183" t="str">
        <f>IF(Table1[[#This Row],[Actual Effort (Hours)]]="","",IF(Table1[[#This Row],[Estimated Effort (Hours)]]&lt;20,"L1",IF(Table1[[#This Row],[Estimated Effort (Hours)]]&lt;50,"L2",IF(Table1[[#This Row],[Estimated Effort (Hours)]]&lt;150,"L3",IF(Table1[[#This Row],[Estimated Effort (Hours)]]&lt;300,"L4","L5")))))</f>
        <v/>
      </c>
      <c r="S1554" s="184" t="str">
        <f>IF(Table1[[#This Row],[Actual End Date]]="","",TEXT(Table1[[#This Row],[Actual End Date]],"mmm-yy"))</f>
        <v/>
      </c>
      <c r="T15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4" s="185" t="str">
        <f>IFERROR((Table1[[#This Row],[Actual Effort (Hours)]]-Table1[[#This Row],[Estimated Effort (Hours)]])/Table1[[#This Row],[Estimated Effort (Hours)]],"")</f>
        <v/>
      </c>
    </row>
    <row r="1555" spans="2:21">
      <c r="B1555" s="125"/>
      <c r="C1555" s="123"/>
      <c r="D1555" s="143"/>
      <c r="E1555" s="123"/>
      <c r="F1555" s="143"/>
      <c r="G1555" s="129"/>
      <c r="H1555" s="124"/>
      <c r="I1555" s="124"/>
      <c r="J1555" s="129"/>
      <c r="K1555" s="194"/>
      <c r="L1555" s="194"/>
      <c r="M1555" s="129"/>
      <c r="N1555" s="129" t="e">
        <f>Table1[[#This Row],[Estimated Effort (Hours)]]/NETWORKDAYS(Table1[[#This Row],[Planned Start Date]],Table1[[#This Row],[Planned End Date]])</f>
        <v>#DIV/0!</v>
      </c>
      <c r="O1555" s="178">
        <f>NETWORKDAYS(Table1[[#This Row],[Planned Start Date]],Table1[[#This Row],[Planned End Date]])</f>
        <v>0</v>
      </c>
      <c r="P1555" s="178">
        <f>NETWORKDAYS(Table1[[#This Row],[Planned Start Date]],$P$7)</f>
        <v>30643</v>
      </c>
      <c r="Q1555" s="129"/>
      <c r="R1555" s="183" t="str">
        <f>IF(Table1[[#This Row],[Actual Effort (Hours)]]="","",IF(Table1[[#This Row],[Estimated Effort (Hours)]]&lt;20,"L1",IF(Table1[[#This Row],[Estimated Effort (Hours)]]&lt;50,"L2",IF(Table1[[#This Row],[Estimated Effort (Hours)]]&lt;150,"L3",IF(Table1[[#This Row],[Estimated Effort (Hours)]]&lt;300,"L4","L5")))))</f>
        <v/>
      </c>
      <c r="S1555" s="184" t="str">
        <f>IF(Table1[[#This Row],[Actual End Date]]="","",TEXT(Table1[[#This Row],[Actual End Date]],"mmm-yy"))</f>
        <v/>
      </c>
      <c r="T15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5" s="185" t="str">
        <f>IFERROR((Table1[[#This Row],[Actual Effort (Hours)]]-Table1[[#This Row],[Estimated Effort (Hours)]])/Table1[[#This Row],[Estimated Effort (Hours)]],"")</f>
        <v/>
      </c>
    </row>
    <row r="1556" spans="2:21">
      <c r="B1556" s="125"/>
      <c r="C1556" s="123"/>
      <c r="D1556" s="143"/>
      <c r="E1556" s="123"/>
      <c r="F1556" s="143"/>
      <c r="G1556" s="129"/>
      <c r="H1556" s="124"/>
      <c r="I1556" s="124"/>
      <c r="J1556" s="129"/>
      <c r="K1556" s="194"/>
      <c r="L1556" s="194"/>
      <c r="M1556" s="129"/>
      <c r="N1556" s="129" t="e">
        <f>Table1[[#This Row],[Estimated Effort (Hours)]]/NETWORKDAYS(Table1[[#This Row],[Planned Start Date]],Table1[[#This Row],[Planned End Date]])</f>
        <v>#DIV/0!</v>
      </c>
      <c r="O1556" s="178">
        <f>NETWORKDAYS(Table1[[#This Row],[Planned Start Date]],Table1[[#This Row],[Planned End Date]])</f>
        <v>0</v>
      </c>
      <c r="P1556" s="178">
        <f>NETWORKDAYS(Table1[[#This Row],[Planned Start Date]],$P$7)</f>
        <v>30643</v>
      </c>
      <c r="Q1556" s="129"/>
      <c r="R1556" s="183" t="str">
        <f>IF(Table1[[#This Row],[Actual Effort (Hours)]]="","",IF(Table1[[#This Row],[Estimated Effort (Hours)]]&lt;20,"L1",IF(Table1[[#This Row],[Estimated Effort (Hours)]]&lt;50,"L2",IF(Table1[[#This Row],[Estimated Effort (Hours)]]&lt;150,"L3",IF(Table1[[#This Row],[Estimated Effort (Hours)]]&lt;300,"L4","L5")))))</f>
        <v/>
      </c>
      <c r="S1556" s="184" t="str">
        <f>IF(Table1[[#This Row],[Actual End Date]]="","",TEXT(Table1[[#This Row],[Actual End Date]],"mmm-yy"))</f>
        <v/>
      </c>
      <c r="T15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6" s="185" t="str">
        <f>IFERROR((Table1[[#This Row],[Actual Effort (Hours)]]-Table1[[#This Row],[Estimated Effort (Hours)]])/Table1[[#This Row],[Estimated Effort (Hours)]],"")</f>
        <v/>
      </c>
    </row>
    <row r="1557" spans="2:21">
      <c r="B1557" s="125"/>
      <c r="C1557" s="123"/>
      <c r="D1557" s="143"/>
      <c r="E1557" s="123"/>
      <c r="F1557" s="143"/>
      <c r="G1557" s="129"/>
      <c r="H1557" s="124"/>
      <c r="I1557" s="124"/>
      <c r="J1557" s="129"/>
      <c r="K1557" s="194"/>
      <c r="L1557" s="194"/>
      <c r="M1557" s="129"/>
      <c r="N1557" s="129" t="e">
        <f>Table1[[#This Row],[Estimated Effort (Hours)]]/NETWORKDAYS(Table1[[#This Row],[Planned Start Date]],Table1[[#This Row],[Planned End Date]])</f>
        <v>#DIV/0!</v>
      </c>
      <c r="O1557" s="178">
        <f>NETWORKDAYS(Table1[[#This Row],[Planned Start Date]],Table1[[#This Row],[Planned End Date]])</f>
        <v>0</v>
      </c>
      <c r="P1557" s="178">
        <f>NETWORKDAYS(Table1[[#This Row],[Planned Start Date]],$P$7)</f>
        <v>30643</v>
      </c>
      <c r="Q1557" s="129"/>
      <c r="R1557" s="183" t="str">
        <f>IF(Table1[[#This Row],[Actual Effort (Hours)]]="","",IF(Table1[[#This Row],[Estimated Effort (Hours)]]&lt;20,"L1",IF(Table1[[#This Row],[Estimated Effort (Hours)]]&lt;50,"L2",IF(Table1[[#This Row],[Estimated Effort (Hours)]]&lt;150,"L3",IF(Table1[[#This Row],[Estimated Effort (Hours)]]&lt;300,"L4","L5")))))</f>
        <v/>
      </c>
      <c r="S1557" s="184" t="str">
        <f>IF(Table1[[#This Row],[Actual End Date]]="","",TEXT(Table1[[#This Row],[Actual End Date]],"mmm-yy"))</f>
        <v/>
      </c>
      <c r="T15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7" s="185" t="str">
        <f>IFERROR((Table1[[#This Row],[Actual Effort (Hours)]]-Table1[[#This Row],[Estimated Effort (Hours)]])/Table1[[#This Row],[Estimated Effort (Hours)]],"")</f>
        <v/>
      </c>
    </row>
    <row r="1558" spans="2:21">
      <c r="B1558" s="125"/>
      <c r="C1558" s="123"/>
      <c r="D1558" s="143"/>
      <c r="E1558" s="123"/>
      <c r="F1558" s="143"/>
      <c r="G1558" s="129"/>
      <c r="H1558" s="124"/>
      <c r="I1558" s="124"/>
      <c r="J1558" s="129"/>
      <c r="K1558" s="194"/>
      <c r="L1558" s="194"/>
      <c r="M1558" s="129"/>
      <c r="N1558" s="129" t="e">
        <f>Table1[[#This Row],[Estimated Effort (Hours)]]/NETWORKDAYS(Table1[[#This Row],[Planned Start Date]],Table1[[#This Row],[Planned End Date]])</f>
        <v>#DIV/0!</v>
      </c>
      <c r="O1558" s="178">
        <f>NETWORKDAYS(Table1[[#This Row],[Planned Start Date]],Table1[[#This Row],[Planned End Date]])</f>
        <v>0</v>
      </c>
      <c r="P1558" s="178">
        <f>NETWORKDAYS(Table1[[#This Row],[Planned Start Date]],$P$7)</f>
        <v>30643</v>
      </c>
      <c r="Q1558" s="129"/>
      <c r="R1558" s="183" t="str">
        <f>IF(Table1[[#This Row],[Actual Effort (Hours)]]="","",IF(Table1[[#This Row],[Estimated Effort (Hours)]]&lt;20,"L1",IF(Table1[[#This Row],[Estimated Effort (Hours)]]&lt;50,"L2",IF(Table1[[#This Row],[Estimated Effort (Hours)]]&lt;150,"L3",IF(Table1[[#This Row],[Estimated Effort (Hours)]]&lt;300,"L4","L5")))))</f>
        <v/>
      </c>
      <c r="S1558" s="184" t="str">
        <f>IF(Table1[[#This Row],[Actual End Date]]="","",TEXT(Table1[[#This Row],[Actual End Date]],"mmm-yy"))</f>
        <v/>
      </c>
      <c r="T15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8" s="185" t="str">
        <f>IFERROR((Table1[[#This Row],[Actual Effort (Hours)]]-Table1[[#This Row],[Estimated Effort (Hours)]])/Table1[[#This Row],[Estimated Effort (Hours)]],"")</f>
        <v/>
      </c>
    </row>
    <row r="1559" spans="2:21">
      <c r="B1559" s="125"/>
      <c r="C1559" s="123"/>
      <c r="D1559" s="143"/>
      <c r="E1559" s="123"/>
      <c r="F1559" s="143"/>
      <c r="G1559" s="129"/>
      <c r="H1559" s="124"/>
      <c r="I1559" s="124"/>
      <c r="J1559" s="129"/>
      <c r="K1559" s="194"/>
      <c r="L1559" s="194"/>
      <c r="M1559" s="129"/>
      <c r="N1559" s="129" t="e">
        <f>Table1[[#This Row],[Estimated Effort (Hours)]]/NETWORKDAYS(Table1[[#This Row],[Planned Start Date]],Table1[[#This Row],[Planned End Date]])</f>
        <v>#DIV/0!</v>
      </c>
      <c r="O1559" s="178">
        <f>NETWORKDAYS(Table1[[#This Row],[Planned Start Date]],Table1[[#This Row],[Planned End Date]])</f>
        <v>0</v>
      </c>
      <c r="P1559" s="178">
        <f>NETWORKDAYS(Table1[[#This Row],[Planned Start Date]],$P$7)</f>
        <v>30643</v>
      </c>
      <c r="Q1559" s="129"/>
      <c r="R1559" s="183" t="str">
        <f>IF(Table1[[#This Row],[Actual Effort (Hours)]]="","",IF(Table1[[#This Row],[Estimated Effort (Hours)]]&lt;20,"L1",IF(Table1[[#This Row],[Estimated Effort (Hours)]]&lt;50,"L2",IF(Table1[[#This Row],[Estimated Effort (Hours)]]&lt;150,"L3",IF(Table1[[#This Row],[Estimated Effort (Hours)]]&lt;300,"L4","L5")))))</f>
        <v/>
      </c>
      <c r="S1559" s="184" t="str">
        <f>IF(Table1[[#This Row],[Actual End Date]]="","",TEXT(Table1[[#This Row],[Actual End Date]],"mmm-yy"))</f>
        <v/>
      </c>
      <c r="T15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59" s="185" t="str">
        <f>IFERROR((Table1[[#This Row],[Actual Effort (Hours)]]-Table1[[#This Row],[Estimated Effort (Hours)]])/Table1[[#This Row],[Estimated Effort (Hours)]],"")</f>
        <v/>
      </c>
    </row>
    <row r="1560" spans="2:21">
      <c r="B1560" s="125"/>
      <c r="C1560" s="123"/>
      <c r="D1560" s="143"/>
      <c r="E1560" s="123"/>
      <c r="F1560" s="143"/>
      <c r="G1560" s="129"/>
      <c r="H1560" s="124"/>
      <c r="I1560" s="124"/>
      <c r="J1560" s="129"/>
      <c r="K1560" s="194"/>
      <c r="L1560" s="194"/>
      <c r="M1560" s="129"/>
      <c r="N1560" s="129" t="e">
        <f>Table1[[#This Row],[Estimated Effort (Hours)]]/NETWORKDAYS(Table1[[#This Row],[Planned Start Date]],Table1[[#This Row],[Planned End Date]])</f>
        <v>#DIV/0!</v>
      </c>
      <c r="O1560" s="178">
        <f>NETWORKDAYS(Table1[[#This Row],[Planned Start Date]],Table1[[#This Row],[Planned End Date]])</f>
        <v>0</v>
      </c>
      <c r="P1560" s="178">
        <f>NETWORKDAYS(Table1[[#This Row],[Planned Start Date]],$P$7)</f>
        <v>30643</v>
      </c>
      <c r="Q1560" s="129"/>
      <c r="R1560" s="183" t="str">
        <f>IF(Table1[[#This Row],[Actual Effort (Hours)]]="","",IF(Table1[[#This Row],[Estimated Effort (Hours)]]&lt;20,"L1",IF(Table1[[#This Row],[Estimated Effort (Hours)]]&lt;50,"L2",IF(Table1[[#This Row],[Estimated Effort (Hours)]]&lt;150,"L3",IF(Table1[[#This Row],[Estimated Effort (Hours)]]&lt;300,"L4","L5")))))</f>
        <v/>
      </c>
      <c r="S1560" s="184" t="str">
        <f>IF(Table1[[#This Row],[Actual End Date]]="","",TEXT(Table1[[#This Row],[Actual End Date]],"mmm-yy"))</f>
        <v/>
      </c>
      <c r="T15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0" s="185" t="str">
        <f>IFERROR((Table1[[#This Row],[Actual Effort (Hours)]]-Table1[[#This Row],[Estimated Effort (Hours)]])/Table1[[#This Row],[Estimated Effort (Hours)]],"")</f>
        <v/>
      </c>
    </row>
    <row r="1561" spans="2:21">
      <c r="B1561" s="125"/>
      <c r="C1561" s="123"/>
      <c r="D1561" s="143"/>
      <c r="E1561" s="123"/>
      <c r="F1561" s="143"/>
      <c r="G1561" s="129"/>
      <c r="H1561" s="124"/>
      <c r="I1561" s="124"/>
      <c r="J1561" s="129"/>
      <c r="K1561" s="194"/>
      <c r="L1561" s="194"/>
      <c r="M1561" s="129"/>
      <c r="N1561" s="129" t="e">
        <f>Table1[[#This Row],[Estimated Effort (Hours)]]/NETWORKDAYS(Table1[[#This Row],[Planned Start Date]],Table1[[#This Row],[Planned End Date]])</f>
        <v>#DIV/0!</v>
      </c>
      <c r="O1561" s="178">
        <f>NETWORKDAYS(Table1[[#This Row],[Planned Start Date]],Table1[[#This Row],[Planned End Date]])</f>
        <v>0</v>
      </c>
      <c r="P1561" s="178">
        <f>NETWORKDAYS(Table1[[#This Row],[Planned Start Date]],$P$7)</f>
        <v>30643</v>
      </c>
      <c r="Q1561" s="129"/>
      <c r="R1561" s="183" t="str">
        <f>IF(Table1[[#This Row],[Actual Effort (Hours)]]="","",IF(Table1[[#This Row],[Estimated Effort (Hours)]]&lt;20,"L1",IF(Table1[[#This Row],[Estimated Effort (Hours)]]&lt;50,"L2",IF(Table1[[#This Row],[Estimated Effort (Hours)]]&lt;150,"L3",IF(Table1[[#This Row],[Estimated Effort (Hours)]]&lt;300,"L4","L5")))))</f>
        <v/>
      </c>
      <c r="S1561" s="184" t="str">
        <f>IF(Table1[[#This Row],[Actual End Date]]="","",TEXT(Table1[[#This Row],[Actual End Date]],"mmm-yy"))</f>
        <v/>
      </c>
      <c r="T15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1" s="185" t="str">
        <f>IFERROR((Table1[[#This Row],[Actual Effort (Hours)]]-Table1[[#This Row],[Estimated Effort (Hours)]])/Table1[[#This Row],[Estimated Effort (Hours)]],"")</f>
        <v/>
      </c>
    </row>
    <row r="1562" spans="2:21">
      <c r="B1562" s="125"/>
      <c r="C1562" s="123"/>
      <c r="D1562" s="143"/>
      <c r="E1562" s="123"/>
      <c r="F1562" s="143"/>
      <c r="G1562" s="129"/>
      <c r="H1562" s="124"/>
      <c r="I1562" s="124"/>
      <c r="J1562" s="129"/>
      <c r="K1562" s="194"/>
      <c r="L1562" s="194"/>
      <c r="M1562" s="129"/>
      <c r="N1562" s="129" t="e">
        <f>Table1[[#This Row],[Estimated Effort (Hours)]]/NETWORKDAYS(Table1[[#This Row],[Planned Start Date]],Table1[[#This Row],[Planned End Date]])</f>
        <v>#DIV/0!</v>
      </c>
      <c r="O1562" s="178">
        <f>NETWORKDAYS(Table1[[#This Row],[Planned Start Date]],Table1[[#This Row],[Planned End Date]])</f>
        <v>0</v>
      </c>
      <c r="P1562" s="178">
        <f>NETWORKDAYS(Table1[[#This Row],[Planned Start Date]],$P$7)</f>
        <v>30643</v>
      </c>
      <c r="Q1562" s="129"/>
      <c r="R1562" s="183" t="str">
        <f>IF(Table1[[#This Row],[Actual Effort (Hours)]]="","",IF(Table1[[#This Row],[Estimated Effort (Hours)]]&lt;20,"L1",IF(Table1[[#This Row],[Estimated Effort (Hours)]]&lt;50,"L2",IF(Table1[[#This Row],[Estimated Effort (Hours)]]&lt;150,"L3",IF(Table1[[#This Row],[Estimated Effort (Hours)]]&lt;300,"L4","L5")))))</f>
        <v/>
      </c>
      <c r="S1562" s="184" t="str">
        <f>IF(Table1[[#This Row],[Actual End Date]]="","",TEXT(Table1[[#This Row],[Actual End Date]],"mmm-yy"))</f>
        <v/>
      </c>
      <c r="T15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2" s="185" t="str">
        <f>IFERROR((Table1[[#This Row],[Actual Effort (Hours)]]-Table1[[#This Row],[Estimated Effort (Hours)]])/Table1[[#This Row],[Estimated Effort (Hours)]],"")</f>
        <v/>
      </c>
    </row>
    <row r="1563" spans="2:21">
      <c r="B1563" s="125"/>
      <c r="C1563" s="123"/>
      <c r="D1563" s="143"/>
      <c r="E1563" s="123"/>
      <c r="F1563" s="143"/>
      <c r="G1563" s="129"/>
      <c r="H1563" s="124"/>
      <c r="I1563" s="124"/>
      <c r="J1563" s="129"/>
      <c r="K1563" s="194"/>
      <c r="L1563" s="194"/>
      <c r="M1563" s="129"/>
      <c r="N1563" s="129" t="e">
        <f>Table1[[#This Row],[Estimated Effort (Hours)]]/NETWORKDAYS(Table1[[#This Row],[Planned Start Date]],Table1[[#This Row],[Planned End Date]])</f>
        <v>#DIV/0!</v>
      </c>
      <c r="O1563" s="178">
        <f>NETWORKDAYS(Table1[[#This Row],[Planned Start Date]],Table1[[#This Row],[Planned End Date]])</f>
        <v>0</v>
      </c>
      <c r="P1563" s="178">
        <f>NETWORKDAYS(Table1[[#This Row],[Planned Start Date]],$P$7)</f>
        <v>30643</v>
      </c>
      <c r="Q1563" s="129"/>
      <c r="R1563" s="183" t="str">
        <f>IF(Table1[[#This Row],[Actual Effort (Hours)]]="","",IF(Table1[[#This Row],[Estimated Effort (Hours)]]&lt;20,"L1",IF(Table1[[#This Row],[Estimated Effort (Hours)]]&lt;50,"L2",IF(Table1[[#This Row],[Estimated Effort (Hours)]]&lt;150,"L3",IF(Table1[[#This Row],[Estimated Effort (Hours)]]&lt;300,"L4","L5")))))</f>
        <v/>
      </c>
      <c r="S1563" s="184" t="str">
        <f>IF(Table1[[#This Row],[Actual End Date]]="","",TEXT(Table1[[#This Row],[Actual End Date]],"mmm-yy"))</f>
        <v/>
      </c>
      <c r="T15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3" s="185" t="str">
        <f>IFERROR((Table1[[#This Row],[Actual Effort (Hours)]]-Table1[[#This Row],[Estimated Effort (Hours)]])/Table1[[#This Row],[Estimated Effort (Hours)]],"")</f>
        <v/>
      </c>
    </row>
    <row r="1564" spans="2:21">
      <c r="B1564" s="125"/>
      <c r="C1564" s="123"/>
      <c r="D1564" s="143"/>
      <c r="E1564" s="123"/>
      <c r="F1564" s="143"/>
      <c r="G1564" s="129"/>
      <c r="H1564" s="124"/>
      <c r="I1564" s="124"/>
      <c r="J1564" s="129"/>
      <c r="K1564" s="194"/>
      <c r="L1564" s="194"/>
      <c r="M1564" s="129"/>
      <c r="N1564" s="129" t="e">
        <f>Table1[[#This Row],[Estimated Effort (Hours)]]/NETWORKDAYS(Table1[[#This Row],[Planned Start Date]],Table1[[#This Row],[Planned End Date]])</f>
        <v>#DIV/0!</v>
      </c>
      <c r="O1564" s="178">
        <f>NETWORKDAYS(Table1[[#This Row],[Planned Start Date]],Table1[[#This Row],[Planned End Date]])</f>
        <v>0</v>
      </c>
      <c r="P1564" s="178">
        <f>NETWORKDAYS(Table1[[#This Row],[Planned Start Date]],$P$7)</f>
        <v>30643</v>
      </c>
      <c r="Q1564" s="129"/>
      <c r="R1564" s="183" t="str">
        <f>IF(Table1[[#This Row],[Actual Effort (Hours)]]="","",IF(Table1[[#This Row],[Estimated Effort (Hours)]]&lt;20,"L1",IF(Table1[[#This Row],[Estimated Effort (Hours)]]&lt;50,"L2",IF(Table1[[#This Row],[Estimated Effort (Hours)]]&lt;150,"L3",IF(Table1[[#This Row],[Estimated Effort (Hours)]]&lt;300,"L4","L5")))))</f>
        <v/>
      </c>
      <c r="S1564" s="184" t="str">
        <f>IF(Table1[[#This Row],[Actual End Date]]="","",TEXT(Table1[[#This Row],[Actual End Date]],"mmm-yy"))</f>
        <v/>
      </c>
      <c r="T15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4" s="185" t="str">
        <f>IFERROR((Table1[[#This Row],[Actual Effort (Hours)]]-Table1[[#This Row],[Estimated Effort (Hours)]])/Table1[[#This Row],[Estimated Effort (Hours)]],"")</f>
        <v/>
      </c>
    </row>
    <row r="1565" spans="2:21">
      <c r="B1565" s="125"/>
      <c r="C1565" s="123"/>
      <c r="D1565" s="143"/>
      <c r="E1565" s="123"/>
      <c r="F1565" s="143"/>
      <c r="G1565" s="129"/>
      <c r="H1565" s="124"/>
      <c r="I1565" s="124"/>
      <c r="J1565" s="129"/>
      <c r="K1565" s="194"/>
      <c r="L1565" s="194"/>
      <c r="M1565" s="129"/>
      <c r="N1565" s="129" t="e">
        <f>Table1[[#This Row],[Estimated Effort (Hours)]]/NETWORKDAYS(Table1[[#This Row],[Planned Start Date]],Table1[[#This Row],[Planned End Date]])</f>
        <v>#DIV/0!</v>
      </c>
      <c r="O1565" s="178">
        <f>NETWORKDAYS(Table1[[#This Row],[Planned Start Date]],Table1[[#This Row],[Planned End Date]])</f>
        <v>0</v>
      </c>
      <c r="P1565" s="178">
        <f>NETWORKDAYS(Table1[[#This Row],[Planned Start Date]],$P$7)</f>
        <v>30643</v>
      </c>
      <c r="Q1565" s="129"/>
      <c r="R1565" s="183" t="str">
        <f>IF(Table1[[#This Row],[Actual Effort (Hours)]]="","",IF(Table1[[#This Row],[Estimated Effort (Hours)]]&lt;20,"L1",IF(Table1[[#This Row],[Estimated Effort (Hours)]]&lt;50,"L2",IF(Table1[[#This Row],[Estimated Effort (Hours)]]&lt;150,"L3",IF(Table1[[#This Row],[Estimated Effort (Hours)]]&lt;300,"L4","L5")))))</f>
        <v/>
      </c>
      <c r="S1565" s="184" t="str">
        <f>IF(Table1[[#This Row],[Actual End Date]]="","",TEXT(Table1[[#This Row],[Actual End Date]],"mmm-yy"))</f>
        <v/>
      </c>
      <c r="T15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5" s="185" t="str">
        <f>IFERROR((Table1[[#This Row],[Actual Effort (Hours)]]-Table1[[#This Row],[Estimated Effort (Hours)]])/Table1[[#This Row],[Estimated Effort (Hours)]],"")</f>
        <v/>
      </c>
    </row>
    <row r="1566" spans="2:21">
      <c r="B1566" s="125"/>
      <c r="C1566" s="123"/>
      <c r="D1566" s="143"/>
      <c r="E1566" s="123"/>
      <c r="F1566" s="143"/>
      <c r="G1566" s="129"/>
      <c r="H1566" s="124"/>
      <c r="I1566" s="124"/>
      <c r="J1566" s="129"/>
      <c r="K1566" s="194"/>
      <c r="L1566" s="194"/>
      <c r="M1566" s="129"/>
      <c r="N1566" s="129" t="e">
        <f>Table1[[#This Row],[Estimated Effort (Hours)]]/NETWORKDAYS(Table1[[#This Row],[Planned Start Date]],Table1[[#This Row],[Planned End Date]])</f>
        <v>#DIV/0!</v>
      </c>
      <c r="O1566" s="178">
        <f>NETWORKDAYS(Table1[[#This Row],[Planned Start Date]],Table1[[#This Row],[Planned End Date]])</f>
        <v>0</v>
      </c>
      <c r="P1566" s="178">
        <f>NETWORKDAYS(Table1[[#This Row],[Planned Start Date]],$P$7)</f>
        <v>30643</v>
      </c>
      <c r="Q1566" s="129"/>
      <c r="R1566" s="183" t="str">
        <f>IF(Table1[[#This Row],[Actual Effort (Hours)]]="","",IF(Table1[[#This Row],[Estimated Effort (Hours)]]&lt;20,"L1",IF(Table1[[#This Row],[Estimated Effort (Hours)]]&lt;50,"L2",IF(Table1[[#This Row],[Estimated Effort (Hours)]]&lt;150,"L3",IF(Table1[[#This Row],[Estimated Effort (Hours)]]&lt;300,"L4","L5")))))</f>
        <v/>
      </c>
      <c r="S1566" s="184" t="str">
        <f>IF(Table1[[#This Row],[Actual End Date]]="","",TEXT(Table1[[#This Row],[Actual End Date]],"mmm-yy"))</f>
        <v/>
      </c>
      <c r="T15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6" s="185" t="str">
        <f>IFERROR((Table1[[#This Row],[Actual Effort (Hours)]]-Table1[[#This Row],[Estimated Effort (Hours)]])/Table1[[#This Row],[Estimated Effort (Hours)]],"")</f>
        <v/>
      </c>
    </row>
    <row r="1567" spans="2:21">
      <c r="B1567" s="125"/>
      <c r="C1567" s="123"/>
      <c r="D1567" s="143"/>
      <c r="E1567" s="123"/>
      <c r="F1567" s="143"/>
      <c r="G1567" s="129"/>
      <c r="H1567" s="124"/>
      <c r="I1567" s="124"/>
      <c r="J1567" s="129"/>
      <c r="K1567" s="194"/>
      <c r="L1567" s="194"/>
      <c r="M1567" s="129"/>
      <c r="N1567" s="129" t="e">
        <f>Table1[[#This Row],[Estimated Effort (Hours)]]/NETWORKDAYS(Table1[[#This Row],[Planned Start Date]],Table1[[#This Row],[Planned End Date]])</f>
        <v>#DIV/0!</v>
      </c>
      <c r="O1567" s="178">
        <f>NETWORKDAYS(Table1[[#This Row],[Planned Start Date]],Table1[[#This Row],[Planned End Date]])</f>
        <v>0</v>
      </c>
      <c r="P1567" s="178">
        <f>NETWORKDAYS(Table1[[#This Row],[Planned Start Date]],$P$7)</f>
        <v>30643</v>
      </c>
      <c r="Q1567" s="129"/>
      <c r="R1567" s="183" t="str">
        <f>IF(Table1[[#This Row],[Actual Effort (Hours)]]="","",IF(Table1[[#This Row],[Estimated Effort (Hours)]]&lt;20,"L1",IF(Table1[[#This Row],[Estimated Effort (Hours)]]&lt;50,"L2",IF(Table1[[#This Row],[Estimated Effort (Hours)]]&lt;150,"L3",IF(Table1[[#This Row],[Estimated Effort (Hours)]]&lt;300,"L4","L5")))))</f>
        <v/>
      </c>
      <c r="S1567" s="184" t="str">
        <f>IF(Table1[[#This Row],[Actual End Date]]="","",TEXT(Table1[[#This Row],[Actual End Date]],"mmm-yy"))</f>
        <v/>
      </c>
      <c r="T15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7" s="185" t="str">
        <f>IFERROR((Table1[[#This Row],[Actual Effort (Hours)]]-Table1[[#This Row],[Estimated Effort (Hours)]])/Table1[[#This Row],[Estimated Effort (Hours)]],"")</f>
        <v/>
      </c>
    </row>
    <row r="1568" spans="2:21">
      <c r="B1568" s="125"/>
      <c r="C1568" s="123"/>
      <c r="D1568" s="143"/>
      <c r="E1568" s="123"/>
      <c r="F1568" s="143"/>
      <c r="G1568" s="129"/>
      <c r="H1568" s="124"/>
      <c r="I1568" s="124"/>
      <c r="J1568" s="129"/>
      <c r="K1568" s="194"/>
      <c r="L1568" s="194"/>
      <c r="M1568" s="129"/>
      <c r="N1568" s="129" t="e">
        <f>Table1[[#This Row],[Estimated Effort (Hours)]]/NETWORKDAYS(Table1[[#This Row],[Planned Start Date]],Table1[[#This Row],[Planned End Date]])</f>
        <v>#DIV/0!</v>
      </c>
      <c r="O1568" s="178">
        <f>NETWORKDAYS(Table1[[#This Row],[Planned Start Date]],Table1[[#This Row],[Planned End Date]])</f>
        <v>0</v>
      </c>
      <c r="P1568" s="178">
        <f>NETWORKDAYS(Table1[[#This Row],[Planned Start Date]],$P$7)</f>
        <v>30643</v>
      </c>
      <c r="Q1568" s="129"/>
      <c r="R1568" s="183" t="str">
        <f>IF(Table1[[#This Row],[Actual Effort (Hours)]]="","",IF(Table1[[#This Row],[Estimated Effort (Hours)]]&lt;20,"L1",IF(Table1[[#This Row],[Estimated Effort (Hours)]]&lt;50,"L2",IF(Table1[[#This Row],[Estimated Effort (Hours)]]&lt;150,"L3",IF(Table1[[#This Row],[Estimated Effort (Hours)]]&lt;300,"L4","L5")))))</f>
        <v/>
      </c>
      <c r="S1568" s="184" t="str">
        <f>IF(Table1[[#This Row],[Actual End Date]]="","",TEXT(Table1[[#This Row],[Actual End Date]],"mmm-yy"))</f>
        <v/>
      </c>
      <c r="T15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8" s="185" t="str">
        <f>IFERROR((Table1[[#This Row],[Actual Effort (Hours)]]-Table1[[#This Row],[Estimated Effort (Hours)]])/Table1[[#This Row],[Estimated Effort (Hours)]],"")</f>
        <v/>
      </c>
    </row>
    <row r="1569" spans="2:21">
      <c r="B1569" s="125"/>
      <c r="C1569" s="123"/>
      <c r="D1569" s="143"/>
      <c r="E1569" s="123"/>
      <c r="F1569" s="143"/>
      <c r="G1569" s="129"/>
      <c r="H1569" s="124"/>
      <c r="I1569" s="124"/>
      <c r="J1569" s="129"/>
      <c r="K1569" s="194"/>
      <c r="L1569" s="194"/>
      <c r="M1569" s="129"/>
      <c r="N1569" s="129" t="e">
        <f>Table1[[#This Row],[Estimated Effort (Hours)]]/NETWORKDAYS(Table1[[#This Row],[Planned Start Date]],Table1[[#This Row],[Planned End Date]])</f>
        <v>#DIV/0!</v>
      </c>
      <c r="O1569" s="178">
        <f>NETWORKDAYS(Table1[[#This Row],[Planned Start Date]],Table1[[#This Row],[Planned End Date]])</f>
        <v>0</v>
      </c>
      <c r="P1569" s="178">
        <f>NETWORKDAYS(Table1[[#This Row],[Planned Start Date]],$P$7)</f>
        <v>30643</v>
      </c>
      <c r="Q1569" s="129"/>
      <c r="R1569" s="183" t="str">
        <f>IF(Table1[[#This Row],[Actual Effort (Hours)]]="","",IF(Table1[[#This Row],[Estimated Effort (Hours)]]&lt;20,"L1",IF(Table1[[#This Row],[Estimated Effort (Hours)]]&lt;50,"L2",IF(Table1[[#This Row],[Estimated Effort (Hours)]]&lt;150,"L3",IF(Table1[[#This Row],[Estimated Effort (Hours)]]&lt;300,"L4","L5")))))</f>
        <v/>
      </c>
      <c r="S1569" s="184" t="str">
        <f>IF(Table1[[#This Row],[Actual End Date]]="","",TEXT(Table1[[#This Row],[Actual End Date]],"mmm-yy"))</f>
        <v/>
      </c>
      <c r="T15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69" s="185" t="str">
        <f>IFERROR((Table1[[#This Row],[Actual Effort (Hours)]]-Table1[[#This Row],[Estimated Effort (Hours)]])/Table1[[#This Row],[Estimated Effort (Hours)]],"")</f>
        <v/>
      </c>
    </row>
    <row r="1570" spans="2:21">
      <c r="B1570" s="125"/>
      <c r="C1570" s="123"/>
      <c r="D1570" s="143"/>
      <c r="E1570" s="123"/>
      <c r="F1570" s="143"/>
      <c r="G1570" s="129"/>
      <c r="H1570" s="124"/>
      <c r="I1570" s="124"/>
      <c r="J1570" s="129"/>
      <c r="K1570" s="194"/>
      <c r="L1570" s="194"/>
      <c r="M1570" s="129"/>
      <c r="N1570" s="129" t="e">
        <f>Table1[[#This Row],[Estimated Effort (Hours)]]/NETWORKDAYS(Table1[[#This Row],[Planned Start Date]],Table1[[#This Row],[Planned End Date]])</f>
        <v>#DIV/0!</v>
      </c>
      <c r="O1570" s="178">
        <f>NETWORKDAYS(Table1[[#This Row],[Planned Start Date]],Table1[[#This Row],[Planned End Date]])</f>
        <v>0</v>
      </c>
      <c r="P1570" s="178">
        <f>NETWORKDAYS(Table1[[#This Row],[Planned Start Date]],$P$7)</f>
        <v>30643</v>
      </c>
      <c r="Q1570" s="129"/>
      <c r="R1570" s="183" t="str">
        <f>IF(Table1[[#This Row],[Actual Effort (Hours)]]="","",IF(Table1[[#This Row],[Estimated Effort (Hours)]]&lt;20,"L1",IF(Table1[[#This Row],[Estimated Effort (Hours)]]&lt;50,"L2",IF(Table1[[#This Row],[Estimated Effort (Hours)]]&lt;150,"L3",IF(Table1[[#This Row],[Estimated Effort (Hours)]]&lt;300,"L4","L5")))))</f>
        <v/>
      </c>
      <c r="S1570" s="184" t="str">
        <f>IF(Table1[[#This Row],[Actual End Date]]="","",TEXT(Table1[[#This Row],[Actual End Date]],"mmm-yy"))</f>
        <v/>
      </c>
      <c r="T15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0" s="185" t="str">
        <f>IFERROR((Table1[[#This Row],[Actual Effort (Hours)]]-Table1[[#This Row],[Estimated Effort (Hours)]])/Table1[[#This Row],[Estimated Effort (Hours)]],"")</f>
        <v/>
      </c>
    </row>
    <row r="1571" spans="2:21">
      <c r="B1571" s="125"/>
      <c r="C1571" s="123"/>
      <c r="D1571" s="143"/>
      <c r="E1571" s="123"/>
      <c r="F1571" s="143"/>
      <c r="G1571" s="129"/>
      <c r="H1571" s="124"/>
      <c r="I1571" s="124"/>
      <c r="J1571" s="129"/>
      <c r="K1571" s="194"/>
      <c r="L1571" s="194"/>
      <c r="M1571" s="129"/>
      <c r="N1571" s="129" t="e">
        <f>Table1[[#This Row],[Estimated Effort (Hours)]]/NETWORKDAYS(Table1[[#This Row],[Planned Start Date]],Table1[[#This Row],[Planned End Date]])</f>
        <v>#DIV/0!</v>
      </c>
      <c r="O1571" s="178">
        <f>NETWORKDAYS(Table1[[#This Row],[Planned Start Date]],Table1[[#This Row],[Planned End Date]])</f>
        <v>0</v>
      </c>
      <c r="P1571" s="178">
        <f>NETWORKDAYS(Table1[[#This Row],[Planned Start Date]],$P$7)</f>
        <v>30643</v>
      </c>
      <c r="Q1571" s="129"/>
      <c r="R1571" s="183" t="str">
        <f>IF(Table1[[#This Row],[Actual Effort (Hours)]]="","",IF(Table1[[#This Row],[Estimated Effort (Hours)]]&lt;20,"L1",IF(Table1[[#This Row],[Estimated Effort (Hours)]]&lt;50,"L2",IF(Table1[[#This Row],[Estimated Effort (Hours)]]&lt;150,"L3",IF(Table1[[#This Row],[Estimated Effort (Hours)]]&lt;300,"L4","L5")))))</f>
        <v/>
      </c>
      <c r="S1571" s="184" t="str">
        <f>IF(Table1[[#This Row],[Actual End Date]]="","",TEXT(Table1[[#This Row],[Actual End Date]],"mmm-yy"))</f>
        <v/>
      </c>
      <c r="T15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1" s="185" t="str">
        <f>IFERROR((Table1[[#This Row],[Actual Effort (Hours)]]-Table1[[#This Row],[Estimated Effort (Hours)]])/Table1[[#This Row],[Estimated Effort (Hours)]],"")</f>
        <v/>
      </c>
    </row>
    <row r="1572" spans="2:21">
      <c r="B1572" s="125"/>
      <c r="C1572" s="123"/>
      <c r="D1572" s="143"/>
      <c r="E1572" s="123"/>
      <c r="F1572" s="143"/>
      <c r="G1572" s="129"/>
      <c r="H1572" s="124"/>
      <c r="I1572" s="124"/>
      <c r="J1572" s="129"/>
      <c r="K1572" s="194"/>
      <c r="L1572" s="194"/>
      <c r="M1572" s="129"/>
      <c r="N1572" s="129" t="e">
        <f>Table1[[#This Row],[Estimated Effort (Hours)]]/NETWORKDAYS(Table1[[#This Row],[Planned Start Date]],Table1[[#This Row],[Planned End Date]])</f>
        <v>#DIV/0!</v>
      </c>
      <c r="O1572" s="178">
        <f>NETWORKDAYS(Table1[[#This Row],[Planned Start Date]],Table1[[#This Row],[Planned End Date]])</f>
        <v>0</v>
      </c>
      <c r="P1572" s="178">
        <f>NETWORKDAYS(Table1[[#This Row],[Planned Start Date]],$P$7)</f>
        <v>30643</v>
      </c>
      <c r="Q1572" s="129"/>
      <c r="R1572" s="183" t="str">
        <f>IF(Table1[[#This Row],[Actual Effort (Hours)]]="","",IF(Table1[[#This Row],[Estimated Effort (Hours)]]&lt;20,"L1",IF(Table1[[#This Row],[Estimated Effort (Hours)]]&lt;50,"L2",IF(Table1[[#This Row],[Estimated Effort (Hours)]]&lt;150,"L3",IF(Table1[[#This Row],[Estimated Effort (Hours)]]&lt;300,"L4","L5")))))</f>
        <v/>
      </c>
      <c r="S1572" s="184" t="str">
        <f>IF(Table1[[#This Row],[Actual End Date]]="","",TEXT(Table1[[#This Row],[Actual End Date]],"mmm-yy"))</f>
        <v/>
      </c>
      <c r="T15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2" s="185" t="str">
        <f>IFERROR((Table1[[#This Row],[Actual Effort (Hours)]]-Table1[[#This Row],[Estimated Effort (Hours)]])/Table1[[#This Row],[Estimated Effort (Hours)]],"")</f>
        <v/>
      </c>
    </row>
    <row r="1573" spans="2:21">
      <c r="B1573" s="125"/>
      <c r="C1573" s="123"/>
      <c r="D1573" s="143"/>
      <c r="E1573" s="123"/>
      <c r="F1573" s="143"/>
      <c r="G1573" s="129"/>
      <c r="H1573" s="124"/>
      <c r="I1573" s="124"/>
      <c r="J1573" s="129"/>
      <c r="K1573" s="194"/>
      <c r="L1573" s="194"/>
      <c r="M1573" s="129"/>
      <c r="N1573" s="129" t="e">
        <f>Table1[[#This Row],[Estimated Effort (Hours)]]/NETWORKDAYS(Table1[[#This Row],[Planned Start Date]],Table1[[#This Row],[Planned End Date]])</f>
        <v>#DIV/0!</v>
      </c>
      <c r="O1573" s="178">
        <f>NETWORKDAYS(Table1[[#This Row],[Planned Start Date]],Table1[[#This Row],[Planned End Date]])</f>
        <v>0</v>
      </c>
      <c r="P1573" s="178">
        <f>NETWORKDAYS(Table1[[#This Row],[Planned Start Date]],$P$7)</f>
        <v>30643</v>
      </c>
      <c r="Q1573" s="129"/>
      <c r="R1573" s="183" t="str">
        <f>IF(Table1[[#This Row],[Actual Effort (Hours)]]="","",IF(Table1[[#This Row],[Estimated Effort (Hours)]]&lt;20,"L1",IF(Table1[[#This Row],[Estimated Effort (Hours)]]&lt;50,"L2",IF(Table1[[#This Row],[Estimated Effort (Hours)]]&lt;150,"L3",IF(Table1[[#This Row],[Estimated Effort (Hours)]]&lt;300,"L4","L5")))))</f>
        <v/>
      </c>
      <c r="S1573" s="184" t="str">
        <f>IF(Table1[[#This Row],[Actual End Date]]="","",TEXT(Table1[[#This Row],[Actual End Date]],"mmm-yy"))</f>
        <v/>
      </c>
      <c r="T15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3" s="185" t="str">
        <f>IFERROR((Table1[[#This Row],[Actual Effort (Hours)]]-Table1[[#This Row],[Estimated Effort (Hours)]])/Table1[[#This Row],[Estimated Effort (Hours)]],"")</f>
        <v/>
      </c>
    </row>
    <row r="1574" spans="2:21">
      <c r="B1574" s="125"/>
      <c r="C1574" s="123"/>
      <c r="D1574" s="143"/>
      <c r="E1574" s="123"/>
      <c r="F1574" s="143"/>
      <c r="G1574" s="129"/>
      <c r="H1574" s="124"/>
      <c r="I1574" s="124"/>
      <c r="J1574" s="129"/>
      <c r="K1574" s="194"/>
      <c r="L1574" s="194"/>
      <c r="M1574" s="129"/>
      <c r="N1574" s="129" t="e">
        <f>Table1[[#This Row],[Estimated Effort (Hours)]]/NETWORKDAYS(Table1[[#This Row],[Planned Start Date]],Table1[[#This Row],[Planned End Date]])</f>
        <v>#DIV/0!</v>
      </c>
      <c r="O1574" s="178">
        <f>NETWORKDAYS(Table1[[#This Row],[Planned Start Date]],Table1[[#This Row],[Planned End Date]])</f>
        <v>0</v>
      </c>
      <c r="P1574" s="178">
        <f>NETWORKDAYS(Table1[[#This Row],[Planned Start Date]],$P$7)</f>
        <v>30643</v>
      </c>
      <c r="Q1574" s="129"/>
      <c r="R1574" s="183" t="str">
        <f>IF(Table1[[#This Row],[Actual Effort (Hours)]]="","",IF(Table1[[#This Row],[Estimated Effort (Hours)]]&lt;20,"L1",IF(Table1[[#This Row],[Estimated Effort (Hours)]]&lt;50,"L2",IF(Table1[[#This Row],[Estimated Effort (Hours)]]&lt;150,"L3",IF(Table1[[#This Row],[Estimated Effort (Hours)]]&lt;300,"L4","L5")))))</f>
        <v/>
      </c>
      <c r="S1574" s="184" t="str">
        <f>IF(Table1[[#This Row],[Actual End Date]]="","",TEXT(Table1[[#This Row],[Actual End Date]],"mmm-yy"))</f>
        <v/>
      </c>
      <c r="T15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4" s="185" t="str">
        <f>IFERROR((Table1[[#This Row],[Actual Effort (Hours)]]-Table1[[#This Row],[Estimated Effort (Hours)]])/Table1[[#This Row],[Estimated Effort (Hours)]],"")</f>
        <v/>
      </c>
    </row>
    <row r="1575" spans="2:21">
      <c r="B1575" s="125"/>
      <c r="C1575" s="123"/>
      <c r="D1575" s="143"/>
      <c r="E1575" s="123"/>
      <c r="F1575" s="143"/>
      <c r="G1575" s="129"/>
      <c r="H1575" s="124"/>
      <c r="I1575" s="124"/>
      <c r="J1575" s="129"/>
      <c r="K1575" s="194"/>
      <c r="L1575" s="194"/>
      <c r="M1575" s="129"/>
      <c r="N1575" s="129" t="e">
        <f>Table1[[#This Row],[Estimated Effort (Hours)]]/NETWORKDAYS(Table1[[#This Row],[Planned Start Date]],Table1[[#This Row],[Planned End Date]])</f>
        <v>#DIV/0!</v>
      </c>
      <c r="O1575" s="178">
        <f>NETWORKDAYS(Table1[[#This Row],[Planned Start Date]],Table1[[#This Row],[Planned End Date]])</f>
        <v>0</v>
      </c>
      <c r="P1575" s="178">
        <f>NETWORKDAYS(Table1[[#This Row],[Planned Start Date]],$P$7)</f>
        <v>30643</v>
      </c>
      <c r="Q1575" s="129"/>
      <c r="R1575" s="183" t="str">
        <f>IF(Table1[[#This Row],[Actual Effort (Hours)]]="","",IF(Table1[[#This Row],[Estimated Effort (Hours)]]&lt;20,"L1",IF(Table1[[#This Row],[Estimated Effort (Hours)]]&lt;50,"L2",IF(Table1[[#This Row],[Estimated Effort (Hours)]]&lt;150,"L3",IF(Table1[[#This Row],[Estimated Effort (Hours)]]&lt;300,"L4","L5")))))</f>
        <v/>
      </c>
      <c r="S1575" s="184" t="str">
        <f>IF(Table1[[#This Row],[Actual End Date]]="","",TEXT(Table1[[#This Row],[Actual End Date]],"mmm-yy"))</f>
        <v/>
      </c>
      <c r="T15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5" s="185" t="str">
        <f>IFERROR((Table1[[#This Row],[Actual Effort (Hours)]]-Table1[[#This Row],[Estimated Effort (Hours)]])/Table1[[#This Row],[Estimated Effort (Hours)]],"")</f>
        <v/>
      </c>
    </row>
    <row r="1576" spans="2:21">
      <c r="B1576" s="125"/>
      <c r="C1576" s="123"/>
      <c r="D1576" s="143"/>
      <c r="E1576" s="123"/>
      <c r="F1576" s="143"/>
      <c r="G1576" s="129"/>
      <c r="H1576" s="124"/>
      <c r="I1576" s="124"/>
      <c r="J1576" s="129"/>
      <c r="K1576" s="194"/>
      <c r="L1576" s="194"/>
      <c r="M1576" s="129"/>
      <c r="N1576" s="129" t="e">
        <f>Table1[[#This Row],[Estimated Effort (Hours)]]/NETWORKDAYS(Table1[[#This Row],[Planned Start Date]],Table1[[#This Row],[Planned End Date]])</f>
        <v>#DIV/0!</v>
      </c>
      <c r="O1576" s="178">
        <f>NETWORKDAYS(Table1[[#This Row],[Planned Start Date]],Table1[[#This Row],[Planned End Date]])</f>
        <v>0</v>
      </c>
      <c r="P1576" s="178">
        <f>NETWORKDAYS(Table1[[#This Row],[Planned Start Date]],$P$7)</f>
        <v>30643</v>
      </c>
      <c r="Q1576" s="129"/>
      <c r="R1576" s="183" t="str">
        <f>IF(Table1[[#This Row],[Actual Effort (Hours)]]="","",IF(Table1[[#This Row],[Estimated Effort (Hours)]]&lt;20,"L1",IF(Table1[[#This Row],[Estimated Effort (Hours)]]&lt;50,"L2",IF(Table1[[#This Row],[Estimated Effort (Hours)]]&lt;150,"L3",IF(Table1[[#This Row],[Estimated Effort (Hours)]]&lt;300,"L4","L5")))))</f>
        <v/>
      </c>
      <c r="S1576" s="184" t="str">
        <f>IF(Table1[[#This Row],[Actual End Date]]="","",TEXT(Table1[[#This Row],[Actual End Date]],"mmm-yy"))</f>
        <v/>
      </c>
      <c r="T15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6" s="185" t="str">
        <f>IFERROR((Table1[[#This Row],[Actual Effort (Hours)]]-Table1[[#This Row],[Estimated Effort (Hours)]])/Table1[[#This Row],[Estimated Effort (Hours)]],"")</f>
        <v/>
      </c>
    </row>
    <row r="1577" spans="2:21">
      <c r="B1577" s="125"/>
      <c r="C1577" s="123"/>
      <c r="D1577" s="143"/>
      <c r="E1577" s="123"/>
      <c r="F1577" s="143"/>
      <c r="G1577" s="129"/>
      <c r="H1577" s="124"/>
      <c r="I1577" s="124"/>
      <c r="J1577" s="129"/>
      <c r="K1577" s="194"/>
      <c r="L1577" s="194"/>
      <c r="M1577" s="129"/>
      <c r="N1577" s="129" t="e">
        <f>Table1[[#This Row],[Estimated Effort (Hours)]]/NETWORKDAYS(Table1[[#This Row],[Planned Start Date]],Table1[[#This Row],[Planned End Date]])</f>
        <v>#DIV/0!</v>
      </c>
      <c r="O1577" s="178">
        <f>NETWORKDAYS(Table1[[#This Row],[Planned Start Date]],Table1[[#This Row],[Planned End Date]])</f>
        <v>0</v>
      </c>
      <c r="P1577" s="178">
        <f>NETWORKDAYS(Table1[[#This Row],[Planned Start Date]],$P$7)</f>
        <v>30643</v>
      </c>
      <c r="Q1577" s="129"/>
      <c r="R1577" s="183" t="str">
        <f>IF(Table1[[#This Row],[Actual Effort (Hours)]]="","",IF(Table1[[#This Row],[Estimated Effort (Hours)]]&lt;20,"L1",IF(Table1[[#This Row],[Estimated Effort (Hours)]]&lt;50,"L2",IF(Table1[[#This Row],[Estimated Effort (Hours)]]&lt;150,"L3",IF(Table1[[#This Row],[Estimated Effort (Hours)]]&lt;300,"L4","L5")))))</f>
        <v/>
      </c>
      <c r="S1577" s="184" t="str">
        <f>IF(Table1[[#This Row],[Actual End Date]]="","",TEXT(Table1[[#This Row],[Actual End Date]],"mmm-yy"))</f>
        <v/>
      </c>
      <c r="T15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7" s="185" t="str">
        <f>IFERROR((Table1[[#This Row],[Actual Effort (Hours)]]-Table1[[#This Row],[Estimated Effort (Hours)]])/Table1[[#This Row],[Estimated Effort (Hours)]],"")</f>
        <v/>
      </c>
    </row>
    <row r="1578" spans="2:21">
      <c r="B1578" s="125"/>
      <c r="C1578" s="123"/>
      <c r="D1578" s="143"/>
      <c r="E1578" s="123"/>
      <c r="F1578" s="143"/>
      <c r="G1578" s="129"/>
      <c r="H1578" s="124"/>
      <c r="I1578" s="124"/>
      <c r="J1578" s="129"/>
      <c r="K1578" s="194"/>
      <c r="L1578" s="194"/>
      <c r="M1578" s="129"/>
      <c r="N1578" s="129" t="e">
        <f>Table1[[#This Row],[Estimated Effort (Hours)]]/NETWORKDAYS(Table1[[#This Row],[Planned Start Date]],Table1[[#This Row],[Planned End Date]])</f>
        <v>#DIV/0!</v>
      </c>
      <c r="O1578" s="178">
        <f>NETWORKDAYS(Table1[[#This Row],[Planned Start Date]],Table1[[#This Row],[Planned End Date]])</f>
        <v>0</v>
      </c>
      <c r="P1578" s="178">
        <f>NETWORKDAYS(Table1[[#This Row],[Planned Start Date]],$P$7)</f>
        <v>30643</v>
      </c>
      <c r="Q1578" s="129"/>
      <c r="R1578" s="183" t="str">
        <f>IF(Table1[[#This Row],[Actual Effort (Hours)]]="","",IF(Table1[[#This Row],[Estimated Effort (Hours)]]&lt;20,"L1",IF(Table1[[#This Row],[Estimated Effort (Hours)]]&lt;50,"L2",IF(Table1[[#This Row],[Estimated Effort (Hours)]]&lt;150,"L3",IF(Table1[[#This Row],[Estimated Effort (Hours)]]&lt;300,"L4","L5")))))</f>
        <v/>
      </c>
      <c r="S1578" s="184" t="str">
        <f>IF(Table1[[#This Row],[Actual End Date]]="","",TEXT(Table1[[#This Row],[Actual End Date]],"mmm-yy"))</f>
        <v/>
      </c>
      <c r="T15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8" s="185" t="str">
        <f>IFERROR((Table1[[#This Row],[Actual Effort (Hours)]]-Table1[[#This Row],[Estimated Effort (Hours)]])/Table1[[#This Row],[Estimated Effort (Hours)]],"")</f>
        <v/>
      </c>
    </row>
    <row r="1579" spans="2:21">
      <c r="B1579" s="125"/>
      <c r="C1579" s="123"/>
      <c r="D1579" s="143"/>
      <c r="E1579" s="123"/>
      <c r="F1579" s="143"/>
      <c r="G1579" s="129"/>
      <c r="H1579" s="124"/>
      <c r="I1579" s="124"/>
      <c r="J1579" s="129"/>
      <c r="K1579" s="194"/>
      <c r="L1579" s="194"/>
      <c r="M1579" s="129"/>
      <c r="N1579" s="129" t="e">
        <f>Table1[[#This Row],[Estimated Effort (Hours)]]/NETWORKDAYS(Table1[[#This Row],[Planned Start Date]],Table1[[#This Row],[Planned End Date]])</f>
        <v>#DIV/0!</v>
      </c>
      <c r="O1579" s="178">
        <f>NETWORKDAYS(Table1[[#This Row],[Planned Start Date]],Table1[[#This Row],[Planned End Date]])</f>
        <v>0</v>
      </c>
      <c r="P1579" s="178">
        <f>NETWORKDAYS(Table1[[#This Row],[Planned Start Date]],$P$7)</f>
        <v>30643</v>
      </c>
      <c r="Q1579" s="129"/>
      <c r="R1579" s="183" t="str">
        <f>IF(Table1[[#This Row],[Actual Effort (Hours)]]="","",IF(Table1[[#This Row],[Estimated Effort (Hours)]]&lt;20,"L1",IF(Table1[[#This Row],[Estimated Effort (Hours)]]&lt;50,"L2",IF(Table1[[#This Row],[Estimated Effort (Hours)]]&lt;150,"L3",IF(Table1[[#This Row],[Estimated Effort (Hours)]]&lt;300,"L4","L5")))))</f>
        <v/>
      </c>
      <c r="S1579" s="184" t="str">
        <f>IF(Table1[[#This Row],[Actual End Date]]="","",TEXT(Table1[[#This Row],[Actual End Date]],"mmm-yy"))</f>
        <v/>
      </c>
      <c r="T15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79" s="185" t="str">
        <f>IFERROR((Table1[[#This Row],[Actual Effort (Hours)]]-Table1[[#This Row],[Estimated Effort (Hours)]])/Table1[[#This Row],[Estimated Effort (Hours)]],"")</f>
        <v/>
      </c>
    </row>
    <row r="1580" spans="2:21">
      <c r="B1580" s="125"/>
      <c r="C1580" s="123"/>
      <c r="D1580" s="143"/>
      <c r="E1580" s="123"/>
      <c r="F1580" s="143"/>
      <c r="G1580" s="129"/>
      <c r="H1580" s="124"/>
      <c r="I1580" s="124"/>
      <c r="J1580" s="129"/>
      <c r="K1580" s="194"/>
      <c r="L1580" s="194"/>
      <c r="M1580" s="129"/>
      <c r="N1580" s="129" t="e">
        <f>Table1[[#This Row],[Estimated Effort (Hours)]]/NETWORKDAYS(Table1[[#This Row],[Planned Start Date]],Table1[[#This Row],[Planned End Date]])</f>
        <v>#DIV/0!</v>
      </c>
      <c r="O1580" s="178">
        <f>NETWORKDAYS(Table1[[#This Row],[Planned Start Date]],Table1[[#This Row],[Planned End Date]])</f>
        <v>0</v>
      </c>
      <c r="P1580" s="178">
        <f>NETWORKDAYS(Table1[[#This Row],[Planned Start Date]],$P$7)</f>
        <v>30643</v>
      </c>
      <c r="Q1580" s="129"/>
      <c r="R1580" s="183" t="str">
        <f>IF(Table1[[#This Row],[Actual Effort (Hours)]]="","",IF(Table1[[#This Row],[Estimated Effort (Hours)]]&lt;20,"L1",IF(Table1[[#This Row],[Estimated Effort (Hours)]]&lt;50,"L2",IF(Table1[[#This Row],[Estimated Effort (Hours)]]&lt;150,"L3",IF(Table1[[#This Row],[Estimated Effort (Hours)]]&lt;300,"L4","L5")))))</f>
        <v/>
      </c>
      <c r="S1580" s="184" t="str">
        <f>IF(Table1[[#This Row],[Actual End Date]]="","",TEXT(Table1[[#This Row],[Actual End Date]],"mmm-yy"))</f>
        <v/>
      </c>
      <c r="T15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0" s="185" t="str">
        <f>IFERROR((Table1[[#This Row],[Actual Effort (Hours)]]-Table1[[#This Row],[Estimated Effort (Hours)]])/Table1[[#This Row],[Estimated Effort (Hours)]],"")</f>
        <v/>
      </c>
    </row>
    <row r="1581" spans="2:21">
      <c r="B1581" s="125"/>
      <c r="C1581" s="123"/>
      <c r="D1581" s="143"/>
      <c r="E1581" s="123"/>
      <c r="F1581" s="143"/>
      <c r="G1581" s="129"/>
      <c r="H1581" s="124"/>
      <c r="I1581" s="124"/>
      <c r="J1581" s="129"/>
      <c r="K1581" s="194"/>
      <c r="L1581" s="194"/>
      <c r="M1581" s="129"/>
      <c r="N1581" s="129" t="e">
        <f>Table1[[#This Row],[Estimated Effort (Hours)]]/NETWORKDAYS(Table1[[#This Row],[Planned Start Date]],Table1[[#This Row],[Planned End Date]])</f>
        <v>#DIV/0!</v>
      </c>
      <c r="O1581" s="178">
        <f>NETWORKDAYS(Table1[[#This Row],[Planned Start Date]],Table1[[#This Row],[Planned End Date]])</f>
        <v>0</v>
      </c>
      <c r="P1581" s="178">
        <f>NETWORKDAYS(Table1[[#This Row],[Planned Start Date]],$P$7)</f>
        <v>30643</v>
      </c>
      <c r="Q1581" s="129"/>
      <c r="R1581" s="183" t="str">
        <f>IF(Table1[[#This Row],[Actual Effort (Hours)]]="","",IF(Table1[[#This Row],[Estimated Effort (Hours)]]&lt;20,"L1",IF(Table1[[#This Row],[Estimated Effort (Hours)]]&lt;50,"L2",IF(Table1[[#This Row],[Estimated Effort (Hours)]]&lt;150,"L3",IF(Table1[[#This Row],[Estimated Effort (Hours)]]&lt;300,"L4","L5")))))</f>
        <v/>
      </c>
      <c r="S1581" s="184" t="str">
        <f>IF(Table1[[#This Row],[Actual End Date]]="","",TEXT(Table1[[#This Row],[Actual End Date]],"mmm-yy"))</f>
        <v/>
      </c>
      <c r="T15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1" s="185" t="str">
        <f>IFERROR((Table1[[#This Row],[Actual Effort (Hours)]]-Table1[[#This Row],[Estimated Effort (Hours)]])/Table1[[#This Row],[Estimated Effort (Hours)]],"")</f>
        <v/>
      </c>
    </row>
    <row r="1582" spans="2:21">
      <c r="B1582" s="125"/>
      <c r="C1582" s="123"/>
      <c r="D1582" s="143"/>
      <c r="E1582" s="123"/>
      <c r="F1582" s="143"/>
      <c r="G1582" s="129"/>
      <c r="H1582" s="124"/>
      <c r="I1582" s="124"/>
      <c r="J1582" s="129"/>
      <c r="K1582" s="194"/>
      <c r="L1582" s="194"/>
      <c r="M1582" s="129"/>
      <c r="N1582" s="129" t="e">
        <f>Table1[[#This Row],[Estimated Effort (Hours)]]/NETWORKDAYS(Table1[[#This Row],[Planned Start Date]],Table1[[#This Row],[Planned End Date]])</f>
        <v>#DIV/0!</v>
      </c>
      <c r="O1582" s="178">
        <f>NETWORKDAYS(Table1[[#This Row],[Planned Start Date]],Table1[[#This Row],[Planned End Date]])</f>
        <v>0</v>
      </c>
      <c r="P1582" s="178">
        <f>NETWORKDAYS(Table1[[#This Row],[Planned Start Date]],$P$7)</f>
        <v>30643</v>
      </c>
      <c r="Q1582" s="129"/>
      <c r="R1582" s="183" t="str">
        <f>IF(Table1[[#This Row],[Actual Effort (Hours)]]="","",IF(Table1[[#This Row],[Estimated Effort (Hours)]]&lt;20,"L1",IF(Table1[[#This Row],[Estimated Effort (Hours)]]&lt;50,"L2",IF(Table1[[#This Row],[Estimated Effort (Hours)]]&lt;150,"L3",IF(Table1[[#This Row],[Estimated Effort (Hours)]]&lt;300,"L4","L5")))))</f>
        <v/>
      </c>
      <c r="S1582" s="184" t="str">
        <f>IF(Table1[[#This Row],[Actual End Date]]="","",TEXT(Table1[[#This Row],[Actual End Date]],"mmm-yy"))</f>
        <v/>
      </c>
      <c r="T15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2" s="185" t="str">
        <f>IFERROR((Table1[[#This Row],[Actual Effort (Hours)]]-Table1[[#This Row],[Estimated Effort (Hours)]])/Table1[[#This Row],[Estimated Effort (Hours)]],"")</f>
        <v/>
      </c>
    </row>
    <row r="1583" spans="2:21">
      <c r="B1583" s="125"/>
      <c r="C1583" s="123"/>
      <c r="D1583" s="143"/>
      <c r="E1583" s="123"/>
      <c r="F1583" s="143"/>
      <c r="G1583" s="129"/>
      <c r="H1583" s="124"/>
      <c r="I1583" s="124"/>
      <c r="J1583" s="129"/>
      <c r="K1583" s="194"/>
      <c r="L1583" s="194"/>
      <c r="M1583" s="129"/>
      <c r="N1583" s="129" t="e">
        <f>Table1[[#This Row],[Estimated Effort (Hours)]]/NETWORKDAYS(Table1[[#This Row],[Planned Start Date]],Table1[[#This Row],[Planned End Date]])</f>
        <v>#DIV/0!</v>
      </c>
      <c r="O1583" s="178">
        <f>NETWORKDAYS(Table1[[#This Row],[Planned Start Date]],Table1[[#This Row],[Planned End Date]])</f>
        <v>0</v>
      </c>
      <c r="P1583" s="178">
        <f>NETWORKDAYS(Table1[[#This Row],[Planned Start Date]],$P$7)</f>
        <v>30643</v>
      </c>
      <c r="Q1583" s="129"/>
      <c r="R1583" s="183" t="str">
        <f>IF(Table1[[#This Row],[Actual Effort (Hours)]]="","",IF(Table1[[#This Row],[Estimated Effort (Hours)]]&lt;20,"L1",IF(Table1[[#This Row],[Estimated Effort (Hours)]]&lt;50,"L2",IF(Table1[[#This Row],[Estimated Effort (Hours)]]&lt;150,"L3",IF(Table1[[#This Row],[Estimated Effort (Hours)]]&lt;300,"L4","L5")))))</f>
        <v/>
      </c>
      <c r="S1583" s="184" t="str">
        <f>IF(Table1[[#This Row],[Actual End Date]]="","",TEXT(Table1[[#This Row],[Actual End Date]],"mmm-yy"))</f>
        <v/>
      </c>
      <c r="T15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3" s="185" t="str">
        <f>IFERROR((Table1[[#This Row],[Actual Effort (Hours)]]-Table1[[#This Row],[Estimated Effort (Hours)]])/Table1[[#This Row],[Estimated Effort (Hours)]],"")</f>
        <v/>
      </c>
    </row>
    <row r="1584" spans="2:21">
      <c r="B1584" s="125"/>
      <c r="C1584" s="123"/>
      <c r="D1584" s="143"/>
      <c r="E1584" s="123"/>
      <c r="F1584" s="143"/>
      <c r="G1584" s="129"/>
      <c r="H1584" s="124"/>
      <c r="I1584" s="124"/>
      <c r="J1584" s="129"/>
      <c r="K1584" s="194"/>
      <c r="L1584" s="194"/>
      <c r="M1584" s="129"/>
      <c r="N1584" s="129" t="e">
        <f>Table1[[#This Row],[Estimated Effort (Hours)]]/NETWORKDAYS(Table1[[#This Row],[Planned Start Date]],Table1[[#This Row],[Planned End Date]])</f>
        <v>#DIV/0!</v>
      </c>
      <c r="O1584" s="178">
        <f>NETWORKDAYS(Table1[[#This Row],[Planned Start Date]],Table1[[#This Row],[Planned End Date]])</f>
        <v>0</v>
      </c>
      <c r="P1584" s="178">
        <f>NETWORKDAYS(Table1[[#This Row],[Planned Start Date]],$P$7)</f>
        <v>30643</v>
      </c>
      <c r="Q1584" s="129"/>
      <c r="R1584" s="183" t="str">
        <f>IF(Table1[[#This Row],[Actual Effort (Hours)]]="","",IF(Table1[[#This Row],[Estimated Effort (Hours)]]&lt;20,"L1",IF(Table1[[#This Row],[Estimated Effort (Hours)]]&lt;50,"L2",IF(Table1[[#This Row],[Estimated Effort (Hours)]]&lt;150,"L3",IF(Table1[[#This Row],[Estimated Effort (Hours)]]&lt;300,"L4","L5")))))</f>
        <v/>
      </c>
      <c r="S1584" s="184" t="str">
        <f>IF(Table1[[#This Row],[Actual End Date]]="","",TEXT(Table1[[#This Row],[Actual End Date]],"mmm-yy"))</f>
        <v/>
      </c>
      <c r="T15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4" s="185" t="str">
        <f>IFERROR((Table1[[#This Row],[Actual Effort (Hours)]]-Table1[[#This Row],[Estimated Effort (Hours)]])/Table1[[#This Row],[Estimated Effort (Hours)]],"")</f>
        <v/>
      </c>
    </row>
    <row r="1585" spans="2:21">
      <c r="B1585" s="125"/>
      <c r="C1585" s="123"/>
      <c r="D1585" s="143"/>
      <c r="E1585" s="123"/>
      <c r="F1585" s="143"/>
      <c r="G1585" s="129"/>
      <c r="H1585" s="124"/>
      <c r="I1585" s="124"/>
      <c r="J1585" s="129"/>
      <c r="K1585" s="194"/>
      <c r="L1585" s="194"/>
      <c r="M1585" s="129"/>
      <c r="N1585" s="129" t="e">
        <f>Table1[[#This Row],[Estimated Effort (Hours)]]/NETWORKDAYS(Table1[[#This Row],[Planned Start Date]],Table1[[#This Row],[Planned End Date]])</f>
        <v>#DIV/0!</v>
      </c>
      <c r="O1585" s="178">
        <f>NETWORKDAYS(Table1[[#This Row],[Planned Start Date]],Table1[[#This Row],[Planned End Date]])</f>
        <v>0</v>
      </c>
      <c r="P1585" s="178">
        <f>NETWORKDAYS(Table1[[#This Row],[Planned Start Date]],$P$7)</f>
        <v>30643</v>
      </c>
      <c r="Q1585" s="129"/>
      <c r="R1585" s="183" t="str">
        <f>IF(Table1[[#This Row],[Actual Effort (Hours)]]="","",IF(Table1[[#This Row],[Estimated Effort (Hours)]]&lt;20,"L1",IF(Table1[[#This Row],[Estimated Effort (Hours)]]&lt;50,"L2",IF(Table1[[#This Row],[Estimated Effort (Hours)]]&lt;150,"L3",IF(Table1[[#This Row],[Estimated Effort (Hours)]]&lt;300,"L4","L5")))))</f>
        <v/>
      </c>
      <c r="S1585" s="184" t="str">
        <f>IF(Table1[[#This Row],[Actual End Date]]="","",TEXT(Table1[[#This Row],[Actual End Date]],"mmm-yy"))</f>
        <v/>
      </c>
      <c r="T15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5" s="185" t="str">
        <f>IFERROR((Table1[[#This Row],[Actual Effort (Hours)]]-Table1[[#This Row],[Estimated Effort (Hours)]])/Table1[[#This Row],[Estimated Effort (Hours)]],"")</f>
        <v/>
      </c>
    </row>
    <row r="1586" spans="2:21">
      <c r="B1586" s="125"/>
      <c r="C1586" s="123"/>
      <c r="D1586" s="143"/>
      <c r="E1586" s="123"/>
      <c r="F1586" s="143"/>
      <c r="G1586" s="129"/>
      <c r="H1586" s="124"/>
      <c r="I1586" s="124"/>
      <c r="J1586" s="129"/>
      <c r="K1586" s="194"/>
      <c r="L1586" s="194"/>
      <c r="M1586" s="129"/>
      <c r="N1586" s="129" t="e">
        <f>Table1[[#This Row],[Estimated Effort (Hours)]]/NETWORKDAYS(Table1[[#This Row],[Planned Start Date]],Table1[[#This Row],[Planned End Date]])</f>
        <v>#DIV/0!</v>
      </c>
      <c r="O1586" s="178">
        <f>NETWORKDAYS(Table1[[#This Row],[Planned Start Date]],Table1[[#This Row],[Planned End Date]])</f>
        <v>0</v>
      </c>
      <c r="P1586" s="178">
        <f>NETWORKDAYS(Table1[[#This Row],[Planned Start Date]],$P$7)</f>
        <v>30643</v>
      </c>
      <c r="Q1586" s="129"/>
      <c r="R1586" s="183" t="str">
        <f>IF(Table1[[#This Row],[Actual Effort (Hours)]]="","",IF(Table1[[#This Row],[Estimated Effort (Hours)]]&lt;20,"L1",IF(Table1[[#This Row],[Estimated Effort (Hours)]]&lt;50,"L2",IF(Table1[[#This Row],[Estimated Effort (Hours)]]&lt;150,"L3",IF(Table1[[#This Row],[Estimated Effort (Hours)]]&lt;300,"L4","L5")))))</f>
        <v/>
      </c>
      <c r="S1586" s="184" t="str">
        <f>IF(Table1[[#This Row],[Actual End Date]]="","",TEXT(Table1[[#This Row],[Actual End Date]],"mmm-yy"))</f>
        <v/>
      </c>
      <c r="T15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6" s="185" t="str">
        <f>IFERROR((Table1[[#This Row],[Actual Effort (Hours)]]-Table1[[#This Row],[Estimated Effort (Hours)]])/Table1[[#This Row],[Estimated Effort (Hours)]],"")</f>
        <v/>
      </c>
    </row>
    <row r="1587" spans="2:21">
      <c r="B1587" s="125"/>
      <c r="C1587" s="123"/>
      <c r="D1587" s="143"/>
      <c r="E1587" s="123"/>
      <c r="F1587" s="143"/>
      <c r="G1587" s="129"/>
      <c r="H1587" s="124"/>
      <c r="I1587" s="124"/>
      <c r="J1587" s="129"/>
      <c r="K1587" s="194"/>
      <c r="L1587" s="194"/>
      <c r="M1587" s="129"/>
      <c r="N1587" s="129" t="e">
        <f>Table1[[#This Row],[Estimated Effort (Hours)]]/NETWORKDAYS(Table1[[#This Row],[Planned Start Date]],Table1[[#This Row],[Planned End Date]])</f>
        <v>#DIV/0!</v>
      </c>
      <c r="O1587" s="178">
        <f>NETWORKDAYS(Table1[[#This Row],[Planned Start Date]],Table1[[#This Row],[Planned End Date]])</f>
        <v>0</v>
      </c>
      <c r="P1587" s="178">
        <f>NETWORKDAYS(Table1[[#This Row],[Planned Start Date]],$P$7)</f>
        <v>30643</v>
      </c>
      <c r="Q1587" s="129"/>
      <c r="R1587" s="183" t="str">
        <f>IF(Table1[[#This Row],[Actual Effort (Hours)]]="","",IF(Table1[[#This Row],[Estimated Effort (Hours)]]&lt;20,"L1",IF(Table1[[#This Row],[Estimated Effort (Hours)]]&lt;50,"L2",IF(Table1[[#This Row],[Estimated Effort (Hours)]]&lt;150,"L3",IF(Table1[[#This Row],[Estimated Effort (Hours)]]&lt;300,"L4","L5")))))</f>
        <v/>
      </c>
      <c r="S1587" s="184" t="str">
        <f>IF(Table1[[#This Row],[Actual End Date]]="","",TEXT(Table1[[#This Row],[Actual End Date]],"mmm-yy"))</f>
        <v/>
      </c>
      <c r="T15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7" s="185" t="str">
        <f>IFERROR((Table1[[#This Row],[Actual Effort (Hours)]]-Table1[[#This Row],[Estimated Effort (Hours)]])/Table1[[#This Row],[Estimated Effort (Hours)]],"")</f>
        <v/>
      </c>
    </row>
    <row r="1588" spans="2:21">
      <c r="B1588" s="125"/>
      <c r="C1588" s="123"/>
      <c r="D1588" s="143"/>
      <c r="E1588" s="123"/>
      <c r="F1588" s="143"/>
      <c r="G1588" s="129"/>
      <c r="H1588" s="124"/>
      <c r="I1588" s="124"/>
      <c r="J1588" s="129"/>
      <c r="K1588" s="194"/>
      <c r="L1588" s="194"/>
      <c r="M1588" s="129"/>
      <c r="N1588" s="129" t="e">
        <f>Table1[[#This Row],[Estimated Effort (Hours)]]/NETWORKDAYS(Table1[[#This Row],[Planned Start Date]],Table1[[#This Row],[Planned End Date]])</f>
        <v>#DIV/0!</v>
      </c>
      <c r="O1588" s="178">
        <f>NETWORKDAYS(Table1[[#This Row],[Planned Start Date]],Table1[[#This Row],[Planned End Date]])</f>
        <v>0</v>
      </c>
      <c r="P1588" s="178">
        <f>NETWORKDAYS(Table1[[#This Row],[Planned Start Date]],$P$7)</f>
        <v>30643</v>
      </c>
      <c r="Q1588" s="129"/>
      <c r="R1588" s="183" t="str">
        <f>IF(Table1[[#This Row],[Actual Effort (Hours)]]="","",IF(Table1[[#This Row],[Estimated Effort (Hours)]]&lt;20,"L1",IF(Table1[[#This Row],[Estimated Effort (Hours)]]&lt;50,"L2",IF(Table1[[#This Row],[Estimated Effort (Hours)]]&lt;150,"L3",IF(Table1[[#This Row],[Estimated Effort (Hours)]]&lt;300,"L4","L5")))))</f>
        <v/>
      </c>
      <c r="S1588" s="184" t="str">
        <f>IF(Table1[[#This Row],[Actual End Date]]="","",TEXT(Table1[[#This Row],[Actual End Date]],"mmm-yy"))</f>
        <v/>
      </c>
      <c r="T15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8" s="185" t="str">
        <f>IFERROR((Table1[[#This Row],[Actual Effort (Hours)]]-Table1[[#This Row],[Estimated Effort (Hours)]])/Table1[[#This Row],[Estimated Effort (Hours)]],"")</f>
        <v/>
      </c>
    </row>
    <row r="1589" spans="2:21">
      <c r="B1589" s="125"/>
      <c r="C1589" s="123"/>
      <c r="D1589" s="143"/>
      <c r="E1589" s="123"/>
      <c r="F1589" s="143"/>
      <c r="G1589" s="129"/>
      <c r="H1589" s="124"/>
      <c r="I1589" s="124"/>
      <c r="J1589" s="129"/>
      <c r="K1589" s="194"/>
      <c r="L1589" s="194"/>
      <c r="M1589" s="129"/>
      <c r="N1589" s="129" t="e">
        <f>Table1[[#This Row],[Estimated Effort (Hours)]]/NETWORKDAYS(Table1[[#This Row],[Planned Start Date]],Table1[[#This Row],[Planned End Date]])</f>
        <v>#DIV/0!</v>
      </c>
      <c r="O1589" s="178">
        <f>NETWORKDAYS(Table1[[#This Row],[Planned Start Date]],Table1[[#This Row],[Planned End Date]])</f>
        <v>0</v>
      </c>
      <c r="P1589" s="178">
        <f>NETWORKDAYS(Table1[[#This Row],[Planned Start Date]],$P$7)</f>
        <v>30643</v>
      </c>
      <c r="Q1589" s="129"/>
      <c r="R1589" s="183" t="str">
        <f>IF(Table1[[#This Row],[Actual Effort (Hours)]]="","",IF(Table1[[#This Row],[Estimated Effort (Hours)]]&lt;20,"L1",IF(Table1[[#This Row],[Estimated Effort (Hours)]]&lt;50,"L2",IF(Table1[[#This Row],[Estimated Effort (Hours)]]&lt;150,"L3",IF(Table1[[#This Row],[Estimated Effort (Hours)]]&lt;300,"L4","L5")))))</f>
        <v/>
      </c>
      <c r="S1589" s="184" t="str">
        <f>IF(Table1[[#This Row],[Actual End Date]]="","",TEXT(Table1[[#This Row],[Actual End Date]],"mmm-yy"))</f>
        <v/>
      </c>
      <c r="T15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89" s="185" t="str">
        <f>IFERROR((Table1[[#This Row],[Actual Effort (Hours)]]-Table1[[#This Row],[Estimated Effort (Hours)]])/Table1[[#This Row],[Estimated Effort (Hours)]],"")</f>
        <v/>
      </c>
    </row>
    <row r="1590" spans="2:21">
      <c r="B1590" s="125"/>
      <c r="C1590" s="123"/>
      <c r="D1590" s="143"/>
      <c r="E1590" s="123"/>
      <c r="F1590" s="143"/>
      <c r="G1590" s="129"/>
      <c r="H1590" s="124"/>
      <c r="I1590" s="124"/>
      <c r="J1590" s="129"/>
      <c r="K1590" s="194"/>
      <c r="L1590" s="194"/>
      <c r="M1590" s="129"/>
      <c r="N1590" s="129" t="e">
        <f>Table1[[#This Row],[Estimated Effort (Hours)]]/NETWORKDAYS(Table1[[#This Row],[Planned Start Date]],Table1[[#This Row],[Planned End Date]])</f>
        <v>#DIV/0!</v>
      </c>
      <c r="O1590" s="178">
        <f>NETWORKDAYS(Table1[[#This Row],[Planned Start Date]],Table1[[#This Row],[Planned End Date]])</f>
        <v>0</v>
      </c>
      <c r="P1590" s="178">
        <f>NETWORKDAYS(Table1[[#This Row],[Planned Start Date]],$P$7)</f>
        <v>30643</v>
      </c>
      <c r="Q1590" s="129"/>
      <c r="R1590" s="183" t="str">
        <f>IF(Table1[[#This Row],[Actual Effort (Hours)]]="","",IF(Table1[[#This Row],[Estimated Effort (Hours)]]&lt;20,"L1",IF(Table1[[#This Row],[Estimated Effort (Hours)]]&lt;50,"L2",IF(Table1[[#This Row],[Estimated Effort (Hours)]]&lt;150,"L3",IF(Table1[[#This Row],[Estimated Effort (Hours)]]&lt;300,"L4","L5")))))</f>
        <v/>
      </c>
      <c r="S1590" s="184" t="str">
        <f>IF(Table1[[#This Row],[Actual End Date]]="","",TEXT(Table1[[#This Row],[Actual End Date]],"mmm-yy"))</f>
        <v/>
      </c>
      <c r="T15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0" s="185" t="str">
        <f>IFERROR((Table1[[#This Row],[Actual Effort (Hours)]]-Table1[[#This Row],[Estimated Effort (Hours)]])/Table1[[#This Row],[Estimated Effort (Hours)]],"")</f>
        <v/>
      </c>
    </row>
    <row r="1591" spans="2:21">
      <c r="B1591" s="125"/>
      <c r="C1591" s="123"/>
      <c r="D1591" s="143"/>
      <c r="E1591" s="123"/>
      <c r="F1591" s="143"/>
      <c r="G1591" s="129"/>
      <c r="H1591" s="124"/>
      <c r="I1591" s="124"/>
      <c r="J1591" s="129"/>
      <c r="K1591" s="194"/>
      <c r="L1591" s="194"/>
      <c r="M1591" s="129"/>
      <c r="N1591" s="129" t="e">
        <f>Table1[[#This Row],[Estimated Effort (Hours)]]/NETWORKDAYS(Table1[[#This Row],[Planned Start Date]],Table1[[#This Row],[Planned End Date]])</f>
        <v>#DIV/0!</v>
      </c>
      <c r="O1591" s="178">
        <f>NETWORKDAYS(Table1[[#This Row],[Planned Start Date]],Table1[[#This Row],[Planned End Date]])</f>
        <v>0</v>
      </c>
      <c r="P1591" s="178">
        <f>NETWORKDAYS(Table1[[#This Row],[Planned Start Date]],$P$7)</f>
        <v>30643</v>
      </c>
      <c r="Q1591" s="129"/>
      <c r="R1591" s="183" t="str">
        <f>IF(Table1[[#This Row],[Actual Effort (Hours)]]="","",IF(Table1[[#This Row],[Estimated Effort (Hours)]]&lt;20,"L1",IF(Table1[[#This Row],[Estimated Effort (Hours)]]&lt;50,"L2",IF(Table1[[#This Row],[Estimated Effort (Hours)]]&lt;150,"L3",IF(Table1[[#This Row],[Estimated Effort (Hours)]]&lt;300,"L4","L5")))))</f>
        <v/>
      </c>
      <c r="S1591" s="184" t="str">
        <f>IF(Table1[[#This Row],[Actual End Date]]="","",TEXT(Table1[[#This Row],[Actual End Date]],"mmm-yy"))</f>
        <v/>
      </c>
      <c r="T15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1" s="185" t="str">
        <f>IFERROR((Table1[[#This Row],[Actual Effort (Hours)]]-Table1[[#This Row],[Estimated Effort (Hours)]])/Table1[[#This Row],[Estimated Effort (Hours)]],"")</f>
        <v/>
      </c>
    </row>
    <row r="1592" spans="2:21">
      <c r="B1592" s="125"/>
      <c r="C1592" s="123"/>
      <c r="D1592" s="143"/>
      <c r="E1592" s="123"/>
      <c r="F1592" s="143"/>
      <c r="G1592" s="129"/>
      <c r="H1592" s="124"/>
      <c r="I1592" s="124"/>
      <c r="J1592" s="129"/>
      <c r="K1592" s="194"/>
      <c r="L1592" s="194"/>
      <c r="M1592" s="129"/>
      <c r="N1592" s="129" t="e">
        <f>Table1[[#This Row],[Estimated Effort (Hours)]]/NETWORKDAYS(Table1[[#This Row],[Planned Start Date]],Table1[[#This Row],[Planned End Date]])</f>
        <v>#DIV/0!</v>
      </c>
      <c r="O1592" s="178">
        <f>NETWORKDAYS(Table1[[#This Row],[Planned Start Date]],Table1[[#This Row],[Planned End Date]])</f>
        <v>0</v>
      </c>
      <c r="P1592" s="178">
        <f>NETWORKDAYS(Table1[[#This Row],[Planned Start Date]],$P$7)</f>
        <v>30643</v>
      </c>
      <c r="Q1592" s="129"/>
      <c r="R1592" s="183" t="str">
        <f>IF(Table1[[#This Row],[Actual Effort (Hours)]]="","",IF(Table1[[#This Row],[Estimated Effort (Hours)]]&lt;20,"L1",IF(Table1[[#This Row],[Estimated Effort (Hours)]]&lt;50,"L2",IF(Table1[[#This Row],[Estimated Effort (Hours)]]&lt;150,"L3",IF(Table1[[#This Row],[Estimated Effort (Hours)]]&lt;300,"L4","L5")))))</f>
        <v/>
      </c>
      <c r="S1592" s="184" t="str">
        <f>IF(Table1[[#This Row],[Actual End Date]]="","",TEXT(Table1[[#This Row],[Actual End Date]],"mmm-yy"))</f>
        <v/>
      </c>
      <c r="T15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2" s="185" t="str">
        <f>IFERROR((Table1[[#This Row],[Actual Effort (Hours)]]-Table1[[#This Row],[Estimated Effort (Hours)]])/Table1[[#This Row],[Estimated Effort (Hours)]],"")</f>
        <v/>
      </c>
    </row>
    <row r="1593" spans="2:21">
      <c r="B1593" s="125"/>
      <c r="C1593" s="123"/>
      <c r="D1593" s="143"/>
      <c r="E1593" s="123"/>
      <c r="F1593" s="143"/>
      <c r="G1593" s="129"/>
      <c r="H1593" s="124"/>
      <c r="I1593" s="124"/>
      <c r="J1593" s="129"/>
      <c r="K1593" s="194"/>
      <c r="L1593" s="194"/>
      <c r="M1593" s="129"/>
      <c r="N1593" s="129" t="e">
        <f>Table1[[#This Row],[Estimated Effort (Hours)]]/NETWORKDAYS(Table1[[#This Row],[Planned Start Date]],Table1[[#This Row],[Planned End Date]])</f>
        <v>#DIV/0!</v>
      </c>
      <c r="O1593" s="178">
        <f>NETWORKDAYS(Table1[[#This Row],[Planned Start Date]],Table1[[#This Row],[Planned End Date]])</f>
        <v>0</v>
      </c>
      <c r="P1593" s="178">
        <f>NETWORKDAYS(Table1[[#This Row],[Planned Start Date]],$P$7)</f>
        <v>30643</v>
      </c>
      <c r="Q1593" s="129"/>
      <c r="R1593" s="183" t="str">
        <f>IF(Table1[[#This Row],[Actual Effort (Hours)]]="","",IF(Table1[[#This Row],[Estimated Effort (Hours)]]&lt;20,"L1",IF(Table1[[#This Row],[Estimated Effort (Hours)]]&lt;50,"L2",IF(Table1[[#This Row],[Estimated Effort (Hours)]]&lt;150,"L3",IF(Table1[[#This Row],[Estimated Effort (Hours)]]&lt;300,"L4","L5")))))</f>
        <v/>
      </c>
      <c r="S1593" s="184" t="str">
        <f>IF(Table1[[#This Row],[Actual End Date]]="","",TEXT(Table1[[#This Row],[Actual End Date]],"mmm-yy"))</f>
        <v/>
      </c>
      <c r="T15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3" s="185" t="str">
        <f>IFERROR((Table1[[#This Row],[Actual Effort (Hours)]]-Table1[[#This Row],[Estimated Effort (Hours)]])/Table1[[#This Row],[Estimated Effort (Hours)]],"")</f>
        <v/>
      </c>
    </row>
    <row r="1594" spans="2:21">
      <c r="B1594" s="125"/>
      <c r="C1594" s="123"/>
      <c r="D1594" s="143"/>
      <c r="E1594" s="123"/>
      <c r="F1594" s="143"/>
      <c r="G1594" s="129"/>
      <c r="H1594" s="124"/>
      <c r="I1594" s="124"/>
      <c r="J1594" s="129"/>
      <c r="K1594" s="194"/>
      <c r="L1594" s="194"/>
      <c r="M1594" s="129"/>
      <c r="N1594" s="129" t="e">
        <f>Table1[[#This Row],[Estimated Effort (Hours)]]/NETWORKDAYS(Table1[[#This Row],[Planned Start Date]],Table1[[#This Row],[Planned End Date]])</f>
        <v>#DIV/0!</v>
      </c>
      <c r="O1594" s="178">
        <f>NETWORKDAYS(Table1[[#This Row],[Planned Start Date]],Table1[[#This Row],[Planned End Date]])</f>
        <v>0</v>
      </c>
      <c r="P1594" s="178">
        <f>NETWORKDAYS(Table1[[#This Row],[Planned Start Date]],$P$7)</f>
        <v>30643</v>
      </c>
      <c r="Q1594" s="129"/>
      <c r="R1594" s="183" t="str">
        <f>IF(Table1[[#This Row],[Actual Effort (Hours)]]="","",IF(Table1[[#This Row],[Estimated Effort (Hours)]]&lt;20,"L1",IF(Table1[[#This Row],[Estimated Effort (Hours)]]&lt;50,"L2",IF(Table1[[#This Row],[Estimated Effort (Hours)]]&lt;150,"L3",IF(Table1[[#This Row],[Estimated Effort (Hours)]]&lt;300,"L4","L5")))))</f>
        <v/>
      </c>
      <c r="S1594" s="184" t="str">
        <f>IF(Table1[[#This Row],[Actual End Date]]="","",TEXT(Table1[[#This Row],[Actual End Date]],"mmm-yy"))</f>
        <v/>
      </c>
      <c r="T15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4" s="185" t="str">
        <f>IFERROR((Table1[[#This Row],[Actual Effort (Hours)]]-Table1[[#This Row],[Estimated Effort (Hours)]])/Table1[[#This Row],[Estimated Effort (Hours)]],"")</f>
        <v/>
      </c>
    </row>
    <row r="1595" spans="2:21">
      <c r="B1595" s="125"/>
      <c r="C1595" s="123"/>
      <c r="D1595" s="143"/>
      <c r="E1595" s="123"/>
      <c r="F1595" s="143"/>
      <c r="G1595" s="129"/>
      <c r="H1595" s="124"/>
      <c r="I1595" s="124"/>
      <c r="J1595" s="129"/>
      <c r="K1595" s="194"/>
      <c r="L1595" s="194"/>
      <c r="M1595" s="129"/>
      <c r="N1595" s="129" t="e">
        <f>Table1[[#This Row],[Estimated Effort (Hours)]]/NETWORKDAYS(Table1[[#This Row],[Planned Start Date]],Table1[[#This Row],[Planned End Date]])</f>
        <v>#DIV/0!</v>
      </c>
      <c r="O1595" s="178">
        <f>NETWORKDAYS(Table1[[#This Row],[Planned Start Date]],Table1[[#This Row],[Planned End Date]])</f>
        <v>0</v>
      </c>
      <c r="P1595" s="178">
        <f>NETWORKDAYS(Table1[[#This Row],[Planned Start Date]],$P$7)</f>
        <v>30643</v>
      </c>
      <c r="Q1595" s="129"/>
      <c r="R1595" s="183" t="str">
        <f>IF(Table1[[#This Row],[Actual Effort (Hours)]]="","",IF(Table1[[#This Row],[Estimated Effort (Hours)]]&lt;20,"L1",IF(Table1[[#This Row],[Estimated Effort (Hours)]]&lt;50,"L2",IF(Table1[[#This Row],[Estimated Effort (Hours)]]&lt;150,"L3",IF(Table1[[#This Row],[Estimated Effort (Hours)]]&lt;300,"L4","L5")))))</f>
        <v/>
      </c>
      <c r="S1595" s="184" t="str">
        <f>IF(Table1[[#This Row],[Actual End Date]]="","",TEXT(Table1[[#This Row],[Actual End Date]],"mmm-yy"))</f>
        <v/>
      </c>
      <c r="T15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5" s="185" t="str">
        <f>IFERROR((Table1[[#This Row],[Actual Effort (Hours)]]-Table1[[#This Row],[Estimated Effort (Hours)]])/Table1[[#This Row],[Estimated Effort (Hours)]],"")</f>
        <v/>
      </c>
    </row>
    <row r="1596" spans="2:21">
      <c r="B1596" s="125"/>
      <c r="C1596" s="123"/>
      <c r="D1596" s="143"/>
      <c r="E1596" s="123"/>
      <c r="F1596" s="143"/>
      <c r="G1596" s="129"/>
      <c r="H1596" s="124"/>
      <c r="I1596" s="124"/>
      <c r="J1596" s="129"/>
      <c r="K1596" s="194"/>
      <c r="L1596" s="194"/>
      <c r="M1596" s="129"/>
      <c r="N1596" s="129" t="e">
        <f>Table1[[#This Row],[Estimated Effort (Hours)]]/NETWORKDAYS(Table1[[#This Row],[Planned Start Date]],Table1[[#This Row],[Planned End Date]])</f>
        <v>#DIV/0!</v>
      </c>
      <c r="O1596" s="178">
        <f>NETWORKDAYS(Table1[[#This Row],[Planned Start Date]],Table1[[#This Row],[Planned End Date]])</f>
        <v>0</v>
      </c>
      <c r="P1596" s="178">
        <f>NETWORKDAYS(Table1[[#This Row],[Planned Start Date]],$P$7)</f>
        <v>30643</v>
      </c>
      <c r="Q1596" s="129"/>
      <c r="R1596" s="183" t="str">
        <f>IF(Table1[[#This Row],[Actual Effort (Hours)]]="","",IF(Table1[[#This Row],[Estimated Effort (Hours)]]&lt;20,"L1",IF(Table1[[#This Row],[Estimated Effort (Hours)]]&lt;50,"L2",IF(Table1[[#This Row],[Estimated Effort (Hours)]]&lt;150,"L3",IF(Table1[[#This Row],[Estimated Effort (Hours)]]&lt;300,"L4","L5")))))</f>
        <v/>
      </c>
      <c r="S1596" s="184" t="str">
        <f>IF(Table1[[#This Row],[Actual End Date]]="","",TEXT(Table1[[#This Row],[Actual End Date]],"mmm-yy"))</f>
        <v/>
      </c>
      <c r="T15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6" s="185" t="str">
        <f>IFERROR((Table1[[#This Row],[Actual Effort (Hours)]]-Table1[[#This Row],[Estimated Effort (Hours)]])/Table1[[#This Row],[Estimated Effort (Hours)]],"")</f>
        <v/>
      </c>
    </row>
    <row r="1597" spans="2:21">
      <c r="B1597" s="125"/>
      <c r="C1597" s="123"/>
      <c r="D1597" s="143"/>
      <c r="E1597" s="123"/>
      <c r="F1597" s="143"/>
      <c r="G1597" s="129"/>
      <c r="H1597" s="124"/>
      <c r="I1597" s="124"/>
      <c r="J1597" s="129"/>
      <c r="K1597" s="194"/>
      <c r="L1597" s="194"/>
      <c r="M1597" s="129"/>
      <c r="N1597" s="129" t="e">
        <f>Table1[[#This Row],[Estimated Effort (Hours)]]/NETWORKDAYS(Table1[[#This Row],[Planned Start Date]],Table1[[#This Row],[Planned End Date]])</f>
        <v>#DIV/0!</v>
      </c>
      <c r="O1597" s="178">
        <f>NETWORKDAYS(Table1[[#This Row],[Planned Start Date]],Table1[[#This Row],[Planned End Date]])</f>
        <v>0</v>
      </c>
      <c r="P1597" s="178">
        <f>NETWORKDAYS(Table1[[#This Row],[Planned Start Date]],$P$7)</f>
        <v>30643</v>
      </c>
      <c r="Q1597" s="129"/>
      <c r="R1597" s="183" t="str">
        <f>IF(Table1[[#This Row],[Actual Effort (Hours)]]="","",IF(Table1[[#This Row],[Estimated Effort (Hours)]]&lt;20,"L1",IF(Table1[[#This Row],[Estimated Effort (Hours)]]&lt;50,"L2",IF(Table1[[#This Row],[Estimated Effort (Hours)]]&lt;150,"L3",IF(Table1[[#This Row],[Estimated Effort (Hours)]]&lt;300,"L4","L5")))))</f>
        <v/>
      </c>
      <c r="S1597" s="184" t="str">
        <f>IF(Table1[[#This Row],[Actual End Date]]="","",TEXT(Table1[[#This Row],[Actual End Date]],"mmm-yy"))</f>
        <v/>
      </c>
      <c r="T15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7" s="185" t="str">
        <f>IFERROR((Table1[[#This Row],[Actual Effort (Hours)]]-Table1[[#This Row],[Estimated Effort (Hours)]])/Table1[[#This Row],[Estimated Effort (Hours)]],"")</f>
        <v/>
      </c>
    </row>
    <row r="1598" spans="2:21">
      <c r="B1598" s="125"/>
      <c r="C1598" s="123"/>
      <c r="D1598" s="143"/>
      <c r="E1598" s="123"/>
      <c r="F1598" s="143"/>
      <c r="G1598" s="129"/>
      <c r="H1598" s="124"/>
      <c r="I1598" s="124"/>
      <c r="J1598" s="129"/>
      <c r="K1598" s="194"/>
      <c r="L1598" s="194"/>
      <c r="M1598" s="129"/>
      <c r="N1598" s="129" t="e">
        <f>Table1[[#This Row],[Estimated Effort (Hours)]]/NETWORKDAYS(Table1[[#This Row],[Planned Start Date]],Table1[[#This Row],[Planned End Date]])</f>
        <v>#DIV/0!</v>
      </c>
      <c r="O1598" s="178">
        <f>NETWORKDAYS(Table1[[#This Row],[Planned Start Date]],Table1[[#This Row],[Planned End Date]])</f>
        <v>0</v>
      </c>
      <c r="P1598" s="178">
        <f>NETWORKDAYS(Table1[[#This Row],[Planned Start Date]],$P$7)</f>
        <v>30643</v>
      </c>
      <c r="Q1598" s="129"/>
      <c r="R1598" s="183" t="str">
        <f>IF(Table1[[#This Row],[Actual Effort (Hours)]]="","",IF(Table1[[#This Row],[Estimated Effort (Hours)]]&lt;20,"L1",IF(Table1[[#This Row],[Estimated Effort (Hours)]]&lt;50,"L2",IF(Table1[[#This Row],[Estimated Effort (Hours)]]&lt;150,"L3",IF(Table1[[#This Row],[Estimated Effort (Hours)]]&lt;300,"L4","L5")))))</f>
        <v/>
      </c>
      <c r="S1598" s="184" t="str">
        <f>IF(Table1[[#This Row],[Actual End Date]]="","",TEXT(Table1[[#This Row],[Actual End Date]],"mmm-yy"))</f>
        <v/>
      </c>
      <c r="T15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8" s="185" t="str">
        <f>IFERROR((Table1[[#This Row],[Actual Effort (Hours)]]-Table1[[#This Row],[Estimated Effort (Hours)]])/Table1[[#This Row],[Estimated Effort (Hours)]],"")</f>
        <v/>
      </c>
    </row>
    <row r="1599" spans="2:21">
      <c r="B1599" s="125"/>
      <c r="C1599" s="123"/>
      <c r="D1599" s="143"/>
      <c r="E1599" s="123"/>
      <c r="F1599" s="143"/>
      <c r="G1599" s="129"/>
      <c r="H1599" s="124"/>
      <c r="I1599" s="124"/>
      <c r="J1599" s="129"/>
      <c r="K1599" s="194"/>
      <c r="L1599" s="194"/>
      <c r="M1599" s="129"/>
      <c r="N1599" s="129" t="e">
        <f>Table1[[#This Row],[Estimated Effort (Hours)]]/NETWORKDAYS(Table1[[#This Row],[Planned Start Date]],Table1[[#This Row],[Planned End Date]])</f>
        <v>#DIV/0!</v>
      </c>
      <c r="O1599" s="178">
        <f>NETWORKDAYS(Table1[[#This Row],[Planned Start Date]],Table1[[#This Row],[Planned End Date]])</f>
        <v>0</v>
      </c>
      <c r="P1599" s="178">
        <f>NETWORKDAYS(Table1[[#This Row],[Planned Start Date]],$P$7)</f>
        <v>30643</v>
      </c>
      <c r="Q1599" s="129"/>
      <c r="R1599" s="183" t="str">
        <f>IF(Table1[[#This Row],[Actual Effort (Hours)]]="","",IF(Table1[[#This Row],[Estimated Effort (Hours)]]&lt;20,"L1",IF(Table1[[#This Row],[Estimated Effort (Hours)]]&lt;50,"L2",IF(Table1[[#This Row],[Estimated Effort (Hours)]]&lt;150,"L3",IF(Table1[[#This Row],[Estimated Effort (Hours)]]&lt;300,"L4","L5")))))</f>
        <v/>
      </c>
      <c r="S1599" s="184" t="str">
        <f>IF(Table1[[#This Row],[Actual End Date]]="","",TEXT(Table1[[#This Row],[Actual End Date]],"mmm-yy"))</f>
        <v/>
      </c>
      <c r="T15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599" s="185" t="str">
        <f>IFERROR((Table1[[#This Row],[Actual Effort (Hours)]]-Table1[[#This Row],[Estimated Effort (Hours)]])/Table1[[#This Row],[Estimated Effort (Hours)]],"")</f>
        <v/>
      </c>
    </row>
    <row r="1600" spans="2:21">
      <c r="B1600" s="125"/>
      <c r="C1600" s="123"/>
      <c r="D1600" s="143"/>
      <c r="E1600" s="123"/>
      <c r="F1600" s="143"/>
      <c r="G1600" s="129"/>
      <c r="H1600" s="124"/>
      <c r="I1600" s="124"/>
      <c r="J1600" s="129"/>
      <c r="K1600" s="194"/>
      <c r="L1600" s="194"/>
      <c r="M1600" s="129"/>
      <c r="N1600" s="129" t="e">
        <f>Table1[[#This Row],[Estimated Effort (Hours)]]/NETWORKDAYS(Table1[[#This Row],[Planned Start Date]],Table1[[#This Row],[Planned End Date]])</f>
        <v>#DIV/0!</v>
      </c>
      <c r="O1600" s="178">
        <f>NETWORKDAYS(Table1[[#This Row],[Planned Start Date]],Table1[[#This Row],[Planned End Date]])</f>
        <v>0</v>
      </c>
      <c r="P1600" s="178">
        <f>NETWORKDAYS(Table1[[#This Row],[Planned Start Date]],$P$7)</f>
        <v>30643</v>
      </c>
      <c r="Q1600" s="129"/>
      <c r="R1600" s="183" t="str">
        <f>IF(Table1[[#This Row],[Actual Effort (Hours)]]="","",IF(Table1[[#This Row],[Estimated Effort (Hours)]]&lt;20,"L1",IF(Table1[[#This Row],[Estimated Effort (Hours)]]&lt;50,"L2",IF(Table1[[#This Row],[Estimated Effort (Hours)]]&lt;150,"L3",IF(Table1[[#This Row],[Estimated Effort (Hours)]]&lt;300,"L4","L5")))))</f>
        <v/>
      </c>
      <c r="S1600" s="184" t="str">
        <f>IF(Table1[[#This Row],[Actual End Date]]="","",TEXT(Table1[[#This Row],[Actual End Date]],"mmm-yy"))</f>
        <v/>
      </c>
      <c r="T16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0" s="185" t="str">
        <f>IFERROR((Table1[[#This Row],[Actual Effort (Hours)]]-Table1[[#This Row],[Estimated Effort (Hours)]])/Table1[[#This Row],[Estimated Effort (Hours)]],"")</f>
        <v/>
      </c>
    </row>
    <row r="1601" spans="2:21">
      <c r="B1601" s="125"/>
      <c r="C1601" s="123"/>
      <c r="D1601" s="143"/>
      <c r="E1601" s="123"/>
      <c r="F1601" s="143"/>
      <c r="G1601" s="129"/>
      <c r="H1601" s="124"/>
      <c r="I1601" s="124"/>
      <c r="J1601" s="129"/>
      <c r="K1601" s="194"/>
      <c r="L1601" s="194"/>
      <c r="M1601" s="129"/>
      <c r="N1601" s="129" t="e">
        <f>Table1[[#This Row],[Estimated Effort (Hours)]]/NETWORKDAYS(Table1[[#This Row],[Planned Start Date]],Table1[[#This Row],[Planned End Date]])</f>
        <v>#DIV/0!</v>
      </c>
      <c r="O1601" s="178">
        <f>NETWORKDAYS(Table1[[#This Row],[Planned Start Date]],Table1[[#This Row],[Planned End Date]])</f>
        <v>0</v>
      </c>
      <c r="P1601" s="178">
        <f>NETWORKDAYS(Table1[[#This Row],[Planned Start Date]],$P$7)</f>
        <v>30643</v>
      </c>
      <c r="Q1601" s="129"/>
      <c r="R1601" s="183" t="str">
        <f>IF(Table1[[#This Row],[Actual Effort (Hours)]]="","",IF(Table1[[#This Row],[Estimated Effort (Hours)]]&lt;20,"L1",IF(Table1[[#This Row],[Estimated Effort (Hours)]]&lt;50,"L2",IF(Table1[[#This Row],[Estimated Effort (Hours)]]&lt;150,"L3",IF(Table1[[#This Row],[Estimated Effort (Hours)]]&lt;300,"L4","L5")))))</f>
        <v/>
      </c>
      <c r="S1601" s="184" t="str">
        <f>IF(Table1[[#This Row],[Actual End Date]]="","",TEXT(Table1[[#This Row],[Actual End Date]],"mmm-yy"))</f>
        <v/>
      </c>
      <c r="T16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1" s="185" t="str">
        <f>IFERROR((Table1[[#This Row],[Actual Effort (Hours)]]-Table1[[#This Row],[Estimated Effort (Hours)]])/Table1[[#This Row],[Estimated Effort (Hours)]],"")</f>
        <v/>
      </c>
    </row>
    <row r="1602" spans="2:21">
      <c r="B1602" s="125"/>
      <c r="C1602" s="123"/>
      <c r="D1602" s="143"/>
      <c r="E1602" s="123"/>
      <c r="F1602" s="143"/>
      <c r="G1602" s="129"/>
      <c r="H1602" s="124"/>
      <c r="I1602" s="124"/>
      <c r="J1602" s="129"/>
      <c r="K1602" s="194"/>
      <c r="L1602" s="194"/>
      <c r="M1602" s="129"/>
      <c r="N1602" s="129" t="e">
        <f>Table1[[#This Row],[Estimated Effort (Hours)]]/NETWORKDAYS(Table1[[#This Row],[Planned Start Date]],Table1[[#This Row],[Planned End Date]])</f>
        <v>#DIV/0!</v>
      </c>
      <c r="O1602" s="178">
        <f>NETWORKDAYS(Table1[[#This Row],[Planned Start Date]],Table1[[#This Row],[Planned End Date]])</f>
        <v>0</v>
      </c>
      <c r="P1602" s="178">
        <f>NETWORKDAYS(Table1[[#This Row],[Planned Start Date]],$P$7)</f>
        <v>30643</v>
      </c>
      <c r="Q1602" s="129"/>
      <c r="R1602" s="183" t="str">
        <f>IF(Table1[[#This Row],[Actual Effort (Hours)]]="","",IF(Table1[[#This Row],[Estimated Effort (Hours)]]&lt;20,"L1",IF(Table1[[#This Row],[Estimated Effort (Hours)]]&lt;50,"L2",IF(Table1[[#This Row],[Estimated Effort (Hours)]]&lt;150,"L3",IF(Table1[[#This Row],[Estimated Effort (Hours)]]&lt;300,"L4","L5")))))</f>
        <v/>
      </c>
      <c r="S1602" s="184" t="str">
        <f>IF(Table1[[#This Row],[Actual End Date]]="","",TEXT(Table1[[#This Row],[Actual End Date]],"mmm-yy"))</f>
        <v/>
      </c>
      <c r="T16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2" s="185" t="str">
        <f>IFERROR((Table1[[#This Row],[Actual Effort (Hours)]]-Table1[[#This Row],[Estimated Effort (Hours)]])/Table1[[#This Row],[Estimated Effort (Hours)]],"")</f>
        <v/>
      </c>
    </row>
    <row r="1603" spans="2:21">
      <c r="B1603" s="125"/>
      <c r="C1603" s="123"/>
      <c r="D1603" s="143"/>
      <c r="E1603" s="123"/>
      <c r="F1603" s="143"/>
      <c r="G1603" s="129"/>
      <c r="H1603" s="124"/>
      <c r="I1603" s="124"/>
      <c r="J1603" s="129"/>
      <c r="K1603" s="194"/>
      <c r="L1603" s="194"/>
      <c r="M1603" s="129"/>
      <c r="N1603" s="129" t="e">
        <f>Table1[[#This Row],[Estimated Effort (Hours)]]/NETWORKDAYS(Table1[[#This Row],[Planned Start Date]],Table1[[#This Row],[Planned End Date]])</f>
        <v>#DIV/0!</v>
      </c>
      <c r="O1603" s="178">
        <f>NETWORKDAYS(Table1[[#This Row],[Planned Start Date]],Table1[[#This Row],[Planned End Date]])</f>
        <v>0</v>
      </c>
      <c r="P1603" s="178">
        <f>NETWORKDAYS(Table1[[#This Row],[Planned Start Date]],$P$7)</f>
        <v>30643</v>
      </c>
      <c r="Q1603" s="129"/>
      <c r="R1603" s="183" t="str">
        <f>IF(Table1[[#This Row],[Actual Effort (Hours)]]="","",IF(Table1[[#This Row],[Estimated Effort (Hours)]]&lt;20,"L1",IF(Table1[[#This Row],[Estimated Effort (Hours)]]&lt;50,"L2",IF(Table1[[#This Row],[Estimated Effort (Hours)]]&lt;150,"L3",IF(Table1[[#This Row],[Estimated Effort (Hours)]]&lt;300,"L4","L5")))))</f>
        <v/>
      </c>
      <c r="S1603" s="184" t="str">
        <f>IF(Table1[[#This Row],[Actual End Date]]="","",TEXT(Table1[[#This Row],[Actual End Date]],"mmm-yy"))</f>
        <v/>
      </c>
      <c r="T16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3" s="185" t="str">
        <f>IFERROR((Table1[[#This Row],[Actual Effort (Hours)]]-Table1[[#This Row],[Estimated Effort (Hours)]])/Table1[[#This Row],[Estimated Effort (Hours)]],"")</f>
        <v/>
      </c>
    </row>
    <row r="1604" spans="2:21">
      <c r="B1604" s="125"/>
      <c r="C1604" s="123"/>
      <c r="D1604" s="143"/>
      <c r="E1604" s="123"/>
      <c r="F1604" s="143"/>
      <c r="G1604" s="129"/>
      <c r="H1604" s="124"/>
      <c r="I1604" s="124"/>
      <c r="J1604" s="129"/>
      <c r="K1604" s="194"/>
      <c r="L1604" s="194"/>
      <c r="M1604" s="129"/>
      <c r="N1604" s="129" t="e">
        <f>Table1[[#This Row],[Estimated Effort (Hours)]]/NETWORKDAYS(Table1[[#This Row],[Planned Start Date]],Table1[[#This Row],[Planned End Date]])</f>
        <v>#DIV/0!</v>
      </c>
      <c r="O1604" s="178">
        <f>NETWORKDAYS(Table1[[#This Row],[Planned Start Date]],Table1[[#This Row],[Planned End Date]])</f>
        <v>0</v>
      </c>
      <c r="P1604" s="178">
        <f>NETWORKDAYS(Table1[[#This Row],[Planned Start Date]],$P$7)</f>
        <v>30643</v>
      </c>
      <c r="Q1604" s="129"/>
      <c r="R1604" s="183" t="str">
        <f>IF(Table1[[#This Row],[Actual Effort (Hours)]]="","",IF(Table1[[#This Row],[Estimated Effort (Hours)]]&lt;20,"L1",IF(Table1[[#This Row],[Estimated Effort (Hours)]]&lt;50,"L2",IF(Table1[[#This Row],[Estimated Effort (Hours)]]&lt;150,"L3",IF(Table1[[#This Row],[Estimated Effort (Hours)]]&lt;300,"L4","L5")))))</f>
        <v/>
      </c>
      <c r="S1604" s="184" t="str">
        <f>IF(Table1[[#This Row],[Actual End Date]]="","",TEXT(Table1[[#This Row],[Actual End Date]],"mmm-yy"))</f>
        <v/>
      </c>
      <c r="T16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4" s="185" t="str">
        <f>IFERROR((Table1[[#This Row],[Actual Effort (Hours)]]-Table1[[#This Row],[Estimated Effort (Hours)]])/Table1[[#This Row],[Estimated Effort (Hours)]],"")</f>
        <v/>
      </c>
    </row>
    <row r="1605" spans="2:21">
      <c r="B1605" s="125"/>
      <c r="C1605" s="123"/>
      <c r="D1605" s="143"/>
      <c r="E1605" s="123"/>
      <c r="F1605" s="143"/>
      <c r="G1605" s="129"/>
      <c r="H1605" s="124"/>
      <c r="I1605" s="124"/>
      <c r="J1605" s="129"/>
      <c r="K1605" s="194"/>
      <c r="L1605" s="194"/>
      <c r="M1605" s="129"/>
      <c r="N1605" s="129" t="e">
        <f>Table1[[#This Row],[Estimated Effort (Hours)]]/NETWORKDAYS(Table1[[#This Row],[Planned Start Date]],Table1[[#This Row],[Planned End Date]])</f>
        <v>#DIV/0!</v>
      </c>
      <c r="O1605" s="178">
        <f>NETWORKDAYS(Table1[[#This Row],[Planned Start Date]],Table1[[#This Row],[Planned End Date]])</f>
        <v>0</v>
      </c>
      <c r="P1605" s="178">
        <f>NETWORKDAYS(Table1[[#This Row],[Planned Start Date]],$P$7)</f>
        <v>30643</v>
      </c>
      <c r="Q1605" s="129"/>
      <c r="R1605" s="183" t="str">
        <f>IF(Table1[[#This Row],[Actual Effort (Hours)]]="","",IF(Table1[[#This Row],[Estimated Effort (Hours)]]&lt;20,"L1",IF(Table1[[#This Row],[Estimated Effort (Hours)]]&lt;50,"L2",IF(Table1[[#This Row],[Estimated Effort (Hours)]]&lt;150,"L3",IF(Table1[[#This Row],[Estimated Effort (Hours)]]&lt;300,"L4","L5")))))</f>
        <v/>
      </c>
      <c r="S1605" s="184" t="str">
        <f>IF(Table1[[#This Row],[Actual End Date]]="","",TEXT(Table1[[#This Row],[Actual End Date]],"mmm-yy"))</f>
        <v/>
      </c>
      <c r="T16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5" s="185" t="str">
        <f>IFERROR((Table1[[#This Row],[Actual Effort (Hours)]]-Table1[[#This Row],[Estimated Effort (Hours)]])/Table1[[#This Row],[Estimated Effort (Hours)]],"")</f>
        <v/>
      </c>
    </row>
    <row r="1606" spans="2:21">
      <c r="B1606" s="125"/>
      <c r="C1606" s="123"/>
      <c r="D1606" s="143"/>
      <c r="E1606" s="123"/>
      <c r="F1606" s="143"/>
      <c r="G1606" s="129"/>
      <c r="H1606" s="124"/>
      <c r="I1606" s="124"/>
      <c r="J1606" s="129"/>
      <c r="K1606" s="194"/>
      <c r="L1606" s="194"/>
      <c r="M1606" s="129"/>
      <c r="N1606" s="129" t="e">
        <f>Table1[[#This Row],[Estimated Effort (Hours)]]/NETWORKDAYS(Table1[[#This Row],[Planned Start Date]],Table1[[#This Row],[Planned End Date]])</f>
        <v>#DIV/0!</v>
      </c>
      <c r="O1606" s="178">
        <f>NETWORKDAYS(Table1[[#This Row],[Planned Start Date]],Table1[[#This Row],[Planned End Date]])</f>
        <v>0</v>
      </c>
      <c r="P1606" s="178">
        <f>NETWORKDAYS(Table1[[#This Row],[Planned Start Date]],$P$7)</f>
        <v>30643</v>
      </c>
      <c r="Q1606" s="129"/>
      <c r="R1606" s="183" t="str">
        <f>IF(Table1[[#This Row],[Actual Effort (Hours)]]="","",IF(Table1[[#This Row],[Estimated Effort (Hours)]]&lt;20,"L1",IF(Table1[[#This Row],[Estimated Effort (Hours)]]&lt;50,"L2",IF(Table1[[#This Row],[Estimated Effort (Hours)]]&lt;150,"L3",IF(Table1[[#This Row],[Estimated Effort (Hours)]]&lt;300,"L4","L5")))))</f>
        <v/>
      </c>
      <c r="S1606" s="184" t="str">
        <f>IF(Table1[[#This Row],[Actual End Date]]="","",TEXT(Table1[[#This Row],[Actual End Date]],"mmm-yy"))</f>
        <v/>
      </c>
      <c r="T16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6" s="185" t="str">
        <f>IFERROR((Table1[[#This Row],[Actual Effort (Hours)]]-Table1[[#This Row],[Estimated Effort (Hours)]])/Table1[[#This Row],[Estimated Effort (Hours)]],"")</f>
        <v/>
      </c>
    </row>
    <row r="1607" spans="2:21">
      <c r="B1607" s="125"/>
      <c r="C1607" s="123"/>
      <c r="D1607" s="143"/>
      <c r="E1607" s="123"/>
      <c r="F1607" s="143"/>
      <c r="G1607" s="129"/>
      <c r="H1607" s="124"/>
      <c r="I1607" s="124"/>
      <c r="J1607" s="129"/>
      <c r="K1607" s="194"/>
      <c r="L1607" s="194"/>
      <c r="M1607" s="129"/>
      <c r="N1607" s="129" t="e">
        <f>Table1[[#This Row],[Estimated Effort (Hours)]]/NETWORKDAYS(Table1[[#This Row],[Planned Start Date]],Table1[[#This Row],[Planned End Date]])</f>
        <v>#DIV/0!</v>
      </c>
      <c r="O1607" s="178">
        <f>NETWORKDAYS(Table1[[#This Row],[Planned Start Date]],Table1[[#This Row],[Planned End Date]])</f>
        <v>0</v>
      </c>
      <c r="P1607" s="178">
        <f>NETWORKDAYS(Table1[[#This Row],[Planned Start Date]],$P$7)</f>
        <v>30643</v>
      </c>
      <c r="Q1607" s="129"/>
      <c r="R1607" s="183" t="str">
        <f>IF(Table1[[#This Row],[Actual Effort (Hours)]]="","",IF(Table1[[#This Row],[Estimated Effort (Hours)]]&lt;20,"L1",IF(Table1[[#This Row],[Estimated Effort (Hours)]]&lt;50,"L2",IF(Table1[[#This Row],[Estimated Effort (Hours)]]&lt;150,"L3",IF(Table1[[#This Row],[Estimated Effort (Hours)]]&lt;300,"L4","L5")))))</f>
        <v/>
      </c>
      <c r="S1607" s="184" t="str">
        <f>IF(Table1[[#This Row],[Actual End Date]]="","",TEXT(Table1[[#This Row],[Actual End Date]],"mmm-yy"))</f>
        <v/>
      </c>
      <c r="T16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7" s="185" t="str">
        <f>IFERROR((Table1[[#This Row],[Actual Effort (Hours)]]-Table1[[#This Row],[Estimated Effort (Hours)]])/Table1[[#This Row],[Estimated Effort (Hours)]],"")</f>
        <v/>
      </c>
    </row>
    <row r="1608" spans="2:21">
      <c r="B1608" s="125"/>
      <c r="C1608" s="123"/>
      <c r="D1608" s="143"/>
      <c r="E1608" s="123"/>
      <c r="F1608" s="143"/>
      <c r="G1608" s="129"/>
      <c r="H1608" s="124"/>
      <c r="I1608" s="124"/>
      <c r="J1608" s="129"/>
      <c r="K1608" s="194"/>
      <c r="L1608" s="194"/>
      <c r="M1608" s="129"/>
      <c r="N1608" s="129" t="e">
        <f>Table1[[#This Row],[Estimated Effort (Hours)]]/NETWORKDAYS(Table1[[#This Row],[Planned Start Date]],Table1[[#This Row],[Planned End Date]])</f>
        <v>#DIV/0!</v>
      </c>
      <c r="O1608" s="178">
        <f>NETWORKDAYS(Table1[[#This Row],[Planned Start Date]],Table1[[#This Row],[Planned End Date]])</f>
        <v>0</v>
      </c>
      <c r="P1608" s="178">
        <f>NETWORKDAYS(Table1[[#This Row],[Planned Start Date]],$P$7)</f>
        <v>30643</v>
      </c>
      <c r="Q1608" s="129"/>
      <c r="R1608" s="183" t="str">
        <f>IF(Table1[[#This Row],[Actual Effort (Hours)]]="","",IF(Table1[[#This Row],[Estimated Effort (Hours)]]&lt;20,"L1",IF(Table1[[#This Row],[Estimated Effort (Hours)]]&lt;50,"L2",IF(Table1[[#This Row],[Estimated Effort (Hours)]]&lt;150,"L3",IF(Table1[[#This Row],[Estimated Effort (Hours)]]&lt;300,"L4","L5")))))</f>
        <v/>
      </c>
      <c r="S1608" s="184" t="str">
        <f>IF(Table1[[#This Row],[Actual End Date]]="","",TEXT(Table1[[#This Row],[Actual End Date]],"mmm-yy"))</f>
        <v/>
      </c>
      <c r="T16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8" s="185" t="str">
        <f>IFERROR((Table1[[#This Row],[Actual Effort (Hours)]]-Table1[[#This Row],[Estimated Effort (Hours)]])/Table1[[#This Row],[Estimated Effort (Hours)]],"")</f>
        <v/>
      </c>
    </row>
    <row r="1609" spans="2:21">
      <c r="B1609" s="125"/>
      <c r="C1609" s="123"/>
      <c r="D1609" s="143"/>
      <c r="E1609" s="123"/>
      <c r="F1609" s="143"/>
      <c r="G1609" s="129"/>
      <c r="H1609" s="124"/>
      <c r="I1609" s="124"/>
      <c r="J1609" s="129"/>
      <c r="K1609" s="194"/>
      <c r="L1609" s="194"/>
      <c r="M1609" s="129"/>
      <c r="N1609" s="129" t="e">
        <f>Table1[[#This Row],[Estimated Effort (Hours)]]/NETWORKDAYS(Table1[[#This Row],[Planned Start Date]],Table1[[#This Row],[Planned End Date]])</f>
        <v>#DIV/0!</v>
      </c>
      <c r="O1609" s="178">
        <f>NETWORKDAYS(Table1[[#This Row],[Planned Start Date]],Table1[[#This Row],[Planned End Date]])</f>
        <v>0</v>
      </c>
      <c r="P1609" s="178">
        <f>NETWORKDAYS(Table1[[#This Row],[Planned Start Date]],$P$7)</f>
        <v>30643</v>
      </c>
      <c r="Q1609" s="129"/>
      <c r="R1609" s="183" t="str">
        <f>IF(Table1[[#This Row],[Actual Effort (Hours)]]="","",IF(Table1[[#This Row],[Estimated Effort (Hours)]]&lt;20,"L1",IF(Table1[[#This Row],[Estimated Effort (Hours)]]&lt;50,"L2",IF(Table1[[#This Row],[Estimated Effort (Hours)]]&lt;150,"L3",IF(Table1[[#This Row],[Estimated Effort (Hours)]]&lt;300,"L4","L5")))))</f>
        <v/>
      </c>
      <c r="S1609" s="184" t="str">
        <f>IF(Table1[[#This Row],[Actual End Date]]="","",TEXT(Table1[[#This Row],[Actual End Date]],"mmm-yy"))</f>
        <v/>
      </c>
      <c r="T16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09" s="185" t="str">
        <f>IFERROR((Table1[[#This Row],[Actual Effort (Hours)]]-Table1[[#This Row],[Estimated Effort (Hours)]])/Table1[[#This Row],[Estimated Effort (Hours)]],"")</f>
        <v/>
      </c>
    </row>
    <row r="1610" spans="2:21">
      <c r="B1610" s="125"/>
      <c r="C1610" s="123"/>
      <c r="D1610" s="143"/>
      <c r="E1610" s="123"/>
      <c r="F1610" s="143"/>
      <c r="G1610" s="129"/>
      <c r="H1610" s="124"/>
      <c r="I1610" s="124"/>
      <c r="J1610" s="129"/>
      <c r="K1610" s="194"/>
      <c r="L1610" s="194"/>
      <c r="M1610" s="129"/>
      <c r="N1610" s="129" t="e">
        <f>Table1[[#This Row],[Estimated Effort (Hours)]]/NETWORKDAYS(Table1[[#This Row],[Planned Start Date]],Table1[[#This Row],[Planned End Date]])</f>
        <v>#DIV/0!</v>
      </c>
      <c r="O1610" s="178">
        <f>NETWORKDAYS(Table1[[#This Row],[Planned Start Date]],Table1[[#This Row],[Planned End Date]])</f>
        <v>0</v>
      </c>
      <c r="P1610" s="178">
        <f>NETWORKDAYS(Table1[[#This Row],[Planned Start Date]],$P$7)</f>
        <v>30643</v>
      </c>
      <c r="Q1610" s="129"/>
      <c r="R1610" s="183" t="str">
        <f>IF(Table1[[#This Row],[Actual Effort (Hours)]]="","",IF(Table1[[#This Row],[Estimated Effort (Hours)]]&lt;20,"L1",IF(Table1[[#This Row],[Estimated Effort (Hours)]]&lt;50,"L2",IF(Table1[[#This Row],[Estimated Effort (Hours)]]&lt;150,"L3",IF(Table1[[#This Row],[Estimated Effort (Hours)]]&lt;300,"L4","L5")))))</f>
        <v/>
      </c>
      <c r="S1610" s="184" t="str">
        <f>IF(Table1[[#This Row],[Actual End Date]]="","",TEXT(Table1[[#This Row],[Actual End Date]],"mmm-yy"))</f>
        <v/>
      </c>
      <c r="T16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0" s="185" t="str">
        <f>IFERROR((Table1[[#This Row],[Actual Effort (Hours)]]-Table1[[#This Row],[Estimated Effort (Hours)]])/Table1[[#This Row],[Estimated Effort (Hours)]],"")</f>
        <v/>
      </c>
    </row>
    <row r="1611" spans="2:21">
      <c r="B1611" s="125"/>
      <c r="C1611" s="123"/>
      <c r="D1611" s="143"/>
      <c r="E1611" s="123"/>
      <c r="F1611" s="143"/>
      <c r="G1611" s="129"/>
      <c r="H1611" s="124"/>
      <c r="I1611" s="124"/>
      <c r="J1611" s="129"/>
      <c r="K1611" s="194"/>
      <c r="L1611" s="194"/>
      <c r="M1611" s="129"/>
      <c r="N1611" s="129" t="e">
        <f>Table1[[#This Row],[Estimated Effort (Hours)]]/NETWORKDAYS(Table1[[#This Row],[Planned Start Date]],Table1[[#This Row],[Planned End Date]])</f>
        <v>#DIV/0!</v>
      </c>
      <c r="O1611" s="178">
        <f>NETWORKDAYS(Table1[[#This Row],[Planned Start Date]],Table1[[#This Row],[Planned End Date]])</f>
        <v>0</v>
      </c>
      <c r="P1611" s="178">
        <f>NETWORKDAYS(Table1[[#This Row],[Planned Start Date]],$P$7)</f>
        <v>30643</v>
      </c>
      <c r="Q1611" s="129"/>
      <c r="R1611" s="183" t="str">
        <f>IF(Table1[[#This Row],[Actual Effort (Hours)]]="","",IF(Table1[[#This Row],[Estimated Effort (Hours)]]&lt;20,"L1",IF(Table1[[#This Row],[Estimated Effort (Hours)]]&lt;50,"L2",IF(Table1[[#This Row],[Estimated Effort (Hours)]]&lt;150,"L3",IF(Table1[[#This Row],[Estimated Effort (Hours)]]&lt;300,"L4","L5")))))</f>
        <v/>
      </c>
      <c r="S1611" s="184" t="str">
        <f>IF(Table1[[#This Row],[Actual End Date]]="","",TEXT(Table1[[#This Row],[Actual End Date]],"mmm-yy"))</f>
        <v/>
      </c>
      <c r="T16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1" s="185" t="str">
        <f>IFERROR((Table1[[#This Row],[Actual Effort (Hours)]]-Table1[[#This Row],[Estimated Effort (Hours)]])/Table1[[#This Row],[Estimated Effort (Hours)]],"")</f>
        <v/>
      </c>
    </row>
    <row r="1612" spans="2:21">
      <c r="B1612" s="125"/>
      <c r="C1612" s="123"/>
      <c r="D1612" s="143"/>
      <c r="E1612" s="123"/>
      <c r="F1612" s="143"/>
      <c r="G1612" s="129"/>
      <c r="H1612" s="124"/>
      <c r="I1612" s="124"/>
      <c r="J1612" s="129"/>
      <c r="K1612" s="194"/>
      <c r="L1612" s="194"/>
      <c r="M1612" s="129"/>
      <c r="N1612" s="129" t="e">
        <f>Table1[[#This Row],[Estimated Effort (Hours)]]/NETWORKDAYS(Table1[[#This Row],[Planned Start Date]],Table1[[#This Row],[Planned End Date]])</f>
        <v>#DIV/0!</v>
      </c>
      <c r="O1612" s="178">
        <f>NETWORKDAYS(Table1[[#This Row],[Planned Start Date]],Table1[[#This Row],[Planned End Date]])</f>
        <v>0</v>
      </c>
      <c r="P1612" s="178">
        <f>NETWORKDAYS(Table1[[#This Row],[Planned Start Date]],$P$7)</f>
        <v>30643</v>
      </c>
      <c r="Q1612" s="129"/>
      <c r="R1612" s="183" t="str">
        <f>IF(Table1[[#This Row],[Actual Effort (Hours)]]="","",IF(Table1[[#This Row],[Estimated Effort (Hours)]]&lt;20,"L1",IF(Table1[[#This Row],[Estimated Effort (Hours)]]&lt;50,"L2",IF(Table1[[#This Row],[Estimated Effort (Hours)]]&lt;150,"L3",IF(Table1[[#This Row],[Estimated Effort (Hours)]]&lt;300,"L4","L5")))))</f>
        <v/>
      </c>
      <c r="S1612" s="184" t="str">
        <f>IF(Table1[[#This Row],[Actual End Date]]="","",TEXT(Table1[[#This Row],[Actual End Date]],"mmm-yy"))</f>
        <v/>
      </c>
      <c r="T16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2" s="185" t="str">
        <f>IFERROR((Table1[[#This Row],[Actual Effort (Hours)]]-Table1[[#This Row],[Estimated Effort (Hours)]])/Table1[[#This Row],[Estimated Effort (Hours)]],"")</f>
        <v/>
      </c>
    </row>
    <row r="1613" spans="2:21">
      <c r="B1613" s="125"/>
      <c r="C1613" s="123"/>
      <c r="D1613" s="143"/>
      <c r="E1613" s="123"/>
      <c r="F1613" s="143"/>
      <c r="G1613" s="129"/>
      <c r="H1613" s="124"/>
      <c r="I1613" s="124"/>
      <c r="J1613" s="129"/>
      <c r="K1613" s="194"/>
      <c r="L1613" s="194"/>
      <c r="M1613" s="129"/>
      <c r="N1613" s="129" t="e">
        <f>Table1[[#This Row],[Estimated Effort (Hours)]]/NETWORKDAYS(Table1[[#This Row],[Planned Start Date]],Table1[[#This Row],[Planned End Date]])</f>
        <v>#DIV/0!</v>
      </c>
      <c r="O1613" s="178">
        <f>NETWORKDAYS(Table1[[#This Row],[Planned Start Date]],Table1[[#This Row],[Planned End Date]])</f>
        <v>0</v>
      </c>
      <c r="P1613" s="178">
        <f>NETWORKDAYS(Table1[[#This Row],[Planned Start Date]],$P$7)</f>
        <v>30643</v>
      </c>
      <c r="Q1613" s="129"/>
      <c r="R1613" s="183" t="str">
        <f>IF(Table1[[#This Row],[Actual Effort (Hours)]]="","",IF(Table1[[#This Row],[Estimated Effort (Hours)]]&lt;20,"L1",IF(Table1[[#This Row],[Estimated Effort (Hours)]]&lt;50,"L2",IF(Table1[[#This Row],[Estimated Effort (Hours)]]&lt;150,"L3",IF(Table1[[#This Row],[Estimated Effort (Hours)]]&lt;300,"L4","L5")))))</f>
        <v/>
      </c>
      <c r="S1613" s="184" t="str">
        <f>IF(Table1[[#This Row],[Actual End Date]]="","",TEXT(Table1[[#This Row],[Actual End Date]],"mmm-yy"))</f>
        <v/>
      </c>
      <c r="T16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3" s="185" t="str">
        <f>IFERROR((Table1[[#This Row],[Actual Effort (Hours)]]-Table1[[#This Row],[Estimated Effort (Hours)]])/Table1[[#This Row],[Estimated Effort (Hours)]],"")</f>
        <v/>
      </c>
    </row>
    <row r="1614" spans="2:21">
      <c r="B1614" s="125"/>
      <c r="C1614" s="123"/>
      <c r="D1614" s="143"/>
      <c r="E1614" s="123"/>
      <c r="F1614" s="143"/>
      <c r="G1614" s="129"/>
      <c r="H1614" s="124"/>
      <c r="I1614" s="124"/>
      <c r="J1614" s="129"/>
      <c r="K1614" s="194"/>
      <c r="L1614" s="194"/>
      <c r="M1614" s="129"/>
      <c r="N1614" s="129" t="e">
        <f>Table1[[#This Row],[Estimated Effort (Hours)]]/NETWORKDAYS(Table1[[#This Row],[Planned Start Date]],Table1[[#This Row],[Planned End Date]])</f>
        <v>#DIV/0!</v>
      </c>
      <c r="O1614" s="178">
        <f>NETWORKDAYS(Table1[[#This Row],[Planned Start Date]],Table1[[#This Row],[Planned End Date]])</f>
        <v>0</v>
      </c>
      <c r="P1614" s="178">
        <f>NETWORKDAYS(Table1[[#This Row],[Planned Start Date]],$P$7)</f>
        <v>30643</v>
      </c>
      <c r="Q1614" s="129"/>
      <c r="R1614" s="183" t="str">
        <f>IF(Table1[[#This Row],[Actual Effort (Hours)]]="","",IF(Table1[[#This Row],[Estimated Effort (Hours)]]&lt;20,"L1",IF(Table1[[#This Row],[Estimated Effort (Hours)]]&lt;50,"L2",IF(Table1[[#This Row],[Estimated Effort (Hours)]]&lt;150,"L3",IF(Table1[[#This Row],[Estimated Effort (Hours)]]&lt;300,"L4","L5")))))</f>
        <v/>
      </c>
      <c r="S1614" s="184" t="str">
        <f>IF(Table1[[#This Row],[Actual End Date]]="","",TEXT(Table1[[#This Row],[Actual End Date]],"mmm-yy"))</f>
        <v/>
      </c>
      <c r="T16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4" s="185" t="str">
        <f>IFERROR((Table1[[#This Row],[Actual Effort (Hours)]]-Table1[[#This Row],[Estimated Effort (Hours)]])/Table1[[#This Row],[Estimated Effort (Hours)]],"")</f>
        <v/>
      </c>
    </row>
    <row r="1615" spans="2:21">
      <c r="B1615" s="125"/>
      <c r="C1615" s="123"/>
      <c r="D1615" s="143"/>
      <c r="E1615" s="123"/>
      <c r="F1615" s="143"/>
      <c r="G1615" s="129"/>
      <c r="H1615" s="124"/>
      <c r="I1615" s="124"/>
      <c r="J1615" s="129"/>
      <c r="K1615" s="194"/>
      <c r="L1615" s="194"/>
      <c r="M1615" s="129"/>
      <c r="N1615" s="129" t="e">
        <f>Table1[[#This Row],[Estimated Effort (Hours)]]/NETWORKDAYS(Table1[[#This Row],[Planned Start Date]],Table1[[#This Row],[Planned End Date]])</f>
        <v>#DIV/0!</v>
      </c>
      <c r="O1615" s="178">
        <f>NETWORKDAYS(Table1[[#This Row],[Planned Start Date]],Table1[[#This Row],[Planned End Date]])</f>
        <v>0</v>
      </c>
      <c r="P1615" s="178">
        <f>NETWORKDAYS(Table1[[#This Row],[Planned Start Date]],$P$7)</f>
        <v>30643</v>
      </c>
      <c r="Q1615" s="129"/>
      <c r="R1615" s="183" t="str">
        <f>IF(Table1[[#This Row],[Actual Effort (Hours)]]="","",IF(Table1[[#This Row],[Estimated Effort (Hours)]]&lt;20,"L1",IF(Table1[[#This Row],[Estimated Effort (Hours)]]&lt;50,"L2",IF(Table1[[#This Row],[Estimated Effort (Hours)]]&lt;150,"L3",IF(Table1[[#This Row],[Estimated Effort (Hours)]]&lt;300,"L4","L5")))))</f>
        <v/>
      </c>
      <c r="S1615" s="184" t="str">
        <f>IF(Table1[[#This Row],[Actual End Date]]="","",TEXT(Table1[[#This Row],[Actual End Date]],"mmm-yy"))</f>
        <v/>
      </c>
      <c r="T16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5" s="185" t="str">
        <f>IFERROR((Table1[[#This Row],[Actual Effort (Hours)]]-Table1[[#This Row],[Estimated Effort (Hours)]])/Table1[[#This Row],[Estimated Effort (Hours)]],"")</f>
        <v/>
      </c>
    </row>
    <row r="1616" spans="2:21">
      <c r="B1616" s="125"/>
      <c r="C1616" s="123"/>
      <c r="D1616" s="143"/>
      <c r="E1616" s="123"/>
      <c r="F1616" s="143"/>
      <c r="G1616" s="129"/>
      <c r="H1616" s="124"/>
      <c r="I1616" s="124"/>
      <c r="J1616" s="129"/>
      <c r="K1616" s="194"/>
      <c r="L1616" s="194"/>
      <c r="M1616" s="129"/>
      <c r="N1616" s="129" t="e">
        <f>Table1[[#This Row],[Estimated Effort (Hours)]]/NETWORKDAYS(Table1[[#This Row],[Planned Start Date]],Table1[[#This Row],[Planned End Date]])</f>
        <v>#DIV/0!</v>
      </c>
      <c r="O1616" s="178">
        <f>NETWORKDAYS(Table1[[#This Row],[Planned Start Date]],Table1[[#This Row],[Planned End Date]])</f>
        <v>0</v>
      </c>
      <c r="P1616" s="178">
        <f>NETWORKDAYS(Table1[[#This Row],[Planned Start Date]],$P$7)</f>
        <v>30643</v>
      </c>
      <c r="Q1616" s="129"/>
      <c r="R1616" s="183" t="str">
        <f>IF(Table1[[#This Row],[Actual Effort (Hours)]]="","",IF(Table1[[#This Row],[Estimated Effort (Hours)]]&lt;20,"L1",IF(Table1[[#This Row],[Estimated Effort (Hours)]]&lt;50,"L2",IF(Table1[[#This Row],[Estimated Effort (Hours)]]&lt;150,"L3",IF(Table1[[#This Row],[Estimated Effort (Hours)]]&lt;300,"L4","L5")))))</f>
        <v/>
      </c>
      <c r="S1616" s="184" t="str">
        <f>IF(Table1[[#This Row],[Actual End Date]]="","",TEXT(Table1[[#This Row],[Actual End Date]],"mmm-yy"))</f>
        <v/>
      </c>
      <c r="T16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6" s="185" t="str">
        <f>IFERROR((Table1[[#This Row],[Actual Effort (Hours)]]-Table1[[#This Row],[Estimated Effort (Hours)]])/Table1[[#This Row],[Estimated Effort (Hours)]],"")</f>
        <v/>
      </c>
    </row>
    <row r="1617" spans="2:21">
      <c r="B1617" s="125"/>
      <c r="C1617" s="123"/>
      <c r="D1617" s="143"/>
      <c r="E1617" s="123"/>
      <c r="F1617" s="143"/>
      <c r="G1617" s="129"/>
      <c r="H1617" s="124"/>
      <c r="I1617" s="124"/>
      <c r="J1617" s="129"/>
      <c r="K1617" s="194"/>
      <c r="L1617" s="194"/>
      <c r="M1617" s="129"/>
      <c r="N1617" s="129" t="e">
        <f>Table1[[#This Row],[Estimated Effort (Hours)]]/NETWORKDAYS(Table1[[#This Row],[Planned Start Date]],Table1[[#This Row],[Planned End Date]])</f>
        <v>#DIV/0!</v>
      </c>
      <c r="O1617" s="178">
        <f>NETWORKDAYS(Table1[[#This Row],[Planned Start Date]],Table1[[#This Row],[Planned End Date]])</f>
        <v>0</v>
      </c>
      <c r="P1617" s="178">
        <f>NETWORKDAYS(Table1[[#This Row],[Planned Start Date]],$P$7)</f>
        <v>30643</v>
      </c>
      <c r="Q1617" s="129"/>
      <c r="R1617" s="183" t="str">
        <f>IF(Table1[[#This Row],[Actual Effort (Hours)]]="","",IF(Table1[[#This Row],[Estimated Effort (Hours)]]&lt;20,"L1",IF(Table1[[#This Row],[Estimated Effort (Hours)]]&lt;50,"L2",IF(Table1[[#This Row],[Estimated Effort (Hours)]]&lt;150,"L3",IF(Table1[[#This Row],[Estimated Effort (Hours)]]&lt;300,"L4","L5")))))</f>
        <v/>
      </c>
      <c r="S1617" s="184" t="str">
        <f>IF(Table1[[#This Row],[Actual End Date]]="","",TEXT(Table1[[#This Row],[Actual End Date]],"mmm-yy"))</f>
        <v/>
      </c>
      <c r="T16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7" s="185" t="str">
        <f>IFERROR((Table1[[#This Row],[Actual Effort (Hours)]]-Table1[[#This Row],[Estimated Effort (Hours)]])/Table1[[#This Row],[Estimated Effort (Hours)]],"")</f>
        <v/>
      </c>
    </row>
    <row r="1618" spans="2:21">
      <c r="B1618" s="125"/>
      <c r="C1618" s="123"/>
      <c r="D1618" s="143"/>
      <c r="E1618" s="123"/>
      <c r="F1618" s="143"/>
      <c r="G1618" s="129"/>
      <c r="H1618" s="124"/>
      <c r="I1618" s="124"/>
      <c r="J1618" s="129"/>
      <c r="K1618" s="194"/>
      <c r="L1618" s="194"/>
      <c r="M1618" s="129"/>
      <c r="N1618" s="129" t="e">
        <f>Table1[[#This Row],[Estimated Effort (Hours)]]/NETWORKDAYS(Table1[[#This Row],[Planned Start Date]],Table1[[#This Row],[Planned End Date]])</f>
        <v>#DIV/0!</v>
      </c>
      <c r="O1618" s="178">
        <f>NETWORKDAYS(Table1[[#This Row],[Planned Start Date]],Table1[[#This Row],[Planned End Date]])</f>
        <v>0</v>
      </c>
      <c r="P1618" s="178">
        <f>NETWORKDAYS(Table1[[#This Row],[Planned Start Date]],$P$7)</f>
        <v>30643</v>
      </c>
      <c r="Q1618" s="129"/>
      <c r="R1618" s="183" t="str">
        <f>IF(Table1[[#This Row],[Actual Effort (Hours)]]="","",IF(Table1[[#This Row],[Estimated Effort (Hours)]]&lt;20,"L1",IF(Table1[[#This Row],[Estimated Effort (Hours)]]&lt;50,"L2",IF(Table1[[#This Row],[Estimated Effort (Hours)]]&lt;150,"L3",IF(Table1[[#This Row],[Estimated Effort (Hours)]]&lt;300,"L4","L5")))))</f>
        <v/>
      </c>
      <c r="S1618" s="184" t="str">
        <f>IF(Table1[[#This Row],[Actual End Date]]="","",TEXT(Table1[[#This Row],[Actual End Date]],"mmm-yy"))</f>
        <v/>
      </c>
      <c r="T16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8" s="185" t="str">
        <f>IFERROR((Table1[[#This Row],[Actual Effort (Hours)]]-Table1[[#This Row],[Estimated Effort (Hours)]])/Table1[[#This Row],[Estimated Effort (Hours)]],"")</f>
        <v/>
      </c>
    </row>
    <row r="1619" spans="2:21">
      <c r="B1619" s="125"/>
      <c r="C1619" s="123"/>
      <c r="D1619" s="143"/>
      <c r="E1619" s="123"/>
      <c r="F1619" s="143"/>
      <c r="G1619" s="129"/>
      <c r="H1619" s="124"/>
      <c r="I1619" s="124"/>
      <c r="J1619" s="129"/>
      <c r="K1619" s="194"/>
      <c r="L1619" s="194"/>
      <c r="M1619" s="129"/>
      <c r="N1619" s="129" t="e">
        <f>Table1[[#This Row],[Estimated Effort (Hours)]]/NETWORKDAYS(Table1[[#This Row],[Planned Start Date]],Table1[[#This Row],[Planned End Date]])</f>
        <v>#DIV/0!</v>
      </c>
      <c r="O1619" s="178">
        <f>NETWORKDAYS(Table1[[#This Row],[Planned Start Date]],Table1[[#This Row],[Planned End Date]])</f>
        <v>0</v>
      </c>
      <c r="P1619" s="178">
        <f>NETWORKDAYS(Table1[[#This Row],[Planned Start Date]],$P$7)</f>
        <v>30643</v>
      </c>
      <c r="Q1619" s="129"/>
      <c r="R1619" s="183" t="str">
        <f>IF(Table1[[#This Row],[Actual Effort (Hours)]]="","",IF(Table1[[#This Row],[Estimated Effort (Hours)]]&lt;20,"L1",IF(Table1[[#This Row],[Estimated Effort (Hours)]]&lt;50,"L2",IF(Table1[[#This Row],[Estimated Effort (Hours)]]&lt;150,"L3",IF(Table1[[#This Row],[Estimated Effort (Hours)]]&lt;300,"L4","L5")))))</f>
        <v/>
      </c>
      <c r="S1619" s="184" t="str">
        <f>IF(Table1[[#This Row],[Actual End Date]]="","",TEXT(Table1[[#This Row],[Actual End Date]],"mmm-yy"))</f>
        <v/>
      </c>
      <c r="T16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19" s="185" t="str">
        <f>IFERROR((Table1[[#This Row],[Actual Effort (Hours)]]-Table1[[#This Row],[Estimated Effort (Hours)]])/Table1[[#This Row],[Estimated Effort (Hours)]],"")</f>
        <v/>
      </c>
    </row>
    <row r="1620" spans="2:21">
      <c r="B1620" s="125"/>
      <c r="C1620" s="123"/>
      <c r="D1620" s="143"/>
      <c r="E1620" s="123"/>
      <c r="F1620" s="143"/>
      <c r="G1620" s="129"/>
      <c r="H1620" s="124"/>
      <c r="I1620" s="124"/>
      <c r="J1620" s="129"/>
      <c r="K1620" s="194"/>
      <c r="L1620" s="194"/>
      <c r="M1620" s="129"/>
      <c r="N1620" s="129" t="e">
        <f>Table1[[#This Row],[Estimated Effort (Hours)]]/NETWORKDAYS(Table1[[#This Row],[Planned Start Date]],Table1[[#This Row],[Planned End Date]])</f>
        <v>#DIV/0!</v>
      </c>
      <c r="O1620" s="178">
        <f>NETWORKDAYS(Table1[[#This Row],[Planned Start Date]],Table1[[#This Row],[Planned End Date]])</f>
        <v>0</v>
      </c>
      <c r="P1620" s="178">
        <f>NETWORKDAYS(Table1[[#This Row],[Planned Start Date]],$P$7)</f>
        <v>30643</v>
      </c>
      <c r="Q1620" s="129"/>
      <c r="R1620" s="183" t="str">
        <f>IF(Table1[[#This Row],[Actual Effort (Hours)]]="","",IF(Table1[[#This Row],[Estimated Effort (Hours)]]&lt;20,"L1",IF(Table1[[#This Row],[Estimated Effort (Hours)]]&lt;50,"L2",IF(Table1[[#This Row],[Estimated Effort (Hours)]]&lt;150,"L3",IF(Table1[[#This Row],[Estimated Effort (Hours)]]&lt;300,"L4","L5")))))</f>
        <v/>
      </c>
      <c r="S1620" s="184" t="str">
        <f>IF(Table1[[#This Row],[Actual End Date]]="","",TEXT(Table1[[#This Row],[Actual End Date]],"mmm-yy"))</f>
        <v/>
      </c>
      <c r="T16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0" s="185" t="str">
        <f>IFERROR((Table1[[#This Row],[Actual Effort (Hours)]]-Table1[[#This Row],[Estimated Effort (Hours)]])/Table1[[#This Row],[Estimated Effort (Hours)]],"")</f>
        <v/>
      </c>
    </row>
    <row r="1621" spans="2:21">
      <c r="B1621" s="125"/>
      <c r="C1621" s="123"/>
      <c r="D1621" s="143"/>
      <c r="E1621" s="123"/>
      <c r="F1621" s="143"/>
      <c r="G1621" s="129"/>
      <c r="H1621" s="124"/>
      <c r="I1621" s="124"/>
      <c r="J1621" s="129"/>
      <c r="K1621" s="194"/>
      <c r="L1621" s="194"/>
      <c r="M1621" s="129"/>
      <c r="N1621" s="129" t="e">
        <f>Table1[[#This Row],[Estimated Effort (Hours)]]/NETWORKDAYS(Table1[[#This Row],[Planned Start Date]],Table1[[#This Row],[Planned End Date]])</f>
        <v>#DIV/0!</v>
      </c>
      <c r="O1621" s="178">
        <f>NETWORKDAYS(Table1[[#This Row],[Planned Start Date]],Table1[[#This Row],[Planned End Date]])</f>
        <v>0</v>
      </c>
      <c r="P1621" s="178">
        <f>NETWORKDAYS(Table1[[#This Row],[Planned Start Date]],$P$7)</f>
        <v>30643</v>
      </c>
      <c r="Q1621" s="129"/>
      <c r="R1621" s="183" t="str">
        <f>IF(Table1[[#This Row],[Actual Effort (Hours)]]="","",IF(Table1[[#This Row],[Estimated Effort (Hours)]]&lt;20,"L1",IF(Table1[[#This Row],[Estimated Effort (Hours)]]&lt;50,"L2",IF(Table1[[#This Row],[Estimated Effort (Hours)]]&lt;150,"L3",IF(Table1[[#This Row],[Estimated Effort (Hours)]]&lt;300,"L4","L5")))))</f>
        <v/>
      </c>
      <c r="S1621" s="184" t="str">
        <f>IF(Table1[[#This Row],[Actual End Date]]="","",TEXT(Table1[[#This Row],[Actual End Date]],"mmm-yy"))</f>
        <v/>
      </c>
      <c r="T16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1" s="185" t="str">
        <f>IFERROR((Table1[[#This Row],[Actual Effort (Hours)]]-Table1[[#This Row],[Estimated Effort (Hours)]])/Table1[[#This Row],[Estimated Effort (Hours)]],"")</f>
        <v/>
      </c>
    </row>
    <row r="1622" spans="2:21">
      <c r="B1622" s="125"/>
      <c r="C1622" s="123"/>
      <c r="D1622" s="143"/>
      <c r="E1622" s="123"/>
      <c r="F1622" s="143"/>
      <c r="G1622" s="129"/>
      <c r="H1622" s="124"/>
      <c r="I1622" s="124"/>
      <c r="J1622" s="129"/>
      <c r="K1622" s="194"/>
      <c r="L1622" s="194"/>
      <c r="M1622" s="129"/>
      <c r="N1622" s="129" t="e">
        <f>Table1[[#This Row],[Estimated Effort (Hours)]]/NETWORKDAYS(Table1[[#This Row],[Planned Start Date]],Table1[[#This Row],[Planned End Date]])</f>
        <v>#DIV/0!</v>
      </c>
      <c r="O1622" s="178">
        <f>NETWORKDAYS(Table1[[#This Row],[Planned Start Date]],Table1[[#This Row],[Planned End Date]])</f>
        <v>0</v>
      </c>
      <c r="P1622" s="178">
        <f>NETWORKDAYS(Table1[[#This Row],[Planned Start Date]],$P$7)</f>
        <v>30643</v>
      </c>
      <c r="Q1622" s="129"/>
      <c r="R1622" s="183" t="str">
        <f>IF(Table1[[#This Row],[Actual Effort (Hours)]]="","",IF(Table1[[#This Row],[Estimated Effort (Hours)]]&lt;20,"L1",IF(Table1[[#This Row],[Estimated Effort (Hours)]]&lt;50,"L2",IF(Table1[[#This Row],[Estimated Effort (Hours)]]&lt;150,"L3",IF(Table1[[#This Row],[Estimated Effort (Hours)]]&lt;300,"L4","L5")))))</f>
        <v/>
      </c>
      <c r="S1622" s="184" t="str">
        <f>IF(Table1[[#This Row],[Actual End Date]]="","",TEXT(Table1[[#This Row],[Actual End Date]],"mmm-yy"))</f>
        <v/>
      </c>
      <c r="T16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2" s="185" t="str">
        <f>IFERROR((Table1[[#This Row],[Actual Effort (Hours)]]-Table1[[#This Row],[Estimated Effort (Hours)]])/Table1[[#This Row],[Estimated Effort (Hours)]],"")</f>
        <v/>
      </c>
    </row>
    <row r="1623" spans="2:21">
      <c r="B1623" s="125"/>
      <c r="C1623" s="123"/>
      <c r="D1623" s="143"/>
      <c r="E1623" s="123"/>
      <c r="F1623" s="143"/>
      <c r="G1623" s="129"/>
      <c r="H1623" s="124"/>
      <c r="I1623" s="124"/>
      <c r="J1623" s="129"/>
      <c r="K1623" s="194"/>
      <c r="L1623" s="194"/>
      <c r="M1623" s="129"/>
      <c r="N1623" s="129" t="e">
        <f>Table1[[#This Row],[Estimated Effort (Hours)]]/NETWORKDAYS(Table1[[#This Row],[Planned Start Date]],Table1[[#This Row],[Planned End Date]])</f>
        <v>#DIV/0!</v>
      </c>
      <c r="O1623" s="178">
        <f>NETWORKDAYS(Table1[[#This Row],[Planned Start Date]],Table1[[#This Row],[Planned End Date]])</f>
        <v>0</v>
      </c>
      <c r="P1623" s="178">
        <f>NETWORKDAYS(Table1[[#This Row],[Planned Start Date]],$P$7)</f>
        <v>30643</v>
      </c>
      <c r="Q1623" s="129"/>
      <c r="R1623" s="183" t="str">
        <f>IF(Table1[[#This Row],[Actual Effort (Hours)]]="","",IF(Table1[[#This Row],[Estimated Effort (Hours)]]&lt;20,"L1",IF(Table1[[#This Row],[Estimated Effort (Hours)]]&lt;50,"L2",IF(Table1[[#This Row],[Estimated Effort (Hours)]]&lt;150,"L3",IF(Table1[[#This Row],[Estimated Effort (Hours)]]&lt;300,"L4","L5")))))</f>
        <v/>
      </c>
      <c r="S1623" s="184" t="str">
        <f>IF(Table1[[#This Row],[Actual End Date]]="","",TEXT(Table1[[#This Row],[Actual End Date]],"mmm-yy"))</f>
        <v/>
      </c>
      <c r="T16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3" s="185" t="str">
        <f>IFERROR((Table1[[#This Row],[Actual Effort (Hours)]]-Table1[[#This Row],[Estimated Effort (Hours)]])/Table1[[#This Row],[Estimated Effort (Hours)]],"")</f>
        <v/>
      </c>
    </row>
    <row r="1624" spans="2:21">
      <c r="B1624" s="125"/>
      <c r="C1624" s="123"/>
      <c r="D1624" s="143"/>
      <c r="E1624" s="123"/>
      <c r="F1624" s="143"/>
      <c r="G1624" s="129"/>
      <c r="H1624" s="124"/>
      <c r="I1624" s="124"/>
      <c r="J1624" s="129"/>
      <c r="K1624" s="194"/>
      <c r="L1624" s="194"/>
      <c r="M1624" s="129"/>
      <c r="N1624" s="129" t="e">
        <f>Table1[[#This Row],[Estimated Effort (Hours)]]/NETWORKDAYS(Table1[[#This Row],[Planned Start Date]],Table1[[#This Row],[Planned End Date]])</f>
        <v>#DIV/0!</v>
      </c>
      <c r="O1624" s="178">
        <f>NETWORKDAYS(Table1[[#This Row],[Planned Start Date]],Table1[[#This Row],[Planned End Date]])</f>
        <v>0</v>
      </c>
      <c r="P1624" s="178">
        <f>NETWORKDAYS(Table1[[#This Row],[Planned Start Date]],$P$7)</f>
        <v>30643</v>
      </c>
      <c r="Q1624" s="129"/>
      <c r="R1624" s="183" t="str">
        <f>IF(Table1[[#This Row],[Actual Effort (Hours)]]="","",IF(Table1[[#This Row],[Estimated Effort (Hours)]]&lt;20,"L1",IF(Table1[[#This Row],[Estimated Effort (Hours)]]&lt;50,"L2",IF(Table1[[#This Row],[Estimated Effort (Hours)]]&lt;150,"L3",IF(Table1[[#This Row],[Estimated Effort (Hours)]]&lt;300,"L4","L5")))))</f>
        <v/>
      </c>
      <c r="S1624" s="184" t="str">
        <f>IF(Table1[[#This Row],[Actual End Date]]="","",TEXT(Table1[[#This Row],[Actual End Date]],"mmm-yy"))</f>
        <v/>
      </c>
      <c r="T16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4" s="185" t="str">
        <f>IFERROR((Table1[[#This Row],[Actual Effort (Hours)]]-Table1[[#This Row],[Estimated Effort (Hours)]])/Table1[[#This Row],[Estimated Effort (Hours)]],"")</f>
        <v/>
      </c>
    </row>
    <row r="1625" spans="2:21">
      <c r="B1625" s="125"/>
      <c r="C1625" s="123"/>
      <c r="D1625" s="143"/>
      <c r="E1625" s="123"/>
      <c r="F1625" s="143"/>
      <c r="G1625" s="129"/>
      <c r="H1625" s="124"/>
      <c r="I1625" s="124"/>
      <c r="J1625" s="129"/>
      <c r="K1625" s="194"/>
      <c r="L1625" s="194"/>
      <c r="M1625" s="129"/>
      <c r="N1625" s="129" t="e">
        <f>Table1[[#This Row],[Estimated Effort (Hours)]]/NETWORKDAYS(Table1[[#This Row],[Planned Start Date]],Table1[[#This Row],[Planned End Date]])</f>
        <v>#DIV/0!</v>
      </c>
      <c r="O1625" s="178">
        <f>NETWORKDAYS(Table1[[#This Row],[Planned Start Date]],Table1[[#This Row],[Planned End Date]])</f>
        <v>0</v>
      </c>
      <c r="P1625" s="178">
        <f>NETWORKDAYS(Table1[[#This Row],[Planned Start Date]],$P$7)</f>
        <v>30643</v>
      </c>
      <c r="Q1625" s="129"/>
      <c r="R1625" s="183" t="str">
        <f>IF(Table1[[#This Row],[Actual Effort (Hours)]]="","",IF(Table1[[#This Row],[Estimated Effort (Hours)]]&lt;20,"L1",IF(Table1[[#This Row],[Estimated Effort (Hours)]]&lt;50,"L2",IF(Table1[[#This Row],[Estimated Effort (Hours)]]&lt;150,"L3",IF(Table1[[#This Row],[Estimated Effort (Hours)]]&lt;300,"L4","L5")))))</f>
        <v/>
      </c>
      <c r="S1625" s="184" t="str">
        <f>IF(Table1[[#This Row],[Actual End Date]]="","",TEXT(Table1[[#This Row],[Actual End Date]],"mmm-yy"))</f>
        <v/>
      </c>
      <c r="T16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5" s="185" t="str">
        <f>IFERROR((Table1[[#This Row],[Actual Effort (Hours)]]-Table1[[#This Row],[Estimated Effort (Hours)]])/Table1[[#This Row],[Estimated Effort (Hours)]],"")</f>
        <v/>
      </c>
    </row>
    <row r="1626" spans="2:21">
      <c r="B1626" s="125"/>
      <c r="C1626" s="123"/>
      <c r="D1626" s="143"/>
      <c r="E1626" s="123"/>
      <c r="F1626" s="143"/>
      <c r="G1626" s="129"/>
      <c r="H1626" s="124"/>
      <c r="I1626" s="124"/>
      <c r="J1626" s="129"/>
      <c r="K1626" s="194"/>
      <c r="L1626" s="194"/>
      <c r="M1626" s="129"/>
      <c r="N1626" s="129" t="e">
        <f>Table1[[#This Row],[Estimated Effort (Hours)]]/NETWORKDAYS(Table1[[#This Row],[Planned Start Date]],Table1[[#This Row],[Planned End Date]])</f>
        <v>#DIV/0!</v>
      </c>
      <c r="O1626" s="178">
        <f>NETWORKDAYS(Table1[[#This Row],[Planned Start Date]],Table1[[#This Row],[Planned End Date]])</f>
        <v>0</v>
      </c>
      <c r="P1626" s="178">
        <f>NETWORKDAYS(Table1[[#This Row],[Planned Start Date]],$P$7)</f>
        <v>30643</v>
      </c>
      <c r="Q1626" s="129"/>
      <c r="R1626" s="183" t="str">
        <f>IF(Table1[[#This Row],[Actual Effort (Hours)]]="","",IF(Table1[[#This Row],[Estimated Effort (Hours)]]&lt;20,"L1",IF(Table1[[#This Row],[Estimated Effort (Hours)]]&lt;50,"L2",IF(Table1[[#This Row],[Estimated Effort (Hours)]]&lt;150,"L3",IF(Table1[[#This Row],[Estimated Effort (Hours)]]&lt;300,"L4","L5")))))</f>
        <v/>
      </c>
      <c r="S1626" s="184" t="str">
        <f>IF(Table1[[#This Row],[Actual End Date]]="","",TEXT(Table1[[#This Row],[Actual End Date]],"mmm-yy"))</f>
        <v/>
      </c>
      <c r="T16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6" s="185" t="str">
        <f>IFERROR((Table1[[#This Row],[Actual Effort (Hours)]]-Table1[[#This Row],[Estimated Effort (Hours)]])/Table1[[#This Row],[Estimated Effort (Hours)]],"")</f>
        <v/>
      </c>
    </row>
    <row r="1627" spans="2:21">
      <c r="B1627" s="125"/>
      <c r="C1627" s="123"/>
      <c r="D1627" s="143"/>
      <c r="E1627" s="123"/>
      <c r="F1627" s="143"/>
      <c r="G1627" s="129"/>
      <c r="H1627" s="124"/>
      <c r="I1627" s="124"/>
      <c r="J1627" s="129"/>
      <c r="K1627" s="194"/>
      <c r="L1627" s="194"/>
      <c r="M1627" s="129"/>
      <c r="N1627" s="129" t="e">
        <f>Table1[[#This Row],[Estimated Effort (Hours)]]/NETWORKDAYS(Table1[[#This Row],[Planned Start Date]],Table1[[#This Row],[Planned End Date]])</f>
        <v>#DIV/0!</v>
      </c>
      <c r="O1627" s="178">
        <f>NETWORKDAYS(Table1[[#This Row],[Planned Start Date]],Table1[[#This Row],[Planned End Date]])</f>
        <v>0</v>
      </c>
      <c r="P1627" s="178">
        <f>NETWORKDAYS(Table1[[#This Row],[Planned Start Date]],$P$7)</f>
        <v>30643</v>
      </c>
      <c r="Q1627" s="129"/>
      <c r="R1627" s="183" t="str">
        <f>IF(Table1[[#This Row],[Actual Effort (Hours)]]="","",IF(Table1[[#This Row],[Estimated Effort (Hours)]]&lt;20,"L1",IF(Table1[[#This Row],[Estimated Effort (Hours)]]&lt;50,"L2",IF(Table1[[#This Row],[Estimated Effort (Hours)]]&lt;150,"L3",IF(Table1[[#This Row],[Estimated Effort (Hours)]]&lt;300,"L4","L5")))))</f>
        <v/>
      </c>
      <c r="S1627" s="184" t="str">
        <f>IF(Table1[[#This Row],[Actual End Date]]="","",TEXT(Table1[[#This Row],[Actual End Date]],"mmm-yy"))</f>
        <v/>
      </c>
      <c r="T16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7" s="185" t="str">
        <f>IFERROR((Table1[[#This Row],[Actual Effort (Hours)]]-Table1[[#This Row],[Estimated Effort (Hours)]])/Table1[[#This Row],[Estimated Effort (Hours)]],"")</f>
        <v/>
      </c>
    </row>
    <row r="1628" spans="2:21">
      <c r="B1628" s="125"/>
      <c r="C1628" s="123"/>
      <c r="D1628" s="143"/>
      <c r="E1628" s="123"/>
      <c r="F1628" s="143"/>
      <c r="G1628" s="129"/>
      <c r="H1628" s="124"/>
      <c r="I1628" s="124"/>
      <c r="J1628" s="129"/>
      <c r="K1628" s="194"/>
      <c r="L1628" s="194"/>
      <c r="M1628" s="129"/>
      <c r="N1628" s="129" t="e">
        <f>Table1[[#This Row],[Estimated Effort (Hours)]]/NETWORKDAYS(Table1[[#This Row],[Planned Start Date]],Table1[[#This Row],[Planned End Date]])</f>
        <v>#DIV/0!</v>
      </c>
      <c r="O1628" s="178">
        <f>NETWORKDAYS(Table1[[#This Row],[Planned Start Date]],Table1[[#This Row],[Planned End Date]])</f>
        <v>0</v>
      </c>
      <c r="P1628" s="178">
        <f>NETWORKDAYS(Table1[[#This Row],[Planned Start Date]],$P$7)</f>
        <v>30643</v>
      </c>
      <c r="Q1628" s="129"/>
      <c r="R1628" s="183" t="str">
        <f>IF(Table1[[#This Row],[Actual Effort (Hours)]]="","",IF(Table1[[#This Row],[Estimated Effort (Hours)]]&lt;20,"L1",IF(Table1[[#This Row],[Estimated Effort (Hours)]]&lt;50,"L2",IF(Table1[[#This Row],[Estimated Effort (Hours)]]&lt;150,"L3",IF(Table1[[#This Row],[Estimated Effort (Hours)]]&lt;300,"L4","L5")))))</f>
        <v/>
      </c>
      <c r="S1628" s="184" t="str">
        <f>IF(Table1[[#This Row],[Actual End Date]]="","",TEXT(Table1[[#This Row],[Actual End Date]],"mmm-yy"))</f>
        <v/>
      </c>
      <c r="T16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8" s="185" t="str">
        <f>IFERROR((Table1[[#This Row],[Actual Effort (Hours)]]-Table1[[#This Row],[Estimated Effort (Hours)]])/Table1[[#This Row],[Estimated Effort (Hours)]],"")</f>
        <v/>
      </c>
    </row>
    <row r="1629" spans="2:21">
      <c r="B1629" s="125"/>
      <c r="C1629" s="123"/>
      <c r="D1629" s="143"/>
      <c r="E1629" s="123"/>
      <c r="F1629" s="143"/>
      <c r="G1629" s="129"/>
      <c r="H1629" s="124"/>
      <c r="I1629" s="124"/>
      <c r="J1629" s="129"/>
      <c r="K1629" s="194"/>
      <c r="L1629" s="194"/>
      <c r="M1629" s="129"/>
      <c r="N1629" s="129" t="e">
        <f>Table1[[#This Row],[Estimated Effort (Hours)]]/NETWORKDAYS(Table1[[#This Row],[Planned Start Date]],Table1[[#This Row],[Planned End Date]])</f>
        <v>#DIV/0!</v>
      </c>
      <c r="O1629" s="178">
        <f>NETWORKDAYS(Table1[[#This Row],[Planned Start Date]],Table1[[#This Row],[Planned End Date]])</f>
        <v>0</v>
      </c>
      <c r="P1629" s="178">
        <f>NETWORKDAYS(Table1[[#This Row],[Planned Start Date]],$P$7)</f>
        <v>30643</v>
      </c>
      <c r="Q1629" s="129"/>
      <c r="R1629" s="183" t="str">
        <f>IF(Table1[[#This Row],[Actual Effort (Hours)]]="","",IF(Table1[[#This Row],[Estimated Effort (Hours)]]&lt;20,"L1",IF(Table1[[#This Row],[Estimated Effort (Hours)]]&lt;50,"L2",IF(Table1[[#This Row],[Estimated Effort (Hours)]]&lt;150,"L3",IF(Table1[[#This Row],[Estimated Effort (Hours)]]&lt;300,"L4","L5")))))</f>
        <v/>
      </c>
      <c r="S1629" s="184" t="str">
        <f>IF(Table1[[#This Row],[Actual End Date]]="","",TEXT(Table1[[#This Row],[Actual End Date]],"mmm-yy"))</f>
        <v/>
      </c>
      <c r="T16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29" s="185" t="str">
        <f>IFERROR((Table1[[#This Row],[Actual Effort (Hours)]]-Table1[[#This Row],[Estimated Effort (Hours)]])/Table1[[#This Row],[Estimated Effort (Hours)]],"")</f>
        <v/>
      </c>
    </row>
    <row r="1630" spans="2:21">
      <c r="B1630" s="125"/>
      <c r="C1630" s="123"/>
      <c r="D1630" s="143"/>
      <c r="E1630" s="123"/>
      <c r="F1630" s="143"/>
      <c r="G1630" s="129"/>
      <c r="H1630" s="124"/>
      <c r="I1630" s="124"/>
      <c r="J1630" s="129"/>
      <c r="K1630" s="194"/>
      <c r="L1630" s="194"/>
      <c r="M1630" s="129"/>
      <c r="N1630" s="129" t="e">
        <f>Table1[[#This Row],[Estimated Effort (Hours)]]/NETWORKDAYS(Table1[[#This Row],[Planned Start Date]],Table1[[#This Row],[Planned End Date]])</f>
        <v>#DIV/0!</v>
      </c>
      <c r="O1630" s="178">
        <f>NETWORKDAYS(Table1[[#This Row],[Planned Start Date]],Table1[[#This Row],[Planned End Date]])</f>
        <v>0</v>
      </c>
      <c r="P1630" s="178">
        <f>NETWORKDAYS(Table1[[#This Row],[Planned Start Date]],$P$7)</f>
        <v>30643</v>
      </c>
      <c r="Q1630" s="129"/>
      <c r="R1630" s="183" t="str">
        <f>IF(Table1[[#This Row],[Actual Effort (Hours)]]="","",IF(Table1[[#This Row],[Estimated Effort (Hours)]]&lt;20,"L1",IF(Table1[[#This Row],[Estimated Effort (Hours)]]&lt;50,"L2",IF(Table1[[#This Row],[Estimated Effort (Hours)]]&lt;150,"L3",IF(Table1[[#This Row],[Estimated Effort (Hours)]]&lt;300,"L4","L5")))))</f>
        <v/>
      </c>
      <c r="S1630" s="184" t="str">
        <f>IF(Table1[[#This Row],[Actual End Date]]="","",TEXT(Table1[[#This Row],[Actual End Date]],"mmm-yy"))</f>
        <v/>
      </c>
      <c r="T16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0" s="185" t="str">
        <f>IFERROR((Table1[[#This Row],[Actual Effort (Hours)]]-Table1[[#This Row],[Estimated Effort (Hours)]])/Table1[[#This Row],[Estimated Effort (Hours)]],"")</f>
        <v/>
      </c>
    </row>
    <row r="1631" spans="2:21">
      <c r="B1631" s="125"/>
      <c r="C1631" s="123"/>
      <c r="D1631" s="143"/>
      <c r="E1631" s="123"/>
      <c r="F1631" s="143"/>
      <c r="G1631" s="129"/>
      <c r="H1631" s="124"/>
      <c r="I1631" s="124"/>
      <c r="J1631" s="129"/>
      <c r="K1631" s="194"/>
      <c r="L1631" s="194"/>
      <c r="M1631" s="129"/>
      <c r="N1631" s="129" t="e">
        <f>Table1[[#This Row],[Estimated Effort (Hours)]]/NETWORKDAYS(Table1[[#This Row],[Planned Start Date]],Table1[[#This Row],[Planned End Date]])</f>
        <v>#DIV/0!</v>
      </c>
      <c r="O1631" s="178">
        <f>NETWORKDAYS(Table1[[#This Row],[Planned Start Date]],Table1[[#This Row],[Planned End Date]])</f>
        <v>0</v>
      </c>
      <c r="P1631" s="178">
        <f>NETWORKDAYS(Table1[[#This Row],[Planned Start Date]],$P$7)</f>
        <v>30643</v>
      </c>
      <c r="Q1631" s="129"/>
      <c r="R1631" s="183" t="str">
        <f>IF(Table1[[#This Row],[Actual Effort (Hours)]]="","",IF(Table1[[#This Row],[Estimated Effort (Hours)]]&lt;20,"L1",IF(Table1[[#This Row],[Estimated Effort (Hours)]]&lt;50,"L2",IF(Table1[[#This Row],[Estimated Effort (Hours)]]&lt;150,"L3",IF(Table1[[#This Row],[Estimated Effort (Hours)]]&lt;300,"L4","L5")))))</f>
        <v/>
      </c>
      <c r="S1631" s="184" t="str">
        <f>IF(Table1[[#This Row],[Actual End Date]]="","",TEXT(Table1[[#This Row],[Actual End Date]],"mmm-yy"))</f>
        <v/>
      </c>
      <c r="T16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1" s="185" t="str">
        <f>IFERROR((Table1[[#This Row],[Actual Effort (Hours)]]-Table1[[#This Row],[Estimated Effort (Hours)]])/Table1[[#This Row],[Estimated Effort (Hours)]],"")</f>
        <v/>
      </c>
    </row>
    <row r="1632" spans="2:21">
      <c r="B1632" s="125"/>
      <c r="C1632" s="123"/>
      <c r="D1632" s="143"/>
      <c r="E1632" s="123"/>
      <c r="F1632" s="143"/>
      <c r="G1632" s="129"/>
      <c r="H1632" s="124"/>
      <c r="I1632" s="124"/>
      <c r="J1632" s="129"/>
      <c r="K1632" s="194"/>
      <c r="L1632" s="194"/>
      <c r="M1632" s="129"/>
      <c r="N1632" s="129" t="e">
        <f>Table1[[#This Row],[Estimated Effort (Hours)]]/NETWORKDAYS(Table1[[#This Row],[Planned Start Date]],Table1[[#This Row],[Planned End Date]])</f>
        <v>#DIV/0!</v>
      </c>
      <c r="O1632" s="178">
        <f>NETWORKDAYS(Table1[[#This Row],[Planned Start Date]],Table1[[#This Row],[Planned End Date]])</f>
        <v>0</v>
      </c>
      <c r="P1632" s="178">
        <f>NETWORKDAYS(Table1[[#This Row],[Planned Start Date]],$P$7)</f>
        <v>30643</v>
      </c>
      <c r="Q1632" s="129"/>
      <c r="R1632" s="183" t="str">
        <f>IF(Table1[[#This Row],[Actual Effort (Hours)]]="","",IF(Table1[[#This Row],[Estimated Effort (Hours)]]&lt;20,"L1",IF(Table1[[#This Row],[Estimated Effort (Hours)]]&lt;50,"L2",IF(Table1[[#This Row],[Estimated Effort (Hours)]]&lt;150,"L3",IF(Table1[[#This Row],[Estimated Effort (Hours)]]&lt;300,"L4","L5")))))</f>
        <v/>
      </c>
      <c r="S1632" s="184" t="str">
        <f>IF(Table1[[#This Row],[Actual End Date]]="","",TEXT(Table1[[#This Row],[Actual End Date]],"mmm-yy"))</f>
        <v/>
      </c>
      <c r="T16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2" s="185" t="str">
        <f>IFERROR((Table1[[#This Row],[Actual Effort (Hours)]]-Table1[[#This Row],[Estimated Effort (Hours)]])/Table1[[#This Row],[Estimated Effort (Hours)]],"")</f>
        <v/>
      </c>
    </row>
    <row r="1633" spans="2:21">
      <c r="B1633" s="125"/>
      <c r="C1633" s="123"/>
      <c r="D1633" s="143"/>
      <c r="E1633" s="123"/>
      <c r="F1633" s="143"/>
      <c r="G1633" s="129"/>
      <c r="H1633" s="124"/>
      <c r="I1633" s="124"/>
      <c r="J1633" s="129"/>
      <c r="K1633" s="194"/>
      <c r="L1633" s="194"/>
      <c r="M1633" s="129"/>
      <c r="N1633" s="129" t="e">
        <f>Table1[[#This Row],[Estimated Effort (Hours)]]/NETWORKDAYS(Table1[[#This Row],[Planned Start Date]],Table1[[#This Row],[Planned End Date]])</f>
        <v>#DIV/0!</v>
      </c>
      <c r="O1633" s="178">
        <f>NETWORKDAYS(Table1[[#This Row],[Planned Start Date]],Table1[[#This Row],[Planned End Date]])</f>
        <v>0</v>
      </c>
      <c r="P1633" s="178">
        <f>NETWORKDAYS(Table1[[#This Row],[Planned Start Date]],$P$7)</f>
        <v>30643</v>
      </c>
      <c r="Q1633" s="129"/>
      <c r="R1633" s="183" t="str">
        <f>IF(Table1[[#This Row],[Actual Effort (Hours)]]="","",IF(Table1[[#This Row],[Estimated Effort (Hours)]]&lt;20,"L1",IF(Table1[[#This Row],[Estimated Effort (Hours)]]&lt;50,"L2",IF(Table1[[#This Row],[Estimated Effort (Hours)]]&lt;150,"L3",IF(Table1[[#This Row],[Estimated Effort (Hours)]]&lt;300,"L4","L5")))))</f>
        <v/>
      </c>
      <c r="S1633" s="184" t="str">
        <f>IF(Table1[[#This Row],[Actual End Date]]="","",TEXT(Table1[[#This Row],[Actual End Date]],"mmm-yy"))</f>
        <v/>
      </c>
      <c r="T16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3" s="185" t="str">
        <f>IFERROR((Table1[[#This Row],[Actual Effort (Hours)]]-Table1[[#This Row],[Estimated Effort (Hours)]])/Table1[[#This Row],[Estimated Effort (Hours)]],"")</f>
        <v/>
      </c>
    </row>
    <row r="1634" spans="2:21">
      <c r="B1634" s="125"/>
      <c r="C1634" s="123"/>
      <c r="D1634" s="143"/>
      <c r="E1634" s="123"/>
      <c r="F1634" s="143"/>
      <c r="G1634" s="129"/>
      <c r="H1634" s="124"/>
      <c r="I1634" s="124"/>
      <c r="J1634" s="129"/>
      <c r="K1634" s="194"/>
      <c r="L1634" s="194"/>
      <c r="M1634" s="129"/>
      <c r="N1634" s="129" t="e">
        <f>Table1[[#This Row],[Estimated Effort (Hours)]]/NETWORKDAYS(Table1[[#This Row],[Planned Start Date]],Table1[[#This Row],[Planned End Date]])</f>
        <v>#DIV/0!</v>
      </c>
      <c r="O1634" s="178">
        <f>NETWORKDAYS(Table1[[#This Row],[Planned Start Date]],Table1[[#This Row],[Planned End Date]])</f>
        <v>0</v>
      </c>
      <c r="P1634" s="178">
        <f>NETWORKDAYS(Table1[[#This Row],[Planned Start Date]],$P$7)</f>
        <v>30643</v>
      </c>
      <c r="Q1634" s="129"/>
      <c r="R1634" s="183" t="str">
        <f>IF(Table1[[#This Row],[Actual Effort (Hours)]]="","",IF(Table1[[#This Row],[Estimated Effort (Hours)]]&lt;20,"L1",IF(Table1[[#This Row],[Estimated Effort (Hours)]]&lt;50,"L2",IF(Table1[[#This Row],[Estimated Effort (Hours)]]&lt;150,"L3",IF(Table1[[#This Row],[Estimated Effort (Hours)]]&lt;300,"L4","L5")))))</f>
        <v/>
      </c>
      <c r="S1634" s="184" t="str">
        <f>IF(Table1[[#This Row],[Actual End Date]]="","",TEXT(Table1[[#This Row],[Actual End Date]],"mmm-yy"))</f>
        <v/>
      </c>
      <c r="T16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4" s="185" t="str">
        <f>IFERROR((Table1[[#This Row],[Actual Effort (Hours)]]-Table1[[#This Row],[Estimated Effort (Hours)]])/Table1[[#This Row],[Estimated Effort (Hours)]],"")</f>
        <v/>
      </c>
    </row>
    <row r="1635" spans="2:21">
      <c r="B1635" s="125"/>
      <c r="C1635" s="123"/>
      <c r="D1635" s="143"/>
      <c r="E1635" s="123"/>
      <c r="F1635" s="143"/>
      <c r="G1635" s="129"/>
      <c r="H1635" s="124"/>
      <c r="I1635" s="124"/>
      <c r="J1635" s="129"/>
      <c r="K1635" s="194"/>
      <c r="L1635" s="194"/>
      <c r="M1635" s="129"/>
      <c r="N1635" s="129" t="e">
        <f>Table1[[#This Row],[Estimated Effort (Hours)]]/NETWORKDAYS(Table1[[#This Row],[Planned Start Date]],Table1[[#This Row],[Planned End Date]])</f>
        <v>#DIV/0!</v>
      </c>
      <c r="O1635" s="178">
        <f>NETWORKDAYS(Table1[[#This Row],[Planned Start Date]],Table1[[#This Row],[Planned End Date]])</f>
        <v>0</v>
      </c>
      <c r="P1635" s="178">
        <f>NETWORKDAYS(Table1[[#This Row],[Planned Start Date]],$P$7)</f>
        <v>30643</v>
      </c>
      <c r="Q1635" s="129"/>
      <c r="R1635" s="183" t="str">
        <f>IF(Table1[[#This Row],[Actual Effort (Hours)]]="","",IF(Table1[[#This Row],[Estimated Effort (Hours)]]&lt;20,"L1",IF(Table1[[#This Row],[Estimated Effort (Hours)]]&lt;50,"L2",IF(Table1[[#This Row],[Estimated Effort (Hours)]]&lt;150,"L3",IF(Table1[[#This Row],[Estimated Effort (Hours)]]&lt;300,"L4","L5")))))</f>
        <v/>
      </c>
      <c r="S1635" s="184" t="str">
        <f>IF(Table1[[#This Row],[Actual End Date]]="","",TEXT(Table1[[#This Row],[Actual End Date]],"mmm-yy"))</f>
        <v/>
      </c>
      <c r="T16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5" s="185" t="str">
        <f>IFERROR((Table1[[#This Row],[Actual Effort (Hours)]]-Table1[[#This Row],[Estimated Effort (Hours)]])/Table1[[#This Row],[Estimated Effort (Hours)]],"")</f>
        <v/>
      </c>
    </row>
    <row r="1636" spans="2:21">
      <c r="B1636" s="125"/>
      <c r="C1636" s="123"/>
      <c r="D1636" s="143"/>
      <c r="E1636" s="123"/>
      <c r="F1636" s="143"/>
      <c r="G1636" s="129"/>
      <c r="H1636" s="124"/>
      <c r="I1636" s="124"/>
      <c r="J1636" s="129"/>
      <c r="K1636" s="194"/>
      <c r="L1636" s="194"/>
      <c r="M1636" s="129"/>
      <c r="N1636" s="129" t="e">
        <f>Table1[[#This Row],[Estimated Effort (Hours)]]/NETWORKDAYS(Table1[[#This Row],[Planned Start Date]],Table1[[#This Row],[Planned End Date]])</f>
        <v>#DIV/0!</v>
      </c>
      <c r="O1636" s="178">
        <f>NETWORKDAYS(Table1[[#This Row],[Planned Start Date]],Table1[[#This Row],[Planned End Date]])</f>
        <v>0</v>
      </c>
      <c r="P1636" s="178">
        <f>NETWORKDAYS(Table1[[#This Row],[Planned Start Date]],$P$7)</f>
        <v>30643</v>
      </c>
      <c r="Q1636" s="129"/>
      <c r="R1636" s="183" t="str">
        <f>IF(Table1[[#This Row],[Actual Effort (Hours)]]="","",IF(Table1[[#This Row],[Estimated Effort (Hours)]]&lt;20,"L1",IF(Table1[[#This Row],[Estimated Effort (Hours)]]&lt;50,"L2",IF(Table1[[#This Row],[Estimated Effort (Hours)]]&lt;150,"L3",IF(Table1[[#This Row],[Estimated Effort (Hours)]]&lt;300,"L4","L5")))))</f>
        <v/>
      </c>
      <c r="S1636" s="184" t="str">
        <f>IF(Table1[[#This Row],[Actual End Date]]="","",TEXT(Table1[[#This Row],[Actual End Date]],"mmm-yy"))</f>
        <v/>
      </c>
      <c r="T16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6" s="185" t="str">
        <f>IFERROR((Table1[[#This Row],[Actual Effort (Hours)]]-Table1[[#This Row],[Estimated Effort (Hours)]])/Table1[[#This Row],[Estimated Effort (Hours)]],"")</f>
        <v/>
      </c>
    </row>
    <row r="1637" spans="2:21">
      <c r="B1637" s="125"/>
      <c r="C1637" s="123"/>
      <c r="D1637" s="143"/>
      <c r="E1637" s="123"/>
      <c r="F1637" s="143"/>
      <c r="G1637" s="129"/>
      <c r="H1637" s="124"/>
      <c r="I1637" s="124"/>
      <c r="J1637" s="129"/>
      <c r="K1637" s="194"/>
      <c r="L1637" s="194"/>
      <c r="M1637" s="129"/>
      <c r="N1637" s="129" t="e">
        <f>Table1[[#This Row],[Estimated Effort (Hours)]]/NETWORKDAYS(Table1[[#This Row],[Planned Start Date]],Table1[[#This Row],[Planned End Date]])</f>
        <v>#DIV/0!</v>
      </c>
      <c r="O1637" s="178">
        <f>NETWORKDAYS(Table1[[#This Row],[Planned Start Date]],Table1[[#This Row],[Planned End Date]])</f>
        <v>0</v>
      </c>
      <c r="P1637" s="178">
        <f>NETWORKDAYS(Table1[[#This Row],[Planned Start Date]],$P$7)</f>
        <v>30643</v>
      </c>
      <c r="Q1637" s="129"/>
      <c r="R1637" s="183" t="str">
        <f>IF(Table1[[#This Row],[Actual Effort (Hours)]]="","",IF(Table1[[#This Row],[Estimated Effort (Hours)]]&lt;20,"L1",IF(Table1[[#This Row],[Estimated Effort (Hours)]]&lt;50,"L2",IF(Table1[[#This Row],[Estimated Effort (Hours)]]&lt;150,"L3",IF(Table1[[#This Row],[Estimated Effort (Hours)]]&lt;300,"L4","L5")))))</f>
        <v/>
      </c>
      <c r="S1637" s="184" t="str">
        <f>IF(Table1[[#This Row],[Actual End Date]]="","",TEXT(Table1[[#This Row],[Actual End Date]],"mmm-yy"))</f>
        <v/>
      </c>
      <c r="T16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7" s="185" t="str">
        <f>IFERROR((Table1[[#This Row],[Actual Effort (Hours)]]-Table1[[#This Row],[Estimated Effort (Hours)]])/Table1[[#This Row],[Estimated Effort (Hours)]],"")</f>
        <v/>
      </c>
    </row>
    <row r="1638" spans="2:21">
      <c r="B1638" s="125"/>
      <c r="C1638" s="123"/>
      <c r="D1638" s="143"/>
      <c r="E1638" s="123"/>
      <c r="F1638" s="143"/>
      <c r="G1638" s="129"/>
      <c r="H1638" s="124"/>
      <c r="I1638" s="124"/>
      <c r="J1638" s="129"/>
      <c r="K1638" s="194"/>
      <c r="L1638" s="194"/>
      <c r="M1638" s="129"/>
      <c r="N1638" s="129" t="e">
        <f>Table1[[#This Row],[Estimated Effort (Hours)]]/NETWORKDAYS(Table1[[#This Row],[Planned Start Date]],Table1[[#This Row],[Planned End Date]])</f>
        <v>#DIV/0!</v>
      </c>
      <c r="O1638" s="178">
        <f>NETWORKDAYS(Table1[[#This Row],[Planned Start Date]],Table1[[#This Row],[Planned End Date]])</f>
        <v>0</v>
      </c>
      <c r="P1638" s="178">
        <f>NETWORKDAYS(Table1[[#This Row],[Planned Start Date]],$P$7)</f>
        <v>30643</v>
      </c>
      <c r="Q1638" s="129"/>
      <c r="R1638" s="183" t="str">
        <f>IF(Table1[[#This Row],[Actual Effort (Hours)]]="","",IF(Table1[[#This Row],[Estimated Effort (Hours)]]&lt;20,"L1",IF(Table1[[#This Row],[Estimated Effort (Hours)]]&lt;50,"L2",IF(Table1[[#This Row],[Estimated Effort (Hours)]]&lt;150,"L3",IF(Table1[[#This Row],[Estimated Effort (Hours)]]&lt;300,"L4","L5")))))</f>
        <v/>
      </c>
      <c r="S1638" s="184" t="str">
        <f>IF(Table1[[#This Row],[Actual End Date]]="","",TEXT(Table1[[#This Row],[Actual End Date]],"mmm-yy"))</f>
        <v/>
      </c>
      <c r="T16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8" s="185" t="str">
        <f>IFERROR((Table1[[#This Row],[Actual Effort (Hours)]]-Table1[[#This Row],[Estimated Effort (Hours)]])/Table1[[#This Row],[Estimated Effort (Hours)]],"")</f>
        <v/>
      </c>
    </row>
    <row r="1639" spans="2:21">
      <c r="B1639" s="125"/>
      <c r="C1639" s="123"/>
      <c r="D1639" s="143"/>
      <c r="E1639" s="123"/>
      <c r="F1639" s="143"/>
      <c r="G1639" s="129"/>
      <c r="H1639" s="124"/>
      <c r="I1639" s="124"/>
      <c r="J1639" s="129"/>
      <c r="K1639" s="194"/>
      <c r="L1639" s="194"/>
      <c r="M1639" s="129"/>
      <c r="N1639" s="129" t="e">
        <f>Table1[[#This Row],[Estimated Effort (Hours)]]/NETWORKDAYS(Table1[[#This Row],[Planned Start Date]],Table1[[#This Row],[Planned End Date]])</f>
        <v>#DIV/0!</v>
      </c>
      <c r="O1639" s="178">
        <f>NETWORKDAYS(Table1[[#This Row],[Planned Start Date]],Table1[[#This Row],[Planned End Date]])</f>
        <v>0</v>
      </c>
      <c r="P1639" s="178">
        <f>NETWORKDAYS(Table1[[#This Row],[Planned Start Date]],$P$7)</f>
        <v>30643</v>
      </c>
      <c r="Q1639" s="129"/>
      <c r="R1639" s="183" t="str">
        <f>IF(Table1[[#This Row],[Actual Effort (Hours)]]="","",IF(Table1[[#This Row],[Estimated Effort (Hours)]]&lt;20,"L1",IF(Table1[[#This Row],[Estimated Effort (Hours)]]&lt;50,"L2",IF(Table1[[#This Row],[Estimated Effort (Hours)]]&lt;150,"L3",IF(Table1[[#This Row],[Estimated Effort (Hours)]]&lt;300,"L4","L5")))))</f>
        <v/>
      </c>
      <c r="S1639" s="184" t="str">
        <f>IF(Table1[[#This Row],[Actual End Date]]="","",TEXT(Table1[[#This Row],[Actual End Date]],"mmm-yy"))</f>
        <v/>
      </c>
      <c r="T16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39" s="185" t="str">
        <f>IFERROR((Table1[[#This Row],[Actual Effort (Hours)]]-Table1[[#This Row],[Estimated Effort (Hours)]])/Table1[[#This Row],[Estimated Effort (Hours)]],"")</f>
        <v/>
      </c>
    </row>
    <row r="1640" spans="2:21">
      <c r="B1640" s="125"/>
      <c r="C1640" s="123"/>
      <c r="D1640" s="143"/>
      <c r="E1640" s="123"/>
      <c r="F1640" s="143"/>
      <c r="G1640" s="129"/>
      <c r="H1640" s="124"/>
      <c r="I1640" s="124"/>
      <c r="J1640" s="129"/>
      <c r="K1640" s="194"/>
      <c r="L1640" s="194"/>
      <c r="M1640" s="129"/>
      <c r="N1640" s="129" t="e">
        <f>Table1[[#This Row],[Estimated Effort (Hours)]]/NETWORKDAYS(Table1[[#This Row],[Planned Start Date]],Table1[[#This Row],[Planned End Date]])</f>
        <v>#DIV/0!</v>
      </c>
      <c r="O1640" s="178">
        <f>NETWORKDAYS(Table1[[#This Row],[Planned Start Date]],Table1[[#This Row],[Planned End Date]])</f>
        <v>0</v>
      </c>
      <c r="P1640" s="178">
        <f>NETWORKDAYS(Table1[[#This Row],[Planned Start Date]],$P$7)</f>
        <v>30643</v>
      </c>
      <c r="Q1640" s="129"/>
      <c r="R1640" s="183" t="str">
        <f>IF(Table1[[#This Row],[Actual Effort (Hours)]]="","",IF(Table1[[#This Row],[Estimated Effort (Hours)]]&lt;20,"L1",IF(Table1[[#This Row],[Estimated Effort (Hours)]]&lt;50,"L2",IF(Table1[[#This Row],[Estimated Effort (Hours)]]&lt;150,"L3",IF(Table1[[#This Row],[Estimated Effort (Hours)]]&lt;300,"L4","L5")))))</f>
        <v/>
      </c>
      <c r="S1640" s="184" t="str">
        <f>IF(Table1[[#This Row],[Actual End Date]]="","",TEXT(Table1[[#This Row],[Actual End Date]],"mmm-yy"))</f>
        <v/>
      </c>
      <c r="T16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0" s="185" t="str">
        <f>IFERROR((Table1[[#This Row],[Actual Effort (Hours)]]-Table1[[#This Row],[Estimated Effort (Hours)]])/Table1[[#This Row],[Estimated Effort (Hours)]],"")</f>
        <v/>
      </c>
    </row>
    <row r="1641" spans="2:21">
      <c r="B1641" s="125"/>
      <c r="C1641" s="123"/>
      <c r="D1641" s="143"/>
      <c r="E1641" s="123"/>
      <c r="F1641" s="143"/>
      <c r="G1641" s="129"/>
      <c r="H1641" s="124"/>
      <c r="I1641" s="124"/>
      <c r="J1641" s="129"/>
      <c r="K1641" s="194"/>
      <c r="L1641" s="194"/>
      <c r="M1641" s="129"/>
      <c r="N1641" s="129" t="e">
        <f>Table1[[#This Row],[Estimated Effort (Hours)]]/NETWORKDAYS(Table1[[#This Row],[Planned Start Date]],Table1[[#This Row],[Planned End Date]])</f>
        <v>#DIV/0!</v>
      </c>
      <c r="O1641" s="178">
        <f>NETWORKDAYS(Table1[[#This Row],[Planned Start Date]],Table1[[#This Row],[Planned End Date]])</f>
        <v>0</v>
      </c>
      <c r="P1641" s="178">
        <f>NETWORKDAYS(Table1[[#This Row],[Planned Start Date]],$P$7)</f>
        <v>30643</v>
      </c>
      <c r="Q1641" s="129"/>
      <c r="R1641" s="183" t="str">
        <f>IF(Table1[[#This Row],[Actual Effort (Hours)]]="","",IF(Table1[[#This Row],[Estimated Effort (Hours)]]&lt;20,"L1",IF(Table1[[#This Row],[Estimated Effort (Hours)]]&lt;50,"L2",IF(Table1[[#This Row],[Estimated Effort (Hours)]]&lt;150,"L3",IF(Table1[[#This Row],[Estimated Effort (Hours)]]&lt;300,"L4","L5")))))</f>
        <v/>
      </c>
      <c r="S1641" s="184" t="str">
        <f>IF(Table1[[#This Row],[Actual End Date]]="","",TEXT(Table1[[#This Row],[Actual End Date]],"mmm-yy"))</f>
        <v/>
      </c>
      <c r="T16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1" s="185" t="str">
        <f>IFERROR((Table1[[#This Row],[Actual Effort (Hours)]]-Table1[[#This Row],[Estimated Effort (Hours)]])/Table1[[#This Row],[Estimated Effort (Hours)]],"")</f>
        <v/>
      </c>
    </row>
    <row r="1642" spans="2:21">
      <c r="B1642" s="125"/>
      <c r="C1642" s="123"/>
      <c r="D1642" s="143"/>
      <c r="E1642" s="123"/>
      <c r="F1642" s="143"/>
      <c r="G1642" s="129"/>
      <c r="H1642" s="124"/>
      <c r="I1642" s="124"/>
      <c r="J1642" s="129"/>
      <c r="K1642" s="194"/>
      <c r="L1642" s="194"/>
      <c r="M1642" s="129"/>
      <c r="N1642" s="129" t="e">
        <f>Table1[[#This Row],[Estimated Effort (Hours)]]/NETWORKDAYS(Table1[[#This Row],[Planned Start Date]],Table1[[#This Row],[Planned End Date]])</f>
        <v>#DIV/0!</v>
      </c>
      <c r="O1642" s="178">
        <f>NETWORKDAYS(Table1[[#This Row],[Planned Start Date]],Table1[[#This Row],[Planned End Date]])</f>
        <v>0</v>
      </c>
      <c r="P1642" s="178">
        <f>NETWORKDAYS(Table1[[#This Row],[Planned Start Date]],$P$7)</f>
        <v>30643</v>
      </c>
      <c r="Q1642" s="129"/>
      <c r="R1642" s="183" t="str">
        <f>IF(Table1[[#This Row],[Actual Effort (Hours)]]="","",IF(Table1[[#This Row],[Estimated Effort (Hours)]]&lt;20,"L1",IF(Table1[[#This Row],[Estimated Effort (Hours)]]&lt;50,"L2",IF(Table1[[#This Row],[Estimated Effort (Hours)]]&lt;150,"L3",IF(Table1[[#This Row],[Estimated Effort (Hours)]]&lt;300,"L4","L5")))))</f>
        <v/>
      </c>
      <c r="S1642" s="184" t="str">
        <f>IF(Table1[[#This Row],[Actual End Date]]="","",TEXT(Table1[[#This Row],[Actual End Date]],"mmm-yy"))</f>
        <v/>
      </c>
      <c r="T16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2" s="185" t="str">
        <f>IFERROR((Table1[[#This Row],[Actual Effort (Hours)]]-Table1[[#This Row],[Estimated Effort (Hours)]])/Table1[[#This Row],[Estimated Effort (Hours)]],"")</f>
        <v/>
      </c>
    </row>
    <row r="1643" spans="2:21">
      <c r="B1643" s="125"/>
      <c r="C1643" s="123"/>
      <c r="D1643" s="143"/>
      <c r="E1643" s="123"/>
      <c r="F1643" s="143"/>
      <c r="G1643" s="129"/>
      <c r="H1643" s="124"/>
      <c r="I1643" s="124"/>
      <c r="J1643" s="129"/>
      <c r="K1643" s="194"/>
      <c r="L1643" s="194"/>
      <c r="M1643" s="129"/>
      <c r="N1643" s="129" t="e">
        <f>Table1[[#This Row],[Estimated Effort (Hours)]]/NETWORKDAYS(Table1[[#This Row],[Planned Start Date]],Table1[[#This Row],[Planned End Date]])</f>
        <v>#DIV/0!</v>
      </c>
      <c r="O1643" s="178">
        <f>NETWORKDAYS(Table1[[#This Row],[Planned Start Date]],Table1[[#This Row],[Planned End Date]])</f>
        <v>0</v>
      </c>
      <c r="P1643" s="178">
        <f>NETWORKDAYS(Table1[[#This Row],[Planned Start Date]],$P$7)</f>
        <v>30643</v>
      </c>
      <c r="Q1643" s="129"/>
      <c r="R1643" s="183" t="str">
        <f>IF(Table1[[#This Row],[Actual Effort (Hours)]]="","",IF(Table1[[#This Row],[Estimated Effort (Hours)]]&lt;20,"L1",IF(Table1[[#This Row],[Estimated Effort (Hours)]]&lt;50,"L2",IF(Table1[[#This Row],[Estimated Effort (Hours)]]&lt;150,"L3",IF(Table1[[#This Row],[Estimated Effort (Hours)]]&lt;300,"L4","L5")))))</f>
        <v/>
      </c>
      <c r="S1643" s="184" t="str">
        <f>IF(Table1[[#This Row],[Actual End Date]]="","",TEXT(Table1[[#This Row],[Actual End Date]],"mmm-yy"))</f>
        <v/>
      </c>
      <c r="T16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3" s="185" t="str">
        <f>IFERROR((Table1[[#This Row],[Actual Effort (Hours)]]-Table1[[#This Row],[Estimated Effort (Hours)]])/Table1[[#This Row],[Estimated Effort (Hours)]],"")</f>
        <v/>
      </c>
    </row>
    <row r="1644" spans="2:21">
      <c r="B1644" s="125"/>
      <c r="C1644" s="123"/>
      <c r="D1644" s="143"/>
      <c r="E1644" s="123"/>
      <c r="F1644" s="143"/>
      <c r="G1644" s="129"/>
      <c r="H1644" s="124"/>
      <c r="I1644" s="124"/>
      <c r="J1644" s="129"/>
      <c r="K1644" s="194"/>
      <c r="L1644" s="194"/>
      <c r="M1644" s="129"/>
      <c r="N1644" s="129" t="e">
        <f>Table1[[#This Row],[Estimated Effort (Hours)]]/NETWORKDAYS(Table1[[#This Row],[Planned Start Date]],Table1[[#This Row],[Planned End Date]])</f>
        <v>#DIV/0!</v>
      </c>
      <c r="O1644" s="178">
        <f>NETWORKDAYS(Table1[[#This Row],[Planned Start Date]],Table1[[#This Row],[Planned End Date]])</f>
        <v>0</v>
      </c>
      <c r="P1644" s="178">
        <f>NETWORKDAYS(Table1[[#This Row],[Planned Start Date]],$P$7)</f>
        <v>30643</v>
      </c>
      <c r="Q1644" s="129"/>
      <c r="R1644" s="183" t="str">
        <f>IF(Table1[[#This Row],[Actual Effort (Hours)]]="","",IF(Table1[[#This Row],[Estimated Effort (Hours)]]&lt;20,"L1",IF(Table1[[#This Row],[Estimated Effort (Hours)]]&lt;50,"L2",IF(Table1[[#This Row],[Estimated Effort (Hours)]]&lt;150,"L3",IF(Table1[[#This Row],[Estimated Effort (Hours)]]&lt;300,"L4","L5")))))</f>
        <v/>
      </c>
      <c r="S1644" s="184" t="str">
        <f>IF(Table1[[#This Row],[Actual End Date]]="","",TEXT(Table1[[#This Row],[Actual End Date]],"mmm-yy"))</f>
        <v/>
      </c>
      <c r="T16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4" s="185" t="str">
        <f>IFERROR((Table1[[#This Row],[Actual Effort (Hours)]]-Table1[[#This Row],[Estimated Effort (Hours)]])/Table1[[#This Row],[Estimated Effort (Hours)]],"")</f>
        <v/>
      </c>
    </row>
    <row r="1645" spans="2:21">
      <c r="B1645" s="125"/>
      <c r="C1645" s="123"/>
      <c r="D1645" s="143"/>
      <c r="E1645" s="123"/>
      <c r="F1645" s="143"/>
      <c r="G1645" s="129"/>
      <c r="H1645" s="124"/>
      <c r="I1645" s="124"/>
      <c r="J1645" s="129"/>
      <c r="K1645" s="194"/>
      <c r="L1645" s="194"/>
      <c r="M1645" s="129"/>
      <c r="N1645" s="129" t="e">
        <f>Table1[[#This Row],[Estimated Effort (Hours)]]/NETWORKDAYS(Table1[[#This Row],[Planned Start Date]],Table1[[#This Row],[Planned End Date]])</f>
        <v>#DIV/0!</v>
      </c>
      <c r="O1645" s="178">
        <f>NETWORKDAYS(Table1[[#This Row],[Planned Start Date]],Table1[[#This Row],[Planned End Date]])</f>
        <v>0</v>
      </c>
      <c r="P1645" s="178">
        <f>NETWORKDAYS(Table1[[#This Row],[Planned Start Date]],$P$7)</f>
        <v>30643</v>
      </c>
      <c r="Q1645" s="129"/>
      <c r="R1645" s="183" t="str">
        <f>IF(Table1[[#This Row],[Actual Effort (Hours)]]="","",IF(Table1[[#This Row],[Estimated Effort (Hours)]]&lt;20,"L1",IF(Table1[[#This Row],[Estimated Effort (Hours)]]&lt;50,"L2",IF(Table1[[#This Row],[Estimated Effort (Hours)]]&lt;150,"L3",IF(Table1[[#This Row],[Estimated Effort (Hours)]]&lt;300,"L4","L5")))))</f>
        <v/>
      </c>
      <c r="S1645" s="184" t="str">
        <f>IF(Table1[[#This Row],[Actual End Date]]="","",TEXT(Table1[[#This Row],[Actual End Date]],"mmm-yy"))</f>
        <v/>
      </c>
      <c r="T16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5" s="185" t="str">
        <f>IFERROR((Table1[[#This Row],[Actual Effort (Hours)]]-Table1[[#This Row],[Estimated Effort (Hours)]])/Table1[[#This Row],[Estimated Effort (Hours)]],"")</f>
        <v/>
      </c>
    </row>
    <row r="1646" spans="2:21">
      <c r="B1646" s="125"/>
      <c r="C1646" s="123"/>
      <c r="D1646" s="143"/>
      <c r="E1646" s="123"/>
      <c r="F1646" s="143"/>
      <c r="G1646" s="129"/>
      <c r="H1646" s="124"/>
      <c r="I1646" s="124"/>
      <c r="J1646" s="129"/>
      <c r="K1646" s="194"/>
      <c r="L1646" s="194"/>
      <c r="M1646" s="129"/>
      <c r="N1646" s="129" t="e">
        <f>Table1[[#This Row],[Estimated Effort (Hours)]]/NETWORKDAYS(Table1[[#This Row],[Planned Start Date]],Table1[[#This Row],[Planned End Date]])</f>
        <v>#DIV/0!</v>
      </c>
      <c r="O1646" s="178">
        <f>NETWORKDAYS(Table1[[#This Row],[Planned Start Date]],Table1[[#This Row],[Planned End Date]])</f>
        <v>0</v>
      </c>
      <c r="P1646" s="178">
        <f>NETWORKDAYS(Table1[[#This Row],[Planned Start Date]],$P$7)</f>
        <v>30643</v>
      </c>
      <c r="Q1646" s="129"/>
      <c r="R1646" s="183" t="str">
        <f>IF(Table1[[#This Row],[Actual Effort (Hours)]]="","",IF(Table1[[#This Row],[Estimated Effort (Hours)]]&lt;20,"L1",IF(Table1[[#This Row],[Estimated Effort (Hours)]]&lt;50,"L2",IF(Table1[[#This Row],[Estimated Effort (Hours)]]&lt;150,"L3",IF(Table1[[#This Row],[Estimated Effort (Hours)]]&lt;300,"L4","L5")))))</f>
        <v/>
      </c>
      <c r="S1646" s="184" t="str">
        <f>IF(Table1[[#This Row],[Actual End Date]]="","",TEXT(Table1[[#This Row],[Actual End Date]],"mmm-yy"))</f>
        <v/>
      </c>
      <c r="T16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6" s="185" t="str">
        <f>IFERROR((Table1[[#This Row],[Actual Effort (Hours)]]-Table1[[#This Row],[Estimated Effort (Hours)]])/Table1[[#This Row],[Estimated Effort (Hours)]],"")</f>
        <v/>
      </c>
    </row>
    <row r="1647" spans="2:21">
      <c r="B1647" s="125"/>
      <c r="C1647" s="123"/>
      <c r="D1647" s="143"/>
      <c r="E1647" s="123"/>
      <c r="F1647" s="143"/>
      <c r="G1647" s="129"/>
      <c r="H1647" s="124"/>
      <c r="I1647" s="124"/>
      <c r="J1647" s="129"/>
      <c r="K1647" s="194"/>
      <c r="L1647" s="194"/>
      <c r="M1647" s="129"/>
      <c r="N1647" s="129" t="e">
        <f>Table1[[#This Row],[Estimated Effort (Hours)]]/NETWORKDAYS(Table1[[#This Row],[Planned Start Date]],Table1[[#This Row],[Planned End Date]])</f>
        <v>#DIV/0!</v>
      </c>
      <c r="O1647" s="178">
        <f>NETWORKDAYS(Table1[[#This Row],[Planned Start Date]],Table1[[#This Row],[Planned End Date]])</f>
        <v>0</v>
      </c>
      <c r="P1647" s="178">
        <f>NETWORKDAYS(Table1[[#This Row],[Planned Start Date]],$P$7)</f>
        <v>30643</v>
      </c>
      <c r="Q1647" s="129"/>
      <c r="R1647" s="183" t="str">
        <f>IF(Table1[[#This Row],[Actual Effort (Hours)]]="","",IF(Table1[[#This Row],[Estimated Effort (Hours)]]&lt;20,"L1",IF(Table1[[#This Row],[Estimated Effort (Hours)]]&lt;50,"L2",IF(Table1[[#This Row],[Estimated Effort (Hours)]]&lt;150,"L3",IF(Table1[[#This Row],[Estimated Effort (Hours)]]&lt;300,"L4","L5")))))</f>
        <v/>
      </c>
      <c r="S1647" s="184" t="str">
        <f>IF(Table1[[#This Row],[Actual End Date]]="","",TEXT(Table1[[#This Row],[Actual End Date]],"mmm-yy"))</f>
        <v/>
      </c>
      <c r="T16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7" s="185" t="str">
        <f>IFERROR((Table1[[#This Row],[Actual Effort (Hours)]]-Table1[[#This Row],[Estimated Effort (Hours)]])/Table1[[#This Row],[Estimated Effort (Hours)]],"")</f>
        <v/>
      </c>
    </row>
    <row r="1648" spans="2:21">
      <c r="B1648" s="125"/>
      <c r="C1648" s="123"/>
      <c r="D1648" s="143"/>
      <c r="E1648" s="123"/>
      <c r="F1648" s="143"/>
      <c r="G1648" s="129"/>
      <c r="H1648" s="124"/>
      <c r="I1648" s="124"/>
      <c r="J1648" s="129"/>
      <c r="K1648" s="194"/>
      <c r="L1648" s="194"/>
      <c r="M1648" s="129"/>
      <c r="N1648" s="129" t="e">
        <f>Table1[[#This Row],[Estimated Effort (Hours)]]/NETWORKDAYS(Table1[[#This Row],[Planned Start Date]],Table1[[#This Row],[Planned End Date]])</f>
        <v>#DIV/0!</v>
      </c>
      <c r="O1648" s="178">
        <f>NETWORKDAYS(Table1[[#This Row],[Planned Start Date]],Table1[[#This Row],[Planned End Date]])</f>
        <v>0</v>
      </c>
      <c r="P1648" s="178">
        <f>NETWORKDAYS(Table1[[#This Row],[Planned Start Date]],$P$7)</f>
        <v>30643</v>
      </c>
      <c r="Q1648" s="129"/>
      <c r="R1648" s="183" t="str">
        <f>IF(Table1[[#This Row],[Actual Effort (Hours)]]="","",IF(Table1[[#This Row],[Estimated Effort (Hours)]]&lt;20,"L1",IF(Table1[[#This Row],[Estimated Effort (Hours)]]&lt;50,"L2",IF(Table1[[#This Row],[Estimated Effort (Hours)]]&lt;150,"L3",IF(Table1[[#This Row],[Estimated Effort (Hours)]]&lt;300,"L4","L5")))))</f>
        <v/>
      </c>
      <c r="S1648" s="184" t="str">
        <f>IF(Table1[[#This Row],[Actual End Date]]="","",TEXT(Table1[[#This Row],[Actual End Date]],"mmm-yy"))</f>
        <v/>
      </c>
      <c r="T16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8" s="185" t="str">
        <f>IFERROR((Table1[[#This Row],[Actual Effort (Hours)]]-Table1[[#This Row],[Estimated Effort (Hours)]])/Table1[[#This Row],[Estimated Effort (Hours)]],"")</f>
        <v/>
      </c>
    </row>
    <row r="1649" spans="2:21">
      <c r="B1649" s="125"/>
      <c r="C1649" s="123"/>
      <c r="D1649" s="143"/>
      <c r="E1649" s="123"/>
      <c r="F1649" s="143"/>
      <c r="G1649" s="129"/>
      <c r="H1649" s="124"/>
      <c r="I1649" s="124"/>
      <c r="J1649" s="129"/>
      <c r="K1649" s="194"/>
      <c r="L1649" s="194"/>
      <c r="M1649" s="129"/>
      <c r="N1649" s="129" t="e">
        <f>Table1[[#This Row],[Estimated Effort (Hours)]]/NETWORKDAYS(Table1[[#This Row],[Planned Start Date]],Table1[[#This Row],[Planned End Date]])</f>
        <v>#DIV/0!</v>
      </c>
      <c r="O1649" s="178">
        <f>NETWORKDAYS(Table1[[#This Row],[Planned Start Date]],Table1[[#This Row],[Planned End Date]])</f>
        <v>0</v>
      </c>
      <c r="P1649" s="178">
        <f>NETWORKDAYS(Table1[[#This Row],[Planned Start Date]],$P$7)</f>
        <v>30643</v>
      </c>
      <c r="Q1649" s="129"/>
      <c r="R1649" s="183" t="str">
        <f>IF(Table1[[#This Row],[Actual Effort (Hours)]]="","",IF(Table1[[#This Row],[Estimated Effort (Hours)]]&lt;20,"L1",IF(Table1[[#This Row],[Estimated Effort (Hours)]]&lt;50,"L2",IF(Table1[[#This Row],[Estimated Effort (Hours)]]&lt;150,"L3",IF(Table1[[#This Row],[Estimated Effort (Hours)]]&lt;300,"L4","L5")))))</f>
        <v/>
      </c>
      <c r="S1649" s="184" t="str">
        <f>IF(Table1[[#This Row],[Actual End Date]]="","",TEXT(Table1[[#This Row],[Actual End Date]],"mmm-yy"))</f>
        <v/>
      </c>
      <c r="T16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49" s="185" t="str">
        <f>IFERROR((Table1[[#This Row],[Actual Effort (Hours)]]-Table1[[#This Row],[Estimated Effort (Hours)]])/Table1[[#This Row],[Estimated Effort (Hours)]],"")</f>
        <v/>
      </c>
    </row>
    <row r="1650" spans="2:21">
      <c r="B1650" s="125"/>
      <c r="C1650" s="123"/>
      <c r="D1650" s="143"/>
      <c r="E1650" s="123"/>
      <c r="F1650" s="143"/>
      <c r="G1650" s="129"/>
      <c r="H1650" s="124"/>
      <c r="I1650" s="124"/>
      <c r="J1650" s="129"/>
      <c r="K1650" s="194"/>
      <c r="L1650" s="194"/>
      <c r="M1650" s="129"/>
      <c r="N1650" s="129" t="e">
        <f>Table1[[#This Row],[Estimated Effort (Hours)]]/NETWORKDAYS(Table1[[#This Row],[Planned Start Date]],Table1[[#This Row],[Planned End Date]])</f>
        <v>#DIV/0!</v>
      </c>
      <c r="O1650" s="178">
        <f>NETWORKDAYS(Table1[[#This Row],[Planned Start Date]],Table1[[#This Row],[Planned End Date]])</f>
        <v>0</v>
      </c>
      <c r="P1650" s="178">
        <f>NETWORKDAYS(Table1[[#This Row],[Planned Start Date]],$P$7)</f>
        <v>30643</v>
      </c>
      <c r="Q1650" s="129"/>
      <c r="R1650" s="183" t="str">
        <f>IF(Table1[[#This Row],[Actual Effort (Hours)]]="","",IF(Table1[[#This Row],[Estimated Effort (Hours)]]&lt;20,"L1",IF(Table1[[#This Row],[Estimated Effort (Hours)]]&lt;50,"L2",IF(Table1[[#This Row],[Estimated Effort (Hours)]]&lt;150,"L3",IF(Table1[[#This Row],[Estimated Effort (Hours)]]&lt;300,"L4","L5")))))</f>
        <v/>
      </c>
      <c r="S1650" s="184" t="str">
        <f>IF(Table1[[#This Row],[Actual End Date]]="","",TEXT(Table1[[#This Row],[Actual End Date]],"mmm-yy"))</f>
        <v/>
      </c>
      <c r="T16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0" s="185" t="str">
        <f>IFERROR((Table1[[#This Row],[Actual Effort (Hours)]]-Table1[[#This Row],[Estimated Effort (Hours)]])/Table1[[#This Row],[Estimated Effort (Hours)]],"")</f>
        <v/>
      </c>
    </row>
    <row r="1651" spans="2:21">
      <c r="B1651" s="125"/>
      <c r="C1651" s="123"/>
      <c r="D1651" s="143"/>
      <c r="E1651" s="123"/>
      <c r="F1651" s="143"/>
      <c r="G1651" s="129"/>
      <c r="H1651" s="124"/>
      <c r="I1651" s="124"/>
      <c r="J1651" s="129"/>
      <c r="K1651" s="194"/>
      <c r="L1651" s="194"/>
      <c r="M1651" s="129"/>
      <c r="N1651" s="129" t="e">
        <f>Table1[[#This Row],[Estimated Effort (Hours)]]/NETWORKDAYS(Table1[[#This Row],[Planned Start Date]],Table1[[#This Row],[Planned End Date]])</f>
        <v>#DIV/0!</v>
      </c>
      <c r="O1651" s="178">
        <f>NETWORKDAYS(Table1[[#This Row],[Planned Start Date]],Table1[[#This Row],[Planned End Date]])</f>
        <v>0</v>
      </c>
      <c r="P1651" s="178">
        <f>NETWORKDAYS(Table1[[#This Row],[Planned Start Date]],$P$7)</f>
        <v>30643</v>
      </c>
      <c r="Q1651" s="129"/>
      <c r="R1651" s="183" t="str">
        <f>IF(Table1[[#This Row],[Actual Effort (Hours)]]="","",IF(Table1[[#This Row],[Estimated Effort (Hours)]]&lt;20,"L1",IF(Table1[[#This Row],[Estimated Effort (Hours)]]&lt;50,"L2",IF(Table1[[#This Row],[Estimated Effort (Hours)]]&lt;150,"L3",IF(Table1[[#This Row],[Estimated Effort (Hours)]]&lt;300,"L4","L5")))))</f>
        <v/>
      </c>
      <c r="S1651" s="184" t="str">
        <f>IF(Table1[[#This Row],[Actual End Date]]="","",TEXT(Table1[[#This Row],[Actual End Date]],"mmm-yy"))</f>
        <v/>
      </c>
      <c r="T16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1" s="185" t="str">
        <f>IFERROR((Table1[[#This Row],[Actual Effort (Hours)]]-Table1[[#This Row],[Estimated Effort (Hours)]])/Table1[[#This Row],[Estimated Effort (Hours)]],"")</f>
        <v/>
      </c>
    </row>
    <row r="1652" spans="2:21">
      <c r="B1652" s="125"/>
      <c r="C1652" s="123"/>
      <c r="D1652" s="143"/>
      <c r="E1652" s="123"/>
      <c r="F1652" s="143"/>
      <c r="G1652" s="129"/>
      <c r="H1652" s="124"/>
      <c r="I1652" s="124"/>
      <c r="J1652" s="129"/>
      <c r="K1652" s="194"/>
      <c r="L1652" s="194"/>
      <c r="M1652" s="129"/>
      <c r="N1652" s="129" t="e">
        <f>Table1[[#This Row],[Estimated Effort (Hours)]]/NETWORKDAYS(Table1[[#This Row],[Planned Start Date]],Table1[[#This Row],[Planned End Date]])</f>
        <v>#DIV/0!</v>
      </c>
      <c r="O1652" s="178">
        <f>NETWORKDAYS(Table1[[#This Row],[Planned Start Date]],Table1[[#This Row],[Planned End Date]])</f>
        <v>0</v>
      </c>
      <c r="P1652" s="178">
        <f>NETWORKDAYS(Table1[[#This Row],[Planned Start Date]],$P$7)</f>
        <v>30643</v>
      </c>
      <c r="Q1652" s="129"/>
      <c r="R1652" s="183" t="str">
        <f>IF(Table1[[#This Row],[Actual Effort (Hours)]]="","",IF(Table1[[#This Row],[Estimated Effort (Hours)]]&lt;20,"L1",IF(Table1[[#This Row],[Estimated Effort (Hours)]]&lt;50,"L2",IF(Table1[[#This Row],[Estimated Effort (Hours)]]&lt;150,"L3",IF(Table1[[#This Row],[Estimated Effort (Hours)]]&lt;300,"L4","L5")))))</f>
        <v/>
      </c>
      <c r="S1652" s="184" t="str">
        <f>IF(Table1[[#This Row],[Actual End Date]]="","",TEXT(Table1[[#This Row],[Actual End Date]],"mmm-yy"))</f>
        <v/>
      </c>
      <c r="T16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2" s="185" t="str">
        <f>IFERROR((Table1[[#This Row],[Actual Effort (Hours)]]-Table1[[#This Row],[Estimated Effort (Hours)]])/Table1[[#This Row],[Estimated Effort (Hours)]],"")</f>
        <v/>
      </c>
    </row>
    <row r="1653" spans="2:21">
      <c r="B1653" s="125"/>
      <c r="C1653" s="123"/>
      <c r="D1653" s="143"/>
      <c r="E1653" s="123"/>
      <c r="F1653" s="143"/>
      <c r="G1653" s="129"/>
      <c r="H1653" s="124"/>
      <c r="I1653" s="124"/>
      <c r="J1653" s="129"/>
      <c r="K1653" s="194"/>
      <c r="L1653" s="194"/>
      <c r="M1653" s="129"/>
      <c r="N1653" s="129" t="e">
        <f>Table1[[#This Row],[Estimated Effort (Hours)]]/NETWORKDAYS(Table1[[#This Row],[Planned Start Date]],Table1[[#This Row],[Planned End Date]])</f>
        <v>#DIV/0!</v>
      </c>
      <c r="O1653" s="178">
        <f>NETWORKDAYS(Table1[[#This Row],[Planned Start Date]],Table1[[#This Row],[Planned End Date]])</f>
        <v>0</v>
      </c>
      <c r="P1653" s="178">
        <f>NETWORKDAYS(Table1[[#This Row],[Planned Start Date]],$P$7)</f>
        <v>30643</v>
      </c>
      <c r="Q1653" s="129"/>
      <c r="R1653" s="183" t="str">
        <f>IF(Table1[[#This Row],[Actual Effort (Hours)]]="","",IF(Table1[[#This Row],[Estimated Effort (Hours)]]&lt;20,"L1",IF(Table1[[#This Row],[Estimated Effort (Hours)]]&lt;50,"L2",IF(Table1[[#This Row],[Estimated Effort (Hours)]]&lt;150,"L3",IF(Table1[[#This Row],[Estimated Effort (Hours)]]&lt;300,"L4","L5")))))</f>
        <v/>
      </c>
      <c r="S1653" s="184" t="str">
        <f>IF(Table1[[#This Row],[Actual End Date]]="","",TEXT(Table1[[#This Row],[Actual End Date]],"mmm-yy"))</f>
        <v/>
      </c>
      <c r="T16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3" s="185" t="str">
        <f>IFERROR((Table1[[#This Row],[Actual Effort (Hours)]]-Table1[[#This Row],[Estimated Effort (Hours)]])/Table1[[#This Row],[Estimated Effort (Hours)]],"")</f>
        <v/>
      </c>
    </row>
    <row r="1654" spans="2:21">
      <c r="B1654" s="125"/>
      <c r="C1654" s="123"/>
      <c r="D1654" s="143"/>
      <c r="E1654" s="123"/>
      <c r="F1654" s="143"/>
      <c r="G1654" s="129"/>
      <c r="H1654" s="124"/>
      <c r="I1654" s="124"/>
      <c r="J1654" s="129"/>
      <c r="K1654" s="194"/>
      <c r="L1654" s="194"/>
      <c r="M1654" s="129"/>
      <c r="N1654" s="129" t="e">
        <f>Table1[[#This Row],[Estimated Effort (Hours)]]/NETWORKDAYS(Table1[[#This Row],[Planned Start Date]],Table1[[#This Row],[Planned End Date]])</f>
        <v>#DIV/0!</v>
      </c>
      <c r="O1654" s="178">
        <f>NETWORKDAYS(Table1[[#This Row],[Planned Start Date]],Table1[[#This Row],[Planned End Date]])</f>
        <v>0</v>
      </c>
      <c r="P1654" s="178">
        <f>NETWORKDAYS(Table1[[#This Row],[Planned Start Date]],$P$7)</f>
        <v>30643</v>
      </c>
      <c r="Q1654" s="129"/>
      <c r="R1654" s="183" t="str">
        <f>IF(Table1[[#This Row],[Actual Effort (Hours)]]="","",IF(Table1[[#This Row],[Estimated Effort (Hours)]]&lt;20,"L1",IF(Table1[[#This Row],[Estimated Effort (Hours)]]&lt;50,"L2",IF(Table1[[#This Row],[Estimated Effort (Hours)]]&lt;150,"L3",IF(Table1[[#This Row],[Estimated Effort (Hours)]]&lt;300,"L4","L5")))))</f>
        <v/>
      </c>
      <c r="S1654" s="184" t="str">
        <f>IF(Table1[[#This Row],[Actual End Date]]="","",TEXT(Table1[[#This Row],[Actual End Date]],"mmm-yy"))</f>
        <v/>
      </c>
      <c r="T16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4" s="185" t="str">
        <f>IFERROR((Table1[[#This Row],[Actual Effort (Hours)]]-Table1[[#This Row],[Estimated Effort (Hours)]])/Table1[[#This Row],[Estimated Effort (Hours)]],"")</f>
        <v/>
      </c>
    </row>
    <row r="1655" spans="2:21">
      <c r="B1655" s="125"/>
      <c r="C1655" s="123"/>
      <c r="D1655" s="143"/>
      <c r="E1655" s="123"/>
      <c r="F1655" s="143"/>
      <c r="G1655" s="129"/>
      <c r="H1655" s="124"/>
      <c r="I1655" s="124"/>
      <c r="J1655" s="129"/>
      <c r="K1655" s="194"/>
      <c r="L1655" s="194"/>
      <c r="M1655" s="129"/>
      <c r="N1655" s="129" t="e">
        <f>Table1[[#This Row],[Estimated Effort (Hours)]]/NETWORKDAYS(Table1[[#This Row],[Planned Start Date]],Table1[[#This Row],[Planned End Date]])</f>
        <v>#DIV/0!</v>
      </c>
      <c r="O1655" s="178">
        <f>NETWORKDAYS(Table1[[#This Row],[Planned Start Date]],Table1[[#This Row],[Planned End Date]])</f>
        <v>0</v>
      </c>
      <c r="P1655" s="178">
        <f>NETWORKDAYS(Table1[[#This Row],[Planned Start Date]],$P$7)</f>
        <v>30643</v>
      </c>
      <c r="Q1655" s="129"/>
      <c r="R1655" s="183" t="str">
        <f>IF(Table1[[#This Row],[Actual Effort (Hours)]]="","",IF(Table1[[#This Row],[Estimated Effort (Hours)]]&lt;20,"L1",IF(Table1[[#This Row],[Estimated Effort (Hours)]]&lt;50,"L2",IF(Table1[[#This Row],[Estimated Effort (Hours)]]&lt;150,"L3",IF(Table1[[#This Row],[Estimated Effort (Hours)]]&lt;300,"L4","L5")))))</f>
        <v/>
      </c>
      <c r="S1655" s="184" t="str">
        <f>IF(Table1[[#This Row],[Actual End Date]]="","",TEXT(Table1[[#This Row],[Actual End Date]],"mmm-yy"))</f>
        <v/>
      </c>
      <c r="T16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5" s="185" t="str">
        <f>IFERROR((Table1[[#This Row],[Actual Effort (Hours)]]-Table1[[#This Row],[Estimated Effort (Hours)]])/Table1[[#This Row],[Estimated Effort (Hours)]],"")</f>
        <v/>
      </c>
    </row>
    <row r="1656" spans="2:21">
      <c r="B1656" s="125"/>
      <c r="C1656" s="123"/>
      <c r="D1656" s="143"/>
      <c r="E1656" s="123"/>
      <c r="F1656" s="143"/>
      <c r="G1656" s="129"/>
      <c r="H1656" s="124"/>
      <c r="I1656" s="124"/>
      <c r="J1656" s="129"/>
      <c r="K1656" s="194"/>
      <c r="L1656" s="194"/>
      <c r="M1656" s="129"/>
      <c r="N1656" s="129" t="e">
        <f>Table1[[#This Row],[Estimated Effort (Hours)]]/NETWORKDAYS(Table1[[#This Row],[Planned Start Date]],Table1[[#This Row],[Planned End Date]])</f>
        <v>#DIV/0!</v>
      </c>
      <c r="O1656" s="178">
        <f>NETWORKDAYS(Table1[[#This Row],[Planned Start Date]],Table1[[#This Row],[Planned End Date]])</f>
        <v>0</v>
      </c>
      <c r="P1656" s="178">
        <f>NETWORKDAYS(Table1[[#This Row],[Planned Start Date]],$P$7)</f>
        <v>30643</v>
      </c>
      <c r="Q1656" s="129"/>
      <c r="R1656" s="183" t="str">
        <f>IF(Table1[[#This Row],[Actual Effort (Hours)]]="","",IF(Table1[[#This Row],[Estimated Effort (Hours)]]&lt;20,"L1",IF(Table1[[#This Row],[Estimated Effort (Hours)]]&lt;50,"L2",IF(Table1[[#This Row],[Estimated Effort (Hours)]]&lt;150,"L3",IF(Table1[[#This Row],[Estimated Effort (Hours)]]&lt;300,"L4","L5")))))</f>
        <v/>
      </c>
      <c r="S1656" s="184" t="str">
        <f>IF(Table1[[#This Row],[Actual End Date]]="","",TEXT(Table1[[#This Row],[Actual End Date]],"mmm-yy"))</f>
        <v/>
      </c>
      <c r="T16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6" s="185" t="str">
        <f>IFERROR((Table1[[#This Row],[Actual Effort (Hours)]]-Table1[[#This Row],[Estimated Effort (Hours)]])/Table1[[#This Row],[Estimated Effort (Hours)]],"")</f>
        <v/>
      </c>
    </row>
    <row r="1657" spans="2:21">
      <c r="B1657" s="125"/>
      <c r="C1657" s="123"/>
      <c r="D1657" s="143"/>
      <c r="E1657" s="123"/>
      <c r="F1657" s="143"/>
      <c r="G1657" s="129"/>
      <c r="H1657" s="124"/>
      <c r="I1657" s="124"/>
      <c r="J1657" s="129"/>
      <c r="K1657" s="194"/>
      <c r="L1657" s="194"/>
      <c r="M1657" s="129"/>
      <c r="N1657" s="129" t="e">
        <f>Table1[[#This Row],[Estimated Effort (Hours)]]/NETWORKDAYS(Table1[[#This Row],[Planned Start Date]],Table1[[#This Row],[Planned End Date]])</f>
        <v>#DIV/0!</v>
      </c>
      <c r="O1657" s="178">
        <f>NETWORKDAYS(Table1[[#This Row],[Planned Start Date]],Table1[[#This Row],[Planned End Date]])</f>
        <v>0</v>
      </c>
      <c r="P1657" s="178">
        <f>NETWORKDAYS(Table1[[#This Row],[Planned Start Date]],$P$7)</f>
        <v>30643</v>
      </c>
      <c r="Q1657" s="129"/>
      <c r="R1657" s="183" t="str">
        <f>IF(Table1[[#This Row],[Actual Effort (Hours)]]="","",IF(Table1[[#This Row],[Estimated Effort (Hours)]]&lt;20,"L1",IF(Table1[[#This Row],[Estimated Effort (Hours)]]&lt;50,"L2",IF(Table1[[#This Row],[Estimated Effort (Hours)]]&lt;150,"L3",IF(Table1[[#This Row],[Estimated Effort (Hours)]]&lt;300,"L4","L5")))))</f>
        <v/>
      </c>
      <c r="S1657" s="184" t="str">
        <f>IF(Table1[[#This Row],[Actual End Date]]="","",TEXT(Table1[[#This Row],[Actual End Date]],"mmm-yy"))</f>
        <v/>
      </c>
      <c r="T16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7" s="185" t="str">
        <f>IFERROR((Table1[[#This Row],[Actual Effort (Hours)]]-Table1[[#This Row],[Estimated Effort (Hours)]])/Table1[[#This Row],[Estimated Effort (Hours)]],"")</f>
        <v/>
      </c>
    </row>
    <row r="1658" spans="2:21">
      <c r="B1658" s="125"/>
      <c r="C1658" s="123"/>
      <c r="D1658" s="143"/>
      <c r="E1658" s="123"/>
      <c r="F1658" s="143"/>
      <c r="G1658" s="129"/>
      <c r="H1658" s="124"/>
      <c r="I1658" s="124"/>
      <c r="J1658" s="129"/>
      <c r="K1658" s="194"/>
      <c r="L1658" s="194"/>
      <c r="M1658" s="129"/>
      <c r="N1658" s="129" t="e">
        <f>Table1[[#This Row],[Estimated Effort (Hours)]]/NETWORKDAYS(Table1[[#This Row],[Planned Start Date]],Table1[[#This Row],[Planned End Date]])</f>
        <v>#DIV/0!</v>
      </c>
      <c r="O1658" s="178">
        <f>NETWORKDAYS(Table1[[#This Row],[Planned Start Date]],Table1[[#This Row],[Planned End Date]])</f>
        <v>0</v>
      </c>
      <c r="P1658" s="178">
        <f>NETWORKDAYS(Table1[[#This Row],[Planned Start Date]],$P$7)</f>
        <v>30643</v>
      </c>
      <c r="Q1658" s="129"/>
      <c r="R1658" s="183" t="str">
        <f>IF(Table1[[#This Row],[Actual Effort (Hours)]]="","",IF(Table1[[#This Row],[Estimated Effort (Hours)]]&lt;20,"L1",IF(Table1[[#This Row],[Estimated Effort (Hours)]]&lt;50,"L2",IF(Table1[[#This Row],[Estimated Effort (Hours)]]&lt;150,"L3",IF(Table1[[#This Row],[Estimated Effort (Hours)]]&lt;300,"L4","L5")))))</f>
        <v/>
      </c>
      <c r="S1658" s="184" t="str">
        <f>IF(Table1[[#This Row],[Actual End Date]]="","",TEXT(Table1[[#This Row],[Actual End Date]],"mmm-yy"))</f>
        <v/>
      </c>
      <c r="T16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8" s="185" t="str">
        <f>IFERROR((Table1[[#This Row],[Actual Effort (Hours)]]-Table1[[#This Row],[Estimated Effort (Hours)]])/Table1[[#This Row],[Estimated Effort (Hours)]],"")</f>
        <v/>
      </c>
    </row>
    <row r="1659" spans="2:21">
      <c r="B1659" s="125"/>
      <c r="C1659" s="123"/>
      <c r="D1659" s="143"/>
      <c r="E1659" s="123"/>
      <c r="F1659" s="143"/>
      <c r="G1659" s="129"/>
      <c r="H1659" s="124"/>
      <c r="I1659" s="124"/>
      <c r="J1659" s="129"/>
      <c r="K1659" s="194"/>
      <c r="L1659" s="194"/>
      <c r="M1659" s="129"/>
      <c r="N1659" s="129" t="e">
        <f>Table1[[#This Row],[Estimated Effort (Hours)]]/NETWORKDAYS(Table1[[#This Row],[Planned Start Date]],Table1[[#This Row],[Planned End Date]])</f>
        <v>#DIV/0!</v>
      </c>
      <c r="O1659" s="178">
        <f>NETWORKDAYS(Table1[[#This Row],[Planned Start Date]],Table1[[#This Row],[Planned End Date]])</f>
        <v>0</v>
      </c>
      <c r="P1659" s="178">
        <f>NETWORKDAYS(Table1[[#This Row],[Planned Start Date]],$P$7)</f>
        <v>30643</v>
      </c>
      <c r="Q1659" s="129"/>
      <c r="R1659" s="183" t="str">
        <f>IF(Table1[[#This Row],[Actual Effort (Hours)]]="","",IF(Table1[[#This Row],[Estimated Effort (Hours)]]&lt;20,"L1",IF(Table1[[#This Row],[Estimated Effort (Hours)]]&lt;50,"L2",IF(Table1[[#This Row],[Estimated Effort (Hours)]]&lt;150,"L3",IF(Table1[[#This Row],[Estimated Effort (Hours)]]&lt;300,"L4","L5")))))</f>
        <v/>
      </c>
      <c r="S1659" s="184" t="str">
        <f>IF(Table1[[#This Row],[Actual End Date]]="","",TEXT(Table1[[#This Row],[Actual End Date]],"mmm-yy"))</f>
        <v/>
      </c>
      <c r="T16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59" s="185" t="str">
        <f>IFERROR((Table1[[#This Row],[Actual Effort (Hours)]]-Table1[[#This Row],[Estimated Effort (Hours)]])/Table1[[#This Row],[Estimated Effort (Hours)]],"")</f>
        <v/>
      </c>
    </row>
    <row r="1660" spans="2:21">
      <c r="B1660" s="125"/>
      <c r="C1660" s="123"/>
      <c r="D1660" s="143"/>
      <c r="E1660" s="123"/>
      <c r="F1660" s="143"/>
      <c r="G1660" s="129"/>
      <c r="H1660" s="124"/>
      <c r="I1660" s="124"/>
      <c r="J1660" s="129"/>
      <c r="K1660" s="194"/>
      <c r="L1660" s="194"/>
      <c r="M1660" s="129"/>
      <c r="N1660" s="129" t="e">
        <f>Table1[[#This Row],[Estimated Effort (Hours)]]/NETWORKDAYS(Table1[[#This Row],[Planned Start Date]],Table1[[#This Row],[Planned End Date]])</f>
        <v>#DIV/0!</v>
      </c>
      <c r="O1660" s="178">
        <f>NETWORKDAYS(Table1[[#This Row],[Planned Start Date]],Table1[[#This Row],[Planned End Date]])</f>
        <v>0</v>
      </c>
      <c r="P1660" s="178">
        <f>NETWORKDAYS(Table1[[#This Row],[Planned Start Date]],$P$7)</f>
        <v>30643</v>
      </c>
      <c r="Q1660" s="129"/>
      <c r="R1660" s="183" t="str">
        <f>IF(Table1[[#This Row],[Actual Effort (Hours)]]="","",IF(Table1[[#This Row],[Estimated Effort (Hours)]]&lt;20,"L1",IF(Table1[[#This Row],[Estimated Effort (Hours)]]&lt;50,"L2",IF(Table1[[#This Row],[Estimated Effort (Hours)]]&lt;150,"L3",IF(Table1[[#This Row],[Estimated Effort (Hours)]]&lt;300,"L4","L5")))))</f>
        <v/>
      </c>
      <c r="S1660" s="184" t="str">
        <f>IF(Table1[[#This Row],[Actual End Date]]="","",TEXT(Table1[[#This Row],[Actual End Date]],"mmm-yy"))</f>
        <v/>
      </c>
      <c r="T16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0" s="185" t="str">
        <f>IFERROR((Table1[[#This Row],[Actual Effort (Hours)]]-Table1[[#This Row],[Estimated Effort (Hours)]])/Table1[[#This Row],[Estimated Effort (Hours)]],"")</f>
        <v/>
      </c>
    </row>
    <row r="1661" spans="2:21">
      <c r="B1661" s="125"/>
      <c r="C1661" s="123"/>
      <c r="D1661" s="143"/>
      <c r="E1661" s="123"/>
      <c r="F1661" s="143"/>
      <c r="G1661" s="129"/>
      <c r="H1661" s="124"/>
      <c r="I1661" s="124"/>
      <c r="J1661" s="129"/>
      <c r="K1661" s="194"/>
      <c r="L1661" s="194"/>
      <c r="M1661" s="129"/>
      <c r="N1661" s="129" t="e">
        <f>Table1[[#This Row],[Estimated Effort (Hours)]]/NETWORKDAYS(Table1[[#This Row],[Planned Start Date]],Table1[[#This Row],[Planned End Date]])</f>
        <v>#DIV/0!</v>
      </c>
      <c r="O1661" s="178">
        <f>NETWORKDAYS(Table1[[#This Row],[Planned Start Date]],Table1[[#This Row],[Planned End Date]])</f>
        <v>0</v>
      </c>
      <c r="P1661" s="178">
        <f>NETWORKDAYS(Table1[[#This Row],[Planned Start Date]],$P$7)</f>
        <v>30643</v>
      </c>
      <c r="Q1661" s="129"/>
      <c r="R1661" s="183" t="str">
        <f>IF(Table1[[#This Row],[Actual Effort (Hours)]]="","",IF(Table1[[#This Row],[Estimated Effort (Hours)]]&lt;20,"L1",IF(Table1[[#This Row],[Estimated Effort (Hours)]]&lt;50,"L2",IF(Table1[[#This Row],[Estimated Effort (Hours)]]&lt;150,"L3",IF(Table1[[#This Row],[Estimated Effort (Hours)]]&lt;300,"L4","L5")))))</f>
        <v/>
      </c>
      <c r="S1661" s="184" t="str">
        <f>IF(Table1[[#This Row],[Actual End Date]]="","",TEXT(Table1[[#This Row],[Actual End Date]],"mmm-yy"))</f>
        <v/>
      </c>
      <c r="T16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1" s="185" t="str">
        <f>IFERROR((Table1[[#This Row],[Actual Effort (Hours)]]-Table1[[#This Row],[Estimated Effort (Hours)]])/Table1[[#This Row],[Estimated Effort (Hours)]],"")</f>
        <v/>
      </c>
    </row>
    <row r="1662" spans="2:21">
      <c r="B1662" s="125"/>
      <c r="C1662" s="123"/>
      <c r="D1662" s="143"/>
      <c r="E1662" s="123"/>
      <c r="F1662" s="143"/>
      <c r="G1662" s="129"/>
      <c r="H1662" s="124"/>
      <c r="I1662" s="124"/>
      <c r="J1662" s="129"/>
      <c r="K1662" s="194"/>
      <c r="L1662" s="194"/>
      <c r="M1662" s="129"/>
      <c r="N1662" s="129" t="e">
        <f>Table1[[#This Row],[Estimated Effort (Hours)]]/NETWORKDAYS(Table1[[#This Row],[Planned Start Date]],Table1[[#This Row],[Planned End Date]])</f>
        <v>#DIV/0!</v>
      </c>
      <c r="O1662" s="178">
        <f>NETWORKDAYS(Table1[[#This Row],[Planned Start Date]],Table1[[#This Row],[Planned End Date]])</f>
        <v>0</v>
      </c>
      <c r="P1662" s="178">
        <f>NETWORKDAYS(Table1[[#This Row],[Planned Start Date]],$P$7)</f>
        <v>30643</v>
      </c>
      <c r="Q1662" s="129"/>
      <c r="R1662" s="183" t="str">
        <f>IF(Table1[[#This Row],[Actual Effort (Hours)]]="","",IF(Table1[[#This Row],[Estimated Effort (Hours)]]&lt;20,"L1",IF(Table1[[#This Row],[Estimated Effort (Hours)]]&lt;50,"L2",IF(Table1[[#This Row],[Estimated Effort (Hours)]]&lt;150,"L3",IF(Table1[[#This Row],[Estimated Effort (Hours)]]&lt;300,"L4","L5")))))</f>
        <v/>
      </c>
      <c r="S1662" s="184" t="str">
        <f>IF(Table1[[#This Row],[Actual End Date]]="","",TEXT(Table1[[#This Row],[Actual End Date]],"mmm-yy"))</f>
        <v/>
      </c>
      <c r="T16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2" s="185" t="str">
        <f>IFERROR((Table1[[#This Row],[Actual Effort (Hours)]]-Table1[[#This Row],[Estimated Effort (Hours)]])/Table1[[#This Row],[Estimated Effort (Hours)]],"")</f>
        <v/>
      </c>
    </row>
    <row r="1663" spans="2:21">
      <c r="B1663" s="125"/>
      <c r="C1663" s="123"/>
      <c r="D1663" s="143"/>
      <c r="E1663" s="123"/>
      <c r="F1663" s="143"/>
      <c r="G1663" s="129"/>
      <c r="H1663" s="124"/>
      <c r="I1663" s="124"/>
      <c r="J1663" s="129"/>
      <c r="K1663" s="194"/>
      <c r="L1663" s="194"/>
      <c r="M1663" s="129"/>
      <c r="N1663" s="129" t="e">
        <f>Table1[[#This Row],[Estimated Effort (Hours)]]/NETWORKDAYS(Table1[[#This Row],[Planned Start Date]],Table1[[#This Row],[Planned End Date]])</f>
        <v>#DIV/0!</v>
      </c>
      <c r="O1663" s="178">
        <f>NETWORKDAYS(Table1[[#This Row],[Planned Start Date]],Table1[[#This Row],[Planned End Date]])</f>
        <v>0</v>
      </c>
      <c r="P1663" s="178">
        <f>NETWORKDAYS(Table1[[#This Row],[Planned Start Date]],$P$7)</f>
        <v>30643</v>
      </c>
      <c r="Q1663" s="129"/>
      <c r="R1663" s="183" t="str">
        <f>IF(Table1[[#This Row],[Actual Effort (Hours)]]="","",IF(Table1[[#This Row],[Estimated Effort (Hours)]]&lt;20,"L1",IF(Table1[[#This Row],[Estimated Effort (Hours)]]&lt;50,"L2",IF(Table1[[#This Row],[Estimated Effort (Hours)]]&lt;150,"L3",IF(Table1[[#This Row],[Estimated Effort (Hours)]]&lt;300,"L4","L5")))))</f>
        <v/>
      </c>
      <c r="S1663" s="184" t="str">
        <f>IF(Table1[[#This Row],[Actual End Date]]="","",TEXT(Table1[[#This Row],[Actual End Date]],"mmm-yy"))</f>
        <v/>
      </c>
      <c r="T16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3" s="185" t="str">
        <f>IFERROR((Table1[[#This Row],[Actual Effort (Hours)]]-Table1[[#This Row],[Estimated Effort (Hours)]])/Table1[[#This Row],[Estimated Effort (Hours)]],"")</f>
        <v/>
      </c>
    </row>
    <row r="1664" spans="2:21">
      <c r="B1664" s="125"/>
      <c r="C1664" s="123"/>
      <c r="D1664" s="143"/>
      <c r="E1664" s="123"/>
      <c r="F1664" s="143"/>
      <c r="G1664" s="129"/>
      <c r="H1664" s="124"/>
      <c r="I1664" s="124"/>
      <c r="J1664" s="129"/>
      <c r="K1664" s="194"/>
      <c r="L1664" s="194"/>
      <c r="M1664" s="129"/>
      <c r="N1664" s="129" t="e">
        <f>Table1[[#This Row],[Estimated Effort (Hours)]]/NETWORKDAYS(Table1[[#This Row],[Planned Start Date]],Table1[[#This Row],[Planned End Date]])</f>
        <v>#DIV/0!</v>
      </c>
      <c r="O1664" s="178">
        <f>NETWORKDAYS(Table1[[#This Row],[Planned Start Date]],Table1[[#This Row],[Planned End Date]])</f>
        <v>0</v>
      </c>
      <c r="P1664" s="178">
        <f>NETWORKDAYS(Table1[[#This Row],[Planned Start Date]],$P$7)</f>
        <v>30643</v>
      </c>
      <c r="Q1664" s="129"/>
      <c r="R1664" s="183" t="str">
        <f>IF(Table1[[#This Row],[Actual Effort (Hours)]]="","",IF(Table1[[#This Row],[Estimated Effort (Hours)]]&lt;20,"L1",IF(Table1[[#This Row],[Estimated Effort (Hours)]]&lt;50,"L2",IF(Table1[[#This Row],[Estimated Effort (Hours)]]&lt;150,"L3",IF(Table1[[#This Row],[Estimated Effort (Hours)]]&lt;300,"L4","L5")))))</f>
        <v/>
      </c>
      <c r="S1664" s="184" t="str">
        <f>IF(Table1[[#This Row],[Actual End Date]]="","",TEXT(Table1[[#This Row],[Actual End Date]],"mmm-yy"))</f>
        <v/>
      </c>
      <c r="T16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4" s="185" t="str">
        <f>IFERROR((Table1[[#This Row],[Actual Effort (Hours)]]-Table1[[#This Row],[Estimated Effort (Hours)]])/Table1[[#This Row],[Estimated Effort (Hours)]],"")</f>
        <v/>
      </c>
    </row>
    <row r="1665" spans="2:21">
      <c r="B1665" s="125"/>
      <c r="C1665" s="123"/>
      <c r="D1665" s="143"/>
      <c r="E1665" s="123"/>
      <c r="F1665" s="143"/>
      <c r="G1665" s="129"/>
      <c r="H1665" s="124"/>
      <c r="I1665" s="124"/>
      <c r="J1665" s="129"/>
      <c r="K1665" s="194"/>
      <c r="L1665" s="194"/>
      <c r="M1665" s="129"/>
      <c r="N1665" s="129" t="e">
        <f>Table1[[#This Row],[Estimated Effort (Hours)]]/NETWORKDAYS(Table1[[#This Row],[Planned Start Date]],Table1[[#This Row],[Planned End Date]])</f>
        <v>#DIV/0!</v>
      </c>
      <c r="O1665" s="178">
        <f>NETWORKDAYS(Table1[[#This Row],[Planned Start Date]],Table1[[#This Row],[Planned End Date]])</f>
        <v>0</v>
      </c>
      <c r="P1665" s="178">
        <f>NETWORKDAYS(Table1[[#This Row],[Planned Start Date]],$P$7)</f>
        <v>30643</v>
      </c>
      <c r="Q1665" s="129"/>
      <c r="R1665" s="183" t="str">
        <f>IF(Table1[[#This Row],[Actual Effort (Hours)]]="","",IF(Table1[[#This Row],[Estimated Effort (Hours)]]&lt;20,"L1",IF(Table1[[#This Row],[Estimated Effort (Hours)]]&lt;50,"L2",IF(Table1[[#This Row],[Estimated Effort (Hours)]]&lt;150,"L3",IF(Table1[[#This Row],[Estimated Effort (Hours)]]&lt;300,"L4","L5")))))</f>
        <v/>
      </c>
      <c r="S1665" s="184" t="str">
        <f>IF(Table1[[#This Row],[Actual End Date]]="","",TEXT(Table1[[#This Row],[Actual End Date]],"mmm-yy"))</f>
        <v/>
      </c>
      <c r="T16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5" s="185" t="str">
        <f>IFERROR((Table1[[#This Row],[Actual Effort (Hours)]]-Table1[[#This Row],[Estimated Effort (Hours)]])/Table1[[#This Row],[Estimated Effort (Hours)]],"")</f>
        <v/>
      </c>
    </row>
    <row r="1666" spans="2:21">
      <c r="B1666" s="125"/>
      <c r="C1666" s="123"/>
      <c r="D1666" s="143"/>
      <c r="E1666" s="123"/>
      <c r="F1666" s="143"/>
      <c r="G1666" s="129"/>
      <c r="H1666" s="124"/>
      <c r="I1666" s="124"/>
      <c r="J1666" s="129"/>
      <c r="K1666" s="194"/>
      <c r="L1666" s="194"/>
      <c r="M1666" s="129"/>
      <c r="N1666" s="129" t="e">
        <f>Table1[[#This Row],[Estimated Effort (Hours)]]/NETWORKDAYS(Table1[[#This Row],[Planned Start Date]],Table1[[#This Row],[Planned End Date]])</f>
        <v>#DIV/0!</v>
      </c>
      <c r="O1666" s="178">
        <f>NETWORKDAYS(Table1[[#This Row],[Planned Start Date]],Table1[[#This Row],[Planned End Date]])</f>
        <v>0</v>
      </c>
      <c r="P1666" s="178">
        <f>NETWORKDAYS(Table1[[#This Row],[Planned Start Date]],$P$7)</f>
        <v>30643</v>
      </c>
      <c r="Q1666" s="129"/>
      <c r="R1666" s="183" t="str">
        <f>IF(Table1[[#This Row],[Actual Effort (Hours)]]="","",IF(Table1[[#This Row],[Estimated Effort (Hours)]]&lt;20,"L1",IF(Table1[[#This Row],[Estimated Effort (Hours)]]&lt;50,"L2",IF(Table1[[#This Row],[Estimated Effort (Hours)]]&lt;150,"L3",IF(Table1[[#This Row],[Estimated Effort (Hours)]]&lt;300,"L4","L5")))))</f>
        <v/>
      </c>
      <c r="S1666" s="184" t="str">
        <f>IF(Table1[[#This Row],[Actual End Date]]="","",TEXT(Table1[[#This Row],[Actual End Date]],"mmm-yy"))</f>
        <v/>
      </c>
      <c r="T16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6" s="185" t="str">
        <f>IFERROR((Table1[[#This Row],[Actual Effort (Hours)]]-Table1[[#This Row],[Estimated Effort (Hours)]])/Table1[[#This Row],[Estimated Effort (Hours)]],"")</f>
        <v/>
      </c>
    </row>
    <row r="1667" spans="2:21">
      <c r="B1667" s="125"/>
      <c r="C1667" s="123"/>
      <c r="D1667" s="143"/>
      <c r="E1667" s="123"/>
      <c r="F1667" s="143"/>
      <c r="G1667" s="129"/>
      <c r="H1667" s="124"/>
      <c r="I1667" s="124"/>
      <c r="J1667" s="129"/>
      <c r="K1667" s="194"/>
      <c r="L1667" s="194"/>
      <c r="M1667" s="129"/>
      <c r="N1667" s="129" t="e">
        <f>Table1[[#This Row],[Estimated Effort (Hours)]]/NETWORKDAYS(Table1[[#This Row],[Planned Start Date]],Table1[[#This Row],[Planned End Date]])</f>
        <v>#DIV/0!</v>
      </c>
      <c r="O1667" s="178">
        <f>NETWORKDAYS(Table1[[#This Row],[Planned Start Date]],Table1[[#This Row],[Planned End Date]])</f>
        <v>0</v>
      </c>
      <c r="P1667" s="178">
        <f>NETWORKDAYS(Table1[[#This Row],[Planned Start Date]],$P$7)</f>
        <v>30643</v>
      </c>
      <c r="Q1667" s="129"/>
      <c r="R1667" s="183" t="str">
        <f>IF(Table1[[#This Row],[Actual Effort (Hours)]]="","",IF(Table1[[#This Row],[Estimated Effort (Hours)]]&lt;20,"L1",IF(Table1[[#This Row],[Estimated Effort (Hours)]]&lt;50,"L2",IF(Table1[[#This Row],[Estimated Effort (Hours)]]&lt;150,"L3",IF(Table1[[#This Row],[Estimated Effort (Hours)]]&lt;300,"L4","L5")))))</f>
        <v/>
      </c>
      <c r="S1667" s="184" t="str">
        <f>IF(Table1[[#This Row],[Actual End Date]]="","",TEXT(Table1[[#This Row],[Actual End Date]],"mmm-yy"))</f>
        <v/>
      </c>
      <c r="T16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7" s="185" t="str">
        <f>IFERROR((Table1[[#This Row],[Actual Effort (Hours)]]-Table1[[#This Row],[Estimated Effort (Hours)]])/Table1[[#This Row],[Estimated Effort (Hours)]],"")</f>
        <v/>
      </c>
    </row>
    <row r="1668" spans="2:21">
      <c r="B1668" s="125"/>
      <c r="C1668" s="123"/>
      <c r="D1668" s="143"/>
      <c r="E1668" s="123"/>
      <c r="F1668" s="143"/>
      <c r="G1668" s="129"/>
      <c r="H1668" s="124"/>
      <c r="I1668" s="124"/>
      <c r="J1668" s="129"/>
      <c r="K1668" s="194"/>
      <c r="L1668" s="194"/>
      <c r="M1668" s="129"/>
      <c r="N1668" s="129" t="e">
        <f>Table1[[#This Row],[Estimated Effort (Hours)]]/NETWORKDAYS(Table1[[#This Row],[Planned Start Date]],Table1[[#This Row],[Planned End Date]])</f>
        <v>#DIV/0!</v>
      </c>
      <c r="O1668" s="178">
        <f>NETWORKDAYS(Table1[[#This Row],[Planned Start Date]],Table1[[#This Row],[Planned End Date]])</f>
        <v>0</v>
      </c>
      <c r="P1668" s="178">
        <f>NETWORKDAYS(Table1[[#This Row],[Planned Start Date]],$P$7)</f>
        <v>30643</v>
      </c>
      <c r="Q1668" s="129"/>
      <c r="R1668" s="183" t="str">
        <f>IF(Table1[[#This Row],[Actual Effort (Hours)]]="","",IF(Table1[[#This Row],[Estimated Effort (Hours)]]&lt;20,"L1",IF(Table1[[#This Row],[Estimated Effort (Hours)]]&lt;50,"L2",IF(Table1[[#This Row],[Estimated Effort (Hours)]]&lt;150,"L3",IF(Table1[[#This Row],[Estimated Effort (Hours)]]&lt;300,"L4","L5")))))</f>
        <v/>
      </c>
      <c r="S1668" s="184" t="str">
        <f>IF(Table1[[#This Row],[Actual End Date]]="","",TEXT(Table1[[#This Row],[Actual End Date]],"mmm-yy"))</f>
        <v/>
      </c>
      <c r="T16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8" s="185" t="str">
        <f>IFERROR((Table1[[#This Row],[Actual Effort (Hours)]]-Table1[[#This Row],[Estimated Effort (Hours)]])/Table1[[#This Row],[Estimated Effort (Hours)]],"")</f>
        <v/>
      </c>
    </row>
    <row r="1669" spans="2:21">
      <c r="B1669" s="125"/>
      <c r="C1669" s="123"/>
      <c r="D1669" s="143"/>
      <c r="E1669" s="123"/>
      <c r="F1669" s="143"/>
      <c r="G1669" s="129"/>
      <c r="H1669" s="124"/>
      <c r="I1669" s="124"/>
      <c r="J1669" s="129"/>
      <c r="K1669" s="194"/>
      <c r="L1669" s="194"/>
      <c r="M1669" s="129"/>
      <c r="N1669" s="129" t="e">
        <f>Table1[[#This Row],[Estimated Effort (Hours)]]/NETWORKDAYS(Table1[[#This Row],[Planned Start Date]],Table1[[#This Row],[Planned End Date]])</f>
        <v>#DIV/0!</v>
      </c>
      <c r="O1669" s="178">
        <f>NETWORKDAYS(Table1[[#This Row],[Planned Start Date]],Table1[[#This Row],[Planned End Date]])</f>
        <v>0</v>
      </c>
      <c r="P1669" s="178">
        <f>NETWORKDAYS(Table1[[#This Row],[Planned Start Date]],$P$7)</f>
        <v>30643</v>
      </c>
      <c r="Q1669" s="129"/>
      <c r="R1669" s="183" t="str">
        <f>IF(Table1[[#This Row],[Actual Effort (Hours)]]="","",IF(Table1[[#This Row],[Estimated Effort (Hours)]]&lt;20,"L1",IF(Table1[[#This Row],[Estimated Effort (Hours)]]&lt;50,"L2",IF(Table1[[#This Row],[Estimated Effort (Hours)]]&lt;150,"L3",IF(Table1[[#This Row],[Estimated Effort (Hours)]]&lt;300,"L4","L5")))))</f>
        <v/>
      </c>
      <c r="S1669" s="184" t="str">
        <f>IF(Table1[[#This Row],[Actual End Date]]="","",TEXT(Table1[[#This Row],[Actual End Date]],"mmm-yy"))</f>
        <v/>
      </c>
      <c r="T16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69" s="185" t="str">
        <f>IFERROR((Table1[[#This Row],[Actual Effort (Hours)]]-Table1[[#This Row],[Estimated Effort (Hours)]])/Table1[[#This Row],[Estimated Effort (Hours)]],"")</f>
        <v/>
      </c>
    </row>
    <row r="1670" spans="2:21">
      <c r="B1670" s="125"/>
      <c r="C1670" s="123"/>
      <c r="D1670" s="143"/>
      <c r="E1670" s="123"/>
      <c r="F1670" s="143"/>
      <c r="G1670" s="129"/>
      <c r="H1670" s="124"/>
      <c r="I1670" s="124"/>
      <c r="J1670" s="129"/>
      <c r="K1670" s="194"/>
      <c r="L1670" s="194"/>
      <c r="M1670" s="129"/>
      <c r="N1670" s="129" t="e">
        <f>Table1[[#This Row],[Estimated Effort (Hours)]]/NETWORKDAYS(Table1[[#This Row],[Planned Start Date]],Table1[[#This Row],[Planned End Date]])</f>
        <v>#DIV/0!</v>
      </c>
      <c r="O1670" s="178">
        <f>NETWORKDAYS(Table1[[#This Row],[Planned Start Date]],Table1[[#This Row],[Planned End Date]])</f>
        <v>0</v>
      </c>
      <c r="P1670" s="178">
        <f>NETWORKDAYS(Table1[[#This Row],[Planned Start Date]],$P$7)</f>
        <v>30643</v>
      </c>
      <c r="Q1670" s="129"/>
      <c r="R1670" s="183" t="str">
        <f>IF(Table1[[#This Row],[Actual Effort (Hours)]]="","",IF(Table1[[#This Row],[Estimated Effort (Hours)]]&lt;20,"L1",IF(Table1[[#This Row],[Estimated Effort (Hours)]]&lt;50,"L2",IF(Table1[[#This Row],[Estimated Effort (Hours)]]&lt;150,"L3",IF(Table1[[#This Row],[Estimated Effort (Hours)]]&lt;300,"L4","L5")))))</f>
        <v/>
      </c>
      <c r="S1670" s="184" t="str">
        <f>IF(Table1[[#This Row],[Actual End Date]]="","",TEXT(Table1[[#This Row],[Actual End Date]],"mmm-yy"))</f>
        <v/>
      </c>
      <c r="T16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0" s="185" t="str">
        <f>IFERROR((Table1[[#This Row],[Actual Effort (Hours)]]-Table1[[#This Row],[Estimated Effort (Hours)]])/Table1[[#This Row],[Estimated Effort (Hours)]],"")</f>
        <v/>
      </c>
    </row>
    <row r="1671" spans="2:21">
      <c r="B1671" s="125"/>
      <c r="C1671" s="123"/>
      <c r="D1671" s="143"/>
      <c r="E1671" s="123"/>
      <c r="F1671" s="143"/>
      <c r="G1671" s="129"/>
      <c r="H1671" s="124"/>
      <c r="I1671" s="124"/>
      <c r="J1671" s="129"/>
      <c r="K1671" s="194"/>
      <c r="L1671" s="194"/>
      <c r="M1671" s="129"/>
      <c r="N1671" s="129" t="e">
        <f>Table1[[#This Row],[Estimated Effort (Hours)]]/NETWORKDAYS(Table1[[#This Row],[Planned Start Date]],Table1[[#This Row],[Planned End Date]])</f>
        <v>#DIV/0!</v>
      </c>
      <c r="O1671" s="178">
        <f>NETWORKDAYS(Table1[[#This Row],[Planned Start Date]],Table1[[#This Row],[Planned End Date]])</f>
        <v>0</v>
      </c>
      <c r="P1671" s="178">
        <f>NETWORKDAYS(Table1[[#This Row],[Planned Start Date]],$P$7)</f>
        <v>30643</v>
      </c>
      <c r="Q1671" s="129"/>
      <c r="R1671" s="183" t="str">
        <f>IF(Table1[[#This Row],[Actual Effort (Hours)]]="","",IF(Table1[[#This Row],[Estimated Effort (Hours)]]&lt;20,"L1",IF(Table1[[#This Row],[Estimated Effort (Hours)]]&lt;50,"L2",IF(Table1[[#This Row],[Estimated Effort (Hours)]]&lt;150,"L3",IF(Table1[[#This Row],[Estimated Effort (Hours)]]&lt;300,"L4","L5")))))</f>
        <v/>
      </c>
      <c r="S1671" s="184" t="str">
        <f>IF(Table1[[#This Row],[Actual End Date]]="","",TEXT(Table1[[#This Row],[Actual End Date]],"mmm-yy"))</f>
        <v/>
      </c>
      <c r="T16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1" s="185" t="str">
        <f>IFERROR((Table1[[#This Row],[Actual Effort (Hours)]]-Table1[[#This Row],[Estimated Effort (Hours)]])/Table1[[#This Row],[Estimated Effort (Hours)]],"")</f>
        <v/>
      </c>
    </row>
    <row r="1672" spans="2:21">
      <c r="B1672" s="125"/>
      <c r="C1672" s="123"/>
      <c r="D1672" s="143"/>
      <c r="E1672" s="123"/>
      <c r="F1672" s="143"/>
      <c r="G1672" s="129"/>
      <c r="H1672" s="124"/>
      <c r="I1672" s="124"/>
      <c r="J1672" s="129"/>
      <c r="K1672" s="194"/>
      <c r="L1672" s="194"/>
      <c r="M1672" s="129"/>
      <c r="N1672" s="129" t="e">
        <f>Table1[[#This Row],[Estimated Effort (Hours)]]/NETWORKDAYS(Table1[[#This Row],[Planned Start Date]],Table1[[#This Row],[Planned End Date]])</f>
        <v>#DIV/0!</v>
      </c>
      <c r="O1672" s="178">
        <f>NETWORKDAYS(Table1[[#This Row],[Planned Start Date]],Table1[[#This Row],[Planned End Date]])</f>
        <v>0</v>
      </c>
      <c r="P1672" s="178">
        <f>NETWORKDAYS(Table1[[#This Row],[Planned Start Date]],$P$7)</f>
        <v>30643</v>
      </c>
      <c r="Q1672" s="129"/>
      <c r="R1672" s="183" t="str">
        <f>IF(Table1[[#This Row],[Actual Effort (Hours)]]="","",IF(Table1[[#This Row],[Estimated Effort (Hours)]]&lt;20,"L1",IF(Table1[[#This Row],[Estimated Effort (Hours)]]&lt;50,"L2",IF(Table1[[#This Row],[Estimated Effort (Hours)]]&lt;150,"L3",IF(Table1[[#This Row],[Estimated Effort (Hours)]]&lt;300,"L4","L5")))))</f>
        <v/>
      </c>
      <c r="S1672" s="184" t="str">
        <f>IF(Table1[[#This Row],[Actual End Date]]="","",TEXT(Table1[[#This Row],[Actual End Date]],"mmm-yy"))</f>
        <v/>
      </c>
      <c r="T16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2" s="185" t="str">
        <f>IFERROR((Table1[[#This Row],[Actual Effort (Hours)]]-Table1[[#This Row],[Estimated Effort (Hours)]])/Table1[[#This Row],[Estimated Effort (Hours)]],"")</f>
        <v/>
      </c>
    </row>
    <row r="1673" spans="2:21">
      <c r="B1673" s="125"/>
      <c r="C1673" s="123"/>
      <c r="D1673" s="143"/>
      <c r="E1673" s="123"/>
      <c r="F1673" s="143"/>
      <c r="G1673" s="129"/>
      <c r="H1673" s="124"/>
      <c r="I1673" s="124"/>
      <c r="J1673" s="129"/>
      <c r="K1673" s="194"/>
      <c r="L1673" s="194"/>
      <c r="M1673" s="129"/>
      <c r="N1673" s="129" t="e">
        <f>Table1[[#This Row],[Estimated Effort (Hours)]]/NETWORKDAYS(Table1[[#This Row],[Planned Start Date]],Table1[[#This Row],[Planned End Date]])</f>
        <v>#DIV/0!</v>
      </c>
      <c r="O1673" s="178">
        <f>NETWORKDAYS(Table1[[#This Row],[Planned Start Date]],Table1[[#This Row],[Planned End Date]])</f>
        <v>0</v>
      </c>
      <c r="P1673" s="178">
        <f>NETWORKDAYS(Table1[[#This Row],[Planned Start Date]],$P$7)</f>
        <v>30643</v>
      </c>
      <c r="Q1673" s="129"/>
      <c r="R1673" s="183" t="str">
        <f>IF(Table1[[#This Row],[Actual Effort (Hours)]]="","",IF(Table1[[#This Row],[Estimated Effort (Hours)]]&lt;20,"L1",IF(Table1[[#This Row],[Estimated Effort (Hours)]]&lt;50,"L2",IF(Table1[[#This Row],[Estimated Effort (Hours)]]&lt;150,"L3",IF(Table1[[#This Row],[Estimated Effort (Hours)]]&lt;300,"L4","L5")))))</f>
        <v/>
      </c>
      <c r="S1673" s="184" t="str">
        <f>IF(Table1[[#This Row],[Actual End Date]]="","",TEXT(Table1[[#This Row],[Actual End Date]],"mmm-yy"))</f>
        <v/>
      </c>
      <c r="T16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3" s="185" t="str">
        <f>IFERROR((Table1[[#This Row],[Actual Effort (Hours)]]-Table1[[#This Row],[Estimated Effort (Hours)]])/Table1[[#This Row],[Estimated Effort (Hours)]],"")</f>
        <v/>
      </c>
    </row>
    <row r="1674" spans="2:21">
      <c r="B1674" s="125"/>
      <c r="C1674" s="123"/>
      <c r="D1674" s="143"/>
      <c r="E1674" s="123"/>
      <c r="F1674" s="143"/>
      <c r="G1674" s="129"/>
      <c r="H1674" s="124"/>
      <c r="I1674" s="124"/>
      <c r="J1674" s="129"/>
      <c r="K1674" s="194"/>
      <c r="L1674" s="194"/>
      <c r="M1674" s="129"/>
      <c r="N1674" s="129" t="e">
        <f>Table1[[#This Row],[Estimated Effort (Hours)]]/NETWORKDAYS(Table1[[#This Row],[Planned Start Date]],Table1[[#This Row],[Planned End Date]])</f>
        <v>#DIV/0!</v>
      </c>
      <c r="O1674" s="178">
        <f>NETWORKDAYS(Table1[[#This Row],[Planned Start Date]],Table1[[#This Row],[Planned End Date]])</f>
        <v>0</v>
      </c>
      <c r="P1674" s="178">
        <f>NETWORKDAYS(Table1[[#This Row],[Planned Start Date]],$P$7)</f>
        <v>30643</v>
      </c>
      <c r="Q1674" s="129"/>
      <c r="R1674" s="183" t="str">
        <f>IF(Table1[[#This Row],[Actual Effort (Hours)]]="","",IF(Table1[[#This Row],[Estimated Effort (Hours)]]&lt;20,"L1",IF(Table1[[#This Row],[Estimated Effort (Hours)]]&lt;50,"L2",IF(Table1[[#This Row],[Estimated Effort (Hours)]]&lt;150,"L3",IF(Table1[[#This Row],[Estimated Effort (Hours)]]&lt;300,"L4","L5")))))</f>
        <v/>
      </c>
      <c r="S1674" s="184" t="str">
        <f>IF(Table1[[#This Row],[Actual End Date]]="","",TEXT(Table1[[#This Row],[Actual End Date]],"mmm-yy"))</f>
        <v/>
      </c>
      <c r="T16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4" s="185" t="str">
        <f>IFERROR((Table1[[#This Row],[Actual Effort (Hours)]]-Table1[[#This Row],[Estimated Effort (Hours)]])/Table1[[#This Row],[Estimated Effort (Hours)]],"")</f>
        <v/>
      </c>
    </row>
    <row r="1675" spans="2:21">
      <c r="B1675" s="125"/>
      <c r="C1675" s="123"/>
      <c r="D1675" s="143"/>
      <c r="E1675" s="123"/>
      <c r="F1675" s="143"/>
      <c r="G1675" s="129"/>
      <c r="H1675" s="124"/>
      <c r="I1675" s="124"/>
      <c r="J1675" s="129"/>
      <c r="K1675" s="194"/>
      <c r="L1675" s="194"/>
      <c r="M1675" s="129"/>
      <c r="N1675" s="129" t="e">
        <f>Table1[[#This Row],[Estimated Effort (Hours)]]/NETWORKDAYS(Table1[[#This Row],[Planned Start Date]],Table1[[#This Row],[Planned End Date]])</f>
        <v>#DIV/0!</v>
      </c>
      <c r="O1675" s="178">
        <f>NETWORKDAYS(Table1[[#This Row],[Planned Start Date]],Table1[[#This Row],[Planned End Date]])</f>
        <v>0</v>
      </c>
      <c r="P1675" s="178">
        <f>NETWORKDAYS(Table1[[#This Row],[Planned Start Date]],$P$7)</f>
        <v>30643</v>
      </c>
      <c r="Q1675" s="129"/>
      <c r="R1675" s="183" t="str">
        <f>IF(Table1[[#This Row],[Actual Effort (Hours)]]="","",IF(Table1[[#This Row],[Estimated Effort (Hours)]]&lt;20,"L1",IF(Table1[[#This Row],[Estimated Effort (Hours)]]&lt;50,"L2",IF(Table1[[#This Row],[Estimated Effort (Hours)]]&lt;150,"L3",IF(Table1[[#This Row],[Estimated Effort (Hours)]]&lt;300,"L4","L5")))))</f>
        <v/>
      </c>
      <c r="S1675" s="184" t="str">
        <f>IF(Table1[[#This Row],[Actual End Date]]="","",TEXT(Table1[[#This Row],[Actual End Date]],"mmm-yy"))</f>
        <v/>
      </c>
      <c r="T16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5" s="185" t="str">
        <f>IFERROR((Table1[[#This Row],[Actual Effort (Hours)]]-Table1[[#This Row],[Estimated Effort (Hours)]])/Table1[[#This Row],[Estimated Effort (Hours)]],"")</f>
        <v/>
      </c>
    </row>
    <row r="1676" spans="2:21">
      <c r="B1676" s="125"/>
      <c r="C1676" s="123"/>
      <c r="D1676" s="143"/>
      <c r="E1676" s="123"/>
      <c r="F1676" s="143"/>
      <c r="G1676" s="129"/>
      <c r="H1676" s="124"/>
      <c r="I1676" s="124"/>
      <c r="J1676" s="129"/>
      <c r="K1676" s="194"/>
      <c r="L1676" s="194"/>
      <c r="M1676" s="129"/>
      <c r="N1676" s="129" t="e">
        <f>Table1[[#This Row],[Estimated Effort (Hours)]]/NETWORKDAYS(Table1[[#This Row],[Planned Start Date]],Table1[[#This Row],[Planned End Date]])</f>
        <v>#DIV/0!</v>
      </c>
      <c r="O1676" s="178">
        <f>NETWORKDAYS(Table1[[#This Row],[Planned Start Date]],Table1[[#This Row],[Planned End Date]])</f>
        <v>0</v>
      </c>
      <c r="P1676" s="178">
        <f>NETWORKDAYS(Table1[[#This Row],[Planned Start Date]],$P$7)</f>
        <v>30643</v>
      </c>
      <c r="Q1676" s="129"/>
      <c r="R1676" s="183" t="str">
        <f>IF(Table1[[#This Row],[Actual Effort (Hours)]]="","",IF(Table1[[#This Row],[Estimated Effort (Hours)]]&lt;20,"L1",IF(Table1[[#This Row],[Estimated Effort (Hours)]]&lt;50,"L2",IF(Table1[[#This Row],[Estimated Effort (Hours)]]&lt;150,"L3",IF(Table1[[#This Row],[Estimated Effort (Hours)]]&lt;300,"L4","L5")))))</f>
        <v/>
      </c>
      <c r="S1676" s="184" t="str">
        <f>IF(Table1[[#This Row],[Actual End Date]]="","",TEXT(Table1[[#This Row],[Actual End Date]],"mmm-yy"))</f>
        <v/>
      </c>
      <c r="T16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6" s="185" t="str">
        <f>IFERROR((Table1[[#This Row],[Actual Effort (Hours)]]-Table1[[#This Row],[Estimated Effort (Hours)]])/Table1[[#This Row],[Estimated Effort (Hours)]],"")</f>
        <v/>
      </c>
    </row>
    <row r="1677" spans="2:21">
      <c r="B1677" s="125"/>
      <c r="C1677" s="123"/>
      <c r="D1677" s="143"/>
      <c r="E1677" s="123"/>
      <c r="F1677" s="143"/>
      <c r="G1677" s="129"/>
      <c r="H1677" s="124"/>
      <c r="I1677" s="124"/>
      <c r="J1677" s="129"/>
      <c r="K1677" s="194"/>
      <c r="L1677" s="194"/>
      <c r="M1677" s="129"/>
      <c r="N1677" s="129" t="e">
        <f>Table1[[#This Row],[Estimated Effort (Hours)]]/NETWORKDAYS(Table1[[#This Row],[Planned Start Date]],Table1[[#This Row],[Planned End Date]])</f>
        <v>#DIV/0!</v>
      </c>
      <c r="O1677" s="178">
        <f>NETWORKDAYS(Table1[[#This Row],[Planned Start Date]],Table1[[#This Row],[Planned End Date]])</f>
        <v>0</v>
      </c>
      <c r="P1677" s="178">
        <f>NETWORKDAYS(Table1[[#This Row],[Planned Start Date]],$P$7)</f>
        <v>30643</v>
      </c>
      <c r="Q1677" s="129"/>
      <c r="R1677" s="183" t="str">
        <f>IF(Table1[[#This Row],[Actual Effort (Hours)]]="","",IF(Table1[[#This Row],[Estimated Effort (Hours)]]&lt;20,"L1",IF(Table1[[#This Row],[Estimated Effort (Hours)]]&lt;50,"L2",IF(Table1[[#This Row],[Estimated Effort (Hours)]]&lt;150,"L3",IF(Table1[[#This Row],[Estimated Effort (Hours)]]&lt;300,"L4","L5")))))</f>
        <v/>
      </c>
      <c r="S1677" s="184" t="str">
        <f>IF(Table1[[#This Row],[Actual End Date]]="","",TEXT(Table1[[#This Row],[Actual End Date]],"mmm-yy"))</f>
        <v/>
      </c>
      <c r="T16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7" s="185" t="str">
        <f>IFERROR((Table1[[#This Row],[Actual Effort (Hours)]]-Table1[[#This Row],[Estimated Effort (Hours)]])/Table1[[#This Row],[Estimated Effort (Hours)]],"")</f>
        <v/>
      </c>
    </row>
    <row r="1678" spans="2:21">
      <c r="B1678" s="125"/>
      <c r="C1678" s="123"/>
      <c r="D1678" s="143"/>
      <c r="E1678" s="123"/>
      <c r="F1678" s="143"/>
      <c r="G1678" s="129"/>
      <c r="H1678" s="124"/>
      <c r="I1678" s="124"/>
      <c r="J1678" s="129"/>
      <c r="K1678" s="194"/>
      <c r="L1678" s="194"/>
      <c r="M1678" s="129"/>
      <c r="N1678" s="129" t="e">
        <f>Table1[[#This Row],[Estimated Effort (Hours)]]/NETWORKDAYS(Table1[[#This Row],[Planned Start Date]],Table1[[#This Row],[Planned End Date]])</f>
        <v>#DIV/0!</v>
      </c>
      <c r="O1678" s="178">
        <f>NETWORKDAYS(Table1[[#This Row],[Planned Start Date]],Table1[[#This Row],[Planned End Date]])</f>
        <v>0</v>
      </c>
      <c r="P1678" s="178">
        <f>NETWORKDAYS(Table1[[#This Row],[Planned Start Date]],$P$7)</f>
        <v>30643</v>
      </c>
      <c r="Q1678" s="129"/>
      <c r="R1678" s="183" t="str">
        <f>IF(Table1[[#This Row],[Actual Effort (Hours)]]="","",IF(Table1[[#This Row],[Estimated Effort (Hours)]]&lt;20,"L1",IF(Table1[[#This Row],[Estimated Effort (Hours)]]&lt;50,"L2",IF(Table1[[#This Row],[Estimated Effort (Hours)]]&lt;150,"L3",IF(Table1[[#This Row],[Estimated Effort (Hours)]]&lt;300,"L4","L5")))))</f>
        <v/>
      </c>
      <c r="S1678" s="184" t="str">
        <f>IF(Table1[[#This Row],[Actual End Date]]="","",TEXT(Table1[[#This Row],[Actual End Date]],"mmm-yy"))</f>
        <v/>
      </c>
      <c r="T16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8" s="185" t="str">
        <f>IFERROR((Table1[[#This Row],[Actual Effort (Hours)]]-Table1[[#This Row],[Estimated Effort (Hours)]])/Table1[[#This Row],[Estimated Effort (Hours)]],"")</f>
        <v/>
      </c>
    </row>
    <row r="1679" spans="2:21">
      <c r="B1679" s="125"/>
      <c r="C1679" s="123"/>
      <c r="D1679" s="143"/>
      <c r="E1679" s="123"/>
      <c r="F1679" s="143"/>
      <c r="G1679" s="129"/>
      <c r="H1679" s="124"/>
      <c r="I1679" s="124"/>
      <c r="J1679" s="129"/>
      <c r="K1679" s="194"/>
      <c r="L1679" s="194"/>
      <c r="M1679" s="129"/>
      <c r="N1679" s="129" t="e">
        <f>Table1[[#This Row],[Estimated Effort (Hours)]]/NETWORKDAYS(Table1[[#This Row],[Planned Start Date]],Table1[[#This Row],[Planned End Date]])</f>
        <v>#DIV/0!</v>
      </c>
      <c r="O1679" s="178">
        <f>NETWORKDAYS(Table1[[#This Row],[Planned Start Date]],Table1[[#This Row],[Planned End Date]])</f>
        <v>0</v>
      </c>
      <c r="P1679" s="178">
        <f>NETWORKDAYS(Table1[[#This Row],[Planned Start Date]],$P$7)</f>
        <v>30643</v>
      </c>
      <c r="Q1679" s="129"/>
      <c r="R1679" s="183" t="str">
        <f>IF(Table1[[#This Row],[Actual Effort (Hours)]]="","",IF(Table1[[#This Row],[Estimated Effort (Hours)]]&lt;20,"L1",IF(Table1[[#This Row],[Estimated Effort (Hours)]]&lt;50,"L2",IF(Table1[[#This Row],[Estimated Effort (Hours)]]&lt;150,"L3",IF(Table1[[#This Row],[Estimated Effort (Hours)]]&lt;300,"L4","L5")))))</f>
        <v/>
      </c>
      <c r="S1679" s="184" t="str">
        <f>IF(Table1[[#This Row],[Actual End Date]]="","",TEXT(Table1[[#This Row],[Actual End Date]],"mmm-yy"))</f>
        <v/>
      </c>
      <c r="T16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79" s="185" t="str">
        <f>IFERROR((Table1[[#This Row],[Actual Effort (Hours)]]-Table1[[#This Row],[Estimated Effort (Hours)]])/Table1[[#This Row],[Estimated Effort (Hours)]],"")</f>
        <v/>
      </c>
    </row>
    <row r="1680" spans="2:21">
      <c r="B1680" s="125"/>
      <c r="C1680" s="123"/>
      <c r="D1680" s="143"/>
      <c r="E1680" s="123"/>
      <c r="F1680" s="143"/>
      <c r="G1680" s="129"/>
      <c r="H1680" s="124"/>
      <c r="I1680" s="124"/>
      <c r="J1680" s="129"/>
      <c r="K1680" s="194"/>
      <c r="L1680" s="194"/>
      <c r="M1680" s="129"/>
      <c r="N1680" s="129" t="e">
        <f>Table1[[#This Row],[Estimated Effort (Hours)]]/NETWORKDAYS(Table1[[#This Row],[Planned Start Date]],Table1[[#This Row],[Planned End Date]])</f>
        <v>#DIV/0!</v>
      </c>
      <c r="O1680" s="178">
        <f>NETWORKDAYS(Table1[[#This Row],[Planned Start Date]],Table1[[#This Row],[Planned End Date]])</f>
        <v>0</v>
      </c>
      <c r="P1680" s="178">
        <f>NETWORKDAYS(Table1[[#This Row],[Planned Start Date]],$P$7)</f>
        <v>30643</v>
      </c>
      <c r="Q1680" s="129"/>
      <c r="R1680" s="183" t="str">
        <f>IF(Table1[[#This Row],[Actual Effort (Hours)]]="","",IF(Table1[[#This Row],[Estimated Effort (Hours)]]&lt;20,"L1",IF(Table1[[#This Row],[Estimated Effort (Hours)]]&lt;50,"L2",IF(Table1[[#This Row],[Estimated Effort (Hours)]]&lt;150,"L3",IF(Table1[[#This Row],[Estimated Effort (Hours)]]&lt;300,"L4","L5")))))</f>
        <v/>
      </c>
      <c r="S1680" s="184" t="str">
        <f>IF(Table1[[#This Row],[Actual End Date]]="","",TEXT(Table1[[#This Row],[Actual End Date]],"mmm-yy"))</f>
        <v/>
      </c>
      <c r="T16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0" s="185" t="str">
        <f>IFERROR((Table1[[#This Row],[Actual Effort (Hours)]]-Table1[[#This Row],[Estimated Effort (Hours)]])/Table1[[#This Row],[Estimated Effort (Hours)]],"")</f>
        <v/>
      </c>
    </row>
    <row r="1681" spans="2:21">
      <c r="B1681" s="125"/>
      <c r="C1681" s="123"/>
      <c r="D1681" s="143"/>
      <c r="E1681" s="123"/>
      <c r="F1681" s="143"/>
      <c r="G1681" s="129"/>
      <c r="H1681" s="124"/>
      <c r="I1681" s="124"/>
      <c r="J1681" s="129"/>
      <c r="K1681" s="194"/>
      <c r="L1681" s="194"/>
      <c r="M1681" s="129"/>
      <c r="N1681" s="129" t="e">
        <f>Table1[[#This Row],[Estimated Effort (Hours)]]/NETWORKDAYS(Table1[[#This Row],[Planned Start Date]],Table1[[#This Row],[Planned End Date]])</f>
        <v>#DIV/0!</v>
      </c>
      <c r="O1681" s="178">
        <f>NETWORKDAYS(Table1[[#This Row],[Planned Start Date]],Table1[[#This Row],[Planned End Date]])</f>
        <v>0</v>
      </c>
      <c r="P1681" s="178">
        <f>NETWORKDAYS(Table1[[#This Row],[Planned Start Date]],$P$7)</f>
        <v>30643</v>
      </c>
      <c r="Q1681" s="129"/>
      <c r="R1681" s="183" t="str">
        <f>IF(Table1[[#This Row],[Actual Effort (Hours)]]="","",IF(Table1[[#This Row],[Estimated Effort (Hours)]]&lt;20,"L1",IF(Table1[[#This Row],[Estimated Effort (Hours)]]&lt;50,"L2",IF(Table1[[#This Row],[Estimated Effort (Hours)]]&lt;150,"L3",IF(Table1[[#This Row],[Estimated Effort (Hours)]]&lt;300,"L4","L5")))))</f>
        <v/>
      </c>
      <c r="S1681" s="184" t="str">
        <f>IF(Table1[[#This Row],[Actual End Date]]="","",TEXT(Table1[[#This Row],[Actual End Date]],"mmm-yy"))</f>
        <v/>
      </c>
      <c r="T16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1" s="185" t="str">
        <f>IFERROR((Table1[[#This Row],[Actual Effort (Hours)]]-Table1[[#This Row],[Estimated Effort (Hours)]])/Table1[[#This Row],[Estimated Effort (Hours)]],"")</f>
        <v/>
      </c>
    </row>
    <row r="1682" spans="2:21">
      <c r="B1682" s="125"/>
      <c r="C1682" s="123"/>
      <c r="D1682" s="143"/>
      <c r="E1682" s="123"/>
      <c r="F1682" s="143"/>
      <c r="G1682" s="129"/>
      <c r="H1682" s="124"/>
      <c r="I1682" s="124"/>
      <c r="J1682" s="129"/>
      <c r="K1682" s="194"/>
      <c r="L1682" s="194"/>
      <c r="M1682" s="129"/>
      <c r="N1682" s="129" t="e">
        <f>Table1[[#This Row],[Estimated Effort (Hours)]]/NETWORKDAYS(Table1[[#This Row],[Planned Start Date]],Table1[[#This Row],[Planned End Date]])</f>
        <v>#DIV/0!</v>
      </c>
      <c r="O1682" s="178">
        <f>NETWORKDAYS(Table1[[#This Row],[Planned Start Date]],Table1[[#This Row],[Planned End Date]])</f>
        <v>0</v>
      </c>
      <c r="P1682" s="178">
        <f>NETWORKDAYS(Table1[[#This Row],[Planned Start Date]],$P$7)</f>
        <v>30643</v>
      </c>
      <c r="Q1682" s="129"/>
      <c r="R1682" s="183" t="str">
        <f>IF(Table1[[#This Row],[Actual Effort (Hours)]]="","",IF(Table1[[#This Row],[Estimated Effort (Hours)]]&lt;20,"L1",IF(Table1[[#This Row],[Estimated Effort (Hours)]]&lt;50,"L2",IF(Table1[[#This Row],[Estimated Effort (Hours)]]&lt;150,"L3",IF(Table1[[#This Row],[Estimated Effort (Hours)]]&lt;300,"L4","L5")))))</f>
        <v/>
      </c>
      <c r="S1682" s="184" t="str">
        <f>IF(Table1[[#This Row],[Actual End Date]]="","",TEXT(Table1[[#This Row],[Actual End Date]],"mmm-yy"))</f>
        <v/>
      </c>
      <c r="T16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2" s="185" t="str">
        <f>IFERROR((Table1[[#This Row],[Actual Effort (Hours)]]-Table1[[#This Row],[Estimated Effort (Hours)]])/Table1[[#This Row],[Estimated Effort (Hours)]],"")</f>
        <v/>
      </c>
    </row>
    <row r="1683" spans="2:21">
      <c r="B1683" s="125"/>
      <c r="C1683" s="123"/>
      <c r="D1683" s="143"/>
      <c r="E1683" s="123"/>
      <c r="F1683" s="143"/>
      <c r="G1683" s="129"/>
      <c r="H1683" s="124"/>
      <c r="I1683" s="124"/>
      <c r="J1683" s="129"/>
      <c r="K1683" s="194"/>
      <c r="L1683" s="194"/>
      <c r="M1683" s="129"/>
      <c r="N1683" s="129" t="e">
        <f>Table1[[#This Row],[Estimated Effort (Hours)]]/NETWORKDAYS(Table1[[#This Row],[Planned Start Date]],Table1[[#This Row],[Planned End Date]])</f>
        <v>#DIV/0!</v>
      </c>
      <c r="O1683" s="178">
        <f>NETWORKDAYS(Table1[[#This Row],[Planned Start Date]],Table1[[#This Row],[Planned End Date]])</f>
        <v>0</v>
      </c>
      <c r="P1683" s="178">
        <f>NETWORKDAYS(Table1[[#This Row],[Planned Start Date]],$P$7)</f>
        <v>30643</v>
      </c>
      <c r="Q1683" s="129"/>
      <c r="R1683" s="183" t="str">
        <f>IF(Table1[[#This Row],[Actual Effort (Hours)]]="","",IF(Table1[[#This Row],[Estimated Effort (Hours)]]&lt;20,"L1",IF(Table1[[#This Row],[Estimated Effort (Hours)]]&lt;50,"L2",IF(Table1[[#This Row],[Estimated Effort (Hours)]]&lt;150,"L3",IF(Table1[[#This Row],[Estimated Effort (Hours)]]&lt;300,"L4","L5")))))</f>
        <v/>
      </c>
      <c r="S1683" s="184" t="str">
        <f>IF(Table1[[#This Row],[Actual End Date]]="","",TEXT(Table1[[#This Row],[Actual End Date]],"mmm-yy"))</f>
        <v/>
      </c>
      <c r="T16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3" s="185" t="str">
        <f>IFERROR((Table1[[#This Row],[Actual Effort (Hours)]]-Table1[[#This Row],[Estimated Effort (Hours)]])/Table1[[#This Row],[Estimated Effort (Hours)]],"")</f>
        <v/>
      </c>
    </row>
    <row r="1684" spans="2:21">
      <c r="B1684" s="125"/>
      <c r="C1684" s="123"/>
      <c r="D1684" s="143"/>
      <c r="E1684" s="123"/>
      <c r="F1684" s="143"/>
      <c r="G1684" s="129"/>
      <c r="H1684" s="124"/>
      <c r="I1684" s="124"/>
      <c r="J1684" s="129"/>
      <c r="K1684" s="194"/>
      <c r="L1684" s="194"/>
      <c r="M1684" s="129"/>
      <c r="N1684" s="129" t="e">
        <f>Table1[[#This Row],[Estimated Effort (Hours)]]/NETWORKDAYS(Table1[[#This Row],[Planned Start Date]],Table1[[#This Row],[Planned End Date]])</f>
        <v>#DIV/0!</v>
      </c>
      <c r="O1684" s="178">
        <f>NETWORKDAYS(Table1[[#This Row],[Planned Start Date]],Table1[[#This Row],[Planned End Date]])</f>
        <v>0</v>
      </c>
      <c r="P1684" s="178">
        <f>NETWORKDAYS(Table1[[#This Row],[Planned Start Date]],$P$7)</f>
        <v>30643</v>
      </c>
      <c r="Q1684" s="129"/>
      <c r="R1684" s="183" t="str">
        <f>IF(Table1[[#This Row],[Actual Effort (Hours)]]="","",IF(Table1[[#This Row],[Estimated Effort (Hours)]]&lt;20,"L1",IF(Table1[[#This Row],[Estimated Effort (Hours)]]&lt;50,"L2",IF(Table1[[#This Row],[Estimated Effort (Hours)]]&lt;150,"L3",IF(Table1[[#This Row],[Estimated Effort (Hours)]]&lt;300,"L4","L5")))))</f>
        <v/>
      </c>
      <c r="S1684" s="184" t="str">
        <f>IF(Table1[[#This Row],[Actual End Date]]="","",TEXT(Table1[[#This Row],[Actual End Date]],"mmm-yy"))</f>
        <v/>
      </c>
      <c r="T16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4" s="185" t="str">
        <f>IFERROR((Table1[[#This Row],[Actual Effort (Hours)]]-Table1[[#This Row],[Estimated Effort (Hours)]])/Table1[[#This Row],[Estimated Effort (Hours)]],"")</f>
        <v/>
      </c>
    </row>
    <row r="1685" spans="2:21">
      <c r="B1685" s="125"/>
      <c r="C1685" s="123"/>
      <c r="D1685" s="143"/>
      <c r="E1685" s="123"/>
      <c r="F1685" s="143"/>
      <c r="G1685" s="129"/>
      <c r="H1685" s="124"/>
      <c r="I1685" s="124"/>
      <c r="J1685" s="129"/>
      <c r="K1685" s="194"/>
      <c r="L1685" s="194"/>
      <c r="M1685" s="129"/>
      <c r="N1685" s="129" t="e">
        <f>Table1[[#This Row],[Estimated Effort (Hours)]]/NETWORKDAYS(Table1[[#This Row],[Planned Start Date]],Table1[[#This Row],[Planned End Date]])</f>
        <v>#DIV/0!</v>
      </c>
      <c r="O1685" s="178">
        <f>NETWORKDAYS(Table1[[#This Row],[Planned Start Date]],Table1[[#This Row],[Planned End Date]])</f>
        <v>0</v>
      </c>
      <c r="P1685" s="178">
        <f>NETWORKDAYS(Table1[[#This Row],[Planned Start Date]],$P$7)</f>
        <v>30643</v>
      </c>
      <c r="Q1685" s="129"/>
      <c r="R1685" s="183" t="str">
        <f>IF(Table1[[#This Row],[Actual Effort (Hours)]]="","",IF(Table1[[#This Row],[Estimated Effort (Hours)]]&lt;20,"L1",IF(Table1[[#This Row],[Estimated Effort (Hours)]]&lt;50,"L2",IF(Table1[[#This Row],[Estimated Effort (Hours)]]&lt;150,"L3",IF(Table1[[#This Row],[Estimated Effort (Hours)]]&lt;300,"L4","L5")))))</f>
        <v/>
      </c>
      <c r="S1685" s="184" t="str">
        <f>IF(Table1[[#This Row],[Actual End Date]]="","",TEXT(Table1[[#This Row],[Actual End Date]],"mmm-yy"))</f>
        <v/>
      </c>
      <c r="T16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5" s="185" t="str">
        <f>IFERROR((Table1[[#This Row],[Actual Effort (Hours)]]-Table1[[#This Row],[Estimated Effort (Hours)]])/Table1[[#This Row],[Estimated Effort (Hours)]],"")</f>
        <v/>
      </c>
    </row>
    <row r="1686" spans="2:21">
      <c r="B1686" s="125"/>
      <c r="C1686" s="123"/>
      <c r="D1686" s="143"/>
      <c r="E1686" s="123"/>
      <c r="F1686" s="143"/>
      <c r="G1686" s="129"/>
      <c r="H1686" s="124"/>
      <c r="I1686" s="124"/>
      <c r="J1686" s="129"/>
      <c r="K1686" s="194"/>
      <c r="L1686" s="194"/>
      <c r="M1686" s="129"/>
      <c r="N1686" s="129" t="e">
        <f>Table1[[#This Row],[Estimated Effort (Hours)]]/NETWORKDAYS(Table1[[#This Row],[Planned Start Date]],Table1[[#This Row],[Planned End Date]])</f>
        <v>#DIV/0!</v>
      </c>
      <c r="O1686" s="178">
        <f>NETWORKDAYS(Table1[[#This Row],[Planned Start Date]],Table1[[#This Row],[Planned End Date]])</f>
        <v>0</v>
      </c>
      <c r="P1686" s="178">
        <f>NETWORKDAYS(Table1[[#This Row],[Planned Start Date]],$P$7)</f>
        <v>30643</v>
      </c>
      <c r="Q1686" s="129"/>
      <c r="R1686" s="183" t="str">
        <f>IF(Table1[[#This Row],[Actual Effort (Hours)]]="","",IF(Table1[[#This Row],[Estimated Effort (Hours)]]&lt;20,"L1",IF(Table1[[#This Row],[Estimated Effort (Hours)]]&lt;50,"L2",IF(Table1[[#This Row],[Estimated Effort (Hours)]]&lt;150,"L3",IF(Table1[[#This Row],[Estimated Effort (Hours)]]&lt;300,"L4","L5")))))</f>
        <v/>
      </c>
      <c r="S1686" s="184" t="str">
        <f>IF(Table1[[#This Row],[Actual End Date]]="","",TEXT(Table1[[#This Row],[Actual End Date]],"mmm-yy"))</f>
        <v/>
      </c>
      <c r="T16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6" s="185" t="str">
        <f>IFERROR((Table1[[#This Row],[Actual Effort (Hours)]]-Table1[[#This Row],[Estimated Effort (Hours)]])/Table1[[#This Row],[Estimated Effort (Hours)]],"")</f>
        <v/>
      </c>
    </row>
    <row r="1687" spans="2:21">
      <c r="B1687" s="125"/>
      <c r="C1687" s="123"/>
      <c r="D1687" s="143"/>
      <c r="E1687" s="123"/>
      <c r="F1687" s="143"/>
      <c r="G1687" s="129"/>
      <c r="H1687" s="124"/>
      <c r="I1687" s="124"/>
      <c r="J1687" s="129"/>
      <c r="K1687" s="194"/>
      <c r="L1687" s="194"/>
      <c r="M1687" s="129"/>
      <c r="N1687" s="129" t="e">
        <f>Table1[[#This Row],[Estimated Effort (Hours)]]/NETWORKDAYS(Table1[[#This Row],[Planned Start Date]],Table1[[#This Row],[Planned End Date]])</f>
        <v>#DIV/0!</v>
      </c>
      <c r="O1687" s="178">
        <f>NETWORKDAYS(Table1[[#This Row],[Planned Start Date]],Table1[[#This Row],[Planned End Date]])</f>
        <v>0</v>
      </c>
      <c r="P1687" s="178">
        <f>NETWORKDAYS(Table1[[#This Row],[Planned Start Date]],$P$7)</f>
        <v>30643</v>
      </c>
      <c r="Q1687" s="129"/>
      <c r="R1687" s="183" t="str">
        <f>IF(Table1[[#This Row],[Actual Effort (Hours)]]="","",IF(Table1[[#This Row],[Estimated Effort (Hours)]]&lt;20,"L1",IF(Table1[[#This Row],[Estimated Effort (Hours)]]&lt;50,"L2",IF(Table1[[#This Row],[Estimated Effort (Hours)]]&lt;150,"L3",IF(Table1[[#This Row],[Estimated Effort (Hours)]]&lt;300,"L4","L5")))))</f>
        <v/>
      </c>
      <c r="S1687" s="184" t="str">
        <f>IF(Table1[[#This Row],[Actual End Date]]="","",TEXT(Table1[[#This Row],[Actual End Date]],"mmm-yy"))</f>
        <v/>
      </c>
      <c r="T16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7" s="185" t="str">
        <f>IFERROR((Table1[[#This Row],[Actual Effort (Hours)]]-Table1[[#This Row],[Estimated Effort (Hours)]])/Table1[[#This Row],[Estimated Effort (Hours)]],"")</f>
        <v/>
      </c>
    </row>
    <row r="1688" spans="2:21">
      <c r="B1688" s="125"/>
      <c r="C1688" s="123"/>
      <c r="D1688" s="143"/>
      <c r="E1688" s="123"/>
      <c r="F1688" s="143"/>
      <c r="G1688" s="129"/>
      <c r="H1688" s="124"/>
      <c r="I1688" s="124"/>
      <c r="J1688" s="129"/>
      <c r="K1688" s="194"/>
      <c r="L1688" s="194"/>
      <c r="M1688" s="129"/>
      <c r="N1688" s="129" t="e">
        <f>Table1[[#This Row],[Estimated Effort (Hours)]]/NETWORKDAYS(Table1[[#This Row],[Planned Start Date]],Table1[[#This Row],[Planned End Date]])</f>
        <v>#DIV/0!</v>
      </c>
      <c r="O1688" s="178">
        <f>NETWORKDAYS(Table1[[#This Row],[Planned Start Date]],Table1[[#This Row],[Planned End Date]])</f>
        <v>0</v>
      </c>
      <c r="P1688" s="178">
        <f>NETWORKDAYS(Table1[[#This Row],[Planned Start Date]],$P$7)</f>
        <v>30643</v>
      </c>
      <c r="Q1688" s="129"/>
      <c r="R1688" s="183" t="str">
        <f>IF(Table1[[#This Row],[Actual Effort (Hours)]]="","",IF(Table1[[#This Row],[Estimated Effort (Hours)]]&lt;20,"L1",IF(Table1[[#This Row],[Estimated Effort (Hours)]]&lt;50,"L2",IF(Table1[[#This Row],[Estimated Effort (Hours)]]&lt;150,"L3",IF(Table1[[#This Row],[Estimated Effort (Hours)]]&lt;300,"L4","L5")))))</f>
        <v/>
      </c>
      <c r="S1688" s="184" t="str">
        <f>IF(Table1[[#This Row],[Actual End Date]]="","",TEXT(Table1[[#This Row],[Actual End Date]],"mmm-yy"))</f>
        <v/>
      </c>
      <c r="T16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8" s="185" t="str">
        <f>IFERROR((Table1[[#This Row],[Actual Effort (Hours)]]-Table1[[#This Row],[Estimated Effort (Hours)]])/Table1[[#This Row],[Estimated Effort (Hours)]],"")</f>
        <v/>
      </c>
    </row>
    <row r="1689" spans="2:21">
      <c r="B1689" s="125"/>
      <c r="C1689" s="123"/>
      <c r="D1689" s="143"/>
      <c r="E1689" s="123"/>
      <c r="F1689" s="143"/>
      <c r="G1689" s="129"/>
      <c r="H1689" s="124"/>
      <c r="I1689" s="124"/>
      <c r="J1689" s="129"/>
      <c r="K1689" s="194"/>
      <c r="L1689" s="194"/>
      <c r="M1689" s="129"/>
      <c r="N1689" s="129" t="e">
        <f>Table1[[#This Row],[Estimated Effort (Hours)]]/NETWORKDAYS(Table1[[#This Row],[Planned Start Date]],Table1[[#This Row],[Planned End Date]])</f>
        <v>#DIV/0!</v>
      </c>
      <c r="O1689" s="178">
        <f>NETWORKDAYS(Table1[[#This Row],[Planned Start Date]],Table1[[#This Row],[Planned End Date]])</f>
        <v>0</v>
      </c>
      <c r="P1689" s="178">
        <f>NETWORKDAYS(Table1[[#This Row],[Planned Start Date]],$P$7)</f>
        <v>30643</v>
      </c>
      <c r="Q1689" s="129"/>
      <c r="R1689" s="183" t="str">
        <f>IF(Table1[[#This Row],[Actual Effort (Hours)]]="","",IF(Table1[[#This Row],[Estimated Effort (Hours)]]&lt;20,"L1",IF(Table1[[#This Row],[Estimated Effort (Hours)]]&lt;50,"L2",IF(Table1[[#This Row],[Estimated Effort (Hours)]]&lt;150,"L3",IF(Table1[[#This Row],[Estimated Effort (Hours)]]&lt;300,"L4","L5")))))</f>
        <v/>
      </c>
      <c r="S1689" s="184" t="str">
        <f>IF(Table1[[#This Row],[Actual End Date]]="","",TEXT(Table1[[#This Row],[Actual End Date]],"mmm-yy"))</f>
        <v/>
      </c>
      <c r="T16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89" s="185" t="str">
        <f>IFERROR((Table1[[#This Row],[Actual Effort (Hours)]]-Table1[[#This Row],[Estimated Effort (Hours)]])/Table1[[#This Row],[Estimated Effort (Hours)]],"")</f>
        <v/>
      </c>
    </row>
    <row r="1690" spans="2:21">
      <c r="B1690" s="125"/>
      <c r="C1690" s="123"/>
      <c r="D1690" s="143"/>
      <c r="E1690" s="123"/>
      <c r="F1690" s="143"/>
      <c r="G1690" s="129"/>
      <c r="H1690" s="124"/>
      <c r="I1690" s="124"/>
      <c r="J1690" s="129"/>
      <c r="K1690" s="194"/>
      <c r="L1690" s="194"/>
      <c r="M1690" s="129"/>
      <c r="N1690" s="129" t="e">
        <f>Table1[[#This Row],[Estimated Effort (Hours)]]/NETWORKDAYS(Table1[[#This Row],[Planned Start Date]],Table1[[#This Row],[Planned End Date]])</f>
        <v>#DIV/0!</v>
      </c>
      <c r="O1690" s="178">
        <f>NETWORKDAYS(Table1[[#This Row],[Planned Start Date]],Table1[[#This Row],[Planned End Date]])</f>
        <v>0</v>
      </c>
      <c r="P1690" s="178">
        <f>NETWORKDAYS(Table1[[#This Row],[Planned Start Date]],$P$7)</f>
        <v>30643</v>
      </c>
      <c r="Q1690" s="129"/>
      <c r="R1690" s="183" t="str">
        <f>IF(Table1[[#This Row],[Actual Effort (Hours)]]="","",IF(Table1[[#This Row],[Estimated Effort (Hours)]]&lt;20,"L1",IF(Table1[[#This Row],[Estimated Effort (Hours)]]&lt;50,"L2",IF(Table1[[#This Row],[Estimated Effort (Hours)]]&lt;150,"L3",IF(Table1[[#This Row],[Estimated Effort (Hours)]]&lt;300,"L4","L5")))))</f>
        <v/>
      </c>
      <c r="S1690" s="184" t="str">
        <f>IF(Table1[[#This Row],[Actual End Date]]="","",TEXT(Table1[[#This Row],[Actual End Date]],"mmm-yy"))</f>
        <v/>
      </c>
      <c r="T16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0" s="185" t="str">
        <f>IFERROR((Table1[[#This Row],[Actual Effort (Hours)]]-Table1[[#This Row],[Estimated Effort (Hours)]])/Table1[[#This Row],[Estimated Effort (Hours)]],"")</f>
        <v/>
      </c>
    </row>
    <row r="1691" spans="2:21">
      <c r="B1691" s="125"/>
      <c r="C1691" s="123"/>
      <c r="D1691" s="143"/>
      <c r="E1691" s="123"/>
      <c r="F1691" s="143"/>
      <c r="G1691" s="129"/>
      <c r="H1691" s="124"/>
      <c r="I1691" s="124"/>
      <c r="J1691" s="129"/>
      <c r="K1691" s="194"/>
      <c r="L1691" s="194"/>
      <c r="M1691" s="129"/>
      <c r="N1691" s="129" t="e">
        <f>Table1[[#This Row],[Estimated Effort (Hours)]]/NETWORKDAYS(Table1[[#This Row],[Planned Start Date]],Table1[[#This Row],[Planned End Date]])</f>
        <v>#DIV/0!</v>
      </c>
      <c r="O1691" s="178">
        <f>NETWORKDAYS(Table1[[#This Row],[Planned Start Date]],Table1[[#This Row],[Planned End Date]])</f>
        <v>0</v>
      </c>
      <c r="P1691" s="178">
        <f>NETWORKDAYS(Table1[[#This Row],[Planned Start Date]],$P$7)</f>
        <v>30643</v>
      </c>
      <c r="Q1691" s="129"/>
      <c r="R1691" s="183" t="str">
        <f>IF(Table1[[#This Row],[Actual Effort (Hours)]]="","",IF(Table1[[#This Row],[Estimated Effort (Hours)]]&lt;20,"L1",IF(Table1[[#This Row],[Estimated Effort (Hours)]]&lt;50,"L2",IF(Table1[[#This Row],[Estimated Effort (Hours)]]&lt;150,"L3",IF(Table1[[#This Row],[Estimated Effort (Hours)]]&lt;300,"L4","L5")))))</f>
        <v/>
      </c>
      <c r="S1691" s="184" t="str">
        <f>IF(Table1[[#This Row],[Actual End Date]]="","",TEXT(Table1[[#This Row],[Actual End Date]],"mmm-yy"))</f>
        <v/>
      </c>
      <c r="T16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1" s="185" t="str">
        <f>IFERROR((Table1[[#This Row],[Actual Effort (Hours)]]-Table1[[#This Row],[Estimated Effort (Hours)]])/Table1[[#This Row],[Estimated Effort (Hours)]],"")</f>
        <v/>
      </c>
    </row>
    <row r="1692" spans="2:21">
      <c r="B1692" s="125"/>
      <c r="C1692" s="123"/>
      <c r="D1692" s="143"/>
      <c r="E1692" s="123"/>
      <c r="F1692" s="143"/>
      <c r="G1692" s="129"/>
      <c r="H1692" s="124"/>
      <c r="I1692" s="124"/>
      <c r="J1692" s="129"/>
      <c r="K1692" s="194"/>
      <c r="L1692" s="194"/>
      <c r="M1692" s="129"/>
      <c r="N1692" s="129" t="e">
        <f>Table1[[#This Row],[Estimated Effort (Hours)]]/NETWORKDAYS(Table1[[#This Row],[Planned Start Date]],Table1[[#This Row],[Planned End Date]])</f>
        <v>#DIV/0!</v>
      </c>
      <c r="O1692" s="178">
        <f>NETWORKDAYS(Table1[[#This Row],[Planned Start Date]],Table1[[#This Row],[Planned End Date]])</f>
        <v>0</v>
      </c>
      <c r="P1692" s="178">
        <f>NETWORKDAYS(Table1[[#This Row],[Planned Start Date]],$P$7)</f>
        <v>30643</v>
      </c>
      <c r="Q1692" s="129"/>
      <c r="R1692" s="183" t="str">
        <f>IF(Table1[[#This Row],[Actual Effort (Hours)]]="","",IF(Table1[[#This Row],[Estimated Effort (Hours)]]&lt;20,"L1",IF(Table1[[#This Row],[Estimated Effort (Hours)]]&lt;50,"L2",IF(Table1[[#This Row],[Estimated Effort (Hours)]]&lt;150,"L3",IF(Table1[[#This Row],[Estimated Effort (Hours)]]&lt;300,"L4","L5")))))</f>
        <v/>
      </c>
      <c r="S1692" s="184" t="str">
        <f>IF(Table1[[#This Row],[Actual End Date]]="","",TEXT(Table1[[#This Row],[Actual End Date]],"mmm-yy"))</f>
        <v/>
      </c>
      <c r="T16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2" s="185" t="str">
        <f>IFERROR((Table1[[#This Row],[Actual Effort (Hours)]]-Table1[[#This Row],[Estimated Effort (Hours)]])/Table1[[#This Row],[Estimated Effort (Hours)]],"")</f>
        <v/>
      </c>
    </row>
    <row r="1693" spans="2:21">
      <c r="B1693" s="125"/>
      <c r="C1693" s="123"/>
      <c r="D1693" s="143"/>
      <c r="E1693" s="123"/>
      <c r="F1693" s="143"/>
      <c r="G1693" s="129"/>
      <c r="H1693" s="124"/>
      <c r="I1693" s="124"/>
      <c r="J1693" s="129"/>
      <c r="K1693" s="194"/>
      <c r="L1693" s="194"/>
      <c r="M1693" s="129"/>
      <c r="N1693" s="129" t="e">
        <f>Table1[[#This Row],[Estimated Effort (Hours)]]/NETWORKDAYS(Table1[[#This Row],[Planned Start Date]],Table1[[#This Row],[Planned End Date]])</f>
        <v>#DIV/0!</v>
      </c>
      <c r="O1693" s="178">
        <f>NETWORKDAYS(Table1[[#This Row],[Planned Start Date]],Table1[[#This Row],[Planned End Date]])</f>
        <v>0</v>
      </c>
      <c r="P1693" s="178">
        <f>NETWORKDAYS(Table1[[#This Row],[Planned Start Date]],$P$7)</f>
        <v>30643</v>
      </c>
      <c r="Q1693" s="129"/>
      <c r="R1693" s="183" t="str">
        <f>IF(Table1[[#This Row],[Actual Effort (Hours)]]="","",IF(Table1[[#This Row],[Estimated Effort (Hours)]]&lt;20,"L1",IF(Table1[[#This Row],[Estimated Effort (Hours)]]&lt;50,"L2",IF(Table1[[#This Row],[Estimated Effort (Hours)]]&lt;150,"L3",IF(Table1[[#This Row],[Estimated Effort (Hours)]]&lt;300,"L4","L5")))))</f>
        <v/>
      </c>
      <c r="S1693" s="184" t="str">
        <f>IF(Table1[[#This Row],[Actual End Date]]="","",TEXT(Table1[[#This Row],[Actual End Date]],"mmm-yy"))</f>
        <v/>
      </c>
      <c r="T16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3" s="185" t="str">
        <f>IFERROR((Table1[[#This Row],[Actual Effort (Hours)]]-Table1[[#This Row],[Estimated Effort (Hours)]])/Table1[[#This Row],[Estimated Effort (Hours)]],"")</f>
        <v/>
      </c>
    </row>
    <row r="1694" spans="2:21">
      <c r="B1694" s="125"/>
      <c r="C1694" s="123"/>
      <c r="D1694" s="143"/>
      <c r="E1694" s="123"/>
      <c r="F1694" s="143"/>
      <c r="G1694" s="129"/>
      <c r="H1694" s="124"/>
      <c r="I1694" s="124"/>
      <c r="J1694" s="129"/>
      <c r="K1694" s="194"/>
      <c r="L1694" s="194"/>
      <c r="M1694" s="129"/>
      <c r="N1694" s="129" t="e">
        <f>Table1[[#This Row],[Estimated Effort (Hours)]]/NETWORKDAYS(Table1[[#This Row],[Planned Start Date]],Table1[[#This Row],[Planned End Date]])</f>
        <v>#DIV/0!</v>
      </c>
      <c r="O1694" s="178">
        <f>NETWORKDAYS(Table1[[#This Row],[Planned Start Date]],Table1[[#This Row],[Planned End Date]])</f>
        <v>0</v>
      </c>
      <c r="P1694" s="178">
        <f>NETWORKDAYS(Table1[[#This Row],[Planned Start Date]],$P$7)</f>
        <v>30643</v>
      </c>
      <c r="Q1694" s="129"/>
      <c r="R1694" s="183" t="str">
        <f>IF(Table1[[#This Row],[Actual Effort (Hours)]]="","",IF(Table1[[#This Row],[Estimated Effort (Hours)]]&lt;20,"L1",IF(Table1[[#This Row],[Estimated Effort (Hours)]]&lt;50,"L2",IF(Table1[[#This Row],[Estimated Effort (Hours)]]&lt;150,"L3",IF(Table1[[#This Row],[Estimated Effort (Hours)]]&lt;300,"L4","L5")))))</f>
        <v/>
      </c>
      <c r="S1694" s="184" t="str">
        <f>IF(Table1[[#This Row],[Actual End Date]]="","",TEXT(Table1[[#This Row],[Actual End Date]],"mmm-yy"))</f>
        <v/>
      </c>
      <c r="T16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4" s="185" t="str">
        <f>IFERROR((Table1[[#This Row],[Actual Effort (Hours)]]-Table1[[#This Row],[Estimated Effort (Hours)]])/Table1[[#This Row],[Estimated Effort (Hours)]],"")</f>
        <v/>
      </c>
    </row>
    <row r="1695" spans="2:21">
      <c r="B1695" s="125"/>
      <c r="C1695" s="123"/>
      <c r="D1695" s="143"/>
      <c r="E1695" s="123"/>
      <c r="F1695" s="143"/>
      <c r="G1695" s="129"/>
      <c r="H1695" s="124"/>
      <c r="I1695" s="124"/>
      <c r="J1695" s="129"/>
      <c r="K1695" s="194"/>
      <c r="L1695" s="194"/>
      <c r="M1695" s="129"/>
      <c r="N1695" s="129" t="e">
        <f>Table1[[#This Row],[Estimated Effort (Hours)]]/NETWORKDAYS(Table1[[#This Row],[Planned Start Date]],Table1[[#This Row],[Planned End Date]])</f>
        <v>#DIV/0!</v>
      </c>
      <c r="O1695" s="178">
        <f>NETWORKDAYS(Table1[[#This Row],[Planned Start Date]],Table1[[#This Row],[Planned End Date]])</f>
        <v>0</v>
      </c>
      <c r="P1695" s="178">
        <f>NETWORKDAYS(Table1[[#This Row],[Planned Start Date]],$P$7)</f>
        <v>30643</v>
      </c>
      <c r="Q1695" s="129"/>
      <c r="R1695" s="183" t="str">
        <f>IF(Table1[[#This Row],[Actual Effort (Hours)]]="","",IF(Table1[[#This Row],[Estimated Effort (Hours)]]&lt;20,"L1",IF(Table1[[#This Row],[Estimated Effort (Hours)]]&lt;50,"L2",IF(Table1[[#This Row],[Estimated Effort (Hours)]]&lt;150,"L3",IF(Table1[[#This Row],[Estimated Effort (Hours)]]&lt;300,"L4","L5")))))</f>
        <v/>
      </c>
      <c r="S1695" s="184" t="str">
        <f>IF(Table1[[#This Row],[Actual End Date]]="","",TEXT(Table1[[#This Row],[Actual End Date]],"mmm-yy"))</f>
        <v/>
      </c>
      <c r="T16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5" s="185" t="str">
        <f>IFERROR((Table1[[#This Row],[Actual Effort (Hours)]]-Table1[[#This Row],[Estimated Effort (Hours)]])/Table1[[#This Row],[Estimated Effort (Hours)]],"")</f>
        <v/>
      </c>
    </row>
    <row r="1696" spans="2:21">
      <c r="B1696" s="125"/>
      <c r="C1696" s="123"/>
      <c r="D1696" s="143"/>
      <c r="E1696" s="123"/>
      <c r="F1696" s="143"/>
      <c r="G1696" s="129"/>
      <c r="H1696" s="124"/>
      <c r="I1696" s="124"/>
      <c r="J1696" s="129"/>
      <c r="K1696" s="194"/>
      <c r="L1696" s="194"/>
      <c r="M1696" s="129"/>
      <c r="N1696" s="129" t="e">
        <f>Table1[[#This Row],[Estimated Effort (Hours)]]/NETWORKDAYS(Table1[[#This Row],[Planned Start Date]],Table1[[#This Row],[Planned End Date]])</f>
        <v>#DIV/0!</v>
      </c>
      <c r="O1696" s="178">
        <f>NETWORKDAYS(Table1[[#This Row],[Planned Start Date]],Table1[[#This Row],[Planned End Date]])</f>
        <v>0</v>
      </c>
      <c r="P1696" s="178">
        <f>NETWORKDAYS(Table1[[#This Row],[Planned Start Date]],$P$7)</f>
        <v>30643</v>
      </c>
      <c r="Q1696" s="129"/>
      <c r="R1696" s="183" t="str">
        <f>IF(Table1[[#This Row],[Actual Effort (Hours)]]="","",IF(Table1[[#This Row],[Estimated Effort (Hours)]]&lt;20,"L1",IF(Table1[[#This Row],[Estimated Effort (Hours)]]&lt;50,"L2",IF(Table1[[#This Row],[Estimated Effort (Hours)]]&lt;150,"L3",IF(Table1[[#This Row],[Estimated Effort (Hours)]]&lt;300,"L4","L5")))))</f>
        <v/>
      </c>
      <c r="S1696" s="184" t="str">
        <f>IF(Table1[[#This Row],[Actual End Date]]="","",TEXT(Table1[[#This Row],[Actual End Date]],"mmm-yy"))</f>
        <v/>
      </c>
      <c r="T16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6" s="185" t="str">
        <f>IFERROR((Table1[[#This Row],[Actual Effort (Hours)]]-Table1[[#This Row],[Estimated Effort (Hours)]])/Table1[[#This Row],[Estimated Effort (Hours)]],"")</f>
        <v/>
      </c>
    </row>
    <row r="1697" spans="2:21">
      <c r="B1697" s="125"/>
      <c r="C1697" s="123"/>
      <c r="D1697" s="143"/>
      <c r="E1697" s="123"/>
      <c r="F1697" s="143"/>
      <c r="G1697" s="129"/>
      <c r="H1697" s="124"/>
      <c r="I1697" s="124"/>
      <c r="J1697" s="129"/>
      <c r="K1697" s="194"/>
      <c r="L1697" s="194"/>
      <c r="M1697" s="129"/>
      <c r="N1697" s="129" t="e">
        <f>Table1[[#This Row],[Estimated Effort (Hours)]]/NETWORKDAYS(Table1[[#This Row],[Planned Start Date]],Table1[[#This Row],[Planned End Date]])</f>
        <v>#DIV/0!</v>
      </c>
      <c r="O1697" s="178">
        <f>NETWORKDAYS(Table1[[#This Row],[Planned Start Date]],Table1[[#This Row],[Planned End Date]])</f>
        <v>0</v>
      </c>
      <c r="P1697" s="178">
        <f>NETWORKDAYS(Table1[[#This Row],[Planned Start Date]],$P$7)</f>
        <v>30643</v>
      </c>
      <c r="Q1697" s="129"/>
      <c r="R1697" s="183" t="str">
        <f>IF(Table1[[#This Row],[Actual Effort (Hours)]]="","",IF(Table1[[#This Row],[Estimated Effort (Hours)]]&lt;20,"L1",IF(Table1[[#This Row],[Estimated Effort (Hours)]]&lt;50,"L2",IF(Table1[[#This Row],[Estimated Effort (Hours)]]&lt;150,"L3",IF(Table1[[#This Row],[Estimated Effort (Hours)]]&lt;300,"L4","L5")))))</f>
        <v/>
      </c>
      <c r="S1697" s="184" t="str">
        <f>IF(Table1[[#This Row],[Actual End Date]]="","",TEXT(Table1[[#This Row],[Actual End Date]],"mmm-yy"))</f>
        <v/>
      </c>
      <c r="T16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7" s="185" t="str">
        <f>IFERROR((Table1[[#This Row],[Actual Effort (Hours)]]-Table1[[#This Row],[Estimated Effort (Hours)]])/Table1[[#This Row],[Estimated Effort (Hours)]],"")</f>
        <v/>
      </c>
    </row>
    <row r="1698" spans="2:21">
      <c r="B1698" s="125"/>
      <c r="C1698" s="123"/>
      <c r="D1698" s="143"/>
      <c r="E1698" s="123"/>
      <c r="F1698" s="143"/>
      <c r="G1698" s="129"/>
      <c r="H1698" s="124"/>
      <c r="I1698" s="124"/>
      <c r="J1698" s="129"/>
      <c r="K1698" s="194"/>
      <c r="L1698" s="194"/>
      <c r="M1698" s="129"/>
      <c r="N1698" s="129" t="e">
        <f>Table1[[#This Row],[Estimated Effort (Hours)]]/NETWORKDAYS(Table1[[#This Row],[Planned Start Date]],Table1[[#This Row],[Planned End Date]])</f>
        <v>#DIV/0!</v>
      </c>
      <c r="O1698" s="178">
        <f>NETWORKDAYS(Table1[[#This Row],[Planned Start Date]],Table1[[#This Row],[Planned End Date]])</f>
        <v>0</v>
      </c>
      <c r="P1698" s="178">
        <f>NETWORKDAYS(Table1[[#This Row],[Planned Start Date]],$P$7)</f>
        <v>30643</v>
      </c>
      <c r="Q1698" s="129"/>
      <c r="R1698" s="183" t="str">
        <f>IF(Table1[[#This Row],[Actual Effort (Hours)]]="","",IF(Table1[[#This Row],[Estimated Effort (Hours)]]&lt;20,"L1",IF(Table1[[#This Row],[Estimated Effort (Hours)]]&lt;50,"L2",IF(Table1[[#This Row],[Estimated Effort (Hours)]]&lt;150,"L3",IF(Table1[[#This Row],[Estimated Effort (Hours)]]&lt;300,"L4","L5")))))</f>
        <v/>
      </c>
      <c r="S1698" s="184" t="str">
        <f>IF(Table1[[#This Row],[Actual End Date]]="","",TEXT(Table1[[#This Row],[Actual End Date]],"mmm-yy"))</f>
        <v/>
      </c>
      <c r="T16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8" s="185" t="str">
        <f>IFERROR((Table1[[#This Row],[Actual Effort (Hours)]]-Table1[[#This Row],[Estimated Effort (Hours)]])/Table1[[#This Row],[Estimated Effort (Hours)]],"")</f>
        <v/>
      </c>
    </row>
    <row r="1699" spans="2:21">
      <c r="B1699" s="125"/>
      <c r="C1699" s="123"/>
      <c r="D1699" s="143"/>
      <c r="E1699" s="123"/>
      <c r="F1699" s="143"/>
      <c r="G1699" s="129"/>
      <c r="H1699" s="124"/>
      <c r="I1699" s="124"/>
      <c r="J1699" s="129"/>
      <c r="K1699" s="194"/>
      <c r="L1699" s="194"/>
      <c r="M1699" s="129"/>
      <c r="N1699" s="129" t="e">
        <f>Table1[[#This Row],[Estimated Effort (Hours)]]/NETWORKDAYS(Table1[[#This Row],[Planned Start Date]],Table1[[#This Row],[Planned End Date]])</f>
        <v>#DIV/0!</v>
      </c>
      <c r="O1699" s="178">
        <f>NETWORKDAYS(Table1[[#This Row],[Planned Start Date]],Table1[[#This Row],[Planned End Date]])</f>
        <v>0</v>
      </c>
      <c r="P1699" s="178">
        <f>NETWORKDAYS(Table1[[#This Row],[Planned Start Date]],$P$7)</f>
        <v>30643</v>
      </c>
      <c r="Q1699" s="129"/>
      <c r="R1699" s="183" t="str">
        <f>IF(Table1[[#This Row],[Actual Effort (Hours)]]="","",IF(Table1[[#This Row],[Estimated Effort (Hours)]]&lt;20,"L1",IF(Table1[[#This Row],[Estimated Effort (Hours)]]&lt;50,"L2",IF(Table1[[#This Row],[Estimated Effort (Hours)]]&lt;150,"L3",IF(Table1[[#This Row],[Estimated Effort (Hours)]]&lt;300,"L4","L5")))))</f>
        <v/>
      </c>
      <c r="S1699" s="184" t="str">
        <f>IF(Table1[[#This Row],[Actual End Date]]="","",TEXT(Table1[[#This Row],[Actual End Date]],"mmm-yy"))</f>
        <v/>
      </c>
      <c r="T16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699" s="185" t="str">
        <f>IFERROR((Table1[[#This Row],[Actual Effort (Hours)]]-Table1[[#This Row],[Estimated Effort (Hours)]])/Table1[[#This Row],[Estimated Effort (Hours)]],"")</f>
        <v/>
      </c>
    </row>
    <row r="1700" spans="2:21">
      <c r="B1700" s="125"/>
      <c r="C1700" s="123"/>
      <c r="D1700" s="143"/>
      <c r="E1700" s="123"/>
      <c r="F1700" s="143"/>
      <c r="G1700" s="129"/>
      <c r="H1700" s="124"/>
      <c r="I1700" s="124"/>
      <c r="J1700" s="129"/>
      <c r="K1700" s="194"/>
      <c r="L1700" s="194"/>
      <c r="M1700" s="129"/>
      <c r="N1700" s="129" t="e">
        <f>Table1[[#This Row],[Estimated Effort (Hours)]]/NETWORKDAYS(Table1[[#This Row],[Planned Start Date]],Table1[[#This Row],[Planned End Date]])</f>
        <v>#DIV/0!</v>
      </c>
      <c r="O1700" s="178">
        <f>NETWORKDAYS(Table1[[#This Row],[Planned Start Date]],Table1[[#This Row],[Planned End Date]])</f>
        <v>0</v>
      </c>
      <c r="P1700" s="178">
        <f>NETWORKDAYS(Table1[[#This Row],[Planned Start Date]],$P$7)</f>
        <v>30643</v>
      </c>
      <c r="Q1700" s="129"/>
      <c r="R1700" s="183" t="str">
        <f>IF(Table1[[#This Row],[Actual Effort (Hours)]]="","",IF(Table1[[#This Row],[Estimated Effort (Hours)]]&lt;20,"L1",IF(Table1[[#This Row],[Estimated Effort (Hours)]]&lt;50,"L2",IF(Table1[[#This Row],[Estimated Effort (Hours)]]&lt;150,"L3",IF(Table1[[#This Row],[Estimated Effort (Hours)]]&lt;300,"L4","L5")))))</f>
        <v/>
      </c>
      <c r="S1700" s="184" t="str">
        <f>IF(Table1[[#This Row],[Actual End Date]]="","",TEXT(Table1[[#This Row],[Actual End Date]],"mmm-yy"))</f>
        <v/>
      </c>
      <c r="T17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0" s="185" t="str">
        <f>IFERROR((Table1[[#This Row],[Actual Effort (Hours)]]-Table1[[#This Row],[Estimated Effort (Hours)]])/Table1[[#This Row],[Estimated Effort (Hours)]],"")</f>
        <v/>
      </c>
    </row>
    <row r="1701" spans="2:21">
      <c r="B1701" s="125"/>
      <c r="C1701" s="123"/>
      <c r="D1701" s="143"/>
      <c r="E1701" s="123"/>
      <c r="F1701" s="143"/>
      <c r="G1701" s="129"/>
      <c r="H1701" s="124"/>
      <c r="I1701" s="124"/>
      <c r="J1701" s="129"/>
      <c r="K1701" s="194"/>
      <c r="L1701" s="194"/>
      <c r="M1701" s="129"/>
      <c r="N1701" s="129" t="e">
        <f>Table1[[#This Row],[Estimated Effort (Hours)]]/NETWORKDAYS(Table1[[#This Row],[Planned Start Date]],Table1[[#This Row],[Planned End Date]])</f>
        <v>#DIV/0!</v>
      </c>
      <c r="O1701" s="178">
        <f>NETWORKDAYS(Table1[[#This Row],[Planned Start Date]],Table1[[#This Row],[Planned End Date]])</f>
        <v>0</v>
      </c>
      <c r="P1701" s="178">
        <f>NETWORKDAYS(Table1[[#This Row],[Planned Start Date]],$P$7)</f>
        <v>30643</v>
      </c>
      <c r="Q1701" s="129"/>
      <c r="R1701" s="183" t="str">
        <f>IF(Table1[[#This Row],[Actual Effort (Hours)]]="","",IF(Table1[[#This Row],[Estimated Effort (Hours)]]&lt;20,"L1",IF(Table1[[#This Row],[Estimated Effort (Hours)]]&lt;50,"L2",IF(Table1[[#This Row],[Estimated Effort (Hours)]]&lt;150,"L3",IF(Table1[[#This Row],[Estimated Effort (Hours)]]&lt;300,"L4","L5")))))</f>
        <v/>
      </c>
      <c r="S1701" s="184" t="str">
        <f>IF(Table1[[#This Row],[Actual End Date]]="","",TEXT(Table1[[#This Row],[Actual End Date]],"mmm-yy"))</f>
        <v/>
      </c>
      <c r="T17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1" s="185" t="str">
        <f>IFERROR((Table1[[#This Row],[Actual Effort (Hours)]]-Table1[[#This Row],[Estimated Effort (Hours)]])/Table1[[#This Row],[Estimated Effort (Hours)]],"")</f>
        <v/>
      </c>
    </row>
    <row r="1702" spans="2:21">
      <c r="B1702" s="125"/>
      <c r="C1702" s="123"/>
      <c r="D1702" s="143"/>
      <c r="E1702" s="123"/>
      <c r="F1702" s="143"/>
      <c r="G1702" s="129"/>
      <c r="H1702" s="124"/>
      <c r="I1702" s="124"/>
      <c r="J1702" s="129"/>
      <c r="K1702" s="194"/>
      <c r="L1702" s="194"/>
      <c r="M1702" s="129"/>
      <c r="N1702" s="129" t="e">
        <f>Table1[[#This Row],[Estimated Effort (Hours)]]/NETWORKDAYS(Table1[[#This Row],[Planned Start Date]],Table1[[#This Row],[Planned End Date]])</f>
        <v>#DIV/0!</v>
      </c>
      <c r="O1702" s="178">
        <f>NETWORKDAYS(Table1[[#This Row],[Planned Start Date]],Table1[[#This Row],[Planned End Date]])</f>
        <v>0</v>
      </c>
      <c r="P1702" s="178">
        <f>NETWORKDAYS(Table1[[#This Row],[Planned Start Date]],$P$7)</f>
        <v>30643</v>
      </c>
      <c r="Q1702" s="129"/>
      <c r="R1702" s="183" t="str">
        <f>IF(Table1[[#This Row],[Actual Effort (Hours)]]="","",IF(Table1[[#This Row],[Estimated Effort (Hours)]]&lt;20,"L1",IF(Table1[[#This Row],[Estimated Effort (Hours)]]&lt;50,"L2",IF(Table1[[#This Row],[Estimated Effort (Hours)]]&lt;150,"L3",IF(Table1[[#This Row],[Estimated Effort (Hours)]]&lt;300,"L4","L5")))))</f>
        <v/>
      </c>
      <c r="S1702" s="184" t="str">
        <f>IF(Table1[[#This Row],[Actual End Date]]="","",TEXT(Table1[[#This Row],[Actual End Date]],"mmm-yy"))</f>
        <v/>
      </c>
      <c r="T17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2" s="185" t="str">
        <f>IFERROR((Table1[[#This Row],[Actual Effort (Hours)]]-Table1[[#This Row],[Estimated Effort (Hours)]])/Table1[[#This Row],[Estimated Effort (Hours)]],"")</f>
        <v/>
      </c>
    </row>
    <row r="1703" spans="2:21">
      <c r="B1703" s="125"/>
      <c r="C1703" s="123"/>
      <c r="D1703" s="143"/>
      <c r="E1703" s="123"/>
      <c r="F1703" s="143"/>
      <c r="G1703" s="129"/>
      <c r="H1703" s="124"/>
      <c r="I1703" s="124"/>
      <c r="J1703" s="129"/>
      <c r="K1703" s="194"/>
      <c r="L1703" s="194"/>
      <c r="M1703" s="129"/>
      <c r="N1703" s="129" t="e">
        <f>Table1[[#This Row],[Estimated Effort (Hours)]]/NETWORKDAYS(Table1[[#This Row],[Planned Start Date]],Table1[[#This Row],[Planned End Date]])</f>
        <v>#DIV/0!</v>
      </c>
      <c r="O1703" s="178">
        <f>NETWORKDAYS(Table1[[#This Row],[Planned Start Date]],Table1[[#This Row],[Planned End Date]])</f>
        <v>0</v>
      </c>
      <c r="P1703" s="178">
        <f>NETWORKDAYS(Table1[[#This Row],[Planned Start Date]],$P$7)</f>
        <v>30643</v>
      </c>
      <c r="Q1703" s="129"/>
      <c r="R1703" s="183" t="str">
        <f>IF(Table1[[#This Row],[Actual Effort (Hours)]]="","",IF(Table1[[#This Row],[Estimated Effort (Hours)]]&lt;20,"L1",IF(Table1[[#This Row],[Estimated Effort (Hours)]]&lt;50,"L2",IF(Table1[[#This Row],[Estimated Effort (Hours)]]&lt;150,"L3",IF(Table1[[#This Row],[Estimated Effort (Hours)]]&lt;300,"L4","L5")))))</f>
        <v/>
      </c>
      <c r="S1703" s="184" t="str">
        <f>IF(Table1[[#This Row],[Actual End Date]]="","",TEXT(Table1[[#This Row],[Actual End Date]],"mmm-yy"))</f>
        <v/>
      </c>
      <c r="T17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3" s="185" t="str">
        <f>IFERROR((Table1[[#This Row],[Actual Effort (Hours)]]-Table1[[#This Row],[Estimated Effort (Hours)]])/Table1[[#This Row],[Estimated Effort (Hours)]],"")</f>
        <v/>
      </c>
    </row>
    <row r="1704" spans="2:21">
      <c r="B1704" s="125"/>
      <c r="C1704" s="123"/>
      <c r="D1704" s="143"/>
      <c r="E1704" s="123"/>
      <c r="F1704" s="143"/>
      <c r="G1704" s="129"/>
      <c r="H1704" s="124"/>
      <c r="I1704" s="124"/>
      <c r="J1704" s="129"/>
      <c r="K1704" s="194"/>
      <c r="L1704" s="194"/>
      <c r="M1704" s="129"/>
      <c r="N1704" s="129" t="e">
        <f>Table1[[#This Row],[Estimated Effort (Hours)]]/NETWORKDAYS(Table1[[#This Row],[Planned Start Date]],Table1[[#This Row],[Planned End Date]])</f>
        <v>#DIV/0!</v>
      </c>
      <c r="O1704" s="178">
        <f>NETWORKDAYS(Table1[[#This Row],[Planned Start Date]],Table1[[#This Row],[Planned End Date]])</f>
        <v>0</v>
      </c>
      <c r="P1704" s="178">
        <f>NETWORKDAYS(Table1[[#This Row],[Planned Start Date]],$P$7)</f>
        <v>30643</v>
      </c>
      <c r="Q1704" s="129"/>
      <c r="R1704" s="183" t="str">
        <f>IF(Table1[[#This Row],[Actual Effort (Hours)]]="","",IF(Table1[[#This Row],[Estimated Effort (Hours)]]&lt;20,"L1",IF(Table1[[#This Row],[Estimated Effort (Hours)]]&lt;50,"L2",IF(Table1[[#This Row],[Estimated Effort (Hours)]]&lt;150,"L3",IF(Table1[[#This Row],[Estimated Effort (Hours)]]&lt;300,"L4","L5")))))</f>
        <v/>
      </c>
      <c r="S1704" s="184" t="str">
        <f>IF(Table1[[#This Row],[Actual End Date]]="","",TEXT(Table1[[#This Row],[Actual End Date]],"mmm-yy"))</f>
        <v/>
      </c>
      <c r="T17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4" s="185" t="str">
        <f>IFERROR((Table1[[#This Row],[Actual Effort (Hours)]]-Table1[[#This Row],[Estimated Effort (Hours)]])/Table1[[#This Row],[Estimated Effort (Hours)]],"")</f>
        <v/>
      </c>
    </row>
    <row r="1705" spans="2:21">
      <c r="B1705" s="125"/>
      <c r="C1705" s="123"/>
      <c r="D1705" s="143"/>
      <c r="E1705" s="123"/>
      <c r="F1705" s="143"/>
      <c r="G1705" s="129"/>
      <c r="H1705" s="124"/>
      <c r="I1705" s="124"/>
      <c r="J1705" s="129"/>
      <c r="K1705" s="194"/>
      <c r="L1705" s="194"/>
      <c r="M1705" s="129"/>
      <c r="N1705" s="129" t="e">
        <f>Table1[[#This Row],[Estimated Effort (Hours)]]/NETWORKDAYS(Table1[[#This Row],[Planned Start Date]],Table1[[#This Row],[Planned End Date]])</f>
        <v>#DIV/0!</v>
      </c>
      <c r="O1705" s="178">
        <f>NETWORKDAYS(Table1[[#This Row],[Planned Start Date]],Table1[[#This Row],[Planned End Date]])</f>
        <v>0</v>
      </c>
      <c r="P1705" s="178">
        <f>NETWORKDAYS(Table1[[#This Row],[Planned Start Date]],$P$7)</f>
        <v>30643</v>
      </c>
      <c r="Q1705" s="129"/>
      <c r="R1705" s="183" t="str">
        <f>IF(Table1[[#This Row],[Actual Effort (Hours)]]="","",IF(Table1[[#This Row],[Estimated Effort (Hours)]]&lt;20,"L1",IF(Table1[[#This Row],[Estimated Effort (Hours)]]&lt;50,"L2",IF(Table1[[#This Row],[Estimated Effort (Hours)]]&lt;150,"L3",IF(Table1[[#This Row],[Estimated Effort (Hours)]]&lt;300,"L4","L5")))))</f>
        <v/>
      </c>
      <c r="S1705" s="184" t="str">
        <f>IF(Table1[[#This Row],[Actual End Date]]="","",TEXT(Table1[[#This Row],[Actual End Date]],"mmm-yy"))</f>
        <v/>
      </c>
      <c r="T17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5" s="185" t="str">
        <f>IFERROR((Table1[[#This Row],[Actual Effort (Hours)]]-Table1[[#This Row],[Estimated Effort (Hours)]])/Table1[[#This Row],[Estimated Effort (Hours)]],"")</f>
        <v/>
      </c>
    </row>
    <row r="1706" spans="2:21">
      <c r="B1706" s="125"/>
      <c r="C1706" s="123"/>
      <c r="D1706" s="143"/>
      <c r="E1706" s="123"/>
      <c r="F1706" s="143"/>
      <c r="G1706" s="129"/>
      <c r="H1706" s="124"/>
      <c r="I1706" s="124"/>
      <c r="J1706" s="129"/>
      <c r="K1706" s="194"/>
      <c r="L1706" s="194"/>
      <c r="M1706" s="129"/>
      <c r="N1706" s="129" t="e">
        <f>Table1[[#This Row],[Estimated Effort (Hours)]]/NETWORKDAYS(Table1[[#This Row],[Planned Start Date]],Table1[[#This Row],[Planned End Date]])</f>
        <v>#DIV/0!</v>
      </c>
      <c r="O1706" s="178">
        <f>NETWORKDAYS(Table1[[#This Row],[Planned Start Date]],Table1[[#This Row],[Planned End Date]])</f>
        <v>0</v>
      </c>
      <c r="P1706" s="178">
        <f>NETWORKDAYS(Table1[[#This Row],[Planned Start Date]],$P$7)</f>
        <v>30643</v>
      </c>
      <c r="Q1706" s="129"/>
      <c r="R1706" s="183" t="str">
        <f>IF(Table1[[#This Row],[Actual Effort (Hours)]]="","",IF(Table1[[#This Row],[Estimated Effort (Hours)]]&lt;20,"L1",IF(Table1[[#This Row],[Estimated Effort (Hours)]]&lt;50,"L2",IF(Table1[[#This Row],[Estimated Effort (Hours)]]&lt;150,"L3",IF(Table1[[#This Row],[Estimated Effort (Hours)]]&lt;300,"L4","L5")))))</f>
        <v/>
      </c>
      <c r="S1706" s="184" t="str">
        <f>IF(Table1[[#This Row],[Actual End Date]]="","",TEXT(Table1[[#This Row],[Actual End Date]],"mmm-yy"))</f>
        <v/>
      </c>
      <c r="T17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6" s="185" t="str">
        <f>IFERROR((Table1[[#This Row],[Actual Effort (Hours)]]-Table1[[#This Row],[Estimated Effort (Hours)]])/Table1[[#This Row],[Estimated Effort (Hours)]],"")</f>
        <v/>
      </c>
    </row>
    <row r="1707" spans="2:21">
      <c r="B1707" s="125"/>
      <c r="C1707" s="123"/>
      <c r="D1707" s="143"/>
      <c r="E1707" s="123"/>
      <c r="F1707" s="143"/>
      <c r="G1707" s="129"/>
      <c r="H1707" s="124"/>
      <c r="I1707" s="124"/>
      <c r="J1707" s="129"/>
      <c r="K1707" s="194"/>
      <c r="L1707" s="194"/>
      <c r="M1707" s="129"/>
      <c r="N1707" s="129" t="e">
        <f>Table1[[#This Row],[Estimated Effort (Hours)]]/NETWORKDAYS(Table1[[#This Row],[Planned Start Date]],Table1[[#This Row],[Planned End Date]])</f>
        <v>#DIV/0!</v>
      </c>
      <c r="O1707" s="178">
        <f>NETWORKDAYS(Table1[[#This Row],[Planned Start Date]],Table1[[#This Row],[Planned End Date]])</f>
        <v>0</v>
      </c>
      <c r="P1707" s="178">
        <f>NETWORKDAYS(Table1[[#This Row],[Planned Start Date]],$P$7)</f>
        <v>30643</v>
      </c>
      <c r="Q1707" s="129"/>
      <c r="R1707" s="183" t="str">
        <f>IF(Table1[[#This Row],[Actual Effort (Hours)]]="","",IF(Table1[[#This Row],[Estimated Effort (Hours)]]&lt;20,"L1",IF(Table1[[#This Row],[Estimated Effort (Hours)]]&lt;50,"L2",IF(Table1[[#This Row],[Estimated Effort (Hours)]]&lt;150,"L3",IF(Table1[[#This Row],[Estimated Effort (Hours)]]&lt;300,"L4","L5")))))</f>
        <v/>
      </c>
      <c r="S1707" s="184" t="str">
        <f>IF(Table1[[#This Row],[Actual End Date]]="","",TEXT(Table1[[#This Row],[Actual End Date]],"mmm-yy"))</f>
        <v/>
      </c>
      <c r="T17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7" s="185" t="str">
        <f>IFERROR((Table1[[#This Row],[Actual Effort (Hours)]]-Table1[[#This Row],[Estimated Effort (Hours)]])/Table1[[#This Row],[Estimated Effort (Hours)]],"")</f>
        <v/>
      </c>
    </row>
    <row r="1708" spans="2:21">
      <c r="B1708" s="125"/>
      <c r="C1708" s="123"/>
      <c r="D1708" s="143"/>
      <c r="E1708" s="123"/>
      <c r="F1708" s="143"/>
      <c r="G1708" s="129"/>
      <c r="H1708" s="124"/>
      <c r="I1708" s="124"/>
      <c r="J1708" s="129"/>
      <c r="K1708" s="194"/>
      <c r="L1708" s="194"/>
      <c r="M1708" s="129"/>
      <c r="N1708" s="129" t="e">
        <f>Table1[[#This Row],[Estimated Effort (Hours)]]/NETWORKDAYS(Table1[[#This Row],[Planned Start Date]],Table1[[#This Row],[Planned End Date]])</f>
        <v>#DIV/0!</v>
      </c>
      <c r="O1708" s="178">
        <f>NETWORKDAYS(Table1[[#This Row],[Planned Start Date]],Table1[[#This Row],[Planned End Date]])</f>
        <v>0</v>
      </c>
      <c r="P1708" s="178">
        <f>NETWORKDAYS(Table1[[#This Row],[Planned Start Date]],$P$7)</f>
        <v>30643</v>
      </c>
      <c r="Q1708" s="129"/>
      <c r="R1708" s="183" t="str">
        <f>IF(Table1[[#This Row],[Actual Effort (Hours)]]="","",IF(Table1[[#This Row],[Estimated Effort (Hours)]]&lt;20,"L1",IF(Table1[[#This Row],[Estimated Effort (Hours)]]&lt;50,"L2",IF(Table1[[#This Row],[Estimated Effort (Hours)]]&lt;150,"L3",IF(Table1[[#This Row],[Estimated Effort (Hours)]]&lt;300,"L4","L5")))))</f>
        <v/>
      </c>
      <c r="S1708" s="184" t="str">
        <f>IF(Table1[[#This Row],[Actual End Date]]="","",TEXT(Table1[[#This Row],[Actual End Date]],"mmm-yy"))</f>
        <v/>
      </c>
      <c r="T17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8" s="185" t="str">
        <f>IFERROR((Table1[[#This Row],[Actual Effort (Hours)]]-Table1[[#This Row],[Estimated Effort (Hours)]])/Table1[[#This Row],[Estimated Effort (Hours)]],"")</f>
        <v/>
      </c>
    </row>
    <row r="1709" spans="2:21">
      <c r="B1709" s="125"/>
      <c r="C1709" s="123"/>
      <c r="D1709" s="143"/>
      <c r="E1709" s="123"/>
      <c r="F1709" s="143"/>
      <c r="G1709" s="129"/>
      <c r="H1709" s="124"/>
      <c r="I1709" s="124"/>
      <c r="J1709" s="129"/>
      <c r="K1709" s="194"/>
      <c r="L1709" s="194"/>
      <c r="M1709" s="129"/>
      <c r="N1709" s="129" t="e">
        <f>Table1[[#This Row],[Estimated Effort (Hours)]]/NETWORKDAYS(Table1[[#This Row],[Planned Start Date]],Table1[[#This Row],[Planned End Date]])</f>
        <v>#DIV/0!</v>
      </c>
      <c r="O1709" s="178">
        <f>NETWORKDAYS(Table1[[#This Row],[Planned Start Date]],Table1[[#This Row],[Planned End Date]])</f>
        <v>0</v>
      </c>
      <c r="P1709" s="178">
        <f>NETWORKDAYS(Table1[[#This Row],[Planned Start Date]],$P$7)</f>
        <v>30643</v>
      </c>
      <c r="Q1709" s="129"/>
      <c r="R1709" s="183" t="str">
        <f>IF(Table1[[#This Row],[Actual Effort (Hours)]]="","",IF(Table1[[#This Row],[Estimated Effort (Hours)]]&lt;20,"L1",IF(Table1[[#This Row],[Estimated Effort (Hours)]]&lt;50,"L2",IF(Table1[[#This Row],[Estimated Effort (Hours)]]&lt;150,"L3",IF(Table1[[#This Row],[Estimated Effort (Hours)]]&lt;300,"L4","L5")))))</f>
        <v/>
      </c>
      <c r="S1709" s="184" t="str">
        <f>IF(Table1[[#This Row],[Actual End Date]]="","",TEXT(Table1[[#This Row],[Actual End Date]],"mmm-yy"))</f>
        <v/>
      </c>
      <c r="T17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09" s="185" t="str">
        <f>IFERROR((Table1[[#This Row],[Actual Effort (Hours)]]-Table1[[#This Row],[Estimated Effort (Hours)]])/Table1[[#This Row],[Estimated Effort (Hours)]],"")</f>
        <v/>
      </c>
    </row>
    <row r="1710" spans="2:21">
      <c r="B1710" s="125"/>
      <c r="C1710" s="123"/>
      <c r="D1710" s="143"/>
      <c r="E1710" s="123"/>
      <c r="F1710" s="143"/>
      <c r="G1710" s="129"/>
      <c r="H1710" s="124"/>
      <c r="I1710" s="124"/>
      <c r="J1710" s="129"/>
      <c r="K1710" s="194"/>
      <c r="L1710" s="194"/>
      <c r="M1710" s="129"/>
      <c r="N1710" s="129" t="e">
        <f>Table1[[#This Row],[Estimated Effort (Hours)]]/NETWORKDAYS(Table1[[#This Row],[Planned Start Date]],Table1[[#This Row],[Planned End Date]])</f>
        <v>#DIV/0!</v>
      </c>
      <c r="O1710" s="178">
        <f>NETWORKDAYS(Table1[[#This Row],[Planned Start Date]],Table1[[#This Row],[Planned End Date]])</f>
        <v>0</v>
      </c>
      <c r="P1710" s="178">
        <f>NETWORKDAYS(Table1[[#This Row],[Planned Start Date]],$P$7)</f>
        <v>30643</v>
      </c>
      <c r="Q1710" s="129"/>
      <c r="R1710" s="183" t="str">
        <f>IF(Table1[[#This Row],[Actual Effort (Hours)]]="","",IF(Table1[[#This Row],[Estimated Effort (Hours)]]&lt;20,"L1",IF(Table1[[#This Row],[Estimated Effort (Hours)]]&lt;50,"L2",IF(Table1[[#This Row],[Estimated Effort (Hours)]]&lt;150,"L3",IF(Table1[[#This Row],[Estimated Effort (Hours)]]&lt;300,"L4","L5")))))</f>
        <v/>
      </c>
      <c r="S1710" s="184" t="str">
        <f>IF(Table1[[#This Row],[Actual End Date]]="","",TEXT(Table1[[#This Row],[Actual End Date]],"mmm-yy"))</f>
        <v/>
      </c>
      <c r="T17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0" s="185" t="str">
        <f>IFERROR((Table1[[#This Row],[Actual Effort (Hours)]]-Table1[[#This Row],[Estimated Effort (Hours)]])/Table1[[#This Row],[Estimated Effort (Hours)]],"")</f>
        <v/>
      </c>
    </row>
    <row r="1711" spans="2:21">
      <c r="B1711" s="125"/>
      <c r="C1711" s="123"/>
      <c r="D1711" s="143"/>
      <c r="E1711" s="123"/>
      <c r="F1711" s="143"/>
      <c r="G1711" s="129"/>
      <c r="H1711" s="124"/>
      <c r="I1711" s="124"/>
      <c r="J1711" s="129"/>
      <c r="K1711" s="194"/>
      <c r="L1711" s="194"/>
      <c r="M1711" s="129"/>
      <c r="N1711" s="129" t="e">
        <f>Table1[[#This Row],[Estimated Effort (Hours)]]/NETWORKDAYS(Table1[[#This Row],[Planned Start Date]],Table1[[#This Row],[Planned End Date]])</f>
        <v>#DIV/0!</v>
      </c>
      <c r="O1711" s="178">
        <f>NETWORKDAYS(Table1[[#This Row],[Planned Start Date]],Table1[[#This Row],[Planned End Date]])</f>
        <v>0</v>
      </c>
      <c r="P1711" s="178">
        <f>NETWORKDAYS(Table1[[#This Row],[Planned Start Date]],$P$7)</f>
        <v>30643</v>
      </c>
      <c r="Q1711" s="129"/>
      <c r="R1711" s="183" t="str">
        <f>IF(Table1[[#This Row],[Actual Effort (Hours)]]="","",IF(Table1[[#This Row],[Estimated Effort (Hours)]]&lt;20,"L1",IF(Table1[[#This Row],[Estimated Effort (Hours)]]&lt;50,"L2",IF(Table1[[#This Row],[Estimated Effort (Hours)]]&lt;150,"L3",IF(Table1[[#This Row],[Estimated Effort (Hours)]]&lt;300,"L4","L5")))))</f>
        <v/>
      </c>
      <c r="S1711" s="184" t="str">
        <f>IF(Table1[[#This Row],[Actual End Date]]="","",TEXT(Table1[[#This Row],[Actual End Date]],"mmm-yy"))</f>
        <v/>
      </c>
      <c r="T17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1" s="185" t="str">
        <f>IFERROR((Table1[[#This Row],[Actual Effort (Hours)]]-Table1[[#This Row],[Estimated Effort (Hours)]])/Table1[[#This Row],[Estimated Effort (Hours)]],"")</f>
        <v/>
      </c>
    </row>
    <row r="1712" spans="2:21">
      <c r="B1712" s="125"/>
      <c r="C1712" s="123"/>
      <c r="D1712" s="143"/>
      <c r="E1712" s="123"/>
      <c r="F1712" s="143"/>
      <c r="G1712" s="129"/>
      <c r="H1712" s="124"/>
      <c r="I1712" s="124"/>
      <c r="J1712" s="129"/>
      <c r="K1712" s="194"/>
      <c r="L1712" s="194"/>
      <c r="M1712" s="129"/>
      <c r="N1712" s="129" t="e">
        <f>Table1[[#This Row],[Estimated Effort (Hours)]]/NETWORKDAYS(Table1[[#This Row],[Planned Start Date]],Table1[[#This Row],[Planned End Date]])</f>
        <v>#DIV/0!</v>
      </c>
      <c r="O1712" s="178">
        <f>NETWORKDAYS(Table1[[#This Row],[Planned Start Date]],Table1[[#This Row],[Planned End Date]])</f>
        <v>0</v>
      </c>
      <c r="P1712" s="178">
        <f>NETWORKDAYS(Table1[[#This Row],[Planned Start Date]],$P$7)</f>
        <v>30643</v>
      </c>
      <c r="Q1712" s="129"/>
      <c r="R1712" s="183" t="str">
        <f>IF(Table1[[#This Row],[Actual Effort (Hours)]]="","",IF(Table1[[#This Row],[Estimated Effort (Hours)]]&lt;20,"L1",IF(Table1[[#This Row],[Estimated Effort (Hours)]]&lt;50,"L2",IF(Table1[[#This Row],[Estimated Effort (Hours)]]&lt;150,"L3",IF(Table1[[#This Row],[Estimated Effort (Hours)]]&lt;300,"L4","L5")))))</f>
        <v/>
      </c>
      <c r="S1712" s="184" t="str">
        <f>IF(Table1[[#This Row],[Actual End Date]]="","",TEXT(Table1[[#This Row],[Actual End Date]],"mmm-yy"))</f>
        <v/>
      </c>
      <c r="T17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2" s="185" t="str">
        <f>IFERROR((Table1[[#This Row],[Actual Effort (Hours)]]-Table1[[#This Row],[Estimated Effort (Hours)]])/Table1[[#This Row],[Estimated Effort (Hours)]],"")</f>
        <v/>
      </c>
    </row>
    <row r="1713" spans="2:21">
      <c r="B1713" s="125"/>
      <c r="C1713" s="123"/>
      <c r="D1713" s="143"/>
      <c r="E1713" s="123"/>
      <c r="F1713" s="143"/>
      <c r="G1713" s="129"/>
      <c r="H1713" s="124"/>
      <c r="I1713" s="124"/>
      <c r="J1713" s="129"/>
      <c r="K1713" s="194"/>
      <c r="L1713" s="194"/>
      <c r="M1713" s="129"/>
      <c r="N1713" s="129" t="e">
        <f>Table1[[#This Row],[Estimated Effort (Hours)]]/NETWORKDAYS(Table1[[#This Row],[Planned Start Date]],Table1[[#This Row],[Planned End Date]])</f>
        <v>#DIV/0!</v>
      </c>
      <c r="O1713" s="178">
        <f>NETWORKDAYS(Table1[[#This Row],[Planned Start Date]],Table1[[#This Row],[Planned End Date]])</f>
        <v>0</v>
      </c>
      <c r="P1713" s="178">
        <f>NETWORKDAYS(Table1[[#This Row],[Planned Start Date]],$P$7)</f>
        <v>30643</v>
      </c>
      <c r="Q1713" s="129"/>
      <c r="R1713" s="183" t="str">
        <f>IF(Table1[[#This Row],[Actual Effort (Hours)]]="","",IF(Table1[[#This Row],[Estimated Effort (Hours)]]&lt;20,"L1",IF(Table1[[#This Row],[Estimated Effort (Hours)]]&lt;50,"L2",IF(Table1[[#This Row],[Estimated Effort (Hours)]]&lt;150,"L3",IF(Table1[[#This Row],[Estimated Effort (Hours)]]&lt;300,"L4","L5")))))</f>
        <v/>
      </c>
      <c r="S1713" s="184" t="str">
        <f>IF(Table1[[#This Row],[Actual End Date]]="","",TEXT(Table1[[#This Row],[Actual End Date]],"mmm-yy"))</f>
        <v/>
      </c>
      <c r="T17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3" s="185" t="str">
        <f>IFERROR((Table1[[#This Row],[Actual Effort (Hours)]]-Table1[[#This Row],[Estimated Effort (Hours)]])/Table1[[#This Row],[Estimated Effort (Hours)]],"")</f>
        <v/>
      </c>
    </row>
    <row r="1714" spans="2:21">
      <c r="B1714" s="125"/>
      <c r="C1714" s="123"/>
      <c r="D1714" s="143"/>
      <c r="E1714" s="123"/>
      <c r="F1714" s="143"/>
      <c r="G1714" s="129"/>
      <c r="H1714" s="124"/>
      <c r="I1714" s="124"/>
      <c r="J1714" s="129"/>
      <c r="K1714" s="194"/>
      <c r="L1714" s="194"/>
      <c r="M1714" s="129"/>
      <c r="N1714" s="129" t="e">
        <f>Table1[[#This Row],[Estimated Effort (Hours)]]/NETWORKDAYS(Table1[[#This Row],[Planned Start Date]],Table1[[#This Row],[Planned End Date]])</f>
        <v>#DIV/0!</v>
      </c>
      <c r="O1714" s="178">
        <f>NETWORKDAYS(Table1[[#This Row],[Planned Start Date]],Table1[[#This Row],[Planned End Date]])</f>
        <v>0</v>
      </c>
      <c r="P1714" s="178">
        <f>NETWORKDAYS(Table1[[#This Row],[Planned Start Date]],$P$7)</f>
        <v>30643</v>
      </c>
      <c r="Q1714" s="129"/>
      <c r="R1714" s="183" t="str">
        <f>IF(Table1[[#This Row],[Actual Effort (Hours)]]="","",IF(Table1[[#This Row],[Estimated Effort (Hours)]]&lt;20,"L1",IF(Table1[[#This Row],[Estimated Effort (Hours)]]&lt;50,"L2",IF(Table1[[#This Row],[Estimated Effort (Hours)]]&lt;150,"L3",IF(Table1[[#This Row],[Estimated Effort (Hours)]]&lt;300,"L4","L5")))))</f>
        <v/>
      </c>
      <c r="S1714" s="184" t="str">
        <f>IF(Table1[[#This Row],[Actual End Date]]="","",TEXT(Table1[[#This Row],[Actual End Date]],"mmm-yy"))</f>
        <v/>
      </c>
      <c r="T17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4" s="185" t="str">
        <f>IFERROR((Table1[[#This Row],[Actual Effort (Hours)]]-Table1[[#This Row],[Estimated Effort (Hours)]])/Table1[[#This Row],[Estimated Effort (Hours)]],"")</f>
        <v/>
      </c>
    </row>
    <row r="1715" spans="2:21">
      <c r="B1715" s="125"/>
      <c r="C1715" s="123"/>
      <c r="D1715" s="143"/>
      <c r="E1715" s="123"/>
      <c r="F1715" s="143"/>
      <c r="G1715" s="129"/>
      <c r="H1715" s="124"/>
      <c r="I1715" s="124"/>
      <c r="J1715" s="129"/>
      <c r="K1715" s="194"/>
      <c r="L1715" s="194"/>
      <c r="M1715" s="129"/>
      <c r="N1715" s="129" t="e">
        <f>Table1[[#This Row],[Estimated Effort (Hours)]]/NETWORKDAYS(Table1[[#This Row],[Planned Start Date]],Table1[[#This Row],[Planned End Date]])</f>
        <v>#DIV/0!</v>
      </c>
      <c r="O1715" s="178">
        <f>NETWORKDAYS(Table1[[#This Row],[Planned Start Date]],Table1[[#This Row],[Planned End Date]])</f>
        <v>0</v>
      </c>
      <c r="P1715" s="178">
        <f>NETWORKDAYS(Table1[[#This Row],[Planned Start Date]],$P$7)</f>
        <v>30643</v>
      </c>
      <c r="Q1715" s="129"/>
      <c r="R1715" s="183" t="str">
        <f>IF(Table1[[#This Row],[Actual Effort (Hours)]]="","",IF(Table1[[#This Row],[Estimated Effort (Hours)]]&lt;20,"L1",IF(Table1[[#This Row],[Estimated Effort (Hours)]]&lt;50,"L2",IF(Table1[[#This Row],[Estimated Effort (Hours)]]&lt;150,"L3",IF(Table1[[#This Row],[Estimated Effort (Hours)]]&lt;300,"L4","L5")))))</f>
        <v/>
      </c>
      <c r="S1715" s="184" t="str">
        <f>IF(Table1[[#This Row],[Actual End Date]]="","",TEXT(Table1[[#This Row],[Actual End Date]],"mmm-yy"))</f>
        <v/>
      </c>
      <c r="T17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5" s="185" t="str">
        <f>IFERROR((Table1[[#This Row],[Actual Effort (Hours)]]-Table1[[#This Row],[Estimated Effort (Hours)]])/Table1[[#This Row],[Estimated Effort (Hours)]],"")</f>
        <v/>
      </c>
    </row>
    <row r="1716" spans="2:21">
      <c r="B1716" s="125"/>
      <c r="C1716" s="123"/>
      <c r="D1716" s="143"/>
      <c r="E1716" s="123"/>
      <c r="F1716" s="143"/>
      <c r="G1716" s="129"/>
      <c r="H1716" s="124"/>
      <c r="I1716" s="124"/>
      <c r="J1716" s="129"/>
      <c r="K1716" s="194"/>
      <c r="L1716" s="194"/>
      <c r="M1716" s="129"/>
      <c r="N1716" s="129" t="e">
        <f>Table1[[#This Row],[Estimated Effort (Hours)]]/NETWORKDAYS(Table1[[#This Row],[Planned Start Date]],Table1[[#This Row],[Planned End Date]])</f>
        <v>#DIV/0!</v>
      </c>
      <c r="O1716" s="178">
        <f>NETWORKDAYS(Table1[[#This Row],[Planned Start Date]],Table1[[#This Row],[Planned End Date]])</f>
        <v>0</v>
      </c>
      <c r="P1716" s="178">
        <f>NETWORKDAYS(Table1[[#This Row],[Planned Start Date]],$P$7)</f>
        <v>30643</v>
      </c>
      <c r="Q1716" s="129"/>
      <c r="R1716" s="183" t="str">
        <f>IF(Table1[[#This Row],[Actual Effort (Hours)]]="","",IF(Table1[[#This Row],[Estimated Effort (Hours)]]&lt;20,"L1",IF(Table1[[#This Row],[Estimated Effort (Hours)]]&lt;50,"L2",IF(Table1[[#This Row],[Estimated Effort (Hours)]]&lt;150,"L3",IF(Table1[[#This Row],[Estimated Effort (Hours)]]&lt;300,"L4","L5")))))</f>
        <v/>
      </c>
      <c r="S1716" s="184" t="str">
        <f>IF(Table1[[#This Row],[Actual End Date]]="","",TEXT(Table1[[#This Row],[Actual End Date]],"mmm-yy"))</f>
        <v/>
      </c>
      <c r="T17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6" s="185" t="str">
        <f>IFERROR((Table1[[#This Row],[Actual Effort (Hours)]]-Table1[[#This Row],[Estimated Effort (Hours)]])/Table1[[#This Row],[Estimated Effort (Hours)]],"")</f>
        <v/>
      </c>
    </row>
    <row r="1717" spans="2:21">
      <c r="B1717" s="125"/>
      <c r="C1717" s="123"/>
      <c r="D1717" s="143"/>
      <c r="E1717" s="123"/>
      <c r="F1717" s="143"/>
      <c r="G1717" s="129"/>
      <c r="H1717" s="124"/>
      <c r="I1717" s="124"/>
      <c r="J1717" s="129"/>
      <c r="K1717" s="194"/>
      <c r="L1717" s="194"/>
      <c r="M1717" s="129"/>
      <c r="N1717" s="129" t="e">
        <f>Table1[[#This Row],[Estimated Effort (Hours)]]/NETWORKDAYS(Table1[[#This Row],[Planned Start Date]],Table1[[#This Row],[Planned End Date]])</f>
        <v>#DIV/0!</v>
      </c>
      <c r="O1717" s="178">
        <f>NETWORKDAYS(Table1[[#This Row],[Planned Start Date]],Table1[[#This Row],[Planned End Date]])</f>
        <v>0</v>
      </c>
      <c r="P1717" s="178">
        <f>NETWORKDAYS(Table1[[#This Row],[Planned Start Date]],$P$7)</f>
        <v>30643</v>
      </c>
      <c r="Q1717" s="129"/>
      <c r="R1717" s="183" t="str">
        <f>IF(Table1[[#This Row],[Actual Effort (Hours)]]="","",IF(Table1[[#This Row],[Estimated Effort (Hours)]]&lt;20,"L1",IF(Table1[[#This Row],[Estimated Effort (Hours)]]&lt;50,"L2",IF(Table1[[#This Row],[Estimated Effort (Hours)]]&lt;150,"L3",IF(Table1[[#This Row],[Estimated Effort (Hours)]]&lt;300,"L4","L5")))))</f>
        <v/>
      </c>
      <c r="S1717" s="184" t="str">
        <f>IF(Table1[[#This Row],[Actual End Date]]="","",TEXT(Table1[[#This Row],[Actual End Date]],"mmm-yy"))</f>
        <v/>
      </c>
      <c r="T17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7" s="185" t="str">
        <f>IFERROR((Table1[[#This Row],[Actual Effort (Hours)]]-Table1[[#This Row],[Estimated Effort (Hours)]])/Table1[[#This Row],[Estimated Effort (Hours)]],"")</f>
        <v/>
      </c>
    </row>
    <row r="1718" spans="2:21">
      <c r="B1718" s="125"/>
      <c r="C1718" s="123"/>
      <c r="D1718" s="143"/>
      <c r="E1718" s="123"/>
      <c r="F1718" s="143"/>
      <c r="G1718" s="129"/>
      <c r="H1718" s="124"/>
      <c r="I1718" s="124"/>
      <c r="J1718" s="129"/>
      <c r="K1718" s="194"/>
      <c r="L1718" s="194"/>
      <c r="M1718" s="129"/>
      <c r="N1718" s="129" t="e">
        <f>Table1[[#This Row],[Estimated Effort (Hours)]]/NETWORKDAYS(Table1[[#This Row],[Planned Start Date]],Table1[[#This Row],[Planned End Date]])</f>
        <v>#DIV/0!</v>
      </c>
      <c r="O1718" s="178">
        <f>NETWORKDAYS(Table1[[#This Row],[Planned Start Date]],Table1[[#This Row],[Planned End Date]])</f>
        <v>0</v>
      </c>
      <c r="P1718" s="178">
        <f>NETWORKDAYS(Table1[[#This Row],[Planned Start Date]],$P$7)</f>
        <v>30643</v>
      </c>
      <c r="Q1718" s="129"/>
      <c r="R1718" s="183" t="str">
        <f>IF(Table1[[#This Row],[Actual Effort (Hours)]]="","",IF(Table1[[#This Row],[Estimated Effort (Hours)]]&lt;20,"L1",IF(Table1[[#This Row],[Estimated Effort (Hours)]]&lt;50,"L2",IF(Table1[[#This Row],[Estimated Effort (Hours)]]&lt;150,"L3",IF(Table1[[#This Row],[Estimated Effort (Hours)]]&lt;300,"L4","L5")))))</f>
        <v/>
      </c>
      <c r="S1718" s="184" t="str">
        <f>IF(Table1[[#This Row],[Actual End Date]]="","",TEXT(Table1[[#This Row],[Actual End Date]],"mmm-yy"))</f>
        <v/>
      </c>
      <c r="T17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8" s="185" t="str">
        <f>IFERROR((Table1[[#This Row],[Actual Effort (Hours)]]-Table1[[#This Row],[Estimated Effort (Hours)]])/Table1[[#This Row],[Estimated Effort (Hours)]],"")</f>
        <v/>
      </c>
    </row>
    <row r="1719" spans="2:21">
      <c r="B1719" s="125"/>
      <c r="C1719" s="123"/>
      <c r="D1719" s="143"/>
      <c r="E1719" s="123"/>
      <c r="F1719" s="143"/>
      <c r="G1719" s="129"/>
      <c r="H1719" s="124"/>
      <c r="I1719" s="124"/>
      <c r="J1719" s="129"/>
      <c r="K1719" s="194"/>
      <c r="L1719" s="194"/>
      <c r="M1719" s="129"/>
      <c r="N1719" s="129" t="e">
        <f>Table1[[#This Row],[Estimated Effort (Hours)]]/NETWORKDAYS(Table1[[#This Row],[Planned Start Date]],Table1[[#This Row],[Planned End Date]])</f>
        <v>#DIV/0!</v>
      </c>
      <c r="O1719" s="178">
        <f>NETWORKDAYS(Table1[[#This Row],[Planned Start Date]],Table1[[#This Row],[Planned End Date]])</f>
        <v>0</v>
      </c>
      <c r="P1719" s="178">
        <f>NETWORKDAYS(Table1[[#This Row],[Planned Start Date]],$P$7)</f>
        <v>30643</v>
      </c>
      <c r="Q1719" s="129"/>
      <c r="R1719" s="183" t="str">
        <f>IF(Table1[[#This Row],[Actual Effort (Hours)]]="","",IF(Table1[[#This Row],[Estimated Effort (Hours)]]&lt;20,"L1",IF(Table1[[#This Row],[Estimated Effort (Hours)]]&lt;50,"L2",IF(Table1[[#This Row],[Estimated Effort (Hours)]]&lt;150,"L3",IF(Table1[[#This Row],[Estimated Effort (Hours)]]&lt;300,"L4","L5")))))</f>
        <v/>
      </c>
      <c r="S1719" s="184" t="str">
        <f>IF(Table1[[#This Row],[Actual End Date]]="","",TEXT(Table1[[#This Row],[Actual End Date]],"mmm-yy"))</f>
        <v/>
      </c>
      <c r="T17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19" s="185" t="str">
        <f>IFERROR((Table1[[#This Row],[Actual Effort (Hours)]]-Table1[[#This Row],[Estimated Effort (Hours)]])/Table1[[#This Row],[Estimated Effort (Hours)]],"")</f>
        <v/>
      </c>
    </row>
    <row r="1720" spans="2:21">
      <c r="B1720" s="125"/>
      <c r="C1720" s="123"/>
      <c r="D1720" s="143"/>
      <c r="E1720" s="123"/>
      <c r="F1720" s="143"/>
      <c r="G1720" s="129"/>
      <c r="H1720" s="124"/>
      <c r="I1720" s="124"/>
      <c r="J1720" s="129"/>
      <c r="K1720" s="194"/>
      <c r="L1720" s="194"/>
      <c r="M1720" s="129"/>
      <c r="N1720" s="129" t="e">
        <f>Table1[[#This Row],[Estimated Effort (Hours)]]/NETWORKDAYS(Table1[[#This Row],[Planned Start Date]],Table1[[#This Row],[Planned End Date]])</f>
        <v>#DIV/0!</v>
      </c>
      <c r="O1720" s="178">
        <f>NETWORKDAYS(Table1[[#This Row],[Planned Start Date]],Table1[[#This Row],[Planned End Date]])</f>
        <v>0</v>
      </c>
      <c r="P1720" s="178">
        <f>NETWORKDAYS(Table1[[#This Row],[Planned Start Date]],$P$7)</f>
        <v>30643</v>
      </c>
      <c r="Q1720" s="129"/>
      <c r="R1720" s="183" t="str">
        <f>IF(Table1[[#This Row],[Actual Effort (Hours)]]="","",IF(Table1[[#This Row],[Estimated Effort (Hours)]]&lt;20,"L1",IF(Table1[[#This Row],[Estimated Effort (Hours)]]&lt;50,"L2",IF(Table1[[#This Row],[Estimated Effort (Hours)]]&lt;150,"L3",IF(Table1[[#This Row],[Estimated Effort (Hours)]]&lt;300,"L4","L5")))))</f>
        <v/>
      </c>
      <c r="S1720" s="184" t="str">
        <f>IF(Table1[[#This Row],[Actual End Date]]="","",TEXT(Table1[[#This Row],[Actual End Date]],"mmm-yy"))</f>
        <v/>
      </c>
      <c r="T17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0" s="185" t="str">
        <f>IFERROR((Table1[[#This Row],[Actual Effort (Hours)]]-Table1[[#This Row],[Estimated Effort (Hours)]])/Table1[[#This Row],[Estimated Effort (Hours)]],"")</f>
        <v/>
      </c>
    </row>
    <row r="1721" spans="2:21">
      <c r="B1721" s="125"/>
      <c r="C1721" s="123"/>
      <c r="D1721" s="143"/>
      <c r="E1721" s="123"/>
      <c r="F1721" s="143"/>
      <c r="G1721" s="129"/>
      <c r="H1721" s="124"/>
      <c r="I1721" s="124"/>
      <c r="J1721" s="129"/>
      <c r="K1721" s="194"/>
      <c r="L1721" s="194"/>
      <c r="M1721" s="129"/>
      <c r="N1721" s="129" t="e">
        <f>Table1[[#This Row],[Estimated Effort (Hours)]]/NETWORKDAYS(Table1[[#This Row],[Planned Start Date]],Table1[[#This Row],[Planned End Date]])</f>
        <v>#DIV/0!</v>
      </c>
      <c r="O1721" s="178">
        <f>NETWORKDAYS(Table1[[#This Row],[Planned Start Date]],Table1[[#This Row],[Planned End Date]])</f>
        <v>0</v>
      </c>
      <c r="P1721" s="178">
        <f>NETWORKDAYS(Table1[[#This Row],[Planned Start Date]],$P$7)</f>
        <v>30643</v>
      </c>
      <c r="Q1721" s="129"/>
      <c r="R1721" s="183" t="str">
        <f>IF(Table1[[#This Row],[Actual Effort (Hours)]]="","",IF(Table1[[#This Row],[Estimated Effort (Hours)]]&lt;20,"L1",IF(Table1[[#This Row],[Estimated Effort (Hours)]]&lt;50,"L2",IF(Table1[[#This Row],[Estimated Effort (Hours)]]&lt;150,"L3",IF(Table1[[#This Row],[Estimated Effort (Hours)]]&lt;300,"L4","L5")))))</f>
        <v/>
      </c>
      <c r="S1721" s="184" t="str">
        <f>IF(Table1[[#This Row],[Actual End Date]]="","",TEXT(Table1[[#This Row],[Actual End Date]],"mmm-yy"))</f>
        <v/>
      </c>
      <c r="T17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1" s="185" t="str">
        <f>IFERROR((Table1[[#This Row],[Actual Effort (Hours)]]-Table1[[#This Row],[Estimated Effort (Hours)]])/Table1[[#This Row],[Estimated Effort (Hours)]],"")</f>
        <v/>
      </c>
    </row>
    <row r="1722" spans="2:21">
      <c r="B1722" s="125"/>
      <c r="C1722" s="123"/>
      <c r="D1722" s="143"/>
      <c r="E1722" s="123"/>
      <c r="F1722" s="143"/>
      <c r="G1722" s="129"/>
      <c r="H1722" s="124"/>
      <c r="I1722" s="124"/>
      <c r="J1722" s="129"/>
      <c r="K1722" s="194"/>
      <c r="L1722" s="194"/>
      <c r="M1722" s="129"/>
      <c r="N1722" s="129" t="e">
        <f>Table1[[#This Row],[Estimated Effort (Hours)]]/NETWORKDAYS(Table1[[#This Row],[Planned Start Date]],Table1[[#This Row],[Planned End Date]])</f>
        <v>#DIV/0!</v>
      </c>
      <c r="O1722" s="178">
        <f>NETWORKDAYS(Table1[[#This Row],[Planned Start Date]],Table1[[#This Row],[Planned End Date]])</f>
        <v>0</v>
      </c>
      <c r="P1722" s="178">
        <f>NETWORKDAYS(Table1[[#This Row],[Planned Start Date]],$P$7)</f>
        <v>30643</v>
      </c>
      <c r="Q1722" s="129"/>
      <c r="R1722" s="183" t="str">
        <f>IF(Table1[[#This Row],[Actual Effort (Hours)]]="","",IF(Table1[[#This Row],[Estimated Effort (Hours)]]&lt;20,"L1",IF(Table1[[#This Row],[Estimated Effort (Hours)]]&lt;50,"L2",IF(Table1[[#This Row],[Estimated Effort (Hours)]]&lt;150,"L3",IF(Table1[[#This Row],[Estimated Effort (Hours)]]&lt;300,"L4","L5")))))</f>
        <v/>
      </c>
      <c r="S1722" s="184" t="str">
        <f>IF(Table1[[#This Row],[Actual End Date]]="","",TEXT(Table1[[#This Row],[Actual End Date]],"mmm-yy"))</f>
        <v/>
      </c>
      <c r="T17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2" s="185" t="str">
        <f>IFERROR((Table1[[#This Row],[Actual Effort (Hours)]]-Table1[[#This Row],[Estimated Effort (Hours)]])/Table1[[#This Row],[Estimated Effort (Hours)]],"")</f>
        <v/>
      </c>
    </row>
    <row r="1723" spans="2:21">
      <c r="B1723" s="125"/>
      <c r="C1723" s="123"/>
      <c r="D1723" s="143"/>
      <c r="E1723" s="123"/>
      <c r="F1723" s="143"/>
      <c r="G1723" s="129"/>
      <c r="H1723" s="124"/>
      <c r="I1723" s="124"/>
      <c r="J1723" s="129"/>
      <c r="K1723" s="194"/>
      <c r="L1723" s="194"/>
      <c r="M1723" s="129"/>
      <c r="N1723" s="129" t="e">
        <f>Table1[[#This Row],[Estimated Effort (Hours)]]/NETWORKDAYS(Table1[[#This Row],[Planned Start Date]],Table1[[#This Row],[Planned End Date]])</f>
        <v>#DIV/0!</v>
      </c>
      <c r="O1723" s="178">
        <f>NETWORKDAYS(Table1[[#This Row],[Planned Start Date]],Table1[[#This Row],[Planned End Date]])</f>
        <v>0</v>
      </c>
      <c r="P1723" s="178">
        <f>NETWORKDAYS(Table1[[#This Row],[Planned Start Date]],$P$7)</f>
        <v>30643</v>
      </c>
      <c r="Q1723" s="129"/>
      <c r="R1723" s="183" t="str">
        <f>IF(Table1[[#This Row],[Actual Effort (Hours)]]="","",IF(Table1[[#This Row],[Estimated Effort (Hours)]]&lt;20,"L1",IF(Table1[[#This Row],[Estimated Effort (Hours)]]&lt;50,"L2",IF(Table1[[#This Row],[Estimated Effort (Hours)]]&lt;150,"L3",IF(Table1[[#This Row],[Estimated Effort (Hours)]]&lt;300,"L4","L5")))))</f>
        <v/>
      </c>
      <c r="S1723" s="184" t="str">
        <f>IF(Table1[[#This Row],[Actual End Date]]="","",TEXT(Table1[[#This Row],[Actual End Date]],"mmm-yy"))</f>
        <v/>
      </c>
      <c r="T17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3" s="185" t="str">
        <f>IFERROR((Table1[[#This Row],[Actual Effort (Hours)]]-Table1[[#This Row],[Estimated Effort (Hours)]])/Table1[[#This Row],[Estimated Effort (Hours)]],"")</f>
        <v/>
      </c>
    </row>
    <row r="1724" spans="2:21">
      <c r="B1724" s="125"/>
      <c r="C1724" s="123"/>
      <c r="D1724" s="143"/>
      <c r="E1724" s="123"/>
      <c r="F1724" s="143"/>
      <c r="G1724" s="129"/>
      <c r="H1724" s="124"/>
      <c r="I1724" s="124"/>
      <c r="J1724" s="129"/>
      <c r="K1724" s="194"/>
      <c r="L1724" s="194"/>
      <c r="M1724" s="129"/>
      <c r="N1724" s="129" t="e">
        <f>Table1[[#This Row],[Estimated Effort (Hours)]]/NETWORKDAYS(Table1[[#This Row],[Planned Start Date]],Table1[[#This Row],[Planned End Date]])</f>
        <v>#DIV/0!</v>
      </c>
      <c r="O1724" s="178">
        <f>NETWORKDAYS(Table1[[#This Row],[Planned Start Date]],Table1[[#This Row],[Planned End Date]])</f>
        <v>0</v>
      </c>
      <c r="P1724" s="178">
        <f>NETWORKDAYS(Table1[[#This Row],[Planned Start Date]],$P$7)</f>
        <v>30643</v>
      </c>
      <c r="Q1724" s="129"/>
      <c r="R1724" s="183" t="str">
        <f>IF(Table1[[#This Row],[Actual Effort (Hours)]]="","",IF(Table1[[#This Row],[Estimated Effort (Hours)]]&lt;20,"L1",IF(Table1[[#This Row],[Estimated Effort (Hours)]]&lt;50,"L2",IF(Table1[[#This Row],[Estimated Effort (Hours)]]&lt;150,"L3",IF(Table1[[#This Row],[Estimated Effort (Hours)]]&lt;300,"L4","L5")))))</f>
        <v/>
      </c>
      <c r="S1724" s="184" t="str">
        <f>IF(Table1[[#This Row],[Actual End Date]]="","",TEXT(Table1[[#This Row],[Actual End Date]],"mmm-yy"))</f>
        <v/>
      </c>
      <c r="T17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4" s="185" t="str">
        <f>IFERROR((Table1[[#This Row],[Actual Effort (Hours)]]-Table1[[#This Row],[Estimated Effort (Hours)]])/Table1[[#This Row],[Estimated Effort (Hours)]],"")</f>
        <v/>
      </c>
    </row>
    <row r="1725" spans="2:21">
      <c r="B1725" s="125"/>
      <c r="C1725" s="123"/>
      <c r="D1725" s="143"/>
      <c r="E1725" s="123"/>
      <c r="F1725" s="143"/>
      <c r="G1725" s="129"/>
      <c r="H1725" s="124"/>
      <c r="I1725" s="124"/>
      <c r="J1725" s="129"/>
      <c r="K1725" s="194"/>
      <c r="L1725" s="194"/>
      <c r="M1725" s="129"/>
      <c r="N1725" s="129" t="e">
        <f>Table1[[#This Row],[Estimated Effort (Hours)]]/NETWORKDAYS(Table1[[#This Row],[Planned Start Date]],Table1[[#This Row],[Planned End Date]])</f>
        <v>#DIV/0!</v>
      </c>
      <c r="O1725" s="178">
        <f>NETWORKDAYS(Table1[[#This Row],[Planned Start Date]],Table1[[#This Row],[Planned End Date]])</f>
        <v>0</v>
      </c>
      <c r="P1725" s="178">
        <f>NETWORKDAYS(Table1[[#This Row],[Planned Start Date]],$P$7)</f>
        <v>30643</v>
      </c>
      <c r="Q1725" s="129"/>
      <c r="R1725" s="183" t="str">
        <f>IF(Table1[[#This Row],[Actual Effort (Hours)]]="","",IF(Table1[[#This Row],[Estimated Effort (Hours)]]&lt;20,"L1",IF(Table1[[#This Row],[Estimated Effort (Hours)]]&lt;50,"L2",IF(Table1[[#This Row],[Estimated Effort (Hours)]]&lt;150,"L3",IF(Table1[[#This Row],[Estimated Effort (Hours)]]&lt;300,"L4","L5")))))</f>
        <v/>
      </c>
      <c r="S1725" s="184" t="str">
        <f>IF(Table1[[#This Row],[Actual End Date]]="","",TEXT(Table1[[#This Row],[Actual End Date]],"mmm-yy"))</f>
        <v/>
      </c>
      <c r="T17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5" s="185" t="str">
        <f>IFERROR((Table1[[#This Row],[Actual Effort (Hours)]]-Table1[[#This Row],[Estimated Effort (Hours)]])/Table1[[#This Row],[Estimated Effort (Hours)]],"")</f>
        <v/>
      </c>
    </row>
    <row r="1726" spans="2:21">
      <c r="B1726" s="125"/>
      <c r="C1726" s="123"/>
      <c r="D1726" s="143"/>
      <c r="E1726" s="123"/>
      <c r="F1726" s="143"/>
      <c r="G1726" s="129"/>
      <c r="H1726" s="124"/>
      <c r="I1726" s="124"/>
      <c r="J1726" s="129"/>
      <c r="K1726" s="194"/>
      <c r="L1726" s="194"/>
      <c r="M1726" s="129"/>
      <c r="N1726" s="129" t="e">
        <f>Table1[[#This Row],[Estimated Effort (Hours)]]/NETWORKDAYS(Table1[[#This Row],[Planned Start Date]],Table1[[#This Row],[Planned End Date]])</f>
        <v>#DIV/0!</v>
      </c>
      <c r="O1726" s="178">
        <f>NETWORKDAYS(Table1[[#This Row],[Planned Start Date]],Table1[[#This Row],[Planned End Date]])</f>
        <v>0</v>
      </c>
      <c r="P1726" s="178">
        <f>NETWORKDAYS(Table1[[#This Row],[Planned Start Date]],$P$7)</f>
        <v>30643</v>
      </c>
      <c r="Q1726" s="129"/>
      <c r="R1726" s="183" t="str">
        <f>IF(Table1[[#This Row],[Actual Effort (Hours)]]="","",IF(Table1[[#This Row],[Estimated Effort (Hours)]]&lt;20,"L1",IF(Table1[[#This Row],[Estimated Effort (Hours)]]&lt;50,"L2",IF(Table1[[#This Row],[Estimated Effort (Hours)]]&lt;150,"L3",IF(Table1[[#This Row],[Estimated Effort (Hours)]]&lt;300,"L4","L5")))))</f>
        <v/>
      </c>
      <c r="S1726" s="184" t="str">
        <f>IF(Table1[[#This Row],[Actual End Date]]="","",TEXT(Table1[[#This Row],[Actual End Date]],"mmm-yy"))</f>
        <v/>
      </c>
      <c r="T17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6" s="185" t="str">
        <f>IFERROR((Table1[[#This Row],[Actual Effort (Hours)]]-Table1[[#This Row],[Estimated Effort (Hours)]])/Table1[[#This Row],[Estimated Effort (Hours)]],"")</f>
        <v/>
      </c>
    </row>
    <row r="1727" spans="2:21">
      <c r="B1727" s="125"/>
      <c r="C1727" s="123"/>
      <c r="D1727" s="143"/>
      <c r="E1727" s="123"/>
      <c r="F1727" s="143"/>
      <c r="G1727" s="129"/>
      <c r="H1727" s="124"/>
      <c r="I1727" s="124"/>
      <c r="J1727" s="129"/>
      <c r="K1727" s="194"/>
      <c r="L1727" s="194"/>
      <c r="M1727" s="129"/>
      <c r="N1727" s="129" t="e">
        <f>Table1[[#This Row],[Estimated Effort (Hours)]]/NETWORKDAYS(Table1[[#This Row],[Planned Start Date]],Table1[[#This Row],[Planned End Date]])</f>
        <v>#DIV/0!</v>
      </c>
      <c r="O1727" s="178">
        <f>NETWORKDAYS(Table1[[#This Row],[Planned Start Date]],Table1[[#This Row],[Planned End Date]])</f>
        <v>0</v>
      </c>
      <c r="P1727" s="178">
        <f>NETWORKDAYS(Table1[[#This Row],[Planned Start Date]],$P$7)</f>
        <v>30643</v>
      </c>
      <c r="Q1727" s="129"/>
      <c r="R1727" s="183" t="str">
        <f>IF(Table1[[#This Row],[Actual Effort (Hours)]]="","",IF(Table1[[#This Row],[Estimated Effort (Hours)]]&lt;20,"L1",IF(Table1[[#This Row],[Estimated Effort (Hours)]]&lt;50,"L2",IF(Table1[[#This Row],[Estimated Effort (Hours)]]&lt;150,"L3",IF(Table1[[#This Row],[Estimated Effort (Hours)]]&lt;300,"L4","L5")))))</f>
        <v/>
      </c>
      <c r="S1727" s="184" t="str">
        <f>IF(Table1[[#This Row],[Actual End Date]]="","",TEXT(Table1[[#This Row],[Actual End Date]],"mmm-yy"))</f>
        <v/>
      </c>
      <c r="T17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7" s="185" t="str">
        <f>IFERROR((Table1[[#This Row],[Actual Effort (Hours)]]-Table1[[#This Row],[Estimated Effort (Hours)]])/Table1[[#This Row],[Estimated Effort (Hours)]],"")</f>
        <v/>
      </c>
    </row>
    <row r="1728" spans="2:21">
      <c r="B1728" s="125"/>
      <c r="C1728" s="123"/>
      <c r="D1728" s="143"/>
      <c r="E1728" s="123"/>
      <c r="F1728" s="143"/>
      <c r="G1728" s="129"/>
      <c r="H1728" s="124"/>
      <c r="I1728" s="124"/>
      <c r="J1728" s="129"/>
      <c r="K1728" s="194"/>
      <c r="L1728" s="194"/>
      <c r="M1728" s="129"/>
      <c r="N1728" s="129" t="e">
        <f>Table1[[#This Row],[Estimated Effort (Hours)]]/NETWORKDAYS(Table1[[#This Row],[Planned Start Date]],Table1[[#This Row],[Planned End Date]])</f>
        <v>#DIV/0!</v>
      </c>
      <c r="O1728" s="178">
        <f>NETWORKDAYS(Table1[[#This Row],[Planned Start Date]],Table1[[#This Row],[Planned End Date]])</f>
        <v>0</v>
      </c>
      <c r="P1728" s="178">
        <f>NETWORKDAYS(Table1[[#This Row],[Planned Start Date]],$P$7)</f>
        <v>30643</v>
      </c>
      <c r="Q1728" s="129"/>
      <c r="R1728" s="183" t="str">
        <f>IF(Table1[[#This Row],[Actual Effort (Hours)]]="","",IF(Table1[[#This Row],[Estimated Effort (Hours)]]&lt;20,"L1",IF(Table1[[#This Row],[Estimated Effort (Hours)]]&lt;50,"L2",IF(Table1[[#This Row],[Estimated Effort (Hours)]]&lt;150,"L3",IF(Table1[[#This Row],[Estimated Effort (Hours)]]&lt;300,"L4","L5")))))</f>
        <v/>
      </c>
      <c r="S1728" s="184" t="str">
        <f>IF(Table1[[#This Row],[Actual End Date]]="","",TEXT(Table1[[#This Row],[Actual End Date]],"mmm-yy"))</f>
        <v/>
      </c>
      <c r="T17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8" s="185" t="str">
        <f>IFERROR((Table1[[#This Row],[Actual Effort (Hours)]]-Table1[[#This Row],[Estimated Effort (Hours)]])/Table1[[#This Row],[Estimated Effort (Hours)]],"")</f>
        <v/>
      </c>
    </row>
    <row r="1729" spans="2:21">
      <c r="B1729" s="125"/>
      <c r="C1729" s="123"/>
      <c r="D1729" s="143"/>
      <c r="E1729" s="123"/>
      <c r="F1729" s="143"/>
      <c r="G1729" s="129"/>
      <c r="H1729" s="124"/>
      <c r="I1729" s="124"/>
      <c r="J1729" s="129"/>
      <c r="K1729" s="194"/>
      <c r="L1729" s="194"/>
      <c r="M1729" s="129"/>
      <c r="N1729" s="129" t="e">
        <f>Table1[[#This Row],[Estimated Effort (Hours)]]/NETWORKDAYS(Table1[[#This Row],[Planned Start Date]],Table1[[#This Row],[Planned End Date]])</f>
        <v>#DIV/0!</v>
      </c>
      <c r="O1729" s="178">
        <f>NETWORKDAYS(Table1[[#This Row],[Planned Start Date]],Table1[[#This Row],[Planned End Date]])</f>
        <v>0</v>
      </c>
      <c r="P1729" s="178">
        <f>NETWORKDAYS(Table1[[#This Row],[Planned Start Date]],$P$7)</f>
        <v>30643</v>
      </c>
      <c r="Q1729" s="129"/>
      <c r="R1729" s="183" t="str">
        <f>IF(Table1[[#This Row],[Actual Effort (Hours)]]="","",IF(Table1[[#This Row],[Estimated Effort (Hours)]]&lt;20,"L1",IF(Table1[[#This Row],[Estimated Effort (Hours)]]&lt;50,"L2",IF(Table1[[#This Row],[Estimated Effort (Hours)]]&lt;150,"L3",IF(Table1[[#This Row],[Estimated Effort (Hours)]]&lt;300,"L4","L5")))))</f>
        <v/>
      </c>
      <c r="S1729" s="184" t="str">
        <f>IF(Table1[[#This Row],[Actual End Date]]="","",TEXT(Table1[[#This Row],[Actual End Date]],"mmm-yy"))</f>
        <v/>
      </c>
      <c r="T17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29" s="185" t="str">
        <f>IFERROR((Table1[[#This Row],[Actual Effort (Hours)]]-Table1[[#This Row],[Estimated Effort (Hours)]])/Table1[[#This Row],[Estimated Effort (Hours)]],"")</f>
        <v/>
      </c>
    </row>
    <row r="1730" spans="2:21">
      <c r="B1730" s="125"/>
      <c r="C1730" s="123"/>
      <c r="D1730" s="143"/>
      <c r="E1730" s="123"/>
      <c r="F1730" s="143"/>
      <c r="G1730" s="129"/>
      <c r="H1730" s="124"/>
      <c r="I1730" s="124"/>
      <c r="J1730" s="129"/>
      <c r="K1730" s="194"/>
      <c r="L1730" s="194"/>
      <c r="M1730" s="129"/>
      <c r="N1730" s="129" t="e">
        <f>Table1[[#This Row],[Estimated Effort (Hours)]]/NETWORKDAYS(Table1[[#This Row],[Planned Start Date]],Table1[[#This Row],[Planned End Date]])</f>
        <v>#DIV/0!</v>
      </c>
      <c r="O1730" s="178">
        <f>NETWORKDAYS(Table1[[#This Row],[Planned Start Date]],Table1[[#This Row],[Planned End Date]])</f>
        <v>0</v>
      </c>
      <c r="P1730" s="178">
        <f>NETWORKDAYS(Table1[[#This Row],[Planned Start Date]],$P$7)</f>
        <v>30643</v>
      </c>
      <c r="Q1730" s="129"/>
      <c r="R1730" s="183" t="str">
        <f>IF(Table1[[#This Row],[Actual Effort (Hours)]]="","",IF(Table1[[#This Row],[Estimated Effort (Hours)]]&lt;20,"L1",IF(Table1[[#This Row],[Estimated Effort (Hours)]]&lt;50,"L2",IF(Table1[[#This Row],[Estimated Effort (Hours)]]&lt;150,"L3",IF(Table1[[#This Row],[Estimated Effort (Hours)]]&lt;300,"L4","L5")))))</f>
        <v/>
      </c>
      <c r="S1730" s="184" t="str">
        <f>IF(Table1[[#This Row],[Actual End Date]]="","",TEXT(Table1[[#This Row],[Actual End Date]],"mmm-yy"))</f>
        <v/>
      </c>
      <c r="T17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0" s="185" t="str">
        <f>IFERROR((Table1[[#This Row],[Actual Effort (Hours)]]-Table1[[#This Row],[Estimated Effort (Hours)]])/Table1[[#This Row],[Estimated Effort (Hours)]],"")</f>
        <v/>
      </c>
    </row>
    <row r="1731" spans="2:21">
      <c r="B1731" s="125"/>
      <c r="C1731" s="123"/>
      <c r="D1731" s="143"/>
      <c r="E1731" s="123"/>
      <c r="F1731" s="143"/>
      <c r="G1731" s="129"/>
      <c r="H1731" s="124"/>
      <c r="I1731" s="124"/>
      <c r="J1731" s="129"/>
      <c r="K1731" s="194"/>
      <c r="L1731" s="194"/>
      <c r="M1731" s="129"/>
      <c r="N1731" s="129" t="e">
        <f>Table1[[#This Row],[Estimated Effort (Hours)]]/NETWORKDAYS(Table1[[#This Row],[Planned Start Date]],Table1[[#This Row],[Planned End Date]])</f>
        <v>#DIV/0!</v>
      </c>
      <c r="O1731" s="178">
        <f>NETWORKDAYS(Table1[[#This Row],[Planned Start Date]],Table1[[#This Row],[Planned End Date]])</f>
        <v>0</v>
      </c>
      <c r="P1731" s="178">
        <f>NETWORKDAYS(Table1[[#This Row],[Planned Start Date]],$P$7)</f>
        <v>30643</v>
      </c>
      <c r="Q1731" s="129"/>
      <c r="R1731" s="183" t="str">
        <f>IF(Table1[[#This Row],[Actual Effort (Hours)]]="","",IF(Table1[[#This Row],[Estimated Effort (Hours)]]&lt;20,"L1",IF(Table1[[#This Row],[Estimated Effort (Hours)]]&lt;50,"L2",IF(Table1[[#This Row],[Estimated Effort (Hours)]]&lt;150,"L3",IF(Table1[[#This Row],[Estimated Effort (Hours)]]&lt;300,"L4","L5")))))</f>
        <v/>
      </c>
      <c r="S1731" s="184" t="str">
        <f>IF(Table1[[#This Row],[Actual End Date]]="","",TEXT(Table1[[#This Row],[Actual End Date]],"mmm-yy"))</f>
        <v/>
      </c>
      <c r="T17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1" s="185" t="str">
        <f>IFERROR((Table1[[#This Row],[Actual Effort (Hours)]]-Table1[[#This Row],[Estimated Effort (Hours)]])/Table1[[#This Row],[Estimated Effort (Hours)]],"")</f>
        <v/>
      </c>
    </row>
    <row r="1732" spans="2:21">
      <c r="B1732" s="125"/>
      <c r="C1732" s="123"/>
      <c r="D1732" s="143"/>
      <c r="E1732" s="123"/>
      <c r="F1732" s="143"/>
      <c r="G1732" s="129"/>
      <c r="H1732" s="124"/>
      <c r="I1732" s="124"/>
      <c r="J1732" s="129"/>
      <c r="K1732" s="194"/>
      <c r="L1732" s="194"/>
      <c r="M1732" s="129"/>
      <c r="N1732" s="129" t="e">
        <f>Table1[[#This Row],[Estimated Effort (Hours)]]/NETWORKDAYS(Table1[[#This Row],[Planned Start Date]],Table1[[#This Row],[Planned End Date]])</f>
        <v>#DIV/0!</v>
      </c>
      <c r="O1732" s="178">
        <f>NETWORKDAYS(Table1[[#This Row],[Planned Start Date]],Table1[[#This Row],[Planned End Date]])</f>
        <v>0</v>
      </c>
      <c r="P1732" s="178">
        <f>NETWORKDAYS(Table1[[#This Row],[Planned Start Date]],$P$7)</f>
        <v>30643</v>
      </c>
      <c r="Q1732" s="129"/>
      <c r="R1732" s="183" t="str">
        <f>IF(Table1[[#This Row],[Actual Effort (Hours)]]="","",IF(Table1[[#This Row],[Estimated Effort (Hours)]]&lt;20,"L1",IF(Table1[[#This Row],[Estimated Effort (Hours)]]&lt;50,"L2",IF(Table1[[#This Row],[Estimated Effort (Hours)]]&lt;150,"L3",IF(Table1[[#This Row],[Estimated Effort (Hours)]]&lt;300,"L4","L5")))))</f>
        <v/>
      </c>
      <c r="S1732" s="184" t="str">
        <f>IF(Table1[[#This Row],[Actual End Date]]="","",TEXT(Table1[[#This Row],[Actual End Date]],"mmm-yy"))</f>
        <v/>
      </c>
      <c r="T17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2" s="185" t="str">
        <f>IFERROR((Table1[[#This Row],[Actual Effort (Hours)]]-Table1[[#This Row],[Estimated Effort (Hours)]])/Table1[[#This Row],[Estimated Effort (Hours)]],"")</f>
        <v/>
      </c>
    </row>
    <row r="1733" spans="2:21">
      <c r="B1733" s="125"/>
      <c r="C1733" s="123"/>
      <c r="D1733" s="143"/>
      <c r="E1733" s="123"/>
      <c r="F1733" s="143"/>
      <c r="G1733" s="129"/>
      <c r="H1733" s="124"/>
      <c r="I1733" s="124"/>
      <c r="J1733" s="129"/>
      <c r="K1733" s="194"/>
      <c r="L1733" s="194"/>
      <c r="M1733" s="129"/>
      <c r="N1733" s="129" t="e">
        <f>Table1[[#This Row],[Estimated Effort (Hours)]]/NETWORKDAYS(Table1[[#This Row],[Planned Start Date]],Table1[[#This Row],[Planned End Date]])</f>
        <v>#DIV/0!</v>
      </c>
      <c r="O1733" s="178">
        <f>NETWORKDAYS(Table1[[#This Row],[Planned Start Date]],Table1[[#This Row],[Planned End Date]])</f>
        <v>0</v>
      </c>
      <c r="P1733" s="178">
        <f>NETWORKDAYS(Table1[[#This Row],[Planned Start Date]],$P$7)</f>
        <v>30643</v>
      </c>
      <c r="Q1733" s="129"/>
      <c r="R1733" s="183" t="str">
        <f>IF(Table1[[#This Row],[Actual Effort (Hours)]]="","",IF(Table1[[#This Row],[Estimated Effort (Hours)]]&lt;20,"L1",IF(Table1[[#This Row],[Estimated Effort (Hours)]]&lt;50,"L2",IF(Table1[[#This Row],[Estimated Effort (Hours)]]&lt;150,"L3",IF(Table1[[#This Row],[Estimated Effort (Hours)]]&lt;300,"L4","L5")))))</f>
        <v/>
      </c>
      <c r="S1733" s="184" t="str">
        <f>IF(Table1[[#This Row],[Actual End Date]]="","",TEXT(Table1[[#This Row],[Actual End Date]],"mmm-yy"))</f>
        <v/>
      </c>
      <c r="T17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3" s="185" t="str">
        <f>IFERROR((Table1[[#This Row],[Actual Effort (Hours)]]-Table1[[#This Row],[Estimated Effort (Hours)]])/Table1[[#This Row],[Estimated Effort (Hours)]],"")</f>
        <v/>
      </c>
    </row>
    <row r="1734" spans="2:21">
      <c r="B1734" s="125"/>
      <c r="C1734" s="123"/>
      <c r="D1734" s="143"/>
      <c r="E1734" s="123"/>
      <c r="F1734" s="143"/>
      <c r="G1734" s="129"/>
      <c r="H1734" s="124"/>
      <c r="I1734" s="124"/>
      <c r="J1734" s="129"/>
      <c r="K1734" s="194"/>
      <c r="L1734" s="194"/>
      <c r="M1734" s="129"/>
      <c r="N1734" s="129" t="e">
        <f>Table1[[#This Row],[Estimated Effort (Hours)]]/NETWORKDAYS(Table1[[#This Row],[Planned Start Date]],Table1[[#This Row],[Planned End Date]])</f>
        <v>#DIV/0!</v>
      </c>
      <c r="O1734" s="178">
        <f>NETWORKDAYS(Table1[[#This Row],[Planned Start Date]],Table1[[#This Row],[Planned End Date]])</f>
        <v>0</v>
      </c>
      <c r="P1734" s="178">
        <f>NETWORKDAYS(Table1[[#This Row],[Planned Start Date]],$P$7)</f>
        <v>30643</v>
      </c>
      <c r="Q1734" s="129"/>
      <c r="R1734" s="183" t="str">
        <f>IF(Table1[[#This Row],[Actual Effort (Hours)]]="","",IF(Table1[[#This Row],[Estimated Effort (Hours)]]&lt;20,"L1",IF(Table1[[#This Row],[Estimated Effort (Hours)]]&lt;50,"L2",IF(Table1[[#This Row],[Estimated Effort (Hours)]]&lt;150,"L3",IF(Table1[[#This Row],[Estimated Effort (Hours)]]&lt;300,"L4","L5")))))</f>
        <v/>
      </c>
      <c r="S1734" s="184" t="str">
        <f>IF(Table1[[#This Row],[Actual End Date]]="","",TEXT(Table1[[#This Row],[Actual End Date]],"mmm-yy"))</f>
        <v/>
      </c>
      <c r="T17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4" s="185" t="str">
        <f>IFERROR((Table1[[#This Row],[Actual Effort (Hours)]]-Table1[[#This Row],[Estimated Effort (Hours)]])/Table1[[#This Row],[Estimated Effort (Hours)]],"")</f>
        <v/>
      </c>
    </row>
    <row r="1735" spans="2:21">
      <c r="B1735" s="125"/>
      <c r="C1735" s="123"/>
      <c r="D1735" s="143"/>
      <c r="E1735" s="123"/>
      <c r="F1735" s="143"/>
      <c r="G1735" s="129"/>
      <c r="H1735" s="124"/>
      <c r="I1735" s="124"/>
      <c r="J1735" s="129"/>
      <c r="K1735" s="194"/>
      <c r="L1735" s="194"/>
      <c r="M1735" s="129"/>
      <c r="N1735" s="129" t="e">
        <f>Table1[[#This Row],[Estimated Effort (Hours)]]/NETWORKDAYS(Table1[[#This Row],[Planned Start Date]],Table1[[#This Row],[Planned End Date]])</f>
        <v>#DIV/0!</v>
      </c>
      <c r="O1735" s="178">
        <f>NETWORKDAYS(Table1[[#This Row],[Planned Start Date]],Table1[[#This Row],[Planned End Date]])</f>
        <v>0</v>
      </c>
      <c r="P1735" s="178">
        <f>NETWORKDAYS(Table1[[#This Row],[Planned Start Date]],$P$7)</f>
        <v>30643</v>
      </c>
      <c r="Q1735" s="129"/>
      <c r="R1735" s="183" t="str">
        <f>IF(Table1[[#This Row],[Actual Effort (Hours)]]="","",IF(Table1[[#This Row],[Estimated Effort (Hours)]]&lt;20,"L1",IF(Table1[[#This Row],[Estimated Effort (Hours)]]&lt;50,"L2",IF(Table1[[#This Row],[Estimated Effort (Hours)]]&lt;150,"L3",IF(Table1[[#This Row],[Estimated Effort (Hours)]]&lt;300,"L4","L5")))))</f>
        <v/>
      </c>
      <c r="S1735" s="184" t="str">
        <f>IF(Table1[[#This Row],[Actual End Date]]="","",TEXT(Table1[[#This Row],[Actual End Date]],"mmm-yy"))</f>
        <v/>
      </c>
      <c r="T17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5" s="185" t="str">
        <f>IFERROR((Table1[[#This Row],[Actual Effort (Hours)]]-Table1[[#This Row],[Estimated Effort (Hours)]])/Table1[[#This Row],[Estimated Effort (Hours)]],"")</f>
        <v/>
      </c>
    </row>
    <row r="1736" spans="2:21">
      <c r="B1736" s="125"/>
      <c r="C1736" s="123"/>
      <c r="D1736" s="143"/>
      <c r="E1736" s="123"/>
      <c r="F1736" s="143"/>
      <c r="G1736" s="129"/>
      <c r="H1736" s="124"/>
      <c r="I1736" s="124"/>
      <c r="J1736" s="129"/>
      <c r="K1736" s="194"/>
      <c r="L1736" s="194"/>
      <c r="M1736" s="129"/>
      <c r="N1736" s="129" t="e">
        <f>Table1[[#This Row],[Estimated Effort (Hours)]]/NETWORKDAYS(Table1[[#This Row],[Planned Start Date]],Table1[[#This Row],[Planned End Date]])</f>
        <v>#DIV/0!</v>
      </c>
      <c r="O1736" s="178">
        <f>NETWORKDAYS(Table1[[#This Row],[Planned Start Date]],Table1[[#This Row],[Planned End Date]])</f>
        <v>0</v>
      </c>
      <c r="P1736" s="178">
        <f>NETWORKDAYS(Table1[[#This Row],[Planned Start Date]],$P$7)</f>
        <v>30643</v>
      </c>
      <c r="Q1736" s="129"/>
      <c r="R1736" s="183" t="str">
        <f>IF(Table1[[#This Row],[Actual Effort (Hours)]]="","",IF(Table1[[#This Row],[Estimated Effort (Hours)]]&lt;20,"L1",IF(Table1[[#This Row],[Estimated Effort (Hours)]]&lt;50,"L2",IF(Table1[[#This Row],[Estimated Effort (Hours)]]&lt;150,"L3",IF(Table1[[#This Row],[Estimated Effort (Hours)]]&lt;300,"L4","L5")))))</f>
        <v/>
      </c>
      <c r="S1736" s="184" t="str">
        <f>IF(Table1[[#This Row],[Actual End Date]]="","",TEXT(Table1[[#This Row],[Actual End Date]],"mmm-yy"))</f>
        <v/>
      </c>
      <c r="T17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6" s="185" t="str">
        <f>IFERROR((Table1[[#This Row],[Actual Effort (Hours)]]-Table1[[#This Row],[Estimated Effort (Hours)]])/Table1[[#This Row],[Estimated Effort (Hours)]],"")</f>
        <v/>
      </c>
    </row>
    <row r="1737" spans="2:21">
      <c r="B1737" s="125"/>
      <c r="C1737" s="123"/>
      <c r="D1737" s="143"/>
      <c r="E1737" s="123"/>
      <c r="F1737" s="143"/>
      <c r="G1737" s="129"/>
      <c r="H1737" s="124"/>
      <c r="I1737" s="124"/>
      <c r="J1737" s="129"/>
      <c r="K1737" s="194"/>
      <c r="L1737" s="194"/>
      <c r="M1737" s="129"/>
      <c r="N1737" s="129" t="e">
        <f>Table1[[#This Row],[Estimated Effort (Hours)]]/NETWORKDAYS(Table1[[#This Row],[Planned Start Date]],Table1[[#This Row],[Planned End Date]])</f>
        <v>#DIV/0!</v>
      </c>
      <c r="O1737" s="178">
        <f>NETWORKDAYS(Table1[[#This Row],[Planned Start Date]],Table1[[#This Row],[Planned End Date]])</f>
        <v>0</v>
      </c>
      <c r="P1737" s="178">
        <f>NETWORKDAYS(Table1[[#This Row],[Planned Start Date]],$P$7)</f>
        <v>30643</v>
      </c>
      <c r="Q1737" s="129"/>
      <c r="R1737" s="183" t="str">
        <f>IF(Table1[[#This Row],[Actual Effort (Hours)]]="","",IF(Table1[[#This Row],[Estimated Effort (Hours)]]&lt;20,"L1",IF(Table1[[#This Row],[Estimated Effort (Hours)]]&lt;50,"L2",IF(Table1[[#This Row],[Estimated Effort (Hours)]]&lt;150,"L3",IF(Table1[[#This Row],[Estimated Effort (Hours)]]&lt;300,"L4","L5")))))</f>
        <v/>
      </c>
      <c r="S1737" s="184" t="str">
        <f>IF(Table1[[#This Row],[Actual End Date]]="","",TEXT(Table1[[#This Row],[Actual End Date]],"mmm-yy"))</f>
        <v/>
      </c>
      <c r="T17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7" s="185" t="str">
        <f>IFERROR((Table1[[#This Row],[Actual Effort (Hours)]]-Table1[[#This Row],[Estimated Effort (Hours)]])/Table1[[#This Row],[Estimated Effort (Hours)]],"")</f>
        <v/>
      </c>
    </row>
    <row r="1738" spans="2:21">
      <c r="B1738" s="125"/>
      <c r="C1738" s="123"/>
      <c r="D1738" s="143"/>
      <c r="E1738" s="123"/>
      <c r="F1738" s="143"/>
      <c r="G1738" s="129"/>
      <c r="H1738" s="124"/>
      <c r="I1738" s="124"/>
      <c r="J1738" s="129"/>
      <c r="K1738" s="194"/>
      <c r="L1738" s="194"/>
      <c r="M1738" s="129"/>
      <c r="N1738" s="129" t="e">
        <f>Table1[[#This Row],[Estimated Effort (Hours)]]/NETWORKDAYS(Table1[[#This Row],[Planned Start Date]],Table1[[#This Row],[Planned End Date]])</f>
        <v>#DIV/0!</v>
      </c>
      <c r="O1738" s="178">
        <f>NETWORKDAYS(Table1[[#This Row],[Planned Start Date]],Table1[[#This Row],[Planned End Date]])</f>
        <v>0</v>
      </c>
      <c r="P1738" s="178">
        <f>NETWORKDAYS(Table1[[#This Row],[Planned Start Date]],$P$7)</f>
        <v>30643</v>
      </c>
      <c r="Q1738" s="129"/>
      <c r="R1738" s="183" t="str">
        <f>IF(Table1[[#This Row],[Actual Effort (Hours)]]="","",IF(Table1[[#This Row],[Estimated Effort (Hours)]]&lt;20,"L1",IF(Table1[[#This Row],[Estimated Effort (Hours)]]&lt;50,"L2",IF(Table1[[#This Row],[Estimated Effort (Hours)]]&lt;150,"L3",IF(Table1[[#This Row],[Estimated Effort (Hours)]]&lt;300,"L4","L5")))))</f>
        <v/>
      </c>
      <c r="S1738" s="184" t="str">
        <f>IF(Table1[[#This Row],[Actual End Date]]="","",TEXT(Table1[[#This Row],[Actual End Date]],"mmm-yy"))</f>
        <v/>
      </c>
      <c r="T17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8" s="185" t="str">
        <f>IFERROR((Table1[[#This Row],[Actual Effort (Hours)]]-Table1[[#This Row],[Estimated Effort (Hours)]])/Table1[[#This Row],[Estimated Effort (Hours)]],"")</f>
        <v/>
      </c>
    </row>
    <row r="1739" spans="2:21">
      <c r="B1739" s="125"/>
      <c r="C1739" s="123"/>
      <c r="D1739" s="143"/>
      <c r="E1739" s="123"/>
      <c r="F1739" s="143"/>
      <c r="G1739" s="129"/>
      <c r="H1739" s="124"/>
      <c r="I1739" s="124"/>
      <c r="J1739" s="129"/>
      <c r="K1739" s="194"/>
      <c r="L1739" s="194"/>
      <c r="M1739" s="129"/>
      <c r="N1739" s="129" t="e">
        <f>Table1[[#This Row],[Estimated Effort (Hours)]]/NETWORKDAYS(Table1[[#This Row],[Planned Start Date]],Table1[[#This Row],[Planned End Date]])</f>
        <v>#DIV/0!</v>
      </c>
      <c r="O1739" s="178">
        <f>NETWORKDAYS(Table1[[#This Row],[Planned Start Date]],Table1[[#This Row],[Planned End Date]])</f>
        <v>0</v>
      </c>
      <c r="P1739" s="178">
        <f>NETWORKDAYS(Table1[[#This Row],[Planned Start Date]],$P$7)</f>
        <v>30643</v>
      </c>
      <c r="Q1739" s="129"/>
      <c r="R1739" s="183" t="str">
        <f>IF(Table1[[#This Row],[Actual Effort (Hours)]]="","",IF(Table1[[#This Row],[Estimated Effort (Hours)]]&lt;20,"L1",IF(Table1[[#This Row],[Estimated Effort (Hours)]]&lt;50,"L2",IF(Table1[[#This Row],[Estimated Effort (Hours)]]&lt;150,"L3",IF(Table1[[#This Row],[Estimated Effort (Hours)]]&lt;300,"L4","L5")))))</f>
        <v/>
      </c>
      <c r="S1739" s="184" t="str">
        <f>IF(Table1[[#This Row],[Actual End Date]]="","",TEXT(Table1[[#This Row],[Actual End Date]],"mmm-yy"))</f>
        <v/>
      </c>
      <c r="T17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39" s="185" t="str">
        <f>IFERROR((Table1[[#This Row],[Actual Effort (Hours)]]-Table1[[#This Row],[Estimated Effort (Hours)]])/Table1[[#This Row],[Estimated Effort (Hours)]],"")</f>
        <v/>
      </c>
    </row>
    <row r="1740" spans="2:21">
      <c r="B1740" s="125"/>
      <c r="C1740" s="123"/>
      <c r="D1740" s="143"/>
      <c r="E1740" s="123"/>
      <c r="F1740" s="143"/>
      <c r="G1740" s="129"/>
      <c r="H1740" s="124"/>
      <c r="I1740" s="124"/>
      <c r="J1740" s="129"/>
      <c r="K1740" s="194"/>
      <c r="L1740" s="194"/>
      <c r="M1740" s="129"/>
      <c r="N1740" s="129" t="e">
        <f>Table1[[#This Row],[Estimated Effort (Hours)]]/NETWORKDAYS(Table1[[#This Row],[Planned Start Date]],Table1[[#This Row],[Planned End Date]])</f>
        <v>#DIV/0!</v>
      </c>
      <c r="O1740" s="178">
        <f>NETWORKDAYS(Table1[[#This Row],[Planned Start Date]],Table1[[#This Row],[Planned End Date]])</f>
        <v>0</v>
      </c>
      <c r="P1740" s="178">
        <f>NETWORKDAYS(Table1[[#This Row],[Planned Start Date]],$P$7)</f>
        <v>30643</v>
      </c>
      <c r="Q1740" s="129"/>
      <c r="R1740" s="183" t="str">
        <f>IF(Table1[[#This Row],[Actual Effort (Hours)]]="","",IF(Table1[[#This Row],[Estimated Effort (Hours)]]&lt;20,"L1",IF(Table1[[#This Row],[Estimated Effort (Hours)]]&lt;50,"L2",IF(Table1[[#This Row],[Estimated Effort (Hours)]]&lt;150,"L3",IF(Table1[[#This Row],[Estimated Effort (Hours)]]&lt;300,"L4","L5")))))</f>
        <v/>
      </c>
      <c r="S1740" s="184" t="str">
        <f>IF(Table1[[#This Row],[Actual End Date]]="","",TEXT(Table1[[#This Row],[Actual End Date]],"mmm-yy"))</f>
        <v/>
      </c>
      <c r="T17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0" s="185" t="str">
        <f>IFERROR((Table1[[#This Row],[Actual Effort (Hours)]]-Table1[[#This Row],[Estimated Effort (Hours)]])/Table1[[#This Row],[Estimated Effort (Hours)]],"")</f>
        <v/>
      </c>
    </row>
    <row r="1741" spans="2:21">
      <c r="B1741" s="125"/>
      <c r="C1741" s="123"/>
      <c r="D1741" s="143"/>
      <c r="E1741" s="123"/>
      <c r="F1741" s="143"/>
      <c r="G1741" s="129"/>
      <c r="H1741" s="124"/>
      <c r="I1741" s="124"/>
      <c r="J1741" s="129"/>
      <c r="K1741" s="194"/>
      <c r="L1741" s="194"/>
      <c r="M1741" s="129"/>
      <c r="N1741" s="129" t="e">
        <f>Table1[[#This Row],[Estimated Effort (Hours)]]/NETWORKDAYS(Table1[[#This Row],[Planned Start Date]],Table1[[#This Row],[Planned End Date]])</f>
        <v>#DIV/0!</v>
      </c>
      <c r="O1741" s="178">
        <f>NETWORKDAYS(Table1[[#This Row],[Planned Start Date]],Table1[[#This Row],[Planned End Date]])</f>
        <v>0</v>
      </c>
      <c r="P1741" s="178">
        <f>NETWORKDAYS(Table1[[#This Row],[Planned Start Date]],$P$7)</f>
        <v>30643</v>
      </c>
      <c r="Q1741" s="129"/>
      <c r="R1741" s="183" t="str">
        <f>IF(Table1[[#This Row],[Actual Effort (Hours)]]="","",IF(Table1[[#This Row],[Estimated Effort (Hours)]]&lt;20,"L1",IF(Table1[[#This Row],[Estimated Effort (Hours)]]&lt;50,"L2",IF(Table1[[#This Row],[Estimated Effort (Hours)]]&lt;150,"L3",IF(Table1[[#This Row],[Estimated Effort (Hours)]]&lt;300,"L4","L5")))))</f>
        <v/>
      </c>
      <c r="S1741" s="184" t="str">
        <f>IF(Table1[[#This Row],[Actual End Date]]="","",TEXT(Table1[[#This Row],[Actual End Date]],"mmm-yy"))</f>
        <v/>
      </c>
      <c r="T17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1" s="185" t="str">
        <f>IFERROR((Table1[[#This Row],[Actual Effort (Hours)]]-Table1[[#This Row],[Estimated Effort (Hours)]])/Table1[[#This Row],[Estimated Effort (Hours)]],"")</f>
        <v/>
      </c>
    </row>
    <row r="1742" spans="2:21">
      <c r="B1742" s="125"/>
      <c r="C1742" s="123"/>
      <c r="D1742" s="143"/>
      <c r="E1742" s="123"/>
      <c r="F1742" s="143"/>
      <c r="G1742" s="129"/>
      <c r="H1742" s="124"/>
      <c r="I1742" s="124"/>
      <c r="J1742" s="129"/>
      <c r="K1742" s="194"/>
      <c r="L1742" s="194"/>
      <c r="M1742" s="129"/>
      <c r="N1742" s="129" t="e">
        <f>Table1[[#This Row],[Estimated Effort (Hours)]]/NETWORKDAYS(Table1[[#This Row],[Planned Start Date]],Table1[[#This Row],[Planned End Date]])</f>
        <v>#DIV/0!</v>
      </c>
      <c r="O1742" s="178">
        <f>NETWORKDAYS(Table1[[#This Row],[Planned Start Date]],Table1[[#This Row],[Planned End Date]])</f>
        <v>0</v>
      </c>
      <c r="P1742" s="178">
        <f>NETWORKDAYS(Table1[[#This Row],[Planned Start Date]],$P$7)</f>
        <v>30643</v>
      </c>
      <c r="Q1742" s="129"/>
      <c r="R1742" s="183" t="str">
        <f>IF(Table1[[#This Row],[Actual Effort (Hours)]]="","",IF(Table1[[#This Row],[Estimated Effort (Hours)]]&lt;20,"L1",IF(Table1[[#This Row],[Estimated Effort (Hours)]]&lt;50,"L2",IF(Table1[[#This Row],[Estimated Effort (Hours)]]&lt;150,"L3",IF(Table1[[#This Row],[Estimated Effort (Hours)]]&lt;300,"L4","L5")))))</f>
        <v/>
      </c>
      <c r="S1742" s="184" t="str">
        <f>IF(Table1[[#This Row],[Actual End Date]]="","",TEXT(Table1[[#This Row],[Actual End Date]],"mmm-yy"))</f>
        <v/>
      </c>
      <c r="T17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2" s="185" t="str">
        <f>IFERROR((Table1[[#This Row],[Actual Effort (Hours)]]-Table1[[#This Row],[Estimated Effort (Hours)]])/Table1[[#This Row],[Estimated Effort (Hours)]],"")</f>
        <v/>
      </c>
    </row>
    <row r="1743" spans="2:21">
      <c r="B1743" s="125"/>
      <c r="C1743" s="123"/>
      <c r="D1743" s="143"/>
      <c r="E1743" s="123"/>
      <c r="F1743" s="143"/>
      <c r="G1743" s="129"/>
      <c r="H1743" s="124"/>
      <c r="I1743" s="124"/>
      <c r="J1743" s="129"/>
      <c r="K1743" s="194"/>
      <c r="L1743" s="194"/>
      <c r="M1743" s="129"/>
      <c r="N1743" s="129" t="e">
        <f>Table1[[#This Row],[Estimated Effort (Hours)]]/NETWORKDAYS(Table1[[#This Row],[Planned Start Date]],Table1[[#This Row],[Planned End Date]])</f>
        <v>#DIV/0!</v>
      </c>
      <c r="O1743" s="178">
        <f>NETWORKDAYS(Table1[[#This Row],[Planned Start Date]],Table1[[#This Row],[Planned End Date]])</f>
        <v>0</v>
      </c>
      <c r="P1743" s="178">
        <f>NETWORKDAYS(Table1[[#This Row],[Planned Start Date]],$P$7)</f>
        <v>30643</v>
      </c>
      <c r="Q1743" s="129"/>
      <c r="R1743" s="183" t="str">
        <f>IF(Table1[[#This Row],[Actual Effort (Hours)]]="","",IF(Table1[[#This Row],[Estimated Effort (Hours)]]&lt;20,"L1",IF(Table1[[#This Row],[Estimated Effort (Hours)]]&lt;50,"L2",IF(Table1[[#This Row],[Estimated Effort (Hours)]]&lt;150,"L3",IF(Table1[[#This Row],[Estimated Effort (Hours)]]&lt;300,"L4","L5")))))</f>
        <v/>
      </c>
      <c r="S1743" s="184" t="str">
        <f>IF(Table1[[#This Row],[Actual End Date]]="","",TEXT(Table1[[#This Row],[Actual End Date]],"mmm-yy"))</f>
        <v/>
      </c>
      <c r="T17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3" s="185" t="str">
        <f>IFERROR((Table1[[#This Row],[Actual Effort (Hours)]]-Table1[[#This Row],[Estimated Effort (Hours)]])/Table1[[#This Row],[Estimated Effort (Hours)]],"")</f>
        <v/>
      </c>
    </row>
    <row r="1744" spans="2:21">
      <c r="B1744" s="125"/>
      <c r="C1744" s="123"/>
      <c r="D1744" s="143"/>
      <c r="E1744" s="123"/>
      <c r="F1744" s="143"/>
      <c r="G1744" s="129"/>
      <c r="H1744" s="124"/>
      <c r="I1744" s="124"/>
      <c r="J1744" s="129"/>
      <c r="K1744" s="194"/>
      <c r="L1744" s="194"/>
      <c r="M1744" s="129"/>
      <c r="N1744" s="129" t="e">
        <f>Table1[[#This Row],[Estimated Effort (Hours)]]/NETWORKDAYS(Table1[[#This Row],[Planned Start Date]],Table1[[#This Row],[Planned End Date]])</f>
        <v>#DIV/0!</v>
      </c>
      <c r="O1744" s="178">
        <f>NETWORKDAYS(Table1[[#This Row],[Planned Start Date]],Table1[[#This Row],[Planned End Date]])</f>
        <v>0</v>
      </c>
      <c r="P1744" s="178">
        <f>NETWORKDAYS(Table1[[#This Row],[Planned Start Date]],$P$7)</f>
        <v>30643</v>
      </c>
      <c r="Q1744" s="129"/>
      <c r="R1744" s="183" t="str">
        <f>IF(Table1[[#This Row],[Actual Effort (Hours)]]="","",IF(Table1[[#This Row],[Estimated Effort (Hours)]]&lt;20,"L1",IF(Table1[[#This Row],[Estimated Effort (Hours)]]&lt;50,"L2",IF(Table1[[#This Row],[Estimated Effort (Hours)]]&lt;150,"L3",IF(Table1[[#This Row],[Estimated Effort (Hours)]]&lt;300,"L4","L5")))))</f>
        <v/>
      </c>
      <c r="S1744" s="184" t="str">
        <f>IF(Table1[[#This Row],[Actual End Date]]="","",TEXT(Table1[[#This Row],[Actual End Date]],"mmm-yy"))</f>
        <v/>
      </c>
      <c r="T17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4" s="185" t="str">
        <f>IFERROR((Table1[[#This Row],[Actual Effort (Hours)]]-Table1[[#This Row],[Estimated Effort (Hours)]])/Table1[[#This Row],[Estimated Effort (Hours)]],"")</f>
        <v/>
      </c>
    </row>
    <row r="1745" spans="2:21">
      <c r="B1745" s="125"/>
      <c r="C1745" s="123"/>
      <c r="D1745" s="143"/>
      <c r="E1745" s="123"/>
      <c r="F1745" s="143"/>
      <c r="G1745" s="129"/>
      <c r="H1745" s="124"/>
      <c r="I1745" s="124"/>
      <c r="J1745" s="129"/>
      <c r="K1745" s="194"/>
      <c r="L1745" s="194"/>
      <c r="M1745" s="129"/>
      <c r="N1745" s="129" t="e">
        <f>Table1[[#This Row],[Estimated Effort (Hours)]]/NETWORKDAYS(Table1[[#This Row],[Planned Start Date]],Table1[[#This Row],[Planned End Date]])</f>
        <v>#DIV/0!</v>
      </c>
      <c r="O1745" s="178">
        <f>NETWORKDAYS(Table1[[#This Row],[Planned Start Date]],Table1[[#This Row],[Planned End Date]])</f>
        <v>0</v>
      </c>
      <c r="P1745" s="178">
        <f>NETWORKDAYS(Table1[[#This Row],[Planned Start Date]],$P$7)</f>
        <v>30643</v>
      </c>
      <c r="Q1745" s="129"/>
      <c r="R1745" s="183" t="str">
        <f>IF(Table1[[#This Row],[Actual Effort (Hours)]]="","",IF(Table1[[#This Row],[Estimated Effort (Hours)]]&lt;20,"L1",IF(Table1[[#This Row],[Estimated Effort (Hours)]]&lt;50,"L2",IF(Table1[[#This Row],[Estimated Effort (Hours)]]&lt;150,"L3",IF(Table1[[#This Row],[Estimated Effort (Hours)]]&lt;300,"L4","L5")))))</f>
        <v/>
      </c>
      <c r="S1745" s="184" t="str">
        <f>IF(Table1[[#This Row],[Actual End Date]]="","",TEXT(Table1[[#This Row],[Actual End Date]],"mmm-yy"))</f>
        <v/>
      </c>
      <c r="T17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5" s="185" t="str">
        <f>IFERROR((Table1[[#This Row],[Actual Effort (Hours)]]-Table1[[#This Row],[Estimated Effort (Hours)]])/Table1[[#This Row],[Estimated Effort (Hours)]],"")</f>
        <v/>
      </c>
    </row>
    <row r="1746" spans="2:21">
      <c r="B1746" s="125"/>
      <c r="C1746" s="123"/>
      <c r="D1746" s="143"/>
      <c r="E1746" s="123"/>
      <c r="F1746" s="143"/>
      <c r="G1746" s="129"/>
      <c r="H1746" s="124"/>
      <c r="I1746" s="124"/>
      <c r="J1746" s="129"/>
      <c r="K1746" s="194"/>
      <c r="L1746" s="194"/>
      <c r="M1746" s="129"/>
      <c r="N1746" s="129" t="e">
        <f>Table1[[#This Row],[Estimated Effort (Hours)]]/NETWORKDAYS(Table1[[#This Row],[Planned Start Date]],Table1[[#This Row],[Planned End Date]])</f>
        <v>#DIV/0!</v>
      </c>
      <c r="O1746" s="178">
        <f>NETWORKDAYS(Table1[[#This Row],[Planned Start Date]],Table1[[#This Row],[Planned End Date]])</f>
        <v>0</v>
      </c>
      <c r="P1746" s="178">
        <f>NETWORKDAYS(Table1[[#This Row],[Planned Start Date]],$P$7)</f>
        <v>30643</v>
      </c>
      <c r="Q1746" s="129"/>
      <c r="R1746" s="183" t="str">
        <f>IF(Table1[[#This Row],[Actual Effort (Hours)]]="","",IF(Table1[[#This Row],[Estimated Effort (Hours)]]&lt;20,"L1",IF(Table1[[#This Row],[Estimated Effort (Hours)]]&lt;50,"L2",IF(Table1[[#This Row],[Estimated Effort (Hours)]]&lt;150,"L3",IF(Table1[[#This Row],[Estimated Effort (Hours)]]&lt;300,"L4","L5")))))</f>
        <v/>
      </c>
      <c r="S1746" s="184" t="str">
        <f>IF(Table1[[#This Row],[Actual End Date]]="","",TEXT(Table1[[#This Row],[Actual End Date]],"mmm-yy"))</f>
        <v/>
      </c>
      <c r="T17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6" s="185" t="str">
        <f>IFERROR((Table1[[#This Row],[Actual Effort (Hours)]]-Table1[[#This Row],[Estimated Effort (Hours)]])/Table1[[#This Row],[Estimated Effort (Hours)]],"")</f>
        <v/>
      </c>
    </row>
    <row r="1747" spans="2:21">
      <c r="B1747" s="125"/>
      <c r="C1747" s="123"/>
      <c r="D1747" s="143"/>
      <c r="E1747" s="123"/>
      <c r="F1747" s="143"/>
      <c r="G1747" s="129"/>
      <c r="H1747" s="124"/>
      <c r="I1747" s="124"/>
      <c r="J1747" s="129"/>
      <c r="K1747" s="194"/>
      <c r="L1747" s="194"/>
      <c r="M1747" s="129"/>
      <c r="N1747" s="129" t="e">
        <f>Table1[[#This Row],[Estimated Effort (Hours)]]/NETWORKDAYS(Table1[[#This Row],[Planned Start Date]],Table1[[#This Row],[Planned End Date]])</f>
        <v>#DIV/0!</v>
      </c>
      <c r="O1747" s="178">
        <f>NETWORKDAYS(Table1[[#This Row],[Planned Start Date]],Table1[[#This Row],[Planned End Date]])</f>
        <v>0</v>
      </c>
      <c r="P1747" s="178">
        <f>NETWORKDAYS(Table1[[#This Row],[Planned Start Date]],$P$7)</f>
        <v>30643</v>
      </c>
      <c r="Q1747" s="129"/>
      <c r="R1747" s="183" t="str">
        <f>IF(Table1[[#This Row],[Actual Effort (Hours)]]="","",IF(Table1[[#This Row],[Estimated Effort (Hours)]]&lt;20,"L1",IF(Table1[[#This Row],[Estimated Effort (Hours)]]&lt;50,"L2",IF(Table1[[#This Row],[Estimated Effort (Hours)]]&lt;150,"L3",IF(Table1[[#This Row],[Estimated Effort (Hours)]]&lt;300,"L4","L5")))))</f>
        <v/>
      </c>
      <c r="S1747" s="184" t="str">
        <f>IF(Table1[[#This Row],[Actual End Date]]="","",TEXT(Table1[[#This Row],[Actual End Date]],"mmm-yy"))</f>
        <v/>
      </c>
      <c r="T17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7" s="185" t="str">
        <f>IFERROR((Table1[[#This Row],[Actual Effort (Hours)]]-Table1[[#This Row],[Estimated Effort (Hours)]])/Table1[[#This Row],[Estimated Effort (Hours)]],"")</f>
        <v/>
      </c>
    </row>
    <row r="1748" spans="2:21">
      <c r="B1748" s="125"/>
      <c r="C1748" s="123"/>
      <c r="D1748" s="143"/>
      <c r="E1748" s="123"/>
      <c r="F1748" s="143"/>
      <c r="G1748" s="129"/>
      <c r="H1748" s="124"/>
      <c r="I1748" s="124"/>
      <c r="J1748" s="129"/>
      <c r="K1748" s="194"/>
      <c r="L1748" s="194"/>
      <c r="M1748" s="129"/>
      <c r="N1748" s="129" t="e">
        <f>Table1[[#This Row],[Estimated Effort (Hours)]]/NETWORKDAYS(Table1[[#This Row],[Planned Start Date]],Table1[[#This Row],[Planned End Date]])</f>
        <v>#DIV/0!</v>
      </c>
      <c r="O1748" s="178">
        <f>NETWORKDAYS(Table1[[#This Row],[Planned Start Date]],Table1[[#This Row],[Planned End Date]])</f>
        <v>0</v>
      </c>
      <c r="P1748" s="178">
        <f>NETWORKDAYS(Table1[[#This Row],[Planned Start Date]],$P$7)</f>
        <v>30643</v>
      </c>
      <c r="Q1748" s="129"/>
      <c r="R1748" s="183" t="str">
        <f>IF(Table1[[#This Row],[Actual Effort (Hours)]]="","",IF(Table1[[#This Row],[Estimated Effort (Hours)]]&lt;20,"L1",IF(Table1[[#This Row],[Estimated Effort (Hours)]]&lt;50,"L2",IF(Table1[[#This Row],[Estimated Effort (Hours)]]&lt;150,"L3",IF(Table1[[#This Row],[Estimated Effort (Hours)]]&lt;300,"L4","L5")))))</f>
        <v/>
      </c>
      <c r="S1748" s="184" t="str">
        <f>IF(Table1[[#This Row],[Actual End Date]]="","",TEXT(Table1[[#This Row],[Actual End Date]],"mmm-yy"))</f>
        <v/>
      </c>
      <c r="T17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8" s="185" t="str">
        <f>IFERROR((Table1[[#This Row],[Actual Effort (Hours)]]-Table1[[#This Row],[Estimated Effort (Hours)]])/Table1[[#This Row],[Estimated Effort (Hours)]],"")</f>
        <v/>
      </c>
    </row>
    <row r="1749" spans="2:21">
      <c r="B1749" s="125"/>
      <c r="C1749" s="123"/>
      <c r="D1749" s="143"/>
      <c r="E1749" s="123"/>
      <c r="F1749" s="143"/>
      <c r="G1749" s="129"/>
      <c r="H1749" s="124"/>
      <c r="I1749" s="124"/>
      <c r="J1749" s="129"/>
      <c r="K1749" s="194"/>
      <c r="L1749" s="194"/>
      <c r="M1749" s="129"/>
      <c r="N1749" s="129" t="e">
        <f>Table1[[#This Row],[Estimated Effort (Hours)]]/NETWORKDAYS(Table1[[#This Row],[Planned Start Date]],Table1[[#This Row],[Planned End Date]])</f>
        <v>#DIV/0!</v>
      </c>
      <c r="O1749" s="178">
        <f>NETWORKDAYS(Table1[[#This Row],[Planned Start Date]],Table1[[#This Row],[Planned End Date]])</f>
        <v>0</v>
      </c>
      <c r="P1749" s="178">
        <f>NETWORKDAYS(Table1[[#This Row],[Planned Start Date]],$P$7)</f>
        <v>30643</v>
      </c>
      <c r="Q1749" s="129"/>
      <c r="R1749" s="183" t="str">
        <f>IF(Table1[[#This Row],[Actual Effort (Hours)]]="","",IF(Table1[[#This Row],[Estimated Effort (Hours)]]&lt;20,"L1",IF(Table1[[#This Row],[Estimated Effort (Hours)]]&lt;50,"L2",IF(Table1[[#This Row],[Estimated Effort (Hours)]]&lt;150,"L3",IF(Table1[[#This Row],[Estimated Effort (Hours)]]&lt;300,"L4","L5")))))</f>
        <v/>
      </c>
      <c r="S1749" s="184" t="str">
        <f>IF(Table1[[#This Row],[Actual End Date]]="","",TEXT(Table1[[#This Row],[Actual End Date]],"mmm-yy"))</f>
        <v/>
      </c>
      <c r="T17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49" s="185" t="str">
        <f>IFERROR((Table1[[#This Row],[Actual Effort (Hours)]]-Table1[[#This Row],[Estimated Effort (Hours)]])/Table1[[#This Row],[Estimated Effort (Hours)]],"")</f>
        <v/>
      </c>
    </row>
    <row r="1750" spans="2:21">
      <c r="B1750" s="125"/>
      <c r="C1750" s="123"/>
      <c r="D1750" s="143"/>
      <c r="E1750" s="123"/>
      <c r="F1750" s="143"/>
      <c r="G1750" s="129"/>
      <c r="H1750" s="124"/>
      <c r="I1750" s="124"/>
      <c r="J1750" s="129"/>
      <c r="K1750" s="194"/>
      <c r="L1750" s="194"/>
      <c r="M1750" s="129"/>
      <c r="N1750" s="129" t="e">
        <f>Table1[[#This Row],[Estimated Effort (Hours)]]/NETWORKDAYS(Table1[[#This Row],[Planned Start Date]],Table1[[#This Row],[Planned End Date]])</f>
        <v>#DIV/0!</v>
      </c>
      <c r="O1750" s="178">
        <f>NETWORKDAYS(Table1[[#This Row],[Planned Start Date]],Table1[[#This Row],[Planned End Date]])</f>
        <v>0</v>
      </c>
      <c r="P1750" s="178">
        <f>NETWORKDAYS(Table1[[#This Row],[Planned Start Date]],$P$7)</f>
        <v>30643</v>
      </c>
      <c r="Q1750" s="129"/>
      <c r="R1750" s="183" t="str">
        <f>IF(Table1[[#This Row],[Actual Effort (Hours)]]="","",IF(Table1[[#This Row],[Estimated Effort (Hours)]]&lt;20,"L1",IF(Table1[[#This Row],[Estimated Effort (Hours)]]&lt;50,"L2",IF(Table1[[#This Row],[Estimated Effort (Hours)]]&lt;150,"L3",IF(Table1[[#This Row],[Estimated Effort (Hours)]]&lt;300,"L4","L5")))))</f>
        <v/>
      </c>
      <c r="S1750" s="184" t="str">
        <f>IF(Table1[[#This Row],[Actual End Date]]="","",TEXT(Table1[[#This Row],[Actual End Date]],"mmm-yy"))</f>
        <v/>
      </c>
      <c r="T17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0" s="185" t="str">
        <f>IFERROR((Table1[[#This Row],[Actual Effort (Hours)]]-Table1[[#This Row],[Estimated Effort (Hours)]])/Table1[[#This Row],[Estimated Effort (Hours)]],"")</f>
        <v/>
      </c>
    </row>
    <row r="1751" spans="2:21">
      <c r="B1751" s="125"/>
      <c r="C1751" s="123"/>
      <c r="D1751" s="143"/>
      <c r="E1751" s="123"/>
      <c r="F1751" s="143"/>
      <c r="G1751" s="129"/>
      <c r="H1751" s="124"/>
      <c r="I1751" s="124"/>
      <c r="J1751" s="129"/>
      <c r="K1751" s="194"/>
      <c r="L1751" s="194"/>
      <c r="M1751" s="129"/>
      <c r="N1751" s="129" t="e">
        <f>Table1[[#This Row],[Estimated Effort (Hours)]]/NETWORKDAYS(Table1[[#This Row],[Planned Start Date]],Table1[[#This Row],[Planned End Date]])</f>
        <v>#DIV/0!</v>
      </c>
      <c r="O1751" s="178">
        <f>NETWORKDAYS(Table1[[#This Row],[Planned Start Date]],Table1[[#This Row],[Planned End Date]])</f>
        <v>0</v>
      </c>
      <c r="P1751" s="178">
        <f>NETWORKDAYS(Table1[[#This Row],[Planned Start Date]],$P$7)</f>
        <v>30643</v>
      </c>
      <c r="Q1751" s="129"/>
      <c r="R1751" s="183" t="str">
        <f>IF(Table1[[#This Row],[Actual Effort (Hours)]]="","",IF(Table1[[#This Row],[Estimated Effort (Hours)]]&lt;20,"L1",IF(Table1[[#This Row],[Estimated Effort (Hours)]]&lt;50,"L2",IF(Table1[[#This Row],[Estimated Effort (Hours)]]&lt;150,"L3",IF(Table1[[#This Row],[Estimated Effort (Hours)]]&lt;300,"L4","L5")))))</f>
        <v/>
      </c>
      <c r="S1751" s="184" t="str">
        <f>IF(Table1[[#This Row],[Actual End Date]]="","",TEXT(Table1[[#This Row],[Actual End Date]],"mmm-yy"))</f>
        <v/>
      </c>
      <c r="T17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1" s="185" t="str">
        <f>IFERROR((Table1[[#This Row],[Actual Effort (Hours)]]-Table1[[#This Row],[Estimated Effort (Hours)]])/Table1[[#This Row],[Estimated Effort (Hours)]],"")</f>
        <v/>
      </c>
    </row>
    <row r="1752" spans="2:21">
      <c r="B1752" s="125"/>
      <c r="C1752" s="123"/>
      <c r="D1752" s="143"/>
      <c r="E1752" s="123"/>
      <c r="F1752" s="143"/>
      <c r="G1752" s="129"/>
      <c r="H1752" s="124"/>
      <c r="I1752" s="124"/>
      <c r="J1752" s="129"/>
      <c r="K1752" s="194"/>
      <c r="L1752" s="194"/>
      <c r="M1752" s="129"/>
      <c r="N1752" s="129" t="e">
        <f>Table1[[#This Row],[Estimated Effort (Hours)]]/NETWORKDAYS(Table1[[#This Row],[Planned Start Date]],Table1[[#This Row],[Planned End Date]])</f>
        <v>#DIV/0!</v>
      </c>
      <c r="O1752" s="178">
        <f>NETWORKDAYS(Table1[[#This Row],[Planned Start Date]],Table1[[#This Row],[Planned End Date]])</f>
        <v>0</v>
      </c>
      <c r="P1752" s="178">
        <f>NETWORKDAYS(Table1[[#This Row],[Planned Start Date]],$P$7)</f>
        <v>30643</v>
      </c>
      <c r="Q1752" s="129"/>
      <c r="R1752" s="183" t="str">
        <f>IF(Table1[[#This Row],[Actual Effort (Hours)]]="","",IF(Table1[[#This Row],[Estimated Effort (Hours)]]&lt;20,"L1",IF(Table1[[#This Row],[Estimated Effort (Hours)]]&lt;50,"L2",IF(Table1[[#This Row],[Estimated Effort (Hours)]]&lt;150,"L3",IF(Table1[[#This Row],[Estimated Effort (Hours)]]&lt;300,"L4","L5")))))</f>
        <v/>
      </c>
      <c r="S1752" s="184" t="str">
        <f>IF(Table1[[#This Row],[Actual End Date]]="","",TEXT(Table1[[#This Row],[Actual End Date]],"mmm-yy"))</f>
        <v/>
      </c>
      <c r="T17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2" s="185" t="str">
        <f>IFERROR((Table1[[#This Row],[Actual Effort (Hours)]]-Table1[[#This Row],[Estimated Effort (Hours)]])/Table1[[#This Row],[Estimated Effort (Hours)]],"")</f>
        <v/>
      </c>
    </row>
    <row r="1753" spans="2:21">
      <c r="B1753" s="125"/>
      <c r="C1753" s="123"/>
      <c r="D1753" s="143"/>
      <c r="E1753" s="123"/>
      <c r="F1753" s="143"/>
      <c r="G1753" s="129"/>
      <c r="H1753" s="124"/>
      <c r="I1753" s="124"/>
      <c r="J1753" s="129"/>
      <c r="K1753" s="194"/>
      <c r="L1753" s="194"/>
      <c r="M1753" s="129"/>
      <c r="N1753" s="129" t="e">
        <f>Table1[[#This Row],[Estimated Effort (Hours)]]/NETWORKDAYS(Table1[[#This Row],[Planned Start Date]],Table1[[#This Row],[Planned End Date]])</f>
        <v>#DIV/0!</v>
      </c>
      <c r="O1753" s="178">
        <f>NETWORKDAYS(Table1[[#This Row],[Planned Start Date]],Table1[[#This Row],[Planned End Date]])</f>
        <v>0</v>
      </c>
      <c r="P1753" s="178">
        <f>NETWORKDAYS(Table1[[#This Row],[Planned Start Date]],$P$7)</f>
        <v>30643</v>
      </c>
      <c r="Q1753" s="129"/>
      <c r="R1753" s="183" t="str">
        <f>IF(Table1[[#This Row],[Actual Effort (Hours)]]="","",IF(Table1[[#This Row],[Estimated Effort (Hours)]]&lt;20,"L1",IF(Table1[[#This Row],[Estimated Effort (Hours)]]&lt;50,"L2",IF(Table1[[#This Row],[Estimated Effort (Hours)]]&lt;150,"L3",IF(Table1[[#This Row],[Estimated Effort (Hours)]]&lt;300,"L4","L5")))))</f>
        <v/>
      </c>
      <c r="S1753" s="184" t="str">
        <f>IF(Table1[[#This Row],[Actual End Date]]="","",TEXT(Table1[[#This Row],[Actual End Date]],"mmm-yy"))</f>
        <v/>
      </c>
      <c r="T17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3" s="185" t="str">
        <f>IFERROR((Table1[[#This Row],[Actual Effort (Hours)]]-Table1[[#This Row],[Estimated Effort (Hours)]])/Table1[[#This Row],[Estimated Effort (Hours)]],"")</f>
        <v/>
      </c>
    </row>
    <row r="1754" spans="2:21">
      <c r="B1754" s="125"/>
      <c r="C1754" s="123"/>
      <c r="D1754" s="143"/>
      <c r="E1754" s="123"/>
      <c r="F1754" s="143"/>
      <c r="G1754" s="129"/>
      <c r="H1754" s="124"/>
      <c r="I1754" s="124"/>
      <c r="J1754" s="129"/>
      <c r="K1754" s="194"/>
      <c r="L1754" s="194"/>
      <c r="M1754" s="129"/>
      <c r="N1754" s="129" t="e">
        <f>Table1[[#This Row],[Estimated Effort (Hours)]]/NETWORKDAYS(Table1[[#This Row],[Planned Start Date]],Table1[[#This Row],[Planned End Date]])</f>
        <v>#DIV/0!</v>
      </c>
      <c r="O1754" s="178">
        <f>NETWORKDAYS(Table1[[#This Row],[Planned Start Date]],Table1[[#This Row],[Planned End Date]])</f>
        <v>0</v>
      </c>
      <c r="P1754" s="178">
        <f>NETWORKDAYS(Table1[[#This Row],[Planned Start Date]],$P$7)</f>
        <v>30643</v>
      </c>
      <c r="Q1754" s="129"/>
      <c r="R1754" s="183" t="str">
        <f>IF(Table1[[#This Row],[Actual Effort (Hours)]]="","",IF(Table1[[#This Row],[Estimated Effort (Hours)]]&lt;20,"L1",IF(Table1[[#This Row],[Estimated Effort (Hours)]]&lt;50,"L2",IF(Table1[[#This Row],[Estimated Effort (Hours)]]&lt;150,"L3",IF(Table1[[#This Row],[Estimated Effort (Hours)]]&lt;300,"L4","L5")))))</f>
        <v/>
      </c>
      <c r="S1754" s="184" t="str">
        <f>IF(Table1[[#This Row],[Actual End Date]]="","",TEXT(Table1[[#This Row],[Actual End Date]],"mmm-yy"))</f>
        <v/>
      </c>
      <c r="T17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4" s="185" t="str">
        <f>IFERROR((Table1[[#This Row],[Actual Effort (Hours)]]-Table1[[#This Row],[Estimated Effort (Hours)]])/Table1[[#This Row],[Estimated Effort (Hours)]],"")</f>
        <v/>
      </c>
    </row>
    <row r="1755" spans="2:21">
      <c r="B1755" s="125"/>
      <c r="C1755" s="123"/>
      <c r="D1755" s="143"/>
      <c r="E1755" s="123"/>
      <c r="F1755" s="143"/>
      <c r="G1755" s="129"/>
      <c r="H1755" s="124"/>
      <c r="I1755" s="124"/>
      <c r="J1755" s="129"/>
      <c r="K1755" s="194"/>
      <c r="L1755" s="194"/>
      <c r="M1755" s="129"/>
      <c r="N1755" s="129" t="e">
        <f>Table1[[#This Row],[Estimated Effort (Hours)]]/NETWORKDAYS(Table1[[#This Row],[Planned Start Date]],Table1[[#This Row],[Planned End Date]])</f>
        <v>#DIV/0!</v>
      </c>
      <c r="O1755" s="178">
        <f>NETWORKDAYS(Table1[[#This Row],[Planned Start Date]],Table1[[#This Row],[Planned End Date]])</f>
        <v>0</v>
      </c>
      <c r="P1755" s="178">
        <f>NETWORKDAYS(Table1[[#This Row],[Planned Start Date]],$P$7)</f>
        <v>30643</v>
      </c>
      <c r="Q1755" s="129"/>
      <c r="R1755" s="183" t="str">
        <f>IF(Table1[[#This Row],[Actual Effort (Hours)]]="","",IF(Table1[[#This Row],[Estimated Effort (Hours)]]&lt;20,"L1",IF(Table1[[#This Row],[Estimated Effort (Hours)]]&lt;50,"L2",IF(Table1[[#This Row],[Estimated Effort (Hours)]]&lt;150,"L3",IF(Table1[[#This Row],[Estimated Effort (Hours)]]&lt;300,"L4","L5")))))</f>
        <v/>
      </c>
      <c r="S1755" s="184" t="str">
        <f>IF(Table1[[#This Row],[Actual End Date]]="","",TEXT(Table1[[#This Row],[Actual End Date]],"mmm-yy"))</f>
        <v/>
      </c>
      <c r="T17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5" s="185" t="str">
        <f>IFERROR((Table1[[#This Row],[Actual Effort (Hours)]]-Table1[[#This Row],[Estimated Effort (Hours)]])/Table1[[#This Row],[Estimated Effort (Hours)]],"")</f>
        <v/>
      </c>
    </row>
    <row r="1756" spans="2:21">
      <c r="B1756" s="125"/>
      <c r="C1756" s="123"/>
      <c r="D1756" s="143"/>
      <c r="E1756" s="123"/>
      <c r="F1756" s="143"/>
      <c r="G1756" s="129"/>
      <c r="H1756" s="124"/>
      <c r="I1756" s="124"/>
      <c r="J1756" s="129"/>
      <c r="K1756" s="194"/>
      <c r="L1756" s="194"/>
      <c r="M1756" s="129"/>
      <c r="N1756" s="129" t="e">
        <f>Table1[[#This Row],[Estimated Effort (Hours)]]/NETWORKDAYS(Table1[[#This Row],[Planned Start Date]],Table1[[#This Row],[Planned End Date]])</f>
        <v>#DIV/0!</v>
      </c>
      <c r="O1756" s="178">
        <f>NETWORKDAYS(Table1[[#This Row],[Planned Start Date]],Table1[[#This Row],[Planned End Date]])</f>
        <v>0</v>
      </c>
      <c r="P1756" s="178">
        <f>NETWORKDAYS(Table1[[#This Row],[Planned Start Date]],$P$7)</f>
        <v>30643</v>
      </c>
      <c r="Q1756" s="129"/>
      <c r="R1756" s="183" t="str">
        <f>IF(Table1[[#This Row],[Actual Effort (Hours)]]="","",IF(Table1[[#This Row],[Estimated Effort (Hours)]]&lt;20,"L1",IF(Table1[[#This Row],[Estimated Effort (Hours)]]&lt;50,"L2",IF(Table1[[#This Row],[Estimated Effort (Hours)]]&lt;150,"L3",IF(Table1[[#This Row],[Estimated Effort (Hours)]]&lt;300,"L4","L5")))))</f>
        <v/>
      </c>
      <c r="S1756" s="184" t="str">
        <f>IF(Table1[[#This Row],[Actual End Date]]="","",TEXT(Table1[[#This Row],[Actual End Date]],"mmm-yy"))</f>
        <v/>
      </c>
      <c r="T17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6" s="185" t="str">
        <f>IFERROR((Table1[[#This Row],[Actual Effort (Hours)]]-Table1[[#This Row],[Estimated Effort (Hours)]])/Table1[[#This Row],[Estimated Effort (Hours)]],"")</f>
        <v/>
      </c>
    </row>
    <row r="1757" spans="2:21">
      <c r="B1757" s="125"/>
      <c r="C1757" s="123"/>
      <c r="D1757" s="143"/>
      <c r="E1757" s="123"/>
      <c r="F1757" s="143"/>
      <c r="G1757" s="129"/>
      <c r="H1757" s="124"/>
      <c r="I1757" s="124"/>
      <c r="J1757" s="129"/>
      <c r="K1757" s="194"/>
      <c r="L1757" s="194"/>
      <c r="M1757" s="129"/>
      <c r="N1757" s="129" t="e">
        <f>Table1[[#This Row],[Estimated Effort (Hours)]]/NETWORKDAYS(Table1[[#This Row],[Planned Start Date]],Table1[[#This Row],[Planned End Date]])</f>
        <v>#DIV/0!</v>
      </c>
      <c r="O1757" s="178">
        <f>NETWORKDAYS(Table1[[#This Row],[Planned Start Date]],Table1[[#This Row],[Planned End Date]])</f>
        <v>0</v>
      </c>
      <c r="P1757" s="178">
        <f>NETWORKDAYS(Table1[[#This Row],[Planned Start Date]],$P$7)</f>
        <v>30643</v>
      </c>
      <c r="Q1757" s="129"/>
      <c r="R1757" s="183" t="str">
        <f>IF(Table1[[#This Row],[Actual Effort (Hours)]]="","",IF(Table1[[#This Row],[Estimated Effort (Hours)]]&lt;20,"L1",IF(Table1[[#This Row],[Estimated Effort (Hours)]]&lt;50,"L2",IF(Table1[[#This Row],[Estimated Effort (Hours)]]&lt;150,"L3",IF(Table1[[#This Row],[Estimated Effort (Hours)]]&lt;300,"L4","L5")))))</f>
        <v/>
      </c>
      <c r="S1757" s="184" t="str">
        <f>IF(Table1[[#This Row],[Actual End Date]]="","",TEXT(Table1[[#This Row],[Actual End Date]],"mmm-yy"))</f>
        <v/>
      </c>
      <c r="T17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7" s="185" t="str">
        <f>IFERROR((Table1[[#This Row],[Actual Effort (Hours)]]-Table1[[#This Row],[Estimated Effort (Hours)]])/Table1[[#This Row],[Estimated Effort (Hours)]],"")</f>
        <v/>
      </c>
    </row>
    <row r="1758" spans="2:21">
      <c r="B1758" s="125"/>
      <c r="C1758" s="123"/>
      <c r="D1758" s="143"/>
      <c r="E1758" s="123"/>
      <c r="F1758" s="143"/>
      <c r="G1758" s="129"/>
      <c r="H1758" s="124"/>
      <c r="I1758" s="124"/>
      <c r="J1758" s="129"/>
      <c r="K1758" s="194"/>
      <c r="L1758" s="194"/>
      <c r="M1758" s="129"/>
      <c r="N1758" s="129" t="e">
        <f>Table1[[#This Row],[Estimated Effort (Hours)]]/NETWORKDAYS(Table1[[#This Row],[Planned Start Date]],Table1[[#This Row],[Planned End Date]])</f>
        <v>#DIV/0!</v>
      </c>
      <c r="O1758" s="178">
        <f>NETWORKDAYS(Table1[[#This Row],[Planned Start Date]],Table1[[#This Row],[Planned End Date]])</f>
        <v>0</v>
      </c>
      <c r="P1758" s="178">
        <f>NETWORKDAYS(Table1[[#This Row],[Planned Start Date]],$P$7)</f>
        <v>30643</v>
      </c>
      <c r="Q1758" s="129"/>
      <c r="R1758" s="183" t="str">
        <f>IF(Table1[[#This Row],[Actual Effort (Hours)]]="","",IF(Table1[[#This Row],[Estimated Effort (Hours)]]&lt;20,"L1",IF(Table1[[#This Row],[Estimated Effort (Hours)]]&lt;50,"L2",IF(Table1[[#This Row],[Estimated Effort (Hours)]]&lt;150,"L3",IF(Table1[[#This Row],[Estimated Effort (Hours)]]&lt;300,"L4","L5")))))</f>
        <v/>
      </c>
      <c r="S1758" s="184" t="str">
        <f>IF(Table1[[#This Row],[Actual End Date]]="","",TEXT(Table1[[#This Row],[Actual End Date]],"mmm-yy"))</f>
        <v/>
      </c>
      <c r="T17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8" s="185" t="str">
        <f>IFERROR((Table1[[#This Row],[Actual Effort (Hours)]]-Table1[[#This Row],[Estimated Effort (Hours)]])/Table1[[#This Row],[Estimated Effort (Hours)]],"")</f>
        <v/>
      </c>
    </row>
    <row r="1759" spans="2:21">
      <c r="B1759" s="125"/>
      <c r="C1759" s="123"/>
      <c r="D1759" s="143"/>
      <c r="E1759" s="123"/>
      <c r="F1759" s="143"/>
      <c r="G1759" s="129"/>
      <c r="H1759" s="124"/>
      <c r="I1759" s="124"/>
      <c r="J1759" s="129"/>
      <c r="K1759" s="194"/>
      <c r="L1759" s="194"/>
      <c r="M1759" s="129"/>
      <c r="N1759" s="129" t="e">
        <f>Table1[[#This Row],[Estimated Effort (Hours)]]/NETWORKDAYS(Table1[[#This Row],[Planned Start Date]],Table1[[#This Row],[Planned End Date]])</f>
        <v>#DIV/0!</v>
      </c>
      <c r="O1759" s="178">
        <f>NETWORKDAYS(Table1[[#This Row],[Planned Start Date]],Table1[[#This Row],[Planned End Date]])</f>
        <v>0</v>
      </c>
      <c r="P1759" s="178">
        <f>NETWORKDAYS(Table1[[#This Row],[Planned Start Date]],$P$7)</f>
        <v>30643</v>
      </c>
      <c r="Q1759" s="129"/>
      <c r="R1759" s="183" t="str">
        <f>IF(Table1[[#This Row],[Actual Effort (Hours)]]="","",IF(Table1[[#This Row],[Estimated Effort (Hours)]]&lt;20,"L1",IF(Table1[[#This Row],[Estimated Effort (Hours)]]&lt;50,"L2",IF(Table1[[#This Row],[Estimated Effort (Hours)]]&lt;150,"L3",IF(Table1[[#This Row],[Estimated Effort (Hours)]]&lt;300,"L4","L5")))))</f>
        <v/>
      </c>
      <c r="S1759" s="184" t="str">
        <f>IF(Table1[[#This Row],[Actual End Date]]="","",TEXT(Table1[[#This Row],[Actual End Date]],"mmm-yy"))</f>
        <v/>
      </c>
      <c r="T17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59" s="185" t="str">
        <f>IFERROR((Table1[[#This Row],[Actual Effort (Hours)]]-Table1[[#This Row],[Estimated Effort (Hours)]])/Table1[[#This Row],[Estimated Effort (Hours)]],"")</f>
        <v/>
      </c>
    </row>
    <row r="1760" spans="2:21">
      <c r="B1760" s="125"/>
      <c r="C1760" s="123"/>
      <c r="D1760" s="143"/>
      <c r="E1760" s="123"/>
      <c r="F1760" s="143"/>
      <c r="G1760" s="129"/>
      <c r="H1760" s="124"/>
      <c r="I1760" s="124"/>
      <c r="J1760" s="129"/>
      <c r="K1760" s="194"/>
      <c r="L1760" s="194"/>
      <c r="M1760" s="129"/>
      <c r="N1760" s="129" t="e">
        <f>Table1[[#This Row],[Estimated Effort (Hours)]]/NETWORKDAYS(Table1[[#This Row],[Planned Start Date]],Table1[[#This Row],[Planned End Date]])</f>
        <v>#DIV/0!</v>
      </c>
      <c r="O1760" s="178">
        <f>NETWORKDAYS(Table1[[#This Row],[Planned Start Date]],Table1[[#This Row],[Planned End Date]])</f>
        <v>0</v>
      </c>
      <c r="P1760" s="178">
        <f>NETWORKDAYS(Table1[[#This Row],[Planned Start Date]],$P$7)</f>
        <v>30643</v>
      </c>
      <c r="Q1760" s="129"/>
      <c r="R1760" s="183" t="str">
        <f>IF(Table1[[#This Row],[Actual Effort (Hours)]]="","",IF(Table1[[#This Row],[Estimated Effort (Hours)]]&lt;20,"L1",IF(Table1[[#This Row],[Estimated Effort (Hours)]]&lt;50,"L2",IF(Table1[[#This Row],[Estimated Effort (Hours)]]&lt;150,"L3",IF(Table1[[#This Row],[Estimated Effort (Hours)]]&lt;300,"L4","L5")))))</f>
        <v/>
      </c>
      <c r="S1760" s="184" t="str">
        <f>IF(Table1[[#This Row],[Actual End Date]]="","",TEXT(Table1[[#This Row],[Actual End Date]],"mmm-yy"))</f>
        <v/>
      </c>
      <c r="T17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0" s="185" t="str">
        <f>IFERROR((Table1[[#This Row],[Actual Effort (Hours)]]-Table1[[#This Row],[Estimated Effort (Hours)]])/Table1[[#This Row],[Estimated Effort (Hours)]],"")</f>
        <v/>
      </c>
    </row>
    <row r="1761" spans="2:21">
      <c r="B1761" s="125"/>
      <c r="C1761" s="123"/>
      <c r="D1761" s="143"/>
      <c r="E1761" s="123"/>
      <c r="F1761" s="143"/>
      <c r="G1761" s="129"/>
      <c r="H1761" s="124"/>
      <c r="I1761" s="124"/>
      <c r="J1761" s="129"/>
      <c r="K1761" s="194"/>
      <c r="L1761" s="194"/>
      <c r="M1761" s="129"/>
      <c r="N1761" s="129" t="e">
        <f>Table1[[#This Row],[Estimated Effort (Hours)]]/NETWORKDAYS(Table1[[#This Row],[Planned Start Date]],Table1[[#This Row],[Planned End Date]])</f>
        <v>#DIV/0!</v>
      </c>
      <c r="O1761" s="178">
        <f>NETWORKDAYS(Table1[[#This Row],[Planned Start Date]],Table1[[#This Row],[Planned End Date]])</f>
        <v>0</v>
      </c>
      <c r="P1761" s="178">
        <f>NETWORKDAYS(Table1[[#This Row],[Planned Start Date]],$P$7)</f>
        <v>30643</v>
      </c>
      <c r="Q1761" s="129"/>
      <c r="R1761" s="183" t="str">
        <f>IF(Table1[[#This Row],[Actual Effort (Hours)]]="","",IF(Table1[[#This Row],[Estimated Effort (Hours)]]&lt;20,"L1",IF(Table1[[#This Row],[Estimated Effort (Hours)]]&lt;50,"L2",IF(Table1[[#This Row],[Estimated Effort (Hours)]]&lt;150,"L3",IF(Table1[[#This Row],[Estimated Effort (Hours)]]&lt;300,"L4","L5")))))</f>
        <v/>
      </c>
      <c r="S1761" s="184" t="str">
        <f>IF(Table1[[#This Row],[Actual End Date]]="","",TEXT(Table1[[#This Row],[Actual End Date]],"mmm-yy"))</f>
        <v/>
      </c>
      <c r="T17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1" s="185" t="str">
        <f>IFERROR((Table1[[#This Row],[Actual Effort (Hours)]]-Table1[[#This Row],[Estimated Effort (Hours)]])/Table1[[#This Row],[Estimated Effort (Hours)]],"")</f>
        <v/>
      </c>
    </row>
    <row r="1762" spans="2:21">
      <c r="B1762" s="125"/>
      <c r="C1762" s="123"/>
      <c r="D1762" s="143"/>
      <c r="E1762" s="123"/>
      <c r="F1762" s="143"/>
      <c r="G1762" s="129"/>
      <c r="H1762" s="124"/>
      <c r="I1762" s="124"/>
      <c r="J1762" s="129"/>
      <c r="K1762" s="194"/>
      <c r="L1762" s="194"/>
      <c r="M1762" s="129"/>
      <c r="N1762" s="129" t="e">
        <f>Table1[[#This Row],[Estimated Effort (Hours)]]/NETWORKDAYS(Table1[[#This Row],[Planned Start Date]],Table1[[#This Row],[Planned End Date]])</f>
        <v>#DIV/0!</v>
      </c>
      <c r="O1762" s="178">
        <f>NETWORKDAYS(Table1[[#This Row],[Planned Start Date]],Table1[[#This Row],[Planned End Date]])</f>
        <v>0</v>
      </c>
      <c r="P1762" s="178">
        <f>NETWORKDAYS(Table1[[#This Row],[Planned Start Date]],$P$7)</f>
        <v>30643</v>
      </c>
      <c r="Q1762" s="129"/>
      <c r="R1762" s="183" t="str">
        <f>IF(Table1[[#This Row],[Actual Effort (Hours)]]="","",IF(Table1[[#This Row],[Estimated Effort (Hours)]]&lt;20,"L1",IF(Table1[[#This Row],[Estimated Effort (Hours)]]&lt;50,"L2",IF(Table1[[#This Row],[Estimated Effort (Hours)]]&lt;150,"L3",IF(Table1[[#This Row],[Estimated Effort (Hours)]]&lt;300,"L4","L5")))))</f>
        <v/>
      </c>
      <c r="S1762" s="184" t="str">
        <f>IF(Table1[[#This Row],[Actual End Date]]="","",TEXT(Table1[[#This Row],[Actual End Date]],"mmm-yy"))</f>
        <v/>
      </c>
      <c r="T17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2" s="185" t="str">
        <f>IFERROR((Table1[[#This Row],[Actual Effort (Hours)]]-Table1[[#This Row],[Estimated Effort (Hours)]])/Table1[[#This Row],[Estimated Effort (Hours)]],"")</f>
        <v/>
      </c>
    </row>
    <row r="1763" spans="2:21">
      <c r="B1763" s="125"/>
      <c r="C1763" s="123"/>
      <c r="D1763" s="143"/>
      <c r="E1763" s="123"/>
      <c r="F1763" s="143"/>
      <c r="G1763" s="129"/>
      <c r="H1763" s="124"/>
      <c r="I1763" s="124"/>
      <c r="J1763" s="129"/>
      <c r="K1763" s="194"/>
      <c r="L1763" s="194"/>
      <c r="M1763" s="129"/>
      <c r="N1763" s="129" t="e">
        <f>Table1[[#This Row],[Estimated Effort (Hours)]]/NETWORKDAYS(Table1[[#This Row],[Planned Start Date]],Table1[[#This Row],[Planned End Date]])</f>
        <v>#DIV/0!</v>
      </c>
      <c r="O1763" s="178">
        <f>NETWORKDAYS(Table1[[#This Row],[Planned Start Date]],Table1[[#This Row],[Planned End Date]])</f>
        <v>0</v>
      </c>
      <c r="P1763" s="178">
        <f>NETWORKDAYS(Table1[[#This Row],[Planned Start Date]],$P$7)</f>
        <v>30643</v>
      </c>
      <c r="Q1763" s="129"/>
      <c r="R1763" s="183" t="str">
        <f>IF(Table1[[#This Row],[Actual Effort (Hours)]]="","",IF(Table1[[#This Row],[Estimated Effort (Hours)]]&lt;20,"L1",IF(Table1[[#This Row],[Estimated Effort (Hours)]]&lt;50,"L2",IF(Table1[[#This Row],[Estimated Effort (Hours)]]&lt;150,"L3",IF(Table1[[#This Row],[Estimated Effort (Hours)]]&lt;300,"L4","L5")))))</f>
        <v/>
      </c>
      <c r="S1763" s="184" t="str">
        <f>IF(Table1[[#This Row],[Actual End Date]]="","",TEXT(Table1[[#This Row],[Actual End Date]],"mmm-yy"))</f>
        <v/>
      </c>
      <c r="T17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3" s="185" t="str">
        <f>IFERROR((Table1[[#This Row],[Actual Effort (Hours)]]-Table1[[#This Row],[Estimated Effort (Hours)]])/Table1[[#This Row],[Estimated Effort (Hours)]],"")</f>
        <v/>
      </c>
    </row>
    <row r="1764" spans="2:21">
      <c r="B1764" s="125"/>
      <c r="C1764" s="123"/>
      <c r="D1764" s="143"/>
      <c r="E1764" s="123"/>
      <c r="F1764" s="143"/>
      <c r="G1764" s="129"/>
      <c r="H1764" s="124"/>
      <c r="I1764" s="124"/>
      <c r="J1764" s="129"/>
      <c r="K1764" s="194"/>
      <c r="L1764" s="194"/>
      <c r="M1764" s="129"/>
      <c r="N1764" s="129" t="e">
        <f>Table1[[#This Row],[Estimated Effort (Hours)]]/NETWORKDAYS(Table1[[#This Row],[Planned Start Date]],Table1[[#This Row],[Planned End Date]])</f>
        <v>#DIV/0!</v>
      </c>
      <c r="O1764" s="178">
        <f>NETWORKDAYS(Table1[[#This Row],[Planned Start Date]],Table1[[#This Row],[Planned End Date]])</f>
        <v>0</v>
      </c>
      <c r="P1764" s="178">
        <f>NETWORKDAYS(Table1[[#This Row],[Planned Start Date]],$P$7)</f>
        <v>30643</v>
      </c>
      <c r="Q1764" s="129"/>
      <c r="R1764" s="183" t="str">
        <f>IF(Table1[[#This Row],[Actual Effort (Hours)]]="","",IF(Table1[[#This Row],[Estimated Effort (Hours)]]&lt;20,"L1",IF(Table1[[#This Row],[Estimated Effort (Hours)]]&lt;50,"L2",IF(Table1[[#This Row],[Estimated Effort (Hours)]]&lt;150,"L3",IF(Table1[[#This Row],[Estimated Effort (Hours)]]&lt;300,"L4","L5")))))</f>
        <v/>
      </c>
      <c r="S1764" s="184" t="str">
        <f>IF(Table1[[#This Row],[Actual End Date]]="","",TEXT(Table1[[#This Row],[Actual End Date]],"mmm-yy"))</f>
        <v/>
      </c>
      <c r="T17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4" s="185" t="str">
        <f>IFERROR((Table1[[#This Row],[Actual Effort (Hours)]]-Table1[[#This Row],[Estimated Effort (Hours)]])/Table1[[#This Row],[Estimated Effort (Hours)]],"")</f>
        <v/>
      </c>
    </row>
    <row r="1765" spans="2:21">
      <c r="B1765" s="125"/>
      <c r="C1765" s="123"/>
      <c r="D1765" s="143"/>
      <c r="E1765" s="123"/>
      <c r="F1765" s="143"/>
      <c r="G1765" s="129"/>
      <c r="H1765" s="124"/>
      <c r="I1765" s="124"/>
      <c r="J1765" s="129"/>
      <c r="K1765" s="194"/>
      <c r="L1765" s="194"/>
      <c r="M1765" s="129"/>
      <c r="N1765" s="129" t="e">
        <f>Table1[[#This Row],[Estimated Effort (Hours)]]/NETWORKDAYS(Table1[[#This Row],[Planned Start Date]],Table1[[#This Row],[Planned End Date]])</f>
        <v>#DIV/0!</v>
      </c>
      <c r="O1765" s="178">
        <f>NETWORKDAYS(Table1[[#This Row],[Planned Start Date]],Table1[[#This Row],[Planned End Date]])</f>
        <v>0</v>
      </c>
      <c r="P1765" s="178">
        <f>NETWORKDAYS(Table1[[#This Row],[Planned Start Date]],$P$7)</f>
        <v>30643</v>
      </c>
      <c r="Q1765" s="129"/>
      <c r="R1765" s="183" t="str">
        <f>IF(Table1[[#This Row],[Actual Effort (Hours)]]="","",IF(Table1[[#This Row],[Estimated Effort (Hours)]]&lt;20,"L1",IF(Table1[[#This Row],[Estimated Effort (Hours)]]&lt;50,"L2",IF(Table1[[#This Row],[Estimated Effort (Hours)]]&lt;150,"L3",IF(Table1[[#This Row],[Estimated Effort (Hours)]]&lt;300,"L4","L5")))))</f>
        <v/>
      </c>
      <c r="S1765" s="184" t="str">
        <f>IF(Table1[[#This Row],[Actual End Date]]="","",TEXT(Table1[[#This Row],[Actual End Date]],"mmm-yy"))</f>
        <v/>
      </c>
      <c r="T17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5" s="185" t="str">
        <f>IFERROR((Table1[[#This Row],[Actual Effort (Hours)]]-Table1[[#This Row],[Estimated Effort (Hours)]])/Table1[[#This Row],[Estimated Effort (Hours)]],"")</f>
        <v/>
      </c>
    </row>
    <row r="1766" spans="2:21">
      <c r="B1766" s="125"/>
      <c r="C1766" s="123"/>
      <c r="D1766" s="143"/>
      <c r="E1766" s="123"/>
      <c r="F1766" s="143"/>
      <c r="G1766" s="129"/>
      <c r="H1766" s="124"/>
      <c r="I1766" s="124"/>
      <c r="J1766" s="129"/>
      <c r="K1766" s="194"/>
      <c r="L1766" s="194"/>
      <c r="M1766" s="129"/>
      <c r="N1766" s="129" t="e">
        <f>Table1[[#This Row],[Estimated Effort (Hours)]]/NETWORKDAYS(Table1[[#This Row],[Planned Start Date]],Table1[[#This Row],[Planned End Date]])</f>
        <v>#DIV/0!</v>
      </c>
      <c r="O1766" s="178">
        <f>NETWORKDAYS(Table1[[#This Row],[Planned Start Date]],Table1[[#This Row],[Planned End Date]])</f>
        <v>0</v>
      </c>
      <c r="P1766" s="178">
        <f>NETWORKDAYS(Table1[[#This Row],[Planned Start Date]],$P$7)</f>
        <v>30643</v>
      </c>
      <c r="Q1766" s="129"/>
      <c r="R1766" s="183" t="str">
        <f>IF(Table1[[#This Row],[Actual Effort (Hours)]]="","",IF(Table1[[#This Row],[Estimated Effort (Hours)]]&lt;20,"L1",IF(Table1[[#This Row],[Estimated Effort (Hours)]]&lt;50,"L2",IF(Table1[[#This Row],[Estimated Effort (Hours)]]&lt;150,"L3",IF(Table1[[#This Row],[Estimated Effort (Hours)]]&lt;300,"L4","L5")))))</f>
        <v/>
      </c>
      <c r="S1766" s="184" t="str">
        <f>IF(Table1[[#This Row],[Actual End Date]]="","",TEXT(Table1[[#This Row],[Actual End Date]],"mmm-yy"))</f>
        <v/>
      </c>
      <c r="T17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6" s="185" t="str">
        <f>IFERROR((Table1[[#This Row],[Actual Effort (Hours)]]-Table1[[#This Row],[Estimated Effort (Hours)]])/Table1[[#This Row],[Estimated Effort (Hours)]],"")</f>
        <v/>
      </c>
    </row>
    <row r="1767" spans="2:21">
      <c r="B1767" s="125"/>
      <c r="C1767" s="123"/>
      <c r="D1767" s="143"/>
      <c r="E1767" s="123"/>
      <c r="F1767" s="143"/>
      <c r="G1767" s="129"/>
      <c r="H1767" s="124"/>
      <c r="I1767" s="124"/>
      <c r="J1767" s="129"/>
      <c r="K1767" s="194"/>
      <c r="L1767" s="194"/>
      <c r="M1767" s="129"/>
      <c r="N1767" s="129" t="e">
        <f>Table1[[#This Row],[Estimated Effort (Hours)]]/NETWORKDAYS(Table1[[#This Row],[Planned Start Date]],Table1[[#This Row],[Planned End Date]])</f>
        <v>#DIV/0!</v>
      </c>
      <c r="O1767" s="178">
        <f>NETWORKDAYS(Table1[[#This Row],[Planned Start Date]],Table1[[#This Row],[Planned End Date]])</f>
        <v>0</v>
      </c>
      <c r="P1767" s="178">
        <f>NETWORKDAYS(Table1[[#This Row],[Planned Start Date]],$P$7)</f>
        <v>30643</v>
      </c>
      <c r="Q1767" s="129"/>
      <c r="R1767" s="183" t="str">
        <f>IF(Table1[[#This Row],[Actual Effort (Hours)]]="","",IF(Table1[[#This Row],[Estimated Effort (Hours)]]&lt;20,"L1",IF(Table1[[#This Row],[Estimated Effort (Hours)]]&lt;50,"L2",IF(Table1[[#This Row],[Estimated Effort (Hours)]]&lt;150,"L3",IF(Table1[[#This Row],[Estimated Effort (Hours)]]&lt;300,"L4","L5")))))</f>
        <v/>
      </c>
      <c r="S1767" s="184" t="str">
        <f>IF(Table1[[#This Row],[Actual End Date]]="","",TEXT(Table1[[#This Row],[Actual End Date]],"mmm-yy"))</f>
        <v/>
      </c>
      <c r="T17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7" s="185" t="str">
        <f>IFERROR((Table1[[#This Row],[Actual Effort (Hours)]]-Table1[[#This Row],[Estimated Effort (Hours)]])/Table1[[#This Row],[Estimated Effort (Hours)]],"")</f>
        <v/>
      </c>
    </row>
    <row r="1768" spans="2:21">
      <c r="B1768" s="125"/>
      <c r="C1768" s="123"/>
      <c r="D1768" s="143"/>
      <c r="E1768" s="123"/>
      <c r="F1768" s="143"/>
      <c r="G1768" s="129"/>
      <c r="H1768" s="124"/>
      <c r="I1768" s="124"/>
      <c r="J1768" s="129"/>
      <c r="K1768" s="194"/>
      <c r="L1768" s="194"/>
      <c r="M1768" s="129"/>
      <c r="N1768" s="129" t="e">
        <f>Table1[[#This Row],[Estimated Effort (Hours)]]/NETWORKDAYS(Table1[[#This Row],[Planned Start Date]],Table1[[#This Row],[Planned End Date]])</f>
        <v>#DIV/0!</v>
      </c>
      <c r="O1768" s="178">
        <f>NETWORKDAYS(Table1[[#This Row],[Planned Start Date]],Table1[[#This Row],[Planned End Date]])</f>
        <v>0</v>
      </c>
      <c r="P1768" s="178">
        <f>NETWORKDAYS(Table1[[#This Row],[Planned Start Date]],$P$7)</f>
        <v>30643</v>
      </c>
      <c r="Q1768" s="129"/>
      <c r="R1768" s="183" t="str">
        <f>IF(Table1[[#This Row],[Actual Effort (Hours)]]="","",IF(Table1[[#This Row],[Estimated Effort (Hours)]]&lt;20,"L1",IF(Table1[[#This Row],[Estimated Effort (Hours)]]&lt;50,"L2",IF(Table1[[#This Row],[Estimated Effort (Hours)]]&lt;150,"L3",IF(Table1[[#This Row],[Estimated Effort (Hours)]]&lt;300,"L4","L5")))))</f>
        <v/>
      </c>
      <c r="S1768" s="184" t="str">
        <f>IF(Table1[[#This Row],[Actual End Date]]="","",TEXT(Table1[[#This Row],[Actual End Date]],"mmm-yy"))</f>
        <v/>
      </c>
      <c r="T17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8" s="185" t="str">
        <f>IFERROR((Table1[[#This Row],[Actual Effort (Hours)]]-Table1[[#This Row],[Estimated Effort (Hours)]])/Table1[[#This Row],[Estimated Effort (Hours)]],"")</f>
        <v/>
      </c>
    </row>
    <row r="1769" spans="2:21">
      <c r="B1769" s="125"/>
      <c r="C1769" s="123"/>
      <c r="D1769" s="143"/>
      <c r="E1769" s="123"/>
      <c r="F1769" s="143"/>
      <c r="G1769" s="129"/>
      <c r="H1769" s="124"/>
      <c r="I1769" s="124"/>
      <c r="J1769" s="129"/>
      <c r="K1769" s="194"/>
      <c r="L1769" s="194"/>
      <c r="M1769" s="129"/>
      <c r="N1769" s="129" t="e">
        <f>Table1[[#This Row],[Estimated Effort (Hours)]]/NETWORKDAYS(Table1[[#This Row],[Planned Start Date]],Table1[[#This Row],[Planned End Date]])</f>
        <v>#DIV/0!</v>
      </c>
      <c r="O1769" s="178">
        <f>NETWORKDAYS(Table1[[#This Row],[Planned Start Date]],Table1[[#This Row],[Planned End Date]])</f>
        <v>0</v>
      </c>
      <c r="P1769" s="178">
        <f>NETWORKDAYS(Table1[[#This Row],[Planned Start Date]],$P$7)</f>
        <v>30643</v>
      </c>
      <c r="Q1769" s="129"/>
      <c r="R1769" s="183" t="str">
        <f>IF(Table1[[#This Row],[Actual Effort (Hours)]]="","",IF(Table1[[#This Row],[Estimated Effort (Hours)]]&lt;20,"L1",IF(Table1[[#This Row],[Estimated Effort (Hours)]]&lt;50,"L2",IF(Table1[[#This Row],[Estimated Effort (Hours)]]&lt;150,"L3",IF(Table1[[#This Row],[Estimated Effort (Hours)]]&lt;300,"L4","L5")))))</f>
        <v/>
      </c>
      <c r="S1769" s="184" t="str">
        <f>IF(Table1[[#This Row],[Actual End Date]]="","",TEXT(Table1[[#This Row],[Actual End Date]],"mmm-yy"))</f>
        <v/>
      </c>
      <c r="T17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69" s="185" t="str">
        <f>IFERROR((Table1[[#This Row],[Actual Effort (Hours)]]-Table1[[#This Row],[Estimated Effort (Hours)]])/Table1[[#This Row],[Estimated Effort (Hours)]],"")</f>
        <v/>
      </c>
    </row>
    <row r="1770" spans="2:21">
      <c r="B1770" s="125"/>
      <c r="C1770" s="123"/>
      <c r="D1770" s="143"/>
      <c r="E1770" s="123"/>
      <c r="F1770" s="143"/>
      <c r="G1770" s="129"/>
      <c r="H1770" s="124"/>
      <c r="I1770" s="124"/>
      <c r="J1770" s="129"/>
      <c r="K1770" s="194"/>
      <c r="L1770" s="194"/>
      <c r="M1770" s="129"/>
      <c r="N1770" s="129" t="e">
        <f>Table1[[#This Row],[Estimated Effort (Hours)]]/NETWORKDAYS(Table1[[#This Row],[Planned Start Date]],Table1[[#This Row],[Planned End Date]])</f>
        <v>#DIV/0!</v>
      </c>
      <c r="O1770" s="178">
        <f>NETWORKDAYS(Table1[[#This Row],[Planned Start Date]],Table1[[#This Row],[Planned End Date]])</f>
        <v>0</v>
      </c>
      <c r="P1770" s="178">
        <f>NETWORKDAYS(Table1[[#This Row],[Planned Start Date]],$P$7)</f>
        <v>30643</v>
      </c>
      <c r="Q1770" s="129"/>
      <c r="R1770" s="183" t="str">
        <f>IF(Table1[[#This Row],[Actual Effort (Hours)]]="","",IF(Table1[[#This Row],[Estimated Effort (Hours)]]&lt;20,"L1",IF(Table1[[#This Row],[Estimated Effort (Hours)]]&lt;50,"L2",IF(Table1[[#This Row],[Estimated Effort (Hours)]]&lt;150,"L3",IF(Table1[[#This Row],[Estimated Effort (Hours)]]&lt;300,"L4","L5")))))</f>
        <v/>
      </c>
      <c r="S1770" s="184" t="str">
        <f>IF(Table1[[#This Row],[Actual End Date]]="","",TEXT(Table1[[#This Row],[Actual End Date]],"mmm-yy"))</f>
        <v/>
      </c>
      <c r="T17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0" s="185" t="str">
        <f>IFERROR((Table1[[#This Row],[Actual Effort (Hours)]]-Table1[[#This Row],[Estimated Effort (Hours)]])/Table1[[#This Row],[Estimated Effort (Hours)]],"")</f>
        <v/>
      </c>
    </row>
    <row r="1771" spans="2:21">
      <c r="B1771" s="125"/>
      <c r="C1771" s="123"/>
      <c r="D1771" s="143"/>
      <c r="E1771" s="123"/>
      <c r="F1771" s="143"/>
      <c r="G1771" s="129"/>
      <c r="H1771" s="124"/>
      <c r="I1771" s="124"/>
      <c r="J1771" s="129"/>
      <c r="K1771" s="194"/>
      <c r="L1771" s="194"/>
      <c r="M1771" s="129"/>
      <c r="N1771" s="129" t="e">
        <f>Table1[[#This Row],[Estimated Effort (Hours)]]/NETWORKDAYS(Table1[[#This Row],[Planned Start Date]],Table1[[#This Row],[Planned End Date]])</f>
        <v>#DIV/0!</v>
      </c>
      <c r="O1771" s="178">
        <f>NETWORKDAYS(Table1[[#This Row],[Planned Start Date]],Table1[[#This Row],[Planned End Date]])</f>
        <v>0</v>
      </c>
      <c r="P1771" s="178">
        <f>NETWORKDAYS(Table1[[#This Row],[Planned Start Date]],$P$7)</f>
        <v>30643</v>
      </c>
      <c r="Q1771" s="129"/>
      <c r="R1771" s="183" t="str">
        <f>IF(Table1[[#This Row],[Actual Effort (Hours)]]="","",IF(Table1[[#This Row],[Estimated Effort (Hours)]]&lt;20,"L1",IF(Table1[[#This Row],[Estimated Effort (Hours)]]&lt;50,"L2",IF(Table1[[#This Row],[Estimated Effort (Hours)]]&lt;150,"L3",IF(Table1[[#This Row],[Estimated Effort (Hours)]]&lt;300,"L4","L5")))))</f>
        <v/>
      </c>
      <c r="S1771" s="184" t="str">
        <f>IF(Table1[[#This Row],[Actual End Date]]="","",TEXT(Table1[[#This Row],[Actual End Date]],"mmm-yy"))</f>
        <v/>
      </c>
      <c r="T17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1" s="185" t="str">
        <f>IFERROR((Table1[[#This Row],[Actual Effort (Hours)]]-Table1[[#This Row],[Estimated Effort (Hours)]])/Table1[[#This Row],[Estimated Effort (Hours)]],"")</f>
        <v/>
      </c>
    </row>
    <row r="1772" spans="2:21">
      <c r="B1772" s="125"/>
      <c r="C1772" s="123"/>
      <c r="D1772" s="143"/>
      <c r="E1772" s="123"/>
      <c r="F1772" s="143"/>
      <c r="G1772" s="129"/>
      <c r="H1772" s="124"/>
      <c r="I1772" s="124"/>
      <c r="J1772" s="129"/>
      <c r="K1772" s="194"/>
      <c r="L1772" s="194"/>
      <c r="M1772" s="129"/>
      <c r="N1772" s="129" t="e">
        <f>Table1[[#This Row],[Estimated Effort (Hours)]]/NETWORKDAYS(Table1[[#This Row],[Planned Start Date]],Table1[[#This Row],[Planned End Date]])</f>
        <v>#DIV/0!</v>
      </c>
      <c r="O1772" s="178">
        <f>NETWORKDAYS(Table1[[#This Row],[Planned Start Date]],Table1[[#This Row],[Planned End Date]])</f>
        <v>0</v>
      </c>
      <c r="P1772" s="178">
        <f>NETWORKDAYS(Table1[[#This Row],[Planned Start Date]],$P$7)</f>
        <v>30643</v>
      </c>
      <c r="Q1772" s="129"/>
      <c r="R1772" s="183" t="str">
        <f>IF(Table1[[#This Row],[Actual Effort (Hours)]]="","",IF(Table1[[#This Row],[Estimated Effort (Hours)]]&lt;20,"L1",IF(Table1[[#This Row],[Estimated Effort (Hours)]]&lt;50,"L2",IF(Table1[[#This Row],[Estimated Effort (Hours)]]&lt;150,"L3",IF(Table1[[#This Row],[Estimated Effort (Hours)]]&lt;300,"L4","L5")))))</f>
        <v/>
      </c>
      <c r="S1772" s="184" t="str">
        <f>IF(Table1[[#This Row],[Actual End Date]]="","",TEXT(Table1[[#This Row],[Actual End Date]],"mmm-yy"))</f>
        <v/>
      </c>
      <c r="T17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2" s="185" t="str">
        <f>IFERROR((Table1[[#This Row],[Actual Effort (Hours)]]-Table1[[#This Row],[Estimated Effort (Hours)]])/Table1[[#This Row],[Estimated Effort (Hours)]],"")</f>
        <v/>
      </c>
    </row>
    <row r="1773" spans="2:21">
      <c r="B1773" s="125"/>
      <c r="C1773" s="123"/>
      <c r="D1773" s="143"/>
      <c r="E1773" s="123"/>
      <c r="F1773" s="143"/>
      <c r="G1773" s="129"/>
      <c r="H1773" s="124"/>
      <c r="I1773" s="124"/>
      <c r="J1773" s="129"/>
      <c r="K1773" s="194"/>
      <c r="L1773" s="194"/>
      <c r="M1773" s="129"/>
      <c r="N1773" s="129" t="e">
        <f>Table1[[#This Row],[Estimated Effort (Hours)]]/NETWORKDAYS(Table1[[#This Row],[Planned Start Date]],Table1[[#This Row],[Planned End Date]])</f>
        <v>#DIV/0!</v>
      </c>
      <c r="O1773" s="178">
        <f>NETWORKDAYS(Table1[[#This Row],[Planned Start Date]],Table1[[#This Row],[Planned End Date]])</f>
        <v>0</v>
      </c>
      <c r="P1773" s="178">
        <f>NETWORKDAYS(Table1[[#This Row],[Planned Start Date]],$P$7)</f>
        <v>30643</v>
      </c>
      <c r="Q1773" s="129"/>
      <c r="R1773" s="183" t="str">
        <f>IF(Table1[[#This Row],[Actual Effort (Hours)]]="","",IF(Table1[[#This Row],[Estimated Effort (Hours)]]&lt;20,"L1",IF(Table1[[#This Row],[Estimated Effort (Hours)]]&lt;50,"L2",IF(Table1[[#This Row],[Estimated Effort (Hours)]]&lt;150,"L3",IF(Table1[[#This Row],[Estimated Effort (Hours)]]&lt;300,"L4","L5")))))</f>
        <v/>
      </c>
      <c r="S1773" s="184" t="str">
        <f>IF(Table1[[#This Row],[Actual End Date]]="","",TEXT(Table1[[#This Row],[Actual End Date]],"mmm-yy"))</f>
        <v/>
      </c>
      <c r="T17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3" s="185" t="str">
        <f>IFERROR((Table1[[#This Row],[Actual Effort (Hours)]]-Table1[[#This Row],[Estimated Effort (Hours)]])/Table1[[#This Row],[Estimated Effort (Hours)]],"")</f>
        <v/>
      </c>
    </row>
    <row r="1774" spans="2:21">
      <c r="B1774" s="125"/>
      <c r="C1774" s="123"/>
      <c r="D1774" s="143"/>
      <c r="E1774" s="123"/>
      <c r="F1774" s="143"/>
      <c r="G1774" s="129"/>
      <c r="H1774" s="124"/>
      <c r="I1774" s="124"/>
      <c r="J1774" s="129"/>
      <c r="K1774" s="194"/>
      <c r="L1774" s="194"/>
      <c r="M1774" s="129"/>
      <c r="N1774" s="129" t="e">
        <f>Table1[[#This Row],[Estimated Effort (Hours)]]/NETWORKDAYS(Table1[[#This Row],[Planned Start Date]],Table1[[#This Row],[Planned End Date]])</f>
        <v>#DIV/0!</v>
      </c>
      <c r="O1774" s="178">
        <f>NETWORKDAYS(Table1[[#This Row],[Planned Start Date]],Table1[[#This Row],[Planned End Date]])</f>
        <v>0</v>
      </c>
      <c r="P1774" s="178">
        <f>NETWORKDAYS(Table1[[#This Row],[Planned Start Date]],$P$7)</f>
        <v>30643</v>
      </c>
      <c r="Q1774" s="129"/>
      <c r="R1774" s="183" t="str">
        <f>IF(Table1[[#This Row],[Actual Effort (Hours)]]="","",IF(Table1[[#This Row],[Estimated Effort (Hours)]]&lt;20,"L1",IF(Table1[[#This Row],[Estimated Effort (Hours)]]&lt;50,"L2",IF(Table1[[#This Row],[Estimated Effort (Hours)]]&lt;150,"L3",IF(Table1[[#This Row],[Estimated Effort (Hours)]]&lt;300,"L4","L5")))))</f>
        <v/>
      </c>
      <c r="S1774" s="184" t="str">
        <f>IF(Table1[[#This Row],[Actual End Date]]="","",TEXT(Table1[[#This Row],[Actual End Date]],"mmm-yy"))</f>
        <v/>
      </c>
      <c r="T17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4" s="185" t="str">
        <f>IFERROR((Table1[[#This Row],[Actual Effort (Hours)]]-Table1[[#This Row],[Estimated Effort (Hours)]])/Table1[[#This Row],[Estimated Effort (Hours)]],"")</f>
        <v/>
      </c>
    </row>
    <row r="1775" spans="2:21">
      <c r="B1775" s="125"/>
      <c r="C1775" s="123"/>
      <c r="D1775" s="143"/>
      <c r="E1775" s="123"/>
      <c r="F1775" s="143"/>
      <c r="G1775" s="129"/>
      <c r="H1775" s="124"/>
      <c r="I1775" s="124"/>
      <c r="J1775" s="129"/>
      <c r="K1775" s="194"/>
      <c r="L1775" s="194"/>
      <c r="M1775" s="129"/>
      <c r="N1775" s="129" t="e">
        <f>Table1[[#This Row],[Estimated Effort (Hours)]]/NETWORKDAYS(Table1[[#This Row],[Planned Start Date]],Table1[[#This Row],[Planned End Date]])</f>
        <v>#DIV/0!</v>
      </c>
      <c r="O1775" s="178">
        <f>NETWORKDAYS(Table1[[#This Row],[Planned Start Date]],Table1[[#This Row],[Planned End Date]])</f>
        <v>0</v>
      </c>
      <c r="P1775" s="178">
        <f>NETWORKDAYS(Table1[[#This Row],[Planned Start Date]],$P$7)</f>
        <v>30643</v>
      </c>
      <c r="Q1775" s="129"/>
      <c r="R1775" s="183" t="str">
        <f>IF(Table1[[#This Row],[Actual Effort (Hours)]]="","",IF(Table1[[#This Row],[Estimated Effort (Hours)]]&lt;20,"L1",IF(Table1[[#This Row],[Estimated Effort (Hours)]]&lt;50,"L2",IF(Table1[[#This Row],[Estimated Effort (Hours)]]&lt;150,"L3",IF(Table1[[#This Row],[Estimated Effort (Hours)]]&lt;300,"L4","L5")))))</f>
        <v/>
      </c>
      <c r="S1775" s="184" t="str">
        <f>IF(Table1[[#This Row],[Actual End Date]]="","",TEXT(Table1[[#This Row],[Actual End Date]],"mmm-yy"))</f>
        <v/>
      </c>
      <c r="T17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5" s="185" t="str">
        <f>IFERROR((Table1[[#This Row],[Actual Effort (Hours)]]-Table1[[#This Row],[Estimated Effort (Hours)]])/Table1[[#This Row],[Estimated Effort (Hours)]],"")</f>
        <v/>
      </c>
    </row>
    <row r="1776" spans="2:21">
      <c r="B1776" s="125"/>
      <c r="C1776" s="123"/>
      <c r="D1776" s="143"/>
      <c r="E1776" s="123"/>
      <c r="F1776" s="143"/>
      <c r="G1776" s="129"/>
      <c r="H1776" s="124"/>
      <c r="I1776" s="124"/>
      <c r="J1776" s="129"/>
      <c r="K1776" s="194"/>
      <c r="L1776" s="194"/>
      <c r="M1776" s="129"/>
      <c r="N1776" s="129" t="e">
        <f>Table1[[#This Row],[Estimated Effort (Hours)]]/NETWORKDAYS(Table1[[#This Row],[Planned Start Date]],Table1[[#This Row],[Planned End Date]])</f>
        <v>#DIV/0!</v>
      </c>
      <c r="O1776" s="178">
        <f>NETWORKDAYS(Table1[[#This Row],[Planned Start Date]],Table1[[#This Row],[Planned End Date]])</f>
        <v>0</v>
      </c>
      <c r="P1776" s="178">
        <f>NETWORKDAYS(Table1[[#This Row],[Planned Start Date]],$P$7)</f>
        <v>30643</v>
      </c>
      <c r="Q1776" s="129"/>
      <c r="R1776" s="183" t="str">
        <f>IF(Table1[[#This Row],[Actual Effort (Hours)]]="","",IF(Table1[[#This Row],[Estimated Effort (Hours)]]&lt;20,"L1",IF(Table1[[#This Row],[Estimated Effort (Hours)]]&lt;50,"L2",IF(Table1[[#This Row],[Estimated Effort (Hours)]]&lt;150,"L3",IF(Table1[[#This Row],[Estimated Effort (Hours)]]&lt;300,"L4","L5")))))</f>
        <v/>
      </c>
      <c r="S1776" s="184" t="str">
        <f>IF(Table1[[#This Row],[Actual End Date]]="","",TEXT(Table1[[#This Row],[Actual End Date]],"mmm-yy"))</f>
        <v/>
      </c>
      <c r="T17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6" s="185" t="str">
        <f>IFERROR((Table1[[#This Row],[Actual Effort (Hours)]]-Table1[[#This Row],[Estimated Effort (Hours)]])/Table1[[#This Row],[Estimated Effort (Hours)]],"")</f>
        <v/>
      </c>
    </row>
    <row r="1777" spans="2:21">
      <c r="B1777" s="125"/>
      <c r="C1777" s="123"/>
      <c r="D1777" s="143"/>
      <c r="E1777" s="123"/>
      <c r="F1777" s="143"/>
      <c r="G1777" s="129"/>
      <c r="H1777" s="124"/>
      <c r="I1777" s="124"/>
      <c r="J1777" s="129"/>
      <c r="K1777" s="194"/>
      <c r="L1777" s="194"/>
      <c r="M1777" s="129"/>
      <c r="N1777" s="129" t="e">
        <f>Table1[[#This Row],[Estimated Effort (Hours)]]/NETWORKDAYS(Table1[[#This Row],[Planned Start Date]],Table1[[#This Row],[Planned End Date]])</f>
        <v>#DIV/0!</v>
      </c>
      <c r="O1777" s="178">
        <f>NETWORKDAYS(Table1[[#This Row],[Planned Start Date]],Table1[[#This Row],[Planned End Date]])</f>
        <v>0</v>
      </c>
      <c r="P1777" s="178">
        <f>NETWORKDAYS(Table1[[#This Row],[Planned Start Date]],$P$7)</f>
        <v>30643</v>
      </c>
      <c r="Q1777" s="129"/>
      <c r="R1777" s="183" t="str">
        <f>IF(Table1[[#This Row],[Actual Effort (Hours)]]="","",IF(Table1[[#This Row],[Estimated Effort (Hours)]]&lt;20,"L1",IF(Table1[[#This Row],[Estimated Effort (Hours)]]&lt;50,"L2",IF(Table1[[#This Row],[Estimated Effort (Hours)]]&lt;150,"L3",IF(Table1[[#This Row],[Estimated Effort (Hours)]]&lt;300,"L4","L5")))))</f>
        <v/>
      </c>
      <c r="S1777" s="184" t="str">
        <f>IF(Table1[[#This Row],[Actual End Date]]="","",TEXT(Table1[[#This Row],[Actual End Date]],"mmm-yy"))</f>
        <v/>
      </c>
      <c r="T17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7" s="185" t="str">
        <f>IFERROR((Table1[[#This Row],[Actual Effort (Hours)]]-Table1[[#This Row],[Estimated Effort (Hours)]])/Table1[[#This Row],[Estimated Effort (Hours)]],"")</f>
        <v/>
      </c>
    </row>
    <row r="1778" spans="2:21">
      <c r="B1778" s="125"/>
      <c r="C1778" s="123"/>
      <c r="D1778" s="143"/>
      <c r="E1778" s="123"/>
      <c r="F1778" s="143"/>
      <c r="G1778" s="129"/>
      <c r="H1778" s="124"/>
      <c r="I1778" s="124"/>
      <c r="J1778" s="129"/>
      <c r="K1778" s="194"/>
      <c r="L1778" s="194"/>
      <c r="M1778" s="129"/>
      <c r="N1778" s="129" t="e">
        <f>Table1[[#This Row],[Estimated Effort (Hours)]]/NETWORKDAYS(Table1[[#This Row],[Planned Start Date]],Table1[[#This Row],[Planned End Date]])</f>
        <v>#DIV/0!</v>
      </c>
      <c r="O1778" s="178">
        <f>NETWORKDAYS(Table1[[#This Row],[Planned Start Date]],Table1[[#This Row],[Planned End Date]])</f>
        <v>0</v>
      </c>
      <c r="P1778" s="178">
        <f>NETWORKDAYS(Table1[[#This Row],[Planned Start Date]],$P$7)</f>
        <v>30643</v>
      </c>
      <c r="Q1778" s="129"/>
      <c r="R1778" s="183" t="str">
        <f>IF(Table1[[#This Row],[Actual Effort (Hours)]]="","",IF(Table1[[#This Row],[Estimated Effort (Hours)]]&lt;20,"L1",IF(Table1[[#This Row],[Estimated Effort (Hours)]]&lt;50,"L2",IF(Table1[[#This Row],[Estimated Effort (Hours)]]&lt;150,"L3",IF(Table1[[#This Row],[Estimated Effort (Hours)]]&lt;300,"L4","L5")))))</f>
        <v/>
      </c>
      <c r="S1778" s="184" t="str">
        <f>IF(Table1[[#This Row],[Actual End Date]]="","",TEXT(Table1[[#This Row],[Actual End Date]],"mmm-yy"))</f>
        <v/>
      </c>
      <c r="T17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8" s="185" t="str">
        <f>IFERROR((Table1[[#This Row],[Actual Effort (Hours)]]-Table1[[#This Row],[Estimated Effort (Hours)]])/Table1[[#This Row],[Estimated Effort (Hours)]],"")</f>
        <v/>
      </c>
    </row>
    <row r="1779" spans="2:21">
      <c r="B1779" s="125"/>
      <c r="C1779" s="123"/>
      <c r="D1779" s="143"/>
      <c r="E1779" s="123"/>
      <c r="F1779" s="143"/>
      <c r="G1779" s="129"/>
      <c r="H1779" s="124"/>
      <c r="I1779" s="124"/>
      <c r="J1779" s="129"/>
      <c r="K1779" s="194"/>
      <c r="L1779" s="194"/>
      <c r="M1779" s="129"/>
      <c r="N1779" s="129" t="e">
        <f>Table1[[#This Row],[Estimated Effort (Hours)]]/NETWORKDAYS(Table1[[#This Row],[Planned Start Date]],Table1[[#This Row],[Planned End Date]])</f>
        <v>#DIV/0!</v>
      </c>
      <c r="O1779" s="178">
        <f>NETWORKDAYS(Table1[[#This Row],[Planned Start Date]],Table1[[#This Row],[Planned End Date]])</f>
        <v>0</v>
      </c>
      <c r="P1779" s="178">
        <f>NETWORKDAYS(Table1[[#This Row],[Planned Start Date]],$P$7)</f>
        <v>30643</v>
      </c>
      <c r="Q1779" s="129"/>
      <c r="R1779" s="183" t="str">
        <f>IF(Table1[[#This Row],[Actual Effort (Hours)]]="","",IF(Table1[[#This Row],[Estimated Effort (Hours)]]&lt;20,"L1",IF(Table1[[#This Row],[Estimated Effort (Hours)]]&lt;50,"L2",IF(Table1[[#This Row],[Estimated Effort (Hours)]]&lt;150,"L3",IF(Table1[[#This Row],[Estimated Effort (Hours)]]&lt;300,"L4","L5")))))</f>
        <v/>
      </c>
      <c r="S1779" s="184" t="str">
        <f>IF(Table1[[#This Row],[Actual End Date]]="","",TEXT(Table1[[#This Row],[Actual End Date]],"mmm-yy"))</f>
        <v/>
      </c>
      <c r="T17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79" s="185" t="str">
        <f>IFERROR((Table1[[#This Row],[Actual Effort (Hours)]]-Table1[[#This Row],[Estimated Effort (Hours)]])/Table1[[#This Row],[Estimated Effort (Hours)]],"")</f>
        <v/>
      </c>
    </row>
    <row r="1780" spans="2:21">
      <c r="B1780" s="125"/>
      <c r="C1780" s="123"/>
      <c r="D1780" s="143"/>
      <c r="E1780" s="123"/>
      <c r="F1780" s="143"/>
      <c r="G1780" s="129"/>
      <c r="H1780" s="124"/>
      <c r="I1780" s="124"/>
      <c r="J1780" s="129"/>
      <c r="K1780" s="194"/>
      <c r="L1780" s="194"/>
      <c r="M1780" s="129"/>
      <c r="N1780" s="129" t="e">
        <f>Table1[[#This Row],[Estimated Effort (Hours)]]/NETWORKDAYS(Table1[[#This Row],[Planned Start Date]],Table1[[#This Row],[Planned End Date]])</f>
        <v>#DIV/0!</v>
      </c>
      <c r="O1780" s="178">
        <f>NETWORKDAYS(Table1[[#This Row],[Planned Start Date]],Table1[[#This Row],[Planned End Date]])</f>
        <v>0</v>
      </c>
      <c r="P1780" s="178">
        <f>NETWORKDAYS(Table1[[#This Row],[Planned Start Date]],$P$7)</f>
        <v>30643</v>
      </c>
      <c r="Q1780" s="129"/>
      <c r="R1780" s="183" t="str">
        <f>IF(Table1[[#This Row],[Actual Effort (Hours)]]="","",IF(Table1[[#This Row],[Estimated Effort (Hours)]]&lt;20,"L1",IF(Table1[[#This Row],[Estimated Effort (Hours)]]&lt;50,"L2",IF(Table1[[#This Row],[Estimated Effort (Hours)]]&lt;150,"L3",IF(Table1[[#This Row],[Estimated Effort (Hours)]]&lt;300,"L4","L5")))))</f>
        <v/>
      </c>
      <c r="S1780" s="184" t="str">
        <f>IF(Table1[[#This Row],[Actual End Date]]="","",TEXT(Table1[[#This Row],[Actual End Date]],"mmm-yy"))</f>
        <v/>
      </c>
      <c r="T17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0" s="185" t="str">
        <f>IFERROR((Table1[[#This Row],[Actual Effort (Hours)]]-Table1[[#This Row],[Estimated Effort (Hours)]])/Table1[[#This Row],[Estimated Effort (Hours)]],"")</f>
        <v/>
      </c>
    </row>
    <row r="1781" spans="2:21">
      <c r="B1781" s="125"/>
      <c r="C1781" s="123"/>
      <c r="D1781" s="143"/>
      <c r="E1781" s="123"/>
      <c r="F1781" s="143"/>
      <c r="G1781" s="129"/>
      <c r="H1781" s="124"/>
      <c r="I1781" s="124"/>
      <c r="J1781" s="129"/>
      <c r="K1781" s="194"/>
      <c r="L1781" s="194"/>
      <c r="M1781" s="129"/>
      <c r="N1781" s="129" t="e">
        <f>Table1[[#This Row],[Estimated Effort (Hours)]]/NETWORKDAYS(Table1[[#This Row],[Planned Start Date]],Table1[[#This Row],[Planned End Date]])</f>
        <v>#DIV/0!</v>
      </c>
      <c r="O1781" s="178">
        <f>NETWORKDAYS(Table1[[#This Row],[Planned Start Date]],Table1[[#This Row],[Planned End Date]])</f>
        <v>0</v>
      </c>
      <c r="P1781" s="178">
        <f>NETWORKDAYS(Table1[[#This Row],[Planned Start Date]],$P$7)</f>
        <v>30643</v>
      </c>
      <c r="Q1781" s="129"/>
      <c r="R1781" s="183" t="str">
        <f>IF(Table1[[#This Row],[Actual Effort (Hours)]]="","",IF(Table1[[#This Row],[Estimated Effort (Hours)]]&lt;20,"L1",IF(Table1[[#This Row],[Estimated Effort (Hours)]]&lt;50,"L2",IF(Table1[[#This Row],[Estimated Effort (Hours)]]&lt;150,"L3",IF(Table1[[#This Row],[Estimated Effort (Hours)]]&lt;300,"L4","L5")))))</f>
        <v/>
      </c>
      <c r="S1781" s="184" t="str">
        <f>IF(Table1[[#This Row],[Actual End Date]]="","",TEXT(Table1[[#This Row],[Actual End Date]],"mmm-yy"))</f>
        <v/>
      </c>
      <c r="T17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1" s="185" t="str">
        <f>IFERROR((Table1[[#This Row],[Actual Effort (Hours)]]-Table1[[#This Row],[Estimated Effort (Hours)]])/Table1[[#This Row],[Estimated Effort (Hours)]],"")</f>
        <v/>
      </c>
    </row>
    <row r="1782" spans="2:21">
      <c r="B1782" s="125"/>
      <c r="C1782" s="123"/>
      <c r="D1782" s="143"/>
      <c r="E1782" s="123"/>
      <c r="F1782" s="143"/>
      <c r="G1782" s="129"/>
      <c r="H1782" s="124"/>
      <c r="I1782" s="124"/>
      <c r="J1782" s="129"/>
      <c r="K1782" s="194"/>
      <c r="L1782" s="194"/>
      <c r="M1782" s="129"/>
      <c r="N1782" s="129" t="e">
        <f>Table1[[#This Row],[Estimated Effort (Hours)]]/NETWORKDAYS(Table1[[#This Row],[Planned Start Date]],Table1[[#This Row],[Planned End Date]])</f>
        <v>#DIV/0!</v>
      </c>
      <c r="O1782" s="178">
        <f>NETWORKDAYS(Table1[[#This Row],[Planned Start Date]],Table1[[#This Row],[Planned End Date]])</f>
        <v>0</v>
      </c>
      <c r="P1782" s="178">
        <f>NETWORKDAYS(Table1[[#This Row],[Planned Start Date]],$P$7)</f>
        <v>30643</v>
      </c>
      <c r="Q1782" s="129"/>
      <c r="R1782" s="183" t="str">
        <f>IF(Table1[[#This Row],[Actual Effort (Hours)]]="","",IF(Table1[[#This Row],[Estimated Effort (Hours)]]&lt;20,"L1",IF(Table1[[#This Row],[Estimated Effort (Hours)]]&lt;50,"L2",IF(Table1[[#This Row],[Estimated Effort (Hours)]]&lt;150,"L3",IF(Table1[[#This Row],[Estimated Effort (Hours)]]&lt;300,"L4","L5")))))</f>
        <v/>
      </c>
      <c r="S1782" s="184" t="str">
        <f>IF(Table1[[#This Row],[Actual End Date]]="","",TEXT(Table1[[#This Row],[Actual End Date]],"mmm-yy"))</f>
        <v/>
      </c>
      <c r="T17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2" s="185" t="str">
        <f>IFERROR((Table1[[#This Row],[Actual Effort (Hours)]]-Table1[[#This Row],[Estimated Effort (Hours)]])/Table1[[#This Row],[Estimated Effort (Hours)]],"")</f>
        <v/>
      </c>
    </row>
    <row r="1783" spans="2:21">
      <c r="B1783" s="125"/>
      <c r="C1783" s="123"/>
      <c r="D1783" s="143"/>
      <c r="E1783" s="123"/>
      <c r="F1783" s="143"/>
      <c r="G1783" s="129"/>
      <c r="H1783" s="124"/>
      <c r="I1783" s="124"/>
      <c r="J1783" s="129"/>
      <c r="K1783" s="194"/>
      <c r="L1783" s="194"/>
      <c r="M1783" s="129"/>
      <c r="N1783" s="129" t="e">
        <f>Table1[[#This Row],[Estimated Effort (Hours)]]/NETWORKDAYS(Table1[[#This Row],[Planned Start Date]],Table1[[#This Row],[Planned End Date]])</f>
        <v>#DIV/0!</v>
      </c>
      <c r="O1783" s="178">
        <f>NETWORKDAYS(Table1[[#This Row],[Planned Start Date]],Table1[[#This Row],[Planned End Date]])</f>
        <v>0</v>
      </c>
      <c r="P1783" s="178">
        <f>NETWORKDAYS(Table1[[#This Row],[Planned Start Date]],$P$7)</f>
        <v>30643</v>
      </c>
      <c r="Q1783" s="129"/>
      <c r="R1783" s="183" t="str">
        <f>IF(Table1[[#This Row],[Actual Effort (Hours)]]="","",IF(Table1[[#This Row],[Estimated Effort (Hours)]]&lt;20,"L1",IF(Table1[[#This Row],[Estimated Effort (Hours)]]&lt;50,"L2",IF(Table1[[#This Row],[Estimated Effort (Hours)]]&lt;150,"L3",IF(Table1[[#This Row],[Estimated Effort (Hours)]]&lt;300,"L4","L5")))))</f>
        <v/>
      </c>
      <c r="S1783" s="184" t="str">
        <f>IF(Table1[[#This Row],[Actual End Date]]="","",TEXT(Table1[[#This Row],[Actual End Date]],"mmm-yy"))</f>
        <v/>
      </c>
      <c r="T17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3" s="185" t="str">
        <f>IFERROR((Table1[[#This Row],[Actual Effort (Hours)]]-Table1[[#This Row],[Estimated Effort (Hours)]])/Table1[[#This Row],[Estimated Effort (Hours)]],"")</f>
        <v/>
      </c>
    </row>
    <row r="1784" spans="2:21">
      <c r="B1784" s="125"/>
      <c r="C1784" s="123"/>
      <c r="D1784" s="143"/>
      <c r="E1784" s="123"/>
      <c r="F1784" s="143"/>
      <c r="G1784" s="129"/>
      <c r="H1784" s="124"/>
      <c r="I1784" s="124"/>
      <c r="J1784" s="129"/>
      <c r="K1784" s="194"/>
      <c r="L1784" s="194"/>
      <c r="M1784" s="129"/>
      <c r="N1784" s="129" t="e">
        <f>Table1[[#This Row],[Estimated Effort (Hours)]]/NETWORKDAYS(Table1[[#This Row],[Planned Start Date]],Table1[[#This Row],[Planned End Date]])</f>
        <v>#DIV/0!</v>
      </c>
      <c r="O1784" s="178">
        <f>NETWORKDAYS(Table1[[#This Row],[Planned Start Date]],Table1[[#This Row],[Planned End Date]])</f>
        <v>0</v>
      </c>
      <c r="P1784" s="178">
        <f>NETWORKDAYS(Table1[[#This Row],[Planned Start Date]],$P$7)</f>
        <v>30643</v>
      </c>
      <c r="Q1784" s="129"/>
      <c r="R1784" s="183" t="str">
        <f>IF(Table1[[#This Row],[Actual Effort (Hours)]]="","",IF(Table1[[#This Row],[Estimated Effort (Hours)]]&lt;20,"L1",IF(Table1[[#This Row],[Estimated Effort (Hours)]]&lt;50,"L2",IF(Table1[[#This Row],[Estimated Effort (Hours)]]&lt;150,"L3",IF(Table1[[#This Row],[Estimated Effort (Hours)]]&lt;300,"L4","L5")))))</f>
        <v/>
      </c>
      <c r="S1784" s="184" t="str">
        <f>IF(Table1[[#This Row],[Actual End Date]]="","",TEXT(Table1[[#This Row],[Actual End Date]],"mmm-yy"))</f>
        <v/>
      </c>
      <c r="T17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4" s="185" t="str">
        <f>IFERROR((Table1[[#This Row],[Actual Effort (Hours)]]-Table1[[#This Row],[Estimated Effort (Hours)]])/Table1[[#This Row],[Estimated Effort (Hours)]],"")</f>
        <v/>
      </c>
    </row>
    <row r="1785" spans="2:21">
      <c r="B1785" s="125"/>
      <c r="C1785" s="123"/>
      <c r="D1785" s="143"/>
      <c r="E1785" s="123"/>
      <c r="F1785" s="143"/>
      <c r="G1785" s="129"/>
      <c r="H1785" s="124"/>
      <c r="I1785" s="124"/>
      <c r="J1785" s="129"/>
      <c r="K1785" s="194"/>
      <c r="L1785" s="194"/>
      <c r="M1785" s="129"/>
      <c r="N1785" s="129" t="e">
        <f>Table1[[#This Row],[Estimated Effort (Hours)]]/NETWORKDAYS(Table1[[#This Row],[Planned Start Date]],Table1[[#This Row],[Planned End Date]])</f>
        <v>#DIV/0!</v>
      </c>
      <c r="O1785" s="178">
        <f>NETWORKDAYS(Table1[[#This Row],[Planned Start Date]],Table1[[#This Row],[Planned End Date]])</f>
        <v>0</v>
      </c>
      <c r="P1785" s="178">
        <f>NETWORKDAYS(Table1[[#This Row],[Planned Start Date]],$P$7)</f>
        <v>30643</v>
      </c>
      <c r="Q1785" s="129"/>
      <c r="R1785" s="183" t="str">
        <f>IF(Table1[[#This Row],[Actual Effort (Hours)]]="","",IF(Table1[[#This Row],[Estimated Effort (Hours)]]&lt;20,"L1",IF(Table1[[#This Row],[Estimated Effort (Hours)]]&lt;50,"L2",IF(Table1[[#This Row],[Estimated Effort (Hours)]]&lt;150,"L3",IF(Table1[[#This Row],[Estimated Effort (Hours)]]&lt;300,"L4","L5")))))</f>
        <v/>
      </c>
      <c r="S1785" s="184" t="str">
        <f>IF(Table1[[#This Row],[Actual End Date]]="","",TEXT(Table1[[#This Row],[Actual End Date]],"mmm-yy"))</f>
        <v/>
      </c>
      <c r="T17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5" s="185" t="str">
        <f>IFERROR((Table1[[#This Row],[Actual Effort (Hours)]]-Table1[[#This Row],[Estimated Effort (Hours)]])/Table1[[#This Row],[Estimated Effort (Hours)]],"")</f>
        <v/>
      </c>
    </row>
    <row r="1786" spans="2:21">
      <c r="B1786" s="125"/>
      <c r="C1786" s="123"/>
      <c r="D1786" s="143"/>
      <c r="E1786" s="123"/>
      <c r="F1786" s="143"/>
      <c r="G1786" s="129"/>
      <c r="H1786" s="124"/>
      <c r="I1786" s="124"/>
      <c r="J1786" s="129"/>
      <c r="K1786" s="194"/>
      <c r="L1786" s="194"/>
      <c r="M1786" s="129"/>
      <c r="N1786" s="129" t="e">
        <f>Table1[[#This Row],[Estimated Effort (Hours)]]/NETWORKDAYS(Table1[[#This Row],[Planned Start Date]],Table1[[#This Row],[Planned End Date]])</f>
        <v>#DIV/0!</v>
      </c>
      <c r="O1786" s="178">
        <f>NETWORKDAYS(Table1[[#This Row],[Planned Start Date]],Table1[[#This Row],[Planned End Date]])</f>
        <v>0</v>
      </c>
      <c r="P1786" s="178">
        <f>NETWORKDAYS(Table1[[#This Row],[Planned Start Date]],$P$7)</f>
        <v>30643</v>
      </c>
      <c r="Q1786" s="129"/>
      <c r="R1786" s="183" t="str">
        <f>IF(Table1[[#This Row],[Actual Effort (Hours)]]="","",IF(Table1[[#This Row],[Estimated Effort (Hours)]]&lt;20,"L1",IF(Table1[[#This Row],[Estimated Effort (Hours)]]&lt;50,"L2",IF(Table1[[#This Row],[Estimated Effort (Hours)]]&lt;150,"L3",IF(Table1[[#This Row],[Estimated Effort (Hours)]]&lt;300,"L4","L5")))))</f>
        <v/>
      </c>
      <c r="S1786" s="184" t="str">
        <f>IF(Table1[[#This Row],[Actual End Date]]="","",TEXT(Table1[[#This Row],[Actual End Date]],"mmm-yy"))</f>
        <v/>
      </c>
      <c r="T17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6" s="185" t="str">
        <f>IFERROR((Table1[[#This Row],[Actual Effort (Hours)]]-Table1[[#This Row],[Estimated Effort (Hours)]])/Table1[[#This Row],[Estimated Effort (Hours)]],"")</f>
        <v/>
      </c>
    </row>
    <row r="1787" spans="2:21">
      <c r="B1787" s="125"/>
      <c r="C1787" s="123"/>
      <c r="D1787" s="143"/>
      <c r="E1787" s="123"/>
      <c r="F1787" s="143"/>
      <c r="G1787" s="129"/>
      <c r="H1787" s="124"/>
      <c r="I1787" s="124"/>
      <c r="J1787" s="129"/>
      <c r="K1787" s="194"/>
      <c r="L1787" s="194"/>
      <c r="M1787" s="129"/>
      <c r="N1787" s="129" t="e">
        <f>Table1[[#This Row],[Estimated Effort (Hours)]]/NETWORKDAYS(Table1[[#This Row],[Planned Start Date]],Table1[[#This Row],[Planned End Date]])</f>
        <v>#DIV/0!</v>
      </c>
      <c r="O1787" s="178">
        <f>NETWORKDAYS(Table1[[#This Row],[Planned Start Date]],Table1[[#This Row],[Planned End Date]])</f>
        <v>0</v>
      </c>
      <c r="P1787" s="178">
        <f>NETWORKDAYS(Table1[[#This Row],[Planned Start Date]],$P$7)</f>
        <v>30643</v>
      </c>
      <c r="Q1787" s="129"/>
      <c r="R1787" s="183" t="str">
        <f>IF(Table1[[#This Row],[Actual Effort (Hours)]]="","",IF(Table1[[#This Row],[Estimated Effort (Hours)]]&lt;20,"L1",IF(Table1[[#This Row],[Estimated Effort (Hours)]]&lt;50,"L2",IF(Table1[[#This Row],[Estimated Effort (Hours)]]&lt;150,"L3",IF(Table1[[#This Row],[Estimated Effort (Hours)]]&lt;300,"L4","L5")))))</f>
        <v/>
      </c>
      <c r="S1787" s="184" t="str">
        <f>IF(Table1[[#This Row],[Actual End Date]]="","",TEXT(Table1[[#This Row],[Actual End Date]],"mmm-yy"))</f>
        <v/>
      </c>
      <c r="T17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7" s="185" t="str">
        <f>IFERROR((Table1[[#This Row],[Actual Effort (Hours)]]-Table1[[#This Row],[Estimated Effort (Hours)]])/Table1[[#This Row],[Estimated Effort (Hours)]],"")</f>
        <v/>
      </c>
    </row>
    <row r="1788" spans="2:21">
      <c r="B1788" s="125"/>
      <c r="C1788" s="123"/>
      <c r="D1788" s="143"/>
      <c r="E1788" s="123"/>
      <c r="F1788" s="143"/>
      <c r="G1788" s="129"/>
      <c r="H1788" s="124"/>
      <c r="I1788" s="124"/>
      <c r="J1788" s="129"/>
      <c r="K1788" s="194"/>
      <c r="L1788" s="194"/>
      <c r="M1788" s="129"/>
      <c r="N1788" s="129" t="e">
        <f>Table1[[#This Row],[Estimated Effort (Hours)]]/NETWORKDAYS(Table1[[#This Row],[Planned Start Date]],Table1[[#This Row],[Planned End Date]])</f>
        <v>#DIV/0!</v>
      </c>
      <c r="O1788" s="178">
        <f>NETWORKDAYS(Table1[[#This Row],[Planned Start Date]],Table1[[#This Row],[Planned End Date]])</f>
        <v>0</v>
      </c>
      <c r="P1788" s="178">
        <f>NETWORKDAYS(Table1[[#This Row],[Planned Start Date]],$P$7)</f>
        <v>30643</v>
      </c>
      <c r="Q1788" s="129"/>
      <c r="R1788" s="183" t="str">
        <f>IF(Table1[[#This Row],[Actual Effort (Hours)]]="","",IF(Table1[[#This Row],[Estimated Effort (Hours)]]&lt;20,"L1",IF(Table1[[#This Row],[Estimated Effort (Hours)]]&lt;50,"L2",IF(Table1[[#This Row],[Estimated Effort (Hours)]]&lt;150,"L3",IF(Table1[[#This Row],[Estimated Effort (Hours)]]&lt;300,"L4","L5")))))</f>
        <v/>
      </c>
      <c r="S1788" s="184" t="str">
        <f>IF(Table1[[#This Row],[Actual End Date]]="","",TEXT(Table1[[#This Row],[Actual End Date]],"mmm-yy"))</f>
        <v/>
      </c>
      <c r="T17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8" s="185" t="str">
        <f>IFERROR((Table1[[#This Row],[Actual Effort (Hours)]]-Table1[[#This Row],[Estimated Effort (Hours)]])/Table1[[#This Row],[Estimated Effort (Hours)]],"")</f>
        <v/>
      </c>
    </row>
    <row r="1789" spans="2:21">
      <c r="B1789" s="125"/>
      <c r="C1789" s="123"/>
      <c r="D1789" s="143"/>
      <c r="E1789" s="123"/>
      <c r="F1789" s="143"/>
      <c r="G1789" s="129"/>
      <c r="H1789" s="124"/>
      <c r="I1789" s="124"/>
      <c r="J1789" s="129"/>
      <c r="K1789" s="194"/>
      <c r="L1789" s="194"/>
      <c r="M1789" s="129"/>
      <c r="N1789" s="129" t="e">
        <f>Table1[[#This Row],[Estimated Effort (Hours)]]/NETWORKDAYS(Table1[[#This Row],[Planned Start Date]],Table1[[#This Row],[Planned End Date]])</f>
        <v>#DIV/0!</v>
      </c>
      <c r="O1789" s="178">
        <f>NETWORKDAYS(Table1[[#This Row],[Planned Start Date]],Table1[[#This Row],[Planned End Date]])</f>
        <v>0</v>
      </c>
      <c r="P1789" s="178">
        <f>NETWORKDAYS(Table1[[#This Row],[Planned Start Date]],$P$7)</f>
        <v>30643</v>
      </c>
      <c r="Q1789" s="129"/>
      <c r="R1789" s="183" t="str">
        <f>IF(Table1[[#This Row],[Actual Effort (Hours)]]="","",IF(Table1[[#This Row],[Estimated Effort (Hours)]]&lt;20,"L1",IF(Table1[[#This Row],[Estimated Effort (Hours)]]&lt;50,"L2",IF(Table1[[#This Row],[Estimated Effort (Hours)]]&lt;150,"L3",IF(Table1[[#This Row],[Estimated Effort (Hours)]]&lt;300,"L4","L5")))))</f>
        <v/>
      </c>
      <c r="S1789" s="184" t="str">
        <f>IF(Table1[[#This Row],[Actual End Date]]="","",TEXT(Table1[[#This Row],[Actual End Date]],"mmm-yy"))</f>
        <v/>
      </c>
      <c r="T17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89" s="185" t="str">
        <f>IFERROR((Table1[[#This Row],[Actual Effort (Hours)]]-Table1[[#This Row],[Estimated Effort (Hours)]])/Table1[[#This Row],[Estimated Effort (Hours)]],"")</f>
        <v/>
      </c>
    </row>
    <row r="1790" spans="2:21">
      <c r="B1790" s="125"/>
      <c r="C1790" s="123"/>
      <c r="D1790" s="143"/>
      <c r="E1790" s="123"/>
      <c r="F1790" s="143"/>
      <c r="G1790" s="129"/>
      <c r="H1790" s="124"/>
      <c r="I1790" s="124"/>
      <c r="J1790" s="129"/>
      <c r="K1790" s="194"/>
      <c r="L1790" s="194"/>
      <c r="M1790" s="129"/>
      <c r="N1790" s="129" t="e">
        <f>Table1[[#This Row],[Estimated Effort (Hours)]]/NETWORKDAYS(Table1[[#This Row],[Planned Start Date]],Table1[[#This Row],[Planned End Date]])</f>
        <v>#DIV/0!</v>
      </c>
      <c r="O1790" s="178">
        <f>NETWORKDAYS(Table1[[#This Row],[Planned Start Date]],Table1[[#This Row],[Planned End Date]])</f>
        <v>0</v>
      </c>
      <c r="P1790" s="178">
        <f>NETWORKDAYS(Table1[[#This Row],[Planned Start Date]],$P$7)</f>
        <v>30643</v>
      </c>
      <c r="Q1790" s="129"/>
      <c r="R1790" s="183" t="str">
        <f>IF(Table1[[#This Row],[Actual Effort (Hours)]]="","",IF(Table1[[#This Row],[Estimated Effort (Hours)]]&lt;20,"L1",IF(Table1[[#This Row],[Estimated Effort (Hours)]]&lt;50,"L2",IF(Table1[[#This Row],[Estimated Effort (Hours)]]&lt;150,"L3",IF(Table1[[#This Row],[Estimated Effort (Hours)]]&lt;300,"L4","L5")))))</f>
        <v/>
      </c>
      <c r="S1790" s="184" t="str">
        <f>IF(Table1[[#This Row],[Actual End Date]]="","",TEXT(Table1[[#This Row],[Actual End Date]],"mmm-yy"))</f>
        <v/>
      </c>
      <c r="T17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0" s="185" t="str">
        <f>IFERROR((Table1[[#This Row],[Actual Effort (Hours)]]-Table1[[#This Row],[Estimated Effort (Hours)]])/Table1[[#This Row],[Estimated Effort (Hours)]],"")</f>
        <v/>
      </c>
    </row>
    <row r="1791" spans="2:21">
      <c r="B1791" s="125"/>
      <c r="C1791" s="123"/>
      <c r="D1791" s="143"/>
      <c r="E1791" s="123"/>
      <c r="F1791" s="143"/>
      <c r="G1791" s="129"/>
      <c r="H1791" s="124"/>
      <c r="I1791" s="124"/>
      <c r="J1791" s="129"/>
      <c r="K1791" s="194"/>
      <c r="L1791" s="194"/>
      <c r="M1791" s="129"/>
      <c r="N1791" s="129" t="e">
        <f>Table1[[#This Row],[Estimated Effort (Hours)]]/NETWORKDAYS(Table1[[#This Row],[Planned Start Date]],Table1[[#This Row],[Planned End Date]])</f>
        <v>#DIV/0!</v>
      </c>
      <c r="O1791" s="178">
        <f>NETWORKDAYS(Table1[[#This Row],[Planned Start Date]],Table1[[#This Row],[Planned End Date]])</f>
        <v>0</v>
      </c>
      <c r="P1791" s="178">
        <f>NETWORKDAYS(Table1[[#This Row],[Planned Start Date]],$P$7)</f>
        <v>30643</v>
      </c>
      <c r="Q1791" s="129"/>
      <c r="R1791" s="183" t="str">
        <f>IF(Table1[[#This Row],[Actual Effort (Hours)]]="","",IF(Table1[[#This Row],[Estimated Effort (Hours)]]&lt;20,"L1",IF(Table1[[#This Row],[Estimated Effort (Hours)]]&lt;50,"L2",IF(Table1[[#This Row],[Estimated Effort (Hours)]]&lt;150,"L3",IF(Table1[[#This Row],[Estimated Effort (Hours)]]&lt;300,"L4","L5")))))</f>
        <v/>
      </c>
      <c r="S1791" s="184" t="str">
        <f>IF(Table1[[#This Row],[Actual End Date]]="","",TEXT(Table1[[#This Row],[Actual End Date]],"mmm-yy"))</f>
        <v/>
      </c>
      <c r="T17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1" s="185" t="str">
        <f>IFERROR((Table1[[#This Row],[Actual Effort (Hours)]]-Table1[[#This Row],[Estimated Effort (Hours)]])/Table1[[#This Row],[Estimated Effort (Hours)]],"")</f>
        <v/>
      </c>
    </row>
    <row r="1792" spans="2:21">
      <c r="B1792" s="125"/>
      <c r="C1792" s="123"/>
      <c r="D1792" s="143"/>
      <c r="E1792" s="123"/>
      <c r="F1792" s="143"/>
      <c r="G1792" s="129"/>
      <c r="H1792" s="124"/>
      <c r="I1792" s="124"/>
      <c r="J1792" s="129"/>
      <c r="K1792" s="194"/>
      <c r="L1792" s="194"/>
      <c r="M1792" s="129"/>
      <c r="N1792" s="129" t="e">
        <f>Table1[[#This Row],[Estimated Effort (Hours)]]/NETWORKDAYS(Table1[[#This Row],[Planned Start Date]],Table1[[#This Row],[Planned End Date]])</f>
        <v>#DIV/0!</v>
      </c>
      <c r="O1792" s="178">
        <f>NETWORKDAYS(Table1[[#This Row],[Planned Start Date]],Table1[[#This Row],[Planned End Date]])</f>
        <v>0</v>
      </c>
      <c r="P1792" s="178">
        <f>NETWORKDAYS(Table1[[#This Row],[Planned Start Date]],$P$7)</f>
        <v>30643</v>
      </c>
      <c r="Q1792" s="129"/>
      <c r="R1792" s="183" t="str">
        <f>IF(Table1[[#This Row],[Actual Effort (Hours)]]="","",IF(Table1[[#This Row],[Estimated Effort (Hours)]]&lt;20,"L1",IF(Table1[[#This Row],[Estimated Effort (Hours)]]&lt;50,"L2",IF(Table1[[#This Row],[Estimated Effort (Hours)]]&lt;150,"L3",IF(Table1[[#This Row],[Estimated Effort (Hours)]]&lt;300,"L4","L5")))))</f>
        <v/>
      </c>
      <c r="S1792" s="184" t="str">
        <f>IF(Table1[[#This Row],[Actual End Date]]="","",TEXT(Table1[[#This Row],[Actual End Date]],"mmm-yy"))</f>
        <v/>
      </c>
      <c r="T17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2" s="185" t="str">
        <f>IFERROR((Table1[[#This Row],[Actual Effort (Hours)]]-Table1[[#This Row],[Estimated Effort (Hours)]])/Table1[[#This Row],[Estimated Effort (Hours)]],"")</f>
        <v/>
      </c>
    </row>
    <row r="1793" spans="2:21">
      <c r="B1793" s="125"/>
      <c r="C1793" s="123"/>
      <c r="D1793" s="143"/>
      <c r="E1793" s="123"/>
      <c r="F1793" s="143"/>
      <c r="G1793" s="129"/>
      <c r="H1793" s="124"/>
      <c r="I1793" s="124"/>
      <c r="J1793" s="129"/>
      <c r="K1793" s="194"/>
      <c r="L1793" s="194"/>
      <c r="M1793" s="129"/>
      <c r="N1793" s="129" t="e">
        <f>Table1[[#This Row],[Estimated Effort (Hours)]]/NETWORKDAYS(Table1[[#This Row],[Planned Start Date]],Table1[[#This Row],[Planned End Date]])</f>
        <v>#DIV/0!</v>
      </c>
      <c r="O1793" s="178">
        <f>NETWORKDAYS(Table1[[#This Row],[Planned Start Date]],Table1[[#This Row],[Planned End Date]])</f>
        <v>0</v>
      </c>
      <c r="P1793" s="178">
        <f>NETWORKDAYS(Table1[[#This Row],[Planned Start Date]],$P$7)</f>
        <v>30643</v>
      </c>
      <c r="Q1793" s="129"/>
      <c r="R1793" s="183" t="str">
        <f>IF(Table1[[#This Row],[Actual Effort (Hours)]]="","",IF(Table1[[#This Row],[Estimated Effort (Hours)]]&lt;20,"L1",IF(Table1[[#This Row],[Estimated Effort (Hours)]]&lt;50,"L2",IF(Table1[[#This Row],[Estimated Effort (Hours)]]&lt;150,"L3",IF(Table1[[#This Row],[Estimated Effort (Hours)]]&lt;300,"L4","L5")))))</f>
        <v/>
      </c>
      <c r="S1793" s="184" t="str">
        <f>IF(Table1[[#This Row],[Actual End Date]]="","",TEXT(Table1[[#This Row],[Actual End Date]],"mmm-yy"))</f>
        <v/>
      </c>
      <c r="T17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3" s="185" t="str">
        <f>IFERROR((Table1[[#This Row],[Actual Effort (Hours)]]-Table1[[#This Row],[Estimated Effort (Hours)]])/Table1[[#This Row],[Estimated Effort (Hours)]],"")</f>
        <v/>
      </c>
    </row>
    <row r="1794" spans="2:21">
      <c r="B1794" s="125"/>
      <c r="C1794" s="123"/>
      <c r="D1794" s="143"/>
      <c r="E1794" s="123"/>
      <c r="F1794" s="143"/>
      <c r="G1794" s="129"/>
      <c r="H1794" s="124"/>
      <c r="I1794" s="124"/>
      <c r="J1794" s="129"/>
      <c r="K1794" s="194"/>
      <c r="L1794" s="194"/>
      <c r="M1794" s="129"/>
      <c r="N1794" s="129" t="e">
        <f>Table1[[#This Row],[Estimated Effort (Hours)]]/NETWORKDAYS(Table1[[#This Row],[Planned Start Date]],Table1[[#This Row],[Planned End Date]])</f>
        <v>#DIV/0!</v>
      </c>
      <c r="O1794" s="178">
        <f>NETWORKDAYS(Table1[[#This Row],[Planned Start Date]],Table1[[#This Row],[Planned End Date]])</f>
        <v>0</v>
      </c>
      <c r="P1794" s="178">
        <f>NETWORKDAYS(Table1[[#This Row],[Planned Start Date]],$P$7)</f>
        <v>30643</v>
      </c>
      <c r="Q1794" s="129"/>
      <c r="R1794" s="183" t="str">
        <f>IF(Table1[[#This Row],[Actual Effort (Hours)]]="","",IF(Table1[[#This Row],[Estimated Effort (Hours)]]&lt;20,"L1",IF(Table1[[#This Row],[Estimated Effort (Hours)]]&lt;50,"L2",IF(Table1[[#This Row],[Estimated Effort (Hours)]]&lt;150,"L3",IF(Table1[[#This Row],[Estimated Effort (Hours)]]&lt;300,"L4","L5")))))</f>
        <v/>
      </c>
      <c r="S1794" s="184" t="str">
        <f>IF(Table1[[#This Row],[Actual End Date]]="","",TEXT(Table1[[#This Row],[Actual End Date]],"mmm-yy"))</f>
        <v/>
      </c>
      <c r="T17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4" s="185" t="str">
        <f>IFERROR((Table1[[#This Row],[Actual Effort (Hours)]]-Table1[[#This Row],[Estimated Effort (Hours)]])/Table1[[#This Row],[Estimated Effort (Hours)]],"")</f>
        <v/>
      </c>
    </row>
    <row r="1795" spans="2:21">
      <c r="B1795" s="125"/>
      <c r="C1795" s="123"/>
      <c r="D1795" s="143"/>
      <c r="E1795" s="123"/>
      <c r="F1795" s="143"/>
      <c r="G1795" s="129"/>
      <c r="H1795" s="124"/>
      <c r="I1795" s="124"/>
      <c r="J1795" s="129"/>
      <c r="K1795" s="194"/>
      <c r="L1795" s="194"/>
      <c r="M1795" s="129"/>
      <c r="N1795" s="129" t="e">
        <f>Table1[[#This Row],[Estimated Effort (Hours)]]/NETWORKDAYS(Table1[[#This Row],[Planned Start Date]],Table1[[#This Row],[Planned End Date]])</f>
        <v>#DIV/0!</v>
      </c>
      <c r="O1795" s="178">
        <f>NETWORKDAYS(Table1[[#This Row],[Planned Start Date]],Table1[[#This Row],[Planned End Date]])</f>
        <v>0</v>
      </c>
      <c r="P1795" s="178">
        <f>NETWORKDAYS(Table1[[#This Row],[Planned Start Date]],$P$7)</f>
        <v>30643</v>
      </c>
      <c r="Q1795" s="129"/>
      <c r="R1795" s="183" t="str">
        <f>IF(Table1[[#This Row],[Actual Effort (Hours)]]="","",IF(Table1[[#This Row],[Estimated Effort (Hours)]]&lt;20,"L1",IF(Table1[[#This Row],[Estimated Effort (Hours)]]&lt;50,"L2",IF(Table1[[#This Row],[Estimated Effort (Hours)]]&lt;150,"L3",IF(Table1[[#This Row],[Estimated Effort (Hours)]]&lt;300,"L4","L5")))))</f>
        <v/>
      </c>
      <c r="S1795" s="184" t="str">
        <f>IF(Table1[[#This Row],[Actual End Date]]="","",TEXT(Table1[[#This Row],[Actual End Date]],"mmm-yy"))</f>
        <v/>
      </c>
      <c r="T17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5" s="185" t="str">
        <f>IFERROR((Table1[[#This Row],[Actual Effort (Hours)]]-Table1[[#This Row],[Estimated Effort (Hours)]])/Table1[[#This Row],[Estimated Effort (Hours)]],"")</f>
        <v/>
      </c>
    </row>
    <row r="1796" spans="2:21">
      <c r="B1796" s="125"/>
      <c r="C1796" s="123"/>
      <c r="D1796" s="143"/>
      <c r="E1796" s="123"/>
      <c r="F1796" s="143"/>
      <c r="G1796" s="129"/>
      <c r="H1796" s="124"/>
      <c r="I1796" s="124"/>
      <c r="J1796" s="129"/>
      <c r="K1796" s="194"/>
      <c r="L1796" s="194"/>
      <c r="M1796" s="129"/>
      <c r="N1796" s="129" t="e">
        <f>Table1[[#This Row],[Estimated Effort (Hours)]]/NETWORKDAYS(Table1[[#This Row],[Planned Start Date]],Table1[[#This Row],[Planned End Date]])</f>
        <v>#DIV/0!</v>
      </c>
      <c r="O1796" s="178">
        <f>NETWORKDAYS(Table1[[#This Row],[Planned Start Date]],Table1[[#This Row],[Planned End Date]])</f>
        <v>0</v>
      </c>
      <c r="P1796" s="178">
        <f>NETWORKDAYS(Table1[[#This Row],[Planned Start Date]],$P$7)</f>
        <v>30643</v>
      </c>
      <c r="Q1796" s="129"/>
      <c r="R1796" s="183" t="str">
        <f>IF(Table1[[#This Row],[Actual Effort (Hours)]]="","",IF(Table1[[#This Row],[Estimated Effort (Hours)]]&lt;20,"L1",IF(Table1[[#This Row],[Estimated Effort (Hours)]]&lt;50,"L2",IF(Table1[[#This Row],[Estimated Effort (Hours)]]&lt;150,"L3",IF(Table1[[#This Row],[Estimated Effort (Hours)]]&lt;300,"L4","L5")))))</f>
        <v/>
      </c>
      <c r="S1796" s="184" t="str">
        <f>IF(Table1[[#This Row],[Actual End Date]]="","",TEXT(Table1[[#This Row],[Actual End Date]],"mmm-yy"))</f>
        <v/>
      </c>
      <c r="T17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6" s="185" t="str">
        <f>IFERROR((Table1[[#This Row],[Actual Effort (Hours)]]-Table1[[#This Row],[Estimated Effort (Hours)]])/Table1[[#This Row],[Estimated Effort (Hours)]],"")</f>
        <v/>
      </c>
    </row>
    <row r="1797" spans="2:21">
      <c r="B1797" s="125"/>
      <c r="C1797" s="123"/>
      <c r="D1797" s="143"/>
      <c r="E1797" s="123"/>
      <c r="F1797" s="143"/>
      <c r="G1797" s="129"/>
      <c r="H1797" s="124"/>
      <c r="I1797" s="124"/>
      <c r="J1797" s="129"/>
      <c r="K1797" s="194"/>
      <c r="L1797" s="194"/>
      <c r="M1797" s="129"/>
      <c r="N1797" s="129" t="e">
        <f>Table1[[#This Row],[Estimated Effort (Hours)]]/NETWORKDAYS(Table1[[#This Row],[Planned Start Date]],Table1[[#This Row],[Planned End Date]])</f>
        <v>#DIV/0!</v>
      </c>
      <c r="O1797" s="178">
        <f>NETWORKDAYS(Table1[[#This Row],[Planned Start Date]],Table1[[#This Row],[Planned End Date]])</f>
        <v>0</v>
      </c>
      <c r="P1797" s="178">
        <f>NETWORKDAYS(Table1[[#This Row],[Planned Start Date]],$P$7)</f>
        <v>30643</v>
      </c>
      <c r="Q1797" s="129"/>
      <c r="R1797" s="183" t="str">
        <f>IF(Table1[[#This Row],[Actual Effort (Hours)]]="","",IF(Table1[[#This Row],[Estimated Effort (Hours)]]&lt;20,"L1",IF(Table1[[#This Row],[Estimated Effort (Hours)]]&lt;50,"L2",IF(Table1[[#This Row],[Estimated Effort (Hours)]]&lt;150,"L3",IF(Table1[[#This Row],[Estimated Effort (Hours)]]&lt;300,"L4","L5")))))</f>
        <v/>
      </c>
      <c r="S1797" s="184" t="str">
        <f>IF(Table1[[#This Row],[Actual End Date]]="","",TEXT(Table1[[#This Row],[Actual End Date]],"mmm-yy"))</f>
        <v/>
      </c>
      <c r="T17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7" s="185" t="str">
        <f>IFERROR((Table1[[#This Row],[Actual Effort (Hours)]]-Table1[[#This Row],[Estimated Effort (Hours)]])/Table1[[#This Row],[Estimated Effort (Hours)]],"")</f>
        <v/>
      </c>
    </row>
    <row r="1798" spans="2:21">
      <c r="B1798" s="125"/>
      <c r="C1798" s="123"/>
      <c r="D1798" s="143"/>
      <c r="E1798" s="123"/>
      <c r="F1798" s="143"/>
      <c r="G1798" s="129"/>
      <c r="H1798" s="124"/>
      <c r="I1798" s="124"/>
      <c r="J1798" s="129"/>
      <c r="K1798" s="194"/>
      <c r="L1798" s="194"/>
      <c r="M1798" s="129"/>
      <c r="N1798" s="129" t="e">
        <f>Table1[[#This Row],[Estimated Effort (Hours)]]/NETWORKDAYS(Table1[[#This Row],[Planned Start Date]],Table1[[#This Row],[Planned End Date]])</f>
        <v>#DIV/0!</v>
      </c>
      <c r="O1798" s="178">
        <f>NETWORKDAYS(Table1[[#This Row],[Planned Start Date]],Table1[[#This Row],[Planned End Date]])</f>
        <v>0</v>
      </c>
      <c r="P1798" s="178">
        <f>NETWORKDAYS(Table1[[#This Row],[Planned Start Date]],$P$7)</f>
        <v>30643</v>
      </c>
      <c r="Q1798" s="129"/>
      <c r="R1798" s="183" t="str">
        <f>IF(Table1[[#This Row],[Actual Effort (Hours)]]="","",IF(Table1[[#This Row],[Estimated Effort (Hours)]]&lt;20,"L1",IF(Table1[[#This Row],[Estimated Effort (Hours)]]&lt;50,"L2",IF(Table1[[#This Row],[Estimated Effort (Hours)]]&lt;150,"L3",IF(Table1[[#This Row],[Estimated Effort (Hours)]]&lt;300,"L4","L5")))))</f>
        <v/>
      </c>
      <c r="S1798" s="184" t="str">
        <f>IF(Table1[[#This Row],[Actual End Date]]="","",TEXT(Table1[[#This Row],[Actual End Date]],"mmm-yy"))</f>
        <v/>
      </c>
      <c r="T17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8" s="185" t="str">
        <f>IFERROR((Table1[[#This Row],[Actual Effort (Hours)]]-Table1[[#This Row],[Estimated Effort (Hours)]])/Table1[[#This Row],[Estimated Effort (Hours)]],"")</f>
        <v/>
      </c>
    </row>
    <row r="1799" spans="2:21">
      <c r="B1799" s="125"/>
      <c r="C1799" s="123"/>
      <c r="D1799" s="143"/>
      <c r="E1799" s="123"/>
      <c r="F1799" s="143"/>
      <c r="G1799" s="129"/>
      <c r="H1799" s="124"/>
      <c r="I1799" s="124"/>
      <c r="J1799" s="129"/>
      <c r="K1799" s="194"/>
      <c r="L1799" s="194"/>
      <c r="M1799" s="129"/>
      <c r="N1799" s="129" t="e">
        <f>Table1[[#This Row],[Estimated Effort (Hours)]]/NETWORKDAYS(Table1[[#This Row],[Planned Start Date]],Table1[[#This Row],[Planned End Date]])</f>
        <v>#DIV/0!</v>
      </c>
      <c r="O1799" s="178">
        <f>NETWORKDAYS(Table1[[#This Row],[Planned Start Date]],Table1[[#This Row],[Planned End Date]])</f>
        <v>0</v>
      </c>
      <c r="P1799" s="178">
        <f>NETWORKDAYS(Table1[[#This Row],[Planned Start Date]],$P$7)</f>
        <v>30643</v>
      </c>
      <c r="Q1799" s="129"/>
      <c r="R1799" s="183" t="str">
        <f>IF(Table1[[#This Row],[Actual Effort (Hours)]]="","",IF(Table1[[#This Row],[Estimated Effort (Hours)]]&lt;20,"L1",IF(Table1[[#This Row],[Estimated Effort (Hours)]]&lt;50,"L2",IF(Table1[[#This Row],[Estimated Effort (Hours)]]&lt;150,"L3",IF(Table1[[#This Row],[Estimated Effort (Hours)]]&lt;300,"L4","L5")))))</f>
        <v/>
      </c>
      <c r="S1799" s="184" t="str">
        <f>IF(Table1[[#This Row],[Actual End Date]]="","",TEXT(Table1[[#This Row],[Actual End Date]],"mmm-yy"))</f>
        <v/>
      </c>
      <c r="T17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799" s="185" t="str">
        <f>IFERROR((Table1[[#This Row],[Actual Effort (Hours)]]-Table1[[#This Row],[Estimated Effort (Hours)]])/Table1[[#This Row],[Estimated Effort (Hours)]],"")</f>
        <v/>
      </c>
    </row>
    <row r="1800" spans="2:21">
      <c r="B1800" s="125"/>
      <c r="C1800" s="123"/>
      <c r="D1800" s="143"/>
      <c r="E1800" s="123"/>
      <c r="F1800" s="143"/>
      <c r="G1800" s="129"/>
      <c r="H1800" s="124"/>
      <c r="I1800" s="124"/>
      <c r="J1800" s="129"/>
      <c r="K1800" s="194"/>
      <c r="L1800" s="194"/>
      <c r="M1800" s="129"/>
      <c r="N1800" s="129" t="e">
        <f>Table1[[#This Row],[Estimated Effort (Hours)]]/NETWORKDAYS(Table1[[#This Row],[Planned Start Date]],Table1[[#This Row],[Planned End Date]])</f>
        <v>#DIV/0!</v>
      </c>
      <c r="O1800" s="178">
        <f>NETWORKDAYS(Table1[[#This Row],[Planned Start Date]],Table1[[#This Row],[Planned End Date]])</f>
        <v>0</v>
      </c>
      <c r="P1800" s="178">
        <f>NETWORKDAYS(Table1[[#This Row],[Planned Start Date]],$P$7)</f>
        <v>30643</v>
      </c>
      <c r="Q1800" s="129"/>
      <c r="R1800" s="183" t="str">
        <f>IF(Table1[[#This Row],[Actual Effort (Hours)]]="","",IF(Table1[[#This Row],[Estimated Effort (Hours)]]&lt;20,"L1",IF(Table1[[#This Row],[Estimated Effort (Hours)]]&lt;50,"L2",IF(Table1[[#This Row],[Estimated Effort (Hours)]]&lt;150,"L3",IF(Table1[[#This Row],[Estimated Effort (Hours)]]&lt;300,"L4","L5")))))</f>
        <v/>
      </c>
      <c r="S1800" s="184" t="str">
        <f>IF(Table1[[#This Row],[Actual End Date]]="","",TEXT(Table1[[#This Row],[Actual End Date]],"mmm-yy"))</f>
        <v/>
      </c>
      <c r="T18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0" s="185" t="str">
        <f>IFERROR((Table1[[#This Row],[Actual Effort (Hours)]]-Table1[[#This Row],[Estimated Effort (Hours)]])/Table1[[#This Row],[Estimated Effort (Hours)]],"")</f>
        <v/>
      </c>
    </row>
    <row r="1801" spans="2:21">
      <c r="B1801" s="125"/>
      <c r="C1801" s="123"/>
      <c r="D1801" s="143"/>
      <c r="E1801" s="123"/>
      <c r="F1801" s="143"/>
      <c r="G1801" s="129"/>
      <c r="H1801" s="124"/>
      <c r="I1801" s="124"/>
      <c r="J1801" s="129"/>
      <c r="K1801" s="194"/>
      <c r="L1801" s="194"/>
      <c r="M1801" s="129"/>
      <c r="N1801" s="129" t="e">
        <f>Table1[[#This Row],[Estimated Effort (Hours)]]/NETWORKDAYS(Table1[[#This Row],[Planned Start Date]],Table1[[#This Row],[Planned End Date]])</f>
        <v>#DIV/0!</v>
      </c>
      <c r="O1801" s="178">
        <f>NETWORKDAYS(Table1[[#This Row],[Planned Start Date]],Table1[[#This Row],[Planned End Date]])</f>
        <v>0</v>
      </c>
      <c r="P1801" s="178">
        <f>NETWORKDAYS(Table1[[#This Row],[Planned Start Date]],$P$7)</f>
        <v>30643</v>
      </c>
      <c r="Q1801" s="129"/>
      <c r="R1801" s="183" t="str">
        <f>IF(Table1[[#This Row],[Actual Effort (Hours)]]="","",IF(Table1[[#This Row],[Estimated Effort (Hours)]]&lt;20,"L1",IF(Table1[[#This Row],[Estimated Effort (Hours)]]&lt;50,"L2",IF(Table1[[#This Row],[Estimated Effort (Hours)]]&lt;150,"L3",IF(Table1[[#This Row],[Estimated Effort (Hours)]]&lt;300,"L4","L5")))))</f>
        <v/>
      </c>
      <c r="S1801" s="184" t="str">
        <f>IF(Table1[[#This Row],[Actual End Date]]="","",TEXT(Table1[[#This Row],[Actual End Date]],"mmm-yy"))</f>
        <v/>
      </c>
      <c r="T18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1" s="185" t="str">
        <f>IFERROR((Table1[[#This Row],[Actual Effort (Hours)]]-Table1[[#This Row],[Estimated Effort (Hours)]])/Table1[[#This Row],[Estimated Effort (Hours)]],"")</f>
        <v/>
      </c>
    </row>
    <row r="1802" spans="2:21">
      <c r="B1802" s="125"/>
      <c r="C1802" s="123"/>
      <c r="D1802" s="143"/>
      <c r="E1802" s="123"/>
      <c r="F1802" s="143"/>
      <c r="G1802" s="129"/>
      <c r="H1802" s="124"/>
      <c r="I1802" s="124"/>
      <c r="J1802" s="129"/>
      <c r="K1802" s="194"/>
      <c r="L1802" s="194"/>
      <c r="M1802" s="129"/>
      <c r="N1802" s="129" t="e">
        <f>Table1[[#This Row],[Estimated Effort (Hours)]]/NETWORKDAYS(Table1[[#This Row],[Planned Start Date]],Table1[[#This Row],[Planned End Date]])</f>
        <v>#DIV/0!</v>
      </c>
      <c r="O1802" s="178">
        <f>NETWORKDAYS(Table1[[#This Row],[Planned Start Date]],Table1[[#This Row],[Planned End Date]])</f>
        <v>0</v>
      </c>
      <c r="P1802" s="178">
        <f>NETWORKDAYS(Table1[[#This Row],[Planned Start Date]],$P$7)</f>
        <v>30643</v>
      </c>
      <c r="Q1802" s="129"/>
      <c r="R1802" s="183" t="str">
        <f>IF(Table1[[#This Row],[Actual Effort (Hours)]]="","",IF(Table1[[#This Row],[Estimated Effort (Hours)]]&lt;20,"L1",IF(Table1[[#This Row],[Estimated Effort (Hours)]]&lt;50,"L2",IF(Table1[[#This Row],[Estimated Effort (Hours)]]&lt;150,"L3",IF(Table1[[#This Row],[Estimated Effort (Hours)]]&lt;300,"L4","L5")))))</f>
        <v/>
      </c>
      <c r="S1802" s="184" t="str">
        <f>IF(Table1[[#This Row],[Actual End Date]]="","",TEXT(Table1[[#This Row],[Actual End Date]],"mmm-yy"))</f>
        <v/>
      </c>
      <c r="T18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2" s="185" t="str">
        <f>IFERROR((Table1[[#This Row],[Actual Effort (Hours)]]-Table1[[#This Row],[Estimated Effort (Hours)]])/Table1[[#This Row],[Estimated Effort (Hours)]],"")</f>
        <v/>
      </c>
    </row>
    <row r="1803" spans="2:21">
      <c r="B1803" s="125"/>
      <c r="C1803" s="123"/>
      <c r="D1803" s="143"/>
      <c r="E1803" s="123"/>
      <c r="F1803" s="143"/>
      <c r="G1803" s="129"/>
      <c r="H1803" s="124"/>
      <c r="I1803" s="124"/>
      <c r="J1803" s="129"/>
      <c r="K1803" s="194"/>
      <c r="L1803" s="194"/>
      <c r="M1803" s="129"/>
      <c r="N1803" s="129" t="e">
        <f>Table1[[#This Row],[Estimated Effort (Hours)]]/NETWORKDAYS(Table1[[#This Row],[Planned Start Date]],Table1[[#This Row],[Planned End Date]])</f>
        <v>#DIV/0!</v>
      </c>
      <c r="O1803" s="178">
        <f>NETWORKDAYS(Table1[[#This Row],[Planned Start Date]],Table1[[#This Row],[Planned End Date]])</f>
        <v>0</v>
      </c>
      <c r="P1803" s="178">
        <f>NETWORKDAYS(Table1[[#This Row],[Planned Start Date]],$P$7)</f>
        <v>30643</v>
      </c>
      <c r="Q1803" s="129"/>
      <c r="R1803" s="183" t="str">
        <f>IF(Table1[[#This Row],[Actual Effort (Hours)]]="","",IF(Table1[[#This Row],[Estimated Effort (Hours)]]&lt;20,"L1",IF(Table1[[#This Row],[Estimated Effort (Hours)]]&lt;50,"L2",IF(Table1[[#This Row],[Estimated Effort (Hours)]]&lt;150,"L3",IF(Table1[[#This Row],[Estimated Effort (Hours)]]&lt;300,"L4","L5")))))</f>
        <v/>
      </c>
      <c r="S1803" s="184" t="str">
        <f>IF(Table1[[#This Row],[Actual End Date]]="","",TEXT(Table1[[#This Row],[Actual End Date]],"mmm-yy"))</f>
        <v/>
      </c>
      <c r="T18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3" s="185" t="str">
        <f>IFERROR((Table1[[#This Row],[Actual Effort (Hours)]]-Table1[[#This Row],[Estimated Effort (Hours)]])/Table1[[#This Row],[Estimated Effort (Hours)]],"")</f>
        <v/>
      </c>
    </row>
    <row r="1804" spans="2:21">
      <c r="B1804" s="125"/>
      <c r="C1804" s="123"/>
      <c r="D1804" s="143"/>
      <c r="E1804" s="123"/>
      <c r="F1804" s="143"/>
      <c r="G1804" s="129"/>
      <c r="H1804" s="124"/>
      <c r="I1804" s="124"/>
      <c r="J1804" s="129"/>
      <c r="K1804" s="194"/>
      <c r="L1804" s="194"/>
      <c r="M1804" s="129"/>
      <c r="N1804" s="129" t="e">
        <f>Table1[[#This Row],[Estimated Effort (Hours)]]/NETWORKDAYS(Table1[[#This Row],[Planned Start Date]],Table1[[#This Row],[Planned End Date]])</f>
        <v>#DIV/0!</v>
      </c>
      <c r="O1804" s="178">
        <f>NETWORKDAYS(Table1[[#This Row],[Planned Start Date]],Table1[[#This Row],[Planned End Date]])</f>
        <v>0</v>
      </c>
      <c r="P1804" s="178">
        <f>NETWORKDAYS(Table1[[#This Row],[Planned Start Date]],$P$7)</f>
        <v>30643</v>
      </c>
      <c r="Q1804" s="129"/>
      <c r="R1804" s="183" t="str">
        <f>IF(Table1[[#This Row],[Actual Effort (Hours)]]="","",IF(Table1[[#This Row],[Estimated Effort (Hours)]]&lt;20,"L1",IF(Table1[[#This Row],[Estimated Effort (Hours)]]&lt;50,"L2",IF(Table1[[#This Row],[Estimated Effort (Hours)]]&lt;150,"L3",IF(Table1[[#This Row],[Estimated Effort (Hours)]]&lt;300,"L4","L5")))))</f>
        <v/>
      </c>
      <c r="S1804" s="184" t="str">
        <f>IF(Table1[[#This Row],[Actual End Date]]="","",TEXT(Table1[[#This Row],[Actual End Date]],"mmm-yy"))</f>
        <v/>
      </c>
      <c r="T18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4" s="185" t="str">
        <f>IFERROR((Table1[[#This Row],[Actual Effort (Hours)]]-Table1[[#This Row],[Estimated Effort (Hours)]])/Table1[[#This Row],[Estimated Effort (Hours)]],"")</f>
        <v/>
      </c>
    </row>
    <row r="1805" spans="2:21">
      <c r="B1805" s="125"/>
      <c r="C1805" s="123"/>
      <c r="D1805" s="143"/>
      <c r="E1805" s="123"/>
      <c r="F1805" s="143"/>
      <c r="G1805" s="129"/>
      <c r="H1805" s="124"/>
      <c r="I1805" s="124"/>
      <c r="J1805" s="129"/>
      <c r="K1805" s="194"/>
      <c r="L1805" s="194"/>
      <c r="M1805" s="129"/>
      <c r="N1805" s="129" t="e">
        <f>Table1[[#This Row],[Estimated Effort (Hours)]]/NETWORKDAYS(Table1[[#This Row],[Planned Start Date]],Table1[[#This Row],[Planned End Date]])</f>
        <v>#DIV/0!</v>
      </c>
      <c r="O1805" s="178">
        <f>NETWORKDAYS(Table1[[#This Row],[Planned Start Date]],Table1[[#This Row],[Planned End Date]])</f>
        <v>0</v>
      </c>
      <c r="P1805" s="178">
        <f>NETWORKDAYS(Table1[[#This Row],[Planned Start Date]],$P$7)</f>
        <v>30643</v>
      </c>
      <c r="Q1805" s="129"/>
      <c r="R1805" s="183" t="str">
        <f>IF(Table1[[#This Row],[Actual Effort (Hours)]]="","",IF(Table1[[#This Row],[Estimated Effort (Hours)]]&lt;20,"L1",IF(Table1[[#This Row],[Estimated Effort (Hours)]]&lt;50,"L2",IF(Table1[[#This Row],[Estimated Effort (Hours)]]&lt;150,"L3",IF(Table1[[#This Row],[Estimated Effort (Hours)]]&lt;300,"L4","L5")))))</f>
        <v/>
      </c>
      <c r="S1805" s="184" t="str">
        <f>IF(Table1[[#This Row],[Actual End Date]]="","",TEXT(Table1[[#This Row],[Actual End Date]],"mmm-yy"))</f>
        <v/>
      </c>
      <c r="T18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5" s="185" t="str">
        <f>IFERROR((Table1[[#This Row],[Actual Effort (Hours)]]-Table1[[#This Row],[Estimated Effort (Hours)]])/Table1[[#This Row],[Estimated Effort (Hours)]],"")</f>
        <v/>
      </c>
    </row>
    <row r="1806" spans="2:21">
      <c r="B1806" s="125"/>
      <c r="C1806" s="123"/>
      <c r="D1806" s="143"/>
      <c r="E1806" s="123"/>
      <c r="F1806" s="143"/>
      <c r="G1806" s="129"/>
      <c r="H1806" s="124"/>
      <c r="I1806" s="124"/>
      <c r="J1806" s="129"/>
      <c r="K1806" s="194"/>
      <c r="L1806" s="194"/>
      <c r="M1806" s="129"/>
      <c r="N1806" s="129" t="e">
        <f>Table1[[#This Row],[Estimated Effort (Hours)]]/NETWORKDAYS(Table1[[#This Row],[Planned Start Date]],Table1[[#This Row],[Planned End Date]])</f>
        <v>#DIV/0!</v>
      </c>
      <c r="O1806" s="178">
        <f>NETWORKDAYS(Table1[[#This Row],[Planned Start Date]],Table1[[#This Row],[Planned End Date]])</f>
        <v>0</v>
      </c>
      <c r="P1806" s="178">
        <f>NETWORKDAYS(Table1[[#This Row],[Planned Start Date]],$P$7)</f>
        <v>30643</v>
      </c>
      <c r="Q1806" s="129"/>
      <c r="R1806" s="183" t="str">
        <f>IF(Table1[[#This Row],[Actual Effort (Hours)]]="","",IF(Table1[[#This Row],[Estimated Effort (Hours)]]&lt;20,"L1",IF(Table1[[#This Row],[Estimated Effort (Hours)]]&lt;50,"L2",IF(Table1[[#This Row],[Estimated Effort (Hours)]]&lt;150,"L3",IF(Table1[[#This Row],[Estimated Effort (Hours)]]&lt;300,"L4","L5")))))</f>
        <v/>
      </c>
      <c r="S1806" s="184" t="str">
        <f>IF(Table1[[#This Row],[Actual End Date]]="","",TEXT(Table1[[#This Row],[Actual End Date]],"mmm-yy"))</f>
        <v/>
      </c>
      <c r="T18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6" s="185" t="str">
        <f>IFERROR((Table1[[#This Row],[Actual Effort (Hours)]]-Table1[[#This Row],[Estimated Effort (Hours)]])/Table1[[#This Row],[Estimated Effort (Hours)]],"")</f>
        <v/>
      </c>
    </row>
    <row r="1807" spans="2:21">
      <c r="B1807" s="125"/>
      <c r="C1807" s="123"/>
      <c r="D1807" s="143"/>
      <c r="E1807" s="123"/>
      <c r="F1807" s="143"/>
      <c r="G1807" s="129"/>
      <c r="H1807" s="124"/>
      <c r="I1807" s="124"/>
      <c r="J1807" s="129"/>
      <c r="K1807" s="194"/>
      <c r="L1807" s="194"/>
      <c r="M1807" s="129"/>
      <c r="N1807" s="129" t="e">
        <f>Table1[[#This Row],[Estimated Effort (Hours)]]/NETWORKDAYS(Table1[[#This Row],[Planned Start Date]],Table1[[#This Row],[Planned End Date]])</f>
        <v>#DIV/0!</v>
      </c>
      <c r="O1807" s="178">
        <f>NETWORKDAYS(Table1[[#This Row],[Planned Start Date]],Table1[[#This Row],[Planned End Date]])</f>
        <v>0</v>
      </c>
      <c r="P1807" s="178">
        <f>NETWORKDAYS(Table1[[#This Row],[Planned Start Date]],$P$7)</f>
        <v>30643</v>
      </c>
      <c r="Q1807" s="129"/>
      <c r="R1807" s="183" t="str">
        <f>IF(Table1[[#This Row],[Actual Effort (Hours)]]="","",IF(Table1[[#This Row],[Estimated Effort (Hours)]]&lt;20,"L1",IF(Table1[[#This Row],[Estimated Effort (Hours)]]&lt;50,"L2",IF(Table1[[#This Row],[Estimated Effort (Hours)]]&lt;150,"L3",IF(Table1[[#This Row],[Estimated Effort (Hours)]]&lt;300,"L4","L5")))))</f>
        <v/>
      </c>
      <c r="S1807" s="184" t="str">
        <f>IF(Table1[[#This Row],[Actual End Date]]="","",TEXT(Table1[[#This Row],[Actual End Date]],"mmm-yy"))</f>
        <v/>
      </c>
      <c r="T18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7" s="185" t="str">
        <f>IFERROR((Table1[[#This Row],[Actual Effort (Hours)]]-Table1[[#This Row],[Estimated Effort (Hours)]])/Table1[[#This Row],[Estimated Effort (Hours)]],"")</f>
        <v/>
      </c>
    </row>
    <row r="1808" spans="2:21">
      <c r="B1808" s="125"/>
      <c r="C1808" s="123"/>
      <c r="D1808" s="143"/>
      <c r="E1808" s="123"/>
      <c r="F1808" s="143"/>
      <c r="G1808" s="129"/>
      <c r="H1808" s="124"/>
      <c r="I1808" s="124"/>
      <c r="J1808" s="129"/>
      <c r="K1808" s="194"/>
      <c r="L1808" s="194"/>
      <c r="M1808" s="129"/>
      <c r="N1808" s="129" t="e">
        <f>Table1[[#This Row],[Estimated Effort (Hours)]]/NETWORKDAYS(Table1[[#This Row],[Planned Start Date]],Table1[[#This Row],[Planned End Date]])</f>
        <v>#DIV/0!</v>
      </c>
      <c r="O1808" s="178">
        <f>NETWORKDAYS(Table1[[#This Row],[Planned Start Date]],Table1[[#This Row],[Planned End Date]])</f>
        <v>0</v>
      </c>
      <c r="P1808" s="178">
        <f>NETWORKDAYS(Table1[[#This Row],[Planned Start Date]],$P$7)</f>
        <v>30643</v>
      </c>
      <c r="Q1808" s="129"/>
      <c r="R1808" s="183" t="str">
        <f>IF(Table1[[#This Row],[Actual Effort (Hours)]]="","",IF(Table1[[#This Row],[Estimated Effort (Hours)]]&lt;20,"L1",IF(Table1[[#This Row],[Estimated Effort (Hours)]]&lt;50,"L2",IF(Table1[[#This Row],[Estimated Effort (Hours)]]&lt;150,"L3",IF(Table1[[#This Row],[Estimated Effort (Hours)]]&lt;300,"L4","L5")))))</f>
        <v/>
      </c>
      <c r="S1808" s="184" t="str">
        <f>IF(Table1[[#This Row],[Actual End Date]]="","",TEXT(Table1[[#This Row],[Actual End Date]],"mmm-yy"))</f>
        <v/>
      </c>
      <c r="T18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8" s="185" t="str">
        <f>IFERROR((Table1[[#This Row],[Actual Effort (Hours)]]-Table1[[#This Row],[Estimated Effort (Hours)]])/Table1[[#This Row],[Estimated Effort (Hours)]],"")</f>
        <v/>
      </c>
    </row>
    <row r="1809" spans="2:21">
      <c r="B1809" s="125"/>
      <c r="C1809" s="123"/>
      <c r="D1809" s="143"/>
      <c r="E1809" s="123"/>
      <c r="F1809" s="143"/>
      <c r="G1809" s="129"/>
      <c r="H1809" s="124"/>
      <c r="I1809" s="124"/>
      <c r="J1809" s="129"/>
      <c r="K1809" s="194"/>
      <c r="L1809" s="194"/>
      <c r="M1809" s="129"/>
      <c r="N1809" s="129" t="e">
        <f>Table1[[#This Row],[Estimated Effort (Hours)]]/NETWORKDAYS(Table1[[#This Row],[Planned Start Date]],Table1[[#This Row],[Planned End Date]])</f>
        <v>#DIV/0!</v>
      </c>
      <c r="O1809" s="178">
        <f>NETWORKDAYS(Table1[[#This Row],[Planned Start Date]],Table1[[#This Row],[Planned End Date]])</f>
        <v>0</v>
      </c>
      <c r="P1809" s="178">
        <f>NETWORKDAYS(Table1[[#This Row],[Planned Start Date]],$P$7)</f>
        <v>30643</v>
      </c>
      <c r="Q1809" s="129"/>
      <c r="R1809" s="183" t="str">
        <f>IF(Table1[[#This Row],[Actual Effort (Hours)]]="","",IF(Table1[[#This Row],[Estimated Effort (Hours)]]&lt;20,"L1",IF(Table1[[#This Row],[Estimated Effort (Hours)]]&lt;50,"L2",IF(Table1[[#This Row],[Estimated Effort (Hours)]]&lt;150,"L3",IF(Table1[[#This Row],[Estimated Effort (Hours)]]&lt;300,"L4","L5")))))</f>
        <v/>
      </c>
      <c r="S1809" s="184" t="str">
        <f>IF(Table1[[#This Row],[Actual End Date]]="","",TEXT(Table1[[#This Row],[Actual End Date]],"mmm-yy"))</f>
        <v/>
      </c>
      <c r="T18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09" s="185" t="str">
        <f>IFERROR((Table1[[#This Row],[Actual Effort (Hours)]]-Table1[[#This Row],[Estimated Effort (Hours)]])/Table1[[#This Row],[Estimated Effort (Hours)]],"")</f>
        <v/>
      </c>
    </row>
    <row r="1810" spans="2:21">
      <c r="B1810" s="125"/>
      <c r="C1810" s="123"/>
      <c r="D1810" s="143"/>
      <c r="E1810" s="123"/>
      <c r="F1810" s="143"/>
      <c r="G1810" s="129"/>
      <c r="H1810" s="124"/>
      <c r="I1810" s="124"/>
      <c r="J1810" s="129"/>
      <c r="K1810" s="194"/>
      <c r="L1810" s="194"/>
      <c r="M1810" s="129"/>
      <c r="N1810" s="129" t="e">
        <f>Table1[[#This Row],[Estimated Effort (Hours)]]/NETWORKDAYS(Table1[[#This Row],[Planned Start Date]],Table1[[#This Row],[Planned End Date]])</f>
        <v>#DIV/0!</v>
      </c>
      <c r="O1810" s="178">
        <f>NETWORKDAYS(Table1[[#This Row],[Planned Start Date]],Table1[[#This Row],[Planned End Date]])</f>
        <v>0</v>
      </c>
      <c r="P1810" s="178">
        <f>NETWORKDAYS(Table1[[#This Row],[Planned Start Date]],$P$7)</f>
        <v>30643</v>
      </c>
      <c r="Q1810" s="129"/>
      <c r="R1810" s="183" t="str">
        <f>IF(Table1[[#This Row],[Actual Effort (Hours)]]="","",IF(Table1[[#This Row],[Estimated Effort (Hours)]]&lt;20,"L1",IF(Table1[[#This Row],[Estimated Effort (Hours)]]&lt;50,"L2",IF(Table1[[#This Row],[Estimated Effort (Hours)]]&lt;150,"L3",IF(Table1[[#This Row],[Estimated Effort (Hours)]]&lt;300,"L4","L5")))))</f>
        <v/>
      </c>
      <c r="S1810" s="184" t="str">
        <f>IF(Table1[[#This Row],[Actual End Date]]="","",TEXT(Table1[[#This Row],[Actual End Date]],"mmm-yy"))</f>
        <v/>
      </c>
      <c r="T18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0" s="185" t="str">
        <f>IFERROR((Table1[[#This Row],[Actual Effort (Hours)]]-Table1[[#This Row],[Estimated Effort (Hours)]])/Table1[[#This Row],[Estimated Effort (Hours)]],"")</f>
        <v/>
      </c>
    </row>
    <row r="1811" spans="2:21">
      <c r="B1811" s="125"/>
      <c r="C1811" s="123"/>
      <c r="D1811" s="143"/>
      <c r="E1811" s="123"/>
      <c r="F1811" s="143"/>
      <c r="G1811" s="129"/>
      <c r="H1811" s="124"/>
      <c r="I1811" s="124"/>
      <c r="J1811" s="129"/>
      <c r="K1811" s="194"/>
      <c r="L1811" s="194"/>
      <c r="M1811" s="129"/>
      <c r="N1811" s="129" t="e">
        <f>Table1[[#This Row],[Estimated Effort (Hours)]]/NETWORKDAYS(Table1[[#This Row],[Planned Start Date]],Table1[[#This Row],[Planned End Date]])</f>
        <v>#DIV/0!</v>
      </c>
      <c r="O1811" s="178">
        <f>NETWORKDAYS(Table1[[#This Row],[Planned Start Date]],Table1[[#This Row],[Planned End Date]])</f>
        <v>0</v>
      </c>
      <c r="P1811" s="178">
        <f>NETWORKDAYS(Table1[[#This Row],[Planned Start Date]],$P$7)</f>
        <v>30643</v>
      </c>
      <c r="Q1811" s="129"/>
      <c r="R1811" s="183" t="str">
        <f>IF(Table1[[#This Row],[Actual Effort (Hours)]]="","",IF(Table1[[#This Row],[Estimated Effort (Hours)]]&lt;20,"L1",IF(Table1[[#This Row],[Estimated Effort (Hours)]]&lt;50,"L2",IF(Table1[[#This Row],[Estimated Effort (Hours)]]&lt;150,"L3",IF(Table1[[#This Row],[Estimated Effort (Hours)]]&lt;300,"L4","L5")))))</f>
        <v/>
      </c>
      <c r="S1811" s="184" t="str">
        <f>IF(Table1[[#This Row],[Actual End Date]]="","",TEXT(Table1[[#This Row],[Actual End Date]],"mmm-yy"))</f>
        <v/>
      </c>
      <c r="T18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1" s="185" t="str">
        <f>IFERROR((Table1[[#This Row],[Actual Effort (Hours)]]-Table1[[#This Row],[Estimated Effort (Hours)]])/Table1[[#This Row],[Estimated Effort (Hours)]],"")</f>
        <v/>
      </c>
    </row>
    <row r="1812" spans="2:21">
      <c r="B1812" s="125"/>
      <c r="C1812" s="123"/>
      <c r="D1812" s="143"/>
      <c r="E1812" s="123"/>
      <c r="F1812" s="143"/>
      <c r="G1812" s="129"/>
      <c r="H1812" s="124"/>
      <c r="I1812" s="124"/>
      <c r="J1812" s="129"/>
      <c r="K1812" s="194"/>
      <c r="L1812" s="194"/>
      <c r="M1812" s="129"/>
      <c r="N1812" s="129" t="e">
        <f>Table1[[#This Row],[Estimated Effort (Hours)]]/NETWORKDAYS(Table1[[#This Row],[Planned Start Date]],Table1[[#This Row],[Planned End Date]])</f>
        <v>#DIV/0!</v>
      </c>
      <c r="O1812" s="178">
        <f>NETWORKDAYS(Table1[[#This Row],[Planned Start Date]],Table1[[#This Row],[Planned End Date]])</f>
        <v>0</v>
      </c>
      <c r="P1812" s="178">
        <f>NETWORKDAYS(Table1[[#This Row],[Planned Start Date]],$P$7)</f>
        <v>30643</v>
      </c>
      <c r="Q1812" s="129"/>
      <c r="R1812" s="183" t="str">
        <f>IF(Table1[[#This Row],[Actual Effort (Hours)]]="","",IF(Table1[[#This Row],[Estimated Effort (Hours)]]&lt;20,"L1",IF(Table1[[#This Row],[Estimated Effort (Hours)]]&lt;50,"L2",IF(Table1[[#This Row],[Estimated Effort (Hours)]]&lt;150,"L3",IF(Table1[[#This Row],[Estimated Effort (Hours)]]&lt;300,"L4","L5")))))</f>
        <v/>
      </c>
      <c r="S1812" s="184" t="str">
        <f>IF(Table1[[#This Row],[Actual End Date]]="","",TEXT(Table1[[#This Row],[Actual End Date]],"mmm-yy"))</f>
        <v/>
      </c>
      <c r="T18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2" s="185" t="str">
        <f>IFERROR((Table1[[#This Row],[Actual Effort (Hours)]]-Table1[[#This Row],[Estimated Effort (Hours)]])/Table1[[#This Row],[Estimated Effort (Hours)]],"")</f>
        <v/>
      </c>
    </row>
    <row r="1813" spans="2:21">
      <c r="B1813" s="125"/>
      <c r="C1813" s="123"/>
      <c r="D1813" s="143"/>
      <c r="E1813" s="123"/>
      <c r="F1813" s="143"/>
      <c r="G1813" s="129"/>
      <c r="H1813" s="124"/>
      <c r="I1813" s="124"/>
      <c r="J1813" s="129"/>
      <c r="K1813" s="194"/>
      <c r="L1813" s="194"/>
      <c r="M1813" s="129"/>
      <c r="N1813" s="129" t="e">
        <f>Table1[[#This Row],[Estimated Effort (Hours)]]/NETWORKDAYS(Table1[[#This Row],[Planned Start Date]],Table1[[#This Row],[Planned End Date]])</f>
        <v>#DIV/0!</v>
      </c>
      <c r="O1813" s="178">
        <f>NETWORKDAYS(Table1[[#This Row],[Planned Start Date]],Table1[[#This Row],[Planned End Date]])</f>
        <v>0</v>
      </c>
      <c r="P1813" s="178">
        <f>NETWORKDAYS(Table1[[#This Row],[Planned Start Date]],$P$7)</f>
        <v>30643</v>
      </c>
      <c r="Q1813" s="129"/>
      <c r="R1813" s="183" t="str">
        <f>IF(Table1[[#This Row],[Actual Effort (Hours)]]="","",IF(Table1[[#This Row],[Estimated Effort (Hours)]]&lt;20,"L1",IF(Table1[[#This Row],[Estimated Effort (Hours)]]&lt;50,"L2",IF(Table1[[#This Row],[Estimated Effort (Hours)]]&lt;150,"L3",IF(Table1[[#This Row],[Estimated Effort (Hours)]]&lt;300,"L4","L5")))))</f>
        <v/>
      </c>
      <c r="S1813" s="184" t="str">
        <f>IF(Table1[[#This Row],[Actual End Date]]="","",TEXT(Table1[[#This Row],[Actual End Date]],"mmm-yy"))</f>
        <v/>
      </c>
      <c r="T18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3" s="185" t="str">
        <f>IFERROR((Table1[[#This Row],[Actual Effort (Hours)]]-Table1[[#This Row],[Estimated Effort (Hours)]])/Table1[[#This Row],[Estimated Effort (Hours)]],"")</f>
        <v/>
      </c>
    </row>
    <row r="1814" spans="2:21">
      <c r="B1814" s="125"/>
      <c r="C1814" s="123"/>
      <c r="D1814" s="143"/>
      <c r="E1814" s="123"/>
      <c r="F1814" s="143"/>
      <c r="G1814" s="129"/>
      <c r="H1814" s="124"/>
      <c r="I1814" s="124"/>
      <c r="J1814" s="129"/>
      <c r="K1814" s="194"/>
      <c r="L1814" s="194"/>
      <c r="M1814" s="129"/>
      <c r="N1814" s="129" t="e">
        <f>Table1[[#This Row],[Estimated Effort (Hours)]]/NETWORKDAYS(Table1[[#This Row],[Planned Start Date]],Table1[[#This Row],[Planned End Date]])</f>
        <v>#DIV/0!</v>
      </c>
      <c r="O1814" s="178">
        <f>NETWORKDAYS(Table1[[#This Row],[Planned Start Date]],Table1[[#This Row],[Planned End Date]])</f>
        <v>0</v>
      </c>
      <c r="P1814" s="178">
        <f>NETWORKDAYS(Table1[[#This Row],[Planned Start Date]],$P$7)</f>
        <v>30643</v>
      </c>
      <c r="Q1814" s="129"/>
      <c r="R1814" s="183" t="str">
        <f>IF(Table1[[#This Row],[Actual Effort (Hours)]]="","",IF(Table1[[#This Row],[Estimated Effort (Hours)]]&lt;20,"L1",IF(Table1[[#This Row],[Estimated Effort (Hours)]]&lt;50,"L2",IF(Table1[[#This Row],[Estimated Effort (Hours)]]&lt;150,"L3",IF(Table1[[#This Row],[Estimated Effort (Hours)]]&lt;300,"L4","L5")))))</f>
        <v/>
      </c>
      <c r="S1814" s="184" t="str">
        <f>IF(Table1[[#This Row],[Actual End Date]]="","",TEXT(Table1[[#This Row],[Actual End Date]],"mmm-yy"))</f>
        <v/>
      </c>
      <c r="T18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4" s="185" t="str">
        <f>IFERROR((Table1[[#This Row],[Actual Effort (Hours)]]-Table1[[#This Row],[Estimated Effort (Hours)]])/Table1[[#This Row],[Estimated Effort (Hours)]],"")</f>
        <v/>
      </c>
    </row>
    <row r="1815" spans="2:21">
      <c r="B1815" s="125"/>
      <c r="C1815" s="123"/>
      <c r="D1815" s="143"/>
      <c r="E1815" s="123"/>
      <c r="F1815" s="143"/>
      <c r="G1815" s="129"/>
      <c r="H1815" s="124"/>
      <c r="I1815" s="124"/>
      <c r="J1815" s="129"/>
      <c r="K1815" s="194"/>
      <c r="L1815" s="194"/>
      <c r="M1815" s="129"/>
      <c r="N1815" s="129" t="e">
        <f>Table1[[#This Row],[Estimated Effort (Hours)]]/NETWORKDAYS(Table1[[#This Row],[Planned Start Date]],Table1[[#This Row],[Planned End Date]])</f>
        <v>#DIV/0!</v>
      </c>
      <c r="O1815" s="178">
        <f>NETWORKDAYS(Table1[[#This Row],[Planned Start Date]],Table1[[#This Row],[Planned End Date]])</f>
        <v>0</v>
      </c>
      <c r="P1815" s="178">
        <f>NETWORKDAYS(Table1[[#This Row],[Planned Start Date]],$P$7)</f>
        <v>30643</v>
      </c>
      <c r="Q1815" s="129"/>
      <c r="R1815" s="183" t="str">
        <f>IF(Table1[[#This Row],[Actual Effort (Hours)]]="","",IF(Table1[[#This Row],[Estimated Effort (Hours)]]&lt;20,"L1",IF(Table1[[#This Row],[Estimated Effort (Hours)]]&lt;50,"L2",IF(Table1[[#This Row],[Estimated Effort (Hours)]]&lt;150,"L3",IF(Table1[[#This Row],[Estimated Effort (Hours)]]&lt;300,"L4","L5")))))</f>
        <v/>
      </c>
      <c r="S1815" s="184" t="str">
        <f>IF(Table1[[#This Row],[Actual End Date]]="","",TEXT(Table1[[#This Row],[Actual End Date]],"mmm-yy"))</f>
        <v/>
      </c>
      <c r="T18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5" s="185" t="str">
        <f>IFERROR((Table1[[#This Row],[Actual Effort (Hours)]]-Table1[[#This Row],[Estimated Effort (Hours)]])/Table1[[#This Row],[Estimated Effort (Hours)]],"")</f>
        <v/>
      </c>
    </row>
    <row r="1816" spans="2:21">
      <c r="B1816" s="125"/>
      <c r="C1816" s="123"/>
      <c r="D1816" s="143"/>
      <c r="E1816" s="123"/>
      <c r="F1816" s="143"/>
      <c r="G1816" s="129"/>
      <c r="H1816" s="124"/>
      <c r="I1816" s="124"/>
      <c r="J1816" s="129"/>
      <c r="K1816" s="194"/>
      <c r="L1816" s="194"/>
      <c r="M1816" s="129"/>
      <c r="N1816" s="129" t="e">
        <f>Table1[[#This Row],[Estimated Effort (Hours)]]/NETWORKDAYS(Table1[[#This Row],[Planned Start Date]],Table1[[#This Row],[Planned End Date]])</f>
        <v>#DIV/0!</v>
      </c>
      <c r="O1816" s="178">
        <f>NETWORKDAYS(Table1[[#This Row],[Planned Start Date]],Table1[[#This Row],[Planned End Date]])</f>
        <v>0</v>
      </c>
      <c r="P1816" s="178">
        <f>NETWORKDAYS(Table1[[#This Row],[Planned Start Date]],$P$7)</f>
        <v>30643</v>
      </c>
      <c r="Q1816" s="129"/>
      <c r="R1816" s="183" t="str">
        <f>IF(Table1[[#This Row],[Actual Effort (Hours)]]="","",IF(Table1[[#This Row],[Estimated Effort (Hours)]]&lt;20,"L1",IF(Table1[[#This Row],[Estimated Effort (Hours)]]&lt;50,"L2",IF(Table1[[#This Row],[Estimated Effort (Hours)]]&lt;150,"L3",IF(Table1[[#This Row],[Estimated Effort (Hours)]]&lt;300,"L4","L5")))))</f>
        <v/>
      </c>
      <c r="S1816" s="184" t="str">
        <f>IF(Table1[[#This Row],[Actual End Date]]="","",TEXT(Table1[[#This Row],[Actual End Date]],"mmm-yy"))</f>
        <v/>
      </c>
      <c r="T18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6" s="185" t="str">
        <f>IFERROR((Table1[[#This Row],[Actual Effort (Hours)]]-Table1[[#This Row],[Estimated Effort (Hours)]])/Table1[[#This Row],[Estimated Effort (Hours)]],"")</f>
        <v/>
      </c>
    </row>
    <row r="1817" spans="2:21">
      <c r="B1817" s="125"/>
      <c r="C1817" s="123"/>
      <c r="D1817" s="143"/>
      <c r="E1817" s="123"/>
      <c r="F1817" s="143"/>
      <c r="G1817" s="129"/>
      <c r="H1817" s="124"/>
      <c r="I1817" s="124"/>
      <c r="J1817" s="129"/>
      <c r="K1817" s="194"/>
      <c r="L1817" s="194"/>
      <c r="M1817" s="129"/>
      <c r="N1817" s="129" t="e">
        <f>Table1[[#This Row],[Estimated Effort (Hours)]]/NETWORKDAYS(Table1[[#This Row],[Planned Start Date]],Table1[[#This Row],[Planned End Date]])</f>
        <v>#DIV/0!</v>
      </c>
      <c r="O1817" s="178">
        <f>NETWORKDAYS(Table1[[#This Row],[Planned Start Date]],Table1[[#This Row],[Planned End Date]])</f>
        <v>0</v>
      </c>
      <c r="P1817" s="178">
        <f>NETWORKDAYS(Table1[[#This Row],[Planned Start Date]],$P$7)</f>
        <v>30643</v>
      </c>
      <c r="Q1817" s="129"/>
      <c r="R1817" s="183" t="str">
        <f>IF(Table1[[#This Row],[Actual Effort (Hours)]]="","",IF(Table1[[#This Row],[Estimated Effort (Hours)]]&lt;20,"L1",IF(Table1[[#This Row],[Estimated Effort (Hours)]]&lt;50,"L2",IF(Table1[[#This Row],[Estimated Effort (Hours)]]&lt;150,"L3",IF(Table1[[#This Row],[Estimated Effort (Hours)]]&lt;300,"L4","L5")))))</f>
        <v/>
      </c>
      <c r="S1817" s="184" t="str">
        <f>IF(Table1[[#This Row],[Actual End Date]]="","",TEXT(Table1[[#This Row],[Actual End Date]],"mmm-yy"))</f>
        <v/>
      </c>
      <c r="T18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7" s="185" t="str">
        <f>IFERROR((Table1[[#This Row],[Actual Effort (Hours)]]-Table1[[#This Row],[Estimated Effort (Hours)]])/Table1[[#This Row],[Estimated Effort (Hours)]],"")</f>
        <v/>
      </c>
    </row>
    <row r="1818" spans="2:21">
      <c r="B1818" s="125"/>
      <c r="C1818" s="123"/>
      <c r="D1818" s="143"/>
      <c r="E1818" s="123"/>
      <c r="F1818" s="143"/>
      <c r="G1818" s="129"/>
      <c r="H1818" s="124"/>
      <c r="I1818" s="124"/>
      <c r="J1818" s="129"/>
      <c r="K1818" s="194"/>
      <c r="L1818" s="194"/>
      <c r="M1818" s="129"/>
      <c r="N1818" s="129" t="e">
        <f>Table1[[#This Row],[Estimated Effort (Hours)]]/NETWORKDAYS(Table1[[#This Row],[Planned Start Date]],Table1[[#This Row],[Planned End Date]])</f>
        <v>#DIV/0!</v>
      </c>
      <c r="O1818" s="178">
        <f>NETWORKDAYS(Table1[[#This Row],[Planned Start Date]],Table1[[#This Row],[Planned End Date]])</f>
        <v>0</v>
      </c>
      <c r="P1818" s="178">
        <f>NETWORKDAYS(Table1[[#This Row],[Planned Start Date]],$P$7)</f>
        <v>30643</v>
      </c>
      <c r="Q1818" s="129"/>
      <c r="R1818" s="183" t="str">
        <f>IF(Table1[[#This Row],[Actual Effort (Hours)]]="","",IF(Table1[[#This Row],[Estimated Effort (Hours)]]&lt;20,"L1",IF(Table1[[#This Row],[Estimated Effort (Hours)]]&lt;50,"L2",IF(Table1[[#This Row],[Estimated Effort (Hours)]]&lt;150,"L3",IF(Table1[[#This Row],[Estimated Effort (Hours)]]&lt;300,"L4","L5")))))</f>
        <v/>
      </c>
      <c r="S1818" s="184" t="str">
        <f>IF(Table1[[#This Row],[Actual End Date]]="","",TEXT(Table1[[#This Row],[Actual End Date]],"mmm-yy"))</f>
        <v/>
      </c>
      <c r="T18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8" s="185" t="str">
        <f>IFERROR((Table1[[#This Row],[Actual Effort (Hours)]]-Table1[[#This Row],[Estimated Effort (Hours)]])/Table1[[#This Row],[Estimated Effort (Hours)]],"")</f>
        <v/>
      </c>
    </row>
    <row r="1819" spans="2:21">
      <c r="B1819" s="125"/>
      <c r="C1819" s="123"/>
      <c r="D1819" s="143"/>
      <c r="E1819" s="123"/>
      <c r="F1819" s="143"/>
      <c r="G1819" s="129"/>
      <c r="H1819" s="124"/>
      <c r="I1819" s="124"/>
      <c r="J1819" s="129"/>
      <c r="K1819" s="194"/>
      <c r="L1819" s="194"/>
      <c r="M1819" s="129"/>
      <c r="N1819" s="129" t="e">
        <f>Table1[[#This Row],[Estimated Effort (Hours)]]/NETWORKDAYS(Table1[[#This Row],[Planned Start Date]],Table1[[#This Row],[Planned End Date]])</f>
        <v>#DIV/0!</v>
      </c>
      <c r="O1819" s="178">
        <f>NETWORKDAYS(Table1[[#This Row],[Planned Start Date]],Table1[[#This Row],[Planned End Date]])</f>
        <v>0</v>
      </c>
      <c r="P1819" s="178">
        <f>NETWORKDAYS(Table1[[#This Row],[Planned Start Date]],$P$7)</f>
        <v>30643</v>
      </c>
      <c r="Q1819" s="129"/>
      <c r="R1819" s="183" t="str">
        <f>IF(Table1[[#This Row],[Actual Effort (Hours)]]="","",IF(Table1[[#This Row],[Estimated Effort (Hours)]]&lt;20,"L1",IF(Table1[[#This Row],[Estimated Effort (Hours)]]&lt;50,"L2",IF(Table1[[#This Row],[Estimated Effort (Hours)]]&lt;150,"L3",IF(Table1[[#This Row],[Estimated Effort (Hours)]]&lt;300,"L4","L5")))))</f>
        <v/>
      </c>
      <c r="S1819" s="184" t="str">
        <f>IF(Table1[[#This Row],[Actual End Date]]="","",TEXT(Table1[[#This Row],[Actual End Date]],"mmm-yy"))</f>
        <v/>
      </c>
      <c r="T18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19" s="185" t="str">
        <f>IFERROR((Table1[[#This Row],[Actual Effort (Hours)]]-Table1[[#This Row],[Estimated Effort (Hours)]])/Table1[[#This Row],[Estimated Effort (Hours)]],"")</f>
        <v/>
      </c>
    </row>
    <row r="1820" spans="2:21">
      <c r="B1820" s="125"/>
      <c r="C1820" s="123"/>
      <c r="D1820" s="143"/>
      <c r="E1820" s="123"/>
      <c r="F1820" s="143"/>
      <c r="G1820" s="129"/>
      <c r="H1820" s="124"/>
      <c r="I1820" s="124"/>
      <c r="J1820" s="129"/>
      <c r="K1820" s="194"/>
      <c r="L1820" s="194"/>
      <c r="M1820" s="129"/>
      <c r="N1820" s="129" t="e">
        <f>Table1[[#This Row],[Estimated Effort (Hours)]]/NETWORKDAYS(Table1[[#This Row],[Planned Start Date]],Table1[[#This Row],[Planned End Date]])</f>
        <v>#DIV/0!</v>
      </c>
      <c r="O1820" s="178">
        <f>NETWORKDAYS(Table1[[#This Row],[Planned Start Date]],Table1[[#This Row],[Planned End Date]])</f>
        <v>0</v>
      </c>
      <c r="P1820" s="178">
        <f>NETWORKDAYS(Table1[[#This Row],[Planned Start Date]],$P$7)</f>
        <v>30643</v>
      </c>
      <c r="Q1820" s="129"/>
      <c r="R1820" s="183" t="str">
        <f>IF(Table1[[#This Row],[Actual Effort (Hours)]]="","",IF(Table1[[#This Row],[Estimated Effort (Hours)]]&lt;20,"L1",IF(Table1[[#This Row],[Estimated Effort (Hours)]]&lt;50,"L2",IF(Table1[[#This Row],[Estimated Effort (Hours)]]&lt;150,"L3",IF(Table1[[#This Row],[Estimated Effort (Hours)]]&lt;300,"L4","L5")))))</f>
        <v/>
      </c>
      <c r="S1820" s="184" t="str">
        <f>IF(Table1[[#This Row],[Actual End Date]]="","",TEXT(Table1[[#This Row],[Actual End Date]],"mmm-yy"))</f>
        <v/>
      </c>
      <c r="T18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0" s="185" t="str">
        <f>IFERROR((Table1[[#This Row],[Actual Effort (Hours)]]-Table1[[#This Row],[Estimated Effort (Hours)]])/Table1[[#This Row],[Estimated Effort (Hours)]],"")</f>
        <v/>
      </c>
    </row>
    <row r="1821" spans="2:21">
      <c r="B1821" s="125"/>
      <c r="C1821" s="123"/>
      <c r="D1821" s="143"/>
      <c r="E1821" s="123"/>
      <c r="F1821" s="143"/>
      <c r="G1821" s="129"/>
      <c r="H1821" s="124"/>
      <c r="I1821" s="124"/>
      <c r="J1821" s="129"/>
      <c r="K1821" s="194"/>
      <c r="L1821" s="194"/>
      <c r="M1821" s="129"/>
      <c r="N1821" s="129" t="e">
        <f>Table1[[#This Row],[Estimated Effort (Hours)]]/NETWORKDAYS(Table1[[#This Row],[Planned Start Date]],Table1[[#This Row],[Planned End Date]])</f>
        <v>#DIV/0!</v>
      </c>
      <c r="O1821" s="178">
        <f>NETWORKDAYS(Table1[[#This Row],[Planned Start Date]],Table1[[#This Row],[Planned End Date]])</f>
        <v>0</v>
      </c>
      <c r="P1821" s="178">
        <f>NETWORKDAYS(Table1[[#This Row],[Planned Start Date]],$P$7)</f>
        <v>30643</v>
      </c>
      <c r="Q1821" s="129"/>
      <c r="R1821" s="183" t="str">
        <f>IF(Table1[[#This Row],[Actual Effort (Hours)]]="","",IF(Table1[[#This Row],[Estimated Effort (Hours)]]&lt;20,"L1",IF(Table1[[#This Row],[Estimated Effort (Hours)]]&lt;50,"L2",IF(Table1[[#This Row],[Estimated Effort (Hours)]]&lt;150,"L3",IF(Table1[[#This Row],[Estimated Effort (Hours)]]&lt;300,"L4","L5")))))</f>
        <v/>
      </c>
      <c r="S1821" s="184" t="str">
        <f>IF(Table1[[#This Row],[Actual End Date]]="","",TEXT(Table1[[#This Row],[Actual End Date]],"mmm-yy"))</f>
        <v/>
      </c>
      <c r="T18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1" s="185" t="str">
        <f>IFERROR((Table1[[#This Row],[Actual Effort (Hours)]]-Table1[[#This Row],[Estimated Effort (Hours)]])/Table1[[#This Row],[Estimated Effort (Hours)]],"")</f>
        <v/>
      </c>
    </row>
    <row r="1822" spans="2:21">
      <c r="B1822" s="125"/>
      <c r="C1822" s="123"/>
      <c r="D1822" s="143"/>
      <c r="E1822" s="123"/>
      <c r="F1822" s="143"/>
      <c r="G1822" s="129"/>
      <c r="H1822" s="124"/>
      <c r="I1822" s="124"/>
      <c r="J1822" s="129"/>
      <c r="K1822" s="194"/>
      <c r="L1822" s="194"/>
      <c r="M1822" s="129"/>
      <c r="N1822" s="129" t="e">
        <f>Table1[[#This Row],[Estimated Effort (Hours)]]/NETWORKDAYS(Table1[[#This Row],[Planned Start Date]],Table1[[#This Row],[Planned End Date]])</f>
        <v>#DIV/0!</v>
      </c>
      <c r="O1822" s="178">
        <f>NETWORKDAYS(Table1[[#This Row],[Planned Start Date]],Table1[[#This Row],[Planned End Date]])</f>
        <v>0</v>
      </c>
      <c r="P1822" s="178">
        <f>NETWORKDAYS(Table1[[#This Row],[Planned Start Date]],$P$7)</f>
        <v>30643</v>
      </c>
      <c r="Q1822" s="129"/>
      <c r="R1822" s="183" t="str">
        <f>IF(Table1[[#This Row],[Actual Effort (Hours)]]="","",IF(Table1[[#This Row],[Estimated Effort (Hours)]]&lt;20,"L1",IF(Table1[[#This Row],[Estimated Effort (Hours)]]&lt;50,"L2",IF(Table1[[#This Row],[Estimated Effort (Hours)]]&lt;150,"L3",IF(Table1[[#This Row],[Estimated Effort (Hours)]]&lt;300,"L4","L5")))))</f>
        <v/>
      </c>
      <c r="S1822" s="184" t="str">
        <f>IF(Table1[[#This Row],[Actual End Date]]="","",TEXT(Table1[[#This Row],[Actual End Date]],"mmm-yy"))</f>
        <v/>
      </c>
      <c r="T18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2" s="185" t="str">
        <f>IFERROR((Table1[[#This Row],[Actual Effort (Hours)]]-Table1[[#This Row],[Estimated Effort (Hours)]])/Table1[[#This Row],[Estimated Effort (Hours)]],"")</f>
        <v/>
      </c>
    </row>
    <row r="1823" spans="2:21">
      <c r="B1823" s="125"/>
      <c r="C1823" s="123"/>
      <c r="D1823" s="143"/>
      <c r="E1823" s="123"/>
      <c r="F1823" s="143"/>
      <c r="G1823" s="129"/>
      <c r="H1823" s="124"/>
      <c r="I1823" s="124"/>
      <c r="J1823" s="129"/>
      <c r="K1823" s="194"/>
      <c r="L1823" s="194"/>
      <c r="M1823" s="129"/>
      <c r="N1823" s="129" t="e">
        <f>Table1[[#This Row],[Estimated Effort (Hours)]]/NETWORKDAYS(Table1[[#This Row],[Planned Start Date]],Table1[[#This Row],[Planned End Date]])</f>
        <v>#DIV/0!</v>
      </c>
      <c r="O1823" s="178">
        <f>NETWORKDAYS(Table1[[#This Row],[Planned Start Date]],Table1[[#This Row],[Planned End Date]])</f>
        <v>0</v>
      </c>
      <c r="P1823" s="178">
        <f>NETWORKDAYS(Table1[[#This Row],[Planned Start Date]],$P$7)</f>
        <v>30643</v>
      </c>
      <c r="Q1823" s="129"/>
      <c r="R1823" s="183" t="str">
        <f>IF(Table1[[#This Row],[Actual Effort (Hours)]]="","",IF(Table1[[#This Row],[Estimated Effort (Hours)]]&lt;20,"L1",IF(Table1[[#This Row],[Estimated Effort (Hours)]]&lt;50,"L2",IF(Table1[[#This Row],[Estimated Effort (Hours)]]&lt;150,"L3",IF(Table1[[#This Row],[Estimated Effort (Hours)]]&lt;300,"L4","L5")))))</f>
        <v/>
      </c>
      <c r="S1823" s="184" t="str">
        <f>IF(Table1[[#This Row],[Actual End Date]]="","",TEXT(Table1[[#This Row],[Actual End Date]],"mmm-yy"))</f>
        <v/>
      </c>
      <c r="T18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3" s="185" t="str">
        <f>IFERROR((Table1[[#This Row],[Actual Effort (Hours)]]-Table1[[#This Row],[Estimated Effort (Hours)]])/Table1[[#This Row],[Estimated Effort (Hours)]],"")</f>
        <v/>
      </c>
    </row>
    <row r="1824" spans="2:21">
      <c r="B1824" s="125"/>
      <c r="C1824" s="123"/>
      <c r="D1824" s="143"/>
      <c r="E1824" s="123"/>
      <c r="F1824" s="143"/>
      <c r="G1824" s="129"/>
      <c r="H1824" s="124"/>
      <c r="I1824" s="124"/>
      <c r="J1824" s="129"/>
      <c r="K1824" s="194"/>
      <c r="L1824" s="194"/>
      <c r="M1824" s="129"/>
      <c r="N1824" s="129" t="e">
        <f>Table1[[#This Row],[Estimated Effort (Hours)]]/NETWORKDAYS(Table1[[#This Row],[Planned Start Date]],Table1[[#This Row],[Planned End Date]])</f>
        <v>#DIV/0!</v>
      </c>
      <c r="O1824" s="178">
        <f>NETWORKDAYS(Table1[[#This Row],[Planned Start Date]],Table1[[#This Row],[Planned End Date]])</f>
        <v>0</v>
      </c>
      <c r="P1824" s="178">
        <f>NETWORKDAYS(Table1[[#This Row],[Planned Start Date]],$P$7)</f>
        <v>30643</v>
      </c>
      <c r="Q1824" s="129"/>
      <c r="R1824" s="183" t="str">
        <f>IF(Table1[[#This Row],[Actual Effort (Hours)]]="","",IF(Table1[[#This Row],[Estimated Effort (Hours)]]&lt;20,"L1",IF(Table1[[#This Row],[Estimated Effort (Hours)]]&lt;50,"L2",IF(Table1[[#This Row],[Estimated Effort (Hours)]]&lt;150,"L3",IF(Table1[[#This Row],[Estimated Effort (Hours)]]&lt;300,"L4","L5")))))</f>
        <v/>
      </c>
      <c r="S1824" s="184" t="str">
        <f>IF(Table1[[#This Row],[Actual End Date]]="","",TEXT(Table1[[#This Row],[Actual End Date]],"mmm-yy"))</f>
        <v/>
      </c>
      <c r="T18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4" s="185" t="str">
        <f>IFERROR((Table1[[#This Row],[Actual Effort (Hours)]]-Table1[[#This Row],[Estimated Effort (Hours)]])/Table1[[#This Row],[Estimated Effort (Hours)]],"")</f>
        <v/>
      </c>
    </row>
    <row r="1825" spans="2:21">
      <c r="B1825" s="125"/>
      <c r="C1825" s="123"/>
      <c r="D1825" s="143"/>
      <c r="E1825" s="123"/>
      <c r="F1825" s="143"/>
      <c r="G1825" s="129"/>
      <c r="H1825" s="124"/>
      <c r="I1825" s="124"/>
      <c r="J1825" s="129"/>
      <c r="K1825" s="194"/>
      <c r="L1825" s="194"/>
      <c r="M1825" s="129"/>
      <c r="N1825" s="129" t="e">
        <f>Table1[[#This Row],[Estimated Effort (Hours)]]/NETWORKDAYS(Table1[[#This Row],[Planned Start Date]],Table1[[#This Row],[Planned End Date]])</f>
        <v>#DIV/0!</v>
      </c>
      <c r="O1825" s="178">
        <f>NETWORKDAYS(Table1[[#This Row],[Planned Start Date]],Table1[[#This Row],[Planned End Date]])</f>
        <v>0</v>
      </c>
      <c r="P1825" s="178">
        <f>NETWORKDAYS(Table1[[#This Row],[Planned Start Date]],$P$7)</f>
        <v>30643</v>
      </c>
      <c r="Q1825" s="129"/>
      <c r="R1825" s="183" t="str">
        <f>IF(Table1[[#This Row],[Actual Effort (Hours)]]="","",IF(Table1[[#This Row],[Estimated Effort (Hours)]]&lt;20,"L1",IF(Table1[[#This Row],[Estimated Effort (Hours)]]&lt;50,"L2",IF(Table1[[#This Row],[Estimated Effort (Hours)]]&lt;150,"L3",IF(Table1[[#This Row],[Estimated Effort (Hours)]]&lt;300,"L4","L5")))))</f>
        <v/>
      </c>
      <c r="S1825" s="184" t="str">
        <f>IF(Table1[[#This Row],[Actual End Date]]="","",TEXT(Table1[[#This Row],[Actual End Date]],"mmm-yy"))</f>
        <v/>
      </c>
      <c r="T18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5" s="185" t="str">
        <f>IFERROR((Table1[[#This Row],[Actual Effort (Hours)]]-Table1[[#This Row],[Estimated Effort (Hours)]])/Table1[[#This Row],[Estimated Effort (Hours)]],"")</f>
        <v/>
      </c>
    </row>
    <row r="1826" spans="2:21">
      <c r="B1826" s="125"/>
      <c r="C1826" s="123"/>
      <c r="D1826" s="143"/>
      <c r="E1826" s="123"/>
      <c r="F1826" s="143"/>
      <c r="G1826" s="129"/>
      <c r="H1826" s="124"/>
      <c r="I1826" s="124"/>
      <c r="J1826" s="129"/>
      <c r="K1826" s="194"/>
      <c r="L1826" s="194"/>
      <c r="M1826" s="129"/>
      <c r="N1826" s="129" t="e">
        <f>Table1[[#This Row],[Estimated Effort (Hours)]]/NETWORKDAYS(Table1[[#This Row],[Planned Start Date]],Table1[[#This Row],[Planned End Date]])</f>
        <v>#DIV/0!</v>
      </c>
      <c r="O1826" s="178">
        <f>NETWORKDAYS(Table1[[#This Row],[Planned Start Date]],Table1[[#This Row],[Planned End Date]])</f>
        <v>0</v>
      </c>
      <c r="P1826" s="178">
        <f>NETWORKDAYS(Table1[[#This Row],[Planned Start Date]],$P$7)</f>
        <v>30643</v>
      </c>
      <c r="Q1826" s="129"/>
      <c r="R1826" s="183" t="str">
        <f>IF(Table1[[#This Row],[Actual Effort (Hours)]]="","",IF(Table1[[#This Row],[Estimated Effort (Hours)]]&lt;20,"L1",IF(Table1[[#This Row],[Estimated Effort (Hours)]]&lt;50,"L2",IF(Table1[[#This Row],[Estimated Effort (Hours)]]&lt;150,"L3",IF(Table1[[#This Row],[Estimated Effort (Hours)]]&lt;300,"L4","L5")))))</f>
        <v/>
      </c>
      <c r="S1826" s="184" t="str">
        <f>IF(Table1[[#This Row],[Actual End Date]]="","",TEXT(Table1[[#This Row],[Actual End Date]],"mmm-yy"))</f>
        <v/>
      </c>
      <c r="T18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6" s="185" t="str">
        <f>IFERROR((Table1[[#This Row],[Actual Effort (Hours)]]-Table1[[#This Row],[Estimated Effort (Hours)]])/Table1[[#This Row],[Estimated Effort (Hours)]],"")</f>
        <v/>
      </c>
    </row>
    <row r="1827" spans="2:21">
      <c r="B1827" s="125"/>
      <c r="C1827" s="123"/>
      <c r="D1827" s="143"/>
      <c r="E1827" s="123"/>
      <c r="F1827" s="143"/>
      <c r="G1827" s="129"/>
      <c r="H1827" s="124"/>
      <c r="I1827" s="124"/>
      <c r="J1827" s="129"/>
      <c r="K1827" s="194"/>
      <c r="L1827" s="194"/>
      <c r="M1827" s="129"/>
      <c r="N1827" s="129" t="e">
        <f>Table1[[#This Row],[Estimated Effort (Hours)]]/NETWORKDAYS(Table1[[#This Row],[Planned Start Date]],Table1[[#This Row],[Planned End Date]])</f>
        <v>#DIV/0!</v>
      </c>
      <c r="O1827" s="178">
        <f>NETWORKDAYS(Table1[[#This Row],[Planned Start Date]],Table1[[#This Row],[Planned End Date]])</f>
        <v>0</v>
      </c>
      <c r="P1827" s="178">
        <f>NETWORKDAYS(Table1[[#This Row],[Planned Start Date]],$P$7)</f>
        <v>30643</v>
      </c>
      <c r="Q1827" s="129"/>
      <c r="R1827" s="183" t="str">
        <f>IF(Table1[[#This Row],[Actual Effort (Hours)]]="","",IF(Table1[[#This Row],[Estimated Effort (Hours)]]&lt;20,"L1",IF(Table1[[#This Row],[Estimated Effort (Hours)]]&lt;50,"L2",IF(Table1[[#This Row],[Estimated Effort (Hours)]]&lt;150,"L3",IF(Table1[[#This Row],[Estimated Effort (Hours)]]&lt;300,"L4","L5")))))</f>
        <v/>
      </c>
      <c r="S1827" s="184" t="str">
        <f>IF(Table1[[#This Row],[Actual End Date]]="","",TEXT(Table1[[#This Row],[Actual End Date]],"mmm-yy"))</f>
        <v/>
      </c>
      <c r="T18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7" s="185" t="str">
        <f>IFERROR((Table1[[#This Row],[Actual Effort (Hours)]]-Table1[[#This Row],[Estimated Effort (Hours)]])/Table1[[#This Row],[Estimated Effort (Hours)]],"")</f>
        <v/>
      </c>
    </row>
    <row r="1828" spans="2:21">
      <c r="B1828" s="125"/>
      <c r="C1828" s="123"/>
      <c r="D1828" s="143"/>
      <c r="E1828" s="123"/>
      <c r="F1828" s="143"/>
      <c r="G1828" s="129"/>
      <c r="H1828" s="124"/>
      <c r="I1828" s="124"/>
      <c r="J1828" s="129"/>
      <c r="K1828" s="194"/>
      <c r="L1828" s="194"/>
      <c r="M1828" s="129"/>
      <c r="N1828" s="129" t="e">
        <f>Table1[[#This Row],[Estimated Effort (Hours)]]/NETWORKDAYS(Table1[[#This Row],[Planned Start Date]],Table1[[#This Row],[Planned End Date]])</f>
        <v>#DIV/0!</v>
      </c>
      <c r="O1828" s="178">
        <f>NETWORKDAYS(Table1[[#This Row],[Planned Start Date]],Table1[[#This Row],[Planned End Date]])</f>
        <v>0</v>
      </c>
      <c r="P1828" s="178">
        <f>NETWORKDAYS(Table1[[#This Row],[Planned Start Date]],$P$7)</f>
        <v>30643</v>
      </c>
      <c r="Q1828" s="129"/>
      <c r="R1828" s="183" t="str">
        <f>IF(Table1[[#This Row],[Actual Effort (Hours)]]="","",IF(Table1[[#This Row],[Estimated Effort (Hours)]]&lt;20,"L1",IF(Table1[[#This Row],[Estimated Effort (Hours)]]&lt;50,"L2",IF(Table1[[#This Row],[Estimated Effort (Hours)]]&lt;150,"L3",IF(Table1[[#This Row],[Estimated Effort (Hours)]]&lt;300,"L4","L5")))))</f>
        <v/>
      </c>
      <c r="S1828" s="184" t="str">
        <f>IF(Table1[[#This Row],[Actual End Date]]="","",TEXT(Table1[[#This Row],[Actual End Date]],"mmm-yy"))</f>
        <v/>
      </c>
      <c r="T18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8" s="185" t="str">
        <f>IFERROR((Table1[[#This Row],[Actual Effort (Hours)]]-Table1[[#This Row],[Estimated Effort (Hours)]])/Table1[[#This Row],[Estimated Effort (Hours)]],"")</f>
        <v/>
      </c>
    </row>
    <row r="1829" spans="2:21">
      <c r="B1829" s="125"/>
      <c r="C1829" s="123"/>
      <c r="D1829" s="143"/>
      <c r="E1829" s="123"/>
      <c r="F1829" s="143"/>
      <c r="G1829" s="129"/>
      <c r="H1829" s="124"/>
      <c r="I1829" s="124"/>
      <c r="J1829" s="129"/>
      <c r="K1829" s="194"/>
      <c r="L1829" s="194"/>
      <c r="M1829" s="129"/>
      <c r="N1829" s="129" t="e">
        <f>Table1[[#This Row],[Estimated Effort (Hours)]]/NETWORKDAYS(Table1[[#This Row],[Planned Start Date]],Table1[[#This Row],[Planned End Date]])</f>
        <v>#DIV/0!</v>
      </c>
      <c r="O1829" s="178">
        <f>NETWORKDAYS(Table1[[#This Row],[Planned Start Date]],Table1[[#This Row],[Planned End Date]])</f>
        <v>0</v>
      </c>
      <c r="P1829" s="178">
        <f>NETWORKDAYS(Table1[[#This Row],[Planned Start Date]],$P$7)</f>
        <v>30643</v>
      </c>
      <c r="Q1829" s="129"/>
      <c r="R1829" s="183" t="str">
        <f>IF(Table1[[#This Row],[Actual Effort (Hours)]]="","",IF(Table1[[#This Row],[Estimated Effort (Hours)]]&lt;20,"L1",IF(Table1[[#This Row],[Estimated Effort (Hours)]]&lt;50,"L2",IF(Table1[[#This Row],[Estimated Effort (Hours)]]&lt;150,"L3",IF(Table1[[#This Row],[Estimated Effort (Hours)]]&lt;300,"L4","L5")))))</f>
        <v/>
      </c>
      <c r="S1829" s="184" t="str">
        <f>IF(Table1[[#This Row],[Actual End Date]]="","",TEXT(Table1[[#This Row],[Actual End Date]],"mmm-yy"))</f>
        <v/>
      </c>
      <c r="T182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29" s="185" t="str">
        <f>IFERROR((Table1[[#This Row],[Actual Effort (Hours)]]-Table1[[#This Row],[Estimated Effort (Hours)]])/Table1[[#This Row],[Estimated Effort (Hours)]],"")</f>
        <v/>
      </c>
    </row>
    <row r="1830" spans="2:21">
      <c r="B1830" s="125"/>
      <c r="C1830" s="123"/>
      <c r="D1830" s="143"/>
      <c r="E1830" s="123"/>
      <c r="F1830" s="143"/>
      <c r="G1830" s="129"/>
      <c r="H1830" s="124"/>
      <c r="I1830" s="124"/>
      <c r="J1830" s="129"/>
      <c r="K1830" s="194"/>
      <c r="L1830" s="194"/>
      <c r="M1830" s="129"/>
      <c r="N1830" s="129" t="e">
        <f>Table1[[#This Row],[Estimated Effort (Hours)]]/NETWORKDAYS(Table1[[#This Row],[Planned Start Date]],Table1[[#This Row],[Planned End Date]])</f>
        <v>#DIV/0!</v>
      </c>
      <c r="O1830" s="178">
        <f>NETWORKDAYS(Table1[[#This Row],[Planned Start Date]],Table1[[#This Row],[Planned End Date]])</f>
        <v>0</v>
      </c>
      <c r="P1830" s="178">
        <f>NETWORKDAYS(Table1[[#This Row],[Planned Start Date]],$P$7)</f>
        <v>30643</v>
      </c>
      <c r="Q1830" s="129"/>
      <c r="R1830" s="183" t="str">
        <f>IF(Table1[[#This Row],[Actual Effort (Hours)]]="","",IF(Table1[[#This Row],[Estimated Effort (Hours)]]&lt;20,"L1",IF(Table1[[#This Row],[Estimated Effort (Hours)]]&lt;50,"L2",IF(Table1[[#This Row],[Estimated Effort (Hours)]]&lt;150,"L3",IF(Table1[[#This Row],[Estimated Effort (Hours)]]&lt;300,"L4","L5")))))</f>
        <v/>
      </c>
      <c r="S1830" s="184" t="str">
        <f>IF(Table1[[#This Row],[Actual End Date]]="","",TEXT(Table1[[#This Row],[Actual End Date]],"mmm-yy"))</f>
        <v/>
      </c>
      <c r="T183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0" s="185" t="str">
        <f>IFERROR((Table1[[#This Row],[Actual Effort (Hours)]]-Table1[[#This Row],[Estimated Effort (Hours)]])/Table1[[#This Row],[Estimated Effort (Hours)]],"")</f>
        <v/>
      </c>
    </row>
    <row r="1831" spans="2:21">
      <c r="B1831" s="125"/>
      <c r="C1831" s="123"/>
      <c r="D1831" s="143"/>
      <c r="E1831" s="123"/>
      <c r="F1831" s="143"/>
      <c r="G1831" s="129"/>
      <c r="H1831" s="124"/>
      <c r="I1831" s="124"/>
      <c r="J1831" s="129"/>
      <c r="K1831" s="194"/>
      <c r="L1831" s="194"/>
      <c r="M1831" s="129"/>
      <c r="N1831" s="129" t="e">
        <f>Table1[[#This Row],[Estimated Effort (Hours)]]/NETWORKDAYS(Table1[[#This Row],[Planned Start Date]],Table1[[#This Row],[Planned End Date]])</f>
        <v>#DIV/0!</v>
      </c>
      <c r="O1831" s="178">
        <f>NETWORKDAYS(Table1[[#This Row],[Planned Start Date]],Table1[[#This Row],[Planned End Date]])</f>
        <v>0</v>
      </c>
      <c r="P1831" s="178">
        <f>NETWORKDAYS(Table1[[#This Row],[Planned Start Date]],$P$7)</f>
        <v>30643</v>
      </c>
      <c r="Q1831" s="129"/>
      <c r="R1831" s="183" t="str">
        <f>IF(Table1[[#This Row],[Actual Effort (Hours)]]="","",IF(Table1[[#This Row],[Estimated Effort (Hours)]]&lt;20,"L1",IF(Table1[[#This Row],[Estimated Effort (Hours)]]&lt;50,"L2",IF(Table1[[#This Row],[Estimated Effort (Hours)]]&lt;150,"L3",IF(Table1[[#This Row],[Estimated Effort (Hours)]]&lt;300,"L4","L5")))))</f>
        <v/>
      </c>
      <c r="S1831" s="184" t="str">
        <f>IF(Table1[[#This Row],[Actual End Date]]="","",TEXT(Table1[[#This Row],[Actual End Date]],"mmm-yy"))</f>
        <v/>
      </c>
      <c r="T183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1" s="185" t="str">
        <f>IFERROR((Table1[[#This Row],[Actual Effort (Hours)]]-Table1[[#This Row],[Estimated Effort (Hours)]])/Table1[[#This Row],[Estimated Effort (Hours)]],"")</f>
        <v/>
      </c>
    </row>
    <row r="1832" spans="2:21">
      <c r="B1832" s="125"/>
      <c r="C1832" s="123"/>
      <c r="D1832" s="143"/>
      <c r="E1832" s="123"/>
      <c r="F1832" s="143"/>
      <c r="G1832" s="129"/>
      <c r="H1832" s="124"/>
      <c r="I1832" s="124"/>
      <c r="J1832" s="129"/>
      <c r="K1832" s="194"/>
      <c r="L1832" s="194"/>
      <c r="M1832" s="129"/>
      <c r="N1832" s="129" t="e">
        <f>Table1[[#This Row],[Estimated Effort (Hours)]]/NETWORKDAYS(Table1[[#This Row],[Planned Start Date]],Table1[[#This Row],[Planned End Date]])</f>
        <v>#DIV/0!</v>
      </c>
      <c r="O1832" s="178">
        <f>NETWORKDAYS(Table1[[#This Row],[Planned Start Date]],Table1[[#This Row],[Planned End Date]])</f>
        <v>0</v>
      </c>
      <c r="P1832" s="178">
        <f>NETWORKDAYS(Table1[[#This Row],[Planned Start Date]],$P$7)</f>
        <v>30643</v>
      </c>
      <c r="Q1832" s="129"/>
      <c r="R1832" s="183" t="str">
        <f>IF(Table1[[#This Row],[Actual Effort (Hours)]]="","",IF(Table1[[#This Row],[Estimated Effort (Hours)]]&lt;20,"L1",IF(Table1[[#This Row],[Estimated Effort (Hours)]]&lt;50,"L2",IF(Table1[[#This Row],[Estimated Effort (Hours)]]&lt;150,"L3",IF(Table1[[#This Row],[Estimated Effort (Hours)]]&lt;300,"L4","L5")))))</f>
        <v/>
      </c>
      <c r="S1832" s="184" t="str">
        <f>IF(Table1[[#This Row],[Actual End Date]]="","",TEXT(Table1[[#This Row],[Actual End Date]],"mmm-yy"))</f>
        <v/>
      </c>
      <c r="T183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2" s="185" t="str">
        <f>IFERROR((Table1[[#This Row],[Actual Effort (Hours)]]-Table1[[#This Row],[Estimated Effort (Hours)]])/Table1[[#This Row],[Estimated Effort (Hours)]],"")</f>
        <v/>
      </c>
    </row>
    <row r="1833" spans="2:21">
      <c r="B1833" s="125"/>
      <c r="C1833" s="123"/>
      <c r="D1833" s="143"/>
      <c r="E1833" s="123"/>
      <c r="F1833" s="143"/>
      <c r="G1833" s="129"/>
      <c r="H1833" s="124"/>
      <c r="I1833" s="124"/>
      <c r="J1833" s="129"/>
      <c r="K1833" s="194"/>
      <c r="L1833" s="194"/>
      <c r="M1833" s="129"/>
      <c r="N1833" s="129" t="e">
        <f>Table1[[#This Row],[Estimated Effort (Hours)]]/NETWORKDAYS(Table1[[#This Row],[Planned Start Date]],Table1[[#This Row],[Planned End Date]])</f>
        <v>#DIV/0!</v>
      </c>
      <c r="O1833" s="178">
        <f>NETWORKDAYS(Table1[[#This Row],[Planned Start Date]],Table1[[#This Row],[Planned End Date]])</f>
        <v>0</v>
      </c>
      <c r="P1833" s="178">
        <f>NETWORKDAYS(Table1[[#This Row],[Planned Start Date]],$P$7)</f>
        <v>30643</v>
      </c>
      <c r="Q1833" s="129"/>
      <c r="R1833" s="183" t="str">
        <f>IF(Table1[[#This Row],[Actual Effort (Hours)]]="","",IF(Table1[[#This Row],[Estimated Effort (Hours)]]&lt;20,"L1",IF(Table1[[#This Row],[Estimated Effort (Hours)]]&lt;50,"L2",IF(Table1[[#This Row],[Estimated Effort (Hours)]]&lt;150,"L3",IF(Table1[[#This Row],[Estimated Effort (Hours)]]&lt;300,"L4","L5")))))</f>
        <v/>
      </c>
      <c r="S1833" s="184" t="str">
        <f>IF(Table1[[#This Row],[Actual End Date]]="","",TEXT(Table1[[#This Row],[Actual End Date]],"mmm-yy"))</f>
        <v/>
      </c>
      <c r="T183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3" s="185" t="str">
        <f>IFERROR((Table1[[#This Row],[Actual Effort (Hours)]]-Table1[[#This Row],[Estimated Effort (Hours)]])/Table1[[#This Row],[Estimated Effort (Hours)]],"")</f>
        <v/>
      </c>
    </row>
    <row r="1834" spans="2:21">
      <c r="B1834" s="125"/>
      <c r="C1834" s="123"/>
      <c r="D1834" s="143"/>
      <c r="E1834" s="123"/>
      <c r="F1834" s="143"/>
      <c r="G1834" s="129"/>
      <c r="H1834" s="124"/>
      <c r="I1834" s="124"/>
      <c r="J1834" s="129"/>
      <c r="K1834" s="194"/>
      <c r="L1834" s="194"/>
      <c r="M1834" s="129"/>
      <c r="N1834" s="129" t="e">
        <f>Table1[[#This Row],[Estimated Effort (Hours)]]/NETWORKDAYS(Table1[[#This Row],[Planned Start Date]],Table1[[#This Row],[Planned End Date]])</f>
        <v>#DIV/0!</v>
      </c>
      <c r="O1834" s="178">
        <f>NETWORKDAYS(Table1[[#This Row],[Planned Start Date]],Table1[[#This Row],[Planned End Date]])</f>
        <v>0</v>
      </c>
      <c r="P1834" s="178">
        <f>NETWORKDAYS(Table1[[#This Row],[Planned Start Date]],$P$7)</f>
        <v>30643</v>
      </c>
      <c r="Q1834" s="129"/>
      <c r="R1834" s="183" t="str">
        <f>IF(Table1[[#This Row],[Actual Effort (Hours)]]="","",IF(Table1[[#This Row],[Estimated Effort (Hours)]]&lt;20,"L1",IF(Table1[[#This Row],[Estimated Effort (Hours)]]&lt;50,"L2",IF(Table1[[#This Row],[Estimated Effort (Hours)]]&lt;150,"L3",IF(Table1[[#This Row],[Estimated Effort (Hours)]]&lt;300,"L4","L5")))))</f>
        <v/>
      </c>
      <c r="S1834" s="184" t="str">
        <f>IF(Table1[[#This Row],[Actual End Date]]="","",TEXT(Table1[[#This Row],[Actual End Date]],"mmm-yy"))</f>
        <v/>
      </c>
      <c r="T183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4" s="185" t="str">
        <f>IFERROR((Table1[[#This Row],[Actual Effort (Hours)]]-Table1[[#This Row],[Estimated Effort (Hours)]])/Table1[[#This Row],[Estimated Effort (Hours)]],"")</f>
        <v/>
      </c>
    </row>
    <row r="1835" spans="2:21">
      <c r="B1835" s="125"/>
      <c r="C1835" s="123"/>
      <c r="D1835" s="143"/>
      <c r="E1835" s="123"/>
      <c r="F1835" s="143"/>
      <c r="G1835" s="129"/>
      <c r="H1835" s="124"/>
      <c r="I1835" s="124"/>
      <c r="J1835" s="129"/>
      <c r="K1835" s="194"/>
      <c r="L1835" s="194"/>
      <c r="M1835" s="129"/>
      <c r="N1835" s="129" t="e">
        <f>Table1[[#This Row],[Estimated Effort (Hours)]]/NETWORKDAYS(Table1[[#This Row],[Planned Start Date]],Table1[[#This Row],[Planned End Date]])</f>
        <v>#DIV/0!</v>
      </c>
      <c r="O1835" s="178">
        <f>NETWORKDAYS(Table1[[#This Row],[Planned Start Date]],Table1[[#This Row],[Planned End Date]])</f>
        <v>0</v>
      </c>
      <c r="P1835" s="178">
        <f>NETWORKDAYS(Table1[[#This Row],[Planned Start Date]],$P$7)</f>
        <v>30643</v>
      </c>
      <c r="Q1835" s="129"/>
      <c r="R1835" s="183" t="str">
        <f>IF(Table1[[#This Row],[Actual Effort (Hours)]]="","",IF(Table1[[#This Row],[Estimated Effort (Hours)]]&lt;20,"L1",IF(Table1[[#This Row],[Estimated Effort (Hours)]]&lt;50,"L2",IF(Table1[[#This Row],[Estimated Effort (Hours)]]&lt;150,"L3",IF(Table1[[#This Row],[Estimated Effort (Hours)]]&lt;300,"L4","L5")))))</f>
        <v/>
      </c>
      <c r="S1835" s="184" t="str">
        <f>IF(Table1[[#This Row],[Actual End Date]]="","",TEXT(Table1[[#This Row],[Actual End Date]],"mmm-yy"))</f>
        <v/>
      </c>
      <c r="T183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5" s="185" t="str">
        <f>IFERROR((Table1[[#This Row],[Actual Effort (Hours)]]-Table1[[#This Row],[Estimated Effort (Hours)]])/Table1[[#This Row],[Estimated Effort (Hours)]],"")</f>
        <v/>
      </c>
    </row>
    <row r="1836" spans="2:21">
      <c r="B1836" s="125"/>
      <c r="C1836" s="123"/>
      <c r="D1836" s="143"/>
      <c r="E1836" s="123"/>
      <c r="F1836" s="143"/>
      <c r="G1836" s="129"/>
      <c r="H1836" s="124"/>
      <c r="I1836" s="124"/>
      <c r="J1836" s="129"/>
      <c r="K1836" s="194"/>
      <c r="L1836" s="194"/>
      <c r="M1836" s="129"/>
      <c r="N1836" s="129" t="e">
        <f>Table1[[#This Row],[Estimated Effort (Hours)]]/NETWORKDAYS(Table1[[#This Row],[Planned Start Date]],Table1[[#This Row],[Planned End Date]])</f>
        <v>#DIV/0!</v>
      </c>
      <c r="O1836" s="178">
        <f>NETWORKDAYS(Table1[[#This Row],[Planned Start Date]],Table1[[#This Row],[Planned End Date]])</f>
        <v>0</v>
      </c>
      <c r="P1836" s="178">
        <f>NETWORKDAYS(Table1[[#This Row],[Planned Start Date]],$P$7)</f>
        <v>30643</v>
      </c>
      <c r="Q1836" s="129"/>
      <c r="R1836" s="183" t="str">
        <f>IF(Table1[[#This Row],[Actual Effort (Hours)]]="","",IF(Table1[[#This Row],[Estimated Effort (Hours)]]&lt;20,"L1",IF(Table1[[#This Row],[Estimated Effort (Hours)]]&lt;50,"L2",IF(Table1[[#This Row],[Estimated Effort (Hours)]]&lt;150,"L3",IF(Table1[[#This Row],[Estimated Effort (Hours)]]&lt;300,"L4","L5")))))</f>
        <v/>
      </c>
      <c r="S1836" s="184" t="str">
        <f>IF(Table1[[#This Row],[Actual End Date]]="","",TEXT(Table1[[#This Row],[Actual End Date]],"mmm-yy"))</f>
        <v/>
      </c>
      <c r="T183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6" s="185" t="str">
        <f>IFERROR((Table1[[#This Row],[Actual Effort (Hours)]]-Table1[[#This Row],[Estimated Effort (Hours)]])/Table1[[#This Row],[Estimated Effort (Hours)]],"")</f>
        <v/>
      </c>
    </row>
    <row r="1837" spans="2:21">
      <c r="B1837" s="125"/>
      <c r="C1837" s="123"/>
      <c r="D1837" s="143"/>
      <c r="E1837" s="123"/>
      <c r="F1837" s="143"/>
      <c r="G1837" s="129"/>
      <c r="H1837" s="124"/>
      <c r="I1837" s="124"/>
      <c r="J1837" s="129"/>
      <c r="K1837" s="194"/>
      <c r="L1837" s="194"/>
      <c r="M1837" s="129"/>
      <c r="N1837" s="129" t="e">
        <f>Table1[[#This Row],[Estimated Effort (Hours)]]/NETWORKDAYS(Table1[[#This Row],[Planned Start Date]],Table1[[#This Row],[Planned End Date]])</f>
        <v>#DIV/0!</v>
      </c>
      <c r="O1837" s="178">
        <f>NETWORKDAYS(Table1[[#This Row],[Planned Start Date]],Table1[[#This Row],[Planned End Date]])</f>
        <v>0</v>
      </c>
      <c r="P1837" s="178">
        <f>NETWORKDAYS(Table1[[#This Row],[Planned Start Date]],$P$7)</f>
        <v>30643</v>
      </c>
      <c r="Q1837" s="129"/>
      <c r="R1837" s="183" t="str">
        <f>IF(Table1[[#This Row],[Actual Effort (Hours)]]="","",IF(Table1[[#This Row],[Estimated Effort (Hours)]]&lt;20,"L1",IF(Table1[[#This Row],[Estimated Effort (Hours)]]&lt;50,"L2",IF(Table1[[#This Row],[Estimated Effort (Hours)]]&lt;150,"L3",IF(Table1[[#This Row],[Estimated Effort (Hours)]]&lt;300,"L4","L5")))))</f>
        <v/>
      </c>
      <c r="S1837" s="184" t="str">
        <f>IF(Table1[[#This Row],[Actual End Date]]="","",TEXT(Table1[[#This Row],[Actual End Date]],"mmm-yy"))</f>
        <v/>
      </c>
      <c r="T183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7" s="185" t="str">
        <f>IFERROR((Table1[[#This Row],[Actual Effort (Hours)]]-Table1[[#This Row],[Estimated Effort (Hours)]])/Table1[[#This Row],[Estimated Effort (Hours)]],"")</f>
        <v/>
      </c>
    </row>
    <row r="1838" spans="2:21">
      <c r="B1838" s="125"/>
      <c r="C1838" s="123"/>
      <c r="D1838" s="143"/>
      <c r="E1838" s="123"/>
      <c r="F1838" s="143"/>
      <c r="G1838" s="129"/>
      <c r="H1838" s="124"/>
      <c r="I1838" s="124"/>
      <c r="J1838" s="129"/>
      <c r="K1838" s="194"/>
      <c r="L1838" s="194"/>
      <c r="M1838" s="129"/>
      <c r="N1838" s="129" t="e">
        <f>Table1[[#This Row],[Estimated Effort (Hours)]]/NETWORKDAYS(Table1[[#This Row],[Planned Start Date]],Table1[[#This Row],[Planned End Date]])</f>
        <v>#DIV/0!</v>
      </c>
      <c r="O1838" s="178">
        <f>NETWORKDAYS(Table1[[#This Row],[Planned Start Date]],Table1[[#This Row],[Planned End Date]])</f>
        <v>0</v>
      </c>
      <c r="P1838" s="178">
        <f>NETWORKDAYS(Table1[[#This Row],[Planned Start Date]],$P$7)</f>
        <v>30643</v>
      </c>
      <c r="Q1838" s="129"/>
      <c r="R1838" s="183" t="str">
        <f>IF(Table1[[#This Row],[Actual Effort (Hours)]]="","",IF(Table1[[#This Row],[Estimated Effort (Hours)]]&lt;20,"L1",IF(Table1[[#This Row],[Estimated Effort (Hours)]]&lt;50,"L2",IF(Table1[[#This Row],[Estimated Effort (Hours)]]&lt;150,"L3",IF(Table1[[#This Row],[Estimated Effort (Hours)]]&lt;300,"L4","L5")))))</f>
        <v/>
      </c>
      <c r="S1838" s="184" t="str">
        <f>IF(Table1[[#This Row],[Actual End Date]]="","",TEXT(Table1[[#This Row],[Actual End Date]],"mmm-yy"))</f>
        <v/>
      </c>
      <c r="T183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8" s="185" t="str">
        <f>IFERROR((Table1[[#This Row],[Actual Effort (Hours)]]-Table1[[#This Row],[Estimated Effort (Hours)]])/Table1[[#This Row],[Estimated Effort (Hours)]],"")</f>
        <v/>
      </c>
    </row>
    <row r="1839" spans="2:21">
      <c r="B1839" s="125"/>
      <c r="C1839" s="123"/>
      <c r="D1839" s="143"/>
      <c r="E1839" s="123"/>
      <c r="F1839" s="143"/>
      <c r="G1839" s="129"/>
      <c r="H1839" s="124"/>
      <c r="I1839" s="124"/>
      <c r="J1839" s="129"/>
      <c r="K1839" s="194"/>
      <c r="L1839" s="194"/>
      <c r="M1839" s="129"/>
      <c r="N1839" s="129" t="e">
        <f>Table1[[#This Row],[Estimated Effort (Hours)]]/NETWORKDAYS(Table1[[#This Row],[Planned Start Date]],Table1[[#This Row],[Planned End Date]])</f>
        <v>#DIV/0!</v>
      </c>
      <c r="O1839" s="178">
        <f>NETWORKDAYS(Table1[[#This Row],[Planned Start Date]],Table1[[#This Row],[Planned End Date]])</f>
        <v>0</v>
      </c>
      <c r="P1839" s="178">
        <f>NETWORKDAYS(Table1[[#This Row],[Planned Start Date]],$P$7)</f>
        <v>30643</v>
      </c>
      <c r="Q1839" s="129"/>
      <c r="R1839" s="183" t="str">
        <f>IF(Table1[[#This Row],[Actual Effort (Hours)]]="","",IF(Table1[[#This Row],[Estimated Effort (Hours)]]&lt;20,"L1",IF(Table1[[#This Row],[Estimated Effort (Hours)]]&lt;50,"L2",IF(Table1[[#This Row],[Estimated Effort (Hours)]]&lt;150,"L3",IF(Table1[[#This Row],[Estimated Effort (Hours)]]&lt;300,"L4","L5")))))</f>
        <v/>
      </c>
      <c r="S1839" s="184" t="str">
        <f>IF(Table1[[#This Row],[Actual End Date]]="","",TEXT(Table1[[#This Row],[Actual End Date]],"mmm-yy"))</f>
        <v/>
      </c>
      <c r="T183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39" s="185" t="str">
        <f>IFERROR((Table1[[#This Row],[Actual Effort (Hours)]]-Table1[[#This Row],[Estimated Effort (Hours)]])/Table1[[#This Row],[Estimated Effort (Hours)]],"")</f>
        <v/>
      </c>
    </row>
    <row r="1840" spans="2:21">
      <c r="B1840" s="125"/>
      <c r="C1840" s="123"/>
      <c r="D1840" s="143"/>
      <c r="E1840" s="123"/>
      <c r="F1840" s="143"/>
      <c r="G1840" s="129"/>
      <c r="H1840" s="124"/>
      <c r="I1840" s="124"/>
      <c r="J1840" s="129"/>
      <c r="K1840" s="194"/>
      <c r="L1840" s="194"/>
      <c r="M1840" s="129"/>
      <c r="N1840" s="129" t="e">
        <f>Table1[[#This Row],[Estimated Effort (Hours)]]/NETWORKDAYS(Table1[[#This Row],[Planned Start Date]],Table1[[#This Row],[Planned End Date]])</f>
        <v>#DIV/0!</v>
      </c>
      <c r="O1840" s="178">
        <f>NETWORKDAYS(Table1[[#This Row],[Planned Start Date]],Table1[[#This Row],[Planned End Date]])</f>
        <v>0</v>
      </c>
      <c r="P1840" s="178">
        <f>NETWORKDAYS(Table1[[#This Row],[Planned Start Date]],$P$7)</f>
        <v>30643</v>
      </c>
      <c r="Q1840" s="129"/>
      <c r="R1840" s="183" t="str">
        <f>IF(Table1[[#This Row],[Actual Effort (Hours)]]="","",IF(Table1[[#This Row],[Estimated Effort (Hours)]]&lt;20,"L1",IF(Table1[[#This Row],[Estimated Effort (Hours)]]&lt;50,"L2",IF(Table1[[#This Row],[Estimated Effort (Hours)]]&lt;150,"L3",IF(Table1[[#This Row],[Estimated Effort (Hours)]]&lt;300,"L4","L5")))))</f>
        <v/>
      </c>
      <c r="S1840" s="184" t="str">
        <f>IF(Table1[[#This Row],[Actual End Date]]="","",TEXT(Table1[[#This Row],[Actual End Date]],"mmm-yy"))</f>
        <v/>
      </c>
      <c r="T184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0" s="185" t="str">
        <f>IFERROR((Table1[[#This Row],[Actual Effort (Hours)]]-Table1[[#This Row],[Estimated Effort (Hours)]])/Table1[[#This Row],[Estimated Effort (Hours)]],"")</f>
        <v/>
      </c>
    </row>
    <row r="1841" spans="2:21">
      <c r="B1841" s="125"/>
      <c r="C1841" s="123"/>
      <c r="D1841" s="143"/>
      <c r="E1841" s="123"/>
      <c r="F1841" s="143"/>
      <c r="G1841" s="129"/>
      <c r="H1841" s="124"/>
      <c r="I1841" s="124"/>
      <c r="J1841" s="129"/>
      <c r="K1841" s="194"/>
      <c r="L1841" s="194"/>
      <c r="M1841" s="129"/>
      <c r="N1841" s="129" t="e">
        <f>Table1[[#This Row],[Estimated Effort (Hours)]]/NETWORKDAYS(Table1[[#This Row],[Planned Start Date]],Table1[[#This Row],[Planned End Date]])</f>
        <v>#DIV/0!</v>
      </c>
      <c r="O1841" s="178">
        <f>NETWORKDAYS(Table1[[#This Row],[Planned Start Date]],Table1[[#This Row],[Planned End Date]])</f>
        <v>0</v>
      </c>
      <c r="P1841" s="178">
        <f>NETWORKDAYS(Table1[[#This Row],[Planned Start Date]],$P$7)</f>
        <v>30643</v>
      </c>
      <c r="Q1841" s="129"/>
      <c r="R1841" s="183" t="str">
        <f>IF(Table1[[#This Row],[Actual Effort (Hours)]]="","",IF(Table1[[#This Row],[Estimated Effort (Hours)]]&lt;20,"L1",IF(Table1[[#This Row],[Estimated Effort (Hours)]]&lt;50,"L2",IF(Table1[[#This Row],[Estimated Effort (Hours)]]&lt;150,"L3",IF(Table1[[#This Row],[Estimated Effort (Hours)]]&lt;300,"L4","L5")))))</f>
        <v/>
      </c>
      <c r="S1841" s="184" t="str">
        <f>IF(Table1[[#This Row],[Actual End Date]]="","",TEXT(Table1[[#This Row],[Actual End Date]],"mmm-yy"))</f>
        <v/>
      </c>
      <c r="T184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1" s="185" t="str">
        <f>IFERROR((Table1[[#This Row],[Actual Effort (Hours)]]-Table1[[#This Row],[Estimated Effort (Hours)]])/Table1[[#This Row],[Estimated Effort (Hours)]],"")</f>
        <v/>
      </c>
    </row>
    <row r="1842" spans="2:21">
      <c r="B1842" s="125"/>
      <c r="C1842" s="123"/>
      <c r="D1842" s="143"/>
      <c r="E1842" s="123"/>
      <c r="F1842" s="143"/>
      <c r="G1842" s="129"/>
      <c r="H1842" s="124"/>
      <c r="I1842" s="124"/>
      <c r="J1842" s="129"/>
      <c r="K1842" s="194"/>
      <c r="L1842" s="194"/>
      <c r="M1842" s="129"/>
      <c r="N1842" s="129" t="e">
        <f>Table1[[#This Row],[Estimated Effort (Hours)]]/NETWORKDAYS(Table1[[#This Row],[Planned Start Date]],Table1[[#This Row],[Planned End Date]])</f>
        <v>#DIV/0!</v>
      </c>
      <c r="O1842" s="178">
        <f>NETWORKDAYS(Table1[[#This Row],[Planned Start Date]],Table1[[#This Row],[Planned End Date]])</f>
        <v>0</v>
      </c>
      <c r="P1842" s="178">
        <f>NETWORKDAYS(Table1[[#This Row],[Planned Start Date]],$P$7)</f>
        <v>30643</v>
      </c>
      <c r="Q1842" s="129"/>
      <c r="R1842" s="183" t="str">
        <f>IF(Table1[[#This Row],[Actual Effort (Hours)]]="","",IF(Table1[[#This Row],[Estimated Effort (Hours)]]&lt;20,"L1",IF(Table1[[#This Row],[Estimated Effort (Hours)]]&lt;50,"L2",IF(Table1[[#This Row],[Estimated Effort (Hours)]]&lt;150,"L3",IF(Table1[[#This Row],[Estimated Effort (Hours)]]&lt;300,"L4","L5")))))</f>
        <v/>
      </c>
      <c r="S1842" s="184" t="str">
        <f>IF(Table1[[#This Row],[Actual End Date]]="","",TEXT(Table1[[#This Row],[Actual End Date]],"mmm-yy"))</f>
        <v/>
      </c>
      <c r="T184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2" s="185" t="str">
        <f>IFERROR((Table1[[#This Row],[Actual Effort (Hours)]]-Table1[[#This Row],[Estimated Effort (Hours)]])/Table1[[#This Row],[Estimated Effort (Hours)]],"")</f>
        <v/>
      </c>
    </row>
    <row r="1843" spans="2:21">
      <c r="B1843" s="125"/>
      <c r="C1843" s="123"/>
      <c r="D1843" s="143"/>
      <c r="E1843" s="123"/>
      <c r="F1843" s="143"/>
      <c r="G1843" s="129"/>
      <c r="H1843" s="124"/>
      <c r="I1843" s="124"/>
      <c r="J1843" s="129"/>
      <c r="K1843" s="194"/>
      <c r="L1843" s="194"/>
      <c r="M1843" s="129"/>
      <c r="N1843" s="129" t="e">
        <f>Table1[[#This Row],[Estimated Effort (Hours)]]/NETWORKDAYS(Table1[[#This Row],[Planned Start Date]],Table1[[#This Row],[Planned End Date]])</f>
        <v>#DIV/0!</v>
      </c>
      <c r="O1843" s="178">
        <f>NETWORKDAYS(Table1[[#This Row],[Planned Start Date]],Table1[[#This Row],[Planned End Date]])</f>
        <v>0</v>
      </c>
      <c r="P1843" s="178">
        <f>NETWORKDAYS(Table1[[#This Row],[Planned Start Date]],$P$7)</f>
        <v>30643</v>
      </c>
      <c r="Q1843" s="129"/>
      <c r="R1843" s="183" t="str">
        <f>IF(Table1[[#This Row],[Actual Effort (Hours)]]="","",IF(Table1[[#This Row],[Estimated Effort (Hours)]]&lt;20,"L1",IF(Table1[[#This Row],[Estimated Effort (Hours)]]&lt;50,"L2",IF(Table1[[#This Row],[Estimated Effort (Hours)]]&lt;150,"L3",IF(Table1[[#This Row],[Estimated Effort (Hours)]]&lt;300,"L4","L5")))))</f>
        <v/>
      </c>
      <c r="S1843" s="184" t="str">
        <f>IF(Table1[[#This Row],[Actual End Date]]="","",TEXT(Table1[[#This Row],[Actual End Date]],"mmm-yy"))</f>
        <v/>
      </c>
      <c r="T184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3" s="185" t="str">
        <f>IFERROR((Table1[[#This Row],[Actual Effort (Hours)]]-Table1[[#This Row],[Estimated Effort (Hours)]])/Table1[[#This Row],[Estimated Effort (Hours)]],"")</f>
        <v/>
      </c>
    </row>
    <row r="1844" spans="2:21">
      <c r="B1844" s="125"/>
      <c r="C1844" s="123"/>
      <c r="D1844" s="143"/>
      <c r="E1844" s="123"/>
      <c r="F1844" s="143"/>
      <c r="G1844" s="129"/>
      <c r="H1844" s="124"/>
      <c r="I1844" s="124"/>
      <c r="J1844" s="129"/>
      <c r="K1844" s="194"/>
      <c r="L1844" s="194"/>
      <c r="M1844" s="129"/>
      <c r="N1844" s="129" t="e">
        <f>Table1[[#This Row],[Estimated Effort (Hours)]]/NETWORKDAYS(Table1[[#This Row],[Planned Start Date]],Table1[[#This Row],[Planned End Date]])</f>
        <v>#DIV/0!</v>
      </c>
      <c r="O1844" s="178">
        <f>NETWORKDAYS(Table1[[#This Row],[Planned Start Date]],Table1[[#This Row],[Planned End Date]])</f>
        <v>0</v>
      </c>
      <c r="P1844" s="178">
        <f>NETWORKDAYS(Table1[[#This Row],[Planned Start Date]],$P$7)</f>
        <v>30643</v>
      </c>
      <c r="Q1844" s="129"/>
      <c r="R1844" s="183" t="str">
        <f>IF(Table1[[#This Row],[Actual Effort (Hours)]]="","",IF(Table1[[#This Row],[Estimated Effort (Hours)]]&lt;20,"L1",IF(Table1[[#This Row],[Estimated Effort (Hours)]]&lt;50,"L2",IF(Table1[[#This Row],[Estimated Effort (Hours)]]&lt;150,"L3",IF(Table1[[#This Row],[Estimated Effort (Hours)]]&lt;300,"L4","L5")))))</f>
        <v/>
      </c>
      <c r="S1844" s="184" t="str">
        <f>IF(Table1[[#This Row],[Actual End Date]]="","",TEXT(Table1[[#This Row],[Actual End Date]],"mmm-yy"))</f>
        <v/>
      </c>
      <c r="T184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4" s="185" t="str">
        <f>IFERROR((Table1[[#This Row],[Actual Effort (Hours)]]-Table1[[#This Row],[Estimated Effort (Hours)]])/Table1[[#This Row],[Estimated Effort (Hours)]],"")</f>
        <v/>
      </c>
    </row>
    <row r="1845" spans="2:21">
      <c r="B1845" s="125"/>
      <c r="C1845" s="123"/>
      <c r="D1845" s="143"/>
      <c r="E1845" s="123"/>
      <c r="F1845" s="143"/>
      <c r="G1845" s="129"/>
      <c r="H1845" s="124"/>
      <c r="I1845" s="124"/>
      <c r="J1845" s="129"/>
      <c r="K1845" s="194"/>
      <c r="L1845" s="194"/>
      <c r="M1845" s="129"/>
      <c r="N1845" s="129" t="e">
        <f>Table1[[#This Row],[Estimated Effort (Hours)]]/NETWORKDAYS(Table1[[#This Row],[Planned Start Date]],Table1[[#This Row],[Planned End Date]])</f>
        <v>#DIV/0!</v>
      </c>
      <c r="O1845" s="178">
        <f>NETWORKDAYS(Table1[[#This Row],[Planned Start Date]],Table1[[#This Row],[Planned End Date]])</f>
        <v>0</v>
      </c>
      <c r="P1845" s="178">
        <f>NETWORKDAYS(Table1[[#This Row],[Planned Start Date]],$P$7)</f>
        <v>30643</v>
      </c>
      <c r="Q1845" s="129"/>
      <c r="R1845" s="183" t="str">
        <f>IF(Table1[[#This Row],[Actual Effort (Hours)]]="","",IF(Table1[[#This Row],[Estimated Effort (Hours)]]&lt;20,"L1",IF(Table1[[#This Row],[Estimated Effort (Hours)]]&lt;50,"L2",IF(Table1[[#This Row],[Estimated Effort (Hours)]]&lt;150,"L3",IF(Table1[[#This Row],[Estimated Effort (Hours)]]&lt;300,"L4","L5")))))</f>
        <v/>
      </c>
      <c r="S1845" s="184" t="str">
        <f>IF(Table1[[#This Row],[Actual End Date]]="","",TEXT(Table1[[#This Row],[Actual End Date]],"mmm-yy"))</f>
        <v/>
      </c>
      <c r="T184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5" s="185" t="str">
        <f>IFERROR((Table1[[#This Row],[Actual Effort (Hours)]]-Table1[[#This Row],[Estimated Effort (Hours)]])/Table1[[#This Row],[Estimated Effort (Hours)]],"")</f>
        <v/>
      </c>
    </row>
    <row r="1846" spans="2:21">
      <c r="B1846" s="125"/>
      <c r="C1846" s="123"/>
      <c r="D1846" s="143"/>
      <c r="E1846" s="123"/>
      <c r="F1846" s="143"/>
      <c r="G1846" s="129"/>
      <c r="H1846" s="124"/>
      <c r="I1846" s="124"/>
      <c r="J1846" s="129"/>
      <c r="K1846" s="194"/>
      <c r="L1846" s="194"/>
      <c r="M1846" s="129"/>
      <c r="N1846" s="129" t="e">
        <f>Table1[[#This Row],[Estimated Effort (Hours)]]/NETWORKDAYS(Table1[[#This Row],[Planned Start Date]],Table1[[#This Row],[Planned End Date]])</f>
        <v>#DIV/0!</v>
      </c>
      <c r="O1846" s="178">
        <f>NETWORKDAYS(Table1[[#This Row],[Planned Start Date]],Table1[[#This Row],[Planned End Date]])</f>
        <v>0</v>
      </c>
      <c r="P1846" s="178">
        <f>NETWORKDAYS(Table1[[#This Row],[Planned Start Date]],$P$7)</f>
        <v>30643</v>
      </c>
      <c r="Q1846" s="129"/>
      <c r="R1846" s="183" t="str">
        <f>IF(Table1[[#This Row],[Actual Effort (Hours)]]="","",IF(Table1[[#This Row],[Estimated Effort (Hours)]]&lt;20,"L1",IF(Table1[[#This Row],[Estimated Effort (Hours)]]&lt;50,"L2",IF(Table1[[#This Row],[Estimated Effort (Hours)]]&lt;150,"L3",IF(Table1[[#This Row],[Estimated Effort (Hours)]]&lt;300,"L4","L5")))))</f>
        <v/>
      </c>
      <c r="S1846" s="184" t="str">
        <f>IF(Table1[[#This Row],[Actual End Date]]="","",TEXT(Table1[[#This Row],[Actual End Date]],"mmm-yy"))</f>
        <v/>
      </c>
      <c r="T184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6" s="185" t="str">
        <f>IFERROR((Table1[[#This Row],[Actual Effort (Hours)]]-Table1[[#This Row],[Estimated Effort (Hours)]])/Table1[[#This Row],[Estimated Effort (Hours)]],"")</f>
        <v/>
      </c>
    </row>
    <row r="1847" spans="2:21">
      <c r="B1847" s="125"/>
      <c r="C1847" s="123"/>
      <c r="D1847" s="143"/>
      <c r="E1847" s="123"/>
      <c r="F1847" s="143"/>
      <c r="G1847" s="129"/>
      <c r="H1847" s="124"/>
      <c r="I1847" s="124"/>
      <c r="J1847" s="129"/>
      <c r="K1847" s="194"/>
      <c r="L1847" s="194"/>
      <c r="M1847" s="129"/>
      <c r="N1847" s="129" t="e">
        <f>Table1[[#This Row],[Estimated Effort (Hours)]]/NETWORKDAYS(Table1[[#This Row],[Planned Start Date]],Table1[[#This Row],[Planned End Date]])</f>
        <v>#DIV/0!</v>
      </c>
      <c r="O1847" s="178">
        <f>NETWORKDAYS(Table1[[#This Row],[Planned Start Date]],Table1[[#This Row],[Planned End Date]])</f>
        <v>0</v>
      </c>
      <c r="P1847" s="178">
        <f>NETWORKDAYS(Table1[[#This Row],[Planned Start Date]],$P$7)</f>
        <v>30643</v>
      </c>
      <c r="Q1847" s="129"/>
      <c r="R1847" s="183" t="str">
        <f>IF(Table1[[#This Row],[Actual Effort (Hours)]]="","",IF(Table1[[#This Row],[Estimated Effort (Hours)]]&lt;20,"L1",IF(Table1[[#This Row],[Estimated Effort (Hours)]]&lt;50,"L2",IF(Table1[[#This Row],[Estimated Effort (Hours)]]&lt;150,"L3",IF(Table1[[#This Row],[Estimated Effort (Hours)]]&lt;300,"L4","L5")))))</f>
        <v/>
      </c>
      <c r="S1847" s="184" t="str">
        <f>IF(Table1[[#This Row],[Actual End Date]]="","",TEXT(Table1[[#This Row],[Actual End Date]],"mmm-yy"))</f>
        <v/>
      </c>
      <c r="T184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7" s="185" t="str">
        <f>IFERROR((Table1[[#This Row],[Actual Effort (Hours)]]-Table1[[#This Row],[Estimated Effort (Hours)]])/Table1[[#This Row],[Estimated Effort (Hours)]],"")</f>
        <v/>
      </c>
    </row>
    <row r="1848" spans="2:21">
      <c r="B1848" s="125"/>
      <c r="C1848" s="123"/>
      <c r="D1848" s="143"/>
      <c r="E1848" s="123"/>
      <c r="F1848" s="143"/>
      <c r="G1848" s="129"/>
      <c r="H1848" s="124"/>
      <c r="I1848" s="124"/>
      <c r="J1848" s="129"/>
      <c r="K1848" s="194"/>
      <c r="L1848" s="194"/>
      <c r="M1848" s="129"/>
      <c r="N1848" s="129" t="e">
        <f>Table1[[#This Row],[Estimated Effort (Hours)]]/NETWORKDAYS(Table1[[#This Row],[Planned Start Date]],Table1[[#This Row],[Planned End Date]])</f>
        <v>#DIV/0!</v>
      </c>
      <c r="O1848" s="178">
        <f>NETWORKDAYS(Table1[[#This Row],[Planned Start Date]],Table1[[#This Row],[Planned End Date]])</f>
        <v>0</v>
      </c>
      <c r="P1848" s="178">
        <f>NETWORKDAYS(Table1[[#This Row],[Planned Start Date]],$P$7)</f>
        <v>30643</v>
      </c>
      <c r="Q1848" s="129"/>
      <c r="R1848" s="183" t="str">
        <f>IF(Table1[[#This Row],[Actual Effort (Hours)]]="","",IF(Table1[[#This Row],[Estimated Effort (Hours)]]&lt;20,"L1",IF(Table1[[#This Row],[Estimated Effort (Hours)]]&lt;50,"L2",IF(Table1[[#This Row],[Estimated Effort (Hours)]]&lt;150,"L3",IF(Table1[[#This Row],[Estimated Effort (Hours)]]&lt;300,"L4","L5")))))</f>
        <v/>
      </c>
      <c r="S1848" s="184" t="str">
        <f>IF(Table1[[#This Row],[Actual End Date]]="","",TEXT(Table1[[#This Row],[Actual End Date]],"mmm-yy"))</f>
        <v/>
      </c>
      <c r="T184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8" s="185" t="str">
        <f>IFERROR((Table1[[#This Row],[Actual Effort (Hours)]]-Table1[[#This Row],[Estimated Effort (Hours)]])/Table1[[#This Row],[Estimated Effort (Hours)]],"")</f>
        <v/>
      </c>
    </row>
    <row r="1849" spans="2:21">
      <c r="B1849" s="125"/>
      <c r="C1849" s="123"/>
      <c r="D1849" s="143"/>
      <c r="E1849" s="123"/>
      <c r="F1849" s="143"/>
      <c r="G1849" s="129"/>
      <c r="H1849" s="124"/>
      <c r="I1849" s="124"/>
      <c r="J1849" s="129"/>
      <c r="K1849" s="194"/>
      <c r="L1849" s="194"/>
      <c r="M1849" s="129"/>
      <c r="N1849" s="129" t="e">
        <f>Table1[[#This Row],[Estimated Effort (Hours)]]/NETWORKDAYS(Table1[[#This Row],[Planned Start Date]],Table1[[#This Row],[Planned End Date]])</f>
        <v>#DIV/0!</v>
      </c>
      <c r="O1849" s="178">
        <f>NETWORKDAYS(Table1[[#This Row],[Planned Start Date]],Table1[[#This Row],[Planned End Date]])</f>
        <v>0</v>
      </c>
      <c r="P1849" s="178">
        <f>NETWORKDAYS(Table1[[#This Row],[Planned Start Date]],$P$7)</f>
        <v>30643</v>
      </c>
      <c r="Q1849" s="129"/>
      <c r="R1849" s="183" t="str">
        <f>IF(Table1[[#This Row],[Actual Effort (Hours)]]="","",IF(Table1[[#This Row],[Estimated Effort (Hours)]]&lt;20,"L1",IF(Table1[[#This Row],[Estimated Effort (Hours)]]&lt;50,"L2",IF(Table1[[#This Row],[Estimated Effort (Hours)]]&lt;150,"L3",IF(Table1[[#This Row],[Estimated Effort (Hours)]]&lt;300,"L4","L5")))))</f>
        <v/>
      </c>
      <c r="S1849" s="184" t="str">
        <f>IF(Table1[[#This Row],[Actual End Date]]="","",TEXT(Table1[[#This Row],[Actual End Date]],"mmm-yy"))</f>
        <v/>
      </c>
      <c r="T184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49" s="185" t="str">
        <f>IFERROR((Table1[[#This Row],[Actual Effort (Hours)]]-Table1[[#This Row],[Estimated Effort (Hours)]])/Table1[[#This Row],[Estimated Effort (Hours)]],"")</f>
        <v/>
      </c>
    </row>
    <row r="1850" spans="2:21">
      <c r="B1850" s="125"/>
      <c r="C1850" s="123"/>
      <c r="D1850" s="143"/>
      <c r="E1850" s="123"/>
      <c r="F1850" s="143"/>
      <c r="G1850" s="129"/>
      <c r="H1850" s="124"/>
      <c r="I1850" s="124"/>
      <c r="J1850" s="129"/>
      <c r="K1850" s="194"/>
      <c r="L1850" s="194"/>
      <c r="M1850" s="129"/>
      <c r="N1850" s="129" t="e">
        <f>Table1[[#This Row],[Estimated Effort (Hours)]]/NETWORKDAYS(Table1[[#This Row],[Planned Start Date]],Table1[[#This Row],[Planned End Date]])</f>
        <v>#DIV/0!</v>
      </c>
      <c r="O1850" s="178">
        <f>NETWORKDAYS(Table1[[#This Row],[Planned Start Date]],Table1[[#This Row],[Planned End Date]])</f>
        <v>0</v>
      </c>
      <c r="P1850" s="178">
        <f>NETWORKDAYS(Table1[[#This Row],[Planned Start Date]],$P$7)</f>
        <v>30643</v>
      </c>
      <c r="Q1850" s="129"/>
      <c r="R1850" s="183" t="str">
        <f>IF(Table1[[#This Row],[Actual Effort (Hours)]]="","",IF(Table1[[#This Row],[Estimated Effort (Hours)]]&lt;20,"L1",IF(Table1[[#This Row],[Estimated Effort (Hours)]]&lt;50,"L2",IF(Table1[[#This Row],[Estimated Effort (Hours)]]&lt;150,"L3",IF(Table1[[#This Row],[Estimated Effort (Hours)]]&lt;300,"L4","L5")))))</f>
        <v/>
      </c>
      <c r="S1850" s="184" t="str">
        <f>IF(Table1[[#This Row],[Actual End Date]]="","",TEXT(Table1[[#This Row],[Actual End Date]],"mmm-yy"))</f>
        <v/>
      </c>
      <c r="T185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0" s="185" t="str">
        <f>IFERROR((Table1[[#This Row],[Actual Effort (Hours)]]-Table1[[#This Row],[Estimated Effort (Hours)]])/Table1[[#This Row],[Estimated Effort (Hours)]],"")</f>
        <v/>
      </c>
    </row>
    <row r="1851" spans="2:21">
      <c r="B1851" s="125"/>
      <c r="C1851" s="123"/>
      <c r="D1851" s="143"/>
      <c r="E1851" s="123"/>
      <c r="F1851" s="143"/>
      <c r="G1851" s="129"/>
      <c r="H1851" s="124"/>
      <c r="I1851" s="124"/>
      <c r="J1851" s="129"/>
      <c r="K1851" s="194"/>
      <c r="L1851" s="194"/>
      <c r="M1851" s="129"/>
      <c r="N1851" s="129" t="e">
        <f>Table1[[#This Row],[Estimated Effort (Hours)]]/NETWORKDAYS(Table1[[#This Row],[Planned Start Date]],Table1[[#This Row],[Planned End Date]])</f>
        <v>#DIV/0!</v>
      </c>
      <c r="O1851" s="178">
        <f>NETWORKDAYS(Table1[[#This Row],[Planned Start Date]],Table1[[#This Row],[Planned End Date]])</f>
        <v>0</v>
      </c>
      <c r="P1851" s="178">
        <f>NETWORKDAYS(Table1[[#This Row],[Planned Start Date]],$P$7)</f>
        <v>30643</v>
      </c>
      <c r="Q1851" s="129"/>
      <c r="R1851" s="183" t="str">
        <f>IF(Table1[[#This Row],[Actual Effort (Hours)]]="","",IF(Table1[[#This Row],[Estimated Effort (Hours)]]&lt;20,"L1",IF(Table1[[#This Row],[Estimated Effort (Hours)]]&lt;50,"L2",IF(Table1[[#This Row],[Estimated Effort (Hours)]]&lt;150,"L3",IF(Table1[[#This Row],[Estimated Effort (Hours)]]&lt;300,"L4","L5")))))</f>
        <v/>
      </c>
      <c r="S1851" s="184" t="str">
        <f>IF(Table1[[#This Row],[Actual End Date]]="","",TEXT(Table1[[#This Row],[Actual End Date]],"mmm-yy"))</f>
        <v/>
      </c>
      <c r="T185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1" s="185" t="str">
        <f>IFERROR((Table1[[#This Row],[Actual Effort (Hours)]]-Table1[[#This Row],[Estimated Effort (Hours)]])/Table1[[#This Row],[Estimated Effort (Hours)]],"")</f>
        <v/>
      </c>
    </row>
    <row r="1852" spans="2:21">
      <c r="B1852" s="125"/>
      <c r="C1852" s="123"/>
      <c r="D1852" s="143"/>
      <c r="E1852" s="123"/>
      <c r="F1852" s="143"/>
      <c r="G1852" s="129"/>
      <c r="H1852" s="124"/>
      <c r="I1852" s="124"/>
      <c r="J1852" s="129"/>
      <c r="K1852" s="194"/>
      <c r="L1852" s="194"/>
      <c r="M1852" s="129"/>
      <c r="N1852" s="129" t="e">
        <f>Table1[[#This Row],[Estimated Effort (Hours)]]/NETWORKDAYS(Table1[[#This Row],[Planned Start Date]],Table1[[#This Row],[Planned End Date]])</f>
        <v>#DIV/0!</v>
      </c>
      <c r="O1852" s="178">
        <f>NETWORKDAYS(Table1[[#This Row],[Planned Start Date]],Table1[[#This Row],[Planned End Date]])</f>
        <v>0</v>
      </c>
      <c r="P1852" s="178">
        <f>NETWORKDAYS(Table1[[#This Row],[Planned Start Date]],$P$7)</f>
        <v>30643</v>
      </c>
      <c r="Q1852" s="129"/>
      <c r="R1852" s="183" t="str">
        <f>IF(Table1[[#This Row],[Actual Effort (Hours)]]="","",IF(Table1[[#This Row],[Estimated Effort (Hours)]]&lt;20,"L1",IF(Table1[[#This Row],[Estimated Effort (Hours)]]&lt;50,"L2",IF(Table1[[#This Row],[Estimated Effort (Hours)]]&lt;150,"L3",IF(Table1[[#This Row],[Estimated Effort (Hours)]]&lt;300,"L4","L5")))))</f>
        <v/>
      </c>
      <c r="S1852" s="184" t="str">
        <f>IF(Table1[[#This Row],[Actual End Date]]="","",TEXT(Table1[[#This Row],[Actual End Date]],"mmm-yy"))</f>
        <v/>
      </c>
      <c r="T185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2" s="185" t="str">
        <f>IFERROR((Table1[[#This Row],[Actual Effort (Hours)]]-Table1[[#This Row],[Estimated Effort (Hours)]])/Table1[[#This Row],[Estimated Effort (Hours)]],"")</f>
        <v/>
      </c>
    </row>
    <row r="1853" spans="2:21">
      <c r="B1853" s="125"/>
      <c r="C1853" s="123"/>
      <c r="D1853" s="143"/>
      <c r="E1853" s="123"/>
      <c r="F1853" s="143"/>
      <c r="G1853" s="129"/>
      <c r="H1853" s="124"/>
      <c r="I1853" s="124"/>
      <c r="J1853" s="129"/>
      <c r="K1853" s="194"/>
      <c r="L1853" s="194"/>
      <c r="M1853" s="129"/>
      <c r="N1853" s="129" t="e">
        <f>Table1[[#This Row],[Estimated Effort (Hours)]]/NETWORKDAYS(Table1[[#This Row],[Planned Start Date]],Table1[[#This Row],[Planned End Date]])</f>
        <v>#DIV/0!</v>
      </c>
      <c r="O1853" s="178">
        <f>NETWORKDAYS(Table1[[#This Row],[Planned Start Date]],Table1[[#This Row],[Planned End Date]])</f>
        <v>0</v>
      </c>
      <c r="P1853" s="178">
        <f>NETWORKDAYS(Table1[[#This Row],[Planned Start Date]],$P$7)</f>
        <v>30643</v>
      </c>
      <c r="Q1853" s="129"/>
      <c r="R1853" s="183" t="str">
        <f>IF(Table1[[#This Row],[Actual Effort (Hours)]]="","",IF(Table1[[#This Row],[Estimated Effort (Hours)]]&lt;20,"L1",IF(Table1[[#This Row],[Estimated Effort (Hours)]]&lt;50,"L2",IF(Table1[[#This Row],[Estimated Effort (Hours)]]&lt;150,"L3",IF(Table1[[#This Row],[Estimated Effort (Hours)]]&lt;300,"L4","L5")))))</f>
        <v/>
      </c>
      <c r="S1853" s="184" t="str">
        <f>IF(Table1[[#This Row],[Actual End Date]]="","",TEXT(Table1[[#This Row],[Actual End Date]],"mmm-yy"))</f>
        <v/>
      </c>
      <c r="T185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3" s="185" t="str">
        <f>IFERROR((Table1[[#This Row],[Actual Effort (Hours)]]-Table1[[#This Row],[Estimated Effort (Hours)]])/Table1[[#This Row],[Estimated Effort (Hours)]],"")</f>
        <v/>
      </c>
    </row>
    <row r="1854" spans="2:21">
      <c r="B1854" s="125"/>
      <c r="C1854" s="123"/>
      <c r="D1854" s="143"/>
      <c r="E1854" s="123"/>
      <c r="F1854" s="143"/>
      <c r="G1854" s="129"/>
      <c r="H1854" s="124"/>
      <c r="I1854" s="124"/>
      <c r="J1854" s="129"/>
      <c r="K1854" s="194"/>
      <c r="L1854" s="194"/>
      <c r="M1854" s="129"/>
      <c r="N1854" s="129" t="e">
        <f>Table1[[#This Row],[Estimated Effort (Hours)]]/NETWORKDAYS(Table1[[#This Row],[Planned Start Date]],Table1[[#This Row],[Planned End Date]])</f>
        <v>#DIV/0!</v>
      </c>
      <c r="O1854" s="178">
        <f>NETWORKDAYS(Table1[[#This Row],[Planned Start Date]],Table1[[#This Row],[Planned End Date]])</f>
        <v>0</v>
      </c>
      <c r="P1854" s="178">
        <f>NETWORKDAYS(Table1[[#This Row],[Planned Start Date]],$P$7)</f>
        <v>30643</v>
      </c>
      <c r="Q1854" s="129"/>
      <c r="R1854" s="183" t="str">
        <f>IF(Table1[[#This Row],[Actual Effort (Hours)]]="","",IF(Table1[[#This Row],[Estimated Effort (Hours)]]&lt;20,"L1",IF(Table1[[#This Row],[Estimated Effort (Hours)]]&lt;50,"L2",IF(Table1[[#This Row],[Estimated Effort (Hours)]]&lt;150,"L3",IF(Table1[[#This Row],[Estimated Effort (Hours)]]&lt;300,"L4","L5")))))</f>
        <v/>
      </c>
      <c r="S1854" s="184" t="str">
        <f>IF(Table1[[#This Row],[Actual End Date]]="","",TEXT(Table1[[#This Row],[Actual End Date]],"mmm-yy"))</f>
        <v/>
      </c>
      <c r="T185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4" s="185" t="str">
        <f>IFERROR((Table1[[#This Row],[Actual Effort (Hours)]]-Table1[[#This Row],[Estimated Effort (Hours)]])/Table1[[#This Row],[Estimated Effort (Hours)]],"")</f>
        <v/>
      </c>
    </row>
    <row r="1855" spans="2:21">
      <c r="B1855" s="125"/>
      <c r="C1855" s="123"/>
      <c r="D1855" s="143"/>
      <c r="E1855" s="123"/>
      <c r="F1855" s="143"/>
      <c r="G1855" s="129"/>
      <c r="H1855" s="124"/>
      <c r="I1855" s="124"/>
      <c r="J1855" s="129"/>
      <c r="K1855" s="194"/>
      <c r="L1855" s="194"/>
      <c r="M1855" s="129"/>
      <c r="N1855" s="129" t="e">
        <f>Table1[[#This Row],[Estimated Effort (Hours)]]/NETWORKDAYS(Table1[[#This Row],[Planned Start Date]],Table1[[#This Row],[Planned End Date]])</f>
        <v>#DIV/0!</v>
      </c>
      <c r="O1855" s="178">
        <f>NETWORKDAYS(Table1[[#This Row],[Planned Start Date]],Table1[[#This Row],[Planned End Date]])</f>
        <v>0</v>
      </c>
      <c r="P1855" s="178">
        <f>NETWORKDAYS(Table1[[#This Row],[Planned Start Date]],$P$7)</f>
        <v>30643</v>
      </c>
      <c r="Q1855" s="129"/>
      <c r="R1855" s="183" t="str">
        <f>IF(Table1[[#This Row],[Actual Effort (Hours)]]="","",IF(Table1[[#This Row],[Estimated Effort (Hours)]]&lt;20,"L1",IF(Table1[[#This Row],[Estimated Effort (Hours)]]&lt;50,"L2",IF(Table1[[#This Row],[Estimated Effort (Hours)]]&lt;150,"L3",IF(Table1[[#This Row],[Estimated Effort (Hours)]]&lt;300,"L4","L5")))))</f>
        <v/>
      </c>
      <c r="S1855" s="184" t="str">
        <f>IF(Table1[[#This Row],[Actual End Date]]="","",TEXT(Table1[[#This Row],[Actual End Date]],"mmm-yy"))</f>
        <v/>
      </c>
      <c r="T185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5" s="185" t="str">
        <f>IFERROR((Table1[[#This Row],[Actual Effort (Hours)]]-Table1[[#This Row],[Estimated Effort (Hours)]])/Table1[[#This Row],[Estimated Effort (Hours)]],"")</f>
        <v/>
      </c>
    </row>
    <row r="1856" spans="2:21">
      <c r="B1856" s="125"/>
      <c r="C1856" s="123"/>
      <c r="D1856" s="143"/>
      <c r="E1856" s="123"/>
      <c r="F1856" s="143"/>
      <c r="G1856" s="129"/>
      <c r="H1856" s="124"/>
      <c r="I1856" s="124"/>
      <c r="J1856" s="129"/>
      <c r="K1856" s="194"/>
      <c r="L1856" s="194"/>
      <c r="M1856" s="129"/>
      <c r="N1856" s="129" t="e">
        <f>Table1[[#This Row],[Estimated Effort (Hours)]]/NETWORKDAYS(Table1[[#This Row],[Planned Start Date]],Table1[[#This Row],[Planned End Date]])</f>
        <v>#DIV/0!</v>
      </c>
      <c r="O1856" s="178">
        <f>NETWORKDAYS(Table1[[#This Row],[Planned Start Date]],Table1[[#This Row],[Planned End Date]])</f>
        <v>0</v>
      </c>
      <c r="P1856" s="178">
        <f>NETWORKDAYS(Table1[[#This Row],[Planned Start Date]],$P$7)</f>
        <v>30643</v>
      </c>
      <c r="Q1856" s="129"/>
      <c r="R1856" s="183" t="str">
        <f>IF(Table1[[#This Row],[Actual Effort (Hours)]]="","",IF(Table1[[#This Row],[Estimated Effort (Hours)]]&lt;20,"L1",IF(Table1[[#This Row],[Estimated Effort (Hours)]]&lt;50,"L2",IF(Table1[[#This Row],[Estimated Effort (Hours)]]&lt;150,"L3",IF(Table1[[#This Row],[Estimated Effort (Hours)]]&lt;300,"L4","L5")))))</f>
        <v/>
      </c>
      <c r="S1856" s="184" t="str">
        <f>IF(Table1[[#This Row],[Actual End Date]]="","",TEXT(Table1[[#This Row],[Actual End Date]],"mmm-yy"))</f>
        <v/>
      </c>
      <c r="T185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6" s="185" t="str">
        <f>IFERROR((Table1[[#This Row],[Actual Effort (Hours)]]-Table1[[#This Row],[Estimated Effort (Hours)]])/Table1[[#This Row],[Estimated Effort (Hours)]],"")</f>
        <v/>
      </c>
    </row>
    <row r="1857" spans="2:21">
      <c r="B1857" s="125"/>
      <c r="C1857" s="123"/>
      <c r="D1857" s="143"/>
      <c r="E1857" s="123"/>
      <c r="F1857" s="143"/>
      <c r="G1857" s="129"/>
      <c r="H1857" s="124"/>
      <c r="I1857" s="124"/>
      <c r="J1857" s="129"/>
      <c r="K1857" s="194"/>
      <c r="L1857" s="194"/>
      <c r="M1857" s="129"/>
      <c r="N1857" s="129" t="e">
        <f>Table1[[#This Row],[Estimated Effort (Hours)]]/NETWORKDAYS(Table1[[#This Row],[Planned Start Date]],Table1[[#This Row],[Planned End Date]])</f>
        <v>#DIV/0!</v>
      </c>
      <c r="O1857" s="178">
        <f>NETWORKDAYS(Table1[[#This Row],[Planned Start Date]],Table1[[#This Row],[Planned End Date]])</f>
        <v>0</v>
      </c>
      <c r="P1857" s="178">
        <f>NETWORKDAYS(Table1[[#This Row],[Planned Start Date]],$P$7)</f>
        <v>30643</v>
      </c>
      <c r="Q1857" s="129"/>
      <c r="R1857" s="183" t="str">
        <f>IF(Table1[[#This Row],[Actual Effort (Hours)]]="","",IF(Table1[[#This Row],[Estimated Effort (Hours)]]&lt;20,"L1",IF(Table1[[#This Row],[Estimated Effort (Hours)]]&lt;50,"L2",IF(Table1[[#This Row],[Estimated Effort (Hours)]]&lt;150,"L3",IF(Table1[[#This Row],[Estimated Effort (Hours)]]&lt;300,"L4","L5")))))</f>
        <v/>
      </c>
      <c r="S1857" s="184" t="str">
        <f>IF(Table1[[#This Row],[Actual End Date]]="","",TEXT(Table1[[#This Row],[Actual End Date]],"mmm-yy"))</f>
        <v/>
      </c>
      <c r="T185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7" s="185" t="str">
        <f>IFERROR((Table1[[#This Row],[Actual Effort (Hours)]]-Table1[[#This Row],[Estimated Effort (Hours)]])/Table1[[#This Row],[Estimated Effort (Hours)]],"")</f>
        <v/>
      </c>
    </row>
    <row r="1858" spans="2:21">
      <c r="B1858" s="125"/>
      <c r="C1858" s="123"/>
      <c r="D1858" s="143"/>
      <c r="E1858" s="123"/>
      <c r="F1858" s="143"/>
      <c r="G1858" s="129"/>
      <c r="H1858" s="124"/>
      <c r="I1858" s="124"/>
      <c r="J1858" s="129"/>
      <c r="K1858" s="194"/>
      <c r="L1858" s="194"/>
      <c r="M1858" s="129"/>
      <c r="N1858" s="129" t="e">
        <f>Table1[[#This Row],[Estimated Effort (Hours)]]/NETWORKDAYS(Table1[[#This Row],[Planned Start Date]],Table1[[#This Row],[Planned End Date]])</f>
        <v>#DIV/0!</v>
      </c>
      <c r="O1858" s="178">
        <f>NETWORKDAYS(Table1[[#This Row],[Planned Start Date]],Table1[[#This Row],[Planned End Date]])</f>
        <v>0</v>
      </c>
      <c r="P1858" s="178">
        <f>NETWORKDAYS(Table1[[#This Row],[Planned Start Date]],$P$7)</f>
        <v>30643</v>
      </c>
      <c r="Q1858" s="129"/>
      <c r="R1858" s="183" t="str">
        <f>IF(Table1[[#This Row],[Actual Effort (Hours)]]="","",IF(Table1[[#This Row],[Estimated Effort (Hours)]]&lt;20,"L1",IF(Table1[[#This Row],[Estimated Effort (Hours)]]&lt;50,"L2",IF(Table1[[#This Row],[Estimated Effort (Hours)]]&lt;150,"L3",IF(Table1[[#This Row],[Estimated Effort (Hours)]]&lt;300,"L4","L5")))))</f>
        <v/>
      </c>
      <c r="S1858" s="184" t="str">
        <f>IF(Table1[[#This Row],[Actual End Date]]="","",TEXT(Table1[[#This Row],[Actual End Date]],"mmm-yy"))</f>
        <v/>
      </c>
      <c r="T185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8" s="185" t="str">
        <f>IFERROR((Table1[[#This Row],[Actual Effort (Hours)]]-Table1[[#This Row],[Estimated Effort (Hours)]])/Table1[[#This Row],[Estimated Effort (Hours)]],"")</f>
        <v/>
      </c>
    </row>
    <row r="1859" spans="2:21">
      <c r="B1859" s="125"/>
      <c r="C1859" s="123"/>
      <c r="D1859" s="143"/>
      <c r="E1859" s="123"/>
      <c r="F1859" s="143"/>
      <c r="G1859" s="129"/>
      <c r="H1859" s="124"/>
      <c r="I1859" s="124"/>
      <c r="J1859" s="129"/>
      <c r="K1859" s="194"/>
      <c r="L1859" s="194"/>
      <c r="M1859" s="129"/>
      <c r="N1859" s="129" t="e">
        <f>Table1[[#This Row],[Estimated Effort (Hours)]]/NETWORKDAYS(Table1[[#This Row],[Planned Start Date]],Table1[[#This Row],[Planned End Date]])</f>
        <v>#DIV/0!</v>
      </c>
      <c r="O1859" s="178">
        <f>NETWORKDAYS(Table1[[#This Row],[Planned Start Date]],Table1[[#This Row],[Planned End Date]])</f>
        <v>0</v>
      </c>
      <c r="P1859" s="178">
        <f>NETWORKDAYS(Table1[[#This Row],[Planned Start Date]],$P$7)</f>
        <v>30643</v>
      </c>
      <c r="Q1859" s="129"/>
      <c r="R1859" s="183" t="str">
        <f>IF(Table1[[#This Row],[Actual Effort (Hours)]]="","",IF(Table1[[#This Row],[Estimated Effort (Hours)]]&lt;20,"L1",IF(Table1[[#This Row],[Estimated Effort (Hours)]]&lt;50,"L2",IF(Table1[[#This Row],[Estimated Effort (Hours)]]&lt;150,"L3",IF(Table1[[#This Row],[Estimated Effort (Hours)]]&lt;300,"L4","L5")))))</f>
        <v/>
      </c>
      <c r="S1859" s="184" t="str">
        <f>IF(Table1[[#This Row],[Actual End Date]]="","",TEXT(Table1[[#This Row],[Actual End Date]],"mmm-yy"))</f>
        <v/>
      </c>
      <c r="T185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59" s="185" t="str">
        <f>IFERROR((Table1[[#This Row],[Actual Effort (Hours)]]-Table1[[#This Row],[Estimated Effort (Hours)]])/Table1[[#This Row],[Estimated Effort (Hours)]],"")</f>
        <v/>
      </c>
    </row>
    <row r="1860" spans="2:21">
      <c r="B1860" s="125"/>
      <c r="C1860" s="123"/>
      <c r="D1860" s="143"/>
      <c r="E1860" s="123"/>
      <c r="F1860" s="143"/>
      <c r="G1860" s="129"/>
      <c r="H1860" s="124"/>
      <c r="I1860" s="124"/>
      <c r="J1860" s="129"/>
      <c r="K1860" s="194"/>
      <c r="L1860" s="194"/>
      <c r="M1860" s="129"/>
      <c r="N1860" s="129" t="e">
        <f>Table1[[#This Row],[Estimated Effort (Hours)]]/NETWORKDAYS(Table1[[#This Row],[Planned Start Date]],Table1[[#This Row],[Planned End Date]])</f>
        <v>#DIV/0!</v>
      </c>
      <c r="O1860" s="178">
        <f>NETWORKDAYS(Table1[[#This Row],[Planned Start Date]],Table1[[#This Row],[Planned End Date]])</f>
        <v>0</v>
      </c>
      <c r="P1860" s="178">
        <f>NETWORKDAYS(Table1[[#This Row],[Planned Start Date]],$P$7)</f>
        <v>30643</v>
      </c>
      <c r="Q1860" s="129"/>
      <c r="R1860" s="183" t="str">
        <f>IF(Table1[[#This Row],[Actual Effort (Hours)]]="","",IF(Table1[[#This Row],[Estimated Effort (Hours)]]&lt;20,"L1",IF(Table1[[#This Row],[Estimated Effort (Hours)]]&lt;50,"L2",IF(Table1[[#This Row],[Estimated Effort (Hours)]]&lt;150,"L3",IF(Table1[[#This Row],[Estimated Effort (Hours)]]&lt;300,"L4","L5")))))</f>
        <v/>
      </c>
      <c r="S1860" s="184" t="str">
        <f>IF(Table1[[#This Row],[Actual End Date]]="","",TEXT(Table1[[#This Row],[Actual End Date]],"mmm-yy"))</f>
        <v/>
      </c>
      <c r="T186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0" s="185" t="str">
        <f>IFERROR((Table1[[#This Row],[Actual Effort (Hours)]]-Table1[[#This Row],[Estimated Effort (Hours)]])/Table1[[#This Row],[Estimated Effort (Hours)]],"")</f>
        <v/>
      </c>
    </row>
    <row r="1861" spans="2:21">
      <c r="B1861" s="125"/>
      <c r="C1861" s="123"/>
      <c r="D1861" s="143"/>
      <c r="E1861" s="123"/>
      <c r="F1861" s="143"/>
      <c r="G1861" s="129"/>
      <c r="H1861" s="124"/>
      <c r="I1861" s="124"/>
      <c r="J1861" s="129"/>
      <c r="K1861" s="194"/>
      <c r="L1861" s="194"/>
      <c r="M1861" s="129"/>
      <c r="N1861" s="129" t="e">
        <f>Table1[[#This Row],[Estimated Effort (Hours)]]/NETWORKDAYS(Table1[[#This Row],[Planned Start Date]],Table1[[#This Row],[Planned End Date]])</f>
        <v>#DIV/0!</v>
      </c>
      <c r="O1861" s="178">
        <f>NETWORKDAYS(Table1[[#This Row],[Planned Start Date]],Table1[[#This Row],[Planned End Date]])</f>
        <v>0</v>
      </c>
      <c r="P1861" s="178">
        <f>NETWORKDAYS(Table1[[#This Row],[Planned Start Date]],$P$7)</f>
        <v>30643</v>
      </c>
      <c r="Q1861" s="129"/>
      <c r="R1861" s="183" t="str">
        <f>IF(Table1[[#This Row],[Actual Effort (Hours)]]="","",IF(Table1[[#This Row],[Estimated Effort (Hours)]]&lt;20,"L1",IF(Table1[[#This Row],[Estimated Effort (Hours)]]&lt;50,"L2",IF(Table1[[#This Row],[Estimated Effort (Hours)]]&lt;150,"L3",IF(Table1[[#This Row],[Estimated Effort (Hours)]]&lt;300,"L4","L5")))))</f>
        <v/>
      </c>
      <c r="S1861" s="184" t="str">
        <f>IF(Table1[[#This Row],[Actual End Date]]="","",TEXT(Table1[[#This Row],[Actual End Date]],"mmm-yy"))</f>
        <v/>
      </c>
      <c r="T186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1" s="185" t="str">
        <f>IFERROR((Table1[[#This Row],[Actual Effort (Hours)]]-Table1[[#This Row],[Estimated Effort (Hours)]])/Table1[[#This Row],[Estimated Effort (Hours)]],"")</f>
        <v/>
      </c>
    </row>
    <row r="1862" spans="2:21">
      <c r="B1862" s="125"/>
      <c r="C1862" s="123"/>
      <c r="D1862" s="143"/>
      <c r="E1862" s="123"/>
      <c r="F1862" s="143"/>
      <c r="G1862" s="129"/>
      <c r="H1862" s="124"/>
      <c r="I1862" s="124"/>
      <c r="J1862" s="129"/>
      <c r="K1862" s="194"/>
      <c r="L1862" s="194"/>
      <c r="M1862" s="129"/>
      <c r="N1862" s="129" t="e">
        <f>Table1[[#This Row],[Estimated Effort (Hours)]]/NETWORKDAYS(Table1[[#This Row],[Planned Start Date]],Table1[[#This Row],[Planned End Date]])</f>
        <v>#DIV/0!</v>
      </c>
      <c r="O1862" s="178">
        <f>NETWORKDAYS(Table1[[#This Row],[Planned Start Date]],Table1[[#This Row],[Planned End Date]])</f>
        <v>0</v>
      </c>
      <c r="P1862" s="178">
        <f>NETWORKDAYS(Table1[[#This Row],[Planned Start Date]],$P$7)</f>
        <v>30643</v>
      </c>
      <c r="Q1862" s="129"/>
      <c r="R1862" s="183" t="str">
        <f>IF(Table1[[#This Row],[Actual Effort (Hours)]]="","",IF(Table1[[#This Row],[Estimated Effort (Hours)]]&lt;20,"L1",IF(Table1[[#This Row],[Estimated Effort (Hours)]]&lt;50,"L2",IF(Table1[[#This Row],[Estimated Effort (Hours)]]&lt;150,"L3",IF(Table1[[#This Row],[Estimated Effort (Hours)]]&lt;300,"L4","L5")))))</f>
        <v/>
      </c>
      <c r="S1862" s="184" t="str">
        <f>IF(Table1[[#This Row],[Actual End Date]]="","",TEXT(Table1[[#This Row],[Actual End Date]],"mmm-yy"))</f>
        <v/>
      </c>
      <c r="T186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2" s="185" t="str">
        <f>IFERROR((Table1[[#This Row],[Actual Effort (Hours)]]-Table1[[#This Row],[Estimated Effort (Hours)]])/Table1[[#This Row],[Estimated Effort (Hours)]],"")</f>
        <v/>
      </c>
    </row>
    <row r="1863" spans="2:21">
      <c r="B1863" s="125"/>
      <c r="C1863" s="123"/>
      <c r="D1863" s="143"/>
      <c r="E1863" s="123"/>
      <c r="F1863" s="143"/>
      <c r="G1863" s="129"/>
      <c r="H1863" s="124"/>
      <c r="I1863" s="124"/>
      <c r="J1863" s="129"/>
      <c r="K1863" s="194"/>
      <c r="L1863" s="194"/>
      <c r="M1863" s="129"/>
      <c r="N1863" s="129" t="e">
        <f>Table1[[#This Row],[Estimated Effort (Hours)]]/NETWORKDAYS(Table1[[#This Row],[Planned Start Date]],Table1[[#This Row],[Planned End Date]])</f>
        <v>#DIV/0!</v>
      </c>
      <c r="O1863" s="178">
        <f>NETWORKDAYS(Table1[[#This Row],[Planned Start Date]],Table1[[#This Row],[Planned End Date]])</f>
        <v>0</v>
      </c>
      <c r="P1863" s="178">
        <f>NETWORKDAYS(Table1[[#This Row],[Planned Start Date]],$P$7)</f>
        <v>30643</v>
      </c>
      <c r="Q1863" s="129"/>
      <c r="R1863" s="183" t="str">
        <f>IF(Table1[[#This Row],[Actual Effort (Hours)]]="","",IF(Table1[[#This Row],[Estimated Effort (Hours)]]&lt;20,"L1",IF(Table1[[#This Row],[Estimated Effort (Hours)]]&lt;50,"L2",IF(Table1[[#This Row],[Estimated Effort (Hours)]]&lt;150,"L3",IF(Table1[[#This Row],[Estimated Effort (Hours)]]&lt;300,"L4","L5")))))</f>
        <v/>
      </c>
      <c r="S1863" s="184" t="str">
        <f>IF(Table1[[#This Row],[Actual End Date]]="","",TEXT(Table1[[#This Row],[Actual End Date]],"mmm-yy"))</f>
        <v/>
      </c>
      <c r="T186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3" s="185" t="str">
        <f>IFERROR((Table1[[#This Row],[Actual Effort (Hours)]]-Table1[[#This Row],[Estimated Effort (Hours)]])/Table1[[#This Row],[Estimated Effort (Hours)]],"")</f>
        <v/>
      </c>
    </row>
    <row r="1864" spans="2:21">
      <c r="B1864" s="125"/>
      <c r="C1864" s="123"/>
      <c r="D1864" s="143"/>
      <c r="E1864" s="123"/>
      <c r="F1864" s="143"/>
      <c r="G1864" s="129"/>
      <c r="H1864" s="124"/>
      <c r="I1864" s="124"/>
      <c r="J1864" s="129"/>
      <c r="K1864" s="194"/>
      <c r="L1864" s="194"/>
      <c r="M1864" s="129"/>
      <c r="N1864" s="129" t="e">
        <f>Table1[[#This Row],[Estimated Effort (Hours)]]/NETWORKDAYS(Table1[[#This Row],[Planned Start Date]],Table1[[#This Row],[Planned End Date]])</f>
        <v>#DIV/0!</v>
      </c>
      <c r="O1864" s="178">
        <f>NETWORKDAYS(Table1[[#This Row],[Planned Start Date]],Table1[[#This Row],[Planned End Date]])</f>
        <v>0</v>
      </c>
      <c r="P1864" s="178">
        <f>NETWORKDAYS(Table1[[#This Row],[Planned Start Date]],$P$7)</f>
        <v>30643</v>
      </c>
      <c r="Q1864" s="129"/>
      <c r="R1864" s="183" t="str">
        <f>IF(Table1[[#This Row],[Actual Effort (Hours)]]="","",IF(Table1[[#This Row],[Estimated Effort (Hours)]]&lt;20,"L1",IF(Table1[[#This Row],[Estimated Effort (Hours)]]&lt;50,"L2",IF(Table1[[#This Row],[Estimated Effort (Hours)]]&lt;150,"L3",IF(Table1[[#This Row],[Estimated Effort (Hours)]]&lt;300,"L4","L5")))))</f>
        <v/>
      </c>
      <c r="S1864" s="184" t="str">
        <f>IF(Table1[[#This Row],[Actual End Date]]="","",TEXT(Table1[[#This Row],[Actual End Date]],"mmm-yy"))</f>
        <v/>
      </c>
      <c r="T186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4" s="185" t="str">
        <f>IFERROR((Table1[[#This Row],[Actual Effort (Hours)]]-Table1[[#This Row],[Estimated Effort (Hours)]])/Table1[[#This Row],[Estimated Effort (Hours)]],"")</f>
        <v/>
      </c>
    </row>
    <row r="1865" spans="2:21">
      <c r="B1865" s="125"/>
      <c r="C1865" s="123"/>
      <c r="D1865" s="143"/>
      <c r="E1865" s="123"/>
      <c r="F1865" s="143"/>
      <c r="G1865" s="129"/>
      <c r="H1865" s="124"/>
      <c r="I1865" s="124"/>
      <c r="J1865" s="129"/>
      <c r="K1865" s="194"/>
      <c r="L1865" s="194"/>
      <c r="M1865" s="129"/>
      <c r="N1865" s="129" t="e">
        <f>Table1[[#This Row],[Estimated Effort (Hours)]]/NETWORKDAYS(Table1[[#This Row],[Planned Start Date]],Table1[[#This Row],[Planned End Date]])</f>
        <v>#DIV/0!</v>
      </c>
      <c r="O1865" s="178">
        <f>NETWORKDAYS(Table1[[#This Row],[Planned Start Date]],Table1[[#This Row],[Planned End Date]])</f>
        <v>0</v>
      </c>
      <c r="P1865" s="178">
        <f>NETWORKDAYS(Table1[[#This Row],[Planned Start Date]],$P$7)</f>
        <v>30643</v>
      </c>
      <c r="Q1865" s="129"/>
      <c r="R1865" s="183" t="str">
        <f>IF(Table1[[#This Row],[Actual Effort (Hours)]]="","",IF(Table1[[#This Row],[Estimated Effort (Hours)]]&lt;20,"L1",IF(Table1[[#This Row],[Estimated Effort (Hours)]]&lt;50,"L2",IF(Table1[[#This Row],[Estimated Effort (Hours)]]&lt;150,"L3",IF(Table1[[#This Row],[Estimated Effort (Hours)]]&lt;300,"L4","L5")))))</f>
        <v/>
      </c>
      <c r="S1865" s="184" t="str">
        <f>IF(Table1[[#This Row],[Actual End Date]]="","",TEXT(Table1[[#This Row],[Actual End Date]],"mmm-yy"))</f>
        <v/>
      </c>
      <c r="T186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5" s="185" t="str">
        <f>IFERROR((Table1[[#This Row],[Actual Effort (Hours)]]-Table1[[#This Row],[Estimated Effort (Hours)]])/Table1[[#This Row],[Estimated Effort (Hours)]],"")</f>
        <v/>
      </c>
    </row>
    <row r="1866" spans="2:21">
      <c r="B1866" s="125"/>
      <c r="C1866" s="123"/>
      <c r="D1866" s="143"/>
      <c r="E1866" s="123"/>
      <c r="F1866" s="143"/>
      <c r="G1866" s="129"/>
      <c r="H1866" s="124"/>
      <c r="I1866" s="124"/>
      <c r="J1866" s="129"/>
      <c r="K1866" s="194"/>
      <c r="L1866" s="194"/>
      <c r="M1866" s="129"/>
      <c r="N1866" s="129" t="e">
        <f>Table1[[#This Row],[Estimated Effort (Hours)]]/NETWORKDAYS(Table1[[#This Row],[Planned Start Date]],Table1[[#This Row],[Planned End Date]])</f>
        <v>#DIV/0!</v>
      </c>
      <c r="O1866" s="178">
        <f>NETWORKDAYS(Table1[[#This Row],[Planned Start Date]],Table1[[#This Row],[Planned End Date]])</f>
        <v>0</v>
      </c>
      <c r="P1866" s="178">
        <f>NETWORKDAYS(Table1[[#This Row],[Planned Start Date]],$P$7)</f>
        <v>30643</v>
      </c>
      <c r="Q1866" s="129"/>
      <c r="R1866" s="183" t="str">
        <f>IF(Table1[[#This Row],[Actual Effort (Hours)]]="","",IF(Table1[[#This Row],[Estimated Effort (Hours)]]&lt;20,"L1",IF(Table1[[#This Row],[Estimated Effort (Hours)]]&lt;50,"L2",IF(Table1[[#This Row],[Estimated Effort (Hours)]]&lt;150,"L3",IF(Table1[[#This Row],[Estimated Effort (Hours)]]&lt;300,"L4","L5")))))</f>
        <v/>
      </c>
      <c r="S1866" s="184" t="str">
        <f>IF(Table1[[#This Row],[Actual End Date]]="","",TEXT(Table1[[#This Row],[Actual End Date]],"mmm-yy"))</f>
        <v/>
      </c>
      <c r="T186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6" s="185" t="str">
        <f>IFERROR((Table1[[#This Row],[Actual Effort (Hours)]]-Table1[[#This Row],[Estimated Effort (Hours)]])/Table1[[#This Row],[Estimated Effort (Hours)]],"")</f>
        <v/>
      </c>
    </row>
    <row r="1867" spans="2:21">
      <c r="B1867" s="125"/>
      <c r="C1867" s="123"/>
      <c r="D1867" s="143"/>
      <c r="E1867" s="123"/>
      <c r="F1867" s="143"/>
      <c r="G1867" s="129"/>
      <c r="H1867" s="124"/>
      <c r="I1867" s="124"/>
      <c r="J1867" s="129"/>
      <c r="K1867" s="194"/>
      <c r="L1867" s="194"/>
      <c r="M1867" s="129"/>
      <c r="N1867" s="129" t="e">
        <f>Table1[[#This Row],[Estimated Effort (Hours)]]/NETWORKDAYS(Table1[[#This Row],[Planned Start Date]],Table1[[#This Row],[Planned End Date]])</f>
        <v>#DIV/0!</v>
      </c>
      <c r="O1867" s="178">
        <f>NETWORKDAYS(Table1[[#This Row],[Planned Start Date]],Table1[[#This Row],[Planned End Date]])</f>
        <v>0</v>
      </c>
      <c r="P1867" s="178">
        <f>NETWORKDAYS(Table1[[#This Row],[Planned Start Date]],$P$7)</f>
        <v>30643</v>
      </c>
      <c r="Q1867" s="129"/>
      <c r="R1867" s="183" t="str">
        <f>IF(Table1[[#This Row],[Actual Effort (Hours)]]="","",IF(Table1[[#This Row],[Estimated Effort (Hours)]]&lt;20,"L1",IF(Table1[[#This Row],[Estimated Effort (Hours)]]&lt;50,"L2",IF(Table1[[#This Row],[Estimated Effort (Hours)]]&lt;150,"L3",IF(Table1[[#This Row],[Estimated Effort (Hours)]]&lt;300,"L4","L5")))))</f>
        <v/>
      </c>
      <c r="S1867" s="184" t="str">
        <f>IF(Table1[[#This Row],[Actual End Date]]="","",TEXT(Table1[[#This Row],[Actual End Date]],"mmm-yy"))</f>
        <v/>
      </c>
      <c r="T186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7" s="185" t="str">
        <f>IFERROR((Table1[[#This Row],[Actual Effort (Hours)]]-Table1[[#This Row],[Estimated Effort (Hours)]])/Table1[[#This Row],[Estimated Effort (Hours)]],"")</f>
        <v/>
      </c>
    </row>
    <row r="1868" spans="2:21">
      <c r="B1868" s="125"/>
      <c r="C1868" s="123"/>
      <c r="D1868" s="143"/>
      <c r="E1868" s="123"/>
      <c r="F1868" s="143"/>
      <c r="G1868" s="129"/>
      <c r="H1868" s="124"/>
      <c r="I1868" s="124"/>
      <c r="J1868" s="129"/>
      <c r="K1868" s="194"/>
      <c r="L1868" s="194"/>
      <c r="M1868" s="129"/>
      <c r="N1868" s="129" t="e">
        <f>Table1[[#This Row],[Estimated Effort (Hours)]]/NETWORKDAYS(Table1[[#This Row],[Planned Start Date]],Table1[[#This Row],[Planned End Date]])</f>
        <v>#DIV/0!</v>
      </c>
      <c r="O1868" s="178">
        <f>NETWORKDAYS(Table1[[#This Row],[Planned Start Date]],Table1[[#This Row],[Planned End Date]])</f>
        <v>0</v>
      </c>
      <c r="P1868" s="178">
        <f>NETWORKDAYS(Table1[[#This Row],[Planned Start Date]],$P$7)</f>
        <v>30643</v>
      </c>
      <c r="Q1868" s="129"/>
      <c r="R1868" s="183" t="str">
        <f>IF(Table1[[#This Row],[Actual Effort (Hours)]]="","",IF(Table1[[#This Row],[Estimated Effort (Hours)]]&lt;20,"L1",IF(Table1[[#This Row],[Estimated Effort (Hours)]]&lt;50,"L2",IF(Table1[[#This Row],[Estimated Effort (Hours)]]&lt;150,"L3",IF(Table1[[#This Row],[Estimated Effort (Hours)]]&lt;300,"L4","L5")))))</f>
        <v/>
      </c>
      <c r="S1868" s="184" t="str">
        <f>IF(Table1[[#This Row],[Actual End Date]]="","",TEXT(Table1[[#This Row],[Actual End Date]],"mmm-yy"))</f>
        <v/>
      </c>
      <c r="T186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8" s="185" t="str">
        <f>IFERROR((Table1[[#This Row],[Actual Effort (Hours)]]-Table1[[#This Row],[Estimated Effort (Hours)]])/Table1[[#This Row],[Estimated Effort (Hours)]],"")</f>
        <v/>
      </c>
    </row>
    <row r="1869" spans="2:21">
      <c r="B1869" s="125"/>
      <c r="C1869" s="123"/>
      <c r="D1869" s="143"/>
      <c r="E1869" s="123"/>
      <c r="F1869" s="143"/>
      <c r="G1869" s="129"/>
      <c r="H1869" s="124"/>
      <c r="I1869" s="124"/>
      <c r="J1869" s="129"/>
      <c r="K1869" s="194"/>
      <c r="L1869" s="194"/>
      <c r="M1869" s="129"/>
      <c r="N1869" s="129" t="e">
        <f>Table1[[#This Row],[Estimated Effort (Hours)]]/NETWORKDAYS(Table1[[#This Row],[Planned Start Date]],Table1[[#This Row],[Planned End Date]])</f>
        <v>#DIV/0!</v>
      </c>
      <c r="O1869" s="178">
        <f>NETWORKDAYS(Table1[[#This Row],[Planned Start Date]],Table1[[#This Row],[Planned End Date]])</f>
        <v>0</v>
      </c>
      <c r="P1869" s="178">
        <f>NETWORKDAYS(Table1[[#This Row],[Planned Start Date]],$P$7)</f>
        <v>30643</v>
      </c>
      <c r="Q1869" s="129"/>
      <c r="R1869" s="183" t="str">
        <f>IF(Table1[[#This Row],[Actual Effort (Hours)]]="","",IF(Table1[[#This Row],[Estimated Effort (Hours)]]&lt;20,"L1",IF(Table1[[#This Row],[Estimated Effort (Hours)]]&lt;50,"L2",IF(Table1[[#This Row],[Estimated Effort (Hours)]]&lt;150,"L3",IF(Table1[[#This Row],[Estimated Effort (Hours)]]&lt;300,"L4","L5")))))</f>
        <v/>
      </c>
      <c r="S1869" s="184" t="str">
        <f>IF(Table1[[#This Row],[Actual End Date]]="","",TEXT(Table1[[#This Row],[Actual End Date]],"mmm-yy"))</f>
        <v/>
      </c>
      <c r="T186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69" s="185" t="str">
        <f>IFERROR((Table1[[#This Row],[Actual Effort (Hours)]]-Table1[[#This Row],[Estimated Effort (Hours)]])/Table1[[#This Row],[Estimated Effort (Hours)]],"")</f>
        <v/>
      </c>
    </row>
    <row r="1870" spans="2:21">
      <c r="B1870" s="125"/>
      <c r="C1870" s="123"/>
      <c r="D1870" s="143"/>
      <c r="E1870" s="123"/>
      <c r="F1870" s="143"/>
      <c r="G1870" s="129"/>
      <c r="H1870" s="124"/>
      <c r="I1870" s="124"/>
      <c r="J1870" s="129"/>
      <c r="K1870" s="194"/>
      <c r="L1870" s="194"/>
      <c r="M1870" s="129"/>
      <c r="N1870" s="129" t="e">
        <f>Table1[[#This Row],[Estimated Effort (Hours)]]/NETWORKDAYS(Table1[[#This Row],[Planned Start Date]],Table1[[#This Row],[Planned End Date]])</f>
        <v>#DIV/0!</v>
      </c>
      <c r="O1870" s="178">
        <f>NETWORKDAYS(Table1[[#This Row],[Planned Start Date]],Table1[[#This Row],[Planned End Date]])</f>
        <v>0</v>
      </c>
      <c r="P1870" s="178">
        <f>NETWORKDAYS(Table1[[#This Row],[Planned Start Date]],$P$7)</f>
        <v>30643</v>
      </c>
      <c r="Q1870" s="129"/>
      <c r="R1870" s="183" t="str">
        <f>IF(Table1[[#This Row],[Actual Effort (Hours)]]="","",IF(Table1[[#This Row],[Estimated Effort (Hours)]]&lt;20,"L1",IF(Table1[[#This Row],[Estimated Effort (Hours)]]&lt;50,"L2",IF(Table1[[#This Row],[Estimated Effort (Hours)]]&lt;150,"L3",IF(Table1[[#This Row],[Estimated Effort (Hours)]]&lt;300,"L4","L5")))))</f>
        <v/>
      </c>
      <c r="S1870" s="184" t="str">
        <f>IF(Table1[[#This Row],[Actual End Date]]="","",TEXT(Table1[[#This Row],[Actual End Date]],"mmm-yy"))</f>
        <v/>
      </c>
      <c r="T187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0" s="185" t="str">
        <f>IFERROR((Table1[[#This Row],[Actual Effort (Hours)]]-Table1[[#This Row],[Estimated Effort (Hours)]])/Table1[[#This Row],[Estimated Effort (Hours)]],"")</f>
        <v/>
      </c>
    </row>
    <row r="1871" spans="2:21">
      <c r="B1871" s="125"/>
      <c r="C1871" s="123"/>
      <c r="D1871" s="143"/>
      <c r="E1871" s="123"/>
      <c r="F1871" s="143"/>
      <c r="G1871" s="129"/>
      <c r="H1871" s="124"/>
      <c r="I1871" s="124"/>
      <c r="J1871" s="129"/>
      <c r="K1871" s="194"/>
      <c r="L1871" s="194"/>
      <c r="M1871" s="129"/>
      <c r="N1871" s="129" t="e">
        <f>Table1[[#This Row],[Estimated Effort (Hours)]]/NETWORKDAYS(Table1[[#This Row],[Planned Start Date]],Table1[[#This Row],[Planned End Date]])</f>
        <v>#DIV/0!</v>
      </c>
      <c r="O1871" s="178">
        <f>NETWORKDAYS(Table1[[#This Row],[Planned Start Date]],Table1[[#This Row],[Planned End Date]])</f>
        <v>0</v>
      </c>
      <c r="P1871" s="178">
        <f>NETWORKDAYS(Table1[[#This Row],[Planned Start Date]],$P$7)</f>
        <v>30643</v>
      </c>
      <c r="Q1871" s="129"/>
      <c r="R1871" s="183" t="str">
        <f>IF(Table1[[#This Row],[Actual Effort (Hours)]]="","",IF(Table1[[#This Row],[Estimated Effort (Hours)]]&lt;20,"L1",IF(Table1[[#This Row],[Estimated Effort (Hours)]]&lt;50,"L2",IF(Table1[[#This Row],[Estimated Effort (Hours)]]&lt;150,"L3",IF(Table1[[#This Row],[Estimated Effort (Hours)]]&lt;300,"L4","L5")))))</f>
        <v/>
      </c>
      <c r="S1871" s="184" t="str">
        <f>IF(Table1[[#This Row],[Actual End Date]]="","",TEXT(Table1[[#This Row],[Actual End Date]],"mmm-yy"))</f>
        <v/>
      </c>
      <c r="T187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1" s="185" t="str">
        <f>IFERROR((Table1[[#This Row],[Actual Effort (Hours)]]-Table1[[#This Row],[Estimated Effort (Hours)]])/Table1[[#This Row],[Estimated Effort (Hours)]],"")</f>
        <v/>
      </c>
    </row>
    <row r="1872" spans="2:21">
      <c r="B1872" s="125"/>
      <c r="C1872" s="123"/>
      <c r="D1872" s="143"/>
      <c r="E1872" s="123"/>
      <c r="F1872" s="143"/>
      <c r="G1872" s="129"/>
      <c r="H1872" s="124"/>
      <c r="I1872" s="124"/>
      <c r="J1872" s="129"/>
      <c r="K1872" s="194"/>
      <c r="L1872" s="194"/>
      <c r="M1872" s="129"/>
      <c r="N1872" s="129" t="e">
        <f>Table1[[#This Row],[Estimated Effort (Hours)]]/NETWORKDAYS(Table1[[#This Row],[Planned Start Date]],Table1[[#This Row],[Planned End Date]])</f>
        <v>#DIV/0!</v>
      </c>
      <c r="O1872" s="178">
        <f>NETWORKDAYS(Table1[[#This Row],[Planned Start Date]],Table1[[#This Row],[Planned End Date]])</f>
        <v>0</v>
      </c>
      <c r="P1872" s="178">
        <f>NETWORKDAYS(Table1[[#This Row],[Planned Start Date]],$P$7)</f>
        <v>30643</v>
      </c>
      <c r="Q1872" s="129"/>
      <c r="R1872" s="183" t="str">
        <f>IF(Table1[[#This Row],[Actual Effort (Hours)]]="","",IF(Table1[[#This Row],[Estimated Effort (Hours)]]&lt;20,"L1",IF(Table1[[#This Row],[Estimated Effort (Hours)]]&lt;50,"L2",IF(Table1[[#This Row],[Estimated Effort (Hours)]]&lt;150,"L3",IF(Table1[[#This Row],[Estimated Effort (Hours)]]&lt;300,"L4","L5")))))</f>
        <v/>
      </c>
      <c r="S1872" s="184" t="str">
        <f>IF(Table1[[#This Row],[Actual End Date]]="","",TEXT(Table1[[#This Row],[Actual End Date]],"mmm-yy"))</f>
        <v/>
      </c>
      <c r="T187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2" s="185" t="str">
        <f>IFERROR((Table1[[#This Row],[Actual Effort (Hours)]]-Table1[[#This Row],[Estimated Effort (Hours)]])/Table1[[#This Row],[Estimated Effort (Hours)]],"")</f>
        <v/>
      </c>
    </row>
    <row r="1873" spans="2:21">
      <c r="B1873" s="125"/>
      <c r="C1873" s="123"/>
      <c r="D1873" s="143"/>
      <c r="E1873" s="123"/>
      <c r="F1873" s="143"/>
      <c r="G1873" s="129"/>
      <c r="H1873" s="124"/>
      <c r="I1873" s="124"/>
      <c r="J1873" s="129"/>
      <c r="K1873" s="194"/>
      <c r="L1873" s="194"/>
      <c r="M1873" s="129"/>
      <c r="N1873" s="129" t="e">
        <f>Table1[[#This Row],[Estimated Effort (Hours)]]/NETWORKDAYS(Table1[[#This Row],[Planned Start Date]],Table1[[#This Row],[Planned End Date]])</f>
        <v>#DIV/0!</v>
      </c>
      <c r="O1873" s="178">
        <f>NETWORKDAYS(Table1[[#This Row],[Planned Start Date]],Table1[[#This Row],[Planned End Date]])</f>
        <v>0</v>
      </c>
      <c r="P1873" s="178">
        <f>NETWORKDAYS(Table1[[#This Row],[Planned Start Date]],$P$7)</f>
        <v>30643</v>
      </c>
      <c r="Q1873" s="129"/>
      <c r="R1873" s="183" t="str">
        <f>IF(Table1[[#This Row],[Actual Effort (Hours)]]="","",IF(Table1[[#This Row],[Estimated Effort (Hours)]]&lt;20,"L1",IF(Table1[[#This Row],[Estimated Effort (Hours)]]&lt;50,"L2",IF(Table1[[#This Row],[Estimated Effort (Hours)]]&lt;150,"L3",IF(Table1[[#This Row],[Estimated Effort (Hours)]]&lt;300,"L4","L5")))))</f>
        <v/>
      </c>
      <c r="S1873" s="184" t="str">
        <f>IF(Table1[[#This Row],[Actual End Date]]="","",TEXT(Table1[[#This Row],[Actual End Date]],"mmm-yy"))</f>
        <v/>
      </c>
      <c r="T187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3" s="185" t="str">
        <f>IFERROR((Table1[[#This Row],[Actual Effort (Hours)]]-Table1[[#This Row],[Estimated Effort (Hours)]])/Table1[[#This Row],[Estimated Effort (Hours)]],"")</f>
        <v/>
      </c>
    </row>
    <row r="1874" spans="2:21">
      <c r="B1874" s="125"/>
      <c r="C1874" s="123"/>
      <c r="D1874" s="143"/>
      <c r="E1874" s="123"/>
      <c r="F1874" s="143"/>
      <c r="G1874" s="129"/>
      <c r="H1874" s="124"/>
      <c r="I1874" s="124"/>
      <c r="J1874" s="129"/>
      <c r="K1874" s="194"/>
      <c r="L1874" s="194"/>
      <c r="M1874" s="129"/>
      <c r="N1874" s="129" t="e">
        <f>Table1[[#This Row],[Estimated Effort (Hours)]]/NETWORKDAYS(Table1[[#This Row],[Planned Start Date]],Table1[[#This Row],[Planned End Date]])</f>
        <v>#DIV/0!</v>
      </c>
      <c r="O1874" s="178">
        <f>NETWORKDAYS(Table1[[#This Row],[Planned Start Date]],Table1[[#This Row],[Planned End Date]])</f>
        <v>0</v>
      </c>
      <c r="P1874" s="178">
        <f>NETWORKDAYS(Table1[[#This Row],[Planned Start Date]],$P$7)</f>
        <v>30643</v>
      </c>
      <c r="Q1874" s="129"/>
      <c r="R1874" s="183" t="str">
        <f>IF(Table1[[#This Row],[Actual Effort (Hours)]]="","",IF(Table1[[#This Row],[Estimated Effort (Hours)]]&lt;20,"L1",IF(Table1[[#This Row],[Estimated Effort (Hours)]]&lt;50,"L2",IF(Table1[[#This Row],[Estimated Effort (Hours)]]&lt;150,"L3",IF(Table1[[#This Row],[Estimated Effort (Hours)]]&lt;300,"L4","L5")))))</f>
        <v/>
      </c>
      <c r="S1874" s="184" t="str">
        <f>IF(Table1[[#This Row],[Actual End Date]]="","",TEXT(Table1[[#This Row],[Actual End Date]],"mmm-yy"))</f>
        <v/>
      </c>
      <c r="T187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4" s="185" t="str">
        <f>IFERROR((Table1[[#This Row],[Actual Effort (Hours)]]-Table1[[#This Row],[Estimated Effort (Hours)]])/Table1[[#This Row],[Estimated Effort (Hours)]],"")</f>
        <v/>
      </c>
    </row>
    <row r="1875" spans="2:21">
      <c r="B1875" s="125"/>
      <c r="C1875" s="123"/>
      <c r="D1875" s="143"/>
      <c r="E1875" s="123"/>
      <c r="F1875" s="143"/>
      <c r="G1875" s="129"/>
      <c r="H1875" s="124"/>
      <c r="I1875" s="124"/>
      <c r="J1875" s="129"/>
      <c r="K1875" s="194"/>
      <c r="L1875" s="194"/>
      <c r="M1875" s="129"/>
      <c r="N1875" s="129" t="e">
        <f>Table1[[#This Row],[Estimated Effort (Hours)]]/NETWORKDAYS(Table1[[#This Row],[Planned Start Date]],Table1[[#This Row],[Planned End Date]])</f>
        <v>#DIV/0!</v>
      </c>
      <c r="O1875" s="178">
        <f>NETWORKDAYS(Table1[[#This Row],[Planned Start Date]],Table1[[#This Row],[Planned End Date]])</f>
        <v>0</v>
      </c>
      <c r="P1875" s="178">
        <f>NETWORKDAYS(Table1[[#This Row],[Planned Start Date]],$P$7)</f>
        <v>30643</v>
      </c>
      <c r="Q1875" s="129"/>
      <c r="R1875" s="183" t="str">
        <f>IF(Table1[[#This Row],[Actual Effort (Hours)]]="","",IF(Table1[[#This Row],[Estimated Effort (Hours)]]&lt;20,"L1",IF(Table1[[#This Row],[Estimated Effort (Hours)]]&lt;50,"L2",IF(Table1[[#This Row],[Estimated Effort (Hours)]]&lt;150,"L3",IF(Table1[[#This Row],[Estimated Effort (Hours)]]&lt;300,"L4","L5")))))</f>
        <v/>
      </c>
      <c r="S1875" s="184" t="str">
        <f>IF(Table1[[#This Row],[Actual End Date]]="","",TEXT(Table1[[#This Row],[Actual End Date]],"mmm-yy"))</f>
        <v/>
      </c>
      <c r="T187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5" s="185" t="str">
        <f>IFERROR((Table1[[#This Row],[Actual Effort (Hours)]]-Table1[[#This Row],[Estimated Effort (Hours)]])/Table1[[#This Row],[Estimated Effort (Hours)]],"")</f>
        <v/>
      </c>
    </row>
    <row r="1876" spans="2:21">
      <c r="B1876" s="125"/>
      <c r="C1876" s="123"/>
      <c r="D1876" s="143"/>
      <c r="E1876" s="123"/>
      <c r="F1876" s="143"/>
      <c r="G1876" s="129"/>
      <c r="H1876" s="124"/>
      <c r="I1876" s="124"/>
      <c r="J1876" s="129"/>
      <c r="K1876" s="194"/>
      <c r="L1876" s="194"/>
      <c r="M1876" s="129"/>
      <c r="N1876" s="129" t="e">
        <f>Table1[[#This Row],[Estimated Effort (Hours)]]/NETWORKDAYS(Table1[[#This Row],[Planned Start Date]],Table1[[#This Row],[Planned End Date]])</f>
        <v>#DIV/0!</v>
      </c>
      <c r="O1876" s="178">
        <f>NETWORKDAYS(Table1[[#This Row],[Planned Start Date]],Table1[[#This Row],[Planned End Date]])</f>
        <v>0</v>
      </c>
      <c r="P1876" s="178">
        <f>NETWORKDAYS(Table1[[#This Row],[Planned Start Date]],$P$7)</f>
        <v>30643</v>
      </c>
      <c r="Q1876" s="129"/>
      <c r="R1876" s="183" t="str">
        <f>IF(Table1[[#This Row],[Actual Effort (Hours)]]="","",IF(Table1[[#This Row],[Estimated Effort (Hours)]]&lt;20,"L1",IF(Table1[[#This Row],[Estimated Effort (Hours)]]&lt;50,"L2",IF(Table1[[#This Row],[Estimated Effort (Hours)]]&lt;150,"L3",IF(Table1[[#This Row],[Estimated Effort (Hours)]]&lt;300,"L4","L5")))))</f>
        <v/>
      </c>
      <c r="S1876" s="184" t="str">
        <f>IF(Table1[[#This Row],[Actual End Date]]="","",TEXT(Table1[[#This Row],[Actual End Date]],"mmm-yy"))</f>
        <v/>
      </c>
      <c r="T187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6" s="185" t="str">
        <f>IFERROR((Table1[[#This Row],[Actual Effort (Hours)]]-Table1[[#This Row],[Estimated Effort (Hours)]])/Table1[[#This Row],[Estimated Effort (Hours)]],"")</f>
        <v/>
      </c>
    </row>
    <row r="1877" spans="2:21">
      <c r="B1877" s="125"/>
      <c r="C1877" s="123"/>
      <c r="D1877" s="143"/>
      <c r="E1877" s="123"/>
      <c r="F1877" s="143"/>
      <c r="G1877" s="129"/>
      <c r="H1877" s="124"/>
      <c r="I1877" s="124"/>
      <c r="J1877" s="129"/>
      <c r="K1877" s="194"/>
      <c r="L1877" s="194"/>
      <c r="M1877" s="129"/>
      <c r="N1877" s="129" t="e">
        <f>Table1[[#This Row],[Estimated Effort (Hours)]]/NETWORKDAYS(Table1[[#This Row],[Planned Start Date]],Table1[[#This Row],[Planned End Date]])</f>
        <v>#DIV/0!</v>
      </c>
      <c r="O1877" s="178">
        <f>NETWORKDAYS(Table1[[#This Row],[Planned Start Date]],Table1[[#This Row],[Planned End Date]])</f>
        <v>0</v>
      </c>
      <c r="P1877" s="178">
        <f>NETWORKDAYS(Table1[[#This Row],[Planned Start Date]],$P$7)</f>
        <v>30643</v>
      </c>
      <c r="Q1877" s="129"/>
      <c r="R1877" s="183" t="str">
        <f>IF(Table1[[#This Row],[Actual Effort (Hours)]]="","",IF(Table1[[#This Row],[Estimated Effort (Hours)]]&lt;20,"L1",IF(Table1[[#This Row],[Estimated Effort (Hours)]]&lt;50,"L2",IF(Table1[[#This Row],[Estimated Effort (Hours)]]&lt;150,"L3",IF(Table1[[#This Row],[Estimated Effort (Hours)]]&lt;300,"L4","L5")))))</f>
        <v/>
      </c>
      <c r="S1877" s="184" t="str">
        <f>IF(Table1[[#This Row],[Actual End Date]]="","",TEXT(Table1[[#This Row],[Actual End Date]],"mmm-yy"))</f>
        <v/>
      </c>
      <c r="T187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7" s="185" t="str">
        <f>IFERROR((Table1[[#This Row],[Actual Effort (Hours)]]-Table1[[#This Row],[Estimated Effort (Hours)]])/Table1[[#This Row],[Estimated Effort (Hours)]],"")</f>
        <v/>
      </c>
    </row>
    <row r="1878" spans="2:21">
      <c r="B1878" s="125"/>
      <c r="C1878" s="123"/>
      <c r="D1878" s="143"/>
      <c r="E1878" s="123"/>
      <c r="F1878" s="143"/>
      <c r="G1878" s="129"/>
      <c r="H1878" s="124"/>
      <c r="I1878" s="124"/>
      <c r="J1878" s="129"/>
      <c r="K1878" s="194"/>
      <c r="L1878" s="194"/>
      <c r="M1878" s="129"/>
      <c r="N1878" s="129" t="e">
        <f>Table1[[#This Row],[Estimated Effort (Hours)]]/NETWORKDAYS(Table1[[#This Row],[Planned Start Date]],Table1[[#This Row],[Planned End Date]])</f>
        <v>#DIV/0!</v>
      </c>
      <c r="O1878" s="178">
        <f>NETWORKDAYS(Table1[[#This Row],[Planned Start Date]],Table1[[#This Row],[Planned End Date]])</f>
        <v>0</v>
      </c>
      <c r="P1878" s="178">
        <f>NETWORKDAYS(Table1[[#This Row],[Planned Start Date]],$P$7)</f>
        <v>30643</v>
      </c>
      <c r="Q1878" s="129"/>
      <c r="R1878" s="183" t="str">
        <f>IF(Table1[[#This Row],[Actual Effort (Hours)]]="","",IF(Table1[[#This Row],[Estimated Effort (Hours)]]&lt;20,"L1",IF(Table1[[#This Row],[Estimated Effort (Hours)]]&lt;50,"L2",IF(Table1[[#This Row],[Estimated Effort (Hours)]]&lt;150,"L3",IF(Table1[[#This Row],[Estimated Effort (Hours)]]&lt;300,"L4","L5")))))</f>
        <v/>
      </c>
      <c r="S1878" s="184" t="str">
        <f>IF(Table1[[#This Row],[Actual End Date]]="","",TEXT(Table1[[#This Row],[Actual End Date]],"mmm-yy"))</f>
        <v/>
      </c>
      <c r="T187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8" s="185" t="str">
        <f>IFERROR((Table1[[#This Row],[Actual Effort (Hours)]]-Table1[[#This Row],[Estimated Effort (Hours)]])/Table1[[#This Row],[Estimated Effort (Hours)]],"")</f>
        <v/>
      </c>
    </row>
    <row r="1879" spans="2:21">
      <c r="B1879" s="125"/>
      <c r="C1879" s="123"/>
      <c r="D1879" s="143"/>
      <c r="E1879" s="123"/>
      <c r="F1879" s="143"/>
      <c r="G1879" s="129"/>
      <c r="H1879" s="124"/>
      <c r="I1879" s="124"/>
      <c r="J1879" s="129"/>
      <c r="K1879" s="194"/>
      <c r="L1879" s="194"/>
      <c r="M1879" s="129"/>
      <c r="N1879" s="129" t="e">
        <f>Table1[[#This Row],[Estimated Effort (Hours)]]/NETWORKDAYS(Table1[[#This Row],[Planned Start Date]],Table1[[#This Row],[Planned End Date]])</f>
        <v>#DIV/0!</v>
      </c>
      <c r="O1879" s="178">
        <f>NETWORKDAYS(Table1[[#This Row],[Planned Start Date]],Table1[[#This Row],[Planned End Date]])</f>
        <v>0</v>
      </c>
      <c r="P1879" s="178">
        <f>NETWORKDAYS(Table1[[#This Row],[Planned Start Date]],$P$7)</f>
        <v>30643</v>
      </c>
      <c r="Q1879" s="129"/>
      <c r="R1879" s="183" t="str">
        <f>IF(Table1[[#This Row],[Actual Effort (Hours)]]="","",IF(Table1[[#This Row],[Estimated Effort (Hours)]]&lt;20,"L1",IF(Table1[[#This Row],[Estimated Effort (Hours)]]&lt;50,"L2",IF(Table1[[#This Row],[Estimated Effort (Hours)]]&lt;150,"L3",IF(Table1[[#This Row],[Estimated Effort (Hours)]]&lt;300,"L4","L5")))))</f>
        <v/>
      </c>
      <c r="S1879" s="184" t="str">
        <f>IF(Table1[[#This Row],[Actual End Date]]="","",TEXT(Table1[[#This Row],[Actual End Date]],"mmm-yy"))</f>
        <v/>
      </c>
      <c r="T187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79" s="185" t="str">
        <f>IFERROR((Table1[[#This Row],[Actual Effort (Hours)]]-Table1[[#This Row],[Estimated Effort (Hours)]])/Table1[[#This Row],[Estimated Effort (Hours)]],"")</f>
        <v/>
      </c>
    </row>
    <row r="1880" spans="2:21">
      <c r="B1880" s="125"/>
      <c r="C1880" s="123"/>
      <c r="D1880" s="143"/>
      <c r="E1880" s="123"/>
      <c r="F1880" s="143"/>
      <c r="G1880" s="129"/>
      <c r="H1880" s="124"/>
      <c r="I1880" s="124"/>
      <c r="J1880" s="129"/>
      <c r="K1880" s="194"/>
      <c r="L1880" s="194"/>
      <c r="M1880" s="129"/>
      <c r="N1880" s="129" t="e">
        <f>Table1[[#This Row],[Estimated Effort (Hours)]]/NETWORKDAYS(Table1[[#This Row],[Planned Start Date]],Table1[[#This Row],[Planned End Date]])</f>
        <v>#DIV/0!</v>
      </c>
      <c r="O1880" s="178">
        <f>NETWORKDAYS(Table1[[#This Row],[Planned Start Date]],Table1[[#This Row],[Planned End Date]])</f>
        <v>0</v>
      </c>
      <c r="P1880" s="178">
        <f>NETWORKDAYS(Table1[[#This Row],[Planned Start Date]],$P$7)</f>
        <v>30643</v>
      </c>
      <c r="Q1880" s="129"/>
      <c r="R1880" s="183" t="str">
        <f>IF(Table1[[#This Row],[Actual Effort (Hours)]]="","",IF(Table1[[#This Row],[Estimated Effort (Hours)]]&lt;20,"L1",IF(Table1[[#This Row],[Estimated Effort (Hours)]]&lt;50,"L2",IF(Table1[[#This Row],[Estimated Effort (Hours)]]&lt;150,"L3",IF(Table1[[#This Row],[Estimated Effort (Hours)]]&lt;300,"L4","L5")))))</f>
        <v/>
      </c>
      <c r="S1880" s="184" t="str">
        <f>IF(Table1[[#This Row],[Actual End Date]]="","",TEXT(Table1[[#This Row],[Actual End Date]],"mmm-yy"))</f>
        <v/>
      </c>
      <c r="T188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0" s="185" t="str">
        <f>IFERROR((Table1[[#This Row],[Actual Effort (Hours)]]-Table1[[#This Row],[Estimated Effort (Hours)]])/Table1[[#This Row],[Estimated Effort (Hours)]],"")</f>
        <v/>
      </c>
    </row>
    <row r="1881" spans="2:21">
      <c r="B1881" s="125"/>
      <c r="C1881" s="123"/>
      <c r="D1881" s="143"/>
      <c r="E1881" s="123"/>
      <c r="F1881" s="143"/>
      <c r="G1881" s="129"/>
      <c r="H1881" s="124"/>
      <c r="I1881" s="124"/>
      <c r="J1881" s="129"/>
      <c r="K1881" s="194"/>
      <c r="L1881" s="194"/>
      <c r="M1881" s="129"/>
      <c r="N1881" s="129" t="e">
        <f>Table1[[#This Row],[Estimated Effort (Hours)]]/NETWORKDAYS(Table1[[#This Row],[Planned Start Date]],Table1[[#This Row],[Planned End Date]])</f>
        <v>#DIV/0!</v>
      </c>
      <c r="O1881" s="178">
        <f>NETWORKDAYS(Table1[[#This Row],[Planned Start Date]],Table1[[#This Row],[Planned End Date]])</f>
        <v>0</v>
      </c>
      <c r="P1881" s="178">
        <f>NETWORKDAYS(Table1[[#This Row],[Planned Start Date]],$P$7)</f>
        <v>30643</v>
      </c>
      <c r="Q1881" s="129"/>
      <c r="R1881" s="183" t="str">
        <f>IF(Table1[[#This Row],[Actual Effort (Hours)]]="","",IF(Table1[[#This Row],[Estimated Effort (Hours)]]&lt;20,"L1",IF(Table1[[#This Row],[Estimated Effort (Hours)]]&lt;50,"L2",IF(Table1[[#This Row],[Estimated Effort (Hours)]]&lt;150,"L3",IF(Table1[[#This Row],[Estimated Effort (Hours)]]&lt;300,"L4","L5")))))</f>
        <v/>
      </c>
      <c r="S1881" s="184" t="str">
        <f>IF(Table1[[#This Row],[Actual End Date]]="","",TEXT(Table1[[#This Row],[Actual End Date]],"mmm-yy"))</f>
        <v/>
      </c>
      <c r="T188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1" s="185" t="str">
        <f>IFERROR((Table1[[#This Row],[Actual Effort (Hours)]]-Table1[[#This Row],[Estimated Effort (Hours)]])/Table1[[#This Row],[Estimated Effort (Hours)]],"")</f>
        <v/>
      </c>
    </row>
    <row r="1882" spans="2:21">
      <c r="B1882" s="125"/>
      <c r="C1882" s="123"/>
      <c r="D1882" s="143"/>
      <c r="E1882" s="123"/>
      <c r="F1882" s="143"/>
      <c r="G1882" s="129"/>
      <c r="H1882" s="124"/>
      <c r="I1882" s="124"/>
      <c r="J1882" s="129"/>
      <c r="K1882" s="194"/>
      <c r="L1882" s="194"/>
      <c r="M1882" s="129"/>
      <c r="N1882" s="129" t="e">
        <f>Table1[[#This Row],[Estimated Effort (Hours)]]/NETWORKDAYS(Table1[[#This Row],[Planned Start Date]],Table1[[#This Row],[Planned End Date]])</f>
        <v>#DIV/0!</v>
      </c>
      <c r="O1882" s="178">
        <f>NETWORKDAYS(Table1[[#This Row],[Planned Start Date]],Table1[[#This Row],[Planned End Date]])</f>
        <v>0</v>
      </c>
      <c r="P1882" s="178">
        <f>NETWORKDAYS(Table1[[#This Row],[Planned Start Date]],$P$7)</f>
        <v>30643</v>
      </c>
      <c r="Q1882" s="129"/>
      <c r="R1882" s="183" t="str">
        <f>IF(Table1[[#This Row],[Actual Effort (Hours)]]="","",IF(Table1[[#This Row],[Estimated Effort (Hours)]]&lt;20,"L1",IF(Table1[[#This Row],[Estimated Effort (Hours)]]&lt;50,"L2",IF(Table1[[#This Row],[Estimated Effort (Hours)]]&lt;150,"L3",IF(Table1[[#This Row],[Estimated Effort (Hours)]]&lt;300,"L4","L5")))))</f>
        <v/>
      </c>
      <c r="S1882" s="184" t="str">
        <f>IF(Table1[[#This Row],[Actual End Date]]="","",TEXT(Table1[[#This Row],[Actual End Date]],"mmm-yy"))</f>
        <v/>
      </c>
      <c r="T188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2" s="185" t="str">
        <f>IFERROR((Table1[[#This Row],[Actual Effort (Hours)]]-Table1[[#This Row],[Estimated Effort (Hours)]])/Table1[[#This Row],[Estimated Effort (Hours)]],"")</f>
        <v/>
      </c>
    </row>
    <row r="1883" spans="2:21">
      <c r="B1883" s="125"/>
      <c r="C1883" s="123"/>
      <c r="D1883" s="143"/>
      <c r="E1883" s="123"/>
      <c r="F1883" s="143"/>
      <c r="G1883" s="129"/>
      <c r="H1883" s="124"/>
      <c r="I1883" s="124"/>
      <c r="J1883" s="129"/>
      <c r="K1883" s="194"/>
      <c r="L1883" s="194"/>
      <c r="M1883" s="129"/>
      <c r="N1883" s="129" t="e">
        <f>Table1[[#This Row],[Estimated Effort (Hours)]]/NETWORKDAYS(Table1[[#This Row],[Planned Start Date]],Table1[[#This Row],[Planned End Date]])</f>
        <v>#DIV/0!</v>
      </c>
      <c r="O1883" s="178">
        <f>NETWORKDAYS(Table1[[#This Row],[Planned Start Date]],Table1[[#This Row],[Planned End Date]])</f>
        <v>0</v>
      </c>
      <c r="P1883" s="178">
        <f>NETWORKDAYS(Table1[[#This Row],[Planned Start Date]],$P$7)</f>
        <v>30643</v>
      </c>
      <c r="Q1883" s="129"/>
      <c r="R1883" s="183" t="str">
        <f>IF(Table1[[#This Row],[Actual Effort (Hours)]]="","",IF(Table1[[#This Row],[Estimated Effort (Hours)]]&lt;20,"L1",IF(Table1[[#This Row],[Estimated Effort (Hours)]]&lt;50,"L2",IF(Table1[[#This Row],[Estimated Effort (Hours)]]&lt;150,"L3",IF(Table1[[#This Row],[Estimated Effort (Hours)]]&lt;300,"L4","L5")))))</f>
        <v/>
      </c>
      <c r="S1883" s="184" t="str">
        <f>IF(Table1[[#This Row],[Actual End Date]]="","",TEXT(Table1[[#This Row],[Actual End Date]],"mmm-yy"))</f>
        <v/>
      </c>
      <c r="T188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3" s="185" t="str">
        <f>IFERROR((Table1[[#This Row],[Actual Effort (Hours)]]-Table1[[#This Row],[Estimated Effort (Hours)]])/Table1[[#This Row],[Estimated Effort (Hours)]],"")</f>
        <v/>
      </c>
    </row>
    <row r="1884" spans="2:21">
      <c r="B1884" s="125"/>
      <c r="C1884" s="123"/>
      <c r="D1884" s="143"/>
      <c r="E1884" s="123"/>
      <c r="F1884" s="143"/>
      <c r="G1884" s="129"/>
      <c r="H1884" s="124"/>
      <c r="I1884" s="124"/>
      <c r="J1884" s="129"/>
      <c r="K1884" s="194"/>
      <c r="L1884" s="194"/>
      <c r="M1884" s="129"/>
      <c r="N1884" s="129" t="e">
        <f>Table1[[#This Row],[Estimated Effort (Hours)]]/NETWORKDAYS(Table1[[#This Row],[Planned Start Date]],Table1[[#This Row],[Planned End Date]])</f>
        <v>#DIV/0!</v>
      </c>
      <c r="O1884" s="178">
        <f>NETWORKDAYS(Table1[[#This Row],[Planned Start Date]],Table1[[#This Row],[Planned End Date]])</f>
        <v>0</v>
      </c>
      <c r="P1884" s="178">
        <f>NETWORKDAYS(Table1[[#This Row],[Planned Start Date]],$P$7)</f>
        <v>30643</v>
      </c>
      <c r="Q1884" s="129"/>
      <c r="R1884" s="183" t="str">
        <f>IF(Table1[[#This Row],[Actual Effort (Hours)]]="","",IF(Table1[[#This Row],[Estimated Effort (Hours)]]&lt;20,"L1",IF(Table1[[#This Row],[Estimated Effort (Hours)]]&lt;50,"L2",IF(Table1[[#This Row],[Estimated Effort (Hours)]]&lt;150,"L3",IF(Table1[[#This Row],[Estimated Effort (Hours)]]&lt;300,"L4","L5")))))</f>
        <v/>
      </c>
      <c r="S1884" s="184" t="str">
        <f>IF(Table1[[#This Row],[Actual End Date]]="","",TEXT(Table1[[#This Row],[Actual End Date]],"mmm-yy"))</f>
        <v/>
      </c>
      <c r="T188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4" s="185" t="str">
        <f>IFERROR((Table1[[#This Row],[Actual Effort (Hours)]]-Table1[[#This Row],[Estimated Effort (Hours)]])/Table1[[#This Row],[Estimated Effort (Hours)]],"")</f>
        <v/>
      </c>
    </row>
    <row r="1885" spans="2:21">
      <c r="B1885" s="125"/>
      <c r="C1885" s="123"/>
      <c r="D1885" s="143"/>
      <c r="E1885" s="123"/>
      <c r="F1885" s="143"/>
      <c r="G1885" s="129"/>
      <c r="H1885" s="124"/>
      <c r="I1885" s="124"/>
      <c r="J1885" s="129"/>
      <c r="K1885" s="194"/>
      <c r="L1885" s="194"/>
      <c r="M1885" s="129"/>
      <c r="N1885" s="129" t="e">
        <f>Table1[[#This Row],[Estimated Effort (Hours)]]/NETWORKDAYS(Table1[[#This Row],[Planned Start Date]],Table1[[#This Row],[Planned End Date]])</f>
        <v>#DIV/0!</v>
      </c>
      <c r="O1885" s="178">
        <f>NETWORKDAYS(Table1[[#This Row],[Planned Start Date]],Table1[[#This Row],[Planned End Date]])</f>
        <v>0</v>
      </c>
      <c r="P1885" s="178">
        <f>NETWORKDAYS(Table1[[#This Row],[Planned Start Date]],$P$7)</f>
        <v>30643</v>
      </c>
      <c r="Q1885" s="129"/>
      <c r="R1885" s="183" t="str">
        <f>IF(Table1[[#This Row],[Actual Effort (Hours)]]="","",IF(Table1[[#This Row],[Estimated Effort (Hours)]]&lt;20,"L1",IF(Table1[[#This Row],[Estimated Effort (Hours)]]&lt;50,"L2",IF(Table1[[#This Row],[Estimated Effort (Hours)]]&lt;150,"L3",IF(Table1[[#This Row],[Estimated Effort (Hours)]]&lt;300,"L4","L5")))))</f>
        <v/>
      </c>
      <c r="S1885" s="184" t="str">
        <f>IF(Table1[[#This Row],[Actual End Date]]="","",TEXT(Table1[[#This Row],[Actual End Date]],"mmm-yy"))</f>
        <v/>
      </c>
      <c r="T188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5" s="185" t="str">
        <f>IFERROR((Table1[[#This Row],[Actual Effort (Hours)]]-Table1[[#This Row],[Estimated Effort (Hours)]])/Table1[[#This Row],[Estimated Effort (Hours)]],"")</f>
        <v/>
      </c>
    </row>
    <row r="1886" spans="2:21">
      <c r="B1886" s="125"/>
      <c r="C1886" s="123"/>
      <c r="D1886" s="143"/>
      <c r="E1886" s="123"/>
      <c r="F1886" s="143"/>
      <c r="G1886" s="129"/>
      <c r="H1886" s="124"/>
      <c r="I1886" s="124"/>
      <c r="J1886" s="129"/>
      <c r="K1886" s="194"/>
      <c r="L1886" s="194"/>
      <c r="M1886" s="129"/>
      <c r="N1886" s="129" t="e">
        <f>Table1[[#This Row],[Estimated Effort (Hours)]]/NETWORKDAYS(Table1[[#This Row],[Planned Start Date]],Table1[[#This Row],[Planned End Date]])</f>
        <v>#DIV/0!</v>
      </c>
      <c r="O1886" s="178">
        <f>NETWORKDAYS(Table1[[#This Row],[Planned Start Date]],Table1[[#This Row],[Planned End Date]])</f>
        <v>0</v>
      </c>
      <c r="P1886" s="178">
        <f>NETWORKDAYS(Table1[[#This Row],[Planned Start Date]],$P$7)</f>
        <v>30643</v>
      </c>
      <c r="Q1886" s="129"/>
      <c r="R1886" s="183" t="str">
        <f>IF(Table1[[#This Row],[Actual Effort (Hours)]]="","",IF(Table1[[#This Row],[Estimated Effort (Hours)]]&lt;20,"L1",IF(Table1[[#This Row],[Estimated Effort (Hours)]]&lt;50,"L2",IF(Table1[[#This Row],[Estimated Effort (Hours)]]&lt;150,"L3",IF(Table1[[#This Row],[Estimated Effort (Hours)]]&lt;300,"L4","L5")))))</f>
        <v/>
      </c>
      <c r="S1886" s="184" t="str">
        <f>IF(Table1[[#This Row],[Actual End Date]]="","",TEXT(Table1[[#This Row],[Actual End Date]],"mmm-yy"))</f>
        <v/>
      </c>
      <c r="T188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6" s="185" t="str">
        <f>IFERROR((Table1[[#This Row],[Actual Effort (Hours)]]-Table1[[#This Row],[Estimated Effort (Hours)]])/Table1[[#This Row],[Estimated Effort (Hours)]],"")</f>
        <v/>
      </c>
    </row>
    <row r="1887" spans="2:21">
      <c r="B1887" s="125"/>
      <c r="C1887" s="123"/>
      <c r="D1887" s="143"/>
      <c r="E1887" s="123"/>
      <c r="F1887" s="143"/>
      <c r="G1887" s="129"/>
      <c r="H1887" s="124"/>
      <c r="I1887" s="124"/>
      <c r="J1887" s="129"/>
      <c r="K1887" s="194"/>
      <c r="L1887" s="194"/>
      <c r="M1887" s="129"/>
      <c r="N1887" s="129" t="e">
        <f>Table1[[#This Row],[Estimated Effort (Hours)]]/NETWORKDAYS(Table1[[#This Row],[Planned Start Date]],Table1[[#This Row],[Planned End Date]])</f>
        <v>#DIV/0!</v>
      </c>
      <c r="O1887" s="178">
        <f>NETWORKDAYS(Table1[[#This Row],[Planned Start Date]],Table1[[#This Row],[Planned End Date]])</f>
        <v>0</v>
      </c>
      <c r="P1887" s="178">
        <f>NETWORKDAYS(Table1[[#This Row],[Planned Start Date]],$P$7)</f>
        <v>30643</v>
      </c>
      <c r="Q1887" s="129"/>
      <c r="R1887" s="183" t="str">
        <f>IF(Table1[[#This Row],[Actual Effort (Hours)]]="","",IF(Table1[[#This Row],[Estimated Effort (Hours)]]&lt;20,"L1",IF(Table1[[#This Row],[Estimated Effort (Hours)]]&lt;50,"L2",IF(Table1[[#This Row],[Estimated Effort (Hours)]]&lt;150,"L3",IF(Table1[[#This Row],[Estimated Effort (Hours)]]&lt;300,"L4","L5")))))</f>
        <v/>
      </c>
      <c r="S1887" s="184" t="str">
        <f>IF(Table1[[#This Row],[Actual End Date]]="","",TEXT(Table1[[#This Row],[Actual End Date]],"mmm-yy"))</f>
        <v/>
      </c>
      <c r="T188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7" s="185" t="str">
        <f>IFERROR((Table1[[#This Row],[Actual Effort (Hours)]]-Table1[[#This Row],[Estimated Effort (Hours)]])/Table1[[#This Row],[Estimated Effort (Hours)]],"")</f>
        <v/>
      </c>
    </row>
    <row r="1888" spans="2:21">
      <c r="B1888" s="125"/>
      <c r="C1888" s="123"/>
      <c r="D1888" s="143"/>
      <c r="E1888" s="123"/>
      <c r="F1888" s="143"/>
      <c r="G1888" s="129"/>
      <c r="H1888" s="124"/>
      <c r="I1888" s="124"/>
      <c r="J1888" s="129"/>
      <c r="K1888" s="194"/>
      <c r="L1888" s="194"/>
      <c r="M1888" s="129"/>
      <c r="N1888" s="129" t="e">
        <f>Table1[[#This Row],[Estimated Effort (Hours)]]/NETWORKDAYS(Table1[[#This Row],[Planned Start Date]],Table1[[#This Row],[Planned End Date]])</f>
        <v>#DIV/0!</v>
      </c>
      <c r="O1888" s="178">
        <f>NETWORKDAYS(Table1[[#This Row],[Planned Start Date]],Table1[[#This Row],[Planned End Date]])</f>
        <v>0</v>
      </c>
      <c r="P1888" s="178">
        <f>NETWORKDAYS(Table1[[#This Row],[Planned Start Date]],$P$7)</f>
        <v>30643</v>
      </c>
      <c r="Q1888" s="129"/>
      <c r="R1888" s="183" t="str">
        <f>IF(Table1[[#This Row],[Actual Effort (Hours)]]="","",IF(Table1[[#This Row],[Estimated Effort (Hours)]]&lt;20,"L1",IF(Table1[[#This Row],[Estimated Effort (Hours)]]&lt;50,"L2",IF(Table1[[#This Row],[Estimated Effort (Hours)]]&lt;150,"L3",IF(Table1[[#This Row],[Estimated Effort (Hours)]]&lt;300,"L4","L5")))))</f>
        <v/>
      </c>
      <c r="S1888" s="184" t="str">
        <f>IF(Table1[[#This Row],[Actual End Date]]="","",TEXT(Table1[[#This Row],[Actual End Date]],"mmm-yy"))</f>
        <v/>
      </c>
      <c r="T188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8" s="185" t="str">
        <f>IFERROR((Table1[[#This Row],[Actual Effort (Hours)]]-Table1[[#This Row],[Estimated Effort (Hours)]])/Table1[[#This Row],[Estimated Effort (Hours)]],"")</f>
        <v/>
      </c>
    </row>
    <row r="1889" spans="2:21">
      <c r="B1889" s="125"/>
      <c r="C1889" s="123"/>
      <c r="D1889" s="143"/>
      <c r="E1889" s="123"/>
      <c r="F1889" s="143"/>
      <c r="G1889" s="129"/>
      <c r="H1889" s="124"/>
      <c r="I1889" s="124"/>
      <c r="J1889" s="129"/>
      <c r="K1889" s="194"/>
      <c r="L1889" s="194"/>
      <c r="M1889" s="129"/>
      <c r="N1889" s="129" t="e">
        <f>Table1[[#This Row],[Estimated Effort (Hours)]]/NETWORKDAYS(Table1[[#This Row],[Planned Start Date]],Table1[[#This Row],[Planned End Date]])</f>
        <v>#DIV/0!</v>
      </c>
      <c r="O1889" s="178">
        <f>NETWORKDAYS(Table1[[#This Row],[Planned Start Date]],Table1[[#This Row],[Planned End Date]])</f>
        <v>0</v>
      </c>
      <c r="P1889" s="178">
        <f>NETWORKDAYS(Table1[[#This Row],[Planned Start Date]],$P$7)</f>
        <v>30643</v>
      </c>
      <c r="Q1889" s="129"/>
      <c r="R1889" s="183" t="str">
        <f>IF(Table1[[#This Row],[Actual Effort (Hours)]]="","",IF(Table1[[#This Row],[Estimated Effort (Hours)]]&lt;20,"L1",IF(Table1[[#This Row],[Estimated Effort (Hours)]]&lt;50,"L2",IF(Table1[[#This Row],[Estimated Effort (Hours)]]&lt;150,"L3",IF(Table1[[#This Row],[Estimated Effort (Hours)]]&lt;300,"L4","L5")))))</f>
        <v/>
      </c>
      <c r="S1889" s="184" t="str">
        <f>IF(Table1[[#This Row],[Actual End Date]]="","",TEXT(Table1[[#This Row],[Actual End Date]],"mmm-yy"))</f>
        <v/>
      </c>
      <c r="T188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89" s="185" t="str">
        <f>IFERROR((Table1[[#This Row],[Actual Effort (Hours)]]-Table1[[#This Row],[Estimated Effort (Hours)]])/Table1[[#This Row],[Estimated Effort (Hours)]],"")</f>
        <v/>
      </c>
    </row>
    <row r="1890" spans="2:21">
      <c r="B1890" s="125"/>
      <c r="C1890" s="123"/>
      <c r="D1890" s="143"/>
      <c r="E1890" s="123"/>
      <c r="F1890" s="143"/>
      <c r="G1890" s="129"/>
      <c r="H1890" s="124"/>
      <c r="I1890" s="124"/>
      <c r="J1890" s="129"/>
      <c r="K1890" s="194"/>
      <c r="L1890" s="194"/>
      <c r="M1890" s="129"/>
      <c r="N1890" s="129" t="e">
        <f>Table1[[#This Row],[Estimated Effort (Hours)]]/NETWORKDAYS(Table1[[#This Row],[Planned Start Date]],Table1[[#This Row],[Planned End Date]])</f>
        <v>#DIV/0!</v>
      </c>
      <c r="O1890" s="178">
        <f>NETWORKDAYS(Table1[[#This Row],[Planned Start Date]],Table1[[#This Row],[Planned End Date]])</f>
        <v>0</v>
      </c>
      <c r="P1890" s="178">
        <f>NETWORKDAYS(Table1[[#This Row],[Planned Start Date]],$P$7)</f>
        <v>30643</v>
      </c>
      <c r="Q1890" s="129"/>
      <c r="R1890" s="183" t="str">
        <f>IF(Table1[[#This Row],[Actual Effort (Hours)]]="","",IF(Table1[[#This Row],[Estimated Effort (Hours)]]&lt;20,"L1",IF(Table1[[#This Row],[Estimated Effort (Hours)]]&lt;50,"L2",IF(Table1[[#This Row],[Estimated Effort (Hours)]]&lt;150,"L3",IF(Table1[[#This Row],[Estimated Effort (Hours)]]&lt;300,"L4","L5")))))</f>
        <v/>
      </c>
      <c r="S1890" s="184" t="str">
        <f>IF(Table1[[#This Row],[Actual End Date]]="","",TEXT(Table1[[#This Row],[Actual End Date]],"mmm-yy"))</f>
        <v/>
      </c>
      <c r="T189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0" s="185" t="str">
        <f>IFERROR((Table1[[#This Row],[Actual Effort (Hours)]]-Table1[[#This Row],[Estimated Effort (Hours)]])/Table1[[#This Row],[Estimated Effort (Hours)]],"")</f>
        <v/>
      </c>
    </row>
    <row r="1891" spans="2:21">
      <c r="B1891" s="125"/>
      <c r="C1891" s="123"/>
      <c r="D1891" s="143"/>
      <c r="E1891" s="123"/>
      <c r="F1891" s="143"/>
      <c r="G1891" s="129"/>
      <c r="H1891" s="124"/>
      <c r="I1891" s="124"/>
      <c r="J1891" s="129"/>
      <c r="K1891" s="194"/>
      <c r="L1891" s="194"/>
      <c r="M1891" s="129"/>
      <c r="N1891" s="129" t="e">
        <f>Table1[[#This Row],[Estimated Effort (Hours)]]/NETWORKDAYS(Table1[[#This Row],[Planned Start Date]],Table1[[#This Row],[Planned End Date]])</f>
        <v>#DIV/0!</v>
      </c>
      <c r="O1891" s="178">
        <f>NETWORKDAYS(Table1[[#This Row],[Planned Start Date]],Table1[[#This Row],[Planned End Date]])</f>
        <v>0</v>
      </c>
      <c r="P1891" s="178">
        <f>NETWORKDAYS(Table1[[#This Row],[Planned Start Date]],$P$7)</f>
        <v>30643</v>
      </c>
      <c r="Q1891" s="129"/>
      <c r="R1891" s="183" t="str">
        <f>IF(Table1[[#This Row],[Actual Effort (Hours)]]="","",IF(Table1[[#This Row],[Estimated Effort (Hours)]]&lt;20,"L1",IF(Table1[[#This Row],[Estimated Effort (Hours)]]&lt;50,"L2",IF(Table1[[#This Row],[Estimated Effort (Hours)]]&lt;150,"L3",IF(Table1[[#This Row],[Estimated Effort (Hours)]]&lt;300,"L4","L5")))))</f>
        <v/>
      </c>
      <c r="S1891" s="184" t="str">
        <f>IF(Table1[[#This Row],[Actual End Date]]="","",TEXT(Table1[[#This Row],[Actual End Date]],"mmm-yy"))</f>
        <v/>
      </c>
      <c r="T189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1" s="185" t="str">
        <f>IFERROR((Table1[[#This Row],[Actual Effort (Hours)]]-Table1[[#This Row],[Estimated Effort (Hours)]])/Table1[[#This Row],[Estimated Effort (Hours)]],"")</f>
        <v/>
      </c>
    </row>
    <row r="1892" spans="2:21">
      <c r="B1892" s="125"/>
      <c r="C1892" s="123"/>
      <c r="D1892" s="143"/>
      <c r="E1892" s="123"/>
      <c r="F1892" s="143"/>
      <c r="G1892" s="129"/>
      <c r="H1892" s="124"/>
      <c r="I1892" s="124"/>
      <c r="J1892" s="129"/>
      <c r="K1892" s="194"/>
      <c r="L1892" s="194"/>
      <c r="M1892" s="129"/>
      <c r="N1892" s="129" t="e">
        <f>Table1[[#This Row],[Estimated Effort (Hours)]]/NETWORKDAYS(Table1[[#This Row],[Planned Start Date]],Table1[[#This Row],[Planned End Date]])</f>
        <v>#DIV/0!</v>
      </c>
      <c r="O1892" s="178">
        <f>NETWORKDAYS(Table1[[#This Row],[Planned Start Date]],Table1[[#This Row],[Planned End Date]])</f>
        <v>0</v>
      </c>
      <c r="P1892" s="178">
        <f>NETWORKDAYS(Table1[[#This Row],[Planned Start Date]],$P$7)</f>
        <v>30643</v>
      </c>
      <c r="Q1892" s="129"/>
      <c r="R1892" s="183" t="str">
        <f>IF(Table1[[#This Row],[Actual Effort (Hours)]]="","",IF(Table1[[#This Row],[Estimated Effort (Hours)]]&lt;20,"L1",IF(Table1[[#This Row],[Estimated Effort (Hours)]]&lt;50,"L2",IF(Table1[[#This Row],[Estimated Effort (Hours)]]&lt;150,"L3",IF(Table1[[#This Row],[Estimated Effort (Hours)]]&lt;300,"L4","L5")))))</f>
        <v/>
      </c>
      <c r="S1892" s="184" t="str">
        <f>IF(Table1[[#This Row],[Actual End Date]]="","",TEXT(Table1[[#This Row],[Actual End Date]],"mmm-yy"))</f>
        <v/>
      </c>
      <c r="T189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2" s="185" t="str">
        <f>IFERROR((Table1[[#This Row],[Actual Effort (Hours)]]-Table1[[#This Row],[Estimated Effort (Hours)]])/Table1[[#This Row],[Estimated Effort (Hours)]],"")</f>
        <v/>
      </c>
    </row>
    <row r="1893" spans="2:21">
      <c r="B1893" s="125"/>
      <c r="C1893" s="123"/>
      <c r="D1893" s="143"/>
      <c r="E1893" s="123"/>
      <c r="F1893" s="143"/>
      <c r="G1893" s="129"/>
      <c r="H1893" s="124"/>
      <c r="I1893" s="124"/>
      <c r="J1893" s="129"/>
      <c r="K1893" s="194"/>
      <c r="L1893" s="194"/>
      <c r="M1893" s="129"/>
      <c r="N1893" s="129" t="e">
        <f>Table1[[#This Row],[Estimated Effort (Hours)]]/NETWORKDAYS(Table1[[#This Row],[Planned Start Date]],Table1[[#This Row],[Planned End Date]])</f>
        <v>#DIV/0!</v>
      </c>
      <c r="O1893" s="178">
        <f>NETWORKDAYS(Table1[[#This Row],[Planned Start Date]],Table1[[#This Row],[Planned End Date]])</f>
        <v>0</v>
      </c>
      <c r="P1893" s="178">
        <f>NETWORKDAYS(Table1[[#This Row],[Planned Start Date]],$P$7)</f>
        <v>30643</v>
      </c>
      <c r="Q1893" s="129"/>
      <c r="R1893" s="183" t="str">
        <f>IF(Table1[[#This Row],[Actual Effort (Hours)]]="","",IF(Table1[[#This Row],[Estimated Effort (Hours)]]&lt;20,"L1",IF(Table1[[#This Row],[Estimated Effort (Hours)]]&lt;50,"L2",IF(Table1[[#This Row],[Estimated Effort (Hours)]]&lt;150,"L3",IF(Table1[[#This Row],[Estimated Effort (Hours)]]&lt;300,"L4","L5")))))</f>
        <v/>
      </c>
      <c r="S1893" s="184" t="str">
        <f>IF(Table1[[#This Row],[Actual End Date]]="","",TEXT(Table1[[#This Row],[Actual End Date]],"mmm-yy"))</f>
        <v/>
      </c>
      <c r="T189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3" s="185" t="str">
        <f>IFERROR((Table1[[#This Row],[Actual Effort (Hours)]]-Table1[[#This Row],[Estimated Effort (Hours)]])/Table1[[#This Row],[Estimated Effort (Hours)]],"")</f>
        <v/>
      </c>
    </row>
    <row r="1894" spans="2:21">
      <c r="B1894" s="125"/>
      <c r="C1894" s="123"/>
      <c r="D1894" s="143"/>
      <c r="E1894" s="123"/>
      <c r="F1894" s="143"/>
      <c r="G1894" s="129"/>
      <c r="H1894" s="124"/>
      <c r="I1894" s="124"/>
      <c r="J1894" s="129"/>
      <c r="K1894" s="194"/>
      <c r="L1894" s="194"/>
      <c r="M1894" s="129"/>
      <c r="N1894" s="129" t="e">
        <f>Table1[[#This Row],[Estimated Effort (Hours)]]/NETWORKDAYS(Table1[[#This Row],[Planned Start Date]],Table1[[#This Row],[Planned End Date]])</f>
        <v>#DIV/0!</v>
      </c>
      <c r="O1894" s="178">
        <f>NETWORKDAYS(Table1[[#This Row],[Planned Start Date]],Table1[[#This Row],[Planned End Date]])</f>
        <v>0</v>
      </c>
      <c r="P1894" s="178">
        <f>NETWORKDAYS(Table1[[#This Row],[Planned Start Date]],$P$7)</f>
        <v>30643</v>
      </c>
      <c r="Q1894" s="129"/>
      <c r="R1894" s="183" t="str">
        <f>IF(Table1[[#This Row],[Actual Effort (Hours)]]="","",IF(Table1[[#This Row],[Estimated Effort (Hours)]]&lt;20,"L1",IF(Table1[[#This Row],[Estimated Effort (Hours)]]&lt;50,"L2",IF(Table1[[#This Row],[Estimated Effort (Hours)]]&lt;150,"L3",IF(Table1[[#This Row],[Estimated Effort (Hours)]]&lt;300,"L4","L5")))))</f>
        <v/>
      </c>
      <c r="S1894" s="184" t="str">
        <f>IF(Table1[[#This Row],[Actual End Date]]="","",TEXT(Table1[[#This Row],[Actual End Date]],"mmm-yy"))</f>
        <v/>
      </c>
      <c r="T189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4" s="185" t="str">
        <f>IFERROR((Table1[[#This Row],[Actual Effort (Hours)]]-Table1[[#This Row],[Estimated Effort (Hours)]])/Table1[[#This Row],[Estimated Effort (Hours)]],"")</f>
        <v/>
      </c>
    </row>
    <row r="1895" spans="2:21">
      <c r="B1895" s="125"/>
      <c r="C1895" s="123"/>
      <c r="D1895" s="143"/>
      <c r="E1895" s="123"/>
      <c r="F1895" s="143"/>
      <c r="G1895" s="129"/>
      <c r="H1895" s="124"/>
      <c r="I1895" s="124"/>
      <c r="J1895" s="129"/>
      <c r="K1895" s="194"/>
      <c r="L1895" s="194"/>
      <c r="M1895" s="129"/>
      <c r="N1895" s="129" t="e">
        <f>Table1[[#This Row],[Estimated Effort (Hours)]]/NETWORKDAYS(Table1[[#This Row],[Planned Start Date]],Table1[[#This Row],[Planned End Date]])</f>
        <v>#DIV/0!</v>
      </c>
      <c r="O1895" s="178">
        <f>NETWORKDAYS(Table1[[#This Row],[Planned Start Date]],Table1[[#This Row],[Planned End Date]])</f>
        <v>0</v>
      </c>
      <c r="P1895" s="178">
        <f>NETWORKDAYS(Table1[[#This Row],[Planned Start Date]],$P$7)</f>
        <v>30643</v>
      </c>
      <c r="Q1895" s="129"/>
      <c r="R1895" s="183" t="str">
        <f>IF(Table1[[#This Row],[Actual Effort (Hours)]]="","",IF(Table1[[#This Row],[Estimated Effort (Hours)]]&lt;20,"L1",IF(Table1[[#This Row],[Estimated Effort (Hours)]]&lt;50,"L2",IF(Table1[[#This Row],[Estimated Effort (Hours)]]&lt;150,"L3",IF(Table1[[#This Row],[Estimated Effort (Hours)]]&lt;300,"L4","L5")))))</f>
        <v/>
      </c>
      <c r="S1895" s="184" t="str">
        <f>IF(Table1[[#This Row],[Actual End Date]]="","",TEXT(Table1[[#This Row],[Actual End Date]],"mmm-yy"))</f>
        <v/>
      </c>
      <c r="T189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5" s="185" t="str">
        <f>IFERROR((Table1[[#This Row],[Actual Effort (Hours)]]-Table1[[#This Row],[Estimated Effort (Hours)]])/Table1[[#This Row],[Estimated Effort (Hours)]],"")</f>
        <v/>
      </c>
    </row>
    <row r="1896" spans="2:21">
      <c r="B1896" s="125"/>
      <c r="C1896" s="123"/>
      <c r="D1896" s="143"/>
      <c r="E1896" s="123"/>
      <c r="F1896" s="143"/>
      <c r="G1896" s="129"/>
      <c r="H1896" s="124"/>
      <c r="I1896" s="124"/>
      <c r="J1896" s="129"/>
      <c r="K1896" s="194"/>
      <c r="L1896" s="194"/>
      <c r="M1896" s="129"/>
      <c r="N1896" s="129" t="e">
        <f>Table1[[#This Row],[Estimated Effort (Hours)]]/NETWORKDAYS(Table1[[#This Row],[Planned Start Date]],Table1[[#This Row],[Planned End Date]])</f>
        <v>#DIV/0!</v>
      </c>
      <c r="O1896" s="178">
        <f>NETWORKDAYS(Table1[[#This Row],[Planned Start Date]],Table1[[#This Row],[Planned End Date]])</f>
        <v>0</v>
      </c>
      <c r="P1896" s="178">
        <f>NETWORKDAYS(Table1[[#This Row],[Planned Start Date]],$P$7)</f>
        <v>30643</v>
      </c>
      <c r="Q1896" s="129"/>
      <c r="R1896" s="183" t="str">
        <f>IF(Table1[[#This Row],[Actual Effort (Hours)]]="","",IF(Table1[[#This Row],[Estimated Effort (Hours)]]&lt;20,"L1",IF(Table1[[#This Row],[Estimated Effort (Hours)]]&lt;50,"L2",IF(Table1[[#This Row],[Estimated Effort (Hours)]]&lt;150,"L3",IF(Table1[[#This Row],[Estimated Effort (Hours)]]&lt;300,"L4","L5")))))</f>
        <v/>
      </c>
      <c r="S1896" s="184" t="str">
        <f>IF(Table1[[#This Row],[Actual End Date]]="","",TEXT(Table1[[#This Row],[Actual End Date]],"mmm-yy"))</f>
        <v/>
      </c>
      <c r="T189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6" s="185" t="str">
        <f>IFERROR((Table1[[#This Row],[Actual Effort (Hours)]]-Table1[[#This Row],[Estimated Effort (Hours)]])/Table1[[#This Row],[Estimated Effort (Hours)]],"")</f>
        <v/>
      </c>
    </row>
    <row r="1897" spans="2:21">
      <c r="B1897" s="125"/>
      <c r="C1897" s="123"/>
      <c r="D1897" s="143"/>
      <c r="E1897" s="123"/>
      <c r="F1897" s="143"/>
      <c r="G1897" s="129"/>
      <c r="H1897" s="124"/>
      <c r="I1897" s="124"/>
      <c r="J1897" s="129"/>
      <c r="K1897" s="194"/>
      <c r="L1897" s="194"/>
      <c r="M1897" s="129"/>
      <c r="N1897" s="129" t="e">
        <f>Table1[[#This Row],[Estimated Effort (Hours)]]/NETWORKDAYS(Table1[[#This Row],[Planned Start Date]],Table1[[#This Row],[Planned End Date]])</f>
        <v>#DIV/0!</v>
      </c>
      <c r="O1897" s="178">
        <f>NETWORKDAYS(Table1[[#This Row],[Planned Start Date]],Table1[[#This Row],[Planned End Date]])</f>
        <v>0</v>
      </c>
      <c r="P1897" s="178">
        <f>NETWORKDAYS(Table1[[#This Row],[Planned Start Date]],$P$7)</f>
        <v>30643</v>
      </c>
      <c r="Q1897" s="129"/>
      <c r="R1897" s="183" t="str">
        <f>IF(Table1[[#This Row],[Actual Effort (Hours)]]="","",IF(Table1[[#This Row],[Estimated Effort (Hours)]]&lt;20,"L1",IF(Table1[[#This Row],[Estimated Effort (Hours)]]&lt;50,"L2",IF(Table1[[#This Row],[Estimated Effort (Hours)]]&lt;150,"L3",IF(Table1[[#This Row],[Estimated Effort (Hours)]]&lt;300,"L4","L5")))))</f>
        <v/>
      </c>
      <c r="S1897" s="184" t="str">
        <f>IF(Table1[[#This Row],[Actual End Date]]="","",TEXT(Table1[[#This Row],[Actual End Date]],"mmm-yy"))</f>
        <v/>
      </c>
      <c r="T189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7" s="185" t="str">
        <f>IFERROR((Table1[[#This Row],[Actual Effort (Hours)]]-Table1[[#This Row],[Estimated Effort (Hours)]])/Table1[[#This Row],[Estimated Effort (Hours)]],"")</f>
        <v/>
      </c>
    </row>
    <row r="1898" spans="2:21">
      <c r="B1898" s="125"/>
      <c r="C1898" s="123"/>
      <c r="D1898" s="143"/>
      <c r="E1898" s="123"/>
      <c r="F1898" s="143"/>
      <c r="G1898" s="129"/>
      <c r="H1898" s="124"/>
      <c r="I1898" s="124"/>
      <c r="J1898" s="129"/>
      <c r="K1898" s="194"/>
      <c r="L1898" s="194"/>
      <c r="M1898" s="129"/>
      <c r="N1898" s="129" t="e">
        <f>Table1[[#This Row],[Estimated Effort (Hours)]]/NETWORKDAYS(Table1[[#This Row],[Planned Start Date]],Table1[[#This Row],[Planned End Date]])</f>
        <v>#DIV/0!</v>
      </c>
      <c r="O1898" s="178">
        <f>NETWORKDAYS(Table1[[#This Row],[Planned Start Date]],Table1[[#This Row],[Planned End Date]])</f>
        <v>0</v>
      </c>
      <c r="P1898" s="178">
        <f>NETWORKDAYS(Table1[[#This Row],[Planned Start Date]],$P$7)</f>
        <v>30643</v>
      </c>
      <c r="Q1898" s="129"/>
      <c r="R1898" s="183" t="str">
        <f>IF(Table1[[#This Row],[Actual Effort (Hours)]]="","",IF(Table1[[#This Row],[Estimated Effort (Hours)]]&lt;20,"L1",IF(Table1[[#This Row],[Estimated Effort (Hours)]]&lt;50,"L2",IF(Table1[[#This Row],[Estimated Effort (Hours)]]&lt;150,"L3",IF(Table1[[#This Row],[Estimated Effort (Hours)]]&lt;300,"L4","L5")))))</f>
        <v/>
      </c>
      <c r="S1898" s="184" t="str">
        <f>IF(Table1[[#This Row],[Actual End Date]]="","",TEXT(Table1[[#This Row],[Actual End Date]],"mmm-yy"))</f>
        <v/>
      </c>
      <c r="T189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8" s="185" t="str">
        <f>IFERROR((Table1[[#This Row],[Actual Effort (Hours)]]-Table1[[#This Row],[Estimated Effort (Hours)]])/Table1[[#This Row],[Estimated Effort (Hours)]],"")</f>
        <v/>
      </c>
    </row>
    <row r="1899" spans="2:21">
      <c r="B1899" s="125"/>
      <c r="C1899" s="123"/>
      <c r="D1899" s="143"/>
      <c r="E1899" s="123"/>
      <c r="F1899" s="143"/>
      <c r="G1899" s="129"/>
      <c r="H1899" s="124"/>
      <c r="I1899" s="124"/>
      <c r="J1899" s="129"/>
      <c r="K1899" s="194"/>
      <c r="L1899" s="194"/>
      <c r="M1899" s="129"/>
      <c r="N1899" s="129" t="e">
        <f>Table1[[#This Row],[Estimated Effort (Hours)]]/NETWORKDAYS(Table1[[#This Row],[Planned Start Date]],Table1[[#This Row],[Planned End Date]])</f>
        <v>#DIV/0!</v>
      </c>
      <c r="O1899" s="178">
        <f>NETWORKDAYS(Table1[[#This Row],[Planned Start Date]],Table1[[#This Row],[Planned End Date]])</f>
        <v>0</v>
      </c>
      <c r="P1899" s="178">
        <f>NETWORKDAYS(Table1[[#This Row],[Planned Start Date]],$P$7)</f>
        <v>30643</v>
      </c>
      <c r="Q1899" s="129"/>
      <c r="R1899" s="183" t="str">
        <f>IF(Table1[[#This Row],[Actual Effort (Hours)]]="","",IF(Table1[[#This Row],[Estimated Effort (Hours)]]&lt;20,"L1",IF(Table1[[#This Row],[Estimated Effort (Hours)]]&lt;50,"L2",IF(Table1[[#This Row],[Estimated Effort (Hours)]]&lt;150,"L3",IF(Table1[[#This Row],[Estimated Effort (Hours)]]&lt;300,"L4","L5")))))</f>
        <v/>
      </c>
      <c r="S1899" s="184" t="str">
        <f>IF(Table1[[#This Row],[Actual End Date]]="","",TEXT(Table1[[#This Row],[Actual End Date]],"mmm-yy"))</f>
        <v/>
      </c>
      <c r="T189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899" s="185" t="str">
        <f>IFERROR((Table1[[#This Row],[Actual Effort (Hours)]]-Table1[[#This Row],[Estimated Effort (Hours)]])/Table1[[#This Row],[Estimated Effort (Hours)]],"")</f>
        <v/>
      </c>
    </row>
    <row r="1900" spans="2:21">
      <c r="B1900" s="125"/>
      <c r="C1900" s="123"/>
      <c r="D1900" s="143"/>
      <c r="E1900" s="123"/>
      <c r="F1900" s="143"/>
      <c r="G1900" s="129"/>
      <c r="H1900" s="124"/>
      <c r="I1900" s="124"/>
      <c r="J1900" s="129"/>
      <c r="K1900" s="194"/>
      <c r="L1900" s="194"/>
      <c r="M1900" s="129"/>
      <c r="N1900" s="129" t="e">
        <f>Table1[[#This Row],[Estimated Effort (Hours)]]/NETWORKDAYS(Table1[[#This Row],[Planned Start Date]],Table1[[#This Row],[Planned End Date]])</f>
        <v>#DIV/0!</v>
      </c>
      <c r="O1900" s="178">
        <f>NETWORKDAYS(Table1[[#This Row],[Planned Start Date]],Table1[[#This Row],[Planned End Date]])</f>
        <v>0</v>
      </c>
      <c r="P1900" s="178">
        <f>NETWORKDAYS(Table1[[#This Row],[Planned Start Date]],$P$7)</f>
        <v>30643</v>
      </c>
      <c r="Q1900" s="129"/>
      <c r="R1900" s="183" t="str">
        <f>IF(Table1[[#This Row],[Actual Effort (Hours)]]="","",IF(Table1[[#This Row],[Estimated Effort (Hours)]]&lt;20,"L1",IF(Table1[[#This Row],[Estimated Effort (Hours)]]&lt;50,"L2",IF(Table1[[#This Row],[Estimated Effort (Hours)]]&lt;150,"L3",IF(Table1[[#This Row],[Estimated Effort (Hours)]]&lt;300,"L4","L5")))))</f>
        <v/>
      </c>
      <c r="S1900" s="184" t="str">
        <f>IF(Table1[[#This Row],[Actual End Date]]="","",TEXT(Table1[[#This Row],[Actual End Date]],"mmm-yy"))</f>
        <v/>
      </c>
      <c r="T190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0" s="185" t="str">
        <f>IFERROR((Table1[[#This Row],[Actual Effort (Hours)]]-Table1[[#This Row],[Estimated Effort (Hours)]])/Table1[[#This Row],[Estimated Effort (Hours)]],"")</f>
        <v/>
      </c>
    </row>
    <row r="1901" spans="2:21">
      <c r="B1901" s="125"/>
      <c r="C1901" s="123"/>
      <c r="D1901" s="143"/>
      <c r="E1901" s="123"/>
      <c r="F1901" s="143"/>
      <c r="G1901" s="129"/>
      <c r="H1901" s="124"/>
      <c r="I1901" s="124"/>
      <c r="J1901" s="129"/>
      <c r="K1901" s="194"/>
      <c r="L1901" s="194"/>
      <c r="M1901" s="129"/>
      <c r="N1901" s="129" t="e">
        <f>Table1[[#This Row],[Estimated Effort (Hours)]]/NETWORKDAYS(Table1[[#This Row],[Planned Start Date]],Table1[[#This Row],[Planned End Date]])</f>
        <v>#DIV/0!</v>
      </c>
      <c r="O1901" s="178">
        <f>NETWORKDAYS(Table1[[#This Row],[Planned Start Date]],Table1[[#This Row],[Planned End Date]])</f>
        <v>0</v>
      </c>
      <c r="P1901" s="178">
        <f>NETWORKDAYS(Table1[[#This Row],[Planned Start Date]],$P$7)</f>
        <v>30643</v>
      </c>
      <c r="Q1901" s="129"/>
      <c r="R1901" s="183" t="str">
        <f>IF(Table1[[#This Row],[Actual Effort (Hours)]]="","",IF(Table1[[#This Row],[Estimated Effort (Hours)]]&lt;20,"L1",IF(Table1[[#This Row],[Estimated Effort (Hours)]]&lt;50,"L2",IF(Table1[[#This Row],[Estimated Effort (Hours)]]&lt;150,"L3",IF(Table1[[#This Row],[Estimated Effort (Hours)]]&lt;300,"L4","L5")))))</f>
        <v/>
      </c>
      <c r="S1901" s="184" t="str">
        <f>IF(Table1[[#This Row],[Actual End Date]]="","",TEXT(Table1[[#This Row],[Actual End Date]],"mmm-yy"))</f>
        <v/>
      </c>
      <c r="T190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1" s="185" t="str">
        <f>IFERROR((Table1[[#This Row],[Actual Effort (Hours)]]-Table1[[#This Row],[Estimated Effort (Hours)]])/Table1[[#This Row],[Estimated Effort (Hours)]],"")</f>
        <v/>
      </c>
    </row>
    <row r="1902" spans="2:21">
      <c r="B1902" s="125"/>
      <c r="C1902" s="123"/>
      <c r="D1902" s="143"/>
      <c r="E1902" s="123"/>
      <c r="F1902" s="143"/>
      <c r="G1902" s="129"/>
      <c r="H1902" s="124"/>
      <c r="I1902" s="124"/>
      <c r="J1902" s="129"/>
      <c r="K1902" s="194"/>
      <c r="L1902" s="194"/>
      <c r="M1902" s="129"/>
      <c r="N1902" s="129" t="e">
        <f>Table1[[#This Row],[Estimated Effort (Hours)]]/NETWORKDAYS(Table1[[#This Row],[Planned Start Date]],Table1[[#This Row],[Planned End Date]])</f>
        <v>#DIV/0!</v>
      </c>
      <c r="O1902" s="178">
        <f>NETWORKDAYS(Table1[[#This Row],[Planned Start Date]],Table1[[#This Row],[Planned End Date]])</f>
        <v>0</v>
      </c>
      <c r="P1902" s="178">
        <f>NETWORKDAYS(Table1[[#This Row],[Planned Start Date]],$P$7)</f>
        <v>30643</v>
      </c>
      <c r="Q1902" s="129"/>
      <c r="R1902" s="183" t="str">
        <f>IF(Table1[[#This Row],[Actual Effort (Hours)]]="","",IF(Table1[[#This Row],[Estimated Effort (Hours)]]&lt;20,"L1",IF(Table1[[#This Row],[Estimated Effort (Hours)]]&lt;50,"L2",IF(Table1[[#This Row],[Estimated Effort (Hours)]]&lt;150,"L3",IF(Table1[[#This Row],[Estimated Effort (Hours)]]&lt;300,"L4","L5")))))</f>
        <v/>
      </c>
      <c r="S1902" s="184" t="str">
        <f>IF(Table1[[#This Row],[Actual End Date]]="","",TEXT(Table1[[#This Row],[Actual End Date]],"mmm-yy"))</f>
        <v/>
      </c>
      <c r="T190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2" s="185" t="str">
        <f>IFERROR((Table1[[#This Row],[Actual Effort (Hours)]]-Table1[[#This Row],[Estimated Effort (Hours)]])/Table1[[#This Row],[Estimated Effort (Hours)]],"")</f>
        <v/>
      </c>
    </row>
    <row r="1903" spans="2:21">
      <c r="B1903" s="125"/>
      <c r="C1903" s="123"/>
      <c r="D1903" s="143"/>
      <c r="E1903" s="123"/>
      <c r="F1903" s="143"/>
      <c r="G1903" s="129"/>
      <c r="H1903" s="124"/>
      <c r="I1903" s="124"/>
      <c r="J1903" s="129"/>
      <c r="K1903" s="194"/>
      <c r="L1903" s="194"/>
      <c r="M1903" s="129"/>
      <c r="N1903" s="129" t="e">
        <f>Table1[[#This Row],[Estimated Effort (Hours)]]/NETWORKDAYS(Table1[[#This Row],[Planned Start Date]],Table1[[#This Row],[Planned End Date]])</f>
        <v>#DIV/0!</v>
      </c>
      <c r="O1903" s="178">
        <f>NETWORKDAYS(Table1[[#This Row],[Planned Start Date]],Table1[[#This Row],[Planned End Date]])</f>
        <v>0</v>
      </c>
      <c r="P1903" s="178">
        <f>NETWORKDAYS(Table1[[#This Row],[Planned Start Date]],$P$7)</f>
        <v>30643</v>
      </c>
      <c r="Q1903" s="129"/>
      <c r="R1903" s="183" t="str">
        <f>IF(Table1[[#This Row],[Actual Effort (Hours)]]="","",IF(Table1[[#This Row],[Estimated Effort (Hours)]]&lt;20,"L1",IF(Table1[[#This Row],[Estimated Effort (Hours)]]&lt;50,"L2",IF(Table1[[#This Row],[Estimated Effort (Hours)]]&lt;150,"L3",IF(Table1[[#This Row],[Estimated Effort (Hours)]]&lt;300,"L4","L5")))))</f>
        <v/>
      </c>
      <c r="S1903" s="184" t="str">
        <f>IF(Table1[[#This Row],[Actual End Date]]="","",TEXT(Table1[[#This Row],[Actual End Date]],"mmm-yy"))</f>
        <v/>
      </c>
      <c r="T190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3" s="185" t="str">
        <f>IFERROR((Table1[[#This Row],[Actual Effort (Hours)]]-Table1[[#This Row],[Estimated Effort (Hours)]])/Table1[[#This Row],[Estimated Effort (Hours)]],"")</f>
        <v/>
      </c>
    </row>
    <row r="1904" spans="2:21">
      <c r="B1904" s="125"/>
      <c r="C1904" s="123"/>
      <c r="D1904" s="143"/>
      <c r="E1904" s="123"/>
      <c r="F1904" s="143"/>
      <c r="G1904" s="129"/>
      <c r="H1904" s="124"/>
      <c r="I1904" s="124"/>
      <c r="J1904" s="129"/>
      <c r="K1904" s="194"/>
      <c r="L1904" s="194"/>
      <c r="M1904" s="129"/>
      <c r="N1904" s="129" t="e">
        <f>Table1[[#This Row],[Estimated Effort (Hours)]]/NETWORKDAYS(Table1[[#This Row],[Planned Start Date]],Table1[[#This Row],[Planned End Date]])</f>
        <v>#DIV/0!</v>
      </c>
      <c r="O1904" s="178">
        <f>NETWORKDAYS(Table1[[#This Row],[Planned Start Date]],Table1[[#This Row],[Planned End Date]])</f>
        <v>0</v>
      </c>
      <c r="P1904" s="178">
        <f>NETWORKDAYS(Table1[[#This Row],[Planned Start Date]],$P$7)</f>
        <v>30643</v>
      </c>
      <c r="Q1904" s="129"/>
      <c r="R1904" s="183" t="str">
        <f>IF(Table1[[#This Row],[Actual Effort (Hours)]]="","",IF(Table1[[#This Row],[Estimated Effort (Hours)]]&lt;20,"L1",IF(Table1[[#This Row],[Estimated Effort (Hours)]]&lt;50,"L2",IF(Table1[[#This Row],[Estimated Effort (Hours)]]&lt;150,"L3",IF(Table1[[#This Row],[Estimated Effort (Hours)]]&lt;300,"L4","L5")))))</f>
        <v/>
      </c>
      <c r="S1904" s="184" t="str">
        <f>IF(Table1[[#This Row],[Actual End Date]]="","",TEXT(Table1[[#This Row],[Actual End Date]],"mmm-yy"))</f>
        <v/>
      </c>
      <c r="T190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4" s="185" t="str">
        <f>IFERROR((Table1[[#This Row],[Actual Effort (Hours)]]-Table1[[#This Row],[Estimated Effort (Hours)]])/Table1[[#This Row],[Estimated Effort (Hours)]],"")</f>
        <v/>
      </c>
    </row>
    <row r="1905" spans="2:21">
      <c r="B1905" s="125"/>
      <c r="C1905" s="123"/>
      <c r="D1905" s="143"/>
      <c r="E1905" s="123"/>
      <c r="F1905" s="143"/>
      <c r="G1905" s="129"/>
      <c r="H1905" s="124"/>
      <c r="I1905" s="124"/>
      <c r="J1905" s="129"/>
      <c r="K1905" s="194"/>
      <c r="L1905" s="194"/>
      <c r="M1905" s="129"/>
      <c r="N1905" s="129" t="e">
        <f>Table1[[#This Row],[Estimated Effort (Hours)]]/NETWORKDAYS(Table1[[#This Row],[Planned Start Date]],Table1[[#This Row],[Planned End Date]])</f>
        <v>#DIV/0!</v>
      </c>
      <c r="O1905" s="178">
        <f>NETWORKDAYS(Table1[[#This Row],[Planned Start Date]],Table1[[#This Row],[Planned End Date]])</f>
        <v>0</v>
      </c>
      <c r="P1905" s="178">
        <f>NETWORKDAYS(Table1[[#This Row],[Planned Start Date]],$P$7)</f>
        <v>30643</v>
      </c>
      <c r="Q1905" s="129"/>
      <c r="R1905" s="183" t="str">
        <f>IF(Table1[[#This Row],[Actual Effort (Hours)]]="","",IF(Table1[[#This Row],[Estimated Effort (Hours)]]&lt;20,"L1",IF(Table1[[#This Row],[Estimated Effort (Hours)]]&lt;50,"L2",IF(Table1[[#This Row],[Estimated Effort (Hours)]]&lt;150,"L3",IF(Table1[[#This Row],[Estimated Effort (Hours)]]&lt;300,"L4","L5")))))</f>
        <v/>
      </c>
      <c r="S1905" s="184" t="str">
        <f>IF(Table1[[#This Row],[Actual End Date]]="","",TEXT(Table1[[#This Row],[Actual End Date]],"mmm-yy"))</f>
        <v/>
      </c>
      <c r="T190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5" s="185" t="str">
        <f>IFERROR((Table1[[#This Row],[Actual Effort (Hours)]]-Table1[[#This Row],[Estimated Effort (Hours)]])/Table1[[#This Row],[Estimated Effort (Hours)]],"")</f>
        <v/>
      </c>
    </row>
    <row r="1906" spans="2:21">
      <c r="B1906" s="125"/>
      <c r="C1906" s="123"/>
      <c r="D1906" s="143"/>
      <c r="E1906" s="123"/>
      <c r="F1906" s="143"/>
      <c r="G1906" s="129"/>
      <c r="H1906" s="124"/>
      <c r="I1906" s="124"/>
      <c r="J1906" s="129"/>
      <c r="K1906" s="194"/>
      <c r="L1906" s="194"/>
      <c r="M1906" s="129"/>
      <c r="N1906" s="129" t="e">
        <f>Table1[[#This Row],[Estimated Effort (Hours)]]/NETWORKDAYS(Table1[[#This Row],[Planned Start Date]],Table1[[#This Row],[Planned End Date]])</f>
        <v>#DIV/0!</v>
      </c>
      <c r="O1906" s="178">
        <f>NETWORKDAYS(Table1[[#This Row],[Planned Start Date]],Table1[[#This Row],[Planned End Date]])</f>
        <v>0</v>
      </c>
      <c r="P1906" s="178">
        <f>NETWORKDAYS(Table1[[#This Row],[Planned Start Date]],$P$7)</f>
        <v>30643</v>
      </c>
      <c r="Q1906" s="129"/>
      <c r="R1906" s="183" t="str">
        <f>IF(Table1[[#This Row],[Actual Effort (Hours)]]="","",IF(Table1[[#This Row],[Estimated Effort (Hours)]]&lt;20,"L1",IF(Table1[[#This Row],[Estimated Effort (Hours)]]&lt;50,"L2",IF(Table1[[#This Row],[Estimated Effort (Hours)]]&lt;150,"L3",IF(Table1[[#This Row],[Estimated Effort (Hours)]]&lt;300,"L4","L5")))))</f>
        <v/>
      </c>
      <c r="S1906" s="184" t="str">
        <f>IF(Table1[[#This Row],[Actual End Date]]="","",TEXT(Table1[[#This Row],[Actual End Date]],"mmm-yy"))</f>
        <v/>
      </c>
      <c r="T190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6" s="185" t="str">
        <f>IFERROR((Table1[[#This Row],[Actual Effort (Hours)]]-Table1[[#This Row],[Estimated Effort (Hours)]])/Table1[[#This Row],[Estimated Effort (Hours)]],"")</f>
        <v/>
      </c>
    </row>
    <row r="1907" spans="2:21">
      <c r="B1907" s="125"/>
      <c r="C1907" s="123"/>
      <c r="D1907" s="143"/>
      <c r="E1907" s="123"/>
      <c r="F1907" s="143"/>
      <c r="G1907" s="129"/>
      <c r="H1907" s="124"/>
      <c r="I1907" s="124"/>
      <c r="J1907" s="129"/>
      <c r="K1907" s="194"/>
      <c r="L1907" s="194"/>
      <c r="M1907" s="129"/>
      <c r="N1907" s="129" t="e">
        <f>Table1[[#This Row],[Estimated Effort (Hours)]]/NETWORKDAYS(Table1[[#This Row],[Planned Start Date]],Table1[[#This Row],[Planned End Date]])</f>
        <v>#DIV/0!</v>
      </c>
      <c r="O1907" s="178">
        <f>NETWORKDAYS(Table1[[#This Row],[Planned Start Date]],Table1[[#This Row],[Planned End Date]])</f>
        <v>0</v>
      </c>
      <c r="P1907" s="178">
        <f>NETWORKDAYS(Table1[[#This Row],[Planned Start Date]],$P$7)</f>
        <v>30643</v>
      </c>
      <c r="Q1907" s="129"/>
      <c r="R1907" s="183" t="str">
        <f>IF(Table1[[#This Row],[Actual Effort (Hours)]]="","",IF(Table1[[#This Row],[Estimated Effort (Hours)]]&lt;20,"L1",IF(Table1[[#This Row],[Estimated Effort (Hours)]]&lt;50,"L2",IF(Table1[[#This Row],[Estimated Effort (Hours)]]&lt;150,"L3",IF(Table1[[#This Row],[Estimated Effort (Hours)]]&lt;300,"L4","L5")))))</f>
        <v/>
      </c>
      <c r="S1907" s="184" t="str">
        <f>IF(Table1[[#This Row],[Actual End Date]]="","",TEXT(Table1[[#This Row],[Actual End Date]],"mmm-yy"))</f>
        <v/>
      </c>
      <c r="T190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7" s="185" t="str">
        <f>IFERROR((Table1[[#This Row],[Actual Effort (Hours)]]-Table1[[#This Row],[Estimated Effort (Hours)]])/Table1[[#This Row],[Estimated Effort (Hours)]],"")</f>
        <v/>
      </c>
    </row>
    <row r="1908" spans="2:21">
      <c r="B1908" s="125"/>
      <c r="C1908" s="123"/>
      <c r="D1908" s="143"/>
      <c r="E1908" s="123"/>
      <c r="F1908" s="143"/>
      <c r="G1908" s="129"/>
      <c r="H1908" s="124"/>
      <c r="I1908" s="124"/>
      <c r="J1908" s="129"/>
      <c r="K1908" s="194"/>
      <c r="L1908" s="194"/>
      <c r="M1908" s="129"/>
      <c r="N1908" s="129" t="e">
        <f>Table1[[#This Row],[Estimated Effort (Hours)]]/NETWORKDAYS(Table1[[#This Row],[Planned Start Date]],Table1[[#This Row],[Planned End Date]])</f>
        <v>#DIV/0!</v>
      </c>
      <c r="O1908" s="178">
        <f>NETWORKDAYS(Table1[[#This Row],[Planned Start Date]],Table1[[#This Row],[Planned End Date]])</f>
        <v>0</v>
      </c>
      <c r="P1908" s="178">
        <f>NETWORKDAYS(Table1[[#This Row],[Planned Start Date]],$P$7)</f>
        <v>30643</v>
      </c>
      <c r="Q1908" s="129"/>
      <c r="R1908" s="183" t="str">
        <f>IF(Table1[[#This Row],[Actual Effort (Hours)]]="","",IF(Table1[[#This Row],[Estimated Effort (Hours)]]&lt;20,"L1",IF(Table1[[#This Row],[Estimated Effort (Hours)]]&lt;50,"L2",IF(Table1[[#This Row],[Estimated Effort (Hours)]]&lt;150,"L3",IF(Table1[[#This Row],[Estimated Effort (Hours)]]&lt;300,"L4","L5")))))</f>
        <v/>
      </c>
      <c r="S1908" s="184" t="str">
        <f>IF(Table1[[#This Row],[Actual End Date]]="","",TEXT(Table1[[#This Row],[Actual End Date]],"mmm-yy"))</f>
        <v/>
      </c>
      <c r="T190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8" s="185" t="str">
        <f>IFERROR((Table1[[#This Row],[Actual Effort (Hours)]]-Table1[[#This Row],[Estimated Effort (Hours)]])/Table1[[#This Row],[Estimated Effort (Hours)]],"")</f>
        <v/>
      </c>
    </row>
    <row r="1909" spans="2:21">
      <c r="B1909" s="125"/>
      <c r="C1909" s="123"/>
      <c r="D1909" s="143"/>
      <c r="E1909" s="123"/>
      <c r="F1909" s="143"/>
      <c r="G1909" s="129"/>
      <c r="H1909" s="124"/>
      <c r="I1909" s="124"/>
      <c r="J1909" s="129"/>
      <c r="K1909" s="194"/>
      <c r="L1909" s="194"/>
      <c r="M1909" s="129"/>
      <c r="N1909" s="129" t="e">
        <f>Table1[[#This Row],[Estimated Effort (Hours)]]/NETWORKDAYS(Table1[[#This Row],[Planned Start Date]],Table1[[#This Row],[Planned End Date]])</f>
        <v>#DIV/0!</v>
      </c>
      <c r="O1909" s="178">
        <f>NETWORKDAYS(Table1[[#This Row],[Planned Start Date]],Table1[[#This Row],[Planned End Date]])</f>
        <v>0</v>
      </c>
      <c r="P1909" s="178">
        <f>NETWORKDAYS(Table1[[#This Row],[Planned Start Date]],$P$7)</f>
        <v>30643</v>
      </c>
      <c r="Q1909" s="129"/>
      <c r="R1909" s="183" t="str">
        <f>IF(Table1[[#This Row],[Actual Effort (Hours)]]="","",IF(Table1[[#This Row],[Estimated Effort (Hours)]]&lt;20,"L1",IF(Table1[[#This Row],[Estimated Effort (Hours)]]&lt;50,"L2",IF(Table1[[#This Row],[Estimated Effort (Hours)]]&lt;150,"L3",IF(Table1[[#This Row],[Estimated Effort (Hours)]]&lt;300,"L4","L5")))))</f>
        <v/>
      </c>
      <c r="S1909" s="184" t="str">
        <f>IF(Table1[[#This Row],[Actual End Date]]="","",TEXT(Table1[[#This Row],[Actual End Date]],"mmm-yy"))</f>
        <v/>
      </c>
      <c r="T190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09" s="185" t="str">
        <f>IFERROR((Table1[[#This Row],[Actual Effort (Hours)]]-Table1[[#This Row],[Estimated Effort (Hours)]])/Table1[[#This Row],[Estimated Effort (Hours)]],"")</f>
        <v/>
      </c>
    </row>
    <row r="1910" spans="2:21">
      <c r="B1910" s="125"/>
      <c r="C1910" s="123"/>
      <c r="D1910" s="143"/>
      <c r="E1910" s="123"/>
      <c r="F1910" s="143"/>
      <c r="G1910" s="129"/>
      <c r="H1910" s="124"/>
      <c r="I1910" s="124"/>
      <c r="J1910" s="129"/>
      <c r="K1910" s="194"/>
      <c r="L1910" s="194"/>
      <c r="M1910" s="129"/>
      <c r="N1910" s="129" t="e">
        <f>Table1[[#This Row],[Estimated Effort (Hours)]]/NETWORKDAYS(Table1[[#This Row],[Planned Start Date]],Table1[[#This Row],[Planned End Date]])</f>
        <v>#DIV/0!</v>
      </c>
      <c r="O1910" s="178">
        <f>NETWORKDAYS(Table1[[#This Row],[Planned Start Date]],Table1[[#This Row],[Planned End Date]])</f>
        <v>0</v>
      </c>
      <c r="P1910" s="178">
        <f>NETWORKDAYS(Table1[[#This Row],[Planned Start Date]],$P$7)</f>
        <v>30643</v>
      </c>
      <c r="Q1910" s="129"/>
      <c r="R1910" s="183" t="str">
        <f>IF(Table1[[#This Row],[Actual Effort (Hours)]]="","",IF(Table1[[#This Row],[Estimated Effort (Hours)]]&lt;20,"L1",IF(Table1[[#This Row],[Estimated Effort (Hours)]]&lt;50,"L2",IF(Table1[[#This Row],[Estimated Effort (Hours)]]&lt;150,"L3",IF(Table1[[#This Row],[Estimated Effort (Hours)]]&lt;300,"L4","L5")))))</f>
        <v/>
      </c>
      <c r="S1910" s="184" t="str">
        <f>IF(Table1[[#This Row],[Actual End Date]]="","",TEXT(Table1[[#This Row],[Actual End Date]],"mmm-yy"))</f>
        <v/>
      </c>
      <c r="T191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0" s="185" t="str">
        <f>IFERROR((Table1[[#This Row],[Actual Effort (Hours)]]-Table1[[#This Row],[Estimated Effort (Hours)]])/Table1[[#This Row],[Estimated Effort (Hours)]],"")</f>
        <v/>
      </c>
    </row>
    <row r="1911" spans="2:21">
      <c r="B1911" s="125"/>
      <c r="C1911" s="123"/>
      <c r="D1911" s="143"/>
      <c r="E1911" s="123"/>
      <c r="F1911" s="143"/>
      <c r="G1911" s="129"/>
      <c r="H1911" s="124"/>
      <c r="I1911" s="124"/>
      <c r="J1911" s="129"/>
      <c r="K1911" s="194"/>
      <c r="L1911" s="194"/>
      <c r="M1911" s="129"/>
      <c r="N1911" s="129" t="e">
        <f>Table1[[#This Row],[Estimated Effort (Hours)]]/NETWORKDAYS(Table1[[#This Row],[Planned Start Date]],Table1[[#This Row],[Planned End Date]])</f>
        <v>#DIV/0!</v>
      </c>
      <c r="O1911" s="178">
        <f>NETWORKDAYS(Table1[[#This Row],[Planned Start Date]],Table1[[#This Row],[Planned End Date]])</f>
        <v>0</v>
      </c>
      <c r="P1911" s="178">
        <f>NETWORKDAYS(Table1[[#This Row],[Planned Start Date]],$P$7)</f>
        <v>30643</v>
      </c>
      <c r="Q1911" s="129"/>
      <c r="R1911" s="183" t="str">
        <f>IF(Table1[[#This Row],[Actual Effort (Hours)]]="","",IF(Table1[[#This Row],[Estimated Effort (Hours)]]&lt;20,"L1",IF(Table1[[#This Row],[Estimated Effort (Hours)]]&lt;50,"L2",IF(Table1[[#This Row],[Estimated Effort (Hours)]]&lt;150,"L3",IF(Table1[[#This Row],[Estimated Effort (Hours)]]&lt;300,"L4","L5")))))</f>
        <v/>
      </c>
      <c r="S1911" s="184" t="str">
        <f>IF(Table1[[#This Row],[Actual End Date]]="","",TEXT(Table1[[#This Row],[Actual End Date]],"mmm-yy"))</f>
        <v/>
      </c>
      <c r="T191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1" s="185" t="str">
        <f>IFERROR((Table1[[#This Row],[Actual Effort (Hours)]]-Table1[[#This Row],[Estimated Effort (Hours)]])/Table1[[#This Row],[Estimated Effort (Hours)]],"")</f>
        <v/>
      </c>
    </row>
    <row r="1912" spans="2:21">
      <c r="B1912" s="125"/>
      <c r="C1912" s="123"/>
      <c r="D1912" s="143"/>
      <c r="E1912" s="123"/>
      <c r="F1912" s="143"/>
      <c r="G1912" s="129"/>
      <c r="H1912" s="124"/>
      <c r="I1912" s="124"/>
      <c r="J1912" s="129"/>
      <c r="K1912" s="194"/>
      <c r="L1912" s="194"/>
      <c r="M1912" s="129"/>
      <c r="N1912" s="129" t="e">
        <f>Table1[[#This Row],[Estimated Effort (Hours)]]/NETWORKDAYS(Table1[[#This Row],[Planned Start Date]],Table1[[#This Row],[Planned End Date]])</f>
        <v>#DIV/0!</v>
      </c>
      <c r="O1912" s="178">
        <f>NETWORKDAYS(Table1[[#This Row],[Planned Start Date]],Table1[[#This Row],[Planned End Date]])</f>
        <v>0</v>
      </c>
      <c r="P1912" s="178">
        <f>NETWORKDAYS(Table1[[#This Row],[Planned Start Date]],$P$7)</f>
        <v>30643</v>
      </c>
      <c r="Q1912" s="129"/>
      <c r="R1912" s="183" t="str">
        <f>IF(Table1[[#This Row],[Actual Effort (Hours)]]="","",IF(Table1[[#This Row],[Estimated Effort (Hours)]]&lt;20,"L1",IF(Table1[[#This Row],[Estimated Effort (Hours)]]&lt;50,"L2",IF(Table1[[#This Row],[Estimated Effort (Hours)]]&lt;150,"L3",IF(Table1[[#This Row],[Estimated Effort (Hours)]]&lt;300,"L4","L5")))))</f>
        <v/>
      </c>
      <c r="S1912" s="184" t="str">
        <f>IF(Table1[[#This Row],[Actual End Date]]="","",TEXT(Table1[[#This Row],[Actual End Date]],"mmm-yy"))</f>
        <v/>
      </c>
      <c r="T191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2" s="185" t="str">
        <f>IFERROR((Table1[[#This Row],[Actual Effort (Hours)]]-Table1[[#This Row],[Estimated Effort (Hours)]])/Table1[[#This Row],[Estimated Effort (Hours)]],"")</f>
        <v/>
      </c>
    </row>
    <row r="1913" spans="2:21">
      <c r="B1913" s="125"/>
      <c r="C1913" s="123"/>
      <c r="D1913" s="143"/>
      <c r="E1913" s="123"/>
      <c r="F1913" s="143"/>
      <c r="G1913" s="129"/>
      <c r="H1913" s="124"/>
      <c r="I1913" s="124"/>
      <c r="J1913" s="129"/>
      <c r="K1913" s="194"/>
      <c r="L1913" s="194"/>
      <c r="M1913" s="129"/>
      <c r="N1913" s="129" t="e">
        <f>Table1[[#This Row],[Estimated Effort (Hours)]]/NETWORKDAYS(Table1[[#This Row],[Planned Start Date]],Table1[[#This Row],[Planned End Date]])</f>
        <v>#DIV/0!</v>
      </c>
      <c r="O1913" s="178">
        <f>NETWORKDAYS(Table1[[#This Row],[Planned Start Date]],Table1[[#This Row],[Planned End Date]])</f>
        <v>0</v>
      </c>
      <c r="P1913" s="178">
        <f>NETWORKDAYS(Table1[[#This Row],[Planned Start Date]],$P$7)</f>
        <v>30643</v>
      </c>
      <c r="Q1913" s="129"/>
      <c r="R1913" s="183" t="str">
        <f>IF(Table1[[#This Row],[Actual Effort (Hours)]]="","",IF(Table1[[#This Row],[Estimated Effort (Hours)]]&lt;20,"L1",IF(Table1[[#This Row],[Estimated Effort (Hours)]]&lt;50,"L2",IF(Table1[[#This Row],[Estimated Effort (Hours)]]&lt;150,"L3",IF(Table1[[#This Row],[Estimated Effort (Hours)]]&lt;300,"L4","L5")))))</f>
        <v/>
      </c>
      <c r="S1913" s="184" t="str">
        <f>IF(Table1[[#This Row],[Actual End Date]]="","",TEXT(Table1[[#This Row],[Actual End Date]],"mmm-yy"))</f>
        <v/>
      </c>
      <c r="T191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3" s="185" t="str">
        <f>IFERROR((Table1[[#This Row],[Actual Effort (Hours)]]-Table1[[#This Row],[Estimated Effort (Hours)]])/Table1[[#This Row],[Estimated Effort (Hours)]],"")</f>
        <v/>
      </c>
    </row>
    <row r="1914" spans="2:21">
      <c r="B1914" s="125"/>
      <c r="C1914" s="123"/>
      <c r="D1914" s="143"/>
      <c r="E1914" s="123"/>
      <c r="F1914" s="143"/>
      <c r="G1914" s="129"/>
      <c r="H1914" s="124"/>
      <c r="I1914" s="124"/>
      <c r="J1914" s="129"/>
      <c r="K1914" s="194"/>
      <c r="L1914" s="194"/>
      <c r="M1914" s="129"/>
      <c r="N1914" s="129" t="e">
        <f>Table1[[#This Row],[Estimated Effort (Hours)]]/NETWORKDAYS(Table1[[#This Row],[Planned Start Date]],Table1[[#This Row],[Planned End Date]])</f>
        <v>#DIV/0!</v>
      </c>
      <c r="O1914" s="178">
        <f>NETWORKDAYS(Table1[[#This Row],[Planned Start Date]],Table1[[#This Row],[Planned End Date]])</f>
        <v>0</v>
      </c>
      <c r="P1914" s="178">
        <f>NETWORKDAYS(Table1[[#This Row],[Planned Start Date]],$P$7)</f>
        <v>30643</v>
      </c>
      <c r="Q1914" s="129"/>
      <c r="R1914" s="183" t="str">
        <f>IF(Table1[[#This Row],[Actual Effort (Hours)]]="","",IF(Table1[[#This Row],[Estimated Effort (Hours)]]&lt;20,"L1",IF(Table1[[#This Row],[Estimated Effort (Hours)]]&lt;50,"L2",IF(Table1[[#This Row],[Estimated Effort (Hours)]]&lt;150,"L3",IF(Table1[[#This Row],[Estimated Effort (Hours)]]&lt;300,"L4","L5")))))</f>
        <v/>
      </c>
      <c r="S1914" s="184" t="str">
        <f>IF(Table1[[#This Row],[Actual End Date]]="","",TEXT(Table1[[#This Row],[Actual End Date]],"mmm-yy"))</f>
        <v/>
      </c>
      <c r="T191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4" s="185" t="str">
        <f>IFERROR((Table1[[#This Row],[Actual Effort (Hours)]]-Table1[[#This Row],[Estimated Effort (Hours)]])/Table1[[#This Row],[Estimated Effort (Hours)]],"")</f>
        <v/>
      </c>
    </row>
    <row r="1915" spans="2:21">
      <c r="B1915" s="125"/>
      <c r="C1915" s="123"/>
      <c r="D1915" s="143"/>
      <c r="E1915" s="123"/>
      <c r="F1915" s="143"/>
      <c r="G1915" s="129"/>
      <c r="H1915" s="124"/>
      <c r="I1915" s="124"/>
      <c r="J1915" s="129"/>
      <c r="K1915" s="194"/>
      <c r="L1915" s="194"/>
      <c r="M1915" s="129"/>
      <c r="N1915" s="129" t="e">
        <f>Table1[[#This Row],[Estimated Effort (Hours)]]/NETWORKDAYS(Table1[[#This Row],[Planned Start Date]],Table1[[#This Row],[Planned End Date]])</f>
        <v>#DIV/0!</v>
      </c>
      <c r="O1915" s="178">
        <f>NETWORKDAYS(Table1[[#This Row],[Planned Start Date]],Table1[[#This Row],[Planned End Date]])</f>
        <v>0</v>
      </c>
      <c r="P1915" s="178">
        <f>NETWORKDAYS(Table1[[#This Row],[Planned Start Date]],$P$7)</f>
        <v>30643</v>
      </c>
      <c r="Q1915" s="129"/>
      <c r="R1915" s="183" t="str">
        <f>IF(Table1[[#This Row],[Actual Effort (Hours)]]="","",IF(Table1[[#This Row],[Estimated Effort (Hours)]]&lt;20,"L1",IF(Table1[[#This Row],[Estimated Effort (Hours)]]&lt;50,"L2",IF(Table1[[#This Row],[Estimated Effort (Hours)]]&lt;150,"L3",IF(Table1[[#This Row],[Estimated Effort (Hours)]]&lt;300,"L4","L5")))))</f>
        <v/>
      </c>
      <c r="S1915" s="184" t="str">
        <f>IF(Table1[[#This Row],[Actual End Date]]="","",TEXT(Table1[[#This Row],[Actual End Date]],"mmm-yy"))</f>
        <v/>
      </c>
      <c r="T191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5" s="185" t="str">
        <f>IFERROR((Table1[[#This Row],[Actual Effort (Hours)]]-Table1[[#This Row],[Estimated Effort (Hours)]])/Table1[[#This Row],[Estimated Effort (Hours)]],"")</f>
        <v/>
      </c>
    </row>
    <row r="1916" spans="2:21">
      <c r="B1916" s="125"/>
      <c r="C1916" s="123"/>
      <c r="D1916" s="143"/>
      <c r="E1916" s="123"/>
      <c r="F1916" s="143"/>
      <c r="G1916" s="129"/>
      <c r="H1916" s="124"/>
      <c r="I1916" s="124"/>
      <c r="J1916" s="129"/>
      <c r="K1916" s="194"/>
      <c r="L1916" s="194"/>
      <c r="M1916" s="129"/>
      <c r="N1916" s="129" t="e">
        <f>Table1[[#This Row],[Estimated Effort (Hours)]]/NETWORKDAYS(Table1[[#This Row],[Planned Start Date]],Table1[[#This Row],[Planned End Date]])</f>
        <v>#DIV/0!</v>
      </c>
      <c r="O1916" s="178">
        <f>NETWORKDAYS(Table1[[#This Row],[Planned Start Date]],Table1[[#This Row],[Planned End Date]])</f>
        <v>0</v>
      </c>
      <c r="P1916" s="178">
        <f>NETWORKDAYS(Table1[[#This Row],[Planned Start Date]],$P$7)</f>
        <v>30643</v>
      </c>
      <c r="Q1916" s="129"/>
      <c r="R1916" s="183" t="str">
        <f>IF(Table1[[#This Row],[Actual Effort (Hours)]]="","",IF(Table1[[#This Row],[Estimated Effort (Hours)]]&lt;20,"L1",IF(Table1[[#This Row],[Estimated Effort (Hours)]]&lt;50,"L2",IF(Table1[[#This Row],[Estimated Effort (Hours)]]&lt;150,"L3",IF(Table1[[#This Row],[Estimated Effort (Hours)]]&lt;300,"L4","L5")))))</f>
        <v/>
      </c>
      <c r="S1916" s="184" t="str">
        <f>IF(Table1[[#This Row],[Actual End Date]]="","",TEXT(Table1[[#This Row],[Actual End Date]],"mmm-yy"))</f>
        <v/>
      </c>
      <c r="T191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6" s="185" t="str">
        <f>IFERROR((Table1[[#This Row],[Actual Effort (Hours)]]-Table1[[#This Row],[Estimated Effort (Hours)]])/Table1[[#This Row],[Estimated Effort (Hours)]],"")</f>
        <v/>
      </c>
    </row>
    <row r="1917" spans="2:21">
      <c r="B1917" s="125"/>
      <c r="C1917" s="123"/>
      <c r="D1917" s="143"/>
      <c r="E1917" s="123"/>
      <c r="F1917" s="143"/>
      <c r="G1917" s="129"/>
      <c r="H1917" s="124"/>
      <c r="I1917" s="124"/>
      <c r="J1917" s="129"/>
      <c r="K1917" s="194"/>
      <c r="L1917" s="194"/>
      <c r="M1917" s="129"/>
      <c r="N1917" s="129" t="e">
        <f>Table1[[#This Row],[Estimated Effort (Hours)]]/NETWORKDAYS(Table1[[#This Row],[Planned Start Date]],Table1[[#This Row],[Planned End Date]])</f>
        <v>#DIV/0!</v>
      </c>
      <c r="O1917" s="178">
        <f>NETWORKDAYS(Table1[[#This Row],[Planned Start Date]],Table1[[#This Row],[Planned End Date]])</f>
        <v>0</v>
      </c>
      <c r="P1917" s="178">
        <f>NETWORKDAYS(Table1[[#This Row],[Planned Start Date]],$P$7)</f>
        <v>30643</v>
      </c>
      <c r="Q1917" s="129"/>
      <c r="R1917" s="183" t="str">
        <f>IF(Table1[[#This Row],[Actual Effort (Hours)]]="","",IF(Table1[[#This Row],[Estimated Effort (Hours)]]&lt;20,"L1",IF(Table1[[#This Row],[Estimated Effort (Hours)]]&lt;50,"L2",IF(Table1[[#This Row],[Estimated Effort (Hours)]]&lt;150,"L3",IF(Table1[[#This Row],[Estimated Effort (Hours)]]&lt;300,"L4","L5")))))</f>
        <v/>
      </c>
      <c r="S1917" s="184" t="str">
        <f>IF(Table1[[#This Row],[Actual End Date]]="","",TEXT(Table1[[#This Row],[Actual End Date]],"mmm-yy"))</f>
        <v/>
      </c>
      <c r="T191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7" s="185" t="str">
        <f>IFERROR((Table1[[#This Row],[Actual Effort (Hours)]]-Table1[[#This Row],[Estimated Effort (Hours)]])/Table1[[#This Row],[Estimated Effort (Hours)]],"")</f>
        <v/>
      </c>
    </row>
    <row r="1918" spans="2:21">
      <c r="B1918" s="125"/>
      <c r="C1918" s="123"/>
      <c r="D1918" s="143"/>
      <c r="E1918" s="123"/>
      <c r="F1918" s="143"/>
      <c r="G1918" s="129"/>
      <c r="H1918" s="124"/>
      <c r="I1918" s="124"/>
      <c r="J1918" s="129"/>
      <c r="K1918" s="194"/>
      <c r="L1918" s="194"/>
      <c r="M1918" s="129"/>
      <c r="N1918" s="129" t="e">
        <f>Table1[[#This Row],[Estimated Effort (Hours)]]/NETWORKDAYS(Table1[[#This Row],[Planned Start Date]],Table1[[#This Row],[Planned End Date]])</f>
        <v>#DIV/0!</v>
      </c>
      <c r="O1918" s="178">
        <f>NETWORKDAYS(Table1[[#This Row],[Planned Start Date]],Table1[[#This Row],[Planned End Date]])</f>
        <v>0</v>
      </c>
      <c r="P1918" s="178">
        <f>NETWORKDAYS(Table1[[#This Row],[Planned Start Date]],$P$7)</f>
        <v>30643</v>
      </c>
      <c r="Q1918" s="129"/>
      <c r="R1918" s="183" t="str">
        <f>IF(Table1[[#This Row],[Actual Effort (Hours)]]="","",IF(Table1[[#This Row],[Estimated Effort (Hours)]]&lt;20,"L1",IF(Table1[[#This Row],[Estimated Effort (Hours)]]&lt;50,"L2",IF(Table1[[#This Row],[Estimated Effort (Hours)]]&lt;150,"L3",IF(Table1[[#This Row],[Estimated Effort (Hours)]]&lt;300,"L4","L5")))))</f>
        <v/>
      </c>
      <c r="S1918" s="184" t="str">
        <f>IF(Table1[[#This Row],[Actual End Date]]="","",TEXT(Table1[[#This Row],[Actual End Date]],"mmm-yy"))</f>
        <v/>
      </c>
      <c r="T191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8" s="185" t="str">
        <f>IFERROR((Table1[[#This Row],[Actual Effort (Hours)]]-Table1[[#This Row],[Estimated Effort (Hours)]])/Table1[[#This Row],[Estimated Effort (Hours)]],"")</f>
        <v/>
      </c>
    </row>
    <row r="1919" spans="2:21">
      <c r="B1919" s="125"/>
      <c r="C1919" s="123"/>
      <c r="D1919" s="143"/>
      <c r="E1919" s="123"/>
      <c r="F1919" s="143"/>
      <c r="G1919" s="129"/>
      <c r="H1919" s="124"/>
      <c r="I1919" s="124"/>
      <c r="J1919" s="129"/>
      <c r="K1919" s="194"/>
      <c r="L1919" s="194"/>
      <c r="M1919" s="129"/>
      <c r="N1919" s="129" t="e">
        <f>Table1[[#This Row],[Estimated Effort (Hours)]]/NETWORKDAYS(Table1[[#This Row],[Planned Start Date]],Table1[[#This Row],[Planned End Date]])</f>
        <v>#DIV/0!</v>
      </c>
      <c r="O1919" s="178">
        <f>NETWORKDAYS(Table1[[#This Row],[Planned Start Date]],Table1[[#This Row],[Planned End Date]])</f>
        <v>0</v>
      </c>
      <c r="P1919" s="178">
        <f>NETWORKDAYS(Table1[[#This Row],[Planned Start Date]],$P$7)</f>
        <v>30643</v>
      </c>
      <c r="Q1919" s="129"/>
      <c r="R1919" s="183" t="str">
        <f>IF(Table1[[#This Row],[Actual Effort (Hours)]]="","",IF(Table1[[#This Row],[Estimated Effort (Hours)]]&lt;20,"L1",IF(Table1[[#This Row],[Estimated Effort (Hours)]]&lt;50,"L2",IF(Table1[[#This Row],[Estimated Effort (Hours)]]&lt;150,"L3",IF(Table1[[#This Row],[Estimated Effort (Hours)]]&lt;300,"L4","L5")))))</f>
        <v/>
      </c>
      <c r="S1919" s="184" t="str">
        <f>IF(Table1[[#This Row],[Actual End Date]]="","",TEXT(Table1[[#This Row],[Actual End Date]],"mmm-yy"))</f>
        <v/>
      </c>
      <c r="T1919"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19" s="185" t="str">
        <f>IFERROR((Table1[[#This Row],[Actual Effort (Hours)]]-Table1[[#This Row],[Estimated Effort (Hours)]])/Table1[[#This Row],[Estimated Effort (Hours)]],"")</f>
        <v/>
      </c>
    </row>
    <row r="1920" spans="2:21">
      <c r="B1920" s="125"/>
      <c r="C1920" s="123"/>
      <c r="D1920" s="143"/>
      <c r="E1920" s="123"/>
      <c r="F1920" s="143"/>
      <c r="G1920" s="129"/>
      <c r="H1920" s="124"/>
      <c r="I1920" s="124"/>
      <c r="J1920" s="129"/>
      <c r="K1920" s="194"/>
      <c r="L1920" s="194"/>
      <c r="M1920" s="129"/>
      <c r="N1920" s="129" t="e">
        <f>Table1[[#This Row],[Estimated Effort (Hours)]]/NETWORKDAYS(Table1[[#This Row],[Planned Start Date]],Table1[[#This Row],[Planned End Date]])</f>
        <v>#DIV/0!</v>
      </c>
      <c r="O1920" s="178">
        <f>NETWORKDAYS(Table1[[#This Row],[Planned Start Date]],Table1[[#This Row],[Planned End Date]])</f>
        <v>0</v>
      </c>
      <c r="P1920" s="178">
        <f>NETWORKDAYS(Table1[[#This Row],[Planned Start Date]],$P$7)</f>
        <v>30643</v>
      </c>
      <c r="Q1920" s="129"/>
      <c r="R1920" s="183" t="str">
        <f>IF(Table1[[#This Row],[Actual Effort (Hours)]]="","",IF(Table1[[#This Row],[Estimated Effort (Hours)]]&lt;20,"L1",IF(Table1[[#This Row],[Estimated Effort (Hours)]]&lt;50,"L2",IF(Table1[[#This Row],[Estimated Effort (Hours)]]&lt;150,"L3",IF(Table1[[#This Row],[Estimated Effort (Hours)]]&lt;300,"L4","L5")))))</f>
        <v/>
      </c>
      <c r="S1920" s="184" t="str">
        <f>IF(Table1[[#This Row],[Actual End Date]]="","",TEXT(Table1[[#This Row],[Actual End Date]],"mmm-yy"))</f>
        <v/>
      </c>
      <c r="T1920"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0" s="185" t="str">
        <f>IFERROR((Table1[[#This Row],[Actual Effort (Hours)]]-Table1[[#This Row],[Estimated Effort (Hours)]])/Table1[[#This Row],[Estimated Effort (Hours)]],"")</f>
        <v/>
      </c>
    </row>
    <row r="1921" spans="2:21">
      <c r="B1921" s="125"/>
      <c r="C1921" s="123"/>
      <c r="D1921" s="143"/>
      <c r="E1921" s="123"/>
      <c r="F1921" s="143"/>
      <c r="G1921" s="129"/>
      <c r="H1921" s="124"/>
      <c r="I1921" s="124"/>
      <c r="J1921" s="129"/>
      <c r="K1921" s="194"/>
      <c r="L1921" s="194"/>
      <c r="M1921" s="129"/>
      <c r="N1921" s="129" t="e">
        <f>Table1[[#This Row],[Estimated Effort (Hours)]]/NETWORKDAYS(Table1[[#This Row],[Planned Start Date]],Table1[[#This Row],[Planned End Date]])</f>
        <v>#DIV/0!</v>
      </c>
      <c r="O1921" s="178">
        <f>NETWORKDAYS(Table1[[#This Row],[Planned Start Date]],Table1[[#This Row],[Planned End Date]])</f>
        <v>0</v>
      </c>
      <c r="P1921" s="178">
        <f>NETWORKDAYS(Table1[[#This Row],[Planned Start Date]],$P$7)</f>
        <v>30643</v>
      </c>
      <c r="Q1921" s="129"/>
      <c r="R1921" s="183" t="str">
        <f>IF(Table1[[#This Row],[Actual Effort (Hours)]]="","",IF(Table1[[#This Row],[Estimated Effort (Hours)]]&lt;20,"L1",IF(Table1[[#This Row],[Estimated Effort (Hours)]]&lt;50,"L2",IF(Table1[[#This Row],[Estimated Effort (Hours)]]&lt;150,"L3",IF(Table1[[#This Row],[Estimated Effort (Hours)]]&lt;300,"L4","L5")))))</f>
        <v/>
      </c>
      <c r="S1921" s="184" t="str">
        <f>IF(Table1[[#This Row],[Actual End Date]]="","",TEXT(Table1[[#This Row],[Actual End Date]],"mmm-yy"))</f>
        <v/>
      </c>
      <c r="T1921"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1" s="185" t="str">
        <f>IFERROR((Table1[[#This Row],[Actual Effort (Hours)]]-Table1[[#This Row],[Estimated Effort (Hours)]])/Table1[[#This Row],[Estimated Effort (Hours)]],"")</f>
        <v/>
      </c>
    </row>
    <row r="1922" spans="2:21">
      <c r="B1922" s="125"/>
      <c r="C1922" s="123"/>
      <c r="D1922" s="143"/>
      <c r="E1922" s="123"/>
      <c r="F1922" s="143"/>
      <c r="G1922" s="129"/>
      <c r="H1922" s="124"/>
      <c r="I1922" s="124"/>
      <c r="J1922" s="129"/>
      <c r="K1922" s="194"/>
      <c r="L1922" s="194"/>
      <c r="M1922" s="129"/>
      <c r="N1922" s="129" t="e">
        <f>Table1[[#This Row],[Estimated Effort (Hours)]]/NETWORKDAYS(Table1[[#This Row],[Planned Start Date]],Table1[[#This Row],[Planned End Date]])</f>
        <v>#DIV/0!</v>
      </c>
      <c r="O1922" s="178">
        <f>NETWORKDAYS(Table1[[#This Row],[Planned Start Date]],Table1[[#This Row],[Planned End Date]])</f>
        <v>0</v>
      </c>
      <c r="P1922" s="178">
        <f>NETWORKDAYS(Table1[[#This Row],[Planned Start Date]],$P$7)</f>
        <v>30643</v>
      </c>
      <c r="Q1922" s="129"/>
      <c r="R1922" s="183" t="str">
        <f>IF(Table1[[#This Row],[Actual Effort (Hours)]]="","",IF(Table1[[#This Row],[Estimated Effort (Hours)]]&lt;20,"L1",IF(Table1[[#This Row],[Estimated Effort (Hours)]]&lt;50,"L2",IF(Table1[[#This Row],[Estimated Effort (Hours)]]&lt;150,"L3",IF(Table1[[#This Row],[Estimated Effort (Hours)]]&lt;300,"L4","L5")))))</f>
        <v/>
      </c>
      <c r="S1922" s="184" t="str">
        <f>IF(Table1[[#This Row],[Actual End Date]]="","",TEXT(Table1[[#This Row],[Actual End Date]],"mmm-yy"))</f>
        <v/>
      </c>
      <c r="T1922"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2" s="185" t="str">
        <f>IFERROR((Table1[[#This Row],[Actual Effort (Hours)]]-Table1[[#This Row],[Estimated Effort (Hours)]])/Table1[[#This Row],[Estimated Effort (Hours)]],"")</f>
        <v/>
      </c>
    </row>
    <row r="1923" spans="2:21">
      <c r="B1923" s="125"/>
      <c r="C1923" s="123"/>
      <c r="D1923" s="143"/>
      <c r="E1923" s="123"/>
      <c r="F1923" s="143"/>
      <c r="G1923" s="129"/>
      <c r="H1923" s="124"/>
      <c r="I1923" s="124"/>
      <c r="J1923" s="129"/>
      <c r="K1923" s="194"/>
      <c r="L1923" s="194"/>
      <c r="M1923" s="129"/>
      <c r="N1923" s="129" t="e">
        <f>Table1[[#This Row],[Estimated Effort (Hours)]]/NETWORKDAYS(Table1[[#This Row],[Planned Start Date]],Table1[[#This Row],[Planned End Date]])</f>
        <v>#DIV/0!</v>
      </c>
      <c r="O1923" s="178">
        <f>NETWORKDAYS(Table1[[#This Row],[Planned Start Date]],Table1[[#This Row],[Planned End Date]])</f>
        <v>0</v>
      </c>
      <c r="P1923" s="178">
        <f>NETWORKDAYS(Table1[[#This Row],[Planned Start Date]],$P$7)</f>
        <v>30643</v>
      </c>
      <c r="Q1923" s="129"/>
      <c r="R1923" s="183" t="str">
        <f>IF(Table1[[#This Row],[Actual Effort (Hours)]]="","",IF(Table1[[#This Row],[Estimated Effort (Hours)]]&lt;20,"L1",IF(Table1[[#This Row],[Estimated Effort (Hours)]]&lt;50,"L2",IF(Table1[[#This Row],[Estimated Effort (Hours)]]&lt;150,"L3",IF(Table1[[#This Row],[Estimated Effort (Hours)]]&lt;300,"L4","L5")))))</f>
        <v/>
      </c>
      <c r="S1923" s="184" t="str">
        <f>IF(Table1[[#This Row],[Actual End Date]]="","",TEXT(Table1[[#This Row],[Actual End Date]],"mmm-yy"))</f>
        <v/>
      </c>
      <c r="T1923"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3" s="185" t="str">
        <f>IFERROR((Table1[[#This Row],[Actual Effort (Hours)]]-Table1[[#This Row],[Estimated Effort (Hours)]])/Table1[[#This Row],[Estimated Effort (Hours)]],"")</f>
        <v/>
      </c>
    </row>
    <row r="1924" spans="2:21">
      <c r="B1924" s="125"/>
      <c r="C1924" s="123"/>
      <c r="D1924" s="143"/>
      <c r="E1924" s="123"/>
      <c r="F1924" s="143"/>
      <c r="G1924" s="129"/>
      <c r="H1924" s="124"/>
      <c r="I1924" s="124"/>
      <c r="J1924" s="129"/>
      <c r="K1924" s="194"/>
      <c r="L1924" s="194"/>
      <c r="M1924" s="129"/>
      <c r="N1924" s="129" t="e">
        <f>Table1[[#This Row],[Estimated Effort (Hours)]]/NETWORKDAYS(Table1[[#This Row],[Planned Start Date]],Table1[[#This Row],[Planned End Date]])</f>
        <v>#DIV/0!</v>
      </c>
      <c r="O1924" s="178">
        <f>NETWORKDAYS(Table1[[#This Row],[Planned Start Date]],Table1[[#This Row],[Planned End Date]])</f>
        <v>0</v>
      </c>
      <c r="P1924" s="178">
        <f>NETWORKDAYS(Table1[[#This Row],[Planned Start Date]],$P$7)</f>
        <v>30643</v>
      </c>
      <c r="Q1924" s="129"/>
      <c r="R1924" s="183" t="str">
        <f>IF(Table1[[#This Row],[Actual Effort (Hours)]]="","",IF(Table1[[#This Row],[Estimated Effort (Hours)]]&lt;20,"L1",IF(Table1[[#This Row],[Estimated Effort (Hours)]]&lt;50,"L2",IF(Table1[[#This Row],[Estimated Effort (Hours)]]&lt;150,"L3",IF(Table1[[#This Row],[Estimated Effort (Hours)]]&lt;300,"L4","L5")))))</f>
        <v/>
      </c>
      <c r="S1924" s="184" t="str">
        <f>IF(Table1[[#This Row],[Actual End Date]]="","",TEXT(Table1[[#This Row],[Actual End Date]],"mmm-yy"))</f>
        <v/>
      </c>
      <c r="T1924"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4" s="185" t="str">
        <f>IFERROR((Table1[[#This Row],[Actual Effort (Hours)]]-Table1[[#This Row],[Estimated Effort (Hours)]])/Table1[[#This Row],[Estimated Effort (Hours)]],"")</f>
        <v/>
      </c>
    </row>
    <row r="1925" spans="2:21">
      <c r="B1925" s="125"/>
      <c r="C1925" s="123"/>
      <c r="D1925" s="143"/>
      <c r="E1925" s="123"/>
      <c r="F1925" s="143"/>
      <c r="G1925" s="129"/>
      <c r="H1925" s="124"/>
      <c r="I1925" s="124"/>
      <c r="J1925" s="129"/>
      <c r="K1925" s="194"/>
      <c r="L1925" s="194"/>
      <c r="M1925" s="129"/>
      <c r="N1925" s="129" t="e">
        <f>Table1[[#This Row],[Estimated Effort (Hours)]]/NETWORKDAYS(Table1[[#This Row],[Planned Start Date]],Table1[[#This Row],[Planned End Date]])</f>
        <v>#DIV/0!</v>
      </c>
      <c r="O1925" s="178">
        <f>NETWORKDAYS(Table1[[#This Row],[Planned Start Date]],Table1[[#This Row],[Planned End Date]])</f>
        <v>0</v>
      </c>
      <c r="P1925" s="178">
        <f>NETWORKDAYS(Table1[[#This Row],[Planned Start Date]],$P$7)</f>
        <v>30643</v>
      </c>
      <c r="Q1925" s="129"/>
      <c r="R1925" s="183" t="str">
        <f>IF(Table1[[#This Row],[Actual Effort (Hours)]]="","",IF(Table1[[#This Row],[Estimated Effort (Hours)]]&lt;20,"L1",IF(Table1[[#This Row],[Estimated Effort (Hours)]]&lt;50,"L2",IF(Table1[[#This Row],[Estimated Effort (Hours)]]&lt;150,"L3",IF(Table1[[#This Row],[Estimated Effort (Hours)]]&lt;300,"L4","L5")))))</f>
        <v/>
      </c>
      <c r="S1925" s="184" t="str">
        <f>IF(Table1[[#This Row],[Actual End Date]]="","",TEXT(Table1[[#This Row],[Actual End Date]],"mmm-yy"))</f>
        <v/>
      </c>
      <c r="T1925"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5" s="185" t="str">
        <f>IFERROR((Table1[[#This Row],[Actual Effort (Hours)]]-Table1[[#This Row],[Estimated Effort (Hours)]])/Table1[[#This Row],[Estimated Effort (Hours)]],"")</f>
        <v/>
      </c>
    </row>
    <row r="1926" spans="2:21">
      <c r="B1926" s="125"/>
      <c r="C1926" s="123"/>
      <c r="D1926" s="143"/>
      <c r="E1926" s="123"/>
      <c r="F1926" s="143"/>
      <c r="G1926" s="129"/>
      <c r="H1926" s="124"/>
      <c r="I1926" s="124"/>
      <c r="J1926" s="129"/>
      <c r="K1926" s="194"/>
      <c r="L1926" s="194"/>
      <c r="M1926" s="129"/>
      <c r="N1926" s="129" t="e">
        <f>Table1[[#This Row],[Estimated Effort (Hours)]]/NETWORKDAYS(Table1[[#This Row],[Planned Start Date]],Table1[[#This Row],[Planned End Date]])</f>
        <v>#DIV/0!</v>
      </c>
      <c r="O1926" s="178">
        <f>NETWORKDAYS(Table1[[#This Row],[Planned Start Date]],Table1[[#This Row],[Planned End Date]])</f>
        <v>0</v>
      </c>
      <c r="P1926" s="178">
        <f>NETWORKDAYS(Table1[[#This Row],[Planned Start Date]],$P$7)</f>
        <v>30643</v>
      </c>
      <c r="Q1926" s="129"/>
      <c r="R1926" s="183" t="str">
        <f>IF(Table1[[#This Row],[Actual Effort (Hours)]]="","",IF(Table1[[#This Row],[Estimated Effort (Hours)]]&lt;20,"L1",IF(Table1[[#This Row],[Estimated Effort (Hours)]]&lt;50,"L2",IF(Table1[[#This Row],[Estimated Effort (Hours)]]&lt;150,"L3",IF(Table1[[#This Row],[Estimated Effort (Hours)]]&lt;300,"L4","L5")))))</f>
        <v/>
      </c>
      <c r="S1926" s="184" t="str">
        <f>IF(Table1[[#This Row],[Actual End Date]]="","",TEXT(Table1[[#This Row],[Actual End Date]],"mmm-yy"))</f>
        <v/>
      </c>
      <c r="T1926"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6" s="185" t="str">
        <f>IFERROR((Table1[[#This Row],[Actual Effort (Hours)]]-Table1[[#This Row],[Estimated Effort (Hours)]])/Table1[[#This Row],[Estimated Effort (Hours)]],"")</f>
        <v/>
      </c>
    </row>
    <row r="1927" spans="2:21">
      <c r="B1927" s="125"/>
      <c r="C1927" s="123"/>
      <c r="D1927" s="143"/>
      <c r="E1927" s="123"/>
      <c r="F1927" s="143"/>
      <c r="G1927" s="129"/>
      <c r="H1927" s="124"/>
      <c r="I1927" s="124"/>
      <c r="J1927" s="129"/>
      <c r="K1927" s="194"/>
      <c r="L1927" s="194"/>
      <c r="M1927" s="129"/>
      <c r="N1927" s="129" t="e">
        <f>Table1[[#This Row],[Estimated Effort (Hours)]]/NETWORKDAYS(Table1[[#This Row],[Planned Start Date]],Table1[[#This Row],[Planned End Date]])</f>
        <v>#DIV/0!</v>
      </c>
      <c r="O1927" s="178">
        <f>NETWORKDAYS(Table1[[#This Row],[Planned Start Date]],Table1[[#This Row],[Planned End Date]])</f>
        <v>0</v>
      </c>
      <c r="P1927" s="178">
        <f>NETWORKDAYS(Table1[[#This Row],[Planned Start Date]],$P$7)</f>
        <v>30643</v>
      </c>
      <c r="Q1927" s="129"/>
      <c r="R1927" s="183" t="str">
        <f>IF(Table1[[#This Row],[Actual Effort (Hours)]]="","",IF(Table1[[#This Row],[Estimated Effort (Hours)]]&lt;20,"L1",IF(Table1[[#This Row],[Estimated Effort (Hours)]]&lt;50,"L2",IF(Table1[[#This Row],[Estimated Effort (Hours)]]&lt;150,"L3",IF(Table1[[#This Row],[Estimated Effort (Hours)]]&lt;300,"L4","L5")))))</f>
        <v/>
      </c>
      <c r="S1927" s="184" t="str">
        <f>IF(Table1[[#This Row],[Actual End Date]]="","",TEXT(Table1[[#This Row],[Actual End Date]],"mmm-yy"))</f>
        <v/>
      </c>
      <c r="T1927"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7" s="185" t="str">
        <f>IFERROR((Table1[[#This Row],[Actual Effort (Hours)]]-Table1[[#This Row],[Estimated Effort (Hours)]])/Table1[[#This Row],[Estimated Effort (Hours)]],"")</f>
        <v/>
      </c>
    </row>
    <row r="1928" spans="2:21">
      <c r="B1928" s="125"/>
      <c r="C1928" s="123"/>
      <c r="D1928" s="143"/>
      <c r="E1928" s="123"/>
      <c r="F1928" s="143"/>
      <c r="G1928" s="129"/>
      <c r="H1928" s="124"/>
      <c r="I1928" s="124"/>
      <c r="J1928" s="129"/>
      <c r="K1928" s="194"/>
      <c r="L1928" s="194"/>
      <c r="M1928" s="129"/>
      <c r="N1928" s="129" t="e">
        <f>Table1[[#This Row],[Estimated Effort (Hours)]]/NETWORKDAYS(Table1[[#This Row],[Planned Start Date]],Table1[[#This Row],[Planned End Date]])</f>
        <v>#DIV/0!</v>
      </c>
      <c r="O1928" s="178">
        <f>NETWORKDAYS(Table1[[#This Row],[Planned Start Date]],Table1[[#This Row],[Planned End Date]])</f>
        <v>0</v>
      </c>
      <c r="P1928" s="178">
        <f>NETWORKDAYS(Table1[[#This Row],[Planned Start Date]],$P$7)</f>
        <v>30643</v>
      </c>
      <c r="Q1928" s="129"/>
      <c r="R1928" s="183" t="str">
        <f>IF(Table1[[#This Row],[Actual Effort (Hours)]]="","",IF(Table1[[#This Row],[Estimated Effort (Hours)]]&lt;20,"L1",IF(Table1[[#This Row],[Estimated Effort (Hours)]]&lt;50,"L2",IF(Table1[[#This Row],[Estimated Effort (Hours)]]&lt;150,"L3",IF(Table1[[#This Row],[Estimated Effort (Hours)]]&lt;300,"L4","L5")))))</f>
        <v/>
      </c>
      <c r="S1928" s="184" t="str">
        <f>IF(Table1[[#This Row],[Actual End Date]]="","",TEXT(Table1[[#This Row],[Actual End Date]],"mmm-yy"))</f>
        <v/>
      </c>
      <c r="T1928" s="185" t="str">
        <f>IFERROR(IF(Table1[[#This Row],[Actual End Date]]="","",(((NETWORKDAYS(Table1[[#This Row],[Actual Start Date]],Table1[[#This Row],[Actual End Date]]))-NETWORKDAYS(Table1[[#This Row],[Planned Start Date]],Table1[[#This Row],[Planned End Date]]))+(NETWORKDAYS(Table1[[#This Row],[Planned Start Date]],Table1[[#This Row],[Actual Start Date]])-1))/NETWORKDAYS(Table1[[#This Row],[Planned Start Date]],Table1[[#This Row],[Planned End Date]])),"")</f>
        <v/>
      </c>
      <c r="U1928" s="185" t="str">
        <f>IFERROR((Table1[[#This Row],[Actual Effort (Hours)]]-Table1[[#This Row],[Estimated Effort (Hours)]])/Table1[[#This Row],[Estimated Effort (Hours)]],"")</f>
        <v/>
      </c>
    </row>
  </sheetData>
  <sheetProtection password="E15D" sheet="1" objects="1" scenarios="1" autoFilter="0"/>
  <mergeCells count="2">
    <mergeCell ref="B2:M2"/>
    <mergeCell ref="B3:M3"/>
  </mergeCells>
  <dataValidations count="2">
    <dataValidation type="list" allowBlank="1" showInputMessage="1" showErrorMessage="1" sqref="D65986:D66019 D131522:D131555 D197058:D197091 D262594:D262627 D328130:D328163 D393666:D393699 D459202:D459235 D524738:D524771 D590274:D590307 D655810:D655843 D721346:D721379 D786882:D786915 D852418:D852451 D917954:D917987 D983490:D983523 JF65986:JF66019 JF131522:JF131555 JF197058:JF197091 JF262594:JF262627 JF328130:JF328163 JF393666:JF393699 JF459202:JF459235 JF524738:JF524771 JF590274:JF590307 JF655810:JF655843 JF721346:JF721379 JF786882:JF786915 JF852418:JF852451 JF917954:JF917987 JF983490:JF983523 JG15:JG79 TB65986:TB66019 TB131522:TB131555 TB197058:TB197091 TB262594:TB262627 TB328130:TB328163 TB393666:TB393699 TB459202:TB459235 TB524738:TB524771 TB590274:TB590307 TB655810:TB655843 TB721346:TB721379 TB786882:TB786915 TB852418:TB852451 TB917954:TB917987 TB983490:TB983523 TC15:TC79 ACX65986:ACX66019 ACX131522:ACX131555 ACX197058:ACX197091 ACX262594:ACX262627 ACX328130:ACX328163 ACX393666:ACX393699 ACX459202:ACX459235 ACX524738:ACX524771 ACX590274:ACX590307 ACX655810:ACX655843 ACX721346:ACX721379 ACX786882:ACX786915 ACX852418:ACX852451 ACX917954:ACX917987 ACX983490:ACX983523 ACY15:ACY79 AMT65986:AMT66019 AMT131522:AMT131555 AMT197058:AMT197091 AMT262594:AMT262627 AMT328130:AMT328163 AMT393666:AMT393699 AMT459202:AMT459235 AMT524738:AMT524771 AMT590274:AMT590307 AMT655810:AMT655843 AMT721346:AMT721379 AMT786882:AMT786915 AMT852418:AMT852451 AMT917954:AMT917987 AMT983490:AMT983523 AMU15:AMU79 AWP65986:AWP66019 AWP131522:AWP131555 AWP197058:AWP197091 AWP262594:AWP262627 AWP328130:AWP328163 AWP393666:AWP393699 AWP459202:AWP459235 AWP524738:AWP524771 AWP590274:AWP590307 AWP655810:AWP655843 AWP721346:AWP721379 AWP786882:AWP786915 AWP852418:AWP852451 AWP917954:AWP917987 AWP983490:AWP983523 AWQ15:AWQ79 BGL65986:BGL66019 BGL131522:BGL131555 BGL197058:BGL197091 BGL262594:BGL262627 BGL328130:BGL328163 BGL393666:BGL393699 BGL459202:BGL459235 BGL524738:BGL524771 BGL590274:BGL590307 BGL655810:BGL655843 BGL721346:BGL721379 BGL786882:BGL786915 BGL852418:BGL852451 BGL917954:BGL917987 BGL983490:BGL983523 BGM15:BGM79 BQH65986:BQH66019 BQH131522:BQH131555 BQH197058:BQH197091 BQH262594:BQH262627 BQH328130:BQH328163 BQH393666:BQH393699 BQH459202:BQH459235 BQH524738:BQH524771 BQH590274:BQH590307 BQH655810:BQH655843 BQH721346:BQH721379 BQH786882:BQH786915 BQH852418:BQH852451 BQH917954:BQH917987 BQH983490:BQH983523 BQI15:BQI79 CAD65986:CAD66019 CAD131522:CAD131555 CAD197058:CAD197091 CAD262594:CAD262627 CAD328130:CAD328163 CAD393666:CAD393699 CAD459202:CAD459235 CAD524738:CAD524771 CAD590274:CAD590307 CAD655810:CAD655843 CAD721346:CAD721379 CAD786882:CAD786915 CAD852418:CAD852451 CAD917954:CAD917987 CAD983490:CAD983523 CAE15:CAE79 CJZ65986:CJZ66019 CJZ131522:CJZ131555 CJZ197058:CJZ197091 CJZ262594:CJZ262627 CJZ328130:CJZ328163 CJZ393666:CJZ393699 CJZ459202:CJZ459235 CJZ524738:CJZ524771 CJZ590274:CJZ590307 CJZ655810:CJZ655843 CJZ721346:CJZ721379 CJZ786882:CJZ786915 CJZ852418:CJZ852451 CJZ917954:CJZ917987 CJZ983490:CJZ983523 CKA15:CKA79 CTV65986:CTV66019 CTV131522:CTV131555 CTV197058:CTV197091 CTV262594:CTV262627 CTV328130:CTV328163 CTV393666:CTV393699 CTV459202:CTV459235 CTV524738:CTV524771 CTV590274:CTV590307 CTV655810:CTV655843 CTV721346:CTV721379 CTV786882:CTV786915 CTV852418:CTV852451 CTV917954:CTV917987 CTV983490:CTV983523 CTW15:CTW79 DDR65986:DDR66019 DDR131522:DDR131555 DDR197058:DDR197091 DDR262594:DDR262627 DDR328130:DDR328163 DDR393666:DDR393699 DDR459202:DDR459235 DDR524738:DDR524771 DDR590274:DDR590307 DDR655810:DDR655843 DDR721346:DDR721379 DDR786882:DDR786915 DDR852418:DDR852451 DDR917954:DDR917987 DDR983490:DDR983523 DDS15:DDS79 DNN65986:DNN66019 DNN131522:DNN131555 DNN197058:DNN197091 DNN262594:DNN262627 DNN328130:DNN328163 DNN393666:DNN393699 DNN459202:DNN459235 DNN524738:DNN524771 DNN590274:DNN590307 DNN655810:DNN655843 DNN721346:DNN721379 DNN786882:DNN786915 DNN852418:DNN852451 DNN917954:DNN917987 DNN983490:DNN983523 DNO15:DNO79 DXJ65986:DXJ66019 DXJ131522:DXJ131555 DXJ197058:DXJ197091 DXJ262594:DXJ262627 DXJ328130:DXJ328163 DXJ393666:DXJ393699 DXJ459202:DXJ459235 DXJ524738:DXJ524771 DXJ590274:DXJ590307 DXJ655810:DXJ655843 DXJ721346:DXJ721379 DXJ786882:DXJ786915 DXJ852418:DXJ852451 DXJ917954:DXJ917987 DXJ983490:DXJ983523 DXK15:DXK79 EHF65986:EHF66019 EHF131522:EHF131555 EHF197058:EHF197091 EHF262594:EHF262627 EHF328130:EHF328163 EHF393666:EHF393699 EHF459202:EHF459235 EHF524738:EHF524771 EHF590274:EHF590307 EHF655810:EHF655843 EHF721346:EHF721379 EHF786882:EHF786915 EHF852418:EHF852451 EHF917954:EHF917987 EHF983490:EHF983523 EHG15:EHG79 ERB65986:ERB66019 ERB131522:ERB131555 ERB197058:ERB197091 ERB262594:ERB262627 ERB328130:ERB328163 ERB393666:ERB393699 ERB459202:ERB459235 ERB524738:ERB524771 ERB590274:ERB590307 ERB655810:ERB655843 ERB721346:ERB721379 ERB786882:ERB786915 ERB852418:ERB852451 ERB917954:ERB917987 ERB983490:ERB983523 ERC15:ERC79 FAX65986:FAX66019 FAX131522:FAX131555 FAX197058:FAX197091 FAX262594:FAX262627 FAX328130:FAX328163 FAX393666:FAX393699 FAX459202:FAX459235 FAX524738:FAX524771 FAX590274:FAX590307 FAX655810:FAX655843 FAX721346:FAX721379 FAX786882:FAX786915 FAX852418:FAX852451 FAX917954:FAX917987 FAX983490:FAX983523 FAY15:FAY79 FKT65986:FKT66019 FKT131522:FKT131555 FKT197058:FKT197091 FKT262594:FKT262627 FKT328130:FKT328163 FKT393666:FKT393699 FKT459202:FKT459235 FKT524738:FKT524771 FKT590274:FKT590307 FKT655810:FKT655843 FKT721346:FKT721379 FKT786882:FKT786915 FKT852418:FKT852451 FKT917954:FKT917987 FKT983490:FKT983523 FKU15:FKU79 FUP65986:FUP66019 FUP131522:FUP131555 FUP197058:FUP197091 FUP262594:FUP262627 FUP328130:FUP328163 FUP393666:FUP393699 FUP459202:FUP459235 FUP524738:FUP524771 FUP590274:FUP590307 FUP655810:FUP655843 FUP721346:FUP721379 FUP786882:FUP786915 FUP852418:FUP852451 FUP917954:FUP917987 FUP983490:FUP983523 FUQ15:FUQ79 GEL65986:GEL66019 GEL131522:GEL131555 GEL197058:GEL197091 GEL262594:GEL262627 GEL328130:GEL328163 GEL393666:GEL393699 GEL459202:GEL459235 GEL524738:GEL524771 GEL590274:GEL590307 GEL655810:GEL655843 GEL721346:GEL721379 GEL786882:GEL786915 GEL852418:GEL852451 GEL917954:GEL917987 GEL983490:GEL983523 GEM15:GEM79 GOH65986:GOH66019 GOH131522:GOH131555 GOH197058:GOH197091 GOH262594:GOH262627 GOH328130:GOH328163 GOH393666:GOH393699 GOH459202:GOH459235 GOH524738:GOH524771 GOH590274:GOH590307 GOH655810:GOH655843 GOH721346:GOH721379 GOH786882:GOH786915 GOH852418:GOH852451 GOH917954:GOH917987 GOH983490:GOH983523 GOI15:GOI79 GYD65986:GYD66019 GYD131522:GYD131555 GYD197058:GYD197091 GYD262594:GYD262627 GYD328130:GYD328163 GYD393666:GYD393699 GYD459202:GYD459235 GYD524738:GYD524771 GYD590274:GYD590307 GYD655810:GYD655843 GYD721346:GYD721379 GYD786882:GYD786915 GYD852418:GYD852451 GYD917954:GYD917987 GYD983490:GYD983523 GYE15:GYE79 HHZ65986:HHZ66019 HHZ131522:HHZ131555 HHZ197058:HHZ197091 HHZ262594:HHZ262627 HHZ328130:HHZ328163 HHZ393666:HHZ393699 HHZ459202:HHZ459235 HHZ524738:HHZ524771 HHZ590274:HHZ590307 HHZ655810:HHZ655843 HHZ721346:HHZ721379 HHZ786882:HHZ786915 HHZ852418:HHZ852451 HHZ917954:HHZ917987 HHZ983490:HHZ983523 HIA15:HIA79 HRV65986:HRV66019 HRV131522:HRV131555 HRV197058:HRV197091 HRV262594:HRV262627 HRV328130:HRV328163 HRV393666:HRV393699 HRV459202:HRV459235 HRV524738:HRV524771 HRV590274:HRV590307 HRV655810:HRV655843 HRV721346:HRV721379 HRV786882:HRV786915 HRV852418:HRV852451 HRV917954:HRV917987 HRV983490:HRV983523 HRW15:HRW79 IBR65986:IBR66019 IBR131522:IBR131555 IBR197058:IBR197091 IBR262594:IBR262627 IBR328130:IBR328163 IBR393666:IBR393699 IBR459202:IBR459235 IBR524738:IBR524771 IBR590274:IBR590307 IBR655810:IBR655843 IBR721346:IBR721379 IBR786882:IBR786915 IBR852418:IBR852451 IBR917954:IBR917987 IBR983490:IBR983523 IBS15:IBS79 ILN65986:ILN66019 ILN131522:ILN131555 ILN197058:ILN197091 ILN262594:ILN262627 ILN328130:ILN328163 ILN393666:ILN393699 ILN459202:ILN459235 ILN524738:ILN524771 ILN590274:ILN590307 ILN655810:ILN655843 ILN721346:ILN721379 ILN786882:ILN786915 ILN852418:ILN852451 ILN917954:ILN917987 ILN983490:ILN983523 ILO15:ILO79 IVJ65986:IVJ66019 IVJ131522:IVJ131555 IVJ197058:IVJ197091 IVJ262594:IVJ262627 IVJ328130:IVJ328163 IVJ393666:IVJ393699 IVJ459202:IVJ459235 IVJ524738:IVJ524771 IVJ590274:IVJ590307 IVJ655810:IVJ655843 IVJ721346:IVJ721379 IVJ786882:IVJ786915 IVJ852418:IVJ852451 IVJ917954:IVJ917987 IVJ983490:IVJ983523 IVK15:IVK79 JFF65986:JFF66019 JFF131522:JFF131555 JFF197058:JFF197091 JFF262594:JFF262627 JFF328130:JFF328163 JFF393666:JFF393699 JFF459202:JFF459235 JFF524738:JFF524771 JFF590274:JFF590307 JFF655810:JFF655843 JFF721346:JFF721379 JFF786882:JFF786915 JFF852418:JFF852451 JFF917954:JFF917987 JFF983490:JFF983523 JFG15:JFG79 JPB65986:JPB66019 JPB131522:JPB131555 JPB197058:JPB197091 JPB262594:JPB262627 JPB328130:JPB328163 JPB393666:JPB393699 JPB459202:JPB459235 JPB524738:JPB524771 JPB590274:JPB590307 JPB655810:JPB655843 JPB721346:JPB721379 JPB786882:JPB786915 JPB852418:JPB852451 JPB917954:JPB917987 JPB983490:JPB983523 JPC15:JPC79 JYX65986:JYX66019 JYX131522:JYX131555 JYX197058:JYX197091 JYX262594:JYX262627 JYX328130:JYX328163 JYX393666:JYX393699 JYX459202:JYX459235 JYX524738:JYX524771 JYX590274:JYX590307 JYX655810:JYX655843 JYX721346:JYX721379 JYX786882:JYX786915 JYX852418:JYX852451 JYX917954:JYX917987 JYX983490:JYX983523 JYY15:JYY79 KIT65986:KIT66019 KIT131522:KIT131555 KIT197058:KIT197091 KIT262594:KIT262627 KIT328130:KIT328163 KIT393666:KIT393699 KIT459202:KIT459235 KIT524738:KIT524771 KIT590274:KIT590307 KIT655810:KIT655843 KIT721346:KIT721379 KIT786882:KIT786915 KIT852418:KIT852451 KIT917954:KIT917987 KIT983490:KIT983523 KIU15:KIU79 KSP65986:KSP66019 KSP131522:KSP131555 KSP197058:KSP197091 KSP262594:KSP262627 KSP328130:KSP328163 KSP393666:KSP393699 KSP459202:KSP459235 KSP524738:KSP524771 KSP590274:KSP590307 KSP655810:KSP655843 KSP721346:KSP721379 KSP786882:KSP786915 KSP852418:KSP852451 KSP917954:KSP917987 KSP983490:KSP983523 KSQ15:KSQ79 LCL65986:LCL66019 LCL131522:LCL131555 LCL197058:LCL197091 LCL262594:LCL262627 LCL328130:LCL328163 LCL393666:LCL393699 LCL459202:LCL459235 LCL524738:LCL524771 LCL590274:LCL590307 LCL655810:LCL655843 LCL721346:LCL721379 LCL786882:LCL786915 LCL852418:LCL852451 LCL917954:LCL917987 LCL983490:LCL983523 LCM15:LCM79 LMH65986:LMH66019 LMH131522:LMH131555 LMH197058:LMH197091 LMH262594:LMH262627 LMH328130:LMH328163 LMH393666:LMH393699 LMH459202:LMH459235 LMH524738:LMH524771 LMH590274:LMH590307 LMH655810:LMH655843 LMH721346:LMH721379 LMH786882:LMH786915 LMH852418:LMH852451 LMH917954:LMH917987 LMH983490:LMH983523 LMI15:LMI79 LWD65986:LWD66019 LWD131522:LWD131555 LWD197058:LWD197091 LWD262594:LWD262627 LWD328130:LWD328163 LWD393666:LWD393699 LWD459202:LWD459235 LWD524738:LWD524771 LWD590274:LWD590307 LWD655810:LWD655843 LWD721346:LWD721379 LWD786882:LWD786915 LWD852418:LWD852451 LWD917954:LWD917987 LWD983490:LWD983523 LWE15:LWE79 MFZ65986:MFZ66019 MFZ131522:MFZ131555 MFZ197058:MFZ197091 MFZ262594:MFZ262627 MFZ328130:MFZ328163 MFZ393666:MFZ393699 MFZ459202:MFZ459235 MFZ524738:MFZ524771 MFZ590274:MFZ590307 MFZ655810:MFZ655843 MFZ721346:MFZ721379 MFZ786882:MFZ786915 MFZ852418:MFZ852451 MFZ917954:MFZ917987 MFZ983490:MFZ983523 MGA15:MGA79 MPV65986:MPV66019 MPV131522:MPV131555 MPV197058:MPV197091 MPV262594:MPV262627 MPV328130:MPV328163 MPV393666:MPV393699 MPV459202:MPV459235 MPV524738:MPV524771 MPV590274:MPV590307 MPV655810:MPV655843 MPV721346:MPV721379 MPV786882:MPV786915 MPV852418:MPV852451 MPV917954:MPV917987 MPV983490:MPV983523 MPW15:MPW79 MZR65986:MZR66019 MZR131522:MZR131555 MZR197058:MZR197091 MZR262594:MZR262627 MZR328130:MZR328163 MZR393666:MZR393699 MZR459202:MZR459235 MZR524738:MZR524771 MZR590274:MZR590307 MZR655810:MZR655843 MZR721346:MZR721379 MZR786882:MZR786915 MZR852418:MZR852451 MZR917954:MZR917987 MZR983490:MZR983523 MZS15:MZS79 NJN65986:NJN66019 NJN131522:NJN131555 NJN197058:NJN197091 NJN262594:NJN262627 NJN328130:NJN328163 NJN393666:NJN393699 NJN459202:NJN459235 NJN524738:NJN524771 NJN590274:NJN590307 NJN655810:NJN655843 NJN721346:NJN721379 NJN786882:NJN786915 NJN852418:NJN852451 NJN917954:NJN917987 NJN983490:NJN983523 NJO15:NJO79 NTJ65986:NTJ66019 NTJ131522:NTJ131555 NTJ197058:NTJ197091 NTJ262594:NTJ262627 NTJ328130:NTJ328163 NTJ393666:NTJ393699 NTJ459202:NTJ459235 NTJ524738:NTJ524771 NTJ590274:NTJ590307 NTJ655810:NTJ655843 NTJ721346:NTJ721379 NTJ786882:NTJ786915 NTJ852418:NTJ852451 NTJ917954:NTJ917987 NTJ983490:NTJ983523 NTK15:NTK79 ODF65986:ODF66019 ODF131522:ODF131555 ODF197058:ODF197091 ODF262594:ODF262627 ODF328130:ODF328163 ODF393666:ODF393699 ODF459202:ODF459235 ODF524738:ODF524771 ODF590274:ODF590307 ODF655810:ODF655843 ODF721346:ODF721379 ODF786882:ODF786915 ODF852418:ODF852451 ODF917954:ODF917987 ODF983490:ODF983523 ODG15:ODG79 ONB65986:ONB66019 ONB131522:ONB131555 ONB197058:ONB197091 ONB262594:ONB262627 ONB328130:ONB328163 ONB393666:ONB393699 ONB459202:ONB459235 ONB524738:ONB524771 ONB590274:ONB590307 ONB655810:ONB655843 ONB721346:ONB721379 ONB786882:ONB786915 ONB852418:ONB852451 ONB917954:ONB917987 ONB983490:ONB983523 ONC15:ONC79 OWX65986:OWX66019 OWX131522:OWX131555 OWX197058:OWX197091 OWX262594:OWX262627 OWX328130:OWX328163 OWX393666:OWX393699 OWX459202:OWX459235 OWX524738:OWX524771 OWX590274:OWX590307 OWX655810:OWX655843 OWX721346:OWX721379 OWX786882:OWX786915 OWX852418:OWX852451 OWX917954:OWX917987 OWX983490:OWX983523 OWY15:OWY79 PGT65986:PGT66019 PGT131522:PGT131555 PGT197058:PGT197091 PGT262594:PGT262627 PGT328130:PGT328163 PGT393666:PGT393699 PGT459202:PGT459235 PGT524738:PGT524771 PGT590274:PGT590307 PGT655810:PGT655843 PGT721346:PGT721379 PGT786882:PGT786915 PGT852418:PGT852451 PGT917954:PGT917987 PGT983490:PGT983523 PGU15:PGU79 PQP65986:PQP66019 PQP131522:PQP131555 PQP197058:PQP197091 PQP262594:PQP262627 PQP328130:PQP328163 PQP393666:PQP393699 PQP459202:PQP459235 PQP524738:PQP524771 PQP590274:PQP590307 PQP655810:PQP655843 PQP721346:PQP721379 PQP786882:PQP786915 PQP852418:PQP852451 PQP917954:PQP917987 PQP983490:PQP983523 PQQ15:PQQ79 QAL65986:QAL66019 QAL131522:QAL131555 QAL197058:QAL197091 QAL262594:QAL262627 QAL328130:QAL328163 QAL393666:QAL393699 QAL459202:QAL459235 QAL524738:QAL524771 QAL590274:QAL590307 QAL655810:QAL655843 QAL721346:QAL721379 QAL786882:QAL786915 QAL852418:QAL852451 QAL917954:QAL917987 QAL983490:QAL983523 QAM15:QAM79 QKH65986:QKH66019 QKH131522:QKH131555 QKH197058:QKH197091 QKH262594:QKH262627 QKH328130:QKH328163 QKH393666:QKH393699 QKH459202:QKH459235 QKH524738:QKH524771 QKH590274:QKH590307 QKH655810:QKH655843 QKH721346:QKH721379 QKH786882:QKH786915 QKH852418:QKH852451 QKH917954:QKH917987 QKH983490:QKH983523 QKI15:QKI79 QUD65986:QUD66019 QUD131522:QUD131555 QUD197058:QUD197091 QUD262594:QUD262627 QUD328130:QUD328163 QUD393666:QUD393699 QUD459202:QUD459235 QUD524738:QUD524771 QUD590274:QUD590307 QUD655810:QUD655843 QUD721346:QUD721379 QUD786882:QUD786915 QUD852418:QUD852451 QUD917954:QUD917987 QUD983490:QUD983523 QUE15:QUE79 RDZ65986:RDZ66019 RDZ131522:RDZ131555 RDZ197058:RDZ197091 RDZ262594:RDZ262627 RDZ328130:RDZ328163 RDZ393666:RDZ393699 RDZ459202:RDZ459235 RDZ524738:RDZ524771 RDZ590274:RDZ590307 RDZ655810:RDZ655843 RDZ721346:RDZ721379 RDZ786882:RDZ786915 RDZ852418:RDZ852451 RDZ917954:RDZ917987 RDZ983490:RDZ983523 REA15:REA79 RNV65986:RNV66019 RNV131522:RNV131555 RNV197058:RNV197091 RNV262594:RNV262627 RNV328130:RNV328163 RNV393666:RNV393699 RNV459202:RNV459235 RNV524738:RNV524771 RNV590274:RNV590307 RNV655810:RNV655843 RNV721346:RNV721379 RNV786882:RNV786915 RNV852418:RNV852451 RNV917954:RNV917987 RNV983490:RNV983523 RNW15:RNW79 RXR65986:RXR66019 RXR131522:RXR131555 RXR197058:RXR197091 RXR262594:RXR262627 RXR328130:RXR328163 RXR393666:RXR393699 RXR459202:RXR459235 RXR524738:RXR524771 RXR590274:RXR590307 RXR655810:RXR655843 RXR721346:RXR721379 RXR786882:RXR786915 RXR852418:RXR852451 RXR917954:RXR917987 RXR983490:RXR983523 RXS15:RXS79 SHN65986:SHN66019 SHN131522:SHN131555 SHN197058:SHN197091 SHN262594:SHN262627 SHN328130:SHN328163 SHN393666:SHN393699 SHN459202:SHN459235 SHN524738:SHN524771 SHN590274:SHN590307 SHN655810:SHN655843 SHN721346:SHN721379 SHN786882:SHN786915 SHN852418:SHN852451 SHN917954:SHN917987 SHN983490:SHN983523 SHO15:SHO79 SRJ65986:SRJ66019 SRJ131522:SRJ131555 SRJ197058:SRJ197091 SRJ262594:SRJ262627 SRJ328130:SRJ328163 SRJ393666:SRJ393699 SRJ459202:SRJ459235 SRJ524738:SRJ524771 SRJ590274:SRJ590307 SRJ655810:SRJ655843 SRJ721346:SRJ721379 SRJ786882:SRJ786915 SRJ852418:SRJ852451 SRJ917954:SRJ917987 SRJ983490:SRJ983523 SRK15:SRK79 TBF65986:TBF66019 TBF131522:TBF131555 TBF197058:TBF197091 TBF262594:TBF262627 TBF328130:TBF328163 TBF393666:TBF393699 TBF459202:TBF459235 TBF524738:TBF524771 TBF590274:TBF590307 TBF655810:TBF655843 TBF721346:TBF721379 TBF786882:TBF786915 TBF852418:TBF852451 TBF917954:TBF917987 TBF983490:TBF983523 TBG15:TBG79 TLB65986:TLB66019 TLB131522:TLB131555 TLB197058:TLB197091 TLB262594:TLB262627 TLB328130:TLB328163 TLB393666:TLB393699 TLB459202:TLB459235 TLB524738:TLB524771 TLB590274:TLB590307 TLB655810:TLB655843 TLB721346:TLB721379 TLB786882:TLB786915 TLB852418:TLB852451 TLB917954:TLB917987 TLB983490:TLB983523 TLC15:TLC79 TUX65986:TUX66019 TUX131522:TUX131555 TUX197058:TUX197091 TUX262594:TUX262627 TUX328130:TUX328163 TUX393666:TUX393699 TUX459202:TUX459235 TUX524738:TUX524771 TUX590274:TUX590307 TUX655810:TUX655843 TUX721346:TUX721379 TUX786882:TUX786915 TUX852418:TUX852451 TUX917954:TUX917987 TUX983490:TUX983523 TUY15:TUY79 UET65986:UET66019 UET131522:UET131555 UET197058:UET197091 UET262594:UET262627 UET328130:UET328163 UET393666:UET393699 UET459202:UET459235 UET524738:UET524771 UET590274:UET590307 UET655810:UET655843 UET721346:UET721379 UET786882:UET786915 UET852418:UET852451 UET917954:UET917987 UET983490:UET983523 UEU15:UEU79 UOP65986:UOP66019 UOP131522:UOP131555 UOP197058:UOP197091 UOP262594:UOP262627 UOP328130:UOP328163 UOP393666:UOP393699 UOP459202:UOP459235 UOP524738:UOP524771 UOP590274:UOP590307 UOP655810:UOP655843 UOP721346:UOP721379 UOP786882:UOP786915 UOP852418:UOP852451 UOP917954:UOP917987 UOP983490:UOP983523 UOQ15:UOQ79 UYL65986:UYL66019 UYL131522:UYL131555 UYL197058:UYL197091 UYL262594:UYL262627 UYL328130:UYL328163 UYL393666:UYL393699 UYL459202:UYL459235 UYL524738:UYL524771 UYL590274:UYL590307 UYL655810:UYL655843 UYL721346:UYL721379 UYL786882:UYL786915 UYL852418:UYL852451 UYL917954:UYL917987 UYL983490:UYL983523 UYM15:UYM79 VIH65986:VIH66019 VIH131522:VIH131555 VIH197058:VIH197091 VIH262594:VIH262627 VIH328130:VIH328163 VIH393666:VIH393699 VIH459202:VIH459235 VIH524738:VIH524771 VIH590274:VIH590307 VIH655810:VIH655843 VIH721346:VIH721379 VIH786882:VIH786915 VIH852418:VIH852451 VIH917954:VIH917987 VIH983490:VIH983523 VII15:VII79 VSD65986:VSD66019 VSD131522:VSD131555 VSD197058:VSD197091 VSD262594:VSD262627 VSD328130:VSD328163 VSD393666:VSD393699 VSD459202:VSD459235 VSD524738:VSD524771 VSD590274:VSD590307 VSD655810:VSD655843 VSD721346:VSD721379 VSD786882:VSD786915 VSD852418:VSD852451 VSD917954:VSD917987 VSD983490:VSD983523 VSE15:VSE79 WBZ65986:WBZ66019 WBZ131522:WBZ131555 WBZ197058:WBZ197091 WBZ262594:WBZ262627 WBZ328130:WBZ328163 WBZ393666:WBZ393699 WBZ459202:WBZ459235 WBZ524738:WBZ524771 WBZ590274:WBZ590307 WBZ655810:WBZ655843 WBZ721346:WBZ721379 WBZ786882:WBZ786915 WBZ852418:WBZ852451 WBZ917954:WBZ917987 WBZ983490:WBZ983523 WCA15:WCA79 WLV65986:WLV66019 WLV131522:WLV131555 WLV197058:WLV197091 WLV262594:WLV262627 WLV328130:WLV328163 WLV393666:WLV393699 WLV459202:WLV459235 WLV524738:WLV524771 WLV590274:WLV590307 WLV655810:WLV655843 WLV721346:WLV721379 WLV786882:WLV786915 WLV852418:WLV852451 WLV917954:WLV917987 WLV983490:WLV983523 WLW15:WLW79 WVR65986:WVR66019 WVR131522:WVR131555 WVR197058:WVR197091 WVR262594:WVR262627 WVR328130:WVR328163 WVR393666:WVR393699 WVR459202:WVR459235 WVR524738:WVR524771 WVR590274:WVR590307 WVR655810:WVR655843 WVR721346:WVR721379 WVR786882:WVR786915 WVR852418:WVR852451 WVR917954:WVR917987 WVR983490:WVR983523 WVS15:WVS79" xr:uid="{00000000-0002-0000-0800-000000000000}">
      <formula1>Tasks</formula1>
    </dataValidation>
    <dataValidation type="list" allowBlank="1" showInputMessage="1" showErrorMessage="1" sqref="R15:R1928" xr:uid="{00000000-0002-0000-0800-000001000000}">
      <formula1>MaintenanceType</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2:S1595"/>
  <sheetViews>
    <sheetView showGridLines="0" tabSelected="1" topLeftCell="E1" workbookViewId="0">
      <selection activeCell="I11" sqref="I11"/>
    </sheetView>
  </sheetViews>
  <sheetFormatPr defaultColWidth="9.125" defaultRowHeight="14.45"/>
  <cols>
    <col min="1" max="1" width="9.125" style="1"/>
    <col min="2" max="2" width="9.75" style="1" customWidth="1"/>
    <col min="3" max="3" width="10.875" style="1" customWidth="1"/>
    <col min="4" max="4" width="20.75" style="1" customWidth="1"/>
    <col min="5" max="5" width="24" style="1" customWidth="1"/>
    <col min="6" max="6" width="25.75" style="1" customWidth="1"/>
    <col min="7" max="7" width="64.25" style="1" customWidth="1"/>
    <col min="8" max="8" width="17.75" customWidth="1"/>
    <col min="9" max="9" width="21.25" style="1" customWidth="1"/>
    <col min="10" max="10" width="20" style="1" customWidth="1"/>
    <col min="11" max="11" width="20.375" style="1" customWidth="1"/>
    <col min="12" max="12" width="19.625" style="1" customWidth="1"/>
    <col min="13" max="13" width="18.375" style="1" customWidth="1"/>
    <col min="14" max="14" width="17.75" style="1" customWidth="1"/>
    <col min="15" max="15" width="22.25" style="1" customWidth="1"/>
    <col min="16" max="16" width="18.375" style="1" customWidth="1"/>
    <col min="17" max="17" width="9" customWidth="1"/>
    <col min="18" max="16384" width="9.125" style="1"/>
  </cols>
  <sheetData>
    <row r="2" spans="2:17">
      <c r="B2" s="529" t="s">
        <v>382</v>
      </c>
      <c r="C2" s="529"/>
      <c r="D2" s="529"/>
      <c r="E2" s="529"/>
      <c r="F2" s="529"/>
      <c r="G2" s="529"/>
      <c r="H2" s="1"/>
      <c r="Q2" s="1"/>
    </row>
    <row r="3" spans="2:17" ht="18.75" customHeight="1">
      <c r="B3" s="529"/>
      <c r="C3" s="529"/>
      <c r="D3" s="529"/>
      <c r="E3" s="529"/>
      <c r="F3" s="529"/>
      <c r="G3" s="529"/>
      <c r="H3" s="1"/>
      <c r="Q3" s="1"/>
    </row>
    <row r="4" spans="2:17" s="122" customFormat="1">
      <c r="B4" s="122" t="s">
        <v>115</v>
      </c>
      <c r="C4" s="122" t="s">
        <v>116</v>
      </c>
      <c r="D4" s="122" t="s">
        <v>117</v>
      </c>
      <c r="E4" s="122" t="s">
        <v>46</v>
      </c>
      <c r="F4" s="426" t="s">
        <v>103</v>
      </c>
      <c r="G4" s="122" t="s">
        <v>104</v>
      </c>
      <c r="H4" s="122" t="s">
        <v>106</v>
      </c>
      <c r="I4" s="122" t="s">
        <v>107</v>
      </c>
      <c r="J4" s="122" t="s">
        <v>118</v>
      </c>
      <c r="K4" s="122" t="s">
        <v>109</v>
      </c>
      <c r="L4" s="122" t="s">
        <v>110</v>
      </c>
      <c r="M4" s="122" t="s">
        <v>119</v>
      </c>
      <c r="N4" s="122" t="s">
        <v>324</v>
      </c>
      <c r="O4" s="122" t="s">
        <v>188</v>
      </c>
    </row>
    <row r="5" spans="2:17">
      <c r="B5" s="64">
        <v>1</v>
      </c>
      <c r="C5" s="123">
        <v>5</v>
      </c>
      <c r="D5" s="123" t="s">
        <v>377</v>
      </c>
      <c r="E5" s="123" t="s">
        <v>383</v>
      </c>
      <c r="F5" s="123" t="s">
        <v>187</v>
      </c>
      <c r="G5" s="123" t="s">
        <v>60</v>
      </c>
      <c r="H5" s="124">
        <v>44835</v>
      </c>
      <c r="I5" s="124">
        <v>44865</v>
      </c>
      <c r="J5" s="123">
        <v>34</v>
      </c>
      <c r="K5" s="124">
        <v>44835</v>
      </c>
      <c r="L5" s="124">
        <v>44865</v>
      </c>
      <c r="M5" s="123">
        <v>34</v>
      </c>
      <c r="N5" s="127" t="s">
        <v>67</v>
      </c>
      <c r="O5" s="128" t="str">
        <f>IF(Table3[[#This Row],[Actual End Date]]="","",TEXT(Table3[[#This Row],[Actual End Date]],"mmm-yy"))</f>
        <v>Oct-22</v>
      </c>
      <c r="Q5" s="1"/>
    </row>
    <row r="6" spans="2:17" ht="13.5">
      <c r="B6" s="64">
        <v>2</v>
      </c>
      <c r="C6" s="123">
        <v>8</v>
      </c>
      <c r="D6" s="123" t="s">
        <v>377</v>
      </c>
      <c r="E6" s="123" t="s">
        <v>383</v>
      </c>
      <c r="F6" s="123" t="s">
        <v>187</v>
      </c>
      <c r="G6" s="123" t="s">
        <v>60</v>
      </c>
      <c r="H6" s="124">
        <v>44855</v>
      </c>
      <c r="I6" s="124">
        <v>44865</v>
      </c>
      <c r="J6" s="123">
        <v>10</v>
      </c>
      <c r="K6" s="124">
        <v>44855</v>
      </c>
      <c r="L6" s="124">
        <v>44865</v>
      </c>
      <c r="M6" s="123">
        <v>10</v>
      </c>
      <c r="N6" s="127" t="s">
        <v>66</v>
      </c>
      <c r="O6" s="128" t="str">
        <f>IF(Table3[[#This Row],[Actual End Date]]="","",TEXT(Table3[[#This Row],[Actual End Date]],"mmm-yy"))</f>
        <v>Oct-22</v>
      </c>
      <c r="Q6" s="1"/>
    </row>
    <row r="7" spans="2:17">
      <c r="B7" s="64">
        <v>3</v>
      </c>
      <c r="C7" s="123">
        <v>10</v>
      </c>
      <c r="D7" s="123" t="s">
        <v>370</v>
      </c>
      <c r="E7" s="123" t="s">
        <v>48</v>
      </c>
      <c r="F7" s="123" t="s">
        <v>187</v>
      </c>
      <c r="G7" s="123" t="s">
        <v>384</v>
      </c>
      <c r="H7" s="124">
        <v>44855</v>
      </c>
      <c r="I7" s="124">
        <v>44865</v>
      </c>
      <c r="J7" s="123">
        <v>5</v>
      </c>
      <c r="K7" s="124">
        <v>44855</v>
      </c>
      <c r="L7" s="124">
        <v>44865</v>
      </c>
      <c r="M7" s="123">
        <v>5</v>
      </c>
      <c r="N7" s="127" t="s">
        <v>66</v>
      </c>
      <c r="O7" s="128" t="str">
        <f>IF(Table3[[#This Row],[Actual End Date]]="","",TEXT(Table3[[#This Row],[Actual End Date]],"mmm-yy"))</f>
        <v>Oct-22</v>
      </c>
      <c r="Q7" s="1"/>
    </row>
    <row r="8" spans="2:17" ht="13.5">
      <c r="B8" s="64"/>
      <c r="C8" s="123"/>
      <c r="D8" s="123"/>
      <c r="E8" s="64"/>
      <c r="F8" s="123"/>
      <c r="G8" s="123"/>
      <c r="H8" s="124"/>
      <c r="I8" s="124"/>
      <c r="J8" s="123"/>
      <c r="K8" s="124"/>
      <c r="L8" s="124"/>
      <c r="M8" s="123"/>
      <c r="N8" s="127"/>
      <c r="O8" s="128" t="str">
        <f>IF(Table3[[#This Row],[Actual End Date]]="","",TEXT(Table3[[#This Row],[Actual End Date]],"mmm-yy"))</f>
        <v/>
      </c>
      <c r="Q8" s="1"/>
    </row>
    <row r="9" spans="2:17">
      <c r="B9" s="64"/>
      <c r="C9" s="123"/>
      <c r="D9" s="123"/>
      <c r="E9" s="125"/>
      <c r="F9" s="123"/>
      <c r="G9" s="123"/>
      <c r="H9" s="124"/>
      <c r="I9" s="124"/>
      <c r="J9" s="64"/>
      <c r="K9" s="124"/>
      <c r="L9" s="124"/>
      <c r="M9" s="129"/>
      <c r="N9" s="127"/>
      <c r="O9" s="128" t="str">
        <f>IF(Table3[[#This Row],[Actual End Date]]="","",TEXT(Table3[[#This Row],[Actual End Date]],"mmm-yy"))</f>
        <v/>
      </c>
      <c r="Q9" s="1"/>
    </row>
    <row r="10" spans="2:17">
      <c r="B10" s="64"/>
      <c r="C10" s="123"/>
      <c r="D10" s="123"/>
      <c r="E10" s="125"/>
      <c r="F10" s="123"/>
      <c r="G10" s="123"/>
      <c r="H10" s="124"/>
      <c r="I10" s="124"/>
      <c r="J10" s="64"/>
      <c r="K10" s="124"/>
      <c r="L10" s="124"/>
      <c r="M10" s="129"/>
      <c r="N10" s="127"/>
      <c r="O10" s="128" t="str">
        <f>IF(Table3[[#This Row],[Actual End Date]]="","",TEXT(Table3[[#This Row],[Actual End Date]],"mmm-yy"))</f>
        <v/>
      </c>
      <c r="Q10" s="1"/>
    </row>
    <row r="11" spans="2:17">
      <c r="B11" s="64"/>
      <c r="C11" s="123"/>
      <c r="D11" s="123"/>
      <c r="E11" s="125"/>
      <c r="F11" s="123"/>
      <c r="G11" s="123"/>
      <c r="H11" s="124"/>
      <c r="I11" s="124"/>
      <c r="J11" s="64"/>
      <c r="K11" s="124"/>
      <c r="L11" s="124"/>
      <c r="M11" s="129"/>
      <c r="N11" s="127"/>
      <c r="O11" s="128" t="str">
        <f>IF(Table3[[#This Row],[Actual End Date]]="","",TEXT(Table3[[#This Row],[Actual End Date]],"mmm-yy"))</f>
        <v/>
      </c>
      <c r="Q11" s="1"/>
    </row>
    <row r="12" spans="2:17">
      <c r="B12" s="125"/>
      <c r="C12" s="123"/>
      <c r="D12" s="123"/>
      <c r="E12" s="125"/>
      <c r="F12" s="123"/>
      <c r="G12" s="123"/>
      <c r="H12" s="124"/>
      <c r="I12" s="124"/>
      <c r="J12" s="64"/>
      <c r="K12" s="124"/>
      <c r="L12" s="124"/>
      <c r="M12" s="129"/>
      <c r="N12" s="127"/>
      <c r="O12" s="128" t="str">
        <f>IF(Table3[[#This Row],[Actual End Date]]="","",TEXT(Table3[[#This Row],[Actual End Date]],"mmm-yy"))</f>
        <v/>
      </c>
      <c r="Q12" s="1"/>
    </row>
    <row r="13" spans="2:17">
      <c r="B13" s="125"/>
      <c r="C13" s="123"/>
      <c r="D13" s="123"/>
      <c r="E13" s="123"/>
      <c r="F13" s="123"/>
      <c r="G13" s="123"/>
      <c r="H13" s="124"/>
      <c r="I13" s="124"/>
      <c r="J13" s="123"/>
      <c r="K13" s="124"/>
      <c r="L13" s="124"/>
      <c r="M13" s="129"/>
      <c r="N13" s="127"/>
      <c r="O13" s="128" t="str">
        <f>IF(Table3[[#This Row],[Actual End Date]]="","",TEXT(Table3[[#This Row],[Actual End Date]],"mmm-yy"))</f>
        <v/>
      </c>
      <c r="Q13" s="1"/>
    </row>
    <row r="14" spans="2:17">
      <c r="B14" s="125"/>
      <c r="C14" s="123"/>
      <c r="D14" s="123"/>
      <c r="E14" s="123"/>
      <c r="F14" s="123"/>
      <c r="G14" s="123"/>
      <c r="H14" s="124"/>
      <c r="I14" s="124"/>
      <c r="J14" s="123"/>
      <c r="K14" s="124"/>
      <c r="L14" s="124"/>
      <c r="M14" s="129"/>
      <c r="N14" s="127"/>
      <c r="O14" s="128" t="str">
        <f>IF(Table3[[#This Row],[Actual End Date]]="","",TEXT(Table3[[#This Row],[Actual End Date]],"mmm-yy"))</f>
        <v/>
      </c>
      <c r="Q14" s="1"/>
    </row>
    <row r="15" spans="2:17">
      <c r="B15" s="125"/>
      <c r="C15" s="123"/>
      <c r="D15" s="123"/>
      <c r="E15" s="123"/>
      <c r="F15" s="123"/>
      <c r="G15" s="123"/>
      <c r="H15" s="124"/>
      <c r="I15" s="124"/>
      <c r="J15" s="123"/>
      <c r="K15" s="124"/>
      <c r="L15" s="124"/>
      <c r="M15" s="129"/>
      <c r="N15" s="127"/>
      <c r="O15" s="128" t="str">
        <f>IF(Table3[[#This Row],[Actual End Date]]="","",TEXT(Table3[[#This Row],[Actual End Date]],"mmm-yy"))</f>
        <v/>
      </c>
      <c r="Q15" s="1"/>
    </row>
    <row r="16" spans="2:17">
      <c r="B16" s="125"/>
      <c r="C16" s="123"/>
      <c r="D16" s="123"/>
      <c r="E16" s="123"/>
      <c r="F16" s="123"/>
      <c r="G16" s="123"/>
      <c r="H16" s="124"/>
      <c r="I16" s="124"/>
      <c r="J16" s="123"/>
      <c r="K16" s="124"/>
      <c r="L16" s="124"/>
      <c r="M16" s="129"/>
      <c r="N16" s="127"/>
      <c r="O16" s="128" t="str">
        <f>IF(Table3[[#This Row],[Actual End Date]]="","",TEXT(Table3[[#This Row],[Actual End Date]],"mmm-yy"))</f>
        <v/>
      </c>
      <c r="Q16" s="1"/>
    </row>
    <row r="17" spans="2:17">
      <c r="B17" s="125"/>
      <c r="C17" s="123"/>
      <c r="D17" s="123"/>
      <c r="E17" s="123"/>
      <c r="F17" s="123"/>
      <c r="G17" s="123"/>
      <c r="H17" s="124"/>
      <c r="I17" s="124"/>
      <c r="J17" s="123"/>
      <c r="K17" s="124"/>
      <c r="L17" s="124"/>
      <c r="M17" s="129"/>
      <c r="N17" s="127"/>
      <c r="O17" s="128" t="str">
        <f>IF(Table3[[#This Row],[Actual End Date]]="","",TEXT(Table3[[#This Row],[Actual End Date]],"mmm-yy"))</f>
        <v/>
      </c>
      <c r="Q17" s="1"/>
    </row>
    <row r="18" spans="2:17">
      <c r="B18" s="125"/>
      <c r="C18" s="123"/>
      <c r="D18" s="123"/>
      <c r="E18" s="123"/>
      <c r="F18" s="123"/>
      <c r="G18" s="123"/>
      <c r="H18" s="124"/>
      <c r="I18" s="124"/>
      <c r="J18" s="123"/>
      <c r="K18" s="124"/>
      <c r="L18" s="124"/>
      <c r="M18" s="129"/>
      <c r="N18" s="127"/>
      <c r="O18" s="128" t="str">
        <f>IF(Table3[[#This Row],[Actual End Date]]="","",TEXT(Table3[[#This Row],[Actual End Date]],"mmm-yy"))</f>
        <v/>
      </c>
      <c r="Q18" s="1"/>
    </row>
    <row r="19" spans="2:17">
      <c r="B19" s="125"/>
      <c r="C19" s="123"/>
      <c r="D19" s="123"/>
      <c r="E19" s="123"/>
      <c r="F19" s="123"/>
      <c r="G19" s="123"/>
      <c r="H19" s="124"/>
      <c r="I19" s="124"/>
      <c r="J19" s="123"/>
      <c r="K19" s="124"/>
      <c r="L19" s="124"/>
      <c r="M19" s="129"/>
      <c r="N19" s="127"/>
      <c r="O19" s="128" t="str">
        <f>IF(Table3[[#This Row],[Actual End Date]]="","",TEXT(Table3[[#This Row],[Actual End Date]],"mmm-yy"))</f>
        <v/>
      </c>
      <c r="Q19" s="1"/>
    </row>
    <row r="20" spans="2:17">
      <c r="B20" s="125"/>
      <c r="C20" s="123"/>
      <c r="D20" s="123"/>
      <c r="E20" s="125"/>
      <c r="F20" s="123"/>
      <c r="G20" s="123"/>
      <c r="H20" s="124"/>
      <c r="I20" s="124"/>
      <c r="J20" s="64"/>
      <c r="K20" s="124"/>
      <c r="L20" s="124"/>
      <c r="M20" s="129"/>
      <c r="N20" s="127"/>
      <c r="O20" s="128" t="str">
        <f>IF(Table3[[#This Row],[Actual End Date]]="","",TEXT(Table3[[#This Row],[Actual End Date]],"mmm-yy"))</f>
        <v/>
      </c>
      <c r="Q20" s="1"/>
    </row>
    <row r="21" spans="2:17">
      <c r="B21" s="125"/>
      <c r="C21" s="123"/>
      <c r="D21" s="123"/>
      <c r="E21" s="125"/>
      <c r="F21" s="123"/>
      <c r="G21" s="123"/>
      <c r="H21" s="124"/>
      <c r="I21" s="124"/>
      <c r="J21" s="64"/>
      <c r="K21" s="124"/>
      <c r="L21" s="124"/>
      <c r="M21" s="129"/>
      <c r="N21" s="127"/>
      <c r="O21" s="128" t="str">
        <f>IF(Table3[[#This Row],[Actual End Date]]="","",TEXT(Table3[[#This Row],[Actual End Date]],"mmm-yy"))</f>
        <v/>
      </c>
      <c r="Q21" s="1"/>
    </row>
    <row r="22" spans="2:17">
      <c r="B22" s="125"/>
      <c r="C22" s="123"/>
      <c r="D22" s="123"/>
      <c r="E22" s="125"/>
      <c r="F22" s="123"/>
      <c r="G22" s="123"/>
      <c r="H22" s="124"/>
      <c r="I22" s="124"/>
      <c r="J22" s="64"/>
      <c r="K22" s="124"/>
      <c r="L22" s="124"/>
      <c r="M22" s="129"/>
      <c r="N22" s="127"/>
      <c r="O22" s="128" t="str">
        <f>IF(Table3[[#This Row],[Actual End Date]]="","",TEXT(Table3[[#This Row],[Actual End Date]],"mmm-yy"))</f>
        <v/>
      </c>
      <c r="Q22" s="1"/>
    </row>
    <row r="23" spans="2:17">
      <c r="B23" s="125"/>
      <c r="C23" s="123"/>
      <c r="D23" s="123"/>
      <c r="E23" s="123"/>
      <c r="F23" s="123"/>
      <c r="G23" s="126"/>
      <c r="H23" s="124"/>
      <c r="I23" s="124"/>
      <c r="J23" s="123"/>
      <c r="K23" s="124"/>
      <c r="L23" s="124"/>
      <c r="M23" s="129"/>
      <c r="N23" s="127"/>
      <c r="O23" s="128" t="str">
        <f>IF(Table3[[#This Row],[Actual End Date]]="","",TEXT(Table3[[#This Row],[Actual End Date]],"mmm-yy"))</f>
        <v/>
      </c>
      <c r="Q23" s="1"/>
    </row>
    <row r="24" spans="2:17">
      <c r="B24" s="125"/>
      <c r="C24" s="123"/>
      <c r="D24" s="123"/>
      <c r="E24" s="123"/>
      <c r="F24" s="123"/>
      <c r="G24" s="126"/>
      <c r="H24" s="124"/>
      <c r="I24" s="124"/>
      <c r="J24" s="123"/>
      <c r="K24" s="124"/>
      <c r="L24" s="124"/>
      <c r="M24" s="129"/>
      <c r="N24" s="127" t="str">
        <f>IF(ISNA(VLOOKUP(Table3[[#This Row],[Ticket]],Table1[],17,FALSE)),"",VLOOKUP(Table3[[#This Row],[Ticket]],Table1[],17,FALSE))</f>
        <v/>
      </c>
      <c r="O24" s="128" t="str">
        <f>IF(Table3[[#This Row],[Actual End Date]]="","",TEXT(Table3[[#This Row],[Actual End Date]],"mmm-yy"))</f>
        <v/>
      </c>
      <c r="Q24" s="1"/>
    </row>
    <row r="25" spans="2:17">
      <c r="B25" s="125"/>
      <c r="C25" s="123"/>
      <c r="D25" s="123"/>
      <c r="E25" s="123"/>
      <c r="F25" s="123"/>
      <c r="G25" s="126"/>
      <c r="H25" s="124"/>
      <c r="I25" s="124"/>
      <c r="J25" s="123"/>
      <c r="K25" s="124"/>
      <c r="L25" s="124"/>
      <c r="M25" s="129"/>
      <c r="N25" s="127" t="str">
        <f>IF(ISNA(VLOOKUP(Table3[[#This Row],[Ticket]],Table1[],17,FALSE)),"",VLOOKUP(Table3[[#This Row],[Ticket]],Table1[],17,FALSE))</f>
        <v/>
      </c>
      <c r="O25" s="128" t="str">
        <f>IF(Table3[[#This Row],[Actual End Date]]="","",TEXT(Table3[[#This Row],[Actual End Date]],"mmm-yy"))</f>
        <v/>
      </c>
      <c r="Q25" s="1"/>
    </row>
    <row r="26" spans="2:17">
      <c r="B26" s="125"/>
      <c r="C26" s="123"/>
      <c r="D26" s="123"/>
      <c r="E26" s="123"/>
      <c r="F26" s="123"/>
      <c r="G26" s="126"/>
      <c r="H26" s="124"/>
      <c r="I26" s="124"/>
      <c r="J26" s="123"/>
      <c r="K26" s="124"/>
      <c r="L26" s="124"/>
      <c r="M26" s="129"/>
      <c r="N26" s="127" t="str">
        <f>IF(ISNA(VLOOKUP(Table3[[#This Row],[Ticket]],Table1[],17,FALSE)),"",VLOOKUP(Table3[[#This Row],[Ticket]],Table1[],17,FALSE))</f>
        <v/>
      </c>
      <c r="O26" s="128" t="str">
        <f>IF(Table3[[#This Row],[Actual End Date]]="","",TEXT(Table3[[#This Row],[Actual End Date]],"mmm-yy"))</f>
        <v/>
      </c>
      <c r="Q26" s="1"/>
    </row>
    <row r="27" spans="2:17">
      <c r="B27" s="125"/>
      <c r="C27" s="123"/>
      <c r="D27" s="123"/>
      <c r="E27" s="123"/>
      <c r="F27" s="123"/>
      <c r="G27" s="126"/>
      <c r="H27" s="124"/>
      <c r="I27" s="124"/>
      <c r="J27" s="123"/>
      <c r="K27" s="124"/>
      <c r="L27" s="124"/>
      <c r="M27" s="129"/>
      <c r="N27" s="127" t="str">
        <f>IF(ISNA(VLOOKUP(Table3[[#This Row],[Ticket]],Table1[],17,FALSE)),"",VLOOKUP(Table3[[#This Row],[Ticket]],Table1[],17,FALSE))</f>
        <v/>
      </c>
      <c r="O27" s="128" t="str">
        <f>IF(Table3[[#This Row],[Actual End Date]]="","",TEXT(Table3[[#This Row],[Actual End Date]],"mmm-yy"))</f>
        <v/>
      </c>
      <c r="Q27" s="1"/>
    </row>
    <row r="28" spans="2:17">
      <c r="B28" s="125"/>
      <c r="C28" s="123"/>
      <c r="D28" s="123"/>
      <c r="E28" s="123"/>
      <c r="F28" s="123"/>
      <c r="G28" s="126"/>
      <c r="H28" s="124"/>
      <c r="I28" s="124"/>
      <c r="J28" s="123"/>
      <c r="K28" s="124"/>
      <c r="L28" s="124"/>
      <c r="M28" s="129"/>
      <c r="N28" s="127" t="str">
        <f>IF(ISNA(VLOOKUP(Table3[[#This Row],[Ticket]],Table1[],17,FALSE)),"",VLOOKUP(Table3[[#This Row],[Ticket]],Table1[],17,FALSE))</f>
        <v/>
      </c>
      <c r="O28" s="128" t="str">
        <f>IF(Table3[[#This Row],[Actual End Date]]="","",TEXT(Table3[[#This Row],[Actual End Date]],"mmm-yy"))</f>
        <v/>
      </c>
      <c r="Q28" s="1"/>
    </row>
    <row r="29" spans="2:17">
      <c r="B29" s="125"/>
      <c r="C29" s="123"/>
      <c r="D29" s="123"/>
      <c r="E29" s="123"/>
      <c r="F29" s="123"/>
      <c r="G29" s="126"/>
      <c r="H29" s="124"/>
      <c r="I29" s="124"/>
      <c r="J29" s="123"/>
      <c r="K29" s="124"/>
      <c r="L29" s="124"/>
      <c r="M29" s="129"/>
      <c r="N29" s="127" t="str">
        <f>IF(ISNA(VLOOKUP(Table3[[#This Row],[Ticket]],Table1[],17,FALSE)),"",VLOOKUP(Table3[[#This Row],[Ticket]],Table1[],17,FALSE))</f>
        <v/>
      </c>
      <c r="O29" s="128" t="str">
        <f>IF(Table3[[#This Row],[Actual End Date]]="","",TEXT(Table3[[#This Row],[Actual End Date]],"mmm-yy"))</f>
        <v/>
      </c>
      <c r="Q29" s="1"/>
    </row>
    <row r="30" spans="2:17">
      <c r="B30" s="125"/>
      <c r="C30" s="123"/>
      <c r="D30" s="123"/>
      <c r="E30" s="125"/>
      <c r="F30" s="123"/>
      <c r="G30" s="123"/>
      <c r="H30" s="124"/>
      <c r="I30" s="124"/>
      <c r="J30" s="64"/>
      <c r="K30" s="124"/>
      <c r="L30" s="124"/>
      <c r="M30" s="129"/>
      <c r="N30" s="127" t="str">
        <f>IF(ISNA(VLOOKUP(Table3[[#This Row],[Ticket]],Table1[],17,FALSE)),"",VLOOKUP(Table3[[#This Row],[Ticket]],Table1[],17,FALSE))</f>
        <v/>
      </c>
      <c r="O30" s="128" t="str">
        <f>IF(Table3[[#This Row],[Actual End Date]]="","",TEXT(Table3[[#This Row],[Actual End Date]],"mmm-yy"))</f>
        <v/>
      </c>
      <c r="Q30" s="1"/>
    </row>
    <row r="31" spans="2:17">
      <c r="B31" s="125"/>
      <c r="C31" s="123"/>
      <c r="D31" s="123"/>
      <c r="E31" s="125"/>
      <c r="F31" s="123"/>
      <c r="G31" s="123"/>
      <c r="H31" s="124"/>
      <c r="I31" s="124"/>
      <c r="J31" s="64"/>
      <c r="K31" s="124"/>
      <c r="L31" s="124"/>
      <c r="M31" s="129"/>
      <c r="N31" s="127" t="str">
        <f>IF(ISNA(VLOOKUP(Table3[[#This Row],[Ticket]],Table1[],17,FALSE)),"",VLOOKUP(Table3[[#This Row],[Ticket]],Table1[],17,FALSE))</f>
        <v/>
      </c>
      <c r="O31" s="128" t="str">
        <f>IF(Table3[[#This Row],[Actual End Date]]="","",TEXT(Table3[[#This Row],[Actual End Date]],"mmm-yy"))</f>
        <v/>
      </c>
      <c r="Q31" s="1"/>
    </row>
    <row r="32" spans="2:17">
      <c r="B32" s="125"/>
      <c r="C32" s="123"/>
      <c r="D32" s="123"/>
      <c r="E32" s="125"/>
      <c r="F32" s="123"/>
      <c r="G32" s="123"/>
      <c r="H32" s="124"/>
      <c r="I32" s="124"/>
      <c r="J32" s="64"/>
      <c r="K32" s="124"/>
      <c r="L32" s="124"/>
      <c r="M32" s="129"/>
      <c r="N32" s="127" t="str">
        <f>IF(ISNA(VLOOKUP(Table3[[#This Row],[Ticket]],Table1[],17,FALSE)),"",VLOOKUP(Table3[[#This Row],[Ticket]],Table1[],17,FALSE))</f>
        <v/>
      </c>
      <c r="O32" s="128" t="str">
        <f>IF(Table3[[#This Row],[Actual End Date]]="","",TEXT(Table3[[#This Row],[Actual End Date]],"mmm-yy"))</f>
        <v/>
      </c>
      <c r="Q32" s="1"/>
    </row>
    <row r="33" spans="2:17">
      <c r="B33" s="125"/>
      <c r="C33" s="123"/>
      <c r="D33" s="123"/>
      <c r="E33" s="123"/>
      <c r="F33" s="123"/>
      <c r="G33" s="126"/>
      <c r="H33" s="124"/>
      <c r="I33" s="124"/>
      <c r="J33" s="129"/>
      <c r="K33" s="124"/>
      <c r="L33" s="124"/>
      <c r="M33" s="129"/>
      <c r="N33" s="127" t="str">
        <f>IF(ISNA(VLOOKUP(Table3[[#This Row],[Ticket]],Table1[],17,FALSE)),"",VLOOKUP(Table3[[#This Row],[Ticket]],Table1[],17,FALSE))</f>
        <v/>
      </c>
      <c r="O33" s="128" t="str">
        <f>IF(Table3[[#This Row],[Actual End Date]]="","",TEXT(Table3[[#This Row],[Actual End Date]],"mmm-yy"))</f>
        <v/>
      </c>
      <c r="Q33" s="1"/>
    </row>
    <row r="34" spans="2:17">
      <c r="B34" s="125"/>
      <c r="C34" s="123"/>
      <c r="D34" s="123"/>
      <c r="E34" s="123"/>
      <c r="F34" s="123"/>
      <c r="G34" s="126"/>
      <c r="H34" s="124"/>
      <c r="I34" s="124"/>
      <c r="J34" s="129"/>
      <c r="K34" s="124"/>
      <c r="L34" s="124"/>
      <c r="M34" s="129"/>
      <c r="N34" s="127" t="str">
        <f>IF(ISNA(VLOOKUP(Table3[[#This Row],[Ticket]],Table1[],17,FALSE)),"",VLOOKUP(Table3[[#This Row],[Ticket]],Table1[],17,FALSE))</f>
        <v/>
      </c>
      <c r="O34" s="128" t="str">
        <f>IF(Table3[[#This Row],[Actual End Date]]="","",TEXT(Table3[[#This Row],[Actual End Date]],"mmm-yy"))</f>
        <v/>
      </c>
      <c r="Q34" s="1"/>
    </row>
    <row r="35" spans="2:17">
      <c r="B35" s="125"/>
      <c r="C35" s="123"/>
      <c r="D35" s="123"/>
      <c r="E35" s="123"/>
      <c r="F35" s="123"/>
      <c r="G35" s="126"/>
      <c r="H35" s="124"/>
      <c r="I35" s="124"/>
      <c r="J35" s="129"/>
      <c r="K35" s="124"/>
      <c r="L35" s="124"/>
      <c r="M35" s="129"/>
      <c r="N35" s="127" t="str">
        <f>IF(ISNA(VLOOKUP(Table3[[#This Row],[Ticket]],Table1[],17,FALSE)),"",VLOOKUP(Table3[[#This Row],[Ticket]],Table1[],17,FALSE))</f>
        <v/>
      </c>
      <c r="O35" s="128" t="str">
        <f>IF(Table3[[#This Row],[Actual End Date]]="","",TEXT(Table3[[#This Row],[Actual End Date]],"mmm-yy"))</f>
        <v/>
      </c>
      <c r="Q35" s="1"/>
    </row>
    <row r="36" spans="2:17">
      <c r="B36" s="125"/>
      <c r="C36" s="123"/>
      <c r="D36" s="123"/>
      <c r="E36" s="123"/>
      <c r="F36" s="123"/>
      <c r="G36" s="126"/>
      <c r="H36" s="124"/>
      <c r="I36" s="124"/>
      <c r="J36" s="129"/>
      <c r="K36" s="124"/>
      <c r="L36" s="124"/>
      <c r="M36" s="129"/>
      <c r="N36" s="127" t="str">
        <f>IF(ISNA(VLOOKUP(Table3[[#This Row],[Ticket]],Table1[],17,FALSE)),"",VLOOKUP(Table3[[#This Row],[Ticket]],Table1[],17,FALSE))</f>
        <v/>
      </c>
      <c r="O36" s="128" t="str">
        <f>IF(Table3[[#This Row],[Actual End Date]]="","",TEXT(Table3[[#This Row],[Actual End Date]],"mmm-yy"))</f>
        <v/>
      </c>
      <c r="Q36" s="1"/>
    </row>
    <row r="37" spans="2:17">
      <c r="B37" s="125"/>
      <c r="C37" s="123"/>
      <c r="D37" s="123"/>
      <c r="E37" s="125"/>
      <c r="F37" s="123"/>
      <c r="G37" s="123"/>
      <c r="H37" s="124"/>
      <c r="I37" s="124"/>
      <c r="J37" s="64"/>
      <c r="K37" s="124"/>
      <c r="L37" s="124"/>
      <c r="M37" s="129"/>
      <c r="N37" s="127" t="str">
        <f>IF(ISNA(VLOOKUP(Table3[[#This Row],[Ticket]],Table1[],17,FALSE)),"",VLOOKUP(Table3[[#This Row],[Ticket]],Table1[],17,FALSE))</f>
        <v/>
      </c>
      <c r="O37" s="128" t="str">
        <f>IF(Table3[[#This Row],[Actual End Date]]="","",TEXT(Table3[[#This Row],[Actual End Date]],"mmm-yy"))</f>
        <v/>
      </c>
      <c r="Q37" s="1"/>
    </row>
    <row r="38" spans="2:17">
      <c r="B38" s="125"/>
      <c r="C38" s="123"/>
      <c r="D38" s="123"/>
      <c r="E38" s="125"/>
      <c r="F38" s="123"/>
      <c r="G38" s="123"/>
      <c r="H38" s="124"/>
      <c r="I38" s="124"/>
      <c r="J38" s="64"/>
      <c r="K38" s="124"/>
      <c r="L38" s="124"/>
      <c r="M38" s="129"/>
      <c r="N38" s="127" t="str">
        <f>IF(ISNA(VLOOKUP(Table3[[#This Row],[Ticket]],Table1[],17,FALSE)),"",VLOOKUP(Table3[[#This Row],[Ticket]],Table1[],17,FALSE))</f>
        <v/>
      </c>
      <c r="O38" s="128" t="str">
        <f>IF(Table3[[#This Row],[Actual End Date]]="","",TEXT(Table3[[#This Row],[Actual End Date]],"mmm-yy"))</f>
        <v/>
      </c>
      <c r="Q38" s="1"/>
    </row>
    <row r="39" spans="2:17">
      <c r="B39" s="125"/>
      <c r="C39" s="123"/>
      <c r="D39" s="123"/>
      <c r="E39" s="123"/>
      <c r="F39" s="123"/>
      <c r="G39" s="126"/>
      <c r="H39" s="124"/>
      <c r="I39" s="124"/>
      <c r="J39" s="123"/>
      <c r="K39" s="124"/>
      <c r="L39" s="124"/>
      <c r="M39" s="129"/>
      <c r="N39" s="127" t="str">
        <f>IF(ISNA(VLOOKUP(Table3[[#This Row],[Ticket]],Table1[],17,FALSE)),"",VLOOKUP(Table3[[#This Row],[Ticket]],Table1[],17,FALSE))</f>
        <v/>
      </c>
      <c r="O39" s="128" t="str">
        <f>IF(Table3[[#This Row],[Actual End Date]]="","",TEXT(Table3[[#This Row],[Actual End Date]],"mmm-yy"))</f>
        <v/>
      </c>
      <c r="Q39" s="1"/>
    </row>
    <row r="40" spans="2:17">
      <c r="B40" s="125"/>
      <c r="C40" s="123"/>
      <c r="D40" s="123"/>
      <c r="E40" s="123"/>
      <c r="F40" s="123"/>
      <c r="G40" s="126"/>
      <c r="H40" s="124"/>
      <c r="I40" s="124"/>
      <c r="J40" s="123"/>
      <c r="K40" s="124"/>
      <c r="L40" s="124"/>
      <c r="M40" s="129"/>
      <c r="N40" s="127" t="str">
        <f>IF(ISNA(VLOOKUP(Table3[[#This Row],[Ticket]],Table1[],17,FALSE)),"",VLOOKUP(Table3[[#This Row],[Ticket]],Table1[],17,FALSE))</f>
        <v/>
      </c>
      <c r="O40" s="128" t="str">
        <f>IF(Table3[[#This Row],[Actual End Date]]="","",TEXT(Table3[[#This Row],[Actual End Date]],"mmm-yy"))</f>
        <v/>
      </c>
      <c r="Q40" s="1"/>
    </row>
    <row r="41" spans="2:17">
      <c r="B41" s="125"/>
      <c r="C41" s="123"/>
      <c r="D41" s="123"/>
      <c r="E41" s="123"/>
      <c r="F41" s="123"/>
      <c r="G41" s="126"/>
      <c r="H41" s="124"/>
      <c r="I41" s="124"/>
      <c r="J41" s="123"/>
      <c r="K41" s="124"/>
      <c r="L41" s="124"/>
      <c r="M41" s="129"/>
      <c r="N41" s="127" t="str">
        <f>IF(ISNA(VLOOKUP(Table3[[#This Row],[Ticket]],Table1[],17,FALSE)),"",VLOOKUP(Table3[[#This Row],[Ticket]],Table1[],17,FALSE))</f>
        <v/>
      </c>
      <c r="O41" s="128" t="str">
        <f>IF(Table3[[#This Row],[Actual End Date]]="","",TEXT(Table3[[#This Row],[Actual End Date]],"mmm-yy"))</f>
        <v/>
      </c>
      <c r="Q41" s="1"/>
    </row>
    <row r="42" spans="2:17">
      <c r="B42" s="125"/>
      <c r="C42" s="123"/>
      <c r="D42" s="123"/>
      <c r="E42" s="123"/>
      <c r="F42" s="123"/>
      <c r="G42" s="126"/>
      <c r="H42" s="124"/>
      <c r="I42" s="124"/>
      <c r="J42" s="123"/>
      <c r="K42" s="124"/>
      <c r="L42" s="124"/>
      <c r="M42" s="129"/>
      <c r="N42" s="127" t="str">
        <f>IF(ISNA(VLOOKUP(Table3[[#This Row],[Ticket]],Table1[],17,FALSE)),"",VLOOKUP(Table3[[#This Row],[Ticket]],Table1[],17,FALSE))</f>
        <v/>
      </c>
      <c r="O42" s="128" t="str">
        <f>IF(Table3[[#This Row],[Actual End Date]]="","",TEXT(Table3[[#This Row],[Actual End Date]],"mmm-yy"))</f>
        <v/>
      </c>
      <c r="Q42" s="1"/>
    </row>
    <row r="43" spans="2:17">
      <c r="B43" s="125"/>
      <c r="C43" s="123"/>
      <c r="D43" s="123"/>
      <c r="E43" s="125"/>
      <c r="F43" s="123"/>
      <c r="G43" s="123"/>
      <c r="H43" s="124"/>
      <c r="I43" s="124"/>
      <c r="J43" s="123"/>
      <c r="K43" s="124"/>
      <c r="L43" s="124"/>
      <c r="M43" s="129"/>
      <c r="N43" s="127" t="str">
        <f>IF(ISNA(VLOOKUP(Table3[[#This Row],[Ticket]],Table1[],17,FALSE)),"",VLOOKUP(Table3[[#This Row],[Ticket]],Table1[],17,FALSE))</f>
        <v/>
      </c>
      <c r="O43" s="128" t="str">
        <f>IF(Table3[[#This Row],[Actual End Date]]="","",TEXT(Table3[[#This Row],[Actual End Date]],"mmm-yy"))</f>
        <v/>
      </c>
      <c r="Q43" s="1"/>
    </row>
    <row r="44" spans="2:17">
      <c r="B44" s="125"/>
      <c r="C44" s="123"/>
      <c r="D44" s="123"/>
      <c r="E44" s="125"/>
      <c r="F44" s="123"/>
      <c r="G44" s="123"/>
      <c r="H44" s="124"/>
      <c r="I44" s="124"/>
      <c r="J44" s="123"/>
      <c r="K44" s="124"/>
      <c r="L44" s="124"/>
      <c r="M44" s="129"/>
      <c r="N44" s="127" t="str">
        <f>IF(ISNA(VLOOKUP(Table3[[#This Row],[Ticket]],Table1[],17,FALSE)),"",VLOOKUP(Table3[[#This Row],[Ticket]],Table1[],17,FALSE))</f>
        <v/>
      </c>
      <c r="O44" s="128" t="str">
        <f>IF(Table3[[#This Row],[Actual End Date]]="","",TEXT(Table3[[#This Row],[Actual End Date]],"mmm-yy"))</f>
        <v/>
      </c>
      <c r="Q44" s="1"/>
    </row>
    <row r="45" spans="2:17">
      <c r="B45" s="125"/>
      <c r="C45" s="123"/>
      <c r="D45" s="123"/>
      <c r="E45" s="125"/>
      <c r="F45" s="123"/>
      <c r="G45" s="123"/>
      <c r="H45" s="124"/>
      <c r="I45" s="124"/>
      <c r="J45" s="123"/>
      <c r="K45" s="124"/>
      <c r="L45" s="124"/>
      <c r="M45" s="129"/>
      <c r="N45" s="127" t="str">
        <f>IF(ISNA(VLOOKUP(Table3[[#This Row],[Ticket]],Table1[],17,FALSE)),"",VLOOKUP(Table3[[#This Row],[Ticket]],Table1[],17,FALSE))</f>
        <v/>
      </c>
      <c r="O45" s="128" t="str">
        <f>IF(Table3[[#This Row],[Actual End Date]]="","",TEXT(Table3[[#This Row],[Actual End Date]],"mmm-yy"))</f>
        <v/>
      </c>
      <c r="Q45" s="1"/>
    </row>
    <row r="46" spans="2:17">
      <c r="B46" s="125"/>
      <c r="C46" s="123"/>
      <c r="D46" s="123"/>
      <c r="E46" s="123"/>
      <c r="F46" s="123"/>
      <c r="G46" s="126"/>
      <c r="H46" s="124"/>
      <c r="I46" s="124"/>
      <c r="J46" s="123"/>
      <c r="K46" s="124"/>
      <c r="L46" s="124"/>
      <c r="M46" s="123"/>
      <c r="N46" s="127" t="str">
        <f>IF(ISNA(VLOOKUP(Table3[[#This Row],[Ticket]],Table1[],17,FALSE)),"",VLOOKUP(Table3[[#This Row],[Ticket]],Table1[],17,FALSE))</f>
        <v/>
      </c>
      <c r="O46" s="128" t="str">
        <f>IF(Table3[[#This Row],[Actual End Date]]="","",TEXT(Table3[[#This Row],[Actual End Date]],"mmm-yy"))</f>
        <v/>
      </c>
      <c r="Q46" s="1"/>
    </row>
    <row r="47" spans="2:17">
      <c r="B47" s="125"/>
      <c r="C47" s="123"/>
      <c r="D47" s="123"/>
      <c r="E47" s="123"/>
      <c r="F47" s="123"/>
      <c r="G47" s="126"/>
      <c r="H47" s="124"/>
      <c r="I47" s="124"/>
      <c r="J47" s="123"/>
      <c r="K47" s="124"/>
      <c r="L47" s="124"/>
      <c r="M47" s="123"/>
      <c r="N47" s="127" t="str">
        <f>IF(ISNA(VLOOKUP(Table3[[#This Row],[Ticket]],Table1[],17,FALSE)),"",VLOOKUP(Table3[[#This Row],[Ticket]],Table1[],17,FALSE))</f>
        <v/>
      </c>
      <c r="O47" s="128" t="str">
        <f>IF(Table3[[#This Row],[Actual End Date]]="","",TEXT(Table3[[#This Row],[Actual End Date]],"mmm-yy"))</f>
        <v/>
      </c>
      <c r="Q47" s="1"/>
    </row>
    <row r="48" spans="2:17">
      <c r="B48" s="125"/>
      <c r="C48" s="123"/>
      <c r="D48" s="123"/>
      <c r="E48" s="123"/>
      <c r="F48" s="123"/>
      <c r="G48" s="126"/>
      <c r="H48" s="124"/>
      <c r="I48" s="124"/>
      <c r="J48" s="123"/>
      <c r="K48" s="124"/>
      <c r="L48" s="124"/>
      <c r="M48" s="129"/>
      <c r="N48" s="127" t="str">
        <f>IF(ISNA(VLOOKUP(Table3[[#This Row],[Ticket]],Table1[],17,FALSE)),"",VLOOKUP(Table3[[#This Row],[Ticket]],Table1[],17,FALSE))</f>
        <v/>
      </c>
      <c r="O48" s="128" t="str">
        <f>IF(Table3[[#This Row],[Actual End Date]]="","",TEXT(Table3[[#This Row],[Actual End Date]],"mmm-yy"))</f>
        <v/>
      </c>
      <c r="Q48" s="1"/>
    </row>
    <row r="49" spans="2:17">
      <c r="B49" s="125"/>
      <c r="C49" s="123"/>
      <c r="D49" s="123"/>
      <c r="E49" s="125"/>
      <c r="F49" s="123"/>
      <c r="G49" s="123"/>
      <c r="H49" s="124"/>
      <c r="I49" s="124"/>
      <c r="J49" s="123"/>
      <c r="K49" s="124"/>
      <c r="L49" s="124"/>
      <c r="M49" s="129"/>
      <c r="N49" s="127" t="str">
        <f>IF(ISNA(VLOOKUP(Table3[[#This Row],[Ticket]],Table1[],17,FALSE)),"",VLOOKUP(Table3[[#This Row],[Ticket]],Table1[],17,FALSE))</f>
        <v/>
      </c>
      <c r="O49" s="128" t="str">
        <f>IF(Table3[[#This Row],[Actual End Date]]="","",TEXT(Table3[[#This Row],[Actual End Date]],"mmm-yy"))</f>
        <v/>
      </c>
      <c r="Q49" s="1"/>
    </row>
    <row r="50" spans="2:17">
      <c r="B50" s="125"/>
      <c r="C50" s="123"/>
      <c r="D50" s="123"/>
      <c r="E50" s="125"/>
      <c r="F50" s="123"/>
      <c r="G50" s="123"/>
      <c r="H50" s="124"/>
      <c r="I50" s="124"/>
      <c r="J50" s="64"/>
      <c r="K50" s="124"/>
      <c r="L50" s="124"/>
      <c r="M50" s="129"/>
      <c r="N50" s="127" t="str">
        <f>IF(ISNA(VLOOKUP(Table3[[#This Row],[Ticket]],Table1[],17,FALSE)),"",VLOOKUP(Table3[[#This Row],[Ticket]],Table1[],17,FALSE))</f>
        <v/>
      </c>
      <c r="O50" s="128" t="str">
        <f>IF(Table3[[#This Row],[Actual End Date]]="","",TEXT(Table3[[#This Row],[Actual End Date]],"mmm-yy"))</f>
        <v/>
      </c>
      <c r="Q50" s="1"/>
    </row>
    <row r="51" spans="2:17">
      <c r="B51" s="125"/>
      <c r="C51" s="123"/>
      <c r="D51" s="123"/>
      <c r="E51" s="125"/>
      <c r="F51" s="123"/>
      <c r="G51" s="123"/>
      <c r="H51" s="124"/>
      <c r="I51" s="124"/>
      <c r="J51" s="64"/>
      <c r="K51" s="124"/>
      <c r="L51" s="124"/>
      <c r="M51" s="129"/>
      <c r="N51" s="127" t="str">
        <f>IF(ISNA(VLOOKUP(Table3[[#This Row],[Ticket]],Table1[],17,FALSE)),"",VLOOKUP(Table3[[#This Row],[Ticket]],Table1[],17,FALSE))</f>
        <v/>
      </c>
      <c r="O51" s="128" t="str">
        <f>IF(Table3[[#This Row],[Actual End Date]]="","",TEXT(Table3[[#This Row],[Actual End Date]],"mmm-yy"))</f>
        <v/>
      </c>
      <c r="Q51" s="1"/>
    </row>
    <row r="52" spans="2:17">
      <c r="B52" s="125"/>
      <c r="C52" s="123"/>
      <c r="D52" s="123"/>
      <c r="E52" s="123"/>
      <c r="F52" s="123"/>
      <c r="G52" s="126"/>
      <c r="H52" s="124"/>
      <c r="I52" s="124"/>
      <c r="J52" s="123"/>
      <c r="K52" s="124"/>
      <c r="L52" s="124"/>
      <c r="M52" s="123"/>
      <c r="N52" s="127" t="str">
        <f>IF(ISNA(VLOOKUP(Table3[[#This Row],[Ticket]],Table1[],17,FALSE)),"",VLOOKUP(Table3[[#This Row],[Ticket]],Table1[],17,FALSE))</f>
        <v/>
      </c>
      <c r="O52" s="128" t="str">
        <f>IF(Table3[[#This Row],[Actual End Date]]="","",TEXT(Table3[[#This Row],[Actual End Date]],"mmm-yy"))</f>
        <v/>
      </c>
      <c r="Q52" s="1"/>
    </row>
    <row r="53" spans="2:17">
      <c r="B53" s="125"/>
      <c r="C53" s="123"/>
      <c r="D53" s="123"/>
      <c r="E53" s="123"/>
      <c r="F53" s="123"/>
      <c r="G53" s="126"/>
      <c r="H53" s="124"/>
      <c r="I53" s="124"/>
      <c r="J53" s="123"/>
      <c r="K53" s="124"/>
      <c r="L53" s="124"/>
      <c r="M53" s="123"/>
      <c r="N53" s="127" t="str">
        <f>IF(ISNA(VLOOKUP(Table3[[#This Row],[Ticket]],Table1[],17,FALSE)),"",VLOOKUP(Table3[[#This Row],[Ticket]],Table1[],17,FALSE))</f>
        <v/>
      </c>
      <c r="O53" s="128" t="str">
        <f>IF(Table3[[#This Row],[Actual End Date]]="","",TEXT(Table3[[#This Row],[Actual End Date]],"mmm-yy"))</f>
        <v/>
      </c>
      <c r="Q53" s="1"/>
    </row>
    <row r="54" spans="2:17">
      <c r="B54" s="125"/>
      <c r="C54" s="123"/>
      <c r="D54" s="123"/>
      <c r="E54" s="123"/>
      <c r="F54" s="123"/>
      <c r="G54" s="126"/>
      <c r="H54" s="124"/>
      <c r="I54" s="124"/>
      <c r="J54" s="123"/>
      <c r="K54" s="124"/>
      <c r="L54" s="124"/>
      <c r="M54" s="129"/>
      <c r="N54" s="127" t="str">
        <f>IF(ISNA(VLOOKUP(Table3[[#This Row],[Ticket]],Table1[],17,FALSE)),"",VLOOKUP(Table3[[#This Row],[Ticket]],Table1[],17,FALSE))</f>
        <v/>
      </c>
      <c r="O54" s="128" t="str">
        <f>IF(Table3[[#This Row],[Actual End Date]]="","",TEXT(Table3[[#This Row],[Actual End Date]],"mmm-yy"))</f>
        <v/>
      </c>
      <c r="Q54" s="1"/>
    </row>
    <row r="55" spans="2:17">
      <c r="B55" s="125"/>
      <c r="C55" s="123"/>
      <c r="D55" s="123"/>
      <c r="E55" s="125"/>
      <c r="F55" s="123"/>
      <c r="G55" s="123"/>
      <c r="H55" s="124"/>
      <c r="I55" s="124"/>
      <c r="J55" s="123"/>
      <c r="K55" s="124"/>
      <c r="L55" s="124"/>
      <c r="M55" s="129"/>
      <c r="N55" s="127" t="str">
        <f>IF(ISNA(VLOOKUP(Table3[[#This Row],[Ticket]],Table1[],17,FALSE)),"",VLOOKUP(Table3[[#This Row],[Ticket]],Table1[],17,FALSE))</f>
        <v/>
      </c>
      <c r="O55" s="128" t="str">
        <f>IF(Table3[[#This Row],[Actual End Date]]="","",TEXT(Table3[[#This Row],[Actual End Date]],"mmm-yy"))</f>
        <v/>
      </c>
      <c r="Q55" s="1"/>
    </row>
    <row r="56" spans="2:17">
      <c r="B56" s="125"/>
      <c r="C56" s="123"/>
      <c r="D56" s="123"/>
      <c r="E56" s="125"/>
      <c r="F56" s="123"/>
      <c r="G56" s="123"/>
      <c r="H56" s="124"/>
      <c r="I56" s="124"/>
      <c r="J56" s="64"/>
      <c r="K56" s="124"/>
      <c r="L56" s="124"/>
      <c r="M56" s="129"/>
      <c r="N56" s="127" t="str">
        <f>IF(ISNA(VLOOKUP(Table3[[#This Row],[Ticket]],Table1[],17,FALSE)),"",VLOOKUP(Table3[[#This Row],[Ticket]],Table1[],17,FALSE))</f>
        <v/>
      </c>
      <c r="O56" s="128" t="str">
        <f>IF(Table3[[#This Row],[Actual End Date]]="","",TEXT(Table3[[#This Row],[Actual End Date]],"mmm-yy"))</f>
        <v/>
      </c>
      <c r="Q56" s="1"/>
    </row>
    <row r="57" spans="2:17">
      <c r="B57" s="125"/>
      <c r="C57" s="123"/>
      <c r="D57" s="123"/>
      <c r="E57" s="125"/>
      <c r="F57" s="123"/>
      <c r="G57" s="123"/>
      <c r="H57" s="124"/>
      <c r="I57" s="124"/>
      <c r="J57" s="64"/>
      <c r="K57" s="124"/>
      <c r="L57" s="124"/>
      <c r="M57" s="129"/>
      <c r="N57" s="127" t="str">
        <f>IF(ISNA(VLOOKUP(Table3[[#This Row],[Ticket]],Table1[],17,FALSE)),"",VLOOKUP(Table3[[#This Row],[Ticket]],Table1[],17,FALSE))</f>
        <v/>
      </c>
      <c r="O57" s="128" t="str">
        <f>IF(Table3[[#This Row],[Actual End Date]]="","",TEXT(Table3[[#This Row],[Actual End Date]],"mmm-yy"))</f>
        <v/>
      </c>
      <c r="Q57" s="1"/>
    </row>
    <row r="58" spans="2:17">
      <c r="B58" s="125"/>
      <c r="C58" s="123"/>
      <c r="D58" s="123"/>
      <c r="E58" s="123"/>
      <c r="F58" s="123"/>
      <c r="G58" s="126"/>
      <c r="H58" s="124"/>
      <c r="I58" s="124"/>
      <c r="J58" s="123"/>
      <c r="K58" s="124"/>
      <c r="L58" s="124"/>
      <c r="M58" s="129"/>
      <c r="N58" s="127" t="str">
        <f>IF(ISNA(VLOOKUP(Table3[[#This Row],[Ticket]],Table1[],17,FALSE)),"",VLOOKUP(Table3[[#This Row],[Ticket]],Table1[],17,FALSE))</f>
        <v/>
      </c>
      <c r="O58" s="128" t="str">
        <f>IF(Table3[[#This Row],[Actual End Date]]="","",TEXT(Table3[[#This Row],[Actual End Date]],"mmm-yy"))</f>
        <v/>
      </c>
      <c r="Q58" s="1"/>
    </row>
    <row r="59" spans="2:17">
      <c r="B59" s="125"/>
      <c r="C59" s="123"/>
      <c r="D59" s="123"/>
      <c r="E59" s="123"/>
      <c r="F59" s="123"/>
      <c r="G59" s="126"/>
      <c r="H59" s="124"/>
      <c r="I59" s="124"/>
      <c r="J59" s="123"/>
      <c r="K59" s="124"/>
      <c r="L59" s="124"/>
      <c r="M59" s="129"/>
      <c r="N59" s="127" t="str">
        <f>IF(ISNA(VLOOKUP(Table3[[#This Row],[Ticket]],Table1[],17,FALSE)),"",VLOOKUP(Table3[[#This Row],[Ticket]],Table1[],17,FALSE))</f>
        <v/>
      </c>
      <c r="O59" s="128" t="str">
        <f>IF(Table3[[#This Row],[Actual End Date]]="","",TEXT(Table3[[#This Row],[Actual End Date]],"mmm-yy"))</f>
        <v/>
      </c>
      <c r="Q59" s="1"/>
    </row>
    <row r="60" spans="2:17">
      <c r="B60" s="125"/>
      <c r="C60" s="123"/>
      <c r="D60" s="123"/>
      <c r="E60" s="125"/>
      <c r="F60" s="123"/>
      <c r="G60" s="123"/>
      <c r="H60" s="124"/>
      <c r="I60" s="124"/>
      <c r="J60" s="64"/>
      <c r="K60" s="124"/>
      <c r="L60" s="124"/>
      <c r="M60" s="129"/>
      <c r="N60" s="127" t="str">
        <f>IF(ISNA(VLOOKUP(Table3[[#This Row],[Ticket]],Table1[],17,FALSE)),"",VLOOKUP(Table3[[#This Row],[Ticket]],Table1[],17,FALSE))</f>
        <v/>
      </c>
      <c r="O60" s="128" t="str">
        <f>IF(Table3[[#This Row],[Actual End Date]]="","",TEXT(Table3[[#This Row],[Actual End Date]],"mmm-yy"))</f>
        <v/>
      </c>
      <c r="Q60" s="1"/>
    </row>
    <row r="61" spans="2:17">
      <c r="B61" s="125"/>
      <c r="C61" s="123"/>
      <c r="D61" s="123"/>
      <c r="E61" s="125"/>
      <c r="F61" s="123"/>
      <c r="G61" s="123"/>
      <c r="H61" s="124"/>
      <c r="I61" s="124"/>
      <c r="J61" s="64"/>
      <c r="K61" s="124"/>
      <c r="L61" s="124"/>
      <c r="M61" s="129"/>
      <c r="N61" s="127" t="str">
        <f>IF(ISNA(VLOOKUP(Table3[[#This Row],[Ticket]],Table1[],17,FALSE)),"",VLOOKUP(Table3[[#This Row],[Ticket]],Table1[],17,FALSE))</f>
        <v/>
      </c>
      <c r="O61" s="128" t="str">
        <f>IF(Table3[[#This Row],[Actual End Date]]="","",TEXT(Table3[[#This Row],[Actual End Date]],"mmm-yy"))</f>
        <v/>
      </c>
      <c r="Q61" s="1"/>
    </row>
    <row r="62" spans="2:17">
      <c r="B62" s="125"/>
      <c r="C62" s="123"/>
      <c r="D62" s="123"/>
      <c r="E62" s="123"/>
      <c r="F62" s="123"/>
      <c r="G62" s="126"/>
      <c r="H62" s="124"/>
      <c r="I62" s="124"/>
      <c r="J62" s="123"/>
      <c r="K62" s="124"/>
      <c r="L62" s="124"/>
      <c r="M62" s="129"/>
      <c r="N62" s="127" t="str">
        <f>IF(ISNA(VLOOKUP(Table3[[#This Row],[Ticket]],Table1[],17,FALSE)),"",VLOOKUP(Table3[[#This Row],[Ticket]],Table1[],17,FALSE))</f>
        <v/>
      </c>
      <c r="O62" s="128" t="str">
        <f>IF(Table3[[#This Row],[Actual End Date]]="","",TEXT(Table3[[#This Row],[Actual End Date]],"mmm-yy"))</f>
        <v/>
      </c>
      <c r="Q62" s="1"/>
    </row>
    <row r="63" spans="2:17">
      <c r="B63" s="125"/>
      <c r="C63" s="123"/>
      <c r="D63" s="123"/>
      <c r="E63" s="123"/>
      <c r="F63" s="123"/>
      <c r="G63" s="126"/>
      <c r="H63" s="124"/>
      <c r="I63" s="124"/>
      <c r="J63" s="123"/>
      <c r="K63" s="124"/>
      <c r="L63" s="124"/>
      <c r="M63" s="129"/>
      <c r="N63" s="127" t="str">
        <f>IF(ISNA(VLOOKUP(Table3[[#This Row],[Ticket]],Table1[],17,FALSE)),"",VLOOKUP(Table3[[#This Row],[Ticket]],Table1[],17,FALSE))</f>
        <v/>
      </c>
      <c r="O63" s="128" t="str">
        <f>IF(Table3[[#This Row],[Actual End Date]]="","",TEXT(Table3[[#This Row],[Actual End Date]],"mmm-yy"))</f>
        <v/>
      </c>
      <c r="Q63" s="1"/>
    </row>
    <row r="64" spans="2:17">
      <c r="B64" s="125"/>
      <c r="C64" s="123"/>
      <c r="D64" s="123"/>
      <c r="E64" s="123"/>
      <c r="F64" s="123"/>
      <c r="G64" s="126"/>
      <c r="H64" s="124"/>
      <c r="I64" s="124"/>
      <c r="J64" s="123"/>
      <c r="K64" s="124"/>
      <c r="L64" s="124"/>
      <c r="M64" s="129"/>
      <c r="N64" s="127" t="str">
        <f>IF(ISNA(VLOOKUP(Table3[[#This Row],[Ticket]],Table1[],17,FALSE)),"",VLOOKUP(Table3[[#This Row],[Ticket]],Table1[],17,FALSE))</f>
        <v/>
      </c>
      <c r="O64" s="128" t="str">
        <f>IF(Table3[[#This Row],[Actual End Date]]="","",TEXT(Table3[[#This Row],[Actual End Date]],"mmm-yy"))</f>
        <v/>
      </c>
      <c r="Q64" s="1"/>
    </row>
    <row r="65" spans="2:17">
      <c r="B65" s="125"/>
      <c r="C65" s="123"/>
      <c r="D65" s="123"/>
      <c r="E65" s="123"/>
      <c r="F65" s="123"/>
      <c r="G65" s="126"/>
      <c r="H65" s="124"/>
      <c r="I65" s="124"/>
      <c r="J65" s="123"/>
      <c r="K65" s="124"/>
      <c r="L65" s="124"/>
      <c r="M65" s="129"/>
      <c r="N65" s="127" t="str">
        <f>IF(ISNA(VLOOKUP(Table3[[#This Row],[Ticket]],Table1[],17,FALSE)),"",VLOOKUP(Table3[[#This Row],[Ticket]],Table1[],17,FALSE))</f>
        <v/>
      </c>
      <c r="O65" s="128" t="str">
        <f>IF(Table3[[#This Row],[Actual End Date]]="","",TEXT(Table3[[#This Row],[Actual End Date]],"mmm-yy"))</f>
        <v/>
      </c>
      <c r="Q65" s="1"/>
    </row>
    <row r="66" spans="2:17">
      <c r="B66" s="125"/>
      <c r="C66" s="123"/>
      <c r="D66" s="123"/>
      <c r="E66" s="123"/>
      <c r="F66" s="123"/>
      <c r="G66" s="126"/>
      <c r="H66" s="124"/>
      <c r="I66" s="124"/>
      <c r="J66" s="123"/>
      <c r="K66" s="124"/>
      <c r="L66" s="124"/>
      <c r="M66" s="129"/>
      <c r="N66" s="127" t="str">
        <f>IF(ISNA(VLOOKUP(Table3[[#This Row],[Ticket]],Table1[],17,FALSE)),"",VLOOKUP(Table3[[#This Row],[Ticket]],Table1[],17,FALSE))</f>
        <v/>
      </c>
      <c r="O66" s="128" t="str">
        <f>IF(Table3[[#This Row],[Actual End Date]]="","",TEXT(Table3[[#This Row],[Actual End Date]],"mmm-yy"))</f>
        <v/>
      </c>
      <c r="Q66" s="1"/>
    </row>
    <row r="67" spans="2:17">
      <c r="B67" s="125"/>
      <c r="C67" s="123"/>
      <c r="D67" s="123"/>
      <c r="E67" s="123"/>
      <c r="F67" s="123"/>
      <c r="G67" s="126"/>
      <c r="H67" s="124"/>
      <c r="I67" s="124"/>
      <c r="J67" s="123"/>
      <c r="K67" s="124"/>
      <c r="L67" s="124"/>
      <c r="M67" s="129"/>
      <c r="N67" s="127" t="str">
        <f>IF(ISNA(VLOOKUP(Table3[[#This Row],[Ticket]],Table1[],17,FALSE)),"",VLOOKUP(Table3[[#This Row],[Ticket]],Table1[],17,FALSE))</f>
        <v/>
      </c>
      <c r="O67" s="128" t="str">
        <f>IF(Table3[[#This Row],[Actual End Date]]="","",TEXT(Table3[[#This Row],[Actual End Date]],"mmm-yy"))</f>
        <v/>
      </c>
      <c r="Q67" s="1"/>
    </row>
    <row r="68" spans="2:17">
      <c r="B68" s="125"/>
      <c r="C68" s="123"/>
      <c r="D68" s="123"/>
      <c r="E68" s="125"/>
      <c r="F68" s="123"/>
      <c r="G68" s="123"/>
      <c r="H68" s="124"/>
      <c r="I68" s="124"/>
      <c r="J68" s="123"/>
      <c r="K68" s="124"/>
      <c r="L68" s="124"/>
      <c r="M68" s="129"/>
      <c r="N68" s="127" t="str">
        <f>IF(ISNA(VLOOKUP(Table3[[#This Row],[Ticket]],Table1[],17,FALSE)),"",VLOOKUP(Table3[[#This Row],[Ticket]],Table1[],17,FALSE))</f>
        <v/>
      </c>
      <c r="O68" s="128" t="str">
        <f>IF(Table3[[#This Row],[Actual End Date]]="","",TEXT(Table3[[#This Row],[Actual End Date]],"mmm-yy"))</f>
        <v/>
      </c>
      <c r="Q68" s="1"/>
    </row>
    <row r="69" spans="2:17">
      <c r="B69" s="125"/>
      <c r="C69" s="123"/>
      <c r="D69" s="123"/>
      <c r="E69" s="125"/>
      <c r="F69" s="123"/>
      <c r="G69" s="123"/>
      <c r="H69" s="124"/>
      <c r="I69" s="124"/>
      <c r="J69" s="123"/>
      <c r="K69" s="124"/>
      <c r="L69" s="124"/>
      <c r="M69" s="129"/>
      <c r="N69" s="127" t="str">
        <f>IF(ISNA(VLOOKUP(Table3[[#This Row],[Ticket]],Table1[],17,FALSE)),"",VLOOKUP(Table3[[#This Row],[Ticket]],Table1[],17,FALSE))</f>
        <v/>
      </c>
      <c r="O69" s="128" t="str">
        <f>IF(Table3[[#This Row],[Actual End Date]]="","",TEXT(Table3[[#This Row],[Actual End Date]],"mmm-yy"))</f>
        <v/>
      </c>
      <c r="Q69" s="1"/>
    </row>
    <row r="70" spans="2:17">
      <c r="B70" s="125"/>
      <c r="C70" s="123"/>
      <c r="D70" s="123"/>
      <c r="E70" s="125"/>
      <c r="F70" s="123"/>
      <c r="G70" s="123"/>
      <c r="H70" s="124"/>
      <c r="I70" s="124"/>
      <c r="J70" s="123"/>
      <c r="K70" s="124"/>
      <c r="L70" s="124"/>
      <c r="M70" s="123"/>
      <c r="N70" s="127" t="str">
        <f>IF(ISNA(VLOOKUP(Table3[[#This Row],[Ticket]],Table1[],17,FALSE)),"",VLOOKUP(Table3[[#This Row],[Ticket]],Table1[],17,FALSE))</f>
        <v/>
      </c>
      <c r="O70" s="128" t="str">
        <f>IF(Table3[[#This Row],[Actual End Date]]="","",TEXT(Table3[[#This Row],[Actual End Date]],"mmm-yy"))</f>
        <v/>
      </c>
      <c r="Q70" s="1"/>
    </row>
    <row r="71" spans="2:17">
      <c r="B71" s="125"/>
      <c r="C71" s="123"/>
      <c r="D71" s="123"/>
      <c r="E71" s="125"/>
      <c r="F71" s="123"/>
      <c r="G71" s="123"/>
      <c r="H71" s="124"/>
      <c r="I71" s="124"/>
      <c r="J71" s="123"/>
      <c r="K71" s="124"/>
      <c r="L71" s="124"/>
      <c r="M71" s="129"/>
      <c r="N71" s="127" t="str">
        <f>IF(ISNA(VLOOKUP(Table3[[#This Row],[Ticket]],Table1[],17,FALSE)),"",VLOOKUP(Table3[[#This Row],[Ticket]],Table1[],17,FALSE))</f>
        <v/>
      </c>
      <c r="O71" s="128" t="str">
        <f>IF(Table3[[#This Row],[Actual End Date]]="","",TEXT(Table3[[#This Row],[Actual End Date]],"mmm-yy"))</f>
        <v/>
      </c>
      <c r="Q71" s="1"/>
    </row>
    <row r="72" spans="2:17">
      <c r="B72" s="125"/>
      <c r="C72" s="123"/>
      <c r="D72" s="123"/>
      <c r="E72" s="125"/>
      <c r="F72" s="123"/>
      <c r="G72" s="123"/>
      <c r="H72" s="124"/>
      <c r="I72" s="124"/>
      <c r="J72" s="123"/>
      <c r="K72" s="124"/>
      <c r="L72" s="124"/>
      <c r="M72" s="123"/>
      <c r="N72" s="127" t="str">
        <f>IF(ISNA(VLOOKUP(Table3[[#This Row],[Ticket]],Table1[],17,FALSE)),"",VLOOKUP(Table3[[#This Row],[Ticket]],Table1[],17,FALSE))</f>
        <v/>
      </c>
      <c r="O72" s="128" t="str">
        <f>IF(Table3[[#This Row],[Actual End Date]]="","",TEXT(Table3[[#This Row],[Actual End Date]],"mmm-yy"))</f>
        <v/>
      </c>
      <c r="Q72" s="1"/>
    </row>
    <row r="73" spans="2:17">
      <c r="B73" s="125"/>
      <c r="C73" s="123"/>
      <c r="D73" s="123"/>
      <c r="E73" s="123"/>
      <c r="F73" s="123"/>
      <c r="G73" s="126"/>
      <c r="H73" s="124"/>
      <c r="I73" s="124"/>
      <c r="J73" s="123"/>
      <c r="K73" s="124"/>
      <c r="L73" s="124"/>
      <c r="M73" s="129"/>
      <c r="N73" s="127" t="str">
        <f>IF(ISNA(VLOOKUP(Table3[[#This Row],[Ticket]],Table1[],17,FALSE)),"",VLOOKUP(Table3[[#This Row],[Ticket]],Table1[],17,FALSE))</f>
        <v/>
      </c>
      <c r="O73" s="128" t="str">
        <f>IF(Table3[[#This Row],[Actual End Date]]="","",TEXT(Table3[[#This Row],[Actual End Date]],"mmm-yy"))</f>
        <v/>
      </c>
      <c r="Q73" s="1"/>
    </row>
    <row r="74" spans="2:17">
      <c r="B74" s="125"/>
      <c r="C74" s="123"/>
      <c r="D74" s="123"/>
      <c r="E74" s="123"/>
      <c r="F74" s="123"/>
      <c r="G74" s="126"/>
      <c r="H74" s="124"/>
      <c r="I74" s="124"/>
      <c r="J74" s="123"/>
      <c r="K74" s="124"/>
      <c r="L74" s="124"/>
      <c r="M74" s="129"/>
      <c r="N74" s="127" t="str">
        <f>IF(ISNA(VLOOKUP(Table3[[#This Row],[Ticket]],Table1[],17,FALSE)),"",VLOOKUP(Table3[[#This Row],[Ticket]],Table1[],17,FALSE))</f>
        <v/>
      </c>
      <c r="O74" s="128" t="str">
        <f>IF(Table3[[#This Row],[Actual End Date]]="","",TEXT(Table3[[#This Row],[Actual End Date]],"mmm-yy"))</f>
        <v/>
      </c>
      <c r="Q74" s="1"/>
    </row>
    <row r="75" spans="2:17">
      <c r="B75" s="125"/>
      <c r="C75" s="123"/>
      <c r="D75" s="123"/>
      <c r="E75" s="123"/>
      <c r="F75" s="123"/>
      <c r="G75" s="126"/>
      <c r="H75" s="124"/>
      <c r="I75" s="124"/>
      <c r="J75" s="123"/>
      <c r="K75" s="124"/>
      <c r="L75" s="124"/>
      <c r="M75" s="129"/>
      <c r="N75" s="127" t="str">
        <f>IF(ISNA(VLOOKUP(Table3[[#This Row],[Ticket]],Table1[],17,FALSE)),"",VLOOKUP(Table3[[#This Row],[Ticket]],Table1[],17,FALSE))</f>
        <v/>
      </c>
      <c r="O75" s="128" t="str">
        <f>IF(Table3[[#This Row],[Actual End Date]]="","",TEXT(Table3[[#This Row],[Actual End Date]],"mmm-yy"))</f>
        <v/>
      </c>
      <c r="Q75" s="1"/>
    </row>
    <row r="76" spans="2:17">
      <c r="B76" s="125"/>
      <c r="C76" s="123"/>
      <c r="D76" s="123"/>
      <c r="E76" s="123"/>
      <c r="F76" s="123"/>
      <c r="G76" s="126"/>
      <c r="H76" s="124"/>
      <c r="I76" s="124"/>
      <c r="J76" s="123"/>
      <c r="K76" s="124"/>
      <c r="L76" s="124"/>
      <c r="M76" s="129"/>
      <c r="N76" s="127" t="str">
        <f>IF(ISNA(VLOOKUP(Table3[[#This Row],[Ticket]],Table1[],17,FALSE)),"",VLOOKUP(Table3[[#This Row],[Ticket]],Table1[],17,FALSE))</f>
        <v/>
      </c>
      <c r="O76" s="128" t="str">
        <f>IF(Table3[[#This Row],[Actual End Date]]="","",TEXT(Table3[[#This Row],[Actual End Date]],"mmm-yy"))</f>
        <v/>
      </c>
      <c r="Q76" s="1"/>
    </row>
    <row r="77" spans="2:17">
      <c r="B77" s="125"/>
      <c r="C77" s="123"/>
      <c r="D77" s="123"/>
      <c r="E77" s="125"/>
      <c r="F77" s="123"/>
      <c r="G77" s="123"/>
      <c r="H77" s="124"/>
      <c r="I77" s="124"/>
      <c r="J77" s="123"/>
      <c r="K77" s="124"/>
      <c r="L77" s="124"/>
      <c r="M77" s="129"/>
      <c r="N77" s="127" t="str">
        <f>IF(ISNA(VLOOKUP(Table3[[#This Row],[Ticket]],Table1[],17,FALSE)),"",VLOOKUP(Table3[[#This Row],[Ticket]],Table1[],17,FALSE))</f>
        <v/>
      </c>
      <c r="O77" s="128" t="str">
        <f>IF(Table3[[#This Row],[Actual End Date]]="","",TEXT(Table3[[#This Row],[Actual End Date]],"mmm-yy"))</f>
        <v/>
      </c>
      <c r="Q77" s="1"/>
    </row>
    <row r="78" spans="2:17">
      <c r="B78" s="125"/>
      <c r="C78" s="123"/>
      <c r="D78" s="123"/>
      <c r="E78" s="123"/>
      <c r="F78" s="123"/>
      <c r="G78" s="126"/>
      <c r="H78" s="124"/>
      <c r="I78" s="124"/>
      <c r="J78" s="123"/>
      <c r="K78" s="124"/>
      <c r="L78" s="124"/>
      <c r="M78" s="129"/>
      <c r="N78" s="127" t="str">
        <f>IF(ISNA(VLOOKUP(Table3[[#This Row],[Ticket]],Table1[],17,FALSE)),"",VLOOKUP(Table3[[#This Row],[Ticket]],Table1[],17,FALSE))</f>
        <v/>
      </c>
      <c r="O78" s="128" t="str">
        <f>IF(Table3[[#This Row],[Actual End Date]]="","",TEXT(Table3[[#This Row],[Actual End Date]],"mmm-yy"))</f>
        <v/>
      </c>
      <c r="Q78" s="1"/>
    </row>
    <row r="79" spans="2:17">
      <c r="B79" s="125"/>
      <c r="C79" s="123"/>
      <c r="D79" s="123"/>
      <c r="E79" s="123"/>
      <c r="F79" s="123"/>
      <c r="G79" s="126"/>
      <c r="H79" s="124"/>
      <c r="I79" s="124"/>
      <c r="J79" s="123"/>
      <c r="K79" s="124"/>
      <c r="L79" s="124"/>
      <c r="M79" s="129"/>
      <c r="N79" s="127" t="str">
        <f>IF(ISNA(VLOOKUP(Table3[[#This Row],[Ticket]],Table1[],17,FALSE)),"",VLOOKUP(Table3[[#This Row],[Ticket]],Table1[],17,FALSE))</f>
        <v/>
      </c>
      <c r="O79" s="128" t="str">
        <f>IF(Table3[[#This Row],[Actual End Date]]="","",TEXT(Table3[[#This Row],[Actual End Date]],"mmm-yy"))</f>
        <v/>
      </c>
      <c r="Q79" s="1"/>
    </row>
    <row r="80" spans="2:17">
      <c r="B80" s="125"/>
      <c r="C80" s="123"/>
      <c r="D80" s="123"/>
      <c r="E80" s="125"/>
      <c r="F80" s="123"/>
      <c r="G80" s="123"/>
      <c r="H80" s="124"/>
      <c r="I80" s="124"/>
      <c r="J80" s="123"/>
      <c r="K80" s="124"/>
      <c r="L80" s="124"/>
      <c r="M80" s="129"/>
      <c r="N80" s="127" t="str">
        <f>IF(ISNA(VLOOKUP(Table3[[#This Row],[Ticket]],Table1[],17,FALSE)),"",VLOOKUP(Table3[[#This Row],[Ticket]],Table1[],17,FALSE))</f>
        <v/>
      </c>
      <c r="O80" s="128" t="str">
        <f>IF(Table3[[#This Row],[Actual End Date]]="","",TEXT(Table3[[#This Row],[Actual End Date]],"mmm-yy"))</f>
        <v/>
      </c>
      <c r="Q80" s="1"/>
    </row>
    <row r="81" spans="2:17">
      <c r="B81" s="125"/>
      <c r="C81" s="123"/>
      <c r="D81" s="123"/>
      <c r="E81" s="123"/>
      <c r="F81" s="123"/>
      <c r="G81" s="126"/>
      <c r="H81" s="124"/>
      <c r="I81" s="124"/>
      <c r="J81" s="123"/>
      <c r="K81" s="124"/>
      <c r="L81" s="124"/>
      <c r="M81" s="129"/>
      <c r="N81" s="127" t="str">
        <f>IF(ISNA(VLOOKUP(Table3[[#This Row],[Ticket]],Table1[],17,FALSE)),"",VLOOKUP(Table3[[#This Row],[Ticket]],Table1[],17,FALSE))</f>
        <v/>
      </c>
      <c r="O81" s="128" t="str">
        <f>IF(Table3[[#This Row],[Actual End Date]]="","",TEXT(Table3[[#This Row],[Actual End Date]],"mmm-yy"))</f>
        <v/>
      </c>
      <c r="Q81" s="1"/>
    </row>
    <row r="82" spans="2:17">
      <c r="B82" s="125"/>
      <c r="C82" s="123"/>
      <c r="D82" s="123"/>
      <c r="E82" s="125"/>
      <c r="F82" s="123"/>
      <c r="G82" s="123"/>
      <c r="H82" s="124"/>
      <c r="I82" s="124"/>
      <c r="J82" s="123"/>
      <c r="K82" s="124"/>
      <c r="L82" s="124"/>
      <c r="M82" s="129"/>
      <c r="N82" s="127" t="str">
        <f>IF(ISNA(VLOOKUP(Table3[[#This Row],[Ticket]],Table1[],17,FALSE)),"",VLOOKUP(Table3[[#This Row],[Ticket]],Table1[],17,FALSE))</f>
        <v/>
      </c>
      <c r="O82" s="128" t="str">
        <f>IF(Table3[[#This Row],[Actual End Date]]="","",TEXT(Table3[[#This Row],[Actual End Date]],"mmm-yy"))</f>
        <v/>
      </c>
      <c r="Q82" s="1"/>
    </row>
    <row r="83" spans="2:17">
      <c r="B83" s="125"/>
      <c r="C83" s="123"/>
      <c r="D83" s="123"/>
      <c r="E83" s="125"/>
      <c r="F83" s="123"/>
      <c r="G83" s="123"/>
      <c r="H83" s="124"/>
      <c r="I83" s="124"/>
      <c r="J83" s="123"/>
      <c r="K83" s="124"/>
      <c r="L83" s="124"/>
      <c r="M83" s="123"/>
      <c r="N83" s="127" t="str">
        <f>IF(ISNA(VLOOKUP(Table3[[#This Row],[Ticket]],Table1[],17,FALSE)),"",VLOOKUP(Table3[[#This Row],[Ticket]],Table1[],17,FALSE))</f>
        <v/>
      </c>
      <c r="O83" s="128" t="str">
        <f>IF(Table3[[#This Row],[Actual End Date]]="","",TEXT(Table3[[#This Row],[Actual End Date]],"mmm-yy"))</f>
        <v/>
      </c>
      <c r="Q83" s="1"/>
    </row>
    <row r="84" spans="2:17">
      <c r="B84" s="125"/>
      <c r="C84" s="123"/>
      <c r="D84" s="123"/>
      <c r="E84" s="125"/>
      <c r="F84" s="123"/>
      <c r="G84" s="123"/>
      <c r="H84" s="124"/>
      <c r="I84" s="124"/>
      <c r="J84" s="123"/>
      <c r="K84" s="124"/>
      <c r="L84" s="124"/>
      <c r="M84" s="129"/>
      <c r="N84" s="127" t="str">
        <f>IF(ISNA(VLOOKUP(Table3[[#This Row],[Ticket]],Table1[],17,FALSE)),"",VLOOKUP(Table3[[#This Row],[Ticket]],Table1[],17,FALSE))</f>
        <v/>
      </c>
      <c r="O84" s="128" t="str">
        <f>IF(Table3[[#This Row],[Actual End Date]]="","",TEXT(Table3[[#This Row],[Actual End Date]],"mmm-yy"))</f>
        <v/>
      </c>
      <c r="Q84" s="1"/>
    </row>
    <row r="85" spans="2:17">
      <c r="B85" s="125"/>
      <c r="C85" s="123"/>
      <c r="D85" s="123"/>
      <c r="E85" s="125"/>
      <c r="F85" s="123"/>
      <c r="G85" s="123"/>
      <c r="H85" s="124"/>
      <c r="I85" s="124"/>
      <c r="J85" s="123"/>
      <c r="K85" s="124"/>
      <c r="L85" s="124"/>
      <c r="M85" s="129"/>
      <c r="N85" s="127" t="str">
        <f>IF(ISNA(VLOOKUP(Table3[[#This Row],[Ticket]],Table1[],17,FALSE)),"",VLOOKUP(Table3[[#This Row],[Ticket]],Table1[],17,FALSE))</f>
        <v/>
      </c>
      <c r="O85" s="128" t="str">
        <f>IF(Table3[[#This Row],[Actual End Date]]="","",TEXT(Table3[[#This Row],[Actual End Date]],"mmm-yy"))</f>
        <v/>
      </c>
      <c r="Q85" s="1"/>
    </row>
    <row r="86" spans="2:17">
      <c r="B86" s="125"/>
      <c r="C86" s="123"/>
      <c r="D86" s="123"/>
      <c r="E86" s="125"/>
      <c r="F86" s="123"/>
      <c r="G86" s="123"/>
      <c r="H86" s="124"/>
      <c r="I86" s="124"/>
      <c r="J86" s="123"/>
      <c r="K86" s="124"/>
      <c r="L86" s="124"/>
      <c r="M86" s="129"/>
      <c r="N86" s="127" t="str">
        <f>IF(ISNA(VLOOKUP(Table3[[#This Row],[Ticket]],Table1[],17,FALSE)),"",VLOOKUP(Table3[[#This Row],[Ticket]],Table1[],17,FALSE))</f>
        <v/>
      </c>
      <c r="O86" s="128" t="str">
        <f>IF(Table3[[#This Row],[Actual End Date]]="","",TEXT(Table3[[#This Row],[Actual End Date]],"mmm-yy"))</f>
        <v/>
      </c>
      <c r="Q86" s="1"/>
    </row>
    <row r="87" spans="2:17">
      <c r="B87" s="125"/>
      <c r="C87" s="123"/>
      <c r="D87" s="123"/>
      <c r="E87" s="125"/>
      <c r="F87" s="123"/>
      <c r="G87" s="123"/>
      <c r="H87" s="124"/>
      <c r="I87" s="124"/>
      <c r="J87" s="123"/>
      <c r="K87" s="124"/>
      <c r="L87" s="124"/>
      <c r="M87" s="129"/>
      <c r="N87" s="127" t="str">
        <f>IF(ISNA(VLOOKUP(Table3[[#This Row],[Ticket]],Table1[],17,FALSE)),"",VLOOKUP(Table3[[#This Row],[Ticket]],Table1[],17,FALSE))</f>
        <v/>
      </c>
      <c r="O87" s="128" t="str">
        <f>IF(Table3[[#This Row],[Actual End Date]]="","",TEXT(Table3[[#This Row],[Actual End Date]],"mmm-yy"))</f>
        <v/>
      </c>
      <c r="Q87" s="1"/>
    </row>
    <row r="88" spans="2:17">
      <c r="B88" s="125"/>
      <c r="C88" s="123"/>
      <c r="D88" s="123"/>
      <c r="E88" s="125"/>
      <c r="F88" s="123"/>
      <c r="G88" s="123"/>
      <c r="H88" s="124"/>
      <c r="I88" s="124"/>
      <c r="J88" s="123"/>
      <c r="K88" s="124"/>
      <c r="L88" s="124"/>
      <c r="M88" s="129"/>
      <c r="N88" s="127" t="str">
        <f>IF(ISNA(VLOOKUP(Table3[[#This Row],[Ticket]],Table1[],17,FALSE)),"",VLOOKUP(Table3[[#This Row],[Ticket]],Table1[],17,FALSE))</f>
        <v/>
      </c>
      <c r="O88" s="128" t="str">
        <f>IF(Table3[[#This Row],[Actual End Date]]="","",TEXT(Table3[[#This Row],[Actual End Date]],"mmm-yy"))</f>
        <v/>
      </c>
      <c r="Q88" s="1"/>
    </row>
    <row r="89" spans="2:17">
      <c r="B89" s="125"/>
      <c r="C89" s="123"/>
      <c r="D89" s="123"/>
      <c r="E89" s="125"/>
      <c r="F89" s="123"/>
      <c r="G89" s="123"/>
      <c r="H89" s="124"/>
      <c r="I89" s="124"/>
      <c r="J89" s="123"/>
      <c r="K89" s="124"/>
      <c r="L89" s="124"/>
      <c r="M89" s="129"/>
      <c r="N89" s="127" t="str">
        <f>IF(ISNA(VLOOKUP(Table3[[#This Row],[Ticket]],Table1[],17,FALSE)),"",VLOOKUP(Table3[[#This Row],[Ticket]],Table1[],17,FALSE))</f>
        <v/>
      </c>
      <c r="O89" s="128" t="str">
        <f>IF(Table3[[#This Row],[Actual End Date]]="","",TEXT(Table3[[#This Row],[Actual End Date]],"mmm-yy"))</f>
        <v/>
      </c>
      <c r="Q89" s="1"/>
    </row>
    <row r="90" spans="2:17">
      <c r="B90" s="125"/>
      <c r="C90" s="123"/>
      <c r="D90" s="123"/>
      <c r="E90" s="123"/>
      <c r="F90" s="123"/>
      <c r="G90" s="123"/>
      <c r="H90" s="124"/>
      <c r="I90" s="124"/>
      <c r="J90" s="123"/>
      <c r="K90" s="124"/>
      <c r="L90" s="124"/>
      <c r="M90" s="129"/>
      <c r="N90" s="127" t="str">
        <f>IF(ISNA(VLOOKUP(Table3[[#This Row],[Ticket]],Table1[],17,FALSE)),"",VLOOKUP(Table3[[#This Row],[Ticket]],Table1[],17,FALSE))</f>
        <v/>
      </c>
      <c r="O90" s="128" t="str">
        <f>IF(Table3[[#This Row],[Actual End Date]]="","",TEXT(Table3[[#This Row],[Actual End Date]],"mmm-yy"))</f>
        <v/>
      </c>
      <c r="Q90" s="1"/>
    </row>
    <row r="91" spans="2:17">
      <c r="B91" s="125"/>
      <c r="C91" s="123"/>
      <c r="D91" s="123"/>
      <c r="E91" s="125"/>
      <c r="F91" s="123"/>
      <c r="G91" s="123"/>
      <c r="H91" s="124"/>
      <c r="I91" s="124"/>
      <c r="J91" s="123"/>
      <c r="K91" s="124"/>
      <c r="L91" s="124"/>
      <c r="M91" s="129"/>
      <c r="N91" s="127" t="str">
        <f>IF(ISNA(VLOOKUP(Table3[[#This Row],[Ticket]],Table1[],17,FALSE)),"",VLOOKUP(Table3[[#This Row],[Ticket]],Table1[],17,FALSE))</f>
        <v/>
      </c>
      <c r="O91" s="128" t="str">
        <f>IF(Table3[[#This Row],[Actual End Date]]="","",TEXT(Table3[[#This Row],[Actual End Date]],"mmm-yy"))</f>
        <v/>
      </c>
      <c r="Q91" s="1"/>
    </row>
    <row r="92" spans="2:17">
      <c r="B92" s="125"/>
      <c r="C92" s="123"/>
      <c r="D92" s="123"/>
      <c r="E92" s="125"/>
      <c r="F92" s="123"/>
      <c r="G92" s="123"/>
      <c r="H92" s="124"/>
      <c r="I92" s="124"/>
      <c r="J92" s="123"/>
      <c r="K92" s="124"/>
      <c r="L92" s="124"/>
      <c r="M92" s="129"/>
      <c r="N92" s="127" t="str">
        <f>IF(ISNA(VLOOKUP(Table3[[#This Row],[Ticket]],Table1[],17,FALSE)),"",VLOOKUP(Table3[[#This Row],[Ticket]],Table1[],17,FALSE))</f>
        <v/>
      </c>
      <c r="O92" s="128" t="str">
        <f>IF(Table3[[#This Row],[Actual End Date]]="","",TEXT(Table3[[#This Row],[Actual End Date]],"mmm-yy"))</f>
        <v/>
      </c>
      <c r="Q92" s="1"/>
    </row>
    <row r="93" spans="2:17">
      <c r="B93" s="125"/>
      <c r="C93" s="123"/>
      <c r="D93" s="123"/>
      <c r="E93" s="123"/>
      <c r="F93" s="123"/>
      <c r="G93" s="123"/>
      <c r="H93" s="124"/>
      <c r="I93" s="124"/>
      <c r="J93" s="123"/>
      <c r="K93" s="124"/>
      <c r="L93" s="124"/>
      <c r="M93" s="129"/>
      <c r="N93" s="127" t="str">
        <f>IF(ISNA(VLOOKUP(Table3[[#This Row],[Ticket]],Table1[],17,FALSE)),"",VLOOKUP(Table3[[#This Row],[Ticket]],Table1[],17,FALSE))</f>
        <v/>
      </c>
      <c r="O93" s="128" t="str">
        <f>IF(Table3[[#This Row],[Actual End Date]]="","",TEXT(Table3[[#This Row],[Actual End Date]],"mmm-yy"))</f>
        <v/>
      </c>
      <c r="Q93" s="1"/>
    </row>
    <row r="94" spans="2:17">
      <c r="B94" s="125"/>
      <c r="C94" s="123"/>
      <c r="D94" s="123"/>
      <c r="E94" s="125"/>
      <c r="F94" s="123"/>
      <c r="G94" s="123"/>
      <c r="H94" s="124"/>
      <c r="I94" s="124"/>
      <c r="J94" s="123"/>
      <c r="K94" s="124"/>
      <c r="L94" s="124"/>
      <c r="M94" s="129"/>
      <c r="N94" s="127" t="str">
        <f>IF(ISNA(VLOOKUP(Table3[[#This Row],[Ticket]],Table1[],17,FALSE)),"",VLOOKUP(Table3[[#This Row],[Ticket]],Table1[],17,FALSE))</f>
        <v/>
      </c>
      <c r="O94" s="128" t="str">
        <f>IF(Table3[[#This Row],[Actual End Date]]="","",TEXT(Table3[[#This Row],[Actual End Date]],"mmm-yy"))</f>
        <v/>
      </c>
      <c r="Q94" s="1"/>
    </row>
    <row r="95" spans="2:17">
      <c r="B95" s="125"/>
      <c r="C95" s="123"/>
      <c r="D95" s="123"/>
      <c r="E95" s="123"/>
      <c r="F95" s="123"/>
      <c r="G95" s="123"/>
      <c r="H95" s="124"/>
      <c r="I95" s="124"/>
      <c r="J95" s="123"/>
      <c r="K95" s="124"/>
      <c r="L95" s="124"/>
      <c r="M95" s="129"/>
      <c r="N95" s="127" t="str">
        <f>IF(ISNA(VLOOKUP(Table3[[#This Row],[Ticket]],Table1[],17,FALSE)),"",VLOOKUP(Table3[[#This Row],[Ticket]],Table1[],17,FALSE))</f>
        <v/>
      </c>
      <c r="O95" s="128" t="str">
        <f>IF(Table3[[#This Row],[Actual End Date]]="","",TEXT(Table3[[#This Row],[Actual End Date]],"mmm-yy"))</f>
        <v/>
      </c>
      <c r="Q95" s="1"/>
    </row>
    <row r="96" spans="2:17">
      <c r="B96" s="125"/>
      <c r="C96" s="123"/>
      <c r="D96" s="123"/>
      <c r="E96" s="125"/>
      <c r="F96" s="123"/>
      <c r="G96" s="123"/>
      <c r="H96" s="124"/>
      <c r="I96" s="124"/>
      <c r="J96" s="123"/>
      <c r="K96" s="124"/>
      <c r="L96" s="124"/>
      <c r="M96" s="129"/>
      <c r="N96" s="127" t="str">
        <f>IF(ISNA(VLOOKUP(Table3[[#This Row],[Ticket]],Table1[],17,FALSE)),"",VLOOKUP(Table3[[#This Row],[Ticket]],Table1[],17,FALSE))</f>
        <v/>
      </c>
      <c r="O96" s="128" t="str">
        <f>IF(Table3[[#This Row],[Actual End Date]]="","",TEXT(Table3[[#This Row],[Actual End Date]],"mmm-yy"))</f>
        <v/>
      </c>
      <c r="Q96" s="1"/>
    </row>
    <row r="97" spans="2:17">
      <c r="B97" s="125"/>
      <c r="C97" s="123"/>
      <c r="D97" s="123"/>
      <c r="E97" s="125"/>
      <c r="F97" s="123"/>
      <c r="G97" s="123"/>
      <c r="H97" s="124"/>
      <c r="I97" s="124"/>
      <c r="J97" s="123"/>
      <c r="K97" s="124"/>
      <c r="L97" s="124"/>
      <c r="M97" s="129"/>
      <c r="N97" s="127" t="str">
        <f>IF(ISNA(VLOOKUP(Table3[[#This Row],[Ticket]],Table1[],17,FALSE)),"",VLOOKUP(Table3[[#This Row],[Ticket]],Table1[],17,FALSE))</f>
        <v/>
      </c>
      <c r="O97" s="128" t="str">
        <f>IF(Table3[[#This Row],[Actual End Date]]="","",TEXT(Table3[[#This Row],[Actual End Date]],"mmm-yy"))</f>
        <v/>
      </c>
      <c r="Q97" s="1"/>
    </row>
    <row r="98" spans="2:17">
      <c r="B98" s="125"/>
      <c r="C98" s="123"/>
      <c r="D98" s="123"/>
      <c r="E98" s="123"/>
      <c r="F98" s="123"/>
      <c r="G98" s="123"/>
      <c r="H98" s="124"/>
      <c r="I98" s="124"/>
      <c r="J98" s="123"/>
      <c r="K98" s="124"/>
      <c r="L98" s="124"/>
      <c r="M98" s="129"/>
      <c r="N98" s="127" t="str">
        <f>IF(ISNA(VLOOKUP(Table3[[#This Row],[Ticket]],Table1[],17,FALSE)),"",VLOOKUP(Table3[[#This Row],[Ticket]],Table1[],17,FALSE))</f>
        <v/>
      </c>
      <c r="O98" s="128" t="str">
        <f>IF(Table3[[#This Row],[Actual End Date]]="","",TEXT(Table3[[#This Row],[Actual End Date]],"mmm-yy"))</f>
        <v/>
      </c>
      <c r="Q98" s="1"/>
    </row>
    <row r="99" spans="2:17">
      <c r="B99" s="125"/>
      <c r="C99" s="123"/>
      <c r="D99" s="123"/>
      <c r="E99" s="123"/>
      <c r="F99" s="123"/>
      <c r="G99" s="123"/>
      <c r="H99" s="124"/>
      <c r="I99" s="124"/>
      <c r="J99" s="123"/>
      <c r="K99" s="124"/>
      <c r="L99" s="124"/>
      <c r="M99" s="129"/>
      <c r="N99" s="127" t="str">
        <f>IF(ISNA(VLOOKUP(Table3[[#This Row],[Ticket]],Table1[],17,FALSE)),"",VLOOKUP(Table3[[#This Row],[Ticket]],Table1[],17,FALSE))</f>
        <v/>
      </c>
      <c r="O99" s="128" t="str">
        <f>IF(Table3[[#This Row],[Actual End Date]]="","",TEXT(Table3[[#This Row],[Actual End Date]],"mmm-yy"))</f>
        <v/>
      </c>
      <c r="Q99" s="1"/>
    </row>
    <row r="100" spans="2:17">
      <c r="B100" s="125"/>
      <c r="C100" s="123"/>
      <c r="D100" s="123"/>
      <c r="E100" s="125"/>
      <c r="F100" s="123"/>
      <c r="G100" s="123"/>
      <c r="H100" s="124"/>
      <c r="I100" s="124"/>
      <c r="J100" s="123"/>
      <c r="K100" s="124"/>
      <c r="L100" s="124"/>
      <c r="M100" s="129"/>
      <c r="N100" s="127" t="str">
        <f>IF(ISNA(VLOOKUP(Table3[[#This Row],[Ticket]],Table1[],17,FALSE)),"",VLOOKUP(Table3[[#This Row],[Ticket]],Table1[],17,FALSE))</f>
        <v/>
      </c>
      <c r="O100" s="128" t="str">
        <f>IF(Table3[[#This Row],[Actual End Date]]="","",TEXT(Table3[[#This Row],[Actual End Date]],"mmm-yy"))</f>
        <v/>
      </c>
      <c r="Q100" s="1"/>
    </row>
    <row r="101" spans="2:17">
      <c r="B101" s="125"/>
      <c r="C101" s="123"/>
      <c r="D101" s="123"/>
      <c r="E101" s="125"/>
      <c r="F101" s="123"/>
      <c r="G101" s="123"/>
      <c r="H101" s="124"/>
      <c r="I101" s="124"/>
      <c r="J101" s="123"/>
      <c r="K101" s="124"/>
      <c r="L101" s="124"/>
      <c r="M101" s="129"/>
      <c r="N101" s="127" t="str">
        <f>IF(ISNA(VLOOKUP(Table3[[#This Row],[Ticket]],Table1[],17,FALSE)),"",VLOOKUP(Table3[[#This Row],[Ticket]],Table1[],17,FALSE))</f>
        <v/>
      </c>
      <c r="O101" s="128" t="str">
        <f>IF(Table3[[#This Row],[Actual End Date]]="","",TEXT(Table3[[#This Row],[Actual End Date]],"mmm-yy"))</f>
        <v/>
      </c>
      <c r="Q101" s="1"/>
    </row>
    <row r="102" spans="2:17">
      <c r="B102" s="125"/>
      <c r="C102" s="123"/>
      <c r="D102" s="123"/>
      <c r="E102" s="123"/>
      <c r="F102" s="123"/>
      <c r="G102" s="123"/>
      <c r="H102" s="124"/>
      <c r="I102" s="124"/>
      <c r="J102" s="123"/>
      <c r="K102" s="124"/>
      <c r="L102" s="124"/>
      <c r="M102" s="129"/>
      <c r="N102" s="127" t="str">
        <f>IF(ISNA(VLOOKUP(Table3[[#This Row],[Ticket]],Table1[],17,FALSE)),"",VLOOKUP(Table3[[#This Row],[Ticket]],Table1[],17,FALSE))</f>
        <v/>
      </c>
      <c r="O102" s="128" t="str">
        <f>IF(Table3[[#This Row],[Actual End Date]]="","",TEXT(Table3[[#This Row],[Actual End Date]],"mmm-yy"))</f>
        <v/>
      </c>
      <c r="Q102" s="1"/>
    </row>
    <row r="103" spans="2:17">
      <c r="B103" s="125"/>
      <c r="C103" s="123"/>
      <c r="D103" s="123"/>
      <c r="E103" s="123"/>
      <c r="F103" s="123"/>
      <c r="G103" s="123"/>
      <c r="H103" s="124"/>
      <c r="I103" s="124"/>
      <c r="J103" s="123"/>
      <c r="K103" s="124"/>
      <c r="L103" s="124"/>
      <c r="M103" s="129"/>
      <c r="N103" s="127" t="str">
        <f>IF(ISNA(VLOOKUP(Table3[[#This Row],[Ticket]],Table1[],17,FALSE)),"",VLOOKUP(Table3[[#This Row],[Ticket]],Table1[],17,FALSE))</f>
        <v/>
      </c>
      <c r="O103" s="128" t="str">
        <f>IF(Table3[[#This Row],[Actual End Date]]="","",TEXT(Table3[[#This Row],[Actual End Date]],"mmm-yy"))</f>
        <v/>
      </c>
      <c r="Q103" s="1"/>
    </row>
    <row r="104" spans="2:17">
      <c r="B104" s="125"/>
      <c r="C104" s="123"/>
      <c r="D104" s="123"/>
      <c r="E104" s="125"/>
      <c r="F104" s="123"/>
      <c r="G104" s="123"/>
      <c r="H104" s="124"/>
      <c r="I104" s="124"/>
      <c r="J104" s="123"/>
      <c r="K104" s="124"/>
      <c r="L104" s="124"/>
      <c r="M104" s="129"/>
      <c r="N104" s="127" t="str">
        <f>IF(ISNA(VLOOKUP(Table3[[#This Row],[Ticket]],Table1[],17,FALSE)),"",VLOOKUP(Table3[[#This Row],[Ticket]],Table1[],17,FALSE))</f>
        <v/>
      </c>
      <c r="O104" s="128" t="str">
        <f>IF(Table3[[#This Row],[Actual End Date]]="","",TEXT(Table3[[#This Row],[Actual End Date]],"mmm-yy"))</f>
        <v/>
      </c>
      <c r="Q104" s="1"/>
    </row>
    <row r="105" spans="2:17">
      <c r="B105" s="125"/>
      <c r="C105" s="123"/>
      <c r="D105" s="123"/>
      <c r="E105" s="125"/>
      <c r="F105" s="123"/>
      <c r="G105" s="123"/>
      <c r="H105" s="124"/>
      <c r="I105" s="124"/>
      <c r="J105" s="123"/>
      <c r="K105" s="124"/>
      <c r="L105" s="124"/>
      <c r="M105" s="129"/>
      <c r="N105" s="127" t="str">
        <f>IF(ISNA(VLOOKUP(Table3[[#This Row],[Ticket]],Table1[],17,FALSE)),"",VLOOKUP(Table3[[#This Row],[Ticket]],Table1[],17,FALSE))</f>
        <v/>
      </c>
      <c r="O105" s="128" t="str">
        <f>IF(Table3[[#This Row],[Actual End Date]]="","",TEXT(Table3[[#This Row],[Actual End Date]],"mmm-yy"))</f>
        <v/>
      </c>
      <c r="Q105" s="1"/>
    </row>
    <row r="106" spans="2:17">
      <c r="B106" s="125"/>
      <c r="C106" s="123"/>
      <c r="D106" s="123"/>
      <c r="E106" s="125"/>
      <c r="F106" s="123"/>
      <c r="G106" s="123"/>
      <c r="H106" s="124"/>
      <c r="I106" s="124"/>
      <c r="J106" s="123"/>
      <c r="K106" s="124"/>
      <c r="L106" s="124"/>
      <c r="M106" s="129"/>
      <c r="N106" s="127" t="str">
        <f>IF(ISNA(VLOOKUP(Table3[[#This Row],[Ticket]],Table1[],17,FALSE)),"",VLOOKUP(Table3[[#This Row],[Ticket]],Table1[],17,FALSE))</f>
        <v/>
      </c>
      <c r="O106" s="128" t="str">
        <f>IF(Table3[[#This Row],[Actual End Date]]="","",TEXT(Table3[[#This Row],[Actual End Date]],"mmm-yy"))</f>
        <v/>
      </c>
      <c r="Q106" s="1"/>
    </row>
    <row r="107" spans="2:17">
      <c r="B107" s="125"/>
      <c r="C107" s="123"/>
      <c r="D107" s="123"/>
      <c r="E107" s="125"/>
      <c r="F107" s="123"/>
      <c r="G107" s="123"/>
      <c r="H107" s="124"/>
      <c r="I107" s="124"/>
      <c r="J107" s="123"/>
      <c r="K107" s="124"/>
      <c r="L107" s="124"/>
      <c r="M107" s="129"/>
      <c r="N107" s="127" t="str">
        <f>IF(ISNA(VLOOKUP(Table3[[#This Row],[Ticket]],Table1[],17,FALSE)),"",VLOOKUP(Table3[[#This Row],[Ticket]],Table1[],17,FALSE))</f>
        <v/>
      </c>
      <c r="O107" s="128" t="str">
        <f>IF(Table3[[#This Row],[Actual End Date]]="","",TEXT(Table3[[#This Row],[Actual End Date]],"mmm-yy"))</f>
        <v/>
      </c>
      <c r="Q107" s="1"/>
    </row>
    <row r="108" spans="2:17">
      <c r="B108" s="125"/>
      <c r="C108" s="123"/>
      <c r="D108" s="123"/>
      <c r="E108" s="123"/>
      <c r="F108" s="123"/>
      <c r="G108" s="123"/>
      <c r="H108" s="124"/>
      <c r="I108" s="124"/>
      <c r="J108" s="123"/>
      <c r="K108" s="124"/>
      <c r="L108" s="124"/>
      <c r="M108" s="129"/>
      <c r="N108" s="127" t="str">
        <f>IF(ISNA(VLOOKUP(Table3[[#This Row],[Ticket]],Table1[],17,FALSE)),"",VLOOKUP(Table3[[#This Row],[Ticket]],Table1[],17,FALSE))</f>
        <v/>
      </c>
      <c r="O108" s="128" t="str">
        <f>IF(Table3[[#This Row],[Actual End Date]]="","",TEXT(Table3[[#This Row],[Actual End Date]],"mmm-yy"))</f>
        <v/>
      </c>
      <c r="Q108" s="1"/>
    </row>
    <row r="109" spans="2:17">
      <c r="B109" s="125"/>
      <c r="C109" s="123"/>
      <c r="D109" s="123"/>
      <c r="E109" s="123"/>
      <c r="F109" s="123"/>
      <c r="G109" s="123"/>
      <c r="H109" s="124"/>
      <c r="I109" s="124"/>
      <c r="J109" s="123"/>
      <c r="K109" s="124"/>
      <c r="L109" s="124"/>
      <c r="M109" s="129"/>
      <c r="N109" s="127" t="str">
        <f>IF(ISNA(VLOOKUP(Table3[[#This Row],[Ticket]],Table1[],17,FALSE)),"",VLOOKUP(Table3[[#This Row],[Ticket]],Table1[],17,FALSE))</f>
        <v/>
      </c>
      <c r="O109" s="128" t="str">
        <f>IF(Table3[[#This Row],[Actual End Date]]="","",TEXT(Table3[[#This Row],[Actual End Date]],"mmm-yy"))</f>
        <v/>
      </c>
      <c r="Q109" s="1"/>
    </row>
    <row r="110" spans="2:17">
      <c r="B110" s="125"/>
      <c r="C110" s="123"/>
      <c r="D110" s="123"/>
      <c r="E110" s="125"/>
      <c r="F110" s="123"/>
      <c r="G110" s="123"/>
      <c r="H110" s="124"/>
      <c r="I110" s="124"/>
      <c r="J110" s="123"/>
      <c r="K110" s="124"/>
      <c r="L110" s="124"/>
      <c r="M110" s="129"/>
      <c r="N110" s="127" t="str">
        <f>IF(ISNA(VLOOKUP(Table3[[#This Row],[Ticket]],Table1[],17,FALSE)),"",VLOOKUP(Table3[[#This Row],[Ticket]],Table1[],17,FALSE))</f>
        <v/>
      </c>
      <c r="O110" s="128" t="str">
        <f>IF(Table3[[#This Row],[Actual End Date]]="","",TEXT(Table3[[#This Row],[Actual End Date]],"mmm-yy"))</f>
        <v/>
      </c>
      <c r="Q110" s="1"/>
    </row>
    <row r="111" spans="2:17">
      <c r="B111" s="125"/>
      <c r="C111" s="123"/>
      <c r="D111" s="123"/>
      <c r="E111" s="125"/>
      <c r="F111" s="123"/>
      <c r="G111" s="123"/>
      <c r="H111" s="124"/>
      <c r="I111" s="124"/>
      <c r="J111" s="123"/>
      <c r="K111" s="124"/>
      <c r="L111" s="124"/>
      <c r="M111" s="129"/>
      <c r="N111" s="127" t="str">
        <f>IF(ISNA(VLOOKUP(Table3[[#This Row],[Ticket]],Table1[],17,FALSE)),"",VLOOKUP(Table3[[#This Row],[Ticket]],Table1[],17,FALSE))</f>
        <v/>
      </c>
      <c r="O111" s="128" t="str">
        <f>IF(Table3[[#This Row],[Actual End Date]]="","",TEXT(Table3[[#This Row],[Actual End Date]],"mmm-yy"))</f>
        <v/>
      </c>
      <c r="Q111" s="1"/>
    </row>
    <row r="112" spans="2:17">
      <c r="B112" s="125"/>
      <c r="C112" s="123"/>
      <c r="D112" s="123"/>
      <c r="E112" s="125"/>
      <c r="F112" s="123"/>
      <c r="G112" s="123"/>
      <c r="H112" s="124"/>
      <c r="I112" s="124"/>
      <c r="J112" s="123"/>
      <c r="K112" s="124"/>
      <c r="L112" s="124"/>
      <c r="M112" s="129"/>
      <c r="N112" s="127"/>
      <c r="O112" s="128" t="str">
        <f>IF(Table3[[#This Row],[Actual End Date]]="","",TEXT(Table3[[#This Row],[Actual End Date]],"mmm-yy"))</f>
        <v/>
      </c>
      <c r="Q112" s="1"/>
    </row>
    <row r="113" spans="2:17">
      <c r="B113" s="125"/>
      <c r="C113" s="123"/>
      <c r="D113" s="123"/>
      <c r="E113" s="123"/>
      <c r="F113" s="123"/>
      <c r="G113" s="123"/>
      <c r="H113" s="124"/>
      <c r="I113" s="124"/>
      <c r="J113" s="123"/>
      <c r="K113" s="124"/>
      <c r="L113" s="124"/>
      <c r="M113" s="129"/>
      <c r="N113" s="127"/>
      <c r="O113" s="128" t="str">
        <f>IF(Table3[[#This Row],[Actual End Date]]="","",TEXT(Table3[[#This Row],[Actual End Date]],"mmm-yy"))</f>
        <v/>
      </c>
      <c r="Q113" s="1"/>
    </row>
    <row r="114" spans="2:17">
      <c r="B114" s="125"/>
      <c r="C114" s="123"/>
      <c r="D114" s="123"/>
      <c r="E114" s="123"/>
      <c r="F114" s="123"/>
      <c r="G114" s="123"/>
      <c r="H114" s="124"/>
      <c r="I114" s="124"/>
      <c r="J114" s="123"/>
      <c r="K114" s="124"/>
      <c r="L114" s="124"/>
      <c r="M114" s="129"/>
      <c r="N114" s="127"/>
      <c r="O114" s="128" t="str">
        <f>IF(Table3[[#This Row],[Actual End Date]]="","",TEXT(Table3[[#This Row],[Actual End Date]],"mmm-yy"))</f>
        <v/>
      </c>
      <c r="Q114" s="1"/>
    </row>
    <row r="115" spans="2:17">
      <c r="B115" s="125"/>
      <c r="C115" s="123"/>
      <c r="D115" s="123"/>
      <c r="E115" s="125"/>
      <c r="F115" s="123"/>
      <c r="G115" s="123"/>
      <c r="H115" s="124"/>
      <c r="I115" s="124"/>
      <c r="J115" s="123"/>
      <c r="K115" s="124"/>
      <c r="L115" s="124"/>
      <c r="M115" s="129"/>
      <c r="N115" s="127" t="str">
        <f>IF(ISNA(VLOOKUP(Table3[[#This Row],[Ticket]],Table1[],17,FALSE)),"",VLOOKUP(Table3[[#This Row],[Ticket]],Table1[],17,FALSE))</f>
        <v/>
      </c>
      <c r="O115" s="128" t="str">
        <f>IF(Table3[[#This Row],[Actual End Date]]="","",TEXT(Table3[[#This Row],[Actual End Date]],"mmm-yy"))</f>
        <v/>
      </c>
      <c r="Q115" s="1"/>
    </row>
    <row r="116" spans="2:17">
      <c r="B116" s="125"/>
      <c r="C116" s="123"/>
      <c r="D116" s="123"/>
      <c r="E116" s="125"/>
      <c r="F116" s="123"/>
      <c r="G116" s="123"/>
      <c r="H116" s="124"/>
      <c r="I116" s="124"/>
      <c r="J116" s="123"/>
      <c r="K116" s="124"/>
      <c r="L116" s="124"/>
      <c r="M116" s="129"/>
      <c r="N116" s="127" t="str">
        <f>IF(ISNA(VLOOKUP(Table3[[#This Row],[Ticket]],Table1[],17,FALSE)),"",VLOOKUP(Table3[[#This Row],[Ticket]],Table1[],17,FALSE))</f>
        <v/>
      </c>
      <c r="O116" s="128" t="str">
        <f>IF(Table3[[#This Row],[Actual End Date]]="","",TEXT(Table3[[#This Row],[Actual End Date]],"mmm-yy"))</f>
        <v/>
      </c>
      <c r="Q116" s="1"/>
    </row>
    <row r="117" spans="2:17">
      <c r="B117" s="125"/>
      <c r="C117" s="123"/>
      <c r="D117" s="123"/>
      <c r="E117" s="125"/>
      <c r="F117" s="123"/>
      <c r="G117" s="123"/>
      <c r="H117" s="124"/>
      <c r="I117" s="124"/>
      <c r="J117" s="123"/>
      <c r="K117" s="124"/>
      <c r="L117" s="124"/>
      <c r="M117" s="129"/>
      <c r="N117" s="127" t="str">
        <f>IF(ISNA(VLOOKUP(Table3[[#This Row],[Ticket]],Table1[],17,FALSE)),"",VLOOKUP(Table3[[#This Row],[Ticket]],Table1[],17,FALSE))</f>
        <v/>
      </c>
      <c r="O117" s="128" t="str">
        <f>IF(Table3[[#This Row],[Actual End Date]]="","",TEXT(Table3[[#This Row],[Actual End Date]],"mmm-yy"))</f>
        <v/>
      </c>
      <c r="Q117" s="1"/>
    </row>
    <row r="118" spans="2:17">
      <c r="B118" s="125"/>
      <c r="C118" s="123"/>
      <c r="D118" s="123"/>
      <c r="E118" s="123"/>
      <c r="F118" s="123"/>
      <c r="G118" s="123"/>
      <c r="H118" s="124"/>
      <c r="I118" s="124"/>
      <c r="J118" s="123"/>
      <c r="K118" s="124"/>
      <c r="L118" s="124"/>
      <c r="M118" s="129"/>
      <c r="N118" s="127" t="str">
        <f>IF(ISNA(VLOOKUP(Table3[[#This Row],[Ticket]],Table1[],17,FALSE)),"",VLOOKUP(Table3[[#This Row],[Ticket]],Table1[],17,FALSE))</f>
        <v/>
      </c>
      <c r="O118" s="128" t="str">
        <f>IF(Table3[[#This Row],[Actual End Date]]="","",TEXT(Table3[[#This Row],[Actual End Date]],"mmm-yy"))</f>
        <v/>
      </c>
      <c r="Q118" s="1"/>
    </row>
    <row r="119" spans="2:17">
      <c r="B119" s="125"/>
      <c r="C119" s="123"/>
      <c r="D119" s="123"/>
      <c r="E119" s="123"/>
      <c r="F119" s="123"/>
      <c r="G119" s="123"/>
      <c r="H119" s="124"/>
      <c r="I119" s="124"/>
      <c r="J119" s="123"/>
      <c r="K119" s="124"/>
      <c r="L119" s="124"/>
      <c r="M119" s="129"/>
      <c r="N119" s="127" t="str">
        <f>IF(ISNA(VLOOKUP(Table3[[#This Row],[Ticket]],Table1[],17,FALSE)),"",VLOOKUP(Table3[[#This Row],[Ticket]],Table1[],17,FALSE))</f>
        <v/>
      </c>
      <c r="O119" s="128" t="str">
        <f>IF(Table3[[#This Row],[Actual End Date]]="","",TEXT(Table3[[#This Row],[Actual End Date]],"mmm-yy"))</f>
        <v/>
      </c>
      <c r="Q119" s="1"/>
    </row>
    <row r="120" spans="2:17">
      <c r="B120" s="125"/>
      <c r="C120" s="123"/>
      <c r="D120" s="123"/>
      <c r="E120" s="123"/>
      <c r="F120" s="123"/>
      <c r="G120" s="123"/>
      <c r="H120" s="124"/>
      <c r="I120" s="124"/>
      <c r="J120" s="123"/>
      <c r="K120" s="124"/>
      <c r="L120" s="124"/>
      <c r="M120" s="129"/>
      <c r="N120" s="127" t="str">
        <f>IF(ISNA(VLOOKUP(Table3[[#This Row],[Ticket]],Table1[],17,FALSE)),"",VLOOKUP(Table3[[#This Row],[Ticket]],Table1[],17,FALSE))</f>
        <v/>
      </c>
      <c r="O120" s="128" t="str">
        <f>IF(Table3[[#This Row],[Actual End Date]]="","",TEXT(Table3[[#This Row],[Actual End Date]],"mmm-yy"))</f>
        <v/>
      </c>
      <c r="Q120" s="1"/>
    </row>
    <row r="121" spans="2:17">
      <c r="B121" s="125"/>
      <c r="C121" s="123"/>
      <c r="D121" s="123"/>
      <c r="E121" s="123"/>
      <c r="F121" s="123"/>
      <c r="G121" s="123"/>
      <c r="H121" s="124"/>
      <c r="I121" s="124"/>
      <c r="J121" s="123"/>
      <c r="K121" s="124"/>
      <c r="L121" s="124"/>
      <c r="M121" s="129"/>
      <c r="N121" s="127" t="str">
        <f>IF(ISNA(VLOOKUP(Table3[[#This Row],[Ticket]],Table1[],17,FALSE)),"",VLOOKUP(Table3[[#This Row],[Ticket]],Table1[],17,FALSE))</f>
        <v/>
      </c>
      <c r="O121" s="128" t="str">
        <f>IF(Table3[[#This Row],[Actual End Date]]="","",TEXT(Table3[[#This Row],[Actual End Date]],"mmm-yy"))</f>
        <v/>
      </c>
      <c r="Q121" s="1"/>
    </row>
    <row r="122" spans="2:17">
      <c r="B122" s="125"/>
      <c r="C122" s="123"/>
      <c r="D122" s="123"/>
      <c r="E122" s="125"/>
      <c r="F122" s="123"/>
      <c r="G122" s="123"/>
      <c r="H122" s="124"/>
      <c r="I122" s="124"/>
      <c r="J122" s="123"/>
      <c r="K122" s="124"/>
      <c r="L122" s="124"/>
      <c r="M122" s="129"/>
      <c r="N122" s="127" t="str">
        <f>IF(ISNA(VLOOKUP(Table3[[#This Row],[Ticket]],Table1[],17,FALSE)),"",VLOOKUP(Table3[[#This Row],[Ticket]],Table1[],17,FALSE))</f>
        <v/>
      </c>
      <c r="O122" s="128" t="str">
        <f>IF(Table3[[#This Row],[Actual End Date]]="","",TEXT(Table3[[#This Row],[Actual End Date]],"mmm-yy"))</f>
        <v/>
      </c>
      <c r="Q122" s="1"/>
    </row>
    <row r="123" spans="2:17">
      <c r="B123" s="125"/>
      <c r="C123" s="123"/>
      <c r="D123" s="123"/>
      <c r="E123" s="125"/>
      <c r="F123" s="123"/>
      <c r="G123" s="123"/>
      <c r="H123" s="124"/>
      <c r="I123" s="124"/>
      <c r="J123" s="123"/>
      <c r="K123" s="124"/>
      <c r="L123" s="124"/>
      <c r="M123" s="129"/>
      <c r="N123" s="127" t="str">
        <f>IF(ISNA(VLOOKUP(Table3[[#This Row],[Ticket]],Table1[],17,FALSE)),"",VLOOKUP(Table3[[#This Row],[Ticket]],Table1[],17,FALSE))</f>
        <v/>
      </c>
      <c r="O123" s="128" t="str">
        <f>IF(Table3[[#This Row],[Actual End Date]]="","",TEXT(Table3[[#This Row],[Actual End Date]],"mmm-yy"))</f>
        <v/>
      </c>
      <c r="Q123" s="1"/>
    </row>
    <row r="124" spans="2:17">
      <c r="B124" s="125"/>
      <c r="C124" s="123"/>
      <c r="D124" s="123"/>
      <c r="E124" s="125"/>
      <c r="F124" s="123"/>
      <c r="G124" s="123"/>
      <c r="H124" s="124"/>
      <c r="I124" s="124"/>
      <c r="J124" s="123"/>
      <c r="K124" s="124"/>
      <c r="L124" s="124"/>
      <c r="M124" s="129"/>
      <c r="N124" s="127" t="str">
        <f>IF(ISNA(VLOOKUP(Table3[[#This Row],[Ticket]],Table1[],17,FALSE)),"",VLOOKUP(Table3[[#This Row],[Ticket]],Table1[],17,FALSE))</f>
        <v/>
      </c>
      <c r="O124" s="128" t="str">
        <f>IF(Table3[[#This Row],[Actual End Date]]="","",TEXT(Table3[[#This Row],[Actual End Date]],"mmm-yy"))</f>
        <v/>
      </c>
      <c r="Q124" s="1"/>
    </row>
    <row r="125" spans="2:17">
      <c r="B125" s="125"/>
      <c r="C125" s="123"/>
      <c r="D125" s="123"/>
      <c r="E125" s="123"/>
      <c r="F125" s="123"/>
      <c r="G125" s="123"/>
      <c r="H125" s="124"/>
      <c r="I125" s="124"/>
      <c r="J125" s="123"/>
      <c r="K125" s="124"/>
      <c r="L125" s="124"/>
      <c r="M125" s="129"/>
      <c r="N125" s="127" t="str">
        <f>IF(ISNA(VLOOKUP(Table3[[#This Row],[Ticket]],Table1[],17,FALSE)),"",VLOOKUP(Table3[[#This Row],[Ticket]],Table1[],17,FALSE))</f>
        <v/>
      </c>
      <c r="O125" s="128" t="str">
        <f>IF(Table3[[#This Row],[Actual End Date]]="","",TEXT(Table3[[#This Row],[Actual End Date]],"mmm-yy"))</f>
        <v/>
      </c>
      <c r="Q125" s="1"/>
    </row>
    <row r="126" spans="2:17">
      <c r="B126" s="125"/>
      <c r="C126" s="123"/>
      <c r="D126" s="123"/>
      <c r="E126" s="123"/>
      <c r="F126" s="123"/>
      <c r="G126" s="123"/>
      <c r="H126" s="124"/>
      <c r="I126" s="124"/>
      <c r="J126" s="123"/>
      <c r="K126" s="124"/>
      <c r="L126" s="124"/>
      <c r="M126" s="129"/>
      <c r="N126" s="127" t="str">
        <f>IF(ISNA(VLOOKUP(Table3[[#This Row],[Ticket]],Table1[],17,FALSE)),"",VLOOKUP(Table3[[#This Row],[Ticket]],Table1[],17,FALSE))</f>
        <v/>
      </c>
      <c r="O126" s="128" t="str">
        <f>IF(Table3[[#This Row],[Actual End Date]]="","",TEXT(Table3[[#This Row],[Actual End Date]],"mmm-yy"))</f>
        <v/>
      </c>
      <c r="Q126" s="1"/>
    </row>
    <row r="127" spans="2:17">
      <c r="B127" s="125"/>
      <c r="C127" s="123"/>
      <c r="D127" s="123"/>
      <c r="E127" s="123"/>
      <c r="F127" s="123"/>
      <c r="G127" s="123"/>
      <c r="H127" s="124"/>
      <c r="I127" s="124"/>
      <c r="J127" s="123"/>
      <c r="K127" s="124"/>
      <c r="L127" s="124"/>
      <c r="M127" s="129"/>
      <c r="N127" s="127" t="str">
        <f>IF(ISNA(VLOOKUP(Table3[[#This Row],[Ticket]],Table1[],17,FALSE)),"",VLOOKUP(Table3[[#This Row],[Ticket]],Table1[],17,FALSE))</f>
        <v/>
      </c>
      <c r="O127" s="128" t="str">
        <f>IF(Table3[[#This Row],[Actual End Date]]="","",TEXT(Table3[[#This Row],[Actual End Date]],"mmm-yy"))</f>
        <v/>
      </c>
      <c r="Q127" s="1"/>
    </row>
    <row r="128" spans="2:17">
      <c r="B128" s="125"/>
      <c r="C128" s="123"/>
      <c r="D128" s="123"/>
      <c r="E128" s="123"/>
      <c r="F128" s="123"/>
      <c r="G128" s="123"/>
      <c r="H128" s="124"/>
      <c r="I128" s="124"/>
      <c r="J128" s="123"/>
      <c r="K128" s="124"/>
      <c r="L128" s="124"/>
      <c r="M128" s="129"/>
      <c r="N128" s="127" t="str">
        <f>IF(ISNA(VLOOKUP(Table3[[#This Row],[Ticket]],Table1[],17,FALSE)),"",VLOOKUP(Table3[[#This Row],[Ticket]],Table1[],17,FALSE))</f>
        <v/>
      </c>
      <c r="O128" s="128" t="str">
        <f>IF(Table3[[#This Row],[Actual End Date]]="","",TEXT(Table3[[#This Row],[Actual End Date]],"mmm-yy"))</f>
        <v/>
      </c>
      <c r="Q128" s="1"/>
    </row>
    <row r="129" spans="2:17">
      <c r="B129" s="125"/>
      <c r="C129" s="123"/>
      <c r="D129" s="123"/>
      <c r="E129" s="125"/>
      <c r="F129" s="123"/>
      <c r="G129" s="123"/>
      <c r="H129" s="124"/>
      <c r="I129" s="124"/>
      <c r="J129" s="123"/>
      <c r="K129" s="124"/>
      <c r="L129" s="124"/>
      <c r="M129" s="129"/>
      <c r="N129" s="127" t="str">
        <f>IF(ISNA(VLOOKUP(Table3[[#This Row],[Ticket]],Table1[],17,FALSE)),"",VLOOKUP(Table3[[#This Row],[Ticket]],Table1[],17,FALSE))</f>
        <v/>
      </c>
      <c r="O129" s="128" t="str">
        <f>IF(Table3[[#This Row],[Actual End Date]]="","",TEXT(Table3[[#This Row],[Actual End Date]],"mmm-yy"))</f>
        <v/>
      </c>
      <c r="Q129" s="1"/>
    </row>
    <row r="130" spans="2:17">
      <c r="B130" s="125"/>
      <c r="C130" s="123"/>
      <c r="D130" s="123"/>
      <c r="E130" s="125"/>
      <c r="F130" s="123"/>
      <c r="G130" s="123"/>
      <c r="H130" s="124"/>
      <c r="I130" s="124"/>
      <c r="J130" s="123"/>
      <c r="K130" s="124"/>
      <c r="L130" s="124"/>
      <c r="M130" s="129"/>
      <c r="N130" s="127" t="str">
        <f>IF(ISNA(VLOOKUP(Table3[[#This Row],[Ticket]],Table1[],17,FALSE)),"",VLOOKUP(Table3[[#This Row],[Ticket]],Table1[],17,FALSE))</f>
        <v/>
      </c>
      <c r="O130" s="128" t="str">
        <f>IF(Table3[[#This Row],[Actual End Date]]="","",TEXT(Table3[[#This Row],[Actual End Date]],"mmm-yy"))</f>
        <v/>
      </c>
      <c r="Q130" s="1"/>
    </row>
    <row r="131" spans="2:17">
      <c r="B131" s="125"/>
      <c r="C131" s="123"/>
      <c r="D131" s="123"/>
      <c r="E131" s="123"/>
      <c r="F131" s="123"/>
      <c r="G131" s="123"/>
      <c r="H131" s="124"/>
      <c r="I131" s="124"/>
      <c r="J131" s="123"/>
      <c r="K131" s="124"/>
      <c r="L131" s="124"/>
      <c r="M131" s="129"/>
      <c r="N131" s="127" t="str">
        <f>IF(ISNA(VLOOKUP(Table3[[#This Row],[Ticket]],Table1[],17,FALSE)),"",VLOOKUP(Table3[[#This Row],[Ticket]],Table1[],17,FALSE))</f>
        <v/>
      </c>
      <c r="O131" s="128" t="str">
        <f>IF(Table3[[#This Row],[Actual End Date]]="","",TEXT(Table3[[#This Row],[Actual End Date]],"mmm-yy"))</f>
        <v/>
      </c>
      <c r="Q131" s="1"/>
    </row>
    <row r="132" spans="2:17">
      <c r="B132" s="125"/>
      <c r="C132" s="123"/>
      <c r="D132" s="123"/>
      <c r="E132" s="123"/>
      <c r="F132" s="123"/>
      <c r="G132" s="123"/>
      <c r="H132" s="124"/>
      <c r="I132" s="124"/>
      <c r="J132" s="123"/>
      <c r="K132" s="124"/>
      <c r="L132" s="124"/>
      <c r="M132" s="129"/>
      <c r="N132" s="127" t="str">
        <f>IF(ISNA(VLOOKUP(Table3[[#This Row],[Ticket]],Table1[],17,FALSE)),"",VLOOKUP(Table3[[#This Row],[Ticket]],Table1[],17,FALSE))</f>
        <v/>
      </c>
      <c r="O132" s="128" t="str">
        <f>IF(Table3[[#This Row],[Actual End Date]]="","",TEXT(Table3[[#This Row],[Actual End Date]],"mmm-yy"))</f>
        <v/>
      </c>
      <c r="Q132" s="1"/>
    </row>
    <row r="133" spans="2:17">
      <c r="B133" s="125"/>
      <c r="C133" s="123"/>
      <c r="D133" s="123"/>
      <c r="E133" s="123"/>
      <c r="F133" s="123"/>
      <c r="G133" s="123"/>
      <c r="H133" s="124"/>
      <c r="I133" s="124"/>
      <c r="J133" s="123"/>
      <c r="K133" s="124"/>
      <c r="L133" s="124"/>
      <c r="M133" s="129"/>
      <c r="N133" s="127" t="str">
        <f>IF(ISNA(VLOOKUP(Table3[[#This Row],[Ticket]],Table1[],17,FALSE)),"",VLOOKUP(Table3[[#This Row],[Ticket]],Table1[],17,FALSE))</f>
        <v/>
      </c>
      <c r="O133" s="128" t="str">
        <f>IF(Table3[[#This Row],[Actual End Date]]="","",TEXT(Table3[[#This Row],[Actual End Date]],"mmm-yy"))</f>
        <v/>
      </c>
      <c r="Q133" s="1"/>
    </row>
    <row r="134" spans="2:17">
      <c r="B134" s="125"/>
      <c r="C134" s="123"/>
      <c r="D134" s="123"/>
      <c r="E134" s="123"/>
      <c r="F134" s="123"/>
      <c r="G134" s="123"/>
      <c r="H134" s="124"/>
      <c r="I134" s="124"/>
      <c r="J134" s="123"/>
      <c r="K134" s="124"/>
      <c r="L134" s="124"/>
      <c r="M134" s="129"/>
      <c r="N134" s="127" t="str">
        <f>IF(ISNA(VLOOKUP(Table3[[#This Row],[Ticket]],Table1[],17,FALSE)),"",VLOOKUP(Table3[[#This Row],[Ticket]],Table1[],17,FALSE))</f>
        <v/>
      </c>
      <c r="O134" s="128" t="str">
        <f>IF(Table3[[#This Row],[Actual End Date]]="","",TEXT(Table3[[#This Row],[Actual End Date]],"mmm-yy"))</f>
        <v/>
      </c>
      <c r="Q134" s="1"/>
    </row>
    <row r="135" spans="2:17">
      <c r="B135" s="64"/>
      <c r="C135" s="64"/>
      <c r="D135" s="116"/>
      <c r="E135" s="125"/>
      <c r="F135" s="125"/>
      <c r="G135" s="123"/>
      <c r="H135" s="130"/>
      <c r="I135" s="130"/>
      <c r="J135" s="64"/>
      <c r="K135" s="130"/>
      <c r="L135" s="130"/>
      <c r="M135" s="64"/>
      <c r="N135" s="127" t="str">
        <f>IF(ISNA(VLOOKUP(Table3[[#This Row],[Ticket]],Table1[],17,FALSE)),"",VLOOKUP(Table3[[#This Row],[Ticket]],Table1[],17,FALSE))</f>
        <v/>
      </c>
      <c r="O135" s="128" t="str">
        <f>IF(Table3[[#This Row],[Actual End Date]]="","",TEXT(Table3[[#This Row],[Actual End Date]],"mmm-yy"))</f>
        <v/>
      </c>
      <c r="Q135" s="1"/>
    </row>
    <row r="136" spans="2:17">
      <c r="B136" s="64"/>
      <c r="C136" s="64"/>
      <c r="D136" s="116"/>
      <c r="E136" s="125"/>
      <c r="F136" s="125"/>
      <c r="G136" s="123"/>
      <c r="H136" s="130"/>
      <c r="I136" s="130"/>
      <c r="J136" s="64"/>
      <c r="K136" s="130"/>
      <c r="L136" s="130"/>
      <c r="M136" s="64"/>
      <c r="N136" s="127" t="str">
        <f>IF(ISNA(VLOOKUP(Table3[[#This Row],[Ticket]],Table1[],17,FALSE)),"",VLOOKUP(Table3[[#This Row],[Ticket]],Table1[],17,FALSE))</f>
        <v/>
      </c>
      <c r="O136" s="128" t="str">
        <f>IF(Table3[[#This Row],[Actual End Date]]="","",TEXT(Table3[[#This Row],[Actual End Date]],"mmm-yy"))</f>
        <v/>
      </c>
      <c r="Q136" s="1"/>
    </row>
    <row r="137" spans="2:17">
      <c r="B137" s="64"/>
      <c r="C137" s="64"/>
      <c r="D137" s="116"/>
      <c r="E137" s="125"/>
      <c r="F137" s="125"/>
      <c r="G137" s="123"/>
      <c r="H137" s="130"/>
      <c r="I137" s="130"/>
      <c r="J137" s="64"/>
      <c r="K137" s="130"/>
      <c r="L137" s="130"/>
      <c r="M137" s="64"/>
      <c r="N137" s="127" t="str">
        <f>IF(ISNA(VLOOKUP(Table3[[#This Row],[Ticket]],Table1[],17,FALSE)),"",VLOOKUP(Table3[[#This Row],[Ticket]],Table1[],17,FALSE))</f>
        <v/>
      </c>
      <c r="O137" s="128" t="str">
        <f>IF(Table3[[#This Row],[Actual End Date]]="","",TEXT(Table3[[#This Row],[Actual End Date]],"mmm-yy"))</f>
        <v/>
      </c>
      <c r="Q137" s="1"/>
    </row>
    <row r="138" spans="2:17">
      <c r="B138" s="64"/>
      <c r="C138" s="64"/>
      <c r="D138" s="64"/>
      <c r="E138" s="125"/>
      <c r="F138" s="125"/>
      <c r="G138" s="123"/>
      <c r="H138" s="64"/>
      <c r="I138" s="64"/>
      <c r="J138" s="64"/>
      <c r="K138" s="64"/>
      <c r="L138" s="64"/>
      <c r="M138" s="64"/>
      <c r="N138" s="127" t="str">
        <f>IF(ISNA(VLOOKUP(Table3[[#This Row],[Ticket]],Table1[],17,FALSE)),"",VLOOKUP(Table3[[#This Row],[Ticket]],Table1[],17,FALSE))</f>
        <v/>
      </c>
      <c r="O138" s="128" t="str">
        <f>IF(Table3[[#This Row],[Actual End Date]]="","",TEXT(Table3[[#This Row],[Actual End Date]],"mmm-yy"))</f>
        <v/>
      </c>
      <c r="Q138" s="1"/>
    </row>
    <row r="139" spans="2:17">
      <c r="B139" s="64"/>
      <c r="C139" s="64"/>
      <c r="D139" s="64"/>
      <c r="E139" s="125"/>
      <c r="F139" s="125"/>
      <c r="G139" s="123"/>
      <c r="H139" s="64"/>
      <c r="I139" s="64"/>
      <c r="J139" s="64"/>
      <c r="K139" s="64"/>
      <c r="L139" s="64"/>
      <c r="M139" s="64"/>
      <c r="N139" s="127" t="str">
        <f>IF(ISNA(VLOOKUP(Table3[[#This Row],[Ticket]],Table1[],17,FALSE)),"",VLOOKUP(Table3[[#This Row],[Ticket]],Table1[],17,FALSE))</f>
        <v/>
      </c>
      <c r="O139" s="128" t="str">
        <f>IF(Table3[[#This Row],[Actual End Date]]="","",TEXT(Table3[[#This Row],[Actual End Date]],"mmm-yy"))</f>
        <v/>
      </c>
      <c r="Q139" s="1"/>
    </row>
    <row r="140" spans="2:17">
      <c r="B140" s="64"/>
      <c r="C140" s="64"/>
      <c r="D140" s="64"/>
      <c r="E140" s="125"/>
      <c r="F140" s="125"/>
      <c r="G140" s="123"/>
      <c r="H140" s="130"/>
      <c r="I140" s="130"/>
      <c r="J140" s="64"/>
      <c r="K140" s="130"/>
      <c r="L140" s="130"/>
      <c r="M140" s="64"/>
      <c r="N140" s="127" t="str">
        <f>IF(ISNA(VLOOKUP(Table3[[#This Row],[Ticket]],Table1[],17,FALSE)),"",VLOOKUP(Table3[[#This Row],[Ticket]],Table1[],17,FALSE))</f>
        <v/>
      </c>
      <c r="O140" s="128" t="str">
        <f>IF(Table3[[#This Row],[Actual End Date]]="","",TEXT(Table3[[#This Row],[Actual End Date]],"mmm-yy"))</f>
        <v/>
      </c>
      <c r="Q140" s="1"/>
    </row>
    <row r="141" spans="2:17">
      <c r="B141" s="64"/>
      <c r="C141" s="64"/>
      <c r="D141" s="64"/>
      <c r="E141" s="125"/>
      <c r="F141" s="125"/>
      <c r="G141" s="123"/>
      <c r="H141" s="130"/>
      <c r="I141" s="130"/>
      <c r="J141" s="64"/>
      <c r="K141" s="130"/>
      <c r="L141" s="130"/>
      <c r="M141" s="64"/>
      <c r="N141" s="127" t="str">
        <f>IF(ISNA(VLOOKUP(Table3[[#This Row],[Ticket]],Table1[],17,FALSE)),"",VLOOKUP(Table3[[#This Row],[Ticket]],Table1[],17,FALSE))</f>
        <v/>
      </c>
      <c r="O141" s="128" t="str">
        <f>IF(Table3[[#This Row],[Actual End Date]]="","",TEXT(Table3[[#This Row],[Actual End Date]],"mmm-yy"))</f>
        <v/>
      </c>
      <c r="Q141" s="1"/>
    </row>
    <row r="142" spans="2:17">
      <c r="B142" s="64"/>
      <c r="C142" s="64"/>
      <c r="D142" s="64"/>
      <c r="E142" s="125"/>
      <c r="F142" s="125"/>
      <c r="G142" s="123"/>
      <c r="H142" s="130"/>
      <c r="I142" s="130"/>
      <c r="J142" s="64"/>
      <c r="K142" s="130"/>
      <c r="L142" s="130"/>
      <c r="M142" s="64"/>
      <c r="N142" s="127" t="str">
        <f>IF(ISNA(VLOOKUP(Table3[[#This Row],[Ticket]],Table1[],17,FALSE)),"",VLOOKUP(Table3[[#This Row],[Ticket]],Table1[],17,FALSE))</f>
        <v/>
      </c>
      <c r="O142" s="128" t="str">
        <f>IF(Table3[[#This Row],[Actual End Date]]="","",TEXT(Table3[[#This Row],[Actual End Date]],"mmm-yy"))</f>
        <v/>
      </c>
      <c r="Q142" s="1"/>
    </row>
    <row r="143" spans="2:17">
      <c r="B143" s="64"/>
      <c r="C143" s="64"/>
      <c r="D143" s="64"/>
      <c r="E143" s="125"/>
      <c r="F143" s="125"/>
      <c r="G143" s="123"/>
      <c r="H143" s="130"/>
      <c r="I143" s="130"/>
      <c r="J143" s="64"/>
      <c r="K143" s="130"/>
      <c r="L143" s="130"/>
      <c r="M143" s="64"/>
      <c r="N143" s="127" t="str">
        <f>IF(ISNA(VLOOKUP(Table3[[#This Row],[Ticket]],Table1[],17,FALSE)),"",VLOOKUP(Table3[[#This Row],[Ticket]],Table1[],17,FALSE))</f>
        <v/>
      </c>
      <c r="O143" s="128" t="str">
        <f>IF(Table3[[#This Row],[Actual End Date]]="","",TEXT(Table3[[#This Row],[Actual End Date]],"mmm-yy"))</f>
        <v/>
      </c>
      <c r="Q143" s="1"/>
    </row>
    <row r="144" spans="2:17">
      <c r="B144" s="64"/>
      <c r="C144" s="64"/>
      <c r="D144" s="64"/>
      <c r="E144" s="125"/>
      <c r="F144" s="125"/>
      <c r="G144" s="123"/>
      <c r="H144" s="130"/>
      <c r="I144" s="130"/>
      <c r="J144" s="64"/>
      <c r="K144" s="130"/>
      <c r="L144" s="130"/>
      <c r="M144" s="64"/>
      <c r="N144" s="127" t="str">
        <f>IF(ISNA(VLOOKUP(Table3[[#This Row],[Ticket]],Table1[],17,FALSE)),"",VLOOKUP(Table3[[#This Row],[Ticket]],Table1[],17,FALSE))</f>
        <v/>
      </c>
      <c r="O144" s="128" t="str">
        <f>IF(Table3[[#This Row],[Actual End Date]]="","",TEXT(Table3[[#This Row],[Actual End Date]],"mmm-yy"))</f>
        <v/>
      </c>
      <c r="Q144" s="1"/>
    </row>
    <row r="145" spans="2:17">
      <c r="B145" s="64"/>
      <c r="C145" s="64"/>
      <c r="D145" s="64"/>
      <c r="E145" s="125"/>
      <c r="F145" s="125"/>
      <c r="G145" s="123"/>
      <c r="H145" s="130"/>
      <c r="I145" s="130"/>
      <c r="J145" s="64"/>
      <c r="K145" s="130"/>
      <c r="L145" s="130"/>
      <c r="M145" s="64"/>
      <c r="N145" s="127" t="str">
        <f>IF(ISNA(VLOOKUP(Table3[[#This Row],[Ticket]],Table1[],17,FALSE)),"",VLOOKUP(Table3[[#This Row],[Ticket]],Table1[],17,FALSE))</f>
        <v/>
      </c>
      <c r="O145" s="128" t="str">
        <f>IF(Table3[[#This Row],[Actual End Date]]="","",TEXT(Table3[[#This Row],[Actual End Date]],"mmm-yy"))</f>
        <v/>
      </c>
      <c r="Q145" s="1"/>
    </row>
    <row r="146" spans="2:17">
      <c r="B146" s="64"/>
      <c r="C146" s="64"/>
      <c r="D146" s="64"/>
      <c r="E146" s="125"/>
      <c r="F146" s="125"/>
      <c r="G146" s="123"/>
      <c r="H146" s="130"/>
      <c r="I146" s="130"/>
      <c r="J146" s="64"/>
      <c r="K146" s="130"/>
      <c r="L146" s="130"/>
      <c r="M146" s="64"/>
      <c r="N146" s="127" t="str">
        <f>IF(ISNA(VLOOKUP(Table3[[#This Row],[Ticket]],Table1[],17,FALSE)),"",VLOOKUP(Table3[[#This Row],[Ticket]],Table1[],17,FALSE))</f>
        <v/>
      </c>
      <c r="O146" s="128" t="str">
        <f>IF(Table3[[#This Row],[Actual End Date]]="","",TEXT(Table3[[#This Row],[Actual End Date]],"mmm-yy"))</f>
        <v/>
      </c>
      <c r="Q146" s="1"/>
    </row>
    <row r="147" spans="2:17">
      <c r="B147" s="64"/>
      <c r="C147" s="64"/>
      <c r="D147" s="64"/>
      <c r="E147" s="125"/>
      <c r="F147" s="125"/>
      <c r="G147" s="123"/>
      <c r="H147" s="130"/>
      <c r="I147" s="130"/>
      <c r="J147" s="64"/>
      <c r="K147" s="130"/>
      <c r="L147" s="130"/>
      <c r="M147" s="64"/>
      <c r="N147" s="127" t="str">
        <f>IF(ISNA(VLOOKUP(Table3[[#This Row],[Ticket]],Table1[],17,FALSE)),"",VLOOKUP(Table3[[#This Row],[Ticket]],Table1[],17,FALSE))</f>
        <v/>
      </c>
      <c r="O147" s="128" t="str">
        <f>IF(Table3[[#This Row],[Actual End Date]]="","",TEXT(Table3[[#This Row],[Actual End Date]],"mmm-yy"))</f>
        <v/>
      </c>
      <c r="Q147" s="1"/>
    </row>
    <row r="148" spans="2:17">
      <c r="B148" s="64"/>
      <c r="C148" s="64"/>
      <c r="D148" s="64"/>
      <c r="E148" s="125"/>
      <c r="F148" s="125"/>
      <c r="G148" s="123"/>
      <c r="H148" s="130"/>
      <c r="I148" s="130"/>
      <c r="J148" s="64"/>
      <c r="K148" s="130"/>
      <c r="L148" s="130"/>
      <c r="M148" s="64"/>
      <c r="N148" s="127" t="str">
        <f>IF(ISNA(VLOOKUP(Table3[[#This Row],[Ticket]],Table1[],17,FALSE)),"",VLOOKUP(Table3[[#This Row],[Ticket]],Table1[],17,FALSE))</f>
        <v/>
      </c>
      <c r="O148" s="128" t="str">
        <f>IF(Table3[[#This Row],[Actual End Date]]="","",TEXT(Table3[[#This Row],[Actual End Date]],"mmm-yy"))</f>
        <v/>
      </c>
      <c r="Q148" s="1"/>
    </row>
    <row r="149" spans="2:17">
      <c r="B149" s="64"/>
      <c r="C149" s="64"/>
      <c r="D149" s="64"/>
      <c r="E149" s="125"/>
      <c r="F149" s="125"/>
      <c r="G149" s="123"/>
      <c r="H149" s="130"/>
      <c r="I149" s="130"/>
      <c r="J149" s="64"/>
      <c r="K149" s="130"/>
      <c r="L149" s="130"/>
      <c r="M149" s="64"/>
      <c r="N149" s="127" t="str">
        <f>IF(ISNA(VLOOKUP(Table3[[#This Row],[Ticket]],Table1[],17,FALSE)),"",VLOOKUP(Table3[[#This Row],[Ticket]],Table1[],17,FALSE))</f>
        <v/>
      </c>
      <c r="O149" s="128" t="str">
        <f>IF(Table3[[#This Row],[Actual End Date]]="","",TEXT(Table3[[#This Row],[Actual End Date]],"mmm-yy"))</f>
        <v/>
      </c>
      <c r="Q149" s="1"/>
    </row>
    <row r="150" spans="2:17">
      <c r="B150" s="64"/>
      <c r="C150" s="64"/>
      <c r="D150" s="64"/>
      <c r="E150" s="125"/>
      <c r="F150" s="125"/>
      <c r="G150" s="123"/>
      <c r="H150" s="130"/>
      <c r="I150" s="130"/>
      <c r="J150" s="64"/>
      <c r="K150" s="130"/>
      <c r="L150" s="130"/>
      <c r="M150" s="64"/>
      <c r="N150" s="127" t="str">
        <f>IF(ISNA(VLOOKUP(Table3[[#This Row],[Ticket]],Table1[],17,FALSE)),"",VLOOKUP(Table3[[#This Row],[Ticket]],Table1[],17,FALSE))</f>
        <v/>
      </c>
      <c r="O150" s="128" t="str">
        <f>IF(Table3[[#This Row],[Actual End Date]]="","",TEXT(Table3[[#This Row],[Actual End Date]],"mmm-yy"))</f>
        <v/>
      </c>
      <c r="Q150" s="1"/>
    </row>
    <row r="151" spans="2:17">
      <c r="B151" s="64"/>
      <c r="C151" s="64"/>
      <c r="D151" s="64"/>
      <c r="E151" s="125"/>
      <c r="F151" s="125"/>
      <c r="G151" s="123"/>
      <c r="H151" s="130"/>
      <c r="I151" s="130"/>
      <c r="J151" s="64"/>
      <c r="K151" s="130"/>
      <c r="L151" s="130"/>
      <c r="M151" s="64"/>
      <c r="N151" s="127" t="str">
        <f>IF(ISNA(VLOOKUP(Table3[[#This Row],[Ticket]],Table1[],17,FALSE)),"",VLOOKUP(Table3[[#This Row],[Ticket]],Table1[],17,FALSE))</f>
        <v/>
      </c>
      <c r="O151" s="128" t="str">
        <f>IF(Table3[[#This Row],[Actual End Date]]="","",TEXT(Table3[[#This Row],[Actual End Date]],"mmm-yy"))</f>
        <v/>
      </c>
      <c r="Q151" s="1"/>
    </row>
    <row r="152" spans="2:17">
      <c r="B152" s="64"/>
      <c r="C152" s="64"/>
      <c r="D152" s="64"/>
      <c r="E152" s="125"/>
      <c r="F152" s="125"/>
      <c r="G152" s="123"/>
      <c r="H152" s="130"/>
      <c r="I152" s="130"/>
      <c r="J152" s="64"/>
      <c r="K152" s="130"/>
      <c r="L152" s="130"/>
      <c r="M152" s="64"/>
      <c r="N152" s="127" t="str">
        <f>IF(ISNA(VLOOKUP(Table3[[#This Row],[Ticket]],Table1[],17,FALSE)),"",VLOOKUP(Table3[[#This Row],[Ticket]],Table1[],17,FALSE))</f>
        <v/>
      </c>
      <c r="O152" s="128" t="str">
        <f>IF(Table3[[#This Row],[Actual End Date]]="","",TEXT(Table3[[#This Row],[Actual End Date]],"mmm-yy"))</f>
        <v/>
      </c>
      <c r="Q152" s="1"/>
    </row>
    <row r="153" spans="2:17">
      <c r="B153" s="64"/>
      <c r="C153" s="64"/>
      <c r="D153" s="64"/>
      <c r="E153" s="125"/>
      <c r="F153" s="125"/>
      <c r="G153" s="123"/>
      <c r="H153" s="130"/>
      <c r="I153" s="130"/>
      <c r="J153" s="64"/>
      <c r="K153" s="130"/>
      <c r="L153" s="130"/>
      <c r="M153" s="64"/>
      <c r="N153" s="127" t="str">
        <f>IF(ISNA(VLOOKUP(Table3[[#This Row],[Ticket]],Table1[],17,FALSE)),"",VLOOKUP(Table3[[#This Row],[Ticket]],Table1[],17,FALSE))</f>
        <v/>
      </c>
      <c r="O153" s="128" t="str">
        <f>IF(Table3[[#This Row],[Actual End Date]]="","",TEXT(Table3[[#This Row],[Actual End Date]],"mmm-yy"))</f>
        <v/>
      </c>
      <c r="Q153" s="1"/>
    </row>
    <row r="154" spans="2:17">
      <c r="B154" s="64"/>
      <c r="C154" s="64"/>
      <c r="D154" s="64"/>
      <c r="E154" s="125"/>
      <c r="F154" s="125"/>
      <c r="G154" s="123"/>
      <c r="H154" s="130"/>
      <c r="I154" s="130"/>
      <c r="J154" s="64"/>
      <c r="K154" s="130"/>
      <c r="L154" s="130"/>
      <c r="M154" s="64"/>
      <c r="N154" s="127" t="str">
        <f>IF(ISNA(VLOOKUP(Table3[[#This Row],[Ticket]],Table1[],17,FALSE)),"",VLOOKUP(Table3[[#This Row],[Ticket]],Table1[],17,FALSE))</f>
        <v/>
      </c>
      <c r="O154" s="128" t="str">
        <f>IF(Table3[[#This Row],[Actual End Date]]="","",TEXT(Table3[[#This Row],[Actual End Date]],"mmm-yy"))</f>
        <v/>
      </c>
      <c r="Q154" s="1"/>
    </row>
    <row r="155" spans="2:17">
      <c r="B155" s="64"/>
      <c r="C155" s="64"/>
      <c r="D155" s="64"/>
      <c r="E155" s="125"/>
      <c r="F155" s="125"/>
      <c r="G155" s="123"/>
      <c r="H155" s="130"/>
      <c r="I155" s="130"/>
      <c r="J155" s="64"/>
      <c r="K155" s="130"/>
      <c r="L155" s="130"/>
      <c r="M155" s="64"/>
      <c r="N155" s="127" t="str">
        <f>IF(ISNA(VLOOKUP(Table3[[#This Row],[Ticket]],Table1[],17,FALSE)),"",VLOOKUP(Table3[[#This Row],[Ticket]],Table1[],17,FALSE))</f>
        <v/>
      </c>
      <c r="O155" s="128" t="str">
        <f>IF(Table3[[#This Row],[Actual End Date]]="","",TEXT(Table3[[#This Row],[Actual End Date]],"mmm-yy"))</f>
        <v/>
      </c>
      <c r="Q155" s="1"/>
    </row>
    <row r="156" spans="2:17">
      <c r="B156" s="64"/>
      <c r="C156" s="64"/>
      <c r="D156" s="64"/>
      <c r="E156" s="125"/>
      <c r="F156" s="125"/>
      <c r="G156" s="123"/>
      <c r="H156" s="130"/>
      <c r="I156" s="130"/>
      <c r="J156" s="64"/>
      <c r="K156" s="130"/>
      <c r="L156" s="130"/>
      <c r="M156" s="64"/>
      <c r="N156" s="127" t="str">
        <f>IF(ISNA(VLOOKUP(Table3[[#This Row],[Ticket]],Table1[],17,FALSE)),"",VLOOKUP(Table3[[#This Row],[Ticket]],Table1[],17,FALSE))</f>
        <v/>
      </c>
      <c r="O156" s="128" t="str">
        <f>IF(Table3[[#This Row],[Actual End Date]]="","",TEXT(Table3[[#This Row],[Actual End Date]],"mmm-yy"))</f>
        <v/>
      </c>
      <c r="Q156" s="1"/>
    </row>
    <row r="157" spans="2:17">
      <c r="B157" s="64"/>
      <c r="C157" s="64"/>
      <c r="D157" s="64"/>
      <c r="E157" s="125"/>
      <c r="F157" s="125"/>
      <c r="G157" s="123"/>
      <c r="H157" s="130"/>
      <c r="I157" s="130"/>
      <c r="J157" s="64"/>
      <c r="K157" s="130"/>
      <c r="L157" s="130"/>
      <c r="M157" s="64"/>
      <c r="N157" s="127" t="str">
        <f>IF(ISNA(VLOOKUP(Table3[[#This Row],[Ticket]],Table1[],17,FALSE)),"",VLOOKUP(Table3[[#This Row],[Ticket]],Table1[],17,FALSE))</f>
        <v/>
      </c>
      <c r="O157" s="128" t="str">
        <f>IF(Table3[[#This Row],[Actual End Date]]="","",TEXT(Table3[[#This Row],[Actual End Date]],"mmm-yy"))</f>
        <v/>
      </c>
      <c r="Q157" s="1"/>
    </row>
    <row r="158" spans="2:17">
      <c r="B158" s="64"/>
      <c r="C158" s="64"/>
      <c r="D158" s="64"/>
      <c r="E158" s="125"/>
      <c r="F158" s="125"/>
      <c r="G158" s="123"/>
      <c r="H158" s="130"/>
      <c r="I158" s="130"/>
      <c r="J158" s="64"/>
      <c r="K158" s="130"/>
      <c r="L158" s="130"/>
      <c r="M158" s="64"/>
      <c r="N158" s="127" t="str">
        <f>IF(ISNA(VLOOKUP(Table3[[#This Row],[Ticket]],Table1[],17,FALSE)),"",VLOOKUP(Table3[[#This Row],[Ticket]],Table1[],17,FALSE))</f>
        <v/>
      </c>
      <c r="O158" s="128" t="str">
        <f>IF(Table3[[#This Row],[Actual End Date]]="","",TEXT(Table3[[#This Row],[Actual End Date]],"mmm-yy"))</f>
        <v/>
      </c>
      <c r="Q158" s="1"/>
    </row>
    <row r="159" spans="2:17">
      <c r="B159" s="64"/>
      <c r="C159" s="64"/>
      <c r="D159" s="64"/>
      <c r="E159" s="125"/>
      <c r="F159" s="125"/>
      <c r="G159" s="123"/>
      <c r="H159" s="130"/>
      <c r="I159" s="130"/>
      <c r="J159" s="64"/>
      <c r="K159" s="130"/>
      <c r="L159" s="130"/>
      <c r="M159" s="64"/>
      <c r="N159" s="127" t="str">
        <f>IF(ISNA(VLOOKUP(Table3[[#This Row],[Ticket]],Table1[],17,FALSE)),"",VLOOKUP(Table3[[#This Row],[Ticket]],Table1[],17,FALSE))</f>
        <v/>
      </c>
      <c r="O159" s="128" t="str">
        <f>IF(Table3[[#This Row],[Actual End Date]]="","",TEXT(Table3[[#This Row],[Actual End Date]],"mmm-yy"))</f>
        <v/>
      </c>
      <c r="Q159" s="1"/>
    </row>
    <row r="160" spans="2:17">
      <c r="B160" s="64"/>
      <c r="C160" s="64"/>
      <c r="D160" s="64"/>
      <c r="E160" s="125"/>
      <c r="F160" s="125"/>
      <c r="G160" s="123"/>
      <c r="H160" s="130"/>
      <c r="I160" s="130"/>
      <c r="J160" s="64"/>
      <c r="K160" s="130"/>
      <c r="L160" s="130"/>
      <c r="M160" s="64"/>
      <c r="N160" s="127" t="str">
        <f>IF(ISNA(VLOOKUP(Table3[[#This Row],[Ticket]],Table1[],17,FALSE)),"",VLOOKUP(Table3[[#This Row],[Ticket]],Table1[],17,FALSE))</f>
        <v/>
      </c>
      <c r="O160" s="128" t="str">
        <f>IF(Table3[[#This Row],[Actual End Date]]="","",TEXT(Table3[[#This Row],[Actual End Date]],"mmm-yy"))</f>
        <v/>
      </c>
      <c r="Q160" s="1"/>
    </row>
    <row r="161" spans="2:17">
      <c r="B161" s="64"/>
      <c r="C161" s="64"/>
      <c r="D161" s="64"/>
      <c r="E161" s="125"/>
      <c r="F161" s="125"/>
      <c r="G161" s="123"/>
      <c r="H161" s="130"/>
      <c r="I161" s="130"/>
      <c r="J161" s="64"/>
      <c r="K161" s="130"/>
      <c r="L161" s="130"/>
      <c r="M161" s="64"/>
      <c r="N161" s="127" t="str">
        <f>IF(ISNA(VLOOKUP(Table3[[#This Row],[Ticket]],Table1[],17,FALSE)),"",VLOOKUP(Table3[[#This Row],[Ticket]],Table1[],17,FALSE))</f>
        <v/>
      </c>
      <c r="O161" s="128" t="str">
        <f>IF(Table3[[#This Row],[Actual End Date]]="","",TEXT(Table3[[#This Row],[Actual End Date]],"mmm-yy"))</f>
        <v/>
      </c>
      <c r="Q161" s="1"/>
    </row>
    <row r="162" spans="2:17">
      <c r="B162" s="64"/>
      <c r="C162" s="64"/>
      <c r="D162" s="64"/>
      <c r="E162" s="125"/>
      <c r="F162" s="125"/>
      <c r="G162" s="123"/>
      <c r="H162" s="130"/>
      <c r="I162" s="130"/>
      <c r="J162" s="64"/>
      <c r="K162" s="130"/>
      <c r="L162" s="130"/>
      <c r="M162" s="64"/>
      <c r="N162" s="127" t="str">
        <f>IF(ISNA(VLOOKUP(Table3[[#This Row],[Ticket]],Table1[],17,FALSE)),"",VLOOKUP(Table3[[#This Row],[Ticket]],Table1[],17,FALSE))</f>
        <v/>
      </c>
      <c r="O162" s="128" t="str">
        <f>IF(Table3[[#This Row],[Actual End Date]]="","",TEXT(Table3[[#This Row],[Actual End Date]],"mmm-yy"))</f>
        <v/>
      </c>
      <c r="Q162" s="1"/>
    </row>
    <row r="163" spans="2:17">
      <c r="B163" s="64"/>
      <c r="C163" s="64"/>
      <c r="D163" s="64"/>
      <c r="E163" s="125"/>
      <c r="F163" s="125"/>
      <c r="G163" s="123"/>
      <c r="H163" s="130"/>
      <c r="I163" s="130"/>
      <c r="J163" s="64"/>
      <c r="K163" s="130"/>
      <c r="L163" s="130"/>
      <c r="M163" s="64"/>
      <c r="N163" s="127" t="str">
        <f>IF(ISNA(VLOOKUP(Table3[[#This Row],[Ticket]],Table1[],17,FALSE)),"",VLOOKUP(Table3[[#This Row],[Ticket]],Table1[],17,FALSE))</f>
        <v/>
      </c>
      <c r="O163" s="128" t="str">
        <f>IF(Table3[[#This Row],[Actual End Date]]="","",TEXT(Table3[[#This Row],[Actual End Date]],"mmm-yy"))</f>
        <v/>
      </c>
      <c r="Q163" s="1"/>
    </row>
    <row r="164" spans="2:17">
      <c r="B164" s="64"/>
      <c r="C164" s="64"/>
      <c r="D164" s="64"/>
      <c r="E164" s="125"/>
      <c r="F164" s="125"/>
      <c r="G164" s="123"/>
      <c r="H164" s="130"/>
      <c r="I164" s="130"/>
      <c r="J164" s="64"/>
      <c r="K164" s="130"/>
      <c r="L164" s="130"/>
      <c r="M164" s="64"/>
      <c r="N164" s="127" t="str">
        <f>IF(ISNA(VLOOKUP(Table3[[#This Row],[Ticket]],Table1[],17,FALSE)),"",VLOOKUP(Table3[[#This Row],[Ticket]],Table1[],17,FALSE))</f>
        <v/>
      </c>
      <c r="O164" s="128" t="str">
        <f>IF(Table3[[#This Row],[Actual End Date]]="","",TEXT(Table3[[#This Row],[Actual End Date]],"mmm-yy"))</f>
        <v/>
      </c>
      <c r="Q164" s="1"/>
    </row>
    <row r="165" spans="2:17">
      <c r="B165" s="64"/>
      <c r="C165" s="64"/>
      <c r="D165" s="64"/>
      <c r="E165" s="125"/>
      <c r="F165" s="125"/>
      <c r="G165" s="123"/>
      <c r="H165" s="130"/>
      <c r="I165" s="130"/>
      <c r="J165" s="64"/>
      <c r="K165" s="130"/>
      <c r="L165" s="130"/>
      <c r="M165" s="64"/>
      <c r="N165" s="127" t="str">
        <f>IF(ISNA(VLOOKUP(Table3[[#This Row],[Ticket]],Table1[],17,FALSE)),"",VLOOKUP(Table3[[#This Row],[Ticket]],Table1[],17,FALSE))</f>
        <v/>
      </c>
      <c r="O165" s="128" t="str">
        <f>IF(Table3[[#This Row],[Actual End Date]]="","",TEXT(Table3[[#This Row],[Actual End Date]],"mmm-yy"))</f>
        <v/>
      </c>
      <c r="Q165" s="1"/>
    </row>
    <row r="166" spans="2:17">
      <c r="B166" s="64"/>
      <c r="C166" s="64"/>
      <c r="D166" s="64"/>
      <c r="E166" s="125"/>
      <c r="F166" s="125"/>
      <c r="G166" s="123"/>
      <c r="H166" s="130"/>
      <c r="I166" s="130"/>
      <c r="J166" s="64"/>
      <c r="K166" s="130"/>
      <c r="L166" s="130"/>
      <c r="M166" s="64"/>
      <c r="N166" s="127" t="str">
        <f>IF(ISNA(VLOOKUP(Table3[[#This Row],[Ticket]],Table1[],17,FALSE)),"",VLOOKUP(Table3[[#This Row],[Ticket]],Table1[],17,FALSE))</f>
        <v/>
      </c>
      <c r="O166" s="128" t="str">
        <f>IF(Table3[[#This Row],[Actual End Date]]="","",TEXT(Table3[[#This Row],[Actual End Date]],"mmm-yy"))</f>
        <v/>
      </c>
      <c r="Q166" s="1"/>
    </row>
    <row r="167" spans="2:17">
      <c r="B167" s="64"/>
      <c r="C167" s="64"/>
      <c r="D167" s="64"/>
      <c r="E167" s="125"/>
      <c r="F167" s="125"/>
      <c r="G167" s="123"/>
      <c r="H167" s="130"/>
      <c r="I167" s="130"/>
      <c r="J167" s="64"/>
      <c r="K167" s="130"/>
      <c r="L167" s="130"/>
      <c r="M167" s="64"/>
      <c r="N167" s="127" t="str">
        <f>IF(ISNA(VLOOKUP(Table3[[#This Row],[Ticket]],Table1[],17,FALSE)),"",VLOOKUP(Table3[[#This Row],[Ticket]],Table1[],17,FALSE))</f>
        <v/>
      </c>
      <c r="O167" s="128" t="str">
        <f>IF(Table3[[#This Row],[Actual End Date]]="","",TEXT(Table3[[#This Row],[Actual End Date]],"mmm-yy"))</f>
        <v/>
      </c>
      <c r="Q167" s="1"/>
    </row>
    <row r="168" spans="2:17">
      <c r="B168" s="64"/>
      <c r="C168" s="64"/>
      <c r="D168" s="64"/>
      <c r="E168" s="125"/>
      <c r="F168" s="125"/>
      <c r="G168" s="123"/>
      <c r="H168" s="64"/>
      <c r="I168" s="64"/>
      <c r="J168" s="64"/>
      <c r="K168" s="64"/>
      <c r="L168" s="64"/>
      <c r="M168" s="64"/>
      <c r="N168" s="127" t="str">
        <f>IF(ISNA(VLOOKUP(Table3[[#This Row],[Ticket]],Table1[],17,FALSE)),"",VLOOKUP(Table3[[#This Row],[Ticket]],Table1[],17,FALSE))</f>
        <v/>
      </c>
      <c r="O168" s="128" t="str">
        <f>IF(Table3[[#This Row],[Actual End Date]]="","",TEXT(Table3[[#This Row],[Actual End Date]],"mmm-yy"))</f>
        <v/>
      </c>
      <c r="Q168" s="1"/>
    </row>
    <row r="169" spans="2:17">
      <c r="B169" s="64"/>
      <c r="C169" s="64"/>
      <c r="D169" s="64"/>
      <c r="E169" s="125"/>
      <c r="F169" s="125"/>
      <c r="G169" s="123"/>
      <c r="H169" s="64"/>
      <c r="I169" s="64"/>
      <c r="J169" s="64"/>
      <c r="K169" s="64"/>
      <c r="L169" s="64"/>
      <c r="M169" s="64"/>
      <c r="N169" s="127" t="str">
        <f>IF(ISNA(VLOOKUP(Table3[[#This Row],[Ticket]],Table1[],17,FALSE)),"",VLOOKUP(Table3[[#This Row],[Ticket]],Table1[],17,FALSE))</f>
        <v/>
      </c>
      <c r="O169" s="128" t="str">
        <f>IF(Table3[[#This Row],[Actual End Date]]="","",TEXT(Table3[[#This Row],[Actual End Date]],"mmm-yy"))</f>
        <v/>
      </c>
      <c r="Q169" s="1"/>
    </row>
    <row r="170" spans="2:17">
      <c r="B170" s="64"/>
      <c r="C170" s="64"/>
      <c r="D170" s="64"/>
      <c r="E170" s="125"/>
      <c r="F170" s="125"/>
      <c r="G170" s="123"/>
      <c r="H170" s="130"/>
      <c r="I170" s="130"/>
      <c r="J170" s="64"/>
      <c r="K170" s="130"/>
      <c r="L170" s="130"/>
      <c r="M170" s="64"/>
      <c r="N170" s="127" t="str">
        <f>IF(ISNA(VLOOKUP(Table3[[#This Row],[Ticket]],Table1[],17,FALSE)),"",VLOOKUP(Table3[[#This Row],[Ticket]],Table1[],17,FALSE))</f>
        <v/>
      </c>
      <c r="O170" s="128" t="str">
        <f>IF(Table3[[#This Row],[Actual End Date]]="","",TEXT(Table3[[#This Row],[Actual End Date]],"mmm-yy"))</f>
        <v/>
      </c>
      <c r="Q170" s="1"/>
    </row>
    <row r="171" spans="2:17">
      <c r="B171" s="64"/>
      <c r="C171" s="64"/>
      <c r="D171" s="64"/>
      <c r="E171" s="125"/>
      <c r="F171" s="125"/>
      <c r="G171" s="123"/>
      <c r="H171" s="130"/>
      <c r="I171" s="130"/>
      <c r="J171" s="64"/>
      <c r="K171" s="130"/>
      <c r="L171" s="130"/>
      <c r="M171" s="64"/>
      <c r="N171" s="127" t="str">
        <f>IF(ISNA(VLOOKUP(Table3[[#This Row],[Ticket]],Table1[],17,FALSE)),"",VLOOKUP(Table3[[#This Row],[Ticket]],Table1[],17,FALSE))</f>
        <v/>
      </c>
      <c r="O171" s="128" t="str">
        <f>IF(Table3[[#This Row],[Actual End Date]]="","",TEXT(Table3[[#This Row],[Actual End Date]],"mmm-yy"))</f>
        <v/>
      </c>
      <c r="Q171" s="1"/>
    </row>
    <row r="172" spans="2:17">
      <c r="B172" s="64"/>
      <c r="C172" s="64"/>
      <c r="D172" s="64"/>
      <c r="E172" s="125"/>
      <c r="F172" s="125"/>
      <c r="G172" s="123"/>
      <c r="H172" s="130"/>
      <c r="I172" s="130"/>
      <c r="J172" s="64"/>
      <c r="K172" s="130"/>
      <c r="L172" s="130"/>
      <c r="M172" s="64"/>
      <c r="N172" s="127" t="str">
        <f>IF(ISNA(VLOOKUP(Table3[[#This Row],[Ticket]],Table1[],17,FALSE)),"",VLOOKUP(Table3[[#This Row],[Ticket]],Table1[],17,FALSE))</f>
        <v/>
      </c>
      <c r="O172" s="128" t="str">
        <f>IF(Table3[[#This Row],[Actual End Date]]="","",TEXT(Table3[[#This Row],[Actual End Date]],"mmm-yy"))</f>
        <v/>
      </c>
      <c r="Q172" s="1"/>
    </row>
    <row r="173" spans="2:17">
      <c r="B173" s="64"/>
      <c r="C173" s="64"/>
      <c r="D173" s="64"/>
      <c r="E173" s="125"/>
      <c r="F173" s="125"/>
      <c r="G173" s="123"/>
      <c r="H173" s="130"/>
      <c r="I173" s="130"/>
      <c r="J173" s="64"/>
      <c r="K173" s="130"/>
      <c r="L173" s="130"/>
      <c r="M173" s="64"/>
      <c r="N173" s="127" t="str">
        <f>IF(ISNA(VLOOKUP(Table3[[#This Row],[Ticket]],Table1[],17,FALSE)),"",VLOOKUP(Table3[[#This Row],[Ticket]],Table1[],17,FALSE))</f>
        <v/>
      </c>
      <c r="O173" s="128" t="str">
        <f>IF(Table3[[#This Row],[Actual End Date]]="","",TEXT(Table3[[#This Row],[Actual End Date]],"mmm-yy"))</f>
        <v/>
      </c>
      <c r="Q173" s="1"/>
    </row>
    <row r="174" spans="2:17">
      <c r="B174" s="64"/>
      <c r="C174" s="64"/>
      <c r="D174" s="64"/>
      <c r="E174" s="125"/>
      <c r="F174" s="125"/>
      <c r="G174" s="123"/>
      <c r="H174" s="130"/>
      <c r="I174" s="130"/>
      <c r="J174" s="64"/>
      <c r="K174" s="130"/>
      <c r="L174" s="130"/>
      <c r="M174" s="64"/>
      <c r="N174" s="127" t="str">
        <f>IF(ISNA(VLOOKUP(Table3[[#This Row],[Ticket]],Table1[],17,FALSE)),"",VLOOKUP(Table3[[#This Row],[Ticket]],Table1[],17,FALSE))</f>
        <v/>
      </c>
      <c r="O174" s="128" t="str">
        <f>IF(Table3[[#This Row],[Actual End Date]]="","",TEXT(Table3[[#This Row],[Actual End Date]],"mmm-yy"))</f>
        <v/>
      </c>
      <c r="Q174" s="1"/>
    </row>
    <row r="175" spans="2:17">
      <c r="B175" s="64"/>
      <c r="C175" s="64"/>
      <c r="D175" s="64"/>
      <c r="E175" s="125"/>
      <c r="F175" s="125"/>
      <c r="G175" s="123"/>
      <c r="H175" s="130"/>
      <c r="I175" s="130"/>
      <c r="J175" s="64"/>
      <c r="K175" s="130"/>
      <c r="L175" s="130"/>
      <c r="M175" s="64"/>
      <c r="N175" s="127" t="str">
        <f>IF(ISNA(VLOOKUP(Table3[[#This Row],[Ticket]],Table1[],17,FALSE)),"",VLOOKUP(Table3[[#This Row],[Ticket]],Table1[],17,FALSE))</f>
        <v/>
      </c>
      <c r="O175" s="128" t="str">
        <f>IF(Table3[[#This Row],[Actual End Date]]="","",TEXT(Table3[[#This Row],[Actual End Date]],"mmm-yy"))</f>
        <v/>
      </c>
      <c r="Q175" s="1"/>
    </row>
    <row r="176" spans="2:17">
      <c r="B176" s="64"/>
      <c r="C176" s="64"/>
      <c r="D176" s="64"/>
      <c r="E176" s="125"/>
      <c r="F176" s="125"/>
      <c r="G176" s="123"/>
      <c r="H176" s="130"/>
      <c r="I176" s="130"/>
      <c r="J176" s="64"/>
      <c r="K176" s="130"/>
      <c r="L176" s="130"/>
      <c r="M176" s="64"/>
      <c r="N176" s="127" t="str">
        <f>IF(ISNA(VLOOKUP(Table3[[#This Row],[Ticket]],Table1[],17,FALSE)),"",VLOOKUP(Table3[[#This Row],[Ticket]],Table1[],17,FALSE))</f>
        <v/>
      </c>
      <c r="O176" s="128" t="str">
        <f>IF(Table3[[#This Row],[Actual End Date]]="","",TEXT(Table3[[#This Row],[Actual End Date]],"mmm-yy"))</f>
        <v/>
      </c>
      <c r="Q176" s="1"/>
    </row>
    <row r="177" spans="2:17">
      <c r="B177" s="64"/>
      <c r="C177" s="64"/>
      <c r="D177" s="64"/>
      <c r="E177" s="125"/>
      <c r="F177" s="125"/>
      <c r="G177" s="123"/>
      <c r="H177" s="130"/>
      <c r="I177" s="130"/>
      <c r="J177" s="64"/>
      <c r="K177" s="130"/>
      <c r="L177" s="130"/>
      <c r="M177" s="64"/>
      <c r="N177" s="127" t="str">
        <f>IF(ISNA(VLOOKUP(Table3[[#This Row],[Ticket]],Table1[],17,FALSE)),"",VLOOKUP(Table3[[#This Row],[Ticket]],Table1[],17,FALSE))</f>
        <v/>
      </c>
      <c r="O177" s="128" t="str">
        <f>IF(Table3[[#This Row],[Actual End Date]]="","",TEXT(Table3[[#This Row],[Actual End Date]],"mmm-yy"))</f>
        <v/>
      </c>
      <c r="Q177" s="1"/>
    </row>
    <row r="178" spans="2:17">
      <c r="B178" s="64"/>
      <c r="C178" s="64"/>
      <c r="D178" s="64"/>
      <c r="E178" s="125"/>
      <c r="F178" s="125"/>
      <c r="G178" s="123"/>
      <c r="H178" s="130"/>
      <c r="I178" s="130"/>
      <c r="J178" s="64"/>
      <c r="K178" s="130"/>
      <c r="L178" s="130"/>
      <c r="M178" s="64"/>
      <c r="N178" s="127" t="str">
        <f>IF(ISNA(VLOOKUP(Table3[[#This Row],[Ticket]],Table1[],17,FALSE)),"",VLOOKUP(Table3[[#This Row],[Ticket]],Table1[],17,FALSE))</f>
        <v/>
      </c>
      <c r="O178" s="128" t="str">
        <f>IF(Table3[[#This Row],[Actual End Date]]="","",TEXT(Table3[[#This Row],[Actual End Date]],"mmm-yy"))</f>
        <v/>
      </c>
      <c r="Q178" s="1"/>
    </row>
    <row r="179" spans="2:17">
      <c r="B179" s="64"/>
      <c r="C179" s="64"/>
      <c r="D179" s="64"/>
      <c r="E179" s="125"/>
      <c r="F179" s="125"/>
      <c r="G179" s="123"/>
      <c r="H179" s="130"/>
      <c r="I179" s="130"/>
      <c r="J179" s="64"/>
      <c r="K179" s="130"/>
      <c r="L179" s="130"/>
      <c r="M179" s="64"/>
      <c r="N179" s="127" t="str">
        <f>IF(ISNA(VLOOKUP(Table3[[#This Row],[Ticket]],Table1[],17,FALSE)),"",VLOOKUP(Table3[[#This Row],[Ticket]],Table1[],17,FALSE))</f>
        <v/>
      </c>
      <c r="O179" s="128" t="str">
        <f>IF(Table3[[#This Row],[Actual End Date]]="","",TEXT(Table3[[#This Row],[Actual End Date]],"mmm-yy"))</f>
        <v/>
      </c>
      <c r="Q179" s="1"/>
    </row>
    <row r="180" spans="2:17">
      <c r="B180" s="64"/>
      <c r="C180" s="64"/>
      <c r="D180" s="64"/>
      <c r="E180" s="125"/>
      <c r="F180" s="125"/>
      <c r="G180" s="123"/>
      <c r="H180" s="130"/>
      <c r="I180" s="130"/>
      <c r="J180" s="64"/>
      <c r="K180" s="130"/>
      <c r="L180" s="130"/>
      <c r="M180" s="64"/>
      <c r="N180" s="127" t="str">
        <f>IF(ISNA(VLOOKUP(Table3[[#This Row],[Ticket]],Table1[],17,FALSE)),"",VLOOKUP(Table3[[#This Row],[Ticket]],Table1[],17,FALSE))</f>
        <v/>
      </c>
      <c r="O180" s="128" t="str">
        <f>IF(Table3[[#This Row],[Actual End Date]]="","",TEXT(Table3[[#This Row],[Actual End Date]],"mmm-yy"))</f>
        <v/>
      </c>
      <c r="Q180" s="1"/>
    </row>
    <row r="181" spans="2:17">
      <c r="B181" s="64"/>
      <c r="C181" s="64"/>
      <c r="D181" s="64"/>
      <c r="E181" s="125"/>
      <c r="F181" s="125"/>
      <c r="G181" s="123"/>
      <c r="H181" s="130"/>
      <c r="I181" s="130"/>
      <c r="J181" s="64"/>
      <c r="K181" s="130"/>
      <c r="L181" s="130"/>
      <c r="M181" s="64"/>
      <c r="N181" s="127" t="str">
        <f>IF(ISNA(VLOOKUP(Table3[[#This Row],[Ticket]],Table1[],17,FALSE)),"",VLOOKUP(Table3[[#This Row],[Ticket]],Table1[],17,FALSE))</f>
        <v/>
      </c>
      <c r="O181" s="128" t="str">
        <f>IF(Table3[[#This Row],[Actual End Date]]="","",TEXT(Table3[[#This Row],[Actual End Date]],"mmm-yy"))</f>
        <v/>
      </c>
      <c r="Q181" s="1"/>
    </row>
    <row r="182" spans="2:17">
      <c r="B182" s="64"/>
      <c r="C182" s="64"/>
      <c r="D182" s="64"/>
      <c r="E182" s="125"/>
      <c r="F182" s="125"/>
      <c r="G182" s="123"/>
      <c r="H182" s="130"/>
      <c r="I182" s="130"/>
      <c r="J182" s="64"/>
      <c r="K182" s="130"/>
      <c r="L182" s="130"/>
      <c r="M182" s="64"/>
      <c r="N182" s="127" t="str">
        <f>IF(ISNA(VLOOKUP(Table3[[#This Row],[Ticket]],Table1[],17,FALSE)),"",VLOOKUP(Table3[[#This Row],[Ticket]],Table1[],17,FALSE))</f>
        <v/>
      </c>
      <c r="O182" s="128" t="str">
        <f>IF(Table3[[#This Row],[Actual End Date]]="","",TEXT(Table3[[#This Row],[Actual End Date]],"mmm-yy"))</f>
        <v/>
      </c>
      <c r="Q182" s="1"/>
    </row>
    <row r="183" spans="2:17">
      <c r="B183" s="64"/>
      <c r="C183" s="64"/>
      <c r="D183" s="64"/>
      <c r="E183" s="125"/>
      <c r="F183" s="125"/>
      <c r="G183" s="123"/>
      <c r="H183" s="130"/>
      <c r="I183" s="130"/>
      <c r="J183" s="64"/>
      <c r="K183" s="130"/>
      <c r="L183" s="130"/>
      <c r="M183" s="64"/>
      <c r="N183" s="127" t="str">
        <f>IF(ISNA(VLOOKUP(Table3[[#This Row],[Ticket]],Table1[],17,FALSE)),"",VLOOKUP(Table3[[#This Row],[Ticket]],Table1[],17,FALSE))</f>
        <v/>
      </c>
      <c r="O183" s="128" t="str">
        <f>IF(Table3[[#This Row],[Actual End Date]]="","",TEXT(Table3[[#This Row],[Actual End Date]],"mmm-yy"))</f>
        <v/>
      </c>
      <c r="Q183" s="1"/>
    </row>
    <row r="184" spans="2:17">
      <c r="B184" s="64"/>
      <c r="C184" s="64"/>
      <c r="D184" s="64"/>
      <c r="E184" s="125"/>
      <c r="F184" s="125"/>
      <c r="G184" s="123"/>
      <c r="H184" s="130"/>
      <c r="I184" s="130"/>
      <c r="J184" s="64"/>
      <c r="K184" s="130"/>
      <c r="L184" s="130"/>
      <c r="M184" s="64"/>
      <c r="N184" s="127" t="str">
        <f>IF(ISNA(VLOOKUP(Table3[[#This Row],[Ticket]],Table1[],17,FALSE)),"",VLOOKUP(Table3[[#This Row],[Ticket]],Table1[],17,FALSE))</f>
        <v/>
      </c>
      <c r="O184" s="128" t="str">
        <f>IF(Table3[[#This Row],[Actual End Date]]="","",TEXT(Table3[[#This Row],[Actual End Date]],"mmm-yy"))</f>
        <v/>
      </c>
      <c r="Q184" s="1"/>
    </row>
    <row r="185" spans="2:17">
      <c r="B185" s="64"/>
      <c r="C185" s="64"/>
      <c r="D185" s="64"/>
      <c r="E185" s="125"/>
      <c r="F185" s="125"/>
      <c r="G185" s="123"/>
      <c r="H185" s="130"/>
      <c r="I185" s="130"/>
      <c r="J185" s="64"/>
      <c r="K185" s="130"/>
      <c r="L185" s="130"/>
      <c r="M185" s="64"/>
      <c r="N185" s="127" t="str">
        <f>IF(ISNA(VLOOKUP(Table3[[#This Row],[Ticket]],Table1[],17,FALSE)),"",VLOOKUP(Table3[[#This Row],[Ticket]],Table1[],17,FALSE))</f>
        <v/>
      </c>
      <c r="O185" s="128" t="str">
        <f>IF(Table3[[#This Row],[Actual End Date]]="","",TEXT(Table3[[#This Row],[Actual End Date]],"mmm-yy"))</f>
        <v/>
      </c>
      <c r="Q185" s="1"/>
    </row>
    <row r="186" spans="2:17">
      <c r="B186" s="64"/>
      <c r="C186" s="64"/>
      <c r="D186" s="64"/>
      <c r="E186" s="125"/>
      <c r="F186" s="125"/>
      <c r="G186" s="123"/>
      <c r="H186" s="130"/>
      <c r="I186" s="130"/>
      <c r="J186" s="64"/>
      <c r="K186" s="130"/>
      <c r="L186" s="130"/>
      <c r="M186" s="64"/>
      <c r="N186" s="127" t="str">
        <f>IF(ISNA(VLOOKUP(Table3[[#This Row],[Ticket]],Table1[],17,FALSE)),"",VLOOKUP(Table3[[#This Row],[Ticket]],Table1[],17,FALSE))</f>
        <v/>
      </c>
      <c r="O186" s="128" t="str">
        <f>IF(Table3[[#This Row],[Actual End Date]]="","",TEXT(Table3[[#This Row],[Actual End Date]],"mmm-yy"))</f>
        <v/>
      </c>
      <c r="Q186" s="1"/>
    </row>
    <row r="187" spans="2:17">
      <c r="B187" s="64"/>
      <c r="C187" s="64"/>
      <c r="D187" s="64"/>
      <c r="E187" s="125"/>
      <c r="F187" s="125"/>
      <c r="G187" s="123"/>
      <c r="H187" s="130"/>
      <c r="I187" s="130"/>
      <c r="J187" s="64"/>
      <c r="K187" s="130"/>
      <c r="L187" s="130"/>
      <c r="M187" s="64"/>
      <c r="N187" s="127" t="str">
        <f>IF(ISNA(VLOOKUP(Table3[[#This Row],[Ticket]],Table1[],17,FALSE)),"",VLOOKUP(Table3[[#This Row],[Ticket]],Table1[],17,FALSE))</f>
        <v/>
      </c>
      <c r="O187" s="128" t="str">
        <f>IF(Table3[[#This Row],[Actual End Date]]="","",TEXT(Table3[[#This Row],[Actual End Date]],"mmm-yy"))</f>
        <v/>
      </c>
      <c r="Q187" s="1"/>
    </row>
    <row r="188" spans="2:17">
      <c r="B188" s="64"/>
      <c r="C188" s="64"/>
      <c r="D188" s="64"/>
      <c r="E188" s="125"/>
      <c r="F188" s="125"/>
      <c r="G188" s="123"/>
      <c r="H188" s="130"/>
      <c r="I188" s="130"/>
      <c r="J188" s="64"/>
      <c r="K188" s="130"/>
      <c r="L188" s="130"/>
      <c r="M188" s="64"/>
      <c r="N188" s="127" t="str">
        <f>IF(ISNA(VLOOKUP(Table3[[#This Row],[Ticket]],Table1[],17,FALSE)),"",VLOOKUP(Table3[[#This Row],[Ticket]],Table1[],17,FALSE))</f>
        <v/>
      </c>
      <c r="O188" s="128" t="str">
        <f>IF(Table3[[#This Row],[Actual End Date]]="","",TEXT(Table3[[#This Row],[Actual End Date]],"mmm-yy"))</f>
        <v/>
      </c>
      <c r="Q188" s="1"/>
    </row>
    <row r="189" spans="2:17">
      <c r="B189" s="64"/>
      <c r="C189" s="64"/>
      <c r="D189" s="64"/>
      <c r="E189" s="125"/>
      <c r="F189" s="125"/>
      <c r="G189" s="123"/>
      <c r="H189" s="130"/>
      <c r="I189" s="130"/>
      <c r="J189" s="64"/>
      <c r="K189" s="130"/>
      <c r="L189" s="130"/>
      <c r="M189" s="64"/>
      <c r="N189" s="127" t="str">
        <f>IF(ISNA(VLOOKUP(Table3[[#This Row],[Ticket]],Table1[],17,FALSE)),"",VLOOKUP(Table3[[#This Row],[Ticket]],Table1[],17,FALSE))</f>
        <v/>
      </c>
      <c r="O189" s="128" t="str">
        <f>IF(Table3[[#This Row],[Actual End Date]]="","",TEXT(Table3[[#This Row],[Actual End Date]],"mmm-yy"))</f>
        <v/>
      </c>
      <c r="Q189" s="1"/>
    </row>
    <row r="190" spans="2:17">
      <c r="B190" s="64"/>
      <c r="C190" s="64"/>
      <c r="D190" s="64"/>
      <c r="E190" s="125"/>
      <c r="F190" s="125"/>
      <c r="G190" s="123"/>
      <c r="H190" s="130"/>
      <c r="I190" s="130"/>
      <c r="J190" s="64"/>
      <c r="K190" s="130"/>
      <c r="L190" s="130"/>
      <c r="M190" s="64"/>
      <c r="N190" s="127" t="str">
        <f>IF(ISNA(VLOOKUP(Table3[[#This Row],[Ticket]],Table1[],17,FALSE)),"",VLOOKUP(Table3[[#This Row],[Ticket]],Table1[],17,FALSE))</f>
        <v/>
      </c>
      <c r="O190" s="128" t="str">
        <f>IF(Table3[[#This Row],[Actual End Date]]="","",TEXT(Table3[[#This Row],[Actual End Date]],"mmm-yy"))</f>
        <v/>
      </c>
      <c r="Q190" s="1"/>
    </row>
    <row r="191" spans="2:17">
      <c r="B191" s="64"/>
      <c r="C191" s="64"/>
      <c r="D191" s="64"/>
      <c r="E191" s="125"/>
      <c r="F191" s="125"/>
      <c r="G191" s="123"/>
      <c r="H191" s="130"/>
      <c r="I191" s="130"/>
      <c r="J191" s="64"/>
      <c r="K191" s="130"/>
      <c r="L191" s="130"/>
      <c r="M191" s="64"/>
      <c r="N191" s="127" t="str">
        <f>IF(ISNA(VLOOKUP(Table3[[#This Row],[Ticket]],Table1[],17,FALSE)),"",VLOOKUP(Table3[[#This Row],[Ticket]],Table1[],17,FALSE))</f>
        <v/>
      </c>
      <c r="O191" s="128" t="str">
        <f>IF(Table3[[#This Row],[Actual End Date]]="","",TEXT(Table3[[#This Row],[Actual End Date]],"mmm-yy"))</f>
        <v/>
      </c>
      <c r="Q191" s="1"/>
    </row>
    <row r="192" spans="2:17">
      <c r="B192" s="64"/>
      <c r="C192" s="64"/>
      <c r="D192" s="64"/>
      <c r="E192" s="125"/>
      <c r="F192" s="125"/>
      <c r="G192" s="123"/>
      <c r="H192" s="130"/>
      <c r="I192" s="130"/>
      <c r="J192" s="64"/>
      <c r="K192" s="130"/>
      <c r="L192" s="130"/>
      <c r="M192" s="64"/>
      <c r="N192" s="127" t="str">
        <f>IF(ISNA(VLOOKUP(Table3[[#This Row],[Ticket]],Table1[],17,FALSE)),"",VLOOKUP(Table3[[#This Row],[Ticket]],Table1[],17,FALSE))</f>
        <v/>
      </c>
      <c r="O192" s="128" t="str">
        <f>IF(Table3[[#This Row],[Actual End Date]]="","",TEXT(Table3[[#This Row],[Actual End Date]],"mmm-yy"))</f>
        <v/>
      </c>
      <c r="Q192" s="1"/>
    </row>
    <row r="193" spans="2:17">
      <c r="B193" s="64"/>
      <c r="C193" s="64"/>
      <c r="D193" s="64"/>
      <c r="E193" s="125"/>
      <c r="F193" s="125"/>
      <c r="G193" s="123"/>
      <c r="H193" s="130"/>
      <c r="I193" s="130"/>
      <c r="J193" s="64"/>
      <c r="K193" s="130"/>
      <c r="L193" s="130"/>
      <c r="M193" s="64"/>
      <c r="N193" s="127" t="str">
        <f>IF(ISNA(VLOOKUP(Table3[[#This Row],[Ticket]],Table1[],17,FALSE)),"",VLOOKUP(Table3[[#This Row],[Ticket]],Table1[],17,FALSE))</f>
        <v/>
      </c>
      <c r="O193" s="128" t="str">
        <f>IF(Table3[[#This Row],[Actual End Date]]="","",TEXT(Table3[[#This Row],[Actual End Date]],"mmm-yy"))</f>
        <v/>
      </c>
      <c r="Q193" s="1"/>
    </row>
    <row r="194" spans="2:17">
      <c r="B194" s="64"/>
      <c r="C194" s="64"/>
      <c r="D194" s="64"/>
      <c r="E194" s="125"/>
      <c r="F194" s="125"/>
      <c r="G194" s="123"/>
      <c r="H194" s="130"/>
      <c r="I194" s="130"/>
      <c r="J194" s="64"/>
      <c r="K194" s="130"/>
      <c r="L194" s="130"/>
      <c r="M194" s="64"/>
      <c r="N194" s="127" t="str">
        <f>IF(ISNA(VLOOKUP(Table3[[#This Row],[Ticket]],Table1[],17,FALSE)),"",VLOOKUP(Table3[[#This Row],[Ticket]],Table1[],17,FALSE))</f>
        <v/>
      </c>
      <c r="O194" s="128" t="str">
        <f>IF(Table3[[#This Row],[Actual End Date]]="","",TEXT(Table3[[#This Row],[Actual End Date]],"mmm-yy"))</f>
        <v/>
      </c>
      <c r="Q194" s="1"/>
    </row>
    <row r="195" spans="2:17">
      <c r="B195" s="64"/>
      <c r="C195" s="64"/>
      <c r="D195" s="64"/>
      <c r="E195" s="125"/>
      <c r="F195" s="125"/>
      <c r="G195" s="123"/>
      <c r="H195" s="130"/>
      <c r="I195" s="130"/>
      <c r="J195" s="64"/>
      <c r="K195" s="130"/>
      <c r="L195" s="130"/>
      <c r="M195" s="64"/>
      <c r="N195" s="127" t="str">
        <f>IF(ISNA(VLOOKUP(Table3[[#This Row],[Ticket]],Table1[],17,FALSE)),"",VLOOKUP(Table3[[#This Row],[Ticket]],Table1[],17,FALSE))</f>
        <v/>
      </c>
      <c r="O195" s="128" t="str">
        <f>IF(Table3[[#This Row],[Actual End Date]]="","",TEXT(Table3[[#This Row],[Actual End Date]],"mmm-yy"))</f>
        <v/>
      </c>
      <c r="Q195" s="1"/>
    </row>
    <row r="196" spans="2:17">
      <c r="B196" s="64"/>
      <c r="C196" s="64"/>
      <c r="D196" s="64"/>
      <c r="E196" s="125"/>
      <c r="F196" s="125"/>
      <c r="G196" s="123"/>
      <c r="H196" s="130"/>
      <c r="I196" s="130"/>
      <c r="J196" s="64"/>
      <c r="K196" s="130"/>
      <c r="L196" s="130"/>
      <c r="M196" s="64"/>
      <c r="N196" s="127" t="str">
        <f>IF(ISNA(VLOOKUP(Table3[[#This Row],[Ticket]],Table1[],17,FALSE)),"",VLOOKUP(Table3[[#This Row],[Ticket]],Table1[],17,FALSE))</f>
        <v/>
      </c>
      <c r="O196" s="128" t="str">
        <f>IF(Table3[[#This Row],[Actual End Date]]="","",TEXT(Table3[[#This Row],[Actual End Date]],"mmm-yy"))</f>
        <v/>
      </c>
      <c r="Q196" s="1"/>
    </row>
    <row r="197" spans="2:17">
      <c r="B197" s="64"/>
      <c r="C197" s="64"/>
      <c r="D197" s="64"/>
      <c r="E197" s="125"/>
      <c r="F197" s="125"/>
      <c r="G197" s="123"/>
      <c r="H197" s="130"/>
      <c r="I197" s="130"/>
      <c r="J197" s="64"/>
      <c r="K197" s="130"/>
      <c r="L197" s="130"/>
      <c r="M197" s="64"/>
      <c r="N197" s="127" t="str">
        <f>IF(ISNA(VLOOKUP(Table3[[#This Row],[Ticket]],Table1[],17,FALSE)),"",VLOOKUP(Table3[[#This Row],[Ticket]],Table1[],17,FALSE))</f>
        <v/>
      </c>
      <c r="O197" s="128" t="str">
        <f>IF(Table3[[#This Row],[Actual End Date]]="","",TEXT(Table3[[#This Row],[Actual End Date]],"mmm-yy"))</f>
        <v/>
      </c>
      <c r="Q197" s="1"/>
    </row>
    <row r="198" spans="2:17">
      <c r="B198" s="64"/>
      <c r="C198" s="116"/>
      <c r="D198" s="64"/>
      <c r="E198" s="125"/>
      <c r="F198" s="125"/>
      <c r="G198" s="123"/>
      <c r="H198" s="130"/>
      <c r="I198" s="130"/>
      <c r="J198" s="64"/>
      <c r="K198" s="130"/>
      <c r="L198" s="130"/>
      <c r="M198" s="64"/>
      <c r="N198" s="127" t="str">
        <f>IF(ISNA(VLOOKUP(Table3[[#This Row],[Ticket]],Table1[],17,FALSE)),"",VLOOKUP(Table3[[#This Row],[Ticket]],Table1[],17,FALSE))</f>
        <v/>
      </c>
      <c r="O198" s="128" t="str">
        <f>IF(Table3[[#This Row],[Actual End Date]]="","",TEXT(Table3[[#This Row],[Actual End Date]],"mmm-yy"))</f>
        <v/>
      </c>
      <c r="Q198" s="1"/>
    </row>
    <row r="199" spans="2:17">
      <c r="B199" s="64"/>
      <c r="C199" s="116"/>
      <c r="D199" s="64"/>
      <c r="E199" s="125"/>
      <c r="F199" s="125"/>
      <c r="G199" s="123"/>
      <c r="H199" s="130"/>
      <c r="I199" s="130"/>
      <c r="J199" s="64"/>
      <c r="K199" s="130"/>
      <c r="L199" s="130"/>
      <c r="M199" s="64"/>
      <c r="N199" s="127" t="str">
        <f>IF(ISNA(VLOOKUP(Table3[[#This Row],[Ticket]],Table1[],17,FALSE)),"",VLOOKUP(Table3[[#This Row],[Ticket]],Table1[],17,FALSE))</f>
        <v/>
      </c>
      <c r="O199" s="128" t="str">
        <f>IF(Table3[[#This Row],[Actual End Date]]="","",TEXT(Table3[[#This Row],[Actual End Date]],"mmm-yy"))</f>
        <v/>
      </c>
      <c r="Q199" s="1"/>
    </row>
    <row r="200" spans="2:17">
      <c r="B200" s="64"/>
      <c r="C200" s="116"/>
      <c r="D200" s="64"/>
      <c r="E200" s="125"/>
      <c r="F200" s="125"/>
      <c r="G200" s="123"/>
      <c r="H200" s="130"/>
      <c r="I200" s="130"/>
      <c r="J200" s="64"/>
      <c r="K200" s="130"/>
      <c r="L200" s="130"/>
      <c r="M200" s="64"/>
      <c r="N200" s="127" t="str">
        <f>IF(ISNA(VLOOKUP(Table3[[#This Row],[Ticket]],Table1[],17,FALSE)),"",VLOOKUP(Table3[[#This Row],[Ticket]],Table1[],17,FALSE))</f>
        <v/>
      </c>
      <c r="O200" s="128" t="str">
        <f>IF(Table3[[#This Row],[Actual End Date]]="","",TEXT(Table3[[#This Row],[Actual End Date]],"mmm-yy"))</f>
        <v/>
      </c>
      <c r="Q200" s="1"/>
    </row>
    <row r="201" spans="2:17">
      <c r="B201" s="64"/>
      <c r="C201" s="116"/>
      <c r="D201" s="64"/>
      <c r="E201" s="125"/>
      <c r="F201" s="125"/>
      <c r="G201" s="123"/>
      <c r="H201" s="130"/>
      <c r="I201" s="130"/>
      <c r="J201" s="64"/>
      <c r="K201" s="130"/>
      <c r="L201" s="130"/>
      <c r="M201" s="64"/>
      <c r="N201" s="127" t="str">
        <f>IF(ISNA(VLOOKUP(Table3[[#This Row],[Ticket]],Table1[],17,FALSE)),"",VLOOKUP(Table3[[#This Row],[Ticket]],Table1[],17,FALSE))</f>
        <v/>
      </c>
      <c r="O201" s="128" t="str">
        <f>IF(Table3[[#This Row],[Actual End Date]]="","",TEXT(Table3[[#This Row],[Actual End Date]],"mmm-yy"))</f>
        <v/>
      </c>
      <c r="Q201" s="1"/>
    </row>
    <row r="202" spans="2:17">
      <c r="B202" s="64"/>
      <c r="C202" s="116"/>
      <c r="D202" s="64"/>
      <c r="E202" s="125"/>
      <c r="F202" s="125"/>
      <c r="G202" s="123"/>
      <c r="H202" s="130"/>
      <c r="I202" s="130"/>
      <c r="J202" s="64"/>
      <c r="K202" s="130"/>
      <c r="L202" s="130"/>
      <c r="M202" s="64"/>
      <c r="N202" s="127" t="str">
        <f>IF(ISNA(VLOOKUP(Table3[[#This Row],[Ticket]],Table1[],17,FALSE)),"",VLOOKUP(Table3[[#This Row],[Ticket]],Table1[],17,FALSE))</f>
        <v/>
      </c>
      <c r="O202" s="128" t="str">
        <f>IF(Table3[[#This Row],[Actual End Date]]="","",TEXT(Table3[[#This Row],[Actual End Date]],"mmm-yy"))</f>
        <v/>
      </c>
      <c r="Q202" s="1"/>
    </row>
    <row r="203" spans="2:17">
      <c r="B203" s="64"/>
      <c r="C203" s="116"/>
      <c r="D203" s="64"/>
      <c r="E203" s="125"/>
      <c r="F203" s="125"/>
      <c r="G203" s="123"/>
      <c r="H203" s="130"/>
      <c r="I203" s="130"/>
      <c r="J203" s="64"/>
      <c r="K203" s="130"/>
      <c r="L203" s="130"/>
      <c r="M203" s="64"/>
      <c r="N203" s="127" t="str">
        <f>IF(ISNA(VLOOKUP(Table3[[#This Row],[Ticket]],Table1[],17,FALSE)),"",VLOOKUP(Table3[[#This Row],[Ticket]],Table1[],17,FALSE))</f>
        <v/>
      </c>
      <c r="O203" s="128" t="str">
        <f>IF(Table3[[#This Row],[Actual End Date]]="","",TEXT(Table3[[#This Row],[Actual End Date]],"mmm-yy"))</f>
        <v/>
      </c>
      <c r="Q203" s="1"/>
    </row>
    <row r="204" spans="2:17">
      <c r="B204" s="64"/>
      <c r="C204" s="116"/>
      <c r="D204" s="64"/>
      <c r="E204" s="125"/>
      <c r="F204" s="125"/>
      <c r="G204" s="123"/>
      <c r="H204" s="130"/>
      <c r="I204" s="130"/>
      <c r="J204" s="64"/>
      <c r="K204" s="130"/>
      <c r="L204" s="130"/>
      <c r="M204" s="64"/>
      <c r="N204" s="127" t="str">
        <f>IF(ISNA(VLOOKUP(Table3[[#This Row],[Ticket]],Table1[],17,FALSE)),"",VLOOKUP(Table3[[#This Row],[Ticket]],Table1[],17,FALSE))</f>
        <v/>
      </c>
      <c r="O204" s="128" t="str">
        <f>IF(Table3[[#This Row],[Actual End Date]]="","",TEXT(Table3[[#This Row],[Actual End Date]],"mmm-yy"))</f>
        <v/>
      </c>
      <c r="Q204" s="1"/>
    </row>
    <row r="205" spans="2:17">
      <c r="B205" s="64"/>
      <c r="C205" s="116"/>
      <c r="D205" s="64"/>
      <c r="E205" s="125"/>
      <c r="F205" s="125"/>
      <c r="G205" s="123"/>
      <c r="H205" s="130"/>
      <c r="I205" s="130"/>
      <c r="J205" s="64"/>
      <c r="K205" s="130"/>
      <c r="L205" s="130"/>
      <c r="M205" s="64"/>
      <c r="N205" s="127" t="str">
        <f>IF(ISNA(VLOOKUP(Table3[[#This Row],[Ticket]],Table1[],17,FALSE)),"",VLOOKUP(Table3[[#This Row],[Ticket]],Table1[],17,FALSE))</f>
        <v/>
      </c>
      <c r="O205" s="128" t="str">
        <f>IF(Table3[[#This Row],[Actual End Date]]="","",TEXT(Table3[[#This Row],[Actual End Date]],"mmm-yy"))</f>
        <v/>
      </c>
      <c r="Q205" s="1"/>
    </row>
    <row r="206" spans="2:17">
      <c r="B206" s="64"/>
      <c r="C206" s="116"/>
      <c r="D206" s="64"/>
      <c r="E206" s="125"/>
      <c r="F206" s="125"/>
      <c r="G206" s="123"/>
      <c r="H206" s="130"/>
      <c r="I206" s="130"/>
      <c r="J206" s="64"/>
      <c r="K206" s="130"/>
      <c r="L206" s="130"/>
      <c r="M206" s="64"/>
      <c r="N206" s="127" t="str">
        <f>IF(ISNA(VLOOKUP(Table3[[#This Row],[Ticket]],Table1[],17,FALSE)),"",VLOOKUP(Table3[[#This Row],[Ticket]],Table1[],17,FALSE))</f>
        <v/>
      </c>
      <c r="O206" s="128" t="str">
        <f>IF(Table3[[#This Row],[Actual End Date]]="","",TEXT(Table3[[#This Row],[Actual End Date]],"mmm-yy"))</f>
        <v/>
      </c>
      <c r="Q206" s="1"/>
    </row>
    <row r="207" spans="2:17">
      <c r="B207" s="64"/>
      <c r="C207" s="116"/>
      <c r="D207" s="64"/>
      <c r="E207" s="125"/>
      <c r="F207" s="125"/>
      <c r="G207" s="123"/>
      <c r="H207" s="130"/>
      <c r="I207" s="130"/>
      <c r="J207" s="64"/>
      <c r="K207" s="130"/>
      <c r="L207" s="130"/>
      <c r="M207" s="64"/>
      <c r="N207" s="127" t="str">
        <f>IF(ISNA(VLOOKUP(Table3[[#This Row],[Ticket]],Table1[],17,FALSE)),"",VLOOKUP(Table3[[#This Row],[Ticket]],Table1[],17,FALSE))</f>
        <v/>
      </c>
      <c r="O207" s="128" t="str">
        <f>IF(Table3[[#This Row],[Actual End Date]]="","",TEXT(Table3[[#This Row],[Actual End Date]],"mmm-yy"))</f>
        <v/>
      </c>
      <c r="Q207" s="1"/>
    </row>
    <row r="208" spans="2:17">
      <c r="B208" s="64"/>
      <c r="C208" s="116"/>
      <c r="D208" s="64"/>
      <c r="E208" s="125"/>
      <c r="F208" s="125"/>
      <c r="G208" s="123"/>
      <c r="H208" s="130"/>
      <c r="I208" s="130"/>
      <c r="J208" s="64"/>
      <c r="K208" s="130"/>
      <c r="L208" s="130"/>
      <c r="M208" s="64"/>
      <c r="N208" s="127" t="str">
        <f>IF(ISNA(VLOOKUP(Table3[[#This Row],[Ticket]],Table1[],17,FALSE)),"",VLOOKUP(Table3[[#This Row],[Ticket]],Table1[],17,FALSE))</f>
        <v/>
      </c>
      <c r="O208" s="128" t="str">
        <f>IF(Table3[[#This Row],[Actual End Date]]="","",TEXT(Table3[[#This Row],[Actual End Date]],"mmm-yy"))</f>
        <v/>
      </c>
      <c r="Q208" s="1"/>
    </row>
    <row r="209" spans="2:17">
      <c r="B209" s="64"/>
      <c r="C209" s="116"/>
      <c r="D209" s="64"/>
      <c r="E209" s="125"/>
      <c r="F209" s="125"/>
      <c r="G209" s="123"/>
      <c r="H209" s="130"/>
      <c r="I209" s="130"/>
      <c r="J209" s="64"/>
      <c r="K209" s="130"/>
      <c r="L209" s="130"/>
      <c r="M209" s="64"/>
      <c r="N209" s="127" t="str">
        <f>IF(ISNA(VLOOKUP(Table3[[#This Row],[Ticket]],Table1[],17,FALSE)),"",VLOOKUP(Table3[[#This Row],[Ticket]],Table1[],17,FALSE))</f>
        <v/>
      </c>
      <c r="O209" s="128" t="str">
        <f>IF(Table3[[#This Row],[Actual End Date]]="","",TEXT(Table3[[#This Row],[Actual End Date]],"mmm-yy"))</f>
        <v/>
      </c>
      <c r="Q209" s="1"/>
    </row>
    <row r="210" spans="2:17">
      <c r="B210" s="64"/>
      <c r="C210" s="116"/>
      <c r="D210" s="64"/>
      <c r="E210" s="125"/>
      <c r="F210" s="125"/>
      <c r="G210" s="123"/>
      <c r="H210" s="130"/>
      <c r="I210" s="130"/>
      <c r="J210" s="64"/>
      <c r="K210" s="130"/>
      <c r="L210" s="130"/>
      <c r="M210" s="64"/>
      <c r="N210" s="127" t="str">
        <f>IF(ISNA(VLOOKUP(Table3[[#This Row],[Ticket]],Table1[],17,FALSE)),"",VLOOKUP(Table3[[#This Row],[Ticket]],Table1[],17,FALSE))</f>
        <v/>
      </c>
      <c r="O210" s="128" t="str">
        <f>IF(Table3[[#This Row],[Actual End Date]]="","",TEXT(Table3[[#This Row],[Actual End Date]],"mmm-yy"))</f>
        <v/>
      </c>
      <c r="Q210" s="1"/>
    </row>
    <row r="211" spans="2:17">
      <c r="B211" s="64"/>
      <c r="C211" s="116"/>
      <c r="D211" s="64"/>
      <c r="E211" s="125"/>
      <c r="F211" s="125"/>
      <c r="G211" s="123"/>
      <c r="H211" s="130"/>
      <c r="I211" s="130"/>
      <c r="J211" s="64"/>
      <c r="K211" s="130"/>
      <c r="L211" s="130"/>
      <c r="M211" s="64"/>
      <c r="N211" s="127" t="str">
        <f>IF(ISNA(VLOOKUP(Table3[[#This Row],[Ticket]],Table1[],17,FALSE)),"",VLOOKUP(Table3[[#This Row],[Ticket]],Table1[],17,FALSE))</f>
        <v/>
      </c>
      <c r="O211" s="128" t="str">
        <f>IF(Table3[[#This Row],[Actual End Date]]="","",TEXT(Table3[[#This Row],[Actual End Date]],"mmm-yy"))</f>
        <v/>
      </c>
      <c r="Q211" s="1"/>
    </row>
    <row r="212" spans="2:17">
      <c r="B212" s="64"/>
      <c r="C212" s="116"/>
      <c r="D212" s="64"/>
      <c r="E212" s="125"/>
      <c r="F212" s="125"/>
      <c r="G212" s="123"/>
      <c r="H212" s="130"/>
      <c r="I212" s="130"/>
      <c r="J212" s="64"/>
      <c r="K212" s="130"/>
      <c r="L212" s="130"/>
      <c r="M212" s="64"/>
      <c r="N212" s="127" t="str">
        <f>IF(ISNA(VLOOKUP(Table3[[#This Row],[Ticket]],Table1[],17,FALSE)),"",VLOOKUP(Table3[[#This Row],[Ticket]],Table1[],17,FALSE))</f>
        <v/>
      </c>
      <c r="O212" s="128" t="str">
        <f>IF(Table3[[#This Row],[Actual End Date]]="","",TEXT(Table3[[#This Row],[Actual End Date]],"mmm-yy"))</f>
        <v/>
      </c>
      <c r="Q212" s="1"/>
    </row>
    <row r="213" spans="2:17">
      <c r="B213" s="64"/>
      <c r="C213" s="116"/>
      <c r="D213" s="64"/>
      <c r="E213" s="125"/>
      <c r="F213" s="125"/>
      <c r="G213" s="123"/>
      <c r="H213" s="130"/>
      <c r="I213" s="130"/>
      <c r="J213" s="64"/>
      <c r="K213" s="130"/>
      <c r="L213" s="130"/>
      <c r="M213" s="64"/>
      <c r="N213" s="127" t="str">
        <f>IF(ISNA(VLOOKUP(Table3[[#This Row],[Ticket]],Table1[],17,FALSE)),"",VLOOKUP(Table3[[#This Row],[Ticket]],Table1[],17,FALSE))</f>
        <v/>
      </c>
      <c r="O213" s="128" t="str">
        <f>IF(Table3[[#This Row],[Actual End Date]]="","",TEXT(Table3[[#This Row],[Actual End Date]],"mmm-yy"))</f>
        <v/>
      </c>
      <c r="Q213" s="1"/>
    </row>
    <row r="214" spans="2:17">
      <c r="B214" s="64"/>
      <c r="C214" s="116"/>
      <c r="D214" s="64"/>
      <c r="E214" s="125"/>
      <c r="F214" s="125"/>
      <c r="G214" s="123"/>
      <c r="H214" s="130"/>
      <c r="I214" s="130"/>
      <c r="J214" s="64"/>
      <c r="K214" s="130"/>
      <c r="L214" s="130"/>
      <c r="M214" s="64"/>
      <c r="N214" s="127" t="str">
        <f>IF(ISNA(VLOOKUP(Table3[[#This Row],[Ticket]],Table1[],17,FALSE)),"",VLOOKUP(Table3[[#This Row],[Ticket]],Table1[],17,FALSE))</f>
        <v/>
      </c>
      <c r="O214" s="128" t="str">
        <f>IF(Table3[[#This Row],[Actual End Date]]="","",TEXT(Table3[[#This Row],[Actual End Date]],"mmm-yy"))</f>
        <v/>
      </c>
      <c r="Q214" s="1"/>
    </row>
    <row r="215" spans="2:17">
      <c r="B215" s="64"/>
      <c r="C215" s="116"/>
      <c r="D215" s="64"/>
      <c r="E215" s="125"/>
      <c r="F215" s="125"/>
      <c r="G215" s="123"/>
      <c r="H215" s="130"/>
      <c r="I215" s="130"/>
      <c r="J215" s="64"/>
      <c r="K215" s="130"/>
      <c r="L215" s="130"/>
      <c r="M215" s="64"/>
      <c r="N215" s="127" t="str">
        <f>IF(ISNA(VLOOKUP(Table3[[#This Row],[Ticket]],Table1[],17,FALSE)),"",VLOOKUP(Table3[[#This Row],[Ticket]],Table1[],17,FALSE))</f>
        <v/>
      </c>
      <c r="O215" s="128" t="str">
        <f>IF(Table3[[#This Row],[Actual End Date]]="","",TEXT(Table3[[#This Row],[Actual End Date]],"mmm-yy"))</f>
        <v/>
      </c>
      <c r="Q215" s="1"/>
    </row>
    <row r="216" spans="2:17">
      <c r="B216" s="64"/>
      <c r="C216" s="116"/>
      <c r="D216" s="64"/>
      <c r="E216" s="125"/>
      <c r="F216" s="125"/>
      <c r="G216" s="123"/>
      <c r="H216" s="130"/>
      <c r="I216" s="130"/>
      <c r="J216" s="64"/>
      <c r="K216" s="130"/>
      <c r="L216" s="130"/>
      <c r="M216" s="64"/>
      <c r="N216" s="127" t="str">
        <f>IF(ISNA(VLOOKUP(Table3[[#This Row],[Ticket]],Table1[],17,FALSE)),"",VLOOKUP(Table3[[#This Row],[Ticket]],Table1[],17,FALSE))</f>
        <v/>
      </c>
      <c r="O216" s="128" t="str">
        <f>IF(Table3[[#This Row],[Actual End Date]]="","",TEXT(Table3[[#This Row],[Actual End Date]],"mmm-yy"))</f>
        <v/>
      </c>
      <c r="Q216" s="1"/>
    </row>
    <row r="217" spans="2:17">
      <c r="B217" s="64"/>
      <c r="C217" s="116"/>
      <c r="D217" s="64"/>
      <c r="E217" s="125"/>
      <c r="F217" s="125"/>
      <c r="G217" s="123"/>
      <c r="H217" s="130"/>
      <c r="I217" s="130"/>
      <c r="J217" s="64"/>
      <c r="K217" s="130"/>
      <c r="L217" s="130"/>
      <c r="M217" s="64"/>
      <c r="N217" s="127" t="str">
        <f>IF(ISNA(VLOOKUP(Table3[[#This Row],[Ticket]],Table1[],17,FALSE)),"",VLOOKUP(Table3[[#This Row],[Ticket]],Table1[],17,FALSE))</f>
        <v/>
      </c>
      <c r="O217" s="128" t="str">
        <f>IF(Table3[[#This Row],[Actual End Date]]="","",TEXT(Table3[[#This Row],[Actual End Date]],"mmm-yy"))</f>
        <v/>
      </c>
      <c r="Q217" s="1"/>
    </row>
    <row r="218" spans="2:17">
      <c r="B218" s="64"/>
      <c r="C218" s="116"/>
      <c r="D218" s="64"/>
      <c r="E218" s="125"/>
      <c r="F218" s="125"/>
      <c r="G218" s="123"/>
      <c r="H218" s="130"/>
      <c r="I218" s="130"/>
      <c r="J218" s="64"/>
      <c r="K218" s="130"/>
      <c r="L218" s="130"/>
      <c r="M218" s="64"/>
      <c r="N218" s="127" t="str">
        <f>IF(ISNA(VLOOKUP(Table3[[#This Row],[Ticket]],Table1[],17,FALSE)),"",VLOOKUP(Table3[[#This Row],[Ticket]],Table1[],17,FALSE))</f>
        <v/>
      </c>
      <c r="O218" s="128" t="str">
        <f>IF(Table3[[#This Row],[Actual End Date]]="","",TEXT(Table3[[#This Row],[Actual End Date]],"mmm-yy"))</f>
        <v/>
      </c>
      <c r="Q218" s="1"/>
    </row>
    <row r="219" spans="2:17">
      <c r="B219" s="64"/>
      <c r="C219" s="116"/>
      <c r="D219" s="64"/>
      <c r="E219" s="125"/>
      <c r="F219" s="125"/>
      <c r="G219" s="123"/>
      <c r="H219" s="130"/>
      <c r="I219" s="130"/>
      <c r="J219" s="64"/>
      <c r="K219" s="130"/>
      <c r="L219" s="130"/>
      <c r="M219" s="64"/>
      <c r="N219" s="127" t="str">
        <f>IF(ISNA(VLOOKUP(Table3[[#This Row],[Ticket]],Table1[],17,FALSE)),"",VLOOKUP(Table3[[#This Row],[Ticket]],Table1[],17,FALSE))</f>
        <v/>
      </c>
      <c r="O219" s="128" t="str">
        <f>IF(Table3[[#This Row],[Actual End Date]]="","",TEXT(Table3[[#This Row],[Actual End Date]],"mmm-yy"))</f>
        <v/>
      </c>
      <c r="Q219" s="1"/>
    </row>
    <row r="220" spans="2:17">
      <c r="B220" s="64"/>
      <c r="C220" s="131"/>
      <c r="D220" s="64"/>
      <c r="E220" s="125"/>
      <c r="F220" s="125"/>
      <c r="G220" s="123"/>
      <c r="H220" s="130"/>
      <c r="I220" s="130"/>
      <c r="J220" s="64"/>
      <c r="K220" s="130"/>
      <c r="L220" s="130"/>
      <c r="M220" s="64"/>
      <c r="N220" s="127" t="str">
        <f>IF(ISNA(VLOOKUP(Table3[[#This Row],[Ticket]],Table1[],17,FALSE)),"",VLOOKUP(Table3[[#This Row],[Ticket]],Table1[],17,FALSE))</f>
        <v/>
      </c>
      <c r="O220" s="128" t="str">
        <f>IF(Table3[[#This Row],[Actual End Date]]="","",TEXT(Table3[[#This Row],[Actual End Date]],"mmm-yy"))</f>
        <v/>
      </c>
      <c r="Q220" s="1"/>
    </row>
    <row r="221" spans="2:17">
      <c r="B221" s="64"/>
      <c r="C221" s="64"/>
      <c r="D221" s="64"/>
      <c r="E221" s="125"/>
      <c r="F221" s="125"/>
      <c r="G221" s="123"/>
      <c r="H221" s="130"/>
      <c r="I221" s="130"/>
      <c r="J221" s="64"/>
      <c r="K221" s="130"/>
      <c r="L221" s="130"/>
      <c r="M221" s="64"/>
      <c r="N221" s="127" t="str">
        <f>IF(ISNA(VLOOKUP(Table3[[#This Row],[Ticket]],Table1[],17,FALSE)),"",VLOOKUP(Table3[[#This Row],[Ticket]],Table1[],17,FALSE))</f>
        <v/>
      </c>
      <c r="O221" s="128" t="str">
        <f>IF(Table3[[#This Row],[Actual End Date]]="","",TEXT(Table3[[#This Row],[Actual End Date]],"mmm-yy"))</f>
        <v/>
      </c>
      <c r="Q221" s="1"/>
    </row>
    <row r="222" spans="2:17">
      <c r="B222" s="64"/>
      <c r="C222" s="64"/>
      <c r="D222" s="64"/>
      <c r="E222" s="125"/>
      <c r="F222" s="125"/>
      <c r="G222" s="123"/>
      <c r="H222" s="130"/>
      <c r="I222" s="130"/>
      <c r="J222" s="64"/>
      <c r="K222" s="130"/>
      <c r="L222" s="130"/>
      <c r="M222" s="64"/>
      <c r="N222" s="127" t="str">
        <f>IF(ISNA(VLOOKUP(Table3[[#This Row],[Ticket]],Table1[],17,FALSE)),"",VLOOKUP(Table3[[#This Row],[Ticket]],Table1[],17,FALSE))</f>
        <v/>
      </c>
      <c r="O222" s="128" t="str">
        <f>IF(Table3[[#This Row],[Actual End Date]]="","",TEXT(Table3[[#This Row],[Actual End Date]],"mmm-yy"))</f>
        <v/>
      </c>
      <c r="Q222" s="1"/>
    </row>
    <row r="223" spans="2:17">
      <c r="B223" s="64"/>
      <c r="C223" s="64"/>
      <c r="D223" s="64"/>
      <c r="E223" s="125"/>
      <c r="F223" s="125"/>
      <c r="G223" s="123"/>
      <c r="H223" s="130"/>
      <c r="I223" s="130"/>
      <c r="J223" s="64"/>
      <c r="K223" s="130"/>
      <c r="L223" s="130"/>
      <c r="M223" s="64"/>
      <c r="N223" s="127" t="str">
        <f>IF(ISNA(VLOOKUP(Table3[[#This Row],[Ticket]],Table1[],17,FALSE)),"",VLOOKUP(Table3[[#This Row],[Ticket]],Table1[],17,FALSE))</f>
        <v/>
      </c>
      <c r="O223" s="128" t="str">
        <f>IF(Table3[[#This Row],[Actual End Date]]="","",TEXT(Table3[[#This Row],[Actual End Date]],"mmm-yy"))</f>
        <v/>
      </c>
      <c r="Q223" s="1"/>
    </row>
    <row r="224" spans="2:17">
      <c r="B224" s="64"/>
      <c r="C224" s="64"/>
      <c r="D224" s="64"/>
      <c r="E224" s="125"/>
      <c r="F224" s="125"/>
      <c r="G224" s="123"/>
      <c r="H224" s="130"/>
      <c r="I224" s="130"/>
      <c r="J224" s="64"/>
      <c r="K224" s="130"/>
      <c r="L224" s="130"/>
      <c r="M224" s="64"/>
      <c r="N224" s="127" t="str">
        <f>IF(ISNA(VLOOKUP(Table3[[#This Row],[Ticket]],Table1[],17,FALSE)),"",VLOOKUP(Table3[[#This Row],[Ticket]],Table1[],17,FALSE))</f>
        <v/>
      </c>
      <c r="O224" s="128" t="str">
        <f>IF(Table3[[#This Row],[Actual End Date]]="","",TEXT(Table3[[#This Row],[Actual End Date]],"mmm-yy"))</f>
        <v/>
      </c>
      <c r="Q224" s="1"/>
    </row>
    <row r="225" spans="2:17">
      <c r="B225" s="64"/>
      <c r="C225" s="64"/>
      <c r="D225" s="64"/>
      <c r="E225" s="125"/>
      <c r="F225" s="125"/>
      <c r="G225" s="123"/>
      <c r="H225" s="130"/>
      <c r="I225" s="130"/>
      <c r="J225" s="64"/>
      <c r="K225" s="130"/>
      <c r="L225" s="130"/>
      <c r="M225" s="64"/>
      <c r="N225" s="127" t="str">
        <f>IF(ISNA(VLOOKUP(Table3[[#This Row],[Ticket]],Table1[],17,FALSE)),"",VLOOKUP(Table3[[#This Row],[Ticket]],Table1[],17,FALSE))</f>
        <v/>
      </c>
      <c r="O225" s="128" t="str">
        <f>IF(Table3[[#This Row],[Actual End Date]]="","",TEXT(Table3[[#This Row],[Actual End Date]],"mmm-yy"))</f>
        <v/>
      </c>
      <c r="Q225" s="1"/>
    </row>
    <row r="226" spans="2:17">
      <c r="B226" s="64"/>
      <c r="C226" s="64"/>
      <c r="D226" s="64"/>
      <c r="E226" s="125"/>
      <c r="F226" s="125"/>
      <c r="G226" s="123"/>
      <c r="H226" s="130"/>
      <c r="I226" s="130"/>
      <c r="J226" s="64"/>
      <c r="K226" s="130"/>
      <c r="L226" s="130"/>
      <c r="M226" s="64"/>
      <c r="N226" s="127" t="str">
        <f>IF(ISNA(VLOOKUP(Table3[[#This Row],[Ticket]],Table1[],17,FALSE)),"",VLOOKUP(Table3[[#This Row],[Ticket]],Table1[],17,FALSE))</f>
        <v/>
      </c>
      <c r="O226" s="128" t="str">
        <f>IF(Table3[[#This Row],[Actual End Date]]="","",TEXT(Table3[[#This Row],[Actual End Date]],"mmm-yy"))</f>
        <v/>
      </c>
      <c r="Q226" s="1"/>
    </row>
    <row r="227" spans="2:17">
      <c r="B227" s="64"/>
      <c r="C227" s="64"/>
      <c r="D227" s="64"/>
      <c r="E227" s="125"/>
      <c r="F227" s="125"/>
      <c r="G227" s="123"/>
      <c r="H227" s="130"/>
      <c r="I227" s="130"/>
      <c r="J227" s="64"/>
      <c r="K227" s="130"/>
      <c r="L227" s="130"/>
      <c r="M227" s="64"/>
      <c r="N227" s="127" t="str">
        <f>IF(ISNA(VLOOKUP(Table3[[#This Row],[Ticket]],Table1[],17,FALSE)),"",VLOOKUP(Table3[[#This Row],[Ticket]],Table1[],17,FALSE))</f>
        <v/>
      </c>
      <c r="O227" s="128" t="str">
        <f>IF(Table3[[#This Row],[Actual End Date]]="","",TEXT(Table3[[#This Row],[Actual End Date]],"mmm-yy"))</f>
        <v/>
      </c>
      <c r="Q227" s="1"/>
    </row>
    <row r="228" spans="2:17">
      <c r="B228" s="64"/>
      <c r="C228" s="64"/>
      <c r="D228" s="64"/>
      <c r="E228" s="125"/>
      <c r="F228" s="125"/>
      <c r="G228" s="123"/>
      <c r="H228" s="130"/>
      <c r="I228" s="130"/>
      <c r="J228" s="64"/>
      <c r="K228" s="130"/>
      <c r="L228" s="130"/>
      <c r="M228" s="64"/>
      <c r="N228" s="127" t="str">
        <f>IF(ISNA(VLOOKUP(Table3[[#This Row],[Ticket]],Table1[],17,FALSE)),"",VLOOKUP(Table3[[#This Row],[Ticket]],Table1[],17,FALSE))</f>
        <v/>
      </c>
      <c r="O228" s="128" t="str">
        <f>IF(Table3[[#This Row],[Actual End Date]]="","",TEXT(Table3[[#This Row],[Actual End Date]],"mmm-yy"))</f>
        <v/>
      </c>
      <c r="Q228" s="1"/>
    </row>
    <row r="229" spans="2:17">
      <c r="B229" s="64"/>
      <c r="C229" s="64"/>
      <c r="D229" s="64"/>
      <c r="E229" s="125"/>
      <c r="F229" s="125"/>
      <c r="G229" s="123"/>
      <c r="H229" s="130"/>
      <c r="I229" s="130"/>
      <c r="J229" s="64"/>
      <c r="K229" s="130"/>
      <c r="L229" s="130"/>
      <c r="M229" s="64"/>
      <c r="N229" s="127" t="str">
        <f>IF(ISNA(VLOOKUP(Table3[[#This Row],[Ticket]],Table1[],17,FALSE)),"",VLOOKUP(Table3[[#This Row],[Ticket]],Table1[],17,FALSE))</f>
        <v/>
      </c>
      <c r="O229" s="128" t="str">
        <f>IF(Table3[[#This Row],[Actual End Date]]="","",TEXT(Table3[[#This Row],[Actual End Date]],"mmm-yy"))</f>
        <v/>
      </c>
      <c r="Q229" s="1"/>
    </row>
    <row r="230" spans="2:17">
      <c r="B230" s="64"/>
      <c r="C230" s="64"/>
      <c r="D230" s="64"/>
      <c r="E230" s="125"/>
      <c r="F230" s="125"/>
      <c r="G230" s="123"/>
      <c r="H230" s="130"/>
      <c r="I230" s="130"/>
      <c r="J230" s="64"/>
      <c r="K230" s="130"/>
      <c r="L230" s="130"/>
      <c r="M230" s="64"/>
      <c r="N230" s="127" t="str">
        <f>IF(ISNA(VLOOKUP(Table3[[#This Row],[Ticket]],Table1[],17,FALSE)),"",VLOOKUP(Table3[[#This Row],[Ticket]],Table1[],17,FALSE))</f>
        <v/>
      </c>
      <c r="O230" s="128" t="str">
        <f>IF(Table3[[#This Row],[Actual End Date]]="","",TEXT(Table3[[#This Row],[Actual End Date]],"mmm-yy"))</f>
        <v/>
      </c>
      <c r="Q230" s="1"/>
    </row>
    <row r="231" spans="2:17">
      <c r="B231" s="64"/>
      <c r="C231" s="64"/>
      <c r="D231" s="64"/>
      <c r="E231" s="125"/>
      <c r="F231" s="125"/>
      <c r="G231" s="123"/>
      <c r="H231" s="130"/>
      <c r="I231" s="130"/>
      <c r="J231" s="64"/>
      <c r="K231" s="130"/>
      <c r="L231" s="130"/>
      <c r="M231" s="64"/>
      <c r="N231" s="127" t="str">
        <f>IF(ISNA(VLOOKUP(Table3[[#This Row],[Ticket]],Table1[],17,FALSE)),"",VLOOKUP(Table3[[#This Row],[Ticket]],Table1[],17,FALSE))</f>
        <v/>
      </c>
      <c r="O231" s="128" t="str">
        <f>IF(Table3[[#This Row],[Actual End Date]]="","",TEXT(Table3[[#This Row],[Actual End Date]],"mmm-yy"))</f>
        <v/>
      </c>
      <c r="Q231" s="1"/>
    </row>
    <row r="232" spans="2:17">
      <c r="B232" s="64"/>
      <c r="C232" s="64"/>
      <c r="D232" s="64"/>
      <c r="E232" s="125"/>
      <c r="F232" s="125"/>
      <c r="G232" s="123"/>
      <c r="H232" s="130"/>
      <c r="I232" s="130"/>
      <c r="J232" s="64"/>
      <c r="K232" s="130"/>
      <c r="L232" s="130"/>
      <c r="M232" s="64"/>
      <c r="N232" s="127" t="str">
        <f>IF(ISNA(VLOOKUP(Table3[[#This Row],[Ticket]],Table1[],17,FALSE)),"",VLOOKUP(Table3[[#This Row],[Ticket]],Table1[],17,FALSE))</f>
        <v/>
      </c>
      <c r="O232" s="128" t="str">
        <f>IF(Table3[[#This Row],[Actual End Date]]="","",TEXT(Table3[[#This Row],[Actual End Date]],"mmm-yy"))</f>
        <v/>
      </c>
      <c r="Q232" s="1"/>
    </row>
    <row r="233" spans="2:17">
      <c r="B233" s="64"/>
      <c r="C233" s="64"/>
      <c r="D233" s="64"/>
      <c r="E233" s="125"/>
      <c r="F233" s="125"/>
      <c r="G233" s="123"/>
      <c r="H233" s="130"/>
      <c r="I233" s="130"/>
      <c r="J233" s="64"/>
      <c r="K233" s="130"/>
      <c r="L233" s="130"/>
      <c r="M233" s="64"/>
      <c r="N233" s="127" t="str">
        <f>IF(ISNA(VLOOKUP(Table3[[#This Row],[Ticket]],Table1[],17,FALSE)),"",VLOOKUP(Table3[[#This Row],[Ticket]],Table1[],17,FALSE))</f>
        <v/>
      </c>
      <c r="O233" s="128" t="str">
        <f>IF(Table3[[#This Row],[Actual End Date]]="","",TEXT(Table3[[#This Row],[Actual End Date]],"mmm-yy"))</f>
        <v/>
      </c>
      <c r="Q233" s="1"/>
    </row>
    <row r="234" spans="2:17">
      <c r="B234" s="64"/>
      <c r="C234" s="64"/>
      <c r="D234" s="64"/>
      <c r="E234" s="125"/>
      <c r="F234" s="125"/>
      <c r="G234" s="123"/>
      <c r="H234" s="130"/>
      <c r="I234" s="130"/>
      <c r="J234" s="64"/>
      <c r="K234" s="130"/>
      <c r="L234" s="130"/>
      <c r="M234" s="64"/>
      <c r="N234" s="127" t="str">
        <f>IF(ISNA(VLOOKUP(Table3[[#This Row],[Ticket]],Table1[],17,FALSE)),"",VLOOKUP(Table3[[#This Row],[Ticket]],Table1[],17,FALSE))</f>
        <v/>
      </c>
      <c r="O234" s="128" t="str">
        <f>IF(Table3[[#This Row],[Actual End Date]]="","",TEXT(Table3[[#This Row],[Actual End Date]],"mmm-yy"))</f>
        <v/>
      </c>
      <c r="Q234" s="1"/>
    </row>
    <row r="235" spans="2:17">
      <c r="B235" s="64"/>
      <c r="C235" s="64"/>
      <c r="D235" s="64"/>
      <c r="E235" s="125"/>
      <c r="F235" s="125"/>
      <c r="G235" s="123"/>
      <c r="H235" s="130"/>
      <c r="I235" s="130"/>
      <c r="J235" s="64"/>
      <c r="K235" s="130"/>
      <c r="L235" s="130"/>
      <c r="M235" s="64"/>
      <c r="N235" s="127" t="str">
        <f>IF(ISNA(VLOOKUP(Table3[[#This Row],[Ticket]],Table1[],17,FALSE)),"",VLOOKUP(Table3[[#This Row],[Ticket]],Table1[],17,FALSE))</f>
        <v/>
      </c>
      <c r="O235" s="128" t="str">
        <f>IF(Table3[[#This Row],[Actual End Date]]="","",TEXT(Table3[[#This Row],[Actual End Date]],"mmm-yy"))</f>
        <v/>
      </c>
      <c r="Q235" s="1"/>
    </row>
    <row r="236" spans="2:17">
      <c r="B236" s="64"/>
      <c r="C236" s="64"/>
      <c r="D236" s="64"/>
      <c r="E236" s="125"/>
      <c r="F236" s="125"/>
      <c r="G236" s="123"/>
      <c r="H236" s="130"/>
      <c r="I236" s="130"/>
      <c r="J236" s="64"/>
      <c r="K236" s="130"/>
      <c r="L236" s="130"/>
      <c r="M236" s="64"/>
      <c r="N236" s="127" t="str">
        <f>IF(ISNA(VLOOKUP(Table3[[#This Row],[Ticket]],Table1[],17,FALSE)),"",VLOOKUP(Table3[[#This Row],[Ticket]],Table1[],17,FALSE))</f>
        <v/>
      </c>
      <c r="O236" s="128" t="str">
        <f>IF(Table3[[#This Row],[Actual End Date]]="","",TEXT(Table3[[#This Row],[Actual End Date]],"mmm-yy"))</f>
        <v/>
      </c>
      <c r="Q236" s="1"/>
    </row>
    <row r="237" spans="2:17">
      <c r="B237" s="64"/>
      <c r="C237" s="64"/>
      <c r="D237" s="64"/>
      <c r="E237" s="125"/>
      <c r="F237" s="125"/>
      <c r="G237" s="123"/>
      <c r="H237" s="130"/>
      <c r="I237" s="130"/>
      <c r="J237" s="64"/>
      <c r="K237" s="130"/>
      <c r="L237" s="130"/>
      <c r="M237" s="64"/>
      <c r="N237" s="127" t="str">
        <f>IF(ISNA(VLOOKUP(Table3[[#This Row],[Ticket]],Table1[],17,FALSE)),"",VLOOKUP(Table3[[#This Row],[Ticket]],Table1[],17,FALSE))</f>
        <v/>
      </c>
      <c r="O237" s="128" t="str">
        <f>IF(Table3[[#This Row],[Actual End Date]]="","",TEXT(Table3[[#This Row],[Actual End Date]],"mmm-yy"))</f>
        <v/>
      </c>
      <c r="Q237" s="1"/>
    </row>
    <row r="238" spans="2:17">
      <c r="B238" s="64"/>
      <c r="C238" s="64"/>
      <c r="D238" s="64"/>
      <c r="E238" s="125"/>
      <c r="F238" s="125"/>
      <c r="G238" s="123"/>
      <c r="H238" s="130"/>
      <c r="I238" s="130"/>
      <c r="J238" s="64"/>
      <c r="K238" s="130"/>
      <c r="L238" s="130"/>
      <c r="M238" s="64"/>
      <c r="N238" s="127" t="str">
        <f>IF(ISNA(VLOOKUP(Table3[[#This Row],[Ticket]],Table1[],17,FALSE)),"",VLOOKUP(Table3[[#This Row],[Ticket]],Table1[],17,FALSE))</f>
        <v/>
      </c>
      <c r="O238" s="128" t="str">
        <f>IF(Table3[[#This Row],[Actual End Date]]="","",TEXT(Table3[[#This Row],[Actual End Date]],"mmm-yy"))</f>
        <v/>
      </c>
      <c r="Q238" s="1"/>
    </row>
    <row r="239" spans="2:17">
      <c r="B239" s="64"/>
      <c r="C239" s="64"/>
      <c r="D239" s="64"/>
      <c r="E239" s="125"/>
      <c r="F239" s="125"/>
      <c r="G239" s="123"/>
      <c r="H239" s="130"/>
      <c r="I239" s="130"/>
      <c r="J239" s="64"/>
      <c r="K239" s="130"/>
      <c r="L239" s="130"/>
      <c r="M239" s="64"/>
      <c r="N239" s="127" t="str">
        <f>IF(ISNA(VLOOKUP(Table3[[#This Row],[Ticket]],Table1[],17,FALSE)),"",VLOOKUP(Table3[[#This Row],[Ticket]],Table1[],17,FALSE))</f>
        <v/>
      </c>
      <c r="O239" s="128" t="str">
        <f>IF(Table3[[#This Row],[Actual End Date]]="","",TEXT(Table3[[#This Row],[Actual End Date]],"mmm-yy"))</f>
        <v/>
      </c>
      <c r="Q239" s="1"/>
    </row>
    <row r="240" spans="2:17">
      <c r="B240" s="64"/>
      <c r="C240" s="64"/>
      <c r="D240" s="64"/>
      <c r="E240" s="125"/>
      <c r="F240" s="125"/>
      <c r="G240" s="123"/>
      <c r="H240" s="130"/>
      <c r="I240" s="130"/>
      <c r="J240" s="64"/>
      <c r="K240" s="130"/>
      <c r="L240" s="130"/>
      <c r="M240" s="64"/>
      <c r="N240" s="127" t="str">
        <f>IF(ISNA(VLOOKUP(Table3[[#This Row],[Ticket]],Table1[],17,FALSE)),"",VLOOKUP(Table3[[#This Row],[Ticket]],Table1[],17,FALSE))</f>
        <v/>
      </c>
      <c r="O240" s="128" t="str">
        <f>IF(Table3[[#This Row],[Actual End Date]]="","",TEXT(Table3[[#This Row],[Actual End Date]],"mmm-yy"))</f>
        <v/>
      </c>
      <c r="Q240" s="1"/>
    </row>
    <row r="241" spans="2:17">
      <c r="B241" s="64"/>
      <c r="C241" s="64"/>
      <c r="D241" s="64"/>
      <c r="E241" s="125"/>
      <c r="F241" s="125"/>
      <c r="G241" s="123"/>
      <c r="H241" s="130"/>
      <c r="I241" s="130"/>
      <c r="J241" s="64"/>
      <c r="K241" s="130"/>
      <c r="L241" s="130"/>
      <c r="M241" s="64"/>
      <c r="N241" s="127" t="str">
        <f>IF(ISNA(VLOOKUP(Table3[[#This Row],[Ticket]],Table1[],17,FALSE)),"",VLOOKUP(Table3[[#This Row],[Ticket]],Table1[],17,FALSE))</f>
        <v/>
      </c>
      <c r="O241" s="128" t="str">
        <f>IF(Table3[[#This Row],[Actual End Date]]="","",TEXT(Table3[[#This Row],[Actual End Date]],"mmm-yy"))</f>
        <v/>
      </c>
      <c r="Q241" s="1"/>
    </row>
    <row r="242" spans="2:17">
      <c r="B242" s="64"/>
      <c r="C242" s="64"/>
      <c r="D242" s="64"/>
      <c r="E242" s="125"/>
      <c r="F242" s="125"/>
      <c r="G242" s="123"/>
      <c r="H242" s="130"/>
      <c r="I242" s="130"/>
      <c r="J242" s="64"/>
      <c r="K242" s="130"/>
      <c r="L242" s="130"/>
      <c r="M242" s="64"/>
      <c r="N242" s="127" t="str">
        <f>IF(ISNA(VLOOKUP(Table3[[#This Row],[Ticket]],Table1[],17,FALSE)),"",VLOOKUP(Table3[[#This Row],[Ticket]],Table1[],17,FALSE))</f>
        <v/>
      </c>
      <c r="O242" s="128" t="str">
        <f>IF(Table3[[#This Row],[Actual End Date]]="","",TEXT(Table3[[#This Row],[Actual End Date]],"mmm-yy"))</f>
        <v/>
      </c>
      <c r="Q242" s="1"/>
    </row>
    <row r="243" spans="2:17">
      <c r="B243" s="64"/>
      <c r="C243" s="64"/>
      <c r="D243" s="64"/>
      <c r="E243" s="125"/>
      <c r="F243" s="125"/>
      <c r="G243" s="123"/>
      <c r="H243" s="130"/>
      <c r="I243" s="130"/>
      <c r="J243" s="64"/>
      <c r="K243" s="130"/>
      <c r="L243" s="130"/>
      <c r="M243" s="64"/>
      <c r="N243" s="127" t="str">
        <f>IF(ISNA(VLOOKUP(Table3[[#This Row],[Ticket]],Table1[],17,FALSE)),"",VLOOKUP(Table3[[#This Row],[Ticket]],Table1[],17,FALSE))</f>
        <v/>
      </c>
      <c r="O243" s="128" t="str">
        <f>IF(Table3[[#This Row],[Actual End Date]]="","",TEXT(Table3[[#This Row],[Actual End Date]],"mmm-yy"))</f>
        <v/>
      </c>
      <c r="Q243" s="1"/>
    </row>
    <row r="244" spans="2:17">
      <c r="B244" s="64"/>
      <c r="C244" s="64"/>
      <c r="D244" s="64"/>
      <c r="E244" s="125"/>
      <c r="F244" s="125"/>
      <c r="G244" s="123"/>
      <c r="H244" s="130"/>
      <c r="I244" s="130"/>
      <c r="J244" s="64"/>
      <c r="K244" s="130"/>
      <c r="L244" s="130"/>
      <c r="M244" s="64"/>
      <c r="N244" s="127" t="str">
        <f>IF(ISNA(VLOOKUP(Table3[[#This Row],[Ticket]],Table1[],17,FALSE)),"",VLOOKUP(Table3[[#This Row],[Ticket]],Table1[],17,FALSE))</f>
        <v/>
      </c>
      <c r="O244" s="128" t="str">
        <f>IF(Table3[[#This Row],[Actual End Date]]="","",TEXT(Table3[[#This Row],[Actual End Date]],"mmm-yy"))</f>
        <v/>
      </c>
      <c r="Q244" s="1"/>
    </row>
    <row r="245" spans="2:17">
      <c r="B245" s="64"/>
      <c r="C245" s="64"/>
      <c r="D245" s="64"/>
      <c r="E245" s="125"/>
      <c r="F245" s="125"/>
      <c r="G245" s="123"/>
      <c r="H245" s="130"/>
      <c r="I245" s="130"/>
      <c r="J245" s="64"/>
      <c r="K245" s="130"/>
      <c r="L245" s="130"/>
      <c r="M245" s="64"/>
      <c r="N245" s="127" t="str">
        <f>IF(ISNA(VLOOKUP(Table3[[#This Row],[Ticket]],Table1[],17,FALSE)),"",VLOOKUP(Table3[[#This Row],[Ticket]],Table1[],17,FALSE))</f>
        <v/>
      </c>
      <c r="O245" s="128" t="str">
        <f>IF(Table3[[#This Row],[Actual End Date]]="","",TEXT(Table3[[#This Row],[Actual End Date]],"mmm-yy"))</f>
        <v/>
      </c>
      <c r="Q245" s="1"/>
    </row>
    <row r="246" spans="2:17">
      <c r="B246" s="64"/>
      <c r="C246" s="64"/>
      <c r="D246" s="64"/>
      <c r="E246" s="125"/>
      <c r="F246" s="125"/>
      <c r="G246" s="123"/>
      <c r="H246" s="130"/>
      <c r="I246" s="130"/>
      <c r="J246" s="64"/>
      <c r="K246" s="130"/>
      <c r="L246" s="130"/>
      <c r="M246" s="64"/>
      <c r="N246" s="127" t="str">
        <f>IF(ISNA(VLOOKUP(Table3[[#This Row],[Ticket]],Table1[],17,FALSE)),"",VLOOKUP(Table3[[#This Row],[Ticket]],Table1[],17,FALSE))</f>
        <v/>
      </c>
      <c r="O246" s="128" t="str">
        <f>IF(Table3[[#This Row],[Actual End Date]]="","",TEXT(Table3[[#This Row],[Actual End Date]],"mmm-yy"))</f>
        <v/>
      </c>
      <c r="Q246" s="1"/>
    </row>
    <row r="247" spans="2:17">
      <c r="B247" s="64"/>
      <c r="C247" s="64"/>
      <c r="D247" s="64"/>
      <c r="E247" s="125"/>
      <c r="F247" s="125"/>
      <c r="G247" s="123"/>
      <c r="H247" s="130"/>
      <c r="I247" s="130"/>
      <c r="J247" s="64"/>
      <c r="K247" s="130"/>
      <c r="L247" s="130"/>
      <c r="M247" s="64"/>
      <c r="N247" s="127" t="str">
        <f>IF(ISNA(VLOOKUP(Table3[[#This Row],[Ticket]],Table1[],17,FALSE)),"",VLOOKUP(Table3[[#This Row],[Ticket]],Table1[],17,FALSE))</f>
        <v/>
      </c>
      <c r="O247" s="128" t="str">
        <f>IF(Table3[[#This Row],[Actual End Date]]="","",TEXT(Table3[[#This Row],[Actual End Date]],"mmm-yy"))</f>
        <v/>
      </c>
      <c r="Q247" s="1"/>
    </row>
    <row r="248" spans="2:17">
      <c r="B248" s="64"/>
      <c r="C248" s="64"/>
      <c r="D248" s="64"/>
      <c r="E248" s="125"/>
      <c r="F248" s="125"/>
      <c r="G248" s="123"/>
      <c r="H248" s="130"/>
      <c r="I248" s="130"/>
      <c r="J248" s="64"/>
      <c r="K248" s="130"/>
      <c r="L248" s="130"/>
      <c r="M248" s="64"/>
      <c r="N248" s="127" t="str">
        <f>IF(ISNA(VLOOKUP(Table3[[#This Row],[Ticket]],Table1[],17,FALSE)),"",VLOOKUP(Table3[[#This Row],[Ticket]],Table1[],17,FALSE))</f>
        <v/>
      </c>
      <c r="O248" s="128" t="str">
        <f>IF(Table3[[#This Row],[Actual End Date]]="","",TEXT(Table3[[#This Row],[Actual End Date]],"mmm-yy"))</f>
        <v/>
      </c>
      <c r="Q248" s="1"/>
    </row>
    <row r="249" spans="2:17">
      <c r="B249" s="64"/>
      <c r="C249" s="64"/>
      <c r="D249" s="64"/>
      <c r="E249" s="125"/>
      <c r="F249" s="125"/>
      <c r="G249" s="123"/>
      <c r="H249" s="130"/>
      <c r="I249" s="130"/>
      <c r="J249" s="64"/>
      <c r="K249" s="130"/>
      <c r="L249" s="130"/>
      <c r="M249" s="64"/>
      <c r="N249" s="127" t="str">
        <f>IF(ISNA(VLOOKUP(Table3[[#This Row],[Ticket]],Table1[],17,FALSE)),"",VLOOKUP(Table3[[#This Row],[Ticket]],Table1[],17,FALSE))</f>
        <v/>
      </c>
      <c r="O249" s="128" t="str">
        <f>IF(Table3[[#This Row],[Actual End Date]]="","",TEXT(Table3[[#This Row],[Actual End Date]],"mmm-yy"))</f>
        <v/>
      </c>
      <c r="Q249" s="1"/>
    </row>
    <row r="250" spans="2:17">
      <c r="B250" s="64"/>
      <c r="C250" s="64"/>
      <c r="D250" s="64"/>
      <c r="E250" s="125"/>
      <c r="F250" s="125"/>
      <c r="G250" s="123"/>
      <c r="H250" s="130"/>
      <c r="I250" s="130"/>
      <c r="J250" s="64"/>
      <c r="K250" s="130"/>
      <c r="L250" s="130"/>
      <c r="M250" s="64"/>
      <c r="N250" s="127" t="str">
        <f>IF(ISNA(VLOOKUP(Table3[[#This Row],[Ticket]],Table1[],17,FALSE)),"",VLOOKUP(Table3[[#This Row],[Ticket]],Table1[],17,FALSE))</f>
        <v/>
      </c>
      <c r="O250" s="128" t="str">
        <f>IF(Table3[[#This Row],[Actual End Date]]="","",TEXT(Table3[[#This Row],[Actual End Date]],"mmm-yy"))</f>
        <v/>
      </c>
      <c r="Q250" s="1"/>
    </row>
    <row r="251" spans="2:17">
      <c r="B251" s="64"/>
      <c r="C251" s="64"/>
      <c r="D251" s="64"/>
      <c r="E251" s="125"/>
      <c r="F251" s="125"/>
      <c r="G251" s="123"/>
      <c r="H251" s="130"/>
      <c r="I251" s="130"/>
      <c r="J251" s="64"/>
      <c r="K251" s="130"/>
      <c r="L251" s="130"/>
      <c r="M251" s="64"/>
      <c r="N251" s="127" t="str">
        <f>IF(ISNA(VLOOKUP(Table3[[#This Row],[Ticket]],Table1[],17,FALSE)),"",VLOOKUP(Table3[[#This Row],[Ticket]],Table1[],17,FALSE))</f>
        <v/>
      </c>
      <c r="O251" s="128" t="str">
        <f>IF(Table3[[#This Row],[Actual End Date]]="","",TEXT(Table3[[#This Row],[Actual End Date]],"mmm-yy"))</f>
        <v/>
      </c>
      <c r="Q251" s="1"/>
    </row>
    <row r="252" spans="2:17">
      <c r="B252" s="64"/>
      <c r="C252" s="64"/>
      <c r="D252" s="64"/>
      <c r="E252" s="125"/>
      <c r="F252" s="125"/>
      <c r="G252" s="123"/>
      <c r="H252" s="130"/>
      <c r="I252" s="130"/>
      <c r="J252" s="64"/>
      <c r="K252" s="130"/>
      <c r="L252" s="130"/>
      <c r="M252" s="64"/>
      <c r="N252" s="127" t="str">
        <f>IF(ISNA(VLOOKUP(Table3[[#This Row],[Ticket]],Table1[],17,FALSE)),"",VLOOKUP(Table3[[#This Row],[Ticket]],Table1[],17,FALSE))</f>
        <v/>
      </c>
      <c r="O252" s="128" t="str">
        <f>IF(Table3[[#This Row],[Actual End Date]]="","",TEXT(Table3[[#This Row],[Actual End Date]],"mmm-yy"))</f>
        <v/>
      </c>
      <c r="Q252" s="1"/>
    </row>
    <row r="253" spans="2:17">
      <c r="B253" s="64"/>
      <c r="C253" s="64"/>
      <c r="D253" s="64"/>
      <c r="E253" s="125"/>
      <c r="F253" s="125"/>
      <c r="G253" s="123"/>
      <c r="H253" s="130"/>
      <c r="I253" s="130"/>
      <c r="J253" s="64"/>
      <c r="K253" s="130"/>
      <c r="L253" s="130"/>
      <c r="M253" s="64"/>
      <c r="N253" s="127" t="str">
        <f>IF(ISNA(VLOOKUP(Table3[[#This Row],[Ticket]],Table1[],17,FALSE)),"",VLOOKUP(Table3[[#This Row],[Ticket]],Table1[],17,FALSE))</f>
        <v/>
      </c>
      <c r="O253" s="128" t="str">
        <f>IF(Table3[[#This Row],[Actual End Date]]="","",TEXT(Table3[[#This Row],[Actual End Date]],"mmm-yy"))</f>
        <v/>
      </c>
      <c r="Q253" s="1"/>
    </row>
    <row r="254" spans="2:17">
      <c r="B254" s="64"/>
      <c r="C254" s="64"/>
      <c r="D254" s="64"/>
      <c r="E254" s="125"/>
      <c r="F254" s="125"/>
      <c r="G254" s="123"/>
      <c r="H254" s="130"/>
      <c r="I254" s="130"/>
      <c r="J254" s="64"/>
      <c r="K254" s="130"/>
      <c r="L254" s="130"/>
      <c r="M254" s="64"/>
      <c r="N254" s="127" t="str">
        <f>IF(ISNA(VLOOKUP(Table3[[#This Row],[Ticket]],Table1[],17,FALSE)),"",VLOOKUP(Table3[[#This Row],[Ticket]],Table1[],17,FALSE))</f>
        <v/>
      </c>
      <c r="O254" s="128" t="str">
        <f>IF(Table3[[#This Row],[Actual End Date]]="","",TEXT(Table3[[#This Row],[Actual End Date]],"mmm-yy"))</f>
        <v/>
      </c>
      <c r="Q254" s="1"/>
    </row>
    <row r="255" spans="2:17">
      <c r="B255" s="64"/>
      <c r="C255" s="64"/>
      <c r="D255" s="64"/>
      <c r="E255" s="125"/>
      <c r="F255" s="125"/>
      <c r="G255" s="123"/>
      <c r="H255" s="130"/>
      <c r="I255" s="130"/>
      <c r="J255" s="64"/>
      <c r="K255" s="130"/>
      <c r="L255" s="130"/>
      <c r="M255" s="64"/>
      <c r="N255" s="127" t="str">
        <f>IF(ISNA(VLOOKUP(Table3[[#This Row],[Ticket]],Table1[],17,FALSE)),"",VLOOKUP(Table3[[#This Row],[Ticket]],Table1[],17,FALSE))</f>
        <v/>
      </c>
      <c r="O255" s="128" t="str">
        <f>IF(Table3[[#This Row],[Actual End Date]]="","",TEXT(Table3[[#This Row],[Actual End Date]],"mmm-yy"))</f>
        <v/>
      </c>
      <c r="Q255" s="1"/>
    </row>
    <row r="256" spans="2:17">
      <c r="B256" s="64"/>
      <c r="C256" s="64"/>
      <c r="D256" s="64"/>
      <c r="E256" s="125"/>
      <c r="F256" s="125"/>
      <c r="G256" s="123"/>
      <c r="H256" s="130"/>
      <c r="I256" s="130"/>
      <c r="J256" s="64"/>
      <c r="K256" s="130"/>
      <c r="L256" s="130"/>
      <c r="M256" s="64"/>
      <c r="N256" s="127" t="str">
        <f>IF(ISNA(VLOOKUP(Table3[[#This Row],[Ticket]],Table1[],17,FALSE)),"",VLOOKUP(Table3[[#This Row],[Ticket]],Table1[],17,FALSE))</f>
        <v/>
      </c>
      <c r="O256" s="128" t="str">
        <f>IF(Table3[[#This Row],[Actual End Date]]="","",TEXT(Table3[[#This Row],[Actual End Date]],"mmm-yy"))</f>
        <v/>
      </c>
      <c r="Q256" s="1"/>
    </row>
    <row r="257" spans="2:17">
      <c r="B257" s="64"/>
      <c r="C257" s="64"/>
      <c r="D257" s="64"/>
      <c r="E257" s="125"/>
      <c r="F257" s="125"/>
      <c r="G257" s="123"/>
      <c r="H257" s="130"/>
      <c r="I257" s="130"/>
      <c r="J257" s="64"/>
      <c r="K257" s="130"/>
      <c r="L257" s="130"/>
      <c r="M257" s="64"/>
      <c r="N257" s="127" t="str">
        <f>IF(ISNA(VLOOKUP(Table3[[#This Row],[Ticket]],Table1[],17,FALSE)),"",VLOOKUP(Table3[[#This Row],[Ticket]],Table1[],17,FALSE))</f>
        <v/>
      </c>
      <c r="O257" s="128" t="str">
        <f>IF(Table3[[#This Row],[Actual End Date]]="","",TEXT(Table3[[#This Row],[Actual End Date]],"mmm-yy"))</f>
        <v/>
      </c>
      <c r="Q257" s="1"/>
    </row>
    <row r="258" spans="2:17">
      <c r="B258" s="64"/>
      <c r="C258" s="64"/>
      <c r="D258" s="64"/>
      <c r="E258" s="125"/>
      <c r="F258" s="125"/>
      <c r="G258" s="123"/>
      <c r="H258" s="130"/>
      <c r="I258" s="130"/>
      <c r="J258" s="64"/>
      <c r="K258" s="130"/>
      <c r="L258" s="130"/>
      <c r="M258" s="64"/>
      <c r="N258" s="127" t="str">
        <f>IF(ISNA(VLOOKUP(Table3[[#This Row],[Ticket]],Table1[],17,FALSE)),"",VLOOKUP(Table3[[#This Row],[Ticket]],Table1[],17,FALSE))</f>
        <v/>
      </c>
      <c r="O258" s="128" t="str">
        <f>IF(Table3[[#This Row],[Actual End Date]]="","",TEXT(Table3[[#This Row],[Actual End Date]],"mmm-yy"))</f>
        <v/>
      </c>
      <c r="Q258" s="1"/>
    </row>
    <row r="259" spans="2:17">
      <c r="B259" s="64"/>
      <c r="C259" s="64"/>
      <c r="D259" s="64"/>
      <c r="E259" s="125"/>
      <c r="F259" s="125"/>
      <c r="G259" s="123"/>
      <c r="H259" s="130"/>
      <c r="I259" s="130"/>
      <c r="J259" s="64"/>
      <c r="K259" s="130"/>
      <c r="L259" s="130"/>
      <c r="M259" s="64"/>
      <c r="N259" s="127" t="str">
        <f>IF(ISNA(VLOOKUP(Table3[[#This Row],[Ticket]],Table1[],17,FALSE)),"",VLOOKUP(Table3[[#This Row],[Ticket]],Table1[],17,FALSE))</f>
        <v/>
      </c>
      <c r="O259" s="128" t="str">
        <f>IF(Table3[[#This Row],[Actual End Date]]="","",TEXT(Table3[[#This Row],[Actual End Date]],"mmm-yy"))</f>
        <v/>
      </c>
      <c r="Q259" s="1"/>
    </row>
    <row r="260" spans="2:17">
      <c r="B260" s="64"/>
      <c r="C260" s="64"/>
      <c r="D260" s="64"/>
      <c r="E260" s="125"/>
      <c r="F260" s="125"/>
      <c r="G260" s="123"/>
      <c r="H260" s="130"/>
      <c r="I260" s="130"/>
      <c r="J260" s="64"/>
      <c r="K260" s="130"/>
      <c r="L260" s="130"/>
      <c r="M260" s="64"/>
      <c r="N260" s="127" t="str">
        <f>IF(ISNA(VLOOKUP(Table3[[#This Row],[Ticket]],Table1[],17,FALSE)),"",VLOOKUP(Table3[[#This Row],[Ticket]],Table1[],17,FALSE))</f>
        <v/>
      </c>
      <c r="O260" s="128" t="str">
        <f>IF(Table3[[#This Row],[Actual End Date]]="","",TEXT(Table3[[#This Row],[Actual End Date]],"mmm-yy"))</f>
        <v/>
      </c>
      <c r="Q260" s="1"/>
    </row>
    <row r="261" spans="2:17">
      <c r="B261" s="64"/>
      <c r="C261" s="64"/>
      <c r="D261" s="64"/>
      <c r="E261" s="125"/>
      <c r="F261" s="125"/>
      <c r="G261" s="123"/>
      <c r="H261" s="130"/>
      <c r="I261" s="130"/>
      <c r="J261" s="64"/>
      <c r="K261" s="130"/>
      <c r="L261" s="130"/>
      <c r="M261" s="64"/>
      <c r="N261" s="127" t="str">
        <f>IF(ISNA(VLOOKUP(Table3[[#This Row],[Ticket]],Table1[],17,FALSE)),"",VLOOKUP(Table3[[#This Row],[Ticket]],Table1[],17,FALSE))</f>
        <v/>
      </c>
      <c r="O261" s="128" t="str">
        <f>IF(Table3[[#This Row],[Actual End Date]]="","",TEXT(Table3[[#This Row],[Actual End Date]],"mmm-yy"))</f>
        <v/>
      </c>
      <c r="Q261" s="1"/>
    </row>
    <row r="262" spans="2:17">
      <c r="B262" s="64"/>
      <c r="C262" s="64"/>
      <c r="D262" s="116"/>
      <c r="E262" s="125"/>
      <c r="F262" s="125"/>
      <c r="G262" s="123"/>
      <c r="H262" s="130"/>
      <c r="I262" s="130"/>
      <c r="J262" s="64"/>
      <c r="K262" s="130"/>
      <c r="L262" s="130"/>
      <c r="M262" s="64"/>
      <c r="N262" s="127" t="str">
        <f>IF(ISNA(VLOOKUP(Table3[[#This Row],[Ticket]],Table1[],17,FALSE)),"",VLOOKUP(Table3[[#This Row],[Ticket]],Table1[],17,FALSE))</f>
        <v/>
      </c>
      <c r="O262" s="128" t="str">
        <f>IF(Table3[[#This Row],[Actual End Date]]="","",TEXT(Table3[[#This Row],[Actual End Date]],"mmm-yy"))</f>
        <v/>
      </c>
      <c r="Q262" s="1"/>
    </row>
    <row r="263" spans="2:17">
      <c r="B263" s="64"/>
      <c r="C263" s="64"/>
      <c r="D263" s="116"/>
      <c r="E263" s="125"/>
      <c r="F263" s="125"/>
      <c r="G263" s="123"/>
      <c r="H263" s="130"/>
      <c r="I263" s="130"/>
      <c r="J263" s="64"/>
      <c r="K263" s="130"/>
      <c r="L263" s="130"/>
      <c r="M263" s="64"/>
      <c r="N263" s="127" t="str">
        <f>IF(ISNA(VLOOKUP(Table3[[#This Row],[Ticket]],Table1[],17,FALSE)),"",VLOOKUP(Table3[[#This Row],[Ticket]],Table1[],17,FALSE))</f>
        <v/>
      </c>
      <c r="O263" s="128" t="str">
        <f>IF(Table3[[#This Row],[Actual End Date]]="","",TEXT(Table3[[#This Row],[Actual End Date]],"mmm-yy"))</f>
        <v/>
      </c>
      <c r="Q263" s="1"/>
    </row>
    <row r="264" spans="2:17">
      <c r="B264" s="64"/>
      <c r="C264" s="64"/>
      <c r="D264" s="116"/>
      <c r="E264" s="125"/>
      <c r="F264" s="125"/>
      <c r="G264" s="123"/>
      <c r="H264" s="130"/>
      <c r="I264" s="130"/>
      <c r="J264" s="64"/>
      <c r="K264" s="130"/>
      <c r="L264" s="130"/>
      <c r="M264" s="64"/>
      <c r="N264" s="127" t="str">
        <f>IF(ISNA(VLOOKUP(Table3[[#This Row],[Ticket]],Table1[],17,FALSE)),"",VLOOKUP(Table3[[#This Row],[Ticket]],Table1[],17,FALSE))</f>
        <v/>
      </c>
      <c r="O264" s="128" t="str">
        <f>IF(Table3[[#This Row],[Actual End Date]]="","",TEXT(Table3[[#This Row],[Actual End Date]],"mmm-yy"))</f>
        <v/>
      </c>
      <c r="Q264" s="1"/>
    </row>
    <row r="265" spans="2:17">
      <c r="B265" s="64"/>
      <c r="C265" s="64"/>
      <c r="D265" s="116"/>
      <c r="E265" s="125"/>
      <c r="F265" s="125"/>
      <c r="G265" s="123"/>
      <c r="H265" s="130"/>
      <c r="I265" s="130"/>
      <c r="J265" s="64"/>
      <c r="K265" s="130"/>
      <c r="L265" s="130"/>
      <c r="M265" s="64"/>
      <c r="N265" s="127" t="str">
        <f>IF(ISNA(VLOOKUP(Table3[[#This Row],[Ticket]],Table1[],17,FALSE)),"",VLOOKUP(Table3[[#This Row],[Ticket]],Table1[],17,FALSE))</f>
        <v/>
      </c>
      <c r="O265" s="128" t="str">
        <f>IF(Table3[[#This Row],[Actual End Date]]="","",TEXT(Table3[[#This Row],[Actual End Date]],"mmm-yy"))</f>
        <v/>
      </c>
      <c r="Q265" s="1"/>
    </row>
    <row r="266" spans="2:17">
      <c r="B266" s="64"/>
      <c r="C266" s="64"/>
      <c r="D266" s="116"/>
      <c r="E266" s="125"/>
      <c r="F266" s="125"/>
      <c r="G266" s="123"/>
      <c r="H266" s="130"/>
      <c r="I266" s="130"/>
      <c r="J266" s="64"/>
      <c r="K266" s="130"/>
      <c r="L266" s="130"/>
      <c r="M266" s="64"/>
      <c r="N266" s="127" t="str">
        <f>IF(ISNA(VLOOKUP(Table3[[#This Row],[Ticket]],Table1[],17,FALSE)),"",VLOOKUP(Table3[[#This Row],[Ticket]],Table1[],17,FALSE))</f>
        <v/>
      </c>
      <c r="O266" s="128" t="str">
        <f>IF(Table3[[#This Row],[Actual End Date]]="","",TEXT(Table3[[#This Row],[Actual End Date]],"mmm-yy"))</f>
        <v/>
      </c>
      <c r="Q266" s="1"/>
    </row>
    <row r="267" spans="2:17">
      <c r="B267" s="64"/>
      <c r="C267" s="64"/>
      <c r="D267" s="116"/>
      <c r="E267" s="125"/>
      <c r="F267" s="125"/>
      <c r="G267" s="123"/>
      <c r="H267" s="130"/>
      <c r="I267" s="130"/>
      <c r="J267" s="64"/>
      <c r="K267" s="130"/>
      <c r="L267" s="130"/>
      <c r="M267" s="64"/>
      <c r="N267" s="127" t="str">
        <f>IF(ISNA(VLOOKUP(Table3[[#This Row],[Ticket]],Table1[],17,FALSE)),"",VLOOKUP(Table3[[#This Row],[Ticket]],Table1[],17,FALSE))</f>
        <v/>
      </c>
      <c r="O267" s="128" t="str">
        <f>IF(Table3[[#This Row],[Actual End Date]]="","",TEXT(Table3[[#This Row],[Actual End Date]],"mmm-yy"))</f>
        <v/>
      </c>
      <c r="Q267" s="1"/>
    </row>
    <row r="268" spans="2:17">
      <c r="B268" s="64"/>
      <c r="C268" s="64"/>
      <c r="D268" s="116"/>
      <c r="E268" s="125"/>
      <c r="F268" s="125"/>
      <c r="G268" s="123"/>
      <c r="H268" s="130"/>
      <c r="I268" s="130"/>
      <c r="J268" s="64"/>
      <c r="K268" s="130"/>
      <c r="L268" s="130"/>
      <c r="M268" s="64"/>
      <c r="N268" s="127" t="str">
        <f>IF(ISNA(VLOOKUP(Table3[[#This Row],[Ticket]],Table1[],17,FALSE)),"",VLOOKUP(Table3[[#This Row],[Ticket]],Table1[],17,FALSE))</f>
        <v/>
      </c>
      <c r="O268" s="128" t="str">
        <f>IF(Table3[[#This Row],[Actual End Date]]="","",TEXT(Table3[[#This Row],[Actual End Date]],"mmm-yy"))</f>
        <v/>
      </c>
      <c r="Q268" s="1"/>
    </row>
    <row r="269" spans="2:17">
      <c r="B269" s="64"/>
      <c r="C269" s="64"/>
      <c r="D269" s="116"/>
      <c r="E269" s="125"/>
      <c r="F269" s="125"/>
      <c r="G269" s="123"/>
      <c r="H269" s="130"/>
      <c r="I269" s="130"/>
      <c r="J269" s="64"/>
      <c r="K269" s="130"/>
      <c r="L269" s="130"/>
      <c r="M269" s="64"/>
      <c r="N269" s="127" t="str">
        <f>IF(ISNA(VLOOKUP(Table3[[#This Row],[Ticket]],Table1[],17,FALSE)),"",VLOOKUP(Table3[[#This Row],[Ticket]],Table1[],17,FALSE))</f>
        <v/>
      </c>
      <c r="O269" s="128" t="str">
        <f>IF(Table3[[#This Row],[Actual End Date]]="","",TEXT(Table3[[#This Row],[Actual End Date]],"mmm-yy"))</f>
        <v/>
      </c>
      <c r="Q269" s="1"/>
    </row>
    <row r="270" spans="2:17">
      <c r="B270" s="64"/>
      <c r="C270" s="64"/>
      <c r="D270" s="116"/>
      <c r="E270" s="125"/>
      <c r="F270" s="125"/>
      <c r="G270" s="123"/>
      <c r="H270" s="130"/>
      <c r="I270" s="130"/>
      <c r="J270" s="64"/>
      <c r="K270" s="130"/>
      <c r="L270" s="130"/>
      <c r="M270" s="64"/>
      <c r="N270" s="127" t="str">
        <f>IF(ISNA(VLOOKUP(Table3[[#This Row],[Ticket]],Table1[],17,FALSE)),"",VLOOKUP(Table3[[#This Row],[Ticket]],Table1[],17,FALSE))</f>
        <v/>
      </c>
      <c r="O270" s="128" t="str">
        <f>IF(Table3[[#This Row],[Actual End Date]]="","",TEXT(Table3[[#This Row],[Actual End Date]],"mmm-yy"))</f>
        <v/>
      </c>
      <c r="Q270" s="1"/>
    </row>
    <row r="271" spans="2:17">
      <c r="B271" s="64"/>
      <c r="C271" s="64"/>
      <c r="D271" s="116"/>
      <c r="E271" s="125"/>
      <c r="F271" s="125"/>
      <c r="G271" s="123"/>
      <c r="H271" s="130"/>
      <c r="I271" s="130"/>
      <c r="J271" s="64"/>
      <c r="K271" s="130"/>
      <c r="L271" s="130"/>
      <c r="M271" s="64"/>
      <c r="N271" s="127" t="str">
        <f>IF(ISNA(VLOOKUP(Table3[[#This Row],[Ticket]],Table1[],17,FALSE)),"",VLOOKUP(Table3[[#This Row],[Ticket]],Table1[],17,FALSE))</f>
        <v/>
      </c>
      <c r="O271" s="128" t="str">
        <f>IF(Table3[[#This Row],[Actual End Date]]="","",TEXT(Table3[[#This Row],[Actual End Date]],"mmm-yy"))</f>
        <v/>
      </c>
      <c r="Q271" s="1"/>
    </row>
    <row r="272" spans="2:17">
      <c r="B272" s="64"/>
      <c r="C272" s="64"/>
      <c r="D272" s="116"/>
      <c r="E272" s="125"/>
      <c r="F272" s="125"/>
      <c r="G272" s="123"/>
      <c r="H272" s="130"/>
      <c r="I272" s="130"/>
      <c r="J272" s="64"/>
      <c r="K272" s="130"/>
      <c r="L272" s="130"/>
      <c r="M272" s="64"/>
      <c r="N272" s="127" t="str">
        <f>IF(ISNA(VLOOKUP(Table3[[#This Row],[Ticket]],Table1[],17,FALSE)),"",VLOOKUP(Table3[[#This Row],[Ticket]],Table1[],17,FALSE))</f>
        <v/>
      </c>
      <c r="O272" s="128" t="str">
        <f>IF(Table3[[#This Row],[Actual End Date]]="","",TEXT(Table3[[#This Row],[Actual End Date]],"mmm-yy"))</f>
        <v/>
      </c>
      <c r="Q272" s="1"/>
    </row>
    <row r="273" spans="2:17">
      <c r="B273" s="64"/>
      <c r="C273" s="64"/>
      <c r="D273" s="116"/>
      <c r="E273" s="125"/>
      <c r="F273" s="125"/>
      <c r="G273" s="123"/>
      <c r="H273" s="130"/>
      <c r="I273" s="130"/>
      <c r="J273" s="64"/>
      <c r="K273" s="130"/>
      <c r="L273" s="130"/>
      <c r="M273" s="64"/>
      <c r="N273" s="127" t="str">
        <f>IF(ISNA(VLOOKUP(Table3[[#This Row],[Ticket]],Table1[],17,FALSE)),"",VLOOKUP(Table3[[#This Row],[Ticket]],Table1[],17,FALSE))</f>
        <v/>
      </c>
      <c r="O273" s="128" t="str">
        <f>IF(Table3[[#This Row],[Actual End Date]]="","",TEXT(Table3[[#This Row],[Actual End Date]],"mmm-yy"))</f>
        <v/>
      </c>
      <c r="Q273" s="1"/>
    </row>
    <row r="274" spans="2:17">
      <c r="B274" s="64"/>
      <c r="C274" s="64"/>
      <c r="D274" s="116"/>
      <c r="E274" s="125"/>
      <c r="F274" s="125"/>
      <c r="G274" s="123"/>
      <c r="H274" s="130"/>
      <c r="I274" s="130"/>
      <c r="J274" s="64"/>
      <c r="K274" s="130"/>
      <c r="L274" s="130"/>
      <c r="M274" s="64"/>
      <c r="N274" s="127" t="str">
        <f>IF(ISNA(VLOOKUP(Table3[[#This Row],[Ticket]],Table1[],17,FALSE)),"",VLOOKUP(Table3[[#This Row],[Ticket]],Table1[],17,FALSE))</f>
        <v/>
      </c>
      <c r="O274" s="128" t="str">
        <f>IF(Table3[[#This Row],[Actual End Date]]="","",TEXT(Table3[[#This Row],[Actual End Date]],"mmm-yy"))</f>
        <v/>
      </c>
      <c r="Q274" s="1"/>
    </row>
    <row r="275" spans="2:17">
      <c r="B275" s="64"/>
      <c r="C275" s="64"/>
      <c r="D275" s="116"/>
      <c r="E275" s="125"/>
      <c r="F275" s="125"/>
      <c r="G275" s="123"/>
      <c r="H275" s="130"/>
      <c r="I275" s="130"/>
      <c r="J275" s="64"/>
      <c r="K275" s="130"/>
      <c r="L275" s="130"/>
      <c r="M275" s="64"/>
      <c r="N275" s="127" t="str">
        <f>IF(ISNA(VLOOKUP(Table3[[#This Row],[Ticket]],Table1[],17,FALSE)),"",VLOOKUP(Table3[[#This Row],[Ticket]],Table1[],17,FALSE))</f>
        <v/>
      </c>
      <c r="O275" s="128" t="str">
        <f>IF(Table3[[#This Row],[Actual End Date]]="","",TEXT(Table3[[#This Row],[Actual End Date]],"mmm-yy"))</f>
        <v/>
      </c>
      <c r="Q275" s="1"/>
    </row>
    <row r="276" spans="2:17">
      <c r="B276" s="64"/>
      <c r="C276" s="64"/>
      <c r="D276" s="116"/>
      <c r="E276" s="125"/>
      <c r="F276" s="125"/>
      <c r="G276" s="123"/>
      <c r="H276" s="130"/>
      <c r="I276" s="130"/>
      <c r="J276" s="64"/>
      <c r="K276" s="130"/>
      <c r="L276" s="130"/>
      <c r="M276" s="64"/>
      <c r="N276" s="127" t="str">
        <f>IF(ISNA(VLOOKUP(Table3[[#This Row],[Ticket]],Table1[],17,FALSE)),"",VLOOKUP(Table3[[#This Row],[Ticket]],Table1[],17,FALSE))</f>
        <v/>
      </c>
      <c r="O276" s="128" t="str">
        <f>IF(Table3[[#This Row],[Actual End Date]]="","",TEXT(Table3[[#This Row],[Actual End Date]],"mmm-yy"))</f>
        <v/>
      </c>
      <c r="Q276" s="1"/>
    </row>
    <row r="277" spans="2:17">
      <c r="B277" s="64"/>
      <c r="C277" s="64"/>
      <c r="D277" s="116"/>
      <c r="E277" s="125"/>
      <c r="F277" s="125"/>
      <c r="G277" s="123"/>
      <c r="H277" s="130"/>
      <c r="I277" s="130"/>
      <c r="J277" s="64"/>
      <c r="K277" s="130"/>
      <c r="L277" s="130"/>
      <c r="M277" s="64"/>
      <c r="N277" s="127" t="str">
        <f>IF(ISNA(VLOOKUP(Table3[[#This Row],[Ticket]],Table1[],17,FALSE)),"",VLOOKUP(Table3[[#This Row],[Ticket]],Table1[],17,FALSE))</f>
        <v/>
      </c>
      <c r="O277" s="128" t="str">
        <f>IF(Table3[[#This Row],[Actual End Date]]="","",TEXT(Table3[[#This Row],[Actual End Date]],"mmm-yy"))</f>
        <v/>
      </c>
      <c r="Q277" s="1"/>
    </row>
    <row r="278" spans="2:17">
      <c r="B278" s="64"/>
      <c r="C278" s="64"/>
      <c r="D278" s="116"/>
      <c r="E278" s="125"/>
      <c r="F278" s="125"/>
      <c r="G278" s="123"/>
      <c r="H278" s="130"/>
      <c r="I278" s="130"/>
      <c r="J278" s="64"/>
      <c r="K278" s="130"/>
      <c r="L278" s="130"/>
      <c r="M278" s="64"/>
      <c r="N278" s="127" t="str">
        <f>IF(ISNA(VLOOKUP(Table3[[#This Row],[Ticket]],Table1[],17,FALSE)),"",VLOOKUP(Table3[[#This Row],[Ticket]],Table1[],17,FALSE))</f>
        <v/>
      </c>
      <c r="O278" s="128" t="str">
        <f>IF(Table3[[#This Row],[Actual End Date]]="","",TEXT(Table3[[#This Row],[Actual End Date]],"mmm-yy"))</f>
        <v/>
      </c>
      <c r="Q278" s="1"/>
    </row>
    <row r="279" spans="2:17">
      <c r="B279" s="64"/>
      <c r="C279" s="64"/>
      <c r="D279" s="116"/>
      <c r="E279" s="125"/>
      <c r="F279" s="125"/>
      <c r="G279" s="123"/>
      <c r="H279" s="130"/>
      <c r="I279" s="130"/>
      <c r="J279" s="64"/>
      <c r="K279" s="130"/>
      <c r="L279" s="130"/>
      <c r="M279" s="64"/>
      <c r="N279" s="127" t="str">
        <f>IF(ISNA(VLOOKUP(Table3[[#This Row],[Ticket]],Table1[],17,FALSE)),"",VLOOKUP(Table3[[#This Row],[Ticket]],Table1[],17,FALSE))</f>
        <v/>
      </c>
      <c r="O279" s="128" t="str">
        <f>IF(Table3[[#This Row],[Actual End Date]]="","",TEXT(Table3[[#This Row],[Actual End Date]],"mmm-yy"))</f>
        <v/>
      </c>
      <c r="Q279" s="1"/>
    </row>
    <row r="280" spans="2:17">
      <c r="B280" s="64"/>
      <c r="C280" s="64"/>
      <c r="D280" s="116"/>
      <c r="E280" s="125"/>
      <c r="F280" s="125"/>
      <c r="G280" s="123"/>
      <c r="H280" s="130"/>
      <c r="I280" s="130"/>
      <c r="J280" s="64"/>
      <c r="K280" s="130"/>
      <c r="L280" s="130"/>
      <c r="M280" s="64"/>
      <c r="N280" s="127" t="str">
        <f>IF(ISNA(VLOOKUP(Table3[[#This Row],[Ticket]],Table1[],17,FALSE)),"",VLOOKUP(Table3[[#This Row],[Ticket]],Table1[],17,FALSE))</f>
        <v/>
      </c>
      <c r="O280" s="128" t="str">
        <f>IF(Table3[[#This Row],[Actual End Date]]="","",TEXT(Table3[[#This Row],[Actual End Date]],"mmm-yy"))</f>
        <v/>
      </c>
      <c r="Q280" s="1"/>
    </row>
    <row r="281" spans="2:17">
      <c r="B281" s="64"/>
      <c r="C281" s="64"/>
      <c r="D281" s="116"/>
      <c r="E281" s="125"/>
      <c r="F281" s="125"/>
      <c r="G281" s="123"/>
      <c r="H281" s="130"/>
      <c r="I281" s="130"/>
      <c r="J281" s="64"/>
      <c r="K281" s="130"/>
      <c r="L281" s="130"/>
      <c r="M281" s="64"/>
      <c r="N281" s="127" t="str">
        <f>IF(ISNA(VLOOKUP(Table3[[#This Row],[Ticket]],Table1[],17,FALSE)),"",VLOOKUP(Table3[[#This Row],[Ticket]],Table1[],17,FALSE))</f>
        <v/>
      </c>
      <c r="O281" s="128" t="str">
        <f>IF(Table3[[#This Row],[Actual End Date]]="","",TEXT(Table3[[#This Row],[Actual End Date]],"mmm-yy"))</f>
        <v/>
      </c>
      <c r="Q281" s="1"/>
    </row>
    <row r="282" spans="2:17">
      <c r="B282" s="64"/>
      <c r="C282" s="64"/>
      <c r="D282" s="116"/>
      <c r="E282" s="125"/>
      <c r="F282" s="125"/>
      <c r="G282" s="123"/>
      <c r="H282" s="130"/>
      <c r="I282" s="130"/>
      <c r="J282" s="64"/>
      <c r="K282" s="130"/>
      <c r="L282" s="130"/>
      <c r="M282" s="64"/>
      <c r="N282" s="127" t="str">
        <f>IF(ISNA(VLOOKUP(Table3[[#This Row],[Ticket]],Table1[],17,FALSE)),"",VLOOKUP(Table3[[#This Row],[Ticket]],Table1[],17,FALSE))</f>
        <v/>
      </c>
      <c r="O282" s="128" t="str">
        <f>IF(Table3[[#This Row],[Actual End Date]]="","",TEXT(Table3[[#This Row],[Actual End Date]],"mmm-yy"))</f>
        <v/>
      </c>
      <c r="Q282" s="1"/>
    </row>
    <row r="283" spans="2:17">
      <c r="B283" s="64"/>
      <c r="C283" s="64"/>
      <c r="D283" s="116"/>
      <c r="E283" s="125"/>
      <c r="F283" s="125"/>
      <c r="G283" s="123"/>
      <c r="H283" s="130"/>
      <c r="I283" s="130"/>
      <c r="J283" s="64"/>
      <c r="K283" s="130"/>
      <c r="L283" s="130"/>
      <c r="M283" s="64"/>
      <c r="N283" s="127" t="str">
        <f>IF(ISNA(VLOOKUP(Table3[[#This Row],[Ticket]],Table1[],17,FALSE)),"",VLOOKUP(Table3[[#This Row],[Ticket]],Table1[],17,FALSE))</f>
        <v/>
      </c>
      <c r="O283" s="128" t="str">
        <f>IF(Table3[[#This Row],[Actual End Date]]="","",TEXT(Table3[[#This Row],[Actual End Date]],"mmm-yy"))</f>
        <v/>
      </c>
      <c r="Q283" s="1"/>
    </row>
    <row r="284" spans="2:17">
      <c r="B284" s="64"/>
      <c r="C284" s="64"/>
      <c r="D284" s="116"/>
      <c r="E284" s="125"/>
      <c r="F284" s="125"/>
      <c r="G284" s="123"/>
      <c r="H284" s="130"/>
      <c r="I284" s="130"/>
      <c r="J284" s="64"/>
      <c r="K284" s="130"/>
      <c r="L284" s="130"/>
      <c r="M284" s="64"/>
      <c r="N284" s="127" t="str">
        <f>IF(ISNA(VLOOKUP(Table3[[#This Row],[Ticket]],Table1[],17,FALSE)),"",VLOOKUP(Table3[[#This Row],[Ticket]],Table1[],17,FALSE))</f>
        <v/>
      </c>
      <c r="O284" s="128" t="str">
        <f>IF(Table3[[#This Row],[Actual End Date]]="","",TEXT(Table3[[#This Row],[Actual End Date]],"mmm-yy"))</f>
        <v/>
      </c>
      <c r="Q284" s="1"/>
    </row>
    <row r="285" spans="2:17">
      <c r="B285" s="64"/>
      <c r="C285" s="64"/>
      <c r="D285" s="116"/>
      <c r="E285" s="125"/>
      <c r="F285" s="125"/>
      <c r="G285" s="123"/>
      <c r="H285" s="130"/>
      <c r="I285" s="130"/>
      <c r="J285" s="64"/>
      <c r="K285" s="130"/>
      <c r="L285" s="130"/>
      <c r="M285" s="64"/>
      <c r="N285" s="127" t="str">
        <f>IF(ISNA(VLOOKUP(Table3[[#This Row],[Ticket]],Table1[],17,FALSE)),"",VLOOKUP(Table3[[#This Row],[Ticket]],Table1[],17,FALSE))</f>
        <v/>
      </c>
      <c r="O285" s="128" t="str">
        <f>IF(Table3[[#This Row],[Actual End Date]]="","",TEXT(Table3[[#This Row],[Actual End Date]],"mmm-yy"))</f>
        <v/>
      </c>
      <c r="Q285" s="1"/>
    </row>
    <row r="286" spans="2:17">
      <c r="B286" s="64"/>
      <c r="C286" s="64"/>
      <c r="D286" s="116"/>
      <c r="E286" s="125"/>
      <c r="F286" s="125"/>
      <c r="G286" s="123"/>
      <c r="H286" s="130"/>
      <c r="I286" s="130"/>
      <c r="J286" s="64"/>
      <c r="K286" s="130"/>
      <c r="L286" s="130"/>
      <c r="M286" s="64"/>
      <c r="N286" s="127" t="str">
        <f>IF(ISNA(VLOOKUP(Table3[[#This Row],[Ticket]],Table1[],17,FALSE)),"",VLOOKUP(Table3[[#This Row],[Ticket]],Table1[],17,FALSE))</f>
        <v/>
      </c>
      <c r="O286" s="128" t="str">
        <f>IF(Table3[[#This Row],[Actual End Date]]="","",TEXT(Table3[[#This Row],[Actual End Date]],"mmm-yy"))</f>
        <v/>
      </c>
      <c r="Q286" s="1"/>
    </row>
    <row r="287" spans="2:17">
      <c r="B287" s="64"/>
      <c r="C287" s="64"/>
      <c r="D287" s="116"/>
      <c r="E287" s="125"/>
      <c r="F287" s="125"/>
      <c r="G287" s="123"/>
      <c r="H287" s="130"/>
      <c r="I287" s="130"/>
      <c r="J287" s="64"/>
      <c r="K287" s="130"/>
      <c r="L287" s="130"/>
      <c r="M287" s="64"/>
      <c r="N287" s="127" t="str">
        <f>IF(ISNA(VLOOKUP(Table3[[#This Row],[Ticket]],Table1[],17,FALSE)),"",VLOOKUP(Table3[[#This Row],[Ticket]],Table1[],17,FALSE))</f>
        <v/>
      </c>
      <c r="O287" s="128" t="str">
        <f>IF(Table3[[#This Row],[Actual End Date]]="","",TEXT(Table3[[#This Row],[Actual End Date]],"mmm-yy"))</f>
        <v/>
      </c>
      <c r="Q287" s="1"/>
    </row>
    <row r="288" spans="2:17">
      <c r="B288" s="64"/>
      <c r="C288" s="64"/>
      <c r="D288" s="116"/>
      <c r="E288" s="125"/>
      <c r="F288" s="125"/>
      <c r="G288" s="123"/>
      <c r="H288" s="130"/>
      <c r="I288" s="130"/>
      <c r="J288" s="64"/>
      <c r="K288" s="130"/>
      <c r="L288" s="130"/>
      <c r="M288" s="64"/>
      <c r="N288" s="127" t="str">
        <f>IF(ISNA(VLOOKUP(Table3[[#This Row],[Ticket]],Table1[],17,FALSE)),"",VLOOKUP(Table3[[#This Row],[Ticket]],Table1[],17,FALSE))</f>
        <v/>
      </c>
      <c r="O288" s="128" t="str">
        <f>IF(Table3[[#This Row],[Actual End Date]]="","",TEXT(Table3[[#This Row],[Actual End Date]],"mmm-yy"))</f>
        <v/>
      </c>
      <c r="Q288" s="1"/>
    </row>
    <row r="289" spans="2:17">
      <c r="B289" s="64"/>
      <c r="C289" s="64"/>
      <c r="D289" s="116"/>
      <c r="E289" s="125"/>
      <c r="F289" s="125"/>
      <c r="G289" s="123"/>
      <c r="H289" s="130"/>
      <c r="I289" s="130"/>
      <c r="J289" s="64"/>
      <c r="K289" s="130"/>
      <c r="L289" s="130"/>
      <c r="M289" s="64"/>
      <c r="N289" s="127" t="str">
        <f>IF(ISNA(VLOOKUP(Table3[[#This Row],[Ticket]],Table1[],17,FALSE)),"",VLOOKUP(Table3[[#This Row],[Ticket]],Table1[],17,FALSE))</f>
        <v/>
      </c>
      <c r="O289" s="128" t="str">
        <f>IF(Table3[[#This Row],[Actual End Date]]="","",TEXT(Table3[[#This Row],[Actual End Date]],"mmm-yy"))</f>
        <v/>
      </c>
      <c r="Q289" s="1"/>
    </row>
    <row r="290" spans="2:17">
      <c r="B290" s="64"/>
      <c r="C290" s="64"/>
      <c r="D290" s="116"/>
      <c r="E290" s="125"/>
      <c r="F290" s="125"/>
      <c r="G290" s="123"/>
      <c r="H290" s="130"/>
      <c r="I290" s="130"/>
      <c r="J290" s="64"/>
      <c r="K290" s="130"/>
      <c r="L290" s="130"/>
      <c r="M290" s="64"/>
      <c r="N290" s="127" t="str">
        <f>IF(ISNA(VLOOKUP(Table3[[#This Row],[Ticket]],Table1[],17,FALSE)),"",VLOOKUP(Table3[[#This Row],[Ticket]],Table1[],17,FALSE))</f>
        <v/>
      </c>
      <c r="O290" s="128" t="str">
        <f>IF(Table3[[#This Row],[Actual End Date]]="","",TEXT(Table3[[#This Row],[Actual End Date]],"mmm-yy"))</f>
        <v/>
      </c>
      <c r="Q290" s="1"/>
    </row>
    <row r="291" spans="2:17">
      <c r="B291" s="64"/>
      <c r="C291" s="64"/>
      <c r="D291" s="116"/>
      <c r="E291" s="125"/>
      <c r="F291" s="125"/>
      <c r="G291" s="123"/>
      <c r="H291" s="130"/>
      <c r="I291" s="130"/>
      <c r="J291" s="64"/>
      <c r="K291" s="130"/>
      <c r="L291" s="130"/>
      <c r="M291" s="64"/>
      <c r="N291" s="127" t="str">
        <f>IF(ISNA(VLOOKUP(Table3[[#This Row],[Ticket]],Table1[],17,FALSE)),"",VLOOKUP(Table3[[#This Row],[Ticket]],Table1[],17,FALSE))</f>
        <v/>
      </c>
      <c r="O291" s="128" t="str">
        <f>IF(Table3[[#This Row],[Actual End Date]]="","",TEXT(Table3[[#This Row],[Actual End Date]],"mmm-yy"))</f>
        <v/>
      </c>
      <c r="Q291" s="1"/>
    </row>
    <row r="292" spans="2:17">
      <c r="B292" s="64"/>
      <c r="C292" s="64"/>
      <c r="D292" s="116"/>
      <c r="E292" s="125"/>
      <c r="F292" s="125"/>
      <c r="G292" s="123"/>
      <c r="H292" s="130"/>
      <c r="I292" s="130"/>
      <c r="J292" s="64"/>
      <c r="K292" s="130"/>
      <c r="L292" s="130"/>
      <c r="M292" s="64"/>
      <c r="N292" s="127" t="str">
        <f>IF(ISNA(VLOOKUP(Table3[[#This Row],[Ticket]],Table1[],17,FALSE)),"",VLOOKUP(Table3[[#This Row],[Ticket]],Table1[],17,FALSE))</f>
        <v/>
      </c>
      <c r="O292" s="128" t="str">
        <f>IF(Table3[[#This Row],[Actual End Date]]="","",TEXT(Table3[[#This Row],[Actual End Date]],"mmm-yy"))</f>
        <v/>
      </c>
      <c r="Q292" s="1"/>
    </row>
    <row r="293" spans="2:17">
      <c r="B293" s="64"/>
      <c r="C293" s="64"/>
      <c r="D293" s="116"/>
      <c r="E293" s="125"/>
      <c r="F293" s="125"/>
      <c r="G293" s="123"/>
      <c r="H293" s="130"/>
      <c r="I293" s="130"/>
      <c r="J293" s="64"/>
      <c r="K293" s="130"/>
      <c r="L293" s="130"/>
      <c r="M293" s="64"/>
      <c r="N293" s="127" t="str">
        <f>IF(ISNA(VLOOKUP(Table3[[#This Row],[Ticket]],Table1[],17,FALSE)),"",VLOOKUP(Table3[[#This Row],[Ticket]],Table1[],17,FALSE))</f>
        <v/>
      </c>
      <c r="O293" s="128" t="str">
        <f>IF(Table3[[#This Row],[Actual End Date]]="","",TEXT(Table3[[#This Row],[Actual End Date]],"mmm-yy"))</f>
        <v/>
      </c>
      <c r="Q293" s="1"/>
    </row>
    <row r="294" spans="2:17">
      <c r="B294" s="64"/>
      <c r="C294" s="64"/>
      <c r="D294" s="116"/>
      <c r="E294" s="125"/>
      <c r="F294" s="125"/>
      <c r="G294" s="123"/>
      <c r="H294" s="130"/>
      <c r="I294" s="130"/>
      <c r="J294" s="64"/>
      <c r="K294" s="130"/>
      <c r="L294" s="130"/>
      <c r="M294" s="64"/>
      <c r="N294" s="127" t="str">
        <f>IF(ISNA(VLOOKUP(Table3[[#This Row],[Ticket]],Table1[],17,FALSE)),"",VLOOKUP(Table3[[#This Row],[Ticket]],Table1[],17,FALSE))</f>
        <v/>
      </c>
      <c r="O294" s="128" t="str">
        <f>IF(Table3[[#This Row],[Actual End Date]]="","",TEXT(Table3[[#This Row],[Actual End Date]],"mmm-yy"))</f>
        <v/>
      </c>
      <c r="Q294" s="1"/>
    </row>
    <row r="295" spans="2:17">
      <c r="B295" s="64"/>
      <c r="C295" s="64"/>
      <c r="D295" s="64"/>
      <c r="E295" s="125"/>
      <c r="F295" s="125"/>
      <c r="G295" s="123"/>
      <c r="H295" s="130"/>
      <c r="I295" s="130"/>
      <c r="J295" s="64"/>
      <c r="K295" s="130"/>
      <c r="L295" s="130"/>
      <c r="M295" s="64"/>
      <c r="N295" s="127" t="str">
        <f>IF(ISNA(VLOOKUP(Table3[[#This Row],[Ticket]],Table1[],17,FALSE)),"",VLOOKUP(Table3[[#This Row],[Ticket]],Table1[],17,FALSE))</f>
        <v/>
      </c>
      <c r="O295" s="128" t="str">
        <f>IF(Table3[[#This Row],[Actual End Date]]="","",TEXT(Table3[[#This Row],[Actual End Date]],"mmm-yy"))</f>
        <v/>
      </c>
      <c r="Q295" s="1"/>
    </row>
    <row r="296" spans="2:17">
      <c r="B296" s="64"/>
      <c r="C296" s="64"/>
      <c r="D296" s="64"/>
      <c r="E296" s="125"/>
      <c r="F296" s="125"/>
      <c r="G296" s="123"/>
      <c r="H296" s="130"/>
      <c r="I296" s="130"/>
      <c r="J296" s="64"/>
      <c r="K296" s="130"/>
      <c r="L296" s="130"/>
      <c r="M296" s="64"/>
      <c r="N296" s="127" t="str">
        <f>IF(ISNA(VLOOKUP(Table3[[#This Row],[Ticket]],Table1[],17,FALSE)),"",VLOOKUP(Table3[[#This Row],[Ticket]],Table1[],17,FALSE))</f>
        <v/>
      </c>
      <c r="O296" s="128" t="str">
        <f>IF(Table3[[#This Row],[Actual End Date]]="","",TEXT(Table3[[#This Row],[Actual End Date]],"mmm-yy"))</f>
        <v/>
      </c>
      <c r="Q296" s="1"/>
    </row>
    <row r="297" spans="2:17">
      <c r="B297" s="64"/>
      <c r="C297" s="64"/>
      <c r="D297" s="64"/>
      <c r="E297" s="125"/>
      <c r="F297" s="125"/>
      <c r="G297" s="123"/>
      <c r="H297" s="130"/>
      <c r="I297" s="130"/>
      <c r="J297" s="64"/>
      <c r="K297" s="130"/>
      <c r="L297" s="130"/>
      <c r="M297" s="64"/>
      <c r="N297" s="127" t="str">
        <f>IF(ISNA(VLOOKUP(Table3[[#This Row],[Ticket]],Table1[],17,FALSE)),"",VLOOKUP(Table3[[#This Row],[Ticket]],Table1[],17,FALSE))</f>
        <v/>
      </c>
      <c r="O297" s="128" t="str">
        <f>IF(Table3[[#This Row],[Actual End Date]]="","",TEXT(Table3[[#This Row],[Actual End Date]],"mmm-yy"))</f>
        <v/>
      </c>
      <c r="Q297" s="1"/>
    </row>
    <row r="298" spans="2:17">
      <c r="B298" s="64"/>
      <c r="C298" s="64"/>
      <c r="D298" s="64"/>
      <c r="E298" s="125"/>
      <c r="F298" s="125"/>
      <c r="G298" s="123"/>
      <c r="H298" s="130"/>
      <c r="I298" s="130"/>
      <c r="J298" s="64"/>
      <c r="K298" s="130"/>
      <c r="L298" s="130"/>
      <c r="M298" s="64"/>
      <c r="N298" s="127" t="str">
        <f>IF(ISNA(VLOOKUP(Table3[[#This Row],[Ticket]],Table1[],17,FALSE)),"",VLOOKUP(Table3[[#This Row],[Ticket]],Table1[],17,FALSE))</f>
        <v/>
      </c>
      <c r="O298" s="128" t="str">
        <f>IF(Table3[[#This Row],[Actual End Date]]="","",TEXT(Table3[[#This Row],[Actual End Date]],"mmm-yy"))</f>
        <v/>
      </c>
      <c r="Q298" s="1"/>
    </row>
    <row r="299" spans="2:17">
      <c r="B299" s="64"/>
      <c r="C299" s="64"/>
      <c r="D299" s="64"/>
      <c r="E299" s="125"/>
      <c r="F299" s="125"/>
      <c r="G299" s="123"/>
      <c r="H299" s="130"/>
      <c r="I299" s="130"/>
      <c r="J299" s="64"/>
      <c r="K299" s="130"/>
      <c r="L299" s="130"/>
      <c r="M299" s="64"/>
      <c r="N299" s="127" t="str">
        <f>IF(ISNA(VLOOKUP(Table3[[#This Row],[Ticket]],Table1[],17,FALSE)),"",VLOOKUP(Table3[[#This Row],[Ticket]],Table1[],17,FALSE))</f>
        <v/>
      </c>
      <c r="O299" s="128" t="str">
        <f>IF(Table3[[#This Row],[Actual End Date]]="","",TEXT(Table3[[#This Row],[Actual End Date]],"mmm-yy"))</f>
        <v/>
      </c>
      <c r="Q299" s="1"/>
    </row>
    <row r="300" spans="2:17">
      <c r="B300" s="64"/>
      <c r="C300" s="64"/>
      <c r="D300" s="64"/>
      <c r="E300" s="125"/>
      <c r="F300" s="125"/>
      <c r="G300" s="123"/>
      <c r="H300" s="130"/>
      <c r="I300" s="130"/>
      <c r="J300" s="64"/>
      <c r="K300" s="130"/>
      <c r="L300" s="130"/>
      <c r="M300" s="64"/>
      <c r="N300" s="127" t="str">
        <f>IF(ISNA(VLOOKUP(Table3[[#This Row],[Ticket]],Table1[],17,FALSE)),"",VLOOKUP(Table3[[#This Row],[Ticket]],Table1[],17,FALSE))</f>
        <v/>
      </c>
      <c r="O300" s="128" t="str">
        <f>IF(Table3[[#This Row],[Actual End Date]]="","",TEXT(Table3[[#This Row],[Actual End Date]],"mmm-yy"))</f>
        <v/>
      </c>
      <c r="Q300" s="1"/>
    </row>
    <row r="301" spans="2:17">
      <c r="B301" s="64"/>
      <c r="C301" s="64"/>
      <c r="D301" s="64"/>
      <c r="E301" s="125"/>
      <c r="F301" s="125"/>
      <c r="G301" s="123"/>
      <c r="H301" s="130"/>
      <c r="I301" s="130"/>
      <c r="J301" s="64"/>
      <c r="K301" s="130"/>
      <c r="L301" s="130"/>
      <c r="M301" s="64"/>
      <c r="N301" s="127" t="str">
        <f>IF(ISNA(VLOOKUP(Table3[[#This Row],[Ticket]],Table1[],17,FALSE)),"",VLOOKUP(Table3[[#This Row],[Ticket]],Table1[],17,FALSE))</f>
        <v/>
      </c>
      <c r="O301" s="128" t="str">
        <f>IF(Table3[[#This Row],[Actual End Date]]="","",TEXT(Table3[[#This Row],[Actual End Date]],"mmm-yy"))</f>
        <v/>
      </c>
      <c r="Q301" s="1"/>
    </row>
    <row r="302" spans="2:17">
      <c r="B302" s="64"/>
      <c r="C302" s="64"/>
      <c r="D302" s="64"/>
      <c r="E302" s="125"/>
      <c r="F302" s="125"/>
      <c r="G302" s="123"/>
      <c r="H302" s="130"/>
      <c r="I302" s="130"/>
      <c r="J302" s="64"/>
      <c r="K302" s="130"/>
      <c r="L302" s="130"/>
      <c r="M302" s="64"/>
      <c r="N302" s="127" t="str">
        <f>IF(ISNA(VLOOKUP(Table3[[#This Row],[Ticket]],Table1[],17,FALSE)),"",VLOOKUP(Table3[[#This Row],[Ticket]],Table1[],17,FALSE))</f>
        <v/>
      </c>
      <c r="O302" s="128" t="str">
        <f>IF(Table3[[#This Row],[Actual End Date]]="","",TEXT(Table3[[#This Row],[Actual End Date]],"mmm-yy"))</f>
        <v/>
      </c>
      <c r="Q302" s="1"/>
    </row>
    <row r="303" spans="2:17">
      <c r="B303" s="64"/>
      <c r="C303" s="64"/>
      <c r="D303" s="64"/>
      <c r="E303" s="125"/>
      <c r="F303" s="125"/>
      <c r="G303" s="123"/>
      <c r="H303" s="130"/>
      <c r="I303" s="130"/>
      <c r="J303" s="64"/>
      <c r="K303" s="130"/>
      <c r="L303" s="130"/>
      <c r="M303" s="64"/>
      <c r="N303" s="127" t="str">
        <f>IF(ISNA(VLOOKUP(Table3[[#This Row],[Ticket]],Table1[],17,FALSE)),"",VLOOKUP(Table3[[#This Row],[Ticket]],Table1[],17,FALSE))</f>
        <v/>
      </c>
      <c r="O303" s="128" t="str">
        <f>IF(Table3[[#This Row],[Actual End Date]]="","",TEXT(Table3[[#This Row],[Actual End Date]],"mmm-yy"))</f>
        <v/>
      </c>
      <c r="Q303" s="1"/>
    </row>
    <row r="304" spans="2:17">
      <c r="B304" s="64"/>
      <c r="C304" s="64"/>
      <c r="D304" s="64"/>
      <c r="E304" s="125"/>
      <c r="F304" s="125"/>
      <c r="G304" s="123"/>
      <c r="H304" s="130"/>
      <c r="I304" s="130"/>
      <c r="J304" s="64"/>
      <c r="K304" s="130"/>
      <c r="L304" s="130"/>
      <c r="M304" s="64"/>
      <c r="N304" s="127" t="str">
        <f>IF(ISNA(VLOOKUP(Table3[[#This Row],[Ticket]],Table1[],17,FALSE)),"",VLOOKUP(Table3[[#This Row],[Ticket]],Table1[],17,FALSE))</f>
        <v/>
      </c>
      <c r="O304" s="128" t="str">
        <f>IF(Table3[[#This Row],[Actual End Date]]="","",TEXT(Table3[[#This Row],[Actual End Date]],"mmm-yy"))</f>
        <v/>
      </c>
      <c r="Q304" s="1"/>
    </row>
    <row r="305" spans="2:17">
      <c r="B305" s="64"/>
      <c r="C305" s="64"/>
      <c r="D305" s="64"/>
      <c r="E305" s="125"/>
      <c r="F305" s="125"/>
      <c r="G305" s="123"/>
      <c r="H305" s="130"/>
      <c r="I305" s="130"/>
      <c r="J305" s="64"/>
      <c r="K305" s="130"/>
      <c r="L305" s="130"/>
      <c r="M305" s="64"/>
      <c r="N305" s="127" t="str">
        <f>IF(ISNA(VLOOKUP(Table3[[#This Row],[Ticket]],Table1[],17,FALSE)),"",VLOOKUP(Table3[[#This Row],[Ticket]],Table1[],17,FALSE))</f>
        <v/>
      </c>
      <c r="O305" s="128" t="str">
        <f>IF(Table3[[#This Row],[Actual End Date]]="","",TEXT(Table3[[#This Row],[Actual End Date]],"mmm-yy"))</f>
        <v/>
      </c>
      <c r="Q305" s="1"/>
    </row>
    <row r="306" spans="2:17">
      <c r="B306" s="64"/>
      <c r="C306" s="64"/>
      <c r="D306" s="64"/>
      <c r="E306" s="125"/>
      <c r="F306" s="125"/>
      <c r="G306" s="123"/>
      <c r="H306" s="130"/>
      <c r="I306" s="130"/>
      <c r="J306" s="64"/>
      <c r="K306" s="130"/>
      <c r="L306" s="130"/>
      <c r="M306" s="64"/>
      <c r="N306" s="127" t="str">
        <f>IF(ISNA(VLOOKUP(Table3[[#This Row],[Ticket]],Table1[],17,FALSE)),"",VLOOKUP(Table3[[#This Row],[Ticket]],Table1[],17,FALSE))</f>
        <v/>
      </c>
      <c r="O306" s="128" t="str">
        <f>IF(Table3[[#This Row],[Actual End Date]]="","",TEXT(Table3[[#This Row],[Actual End Date]],"mmm-yy"))</f>
        <v/>
      </c>
      <c r="Q306" s="1"/>
    </row>
    <row r="307" spans="2:17">
      <c r="B307" s="64"/>
      <c r="C307" s="64"/>
      <c r="D307" s="64"/>
      <c r="E307" s="125"/>
      <c r="F307" s="125"/>
      <c r="G307" s="123"/>
      <c r="H307" s="130"/>
      <c r="I307" s="130"/>
      <c r="J307" s="64"/>
      <c r="K307" s="130"/>
      <c r="L307" s="130"/>
      <c r="M307" s="64"/>
      <c r="N307" s="127" t="str">
        <f>IF(ISNA(VLOOKUP(Table3[[#This Row],[Ticket]],Table1[],17,FALSE)),"",VLOOKUP(Table3[[#This Row],[Ticket]],Table1[],17,FALSE))</f>
        <v/>
      </c>
      <c r="O307" s="128" t="str">
        <f>IF(Table3[[#This Row],[Actual End Date]]="","",TEXT(Table3[[#This Row],[Actual End Date]],"mmm-yy"))</f>
        <v/>
      </c>
      <c r="Q307" s="1"/>
    </row>
    <row r="308" spans="2:17">
      <c r="B308" s="64"/>
      <c r="C308" s="64"/>
      <c r="D308" s="64"/>
      <c r="E308" s="125"/>
      <c r="F308" s="125"/>
      <c r="G308" s="123"/>
      <c r="H308" s="130"/>
      <c r="I308" s="130"/>
      <c r="J308" s="64"/>
      <c r="K308" s="130"/>
      <c r="L308" s="130"/>
      <c r="M308" s="64"/>
      <c r="N308" s="127" t="str">
        <f>IF(ISNA(VLOOKUP(Table3[[#This Row],[Ticket]],Table1[],17,FALSE)),"",VLOOKUP(Table3[[#This Row],[Ticket]],Table1[],17,FALSE))</f>
        <v/>
      </c>
      <c r="O308" s="128" t="str">
        <f>IF(Table3[[#This Row],[Actual End Date]]="","",TEXT(Table3[[#This Row],[Actual End Date]],"mmm-yy"))</f>
        <v/>
      </c>
      <c r="Q308" s="1"/>
    </row>
    <row r="309" spans="2:17">
      <c r="B309" s="64"/>
      <c r="C309" s="64"/>
      <c r="D309" s="64"/>
      <c r="E309" s="125"/>
      <c r="F309" s="125"/>
      <c r="G309" s="123"/>
      <c r="H309" s="130"/>
      <c r="I309" s="130"/>
      <c r="J309" s="64"/>
      <c r="K309" s="130"/>
      <c r="L309" s="130"/>
      <c r="M309" s="64"/>
      <c r="N309" s="127" t="str">
        <f>IF(ISNA(VLOOKUP(Table3[[#This Row],[Ticket]],Table1[],17,FALSE)),"",VLOOKUP(Table3[[#This Row],[Ticket]],Table1[],17,FALSE))</f>
        <v/>
      </c>
      <c r="O309" s="128" t="str">
        <f>IF(Table3[[#This Row],[Actual End Date]]="","",TEXT(Table3[[#This Row],[Actual End Date]],"mmm-yy"))</f>
        <v/>
      </c>
      <c r="Q309" s="1"/>
    </row>
    <row r="310" spans="2:17">
      <c r="B310" s="64"/>
      <c r="C310" s="64"/>
      <c r="D310" s="64"/>
      <c r="E310" s="125"/>
      <c r="F310" s="125"/>
      <c r="G310" s="123"/>
      <c r="H310" s="130"/>
      <c r="I310" s="130"/>
      <c r="J310" s="64"/>
      <c r="K310" s="130"/>
      <c r="L310" s="130"/>
      <c r="M310" s="64"/>
      <c r="N310" s="127" t="str">
        <f>IF(ISNA(VLOOKUP(Table3[[#This Row],[Ticket]],Table1[],17,FALSE)),"",VLOOKUP(Table3[[#This Row],[Ticket]],Table1[],17,FALSE))</f>
        <v/>
      </c>
      <c r="O310" s="128" t="str">
        <f>IF(Table3[[#This Row],[Actual End Date]]="","",TEXT(Table3[[#This Row],[Actual End Date]],"mmm-yy"))</f>
        <v/>
      </c>
      <c r="Q310" s="1"/>
    </row>
    <row r="311" spans="2:17">
      <c r="B311" s="64"/>
      <c r="C311" s="64"/>
      <c r="D311" s="64"/>
      <c r="E311" s="125"/>
      <c r="F311" s="125"/>
      <c r="G311" s="123"/>
      <c r="H311" s="130"/>
      <c r="I311" s="130"/>
      <c r="J311" s="64"/>
      <c r="K311" s="130"/>
      <c r="L311" s="130"/>
      <c r="M311" s="64"/>
      <c r="N311" s="127" t="str">
        <f>IF(ISNA(VLOOKUP(Table3[[#This Row],[Ticket]],Table1[],17,FALSE)),"",VLOOKUP(Table3[[#This Row],[Ticket]],Table1[],17,FALSE))</f>
        <v/>
      </c>
      <c r="O311" s="128" t="str">
        <f>IF(Table3[[#This Row],[Actual End Date]]="","",TEXT(Table3[[#This Row],[Actual End Date]],"mmm-yy"))</f>
        <v/>
      </c>
      <c r="Q311" s="1"/>
    </row>
    <row r="312" spans="2:17">
      <c r="B312" s="64"/>
      <c r="C312" s="64"/>
      <c r="D312" s="64"/>
      <c r="E312" s="125"/>
      <c r="F312" s="125"/>
      <c r="G312" s="123"/>
      <c r="H312" s="130"/>
      <c r="I312" s="130"/>
      <c r="J312" s="64"/>
      <c r="K312" s="130"/>
      <c r="L312" s="130"/>
      <c r="M312" s="64"/>
      <c r="N312" s="127" t="str">
        <f>IF(ISNA(VLOOKUP(Table3[[#This Row],[Ticket]],Table1[],17,FALSE)),"",VLOOKUP(Table3[[#This Row],[Ticket]],Table1[],17,FALSE))</f>
        <v/>
      </c>
      <c r="O312" s="128" t="str">
        <f>IF(Table3[[#This Row],[Actual End Date]]="","",TEXT(Table3[[#This Row],[Actual End Date]],"mmm-yy"))</f>
        <v/>
      </c>
      <c r="Q312" s="1"/>
    </row>
    <row r="313" spans="2:17">
      <c r="B313" s="64"/>
      <c r="C313" s="64"/>
      <c r="D313" s="64"/>
      <c r="E313" s="125"/>
      <c r="F313" s="125"/>
      <c r="G313" s="123"/>
      <c r="H313" s="130"/>
      <c r="I313" s="130"/>
      <c r="J313" s="64"/>
      <c r="K313" s="130"/>
      <c r="L313" s="130"/>
      <c r="M313" s="64"/>
      <c r="N313" s="127" t="str">
        <f>IF(ISNA(VLOOKUP(Table3[[#This Row],[Ticket]],Table1[],17,FALSE)),"",VLOOKUP(Table3[[#This Row],[Ticket]],Table1[],17,FALSE))</f>
        <v/>
      </c>
      <c r="O313" s="128" t="str">
        <f>IF(Table3[[#This Row],[Actual End Date]]="","",TEXT(Table3[[#This Row],[Actual End Date]],"mmm-yy"))</f>
        <v/>
      </c>
      <c r="Q313" s="1"/>
    </row>
    <row r="314" spans="2:17">
      <c r="B314" s="64"/>
      <c r="C314" s="64"/>
      <c r="D314" s="64"/>
      <c r="E314" s="125"/>
      <c r="F314" s="125"/>
      <c r="G314" s="123"/>
      <c r="H314" s="130"/>
      <c r="I314" s="130"/>
      <c r="J314" s="64"/>
      <c r="K314" s="130"/>
      <c r="L314" s="130"/>
      <c r="M314" s="64"/>
      <c r="N314" s="127" t="str">
        <f>IF(ISNA(VLOOKUP(Table3[[#This Row],[Ticket]],Table1[],17,FALSE)),"",VLOOKUP(Table3[[#This Row],[Ticket]],Table1[],17,FALSE))</f>
        <v/>
      </c>
      <c r="O314" s="128" t="str">
        <f>IF(Table3[[#This Row],[Actual End Date]]="","",TEXT(Table3[[#This Row],[Actual End Date]],"mmm-yy"))</f>
        <v/>
      </c>
      <c r="Q314" s="1"/>
    </row>
    <row r="315" spans="2:17">
      <c r="B315" s="64"/>
      <c r="C315" s="64"/>
      <c r="D315" s="64"/>
      <c r="E315" s="125"/>
      <c r="F315" s="125"/>
      <c r="G315" s="123"/>
      <c r="H315" s="130"/>
      <c r="I315" s="130"/>
      <c r="J315" s="64"/>
      <c r="K315" s="130"/>
      <c r="L315" s="130"/>
      <c r="M315" s="64"/>
      <c r="N315" s="127" t="str">
        <f>IF(ISNA(VLOOKUP(Table3[[#This Row],[Ticket]],Table1[],17,FALSE)),"",VLOOKUP(Table3[[#This Row],[Ticket]],Table1[],17,FALSE))</f>
        <v/>
      </c>
      <c r="O315" s="128" t="str">
        <f>IF(Table3[[#This Row],[Actual End Date]]="","",TEXT(Table3[[#This Row],[Actual End Date]],"mmm-yy"))</f>
        <v/>
      </c>
      <c r="Q315" s="1"/>
    </row>
    <row r="316" spans="2:17">
      <c r="B316" s="64"/>
      <c r="C316" s="64"/>
      <c r="D316" s="64"/>
      <c r="E316" s="125"/>
      <c r="F316" s="125"/>
      <c r="G316" s="123"/>
      <c r="H316" s="130"/>
      <c r="I316" s="130"/>
      <c r="J316" s="64"/>
      <c r="K316" s="130"/>
      <c r="L316" s="130"/>
      <c r="M316" s="64"/>
      <c r="N316" s="127" t="str">
        <f>IF(ISNA(VLOOKUP(Table3[[#This Row],[Ticket]],Table1[],17,FALSE)),"",VLOOKUP(Table3[[#This Row],[Ticket]],Table1[],17,FALSE))</f>
        <v/>
      </c>
      <c r="O316" s="128" t="str">
        <f>IF(Table3[[#This Row],[Actual End Date]]="","",TEXT(Table3[[#This Row],[Actual End Date]],"mmm-yy"))</f>
        <v/>
      </c>
      <c r="Q316" s="1"/>
    </row>
    <row r="317" spans="2:17">
      <c r="B317" s="64"/>
      <c r="C317" s="64"/>
      <c r="D317" s="64"/>
      <c r="E317" s="125"/>
      <c r="F317" s="125"/>
      <c r="G317" s="123"/>
      <c r="H317" s="130"/>
      <c r="I317" s="130"/>
      <c r="J317" s="64"/>
      <c r="K317" s="130"/>
      <c r="L317" s="130"/>
      <c r="M317" s="64"/>
      <c r="N317" s="127" t="str">
        <f>IF(ISNA(VLOOKUP(Table3[[#This Row],[Ticket]],Table1[],17,FALSE)),"",VLOOKUP(Table3[[#This Row],[Ticket]],Table1[],17,FALSE))</f>
        <v/>
      </c>
      <c r="O317" s="128" t="str">
        <f>IF(Table3[[#This Row],[Actual End Date]]="","",TEXT(Table3[[#This Row],[Actual End Date]],"mmm-yy"))</f>
        <v/>
      </c>
      <c r="Q317" s="1"/>
    </row>
    <row r="318" spans="2:17">
      <c r="B318" s="64"/>
      <c r="C318" s="64"/>
      <c r="D318" s="64"/>
      <c r="E318" s="125"/>
      <c r="F318" s="125"/>
      <c r="G318" s="123"/>
      <c r="H318" s="130"/>
      <c r="I318" s="130"/>
      <c r="J318" s="64"/>
      <c r="K318" s="130"/>
      <c r="L318" s="130"/>
      <c r="M318" s="64"/>
      <c r="N318" s="127" t="str">
        <f>IF(ISNA(VLOOKUP(Table3[[#This Row],[Ticket]],Table1[],17,FALSE)),"",VLOOKUP(Table3[[#This Row],[Ticket]],Table1[],17,FALSE))</f>
        <v/>
      </c>
      <c r="O318" s="128" t="str">
        <f>IF(Table3[[#This Row],[Actual End Date]]="","",TEXT(Table3[[#This Row],[Actual End Date]],"mmm-yy"))</f>
        <v/>
      </c>
      <c r="Q318" s="1"/>
    </row>
    <row r="319" spans="2:17">
      <c r="B319" s="64"/>
      <c r="C319" s="64"/>
      <c r="D319" s="64"/>
      <c r="E319" s="125"/>
      <c r="F319" s="125"/>
      <c r="G319" s="123"/>
      <c r="H319" s="130"/>
      <c r="I319" s="130"/>
      <c r="J319" s="64"/>
      <c r="K319" s="130"/>
      <c r="L319" s="130"/>
      <c r="M319" s="64"/>
      <c r="N319" s="127" t="str">
        <f>IF(ISNA(VLOOKUP(Table3[[#This Row],[Ticket]],Table1[],17,FALSE)),"",VLOOKUP(Table3[[#This Row],[Ticket]],Table1[],17,FALSE))</f>
        <v/>
      </c>
      <c r="O319" s="128" t="str">
        <f>IF(Table3[[#This Row],[Actual End Date]]="","",TEXT(Table3[[#This Row],[Actual End Date]],"mmm-yy"))</f>
        <v/>
      </c>
      <c r="Q319" s="1"/>
    </row>
    <row r="320" spans="2:17">
      <c r="B320" s="64"/>
      <c r="C320" s="64"/>
      <c r="D320" s="64"/>
      <c r="E320" s="125"/>
      <c r="F320" s="125"/>
      <c r="G320" s="123"/>
      <c r="H320" s="130"/>
      <c r="I320" s="130"/>
      <c r="J320" s="64"/>
      <c r="K320" s="130"/>
      <c r="L320" s="130"/>
      <c r="M320" s="64"/>
      <c r="N320" s="127" t="str">
        <f>IF(ISNA(VLOOKUP(Table3[[#This Row],[Ticket]],Table1[],17,FALSE)),"",VLOOKUP(Table3[[#This Row],[Ticket]],Table1[],17,FALSE))</f>
        <v/>
      </c>
      <c r="O320" s="128" t="str">
        <f>IF(Table3[[#This Row],[Actual End Date]]="","",TEXT(Table3[[#This Row],[Actual End Date]],"mmm-yy"))</f>
        <v/>
      </c>
      <c r="Q320" s="1"/>
    </row>
    <row r="321" spans="2:17">
      <c r="B321" s="64"/>
      <c r="C321" s="64"/>
      <c r="D321" s="64"/>
      <c r="E321" s="125"/>
      <c r="F321" s="125"/>
      <c r="G321" s="123"/>
      <c r="H321" s="130"/>
      <c r="I321" s="130"/>
      <c r="J321" s="64"/>
      <c r="K321" s="130"/>
      <c r="L321" s="130"/>
      <c r="M321" s="64"/>
      <c r="N321" s="127" t="str">
        <f>IF(ISNA(VLOOKUP(Table3[[#This Row],[Ticket]],Table1[],17,FALSE)),"",VLOOKUP(Table3[[#This Row],[Ticket]],Table1[],17,FALSE))</f>
        <v/>
      </c>
      <c r="O321" s="128" t="str">
        <f>IF(Table3[[#This Row],[Actual End Date]]="","",TEXT(Table3[[#This Row],[Actual End Date]],"mmm-yy"))</f>
        <v/>
      </c>
      <c r="Q321" s="1"/>
    </row>
    <row r="322" spans="2:17">
      <c r="B322" s="64"/>
      <c r="C322" s="64"/>
      <c r="D322" s="64"/>
      <c r="E322" s="125"/>
      <c r="F322" s="125"/>
      <c r="G322" s="123"/>
      <c r="H322" s="130"/>
      <c r="I322" s="130"/>
      <c r="J322" s="64"/>
      <c r="K322" s="130"/>
      <c r="L322" s="130"/>
      <c r="M322" s="64"/>
      <c r="N322" s="127" t="str">
        <f>IF(ISNA(VLOOKUP(Table3[[#This Row],[Ticket]],Table1[],17,FALSE)),"",VLOOKUP(Table3[[#This Row],[Ticket]],Table1[],17,FALSE))</f>
        <v/>
      </c>
      <c r="O322" s="128" t="str">
        <f>IF(Table3[[#This Row],[Actual End Date]]="","",TEXT(Table3[[#This Row],[Actual End Date]],"mmm-yy"))</f>
        <v/>
      </c>
      <c r="Q322" s="1"/>
    </row>
    <row r="323" spans="2:17">
      <c r="B323" s="64"/>
      <c r="C323" s="64"/>
      <c r="D323" s="64"/>
      <c r="E323" s="125"/>
      <c r="F323" s="125"/>
      <c r="G323" s="123"/>
      <c r="H323" s="130"/>
      <c r="I323" s="130"/>
      <c r="J323" s="64"/>
      <c r="K323" s="130"/>
      <c r="L323" s="130"/>
      <c r="M323" s="64"/>
      <c r="N323" s="127" t="str">
        <f>IF(ISNA(VLOOKUP(Table3[[#This Row],[Ticket]],Table1[],17,FALSE)),"",VLOOKUP(Table3[[#This Row],[Ticket]],Table1[],17,FALSE))</f>
        <v/>
      </c>
      <c r="O323" s="128" t="str">
        <f>IF(Table3[[#This Row],[Actual End Date]]="","",TEXT(Table3[[#This Row],[Actual End Date]],"mmm-yy"))</f>
        <v/>
      </c>
      <c r="Q323" s="1"/>
    </row>
    <row r="324" spans="2:17">
      <c r="B324" s="64"/>
      <c r="C324" s="64"/>
      <c r="D324" s="64"/>
      <c r="E324" s="125"/>
      <c r="F324" s="125"/>
      <c r="G324" s="123"/>
      <c r="H324" s="130"/>
      <c r="I324" s="130"/>
      <c r="J324" s="64"/>
      <c r="K324" s="130"/>
      <c r="L324" s="130"/>
      <c r="M324" s="64"/>
      <c r="N324" s="127" t="str">
        <f>IF(ISNA(VLOOKUP(Table3[[#This Row],[Ticket]],Table1[],17,FALSE)),"",VLOOKUP(Table3[[#This Row],[Ticket]],Table1[],17,FALSE))</f>
        <v/>
      </c>
      <c r="O324" s="128" t="str">
        <f>IF(Table3[[#This Row],[Actual End Date]]="","",TEXT(Table3[[#This Row],[Actual End Date]],"mmm-yy"))</f>
        <v/>
      </c>
      <c r="Q324" s="1"/>
    </row>
    <row r="325" spans="2:17">
      <c r="B325" s="64"/>
      <c r="C325" s="64"/>
      <c r="D325" s="64"/>
      <c r="E325" s="125"/>
      <c r="F325" s="125"/>
      <c r="G325" s="123"/>
      <c r="H325" s="130"/>
      <c r="I325" s="130"/>
      <c r="J325" s="64"/>
      <c r="K325" s="130"/>
      <c r="L325" s="130"/>
      <c r="M325" s="64"/>
      <c r="N325" s="127" t="str">
        <f>IF(ISNA(VLOOKUP(Table3[[#This Row],[Ticket]],Table1[],17,FALSE)),"",VLOOKUP(Table3[[#This Row],[Ticket]],Table1[],17,FALSE))</f>
        <v/>
      </c>
      <c r="O325" s="128" t="str">
        <f>IF(Table3[[#This Row],[Actual End Date]]="","",TEXT(Table3[[#This Row],[Actual End Date]],"mmm-yy"))</f>
        <v/>
      </c>
      <c r="Q325" s="1"/>
    </row>
    <row r="326" spans="2:17">
      <c r="B326" s="64"/>
      <c r="C326" s="64"/>
      <c r="D326" s="116"/>
      <c r="E326" s="125"/>
      <c r="F326" s="125"/>
      <c r="G326" s="123"/>
      <c r="H326" s="130"/>
      <c r="I326" s="130"/>
      <c r="J326" s="64"/>
      <c r="K326" s="130"/>
      <c r="L326" s="130"/>
      <c r="M326" s="64"/>
      <c r="N326" s="127" t="str">
        <f>IF(ISNA(VLOOKUP(Table3[[#This Row],[Ticket]],Table1[],17,FALSE)),"",VLOOKUP(Table3[[#This Row],[Ticket]],Table1[],17,FALSE))</f>
        <v/>
      </c>
      <c r="O326" s="128" t="str">
        <f>IF(Table3[[#This Row],[Actual End Date]]="","",TEXT(Table3[[#This Row],[Actual End Date]],"mmm-yy"))</f>
        <v/>
      </c>
      <c r="Q326" s="1"/>
    </row>
    <row r="327" spans="2:17">
      <c r="B327" s="64"/>
      <c r="C327" s="64"/>
      <c r="D327" s="116"/>
      <c r="E327" s="125"/>
      <c r="F327" s="125"/>
      <c r="G327" s="123"/>
      <c r="H327" s="130"/>
      <c r="I327" s="130"/>
      <c r="J327" s="64"/>
      <c r="K327" s="130"/>
      <c r="L327" s="130"/>
      <c r="M327" s="64"/>
      <c r="N327" s="127" t="str">
        <f>IF(ISNA(VLOOKUP(Table3[[#This Row],[Ticket]],Table1[],17,FALSE)),"",VLOOKUP(Table3[[#This Row],[Ticket]],Table1[],17,FALSE))</f>
        <v/>
      </c>
      <c r="O327" s="128" t="str">
        <f>IF(Table3[[#This Row],[Actual End Date]]="","",TEXT(Table3[[#This Row],[Actual End Date]],"mmm-yy"))</f>
        <v/>
      </c>
      <c r="Q327" s="1"/>
    </row>
    <row r="328" spans="2:17">
      <c r="B328" s="64"/>
      <c r="C328" s="64"/>
      <c r="D328" s="116"/>
      <c r="E328" s="125"/>
      <c r="F328" s="125"/>
      <c r="G328" s="123"/>
      <c r="H328" s="130"/>
      <c r="I328" s="130"/>
      <c r="J328" s="64"/>
      <c r="K328" s="130"/>
      <c r="L328" s="130"/>
      <c r="M328" s="64"/>
      <c r="N328" s="127" t="str">
        <f>IF(ISNA(VLOOKUP(Table3[[#This Row],[Ticket]],Table1[],17,FALSE)),"",VLOOKUP(Table3[[#This Row],[Ticket]],Table1[],17,FALSE))</f>
        <v/>
      </c>
      <c r="O328" s="128" t="str">
        <f>IF(Table3[[#This Row],[Actual End Date]]="","",TEXT(Table3[[#This Row],[Actual End Date]],"mmm-yy"))</f>
        <v/>
      </c>
      <c r="Q328" s="1"/>
    </row>
    <row r="329" spans="2:17">
      <c r="B329" s="64"/>
      <c r="C329" s="64"/>
      <c r="D329" s="116"/>
      <c r="E329" s="125"/>
      <c r="F329" s="125"/>
      <c r="G329" s="123"/>
      <c r="H329" s="130"/>
      <c r="I329" s="130"/>
      <c r="J329" s="64"/>
      <c r="K329" s="130"/>
      <c r="L329" s="130"/>
      <c r="M329" s="64"/>
      <c r="N329" s="127" t="str">
        <f>IF(ISNA(VLOOKUP(Table3[[#This Row],[Ticket]],Table1[],17,FALSE)),"",VLOOKUP(Table3[[#This Row],[Ticket]],Table1[],17,FALSE))</f>
        <v/>
      </c>
      <c r="O329" s="128" t="str">
        <f>IF(Table3[[#This Row],[Actual End Date]]="","",TEXT(Table3[[#This Row],[Actual End Date]],"mmm-yy"))</f>
        <v/>
      </c>
      <c r="Q329" s="1"/>
    </row>
    <row r="330" spans="2:17">
      <c r="B330" s="64"/>
      <c r="C330" s="64"/>
      <c r="D330" s="116"/>
      <c r="E330" s="125"/>
      <c r="F330" s="125"/>
      <c r="G330" s="123"/>
      <c r="H330" s="130"/>
      <c r="I330" s="130"/>
      <c r="J330" s="64"/>
      <c r="K330" s="130"/>
      <c r="L330" s="130"/>
      <c r="M330" s="64"/>
      <c r="N330" s="127" t="str">
        <f>IF(ISNA(VLOOKUP(Table3[[#This Row],[Ticket]],Table1[],17,FALSE)),"",VLOOKUP(Table3[[#This Row],[Ticket]],Table1[],17,FALSE))</f>
        <v/>
      </c>
      <c r="O330" s="128" t="str">
        <f>IF(Table3[[#This Row],[Actual End Date]]="","",TEXT(Table3[[#This Row],[Actual End Date]],"mmm-yy"))</f>
        <v/>
      </c>
      <c r="Q330" s="1"/>
    </row>
    <row r="331" spans="2:17">
      <c r="B331" s="64"/>
      <c r="C331" s="64"/>
      <c r="D331" s="116"/>
      <c r="E331" s="125"/>
      <c r="F331" s="125"/>
      <c r="G331" s="123"/>
      <c r="H331" s="130"/>
      <c r="I331" s="130"/>
      <c r="J331" s="64"/>
      <c r="K331" s="130"/>
      <c r="L331" s="130"/>
      <c r="M331" s="64"/>
      <c r="N331" s="127" t="str">
        <f>IF(ISNA(VLOOKUP(Table3[[#This Row],[Ticket]],Table1[],17,FALSE)),"",VLOOKUP(Table3[[#This Row],[Ticket]],Table1[],17,FALSE))</f>
        <v/>
      </c>
      <c r="O331" s="128" t="str">
        <f>IF(Table3[[#This Row],[Actual End Date]]="","",TEXT(Table3[[#This Row],[Actual End Date]],"mmm-yy"))</f>
        <v/>
      </c>
      <c r="Q331" s="1"/>
    </row>
    <row r="332" spans="2:17">
      <c r="B332" s="64"/>
      <c r="C332" s="64"/>
      <c r="D332" s="116"/>
      <c r="E332" s="125"/>
      <c r="F332" s="125"/>
      <c r="G332" s="123"/>
      <c r="H332" s="130"/>
      <c r="I332" s="130"/>
      <c r="J332" s="64"/>
      <c r="K332" s="130"/>
      <c r="L332" s="130"/>
      <c r="M332" s="64"/>
      <c r="N332" s="127" t="str">
        <f>IF(ISNA(VLOOKUP(Table3[[#This Row],[Ticket]],Table1[],17,FALSE)),"",VLOOKUP(Table3[[#This Row],[Ticket]],Table1[],17,FALSE))</f>
        <v/>
      </c>
      <c r="O332" s="128" t="str">
        <f>IF(Table3[[#This Row],[Actual End Date]]="","",TEXT(Table3[[#This Row],[Actual End Date]],"mmm-yy"))</f>
        <v/>
      </c>
      <c r="Q332" s="1"/>
    </row>
    <row r="333" spans="2:17">
      <c r="B333" s="64"/>
      <c r="C333" s="64"/>
      <c r="D333" s="116"/>
      <c r="E333" s="125"/>
      <c r="F333" s="125"/>
      <c r="G333" s="123"/>
      <c r="H333" s="130"/>
      <c r="I333" s="130"/>
      <c r="J333" s="64"/>
      <c r="K333" s="130"/>
      <c r="L333" s="130"/>
      <c r="M333" s="64"/>
      <c r="N333" s="127" t="str">
        <f>IF(ISNA(VLOOKUP(Table3[[#This Row],[Ticket]],Table1[],17,FALSE)),"",VLOOKUP(Table3[[#This Row],[Ticket]],Table1[],17,FALSE))</f>
        <v/>
      </c>
      <c r="O333" s="128" t="str">
        <f>IF(Table3[[#This Row],[Actual End Date]]="","",TEXT(Table3[[#This Row],[Actual End Date]],"mmm-yy"))</f>
        <v/>
      </c>
      <c r="Q333" s="1"/>
    </row>
    <row r="334" spans="2:17">
      <c r="B334" s="64"/>
      <c r="C334" s="64"/>
      <c r="D334" s="116"/>
      <c r="E334" s="125"/>
      <c r="F334" s="125"/>
      <c r="G334" s="123"/>
      <c r="H334" s="130"/>
      <c r="I334" s="130"/>
      <c r="J334" s="64"/>
      <c r="K334" s="130"/>
      <c r="L334" s="130"/>
      <c r="M334" s="64"/>
      <c r="N334" s="127" t="str">
        <f>IF(ISNA(VLOOKUP(Table3[[#This Row],[Ticket]],Table1[],17,FALSE)),"",VLOOKUP(Table3[[#This Row],[Ticket]],Table1[],17,FALSE))</f>
        <v/>
      </c>
      <c r="O334" s="128" t="str">
        <f>IF(Table3[[#This Row],[Actual End Date]]="","",TEXT(Table3[[#This Row],[Actual End Date]],"mmm-yy"))</f>
        <v/>
      </c>
      <c r="Q334" s="1"/>
    </row>
    <row r="335" spans="2:17">
      <c r="B335" s="64"/>
      <c r="C335" s="64"/>
      <c r="D335" s="116"/>
      <c r="E335" s="125"/>
      <c r="F335" s="125"/>
      <c r="G335" s="123"/>
      <c r="H335" s="130"/>
      <c r="I335" s="130"/>
      <c r="J335" s="64"/>
      <c r="K335" s="130"/>
      <c r="L335" s="130"/>
      <c r="M335" s="64"/>
      <c r="N335" s="127" t="str">
        <f>IF(ISNA(VLOOKUP(Table3[[#This Row],[Ticket]],Table1[],17,FALSE)),"",VLOOKUP(Table3[[#This Row],[Ticket]],Table1[],17,FALSE))</f>
        <v/>
      </c>
      <c r="O335" s="128" t="str">
        <f>IF(Table3[[#This Row],[Actual End Date]]="","",TEXT(Table3[[#This Row],[Actual End Date]],"mmm-yy"))</f>
        <v/>
      </c>
      <c r="Q335" s="1"/>
    </row>
    <row r="336" spans="2:17">
      <c r="B336" s="64"/>
      <c r="C336" s="64"/>
      <c r="D336" s="116"/>
      <c r="E336" s="125"/>
      <c r="F336" s="125"/>
      <c r="G336" s="123"/>
      <c r="H336" s="130"/>
      <c r="I336" s="130"/>
      <c r="J336" s="64"/>
      <c r="K336" s="130"/>
      <c r="L336" s="130"/>
      <c r="M336" s="64"/>
      <c r="N336" s="127" t="str">
        <f>IF(ISNA(VLOOKUP(Table3[[#This Row],[Ticket]],Table1[],17,FALSE)),"",VLOOKUP(Table3[[#This Row],[Ticket]],Table1[],17,FALSE))</f>
        <v/>
      </c>
      <c r="O336" s="128" t="str">
        <f>IF(Table3[[#This Row],[Actual End Date]]="","",TEXT(Table3[[#This Row],[Actual End Date]],"mmm-yy"))</f>
        <v/>
      </c>
      <c r="Q336" s="1"/>
    </row>
    <row r="337" spans="2:17">
      <c r="B337" s="64"/>
      <c r="C337" s="64"/>
      <c r="D337" s="116"/>
      <c r="E337" s="125"/>
      <c r="F337" s="125"/>
      <c r="G337" s="123"/>
      <c r="H337" s="130"/>
      <c r="I337" s="130"/>
      <c r="J337" s="64"/>
      <c r="K337" s="130"/>
      <c r="L337" s="130"/>
      <c r="M337" s="64"/>
      <c r="N337" s="127" t="str">
        <f>IF(ISNA(VLOOKUP(Table3[[#This Row],[Ticket]],Table1[],17,FALSE)),"",VLOOKUP(Table3[[#This Row],[Ticket]],Table1[],17,FALSE))</f>
        <v/>
      </c>
      <c r="O337" s="128" t="str">
        <f>IF(Table3[[#This Row],[Actual End Date]]="","",TEXT(Table3[[#This Row],[Actual End Date]],"mmm-yy"))</f>
        <v/>
      </c>
      <c r="Q337" s="1"/>
    </row>
    <row r="338" spans="2:17">
      <c r="B338" s="64"/>
      <c r="C338" s="64"/>
      <c r="D338" s="116"/>
      <c r="E338" s="125"/>
      <c r="F338" s="125"/>
      <c r="G338" s="123"/>
      <c r="H338" s="130"/>
      <c r="I338" s="130"/>
      <c r="J338" s="64"/>
      <c r="K338" s="130"/>
      <c r="L338" s="130"/>
      <c r="M338" s="64"/>
      <c r="N338" s="127" t="str">
        <f>IF(ISNA(VLOOKUP(Table3[[#This Row],[Ticket]],Table1[],17,FALSE)),"",VLOOKUP(Table3[[#This Row],[Ticket]],Table1[],17,FALSE))</f>
        <v/>
      </c>
      <c r="O338" s="128" t="str">
        <f>IF(Table3[[#This Row],[Actual End Date]]="","",TEXT(Table3[[#This Row],[Actual End Date]],"mmm-yy"))</f>
        <v/>
      </c>
      <c r="Q338" s="1"/>
    </row>
    <row r="339" spans="2:17">
      <c r="B339" s="64"/>
      <c r="C339" s="64"/>
      <c r="D339" s="116"/>
      <c r="E339" s="125"/>
      <c r="F339" s="125"/>
      <c r="G339" s="123"/>
      <c r="H339" s="130"/>
      <c r="I339" s="130"/>
      <c r="J339" s="64"/>
      <c r="K339" s="130"/>
      <c r="L339" s="130"/>
      <c r="M339" s="64"/>
      <c r="N339" s="127" t="str">
        <f>IF(ISNA(VLOOKUP(Table3[[#This Row],[Ticket]],Table1[],17,FALSE)),"",VLOOKUP(Table3[[#This Row],[Ticket]],Table1[],17,FALSE))</f>
        <v/>
      </c>
      <c r="O339" s="128" t="str">
        <f>IF(Table3[[#This Row],[Actual End Date]]="","",TEXT(Table3[[#This Row],[Actual End Date]],"mmm-yy"))</f>
        <v/>
      </c>
      <c r="Q339" s="1"/>
    </row>
    <row r="340" spans="2:17">
      <c r="B340" s="64"/>
      <c r="C340" s="64"/>
      <c r="D340" s="116"/>
      <c r="E340" s="125"/>
      <c r="F340" s="125"/>
      <c r="G340" s="123"/>
      <c r="H340" s="130"/>
      <c r="I340" s="130"/>
      <c r="J340" s="64"/>
      <c r="K340" s="130"/>
      <c r="L340" s="130"/>
      <c r="M340" s="64"/>
      <c r="N340" s="127" t="str">
        <f>IF(ISNA(VLOOKUP(Table3[[#This Row],[Ticket]],Table1[],17,FALSE)),"",VLOOKUP(Table3[[#This Row],[Ticket]],Table1[],17,FALSE))</f>
        <v/>
      </c>
      <c r="O340" s="128" t="str">
        <f>IF(Table3[[#This Row],[Actual End Date]]="","",TEXT(Table3[[#This Row],[Actual End Date]],"mmm-yy"))</f>
        <v/>
      </c>
      <c r="Q340" s="1"/>
    </row>
    <row r="341" spans="2:17">
      <c r="B341" s="64"/>
      <c r="C341" s="64"/>
      <c r="D341" s="116"/>
      <c r="E341" s="125"/>
      <c r="F341" s="125"/>
      <c r="G341" s="123"/>
      <c r="H341" s="130"/>
      <c r="I341" s="130"/>
      <c r="J341" s="64"/>
      <c r="K341" s="130"/>
      <c r="L341" s="130"/>
      <c r="M341" s="64"/>
      <c r="N341" s="127" t="str">
        <f>IF(ISNA(VLOOKUP(Table3[[#This Row],[Ticket]],Table1[],17,FALSE)),"",VLOOKUP(Table3[[#This Row],[Ticket]],Table1[],17,FALSE))</f>
        <v/>
      </c>
      <c r="O341" s="128" t="str">
        <f>IF(Table3[[#This Row],[Actual End Date]]="","",TEXT(Table3[[#This Row],[Actual End Date]],"mmm-yy"))</f>
        <v/>
      </c>
      <c r="Q341" s="1"/>
    </row>
    <row r="342" spans="2:17">
      <c r="B342" s="64"/>
      <c r="C342" s="64"/>
      <c r="D342" s="116"/>
      <c r="E342" s="125"/>
      <c r="F342" s="125"/>
      <c r="G342" s="123"/>
      <c r="H342" s="130"/>
      <c r="I342" s="130"/>
      <c r="J342" s="64"/>
      <c r="K342" s="130"/>
      <c r="L342" s="130"/>
      <c r="M342" s="64"/>
      <c r="N342" s="127" t="str">
        <f>IF(ISNA(VLOOKUP(Table3[[#This Row],[Ticket]],Table1[],17,FALSE)),"",VLOOKUP(Table3[[#This Row],[Ticket]],Table1[],17,FALSE))</f>
        <v/>
      </c>
      <c r="O342" s="128" t="str">
        <f>IF(Table3[[#This Row],[Actual End Date]]="","",TEXT(Table3[[#This Row],[Actual End Date]],"mmm-yy"))</f>
        <v/>
      </c>
      <c r="Q342" s="1"/>
    </row>
    <row r="343" spans="2:17">
      <c r="B343" s="64"/>
      <c r="C343" s="64"/>
      <c r="D343" s="116"/>
      <c r="E343" s="125"/>
      <c r="F343" s="125"/>
      <c r="G343" s="123"/>
      <c r="H343" s="130"/>
      <c r="I343" s="130"/>
      <c r="J343" s="64"/>
      <c r="K343" s="130"/>
      <c r="L343" s="130"/>
      <c r="M343" s="64"/>
      <c r="N343" s="127" t="str">
        <f>IF(ISNA(VLOOKUP(Table3[[#This Row],[Ticket]],Table1[],17,FALSE)),"",VLOOKUP(Table3[[#This Row],[Ticket]],Table1[],17,FALSE))</f>
        <v/>
      </c>
      <c r="O343" s="128" t="str">
        <f>IF(Table3[[#This Row],[Actual End Date]]="","",TEXT(Table3[[#This Row],[Actual End Date]],"mmm-yy"))</f>
        <v/>
      </c>
      <c r="Q343" s="1"/>
    </row>
    <row r="344" spans="2:17">
      <c r="B344" s="64"/>
      <c r="C344" s="64"/>
      <c r="D344" s="116"/>
      <c r="E344" s="125"/>
      <c r="F344" s="125"/>
      <c r="G344" s="123"/>
      <c r="H344" s="130"/>
      <c r="I344" s="130"/>
      <c r="J344" s="64"/>
      <c r="K344" s="130"/>
      <c r="L344" s="130"/>
      <c r="M344" s="64"/>
      <c r="N344" s="127" t="str">
        <f>IF(ISNA(VLOOKUP(Table3[[#This Row],[Ticket]],Table1[],17,FALSE)),"",VLOOKUP(Table3[[#This Row],[Ticket]],Table1[],17,FALSE))</f>
        <v/>
      </c>
      <c r="O344" s="128" t="str">
        <f>IF(Table3[[#This Row],[Actual End Date]]="","",TEXT(Table3[[#This Row],[Actual End Date]],"mmm-yy"))</f>
        <v/>
      </c>
      <c r="Q344" s="1"/>
    </row>
    <row r="345" spans="2:17">
      <c r="B345" s="64"/>
      <c r="C345" s="64"/>
      <c r="D345" s="116"/>
      <c r="E345" s="125"/>
      <c r="F345" s="125"/>
      <c r="G345" s="123"/>
      <c r="H345" s="130"/>
      <c r="I345" s="130"/>
      <c r="J345" s="64"/>
      <c r="K345" s="130"/>
      <c r="L345" s="130"/>
      <c r="M345" s="64"/>
      <c r="N345" s="127" t="str">
        <f>IF(ISNA(VLOOKUP(Table3[[#This Row],[Ticket]],Table1[],17,FALSE)),"",VLOOKUP(Table3[[#This Row],[Ticket]],Table1[],17,FALSE))</f>
        <v/>
      </c>
      <c r="O345" s="128" t="str">
        <f>IF(Table3[[#This Row],[Actual End Date]]="","",TEXT(Table3[[#This Row],[Actual End Date]],"mmm-yy"))</f>
        <v/>
      </c>
      <c r="Q345" s="1"/>
    </row>
    <row r="346" spans="2:17">
      <c r="B346" s="64"/>
      <c r="C346" s="64"/>
      <c r="D346" s="116"/>
      <c r="E346" s="125"/>
      <c r="F346" s="125"/>
      <c r="G346" s="123"/>
      <c r="H346" s="130"/>
      <c r="I346" s="130"/>
      <c r="J346" s="64"/>
      <c r="K346" s="130"/>
      <c r="L346" s="130"/>
      <c r="M346" s="64"/>
      <c r="N346" s="127" t="str">
        <f>IF(ISNA(VLOOKUP(Table3[[#This Row],[Ticket]],Table1[],17,FALSE)),"",VLOOKUP(Table3[[#This Row],[Ticket]],Table1[],17,FALSE))</f>
        <v/>
      </c>
      <c r="O346" s="128" t="str">
        <f>IF(Table3[[#This Row],[Actual End Date]]="","",TEXT(Table3[[#This Row],[Actual End Date]],"mmm-yy"))</f>
        <v/>
      </c>
      <c r="Q346" s="1"/>
    </row>
    <row r="347" spans="2:17">
      <c r="B347" s="64"/>
      <c r="C347" s="64"/>
      <c r="D347" s="116"/>
      <c r="E347" s="125"/>
      <c r="F347" s="125"/>
      <c r="G347" s="123"/>
      <c r="H347" s="130"/>
      <c r="I347" s="130"/>
      <c r="J347" s="64"/>
      <c r="K347" s="130"/>
      <c r="L347" s="130"/>
      <c r="M347" s="64"/>
      <c r="N347" s="127" t="str">
        <f>IF(ISNA(VLOOKUP(Table3[[#This Row],[Ticket]],Table1[],17,FALSE)),"",VLOOKUP(Table3[[#This Row],[Ticket]],Table1[],17,FALSE))</f>
        <v/>
      </c>
      <c r="O347" s="128" t="str">
        <f>IF(Table3[[#This Row],[Actual End Date]]="","",TEXT(Table3[[#This Row],[Actual End Date]],"mmm-yy"))</f>
        <v/>
      </c>
      <c r="Q347" s="1"/>
    </row>
    <row r="348" spans="2:17">
      <c r="B348" s="64"/>
      <c r="C348" s="64"/>
      <c r="D348" s="116"/>
      <c r="E348" s="125"/>
      <c r="F348" s="125"/>
      <c r="G348" s="123"/>
      <c r="H348" s="130"/>
      <c r="I348" s="130"/>
      <c r="J348" s="64"/>
      <c r="K348" s="130"/>
      <c r="L348" s="130"/>
      <c r="M348" s="64"/>
      <c r="N348" s="127" t="str">
        <f>IF(ISNA(VLOOKUP(Table3[[#This Row],[Ticket]],Table1[],17,FALSE)),"",VLOOKUP(Table3[[#This Row],[Ticket]],Table1[],17,FALSE))</f>
        <v/>
      </c>
      <c r="O348" s="128" t="str">
        <f>IF(Table3[[#This Row],[Actual End Date]]="","",TEXT(Table3[[#This Row],[Actual End Date]],"mmm-yy"))</f>
        <v/>
      </c>
      <c r="Q348" s="1"/>
    </row>
    <row r="349" spans="2:17">
      <c r="B349" s="64"/>
      <c r="C349" s="64"/>
      <c r="D349" s="116"/>
      <c r="E349" s="125"/>
      <c r="F349" s="125"/>
      <c r="G349" s="123"/>
      <c r="H349" s="130"/>
      <c r="I349" s="130"/>
      <c r="J349" s="64"/>
      <c r="K349" s="130"/>
      <c r="L349" s="130"/>
      <c r="M349" s="64"/>
      <c r="N349" s="127" t="str">
        <f>IF(ISNA(VLOOKUP(Table3[[#This Row],[Ticket]],Table1[],17,FALSE)),"",VLOOKUP(Table3[[#This Row],[Ticket]],Table1[],17,FALSE))</f>
        <v/>
      </c>
      <c r="O349" s="128" t="str">
        <f>IF(Table3[[#This Row],[Actual End Date]]="","",TEXT(Table3[[#This Row],[Actual End Date]],"mmm-yy"))</f>
        <v/>
      </c>
      <c r="Q349" s="1"/>
    </row>
    <row r="350" spans="2:17">
      <c r="B350" s="64"/>
      <c r="C350" s="64"/>
      <c r="D350" s="116"/>
      <c r="E350" s="125"/>
      <c r="F350" s="125"/>
      <c r="G350" s="123"/>
      <c r="H350" s="130"/>
      <c r="I350" s="130"/>
      <c r="J350" s="64"/>
      <c r="K350" s="130"/>
      <c r="L350" s="130"/>
      <c r="M350" s="64"/>
      <c r="N350" s="127" t="str">
        <f>IF(ISNA(VLOOKUP(Table3[[#This Row],[Ticket]],Table1[],17,FALSE)),"",VLOOKUP(Table3[[#This Row],[Ticket]],Table1[],17,FALSE))</f>
        <v/>
      </c>
      <c r="O350" s="128" t="str">
        <f>IF(Table3[[#This Row],[Actual End Date]]="","",TEXT(Table3[[#This Row],[Actual End Date]],"mmm-yy"))</f>
        <v/>
      </c>
      <c r="Q350" s="1"/>
    </row>
    <row r="351" spans="2:17">
      <c r="B351" s="64"/>
      <c r="C351" s="64"/>
      <c r="D351" s="116"/>
      <c r="E351" s="125"/>
      <c r="F351" s="125"/>
      <c r="G351" s="123"/>
      <c r="H351" s="130"/>
      <c r="I351" s="130"/>
      <c r="J351" s="64"/>
      <c r="K351" s="130"/>
      <c r="L351" s="130"/>
      <c r="M351" s="64"/>
      <c r="N351" s="127" t="str">
        <f>IF(ISNA(VLOOKUP(Table3[[#This Row],[Ticket]],Table1[],17,FALSE)),"",VLOOKUP(Table3[[#This Row],[Ticket]],Table1[],17,FALSE))</f>
        <v/>
      </c>
      <c r="O351" s="128" t="str">
        <f>IF(Table3[[#This Row],[Actual End Date]]="","",TEXT(Table3[[#This Row],[Actual End Date]],"mmm-yy"))</f>
        <v/>
      </c>
      <c r="Q351" s="1"/>
    </row>
    <row r="352" spans="2:17">
      <c r="B352" s="64"/>
      <c r="C352" s="64"/>
      <c r="D352" s="116"/>
      <c r="E352" s="125"/>
      <c r="F352" s="125"/>
      <c r="G352" s="123"/>
      <c r="H352" s="130"/>
      <c r="I352" s="130"/>
      <c r="J352" s="64"/>
      <c r="K352" s="130"/>
      <c r="L352" s="130"/>
      <c r="M352" s="64"/>
      <c r="N352" s="127" t="str">
        <f>IF(ISNA(VLOOKUP(Table3[[#This Row],[Ticket]],Table1[],17,FALSE)),"",VLOOKUP(Table3[[#This Row],[Ticket]],Table1[],17,FALSE))</f>
        <v/>
      </c>
      <c r="O352" s="128" t="str">
        <f>IF(Table3[[#This Row],[Actual End Date]]="","",TEXT(Table3[[#This Row],[Actual End Date]],"mmm-yy"))</f>
        <v/>
      </c>
      <c r="Q352" s="1"/>
    </row>
    <row r="353" spans="2:17">
      <c r="B353" s="64"/>
      <c r="C353" s="64"/>
      <c r="D353" s="116"/>
      <c r="E353" s="125"/>
      <c r="F353" s="125"/>
      <c r="G353" s="123"/>
      <c r="H353" s="130"/>
      <c r="I353" s="130"/>
      <c r="J353" s="64"/>
      <c r="K353" s="130"/>
      <c r="L353" s="130"/>
      <c r="M353" s="64"/>
      <c r="N353" s="127" t="str">
        <f>IF(ISNA(VLOOKUP(Table3[[#This Row],[Ticket]],Table1[],17,FALSE)),"",VLOOKUP(Table3[[#This Row],[Ticket]],Table1[],17,FALSE))</f>
        <v/>
      </c>
      <c r="O353" s="128" t="str">
        <f>IF(Table3[[#This Row],[Actual End Date]]="","",TEXT(Table3[[#This Row],[Actual End Date]],"mmm-yy"))</f>
        <v/>
      </c>
      <c r="Q353" s="1"/>
    </row>
    <row r="354" spans="2:17">
      <c r="B354" s="64"/>
      <c r="C354" s="64"/>
      <c r="D354" s="116"/>
      <c r="E354" s="125"/>
      <c r="F354" s="125"/>
      <c r="G354" s="123"/>
      <c r="H354" s="130"/>
      <c r="I354" s="130"/>
      <c r="J354" s="64"/>
      <c r="K354" s="130"/>
      <c r="L354" s="130"/>
      <c r="M354" s="64"/>
      <c r="N354" s="127" t="str">
        <f>IF(ISNA(VLOOKUP(Table3[[#This Row],[Ticket]],Table1[],17,FALSE)),"",VLOOKUP(Table3[[#This Row],[Ticket]],Table1[],17,FALSE))</f>
        <v/>
      </c>
      <c r="O354" s="128" t="str">
        <f>IF(Table3[[#This Row],[Actual End Date]]="","",TEXT(Table3[[#This Row],[Actual End Date]],"mmm-yy"))</f>
        <v/>
      </c>
      <c r="Q354" s="1"/>
    </row>
    <row r="355" spans="2:17">
      <c r="B355" s="64"/>
      <c r="C355" s="64"/>
      <c r="D355" s="116"/>
      <c r="E355" s="125"/>
      <c r="F355" s="125"/>
      <c r="G355" s="123"/>
      <c r="H355" s="130"/>
      <c r="I355" s="130"/>
      <c r="J355" s="64"/>
      <c r="K355" s="130"/>
      <c r="L355" s="130"/>
      <c r="M355" s="64"/>
      <c r="N355" s="127" t="str">
        <f>IF(ISNA(VLOOKUP(Table3[[#This Row],[Ticket]],Table1[],17,FALSE)),"",VLOOKUP(Table3[[#This Row],[Ticket]],Table1[],17,FALSE))</f>
        <v/>
      </c>
      <c r="O355" s="128" t="str">
        <f>IF(Table3[[#This Row],[Actual End Date]]="","",TEXT(Table3[[#This Row],[Actual End Date]],"mmm-yy"))</f>
        <v/>
      </c>
      <c r="Q355" s="1"/>
    </row>
    <row r="356" spans="2:17">
      <c r="B356" s="64"/>
      <c r="C356" s="64"/>
      <c r="D356" s="116"/>
      <c r="E356" s="125"/>
      <c r="F356" s="125"/>
      <c r="G356" s="123"/>
      <c r="H356" s="130"/>
      <c r="I356" s="130"/>
      <c r="J356" s="64"/>
      <c r="K356" s="130"/>
      <c r="L356" s="130"/>
      <c r="M356" s="64"/>
      <c r="N356" s="127" t="str">
        <f>IF(ISNA(VLOOKUP(Table3[[#This Row],[Ticket]],Table1[],17,FALSE)),"",VLOOKUP(Table3[[#This Row],[Ticket]],Table1[],17,FALSE))</f>
        <v/>
      </c>
      <c r="O356" s="128" t="str">
        <f>IF(Table3[[#This Row],[Actual End Date]]="","",TEXT(Table3[[#This Row],[Actual End Date]],"mmm-yy"))</f>
        <v/>
      </c>
      <c r="Q356" s="1"/>
    </row>
    <row r="357" spans="2:17">
      <c r="B357" s="64"/>
      <c r="C357" s="64"/>
      <c r="D357" s="116"/>
      <c r="E357" s="125"/>
      <c r="F357" s="125"/>
      <c r="G357" s="123"/>
      <c r="H357" s="130"/>
      <c r="I357" s="130"/>
      <c r="J357" s="64"/>
      <c r="K357" s="130"/>
      <c r="L357" s="130"/>
      <c r="M357" s="64"/>
      <c r="N357" s="127" t="str">
        <f>IF(ISNA(VLOOKUP(Table3[[#This Row],[Ticket]],Table1[],17,FALSE)),"",VLOOKUP(Table3[[#This Row],[Ticket]],Table1[],17,FALSE))</f>
        <v/>
      </c>
      <c r="O357" s="128" t="str">
        <f>IF(Table3[[#This Row],[Actual End Date]]="","",TEXT(Table3[[#This Row],[Actual End Date]],"mmm-yy"))</f>
        <v/>
      </c>
      <c r="Q357" s="1"/>
    </row>
    <row r="358" spans="2:17">
      <c r="B358" s="64"/>
      <c r="C358" s="64"/>
      <c r="D358" s="116"/>
      <c r="E358" s="125"/>
      <c r="F358" s="125"/>
      <c r="G358" s="123"/>
      <c r="H358" s="130"/>
      <c r="I358" s="130"/>
      <c r="J358" s="64"/>
      <c r="K358" s="130"/>
      <c r="L358" s="130"/>
      <c r="M358" s="64"/>
      <c r="N358" s="127" t="str">
        <f>IF(ISNA(VLOOKUP(Table3[[#This Row],[Ticket]],Table1[],17,FALSE)),"",VLOOKUP(Table3[[#This Row],[Ticket]],Table1[],17,FALSE))</f>
        <v/>
      </c>
      <c r="O358" s="128" t="str">
        <f>IF(Table3[[#This Row],[Actual End Date]]="","",TEXT(Table3[[#This Row],[Actual End Date]],"mmm-yy"))</f>
        <v/>
      </c>
      <c r="Q358" s="1"/>
    </row>
    <row r="359" spans="2:17">
      <c r="B359" s="64"/>
      <c r="C359" s="64"/>
      <c r="D359" s="64"/>
      <c r="E359" s="125"/>
      <c r="F359" s="125"/>
      <c r="G359" s="123"/>
      <c r="H359" s="130"/>
      <c r="I359" s="130"/>
      <c r="J359" s="64"/>
      <c r="K359" s="130"/>
      <c r="L359" s="130"/>
      <c r="M359" s="64"/>
      <c r="N359" s="127" t="str">
        <f>IF(ISNA(VLOOKUP(Table3[[#This Row],[Ticket]],Table1[],17,FALSE)),"",VLOOKUP(Table3[[#This Row],[Ticket]],Table1[],17,FALSE))</f>
        <v/>
      </c>
      <c r="O359" s="128" t="str">
        <f>IF(Table3[[#This Row],[Actual End Date]]="","",TEXT(Table3[[#This Row],[Actual End Date]],"mmm-yy"))</f>
        <v/>
      </c>
      <c r="Q359" s="1"/>
    </row>
    <row r="360" spans="2:17">
      <c r="B360" s="64"/>
      <c r="C360" s="64"/>
      <c r="D360" s="64"/>
      <c r="E360" s="125"/>
      <c r="F360" s="125"/>
      <c r="G360" s="123"/>
      <c r="H360" s="130"/>
      <c r="I360" s="130"/>
      <c r="J360" s="64"/>
      <c r="K360" s="130"/>
      <c r="L360" s="130"/>
      <c r="M360" s="64"/>
      <c r="N360" s="127" t="str">
        <f>IF(ISNA(VLOOKUP(Table3[[#This Row],[Ticket]],Table1[],17,FALSE)),"",VLOOKUP(Table3[[#This Row],[Ticket]],Table1[],17,FALSE))</f>
        <v/>
      </c>
      <c r="O360" s="128" t="str">
        <f>IF(Table3[[#This Row],[Actual End Date]]="","",TEXT(Table3[[#This Row],[Actual End Date]],"mmm-yy"))</f>
        <v/>
      </c>
      <c r="Q360" s="1"/>
    </row>
    <row r="361" spans="2:17">
      <c r="B361" s="64"/>
      <c r="C361" s="64"/>
      <c r="D361" s="64"/>
      <c r="E361" s="125"/>
      <c r="F361" s="125"/>
      <c r="G361" s="123"/>
      <c r="H361" s="130"/>
      <c r="I361" s="130"/>
      <c r="J361" s="64"/>
      <c r="K361" s="130"/>
      <c r="L361" s="130"/>
      <c r="M361" s="64"/>
      <c r="N361" s="127" t="str">
        <f>IF(ISNA(VLOOKUP(Table3[[#This Row],[Ticket]],Table1[],17,FALSE)),"",VLOOKUP(Table3[[#This Row],[Ticket]],Table1[],17,FALSE))</f>
        <v/>
      </c>
      <c r="O361" s="128" t="str">
        <f>IF(Table3[[#This Row],[Actual End Date]]="","",TEXT(Table3[[#This Row],[Actual End Date]],"mmm-yy"))</f>
        <v/>
      </c>
      <c r="Q361" s="1"/>
    </row>
    <row r="362" spans="2:17">
      <c r="B362" s="64"/>
      <c r="C362" s="64"/>
      <c r="D362" s="64"/>
      <c r="E362" s="125"/>
      <c r="F362" s="125"/>
      <c r="G362" s="123"/>
      <c r="H362" s="130"/>
      <c r="I362" s="130"/>
      <c r="J362" s="64"/>
      <c r="K362" s="130"/>
      <c r="L362" s="130"/>
      <c r="M362" s="64"/>
      <c r="N362" s="127" t="str">
        <f>IF(ISNA(VLOOKUP(Table3[[#This Row],[Ticket]],Table1[],17,FALSE)),"",VLOOKUP(Table3[[#This Row],[Ticket]],Table1[],17,FALSE))</f>
        <v/>
      </c>
      <c r="O362" s="128" t="str">
        <f>IF(Table3[[#This Row],[Actual End Date]]="","",TEXT(Table3[[#This Row],[Actual End Date]],"mmm-yy"))</f>
        <v/>
      </c>
      <c r="Q362" s="1"/>
    </row>
    <row r="363" spans="2:17">
      <c r="B363" s="64"/>
      <c r="C363" s="64"/>
      <c r="D363" s="64"/>
      <c r="E363" s="125"/>
      <c r="F363" s="125"/>
      <c r="G363" s="123"/>
      <c r="H363" s="130"/>
      <c r="I363" s="130"/>
      <c r="J363" s="64"/>
      <c r="K363" s="130"/>
      <c r="L363" s="130"/>
      <c r="M363" s="64"/>
      <c r="N363" s="127" t="str">
        <f>IF(ISNA(VLOOKUP(Table3[[#This Row],[Ticket]],Table1[],17,FALSE)),"",VLOOKUP(Table3[[#This Row],[Ticket]],Table1[],17,FALSE))</f>
        <v/>
      </c>
      <c r="O363" s="128" t="str">
        <f>IF(Table3[[#This Row],[Actual End Date]]="","",TEXT(Table3[[#This Row],[Actual End Date]],"mmm-yy"))</f>
        <v/>
      </c>
      <c r="Q363" s="1"/>
    </row>
    <row r="364" spans="2:17">
      <c r="B364" s="64"/>
      <c r="C364" s="64"/>
      <c r="D364" s="64"/>
      <c r="E364" s="125"/>
      <c r="F364" s="125"/>
      <c r="G364" s="123"/>
      <c r="H364" s="130"/>
      <c r="I364" s="130"/>
      <c r="J364" s="64"/>
      <c r="K364" s="130"/>
      <c r="L364" s="130"/>
      <c r="M364" s="64"/>
      <c r="N364" s="127" t="str">
        <f>IF(ISNA(VLOOKUP(Table3[[#This Row],[Ticket]],Table1[],17,FALSE)),"",VLOOKUP(Table3[[#This Row],[Ticket]],Table1[],17,FALSE))</f>
        <v/>
      </c>
      <c r="O364" s="128" t="str">
        <f>IF(Table3[[#This Row],[Actual End Date]]="","",TEXT(Table3[[#This Row],[Actual End Date]],"mmm-yy"))</f>
        <v/>
      </c>
      <c r="Q364" s="1"/>
    </row>
    <row r="365" spans="2:17">
      <c r="B365" s="64"/>
      <c r="C365" s="64"/>
      <c r="D365" s="64"/>
      <c r="E365" s="125"/>
      <c r="F365" s="125"/>
      <c r="G365" s="123"/>
      <c r="H365" s="130"/>
      <c r="I365" s="130"/>
      <c r="J365" s="64"/>
      <c r="K365" s="130"/>
      <c r="L365" s="130"/>
      <c r="M365" s="64"/>
      <c r="N365" s="127" t="str">
        <f>IF(ISNA(VLOOKUP(Table3[[#This Row],[Ticket]],Table1[],17,FALSE)),"",VLOOKUP(Table3[[#This Row],[Ticket]],Table1[],17,FALSE))</f>
        <v/>
      </c>
      <c r="O365" s="128" t="str">
        <f>IF(Table3[[#This Row],[Actual End Date]]="","",TEXT(Table3[[#This Row],[Actual End Date]],"mmm-yy"))</f>
        <v/>
      </c>
      <c r="Q365" s="1"/>
    </row>
    <row r="366" spans="2:17">
      <c r="B366" s="64"/>
      <c r="C366" s="64"/>
      <c r="D366" s="64"/>
      <c r="E366" s="125"/>
      <c r="F366" s="125"/>
      <c r="G366" s="123"/>
      <c r="H366" s="130"/>
      <c r="I366" s="130"/>
      <c r="J366" s="64"/>
      <c r="K366" s="130"/>
      <c r="L366" s="130"/>
      <c r="M366" s="64"/>
      <c r="N366" s="127" t="str">
        <f>IF(ISNA(VLOOKUP(Table3[[#This Row],[Ticket]],Table1[],17,FALSE)),"",VLOOKUP(Table3[[#This Row],[Ticket]],Table1[],17,FALSE))</f>
        <v/>
      </c>
      <c r="O366" s="128" t="str">
        <f>IF(Table3[[#This Row],[Actual End Date]]="","",TEXT(Table3[[#This Row],[Actual End Date]],"mmm-yy"))</f>
        <v/>
      </c>
      <c r="Q366" s="1"/>
    </row>
    <row r="367" spans="2:17">
      <c r="B367" s="64"/>
      <c r="C367" s="64"/>
      <c r="D367" s="64"/>
      <c r="E367" s="125"/>
      <c r="F367" s="125"/>
      <c r="G367" s="123"/>
      <c r="H367" s="130"/>
      <c r="I367" s="130"/>
      <c r="J367" s="64"/>
      <c r="K367" s="130"/>
      <c r="L367" s="130"/>
      <c r="M367" s="64"/>
      <c r="N367" s="127" t="str">
        <f>IF(ISNA(VLOOKUP(Table3[[#This Row],[Ticket]],Table1[],17,FALSE)),"",VLOOKUP(Table3[[#This Row],[Ticket]],Table1[],17,FALSE))</f>
        <v/>
      </c>
      <c r="O367" s="128" t="str">
        <f>IF(Table3[[#This Row],[Actual End Date]]="","",TEXT(Table3[[#This Row],[Actual End Date]],"mmm-yy"))</f>
        <v/>
      </c>
      <c r="Q367" s="1"/>
    </row>
    <row r="368" spans="2:17">
      <c r="B368" s="64"/>
      <c r="C368" s="64"/>
      <c r="D368" s="64"/>
      <c r="E368" s="125"/>
      <c r="F368" s="125"/>
      <c r="G368" s="123"/>
      <c r="H368" s="130"/>
      <c r="I368" s="130"/>
      <c r="J368" s="64"/>
      <c r="K368" s="130"/>
      <c r="L368" s="130"/>
      <c r="M368" s="64"/>
      <c r="N368" s="127" t="str">
        <f>IF(ISNA(VLOOKUP(Table3[[#This Row],[Ticket]],Table1[],17,FALSE)),"",VLOOKUP(Table3[[#This Row],[Ticket]],Table1[],17,FALSE))</f>
        <v/>
      </c>
      <c r="O368" s="128" t="str">
        <f>IF(Table3[[#This Row],[Actual End Date]]="","",TEXT(Table3[[#This Row],[Actual End Date]],"mmm-yy"))</f>
        <v/>
      </c>
      <c r="Q368" s="1"/>
    </row>
    <row r="369" spans="2:17">
      <c r="B369" s="64"/>
      <c r="C369" s="64"/>
      <c r="D369" s="64"/>
      <c r="E369" s="125"/>
      <c r="F369" s="125"/>
      <c r="G369" s="123"/>
      <c r="H369" s="130"/>
      <c r="I369" s="130"/>
      <c r="J369" s="64"/>
      <c r="K369" s="130"/>
      <c r="L369" s="130"/>
      <c r="M369" s="64"/>
      <c r="N369" s="127" t="str">
        <f>IF(ISNA(VLOOKUP(Table3[[#This Row],[Ticket]],Table1[],17,FALSE)),"",VLOOKUP(Table3[[#This Row],[Ticket]],Table1[],17,FALSE))</f>
        <v/>
      </c>
      <c r="O369" s="128" t="str">
        <f>IF(Table3[[#This Row],[Actual End Date]]="","",TEXT(Table3[[#This Row],[Actual End Date]],"mmm-yy"))</f>
        <v/>
      </c>
      <c r="Q369" s="1"/>
    </row>
    <row r="370" spans="2:17">
      <c r="B370" s="64"/>
      <c r="C370" s="64"/>
      <c r="D370" s="64"/>
      <c r="E370" s="125"/>
      <c r="F370" s="125"/>
      <c r="G370" s="123"/>
      <c r="H370" s="130"/>
      <c r="I370" s="130"/>
      <c r="J370" s="64"/>
      <c r="K370" s="130"/>
      <c r="L370" s="130"/>
      <c r="M370" s="64"/>
      <c r="N370" s="127" t="str">
        <f>IF(ISNA(VLOOKUP(Table3[[#This Row],[Ticket]],Table1[],17,FALSE)),"",VLOOKUP(Table3[[#This Row],[Ticket]],Table1[],17,FALSE))</f>
        <v/>
      </c>
      <c r="O370" s="128" t="str">
        <f>IF(Table3[[#This Row],[Actual End Date]]="","",TEXT(Table3[[#This Row],[Actual End Date]],"mmm-yy"))</f>
        <v/>
      </c>
      <c r="Q370" s="1"/>
    </row>
    <row r="371" spans="2:17">
      <c r="B371" s="64"/>
      <c r="C371" s="64"/>
      <c r="D371" s="64"/>
      <c r="E371" s="125"/>
      <c r="F371" s="125"/>
      <c r="G371" s="123"/>
      <c r="H371" s="130"/>
      <c r="I371" s="130"/>
      <c r="J371" s="64"/>
      <c r="K371" s="130"/>
      <c r="L371" s="130"/>
      <c r="M371" s="64"/>
      <c r="N371" s="127" t="str">
        <f>IF(ISNA(VLOOKUP(Table3[[#This Row],[Ticket]],Table1[],17,FALSE)),"",VLOOKUP(Table3[[#This Row],[Ticket]],Table1[],17,FALSE))</f>
        <v/>
      </c>
      <c r="O371" s="128" t="str">
        <f>IF(Table3[[#This Row],[Actual End Date]]="","",TEXT(Table3[[#This Row],[Actual End Date]],"mmm-yy"))</f>
        <v/>
      </c>
      <c r="Q371" s="1"/>
    </row>
    <row r="372" spans="2:17">
      <c r="B372" s="64"/>
      <c r="C372" s="64"/>
      <c r="D372" s="64"/>
      <c r="E372" s="125"/>
      <c r="F372" s="125"/>
      <c r="G372" s="123"/>
      <c r="H372" s="130"/>
      <c r="I372" s="130"/>
      <c r="J372" s="64"/>
      <c r="K372" s="130"/>
      <c r="L372" s="130"/>
      <c r="M372" s="64"/>
      <c r="N372" s="127" t="str">
        <f>IF(ISNA(VLOOKUP(Table3[[#This Row],[Ticket]],Table1[],17,FALSE)),"",VLOOKUP(Table3[[#This Row],[Ticket]],Table1[],17,FALSE))</f>
        <v/>
      </c>
      <c r="O372" s="128" t="str">
        <f>IF(Table3[[#This Row],[Actual End Date]]="","",TEXT(Table3[[#This Row],[Actual End Date]],"mmm-yy"))</f>
        <v/>
      </c>
      <c r="Q372" s="1"/>
    </row>
    <row r="373" spans="2:17">
      <c r="B373" s="64"/>
      <c r="C373" s="64"/>
      <c r="D373" s="64"/>
      <c r="E373" s="125"/>
      <c r="F373" s="125"/>
      <c r="G373" s="123"/>
      <c r="H373" s="130"/>
      <c r="I373" s="130"/>
      <c r="J373" s="64"/>
      <c r="K373" s="130"/>
      <c r="L373" s="130"/>
      <c r="M373" s="64"/>
      <c r="N373" s="127" t="str">
        <f>IF(ISNA(VLOOKUP(Table3[[#This Row],[Ticket]],Table1[],17,FALSE)),"",VLOOKUP(Table3[[#This Row],[Ticket]],Table1[],17,FALSE))</f>
        <v/>
      </c>
      <c r="O373" s="128" t="str">
        <f>IF(Table3[[#This Row],[Actual End Date]]="","",TEXT(Table3[[#This Row],[Actual End Date]],"mmm-yy"))</f>
        <v/>
      </c>
      <c r="Q373" s="1"/>
    </row>
    <row r="374" spans="2:17">
      <c r="B374" s="64"/>
      <c r="C374" s="64"/>
      <c r="D374" s="64"/>
      <c r="E374" s="125"/>
      <c r="F374" s="125"/>
      <c r="G374" s="123"/>
      <c r="H374" s="130"/>
      <c r="I374" s="130"/>
      <c r="J374" s="64"/>
      <c r="K374" s="130"/>
      <c r="L374" s="130"/>
      <c r="M374" s="64"/>
      <c r="N374" s="127" t="str">
        <f>IF(ISNA(VLOOKUP(Table3[[#This Row],[Ticket]],Table1[],17,FALSE)),"",VLOOKUP(Table3[[#This Row],[Ticket]],Table1[],17,FALSE))</f>
        <v/>
      </c>
      <c r="O374" s="128" t="str">
        <f>IF(Table3[[#This Row],[Actual End Date]]="","",TEXT(Table3[[#This Row],[Actual End Date]],"mmm-yy"))</f>
        <v/>
      </c>
      <c r="Q374" s="1"/>
    </row>
    <row r="375" spans="2:17">
      <c r="B375" s="64"/>
      <c r="C375" s="64"/>
      <c r="D375" s="64"/>
      <c r="E375" s="125"/>
      <c r="F375" s="125"/>
      <c r="G375" s="123"/>
      <c r="H375" s="130"/>
      <c r="I375" s="130"/>
      <c r="J375" s="64"/>
      <c r="K375" s="130"/>
      <c r="L375" s="130"/>
      <c r="M375" s="64"/>
      <c r="N375" s="127" t="str">
        <f>IF(ISNA(VLOOKUP(Table3[[#This Row],[Ticket]],Table1[],17,FALSE)),"",VLOOKUP(Table3[[#This Row],[Ticket]],Table1[],17,FALSE))</f>
        <v/>
      </c>
      <c r="O375" s="128" t="str">
        <f>IF(Table3[[#This Row],[Actual End Date]]="","",TEXT(Table3[[#This Row],[Actual End Date]],"mmm-yy"))</f>
        <v/>
      </c>
      <c r="Q375" s="1"/>
    </row>
    <row r="376" spans="2:17">
      <c r="B376" s="64"/>
      <c r="C376" s="64"/>
      <c r="D376" s="64"/>
      <c r="E376" s="125"/>
      <c r="F376" s="125"/>
      <c r="G376" s="123"/>
      <c r="H376" s="130"/>
      <c r="I376" s="130"/>
      <c r="J376" s="64"/>
      <c r="K376" s="130"/>
      <c r="L376" s="130"/>
      <c r="M376" s="64"/>
      <c r="N376" s="127" t="str">
        <f>IF(ISNA(VLOOKUP(Table3[[#This Row],[Ticket]],Table1[],17,FALSE)),"",VLOOKUP(Table3[[#This Row],[Ticket]],Table1[],17,FALSE))</f>
        <v/>
      </c>
      <c r="O376" s="128" t="str">
        <f>IF(Table3[[#This Row],[Actual End Date]]="","",TEXT(Table3[[#This Row],[Actual End Date]],"mmm-yy"))</f>
        <v/>
      </c>
      <c r="Q376" s="1"/>
    </row>
    <row r="377" spans="2:17">
      <c r="B377" s="64"/>
      <c r="C377" s="64"/>
      <c r="D377" s="64"/>
      <c r="E377" s="125"/>
      <c r="F377" s="125"/>
      <c r="G377" s="123"/>
      <c r="H377" s="130"/>
      <c r="I377" s="130"/>
      <c r="J377" s="64"/>
      <c r="K377" s="130"/>
      <c r="L377" s="130"/>
      <c r="M377" s="64"/>
      <c r="N377" s="127" t="str">
        <f>IF(ISNA(VLOOKUP(Table3[[#This Row],[Ticket]],Table1[],17,FALSE)),"",VLOOKUP(Table3[[#This Row],[Ticket]],Table1[],17,FALSE))</f>
        <v/>
      </c>
      <c r="O377" s="128" t="str">
        <f>IF(Table3[[#This Row],[Actual End Date]]="","",TEXT(Table3[[#This Row],[Actual End Date]],"mmm-yy"))</f>
        <v/>
      </c>
      <c r="Q377" s="1"/>
    </row>
    <row r="378" spans="2:17">
      <c r="B378" s="64"/>
      <c r="C378" s="64"/>
      <c r="D378" s="64"/>
      <c r="E378" s="125"/>
      <c r="F378" s="125"/>
      <c r="G378" s="123"/>
      <c r="H378" s="130"/>
      <c r="I378" s="130"/>
      <c r="J378" s="64"/>
      <c r="K378" s="130"/>
      <c r="L378" s="130"/>
      <c r="M378" s="64"/>
      <c r="N378" s="127" t="str">
        <f>IF(ISNA(VLOOKUP(Table3[[#This Row],[Ticket]],Table1[],17,FALSE)),"",VLOOKUP(Table3[[#This Row],[Ticket]],Table1[],17,FALSE))</f>
        <v/>
      </c>
      <c r="O378" s="128" t="str">
        <f>IF(Table3[[#This Row],[Actual End Date]]="","",TEXT(Table3[[#This Row],[Actual End Date]],"mmm-yy"))</f>
        <v/>
      </c>
      <c r="Q378" s="1"/>
    </row>
    <row r="379" spans="2:17">
      <c r="B379" s="64"/>
      <c r="C379" s="64"/>
      <c r="D379" s="64"/>
      <c r="E379" s="125"/>
      <c r="F379" s="125"/>
      <c r="G379" s="123"/>
      <c r="H379" s="130"/>
      <c r="I379" s="130"/>
      <c r="J379" s="64"/>
      <c r="K379" s="130"/>
      <c r="L379" s="130"/>
      <c r="M379" s="64"/>
      <c r="N379" s="127" t="str">
        <f>IF(ISNA(VLOOKUP(Table3[[#This Row],[Ticket]],Table1[],17,FALSE)),"",VLOOKUP(Table3[[#This Row],[Ticket]],Table1[],17,FALSE))</f>
        <v/>
      </c>
      <c r="O379" s="128" t="str">
        <f>IF(Table3[[#This Row],[Actual End Date]]="","",TEXT(Table3[[#This Row],[Actual End Date]],"mmm-yy"))</f>
        <v/>
      </c>
      <c r="Q379" s="1"/>
    </row>
    <row r="380" spans="2:17">
      <c r="B380" s="64"/>
      <c r="C380" s="64"/>
      <c r="D380" s="64"/>
      <c r="E380" s="125"/>
      <c r="F380" s="125"/>
      <c r="G380" s="123"/>
      <c r="H380" s="130"/>
      <c r="I380" s="130"/>
      <c r="J380" s="64"/>
      <c r="K380" s="130"/>
      <c r="L380" s="130"/>
      <c r="M380" s="64"/>
      <c r="N380" s="127" t="str">
        <f>IF(ISNA(VLOOKUP(Table3[[#This Row],[Ticket]],Table1[],17,FALSE)),"",VLOOKUP(Table3[[#This Row],[Ticket]],Table1[],17,FALSE))</f>
        <v/>
      </c>
      <c r="O380" s="128" t="str">
        <f>IF(Table3[[#This Row],[Actual End Date]]="","",TEXT(Table3[[#This Row],[Actual End Date]],"mmm-yy"))</f>
        <v/>
      </c>
      <c r="Q380" s="1"/>
    </row>
    <row r="381" spans="2:17">
      <c r="B381" s="64"/>
      <c r="C381" s="64"/>
      <c r="D381" s="64"/>
      <c r="E381" s="125"/>
      <c r="F381" s="125"/>
      <c r="G381" s="123"/>
      <c r="H381" s="130"/>
      <c r="I381" s="130"/>
      <c r="J381" s="64"/>
      <c r="K381" s="130"/>
      <c r="L381" s="130"/>
      <c r="M381" s="64"/>
      <c r="N381" s="127" t="str">
        <f>IF(ISNA(VLOOKUP(Table3[[#This Row],[Ticket]],Table1[],17,FALSE)),"",VLOOKUP(Table3[[#This Row],[Ticket]],Table1[],17,FALSE))</f>
        <v/>
      </c>
      <c r="O381" s="128" t="str">
        <f>IF(Table3[[#This Row],[Actual End Date]]="","",TEXT(Table3[[#This Row],[Actual End Date]],"mmm-yy"))</f>
        <v/>
      </c>
      <c r="Q381" s="1"/>
    </row>
    <row r="382" spans="2:17">
      <c r="B382" s="64"/>
      <c r="C382" s="64"/>
      <c r="D382" s="64"/>
      <c r="E382" s="125"/>
      <c r="F382" s="125"/>
      <c r="G382" s="123"/>
      <c r="H382" s="130"/>
      <c r="I382" s="130"/>
      <c r="J382" s="64"/>
      <c r="K382" s="130"/>
      <c r="L382" s="130"/>
      <c r="M382" s="64"/>
      <c r="N382" s="127" t="str">
        <f>IF(ISNA(VLOOKUP(Table3[[#This Row],[Ticket]],Table1[],17,FALSE)),"",VLOOKUP(Table3[[#This Row],[Ticket]],Table1[],17,FALSE))</f>
        <v/>
      </c>
      <c r="O382" s="128" t="str">
        <f>IF(Table3[[#This Row],[Actual End Date]]="","",TEXT(Table3[[#This Row],[Actual End Date]],"mmm-yy"))</f>
        <v/>
      </c>
      <c r="Q382" s="1"/>
    </row>
    <row r="383" spans="2:17">
      <c r="B383" s="64"/>
      <c r="C383" s="64"/>
      <c r="D383" s="64"/>
      <c r="E383" s="125"/>
      <c r="F383" s="125"/>
      <c r="G383" s="123"/>
      <c r="H383" s="130"/>
      <c r="I383" s="130"/>
      <c r="J383" s="64"/>
      <c r="K383" s="130"/>
      <c r="L383" s="130"/>
      <c r="M383" s="64"/>
      <c r="N383" s="127" t="str">
        <f>IF(ISNA(VLOOKUP(Table3[[#This Row],[Ticket]],Table1[],17,FALSE)),"",VLOOKUP(Table3[[#This Row],[Ticket]],Table1[],17,FALSE))</f>
        <v/>
      </c>
      <c r="O383" s="128" t="str">
        <f>IF(Table3[[#This Row],[Actual End Date]]="","",TEXT(Table3[[#This Row],[Actual End Date]],"mmm-yy"))</f>
        <v/>
      </c>
      <c r="Q383" s="1"/>
    </row>
    <row r="384" spans="2:17">
      <c r="B384" s="64"/>
      <c r="C384" s="64"/>
      <c r="D384" s="64"/>
      <c r="E384" s="125"/>
      <c r="F384" s="125"/>
      <c r="G384" s="123"/>
      <c r="H384" s="130"/>
      <c r="I384" s="130"/>
      <c r="J384" s="64"/>
      <c r="K384" s="130"/>
      <c r="L384" s="130"/>
      <c r="M384" s="64"/>
      <c r="N384" s="127" t="str">
        <f>IF(ISNA(VLOOKUP(Table3[[#This Row],[Ticket]],Table1[],17,FALSE)),"",VLOOKUP(Table3[[#This Row],[Ticket]],Table1[],17,FALSE))</f>
        <v/>
      </c>
      <c r="O384" s="128" t="str">
        <f>IF(Table3[[#This Row],[Actual End Date]]="","",TEXT(Table3[[#This Row],[Actual End Date]],"mmm-yy"))</f>
        <v/>
      </c>
      <c r="Q384" s="1"/>
    </row>
    <row r="385" spans="2:17">
      <c r="B385" s="64"/>
      <c r="C385" s="64"/>
      <c r="D385" s="64"/>
      <c r="E385" s="125"/>
      <c r="F385" s="125"/>
      <c r="G385" s="123"/>
      <c r="H385" s="130"/>
      <c r="I385" s="130"/>
      <c r="J385" s="64"/>
      <c r="K385" s="130"/>
      <c r="L385" s="130"/>
      <c r="M385" s="64"/>
      <c r="N385" s="127" t="str">
        <f>IF(ISNA(VLOOKUP(Table3[[#This Row],[Ticket]],Table1[],17,FALSE)),"",VLOOKUP(Table3[[#This Row],[Ticket]],Table1[],17,FALSE))</f>
        <v/>
      </c>
      <c r="O385" s="128" t="str">
        <f>IF(Table3[[#This Row],[Actual End Date]]="","",TEXT(Table3[[#This Row],[Actual End Date]],"mmm-yy"))</f>
        <v/>
      </c>
      <c r="Q385" s="1"/>
    </row>
    <row r="386" spans="2:17">
      <c r="B386" s="64"/>
      <c r="C386" s="64"/>
      <c r="D386" s="64"/>
      <c r="E386" s="125"/>
      <c r="F386" s="125"/>
      <c r="G386" s="123"/>
      <c r="H386" s="130"/>
      <c r="I386" s="130"/>
      <c r="J386" s="64"/>
      <c r="K386" s="130"/>
      <c r="L386" s="130"/>
      <c r="M386" s="64"/>
      <c r="N386" s="127" t="str">
        <f>IF(ISNA(VLOOKUP(Table3[[#This Row],[Ticket]],Table1[],17,FALSE)),"",VLOOKUP(Table3[[#This Row],[Ticket]],Table1[],17,FALSE))</f>
        <v/>
      </c>
      <c r="O386" s="128" t="str">
        <f>IF(Table3[[#This Row],[Actual End Date]]="","",TEXT(Table3[[#This Row],[Actual End Date]],"mmm-yy"))</f>
        <v/>
      </c>
      <c r="Q386" s="1"/>
    </row>
    <row r="387" spans="2:17">
      <c r="B387" s="64"/>
      <c r="C387" s="64"/>
      <c r="D387" s="64"/>
      <c r="E387" s="125"/>
      <c r="F387" s="125"/>
      <c r="G387" s="123"/>
      <c r="H387" s="130"/>
      <c r="I387" s="130"/>
      <c r="J387" s="64"/>
      <c r="K387" s="130"/>
      <c r="L387" s="130"/>
      <c r="M387" s="64"/>
      <c r="N387" s="127" t="str">
        <f>IF(ISNA(VLOOKUP(Table3[[#This Row],[Ticket]],Table1[],17,FALSE)),"",VLOOKUP(Table3[[#This Row],[Ticket]],Table1[],17,FALSE))</f>
        <v/>
      </c>
      <c r="O387" s="128" t="str">
        <f>IF(Table3[[#This Row],[Actual End Date]]="","",TEXT(Table3[[#This Row],[Actual End Date]],"mmm-yy"))</f>
        <v/>
      </c>
      <c r="Q387" s="1"/>
    </row>
    <row r="388" spans="2:17">
      <c r="B388" s="64"/>
      <c r="C388" s="64"/>
      <c r="D388" s="64"/>
      <c r="E388" s="125"/>
      <c r="F388" s="125"/>
      <c r="G388" s="123"/>
      <c r="H388" s="130"/>
      <c r="I388" s="130"/>
      <c r="J388" s="64"/>
      <c r="K388" s="130"/>
      <c r="L388" s="130"/>
      <c r="M388" s="64"/>
      <c r="N388" s="127" t="str">
        <f>IF(ISNA(VLOOKUP(Table3[[#This Row],[Ticket]],Table1[],17,FALSE)),"",VLOOKUP(Table3[[#This Row],[Ticket]],Table1[],17,FALSE))</f>
        <v/>
      </c>
      <c r="O388" s="128" t="str">
        <f>IF(Table3[[#This Row],[Actual End Date]]="","",TEXT(Table3[[#This Row],[Actual End Date]],"mmm-yy"))</f>
        <v/>
      </c>
      <c r="Q388" s="1"/>
    </row>
    <row r="389" spans="2:17">
      <c r="B389" s="64"/>
      <c r="C389" s="64"/>
      <c r="D389" s="64"/>
      <c r="E389" s="125"/>
      <c r="F389" s="125"/>
      <c r="G389" s="123"/>
      <c r="H389" s="130"/>
      <c r="I389" s="130"/>
      <c r="J389" s="64"/>
      <c r="K389" s="130"/>
      <c r="L389" s="130"/>
      <c r="M389" s="64"/>
      <c r="N389" s="127" t="str">
        <f>IF(ISNA(VLOOKUP(Table3[[#This Row],[Ticket]],Table1[],17,FALSE)),"",VLOOKUP(Table3[[#This Row],[Ticket]],Table1[],17,FALSE))</f>
        <v/>
      </c>
      <c r="O389" s="128" t="str">
        <f>IF(Table3[[#This Row],[Actual End Date]]="","",TEXT(Table3[[#This Row],[Actual End Date]],"mmm-yy"))</f>
        <v/>
      </c>
      <c r="Q389" s="1"/>
    </row>
    <row r="390" spans="2:17">
      <c r="B390" s="64"/>
      <c r="C390" s="64"/>
      <c r="D390" s="64"/>
      <c r="E390" s="125"/>
      <c r="F390" s="125"/>
      <c r="G390" s="123"/>
      <c r="H390" s="130"/>
      <c r="I390" s="130"/>
      <c r="J390" s="64"/>
      <c r="K390" s="130"/>
      <c r="L390" s="130"/>
      <c r="M390" s="64"/>
      <c r="N390" s="127" t="str">
        <f>IF(ISNA(VLOOKUP(Table3[[#This Row],[Ticket]],Table1[],17,FALSE)),"",VLOOKUP(Table3[[#This Row],[Ticket]],Table1[],17,FALSE))</f>
        <v/>
      </c>
      <c r="O390" s="128" t="str">
        <f>IF(Table3[[#This Row],[Actual End Date]]="","",TEXT(Table3[[#This Row],[Actual End Date]],"mmm-yy"))</f>
        <v/>
      </c>
      <c r="Q390" s="1"/>
    </row>
    <row r="391" spans="2:17">
      <c r="B391" s="64"/>
      <c r="C391" s="64"/>
      <c r="D391" s="64"/>
      <c r="E391" s="125"/>
      <c r="F391" s="125"/>
      <c r="G391" s="123"/>
      <c r="H391" s="130"/>
      <c r="I391" s="130"/>
      <c r="J391" s="64"/>
      <c r="K391" s="130"/>
      <c r="L391" s="130"/>
      <c r="M391" s="64"/>
      <c r="N391" s="127" t="str">
        <f>IF(ISNA(VLOOKUP(Table3[[#This Row],[Ticket]],Table1[],17,FALSE)),"",VLOOKUP(Table3[[#This Row],[Ticket]],Table1[],17,FALSE))</f>
        <v/>
      </c>
      <c r="O391" s="128" t="str">
        <f>IF(Table3[[#This Row],[Actual End Date]]="","",TEXT(Table3[[#This Row],[Actual End Date]],"mmm-yy"))</f>
        <v/>
      </c>
      <c r="Q391" s="1"/>
    </row>
    <row r="392" spans="2:17">
      <c r="B392" s="64"/>
      <c r="C392" s="64"/>
      <c r="D392" s="64"/>
      <c r="E392" s="125"/>
      <c r="F392" s="125"/>
      <c r="G392" s="123"/>
      <c r="H392" s="130"/>
      <c r="I392" s="130"/>
      <c r="J392" s="64"/>
      <c r="K392" s="130"/>
      <c r="L392" s="130"/>
      <c r="M392" s="64"/>
      <c r="N392" s="127" t="str">
        <f>IF(ISNA(VLOOKUP(Table3[[#This Row],[Ticket]],Table1[],17,FALSE)),"",VLOOKUP(Table3[[#This Row],[Ticket]],Table1[],17,FALSE))</f>
        <v/>
      </c>
      <c r="O392" s="128" t="str">
        <f>IF(Table3[[#This Row],[Actual End Date]]="","",TEXT(Table3[[#This Row],[Actual End Date]],"mmm-yy"))</f>
        <v/>
      </c>
      <c r="Q392" s="1"/>
    </row>
    <row r="393" spans="2:17">
      <c r="B393" s="64"/>
      <c r="C393" s="64"/>
      <c r="D393" s="64"/>
      <c r="E393" s="125"/>
      <c r="F393" s="125"/>
      <c r="G393" s="123"/>
      <c r="H393" s="130"/>
      <c r="I393" s="130"/>
      <c r="J393" s="64"/>
      <c r="K393" s="130"/>
      <c r="L393" s="130"/>
      <c r="M393" s="64"/>
      <c r="N393" s="127" t="str">
        <f>IF(ISNA(VLOOKUP(Table3[[#This Row],[Ticket]],Table1[],17,FALSE)),"",VLOOKUP(Table3[[#This Row],[Ticket]],Table1[],17,FALSE))</f>
        <v/>
      </c>
      <c r="O393" s="128" t="str">
        <f>IF(Table3[[#This Row],[Actual End Date]]="","",TEXT(Table3[[#This Row],[Actual End Date]],"mmm-yy"))</f>
        <v/>
      </c>
      <c r="Q393" s="1"/>
    </row>
    <row r="394" spans="2:17">
      <c r="B394" s="64"/>
      <c r="C394" s="64"/>
      <c r="D394" s="64"/>
      <c r="E394" s="125"/>
      <c r="F394" s="125"/>
      <c r="G394" s="123"/>
      <c r="H394" s="130"/>
      <c r="I394" s="130"/>
      <c r="J394" s="64"/>
      <c r="K394" s="130"/>
      <c r="L394" s="130"/>
      <c r="M394" s="64"/>
      <c r="N394" s="127" t="str">
        <f>IF(ISNA(VLOOKUP(Table3[[#This Row],[Ticket]],Table1[],17,FALSE)),"",VLOOKUP(Table3[[#This Row],[Ticket]],Table1[],17,FALSE))</f>
        <v/>
      </c>
      <c r="O394" s="128" t="str">
        <f>IF(Table3[[#This Row],[Actual End Date]]="","",TEXT(Table3[[#This Row],[Actual End Date]],"mmm-yy"))</f>
        <v/>
      </c>
      <c r="Q394" s="1"/>
    </row>
    <row r="395" spans="2:17">
      <c r="B395" s="64"/>
      <c r="C395" s="64"/>
      <c r="D395" s="64"/>
      <c r="E395" s="125"/>
      <c r="F395" s="125"/>
      <c r="G395" s="123"/>
      <c r="H395" s="130"/>
      <c r="I395" s="130"/>
      <c r="J395" s="64"/>
      <c r="K395" s="130"/>
      <c r="L395" s="130"/>
      <c r="M395" s="64"/>
      <c r="N395" s="127" t="str">
        <f>IF(ISNA(VLOOKUP(Table3[[#This Row],[Ticket]],Table1[],17,FALSE)),"",VLOOKUP(Table3[[#This Row],[Ticket]],Table1[],17,FALSE))</f>
        <v/>
      </c>
      <c r="O395" s="128" t="str">
        <f>IF(Table3[[#This Row],[Actual End Date]]="","",TEXT(Table3[[#This Row],[Actual End Date]],"mmm-yy"))</f>
        <v/>
      </c>
      <c r="Q395" s="1"/>
    </row>
    <row r="396" spans="2:17">
      <c r="B396" s="64"/>
      <c r="C396" s="64"/>
      <c r="D396" s="64"/>
      <c r="E396" s="125"/>
      <c r="F396" s="125"/>
      <c r="G396" s="123"/>
      <c r="H396" s="130"/>
      <c r="I396" s="130"/>
      <c r="J396" s="64"/>
      <c r="K396" s="130"/>
      <c r="L396" s="130"/>
      <c r="M396" s="64"/>
      <c r="N396" s="127" t="str">
        <f>IF(ISNA(VLOOKUP(Table3[[#This Row],[Ticket]],Table1[],17,FALSE)),"",VLOOKUP(Table3[[#This Row],[Ticket]],Table1[],17,FALSE))</f>
        <v/>
      </c>
      <c r="O396" s="128" t="str">
        <f>IF(Table3[[#This Row],[Actual End Date]]="","",TEXT(Table3[[#This Row],[Actual End Date]],"mmm-yy"))</f>
        <v/>
      </c>
      <c r="Q396" s="1"/>
    </row>
    <row r="397" spans="2:17">
      <c r="B397" s="64"/>
      <c r="C397" s="64"/>
      <c r="D397" s="64"/>
      <c r="E397" s="125"/>
      <c r="F397" s="125"/>
      <c r="G397" s="123"/>
      <c r="H397" s="130"/>
      <c r="I397" s="130"/>
      <c r="J397" s="64"/>
      <c r="K397" s="130"/>
      <c r="L397" s="130"/>
      <c r="M397" s="64"/>
      <c r="N397" s="127" t="str">
        <f>IF(ISNA(VLOOKUP(Table3[[#This Row],[Ticket]],Table1[],17,FALSE)),"",VLOOKUP(Table3[[#This Row],[Ticket]],Table1[],17,FALSE))</f>
        <v/>
      </c>
      <c r="O397" s="128" t="str">
        <f>IF(Table3[[#This Row],[Actual End Date]]="","",TEXT(Table3[[#This Row],[Actual End Date]],"mmm-yy"))</f>
        <v/>
      </c>
      <c r="Q397" s="1"/>
    </row>
    <row r="398" spans="2:17">
      <c r="B398" s="64"/>
      <c r="C398" s="64"/>
      <c r="D398" s="64"/>
      <c r="E398" s="125"/>
      <c r="F398" s="125"/>
      <c r="G398" s="123"/>
      <c r="H398" s="130"/>
      <c r="I398" s="130"/>
      <c r="J398" s="64"/>
      <c r="K398" s="130"/>
      <c r="L398" s="130"/>
      <c r="M398" s="64"/>
      <c r="N398" s="127" t="str">
        <f>IF(ISNA(VLOOKUP(Table3[[#This Row],[Ticket]],Table1[],17,FALSE)),"",VLOOKUP(Table3[[#This Row],[Ticket]],Table1[],17,FALSE))</f>
        <v/>
      </c>
      <c r="O398" s="128" t="str">
        <f>IF(Table3[[#This Row],[Actual End Date]]="","",TEXT(Table3[[#This Row],[Actual End Date]],"mmm-yy"))</f>
        <v/>
      </c>
      <c r="Q398" s="1"/>
    </row>
    <row r="399" spans="2:17">
      <c r="B399" s="64"/>
      <c r="C399" s="64"/>
      <c r="D399" s="64"/>
      <c r="E399" s="125"/>
      <c r="F399" s="125"/>
      <c r="G399" s="123"/>
      <c r="H399" s="130"/>
      <c r="I399" s="130"/>
      <c r="J399" s="64"/>
      <c r="K399" s="130"/>
      <c r="L399" s="130"/>
      <c r="M399" s="64"/>
      <c r="N399" s="127" t="str">
        <f>IF(ISNA(VLOOKUP(Table3[[#This Row],[Ticket]],Table1[],17,FALSE)),"",VLOOKUP(Table3[[#This Row],[Ticket]],Table1[],17,FALSE))</f>
        <v/>
      </c>
      <c r="O399" s="128" t="str">
        <f>IF(Table3[[#This Row],[Actual End Date]]="","",TEXT(Table3[[#This Row],[Actual End Date]],"mmm-yy"))</f>
        <v/>
      </c>
      <c r="Q399" s="1"/>
    </row>
    <row r="400" spans="2:17">
      <c r="B400" s="64"/>
      <c r="C400" s="64"/>
      <c r="D400" s="64"/>
      <c r="E400" s="125"/>
      <c r="F400" s="125"/>
      <c r="G400" s="123"/>
      <c r="H400" s="130"/>
      <c r="I400" s="130"/>
      <c r="J400" s="64"/>
      <c r="K400" s="130"/>
      <c r="L400" s="130"/>
      <c r="M400" s="64"/>
      <c r="N400" s="127" t="str">
        <f>IF(ISNA(VLOOKUP(Table3[[#This Row],[Ticket]],Table1[],17,FALSE)),"",VLOOKUP(Table3[[#This Row],[Ticket]],Table1[],17,FALSE))</f>
        <v/>
      </c>
      <c r="O400" s="128" t="str">
        <f>IF(Table3[[#This Row],[Actual End Date]]="","",TEXT(Table3[[#This Row],[Actual End Date]],"mmm-yy"))</f>
        <v/>
      </c>
      <c r="Q400" s="1"/>
    </row>
    <row r="401" spans="2:19">
      <c r="B401" s="64"/>
      <c r="C401" s="64"/>
      <c r="D401" s="64"/>
      <c r="E401" s="125"/>
      <c r="F401" s="125"/>
      <c r="G401" s="123"/>
      <c r="H401" s="130"/>
      <c r="I401" s="130"/>
      <c r="J401" s="64"/>
      <c r="K401" s="130"/>
      <c r="L401" s="130"/>
      <c r="M401" s="64"/>
      <c r="N401" s="127" t="str">
        <f>IF(ISNA(VLOOKUP(Table3[[#This Row],[Ticket]],Table1[],17,FALSE)),"",VLOOKUP(Table3[[#This Row],[Ticket]],Table1[],17,FALSE))</f>
        <v/>
      </c>
      <c r="O401" s="128" t="str">
        <f>IF(Table3[[#This Row],[Actual End Date]]="","",TEXT(Table3[[#This Row],[Actual End Date]],"mmm-yy"))</f>
        <v/>
      </c>
      <c r="S401" s="142"/>
    </row>
    <row r="402" spans="2:19">
      <c r="B402" s="64"/>
      <c r="C402" s="64"/>
      <c r="D402" s="64"/>
      <c r="E402" s="125"/>
      <c r="F402" s="125"/>
      <c r="G402" s="123"/>
      <c r="H402" s="130"/>
      <c r="I402" s="130"/>
      <c r="J402" s="64"/>
      <c r="K402" s="130"/>
      <c r="L402" s="130"/>
      <c r="M402" s="64"/>
      <c r="N402" s="127" t="str">
        <f>IF(ISNA(VLOOKUP(Table3[[#This Row],[Ticket]],Table1[],17,FALSE)),"",VLOOKUP(Table3[[#This Row],[Ticket]],Table1[],17,FALSE))</f>
        <v/>
      </c>
      <c r="O402" s="128" t="str">
        <f>IF(Table3[[#This Row],[Actual End Date]]="","",TEXT(Table3[[#This Row],[Actual End Date]],"mmm-yy"))</f>
        <v/>
      </c>
    </row>
    <row r="403" spans="2:19">
      <c r="B403" s="64"/>
      <c r="C403" s="64"/>
      <c r="D403" s="64"/>
      <c r="E403" s="125"/>
      <c r="F403" s="125"/>
      <c r="G403" s="123"/>
      <c r="H403" s="130"/>
      <c r="I403" s="130"/>
      <c r="J403" s="64"/>
      <c r="K403" s="130"/>
      <c r="L403" s="130"/>
      <c r="M403" s="64"/>
      <c r="N403" s="127" t="str">
        <f>IF(ISNA(VLOOKUP(Table3[[#This Row],[Ticket]],Table1[],17,FALSE)),"",VLOOKUP(Table3[[#This Row],[Ticket]],Table1[],17,FALSE))</f>
        <v/>
      </c>
      <c r="O403" s="128" t="str">
        <f>IF(Table3[[#This Row],[Actual End Date]]="","",TEXT(Table3[[#This Row],[Actual End Date]],"mmm-yy"))</f>
        <v/>
      </c>
    </row>
    <row r="404" spans="2:19">
      <c r="B404" s="64"/>
      <c r="C404" s="132"/>
      <c r="D404" s="132"/>
      <c r="E404" s="133"/>
      <c r="F404" s="125"/>
      <c r="G404" s="134"/>
      <c r="H404" s="135"/>
      <c r="I404" s="135"/>
      <c r="J404" s="132"/>
      <c r="K404" s="135"/>
      <c r="L404" s="135"/>
      <c r="M404" s="132"/>
      <c r="N404" s="127" t="str">
        <f>IF(ISNA(VLOOKUP(Table3[[#This Row],[Ticket]],Table1[],17,FALSE)),"",VLOOKUP(Table3[[#This Row],[Ticket]],Table1[],17,FALSE))</f>
        <v/>
      </c>
      <c r="O404" s="128" t="str">
        <f>IF(Table3[[#This Row],[Actual End Date]]="","",TEXT(Table3[[#This Row],[Actual End Date]],"mmm-yy"))</f>
        <v/>
      </c>
    </row>
    <row r="405" spans="2:19">
      <c r="B405" s="64"/>
      <c r="C405" s="136"/>
      <c r="D405" s="136"/>
      <c r="E405" s="137"/>
      <c r="F405" s="125"/>
      <c r="G405" s="138"/>
      <c r="H405" s="139"/>
      <c r="I405" s="139"/>
      <c r="J405" s="136"/>
      <c r="K405" s="139"/>
      <c r="L405" s="139"/>
      <c r="M405" s="136"/>
      <c r="N405" s="127" t="str">
        <f>IF(ISNA(VLOOKUP(Table3[[#This Row],[Ticket]],Table1[],17,FALSE)),"",VLOOKUP(Table3[[#This Row],[Ticket]],Table1[],17,FALSE))</f>
        <v/>
      </c>
      <c r="O405" s="128" t="str">
        <f>IF(Table3[[#This Row],[Actual End Date]]="","",TEXT(Table3[[#This Row],[Actual End Date]],"mmm-yy"))</f>
        <v/>
      </c>
    </row>
    <row r="406" spans="2:19">
      <c r="B406" s="64"/>
      <c r="C406" s="132"/>
      <c r="D406" s="132"/>
      <c r="E406" s="133"/>
      <c r="F406" s="125"/>
      <c r="G406" s="134"/>
      <c r="H406" s="135"/>
      <c r="I406" s="135"/>
      <c r="J406" s="132"/>
      <c r="K406" s="135"/>
      <c r="L406" s="135"/>
      <c r="M406" s="132"/>
      <c r="N406" s="127" t="str">
        <f>IF(ISNA(VLOOKUP(Table3[[#This Row],[Ticket]],Table1[],17,FALSE)),"",VLOOKUP(Table3[[#This Row],[Ticket]],Table1[],17,FALSE))</f>
        <v/>
      </c>
      <c r="O406" s="128" t="str">
        <f>IF(Table3[[#This Row],[Actual End Date]]="","",TEXT(Table3[[#This Row],[Actual End Date]],"mmm-yy"))</f>
        <v/>
      </c>
    </row>
    <row r="407" spans="2:19">
      <c r="B407" s="64"/>
      <c r="C407" s="136"/>
      <c r="D407" s="136"/>
      <c r="E407" s="137"/>
      <c r="F407" s="125"/>
      <c r="G407" s="138"/>
      <c r="H407" s="139"/>
      <c r="I407" s="139"/>
      <c r="J407" s="136"/>
      <c r="K407" s="139"/>
      <c r="L407" s="139"/>
      <c r="M407" s="136"/>
      <c r="N407" s="127" t="str">
        <f>IF(ISNA(VLOOKUP(Table3[[#This Row],[Ticket]],Table1[],17,FALSE)),"",VLOOKUP(Table3[[#This Row],[Ticket]],Table1[],17,FALSE))</f>
        <v/>
      </c>
      <c r="O407" s="128" t="str">
        <f>IF(Table3[[#This Row],[Actual End Date]]="","",TEXT(Table3[[#This Row],[Actual End Date]],"mmm-yy"))</f>
        <v/>
      </c>
    </row>
    <row r="408" spans="2:19">
      <c r="B408" s="64"/>
      <c r="C408" s="132"/>
      <c r="D408" s="132"/>
      <c r="E408" s="133"/>
      <c r="F408" s="125"/>
      <c r="G408" s="134"/>
      <c r="H408" s="135"/>
      <c r="I408" s="135"/>
      <c r="J408" s="132"/>
      <c r="K408" s="135"/>
      <c r="L408" s="135"/>
      <c r="M408" s="132"/>
      <c r="N408" s="127" t="str">
        <f>IF(ISNA(VLOOKUP(Table3[[#This Row],[Ticket]],Table1[],17,FALSE)),"",VLOOKUP(Table3[[#This Row],[Ticket]],Table1[],17,FALSE))</f>
        <v/>
      </c>
      <c r="O408" s="128" t="str">
        <f>IF(Table3[[#This Row],[Actual End Date]]="","",TEXT(Table3[[#This Row],[Actual End Date]],"mmm-yy"))</f>
        <v/>
      </c>
    </row>
    <row r="409" spans="2:19">
      <c r="B409" s="64"/>
      <c r="C409" s="136"/>
      <c r="D409" s="136"/>
      <c r="E409" s="137"/>
      <c r="F409" s="125"/>
      <c r="G409" s="138"/>
      <c r="H409" s="139"/>
      <c r="I409" s="139"/>
      <c r="J409" s="136"/>
      <c r="K409" s="139"/>
      <c r="L409" s="139"/>
      <c r="M409" s="136"/>
      <c r="N409" s="127" t="str">
        <f>IF(ISNA(VLOOKUP(Table3[[#This Row],[Ticket]],Table1[],17,FALSE)),"",VLOOKUP(Table3[[#This Row],[Ticket]],Table1[],17,FALSE))</f>
        <v/>
      </c>
      <c r="O409" s="128" t="str">
        <f>IF(Table3[[#This Row],[Actual End Date]]="","",TEXT(Table3[[#This Row],[Actual End Date]],"mmm-yy"))</f>
        <v/>
      </c>
    </row>
    <row r="410" spans="2:19">
      <c r="B410" s="64"/>
      <c r="C410" s="132"/>
      <c r="D410" s="132"/>
      <c r="E410" s="133"/>
      <c r="F410" s="125"/>
      <c r="G410" s="134"/>
      <c r="H410" s="135"/>
      <c r="I410" s="135"/>
      <c r="J410" s="132"/>
      <c r="K410" s="135"/>
      <c r="L410" s="135"/>
      <c r="M410" s="132"/>
      <c r="N410" s="127" t="str">
        <f>IF(ISNA(VLOOKUP(Table3[[#This Row],[Ticket]],Table1[],17,FALSE)),"",VLOOKUP(Table3[[#This Row],[Ticket]],Table1[],17,FALSE))</f>
        <v/>
      </c>
      <c r="O410" s="128" t="str">
        <f>IF(Table3[[#This Row],[Actual End Date]]="","",TEXT(Table3[[#This Row],[Actual End Date]],"mmm-yy"))</f>
        <v/>
      </c>
    </row>
    <row r="411" spans="2:19">
      <c r="B411" s="64"/>
      <c r="C411" s="136"/>
      <c r="D411" s="136"/>
      <c r="E411" s="137"/>
      <c r="F411" s="125"/>
      <c r="G411" s="138"/>
      <c r="H411" s="139"/>
      <c r="I411" s="139"/>
      <c r="J411" s="136"/>
      <c r="K411" s="139"/>
      <c r="L411" s="139"/>
      <c r="M411" s="136"/>
      <c r="N411" s="127" t="str">
        <f>IF(ISNA(VLOOKUP(Table3[[#This Row],[Ticket]],Table1[],17,FALSE)),"",VLOOKUP(Table3[[#This Row],[Ticket]],Table1[],17,FALSE))</f>
        <v/>
      </c>
      <c r="O411" s="128" t="str">
        <f>IF(Table3[[#This Row],[Actual End Date]]="","",TEXT(Table3[[#This Row],[Actual End Date]],"mmm-yy"))</f>
        <v/>
      </c>
    </row>
    <row r="412" spans="2:19">
      <c r="B412" s="64"/>
      <c r="C412" s="132"/>
      <c r="D412" s="132"/>
      <c r="E412" s="133"/>
      <c r="F412" s="125"/>
      <c r="G412" s="134"/>
      <c r="H412" s="135"/>
      <c r="I412" s="135"/>
      <c r="J412" s="132"/>
      <c r="K412" s="135"/>
      <c r="L412" s="135"/>
      <c r="M412" s="132"/>
      <c r="N412" s="127" t="str">
        <f>IF(ISNA(VLOOKUP(Table3[[#This Row],[Ticket]],Table1[],17,FALSE)),"",VLOOKUP(Table3[[#This Row],[Ticket]],Table1[],17,FALSE))</f>
        <v/>
      </c>
      <c r="O412" s="128" t="str">
        <f>IF(Table3[[#This Row],[Actual End Date]]="","",TEXT(Table3[[#This Row],[Actual End Date]],"mmm-yy"))</f>
        <v/>
      </c>
    </row>
    <row r="413" spans="2:19">
      <c r="B413" s="64"/>
      <c r="C413" s="136"/>
      <c r="D413" s="136"/>
      <c r="E413" s="137"/>
      <c r="F413" s="125"/>
      <c r="G413" s="138"/>
      <c r="H413" s="139"/>
      <c r="I413" s="139"/>
      <c r="J413" s="136"/>
      <c r="K413" s="139"/>
      <c r="L413" s="139"/>
      <c r="M413" s="136"/>
      <c r="N413" s="127" t="str">
        <f>IF(ISNA(VLOOKUP(Table3[[#This Row],[Ticket]],Table1[],17,FALSE)),"",VLOOKUP(Table3[[#This Row],[Ticket]],Table1[],17,FALSE))</f>
        <v/>
      </c>
      <c r="O413" s="128" t="str">
        <f>IF(Table3[[#This Row],[Actual End Date]]="","",TEXT(Table3[[#This Row],[Actual End Date]],"mmm-yy"))</f>
        <v/>
      </c>
    </row>
    <row r="414" spans="2:19">
      <c r="B414" s="64"/>
      <c r="C414" s="132"/>
      <c r="D414" s="132"/>
      <c r="E414" s="133"/>
      <c r="F414" s="125"/>
      <c r="G414" s="134"/>
      <c r="H414" s="135"/>
      <c r="I414" s="135"/>
      <c r="J414" s="132"/>
      <c r="K414" s="135"/>
      <c r="L414" s="135"/>
      <c r="M414" s="132"/>
      <c r="N414" s="127" t="str">
        <f>IF(ISNA(VLOOKUP(Table3[[#This Row],[Ticket]],Table1[],17,FALSE)),"",VLOOKUP(Table3[[#This Row],[Ticket]],Table1[],17,FALSE))</f>
        <v/>
      </c>
      <c r="O414" s="128" t="str">
        <f>IF(Table3[[#This Row],[Actual End Date]]="","",TEXT(Table3[[#This Row],[Actual End Date]],"mmm-yy"))</f>
        <v/>
      </c>
    </row>
    <row r="415" spans="2:19">
      <c r="B415" s="64"/>
      <c r="C415" s="136"/>
      <c r="D415" s="136"/>
      <c r="E415" s="137"/>
      <c r="F415" s="125"/>
      <c r="G415" s="138"/>
      <c r="H415" s="139"/>
      <c r="I415" s="139"/>
      <c r="J415" s="136"/>
      <c r="K415" s="139"/>
      <c r="L415" s="139"/>
      <c r="M415" s="136"/>
      <c r="N415" s="127" t="str">
        <f>IF(ISNA(VLOOKUP(Table3[[#This Row],[Ticket]],Table1[],17,FALSE)),"",VLOOKUP(Table3[[#This Row],[Ticket]],Table1[],17,FALSE))</f>
        <v/>
      </c>
      <c r="O415" s="128" t="str">
        <f>IF(Table3[[#This Row],[Actual End Date]]="","",TEXT(Table3[[#This Row],[Actual End Date]],"mmm-yy"))</f>
        <v/>
      </c>
    </row>
    <row r="416" spans="2:19">
      <c r="B416" s="64"/>
      <c r="C416" s="132"/>
      <c r="D416" s="132"/>
      <c r="E416" s="133"/>
      <c r="F416" s="125"/>
      <c r="G416" s="134"/>
      <c r="H416" s="135"/>
      <c r="I416" s="135"/>
      <c r="J416" s="132"/>
      <c r="K416" s="135"/>
      <c r="L416" s="135"/>
      <c r="M416" s="132"/>
      <c r="N416" s="127" t="str">
        <f>IF(ISNA(VLOOKUP(Table3[[#This Row],[Ticket]],Table1[],17,FALSE)),"",VLOOKUP(Table3[[#This Row],[Ticket]],Table1[],17,FALSE))</f>
        <v/>
      </c>
      <c r="O416" s="128" t="str">
        <f>IF(Table3[[#This Row],[Actual End Date]]="","",TEXT(Table3[[#This Row],[Actual End Date]],"mmm-yy"))</f>
        <v/>
      </c>
    </row>
    <row r="417" spans="2:15">
      <c r="B417" s="64"/>
      <c r="C417" s="136"/>
      <c r="D417" s="136"/>
      <c r="E417" s="137"/>
      <c r="F417" s="125"/>
      <c r="G417" s="138"/>
      <c r="H417" s="139"/>
      <c r="I417" s="139"/>
      <c r="J417" s="136"/>
      <c r="K417" s="139"/>
      <c r="L417" s="139"/>
      <c r="M417" s="136"/>
      <c r="N417" s="127" t="str">
        <f>IF(ISNA(VLOOKUP(Table3[[#This Row],[Ticket]],Table1[],17,FALSE)),"",VLOOKUP(Table3[[#This Row],[Ticket]],Table1[],17,FALSE))</f>
        <v/>
      </c>
      <c r="O417" s="128" t="str">
        <f>IF(Table3[[#This Row],[Actual End Date]]="","",TEXT(Table3[[#This Row],[Actual End Date]],"mmm-yy"))</f>
        <v/>
      </c>
    </row>
    <row r="418" spans="2:15">
      <c r="B418" s="64"/>
      <c r="C418" s="132"/>
      <c r="D418" s="132"/>
      <c r="E418" s="133"/>
      <c r="F418" s="125"/>
      <c r="G418" s="134"/>
      <c r="H418" s="135"/>
      <c r="I418" s="135"/>
      <c r="J418" s="132"/>
      <c r="K418" s="135"/>
      <c r="L418" s="135"/>
      <c r="M418" s="132"/>
      <c r="N418" s="127" t="str">
        <f>IF(ISNA(VLOOKUP(Table3[[#This Row],[Ticket]],Table1[],17,FALSE)),"",VLOOKUP(Table3[[#This Row],[Ticket]],Table1[],17,FALSE))</f>
        <v/>
      </c>
      <c r="O418" s="128" t="str">
        <f>IF(Table3[[#This Row],[Actual End Date]]="","",TEXT(Table3[[#This Row],[Actual End Date]],"mmm-yy"))</f>
        <v/>
      </c>
    </row>
    <row r="419" spans="2:15">
      <c r="B419" s="64"/>
      <c r="C419" s="136"/>
      <c r="D419" s="136"/>
      <c r="E419" s="137"/>
      <c r="F419" s="125"/>
      <c r="G419" s="138"/>
      <c r="H419" s="139"/>
      <c r="I419" s="139"/>
      <c r="J419" s="136"/>
      <c r="K419" s="139"/>
      <c r="L419" s="139"/>
      <c r="M419" s="136"/>
      <c r="N419" s="127" t="str">
        <f>IF(ISNA(VLOOKUP(Table3[[#This Row],[Ticket]],Table1[],17,FALSE)),"",VLOOKUP(Table3[[#This Row],[Ticket]],Table1[],17,FALSE))</f>
        <v/>
      </c>
      <c r="O419" s="128" t="str">
        <f>IF(Table3[[#This Row],[Actual End Date]]="","",TEXT(Table3[[#This Row],[Actual End Date]],"mmm-yy"))</f>
        <v/>
      </c>
    </row>
    <row r="420" spans="2:15">
      <c r="B420" s="64"/>
      <c r="C420" s="132"/>
      <c r="D420" s="132"/>
      <c r="E420" s="133"/>
      <c r="F420" s="125"/>
      <c r="G420" s="134"/>
      <c r="H420" s="135"/>
      <c r="I420" s="135"/>
      <c r="J420" s="132"/>
      <c r="K420" s="135"/>
      <c r="L420" s="135"/>
      <c r="M420" s="132"/>
      <c r="N420" s="127" t="str">
        <f>IF(ISNA(VLOOKUP(Table3[[#This Row],[Ticket]],Table1[],17,FALSE)),"",VLOOKUP(Table3[[#This Row],[Ticket]],Table1[],17,FALSE))</f>
        <v/>
      </c>
      <c r="O420" s="128" t="str">
        <f>IF(Table3[[#This Row],[Actual End Date]]="","",TEXT(Table3[[#This Row],[Actual End Date]],"mmm-yy"))</f>
        <v/>
      </c>
    </row>
    <row r="421" spans="2:15">
      <c r="B421" s="64"/>
      <c r="C421" s="136"/>
      <c r="D421" s="136"/>
      <c r="E421" s="137"/>
      <c r="F421" s="125"/>
      <c r="G421" s="138"/>
      <c r="H421" s="139"/>
      <c r="I421" s="139"/>
      <c r="J421" s="136"/>
      <c r="K421" s="139"/>
      <c r="L421" s="139"/>
      <c r="M421" s="136"/>
      <c r="N421" s="127" t="str">
        <f>IF(ISNA(VLOOKUP(Table3[[#This Row],[Ticket]],Table1[],17,FALSE)),"",VLOOKUP(Table3[[#This Row],[Ticket]],Table1[],17,FALSE))</f>
        <v/>
      </c>
      <c r="O421" s="128" t="str">
        <f>IF(Table3[[#This Row],[Actual End Date]]="","",TEXT(Table3[[#This Row],[Actual End Date]],"mmm-yy"))</f>
        <v/>
      </c>
    </row>
    <row r="422" spans="2:15">
      <c r="B422" s="64"/>
      <c r="C422" s="132"/>
      <c r="D422" s="132"/>
      <c r="E422" s="133"/>
      <c r="F422" s="125"/>
      <c r="G422" s="134"/>
      <c r="H422" s="135"/>
      <c r="I422" s="135"/>
      <c r="J422" s="132"/>
      <c r="K422" s="135"/>
      <c r="L422" s="135"/>
      <c r="M422" s="132"/>
      <c r="N422" s="127" t="str">
        <f>IF(ISNA(VLOOKUP(Table3[[#This Row],[Ticket]],Table1[],17,FALSE)),"",VLOOKUP(Table3[[#This Row],[Ticket]],Table1[],17,FALSE))</f>
        <v/>
      </c>
      <c r="O422" s="128" t="str">
        <f>IF(Table3[[#This Row],[Actual End Date]]="","",TEXT(Table3[[#This Row],[Actual End Date]],"mmm-yy"))</f>
        <v/>
      </c>
    </row>
    <row r="423" spans="2:15">
      <c r="B423" s="64"/>
      <c r="C423" s="136"/>
      <c r="D423" s="136"/>
      <c r="E423" s="137"/>
      <c r="F423" s="125"/>
      <c r="G423" s="138"/>
      <c r="H423" s="139"/>
      <c r="I423" s="139"/>
      <c r="J423" s="136"/>
      <c r="K423" s="139"/>
      <c r="L423" s="139"/>
      <c r="M423" s="136"/>
      <c r="N423" s="127" t="str">
        <f>IF(ISNA(VLOOKUP(Table3[[#This Row],[Ticket]],Table1[],17,FALSE)),"",VLOOKUP(Table3[[#This Row],[Ticket]],Table1[],17,FALSE))</f>
        <v/>
      </c>
      <c r="O423" s="128" t="str">
        <f>IF(Table3[[#This Row],[Actual End Date]]="","",TEXT(Table3[[#This Row],[Actual End Date]],"mmm-yy"))</f>
        <v/>
      </c>
    </row>
    <row r="424" spans="2:15">
      <c r="B424" s="64"/>
      <c r="C424" s="132"/>
      <c r="D424" s="132"/>
      <c r="E424" s="133"/>
      <c r="F424" s="125"/>
      <c r="G424" s="134"/>
      <c r="H424" s="135"/>
      <c r="I424" s="135"/>
      <c r="J424" s="132"/>
      <c r="K424" s="135"/>
      <c r="L424" s="135"/>
      <c r="M424" s="132"/>
      <c r="N424" s="127" t="str">
        <f>IF(ISNA(VLOOKUP(Table3[[#This Row],[Ticket]],Table1[],17,FALSE)),"",VLOOKUP(Table3[[#This Row],[Ticket]],Table1[],17,FALSE))</f>
        <v/>
      </c>
      <c r="O424" s="128" t="str">
        <f>IF(Table3[[#This Row],[Actual End Date]]="","",TEXT(Table3[[#This Row],[Actual End Date]],"mmm-yy"))</f>
        <v/>
      </c>
    </row>
    <row r="425" spans="2:15">
      <c r="B425" s="64"/>
      <c r="C425" s="136"/>
      <c r="D425" s="136"/>
      <c r="E425" s="137"/>
      <c r="F425" s="125"/>
      <c r="G425" s="138"/>
      <c r="H425" s="139"/>
      <c r="I425" s="139"/>
      <c r="J425" s="136"/>
      <c r="K425" s="139"/>
      <c r="L425" s="139"/>
      <c r="M425" s="136"/>
      <c r="N425" s="127" t="str">
        <f>IF(ISNA(VLOOKUP(Table3[[#This Row],[Ticket]],Table1[],17,FALSE)),"",VLOOKUP(Table3[[#This Row],[Ticket]],Table1[],17,FALSE))</f>
        <v/>
      </c>
      <c r="O425" s="128" t="str">
        <f>IF(Table3[[#This Row],[Actual End Date]]="","",TEXT(Table3[[#This Row],[Actual End Date]],"mmm-yy"))</f>
        <v/>
      </c>
    </row>
    <row r="426" spans="2:15">
      <c r="B426" s="64"/>
      <c r="C426" s="132"/>
      <c r="D426" s="132"/>
      <c r="E426" s="133"/>
      <c r="F426" s="125"/>
      <c r="G426" s="134"/>
      <c r="H426" s="135"/>
      <c r="I426" s="135"/>
      <c r="J426" s="132"/>
      <c r="K426" s="135"/>
      <c r="L426" s="135"/>
      <c r="M426" s="132"/>
      <c r="N426" s="127" t="str">
        <f>IF(ISNA(VLOOKUP(Table3[[#This Row],[Ticket]],Table1[],17,FALSE)),"",VLOOKUP(Table3[[#This Row],[Ticket]],Table1[],17,FALSE))</f>
        <v/>
      </c>
      <c r="O426" s="128" t="str">
        <f>IF(Table3[[#This Row],[Actual End Date]]="","",TEXT(Table3[[#This Row],[Actual End Date]],"mmm-yy"))</f>
        <v/>
      </c>
    </row>
    <row r="427" spans="2:15">
      <c r="B427" s="64"/>
      <c r="C427" s="136"/>
      <c r="D427" s="136"/>
      <c r="E427" s="137"/>
      <c r="F427" s="125"/>
      <c r="G427" s="138"/>
      <c r="H427" s="139"/>
      <c r="I427" s="139"/>
      <c r="J427" s="136"/>
      <c r="K427" s="139"/>
      <c r="L427" s="139"/>
      <c r="M427" s="136"/>
      <c r="N427" s="127" t="str">
        <f>IF(ISNA(VLOOKUP(Table3[[#This Row],[Ticket]],Table1[],17,FALSE)),"",VLOOKUP(Table3[[#This Row],[Ticket]],Table1[],17,FALSE))</f>
        <v/>
      </c>
      <c r="O427" s="128" t="str">
        <f>IF(Table3[[#This Row],[Actual End Date]]="","",TEXT(Table3[[#This Row],[Actual End Date]],"mmm-yy"))</f>
        <v/>
      </c>
    </row>
    <row r="428" spans="2:15">
      <c r="B428" s="64"/>
      <c r="C428" s="132"/>
      <c r="D428" s="132"/>
      <c r="E428" s="133"/>
      <c r="F428" s="125"/>
      <c r="G428" s="134"/>
      <c r="H428" s="135"/>
      <c r="I428" s="135"/>
      <c r="J428" s="132"/>
      <c r="K428" s="135"/>
      <c r="L428" s="135"/>
      <c r="M428" s="132"/>
      <c r="N428" s="127" t="str">
        <f>IF(ISNA(VLOOKUP(Table3[[#This Row],[Ticket]],Table1[],17,FALSE)),"",VLOOKUP(Table3[[#This Row],[Ticket]],Table1[],17,FALSE))</f>
        <v/>
      </c>
      <c r="O428" s="128" t="str">
        <f>IF(Table3[[#This Row],[Actual End Date]]="","",TEXT(Table3[[#This Row],[Actual End Date]],"mmm-yy"))</f>
        <v/>
      </c>
    </row>
    <row r="429" spans="2:15">
      <c r="B429" s="64"/>
      <c r="C429" s="136"/>
      <c r="D429" s="136"/>
      <c r="E429" s="137"/>
      <c r="F429" s="125"/>
      <c r="G429" s="138"/>
      <c r="H429" s="139"/>
      <c r="I429" s="139"/>
      <c r="J429" s="136"/>
      <c r="K429" s="139"/>
      <c r="L429" s="139"/>
      <c r="M429" s="136"/>
      <c r="N429" s="127" t="str">
        <f>IF(ISNA(VLOOKUP(Table3[[#This Row],[Ticket]],Table1[],17,FALSE)),"",VLOOKUP(Table3[[#This Row],[Ticket]],Table1[],17,FALSE))</f>
        <v/>
      </c>
      <c r="O429" s="128" t="str">
        <f>IF(Table3[[#This Row],[Actual End Date]]="","",TEXT(Table3[[#This Row],[Actual End Date]],"mmm-yy"))</f>
        <v/>
      </c>
    </row>
    <row r="430" spans="2:15">
      <c r="B430" s="64"/>
      <c r="C430" s="132"/>
      <c r="D430" s="132"/>
      <c r="E430" s="133"/>
      <c r="F430" s="125"/>
      <c r="G430" s="134"/>
      <c r="H430" s="135"/>
      <c r="I430" s="135"/>
      <c r="J430" s="132"/>
      <c r="K430" s="135"/>
      <c r="L430" s="135"/>
      <c r="M430" s="132"/>
      <c r="N430" s="127" t="str">
        <f>IF(ISNA(VLOOKUP(Table3[[#This Row],[Ticket]],Table1[],17,FALSE)),"",VLOOKUP(Table3[[#This Row],[Ticket]],Table1[],17,FALSE))</f>
        <v/>
      </c>
      <c r="O430" s="128" t="str">
        <f>IF(Table3[[#This Row],[Actual End Date]]="","",TEXT(Table3[[#This Row],[Actual End Date]],"mmm-yy"))</f>
        <v/>
      </c>
    </row>
    <row r="431" spans="2:15">
      <c r="B431" s="64"/>
      <c r="C431" s="136"/>
      <c r="D431" s="136"/>
      <c r="E431" s="125"/>
      <c r="F431" s="125"/>
      <c r="G431" s="138"/>
      <c r="H431" s="140"/>
      <c r="I431" s="139"/>
      <c r="J431" s="136"/>
      <c r="K431" s="140"/>
      <c r="L431" s="139"/>
      <c r="M431" s="136"/>
      <c r="N431" s="127" t="str">
        <f>IF(ISNA(VLOOKUP(Table3[[#This Row],[Ticket]],Table1[],17,FALSE)),"",VLOOKUP(Table3[[#This Row],[Ticket]],Table1[],17,FALSE))</f>
        <v/>
      </c>
      <c r="O431" s="128" t="str">
        <f>IF(Table3[[#This Row],[Actual End Date]]="","",TEXT(Table3[[#This Row],[Actual End Date]],"mmm-yy"))</f>
        <v/>
      </c>
    </row>
    <row r="432" spans="2:15">
      <c r="B432" s="64"/>
      <c r="C432" s="132"/>
      <c r="D432" s="132"/>
      <c r="E432" s="125"/>
      <c r="F432" s="125"/>
      <c r="G432" s="134"/>
      <c r="H432" s="141"/>
      <c r="I432" s="135"/>
      <c r="J432" s="132"/>
      <c r="K432" s="141"/>
      <c r="L432" s="135"/>
      <c r="M432" s="132"/>
      <c r="N432" s="127" t="str">
        <f>IF(ISNA(VLOOKUP(Table3[[#This Row],[Ticket]],Table1[],17,FALSE)),"",VLOOKUP(Table3[[#This Row],[Ticket]],Table1[],17,FALSE))</f>
        <v/>
      </c>
      <c r="O432" s="128" t="str">
        <f>IF(Table3[[#This Row],[Actual End Date]]="","",TEXT(Table3[[#This Row],[Actual End Date]],"mmm-yy"))</f>
        <v/>
      </c>
    </row>
    <row r="433" spans="2:15">
      <c r="B433" s="64"/>
      <c r="C433" s="136"/>
      <c r="D433" s="64"/>
      <c r="E433" s="125"/>
      <c r="F433" s="125"/>
      <c r="G433" s="123"/>
      <c r="H433" s="140"/>
      <c r="I433" s="139"/>
      <c r="J433" s="136"/>
      <c r="K433" s="140"/>
      <c r="L433" s="139"/>
      <c r="M433" s="64"/>
      <c r="N433" s="127" t="str">
        <f>IF(ISNA(VLOOKUP(Table3[[#This Row],[Ticket]],Table1[],17,FALSE)),"",VLOOKUP(Table3[[#This Row],[Ticket]],Table1[],17,FALSE))</f>
        <v/>
      </c>
      <c r="O433" s="128" t="str">
        <f>IF(Table3[[#This Row],[Actual End Date]]="","",TEXT(Table3[[#This Row],[Actual End Date]],"mmm-yy"))</f>
        <v/>
      </c>
    </row>
    <row r="434" spans="2:15">
      <c r="B434" s="64"/>
      <c r="C434" s="132"/>
      <c r="D434" s="64"/>
      <c r="E434" s="125"/>
      <c r="F434" s="125"/>
      <c r="G434" s="123"/>
      <c r="H434" s="141"/>
      <c r="I434" s="141"/>
      <c r="J434" s="132"/>
      <c r="K434" s="141"/>
      <c r="L434" s="135"/>
      <c r="M434" s="64"/>
      <c r="N434" s="127" t="str">
        <f>IF(ISNA(VLOOKUP(Table3[[#This Row],[Ticket]],Table1[],17,FALSE)),"",VLOOKUP(Table3[[#This Row],[Ticket]],Table1[],17,FALSE))</f>
        <v/>
      </c>
      <c r="O434" s="128" t="str">
        <f>IF(Table3[[#This Row],[Actual End Date]]="","",TEXT(Table3[[#This Row],[Actual End Date]],"mmm-yy"))</f>
        <v/>
      </c>
    </row>
    <row r="435" spans="2:15">
      <c r="B435" s="64"/>
      <c r="C435" s="136"/>
      <c r="D435" s="64"/>
      <c r="E435" s="125"/>
      <c r="F435" s="125"/>
      <c r="G435" s="123"/>
      <c r="H435" s="140"/>
      <c r="I435" s="140"/>
      <c r="J435" s="136"/>
      <c r="K435" s="140"/>
      <c r="L435" s="139"/>
      <c r="M435" s="64"/>
      <c r="N435" s="127" t="str">
        <f>IF(ISNA(VLOOKUP(Table3[[#This Row],[Ticket]],Table1[],17,FALSE)),"",VLOOKUP(Table3[[#This Row],[Ticket]],Table1[],17,FALSE))</f>
        <v/>
      </c>
      <c r="O435" s="128" t="str">
        <f>IF(Table3[[#This Row],[Actual End Date]]="","",TEXT(Table3[[#This Row],[Actual End Date]],"mmm-yy"))</f>
        <v/>
      </c>
    </row>
    <row r="436" spans="2:15">
      <c r="B436" s="64"/>
      <c r="C436" s="132"/>
      <c r="D436" s="64"/>
      <c r="E436" s="125"/>
      <c r="F436" s="125"/>
      <c r="G436" s="123"/>
      <c r="H436" s="141"/>
      <c r="I436" s="141"/>
      <c r="J436" s="132"/>
      <c r="K436" s="141"/>
      <c r="L436" s="135"/>
      <c r="M436" s="64"/>
      <c r="N436" s="127" t="str">
        <f>IF(ISNA(VLOOKUP(Table3[[#This Row],[Ticket]],Table1[],17,FALSE)),"",VLOOKUP(Table3[[#This Row],[Ticket]],Table1[],17,FALSE))</f>
        <v/>
      </c>
      <c r="O436" s="128" t="str">
        <f>IF(Table3[[#This Row],[Actual End Date]]="","",TEXT(Table3[[#This Row],[Actual End Date]],"mmm-yy"))</f>
        <v/>
      </c>
    </row>
    <row r="437" spans="2:15">
      <c r="B437" s="64"/>
      <c r="C437" s="136"/>
      <c r="D437" s="64"/>
      <c r="E437" s="125"/>
      <c r="F437" s="125"/>
      <c r="G437" s="123"/>
      <c r="H437" s="140"/>
      <c r="I437" s="140"/>
      <c r="J437" s="136"/>
      <c r="K437" s="140"/>
      <c r="L437" s="139"/>
      <c r="M437" s="64"/>
      <c r="N437" s="127" t="str">
        <f>IF(ISNA(VLOOKUP(Table3[[#This Row],[Ticket]],Table1[],17,FALSE)),"",VLOOKUP(Table3[[#This Row],[Ticket]],Table1[],17,FALSE))</f>
        <v/>
      </c>
      <c r="O437" s="128" t="str">
        <f>IF(Table3[[#This Row],[Actual End Date]]="","",TEXT(Table3[[#This Row],[Actual End Date]],"mmm-yy"))</f>
        <v/>
      </c>
    </row>
    <row r="438" spans="2:15">
      <c r="B438" s="64"/>
      <c r="C438" s="132"/>
      <c r="D438" s="64"/>
      <c r="E438" s="125"/>
      <c r="F438" s="125"/>
      <c r="G438" s="123"/>
      <c r="H438" s="141"/>
      <c r="I438" s="141"/>
      <c r="J438" s="141"/>
      <c r="K438" s="141"/>
      <c r="L438" s="135"/>
      <c r="M438" s="64"/>
      <c r="N438" s="127" t="str">
        <f>IF(ISNA(VLOOKUP(Table3[[#This Row],[Ticket]],Table1[],17,FALSE)),"",VLOOKUP(Table3[[#This Row],[Ticket]],Table1[],17,FALSE))</f>
        <v/>
      </c>
      <c r="O438" s="128" t="str">
        <f>IF(Table3[[#This Row],[Actual End Date]]="","",TEXT(Table3[[#This Row],[Actual End Date]],"mmm-yy"))</f>
        <v/>
      </c>
    </row>
    <row r="439" spans="2:15">
      <c r="B439" s="64"/>
      <c r="C439" s="136"/>
      <c r="D439" s="64"/>
      <c r="E439" s="125"/>
      <c r="F439" s="125"/>
      <c r="G439" s="123"/>
      <c r="H439" s="140"/>
      <c r="I439" s="140"/>
      <c r="J439" s="136"/>
      <c r="K439" s="140"/>
      <c r="L439" s="139"/>
      <c r="M439" s="64"/>
      <c r="N439" s="127" t="str">
        <f>IF(ISNA(VLOOKUP(Table3[[#This Row],[Ticket]],Table1[],17,FALSE)),"",VLOOKUP(Table3[[#This Row],[Ticket]],Table1[],17,FALSE))</f>
        <v/>
      </c>
      <c r="O439" s="128" t="str">
        <f>IF(Table3[[#This Row],[Actual End Date]]="","",TEXT(Table3[[#This Row],[Actual End Date]],"mmm-yy"))</f>
        <v/>
      </c>
    </row>
    <row r="440" spans="2:15">
      <c r="B440" s="64"/>
      <c r="C440" s="131"/>
      <c r="D440" s="64"/>
      <c r="E440" s="125"/>
      <c r="F440" s="125"/>
      <c r="G440" s="123"/>
      <c r="H440" s="141"/>
      <c r="I440" s="141"/>
      <c r="J440" s="132"/>
      <c r="K440" s="141"/>
      <c r="L440" s="135"/>
      <c r="M440" s="64"/>
      <c r="N440" s="127" t="str">
        <f>IF(ISNA(VLOOKUP(Table3[[#This Row],[Ticket]],Table1[],17,FALSE)),"",VLOOKUP(Table3[[#This Row],[Ticket]],Table1[],17,FALSE))</f>
        <v/>
      </c>
      <c r="O440" s="128" t="str">
        <f>IF(Table3[[#This Row],[Actual End Date]]="","",TEXT(Table3[[#This Row],[Actual End Date]],"mmm-yy"))</f>
        <v/>
      </c>
    </row>
    <row r="441" spans="2:15">
      <c r="B441" s="64"/>
      <c r="C441" s="131"/>
      <c r="D441" s="64"/>
      <c r="E441" s="125"/>
      <c r="F441" s="125"/>
      <c r="G441" s="123"/>
      <c r="H441" s="140"/>
      <c r="I441" s="140"/>
      <c r="J441" s="136"/>
      <c r="K441" s="140"/>
      <c r="L441" s="139"/>
      <c r="M441" s="64"/>
      <c r="N441" s="127" t="str">
        <f>IF(ISNA(VLOOKUP(Table3[[#This Row],[Ticket]],Table1[],17,FALSE)),"",VLOOKUP(Table3[[#This Row],[Ticket]],Table1[],17,FALSE))</f>
        <v/>
      </c>
      <c r="O441" s="128" t="str">
        <f>IF(Table3[[#This Row],[Actual End Date]]="","",TEXT(Table3[[#This Row],[Actual End Date]],"mmm-yy"))</f>
        <v/>
      </c>
    </row>
    <row r="442" spans="2:15">
      <c r="B442" s="64"/>
      <c r="C442" s="131"/>
      <c r="D442" s="64"/>
      <c r="E442" s="125"/>
      <c r="F442" s="125"/>
      <c r="G442" s="123"/>
      <c r="H442" s="141"/>
      <c r="I442" s="141"/>
      <c r="J442" s="132"/>
      <c r="K442" s="141"/>
      <c r="L442" s="135"/>
      <c r="M442" s="64"/>
      <c r="N442" s="127" t="str">
        <f>IF(ISNA(VLOOKUP(Table3[[#This Row],[Ticket]],Table1[],17,FALSE)),"",VLOOKUP(Table3[[#This Row],[Ticket]],Table1[],17,FALSE))</f>
        <v/>
      </c>
      <c r="O442" s="128" t="str">
        <f>IF(Table3[[#This Row],[Actual End Date]]="","",TEXT(Table3[[#This Row],[Actual End Date]],"mmm-yy"))</f>
        <v/>
      </c>
    </row>
    <row r="443" spans="2:15">
      <c r="B443" s="64"/>
      <c r="C443" s="131"/>
      <c r="D443" s="64"/>
      <c r="E443" s="125"/>
      <c r="F443" s="125"/>
      <c r="G443" s="123"/>
      <c r="H443" s="140"/>
      <c r="I443" s="140"/>
      <c r="J443" s="136"/>
      <c r="K443" s="140"/>
      <c r="L443" s="139"/>
      <c r="M443" s="64"/>
      <c r="N443" s="127" t="str">
        <f>IF(ISNA(VLOOKUP(Table3[[#This Row],[Ticket]],Table1[],17,FALSE)),"",VLOOKUP(Table3[[#This Row],[Ticket]],Table1[],17,FALSE))</f>
        <v/>
      </c>
      <c r="O443" s="128" t="str">
        <f>IF(Table3[[#This Row],[Actual End Date]]="","",TEXT(Table3[[#This Row],[Actual End Date]],"mmm-yy"))</f>
        <v/>
      </c>
    </row>
    <row r="444" spans="2:15">
      <c r="B444" s="64"/>
      <c r="C444" s="131"/>
      <c r="D444" s="64"/>
      <c r="E444" s="125"/>
      <c r="F444" s="125"/>
      <c r="G444" s="123"/>
      <c r="H444" s="141"/>
      <c r="I444" s="141"/>
      <c r="J444" s="132"/>
      <c r="K444" s="141"/>
      <c r="L444" s="135"/>
      <c r="M444" s="64"/>
      <c r="N444" s="127" t="str">
        <f>IF(ISNA(VLOOKUP(Table3[[#This Row],[Ticket]],Table1[],17,FALSE)),"",VLOOKUP(Table3[[#This Row],[Ticket]],Table1[],17,FALSE))</f>
        <v/>
      </c>
      <c r="O444" s="128" t="str">
        <f>IF(Table3[[#This Row],[Actual End Date]]="","",TEXT(Table3[[#This Row],[Actual End Date]],"mmm-yy"))</f>
        <v/>
      </c>
    </row>
    <row r="445" spans="2:15">
      <c r="B445" s="64"/>
      <c r="C445" s="131"/>
      <c r="D445" s="64"/>
      <c r="E445" s="125"/>
      <c r="F445" s="125"/>
      <c r="G445" s="123"/>
      <c r="H445" s="140"/>
      <c r="I445" s="140"/>
      <c r="J445" s="136"/>
      <c r="K445" s="140"/>
      <c r="L445" s="139"/>
      <c r="M445" s="64"/>
      <c r="N445" s="127" t="str">
        <f>IF(ISNA(VLOOKUP(Table3[[#This Row],[Ticket]],Table1[],17,FALSE)),"",VLOOKUP(Table3[[#This Row],[Ticket]],Table1[],17,FALSE))</f>
        <v/>
      </c>
      <c r="O445" s="128" t="str">
        <f>IF(Table3[[#This Row],[Actual End Date]]="","",TEXT(Table3[[#This Row],[Actual End Date]],"mmm-yy"))</f>
        <v/>
      </c>
    </row>
    <row r="446" spans="2:15">
      <c r="B446" s="64"/>
      <c r="C446" s="131"/>
      <c r="D446" s="64"/>
      <c r="E446" s="125"/>
      <c r="F446" s="125"/>
      <c r="G446" s="123"/>
      <c r="H446" s="141"/>
      <c r="I446" s="141"/>
      <c r="J446" s="132"/>
      <c r="K446" s="141"/>
      <c r="L446" s="135"/>
      <c r="M446" s="64"/>
      <c r="N446" s="127" t="str">
        <f>IF(ISNA(VLOOKUP(Table3[[#This Row],[Ticket]],Table1[],17,FALSE)),"",VLOOKUP(Table3[[#This Row],[Ticket]],Table1[],17,FALSE))</f>
        <v/>
      </c>
      <c r="O446" s="128" t="str">
        <f>IF(Table3[[#This Row],[Actual End Date]]="","",TEXT(Table3[[#This Row],[Actual End Date]],"mmm-yy"))</f>
        <v/>
      </c>
    </row>
    <row r="447" spans="2:15">
      <c r="B447" s="64"/>
      <c r="C447" s="131"/>
      <c r="D447" s="64"/>
      <c r="E447" s="125"/>
      <c r="F447" s="125"/>
      <c r="G447" s="123"/>
      <c r="H447" s="140"/>
      <c r="I447" s="140"/>
      <c r="J447" s="136"/>
      <c r="K447" s="140"/>
      <c r="L447" s="139"/>
      <c r="M447" s="64"/>
      <c r="N447" s="127" t="str">
        <f>IF(ISNA(VLOOKUP(Table3[[#This Row],[Ticket]],Table1[],17,FALSE)),"",VLOOKUP(Table3[[#This Row],[Ticket]],Table1[],17,FALSE))</f>
        <v/>
      </c>
      <c r="O447" s="128" t="str">
        <f>IF(Table3[[#This Row],[Actual End Date]]="","",TEXT(Table3[[#This Row],[Actual End Date]],"mmm-yy"))</f>
        <v/>
      </c>
    </row>
    <row r="448" spans="2:15">
      <c r="B448" s="64"/>
      <c r="C448" s="131"/>
      <c r="D448" s="64"/>
      <c r="E448" s="125"/>
      <c r="F448" s="125"/>
      <c r="G448" s="123"/>
      <c r="H448" s="141"/>
      <c r="I448" s="141"/>
      <c r="J448" s="132"/>
      <c r="K448" s="141"/>
      <c r="L448" s="135"/>
      <c r="M448" s="64"/>
      <c r="N448" s="127" t="str">
        <f>IF(ISNA(VLOOKUP(Table3[[#This Row],[Ticket]],Table1[],17,FALSE)),"",VLOOKUP(Table3[[#This Row],[Ticket]],Table1[],17,FALSE))</f>
        <v/>
      </c>
      <c r="O448" s="128" t="str">
        <f>IF(Table3[[#This Row],[Actual End Date]]="","",TEXT(Table3[[#This Row],[Actual End Date]],"mmm-yy"))</f>
        <v/>
      </c>
    </row>
    <row r="449" spans="2:15">
      <c r="B449" s="64"/>
      <c r="C449" s="136"/>
      <c r="D449" s="64"/>
      <c r="E449" s="125"/>
      <c r="F449" s="125"/>
      <c r="G449" s="123"/>
      <c r="H449" s="140"/>
      <c r="I449" s="140"/>
      <c r="J449" s="136"/>
      <c r="K449" s="140"/>
      <c r="L449" s="139"/>
      <c r="M449" s="64"/>
      <c r="N449" s="127" t="str">
        <f>IF(ISNA(VLOOKUP(Table3[[#This Row],[Ticket]],Table1[],17,FALSE)),"",VLOOKUP(Table3[[#This Row],[Ticket]],Table1[],17,FALSE))</f>
        <v/>
      </c>
      <c r="O449" s="128" t="str">
        <f>IF(Table3[[#This Row],[Actual End Date]]="","",TEXT(Table3[[#This Row],[Actual End Date]],"mmm-yy"))</f>
        <v/>
      </c>
    </row>
    <row r="450" spans="2:15">
      <c r="B450" s="64"/>
      <c r="C450" s="132"/>
      <c r="D450" s="64"/>
      <c r="E450" s="125"/>
      <c r="F450" s="125"/>
      <c r="G450" s="123"/>
      <c r="H450" s="141"/>
      <c r="I450" s="141"/>
      <c r="J450" s="132"/>
      <c r="K450" s="141"/>
      <c r="L450" s="135"/>
      <c r="M450" s="64"/>
      <c r="N450" s="127" t="str">
        <f>IF(ISNA(VLOOKUP(Table3[[#This Row],[Ticket]],Table1[],17,FALSE)),"",VLOOKUP(Table3[[#This Row],[Ticket]],Table1[],17,FALSE))</f>
        <v/>
      </c>
      <c r="O450" s="128" t="str">
        <f>IF(Table3[[#This Row],[Actual End Date]]="","",TEXT(Table3[[#This Row],[Actual End Date]],"mmm-yy"))</f>
        <v/>
      </c>
    </row>
    <row r="451" spans="2:15">
      <c r="B451" s="64"/>
      <c r="C451" s="136"/>
      <c r="D451" s="64"/>
      <c r="E451" s="125"/>
      <c r="F451" s="125"/>
      <c r="G451" s="123"/>
      <c r="H451" s="140"/>
      <c r="I451" s="140"/>
      <c r="J451" s="136"/>
      <c r="K451" s="140"/>
      <c r="L451" s="139"/>
      <c r="M451" s="64"/>
      <c r="N451" s="127" t="str">
        <f>IF(ISNA(VLOOKUP(Table3[[#This Row],[Ticket]],Table1[],17,FALSE)),"",VLOOKUP(Table3[[#This Row],[Ticket]],Table1[],17,FALSE))</f>
        <v/>
      </c>
      <c r="O451" s="128" t="str">
        <f>IF(Table3[[#This Row],[Actual End Date]]="","",TEXT(Table3[[#This Row],[Actual End Date]],"mmm-yy"))</f>
        <v/>
      </c>
    </row>
    <row r="452" spans="2:15">
      <c r="B452" s="64"/>
      <c r="C452" s="132"/>
      <c r="D452" s="64"/>
      <c r="E452" s="125"/>
      <c r="F452" s="125"/>
      <c r="G452" s="123"/>
      <c r="H452" s="141"/>
      <c r="I452" s="141"/>
      <c r="J452" s="132"/>
      <c r="K452" s="141"/>
      <c r="L452" s="135"/>
      <c r="M452" s="64"/>
      <c r="N452" s="127" t="str">
        <f>IF(ISNA(VLOOKUP(Table3[[#This Row],[Ticket]],Table1[],17,FALSE)),"",VLOOKUP(Table3[[#This Row],[Ticket]],Table1[],17,FALSE))</f>
        <v/>
      </c>
      <c r="O452" s="128" t="str">
        <f>IF(Table3[[#This Row],[Actual End Date]]="","",TEXT(Table3[[#This Row],[Actual End Date]],"mmm-yy"))</f>
        <v/>
      </c>
    </row>
    <row r="453" spans="2:15">
      <c r="B453" s="64"/>
      <c r="C453" s="136"/>
      <c r="D453" s="64"/>
      <c r="E453" s="125"/>
      <c r="F453" s="125"/>
      <c r="G453" s="123"/>
      <c r="H453" s="140"/>
      <c r="I453" s="140"/>
      <c r="J453" s="136"/>
      <c r="K453" s="140"/>
      <c r="L453" s="139"/>
      <c r="M453" s="64"/>
      <c r="N453" s="127" t="str">
        <f>IF(ISNA(VLOOKUP(Table3[[#This Row],[Ticket]],Table1[],17,FALSE)),"",VLOOKUP(Table3[[#This Row],[Ticket]],Table1[],17,FALSE))</f>
        <v/>
      </c>
      <c r="O453" s="128" t="str">
        <f>IF(Table3[[#This Row],[Actual End Date]]="","",TEXT(Table3[[#This Row],[Actual End Date]],"mmm-yy"))</f>
        <v/>
      </c>
    </row>
    <row r="454" spans="2:15">
      <c r="B454" s="64"/>
      <c r="C454" s="132"/>
      <c r="D454" s="64"/>
      <c r="E454" s="125"/>
      <c r="F454" s="125"/>
      <c r="G454" s="123"/>
      <c r="H454" s="141"/>
      <c r="I454" s="141"/>
      <c r="J454" s="132"/>
      <c r="K454" s="141"/>
      <c r="L454" s="135"/>
      <c r="M454" s="64"/>
      <c r="N454" s="127" t="str">
        <f>IF(ISNA(VLOOKUP(Table3[[#This Row],[Ticket]],Table1[],17,FALSE)),"",VLOOKUP(Table3[[#This Row],[Ticket]],Table1[],17,FALSE))</f>
        <v/>
      </c>
      <c r="O454" s="128" t="str">
        <f>IF(Table3[[#This Row],[Actual End Date]]="","",TEXT(Table3[[#This Row],[Actual End Date]],"mmm-yy"))</f>
        <v/>
      </c>
    </row>
    <row r="455" spans="2:15">
      <c r="B455" s="64"/>
      <c r="C455" s="136"/>
      <c r="D455" s="64"/>
      <c r="E455" s="125"/>
      <c r="F455" s="125"/>
      <c r="G455" s="123"/>
      <c r="H455" s="140"/>
      <c r="I455" s="140"/>
      <c r="J455" s="136"/>
      <c r="K455" s="140"/>
      <c r="L455" s="139"/>
      <c r="M455" s="64"/>
      <c r="N455" s="127" t="str">
        <f>IF(ISNA(VLOOKUP(Table3[[#This Row],[Ticket]],Table1[],17,FALSE)),"",VLOOKUP(Table3[[#This Row],[Ticket]],Table1[],17,FALSE))</f>
        <v/>
      </c>
      <c r="O455" s="128" t="str">
        <f>IF(Table3[[#This Row],[Actual End Date]]="","",TEXT(Table3[[#This Row],[Actual End Date]],"mmm-yy"))</f>
        <v/>
      </c>
    </row>
    <row r="456" spans="2:15">
      <c r="B456" s="64"/>
      <c r="C456" s="132"/>
      <c r="D456" s="64"/>
      <c r="E456" s="125"/>
      <c r="F456" s="125"/>
      <c r="G456" s="123"/>
      <c r="H456" s="141"/>
      <c r="I456" s="141"/>
      <c r="J456" s="132"/>
      <c r="K456" s="141"/>
      <c r="L456" s="135"/>
      <c r="M456" s="64"/>
      <c r="N456" s="127" t="str">
        <f>IF(ISNA(VLOOKUP(Table3[[#This Row],[Ticket]],Table1[],17,FALSE)),"",VLOOKUP(Table3[[#This Row],[Ticket]],Table1[],17,FALSE))</f>
        <v/>
      </c>
      <c r="O456" s="128" t="str">
        <f>IF(Table3[[#This Row],[Actual End Date]]="","",TEXT(Table3[[#This Row],[Actual End Date]],"mmm-yy"))</f>
        <v/>
      </c>
    </row>
    <row r="457" spans="2:15">
      <c r="B457" s="64"/>
      <c r="C457" s="136"/>
      <c r="D457" s="64"/>
      <c r="E457" s="125"/>
      <c r="F457" s="125"/>
      <c r="G457" s="123"/>
      <c r="H457" s="140"/>
      <c r="I457" s="140"/>
      <c r="J457" s="136"/>
      <c r="K457" s="140"/>
      <c r="L457" s="139"/>
      <c r="M457" s="64"/>
      <c r="N457" s="127" t="str">
        <f>IF(ISNA(VLOOKUP(Table3[[#This Row],[Ticket]],Table1[],17,FALSE)),"",VLOOKUP(Table3[[#This Row],[Ticket]],Table1[],17,FALSE))</f>
        <v/>
      </c>
      <c r="O457" s="128" t="str">
        <f>IF(Table3[[#This Row],[Actual End Date]]="","",TEXT(Table3[[#This Row],[Actual End Date]],"mmm-yy"))</f>
        <v/>
      </c>
    </row>
    <row r="458" spans="2:15">
      <c r="B458" s="64"/>
      <c r="C458" s="132"/>
      <c r="D458" s="64"/>
      <c r="E458" s="125"/>
      <c r="F458" s="125"/>
      <c r="G458" s="123"/>
      <c r="H458" s="141"/>
      <c r="I458" s="141"/>
      <c r="J458" s="132"/>
      <c r="K458" s="141"/>
      <c r="L458" s="135"/>
      <c r="M458" s="64"/>
      <c r="N458" s="127" t="str">
        <f>IF(ISNA(VLOOKUP(Table3[[#This Row],[Ticket]],Table1[],17,FALSE)),"",VLOOKUP(Table3[[#This Row],[Ticket]],Table1[],17,FALSE))</f>
        <v/>
      </c>
      <c r="O458" s="128" t="str">
        <f>IF(Table3[[#This Row],[Actual End Date]]="","",TEXT(Table3[[#This Row],[Actual End Date]],"mmm-yy"))</f>
        <v/>
      </c>
    </row>
    <row r="459" spans="2:15">
      <c r="B459" s="64"/>
      <c r="C459" s="136"/>
      <c r="D459" s="64"/>
      <c r="E459" s="125"/>
      <c r="F459" s="125"/>
      <c r="G459" s="123"/>
      <c r="H459" s="140"/>
      <c r="I459" s="140"/>
      <c r="J459" s="136"/>
      <c r="K459" s="140"/>
      <c r="L459" s="139"/>
      <c r="M459" s="64"/>
      <c r="N459" s="127" t="str">
        <f>IF(ISNA(VLOOKUP(Table3[[#This Row],[Ticket]],Table1[],17,FALSE)),"",VLOOKUP(Table3[[#This Row],[Ticket]],Table1[],17,FALSE))</f>
        <v/>
      </c>
      <c r="O459" s="128" t="str">
        <f>IF(Table3[[#This Row],[Actual End Date]]="","",TEXT(Table3[[#This Row],[Actual End Date]],"mmm-yy"))</f>
        <v/>
      </c>
    </row>
    <row r="460" spans="2:15">
      <c r="B460" s="64"/>
      <c r="C460" s="132"/>
      <c r="D460" s="64"/>
      <c r="E460" s="125"/>
      <c r="F460" s="125"/>
      <c r="G460" s="123"/>
      <c r="H460" s="141"/>
      <c r="I460" s="141"/>
      <c r="J460" s="132"/>
      <c r="K460" s="141"/>
      <c r="L460" s="135"/>
      <c r="M460" s="64"/>
      <c r="N460" s="127" t="str">
        <f>IF(ISNA(VLOOKUP(Table3[[#This Row],[Ticket]],Table1[],17,FALSE)),"",VLOOKUP(Table3[[#This Row],[Ticket]],Table1[],17,FALSE))</f>
        <v/>
      </c>
      <c r="O460" s="128" t="str">
        <f>IF(Table3[[#This Row],[Actual End Date]]="","",TEXT(Table3[[#This Row],[Actual End Date]],"mmm-yy"))</f>
        <v/>
      </c>
    </row>
    <row r="461" spans="2:15">
      <c r="B461" s="64"/>
      <c r="C461" s="136"/>
      <c r="D461" s="64"/>
      <c r="E461" s="125"/>
      <c r="F461" s="125"/>
      <c r="G461" s="123"/>
      <c r="H461" s="140"/>
      <c r="I461" s="140"/>
      <c r="J461" s="136"/>
      <c r="K461" s="140"/>
      <c r="L461" s="139"/>
      <c r="M461" s="64"/>
      <c r="N461" s="127" t="str">
        <f>IF(ISNA(VLOOKUP(Table3[[#This Row],[Ticket]],Table1[],17,FALSE)),"",VLOOKUP(Table3[[#This Row],[Ticket]],Table1[],17,FALSE))</f>
        <v/>
      </c>
      <c r="O461" s="128" t="str">
        <f>IF(Table3[[#This Row],[Actual End Date]]="","",TEXT(Table3[[#This Row],[Actual End Date]],"mmm-yy"))</f>
        <v/>
      </c>
    </row>
    <row r="462" spans="2:15">
      <c r="B462" s="64"/>
      <c r="C462" s="132"/>
      <c r="D462" s="64"/>
      <c r="E462" s="125"/>
      <c r="F462" s="125"/>
      <c r="G462" s="123"/>
      <c r="H462" s="141"/>
      <c r="I462" s="141"/>
      <c r="J462" s="132"/>
      <c r="K462" s="141"/>
      <c r="L462" s="135"/>
      <c r="M462" s="64"/>
      <c r="N462" s="127" t="str">
        <f>IF(ISNA(VLOOKUP(Table3[[#This Row],[Ticket]],Table1[],17,FALSE)),"",VLOOKUP(Table3[[#This Row],[Ticket]],Table1[],17,FALSE))</f>
        <v/>
      </c>
      <c r="O462" s="128" t="str">
        <f>IF(Table3[[#This Row],[Actual End Date]]="","",TEXT(Table3[[#This Row],[Actual End Date]],"mmm-yy"))</f>
        <v/>
      </c>
    </row>
    <row r="463" spans="2:15">
      <c r="B463" s="64"/>
      <c r="C463" s="136"/>
      <c r="D463" s="64"/>
      <c r="E463" s="125"/>
      <c r="F463" s="125"/>
      <c r="G463" s="123"/>
      <c r="H463" s="140"/>
      <c r="I463" s="140"/>
      <c r="J463" s="136"/>
      <c r="K463" s="140"/>
      <c r="L463" s="140"/>
      <c r="M463" s="64"/>
      <c r="N463" s="127" t="str">
        <f>IF(ISNA(VLOOKUP(Table3[[#This Row],[Ticket]],Table1[],17,FALSE)),"",VLOOKUP(Table3[[#This Row],[Ticket]],Table1[],17,FALSE))</f>
        <v/>
      </c>
      <c r="O463" s="128" t="str">
        <f>IF(Table3[[#This Row],[Actual End Date]]="","",TEXT(Table3[[#This Row],[Actual End Date]],"mmm-yy"))</f>
        <v/>
      </c>
    </row>
    <row r="464" spans="2:15">
      <c r="B464" s="64"/>
      <c r="C464" s="132"/>
      <c r="D464" s="64"/>
      <c r="E464" s="125"/>
      <c r="F464" s="125"/>
      <c r="G464" s="123"/>
      <c r="H464" s="141"/>
      <c r="I464" s="141"/>
      <c r="J464" s="132"/>
      <c r="K464" s="141"/>
      <c r="L464" s="141"/>
      <c r="M464" s="64"/>
      <c r="N464" s="127" t="str">
        <f>IF(ISNA(VLOOKUP(Table3[[#This Row],[Ticket]],Table1[],17,FALSE)),"",VLOOKUP(Table3[[#This Row],[Ticket]],Table1[],17,FALSE))</f>
        <v/>
      </c>
      <c r="O464" s="128" t="str">
        <f>IF(Table3[[#This Row],[Actual End Date]]="","",TEXT(Table3[[#This Row],[Actual End Date]],"mmm-yy"))</f>
        <v/>
      </c>
    </row>
    <row r="465" spans="2:15">
      <c r="B465" s="64"/>
      <c r="C465" s="136"/>
      <c r="D465" s="64"/>
      <c r="E465" s="125"/>
      <c r="F465" s="125"/>
      <c r="G465" s="123"/>
      <c r="H465" s="140"/>
      <c r="I465" s="140"/>
      <c r="J465" s="136"/>
      <c r="K465" s="140"/>
      <c r="L465" s="140"/>
      <c r="M465" s="64"/>
      <c r="N465" s="127" t="str">
        <f>IF(ISNA(VLOOKUP(Table3[[#This Row],[Ticket]],Table1[],17,FALSE)),"",VLOOKUP(Table3[[#This Row],[Ticket]],Table1[],17,FALSE))</f>
        <v/>
      </c>
      <c r="O465" s="128" t="str">
        <f>IF(Table3[[#This Row],[Actual End Date]]="","",TEXT(Table3[[#This Row],[Actual End Date]],"mmm-yy"))</f>
        <v/>
      </c>
    </row>
    <row r="466" spans="2:15">
      <c r="B466" s="64"/>
      <c r="C466" s="132"/>
      <c r="D466" s="64"/>
      <c r="E466" s="125"/>
      <c r="F466" s="125"/>
      <c r="G466" s="123"/>
      <c r="H466" s="141"/>
      <c r="I466" s="141"/>
      <c r="J466" s="132"/>
      <c r="K466" s="141"/>
      <c r="L466" s="141"/>
      <c r="M466" s="64"/>
      <c r="N466" s="127" t="str">
        <f>IF(ISNA(VLOOKUP(Table3[[#This Row],[Ticket]],Table1[],17,FALSE)),"",VLOOKUP(Table3[[#This Row],[Ticket]],Table1[],17,FALSE))</f>
        <v/>
      </c>
      <c r="O466" s="128" t="str">
        <f>IF(Table3[[#This Row],[Actual End Date]]="","",TEXT(Table3[[#This Row],[Actual End Date]],"mmm-yy"))</f>
        <v/>
      </c>
    </row>
    <row r="467" spans="2:15">
      <c r="B467" s="64"/>
      <c r="C467" s="136"/>
      <c r="D467" s="64"/>
      <c r="E467" s="125"/>
      <c r="F467" s="125"/>
      <c r="G467" s="123"/>
      <c r="H467" s="140"/>
      <c r="I467" s="140"/>
      <c r="J467" s="136"/>
      <c r="K467" s="140"/>
      <c r="L467" s="140"/>
      <c r="M467" s="64"/>
      <c r="N467" s="127" t="str">
        <f>IF(ISNA(VLOOKUP(Table3[[#This Row],[Ticket]],Table1[],17,FALSE)),"",VLOOKUP(Table3[[#This Row],[Ticket]],Table1[],17,FALSE))</f>
        <v/>
      </c>
      <c r="O467" s="128" t="str">
        <f>IF(Table3[[#This Row],[Actual End Date]]="","",TEXT(Table3[[#This Row],[Actual End Date]],"mmm-yy"))</f>
        <v/>
      </c>
    </row>
    <row r="468" spans="2:15">
      <c r="B468" s="64"/>
      <c r="C468" s="132"/>
      <c r="D468" s="64"/>
      <c r="E468" s="125"/>
      <c r="F468" s="125"/>
      <c r="G468" s="123"/>
      <c r="H468" s="141"/>
      <c r="I468" s="141"/>
      <c r="J468" s="132"/>
      <c r="K468" s="141"/>
      <c r="L468" s="141"/>
      <c r="M468" s="64"/>
      <c r="N468" s="127" t="str">
        <f>IF(ISNA(VLOOKUP(Table3[[#This Row],[Ticket]],Table1[],17,FALSE)),"",VLOOKUP(Table3[[#This Row],[Ticket]],Table1[],17,FALSE))</f>
        <v/>
      </c>
      <c r="O468" s="128" t="str">
        <f>IF(Table3[[#This Row],[Actual End Date]]="","",TEXT(Table3[[#This Row],[Actual End Date]],"mmm-yy"))</f>
        <v/>
      </c>
    </row>
    <row r="469" spans="2:15">
      <c r="B469" s="64"/>
      <c r="C469" s="136"/>
      <c r="D469" s="64"/>
      <c r="E469" s="125"/>
      <c r="F469" s="125"/>
      <c r="G469" s="123"/>
      <c r="H469" s="140"/>
      <c r="I469" s="140"/>
      <c r="J469" s="136"/>
      <c r="K469" s="140"/>
      <c r="L469" s="140"/>
      <c r="M469" s="64"/>
      <c r="N469" s="127" t="str">
        <f>IF(ISNA(VLOOKUP(Table3[[#This Row],[Ticket]],Table1[],17,FALSE)),"",VLOOKUP(Table3[[#This Row],[Ticket]],Table1[],17,FALSE))</f>
        <v/>
      </c>
      <c r="O469" s="128" t="str">
        <f>IF(Table3[[#This Row],[Actual End Date]]="","",TEXT(Table3[[#This Row],[Actual End Date]],"mmm-yy"))</f>
        <v/>
      </c>
    </row>
    <row r="470" spans="2:15">
      <c r="B470" s="64"/>
      <c r="C470" s="132"/>
      <c r="D470" s="64"/>
      <c r="E470" s="125"/>
      <c r="F470" s="125"/>
      <c r="G470" s="123"/>
      <c r="H470" s="141"/>
      <c r="I470" s="141"/>
      <c r="J470" s="64"/>
      <c r="K470" s="141"/>
      <c r="L470" s="141"/>
      <c r="M470" s="64"/>
      <c r="N470" s="127" t="str">
        <f>IF(ISNA(VLOOKUP(Table3[[#This Row],[Ticket]],Table1[],17,FALSE)),"",VLOOKUP(Table3[[#This Row],[Ticket]],Table1[],17,FALSE))</f>
        <v/>
      </c>
      <c r="O470" s="128" t="str">
        <f>IF(Table3[[#This Row],[Actual End Date]]="","",TEXT(Table3[[#This Row],[Actual End Date]],"mmm-yy"))</f>
        <v/>
      </c>
    </row>
    <row r="471" spans="2:15">
      <c r="B471" s="64"/>
      <c r="C471" s="136"/>
      <c r="D471" s="64"/>
      <c r="E471" s="125"/>
      <c r="F471" s="125"/>
      <c r="G471" s="123"/>
      <c r="H471" s="140"/>
      <c r="I471" s="140"/>
      <c r="J471" s="64"/>
      <c r="K471" s="140"/>
      <c r="L471" s="140"/>
      <c r="M471" s="64"/>
      <c r="N471" s="127" t="str">
        <f>IF(ISNA(VLOOKUP(Table3[[#This Row],[Ticket]],Table1[],17,FALSE)),"",VLOOKUP(Table3[[#This Row],[Ticket]],Table1[],17,FALSE))</f>
        <v/>
      </c>
      <c r="O471" s="128" t="str">
        <f>IF(Table3[[#This Row],[Actual End Date]]="","",TEXT(Table3[[#This Row],[Actual End Date]],"mmm-yy"))</f>
        <v/>
      </c>
    </row>
    <row r="472" spans="2:15">
      <c r="B472" s="64"/>
      <c r="C472" s="132"/>
      <c r="D472" s="64"/>
      <c r="E472" s="125"/>
      <c r="F472" s="125"/>
      <c r="G472" s="123"/>
      <c r="H472" s="141"/>
      <c r="I472" s="141"/>
      <c r="J472" s="64"/>
      <c r="K472" s="141"/>
      <c r="L472" s="141"/>
      <c r="M472" s="64"/>
      <c r="N472" s="127" t="str">
        <f>IF(ISNA(VLOOKUP(Table3[[#This Row],[Ticket]],Table1[],17,FALSE)),"",VLOOKUP(Table3[[#This Row],[Ticket]],Table1[],17,FALSE))</f>
        <v/>
      </c>
      <c r="O472" s="128" t="str">
        <f>IF(Table3[[#This Row],[Actual End Date]]="","",TEXT(Table3[[#This Row],[Actual End Date]],"mmm-yy"))</f>
        <v/>
      </c>
    </row>
    <row r="473" spans="2:15">
      <c r="B473" s="64"/>
      <c r="C473" s="136"/>
      <c r="D473" s="64"/>
      <c r="E473" s="125"/>
      <c r="F473" s="125"/>
      <c r="G473" s="123"/>
      <c r="H473" s="140"/>
      <c r="I473" s="140"/>
      <c r="J473" s="136"/>
      <c r="K473" s="140"/>
      <c r="L473" s="140"/>
      <c r="M473" s="64"/>
      <c r="N473" s="127" t="str">
        <f>IF(ISNA(VLOOKUP(Table3[[#This Row],[Ticket]],Table1[],17,FALSE)),"",VLOOKUP(Table3[[#This Row],[Ticket]],Table1[],17,FALSE))</f>
        <v/>
      </c>
      <c r="O473" s="128" t="str">
        <f>IF(Table3[[#This Row],[Actual End Date]]="","",TEXT(Table3[[#This Row],[Actual End Date]],"mmm-yy"))</f>
        <v/>
      </c>
    </row>
    <row r="474" spans="2:15">
      <c r="B474" s="64"/>
      <c r="C474" s="132"/>
      <c r="D474" s="64"/>
      <c r="E474" s="125"/>
      <c r="F474" s="125"/>
      <c r="G474" s="123"/>
      <c r="H474" s="141"/>
      <c r="I474" s="141"/>
      <c r="J474" s="64"/>
      <c r="K474" s="141"/>
      <c r="L474" s="141"/>
      <c r="M474" s="64"/>
      <c r="N474" s="127" t="str">
        <f>IF(ISNA(VLOOKUP(Table3[[#This Row],[Ticket]],Table1[],17,FALSE)),"",VLOOKUP(Table3[[#This Row],[Ticket]],Table1[],17,FALSE))</f>
        <v/>
      </c>
      <c r="O474" s="128" t="str">
        <f>IF(Table3[[#This Row],[Actual End Date]]="","",TEXT(Table3[[#This Row],[Actual End Date]],"mmm-yy"))</f>
        <v/>
      </c>
    </row>
    <row r="475" spans="2:15">
      <c r="B475" s="64"/>
      <c r="C475" s="136"/>
      <c r="D475" s="64"/>
      <c r="E475" s="125"/>
      <c r="F475" s="125"/>
      <c r="G475" s="123"/>
      <c r="H475" s="140"/>
      <c r="I475" s="140"/>
      <c r="J475" s="136"/>
      <c r="K475" s="140"/>
      <c r="L475" s="140"/>
      <c r="M475" s="64"/>
      <c r="N475" s="127" t="str">
        <f>IF(ISNA(VLOOKUP(Table3[[#This Row],[Ticket]],Table1[],17,FALSE)),"",VLOOKUP(Table3[[#This Row],[Ticket]],Table1[],17,FALSE))</f>
        <v/>
      </c>
      <c r="O475" s="128" t="str">
        <f>IF(Table3[[#This Row],[Actual End Date]]="","",TEXT(Table3[[#This Row],[Actual End Date]],"mmm-yy"))</f>
        <v/>
      </c>
    </row>
    <row r="476" spans="2:15">
      <c r="B476" s="64"/>
      <c r="C476" s="132"/>
      <c r="D476" s="64"/>
      <c r="E476" s="125"/>
      <c r="F476" s="125"/>
      <c r="G476" s="123"/>
      <c r="H476" s="141"/>
      <c r="I476" s="141"/>
      <c r="J476" s="64"/>
      <c r="K476" s="141"/>
      <c r="L476" s="141"/>
      <c r="M476" s="64"/>
      <c r="N476" s="127" t="str">
        <f>IF(ISNA(VLOOKUP(Table3[[#This Row],[Ticket]],Table1[],17,FALSE)),"",VLOOKUP(Table3[[#This Row],[Ticket]],Table1[],17,FALSE))</f>
        <v/>
      </c>
      <c r="O476" s="128" t="str">
        <f>IF(Table3[[#This Row],[Actual End Date]]="","",TEXT(Table3[[#This Row],[Actual End Date]],"mmm-yy"))</f>
        <v/>
      </c>
    </row>
    <row r="477" spans="2:15">
      <c r="B477" s="64"/>
      <c r="C477" s="136"/>
      <c r="D477" s="64"/>
      <c r="E477" s="125"/>
      <c r="F477" s="125"/>
      <c r="G477" s="123"/>
      <c r="H477" s="140"/>
      <c r="I477" s="140"/>
      <c r="J477" s="136"/>
      <c r="K477" s="140"/>
      <c r="L477" s="140"/>
      <c r="M477" s="64"/>
      <c r="N477" s="127" t="str">
        <f>IF(ISNA(VLOOKUP(Table3[[#This Row],[Ticket]],Table1[],17,FALSE)),"",VLOOKUP(Table3[[#This Row],[Ticket]],Table1[],17,FALSE))</f>
        <v/>
      </c>
      <c r="O477" s="128" t="str">
        <f>IF(Table3[[#This Row],[Actual End Date]]="","",TEXT(Table3[[#This Row],[Actual End Date]],"mmm-yy"))</f>
        <v/>
      </c>
    </row>
    <row r="478" spans="2:15">
      <c r="B478" s="64"/>
      <c r="C478" s="132"/>
      <c r="D478" s="64"/>
      <c r="E478" s="125"/>
      <c r="F478" s="125"/>
      <c r="G478" s="123"/>
      <c r="H478" s="141"/>
      <c r="I478" s="141"/>
      <c r="J478" s="64"/>
      <c r="K478" s="141"/>
      <c r="L478" s="141"/>
      <c r="M478" s="64"/>
      <c r="N478" s="127" t="str">
        <f>IF(ISNA(VLOOKUP(Table3[[#This Row],[Ticket]],Table1[],17,FALSE)),"",VLOOKUP(Table3[[#This Row],[Ticket]],Table1[],17,FALSE))</f>
        <v/>
      </c>
      <c r="O478" s="128" t="str">
        <f>IF(Table3[[#This Row],[Actual End Date]]="","",TEXT(Table3[[#This Row],[Actual End Date]],"mmm-yy"))</f>
        <v/>
      </c>
    </row>
    <row r="479" spans="2:15">
      <c r="B479" s="64"/>
      <c r="C479" s="136"/>
      <c r="D479" s="64"/>
      <c r="E479" s="125"/>
      <c r="F479" s="125"/>
      <c r="G479" s="123"/>
      <c r="H479" s="140"/>
      <c r="I479" s="140"/>
      <c r="J479" s="136"/>
      <c r="K479" s="140"/>
      <c r="L479" s="140"/>
      <c r="M479" s="64"/>
      <c r="N479" s="127" t="str">
        <f>IF(ISNA(VLOOKUP(Table3[[#This Row],[Ticket]],Table1[],17,FALSE)),"",VLOOKUP(Table3[[#This Row],[Ticket]],Table1[],17,FALSE))</f>
        <v/>
      </c>
      <c r="O479" s="128" t="str">
        <f>IF(Table3[[#This Row],[Actual End Date]]="","",TEXT(Table3[[#This Row],[Actual End Date]],"mmm-yy"))</f>
        <v/>
      </c>
    </row>
    <row r="480" spans="2:15">
      <c r="B480" s="64"/>
      <c r="C480" s="132"/>
      <c r="D480" s="64"/>
      <c r="E480" s="125"/>
      <c r="F480" s="125"/>
      <c r="G480" s="123"/>
      <c r="H480" s="141"/>
      <c r="I480" s="141"/>
      <c r="J480" s="64"/>
      <c r="K480" s="141"/>
      <c r="L480" s="141"/>
      <c r="M480" s="64"/>
      <c r="N480" s="127" t="str">
        <f>IF(ISNA(VLOOKUP(Table3[[#This Row],[Ticket]],Table1[],17,FALSE)),"",VLOOKUP(Table3[[#This Row],[Ticket]],Table1[],17,FALSE))</f>
        <v/>
      </c>
      <c r="O480" s="128" t="str">
        <f>IF(Table3[[#This Row],[Actual End Date]]="","",TEXT(Table3[[#This Row],[Actual End Date]],"mmm-yy"))</f>
        <v/>
      </c>
    </row>
    <row r="481" spans="2:15">
      <c r="B481" s="64"/>
      <c r="C481" s="136"/>
      <c r="D481" s="64"/>
      <c r="E481" s="125"/>
      <c r="F481" s="125"/>
      <c r="G481" s="123"/>
      <c r="H481" s="140"/>
      <c r="I481" s="140"/>
      <c r="J481" s="136"/>
      <c r="K481" s="140"/>
      <c r="L481" s="140"/>
      <c r="M481" s="64"/>
      <c r="N481" s="127" t="str">
        <f>IF(ISNA(VLOOKUP(Table3[[#This Row],[Ticket]],Table1[],17,FALSE)),"",VLOOKUP(Table3[[#This Row],[Ticket]],Table1[],17,FALSE))</f>
        <v/>
      </c>
      <c r="O481" s="128" t="str">
        <f>IF(Table3[[#This Row],[Actual End Date]]="","",TEXT(Table3[[#This Row],[Actual End Date]],"mmm-yy"))</f>
        <v/>
      </c>
    </row>
    <row r="482" spans="2:15">
      <c r="B482" s="64"/>
      <c r="C482" s="132"/>
      <c r="D482" s="64"/>
      <c r="E482" s="125"/>
      <c r="F482" s="125"/>
      <c r="G482" s="123"/>
      <c r="H482" s="141"/>
      <c r="I482" s="141"/>
      <c r="J482" s="64"/>
      <c r="K482" s="141"/>
      <c r="L482" s="141"/>
      <c r="M482" s="64"/>
      <c r="N482" s="127" t="str">
        <f>IF(ISNA(VLOOKUP(Table3[[#This Row],[Ticket]],Table1[],17,FALSE)),"",VLOOKUP(Table3[[#This Row],[Ticket]],Table1[],17,FALSE))</f>
        <v/>
      </c>
      <c r="O482" s="128" t="str">
        <f>IF(Table3[[#This Row],[Actual End Date]]="","",TEXT(Table3[[#This Row],[Actual End Date]],"mmm-yy"))</f>
        <v/>
      </c>
    </row>
    <row r="483" spans="2:15">
      <c r="B483" s="64"/>
      <c r="C483" s="136"/>
      <c r="D483" s="64"/>
      <c r="E483" s="125"/>
      <c r="F483" s="125"/>
      <c r="G483" s="123"/>
      <c r="H483" s="140"/>
      <c r="I483" s="140"/>
      <c r="J483" s="136"/>
      <c r="K483" s="140"/>
      <c r="L483" s="140"/>
      <c r="M483" s="64"/>
      <c r="N483" s="127" t="str">
        <f>IF(ISNA(VLOOKUP(Table3[[#This Row],[Ticket]],Table1[],17,FALSE)),"",VLOOKUP(Table3[[#This Row],[Ticket]],Table1[],17,FALSE))</f>
        <v/>
      </c>
      <c r="O483" s="128" t="str">
        <f>IF(Table3[[#This Row],[Actual End Date]]="","",TEXT(Table3[[#This Row],[Actual End Date]],"mmm-yy"))</f>
        <v/>
      </c>
    </row>
    <row r="484" spans="2:15">
      <c r="B484" s="64"/>
      <c r="C484" s="132"/>
      <c r="D484" s="64"/>
      <c r="E484" s="125"/>
      <c r="F484" s="125"/>
      <c r="G484" s="123"/>
      <c r="H484" s="141"/>
      <c r="I484" s="141"/>
      <c r="J484" s="64"/>
      <c r="K484" s="141"/>
      <c r="L484" s="141"/>
      <c r="M484" s="64"/>
      <c r="N484" s="127" t="str">
        <f>IF(ISNA(VLOOKUP(Table3[[#This Row],[Ticket]],Table1[],17,FALSE)),"",VLOOKUP(Table3[[#This Row],[Ticket]],Table1[],17,FALSE))</f>
        <v/>
      </c>
      <c r="O484" s="128" t="str">
        <f>IF(Table3[[#This Row],[Actual End Date]]="","",TEXT(Table3[[#This Row],[Actual End Date]],"mmm-yy"))</f>
        <v/>
      </c>
    </row>
    <row r="485" spans="2:15">
      <c r="B485" s="64"/>
      <c r="C485" s="136"/>
      <c r="D485" s="64"/>
      <c r="E485" s="125"/>
      <c r="F485" s="125"/>
      <c r="G485" s="123"/>
      <c r="H485" s="140"/>
      <c r="I485" s="140"/>
      <c r="J485" s="136"/>
      <c r="K485" s="140"/>
      <c r="L485" s="140"/>
      <c r="M485" s="64"/>
      <c r="N485" s="127" t="str">
        <f>IF(ISNA(VLOOKUP(Table3[[#This Row],[Ticket]],Table1[],17,FALSE)),"",VLOOKUP(Table3[[#This Row],[Ticket]],Table1[],17,FALSE))</f>
        <v/>
      </c>
      <c r="O485" s="128" t="str">
        <f>IF(Table3[[#This Row],[Actual End Date]]="","",TEXT(Table3[[#This Row],[Actual End Date]],"mmm-yy"))</f>
        <v/>
      </c>
    </row>
    <row r="486" spans="2:15">
      <c r="B486" s="64"/>
      <c r="C486" s="132"/>
      <c r="D486" s="64"/>
      <c r="E486" s="125"/>
      <c r="F486" s="125"/>
      <c r="G486" s="123"/>
      <c r="H486" s="141"/>
      <c r="I486" s="141"/>
      <c r="J486" s="64"/>
      <c r="K486" s="141"/>
      <c r="L486" s="141"/>
      <c r="M486" s="64"/>
      <c r="N486" s="127" t="str">
        <f>IF(ISNA(VLOOKUP(Table3[[#This Row],[Ticket]],Table1[],17,FALSE)),"",VLOOKUP(Table3[[#This Row],[Ticket]],Table1[],17,FALSE))</f>
        <v/>
      </c>
      <c r="O486" s="128" t="str">
        <f>IF(Table3[[#This Row],[Actual End Date]]="","",TEXT(Table3[[#This Row],[Actual End Date]],"mmm-yy"))</f>
        <v/>
      </c>
    </row>
    <row r="487" spans="2:15">
      <c r="B487" s="64"/>
      <c r="C487" s="136"/>
      <c r="D487" s="64"/>
      <c r="E487" s="125"/>
      <c r="F487" s="125"/>
      <c r="G487" s="123"/>
      <c r="H487" s="140"/>
      <c r="I487" s="140"/>
      <c r="J487" s="136"/>
      <c r="K487" s="140"/>
      <c r="L487" s="140"/>
      <c r="M487" s="64"/>
      <c r="N487" s="127" t="str">
        <f>IF(ISNA(VLOOKUP(Table3[[#This Row],[Ticket]],Table1[],17,FALSE)),"",VLOOKUP(Table3[[#This Row],[Ticket]],Table1[],17,FALSE))</f>
        <v/>
      </c>
      <c r="O487" s="128" t="str">
        <f>IF(Table3[[#This Row],[Actual End Date]]="","",TEXT(Table3[[#This Row],[Actual End Date]],"mmm-yy"))</f>
        <v/>
      </c>
    </row>
    <row r="488" spans="2:15">
      <c r="B488" s="64"/>
      <c r="C488" s="132"/>
      <c r="D488" s="64"/>
      <c r="E488" s="125"/>
      <c r="F488" s="125"/>
      <c r="G488" s="123"/>
      <c r="H488" s="141"/>
      <c r="I488" s="141"/>
      <c r="J488" s="64"/>
      <c r="K488" s="141"/>
      <c r="L488" s="141"/>
      <c r="M488" s="64"/>
      <c r="N488" s="127" t="str">
        <f>IF(ISNA(VLOOKUP(Table3[[#This Row],[Ticket]],Table1[],17,FALSE)),"",VLOOKUP(Table3[[#This Row],[Ticket]],Table1[],17,FALSE))</f>
        <v/>
      </c>
      <c r="O488" s="128" t="str">
        <f>IF(Table3[[#This Row],[Actual End Date]]="","",TEXT(Table3[[#This Row],[Actual End Date]],"mmm-yy"))</f>
        <v/>
      </c>
    </row>
    <row r="489" spans="2:15">
      <c r="B489" s="64"/>
      <c r="C489" s="136"/>
      <c r="D489" s="64"/>
      <c r="E489" s="125"/>
      <c r="F489" s="125"/>
      <c r="G489" s="123"/>
      <c r="H489" s="140"/>
      <c r="I489" s="140"/>
      <c r="J489" s="136"/>
      <c r="K489" s="140"/>
      <c r="L489" s="140"/>
      <c r="M489" s="64"/>
      <c r="N489" s="127" t="str">
        <f>IF(ISNA(VLOOKUP(Table3[[#This Row],[Ticket]],Table1[],17,FALSE)),"",VLOOKUP(Table3[[#This Row],[Ticket]],Table1[],17,FALSE))</f>
        <v/>
      </c>
      <c r="O489" s="128" t="str">
        <f>IF(Table3[[#This Row],[Actual End Date]]="","",TEXT(Table3[[#This Row],[Actual End Date]],"mmm-yy"))</f>
        <v/>
      </c>
    </row>
    <row r="490" spans="2:15">
      <c r="B490" s="64"/>
      <c r="C490" s="132"/>
      <c r="D490" s="64"/>
      <c r="E490" s="125"/>
      <c r="F490" s="125"/>
      <c r="G490" s="123"/>
      <c r="H490" s="141"/>
      <c r="I490" s="141"/>
      <c r="J490" s="64"/>
      <c r="K490" s="141"/>
      <c r="L490" s="141"/>
      <c r="M490" s="64"/>
      <c r="N490" s="127" t="str">
        <f>IF(ISNA(VLOOKUP(Table3[[#This Row],[Ticket]],Table1[],17,FALSE)),"",VLOOKUP(Table3[[#This Row],[Ticket]],Table1[],17,FALSE))</f>
        <v/>
      </c>
      <c r="O490" s="128" t="str">
        <f>IF(Table3[[#This Row],[Actual End Date]]="","",TEXT(Table3[[#This Row],[Actual End Date]],"mmm-yy"))</f>
        <v/>
      </c>
    </row>
    <row r="491" spans="2:15">
      <c r="B491" s="64"/>
      <c r="C491" s="136"/>
      <c r="D491" s="64"/>
      <c r="E491" s="125"/>
      <c r="F491" s="125"/>
      <c r="G491" s="123"/>
      <c r="H491" s="140"/>
      <c r="I491" s="140"/>
      <c r="J491" s="136"/>
      <c r="K491" s="140"/>
      <c r="L491" s="140"/>
      <c r="M491" s="64"/>
      <c r="N491" s="127" t="str">
        <f>IF(ISNA(VLOOKUP(Table3[[#This Row],[Ticket]],Table1[],17,FALSE)),"",VLOOKUP(Table3[[#This Row],[Ticket]],Table1[],17,FALSE))</f>
        <v/>
      </c>
      <c r="O491" s="128" t="str">
        <f>IF(Table3[[#This Row],[Actual End Date]]="","",TEXT(Table3[[#This Row],[Actual End Date]],"mmm-yy"))</f>
        <v/>
      </c>
    </row>
    <row r="492" spans="2:15">
      <c r="B492" s="64"/>
      <c r="C492" s="132"/>
      <c r="D492" s="64"/>
      <c r="E492" s="125"/>
      <c r="F492" s="125"/>
      <c r="G492" s="123"/>
      <c r="H492" s="141"/>
      <c r="I492" s="141"/>
      <c r="J492" s="64"/>
      <c r="K492" s="141"/>
      <c r="L492" s="141"/>
      <c r="M492" s="64"/>
      <c r="N492" s="127" t="str">
        <f>IF(ISNA(VLOOKUP(Table3[[#This Row],[Ticket]],Table1[],17,FALSE)),"",VLOOKUP(Table3[[#This Row],[Ticket]],Table1[],17,FALSE))</f>
        <v/>
      </c>
      <c r="O492" s="128" t="str">
        <f>IF(Table3[[#This Row],[Actual End Date]]="","",TEXT(Table3[[#This Row],[Actual End Date]],"mmm-yy"))</f>
        <v/>
      </c>
    </row>
    <row r="493" spans="2:15">
      <c r="B493" s="64"/>
      <c r="C493" s="136"/>
      <c r="D493" s="64"/>
      <c r="E493" s="125"/>
      <c r="F493" s="125"/>
      <c r="G493" s="123"/>
      <c r="H493" s="140"/>
      <c r="I493" s="140"/>
      <c r="J493" s="136"/>
      <c r="K493" s="140"/>
      <c r="L493" s="140"/>
      <c r="M493" s="64"/>
      <c r="N493" s="127" t="str">
        <f>IF(ISNA(VLOOKUP(Table3[[#This Row],[Ticket]],Table1[],17,FALSE)),"",VLOOKUP(Table3[[#This Row],[Ticket]],Table1[],17,FALSE))</f>
        <v/>
      </c>
      <c r="O493" s="128" t="str">
        <f>IF(Table3[[#This Row],[Actual End Date]]="","",TEXT(Table3[[#This Row],[Actual End Date]],"mmm-yy"))</f>
        <v/>
      </c>
    </row>
    <row r="494" spans="2:15">
      <c r="B494" s="64"/>
      <c r="C494" s="132"/>
      <c r="D494" s="64"/>
      <c r="E494" s="125"/>
      <c r="F494" s="125"/>
      <c r="G494" s="123"/>
      <c r="H494" s="141"/>
      <c r="I494" s="141"/>
      <c r="J494" s="64"/>
      <c r="K494" s="141"/>
      <c r="L494" s="141"/>
      <c r="M494" s="64"/>
      <c r="N494" s="127" t="str">
        <f>IF(ISNA(VLOOKUP(Table3[[#This Row],[Ticket]],Table1[],17,FALSE)),"",VLOOKUP(Table3[[#This Row],[Ticket]],Table1[],17,FALSE))</f>
        <v/>
      </c>
      <c r="O494" s="128" t="str">
        <f>IF(Table3[[#This Row],[Actual End Date]]="","",TEXT(Table3[[#This Row],[Actual End Date]],"mmm-yy"))</f>
        <v/>
      </c>
    </row>
    <row r="495" spans="2:15">
      <c r="B495" s="64"/>
      <c r="C495" s="136"/>
      <c r="D495" s="64"/>
      <c r="E495" s="125"/>
      <c r="F495" s="125"/>
      <c r="G495" s="123"/>
      <c r="H495" s="140"/>
      <c r="I495" s="140"/>
      <c r="J495" s="64"/>
      <c r="K495" s="140"/>
      <c r="L495" s="140"/>
      <c r="M495" s="64"/>
      <c r="N495" s="127" t="str">
        <f>IF(ISNA(VLOOKUP(Table3[[#This Row],[Ticket]],Table1[],17,FALSE)),"",VLOOKUP(Table3[[#This Row],[Ticket]],Table1[],17,FALSE))</f>
        <v/>
      </c>
      <c r="O495" s="128" t="str">
        <f>IF(Table3[[#This Row],[Actual End Date]]="","",TEXT(Table3[[#This Row],[Actual End Date]],"mmm-yy"))</f>
        <v/>
      </c>
    </row>
    <row r="496" spans="2:15">
      <c r="B496" s="64"/>
      <c r="C496" s="132"/>
      <c r="D496" s="64"/>
      <c r="E496" s="125"/>
      <c r="F496" s="125"/>
      <c r="G496" s="123"/>
      <c r="H496" s="141"/>
      <c r="I496" s="141"/>
      <c r="J496" s="64"/>
      <c r="K496" s="141"/>
      <c r="L496" s="141"/>
      <c r="M496" s="64"/>
      <c r="N496" s="127" t="str">
        <f>IF(ISNA(VLOOKUP(Table3[[#This Row],[Ticket]],Table1[],17,FALSE)),"",VLOOKUP(Table3[[#This Row],[Ticket]],Table1[],17,FALSE))</f>
        <v/>
      </c>
      <c r="O496" s="128" t="str">
        <f>IF(Table3[[#This Row],[Actual End Date]]="","",TEXT(Table3[[#This Row],[Actual End Date]],"mmm-yy"))</f>
        <v/>
      </c>
    </row>
    <row r="497" spans="2:15">
      <c r="B497" s="64"/>
      <c r="C497" s="136"/>
      <c r="D497" s="64"/>
      <c r="E497" s="125"/>
      <c r="F497" s="125"/>
      <c r="G497" s="123"/>
      <c r="H497" s="140"/>
      <c r="I497" s="140"/>
      <c r="J497" s="64"/>
      <c r="K497" s="140"/>
      <c r="L497" s="140"/>
      <c r="M497" s="64"/>
      <c r="N497" s="127" t="str">
        <f>IF(ISNA(VLOOKUP(Table3[[#This Row],[Ticket]],Table1[],17,FALSE)),"",VLOOKUP(Table3[[#This Row],[Ticket]],Table1[],17,FALSE))</f>
        <v/>
      </c>
      <c r="O497" s="128" t="str">
        <f>IF(Table3[[#This Row],[Actual End Date]]="","",TEXT(Table3[[#This Row],[Actual End Date]],"mmm-yy"))</f>
        <v/>
      </c>
    </row>
    <row r="498" spans="2:15">
      <c r="B498" s="64"/>
      <c r="C498" s="132"/>
      <c r="D498" s="64"/>
      <c r="E498" s="125"/>
      <c r="F498" s="125"/>
      <c r="G498" s="123"/>
      <c r="H498" s="141"/>
      <c r="I498" s="141"/>
      <c r="J498" s="64"/>
      <c r="K498" s="141"/>
      <c r="L498" s="141"/>
      <c r="M498" s="64"/>
      <c r="N498" s="127" t="str">
        <f>IF(ISNA(VLOOKUP(Table3[[#This Row],[Ticket]],Table1[],17,FALSE)),"",VLOOKUP(Table3[[#This Row],[Ticket]],Table1[],17,FALSE))</f>
        <v/>
      </c>
      <c r="O498" s="128" t="str">
        <f>IF(Table3[[#This Row],[Actual End Date]]="","",TEXT(Table3[[#This Row],[Actual End Date]],"mmm-yy"))</f>
        <v/>
      </c>
    </row>
    <row r="499" spans="2:15">
      <c r="B499" s="64"/>
      <c r="C499" s="136"/>
      <c r="D499" s="64"/>
      <c r="E499" s="125"/>
      <c r="F499" s="125"/>
      <c r="G499" s="123"/>
      <c r="H499" s="140"/>
      <c r="I499" s="140"/>
      <c r="J499" s="136"/>
      <c r="K499" s="140"/>
      <c r="L499" s="140"/>
      <c r="M499" s="64"/>
      <c r="N499" s="127" t="str">
        <f>IF(ISNA(VLOOKUP(Table3[[#This Row],[Ticket]],Table1[],17,FALSE)),"",VLOOKUP(Table3[[#This Row],[Ticket]],Table1[],17,FALSE))</f>
        <v/>
      </c>
      <c r="O499" s="128" t="str">
        <f>IF(Table3[[#This Row],[Actual End Date]]="","",TEXT(Table3[[#This Row],[Actual End Date]],"mmm-yy"))</f>
        <v/>
      </c>
    </row>
    <row r="500" spans="2:15">
      <c r="B500" s="64"/>
      <c r="C500" s="132"/>
      <c r="D500" s="64"/>
      <c r="E500" s="125"/>
      <c r="F500" s="125"/>
      <c r="G500" s="123"/>
      <c r="H500" s="141"/>
      <c r="I500" s="141"/>
      <c r="J500" s="64"/>
      <c r="K500" s="141"/>
      <c r="L500" s="141"/>
      <c r="M500" s="64"/>
      <c r="N500" s="127" t="str">
        <f>IF(ISNA(VLOOKUP(Table3[[#This Row],[Ticket]],Table1[],17,FALSE)),"",VLOOKUP(Table3[[#This Row],[Ticket]],Table1[],17,FALSE))</f>
        <v/>
      </c>
      <c r="O500" s="128" t="str">
        <f>IF(Table3[[#This Row],[Actual End Date]]="","",TEXT(Table3[[#This Row],[Actual End Date]],"mmm-yy"))</f>
        <v/>
      </c>
    </row>
    <row r="501" spans="2:15">
      <c r="B501" s="64"/>
      <c r="C501" s="136"/>
      <c r="D501" s="64"/>
      <c r="E501" s="125"/>
      <c r="F501" s="125"/>
      <c r="G501" s="123"/>
      <c r="H501" s="140"/>
      <c r="I501" s="140"/>
      <c r="J501" s="136"/>
      <c r="K501" s="140"/>
      <c r="L501" s="140"/>
      <c r="M501" s="64"/>
      <c r="N501" s="127" t="str">
        <f>IF(ISNA(VLOOKUP(Table3[[#This Row],[Ticket]],Table1[],17,FALSE)),"",VLOOKUP(Table3[[#This Row],[Ticket]],Table1[],17,FALSE))</f>
        <v/>
      </c>
      <c r="O501" s="128" t="str">
        <f>IF(Table3[[#This Row],[Actual End Date]]="","",TEXT(Table3[[#This Row],[Actual End Date]],"mmm-yy"))</f>
        <v/>
      </c>
    </row>
    <row r="502" spans="2:15">
      <c r="B502" s="64"/>
      <c r="C502" s="132"/>
      <c r="D502" s="64"/>
      <c r="E502" s="125"/>
      <c r="F502" s="125"/>
      <c r="G502" s="123"/>
      <c r="H502" s="141"/>
      <c r="I502" s="141"/>
      <c r="J502" s="64"/>
      <c r="K502" s="141"/>
      <c r="L502" s="141"/>
      <c r="M502" s="64"/>
      <c r="N502" s="127" t="str">
        <f>IF(ISNA(VLOOKUP(Table3[[#This Row],[Ticket]],Table1[],17,FALSE)),"",VLOOKUP(Table3[[#This Row],[Ticket]],Table1[],17,FALSE))</f>
        <v/>
      </c>
      <c r="O502" s="128" t="str">
        <f>IF(Table3[[#This Row],[Actual End Date]]="","",TEXT(Table3[[#This Row],[Actual End Date]],"mmm-yy"))</f>
        <v/>
      </c>
    </row>
    <row r="503" spans="2:15">
      <c r="B503" s="64"/>
      <c r="C503" s="136"/>
      <c r="D503" s="64"/>
      <c r="E503" s="125"/>
      <c r="F503" s="125"/>
      <c r="G503" s="123"/>
      <c r="H503" s="140"/>
      <c r="I503" s="140"/>
      <c r="J503" s="136"/>
      <c r="K503" s="140"/>
      <c r="L503" s="140"/>
      <c r="M503" s="64"/>
      <c r="N503" s="127" t="str">
        <f>IF(ISNA(VLOOKUP(Table3[[#This Row],[Ticket]],Table1[],17,FALSE)),"",VLOOKUP(Table3[[#This Row],[Ticket]],Table1[],17,FALSE))</f>
        <v/>
      </c>
      <c r="O503" s="128" t="str">
        <f>IF(Table3[[#This Row],[Actual End Date]]="","",TEXT(Table3[[#This Row],[Actual End Date]],"mmm-yy"))</f>
        <v/>
      </c>
    </row>
    <row r="504" spans="2:15">
      <c r="B504" s="64"/>
      <c r="C504" s="132"/>
      <c r="D504" s="64"/>
      <c r="E504" s="125"/>
      <c r="F504" s="125"/>
      <c r="G504" s="123"/>
      <c r="H504" s="141"/>
      <c r="I504" s="141"/>
      <c r="J504" s="64"/>
      <c r="K504" s="141"/>
      <c r="L504" s="141"/>
      <c r="M504" s="64"/>
      <c r="N504" s="127" t="str">
        <f>IF(ISNA(VLOOKUP(Table3[[#This Row],[Ticket]],Table1[],17,FALSE)),"",VLOOKUP(Table3[[#This Row],[Ticket]],Table1[],17,FALSE))</f>
        <v/>
      </c>
      <c r="O504" s="128" t="str">
        <f>IF(Table3[[#This Row],[Actual End Date]]="","",TEXT(Table3[[#This Row],[Actual End Date]],"mmm-yy"))</f>
        <v/>
      </c>
    </row>
    <row r="505" spans="2:15">
      <c r="B505" s="64"/>
      <c r="C505" s="136"/>
      <c r="D505" s="64"/>
      <c r="E505" s="125"/>
      <c r="F505" s="125"/>
      <c r="G505" s="123"/>
      <c r="H505" s="140"/>
      <c r="I505" s="140"/>
      <c r="J505" s="136"/>
      <c r="K505" s="140"/>
      <c r="L505" s="140"/>
      <c r="M505" s="64"/>
      <c r="N505" s="127" t="str">
        <f>IF(ISNA(VLOOKUP(Table3[[#This Row],[Ticket]],Table1[],17,FALSE)),"",VLOOKUP(Table3[[#This Row],[Ticket]],Table1[],17,FALSE))</f>
        <v/>
      </c>
      <c r="O505" s="128" t="str">
        <f>IF(Table3[[#This Row],[Actual End Date]]="","",TEXT(Table3[[#This Row],[Actual End Date]],"mmm-yy"))</f>
        <v/>
      </c>
    </row>
    <row r="506" spans="2:15">
      <c r="B506" s="64"/>
      <c r="C506" s="132"/>
      <c r="D506" s="64"/>
      <c r="E506" s="125"/>
      <c r="F506" s="125"/>
      <c r="G506" s="123"/>
      <c r="H506" s="141"/>
      <c r="I506" s="141"/>
      <c r="J506" s="64"/>
      <c r="K506" s="141"/>
      <c r="L506" s="141"/>
      <c r="M506" s="64"/>
      <c r="N506" s="127" t="str">
        <f>IF(ISNA(VLOOKUP(Table3[[#This Row],[Ticket]],Table1[],17,FALSE)),"",VLOOKUP(Table3[[#This Row],[Ticket]],Table1[],17,FALSE))</f>
        <v/>
      </c>
      <c r="O506" s="128" t="str">
        <f>IF(Table3[[#This Row],[Actual End Date]]="","",TEXT(Table3[[#This Row],[Actual End Date]],"mmm-yy"))</f>
        <v/>
      </c>
    </row>
    <row r="507" spans="2:15">
      <c r="B507" s="64"/>
      <c r="C507" s="136"/>
      <c r="D507" s="64"/>
      <c r="E507" s="125"/>
      <c r="F507" s="125"/>
      <c r="G507" s="123"/>
      <c r="H507" s="140"/>
      <c r="I507" s="140"/>
      <c r="J507" s="136"/>
      <c r="K507" s="140"/>
      <c r="L507" s="140"/>
      <c r="M507" s="64"/>
      <c r="N507" s="127" t="str">
        <f>IF(ISNA(VLOOKUP(Table3[[#This Row],[Ticket]],Table1[],17,FALSE)),"",VLOOKUP(Table3[[#This Row],[Ticket]],Table1[],17,FALSE))</f>
        <v/>
      </c>
      <c r="O507" s="128" t="str">
        <f>IF(Table3[[#This Row],[Actual End Date]]="","",TEXT(Table3[[#This Row],[Actual End Date]],"mmm-yy"))</f>
        <v/>
      </c>
    </row>
    <row r="508" spans="2:15">
      <c r="B508" s="64"/>
      <c r="C508" s="132"/>
      <c r="D508" s="64"/>
      <c r="E508" s="125"/>
      <c r="F508" s="125"/>
      <c r="G508" s="123"/>
      <c r="H508" s="141"/>
      <c r="I508" s="141"/>
      <c r="J508" s="64"/>
      <c r="K508" s="141"/>
      <c r="L508" s="141"/>
      <c r="M508" s="64"/>
      <c r="N508" s="127" t="str">
        <f>IF(ISNA(VLOOKUP(Table3[[#This Row],[Ticket]],Table1[],17,FALSE)),"",VLOOKUP(Table3[[#This Row],[Ticket]],Table1[],17,FALSE))</f>
        <v/>
      </c>
      <c r="O508" s="128" t="str">
        <f>IF(Table3[[#This Row],[Actual End Date]]="","",TEXT(Table3[[#This Row],[Actual End Date]],"mmm-yy"))</f>
        <v/>
      </c>
    </row>
    <row r="509" spans="2:15">
      <c r="B509" s="64"/>
      <c r="C509" s="136"/>
      <c r="D509" s="64"/>
      <c r="E509" s="125"/>
      <c r="F509" s="125"/>
      <c r="G509" s="123"/>
      <c r="H509" s="140"/>
      <c r="I509" s="140"/>
      <c r="J509" s="136"/>
      <c r="K509" s="140"/>
      <c r="L509" s="140"/>
      <c r="M509" s="64"/>
      <c r="N509" s="127" t="str">
        <f>IF(ISNA(VLOOKUP(Table3[[#This Row],[Ticket]],Table1[],17,FALSE)),"",VLOOKUP(Table3[[#This Row],[Ticket]],Table1[],17,FALSE))</f>
        <v/>
      </c>
      <c r="O509" s="128" t="str">
        <f>IF(Table3[[#This Row],[Actual End Date]]="","",TEXT(Table3[[#This Row],[Actual End Date]],"mmm-yy"))</f>
        <v/>
      </c>
    </row>
    <row r="510" spans="2:15">
      <c r="B510" s="64"/>
      <c r="C510" s="132"/>
      <c r="D510" s="64"/>
      <c r="E510" s="125"/>
      <c r="F510" s="125"/>
      <c r="G510" s="123"/>
      <c r="H510" s="141"/>
      <c r="I510" s="141"/>
      <c r="J510" s="116"/>
      <c r="K510" s="141"/>
      <c r="L510" s="141"/>
      <c r="M510" s="64"/>
      <c r="N510" s="127" t="str">
        <f>IF(ISNA(VLOOKUP(Table3[[#This Row],[Ticket]],Table1[],17,FALSE)),"",VLOOKUP(Table3[[#This Row],[Ticket]],Table1[],17,FALSE))</f>
        <v/>
      </c>
      <c r="O510" s="128" t="str">
        <f>IF(Table3[[#This Row],[Actual End Date]]="","",TEXT(Table3[[#This Row],[Actual End Date]],"mmm-yy"))</f>
        <v/>
      </c>
    </row>
    <row r="511" spans="2:15">
      <c r="B511" s="64"/>
      <c r="C511" s="136"/>
      <c r="D511" s="64"/>
      <c r="E511" s="125"/>
      <c r="F511" s="125"/>
      <c r="G511" s="123"/>
      <c r="H511" s="140"/>
      <c r="I511" s="140"/>
      <c r="J511" s="116"/>
      <c r="K511" s="140"/>
      <c r="L511" s="140"/>
      <c r="M511" s="64"/>
      <c r="N511" s="127" t="str">
        <f>IF(ISNA(VLOOKUP(Table3[[#This Row],[Ticket]],Table1[],17,FALSE)),"",VLOOKUP(Table3[[#This Row],[Ticket]],Table1[],17,FALSE))</f>
        <v/>
      </c>
      <c r="O511" s="128" t="str">
        <f>IF(Table3[[#This Row],[Actual End Date]]="","",TEXT(Table3[[#This Row],[Actual End Date]],"mmm-yy"))</f>
        <v/>
      </c>
    </row>
    <row r="512" spans="2:15">
      <c r="B512" s="64"/>
      <c r="C512" s="132"/>
      <c r="D512" s="64"/>
      <c r="E512" s="125"/>
      <c r="F512" s="125"/>
      <c r="G512" s="123"/>
      <c r="H512" s="141"/>
      <c r="I512" s="141"/>
      <c r="J512" s="116"/>
      <c r="K512" s="141"/>
      <c r="L512" s="141"/>
      <c r="M512" s="64"/>
      <c r="N512" s="127" t="str">
        <f>IF(ISNA(VLOOKUP(Table3[[#This Row],[Ticket]],Table1[],17,FALSE)),"",VLOOKUP(Table3[[#This Row],[Ticket]],Table1[],17,FALSE))</f>
        <v/>
      </c>
      <c r="O512" s="128" t="str">
        <f>IF(Table3[[#This Row],[Actual End Date]]="","",TEXT(Table3[[#This Row],[Actual End Date]],"mmm-yy"))</f>
        <v/>
      </c>
    </row>
    <row r="513" spans="2:15">
      <c r="B513" s="64"/>
      <c r="C513" s="136"/>
      <c r="D513" s="64"/>
      <c r="E513" s="125"/>
      <c r="F513" s="125"/>
      <c r="G513" s="123"/>
      <c r="H513" s="140"/>
      <c r="I513" s="140"/>
      <c r="J513" s="116"/>
      <c r="K513" s="140"/>
      <c r="L513" s="140"/>
      <c r="M513" s="64"/>
      <c r="N513" s="127" t="str">
        <f>IF(ISNA(VLOOKUP(Table3[[#This Row],[Ticket]],Table1[],17,FALSE)),"",VLOOKUP(Table3[[#This Row],[Ticket]],Table1[],17,FALSE))</f>
        <v/>
      </c>
      <c r="O513" s="128" t="str">
        <f>IF(Table3[[#This Row],[Actual End Date]]="","",TEXT(Table3[[#This Row],[Actual End Date]],"mmm-yy"))</f>
        <v/>
      </c>
    </row>
    <row r="514" spans="2:15">
      <c r="B514" s="64"/>
      <c r="C514" s="132"/>
      <c r="D514" s="64"/>
      <c r="E514" s="125"/>
      <c r="F514" s="125"/>
      <c r="G514" s="123"/>
      <c r="H514" s="141"/>
      <c r="I514" s="141"/>
      <c r="J514" s="116"/>
      <c r="K514" s="141"/>
      <c r="L514" s="141"/>
      <c r="M514" s="64"/>
      <c r="N514" s="127" t="str">
        <f>IF(ISNA(VLOOKUP(Table3[[#This Row],[Ticket]],Table1[],17,FALSE)),"",VLOOKUP(Table3[[#This Row],[Ticket]],Table1[],17,FALSE))</f>
        <v/>
      </c>
      <c r="O514" s="128" t="str">
        <f>IF(Table3[[#This Row],[Actual End Date]]="","",TEXT(Table3[[#This Row],[Actual End Date]],"mmm-yy"))</f>
        <v/>
      </c>
    </row>
    <row r="515" spans="2:15">
      <c r="B515" s="64"/>
      <c r="C515" s="136"/>
      <c r="D515" s="64"/>
      <c r="E515" s="125"/>
      <c r="F515" s="125"/>
      <c r="G515" s="123"/>
      <c r="H515" s="140"/>
      <c r="I515" s="140"/>
      <c r="J515" s="116"/>
      <c r="K515" s="140"/>
      <c r="L515" s="140"/>
      <c r="M515" s="64"/>
      <c r="N515" s="127" t="str">
        <f>IF(ISNA(VLOOKUP(Table3[[#This Row],[Ticket]],Table1[],17,FALSE)),"",VLOOKUP(Table3[[#This Row],[Ticket]],Table1[],17,FALSE))</f>
        <v/>
      </c>
      <c r="O515" s="128" t="str">
        <f>IF(Table3[[#This Row],[Actual End Date]]="","",TEXT(Table3[[#This Row],[Actual End Date]],"mmm-yy"))</f>
        <v/>
      </c>
    </row>
    <row r="516" spans="2:15">
      <c r="B516" s="64"/>
      <c r="C516" s="132"/>
      <c r="D516" s="64"/>
      <c r="E516" s="125"/>
      <c r="F516" s="125"/>
      <c r="G516" s="123"/>
      <c r="H516" s="141"/>
      <c r="I516" s="141"/>
      <c r="J516" s="116"/>
      <c r="K516" s="141"/>
      <c r="L516" s="141"/>
      <c r="M516" s="64"/>
      <c r="N516" s="127" t="str">
        <f>IF(ISNA(VLOOKUP(Table3[[#This Row],[Ticket]],Table1[],17,FALSE)),"",VLOOKUP(Table3[[#This Row],[Ticket]],Table1[],17,FALSE))</f>
        <v/>
      </c>
      <c r="O516" s="128" t="str">
        <f>IF(Table3[[#This Row],[Actual End Date]]="","",TEXT(Table3[[#This Row],[Actual End Date]],"mmm-yy"))</f>
        <v/>
      </c>
    </row>
    <row r="517" spans="2:15">
      <c r="B517" s="64"/>
      <c r="C517" s="136"/>
      <c r="D517" s="64"/>
      <c r="E517" s="125"/>
      <c r="F517" s="125"/>
      <c r="G517" s="123"/>
      <c r="H517" s="140"/>
      <c r="I517" s="140"/>
      <c r="J517" s="116"/>
      <c r="K517" s="140"/>
      <c r="L517" s="140"/>
      <c r="M517" s="64"/>
      <c r="N517" s="127" t="str">
        <f>IF(ISNA(VLOOKUP(Table3[[#This Row],[Ticket]],Table1[],17,FALSE)),"",VLOOKUP(Table3[[#This Row],[Ticket]],Table1[],17,FALSE))</f>
        <v/>
      </c>
      <c r="O517" s="128" t="str">
        <f>IF(Table3[[#This Row],[Actual End Date]]="","",TEXT(Table3[[#This Row],[Actual End Date]],"mmm-yy"))</f>
        <v/>
      </c>
    </row>
    <row r="518" spans="2:15">
      <c r="B518" s="64"/>
      <c r="C518" s="132"/>
      <c r="D518" s="64"/>
      <c r="E518" s="125"/>
      <c r="F518" s="125"/>
      <c r="G518" s="123"/>
      <c r="H518" s="141"/>
      <c r="I518" s="141"/>
      <c r="J518" s="116"/>
      <c r="K518" s="141"/>
      <c r="L518" s="141"/>
      <c r="M518" s="64"/>
      <c r="N518" s="127" t="str">
        <f>IF(ISNA(VLOOKUP(Table3[[#This Row],[Ticket]],Table1[],17,FALSE)),"",VLOOKUP(Table3[[#This Row],[Ticket]],Table1[],17,FALSE))</f>
        <v/>
      </c>
      <c r="O518" s="128" t="str">
        <f>IF(Table3[[#This Row],[Actual End Date]]="","",TEXT(Table3[[#This Row],[Actual End Date]],"mmm-yy"))</f>
        <v/>
      </c>
    </row>
    <row r="519" spans="2:15">
      <c r="B519" s="64"/>
      <c r="C519" s="136"/>
      <c r="D519" s="64"/>
      <c r="E519" s="125"/>
      <c r="F519" s="125"/>
      <c r="G519" s="123"/>
      <c r="H519" s="140"/>
      <c r="I519" s="140"/>
      <c r="J519" s="116"/>
      <c r="K519" s="140"/>
      <c r="L519" s="140"/>
      <c r="M519" s="64"/>
      <c r="N519" s="127" t="str">
        <f>IF(ISNA(VLOOKUP(Table3[[#This Row],[Ticket]],Table1[],17,FALSE)),"",VLOOKUP(Table3[[#This Row],[Ticket]],Table1[],17,FALSE))</f>
        <v/>
      </c>
      <c r="O519" s="128" t="str">
        <f>IF(Table3[[#This Row],[Actual End Date]]="","",TEXT(Table3[[#This Row],[Actual End Date]],"mmm-yy"))</f>
        <v/>
      </c>
    </row>
    <row r="520" spans="2:15">
      <c r="B520" s="64"/>
      <c r="C520" s="132"/>
      <c r="D520" s="64"/>
      <c r="E520" s="125"/>
      <c r="F520" s="125"/>
      <c r="G520" s="123"/>
      <c r="H520" s="141"/>
      <c r="I520" s="141"/>
      <c r="J520" s="116"/>
      <c r="K520" s="141"/>
      <c r="L520" s="141"/>
      <c r="M520" s="64"/>
      <c r="N520" s="127" t="str">
        <f>IF(ISNA(VLOOKUP(Table3[[#This Row],[Ticket]],Table1[],17,FALSE)),"",VLOOKUP(Table3[[#This Row],[Ticket]],Table1[],17,FALSE))</f>
        <v/>
      </c>
      <c r="O520" s="128" t="str">
        <f>IF(Table3[[#This Row],[Actual End Date]]="","",TEXT(Table3[[#This Row],[Actual End Date]],"mmm-yy"))</f>
        <v/>
      </c>
    </row>
    <row r="521" spans="2:15">
      <c r="B521" s="64"/>
      <c r="C521" s="136"/>
      <c r="D521" s="64"/>
      <c r="E521" s="125"/>
      <c r="F521" s="125"/>
      <c r="G521" s="123"/>
      <c r="H521" s="140"/>
      <c r="I521" s="140"/>
      <c r="J521" s="116"/>
      <c r="K521" s="140"/>
      <c r="L521" s="140"/>
      <c r="M521" s="64"/>
      <c r="N521" s="127" t="str">
        <f>IF(ISNA(VLOOKUP(Table3[[#This Row],[Ticket]],Table1[],17,FALSE)),"",VLOOKUP(Table3[[#This Row],[Ticket]],Table1[],17,FALSE))</f>
        <v/>
      </c>
      <c r="O521" s="128" t="str">
        <f>IF(Table3[[#This Row],[Actual End Date]]="","",TEXT(Table3[[#This Row],[Actual End Date]],"mmm-yy"))</f>
        <v/>
      </c>
    </row>
    <row r="522" spans="2:15">
      <c r="B522" s="64"/>
      <c r="C522" s="132"/>
      <c r="D522" s="64"/>
      <c r="E522" s="125"/>
      <c r="F522" s="125"/>
      <c r="G522" s="123"/>
      <c r="H522" s="141"/>
      <c r="I522" s="141"/>
      <c r="J522" s="116"/>
      <c r="K522" s="141"/>
      <c r="L522" s="141"/>
      <c r="M522" s="64"/>
      <c r="N522" s="127" t="str">
        <f>IF(ISNA(VLOOKUP(Table3[[#This Row],[Ticket]],Table1[],17,FALSE)),"",VLOOKUP(Table3[[#This Row],[Ticket]],Table1[],17,FALSE))</f>
        <v/>
      </c>
      <c r="O522" s="128" t="str">
        <f>IF(Table3[[#This Row],[Actual End Date]]="","",TEXT(Table3[[#This Row],[Actual End Date]],"mmm-yy"))</f>
        <v/>
      </c>
    </row>
    <row r="523" spans="2:15">
      <c r="B523" s="64"/>
      <c r="C523" s="136"/>
      <c r="D523" s="64"/>
      <c r="E523" s="125"/>
      <c r="F523" s="125"/>
      <c r="G523" s="123"/>
      <c r="H523" s="140"/>
      <c r="I523" s="140"/>
      <c r="J523" s="116"/>
      <c r="K523" s="140"/>
      <c r="L523" s="140"/>
      <c r="M523" s="64"/>
      <c r="N523" s="127" t="str">
        <f>IF(ISNA(VLOOKUP(Table3[[#This Row],[Ticket]],Table1[],17,FALSE)),"",VLOOKUP(Table3[[#This Row],[Ticket]],Table1[],17,FALSE))</f>
        <v/>
      </c>
      <c r="O523" s="128" t="str">
        <f>IF(Table3[[#This Row],[Actual End Date]]="","",TEXT(Table3[[#This Row],[Actual End Date]],"mmm-yy"))</f>
        <v/>
      </c>
    </row>
    <row r="524" spans="2:15">
      <c r="B524" s="64"/>
      <c r="C524" s="64"/>
      <c r="D524" s="64"/>
      <c r="E524" s="125"/>
      <c r="F524" s="125"/>
      <c r="G524" s="143"/>
      <c r="H524" s="144"/>
      <c r="I524" s="144"/>
      <c r="J524" s="64"/>
      <c r="K524" s="144"/>
      <c r="L524" s="144"/>
      <c r="M524" s="64"/>
      <c r="N524" s="127" t="str">
        <f>IF(ISNA(VLOOKUP(Table3[[#This Row],[Ticket]],Table1[],17,FALSE)),"",VLOOKUP(Table3[[#This Row],[Ticket]],Table1[],17,FALSE))</f>
        <v/>
      </c>
      <c r="O524" s="128" t="str">
        <f>IF(Table3[[#This Row],[Actual End Date]]="","",TEXT(Table3[[#This Row],[Actual End Date]],"mmm-yy"))</f>
        <v/>
      </c>
    </row>
    <row r="525" spans="2:15">
      <c r="B525" s="64"/>
      <c r="C525" s="64"/>
      <c r="D525" s="64"/>
      <c r="E525" s="125"/>
      <c r="F525" s="125"/>
      <c r="G525" s="143"/>
      <c r="H525" s="144"/>
      <c r="I525" s="144"/>
      <c r="J525" s="64"/>
      <c r="K525" s="144"/>
      <c r="L525" s="144"/>
      <c r="M525" s="64"/>
      <c r="N525" s="127" t="str">
        <f>IF(ISNA(VLOOKUP(Table3[[#This Row],[Ticket]],Table1[],17,FALSE)),"",VLOOKUP(Table3[[#This Row],[Ticket]],Table1[],17,FALSE))</f>
        <v/>
      </c>
      <c r="O525" s="128" t="str">
        <f>IF(Table3[[#This Row],[Actual End Date]]="","",TEXT(Table3[[#This Row],[Actual End Date]],"mmm-yy"))</f>
        <v/>
      </c>
    </row>
    <row r="526" spans="2:15">
      <c r="B526" s="64"/>
      <c r="C526" s="64"/>
      <c r="D526" s="64"/>
      <c r="E526" s="125"/>
      <c r="F526" s="125"/>
      <c r="G526" s="123"/>
      <c r="H526" s="144"/>
      <c r="I526" s="144"/>
      <c r="J526" s="64"/>
      <c r="K526" s="144"/>
      <c r="L526" s="144"/>
      <c r="M526" s="64"/>
      <c r="N526" s="127" t="str">
        <f>IF(ISNA(VLOOKUP(Table3[[#This Row],[Ticket]],Table1[],17,FALSE)),"",VLOOKUP(Table3[[#This Row],[Ticket]],Table1[],17,FALSE))</f>
        <v/>
      </c>
      <c r="O526" s="128" t="str">
        <f>IF(Table3[[#This Row],[Actual End Date]]="","",TEXT(Table3[[#This Row],[Actual End Date]],"mmm-yy"))</f>
        <v/>
      </c>
    </row>
    <row r="527" spans="2:15">
      <c r="B527" s="64"/>
      <c r="C527" s="64"/>
      <c r="D527" s="64"/>
      <c r="E527" s="125"/>
      <c r="F527" s="125"/>
      <c r="G527" s="123"/>
      <c r="H527" s="144"/>
      <c r="I527" s="144"/>
      <c r="J527" s="64"/>
      <c r="K527" s="144"/>
      <c r="L527" s="144"/>
      <c r="M527" s="64"/>
      <c r="N527" s="127" t="str">
        <f>IF(ISNA(VLOOKUP(Table3[[#This Row],[Ticket]],Table1[],17,FALSE)),"",VLOOKUP(Table3[[#This Row],[Ticket]],Table1[],17,FALSE))</f>
        <v/>
      </c>
      <c r="O527" s="128" t="str">
        <f>IF(Table3[[#This Row],[Actual End Date]]="","",TEXT(Table3[[#This Row],[Actual End Date]],"mmm-yy"))</f>
        <v/>
      </c>
    </row>
    <row r="528" spans="2:15">
      <c r="B528" s="64"/>
      <c r="C528" s="64"/>
      <c r="D528" s="64"/>
      <c r="E528" s="125"/>
      <c r="F528" s="125"/>
      <c r="G528" s="123"/>
      <c r="H528" s="144"/>
      <c r="I528" s="144"/>
      <c r="J528" s="64"/>
      <c r="K528" s="144"/>
      <c r="L528" s="144"/>
      <c r="M528" s="64"/>
      <c r="N528" s="127" t="str">
        <f>IF(ISNA(VLOOKUP(Table3[[#This Row],[Ticket]],Table1[],17,FALSE)),"",VLOOKUP(Table3[[#This Row],[Ticket]],Table1[],17,FALSE))</f>
        <v/>
      </c>
      <c r="O528" s="128" t="str">
        <f>IF(Table3[[#This Row],[Actual End Date]]="","",TEXT(Table3[[#This Row],[Actual End Date]],"mmm-yy"))</f>
        <v/>
      </c>
    </row>
    <row r="529" spans="2:15">
      <c r="B529" s="64"/>
      <c r="C529" s="64"/>
      <c r="D529" s="64"/>
      <c r="E529" s="125"/>
      <c r="F529" s="125"/>
      <c r="G529" s="123"/>
      <c r="H529" s="144"/>
      <c r="I529" s="144"/>
      <c r="J529" s="64"/>
      <c r="K529" s="144"/>
      <c r="L529" s="144"/>
      <c r="M529" s="64"/>
      <c r="N529" s="127" t="str">
        <f>IF(ISNA(VLOOKUP(Table3[[#This Row],[Ticket]],Table1[],17,FALSE)),"",VLOOKUP(Table3[[#This Row],[Ticket]],Table1[],17,FALSE))</f>
        <v/>
      </c>
      <c r="O529" s="128" t="str">
        <f>IF(Table3[[#This Row],[Actual End Date]]="","",TEXT(Table3[[#This Row],[Actual End Date]],"mmm-yy"))</f>
        <v/>
      </c>
    </row>
    <row r="530" spans="2:15">
      <c r="B530" s="64"/>
      <c r="C530" s="64"/>
      <c r="D530" s="64"/>
      <c r="E530" s="125"/>
      <c r="F530" s="125"/>
      <c r="G530" s="123"/>
      <c r="H530" s="144"/>
      <c r="I530" s="144"/>
      <c r="J530" s="64"/>
      <c r="K530" s="144"/>
      <c r="L530" s="144"/>
      <c r="M530" s="64"/>
      <c r="N530" s="127" t="str">
        <f>IF(ISNA(VLOOKUP(Table3[[#This Row],[Ticket]],Table1[],17,FALSE)),"",VLOOKUP(Table3[[#This Row],[Ticket]],Table1[],17,FALSE))</f>
        <v/>
      </c>
      <c r="O530" s="128" t="str">
        <f>IF(Table3[[#This Row],[Actual End Date]]="","",TEXT(Table3[[#This Row],[Actual End Date]],"mmm-yy"))</f>
        <v/>
      </c>
    </row>
    <row r="531" spans="2:15">
      <c r="B531" s="64"/>
      <c r="C531" s="64"/>
      <c r="D531" s="64"/>
      <c r="E531" s="125"/>
      <c r="F531" s="125"/>
      <c r="G531" s="123"/>
      <c r="H531" s="144"/>
      <c r="I531" s="144"/>
      <c r="J531" s="64"/>
      <c r="K531" s="144"/>
      <c r="L531" s="144"/>
      <c r="M531" s="64"/>
      <c r="N531" s="127" t="str">
        <f>IF(ISNA(VLOOKUP(Table3[[#This Row],[Ticket]],Table1[],17,FALSE)),"",VLOOKUP(Table3[[#This Row],[Ticket]],Table1[],17,FALSE))</f>
        <v/>
      </c>
      <c r="O531" s="128" t="str">
        <f>IF(Table3[[#This Row],[Actual End Date]]="","",TEXT(Table3[[#This Row],[Actual End Date]],"mmm-yy"))</f>
        <v/>
      </c>
    </row>
    <row r="532" spans="2:15">
      <c r="B532" s="64"/>
      <c r="C532" s="64"/>
      <c r="D532" s="64"/>
      <c r="E532" s="125"/>
      <c r="F532" s="125"/>
      <c r="G532" s="123"/>
      <c r="H532" s="144"/>
      <c r="I532" s="144"/>
      <c r="J532" s="64"/>
      <c r="K532" s="144"/>
      <c r="L532" s="144"/>
      <c r="M532" s="64"/>
      <c r="N532" s="127" t="str">
        <f>IF(ISNA(VLOOKUP(Table3[[#This Row],[Ticket]],Table1[],17,FALSE)),"",VLOOKUP(Table3[[#This Row],[Ticket]],Table1[],17,FALSE))</f>
        <v/>
      </c>
      <c r="O532" s="128" t="str">
        <f>IF(Table3[[#This Row],[Actual End Date]]="","",TEXT(Table3[[#This Row],[Actual End Date]],"mmm-yy"))</f>
        <v/>
      </c>
    </row>
    <row r="533" spans="2:15">
      <c r="B533" s="64"/>
      <c r="C533" s="64"/>
      <c r="D533" s="64"/>
      <c r="E533" s="125"/>
      <c r="F533" s="125"/>
      <c r="G533" s="123"/>
      <c r="H533" s="144"/>
      <c r="I533" s="144"/>
      <c r="J533" s="64"/>
      <c r="K533" s="144"/>
      <c r="L533" s="144"/>
      <c r="M533" s="64"/>
      <c r="N533" s="127" t="str">
        <f>IF(ISNA(VLOOKUP(Table3[[#This Row],[Ticket]],Table1[],17,FALSE)),"",VLOOKUP(Table3[[#This Row],[Ticket]],Table1[],17,FALSE))</f>
        <v/>
      </c>
      <c r="O533" s="128" t="str">
        <f>IF(Table3[[#This Row],[Actual End Date]]="","",TEXT(Table3[[#This Row],[Actual End Date]],"mmm-yy"))</f>
        <v/>
      </c>
    </row>
    <row r="534" spans="2:15">
      <c r="B534" s="64"/>
      <c r="C534" s="64"/>
      <c r="D534" s="64"/>
      <c r="E534" s="125"/>
      <c r="F534" s="125"/>
      <c r="G534" s="123"/>
      <c r="H534" s="144"/>
      <c r="I534" s="144"/>
      <c r="J534" s="64"/>
      <c r="K534" s="144"/>
      <c r="L534" s="144"/>
      <c r="M534" s="64"/>
      <c r="N534" s="127" t="str">
        <f>IF(ISNA(VLOOKUP(Table3[[#This Row],[Ticket]],Table1[],17,FALSE)),"",VLOOKUP(Table3[[#This Row],[Ticket]],Table1[],17,FALSE))</f>
        <v/>
      </c>
      <c r="O534" s="128" t="str">
        <f>IF(Table3[[#This Row],[Actual End Date]]="","",TEXT(Table3[[#This Row],[Actual End Date]],"mmm-yy"))</f>
        <v/>
      </c>
    </row>
    <row r="535" spans="2:15">
      <c r="B535" s="64"/>
      <c r="C535" s="64"/>
      <c r="D535" s="64"/>
      <c r="E535" s="125"/>
      <c r="F535" s="125"/>
      <c r="G535" s="123"/>
      <c r="H535" s="144"/>
      <c r="I535" s="144"/>
      <c r="J535" s="64"/>
      <c r="K535" s="144"/>
      <c r="L535" s="144"/>
      <c r="M535" s="64"/>
      <c r="N535" s="127" t="str">
        <f>IF(ISNA(VLOOKUP(Table3[[#This Row],[Ticket]],Table1[],17,FALSE)),"",VLOOKUP(Table3[[#This Row],[Ticket]],Table1[],17,FALSE))</f>
        <v/>
      </c>
      <c r="O535" s="128" t="str">
        <f>IF(Table3[[#This Row],[Actual End Date]]="","",TEXT(Table3[[#This Row],[Actual End Date]],"mmm-yy"))</f>
        <v/>
      </c>
    </row>
    <row r="536" spans="2:15">
      <c r="B536" s="64"/>
      <c r="C536" s="64"/>
      <c r="D536" s="64"/>
      <c r="E536" s="125"/>
      <c r="F536" s="125"/>
      <c r="G536" s="123"/>
      <c r="H536" s="144"/>
      <c r="I536" s="144"/>
      <c r="J536" s="64"/>
      <c r="K536" s="144"/>
      <c r="L536" s="144"/>
      <c r="M536" s="64"/>
      <c r="N536" s="127" t="str">
        <f>IF(ISNA(VLOOKUP(Table3[[#This Row],[Ticket]],Table1[],17,FALSE)),"",VLOOKUP(Table3[[#This Row],[Ticket]],Table1[],17,FALSE))</f>
        <v/>
      </c>
      <c r="O536" s="128" t="str">
        <f>IF(Table3[[#This Row],[Actual End Date]]="","",TEXT(Table3[[#This Row],[Actual End Date]],"mmm-yy"))</f>
        <v/>
      </c>
    </row>
    <row r="537" spans="2:15">
      <c r="B537" s="64"/>
      <c r="C537" s="64"/>
      <c r="D537" s="64"/>
      <c r="E537" s="125"/>
      <c r="F537" s="125"/>
      <c r="G537" s="123"/>
      <c r="H537" s="144"/>
      <c r="I537" s="144"/>
      <c r="J537" s="64"/>
      <c r="K537" s="144"/>
      <c r="L537" s="144"/>
      <c r="M537" s="64"/>
      <c r="N537" s="127" t="str">
        <f>IF(ISNA(VLOOKUP(Table3[[#This Row],[Ticket]],Table1[],17,FALSE)),"",VLOOKUP(Table3[[#This Row],[Ticket]],Table1[],17,FALSE))</f>
        <v/>
      </c>
      <c r="O537" s="128" t="str">
        <f>IF(Table3[[#This Row],[Actual End Date]]="","",TEXT(Table3[[#This Row],[Actual End Date]],"mmm-yy"))</f>
        <v/>
      </c>
    </row>
    <row r="538" spans="2:15">
      <c r="B538" s="64"/>
      <c r="C538" s="64"/>
      <c r="D538" s="64"/>
      <c r="E538" s="125"/>
      <c r="F538" s="125"/>
      <c r="G538" s="123"/>
      <c r="H538" s="144"/>
      <c r="I538" s="144"/>
      <c r="J538" s="64"/>
      <c r="K538" s="144"/>
      <c r="L538" s="144"/>
      <c r="M538" s="64"/>
      <c r="N538" s="127" t="str">
        <f>IF(ISNA(VLOOKUP(Table3[[#This Row],[Ticket]],Table1[],17,FALSE)),"",VLOOKUP(Table3[[#This Row],[Ticket]],Table1[],17,FALSE))</f>
        <v/>
      </c>
      <c r="O538" s="128" t="str">
        <f>IF(Table3[[#This Row],[Actual End Date]]="","",TEXT(Table3[[#This Row],[Actual End Date]],"mmm-yy"))</f>
        <v/>
      </c>
    </row>
    <row r="539" spans="2:15">
      <c r="B539" s="64"/>
      <c r="C539" s="64"/>
      <c r="D539" s="64"/>
      <c r="E539" s="125"/>
      <c r="F539" s="125"/>
      <c r="G539" s="123"/>
      <c r="H539" s="144"/>
      <c r="I539" s="144"/>
      <c r="J539" s="64"/>
      <c r="K539" s="144"/>
      <c r="L539" s="144"/>
      <c r="M539" s="64"/>
      <c r="N539" s="127" t="str">
        <f>IF(ISNA(VLOOKUP(Table3[[#This Row],[Ticket]],Table1[],17,FALSE)),"",VLOOKUP(Table3[[#This Row],[Ticket]],Table1[],17,FALSE))</f>
        <v/>
      </c>
      <c r="O539" s="128" t="str">
        <f>IF(Table3[[#This Row],[Actual End Date]]="","",TEXT(Table3[[#This Row],[Actual End Date]],"mmm-yy"))</f>
        <v/>
      </c>
    </row>
    <row r="540" spans="2:15">
      <c r="B540" s="64"/>
      <c r="C540" s="64"/>
      <c r="D540" s="64"/>
      <c r="E540" s="125"/>
      <c r="F540" s="125"/>
      <c r="G540" s="123"/>
      <c r="H540" s="144"/>
      <c r="I540" s="144"/>
      <c r="J540" s="64"/>
      <c r="K540" s="144"/>
      <c r="L540" s="144"/>
      <c r="M540" s="64"/>
      <c r="N540" s="127" t="str">
        <f>IF(ISNA(VLOOKUP(Table3[[#This Row],[Ticket]],Table1[],17,FALSE)),"",VLOOKUP(Table3[[#This Row],[Ticket]],Table1[],17,FALSE))</f>
        <v/>
      </c>
      <c r="O540" s="128" t="str">
        <f>IF(Table3[[#This Row],[Actual End Date]]="","",TEXT(Table3[[#This Row],[Actual End Date]],"mmm-yy"))</f>
        <v/>
      </c>
    </row>
    <row r="541" spans="2:15">
      <c r="B541" s="64"/>
      <c r="C541" s="64"/>
      <c r="D541" s="64"/>
      <c r="E541" s="125"/>
      <c r="F541" s="125"/>
      <c r="G541" s="123"/>
      <c r="H541" s="144"/>
      <c r="I541" s="144"/>
      <c r="J541" s="64"/>
      <c r="K541" s="144"/>
      <c r="L541" s="144"/>
      <c r="M541" s="64"/>
      <c r="N541" s="127" t="str">
        <f>IF(ISNA(VLOOKUP(Table3[[#This Row],[Ticket]],Table1[],17,FALSE)),"",VLOOKUP(Table3[[#This Row],[Ticket]],Table1[],17,FALSE))</f>
        <v/>
      </c>
      <c r="O541" s="128" t="str">
        <f>IF(Table3[[#This Row],[Actual End Date]]="","",TEXT(Table3[[#This Row],[Actual End Date]],"mmm-yy"))</f>
        <v/>
      </c>
    </row>
    <row r="542" spans="2:15">
      <c r="B542" s="64"/>
      <c r="C542" s="64"/>
      <c r="D542" s="64"/>
      <c r="E542" s="125"/>
      <c r="F542" s="125"/>
      <c r="G542" s="123"/>
      <c r="H542" s="144"/>
      <c r="I542" s="144"/>
      <c r="J542" s="64"/>
      <c r="K542" s="144"/>
      <c r="L542" s="144"/>
      <c r="M542" s="64"/>
      <c r="N542" s="127" t="str">
        <f>IF(ISNA(VLOOKUP(Table3[[#This Row],[Ticket]],Table1[],17,FALSE)),"",VLOOKUP(Table3[[#This Row],[Ticket]],Table1[],17,FALSE))</f>
        <v/>
      </c>
      <c r="O542" s="128" t="str">
        <f>IF(Table3[[#This Row],[Actual End Date]]="","",TEXT(Table3[[#This Row],[Actual End Date]],"mmm-yy"))</f>
        <v/>
      </c>
    </row>
    <row r="543" spans="2:15">
      <c r="B543" s="64"/>
      <c r="C543" s="64"/>
      <c r="D543" s="64"/>
      <c r="E543" s="125"/>
      <c r="F543" s="125"/>
      <c r="G543" s="123"/>
      <c r="H543" s="144"/>
      <c r="I543" s="144"/>
      <c r="J543" s="64"/>
      <c r="K543" s="144"/>
      <c r="L543" s="144"/>
      <c r="M543" s="64"/>
      <c r="N543" s="127" t="str">
        <f>IF(ISNA(VLOOKUP(Table3[[#This Row],[Ticket]],Table1[],17,FALSE)),"",VLOOKUP(Table3[[#This Row],[Ticket]],Table1[],17,FALSE))</f>
        <v/>
      </c>
      <c r="O543" s="128" t="str">
        <f>IF(Table3[[#This Row],[Actual End Date]]="","",TEXT(Table3[[#This Row],[Actual End Date]],"mmm-yy"))</f>
        <v/>
      </c>
    </row>
    <row r="544" spans="2:15">
      <c r="B544" s="64"/>
      <c r="C544" s="64"/>
      <c r="D544" s="64"/>
      <c r="E544" s="125"/>
      <c r="F544" s="125"/>
      <c r="G544" s="123"/>
      <c r="H544" s="144"/>
      <c r="I544" s="144"/>
      <c r="J544" s="64"/>
      <c r="K544" s="144"/>
      <c r="L544" s="144"/>
      <c r="M544" s="64"/>
      <c r="N544" s="127" t="str">
        <f>IF(ISNA(VLOOKUP(Table3[[#This Row],[Ticket]],Table1[],17,FALSE)),"",VLOOKUP(Table3[[#This Row],[Ticket]],Table1[],17,FALSE))</f>
        <v/>
      </c>
      <c r="O544" s="128" t="str">
        <f>IF(Table3[[#This Row],[Actual End Date]]="","",TEXT(Table3[[#This Row],[Actual End Date]],"mmm-yy"))</f>
        <v/>
      </c>
    </row>
    <row r="545" spans="2:15">
      <c r="B545" s="64"/>
      <c r="C545" s="64"/>
      <c r="D545" s="64"/>
      <c r="E545" s="125"/>
      <c r="F545" s="125"/>
      <c r="G545" s="123"/>
      <c r="H545" s="144"/>
      <c r="I545" s="144"/>
      <c r="J545" s="64"/>
      <c r="K545" s="144"/>
      <c r="L545" s="144"/>
      <c r="M545" s="64"/>
      <c r="N545" s="127" t="str">
        <f>IF(ISNA(VLOOKUP(Table3[[#This Row],[Ticket]],Table1[],17,FALSE)),"",VLOOKUP(Table3[[#This Row],[Ticket]],Table1[],17,FALSE))</f>
        <v/>
      </c>
      <c r="O545" s="128" t="str">
        <f>IF(Table3[[#This Row],[Actual End Date]]="","",TEXT(Table3[[#This Row],[Actual End Date]],"mmm-yy"))</f>
        <v/>
      </c>
    </row>
    <row r="546" spans="2:15">
      <c r="B546" s="64"/>
      <c r="C546" s="64"/>
      <c r="D546" s="64"/>
      <c r="E546" s="125"/>
      <c r="F546" s="125"/>
      <c r="G546" s="123"/>
      <c r="H546" s="144"/>
      <c r="I546" s="144"/>
      <c r="J546" s="64"/>
      <c r="K546" s="144"/>
      <c r="L546" s="144"/>
      <c r="M546" s="64"/>
      <c r="N546" s="127" t="str">
        <f>IF(ISNA(VLOOKUP(Table3[[#This Row],[Ticket]],Table1[],17,FALSE)),"",VLOOKUP(Table3[[#This Row],[Ticket]],Table1[],17,FALSE))</f>
        <v/>
      </c>
      <c r="O546" s="128" t="str">
        <f>IF(Table3[[#This Row],[Actual End Date]]="","",TEXT(Table3[[#This Row],[Actual End Date]],"mmm-yy"))</f>
        <v/>
      </c>
    </row>
    <row r="547" spans="2:15">
      <c r="B547" s="64"/>
      <c r="C547" s="64"/>
      <c r="D547" s="64"/>
      <c r="E547" s="125"/>
      <c r="F547" s="125"/>
      <c r="G547" s="143"/>
      <c r="H547" s="144"/>
      <c r="I547" s="144"/>
      <c r="J547" s="64"/>
      <c r="K547" s="144"/>
      <c r="L547" s="144"/>
      <c r="M547" s="64"/>
      <c r="N547" s="127" t="str">
        <f>IF(ISNA(VLOOKUP(Table3[[#This Row],[Ticket]],Table1[],17,FALSE)),"",VLOOKUP(Table3[[#This Row],[Ticket]],Table1[],17,FALSE))</f>
        <v/>
      </c>
      <c r="O547" s="128" t="str">
        <f>IF(Table3[[#This Row],[Actual End Date]]="","",TEXT(Table3[[#This Row],[Actual End Date]],"mmm-yy"))</f>
        <v/>
      </c>
    </row>
    <row r="548" spans="2:15">
      <c r="B548" s="64"/>
      <c r="C548" s="64"/>
      <c r="D548" s="64"/>
      <c r="E548" s="125"/>
      <c r="F548" s="125"/>
      <c r="G548" s="123"/>
      <c r="H548" s="144"/>
      <c r="I548" s="144"/>
      <c r="J548" s="64"/>
      <c r="K548" s="144"/>
      <c r="L548" s="144"/>
      <c r="M548" s="64"/>
      <c r="N548" s="127" t="str">
        <f>IF(ISNA(VLOOKUP(Table3[[#This Row],[Ticket]],Table1[],17,FALSE)),"",VLOOKUP(Table3[[#This Row],[Ticket]],Table1[],17,FALSE))</f>
        <v/>
      </c>
      <c r="O548" s="128" t="str">
        <f>IF(Table3[[#This Row],[Actual End Date]]="","",TEXT(Table3[[#This Row],[Actual End Date]],"mmm-yy"))</f>
        <v/>
      </c>
    </row>
    <row r="549" spans="2:15">
      <c r="B549" s="64"/>
      <c r="C549" s="64"/>
      <c r="D549" s="64"/>
      <c r="E549" s="125"/>
      <c r="F549" s="125"/>
      <c r="G549" s="123"/>
      <c r="H549" s="144"/>
      <c r="I549" s="144"/>
      <c r="J549" s="64"/>
      <c r="K549" s="144"/>
      <c r="L549" s="144"/>
      <c r="M549" s="64"/>
      <c r="N549" s="127" t="str">
        <f>IF(ISNA(VLOOKUP(Table3[[#This Row],[Ticket]],Table1[],17,FALSE)),"",VLOOKUP(Table3[[#This Row],[Ticket]],Table1[],17,FALSE))</f>
        <v/>
      </c>
      <c r="O549" s="128" t="str">
        <f>IF(Table3[[#This Row],[Actual End Date]]="","",TEXT(Table3[[#This Row],[Actual End Date]],"mmm-yy"))</f>
        <v/>
      </c>
    </row>
    <row r="550" spans="2:15">
      <c r="B550" s="64"/>
      <c r="C550" s="64"/>
      <c r="D550" s="64"/>
      <c r="E550" s="125"/>
      <c r="F550" s="125"/>
      <c r="G550" s="123"/>
      <c r="H550" s="144"/>
      <c r="I550" s="144"/>
      <c r="J550" s="64"/>
      <c r="K550" s="144"/>
      <c r="L550" s="144"/>
      <c r="M550" s="64"/>
      <c r="N550" s="127" t="str">
        <f>IF(ISNA(VLOOKUP(Table3[[#This Row],[Ticket]],Table1[],17,FALSE)),"",VLOOKUP(Table3[[#This Row],[Ticket]],Table1[],17,FALSE))</f>
        <v/>
      </c>
      <c r="O550" s="128" t="str">
        <f>IF(Table3[[#This Row],[Actual End Date]]="","",TEXT(Table3[[#This Row],[Actual End Date]],"mmm-yy"))</f>
        <v/>
      </c>
    </row>
    <row r="551" spans="2:15">
      <c r="B551" s="64"/>
      <c r="C551" s="64"/>
      <c r="D551" s="64"/>
      <c r="E551" s="125"/>
      <c r="F551" s="125"/>
      <c r="G551" s="123"/>
      <c r="H551" s="144"/>
      <c r="I551" s="144"/>
      <c r="J551" s="64"/>
      <c r="K551" s="144"/>
      <c r="L551" s="144"/>
      <c r="M551" s="64"/>
      <c r="N551" s="127" t="str">
        <f>IF(ISNA(VLOOKUP(Table3[[#This Row],[Ticket]],Table1[],17,FALSE)),"",VLOOKUP(Table3[[#This Row],[Ticket]],Table1[],17,FALSE))</f>
        <v/>
      </c>
      <c r="O551" s="128" t="str">
        <f>IF(Table3[[#This Row],[Actual End Date]]="","",TEXT(Table3[[#This Row],[Actual End Date]],"mmm-yy"))</f>
        <v/>
      </c>
    </row>
    <row r="552" spans="2:15">
      <c r="B552" s="64"/>
      <c r="C552" s="64"/>
      <c r="D552" s="64"/>
      <c r="E552" s="125"/>
      <c r="F552" s="125"/>
      <c r="G552" s="123"/>
      <c r="H552" s="144"/>
      <c r="I552" s="144"/>
      <c r="J552" s="64"/>
      <c r="K552" s="144"/>
      <c r="L552" s="144"/>
      <c r="M552" s="64"/>
      <c r="N552" s="127" t="str">
        <f>IF(ISNA(VLOOKUP(Table3[[#This Row],[Ticket]],Table1[],17,FALSE)),"",VLOOKUP(Table3[[#This Row],[Ticket]],Table1[],17,FALSE))</f>
        <v/>
      </c>
      <c r="O552" s="128" t="str">
        <f>IF(Table3[[#This Row],[Actual End Date]]="","",TEXT(Table3[[#This Row],[Actual End Date]],"mmm-yy"))</f>
        <v/>
      </c>
    </row>
    <row r="553" spans="2:15">
      <c r="B553" s="64"/>
      <c r="C553" s="64"/>
      <c r="D553" s="64"/>
      <c r="E553" s="125"/>
      <c r="F553" s="125"/>
      <c r="G553" s="123"/>
      <c r="H553" s="144"/>
      <c r="I553" s="144"/>
      <c r="J553" s="64"/>
      <c r="K553" s="144"/>
      <c r="L553" s="144"/>
      <c r="M553" s="64"/>
      <c r="N553" s="127" t="str">
        <f>IF(ISNA(VLOOKUP(Table3[[#This Row],[Ticket]],Table1[],17,FALSE)),"",VLOOKUP(Table3[[#This Row],[Ticket]],Table1[],17,FALSE))</f>
        <v/>
      </c>
      <c r="O553" s="128" t="str">
        <f>IF(Table3[[#This Row],[Actual End Date]]="","",TEXT(Table3[[#This Row],[Actual End Date]],"mmm-yy"))</f>
        <v/>
      </c>
    </row>
    <row r="554" spans="2:15">
      <c r="B554" s="64"/>
      <c r="C554" s="64"/>
      <c r="D554" s="64"/>
      <c r="E554" s="125"/>
      <c r="F554" s="125"/>
      <c r="G554" s="123"/>
      <c r="H554" s="144"/>
      <c r="I554" s="144"/>
      <c r="J554" s="64"/>
      <c r="K554" s="144"/>
      <c r="L554" s="144"/>
      <c r="M554" s="64"/>
      <c r="N554" s="127" t="str">
        <f>IF(ISNA(VLOOKUP(Table3[[#This Row],[Ticket]],Table1[],17,FALSE)),"",VLOOKUP(Table3[[#This Row],[Ticket]],Table1[],17,FALSE))</f>
        <v/>
      </c>
      <c r="O554" s="128" t="str">
        <f>IF(Table3[[#This Row],[Actual End Date]]="","",TEXT(Table3[[#This Row],[Actual End Date]],"mmm-yy"))</f>
        <v/>
      </c>
    </row>
    <row r="555" spans="2:15">
      <c r="B555" s="64"/>
      <c r="C555" s="64"/>
      <c r="D555" s="64"/>
      <c r="E555" s="125"/>
      <c r="F555" s="125"/>
      <c r="G555" s="123"/>
      <c r="H555" s="144"/>
      <c r="I555" s="144"/>
      <c r="J555" s="64"/>
      <c r="K555" s="144"/>
      <c r="L555" s="144"/>
      <c r="M555" s="64"/>
      <c r="N555" s="127" t="str">
        <f>IF(ISNA(VLOOKUP(Table3[[#This Row],[Ticket]],Table1[],17,FALSE)),"",VLOOKUP(Table3[[#This Row],[Ticket]],Table1[],17,FALSE))</f>
        <v/>
      </c>
      <c r="O555" s="128" t="str">
        <f>IF(Table3[[#This Row],[Actual End Date]]="","",TEXT(Table3[[#This Row],[Actual End Date]],"mmm-yy"))</f>
        <v/>
      </c>
    </row>
    <row r="556" spans="2:15">
      <c r="B556" s="64"/>
      <c r="C556" s="64"/>
      <c r="D556" s="64"/>
      <c r="E556" s="125"/>
      <c r="F556" s="125"/>
      <c r="G556" s="123"/>
      <c r="H556" s="144"/>
      <c r="I556" s="144"/>
      <c r="J556" s="64"/>
      <c r="K556" s="144"/>
      <c r="L556" s="144"/>
      <c r="M556" s="64"/>
      <c r="N556" s="127" t="str">
        <f>IF(ISNA(VLOOKUP(Table3[[#This Row],[Ticket]],Table1[],17,FALSE)),"",VLOOKUP(Table3[[#This Row],[Ticket]],Table1[],17,FALSE))</f>
        <v/>
      </c>
      <c r="O556" s="128" t="str">
        <f>IF(Table3[[#This Row],[Actual End Date]]="","",TEXT(Table3[[#This Row],[Actual End Date]],"mmm-yy"))</f>
        <v/>
      </c>
    </row>
    <row r="557" spans="2:15">
      <c r="B557" s="64"/>
      <c r="C557" s="64"/>
      <c r="D557" s="64"/>
      <c r="E557" s="125"/>
      <c r="F557" s="125"/>
      <c r="G557" s="123"/>
      <c r="H557" s="144"/>
      <c r="I557" s="144"/>
      <c r="J557" s="64"/>
      <c r="K557" s="144"/>
      <c r="L557" s="144"/>
      <c r="M557" s="64"/>
      <c r="N557" s="127" t="str">
        <f>IF(ISNA(VLOOKUP(Table3[[#This Row],[Ticket]],Table1[],17,FALSE)),"",VLOOKUP(Table3[[#This Row],[Ticket]],Table1[],17,FALSE))</f>
        <v/>
      </c>
      <c r="O557" s="128" t="str">
        <f>IF(Table3[[#This Row],[Actual End Date]]="","",TEXT(Table3[[#This Row],[Actual End Date]],"mmm-yy"))</f>
        <v/>
      </c>
    </row>
    <row r="558" spans="2:15">
      <c r="B558" s="64"/>
      <c r="C558" s="64"/>
      <c r="D558" s="64"/>
      <c r="E558" s="125"/>
      <c r="F558" s="125"/>
      <c r="G558" s="123"/>
      <c r="H558" s="144"/>
      <c r="I558" s="144"/>
      <c r="J558" s="64"/>
      <c r="K558" s="144"/>
      <c r="L558" s="144"/>
      <c r="M558" s="64"/>
      <c r="N558" s="127" t="str">
        <f>IF(ISNA(VLOOKUP(Table3[[#This Row],[Ticket]],Table1[],17,FALSE)),"",VLOOKUP(Table3[[#This Row],[Ticket]],Table1[],17,FALSE))</f>
        <v/>
      </c>
      <c r="O558" s="128" t="str">
        <f>IF(Table3[[#This Row],[Actual End Date]]="","",TEXT(Table3[[#This Row],[Actual End Date]],"mmm-yy"))</f>
        <v/>
      </c>
    </row>
    <row r="559" spans="2:15">
      <c r="B559" s="64"/>
      <c r="C559" s="64"/>
      <c r="D559" s="64"/>
      <c r="E559" s="125"/>
      <c r="F559" s="125"/>
      <c r="G559" s="123"/>
      <c r="H559" s="144"/>
      <c r="I559" s="144"/>
      <c r="J559" s="64"/>
      <c r="K559" s="144"/>
      <c r="L559" s="144"/>
      <c r="M559" s="64"/>
      <c r="N559" s="127" t="str">
        <f>IF(ISNA(VLOOKUP(Table3[[#This Row],[Ticket]],Table1[],17,FALSE)),"",VLOOKUP(Table3[[#This Row],[Ticket]],Table1[],17,FALSE))</f>
        <v/>
      </c>
      <c r="O559" s="128" t="str">
        <f>IF(Table3[[#This Row],[Actual End Date]]="","",TEXT(Table3[[#This Row],[Actual End Date]],"mmm-yy"))</f>
        <v/>
      </c>
    </row>
    <row r="560" spans="2:15">
      <c r="B560" s="64"/>
      <c r="C560" s="64"/>
      <c r="D560" s="64"/>
      <c r="E560" s="125"/>
      <c r="F560" s="125"/>
      <c r="G560" s="123"/>
      <c r="H560" s="144"/>
      <c r="I560" s="144"/>
      <c r="J560" s="64"/>
      <c r="K560" s="144"/>
      <c r="L560" s="144"/>
      <c r="M560" s="64"/>
      <c r="N560" s="127" t="str">
        <f>IF(ISNA(VLOOKUP(Table3[[#This Row],[Ticket]],Table1[],17,FALSE)),"",VLOOKUP(Table3[[#This Row],[Ticket]],Table1[],17,FALSE))</f>
        <v/>
      </c>
      <c r="O560" s="128" t="str">
        <f>IF(Table3[[#This Row],[Actual End Date]]="","",TEXT(Table3[[#This Row],[Actual End Date]],"mmm-yy"))</f>
        <v/>
      </c>
    </row>
    <row r="561" spans="2:15">
      <c r="B561" s="64"/>
      <c r="C561" s="64"/>
      <c r="D561" s="64"/>
      <c r="E561" s="125"/>
      <c r="F561" s="125"/>
      <c r="G561" s="123"/>
      <c r="H561" s="144"/>
      <c r="I561" s="144"/>
      <c r="J561" s="64"/>
      <c r="K561" s="144"/>
      <c r="L561" s="144"/>
      <c r="M561" s="64"/>
      <c r="N561" s="127" t="str">
        <f>IF(ISNA(VLOOKUP(Table3[[#This Row],[Ticket]],Table1[],17,FALSE)),"",VLOOKUP(Table3[[#This Row],[Ticket]],Table1[],17,FALSE))</f>
        <v/>
      </c>
      <c r="O561" s="128" t="str">
        <f>IF(Table3[[#This Row],[Actual End Date]]="","",TEXT(Table3[[#This Row],[Actual End Date]],"mmm-yy"))</f>
        <v/>
      </c>
    </row>
    <row r="562" spans="2:15">
      <c r="B562" s="64"/>
      <c r="C562" s="64"/>
      <c r="D562" s="64"/>
      <c r="E562" s="125"/>
      <c r="F562" s="125"/>
      <c r="G562" s="123"/>
      <c r="H562" s="144"/>
      <c r="I562" s="144"/>
      <c r="J562" s="64"/>
      <c r="K562" s="144"/>
      <c r="L562" s="144"/>
      <c r="M562" s="64"/>
      <c r="N562" s="127" t="str">
        <f>IF(ISNA(VLOOKUP(Table3[[#This Row],[Ticket]],Table1[],17,FALSE)),"",VLOOKUP(Table3[[#This Row],[Ticket]],Table1[],17,FALSE))</f>
        <v/>
      </c>
      <c r="O562" s="128" t="str">
        <f>IF(Table3[[#This Row],[Actual End Date]]="","",TEXT(Table3[[#This Row],[Actual End Date]],"mmm-yy"))</f>
        <v/>
      </c>
    </row>
    <row r="563" spans="2:15">
      <c r="B563" s="64"/>
      <c r="C563" s="64"/>
      <c r="D563" s="64"/>
      <c r="E563" s="125"/>
      <c r="F563" s="125"/>
      <c r="G563" s="123"/>
      <c r="H563" s="144"/>
      <c r="I563" s="144"/>
      <c r="J563" s="64"/>
      <c r="K563" s="144"/>
      <c r="L563" s="144"/>
      <c r="M563" s="64"/>
      <c r="N563" s="127" t="str">
        <f>IF(ISNA(VLOOKUP(Table3[[#This Row],[Ticket]],Table1[],17,FALSE)),"",VLOOKUP(Table3[[#This Row],[Ticket]],Table1[],17,FALSE))</f>
        <v/>
      </c>
      <c r="O563" s="128" t="str">
        <f>IF(Table3[[#This Row],[Actual End Date]]="","",TEXT(Table3[[#This Row],[Actual End Date]],"mmm-yy"))</f>
        <v/>
      </c>
    </row>
    <row r="564" spans="2:15">
      <c r="B564" s="64"/>
      <c r="C564" s="64"/>
      <c r="D564" s="64"/>
      <c r="E564" s="125"/>
      <c r="F564" s="125"/>
      <c r="G564" s="123"/>
      <c r="H564" s="144"/>
      <c r="I564" s="144"/>
      <c r="J564" s="64"/>
      <c r="K564" s="144"/>
      <c r="L564" s="144"/>
      <c r="M564" s="64"/>
      <c r="N564" s="127" t="str">
        <f>IF(ISNA(VLOOKUP(Table3[[#This Row],[Ticket]],Table1[],17,FALSE)),"",VLOOKUP(Table3[[#This Row],[Ticket]],Table1[],17,FALSE))</f>
        <v/>
      </c>
      <c r="O564" s="128" t="str">
        <f>IF(Table3[[#This Row],[Actual End Date]]="","",TEXT(Table3[[#This Row],[Actual End Date]],"mmm-yy"))</f>
        <v/>
      </c>
    </row>
    <row r="565" spans="2:15">
      <c r="B565" s="64"/>
      <c r="C565" s="64"/>
      <c r="D565" s="64"/>
      <c r="E565" s="125"/>
      <c r="F565" s="125"/>
      <c r="G565" s="123"/>
      <c r="H565" s="144"/>
      <c r="I565" s="144"/>
      <c r="J565" s="64"/>
      <c r="K565" s="144"/>
      <c r="L565" s="144"/>
      <c r="M565" s="64"/>
      <c r="N565" s="127" t="str">
        <f>IF(ISNA(VLOOKUP(Table3[[#This Row],[Ticket]],Table1[],17,FALSE)),"",VLOOKUP(Table3[[#This Row],[Ticket]],Table1[],17,FALSE))</f>
        <v/>
      </c>
      <c r="O565" s="128" t="str">
        <f>IF(Table3[[#This Row],[Actual End Date]]="","",TEXT(Table3[[#This Row],[Actual End Date]],"mmm-yy"))</f>
        <v/>
      </c>
    </row>
    <row r="566" spans="2:15">
      <c r="B566" s="64"/>
      <c r="C566" s="64"/>
      <c r="D566" s="64"/>
      <c r="E566" s="125"/>
      <c r="F566" s="125"/>
      <c r="G566" s="123"/>
      <c r="H566" s="144"/>
      <c r="I566" s="144"/>
      <c r="J566" s="64"/>
      <c r="K566" s="144"/>
      <c r="L566" s="144"/>
      <c r="M566" s="64"/>
      <c r="N566" s="127" t="str">
        <f>IF(ISNA(VLOOKUP(Table3[[#This Row],[Ticket]],Table1[],17,FALSE)),"",VLOOKUP(Table3[[#This Row],[Ticket]],Table1[],17,FALSE))</f>
        <v/>
      </c>
      <c r="O566" s="128" t="str">
        <f>IF(Table3[[#This Row],[Actual End Date]]="","",TEXT(Table3[[#This Row],[Actual End Date]],"mmm-yy"))</f>
        <v/>
      </c>
    </row>
    <row r="567" spans="2:15">
      <c r="B567" s="64"/>
      <c r="C567" s="64"/>
      <c r="D567" s="64"/>
      <c r="E567" s="125"/>
      <c r="F567" s="125"/>
      <c r="G567" s="123"/>
      <c r="H567" s="144"/>
      <c r="I567" s="144"/>
      <c r="J567" s="64"/>
      <c r="K567" s="144"/>
      <c r="L567" s="144"/>
      <c r="M567" s="64"/>
      <c r="N567" s="127" t="str">
        <f>IF(ISNA(VLOOKUP(Table3[[#This Row],[Ticket]],Table1[],17,FALSE)),"",VLOOKUP(Table3[[#This Row],[Ticket]],Table1[],17,FALSE))</f>
        <v/>
      </c>
      <c r="O567" s="128" t="str">
        <f>IF(Table3[[#This Row],[Actual End Date]]="","",TEXT(Table3[[#This Row],[Actual End Date]],"mmm-yy"))</f>
        <v/>
      </c>
    </row>
    <row r="568" spans="2:15">
      <c r="B568" s="64"/>
      <c r="C568" s="64"/>
      <c r="D568" s="64"/>
      <c r="E568" s="64"/>
      <c r="F568" s="64"/>
      <c r="G568" s="64"/>
      <c r="H568" s="64"/>
      <c r="I568" s="64"/>
      <c r="J568" s="64"/>
      <c r="K568" s="64"/>
      <c r="L568" s="64"/>
      <c r="M568" s="64"/>
      <c r="N568" s="127" t="str">
        <f>IF(ISNA(VLOOKUP(Table3[[#This Row],[Ticket]],Table1[],17,FALSE)),"",VLOOKUP(Table3[[#This Row],[Ticket]],Table1[],17,FALSE))</f>
        <v/>
      </c>
      <c r="O568" s="128" t="str">
        <f>IF(Table3[[#This Row],[Actual End Date]]="","",TEXT(Table3[[#This Row],[Actual End Date]],"mmm-yy"))</f>
        <v/>
      </c>
    </row>
    <row r="569" spans="2:15">
      <c r="B569" s="64"/>
      <c r="C569" s="64"/>
      <c r="D569" s="64"/>
      <c r="E569" s="64"/>
      <c r="F569" s="64"/>
      <c r="G569" s="64"/>
      <c r="H569" s="64"/>
      <c r="I569" s="64"/>
      <c r="J569" s="64"/>
      <c r="K569" s="64"/>
      <c r="L569" s="64"/>
      <c r="M569" s="64"/>
      <c r="N569" s="127" t="str">
        <f>IF(ISNA(VLOOKUP(Table3[[#This Row],[Ticket]],Table1[],17,FALSE)),"",VLOOKUP(Table3[[#This Row],[Ticket]],Table1[],17,FALSE))</f>
        <v/>
      </c>
      <c r="O569" s="128" t="str">
        <f>IF(Table3[[#This Row],[Actual End Date]]="","",TEXT(Table3[[#This Row],[Actual End Date]],"mmm-yy"))</f>
        <v/>
      </c>
    </row>
    <row r="570" spans="2:15">
      <c r="B570" s="64"/>
      <c r="C570" s="64"/>
      <c r="D570" s="64"/>
      <c r="E570" s="64"/>
      <c r="F570" s="64"/>
      <c r="G570" s="64"/>
      <c r="H570" s="64"/>
      <c r="I570" s="64"/>
      <c r="J570" s="64"/>
      <c r="K570" s="64"/>
      <c r="L570" s="64"/>
      <c r="M570" s="64"/>
      <c r="N570" s="127" t="str">
        <f>IF(ISNA(VLOOKUP(Table3[[#This Row],[Ticket]],Table1[],17,FALSE)),"",VLOOKUP(Table3[[#This Row],[Ticket]],Table1[],17,FALSE))</f>
        <v/>
      </c>
      <c r="O570" s="128" t="str">
        <f>IF(Table3[[#This Row],[Actual End Date]]="","",TEXT(Table3[[#This Row],[Actual End Date]],"mmm-yy"))</f>
        <v/>
      </c>
    </row>
    <row r="571" spans="2:15">
      <c r="B571" s="64"/>
      <c r="C571" s="64"/>
      <c r="D571" s="64"/>
      <c r="E571" s="64"/>
      <c r="F571" s="64"/>
      <c r="G571" s="64"/>
      <c r="H571" s="64"/>
      <c r="I571" s="64"/>
      <c r="J571" s="64"/>
      <c r="K571" s="64"/>
      <c r="L571" s="64"/>
      <c r="M571" s="64"/>
      <c r="N571" s="127" t="str">
        <f>IF(ISNA(VLOOKUP(Table3[[#This Row],[Ticket]],Table1[],17,FALSE)),"",VLOOKUP(Table3[[#This Row],[Ticket]],Table1[],17,FALSE))</f>
        <v/>
      </c>
      <c r="O571" s="128" t="str">
        <f>IF(Table3[[#This Row],[Actual End Date]]="","",TEXT(Table3[[#This Row],[Actual End Date]],"mmm-yy"))</f>
        <v/>
      </c>
    </row>
    <row r="572" spans="2:15">
      <c r="B572" s="64"/>
      <c r="C572" s="64"/>
      <c r="D572" s="64"/>
      <c r="E572" s="64"/>
      <c r="F572" s="64"/>
      <c r="G572" s="64"/>
      <c r="H572" s="64"/>
      <c r="I572" s="64"/>
      <c r="J572" s="64"/>
      <c r="K572" s="64"/>
      <c r="L572" s="64"/>
      <c r="M572" s="64"/>
      <c r="N572" s="127" t="str">
        <f>IF(ISNA(VLOOKUP(Table3[[#This Row],[Ticket]],Table1[],17,FALSE)),"",VLOOKUP(Table3[[#This Row],[Ticket]],Table1[],17,FALSE))</f>
        <v/>
      </c>
      <c r="O572" s="128" t="str">
        <f>IF(Table3[[#This Row],[Actual End Date]]="","",TEXT(Table3[[#This Row],[Actual End Date]],"mmm-yy"))</f>
        <v/>
      </c>
    </row>
    <row r="573" spans="2:15">
      <c r="B573" s="64"/>
      <c r="C573" s="64"/>
      <c r="D573" s="64"/>
      <c r="E573" s="64"/>
      <c r="F573" s="64"/>
      <c r="G573" s="64"/>
      <c r="H573" s="64"/>
      <c r="I573" s="64"/>
      <c r="J573" s="64"/>
      <c r="K573" s="64"/>
      <c r="L573" s="64"/>
      <c r="M573" s="64"/>
      <c r="N573" s="127" t="str">
        <f>IF(ISNA(VLOOKUP(Table3[[#This Row],[Ticket]],Table1[],17,FALSE)),"",VLOOKUP(Table3[[#This Row],[Ticket]],Table1[],17,FALSE))</f>
        <v/>
      </c>
      <c r="O573" s="128" t="str">
        <f>IF(Table3[[#This Row],[Actual End Date]]="","",TEXT(Table3[[#This Row],[Actual End Date]],"mmm-yy"))</f>
        <v/>
      </c>
    </row>
    <row r="574" spans="2:15">
      <c r="B574" s="64"/>
      <c r="C574" s="64"/>
      <c r="D574" s="64"/>
      <c r="E574" s="64"/>
      <c r="F574" s="64"/>
      <c r="G574" s="64"/>
      <c r="H574" s="64"/>
      <c r="I574" s="64"/>
      <c r="J574" s="64"/>
      <c r="K574" s="64"/>
      <c r="L574" s="64"/>
      <c r="M574" s="64"/>
      <c r="N574" s="127" t="str">
        <f>IF(ISNA(VLOOKUP(Table3[[#This Row],[Ticket]],Table1[],17,FALSE)),"",VLOOKUP(Table3[[#This Row],[Ticket]],Table1[],17,FALSE))</f>
        <v/>
      </c>
      <c r="O574" s="128" t="str">
        <f>IF(Table3[[#This Row],[Actual End Date]]="","",TEXT(Table3[[#This Row],[Actual End Date]],"mmm-yy"))</f>
        <v/>
      </c>
    </row>
    <row r="575" spans="2:15">
      <c r="B575" s="64"/>
      <c r="C575" s="64"/>
      <c r="D575" s="64"/>
      <c r="E575" s="64"/>
      <c r="F575" s="64"/>
      <c r="G575" s="64"/>
      <c r="H575" s="64"/>
      <c r="I575" s="64"/>
      <c r="J575" s="64"/>
      <c r="K575" s="64"/>
      <c r="L575" s="64"/>
      <c r="M575" s="64"/>
      <c r="N575" s="127" t="str">
        <f>IF(ISNA(VLOOKUP(Table3[[#This Row],[Ticket]],Table1[],17,FALSE)),"",VLOOKUP(Table3[[#This Row],[Ticket]],Table1[],17,FALSE))</f>
        <v/>
      </c>
      <c r="O575" s="128" t="str">
        <f>IF(Table3[[#This Row],[Actual End Date]]="","",TEXT(Table3[[#This Row],[Actual End Date]],"mmm-yy"))</f>
        <v/>
      </c>
    </row>
    <row r="576" spans="2:15">
      <c r="B576" s="64"/>
      <c r="C576" s="64"/>
      <c r="D576" s="64"/>
      <c r="E576" s="64"/>
      <c r="F576" s="64"/>
      <c r="G576" s="64"/>
      <c r="H576" s="64"/>
      <c r="I576" s="64"/>
      <c r="J576" s="64"/>
      <c r="K576" s="64"/>
      <c r="L576" s="64"/>
      <c r="M576" s="64"/>
      <c r="N576" s="127" t="str">
        <f>IF(ISNA(VLOOKUP(Table3[[#This Row],[Ticket]],Table1[],17,FALSE)),"",VLOOKUP(Table3[[#This Row],[Ticket]],Table1[],17,FALSE))</f>
        <v/>
      </c>
      <c r="O576" s="128" t="str">
        <f>IF(Table3[[#This Row],[Actual End Date]]="","",TEXT(Table3[[#This Row],[Actual End Date]],"mmm-yy"))</f>
        <v/>
      </c>
    </row>
    <row r="577" spans="2:15">
      <c r="B577" s="64"/>
      <c r="C577" s="64"/>
      <c r="D577" s="64"/>
      <c r="E577" s="64"/>
      <c r="F577" s="64"/>
      <c r="G577" s="64"/>
      <c r="H577" s="64"/>
      <c r="I577" s="64"/>
      <c r="J577" s="64"/>
      <c r="K577" s="64"/>
      <c r="L577" s="64"/>
      <c r="M577" s="64"/>
      <c r="N577" s="127" t="str">
        <f>IF(ISNA(VLOOKUP(Table3[[#This Row],[Ticket]],Table1[],17,FALSE)),"",VLOOKUP(Table3[[#This Row],[Ticket]],Table1[],17,FALSE))</f>
        <v/>
      </c>
      <c r="O577" s="128" t="str">
        <f>IF(Table3[[#This Row],[Actual End Date]]="","",TEXT(Table3[[#This Row],[Actual End Date]],"mmm-yy"))</f>
        <v/>
      </c>
    </row>
    <row r="578" spans="2:15">
      <c r="B578" s="64"/>
      <c r="C578" s="64"/>
      <c r="D578" s="64"/>
      <c r="E578" s="64"/>
      <c r="F578" s="64"/>
      <c r="G578" s="64"/>
      <c r="H578" s="64"/>
      <c r="I578" s="64"/>
      <c r="J578" s="64"/>
      <c r="K578" s="64"/>
      <c r="L578" s="64"/>
      <c r="M578" s="64"/>
      <c r="N578" s="127" t="str">
        <f>IF(ISNA(VLOOKUP(Table3[[#This Row],[Ticket]],Table1[],17,FALSE)),"",VLOOKUP(Table3[[#This Row],[Ticket]],Table1[],17,FALSE))</f>
        <v/>
      </c>
      <c r="O578" s="128" t="str">
        <f>IF(Table3[[#This Row],[Actual End Date]]="","",TEXT(Table3[[#This Row],[Actual End Date]],"mmm-yy"))</f>
        <v/>
      </c>
    </row>
    <row r="579" spans="2:15">
      <c r="B579" s="64"/>
      <c r="C579" s="64"/>
      <c r="D579" s="64"/>
      <c r="E579" s="64"/>
      <c r="F579" s="64"/>
      <c r="G579" s="64"/>
      <c r="H579" s="64"/>
      <c r="I579" s="64"/>
      <c r="J579" s="64"/>
      <c r="K579" s="64"/>
      <c r="L579" s="64"/>
      <c r="M579" s="64"/>
      <c r="N579" s="127" t="str">
        <f>IF(ISNA(VLOOKUP(Table3[[#This Row],[Ticket]],Table1[],17,FALSE)),"",VLOOKUP(Table3[[#This Row],[Ticket]],Table1[],17,FALSE))</f>
        <v/>
      </c>
      <c r="O579" s="128" t="str">
        <f>IF(Table3[[#This Row],[Actual End Date]]="","",TEXT(Table3[[#This Row],[Actual End Date]],"mmm-yy"))</f>
        <v/>
      </c>
    </row>
    <row r="580" spans="2:15">
      <c r="B580" s="64"/>
      <c r="C580" s="64"/>
      <c r="D580" s="64"/>
      <c r="E580" s="64"/>
      <c r="F580" s="64"/>
      <c r="G580" s="64"/>
      <c r="H580" s="64"/>
      <c r="I580" s="64"/>
      <c r="J580" s="64"/>
      <c r="K580" s="64"/>
      <c r="L580" s="64"/>
      <c r="M580" s="64"/>
      <c r="N580" s="127" t="str">
        <f>IF(ISNA(VLOOKUP(Table3[[#This Row],[Ticket]],Table1[],17,FALSE)),"",VLOOKUP(Table3[[#This Row],[Ticket]],Table1[],17,FALSE))</f>
        <v/>
      </c>
      <c r="O580" s="128" t="str">
        <f>IF(Table3[[#This Row],[Actual End Date]]="","",TEXT(Table3[[#This Row],[Actual End Date]],"mmm-yy"))</f>
        <v/>
      </c>
    </row>
    <row r="581" spans="2:15">
      <c r="B581" s="64"/>
      <c r="C581" s="64"/>
      <c r="D581" s="64"/>
      <c r="E581" s="64"/>
      <c r="F581" s="64"/>
      <c r="G581" s="64"/>
      <c r="H581" s="64"/>
      <c r="I581" s="64"/>
      <c r="J581" s="64"/>
      <c r="K581" s="64"/>
      <c r="L581" s="64"/>
      <c r="M581" s="64"/>
      <c r="N581" s="127" t="str">
        <f>IF(ISNA(VLOOKUP(Table3[[#This Row],[Ticket]],Table1[],17,FALSE)),"",VLOOKUP(Table3[[#This Row],[Ticket]],Table1[],17,FALSE))</f>
        <v/>
      </c>
      <c r="O581" s="128" t="str">
        <f>IF(Table3[[#This Row],[Actual End Date]]="","",TEXT(Table3[[#This Row],[Actual End Date]],"mmm-yy"))</f>
        <v/>
      </c>
    </row>
    <row r="582" spans="2:15">
      <c r="B582" s="64"/>
      <c r="C582" s="64"/>
      <c r="D582" s="64"/>
      <c r="E582" s="64"/>
      <c r="F582" s="64"/>
      <c r="G582" s="64"/>
      <c r="H582" s="64"/>
      <c r="I582" s="64"/>
      <c r="J582" s="64"/>
      <c r="K582" s="64"/>
      <c r="L582" s="64"/>
      <c r="M582" s="64"/>
      <c r="N582" s="127" t="str">
        <f>IF(ISNA(VLOOKUP(Table3[[#This Row],[Ticket]],Table1[],17,FALSE)),"",VLOOKUP(Table3[[#This Row],[Ticket]],Table1[],17,FALSE))</f>
        <v/>
      </c>
      <c r="O582" s="128" t="str">
        <f>IF(Table3[[#This Row],[Actual End Date]]="","",TEXT(Table3[[#This Row],[Actual End Date]],"mmm-yy"))</f>
        <v/>
      </c>
    </row>
    <row r="583" spans="2:15">
      <c r="B583" s="64"/>
      <c r="C583" s="64"/>
      <c r="D583" s="64"/>
      <c r="E583" s="64"/>
      <c r="F583" s="64"/>
      <c r="G583" s="64"/>
      <c r="H583" s="64"/>
      <c r="I583" s="64"/>
      <c r="J583" s="64"/>
      <c r="K583" s="64"/>
      <c r="L583" s="64"/>
      <c r="M583" s="64"/>
      <c r="N583" s="127" t="str">
        <f>IF(ISNA(VLOOKUP(Table3[[#This Row],[Ticket]],Table1[],17,FALSE)),"",VLOOKUP(Table3[[#This Row],[Ticket]],Table1[],17,FALSE))</f>
        <v/>
      </c>
      <c r="O583" s="128" t="str">
        <f>IF(Table3[[#This Row],[Actual End Date]]="","",TEXT(Table3[[#This Row],[Actual End Date]],"mmm-yy"))</f>
        <v/>
      </c>
    </row>
    <row r="584" spans="2:15">
      <c r="B584" s="64"/>
      <c r="C584" s="64"/>
      <c r="D584" s="64"/>
      <c r="E584" s="64"/>
      <c r="F584" s="64"/>
      <c r="G584" s="64"/>
      <c r="H584" s="64"/>
      <c r="I584" s="64"/>
      <c r="J584" s="64"/>
      <c r="K584" s="64"/>
      <c r="L584" s="64"/>
      <c r="M584" s="64"/>
      <c r="N584" s="127" t="str">
        <f>IF(ISNA(VLOOKUP(Table3[[#This Row],[Ticket]],Table1[],17,FALSE)),"",VLOOKUP(Table3[[#This Row],[Ticket]],Table1[],17,FALSE))</f>
        <v/>
      </c>
      <c r="O584" s="128" t="str">
        <f>IF(Table3[[#This Row],[Actual End Date]]="","",TEXT(Table3[[#This Row],[Actual End Date]],"mmm-yy"))</f>
        <v/>
      </c>
    </row>
    <row r="585" spans="2:15">
      <c r="B585" s="64"/>
      <c r="C585" s="64"/>
      <c r="D585" s="64"/>
      <c r="E585" s="64"/>
      <c r="F585" s="64"/>
      <c r="G585" s="64"/>
      <c r="H585" s="64"/>
      <c r="I585" s="64"/>
      <c r="J585" s="64"/>
      <c r="K585" s="64"/>
      <c r="L585" s="64"/>
      <c r="M585" s="64"/>
      <c r="N585" s="127" t="str">
        <f>IF(ISNA(VLOOKUP(Table3[[#This Row],[Ticket]],Table1[],17,FALSE)),"",VLOOKUP(Table3[[#This Row],[Ticket]],Table1[],17,FALSE))</f>
        <v/>
      </c>
      <c r="O585" s="128" t="str">
        <f>IF(Table3[[#This Row],[Actual End Date]]="","",TEXT(Table3[[#This Row],[Actual End Date]],"mmm-yy"))</f>
        <v/>
      </c>
    </row>
    <row r="586" spans="2:15">
      <c r="B586" s="64"/>
      <c r="C586" s="64"/>
      <c r="D586" s="64"/>
      <c r="E586" s="64"/>
      <c r="F586" s="64"/>
      <c r="G586" s="64"/>
      <c r="H586" s="64"/>
      <c r="I586" s="64"/>
      <c r="J586" s="64"/>
      <c r="K586" s="64"/>
      <c r="L586" s="64"/>
      <c r="M586" s="64"/>
      <c r="N586" s="127" t="str">
        <f>IF(ISNA(VLOOKUP(Table3[[#This Row],[Ticket]],Table1[],17,FALSE)),"",VLOOKUP(Table3[[#This Row],[Ticket]],Table1[],17,FALSE))</f>
        <v/>
      </c>
      <c r="O586" s="128" t="str">
        <f>IF(Table3[[#This Row],[Actual End Date]]="","",TEXT(Table3[[#This Row],[Actual End Date]],"mmm-yy"))</f>
        <v/>
      </c>
    </row>
    <row r="587" spans="2:15">
      <c r="B587" s="64"/>
      <c r="C587" s="64"/>
      <c r="D587" s="64"/>
      <c r="E587" s="64"/>
      <c r="F587" s="64"/>
      <c r="G587" s="64"/>
      <c r="H587" s="64"/>
      <c r="I587" s="64"/>
      <c r="J587" s="64"/>
      <c r="K587" s="64"/>
      <c r="L587" s="64"/>
      <c r="M587" s="64"/>
      <c r="N587" s="127" t="str">
        <f>IF(ISNA(VLOOKUP(Table3[[#This Row],[Ticket]],Table1[],17,FALSE)),"",VLOOKUP(Table3[[#This Row],[Ticket]],Table1[],17,FALSE))</f>
        <v/>
      </c>
      <c r="O587" s="128" t="str">
        <f>IF(Table3[[#This Row],[Actual End Date]]="","",TEXT(Table3[[#This Row],[Actual End Date]],"mmm-yy"))</f>
        <v/>
      </c>
    </row>
    <row r="588" spans="2:15">
      <c r="B588" s="64"/>
      <c r="C588" s="64"/>
      <c r="D588" s="64"/>
      <c r="E588" s="64"/>
      <c r="F588" s="64"/>
      <c r="G588" s="64"/>
      <c r="H588" s="64"/>
      <c r="I588" s="64"/>
      <c r="J588" s="64"/>
      <c r="K588" s="64"/>
      <c r="L588" s="64"/>
      <c r="M588" s="64"/>
      <c r="N588" s="127" t="str">
        <f>IF(ISNA(VLOOKUP(Table3[[#This Row],[Ticket]],Table1[],17,FALSE)),"",VLOOKUP(Table3[[#This Row],[Ticket]],Table1[],17,FALSE))</f>
        <v/>
      </c>
      <c r="O588" s="128" t="str">
        <f>IF(Table3[[#This Row],[Actual End Date]]="","",TEXT(Table3[[#This Row],[Actual End Date]],"mmm-yy"))</f>
        <v/>
      </c>
    </row>
    <row r="589" spans="2:15">
      <c r="B589" s="64"/>
      <c r="C589" s="64"/>
      <c r="D589" s="64"/>
      <c r="E589" s="64"/>
      <c r="F589" s="64"/>
      <c r="G589" s="64"/>
      <c r="H589" s="64"/>
      <c r="I589" s="64"/>
      <c r="J589" s="64"/>
      <c r="K589" s="64"/>
      <c r="L589" s="64"/>
      <c r="M589" s="64"/>
      <c r="N589" s="127" t="str">
        <f>IF(ISNA(VLOOKUP(Table3[[#This Row],[Ticket]],Table1[],17,FALSE)),"",VLOOKUP(Table3[[#This Row],[Ticket]],Table1[],17,FALSE))</f>
        <v/>
      </c>
      <c r="O589" s="128" t="str">
        <f>IF(Table3[[#This Row],[Actual End Date]]="","",TEXT(Table3[[#This Row],[Actual End Date]],"mmm-yy"))</f>
        <v/>
      </c>
    </row>
    <row r="590" spans="2:15">
      <c r="B590" s="64"/>
      <c r="C590" s="64"/>
      <c r="D590" s="64"/>
      <c r="E590" s="64"/>
      <c r="F590" s="64"/>
      <c r="G590" s="64"/>
      <c r="H590" s="64"/>
      <c r="I590" s="64"/>
      <c r="J590" s="64"/>
      <c r="K590" s="64"/>
      <c r="L590" s="64"/>
      <c r="M590" s="64"/>
      <c r="N590" s="127" t="str">
        <f>IF(ISNA(VLOOKUP(Table3[[#This Row],[Ticket]],Table1[],17,FALSE)),"",VLOOKUP(Table3[[#This Row],[Ticket]],Table1[],17,FALSE))</f>
        <v/>
      </c>
      <c r="O590" s="128" t="str">
        <f>IF(Table3[[#This Row],[Actual End Date]]="","",TEXT(Table3[[#This Row],[Actual End Date]],"mmm-yy"))</f>
        <v/>
      </c>
    </row>
    <row r="591" spans="2:15">
      <c r="B591" s="64"/>
      <c r="C591" s="64"/>
      <c r="D591" s="64"/>
      <c r="E591" s="64"/>
      <c r="F591" s="64"/>
      <c r="G591" s="64"/>
      <c r="H591" s="64"/>
      <c r="I591" s="64"/>
      <c r="J591" s="64"/>
      <c r="K591" s="64"/>
      <c r="L591" s="64"/>
      <c r="M591" s="64"/>
      <c r="N591" s="127" t="str">
        <f>IF(ISNA(VLOOKUP(Table3[[#This Row],[Ticket]],Table1[],17,FALSE)),"",VLOOKUP(Table3[[#This Row],[Ticket]],Table1[],17,FALSE))</f>
        <v/>
      </c>
      <c r="O591" s="128" t="str">
        <f>IF(Table3[[#This Row],[Actual End Date]]="","",TEXT(Table3[[#This Row],[Actual End Date]],"mmm-yy"))</f>
        <v/>
      </c>
    </row>
    <row r="592" spans="2:15">
      <c r="B592" s="64"/>
      <c r="C592" s="64"/>
      <c r="D592" s="64"/>
      <c r="E592" s="64"/>
      <c r="F592" s="64"/>
      <c r="G592" s="64"/>
      <c r="H592" s="64"/>
      <c r="I592" s="64"/>
      <c r="J592" s="64"/>
      <c r="K592" s="64"/>
      <c r="L592" s="64"/>
      <c r="M592" s="64"/>
      <c r="N592" s="127" t="str">
        <f>IF(ISNA(VLOOKUP(Table3[[#This Row],[Ticket]],Table1[],17,FALSE)),"",VLOOKUP(Table3[[#This Row],[Ticket]],Table1[],17,FALSE))</f>
        <v/>
      </c>
      <c r="O592" s="128" t="str">
        <f>IF(Table3[[#This Row],[Actual End Date]]="","",TEXT(Table3[[#This Row],[Actual End Date]],"mmm-yy"))</f>
        <v/>
      </c>
    </row>
    <row r="593" spans="2:15">
      <c r="B593" s="64"/>
      <c r="C593" s="64"/>
      <c r="D593" s="64"/>
      <c r="E593" s="64"/>
      <c r="F593" s="64"/>
      <c r="G593" s="64"/>
      <c r="H593" s="64"/>
      <c r="I593" s="64"/>
      <c r="J593" s="64"/>
      <c r="K593" s="64"/>
      <c r="L593" s="64"/>
      <c r="M593" s="64"/>
      <c r="N593" s="127" t="str">
        <f>IF(ISNA(VLOOKUP(Table3[[#This Row],[Ticket]],Table1[],17,FALSE)),"",VLOOKUP(Table3[[#This Row],[Ticket]],Table1[],17,FALSE))</f>
        <v/>
      </c>
      <c r="O593" s="128" t="str">
        <f>IF(Table3[[#This Row],[Actual End Date]]="","",TEXT(Table3[[#This Row],[Actual End Date]],"mmm-yy"))</f>
        <v/>
      </c>
    </row>
    <row r="594" spans="2:15">
      <c r="B594" s="64"/>
      <c r="C594" s="64"/>
      <c r="D594" s="64"/>
      <c r="E594" s="64"/>
      <c r="F594" s="64"/>
      <c r="G594" s="64"/>
      <c r="H594" s="64"/>
      <c r="I594" s="64"/>
      <c r="J594" s="64"/>
      <c r="K594" s="64"/>
      <c r="L594" s="64"/>
      <c r="M594" s="64"/>
      <c r="N594" s="127" t="str">
        <f>IF(ISNA(VLOOKUP(Table3[[#This Row],[Ticket]],Table1[],17,FALSE)),"",VLOOKUP(Table3[[#This Row],[Ticket]],Table1[],17,FALSE))</f>
        <v/>
      </c>
      <c r="O594" s="128" t="str">
        <f>IF(Table3[[#This Row],[Actual End Date]]="","",TEXT(Table3[[#This Row],[Actual End Date]],"mmm-yy"))</f>
        <v/>
      </c>
    </row>
    <row r="595" spans="2:15">
      <c r="B595" s="64"/>
      <c r="C595" s="64"/>
      <c r="D595" s="64"/>
      <c r="E595" s="64"/>
      <c r="F595" s="64"/>
      <c r="G595" s="64"/>
      <c r="H595" s="64"/>
      <c r="I595" s="64"/>
      <c r="J595" s="64"/>
      <c r="K595" s="64"/>
      <c r="L595" s="64"/>
      <c r="M595" s="64"/>
      <c r="N595" s="127" t="str">
        <f>IF(ISNA(VLOOKUP(Table3[[#This Row],[Ticket]],Table1[],17,FALSE)),"",VLOOKUP(Table3[[#This Row],[Ticket]],Table1[],17,FALSE))</f>
        <v/>
      </c>
      <c r="O595" s="128" t="str">
        <f>IF(Table3[[#This Row],[Actual End Date]]="","",TEXT(Table3[[#This Row],[Actual End Date]],"mmm-yy"))</f>
        <v/>
      </c>
    </row>
    <row r="596" spans="2:15">
      <c r="B596" s="64"/>
      <c r="C596" s="64"/>
      <c r="D596" s="64"/>
      <c r="E596" s="64"/>
      <c r="F596" s="64"/>
      <c r="G596" s="64"/>
      <c r="H596" s="64"/>
      <c r="I596" s="64"/>
      <c r="J596" s="64"/>
      <c r="K596" s="64"/>
      <c r="L596" s="64"/>
      <c r="M596" s="64"/>
      <c r="N596" s="127" t="str">
        <f>IF(ISNA(VLOOKUP(Table3[[#This Row],[Ticket]],Table1[],17,FALSE)),"",VLOOKUP(Table3[[#This Row],[Ticket]],Table1[],17,FALSE))</f>
        <v/>
      </c>
      <c r="O596" s="128" t="str">
        <f>IF(Table3[[#This Row],[Actual End Date]]="","",TEXT(Table3[[#This Row],[Actual End Date]],"mmm-yy"))</f>
        <v/>
      </c>
    </row>
    <row r="597" spans="2:15">
      <c r="B597" s="64"/>
      <c r="C597" s="64"/>
      <c r="D597" s="64"/>
      <c r="E597" s="64"/>
      <c r="F597" s="64"/>
      <c r="G597" s="64"/>
      <c r="H597" s="64"/>
      <c r="I597" s="64"/>
      <c r="J597" s="64"/>
      <c r="K597" s="64"/>
      <c r="L597" s="64"/>
      <c r="M597" s="64"/>
      <c r="N597" s="127" t="str">
        <f>IF(ISNA(VLOOKUP(Table3[[#This Row],[Ticket]],Table1[],17,FALSE)),"",VLOOKUP(Table3[[#This Row],[Ticket]],Table1[],17,FALSE))</f>
        <v/>
      </c>
      <c r="O597" s="128" t="str">
        <f>IF(Table3[[#This Row],[Actual End Date]]="","",TEXT(Table3[[#This Row],[Actual End Date]],"mmm-yy"))</f>
        <v/>
      </c>
    </row>
    <row r="598" spans="2:15">
      <c r="B598" s="64"/>
      <c r="C598" s="64"/>
      <c r="D598" s="64"/>
      <c r="E598" s="64"/>
      <c r="F598" s="64"/>
      <c r="G598" s="64"/>
      <c r="H598" s="64"/>
      <c r="I598" s="64"/>
      <c r="J598" s="64"/>
      <c r="K598" s="64"/>
      <c r="L598" s="64"/>
      <c r="M598" s="64"/>
      <c r="N598" s="127" t="str">
        <f>IF(ISNA(VLOOKUP(Table3[[#This Row],[Ticket]],Table1[],17,FALSE)),"",VLOOKUP(Table3[[#This Row],[Ticket]],Table1[],17,FALSE))</f>
        <v/>
      </c>
      <c r="O598" s="128" t="str">
        <f>IF(Table3[[#This Row],[Actual End Date]]="","",TEXT(Table3[[#This Row],[Actual End Date]],"mmm-yy"))</f>
        <v/>
      </c>
    </row>
    <row r="599" spans="2:15">
      <c r="B599" s="64"/>
      <c r="C599" s="64"/>
      <c r="D599" s="64"/>
      <c r="E599" s="64"/>
      <c r="F599" s="64"/>
      <c r="G599" s="64"/>
      <c r="H599" s="64"/>
      <c r="I599" s="64"/>
      <c r="J599" s="64"/>
      <c r="K599" s="64"/>
      <c r="L599" s="64"/>
      <c r="M599" s="64"/>
      <c r="N599" s="127" t="str">
        <f>IF(ISNA(VLOOKUP(Table3[[#This Row],[Ticket]],Table1[],17,FALSE)),"",VLOOKUP(Table3[[#This Row],[Ticket]],Table1[],17,FALSE))</f>
        <v/>
      </c>
      <c r="O599" s="128" t="str">
        <f>IF(Table3[[#This Row],[Actual End Date]]="","",TEXT(Table3[[#This Row],[Actual End Date]],"mmm-yy"))</f>
        <v/>
      </c>
    </row>
    <row r="600" spans="2:15">
      <c r="B600" s="64"/>
      <c r="C600" s="64"/>
      <c r="D600" s="64"/>
      <c r="E600" s="64"/>
      <c r="F600" s="64"/>
      <c r="G600" s="64"/>
      <c r="H600" s="64"/>
      <c r="I600" s="64"/>
      <c r="J600" s="64"/>
      <c r="K600" s="64"/>
      <c r="L600" s="64"/>
      <c r="M600" s="64"/>
      <c r="N600" s="127" t="str">
        <f>IF(ISNA(VLOOKUP(Table3[[#This Row],[Ticket]],Table1[],17,FALSE)),"",VLOOKUP(Table3[[#This Row],[Ticket]],Table1[],17,FALSE))</f>
        <v/>
      </c>
      <c r="O600" s="128" t="str">
        <f>IF(Table3[[#This Row],[Actual End Date]]="","",TEXT(Table3[[#This Row],[Actual End Date]],"mmm-yy"))</f>
        <v/>
      </c>
    </row>
    <row r="601" spans="2:15">
      <c r="B601" s="64"/>
      <c r="C601" s="64"/>
      <c r="D601" s="64"/>
      <c r="E601" s="64"/>
      <c r="F601" s="64"/>
      <c r="G601" s="64"/>
      <c r="H601" s="64"/>
      <c r="I601" s="64"/>
      <c r="J601" s="64"/>
      <c r="K601" s="64"/>
      <c r="L601" s="64"/>
      <c r="M601" s="64"/>
      <c r="N601" s="127" t="str">
        <f>IF(ISNA(VLOOKUP(Table3[[#This Row],[Ticket]],Table1[],17,FALSE)),"",VLOOKUP(Table3[[#This Row],[Ticket]],Table1[],17,FALSE))</f>
        <v/>
      </c>
      <c r="O601" s="128" t="str">
        <f>IF(Table3[[#This Row],[Actual End Date]]="","",TEXT(Table3[[#This Row],[Actual End Date]],"mmm-yy"))</f>
        <v/>
      </c>
    </row>
    <row r="602" spans="2:15">
      <c r="B602" s="64"/>
      <c r="C602" s="64"/>
      <c r="D602" s="64"/>
      <c r="E602" s="64"/>
      <c r="F602" s="64"/>
      <c r="G602" s="64"/>
      <c r="H602" s="64"/>
      <c r="I602" s="64"/>
      <c r="J602" s="64"/>
      <c r="K602" s="64"/>
      <c r="L602" s="64"/>
      <c r="M602" s="64"/>
      <c r="N602" s="127" t="str">
        <f>IF(ISNA(VLOOKUP(Table3[[#This Row],[Ticket]],Table1[],17,FALSE)),"",VLOOKUP(Table3[[#This Row],[Ticket]],Table1[],17,FALSE))</f>
        <v/>
      </c>
      <c r="O602" s="128" t="str">
        <f>IF(Table3[[#This Row],[Actual End Date]]="","",TEXT(Table3[[#This Row],[Actual End Date]],"mmm-yy"))</f>
        <v/>
      </c>
    </row>
    <row r="603" spans="2:15">
      <c r="B603" s="64"/>
      <c r="C603" s="64"/>
      <c r="D603" s="64"/>
      <c r="E603" s="64"/>
      <c r="F603" s="64"/>
      <c r="G603" s="64"/>
      <c r="H603" s="64"/>
      <c r="I603" s="64"/>
      <c r="J603" s="64"/>
      <c r="K603" s="64"/>
      <c r="L603" s="64"/>
      <c r="M603" s="64"/>
      <c r="N603" s="127" t="str">
        <f>IF(ISNA(VLOOKUP(Table3[[#This Row],[Ticket]],Table1[],17,FALSE)),"",VLOOKUP(Table3[[#This Row],[Ticket]],Table1[],17,FALSE))</f>
        <v/>
      </c>
      <c r="O603" s="128" t="str">
        <f>IF(Table3[[#This Row],[Actual End Date]]="","",TEXT(Table3[[#This Row],[Actual End Date]],"mmm-yy"))</f>
        <v/>
      </c>
    </row>
    <row r="604" spans="2:15">
      <c r="B604" s="64"/>
      <c r="C604" s="64"/>
      <c r="D604" s="64"/>
      <c r="E604" s="64"/>
      <c r="F604" s="64"/>
      <c r="G604" s="64"/>
      <c r="H604" s="64"/>
      <c r="I604" s="64"/>
      <c r="J604" s="64"/>
      <c r="K604" s="64"/>
      <c r="L604" s="64"/>
      <c r="M604" s="64"/>
      <c r="N604" s="127" t="str">
        <f>IF(ISNA(VLOOKUP(Table3[[#This Row],[Ticket]],Table1[],17,FALSE)),"",VLOOKUP(Table3[[#This Row],[Ticket]],Table1[],17,FALSE))</f>
        <v/>
      </c>
      <c r="O604" s="128" t="str">
        <f>IF(Table3[[#This Row],[Actual End Date]]="","",TEXT(Table3[[#This Row],[Actual End Date]],"mmm-yy"))</f>
        <v/>
      </c>
    </row>
    <row r="605" spans="2:15">
      <c r="B605" s="64"/>
      <c r="C605" s="64"/>
      <c r="D605" s="64"/>
      <c r="E605" s="64"/>
      <c r="F605" s="64"/>
      <c r="G605" s="64"/>
      <c r="H605" s="64"/>
      <c r="I605" s="64"/>
      <c r="J605" s="64"/>
      <c r="K605" s="64"/>
      <c r="L605" s="64"/>
      <c r="M605" s="64"/>
      <c r="N605" s="127" t="str">
        <f>IF(ISNA(VLOOKUP(Table3[[#This Row],[Ticket]],Table1[],17,FALSE)),"",VLOOKUP(Table3[[#This Row],[Ticket]],Table1[],17,FALSE))</f>
        <v/>
      </c>
      <c r="O605" s="128" t="str">
        <f>IF(Table3[[#This Row],[Actual End Date]]="","",TEXT(Table3[[#This Row],[Actual End Date]],"mmm-yy"))</f>
        <v/>
      </c>
    </row>
    <row r="606" spans="2:15">
      <c r="B606" s="64"/>
      <c r="C606" s="64"/>
      <c r="D606" s="64"/>
      <c r="E606" s="64"/>
      <c r="F606" s="64"/>
      <c r="G606" s="64"/>
      <c r="H606" s="64"/>
      <c r="I606" s="64"/>
      <c r="J606" s="64"/>
      <c r="K606" s="64"/>
      <c r="L606" s="64"/>
      <c r="M606" s="64"/>
      <c r="N606" s="127" t="str">
        <f>IF(ISNA(VLOOKUP(Table3[[#This Row],[Ticket]],Table1[],17,FALSE)),"",VLOOKUP(Table3[[#This Row],[Ticket]],Table1[],17,FALSE))</f>
        <v/>
      </c>
      <c r="O606" s="128" t="str">
        <f>IF(Table3[[#This Row],[Actual End Date]]="","",TEXT(Table3[[#This Row],[Actual End Date]],"mmm-yy"))</f>
        <v/>
      </c>
    </row>
    <row r="607" spans="2:15">
      <c r="B607" s="64"/>
      <c r="C607" s="64"/>
      <c r="D607" s="64"/>
      <c r="E607" s="64"/>
      <c r="F607" s="64"/>
      <c r="G607" s="64"/>
      <c r="H607" s="64"/>
      <c r="I607" s="64"/>
      <c r="J607" s="64"/>
      <c r="K607" s="64"/>
      <c r="L607" s="64"/>
      <c r="M607" s="64"/>
      <c r="N607" s="127" t="str">
        <f>IF(ISNA(VLOOKUP(Table3[[#This Row],[Ticket]],Table1[],17,FALSE)),"",VLOOKUP(Table3[[#This Row],[Ticket]],Table1[],17,FALSE))</f>
        <v/>
      </c>
      <c r="O607" s="128" t="str">
        <f>IF(Table3[[#This Row],[Actual End Date]]="","",TEXT(Table3[[#This Row],[Actual End Date]],"mmm-yy"))</f>
        <v/>
      </c>
    </row>
    <row r="608" spans="2:15">
      <c r="B608" s="64"/>
      <c r="C608" s="64"/>
      <c r="D608" s="64"/>
      <c r="E608" s="64"/>
      <c r="F608" s="64"/>
      <c r="G608" s="64"/>
      <c r="H608" s="64"/>
      <c r="I608" s="64"/>
      <c r="J608" s="64"/>
      <c r="K608" s="64"/>
      <c r="L608" s="64"/>
      <c r="M608" s="64"/>
      <c r="N608" s="127" t="str">
        <f>IF(ISNA(VLOOKUP(Table3[[#This Row],[Ticket]],Table1[],17,FALSE)),"",VLOOKUP(Table3[[#This Row],[Ticket]],Table1[],17,FALSE))</f>
        <v/>
      </c>
      <c r="O608" s="128" t="str">
        <f>IF(Table3[[#This Row],[Actual End Date]]="","",TEXT(Table3[[#This Row],[Actual End Date]],"mmm-yy"))</f>
        <v/>
      </c>
    </row>
    <row r="609" spans="2:15">
      <c r="B609" s="64"/>
      <c r="C609" s="64"/>
      <c r="D609" s="64"/>
      <c r="E609" s="64"/>
      <c r="F609" s="64"/>
      <c r="G609" s="64"/>
      <c r="H609" s="64"/>
      <c r="I609" s="64"/>
      <c r="J609" s="64"/>
      <c r="K609" s="64"/>
      <c r="L609" s="64"/>
      <c r="M609" s="64"/>
      <c r="N609" s="127" t="str">
        <f>IF(ISNA(VLOOKUP(Table3[[#This Row],[Ticket]],Table1[],17,FALSE)),"",VLOOKUP(Table3[[#This Row],[Ticket]],Table1[],17,FALSE))</f>
        <v/>
      </c>
      <c r="O609" s="128" t="str">
        <f>IF(Table3[[#This Row],[Actual End Date]]="","",TEXT(Table3[[#This Row],[Actual End Date]],"mmm-yy"))</f>
        <v/>
      </c>
    </row>
    <row r="610" spans="2:15">
      <c r="B610" s="64"/>
      <c r="C610" s="64"/>
      <c r="D610" s="64"/>
      <c r="E610" s="64"/>
      <c r="F610" s="64"/>
      <c r="G610" s="64"/>
      <c r="H610" s="64"/>
      <c r="I610" s="64"/>
      <c r="J610" s="64"/>
      <c r="K610" s="64"/>
      <c r="L610" s="64"/>
      <c r="M610" s="64"/>
      <c r="N610" s="127" t="str">
        <f>IF(ISNA(VLOOKUP(Table3[[#This Row],[Ticket]],Table1[],17,FALSE)),"",VLOOKUP(Table3[[#This Row],[Ticket]],Table1[],17,FALSE))</f>
        <v/>
      </c>
      <c r="O610" s="128" t="str">
        <f>IF(Table3[[#This Row],[Actual End Date]]="","",TEXT(Table3[[#This Row],[Actual End Date]],"mmm-yy"))</f>
        <v/>
      </c>
    </row>
    <row r="611" spans="2:15">
      <c r="B611" s="64"/>
      <c r="C611" s="64"/>
      <c r="D611" s="64"/>
      <c r="E611" s="64"/>
      <c r="F611" s="64"/>
      <c r="G611" s="64"/>
      <c r="H611" s="64"/>
      <c r="I611" s="64"/>
      <c r="J611" s="64"/>
      <c r="K611" s="64"/>
      <c r="L611" s="64"/>
      <c r="M611" s="64"/>
      <c r="N611" s="127" t="str">
        <f>IF(ISNA(VLOOKUP(Table3[[#This Row],[Ticket]],Table1[],17,FALSE)),"",VLOOKUP(Table3[[#This Row],[Ticket]],Table1[],17,FALSE))</f>
        <v/>
      </c>
      <c r="O611" s="128" t="str">
        <f>IF(Table3[[#This Row],[Actual End Date]]="","",TEXT(Table3[[#This Row],[Actual End Date]],"mmm-yy"))</f>
        <v/>
      </c>
    </row>
    <row r="612" spans="2:15">
      <c r="B612" s="64"/>
      <c r="C612" s="64"/>
      <c r="D612" s="64"/>
      <c r="E612" s="64"/>
      <c r="F612" s="64"/>
      <c r="G612" s="64"/>
      <c r="H612" s="64"/>
      <c r="I612" s="64"/>
      <c r="J612" s="64"/>
      <c r="K612" s="64"/>
      <c r="L612" s="64"/>
      <c r="M612" s="64"/>
      <c r="N612" s="127" t="str">
        <f>IF(ISNA(VLOOKUP(Table3[[#This Row],[Ticket]],Table1[],17,FALSE)),"",VLOOKUP(Table3[[#This Row],[Ticket]],Table1[],17,FALSE))</f>
        <v/>
      </c>
      <c r="O612" s="128" t="str">
        <f>IF(Table3[[#This Row],[Actual End Date]]="","",TEXT(Table3[[#This Row],[Actual End Date]],"mmm-yy"))</f>
        <v/>
      </c>
    </row>
    <row r="613" spans="2:15">
      <c r="B613" s="64"/>
      <c r="C613" s="64"/>
      <c r="D613" s="64"/>
      <c r="E613" s="64"/>
      <c r="F613" s="64"/>
      <c r="G613" s="64"/>
      <c r="H613" s="64"/>
      <c r="I613" s="64"/>
      <c r="J613" s="64"/>
      <c r="K613" s="64"/>
      <c r="L613" s="64"/>
      <c r="M613" s="64"/>
      <c r="N613" s="127" t="str">
        <f>IF(ISNA(VLOOKUP(Table3[[#This Row],[Ticket]],Table1[],17,FALSE)),"",VLOOKUP(Table3[[#This Row],[Ticket]],Table1[],17,FALSE))</f>
        <v/>
      </c>
      <c r="O613" s="128" t="str">
        <f>IF(Table3[[#This Row],[Actual End Date]]="","",TEXT(Table3[[#This Row],[Actual End Date]],"mmm-yy"))</f>
        <v/>
      </c>
    </row>
    <row r="614" spans="2:15">
      <c r="B614" s="64"/>
      <c r="C614" s="64"/>
      <c r="D614" s="64"/>
      <c r="E614" s="64"/>
      <c r="F614" s="64"/>
      <c r="G614" s="64"/>
      <c r="H614" s="64"/>
      <c r="I614" s="64"/>
      <c r="J614" s="64"/>
      <c r="K614" s="64"/>
      <c r="L614" s="64"/>
      <c r="M614" s="64"/>
      <c r="N614" s="127" t="str">
        <f>IF(ISNA(VLOOKUP(Table3[[#This Row],[Ticket]],Table1[],17,FALSE)),"",VLOOKUP(Table3[[#This Row],[Ticket]],Table1[],17,FALSE))</f>
        <v/>
      </c>
      <c r="O614" s="128" t="str">
        <f>IF(Table3[[#This Row],[Actual End Date]]="","",TEXT(Table3[[#This Row],[Actual End Date]],"mmm-yy"))</f>
        <v/>
      </c>
    </row>
    <row r="615" spans="2:15">
      <c r="B615" s="64"/>
      <c r="C615" s="64"/>
      <c r="D615" s="64"/>
      <c r="E615" s="64"/>
      <c r="F615" s="64"/>
      <c r="G615" s="64"/>
      <c r="H615" s="64"/>
      <c r="I615" s="64"/>
      <c r="J615" s="64"/>
      <c r="K615" s="64"/>
      <c r="L615" s="64"/>
      <c r="M615" s="64"/>
      <c r="N615" s="127" t="str">
        <f>IF(ISNA(VLOOKUP(Table3[[#This Row],[Ticket]],Table1[],17,FALSE)),"",VLOOKUP(Table3[[#This Row],[Ticket]],Table1[],17,FALSE))</f>
        <v/>
      </c>
      <c r="O615" s="128" t="str">
        <f>IF(Table3[[#This Row],[Actual End Date]]="","",TEXT(Table3[[#This Row],[Actual End Date]],"mmm-yy"))</f>
        <v/>
      </c>
    </row>
    <row r="616" spans="2:15">
      <c r="B616" s="64"/>
      <c r="C616" s="64"/>
      <c r="D616" s="64"/>
      <c r="E616" s="64"/>
      <c r="F616" s="64"/>
      <c r="G616" s="64"/>
      <c r="H616" s="64"/>
      <c r="I616" s="64"/>
      <c r="J616" s="64"/>
      <c r="K616" s="64"/>
      <c r="L616" s="64"/>
      <c r="M616" s="64"/>
      <c r="N616" s="127" t="str">
        <f>IF(ISNA(VLOOKUP(Table3[[#This Row],[Ticket]],Table1[],17,FALSE)),"",VLOOKUP(Table3[[#This Row],[Ticket]],Table1[],17,FALSE))</f>
        <v/>
      </c>
      <c r="O616" s="128" t="str">
        <f>IF(Table3[[#This Row],[Actual End Date]]="","",TEXT(Table3[[#This Row],[Actual End Date]],"mmm-yy"))</f>
        <v/>
      </c>
    </row>
    <row r="617" spans="2:15">
      <c r="B617" s="64"/>
      <c r="C617" s="64"/>
      <c r="D617" s="64"/>
      <c r="E617" s="64"/>
      <c r="F617" s="64"/>
      <c r="G617" s="64"/>
      <c r="H617" s="64"/>
      <c r="I617" s="64"/>
      <c r="J617" s="64"/>
      <c r="K617" s="64"/>
      <c r="L617" s="64"/>
      <c r="M617" s="64"/>
      <c r="N617" s="127" t="str">
        <f>IF(ISNA(VLOOKUP(Table3[[#This Row],[Ticket]],Table1[],17,FALSE)),"",VLOOKUP(Table3[[#This Row],[Ticket]],Table1[],17,FALSE))</f>
        <v/>
      </c>
      <c r="O617" s="128" t="str">
        <f>IF(Table3[[#This Row],[Actual End Date]]="","",TEXT(Table3[[#This Row],[Actual End Date]],"mmm-yy"))</f>
        <v/>
      </c>
    </row>
    <row r="618" spans="2:15">
      <c r="B618" s="64"/>
      <c r="C618" s="64"/>
      <c r="D618" s="64"/>
      <c r="E618" s="64"/>
      <c r="F618" s="64"/>
      <c r="G618" s="64"/>
      <c r="H618" s="64"/>
      <c r="I618" s="64"/>
      <c r="J618" s="64"/>
      <c r="K618" s="64"/>
      <c r="L618" s="64"/>
      <c r="M618" s="64"/>
      <c r="N618" s="127" t="str">
        <f>IF(ISNA(VLOOKUP(Table3[[#This Row],[Ticket]],Table1[],17,FALSE)),"",VLOOKUP(Table3[[#This Row],[Ticket]],Table1[],17,FALSE))</f>
        <v/>
      </c>
      <c r="O618" s="128" t="str">
        <f>IF(Table3[[#This Row],[Actual End Date]]="","",TEXT(Table3[[#This Row],[Actual End Date]],"mmm-yy"))</f>
        <v/>
      </c>
    </row>
    <row r="619" spans="2:15">
      <c r="B619" s="64"/>
      <c r="C619" s="64"/>
      <c r="D619" s="64"/>
      <c r="E619" s="64"/>
      <c r="F619" s="64"/>
      <c r="G619" s="64"/>
      <c r="H619" s="64"/>
      <c r="I619" s="64"/>
      <c r="J619" s="64"/>
      <c r="K619" s="64"/>
      <c r="L619" s="64"/>
      <c r="M619" s="64"/>
      <c r="N619" s="127" t="str">
        <f>IF(ISNA(VLOOKUP(Table3[[#This Row],[Ticket]],Table1[],17,FALSE)),"",VLOOKUP(Table3[[#This Row],[Ticket]],Table1[],17,FALSE))</f>
        <v/>
      </c>
      <c r="O619" s="128" t="str">
        <f>IF(Table3[[#This Row],[Actual End Date]]="","",TEXT(Table3[[#This Row],[Actual End Date]],"mmm-yy"))</f>
        <v/>
      </c>
    </row>
    <row r="620" spans="2:15">
      <c r="B620" s="64"/>
      <c r="C620" s="64"/>
      <c r="D620" s="64"/>
      <c r="E620" s="64"/>
      <c r="F620" s="64"/>
      <c r="G620" s="64"/>
      <c r="H620" s="64"/>
      <c r="I620" s="64"/>
      <c r="J620" s="64"/>
      <c r="K620" s="64"/>
      <c r="L620" s="64"/>
      <c r="M620" s="64"/>
      <c r="N620" s="127" t="str">
        <f>IF(ISNA(VLOOKUP(Table3[[#This Row],[Ticket]],Table1[],17,FALSE)),"",VLOOKUP(Table3[[#This Row],[Ticket]],Table1[],17,FALSE))</f>
        <v/>
      </c>
      <c r="O620" s="128" t="str">
        <f>IF(Table3[[#This Row],[Actual End Date]]="","",TEXT(Table3[[#This Row],[Actual End Date]],"mmm-yy"))</f>
        <v/>
      </c>
    </row>
    <row r="621" spans="2:15">
      <c r="B621" s="64"/>
      <c r="C621" s="64"/>
      <c r="D621" s="64"/>
      <c r="E621" s="64"/>
      <c r="F621" s="64"/>
      <c r="G621" s="64"/>
      <c r="H621" s="64"/>
      <c r="I621" s="64"/>
      <c r="J621" s="64"/>
      <c r="K621" s="64"/>
      <c r="L621" s="64"/>
      <c r="M621" s="64"/>
      <c r="N621" s="127" t="str">
        <f>IF(ISNA(VLOOKUP(Table3[[#This Row],[Ticket]],Table1[],17,FALSE)),"",VLOOKUP(Table3[[#This Row],[Ticket]],Table1[],17,FALSE))</f>
        <v/>
      </c>
      <c r="O621" s="128" t="str">
        <f>IF(Table3[[#This Row],[Actual End Date]]="","",TEXT(Table3[[#This Row],[Actual End Date]],"mmm-yy"))</f>
        <v/>
      </c>
    </row>
    <row r="622" spans="2:15">
      <c r="B622" s="64"/>
      <c r="C622" s="64"/>
      <c r="D622" s="64"/>
      <c r="E622" s="64"/>
      <c r="F622" s="64"/>
      <c r="G622" s="64"/>
      <c r="H622" s="64"/>
      <c r="I622" s="64"/>
      <c r="J622" s="64"/>
      <c r="K622" s="64"/>
      <c r="L622" s="64"/>
      <c r="M622" s="64"/>
      <c r="N622" s="127" t="str">
        <f>IF(ISNA(VLOOKUP(Table3[[#This Row],[Ticket]],Table1[],17,FALSE)),"",VLOOKUP(Table3[[#This Row],[Ticket]],Table1[],17,FALSE))</f>
        <v/>
      </c>
      <c r="O622" s="128" t="str">
        <f>IF(Table3[[#This Row],[Actual End Date]]="","",TEXT(Table3[[#This Row],[Actual End Date]],"mmm-yy"))</f>
        <v/>
      </c>
    </row>
    <row r="623" spans="2:15">
      <c r="B623" s="64"/>
      <c r="C623" s="64"/>
      <c r="D623" s="64"/>
      <c r="E623" s="64"/>
      <c r="F623" s="64"/>
      <c r="G623" s="64"/>
      <c r="H623" s="64"/>
      <c r="I623" s="64"/>
      <c r="J623" s="64"/>
      <c r="K623" s="64"/>
      <c r="L623" s="64"/>
      <c r="M623" s="64"/>
      <c r="N623" s="127" t="str">
        <f>IF(ISNA(VLOOKUP(Table3[[#This Row],[Ticket]],Table1[],17,FALSE)),"",VLOOKUP(Table3[[#This Row],[Ticket]],Table1[],17,FALSE))</f>
        <v/>
      </c>
      <c r="O623" s="128" t="str">
        <f>IF(Table3[[#This Row],[Actual End Date]]="","",TEXT(Table3[[#This Row],[Actual End Date]],"mmm-yy"))</f>
        <v/>
      </c>
    </row>
    <row r="624" spans="2:15">
      <c r="B624" s="64"/>
      <c r="C624" s="64"/>
      <c r="D624" s="64"/>
      <c r="E624" s="64"/>
      <c r="F624" s="64"/>
      <c r="G624" s="64"/>
      <c r="H624" s="64"/>
      <c r="I624" s="64"/>
      <c r="J624" s="64"/>
      <c r="K624" s="64"/>
      <c r="L624" s="64"/>
      <c r="M624" s="64"/>
      <c r="N624" s="127" t="str">
        <f>IF(ISNA(VLOOKUP(Table3[[#This Row],[Ticket]],Table1[],17,FALSE)),"",VLOOKUP(Table3[[#This Row],[Ticket]],Table1[],17,FALSE))</f>
        <v/>
      </c>
      <c r="O624" s="128" t="str">
        <f>IF(Table3[[#This Row],[Actual End Date]]="","",TEXT(Table3[[#This Row],[Actual End Date]],"mmm-yy"))</f>
        <v/>
      </c>
    </row>
    <row r="625" spans="2:15">
      <c r="B625" s="64"/>
      <c r="C625" s="64"/>
      <c r="D625" s="64"/>
      <c r="E625" s="64"/>
      <c r="F625" s="64"/>
      <c r="G625" s="64"/>
      <c r="H625" s="64"/>
      <c r="I625" s="64"/>
      <c r="J625" s="64"/>
      <c r="K625" s="64"/>
      <c r="L625" s="64"/>
      <c r="M625" s="64"/>
      <c r="N625" s="127" t="str">
        <f>IF(ISNA(VLOOKUP(Table3[[#This Row],[Ticket]],Table1[],17,FALSE)),"",VLOOKUP(Table3[[#This Row],[Ticket]],Table1[],17,FALSE))</f>
        <v/>
      </c>
      <c r="O625" s="128" t="str">
        <f>IF(Table3[[#This Row],[Actual End Date]]="","",TEXT(Table3[[#This Row],[Actual End Date]],"mmm-yy"))</f>
        <v/>
      </c>
    </row>
    <row r="626" spans="2:15">
      <c r="B626" s="64"/>
      <c r="C626" s="64"/>
      <c r="D626" s="64"/>
      <c r="E626" s="64"/>
      <c r="F626" s="64"/>
      <c r="G626" s="64"/>
      <c r="H626" s="64"/>
      <c r="I626" s="64"/>
      <c r="J626" s="64"/>
      <c r="K626" s="64"/>
      <c r="L626" s="64"/>
      <c r="M626" s="64"/>
      <c r="N626" s="127" t="str">
        <f>IF(ISNA(VLOOKUP(Table3[[#This Row],[Ticket]],Table1[],17,FALSE)),"",VLOOKUP(Table3[[#This Row],[Ticket]],Table1[],17,FALSE))</f>
        <v/>
      </c>
      <c r="O626" s="128" t="str">
        <f>IF(Table3[[#This Row],[Actual End Date]]="","",TEXT(Table3[[#This Row],[Actual End Date]],"mmm-yy"))</f>
        <v/>
      </c>
    </row>
    <row r="627" spans="2:15">
      <c r="B627" s="64"/>
      <c r="C627" s="64"/>
      <c r="D627" s="64"/>
      <c r="E627" s="64"/>
      <c r="F627" s="64"/>
      <c r="G627" s="64"/>
      <c r="H627" s="64"/>
      <c r="I627" s="64"/>
      <c r="J627" s="64"/>
      <c r="K627" s="64"/>
      <c r="L627" s="64"/>
      <c r="M627" s="64"/>
      <c r="N627" s="127" t="str">
        <f>IF(ISNA(VLOOKUP(Table3[[#This Row],[Ticket]],Table1[],17,FALSE)),"",VLOOKUP(Table3[[#This Row],[Ticket]],Table1[],17,FALSE))</f>
        <v/>
      </c>
      <c r="O627" s="128" t="str">
        <f>IF(Table3[[#This Row],[Actual End Date]]="","",TEXT(Table3[[#This Row],[Actual End Date]],"mmm-yy"))</f>
        <v/>
      </c>
    </row>
    <row r="628" spans="2:15">
      <c r="B628" s="64"/>
      <c r="C628" s="64"/>
      <c r="D628" s="64"/>
      <c r="E628" s="64"/>
      <c r="F628" s="64"/>
      <c r="G628" s="64"/>
      <c r="H628" s="64"/>
      <c r="I628" s="64"/>
      <c r="J628" s="64"/>
      <c r="K628" s="64"/>
      <c r="L628" s="64"/>
      <c r="M628" s="64"/>
      <c r="N628" s="127" t="str">
        <f>IF(ISNA(VLOOKUP(Table3[[#This Row],[Ticket]],Table1[],17,FALSE)),"",VLOOKUP(Table3[[#This Row],[Ticket]],Table1[],17,FALSE))</f>
        <v/>
      </c>
      <c r="O628" s="128" t="str">
        <f>IF(Table3[[#This Row],[Actual End Date]]="","",TEXT(Table3[[#This Row],[Actual End Date]],"mmm-yy"))</f>
        <v/>
      </c>
    </row>
    <row r="629" spans="2:15">
      <c r="B629" s="64"/>
      <c r="C629" s="64"/>
      <c r="D629" s="64"/>
      <c r="E629" s="64"/>
      <c r="F629" s="64"/>
      <c r="G629" s="64"/>
      <c r="H629" s="64"/>
      <c r="I629" s="64"/>
      <c r="J629" s="64"/>
      <c r="K629" s="64"/>
      <c r="L629" s="64"/>
      <c r="M629" s="64"/>
      <c r="N629" s="127" t="str">
        <f>IF(ISNA(VLOOKUP(Table3[[#This Row],[Ticket]],Table1[],17,FALSE)),"",VLOOKUP(Table3[[#This Row],[Ticket]],Table1[],17,FALSE))</f>
        <v/>
      </c>
      <c r="O629" s="128" t="str">
        <f>IF(Table3[[#This Row],[Actual End Date]]="","",TEXT(Table3[[#This Row],[Actual End Date]],"mmm-yy"))</f>
        <v/>
      </c>
    </row>
    <row r="630" spans="2:15">
      <c r="B630" s="64"/>
      <c r="C630" s="64"/>
      <c r="D630" s="64"/>
      <c r="E630" s="64"/>
      <c r="F630" s="64"/>
      <c r="G630" s="64"/>
      <c r="H630" s="64"/>
      <c r="I630" s="64"/>
      <c r="J630" s="64"/>
      <c r="K630" s="64"/>
      <c r="L630" s="64"/>
      <c r="M630" s="64"/>
      <c r="N630" s="127" t="str">
        <f>IF(ISNA(VLOOKUP(Table3[[#This Row],[Ticket]],Table1[],17,FALSE)),"",VLOOKUP(Table3[[#This Row],[Ticket]],Table1[],17,FALSE))</f>
        <v/>
      </c>
      <c r="O630" s="128" t="str">
        <f>IF(Table3[[#This Row],[Actual End Date]]="","",TEXT(Table3[[#This Row],[Actual End Date]],"mmm-yy"))</f>
        <v/>
      </c>
    </row>
    <row r="631" spans="2:15">
      <c r="B631" s="64"/>
      <c r="C631" s="64"/>
      <c r="D631" s="64"/>
      <c r="E631" s="64"/>
      <c r="F631" s="64"/>
      <c r="G631" s="64"/>
      <c r="H631" s="64"/>
      <c r="I631" s="64"/>
      <c r="J631" s="64"/>
      <c r="K631" s="64"/>
      <c r="L631" s="64"/>
      <c r="M631" s="64"/>
      <c r="N631" s="127" t="str">
        <f>IF(ISNA(VLOOKUP(Table3[[#This Row],[Ticket]],Table1[],17,FALSE)),"",VLOOKUP(Table3[[#This Row],[Ticket]],Table1[],17,FALSE))</f>
        <v/>
      </c>
      <c r="O631" s="128" t="str">
        <f>IF(Table3[[#This Row],[Actual End Date]]="","",TEXT(Table3[[#This Row],[Actual End Date]],"mmm-yy"))</f>
        <v/>
      </c>
    </row>
    <row r="632" spans="2:15">
      <c r="B632" s="64"/>
      <c r="C632" s="64"/>
      <c r="D632" s="64"/>
      <c r="E632" s="64"/>
      <c r="F632" s="64"/>
      <c r="G632" s="64"/>
      <c r="H632" s="64"/>
      <c r="I632" s="64"/>
      <c r="J632" s="64"/>
      <c r="K632" s="64"/>
      <c r="L632" s="64"/>
      <c r="M632" s="64"/>
      <c r="N632" s="127" t="str">
        <f>IF(ISNA(VLOOKUP(Table3[[#This Row],[Ticket]],Table1[],17,FALSE)),"",VLOOKUP(Table3[[#This Row],[Ticket]],Table1[],17,FALSE))</f>
        <v/>
      </c>
      <c r="O632" s="128" t="str">
        <f>IF(Table3[[#This Row],[Actual End Date]]="","",TEXT(Table3[[#This Row],[Actual End Date]],"mmm-yy"))</f>
        <v/>
      </c>
    </row>
    <row r="633" spans="2:15">
      <c r="B633" s="64"/>
      <c r="C633" s="64"/>
      <c r="D633" s="64"/>
      <c r="E633" s="64"/>
      <c r="F633" s="64"/>
      <c r="G633" s="64"/>
      <c r="H633" s="64"/>
      <c r="I633" s="64"/>
      <c r="J633" s="64"/>
      <c r="K633" s="64"/>
      <c r="L633" s="64"/>
      <c r="M633" s="64"/>
      <c r="N633" s="127" t="str">
        <f>IF(ISNA(VLOOKUP(Table3[[#This Row],[Ticket]],Table1[],17,FALSE)),"",VLOOKUP(Table3[[#This Row],[Ticket]],Table1[],17,FALSE))</f>
        <v/>
      </c>
      <c r="O633" s="128" t="str">
        <f>IF(Table3[[#This Row],[Actual End Date]]="","",TEXT(Table3[[#This Row],[Actual End Date]],"mmm-yy"))</f>
        <v/>
      </c>
    </row>
    <row r="634" spans="2:15">
      <c r="B634" s="64"/>
      <c r="C634" s="64"/>
      <c r="D634" s="64"/>
      <c r="E634" s="64"/>
      <c r="F634" s="64"/>
      <c r="G634" s="64"/>
      <c r="H634" s="64"/>
      <c r="I634" s="64"/>
      <c r="J634" s="64"/>
      <c r="K634" s="64"/>
      <c r="L634" s="64"/>
      <c r="M634" s="64"/>
      <c r="N634" s="127" t="str">
        <f>IF(ISNA(VLOOKUP(Table3[[#This Row],[Ticket]],Table1[],17,FALSE)),"",VLOOKUP(Table3[[#This Row],[Ticket]],Table1[],17,FALSE))</f>
        <v/>
      </c>
      <c r="O634" s="128" t="str">
        <f>IF(Table3[[#This Row],[Actual End Date]]="","",TEXT(Table3[[#This Row],[Actual End Date]],"mmm-yy"))</f>
        <v/>
      </c>
    </row>
    <row r="635" spans="2:15">
      <c r="B635" s="64"/>
      <c r="C635" s="64"/>
      <c r="D635" s="64"/>
      <c r="E635" s="64"/>
      <c r="F635" s="64"/>
      <c r="G635" s="64"/>
      <c r="H635" s="64"/>
      <c r="I635" s="64"/>
      <c r="J635" s="64"/>
      <c r="K635" s="64"/>
      <c r="L635" s="64"/>
      <c r="M635" s="64"/>
      <c r="N635" s="127" t="str">
        <f>IF(ISNA(VLOOKUP(Table3[[#This Row],[Ticket]],Table1[],17,FALSE)),"",VLOOKUP(Table3[[#This Row],[Ticket]],Table1[],17,FALSE))</f>
        <v/>
      </c>
      <c r="O635" s="128" t="str">
        <f>IF(Table3[[#This Row],[Actual End Date]]="","",TEXT(Table3[[#This Row],[Actual End Date]],"mmm-yy"))</f>
        <v/>
      </c>
    </row>
    <row r="636" spans="2:15">
      <c r="B636" s="64"/>
      <c r="C636" s="64"/>
      <c r="D636" s="64"/>
      <c r="E636" s="64"/>
      <c r="F636" s="64"/>
      <c r="G636" s="64"/>
      <c r="H636" s="64"/>
      <c r="I636" s="64"/>
      <c r="J636" s="64"/>
      <c r="K636" s="64"/>
      <c r="L636" s="64"/>
      <c r="M636" s="64"/>
      <c r="N636" s="127" t="str">
        <f>IF(ISNA(VLOOKUP(Table3[[#This Row],[Ticket]],Table1[],17,FALSE)),"",VLOOKUP(Table3[[#This Row],[Ticket]],Table1[],17,FALSE))</f>
        <v/>
      </c>
      <c r="O636" s="128" t="str">
        <f>IF(Table3[[#This Row],[Actual End Date]]="","",TEXT(Table3[[#This Row],[Actual End Date]],"mmm-yy"))</f>
        <v/>
      </c>
    </row>
    <row r="637" spans="2:15">
      <c r="B637" s="64"/>
      <c r="C637" s="64"/>
      <c r="D637" s="64"/>
      <c r="E637" s="64"/>
      <c r="F637" s="64"/>
      <c r="G637" s="64"/>
      <c r="H637" s="64"/>
      <c r="I637" s="64"/>
      <c r="J637" s="64"/>
      <c r="K637" s="64"/>
      <c r="L637" s="64"/>
      <c r="M637" s="64"/>
      <c r="N637" s="127" t="str">
        <f>IF(ISNA(VLOOKUP(Table3[[#This Row],[Ticket]],Table1[],17,FALSE)),"",VLOOKUP(Table3[[#This Row],[Ticket]],Table1[],17,FALSE))</f>
        <v/>
      </c>
      <c r="O637" s="128" t="str">
        <f>IF(Table3[[#This Row],[Actual End Date]]="","",TEXT(Table3[[#This Row],[Actual End Date]],"mmm-yy"))</f>
        <v/>
      </c>
    </row>
    <row r="638" spans="2:15">
      <c r="B638" s="64"/>
      <c r="C638" s="64"/>
      <c r="D638" s="64"/>
      <c r="E638" s="64"/>
      <c r="F638" s="64"/>
      <c r="G638" s="64"/>
      <c r="H638" s="64"/>
      <c r="I638" s="64"/>
      <c r="J638" s="64"/>
      <c r="K638" s="64"/>
      <c r="L638" s="64"/>
      <c r="M638" s="64"/>
      <c r="N638" s="127" t="str">
        <f>IF(ISNA(VLOOKUP(Table3[[#This Row],[Ticket]],Table1[],17,FALSE)),"",VLOOKUP(Table3[[#This Row],[Ticket]],Table1[],17,FALSE))</f>
        <v/>
      </c>
      <c r="O638" s="128" t="str">
        <f>IF(Table3[[#This Row],[Actual End Date]]="","",TEXT(Table3[[#This Row],[Actual End Date]],"mmm-yy"))</f>
        <v/>
      </c>
    </row>
    <row r="639" spans="2:15">
      <c r="B639" s="64"/>
      <c r="C639" s="64"/>
      <c r="D639" s="64"/>
      <c r="E639" s="64"/>
      <c r="F639" s="64"/>
      <c r="G639" s="64"/>
      <c r="H639" s="64"/>
      <c r="I639" s="64"/>
      <c r="J639" s="64"/>
      <c r="K639" s="64"/>
      <c r="L639" s="64"/>
      <c r="M639" s="64"/>
      <c r="N639" s="127" t="str">
        <f>IF(ISNA(VLOOKUP(Table3[[#This Row],[Ticket]],Table1[],17,FALSE)),"",VLOOKUP(Table3[[#This Row],[Ticket]],Table1[],17,FALSE))</f>
        <v/>
      </c>
      <c r="O639" s="128" t="str">
        <f>IF(Table3[[#This Row],[Actual End Date]]="","",TEXT(Table3[[#This Row],[Actual End Date]],"mmm-yy"))</f>
        <v/>
      </c>
    </row>
    <row r="640" spans="2:15">
      <c r="B640" s="64"/>
      <c r="C640" s="64"/>
      <c r="D640" s="64"/>
      <c r="E640" s="64"/>
      <c r="F640" s="64"/>
      <c r="G640" s="64"/>
      <c r="H640" s="64"/>
      <c r="I640" s="64"/>
      <c r="J640" s="64"/>
      <c r="K640" s="64"/>
      <c r="L640" s="64"/>
      <c r="M640" s="64"/>
      <c r="N640" s="127" t="str">
        <f>IF(ISNA(VLOOKUP(Table3[[#This Row],[Ticket]],Table1[],17,FALSE)),"",VLOOKUP(Table3[[#This Row],[Ticket]],Table1[],17,FALSE))</f>
        <v/>
      </c>
      <c r="O640" s="128" t="str">
        <f>IF(Table3[[#This Row],[Actual End Date]]="","",TEXT(Table3[[#This Row],[Actual End Date]],"mmm-yy"))</f>
        <v/>
      </c>
    </row>
    <row r="641" spans="2:15">
      <c r="B641" s="64"/>
      <c r="C641" s="64"/>
      <c r="D641" s="64"/>
      <c r="E641" s="64"/>
      <c r="F641" s="64"/>
      <c r="G641" s="64"/>
      <c r="H641" s="64"/>
      <c r="I641" s="64"/>
      <c r="J641" s="64"/>
      <c r="K641" s="64"/>
      <c r="L641" s="64"/>
      <c r="M641" s="64"/>
      <c r="N641" s="127" t="str">
        <f>IF(ISNA(VLOOKUP(Table3[[#This Row],[Ticket]],Table1[],17,FALSE)),"",VLOOKUP(Table3[[#This Row],[Ticket]],Table1[],17,FALSE))</f>
        <v/>
      </c>
      <c r="O641" s="128" t="str">
        <f>IF(Table3[[#This Row],[Actual End Date]]="","",TEXT(Table3[[#This Row],[Actual End Date]],"mmm-yy"))</f>
        <v/>
      </c>
    </row>
    <row r="642" spans="2:15">
      <c r="B642" s="64"/>
      <c r="C642" s="64"/>
      <c r="D642" s="64"/>
      <c r="E642" s="64"/>
      <c r="F642" s="64"/>
      <c r="G642" s="64"/>
      <c r="H642" s="64"/>
      <c r="I642" s="64"/>
      <c r="J642" s="64"/>
      <c r="K642" s="64"/>
      <c r="L642" s="64"/>
      <c r="M642" s="64"/>
      <c r="N642" s="127" t="str">
        <f>IF(ISNA(VLOOKUP(Table3[[#This Row],[Ticket]],Table1[],17,FALSE)),"",VLOOKUP(Table3[[#This Row],[Ticket]],Table1[],17,FALSE))</f>
        <v/>
      </c>
      <c r="O642" s="128" t="str">
        <f>IF(Table3[[#This Row],[Actual End Date]]="","",TEXT(Table3[[#This Row],[Actual End Date]],"mmm-yy"))</f>
        <v/>
      </c>
    </row>
    <row r="643" spans="2:15">
      <c r="B643" s="64"/>
      <c r="C643" s="64"/>
      <c r="D643" s="64"/>
      <c r="E643" s="64"/>
      <c r="F643" s="64"/>
      <c r="G643" s="64"/>
      <c r="H643" s="64"/>
      <c r="I643" s="64"/>
      <c r="J643" s="64"/>
      <c r="K643" s="64"/>
      <c r="L643" s="64"/>
      <c r="M643" s="64"/>
      <c r="N643" s="127" t="str">
        <f>IF(ISNA(VLOOKUP(Table3[[#This Row],[Ticket]],Table1[],17,FALSE)),"",VLOOKUP(Table3[[#This Row],[Ticket]],Table1[],17,FALSE))</f>
        <v/>
      </c>
      <c r="O643" s="128" t="str">
        <f>IF(Table3[[#This Row],[Actual End Date]]="","",TEXT(Table3[[#This Row],[Actual End Date]],"mmm-yy"))</f>
        <v/>
      </c>
    </row>
    <row r="644" spans="2:15">
      <c r="B644" s="64"/>
      <c r="C644" s="64"/>
      <c r="D644" s="64"/>
      <c r="E644" s="64"/>
      <c r="F644" s="64"/>
      <c r="G644" s="64"/>
      <c r="H644" s="64"/>
      <c r="I644" s="64"/>
      <c r="J644" s="64"/>
      <c r="K644" s="64"/>
      <c r="L644" s="64"/>
      <c r="M644" s="64"/>
      <c r="N644" s="127" t="str">
        <f>IF(ISNA(VLOOKUP(Table3[[#This Row],[Ticket]],Table1[],17,FALSE)),"",VLOOKUP(Table3[[#This Row],[Ticket]],Table1[],17,FALSE))</f>
        <v/>
      </c>
      <c r="O644" s="128" t="str">
        <f>IF(Table3[[#This Row],[Actual End Date]]="","",TEXT(Table3[[#This Row],[Actual End Date]],"mmm-yy"))</f>
        <v/>
      </c>
    </row>
    <row r="645" spans="2:15">
      <c r="B645" s="64"/>
      <c r="C645" s="64"/>
      <c r="D645" s="64"/>
      <c r="E645" s="64"/>
      <c r="F645" s="64"/>
      <c r="G645" s="64"/>
      <c r="H645" s="64"/>
      <c r="I645" s="64"/>
      <c r="J645" s="64"/>
      <c r="K645" s="64"/>
      <c r="L645" s="64"/>
      <c r="M645" s="64"/>
      <c r="N645" s="127" t="str">
        <f>IF(ISNA(VLOOKUP(Table3[[#This Row],[Ticket]],Table1[],17,FALSE)),"",VLOOKUP(Table3[[#This Row],[Ticket]],Table1[],17,FALSE))</f>
        <v/>
      </c>
      <c r="O645" s="128" t="str">
        <f>IF(Table3[[#This Row],[Actual End Date]]="","",TEXT(Table3[[#This Row],[Actual End Date]],"mmm-yy"))</f>
        <v/>
      </c>
    </row>
    <row r="646" spans="2:15">
      <c r="B646" s="64"/>
      <c r="C646" s="64"/>
      <c r="D646" s="64"/>
      <c r="E646" s="64"/>
      <c r="F646" s="64"/>
      <c r="G646" s="64"/>
      <c r="H646" s="64"/>
      <c r="I646" s="64"/>
      <c r="J646" s="64"/>
      <c r="K646" s="64"/>
      <c r="L646" s="64"/>
      <c r="M646" s="64"/>
      <c r="N646" s="127" t="str">
        <f>IF(ISNA(VLOOKUP(Table3[[#This Row],[Ticket]],Table1[],17,FALSE)),"",VLOOKUP(Table3[[#This Row],[Ticket]],Table1[],17,FALSE))</f>
        <v/>
      </c>
      <c r="O646" s="128" t="str">
        <f>IF(Table3[[#This Row],[Actual End Date]]="","",TEXT(Table3[[#This Row],[Actual End Date]],"mmm-yy"))</f>
        <v/>
      </c>
    </row>
    <row r="647" spans="2:15">
      <c r="B647" s="64"/>
      <c r="C647" s="64"/>
      <c r="D647" s="64"/>
      <c r="E647" s="64"/>
      <c r="F647" s="64"/>
      <c r="G647" s="64"/>
      <c r="H647" s="64"/>
      <c r="I647" s="64"/>
      <c r="J647" s="64"/>
      <c r="K647" s="64"/>
      <c r="L647" s="64"/>
      <c r="M647" s="64"/>
      <c r="N647" s="127" t="str">
        <f>IF(ISNA(VLOOKUP(Table3[[#This Row],[Ticket]],Table1[],17,FALSE)),"",VLOOKUP(Table3[[#This Row],[Ticket]],Table1[],17,FALSE))</f>
        <v/>
      </c>
      <c r="O647" s="128" t="str">
        <f>IF(Table3[[#This Row],[Actual End Date]]="","",TEXT(Table3[[#This Row],[Actual End Date]],"mmm-yy"))</f>
        <v/>
      </c>
    </row>
    <row r="648" spans="2:15">
      <c r="B648" s="64"/>
      <c r="C648" s="64"/>
      <c r="D648" s="64"/>
      <c r="E648" s="64"/>
      <c r="F648" s="64"/>
      <c r="G648" s="64"/>
      <c r="H648" s="64"/>
      <c r="I648" s="64"/>
      <c r="J648" s="64"/>
      <c r="K648" s="64"/>
      <c r="L648" s="64"/>
      <c r="M648" s="64"/>
      <c r="N648" s="127" t="str">
        <f>IF(ISNA(VLOOKUP(Table3[[#This Row],[Ticket]],Table1[],17,FALSE)),"",VLOOKUP(Table3[[#This Row],[Ticket]],Table1[],17,FALSE))</f>
        <v/>
      </c>
      <c r="O648" s="128" t="str">
        <f>IF(Table3[[#This Row],[Actual End Date]]="","",TEXT(Table3[[#This Row],[Actual End Date]],"mmm-yy"))</f>
        <v/>
      </c>
    </row>
    <row r="649" spans="2:15">
      <c r="B649" s="64"/>
      <c r="C649" s="64"/>
      <c r="D649" s="64"/>
      <c r="E649" s="64"/>
      <c r="F649" s="64"/>
      <c r="G649" s="64"/>
      <c r="H649" s="64"/>
      <c r="I649" s="64"/>
      <c r="J649" s="64"/>
      <c r="K649" s="64"/>
      <c r="L649" s="64"/>
      <c r="M649" s="64"/>
      <c r="N649" s="127" t="str">
        <f>IF(ISNA(VLOOKUP(Table3[[#This Row],[Ticket]],Table1[],17,FALSE)),"",VLOOKUP(Table3[[#This Row],[Ticket]],Table1[],17,FALSE))</f>
        <v/>
      </c>
      <c r="O649" s="128" t="str">
        <f>IF(Table3[[#This Row],[Actual End Date]]="","",TEXT(Table3[[#This Row],[Actual End Date]],"mmm-yy"))</f>
        <v/>
      </c>
    </row>
    <row r="650" spans="2:15">
      <c r="B650" s="64"/>
      <c r="C650" s="64"/>
      <c r="D650" s="64"/>
      <c r="E650" s="64"/>
      <c r="F650" s="64"/>
      <c r="G650" s="64"/>
      <c r="H650" s="64"/>
      <c r="I650" s="64"/>
      <c r="J650" s="64"/>
      <c r="K650" s="64"/>
      <c r="L650" s="64"/>
      <c r="M650" s="64"/>
      <c r="N650" s="127" t="str">
        <f>IF(ISNA(VLOOKUP(Table3[[#This Row],[Ticket]],Table1[],17,FALSE)),"",VLOOKUP(Table3[[#This Row],[Ticket]],Table1[],17,FALSE))</f>
        <v/>
      </c>
      <c r="O650" s="128" t="str">
        <f>IF(Table3[[#This Row],[Actual End Date]]="","",TEXT(Table3[[#This Row],[Actual End Date]],"mmm-yy"))</f>
        <v/>
      </c>
    </row>
    <row r="651" spans="2:15">
      <c r="B651" s="64"/>
      <c r="C651" s="64"/>
      <c r="D651" s="64"/>
      <c r="E651" s="64"/>
      <c r="F651" s="64"/>
      <c r="G651" s="64"/>
      <c r="H651" s="64"/>
      <c r="I651" s="64"/>
      <c r="J651" s="64"/>
      <c r="K651" s="64"/>
      <c r="L651" s="64"/>
      <c r="M651" s="64"/>
      <c r="N651" s="127" t="str">
        <f>IF(ISNA(VLOOKUP(Table3[[#This Row],[Ticket]],Table1[],17,FALSE)),"",VLOOKUP(Table3[[#This Row],[Ticket]],Table1[],17,FALSE))</f>
        <v/>
      </c>
      <c r="O651" s="128" t="str">
        <f>IF(Table3[[#This Row],[Actual End Date]]="","",TEXT(Table3[[#This Row],[Actual End Date]],"mmm-yy"))</f>
        <v/>
      </c>
    </row>
    <row r="652" spans="2:15">
      <c r="B652" s="64"/>
      <c r="C652" s="64"/>
      <c r="D652" s="64"/>
      <c r="E652" s="64"/>
      <c r="F652" s="64"/>
      <c r="G652" s="64"/>
      <c r="H652" s="64"/>
      <c r="I652" s="64"/>
      <c r="J652" s="64"/>
      <c r="K652" s="64"/>
      <c r="L652" s="64"/>
      <c r="M652" s="64"/>
      <c r="N652" s="127" t="str">
        <f>IF(ISNA(VLOOKUP(Table3[[#This Row],[Ticket]],Table1[],17,FALSE)),"",VLOOKUP(Table3[[#This Row],[Ticket]],Table1[],17,FALSE))</f>
        <v/>
      </c>
      <c r="O652" s="128" t="str">
        <f>IF(Table3[[#This Row],[Actual End Date]]="","",TEXT(Table3[[#This Row],[Actual End Date]],"mmm-yy"))</f>
        <v/>
      </c>
    </row>
    <row r="653" spans="2:15">
      <c r="B653" s="64"/>
      <c r="C653" s="64"/>
      <c r="D653" s="64"/>
      <c r="E653" s="64"/>
      <c r="F653" s="64"/>
      <c r="G653" s="64"/>
      <c r="H653" s="64"/>
      <c r="I653" s="64"/>
      <c r="J653" s="64"/>
      <c r="K653" s="64"/>
      <c r="L653" s="64"/>
      <c r="M653" s="64"/>
      <c r="N653" s="127" t="str">
        <f>IF(ISNA(VLOOKUP(Table3[[#This Row],[Ticket]],Table1[],17,FALSE)),"",VLOOKUP(Table3[[#This Row],[Ticket]],Table1[],17,FALSE))</f>
        <v/>
      </c>
      <c r="O653" s="128" t="str">
        <f>IF(Table3[[#This Row],[Actual End Date]]="","",TEXT(Table3[[#This Row],[Actual End Date]],"mmm-yy"))</f>
        <v/>
      </c>
    </row>
    <row r="654" spans="2:15">
      <c r="B654" s="64"/>
      <c r="C654" s="64"/>
      <c r="D654" s="64"/>
      <c r="E654" s="64"/>
      <c r="F654" s="64"/>
      <c r="G654" s="64"/>
      <c r="H654" s="64"/>
      <c r="I654" s="64"/>
      <c r="J654" s="64"/>
      <c r="K654" s="64"/>
      <c r="L654" s="64"/>
      <c r="M654" s="64"/>
      <c r="N654" s="127" t="str">
        <f>IF(ISNA(VLOOKUP(Table3[[#This Row],[Ticket]],Table1[],17,FALSE)),"",VLOOKUP(Table3[[#This Row],[Ticket]],Table1[],17,FALSE))</f>
        <v/>
      </c>
      <c r="O654" s="128" t="str">
        <f>IF(Table3[[#This Row],[Actual End Date]]="","",TEXT(Table3[[#This Row],[Actual End Date]],"mmm-yy"))</f>
        <v/>
      </c>
    </row>
    <row r="655" spans="2:15">
      <c r="B655" s="64"/>
      <c r="C655" s="64"/>
      <c r="D655" s="64"/>
      <c r="E655" s="64"/>
      <c r="F655" s="64"/>
      <c r="G655" s="64"/>
      <c r="H655" s="64"/>
      <c r="I655" s="64"/>
      <c r="J655" s="64"/>
      <c r="K655" s="64"/>
      <c r="L655" s="64"/>
      <c r="M655" s="64"/>
      <c r="N655" s="127" t="str">
        <f>IF(ISNA(VLOOKUP(Table3[[#This Row],[Ticket]],Table1[],17,FALSE)),"",VLOOKUP(Table3[[#This Row],[Ticket]],Table1[],17,FALSE))</f>
        <v/>
      </c>
      <c r="O655" s="128" t="str">
        <f>IF(Table3[[#This Row],[Actual End Date]]="","",TEXT(Table3[[#This Row],[Actual End Date]],"mmm-yy"))</f>
        <v/>
      </c>
    </row>
    <row r="656" spans="2:15">
      <c r="B656" s="64"/>
      <c r="C656" s="64"/>
      <c r="D656" s="64"/>
      <c r="E656" s="64"/>
      <c r="F656" s="64"/>
      <c r="G656" s="64"/>
      <c r="H656" s="64"/>
      <c r="I656" s="64"/>
      <c r="J656" s="64"/>
      <c r="K656" s="64"/>
      <c r="L656" s="64"/>
      <c r="M656" s="64"/>
      <c r="N656" s="127" t="str">
        <f>IF(ISNA(VLOOKUP(Table3[[#This Row],[Ticket]],Table1[],17,FALSE)),"",VLOOKUP(Table3[[#This Row],[Ticket]],Table1[],17,FALSE))</f>
        <v/>
      </c>
      <c r="O656" s="128" t="str">
        <f>IF(Table3[[#This Row],[Actual End Date]]="","",TEXT(Table3[[#This Row],[Actual End Date]],"mmm-yy"))</f>
        <v/>
      </c>
    </row>
    <row r="657" spans="2:15">
      <c r="B657" s="64"/>
      <c r="C657" s="64"/>
      <c r="D657" s="64"/>
      <c r="E657" s="64"/>
      <c r="F657" s="64"/>
      <c r="G657" s="64"/>
      <c r="H657" s="64"/>
      <c r="I657" s="64"/>
      <c r="J657" s="64"/>
      <c r="K657" s="64"/>
      <c r="L657" s="64"/>
      <c r="M657" s="64"/>
      <c r="N657" s="127" t="str">
        <f>IF(ISNA(VLOOKUP(Table3[[#This Row],[Ticket]],Table1[],17,FALSE)),"",VLOOKUP(Table3[[#This Row],[Ticket]],Table1[],17,FALSE))</f>
        <v/>
      </c>
      <c r="O657" s="128" t="str">
        <f>IF(Table3[[#This Row],[Actual End Date]]="","",TEXT(Table3[[#This Row],[Actual End Date]],"mmm-yy"))</f>
        <v/>
      </c>
    </row>
    <row r="658" spans="2:15">
      <c r="B658" s="64"/>
      <c r="C658" s="64"/>
      <c r="D658" s="64"/>
      <c r="E658" s="64"/>
      <c r="F658" s="64"/>
      <c r="G658" s="64"/>
      <c r="H658" s="64"/>
      <c r="I658" s="64"/>
      <c r="J658" s="64"/>
      <c r="K658" s="64"/>
      <c r="L658" s="64"/>
      <c r="M658" s="64"/>
      <c r="N658" s="127" t="str">
        <f>IF(ISNA(VLOOKUP(Table3[[#This Row],[Ticket]],Table1[],17,FALSE)),"",VLOOKUP(Table3[[#This Row],[Ticket]],Table1[],17,FALSE))</f>
        <v/>
      </c>
      <c r="O658" s="128" t="str">
        <f>IF(Table3[[#This Row],[Actual End Date]]="","",TEXT(Table3[[#This Row],[Actual End Date]],"mmm-yy"))</f>
        <v/>
      </c>
    </row>
    <row r="659" spans="2:15">
      <c r="B659" s="64"/>
      <c r="C659" s="64"/>
      <c r="D659" s="64"/>
      <c r="E659" s="64"/>
      <c r="F659" s="64"/>
      <c r="G659" s="64"/>
      <c r="H659" s="64"/>
      <c r="I659" s="64"/>
      <c r="J659" s="64"/>
      <c r="K659" s="64"/>
      <c r="L659" s="64"/>
      <c r="M659" s="64"/>
      <c r="N659" s="127" t="str">
        <f>IF(ISNA(VLOOKUP(Table3[[#This Row],[Ticket]],Table1[],17,FALSE)),"",VLOOKUP(Table3[[#This Row],[Ticket]],Table1[],17,FALSE))</f>
        <v/>
      </c>
      <c r="O659" s="128" t="str">
        <f>IF(Table3[[#This Row],[Actual End Date]]="","",TEXT(Table3[[#This Row],[Actual End Date]],"mmm-yy"))</f>
        <v/>
      </c>
    </row>
    <row r="660" spans="2:15">
      <c r="B660" s="64"/>
      <c r="C660" s="64"/>
      <c r="D660" s="64"/>
      <c r="E660" s="64"/>
      <c r="F660" s="64"/>
      <c r="G660" s="64"/>
      <c r="H660" s="64"/>
      <c r="I660" s="64"/>
      <c r="J660" s="64"/>
      <c r="K660" s="64"/>
      <c r="L660" s="64"/>
      <c r="M660" s="64"/>
      <c r="N660" s="127" t="str">
        <f>IF(ISNA(VLOOKUP(Table3[[#This Row],[Ticket]],Table1[],17,FALSE)),"",VLOOKUP(Table3[[#This Row],[Ticket]],Table1[],17,FALSE))</f>
        <v/>
      </c>
      <c r="O660" s="128" t="str">
        <f>IF(Table3[[#This Row],[Actual End Date]]="","",TEXT(Table3[[#This Row],[Actual End Date]],"mmm-yy"))</f>
        <v/>
      </c>
    </row>
    <row r="661" spans="2:15">
      <c r="B661" s="64"/>
      <c r="C661" s="64"/>
      <c r="D661" s="64"/>
      <c r="E661" s="64"/>
      <c r="F661" s="64"/>
      <c r="G661" s="64"/>
      <c r="H661" s="64"/>
      <c r="I661" s="64"/>
      <c r="J661" s="64"/>
      <c r="K661" s="64"/>
      <c r="L661" s="64"/>
      <c r="M661" s="64"/>
      <c r="N661" s="127" t="str">
        <f>IF(ISNA(VLOOKUP(Table3[[#This Row],[Ticket]],Table1[],17,FALSE)),"",VLOOKUP(Table3[[#This Row],[Ticket]],Table1[],17,FALSE))</f>
        <v/>
      </c>
      <c r="O661" s="128" t="str">
        <f>IF(Table3[[#This Row],[Actual End Date]]="","",TEXT(Table3[[#This Row],[Actual End Date]],"mmm-yy"))</f>
        <v/>
      </c>
    </row>
    <row r="662" spans="2:15">
      <c r="B662" s="64"/>
      <c r="C662" s="64"/>
      <c r="D662" s="64"/>
      <c r="E662" s="64"/>
      <c r="F662" s="64"/>
      <c r="G662" s="64"/>
      <c r="H662" s="64"/>
      <c r="I662" s="64"/>
      <c r="J662" s="64"/>
      <c r="K662" s="64"/>
      <c r="L662" s="64"/>
      <c r="M662" s="64"/>
      <c r="N662" s="127" t="str">
        <f>IF(ISNA(VLOOKUP(Table3[[#This Row],[Ticket]],Table1[],17,FALSE)),"",VLOOKUP(Table3[[#This Row],[Ticket]],Table1[],17,FALSE))</f>
        <v/>
      </c>
      <c r="O662" s="128" t="str">
        <f>IF(Table3[[#This Row],[Actual End Date]]="","",TEXT(Table3[[#This Row],[Actual End Date]],"mmm-yy"))</f>
        <v/>
      </c>
    </row>
    <row r="663" spans="2:15">
      <c r="B663" s="64"/>
      <c r="C663" s="64"/>
      <c r="D663" s="64"/>
      <c r="E663" s="64"/>
      <c r="F663" s="64"/>
      <c r="G663" s="64"/>
      <c r="H663" s="64"/>
      <c r="I663" s="64"/>
      <c r="J663" s="64"/>
      <c r="K663" s="64"/>
      <c r="L663" s="64"/>
      <c r="M663" s="64"/>
      <c r="N663" s="127" t="str">
        <f>IF(ISNA(VLOOKUP(Table3[[#This Row],[Ticket]],Table1[],17,FALSE)),"",VLOOKUP(Table3[[#This Row],[Ticket]],Table1[],17,FALSE))</f>
        <v/>
      </c>
      <c r="O663" s="128" t="str">
        <f>IF(Table3[[#This Row],[Actual End Date]]="","",TEXT(Table3[[#This Row],[Actual End Date]],"mmm-yy"))</f>
        <v/>
      </c>
    </row>
    <row r="664" spans="2:15">
      <c r="B664" s="64"/>
      <c r="C664" s="64"/>
      <c r="D664" s="64"/>
      <c r="E664" s="64"/>
      <c r="F664" s="64"/>
      <c r="G664" s="64"/>
      <c r="H664" s="64"/>
      <c r="I664" s="64"/>
      <c r="J664" s="64"/>
      <c r="K664" s="64"/>
      <c r="L664" s="64"/>
      <c r="M664" s="64"/>
      <c r="N664" s="127" t="str">
        <f>IF(ISNA(VLOOKUP(Table3[[#This Row],[Ticket]],Table1[],17,FALSE)),"",VLOOKUP(Table3[[#This Row],[Ticket]],Table1[],17,FALSE))</f>
        <v/>
      </c>
      <c r="O664" s="128" t="str">
        <f>IF(Table3[[#This Row],[Actual End Date]]="","",TEXT(Table3[[#This Row],[Actual End Date]],"mmm-yy"))</f>
        <v/>
      </c>
    </row>
    <row r="665" spans="2:15">
      <c r="B665" s="64"/>
      <c r="C665" s="64"/>
      <c r="D665" s="64"/>
      <c r="E665" s="64"/>
      <c r="F665" s="64"/>
      <c r="G665" s="64"/>
      <c r="H665" s="64"/>
      <c r="I665" s="64"/>
      <c r="J665" s="64"/>
      <c r="K665" s="64"/>
      <c r="L665" s="64"/>
      <c r="M665" s="64"/>
      <c r="N665" s="127" t="str">
        <f>IF(ISNA(VLOOKUP(Table3[[#This Row],[Ticket]],Table1[],17,FALSE)),"",VLOOKUP(Table3[[#This Row],[Ticket]],Table1[],17,FALSE))</f>
        <v/>
      </c>
      <c r="O665" s="128" t="str">
        <f>IF(Table3[[#This Row],[Actual End Date]]="","",TEXT(Table3[[#This Row],[Actual End Date]],"mmm-yy"))</f>
        <v/>
      </c>
    </row>
    <row r="666" spans="2:15">
      <c r="B666" s="64"/>
      <c r="C666" s="64"/>
      <c r="D666" s="64"/>
      <c r="E666" s="64"/>
      <c r="F666" s="64"/>
      <c r="G666" s="64"/>
      <c r="H666" s="64"/>
      <c r="I666" s="64"/>
      <c r="J666" s="64"/>
      <c r="K666" s="64"/>
      <c r="L666" s="64"/>
      <c r="M666" s="64"/>
      <c r="N666" s="127" t="str">
        <f>IF(ISNA(VLOOKUP(Table3[[#This Row],[Ticket]],Table1[],17,FALSE)),"",VLOOKUP(Table3[[#This Row],[Ticket]],Table1[],17,FALSE))</f>
        <v/>
      </c>
      <c r="O666" s="128" t="str">
        <f>IF(Table3[[#This Row],[Actual End Date]]="","",TEXT(Table3[[#This Row],[Actual End Date]],"mmm-yy"))</f>
        <v/>
      </c>
    </row>
    <row r="667" spans="2:15">
      <c r="B667" s="64"/>
      <c r="C667" s="64"/>
      <c r="D667" s="64"/>
      <c r="E667" s="64"/>
      <c r="F667" s="64"/>
      <c r="G667" s="64"/>
      <c r="H667" s="64"/>
      <c r="I667" s="64"/>
      <c r="J667" s="64"/>
      <c r="K667" s="64"/>
      <c r="L667" s="64"/>
      <c r="M667" s="64"/>
      <c r="N667" s="127" t="str">
        <f>IF(ISNA(VLOOKUP(Table3[[#This Row],[Ticket]],Table1[],17,FALSE)),"",VLOOKUP(Table3[[#This Row],[Ticket]],Table1[],17,FALSE))</f>
        <v/>
      </c>
      <c r="O667" s="128" t="str">
        <f>IF(Table3[[#This Row],[Actual End Date]]="","",TEXT(Table3[[#This Row],[Actual End Date]],"mmm-yy"))</f>
        <v/>
      </c>
    </row>
    <row r="668" spans="2:15">
      <c r="B668" s="64"/>
      <c r="C668" s="64"/>
      <c r="D668" s="64"/>
      <c r="E668" s="64"/>
      <c r="F668" s="64"/>
      <c r="G668" s="64"/>
      <c r="H668" s="64"/>
      <c r="I668" s="64"/>
      <c r="J668" s="64"/>
      <c r="K668" s="64"/>
      <c r="L668" s="64"/>
      <c r="M668" s="64"/>
      <c r="N668" s="127" t="str">
        <f>IF(ISNA(VLOOKUP(Table3[[#This Row],[Ticket]],Table1[],17,FALSE)),"",VLOOKUP(Table3[[#This Row],[Ticket]],Table1[],17,FALSE))</f>
        <v/>
      </c>
      <c r="O668" s="128" t="str">
        <f>IF(Table3[[#This Row],[Actual End Date]]="","",TEXT(Table3[[#This Row],[Actual End Date]],"mmm-yy"))</f>
        <v/>
      </c>
    </row>
    <row r="669" spans="2:15">
      <c r="B669" s="64"/>
      <c r="C669" s="64"/>
      <c r="D669" s="64"/>
      <c r="E669" s="64"/>
      <c r="F669" s="64"/>
      <c r="G669" s="64"/>
      <c r="H669" s="64"/>
      <c r="I669" s="64"/>
      <c r="J669" s="64"/>
      <c r="K669" s="64"/>
      <c r="L669" s="64"/>
      <c r="M669" s="64"/>
      <c r="N669" s="127" t="str">
        <f>IF(ISNA(VLOOKUP(Table3[[#This Row],[Ticket]],Table1[],17,FALSE)),"",VLOOKUP(Table3[[#This Row],[Ticket]],Table1[],17,FALSE))</f>
        <v/>
      </c>
      <c r="O669" s="128" t="str">
        <f>IF(Table3[[#This Row],[Actual End Date]]="","",TEXT(Table3[[#This Row],[Actual End Date]],"mmm-yy"))</f>
        <v/>
      </c>
    </row>
    <row r="670" spans="2:15">
      <c r="B670" s="64"/>
      <c r="C670" s="64"/>
      <c r="D670" s="64"/>
      <c r="E670" s="64"/>
      <c r="F670" s="64"/>
      <c r="G670" s="64"/>
      <c r="H670" s="64"/>
      <c r="I670" s="64"/>
      <c r="J670" s="64"/>
      <c r="K670" s="64"/>
      <c r="L670" s="64"/>
      <c r="M670" s="64"/>
      <c r="N670" s="127" t="str">
        <f>IF(ISNA(VLOOKUP(Table3[[#This Row],[Ticket]],Table1[],17,FALSE)),"",VLOOKUP(Table3[[#This Row],[Ticket]],Table1[],17,FALSE))</f>
        <v/>
      </c>
      <c r="O670" s="128" t="str">
        <f>IF(Table3[[#This Row],[Actual End Date]]="","",TEXT(Table3[[#This Row],[Actual End Date]],"mmm-yy"))</f>
        <v/>
      </c>
    </row>
    <row r="671" spans="2:15">
      <c r="B671" s="64"/>
      <c r="C671" s="64"/>
      <c r="D671" s="64"/>
      <c r="E671" s="64"/>
      <c r="F671" s="64"/>
      <c r="G671" s="64"/>
      <c r="H671" s="64"/>
      <c r="I671" s="64"/>
      <c r="J671" s="64"/>
      <c r="K671" s="64"/>
      <c r="L671" s="64"/>
      <c r="M671" s="64"/>
      <c r="N671" s="127" t="str">
        <f>IF(ISNA(VLOOKUP(Table3[[#This Row],[Ticket]],Table1[],17,FALSE)),"",VLOOKUP(Table3[[#This Row],[Ticket]],Table1[],17,FALSE))</f>
        <v/>
      </c>
      <c r="O671" s="128" t="str">
        <f>IF(Table3[[#This Row],[Actual End Date]]="","",TEXT(Table3[[#This Row],[Actual End Date]],"mmm-yy"))</f>
        <v/>
      </c>
    </row>
    <row r="672" spans="2:15">
      <c r="B672" s="64"/>
      <c r="C672" s="64"/>
      <c r="D672" s="64"/>
      <c r="E672" s="64"/>
      <c r="F672" s="64"/>
      <c r="G672" s="64"/>
      <c r="H672" s="64"/>
      <c r="I672" s="64"/>
      <c r="J672" s="64"/>
      <c r="K672" s="64"/>
      <c r="L672" s="64"/>
      <c r="M672" s="64"/>
      <c r="N672" s="127" t="str">
        <f>IF(ISNA(VLOOKUP(Table3[[#This Row],[Ticket]],Table1[],17,FALSE)),"",VLOOKUP(Table3[[#This Row],[Ticket]],Table1[],17,FALSE))</f>
        <v/>
      </c>
      <c r="O672" s="128" t="str">
        <f>IF(Table3[[#This Row],[Actual End Date]]="","",TEXT(Table3[[#This Row],[Actual End Date]],"mmm-yy"))</f>
        <v/>
      </c>
    </row>
    <row r="673" spans="2:15">
      <c r="B673" s="64"/>
      <c r="C673" s="64"/>
      <c r="D673" s="64"/>
      <c r="E673" s="64"/>
      <c r="F673" s="64"/>
      <c r="G673" s="64"/>
      <c r="H673" s="64"/>
      <c r="I673" s="64"/>
      <c r="J673" s="64"/>
      <c r="K673" s="64"/>
      <c r="L673" s="64"/>
      <c r="M673" s="64"/>
      <c r="N673" s="127" t="str">
        <f>IF(ISNA(VLOOKUP(Table3[[#This Row],[Ticket]],Table1[],17,FALSE)),"",VLOOKUP(Table3[[#This Row],[Ticket]],Table1[],17,FALSE))</f>
        <v/>
      </c>
      <c r="O673" s="128" t="str">
        <f>IF(Table3[[#This Row],[Actual End Date]]="","",TEXT(Table3[[#This Row],[Actual End Date]],"mmm-yy"))</f>
        <v/>
      </c>
    </row>
    <row r="674" spans="2:15">
      <c r="B674" s="64"/>
      <c r="C674" s="64"/>
      <c r="D674" s="64"/>
      <c r="E674" s="64"/>
      <c r="F674" s="64"/>
      <c r="G674" s="64"/>
      <c r="H674" s="64"/>
      <c r="I674" s="64"/>
      <c r="J674" s="64"/>
      <c r="K674" s="64"/>
      <c r="L674" s="64"/>
      <c r="M674" s="64"/>
      <c r="N674" s="127" t="str">
        <f>IF(ISNA(VLOOKUP(Table3[[#This Row],[Ticket]],Table1[],17,FALSE)),"",VLOOKUP(Table3[[#This Row],[Ticket]],Table1[],17,FALSE))</f>
        <v/>
      </c>
      <c r="O674" s="128" t="str">
        <f>IF(Table3[[#This Row],[Actual End Date]]="","",TEXT(Table3[[#This Row],[Actual End Date]],"mmm-yy"))</f>
        <v/>
      </c>
    </row>
    <row r="675" spans="2:15">
      <c r="B675" s="64"/>
      <c r="C675" s="64"/>
      <c r="D675" s="64"/>
      <c r="E675" s="64"/>
      <c r="F675" s="64"/>
      <c r="G675" s="64"/>
      <c r="H675" s="64"/>
      <c r="I675" s="64"/>
      <c r="J675" s="64"/>
      <c r="K675" s="64"/>
      <c r="L675" s="64"/>
      <c r="M675" s="64"/>
      <c r="N675" s="127" t="str">
        <f>IF(ISNA(VLOOKUP(Table3[[#This Row],[Ticket]],Table1[],17,FALSE)),"",VLOOKUP(Table3[[#This Row],[Ticket]],Table1[],17,FALSE))</f>
        <v/>
      </c>
      <c r="O675" s="128" t="str">
        <f>IF(Table3[[#This Row],[Actual End Date]]="","",TEXT(Table3[[#This Row],[Actual End Date]],"mmm-yy"))</f>
        <v/>
      </c>
    </row>
    <row r="676" spans="2:15">
      <c r="B676" s="64"/>
      <c r="C676" s="64"/>
      <c r="D676" s="64"/>
      <c r="E676" s="64"/>
      <c r="F676" s="64"/>
      <c r="G676" s="64"/>
      <c r="H676" s="64"/>
      <c r="I676" s="64"/>
      <c r="J676" s="64"/>
      <c r="K676" s="64"/>
      <c r="L676" s="64"/>
      <c r="M676" s="64"/>
      <c r="N676" s="127" t="str">
        <f>IF(ISNA(VLOOKUP(Table3[[#This Row],[Ticket]],Table1[],17,FALSE)),"",VLOOKUP(Table3[[#This Row],[Ticket]],Table1[],17,FALSE))</f>
        <v/>
      </c>
      <c r="O676" s="128" t="str">
        <f>IF(Table3[[#This Row],[Actual End Date]]="","",TEXT(Table3[[#This Row],[Actual End Date]],"mmm-yy"))</f>
        <v/>
      </c>
    </row>
    <row r="677" spans="2:15">
      <c r="B677" s="64"/>
      <c r="C677" s="64"/>
      <c r="D677" s="64"/>
      <c r="E677" s="64"/>
      <c r="F677" s="64"/>
      <c r="G677" s="64"/>
      <c r="H677" s="64"/>
      <c r="I677" s="64"/>
      <c r="J677" s="64"/>
      <c r="K677" s="64"/>
      <c r="L677" s="64"/>
      <c r="M677" s="64"/>
      <c r="N677" s="127" t="str">
        <f>IF(ISNA(VLOOKUP(Table3[[#This Row],[Ticket]],Table1[],17,FALSE)),"",VLOOKUP(Table3[[#This Row],[Ticket]],Table1[],17,FALSE))</f>
        <v/>
      </c>
      <c r="O677" s="128" t="str">
        <f>IF(Table3[[#This Row],[Actual End Date]]="","",TEXT(Table3[[#This Row],[Actual End Date]],"mmm-yy"))</f>
        <v/>
      </c>
    </row>
    <row r="678" spans="2:15">
      <c r="B678" s="64"/>
      <c r="C678" s="64"/>
      <c r="D678" s="64"/>
      <c r="E678" s="64"/>
      <c r="F678" s="64"/>
      <c r="G678" s="64"/>
      <c r="H678" s="64"/>
      <c r="I678" s="64"/>
      <c r="J678" s="64"/>
      <c r="K678" s="64"/>
      <c r="L678" s="64"/>
      <c r="M678" s="64"/>
      <c r="N678" s="127" t="str">
        <f>IF(ISNA(VLOOKUP(Table3[[#This Row],[Ticket]],Table1[],17,FALSE)),"",VLOOKUP(Table3[[#This Row],[Ticket]],Table1[],17,FALSE))</f>
        <v/>
      </c>
      <c r="O678" s="128" t="str">
        <f>IF(Table3[[#This Row],[Actual End Date]]="","",TEXT(Table3[[#This Row],[Actual End Date]],"mmm-yy"))</f>
        <v/>
      </c>
    </row>
    <row r="679" spans="2:15">
      <c r="B679" s="64"/>
      <c r="C679" s="64"/>
      <c r="D679" s="64"/>
      <c r="E679" s="64"/>
      <c r="F679" s="64"/>
      <c r="G679" s="64"/>
      <c r="H679" s="64"/>
      <c r="I679" s="64"/>
      <c r="J679" s="64"/>
      <c r="K679" s="64"/>
      <c r="L679" s="64"/>
      <c r="M679" s="64"/>
      <c r="N679" s="127" t="str">
        <f>IF(ISNA(VLOOKUP(Table3[[#This Row],[Ticket]],Table1[],17,FALSE)),"",VLOOKUP(Table3[[#This Row],[Ticket]],Table1[],17,FALSE))</f>
        <v/>
      </c>
      <c r="O679" s="128" t="str">
        <f>IF(Table3[[#This Row],[Actual End Date]]="","",TEXT(Table3[[#This Row],[Actual End Date]],"mmm-yy"))</f>
        <v/>
      </c>
    </row>
    <row r="680" spans="2:15">
      <c r="B680" s="64"/>
      <c r="C680" s="64"/>
      <c r="D680" s="64"/>
      <c r="E680" s="64"/>
      <c r="F680" s="64"/>
      <c r="G680" s="64"/>
      <c r="H680" s="64"/>
      <c r="I680" s="64"/>
      <c r="J680" s="64"/>
      <c r="K680" s="64"/>
      <c r="L680" s="64"/>
      <c r="M680" s="64"/>
      <c r="N680" s="127" t="str">
        <f>IF(ISNA(VLOOKUP(Table3[[#This Row],[Ticket]],Table1[],17,FALSE)),"",VLOOKUP(Table3[[#This Row],[Ticket]],Table1[],17,FALSE))</f>
        <v/>
      </c>
      <c r="O680" s="128" t="str">
        <f>IF(Table3[[#This Row],[Actual End Date]]="","",TEXT(Table3[[#This Row],[Actual End Date]],"mmm-yy"))</f>
        <v/>
      </c>
    </row>
    <row r="681" spans="2:15">
      <c r="B681" s="64"/>
      <c r="C681" s="64"/>
      <c r="D681" s="64"/>
      <c r="E681" s="64"/>
      <c r="F681" s="64"/>
      <c r="G681" s="64"/>
      <c r="H681" s="64"/>
      <c r="I681" s="64"/>
      <c r="J681" s="64"/>
      <c r="K681" s="64"/>
      <c r="L681" s="64"/>
      <c r="M681" s="64"/>
      <c r="N681" s="127" t="str">
        <f>IF(ISNA(VLOOKUP(Table3[[#This Row],[Ticket]],Table1[],17,FALSE)),"",VLOOKUP(Table3[[#This Row],[Ticket]],Table1[],17,FALSE))</f>
        <v/>
      </c>
      <c r="O681" s="128" t="str">
        <f>IF(Table3[[#This Row],[Actual End Date]]="","",TEXT(Table3[[#This Row],[Actual End Date]],"mmm-yy"))</f>
        <v/>
      </c>
    </row>
    <row r="682" spans="2:15">
      <c r="B682" s="64"/>
      <c r="C682" s="64"/>
      <c r="D682" s="64"/>
      <c r="E682" s="64"/>
      <c r="F682" s="64"/>
      <c r="G682" s="64"/>
      <c r="H682" s="64"/>
      <c r="I682" s="64"/>
      <c r="J682" s="64"/>
      <c r="K682" s="64"/>
      <c r="L682" s="64"/>
      <c r="M682" s="64"/>
      <c r="N682" s="127" t="str">
        <f>IF(ISNA(VLOOKUP(Table3[[#This Row],[Ticket]],Table1[],17,FALSE)),"",VLOOKUP(Table3[[#This Row],[Ticket]],Table1[],17,FALSE))</f>
        <v/>
      </c>
      <c r="O682" s="128" t="str">
        <f>IF(Table3[[#This Row],[Actual End Date]]="","",TEXT(Table3[[#This Row],[Actual End Date]],"mmm-yy"))</f>
        <v/>
      </c>
    </row>
    <row r="683" spans="2:15">
      <c r="B683" s="64"/>
      <c r="C683" s="64"/>
      <c r="D683" s="64"/>
      <c r="E683" s="64"/>
      <c r="F683" s="64"/>
      <c r="G683" s="64"/>
      <c r="H683" s="64"/>
      <c r="I683" s="64"/>
      <c r="J683" s="64"/>
      <c r="K683" s="64"/>
      <c r="L683" s="64"/>
      <c r="M683" s="64"/>
      <c r="N683" s="127" t="str">
        <f>IF(ISNA(VLOOKUP(Table3[[#This Row],[Ticket]],Table1[],17,FALSE)),"",VLOOKUP(Table3[[#This Row],[Ticket]],Table1[],17,FALSE))</f>
        <v/>
      </c>
      <c r="O683" s="128" t="str">
        <f>IF(Table3[[#This Row],[Actual End Date]]="","",TEXT(Table3[[#This Row],[Actual End Date]],"mmm-yy"))</f>
        <v/>
      </c>
    </row>
    <row r="684" spans="2:15">
      <c r="B684" s="64"/>
      <c r="C684" s="64"/>
      <c r="D684" s="64"/>
      <c r="E684" s="64"/>
      <c r="F684" s="64"/>
      <c r="G684" s="64"/>
      <c r="H684" s="64"/>
      <c r="I684" s="64"/>
      <c r="J684" s="64"/>
      <c r="K684" s="64"/>
      <c r="L684" s="64"/>
      <c r="M684" s="64"/>
      <c r="N684" s="127" t="str">
        <f>IF(ISNA(VLOOKUP(Table3[[#This Row],[Ticket]],Table1[],17,FALSE)),"",VLOOKUP(Table3[[#This Row],[Ticket]],Table1[],17,FALSE))</f>
        <v/>
      </c>
      <c r="O684" s="128" t="str">
        <f>IF(Table3[[#This Row],[Actual End Date]]="","",TEXT(Table3[[#This Row],[Actual End Date]],"mmm-yy"))</f>
        <v/>
      </c>
    </row>
    <row r="685" spans="2:15">
      <c r="B685" s="64"/>
      <c r="C685" s="64"/>
      <c r="D685" s="64"/>
      <c r="E685" s="64"/>
      <c r="F685" s="64"/>
      <c r="G685" s="64"/>
      <c r="H685" s="64"/>
      <c r="I685" s="64"/>
      <c r="J685" s="64"/>
      <c r="K685" s="64"/>
      <c r="L685" s="64"/>
      <c r="M685" s="64"/>
      <c r="N685" s="127" t="str">
        <f>IF(ISNA(VLOOKUP(Table3[[#This Row],[Ticket]],Table1[],17,FALSE)),"",VLOOKUP(Table3[[#This Row],[Ticket]],Table1[],17,FALSE))</f>
        <v/>
      </c>
      <c r="O685" s="128" t="str">
        <f>IF(Table3[[#This Row],[Actual End Date]]="","",TEXT(Table3[[#This Row],[Actual End Date]],"mmm-yy"))</f>
        <v/>
      </c>
    </row>
    <row r="686" spans="2:15">
      <c r="B686" s="64"/>
      <c r="C686" s="64"/>
      <c r="D686" s="64"/>
      <c r="E686" s="64"/>
      <c r="F686" s="64"/>
      <c r="G686" s="64"/>
      <c r="H686" s="64"/>
      <c r="I686" s="64"/>
      <c r="J686" s="64"/>
      <c r="K686" s="64"/>
      <c r="L686" s="64"/>
      <c r="M686" s="64"/>
      <c r="N686" s="127" t="str">
        <f>IF(ISNA(VLOOKUP(Table3[[#This Row],[Ticket]],Table1[],17,FALSE)),"",VLOOKUP(Table3[[#This Row],[Ticket]],Table1[],17,FALSE))</f>
        <v/>
      </c>
      <c r="O686" s="128" t="str">
        <f>IF(Table3[[#This Row],[Actual End Date]]="","",TEXT(Table3[[#This Row],[Actual End Date]],"mmm-yy"))</f>
        <v/>
      </c>
    </row>
    <row r="687" spans="2:15">
      <c r="B687" s="64"/>
      <c r="C687" s="64"/>
      <c r="D687" s="64"/>
      <c r="E687" s="64"/>
      <c r="F687" s="64"/>
      <c r="G687" s="64"/>
      <c r="H687" s="64"/>
      <c r="I687" s="64"/>
      <c r="J687" s="64"/>
      <c r="K687" s="64"/>
      <c r="L687" s="64"/>
      <c r="M687" s="64"/>
      <c r="N687" s="127" t="str">
        <f>IF(ISNA(VLOOKUP(Table3[[#This Row],[Ticket]],Table1[],17,FALSE)),"",VLOOKUP(Table3[[#This Row],[Ticket]],Table1[],17,FALSE))</f>
        <v/>
      </c>
      <c r="O687" s="128" t="str">
        <f>IF(Table3[[#This Row],[Actual End Date]]="","",TEXT(Table3[[#This Row],[Actual End Date]],"mmm-yy"))</f>
        <v/>
      </c>
    </row>
    <row r="688" spans="2:15">
      <c r="B688" s="64"/>
      <c r="C688" s="64"/>
      <c r="D688" s="64"/>
      <c r="E688" s="64"/>
      <c r="F688" s="64"/>
      <c r="G688" s="64"/>
      <c r="H688" s="64"/>
      <c r="I688" s="64"/>
      <c r="J688" s="64"/>
      <c r="K688" s="64"/>
      <c r="L688" s="64"/>
      <c r="M688" s="64"/>
      <c r="N688" s="127" t="str">
        <f>IF(ISNA(VLOOKUP(Table3[[#This Row],[Ticket]],Table1[],17,FALSE)),"",VLOOKUP(Table3[[#This Row],[Ticket]],Table1[],17,FALSE))</f>
        <v/>
      </c>
      <c r="O688" s="128" t="str">
        <f>IF(Table3[[#This Row],[Actual End Date]]="","",TEXT(Table3[[#This Row],[Actual End Date]],"mmm-yy"))</f>
        <v/>
      </c>
    </row>
    <row r="689" spans="2:15">
      <c r="B689" s="64"/>
      <c r="C689" s="64"/>
      <c r="D689" s="64"/>
      <c r="E689" s="64"/>
      <c r="F689" s="64"/>
      <c r="G689" s="64"/>
      <c r="H689" s="64"/>
      <c r="I689" s="64"/>
      <c r="J689" s="64"/>
      <c r="K689" s="64"/>
      <c r="L689" s="64"/>
      <c r="M689" s="64"/>
      <c r="N689" s="127" t="str">
        <f>IF(ISNA(VLOOKUP(Table3[[#This Row],[Ticket]],Table1[],17,FALSE)),"",VLOOKUP(Table3[[#This Row],[Ticket]],Table1[],17,FALSE))</f>
        <v/>
      </c>
      <c r="O689" s="128" t="str">
        <f>IF(Table3[[#This Row],[Actual End Date]]="","",TEXT(Table3[[#This Row],[Actual End Date]],"mmm-yy"))</f>
        <v/>
      </c>
    </row>
    <row r="690" spans="2:15">
      <c r="B690" s="64"/>
      <c r="C690" s="64"/>
      <c r="D690" s="64"/>
      <c r="E690" s="64"/>
      <c r="F690" s="64"/>
      <c r="G690" s="64"/>
      <c r="H690" s="64"/>
      <c r="I690" s="64"/>
      <c r="J690" s="64"/>
      <c r="K690" s="64"/>
      <c r="L690" s="64"/>
      <c r="M690" s="64"/>
      <c r="N690" s="127" t="str">
        <f>IF(ISNA(VLOOKUP(Table3[[#This Row],[Ticket]],Table1[],17,FALSE)),"",VLOOKUP(Table3[[#This Row],[Ticket]],Table1[],17,FALSE))</f>
        <v/>
      </c>
      <c r="O690" s="128" t="str">
        <f>IF(Table3[[#This Row],[Actual End Date]]="","",TEXT(Table3[[#This Row],[Actual End Date]],"mmm-yy"))</f>
        <v/>
      </c>
    </row>
    <row r="691" spans="2:15">
      <c r="B691" s="64"/>
      <c r="C691" s="64"/>
      <c r="D691" s="64"/>
      <c r="E691" s="64"/>
      <c r="F691" s="64"/>
      <c r="G691" s="64"/>
      <c r="H691" s="64"/>
      <c r="I691" s="64"/>
      <c r="J691" s="64"/>
      <c r="K691" s="64"/>
      <c r="L691" s="64"/>
      <c r="M691" s="64"/>
      <c r="N691" s="127" t="str">
        <f>IF(ISNA(VLOOKUP(Table3[[#This Row],[Ticket]],Table1[],17,FALSE)),"",VLOOKUP(Table3[[#This Row],[Ticket]],Table1[],17,FALSE))</f>
        <v/>
      </c>
      <c r="O691" s="128" t="str">
        <f>IF(Table3[[#This Row],[Actual End Date]]="","",TEXT(Table3[[#This Row],[Actual End Date]],"mmm-yy"))</f>
        <v/>
      </c>
    </row>
    <row r="692" spans="2:15">
      <c r="B692" s="64"/>
      <c r="C692" s="64"/>
      <c r="D692" s="64"/>
      <c r="E692" s="64"/>
      <c r="F692" s="64"/>
      <c r="G692" s="64"/>
      <c r="H692" s="64"/>
      <c r="I692" s="64"/>
      <c r="J692" s="64"/>
      <c r="K692" s="64"/>
      <c r="L692" s="64"/>
      <c r="M692" s="64"/>
      <c r="N692" s="127" t="str">
        <f>IF(ISNA(VLOOKUP(Table3[[#This Row],[Ticket]],Table1[],17,FALSE)),"",VLOOKUP(Table3[[#This Row],[Ticket]],Table1[],17,FALSE))</f>
        <v/>
      </c>
      <c r="O692" s="128" t="str">
        <f>IF(Table3[[#This Row],[Actual End Date]]="","",TEXT(Table3[[#This Row],[Actual End Date]],"mmm-yy"))</f>
        <v/>
      </c>
    </row>
    <row r="693" spans="2:15">
      <c r="B693" s="64"/>
      <c r="C693" s="64"/>
      <c r="D693" s="64"/>
      <c r="E693" s="64"/>
      <c r="F693" s="64"/>
      <c r="G693" s="64"/>
      <c r="H693" s="64"/>
      <c r="I693" s="64"/>
      <c r="J693" s="64"/>
      <c r="K693" s="64"/>
      <c r="L693" s="64"/>
      <c r="M693" s="64"/>
      <c r="N693" s="127" t="str">
        <f>IF(ISNA(VLOOKUP(Table3[[#This Row],[Ticket]],Table1[],17,FALSE)),"",VLOOKUP(Table3[[#This Row],[Ticket]],Table1[],17,FALSE))</f>
        <v/>
      </c>
      <c r="O693" s="128" t="str">
        <f>IF(Table3[[#This Row],[Actual End Date]]="","",TEXT(Table3[[#This Row],[Actual End Date]],"mmm-yy"))</f>
        <v/>
      </c>
    </row>
    <row r="694" spans="2:15">
      <c r="B694" s="64"/>
      <c r="C694" s="64"/>
      <c r="D694" s="64"/>
      <c r="E694" s="64"/>
      <c r="F694" s="64"/>
      <c r="G694" s="64"/>
      <c r="H694" s="64"/>
      <c r="I694" s="64"/>
      <c r="J694" s="64"/>
      <c r="K694" s="64"/>
      <c r="L694" s="64"/>
      <c r="M694" s="64"/>
      <c r="N694" s="127" t="str">
        <f>IF(ISNA(VLOOKUP(Table3[[#This Row],[Ticket]],Table1[],17,FALSE)),"",VLOOKUP(Table3[[#This Row],[Ticket]],Table1[],17,FALSE))</f>
        <v/>
      </c>
      <c r="O694" s="128" t="str">
        <f>IF(Table3[[#This Row],[Actual End Date]]="","",TEXT(Table3[[#This Row],[Actual End Date]],"mmm-yy"))</f>
        <v/>
      </c>
    </row>
    <row r="695" spans="2:15">
      <c r="B695" s="64"/>
      <c r="C695" s="64"/>
      <c r="D695" s="64"/>
      <c r="E695" s="64"/>
      <c r="F695" s="64"/>
      <c r="G695" s="64"/>
      <c r="H695" s="64"/>
      <c r="I695" s="64"/>
      <c r="J695" s="64"/>
      <c r="K695" s="64"/>
      <c r="L695" s="64"/>
      <c r="M695" s="64"/>
      <c r="N695" s="127" t="str">
        <f>IF(ISNA(VLOOKUP(Table3[[#This Row],[Ticket]],Table1[],17,FALSE)),"",VLOOKUP(Table3[[#This Row],[Ticket]],Table1[],17,FALSE))</f>
        <v/>
      </c>
      <c r="O695" s="128" t="str">
        <f>IF(Table3[[#This Row],[Actual End Date]]="","",TEXT(Table3[[#This Row],[Actual End Date]],"mmm-yy"))</f>
        <v/>
      </c>
    </row>
    <row r="696" spans="2:15">
      <c r="B696" s="64"/>
      <c r="C696" s="64"/>
      <c r="D696" s="64"/>
      <c r="E696" s="64"/>
      <c r="F696" s="64"/>
      <c r="G696" s="64"/>
      <c r="H696" s="64"/>
      <c r="I696" s="64"/>
      <c r="J696" s="64"/>
      <c r="K696" s="64"/>
      <c r="L696" s="64"/>
      <c r="M696" s="64"/>
      <c r="N696" s="127" t="str">
        <f>IF(ISNA(VLOOKUP(Table3[[#This Row],[Ticket]],Table1[],17,FALSE)),"",VLOOKUP(Table3[[#This Row],[Ticket]],Table1[],17,FALSE))</f>
        <v/>
      </c>
      <c r="O696" s="128" t="str">
        <f>IF(Table3[[#This Row],[Actual End Date]]="","",TEXT(Table3[[#This Row],[Actual End Date]],"mmm-yy"))</f>
        <v/>
      </c>
    </row>
    <row r="697" spans="2:15">
      <c r="B697" s="64"/>
      <c r="C697" s="64"/>
      <c r="D697" s="64"/>
      <c r="E697" s="64"/>
      <c r="F697" s="64"/>
      <c r="G697" s="64"/>
      <c r="H697" s="64"/>
      <c r="I697" s="64"/>
      <c r="J697" s="64"/>
      <c r="K697" s="64"/>
      <c r="L697" s="64"/>
      <c r="M697" s="64"/>
      <c r="N697" s="127" t="str">
        <f>IF(ISNA(VLOOKUP(Table3[[#This Row],[Ticket]],Table1[],17,FALSE)),"",VLOOKUP(Table3[[#This Row],[Ticket]],Table1[],17,FALSE))</f>
        <v/>
      </c>
      <c r="O697" s="128" t="str">
        <f>IF(Table3[[#This Row],[Actual End Date]]="","",TEXT(Table3[[#This Row],[Actual End Date]],"mmm-yy"))</f>
        <v/>
      </c>
    </row>
    <row r="698" spans="2:15">
      <c r="B698" s="64"/>
      <c r="C698" s="64"/>
      <c r="D698" s="64"/>
      <c r="E698" s="64"/>
      <c r="F698" s="64"/>
      <c r="G698" s="64"/>
      <c r="H698" s="64"/>
      <c r="I698" s="64"/>
      <c r="J698" s="64"/>
      <c r="K698" s="64"/>
      <c r="L698" s="64"/>
      <c r="M698" s="64"/>
      <c r="N698" s="127" t="str">
        <f>IF(ISNA(VLOOKUP(Table3[[#This Row],[Ticket]],Table1[],17,FALSE)),"",VLOOKUP(Table3[[#This Row],[Ticket]],Table1[],17,FALSE))</f>
        <v/>
      </c>
      <c r="O698" s="128" t="str">
        <f>IF(Table3[[#This Row],[Actual End Date]]="","",TEXT(Table3[[#This Row],[Actual End Date]],"mmm-yy"))</f>
        <v/>
      </c>
    </row>
    <row r="699" spans="2:15">
      <c r="B699" s="64"/>
      <c r="C699" s="64"/>
      <c r="D699" s="64"/>
      <c r="E699" s="64"/>
      <c r="F699" s="64"/>
      <c r="G699" s="64"/>
      <c r="H699" s="64"/>
      <c r="I699" s="64"/>
      <c r="J699" s="64"/>
      <c r="K699" s="64"/>
      <c r="L699" s="64"/>
      <c r="M699" s="64"/>
      <c r="N699" s="127" t="str">
        <f>IF(ISNA(VLOOKUP(Table3[[#This Row],[Ticket]],Table1[],17,FALSE)),"",VLOOKUP(Table3[[#This Row],[Ticket]],Table1[],17,FALSE))</f>
        <v/>
      </c>
      <c r="O699" s="128" t="str">
        <f>IF(Table3[[#This Row],[Actual End Date]]="","",TEXT(Table3[[#This Row],[Actual End Date]],"mmm-yy"))</f>
        <v/>
      </c>
    </row>
    <row r="700" spans="2:15">
      <c r="B700" s="64"/>
      <c r="C700" s="64"/>
      <c r="D700" s="64"/>
      <c r="E700" s="64"/>
      <c r="F700" s="64"/>
      <c r="G700" s="64"/>
      <c r="H700" s="64"/>
      <c r="I700" s="64"/>
      <c r="J700" s="64"/>
      <c r="K700" s="64"/>
      <c r="L700" s="64"/>
      <c r="M700" s="64"/>
      <c r="N700" s="127" t="str">
        <f>IF(ISNA(VLOOKUP(Table3[[#This Row],[Ticket]],Table1[],17,FALSE)),"",VLOOKUP(Table3[[#This Row],[Ticket]],Table1[],17,FALSE))</f>
        <v/>
      </c>
      <c r="O700" s="128" t="str">
        <f>IF(Table3[[#This Row],[Actual End Date]]="","",TEXT(Table3[[#This Row],[Actual End Date]],"mmm-yy"))</f>
        <v/>
      </c>
    </row>
    <row r="701" spans="2:15">
      <c r="B701" s="64"/>
      <c r="C701" s="64"/>
      <c r="D701" s="64"/>
      <c r="E701" s="64"/>
      <c r="F701" s="64"/>
      <c r="G701" s="64"/>
      <c r="H701" s="64"/>
      <c r="I701" s="64"/>
      <c r="J701" s="64"/>
      <c r="K701" s="64"/>
      <c r="L701" s="64"/>
      <c r="M701" s="64"/>
      <c r="N701" s="127" t="str">
        <f>IF(ISNA(VLOOKUP(Table3[[#This Row],[Ticket]],Table1[],17,FALSE)),"",VLOOKUP(Table3[[#This Row],[Ticket]],Table1[],17,FALSE))</f>
        <v/>
      </c>
      <c r="O701" s="128" t="str">
        <f>IF(Table3[[#This Row],[Actual End Date]]="","",TEXT(Table3[[#This Row],[Actual End Date]],"mmm-yy"))</f>
        <v/>
      </c>
    </row>
    <row r="702" spans="2:15">
      <c r="B702" s="64"/>
      <c r="C702" s="64"/>
      <c r="D702" s="64"/>
      <c r="E702" s="64"/>
      <c r="F702" s="64"/>
      <c r="G702" s="64"/>
      <c r="H702" s="64"/>
      <c r="I702" s="64"/>
      <c r="J702" s="64"/>
      <c r="K702" s="64"/>
      <c r="L702" s="64"/>
      <c r="M702" s="64"/>
      <c r="N702" s="127" t="str">
        <f>IF(ISNA(VLOOKUP(Table3[[#This Row],[Ticket]],Table1[],17,FALSE)),"",VLOOKUP(Table3[[#This Row],[Ticket]],Table1[],17,FALSE))</f>
        <v/>
      </c>
      <c r="O702" s="128" t="str">
        <f>IF(Table3[[#This Row],[Actual End Date]]="","",TEXT(Table3[[#This Row],[Actual End Date]],"mmm-yy"))</f>
        <v/>
      </c>
    </row>
    <row r="703" spans="2:15">
      <c r="B703" s="64"/>
      <c r="C703" s="64"/>
      <c r="D703" s="64"/>
      <c r="E703" s="64"/>
      <c r="F703" s="64"/>
      <c r="G703" s="64"/>
      <c r="H703" s="64"/>
      <c r="I703" s="64"/>
      <c r="J703" s="64"/>
      <c r="K703" s="64"/>
      <c r="L703" s="64"/>
      <c r="M703" s="64"/>
      <c r="N703" s="127" t="str">
        <f>IF(ISNA(VLOOKUP(Table3[[#This Row],[Ticket]],Table1[],17,FALSE)),"",VLOOKUP(Table3[[#This Row],[Ticket]],Table1[],17,FALSE))</f>
        <v/>
      </c>
      <c r="O703" s="128" t="str">
        <f>IF(Table3[[#This Row],[Actual End Date]]="","",TEXT(Table3[[#This Row],[Actual End Date]],"mmm-yy"))</f>
        <v/>
      </c>
    </row>
    <row r="704" spans="2:15">
      <c r="B704" s="64"/>
      <c r="C704" s="64"/>
      <c r="D704" s="64"/>
      <c r="E704" s="64"/>
      <c r="F704" s="64"/>
      <c r="G704" s="64"/>
      <c r="H704" s="64"/>
      <c r="I704" s="64"/>
      <c r="J704" s="64"/>
      <c r="K704" s="64"/>
      <c r="L704" s="64"/>
      <c r="M704" s="64"/>
      <c r="N704" s="127" t="str">
        <f>IF(ISNA(VLOOKUP(Table3[[#This Row],[Ticket]],Table1[],17,FALSE)),"",VLOOKUP(Table3[[#This Row],[Ticket]],Table1[],17,FALSE))</f>
        <v/>
      </c>
      <c r="O704" s="128" t="str">
        <f>IF(Table3[[#This Row],[Actual End Date]]="","",TEXT(Table3[[#This Row],[Actual End Date]],"mmm-yy"))</f>
        <v/>
      </c>
    </row>
    <row r="705" spans="2:15">
      <c r="B705" s="64"/>
      <c r="C705" s="64"/>
      <c r="D705" s="64"/>
      <c r="E705" s="64"/>
      <c r="F705" s="64"/>
      <c r="G705" s="64"/>
      <c r="H705" s="64"/>
      <c r="I705" s="64"/>
      <c r="J705" s="64"/>
      <c r="K705" s="64"/>
      <c r="L705" s="64"/>
      <c r="M705" s="64"/>
      <c r="N705" s="127" t="str">
        <f>IF(ISNA(VLOOKUP(Table3[[#This Row],[Ticket]],Table1[],17,FALSE)),"",VLOOKUP(Table3[[#This Row],[Ticket]],Table1[],17,FALSE))</f>
        <v/>
      </c>
      <c r="O705" s="128" t="str">
        <f>IF(Table3[[#This Row],[Actual End Date]]="","",TEXT(Table3[[#This Row],[Actual End Date]],"mmm-yy"))</f>
        <v/>
      </c>
    </row>
    <row r="706" spans="2:15">
      <c r="B706" s="64"/>
      <c r="C706" s="64"/>
      <c r="D706" s="64"/>
      <c r="E706" s="64"/>
      <c r="F706" s="64"/>
      <c r="G706" s="64"/>
      <c r="H706" s="64"/>
      <c r="I706" s="64"/>
      <c r="J706" s="64"/>
      <c r="K706" s="64"/>
      <c r="L706" s="64"/>
      <c r="M706" s="64"/>
      <c r="N706" s="127" t="str">
        <f>IF(ISNA(VLOOKUP(Table3[[#This Row],[Ticket]],Table1[],17,FALSE)),"",VLOOKUP(Table3[[#This Row],[Ticket]],Table1[],17,FALSE))</f>
        <v/>
      </c>
      <c r="O706" s="128" t="str">
        <f>IF(Table3[[#This Row],[Actual End Date]]="","",TEXT(Table3[[#This Row],[Actual End Date]],"mmm-yy"))</f>
        <v/>
      </c>
    </row>
    <row r="707" spans="2:15">
      <c r="B707" s="64"/>
      <c r="C707" s="64"/>
      <c r="D707" s="64"/>
      <c r="E707" s="64"/>
      <c r="F707" s="64"/>
      <c r="G707" s="64"/>
      <c r="H707" s="64"/>
      <c r="I707" s="64"/>
      <c r="J707" s="64"/>
      <c r="K707" s="64"/>
      <c r="L707" s="64"/>
      <c r="M707" s="64"/>
      <c r="N707" s="127" t="str">
        <f>IF(ISNA(VLOOKUP(Table3[[#This Row],[Ticket]],Table1[],17,FALSE)),"",VLOOKUP(Table3[[#This Row],[Ticket]],Table1[],17,FALSE))</f>
        <v/>
      </c>
      <c r="O707" s="128" t="str">
        <f>IF(Table3[[#This Row],[Actual End Date]]="","",TEXT(Table3[[#This Row],[Actual End Date]],"mmm-yy"))</f>
        <v/>
      </c>
    </row>
    <row r="708" spans="2:15">
      <c r="B708" s="64"/>
      <c r="C708" s="64"/>
      <c r="D708" s="64"/>
      <c r="E708" s="64"/>
      <c r="F708" s="64"/>
      <c r="G708" s="64"/>
      <c r="H708" s="64"/>
      <c r="I708" s="64"/>
      <c r="J708" s="64"/>
      <c r="K708" s="64"/>
      <c r="L708" s="64"/>
      <c r="M708" s="64"/>
      <c r="N708" s="127" t="str">
        <f>IF(ISNA(VLOOKUP(Table3[[#This Row],[Ticket]],Table1[],17,FALSE)),"",VLOOKUP(Table3[[#This Row],[Ticket]],Table1[],17,FALSE))</f>
        <v/>
      </c>
      <c r="O708" s="128" t="str">
        <f>IF(Table3[[#This Row],[Actual End Date]]="","",TEXT(Table3[[#This Row],[Actual End Date]],"mmm-yy"))</f>
        <v/>
      </c>
    </row>
    <row r="709" spans="2:15">
      <c r="B709" s="64"/>
      <c r="C709" s="64"/>
      <c r="D709" s="64"/>
      <c r="E709" s="64"/>
      <c r="F709" s="64"/>
      <c r="G709" s="64"/>
      <c r="H709" s="64"/>
      <c r="I709" s="64"/>
      <c r="J709" s="64"/>
      <c r="K709" s="64"/>
      <c r="L709" s="64"/>
      <c r="M709" s="64"/>
      <c r="N709" s="127" t="str">
        <f>IF(ISNA(VLOOKUP(Table3[[#This Row],[Ticket]],Table1[],17,FALSE)),"",VLOOKUP(Table3[[#This Row],[Ticket]],Table1[],17,FALSE))</f>
        <v/>
      </c>
      <c r="O709" s="128" t="str">
        <f>IF(Table3[[#This Row],[Actual End Date]]="","",TEXT(Table3[[#This Row],[Actual End Date]],"mmm-yy"))</f>
        <v/>
      </c>
    </row>
    <row r="710" spans="2:15">
      <c r="B710" s="64"/>
      <c r="C710" s="64"/>
      <c r="D710" s="64"/>
      <c r="E710" s="64"/>
      <c r="F710" s="64"/>
      <c r="G710" s="64"/>
      <c r="H710" s="64"/>
      <c r="I710" s="64"/>
      <c r="J710" s="64"/>
      <c r="K710" s="64"/>
      <c r="L710" s="64"/>
      <c r="M710" s="64"/>
      <c r="N710" s="127" t="str">
        <f>IF(ISNA(VLOOKUP(Table3[[#This Row],[Ticket]],Table1[],17,FALSE)),"",VLOOKUP(Table3[[#This Row],[Ticket]],Table1[],17,FALSE))</f>
        <v/>
      </c>
      <c r="O710" s="128" t="str">
        <f>IF(Table3[[#This Row],[Actual End Date]]="","",TEXT(Table3[[#This Row],[Actual End Date]],"mmm-yy"))</f>
        <v/>
      </c>
    </row>
    <row r="711" spans="2:15">
      <c r="B711" s="64"/>
      <c r="C711" s="64"/>
      <c r="D711" s="64"/>
      <c r="E711" s="64"/>
      <c r="F711" s="64"/>
      <c r="G711" s="64"/>
      <c r="H711" s="64"/>
      <c r="I711" s="64"/>
      <c r="J711" s="64"/>
      <c r="K711" s="64"/>
      <c r="L711" s="64"/>
      <c r="M711" s="64"/>
      <c r="N711" s="127" t="str">
        <f>IF(ISNA(VLOOKUP(Table3[[#This Row],[Ticket]],Table1[],17,FALSE)),"",VLOOKUP(Table3[[#This Row],[Ticket]],Table1[],17,FALSE))</f>
        <v/>
      </c>
      <c r="O711" s="128" t="str">
        <f>IF(Table3[[#This Row],[Actual End Date]]="","",TEXT(Table3[[#This Row],[Actual End Date]],"mmm-yy"))</f>
        <v/>
      </c>
    </row>
    <row r="712" spans="2:15">
      <c r="B712" s="64"/>
      <c r="C712" s="64"/>
      <c r="D712" s="64"/>
      <c r="E712" s="64"/>
      <c r="F712" s="64"/>
      <c r="G712" s="64"/>
      <c r="H712" s="64"/>
      <c r="I712" s="64"/>
      <c r="J712" s="64"/>
      <c r="K712" s="64"/>
      <c r="L712" s="64"/>
      <c r="M712" s="64"/>
      <c r="N712" s="127" t="str">
        <f>IF(ISNA(VLOOKUP(Table3[[#This Row],[Ticket]],Table1[],17,FALSE)),"",VLOOKUP(Table3[[#This Row],[Ticket]],Table1[],17,FALSE))</f>
        <v/>
      </c>
      <c r="O712" s="128" t="str">
        <f>IF(Table3[[#This Row],[Actual End Date]]="","",TEXT(Table3[[#This Row],[Actual End Date]],"mmm-yy"))</f>
        <v/>
      </c>
    </row>
    <row r="713" spans="2:15">
      <c r="B713" s="64"/>
      <c r="C713" s="64"/>
      <c r="D713" s="64"/>
      <c r="E713" s="64"/>
      <c r="F713" s="64"/>
      <c r="G713" s="64"/>
      <c r="H713" s="64"/>
      <c r="I713" s="64"/>
      <c r="J713" s="64"/>
      <c r="K713" s="64"/>
      <c r="L713" s="64"/>
      <c r="M713" s="64"/>
      <c r="N713" s="127" t="str">
        <f>IF(ISNA(VLOOKUP(Table3[[#This Row],[Ticket]],Table1[],17,FALSE)),"",VLOOKUP(Table3[[#This Row],[Ticket]],Table1[],17,FALSE))</f>
        <v/>
      </c>
      <c r="O713" s="128" t="str">
        <f>IF(Table3[[#This Row],[Actual End Date]]="","",TEXT(Table3[[#This Row],[Actual End Date]],"mmm-yy"))</f>
        <v/>
      </c>
    </row>
    <row r="714" spans="2:15">
      <c r="B714" s="64"/>
      <c r="C714" s="64"/>
      <c r="D714" s="64"/>
      <c r="E714" s="64"/>
      <c r="F714" s="64"/>
      <c r="G714" s="64"/>
      <c r="H714" s="64"/>
      <c r="I714" s="64"/>
      <c r="J714" s="64"/>
      <c r="K714" s="64"/>
      <c r="L714" s="64"/>
      <c r="M714" s="64"/>
      <c r="N714" s="127" t="str">
        <f>IF(ISNA(VLOOKUP(Table3[[#This Row],[Ticket]],Table1[],17,FALSE)),"",VLOOKUP(Table3[[#This Row],[Ticket]],Table1[],17,FALSE))</f>
        <v/>
      </c>
      <c r="O714" s="128" t="str">
        <f>IF(Table3[[#This Row],[Actual End Date]]="","",TEXT(Table3[[#This Row],[Actual End Date]],"mmm-yy"))</f>
        <v/>
      </c>
    </row>
    <row r="715" spans="2:15">
      <c r="B715" s="64"/>
      <c r="C715" s="64"/>
      <c r="D715" s="64"/>
      <c r="E715" s="64"/>
      <c r="F715" s="64"/>
      <c r="G715" s="64"/>
      <c r="H715" s="64"/>
      <c r="I715" s="64"/>
      <c r="J715" s="64"/>
      <c r="K715" s="64"/>
      <c r="L715" s="64"/>
      <c r="M715" s="64"/>
      <c r="N715" s="127" t="str">
        <f>IF(ISNA(VLOOKUP(Table3[[#This Row],[Ticket]],Table1[],17,FALSE)),"",VLOOKUP(Table3[[#This Row],[Ticket]],Table1[],17,FALSE))</f>
        <v/>
      </c>
      <c r="O715" s="128" t="str">
        <f>IF(Table3[[#This Row],[Actual End Date]]="","",TEXT(Table3[[#This Row],[Actual End Date]],"mmm-yy"))</f>
        <v/>
      </c>
    </row>
    <row r="716" spans="2:15">
      <c r="B716" s="64"/>
      <c r="C716" s="64"/>
      <c r="D716" s="64"/>
      <c r="E716" s="64"/>
      <c r="F716" s="64"/>
      <c r="G716" s="64"/>
      <c r="H716" s="64"/>
      <c r="I716" s="64"/>
      <c r="J716" s="64"/>
      <c r="K716" s="64"/>
      <c r="L716" s="64"/>
      <c r="M716" s="64"/>
      <c r="N716" s="127" t="str">
        <f>IF(ISNA(VLOOKUP(Table3[[#This Row],[Ticket]],Table1[],17,FALSE)),"",VLOOKUP(Table3[[#This Row],[Ticket]],Table1[],17,FALSE))</f>
        <v/>
      </c>
      <c r="O716" s="128" t="str">
        <f>IF(Table3[[#This Row],[Actual End Date]]="","",TEXT(Table3[[#This Row],[Actual End Date]],"mmm-yy"))</f>
        <v/>
      </c>
    </row>
    <row r="717" spans="2:15">
      <c r="B717" s="64"/>
      <c r="C717" s="64"/>
      <c r="D717" s="64"/>
      <c r="E717" s="64"/>
      <c r="F717" s="64"/>
      <c r="G717" s="64"/>
      <c r="H717" s="64"/>
      <c r="I717" s="64"/>
      <c r="J717" s="64"/>
      <c r="K717" s="64"/>
      <c r="L717" s="64"/>
      <c r="M717" s="64"/>
      <c r="N717" s="127" t="str">
        <f>IF(ISNA(VLOOKUP(Table3[[#This Row],[Ticket]],Table1[],17,FALSE)),"",VLOOKUP(Table3[[#This Row],[Ticket]],Table1[],17,FALSE))</f>
        <v/>
      </c>
      <c r="O717" s="128" t="str">
        <f>IF(Table3[[#This Row],[Actual End Date]]="","",TEXT(Table3[[#This Row],[Actual End Date]],"mmm-yy"))</f>
        <v/>
      </c>
    </row>
    <row r="718" spans="2:15">
      <c r="B718" s="64"/>
      <c r="C718" s="64"/>
      <c r="D718" s="64"/>
      <c r="E718" s="64"/>
      <c r="F718" s="64"/>
      <c r="G718" s="64"/>
      <c r="H718" s="64"/>
      <c r="I718" s="64"/>
      <c r="J718" s="64"/>
      <c r="K718" s="64"/>
      <c r="L718" s="64"/>
      <c r="M718" s="64"/>
      <c r="N718" s="127" t="str">
        <f>IF(ISNA(VLOOKUP(Table3[[#This Row],[Ticket]],Table1[],17,FALSE)),"",VLOOKUP(Table3[[#This Row],[Ticket]],Table1[],17,FALSE))</f>
        <v/>
      </c>
      <c r="O718" s="128" t="str">
        <f>IF(Table3[[#This Row],[Actual End Date]]="","",TEXT(Table3[[#This Row],[Actual End Date]],"mmm-yy"))</f>
        <v/>
      </c>
    </row>
    <row r="719" spans="2:15">
      <c r="B719" s="64"/>
      <c r="C719" s="64"/>
      <c r="D719" s="64"/>
      <c r="E719" s="64"/>
      <c r="F719" s="64"/>
      <c r="G719" s="64"/>
      <c r="H719" s="64"/>
      <c r="I719" s="64"/>
      <c r="J719" s="64"/>
      <c r="K719" s="64"/>
      <c r="L719" s="64"/>
      <c r="M719" s="64"/>
      <c r="N719" s="127" t="str">
        <f>IF(ISNA(VLOOKUP(Table3[[#This Row],[Ticket]],Table1[],17,FALSE)),"",VLOOKUP(Table3[[#This Row],[Ticket]],Table1[],17,FALSE))</f>
        <v/>
      </c>
      <c r="O719" s="128" t="str">
        <f>IF(Table3[[#This Row],[Actual End Date]]="","",TEXT(Table3[[#This Row],[Actual End Date]],"mmm-yy"))</f>
        <v/>
      </c>
    </row>
    <row r="720" spans="2:15">
      <c r="B720" s="64"/>
      <c r="C720" s="64"/>
      <c r="D720" s="64"/>
      <c r="E720" s="64"/>
      <c r="F720" s="64"/>
      <c r="G720" s="64"/>
      <c r="H720" s="64"/>
      <c r="I720" s="64"/>
      <c r="J720" s="64"/>
      <c r="K720" s="64"/>
      <c r="L720" s="64"/>
      <c r="M720" s="64"/>
      <c r="N720" s="127" t="str">
        <f>IF(ISNA(VLOOKUP(Table3[[#This Row],[Ticket]],Table1[],17,FALSE)),"",VLOOKUP(Table3[[#This Row],[Ticket]],Table1[],17,FALSE))</f>
        <v/>
      </c>
      <c r="O720" s="128" t="str">
        <f>IF(Table3[[#This Row],[Actual End Date]]="","",TEXT(Table3[[#This Row],[Actual End Date]],"mmm-yy"))</f>
        <v/>
      </c>
    </row>
    <row r="721" spans="2:15">
      <c r="B721" s="64"/>
      <c r="C721" s="64"/>
      <c r="D721" s="64"/>
      <c r="E721" s="64"/>
      <c r="F721" s="64"/>
      <c r="G721" s="64"/>
      <c r="H721" s="64"/>
      <c r="I721" s="64"/>
      <c r="J721" s="64"/>
      <c r="K721" s="64"/>
      <c r="L721" s="64"/>
      <c r="M721" s="64"/>
      <c r="N721" s="127" t="str">
        <f>IF(ISNA(VLOOKUP(Table3[[#This Row],[Ticket]],Table1[],17,FALSE)),"",VLOOKUP(Table3[[#This Row],[Ticket]],Table1[],17,FALSE))</f>
        <v/>
      </c>
      <c r="O721" s="128" t="str">
        <f>IF(Table3[[#This Row],[Actual End Date]]="","",TEXT(Table3[[#This Row],[Actual End Date]],"mmm-yy"))</f>
        <v/>
      </c>
    </row>
    <row r="722" spans="2:15">
      <c r="B722" s="64"/>
      <c r="C722" s="64"/>
      <c r="D722" s="64"/>
      <c r="E722" s="64"/>
      <c r="F722" s="64"/>
      <c r="G722" s="64"/>
      <c r="H722" s="64"/>
      <c r="I722" s="64"/>
      <c r="J722" s="64"/>
      <c r="K722" s="64"/>
      <c r="L722" s="64"/>
      <c r="M722" s="64"/>
      <c r="N722" s="127" t="str">
        <f>IF(ISNA(VLOOKUP(Table3[[#This Row],[Ticket]],Table1[],17,FALSE)),"",VLOOKUP(Table3[[#This Row],[Ticket]],Table1[],17,FALSE))</f>
        <v/>
      </c>
      <c r="O722" s="128" t="str">
        <f>IF(Table3[[#This Row],[Actual End Date]]="","",TEXT(Table3[[#This Row],[Actual End Date]],"mmm-yy"))</f>
        <v/>
      </c>
    </row>
    <row r="723" spans="2:15">
      <c r="B723" s="64"/>
      <c r="C723" s="64"/>
      <c r="D723" s="64"/>
      <c r="E723" s="64"/>
      <c r="F723" s="64"/>
      <c r="G723" s="64"/>
      <c r="H723" s="64"/>
      <c r="I723" s="64"/>
      <c r="J723" s="64"/>
      <c r="K723" s="64"/>
      <c r="L723" s="64"/>
      <c r="M723" s="64"/>
      <c r="N723" s="127" t="str">
        <f>IF(ISNA(VLOOKUP(Table3[[#This Row],[Ticket]],Table1[],17,FALSE)),"",VLOOKUP(Table3[[#This Row],[Ticket]],Table1[],17,FALSE))</f>
        <v/>
      </c>
      <c r="O723" s="128" t="str">
        <f>IF(Table3[[#This Row],[Actual End Date]]="","",TEXT(Table3[[#This Row],[Actual End Date]],"mmm-yy"))</f>
        <v/>
      </c>
    </row>
    <row r="724" spans="2:15">
      <c r="B724" s="64"/>
      <c r="C724" s="64"/>
      <c r="D724" s="64"/>
      <c r="E724" s="64"/>
      <c r="F724" s="64"/>
      <c r="G724" s="64"/>
      <c r="H724" s="64"/>
      <c r="I724" s="64"/>
      <c r="J724" s="64"/>
      <c r="K724" s="64"/>
      <c r="L724" s="64"/>
      <c r="M724" s="64"/>
      <c r="N724" s="127" t="str">
        <f>IF(ISNA(VLOOKUP(Table3[[#This Row],[Ticket]],Table1[],17,FALSE)),"",VLOOKUP(Table3[[#This Row],[Ticket]],Table1[],17,FALSE))</f>
        <v/>
      </c>
      <c r="O724" s="128" t="str">
        <f>IF(Table3[[#This Row],[Actual End Date]]="","",TEXT(Table3[[#This Row],[Actual End Date]],"mmm-yy"))</f>
        <v/>
      </c>
    </row>
    <row r="725" spans="2:15">
      <c r="B725" s="64"/>
      <c r="C725" s="64"/>
      <c r="D725" s="64"/>
      <c r="E725" s="64"/>
      <c r="F725" s="64"/>
      <c r="G725" s="64"/>
      <c r="H725" s="64"/>
      <c r="I725" s="64"/>
      <c r="J725" s="64"/>
      <c r="K725" s="64"/>
      <c r="L725" s="64"/>
      <c r="M725" s="64"/>
      <c r="N725" s="127" t="str">
        <f>IF(ISNA(VLOOKUP(Table3[[#This Row],[Ticket]],Table1[],17,FALSE)),"",VLOOKUP(Table3[[#This Row],[Ticket]],Table1[],17,FALSE))</f>
        <v/>
      </c>
      <c r="O725" s="128" t="str">
        <f>IF(Table3[[#This Row],[Actual End Date]]="","",TEXT(Table3[[#This Row],[Actual End Date]],"mmm-yy"))</f>
        <v/>
      </c>
    </row>
    <row r="726" spans="2:15">
      <c r="B726" s="64"/>
      <c r="C726" s="64"/>
      <c r="D726" s="64"/>
      <c r="E726" s="64"/>
      <c r="F726" s="64"/>
      <c r="G726" s="64"/>
      <c r="H726" s="64"/>
      <c r="I726" s="64"/>
      <c r="J726" s="64"/>
      <c r="K726" s="64"/>
      <c r="L726" s="64"/>
      <c r="M726" s="64"/>
      <c r="N726" s="127" t="str">
        <f>IF(ISNA(VLOOKUP(Table3[[#This Row],[Ticket]],Table1[],17,FALSE)),"",VLOOKUP(Table3[[#This Row],[Ticket]],Table1[],17,FALSE))</f>
        <v/>
      </c>
      <c r="O726" s="128" t="str">
        <f>IF(Table3[[#This Row],[Actual End Date]]="","",TEXT(Table3[[#This Row],[Actual End Date]],"mmm-yy"))</f>
        <v/>
      </c>
    </row>
    <row r="727" spans="2:15">
      <c r="B727" s="64"/>
      <c r="C727" s="64"/>
      <c r="D727" s="64"/>
      <c r="E727" s="64"/>
      <c r="F727" s="64"/>
      <c r="G727" s="64"/>
      <c r="H727" s="64"/>
      <c r="I727" s="64"/>
      <c r="J727" s="64"/>
      <c r="K727" s="64"/>
      <c r="L727" s="64"/>
      <c r="M727" s="64"/>
      <c r="N727" s="127" t="str">
        <f>IF(ISNA(VLOOKUP(Table3[[#This Row],[Ticket]],Table1[],17,FALSE)),"",VLOOKUP(Table3[[#This Row],[Ticket]],Table1[],17,FALSE))</f>
        <v/>
      </c>
      <c r="O727" s="128" t="str">
        <f>IF(Table3[[#This Row],[Actual End Date]]="","",TEXT(Table3[[#This Row],[Actual End Date]],"mmm-yy"))</f>
        <v/>
      </c>
    </row>
    <row r="728" spans="2:15">
      <c r="B728" s="64"/>
      <c r="C728" s="64"/>
      <c r="D728" s="64"/>
      <c r="E728" s="64"/>
      <c r="F728" s="64"/>
      <c r="G728" s="64"/>
      <c r="H728" s="64"/>
      <c r="I728" s="64"/>
      <c r="J728" s="64"/>
      <c r="K728" s="64"/>
      <c r="L728" s="64"/>
      <c r="M728" s="64"/>
      <c r="N728" s="127" t="str">
        <f>IF(ISNA(VLOOKUP(Table3[[#This Row],[Ticket]],Table1[],17,FALSE)),"",VLOOKUP(Table3[[#This Row],[Ticket]],Table1[],17,FALSE))</f>
        <v/>
      </c>
      <c r="O728" s="128" t="str">
        <f>IF(Table3[[#This Row],[Actual End Date]]="","",TEXT(Table3[[#This Row],[Actual End Date]],"mmm-yy"))</f>
        <v/>
      </c>
    </row>
    <row r="729" spans="2:15">
      <c r="B729" s="64"/>
      <c r="C729" s="64"/>
      <c r="D729" s="64"/>
      <c r="E729" s="64"/>
      <c r="F729" s="64"/>
      <c r="G729" s="64"/>
      <c r="H729" s="64"/>
      <c r="I729" s="64"/>
      <c r="J729" s="64"/>
      <c r="K729" s="64"/>
      <c r="L729" s="64"/>
      <c r="M729" s="64"/>
      <c r="N729" s="127" t="str">
        <f>IF(ISNA(VLOOKUP(Table3[[#This Row],[Ticket]],Table1[],17,FALSE)),"",VLOOKUP(Table3[[#This Row],[Ticket]],Table1[],17,FALSE))</f>
        <v/>
      </c>
      <c r="O729" s="128" t="str">
        <f>IF(Table3[[#This Row],[Actual End Date]]="","",TEXT(Table3[[#This Row],[Actual End Date]],"mmm-yy"))</f>
        <v/>
      </c>
    </row>
    <row r="730" spans="2:15">
      <c r="B730" s="64"/>
      <c r="C730" s="64"/>
      <c r="D730" s="64"/>
      <c r="E730" s="64"/>
      <c r="F730" s="64"/>
      <c r="G730" s="64"/>
      <c r="H730" s="64"/>
      <c r="I730" s="64"/>
      <c r="J730" s="64"/>
      <c r="K730" s="64"/>
      <c r="L730" s="64"/>
      <c r="M730" s="64"/>
      <c r="N730" s="127" t="str">
        <f>IF(ISNA(VLOOKUP(Table3[[#This Row],[Ticket]],Table1[],17,FALSE)),"",VLOOKUP(Table3[[#This Row],[Ticket]],Table1[],17,FALSE))</f>
        <v/>
      </c>
      <c r="O730" s="128" t="str">
        <f>IF(Table3[[#This Row],[Actual End Date]]="","",TEXT(Table3[[#This Row],[Actual End Date]],"mmm-yy"))</f>
        <v/>
      </c>
    </row>
    <row r="731" spans="2:15">
      <c r="B731" s="64"/>
      <c r="C731" s="64"/>
      <c r="D731" s="64"/>
      <c r="E731" s="64"/>
      <c r="F731" s="64"/>
      <c r="G731" s="64"/>
      <c r="H731" s="64"/>
      <c r="I731" s="64"/>
      <c r="J731" s="64"/>
      <c r="K731" s="64"/>
      <c r="L731" s="64"/>
      <c r="M731" s="64"/>
      <c r="N731" s="127" t="str">
        <f>IF(ISNA(VLOOKUP(Table3[[#This Row],[Ticket]],Table1[],17,FALSE)),"",VLOOKUP(Table3[[#This Row],[Ticket]],Table1[],17,FALSE))</f>
        <v/>
      </c>
      <c r="O731" s="128" t="str">
        <f>IF(Table3[[#This Row],[Actual End Date]]="","",TEXT(Table3[[#This Row],[Actual End Date]],"mmm-yy"))</f>
        <v/>
      </c>
    </row>
    <row r="732" spans="2:15">
      <c r="B732" s="64"/>
      <c r="C732" s="64"/>
      <c r="D732" s="64"/>
      <c r="E732" s="64"/>
      <c r="F732" s="64"/>
      <c r="G732" s="64"/>
      <c r="H732" s="64"/>
      <c r="I732" s="64"/>
      <c r="J732" s="64"/>
      <c r="K732" s="64"/>
      <c r="L732" s="64"/>
      <c r="M732" s="64"/>
      <c r="N732" s="127" t="str">
        <f>IF(ISNA(VLOOKUP(Table3[[#This Row],[Ticket]],Table1[],17,FALSE)),"",VLOOKUP(Table3[[#This Row],[Ticket]],Table1[],17,FALSE))</f>
        <v/>
      </c>
      <c r="O732" s="128" t="str">
        <f>IF(Table3[[#This Row],[Actual End Date]]="","",TEXT(Table3[[#This Row],[Actual End Date]],"mmm-yy"))</f>
        <v/>
      </c>
    </row>
    <row r="733" spans="2:15">
      <c r="B733" s="64"/>
      <c r="C733" s="64"/>
      <c r="D733" s="64"/>
      <c r="E733" s="64"/>
      <c r="F733" s="64"/>
      <c r="G733" s="64"/>
      <c r="H733" s="64"/>
      <c r="I733" s="64"/>
      <c r="J733" s="64"/>
      <c r="K733" s="64"/>
      <c r="L733" s="64"/>
      <c r="M733" s="64"/>
      <c r="N733" s="127" t="str">
        <f>IF(ISNA(VLOOKUP(Table3[[#This Row],[Ticket]],Table1[],17,FALSE)),"",VLOOKUP(Table3[[#This Row],[Ticket]],Table1[],17,FALSE))</f>
        <v/>
      </c>
      <c r="O733" s="128" t="str">
        <f>IF(Table3[[#This Row],[Actual End Date]]="","",TEXT(Table3[[#This Row],[Actual End Date]],"mmm-yy"))</f>
        <v/>
      </c>
    </row>
    <row r="734" spans="2:15">
      <c r="B734" s="64"/>
      <c r="C734" s="64"/>
      <c r="D734" s="64"/>
      <c r="E734" s="64"/>
      <c r="F734" s="64"/>
      <c r="G734" s="64"/>
      <c r="H734" s="64"/>
      <c r="I734" s="64"/>
      <c r="J734" s="64"/>
      <c r="K734" s="64"/>
      <c r="L734" s="64"/>
      <c r="M734" s="64"/>
      <c r="N734" s="127" t="str">
        <f>IF(ISNA(VLOOKUP(Table3[[#This Row],[Ticket]],Table1[],17,FALSE)),"",VLOOKUP(Table3[[#This Row],[Ticket]],Table1[],17,FALSE))</f>
        <v/>
      </c>
      <c r="O734" s="128" t="str">
        <f>IF(Table3[[#This Row],[Actual End Date]]="","",TEXT(Table3[[#This Row],[Actual End Date]],"mmm-yy"))</f>
        <v/>
      </c>
    </row>
    <row r="735" spans="2:15">
      <c r="B735" s="64"/>
      <c r="C735" s="64"/>
      <c r="D735" s="64"/>
      <c r="E735" s="64"/>
      <c r="F735" s="64"/>
      <c r="G735" s="64"/>
      <c r="H735" s="64"/>
      <c r="I735" s="64"/>
      <c r="J735" s="64"/>
      <c r="K735" s="64"/>
      <c r="L735" s="64"/>
      <c r="M735" s="64"/>
      <c r="N735" s="127" t="str">
        <f>IF(ISNA(VLOOKUP(Table3[[#This Row],[Ticket]],Table1[],17,FALSE)),"",VLOOKUP(Table3[[#This Row],[Ticket]],Table1[],17,FALSE))</f>
        <v/>
      </c>
      <c r="O735" s="128" t="str">
        <f>IF(Table3[[#This Row],[Actual End Date]]="","",TEXT(Table3[[#This Row],[Actual End Date]],"mmm-yy"))</f>
        <v/>
      </c>
    </row>
    <row r="736" spans="2:15">
      <c r="B736" s="64"/>
      <c r="C736" s="64"/>
      <c r="D736" s="64"/>
      <c r="E736" s="64"/>
      <c r="F736" s="64"/>
      <c r="G736" s="64"/>
      <c r="H736" s="64"/>
      <c r="I736" s="64"/>
      <c r="J736" s="64"/>
      <c r="K736" s="64"/>
      <c r="L736" s="64"/>
      <c r="M736" s="64"/>
      <c r="N736" s="127" t="str">
        <f>IF(ISNA(VLOOKUP(Table3[[#This Row],[Ticket]],Table1[],17,FALSE)),"",VLOOKUP(Table3[[#This Row],[Ticket]],Table1[],17,FALSE))</f>
        <v/>
      </c>
      <c r="O736" s="128" t="str">
        <f>IF(Table3[[#This Row],[Actual End Date]]="","",TEXT(Table3[[#This Row],[Actual End Date]],"mmm-yy"))</f>
        <v/>
      </c>
    </row>
    <row r="737" spans="2:15">
      <c r="B737" s="64"/>
      <c r="C737" s="64"/>
      <c r="D737" s="64"/>
      <c r="E737" s="64"/>
      <c r="F737" s="64"/>
      <c r="G737" s="64"/>
      <c r="H737" s="64"/>
      <c r="I737" s="64"/>
      <c r="J737" s="64"/>
      <c r="K737" s="64"/>
      <c r="L737" s="64"/>
      <c r="M737" s="64"/>
      <c r="N737" s="127" t="str">
        <f>IF(ISNA(VLOOKUP(Table3[[#This Row],[Ticket]],Table1[],17,FALSE)),"",VLOOKUP(Table3[[#This Row],[Ticket]],Table1[],17,FALSE))</f>
        <v/>
      </c>
      <c r="O737" s="128" t="str">
        <f>IF(Table3[[#This Row],[Actual End Date]]="","",TEXT(Table3[[#This Row],[Actual End Date]],"mmm-yy"))</f>
        <v/>
      </c>
    </row>
    <row r="738" spans="2:15">
      <c r="B738" s="64"/>
      <c r="C738" s="64"/>
      <c r="D738" s="64"/>
      <c r="E738" s="64"/>
      <c r="F738" s="64"/>
      <c r="G738" s="64"/>
      <c r="H738" s="64"/>
      <c r="I738" s="64"/>
      <c r="J738" s="64"/>
      <c r="K738" s="64"/>
      <c r="L738" s="64"/>
      <c r="M738" s="64"/>
      <c r="N738" s="127" t="str">
        <f>IF(ISNA(VLOOKUP(Table3[[#This Row],[Ticket]],Table1[],17,FALSE)),"",VLOOKUP(Table3[[#This Row],[Ticket]],Table1[],17,FALSE))</f>
        <v/>
      </c>
      <c r="O738" s="128" t="str">
        <f>IF(Table3[[#This Row],[Actual End Date]]="","",TEXT(Table3[[#This Row],[Actual End Date]],"mmm-yy"))</f>
        <v/>
      </c>
    </row>
    <row r="739" spans="2:15">
      <c r="B739" s="64"/>
      <c r="C739" s="64"/>
      <c r="D739" s="64"/>
      <c r="E739" s="64"/>
      <c r="F739" s="64"/>
      <c r="G739" s="64"/>
      <c r="H739" s="64"/>
      <c r="I739" s="64"/>
      <c r="J739" s="64"/>
      <c r="K739" s="64"/>
      <c r="L739" s="64"/>
      <c r="M739" s="64"/>
      <c r="N739" s="127" t="str">
        <f>IF(ISNA(VLOOKUP(Table3[[#This Row],[Ticket]],Table1[],17,FALSE)),"",VLOOKUP(Table3[[#This Row],[Ticket]],Table1[],17,FALSE))</f>
        <v/>
      </c>
      <c r="O739" s="128" t="str">
        <f>IF(Table3[[#This Row],[Actual End Date]]="","",TEXT(Table3[[#This Row],[Actual End Date]],"mmm-yy"))</f>
        <v/>
      </c>
    </row>
    <row r="740" spans="2:15">
      <c r="B740" s="64"/>
      <c r="C740" s="64"/>
      <c r="D740" s="64"/>
      <c r="E740" s="64"/>
      <c r="F740" s="64"/>
      <c r="G740" s="64"/>
      <c r="H740" s="64"/>
      <c r="I740" s="64"/>
      <c r="J740" s="64"/>
      <c r="K740" s="64"/>
      <c r="L740" s="64"/>
      <c r="M740" s="64"/>
      <c r="N740" s="127" t="str">
        <f>IF(ISNA(VLOOKUP(Table3[[#This Row],[Ticket]],Table1[],17,FALSE)),"",VLOOKUP(Table3[[#This Row],[Ticket]],Table1[],17,FALSE))</f>
        <v/>
      </c>
      <c r="O740" s="128" t="str">
        <f>IF(Table3[[#This Row],[Actual End Date]]="","",TEXT(Table3[[#This Row],[Actual End Date]],"mmm-yy"))</f>
        <v/>
      </c>
    </row>
    <row r="741" spans="2:15">
      <c r="B741" s="64"/>
      <c r="C741" s="64"/>
      <c r="D741" s="64"/>
      <c r="E741" s="64"/>
      <c r="F741" s="64"/>
      <c r="G741" s="64"/>
      <c r="H741" s="64"/>
      <c r="I741" s="64"/>
      <c r="J741" s="64"/>
      <c r="K741" s="64"/>
      <c r="L741" s="64"/>
      <c r="M741" s="64"/>
      <c r="N741" s="127" t="str">
        <f>IF(ISNA(VLOOKUP(Table3[[#This Row],[Ticket]],Table1[],17,FALSE)),"",VLOOKUP(Table3[[#This Row],[Ticket]],Table1[],17,FALSE))</f>
        <v/>
      </c>
      <c r="O741" s="128" t="str">
        <f>IF(Table3[[#This Row],[Actual End Date]]="","",TEXT(Table3[[#This Row],[Actual End Date]],"mmm-yy"))</f>
        <v/>
      </c>
    </row>
    <row r="742" spans="2:15">
      <c r="B742" s="64"/>
      <c r="C742" s="64"/>
      <c r="D742" s="64"/>
      <c r="E742" s="64"/>
      <c r="F742" s="64"/>
      <c r="G742" s="64"/>
      <c r="H742" s="64"/>
      <c r="I742" s="64"/>
      <c r="J742" s="64"/>
      <c r="K742" s="64"/>
      <c r="L742" s="64"/>
      <c r="M742" s="64"/>
      <c r="N742" s="127" t="str">
        <f>IF(ISNA(VLOOKUP(Table3[[#This Row],[Ticket]],Table1[],17,FALSE)),"",VLOOKUP(Table3[[#This Row],[Ticket]],Table1[],17,FALSE))</f>
        <v/>
      </c>
      <c r="O742" s="128" t="str">
        <f>IF(Table3[[#This Row],[Actual End Date]]="","",TEXT(Table3[[#This Row],[Actual End Date]],"mmm-yy"))</f>
        <v/>
      </c>
    </row>
    <row r="743" spans="2:15">
      <c r="B743" s="64"/>
      <c r="C743" s="64"/>
      <c r="D743" s="64"/>
      <c r="E743" s="64"/>
      <c r="F743" s="64"/>
      <c r="G743" s="64"/>
      <c r="H743" s="64"/>
      <c r="I743" s="64"/>
      <c r="J743" s="64"/>
      <c r="K743" s="64"/>
      <c r="L743" s="64"/>
      <c r="M743" s="64"/>
      <c r="N743" s="127" t="str">
        <f>IF(ISNA(VLOOKUP(Table3[[#This Row],[Ticket]],Table1[],17,FALSE)),"",VLOOKUP(Table3[[#This Row],[Ticket]],Table1[],17,FALSE))</f>
        <v/>
      </c>
      <c r="O743" s="128" t="str">
        <f>IF(Table3[[#This Row],[Actual End Date]]="","",TEXT(Table3[[#This Row],[Actual End Date]],"mmm-yy"))</f>
        <v/>
      </c>
    </row>
    <row r="744" spans="2:15">
      <c r="B744" s="64"/>
      <c r="C744" s="64"/>
      <c r="D744" s="64"/>
      <c r="E744" s="64"/>
      <c r="F744" s="64"/>
      <c r="G744" s="64"/>
      <c r="H744" s="64"/>
      <c r="I744" s="64"/>
      <c r="J744" s="64"/>
      <c r="K744" s="64"/>
      <c r="L744" s="64"/>
      <c r="M744" s="64"/>
      <c r="N744" s="127" t="str">
        <f>IF(ISNA(VLOOKUP(Table3[[#This Row],[Ticket]],Table1[],17,FALSE)),"",VLOOKUP(Table3[[#This Row],[Ticket]],Table1[],17,FALSE))</f>
        <v/>
      </c>
      <c r="O744" s="128" t="str">
        <f>IF(Table3[[#This Row],[Actual End Date]]="","",TEXT(Table3[[#This Row],[Actual End Date]],"mmm-yy"))</f>
        <v/>
      </c>
    </row>
    <row r="745" spans="2:15">
      <c r="B745" s="64"/>
      <c r="C745" s="64"/>
      <c r="D745" s="64"/>
      <c r="E745" s="64"/>
      <c r="F745" s="64"/>
      <c r="G745" s="64"/>
      <c r="H745" s="64"/>
      <c r="I745" s="64"/>
      <c r="J745" s="64"/>
      <c r="K745" s="64"/>
      <c r="L745" s="64"/>
      <c r="M745" s="64"/>
      <c r="N745" s="127" t="str">
        <f>IF(ISNA(VLOOKUP(Table3[[#This Row],[Ticket]],Table1[],17,FALSE)),"",VLOOKUP(Table3[[#This Row],[Ticket]],Table1[],17,FALSE))</f>
        <v/>
      </c>
      <c r="O745" s="128" t="str">
        <f>IF(Table3[[#This Row],[Actual End Date]]="","",TEXT(Table3[[#This Row],[Actual End Date]],"mmm-yy"))</f>
        <v/>
      </c>
    </row>
    <row r="746" spans="2:15">
      <c r="B746" s="64"/>
      <c r="C746" s="64"/>
      <c r="D746" s="64"/>
      <c r="E746" s="64"/>
      <c r="F746" s="64"/>
      <c r="G746" s="64"/>
      <c r="H746" s="64"/>
      <c r="I746" s="64"/>
      <c r="J746" s="64"/>
      <c r="K746" s="64"/>
      <c r="L746" s="64"/>
      <c r="M746" s="64"/>
      <c r="N746" s="127" t="str">
        <f>IF(ISNA(VLOOKUP(Table3[[#This Row],[Ticket]],Table1[],17,FALSE)),"",VLOOKUP(Table3[[#This Row],[Ticket]],Table1[],17,FALSE))</f>
        <v/>
      </c>
      <c r="O746" s="128" t="str">
        <f>IF(Table3[[#This Row],[Actual End Date]]="","",TEXT(Table3[[#This Row],[Actual End Date]],"mmm-yy"))</f>
        <v/>
      </c>
    </row>
    <row r="747" spans="2:15">
      <c r="B747" s="64"/>
      <c r="C747" s="64"/>
      <c r="D747" s="64"/>
      <c r="E747" s="64"/>
      <c r="F747" s="64"/>
      <c r="G747" s="64"/>
      <c r="H747" s="64"/>
      <c r="I747" s="64"/>
      <c r="J747" s="64"/>
      <c r="K747" s="64"/>
      <c r="L747" s="64"/>
      <c r="M747" s="64"/>
      <c r="N747" s="127" t="str">
        <f>IF(ISNA(VLOOKUP(Table3[[#This Row],[Ticket]],Table1[],17,FALSE)),"",VLOOKUP(Table3[[#This Row],[Ticket]],Table1[],17,FALSE))</f>
        <v/>
      </c>
      <c r="O747" s="128" t="str">
        <f>IF(Table3[[#This Row],[Actual End Date]]="","",TEXT(Table3[[#This Row],[Actual End Date]],"mmm-yy"))</f>
        <v/>
      </c>
    </row>
    <row r="748" spans="2:15">
      <c r="B748" s="64"/>
      <c r="C748" s="64"/>
      <c r="D748" s="64"/>
      <c r="E748" s="64"/>
      <c r="F748" s="64"/>
      <c r="G748" s="64"/>
      <c r="H748" s="64"/>
      <c r="I748" s="64"/>
      <c r="J748" s="64"/>
      <c r="K748" s="64"/>
      <c r="L748" s="64"/>
      <c r="M748" s="64"/>
      <c r="N748" s="127" t="str">
        <f>IF(ISNA(VLOOKUP(Table3[[#This Row],[Ticket]],Table1[],17,FALSE)),"",VLOOKUP(Table3[[#This Row],[Ticket]],Table1[],17,FALSE))</f>
        <v/>
      </c>
      <c r="O748" s="128" t="str">
        <f>IF(Table3[[#This Row],[Actual End Date]]="","",TEXT(Table3[[#This Row],[Actual End Date]],"mmm-yy"))</f>
        <v/>
      </c>
    </row>
    <row r="749" spans="2:15">
      <c r="B749" s="64"/>
      <c r="C749" s="64"/>
      <c r="D749" s="64"/>
      <c r="E749" s="64"/>
      <c r="F749" s="64"/>
      <c r="G749" s="64"/>
      <c r="H749" s="64"/>
      <c r="I749" s="64"/>
      <c r="J749" s="64"/>
      <c r="K749" s="64"/>
      <c r="L749" s="64"/>
      <c r="M749" s="64"/>
      <c r="N749" s="127" t="str">
        <f>IF(ISNA(VLOOKUP(Table3[[#This Row],[Ticket]],Table1[],17,FALSE)),"",VLOOKUP(Table3[[#This Row],[Ticket]],Table1[],17,FALSE))</f>
        <v/>
      </c>
      <c r="O749" s="128" t="str">
        <f>IF(Table3[[#This Row],[Actual End Date]]="","",TEXT(Table3[[#This Row],[Actual End Date]],"mmm-yy"))</f>
        <v/>
      </c>
    </row>
    <row r="750" spans="2:15">
      <c r="B750" s="64"/>
      <c r="C750" s="64"/>
      <c r="D750" s="64"/>
      <c r="E750" s="64"/>
      <c r="F750" s="64"/>
      <c r="G750" s="64"/>
      <c r="H750" s="64"/>
      <c r="I750" s="64"/>
      <c r="J750" s="64"/>
      <c r="K750" s="64"/>
      <c r="L750" s="64"/>
      <c r="M750" s="64"/>
      <c r="N750" s="127" t="str">
        <f>IF(ISNA(VLOOKUP(Table3[[#This Row],[Ticket]],Table1[],17,FALSE)),"",VLOOKUP(Table3[[#This Row],[Ticket]],Table1[],17,FALSE))</f>
        <v/>
      </c>
      <c r="O750" s="128" t="str">
        <f>IF(Table3[[#This Row],[Actual End Date]]="","",TEXT(Table3[[#This Row],[Actual End Date]],"mmm-yy"))</f>
        <v/>
      </c>
    </row>
    <row r="751" spans="2:15">
      <c r="B751" s="64"/>
      <c r="C751" s="64"/>
      <c r="D751" s="64"/>
      <c r="E751" s="64"/>
      <c r="F751" s="64"/>
      <c r="G751" s="64"/>
      <c r="H751" s="64"/>
      <c r="I751" s="64"/>
      <c r="J751" s="64"/>
      <c r="K751" s="64"/>
      <c r="L751" s="64"/>
      <c r="M751" s="64"/>
      <c r="N751" s="127" t="str">
        <f>IF(ISNA(VLOOKUP(Table3[[#This Row],[Ticket]],Table1[],17,FALSE)),"",VLOOKUP(Table3[[#This Row],[Ticket]],Table1[],17,FALSE))</f>
        <v/>
      </c>
      <c r="O751" s="128" t="str">
        <f>IF(Table3[[#This Row],[Actual End Date]]="","",TEXT(Table3[[#This Row],[Actual End Date]],"mmm-yy"))</f>
        <v/>
      </c>
    </row>
    <row r="752" spans="2:15">
      <c r="B752" s="64"/>
      <c r="C752" s="64"/>
      <c r="D752" s="64"/>
      <c r="E752" s="64"/>
      <c r="F752" s="64"/>
      <c r="G752" s="64"/>
      <c r="H752" s="64"/>
      <c r="I752" s="64"/>
      <c r="J752" s="64"/>
      <c r="K752" s="64"/>
      <c r="L752" s="64"/>
      <c r="M752" s="64"/>
      <c r="N752" s="127" t="str">
        <f>IF(ISNA(VLOOKUP(Table3[[#This Row],[Ticket]],Table1[],17,FALSE)),"",VLOOKUP(Table3[[#This Row],[Ticket]],Table1[],17,FALSE))</f>
        <v/>
      </c>
      <c r="O752" s="128" t="str">
        <f>IF(Table3[[#This Row],[Actual End Date]]="","",TEXT(Table3[[#This Row],[Actual End Date]],"mmm-yy"))</f>
        <v/>
      </c>
    </row>
    <row r="753" spans="2:15">
      <c r="B753" s="64"/>
      <c r="C753" s="64"/>
      <c r="D753" s="64"/>
      <c r="E753" s="64"/>
      <c r="F753" s="64"/>
      <c r="G753" s="64"/>
      <c r="H753" s="64"/>
      <c r="I753" s="64"/>
      <c r="J753" s="64"/>
      <c r="K753" s="64"/>
      <c r="L753" s="64"/>
      <c r="M753" s="64"/>
      <c r="N753" s="127" t="str">
        <f>IF(ISNA(VLOOKUP(Table3[[#This Row],[Ticket]],Table1[],17,FALSE)),"",VLOOKUP(Table3[[#This Row],[Ticket]],Table1[],17,FALSE))</f>
        <v/>
      </c>
      <c r="O753" s="128" t="str">
        <f>IF(Table3[[#This Row],[Actual End Date]]="","",TEXT(Table3[[#This Row],[Actual End Date]],"mmm-yy"))</f>
        <v/>
      </c>
    </row>
    <row r="754" spans="2:15">
      <c r="B754" s="64"/>
      <c r="C754" s="64"/>
      <c r="D754" s="64"/>
      <c r="E754" s="64"/>
      <c r="F754" s="64"/>
      <c r="G754" s="64"/>
      <c r="H754" s="64"/>
      <c r="I754" s="64"/>
      <c r="J754" s="64"/>
      <c r="K754" s="64"/>
      <c r="L754" s="64"/>
      <c r="M754" s="64"/>
      <c r="N754" s="127" t="str">
        <f>IF(ISNA(VLOOKUP(Table3[[#This Row],[Ticket]],Table1[],17,FALSE)),"",VLOOKUP(Table3[[#This Row],[Ticket]],Table1[],17,FALSE))</f>
        <v/>
      </c>
      <c r="O754" s="128" t="str">
        <f>IF(Table3[[#This Row],[Actual End Date]]="","",TEXT(Table3[[#This Row],[Actual End Date]],"mmm-yy"))</f>
        <v/>
      </c>
    </row>
    <row r="755" spans="2:15">
      <c r="B755" s="64"/>
      <c r="C755" s="64"/>
      <c r="D755" s="64"/>
      <c r="E755" s="64"/>
      <c r="F755" s="64"/>
      <c r="G755" s="64"/>
      <c r="H755" s="64"/>
      <c r="I755" s="64"/>
      <c r="J755" s="64"/>
      <c r="K755" s="64"/>
      <c r="L755" s="64"/>
      <c r="M755" s="64"/>
      <c r="N755" s="127" t="str">
        <f>IF(ISNA(VLOOKUP(Table3[[#This Row],[Ticket]],Table1[],17,FALSE)),"",VLOOKUP(Table3[[#This Row],[Ticket]],Table1[],17,FALSE))</f>
        <v/>
      </c>
      <c r="O755" s="128" t="str">
        <f>IF(Table3[[#This Row],[Actual End Date]]="","",TEXT(Table3[[#This Row],[Actual End Date]],"mmm-yy"))</f>
        <v/>
      </c>
    </row>
    <row r="756" spans="2:15">
      <c r="B756" s="64"/>
      <c r="C756" s="64"/>
      <c r="D756" s="64"/>
      <c r="E756" s="64"/>
      <c r="F756" s="64"/>
      <c r="G756" s="64"/>
      <c r="H756" s="64"/>
      <c r="I756" s="64"/>
      <c r="J756" s="64"/>
      <c r="K756" s="64"/>
      <c r="L756" s="64"/>
      <c r="M756" s="64"/>
      <c r="N756" s="127" t="str">
        <f>IF(ISNA(VLOOKUP(Table3[[#This Row],[Ticket]],Table1[],17,FALSE)),"",VLOOKUP(Table3[[#This Row],[Ticket]],Table1[],17,FALSE))</f>
        <v/>
      </c>
      <c r="O756" s="128" t="str">
        <f>IF(Table3[[#This Row],[Actual End Date]]="","",TEXT(Table3[[#This Row],[Actual End Date]],"mmm-yy"))</f>
        <v/>
      </c>
    </row>
    <row r="757" spans="2:15">
      <c r="B757" s="64"/>
      <c r="C757" s="64"/>
      <c r="D757" s="64"/>
      <c r="E757" s="64"/>
      <c r="F757" s="64"/>
      <c r="G757" s="64"/>
      <c r="H757" s="64"/>
      <c r="I757" s="64"/>
      <c r="J757" s="64"/>
      <c r="K757" s="64"/>
      <c r="L757" s="64"/>
      <c r="M757" s="64"/>
      <c r="N757" s="127" t="str">
        <f>IF(ISNA(VLOOKUP(Table3[[#This Row],[Ticket]],Table1[],17,FALSE)),"",VLOOKUP(Table3[[#This Row],[Ticket]],Table1[],17,FALSE))</f>
        <v/>
      </c>
      <c r="O757" s="128" t="str">
        <f>IF(Table3[[#This Row],[Actual End Date]]="","",TEXT(Table3[[#This Row],[Actual End Date]],"mmm-yy"))</f>
        <v/>
      </c>
    </row>
    <row r="758" spans="2:15">
      <c r="B758" s="64"/>
      <c r="C758" s="64"/>
      <c r="D758" s="64"/>
      <c r="E758" s="64"/>
      <c r="F758" s="64"/>
      <c r="G758" s="64"/>
      <c r="H758" s="64"/>
      <c r="I758" s="64"/>
      <c r="J758" s="64"/>
      <c r="K758" s="64"/>
      <c r="L758" s="64"/>
      <c r="M758" s="64"/>
      <c r="N758" s="127" t="str">
        <f>IF(ISNA(VLOOKUP(Table3[[#This Row],[Ticket]],Table1[],17,FALSE)),"",VLOOKUP(Table3[[#This Row],[Ticket]],Table1[],17,FALSE))</f>
        <v/>
      </c>
      <c r="O758" s="128" t="str">
        <f>IF(Table3[[#This Row],[Actual End Date]]="","",TEXT(Table3[[#This Row],[Actual End Date]],"mmm-yy"))</f>
        <v/>
      </c>
    </row>
    <row r="759" spans="2:15">
      <c r="B759" s="64"/>
      <c r="C759" s="64"/>
      <c r="D759" s="64"/>
      <c r="E759" s="64"/>
      <c r="F759" s="64"/>
      <c r="G759" s="64"/>
      <c r="H759" s="64"/>
      <c r="I759" s="64"/>
      <c r="J759" s="64"/>
      <c r="K759" s="64"/>
      <c r="L759" s="64"/>
      <c r="M759" s="64"/>
      <c r="N759" s="127" t="str">
        <f>IF(ISNA(VLOOKUP(Table3[[#This Row],[Ticket]],Table1[],17,FALSE)),"",VLOOKUP(Table3[[#This Row],[Ticket]],Table1[],17,FALSE))</f>
        <v/>
      </c>
      <c r="O759" s="128" t="str">
        <f>IF(Table3[[#This Row],[Actual End Date]]="","",TEXT(Table3[[#This Row],[Actual End Date]],"mmm-yy"))</f>
        <v/>
      </c>
    </row>
    <row r="760" spans="2:15">
      <c r="B760" s="64"/>
      <c r="C760" s="64"/>
      <c r="D760" s="64"/>
      <c r="E760" s="64"/>
      <c r="F760" s="64"/>
      <c r="G760" s="64"/>
      <c r="H760" s="64"/>
      <c r="I760" s="64"/>
      <c r="J760" s="64"/>
      <c r="K760" s="64"/>
      <c r="L760" s="64"/>
      <c r="M760" s="64"/>
      <c r="N760" s="127" t="str">
        <f>IF(ISNA(VLOOKUP(Table3[[#This Row],[Ticket]],Table1[],17,FALSE)),"",VLOOKUP(Table3[[#This Row],[Ticket]],Table1[],17,FALSE))</f>
        <v/>
      </c>
      <c r="O760" s="128" t="str">
        <f>IF(Table3[[#This Row],[Actual End Date]]="","",TEXT(Table3[[#This Row],[Actual End Date]],"mmm-yy"))</f>
        <v/>
      </c>
    </row>
    <row r="761" spans="2:15">
      <c r="B761" s="64"/>
      <c r="C761" s="64"/>
      <c r="D761" s="64"/>
      <c r="E761" s="64"/>
      <c r="F761" s="64"/>
      <c r="G761" s="64"/>
      <c r="H761" s="64"/>
      <c r="I761" s="64"/>
      <c r="J761" s="64"/>
      <c r="K761" s="64"/>
      <c r="L761" s="64"/>
      <c r="M761" s="64"/>
      <c r="N761" s="127" t="str">
        <f>IF(ISNA(VLOOKUP(Table3[[#This Row],[Ticket]],Table1[],17,FALSE)),"",VLOOKUP(Table3[[#This Row],[Ticket]],Table1[],17,FALSE))</f>
        <v/>
      </c>
      <c r="O761" s="128" t="str">
        <f>IF(Table3[[#This Row],[Actual End Date]]="","",TEXT(Table3[[#This Row],[Actual End Date]],"mmm-yy"))</f>
        <v/>
      </c>
    </row>
    <row r="762" spans="2:15">
      <c r="B762" s="64"/>
      <c r="C762" s="64"/>
      <c r="D762" s="64"/>
      <c r="E762" s="64"/>
      <c r="F762" s="64"/>
      <c r="G762" s="64"/>
      <c r="H762" s="64"/>
      <c r="I762" s="64"/>
      <c r="J762" s="64"/>
      <c r="K762" s="64"/>
      <c r="L762" s="64"/>
      <c r="M762" s="64"/>
      <c r="N762" s="127" t="str">
        <f>IF(ISNA(VLOOKUP(Table3[[#This Row],[Ticket]],Table1[],17,FALSE)),"",VLOOKUP(Table3[[#This Row],[Ticket]],Table1[],17,FALSE))</f>
        <v/>
      </c>
      <c r="O762" s="128" t="str">
        <f>IF(Table3[[#This Row],[Actual End Date]]="","",TEXT(Table3[[#This Row],[Actual End Date]],"mmm-yy"))</f>
        <v/>
      </c>
    </row>
    <row r="763" spans="2:15">
      <c r="B763" s="64"/>
      <c r="C763" s="64"/>
      <c r="D763" s="64"/>
      <c r="E763" s="64"/>
      <c r="F763" s="64"/>
      <c r="G763" s="64"/>
      <c r="H763" s="64"/>
      <c r="I763" s="64"/>
      <c r="J763" s="64"/>
      <c r="K763" s="64"/>
      <c r="L763" s="64"/>
      <c r="M763" s="64"/>
      <c r="N763" s="127" t="str">
        <f>IF(ISNA(VLOOKUP(Table3[[#This Row],[Ticket]],Table1[],17,FALSE)),"",VLOOKUP(Table3[[#This Row],[Ticket]],Table1[],17,FALSE))</f>
        <v/>
      </c>
      <c r="O763" s="128" t="str">
        <f>IF(Table3[[#This Row],[Actual End Date]]="","",TEXT(Table3[[#This Row],[Actual End Date]],"mmm-yy"))</f>
        <v/>
      </c>
    </row>
    <row r="764" spans="2:15">
      <c r="B764" s="64"/>
      <c r="C764" s="64"/>
      <c r="D764" s="64"/>
      <c r="E764" s="64"/>
      <c r="F764" s="64"/>
      <c r="G764" s="64"/>
      <c r="H764" s="64"/>
      <c r="I764" s="64"/>
      <c r="J764" s="64"/>
      <c r="K764" s="64"/>
      <c r="L764" s="64"/>
      <c r="M764" s="64"/>
      <c r="N764" s="127" t="str">
        <f>IF(ISNA(VLOOKUP(Table3[[#This Row],[Ticket]],Table1[],17,FALSE)),"",VLOOKUP(Table3[[#This Row],[Ticket]],Table1[],17,FALSE))</f>
        <v/>
      </c>
      <c r="O764" s="128" t="str">
        <f>IF(Table3[[#This Row],[Actual End Date]]="","",TEXT(Table3[[#This Row],[Actual End Date]],"mmm-yy"))</f>
        <v/>
      </c>
    </row>
    <row r="765" spans="2:15">
      <c r="B765" s="64"/>
      <c r="C765" s="64"/>
      <c r="D765" s="64"/>
      <c r="E765" s="64"/>
      <c r="F765" s="64"/>
      <c r="G765" s="64"/>
      <c r="H765" s="64"/>
      <c r="I765" s="64"/>
      <c r="J765" s="64"/>
      <c r="K765" s="64"/>
      <c r="L765" s="64"/>
      <c r="M765" s="64"/>
      <c r="N765" s="127" t="str">
        <f>IF(ISNA(VLOOKUP(Table3[[#This Row],[Ticket]],Table1[],17,FALSE)),"",VLOOKUP(Table3[[#This Row],[Ticket]],Table1[],17,FALSE))</f>
        <v/>
      </c>
      <c r="O765" s="128" t="str">
        <f>IF(Table3[[#This Row],[Actual End Date]]="","",TEXT(Table3[[#This Row],[Actual End Date]],"mmm-yy"))</f>
        <v/>
      </c>
    </row>
    <row r="766" spans="2:15">
      <c r="B766" s="64"/>
      <c r="C766" s="64"/>
      <c r="D766" s="64"/>
      <c r="E766" s="64"/>
      <c r="F766" s="64"/>
      <c r="G766" s="64"/>
      <c r="H766" s="64"/>
      <c r="I766" s="64"/>
      <c r="J766" s="64"/>
      <c r="K766" s="64"/>
      <c r="L766" s="64"/>
      <c r="M766" s="64"/>
      <c r="N766" s="127" t="str">
        <f>IF(ISNA(VLOOKUP(Table3[[#This Row],[Ticket]],Table1[],17,FALSE)),"",VLOOKUP(Table3[[#This Row],[Ticket]],Table1[],17,FALSE))</f>
        <v/>
      </c>
      <c r="O766" s="128" t="str">
        <f>IF(Table3[[#This Row],[Actual End Date]]="","",TEXT(Table3[[#This Row],[Actual End Date]],"mmm-yy"))</f>
        <v/>
      </c>
    </row>
    <row r="767" spans="2:15">
      <c r="B767" s="64"/>
      <c r="C767" s="64"/>
      <c r="D767" s="64"/>
      <c r="E767" s="64"/>
      <c r="F767" s="64"/>
      <c r="G767" s="64"/>
      <c r="H767" s="64"/>
      <c r="I767" s="64"/>
      <c r="J767" s="64"/>
      <c r="K767" s="64"/>
      <c r="L767" s="64"/>
      <c r="M767" s="64"/>
      <c r="N767" s="127" t="str">
        <f>IF(ISNA(VLOOKUP(Table3[[#This Row],[Ticket]],Table1[],17,FALSE)),"",VLOOKUP(Table3[[#This Row],[Ticket]],Table1[],17,FALSE))</f>
        <v/>
      </c>
      <c r="O767" s="128" t="str">
        <f>IF(Table3[[#This Row],[Actual End Date]]="","",TEXT(Table3[[#This Row],[Actual End Date]],"mmm-yy"))</f>
        <v/>
      </c>
    </row>
    <row r="768" spans="2:15">
      <c r="B768" s="64"/>
      <c r="C768" s="64"/>
      <c r="D768" s="64"/>
      <c r="E768" s="64"/>
      <c r="F768" s="64"/>
      <c r="G768" s="64"/>
      <c r="H768" s="64"/>
      <c r="I768" s="64"/>
      <c r="J768" s="64"/>
      <c r="K768" s="64"/>
      <c r="L768" s="64"/>
      <c r="M768" s="64"/>
      <c r="N768" s="127" t="str">
        <f>IF(ISNA(VLOOKUP(Table3[[#This Row],[Ticket]],Table1[],17,FALSE)),"",VLOOKUP(Table3[[#This Row],[Ticket]],Table1[],17,FALSE))</f>
        <v/>
      </c>
      <c r="O768" s="128" t="str">
        <f>IF(Table3[[#This Row],[Actual End Date]]="","",TEXT(Table3[[#This Row],[Actual End Date]],"mmm-yy"))</f>
        <v/>
      </c>
    </row>
    <row r="769" spans="2:15">
      <c r="B769" s="64"/>
      <c r="C769" s="64"/>
      <c r="D769" s="64"/>
      <c r="E769" s="64"/>
      <c r="F769" s="64"/>
      <c r="G769" s="64"/>
      <c r="H769" s="64"/>
      <c r="I769" s="64"/>
      <c r="J769" s="64"/>
      <c r="K769" s="64"/>
      <c r="L769" s="64"/>
      <c r="M769" s="64"/>
      <c r="N769" s="127" t="str">
        <f>IF(ISNA(VLOOKUP(Table3[[#This Row],[Ticket]],Table1[],17,FALSE)),"",VLOOKUP(Table3[[#This Row],[Ticket]],Table1[],17,FALSE))</f>
        <v/>
      </c>
      <c r="O769" s="128" t="str">
        <f>IF(Table3[[#This Row],[Actual End Date]]="","",TEXT(Table3[[#This Row],[Actual End Date]],"mmm-yy"))</f>
        <v/>
      </c>
    </row>
    <row r="770" spans="2:15">
      <c r="B770" s="64"/>
      <c r="C770" s="64"/>
      <c r="D770" s="64"/>
      <c r="E770" s="64"/>
      <c r="F770" s="64"/>
      <c r="G770" s="64"/>
      <c r="H770" s="64"/>
      <c r="I770" s="64"/>
      <c r="J770" s="64"/>
      <c r="K770" s="64"/>
      <c r="L770" s="64"/>
      <c r="M770" s="64"/>
      <c r="N770" s="127" t="str">
        <f>IF(ISNA(VLOOKUP(Table3[[#This Row],[Ticket]],Table1[],17,FALSE)),"",VLOOKUP(Table3[[#This Row],[Ticket]],Table1[],17,FALSE))</f>
        <v/>
      </c>
      <c r="O770" s="128" t="str">
        <f>IF(Table3[[#This Row],[Actual End Date]]="","",TEXT(Table3[[#This Row],[Actual End Date]],"mmm-yy"))</f>
        <v/>
      </c>
    </row>
    <row r="771" spans="2:15">
      <c r="B771" s="64"/>
      <c r="C771" s="64"/>
      <c r="D771" s="64"/>
      <c r="E771" s="64"/>
      <c r="F771" s="64"/>
      <c r="G771" s="64"/>
      <c r="H771" s="64"/>
      <c r="I771" s="64"/>
      <c r="J771" s="64"/>
      <c r="K771" s="64"/>
      <c r="L771" s="64"/>
      <c r="M771" s="64"/>
      <c r="N771" s="127" t="str">
        <f>IF(ISNA(VLOOKUP(Table3[[#This Row],[Ticket]],Table1[],17,FALSE)),"",VLOOKUP(Table3[[#This Row],[Ticket]],Table1[],17,FALSE))</f>
        <v/>
      </c>
      <c r="O771" s="128" t="str">
        <f>IF(Table3[[#This Row],[Actual End Date]]="","",TEXT(Table3[[#This Row],[Actual End Date]],"mmm-yy"))</f>
        <v/>
      </c>
    </row>
    <row r="772" spans="2:15">
      <c r="B772" s="64"/>
      <c r="C772" s="64"/>
      <c r="D772" s="64"/>
      <c r="E772" s="64"/>
      <c r="F772" s="64"/>
      <c r="G772" s="64"/>
      <c r="H772" s="64"/>
      <c r="I772" s="64"/>
      <c r="J772" s="64"/>
      <c r="K772" s="64"/>
      <c r="L772" s="64"/>
      <c r="M772" s="64"/>
      <c r="N772" s="127" t="str">
        <f>IF(ISNA(VLOOKUP(Table3[[#This Row],[Ticket]],Table1[],17,FALSE)),"",VLOOKUP(Table3[[#This Row],[Ticket]],Table1[],17,FALSE))</f>
        <v/>
      </c>
      <c r="O772" s="128" t="str">
        <f>IF(Table3[[#This Row],[Actual End Date]]="","",TEXT(Table3[[#This Row],[Actual End Date]],"mmm-yy"))</f>
        <v/>
      </c>
    </row>
    <row r="773" spans="2:15">
      <c r="B773" s="64"/>
      <c r="C773" s="64"/>
      <c r="D773" s="64"/>
      <c r="E773" s="64"/>
      <c r="F773" s="64"/>
      <c r="G773" s="64"/>
      <c r="H773" s="64"/>
      <c r="I773" s="64"/>
      <c r="J773" s="64"/>
      <c r="K773" s="64"/>
      <c r="L773" s="64"/>
      <c r="M773" s="64"/>
      <c r="N773" s="127" t="str">
        <f>IF(ISNA(VLOOKUP(Table3[[#This Row],[Ticket]],Table1[],17,FALSE)),"",VLOOKUP(Table3[[#This Row],[Ticket]],Table1[],17,FALSE))</f>
        <v/>
      </c>
      <c r="O773" s="128" t="str">
        <f>IF(Table3[[#This Row],[Actual End Date]]="","",TEXT(Table3[[#This Row],[Actual End Date]],"mmm-yy"))</f>
        <v/>
      </c>
    </row>
    <row r="774" spans="2:15">
      <c r="B774" s="64"/>
      <c r="C774" s="64"/>
      <c r="D774" s="64"/>
      <c r="E774" s="64"/>
      <c r="F774" s="64"/>
      <c r="G774" s="64"/>
      <c r="H774" s="64"/>
      <c r="I774" s="64"/>
      <c r="J774" s="64"/>
      <c r="K774" s="64"/>
      <c r="L774" s="64"/>
      <c r="M774" s="64"/>
      <c r="N774" s="127" t="str">
        <f>IF(ISNA(VLOOKUP(Table3[[#This Row],[Ticket]],Table1[],17,FALSE)),"",VLOOKUP(Table3[[#This Row],[Ticket]],Table1[],17,FALSE))</f>
        <v/>
      </c>
      <c r="O774" s="128" t="str">
        <f>IF(Table3[[#This Row],[Actual End Date]]="","",TEXT(Table3[[#This Row],[Actual End Date]],"mmm-yy"))</f>
        <v/>
      </c>
    </row>
    <row r="775" spans="2:15">
      <c r="B775" s="64"/>
      <c r="C775" s="64"/>
      <c r="D775" s="64"/>
      <c r="E775" s="64"/>
      <c r="F775" s="64"/>
      <c r="G775" s="64"/>
      <c r="H775" s="64"/>
      <c r="I775" s="64"/>
      <c r="J775" s="64"/>
      <c r="K775" s="64"/>
      <c r="L775" s="64"/>
      <c r="M775" s="64"/>
      <c r="N775" s="127" t="str">
        <f>IF(ISNA(VLOOKUP(Table3[[#This Row],[Ticket]],Table1[],17,FALSE)),"",VLOOKUP(Table3[[#This Row],[Ticket]],Table1[],17,FALSE))</f>
        <v/>
      </c>
      <c r="O775" s="128" t="str">
        <f>IF(Table3[[#This Row],[Actual End Date]]="","",TEXT(Table3[[#This Row],[Actual End Date]],"mmm-yy"))</f>
        <v/>
      </c>
    </row>
    <row r="776" spans="2:15">
      <c r="B776" s="64"/>
      <c r="C776" s="64"/>
      <c r="D776" s="64"/>
      <c r="E776" s="64"/>
      <c r="F776" s="64"/>
      <c r="G776" s="64"/>
      <c r="H776" s="64"/>
      <c r="I776" s="64"/>
      <c r="J776" s="64"/>
      <c r="K776" s="64"/>
      <c r="L776" s="64"/>
      <c r="M776" s="64"/>
      <c r="N776" s="127" t="str">
        <f>IF(ISNA(VLOOKUP(Table3[[#This Row],[Ticket]],Table1[],17,FALSE)),"",VLOOKUP(Table3[[#This Row],[Ticket]],Table1[],17,FALSE))</f>
        <v/>
      </c>
      <c r="O776" s="128" t="str">
        <f>IF(Table3[[#This Row],[Actual End Date]]="","",TEXT(Table3[[#This Row],[Actual End Date]],"mmm-yy"))</f>
        <v/>
      </c>
    </row>
    <row r="777" spans="2:15">
      <c r="B777" s="64"/>
      <c r="C777" s="64"/>
      <c r="D777" s="64"/>
      <c r="E777" s="64"/>
      <c r="F777" s="64"/>
      <c r="G777" s="64"/>
      <c r="H777" s="64"/>
      <c r="I777" s="64"/>
      <c r="J777" s="64"/>
      <c r="K777" s="64"/>
      <c r="L777" s="64"/>
      <c r="M777" s="64"/>
      <c r="N777" s="127" t="str">
        <f>IF(ISNA(VLOOKUP(Table3[[#This Row],[Ticket]],Table1[],17,FALSE)),"",VLOOKUP(Table3[[#This Row],[Ticket]],Table1[],17,FALSE))</f>
        <v/>
      </c>
      <c r="O777" s="128" t="str">
        <f>IF(Table3[[#This Row],[Actual End Date]]="","",TEXT(Table3[[#This Row],[Actual End Date]],"mmm-yy"))</f>
        <v/>
      </c>
    </row>
    <row r="778" spans="2:15">
      <c r="B778" s="64"/>
      <c r="C778" s="64"/>
      <c r="D778" s="64"/>
      <c r="E778" s="64"/>
      <c r="F778" s="64"/>
      <c r="G778" s="64"/>
      <c r="H778" s="64"/>
      <c r="I778" s="64"/>
      <c r="J778" s="64"/>
      <c r="K778" s="64"/>
      <c r="L778" s="64"/>
      <c r="M778" s="64"/>
      <c r="N778" s="127" t="str">
        <f>IF(ISNA(VLOOKUP(Table3[[#This Row],[Ticket]],Table1[],17,FALSE)),"",VLOOKUP(Table3[[#This Row],[Ticket]],Table1[],17,FALSE))</f>
        <v/>
      </c>
      <c r="O778" s="128" t="str">
        <f>IF(Table3[[#This Row],[Actual End Date]]="","",TEXT(Table3[[#This Row],[Actual End Date]],"mmm-yy"))</f>
        <v/>
      </c>
    </row>
    <row r="779" spans="2:15">
      <c r="B779" s="64"/>
      <c r="C779" s="64"/>
      <c r="D779" s="64"/>
      <c r="E779" s="64"/>
      <c r="F779" s="64"/>
      <c r="G779" s="64"/>
      <c r="H779" s="64"/>
      <c r="I779" s="64"/>
      <c r="J779" s="64"/>
      <c r="K779" s="64"/>
      <c r="L779" s="64"/>
      <c r="M779" s="64"/>
      <c r="N779" s="127" t="str">
        <f>IF(ISNA(VLOOKUP(Table3[[#This Row],[Ticket]],Table1[],17,FALSE)),"",VLOOKUP(Table3[[#This Row],[Ticket]],Table1[],17,FALSE))</f>
        <v/>
      </c>
      <c r="O779" s="128" t="str">
        <f>IF(Table3[[#This Row],[Actual End Date]]="","",TEXT(Table3[[#This Row],[Actual End Date]],"mmm-yy"))</f>
        <v/>
      </c>
    </row>
    <row r="780" spans="2:15">
      <c r="B780" s="64"/>
      <c r="C780" s="64"/>
      <c r="D780" s="64"/>
      <c r="E780" s="64"/>
      <c r="F780" s="64"/>
      <c r="G780" s="64"/>
      <c r="H780" s="64"/>
      <c r="I780" s="64"/>
      <c r="J780" s="64"/>
      <c r="K780" s="64"/>
      <c r="L780" s="64"/>
      <c r="M780" s="64"/>
      <c r="N780" s="127" t="str">
        <f>IF(ISNA(VLOOKUP(Table3[[#This Row],[Ticket]],Table1[],17,FALSE)),"",VLOOKUP(Table3[[#This Row],[Ticket]],Table1[],17,FALSE))</f>
        <v/>
      </c>
      <c r="O780" s="128" t="str">
        <f>IF(Table3[[#This Row],[Actual End Date]]="","",TEXT(Table3[[#This Row],[Actual End Date]],"mmm-yy"))</f>
        <v/>
      </c>
    </row>
    <row r="781" spans="2:15">
      <c r="B781" s="64"/>
      <c r="C781" s="64"/>
      <c r="D781" s="64"/>
      <c r="E781" s="64"/>
      <c r="F781" s="64"/>
      <c r="G781" s="64"/>
      <c r="H781" s="64"/>
      <c r="I781" s="64"/>
      <c r="J781" s="64"/>
      <c r="K781" s="64"/>
      <c r="L781" s="64"/>
      <c r="M781" s="64"/>
      <c r="N781" s="127" t="str">
        <f>IF(ISNA(VLOOKUP(Table3[[#This Row],[Ticket]],Table1[],17,FALSE)),"",VLOOKUP(Table3[[#This Row],[Ticket]],Table1[],17,FALSE))</f>
        <v/>
      </c>
      <c r="O781" s="128" t="str">
        <f>IF(Table3[[#This Row],[Actual End Date]]="","",TEXT(Table3[[#This Row],[Actual End Date]],"mmm-yy"))</f>
        <v/>
      </c>
    </row>
    <row r="782" spans="2:15">
      <c r="B782" s="64"/>
      <c r="C782" s="64"/>
      <c r="D782" s="64"/>
      <c r="E782" s="64"/>
      <c r="F782" s="64"/>
      <c r="G782" s="64"/>
      <c r="H782" s="64"/>
      <c r="I782" s="64"/>
      <c r="J782" s="64"/>
      <c r="K782" s="64"/>
      <c r="L782" s="64"/>
      <c r="M782" s="64"/>
      <c r="N782" s="127" t="str">
        <f>IF(ISNA(VLOOKUP(Table3[[#This Row],[Ticket]],Table1[],17,FALSE)),"",VLOOKUP(Table3[[#This Row],[Ticket]],Table1[],17,FALSE))</f>
        <v/>
      </c>
      <c r="O782" s="128" t="str">
        <f>IF(Table3[[#This Row],[Actual End Date]]="","",TEXT(Table3[[#This Row],[Actual End Date]],"mmm-yy"))</f>
        <v/>
      </c>
    </row>
    <row r="783" spans="2:15">
      <c r="B783" s="64"/>
      <c r="C783" s="64"/>
      <c r="D783" s="64"/>
      <c r="E783" s="64"/>
      <c r="F783" s="64"/>
      <c r="G783" s="64"/>
      <c r="H783" s="64"/>
      <c r="I783" s="64"/>
      <c r="J783" s="64"/>
      <c r="K783" s="64"/>
      <c r="L783" s="64"/>
      <c r="M783" s="64"/>
      <c r="N783" s="127" t="str">
        <f>IF(ISNA(VLOOKUP(Table3[[#This Row],[Ticket]],Table1[],17,FALSE)),"",VLOOKUP(Table3[[#This Row],[Ticket]],Table1[],17,FALSE))</f>
        <v/>
      </c>
      <c r="O783" s="128" t="str">
        <f>IF(Table3[[#This Row],[Actual End Date]]="","",TEXT(Table3[[#This Row],[Actual End Date]],"mmm-yy"))</f>
        <v/>
      </c>
    </row>
    <row r="784" spans="2:15">
      <c r="B784" s="64"/>
      <c r="C784" s="64"/>
      <c r="D784" s="64"/>
      <c r="E784" s="64"/>
      <c r="F784" s="64"/>
      <c r="G784" s="64"/>
      <c r="H784" s="64"/>
      <c r="I784" s="64"/>
      <c r="J784" s="64"/>
      <c r="K784" s="64"/>
      <c r="L784" s="64"/>
      <c r="M784" s="64"/>
      <c r="N784" s="127" t="str">
        <f>IF(ISNA(VLOOKUP(Table3[[#This Row],[Ticket]],Table1[],17,FALSE)),"",VLOOKUP(Table3[[#This Row],[Ticket]],Table1[],17,FALSE))</f>
        <v/>
      </c>
      <c r="O784" s="128" t="str">
        <f>IF(Table3[[#This Row],[Actual End Date]]="","",TEXT(Table3[[#This Row],[Actual End Date]],"mmm-yy"))</f>
        <v/>
      </c>
    </row>
    <row r="785" spans="2:15">
      <c r="B785" s="64"/>
      <c r="C785" s="64"/>
      <c r="D785" s="64"/>
      <c r="E785" s="64"/>
      <c r="F785" s="64"/>
      <c r="G785" s="64"/>
      <c r="H785" s="64"/>
      <c r="I785" s="64"/>
      <c r="J785" s="64"/>
      <c r="K785" s="64"/>
      <c r="L785" s="64"/>
      <c r="M785" s="64"/>
      <c r="N785" s="127" t="str">
        <f>IF(ISNA(VLOOKUP(Table3[[#This Row],[Ticket]],Table1[],17,FALSE)),"",VLOOKUP(Table3[[#This Row],[Ticket]],Table1[],17,FALSE))</f>
        <v/>
      </c>
      <c r="O785" s="128" t="str">
        <f>IF(Table3[[#This Row],[Actual End Date]]="","",TEXT(Table3[[#This Row],[Actual End Date]],"mmm-yy"))</f>
        <v/>
      </c>
    </row>
    <row r="786" spans="2:15">
      <c r="B786" s="64"/>
      <c r="C786" s="64"/>
      <c r="D786" s="64"/>
      <c r="E786" s="64"/>
      <c r="F786" s="64"/>
      <c r="G786" s="64"/>
      <c r="H786" s="64"/>
      <c r="I786" s="64"/>
      <c r="J786" s="64"/>
      <c r="K786" s="64"/>
      <c r="L786" s="64"/>
      <c r="M786" s="64"/>
      <c r="N786" s="127" t="str">
        <f>IF(ISNA(VLOOKUP(Table3[[#This Row],[Ticket]],Table1[],17,FALSE)),"",VLOOKUP(Table3[[#This Row],[Ticket]],Table1[],17,FALSE))</f>
        <v/>
      </c>
      <c r="O786" s="128" t="str">
        <f>IF(Table3[[#This Row],[Actual End Date]]="","",TEXT(Table3[[#This Row],[Actual End Date]],"mmm-yy"))</f>
        <v/>
      </c>
    </row>
    <row r="787" spans="2:15">
      <c r="B787" s="64"/>
      <c r="C787" s="64"/>
      <c r="D787" s="64"/>
      <c r="E787" s="64"/>
      <c r="F787" s="64"/>
      <c r="G787" s="64"/>
      <c r="H787" s="64"/>
      <c r="I787" s="64"/>
      <c r="J787" s="64"/>
      <c r="K787" s="64"/>
      <c r="L787" s="64"/>
      <c r="M787" s="64"/>
      <c r="N787" s="127" t="str">
        <f>IF(ISNA(VLOOKUP(Table3[[#This Row],[Ticket]],Table1[],17,FALSE)),"",VLOOKUP(Table3[[#This Row],[Ticket]],Table1[],17,FALSE))</f>
        <v/>
      </c>
      <c r="O787" s="128" t="str">
        <f>IF(Table3[[#This Row],[Actual End Date]]="","",TEXT(Table3[[#This Row],[Actual End Date]],"mmm-yy"))</f>
        <v/>
      </c>
    </row>
    <row r="788" spans="2:15">
      <c r="B788" s="64"/>
      <c r="C788" s="64"/>
      <c r="D788" s="64"/>
      <c r="E788" s="64"/>
      <c r="F788" s="64"/>
      <c r="G788" s="64"/>
      <c r="H788" s="64"/>
      <c r="I788" s="64"/>
      <c r="J788" s="64"/>
      <c r="K788" s="64"/>
      <c r="L788" s="64"/>
      <c r="M788" s="64"/>
      <c r="N788" s="127" t="str">
        <f>IF(ISNA(VLOOKUP(Table3[[#This Row],[Ticket]],Table1[],17,FALSE)),"",VLOOKUP(Table3[[#This Row],[Ticket]],Table1[],17,FALSE))</f>
        <v/>
      </c>
      <c r="O788" s="128" t="str">
        <f>IF(Table3[[#This Row],[Actual End Date]]="","",TEXT(Table3[[#This Row],[Actual End Date]],"mmm-yy"))</f>
        <v/>
      </c>
    </row>
    <row r="789" spans="2:15">
      <c r="B789" s="64"/>
      <c r="C789" s="64"/>
      <c r="D789" s="64"/>
      <c r="E789" s="64"/>
      <c r="F789" s="64"/>
      <c r="G789" s="64"/>
      <c r="H789" s="64"/>
      <c r="I789" s="64"/>
      <c r="J789" s="64"/>
      <c r="K789" s="64"/>
      <c r="L789" s="64"/>
      <c r="M789" s="64"/>
      <c r="N789" s="127" t="str">
        <f>IF(ISNA(VLOOKUP(Table3[[#This Row],[Ticket]],Table1[],17,FALSE)),"",VLOOKUP(Table3[[#This Row],[Ticket]],Table1[],17,FALSE))</f>
        <v/>
      </c>
      <c r="O789" s="128" t="str">
        <f>IF(Table3[[#This Row],[Actual End Date]]="","",TEXT(Table3[[#This Row],[Actual End Date]],"mmm-yy"))</f>
        <v/>
      </c>
    </row>
    <row r="790" spans="2:15">
      <c r="B790" s="64"/>
      <c r="C790" s="64"/>
      <c r="D790" s="64"/>
      <c r="E790" s="64"/>
      <c r="F790" s="64"/>
      <c r="G790" s="64"/>
      <c r="H790" s="64"/>
      <c r="I790" s="64"/>
      <c r="J790" s="64"/>
      <c r="K790" s="64"/>
      <c r="L790" s="64"/>
      <c r="M790" s="64"/>
      <c r="N790" s="127" t="str">
        <f>IF(ISNA(VLOOKUP(Table3[[#This Row],[Ticket]],Table1[],17,FALSE)),"",VLOOKUP(Table3[[#This Row],[Ticket]],Table1[],17,FALSE))</f>
        <v/>
      </c>
      <c r="O790" s="128" t="str">
        <f>IF(Table3[[#This Row],[Actual End Date]]="","",TEXT(Table3[[#This Row],[Actual End Date]],"mmm-yy"))</f>
        <v/>
      </c>
    </row>
    <row r="791" spans="2:15">
      <c r="B791" s="64"/>
      <c r="C791" s="64"/>
      <c r="D791" s="64"/>
      <c r="E791" s="64"/>
      <c r="F791" s="64"/>
      <c r="G791" s="64"/>
      <c r="H791" s="64"/>
      <c r="I791" s="64"/>
      <c r="J791" s="64"/>
      <c r="K791" s="64"/>
      <c r="L791" s="64"/>
      <c r="M791" s="64"/>
      <c r="N791" s="127" t="str">
        <f>IF(ISNA(VLOOKUP(Table3[[#This Row],[Ticket]],Table1[],17,FALSE)),"",VLOOKUP(Table3[[#This Row],[Ticket]],Table1[],17,FALSE))</f>
        <v/>
      </c>
      <c r="O791" s="128" t="str">
        <f>IF(Table3[[#This Row],[Actual End Date]]="","",TEXT(Table3[[#This Row],[Actual End Date]],"mmm-yy"))</f>
        <v/>
      </c>
    </row>
    <row r="792" spans="2:15">
      <c r="B792" s="64"/>
      <c r="C792" s="64"/>
      <c r="D792" s="64"/>
      <c r="E792" s="64"/>
      <c r="F792" s="64"/>
      <c r="G792" s="64"/>
      <c r="H792" s="64"/>
      <c r="I792" s="64"/>
      <c r="J792" s="64"/>
      <c r="K792" s="64"/>
      <c r="L792" s="64"/>
      <c r="M792" s="64"/>
      <c r="N792" s="127" t="str">
        <f>IF(ISNA(VLOOKUP(Table3[[#This Row],[Ticket]],Table1[],17,FALSE)),"",VLOOKUP(Table3[[#This Row],[Ticket]],Table1[],17,FALSE))</f>
        <v/>
      </c>
      <c r="O792" s="128" t="str">
        <f>IF(Table3[[#This Row],[Actual End Date]]="","",TEXT(Table3[[#This Row],[Actual End Date]],"mmm-yy"))</f>
        <v/>
      </c>
    </row>
    <row r="793" spans="2:15">
      <c r="B793" s="64"/>
      <c r="C793" s="64"/>
      <c r="D793" s="64"/>
      <c r="E793" s="64"/>
      <c r="F793" s="64"/>
      <c r="G793" s="64"/>
      <c r="H793" s="64"/>
      <c r="I793" s="64"/>
      <c r="J793" s="64"/>
      <c r="K793" s="64"/>
      <c r="L793" s="64"/>
      <c r="M793" s="64"/>
      <c r="N793" s="127" t="str">
        <f>IF(ISNA(VLOOKUP(Table3[[#This Row],[Ticket]],Table1[],17,FALSE)),"",VLOOKUP(Table3[[#This Row],[Ticket]],Table1[],17,FALSE))</f>
        <v/>
      </c>
      <c r="O793" s="128" t="str">
        <f>IF(Table3[[#This Row],[Actual End Date]]="","",TEXT(Table3[[#This Row],[Actual End Date]],"mmm-yy"))</f>
        <v/>
      </c>
    </row>
    <row r="794" spans="2:15">
      <c r="B794" s="64"/>
      <c r="C794" s="64"/>
      <c r="D794" s="64"/>
      <c r="E794" s="64"/>
      <c r="F794" s="64"/>
      <c r="G794" s="64"/>
      <c r="H794" s="64"/>
      <c r="I794" s="64"/>
      <c r="J794" s="64"/>
      <c r="K794" s="64"/>
      <c r="L794" s="64"/>
      <c r="M794" s="64"/>
      <c r="N794" s="127" t="str">
        <f>IF(ISNA(VLOOKUP(Table3[[#This Row],[Ticket]],Table1[],17,FALSE)),"",VLOOKUP(Table3[[#This Row],[Ticket]],Table1[],17,FALSE))</f>
        <v/>
      </c>
      <c r="O794" s="128" t="str">
        <f>IF(Table3[[#This Row],[Actual End Date]]="","",TEXT(Table3[[#This Row],[Actual End Date]],"mmm-yy"))</f>
        <v/>
      </c>
    </row>
    <row r="795" spans="2:15">
      <c r="B795" s="64"/>
      <c r="C795" s="64"/>
      <c r="D795" s="64"/>
      <c r="E795" s="64"/>
      <c r="F795" s="64"/>
      <c r="G795" s="64"/>
      <c r="H795" s="64"/>
      <c r="I795" s="64"/>
      <c r="J795" s="64"/>
      <c r="K795" s="64"/>
      <c r="L795" s="64"/>
      <c r="M795" s="64"/>
      <c r="N795" s="127" t="str">
        <f>IF(ISNA(VLOOKUP(Table3[[#This Row],[Ticket]],Table1[],17,FALSE)),"",VLOOKUP(Table3[[#This Row],[Ticket]],Table1[],17,FALSE))</f>
        <v/>
      </c>
      <c r="O795" s="128" t="str">
        <f>IF(Table3[[#This Row],[Actual End Date]]="","",TEXT(Table3[[#This Row],[Actual End Date]],"mmm-yy"))</f>
        <v/>
      </c>
    </row>
    <row r="796" spans="2:15">
      <c r="B796" s="64"/>
      <c r="C796" s="64"/>
      <c r="D796" s="64"/>
      <c r="E796" s="64"/>
      <c r="F796" s="64"/>
      <c r="G796" s="64"/>
      <c r="H796" s="64"/>
      <c r="I796" s="64"/>
      <c r="J796" s="64"/>
      <c r="K796" s="64"/>
      <c r="L796" s="64"/>
      <c r="M796" s="64"/>
      <c r="N796" s="127" t="str">
        <f>IF(ISNA(VLOOKUP(Table3[[#This Row],[Ticket]],Table1[],17,FALSE)),"",VLOOKUP(Table3[[#This Row],[Ticket]],Table1[],17,FALSE))</f>
        <v/>
      </c>
      <c r="O796" s="128" t="str">
        <f>IF(Table3[[#This Row],[Actual End Date]]="","",TEXT(Table3[[#This Row],[Actual End Date]],"mmm-yy"))</f>
        <v/>
      </c>
    </row>
    <row r="797" spans="2:15">
      <c r="B797" s="64"/>
      <c r="C797" s="64"/>
      <c r="D797" s="64"/>
      <c r="E797" s="64"/>
      <c r="F797" s="64"/>
      <c r="G797" s="64"/>
      <c r="H797" s="64"/>
      <c r="I797" s="64"/>
      <c r="J797" s="64"/>
      <c r="K797" s="64"/>
      <c r="L797" s="64"/>
      <c r="M797" s="64"/>
      <c r="N797" s="127" t="str">
        <f>IF(ISNA(VLOOKUP(Table3[[#This Row],[Ticket]],Table1[],17,FALSE)),"",VLOOKUP(Table3[[#This Row],[Ticket]],Table1[],17,FALSE))</f>
        <v/>
      </c>
      <c r="O797" s="128" t="str">
        <f>IF(Table3[[#This Row],[Actual End Date]]="","",TEXT(Table3[[#This Row],[Actual End Date]],"mmm-yy"))</f>
        <v/>
      </c>
    </row>
    <row r="798" spans="2:15">
      <c r="B798" s="64"/>
      <c r="C798" s="64"/>
      <c r="D798" s="64"/>
      <c r="E798" s="64"/>
      <c r="F798" s="64"/>
      <c r="G798" s="64"/>
      <c r="H798" s="64"/>
      <c r="I798" s="64"/>
      <c r="J798" s="64"/>
      <c r="K798" s="64"/>
      <c r="L798" s="64"/>
      <c r="M798" s="64"/>
      <c r="N798" s="127" t="str">
        <f>IF(ISNA(VLOOKUP(Table3[[#This Row],[Ticket]],Table1[],17,FALSE)),"",VLOOKUP(Table3[[#This Row],[Ticket]],Table1[],17,FALSE))</f>
        <v/>
      </c>
      <c r="O798" s="128" t="str">
        <f>IF(Table3[[#This Row],[Actual End Date]]="","",TEXT(Table3[[#This Row],[Actual End Date]],"mmm-yy"))</f>
        <v/>
      </c>
    </row>
    <row r="799" spans="2:15">
      <c r="B799" s="64"/>
      <c r="C799" s="64"/>
      <c r="D799" s="64"/>
      <c r="E799" s="64"/>
      <c r="F799" s="64"/>
      <c r="G799" s="64"/>
      <c r="H799" s="64"/>
      <c r="I799" s="64"/>
      <c r="J799" s="64"/>
      <c r="K799" s="64"/>
      <c r="L799" s="64"/>
      <c r="M799" s="64"/>
      <c r="N799" s="127" t="str">
        <f>IF(ISNA(VLOOKUP(Table3[[#This Row],[Ticket]],Table1[],17,FALSE)),"",VLOOKUP(Table3[[#This Row],[Ticket]],Table1[],17,FALSE))</f>
        <v/>
      </c>
      <c r="O799" s="128" t="str">
        <f>IF(Table3[[#This Row],[Actual End Date]]="","",TEXT(Table3[[#This Row],[Actual End Date]],"mmm-yy"))</f>
        <v/>
      </c>
    </row>
    <row r="800" spans="2:15">
      <c r="B800" s="64"/>
      <c r="C800" s="64"/>
      <c r="D800" s="64"/>
      <c r="E800" s="64"/>
      <c r="F800" s="64"/>
      <c r="G800" s="64"/>
      <c r="H800" s="64"/>
      <c r="I800" s="64"/>
      <c r="J800" s="64"/>
      <c r="K800" s="64"/>
      <c r="L800" s="64"/>
      <c r="M800" s="64"/>
      <c r="N800" s="127" t="str">
        <f>IF(ISNA(VLOOKUP(Table3[[#This Row],[Ticket]],Table1[],17,FALSE)),"",VLOOKUP(Table3[[#This Row],[Ticket]],Table1[],17,FALSE))</f>
        <v/>
      </c>
      <c r="O800" s="128" t="str">
        <f>IF(Table3[[#This Row],[Actual End Date]]="","",TEXT(Table3[[#This Row],[Actual End Date]],"mmm-yy"))</f>
        <v/>
      </c>
    </row>
    <row r="801" spans="2:15">
      <c r="B801" s="64"/>
      <c r="C801" s="64"/>
      <c r="D801" s="64"/>
      <c r="E801" s="64"/>
      <c r="F801" s="64"/>
      <c r="G801" s="64"/>
      <c r="H801" s="64"/>
      <c r="I801" s="64"/>
      <c r="J801" s="64"/>
      <c r="K801" s="64"/>
      <c r="L801" s="64"/>
      <c r="M801" s="64"/>
      <c r="N801" s="127" t="str">
        <f>IF(ISNA(VLOOKUP(Table3[[#This Row],[Ticket]],Table1[],17,FALSE)),"",VLOOKUP(Table3[[#This Row],[Ticket]],Table1[],17,FALSE))</f>
        <v/>
      </c>
      <c r="O801" s="128" t="str">
        <f>IF(Table3[[#This Row],[Actual End Date]]="","",TEXT(Table3[[#This Row],[Actual End Date]],"mmm-yy"))</f>
        <v/>
      </c>
    </row>
    <row r="802" spans="2:15">
      <c r="B802" s="64"/>
      <c r="C802" s="64"/>
      <c r="D802" s="64"/>
      <c r="E802" s="64"/>
      <c r="F802" s="64"/>
      <c r="G802" s="64"/>
      <c r="H802" s="64"/>
      <c r="I802" s="64"/>
      <c r="J802" s="64"/>
      <c r="K802" s="64"/>
      <c r="L802" s="64"/>
      <c r="M802" s="64"/>
      <c r="N802" s="127" t="str">
        <f>IF(ISNA(VLOOKUP(Table3[[#This Row],[Ticket]],Table1[],17,FALSE)),"",VLOOKUP(Table3[[#This Row],[Ticket]],Table1[],17,FALSE))</f>
        <v/>
      </c>
      <c r="O802" s="128" t="str">
        <f>IF(Table3[[#This Row],[Actual End Date]]="","",TEXT(Table3[[#This Row],[Actual End Date]],"mmm-yy"))</f>
        <v/>
      </c>
    </row>
    <row r="803" spans="2:15">
      <c r="B803" s="64"/>
      <c r="C803" s="64"/>
      <c r="D803" s="64"/>
      <c r="E803" s="64"/>
      <c r="F803" s="64"/>
      <c r="G803" s="64"/>
      <c r="H803" s="64"/>
      <c r="I803" s="64"/>
      <c r="J803" s="64"/>
      <c r="K803" s="64"/>
      <c r="L803" s="64"/>
      <c r="M803" s="64"/>
      <c r="N803" s="127" t="str">
        <f>IF(ISNA(VLOOKUP(Table3[[#This Row],[Ticket]],Table1[],17,FALSE)),"",VLOOKUP(Table3[[#This Row],[Ticket]],Table1[],17,FALSE))</f>
        <v/>
      </c>
      <c r="O803" s="128" t="str">
        <f>IF(Table3[[#This Row],[Actual End Date]]="","",TEXT(Table3[[#This Row],[Actual End Date]],"mmm-yy"))</f>
        <v/>
      </c>
    </row>
    <row r="804" spans="2:15">
      <c r="B804" s="64"/>
      <c r="C804" s="64"/>
      <c r="D804" s="64"/>
      <c r="E804" s="64"/>
      <c r="F804" s="64"/>
      <c r="G804" s="64"/>
      <c r="H804" s="64"/>
      <c r="I804" s="64"/>
      <c r="J804" s="64"/>
      <c r="K804" s="64"/>
      <c r="L804" s="64"/>
      <c r="M804" s="64"/>
      <c r="N804" s="127" t="str">
        <f>IF(ISNA(VLOOKUP(Table3[[#This Row],[Ticket]],Table1[],17,FALSE)),"",VLOOKUP(Table3[[#This Row],[Ticket]],Table1[],17,FALSE))</f>
        <v/>
      </c>
      <c r="O804" s="128" t="str">
        <f>IF(Table3[[#This Row],[Actual End Date]]="","",TEXT(Table3[[#This Row],[Actual End Date]],"mmm-yy"))</f>
        <v/>
      </c>
    </row>
    <row r="805" spans="2:15">
      <c r="B805" s="64"/>
      <c r="C805" s="64"/>
      <c r="D805" s="64"/>
      <c r="E805" s="64"/>
      <c r="F805" s="64"/>
      <c r="G805" s="64"/>
      <c r="H805" s="64"/>
      <c r="I805" s="64"/>
      <c r="J805" s="64"/>
      <c r="K805" s="64"/>
      <c r="L805" s="64"/>
      <c r="M805" s="64"/>
      <c r="N805" s="127" t="str">
        <f>IF(ISNA(VLOOKUP(Table3[[#This Row],[Ticket]],Table1[],17,FALSE)),"",VLOOKUP(Table3[[#This Row],[Ticket]],Table1[],17,FALSE))</f>
        <v/>
      </c>
      <c r="O805" s="128" t="str">
        <f>IF(Table3[[#This Row],[Actual End Date]]="","",TEXT(Table3[[#This Row],[Actual End Date]],"mmm-yy"))</f>
        <v/>
      </c>
    </row>
    <row r="806" spans="2:15">
      <c r="B806" s="64"/>
      <c r="C806" s="64"/>
      <c r="D806" s="64"/>
      <c r="E806" s="64"/>
      <c r="F806" s="64"/>
      <c r="G806" s="64"/>
      <c r="H806" s="64"/>
      <c r="I806" s="64"/>
      <c r="J806" s="64"/>
      <c r="K806" s="64"/>
      <c r="L806" s="64"/>
      <c r="M806" s="64"/>
      <c r="N806" s="127" t="str">
        <f>IF(ISNA(VLOOKUP(Table3[[#This Row],[Ticket]],Table1[],17,FALSE)),"",VLOOKUP(Table3[[#This Row],[Ticket]],Table1[],17,FALSE))</f>
        <v/>
      </c>
      <c r="O806" s="128" t="str">
        <f>IF(Table3[[#This Row],[Actual End Date]]="","",TEXT(Table3[[#This Row],[Actual End Date]],"mmm-yy"))</f>
        <v/>
      </c>
    </row>
    <row r="807" spans="2:15">
      <c r="B807" s="64"/>
      <c r="C807" s="64"/>
      <c r="D807" s="64"/>
      <c r="E807" s="64"/>
      <c r="F807" s="64"/>
      <c r="G807" s="64"/>
      <c r="H807" s="64"/>
      <c r="I807" s="64"/>
      <c r="J807" s="64"/>
      <c r="K807" s="64"/>
      <c r="L807" s="64"/>
      <c r="M807" s="64"/>
      <c r="N807" s="127" t="str">
        <f>IF(ISNA(VLOOKUP(Table3[[#This Row],[Ticket]],Table1[],17,FALSE)),"",VLOOKUP(Table3[[#This Row],[Ticket]],Table1[],17,FALSE))</f>
        <v/>
      </c>
      <c r="O807" s="128" t="str">
        <f>IF(Table3[[#This Row],[Actual End Date]]="","",TEXT(Table3[[#This Row],[Actual End Date]],"mmm-yy"))</f>
        <v/>
      </c>
    </row>
    <row r="808" spans="2:15">
      <c r="B808" s="64"/>
      <c r="C808" s="64"/>
      <c r="D808" s="64"/>
      <c r="E808" s="64"/>
      <c r="F808" s="64"/>
      <c r="G808" s="64"/>
      <c r="H808" s="64"/>
      <c r="I808" s="64"/>
      <c r="J808" s="64"/>
      <c r="K808" s="64"/>
      <c r="L808" s="64"/>
      <c r="M808" s="64"/>
      <c r="N808" s="127" t="str">
        <f>IF(ISNA(VLOOKUP(Table3[[#This Row],[Ticket]],Table1[],17,FALSE)),"",VLOOKUP(Table3[[#This Row],[Ticket]],Table1[],17,FALSE))</f>
        <v/>
      </c>
      <c r="O808" s="128" t="str">
        <f>IF(Table3[[#This Row],[Actual End Date]]="","",TEXT(Table3[[#This Row],[Actual End Date]],"mmm-yy"))</f>
        <v/>
      </c>
    </row>
    <row r="809" spans="2:15">
      <c r="B809" s="64"/>
      <c r="C809" s="64"/>
      <c r="D809" s="64"/>
      <c r="E809" s="64"/>
      <c r="F809" s="64"/>
      <c r="G809" s="64"/>
      <c r="H809" s="64"/>
      <c r="I809" s="64"/>
      <c r="J809" s="64"/>
      <c r="K809" s="64"/>
      <c r="L809" s="64"/>
      <c r="M809" s="64"/>
      <c r="N809" s="127" t="str">
        <f>IF(ISNA(VLOOKUP(Table3[[#This Row],[Ticket]],Table1[],17,FALSE)),"",VLOOKUP(Table3[[#This Row],[Ticket]],Table1[],17,FALSE))</f>
        <v/>
      </c>
      <c r="O809" s="128" t="str">
        <f>IF(Table3[[#This Row],[Actual End Date]]="","",TEXT(Table3[[#This Row],[Actual End Date]],"mmm-yy"))</f>
        <v/>
      </c>
    </row>
    <row r="810" spans="2:15">
      <c r="B810" s="64"/>
      <c r="C810" s="64"/>
      <c r="D810" s="64"/>
      <c r="E810" s="64"/>
      <c r="F810" s="64"/>
      <c r="G810" s="64"/>
      <c r="H810" s="64"/>
      <c r="I810" s="64"/>
      <c r="J810" s="64"/>
      <c r="K810" s="64"/>
      <c r="L810" s="64"/>
      <c r="M810" s="64"/>
      <c r="N810" s="127" t="str">
        <f>IF(ISNA(VLOOKUP(Table3[[#This Row],[Ticket]],Table1[],17,FALSE)),"",VLOOKUP(Table3[[#This Row],[Ticket]],Table1[],17,FALSE))</f>
        <v/>
      </c>
      <c r="O810" s="128" t="str">
        <f>IF(Table3[[#This Row],[Actual End Date]]="","",TEXT(Table3[[#This Row],[Actual End Date]],"mmm-yy"))</f>
        <v/>
      </c>
    </row>
    <row r="811" spans="2:15">
      <c r="B811" s="64"/>
      <c r="C811" s="64"/>
      <c r="D811" s="64"/>
      <c r="E811" s="64"/>
      <c r="F811" s="64"/>
      <c r="G811" s="64"/>
      <c r="H811" s="64"/>
      <c r="I811" s="64"/>
      <c r="J811" s="64"/>
      <c r="K811" s="64"/>
      <c r="L811" s="64"/>
      <c r="M811" s="64"/>
      <c r="N811" s="127" t="str">
        <f>IF(ISNA(VLOOKUP(Table3[[#This Row],[Ticket]],Table1[],17,FALSE)),"",VLOOKUP(Table3[[#This Row],[Ticket]],Table1[],17,FALSE))</f>
        <v/>
      </c>
      <c r="O811" s="128" t="str">
        <f>IF(Table3[[#This Row],[Actual End Date]]="","",TEXT(Table3[[#This Row],[Actual End Date]],"mmm-yy"))</f>
        <v/>
      </c>
    </row>
    <row r="812" spans="2:15">
      <c r="B812" s="64"/>
      <c r="C812" s="64"/>
      <c r="D812" s="64"/>
      <c r="E812" s="64"/>
      <c r="F812" s="64"/>
      <c r="G812" s="64"/>
      <c r="H812" s="64"/>
      <c r="I812" s="64"/>
      <c r="J812" s="64"/>
      <c r="K812" s="64"/>
      <c r="L812" s="64"/>
      <c r="M812" s="64"/>
      <c r="N812" s="127" t="str">
        <f>IF(ISNA(VLOOKUP(Table3[[#This Row],[Ticket]],Table1[],17,FALSE)),"",VLOOKUP(Table3[[#This Row],[Ticket]],Table1[],17,FALSE))</f>
        <v/>
      </c>
      <c r="O812" s="128" t="str">
        <f>IF(Table3[[#This Row],[Actual End Date]]="","",TEXT(Table3[[#This Row],[Actual End Date]],"mmm-yy"))</f>
        <v/>
      </c>
    </row>
    <row r="813" spans="2:15">
      <c r="B813" s="64"/>
      <c r="C813" s="64"/>
      <c r="D813" s="64"/>
      <c r="E813" s="64"/>
      <c r="F813" s="64"/>
      <c r="G813" s="64"/>
      <c r="H813" s="64"/>
      <c r="I813" s="64"/>
      <c r="J813" s="64"/>
      <c r="K813" s="64"/>
      <c r="L813" s="64"/>
      <c r="M813" s="64"/>
      <c r="N813" s="127" t="str">
        <f>IF(ISNA(VLOOKUP(Table3[[#This Row],[Ticket]],Table1[],17,FALSE)),"",VLOOKUP(Table3[[#This Row],[Ticket]],Table1[],17,FALSE))</f>
        <v/>
      </c>
      <c r="O813" s="128" t="str">
        <f>IF(Table3[[#This Row],[Actual End Date]]="","",TEXT(Table3[[#This Row],[Actual End Date]],"mmm-yy"))</f>
        <v/>
      </c>
    </row>
    <row r="814" spans="2:15">
      <c r="B814" s="64"/>
      <c r="C814" s="64"/>
      <c r="D814" s="64"/>
      <c r="E814" s="64"/>
      <c r="F814" s="64"/>
      <c r="G814" s="64"/>
      <c r="H814" s="64"/>
      <c r="I814" s="64"/>
      <c r="J814" s="64"/>
      <c r="K814" s="64"/>
      <c r="L814" s="64"/>
      <c r="M814" s="64"/>
      <c r="N814" s="127" t="str">
        <f>IF(ISNA(VLOOKUP(Table3[[#This Row],[Ticket]],Table1[],17,FALSE)),"",VLOOKUP(Table3[[#This Row],[Ticket]],Table1[],17,FALSE))</f>
        <v/>
      </c>
      <c r="O814" s="128" t="str">
        <f>IF(Table3[[#This Row],[Actual End Date]]="","",TEXT(Table3[[#This Row],[Actual End Date]],"mmm-yy"))</f>
        <v/>
      </c>
    </row>
    <row r="815" spans="2:15">
      <c r="B815" s="64"/>
      <c r="C815" s="64"/>
      <c r="D815" s="64"/>
      <c r="E815" s="64"/>
      <c r="F815" s="64"/>
      <c r="G815" s="64"/>
      <c r="H815" s="64"/>
      <c r="I815" s="64"/>
      <c r="J815" s="64"/>
      <c r="K815" s="64"/>
      <c r="L815" s="64"/>
      <c r="M815" s="64"/>
      <c r="N815" s="127" t="str">
        <f>IF(ISNA(VLOOKUP(Table3[[#This Row],[Ticket]],Table1[],17,FALSE)),"",VLOOKUP(Table3[[#This Row],[Ticket]],Table1[],17,FALSE))</f>
        <v/>
      </c>
      <c r="O815" s="128" t="str">
        <f>IF(Table3[[#This Row],[Actual End Date]]="","",TEXT(Table3[[#This Row],[Actual End Date]],"mmm-yy"))</f>
        <v/>
      </c>
    </row>
    <row r="816" spans="2:15">
      <c r="B816" s="64"/>
      <c r="C816" s="64"/>
      <c r="D816" s="64"/>
      <c r="E816" s="64"/>
      <c r="F816" s="64"/>
      <c r="G816" s="64"/>
      <c r="H816" s="64"/>
      <c r="I816" s="64"/>
      <c r="J816" s="64"/>
      <c r="K816" s="64"/>
      <c r="L816" s="64"/>
      <c r="M816" s="64"/>
      <c r="N816" s="127" t="str">
        <f>IF(ISNA(VLOOKUP(Table3[[#This Row],[Ticket]],Table1[],17,FALSE)),"",VLOOKUP(Table3[[#This Row],[Ticket]],Table1[],17,FALSE))</f>
        <v/>
      </c>
      <c r="O816" s="128" t="str">
        <f>IF(Table3[[#This Row],[Actual End Date]]="","",TEXT(Table3[[#This Row],[Actual End Date]],"mmm-yy"))</f>
        <v/>
      </c>
    </row>
    <row r="817" spans="2:15">
      <c r="B817" s="64"/>
      <c r="C817" s="64"/>
      <c r="D817" s="64"/>
      <c r="E817" s="64"/>
      <c r="F817" s="64"/>
      <c r="G817" s="64"/>
      <c r="H817" s="64"/>
      <c r="I817" s="64"/>
      <c r="J817" s="64"/>
      <c r="K817" s="64"/>
      <c r="L817" s="64"/>
      <c r="M817" s="64"/>
      <c r="N817" s="127" t="str">
        <f>IF(ISNA(VLOOKUP(Table3[[#This Row],[Ticket]],Table1[],17,FALSE)),"",VLOOKUP(Table3[[#This Row],[Ticket]],Table1[],17,FALSE))</f>
        <v/>
      </c>
      <c r="O817" s="128" t="str">
        <f>IF(Table3[[#This Row],[Actual End Date]]="","",TEXT(Table3[[#This Row],[Actual End Date]],"mmm-yy"))</f>
        <v/>
      </c>
    </row>
    <row r="818" spans="2:15">
      <c r="B818" s="64"/>
      <c r="C818" s="64"/>
      <c r="D818" s="64"/>
      <c r="E818" s="64"/>
      <c r="F818" s="64"/>
      <c r="G818" s="64"/>
      <c r="H818" s="64"/>
      <c r="I818" s="64"/>
      <c r="J818" s="64"/>
      <c r="K818" s="64"/>
      <c r="L818" s="64"/>
      <c r="M818" s="64"/>
      <c r="N818" s="127" t="str">
        <f>IF(ISNA(VLOOKUP(Table3[[#This Row],[Ticket]],Table1[],17,FALSE)),"",VLOOKUP(Table3[[#This Row],[Ticket]],Table1[],17,FALSE))</f>
        <v/>
      </c>
      <c r="O818" s="128" t="str">
        <f>IF(Table3[[#This Row],[Actual End Date]]="","",TEXT(Table3[[#This Row],[Actual End Date]],"mmm-yy"))</f>
        <v/>
      </c>
    </row>
    <row r="819" spans="2:15">
      <c r="B819" s="64"/>
      <c r="C819" s="64"/>
      <c r="D819" s="64"/>
      <c r="E819" s="64"/>
      <c r="F819" s="64"/>
      <c r="G819" s="64"/>
      <c r="H819" s="64"/>
      <c r="I819" s="64"/>
      <c r="J819" s="64"/>
      <c r="K819" s="64"/>
      <c r="L819" s="64"/>
      <c r="M819" s="64"/>
      <c r="N819" s="127" t="str">
        <f>IF(ISNA(VLOOKUP(Table3[[#This Row],[Ticket]],Table1[],17,FALSE)),"",VLOOKUP(Table3[[#This Row],[Ticket]],Table1[],17,FALSE))</f>
        <v/>
      </c>
      <c r="O819" s="128" t="str">
        <f>IF(Table3[[#This Row],[Actual End Date]]="","",TEXT(Table3[[#This Row],[Actual End Date]],"mmm-yy"))</f>
        <v/>
      </c>
    </row>
    <row r="820" spans="2:15">
      <c r="B820" s="64"/>
      <c r="C820" s="64"/>
      <c r="D820" s="64"/>
      <c r="E820" s="64"/>
      <c r="F820" s="64"/>
      <c r="G820" s="64"/>
      <c r="H820" s="64"/>
      <c r="I820" s="64"/>
      <c r="J820" s="64"/>
      <c r="K820" s="64"/>
      <c r="L820" s="64"/>
      <c r="M820" s="64"/>
      <c r="N820" s="127" t="str">
        <f>IF(ISNA(VLOOKUP(Table3[[#This Row],[Ticket]],Table1[],17,FALSE)),"",VLOOKUP(Table3[[#This Row],[Ticket]],Table1[],17,FALSE))</f>
        <v/>
      </c>
      <c r="O820" s="128" t="str">
        <f>IF(Table3[[#This Row],[Actual End Date]]="","",TEXT(Table3[[#This Row],[Actual End Date]],"mmm-yy"))</f>
        <v/>
      </c>
    </row>
    <row r="821" spans="2:15">
      <c r="B821" s="64"/>
      <c r="C821" s="64"/>
      <c r="D821" s="64"/>
      <c r="E821" s="64"/>
      <c r="F821" s="64"/>
      <c r="G821" s="64"/>
      <c r="H821" s="64"/>
      <c r="I821" s="64"/>
      <c r="J821" s="64"/>
      <c r="K821" s="64"/>
      <c r="L821" s="64"/>
      <c r="M821" s="64"/>
      <c r="N821" s="127" t="str">
        <f>IF(ISNA(VLOOKUP(Table3[[#This Row],[Ticket]],Table1[],17,FALSE)),"",VLOOKUP(Table3[[#This Row],[Ticket]],Table1[],17,FALSE))</f>
        <v/>
      </c>
      <c r="O821" s="128" t="str">
        <f>IF(Table3[[#This Row],[Actual End Date]]="","",TEXT(Table3[[#This Row],[Actual End Date]],"mmm-yy"))</f>
        <v/>
      </c>
    </row>
    <row r="822" spans="2:15">
      <c r="B822" s="64"/>
      <c r="C822" s="64"/>
      <c r="D822" s="64"/>
      <c r="E822" s="64"/>
      <c r="F822" s="64"/>
      <c r="G822" s="64"/>
      <c r="H822" s="64"/>
      <c r="I822" s="64"/>
      <c r="J822" s="64"/>
      <c r="K822" s="64"/>
      <c r="L822" s="64"/>
      <c r="M822" s="64"/>
      <c r="N822" s="127" t="str">
        <f>IF(ISNA(VLOOKUP(Table3[[#This Row],[Ticket]],Table1[],17,FALSE)),"",VLOOKUP(Table3[[#This Row],[Ticket]],Table1[],17,FALSE))</f>
        <v/>
      </c>
      <c r="O822" s="128" t="str">
        <f>IF(Table3[[#This Row],[Actual End Date]]="","",TEXT(Table3[[#This Row],[Actual End Date]],"mmm-yy"))</f>
        <v/>
      </c>
    </row>
    <row r="823" spans="2:15">
      <c r="B823" s="64"/>
      <c r="C823" s="64"/>
      <c r="D823" s="64"/>
      <c r="E823" s="64"/>
      <c r="F823" s="64"/>
      <c r="G823" s="64"/>
      <c r="H823" s="64"/>
      <c r="I823" s="64"/>
      <c r="J823" s="64"/>
      <c r="K823" s="64"/>
      <c r="L823" s="64"/>
      <c r="M823" s="64"/>
      <c r="N823" s="127" t="str">
        <f>IF(ISNA(VLOOKUP(Table3[[#This Row],[Ticket]],Table1[],17,FALSE)),"",VLOOKUP(Table3[[#This Row],[Ticket]],Table1[],17,FALSE))</f>
        <v/>
      </c>
      <c r="O823" s="128" t="str">
        <f>IF(Table3[[#This Row],[Actual End Date]]="","",TEXT(Table3[[#This Row],[Actual End Date]],"mmm-yy"))</f>
        <v/>
      </c>
    </row>
    <row r="824" spans="2:15">
      <c r="B824" s="64"/>
      <c r="C824" s="64"/>
      <c r="D824" s="64"/>
      <c r="E824" s="64"/>
      <c r="F824" s="64"/>
      <c r="G824" s="64"/>
      <c r="H824" s="64"/>
      <c r="I824" s="64"/>
      <c r="J824" s="64"/>
      <c r="K824" s="64"/>
      <c r="L824" s="64"/>
      <c r="M824" s="64"/>
      <c r="N824" s="127" t="str">
        <f>IF(ISNA(VLOOKUP(Table3[[#This Row],[Ticket]],Table1[],17,FALSE)),"",VLOOKUP(Table3[[#This Row],[Ticket]],Table1[],17,FALSE))</f>
        <v/>
      </c>
      <c r="O824" s="128" t="str">
        <f>IF(Table3[[#This Row],[Actual End Date]]="","",TEXT(Table3[[#This Row],[Actual End Date]],"mmm-yy"))</f>
        <v/>
      </c>
    </row>
    <row r="825" spans="2:15">
      <c r="B825" s="64"/>
      <c r="C825" s="64"/>
      <c r="D825" s="64"/>
      <c r="E825" s="64"/>
      <c r="F825" s="64"/>
      <c r="G825" s="64"/>
      <c r="H825" s="64"/>
      <c r="I825" s="64"/>
      <c r="J825" s="64"/>
      <c r="K825" s="64"/>
      <c r="L825" s="64"/>
      <c r="M825" s="64"/>
      <c r="N825" s="127" t="str">
        <f>IF(ISNA(VLOOKUP(Table3[[#This Row],[Ticket]],Table1[],17,FALSE)),"",VLOOKUP(Table3[[#This Row],[Ticket]],Table1[],17,FALSE))</f>
        <v/>
      </c>
      <c r="O825" s="128" t="str">
        <f>IF(Table3[[#This Row],[Actual End Date]]="","",TEXT(Table3[[#This Row],[Actual End Date]],"mmm-yy"))</f>
        <v/>
      </c>
    </row>
    <row r="826" spans="2:15">
      <c r="B826" s="64"/>
      <c r="C826" s="64"/>
      <c r="D826" s="64"/>
      <c r="E826" s="64"/>
      <c r="F826" s="64"/>
      <c r="G826" s="64"/>
      <c r="H826" s="64"/>
      <c r="I826" s="64"/>
      <c r="J826" s="64"/>
      <c r="K826" s="64"/>
      <c r="L826" s="64"/>
      <c r="M826" s="64"/>
      <c r="N826" s="127" t="str">
        <f>IF(ISNA(VLOOKUP(Table3[[#This Row],[Ticket]],Table1[],17,FALSE)),"",VLOOKUP(Table3[[#This Row],[Ticket]],Table1[],17,FALSE))</f>
        <v/>
      </c>
      <c r="O826" s="128" t="str">
        <f>IF(Table3[[#This Row],[Actual End Date]]="","",TEXT(Table3[[#This Row],[Actual End Date]],"mmm-yy"))</f>
        <v/>
      </c>
    </row>
    <row r="827" spans="2:15">
      <c r="B827" s="64"/>
      <c r="C827" s="64"/>
      <c r="D827" s="64"/>
      <c r="E827" s="64"/>
      <c r="F827" s="64"/>
      <c r="G827" s="64"/>
      <c r="H827" s="64"/>
      <c r="I827" s="64"/>
      <c r="J827" s="64"/>
      <c r="K827" s="64"/>
      <c r="L827" s="64"/>
      <c r="M827" s="64"/>
      <c r="N827" s="127" t="str">
        <f>IF(ISNA(VLOOKUP(Table3[[#This Row],[Ticket]],Table1[],17,FALSE)),"",VLOOKUP(Table3[[#This Row],[Ticket]],Table1[],17,FALSE))</f>
        <v/>
      </c>
      <c r="O827" s="128" t="str">
        <f>IF(Table3[[#This Row],[Actual End Date]]="","",TEXT(Table3[[#This Row],[Actual End Date]],"mmm-yy"))</f>
        <v/>
      </c>
    </row>
    <row r="828" spans="2:15">
      <c r="B828" s="64"/>
      <c r="C828" s="64"/>
      <c r="D828" s="64"/>
      <c r="E828" s="64"/>
      <c r="F828" s="64"/>
      <c r="G828" s="64"/>
      <c r="H828" s="64"/>
      <c r="I828" s="64"/>
      <c r="J828" s="64"/>
      <c r="K828" s="64"/>
      <c r="L828" s="64"/>
      <c r="M828" s="64"/>
      <c r="N828" s="127" t="str">
        <f>IF(ISNA(VLOOKUP(Table3[[#This Row],[Ticket]],Table1[],17,FALSE)),"",VLOOKUP(Table3[[#This Row],[Ticket]],Table1[],17,FALSE))</f>
        <v/>
      </c>
      <c r="O828" s="128" t="str">
        <f>IF(Table3[[#This Row],[Actual End Date]]="","",TEXT(Table3[[#This Row],[Actual End Date]],"mmm-yy"))</f>
        <v/>
      </c>
    </row>
    <row r="829" spans="2:15">
      <c r="B829" s="64"/>
      <c r="C829" s="64"/>
      <c r="D829" s="64"/>
      <c r="E829" s="64"/>
      <c r="F829" s="64"/>
      <c r="G829" s="64"/>
      <c r="H829" s="64"/>
      <c r="I829" s="64"/>
      <c r="J829" s="64"/>
      <c r="K829" s="64"/>
      <c r="L829" s="64"/>
      <c r="M829" s="64"/>
      <c r="N829" s="127" t="str">
        <f>IF(ISNA(VLOOKUP(Table3[[#This Row],[Ticket]],Table1[],17,FALSE)),"",VLOOKUP(Table3[[#This Row],[Ticket]],Table1[],17,FALSE))</f>
        <v/>
      </c>
      <c r="O829" s="128" t="str">
        <f>IF(Table3[[#This Row],[Actual End Date]]="","",TEXT(Table3[[#This Row],[Actual End Date]],"mmm-yy"))</f>
        <v/>
      </c>
    </row>
    <row r="830" spans="2:15">
      <c r="B830" s="64"/>
      <c r="C830" s="64"/>
      <c r="D830" s="64"/>
      <c r="E830" s="64"/>
      <c r="F830" s="64"/>
      <c r="G830" s="64"/>
      <c r="H830" s="64"/>
      <c r="I830" s="64"/>
      <c r="J830" s="64"/>
      <c r="K830" s="64"/>
      <c r="L830" s="64"/>
      <c r="M830" s="64"/>
      <c r="N830" s="127" t="str">
        <f>IF(ISNA(VLOOKUP(Table3[[#This Row],[Ticket]],Table1[],17,FALSE)),"",VLOOKUP(Table3[[#This Row],[Ticket]],Table1[],17,FALSE))</f>
        <v/>
      </c>
      <c r="O830" s="128" t="str">
        <f>IF(Table3[[#This Row],[Actual End Date]]="","",TEXT(Table3[[#This Row],[Actual End Date]],"mmm-yy"))</f>
        <v/>
      </c>
    </row>
    <row r="831" spans="2:15">
      <c r="B831" s="64"/>
      <c r="C831" s="64"/>
      <c r="D831" s="64"/>
      <c r="E831" s="64"/>
      <c r="F831" s="64"/>
      <c r="G831" s="64"/>
      <c r="H831" s="64"/>
      <c r="I831" s="64"/>
      <c r="J831" s="64"/>
      <c r="K831" s="64"/>
      <c r="L831" s="64"/>
      <c r="M831" s="64"/>
      <c r="N831" s="127" t="str">
        <f>IF(ISNA(VLOOKUP(Table3[[#This Row],[Ticket]],Table1[],17,FALSE)),"",VLOOKUP(Table3[[#This Row],[Ticket]],Table1[],17,FALSE))</f>
        <v/>
      </c>
      <c r="O831" s="128" t="str">
        <f>IF(Table3[[#This Row],[Actual End Date]]="","",TEXT(Table3[[#This Row],[Actual End Date]],"mmm-yy"))</f>
        <v/>
      </c>
    </row>
    <row r="832" spans="2:15">
      <c r="B832" s="64"/>
      <c r="C832" s="64"/>
      <c r="D832" s="64"/>
      <c r="E832" s="64"/>
      <c r="F832" s="64"/>
      <c r="G832" s="64"/>
      <c r="H832" s="64"/>
      <c r="I832" s="64"/>
      <c r="J832" s="64"/>
      <c r="K832" s="64"/>
      <c r="L832" s="64"/>
      <c r="M832" s="64"/>
      <c r="N832" s="127" t="str">
        <f>IF(ISNA(VLOOKUP(Table3[[#This Row],[Ticket]],Table1[],17,FALSE)),"",VLOOKUP(Table3[[#This Row],[Ticket]],Table1[],17,FALSE))</f>
        <v/>
      </c>
      <c r="O832" s="128" t="str">
        <f>IF(Table3[[#This Row],[Actual End Date]]="","",TEXT(Table3[[#This Row],[Actual End Date]],"mmm-yy"))</f>
        <v/>
      </c>
    </row>
    <row r="833" spans="2:15">
      <c r="B833" s="64"/>
      <c r="C833" s="64"/>
      <c r="D833" s="64"/>
      <c r="E833" s="64"/>
      <c r="F833" s="64"/>
      <c r="G833" s="64"/>
      <c r="H833" s="64"/>
      <c r="I833" s="64"/>
      <c r="J833" s="64"/>
      <c r="K833" s="64"/>
      <c r="L833" s="64"/>
      <c r="M833" s="64"/>
      <c r="N833" s="127" t="str">
        <f>IF(ISNA(VLOOKUP(Table3[[#This Row],[Ticket]],Table1[],17,FALSE)),"",VLOOKUP(Table3[[#This Row],[Ticket]],Table1[],17,FALSE))</f>
        <v/>
      </c>
      <c r="O833" s="128" t="str">
        <f>IF(Table3[[#This Row],[Actual End Date]]="","",TEXT(Table3[[#This Row],[Actual End Date]],"mmm-yy"))</f>
        <v/>
      </c>
    </row>
    <row r="834" spans="2:15">
      <c r="B834" s="64"/>
      <c r="C834" s="64"/>
      <c r="D834" s="64"/>
      <c r="E834" s="64"/>
      <c r="F834" s="64"/>
      <c r="G834" s="64"/>
      <c r="H834" s="64"/>
      <c r="I834" s="64"/>
      <c r="J834" s="64"/>
      <c r="K834" s="64"/>
      <c r="L834" s="64"/>
      <c r="M834" s="64"/>
      <c r="N834" s="127" t="str">
        <f>IF(ISNA(VLOOKUP(Table3[[#This Row],[Ticket]],Table1[],17,FALSE)),"",VLOOKUP(Table3[[#This Row],[Ticket]],Table1[],17,FALSE))</f>
        <v/>
      </c>
      <c r="O834" s="128" t="str">
        <f>IF(Table3[[#This Row],[Actual End Date]]="","",TEXT(Table3[[#This Row],[Actual End Date]],"mmm-yy"))</f>
        <v/>
      </c>
    </row>
    <row r="835" spans="2:15">
      <c r="B835" s="64"/>
      <c r="C835" s="64"/>
      <c r="D835" s="64"/>
      <c r="E835" s="64"/>
      <c r="F835" s="64"/>
      <c r="G835" s="64"/>
      <c r="H835" s="64"/>
      <c r="I835" s="64"/>
      <c r="J835" s="64"/>
      <c r="K835" s="64"/>
      <c r="L835" s="64"/>
      <c r="M835" s="64"/>
      <c r="N835" s="127" t="str">
        <f>IF(ISNA(VLOOKUP(Table3[[#This Row],[Ticket]],Table1[],17,FALSE)),"",VLOOKUP(Table3[[#This Row],[Ticket]],Table1[],17,FALSE))</f>
        <v/>
      </c>
      <c r="O835" s="128" t="str">
        <f>IF(Table3[[#This Row],[Actual End Date]]="","",TEXT(Table3[[#This Row],[Actual End Date]],"mmm-yy"))</f>
        <v/>
      </c>
    </row>
    <row r="836" spans="2:15">
      <c r="B836" s="64"/>
      <c r="C836" s="64"/>
      <c r="D836" s="64"/>
      <c r="E836" s="64"/>
      <c r="F836" s="64"/>
      <c r="G836" s="64"/>
      <c r="H836" s="64"/>
      <c r="I836" s="64"/>
      <c r="J836" s="64"/>
      <c r="K836" s="64"/>
      <c r="L836" s="64"/>
      <c r="M836" s="64"/>
      <c r="N836" s="127" t="str">
        <f>IF(ISNA(VLOOKUP(Table3[[#This Row],[Ticket]],Table1[],17,FALSE)),"",VLOOKUP(Table3[[#This Row],[Ticket]],Table1[],17,FALSE))</f>
        <v/>
      </c>
      <c r="O836" s="128" t="str">
        <f>IF(Table3[[#This Row],[Actual End Date]]="","",TEXT(Table3[[#This Row],[Actual End Date]],"mmm-yy"))</f>
        <v/>
      </c>
    </row>
    <row r="837" spans="2:15">
      <c r="B837" s="64"/>
      <c r="C837" s="64"/>
      <c r="D837" s="64"/>
      <c r="E837" s="64"/>
      <c r="F837" s="64"/>
      <c r="G837" s="64"/>
      <c r="H837" s="64"/>
      <c r="I837" s="64"/>
      <c r="J837" s="64"/>
      <c r="K837" s="64"/>
      <c r="L837" s="64"/>
      <c r="M837" s="64"/>
      <c r="N837" s="127" t="str">
        <f>IF(ISNA(VLOOKUP(Table3[[#This Row],[Ticket]],Table1[],17,FALSE)),"",VLOOKUP(Table3[[#This Row],[Ticket]],Table1[],17,FALSE))</f>
        <v/>
      </c>
      <c r="O837" s="128" t="str">
        <f>IF(Table3[[#This Row],[Actual End Date]]="","",TEXT(Table3[[#This Row],[Actual End Date]],"mmm-yy"))</f>
        <v/>
      </c>
    </row>
    <row r="838" spans="2:15">
      <c r="B838" s="64"/>
      <c r="C838" s="64"/>
      <c r="D838" s="64"/>
      <c r="E838" s="64"/>
      <c r="F838" s="64"/>
      <c r="G838" s="64"/>
      <c r="H838" s="64"/>
      <c r="I838" s="64"/>
      <c r="J838" s="64"/>
      <c r="K838" s="64"/>
      <c r="L838" s="64"/>
      <c r="M838" s="64"/>
      <c r="N838" s="127" t="str">
        <f>IF(ISNA(VLOOKUP(Table3[[#This Row],[Ticket]],Table1[],17,FALSE)),"",VLOOKUP(Table3[[#This Row],[Ticket]],Table1[],17,FALSE))</f>
        <v/>
      </c>
      <c r="O838" s="128" t="str">
        <f>IF(Table3[[#This Row],[Actual End Date]]="","",TEXT(Table3[[#This Row],[Actual End Date]],"mmm-yy"))</f>
        <v/>
      </c>
    </row>
    <row r="839" spans="2:15">
      <c r="B839" s="64"/>
      <c r="C839" s="64"/>
      <c r="D839" s="64"/>
      <c r="E839" s="64"/>
      <c r="F839" s="64"/>
      <c r="G839" s="64"/>
      <c r="H839" s="64"/>
      <c r="I839" s="64"/>
      <c r="J839" s="64"/>
      <c r="K839" s="64"/>
      <c r="L839" s="64"/>
      <c r="M839" s="64"/>
      <c r="N839" s="127" t="str">
        <f>IF(ISNA(VLOOKUP(Table3[[#This Row],[Ticket]],Table1[],17,FALSE)),"",VLOOKUP(Table3[[#This Row],[Ticket]],Table1[],17,FALSE))</f>
        <v/>
      </c>
      <c r="O839" s="128" t="str">
        <f>IF(Table3[[#This Row],[Actual End Date]]="","",TEXT(Table3[[#This Row],[Actual End Date]],"mmm-yy"))</f>
        <v/>
      </c>
    </row>
    <row r="840" spans="2:15">
      <c r="B840" s="64"/>
      <c r="C840" s="64"/>
      <c r="D840" s="64"/>
      <c r="E840" s="64"/>
      <c r="F840" s="64"/>
      <c r="G840" s="64"/>
      <c r="H840" s="64"/>
      <c r="I840" s="64"/>
      <c r="J840" s="64"/>
      <c r="K840" s="64"/>
      <c r="L840" s="64"/>
      <c r="M840" s="64"/>
      <c r="N840" s="127" t="str">
        <f>IF(ISNA(VLOOKUP(Table3[[#This Row],[Ticket]],Table1[],17,FALSE)),"",VLOOKUP(Table3[[#This Row],[Ticket]],Table1[],17,FALSE))</f>
        <v/>
      </c>
      <c r="O840" s="128" t="str">
        <f>IF(Table3[[#This Row],[Actual End Date]]="","",TEXT(Table3[[#This Row],[Actual End Date]],"mmm-yy"))</f>
        <v/>
      </c>
    </row>
    <row r="841" spans="2:15">
      <c r="B841" s="64"/>
      <c r="C841" s="64"/>
      <c r="D841" s="64"/>
      <c r="E841" s="64"/>
      <c r="F841" s="64"/>
      <c r="G841" s="64"/>
      <c r="H841" s="64"/>
      <c r="I841" s="64"/>
      <c r="J841" s="64"/>
      <c r="K841" s="64"/>
      <c r="L841" s="64"/>
      <c r="M841" s="64"/>
      <c r="N841" s="127" t="str">
        <f>IF(ISNA(VLOOKUP(Table3[[#This Row],[Ticket]],Table1[],17,FALSE)),"",VLOOKUP(Table3[[#This Row],[Ticket]],Table1[],17,FALSE))</f>
        <v/>
      </c>
      <c r="O841" s="128" t="str">
        <f>IF(Table3[[#This Row],[Actual End Date]]="","",TEXT(Table3[[#This Row],[Actual End Date]],"mmm-yy"))</f>
        <v/>
      </c>
    </row>
    <row r="842" spans="2:15">
      <c r="B842" s="64"/>
      <c r="C842" s="64"/>
      <c r="D842" s="64"/>
      <c r="E842" s="64"/>
      <c r="F842" s="64"/>
      <c r="G842" s="64"/>
      <c r="H842" s="64"/>
      <c r="I842" s="64"/>
      <c r="J842" s="64"/>
      <c r="K842" s="64"/>
      <c r="L842" s="64"/>
      <c r="M842" s="64"/>
      <c r="N842" s="127" t="str">
        <f>IF(ISNA(VLOOKUP(Table3[[#This Row],[Ticket]],Table1[],17,FALSE)),"",VLOOKUP(Table3[[#This Row],[Ticket]],Table1[],17,FALSE))</f>
        <v/>
      </c>
      <c r="O842" s="128" t="str">
        <f>IF(Table3[[#This Row],[Actual End Date]]="","",TEXT(Table3[[#This Row],[Actual End Date]],"mmm-yy"))</f>
        <v/>
      </c>
    </row>
    <row r="843" spans="2:15">
      <c r="B843" s="64"/>
      <c r="C843" s="64"/>
      <c r="D843" s="64"/>
      <c r="E843" s="64"/>
      <c r="F843" s="64"/>
      <c r="G843" s="64"/>
      <c r="H843" s="64"/>
      <c r="I843" s="64"/>
      <c r="J843" s="64"/>
      <c r="K843" s="64"/>
      <c r="L843" s="64"/>
      <c r="M843" s="64"/>
      <c r="N843" s="127" t="str">
        <f>IF(ISNA(VLOOKUP(Table3[[#This Row],[Ticket]],Table1[],17,FALSE)),"",VLOOKUP(Table3[[#This Row],[Ticket]],Table1[],17,FALSE))</f>
        <v/>
      </c>
      <c r="O843" s="128" t="str">
        <f>IF(Table3[[#This Row],[Actual End Date]]="","",TEXT(Table3[[#This Row],[Actual End Date]],"mmm-yy"))</f>
        <v/>
      </c>
    </row>
    <row r="844" spans="2:15">
      <c r="B844" s="64"/>
      <c r="C844" s="64"/>
      <c r="D844" s="64"/>
      <c r="E844" s="64"/>
      <c r="F844" s="64"/>
      <c r="G844" s="64"/>
      <c r="H844" s="64"/>
      <c r="I844" s="64"/>
      <c r="J844" s="64"/>
      <c r="K844" s="64"/>
      <c r="L844" s="64"/>
      <c r="M844" s="64"/>
      <c r="N844" s="127" t="str">
        <f>IF(ISNA(VLOOKUP(Table3[[#This Row],[Ticket]],Table1[],17,FALSE)),"",VLOOKUP(Table3[[#This Row],[Ticket]],Table1[],17,FALSE))</f>
        <v/>
      </c>
      <c r="O844" s="128" t="str">
        <f>IF(Table3[[#This Row],[Actual End Date]]="","",TEXT(Table3[[#This Row],[Actual End Date]],"mmm-yy"))</f>
        <v/>
      </c>
    </row>
    <row r="845" spans="2:15">
      <c r="B845" s="64"/>
      <c r="C845" s="64"/>
      <c r="D845" s="64"/>
      <c r="E845" s="64"/>
      <c r="F845" s="64"/>
      <c r="G845" s="64"/>
      <c r="H845" s="64"/>
      <c r="I845" s="64"/>
      <c r="J845" s="64"/>
      <c r="K845" s="64"/>
      <c r="L845" s="64"/>
      <c r="M845" s="64"/>
      <c r="N845" s="127" t="str">
        <f>IF(ISNA(VLOOKUP(Table3[[#This Row],[Ticket]],Table1[],17,FALSE)),"",VLOOKUP(Table3[[#This Row],[Ticket]],Table1[],17,FALSE))</f>
        <v/>
      </c>
      <c r="O845" s="128" t="str">
        <f>IF(Table3[[#This Row],[Actual End Date]]="","",TEXT(Table3[[#This Row],[Actual End Date]],"mmm-yy"))</f>
        <v/>
      </c>
    </row>
    <row r="846" spans="2:15">
      <c r="B846" s="64"/>
      <c r="C846" s="64"/>
      <c r="D846" s="64"/>
      <c r="E846" s="64"/>
      <c r="F846" s="64"/>
      <c r="G846" s="64"/>
      <c r="H846" s="64"/>
      <c r="I846" s="64"/>
      <c r="J846" s="64"/>
      <c r="K846" s="64"/>
      <c r="L846" s="64"/>
      <c r="M846" s="64"/>
      <c r="N846" s="127" t="str">
        <f>IF(ISNA(VLOOKUP(Table3[[#This Row],[Ticket]],Table1[],17,FALSE)),"",VLOOKUP(Table3[[#This Row],[Ticket]],Table1[],17,FALSE))</f>
        <v/>
      </c>
      <c r="O846" s="128" t="str">
        <f>IF(Table3[[#This Row],[Actual End Date]]="","",TEXT(Table3[[#This Row],[Actual End Date]],"mmm-yy"))</f>
        <v/>
      </c>
    </row>
    <row r="847" spans="2:15">
      <c r="B847" s="64"/>
      <c r="C847" s="64"/>
      <c r="D847" s="64"/>
      <c r="E847" s="64"/>
      <c r="F847" s="64"/>
      <c r="G847" s="64"/>
      <c r="H847" s="64"/>
      <c r="I847" s="64"/>
      <c r="J847" s="64"/>
      <c r="K847" s="64"/>
      <c r="L847" s="64"/>
      <c r="M847" s="64"/>
      <c r="N847" s="127" t="str">
        <f>IF(ISNA(VLOOKUP(Table3[[#This Row],[Ticket]],Table1[],17,FALSE)),"",VLOOKUP(Table3[[#This Row],[Ticket]],Table1[],17,FALSE))</f>
        <v/>
      </c>
      <c r="O847" s="128" t="str">
        <f>IF(Table3[[#This Row],[Actual End Date]]="","",TEXT(Table3[[#This Row],[Actual End Date]],"mmm-yy"))</f>
        <v/>
      </c>
    </row>
    <row r="848" spans="2:15">
      <c r="B848" s="64"/>
      <c r="C848" s="64"/>
      <c r="D848" s="64"/>
      <c r="E848" s="64"/>
      <c r="F848" s="64"/>
      <c r="G848" s="64"/>
      <c r="H848" s="64"/>
      <c r="I848" s="64"/>
      <c r="J848" s="64"/>
      <c r="K848" s="64"/>
      <c r="L848" s="64"/>
      <c r="M848" s="64"/>
      <c r="N848" s="127" t="str">
        <f>IF(ISNA(VLOOKUP(Table3[[#This Row],[Ticket]],Table1[],17,FALSE)),"",VLOOKUP(Table3[[#This Row],[Ticket]],Table1[],17,FALSE))</f>
        <v/>
      </c>
      <c r="O848" s="128" t="str">
        <f>IF(Table3[[#This Row],[Actual End Date]]="","",TEXT(Table3[[#This Row],[Actual End Date]],"mmm-yy"))</f>
        <v/>
      </c>
    </row>
    <row r="849" spans="2:15">
      <c r="B849" s="64"/>
      <c r="C849" s="64"/>
      <c r="D849" s="64"/>
      <c r="E849" s="64"/>
      <c r="F849" s="64"/>
      <c r="G849" s="64"/>
      <c r="H849" s="64"/>
      <c r="I849" s="64"/>
      <c r="J849" s="64"/>
      <c r="K849" s="64"/>
      <c r="L849" s="64"/>
      <c r="M849" s="64"/>
      <c r="N849" s="127" t="str">
        <f>IF(ISNA(VLOOKUP(Table3[[#This Row],[Ticket]],Table1[],17,FALSE)),"",VLOOKUP(Table3[[#This Row],[Ticket]],Table1[],17,FALSE))</f>
        <v/>
      </c>
      <c r="O849" s="128" t="str">
        <f>IF(Table3[[#This Row],[Actual End Date]]="","",TEXT(Table3[[#This Row],[Actual End Date]],"mmm-yy"))</f>
        <v/>
      </c>
    </row>
    <row r="850" spans="2:15">
      <c r="B850" s="64"/>
      <c r="C850" s="64"/>
      <c r="D850" s="64"/>
      <c r="E850" s="64"/>
      <c r="F850" s="64"/>
      <c r="G850" s="64"/>
      <c r="H850" s="64"/>
      <c r="I850" s="64"/>
      <c r="J850" s="64"/>
      <c r="K850" s="64"/>
      <c r="L850" s="64"/>
      <c r="M850" s="64"/>
      <c r="N850" s="127" t="str">
        <f>IF(ISNA(VLOOKUP(Table3[[#This Row],[Ticket]],Table1[],17,FALSE)),"",VLOOKUP(Table3[[#This Row],[Ticket]],Table1[],17,FALSE))</f>
        <v/>
      </c>
      <c r="O850" s="128" t="str">
        <f>IF(Table3[[#This Row],[Actual End Date]]="","",TEXT(Table3[[#This Row],[Actual End Date]],"mmm-yy"))</f>
        <v/>
      </c>
    </row>
    <row r="851" spans="2:15">
      <c r="B851" s="64"/>
      <c r="C851" s="64"/>
      <c r="D851" s="64"/>
      <c r="E851" s="64"/>
      <c r="F851" s="64"/>
      <c r="G851" s="64"/>
      <c r="H851" s="64"/>
      <c r="I851" s="64"/>
      <c r="J851" s="64"/>
      <c r="K851" s="64"/>
      <c r="L851" s="64"/>
      <c r="M851" s="64"/>
      <c r="N851" s="127" t="str">
        <f>IF(ISNA(VLOOKUP(Table3[[#This Row],[Ticket]],Table1[],17,FALSE)),"",VLOOKUP(Table3[[#This Row],[Ticket]],Table1[],17,FALSE))</f>
        <v/>
      </c>
      <c r="O851" s="128" t="str">
        <f>IF(Table3[[#This Row],[Actual End Date]]="","",TEXT(Table3[[#This Row],[Actual End Date]],"mmm-yy"))</f>
        <v/>
      </c>
    </row>
    <row r="852" spans="2:15">
      <c r="B852" s="64"/>
      <c r="C852" s="64"/>
      <c r="D852" s="64"/>
      <c r="E852" s="64"/>
      <c r="F852" s="64"/>
      <c r="G852" s="64"/>
      <c r="H852" s="64"/>
      <c r="I852" s="64"/>
      <c r="J852" s="64"/>
      <c r="K852" s="64"/>
      <c r="L852" s="64"/>
      <c r="M852" s="64"/>
      <c r="N852" s="127" t="str">
        <f>IF(ISNA(VLOOKUP(Table3[[#This Row],[Ticket]],Table1[],17,FALSE)),"",VLOOKUP(Table3[[#This Row],[Ticket]],Table1[],17,FALSE))</f>
        <v/>
      </c>
      <c r="O852" s="128" t="str">
        <f>IF(Table3[[#This Row],[Actual End Date]]="","",TEXT(Table3[[#This Row],[Actual End Date]],"mmm-yy"))</f>
        <v/>
      </c>
    </row>
    <row r="853" spans="2:15">
      <c r="B853" s="64"/>
      <c r="C853" s="64"/>
      <c r="D853" s="64"/>
      <c r="E853" s="64"/>
      <c r="F853" s="64"/>
      <c r="G853" s="64"/>
      <c r="H853" s="64"/>
      <c r="I853" s="64"/>
      <c r="J853" s="64"/>
      <c r="K853" s="64"/>
      <c r="L853" s="64"/>
      <c r="M853" s="64"/>
      <c r="N853" s="127" t="str">
        <f>IF(ISNA(VLOOKUP(Table3[[#This Row],[Ticket]],Table1[],17,FALSE)),"",VLOOKUP(Table3[[#This Row],[Ticket]],Table1[],17,FALSE))</f>
        <v/>
      </c>
      <c r="O853" s="128" t="str">
        <f>IF(Table3[[#This Row],[Actual End Date]]="","",TEXT(Table3[[#This Row],[Actual End Date]],"mmm-yy"))</f>
        <v/>
      </c>
    </row>
    <row r="854" spans="2:15">
      <c r="B854" s="64"/>
      <c r="C854" s="64"/>
      <c r="D854" s="64"/>
      <c r="E854" s="64"/>
      <c r="F854" s="64"/>
      <c r="G854" s="64"/>
      <c r="H854" s="64"/>
      <c r="I854" s="64"/>
      <c r="J854" s="64"/>
      <c r="K854" s="64"/>
      <c r="L854" s="64"/>
      <c r="M854" s="64"/>
      <c r="N854" s="127" t="str">
        <f>IF(ISNA(VLOOKUP(Table3[[#This Row],[Ticket]],Table1[],17,FALSE)),"",VLOOKUP(Table3[[#This Row],[Ticket]],Table1[],17,FALSE))</f>
        <v/>
      </c>
      <c r="O854" s="128" t="str">
        <f>IF(Table3[[#This Row],[Actual End Date]]="","",TEXT(Table3[[#This Row],[Actual End Date]],"mmm-yy"))</f>
        <v/>
      </c>
    </row>
    <row r="855" spans="2:15">
      <c r="B855" s="64"/>
      <c r="C855" s="64"/>
      <c r="D855" s="64"/>
      <c r="E855" s="64"/>
      <c r="F855" s="64"/>
      <c r="G855" s="64"/>
      <c r="H855" s="64"/>
      <c r="I855" s="64"/>
      <c r="J855" s="64"/>
      <c r="K855" s="64"/>
      <c r="L855" s="64"/>
      <c r="M855" s="64"/>
      <c r="N855" s="127" t="str">
        <f>IF(ISNA(VLOOKUP(Table3[[#This Row],[Ticket]],Table1[],17,FALSE)),"",VLOOKUP(Table3[[#This Row],[Ticket]],Table1[],17,FALSE))</f>
        <v/>
      </c>
      <c r="O855" s="128" t="str">
        <f>IF(Table3[[#This Row],[Actual End Date]]="","",TEXT(Table3[[#This Row],[Actual End Date]],"mmm-yy"))</f>
        <v/>
      </c>
    </row>
    <row r="856" spans="2:15">
      <c r="B856" s="64"/>
      <c r="C856" s="64"/>
      <c r="D856" s="64"/>
      <c r="E856" s="64"/>
      <c r="F856" s="64"/>
      <c r="G856" s="64"/>
      <c r="H856" s="64"/>
      <c r="I856" s="64"/>
      <c r="J856" s="64"/>
      <c r="K856" s="64"/>
      <c r="L856" s="64"/>
      <c r="M856" s="64"/>
      <c r="N856" s="127" t="str">
        <f>IF(ISNA(VLOOKUP(Table3[[#This Row],[Ticket]],Table1[],17,FALSE)),"",VLOOKUP(Table3[[#This Row],[Ticket]],Table1[],17,FALSE))</f>
        <v/>
      </c>
      <c r="O856" s="128" t="str">
        <f>IF(Table3[[#This Row],[Actual End Date]]="","",TEXT(Table3[[#This Row],[Actual End Date]],"mmm-yy"))</f>
        <v/>
      </c>
    </row>
    <row r="857" spans="2:15">
      <c r="B857" s="64"/>
      <c r="C857" s="64"/>
      <c r="D857" s="64"/>
      <c r="E857" s="64"/>
      <c r="F857" s="64"/>
      <c r="G857" s="64"/>
      <c r="H857" s="64"/>
      <c r="I857" s="64"/>
      <c r="J857" s="64"/>
      <c r="K857" s="64"/>
      <c r="L857" s="64"/>
      <c r="M857" s="64"/>
      <c r="N857" s="127" t="str">
        <f>IF(ISNA(VLOOKUP(Table3[[#This Row],[Ticket]],Table1[],17,FALSE)),"",VLOOKUP(Table3[[#This Row],[Ticket]],Table1[],17,FALSE))</f>
        <v/>
      </c>
      <c r="O857" s="128" t="str">
        <f>IF(Table3[[#This Row],[Actual End Date]]="","",TEXT(Table3[[#This Row],[Actual End Date]],"mmm-yy"))</f>
        <v/>
      </c>
    </row>
    <row r="858" spans="2:15">
      <c r="B858" s="64"/>
      <c r="C858" s="64"/>
      <c r="D858" s="64"/>
      <c r="E858" s="64"/>
      <c r="F858" s="64"/>
      <c r="G858" s="64"/>
      <c r="H858" s="64"/>
      <c r="I858" s="64"/>
      <c r="J858" s="64"/>
      <c r="K858" s="64"/>
      <c r="L858" s="64"/>
      <c r="M858" s="64"/>
      <c r="N858" s="127" t="str">
        <f>IF(ISNA(VLOOKUP(Table3[[#This Row],[Ticket]],Table1[],17,FALSE)),"",VLOOKUP(Table3[[#This Row],[Ticket]],Table1[],17,FALSE))</f>
        <v/>
      </c>
      <c r="O858" s="128" t="str">
        <f>IF(Table3[[#This Row],[Actual End Date]]="","",TEXT(Table3[[#This Row],[Actual End Date]],"mmm-yy"))</f>
        <v/>
      </c>
    </row>
    <row r="859" spans="2:15">
      <c r="B859" s="64"/>
      <c r="C859" s="64"/>
      <c r="D859" s="64"/>
      <c r="E859" s="64"/>
      <c r="F859" s="64"/>
      <c r="G859" s="64"/>
      <c r="H859" s="64"/>
      <c r="I859" s="64"/>
      <c r="J859" s="64"/>
      <c r="K859" s="64"/>
      <c r="L859" s="64"/>
      <c r="M859" s="64"/>
      <c r="N859" s="127" t="str">
        <f>IF(ISNA(VLOOKUP(Table3[[#This Row],[Ticket]],Table1[],17,FALSE)),"",VLOOKUP(Table3[[#This Row],[Ticket]],Table1[],17,FALSE))</f>
        <v/>
      </c>
      <c r="O859" s="128" t="str">
        <f>IF(Table3[[#This Row],[Actual End Date]]="","",TEXT(Table3[[#This Row],[Actual End Date]],"mmm-yy"))</f>
        <v/>
      </c>
    </row>
    <row r="860" spans="2:15">
      <c r="B860" s="64"/>
      <c r="C860" s="64"/>
      <c r="D860" s="64"/>
      <c r="E860" s="64"/>
      <c r="F860" s="64"/>
      <c r="G860" s="64"/>
      <c r="H860" s="64"/>
      <c r="I860" s="64"/>
      <c r="J860" s="64"/>
      <c r="K860" s="64"/>
      <c r="L860" s="64"/>
      <c r="M860" s="64"/>
      <c r="N860" s="127" t="str">
        <f>IF(ISNA(VLOOKUP(Table3[[#This Row],[Ticket]],Table1[],17,FALSE)),"",VLOOKUP(Table3[[#This Row],[Ticket]],Table1[],17,FALSE))</f>
        <v/>
      </c>
      <c r="O860" s="128" t="str">
        <f>IF(Table3[[#This Row],[Actual End Date]]="","",TEXT(Table3[[#This Row],[Actual End Date]],"mmm-yy"))</f>
        <v/>
      </c>
    </row>
    <row r="861" spans="2:15">
      <c r="B861" s="64"/>
      <c r="C861" s="64"/>
      <c r="D861" s="64"/>
      <c r="E861" s="64"/>
      <c r="F861" s="64"/>
      <c r="G861" s="64"/>
      <c r="H861" s="64"/>
      <c r="I861" s="64"/>
      <c r="J861" s="64"/>
      <c r="K861" s="64"/>
      <c r="L861" s="64"/>
      <c r="M861" s="64"/>
      <c r="N861" s="127" t="str">
        <f>IF(ISNA(VLOOKUP(Table3[[#This Row],[Ticket]],Table1[],17,FALSE)),"",VLOOKUP(Table3[[#This Row],[Ticket]],Table1[],17,FALSE))</f>
        <v/>
      </c>
      <c r="O861" s="128" t="str">
        <f>IF(Table3[[#This Row],[Actual End Date]]="","",TEXT(Table3[[#This Row],[Actual End Date]],"mmm-yy"))</f>
        <v/>
      </c>
    </row>
    <row r="862" spans="2:15">
      <c r="B862" s="64"/>
      <c r="C862" s="64"/>
      <c r="D862" s="64"/>
      <c r="E862" s="64"/>
      <c r="F862" s="64"/>
      <c r="G862" s="64"/>
      <c r="H862" s="64"/>
      <c r="I862" s="64"/>
      <c r="J862" s="64"/>
      <c r="K862" s="64"/>
      <c r="L862" s="64"/>
      <c r="M862" s="64"/>
      <c r="N862" s="127" t="str">
        <f>IF(ISNA(VLOOKUP(Table3[[#This Row],[Ticket]],Table1[],17,FALSE)),"",VLOOKUP(Table3[[#This Row],[Ticket]],Table1[],17,FALSE))</f>
        <v/>
      </c>
      <c r="O862" s="128" t="str">
        <f>IF(Table3[[#This Row],[Actual End Date]]="","",TEXT(Table3[[#This Row],[Actual End Date]],"mmm-yy"))</f>
        <v/>
      </c>
    </row>
    <row r="863" spans="2:15">
      <c r="B863" s="64"/>
      <c r="C863" s="64"/>
      <c r="D863" s="64"/>
      <c r="E863" s="64"/>
      <c r="F863" s="64"/>
      <c r="G863" s="64"/>
      <c r="H863" s="64"/>
      <c r="I863" s="64"/>
      <c r="J863" s="64"/>
      <c r="K863" s="64"/>
      <c r="L863" s="64"/>
      <c r="M863" s="64"/>
      <c r="N863" s="127" t="str">
        <f>IF(ISNA(VLOOKUP(Table3[[#This Row],[Ticket]],Table1[],17,FALSE)),"",VLOOKUP(Table3[[#This Row],[Ticket]],Table1[],17,FALSE))</f>
        <v/>
      </c>
      <c r="O863" s="128" t="str">
        <f>IF(Table3[[#This Row],[Actual End Date]]="","",TEXT(Table3[[#This Row],[Actual End Date]],"mmm-yy"))</f>
        <v/>
      </c>
    </row>
    <row r="864" spans="2:15">
      <c r="B864" s="64"/>
      <c r="C864" s="64"/>
      <c r="D864" s="64"/>
      <c r="E864" s="64"/>
      <c r="F864" s="64"/>
      <c r="G864" s="64"/>
      <c r="H864" s="64"/>
      <c r="I864" s="64"/>
      <c r="J864" s="64"/>
      <c r="K864" s="64"/>
      <c r="L864" s="64"/>
      <c r="M864" s="64"/>
      <c r="N864" s="127" t="str">
        <f>IF(ISNA(VLOOKUP(Table3[[#This Row],[Ticket]],Table1[],17,FALSE)),"",VLOOKUP(Table3[[#This Row],[Ticket]],Table1[],17,FALSE))</f>
        <v/>
      </c>
      <c r="O864" s="128" t="str">
        <f>IF(Table3[[#This Row],[Actual End Date]]="","",TEXT(Table3[[#This Row],[Actual End Date]],"mmm-yy"))</f>
        <v/>
      </c>
    </row>
    <row r="865" spans="2:15">
      <c r="B865" s="64"/>
      <c r="C865" s="64"/>
      <c r="D865" s="64"/>
      <c r="E865" s="64"/>
      <c r="F865" s="64"/>
      <c r="G865" s="64"/>
      <c r="H865" s="64"/>
      <c r="I865" s="64"/>
      <c r="J865" s="64"/>
      <c r="K865" s="64"/>
      <c r="L865" s="64"/>
      <c r="M865" s="64"/>
      <c r="N865" s="127" t="str">
        <f>IF(ISNA(VLOOKUP(Table3[[#This Row],[Ticket]],Table1[],17,FALSE)),"",VLOOKUP(Table3[[#This Row],[Ticket]],Table1[],17,FALSE))</f>
        <v/>
      </c>
      <c r="O865" s="128" t="str">
        <f>IF(Table3[[#This Row],[Actual End Date]]="","",TEXT(Table3[[#This Row],[Actual End Date]],"mmm-yy"))</f>
        <v/>
      </c>
    </row>
    <row r="866" spans="2:15">
      <c r="B866" s="64"/>
      <c r="C866" s="64"/>
      <c r="D866" s="64"/>
      <c r="E866" s="64"/>
      <c r="F866" s="64"/>
      <c r="G866" s="64"/>
      <c r="H866" s="64"/>
      <c r="I866" s="64"/>
      <c r="J866" s="64"/>
      <c r="K866" s="64"/>
      <c r="L866" s="64"/>
      <c r="M866" s="64"/>
      <c r="N866" s="127" t="str">
        <f>IF(ISNA(VLOOKUP(Table3[[#This Row],[Ticket]],Table1[],17,FALSE)),"",VLOOKUP(Table3[[#This Row],[Ticket]],Table1[],17,FALSE))</f>
        <v/>
      </c>
      <c r="O866" s="128" t="str">
        <f>IF(Table3[[#This Row],[Actual End Date]]="","",TEXT(Table3[[#This Row],[Actual End Date]],"mmm-yy"))</f>
        <v/>
      </c>
    </row>
    <row r="867" spans="2:15">
      <c r="B867" s="64"/>
      <c r="C867" s="64"/>
      <c r="D867" s="64"/>
      <c r="E867" s="64"/>
      <c r="F867" s="64"/>
      <c r="G867" s="64"/>
      <c r="H867" s="64"/>
      <c r="I867" s="64"/>
      <c r="J867" s="64"/>
      <c r="K867" s="64"/>
      <c r="L867" s="64"/>
      <c r="M867" s="64"/>
      <c r="N867" s="127" t="str">
        <f>IF(ISNA(VLOOKUP(Table3[[#This Row],[Ticket]],Table1[],17,FALSE)),"",VLOOKUP(Table3[[#This Row],[Ticket]],Table1[],17,FALSE))</f>
        <v/>
      </c>
      <c r="O867" s="128" t="str">
        <f>IF(Table3[[#This Row],[Actual End Date]]="","",TEXT(Table3[[#This Row],[Actual End Date]],"mmm-yy"))</f>
        <v/>
      </c>
    </row>
    <row r="868" spans="2:15">
      <c r="B868" s="64"/>
      <c r="C868" s="64"/>
      <c r="D868" s="64"/>
      <c r="E868" s="64"/>
      <c r="F868" s="64"/>
      <c r="G868" s="64"/>
      <c r="H868" s="64"/>
      <c r="I868" s="64"/>
      <c r="J868" s="64"/>
      <c r="K868" s="64"/>
      <c r="L868" s="64"/>
      <c r="M868" s="64"/>
      <c r="N868" s="127" t="str">
        <f>IF(ISNA(VLOOKUP(Table3[[#This Row],[Ticket]],Table1[],17,FALSE)),"",VLOOKUP(Table3[[#This Row],[Ticket]],Table1[],17,FALSE))</f>
        <v/>
      </c>
      <c r="O868" s="128" t="str">
        <f>IF(Table3[[#This Row],[Actual End Date]]="","",TEXT(Table3[[#This Row],[Actual End Date]],"mmm-yy"))</f>
        <v/>
      </c>
    </row>
    <row r="869" spans="2:15">
      <c r="B869" s="64"/>
      <c r="C869" s="64"/>
      <c r="D869" s="64"/>
      <c r="E869" s="64"/>
      <c r="F869" s="64"/>
      <c r="G869" s="64"/>
      <c r="H869" s="64"/>
      <c r="I869" s="64"/>
      <c r="J869" s="64"/>
      <c r="K869" s="64"/>
      <c r="L869" s="64"/>
      <c r="M869" s="64"/>
      <c r="N869" s="127" t="str">
        <f>IF(ISNA(VLOOKUP(Table3[[#This Row],[Ticket]],Table1[],17,FALSE)),"",VLOOKUP(Table3[[#This Row],[Ticket]],Table1[],17,FALSE))</f>
        <v/>
      </c>
      <c r="O869" s="128" t="str">
        <f>IF(Table3[[#This Row],[Actual End Date]]="","",TEXT(Table3[[#This Row],[Actual End Date]],"mmm-yy"))</f>
        <v/>
      </c>
    </row>
    <row r="870" spans="2:15">
      <c r="B870" s="64"/>
      <c r="C870" s="64"/>
      <c r="D870" s="64"/>
      <c r="E870" s="64"/>
      <c r="F870" s="64"/>
      <c r="G870" s="64"/>
      <c r="H870" s="64"/>
      <c r="I870" s="64"/>
      <c r="J870" s="64"/>
      <c r="K870" s="64"/>
      <c r="L870" s="64"/>
      <c r="M870" s="64"/>
      <c r="N870" s="127" t="str">
        <f>IF(ISNA(VLOOKUP(Table3[[#This Row],[Ticket]],Table1[],17,FALSE)),"",VLOOKUP(Table3[[#This Row],[Ticket]],Table1[],17,FALSE))</f>
        <v/>
      </c>
      <c r="O870" s="128" t="str">
        <f>IF(Table3[[#This Row],[Actual End Date]]="","",TEXT(Table3[[#This Row],[Actual End Date]],"mmm-yy"))</f>
        <v/>
      </c>
    </row>
    <row r="871" spans="2:15">
      <c r="B871" s="64"/>
      <c r="C871" s="64"/>
      <c r="D871" s="64"/>
      <c r="E871" s="64"/>
      <c r="F871" s="64"/>
      <c r="G871" s="64"/>
      <c r="H871" s="64"/>
      <c r="I871" s="64"/>
      <c r="J871" s="64"/>
      <c r="K871" s="64"/>
      <c r="L871" s="64"/>
      <c r="M871" s="64"/>
      <c r="N871" s="127" t="str">
        <f>IF(ISNA(VLOOKUP(Table3[[#This Row],[Ticket]],Table1[],17,FALSE)),"",VLOOKUP(Table3[[#This Row],[Ticket]],Table1[],17,FALSE))</f>
        <v/>
      </c>
      <c r="O871" s="128" t="str">
        <f>IF(Table3[[#This Row],[Actual End Date]]="","",TEXT(Table3[[#This Row],[Actual End Date]],"mmm-yy"))</f>
        <v/>
      </c>
    </row>
    <row r="872" spans="2:15">
      <c r="B872" s="64"/>
      <c r="C872" s="64"/>
      <c r="D872" s="64"/>
      <c r="E872" s="64"/>
      <c r="F872" s="64"/>
      <c r="G872" s="64"/>
      <c r="H872" s="64"/>
      <c r="I872" s="64"/>
      <c r="J872" s="64"/>
      <c r="K872" s="64"/>
      <c r="L872" s="64"/>
      <c r="M872" s="64"/>
      <c r="N872" s="127" t="str">
        <f>IF(ISNA(VLOOKUP(Table3[[#This Row],[Ticket]],Table1[],17,FALSE)),"",VLOOKUP(Table3[[#This Row],[Ticket]],Table1[],17,FALSE))</f>
        <v/>
      </c>
      <c r="O872" s="128" t="str">
        <f>IF(Table3[[#This Row],[Actual End Date]]="","",TEXT(Table3[[#This Row],[Actual End Date]],"mmm-yy"))</f>
        <v/>
      </c>
    </row>
    <row r="873" spans="2:15">
      <c r="B873" s="64"/>
      <c r="C873" s="64"/>
      <c r="D873" s="64"/>
      <c r="E873" s="64"/>
      <c r="F873" s="64"/>
      <c r="G873" s="64"/>
      <c r="H873" s="64"/>
      <c r="I873" s="64"/>
      <c r="J873" s="64"/>
      <c r="K873" s="64"/>
      <c r="L873" s="64"/>
      <c r="M873" s="64"/>
      <c r="N873" s="127" t="str">
        <f>IF(ISNA(VLOOKUP(Table3[[#This Row],[Ticket]],Table1[],17,FALSE)),"",VLOOKUP(Table3[[#This Row],[Ticket]],Table1[],17,FALSE))</f>
        <v/>
      </c>
      <c r="O873" s="128" t="str">
        <f>IF(Table3[[#This Row],[Actual End Date]]="","",TEXT(Table3[[#This Row],[Actual End Date]],"mmm-yy"))</f>
        <v/>
      </c>
    </row>
    <row r="874" spans="2:15">
      <c r="B874" s="64"/>
      <c r="C874" s="64"/>
      <c r="D874" s="64"/>
      <c r="E874" s="64"/>
      <c r="F874" s="64"/>
      <c r="G874" s="64"/>
      <c r="H874" s="64"/>
      <c r="I874" s="64"/>
      <c r="J874" s="64"/>
      <c r="K874" s="64"/>
      <c r="L874" s="64"/>
      <c r="M874" s="64"/>
      <c r="N874" s="127" t="str">
        <f>IF(ISNA(VLOOKUP(Table3[[#This Row],[Ticket]],Table1[],17,FALSE)),"",VLOOKUP(Table3[[#This Row],[Ticket]],Table1[],17,FALSE))</f>
        <v/>
      </c>
      <c r="O874" s="128" t="str">
        <f>IF(Table3[[#This Row],[Actual End Date]]="","",TEXT(Table3[[#This Row],[Actual End Date]],"mmm-yy"))</f>
        <v/>
      </c>
    </row>
    <row r="875" spans="2:15">
      <c r="B875" s="64"/>
      <c r="C875" s="64"/>
      <c r="D875" s="64"/>
      <c r="E875" s="64"/>
      <c r="F875" s="64"/>
      <c r="G875" s="64"/>
      <c r="H875" s="64"/>
      <c r="I875" s="64"/>
      <c r="J875" s="64"/>
      <c r="K875" s="64"/>
      <c r="L875" s="64"/>
      <c r="M875" s="64"/>
      <c r="N875" s="127" t="str">
        <f>IF(ISNA(VLOOKUP(Table3[[#This Row],[Ticket]],Table1[],17,FALSE)),"",VLOOKUP(Table3[[#This Row],[Ticket]],Table1[],17,FALSE))</f>
        <v/>
      </c>
      <c r="O875" s="128" t="str">
        <f>IF(Table3[[#This Row],[Actual End Date]]="","",TEXT(Table3[[#This Row],[Actual End Date]],"mmm-yy"))</f>
        <v/>
      </c>
    </row>
    <row r="876" spans="2:15">
      <c r="B876" s="64"/>
      <c r="C876" s="64"/>
      <c r="D876" s="64"/>
      <c r="E876" s="64"/>
      <c r="F876" s="64"/>
      <c r="G876" s="64"/>
      <c r="H876" s="64"/>
      <c r="I876" s="64"/>
      <c r="J876" s="64"/>
      <c r="K876" s="64"/>
      <c r="L876" s="64"/>
      <c r="M876" s="64"/>
      <c r="N876" s="127" t="str">
        <f>IF(ISNA(VLOOKUP(Table3[[#This Row],[Ticket]],Table1[],17,FALSE)),"",VLOOKUP(Table3[[#This Row],[Ticket]],Table1[],17,FALSE))</f>
        <v/>
      </c>
      <c r="O876" s="128" t="str">
        <f>IF(Table3[[#This Row],[Actual End Date]]="","",TEXT(Table3[[#This Row],[Actual End Date]],"mmm-yy"))</f>
        <v/>
      </c>
    </row>
    <row r="877" spans="2:15">
      <c r="B877" s="64"/>
      <c r="C877" s="64"/>
      <c r="D877" s="64"/>
      <c r="E877" s="64"/>
      <c r="F877" s="64"/>
      <c r="G877" s="64"/>
      <c r="H877" s="64"/>
      <c r="I877" s="64"/>
      <c r="J877" s="64"/>
      <c r="K877" s="64"/>
      <c r="L877" s="64"/>
      <c r="M877" s="64"/>
      <c r="N877" s="127" t="str">
        <f>IF(ISNA(VLOOKUP(Table3[[#This Row],[Ticket]],Table1[],17,FALSE)),"",VLOOKUP(Table3[[#This Row],[Ticket]],Table1[],17,FALSE))</f>
        <v/>
      </c>
      <c r="O877" s="128" t="str">
        <f>IF(Table3[[#This Row],[Actual End Date]]="","",TEXT(Table3[[#This Row],[Actual End Date]],"mmm-yy"))</f>
        <v/>
      </c>
    </row>
    <row r="878" spans="2:15">
      <c r="B878" s="64"/>
      <c r="C878" s="64"/>
      <c r="D878" s="64"/>
      <c r="E878" s="64"/>
      <c r="F878" s="64"/>
      <c r="G878" s="64"/>
      <c r="H878" s="64"/>
      <c r="I878" s="64"/>
      <c r="J878" s="64"/>
      <c r="K878" s="64"/>
      <c r="L878" s="64"/>
      <c r="M878" s="64"/>
      <c r="N878" s="127" t="str">
        <f>IF(ISNA(VLOOKUP(Table3[[#This Row],[Ticket]],Table1[],17,FALSE)),"",VLOOKUP(Table3[[#This Row],[Ticket]],Table1[],17,FALSE))</f>
        <v/>
      </c>
      <c r="O878" s="128" t="str">
        <f>IF(Table3[[#This Row],[Actual End Date]]="","",TEXT(Table3[[#This Row],[Actual End Date]],"mmm-yy"))</f>
        <v/>
      </c>
    </row>
    <row r="879" spans="2:15">
      <c r="B879" s="64"/>
      <c r="C879" s="64"/>
      <c r="D879" s="64"/>
      <c r="E879" s="64"/>
      <c r="F879" s="64"/>
      <c r="G879" s="64"/>
      <c r="H879" s="64"/>
      <c r="I879" s="64"/>
      <c r="J879" s="64"/>
      <c r="K879" s="64"/>
      <c r="L879" s="64"/>
      <c r="M879" s="64"/>
      <c r="N879" s="127" t="str">
        <f>IF(ISNA(VLOOKUP(Table3[[#This Row],[Ticket]],Table1[],17,FALSE)),"",VLOOKUP(Table3[[#This Row],[Ticket]],Table1[],17,FALSE))</f>
        <v/>
      </c>
      <c r="O879" s="128" t="str">
        <f>IF(Table3[[#This Row],[Actual End Date]]="","",TEXT(Table3[[#This Row],[Actual End Date]],"mmm-yy"))</f>
        <v/>
      </c>
    </row>
    <row r="880" spans="2:15">
      <c r="B880" s="64"/>
      <c r="C880" s="64"/>
      <c r="D880" s="64"/>
      <c r="E880" s="64"/>
      <c r="F880" s="64"/>
      <c r="G880" s="64"/>
      <c r="H880" s="64"/>
      <c r="I880" s="64"/>
      <c r="J880" s="64"/>
      <c r="K880" s="64"/>
      <c r="L880" s="64"/>
      <c r="M880" s="64"/>
      <c r="N880" s="127" t="str">
        <f>IF(ISNA(VLOOKUP(Table3[[#This Row],[Ticket]],Table1[],17,FALSE)),"",VLOOKUP(Table3[[#This Row],[Ticket]],Table1[],17,FALSE))</f>
        <v/>
      </c>
      <c r="O880" s="128" t="str">
        <f>IF(Table3[[#This Row],[Actual End Date]]="","",TEXT(Table3[[#This Row],[Actual End Date]],"mmm-yy"))</f>
        <v/>
      </c>
    </row>
    <row r="881" spans="2:15">
      <c r="B881" s="64"/>
      <c r="C881" s="64"/>
      <c r="D881" s="64"/>
      <c r="E881" s="64"/>
      <c r="F881" s="64"/>
      <c r="G881" s="64"/>
      <c r="H881" s="64"/>
      <c r="I881" s="64"/>
      <c r="J881" s="64"/>
      <c r="K881" s="64"/>
      <c r="L881" s="64"/>
      <c r="M881" s="64"/>
      <c r="N881" s="127" t="str">
        <f>IF(ISNA(VLOOKUP(Table3[[#This Row],[Ticket]],Table1[],17,FALSE)),"",VLOOKUP(Table3[[#This Row],[Ticket]],Table1[],17,FALSE))</f>
        <v/>
      </c>
      <c r="O881" s="128" t="str">
        <f>IF(Table3[[#This Row],[Actual End Date]]="","",TEXT(Table3[[#This Row],[Actual End Date]],"mmm-yy"))</f>
        <v/>
      </c>
    </row>
    <row r="882" spans="2:15">
      <c r="B882" s="64"/>
      <c r="C882" s="64"/>
      <c r="D882" s="64"/>
      <c r="E882" s="64"/>
      <c r="F882" s="64"/>
      <c r="G882" s="64"/>
      <c r="H882" s="64"/>
      <c r="I882" s="64"/>
      <c r="J882" s="64"/>
      <c r="K882" s="64"/>
      <c r="L882" s="64"/>
      <c r="M882" s="64"/>
      <c r="N882" s="127" t="str">
        <f>IF(ISNA(VLOOKUP(Table3[[#This Row],[Ticket]],Table1[],17,FALSE)),"",VLOOKUP(Table3[[#This Row],[Ticket]],Table1[],17,FALSE))</f>
        <v/>
      </c>
      <c r="O882" s="128" t="str">
        <f>IF(Table3[[#This Row],[Actual End Date]]="","",TEXT(Table3[[#This Row],[Actual End Date]],"mmm-yy"))</f>
        <v/>
      </c>
    </row>
    <row r="883" spans="2:15">
      <c r="B883" s="64"/>
      <c r="C883" s="64"/>
      <c r="D883" s="64"/>
      <c r="E883" s="64"/>
      <c r="F883" s="64"/>
      <c r="G883" s="64"/>
      <c r="H883" s="64"/>
      <c r="I883" s="64"/>
      <c r="J883" s="64"/>
      <c r="K883" s="64"/>
      <c r="L883" s="64"/>
      <c r="M883" s="64"/>
      <c r="N883" s="127" t="str">
        <f>IF(ISNA(VLOOKUP(Table3[[#This Row],[Ticket]],Table1[],17,FALSE)),"",VLOOKUP(Table3[[#This Row],[Ticket]],Table1[],17,FALSE))</f>
        <v/>
      </c>
      <c r="O883" s="128" t="str">
        <f>IF(Table3[[#This Row],[Actual End Date]]="","",TEXT(Table3[[#This Row],[Actual End Date]],"mmm-yy"))</f>
        <v/>
      </c>
    </row>
    <row r="884" spans="2:15">
      <c r="B884" s="64"/>
      <c r="C884" s="64"/>
      <c r="D884" s="64"/>
      <c r="E884" s="64"/>
      <c r="F884" s="64"/>
      <c r="G884" s="64"/>
      <c r="H884" s="64"/>
      <c r="I884" s="64"/>
      <c r="J884" s="64"/>
      <c r="K884" s="64"/>
      <c r="L884" s="64"/>
      <c r="M884" s="64"/>
      <c r="N884" s="127" t="str">
        <f>IF(ISNA(VLOOKUP(Table3[[#This Row],[Ticket]],Table1[],17,FALSE)),"",VLOOKUP(Table3[[#This Row],[Ticket]],Table1[],17,FALSE))</f>
        <v/>
      </c>
      <c r="O884" s="128" t="str">
        <f>IF(Table3[[#This Row],[Actual End Date]]="","",TEXT(Table3[[#This Row],[Actual End Date]],"mmm-yy"))</f>
        <v/>
      </c>
    </row>
    <row r="885" spans="2:15">
      <c r="B885" s="64"/>
      <c r="C885" s="64"/>
      <c r="D885" s="64"/>
      <c r="E885" s="64"/>
      <c r="F885" s="64"/>
      <c r="G885" s="64"/>
      <c r="H885" s="64"/>
      <c r="I885" s="64"/>
      <c r="J885" s="64"/>
      <c r="K885" s="64"/>
      <c r="L885" s="64"/>
      <c r="M885" s="64"/>
      <c r="N885" s="127" t="str">
        <f>IF(ISNA(VLOOKUP(Table3[[#This Row],[Ticket]],Table1[],17,FALSE)),"",VLOOKUP(Table3[[#This Row],[Ticket]],Table1[],17,FALSE))</f>
        <v/>
      </c>
      <c r="O885" s="128" t="str">
        <f>IF(Table3[[#This Row],[Actual End Date]]="","",TEXT(Table3[[#This Row],[Actual End Date]],"mmm-yy"))</f>
        <v/>
      </c>
    </row>
    <row r="886" spans="2:15">
      <c r="B886" s="64"/>
      <c r="C886" s="64"/>
      <c r="D886" s="64"/>
      <c r="E886" s="64"/>
      <c r="F886" s="64"/>
      <c r="G886" s="64"/>
      <c r="H886" s="64"/>
      <c r="I886" s="64"/>
      <c r="J886" s="64"/>
      <c r="K886" s="64"/>
      <c r="L886" s="64"/>
      <c r="M886" s="64"/>
      <c r="N886" s="127" t="str">
        <f>IF(ISNA(VLOOKUP(Table3[[#This Row],[Ticket]],Table1[],17,FALSE)),"",VLOOKUP(Table3[[#This Row],[Ticket]],Table1[],17,FALSE))</f>
        <v/>
      </c>
      <c r="O886" s="128" t="str">
        <f>IF(Table3[[#This Row],[Actual End Date]]="","",TEXT(Table3[[#This Row],[Actual End Date]],"mmm-yy"))</f>
        <v/>
      </c>
    </row>
    <row r="887" spans="2:15">
      <c r="B887" s="64"/>
      <c r="C887" s="64"/>
      <c r="D887" s="64"/>
      <c r="E887" s="64"/>
      <c r="F887" s="64"/>
      <c r="G887" s="64"/>
      <c r="H887" s="64"/>
      <c r="I887" s="64"/>
      <c r="J887" s="64"/>
      <c r="K887" s="64"/>
      <c r="L887" s="64"/>
      <c r="M887" s="64"/>
      <c r="N887" s="127" t="str">
        <f>IF(ISNA(VLOOKUP(Table3[[#This Row],[Ticket]],Table1[],17,FALSE)),"",VLOOKUP(Table3[[#This Row],[Ticket]],Table1[],17,FALSE))</f>
        <v/>
      </c>
      <c r="O887" s="128" t="str">
        <f>IF(Table3[[#This Row],[Actual End Date]]="","",TEXT(Table3[[#This Row],[Actual End Date]],"mmm-yy"))</f>
        <v/>
      </c>
    </row>
    <row r="888" spans="2:15">
      <c r="B888" s="64"/>
      <c r="C888" s="64"/>
      <c r="D888" s="64"/>
      <c r="E888" s="64"/>
      <c r="F888" s="64"/>
      <c r="G888" s="64"/>
      <c r="H888" s="64"/>
      <c r="I888" s="64"/>
      <c r="J888" s="64"/>
      <c r="K888" s="64"/>
      <c r="L888" s="64"/>
      <c r="M888" s="64"/>
      <c r="N888" s="127" t="str">
        <f>IF(ISNA(VLOOKUP(Table3[[#This Row],[Ticket]],Table1[],17,FALSE)),"",VLOOKUP(Table3[[#This Row],[Ticket]],Table1[],17,FALSE))</f>
        <v/>
      </c>
      <c r="O888" s="128" t="str">
        <f>IF(Table3[[#This Row],[Actual End Date]]="","",TEXT(Table3[[#This Row],[Actual End Date]],"mmm-yy"))</f>
        <v/>
      </c>
    </row>
    <row r="889" spans="2:15">
      <c r="B889" s="64"/>
      <c r="C889" s="64"/>
      <c r="D889" s="64"/>
      <c r="E889" s="64"/>
      <c r="F889" s="64"/>
      <c r="G889" s="64"/>
      <c r="H889" s="64"/>
      <c r="I889" s="64"/>
      <c r="J889" s="64"/>
      <c r="K889" s="64"/>
      <c r="L889" s="64"/>
      <c r="M889" s="64"/>
      <c r="N889" s="127" t="str">
        <f>IF(ISNA(VLOOKUP(Table3[[#This Row],[Ticket]],Table1[],17,FALSE)),"",VLOOKUP(Table3[[#This Row],[Ticket]],Table1[],17,FALSE))</f>
        <v/>
      </c>
      <c r="O889" s="128" t="str">
        <f>IF(Table3[[#This Row],[Actual End Date]]="","",TEXT(Table3[[#This Row],[Actual End Date]],"mmm-yy"))</f>
        <v/>
      </c>
    </row>
    <row r="890" spans="2:15">
      <c r="B890" s="64"/>
      <c r="C890" s="64"/>
      <c r="D890" s="64"/>
      <c r="E890" s="64"/>
      <c r="F890" s="64"/>
      <c r="G890" s="64"/>
      <c r="H890" s="64"/>
      <c r="I890" s="64"/>
      <c r="J890" s="64"/>
      <c r="K890" s="64"/>
      <c r="L890" s="64"/>
      <c r="M890" s="64"/>
      <c r="N890" s="127" t="str">
        <f>IF(ISNA(VLOOKUP(Table3[[#This Row],[Ticket]],Table1[],17,FALSE)),"",VLOOKUP(Table3[[#This Row],[Ticket]],Table1[],17,FALSE))</f>
        <v/>
      </c>
      <c r="O890" s="128" t="str">
        <f>IF(Table3[[#This Row],[Actual End Date]]="","",TEXT(Table3[[#This Row],[Actual End Date]],"mmm-yy"))</f>
        <v/>
      </c>
    </row>
    <row r="891" spans="2:15">
      <c r="B891" s="64"/>
      <c r="C891" s="64"/>
      <c r="D891" s="64"/>
      <c r="E891" s="64"/>
      <c r="F891" s="64"/>
      <c r="G891" s="64"/>
      <c r="H891" s="64"/>
      <c r="I891" s="64"/>
      <c r="J891" s="64"/>
      <c r="K891" s="64"/>
      <c r="L891" s="64"/>
      <c r="M891" s="64"/>
      <c r="N891" s="127" t="str">
        <f>IF(ISNA(VLOOKUP(Table3[[#This Row],[Ticket]],Table1[],17,FALSE)),"",VLOOKUP(Table3[[#This Row],[Ticket]],Table1[],17,FALSE))</f>
        <v/>
      </c>
      <c r="O891" s="128" t="str">
        <f>IF(Table3[[#This Row],[Actual End Date]]="","",TEXT(Table3[[#This Row],[Actual End Date]],"mmm-yy"))</f>
        <v/>
      </c>
    </row>
    <row r="892" spans="2:15">
      <c r="B892" s="64"/>
      <c r="C892" s="64"/>
      <c r="D892" s="64"/>
      <c r="E892" s="64"/>
      <c r="F892" s="64"/>
      <c r="G892" s="64"/>
      <c r="H892" s="64"/>
      <c r="I892" s="64"/>
      <c r="J892" s="64"/>
      <c r="K892" s="64"/>
      <c r="L892" s="64"/>
      <c r="M892" s="64"/>
      <c r="N892" s="127" t="str">
        <f>IF(ISNA(VLOOKUP(Table3[[#This Row],[Ticket]],Table1[],17,FALSE)),"",VLOOKUP(Table3[[#This Row],[Ticket]],Table1[],17,FALSE))</f>
        <v/>
      </c>
      <c r="O892" s="128" t="str">
        <f>IF(Table3[[#This Row],[Actual End Date]]="","",TEXT(Table3[[#This Row],[Actual End Date]],"mmm-yy"))</f>
        <v/>
      </c>
    </row>
    <row r="893" spans="2:15">
      <c r="B893" s="64"/>
      <c r="C893" s="64"/>
      <c r="D893" s="64"/>
      <c r="E893" s="64"/>
      <c r="F893" s="64"/>
      <c r="G893" s="64"/>
      <c r="H893" s="64"/>
      <c r="I893" s="64"/>
      <c r="J893" s="64"/>
      <c r="K893" s="64"/>
      <c r="L893" s="64"/>
      <c r="M893" s="64"/>
      <c r="N893" s="127" t="str">
        <f>IF(ISNA(VLOOKUP(Table3[[#This Row],[Ticket]],Table1[],17,FALSE)),"",VLOOKUP(Table3[[#This Row],[Ticket]],Table1[],17,FALSE))</f>
        <v/>
      </c>
      <c r="O893" s="128" t="str">
        <f>IF(Table3[[#This Row],[Actual End Date]]="","",TEXT(Table3[[#This Row],[Actual End Date]],"mmm-yy"))</f>
        <v/>
      </c>
    </row>
    <row r="894" spans="2:15">
      <c r="B894" s="64"/>
      <c r="C894" s="64"/>
      <c r="D894" s="64"/>
      <c r="E894" s="64"/>
      <c r="F894" s="64"/>
      <c r="G894" s="64"/>
      <c r="H894" s="64"/>
      <c r="I894" s="64"/>
      <c r="J894" s="64"/>
      <c r="K894" s="64"/>
      <c r="L894" s="64"/>
      <c r="M894" s="64"/>
      <c r="N894" s="127" t="str">
        <f>IF(ISNA(VLOOKUP(Table3[[#This Row],[Ticket]],Table1[],17,FALSE)),"",VLOOKUP(Table3[[#This Row],[Ticket]],Table1[],17,FALSE))</f>
        <v/>
      </c>
      <c r="O894" s="128" t="str">
        <f>IF(Table3[[#This Row],[Actual End Date]]="","",TEXT(Table3[[#This Row],[Actual End Date]],"mmm-yy"))</f>
        <v/>
      </c>
    </row>
    <row r="895" spans="2:15">
      <c r="B895" s="64"/>
      <c r="C895" s="64"/>
      <c r="D895" s="64"/>
      <c r="E895" s="64"/>
      <c r="F895" s="64"/>
      <c r="G895" s="64"/>
      <c r="H895" s="64"/>
      <c r="I895" s="64"/>
      <c r="J895" s="64"/>
      <c r="K895" s="64"/>
      <c r="L895" s="64"/>
      <c r="M895" s="64"/>
      <c r="N895" s="127" t="str">
        <f>IF(ISNA(VLOOKUP(Table3[[#This Row],[Ticket]],Table1[],17,FALSE)),"",VLOOKUP(Table3[[#This Row],[Ticket]],Table1[],17,FALSE))</f>
        <v/>
      </c>
      <c r="O895" s="128" t="str">
        <f>IF(Table3[[#This Row],[Actual End Date]]="","",TEXT(Table3[[#This Row],[Actual End Date]],"mmm-yy"))</f>
        <v/>
      </c>
    </row>
    <row r="896" spans="2:15">
      <c r="B896" s="64"/>
      <c r="C896" s="64"/>
      <c r="D896" s="64"/>
      <c r="E896" s="64"/>
      <c r="F896" s="64"/>
      <c r="G896" s="64"/>
      <c r="H896" s="64"/>
      <c r="I896" s="64"/>
      <c r="J896" s="64"/>
      <c r="K896" s="64"/>
      <c r="L896" s="64"/>
      <c r="M896" s="64"/>
      <c r="N896" s="127" t="str">
        <f>IF(ISNA(VLOOKUP(Table3[[#This Row],[Ticket]],Table1[],17,FALSE)),"",VLOOKUP(Table3[[#This Row],[Ticket]],Table1[],17,FALSE))</f>
        <v/>
      </c>
      <c r="O896" s="128" t="str">
        <f>IF(Table3[[#This Row],[Actual End Date]]="","",TEXT(Table3[[#This Row],[Actual End Date]],"mmm-yy"))</f>
        <v/>
      </c>
    </row>
    <row r="897" spans="2:15">
      <c r="B897" s="64"/>
      <c r="C897" s="64"/>
      <c r="D897" s="64"/>
      <c r="E897" s="64"/>
      <c r="F897" s="64"/>
      <c r="G897" s="64"/>
      <c r="H897" s="64"/>
      <c r="I897" s="64"/>
      <c r="J897" s="64"/>
      <c r="K897" s="64"/>
      <c r="L897" s="64"/>
      <c r="M897" s="64"/>
      <c r="N897" s="127" t="str">
        <f>IF(ISNA(VLOOKUP(Table3[[#This Row],[Ticket]],Table1[],17,FALSE)),"",VLOOKUP(Table3[[#This Row],[Ticket]],Table1[],17,FALSE))</f>
        <v/>
      </c>
      <c r="O897" s="128" t="str">
        <f>IF(Table3[[#This Row],[Actual End Date]]="","",TEXT(Table3[[#This Row],[Actual End Date]],"mmm-yy"))</f>
        <v/>
      </c>
    </row>
    <row r="898" spans="2:15">
      <c r="B898" s="64"/>
      <c r="C898" s="64"/>
      <c r="D898" s="64"/>
      <c r="E898" s="64"/>
      <c r="F898" s="64"/>
      <c r="G898" s="64"/>
      <c r="H898" s="64"/>
      <c r="I898" s="64"/>
      <c r="J898" s="64"/>
      <c r="K898" s="64"/>
      <c r="L898" s="64"/>
      <c r="M898" s="64"/>
      <c r="N898" s="127" t="str">
        <f>IF(ISNA(VLOOKUP(Table3[[#This Row],[Ticket]],Table1[],17,FALSE)),"",VLOOKUP(Table3[[#This Row],[Ticket]],Table1[],17,FALSE))</f>
        <v/>
      </c>
      <c r="O898" s="128" t="str">
        <f>IF(Table3[[#This Row],[Actual End Date]]="","",TEXT(Table3[[#This Row],[Actual End Date]],"mmm-yy"))</f>
        <v/>
      </c>
    </row>
    <row r="899" spans="2:15">
      <c r="B899" s="64"/>
      <c r="C899" s="64"/>
      <c r="D899" s="64"/>
      <c r="E899" s="64"/>
      <c r="F899" s="64"/>
      <c r="G899" s="64"/>
      <c r="H899" s="64"/>
      <c r="I899" s="64"/>
      <c r="J899" s="64"/>
      <c r="K899" s="64"/>
      <c r="L899" s="64"/>
      <c r="M899" s="64"/>
      <c r="N899" s="127" t="str">
        <f>IF(ISNA(VLOOKUP(Table3[[#This Row],[Ticket]],Table1[],17,FALSE)),"",VLOOKUP(Table3[[#This Row],[Ticket]],Table1[],17,FALSE))</f>
        <v/>
      </c>
      <c r="O899" s="128" t="str">
        <f>IF(Table3[[#This Row],[Actual End Date]]="","",TEXT(Table3[[#This Row],[Actual End Date]],"mmm-yy"))</f>
        <v/>
      </c>
    </row>
    <row r="900" spans="2:15">
      <c r="B900" s="64"/>
      <c r="C900" s="64"/>
      <c r="D900" s="64"/>
      <c r="E900" s="64"/>
      <c r="F900" s="64"/>
      <c r="G900" s="64"/>
      <c r="H900" s="64"/>
      <c r="I900" s="64"/>
      <c r="J900" s="64"/>
      <c r="K900" s="64"/>
      <c r="L900" s="64"/>
      <c r="M900" s="64"/>
      <c r="N900" s="127" t="str">
        <f>IF(ISNA(VLOOKUP(Table3[[#This Row],[Ticket]],Table1[],17,FALSE)),"",VLOOKUP(Table3[[#This Row],[Ticket]],Table1[],17,FALSE))</f>
        <v/>
      </c>
      <c r="O900" s="128" t="str">
        <f>IF(Table3[[#This Row],[Actual End Date]]="","",TEXT(Table3[[#This Row],[Actual End Date]],"mmm-yy"))</f>
        <v/>
      </c>
    </row>
    <row r="901" spans="2:15">
      <c r="B901" s="64"/>
      <c r="C901" s="64"/>
      <c r="D901" s="64"/>
      <c r="E901" s="64"/>
      <c r="F901" s="64"/>
      <c r="G901" s="64"/>
      <c r="H901" s="64"/>
      <c r="I901" s="64"/>
      <c r="J901" s="64"/>
      <c r="K901" s="64"/>
      <c r="L901" s="64"/>
      <c r="M901" s="64"/>
      <c r="N901" s="127" t="str">
        <f>IF(ISNA(VLOOKUP(Table3[[#This Row],[Ticket]],Table1[],17,FALSE)),"",VLOOKUP(Table3[[#This Row],[Ticket]],Table1[],17,FALSE))</f>
        <v/>
      </c>
      <c r="O901" s="128" t="str">
        <f>IF(Table3[[#This Row],[Actual End Date]]="","",TEXT(Table3[[#This Row],[Actual End Date]],"mmm-yy"))</f>
        <v/>
      </c>
    </row>
    <row r="902" spans="2:15">
      <c r="B902" s="64"/>
      <c r="C902" s="64"/>
      <c r="D902" s="64"/>
      <c r="E902" s="64"/>
      <c r="F902" s="64"/>
      <c r="G902" s="64"/>
      <c r="H902" s="64"/>
      <c r="I902" s="64"/>
      <c r="J902" s="64"/>
      <c r="K902" s="64"/>
      <c r="L902" s="64"/>
      <c r="M902" s="64"/>
      <c r="N902" s="127" t="str">
        <f>IF(ISNA(VLOOKUP(Table3[[#This Row],[Ticket]],Table1[],17,FALSE)),"",VLOOKUP(Table3[[#This Row],[Ticket]],Table1[],17,FALSE))</f>
        <v/>
      </c>
      <c r="O902" s="128" t="str">
        <f>IF(Table3[[#This Row],[Actual End Date]]="","",TEXT(Table3[[#This Row],[Actual End Date]],"mmm-yy"))</f>
        <v/>
      </c>
    </row>
    <row r="903" spans="2:15">
      <c r="B903" s="64"/>
      <c r="C903" s="64"/>
      <c r="D903" s="64"/>
      <c r="E903" s="64"/>
      <c r="F903" s="64"/>
      <c r="G903" s="64"/>
      <c r="H903" s="64"/>
      <c r="I903" s="64"/>
      <c r="J903" s="64"/>
      <c r="K903" s="64"/>
      <c r="L903" s="64"/>
      <c r="M903" s="64"/>
      <c r="N903" s="127" t="str">
        <f>IF(ISNA(VLOOKUP(Table3[[#This Row],[Ticket]],Table1[],17,FALSE)),"",VLOOKUP(Table3[[#This Row],[Ticket]],Table1[],17,FALSE))</f>
        <v/>
      </c>
      <c r="O903" s="128" t="str">
        <f>IF(Table3[[#This Row],[Actual End Date]]="","",TEXT(Table3[[#This Row],[Actual End Date]],"mmm-yy"))</f>
        <v/>
      </c>
    </row>
    <row r="904" spans="2:15">
      <c r="B904" s="64"/>
      <c r="C904" s="64"/>
      <c r="D904" s="64"/>
      <c r="E904" s="64"/>
      <c r="F904" s="64"/>
      <c r="G904" s="64"/>
      <c r="H904" s="64"/>
      <c r="I904" s="64"/>
      <c r="J904" s="64"/>
      <c r="K904" s="64"/>
      <c r="L904" s="64"/>
      <c r="M904" s="64"/>
      <c r="N904" s="127" t="str">
        <f>IF(ISNA(VLOOKUP(Table3[[#This Row],[Ticket]],Table1[],17,FALSE)),"",VLOOKUP(Table3[[#This Row],[Ticket]],Table1[],17,FALSE))</f>
        <v/>
      </c>
      <c r="O904" s="128" t="str">
        <f>IF(Table3[[#This Row],[Actual End Date]]="","",TEXT(Table3[[#This Row],[Actual End Date]],"mmm-yy"))</f>
        <v/>
      </c>
    </row>
    <row r="905" spans="2:15">
      <c r="B905" s="64"/>
      <c r="C905" s="64"/>
      <c r="D905" s="64"/>
      <c r="E905" s="64"/>
      <c r="F905" s="64"/>
      <c r="G905" s="64"/>
      <c r="H905" s="64"/>
      <c r="I905" s="64"/>
      <c r="J905" s="64"/>
      <c r="K905" s="64"/>
      <c r="L905" s="64"/>
      <c r="M905" s="64"/>
      <c r="N905" s="127" t="str">
        <f>IF(ISNA(VLOOKUP(Table3[[#This Row],[Ticket]],Table1[],17,FALSE)),"",VLOOKUP(Table3[[#This Row],[Ticket]],Table1[],17,FALSE))</f>
        <v/>
      </c>
      <c r="O905" s="128" t="str">
        <f>IF(Table3[[#This Row],[Actual End Date]]="","",TEXT(Table3[[#This Row],[Actual End Date]],"mmm-yy"))</f>
        <v/>
      </c>
    </row>
    <row r="906" spans="2:15">
      <c r="B906" s="64"/>
      <c r="C906" s="64"/>
      <c r="D906" s="64"/>
      <c r="E906" s="64"/>
      <c r="F906" s="64"/>
      <c r="G906" s="64"/>
      <c r="H906" s="64"/>
      <c r="I906" s="64"/>
      <c r="J906" s="64"/>
      <c r="K906" s="64"/>
      <c r="L906" s="64"/>
      <c r="M906" s="64"/>
      <c r="N906" s="127" t="str">
        <f>IF(ISNA(VLOOKUP(Table3[[#This Row],[Ticket]],Table1[],17,FALSE)),"",VLOOKUP(Table3[[#This Row],[Ticket]],Table1[],17,FALSE))</f>
        <v/>
      </c>
      <c r="O906" s="128" t="str">
        <f>IF(Table3[[#This Row],[Actual End Date]]="","",TEXT(Table3[[#This Row],[Actual End Date]],"mmm-yy"))</f>
        <v/>
      </c>
    </row>
    <row r="907" spans="2:15">
      <c r="B907" s="64"/>
      <c r="C907" s="64"/>
      <c r="D907" s="64"/>
      <c r="E907" s="64"/>
      <c r="F907" s="64"/>
      <c r="G907" s="64"/>
      <c r="H907" s="64"/>
      <c r="I907" s="64"/>
      <c r="J907" s="64"/>
      <c r="K907" s="64"/>
      <c r="L907" s="64"/>
      <c r="M907" s="64"/>
      <c r="N907" s="127" t="str">
        <f>IF(ISNA(VLOOKUP(Table3[[#This Row],[Ticket]],Table1[],17,FALSE)),"",VLOOKUP(Table3[[#This Row],[Ticket]],Table1[],17,FALSE))</f>
        <v/>
      </c>
      <c r="O907" s="128" t="str">
        <f>IF(Table3[[#This Row],[Actual End Date]]="","",TEXT(Table3[[#This Row],[Actual End Date]],"mmm-yy"))</f>
        <v/>
      </c>
    </row>
    <row r="908" spans="2:15">
      <c r="B908" s="64"/>
      <c r="C908" s="64"/>
      <c r="D908" s="64"/>
      <c r="E908" s="64"/>
      <c r="F908" s="64"/>
      <c r="G908" s="64"/>
      <c r="H908" s="64"/>
      <c r="I908" s="64"/>
      <c r="J908" s="64"/>
      <c r="K908" s="64"/>
      <c r="L908" s="64"/>
      <c r="M908" s="64"/>
      <c r="N908" s="127" t="str">
        <f>IF(ISNA(VLOOKUP(Table3[[#This Row],[Ticket]],Table1[],17,FALSE)),"",VLOOKUP(Table3[[#This Row],[Ticket]],Table1[],17,FALSE))</f>
        <v/>
      </c>
      <c r="O908" s="128" t="str">
        <f>IF(Table3[[#This Row],[Actual End Date]]="","",TEXT(Table3[[#This Row],[Actual End Date]],"mmm-yy"))</f>
        <v/>
      </c>
    </row>
    <row r="909" spans="2:15">
      <c r="B909" s="64"/>
      <c r="C909" s="64"/>
      <c r="D909" s="64"/>
      <c r="E909" s="64"/>
      <c r="F909" s="64"/>
      <c r="G909" s="64"/>
      <c r="H909" s="64"/>
      <c r="I909" s="64"/>
      <c r="J909" s="64"/>
      <c r="K909" s="64"/>
      <c r="L909" s="64"/>
      <c r="M909" s="64"/>
      <c r="N909" s="127" t="str">
        <f>IF(ISNA(VLOOKUP(Table3[[#This Row],[Ticket]],Table1[],17,FALSE)),"",VLOOKUP(Table3[[#This Row],[Ticket]],Table1[],17,FALSE))</f>
        <v/>
      </c>
      <c r="O909" s="128" t="str">
        <f>IF(Table3[[#This Row],[Actual End Date]]="","",TEXT(Table3[[#This Row],[Actual End Date]],"mmm-yy"))</f>
        <v/>
      </c>
    </row>
    <row r="910" spans="2:15">
      <c r="B910" s="64"/>
      <c r="C910" s="64"/>
      <c r="D910" s="64"/>
      <c r="E910" s="64"/>
      <c r="F910" s="64"/>
      <c r="G910" s="64"/>
      <c r="H910" s="64"/>
      <c r="I910" s="64"/>
      <c r="J910" s="64"/>
      <c r="K910" s="64"/>
      <c r="L910" s="64"/>
      <c r="M910" s="64"/>
      <c r="N910" s="127" t="str">
        <f>IF(ISNA(VLOOKUP(Table3[[#This Row],[Ticket]],Table1[],17,FALSE)),"",VLOOKUP(Table3[[#This Row],[Ticket]],Table1[],17,FALSE))</f>
        <v/>
      </c>
      <c r="O910" s="128" t="str">
        <f>IF(Table3[[#This Row],[Actual End Date]]="","",TEXT(Table3[[#This Row],[Actual End Date]],"mmm-yy"))</f>
        <v/>
      </c>
    </row>
    <row r="911" spans="2:15">
      <c r="B911" s="64"/>
      <c r="C911" s="64"/>
      <c r="D911" s="64"/>
      <c r="E911" s="64"/>
      <c r="F911" s="64"/>
      <c r="G911" s="64"/>
      <c r="H911" s="64"/>
      <c r="I911" s="64"/>
      <c r="J911" s="64"/>
      <c r="K911" s="64"/>
      <c r="L911" s="64"/>
      <c r="M911" s="64"/>
      <c r="N911" s="127" t="str">
        <f>IF(ISNA(VLOOKUP(Table3[[#This Row],[Ticket]],Table1[],17,FALSE)),"",VLOOKUP(Table3[[#This Row],[Ticket]],Table1[],17,FALSE))</f>
        <v/>
      </c>
      <c r="O911" s="128" t="str">
        <f>IF(Table3[[#This Row],[Actual End Date]]="","",TEXT(Table3[[#This Row],[Actual End Date]],"mmm-yy"))</f>
        <v/>
      </c>
    </row>
    <row r="912" spans="2:15">
      <c r="B912" s="64"/>
      <c r="C912" s="64"/>
      <c r="D912" s="64"/>
      <c r="E912" s="64"/>
      <c r="F912" s="64"/>
      <c r="G912" s="64"/>
      <c r="H912" s="64"/>
      <c r="I912" s="64"/>
      <c r="J912" s="64"/>
      <c r="K912" s="64"/>
      <c r="L912" s="64"/>
      <c r="M912" s="64"/>
      <c r="N912" s="127" t="str">
        <f>IF(ISNA(VLOOKUP(Table3[[#This Row],[Ticket]],Table1[],17,FALSE)),"",VLOOKUP(Table3[[#This Row],[Ticket]],Table1[],17,FALSE))</f>
        <v/>
      </c>
      <c r="O912" s="128" t="str">
        <f>IF(Table3[[#This Row],[Actual End Date]]="","",TEXT(Table3[[#This Row],[Actual End Date]],"mmm-yy"))</f>
        <v/>
      </c>
    </row>
    <row r="913" spans="2:15">
      <c r="B913" s="64"/>
      <c r="C913" s="64"/>
      <c r="D913" s="64"/>
      <c r="E913" s="64"/>
      <c r="F913" s="64"/>
      <c r="G913" s="64"/>
      <c r="H913" s="64"/>
      <c r="I913" s="64"/>
      <c r="J913" s="64"/>
      <c r="K913" s="64"/>
      <c r="L913" s="64"/>
      <c r="M913" s="64"/>
      <c r="N913" s="127" t="str">
        <f>IF(ISNA(VLOOKUP(Table3[[#This Row],[Ticket]],Table1[],17,FALSE)),"",VLOOKUP(Table3[[#This Row],[Ticket]],Table1[],17,FALSE))</f>
        <v/>
      </c>
      <c r="O913" s="128" t="str">
        <f>IF(Table3[[#This Row],[Actual End Date]]="","",TEXT(Table3[[#This Row],[Actual End Date]],"mmm-yy"))</f>
        <v/>
      </c>
    </row>
    <row r="914" spans="2:15">
      <c r="B914" s="64"/>
      <c r="C914" s="64"/>
      <c r="D914" s="64"/>
      <c r="E914" s="64"/>
      <c r="F914" s="64"/>
      <c r="G914" s="64"/>
      <c r="H914" s="64"/>
      <c r="I914" s="64"/>
      <c r="J914" s="64"/>
      <c r="K914" s="64"/>
      <c r="L914" s="64"/>
      <c r="M914" s="64"/>
      <c r="N914" s="127" t="str">
        <f>IF(ISNA(VLOOKUP(Table3[[#This Row],[Ticket]],Table1[],17,FALSE)),"",VLOOKUP(Table3[[#This Row],[Ticket]],Table1[],17,FALSE))</f>
        <v/>
      </c>
      <c r="O914" s="128" t="str">
        <f>IF(Table3[[#This Row],[Actual End Date]]="","",TEXT(Table3[[#This Row],[Actual End Date]],"mmm-yy"))</f>
        <v/>
      </c>
    </row>
    <row r="915" spans="2:15">
      <c r="B915" s="64"/>
      <c r="C915" s="64"/>
      <c r="D915" s="64"/>
      <c r="E915" s="64"/>
      <c r="F915" s="64"/>
      <c r="G915" s="64"/>
      <c r="H915" s="64"/>
      <c r="I915" s="64"/>
      <c r="J915" s="64"/>
      <c r="K915" s="64"/>
      <c r="L915" s="64"/>
      <c r="M915" s="64"/>
      <c r="N915" s="127" t="str">
        <f>IF(ISNA(VLOOKUP(Table3[[#This Row],[Ticket]],Table1[],17,FALSE)),"",VLOOKUP(Table3[[#This Row],[Ticket]],Table1[],17,FALSE))</f>
        <v/>
      </c>
      <c r="O915" s="128" t="str">
        <f>IF(Table3[[#This Row],[Actual End Date]]="","",TEXT(Table3[[#This Row],[Actual End Date]],"mmm-yy"))</f>
        <v/>
      </c>
    </row>
    <row r="916" spans="2:15">
      <c r="B916" s="64"/>
      <c r="C916" s="64"/>
      <c r="D916" s="64"/>
      <c r="E916" s="64"/>
      <c r="F916" s="64"/>
      <c r="G916" s="64"/>
      <c r="H916" s="64"/>
      <c r="I916" s="64"/>
      <c r="J916" s="64"/>
      <c r="K916" s="64"/>
      <c r="L916" s="64"/>
      <c r="M916" s="64"/>
      <c r="N916" s="127" t="str">
        <f>IF(ISNA(VLOOKUP(Table3[[#This Row],[Ticket]],Table1[],17,FALSE)),"",VLOOKUP(Table3[[#This Row],[Ticket]],Table1[],17,FALSE))</f>
        <v/>
      </c>
      <c r="O916" s="128" t="str">
        <f>IF(Table3[[#This Row],[Actual End Date]]="","",TEXT(Table3[[#This Row],[Actual End Date]],"mmm-yy"))</f>
        <v/>
      </c>
    </row>
    <row r="917" spans="2:15">
      <c r="B917" s="64"/>
      <c r="C917" s="64"/>
      <c r="D917" s="64"/>
      <c r="E917" s="64"/>
      <c r="F917" s="64"/>
      <c r="G917" s="64"/>
      <c r="H917" s="64"/>
      <c r="I917" s="64"/>
      <c r="J917" s="64"/>
      <c r="K917" s="64"/>
      <c r="L917" s="64"/>
      <c r="M917" s="64"/>
      <c r="N917" s="127" t="str">
        <f>IF(ISNA(VLOOKUP(Table3[[#This Row],[Ticket]],Table1[],17,FALSE)),"",VLOOKUP(Table3[[#This Row],[Ticket]],Table1[],17,FALSE))</f>
        <v/>
      </c>
      <c r="O917" s="128" t="str">
        <f>IF(Table3[[#This Row],[Actual End Date]]="","",TEXT(Table3[[#This Row],[Actual End Date]],"mmm-yy"))</f>
        <v/>
      </c>
    </row>
    <row r="918" spans="2:15">
      <c r="B918" s="64"/>
      <c r="C918" s="64"/>
      <c r="D918" s="64"/>
      <c r="E918" s="64"/>
      <c r="F918" s="64"/>
      <c r="G918" s="64"/>
      <c r="H918" s="64"/>
      <c r="I918" s="64"/>
      <c r="J918" s="64"/>
      <c r="K918" s="64"/>
      <c r="L918" s="64"/>
      <c r="M918" s="64"/>
      <c r="N918" s="127" t="str">
        <f>IF(ISNA(VLOOKUP(Table3[[#This Row],[Ticket]],Table1[],17,FALSE)),"",VLOOKUP(Table3[[#This Row],[Ticket]],Table1[],17,FALSE))</f>
        <v/>
      </c>
      <c r="O918" s="128" t="str">
        <f>IF(Table3[[#This Row],[Actual End Date]]="","",TEXT(Table3[[#This Row],[Actual End Date]],"mmm-yy"))</f>
        <v/>
      </c>
    </row>
    <row r="919" spans="2:15">
      <c r="B919" s="64"/>
      <c r="C919" s="64"/>
      <c r="D919" s="64"/>
      <c r="E919" s="64"/>
      <c r="F919" s="64"/>
      <c r="G919" s="64"/>
      <c r="H919" s="64"/>
      <c r="I919" s="64"/>
      <c r="J919" s="64"/>
      <c r="K919" s="64"/>
      <c r="L919" s="64"/>
      <c r="M919" s="64"/>
      <c r="N919" s="127" t="str">
        <f>IF(ISNA(VLOOKUP(Table3[[#This Row],[Ticket]],Table1[],17,FALSE)),"",VLOOKUP(Table3[[#This Row],[Ticket]],Table1[],17,FALSE))</f>
        <v/>
      </c>
      <c r="O919" s="128" t="str">
        <f>IF(Table3[[#This Row],[Actual End Date]]="","",TEXT(Table3[[#This Row],[Actual End Date]],"mmm-yy"))</f>
        <v/>
      </c>
    </row>
    <row r="920" spans="2:15">
      <c r="B920" s="64"/>
      <c r="C920" s="64"/>
      <c r="D920" s="64"/>
      <c r="E920" s="64"/>
      <c r="F920" s="64"/>
      <c r="G920" s="64"/>
      <c r="H920" s="64"/>
      <c r="I920" s="64"/>
      <c r="J920" s="64"/>
      <c r="K920" s="64"/>
      <c r="L920" s="64"/>
      <c r="M920" s="64"/>
      <c r="N920" s="127" t="str">
        <f>IF(ISNA(VLOOKUP(Table3[[#This Row],[Ticket]],Table1[],17,FALSE)),"",VLOOKUP(Table3[[#This Row],[Ticket]],Table1[],17,FALSE))</f>
        <v/>
      </c>
      <c r="O920" s="128" t="str">
        <f>IF(Table3[[#This Row],[Actual End Date]]="","",TEXT(Table3[[#This Row],[Actual End Date]],"mmm-yy"))</f>
        <v/>
      </c>
    </row>
    <row r="921" spans="2:15">
      <c r="B921" s="64"/>
      <c r="C921" s="64"/>
      <c r="D921" s="64"/>
      <c r="E921" s="64"/>
      <c r="F921" s="64"/>
      <c r="G921" s="64"/>
      <c r="H921" s="64"/>
      <c r="I921" s="64"/>
      <c r="J921" s="64"/>
      <c r="K921" s="64"/>
      <c r="L921" s="64"/>
      <c r="M921" s="64"/>
      <c r="N921" s="127" t="str">
        <f>IF(ISNA(VLOOKUP(Table3[[#This Row],[Ticket]],Table1[],17,FALSE)),"",VLOOKUP(Table3[[#This Row],[Ticket]],Table1[],17,FALSE))</f>
        <v/>
      </c>
      <c r="O921" s="128" t="str">
        <f>IF(Table3[[#This Row],[Actual End Date]]="","",TEXT(Table3[[#This Row],[Actual End Date]],"mmm-yy"))</f>
        <v/>
      </c>
    </row>
    <row r="922" spans="2:15">
      <c r="B922" s="64"/>
      <c r="C922" s="64"/>
      <c r="D922" s="64"/>
      <c r="E922" s="64"/>
      <c r="F922" s="64"/>
      <c r="G922" s="64"/>
      <c r="H922" s="64"/>
      <c r="I922" s="64"/>
      <c r="J922" s="64"/>
      <c r="K922" s="64"/>
      <c r="L922" s="64"/>
      <c r="M922" s="64"/>
      <c r="N922" s="127" t="str">
        <f>IF(ISNA(VLOOKUP(Table3[[#This Row],[Ticket]],Table1[],17,FALSE)),"",VLOOKUP(Table3[[#This Row],[Ticket]],Table1[],17,FALSE))</f>
        <v/>
      </c>
      <c r="O922" s="128" t="str">
        <f>IF(Table3[[#This Row],[Actual End Date]]="","",TEXT(Table3[[#This Row],[Actual End Date]],"mmm-yy"))</f>
        <v/>
      </c>
    </row>
    <row r="923" spans="2:15">
      <c r="B923" s="64"/>
      <c r="C923" s="64"/>
      <c r="D923" s="64"/>
      <c r="E923" s="64"/>
      <c r="F923" s="64"/>
      <c r="G923" s="64"/>
      <c r="H923" s="64"/>
      <c r="I923" s="64"/>
      <c r="J923" s="64"/>
      <c r="K923" s="64"/>
      <c r="L923" s="64"/>
      <c r="M923" s="64"/>
      <c r="N923" s="127" t="str">
        <f>IF(ISNA(VLOOKUP(Table3[[#This Row],[Ticket]],Table1[],17,FALSE)),"",VLOOKUP(Table3[[#This Row],[Ticket]],Table1[],17,FALSE))</f>
        <v/>
      </c>
      <c r="O923" s="128" t="str">
        <f>IF(Table3[[#This Row],[Actual End Date]]="","",TEXT(Table3[[#This Row],[Actual End Date]],"mmm-yy"))</f>
        <v/>
      </c>
    </row>
    <row r="924" spans="2:15">
      <c r="B924" s="64"/>
      <c r="C924" s="64"/>
      <c r="D924" s="64"/>
      <c r="E924" s="64"/>
      <c r="F924" s="64"/>
      <c r="G924" s="64"/>
      <c r="H924" s="64"/>
      <c r="I924" s="64"/>
      <c r="J924" s="64"/>
      <c r="K924" s="64"/>
      <c r="L924" s="64"/>
      <c r="M924" s="64"/>
      <c r="N924" s="127" t="str">
        <f>IF(ISNA(VLOOKUP(Table3[[#This Row],[Ticket]],Table1[],17,FALSE)),"",VLOOKUP(Table3[[#This Row],[Ticket]],Table1[],17,FALSE))</f>
        <v/>
      </c>
      <c r="O924" s="128" t="str">
        <f>IF(Table3[[#This Row],[Actual End Date]]="","",TEXT(Table3[[#This Row],[Actual End Date]],"mmm-yy"))</f>
        <v/>
      </c>
    </row>
    <row r="925" spans="2:15">
      <c r="B925" s="64"/>
      <c r="C925" s="64"/>
      <c r="D925" s="64"/>
      <c r="E925" s="64"/>
      <c r="F925" s="64"/>
      <c r="G925" s="64"/>
      <c r="H925" s="64"/>
      <c r="I925" s="64"/>
      <c r="J925" s="64"/>
      <c r="K925" s="64"/>
      <c r="L925" s="64"/>
      <c r="M925" s="64"/>
      <c r="N925" s="127" t="str">
        <f>IF(ISNA(VLOOKUP(Table3[[#This Row],[Ticket]],Table1[],17,FALSE)),"",VLOOKUP(Table3[[#This Row],[Ticket]],Table1[],17,FALSE))</f>
        <v/>
      </c>
      <c r="O925" s="128" t="str">
        <f>IF(Table3[[#This Row],[Actual End Date]]="","",TEXT(Table3[[#This Row],[Actual End Date]],"mmm-yy"))</f>
        <v/>
      </c>
    </row>
    <row r="926" spans="2:15">
      <c r="B926" s="64"/>
      <c r="C926" s="64"/>
      <c r="D926" s="64"/>
      <c r="E926" s="64"/>
      <c r="F926" s="64"/>
      <c r="G926" s="64"/>
      <c r="H926" s="64"/>
      <c r="I926" s="64"/>
      <c r="J926" s="64"/>
      <c r="K926" s="64"/>
      <c r="L926" s="64"/>
      <c r="M926" s="64"/>
      <c r="N926" s="127" t="str">
        <f>IF(ISNA(VLOOKUP(Table3[[#This Row],[Ticket]],Table1[],17,FALSE)),"",VLOOKUP(Table3[[#This Row],[Ticket]],Table1[],17,FALSE))</f>
        <v/>
      </c>
      <c r="O926" s="128" t="str">
        <f>IF(Table3[[#This Row],[Actual End Date]]="","",TEXT(Table3[[#This Row],[Actual End Date]],"mmm-yy"))</f>
        <v/>
      </c>
    </row>
    <row r="927" spans="2:15">
      <c r="B927" s="64"/>
      <c r="C927" s="64"/>
      <c r="D927" s="64"/>
      <c r="E927" s="64"/>
      <c r="F927" s="64"/>
      <c r="G927" s="64"/>
      <c r="H927" s="64"/>
      <c r="I927" s="64"/>
      <c r="J927" s="64"/>
      <c r="K927" s="64"/>
      <c r="L927" s="64"/>
      <c r="M927" s="64"/>
      <c r="N927" s="127" t="str">
        <f>IF(ISNA(VLOOKUP(Table3[[#This Row],[Ticket]],Table1[],17,FALSE)),"",VLOOKUP(Table3[[#This Row],[Ticket]],Table1[],17,FALSE))</f>
        <v/>
      </c>
      <c r="O927" s="128" t="str">
        <f>IF(Table3[[#This Row],[Actual End Date]]="","",TEXT(Table3[[#This Row],[Actual End Date]],"mmm-yy"))</f>
        <v/>
      </c>
    </row>
    <row r="928" spans="2:15">
      <c r="B928" s="64"/>
      <c r="C928" s="64"/>
      <c r="D928" s="64"/>
      <c r="E928" s="64"/>
      <c r="F928" s="64"/>
      <c r="G928" s="64"/>
      <c r="H928" s="64"/>
      <c r="I928" s="64"/>
      <c r="J928" s="64"/>
      <c r="K928" s="64"/>
      <c r="L928" s="64"/>
      <c r="M928" s="64"/>
      <c r="N928" s="127" t="str">
        <f>IF(ISNA(VLOOKUP(Table3[[#This Row],[Ticket]],Table1[],17,FALSE)),"",VLOOKUP(Table3[[#This Row],[Ticket]],Table1[],17,FALSE))</f>
        <v/>
      </c>
      <c r="O928" s="128" t="str">
        <f>IF(Table3[[#This Row],[Actual End Date]]="","",TEXT(Table3[[#This Row],[Actual End Date]],"mmm-yy"))</f>
        <v/>
      </c>
    </row>
    <row r="929" spans="2:15">
      <c r="B929" s="64"/>
      <c r="C929" s="64"/>
      <c r="D929" s="64"/>
      <c r="E929" s="64"/>
      <c r="F929" s="64"/>
      <c r="G929" s="64"/>
      <c r="H929" s="64"/>
      <c r="I929" s="64"/>
      <c r="J929" s="64"/>
      <c r="K929" s="64"/>
      <c r="L929" s="64"/>
      <c r="M929" s="64"/>
      <c r="N929" s="127" t="str">
        <f>IF(ISNA(VLOOKUP(Table3[[#This Row],[Ticket]],Table1[],17,FALSE)),"",VLOOKUP(Table3[[#This Row],[Ticket]],Table1[],17,FALSE))</f>
        <v/>
      </c>
      <c r="O929" s="128" t="str">
        <f>IF(Table3[[#This Row],[Actual End Date]]="","",TEXT(Table3[[#This Row],[Actual End Date]],"mmm-yy"))</f>
        <v/>
      </c>
    </row>
    <row r="930" spans="2:15">
      <c r="B930" s="64"/>
      <c r="C930" s="64"/>
      <c r="D930" s="64"/>
      <c r="E930" s="64"/>
      <c r="F930" s="64"/>
      <c r="G930" s="64"/>
      <c r="H930" s="64"/>
      <c r="I930" s="64"/>
      <c r="J930" s="64"/>
      <c r="K930" s="64"/>
      <c r="L930" s="64"/>
      <c r="M930" s="64"/>
      <c r="N930" s="127" t="str">
        <f>IF(ISNA(VLOOKUP(Table3[[#This Row],[Ticket]],Table1[],17,FALSE)),"",VLOOKUP(Table3[[#This Row],[Ticket]],Table1[],17,FALSE))</f>
        <v/>
      </c>
      <c r="O930" s="128" t="str">
        <f>IF(Table3[[#This Row],[Actual End Date]]="","",TEXT(Table3[[#This Row],[Actual End Date]],"mmm-yy"))</f>
        <v/>
      </c>
    </row>
    <row r="931" spans="2:15">
      <c r="B931" s="64"/>
      <c r="C931" s="64"/>
      <c r="D931" s="64"/>
      <c r="E931" s="64"/>
      <c r="F931" s="64"/>
      <c r="G931" s="64"/>
      <c r="H931" s="64"/>
      <c r="I931" s="64"/>
      <c r="J931" s="64"/>
      <c r="K931" s="64"/>
      <c r="L931" s="64"/>
      <c r="M931" s="64"/>
      <c r="N931" s="127" t="str">
        <f>IF(ISNA(VLOOKUP(Table3[[#This Row],[Ticket]],Table1[],17,FALSE)),"",VLOOKUP(Table3[[#This Row],[Ticket]],Table1[],17,FALSE))</f>
        <v/>
      </c>
      <c r="O931" s="128" t="str">
        <f>IF(Table3[[#This Row],[Actual End Date]]="","",TEXT(Table3[[#This Row],[Actual End Date]],"mmm-yy"))</f>
        <v/>
      </c>
    </row>
    <row r="932" spans="2:15">
      <c r="B932" s="64"/>
      <c r="C932" s="64"/>
      <c r="D932" s="64"/>
      <c r="E932" s="64"/>
      <c r="F932" s="64"/>
      <c r="G932" s="64"/>
      <c r="H932" s="64"/>
      <c r="I932" s="64"/>
      <c r="J932" s="64"/>
      <c r="K932" s="64"/>
      <c r="L932" s="64"/>
      <c r="M932" s="64"/>
      <c r="N932" s="127" t="str">
        <f>IF(ISNA(VLOOKUP(Table3[[#This Row],[Ticket]],Table1[],17,FALSE)),"",VLOOKUP(Table3[[#This Row],[Ticket]],Table1[],17,FALSE))</f>
        <v/>
      </c>
      <c r="O932" s="128" t="str">
        <f>IF(Table3[[#This Row],[Actual End Date]]="","",TEXT(Table3[[#This Row],[Actual End Date]],"mmm-yy"))</f>
        <v/>
      </c>
    </row>
    <row r="933" spans="2:15">
      <c r="B933" s="64"/>
      <c r="C933" s="64"/>
      <c r="D933" s="64"/>
      <c r="E933" s="64"/>
      <c r="F933" s="64"/>
      <c r="G933" s="64"/>
      <c r="H933" s="64"/>
      <c r="I933" s="64"/>
      <c r="J933" s="64"/>
      <c r="K933" s="64"/>
      <c r="L933" s="64"/>
      <c r="M933" s="64"/>
      <c r="N933" s="127" t="str">
        <f>IF(ISNA(VLOOKUP(Table3[[#This Row],[Ticket]],Table1[],17,FALSE)),"",VLOOKUP(Table3[[#This Row],[Ticket]],Table1[],17,FALSE))</f>
        <v/>
      </c>
      <c r="O933" s="128" t="str">
        <f>IF(Table3[[#This Row],[Actual End Date]]="","",TEXT(Table3[[#This Row],[Actual End Date]],"mmm-yy"))</f>
        <v/>
      </c>
    </row>
    <row r="934" spans="2:15">
      <c r="B934" s="64"/>
      <c r="C934" s="64"/>
      <c r="D934" s="64"/>
      <c r="E934" s="64"/>
      <c r="F934" s="64"/>
      <c r="G934" s="64"/>
      <c r="H934" s="64"/>
      <c r="I934" s="64"/>
      <c r="J934" s="64"/>
      <c r="K934" s="64"/>
      <c r="L934" s="64"/>
      <c r="M934" s="64"/>
      <c r="N934" s="127" t="str">
        <f>IF(ISNA(VLOOKUP(Table3[[#This Row],[Ticket]],Table1[],17,FALSE)),"",VLOOKUP(Table3[[#This Row],[Ticket]],Table1[],17,FALSE))</f>
        <v/>
      </c>
      <c r="O934" s="128" t="str">
        <f>IF(Table3[[#This Row],[Actual End Date]]="","",TEXT(Table3[[#This Row],[Actual End Date]],"mmm-yy"))</f>
        <v/>
      </c>
    </row>
    <row r="935" spans="2:15">
      <c r="B935" s="64"/>
      <c r="C935" s="64"/>
      <c r="D935" s="64"/>
      <c r="E935" s="64"/>
      <c r="F935" s="64"/>
      <c r="G935" s="64"/>
      <c r="H935" s="64"/>
      <c r="I935" s="64"/>
      <c r="J935" s="64"/>
      <c r="K935" s="64"/>
      <c r="L935" s="64"/>
      <c r="M935" s="64"/>
      <c r="N935" s="127" t="str">
        <f>IF(ISNA(VLOOKUP(Table3[[#This Row],[Ticket]],Table1[],17,FALSE)),"",VLOOKUP(Table3[[#This Row],[Ticket]],Table1[],17,FALSE))</f>
        <v/>
      </c>
      <c r="O935" s="128" t="str">
        <f>IF(Table3[[#This Row],[Actual End Date]]="","",TEXT(Table3[[#This Row],[Actual End Date]],"mmm-yy"))</f>
        <v/>
      </c>
    </row>
    <row r="936" spans="2:15">
      <c r="B936" s="64"/>
      <c r="C936" s="64"/>
      <c r="D936" s="64"/>
      <c r="E936" s="64"/>
      <c r="F936" s="64"/>
      <c r="G936" s="64"/>
      <c r="H936" s="64"/>
      <c r="I936" s="64"/>
      <c r="J936" s="64"/>
      <c r="K936" s="64"/>
      <c r="L936" s="64"/>
      <c r="M936" s="64"/>
      <c r="N936" s="127" t="str">
        <f>IF(ISNA(VLOOKUP(Table3[[#This Row],[Ticket]],Table1[],17,FALSE)),"",VLOOKUP(Table3[[#This Row],[Ticket]],Table1[],17,FALSE))</f>
        <v/>
      </c>
      <c r="O936" s="128" t="str">
        <f>IF(Table3[[#This Row],[Actual End Date]]="","",TEXT(Table3[[#This Row],[Actual End Date]],"mmm-yy"))</f>
        <v/>
      </c>
    </row>
    <row r="937" spans="2:15">
      <c r="B937" s="64"/>
      <c r="C937" s="64"/>
      <c r="D937" s="64"/>
      <c r="E937" s="64"/>
      <c r="F937" s="64"/>
      <c r="G937" s="64"/>
      <c r="H937" s="64"/>
      <c r="I937" s="64"/>
      <c r="J937" s="64"/>
      <c r="K937" s="64"/>
      <c r="L937" s="64"/>
      <c r="M937" s="64"/>
      <c r="N937" s="127" t="str">
        <f>IF(ISNA(VLOOKUP(Table3[[#This Row],[Ticket]],Table1[],17,FALSE)),"",VLOOKUP(Table3[[#This Row],[Ticket]],Table1[],17,FALSE))</f>
        <v/>
      </c>
      <c r="O937" s="128" t="str">
        <f>IF(Table3[[#This Row],[Actual End Date]]="","",TEXT(Table3[[#This Row],[Actual End Date]],"mmm-yy"))</f>
        <v/>
      </c>
    </row>
    <row r="938" spans="2:15">
      <c r="B938" s="64"/>
      <c r="C938" s="64"/>
      <c r="D938" s="64"/>
      <c r="E938" s="64"/>
      <c r="F938" s="64"/>
      <c r="G938" s="64"/>
      <c r="H938" s="64"/>
      <c r="I938" s="64"/>
      <c r="J938" s="64"/>
      <c r="K938" s="64"/>
      <c r="L938" s="64"/>
      <c r="M938" s="64"/>
      <c r="N938" s="127" t="str">
        <f>IF(ISNA(VLOOKUP(Table3[[#This Row],[Ticket]],Table1[],17,FALSE)),"",VLOOKUP(Table3[[#This Row],[Ticket]],Table1[],17,FALSE))</f>
        <v/>
      </c>
      <c r="O938" s="128" t="str">
        <f>IF(Table3[[#This Row],[Actual End Date]]="","",TEXT(Table3[[#This Row],[Actual End Date]],"mmm-yy"))</f>
        <v/>
      </c>
    </row>
    <row r="939" spans="2:15">
      <c r="B939" s="64"/>
      <c r="C939" s="64"/>
      <c r="D939" s="64"/>
      <c r="E939" s="64"/>
      <c r="F939" s="64"/>
      <c r="G939" s="64"/>
      <c r="H939" s="64"/>
      <c r="I939" s="64"/>
      <c r="J939" s="64"/>
      <c r="K939" s="64"/>
      <c r="L939" s="64"/>
      <c r="M939" s="64"/>
      <c r="N939" s="127" t="str">
        <f>IF(ISNA(VLOOKUP(Table3[[#This Row],[Ticket]],Table1[],17,FALSE)),"",VLOOKUP(Table3[[#This Row],[Ticket]],Table1[],17,FALSE))</f>
        <v/>
      </c>
      <c r="O939" s="128" t="str">
        <f>IF(Table3[[#This Row],[Actual End Date]]="","",TEXT(Table3[[#This Row],[Actual End Date]],"mmm-yy"))</f>
        <v/>
      </c>
    </row>
    <row r="940" spans="2:15">
      <c r="B940" s="64"/>
      <c r="C940" s="64"/>
      <c r="D940" s="64"/>
      <c r="E940" s="64"/>
      <c r="F940" s="64"/>
      <c r="G940" s="64"/>
      <c r="H940" s="64"/>
      <c r="I940" s="64"/>
      <c r="J940" s="64"/>
      <c r="K940" s="64"/>
      <c r="L940" s="64"/>
      <c r="M940" s="64"/>
      <c r="N940" s="127" t="str">
        <f>IF(ISNA(VLOOKUP(Table3[[#This Row],[Ticket]],Table1[],17,FALSE)),"",VLOOKUP(Table3[[#This Row],[Ticket]],Table1[],17,FALSE))</f>
        <v/>
      </c>
      <c r="O940" s="128" t="str">
        <f>IF(Table3[[#This Row],[Actual End Date]]="","",TEXT(Table3[[#This Row],[Actual End Date]],"mmm-yy"))</f>
        <v/>
      </c>
    </row>
    <row r="941" spans="2:15">
      <c r="B941" s="64"/>
      <c r="C941" s="64"/>
      <c r="D941" s="64"/>
      <c r="E941" s="64"/>
      <c r="F941" s="64"/>
      <c r="G941" s="64"/>
      <c r="H941" s="64"/>
      <c r="I941" s="64"/>
      <c r="J941" s="64"/>
      <c r="K941" s="64"/>
      <c r="L941" s="64"/>
      <c r="M941" s="64"/>
      <c r="N941" s="127" t="str">
        <f>IF(ISNA(VLOOKUP(Table3[[#This Row],[Ticket]],Table1[],17,FALSE)),"",VLOOKUP(Table3[[#This Row],[Ticket]],Table1[],17,FALSE))</f>
        <v/>
      </c>
      <c r="O941" s="128" t="str">
        <f>IF(Table3[[#This Row],[Actual End Date]]="","",TEXT(Table3[[#This Row],[Actual End Date]],"mmm-yy"))</f>
        <v/>
      </c>
    </row>
    <row r="942" spans="2:15">
      <c r="B942" s="64"/>
      <c r="C942" s="64"/>
      <c r="D942" s="64"/>
      <c r="E942" s="64"/>
      <c r="F942" s="64"/>
      <c r="G942" s="64"/>
      <c r="H942" s="64"/>
      <c r="I942" s="64"/>
      <c r="J942" s="64"/>
      <c r="K942" s="64"/>
      <c r="L942" s="64"/>
      <c r="M942" s="64"/>
      <c r="N942" s="127" t="str">
        <f>IF(ISNA(VLOOKUP(Table3[[#This Row],[Ticket]],Table1[],17,FALSE)),"",VLOOKUP(Table3[[#This Row],[Ticket]],Table1[],17,FALSE))</f>
        <v/>
      </c>
      <c r="O942" s="128" t="str">
        <f>IF(Table3[[#This Row],[Actual End Date]]="","",TEXT(Table3[[#This Row],[Actual End Date]],"mmm-yy"))</f>
        <v/>
      </c>
    </row>
    <row r="943" spans="2:15">
      <c r="B943" s="64"/>
      <c r="C943" s="64"/>
      <c r="D943" s="64"/>
      <c r="E943" s="64"/>
      <c r="F943" s="64"/>
      <c r="G943" s="64"/>
      <c r="H943" s="64"/>
      <c r="I943" s="64"/>
      <c r="J943" s="64"/>
      <c r="K943" s="64"/>
      <c r="L943" s="64"/>
      <c r="M943" s="64"/>
      <c r="N943" s="127" t="str">
        <f>IF(ISNA(VLOOKUP(Table3[[#This Row],[Ticket]],Table1[],17,FALSE)),"",VLOOKUP(Table3[[#This Row],[Ticket]],Table1[],17,FALSE))</f>
        <v/>
      </c>
      <c r="O943" s="128" t="str">
        <f>IF(Table3[[#This Row],[Actual End Date]]="","",TEXT(Table3[[#This Row],[Actual End Date]],"mmm-yy"))</f>
        <v/>
      </c>
    </row>
    <row r="944" spans="2:15">
      <c r="B944" s="64"/>
      <c r="C944" s="64"/>
      <c r="D944" s="64"/>
      <c r="E944" s="64"/>
      <c r="F944" s="64"/>
      <c r="G944" s="64"/>
      <c r="H944" s="64"/>
      <c r="I944" s="64"/>
      <c r="J944" s="64"/>
      <c r="K944" s="64"/>
      <c r="L944" s="64"/>
      <c r="M944" s="64"/>
      <c r="N944" s="127" t="str">
        <f>IF(ISNA(VLOOKUP(Table3[[#This Row],[Ticket]],Table1[],17,FALSE)),"",VLOOKUP(Table3[[#This Row],[Ticket]],Table1[],17,FALSE))</f>
        <v/>
      </c>
      <c r="O944" s="128" t="str">
        <f>IF(Table3[[#This Row],[Actual End Date]]="","",TEXT(Table3[[#This Row],[Actual End Date]],"mmm-yy"))</f>
        <v/>
      </c>
    </row>
    <row r="945" spans="2:15">
      <c r="B945" s="64"/>
      <c r="C945" s="64"/>
      <c r="D945" s="64"/>
      <c r="E945" s="64"/>
      <c r="F945" s="64"/>
      <c r="G945" s="64"/>
      <c r="H945" s="64"/>
      <c r="I945" s="64"/>
      <c r="J945" s="64"/>
      <c r="K945" s="64"/>
      <c r="L945" s="64"/>
      <c r="M945" s="64"/>
      <c r="N945" s="127" t="str">
        <f>IF(ISNA(VLOOKUP(Table3[[#This Row],[Ticket]],Table1[],17,FALSE)),"",VLOOKUP(Table3[[#This Row],[Ticket]],Table1[],17,FALSE))</f>
        <v/>
      </c>
      <c r="O945" s="128" t="str">
        <f>IF(Table3[[#This Row],[Actual End Date]]="","",TEXT(Table3[[#This Row],[Actual End Date]],"mmm-yy"))</f>
        <v/>
      </c>
    </row>
    <row r="946" spans="2:15">
      <c r="B946" s="64"/>
      <c r="C946" s="64"/>
      <c r="D946" s="64"/>
      <c r="E946" s="64"/>
      <c r="F946" s="64"/>
      <c r="G946" s="64"/>
      <c r="H946" s="64"/>
      <c r="I946" s="64"/>
      <c r="J946" s="64"/>
      <c r="K946" s="64"/>
      <c r="L946" s="64"/>
      <c r="M946" s="64"/>
      <c r="N946" s="127" t="str">
        <f>IF(ISNA(VLOOKUP(Table3[[#This Row],[Ticket]],Table1[],17,FALSE)),"",VLOOKUP(Table3[[#This Row],[Ticket]],Table1[],17,FALSE))</f>
        <v/>
      </c>
      <c r="O946" s="128" t="str">
        <f>IF(Table3[[#This Row],[Actual End Date]]="","",TEXT(Table3[[#This Row],[Actual End Date]],"mmm-yy"))</f>
        <v/>
      </c>
    </row>
    <row r="947" spans="2:15">
      <c r="B947" s="64"/>
      <c r="C947" s="64"/>
      <c r="D947" s="64"/>
      <c r="E947" s="64"/>
      <c r="F947" s="64"/>
      <c r="G947" s="64"/>
      <c r="H947" s="64"/>
      <c r="I947" s="64"/>
      <c r="J947" s="64"/>
      <c r="K947" s="64"/>
      <c r="L947" s="64"/>
      <c r="M947" s="64"/>
      <c r="N947" s="127" t="str">
        <f>IF(ISNA(VLOOKUP(Table3[[#This Row],[Ticket]],Table1[],17,FALSE)),"",VLOOKUP(Table3[[#This Row],[Ticket]],Table1[],17,FALSE))</f>
        <v/>
      </c>
      <c r="O947" s="128" t="str">
        <f>IF(Table3[[#This Row],[Actual End Date]]="","",TEXT(Table3[[#This Row],[Actual End Date]],"mmm-yy"))</f>
        <v/>
      </c>
    </row>
    <row r="948" spans="2:15">
      <c r="B948" s="64"/>
      <c r="C948" s="64"/>
      <c r="D948" s="64"/>
      <c r="E948" s="64"/>
      <c r="F948" s="64"/>
      <c r="G948" s="64"/>
      <c r="H948" s="64"/>
      <c r="I948" s="64"/>
      <c r="J948" s="64"/>
      <c r="K948" s="64"/>
      <c r="L948" s="64"/>
      <c r="M948" s="64"/>
      <c r="N948" s="127" t="str">
        <f>IF(ISNA(VLOOKUP(Table3[[#This Row],[Ticket]],Table1[],17,FALSE)),"",VLOOKUP(Table3[[#This Row],[Ticket]],Table1[],17,FALSE))</f>
        <v/>
      </c>
      <c r="O948" s="128" t="str">
        <f>IF(Table3[[#This Row],[Actual End Date]]="","",TEXT(Table3[[#This Row],[Actual End Date]],"mmm-yy"))</f>
        <v/>
      </c>
    </row>
    <row r="949" spans="2:15">
      <c r="B949" s="64"/>
      <c r="C949" s="64"/>
      <c r="D949" s="64"/>
      <c r="E949" s="64"/>
      <c r="F949" s="64"/>
      <c r="G949" s="64"/>
      <c r="H949" s="64"/>
      <c r="I949" s="64"/>
      <c r="J949" s="64"/>
      <c r="K949" s="64"/>
      <c r="L949" s="64"/>
      <c r="M949" s="64"/>
      <c r="N949" s="127" t="str">
        <f>IF(ISNA(VLOOKUP(Table3[[#This Row],[Ticket]],Table1[],17,FALSE)),"",VLOOKUP(Table3[[#This Row],[Ticket]],Table1[],17,FALSE))</f>
        <v/>
      </c>
      <c r="O949" s="128" t="str">
        <f>IF(Table3[[#This Row],[Actual End Date]]="","",TEXT(Table3[[#This Row],[Actual End Date]],"mmm-yy"))</f>
        <v/>
      </c>
    </row>
    <row r="950" spans="2:15">
      <c r="B950" s="64"/>
      <c r="C950" s="64"/>
      <c r="D950" s="64"/>
      <c r="E950" s="64"/>
      <c r="F950" s="64"/>
      <c r="G950" s="64"/>
      <c r="H950" s="64"/>
      <c r="I950" s="64"/>
      <c r="J950" s="64"/>
      <c r="K950" s="64"/>
      <c r="L950" s="64"/>
      <c r="M950" s="64"/>
      <c r="N950" s="127" t="str">
        <f>IF(ISNA(VLOOKUP(Table3[[#This Row],[Ticket]],Table1[],17,FALSE)),"",VLOOKUP(Table3[[#This Row],[Ticket]],Table1[],17,FALSE))</f>
        <v/>
      </c>
      <c r="O950" s="128" t="str">
        <f>IF(Table3[[#This Row],[Actual End Date]]="","",TEXT(Table3[[#This Row],[Actual End Date]],"mmm-yy"))</f>
        <v/>
      </c>
    </row>
    <row r="951" spans="2:15">
      <c r="B951" s="64"/>
      <c r="C951" s="64"/>
      <c r="D951" s="64"/>
      <c r="E951" s="64"/>
      <c r="F951" s="64"/>
      <c r="G951" s="64"/>
      <c r="H951" s="64"/>
      <c r="I951" s="64"/>
      <c r="J951" s="64"/>
      <c r="K951" s="64"/>
      <c r="L951" s="64"/>
      <c r="M951" s="64"/>
      <c r="N951" s="127" t="str">
        <f>IF(ISNA(VLOOKUP(Table3[[#This Row],[Ticket]],Table1[],17,FALSE)),"",VLOOKUP(Table3[[#This Row],[Ticket]],Table1[],17,FALSE))</f>
        <v/>
      </c>
      <c r="O951" s="128" t="str">
        <f>IF(Table3[[#This Row],[Actual End Date]]="","",TEXT(Table3[[#This Row],[Actual End Date]],"mmm-yy"))</f>
        <v/>
      </c>
    </row>
    <row r="952" spans="2:15">
      <c r="B952" s="64"/>
      <c r="C952" s="64"/>
      <c r="D952" s="64"/>
      <c r="E952" s="64"/>
      <c r="F952" s="64"/>
      <c r="G952" s="64"/>
      <c r="H952" s="64"/>
      <c r="I952" s="64"/>
      <c r="J952" s="64"/>
      <c r="K952" s="64"/>
      <c r="L952" s="64"/>
      <c r="M952" s="64"/>
      <c r="N952" s="127" t="str">
        <f>IF(ISNA(VLOOKUP(Table3[[#This Row],[Ticket]],Table1[],17,FALSE)),"",VLOOKUP(Table3[[#This Row],[Ticket]],Table1[],17,FALSE))</f>
        <v/>
      </c>
      <c r="O952" s="128" t="str">
        <f>IF(Table3[[#This Row],[Actual End Date]]="","",TEXT(Table3[[#This Row],[Actual End Date]],"mmm-yy"))</f>
        <v/>
      </c>
    </row>
    <row r="953" spans="2:15">
      <c r="B953" s="64"/>
      <c r="C953" s="64"/>
      <c r="D953" s="64"/>
      <c r="E953" s="64"/>
      <c r="F953" s="64"/>
      <c r="G953" s="64"/>
      <c r="H953" s="64"/>
      <c r="I953" s="64"/>
      <c r="J953" s="64"/>
      <c r="K953" s="64"/>
      <c r="L953" s="64"/>
      <c r="M953" s="64"/>
      <c r="N953" s="127" t="str">
        <f>IF(ISNA(VLOOKUP(Table3[[#This Row],[Ticket]],Table1[],17,FALSE)),"",VLOOKUP(Table3[[#This Row],[Ticket]],Table1[],17,FALSE))</f>
        <v/>
      </c>
      <c r="O953" s="128" t="str">
        <f>IF(Table3[[#This Row],[Actual End Date]]="","",TEXT(Table3[[#This Row],[Actual End Date]],"mmm-yy"))</f>
        <v/>
      </c>
    </row>
    <row r="954" spans="2:15">
      <c r="B954" s="64"/>
      <c r="C954" s="64"/>
      <c r="D954" s="64"/>
      <c r="E954" s="64"/>
      <c r="F954" s="64"/>
      <c r="G954" s="64"/>
      <c r="H954" s="64"/>
      <c r="I954" s="64"/>
      <c r="J954" s="64"/>
      <c r="K954" s="64"/>
      <c r="L954" s="64"/>
      <c r="M954" s="64"/>
      <c r="N954" s="127" t="str">
        <f>IF(ISNA(VLOOKUP(Table3[[#This Row],[Ticket]],Table1[],17,FALSE)),"",VLOOKUP(Table3[[#This Row],[Ticket]],Table1[],17,FALSE))</f>
        <v/>
      </c>
      <c r="O954" s="128" t="str">
        <f>IF(Table3[[#This Row],[Actual End Date]]="","",TEXT(Table3[[#This Row],[Actual End Date]],"mmm-yy"))</f>
        <v/>
      </c>
    </row>
    <row r="955" spans="2:15">
      <c r="B955" s="64"/>
      <c r="C955" s="64"/>
      <c r="D955" s="64"/>
      <c r="E955" s="64"/>
      <c r="F955" s="64"/>
      <c r="G955" s="64"/>
      <c r="H955" s="64"/>
      <c r="I955" s="64"/>
      <c r="J955" s="64"/>
      <c r="K955" s="64"/>
      <c r="L955" s="64"/>
      <c r="M955" s="64"/>
      <c r="N955" s="127" t="str">
        <f>IF(ISNA(VLOOKUP(Table3[[#This Row],[Ticket]],Table1[],17,FALSE)),"",VLOOKUP(Table3[[#This Row],[Ticket]],Table1[],17,FALSE))</f>
        <v/>
      </c>
      <c r="O955" s="128" t="str">
        <f>IF(Table3[[#This Row],[Actual End Date]]="","",TEXT(Table3[[#This Row],[Actual End Date]],"mmm-yy"))</f>
        <v/>
      </c>
    </row>
    <row r="956" spans="2:15">
      <c r="B956" s="64"/>
      <c r="C956" s="64"/>
      <c r="D956" s="64"/>
      <c r="E956" s="64"/>
      <c r="F956" s="64"/>
      <c r="G956" s="64"/>
      <c r="H956" s="64"/>
      <c r="I956" s="64"/>
      <c r="J956" s="64"/>
      <c r="K956" s="64"/>
      <c r="L956" s="64"/>
      <c r="M956" s="64"/>
      <c r="N956" s="127" t="str">
        <f>IF(ISNA(VLOOKUP(Table3[[#This Row],[Ticket]],Table1[],17,FALSE)),"",VLOOKUP(Table3[[#This Row],[Ticket]],Table1[],17,FALSE))</f>
        <v/>
      </c>
      <c r="O956" s="128" t="str">
        <f>IF(Table3[[#This Row],[Actual End Date]]="","",TEXT(Table3[[#This Row],[Actual End Date]],"mmm-yy"))</f>
        <v/>
      </c>
    </row>
    <row r="957" spans="2:15">
      <c r="B957" s="64"/>
      <c r="C957" s="64"/>
      <c r="D957" s="64"/>
      <c r="E957" s="64"/>
      <c r="F957" s="64"/>
      <c r="G957" s="64"/>
      <c r="H957" s="64"/>
      <c r="I957" s="64"/>
      <c r="J957" s="64"/>
      <c r="K957" s="64"/>
      <c r="L957" s="64"/>
      <c r="M957" s="64"/>
      <c r="N957" s="127" t="str">
        <f>IF(ISNA(VLOOKUP(Table3[[#This Row],[Ticket]],Table1[],17,FALSE)),"",VLOOKUP(Table3[[#This Row],[Ticket]],Table1[],17,FALSE))</f>
        <v/>
      </c>
      <c r="O957" s="128" t="str">
        <f>IF(Table3[[#This Row],[Actual End Date]]="","",TEXT(Table3[[#This Row],[Actual End Date]],"mmm-yy"))</f>
        <v/>
      </c>
    </row>
    <row r="958" spans="2:15">
      <c r="B958" s="64"/>
      <c r="C958" s="64"/>
      <c r="D958" s="64"/>
      <c r="E958" s="64"/>
      <c r="F958" s="64"/>
      <c r="G958" s="64"/>
      <c r="H958" s="64"/>
      <c r="I958" s="64"/>
      <c r="J958" s="64"/>
      <c r="K958" s="64"/>
      <c r="L958" s="64"/>
      <c r="M958" s="64"/>
      <c r="N958" s="127" t="str">
        <f>IF(ISNA(VLOOKUP(Table3[[#This Row],[Ticket]],Table1[],17,FALSE)),"",VLOOKUP(Table3[[#This Row],[Ticket]],Table1[],17,FALSE))</f>
        <v/>
      </c>
      <c r="O958" s="128" t="str">
        <f>IF(Table3[[#This Row],[Actual End Date]]="","",TEXT(Table3[[#This Row],[Actual End Date]],"mmm-yy"))</f>
        <v/>
      </c>
    </row>
    <row r="959" spans="2:15">
      <c r="B959" s="64"/>
      <c r="C959" s="64"/>
      <c r="D959" s="64"/>
      <c r="E959" s="64"/>
      <c r="F959" s="64"/>
      <c r="G959" s="64"/>
      <c r="H959" s="64"/>
      <c r="I959" s="64"/>
      <c r="J959" s="64"/>
      <c r="K959" s="64"/>
      <c r="L959" s="64"/>
      <c r="M959" s="64"/>
      <c r="N959" s="127" t="str">
        <f>IF(ISNA(VLOOKUP(Table3[[#This Row],[Ticket]],Table1[],17,FALSE)),"",VLOOKUP(Table3[[#This Row],[Ticket]],Table1[],17,FALSE))</f>
        <v/>
      </c>
      <c r="O959" s="128" t="str">
        <f>IF(Table3[[#This Row],[Actual End Date]]="","",TEXT(Table3[[#This Row],[Actual End Date]],"mmm-yy"))</f>
        <v/>
      </c>
    </row>
    <row r="960" spans="2:15">
      <c r="B960" s="64"/>
      <c r="C960" s="64"/>
      <c r="D960" s="64"/>
      <c r="E960" s="64"/>
      <c r="F960" s="64"/>
      <c r="G960" s="64"/>
      <c r="H960" s="64"/>
      <c r="I960" s="64"/>
      <c r="J960" s="64"/>
      <c r="K960" s="64"/>
      <c r="L960" s="64"/>
      <c r="M960" s="64"/>
      <c r="N960" s="127" t="str">
        <f>IF(ISNA(VLOOKUP(Table3[[#This Row],[Ticket]],Table1[],17,FALSE)),"",VLOOKUP(Table3[[#This Row],[Ticket]],Table1[],17,FALSE))</f>
        <v/>
      </c>
      <c r="O960" s="128" t="str">
        <f>IF(Table3[[#This Row],[Actual End Date]]="","",TEXT(Table3[[#This Row],[Actual End Date]],"mmm-yy"))</f>
        <v/>
      </c>
    </row>
    <row r="961" spans="2:15">
      <c r="B961" s="64"/>
      <c r="C961" s="64"/>
      <c r="D961" s="64"/>
      <c r="E961" s="64"/>
      <c r="F961" s="64"/>
      <c r="G961" s="64"/>
      <c r="H961" s="64"/>
      <c r="I961" s="64"/>
      <c r="J961" s="64"/>
      <c r="K961" s="64"/>
      <c r="L961" s="64"/>
      <c r="M961" s="64"/>
      <c r="N961" s="127" t="str">
        <f>IF(ISNA(VLOOKUP(Table3[[#This Row],[Ticket]],Table1[],17,FALSE)),"",VLOOKUP(Table3[[#This Row],[Ticket]],Table1[],17,FALSE))</f>
        <v/>
      </c>
      <c r="O961" s="128" t="str">
        <f>IF(Table3[[#This Row],[Actual End Date]]="","",TEXT(Table3[[#This Row],[Actual End Date]],"mmm-yy"))</f>
        <v/>
      </c>
    </row>
    <row r="962" spans="2:15">
      <c r="B962" s="64"/>
      <c r="C962" s="64"/>
      <c r="D962" s="64"/>
      <c r="E962" s="64"/>
      <c r="F962" s="64"/>
      <c r="G962" s="64"/>
      <c r="H962" s="64"/>
      <c r="I962" s="64"/>
      <c r="J962" s="64"/>
      <c r="K962" s="64"/>
      <c r="L962" s="64"/>
      <c r="M962" s="64"/>
      <c r="N962" s="127" t="str">
        <f>IF(ISNA(VLOOKUP(Table3[[#This Row],[Ticket]],Table1[],17,FALSE)),"",VLOOKUP(Table3[[#This Row],[Ticket]],Table1[],17,FALSE))</f>
        <v/>
      </c>
      <c r="O962" s="128" t="str">
        <f>IF(Table3[[#This Row],[Actual End Date]]="","",TEXT(Table3[[#This Row],[Actual End Date]],"mmm-yy"))</f>
        <v/>
      </c>
    </row>
    <row r="963" spans="2:15">
      <c r="B963" s="64"/>
      <c r="C963" s="64"/>
      <c r="D963" s="64"/>
      <c r="E963" s="64"/>
      <c r="F963" s="64"/>
      <c r="G963" s="64"/>
      <c r="H963" s="64"/>
      <c r="I963" s="64"/>
      <c r="J963" s="64"/>
      <c r="K963" s="64"/>
      <c r="L963" s="64"/>
      <c r="M963" s="64"/>
      <c r="N963" s="127" t="str">
        <f>IF(ISNA(VLOOKUP(Table3[[#This Row],[Ticket]],Table1[],17,FALSE)),"",VLOOKUP(Table3[[#This Row],[Ticket]],Table1[],17,FALSE))</f>
        <v/>
      </c>
      <c r="O963" s="128" t="str">
        <f>IF(Table3[[#This Row],[Actual End Date]]="","",TEXT(Table3[[#This Row],[Actual End Date]],"mmm-yy"))</f>
        <v/>
      </c>
    </row>
    <row r="964" spans="2:15">
      <c r="B964" s="64"/>
      <c r="C964" s="64"/>
      <c r="D964" s="64"/>
      <c r="E964" s="64"/>
      <c r="F964" s="64"/>
      <c r="G964" s="64"/>
      <c r="H964" s="64"/>
      <c r="I964" s="64"/>
      <c r="J964" s="64"/>
      <c r="K964" s="64"/>
      <c r="L964" s="64"/>
      <c r="M964" s="64"/>
      <c r="N964" s="127" t="str">
        <f>IF(ISNA(VLOOKUP(Table3[[#This Row],[Ticket]],Table1[],17,FALSE)),"",VLOOKUP(Table3[[#This Row],[Ticket]],Table1[],17,FALSE))</f>
        <v/>
      </c>
      <c r="O964" s="128" t="str">
        <f>IF(Table3[[#This Row],[Actual End Date]]="","",TEXT(Table3[[#This Row],[Actual End Date]],"mmm-yy"))</f>
        <v/>
      </c>
    </row>
    <row r="965" spans="2:15">
      <c r="B965" s="64"/>
      <c r="C965" s="64"/>
      <c r="D965" s="64"/>
      <c r="E965" s="64"/>
      <c r="F965" s="64"/>
      <c r="G965" s="64"/>
      <c r="H965" s="64"/>
      <c r="I965" s="64"/>
      <c r="J965" s="64"/>
      <c r="K965" s="64"/>
      <c r="L965" s="64"/>
      <c r="M965" s="64"/>
      <c r="N965" s="127" t="str">
        <f>IF(ISNA(VLOOKUP(Table3[[#This Row],[Ticket]],Table1[],17,FALSE)),"",VLOOKUP(Table3[[#This Row],[Ticket]],Table1[],17,FALSE))</f>
        <v/>
      </c>
      <c r="O965" s="128" t="str">
        <f>IF(Table3[[#This Row],[Actual End Date]]="","",TEXT(Table3[[#This Row],[Actual End Date]],"mmm-yy"))</f>
        <v/>
      </c>
    </row>
    <row r="966" spans="2:15">
      <c r="B966" s="64"/>
      <c r="C966" s="64"/>
      <c r="D966" s="64"/>
      <c r="E966" s="64"/>
      <c r="F966" s="64"/>
      <c r="G966" s="64"/>
      <c r="H966" s="64"/>
      <c r="I966" s="64"/>
      <c r="J966" s="64"/>
      <c r="K966" s="64"/>
      <c r="L966" s="64"/>
      <c r="M966" s="64"/>
      <c r="N966" s="127" t="str">
        <f>IF(ISNA(VLOOKUP(Table3[[#This Row],[Ticket]],Table1[],17,FALSE)),"",VLOOKUP(Table3[[#This Row],[Ticket]],Table1[],17,FALSE))</f>
        <v/>
      </c>
      <c r="O966" s="128" t="str">
        <f>IF(Table3[[#This Row],[Actual End Date]]="","",TEXT(Table3[[#This Row],[Actual End Date]],"mmm-yy"))</f>
        <v/>
      </c>
    </row>
    <row r="967" spans="2:15">
      <c r="B967" s="64"/>
      <c r="C967" s="64"/>
      <c r="D967" s="64"/>
      <c r="E967" s="64"/>
      <c r="F967" s="64"/>
      <c r="G967" s="64"/>
      <c r="H967" s="64"/>
      <c r="I967" s="64"/>
      <c r="J967" s="64"/>
      <c r="K967" s="64"/>
      <c r="L967" s="64"/>
      <c r="M967" s="64"/>
      <c r="N967" s="127" t="str">
        <f>IF(ISNA(VLOOKUP(Table3[[#This Row],[Ticket]],Table1[],17,FALSE)),"",VLOOKUP(Table3[[#This Row],[Ticket]],Table1[],17,FALSE))</f>
        <v/>
      </c>
      <c r="O967" s="128" t="str">
        <f>IF(Table3[[#This Row],[Actual End Date]]="","",TEXT(Table3[[#This Row],[Actual End Date]],"mmm-yy"))</f>
        <v/>
      </c>
    </row>
    <row r="968" spans="2:15">
      <c r="B968" s="64"/>
      <c r="C968" s="64"/>
      <c r="D968" s="64"/>
      <c r="E968" s="64"/>
      <c r="F968" s="64"/>
      <c r="G968" s="64"/>
      <c r="H968" s="64"/>
      <c r="I968" s="64"/>
      <c r="J968" s="64"/>
      <c r="K968" s="64"/>
      <c r="L968" s="64"/>
      <c r="M968" s="64"/>
      <c r="N968" s="127" t="str">
        <f>IF(ISNA(VLOOKUP(Table3[[#This Row],[Ticket]],Table1[],17,FALSE)),"",VLOOKUP(Table3[[#This Row],[Ticket]],Table1[],17,FALSE))</f>
        <v/>
      </c>
      <c r="O968" s="128" t="str">
        <f>IF(Table3[[#This Row],[Actual End Date]]="","",TEXT(Table3[[#This Row],[Actual End Date]],"mmm-yy"))</f>
        <v/>
      </c>
    </row>
    <row r="969" spans="2:15">
      <c r="B969" s="64"/>
      <c r="C969" s="64"/>
      <c r="D969" s="64"/>
      <c r="E969" s="64"/>
      <c r="F969" s="64"/>
      <c r="G969" s="64"/>
      <c r="H969" s="64"/>
      <c r="I969" s="64"/>
      <c r="J969" s="64"/>
      <c r="K969" s="64"/>
      <c r="L969" s="64"/>
      <c r="M969" s="64"/>
      <c r="N969" s="127" t="str">
        <f>IF(ISNA(VLOOKUP(Table3[[#This Row],[Ticket]],Table1[],17,FALSE)),"",VLOOKUP(Table3[[#This Row],[Ticket]],Table1[],17,FALSE))</f>
        <v/>
      </c>
      <c r="O969" s="128" t="str">
        <f>IF(Table3[[#This Row],[Actual End Date]]="","",TEXT(Table3[[#This Row],[Actual End Date]],"mmm-yy"))</f>
        <v/>
      </c>
    </row>
    <row r="970" spans="2:15">
      <c r="B970" s="64"/>
      <c r="C970" s="64"/>
      <c r="D970" s="64"/>
      <c r="E970" s="64"/>
      <c r="F970" s="64"/>
      <c r="G970" s="64"/>
      <c r="H970" s="64"/>
      <c r="I970" s="64"/>
      <c r="J970" s="64"/>
      <c r="K970" s="64"/>
      <c r="L970" s="64"/>
      <c r="M970" s="64"/>
      <c r="N970" s="127" t="str">
        <f>IF(ISNA(VLOOKUP(Table3[[#This Row],[Ticket]],Table1[],17,FALSE)),"",VLOOKUP(Table3[[#This Row],[Ticket]],Table1[],17,FALSE))</f>
        <v/>
      </c>
      <c r="O970" s="128" t="str">
        <f>IF(Table3[[#This Row],[Actual End Date]]="","",TEXT(Table3[[#This Row],[Actual End Date]],"mmm-yy"))</f>
        <v/>
      </c>
    </row>
    <row r="971" spans="2:15">
      <c r="B971" s="64"/>
      <c r="C971" s="64"/>
      <c r="D971" s="64"/>
      <c r="E971" s="64"/>
      <c r="F971" s="64"/>
      <c r="G971" s="64"/>
      <c r="H971" s="64"/>
      <c r="I971" s="64"/>
      <c r="J971" s="64"/>
      <c r="K971" s="64"/>
      <c r="L971" s="64"/>
      <c r="M971" s="64"/>
      <c r="N971" s="127" t="str">
        <f>IF(ISNA(VLOOKUP(Table3[[#This Row],[Ticket]],Table1[],17,FALSE)),"",VLOOKUP(Table3[[#This Row],[Ticket]],Table1[],17,FALSE))</f>
        <v/>
      </c>
      <c r="O971" s="128" t="str">
        <f>IF(Table3[[#This Row],[Actual End Date]]="","",TEXT(Table3[[#This Row],[Actual End Date]],"mmm-yy"))</f>
        <v/>
      </c>
    </row>
    <row r="972" spans="2:15">
      <c r="B972" s="64"/>
      <c r="C972" s="64"/>
      <c r="D972" s="64"/>
      <c r="E972" s="64"/>
      <c r="F972" s="64"/>
      <c r="G972" s="64"/>
      <c r="H972" s="64"/>
      <c r="I972" s="64"/>
      <c r="J972" s="64"/>
      <c r="K972" s="64"/>
      <c r="L972" s="64"/>
      <c r="M972" s="64"/>
      <c r="N972" s="127" t="str">
        <f>IF(ISNA(VLOOKUP(Table3[[#This Row],[Ticket]],Table1[],17,FALSE)),"",VLOOKUP(Table3[[#This Row],[Ticket]],Table1[],17,FALSE))</f>
        <v/>
      </c>
      <c r="O972" s="128" t="str">
        <f>IF(Table3[[#This Row],[Actual End Date]]="","",TEXT(Table3[[#This Row],[Actual End Date]],"mmm-yy"))</f>
        <v/>
      </c>
    </row>
    <row r="973" spans="2:15">
      <c r="B973" s="64"/>
      <c r="C973" s="64"/>
      <c r="D973" s="64"/>
      <c r="E973" s="64"/>
      <c r="F973" s="64"/>
      <c r="G973" s="64"/>
      <c r="H973" s="64"/>
      <c r="I973" s="64"/>
      <c r="J973" s="64"/>
      <c r="K973" s="64"/>
      <c r="L973" s="64"/>
      <c r="M973" s="64"/>
      <c r="N973" s="127" t="str">
        <f>IF(ISNA(VLOOKUP(Table3[[#This Row],[Ticket]],Table1[],17,FALSE)),"",VLOOKUP(Table3[[#This Row],[Ticket]],Table1[],17,FALSE))</f>
        <v/>
      </c>
      <c r="O973" s="128" t="str">
        <f>IF(Table3[[#This Row],[Actual End Date]]="","",TEXT(Table3[[#This Row],[Actual End Date]],"mmm-yy"))</f>
        <v/>
      </c>
    </row>
    <row r="974" spans="2:15">
      <c r="B974" s="64"/>
      <c r="C974" s="64"/>
      <c r="D974" s="64"/>
      <c r="E974" s="64"/>
      <c r="F974" s="64"/>
      <c r="G974" s="64"/>
      <c r="H974" s="64"/>
      <c r="I974" s="64"/>
      <c r="J974" s="64"/>
      <c r="K974" s="64"/>
      <c r="L974" s="64"/>
      <c r="M974" s="64"/>
      <c r="N974" s="127" t="str">
        <f>IF(ISNA(VLOOKUP(Table3[[#This Row],[Ticket]],Table1[],17,FALSE)),"",VLOOKUP(Table3[[#This Row],[Ticket]],Table1[],17,FALSE))</f>
        <v/>
      </c>
      <c r="O974" s="128" t="str">
        <f>IF(Table3[[#This Row],[Actual End Date]]="","",TEXT(Table3[[#This Row],[Actual End Date]],"mmm-yy"))</f>
        <v/>
      </c>
    </row>
    <row r="975" spans="2:15">
      <c r="B975" s="64"/>
      <c r="C975" s="64"/>
      <c r="D975" s="64"/>
      <c r="E975" s="64"/>
      <c r="F975" s="64"/>
      <c r="G975" s="64"/>
      <c r="H975" s="64"/>
      <c r="I975" s="64"/>
      <c r="J975" s="64"/>
      <c r="K975" s="64"/>
      <c r="L975" s="64"/>
      <c r="M975" s="64"/>
      <c r="N975" s="127" t="str">
        <f>IF(ISNA(VLOOKUP(Table3[[#This Row],[Ticket]],Table1[],17,FALSE)),"",VLOOKUP(Table3[[#This Row],[Ticket]],Table1[],17,FALSE))</f>
        <v/>
      </c>
      <c r="O975" s="128" t="str">
        <f>IF(Table3[[#This Row],[Actual End Date]]="","",TEXT(Table3[[#This Row],[Actual End Date]],"mmm-yy"))</f>
        <v/>
      </c>
    </row>
    <row r="976" spans="2:15">
      <c r="B976" s="64"/>
      <c r="C976" s="64"/>
      <c r="D976" s="64"/>
      <c r="E976" s="64"/>
      <c r="F976" s="64"/>
      <c r="G976" s="64"/>
      <c r="H976" s="64"/>
      <c r="I976" s="64"/>
      <c r="J976" s="64"/>
      <c r="K976" s="64"/>
      <c r="L976" s="64"/>
      <c r="M976" s="64"/>
      <c r="N976" s="127" t="str">
        <f>IF(ISNA(VLOOKUP(Table3[[#This Row],[Ticket]],Table1[],17,FALSE)),"",VLOOKUP(Table3[[#This Row],[Ticket]],Table1[],17,FALSE))</f>
        <v/>
      </c>
      <c r="O976" s="128" t="str">
        <f>IF(Table3[[#This Row],[Actual End Date]]="","",TEXT(Table3[[#This Row],[Actual End Date]],"mmm-yy"))</f>
        <v/>
      </c>
    </row>
    <row r="977" spans="2:15">
      <c r="B977" s="64"/>
      <c r="C977" s="64"/>
      <c r="D977" s="64"/>
      <c r="E977" s="64"/>
      <c r="F977" s="64"/>
      <c r="G977" s="64"/>
      <c r="H977" s="64"/>
      <c r="I977" s="64"/>
      <c r="J977" s="64"/>
      <c r="K977" s="64"/>
      <c r="L977" s="64"/>
      <c r="M977" s="64"/>
      <c r="N977" s="127" t="str">
        <f>IF(ISNA(VLOOKUP(Table3[[#This Row],[Ticket]],Table1[],17,FALSE)),"",VLOOKUP(Table3[[#This Row],[Ticket]],Table1[],17,FALSE))</f>
        <v/>
      </c>
      <c r="O977" s="128" t="str">
        <f>IF(Table3[[#This Row],[Actual End Date]]="","",TEXT(Table3[[#This Row],[Actual End Date]],"mmm-yy"))</f>
        <v/>
      </c>
    </row>
    <row r="978" spans="2:15">
      <c r="B978" s="64"/>
      <c r="C978" s="64"/>
      <c r="D978" s="64"/>
      <c r="E978" s="64"/>
      <c r="F978" s="64"/>
      <c r="G978" s="64"/>
      <c r="H978" s="64"/>
      <c r="I978" s="64"/>
      <c r="J978" s="64"/>
      <c r="K978" s="64"/>
      <c r="L978" s="64"/>
      <c r="M978" s="64"/>
      <c r="N978" s="127" t="str">
        <f>IF(ISNA(VLOOKUP(Table3[[#This Row],[Ticket]],Table1[],17,FALSE)),"",VLOOKUP(Table3[[#This Row],[Ticket]],Table1[],17,FALSE))</f>
        <v/>
      </c>
      <c r="O978" s="128" t="str">
        <f>IF(Table3[[#This Row],[Actual End Date]]="","",TEXT(Table3[[#This Row],[Actual End Date]],"mmm-yy"))</f>
        <v/>
      </c>
    </row>
    <row r="979" spans="2:15">
      <c r="B979" s="64"/>
      <c r="C979" s="64"/>
      <c r="D979" s="64"/>
      <c r="E979" s="64"/>
      <c r="F979" s="64"/>
      <c r="G979" s="64"/>
      <c r="H979" s="64"/>
      <c r="I979" s="64"/>
      <c r="J979" s="64"/>
      <c r="K979" s="64"/>
      <c r="L979" s="64"/>
      <c r="M979" s="64"/>
      <c r="N979" s="127" t="str">
        <f>IF(ISNA(VLOOKUP(Table3[[#This Row],[Ticket]],Table1[],17,FALSE)),"",VLOOKUP(Table3[[#This Row],[Ticket]],Table1[],17,FALSE))</f>
        <v/>
      </c>
      <c r="O979" s="128" t="str">
        <f>IF(Table3[[#This Row],[Actual End Date]]="","",TEXT(Table3[[#This Row],[Actual End Date]],"mmm-yy"))</f>
        <v/>
      </c>
    </row>
    <row r="980" spans="2:15">
      <c r="B980" s="64"/>
      <c r="C980" s="64"/>
      <c r="D980" s="64"/>
      <c r="E980" s="64"/>
      <c r="F980" s="64"/>
      <c r="G980" s="64"/>
      <c r="H980" s="64"/>
      <c r="I980" s="64"/>
      <c r="J980" s="64"/>
      <c r="K980" s="64"/>
      <c r="L980" s="64"/>
      <c r="M980" s="64"/>
      <c r="N980" s="127" t="str">
        <f>IF(ISNA(VLOOKUP(Table3[[#This Row],[Ticket]],Table1[],17,FALSE)),"",VLOOKUP(Table3[[#This Row],[Ticket]],Table1[],17,FALSE))</f>
        <v/>
      </c>
      <c r="O980" s="128" t="str">
        <f>IF(Table3[[#This Row],[Actual End Date]]="","",TEXT(Table3[[#This Row],[Actual End Date]],"mmm-yy"))</f>
        <v/>
      </c>
    </row>
    <row r="981" spans="2:15">
      <c r="B981" s="64"/>
      <c r="C981" s="64"/>
      <c r="D981" s="64"/>
      <c r="E981" s="64"/>
      <c r="F981" s="64"/>
      <c r="G981" s="64"/>
      <c r="H981" s="64"/>
      <c r="I981" s="64"/>
      <c r="J981" s="64"/>
      <c r="K981" s="64"/>
      <c r="L981" s="64"/>
      <c r="M981" s="64"/>
      <c r="N981" s="127" t="str">
        <f>IF(ISNA(VLOOKUP(Table3[[#This Row],[Ticket]],Table1[],17,FALSE)),"",VLOOKUP(Table3[[#This Row],[Ticket]],Table1[],17,FALSE))</f>
        <v/>
      </c>
      <c r="O981" s="128" t="str">
        <f>IF(Table3[[#This Row],[Actual End Date]]="","",TEXT(Table3[[#This Row],[Actual End Date]],"mmm-yy"))</f>
        <v/>
      </c>
    </row>
    <row r="982" spans="2:15">
      <c r="B982" s="64"/>
      <c r="C982" s="64"/>
      <c r="D982" s="64"/>
      <c r="E982" s="64"/>
      <c r="F982" s="64"/>
      <c r="G982" s="64"/>
      <c r="H982" s="64"/>
      <c r="I982" s="64"/>
      <c r="J982" s="64"/>
      <c r="K982" s="64"/>
      <c r="L982" s="64"/>
      <c r="M982" s="64"/>
      <c r="N982" s="127" t="str">
        <f>IF(ISNA(VLOOKUP(Table3[[#This Row],[Ticket]],Table1[],17,FALSE)),"",VLOOKUP(Table3[[#This Row],[Ticket]],Table1[],17,FALSE))</f>
        <v/>
      </c>
      <c r="O982" s="128" t="str">
        <f>IF(Table3[[#This Row],[Actual End Date]]="","",TEXT(Table3[[#This Row],[Actual End Date]],"mmm-yy"))</f>
        <v/>
      </c>
    </row>
    <row r="983" spans="2:15">
      <c r="B983" s="64"/>
      <c r="C983" s="64"/>
      <c r="D983" s="64"/>
      <c r="E983" s="64"/>
      <c r="F983" s="64"/>
      <c r="G983" s="64"/>
      <c r="H983" s="64"/>
      <c r="I983" s="64"/>
      <c r="J983" s="64"/>
      <c r="K983" s="64"/>
      <c r="L983" s="64"/>
      <c r="M983" s="64"/>
      <c r="N983" s="127" t="str">
        <f>IF(ISNA(VLOOKUP(Table3[[#This Row],[Ticket]],Table1[],17,FALSE)),"",VLOOKUP(Table3[[#This Row],[Ticket]],Table1[],17,FALSE))</f>
        <v/>
      </c>
      <c r="O983" s="128" t="str">
        <f>IF(Table3[[#This Row],[Actual End Date]]="","",TEXT(Table3[[#This Row],[Actual End Date]],"mmm-yy"))</f>
        <v/>
      </c>
    </row>
    <row r="984" spans="2:15">
      <c r="B984" s="64"/>
      <c r="C984" s="64"/>
      <c r="D984" s="64"/>
      <c r="E984" s="64"/>
      <c r="F984" s="64"/>
      <c r="G984" s="64"/>
      <c r="H984" s="64"/>
      <c r="I984" s="64"/>
      <c r="J984" s="64"/>
      <c r="K984" s="64"/>
      <c r="L984" s="64"/>
      <c r="M984" s="64"/>
      <c r="N984" s="127" t="str">
        <f>IF(ISNA(VLOOKUP(Table3[[#This Row],[Ticket]],Table1[],17,FALSE)),"",VLOOKUP(Table3[[#This Row],[Ticket]],Table1[],17,FALSE))</f>
        <v/>
      </c>
      <c r="O984" s="128" t="str">
        <f>IF(Table3[[#This Row],[Actual End Date]]="","",TEXT(Table3[[#This Row],[Actual End Date]],"mmm-yy"))</f>
        <v/>
      </c>
    </row>
    <row r="985" spans="2:15">
      <c r="B985" s="64"/>
      <c r="C985" s="64"/>
      <c r="D985" s="64"/>
      <c r="E985" s="64"/>
      <c r="F985" s="64"/>
      <c r="G985" s="64"/>
      <c r="H985" s="64"/>
      <c r="I985" s="64"/>
      <c r="J985" s="64"/>
      <c r="K985" s="64"/>
      <c r="L985" s="64"/>
      <c r="M985" s="64"/>
      <c r="N985" s="127" t="str">
        <f>IF(ISNA(VLOOKUP(Table3[[#This Row],[Ticket]],Table1[],17,FALSE)),"",VLOOKUP(Table3[[#This Row],[Ticket]],Table1[],17,FALSE))</f>
        <v/>
      </c>
      <c r="O985" s="128" t="str">
        <f>IF(Table3[[#This Row],[Actual End Date]]="","",TEXT(Table3[[#This Row],[Actual End Date]],"mmm-yy"))</f>
        <v/>
      </c>
    </row>
    <row r="986" spans="2:15">
      <c r="B986" s="64"/>
      <c r="C986" s="64"/>
      <c r="D986" s="64"/>
      <c r="E986" s="64"/>
      <c r="F986" s="64"/>
      <c r="G986" s="64"/>
      <c r="H986" s="64"/>
      <c r="I986" s="64"/>
      <c r="J986" s="64"/>
      <c r="K986" s="64"/>
      <c r="L986" s="64"/>
      <c r="M986" s="64"/>
      <c r="N986" s="127" t="str">
        <f>IF(ISNA(VLOOKUP(Table3[[#This Row],[Ticket]],Table1[],17,FALSE)),"",VLOOKUP(Table3[[#This Row],[Ticket]],Table1[],17,FALSE))</f>
        <v/>
      </c>
      <c r="O986" s="128" t="str">
        <f>IF(Table3[[#This Row],[Actual End Date]]="","",TEXT(Table3[[#This Row],[Actual End Date]],"mmm-yy"))</f>
        <v/>
      </c>
    </row>
    <row r="987" spans="2:15">
      <c r="B987" s="64"/>
      <c r="C987" s="64"/>
      <c r="D987" s="64"/>
      <c r="E987" s="64"/>
      <c r="F987" s="64"/>
      <c r="G987" s="64"/>
      <c r="H987" s="64"/>
      <c r="I987" s="64"/>
      <c r="J987" s="64"/>
      <c r="K987" s="64"/>
      <c r="L987" s="64"/>
      <c r="M987" s="64"/>
      <c r="N987" s="127" t="str">
        <f>IF(ISNA(VLOOKUP(Table3[[#This Row],[Ticket]],Table1[],17,FALSE)),"",VLOOKUP(Table3[[#This Row],[Ticket]],Table1[],17,FALSE))</f>
        <v/>
      </c>
      <c r="O987" s="128" t="str">
        <f>IF(Table3[[#This Row],[Actual End Date]]="","",TEXT(Table3[[#This Row],[Actual End Date]],"mmm-yy"))</f>
        <v/>
      </c>
    </row>
    <row r="988" spans="2:15">
      <c r="B988" s="64"/>
      <c r="C988" s="64"/>
      <c r="D988" s="64"/>
      <c r="E988" s="64"/>
      <c r="F988" s="64"/>
      <c r="G988" s="64"/>
      <c r="H988" s="64"/>
      <c r="I988" s="64"/>
      <c r="J988" s="64"/>
      <c r="K988" s="64"/>
      <c r="L988" s="64"/>
      <c r="M988" s="64"/>
      <c r="N988" s="127" t="str">
        <f>IF(ISNA(VLOOKUP(Table3[[#This Row],[Ticket]],Table1[],17,FALSE)),"",VLOOKUP(Table3[[#This Row],[Ticket]],Table1[],17,FALSE))</f>
        <v/>
      </c>
      <c r="O988" s="128" t="str">
        <f>IF(Table3[[#This Row],[Actual End Date]]="","",TEXT(Table3[[#This Row],[Actual End Date]],"mmm-yy"))</f>
        <v/>
      </c>
    </row>
    <row r="989" spans="2:15">
      <c r="B989" s="64"/>
      <c r="C989" s="64"/>
      <c r="D989" s="64"/>
      <c r="E989" s="64"/>
      <c r="F989" s="64"/>
      <c r="G989" s="64"/>
      <c r="H989" s="64"/>
      <c r="I989" s="64"/>
      <c r="J989" s="64"/>
      <c r="K989" s="64"/>
      <c r="L989" s="64"/>
      <c r="M989" s="64"/>
      <c r="N989" s="127" t="str">
        <f>IF(ISNA(VLOOKUP(Table3[[#This Row],[Ticket]],Table1[],17,FALSE)),"",VLOOKUP(Table3[[#This Row],[Ticket]],Table1[],17,FALSE))</f>
        <v/>
      </c>
      <c r="O989" s="128" t="str">
        <f>IF(Table3[[#This Row],[Actual End Date]]="","",TEXT(Table3[[#This Row],[Actual End Date]],"mmm-yy"))</f>
        <v/>
      </c>
    </row>
    <row r="990" spans="2:15">
      <c r="B990" s="64"/>
      <c r="C990" s="64"/>
      <c r="D990" s="64"/>
      <c r="E990" s="64"/>
      <c r="F990" s="64"/>
      <c r="G990" s="64"/>
      <c r="H990" s="64"/>
      <c r="I990" s="64"/>
      <c r="J990" s="64"/>
      <c r="K990" s="64"/>
      <c r="L990" s="64"/>
      <c r="M990" s="64"/>
      <c r="N990" s="127" t="str">
        <f>IF(ISNA(VLOOKUP(Table3[[#This Row],[Ticket]],Table1[],17,FALSE)),"",VLOOKUP(Table3[[#This Row],[Ticket]],Table1[],17,FALSE))</f>
        <v/>
      </c>
      <c r="O990" s="128" t="str">
        <f>IF(Table3[[#This Row],[Actual End Date]]="","",TEXT(Table3[[#This Row],[Actual End Date]],"mmm-yy"))</f>
        <v/>
      </c>
    </row>
    <row r="991" spans="2:15">
      <c r="B991" s="64"/>
      <c r="C991" s="64"/>
      <c r="D991" s="64"/>
      <c r="E991" s="64"/>
      <c r="F991" s="64"/>
      <c r="G991" s="64"/>
      <c r="H991" s="64"/>
      <c r="I991" s="64"/>
      <c r="J991" s="64"/>
      <c r="K991" s="64"/>
      <c r="L991" s="64"/>
      <c r="M991" s="64"/>
      <c r="N991" s="127" t="str">
        <f>IF(ISNA(VLOOKUP(Table3[[#This Row],[Ticket]],Table1[],17,FALSE)),"",VLOOKUP(Table3[[#This Row],[Ticket]],Table1[],17,FALSE))</f>
        <v/>
      </c>
      <c r="O991" s="128" t="str">
        <f>IF(Table3[[#This Row],[Actual End Date]]="","",TEXT(Table3[[#This Row],[Actual End Date]],"mmm-yy"))</f>
        <v/>
      </c>
    </row>
    <row r="992" spans="2:15">
      <c r="B992" s="64"/>
      <c r="C992" s="64"/>
      <c r="D992" s="64"/>
      <c r="E992" s="64"/>
      <c r="F992" s="64"/>
      <c r="G992" s="64"/>
      <c r="H992" s="64"/>
      <c r="I992" s="64"/>
      <c r="J992" s="64"/>
      <c r="K992" s="64"/>
      <c r="L992" s="64"/>
      <c r="M992" s="64"/>
      <c r="N992" s="127" t="str">
        <f>IF(ISNA(VLOOKUP(Table3[[#This Row],[Ticket]],Table1[],17,FALSE)),"",VLOOKUP(Table3[[#This Row],[Ticket]],Table1[],17,FALSE))</f>
        <v/>
      </c>
      <c r="O992" s="128" t="str">
        <f>IF(Table3[[#This Row],[Actual End Date]]="","",TEXT(Table3[[#This Row],[Actual End Date]],"mmm-yy"))</f>
        <v/>
      </c>
    </row>
    <row r="993" spans="2:15">
      <c r="B993" s="64"/>
      <c r="C993" s="64"/>
      <c r="D993" s="64"/>
      <c r="E993" s="64"/>
      <c r="F993" s="64"/>
      <c r="G993" s="64"/>
      <c r="H993" s="64"/>
      <c r="I993" s="64"/>
      <c r="J993" s="64"/>
      <c r="K993" s="64"/>
      <c r="L993" s="64"/>
      <c r="M993" s="64"/>
      <c r="N993" s="127" t="str">
        <f>IF(ISNA(VLOOKUP(Table3[[#This Row],[Ticket]],Table1[],17,FALSE)),"",VLOOKUP(Table3[[#This Row],[Ticket]],Table1[],17,FALSE))</f>
        <v/>
      </c>
      <c r="O993" s="128" t="str">
        <f>IF(Table3[[#This Row],[Actual End Date]]="","",TEXT(Table3[[#This Row],[Actual End Date]],"mmm-yy"))</f>
        <v/>
      </c>
    </row>
    <row r="994" spans="2:15">
      <c r="B994" s="64"/>
      <c r="C994" s="64"/>
      <c r="D994" s="64"/>
      <c r="E994" s="64"/>
      <c r="F994" s="64"/>
      <c r="G994" s="64"/>
      <c r="H994" s="64"/>
      <c r="I994" s="64"/>
      <c r="J994" s="64"/>
      <c r="K994" s="64"/>
      <c r="L994" s="64"/>
      <c r="M994" s="64"/>
      <c r="N994" s="127" t="str">
        <f>IF(ISNA(VLOOKUP(Table3[[#This Row],[Ticket]],Table1[],17,FALSE)),"",VLOOKUP(Table3[[#This Row],[Ticket]],Table1[],17,FALSE))</f>
        <v/>
      </c>
      <c r="O994" s="128" t="str">
        <f>IF(Table3[[#This Row],[Actual End Date]]="","",TEXT(Table3[[#This Row],[Actual End Date]],"mmm-yy"))</f>
        <v/>
      </c>
    </row>
    <row r="995" spans="2:15">
      <c r="B995" s="64"/>
      <c r="C995" s="64"/>
      <c r="D995" s="64"/>
      <c r="E995" s="64"/>
      <c r="F995" s="64"/>
      <c r="G995" s="64"/>
      <c r="H995" s="64"/>
      <c r="I995" s="64"/>
      <c r="J995" s="64"/>
      <c r="K995" s="64"/>
      <c r="L995" s="64"/>
      <c r="M995" s="64"/>
      <c r="N995" s="127" t="str">
        <f>IF(ISNA(VLOOKUP(Table3[[#This Row],[Ticket]],Table1[],17,FALSE)),"",VLOOKUP(Table3[[#This Row],[Ticket]],Table1[],17,FALSE))</f>
        <v/>
      </c>
      <c r="O995" s="128" t="str">
        <f>IF(Table3[[#This Row],[Actual End Date]]="","",TEXT(Table3[[#This Row],[Actual End Date]],"mmm-yy"))</f>
        <v/>
      </c>
    </row>
    <row r="996" spans="2:15">
      <c r="B996" s="64"/>
      <c r="C996" s="64"/>
      <c r="D996" s="64"/>
      <c r="E996" s="64"/>
      <c r="F996" s="64"/>
      <c r="G996" s="64"/>
      <c r="H996" s="64"/>
      <c r="I996" s="64"/>
      <c r="J996" s="64"/>
      <c r="K996" s="64"/>
      <c r="L996" s="64"/>
      <c r="M996" s="64"/>
      <c r="N996" s="127" t="str">
        <f>IF(ISNA(VLOOKUP(Table3[[#This Row],[Ticket]],Table1[],17,FALSE)),"",VLOOKUP(Table3[[#This Row],[Ticket]],Table1[],17,FALSE))</f>
        <v/>
      </c>
      <c r="O996" s="128" t="str">
        <f>IF(Table3[[#This Row],[Actual End Date]]="","",TEXT(Table3[[#This Row],[Actual End Date]],"mmm-yy"))</f>
        <v/>
      </c>
    </row>
    <row r="997" spans="2:15">
      <c r="B997" s="64"/>
      <c r="C997" s="64"/>
      <c r="D997" s="64"/>
      <c r="E997" s="64"/>
      <c r="F997" s="64"/>
      <c r="G997" s="64"/>
      <c r="H997" s="64"/>
      <c r="I997" s="64"/>
      <c r="J997" s="64"/>
      <c r="K997" s="64"/>
      <c r="L997" s="64"/>
      <c r="M997" s="64"/>
      <c r="N997" s="127" t="str">
        <f>IF(ISNA(VLOOKUP(Table3[[#This Row],[Ticket]],Table1[],17,FALSE)),"",VLOOKUP(Table3[[#This Row],[Ticket]],Table1[],17,FALSE))</f>
        <v/>
      </c>
      <c r="O997" s="128" t="str">
        <f>IF(Table3[[#This Row],[Actual End Date]]="","",TEXT(Table3[[#This Row],[Actual End Date]],"mmm-yy"))</f>
        <v/>
      </c>
    </row>
    <row r="998" spans="2:15">
      <c r="B998" s="64"/>
      <c r="C998" s="64"/>
      <c r="D998" s="64"/>
      <c r="E998" s="64"/>
      <c r="F998" s="64"/>
      <c r="G998" s="64"/>
      <c r="H998" s="64"/>
      <c r="I998" s="64"/>
      <c r="J998" s="64"/>
      <c r="K998" s="64"/>
      <c r="L998" s="64"/>
      <c r="M998" s="64"/>
      <c r="N998" s="127" t="str">
        <f>IF(ISNA(VLOOKUP(Table3[[#This Row],[Ticket]],Table1[],17,FALSE)),"",VLOOKUP(Table3[[#This Row],[Ticket]],Table1[],17,FALSE))</f>
        <v/>
      </c>
      <c r="O998" s="128" t="str">
        <f>IF(Table3[[#This Row],[Actual End Date]]="","",TEXT(Table3[[#This Row],[Actual End Date]],"mmm-yy"))</f>
        <v/>
      </c>
    </row>
    <row r="999" spans="2:15">
      <c r="B999" s="64"/>
      <c r="C999" s="64"/>
      <c r="D999" s="64"/>
      <c r="E999" s="64"/>
      <c r="F999" s="64"/>
      <c r="G999" s="64"/>
      <c r="H999" s="64"/>
      <c r="I999" s="64"/>
      <c r="J999" s="64"/>
      <c r="K999" s="64"/>
      <c r="L999" s="64"/>
      <c r="M999" s="64"/>
      <c r="N999" s="127" t="str">
        <f>IF(ISNA(VLOOKUP(Table3[[#This Row],[Ticket]],Table1[],17,FALSE)),"",VLOOKUP(Table3[[#This Row],[Ticket]],Table1[],17,FALSE))</f>
        <v/>
      </c>
      <c r="O999" s="128" t="str">
        <f>IF(Table3[[#This Row],[Actual End Date]]="","",TEXT(Table3[[#This Row],[Actual End Date]],"mmm-yy"))</f>
        <v/>
      </c>
    </row>
    <row r="1000" spans="2:15">
      <c r="B1000" s="64"/>
      <c r="C1000" s="64"/>
      <c r="D1000" s="64"/>
      <c r="E1000" s="64"/>
      <c r="F1000" s="64"/>
      <c r="G1000" s="64"/>
      <c r="H1000" s="64"/>
      <c r="I1000" s="64"/>
      <c r="J1000" s="64"/>
      <c r="K1000" s="64"/>
      <c r="L1000" s="64"/>
      <c r="M1000" s="64"/>
      <c r="N1000" s="127" t="str">
        <f>IF(ISNA(VLOOKUP(Table3[[#This Row],[Ticket]],Table1[],17,FALSE)),"",VLOOKUP(Table3[[#This Row],[Ticket]],Table1[],17,FALSE))</f>
        <v/>
      </c>
      <c r="O1000" s="128" t="str">
        <f>IF(Table3[[#This Row],[Actual End Date]]="","",TEXT(Table3[[#This Row],[Actual End Date]],"mmm-yy"))</f>
        <v/>
      </c>
    </row>
    <row r="1001" spans="2:15">
      <c r="B1001" s="64"/>
      <c r="C1001" s="64"/>
      <c r="D1001" s="64"/>
      <c r="E1001" s="64"/>
      <c r="F1001" s="64"/>
      <c r="G1001" s="64"/>
      <c r="H1001" s="64"/>
      <c r="I1001" s="64"/>
      <c r="J1001" s="64"/>
      <c r="K1001" s="64"/>
      <c r="L1001" s="64"/>
      <c r="M1001" s="64"/>
      <c r="N1001" s="127" t="str">
        <f>IF(ISNA(VLOOKUP(Table3[[#This Row],[Ticket]],Table1[],17,FALSE)),"",VLOOKUP(Table3[[#This Row],[Ticket]],Table1[],17,FALSE))</f>
        <v/>
      </c>
      <c r="O1001" s="128" t="str">
        <f>IF(Table3[[#This Row],[Actual End Date]]="","",TEXT(Table3[[#This Row],[Actual End Date]],"mmm-yy"))</f>
        <v/>
      </c>
    </row>
    <row r="1002" spans="2:15">
      <c r="B1002" s="64"/>
      <c r="C1002" s="64"/>
      <c r="D1002" s="64"/>
      <c r="E1002" s="64"/>
      <c r="F1002" s="64"/>
      <c r="G1002" s="64"/>
      <c r="H1002" s="64"/>
      <c r="I1002" s="64"/>
      <c r="J1002" s="64"/>
      <c r="K1002" s="64"/>
      <c r="L1002" s="64"/>
      <c r="M1002" s="64"/>
      <c r="N1002" s="127" t="str">
        <f>IF(ISNA(VLOOKUP(Table3[[#This Row],[Ticket]],Table1[],17,FALSE)),"",VLOOKUP(Table3[[#This Row],[Ticket]],Table1[],17,FALSE))</f>
        <v/>
      </c>
      <c r="O1002" s="128" t="str">
        <f>IF(Table3[[#This Row],[Actual End Date]]="","",TEXT(Table3[[#This Row],[Actual End Date]],"mmm-yy"))</f>
        <v/>
      </c>
    </row>
    <row r="1003" spans="2:15">
      <c r="B1003" s="64"/>
      <c r="C1003" s="64"/>
      <c r="D1003" s="64"/>
      <c r="E1003" s="64"/>
      <c r="F1003" s="64"/>
      <c r="G1003" s="64"/>
      <c r="H1003" s="64"/>
      <c r="I1003" s="64"/>
      <c r="J1003" s="64"/>
      <c r="K1003" s="64"/>
      <c r="L1003" s="64"/>
      <c r="M1003" s="64"/>
      <c r="N1003" s="127" t="str">
        <f>IF(ISNA(VLOOKUP(Table3[[#This Row],[Ticket]],Table1[],17,FALSE)),"",VLOOKUP(Table3[[#This Row],[Ticket]],Table1[],17,FALSE))</f>
        <v/>
      </c>
      <c r="O1003" s="128" t="str">
        <f>IF(Table3[[#This Row],[Actual End Date]]="","",TEXT(Table3[[#This Row],[Actual End Date]],"mmm-yy"))</f>
        <v/>
      </c>
    </row>
    <row r="1004" spans="2:15">
      <c r="B1004" s="64"/>
      <c r="C1004" s="64"/>
      <c r="D1004" s="64"/>
      <c r="E1004" s="64"/>
      <c r="F1004" s="64"/>
      <c r="G1004" s="64"/>
      <c r="H1004" s="64"/>
      <c r="I1004" s="64"/>
      <c r="J1004" s="64"/>
      <c r="K1004" s="64"/>
      <c r="L1004" s="64"/>
      <c r="M1004" s="64"/>
      <c r="N1004" s="127" t="str">
        <f>IF(ISNA(VLOOKUP(Table3[[#This Row],[Ticket]],Table1[],17,FALSE)),"",VLOOKUP(Table3[[#This Row],[Ticket]],Table1[],17,FALSE))</f>
        <v/>
      </c>
      <c r="O1004" s="128" t="str">
        <f>IF(Table3[[#This Row],[Actual End Date]]="","",TEXT(Table3[[#This Row],[Actual End Date]],"mmm-yy"))</f>
        <v/>
      </c>
    </row>
    <row r="1005" spans="2:15">
      <c r="B1005" s="64"/>
      <c r="C1005" s="64"/>
      <c r="D1005" s="64"/>
      <c r="E1005" s="64"/>
      <c r="F1005" s="64"/>
      <c r="G1005" s="64"/>
      <c r="H1005" s="64"/>
      <c r="I1005" s="64"/>
      <c r="J1005" s="64"/>
      <c r="K1005" s="64"/>
      <c r="L1005" s="64"/>
      <c r="M1005" s="64"/>
      <c r="N1005" s="127" t="str">
        <f>IF(ISNA(VLOOKUP(Table3[[#This Row],[Ticket]],Table1[],17,FALSE)),"",VLOOKUP(Table3[[#This Row],[Ticket]],Table1[],17,FALSE))</f>
        <v/>
      </c>
      <c r="O1005" s="128" t="str">
        <f>IF(Table3[[#This Row],[Actual End Date]]="","",TEXT(Table3[[#This Row],[Actual End Date]],"mmm-yy"))</f>
        <v/>
      </c>
    </row>
    <row r="1006" spans="2:15">
      <c r="B1006" s="64"/>
      <c r="C1006" s="64"/>
      <c r="D1006" s="64"/>
      <c r="E1006" s="64"/>
      <c r="F1006" s="64"/>
      <c r="G1006" s="64"/>
      <c r="H1006" s="64"/>
      <c r="I1006" s="64"/>
      <c r="J1006" s="64"/>
      <c r="K1006" s="64"/>
      <c r="L1006" s="64"/>
      <c r="M1006" s="64"/>
      <c r="N1006" s="127" t="str">
        <f>IF(ISNA(VLOOKUP(Table3[[#This Row],[Ticket]],Table1[],17,FALSE)),"",VLOOKUP(Table3[[#This Row],[Ticket]],Table1[],17,FALSE))</f>
        <v/>
      </c>
      <c r="O1006" s="128" t="str">
        <f>IF(Table3[[#This Row],[Actual End Date]]="","",TEXT(Table3[[#This Row],[Actual End Date]],"mmm-yy"))</f>
        <v/>
      </c>
    </row>
    <row r="1007" spans="2:15">
      <c r="B1007" s="64"/>
      <c r="C1007" s="64"/>
      <c r="D1007" s="64"/>
      <c r="E1007" s="64"/>
      <c r="F1007" s="64"/>
      <c r="G1007" s="64"/>
      <c r="H1007" s="64"/>
      <c r="I1007" s="64"/>
      <c r="J1007" s="64"/>
      <c r="K1007" s="64"/>
      <c r="L1007" s="64"/>
      <c r="M1007" s="64"/>
      <c r="N1007" s="127" t="str">
        <f>IF(ISNA(VLOOKUP(Table3[[#This Row],[Ticket]],Table1[],17,FALSE)),"",VLOOKUP(Table3[[#This Row],[Ticket]],Table1[],17,FALSE))</f>
        <v/>
      </c>
      <c r="O1007" s="128" t="str">
        <f>IF(Table3[[#This Row],[Actual End Date]]="","",TEXT(Table3[[#This Row],[Actual End Date]],"mmm-yy"))</f>
        <v/>
      </c>
    </row>
    <row r="1008" spans="2:15">
      <c r="B1008" s="64"/>
      <c r="C1008" s="64"/>
      <c r="D1008" s="64"/>
      <c r="E1008" s="64"/>
      <c r="F1008" s="64"/>
      <c r="G1008" s="64"/>
      <c r="H1008" s="64"/>
      <c r="I1008" s="64"/>
      <c r="J1008" s="64"/>
      <c r="K1008" s="64"/>
      <c r="L1008" s="64"/>
      <c r="M1008" s="64"/>
      <c r="N1008" s="127" t="str">
        <f>IF(ISNA(VLOOKUP(Table3[[#This Row],[Ticket]],Table1[],17,FALSE)),"",VLOOKUP(Table3[[#This Row],[Ticket]],Table1[],17,FALSE))</f>
        <v/>
      </c>
      <c r="O1008" s="128" t="str">
        <f>IF(Table3[[#This Row],[Actual End Date]]="","",TEXT(Table3[[#This Row],[Actual End Date]],"mmm-yy"))</f>
        <v/>
      </c>
    </row>
    <row r="1009" spans="2:15">
      <c r="B1009" s="64"/>
      <c r="C1009" s="64"/>
      <c r="D1009" s="64"/>
      <c r="E1009" s="64"/>
      <c r="F1009" s="64"/>
      <c r="G1009" s="64"/>
      <c r="H1009" s="64"/>
      <c r="I1009" s="64"/>
      <c r="J1009" s="64"/>
      <c r="K1009" s="64"/>
      <c r="L1009" s="64"/>
      <c r="M1009" s="64"/>
      <c r="N1009" s="127" t="str">
        <f>IF(ISNA(VLOOKUP(Table3[[#This Row],[Ticket]],Table1[],17,FALSE)),"",VLOOKUP(Table3[[#This Row],[Ticket]],Table1[],17,FALSE))</f>
        <v/>
      </c>
      <c r="O1009" s="128" t="str">
        <f>IF(Table3[[#This Row],[Actual End Date]]="","",TEXT(Table3[[#This Row],[Actual End Date]],"mmm-yy"))</f>
        <v/>
      </c>
    </row>
    <row r="1010" spans="2:15">
      <c r="B1010" s="64"/>
      <c r="C1010" s="64"/>
      <c r="D1010" s="64"/>
      <c r="E1010" s="64"/>
      <c r="F1010" s="64"/>
      <c r="G1010" s="64"/>
      <c r="H1010" s="64"/>
      <c r="I1010" s="64"/>
      <c r="J1010" s="64"/>
      <c r="K1010" s="64"/>
      <c r="L1010" s="64"/>
      <c r="M1010" s="64"/>
      <c r="N1010" s="127" t="str">
        <f>IF(ISNA(VLOOKUP(Table3[[#This Row],[Ticket]],Table1[],17,FALSE)),"",VLOOKUP(Table3[[#This Row],[Ticket]],Table1[],17,FALSE))</f>
        <v/>
      </c>
      <c r="O1010" s="128" t="str">
        <f>IF(Table3[[#This Row],[Actual End Date]]="","",TEXT(Table3[[#This Row],[Actual End Date]],"mmm-yy"))</f>
        <v/>
      </c>
    </row>
    <row r="1011" spans="2:15">
      <c r="B1011" s="64"/>
      <c r="C1011" s="64"/>
      <c r="D1011" s="64"/>
      <c r="E1011" s="64"/>
      <c r="F1011" s="64"/>
      <c r="G1011" s="64"/>
      <c r="H1011" s="64"/>
      <c r="I1011" s="64"/>
      <c r="J1011" s="64"/>
      <c r="K1011" s="64"/>
      <c r="L1011" s="64"/>
      <c r="M1011" s="64"/>
      <c r="N1011" s="127" t="str">
        <f>IF(ISNA(VLOOKUP(Table3[[#This Row],[Ticket]],Table1[],17,FALSE)),"",VLOOKUP(Table3[[#This Row],[Ticket]],Table1[],17,FALSE))</f>
        <v/>
      </c>
      <c r="O1011" s="128" t="str">
        <f>IF(Table3[[#This Row],[Actual End Date]]="","",TEXT(Table3[[#This Row],[Actual End Date]],"mmm-yy"))</f>
        <v/>
      </c>
    </row>
    <row r="1012" spans="2:15">
      <c r="B1012" s="64"/>
      <c r="C1012" s="64"/>
      <c r="D1012" s="64"/>
      <c r="E1012" s="64"/>
      <c r="F1012" s="64"/>
      <c r="G1012" s="64"/>
      <c r="H1012" s="64"/>
      <c r="I1012" s="64"/>
      <c r="J1012" s="64"/>
      <c r="K1012" s="64"/>
      <c r="L1012" s="64"/>
      <c r="M1012" s="64"/>
      <c r="N1012" s="127" t="str">
        <f>IF(ISNA(VLOOKUP(Table3[[#This Row],[Ticket]],Table1[],17,FALSE)),"",VLOOKUP(Table3[[#This Row],[Ticket]],Table1[],17,FALSE))</f>
        <v/>
      </c>
      <c r="O1012" s="128" t="str">
        <f>IF(Table3[[#This Row],[Actual End Date]]="","",TEXT(Table3[[#This Row],[Actual End Date]],"mmm-yy"))</f>
        <v/>
      </c>
    </row>
    <row r="1013" spans="2:15">
      <c r="B1013" s="64"/>
      <c r="C1013" s="64"/>
      <c r="D1013" s="64"/>
      <c r="E1013" s="64"/>
      <c r="F1013" s="64"/>
      <c r="G1013" s="64"/>
      <c r="H1013" s="64"/>
      <c r="I1013" s="64"/>
      <c r="J1013" s="64"/>
      <c r="K1013" s="64"/>
      <c r="L1013" s="64"/>
      <c r="M1013" s="64"/>
      <c r="N1013" s="127" t="str">
        <f>IF(ISNA(VLOOKUP(Table3[[#This Row],[Ticket]],Table1[],17,FALSE)),"",VLOOKUP(Table3[[#This Row],[Ticket]],Table1[],17,FALSE))</f>
        <v/>
      </c>
      <c r="O1013" s="128" t="str">
        <f>IF(Table3[[#This Row],[Actual End Date]]="","",TEXT(Table3[[#This Row],[Actual End Date]],"mmm-yy"))</f>
        <v/>
      </c>
    </row>
    <row r="1014" spans="2:15">
      <c r="B1014" s="64"/>
      <c r="C1014" s="64"/>
      <c r="D1014" s="64"/>
      <c r="E1014" s="64"/>
      <c r="F1014" s="64"/>
      <c r="G1014" s="64"/>
      <c r="H1014" s="64"/>
      <c r="I1014" s="64"/>
      <c r="J1014" s="64"/>
      <c r="K1014" s="64"/>
      <c r="L1014" s="64"/>
      <c r="M1014" s="64"/>
      <c r="N1014" s="127" t="str">
        <f>IF(ISNA(VLOOKUP(Table3[[#This Row],[Ticket]],Table1[],17,FALSE)),"",VLOOKUP(Table3[[#This Row],[Ticket]],Table1[],17,FALSE))</f>
        <v/>
      </c>
      <c r="O1014" s="128" t="str">
        <f>IF(Table3[[#This Row],[Actual End Date]]="","",TEXT(Table3[[#This Row],[Actual End Date]],"mmm-yy"))</f>
        <v/>
      </c>
    </row>
    <row r="1015" spans="2:15">
      <c r="B1015" s="64"/>
      <c r="C1015" s="64"/>
      <c r="D1015" s="64"/>
      <c r="E1015" s="64"/>
      <c r="F1015" s="64"/>
      <c r="G1015" s="64"/>
      <c r="H1015" s="64"/>
      <c r="I1015" s="64"/>
      <c r="J1015" s="64"/>
      <c r="K1015" s="64"/>
      <c r="L1015" s="64"/>
      <c r="M1015" s="64"/>
      <c r="N1015" s="127" t="str">
        <f>IF(ISNA(VLOOKUP(Table3[[#This Row],[Ticket]],Table1[],17,FALSE)),"",VLOOKUP(Table3[[#This Row],[Ticket]],Table1[],17,FALSE))</f>
        <v/>
      </c>
      <c r="O1015" s="128" t="str">
        <f>IF(Table3[[#This Row],[Actual End Date]]="","",TEXT(Table3[[#This Row],[Actual End Date]],"mmm-yy"))</f>
        <v/>
      </c>
    </row>
    <row r="1016" spans="2:15">
      <c r="B1016" s="64"/>
      <c r="C1016" s="64"/>
      <c r="D1016" s="64"/>
      <c r="E1016" s="64"/>
      <c r="F1016" s="64"/>
      <c r="G1016" s="64"/>
      <c r="H1016" s="64"/>
      <c r="I1016" s="64"/>
      <c r="J1016" s="64"/>
      <c r="K1016" s="64"/>
      <c r="L1016" s="64"/>
      <c r="M1016" s="64"/>
      <c r="N1016" s="127" t="str">
        <f>IF(ISNA(VLOOKUP(Table3[[#This Row],[Ticket]],Table1[],17,FALSE)),"",VLOOKUP(Table3[[#This Row],[Ticket]],Table1[],17,FALSE))</f>
        <v/>
      </c>
      <c r="O1016" s="128" t="str">
        <f>IF(Table3[[#This Row],[Actual End Date]]="","",TEXT(Table3[[#This Row],[Actual End Date]],"mmm-yy"))</f>
        <v/>
      </c>
    </row>
    <row r="1017" spans="2:15">
      <c r="B1017" s="64"/>
      <c r="C1017" s="64"/>
      <c r="D1017" s="64"/>
      <c r="E1017" s="64"/>
      <c r="F1017" s="64"/>
      <c r="G1017" s="64"/>
      <c r="H1017" s="64"/>
      <c r="I1017" s="64"/>
      <c r="J1017" s="64"/>
      <c r="K1017" s="64"/>
      <c r="L1017" s="64"/>
      <c r="M1017" s="64"/>
      <c r="N1017" s="127" t="str">
        <f>IF(ISNA(VLOOKUP(Table3[[#This Row],[Ticket]],Table1[],17,FALSE)),"",VLOOKUP(Table3[[#This Row],[Ticket]],Table1[],17,FALSE))</f>
        <v/>
      </c>
      <c r="O1017" s="128" t="str">
        <f>IF(Table3[[#This Row],[Actual End Date]]="","",TEXT(Table3[[#This Row],[Actual End Date]],"mmm-yy"))</f>
        <v/>
      </c>
    </row>
    <row r="1018" spans="2:15">
      <c r="B1018" s="64"/>
      <c r="C1018" s="64"/>
      <c r="D1018" s="64"/>
      <c r="E1018" s="64"/>
      <c r="F1018" s="64"/>
      <c r="G1018" s="64"/>
      <c r="H1018" s="64"/>
      <c r="I1018" s="64"/>
      <c r="J1018" s="64"/>
      <c r="K1018" s="64"/>
      <c r="L1018" s="64"/>
      <c r="M1018" s="64"/>
      <c r="N1018" s="127" t="str">
        <f>IF(ISNA(VLOOKUP(Table3[[#This Row],[Ticket]],Table1[],17,FALSE)),"",VLOOKUP(Table3[[#This Row],[Ticket]],Table1[],17,FALSE))</f>
        <v/>
      </c>
      <c r="O1018" s="128" t="str">
        <f>IF(Table3[[#This Row],[Actual End Date]]="","",TEXT(Table3[[#This Row],[Actual End Date]],"mmm-yy"))</f>
        <v/>
      </c>
    </row>
    <row r="1019" spans="2:15">
      <c r="B1019" s="64"/>
      <c r="C1019" s="64"/>
      <c r="D1019" s="64"/>
      <c r="E1019" s="64"/>
      <c r="F1019" s="64"/>
      <c r="G1019" s="64"/>
      <c r="H1019" s="64"/>
      <c r="I1019" s="64"/>
      <c r="J1019" s="64"/>
      <c r="K1019" s="64"/>
      <c r="L1019" s="64"/>
      <c r="M1019" s="64"/>
      <c r="N1019" s="127" t="str">
        <f>IF(ISNA(VLOOKUP(Table3[[#This Row],[Ticket]],Table1[],17,FALSE)),"",VLOOKUP(Table3[[#This Row],[Ticket]],Table1[],17,FALSE))</f>
        <v/>
      </c>
      <c r="O1019" s="128" t="str">
        <f>IF(Table3[[#This Row],[Actual End Date]]="","",TEXT(Table3[[#This Row],[Actual End Date]],"mmm-yy"))</f>
        <v/>
      </c>
    </row>
    <row r="1020" spans="2:15">
      <c r="B1020" s="64"/>
      <c r="C1020" s="64"/>
      <c r="D1020" s="64"/>
      <c r="E1020" s="64"/>
      <c r="F1020" s="64"/>
      <c r="G1020" s="64"/>
      <c r="H1020" s="64"/>
      <c r="I1020" s="64"/>
      <c r="J1020" s="64"/>
      <c r="K1020" s="64"/>
      <c r="L1020" s="64"/>
      <c r="M1020" s="64"/>
      <c r="N1020" s="127" t="str">
        <f>IF(ISNA(VLOOKUP(Table3[[#This Row],[Ticket]],Table1[],17,FALSE)),"",VLOOKUP(Table3[[#This Row],[Ticket]],Table1[],17,FALSE))</f>
        <v/>
      </c>
      <c r="O1020" s="128" t="str">
        <f>IF(Table3[[#This Row],[Actual End Date]]="","",TEXT(Table3[[#This Row],[Actual End Date]],"mmm-yy"))</f>
        <v/>
      </c>
    </row>
    <row r="1021" spans="2:15">
      <c r="B1021" s="64"/>
      <c r="C1021" s="64"/>
      <c r="D1021" s="64"/>
      <c r="E1021" s="64"/>
      <c r="F1021" s="64"/>
      <c r="G1021" s="64"/>
      <c r="H1021" s="64"/>
      <c r="I1021" s="64"/>
      <c r="J1021" s="64"/>
      <c r="K1021" s="64"/>
      <c r="L1021" s="64"/>
      <c r="M1021" s="64"/>
      <c r="N1021" s="127" t="str">
        <f>IF(ISNA(VLOOKUP(Table3[[#This Row],[Ticket]],Table1[],17,FALSE)),"",VLOOKUP(Table3[[#This Row],[Ticket]],Table1[],17,FALSE))</f>
        <v/>
      </c>
      <c r="O1021" s="128" t="str">
        <f>IF(Table3[[#This Row],[Actual End Date]]="","",TEXT(Table3[[#This Row],[Actual End Date]],"mmm-yy"))</f>
        <v/>
      </c>
    </row>
    <row r="1022" spans="2:15">
      <c r="B1022" s="64"/>
      <c r="C1022" s="64"/>
      <c r="D1022" s="64"/>
      <c r="E1022" s="64"/>
      <c r="F1022" s="64"/>
      <c r="G1022" s="64"/>
      <c r="H1022" s="64"/>
      <c r="I1022" s="64"/>
      <c r="J1022" s="64"/>
      <c r="K1022" s="64"/>
      <c r="L1022" s="64"/>
      <c r="M1022" s="64"/>
      <c r="N1022" s="127" t="str">
        <f>IF(ISNA(VLOOKUP(Table3[[#This Row],[Ticket]],Table1[],17,FALSE)),"",VLOOKUP(Table3[[#This Row],[Ticket]],Table1[],17,FALSE))</f>
        <v/>
      </c>
      <c r="O1022" s="128" t="str">
        <f>IF(Table3[[#This Row],[Actual End Date]]="","",TEXT(Table3[[#This Row],[Actual End Date]],"mmm-yy"))</f>
        <v/>
      </c>
    </row>
    <row r="1023" spans="2:15">
      <c r="B1023" s="64"/>
      <c r="C1023" s="64"/>
      <c r="D1023" s="64"/>
      <c r="E1023" s="64"/>
      <c r="F1023" s="64"/>
      <c r="G1023" s="64"/>
      <c r="H1023" s="64"/>
      <c r="I1023" s="64"/>
      <c r="J1023" s="64"/>
      <c r="K1023" s="64"/>
      <c r="L1023" s="64"/>
      <c r="M1023" s="64"/>
      <c r="N1023" s="127" t="str">
        <f>IF(ISNA(VLOOKUP(Table3[[#This Row],[Ticket]],Table1[],17,FALSE)),"",VLOOKUP(Table3[[#This Row],[Ticket]],Table1[],17,FALSE))</f>
        <v/>
      </c>
      <c r="O1023" s="128" t="str">
        <f>IF(Table3[[#This Row],[Actual End Date]]="","",TEXT(Table3[[#This Row],[Actual End Date]],"mmm-yy"))</f>
        <v/>
      </c>
    </row>
    <row r="1024" spans="2:15">
      <c r="B1024" s="64"/>
      <c r="C1024" s="64"/>
      <c r="D1024" s="64"/>
      <c r="E1024" s="64"/>
      <c r="F1024" s="64"/>
      <c r="G1024" s="64"/>
      <c r="H1024" s="64"/>
      <c r="I1024" s="64"/>
      <c r="J1024" s="64"/>
      <c r="K1024" s="64"/>
      <c r="L1024" s="64"/>
      <c r="M1024" s="64"/>
      <c r="N1024" s="127" t="str">
        <f>IF(ISNA(VLOOKUP(Table3[[#This Row],[Ticket]],Table1[],17,FALSE)),"",VLOOKUP(Table3[[#This Row],[Ticket]],Table1[],17,FALSE))</f>
        <v/>
      </c>
      <c r="O1024" s="128" t="str">
        <f>IF(Table3[[#This Row],[Actual End Date]]="","",TEXT(Table3[[#This Row],[Actual End Date]],"mmm-yy"))</f>
        <v/>
      </c>
    </row>
    <row r="1025" spans="2:15">
      <c r="B1025" s="64"/>
      <c r="C1025" s="64"/>
      <c r="D1025" s="64"/>
      <c r="E1025" s="64"/>
      <c r="F1025" s="64"/>
      <c r="G1025" s="64"/>
      <c r="H1025" s="64"/>
      <c r="I1025" s="64"/>
      <c r="J1025" s="64"/>
      <c r="K1025" s="64"/>
      <c r="L1025" s="64"/>
      <c r="M1025" s="64"/>
      <c r="N1025" s="127" t="str">
        <f>IF(ISNA(VLOOKUP(Table3[[#This Row],[Ticket]],Table1[],17,FALSE)),"",VLOOKUP(Table3[[#This Row],[Ticket]],Table1[],17,FALSE))</f>
        <v/>
      </c>
      <c r="O1025" s="128" t="str">
        <f>IF(Table3[[#This Row],[Actual End Date]]="","",TEXT(Table3[[#This Row],[Actual End Date]],"mmm-yy"))</f>
        <v/>
      </c>
    </row>
    <row r="1026" spans="2:15">
      <c r="B1026" s="64"/>
      <c r="C1026" s="64"/>
      <c r="D1026" s="64"/>
      <c r="E1026" s="64"/>
      <c r="F1026" s="64"/>
      <c r="G1026" s="64"/>
      <c r="H1026" s="64"/>
      <c r="I1026" s="64"/>
      <c r="J1026" s="64"/>
      <c r="K1026" s="64"/>
      <c r="L1026" s="64"/>
      <c r="M1026" s="64"/>
      <c r="N1026" s="127" t="str">
        <f>IF(ISNA(VLOOKUP(Table3[[#This Row],[Ticket]],Table1[],17,FALSE)),"",VLOOKUP(Table3[[#This Row],[Ticket]],Table1[],17,FALSE))</f>
        <v/>
      </c>
      <c r="O1026" s="128" t="str">
        <f>IF(Table3[[#This Row],[Actual End Date]]="","",TEXT(Table3[[#This Row],[Actual End Date]],"mmm-yy"))</f>
        <v/>
      </c>
    </row>
    <row r="1027" spans="2:15">
      <c r="B1027" s="64"/>
      <c r="C1027" s="64"/>
      <c r="D1027" s="64"/>
      <c r="E1027" s="64"/>
      <c r="F1027" s="64"/>
      <c r="G1027" s="64"/>
      <c r="H1027" s="64"/>
      <c r="I1027" s="64"/>
      <c r="J1027" s="64"/>
      <c r="K1027" s="64"/>
      <c r="L1027" s="64"/>
      <c r="M1027" s="64"/>
      <c r="N1027" s="127" t="str">
        <f>IF(ISNA(VLOOKUP(Table3[[#This Row],[Ticket]],Table1[],17,FALSE)),"",VLOOKUP(Table3[[#This Row],[Ticket]],Table1[],17,FALSE))</f>
        <v/>
      </c>
      <c r="O1027" s="128" t="str">
        <f>IF(Table3[[#This Row],[Actual End Date]]="","",TEXT(Table3[[#This Row],[Actual End Date]],"mmm-yy"))</f>
        <v/>
      </c>
    </row>
    <row r="1028" spans="2:15">
      <c r="B1028" s="64"/>
      <c r="C1028" s="64"/>
      <c r="D1028" s="64"/>
      <c r="E1028" s="64"/>
      <c r="F1028" s="64"/>
      <c r="G1028" s="64"/>
      <c r="H1028" s="64"/>
      <c r="I1028" s="64"/>
      <c r="J1028" s="64"/>
      <c r="K1028" s="64"/>
      <c r="L1028" s="64"/>
      <c r="M1028" s="64"/>
      <c r="N1028" s="127" t="str">
        <f>IF(ISNA(VLOOKUP(Table3[[#This Row],[Ticket]],Table1[],17,FALSE)),"",VLOOKUP(Table3[[#This Row],[Ticket]],Table1[],17,FALSE))</f>
        <v/>
      </c>
      <c r="O1028" s="128" t="str">
        <f>IF(Table3[[#This Row],[Actual End Date]]="","",TEXT(Table3[[#This Row],[Actual End Date]],"mmm-yy"))</f>
        <v/>
      </c>
    </row>
    <row r="1029" spans="2:15">
      <c r="B1029" s="64"/>
      <c r="C1029" s="64"/>
      <c r="D1029" s="64"/>
      <c r="E1029" s="64"/>
      <c r="F1029" s="64"/>
      <c r="G1029" s="64"/>
      <c r="H1029" s="64"/>
      <c r="I1029" s="64"/>
      <c r="J1029" s="64"/>
      <c r="K1029" s="64"/>
      <c r="L1029" s="64"/>
      <c r="M1029" s="64"/>
      <c r="N1029" s="127" t="str">
        <f>IF(ISNA(VLOOKUP(Table3[[#This Row],[Ticket]],Table1[],17,FALSE)),"",VLOOKUP(Table3[[#This Row],[Ticket]],Table1[],17,FALSE))</f>
        <v/>
      </c>
      <c r="O1029" s="128" t="str">
        <f>IF(Table3[[#This Row],[Actual End Date]]="","",TEXT(Table3[[#This Row],[Actual End Date]],"mmm-yy"))</f>
        <v/>
      </c>
    </row>
    <row r="1030" spans="2:15">
      <c r="B1030" s="64"/>
      <c r="C1030" s="64"/>
      <c r="D1030" s="64"/>
      <c r="E1030" s="64"/>
      <c r="F1030" s="64"/>
      <c r="G1030" s="64"/>
      <c r="H1030" s="64"/>
      <c r="I1030" s="64"/>
      <c r="J1030" s="64"/>
      <c r="K1030" s="64"/>
      <c r="L1030" s="64"/>
      <c r="M1030" s="64"/>
      <c r="N1030" s="127" t="str">
        <f>IF(ISNA(VLOOKUP(Table3[[#This Row],[Ticket]],Table1[],17,FALSE)),"",VLOOKUP(Table3[[#This Row],[Ticket]],Table1[],17,FALSE))</f>
        <v/>
      </c>
      <c r="O1030" s="128" t="str">
        <f>IF(Table3[[#This Row],[Actual End Date]]="","",TEXT(Table3[[#This Row],[Actual End Date]],"mmm-yy"))</f>
        <v/>
      </c>
    </row>
    <row r="1031" spans="2:15">
      <c r="B1031" s="64"/>
      <c r="C1031" s="64"/>
      <c r="D1031" s="64"/>
      <c r="E1031" s="64"/>
      <c r="F1031" s="64"/>
      <c r="G1031" s="64"/>
      <c r="H1031" s="64"/>
      <c r="I1031" s="64"/>
      <c r="J1031" s="64"/>
      <c r="K1031" s="64"/>
      <c r="L1031" s="64"/>
      <c r="M1031" s="64"/>
      <c r="N1031" s="127" t="str">
        <f>IF(ISNA(VLOOKUP(Table3[[#This Row],[Ticket]],Table1[],17,FALSE)),"",VLOOKUP(Table3[[#This Row],[Ticket]],Table1[],17,FALSE))</f>
        <v/>
      </c>
      <c r="O1031" s="128" t="str">
        <f>IF(Table3[[#This Row],[Actual End Date]]="","",TEXT(Table3[[#This Row],[Actual End Date]],"mmm-yy"))</f>
        <v/>
      </c>
    </row>
    <row r="1032" spans="2:15">
      <c r="B1032" s="64"/>
      <c r="C1032" s="64"/>
      <c r="D1032" s="64"/>
      <c r="E1032" s="64"/>
      <c r="F1032" s="64"/>
      <c r="G1032" s="64"/>
      <c r="H1032" s="64"/>
      <c r="I1032" s="64"/>
      <c r="J1032" s="64"/>
      <c r="K1032" s="64"/>
      <c r="L1032" s="64"/>
      <c r="M1032" s="64"/>
      <c r="N1032" s="127" t="str">
        <f>IF(ISNA(VLOOKUP(Table3[[#This Row],[Ticket]],Table1[],17,FALSE)),"",VLOOKUP(Table3[[#This Row],[Ticket]],Table1[],17,FALSE))</f>
        <v/>
      </c>
      <c r="O1032" s="128" t="str">
        <f>IF(Table3[[#This Row],[Actual End Date]]="","",TEXT(Table3[[#This Row],[Actual End Date]],"mmm-yy"))</f>
        <v/>
      </c>
    </row>
    <row r="1033" spans="2:15">
      <c r="B1033" s="64"/>
      <c r="C1033" s="64"/>
      <c r="D1033" s="64"/>
      <c r="E1033" s="64"/>
      <c r="F1033" s="64"/>
      <c r="G1033" s="64"/>
      <c r="H1033" s="64"/>
      <c r="I1033" s="64"/>
      <c r="J1033" s="64"/>
      <c r="K1033" s="64"/>
      <c r="L1033" s="64"/>
      <c r="M1033" s="64"/>
      <c r="N1033" s="127" t="str">
        <f>IF(ISNA(VLOOKUP(Table3[[#This Row],[Ticket]],Table1[],17,FALSE)),"",VLOOKUP(Table3[[#This Row],[Ticket]],Table1[],17,FALSE))</f>
        <v/>
      </c>
      <c r="O1033" s="128" t="str">
        <f>IF(Table3[[#This Row],[Actual End Date]]="","",TEXT(Table3[[#This Row],[Actual End Date]],"mmm-yy"))</f>
        <v/>
      </c>
    </row>
    <row r="1034" spans="2:15">
      <c r="B1034" s="64"/>
      <c r="C1034" s="64"/>
      <c r="D1034" s="64"/>
      <c r="E1034" s="64"/>
      <c r="F1034" s="64"/>
      <c r="G1034" s="64"/>
      <c r="H1034" s="64"/>
      <c r="I1034" s="64"/>
      <c r="J1034" s="64"/>
      <c r="K1034" s="64"/>
      <c r="L1034" s="64"/>
      <c r="M1034" s="64"/>
      <c r="N1034" s="127" t="str">
        <f>IF(ISNA(VLOOKUP(Table3[[#This Row],[Ticket]],Table1[],17,FALSE)),"",VLOOKUP(Table3[[#This Row],[Ticket]],Table1[],17,FALSE))</f>
        <v/>
      </c>
      <c r="O1034" s="128" t="str">
        <f>IF(Table3[[#This Row],[Actual End Date]]="","",TEXT(Table3[[#This Row],[Actual End Date]],"mmm-yy"))</f>
        <v/>
      </c>
    </row>
    <row r="1035" spans="2:15">
      <c r="B1035" s="64"/>
      <c r="C1035" s="64"/>
      <c r="D1035" s="64"/>
      <c r="E1035" s="64"/>
      <c r="F1035" s="64"/>
      <c r="G1035" s="64"/>
      <c r="H1035" s="64"/>
      <c r="I1035" s="64"/>
      <c r="J1035" s="64"/>
      <c r="K1035" s="64"/>
      <c r="L1035" s="64"/>
      <c r="M1035" s="64"/>
      <c r="N1035" s="127" t="str">
        <f>IF(ISNA(VLOOKUP(Table3[[#This Row],[Ticket]],Table1[],17,FALSE)),"",VLOOKUP(Table3[[#This Row],[Ticket]],Table1[],17,FALSE))</f>
        <v/>
      </c>
      <c r="O1035" s="128" t="str">
        <f>IF(Table3[[#This Row],[Actual End Date]]="","",TEXT(Table3[[#This Row],[Actual End Date]],"mmm-yy"))</f>
        <v/>
      </c>
    </row>
    <row r="1036" spans="2:15">
      <c r="B1036" s="64"/>
      <c r="C1036" s="64"/>
      <c r="D1036" s="64"/>
      <c r="E1036" s="64"/>
      <c r="F1036" s="64"/>
      <c r="G1036" s="64"/>
      <c r="H1036" s="64"/>
      <c r="I1036" s="64"/>
      <c r="J1036" s="64"/>
      <c r="K1036" s="64"/>
      <c r="L1036" s="64"/>
      <c r="M1036" s="64"/>
      <c r="N1036" s="127" t="str">
        <f>IF(ISNA(VLOOKUP(Table3[[#This Row],[Ticket]],Table1[],17,FALSE)),"",VLOOKUP(Table3[[#This Row],[Ticket]],Table1[],17,FALSE))</f>
        <v/>
      </c>
      <c r="O1036" s="128" t="str">
        <f>IF(Table3[[#This Row],[Actual End Date]]="","",TEXT(Table3[[#This Row],[Actual End Date]],"mmm-yy"))</f>
        <v/>
      </c>
    </row>
    <row r="1037" spans="2:15">
      <c r="B1037" s="64"/>
      <c r="C1037" s="64"/>
      <c r="D1037" s="64"/>
      <c r="E1037" s="64"/>
      <c r="F1037" s="64"/>
      <c r="G1037" s="64"/>
      <c r="H1037" s="64"/>
      <c r="I1037" s="64"/>
      <c r="J1037" s="64"/>
      <c r="K1037" s="64"/>
      <c r="L1037" s="64"/>
      <c r="M1037" s="64"/>
      <c r="N1037" s="127" t="str">
        <f>IF(ISNA(VLOOKUP(Table3[[#This Row],[Ticket]],Table1[],17,FALSE)),"",VLOOKUP(Table3[[#This Row],[Ticket]],Table1[],17,FALSE))</f>
        <v/>
      </c>
      <c r="O1037" s="128" t="str">
        <f>IF(Table3[[#This Row],[Actual End Date]]="","",TEXT(Table3[[#This Row],[Actual End Date]],"mmm-yy"))</f>
        <v/>
      </c>
    </row>
    <row r="1038" spans="2:15">
      <c r="B1038" s="64"/>
      <c r="C1038" s="64"/>
      <c r="D1038" s="64"/>
      <c r="E1038" s="64"/>
      <c r="F1038" s="64"/>
      <c r="G1038" s="64"/>
      <c r="H1038" s="64"/>
      <c r="I1038" s="64"/>
      <c r="J1038" s="64"/>
      <c r="K1038" s="64"/>
      <c r="L1038" s="64"/>
      <c r="M1038" s="64"/>
      <c r="N1038" s="127" t="str">
        <f>IF(ISNA(VLOOKUP(Table3[[#This Row],[Ticket]],Table1[],17,FALSE)),"",VLOOKUP(Table3[[#This Row],[Ticket]],Table1[],17,FALSE))</f>
        <v/>
      </c>
      <c r="O1038" s="128" t="str">
        <f>IF(Table3[[#This Row],[Actual End Date]]="","",TEXT(Table3[[#This Row],[Actual End Date]],"mmm-yy"))</f>
        <v/>
      </c>
    </row>
    <row r="1039" spans="2:15">
      <c r="B1039" s="64"/>
      <c r="C1039" s="64"/>
      <c r="D1039" s="64"/>
      <c r="E1039" s="64"/>
      <c r="F1039" s="64"/>
      <c r="G1039" s="64"/>
      <c r="H1039" s="64"/>
      <c r="I1039" s="64"/>
      <c r="J1039" s="64"/>
      <c r="K1039" s="64"/>
      <c r="L1039" s="64"/>
      <c r="M1039" s="64"/>
      <c r="N1039" s="127" t="str">
        <f>IF(ISNA(VLOOKUP(Table3[[#This Row],[Ticket]],Table1[],17,FALSE)),"",VLOOKUP(Table3[[#This Row],[Ticket]],Table1[],17,FALSE))</f>
        <v/>
      </c>
      <c r="O1039" s="128" t="str">
        <f>IF(Table3[[#This Row],[Actual End Date]]="","",TEXT(Table3[[#This Row],[Actual End Date]],"mmm-yy"))</f>
        <v/>
      </c>
    </row>
    <row r="1040" spans="2:15">
      <c r="B1040" s="64"/>
      <c r="C1040" s="64"/>
      <c r="D1040" s="64"/>
      <c r="E1040" s="64"/>
      <c r="F1040" s="64"/>
      <c r="G1040" s="64"/>
      <c r="H1040" s="64"/>
      <c r="I1040" s="64"/>
      <c r="J1040" s="64"/>
      <c r="K1040" s="64"/>
      <c r="L1040" s="64"/>
      <c r="M1040" s="64"/>
      <c r="N1040" s="127" t="str">
        <f>IF(ISNA(VLOOKUP(Table3[[#This Row],[Ticket]],Table1[],17,FALSE)),"",VLOOKUP(Table3[[#This Row],[Ticket]],Table1[],17,FALSE))</f>
        <v/>
      </c>
      <c r="O1040" s="128" t="str">
        <f>IF(Table3[[#This Row],[Actual End Date]]="","",TEXT(Table3[[#This Row],[Actual End Date]],"mmm-yy"))</f>
        <v/>
      </c>
    </row>
    <row r="1041" spans="2:15">
      <c r="B1041" s="64"/>
      <c r="C1041" s="64"/>
      <c r="D1041" s="64"/>
      <c r="E1041" s="64"/>
      <c r="F1041" s="64"/>
      <c r="G1041" s="64"/>
      <c r="H1041" s="64"/>
      <c r="I1041" s="64"/>
      <c r="J1041" s="64"/>
      <c r="K1041" s="64"/>
      <c r="L1041" s="64"/>
      <c r="M1041" s="64"/>
      <c r="N1041" s="127" t="str">
        <f>IF(ISNA(VLOOKUP(Table3[[#This Row],[Ticket]],Table1[],17,FALSE)),"",VLOOKUP(Table3[[#This Row],[Ticket]],Table1[],17,FALSE))</f>
        <v/>
      </c>
      <c r="O1041" s="128" t="str">
        <f>IF(Table3[[#This Row],[Actual End Date]]="","",TEXT(Table3[[#This Row],[Actual End Date]],"mmm-yy"))</f>
        <v/>
      </c>
    </row>
    <row r="1042" spans="2:15">
      <c r="B1042" s="64"/>
      <c r="C1042" s="64"/>
      <c r="D1042" s="64"/>
      <c r="E1042" s="64"/>
      <c r="F1042" s="64"/>
      <c r="G1042" s="64"/>
      <c r="H1042" s="64"/>
      <c r="I1042" s="64"/>
      <c r="J1042" s="64"/>
      <c r="K1042" s="64"/>
      <c r="L1042" s="64"/>
      <c r="M1042" s="64"/>
      <c r="N1042" s="127" t="str">
        <f>IF(ISNA(VLOOKUP(Table3[[#This Row],[Ticket]],Table1[],17,FALSE)),"",VLOOKUP(Table3[[#This Row],[Ticket]],Table1[],17,FALSE))</f>
        <v/>
      </c>
      <c r="O1042" s="128" t="str">
        <f>IF(Table3[[#This Row],[Actual End Date]]="","",TEXT(Table3[[#This Row],[Actual End Date]],"mmm-yy"))</f>
        <v/>
      </c>
    </row>
    <row r="1043" spans="2:15">
      <c r="B1043" s="64"/>
      <c r="C1043" s="64"/>
      <c r="D1043" s="64"/>
      <c r="E1043" s="64"/>
      <c r="F1043" s="64"/>
      <c r="G1043" s="64"/>
      <c r="H1043" s="64"/>
      <c r="I1043" s="64"/>
      <c r="J1043" s="64"/>
      <c r="K1043" s="64"/>
      <c r="L1043" s="64"/>
      <c r="M1043" s="64"/>
      <c r="N1043" s="127" t="str">
        <f>IF(ISNA(VLOOKUP(Table3[[#This Row],[Ticket]],Table1[],17,FALSE)),"",VLOOKUP(Table3[[#This Row],[Ticket]],Table1[],17,FALSE))</f>
        <v/>
      </c>
      <c r="O1043" s="128" t="str">
        <f>IF(Table3[[#This Row],[Actual End Date]]="","",TEXT(Table3[[#This Row],[Actual End Date]],"mmm-yy"))</f>
        <v/>
      </c>
    </row>
    <row r="1044" spans="2:15">
      <c r="B1044" s="64"/>
      <c r="C1044" s="64"/>
      <c r="D1044" s="64"/>
      <c r="E1044" s="64"/>
      <c r="F1044" s="64"/>
      <c r="G1044" s="64"/>
      <c r="H1044" s="64"/>
      <c r="I1044" s="64"/>
      <c r="J1044" s="64"/>
      <c r="K1044" s="64"/>
      <c r="L1044" s="64"/>
      <c r="M1044" s="64"/>
      <c r="N1044" s="127" t="str">
        <f>IF(ISNA(VLOOKUP(Table3[[#This Row],[Ticket]],Table1[],17,FALSE)),"",VLOOKUP(Table3[[#This Row],[Ticket]],Table1[],17,FALSE))</f>
        <v/>
      </c>
      <c r="O1044" s="128" t="str">
        <f>IF(Table3[[#This Row],[Actual End Date]]="","",TEXT(Table3[[#This Row],[Actual End Date]],"mmm-yy"))</f>
        <v/>
      </c>
    </row>
    <row r="1045" spans="2:15">
      <c r="B1045" s="64"/>
      <c r="C1045" s="64"/>
      <c r="D1045" s="64"/>
      <c r="E1045" s="64"/>
      <c r="F1045" s="64"/>
      <c r="G1045" s="64"/>
      <c r="H1045" s="64"/>
      <c r="I1045" s="64"/>
      <c r="J1045" s="64"/>
      <c r="K1045" s="64"/>
      <c r="L1045" s="64"/>
      <c r="M1045" s="64"/>
      <c r="N1045" s="127" t="str">
        <f>IF(ISNA(VLOOKUP(Table3[[#This Row],[Ticket]],Table1[],17,FALSE)),"",VLOOKUP(Table3[[#This Row],[Ticket]],Table1[],17,FALSE))</f>
        <v/>
      </c>
      <c r="O1045" s="128" t="str">
        <f>IF(Table3[[#This Row],[Actual End Date]]="","",TEXT(Table3[[#This Row],[Actual End Date]],"mmm-yy"))</f>
        <v/>
      </c>
    </row>
    <row r="1046" spans="2:15">
      <c r="B1046" s="64"/>
      <c r="C1046" s="64"/>
      <c r="D1046" s="64"/>
      <c r="E1046" s="64"/>
      <c r="F1046" s="64"/>
      <c r="G1046" s="64"/>
      <c r="H1046" s="64"/>
      <c r="I1046" s="64"/>
      <c r="J1046" s="64"/>
      <c r="K1046" s="64"/>
      <c r="L1046" s="64"/>
      <c r="M1046" s="64"/>
      <c r="N1046" s="127" t="str">
        <f>IF(ISNA(VLOOKUP(Table3[[#This Row],[Ticket]],Table1[],17,FALSE)),"",VLOOKUP(Table3[[#This Row],[Ticket]],Table1[],17,FALSE))</f>
        <v/>
      </c>
      <c r="O1046" s="128" t="str">
        <f>IF(Table3[[#This Row],[Actual End Date]]="","",TEXT(Table3[[#This Row],[Actual End Date]],"mmm-yy"))</f>
        <v/>
      </c>
    </row>
    <row r="1047" spans="2:15">
      <c r="B1047" s="64"/>
      <c r="C1047" s="64"/>
      <c r="D1047" s="64"/>
      <c r="E1047" s="64"/>
      <c r="F1047" s="64"/>
      <c r="G1047" s="64"/>
      <c r="H1047" s="64"/>
      <c r="I1047" s="64"/>
      <c r="J1047" s="64"/>
      <c r="K1047" s="64"/>
      <c r="L1047" s="64"/>
      <c r="M1047" s="64"/>
      <c r="N1047" s="127" t="str">
        <f>IF(ISNA(VLOOKUP(Table3[[#This Row],[Ticket]],Table1[],17,FALSE)),"",VLOOKUP(Table3[[#This Row],[Ticket]],Table1[],17,FALSE))</f>
        <v/>
      </c>
      <c r="O1047" s="128" t="str">
        <f>IF(Table3[[#This Row],[Actual End Date]]="","",TEXT(Table3[[#This Row],[Actual End Date]],"mmm-yy"))</f>
        <v/>
      </c>
    </row>
    <row r="1048" spans="2:15">
      <c r="B1048" s="64"/>
      <c r="C1048" s="64"/>
      <c r="D1048" s="64"/>
      <c r="E1048" s="64"/>
      <c r="F1048" s="64"/>
      <c r="G1048" s="64"/>
      <c r="H1048" s="64"/>
      <c r="I1048" s="64"/>
      <c r="J1048" s="64"/>
      <c r="K1048" s="64"/>
      <c r="L1048" s="64"/>
      <c r="M1048" s="64"/>
      <c r="N1048" s="127" t="str">
        <f>IF(ISNA(VLOOKUP(Table3[[#This Row],[Ticket]],Table1[],17,FALSE)),"",VLOOKUP(Table3[[#This Row],[Ticket]],Table1[],17,FALSE))</f>
        <v/>
      </c>
      <c r="O1048" s="128" t="str">
        <f>IF(Table3[[#This Row],[Actual End Date]]="","",TEXT(Table3[[#This Row],[Actual End Date]],"mmm-yy"))</f>
        <v/>
      </c>
    </row>
    <row r="1049" spans="2:15">
      <c r="B1049" s="64"/>
      <c r="C1049" s="64"/>
      <c r="D1049" s="64"/>
      <c r="E1049" s="64"/>
      <c r="F1049" s="64"/>
      <c r="G1049" s="64"/>
      <c r="H1049" s="64"/>
      <c r="I1049" s="64"/>
      <c r="J1049" s="64"/>
      <c r="K1049" s="64"/>
      <c r="L1049" s="64"/>
      <c r="M1049" s="64"/>
      <c r="N1049" s="127" t="str">
        <f>IF(ISNA(VLOOKUP(Table3[[#This Row],[Ticket]],Table1[],17,FALSE)),"",VLOOKUP(Table3[[#This Row],[Ticket]],Table1[],17,FALSE))</f>
        <v/>
      </c>
      <c r="O1049" s="128" t="str">
        <f>IF(Table3[[#This Row],[Actual End Date]]="","",TEXT(Table3[[#This Row],[Actual End Date]],"mmm-yy"))</f>
        <v/>
      </c>
    </row>
    <row r="1050" spans="2:15">
      <c r="B1050" s="64"/>
      <c r="C1050" s="64"/>
      <c r="D1050" s="64"/>
      <c r="E1050" s="64"/>
      <c r="F1050" s="64"/>
      <c r="G1050" s="64"/>
      <c r="H1050" s="64"/>
      <c r="I1050" s="64"/>
      <c r="J1050" s="64"/>
      <c r="K1050" s="64"/>
      <c r="L1050" s="64"/>
      <c r="M1050" s="64"/>
      <c r="N1050" s="127" t="str">
        <f>IF(ISNA(VLOOKUP(Table3[[#This Row],[Ticket]],Table1[],17,FALSE)),"",VLOOKUP(Table3[[#This Row],[Ticket]],Table1[],17,FALSE))</f>
        <v/>
      </c>
      <c r="O1050" s="128" t="str">
        <f>IF(Table3[[#This Row],[Actual End Date]]="","",TEXT(Table3[[#This Row],[Actual End Date]],"mmm-yy"))</f>
        <v/>
      </c>
    </row>
    <row r="1051" spans="2:15">
      <c r="B1051" s="64"/>
      <c r="C1051" s="64"/>
      <c r="D1051" s="64"/>
      <c r="E1051" s="64"/>
      <c r="F1051" s="64"/>
      <c r="G1051" s="64"/>
      <c r="H1051" s="64"/>
      <c r="I1051" s="64"/>
      <c r="J1051" s="64"/>
      <c r="K1051" s="64"/>
      <c r="L1051" s="64"/>
      <c r="M1051" s="64"/>
      <c r="N1051" s="127" t="str">
        <f>IF(ISNA(VLOOKUP(Table3[[#This Row],[Ticket]],Table1[],17,FALSE)),"",VLOOKUP(Table3[[#This Row],[Ticket]],Table1[],17,FALSE))</f>
        <v/>
      </c>
      <c r="O1051" s="128" t="str">
        <f>IF(Table3[[#This Row],[Actual End Date]]="","",TEXT(Table3[[#This Row],[Actual End Date]],"mmm-yy"))</f>
        <v/>
      </c>
    </row>
    <row r="1052" spans="2:15">
      <c r="B1052" s="64"/>
      <c r="C1052" s="64"/>
      <c r="D1052" s="64"/>
      <c r="E1052" s="64"/>
      <c r="F1052" s="64"/>
      <c r="G1052" s="64"/>
      <c r="H1052" s="64"/>
      <c r="I1052" s="64"/>
      <c r="J1052" s="64"/>
      <c r="K1052" s="64"/>
      <c r="L1052" s="64"/>
      <c r="M1052" s="64"/>
      <c r="N1052" s="127" t="str">
        <f>IF(ISNA(VLOOKUP(Table3[[#This Row],[Ticket]],Table1[],17,FALSE)),"",VLOOKUP(Table3[[#This Row],[Ticket]],Table1[],17,FALSE))</f>
        <v/>
      </c>
      <c r="O1052" s="128" t="str">
        <f>IF(Table3[[#This Row],[Actual End Date]]="","",TEXT(Table3[[#This Row],[Actual End Date]],"mmm-yy"))</f>
        <v/>
      </c>
    </row>
    <row r="1053" spans="2:15">
      <c r="B1053" s="64"/>
      <c r="C1053" s="64"/>
      <c r="D1053" s="64"/>
      <c r="E1053" s="64"/>
      <c r="F1053" s="64"/>
      <c r="G1053" s="64"/>
      <c r="H1053" s="64"/>
      <c r="I1053" s="64"/>
      <c r="J1053" s="64"/>
      <c r="K1053" s="64"/>
      <c r="L1053" s="64"/>
      <c r="M1053" s="64"/>
      <c r="N1053" s="127" t="str">
        <f>IF(ISNA(VLOOKUP(Table3[[#This Row],[Ticket]],Table1[],17,FALSE)),"",VLOOKUP(Table3[[#This Row],[Ticket]],Table1[],17,FALSE))</f>
        <v/>
      </c>
      <c r="O1053" s="128" t="str">
        <f>IF(Table3[[#This Row],[Actual End Date]]="","",TEXT(Table3[[#This Row],[Actual End Date]],"mmm-yy"))</f>
        <v/>
      </c>
    </row>
    <row r="1054" spans="2:15">
      <c r="B1054" s="64"/>
      <c r="C1054" s="64"/>
      <c r="D1054" s="64"/>
      <c r="E1054" s="64"/>
      <c r="F1054" s="64"/>
      <c r="G1054" s="64"/>
      <c r="H1054" s="64"/>
      <c r="I1054" s="64"/>
      <c r="J1054" s="64"/>
      <c r="K1054" s="64"/>
      <c r="L1054" s="64"/>
      <c r="M1054" s="64"/>
      <c r="N1054" s="127" t="str">
        <f>IF(ISNA(VLOOKUP(Table3[[#This Row],[Ticket]],Table1[],17,FALSE)),"",VLOOKUP(Table3[[#This Row],[Ticket]],Table1[],17,FALSE))</f>
        <v/>
      </c>
      <c r="O1054" s="128" t="str">
        <f>IF(Table3[[#This Row],[Actual End Date]]="","",TEXT(Table3[[#This Row],[Actual End Date]],"mmm-yy"))</f>
        <v/>
      </c>
    </row>
    <row r="1055" spans="2:15">
      <c r="B1055" s="64"/>
      <c r="C1055" s="64"/>
      <c r="D1055" s="64"/>
      <c r="E1055" s="64"/>
      <c r="F1055" s="64"/>
      <c r="G1055" s="64"/>
      <c r="H1055" s="64"/>
      <c r="I1055" s="64"/>
      <c r="J1055" s="64"/>
      <c r="K1055" s="64"/>
      <c r="L1055" s="64"/>
      <c r="M1055" s="64"/>
      <c r="N1055" s="127" t="str">
        <f>IF(ISNA(VLOOKUP(Table3[[#This Row],[Ticket]],Table1[],17,FALSE)),"",VLOOKUP(Table3[[#This Row],[Ticket]],Table1[],17,FALSE))</f>
        <v/>
      </c>
      <c r="O1055" s="128" t="str">
        <f>IF(Table3[[#This Row],[Actual End Date]]="","",TEXT(Table3[[#This Row],[Actual End Date]],"mmm-yy"))</f>
        <v/>
      </c>
    </row>
    <row r="1056" spans="2:15">
      <c r="B1056" s="64"/>
      <c r="C1056" s="64"/>
      <c r="D1056" s="64"/>
      <c r="E1056" s="64"/>
      <c r="F1056" s="64"/>
      <c r="G1056" s="64"/>
      <c r="H1056" s="64"/>
      <c r="I1056" s="64"/>
      <c r="J1056" s="64"/>
      <c r="K1056" s="64"/>
      <c r="L1056" s="64"/>
      <c r="M1056" s="64"/>
      <c r="N1056" s="127" t="str">
        <f>IF(ISNA(VLOOKUP(Table3[[#This Row],[Ticket]],Table1[],17,FALSE)),"",VLOOKUP(Table3[[#This Row],[Ticket]],Table1[],17,FALSE))</f>
        <v/>
      </c>
      <c r="O1056" s="128" t="str">
        <f>IF(Table3[[#This Row],[Actual End Date]]="","",TEXT(Table3[[#This Row],[Actual End Date]],"mmm-yy"))</f>
        <v/>
      </c>
    </row>
    <row r="1057" spans="2:15">
      <c r="B1057" s="64"/>
      <c r="C1057" s="64"/>
      <c r="D1057" s="64"/>
      <c r="E1057" s="64"/>
      <c r="F1057" s="64"/>
      <c r="G1057" s="64"/>
      <c r="H1057" s="64"/>
      <c r="I1057" s="64"/>
      <c r="J1057" s="64"/>
      <c r="K1057" s="64"/>
      <c r="L1057" s="64"/>
      <c r="M1057" s="64"/>
      <c r="N1057" s="127" t="str">
        <f>IF(ISNA(VLOOKUP(Table3[[#This Row],[Ticket]],Table1[],17,FALSE)),"",VLOOKUP(Table3[[#This Row],[Ticket]],Table1[],17,FALSE))</f>
        <v/>
      </c>
      <c r="O1057" s="128" t="str">
        <f>IF(Table3[[#This Row],[Actual End Date]]="","",TEXT(Table3[[#This Row],[Actual End Date]],"mmm-yy"))</f>
        <v/>
      </c>
    </row>
    <row r="1058" spans="2:15">
      <c r="B1058" s="64"/>
      <c r="C1058" s="64"/>
      <c r="D1058" s="64"/>
      <c r="E1058" s="64"/>
      <c r="F1058" s="64"/>
      <c r="G1058" s="64"/>
      <c r="H1058" s="64"/>
      <c r="I1058" s="64"/>
      <c r="J1058" s="64"/>
      <c r="K1058" s="64"/>
      <c r="L1058" s="64"/>
      <c r="M1058" s="64"/>
      <c r="N1058" s="127" t="str">
        <f>IF(ISNA(VLOOKUP(Table3[[#This Row],[Ticket]],Table1[],17,FALSE)),"",VLOOKUP(Table3[[#This Row],[Ticket]],Table1[],17,FALSE))</f>
        <v/>
      </c>
      <c r="O1058" s="128" t="str">
        <f>IF(Table3[[#This Row],[Actual End Date]]="","",TEXT(Table3[[#This Row],[Actual End Date]],"mmm-yy"))</f>
        <v/>
      </c>
    </row>
    <row r="1059" spans="2:15">
      <c r="B1059" s="64"/>
      <c r="C1059" s="64"/>
      <c r="D1059" s="64"/>
      <c r="E1059" s="64"/>
      <c r="F1059" s="64"/>
      <c r="G1059" s="64"/>
      <c r="H1059" s="64"/>
      <c r="I1059" s="64"/>
      <c r="J1059" s="64"/>
      <c r="K1059" s="64"/>
      <c r="L1059" s="64"/>
      <c r="M1059" s="64"/>
      <c r="N1059" s="127" t="str">
        <f>IF(ISNA(VLOOKUP(Table3[[#This Row],[Ticket]],Table1[],17,FALSE)),"",VLOOKUP(Table3[[#This Row],[Ticket]],Table1[],17,FALSE))</f>
        <v/>
      </c>
      <c r="O1059" s="128" t="str">
        <f>IF(Table3[[#This Row],[Actual End Date]]="","",TEXT(Table3[[#This Row],[Actual End Date]],"mmm-yy"))</f>
        <v/>
      </c>
    </row>
    <row r="1060" spans="2:15">
      <c r="B1060" s="64"/>
      <c r="C1060" s="64"/>
      <c r="D1060" s="64"/>
      <c r="E1060" s="64"/>
      <c r="F1060" s="64"/>
      <c r="G1060" s="64"/>
      <c r="H1060" s="64"/>
      <c r="I1060" s="64"/>
      <c r="J1060" s="64"/>
      <c r="K1060" s="64"/>
      <c r="L1060" s="64"/>
      <c r="M1060" s="64"/>
      <c r="N1060" s="127" t="str">
        <f>IF(ISNA(VLOOKUP(Table3[[#This Row],[Ticket]],Table1[],17,FALSE)),"",VLOOKUP(Table3[[#This Row],[Ticket]],Table1[],17,FALSE))</f>
        <v/>
      </c>
      <c r="O1060" s="128" t="str">
        <f>IF(Table3[[#This Row],[Actual End Date]]="","",TEXT(Table3[[#This Row],[Actual End Date]],"mmm-yy"))</f>
        <v/>
      </c>
    </row>
    <row r="1061" spans="2:15">
      <c r="B1061" s="64"/>
      <c r="C1061" s="64"/>
      <c r="D1061" s="64"/>
      <c r="E1061" s="64"/>
      <c r="F1061" s="64"/>
      <c r="G1061" s="64"/>
      <c r="H1061" s="64"/>
      <c r="I1061" s="64"/>
      <c r="J1061" s="64"/>
      <c r="K1061" s="64"/>
      <c r="L1061" s="64"/>
      <c r="M1061" s="64"/>
      <c r="N1061" s="127" t="str">
        <f>IF(ISNA(VLOOKUP(Table3[[#This Row],[Ticket]],Table1[],17,FALSE)),"",VLOOKUP(Table3[[#This Row],[Ticket]],Table1[],17,FALSE))</f>
        <v/>
      </c>
      <c r="O1061" s="128" t="str">
        <f>IF(Table3[[#This Row],[Actual End Date]]="","",TEXT(Table3[[#This Row],[Actual End Date]],"mmm-yy"))</f>
        <v/>
      </c>
    </row>
    <row r="1062" spans="2:15">
      <c r="B1062" s="64"/>
      <c r="C1062" s="64"/>
      <c r="D1062" s="64"/>
      <c r="E1062" s="64"/>
      <c r="F1062" s="64"/>
      <c r="G1062" s="64"/>
      <c r="H1062" s="64"/>
      <c r="I1062" s="64"/>
      <c r="J1062" s="64"/>
      <c r="K1062" s="64"/>
      <c r="L1062" s="64"/>
      <c r="M1062" s="64"/>
      <c r="N1062" s="127" t="str">
        <f>IF(ISNA(VLOOKUP(Table3[[#This Row],[Ticket]],Table1[],17,FALSE)),"",VLOOKUP(Table3[[#This Row],[Ticket]],Table1[],17,FALSE))</f>
        <v/>
      </c>
      <c r="O1062" s="128" t="str">
        <f>IF(Table3[[#This Row],[Actual End Date]]="","",TEXT(Table3[[#This Row],[Actual End Date]],"mmm-yy"))</f>
        <v/>
      </c>
    </row>
    <row r="1063" spans="2:15">
      <c r="B1063" s="64"/>
      <c r="C1063" s="64"/>
      <c r="D1063" s="64"/>
      <c r="E1063" s="64"/>
      <c r="F1063" s="64"/>
      <c r="G1063" s="64"/>
      <c r="H1063" s="64"/>
      <c r="I1063" s="64"/>
      <c r="J1063" s="64"/>
      <c r="K1063" s="64"/>
      <c r="L1063" s="64"/>
      <c r="M1063" s="64"/>
      <c r="N1063" s="127" t="str">
        <f>IF(ISNA(VLOOKUP(Table3[[#This Row],[Ticket]],Table1[],17,FALSE)),"",VLOOKUP(Table3[[#This Row],[Ticket]],Table1[],17,FALSE))</f>
        <v/>
      </c>
      <c r="O1063" s="128" t="str">
        <f>IF(Table3[[#This Row],[Actual End Date]]="","",TEXT(Table3[[#This Row],[Actual End Date]],"mmm-yy"))</f>
        <v/>
      </c>
    </row>
    <row r="1064" spans="2:15">
      <c r="B1064" s="64"/>
      <c r="C1064" s="64"/>
      <c r="D1064" s="64"/>
      <c r="E1064" s="64"/>
      <c r="F1064" s="64"/>
      <c r="G1064" s="64"/>
      <c r="H1064" s="64"/>
      <c r="I1064" s="64"/>
      <c r="J1064" s="64"/>
      <c r="K1064" s="64"/>
      <c r="L1064" s="64"/>
      <c r="M1064" s="64"/>
      <c r="N1064" s="127" t="str">
        <f>IF(ISNA(VLOOKUP(Table3[[#This Row],[Ticket]],Table1[],17,FALSE)),"",VLOOKUP(Table3[[#This Row],[Ticket]],Table1[],17,FALSE))</f>
        <v/>
      </c>
      <c r="O1064" s="128" t="str">
        <f>IF(Table3[[#This Row],[Actual End Date]]="","",TEXT(Table3[[#This Row],[Actual End Date]],"mmm-yy"))</f>
        <v/>
      </c>
    </row>
    <row r="1065" spans="2:15">
      <c r="B1065" s="64"/>
      <c r="C1065" s="64"/>
      <c r="D1065" s="64"/>
      <c r="E1065" s="64"/>
      <c r="F1065" s="64"/>
      <c r="G1065" s="64"/>
      <c r="H1065" s="64"/>
      <c r="I1065" s="64"/>
      <c r="J1065" s="64"/>
      <c r="K1065" s="64"/>
      <c r="L1065" s="64"/>
      <c r="M1065" s="64"/>
      <c r="N1065" s="127" t="str">
        <f>IF(ISNA(VLOOKUP(Table3[[#This Row],[Ticket]],Table1[],17,FALSE)),"",VLOOKUP(Table3[[#This Row],[Ticket]],Table1[],17,FALSE))</f>
        <v/>
      </c>
      <c r="O1065" s="128" t="str">
        <f>IF(Table3[[#This Row],[Actual End Date]]="","",TEXT(Table3[[#This Row],[Actual End Date]],"mmm-yy"))</f>
        <v/>
      </c>
    </row>
    <row r="1066" spans="2:15">
      <c r="B1066" s="64"/>
      <c r="C1066" s="64"/>
      <c r="D1066" s="64"/>
      <c r="E1066" s="64"/>
      <c r="F1066" s="64"/>
      <c r="G1066" s="64"/>
      <c r="H1066" s="64"/>
      <c r="I1066" s="64"/>
      <c r="J1066" s="64"/>
      <c r="K1066" s="64"/>
      <c r="L1066" s="64"/>
      <c r="M1066" s="64"/>
      <c r="N1066" s="127" t="str">
        <f>IF(ISNA(VLOOKUP(Table3[[#This Row],[Ticket]],Table1[],17,FALSE)),"",VLOOKUP(Table3[[#This Row],[Ticket]],Table1[],17,FALSE))</f>
        <v/>
      </c>
      <c r="O1066" s="128" t="str">
        <f>IF(Table3[[#This Row],[Actual End Date]]="","",TEXT(Table3[[#This Row],[Actual End Date]],"mmm-yy"))</f>
        <v/>
      </c>
    </row>
    <row r="1067" spans="2:15">
      <c r="B1067" s="64"/>
      <c r="C1067" s="64"/>
      <c r="D1067" s="64"/>
      <c r="E1067" s="64"/>
      <c r="F1067" s="64"/>
      <c r="G1067" s="64"/>
      <c r="H1067" s="64"/>
      <c r="I1067" s="64"/>
      <c r="J1067" s="64"/>
      <c r="K1067" s="64"/>
      <c r="L1067" s="64"/>
      <c r="M1067" s="64"/>
      <c r="N1067" s="127" t="str">
        <f>IF(ISNA(VLOOKUP(Table3[[#This Row],[Ticket]],Table1[],17,FALSE)),"",VLOOKUP(Table3[[#This Row],[Ticket]],Table1[],17,FALSE))</f>
        <v/>
      </c>
      <c r="O1067" s="128" t="str">
        <f>IF(Table3[[#This Row],[Actual End Date]]="","",TEXT(Table3[[#This Row],[Actual End Date]],"mmm-yy"))</f>
        <v/>
      </c>
    </row>
    <row r="1068" spans="2:15">
      <c r="B1068" s="64"/>
      <c r="C1068" s="64"/>
      <c r="D1068" s="64"/>
      <c r="E1068" s="64"/>
      <c r="F1068" s="64"/>
      <c r="G1068" s="64"/>
      <c r="H1068" s="64"/>
      <c r="I1068" s="64"/>
      <c r="J1068" s="64"/>
      <c r="K1068" s="64"/>
      <c r="L1068" s="64"/>
      <c r="M1068" s="64"/>
      <c r="N1068" s="127" t="str">
        <f>IF(ISNA(VLOOKUP(Table3[[#This Row],[Ticket]],Table1[],17,FALSE)),"",VLOOKUP(Table3[[#This Row],[Ticket]],Table1[],17,FALSE))</f>
        <v/>
      </c>
      <c r="O1068" s="128" t="str">
        <f>IF(Table3[[#This Row],[Actual End Date]]="","",TEXT(Table3[[#This Row],[Actual End Date]],"mmm-yy"))</f>
        <v/>
      </c>
    </row>
    <row r="1069" spans="2:15">
      <c r="B1069" s="64"/>
      <c r="C1069" s="64"/>
      <c r="D1069" s="64"/>
      <c r="E1069" s="64"/>
      <c r="F1069" s="64"/>
      <c r="G1069" s="64"/>
      <c r="H1069" s="64"/>
      <c r="I1069" s="64"/>
      <c r="J1069" s="64"/>
      <c r="K1069" s="64"/>
      <c r="L1069" s="64"/>
      <c r="M1069" s="64"/>
      <c r="N1069" s="127" t="str">
        <f>IF(ISNA(VLOOKUP(Table3[[#This Row],[Ticket]],Table1[],17,FALSE)),"",VLOOKUP(Table3[[#This Row],[Ticket]],Table1[],17,FALSE))</f>
        <v/>
      </c>
      <c r="O1069" s="128" t="str">
        <f>IF(Table3[[#This Row],[Actual End Date]]="","",TEXT(Table3[[#This Row],[Actual End Date]],"mmm-yy"))</f>
        <v/>
      </c>
    </row>
    <row r="1070" spans="2:15">
      <c r="B1070" s="64"/>
      <c r="C1070" s="64"/>
      <c r="D1070" s="64"/>
      <c r="E1070" s="64"/>
      <c r="F1070" s="64"/>
      <c r="G1070" s="64"/>
      <c r="H1070" s="64"/>
      <c r="I1070" s="64"/>
      <c r="J1070" s="64"/>
      <c r="K1070" s="64"/>
      <c r="L1070" s="64"/>
      <c r="M1070" s="64"/>
      <c r="N1070" s="127" t="str">
        <f>IF(ISNA(VLOOKUP(Table3[[#This Row],[Ticket]],Table1[],17,FALSE)),"",VLOOKUP(Table3[[#This Row],[Ticket]],Table1[],17,FALSE))</f>
        <v/>
      </c>
      <c r="O1070" s="128" t="str">
        <f>IF(Table3[[#This Row],[Actual End Date]]="","",TEXT(Table3[[#This Row],[Actual End Date]],"mmm-yy"))</f>
        <v/>
      </c>
    </row>
    <row r="1071" spans="2:15">
      <c r="B1071" s="64"/>
      <c r="C1071" s="64"/>
      <c r="D1071" s="64"/>
      <c r="E1071" s="64"/>
      <c r="F1071" s="64"/>
      <c r="G1071" s="64"/>
      <c r="H1071" s="64"/>
      <c r="I1071" s="64"/>
      <c r="J1071" s="64"/>
      <c r="K1071" s="64"/>
      <c r="L1071" s="64"/>
      <c r="M1071" s="64"/>
      <c r="N1071" s="127" t="str">
        <f>IF(ISNA(VLOOKUP(Table3[[#This Row],[Ticket]],Table1[],17,FALSE)),"",VLOOKUP(Table3[[#This Row],[Ticket]],Table1[],17,FALSE))</f>
        <v/>
      </c>
      <c r="O1071" s="128" t="str">
        <f>IF(Table3[[#This Row],[Actual End Date]]="","",TEXT(Table3[[#This Row],[Actual End Date]],"mmm-yy"))</f>
        <v/>
      </c>
    </row>
    <row r="1072" spans="2:15">
      <c r="B1072" s="64"/>
      <c r="C1072" s="64"/>
      <c r="D1072" s="64"/>
      <c r="E1072" s="64"/>
      <c r="F1072" s="64"/>
      <c r="G1072" s="64"/>
      <c r="H1072" s="64"/>
      <c r="I1072" s="64"/>
      <c r="J1072" s="64"/>
      <c r="K1072" s="64"/>
      <c r="L1072" s="64"/>
      <c r="M1072" s="64"/>
      <c r="N1072" s="127" t="str">
        <f>IF(ISNA(VLOOKUP(Table3[[#This Row],[Ticket]],Table1[],17,FALSE)),"",VLOOKUP(Table3[[#This Row],[Ticket]],Table1[],17,FALSE))</f>
        <v/>
      </c>
      <c r="O1072" s="128" t="str">
        <f>IF(Table3[[#This Row],[Actual End Date]]="","",TEXT(Table3[[#This Row],[Actual End Date]],"mmm-yy"))</f>
        <v/>
      </c>
    </row>
    <row r="1073" spans="2:15">
      <c r="B1073" s="64"/>
      <c r="C1073" s="64"/>
      <c r="D1073" s="64"/>
      <c r="E1073" s="64"/>
      <c r="F1073" s="64"/>
      <c r="G1073" s="64"/>
      <c r="H1073" s="64"/>
      <c r="I1073" s="64"/>
      <c r="J1073" s="64"/>
      <c r="K1073" s="64"/>
      <c r="L1073" s="64"/>
      <c r="M1073" s="64"/>
      <c r="N1073" s="127" t="str">
        <f>IF(ISNA(VLOOKUP(Table3[[#This Row],[Ticket]],Table1[],17,FALSE)),"",VLOOKUP(Table3[[#This Row],[Ticket]],Table1[],17,FALSE))</f>
        <v/>
      </c>
      <c r="O1073" s="128" t="str">
        <f>IF(Table3[[#This Row],[Actual End Date]]="","",TEXT(Table3[[#This Row],[Actual End Date]],"mmm-yy"))</f>
        <v/>
      </c>
    </row>
    <row r="1074" spans="2:15">
      <c r="B1074" s="64"/>
      <c r="C1074" s="64"/>
      <c r="D1074" s="64"/>
      <c r="E1074" s="64"/>
      <c r="F1074" s="64"/>
      <c r="G1074" s="64"/>
      <c r="H1074" s="64"/>
      <c r="I1074" s="64"/>
      <c r="J1074" s="64"/>
      <c r="K1074" s="64"/>
      <c r="L1074" s="64"/>
      <c r="M1074" s="64"/>
      <c r="N1074" s="127" t="str">
        <f>IF(ISNA(VLOOKUP(Table3[[#This Row],[Ticket]],Table1[],17,FALSE)),"",VLOOKUP(Table3[[#This Row],[Ticket]],Table1[],17,FALSE))</f>
        <v/>
      </c>
      <c r="O1074" s="128" t="str">
        <f>IF(Table3[[#This Row],[Actual End Date]]="","",TEXT(Table3[[#This Row],[Actual End Date]],"mmm-yy"))</f>
        <v/>
      </c>
    </row>
    <row r="1075" spans="2:15">
      <c r="B1075" s="64"/>
      <c r="C1075" s="64"/>
      <c r="D1075" s="64"/>
      <c r="E1075" s="64"/>
      <c r="F1075" s="64"/>
      <c r="G1075" s="64"/>
      <c r="H1075" s="64"/>
      <c r="I1075" s="64"/>
      <c r="J1075" s="64"/>
      <c r="K1075" s="64"/>
      <c r="L1075" s="64"/>
      <c r="M1075" s="64"/>
      <c r="N1075" s="127" t="str">
        <f>IF(ISNA(VLOOKUP(Table3[[#This Row],[Ticket]],Table1[],17,FALSE)),"",VLOOKUP(Table3[[#This Row],[Ticket]],Table1[],17,FALSE))</f>
        <v/>
      </c>
      <c r="O1075" s="128" t="str">
        <f>IF(Table3[[#This Row],[Actual End Date]]="","",TEXT(Table3[[#This Row],[Actual End Date]],"mmm-yy"))</f>
        <v/>
      </c>
    </row>
    <row r="1076" spans="2:15">
      <c r="B1076" s="64"/>
      <c r="C1076" s="64"/>
      <c r="D1076" s="64"/>
      <c r="E1076" s="64"/>
      <c r="F1076" s="64"/>
      <c r="G1076" s="64"/>
      <c r="H1076" s="64"/>
      <c r="I1076" s="64"/>
      <c r="J1076" s="64"/>
      <c r="K1076" s="64"/>
      <c r="L1076" s="64"/>
      <c r="M1076" s="64"/>
      <c r="N1076" s="127" t="str">
        <f>IF(ISNA(VLOOKUP(Table3[[#This Row],[Ticket]],Table1[],17,FALSE)),"",VLOOKUP(Table3[[#This Row],[Ticket]],Table1[],17,FALSE))</f>
        <v/>
      </c>
      <c r="O1076" s="128" t="str">
        <f>IF(Table3[[#This Row],[Actual End Date]]="","",TEXT(Table3[[#This Row],[Actual End Date]],"mmm-yy"))</f>
        <v/>
      </c>
    </row>
    <row r="1077" spans="2:15">
      <c r="B1077" s="64"/>
      <c r="C1077" s="64"/>
      <c r="D1077" s="64"/>
      <c r="E1077" s="64"/>
      <c r="F1077" s="64"/>
      <c r="G1077" s="64"/>
      <c r="H1077" s="64"/>
      <c r="I1077" s="64"/>
      <c r="J1077" s="64"/>
      <c r="K1077" s="64"/>
      <c r="L1077" s="64"/>
      <c r="M1077" s="64"/>
      <c r="N1077" s="127" t="str">
        <f>IF(ISNA(VLOOKUP(Table3[[#This Row],[Ticket]],Table1[],17,FALSE)),"",VLOOKUP(Table3[[#This Row],[Ticket]],Table1[],17,FALSE))</f>
        <v/>
      </c>
      <c r="O1077" s="128" t="str">
        <f>IF(Table3[[#This Row],[Actual End Date]]="","",TEXT(Table3[[#This Row],[Actual End Date]],"mmm-yy"))</f>
        <v/>
      </c>
    </row>
    <row r="1078" spans="2:15">
      <c r="B1078" s="64"/>
      <c r="C1078" s="64"/>
      <c r="D1078" s="64"/>
      <c r="E1078" s="64"/>
      <c r="F1078" s="64"/>
      <c r="G1078" s="64"/>
      <c r="H1078" s="64"/>
      <c r="I1078" s="64"/>
      <c r="J1078" s="64"/>
      <c r="K1078" s="64"/>
      <c r="L1078" s="64"/>
      <c r="M1078" s="64"/>
      <c r="N1078" s="127" t="str">
        <f>IF(ISNA(VLOOKUP(Table3[[#This Row],[Ticket]],Table1[],17,FALSE)),"",VLOOKUP(Table3[[#This Row],[Ticket]],Table1[],17,FALSE))</f>
        <v/>
      </c>
      <c r="O1078" s="128" t="str">
        <f>IF(Table3[[#This Row],[Actual End Date]]="","",TEXT(Table3[[#This Row],[Actual End Date]],"mmm-yy"))</f>
        <v/>
      </c>
    </row>
    <row r="1079" spans="2:15">
      <c r="B1079" s="64"/>
      <c r="C1079" s="64"/>
      <c r="D1079" s="64"/>
      <c r="E1079" s="64"/>
      <c r="F1079" s="64"/>
      <c r="G1079" s="64"/>
      <c r="H1079" s="64"/>
      <c r="I1079" s="64"/>
      <c r="J1079" s="64"/>
      <c r="K1079" s="64"/>
      <c r="L1079" s="64"/>
      <c r="M1079" s="64"/>
      <c r="N1079" s="127" t="str">
        <f>IF(ISNA(VLOOKUP(Table3[[#This Row],[Ticket]],Table1[],17,FALSE)),"",VLOOKUP(Table3[[#This Row],[Ticket]],Table1[],17,FALSE))</f>
        <v/>
      </c>
      <c r="O1079" s="128" t="str">
        <f>IF(Table3[[#This Row],[Actual End Date]]="","",TEXT(Table3[[#This Row],[Actual End Date]],"mmm-yy"))</f>
        <v/>
      </c>
    </row>
    <row r="1080" spans="2:15">
      <c r="B1080" s="64"/>
      <c r="C1080" s="64"/>
      <c r="D1080" s="64"/>
      <c r="E1080" s="64"/>
      <c r="F1080" s="64"/>
      <c r="G1080" s="64"/>
      <c r="H1080" s="64"/>
      <c r="I1080" s="64"/>
      <c r="J1080" s="64"/>
      <c r="K1080" s="64"/>
      <c r="L1080" s="64"/>
      <c r="M1080" s="64"/>
      <c r="N1080" s="127" t="str">
        <f>IF(ISNA(VLOOKUP(Table3[[#This Row],[Ticket]],Table1[],17,FALSE)),"",VLOOKUP(Table3[[#This Row],[Ticket]],Table1[],17,FALSE))</f>
        <v/>
      </c>
      <c r="O1080" s="128" t="str">
        <f>IF(Table3[[#This Row],[Actual End Date]]="","",TEXT(Table3[[#This Row],[Actual End Date]],"mmm-yy"))</f>
        <v/>
      </c>
    </row>
    <row r="1081" spans="2:15">
      <c r="B1081" s="64"/>
      <c r="C1081" s="64"/>
      <c r="D1081" s="64"/>
      <c r="E1081" s="64"/>
      <c r="F1081" s="64"/>
      <c r="G1081" s="64"/>
      <c r="H1081" s="64"/>
      <c r="I1081" s="64"/>
      <c r="J1081" s="64"/>
      <c r="K1081" s="64"/>
      <c r="L1081" s="64"/>
      <c r="M1081" s="64"/>
      <c r="N1081" s="127" t="str">
        <f>IF(ISNA(VLOOKUP(Table3[[#This Row],[Ticket]],Table1[],17,FALSE)),"",VLOOKUP(Table3[[#This Row],[Ticket]],Table1[],17,FALSE))</f>
        <v/>
      </c>
      <c r="O1081" s="128" t="str">
        <f>IF(Table3[[#This Row],[Actual End Date]]="","",TEXT(Table3[[#This Row],[Actual End Date]],"mmm-yy"))</f>
        <v/>
      </c>
    </row>
    <row r="1082" spans="2:15">
      <c r="B1082" s="64"/>
      <c r="C1082" s="64"/>
      <c r="D1082" s="64"/>
      <c r="E1082" s="64"/>
      <c r="F1082" s="64"/>
      <c r="G1082" s="64"/>
      <c r="H1082" s="64"/>
      <c r="I1082" s="64"/>
      <c r="J1082" s="64"/>
      <c r="K1082" s="64"/>
      <c r="L1082" s="64"/>
      <c r="M1082" s="64"/>
      <c r="N1082" s="127" t="str">
        <f>IF(ISNA(VLOOKUP(Table3[[#This Row],[Ticket]],Table1[],17,FALSE)),"",VLOOKUP(Table3[[#This Row],[Ticket]],Table1[],17,FALSE))</f>
        <v/>
      </c>
      <c r="O1082" s="128" t="str">
        <f>IF(Table3[[#This Row],[Actual End Date]]="","",TEXT(Table3[[#This Row],[Actual End Date]],"mmm-yy"))</f>
        <v/>
      </c>
    </row>
    <row r="1083" spans="2:15">
      <c r="B1083" s="64"/>
      <c r="C1083" s="64"/>
      <c r="D1083" s="64"/>
      <c r="E1083" s="64"/>
      <c r="F1083" s="64"/>
      <c r="G1083" s="64"/>
      <c r="H1083" s="64"/>
      <c r="I1083" s="64"/>
      <c r="J1083" s="64"/>
      <c r="K1083" s="64"/>
      <c r="L1083" s="64"/>
      <c r="M1083" s="64"/>
      <c r="N1083" s="127" t="str">
        <f>IF(ISNA(VLOOKUP(Table3[[#This Row],[Ticket]],Table1[],17,FALSE)),"",VLOOKUP(Table3[[#This Row],[Ticket]],Table1[],17,FALSE))</f>
        <v/>
      </c>
      <c r="O1083" s="128" t="str">
        <f>IF(Table3[[#This Row],[Actual End Date]]="","",TEXT(Table3[[#This Row],[Actual End Date]],"mmm-yy"))</f>
        <v/>
      </c>
    </row>
    <row r="1084" spans="2:15">
      <c r="B1084" s="64"/>
      <c r="C1084" s="64"/>
      <c r="D1084" s="64"/>
      <c r="E1084" s="64"/>
      <c r="F1084" s="64"/>
      <c r="G1084" s="64"/>
      <c r="H1084" s="64"/>
      <c r="I1084" s="64"/>
      <c r="J1084" s="64"/>
      <c r="K1084" s="64"/>
      <c r="L1084" s="64"/>
      <c r="M1084" s="64"/>
      <c r="N1084" s="127" t="str">
        <f>IF(ISNA(VLOOKUP(Table3[[#This Row],[Ticket]],Table1[],17,FALSE)),"",VLOOKUP(Table3[[#This Row],[Ticket]],Table1[],17,FALSE))</f>
        <v/>
      </c>
      <c r="O1084" s="128" t="str">
        <f>IF(Table3[[#This Row],[Actual End Date]]="","",TEXT(Table3[[#This Row],[Actual End Date]],"mmm-yy"))</f>
        <v/>
      </c>
    </row>
    <row r="1085" spans="2:15">
      <c r="B1085" s="64"/>
      <c r="C1085" s="64"/>
      <c r="D1085" s="64"/>
      <c r="E1085" s="64"/>
      <c r="F1085" s="64"/>
      <c r="G1085" s="64"/>
      <c r="H1085" s="64"/>
      <c r="I1085" s="64"/>
      <c r="J1085" s="64"/>
      <c r="K1085" s="64"/>
      <c r="L1085" s="64"/>
      <c r="M1085" s="64"/>
      <c r="N1085" s="127" t="str">
        <f>IF(ISNA(VLOOKUP(Table3[[#This Row],[Ticket]],Table1[],17,FALSE)),"",VLOOKUP(Table3[[#This Row],[Ticket]],Table1[],17,FALSE))</f>
        <v/>
      </c>
      <c r="O1085" s="128" t="str">
        <f>IF(Table3[[#This Row],[Actual End Date]]="","",TEXT(Table3[[#This Row],[Actual End Date]],"mmm-yy"))</f>
        <v/>
      </c>
    </row>
    <row r="1086" spans="2:15">
      <c r="B1086" s="64"/>
      <c r="C1086" s="64"/>
      <c r="D1086" s="64"/>
      <c r="E1086" s="64"/>
      <c r="F1086" s="64"/>
      <c r="G1086" s="64"/>
      <c r="H1086" s="64"/>
      <c r="I1086" s="64"/>
      <c r="J1086" s="64"/>
      <c r="K1086" s="64"/>
      <c r="L1086" s="64"/>
      <c r="M1086" s="64"/>
      <c r="N1086" s="127" t="str">
        <f>IF(ISNA(VLOOKUP(Table3[[#This Row],[Ticket]],Table1[],17,FALSE)),"",VLOOKUP(Table3[[#This Row],[Ticket]],Table1[],17,FALSE))</f>
        <v/>
      </c>
      <c r="O1086" s="128" t="str">
        <f>IF(Table3[[#This Row],[Actual End Date]]="","",TEXT(Table3[[#This Row],[Actual End Date]],"mmm-yy"))</f>
        <v/>
      </c>
    </row>
    <row r="1087" spans="2:15">
      <c r="B1087" s="64"/>
      <c r="C1087" s="64"/>
      <c r="D1087" s="64"/>
      <c r="E1087" s="64"/>
      <c r="F1087" s="64"/>
      <c r="G1087" s="64"/>
      <c r="H1087" s="64"/>
      <c r="I1087" s="64"/>
      <c r="J1087" s="64"/>
      <c r="K1087" s="64"/>
      <c r="L1087" s="64"/>
      <c r="M1087" s="64"/>
      <c r="N1087" s="127" t="str">
        <f>IF(ISNA(VLOOKUP(Table3[[#This Row],[Ticket]],Table1[],17,FALSE)),"",VLOOKUP(Table3[[#This Row],[Ticket]],Table1[],17,FALSE))</f>
        <v/>
      </c>
      <c r="O1087" s="128" t="str">
        <f>IF(Table3[[#This Row],[Actual End Date]]="","",TEXT(Table3[[#This Row],[Actual End Date]],"mmm-yy"))</f>
        <v/>
      </c>
    </row>
    <row r="1088" spans="2:15">
      <c r="B1088" s="64"/>
      <c r="C1088" s="64"/>
      <c r="D1088" s="64"/>
      <c r="E1088" s="64"/>
      <c r="F1088" s="64"/>
      <c r="G1088" s="64"/>
      <c r="H1088" s="64"/>
      <c r="I1088" s="64"/>
      <c r="J1088" s="64"/>
      <c r="K1088" s="64"/>
      <c r="L1088" s="64"/>
      <c r="M1088" s="64"/>
      <c r="N1088" s="127" t="str">
        <f>IF(ISNA(VLOOKUP(Table3[[#This Row],[Ticket]],Table1[],17,FALSE)),"",VLOOKUP(Table3[[#This Row],[Ticket]],Table1[],17,FALSE))</f>
        <v/>
      </c>
      <c r="O1088" s="128" t="str">
        <f>IF(Table3[[#This Row],[Actual End Date]]="","",TEXT(Table3[[#This Row],[Actual End Date]],"mmm-yy"))</f>
        <v/>
      </c>
    </row>
    <row r="1089" spans="2:15">
      <c r="B1089" s="64"/>
      <c r="C1089" s="64"/>
      <c r="D1089" s="64"/>
      <c r="E1089" s="64"/>
      <c r="F1089" s="64"/>
      <c r="G1089" s="64"/>
      <c r="H1089" s="64"/>
      <c r="I1089" s="64"/>
      <c r="J1089" s="64"/>
      <c r="K1089" s="64"/>
      <c r="L1089" s="64"/>
      <c r="M1089" s="64"/>
      <c r="N1089" s="127" t="str">
        <f>IF(ISNA(VLOOKUP(Table3[[#This Row],[Ticket]],Table1[],17,FALSE)),"",VLOOKUP(Table3[[#This Row],[Ticket]],Table1[],17,FALSE))</f>
        <v/>
      </c>
      <c r="O1089" s="128" t="str">
        <f>IF(Table3[[#This Row],[Actual End Date]]="","",TEXT(Table3[[#This Row],[Actual End Date]],"mmm-yy"))</f>
        <v/>
      </c>
    </row>
    <row r="1090" spans="2:15">
      <c r="B1090" s="64"/>
      <c r="C1090" s="64"/>
      <c r="D1090" s="64"/>
      <c r="E1090" s="64"/>
      <c r="F1090" s="64"/>
      <c r="G1090" s="64"/>
      <c r="H1090" s="64"/>
      <c r="I1090" s="64"/>
      <c r="J1090" s="64"/>
      <c r="K1090" s="64"/>
      <c r="L1090" s="64"/>
      <c r="M1090" s="64"/>
      <c r="N1090" s="127" t="str">
        <f>IF(ISNA(VLOOKUP(Table3[[#This Row],[Ticket]],Table1[],17,FALSE)),"",VLOOKUP(Table3[[#This Row],[Ticket]],Table1[],17,FALSE))</f>
        <v/>
      </c>
      <c r="O1090" s="128" t="str">
        <f>IF(Table3[[#This Row],[Actual End Date]]="","",TEXT(Table3[[#This Row],[Actual End Date]],"mmm-yy"))</f>
        <v/>
      </c>
    </row>
    <row r="1091" spans="2:15">
      <c r="B1091" s="64"/>
      <c r="C1091" s="64"/>
      <c r="D1091" s="64"/>
      <c r="E1091" s="64"/>
      <c r="F1091" s="64"/>
      <c r="G1091" s="64"/>
      <c r="H1091" s="64"/>
      <c r="I1091" s="64"/>
      <c r="J1091" s="64"/>
      <c r="K1091" s="64"/>
      <c r="L1091" s="64"/>
      <c r="M1091" s="64"/>
      <c r="N1091" s="127" t="str">
        <f>IF(ISNA(VLOOKUP(Table3[[#This Row],[Ticket]],Table1[],17,FALSE)),"",VLOOKUP(Table3[[#This Row],[Ticket]],Table1[],17,FALSE))</f>
        <v/>
      </c>
      <c r="O1091" s="128" t="str">
        <f>IF(Table3[[#This Row],[Actual End Date]]="","",TEXT(Table3[[#This Row],[Actual End Date]],"mmm-yy"))</f>
        <v/>
      </c>
    </row>
    <row r="1092" spans="2:15">
      <c r="B1092" s="64"/>
      <c r="C1092" s="64"/>
      <c r="D1092" s="64"/>
      <c r="E1092" s="64"/>
      <c r="F1092" s="64"/>
      <c r="G1092" s="64"/>
      <c r="H1092" s="64"/>
      <c r="I1092" s="64"/>
      <c r="J1092" s="64"/>
      <c r="K1092" s="64"/>
      <c r="L1092" s="64"/>
      <c r="M1092" s="64"/>
      <c r="N1092" s="127" t="str">
        <f>IF(ISNA(VLOOKUP(Table3[[#This Row],[Ticket]],Table1[],17,FALSE)),"",VLOOKUP(Table3[[#This Row],[Ticket]],Table1[],17,FALSE))</f>
        <v/>
      </c>
      <c r="O1092" s="128" t="str">
        <f>IF(Table3[[#This Row],[Actual End Date]]="","",TEXT(Table3[[#This Row],[Actual End Date]],"mmm-yy"))</f>
        <v/>
      </c>
    </row>
    <row r="1093" spans="2:15">
      <c r="B1093" s="64"/>
      <c r="C1093" s="64"/>
      <c r="D1093" s="64"/>
      <c r="E1093" s="64"/>
      <c r="F1093" s="64"/>
      <c r="G1093" s="64"/>
      <c r="H1093" s="64"/>
      <c r="I1093" s="64"/>
      <c r="J1093" s="64"/>
      <c r="K1093" s="64"/>
      <c r="L1093" s="64"/>
      <c r="M1093" s="64"/>
      <c r="N1093" s="127" t="str">
        <f>IF(ISNA(VLOOKUP(Table3[[#This Row],[Ticket]],Table1[],17,FALSE)),"",VLOOKUP(Table3[[#This Row],[Ticket]],Table1[],17,FALSE))</f>
        <v/>
      </c>
      <c r="O1093" s="128" t="str">
        <f>IF(Table3[[#This Row],[Actual End Date]]="","",TEXT(Table3[[#This Row],[Actual End Date]],"mmm-yy"))</f>
        <v/>
      </c>
    </row>
    <row r="1094" spans="2:15">
      <c r="B1094" s="64"/>
      <c r="C1094" s="64"/>
      <c r="D1094" s="64"/>
      <c r="E1094" s="64"/>
      <c r="F1094" s="64"/>
      <c r="G1094" s="64"/>
      <c r="H1094" s="64"/>
      <c r="I1094" s="64"/>
      <c r="J1094" s="64"/>
      <c r="K1094" s="64"/>
      <c r="L1094" s="64"/>
      <c r="M1094" s="64"/>
      <c r="N1094" s="127" t="str">
        <f>IF(ISNA(VLOOKUP(Table3[[#This Row],[Ticket]],Table1[],17,FALSE)),"",VLOOKUP(Table3[[#This Row],[Ticket]],Table1[],17,FALSE))</f>
        <v/>
      </c>
      <c r="O1094" s="128" t="str">
        <f>IF(Table3[[#This Row],[Actual End Date]]="","",TEXT(Table3[[#This Row],[Actual End Date]],"mmm-yy"))</f>
        <v/>
      </c>
    </row>
    <row r="1095" spans="2:15">
      <c r="B1095" s="64"/>
      <c r="C1095" s="64"/>
      <c r="D1095" s="64"/>
      <c r="E1095" s="64"/>
      <c r="F1095" s="64"/>
      <c r="G1095" s="64"/>
      <c r="H1095" s="64"/>
      <c r="I1095" s="64"/>
      <c r="J1095" s="64"/>
      <c r="K1095" s="64"/>
      <c r="L1095" s="64"/>
      <c r="M1095" s="64"/>
      <c r="N1095" s="127" t="str">
        <f>IF(ISNA(VLOOKUP(Table3[[#This Row],[Ticket]],Table1[],17,FALSE)),"",VLOOKUP(Table3[[#This Row],[Ticket]],Table1[],17,FALSE))</f>
        <v/>
      </c>
      <c r="O1095" s="128" t="str">
        <f>IF(Table3[[#This Row],[Actual End Date]]="","",TEXT(Table3[[#This Row],[Actual End Date]],"mmm-yy"))</f>
        <v/>
      </c>
    </row>
    <row r="1096" spans="2:15">
      <c r="B1096" s="64"/>
      <c r="C1096" s="64"/>
      <c r="D1096" s="64"/>
      <c r="E1096" s="64"/>
      <c r="F1096" s="64"/>
      <c r="G1096" s="64"/>
      <c r="H1096" s="64"/>
      <c r="I1096" s="64"/>
      <c r="J1096" s="64"/>
      <c r="K1096" s="64"/>
      <c r="L1096" s="64"/>
      <c r="M1096" s="64"/>
      <c r="N1096" s="127" t="str">
        <f>IF(ISNA(VLOOKUP(Table3[[#This Row],[Ticket]],Table1[],17,FALSE)),"",VLOOKUP(Table3[[#This Row],[Ticket]],Table1[],17,FALSE))</f>
        <v/>
      </c>
      <c r="O1096" s="128" t="str">
        <f>IF(Table3[[#This Row],[Actual End Date]]="","",TEXT(Table3[[#This Row],[Actual End Date]],"mmm-yy"))</f>
        <v/>
      </c>
    </row>
    <row r="1097" spans="2:15">
      <c r="B1097" s="64"/>
      <c r="C1097" s="64"/>
      <c r="D1097" s="64"/>
      <c r="E1097" s="64"/>
      <c r="F1097" s="64"/>
      <c r="G1097" s="64"/>
      <c r="H1097" s="64"/>
      <c r="I1097" s="64"/>
      <c r="J1097" s="64"/>
      <c r="K1097" s="64"/>
      <c r="L1097" s="64"/>
      <c r="M1097" s="64"/>
      <c r="N1097" s="127" t="str">
        <f>IF(ISNA(VLOOKUP(Table3[[#This Row],[Ticket]],Table1[],17,FALSE)),"",VLOOKUP(Table3[[#This Row],[Ticket]],Table1[],17,FALSE))</f>
        <v/>
      </c>
      <c r="O1097" s="128" t="str">
        <f>IF(Table3[[#This Row],[Actual End Date]]="","",TEXT(Table3[[#This Row],[Actual End Date]],"mmm-yy"))</f>
        <v/>
      </c>
    </row>
    <row r="1098" spans="2:15">
      <c r="B1098" s="64"/>
      <c r="C1098" s="64"/>
      <c r="D1098" s="64"/>
      <c r="E1098" s="64"/>
      <c r="F1098" s="64"/>
      <c r="G1098" s="64"/>
      <c r="H1098" s="64"/>
      <c r="I1098" s="64"/>
      <c r="J1098" s="64"/>
      <c r="K1098" s="64"/>
      <c r="L1098" s="64"/>
      <c r="M1098" s="64"/>
      <c r="N1098" s="127" t="str">
        <f>IF(ISNA(VLOOKUP(Table3[[#This Row],[Ticket]],Table1[],17,FALSE)),"",VLOOKUP(Table3[[#This Row],[Ticket]],Table1[],17,FALSE))</f>
        <v/>
      </c>
      <c r="O1098" s="128" t="str">
        <f>IF(Table3[[#This Row],[Actual End Date]]="","",TEXT(Table3[[#This Row],[Actual End Date]],"mmm-yy"))</f>
        <v/>
      </c>
    </row>
    <row r="1099" spans="2:15">
      <c r="B1099" s="64"/>
      <c r="C1099" s="64"/>
      <c r="D1099" s="64"/>
      <c r="E1099" s="64"/>
      <c r="F1099" s="64"/>
      <c r="G1099" s="64"/>
      <c r="H1099" s="64"/>
      <c r="I1099" s="64"/>
      <c r="J1099" s="64"/>
      <c r="K1099" s="64"/>
      <c r="L1099" s="64"/>
      <c r="M1099" s="64"/>
      <c r="N1099" s="127" t="str">
        <f>IF(ISNA(VLOOKUP(Table3[[#This Row],[Ticket]],Table1[],17,FALSE)),"",VLOOKUP(Table3[[#This Row],[Ticket]],Table1[],17,FALSE))</f>
        <v/>
      </c>
      <c r="O1099" s="128" t="str">
        <f>IF(Table3[[#This Row],[Actual End Date]]="","",TEXT(Table3[[#This Row],[Actual End Date]],"mmm-yy"))</f>
        <v/>
      </c>
    </row>
    <row r="1100" spans="2:15">
      <c r="B1100" s="64"/>
      <c r="C1100" s="64"/>
      <c r="D1100" s="64"/>
      <c r="E1100" s="64"/>
      <c r="F1100" s="64"/>
      <c r="G1100" s="64"/>
      <c r="H1100" s="64"/>
      <c r="I1100" s="64"/>
      <c r="J1100" s="64"/>
      <c r="K1100" s="64"/>
      <c r="L1100" s="64"/>
      <c r="M1100" s="64"/>
      <c r="N1100" s="127" t="str">
        <f>IF(ISNA(VLOOKUP(Table3[[#This Row],[Ticket]],Table1[],17,FALSE)),"",VLOOKUP(Table3[[#This Row],[Ticket]],Table1[],17,FALSE))</f>
        <v/>
      </c>
      <c r="O1100" s="128" t="str">
        <f>IF(Table3[[#This Row],[Actual End Date]]="","",TEXT(Table3[[#This Row],[Actual End Date]],"mmm-yy"))</f>
        <v/>
      </c>
    </row>
    <row r="1101" spans="2:15">
      <c r="B1101" s="64"/>
      <c r="C1101" s="64"/>
      <c r="D1101" s="64"/>
      <c r="E1101" s="64"/>
      <c r="F1101" s="64"/>
      <c r="G1101" s="64"/>
      <c r="H1101" s="64"/>
      <c r="I1101" s="64"/>
      <c r="J1101" s="64"/>
      <c r="K1101" s="64"/>
      <c r="L1101" s="64"/>
      <c r="M1101" s="64"/>
      <c r="N1101" s="127" t="str">
        <f>IF(ISNA(VLOOKUP(Table3[[#This Row],[Ticket]],Table1[],17,FALSE)),"",VLOOKUP(Table3[[#This Row],[Ticket]],Table1[],17,FALSE))</f>
        <v/>
      </c>
      <c r="O1101" s="128" t="str">
        <f>IF(Table3[[#This Row],[Actual End Date]]="","",TEXT(Table3[[#This Row],[Actual End Date]],"mmm-yy"))</f>
        <v/>
      </c>
    </row>
    <row r="1102" spans="2:15">
      <c r="B1102" s="64"/>
      <c r="C1102" s="64"/>
      <c r="D1102" s="64"/>
      <c r="E1102" s="64"/>
      <c r="F1102" s="64"/>
      <c r="G1102" s="64"/>
      <c r="H1102" s="64"/>
      <c r="I1102" s="64"/>
      <c r="J1102" s="64"/>
      <c r="K1102" s="64"/>
      <c r="L1102" s="64"/>
      <c r="M1102" s="64"/>
      <c r="N1102" s="127" t="str">
        <f>IF(ISNA(VLOOKUP(Table3[[#This Row],[Ticket]],Table1[],17,FALSE)),"",VLOOKUP(Table3[[#This Row],[Ticket]],Table1[],17,FALSE))</f>
        <v/>
      </c>
      <c r="O1102" s="128" t="str">
        <f>IF(Table3[[#This Row],[Actual End Date]]="","",TEXT(Table3[[#This Row],[Actual End Date]],"mmm-yy"))</f>
        <v/>
      </c>
    </row>
    <row r="1103" spans="2:15">
      <c r="B1103" s="64"/>
      <c r="C1103" s="64"/>
      <c r="D1103" s="64"/>
      <c r="E1103" s="64"/>
      <c r="F1103" s="64"/>
      <c r="G1103" s="64"/>
      <c r="H1103" s="64"/>
      <c r="I1103" s="64"/>
      <c r="J1103" s="64"/>
      <c r="K1103" s="64"/>
      <c r="L1103" s="64"/>
      <c r="M1103" s="64"/>
      <c r="N1103" s="127" t="str">
        <f>IF(ISNA(VLOOKUP(Table3[[#This Row],[Ticket]],Table1[],17,FALSE)),"",VLOOKUP(Table3[[#This Row],[Ticket]],Table1[],17,FALSE))</f>
        <v/>
      </c>
      <c r="O1103" s="128" t="str">
        <f>IF(Table3[[#This Row],[Actual End Date]]="","",TEXT(Table3[[#This Row],[Actual End Date]],"mmm-yy"))</f>
        <v/>
      </c>
    </row>
    <row r="1104" spans="2:15">
      <c r="B1104" s="64"/>
      <c r="C1104" s="64"/>
      <c r="D1104" s="64"/>
      <c r="E1104" s="64"/>
      <c r="F1104" s="64"/>
      <c r="G1104" s="64"/>
      <c r="H1104" s="64"/>
      <c r="I1104" s="64"/>
      <c r="J1104" s="64"/>
      <c r="K1104" s="64"/>
      <c r="L1104" s="64"/>
      <c r="M1104" s="64"/>
      <c r="N1104" s="127" t="str">
        <f>IF(ISNA(VLOOKUP(Table3[[#This Row],[Ticket]],Table1[],17,FALSE)),"",VLOOKUP(Table3[[#This Row],[Ticket]],Table1[],17,FALSE))</f>
        <v/>
      </c>
      <c r="O1104" s="128" t="str">
        <f>IF(Table3[[#This Row],[Actual End Date]]="","",TEXT(Table3[[#This Row],[Actual End Date]],"mmm-yy"))</f>
        <v/>
      </c>
    </row>
    <row r="1105" spans="2:15">
      <c r="B1105" s="64"/>
      <c r="C1105" s="64"/>
      <c r="D1105" s="64"/>
      <c r="E1105" s="64"/>
      <c r="F1105" s="64"/>
      <c r="G1105" s="64"/>
      <c r="H1105" s="64"/>
      <c r="I1105" s="64"/>
      <c r="J1105" s="64"/>
      <c r="K1105" s="64"/>
      <c r="L1105" s="64"/>
      <c r="M1105" s="64"/>
      <c r="N1105" s="127" t="str">
        <f>IF(ISNA(VLOOKUP(Table3[[#This Row],[Ticket]],Table1[],17,FALSE)),"",VLOOKUP(Table3[[#This Row],[Ticket]],Table1[],17,FALSE))</f>
        <v/>
      </c>
      <c r="O1105" s="128" t="str">
        <f>IF(Table3[[#This Row],[Actual End Date]]="","",TEXT(Table3[[#This Row],[Actual End Date]],"mmm-yy"))</f>
        <v/>
      </c>
    </row>
    <row r="1106" spans="2:15">
      <c r="B1106" s="64"/>
      <c r="C1106" s="64"/>
      <c r="D1106" s="64"/>
      <c r="E1106" s="64"/>
      <c r="F1106" s="64"/>
      <c r="G1106" s="64"/>
      <c r="H1106" s="64"/>
      <c r="I1106" s="64"/>
      <c r="J1106" s="64"/>
      <c r="K1106" s="64"/>
      <c r="L1106" s="64"/>
      <c r="M1106" s="64"/>
      <c r="N1106" s="127" t="str">
        <f>IF(ISNA(VLOOKUP(Table3[[#This Row],[Ticket]],Table1[],17,FALSE)),"",VLOOKUP(Table3[[#This Row],[Ticket]],Table1[],17,FALSE))</f>
        <v/>
      </c>
      <c r="O1106" s="128" t="str">
        <f>IF(Table3[[#This Row],[Actual End Date]]="","",TEXT(Table3[[#This Row],[Actual End Date]],"mmm-yy"))</f>
        <v/>
      </c>
    </row>
    <row r="1107" spans="2:15">
      <c r="B1107" s="64"/>
      <c r="C1107" s="64"/>
      <c r="D1107" s="64"/>
      <c r="E1107" s="64"/>
      <c r="F1107" s="64"/>
      <c r="G1107" s="64"/>
      <c r="H1107" s="64"/>
      <c r="I1107" s="64"/>
      <c r="J1107" s="64"/>
      <c r="K1107" s="64"/>
      <c r="L1107" s="64"/>
      <c r="M1107" s="64"/>
      <c r="N1107" s="127" t="str">
        <f>IF(ISNA(VLOOKUP(Table3[[#This Row],[Ticket]],Table1[],17,FALSE)),"",VLOOKUP(Table3[[#This Row],[Ticket]],Table1[],17,FALSE))</f>
        <v/>
      </c>
      <c r="O1107" s="128" t="str">
        <f>IF(Table3[[#This Row],[Actual End Date]]="","",TEXT(Table3[[#This Row],[Actual End Date]],"mmm-yy"))</f>
        <v/>
      </c>
    </row>
    <row r="1108" spans="2:15">
      <c r="B1108" s="64"/>
      <c r="C1108" s="64"/>
      <c r="D1108" s="64"/>
      <c r="E1108" s="64"/>
      <c r="F1108" s="64"/>
      <c r="G1108" s="64"/>
      <c r="H1108" s="64"/>
      <c r="I1108" s="64"/>
      <c r="J1108" s="64"/>
      <c r="K1108" s="64"/>
      <c r="L1108" s="64"/>
      <c r="M1108" s="64"/>
      <c r="N1108" s="127" t="str">
        <f>IF(ISNA(VLOOKUP(Table3[[#This Row],[Ticket]],Table1[],17,FALSE)),"",VLOOKUP(Table3[[#This Row],[Ticket]],Table1[],17,FALSE))</f>
        <v/>
      </c>
      <c r="O1108" s="128" t="str">
        <f>IF(Table3[[#This Row],[Actual End Date]]="","",TEXT(Table3[[#This Row],[Actual End Date]],"mmm-yy"))</f>
        <v/>
      </c>
    </row>
    <row r="1109" spans="2:15">
      <c r="B1109" s="64"/>
      <c r="C1109" s="64"/>
      <c r="D1109" s="64"/>
      <c r="E1109" s="64"/>
      <c r="F1109" s="64"/>
      <c r="G1109" s="64"/>
      <c r="H1109" s="64"/>
      <c r="I1109" s="64"/>
      <c r="J1109" s="64"/>
      <c r="K1109" s="64"/>
      <c r="L1109" s="64"/>
      <c r="M1109" s="64"/>
      <c r="N1109" s="127" t="str">
        <f>IF(ISNA(VLOOKUP(Table3[[#This Row],[Ticket]],Table1[],17,FALSE)),"",VLOOKUP(Table3[[#This Row],[Ticket]],Table1[],17,FALSE))</f>
        <v/>
      </c>
      <c r="O1109" s="128" t="str">
        <f>IF(Table3[[#This Row],[Actual End Date]]="","",TEXT(Table3[[#This Row],[Actual End Date]],"mmm-yy"))</f>
        <v/>
      </c>
    </row>
    <row r="1110" spans="2:15">
      <c r="B1110" s="64"/>
      <c r="C1110" s="64"/>
      <c r="D1110" s="64"/>
      <c r="E1110" s="64"/>
      <c r="F1110" s="64"/>
      <c r="G1110" s="64"/>
      <c r="H1110" s="64"/>
      <c r="I1110" s="64"/>
      <c r="J1110" s="64"/>
      <c r="K1110" s="64"/>
      <c r="L1110" s="64"/>
      <c r="M1110" s="64"/>
      <c r="N1110" s="127" t="str">
        <f>IF(ISNA(VLOOKUP(Table3[[#This Row],[Ticket]],Table1[],17,FALSE)),"",VLOOKUP(Table3[[#This Row],[Ticket]],Table1[],17,FALSE))</f>
        <v/>
      </c>
      <c r="O1110" s="128" t="str">
        <f>IF(Table3[[#This Row],[Actual End Date]]="","",TEXT(Table3[[#This Row],[Actual End Date]],"mmm-yy"))</f>
        <v/>
      </c>
    </row>
    <row r="1111" spans="2:15">
      <c r="B1111" s="64"/>
      <c r="C1111" s="64"/>
      <c r="D1111" s="64"/>
      <c r="E1111" s="64"/>
      <c r="F1111" s="64"/>
      <c r="G1111" s="64"/>
      <c r="H1111" s="64"/>
      <c r="I1111" s="64"/>
      <c r="J1111" s="64"/>
      <c r="K1111" s="64"/>
      <c r="L1111" s="64"/>
      <c r="M1111" s="64"/>
      <c r="N1111" s="127" t="str">
        <f>IF(ISNA(VLOOKUP(Table3[[#This Row],[Ticket]],Table1[],17,FALSE)),"",VLOOKUP(Table3[[#This Row],[Ticket]],Table1[],17,FALSE))</f>
        <v/>
      </c>
      <c r="O1111" s="128" t="str">
        <f>IF(Table3[[#This Row],[Actual End Date]]="","",TEXT(Table3[[#This Row],[Actual End Date]],"mmm-yy"))</f>
        <v/>
      </c>
    </row>
    <row r="1112" spans="2:15">
      <c r="B1112" s="64"/>
      <c r="C1112" s="64"/>
      <c r="D1112" s="64"/>
      <c r="E1112" s="64"/>
      <c r="F1112" s="64"/>
      <c r="G1112" s="64"/>
      <c r="H1112" s="64"/>
      <c r="I1112" s="64"/>
      <c r="J1112" s="64"/>
      <c r="K1112" s="64"/>
      <c r="L1112" s="64"/>
      <c r="M1112" s="64"/>
      <c r="N1112" s="127" t="str">
        <f>IF(ISNA(VLOOKUP(Table3[[#This Row],[Ticket]],Table1[],17,FALSE)),"",VLOOKUP(Table3[[#This Row],[Ticket]],Table1[],17,FALSE))</f>
        <v/>
      </c>
      <c r="O1112" s="128" t="str">
        <f>IF(Table3[[#This Row],[Actual End Date]]="","",TEXT(Table3[[#This Row],[Actual End Date]],"mmm-yy"))</f>
        <v/>
      </c>
    </row>
    <row r="1113" spans="2:15">
      <c r="B1113" s="64"/>
      <c r="C1113" s="64"/>
      <c r="D1113" s="64"/>
      <c r="E1113" s="64"/>
      <c r="F1113" s="64"/>
      <c r="G1113" s="64"/>
      <c r="H1113" s="64"/>
      <c r="I1113" s="64"/>
      <c r="J1113" s="64"/>
      <c r="K1113" s="64"/>
      <c r="L1113" s="64"/>
      <c r="M1113" s="64"/>
      <c r="N1113" s="127" t="str">
        <f>IF(ISNA(VLOOKUP(Table3[[#This Row],[Ticket]],Table1[],17,FALSE)),"",VLOOKUP(Table3[[#This Row],[Ticket]],Table1[],17,FALSE))</f>
        <v/>
      </c>
      <c r="O1113" s="128" t="str">
        <f>IF(Table3[[#This Row],[Actual End Date]]="","",TEXT(Table3[[#This Row],[Actual End Date]],"mmm-yy"))</f>
        <v/>
      </c>
    </row>
    <row r="1114" spans="2:15">
      <c r="B1114" s="64"/>
      <c r="C1114" s="64"/>
      <c r="D1114" s="64"/>
      <c r="E1114" s="64"/>
      <c r="F1114" s="64"/>
      <c r="G1114" s="64"/>
      <c r="H1114" s="64"/>
      <c r="I1114" s="64"/>
      <c r="J1114" s="64"/>
      <c r="K1114" s="64"/>
      <c r="L1114" s="64"/>
      <c r="M1114" s="64"/>
      <c r="N1114" s="127" t="str">
        <f>IF(ISNA(VLOOKUP(Table3[[#This Row],[Ticket]],Table1[],17,FALSE)),"",VLOOKUP(Table3[[#This Row],[Ticket]],Table1[],17,FALSE))</f>
        <v/>
      </c>
      <c r="O1114" s="128" t="str">
        <f>IF(Table3[[#This Row],[Actual End Date]]="","",TEXT(Table3[[#This Row],[Actual End Date]],"mmm-yy"))</f>
        <v/>
      </c>
    </row>
    <row r="1115" spans="2:15">
      <c r="B1115" s="64"/>
      <c r="C1115" s="64"/>
      <c r="D1115" s="64"/>
      <c r="E1115" s="64"/>
      <c r="F1115" s="64"/>
      <c r="G1115" s="64"/>
      <c r="H1115" s="64"/>
      <c r="I1115" s="64"/>
      <c r="J1115" s="64"/>
      <c r="K1115" s="64"/>
      <c r="L1115" s="64"/>
      <c r="M1115" s="64"/>
      <c r="N1115" s="127" t="str">
        <f>IF(ISNA(VLOOKUP(Table3[[#This Row],[Ticket]],Table1[],17,FALSE)),"",VLOOKUP(Table3[[#This Row],[Ticket]],Table1[],17,FALSE))</f>
        <v/>
      </c>
      <c r="O1115" s="128" t="str">
        <f>IF(Table3[[#This Row],[Actual End Date]]="","",TEXT(Table3[[#This Row],[Actual End Date]],"mmm-yy"))</f>
        <v/>
      </c>
    </row>
    <row r="1116" spans="2:15">
      <c r="B1116" s="64"/>
      <c r="C1116" s="64"/>
      <c r="D1116" s="64"/>
      <c r="E1116" s="64"/>
      <c r="F1116" s="64"/>
      <c r="G1116" s="64"/>
      <c r="H1116" s="64"/>
      <c r="I1116" s="64"/>
      <c r="J1116" s="64"/>
      <c r="K1116" s="64"/>
      <c r="L1116" s="64"/>
      <c r="M1116" s="64"/>
      <c r="N1116" s="127" t="str">
        <f>IF(ISNA(VLOOKUP(Table3[[#This Row],[Ticket]],Table1[],17,FALSE)),"",VLOOKUP(Table3[[#This Row],[Ticket]],Table1[],17,FALSE))</f>
        <v/>
      </c>
      <c r="O1116" s="128" t="str">
        <f>IF(Table3[[#This Row],[Actual End Date]]="","",TEXT(Table3[[#This Row],[Actual End Date]],"mmm-yy"))</f>
        <v/>
      </c>
    </row>
    <row r="1117" spans="2:15">
      <c r="B1117" s="64"/>
      <c r="C1117" s="64"/>
      <c r="D1117" s="64"/>
      <c r="E1117" s="64"/>
      <c r="F1117" s="64"/>
      <c r="G1117" s="64"/>
      <c r="H1117" s="64"/>
      <c r="I1117" s="64"/>
      <c r="J1117" s="64"/>
      <c r="K1117" s="64"/>
      <c r="L1117" s="64"/>
      <c r="M1117" s="64"/>
      <c r="N1117" s="127" t="str">
        <f>IF(ISNA(VLOOKUP(Table3[[#This Row],[Ticket]],Table1[],17,FALSE)),"",VLOOKUP(Table3[[#This Row],[Ticket]],Table1[],17,FALSE))</f>
        <v/>
      </c>
      <c r="O1117" s="128" t="str">
        <f>IF(Table3[[#This Row],[Actual End Date]]="","",TEXT(Table3[[#This Row],[Actual End Date]],"mmm-yy"))</f>
        <v/>
      </c>
    </row>
    <row r="1118" spans="2:15">
      <c r="B1118" s="64"/>
      <c r="C1118" s="64"/>
      <c r="D1118" s="64"/>
      <c r="E1118" s="64"/>
      <c r="F1118" s="64"/>
      <c r="G1118" s="64"/>
      <c r="H1118" s="64"/>
      <c r="I1118" s="64"/>
      <c r="J1118" s="64"/>
      <c r="K1118" s="64"/>
      <c r="L1118" s="64"/>
      <c r="M1118" s="64"/>
      <c r="N1118" s="127" t="str">
        <f>IF(ISNA(VLOOKUP(Table3[[#This Row],[Ticket]],Table1[],17,FALSE)),"",VLOOKUP(Table3[[#This Row],[Ticket]],Table1[],17,FALSE))</f>
        <v/>
      </c>
      <c r="O1118" s="128" t="str">
        <f>IF(Table3[[#This Row],[Actual End Date]]="","",TEXT(Table3[[#This Row],[Actual End Date]],"mmm-yy"))</f>
        <v/>
      </c>
    </row>
    <row r="1119" spans="2:15">
      <c r="B1119" s="64"/>
      <c r="C1119" s="64"/>
      <c r="D1119" s="64"/>
      <c r="E1119" s="64"/>
      <c r="F1119" s="64"/>
      <c r="G1119" s="64"/>
      <c r="H1119" s="64"/>
      <c r="I1119" s="64"/>
      <c r="J1119" s="64"/>
      <c r="K1119" s="64"/>
      <c r="L1119" s="64"/>
      <c r="M1119" s="64"/>
      <c r="N1119" s="127" t="str">
        <f>IF(ISNA(VLOOKUP(Table3[[#This Row],[Ticket]],Table1[],17,FALSE)),"",VLOOKUP(Table3[[#This Row],[Ticket]],Table1[],17,FALSE))</f>
        <v/>
      </c>
      <c r="O1119" s="128" t="str">
        <f>IF(Table3[[#This Row],[Actual End Date]]="","",TEXT(Table3[[#This Row],[Actual End Date]],"mmm-yy"))</f>
        <v/>
      </c>
    </row>
    <row r="1120" spans="2:15">
      <c r="B1120" s="64"/>
      <c r="C1120" s="64"/>
      <c r="D1120" s="64"/>
      <c r="E1120" s="64"/>
      <c r="F1120" s="64"/>
      <c r="G1120" s="64"/>
      <c r="H1120" s="64"/>
      <c r="I1120" s="64"/>
      <c r="J1120" s="64"/>
      <c r="K1120" s="64"/>
      <c r="L1120" s="64"/>
      <c r="M1120" s="64"/>
      <c r="N1120" s="127" t="str">
        <f>IF(ISNA(VLOOKUP(Table3[[#This Row],[Ticket]],Table1[],17,FALSE)),"",VLOOKUP(Table3[[#This Row],[Ticket]],Table1[],17,FALSE))</f>
        <v/>
      </c>
      <c r="O1120" s="128" t="str">
        <f>IF(Table3[[#This Row],[Actual End Date]]="","",TEXT(Table3[[#This Row],[Actual End Date]],"mmm-yy"))</f>
        <v/>
      </c>
    </row>
    <row r="1121" spans="2:15">
      <c r="B1121" s="64"/>
      <c r="C1121" s="64"/>
      <c r="D1121" s="64"/>
      <c r="E1121" s="64"/>
      <c r="F1121" s="64"/>
      <c r="G1121" s="64"/>
      <c r="H1121" s="64"/>
      <c r="I1121" s="64"/>
      <c r="J1121" s="64"/>
      <c r="K1121" s="64"/>
      <c r="L1121" s="64"/>
      <c r="M1121" s="64"/>
      <c r="N1121" s="127" t="str">
        <f>IF(ISNA(VLOOKUP(Table3[[#This Row],[Ticket]],Table1[],17,FALSE)),"",VLOOKUP(Table3[[#This Row],[Ticket]],Table1[],17,FALSE))</f>
        <v/>
      </c>
      <c r="O1121" s="128" t="str">
        <f>IF(Table3[[#This Row],[Actual End Date]]="","",TEXT(Table3[[#This Row],[Actual End Date]],"mmm-yy"))</f>
        <v/>
      </c>
    </row>
    <row r="1122" spans="2:15">
      <c r="B1122" s="64"/>
      <c r="C1122" s="64"/>
      <c r="D1122" s="64"/>
      <c r="E1122" s="64"/>
      <c r="F1122" s="64"/>
      <c r="G1122" s="64"/>
      <c r="H1122" s="64"/>
      <c r="I1122" s="64"/>
      <c r="J1122" s="64"/>
      <c r="K1122" s="64"/>
      <c r="L1122" s="64"/>
      <c r="M1122" s="64"/>
      <c r="N1122" s="127" t="str">
        <f>IF(ISNA(VLOOKUP(Table3[[#This Row],[Ticket]],Table1[],17,FALSE)),"",VLOOKUP(Table3[[#This Row],[Ticket]],Table1[],17,FALSE))</f>
        <v/>
      </c>
      <c r="O1122" s="128" t="str">
        <f>IF(Table3[[#This Row],[Actual End Date]]="","",TEXT(Table3[[#This Row],[Actual End Date]],"mmm-yy"))</f>
        <v/>
      </c>
    </row>
    <row r="1123" spans="2:15">
      <c r="B1123" s="64"/>
      <c r="C1123" s="64"/>
      <c r="D1123" s="64"/>
      <c r="E1123" s="64"/>
      <c r="F1123" s="64"/>
      <c r="G1123" s="64"/>
      <c r="H1123" s="64"/>
      <c r="I1123" s="64"/>
      <c r="J1123" s="64"/>
      <c r="K1123" s="64"/>
      <c r="L1123" s="64"/>
      <c r="M1123" s="64"/>
      <c r="N1123" s="127" t="str">
        <f>IF(ISNA(VLOOKUP(Table3[[#This Row],[Ticket]],Table1[],17,FALSE)),"",VLOOKUP(Table3[[#This Row],[Ticket]],Table1[],17,FALSE))</f>
        <v/>
      </c>
      <c r="O1123" s="128" t="str">
        <f>IF(Table3[[#This Row],[Actual End Date]]="","",TEXT(Table3[[#This Row],[Actual End Date]],"mmm-yy"))</f>
        <v/>
      </c>
    </row>
    <row r="1124" spans="2:15">
      <c r="B1124" s="64"/>
      <c r="C1124" s="64"/>
      <c r="D1124" s="64"/>
      <c r="E1124" s="64"/>
      <c r="F1124" s="64"/>
      <c r="G1124" s="64"/>
      <c r="H1124" s="64"/>
      <c r="I1124" s="64"/>
      <c r="J1124" s="64"/>
      <c r="K1124" s="64"/>
      <c r="L1124" s="64"/>
      <c r="M1124" s="64"/>
      <c r="N1124" s="127" t="str">
        <f>IF(ISNA(VLOOKUP(Table3[[#This Row],[Ticket]],Table1[],17,FALSE)),"",VLOOKUP(Table3[[#This Row],[Ticket]],Table1[],17,FALSE))</f>
        <v/>
      </c>
      <c r="O1124" s="128" t="str">
        <f>IF(Table3[[#This Row],[Actual End Date]]="","",TEXT(Table3[[#This Row],[Actual End Date]],"mmm-yy"))</f>
        <v/>
      </c>
    </row>
    <row r="1125" spans="2:15">
      <c r="B1125" s="64"/>
      <c r="C1125" s="64"/>
      <c r="D1125" s="64"/>
      <c r="E1125" s="64"/>
      <c r="F1125" s="64"/>
      <c r="G1125" s="64"/>
      <c r="H1125" s="64"/>
      <c r="I1125" s="64"/>
      <c r="J1125" s="64"/>
      <c r="K1125" s="64"/>
      <c r="L1125" s="64"/>
      <c r="M1125" s="64"/>
      <c r="N1125" s="127" t="str">
        <f>IF(ISNA(VLOOKUP(Table3[[#This Row],[Ticket]],Table1[],17,FALSE)),"",VLOOKUP(Table3[[#This Row],[Ticket]],Table1[],17,FALSE))</f>
        <v/>
      </c>
      <c r="O1125" s="128" t="str">
        <f>IF(Table3[[#This Row],[Actual End Date]]="","",TEXT(Table3[[#This Row],[Actual End Date]],"mmm-yy"))</f>
        <v/>
      </c>
    </row>
    <row r="1126" spans="2:15">
      <c r="B1126" s="64"/>
      <c r="C1126" s="64"/>
      <c r="D1126" s="64"/>
      <c r="E1126" s="64"/>
      <c r="F1126" s="64"/>
      <c r="G1126" s="64"/>
      <c r="H1126" s="64"/>
      <c r="I1126" s="64"/>
      <c r="J1126" s="64"/>
      <c r="K1126" s="64"/>
      <c r="L1126" s="64"/>
      <c r="M1126" s="64"/>
      <c r="N1126" s="127" t="str">
        <f>IF(ISNA(VLOOKUP(Table3[[#This Row],[Ticket]],Table1[],17,FALSE)),"",VLOOKUP(Table3[[#This Row],[Ticket]],Table1[],17,FALSE))</f>
        <v/>
      </c>
      <c r="O1126" s="128" t="str">
        <f>IF(Table3[[#This Row],[Actual End Date]]="","",TEXT(Table3[[#This Row],[Actual End Date]],"mmm-yy"))</f>
        <v/>
      </c>
    </row>
    <row r="1127" spans="2:15">
      <c r="B1127" s="64"/>
      <c r="C1127" s="64"/>
      <c r="D1127" s="64"/>
      <c r="E1127" s="64"/>
      <c r="F1127" s="64"/>
      <c r="G1127" s="64"/>
      <c r="H1127" s="64"/>
      <c r="I1127" s="64"/>
      <c r="J1127" s="64"/>
      <c r="K1127" s="64"/>
      <c r="L1127" s="64"/>
      <c r="M1127" s="64"/>
      <c r="N1127" s="127" t="str">
        <f>IF(ISNA(VLOOKUP(Table3[[#This Row],[Ticket]],Table1[],17,FALSE)),"",VLOOKUP(Table3[[#This Row],[Ticket]],Table1[],17,FALSE))</f>
        <v/>
      </c>
      <c r="O1127" s="128" t="str">
        <f>IF(Table3[[#This Row],[Actual End Date]]="","",TEXT(Table3[[#This Row],[Actual End Date]],"mmm-yy"))</f>
        <v/>
      </c>
    </row>
    <row r="1128" spans="2:15">
      <c r="B1128" s="64"/>
      <c r="C1128" s="64"/>
      <c r="D1128" s="64"/>
      <c r="E1128" s="64"/>
      <c r="F1128" s="64"/>
      <c r="G1128" s="64"/>
      <c r="H1128" s="64"/>
      <c r="I1128" s="64"/>
      <c r="J1128" s="64"/>
      <c r="K1128" s="64"/>
      <c r="L1128" s="64"/>
      <c r="M1128" s="64"/>
      <c r="N1128" s="127" t="str">
        <f>IF(ISNA(VLOOKUP(Table3[[#This Row],[Ticket]],Table1[],17,FALSE)),"",VLOOKUP(Table3[[#This Row],[Ticket]],Table1[],17,FALSE))</f>
        <v/>
      </c>
      <c r="O1128" s="128" t="str">
        <f>IF(Table3[[#This Row],[Actual End Date]]="","",TEXT(Table3[[#This Row],[Actual End Date]],"mmm-yy"))</f>
        <v/>
      </c>
    </row>
    <row r="1129" spans="2:15">
      <c r="B1129" s="64"/>
      <c r="C1129" s="64"/>
      <c r="D1129" s="64"/>
      <c r="E1129" s="64"/>
      <c r="F1129" s="64"/>
      <c r="G1129" s="64"/>
      <c r="H1129" s="64"/>
      <c r="I1129" s="64"/>
      <c r="J1129" s="64"/>
      <c r="K1129" s="64"/>
      <c r="L1129" s="64"/>
      <c r="M1129" s="64"/>
      <c r="N1129" s="127" t="str">
        <f>IF(ISNA(VLOOKUP(Table3[[#This Row],[Ticket]],Table1[],17,FALSE)),"",VLOOKUP(Table3[[#This Row],[Ticket]],Table1[],17,FALSE))</f>
        <v/>
      </c>
      <c r="O1129" s="128" t="str">
        <f>IF(Table3[[#This Row],[Actual End Date]]="","",TEXT(Table3[[#This Row],[Actual End Date]],"mmm-yy"))</f>
        <v/>
      </c>
    </row>
    <row r="1130" spans="2:15">
      <c r="B1130" s="64"/>
      <c r="C1130" s="64"/>
      <c r="D1130" s="64"/>
      <c r="E1130" s="64"/>
      <c r="F1130" s="64"/>
      <c r="G1130" s="64"/>
      <c r="H1130" s="64"/>
      <c r="I1130" s="64"/>
      <c r="J1130" s="64"/>
      <c r="K1130" s="64"/>
      <c r="L1130" s="64"/>
      <c r="M1130" s="64"/>
      <c r="N1130" s="127" t="str">
        <f>IF(ISNA(VLOOKUP(Table3[[#This Row],[Ticket]],Table1[],17,FALSE)),"",VLOOKUP(Table3[[#This Row],[Ticket]],Table1[],17,FALSE))</f>
        <v/>
      </c>
      <c r="O1130" s="128" t="str">
        <f>IF(Table3[[#This Row],[Actual End Date]]="","",TEXT(Table3[[#This Row],[Actual End Date]],"mmm-yy"))</f>
        <v/>
      </c>
    </row>
    <row r="1131" spans="2:15">
      <c r="B1131" s="64"/>
      <c r="C1131" s="64"/>
      <c r="D1131" s="64"/>
      <c r="E1131" s="64"/>
      <c r="F1131" s="64"/>
      <c r="G1131" s="64"/>
      <c r="H1131" s="64"/>
      <c r="I1131" s="64"/>
      <c r="J1131" s="64"/>
      <c r="K1131" s="64"/>
      <c r="L1131" s="64"/>
      <c r="M1131" s="64"/>
      <c r="N1131" s="127" t="str">
        <f>IF(ISNA(VLOOKUP(Table3[[#This Row],[Ticket]],Table1[],17,FALSE)),"",VLOOKUP(Table3[[#This Row],[Ticket]],Table1[],17,FALSE))</f>
        <v/>
      </c>
      <c r="O1131" s="128" t="str">
        <f>IF(Table3[[#This Row],[Actual End Date]]="","",TEXT(Table3[[#This Row],[Actual End Date]],"mmm-yy"))</f>
        <v/>
      </c>
    </row>
    <row r="1132" spans="2:15">
      <c r="B1132" s="64"/>
      <c r="C1132" s="64"/>
      <c r="D1132" s="64"/>
      <c r="E1132" s="64"/>
      <c r="F1132" s="64"/>
      <c r="G1132" s="64"/>
      <c r="H1132" s="64"/>
      <c r="I1132" s="64"/>
      <c r="J1132" s="64"/>
      <c r="K1132" s="64"/>
      <c r="L1132" s="64"/>
      <c r="M1132" s="64"/>
      <c r="N1132" s="127" t="str">
        <f>IF(ISNA(VLOOKUP(Table3[[#This Row],[Ticket]],Table1[],17,FALSE)),"",VLOOKUP(Table3[[#This Row],[Ticket]],Table1[],17,FALSE))</f>
        <v/>
      </c>
      <c r="O1132" s="128" t="str">
        <f>IF(Table3[[#This Row],[Actual End Date]]="","",TEXT(Table3[[#This Row],[Actual End Date]],"mmm-yy"))</f>
        <v/>
      </c>
    </row>
    <row r="1133" spans="2:15">
      <c r="B1133" s="64"/>
      <c r="C1133" s="64"/>
      <c r="D1133" s="64"/>
      <c r="E1133" s="64"/>
      <c r="F1133" s="64"/>
      <c r="G1133" s="64"/>
      <c r="H1133" s="64"/>
      <c r="I1133" s="64"/>
      <c r="J1133" s="64"/>
      <c r="K1133" s="64"/>
      <c r="L1133" s="64"/>
      <c r="M1133" s="64"/>
      <c r="N1133" s="127" t="str">
        <f>IF(ISNA(VLOOKUP(Table3[[#This Row],[Ticket]],Table1[],17,FALSE)),"",VLOOKUP(Table3[[#This Row],[Ticket]],Table1[],17,FALSE))</f>
        <v/>
      </c>
      <c r="O1133" s="128" t="str">
        <f>IF(Table3[[#This Row],[Actual End Date]]="","",TEXT(Table3[[#This Row],[Actual End Date]],"mmm-yy"))</f>
        <v/>
      </c>
    </row>
    <row r="1134" spans="2:15">
      <c r="B1134" s="64"/>
      <c r="C1134" s="64"/>
      <c r="D1134" s="64"/>
      <c r="E1134" s="64"/>
      <c r="F1134" s="64"/>
      <c r="G1134" s="64"/>
      <c r="H1134" s="64"/>
      <c r="I1134" s="64"/>
      <c r="J1134" s="64"/>
      <c r="K1134" s="64"/>
      <c r="L1134" s="64"/>
      <c r="M1134" s="64"/>
      <c r="N1134" s="127" t="str">
        <f>IF(ISNA(VLOOKUP(Table3[[#This Row],[Ticket]],Table1[],17,FALSE)),"",VLOOKUP(Table3[[#This Row],[Ticket]],Table1[],17,FALSE))</f>
        <v/>
      </c>
      <c r="O1134" s="128" t="str">
        <f>IF(Table3[[#This Row],[Actual End Date]]="","",TEXT(Table3[[#This Row],[Actual End Date]],"mmm-yy"))</f>
        <v/>
      </c>
    </row>
    <row r="1135" spans="2:15">
      <c r="B1135" s="64"/>
      <c r="C1135" s="64"/>
      <c r="D1135" s="64"/>
      <c r="E1135" s="64"/>
      <c r="F1135" s="64"/>
      <c r="G1135" s="64"/>
      <c r="H1135" s="64"/>
      <c r="I1135" s="64"/>
      <c r="J1135" s="64"/>
      <c r="K1135" s="64"/>
      <c r="L1135" s="64"/>
      <c r="M1135" s="64"/>
      <c r="N1135" s="127" t="str">
        <f>IF(ISNA(VLOOKUP(Table3[[#This Row],[Ticket]],Table1[],17,FALSE)),"",VLOOKUP(Table3[[#This Row],[Ticket]],Table1[],17,FALSE))</f>
        <v/>
      </c>
      <c r="O1135" s="128" t="str">
        <f>IF(Table3[[#This Row],[Actual End Date]]="","",TEXT(Table3[[#This Row],[Actual End Date]],"mmm-yy"))</f>
        <v/>
      </c>
    </row>
    <row r="1136" spans="2:15">
      <c r="B1136" s="64"/>
      <c r="C1136" s="64"/>
      <c r="D1136" s="64"/>
      <c r="E1136" s="64"/>
      <c r="F1136" s="64"/>
      <c r="G1136" s="64"/>
      <c r="H1136" s="64"/>
      <c r="I1136" s="64"/>
      <c r="J1136" s="64"/>
      <c r="K1136" s="64"/>
      <c r="L1136" s="64"/>
      <c r="M1136" s="64"/>
      <c r="N1136" s="127" t="str">
        <f>IF(ISNA(VLOOKUP(Table3[[#This Row],[Ticket]],Table1[],17,FALSE)),"",VLOOKUP(Table3[[#This Row],[Ticket]],Table1[],17,FALSE))</f>
        <v/>
      </c>
      <c r="O1136" s="128" t="str">
        <f>IF(Table3[[#This Row],[Actual End Date]]="","",TEXT(Table3[[#This Row],[Actual End Date]],"mmm-yy"))</f>
        <v/>
      </c>
    </row>
    <row r="1137" spans="2:15">
      <c r="B1137" s="64"/>
      <c r="C1137" s="64"/>
      <c r="D1137" s="64"/>
      <c r="E1137" s="64"/>
      <c r="F1137" s="64"/>
      <c r="G1137" s="64"/>
      <c r="H1137" s="64"/>
      <c r="I1137" s="64"/>
      <c r="J1137" s="64"/>
      <c r="K1137" s="64"/>
      <c r="L1137" s="64"/>
      <c r="M1137" s="64"/>
      <c r="N1137" s="127" t="str">
        <f>IF(ISNA(VLOOKUP(Table3[[#This Row],[Ticket]],Table1[],17,FALSE)),"",VLOOKUP(Table3[[#This Row],[Ticket]],Table1[],17,FALSE))</f>
        <v/>
      </c>
      <c r="O1137" s="128" t="str">
        <f>IF(Table3[[#This Row],[Actual End Date]]="","",TEXT(Table3[[#This Row],[Actual End Date]],"mmm-yy"))</f>
        <v/>
      </c>
    </row>
    <row r="1138" spans="2:15">
      <c r="B1138" s="64"/>
      <c r="C1138" s="64"/>
      <c r="D1138" s="64"/>
      <c r="E1138" s="64"/>
      <c r="F1138" s="64"/>
      <c r="G1138" s="64"/>
      <c r="H1138" s="64"/>
      <c r="I1138" s="64"/>
      <c r="J1138" s="64"/>
      <c r="K1138" s="64"/>
      <c r="L1138" s="64"/>
      <c r="M1138" s="64"/>
      <c r="N1138" s="127" t="str">
        <f>IF(ISNA(VLOOKUP(Table3[[#This Row],[Ticket]],Table1[],17,FALSE)),"",VLOOKUP(Table3[[#This Row],[Ticket]],Table1[],17,FALSE))</f>
        <v/>
      </c>
      <c r="O1138" s="128" t="str">
        <f>IF(Table3[[#This Row],[Actual End Date]]="","",TEXT(Table3[[#This Row],[Actual End Date]],"mmm-yy"))</f>
        <v/>
      </c>
    </row>
    <row r="1139" spans="2:15">
      <c r="B1139" s="64"/>
      <c r="C1139" s="64"/>
      <c r="D1139" s="64"/>
      <c r="E1139" s="64"/>
      <c r="F1139" s="64"/>
      <c r="G1139" s="64"/>
      <c r="H1139" s="64"/>
      <c r="I1139" s="64"/>
      <c r="J1139" s="64"/>
      <c r="K1139" s="64"/>
      <c r="L1139" s="64"/>
      <c r="M1139" s="64"/>
      <c r="N1139" s="127" t="str">
        <f>IF(ISNA(VLOOKUP(Table3[[#This Row],[Ticket]],Table1[],17,FALSE)),"",VLOOKUP(Table3[[#This Row],[Ticket]],Table1[],17,FALSE))</f>
        <v/>
      </c>
      <c r="O1139" s="128" t="str">
        <f>IF(Table3[[#This Row],[Actual End Date]]="","",TEXT(Table3[[#This Row],[Actual End Date]],"mmm-yy"))</f>
        <v/>
      </c>
    </row>
    <row r="1140" spans="2:15">
      <c r="B1140" s="64"/>
      <c r="C1140" s="64"/>
      <c r="D1140" s="64"/>
      <c r="E1140" s="64"/>
      <c r="F1140" s="64"/>
      <c r="G1140" s="64"/>
      <c r="H1140" s="64"/>
      <c r="I1140" s="64"/>
      <c r="J1140" s="64"/>
      <c r="K1140" s="64"/>
      <c r="L1140" s="64"/>
      <c r="M1140" s="64"/>
      <c r="N1140" s="127" t="str">
        <f>IF(ISNA(VLOOKUP(Table3[[#This Row],[Ticket]],Table1[],17,FALSE)),"",VLOOKUP(Table3[[#This Row],[Ticket]],Table1[],17,FALSE))</f>
        <v/>
      </c>
      <c r="O1140" s="128" t="str">
        <f>IF(Table3[[#This Row],[Actual End Date]]="","",TEXT(Table3[[#This Row],[Actual End Date]],"mmm-yy"))</f>
        <v/>
      </c>
    </row>
    <row r="1141" spans="2:15">
      <c r="B1141" s="64"/>
      <c r="C1141" s="64"/>
      <c r="D1141" s="64"/>
      <c r="E1141" s="64"/>
      <c r="F1141" s="64"/>
      <c r="G1141" s="64"/>
      <c r="H1141" s="64"/>
      <c r="I1141" s="64"/>
      <c r="J1141" s="64"/>
      <c r="K1141" s="64"/>
      <c r="L1141" s="64"/>
      <c r="M1141" s="64"/>
      <c r="N1141" s="127" t="str">
        <f>IF(ISNA(VLOOKUP(Table3[[#This Row],[Ticket]],Table1[],17,FALSE)),"",VLOOKUP(Table3[[#This Row],[Ticket]],Table1[],17,FALSE))</f>
        <v/>
      </c>
      <c r="O1141" s="128" t="str">
        <f>IF(Table3[[#This Row],[Actual End Date]]="","",TEXT(Table3[[#This Row],[Actual End Date]],"mmm-yy"))</f>
        <v/>
      </c>
    </row>
    <row r="1142" spans="2:15">
      <c r="B1142" s="64"/>
      <c r="C1142" s="64"/>
      <c r="D1142" s="64"/>
      <c r="E1142" s="64"/>
      <c r="F1142" s="64"/>
      <c r="G1142" s="64"/>
      <c r="H1142" s="64"/>
      <c r="I1142" s="64"/>
      <c r="J1142" s="64"/>
      <c r="K1142" s="64"/>
      <c r="L1142" s="64"/>
      <c r="M1142" s="64"/>
      <c r="N1142" s="127" t="str">
        <f>IF(ISNA(VLOOKUP(Table3[[#This Row],[Ticket]],Table1[],17,FALSE)),"",VLOOKUP(Table3[[#This Row],[Ticket]],Table1[],17,FALSE))</f>
        <v/>
      </c>
      <c r="O1142" s="128" t="str">
        <f>IF(Table3[[#This Row],[Actual End Date]]="","",TEXT(Table3[[#This Row],[Actual End Date]],"mmm-yy"))</f>
        <v/>
      </c>
    </row>
    <row r="1143" spans="2:15">
      <c r="B1143" s="64"/>
      <c r="C1143" s="64"/>
      <c r="D1143" s="64"/>
      <c r="E1143" s="64"/>
      <c r="F1143" s="64"/>
      <c r="G1143" s="64"/>
      <c r="H1143" s="64"/>
      <c r="I1143" s="64"/>
      <c r="J1143" s="64"/>
      <c r="K1143" s="64"/>
      <c r="L1143" s="64"/>
      <c r="M1143" s="64"/>
      <c r="N1143" s="127" t="str">
        <f>IF(ISNA(VLOOKUP(Table3[[#This Row],[Ticket]],Table1[],17,FALSE)),"",VLOOKUP(Table3[[#This Row],[Ticket]],Table1[],17,FALSE))</f>
        <v/>
      </c>
      <c r="O1143" s="128" t="str">
        <f>IF(Table3[[#This Row],[Actual End Date]]="","",TEXT(Table3[[#This Row],[Actual End Date]],"mmm-yy"))</f>
        <v/>
      </c>
    </row>
    <row r="1144" spans="2:15">
      <c r="B1144" s="64"/>
      <c r="C1144" s="64"/>
      <c r="D1144" s="64"/>
      <c r="E1144" s="64"/>
      <c r="F1144" s="64"/>
      <c r="G1144" s="64"/>
      <c r="H1144" s="64"/>
      <c r="I1144" s="64"/>
      <c r="J1144" s="64"/>
      <c r="K1144" s="64"/>
      <c r="L1144" s="64"/>
      <c r="M1144" s="64"/>
      <c r="N1144" s="127" t="str">
        <f>IF(ISNA(VLOOKUP(Table3[[#This Row],[Ticket]],Table1[],17,FALSE)),"",VLOOKUP(Table3[[#This Row],[Ticket]],Table1[],17,FALSE))</f>
        <v/>
      </c>
      <c r="O1144" s="128" t="str">
        <f>IF(Table3[[#This Row],[Actual End Date]]="","",TEXT(Table3[[#This Row],[Actual End Date]],"mmm-yy"))</f>
        <v/>
      </c>
    </row>
    <row r="1145" spans="2:15">
      <c r="B1145" s="64"/>
      <c r="C1145" s="64"/>
      <c r="D1145" s="64"/>
      <c r="E1145" s="64"/>
      <c r="F1145" s="64"/>
      <c r="G1145" s="64"/>
      <c r="H1145" s="64"/>
      <c r="I1145" s="64"/>
      <c r="J1145" s="64"/>
      <c r="K1145" s="64"/>
      <c r="L1145" s="64"/>
      <c r="M1145" s="64"/>
      <c r="N1145" s="127" t="str">
        <f>IF(ISNA(VLOOKUP(Table3[[#This Row],[Ticket]],Table1[],17,FALSE)),"",VLOOKUP(Table3[[#This Row],[Ticket]],Table1[],17,FALSE))</f>
        <v/>
      </c>
      <c r="O1145" s="128" t="str">
        <f>IF(Table3[[#This Row],[Actual End Date]]="","",TEXT(Table3[[#This Row],[Actual End Date]],"mmm-yy"))</f>
        <v/>
      </c>
    </row>
    <row r="1146" spans="2:15">
      <c r="B1146" s="64"/>
      <c r="C1146" s="64"/>
      <c r="D1146" s="64"/>
      <c r="E1146" s="64"/>
      <c r="F1146" s="64"/>
      <c r="G1146" s="64"/>
      <c r="H1146" s="64"/>
      <c r="I1146" s="64"/>
      <c r="J1146" s="64"/>
      <c r="K1146" s="64"/>
      <c r="L1146" s="64"/>
      <c r="M1146" s="64"/>
      <c r="N1146" s="127" t="str">
        <f>IF(ISNA(VLOOKUP(Table3[[#This Row],[Ticket]],Table1[],17,FALSE)),"",VLOOKUP(Table3[[#This Row],[Ticket]],Table1[],17,FALSE))</f>
        <v/>
      </c>
      <c r="O1146" s="128" t="str">
        <f>IF(Table3[[#This Row],[Actual End Date]]="","",TEXT(Table3[[#This Row],[Actual End Date]],"mmm-yy"))</f>
        <v/>
      </c>
    </row>
    <row r="1147" spans="2:15">
      <c r="B1147" s="64"/>
      <c r="C1147" s="64"/>
      <c r="D1147" s="64"/>
      <c r="E1147" s="64"/>
      <c r="F1147" s="64"/>
      <c r="G1147" s="64"/>
      <c r="H1147" s="64"/>
      <c r="I1147" s="64"/>
      <c r="J1147" s="64"/>
      <c r="K1147" s="64"/>
      <c r="L1147" s="64"/>
      <c r="M1147" s="64"/>
      <c r="N1147" s="127" t="str">
        <f>IF(ISNA(VLOOKUP(Table3[[#This Row],[Ticket]],Table1[],17,FALSE)),"",VLOOKUP(Table3[[#This Row],[Ticket]],Table1[],17,FALSE))</f>
        <v/>
      </c>
      <c r="O1147" s="128" t="str">
        <f>IF(Table3[[#This Row],[Actual End Date]]="","",TEXT(Table3[[#This Row],[Actual End Date]],"mmm-yy"))</f>
        <v/>
      </c>
    </row>
    <row r="1148" spans="2:15">
      <c r="B1148" s="64"/>
      <c r="C1148" s="64"/>
      <c r="D1148" s="64"/>
      <c r="E1148" s="64"/>
      <c r="F1148" s="64"/>
      <c r="G1148" s="64"/>
      <c r="H1148" s="64"/>
      <c r="I1148" s="64"/>
      <c r="J1148" s="64"/>
      <c r="K1148" s="64"/>
      <c r="L1148" s="64"/>
      <c r="M1148" s="64"/>
      <c r="N1148" s="127" t="str">
        <f>IF(ISNA(VLOOKUP(Table3[[#This Row],[Ticket]],Table1[],17,FALSE)),"",VLOOKUP(Table3[[#This Row],[Ticket]],Table1[],17,FALSE))</f>
        <v/>
      </c>
      <c r="O1148" s="128" t="str">
        <f>IF(Table3[[#This Row],[Actual End Date]]="","",TEXT(Table3[[#This Row],[Actual End Date]],"mmm-yy"))</f>
        <v/>
      </c>
    </row>
    <row r="1149" spans="2:15">
      <c r="B1149" s="64"/>
      <c r="C1149" s="64"/>
      <c r="D1149" s="64"/>
      <c r="E1149" s="64"/>
      <c r="F1149" s="64"/>
      <c r="G1149" s="64"/>
      <c r="H1149" s="64"/>
      <c r="I1149" s="64"/>
      <c r="J1149" s="64"/>
      <c r="K1149" s="64"/>
      <c r="L1149" s="64"/>
      <c r="M1149" s="64"/>
      <c r="N1149" s="127" t="str">
        <f>IF(ISNA(VLOOKUP(Table3[[#This Row],[Ticket]],Table1[],17,FALSE)),"",VLOOKUP(Table3[[#This Row],[Ticket]],Table1[],17,FALSE))</f>
        <v/>
      </c>
      <c r="O1149" s="128" t="str">
        <f>IF(Table3[[#This Row],[Actual End Date]]="","",TEXT(Table3[[#This Row],[Actual End Date]],"mmm-yy"))</f>
        <v/>
      </c>
    </row>
    <row r="1150" spans="2:15">
      <c r="B1150" s="64"/>
      <c r="C1150" s="64"/>
      <c r="D1150" s="64"/>
      <c r="E1150" s="64"/>
      <c r="F1150" s="64"/>
      <c r="G1150" s="64"/>
      <c r="H1150" s="64"/>
      <c r="I1150" s="64"/>
      <c r="J1150" s="64"/>
      <c r="K1150" s="64"/>
      <c r="L1150" s="64"/>
      <c r="M1150" s="64"/>
      <c r="N1150" s="127" t="str">
        <f>IF(ISNA(VLOOKUP(Table3[[#This Row],[Ticket]],Table1[],17,FALSE)),"",VLOOKUP(Table3[[#This Row],[Ticket]],Table1[],17,FALSE))</f>
        <v/>
      </c>
      <c r="O1150" s="128" t="str">
        <f>IF(Table3[[#This Row],[Actual End Date]]="","",TEXT(Table3[[#This Row],[Actual End Date]],"mmm-yy"))</f>
        <v/>
      </c>
    </row>
    <row r="1151" spans="2:15">
      <c r="B1151" s="64"/>
      <c r="C1151" s="64"/>
      <c r="D1151" s="64"/>
      <c r="E1151" s="64"/>
      <c r="F1151" s="64"/>
      <c r="G1151" s="64"/>
      <c r="H1151" s="64"/>
      <c r="I1151" s="64"/>
      <c r="J1151" s="64"/>
      <c r="K1151" s="64"/>
      <c r="L1151" s="64"/>
      <c r="M1151" s="64"/>
      <c r="N1151" s="127" t="str">
        <f>IF(ISNA(VLOOKUP(Table3[[#This Row],[Ticket]],Table1[],17,FALSE)),"",VLOOKUP(Table3[[#This Row],[Ticket]],Table1[],17,FALSE))</f>
        <v/>
      </c>
      <c r="O1151" s="128" t="str">
        <f>IF(Table3[[#This Row],[Actual End Date]]="","",TEXT(Table3[[#This Row],[Actual End Date]],"mmm-yy"))</f>
        <v/>
      </c>
    </row>
    <row r="1152" spans="2:15">
      <c r="B1152" s="64"/>
      <c r="C1152" s="64"/>
      <c r="D1152" s="64"/>
      <c r="E1152" s="64"/>
      <c r="F1152" s="64"/>
      <c r="G1152" s="64"/>
      <c r="H1152" s="64"/>
      <c r="I1152" s="64"/>
      <c r="J1152" s="64"/>
      <c r="K1152" s="64"/>
      <c r="L1152" s="64"/>
      <c r="M1152" s="64"/>
      <c r="N1152" s="127" t="str">
        <f>IF(ISNA(VLOOKUP(Table3[[#This Row],[Ticket]],Table1[],17,FALSE)),"",VLOOKUP(Table3[[#This Row],[Ticket]],Table1[],17,FALSE))</f>
        <v/>
      </c>
      <c r="O1152" s="128" t="str">
        <f>IF(Table3[[#This Row],[Actual End Date]]="","",TEXT(Table3[[#This Row],[Actual End Date]],"mmm-yy"))</f>
        <v/>
      </c>
    </row>
    <row r="1153" spans="2:15">
      <c r="B1153" s="64"/>
      <c r="C1153" s="64"/>
      <c r="D1153" s="64"/>
      <c r="E1153" s="64"/>
      <c r="F1153" s="64"/>
      <c r="G1153" s="64"/>
      <c r="H1153" s="64"/>
      <c r="I1153" s="64"/>
      <c r="J1153" s="64"/>
      <c r="K1153" s="64"/>
      <c r="L1153" s="64"/>
      <c r="M1153" s="64"/>
      <c r="N1153" s="127" t="str">
        <f>IF(ISNA(VLOOKUP(Table3[[#This Row],[Ticket]],Table1[],17,FALSE)),"",VLOOKUP(Table3[[#This Row],[Ticket]],Table1[],17,FALSE))</f>
        <v/>
      </c>
      <c r="O1153" s="128" t="str">
        <f>IF(Table3[[#This Row],[Actual End Date]]="","",TEXT(Table3[[#This Row],[Actual End Date]],"mmm-yy"))</f>
        <v/>
      </c>
    </row>
    <row r="1154" spans="2:15">
      <c r="B1154" s="64"/>
      <c r="C1154" s="64"/>
      <c r="D1154" s="64"/>
      <c r="E1154" s="64"/>
      <c r="F1154" s="64"/>
      <c r="G1154" s="64"/>
      <c r="H1154" s="64"/>
      <c r="I1154" s="64"/>
      <c r="J1154" s="64"/>
      <c r="K1154" s="64"/>
      <c r="L1154" s="64"/>
      <c r="M1154" s="64"/>
      <c r="N1154" s="127" t="str">
        <f>IF(ISNA(VLOOKUP(Table3[[#This Row],[Ticket]],Table1[],17,FALSE)),"",VLOOKUP(Table3[[#This Row],[Ticket]],Table1[],17,FALSE))</f>
        <v/>
      </c>
      <c r="O1154" s="128" t="str">
        <f>IF(Table3[[#This Row],[Actual End Date]]="","",TEXT(Table3[[#This Row],[Actual End Date]],"mmm-yy"))</f>
        <v/>
      </c>
    </row>
    <row r="1155" spans="2:15">
      <c r="B1155" s="64"/>
      <c r="C1155" s="64"/>
      <c r="D1155" s="64"/>
      <c r="E1155" s="64"/>
      <c r="F1155" s="64"/>
      <c r="G1155" s="64"/>
      <c r="H1155" s="64"/>
      <c r="I1155" s="64"/>
      <c r="J1155" s="64"/>
      <c r="K1155" s="64"/>
      <c r="L1155" s="64"/>
      <c r="M1155" s="64"/>
      <c r="N1155" s="127" t="str">
        <f>IF(ISNA(VLOOKUP(Table3[[#This Row],[Ticket]],Table1[],17,FALSE)),"",VLOOKUP(Table3[[#This Row],[Ticket]],Table1[],17,FALSE))</f>
        <v/>
      </c>
      <c r="O1155" s="128" t="str">
        <f>IF(Table3[[#This Row],[Actual End Date]]="","",TEXT(Table3[[#This Row],[Actual End Date]],"mmm-yy"))</f>
        <v/>
      </c>
    </row>
    <row r="1156" spans="2:15">
      <c r="B1156" s="64"/>
      <c r="C1156" s="64"/>
      <c r="D1156" s="64"/>
      <c r="E1156" s="64"/>
      <c r="F1156" s="64"/>
      <c r="G1156" s="64"/>
      <c r="H1156" s="64"/>
      <c r="I1156" s="64"/>
      <c r="J1156" s="64"/>
      <c r="K1156" s="64"/>
      <c r="L1156" s="64"/>
      <c r="M1156" s="64"/>
      <c r="N1156" s="127" t="str">
        <f>IF(ISNA(VLOOKUP(Table3[[#This Row],[Ticket]],Table1[],17,FALSE)),"",VLOOKUP(Table3[[#This Row],[Ticket]],Table1[],17,FALSE))</f>
        <v/>
      </c>
      <c r="O1156" s="128" t="str">
        <f>IF(Table3[[#This Row],[Actual End Date]]="","",TEXT(Table3[[#This Row],[Actual End Date]],"mmm-yy"))</f>
        <v/>
      </c>
    </row>
    <row r="1157" spans="2:15">
      <c r="B1157" s="64"/>
      <c r="C1157" s="64"/>
      <c r="D1157" s="64"/>
      <c r="E1157" s="64"/>
      <c r="F1157" s="64"/>
      <c r="G1157" s="64"/>
      <c r="H1157" s="64"/>
      <c r="I1157" s="64"/>
      <c r="J1157" s="64"/>
      <c r="K1157" s="64"/>
      <c r="L1157" s="64"/>
      <c r="M1157" s="64"/>
      <c r="N1157" s="127" t="str">
        <f>IF(ISNA(VLOOKUP(Table3[[#This Row],[Ticket]],Table1[],17,FALSE)),"",VLOOKUP(Table3[[#This Row],[Ticket]],Table1[],17,FALSE))</f>
        <v/>
      </c>
      <c r="O1157" s="128" t="str">
        <f>IF(Table3[[#This Row],[Actual End Date]]="","",TEXT(Table3[[#This Row],[Actual End Date]],"mmm-yy"))</f>
        <v/>
      </c>
    </row>
    <row r="1158" spans="2:15">
      <c r="B1158" s="64"/>
      <c r="C1158" s="64"/>
      <c r="D1158" s="64"/>
      <c r="E1158" s="64"/>
      <c r="F1158" s="64"/>
      <c r="G1158" s="64"/>
      <c r="H1158" s="64"/>
      <c r="I1158" s="64"/>
      <c r="J1158" s="64"/>
      <c r="K1158" s="64"/>
      <c r="L1158" s="64"/>
      <c r="M1158" s="64"/>
      <c r="N1158" s="127" t="str">
        <f>IF(ISNA(VLOOKUP(Table3[[#This Row],[Ticket]],Table1[],17,FALSE)),"",VLOOKUP(Table3[[#This Row],[Ticket]],Table1[],17,FALSE))</f>
        <v/>
      </c>
      <c r="O1158" s="128" t="str">
        <f>IF(Table3[[#This Row],[Actual End Date]]="","",TEXT(Table3[[#This Row],[Actual End Date]],"mmm-yy"))</f>
        <v/>
      </c>
    </row>
    <row r="1159" spans="2:15">
      <c r="B1159" s="64"/>
      <c r="C1159" s="64"/>
      <c r="D1159" s="64"/>
      <c r="E1159" s="64"/>
      <c r="F1159" s="64"/>
      <c r="G1159" s="64"/>
      <c r="H1159" s="64"/>
      <c r="I1159" s="64"/>
      <c r="J1159" s="64"/>
      <c r="K1159" s="64"/>
      <c r="L1159" s="64"/>
      <c r="M1159" s="64"/>
      <c r="N1159" s="127" t="str">
        <f>IF(ISNA(VLOOKUP(Table3[[#This Row],[Ticket]],Table1[],17,FALSE)),"",VLOOKUP(Table3[[#This Row],[Ticket]],Table1[],17,FALSE))</f>
        <v/>
      </c>
      <c r="O1159" s="128" t="str">
        <f>IF(Table3[[#This Row],[Actual End Date]]="","",TEXT(Table3[[#This Row],[Actual End Date]],"mmm-yy"))</f>
        <v/>
      </c>
    </row>
    <row r="1160" spans="2:15">
      <c r="B1160" s="64"/>
      <c r="C1160" s="64"/>
      <c r="D1160" s="64"/>
      <c r="E1160" s="64"/>
      <c r="F1160" s="64"/>
      <c r="G1160" s="64"/>
      <c r="H1160" s="64"/>
      <c r="I1160" s="64"/>
      <c r="J1160" s="64"/>
      <c r="K1160" s="64"/>
      <c r="L1160" s="64"/>
      <c r="M1160" s="64"/>
      <c r="N1160" s="127" t="str">
        <f>IF(ISNA(VLOOKUP(Table3[[#This Row],[Ticket]],Table1[],17,FALSE)),"",VLOOKUP(Table3[[#This Row],[Ticket]],Table1[],17,FALSE))</f>
        <v/>
      </c>
      <c r="O1160" s="128" t="str">
        <f>IF(Table3[[#This Row],[Actual End Date]]="","",TEXT(Table3[[#This Row],[Actual End Date]],"mmm-yy"))</f>
        <v/>
      </c>
    </row>
    <row r="1161" spans="2:15">
      <c r="B1161" s="64"/>
      <c r="C1161" s="64"/>
      <c r="D1161" s="64"/>
      <c r="E1161" s="64"/>
      <c r="F1161" s="64"/>
      <c r="G1161" s="64"/>
      <c r="H1161" s="64"/>
      <c r="I1161" s="64"/>
      <c r="J1161" s="64"/>
      <c r="K1161" s="64"/>
      <c r="L1161" s="64"/>
      <c r="M1161" s="64"/>
      <c r="N1161" s="127" t="str">
        <f>IF(ISNA(VLOOKUP(Table3[[#This Row],[Ticket]],Table1[],17,FALSE)),"",VLOOKUP(Table3[[#This Row],[Ticket]],Table1[],17,FALSE))</f>
        <v/>
      </c>
      <c r="O1161" s="128" t="str">
        <f>IF(Table3[[#This Row],[Actual End Date]]="","",TEXT(Table3[[#This Row],[Actual End Date]],"mmm-yy"))</f>
        <v/>
      </c>
    </row>
    <row r="1162" spans="2:15">
      <c r="B1162" s="64"/>
      <c r="C1162" s="64"/>
      <c r="D1162" s="64"/>
      <c r="E1162" s="64"/>
      <c r="F1162" s="64"/>
      <c r="G1162" s="64"/>
      <c r="H1162" s="64"/>
      <c r="I1162" s="64"/>
      <c r="J1162" s="64"/>
      <c r="K1162" s="64"/>
      <c r="L1162" s="64"/>
      <c r="M1162" s="64"/>
      <c r="N1162" s="127" t="str">
        <f>IF(ISNA(VLOOKUP(Table3[[#This Row],[Ticket]],Table1[],17,FALSE)),"",VLOOKUP(Table3[[#This Row],[Ticket]],Table1[],17,FALSE))</f>
        <v/>
      </c>
      <c r="O1162" s="128" t="str">
        <f>IF(Table3[[#This Row],[Actual End Date]]="","",TEXT(Table3[[#This Row],[Actual End Date]],"mmm-yy"))</f>
        <v/>
      </c>
    </row>
    <row r="1163" spans="2:15">
      <c r="B1163" s="64"/>
      <c r="C1163" s="64"/>
      <c r="D1163" s="64"/>
      <c r="E1163" s="64"/>
      <c r="F1163" s="64"/>
      <c r="G1163" s="64"/>
      <c r="H1163" s="64"/>
      <c r="I1163" s="64"/>
      <c r="J1163" s="64"/>
      <c r="K1163" s="64"/>
      <c r="L1163" s="64"/>
      <c r="M1163" s="64"/>
      <c r="N1163" s="127" t="str">
        <f>IF(ISNA(VLOOKUP(Table3[[#This Row],[Ticket]],Table1[],17,FALSE)),"",VLOOKUP(Table3[[#This Row],[Ticket]],Table1[],17,FALSE))</f>
        <v/>
      </c>
      <c r="O1163" s="128" t="str">
        <f>IF(Table3[[#This Row],[Actual End Date]]="","",TEXT(Table3[[#This Row],[Actual End Date]],"mmm-yy"))</f>
        <v/>
      </c>
    </row>
    <row r="1164" spans="2:15">
      <c r="B1164" s="64"/>
      <c r="C1164" s="64"/>
      <c r="D1164" s="64"/>
      <c r="E1164" s="64"/>
      <c r="F1164" s="64"/>
      <c r="G1164" s="64"/>
      <c r="H1164" s="64"/>
      <c r="I1164" s="64"/>
      <c r="J1164" s="64"/>
      <c r="K1164" s="64"/>
      <c r="L1164" s="64"/>
      <c r="M1164" s="64"/>
      <c r="N1164" s="127" t="str">
        <f>IF(ISNA(VLOOKUP(Table3[[#This Row],[Ticket]],Table1[],17,FALSE)),"",VLOOKUP(Table3[[#This Row],[Ticket]],Table1[],17,FALSE))</f>
        <v/>
      </c>
      <c r="O1164" s="128" t="str">
        <f>IF(Table3[[#This Row],[Actual End Date]]="","",TEXT(Table3[[#This Row],[Actual End Date]],"mmm-yy"))</f>
        <v/>
      </c>
    </row>
    <row r="1165" spans="2:15">
      <c r="B1165" s="64"/>
      <c r="C1165" s="64"/>
      <c r="D1165" s="64"/>
      <c r="E1165" s="64"/>
      <c r="F1165" s="64"/>
      <c r="G1165" s="64"/>
      <c r="H1165" s="64"/>
      <c r="I1165" s="64"/>
      <c r="J1165" s="64"/>
      <c r="K1165" s="64"/>
      <c r="L1165" s="64"/>
      <c r="M1165" s="64"/>
      <c r="N1165" s="127" t="str">
        <f>IF(ISNA(VLOOKUP(Table3[[#This Row],[Ticket]],Table1[],17,FALSE)),"",VLOOKUP(Table3[[#This Row],[Ticket]],Table1[],17,FALSE))</f>
        <v/>
      </c>
      <c r="O1165" s="128" t="str">
        <f>IF(Table3[[#This Row],[Actual End Date]]="","",TEXT(Table3[[#This Row],[Actual End Date]],"mmm-yy"))</f>
        <v/>
      </c>
    </row>
    <row r="1166" spans="2:15">
      <c r="B1166" s="64"/>
      <c r="C1166" s="64"/>
      <c r="D1166" s="64"/>
      <c r="E1166" s="64"/>
      <c r="F1166" s="64"/>
      <c r="G1166" s="64"/>
      <c r="H1166" s="64"/>
      <c r="I1166" s="64"/>
      <c r="J1166" s="64"/>
      <c r="K1166" s="64"/>
      <c r="L1166" s="64"/>
      <c r="M1166" s="64"/>
      <c r="N1166" s="127" t="str">
        <f>IF(ISNA(VLOOKUP(Table3[[#This Row],[Ticket]],Table1[],17,FALSE)),"",VLOOKUP(Table3[[#This Row],[Ticket]],Table1[],17,FALSE))</f>
        <v/>
      </c>
      <c r="O1166" s="128" t="str">
        <f>IF(Table3[[#This Row],[Actual End Date]]="","",TEXT(Table3[[#This Row],[Actual End Date]],"mmm-yy"))</f>
        <v/>
      </c>
    </row>
    <row r="1167" spans="2:15">
      <c r="B1167" s="64"/>
      <c r="C1167" s="64"/>
      <c r="D1167" s="64"/>
      <c r="E1167" s="64"/>
      <c r="F1167" s="64"/>
      <c r="G1167" s="64"/>
      <c r="H1167" s="64"/>
      <c r="I1167" s="64"/>
      <c r="J1167" s="64"/>
      <c r="K1167" s="64"/>
      <c r="L1167" s="64"/>
      <c r="M1167" s="64"/>
      <c r="N1167" s="127" t="str">
        <f>IF(ISNA(VLOOKUP(Table3[[#This Row],[Ticket]],Table1[],17,FALSE)),"",VLOOKUP(Table3[[#This Row],[Ticket]],Table1[],17,FALSE))</f>
        <v/>
      </c>
      <c r="O1167" s="128" t="str">
        <f>IF(Table3[[#This Row],[Actual End Date]]="","",TEXT(Table3[[#This Row],[Actual End Date]],"mmm-yy"))</f>
        <v/>
      </c>
    </row>
    <row r="1168" spans="2:15">
      <c r="B1168" s="64"/>
      <c r="C1168" s="64"/>
      <c r="D1168" s="64"/>
      <c r="E1168" s="64"/>
      <c r="F1168" s="64"/>
      <c r="G1168" s="64"/>
      <c r="H1168" s="64"/>
      <c r="I1168" s="64"/>
      <c r="J1168" s="64"/>
      <c r="K1168" s="64"/>
      <c r="L1168" s="64"/>
      <c r="M1168" s="64"/>
      <c r="N1168" s="127" t="str">
        <f>IF(ISNA(VLOOKUP(Table3[[#This Row],[Ticket]],Table1[],17,FALSE)),"",VLOOKUP(Table3[[#This Row],[Ticket]],Table1[],17,FALSE))</f>
        <v/>
      </c>
      <c r="O1168" s="128" t="str">
        <f>IF(Table3[[#This Row],[Actual End Date]]="","",TEXT(Table3[[#This Row],[Actual End Date]],"mmm-yy"))</f>
        <v/>
      </c>
    </row>
    <row r="1169" spans="2:15">
      <c r="B1169" s="64"/>
      <c r="C1169" s="64"/>
      <c r="D1169" s="64"/>
      <c r="E1169" s="64"/>
      <c r="F1169" s="64"/>
      <c r="G1169" s="64"/>
      <c r="H1169" s="64"/>
      <c r="I1169" s="64"/>
      <c r="J1169" s="64"/>
      <c r="K1169" s="64"/>
      <c r="L1169" s="64"/>
      <c r="M1169" s="64"/>
      <c r="N1169" s="127" t="str">
        <f>IF(ISNA(VLOOKUP(Table3[[#This Row],[Ticket]],Table1[],17,FALSE)),"",VLOOKUP(Table3[[#This Row],[Ticket]],Table1[],17,FALSE))</f>
        <v/>
      </c>
      <c r="O1169" s="128" t="str">
        <f>IF(Table3[[#This Row],[Actual End Date]]="","",TEXT(Table3[[#This Row],[Actual End Date]],"mmm-yy"))</f>
        <v/>
      </c>
    </row>
    <row r="1170" spans="2:15">
      <c r="B1170" s="64"/>
      <c r="C1170" s="64"/>
      <c r="D1170" s="64"/>
      <c r="E1170" s="64"/>
      <c r="F1170" s="64"/>
      <c r="G1170" s="64"/>
      <c r="H1170" s="64"/>
      <c r="I1170" s="64"/>
      <c r="J1170" s="64"/>
      <c r="K1170" s="64"/>
      <c r="L1170" s="64"/>
      <c r="M1170" s="64"/>
      <c r="N1170" s="127" t="str">
        <f>IF(ISNA(VLOOKUP(Table3[[#This Row],[Ticket]],Table1[],17,FALSE)),"",VLOOKUP(Table3[[#This Row],[Ticket]],Table1[],17,FALSE))</f>
        <v/>
      </c>
      <c r="O1170" s="128" t="str">
        <f>IF(Table3[[#This Row],[Actual End Date]]="","",TEXT(Table3[[#This Row],[Actual End Date]],"mmm-yy"))</f>
        <v/>
      </c>
    </row>
    <row r="1171" spans="2:15">
      <c r="B1171" s="64"/>
      <c r="C1171" s="64"/>
      <c r="D1171" s="64"/>
      <c r="E1171" s="64"/>
      <c r="F1171" s="64"/>
      <c r="G1171" s="64"/>
      <c r="H1171" s="64"/>
      <c r="I1171" s="64"/>
      <c r="J1171" s="64"/>
      <c r="K1171" s="64"/>
      <c r="L1171" s="64"/>
      <c r="M1171" s="64"/>
      <c r="N1171" s="127" t="str">
        <f>IF(ISNA(VLOOKUP(Table3[[#This Row],[Ticket]],Table1[],17,FALSE)),"",VLOOKUP(Table3[[#This Row],[Ticket]],Table1[],17,FALSE))</f>
        <v/>
      </c>
      <c r="O1171" s="128" t="str">
        <f>IF(Table3[[#This Row],[Actual End Date]]="","",TEXT(Table3[[#This Row],[Actual End Date]],"mmm-yy"))</f>
        <v/>
      </c>
    </row>
    <row r="1172" spans="2:15">
      <c r="B1172" s="64"/>
      <c r="C1172" s="64"/>
      <c r="D1172" s="64"/>
      <c r="E1172" s="64"/>
      <c r="F1172" s="64"/>
      <c r="G1172" s="64"/>
      <c r="H1172" s="64"/>
      <c r="I1172" s="64"/>
      <c r="J1172" s="64"/>
      <c r="K1172" s="64"/>
      <c r="L1172" s="64"/>
      <c r="M1172" s="64"/>
      <c r="N1172" s="127" t="str">
        <f>IF(ISNA(VLOOKUP(Table3[[#This Row],[Ticket]],Table1[],17,FALSE)),"",VLOOKUP(Table3[[#This Row],[Ticket]],Table1[],17,FALSE))</f>
        <v/>
      </c>
      <c r="O1172" s="128" t="str">
        <f>IF(Table3[[#This Row],[Actual End Date]]="","",TEXT(Table3[[#This Row],[Actual End Date]],"mmm-yy"))</f>
        <v/>
      </c>
    </row>
    <row r="1173" spans="2:15">
      <c r="B1173" s="64"/>
      <c r="C1173" s="64"/>
      <c r="D1173" s="64"/>
      <c r="E1173" s="64"/>
      <c r="F1173" s="64"/>
      <c r="G1173" s="64"/>
      <c r="H1173" s="64"/>
      <c r="I1173" s="64"/>
      <c r="J1173" s="64"/>
      <c r="K1173" s="64"/>
      <c r="L1173" s="64"/>
      <c r="M1173" s="64"/>
      <c r="N1173" s="127" t="str">
        <f>IF(ISNA(VLOOKUP(Table3[[#This Row],[Ticket]],Table1[],17,FALSE)),"",VLOOKUP(Table3[[#This Row],[Ticket]],Table1[],17,FALSE))</f>
        <v/>
      </c>
      <c r="O1173" s="128" t="str">
        <f>IF(Table3[[#This Row],[Actual End Date]]="","",TEXT(Table3[[#This Row],[Actual End Date]],"mmm-yy"))</f>
        <v/>
      </c>
    </row>
    <row r="1174" spans="2:15">
      <c r="B1174" s="64"/>
      <c r="C1174" s="64"/>
      <c r="D1174" s="64"/>
      <c r="E1174" s="64"/>
      <c r="F1174" s="64"/>
      <c r="G1174" s="64"/>
      <c r="H1174" s="64"/>
      <c r="I1174" s="64"/>
      <c r="J1174" s="64"/>
      <c r="K1174" s="64"/>
      <c r="L1174" s="64"/>
      <c r="M1174" s="64"/>
      <c r="N1174" s="127" t="str">
        <f>IF(ISNA(VLOOKUP(Table3[[#This Row],[Ticket]],Table1[],17,FALSE)),"",VLOOKUP(Table3[[#This Row],[Ticket]],Table1[],17,FALSE))</f>
        <v/>
      </c>
      <c r="O1174" s="128" t="str">
        <f>IF(Table3[[#This Row],[Actual End Date]]="","",TEXT(Table3[[#This Row],[Actual End Date]],"mmm-yy"))</f>
        <v/>
      </c>
    </row>
    <row r="1175" spans="2:15">
      <c r="B1175" s="64"/>
      <c r="C1175" s="64"/>
      <c r="D1175" s="64"/>
      <c r="E1175" s="64"/>
      <c r="F1175" s="64"/>
      <c r="G1175" s="64"/>
      <c r="H1175" s="64"/>
      <c r="I1175" s="64"/>
      <c r="J1175" s="64"/>
      <c r="K1175" s="64"/>
      <c r="L1175" s="64"/>
      <c r="M1175" s="64"/>
      <c r="N1175" s="127" t="str">
        <f>IF(ISNA(VLOOKUP(Table3[[#This Row],[Ticket]],Table1[],17,FALSE)),"",VLOOKUP(Table3[[#This Row],[Ticket]],Table1[],17,FALSE))</f>
        <v/>
      </c>
      <c r="O1175" s="128" t="str">
        <f>IF(Table3[[#This Row],[Actual End Date]]="","",TEXT(Table3[[#This Row],[Actual End Date]],"mmm-yy"))</f>
        <v/>
      </c>
    </row>
    <row r="1176" spans="2:15">
      <c r="B1176" s="64"/>
      <c r="C1176" s="64"/>
      <c r="D1176" s="64"/>
      <c r="E1176" s="64"/>
      <c r="F1176" s="64"/>
      <c r="G1176" s="64"/>
      <c r="H1176" s="64"/>
      <c r="I1176" s="64"/>
      <c r="J1176" s="64"/>
      <c r="K1176" s="64"/>
      <c r="L1176" s="64"/>
      <c r="M1176" s="64"/>
      <c r="N1176" s="127" t="str">
        <f>IF(ISNA(VLOOKUP(Table3[[#This Row],[Ticket]],Table1[],17,FALSE)),"",VLOOKUP(Table3[[#This Row],[Ticket]],Table1[],17,FALSE))</f>
        <v/>
      </c>
      <c r="O1176" s="128" t="str">
        <f>IF(Table3[[#This Row],[Actual End Date]]="","",TEXT(Table3[[#This Row],[Actual End Date]],"mmm-yy"))</f>
        <v/>
      </c>
    </row>
    <row r="1177" spans="2:15">
      <c r="B1177" s="64"/>
      <c r="C1177" s="64"/>
      <c r="D1177" s="64"/>
      <c r="E1177" s="64"/>
      <c r="F1177" s="64"/>
      <c r="G1177" s="64"/>
      <c r="H1177" s="64"/>
      <c r="I1177" s="64"/>
      <c r="J1177" s="64"/>
      <c r="K1177" s="64"/>
      <c r="L1177" s="64"/>
      <c r="M1177" s="64"/>
      <c r="N1177" s="127" t="str">
        <f>IF(ISNA(VLOOKUP(Table3[[#This Row],[Ticket]],Table1[],17,FALSE)),"",VLOOKUP(Table3[[#This Row],[Ticket]],Table1[],17,FALSE))</f>
        <v/>
      </c>
      <c r="O1177" s="128" t="str">
        <f>IF(Table3[[#This Row],[Actual End Date]]="","",TEXT(Table3[[#This Row],[Actual End Date]],"mmm-yy"))</f>
        <v/>
      </c>
    </row>
    <row r="1178" spans="2:15">
      <c r="B1178" s="64"/>
      <c r="C1178" s="64"/>
      <c r="D1178" s="64"/>
      <c r="E1178" s="64"/>
      <c r="F1178" s="64"/>
      <c r="G1178" s="64"/>
      <c r="H1178" s="64"/>
      <c r="I1178" s="64"/>
      <c r="J1178" s="64"/>
      <c r="K1178" s="64"/>
      <c r="L1178" s="64"/>
      <c r="M1178" s="64"/>
      <c r="N1178" s="127" t="str">
        <f>IF(ISNA(VLOOKUP(Table3[[#This Row],[Ticket]],Table1[],17,FALSE)),"",VLOOKUP(Table3[[#This Row],[Ticket]],Table1[],17,FALSE))</f>
        <v/>
      </c>
      <c r="O1178" s="128" t="str">
        <f>IF(Table3[[#This Row],[Actual End Date]]="","",TEXT(Table3[[#This Row],[Actual End Date]],"mmm-yy"))</f>
        <v/>
      </c>
    </row>
    <row r="1179" spans="2:15">
      <c r="B1179" s="64"/>
      <c r="C1179" s="64"/>
      <c r="D1179" s="64"/>
      <c r="E1179" s="64"/>
      <c r="F1179" s="64"/>
      <c r="G1179" s="64"/>
      <c r="H1179" s="64"/>
      <c r="I1179" s="64"/>
      <c r="J1179" s="64"/>
      <c r="K1179" s="64"/>
      <c r="L1179" s="64"/>
      <c r="M1179" s="64"/>
      <c r="N1179" s="127" t="str">
        <f>IF(ISNA(VLOOKUP(Table3[[#This Row],[Ticket]],Table1[],17,FALSE)),"",VLOOKUP(Table3[[#This Row],[Ticket]],Table1[],17,FALSE))</f>
        <v/>
      </c>
      <c r="O1179" s="128" t="str">
        <f>IF(Table3[[#This Row],[Actual End Date]]="","",TEXT(Table3[[#This Row],[Actual End Date]],"mmm-yy"))</f>
        <v/>
      </c>
    </row>
    <row r="1180" spans="2:15">
      <c r="B1180" s="64"/>
      <c r="C1180" s="64"/>
      <c r="D1180" s="64"/>
      <c r="E1180" s="64"/>
      <c r="F1180" s="64"/>
      <c r="G1180" s="64"/>
      <c r="H1180" s="64"/>
      <c r="I1180" s="64"/>
      <c r="J1180" s="64"/>
      <c r="K1180" s="64"/>
      <c r="L1180" s="64"/>
      <c r="M1180" s="64"/>
      <c r="N1180" s="127" t="str">
        <f>IF(ISNA(VLOOKUP(Table3[[#This Row],[Ticket]],Table1[],17,FALSE)),"",VLOOKUP(Table3[[#This Row],[Ticket]],Table1[],17,FALSE))</f>
        <v/>
      </c>
      <c r="O1180" s="128" t="str">
        <f>IF(Table3[[#This Row],[Actual End Date]]="","",TEXT(Table3[[#This Row],[Actual End Date]],"mmm-yy"))</f>
        <v/>
      </c>
    </row>
    <row r="1181" spans="2:15">
      <c r="B1181" s="64"/>
      <c r="C1181" s="64"/>
      <c r="D1181" s="64"/>
      <c r="E1181" s="64"/>
      <c r="F1181" s="64"/>
      <c r="G1181" s="64"/>
      <c r="H1181" s="64"/>
      <c r="I1181" s="64"/>
      <c r="J1181" s="64"/>
      <c r="K1181" s="64"/>
      <c r="L1181" s="64"/>
      <c r="M1181" s="64"/>
      <c r="N1181" s="127" t="str">
        <f>IF(ISNA(VLOOKUP(Table3[[#This Row],[Ticket]],Table1[],17,FALSE)),"",VLOOKUP(Table3[[#This Row],[Ticket]],Table1[],17,FALSE))</f>
        <v/>
      </c>
      <c r="O1181" s="128" t="str">
        <f>IF(Table3[[#This Row],[Actual End Date]]="","",TEXT(Table3[[#This Row],[Actual End Date]],"mmm-yy"))</f>
        <v/>
      </c>
    </row>
    <row r="1182" spans="2:15">
      <c r="B1182" s="64"/>
      <c r="C1182" s="64"/>
      <c r="D1182" s="64"/>
      <c r="E1182" s="64"/>
      <c r="F1182" s="64"/>
      <c r="G1182" s="64"/>
      <c r="H1182" s="64"/>
      <c r="I1182" s="64"/>
      <c r="J1182" s="64"/>
      <c r="K1182" s="64"/>
      <c r="L1182" s="64"/>
      <c r="M1182" s="64"/>
      <c r="N1182" s="127" t="str">
        <f>IF(ISNA(VLOOKUP(Table3[[#This Row],[Ticket]],Table1[],17,FALSE)),"",VLOOKUP(Table3[[#This Row],[Ticket]],Table1[],17,FALSE))</f>
        <v/>
      </c>
      <c r="O1182" s="128" t="str">
        <f>IF(Table3[[#This Row],[Actual End Date]]="","",TEXT(Table3[[#This Row],[Actual End Date]],"mmm-yy"))</f>
        <v/>
      </c>
    </row>
    <row r="1183" spans="2:15">
      <c r="B1183" s="64"/>
      <c r="C1183" s="64"/>
      <c r="D1183" s="64"/>
      <c r="E1183" s="64"/>
      <c r="F1183" s="64"/>
      <c r="G1183" s="64"/>
      <c r="H1183" s="64"/>
      <c r="I1183" s="64"/>
      <c r="J1183" s="64"/>
      <c r="K1183" s="64"/>
      <c r="L1183" s="64"/>
      <c r="M1183" s="64"/>
      <c r="N1183" s="127" t="str">
        <f>IF(ISNA(VLOOKUP(Table3[[#This Row],[Ticket]],Table1[],17,FALSE)),"",VLOOKUP(Table3[[#This Row],[Ticket]],Table1[],17,FALSE))</f>
        <v/>
      </c>
      <c r="O1183" s="128" t="str">
        <f>IF(Table3[[#This Row],[Actual End Date]]="","",TEXT(Table3[[#This Row],[Actual End Date]],"mmm-yy"))</f>
        <v/>
      </c>
    </row>
    <row r="1184" spans="2:15">
      <c r="B1184" s="64"/>
      <c r="C1184" s="64"/>
      <c r="D1184" s="64"/>
      <c r="E1184" s="64"/>
      <c r="F1184" s="64"/>
      <c r="G1184" s="64"/>
      <c r="H1184" s="64"/>
      <c r="I1184" s="64"/>
      <c r="J1184" s="64"/>
      <c r="K1184" s="64"/>
      <c r="L1184" s="64"/>
      <c r="M1184" s="64"/>
      <c r="N1184" s="127" t="str">
        <f>IF(ISNA(VLOOKUP(Table3[[#This Row],[Ticket]],Table1[],17,FALSE)),"",VLOOKUP(Table3[[#This Row],[Ticket]],Table1[],17,FALSE))</f>
        <v/>
      </c>
      <c r="O1184" s="128" t="str">
        <f>IF(Table3[[#This Row],[Actual End Date]]="","",TEXT(Table3[[#This Row],[Actual End Date]],"mmm-yy"))</f>
        <v/>
      </c>
    </row>
    <row r="1185" spans="2:15">
      <c r="B1185" s="64"/>
      <c r="C1185" s="64"/>
      <c r="D1185" s="64"/>
      <c r="E1185" s="64"/>
      <c r="F1185" s="64"/>
      <c r="G1185" s="64"/>
      <c r="H1185" s="64"/>
      <c r="I1185" s="64"/>
      <c r="J1185" s="64"/>
      <c r="K1185" s="64"/>
      <c r="L1185" s="64"/>
      <c r="M1185" s="64"/>
      <c r="N1185" s="127" t="str">
        <f>IF(ISNA(VLOOKUP(Table3[[#This Row],[Ticket]],Table1[],17,FALSE)),"",VLOOKUP(Table3[[#This Row],[Ticket]],Table1[],17,FALSE))</f>
        <v/>
      </c>
      <c r="O1185" s="128" t="str">
        <f>IF(Table3[[#This Row],[Actual End Date]]="","",TEXT(Table3[[#This Row],[Actual End Date]],"mmm-yy"))</f>
        <v/>
      </c>
    </row>
    <row r="1186" spans="2:15">
      <c r="B1186" s="64"/>
      <c r="C1186" s="64"/>
      <c r="D1186" s="64"/>
      <c r="E1186" s="64"/>
      <c r="F1186" s="64"/>
      <c r="G1186" s="64"/>
      <c r="H1186" s="64"/>
      <c r="I1186" s="64"/>
      <c r="J1186" s="64"/>
      <c r="K1186" s="64"/>
      <c r="L1186" s="64"/>
      <c r="M1186" s="64"/>
      <c r="N1186" s="127" t="str">
        <f>IF(ISNA(VLOOKUP(Table3[[#This Row],[Ticket]],Table1[],17,FALSE)),"",VLOOKUP(Table3[[#This Row],[Ticket]],Table1[],17,FALSE))</f>
        <v/>
      </c>
      <c r="O1186" s="128" t="str">
        <f>IF(Table3[[#This Row],[Actual End Date]]="","",TEXT(Table3[[#This Row],[Actual End Date]],"mmm-yy"))</f>
        <v/>
      </c>
    </row>
    <row r="1187" spans="2:15">
      <c r="B1187" s="64"/>
      <c r="C1187" s="64"/>
      <c r="D1187" s="64"/>
      <c r="E1187" s="64"/>
      <c r="F1187" s="64"/>
      <c r="G1187" s="64"/>
      <c r="H1187" s="64"/>
      <c r="I1187" s="64"/>
      <c r="J1187" s="64"/>
      <c r="K1187" s="64"/>
      <c r="L1187" s="64"/>
      <c r="M1187" s="64"/>
      <c r="N1187" s="127" t="str">
        <f>IF(ISNA(VLOOKUP(Table3[[#This Row],[Ticket]],Table1[],17,FALSE)),"",VLOOKUP(Table3[[#This Row],[Ticket]],Table1[],17,FALSE))</f>
        <v/>
      </c>
      <c r="O1187" s="128" t="str">
        <f>IF(Table3[[#This Row],[Actual End Date]]="","",TEXT(Table3[[#This Row],[Actual End Date]],"mmm-yy"))</f>
        <v/>
      </c>
    </row>
    <row r="1188" spans="2:15">
      <c r="B1188" s="64"/>
      <c r="C1188" s="64"/>
      <c r="D1188" s="64"/>
      <c r="E1188" s="64"/>
      <c r="F1188" s="64"/>
      <c r="G1188" s="64"/>
      <c r="H1188" s="64"/>
      <c r="I1188" s="64"/>
      <c r="J1188" s="64"/>
      <c r="K1188" s="64"/>
      <c r="L1188" s="64"/>
      <c r="M1188" s="64"/>
      <c r="N1188" s="127" t="str">
        <f>IF(ISNA(VLOOKUP(Table3[[#This Row],[Ticket]],Table1[],17,FALSE)),"",VLOOKUP(Table3[[#This Row],[Ticket]],Table1[],17,FALSE))</f>
        <v/>
      </c>
      <c r="O1188" s="128" t="str">
        <f>IF(Table3[[#This Row],[Actual End Date]]="","",TEXT(Table3[[#This Row],[Actual End Date]],"mmm-yy"))</f>
        <v/>
      </c>
    </row>
    <row r="1189" spans="2:15">
      <c r="B1189" s="64"/>
      <c r="C1189" s="64"/>
      <c r="D1189" s="64"/>
      <c r="E1189" s="64"/>
      <c r="F1189" s="64"/>
      <c r="G1189" s="64"/>
      <c r="H1189" s="64"/>
      <c r="I1189" s="64"/>
      <c r="J1189" s="64"/>
      <c r="K1189" s="64"/>
      <c r="L1189" s="64"/>
      <c r="M1189" s="64"/>
      <c r="N1189" s="127" t="str">
        <f>IF(ISNA(VLOOKUP(Table3[[#This Row],[Ticket]],Table1[],17,FALSE)),"",VLOOKUP(Table3[[#This Row],[Ticket]],Table1[],17,FALSE))</f>
        <v/>
      </c>
      <c r="O1189" s="128" t="str">
        <f>IF(Table3[[#This Row],[Actual End Date]]="","",TEXT(Table3[[#This Row],[Actual End Date]],"mmm-yy"))</f>
        <v/>
      </c>
    </row>
    <row r="1190" spans="2:15">
      <c r="B1190" s="64"/>
      <c r="C1190" s="64"/>
      <c r="D1190" s="64"/>
      <c r="E1190" s="64"/>
      <c r="F1190" s="64"/>
      <c r="G1190" s="64"/>
      <c r="H1190" s="64"/>
      <c r="I1190" s="64"/>
      <c r="J1190" s="64"/>
      <c r="K1190" s="64"/>
      <c r="L1190" s="64"/>
      <c r="M1190" s="64"/>
      <c r="N1190" s="127" t="str">
        <f>IF(ISNA(VLOOKUP(Table3[[#This Row],[Ticket]],Table1[],17,FALSE)),"",VLOOKUP(Table3[[#This Row],[Ticket]],Table1[],17,FALSE))</f>
        <v/>
      </c>
      <c r="O1190" s="128" t="str">
        <f>IF(Table3[[#This Row],[Actual End Date]]="","",TEXT(Table3[[#This Row],[Actual End Date]],"mmm-yy"))</f>
        <v/>
      </c>
    </row>
    <row r="1191" spans="2:15">
      <c r="B1191" s="64"/>
      <c r="C1191" s="64"/>
      <c r="D1191" s="64"/>
      <c r="E1191" s="64"/>
      <c r="F1191" s="64"/>
      <c r="G1191" s="64"/>
      <c r="H1191" s="64"/>
      <c r="I1191" s="64"/>
      <c r="J1191" s="64"/>
      <c r="K1191" s="64"/>
      <c r="L1191" s="64"/>
      <c r="M1191" s="64"/>
      <c r="N1191" s="127" t="str">
        <f>IF(ISNA(VLOOKUP(Table3[[#This Row],[Ticket]],Table1[],17,FALSE)),"",VLOOKUP(Table3[[#This Row],[Ticket]],Table1[],17,FALSE))</f>
        <v/>
      </c>
      <c r="O1191" s="128" t="str">
        <f>IF(Table3[[#This Row],[Actual End Date]]="","",TEXT(Table3[[#This Row],[Actual End Date]],"mmm-yy"))</f>
        <v/>
      </c>
    </row>
    <row r="1192" spans="2:15">
      <c r="B1192" s="64"/>
      <c r="C1192" s="64"/>
      <c r="D1192" s="64"/>
      <c r="E1192" s="64"/>
      <c r="F1192" s="64"/>
      <c r="G1192" s="64"/>
      <c r="H1192" s="64"/>
      <c r="I1192" s="64"/>
      <c r="J1192" s="64"/>
      <c r="K1192" s="64"/>
      <c r="L1192" s="64"/>
      <c r="M1192" s="64"/>
      <c r="N1192" s="127" t="str">
        <f>IF(ISNA(VLOOKUP(Table3[[#This Row],[Ticket]],Table1[],17,FALSE)),"",VLOOKUP(Table3[[#This Row],[Ticket]],Table1[],17,FALSE))</f>
        <v/>
      </c>
      <c r="O1192" s="128" t="str">
        <f>IF(Table3[[#This Row],[Actual End Date]]="","",TEXT(Table3[[#This Row],[Actual End Date]],"mmm-yy"))</f>
        <v/>
      </c>
    </row>
    <row r="1193" spans="2:15">
      <c r="B1193" s="64"/>
      <c r="C1193" s="64"/>
      <c r="D1193" s="64"/>
      <c r="E1193" s="64"/>
      <c r="F1193" s="64"/>
      <c r="G1193" s="64"/>
      <c r="H1193" s="64"/>
      <c r="I1193" s="64"/>
      <c r="J1193" s="64"/>
      <c r="K1193" s="64"/>
      <c r="L1193" s="64"/>
      <c r="M1193" s="64"/>
      <c r="N1193" s="127" t="str">
        <f>IF(ISNA(VLOOKUP(Table3[[#This Row],[Ticket]],Table1[],17,FALSE)),"",VLOOKUP(Table3[[#This Row],[Ticket]],Table1[],17,FALSE))</f>
        <v/>
      </c>
      <c r="O1193" s="128" t="str">
        <f>IF(Table3[[#This Row],[Actual End Date]]="","",TEXT(Table3[[#This Row],[Actual End Date]],"mmm-yy"))</f>
        <v/>
      </c>
    </row>
    <row r="1194" spans="2:15">
      <c r="B1194" s="64"/>
      <c r="C1194" s="64"/>
      <c r="D1194" s="64"/>
      <c r="E1194" s="64"/>
      <c r="F1194" s="64"/>
      <c r="G1194" s="64"/>
      <c r="H1194" s="64"/>
      <c r="I1194" s="64"/>
      <c r="J1194" s="64"/>
      <c r="K1194" s="64"/>
      <c r="L1194" s="64"/>
      <c r="M1194" s="64"/>
      <c r="N1194" s="127" t="str">
        <f>IF(ISNA(VLOOKUP(Table3[[#This Row],[Ticket]],Table1[],17,FALSE)),"",VLOOKUP(Table3[[#This Row],[Ticket]],Table1[],17,FALSE))</f>
        <v/>
      </c>
      <c r="O1194" s="128" t="str">
        <f>IF(Table3[[#This Row],[Actual End Date]]="","",TEXT(Table3[[#This Row],[Actual End Date]],"mmm-yy"))</f>
        <v/>
      </c>
    </row>
    <row r="1195" spans="2:15">
      <c r="B1195" s="64"/>
      <c r="C1195" s="64"/>
      <c r="D1195" s="64"/>
      <c r="E1195" s="64"/>
      <c r="F1195" s="64"/>
      <c r="G1195" s="64"/>
      <c r="H1195" s="64"/>
      <c r="I1195" s="64"/>
      <c r="J1195" s="64"/>
      <c r="K1195" s="64"/>
      <c r="L1195" s="64"/>
      <c r="M1195" s="64"/>
      <c r="N1195" s="127" t="str">
        <f>IF(ISNA(VLOOKUP(Table3[[#This Row],[Ticket]],Table1[],17,FALSE)),"",VLOOKUP(Table3[[#This Row],[Ticket]],Table1[],17,FALSE))</f>
        <v/>
      </c>
      <c r="O1195" s="128" t="str">
        <f>IF(Table3[[#This Row],[Actual End Date]]="","",TEXT(Table3[[#This Row],[Actual End Date]],"mmm-yy"))</f>
        <v/>
      </c>
    </row>
    <row r="1196" spans="2:15">
      <c r="B1196" s="64"/>
      <c r="C1196" s="64"/>
      <c r="D1196" s="64"/>
      <c r="E1196" s="64"/>
      <c r="F1196" s="64"/>
      <c r="G1196" s="64"/>
      <c r="H1196" s="64"/>
      <c r="I1196" s="64"/>
      <c r="J1196" s="64"/>
      <c r="K1196" s="64"/>
      <c r="L1196" s="64"/>
      <c r="M1196" s="64"/>
      <c r="N1196" s="127" t="str">
        <f>IF(ISNA(VLOOKUP(Table3[[#This Row],[Ticket]],Table1[],17,FALSE)),"",VLOOKUP(Table3[[#This Row],[Ticket]],Table1[],17,FALSE))</f>
        <v/>
      </c>
      <c r="O1196" s="128" t="str">
        <f>IF(Table3[[#This Row],[Actual End Date]]="","",TEXT(Table3[[#This Row],[Actual End Date]],"mmm-yy"))</f>
        <v/>
      </c>
    </row>
    <row r="1197" spans="2:15">
      <c r="B1197" s="64"/>
      <c r="C1197" s="64"/>
      <c r="D1197" s="64"/>
      <c r="E1197" s="64"/>
      <c r="F1197" s="64"/>
      <c r="G1197" s="64"/>
      <c r="H1197" s="64"/>
      <c r="I1197" s="64"/>
      <c r="J1197" s="64"/>
      <c r="K1197" s="64"/>
      <c r="L1197" s="64"/>
      <c r="M1197" s="64"/>
      <c r="N1197" s="127" t="str">
        <f>IF(ISNA(VLOOKUP(Table3[[#This Row],[Ticket]],Table1[],17,FALSE)),"",VLOOKUP(Table3[[#This Row],[Ticket]],Table1[],17,FALSE))</f>
        <v/>
      </c>
      <c r="O1197" s="128" t="str">
        <f>IF(Table3[[#This Row],[Actual End Date]]="","",TEXT(Table3[[#This Row],[Actual End Date]],"mmm-yy"))</f>
        <v/>
      </c>
    </row>
    <row r="1198" spans="2:15">
      <c r="B1198" s="64"/>
      <c r="C1198" s="64"/>
      <c r="D1198" s="64"/>
      <c r="E1198" s="64"/>
      <c r="F1198" s="64"/>
      <c r="G1198" s="64"/>
      <c r="H1198" s="64"/>
      <c r="I1198" s="64"/>
      <c r="J1198" s="64"/>
      <c r="K1198" s="64"/>
      <c r="L1198" s="64"/>
      <c r="M1198" s="64"/>
      <c r="N1198" s="127" t="str">
        <f>IF(ISNA(VLOOKUP(Table3[[#This Row],[Ticket]],Table1[],17,FALSE)),"",VLOOKUP(Table3[[#This Row],[Ticket]],Table1[],17,FALSE))</f>
        <v/>
      </c>
      <c r="O1198" s="128" t="str">
        <f>IF(Table3[[#This Row],[Actual End Date]]="","",TEXT(Table3[[#This Row],[Actual End Date]],"mmm-yy"))</f>
        <v/>
      </c>
    </row>
    <row r="1199" spans="2:15">
      <c r="B1199" s="64"/>
      <c r="C1199" s="64"/>
      <c r="D1199" s="64"/>
      <c r="E1199" s="64"/>
      <c r="F1199" s="64"/>
      <c r="G1199" s="64"/>
      <c r="H1199" s="64"/>
      <c r="I1199" s="64"/>
      <c r="J1199" s="64"/>
      <c r="K1199" s="64"/>
      <c r="L1199" s="64"/>
      <c r="M1199" s="64"/>
      <c r="N1199" s="127" t="str">
        <f>IF(ISNA(VLOOKUP(Table3[[#This Row],[Ticket]],Table1[],17,FALSE)),"",VLOOKUP(Table3[[#This Row],[Ticket]],Table1[],17,FALSE))</f>
        <v/>
      </c>
      <c r="O1199" s="128" t="str">
        <f>IF(Table3[[#This Row],[Actual End Date]]="","",TEXT(Table3[[#This Row],[Actual End Date]],"mmm-yy"))</f>
        <v/>
      </c>
    </row>
    <row r="1200" spans="2:15">
      <c r="B1200" s="64"/>
      <c r="C1200" s="64"/>
      <c r="D1200" s="64"/>
      <c r="E1200" s="64"/>
      <c r="F1200" s="64"/>
      <c r="G1200" s="64"/>
      <c r="H1200" s="64"/>
      <c r="I1200" s="64"/>
      <c r="J1200" s="64"/>
      <c r="K1200" s="64"/>
      <c r="L1200" s="64"/>
      <c r="M1200" s="64"/>
      <c r="N1200" s="127" t="str">
        <f>IF(ISNA(VLOOKUP(Table3[[#This Row],[Ticket]],Table1[],17,FALSE)),"",VLOOKUP(Table3[[#This Row],[Ticket]],Table1[],17,FALSE))</f>
        <v/>
      </c>
      <c r="O1200" s="128" t="str">
        <f>IF(Table3[[#This Row],[Actual End Date]]="","",TEXT(Table3[[#This Row],[Actual End Date]],"mmm-yy"))</f>
        <v/>
      </c>
    </row>
    <row r="1201" spans="2:15">
      <c r="B1201" s="64"/>
      <c r="C1201" s="64"/>
      <c r="D1201" s="64"/>
      <c r="E1201" s="64"/>
      <c r="F1201" s="64"/>
      <c r="G1201" s="64"/>
      <c r="H1201" s="64"/>
      <c r="I1201" s="64"/>
      <c r="J1201" s="64"/>
      <c r="K1201" s="64"/>
      <c r="L1201" s="64"/>
      <c r="M1201" s="64"/>
      <c r="N1201" s="127" t="str">
        <f>IF(ISNA(VLOOKUP(Table3[[#This Row],[Ticket]],Table1[],17,FALSE)),"",VLOOKUP(Table3[[#This Row],[Ticket]],Table1[],17,FALSE))</f>
        <v/>
      </c>
      <c r="O1201" s="128" t="str">
        <f>IF(Table3[[#This Row],[Actual End Date]]="","",TEXT(Table3[[#This Row],[Actual End Date]],"mmm-yy"))</f>
        <v/>
      </c>
    </row>
    <row r="1202" spans="2:15">
      <c r="B1202" s="64"/>
      <c r="C1202" s="64"/>
      <c r="D1202" s="64"/>
      <c r="E1202" s="64"/>
      <c r="F1202" s="64"/>
      <c r="G1202" s="64"/>
      <c r="H1202" s="64"/>
      <c r="I1202" s="64"/>
      <c r="J1202" s="64"/>
      <c r="K1202" s="64"/>
      <c r="L1202" s="64"/>
      <c r="M1202" s="64"/>
      <c r="N1202" s="127" t="str">
        <f>IF(ISNA(VLOOKUP(Table3[[#This Row],[Ticket]],Table1[],17,FALSE)),"",VLOOKUP(Table3[[#This Row],[Ticket]],Table1[],17,FALSE))</f>
        <v/>
      </c>
      <c r="O1202" s="128" t="str">
        <f>IF(Table3[[#This Row],[Actual End Date]]="","",TEXT(Table3[[#This Row],[Actual End Date]],"mmm-yy"))</f>
        <v/>
      </c>
    </row>
    <row r="1203" spans="2:15">
      <c r="B1203" s="64"/>
      <c r="C1203" s="64"/>
      <c r="D1203" s="64"/>
      <c r="E1203" s="64"/>
      <c r="F1203" s="64"/>
      <c r="G1203" s="64"/>
      <c r="H1203" s="64"/>
      <c r="I1203" s="64"/>
      <c r="J1203" s="64"/>
      <c r="K1203" s="64"/>
      <c r="L1203" s="64"/>
      <c r="M1203" s="64"/>
      <c r="N1203" s="127" t="str">
        <f>IF(ISNA(VLOOKUP(Table3[[#This Row],[Ticket]],Table1[],17,FALSE)),"",VLOOKUP(Table3[[#This Row],[Ticket]],Table1[],17,FALSE))</f>
        <v/>
      </c>
      <c r="O1203" s="128" t="str">
        <f>IF(Table3[[#This Row],[Actual End Date]]="","",TEXT(Table3[[#This Row],[Actual End Date]],"mmm-yy"))</f>
        <v/>
      </c>
    </row>
    <row r="1204" spans="2:15">
      <c r="B1204" s="64"/>
      <c r="C1204" s="64"/>
      <c r="D1204" s="64"/>
      <c r="E1204" s="64"/>
      <c r="F1204" s="64"/>
      <c r="G1204" s="64"/>
      <c r="H1204" s="64"/>
      <c r="I1204" s="64"/>
      <c r="J1204" s="64"/>
      <c r="K1204" s="64"/>
      <c r="L1204" s="64"/>
      <c r="M1204" s="64"/>
      <c r="N1204" s="127" t="str">
        <f>IF(ISNA(VLOOKUP(Table3[[#This Row],[Ticket]],Table1[],17,FALSE)),"",VLOOKUP(Table3[[#This Row],[Ticket]],Table1[],17,FALSE))</f>
        <v/>
      </c>
      <c r="O1204" s="128" t="str">
        <f>IF(Table3[[#This Row],[Actual End Date]]="","",TEXT(Table3[[#This Row],[Actual End Date]],"mmm-yy"))</f>
        <v/>
      </c>
    </row>
    <row r="1205" spans="2:15">
      <c r="B1205" s="64"/>
      <c r="C1205" s="64"/>
      <c r="D1205" s="64"/>
      <c r="E1205" s="64"/>
      <c r="F1205" s="64"/>
      <c r="G1205" s="64"/>
      <c r="H1205" s="64"/>
      <c r="I1205" s="64"/>
      <c r="J1205" s="64"/>
      <c r="K1205" s="64"/>
      <c r="L1205" s="64"/>
      <c r="M1205" s="64"/>
      <c r="N1205" s="127" t="str">
        <f>IF(ISNA(VLOOKUP(Table3[[#This Row],[Ticket]],Table1[],17,FALSE)),"",VLOOKUP(Table3[[#This Row],[Ticket]],Table1[],17,FALSE))</f>
        <v/>
      </c>
      <c r="O1205" s="128" t="str">
        <f>IF(Table3[[#This Row],[Actual End Date]]="","",TEXT(Table3[[#This Row],[Actual End Date]],"mmm-yy"))</f>
        <v/>
      </c>
    </row>
    <row r="1206" spans="2:15">
      <c r="B1206" s="64"/>
      <c r="C1206" s="64"/>
      <c r="D1206" s="64"/>
      <c r="E1206" s="64"/>
      <c r="F1206" s="64"/>
      <c r="G1206" s="64"/>
      <c r="H1206" s="64"/>
      <c r="I1206" s="64"/>
      <c r="J1206" s="64"/>
      <c r="K1206" s="64"/>
      <c r="L1206" s="64"/>
      <c r="M1206" s="64"/>
      <c r="N1206" s="127" t="str">
        <f>IF(ISNA(VLOOKUP(Table3[[#This Row],[Ticket]],Table1[],17,FALSE)),"",VLOOKUP(Table3[[#This Row],[Ticket]],Table1[],17,FALSE))</f>
        <v/>
      </c>
      <c r="O1206" s="128" t="str">
        <f>IF(Table3[[#This Row],[Actual End Date]]="","",TEXT(Table3[[#This Row],[Actual End Date]],"mmm-yy"))</f>
        <v/>
      </c>
    </row>
    <row r="1207" spans="2:15">
      <c r="B1207" s="64"/>
      <c r="C1207" s="64"/>
      <c r="D1207" s="64"/>
      <c r="E1207" s="64"/>
      <c r="F1207" s="64"/>
      <c r="G1207" s="64"/>
      <c r="H1207" s="64"/>
      <c r="I1207" s="64"/>
      <c r="J1207" s="64"/>
      <c r="K1207" s="64"/>
      <c r="L1207" s="64"/>
      <c r="M1207" s="64"/>
      <c r="N1207" s="127" t="str">
        <f>IF(ISNA(VLOOKUP(Table3[[#This Row],[Ticket]],Table1[],17,FALSE)),"",VLOOKUP(Table3[[#This Row],[Ticket]],Table1[],17,FALSE))</f>
        <v/>
      </c>
      <c r="O1207" s="128" t="str">
        <f>IF(Table3[[#This Row],[Actual End Date]]="","",TEXT(Table3[[#This Row],[Actual End Date]],"mmm-yy"))</f>
        <v/>
      </c>
    </row>
    <row r="1208" spans="2:15">
      <c r="B1208" s="64"/>
      <c r="C1208" s="64"/>
      <c r="D1208" s="64"/>
      <c r="E1208" s="64"/>
      <c r="F1208" s="64"/>
      <c r="G1208" s="64"/>
      <c r="H1208" s="64"/>
      <c r="I1208" s="64"/>
      <c r="J1208" s="64"/>
      <c r="K1208" s="64"/>
      <c r="L1208" s="64"/>
      <c r="M1208" s="64"/>
      <c r="N1208" s="127" t="str">
        <f>IF(ISNA(VLOOKUP(Table3[[#This Row],[Ticket]],Table1[],17,FALSE)),"",VLOOKUP(Table3[[#This Row],[Ticket]],Table1[],17,FALSE))</f>
        <v/>
      </c>
      <c r="O1208" s="128" t="str">
        <f>IF(Table3[[#This Row],[Actual End Date]]="","",TEXT(Table3[[#This Row],[Actual End Date]],"mmm-yy"))</f>
        <v/>
      </c>
    </row>
    <row r="1209" spans="2:15">
      <c r="B1209" s="64"/>
      <c r="C1209" s="64"/>
      <c r="D1209" s="64"/>
      <c r="E1209" s="64"/>
      <c r="F1209" s="64"/>
      <c r="G1209" s="64"/>
      <c r="H1209" s="64"/>
      <c r="I1209" s="64"/>
      <c r="J1209" s="64"/>
      <c r="K1209" s="64"/>
      <c r="L1209" s="64"/>
      <c r="M1209" s="64"/>
      <c r="N1209" s="127" t="str">
        <f>IF(ISNA(VLOOKUP(Table3[[#This Row],[Ticket]],Table1[],17,FALSE)),"",VLOOKUP(Table3[[#This Row],[Ticket]],Table1[],17,FALSE))</f>
        <v/>
      </c>
      <c r="O1209" s="128" t="str">
        <f>IF(Table3[[#This Row],[Actual End Date]]="","",TEXT(Table3[[#This Row],[Actual End Date]],"mmm-yy"))</f>
        <v/>
      </c>
    </row>
    <row r="1210" spans="2:15">
      <c r="B1210" s="64"/>
      <c r="C1210" s="64"/>
      <c r="D1210" s="64"/>
      <c r="E1210" s="64"/>
      <c r="F1210" s="64"/>
      <c r="G1210" s="64"/>
      <c r="H1210" s="64"/>
      <c r="I1210" s="64"/>
      <c r="J1210" s="64"/>
      <c r="K1210" s="64"/>
      <c r="L1210" s="64"/>
      <c r="M1210" s="64"/>
      <c r="N1210" s="127" t="str">
        <f>IF(ISNA(VLOOKUP(Table3[[#This Row],[Ticket]],Table1[],17,FALSE)),"",VLOOKUP(Table3[[#This Row],[Ticket]],Table1[],17,FALSE))</f>
        <v/>
      </c>
      <c r="O1210" s="128" t="str">
        <f>IF(Table3[[#This Row],[Actual End Date]]="","",TEXT(Table3[[#This Row],[Actual End Date]],"mmm-yy"))</f>
        <v/>
      </c>
    </row>
    <row r="1211" spans="2:15">
      <c r="B1211" s="64"/>
      <c r="C1211" s="64"/>
      <c r="D1211" s="64"/>
      <c r="E1211" s="64"/>
      <c r="F1211" s="64"/>
      <c r="G1211" s="64"/>
      <c r="H1211" s="64"/>
      <c r="I1211" s="64"/>
      <c r="J1211" s="64"/>
      <c r="K1211" s="64"/>
      <c r="L1211" s="64"/>
      <c r="M1211" s="64"/>
      <c r="N1211" s="127" t="str">
        <f>IF(ISNA(VLOOKUP(Table3[[#This Row],[Ticket]],Table1[],17,FALSE)),"",VLOOKUP(Table3[[#This Row],[Ticket]],Table1[],17,FALSE))</f>
        <v/>
      </c>
      <c r="O1211" s="128" t="str">
        <f>IF(Table3[[#This Row],[Actual End Date]]="","",TEXT(Table3[[#This Row],[Actual End Date]],"mmm-yy"))</f>
        <v/>
      </c>
    </row>
    <row r="1212" spans="2:15">
      <c r="B1212" s="64"/>
      <c r="C1212" s="64"/>
      <c r="D1212" s="64"/>
      <c r="E1212" s="64"/>
      <c r="F1212" s="64"/>
      <c r="G1212" s="64"/>
      <c r="H1212" s="64"/>
      <c r="I1212" s="64"/>
      <c r="J1212" s="64"/>
      <c r="K1212" s="64"/>
      <c r="L1212" s="64"/>
      <c r="M1212" s="64"/>
      <c r="N1212" s="127" t="str">
        <f>IF(ISNA(VLOOKUP(Table3[[#This Row],[Ticket]],Table1[],17,FALSE)),"",VLOOKUP(Table3[[#This Row],[Ticket]],Table1[],17,FALSE))</f>
        <v/>
      </c>
      <c r="O1212" s="128" t="str">
        <f>IF(Table3[[#This Row],[Actual End Date]]="","",TEXT(Table3[[#This Row],[Actual End Date]],"mmm-yy"))</f>
        <v/>
      </c>
    </row>
    <row r="1213" spans="2:15">
      <c r="B1213" s="64"/>
      <c r="C1213" s="64"/>
      <c r="D1213" s="64"/>
      <c r="E1213" s="64"/>
      <c r="F1213" s="64"/>
      <c r="G1213" s="64"/>
      <c r="H1213" s="64"/>
      <c r="I1213" s="64"/>
      <c r="J1213" s="64"/>
      <c r="K1213" s="64"/>
      <c r="L1213" s="64"/>
      <c r="M1213" s="64"/>
      <c r="N1213" s="127" t="str">
        <f>IF(ISNA(VLOOKUP(Table3[[#This Row],[Ticket]],Table1[],17,FALSE)),"",VLOOKUP(Table3[[#This Row],[Ticket]],Table1[],17,FALSE))</f>
        <v/>
      </c>
      <c r="O1213" s="128" t="str">
        <f>IF(Table3[[#This Row],[Actual End Date]]="","",TEXT(Table3[[#This Row],[Actual End Date]],"mmm-yy"))</f>
        <v/>
      </c>
    </row>
    <row r="1214" spans="2:15">
      <c r="B1214" s="64"/>
      <c r="C1214" s="64"/>
      <c r="D1214" s="64"/>
      <c r="E1214" s="64"/>
      <c r="F1214" s="64"/>
      <c r="G1214" s="64"/>
      <c r="H1214" s="64"/>
      <c r="I1214" s="64"/>
      <c r="J1214" s="64"/>
      <c r="K1214" s="64"/>
      <c r="L1214" s="64"/>
      <c r="M1214" s="64"/>
      <c r="N1214" s="127" t="str">
        <f>IF(ISNA(VLOOKUP(Table3[[#This Row],[Ticket]],Table1[],17,FALSE)),"",VLOOKUP(Table3[[#This Row],[Ticket]],Table1[],17,FALSE))</f>
        <v/>
      </c>
      <c r="O1214" s="128" t="str">
        <f>IF(Table3[[#This Row],[Actual End Date]]="","",TEXT(Table3[[#This Row],[Actual End Date]],"mmm-yy"))</f>
        <v/>
      </c>
    </row>
    <row r="1215" spans="2:15">
      <c r="B1215" s="64"/>
      <c r="C1215" s="64"/>
      <c r="D1215" s="64"/>
      <c r="E1215" s="64"/>
      <c r="F1215" s="64"/>
      <c r="G1215" s="64"/>
      <c r="H1215" s="64"/>
      <c r="I1215" s="64"/>
      <c r="J1215" s="64"/>
      <c r="K1215" s="64"/>
      <c r="L1215" s="64"/>
      <c r="M1215" s="64"/>
      <c r="N1215" s="127" t="str">
        <f>IF(ISNA(VLOOKUP(Table3[[#This Row],[Ticket]],Table1[],17,FALSE)),"",VLOOKUP(Table3[[#This Row],[Ticket]],Table1[],17,FALSE))</f>
        <v/>
      </c>
      <c r="O1215" s="128" t="str">
        <f>IF(Table3[[#This Row],[Actual End Date]]="","",TEXT(Table3[[#This Row],[Actual End Date]],"mmm-yy"))</f>
        <v/>
      </c>
    </row>
    <row r="1216" spans="2:15">
      <c r="B1216" s="64"/>
      <c r="C1216" s="64"/>
      <c r="D1216" s="64"/>
      <c r="E1216" s="64"/>
      <c r="F1216" s="64"/>
      <c r="G1216" s="64"/>
      <c r="H1216" s="64"/>
      <c r="I1216" s="64"/>
      <c r="J1216" s="64"/>
      <c r="K1216" s="64"/>
      <c r="L1216" s="64"/>
      <c r="M1216" s="64"/>
      <c r="N1216" s="127" t="str">
        <f>IF(ISNA(VLOOKUP(Table3[[#This Row],[Ticket]],Table1[],17,FALSE)),"",VLOOKUP(Table3[[#This Row],[Ticket]],Table1[],17,FALSE))</f>
        <v/>
      </c>
      <c r="O1216" s="128" t="str">
        <f>IF(Table3[[#This Row],[Actual End Date]]="","",TEXT(Table3[[#This Row],[Actual End Date]],"mmm-yy"))</f>
        <v/>
      </c>
    </row>
    <row r="1217" spans="2:15">
      <c r="B1217" s="64"/>
      <c r="C1217" s="64"/>
      <c r="D1217" s="64"/>
      <c r="E1217" s="64"/>
      <c r="F1217" s="64"/>
      <c r="G1217" s="64"/>
      <c r="H1217" s="64"/>
      <c r="I1217" s="64"/>
      <c r="J1217" s="64"/>
      <c r="K1217" s="64"/>
      <c r="L1217" s="64"/>
      <c r="M1217" s="64"/>
      <c r="N1217" s="127" t="str">
        <f>IF(ISNA(VLOOKUP(Table3[[#This Row],[Ticket]],Table1[],17,FALSE)),"",VLOOKUP(Table3[[#This Row],[Ticket]],Table1[],17,FALSE))</f>
        <v/>
      </c>
      <c r="O1217" s="128" t="str">
        <f>IF(Table3[[#This Row],[Actual End Date]]="","",TEXT(Table3[[#This Row],[Actual End Date]],"mmm-yy"))</f>
        <v/>
      </c>
    </row>
    <row r="1218" spans="2:15">
      <c r="B1218" s="64"/>
      <c r="C1218" s="64"/>
      <c r="D1218" s="64"/>
      <c r="E1218" s="64"/>
      <c r="F1218" s="64"/>
      <c r="G1218" s="64"/>
      <c r="H1218" s="64"/>
      <c r="I1218" s="64"/>
      <c r="J1218" s="64"/>
      <c r="K1218" s="64"/>
      <c r="L1218" s="64"/>
      <c r="M1218" s="64"/>
      <c r="N1218" s="127" t="str">
        <f>IF(ISNA(VLOOKUP(Table3[[#This Row],[Ticket]],Table1[],17,FALSE)),"",VLOOKUP(Table3[[#This Row],[Ticket]],Table1[],17,FALSE))</f>
        <v/>
      </c>
      <c r="O1218" s="128" t="str">
        <f>IF(Table3[[#This Row],[Actual End Date]]="","",TEXT(Table3[[#This Row],[Actual End Date]],"mmm-yy"))</f>
        <v/>
      </c>
    </row>
    <row r="1219" spans="2:15">
      <c r="B1219" s="64"/>
      <c r="C1219" s="64"/>
      <c r="D1219" s="64"/>
      <c r="E1219" s="64"/>
      <c r="F1219" s="64"/>
      <c r="G1219" s="64"/>
      <c r="H1219" s="64"/>
      <c r="I1219" s="64"/>
      <c r="J1219" s="64"/>
      <c r="K1219" s="64"/>
      <c r="L1219" s="64"/>
      <c r="M1219" s="64"/>
      <c r="N1219" s="127" t="str">
        <f>IF(ISNA(VLOOKUP(Table3[[#This Row],[Ticket]],Table1[],17,FALSE)),"",VLOOKUP(Table3[[#This Row],[Ticket]],Table1[],17,FALSE))</f>
        <v/>
      </c>
      <c r="O1219" s="128" t="str">
        <f>IF(Table3[[#This Row],[Actual End Date]]="","",TEXT(Table3[[#This Row],[Actual End Date]],"mmm-yy"))</f>
        <v/>
      </c>
    </row>
    <row r="1220" spans="2:15">
      <c r="B1220" s="64"/>
      <c r="C1220" s="64"/>
      <c r="D1220" s="64"/>
      <c r="E1220" s="64"/>
      <c r="F1220" s="64"/>
      <c r="G1220" s="64"/>
      <c r="H1220" s="64"/>
      <c r="I1220" s="64"/>
      <c r="J1220" s="64"/>
      <c r="K1220" s="64"/>
      <c r="L1220" s="64"/>
      <c r="M1220" s="64"/>
      <c r="N1220" s="127" t="str">
        <f>IF(ISNA(VLOOKUP(Table3[[#This Row],[Ticket]],Table1[],17,FALSE)),"",VLOOKUP(Table3[[#This Row],[Ticket]],Table1[],17,FALSE))</f>
        <v/>
      </c>
      <c r="O1220" s="128" t="str">
        <f>IF(Table3[[#This Row],[Actual End Date]]="","",TEXT(Table3[[#This Row],[Actual End Date]],"mmm-yy"))</f>
        <v/>
      </c>
    </row>
    <row r="1221" spans="2:15">
      <c r="B1221" s="64"/>
      <c r="C1221" s="64"/>
      <c r="D1221" s="64"/>
      <c r="E1221" s="64"/>
      <c r="F1221" s="64"/>
      <c r="G1221" s="64"/>
      <c r="H1221" s="64"/>
      <c r="I1221" s="64"/>
      <c r="J1221" s="64"/>
      <c r="K1221" s="64"/>
      <c r="L1221" s="64"/>
      <c r="M1221" s="64"/>
      <c r="N1221" s="127" t="str">
        <f>IF(ISNA(VLOOKUP(Table3[[#This Row],[Ticket]],Table1[],17,FALSE)),"",VLOOKUP(Table3[[#This Row],[Ticket]],Table1[],17,FALSE))</f>
        <v/>
      </c>
      <c r="O1221" s="128" t="str">
        <f>IF(Table3[[#This Row],[Actual End Date]]="","",TEXT(Table3[[#This Row],[Actual End Date]],"mmm-yy"))</f>
        <v/>
      </c>
    </row>
    <row r="1222" spans="2:15">
      <c r="B1222" s="64"/>
      <c r="C1222" s="64"/>
      <c r="D1222" s="64"/>
      <c r="E1222" s="64"/>
      <c r="F1222" s="64"/>
      <c r="G1222" s="64"/>
      <c r="H1222" s="64"/>
      <c r="I1222" s="64"/>
      <c r="J1222" s="64"/>
      <c r="K1222" s="64"/>
      <c r="L1222" s="64"/>
      <c r="M1222" s="64"/>
      <c r="N1222" s="127" t="str">
        <f>IF(ISNA(VLOOKUP(Table3[[#This Row],[Ticket]],Table1[],17,FALSE)),"",VLOOKUP(Table3[[#This Row],[Ticket]],Table1[],17,FALSE))</f>
        <v/>
      </c>
      <c r="O1222" s="128" t="str">
        <f>IF(Table3[[#This Row],[Actual End Date]]="","",TEXT(Table3[[#This Row],[Actual End Date]],"mmm-yy"))</f>
        <v/>
      </c>
    </row>
    <row r="1223" spans="2:15">
      <c r="B1223" s="64"/>
      <c r="C1223" s="64"/>
      <c r="D1223" s="64"/>
      <c r="E1223" s="64"/>
      <c r="F1223" s="64"/>
      <c r="G1223" s="64"/>
      <c r="H1223" s="64"/>
      <c r="I1223" s="64"/>
      <c r="J1223" s="64"/>
      <c r="K1223" s="64"/>
      <c r="L1223" s="64"/>
      <c r="M1223" s="64"/>
      <c r="N1223" s="127" t="str">
        <f>IF(ISNA(VLOOKUP(Table3[[#This Row],[Ticket]],Table1[],17,FALSE)),"",VLOOKUP(Table3[[#This Row],[Ticket]],Table1[],17,FALSE))</f>
        <v/>
      </c>
      <c r="O1223" s="128" t="str">
        <f>IF(Table3[[#This Row],[Actual End Date]]="","",TEXT(Table3[[#This Row],[Actual End Date]],"mmm-yy"))</f>
        <v/>
      </c>
    </row>
    <row r="1224" spans="2:15">
      <c r="B1224" s="64"/>
      <c r="C1224" s="64"/>
      <c r="D1224" s="64"/>
      <c r="E1224" s="64"/>
      <c r="F1224" s="64"/>
      <c r="G1224" s="64"/>
      <c r="H1224" s="64"/>
      <c r="I1224" s="64"/>
      <c r="J1224" s="64"/>
      <c r="K1224" s="64"/>
      <c r="L1224" s="64"/>
      <c r="M1224" s="64"/>
      <c r="N1224" s="127" t="str">
        <f>IF(ISNA(VLOOKUP(Table3[[#This Row],[Ticket]],Table1[],17,FALSE)),"",VLOOKUP(Table3[[#This Row],[Ticket]],Table1[],17,FALSE))</f>
        <v/>
      </c>
      <c r="O1224" s="128" t="str">
        <f>IF(Table3[[#This Row],[Actual End Date]]="","",TEXT(Table3[[#This Row],[Actual End Date]],"mmm-yy"))</f>
        <v/>
      </c>
    </row>
    <row r="1225" spans="2:15">
      <c r="B1225" s="64"/>
      <c r="C1225" s="64"/>
      <c r="D1225" s="64"/>
      <c r="E1225" s="64"/>
      <c r="F1225" s="64"/>
      <c r="G1225" s="64"/>
      <c r="H1225" s="64"/>
      <c r="I1225" s="64"/>
      <c r="J1225" s="64"/>
      <c r="K1225" s="64"/>
      <c r="L1225" s="64"/>
      <c r="M1225" s="64"/>
      <c r="N1225" s="127" t="str">
        <f>IF(ISNA(VLOOKUP(Table3[[#This Row],[Ticket]],Table1[],17,FALSE)),"",VLOOKUP(Table3[[#This Row],[Ticket]],Table1[],17,FALSE))</f>
        <v/>
      </c>
      <c r="O1225" s="128" t="str">
        <f>IF(Table3[[#This Row],[Actual End Date]]="","",TEXT(Table3[[#This Row],[Actual End Date]],"mmm-yy"))</f>
        <v/>
      </c>
    </row>
    <row r="1226" spans="2:15">
      <c r="B1226" s="64"/>
      <c r="C1226" s="64"/>
      <c r="D1226" s="64"/>
      <c r="E1226" s="64"/>
      <c r="F1226" s="64"/>
      <c r="G1226" s="64"/>
      <c r="H1226" s="64"/>
      <c r="I1226" s="64"/>
      <c r="J1226" s="64"/>
      <c r="K1226" s="64"/>
      <c r="L1226" s="64"/>
      <c r="M1226" s="64"/>
      <c r="N1226" s="127" t="str">
        <f>IF(ISNA(VLOOKUP(Table3[[#This Row],[Ticket]],Table1[],17,FALSE)),"",VLOOKUP(Table3[[#This Row],[Ticket]],Table1[],17,FALSE))</f>
        <v/>
      </c>
      <c r="O1226" s="128" t="str">
        <f>IF(Table3[[#This Row],[Actual End Date]]="","",TEXT(Table3[[#This Row],[Actual End Date]],"mmm-yy"))</f>
        <v/>
      </c>
    </row>
    <row r="1227" spans="2:15">
      <c r="B1227" s="64"/>
      <c r="C1227" s="64"/>
      <c r="D1227" s="64"/>
      <c r="E1227" s="64"/>
      <c r="F1227" s="64"/>
      <c r="G1227" s="64"/>
      <c r="H1227" s="64"/>
      <c r="I1227" s="64"/>
      <c r="J1227" s="64"/>
      <c r="K1227" s="64"/>
      <c r="L1227" s="64"/>
      <c r="M1227" s="64"/>
      <c r="N1227" s="127" t="str">
        <f>IF(ISNA(VLOOKUP(Table3[[#This Row],[Ticket]],Table1[],17,FALSE)),"",VLOOKUP(Table3[[#This Row],[Ticket]],Table1[],17,FALSE))</f>
        <v/>
      </c>
      <c r="O1227" s="128" t="str">
        <f>IF(Table3[[#This Row],[Actual End Date]]="","",TEXT(Table3[[#This Row],[Actual End Date]],"mmm-yy"))</f>
        <v/>
      </c>
    </row>
    <row r="1228" spans="2:15">
      <c r="B1228" s="64"/>
      <c r="C1228" s="64"/>
      <c r="D1228" s="64"/>
      <c r="E1228" s="64"/>
      <c r="F1228" s="64"/>
      <c r="G1228" s="64"/>
      <c r="H1228" s="64"/>
      <c r="I1228" s="64"/>
      <c r="J1228" s="64"/>
      <c r="K1228" s="64"/>
      <c r="L1228" s="64"/>
      <c r="M1228" s="64"/>
      <c r="N1228" s="127" t="str">
        <f>IF(ISNA(VLOOKUP(Table3[[#This Row],[Ticket]],Table1[],17,FALSE)),"",VLOOKUP(Table3[[#This Row],[Ticket]],Table1[],17,FALSE))</f>
        <v/>
      </c>
      <c r="O1228" s="128" t="str">
        <f>IF(Table3[[#This Row],[Actual End Date]]="","",TEXT(Table3[[#This Row],[Actual End Date]],"mmm-yy"))</f>
        <v/>
      </c>
    </row>
    <row r="1229" spans="2:15">
      <c r="B1229" s="64"/>
      <c r="C1229" s="64"/>
      <c r="D1229" s="64"/>
      <c r="E1229" s="64"/>
      <c r="F1229" s="64"/>
      <c r="G1229" s="64"/>
      <c r="H1229" s="64"/>
      <c r="I1229" s="64"/>
      <c r="J1229" s="64"/>
      <c r="K1229" s="64"/>
      <c r="L1229" s="64"/>
      <c r="M1229" s="64"/>
      <c r="N1229" s="127" t="str">
        <f>IF(ISNA(VLOOKUP(Table3[[#This Row],[Ticket]],Table1[],17,FALSE)),"",VLOOKUP(Table3[[#This Row],[Ticket]],Table1[],17,FALSE))</f>
        <v/>
      </c>
      <c r="O1229" s="128" t="str">
        <f>IF(Table3[[#This Row],[Actual End Date]]="","",TEXT(Table3[[#This Row],[Actual End Date]],"mmm-yy"))</f>
        <v/>
      </c>
    </row>
    <row r="1230" spans="2:15">
      <c r="B1230" s="64"/>
      <c r="C1230" s="64"/>
      <c r="D1230" s="64"/>
      <c r="E1230" s="64"/>
      <c r="F1230" s="64"/>
      <c r="G1230" s="64"/>
      <c r="H1230" s="64"/>
      <c r="I1230" s="64"/>
      <c r="J1230" s="64"/>
      <c r="K1230" s="64"/>
      <c r="L1230" s="64"/>
      <c r="M1230" s="64"/>
      <c r="N1230" s="127" t="str">
        <f>IF(ISNA(VLOOKUP(Table3[[#This Row],[Ticket]],Table1[],17,FALSE)),"",VLOOKUP(Table3[[#This Row],[Ticket]],Table1[],17,FALSE))</f>
        <v/>
      </c>
      <c r="O1230" s="128" t="str">
        <f>IF(Table3[[#This Row],[Actual End Date]]="","",TEXT(Table3[[#This Row],[Actual End Date]],"mmm-yy"))</f>
        <v/>
      </c>
    </row>
    <row r="1231" spans="2:15">
      <c r="B1231" s="64"/>
      <c r="C1231" s="64"/>
      <c r="D1231" s="64"/>
      <c r="E1231" s="64"/>
      <c r="F1231" s="64"/>
      <c r="G1231" s="64"/>
      <c r="H1231" s="64"/>
      <c r="I1231" s="64"/>
      <c r="J1231" s="64"/>
      <c r="K1231" s="64"/>
      <c r="L1231" s="64"/>
      <c r="M1231" s="64"/>
      <c r="N1231" s="127" t="str">
        <f>IF(ISNA(VLOOKUP(Table3[[#This Row],[Ticket]],Table1[],17,FALSE)),"",VLOOKUP(Table3[[#This Row],[Ticket]],Table1[],17,FALSE))</f>
        <v/>
      </c>
      <c r="O1231" s="128" t="str">
        <f>IF(Table3[[#This Row],[Actual End Date]]="","",TEXT(Table3[[#This Row],[Actual End Date]],"mmm-yy"))</f>
        <v/>
      </c>
    </row>
    <row r="1232" spans="2:15">
      <c r="B1232" s="64"/>
      <c r="C1232" s="64"/>
      <c r="D1232" s="64"/>
      <c r="E1232" s="64"/>
      <c r="F1232" s="64"/>
      <c r="G1232" s="64"/>
      <c r="H1232" s="64"/>
      <c r="I1232" s="64"/>
      <c r="J1232" s="64"/>
      <c r="K1232" s="64"/>
      <c r="L1232" s="64"/>
      <c r="M1232" s="64"/>
      <c r="N1232" s="127" t="str">
        <f>IF(ISNA(VLOOKUP(Table3[[#This Row],[Ticket]],Table1[],17,FALSE)),"",VLOOKUP(Table3[[#This Row],[Ticket]],Table1[],17,FALSE))</f>
        <v/>
      </c>
      <c r="O1232" s="128" t="str">
        <f>IF(Table3[[#This Row],[Actual End Date]]="","",TEXT(Table3[[#This Row],[Actual End Date]],"mmm-yy"))</f>
        <v/>
      </c>
    </row>
    <row r="1233" spans="2:15">
      <c r="B1233" s="64"/>
      <c r="C1233" s="64"/>
      <c r="D1233" s="64"/>
      <c r="E1233" s="64"/>
      <c r="F1233" s="64"/>
      <c r="G1233" s="64"/>
      <c r="H1233" s="64"/>
      <c r="I1233" s="64"/>
      <c r="J1233" s="64"/>
      <c r="K1233" s="64"/>
      <c r="L1233" s="64"/>
      <c r="M1233" s="64"/>
      <c r="N1233" s="127" t="str">
        <f>IF(ISNA(VLOOKUP(Table3[[#This Row],[Ticket]],Table1[],17,FALSE)),"",VLOOKUP(Table3[[#This Row],[Ticket]],Table1[],17,FALSE))</f>
        <v/>
      </c>
      <c r="O1233" s="128" t="str">
        <f>IF(Table3[[#This Row],[Actual End Date]]="","",TEXT(Table3[[#This Row],[Actual End Date]],"mmm-yy"))</f>
        <v/>
      </c>
    </row>
    <row r="1234" spans="2:15">
      <c r="B1234" s="64"/>
      <c r="C1234" s="64"/>
      <c r="D1234" s="64"/>
      <c r="E1234" s="64"/>
      <c r="F1234" s="64"/>
      <c r="G1234" s="64"/>
      <c r="H1234" s="64"/>
      <c r="I1234" s="64"/>
      <c r="J1234" s="64"/>
      <c r="K1234" s="64"/>
      <c r="L1234" s="64"/>
      <c r="M1234" s="64"/>
      <c r="N1234" s="127" t="str">
        <f>IF(ISNA(VLOOKUP(Table3[[#This Row],[Ticket]],Table1[],17,FALSE)),"",VLOOKUP(Table3[[#This Row],[Ticket]],Table1[],17,FALSE))</f>
        <v/>
      </c>
      <c r="O1234" s="128" t="str">
        <f>IF(Table3[[#This Row],[Actual End Date]]="","",TEXT(Table3[[#This Row],[Actual End Date]],"mmm-yy"))</f>
        <v/>
      </c>
    </row>
    <row r="1235" spans="2:15">
      <c r="B1235" s="64"/>
      <c r="C1235" s="64"/>
      <c r="D1235" s="64"/>
      <c r="E1235" s="64"/>
      <c r="F1235" s="64"/>
      <c r="G1235" s="64"/>
      <c r="H1235" s="64"/>
      <c r="I1235" s="64"/>
      <c r="J1235" s="64"/>
      <c r="K1235" s="64"/>
      <c r="L1235" s="64"/>
      <c r="M1235" s="64"/>
      <c r="N1235" s="127" t="str">
        <f>IF(ISNA(VLOOKUP(Table3[[#This Row],[Ticket]],Table1[],17,FALSE)),"",VLOOKUP(Table3[[#This Row],[Ticket]],Table1[],17,FALSE))</f>
        <v/>
      </c>
      <c r="O1235" s="128" t="str">
        <f>IF(Table3[[#This Row],[Actual End Date]]="","",TEXT(Table3[[#This Row],[Actual End Date]],"mmm-yy"))</f>
        <v/>
      </c>
    </row>
    <row r="1236" spans="2:15">
      <c r="B1236" s="64"/>
      <c r="C1236" s="64"/>
      <c r="D1236" s="64"/>
      <c r="E1236" s="64"/>
      <c r="F1236" s="64"/>
      <c r="G1236" s="64"/>
      <c r="H1236" s="64"/>
      <c r="I1236" s="64"/>
      <c r="J1236" s="64"/>
      <c r="K1236" s="64"/>
      <c r="L1236" s="64"/>
      <c r="M1236" s="64"/>
      <c r="N1236" s="127" t="str">
        <f>IF(ISNA(VLOOKUP(Table3[[#This Row],[Ticket]],Table1[],17,FALSE)),"",VLOOKUP(Table3[[#This Row],[Ticket]],Table1[],17,FALSE))</f>
        <v/>
      </c>
      <c r="O1236" s="128" t="str">
        <f>IF(Table3[[#This Row],[Actual End Date]]="","",TEXT(Table3[[#This Row],[Actual End Date]],"mmm-yy"))</f>
        <v/>
      </c>
    </row>
    <row r="1237" spans="2:15">
      <c r="B1237" s="64"/>
      <c r="C1237" s="64"/>
      <c r="D1237" s="64"/>
      <c r="E1237" s="64"/>
      <c r="F1237" s="64"/>
      <c r="G1237" s="64"/>
      <c r="H1237" s="64"/>
      <c r="I1237" s="64"/>
      <c r="J1237" s="64"/>
      <c r="K1237" s="64"/>
      <c r="L1237" s="64"/>
      <c r="M1237" s="64"/>
      <c r="N1237" s="127" t="str">
        <f>IF(ISNA(VLOOKUP(Table3[[#This Row],[Ticket]],Table1[],17,FALSE)),"",VLOOKUP(Table3[[#This Row],[Ticket]],Table1[],17,FALSE))</f>
        <v/>
      </c>
      <c r="O1237" s="128" t="str">
        <f>IF(Table3[[#This Row],[Actual End Date]]="","",TEXT(Table3[[#This Row],[Actual End Date]],"mmm-yy"))</f>
        <v/>
      </c>
    </row>
    <row r="1238" spans="2:15">
      <c r="B1238" s="64"/>
      <c r="C1238" s="64"/>
      <c r="D1238" s="64"/>
      <c r="E1238" s="64"/>
      <c r="F1238" s="64"/>
      <c r="G1238" s="64"/>
      <c r="H1238" s="64"/>
      <c r="I1238" s="64"/>
      <c r="J1238" s="64"/>
      <c r="K1238" s="64"/>
      <c r="L1238" s="64"/>
      <c r="M1238" s="64"/>
      <c r="N1238" s="127" t="str">
        <f>IF(ISNA(VLOOKUP(Table3[[#This Row],[Ticket]],Table1[],17,FALSE)),"",VLOOKUP(Table3[[#This Row],[Ticket]],Table1[],17,FALSE))</f>
        <v/>
      </c>
      <c r="O1238" s="128" t="str">
        <f>IF(Table3[[#This Row],[Actual End Date]]="","",TEXT(Table3[[#This Row],[Actual End Date]],"mmm-yy"))</f>
        <v/>
      </c>
    </row>
    <row r="1239" spans="2:15">
      <c r="B1239" s="64"/>
      <c r="C1239" s="64"/>
      <c r="D1239" s="64"/>
      <c r="E1239" s="64"/>
      <c r="F1239" s="64"/>
      <c r="G1239" s="64"/>
      <c r="H1239" s="64"/>
      <c r="I1239" s="64"/>
      <c r="J1239" s="64"/>
      <c r="K1239" s="64"/>
      <c r="L1239" s="64"/>
      <c r="M1239" s="64"/>
      <c r="N1239" s="127" t="str">
        <f>IF(ISNA(VLOOKUP(Table3[[#This Row],[Ticket]],Table1[],17,FALSE)),"",VLOOKUP(Table3[[#This Row],[Ticket]],Table1[],17,FALSE))</f>
        <v/>
      </c>
      <c r="O1239" s="128" t="str">
        <f>IF(Table3[[#This Row],[Actual End Date]]="","",TEXT(Table3[[#This Row],[Actual End Date]],"mmm-yy"))</f>
        <v/>
      </c>
    </row>
    <row r="1240" spans="2:15">
      <c r="B1240" s="64"/>
      <c r="C1240" s="64"/>
      <c r="D1240" s="64"/>
      <c r="E1240" s="64"/>
      <c r="F1240" s="64"/>
      <c r="G1240" s="64"/>
      <c r="H1240" s="64"/>
      <c r="I1240" s="64"/>
      <c r="J1240" s="64"/>
      <c r="K1240" s="64"/>
      <c r="L1240" s="64"/>
      <c r="M1240" s="64"/>
      <c r="N1240" s="127" t="str">
        <f>IF(ISNA(VLOOKUP(Table3[[#This Row],[Ticket]],Table1[],17,FALSE)),"",VLOOKUP(Table3[[#This Row],[Ticket]],Table1[],17,FALSE))</f>
        <v/>
      </c>
      <c r="O1240" s="128" t="str">
        <f>IF(Table3[[#This Row],[Actual End Date]]="","",TEXT(Table3[[#This Row],[Actual End Date]],"mmm-yy"))</f>
        <v/>
      </c>
    </row>
    <row r="1241" spans="2:15">
      <c r="B1241" s="64"/>
      <c r="C1241" s="64"/>
      <c r="D1241" s="64"/>
      <c r="E1241" s="64"/>
      <c r="F1241" s="64"/>
      <c r="G1241" s="64"/>
      <c r="H1241" s="64"/>
      <c r="I1241" s="64"/>
      <c r="J1241" s="64"/>
      <c r="K1241" s="64"/>
      <c r="L1241" s="64"/>
      <c r="M1241" s="64"/>
      <c r="N1241" s="127" t="str">
        <f>IF(ISNA(VLOOKUP(Table3[[#This Row],[Ticket]],Table1[],17,FALSE)),"",VLOOKUP(Table3[[#This Row],[Ticket]],Table1[],17,FALSE))</f>
        <v/>
      </c>
      <c r="O1241" s="128" t="str">
        <f>IF(Table3[[#This Row],[Actual End Date]]="","",TEXT(Table3[[#This Row],[Actual End Date]],"mmm-yy"))</f>
        <v/>
      </c>
    </row>
    <row r="1242" spans="2:15">
      <c r="B1242" s="64"/>
      <c r="C1242" s="64"/>
      <c r="D1242" s="64"/>
      <c r="E1242" s="64"/>
      <c r="F1242" s="64"/>
      <c r="G1242" s="64"/>
      <c r="H1242" s="64"/>
      <c r="I1242" s="64"/>
      <c r="J1242" s="64"/>
      <c r="K1242" s="64"/>
      <c r="L1242" s="64"/>
      <c r="M1242" s="64"/>
      <c r="N1242" s="127" t="str">
        <f>IF(ISNA(VLOOKUP(Table3[[#This Row],[Ticket]],Table1[],17,FALSE)),"",VLOOKUP(Table3[[#This Row],[Ticket]],Table1[],17,FALSE))</f>
        <v/>
      </c>
      <c r="O1242" s="128" t="str">
        <f>IF(Table3[[#This Row],[Actual End Date]]="","",TEXT(Table3[[#This Row],[Actual End Date]],"mmm-yy"))</f>
        <v/>
      </c>
    </row>
    <row r="1243" spans="2:15">
      <c r="B1243" s="64"/>
      <c r="C1243" s="64"/>
      <c r="D1243" s="64"/>
      <c r="E1243" s="64"/>
      <c r="F1243" s="64"/>
      <c r="G1243" s="64"/>
      <c r="H1243" s="64"/>
      <c r="I1243" s="64"/>
      <c r="J1243" s="64"/>
      <c r="K1243" s="64"/>
      <c r="L1243" s="64"/>
      <c r="M1243" s="64"/>
      <c r="N1243" s="127" t="str">
        <f>IF(ISNA(VLOOKUP(Table3[[#This Row],[Ticket]],Table1[],17,FALSE)),"",VLOOKUP(Table3[[#This Row],[Ticket]],Table1[],17,FALSE))</f>
        <v/>
      </c>
      <c r="O1243" s="128" t="str">
        <f>IF(Table3[[#This Row],[Actual End Date]]="","",TEXT(Table3[[#This Row],[Actual End Date]],"mmm-yy"))</f>
        <v/>
      </c>
    </row>
    <row r="1244" spans="2:15">
      <c r="B1244" s="64"/>
      <c r="C1244" s="64"/>
      <c r="D1244" s="64"/>
      <c r="E1244" s="64"/>
      <c r="F1244" s="64"/>
      <c r="G1244" s="64"/>
      <c r="H1244" s="64"/>
      <c r="I1244" s="64"/>
      <c r="J1244" s="64"/>
      <c r="K1244" s="64"/>
      <c r="L1244" s="64"/>
      <c r="M1244" s="64"/>
      <c r="N1244" s="127" t="str">
        <f>IF(ISNA(VLOOKUP(Table3[[#This Row],[Ticket]],Table1[],17,FALSE)),"",VLOOKUP(Table3[[#This Row],[Ticket]],Table1[],17,FALSE))</f>
        <v/>
      </c>
      <c r="O1244" s="128" t="str">
        <f>IF(Table3[[#This Row],[Actual End Date]]="","",TEXT(Table3[[#This Row],[Actual End Date]],"mmm-yy"))</f>
        <v/>
      </c>
    </row>
    <row r="1245" spans="2:15">
      <c r="B1245" s="64"/>
      <c r="C1245" s="64"/>
      <c r="D1245" s="64"/>
      <c r="E1245" s="64"/>
      <c r="F1245" s="64"/>
      <c r="G1245" s="64"/>
      <c r="H1245" s="64"/>
      <c r="I1245" s="64"/>
      <c r="J1245" s="64"/>
      <c r="K1245" s="64"/>
      <c r="L1245" s="64"/>
      <c r="M1245" s="64"/>
      <c r="N1245" s="127" t="str">
        <f>IF(ISNA(VLOOKUP(Table3[[#This Row],[Ticket]],Table1[],17,FALSE)),"",VLOOKUP(Table3[[#This Row],[Ticket]],Table1[],17,FALSE))</f>
        <v/>
      </c>
      <c r="O1245" s="128" t="str">
        <f>IF(Table3[[#This Row],[Actual End Date]]="","",TEXT(Table3[[#This Row],[Actual End Date]],"mmm-yy"))</f>
        <v/>
      </c>
    </row>
    <row r="1246" spans="2:15">
      <c r="B1246" s="64"/>
      <c r="C1246" s="64"/>
      <c r="D1246" s="64"/>
      <c r="E1246" s="64"/>
      <c r="F1246" s="64"/>
      <c r="G1246" s="64"/>
      <c r="H1246" s="64"/>
      <c r="I1246" s="64"/>
      <c r="J1246" s="64"/>
      <c r="K1246" s="64"/>
      <c r="L1246" s="64"/>
      <c r="M1246" s="64"/>
      <c r="N1246" s="127" t="str">
        <f>IF(ISNA(VLOOKUP(Table3[[#This Row],[Ticket]],Table1[],17,FALSE)),"",VLOOKUP(Table3[[#This Row],[Ticket]],Table1[],17,FALSE))</f>
        <v/>
      </c>
      <c r="O1246" s="128" t="str">
        <f>IF(Table3[[#This Row],[Actual End Date]]="","",TEXT(Table3[[#This Row],[Actual End Date]],"mmm-yy"))</f>
        <v/>
      </c>
    </row>
    <row r="1247" spans="2:15">
      <c r="B1247" s="64"/>
      <c r="C1247" s="64"/>
      <c r="D1247" s="64"/>
      <c r="E1247" s="64"/>
      <c r="F1247" s="64"/>
      <c r="G1247" s="64"/>
      <c r="H1247" s="64"/>
      <c r="I1247" s="64"/>
      <c r="J1247" s="64"/>
      <c r="K1247" s="64"/>
      <c r="L1247" s="64"/>
      <c r="M1247" s="64"/>
      <c r="N1247" s="127" t="str">
        <f>IF(ISNA(VLOOKUP(Table3[[#This Row],[Ticket]],Table1[],17,FALSE)),"",VLOOKUP(Table3[[#This Row],[Ticket]],Table1[],17,FALSE))</f>
        <v/>
      </c>
      <c r="O1247" s="128" t="str">
        <f>IF(Table3[[#This Row],[Actual End Date]]="","",TEXT(Table3[[#This Row],[Actual End Date]],"mmm-yy"))</f>
        <v/>
      </c>
    </row>
    <row r="1248" spans="2:15">
      <c r="B1248" s="64"/>
      <c r="C1248" s="64"/>
      <c r="D1248" s="64"/>
      <c r="E1248" s="64"/>
      <c r="F1248" s="64"/>
      <c r="G1248" s="64"/>
      <c r="H1248" s="64"/>
      <c r="I1248" s="64"/>
      <c r="J1248" s="64"/>
      <c r="K1248" s="64"/>
      <c r="L1248" s="64"/>
      <c r="M1248" s="64"/>
      <c r="N1248" s="127" t="str">
        <f>IF(ISNA(VLOOKUP(Table3[[#This Row],[Ticket]],Table1[],17,FALSE)),"",VLOOKUP(Table3[[#This Row],[Ticket]],Table1[],17,FALSE))</f>
        <v/>
      </c>
      <c r="O1248" s="128" t="str">
        <f>IF(Table3[[#This Row],[Actual End Date]]="","",TEXT(Table3[[#This Row],[Actual End Date]],"mmm-yy"))</f>
        <v/>
      </c>
    </row>
    <row r="1249" spans="2:15">
      <c r="B1249" s="64"/>
      <c r="C1249" s="64"/>
      <c r="D1249" s="64"/>
      <c r="E1249" s="64"/>
      <c r="F1249" s="64"/>
      <c r="G1249" s="64"/>
      <c r="H1249" s="64"/>
      <c r="I1249" s="64"/>
      <c r="J1249" s="64"/>
      <c r="K1249" s="64"/>
      <c r="L1249" s="64"/>
      <c r="M1249" s="64"/>
      <c r="N1249" s="127" t="str">
        <f>IF(ISNA(VLOOKUP(Table3[[#This Row],[Ticket]],Table1[],17,FALSE)),"",VLOOKUP(Table3[[#This Row],[Ticket]],Table1[],17,FALSE))</f>
        <v/>
      </c>
      <c r="O1249" s="128" t="str">
        <f>IF(Table3[[#This Row],[Actual End Date]]="","",TEXT(Table3[[#This Row],[Actual End Date]],"mmm-yy"))</f>
        <v/>
      </c>
    </row>
    <row r="1250" spans="2:15">
      <c r="B1250" s="64"/>
      <c r="C1250" s="64"/>
      <c r="D1250" s="64"/>
      <c r="E1250" s="64"/>
      <c r="F1250" s="64"/>
      <c r="G1250" s="64"/>
      <c r="H1250" s="64"/>
      <c r="I1250" s="64"/>
      <c r="J1250" s="64"/>
      <c r="K1250" s="64"/>
      <c r="L1250" s="64"/>
      <c r="M1250" s="64"/>
      <c r="N1250" s="127" t="str">
        <f>IF(ISNA(VLOOKUP(Table3[[#This Row],[Ticket]],Table1[],17,FALSE)),"",VLOOKUP(Table3[[#This Row],[Ticket]],Table1[],17,FALSE))</f>
        <v/>
      </c>
      <c r="O1250" s="128" t="str">
        <f>IF(Table3[[#This Row],[Actual End Date]]="","",TEXT(Table3[[#This Row],[Actual End Date]],"mmm-yy"))</f>
        <v/>
      </c>
    </row>
    <row r="1251" spans="2:15">
      <c r="B1251" s="64"/>
      <c r="C1251" s="64"/>
      <c r="D1251" s="64"/>
      <c r="E1251" s="64"/>
      <c r="F1251" s="64"/>
      <c r="G1251" s="64"/>
      <c r="H1251" s="64"/>
      <c r="I1251" s="64"/>
      <c r="J1251" s="64"/>
      <c r="K1251" s="64"/>
      <c r="L1251" s="64"/>
      <c r="M1251" s="64"/>
      <c r="N1251" s="127" t="str">
        <f>IF(ISNA(VLOOKUP(Table3[[#This Row],[Ticket]],Table1[],17,FALSE)),"",VLOOKUP(Table3[[#This Row],[Ticket]],Table1[],17,FALSE))</f>
        <v/>
      </c>
      <c r="O1251" s="128" t="str">
        <f>IF(Table3[[#This Row],[Actual End Date]]="","",TEXT(Table3[[#This Row],[Actual End Date]],"mmm-yy"))</f>
        <v/>
      </c>
    </row>
    <row r="1252" spans="2:15">
      <c r="B1252" s="64"/>
      <c r="C1252" s="64"/>
      <c r="D1252" s="64"/>
      <c r="E1252" s="64"/>
      <c r="F1252" s="64"/>
      <c r="G1252" s="64"/>
      <c r="H1252" s="64"/>
      <c r="I1252" s="64"/>
      <c r="J1252" s="64"/>
      <c r="K1252" s="64"/>
      <c r="L1252" s="64"/>
      <c r="M1252" s="64"/>
      <c r="N1252" s="127" t="str">
        <f>IF(ISNA(VLOOKUP(Table3[[#This Row],[Ticket]],Table1[],17,FALSE)),"",VLOOKUP(Table3[[#This Row],[Ticket]],Table1[],17,FALSE))</f>
        <v/>
      </c>
      <c r="O1252" s="128" t="str">
        <f>IF(Table3[[#This Row],[Actual End Date]]="","",TEXT(Table3[[#This Row],[Actual End Date]],"mmm-yy"))</f>
        <v/>
      </c>
    </row>
    <row r="1253" spans="2:15">
      <c r="B1253" s="64"/>
      <c r="C1253" s="64"/>
      <c r="D1253" s="64"/>
      <c r="E1253" s="64"/>
      <c r="F1253" s="64"/>
      <c r="G1253" s="64"/>
      <c r="H1253" s="64"/>
      <c r="I1253" s="64"/>
      <c r="J1253" s="64"/>
      <c r="K1253" s="64"/>
      <c r="L1253" s="64"/>
      <c r="M1253" s="64"/>
      <c r="N1253" s="127" t="str">
        <f>IF(ISNA(VLOOKUP(Table3[[#This Row],[Ticket]],Table1[],17,FALSE)),"",VLOOKUP(Table3[[#This Row],[Ticket]],Table1[],17,FALSE))</f>
        <v/>
      </c>
      <c r="O1253" s="128" t="str">
        <f>IF(Table3[[#This Row],[Actual End Date]]="","",TEXT(Table3[[#This Row],[Actual End Date]],"mmm-yy"))</f>
        <v/>
      </c>
    </row>
    <row r="1254" spans="2:15">
      <c r="B1254" s="64"/>
      <c r="C1254" s="64"/>
      <c r="D1254" s="64"/>
      <c r="E1254" s="64"/>
      <c r="F1254" s="64"/>
      <c r="G1254" s="64"/>
      <c r="H1254" s="64"/>
      <c r="I1254" s="64"/>
      <c r="J1254" s="64"/>
      <c r="K1254" s="64"/>
      <c r="L1254" s="64"/>
      <c r="M1254" s="64"/>
      <c r="N1254" s="127" t="str">
        <f>IF(ISNA(VLOOKUP(Table3[[#This Row],[Ticket]],Table1[],17,FALSE)),"",VLOOKUP(Table3[[#This Row],[Ticket]],Table1[],17,FALSE))</f>
        <v/>
      </c>
      <c r="O1254" s="128" t="str">
        <f>IF(Table3[[#This Row],[Actual End Date]]="","",TEXT(Table3[[#This Row],[Actual End Date]],"mmm-yy"))</f>
        <v/>
      </c>
    </row>
    <row r="1255" spans="2:15">
      <c r="B1255" s="64"/>
      <c r="C1255" s="64"/>
      <c r="D1255" s="64"/>
      <c r="E1255" s="64"/>
      <c r="F1255" s="64"/>
      <c r="G1255" s="64"/>
      <c r="H1255" s="64"/>
      <c r="I1255" s="64"/>
      <c r="J1255" s="64"/>
      <c r="K1255" s="64"/>
      <c r="L1255" s="64"/>
      <c r="M1255" s="64"/>
      <c r="N1255" s="127" t="str">
        <f>IF(ISNA(VLOOKUP(Table3[[#This Row],[Ticket]],Table1[],17,FALSE)),"",VLOOKUP(Table3[[#This Row],[Ticket]],Table1[],17,FALSE))</f>
        <v/>
      </c>
      <c r="O1255" s="128" t="str">
        <f>IF(Table3[[#This Row],[Actual End Date]]="","",TEXT(Table3[[#This Row],[Actual End Date]],"mmm-yy"))</f>
        <v/>
      </c>
    </row>
    <row r="1256" spans="2:15">
      <c r="B1256" s="64"/>
      <c r="C1256" s="64"/>
      <c r="D1256" s="64"/>
      <c r="E1256" s="64"/>
      <c r="F1256" s="64"/>
      <c r="G1256" s="64"/>
      <c r="H1256" s="64"/>
      <c r="I1256" s="64"/>
      <c r="J1256" s="64"/>
      <c r="K1256" s="64"/>
      <c r="L1256" s="64"/>
      <c r="M1256" s="64"/>
      <c r="N1256" s="127" t="str">
        <f>IF(ISNA(VLOOKUP(Table3[[#This Row],[Ticket]],Table1[],17,FALSE)),"",VLOOKUP(Table3[[#This Row],[Ticket]],Table1[],17,FALSE))</f>
        <v/>
      </c>
      <c r="O1256" s="128" t="str">
        <f>IF(Table3[[#This Row],[Actual End Date]]="","",TEXT(Table3[[#This Row],[Actual End Date]],"mmm-yy"))</f>
        <v/>
      </c>
    </row>
    <row r="1257" spans="2:15">
      <c r="B1257" s="64"/>
      <c r="C1257" s="64"/>
      <c r="D1257" s="64"/>
      <c r="E1257" s="64"/>
      <c r="F1257" s="64"/>
      <c r="G1257" s="64"/>
      <c r="H1257" s="64"/>
      <c r="I1257" s="64"/>
      <c r="J1257" s="64"/>
      <c r="K1257" s="64"/>
      <c r="L1257" s="64"/>
      <c r="M1257" s="64"/>
      <c r="N1257" s="127" t="str">
        <f>IF(ISNA(VLOOKUP(Table3[[#This Row],[Ticket]],Table1[],17,FALSE)),"",VLOOKUP(Table3[[#This Row],[Ticket]],Table1[],17,FALSE))</f>
        <v/>
      </c>
      <c r="O1257" s="128" t="str">
        <f>IF(Table3[[#This Row],[Actual End Date]]="","",TEXT(Table3[[#This Row],[Actual End Date]],"mmm-yy"))</f>
        <v/>
      </c>
    </row>
    <row r="1258" spans="2:15">
      <c r="B1258" s="64"/>
      <c r="C1258" s="64"/>
      <c r="D1258" s="64"/>
      <c r="E1258" s="64"/>
      <c r="F1258" s="64"/>
      <c r="G1258" s="64"/>
      <c r="H1258" s="64"/>
      <c r="I1258" s="64"/>
      <c r="J1258" s="64"/>
      <c r="K1258" s="64"/>
      <c r="L1258" s="64"/>
      <c r="M1258" s="64"/>
      <c r="N1258" s="127" t="str">
        <f>IF(ISNA(VLOOKUP(Table3[[#This Row],[Ticket]],Table1[],17,FALSE)),"",VLOOKUP(Table3[[#This Row],[Ticket]],Table1[],17,FALSE))</f>
        <v/>
      </c>
      <c r="O1258" s="128" t="str">
        <f>IF(Table3[[#This Row],[Actual End Date]]="","",TEXT(Table3[[#This Row],[Actual End Date]],"mmm-yy"))</f>
        <v/>
      </c>
    </row>
    <row r="1259" spans="2:15">
      <c r="B1259" s="64"/>
      <c r="C1259" s="64"/>
      <c r="D1259" s="64"/>
      <c r="E1259" s="64"/>
      <c r="F1259" s="64"/>
      <c r="G1259" s="64"/>
      <c r="H1259" s="64"/>
      <c r="I1259" s="64"/>
      <c r="J1259" s="64"/>
      <c r="K1259" s="64"/>
      <c r="L1259" s="64"/>
      <c r="M1259" s="64"/>
      <c r="N1259" s="127" t="str">
        <f>IF(ISNA(VLOOKUP(Table3[[#This Row],[Ticket]],Table1[],17,FALSE)),"",VLOOKUP(Table3[[#This Row],[Ticket]],Table1[],17,FALSE))</f>
        <v/>
      </c>
      <c r="O1259" s="128" t="str">
        <f>IF(Table3[[#This Row],[Actual End Date]]="","",TEXT(Table3[[#This Row],[Actual End Date]],"mmm-yy"))</f>
        <v/>
      </c>
    </row>
    <row r="1260" spans="2:15">
      <c r="B1260" s="64"/>
      <c r="C1260" s="64"/>
      <c r="D1260" s="64"/>
      <c r="E1260" s="64"/>
      <c r="F1260" s="64"/>
      <c r="G1260" s="64"/>
      <c r="H1260" s="64"/>
      <c r="I1260" s="64"/>
      <c r="J1260" s="64"/>
      <c r="K1260" s="64"/>
      <c r="L1260" s="64"/>
      <c r="M1260" s="64"/>
      <c r="N1260" s="127" t="str">
        <f>IF(ISNA(VLOOKUP(Table3[[#This Row],[Ticket]],Table1[],17,FALSE)),"",VLOOKUP(Table3[[#This Row],[Ticket]],Table1[],17,FALSE))</f>
        <v/>
      </c>
      <c r="O1260" s="128" t="str">
        <f>IF(Table3[[#This Row],[Actual End Date]]="","",TEXT(Table3[[#This Row],[Actual End Date]],"mmm-yy"))</f>
        <v/>
      </c>
    </row>
    <row r="1261" spans="2:15">
      <c r="B1261" s="64"/>
      <c r="C1261" s="64"/>
      <c r="D1261" s="64"/>
      <c r="E1261" s="64"/>
      <c r="F1261" s="64"/>
      <c r="G1261" s="64"/>
      <c r="H1261" s="64"/>
      <c r="I1261" s="64"/>
      <c r="J1261" s="64"/>
      <c r="K1261" s="64"/>
      <c r="L1261" s="64"/>
      <c r="M1261" s="64"/>
      <c r="N1261" s="127" t="str">
        <f>IF(ISNA(VLOOKUP(Table3[[#This Row],[Ticket]],Table1[],17,FALSE)),"",VLOOKUP(Table3[[#This Row],[Ticket]],Table1[],17,FALSE))</f>
        <v/>
      </c>
      <c r="O1261" s="128" t="str">
        <f>IF(Table3[[#This Row],[Actual End Date]]="","",TEXT(Table3[[#This Row],[Actual End Date]],"mmm-yy"))</f>
        <v/>
      </c>
    </row>
    <row r="1262" spans="2:15">
      <c r="B1262" s="64"/>
      <c r="C1262" s="64"/>
      <c r="D1262" s="64"/>
      <c r="E1262" s="64"/>
      <c r="F1262" s="64"/>
      <c r="G1262" s="64"/>
      <c r="H1262" s="64"/>
      <c r="I1262" s="64"/>
      <c r="J1262" s="64"/>
      <c r="K1262" s="64"/>
      <c r="L1262" s="64"/>
      <c r="M1262" s="64"/>
      <c r="N1262" s="127" t="str">
        <f>IF(ISNA(VLOOKUP(Table3[[#This Row],[Ticket]],Table1[],17,FALSE)),"",VLOOKUP(Table3[[#This Row],[Ticket]],Table1[],17,FALSE))</f>
        <v/>
      </c>
      <c r="O1262" s="128" t="str">
        <f>IF(Table3[[#This Row],[Actual End Date]]="","",TEXT(Table3[[#This Row],[Actual End Date]],"mmm-yy"))</f>
        <v/>
      </c>
    </row>
    <row r="1263" spans="2:15">
      <c r="B1263" s="64"/>
      <c r="C1263" s="64"/>
      <c r="D1263" s="64"/>
      <c r="E1263" s="64"/>
      <c r="F1263" s="64"/>
      <c r="G1263" s="64"/>
      <c r="H1263" s="64"/>
      <c r="I1263" s="64"/>
      <c r="J1263" s="64"/>
      <c r="K1263" s="64"/>
      <c r="L1263" s="64"/>
      <c r="M1263" s="64"/>
      <c r="N1263" s="127" t="str">
        <f>IF(ISNA(VLOOKUP(Table3[[#This Row],[Ticket]],Table1[],17,FALSE)),"",VLOOKUP(Table3[[#This Row],[Ticket]],Table1[],17,FALSE))</f>
        <v/>
      </c>
      <c r="O1263" s="128" t="str">
        <f>IF(Table3[[#This Row],[Actual End Date]]="","",TEXT(Table3[[#This Row],[Actual End Date]],"mmm-yy"))</f>
        <v/>
      </c>
    </row>
    <row r="1264" spans="2:15">
      <c r="B1264" s="64"/>
      <c r="C1264" s="64"/>
      <c r="D1264" s="64"/>
      <c r="E1264" s="64"/>
      <c r="F1264" s="64"/>
      <c r="G1264" s="64"/>
      <c r="H1264" s="64"/>
      <c r="I1264" s="64"/>
      <c r="J1264" s="64"/>
      <c r="K1264" s="64"/>
      <c r="L1264" s="64"/>
      <c r="M1264" s="64"/>
      <c r="N1264" s="127" t="str">
        <f>IF(ISNA(VLOOKUP(Table3[[#This Row],[Ticket]],Table1[],17,FALSE)),"",VLOOKUP(Table3[[#This Row],[Ticket]],Table1[],17,FALSE))</f>
        <v/>
      </c>
      <c r="O1264" s="128" t="str">
        <f>IF(Table3[[#This Row],[Actual End Date]]="","",TEXT(Table3[[#This Row],[Actual End Date]],"mmm-yy"))</f>
        <v/>
      </c>
    </row>
    <row r="1265" spans="2:15">
      <c r="B1265" s="64"/>
      <c r="C1265" s="64"/>
      <c r="D1265" s="64"/>
      <c r="E1265" s="64"/>
      <c r="F1265" s="64"/>
      <c r="G1265" s="64"/>
      <c r="H1265" s="64"/>
      <c r="I1265" s="64"/>
      <c r="J1265" s="64"/>
      <c r="K1265" s="64"/>
      <c r="L1265" s="64"/>
      <c r="M1265" s="64"/>
      <c r="N1265" s="127" t="str">
        <f>IF(ISNA(VLOOKUP(Table3[[#This Row],[Ticket]],Table1[],17,FALSE)),"",VLOOKUP(Table3[[#This Row],[Ticket]],Table1[],17,FALSE))</f>
        <v/>
      </c>
      <c r="O1265" s="128" t="str">
        <f>IF(Table3[[#This Row],[Actual End Date]]="","",TEXT(Table3[[#This Row],[Actual End Date]],"mmm-yy"))</f>
        <v/>
      </c>
    </row>
    <row r="1266" spans="2:15">
      <c r="B1266" s="64"/>
      <c r="C1266" s="64"/>
      <c r="D1266" s="64"/>
      <c r="E1266" s="64"/>
      <c r="F1266" s="64"/>
      <c r="G1266" s="64"/>
      <c r="H1266" s="64"/>
      <c r="I1266" s="64"/>
      <c r="J1266" s="64"/>
      <c r="K1266" s="64"/>
      <c r="L1266" s="64"/>
      <c r="M1266" s="64"/>
      <c r="N1266" s="127" t="str">
        <f>IF(ISNA(VLOOKUP(Table3[[#This Row],[Ticket]],Table1[],17,FALSE)),"",VLOOKUP(Table3[[#This Row],[Ticket]],Table1[],17,FALSE))</f>
        <v/>
      </c>
      <c r="O1266" s="128" t="str">
        <f>IF(Table3[[#This Row],[Actual End Date]]="","",TEXT(Table3[[#This Row],[Actual End Date]],"mmm-yy"))</f>
        <v/>
      </c>
    </row>
    <row r="1267" spans="2:15">
      <c r="B1267" s="64"/>
      <c r="C1267" s="64"/>
      <c r="D1267" s="64"/>
      <c r="E1267" s="64"/>
      <c r="F1267" s="64"/>
      <c r="G1267" s="64"/>
      <c r="H1267" s="64"/>
      <c r="I1267" s="64"/>
      <c r="J1267" s="64"/>
      <c r="K1267" s="64"/>
      <c r="L1267" s="64"/>
      <c r="M1267" s="64"/>
      <c r="N1267" s="127" t="str">
        <f>IF(ISNA(VLOOKUP(Table3[[#This Row],[Ticket]],Table1[],17,FALSE)),"",VLOOKUP(Table3[[#This Row],[Ticket]],Table1[],17,FALSE))</f>
        <v/>
      </c>
      <c r="O1267" s="128" t="str">
        <f>IF(Table3[[#This Row],[Actual End Date]]="","",TEXT(Table3[[#This Row],[Actual End Date]],"mmm-yy"))</f>
        <v/>
      </c>
    </row>
    <row r="1268" spans="2:15">
      <c r="B1268" s="64"/>
      <c r="C1268" s="64"/>
      <c r="D1268" s="64"/>
      <c r="E1268" s="64"/>
      <c r="F1268" s="64"/>
      <c r="G1268" s="64"/>
      <c r="H1268" s="64"/>
      <c r="I1268" s="64"/>
      <c r="J1268" s="64"/>
      <c r="K1268" s="64"/>
      <c r="L1268" s="64"/>
      <c r="M1268" s="64"/>
      <c r="N1268" s="127" t="str">
        <f>IF(ISNA(VLOOKUP(Table3[[#This Row],[Ticket]],Table1[],17,FALSE)),"",VLOOKUP(Table3[[#This Row],[Ticket]],Table1[],17,FALSE))</f>
        <v/>
      </c>
      <c r="O1268" s="128" t="str">
        <f>IF(Table3[[#This Row],[Actual End Date]]="","",TEXT(Table3[[#This Row],[Actual End Date]],"mmm-yy"))</f>
        <v/>
      </c>
    </row>
    <row r="1269" spans="2:15">
      <c r="B1269" s="64"/>
      <c r="C1269" s="64"/>
      <c r="D1269" s="64"/>
      <c r="E1269" s="64"/>
      <c r="F1269" s="64"/>
      <c r="G1269" s="64"/>
      <c r="H1269" s="64"/>
      <c r="I1269" s="64"/>
      <c r="J1269" s="64"/>
      <c r="K1269" s="64"/>
      <c r="L1269" s="64"/>
      <c r="M1269" s="64"/>
      <c r="N1269" s="127" t="str">
        <f>IF(ISNA(VLOOKUP(Table3[[#This Row],[Ticket]],Table1[],17,FALSE)),"",VLOOKUP(Table3[[#This Row],[Ticket]],Table1[],17,FALSE))</f>
        <v/>
      </c>
      <c r="O1269" s="128" t="str">
        <f>IF(Table3[[#This Row],[Actual End Date]]="","",TEXT(Table3[[#This Row],[Actual End Date]],"mmm-yy"))</f>
        <v/>
      </c>
    </row>
    <row r="1270" spans="2:15">
      <c r="B1270" s="64"/>
      <c r="C1270" s="64"/>
      <c r="D1270" s="64"/>
      <c r="E1270" s="64"/>
      <c r="F1270" s="64"/>
      <c r="G1270" s="64"/>
      <c r="H1270" s="64"/>
      <c r="I1270" s="64"/>
      <c r="J1270" s="64"/>
      <c r="K1270" s="64"/>
      <c r="L1270" s="64"/>
      <c r="M1270" s="64"/>
      <c r="N1270" s="127" t="str">
        <f>IF(ISNA(VLOOKUP(Table3[[#This Row],[Ticket]],Table1[],17,FALSE)),"",VLOOKUP(Table3[[#This Row],[Ticket]],Table1[],17,FALSE))</f>
        <v/>
      </c>
      <c r="O1270" s="128" t="str">
        <f>IF(Table3[[#This Row],[Actual End Date]]="","",TEXT(Table3[[#This Row],[Actual End Date]],"mmm-yy"))</f>
        <v/>
      </c>
    </row>
    <row r="1271" spans="2:15">
      <c r="B1271" s="64"/>
      <c r="C1271" s="64"/>
      <c r="D1271" s="64"/>
      <c r="E1271" s="64"/>
      <c r="F1271" s="64"/>
      <c r="G1271" s="64"/>
      <c r="H1271" s="64"/>
      <c r="I1271" s="64"/>
      <c r="J1271" s="64"/>
      <c r="K1271" s="64"/>
      <c r="L1271" s="64"/>
      <c r="M1271" s="64"/>
      <c r="N1271" s="127" t="str">
        <f>IF(ISNA(VLOOKUP(Table3[[#This Row],[Ticket]],Table1[],17,FALSE)),"",VLOOKUP(Table3[[#This Row],[Ticket]],Table1[],17,FALSE))</f>
        <v/>
      </c>
      <c r="O1271" s="128" t="str">
        <f>IF(Table3[[#This Row],[Actual End Date]]="","",TEXT(Table3[[#This Row],[Actual End Date]],"mmm-yy"))</f>
        <v/>
      </c>
    </row>
    <row r="1272" spans="2:15">
      <c r="B1272" s="64"/>
      <c r="C1272" s="64"/>
      <c r="D1272" s="64"/>
      <c r="E1272" s="64"/>
      <c r="F1272" s="64"/>
      <c r="G1272" s="64"/>
      <c r="H1272" s="64"/>
      <c r="I1272" s="64"/>
      <c r="J1272" s="64"/>
      <c r="K1272" s="64"/>
      <c r="L1272" s="64"/>
      <c r="M1272" s="64"/>
      <c r="N1272" s="127" t="str">
        <f>IF(ISNA(VLOOKUP(Table3[[#This Row],[Ticket]],Table1[],17,FALSE)),"",VLOOKUP(Table3[[#This Row],[Ticket]],Table1[],17,FALSE))</f>
        <v/>
      </c>
      <c r="O1272" s="128" t="str">
        <f>IF(Table3[[#This Row],[Actual End Date]]="","",TEXT(Table3[[#This Row],[Actual End Date]],"mmm-yy"))</f>
        <v/>
      </c>
    </row>
    <row r="1273" spans="2:15">
      <c r="B1273" s="64"/>
      <c r="C1273" s="64"/>
      <c r="D1273" s="64"/>
      <c r="E1273" s="64"/>
      <c r="F1273" s="64"/>
      <c r="G1273" s="64"/>
      <c r="H1273" s="64"/>
      <c r="I1273" s="64"/>
      <c r="J1273" s="64"/>
      <c r="K1273" s="64"/>
      <c r="L1273" s="64"/>
      <c r="M1273" s="64"/>
      <c r="N1273" s="127" t="str">
        <f>IF(ISNA(VLOOKUP(Table3[[#This Row],[Ticket]],Table1[],17,FALSE)),"",VLOOKUP(Table3[[#This Row],[Ticket]],Table1[],17,FALSE))</f>
        <v/>
      </c>
      <c r="O1273" s="128" t="str">
        <f>IF(Table3[[#This Row],[Actual End Date]]="","",TEXT(Table3[[#This Row],[Actual End Date]],"mmm-yy"))</f>
        <v/>
      </c>
    </row>
    <row r="1274" spans="2:15">
      <c r="B1274" s="64"/>
      <c r="C1274" s="64"/>
      <c r="D1274" s="64"/>
      <c r="E1274" s="64"/>
      <c r="F1274" s="64"/>
      <c r="G1274" s="64"/>
      <c r="H1274" s="64"/>
      <c r="I1274" s="64"/>
      <c r="J1274" s="64"/>
      <c r="K1274" s="64"/>
      <c r="L1274" s="64"/>
      <c r="M1274" s="64"/>
      <c r="N1274" s="127" t="str">
        <f>IF(ISNA(VLOOKUP(Table3[[#This Row],[Ticket]],Table1[],17,FALSE)),"",VLOOKUP(Table3[[#This Row],[Ticket]],Table1[],17,FALSE))</f>
        <v/>
      </c>
      <c r="O1274" s="128" t="str">
        <f>IF(Table3[[#This Row],[Actual End Date]]="","",TEXT(Table3[[#This Row],[Actual End Date]],"mmm-yy"))</f>
        <v/>
      </c>
    </row>
    <row r="1275" spans="2:15">
      <c r="B1275" s="64"/>
      <c r="C1275" s="64"/>
      <c r="D1275" s="64"/>
      <c r="E1275" s="64"/>
      <c r="F1275" s="64"/>
      <c r="G1275" s="64"/>
      <c r="H1275" s="64"/>
      <c r="I1275" s="64"/>
      <c r="J1275" s="64"/>
      <c r="K1275" s="64"/>
      <c r="L1275" s="64"/>
      <c r="M1275" s="64"/>
      <c r="N1275" s="127" t="str">
        <f>IF(ISNA(VLOOKUP(Table3[[#This Row],[Ticket]],Table1[],17,FALSE)),"",VLOOKUP(Table3[[#This Row],[Ticket]],Table1[],17,FALSE))</f>
        <v/>
      </c>
      <c r="O1275" s="128" t="str">
        <f>IF(Table3[[#This Row],[Actual End Date]]="","",TEXT(Table3[[#This Row],[Actual End Date]],"mmm-yy"))</f>
        <v/>
      </c>
    </row>
    <row r="1276" spans="2:15">
      <c r="B1276" s="64"/>
      <c r="C1276" s="64"/>
      <c r="D1276" s="64"/>
      <c r="E1276" s="64"/>
      <c r="F1276" s="64"/>
      <c r="G1276" s="64"/>
      <c r="H1276" s="64"/>
      <c r="I1276" s="64"/>
      <c r="J1276" s="64"/>
      <c r="K1276" s="64"/>
      <c r="L1276" s="64"/>
      <c r="M1276" s="64"/>
      <c r="N1276" s="127" t="str">
        <f>IF(ISNA(VLOOKUP(Table3[[#This Row],[Ticket]],Table1[],17,FALSE)),"",VLOOKUP(Table3[[#This Row],[Ticket]],Table1[],17,FALSE))</f>
        <v/>
      </c>
      <c r="O1276" s="128" t="str">
        <f>IF(Table3[[#This Row],[Actual End Date]]="","",TEXT(Table3[[#This Row],[Actual End Date]],"mmm-yy"))</f>
        <v/>
      </c>
    </row>
    <row r="1277" spans="2:15">
      <c r="B1277" s="64"/>
      <c r="C1277" s="64"/>
      <c r="D1277" s="64"/>
      <c r="E1277" s="64"/>
      <c r="F1277" s="64"/>
      <c r="G1277" s="64"/>
      <c r="H1277" s="64"/>
      <c r="I1277" s="64"/>
      <c r="J1277" s="64"/>
      <c r="K1277" s="64"/>
      <c r="L1277" s="64"/>
      <c r="M1277" s="64"/>
      <c r="N1277" s="127" t="str">
        <f>IF(ISNA(VLOOKUP(Table3[[#This Row],[Ticket]],Table1[],17,FALSE)),"",VLOOKUP(Table3[[#This Row],[Ticket]],Table1[],17,FALSE))</f>
        <v/>
      </c>
      <c r="O1277" s="128" t="str">
        <f>IF(Table3[[#This Row],[Actual End Date]]="","",TEXT(Table3[[#This Row],[Actual End Date]],"mmm-yy"))</f>
        <v/>
      </c>
    </row>
    <row r="1278" spans="2:15">
      <c r="B1278" s="64"/>
      <c r="C1278" s="64"/>
      <c r="D1278" s="64"/>
      <c r="E1278" s="64"/>
      <c r="F1278" s="64"/>
      <c r="G1278" s="64"/>
      <c r="H1278" s="64"/>
      <c r="I1278" s="64"/>
      <c r="J1278" s="64"/>
      <c r="K1278" s="64"/>
      <c r="L1278" s="64"/>
      <c r="M1278" s="64"/>
      <c r="N1278" s="127" t="str">
        <f>IF(ISNA(VLOOKUP(Table3[[#This Row],[Ticket]],Table1[],17,FALSE)),"",VLOOKUP(Table3[[#This Row],[Ticket]],Table1[],17,FALSE))</f>
        <v/>
      </c>
      <c r="O1278" s="128" t="str">
        <f>IF(Table3[[#This Row],[Actual End Date]]="","",TEXT(Table3[[#This Row],[Actual End Date]],"mmm-yy"))</f>
        <v/>
      </c>
    </row>
    <row r="1279" spans="2:15">
      <c r="B1279" s="64"/>
      <c r="C1279" s="64"/>
      <c r="D1279" s="64"/>
      <c r="E1279" s="64"/>
      <c r="F1279" s="64"/>
      <c r="G1279" s="64"/>
      <c r="H1279" s="64"/>
      <c r="I1279" s="64"/>
      <c r="J1279" s="64"/>
      <c r="K1279" s="64"/>
      <c r="L1279" s="64"/>
      <c r="M1279" s="64"/>
      <c r="N1279" s="127" t="str">
        <f>IF(ISNA(VLOOKUP(Table3[[#This Row],[Ticket]],Table1[],17,FALSE)),"",VLOOKUP(Table3[[#This Row],[Ticket]],Table1[],17,FALSE))</f>
        <v/>
      </c>
      <c r="O1279" s="128" t="str">
        <f>IF(Table3[[#This Row],[Actual End Date]]="","",TEXT(Table3[[#This Row],[Actual End Date]],"mmm-yy"))</f>
        <v/>
      </c>
    </row>
    <row r="1280" spans="2:15">
      <c r="B1280" s="64"/>
      <c r="C1280" s="64"/>
      <c r="D1280" s="64"/>
      <c r="E1280" s="64"/>
      <c r="F1280" s="64"/>
      <c r="G1280" s="64"/>
      <c r="H1280" s="64"/>
      <c r="I1280" s="64"/>
      <c r="J1280" s="64"/>
      <c r="K1280" s="64"/>
      <c r="L1280" s="64"/>
      <c r="M1280" s="64"/>
      <c r="N1280" s="127" t="str">
        <f>IF(ISNA(VLOOKUP(Table3[[#This Row],[Ticket]],Table1[],17,FALSE)),"",VLOOKUP(Table3[[#This Row],[Ticket]],Table1[],17,FALSE))</f>
        <v/>
      </c>
      <c r="O1280" s="128" t="str">
        <f>IF(Table3[[#This Row],[Actual End Date]]="","",TEXT(Table3[[#This Row],[Actual End Date]],"mmm-yy"))</f>
        <v/>
      </c>
    </row>
    <row r="1281" spans="2:15">
      <c r="B1281" s="64"/>
      <c r="C1281" s="64"/>
      <c r="D1281" s="64"/>
      <c r="E1281" s="64"/>
      <c r="F1281" s="64"/>
      <c r="G1281" s="64"/>
      <c r="H1281" s="64"/>
      <c r="I1281" s="64"/>
      <c r="J1281" s="64"/>
      <c r="K1281" s="64"/>
      <c r="L1281" s="64"/>
      <c r="M1281" s="64"/>
      <c r="N1281" s="127" t="str">
        <f>IF(ISNA(VLOOKUP(Table3[[#This Row],[Ticket]],Table1[],17,FALSE)),"",VLOOKUP(Table3[[#This Row],[Ticket]],Table1[],17,FALSE))</f>
        <v/>
      </c>
      <c r="O1281" s="128" t="str">
        <f>IF(Table3[[#This Row],[Actual End Date]]="","",TEXT(Table3[[#This Row],[Actual End Date]],"mmm-yy"))</f>
        <v/>
      </c>
    </row>
    <row r="1282" spans="2:15">
      <c r="B1282" s="64"/>
      <c r="C1282" s="64"/>
      <c r="D1282" s="64"/>
      <c r="E1282" s="64"/>
      <c r="F1282" s="64"/>
      <c r="G1282" s="64"/>
      <c r="H1282" s="64"/>
      <c r="I1282" s="64"/>
      <c r="J1282" s="64"/>
      <c r="K1282" s="64"/>
      <c r="L1282" s="64"/>
      <c r="M1282" s="64"/>
      <c r="N1282" s="127" t="str">
        <f>IF(ISNA(VLOOKUP(Table3[[#This Row],[Ticket]],Table1[],17,FALSE)),"",VLOOKUP(Table3[[#This Row],[Ticket]],Table1[],17,FALSE))</f>
        <v/>
      </c>
      <c r="O1282" s="128" t="str">
        <f>IF(Table3[[#This Row],[Actual End Date]]="","",TEXT(Table3[[#This Row],[Actual End Date]],"mmm-yy"))</f>
        <v/>
      </c>
    </row>
    <row r="1283" spans="2:15">
      <c r="B1283" s="64"/>
      <c r="C1283" s="64"/>
      <c r="D1283" s="64"/>
      <c r="E1283" s="64"/>
      <c r="F1283" s="64"/>
      <c r="G1283" s="64"/>
      <c r="H1283" s="64"/>
      <c r="I1283" s="64"/>
      <c r="J1283" s="64"/>
      <c r="K1283" s="64"/>
      <c r="L1283" s="64"/>
      <c r="M1283" s="64"/>
      <c r="N1283" s="127" t="str">
        <f>IF(ISNA(VLOOKUP(Table3[[#This Row],[Ticket]],Table1[],17,FALSE)),"",VLOOKUP(Table3[[#This Row],[Ticket]],Table1[],17,FALSE))</f>
        <v/>
      </c>
      <c r="O1283" s="128" t="str">
        <f>IF(Table3[[#This Row],[Actual End Date]]="","",TEXT(Table3[[#This Row],[Actual End Date]],"mmm-yy"))</f>
        <v/>
      </c>
    </row>
    <row r="1284" spans="2:15">
      <c r="B1284" s="64"/>
      <c r="C1284" s="64"/>
      <c r="D1284" s="64"/>
      <c r="E1284" s="64"/>
      <c r="F1284" s="64"/>
      <c r="G1284" s="64"/>
      <c r="H1284" s="64"/>
      <c r="I1284" s="64"/>
      <c r="J1284" s="64"/>
      <c r="K1284" s="64"/>
      <c r="L1284" s="64"/>
      <c r="M1284" s="64"/>
      <c r="N1284" s="127" t="str">
        <f>IF(ISNA(VLOOKUP(Table3[[#This Row],[Ticket]],Table1[],17,FALSE)),"",VLOOKUP(Table3[[#This Row],[Ticket]],Table1[],17,FALSE))</f>
        <v/>
      </c>
      <c r="O1284" s="128" t="str">
        <f>IF(Table3[[#This Row],[Actual End Date]]="","",TEXT(Table3[[#This Row],[Actual End Date]],"mmm-yy"))</f>
        <v/>
      </c>
    </row>
    <row r="1285" spans="2:15">
      <c r="B1285" s="64"/>
      <c r="C1285" s="64"/>
      <c r="D1285" s="64"/>
      <c r="E1285" s="64"/>
      <c r="F1285" s="64"/>
      <c r="G1285" s="64"/>
      <c r="H1285" s="64"/>
      <c r="I1285" s="64"/>
      <c r="J1285" s="64"/>
      <c r="K1285" s="64"/>
      <c r="L1285" s="64"/>
      <c r="M1285" s="64"/>
      <c r="N1285" s="127" t="str">
        <f>IF(ISNA(VLOOKUP(Table3[[#This Row],[Ticket]],Table1[],17,FALSE)),"",VLOOKUP(Table3[[#This Row],[Ticket]],Table1[],17,FALSE))</f>
        <v/>
      </c>
      <c r="O1285" s="128" t="str">
        <f>IF(Table3[[#This Row],[Actual End Date]]="","",TEXT(Table3[[#This Row],[Actual End Date]],"mmm-yy"))</f>
        <v/>
      </c>
    </row>
    <row r="1286" spans="2:15">
      <c r="B1286" s="64"/>
      <c r="C1286" s="64"/>
      <c r="D1286" s="64"/>
      <c r="E1286" s="64"/>
      <c r="F1286" s="64"/>
      <c r="G1286" s="64"/>
      <c r="H1286" s="64"/>
      <c r="I1286" s="64"/>
      <c r="J1286" s="64"/>
      <c r="K1286" s="64"/>
      <c r="L1286" s="64"/>
      <c r="M1286" s="64"/>
      <c r="N1286" s="127" t="str">
        <f>IF(ISNA(VLOOKUP(Table3[[#This Row],[Ticket]],Table1[],17,FALSE)),"",VLOOKUP(Table3[[#This Row],[Ticket]],Table1[],17,FALSE))</f>
        <v/>
      </c>
      <c r="O1286" s="128" t="str">
        <f>IF(Table3[[#This Row],[Actual End Date]]="","",TEXT(Table3[[#This Row],[Actual End Date]],"mmm-yy"))</f>
        <v/>
      </c>
    </row>
    <row r="1287" spans="2:15">
      <c r="B1287" s="64"/>
      <c r="C1287" s="64"/>
      <c r="D1287" s="64"/>
      <c r="E1287" s="64"/>
      <c r="F1287" s="64"/>
      <c r="G1287" s="64"/>
      <c r="H1287" s="64"/>
      <c r="I1287" s="64"/>
      <c r="J1287" s="64"/>
      <c r="K1287" s="64"/>
      <c r="L1287" s="64"/>
      <c r="M1287" s="64"/>
      <c r="N1287" s="127" t="str">
        <f>IF(ISNA(VLOOKUP(Table3[[#This Row],[Ticket]],Table1[],17,FALSE)),"",VLOOKUP(Table3[[#This Row],[Ticket]],Table1[],17,FALSE))</f>
        <v/>
      </c>
      <c r="O1287" s="128" t="str">
        <f>IF(Table3[[#This Row],[Actual End Date]]="","",TEXT(Table3[[#This Row],[Actual End Date]],"mmm-yy"))</f>
        <v/>
      </c>
    </row>
    <row r="1288" spans="2:15">
      <c r="B1288" s="64"/>
      <c r="C1288" s="64"/>
      <c r="D1288" s="64"/>
      <c r="E1288" s="64"/>
      <c r="F1288" s="64"/>
      <c r="G1288" s="64"/>
      <c r="H1288" s="64"/>
      <c r="I1288" s="64"/>
      <c r="J1288" s="64"/>
      <c r="K1288" s="64"/>
      <c r="L1288" s="64"/>
      <c r="M1288" s="64"/>
      <c r="N1288" s="127" t="str">
        <f>IF(ISNA(VLOOKUP(Table3[[#This Row],[Ticket]],Table1[],17,FALSE)),"",VLOOKUP(Table3[[#This Row],[Ticket]],Table1[],17,FALSE))</f>
        <v/>
      </c>
      <c r="O1288" s="128" t="str">
        <f>IF(Table3[[#This Row],[Actual End Date]]="","",TEXT(Table3[[#This Row],[Actual End Date]],"mmm-yy"))</f>
        <v/>
      </c>
    </row>
    <row r="1289" spans="2:15">
      <c r="B1289" s="64"/>
      <c r="C1289" s="64"/>
      <c r="D1289" s="64"/>
      <c r="E1289" s="64"/>
      <c r="F1289" s="64"/>
      <c r="G1289" s="64"/>
      <c r="H1289" s="64"/>
      <c r="I1289" s="64"/>
      <c r="J1289" s="64"/>
      <c r="K1289" s="64"/>
      <c r="L1289" s="64"/>
      <c r="M1289" s="64"/>
      <c r="N1289" s="127" t="str">
        <f>IF(ISNA(VLOOKUP(Table3[[#This Row],[Ticket]],Table1[],17,FALSE)),"",VLOOKUP(Table3[[#This Row],[Ticket]],Table1[],17,FALSE))</f>
        <v/>
      </c>
      <c r="O1289" s="128" t="str">
        <f>IF(Table3[[#This Row],[Actual End Date]]="","",TEXT(Table3[[#This Row],[Actual End Date]],"mmm-yy"))</f>
        <v/>
      </c>
    </row>
    <row r="1290" spans="2:15">
      <c r="B1290" s="64"/>
      <c r="C1290" s="64"/>
      <c r="D1290" s="64"/>
      <c r="E1290" s="64"/>
      <c r="F1290" s="64"/>
      <c r="G1290" s="64"/>
      <c r="H1290" s="64"/>
      <c r="I1290" s="64"/>
      <c r="J1290" s="64"/>
      <c r="K1290" s="64"/>
      <c r="L1290" s="64"/>
      <c r="M1290" s="64"/>
      <c r="N1290" s="127" t="str">
        <f>IF(ISNA(VLOOKUP(Table3[[#This Row],[Ticket]],Table1[],17,FALSE)),"",VLOOKUP(Table3[[#This Row],[Ticket]],Table1[],17,FALSE))</f>
        <v/>
      </c>
      <c r="O1290" s="128" t="str">
        <f>IF(Table3[[#This Row],[Actual End Date]]="","",TEXT(Table3[[#This Row],[Actual End Date]],"mmm-yy"))</f>
        <v/>
      </c>
    </row>
    <row r="1291" spans="2:15">
      <c r="B1291" s="64"/>
      <c r="C1291" s="64"/>
      <c r="D1291" s="64"/>
      <c r="E1291" s="64"/>
      <c r="F1291" s="64"/>
      <c r="G1291" s="64"/>
      <c r="H1291" s="64"/>
      <c r="I1291" s="64"/>
      <c r="J1291" s="64"/>
      <c r="K1291" s="64"/>
      <c r="L1291" s="64"/>
      <c r="M1291" s="64"/>
      <c r="N1291" s="127" t="str">
        <f>IF(ISNA(VLOOKUP(Table3[[#This Row],[Ticket]],Table1[],17,FALSE)),"",VLOOKUP(Table3[[#This Row],[Ticket]],Table1[],17,FALSE))</f>
        <v/>
      </c>
      <c r="O1291" s="128" t="str">
        <f>IF(Table3[[#This Row],[Actual End Date]]="","",TEXT(Table3[[#This Row],[Actual End Date]],"mmm-yy"))</f>
        <v/>
      </c>
    </row>
    <row r="1292" spans="2:15">
      <c r="B1292" s="64"/>
      <c r="C1292" s="64"/>
      <c r="D1292" s="64"/>
      <c r="E1292" s="64"/>
      <c r="F1292" s="64"/>
      <c r="G1292" s="64"/>
      <c r="H1292" s="64"/>
      <c r="I1292" s="64"/>
      <c r="J1292" s="64"/>
      <c r="K1292" s="64"/>
      <c r="L1292" s="64"/>
      <c r="M1292" s="64"/>
      <c r="N1292" s="127" t="str">
        <f>IF(ISNA(VLOOKUP(Table3[[#This Row],[Ticket]],Table1[],17,FALSE)),"",VLOOKUP(Table3[[#This Row],[Ticket]],Table1[],17,FALSE))</f>
        <v/>
      </c>
      <c r="O1292" s="128" t="str">
        <f>IF(Table3[[#This Row],[Actual End Date]]="","",TEXT(Table3[[#This Row],[Actual End Date]],"mmm-yy"))</f>
        <v/>
      </c>
    </row>
    <row r="1293" spans="2:15">
      <c r="B1293" s="64"/>
      <c r="C1293" s="64"/>
      <c r="D1293" s="64"/>
      <c r="E1293" s="64"/>
      <c r="F1293" s="64"/>
      <c r="G1293" s="64"/>
      <c r="H1293" s="64"/>
      <c r="I1293" s="64"/>
      <c r="J1293" s="64"/>
      <c r="K1293" s="64"/>
      <c r="L1293" s="64"/>
      <c r="M1293" s="64"/>
      <c r="N1293" s="127" t="str">
        <f>IF(ISNA(VLOOKUP(Table3[[#This Row],[Ticket]],Table1[],17,FALSE)),"",VLOOKUP(Table3[[#This Row],[Ticket]],Table1[],17,FALSE))</f>
        <v/>
      </c>
      <c r="O1293" s="128" t="str">
        <f>IF(Table3[[#This Row],[Actual End Date]]="","",TEXT(Table3[[#This Row],[Actual End Date]],"mmm-yy"))</f>
        <v/>
      </c>
    </row>
    <row r="1294" spans="2:15">
      <c r="B1294" s="64"/>
      <c r="C1294" s="64"/>
      <c r="D1294" s="64"/>
      <c r="E1294" s="64"/>
      <c r="F1294" s="64"/>
      <c r="G1294" s="64"/>
      <c r="H1294" s="64"/>
      <c r="I1294" s="64"/>
      <c r="J1294" s="64"/>
      <c r="K1294" s="64"/>
      <c r="L1294" s="64"/>
      <c r="M1294" s="64"/>
      <c r="N1294" s="127" t="str">
        <f>IF(ISNA(VLOOKUP(Table3[[#This Row],[Ticket]],Table1[],17,FALSE)),"",VLOOKUP(Table3[[#This Row],[Ticket]],Table1[],17,FALSE))</f>
        <v/>
      </c>
      <c r="O1294" s="128" t="str">
        <f>IF(Table3[[#This Row],[Actual End Date]]="","",TEXT(Table3[[#This Row],[Actual End Date]],"mmm-yy"))</f>
        <v/>
      </c>
    </row>
    <row r="1295" spans="2:15">
      <c r="B1295" s="64"/>
      <c r="C1295" s="64"/>
      <c r="D1295" s="64"/>
      <c r="E1295" s="64"/>
      <c r="F1295" s="64"/>
      <c r="G1295" s="64"/>
      <c r="H1295" s="64"/>
      <c r="I1295" s="64"/>
      <c r="J1295" s="64"/>
      <c r="K1295" s="64"/>
      <c r="L1295" s="64"/>
      <c r="M1295" s="64"/>
      <c r="N1295" s="127" t="str">
        <f>IF(ISNA(VLOOKUP(Table3[[#This Row],[Ticket]],Table1[],17,FALSE)),"",VLOOKUP(Table3[[#This Row],[Ticket]],Table1[],17,FALSE))</f>
        <v/>
      </c>
      <c r="O1295" s="128" t="str">
        <f>IF(Table3[[#This Row],[Actual End Date]]="","",TEXT(Table3[[#This Row],[Actual End Date]],"mmm-yy"))</f>
        <v/>
      </c>
    </row>
    <row r="1296" spans="2:15">
      <c r="B1296" s="64"/>
      <c r="C1296" s="64"/>
      <c r="D1296" s="64"/>
      <c r="E1296" s="64"/>
      <c r="F1296" s="64"/>
      <c r="G1296" s="64"/>
      <c r="H1296" s="64"/>
      <c r="I1296" s="64"/>
      <c r="J1296" s="64"/>
      <c r="K1296" s="64"/>
      <c r="L1296" s="64"/>
      <c r="M1296" s="64"/>
      <c r="N1296" s="127" t="str">
        <f>IF(ISNA(VLOOKUP(Table3[[#This Row],[Ticket]],Table1[],17,FALSE)),"",VLOOKUP(Table3[[#This Row],[Ticket]],Table1[],17,FALSE))</f>
        <v/>
      </c>
      <c r="O1296" s="128" t="str">
        <f>IF(Table3[[#This Row],[Actual End Date]]="","",TEXT(Table3[[#This Row],[Actual End Date]],"mmm-yy"))</f>
        <v/>
      </c>
    </row>
    <row r="1297" spans="2:15">
      <c r="B1297" s="64"/>
      <c r="C1297" s="64"/>
      <c r="D1297" s="64"/>
      <c r="E1297" s="64"/>
      <c r="F1297" s="64"/>
      <c r="G1297" s="64"/>
      <c r="H1297" s="64"/>
      <c r="I1297" s="64"/>
      <c r="J1297" s="64"/>
      <c r="K1297" s="64"/>
      <c r="L1297" s="64"/>
      <c r="M1297" s="64"/>
      <c r="N1297" s="127" t="str">
        <f>IF(ISNA(VLOOKUP(Table3[[#This Row],[Ticket]],Table1[],17,FALSE)),"",VLOOKUP(Table3[[#This Row],[Ticket]],Table1[],17,FALSE))</f>
        <v/>
      </c>
      <c r="O1297" s="128" t="str">
        <f>IF(Table3[[#This Row],[Actual End Date]]="","",TEXT(Table3[[#This Row],[Actual End Date]],"mmm-yy"))</f>
        <v/>
      </c>
    </row>
    <row r="1298" spans="2:15">
      <c r="B1298" s="64"/>
      <c r="C1298" s="64"/>
      <c r="D1298" s="64"/>
      <c r="E1298" s="64"/>
      <c r="F1298" s="64"/>
      <c r="G1298" s="64"/>
      <c r="H1298" s="64"/>
      <c r="I1298" s="64"/>
      <c r="J1298" s="64"/>
      <c r="K1298" s="64"/>
      <c r="L1298" s="64"/>
      <c r="M1298" s="64"/>
      <c r="N1298" s="127" t="str">
        <f>IF(ISNA(VLOOKUP(Table3[[#This Row],[Ticket]],Table1[],17,FALSE)),"",VLOOKUP(Table3[[#This Row],[Ticket]],Table1[],17,FALSE))</f>
        <v/>
      </c>
      <c r="O1298" s="128" t="str">
        <f>IF(Table3[[#This Row],[Actual End Date]]="","",TEXT(Table3[[#This Row],[Actual End Date]],"mmm-yy"))</f>
        <v/>
      </c>
    </row>
    <row r="1299" spans="2:15">
      <c r="B1299" s="64"/>
      <c r="C1299" s="64"/>
      <c r="D1299" s="64"/>
      <c r="E1299" s="64"/>
      <c r="F1299" s="64"/>
      <c r="G1299" s="64"/>
      <c r="H1299" s="64"/>
      <c r="I1299" s="64"/>
      <c r="J1299" s="64"/>
      <c r="K1299" s="64"/>
      <c r="L1299" s="64"/>
      <c r="M1299" s="64"/>
      <c r="N1299" s="127" t="str">
        <f>IF(ISNA(VLOOKUP(Table3[[#This Row],[Ticket]],Table1[],17,FALSE)),"",VLOOKUP(Table3[[#This Row],[Ticket]],Table1[],17,FALSE))</f>
        <v/>
      </c>
      <c r="O1299" s="128" t="str">
        <f>IF(Table3[[#This Row],[Actual End Date]]="","",TEXT(Table3[[#This Row],[Actual End Date]],"mmm-yy"))</f>
        <v/>
      </c>
    </row>
    <row r="1300" spans="2:15">
      <c r="B1300" s="64"/>
      <c r="C1300" s="64"/>
      <c r="D1300" s="64"/>
      <c r="E1300" s="64"/>
      <c r="F1300" s="64"/>
      <c r="G1300" s="64"/>
      <c r="H1300" s="64"/>
      <c r="I1300" s="64"/>
      <c r="J1300" s="64"/>
      <c r="K1300" s="64"/>
      <c r="L1300" s="64"/>
      <c r="M1300" s="64"/>
      <c r="N1300" s="127" t="str">
        <f>IF(ISNA(VLOOKUP(Table3[[#This Row],[Ticket]],Table1[],17,FALSE)),"",VLOOKUP(Table3[[#This Row],[Ticket]],Table1[],17,FALSE))</f>
        <v/>
      </c>
      <c r="O1300" s="128" t="str">
        <f>IF(Table3[[#This Row],[Actual End Date]]="","",TEXT(Table3[[#This Row],[Actual End Date]],"mmm-yy"))</f>
        <v/>
      </c>
    </row>
    <row r="1301" spans="2:15">
      <c r="B1301" s="64"/>
      <c r="C1301" s="64"/>
      <c r="D1301" s="64"/>
      <c r="E1301" s="64"/>
      <c r="F1301" s="64"/>
      <c r="G1301" s="64"/>
      <c r="H1301" s="64"/>
      <c r="I1301" s="64"/>
      <c r="J1301" s="64"/>
      <c r="K1301" s="64"/>
      <c r="L1301" s="64"/>
      <c r="M1301" s="64"/>
      <c r="N1301" s="127" t="str">
        <f>IF(ISNA(VLOOKUP(Table3[[#This Row],[Ticket]],Table1[],17,FALSE)),"",VLOOKUP(Table3[[#This Row],[Ticket]],Table1[],17,FALSE))</f>
        <v/>
      </c>
      <c r="O1301" s="128" t="str">
        <f>IF(Table3[[#This Row],[Actual End Date]]="","",TEXT(Table3[[#This Row],[Actual End Date]],"mmm-yy"))</f>
        <v/>
      </c>
    </row>
    <row r="1302" spans="2:15">
      <c r="B1302" s="64"/>
      <c r="C1302" s="64"/>
      <c r="D1302" s="64"/>
      <c r="E1302" s="64"/>
      <c r="F1302" s="64"/>
      <c r="G1302" s="64"/>
      <c r="H1302" s="64"/>
      <c r="I1302" s="64"/>
      <c r="J1302" s="64"/>
      <c r="K1302" s="64"/>
      <c r="L1302" s="64"/>
      <c r="M1302" s="64"/>
      <c r="N1302" s="127" t="str">
        <f>IF(ISNA(VLOOKUP(Table3[[#This Row],[Ticket]],Table1[],17,FALSE)),"",VLOOKUP(Table3[[#This Row],[Ticket]],Table1[],17,FALSE))</f>
        <v/>
      </c>
      <c r="O1302" s="128" t="str">
        <f>IF(Table3[[#This Row],[Actual End Date]]="","",TEXT(Table3[[#This Row],[Actual End Date]],"mmm-yy"))</f>
        <v/>
      </c>
    </row>
    <row r="1303" spans="2:15">
      <c r="B1303" s="64"/>
      <c r="C1303" s="64"/>
      <c r="D1303" s="64"/>
      <c r="E1303" s="64"/>
      <c r="F1303" s="64"/>
      <c r="G1303" s="64"/>
      <c r="H1303" s="64"/>
      <c r="I1303" s="64"/>
      <c r="J1303" s="64"/>
      <c r="K1303" s="64"/>
      <c r="L1303" s="64"/>
      <c r="M1303" s="64"/>
      <c r="N1303" s="127" t="str">
        <f>IF(ISNA(VLOOKUP(Table3[[#This Row],[Ticket]],Table1[],17,FALSE)),"",VLOOKUP(Table3[[#This Row],[Ticket]],Table1[],17,FALSE))</f>
        <v/>
      </c>
      <c r="O1303" s="128" t="str">
        <f>IF(Table3[[#This Row],[Actual End Date]]="","",TEXT(Table3[[#This Row],[Actual End Date]],"mmm-yy"))</f>
        <v/>
      </c>
    </row>
    <row r="1304" spans="2:15">
      <c r="B1304" s="64"/>
      <c r="C1304" s="64"/>
      <c r="D1304" s="64"/>
      <c r="E1304" s="64"/>
      <c r="F1304" s="64"/>
      <c r="G1304" s="64"/>
      <c r="H1304" s="64"/>
      <c r="I1304" s="64"/>
      <c r="J1304" s="64"/>
      <c r="K1304" s="64"/>
      <c r="L1304" s="64"/>
      <c r="M1304" s="64"/>
      <c r="N1304" s="127" t="str">
        <f>IF(ISNA(VLOOKUP(Table3[[#This Row],[Ticket]],Table1[],17,FALSE)),"",VLOOKUP(Table3[[#This Row],[Ticket]],Table1[],17,FALSE))</f>
        <v/>
      </c>
      <c r="O1304" s="128" t="str">
        <f>IF(Table3[[#This Row],[Actual End Date]]="","",TEXT(Table3[[#This Row],[Actual End Date]],"mmm-yy"))</f>
        <v/>
      </c>
    </row>
    <row r="1305" spans="2:15">
      <c r="B1305" s="64"/>
      <c r="C1305" s="64"/>
      <c r="D1305" s="64"/>
      <c r="E1305" s="64"/>
      <c r="F1305" s="64"/>
      <c r="G1305" s="64"/>
      <c r="H1305" s="64"/>
      <c r="I1305" s="64"/>
      <c r="J1305" s="64"/>
      <c r="K1305" s="64"/>
      <c r="L1305" s="64"/>
      <c r="M1305" s="64"/>
      <c r="N1305" s="127" t="str">
        <f>IF(ISNA(VLOOKUP(Table3[[#This Row],[Ticket]],Table1[],17,FALSE)),"",VLOOKUP(Table3[[#This Row],[Ticket]],Table1[],17,FALSE))</f>
        <v/>
      </c>
      <c r="O1305" s="128" t="str">
        <f>IF(Table3[[#This Row],[Actual End Date]]="","",TEXT(Table3[[#This Row],[Actual End Date]],"mmm-yy"))</f>
        <v/>
      </c>
    </row>
    <row r="1306" spans="2:15">
      <c r="B1306" s="64"/>
      <c r="C1306" s="64"/>
      <c r="D1306" s="64"/>
      <c r="E1306" s="64"/>
      <c r="F1306" s="64"/>
      <c r="G1306" s="64"/>
      <c r="H1306" s="64"/>
      <c r="I1306" s="64"/>
      <c r="J1306" s="64"/>
      <c r="K1306" s="64"/>
      <c r="L1306" s="64"/>
      <c r="M1306" s="64"/>
      <c r="N1306" s="127" t="str">
        <f>IF(ISNA(VLOOKUP(Table3[[#This Row],[Ticket]],Table1[],17,FALSE)),"",VLOOKUP(Table3[[#This Row],[Ticket]],Table1[],17,FALSE))</f>
        <v/>
      </c>
      <c r="O1306" s="128" t="str">
        <f>IF(Table3[[#This Row],[Actual End Date]]="","",TEXT(Table3[[#This Row],[Actual End Date]],"mmm-yy"))</f>
        <v/>
      </c>
    </row>
    <row r="1307" spans="2:15">
      <c r="B1307" s="64"/>
      <c r="C1307" s="64"/>
      <c r="D1307" s="64"/>
      <c r="E1307" s="64"/>
      <c r="F1307" s="64"/>
      <c r="G1307" s="64"/>
      <c r="H1307" s="64"/>
      <c r="I1307" s="64"/>
      <c r="J1307" s="64"/>
      <c r="K1307" s="64"/>
      <c r="L1307" s="64"/>
      <c r="M1307" s="64"/>
      <c r="N1307" s="127" t="str">
        <f>IF(ISNA(VLOOKUP(Table3[[#This Row],[Ticket]],Table1[],17,FALSE)),"",VLOOKUP(Table3[[#This Row],[Ticket]],Table1[],17,FALSE))</f>
        <v/>
      </c>
      <c r="O1307" s="128" t="str">
        <f>IF(Table3[[#This Row],[Actual End Date]]="","",TEXT(Table3[[#This Row],[Actual End Date]],"mmm-yy"))</f>
        <v/>
      </c>
    </row>
    <row r="1308" spans="2:15">
      <c r="B1308" s="64"/>
      <c r="C1308" s="64"/>
      <c r="D1308" s="64"/>
      <c r="E1308" s="64"/>
      <c r="F1308" s="64"/>
      <c r="G1308" s="64"/>
      <c r="H1308" s="64"/>
      <c r="I1308" s="64"/>
      <c r="J1308" s="64"/>
      <c r="K1308" s="64"/>
      <c r="L1308" s="64"/>
      <c r="M1308" s="64"/>
      <c r="N1308" s="127" t="str">
        <f>IF(ISNA(VLOOKUP(Table3[[#This Row],[Ticket]],Table1[],17,FALSE)),"",VLOOKUP(Table3[[#This Row],[Ticket]],Table1[],17,FALSE))</f>
        <v/>
      </c>
      <c r="O1308" s="128" t="str">
        <f>IF(Table3[[#This Row],[Actual End Date]]="","",TEXT(Table3[[#This Row],[Actual End Date]],"mmm-yy"))</f>
        <v/>
      </c>
    </row>
    <row r="1309" spans="2:15">
      <c r="B1309" s="64"/>
      <c r="C1309" s="64"/>
      <c r="D1309" s="64"/>
      <c r="E1309" s="64"/>
      <c r="F1309" s="64"/>
      <c r="G1309" s="64"/>
      <c r="H1309" s="64"/>
      <c r="I1309" s="64"/>
      <c r="J1309" s="64"/>
      <c r="K1309" s="64"/>
      <c r="L1309" s="64"/>
      <c r="M1309" s="64"/>
      <c r="N1309" s="127" t="str">
        <f>IF(ISNA(VLOOKUP(Table3[[#This Row],[Ticket]],Table1[],17,FALSE)),"",VLOOKUP(Table3[[#This Row],[Ticket]],Table1[],17,FALSE))</f>
        <v/>
      </c>
      <c r="O1309" s="128" t="str">
        <f>IF(Table3[[#This Row],[Actual End Date]]="","",TEXT(Table3[[#This Row],[Actual End Date]],"mmm-yy"))</f>
        <v/>
      </c>
    </row>
    <row r="1310" spans="2:15">
      <c r="B1310" s="64"/>
      <c r="C1310" s="64"/>
      <c r="D1310" s="64"/>
      <c r="E1310" s="64"/>
      <c r="F1310" s="64"/>
      <c r="G1310" s="64"/>
      <c r="H1310" s="64"/>
      <c r="I1310" s="64"/>
      <c r="J1310" s="64"/>
      <c r="K1310" s="64"/>
      <c r="L1310" s="64"/>
      <c r="M1310" s="64"/>
      <c r="N1310" s="127" t="str">
        <f>IF(ISNA(VLOOKUP(Table3[[#This Row],[Ticket]],Table1[],17,FALSE)),"",VLOOKUP(Table3[[#This Row],[Ticket]],Table1[],17,FALSE))</f>
        <v/>
      </c>
      <c r="O1310" s="128" t="str">
        <f>IF(Table3[[#This Row],[Actual End Date]]="","",TEXT(Table3[[#This Row],[Actual End Date]],"mmm-yy"))</f>
        <v/>
      </c>
    </row>
    <row r="1311" spans="2:15">
      <c r="B1311" s="64"/>
      <c r="C1311" s="64"/>
      <c r="D1311" s="64"/>
      <c r="E1311" s="64"/>
      <c r="F1311" s="64"/>
      <c r="G1311" s="64"/>
      <c r="H1311" s="64"/>
      <c r="I1311" s="64"/>
      <c r="J1311" s="64"/>
      <c r="K1311" s="64"/>
      <c r="L1311" s="64"/>
      <c r="M1311" s="64"/>
      <c r="N1311" s="127" t="str">
        <f>IF(ISNA(VLOOKUP(Table3[[#This Row],[Ticket]],Table1[],17,FALSE)),"",VLOOKUP(Table3[[#This Row],[Ticket]],Table1[],17,FALSE))</f>
        <v/>
      </c>
      <c r="O1311" s="128" t="str">
        <f>IF(Table3[[#This Row],[Actual End Date]]="","",TEXT(Table3[[#This Row],[Actual End Date]],"mmm-yy"))</f>
        <v/>
      </c>
    </row>
    <row r="1312" spans="2:15">
      <c r="B1312" s="64"/>
      <c r="C1312" s="64"/>
      <c r="D1312" s="64"/>
      <c r="E1312" s="64"/>
      <c r="F1312" s="64"/>
      <c r="G1312" s="64"/>
      <c r="H1312" s="64"/>
      <c r="I1312" s="64"/>
      <c r="J1312" s="64"/>
      <c r="K1312" s="64"/>
      <c r="L1312" s="64"/>
      <c r="M1312" s="64"/>
      <c r="N1312" s="127" t="str">
        <f>IF(ISNA(VLOOKUP(Table3[[#This Row],[Ticket]],Table1[],17,FALSE)),"",VLOOKUP(Table3[[#This Row],[Ticket]],Table1[],17,FALSE))</f>
        <v/>
      </c>
      <c r="O1312" s="128" t="str">
        <f>IF(Table3[[#This Row],[Actual End Date]]="","",TEXT(Table3[[#This Row],[Actual End Date]],"mmm-yy"))</f>
        <v/>
      </c>
    </row>
    <row r="1313" spans="2:15">
      <c r="B1313" s="64"/>
      <c r="C1313" s="64"/>
      <c r="D1313" s="64"/>
      <c r="E1313" s="64"/>
      <c r="F1313" s="64"/>
      <c r="G1313" s="64"/>
      <c r="H1313" s="64"/>
      <c r="I1313" s="64"/>
      <c r="J1313" s="64"/>
      <c r="K1313" s="64"/>
      <c r="L1313" s="64"/>
      <c r="M1313" s="64"/>
      <c r="N1313" s="127" t="str">
        <f>IF(ISNA(VLOOKUP(Table3[[#This Row],[Ticket]],Table1[],17,FALSE)),"",VLOOKUP(Table3[[#This Row],[Ticket]],Table1[],17,FALSE))</f>
        <v/>
      </c>
      <c r="O1313" s="128" t="str">
        <f>IF(Table3[[#This Row],[Actual End Date]]="","",TEXT(Table3[[#This Row],[Actual End Date]],"mmm-yy"))</f>
        <v/>
      </c>
    </row>
    <row r="1314" spans="2:15">
      <c r="B1314" s="64"/>
      <c r="C1314" s="64"/>
      <c r="D1314" s="64"/>
      <c r="E1314" s="64"/>
      <c r="F1314" s="64"/>
      <c r="G1314" s="64"/>
      <c r="H1314" s="64"/>
      <c r="I1314" s="64"/>
      <c r="J1314" s="64"/>
      <c r="K1314" s="64"/>
      <c r="L1314" s="64"/>
      <c r="M1314" s="64"/>
      <c r="N1314" s="127" t="str">
        <f>IF(ISNA(VLOOKUP(Table3[[#This Row],[Ticket]],Table1[],17,FALSE)),"",VLOOKUP(Table3[[#This Row],[Ticket]],Table1[],17,FALSE))</f>
        <v/>
      </c>
      <c r="O1314" s="128" t="str">
        <f>IF(Table3[[#This Row],[Actual End Date]]="","",TEXT(Table3[[#This Row],[Actual End Date]],"mmm-yy"))</f>
        <v/>
      </c>
    </row>
    <row r="1315" spans="2:15">
      <c r="B1315" s="64"/>
      <c r="C1315" s="64"/>
      <c r="D1315" s="64"/>
      <c r="E1315" s="64"/>
      <c r="F1315" s="64"/>
      <c r="G1315" s="64"/>
      <c r="H1315" s="64"/>
      <c r="I1315" s="64"/>
      <c r="J1315" s="64"/>
      <c r="K1315" s="64"/>
      <c r="L1315" s="64"/>
      <c r="M1315" s="64"/>
      <c r="N1315" s="127" t="str">
        <f>IF(ISNA(VLOOKUP(Table3[[#This Row],[Ticket]],Table1[],17,FALSE)),"",VLOOKUP(Table3[[#This Row],[Ticket]],Table1[],17,FALSE))</f>
        <v/>
      </c>
      <c r="O1315" s="128" t="str">
        <f>IF(Table3[[#This Row],[Actual End Date]]="","",TEXT(Table3[[#This Row],[Actual End Date]],"mmm-yy"))</f>
        <v/>
      </c>
    </row>
    <row r="1316" spans="2:15">
      <c r="B1316" s="64"/>
      <c r="C1316" s="64"/>
      <c r="D1316" s="64"/>
      <c r="E1316" s="64"/>
      <c r="F1316" s="64"/>
      <c r="G1316" s="64"/>
      <c r="H1316" s="64"/>
      <c r="I1316" s="64"/>
      <c r="J1316" s="64"/>
      <c r="K1316" s="64"/>
      <c r="L1316" s="64"/>
      <c r="M1316" s="64"/>
      <c r="N1316" s="127" t="str">
        <f>IF(ISNA(VLOOKUP(Table3[[#This Row],[Ticket]],Table1[],17,FALSE)),"",VLOOKUP(Table3[[#This Row],[Ticket]],Table1[],17,FALSE))</f>
        <v/>
      </c>
      <c r="O1316" s="128" t="str">
        <f>IF(Table3[[#This Row],[Actual End Date]]="","",TEXT(Table3[[#This Row],[Actual End Date]],"mmm-yy"))</f>
        <v/>
      </c>
    </row>
    <row r="1317" spans="2:15">
      <c r="B1317" s="64"/>
      <c r="C1317" s="64"/>
      <c r="D1317" s="64"/>
      <c r="E1317" s="64"/>
      <c r="F1317" s="64"/>
      <c r="G1317" s="64"/>
      <c r="H1317" s="64"/>
      <c r="I1317" s="64"/>
      <c r="J1317" s="64"/>
      <c r="K1317" s="64"/>
      <c r="L1317" s="64"/>
      <c r="M1317" s="64"/>
      <c r="N1317" s="127" t="str">
        <f>IF(ISNA(VLOOKUP(Table3[[#This Row],[Ticket]],Table1[],17,FALSE)),"",VLOOKUP(Table3[[#This Row],[Ticket]],Table1[],17,FALSE))</f>
        <v/>
      </c>
      <c r="O1317" s="128" t="str">
        <f>IF(Table3[[#This Row],[Actual End Date]]="","",TEXT(Table3[[#This Row],[Actual End Date]],"mmm-yy"))</f>
        <v/>
      </c>
    </row>
    <row r="1318" spans="2:15">
      <c r="B1318" s="64"/>
      <c r="C1318" s="64"/>
      <c r="D1318" s="64"/>
      <c r="E1318" s="64"/>
      <c r="F1318" s="64"/>
      <c r="G1318" s="64"/>
      <c r="H1318" s="64"/>
      <c r="I1318" s="64"/>
      <c r="J1318" s="64"/>
      <c r="K1318" s="64"/>
      <c r="L1318" s="64"/>
      <c r="M1318" s="64"/>
      <c r="N1318" s="127" t="str">
        <f>IF(ISNA(VLOOKUP(Table3[[#This Row],[Ticket]],Table1[],17,FALSE)),"",VLOOKUP(Table3[[#This Row],[Ticket]],Table1[],17,FALSE))</f>
        <v/>
      </c>
      <c r="O1318" s="128" t="str">
        <f>IF(Table3[[#This Row],[Actual End Date]]="","",TEXT(Table3[[#This Row],[Actual End Date]],"mmm-yy"))</f>
        <v/>
      </c>
    </row>
    <row r="1319" spans="2:15">
      <c r="B1319" s="64"/>
      <c r="C1319" s="64"/>
      <c r="D1319" s="64"/>
      <c r="E1319" s="64"/>
      <c r="F1319" s="64"/>
      <c r="G1319" s="64"/>
      <c r="H1319" s="64"/>
      <c r="I1319" s="64"/>
      <c r="J1319" s="64"/>
      <c r="K1319" s="64"/>
      <c r="L1319" s="64"/>
      <c r="M1319" s="64"/>
      <c r="N1319" s="127" t="str">
        <f>IF(ISNA(VLOOKUP(Table3[[#This Row],[Ticket]],Table1[],17,FALSE)),"",VLOOKUP(Table3[[#This Row],[Ticket]],Table1[],17,FALSE))</f>
        <v/>
      </c>
      <c r="O1319" s="128" t="str">
        <f>IF(Table3[[#This Row],[Actual End Date]]="","",TEXT(Table3[[#This Row],[Actual End Date]],"mmm-yy"))</f>
        <v/>
      </c>
    </row>
    <row r="1320" spans="2:15">
      <c r="B1320" s="64"/>
      <c r="C1320" s="64"/>
      <c r="D1320" s="64"/>
      <c r="E1320" s="64"/>
      <c r="F1320" s="64"/>
      <c r="G1320" s="64"/>
      <c r="H1320" s="64"/>
      <c r="I1320" s="64"/>
      <c r="J1320" s="64"/>
      <c r="K1320" s="64"/>
      <c r="L1320" s="64"/>
      <c r="M1320" s="64"/>
      <c r="N1320" s="127" t="str">
        <f>IF(ISNA(VLOOKUP(Table3[[#This Row],[Ticket]],Table1[],17,FALSE)),"",VLOOKUP(Table3[[#This Row],[Ticket]],Table1[],17,FALSE))</f>
        <v/>
      </c>
      <c r="O1320" s="128" t="str">
        <f>IF(Table3[[#This Row],[Actual End Date]]="","",TEXT(Table3[[#This Row],[Actual End Date]],"mmm-yy"))</f>
        <v/>
      </c>
    </row>
    <row r="1321" spans="2:15">
      <c r="B1321" s="64"/>
      <c r="C1321" s="64"/>
      <c r="D1321" s="64"/>
      <c r="E1321" s="64"/>
      <c r="F1321" s="64"/>
      <c r="G1321" s="64"/>
      <c r="H1321" s="64"/>
      <c r="I1321" s="64"/>
      <c r="J1321" s="64"/>
      <c r="K1321" s="64"/>
      <c r="L1321" s="64"/>
      <c r="M1321" s="64"/>
      <c r="N1321" s="127" t="str">
        <f>IF(ISNA(VLOOKUP(Table3[[#This Row],[Ticket]],Table1[],17,FALSE)),"",VLOOKUP(Table3[[#This Row],[Ticket]],Table1[],17,FALSE))</f>
        <v/>
      </c>
      <c r="O1321" s="128" t="str">
        <f>IF(Table3[[#This Row],[Actual End Date]]="","",TEXT(Table3[[#This Row],[Actual End Date]],"mmm-yy"))</f>
        <v/>
      </c>
    </row>
    <row r="1322" spans="2:15">
      <c r="B1322" s="64"/>
      <c r="C1322" s="64"/>
      <c r="D1322" s="64"/>
      <c r="E1322" s="64"/>
      <c r="F1322" s="64"/>
      <c r="G1322" s="64"/>
      <c r="H1322" s="64"/>
      <c r="I1322" s="64"/>
      <c r="J1322" s="64"/>
      <c r="K1322" s="64"/>
      <c r="L1322" s="64"/>
      <c r="M1322" s="64"/>
      <c r="N1322" s="127" t="str">
        <f>IF(ISNA(VLOOKUP(Table3[[#This Row],[Ticket]],Table1[],17,FALSE)),"",VLOOKUP(Table3[[#This Row],[Ticket]],Table1[],17,FALSE))</f>
        <v/>
      </c>
      <c r="O1322" s="128" t="str">
        <f>IF(Table3[[#This Row],[Actual End Date]]="","",TEXT(Table3[[#This Row],[Actual End Date]],"mmm-yy"))</f>
        <v/>
      </c>
    </row>
    <row r="1323" spans="2:15">
      <c r="B1323" s="64"/>
      <c r="C1323" s="64"/>
      <c r="D1323" s="64"/>
      <c r="E1323" s="64"/>
      <c r="F1323" s="64"/>
      <c r="G1323" s="64"/>
      <c r="H1323" s="64"/>
      <c r="I1323" s="64"/>
      <c r="J1323" s="64"/>
      <c r="K1323" s="64"/>
      <c r="L1323" s="64"/>
      <c r="M1323" s="64"/>
      <c r="N1323" s="127" t="str">
        <f>IF(ISNA(VLOOKUP(Table3[[#This Row],[Ticket]],Table1[],17,FALSE)),"",VLOOKUP(Table3[[#This Row],[Ticket]],Table1[],17,FALSE))</f>
        <v/>
      </c>
      <c r="O1323" s="128" t="str">
        <f>IF(Table3[[#This Row],[Actual End Date]]="","",TEXT(Table3[[#This Row],[Actual End Date]],"mmm-yy"))</f>
        <v/>
      </c>
    </row>
    <row r="1324" spans="2:15">
      <c r="B1324" s="64"/>
      <c r="C1324" s="64"/>
      <c r="D1324" s="64"/>
      <c r="E1324" s="64"/>
      <c r="F1324" s="64"/>
      <c r="G1324" s="64"/>
      <c r="H1324" s="64"/>
      <c r="I1324" s="64"/>
      <c r="J1324" s="64"/>
      <c r="K1324" s="64"/>
      <c r="L1324" s="64"/>
      <c r="M1324" s="64"/>
      <c r="N1324" s="127" t="str">
        <f>IF(ISNA(VLOOKUP(Table3[[#This Row],[Ticket]],Table1[],17,FALSE)),"",VLOOKUP(Table3[[#This Row],[Ticket]],Table1[],17,FALSE))</f>
        <v/>
      </c>
      <c r="O1324" s="128" t="str">
        <f>IF(Table3[[#This Row],[Actual End Date]]="","",TEXT(Table3[[#This Row],[Actual End Date]],"mmm-yy"))</f>
        <v/>
      </c>
    </row>
    <row r="1325" spans="2:15">
      <c r="B1325" s="64"/>
      <c r="C1325" s="64"/>
      <c r="D1325" s="64"/>
      <c r="E1325" s="64"/>
      <c r="F1325" s="64"/>
      <c r="G1325" s="64"/>
      <c r="H1325" s="64"/>
      <c r="I1325" s="64"/>
      <c r="J1325" s="64"/>
      <c r="K1325" s="64"/>
      <c r="L1325" s="64"/>
      <c r="M1325" s="64"/>
      <c r="N1325" s="127" t="str">
        <f>IF(ISNA(VLOOKUP(Table3[[#This Row],[Ticket]],Table1[],17,FALSE)),"",VLOOKUP(Table3[[#This Row],[Ticket]],Table1[],17,FALSE))</f>
        <v/>
      </c>
      <c r="O1325" s="128" t="str">
        <f>IF(Table3[[#This Row],[Actual End Date]]="","",TEXT(Table3[[#This Row],[Actual End Date]],"mmm-yy"))</f>
        <v/>
      </c>
    </row>
    <row r="1326" spans="2:15">
      <c r="B1326" s="64"/>
      <c r="C1326" s="64"/>
      <c r="D1326" s="64"/>
      <c r="E1326" s="64"/>
      <c r="F1326" s="64"/>
      <c r="G1326" s="64"/>
      <c r="H1326" s="64"/>
      <c r="I1326" s="64"/>
      <c r="J1326" s="64"/>
      <c r="K1326" s="64"/>
      <c r="L1326" s="64"/>
      <c r="M1326" s="64"/>
      <c r="N1326" s="127" t="str">
        <f>IF(ISNA(VLOOKUP(Table3[[#This Row],[Ticket]],Table1[],17,FALSE)),"",VLOOKUP(Table3[[#This Row],[Ticket]],Table1[],17,FALSE))</f>
        <v/>
      </c>
      <c r="O1326" s="128" t="str">
        <f>IF(Table3[[#This Row],[Actual End Date]]="","",TEXT(Table3[[#This Row],[Actual End Date]],"mmm-yy"))</f>
        <v/>
      </c>
    </row>
    <row r="1327" spans="2:15">
      <c r="B1327" s="64"/>
      <c r="C1327" s="64"/>
      <c r="D1327" s="64"/>
      <c r="E1327" s="64"/>
      <c r="F1327" s="64"/>
      <c r="G1327" s="64"/>
      <c r="H1327" s="64"/>
      <c r="I1327" s="64"/>
      <c r="J1327" s="64"/>
      <c r="K1327" s="64"/>
      <c r="L1327" s="64"/>
      <c r="M1327" s="64"/>
      <c r="N1327" s="127" t="str">
        <f>IF(ISNA(VLOOKUP(Table3[[#This Row],[Ticket]],Table1[],17,FALSE)),"",VLOOKUP(Table3[[#This Row],[Ticket]],Table1[],17,FALSE))</f>
        <v/>
      </c>
      <c r="O1327" s="128" t="str">
        <f>IF(Table3[[#This Row],[Actual End Date]]="","",TEXT(Table3[[#This Row],[Actual End Date]],"mmm-yy"))</f>
        <v/>
      </c>
    </row>
    <row r="1328" spans="2:15">
      <c r="B1328" s="64"/>
      <c r="C1328" s="64"/>
      <c r="D1328" s="64"/>
      <c r="E1328" s="64"/>
      <c r="F1328" s="64"/>
      <c r="G1328" s="64"/>
      <c r="H1328" s="64"/>
      <c r="I1328" s="64"/>
      <c r="J1328" s="64"/>
      <c r="K1328" s="64"/>
      <c r="L1328" s="64"/>
      <c r="M1328" s="64"/>
      <c r="N1328" s="127" t="str">
        <f>IF(ISNA(VLOOKUP(Table3[[#This Row],[Ticket]],Table1[],17,FALSE)),"",VLOOKUP(Table3[[#This Row],[Ticket]],Table1[],17,FALSE))</f>
        <v/>
      </c>
      <c r="O1328" s="128" t="str">
        <f>IF(Table3[[#This Row],[Actual End Date]]="","",TEXT(Table3[[#This Row],[Actual End Date]],"mmm-yy"))</f>
        <v/>
      </c>
    </row>
    <row r="1329" spans="2:15">
      <c r="B1329" s="64"/>
      <c r="C1329" s="64"/>
      <c r="D1329" s="64"/>
      <c r="E1329" s="64"/>
      <c r="F1329" s="64"/>
      <c r="G1329" s="64"/>
      <c r="H1329" s="64"/>
      <c r="I1329" s="64"/>
      <c r="J1329" s="64"/>
      <c r="K1329" s="64"/>
      <c r="L1329" s="64"/>
      <c r="M1329" s="64"/>
      <c r="N1329" s="127" t="str">
        <f>IF(ISNA(VLOOKUP(Table3[[#This Row],[Ticket]],Table1[],17,FALSE)),"",VLOOKUP(Table3[[#This Row],[Ticket]],Table1[],17,FALSE))</f>
        <v/>
      </c>
      <c r="O1329" s="128" t="str">
        <f>IF(Table3[[#This Row],[Actual End Date]]="","",TEXT(Table3[[#This Row],[Actual End Date]],"mmm-yy"))</f>
        <v/>
      </c>
    </row>
    <row r="1330" spans="2:15">
      <c r="B1330" s="64"/>
      <c r="C1330" s="64"/>
      <c r="D1330" s="64"/>
      <c r="E1330" s="64"/>
      <c r="F1330" s="64"/>
      <c r="G1330" s="64"/>
      <c r="H1330" s="64"/>
      <c r="I1330" s="64"/>
      <c r="J1330" s="64"/>
      <c r="K1330" s="64"/>
      <c r="L1330" s="64"/>
      <c r="M1330" s="64"/>
      <c r="N1330" s="127" t="str">
        <f>IF(ISNA(VLOOKUP(Table3[[#This Row],[Ticket]],Table1[],17,FALSE)),"",VLOOKUP(Table3[[#This Row],[Ticket]],Table1[],17,FALSE))</f>
        <v/>
      </c>
      <c r="O1330" s="128" t="str">
        <f>IF(Table3[[#This Row],[Actual End Date]]="","",TEXT(Table3[[#This Row],[Actual End Date]],"mmm-yy"))</f>
        <v/>
      </c>
    </row>
    <row r="1331" spans="2:15">
      <c r="B1331" s="64"/>
      <c r="C1331" s="64"/>
      <c r="D1331" s="64"/>
      <c r="E1331" s="64"/>
      <c r="F1331" s="64"/>
      <c r="G1331" s="64"/>
      <c r="H1331" s="64"/>
      <c r="I1331" s="64"/>
      <c r="J1331" s="64"/>
      <c r="K1331" s="64"/>
      <c r="L1331" s="64"/>
      <c r="M1331" s="64"/>
      <c r="N1331" s="127" t="str">
        <f>IF(ISNA(VLOOKUP(Table3[[#This Row],[Ticket]],Table1[],17,FALSE)),"",VLOOKUP(Table3[[#This Row],[Ticket]],Table1[],17,FALSE))</f>
        <v/>
      </c>
      <c r="O1331" s="128" t="str">
        <f>IF(Table3[[#This Row],[Actual End Date]]="","",TEXT(Table3[[#This Row],[Actual End Date]],"mmm-yy"))</f>
        <v/>
      </c>
    </row>
    <row r="1332" spans="2:15">
      <c r="B1332" s="64"/>
      <c r="C1332" s="64"/>
      <c r="D1332" s="64"/>
      <c r="E1332" s="64"/>
      <c r="F1332" s="64"/>
      <c r="G1332" s="64"/>
      <c r="H1332" s="64"/>
      <c r="I1332" s="64"/>
      <c r="J1332" s="64"/>
      <c r="K1332" s="64"/>
      <c r="L1332" s="64"/>
      <c r="M1332" s="64"/>
      <c r="N1332" s="127" t="str">
        <f>IF(ISNA(VLOOKUP(Table3[[#This Row],[Ticket]],Table1[],17,FALSE)),"",VLOOKUP(Table3[[#This Row],[Ticket]],Table1[],17,FALSE))</f>
        <v/>
      </c>
      <c r="O1332" s="128" t="str">
        <f>IF(Table3[[#This Row],[Actual End Date]]="","",TEXT(Table3[[#This Row],[Actual End Date]],"mmm-yy"))</f>
        <v/>
      </c>
    </row>
    <row r="1333" spans="2:15">
      <c r="B1333" s="64"/>
      <c r="C1333" s="64"/>
      <c r="D1333" s="64"/>
      <c r="E1333" s="64"/>
      <c r="F1333" s="64"/>
      <c r="G1333" s="64"/>
      <c r="H1333" s="64"/>
      <c r="I1333" s="64"/>
      <c r="J1333" s="64"/>
      <c r="K1333" s="64"/>
      <c r="L1333" s="64"/>
      <c r="M1333" s="64"/>
      <c r="N1333" s="127" t="str">
        <f>IF(ISNA(VLOOKUP(Table3[[#This Row],[Ticket]],Table1[],17,FALSE)),"",VLOOKUP(Table3[[#This Row],[Ticket]],Table1[],17,FALSE))</f>
        <v/>
      </c>
      <c r="O1333" s="128" t="str">
        <f>IF(Table3[[#This Row],[Actual End Date]]="","",TEXT(Table3[[#This Row],[Actual End Date]],"mmm-yy"))</f>
        <v/>
      </c>
    </row>
    <row r="1334" spans="2:15">
      <c r="B1334" s="64"/>
      <c r="C1334" s="64"/>
      <c r="D1334" s="64"/>
      <c r="E1334" s="64"/>
      <c r="F1334" s="64"/>
      <c r="G1334" s="64"/>
      <c r="H1334" s="64"/>
      <c r="I1334" s="64"/>
      <c r="J1334" s="64"/>
      <c r="K1334" s="64"/>
      <c r="L1334" s="64"/>
      <c r="M1334" s="64"/>
      <c r="N1334" s="127" t="str">
        <f>IF(ISNA(VLOOKUP(Table3[[#This Row],[Ticket]],Table1[],17,FALSE)),"",VLOOKUP(Table3[[#This Row],[Ticket]],Table1[],17,FALSE))</f>
        <v/>
      </c>
      <c r="O1334" s="128" t="str">
        <f>IF(Table3[[#This Row],[Actual End Date]]="","",TEXT(Table3[[#This Row],[Actual End Date]],"mmm-yy"))</f>
        <v/>
      </c>
    </row>
    <row r="1335" spans="2:15">
      <c r="B1335" s="64"/>
      <c r="C1335" s="64"/>
      <c r="D1335" s="64"/>
      <c r="E1335" s="64"/>
      <c r="F1335" s="64"/>
      <c r="G1335" s="64"/>
      <c r="H1335" s="64"/>
      <c r="I1335" s="64"/>
      <c r="J1335" s="64"/>
      <c r="K1335" s="64"/>
      <c r="L1335" s="64"/>
      <c r="M1335" s="64"/>
      <c r="N1335" s="127" t="str">
        <f>IF(ISNA(VLOOKUP(Table3[[#This Row],[Ticket]],Table1[],17,FALSE)),"",VLOOKUP(Table3[[#This Row],[Ticket]],Table1[],17,FALSE))</f>
        <v/>
      </c>
      <c r="O1335" s="128" t="str">
        <f>IF(Table3[[#This Row],[Actual End Date]]="","",TEXT(Table3[[#This Row],[Actual End Date]],"mmm-yy"))</f>
        <v/>
      </c>
    </row>
    <row r="1336" spans="2:15">
      <c r="B1336" s="64"/>
      <c r="C1336" s="64"/>
      <c r="D1336" s="64"/>
      <c r="E1336" s="64"/>
      <c r="F1336" s="64"/>
      <c r="G1336" s="64"/>
      <c r="H1336" s="64"/>
      <c r="I1336" s="64"/>
      <c r="J1336" s="64"/>
      <c r="K1336" s="64"/>
      <c r="L1336" s="64"/>
      <c r="M1336" s="64"/>
      <c r="N1336" s="127" t="str">
        <f>IF(ISNA(VLOOKUP(Table3[[#This Row],[Ticket]],Table1[],17,FALSE)),"",VLOOKUP(Table3[[#This Row],[Ticket]],Table1[],17,FALSE))</f>
        <v/>
      </c>
      <c r="O1336" s="128" t="str">
        <f>IF(Table3[[#This Row],[Actual End Date]]="","",TEXT(Table3[[#This Row],[Actual End Date]],"mmm-yy"))</f>
        <v/>
      </c>
    </row>
    <row r="1337" spans="2:15">
      <c r="B1337" s="64"/>
      <c r="C1337" s="64"/>
      <c r="D1337" s="64"/>
      <c r="E1337" s="64"/>
      <c r="F1337" s="64"/>
      <c r="G1337" s="64"/>
      <c r="H1337" s="64"/>
      <c r="I1337" s="64"/>
      <c r="J1337" s="64"/>
      <c r="K1337" s="64"/>
      <c r="L1337" s="64"/>
      <c r="M1337" s="64"/>
      <c r="N1337" s="127" t="str">
        <f>IF(ISNA(VLOOKUP(Table3[[#This Row],[Ticket]],Table1[],17,FALSE)),"",VLOOKUP(Table3[[#This Row],[Ticket]],Table1[],17,FALSE))</f>
        <v/>
      </c>
      <c r="O1337" s="128" t="str">
        <f>IF(Table3[[#This Row],[Actual End Date]]="","",TEXT(Table3[[#This Row],[Actual End Date]],"mmm-yy"))</f>
        <v/>
      </c>
    </row>
    <row r="1338" spans="2:15">
      <c r="B1338" s="64"/>
      <c r="C1338" s="64"/>
      <c r="D1338" s="64"/>
      <c r="E1338" s="64"/>
      <c r="F1338" s="64"/>
      <c r="G1338" s="64"/>
      <c r="H1338" s="64"/>
      <c r="I1338" s="64"/>
      <c r="J1338" s="64"/>
      <c r="K1338" s="64"/>
      <c r="L1338" s="64"/>
      <c r="M1338" s="64"/>
      <c r="N1338" s="127" t="str">
        <f>IF(ISNA(VLOOKUP(Table3[[#This Row],[Ticket]],Table1[],17,FALSE)),"",VLOOKUP(Table3[[#This Row],[Ticket]],Table1[],17,FALSE))</f>
        <v/>
      </c>
      <c r="O1338" s="128" t="str">
        <f>IF(Table3[[#This Row],[Actual End Date]]="","",TEXT(Table3[[#This Row],[Actual End Date]],"mmm-yy"))</f>
        <v/>
      </c>
    </row>
    <row r="1339" spans="2:15">
      <c r="B1339" s="64"/>
      <c r="C1339" s="64"/>
      <c r="D1339" s="64"/>
      <c r="E1339" s="64"/>
      <c r="F1339" s="64"/>
      <c r="G1339" s="64"/>
      <c r="H1339" s="64"/>
      <c r="I1339" s="64"/>
      <c r="J1339" s="64"/>
      <c r="K1339" s="64"/>
      <c r="L1339" s="64"/>
      <c r="M1339" s="64"/>
      <c r="N1339" s="127" t="str">
        <f>IF(ISNA(VLOOKUP(Table3[[#This Row],[Ticket]],Table1[],17,FALSE)),"",VLOOKUP(Table3[[#This Row],[Ticket]],Table1[],17,FALSE))</f>
        <v/>
      </c>
      <c r="O1339" s="128" t="str">
        <f>IF(Table3[[#This Row],[Actual End Date]]="","",TEXT(Table3[[#This Row],[Actual End Date]],"mmm-yy"))</f>
        <v/>
      </c>
    </row>
    <row r="1340" spans="2:15">
      <c r="B1340" s="64"/>
      <c r="C1340" s="64"/>
      <c r="D1340" s="64"/>
      <c r="E1340" s="64"/>
      <c r="F1340" s="64"/>
      <c r="G1340" s="64"/>
      <c r="H1340" s="64"/>
      <c r="I1340" s="64"/>
      <c r="J1340" s="64"/>
      <c r="K1340" s="64"/>
      <c r="L1340" s="64"/>
      <c r="M1340" s="64"/>
      <c r="N1340" s="127" t="str">
        <f>IF(ISNA(VLOOKUP(Table3[[#This Row],[Ticket]],Table1[],17,FALSE)),"",VLOOKUP(Table3[[#This Row],[Ticket]],Table1[],17,FALSE))</f>
        <v/>
      </c>
      <c r="O1340" s="128" t="str">
        <f>IF(Table3[[#This Row],[Actual End Date]]="","",TEXT(Table3[[#This Row],[Actual End Date]],"mmm-yy"))</f>
        <v/>
      </c>
    </row>
    <row r="1341" spans="2:15">
      <c r="B1341" s="64"/>
      <c r="C1341" s="64"/>
      <c r="D1341" s="64"/>
      <c r="E1341" s="64"/>
      <c r="F1341" s="64"/>
      <c r="G1341" s="64"/>
      <c r="H1341" s="64"/>
      <c r="I1341" s="64"/>
      <c r="J1341" s="64"/>
      <c r="K1341" s="64"/>
      <c r="L1341" s="64"/>
      <c r="M1341" s="64"/>
      <c r="N1341" s="127" t="str">
        <f>IF(ISNA(VLOOKUP(Table3[[#This Row],[Ticket]],Table1[],17,FALSE)),"",VLOOKUP(Table3[[#This Row],[Ticket]],Table1[],17,FALSE))</f>
        <v/>
      </c>
      <c r="O1341" s="128" t="str">
        <f>IF(Table3[[#This Row],[Actual End Date]]="","",TEXT(Table3[[#This Row],[Actual End Date]],"mmm-yy"))</f>
        <v/>
      </c>
    </row>
    <row r="1342" spans="2:15">
      <c r="B1342" s="64"/>
      <c r="C1342" s="64"/>
      <c r="D1342" s="64"/>
      <c r="E1342" s="64"/>
      <c r="F1342" s="64"/>
      <c r="G1342" s="64"/>
      <c r="H1342" s="64"/>
      <c r="I1342" s="64"/>
      <c r="J1342" s="64"/>
      <c r="K1342" s="64"/>
      <c r="L1342" s="64"/>
      <c r="M1342" s="64"/>
      <c r="N1342" s="127" t="str">
        <f>IF(ISNA(VLOOKUP(Table3[[#This Row],[Ticket]],Table1[],17,FALSE)),"",VLOOKUP(Table3[[#This Row],[Ticket]],Table1[],17,FALSE))</f>
        <v/>
      </c>
      <c r="O1342" s="128" t="str">
        <f>IF(Table3[[#This Row],[Actual End Date]]="","",TEXT(Table3[[#This Row],[Actual End Date]],"mmm-yy"))</f>
        <v/>
      </c>
    </row>
    <row r="1343" spans="2:15">
      <c r="B1343" s="64"/>
      <c r="C1343" s="64"/>
      <c r="D1343" s="64"/>
      <c r="E1343" s="64"/>
      <c r="F1343" s="64"/>
      <c r="G1343" s="64"/>
      <c r="H1343" s="64"/>
      <c r="I1343" s="64"/>
      <c r="J1343" s="64"/>
      <c r="K1343" s="64"/>
      <c r="L1343" s="64"/>
      <c r="M1343" s="64"/>
      <c r="N1343" s="127" t="str">
        <f>IF(ISNA(VLOOKUP(Table3[[#This Row],[Ticket]],Table1[],17,FALSE)),"",VLOOKUP(Table3[[#This Row],[Ticket]],Table1[],17,FALSE))</f>
        <v/>
      </c>
      <c r="O1343" s="128" t="str">
        <f>IF(Table3[[#This Row],[Actual End Date]]="","",TEXT(Table3[[#This Row],[Actual End Date]],"mmm-yy"))</f>
        <v/>
      </c>
    </row>
    <row r="1344" spans="2:15">
      <c r="B1344" s="64"/>
      <c r="C1344" s="64"/>
      <c r="D1344" s="64"/>
      <c r="E1344" s="64"/>
      <c r="F1344" s="64"/>
      <c r="G1344" s="64"/>
      <c r="H1344" s="64"/>
      <c r="I1344" s="64"/>
      <c r="J1344" s="64"/>
      <c r="K1344" s="64"/>
      <c r="L1344" s="64"/>
      <c r="M1344" s="64"/>
      <c r="N1344" s="127" t="str">
        <f>IF(ISNA(VLOOKUP(Table3[[#This Row],[Ticket]],Table1[],17,FALSE)),"",VLOOKUP(Table3[[#This Row],[Ticket]],Table1[],17,FALSE))</f>
        <v/>
      </c>
      <c r="O1344" s="128" t="str">
        <f>IF(Table3[[#This Row],[Actual End Date]]="","",TEXT(Table3[[#This Row],[Actual End Date]],"mmm-yy"))</f>
        <v/>
      </c>
    </row>
    <row r="1345" spans="2:15">
      <c r="B1345" s="64"/>
      <c r="C1345" s="64"/>
      <c r="D1345" s="64"/>
      <c r="E1345" s="64"/>
      <c r="F1345" s="64"/>
      <c r="G1345" s="64"/>
      <c r="H1345" s="64"/>
      <c r="I1345" s="64"/>
      <c r="J1345" s="64"/>
      <c r="K1345" s="64"/>
      <c r="L1345" s="64"/>
      <c r="M1345" s="64"/>
      <c r="N1345" s="127" t="str">
        <f>IF(ISNA(VLOOKUP(Table3[[#This Row],[Ticket]],Table1[],17,FALSE)),"",VLOOKUP(Table3[[#This Row],[Ticket]],Table1[],17,FALSE))</f>
        <v/>
      </c>
      <c r="O1345" s="128" t="str">
        <f>IF(Table3[[#This Row],[Actual End Date]]="","",TEXT(Table3[[#This Row],[Actual End Date]],"mmm-yy"))</f>
        <v/>
      </c>
    </row>
    <row r="1346" spans="2:15">
      <c r="B1346" s="64"/>
      <c r="C1346" s="64"/>
      <c r="D1346" s="64"/>
      <c r="E1346" s="64"/>
      <c r="F1346" s="64"/>
      <c r="G1346" s="64"/>
      <c r="H1346" s="64"/>
      <c r="I1346" s="64"/>
      <c r="J1346" s="64"/>
      <c r="K1346" s="64"/>
      <c r="L1346" s="64"/>
      <c r="M1346" s="64"/>
      <c r="N1346" s="127" t="str">
        <f>IF(ISNA(VLOOKUP(Table3[[#This Row],[Ticket]],Table1[],17,FALSE)),"",VLOOKUP(Table3[[#This Row],[Ticket]],Table1[],17,FALSE))</f>
        <v/>
      </c>
      <c r="O1346" s="128" t="str">
        <f>IF(Table3[[#This Row],[Actual End Date]]="","",TEXT(Table3[[#This Row],[Actual End Date]],"mmm-yy"))</f>
        <v/>
      </c>
    </row>
    <row r="1347" spans="2:15">
      <c r="B1347" s="64"/>
      <c r="C1347" s="64"/>
      <c r="D1347" s="64"/>
      <c r="E1347" s="64"/>
      <c r="F1347" s="64"/>
      <c r="G1347" s="64"/>
      <c r="H1347" s="64"/>
      <c r="I1347" s="64"/>
      <c r="J1347" s="64"/>
      <c r="K1347" s="64"/>
      <c r="L1347" s="64"/>
      <c r="M1347" s="64"/>
      <c r="N1347" s="127" t="str">
        <f>IF(ISNA(VLOOKUP(Table3[[#This Row],[Ticket]],Table1[],17,FALSE)),"",VLOOKUP(Table3[[#This Row],[Ticket]],Table1[],17,FALSE))</f>
        <v/>
      </c>
      <c r="O1347" s="128" t="str">
        <f>IF(Table3[[#This Row],[Actual End Date]]="","",TEXT(Table3[[#This Row],[Actual End Date]],"mmm-yy"))</f>
        <v/>
      </c>
    </row>
    <row r="1348" spans="2:15">
      <c r="B1348" s="64"/>
      <c r="C1348" s="64"/>
      <c r="D1348" s="64"/>
      <c r="E1348" s="64"/>
      <c r="F1348" s="64"/>
      <c r="G1348" s="64"/>
      <c r="H1348" s="64"/>
      <c r="I1348" s="64"/>
      <c r="J1348" s="64"/>
      <c r="K1348" s="64"/>
      <c r="L1348" s="64"/>
      <c r="M1348" s="64"/>
      <c r="N1348" s="127" t="str">
        <f>IF(ISNA(VLOOKUP(Table3[[#This Row],[Ticket]],Table1[],17,FALSE)),"",VLOOKUP(Table3[[#This Row],[Ticket]],Table1[],17,FALSE))</f>
        <v/>
      </c>
      <c r="O1348" s="128" t="str">
        <f>IF(Table3[[#This Row],[Actual End Date]]="","",TEXT(Table3[[#This Row],[Actual End Date]],"mmm-yy"))</f>
        <v/>
      </c>
    </row>
    <row r="1349" spans="2:15">
      <c r="B1349" s="64"/>
      <c r="C1349" s="64"/>
      <c r="D1349" s="64"/>
      <c r="E1349" s="64"/>
      <c r="F1349" s="64"/>
      <c r="G1349" s="64"/>
      <c r="H1349" s="64"/>
      <c r="I1349" s="64"/>
      <c r="J1349" s="64"/>
      <c r="K1349" s="64"/>
      <c r="L1349" s="64"/>
      <c r="M1349" s="64"/>
      <c r="N1349" s="127" t="str">
        <f>IF(ISNA(VLOOKUP(Table3[[#This Row],[Ticket]],Table1[],17,FALSE)),"",VLOOKUP(Table3[[#This Row],[Ticket]],Table1[],17,FALSE))</f>
        <v/>
      </c>
      <c r="O1349" s="128" t="str">
        <f>IF(Table3[[#This Row],[Actual End Date]]="","",TEXT(Table3[[#This Row],[Actual End Date]],"mmm-yy"))</f>
        <v/>
      </c>
    </row>
    <row r="1350" spans="2:15">
      <c r="B1350" s="64"/>
      <c r="C1350" s="64"/>
      <c r="D1350" s="64"/>
      <c r="E1350" s="64"/>
      <c r="F1350" s="64"/>
      <c r="G1350" s="64"/>
      <c r="H1350" s="64"/>
      <c r="I1350" s="64"/>
      <c r="J1350" s="64"/>
      <c r="K1350" s="64"/>
      <c r="L1350" s="64"/>
      <c r="M1350" s="64"/>
      <c r="N1350" s="127" t="str">
        <f>IF(ISNA(VLOOKUP(Table3[[#This Row],[Ticket]],Table1[],17,FALSE)),"",VLOOKUP(Table3[[#This Row],[Ticket]],Table1[],17,FALSE))</f>
        <v/>
      </c>
      <c r="O1350" s="128" t="str">
        <f>IF(Table3[[#This Row],[Actual End Date]]="","",TEXT(Table3[[#This Row],[Actual End Date]],"mmm-yy"))</f>
        <v/>
      </c>
    </row>
    <row r="1351" spans="2:15">
      <c r="B1351" s="64"/>
      <c r="C1351" s="64"/>
      <c r="D1351" s="64"/>
      <c r="E1351" s="64"/>
      <c r="F1351" s="64"/>
      <c r="G1351" s="64"/>
      <c r="H1351" s="64"/>
      <c r="I1351" s="64"/>
      <c r="J1351" s="64"/>
      <c r="K1351" s="64"/>
      <c r="L1351" s="64"/>
      <c r="M1351" s="64"/>
      <c r="N1351" s="127" t="str">
        <f>IF(ISNA(VLOOKUP(Table3[[#This Row],[Ticket]],Table1[],17,FALSE)),"",VLOOKUP(Table3[[#This Row],[Ticket]],Table1[],17,FALSE))</f>
        <v/>
      </c>
      <c r="O1351" s="128" t="str">
        <f>IF(Table3[[#This Row],[Actual End Date]]="","",TEXT(Table3[[#This Row],[Actual End Date]],"mmm-yy"))</f>
        <v/>
      </c>
    </row>
    <row r="1352" spans="2:15">
      <c r="B1352" s="64"/>
      <c r="C1352" s="64"/>
      <c r="D1352" s="64"/>
      <c r="E1352" s="64"/>
      <c r="F1352" s="64"/>
      <c r="G1352" s="64"/>
      <c r="H1352" s="64"/>
      <c r="I1352" s="64"/>
      <c r="J1352" s="64"/>
      <c r="K1352" s="64"/>
      <c r="L1352" s="64"/>
      <c r="M1352" s="64"/>
      <c r="N1352" s="127" t="str">
        <f>IF(ISNA(VLOOKUP(Table3[[#This Row],[Ticket]],Table1[],17,FALSE)),"",VLOOKUP(Table3[[#This Row],[Ticket]],Table1[],17,FALSE))</f>
        <v/>
      </c>
      <c r="O1352" s="128" t="str">
        <f>IF(Table3[[#This Row],[Actual End Date]]="","",TEXT(Table3[[#This Row],[Actual End Date]],"mmm-yy"))</f>
        <v/>
      </c>
    </row>
    <row r="1353" spans="2:15">
      <c r="B1353" s="64"/>
      <c r="C1353" s="64"/>
      <c r="D1353" s="64"/>
      <c r="E1353" s="64"/>
      <c r="F1353" s="64"/>
      <c r="G1353" s="64"/>
      <c r="H1353" s="64"/>
      <c r="I1353" s="64"/>
      <c r="J1353" s="64"/>
      <c r="K1353" s="64"/>
      <c r="L1353" s="64"/>
      <c r="M1353" s="64"/>
      <c r="N1353" s="127" t="str">
        <f>IF(ISNA(VLOOKUP(Table3[[#This Row],[Ticket]],Table1[],17,FALSE)),"",VLOOKUP(Table3[[#This Row],[Ticket]],Table1[],17,FALSE))</f>
        <v/>
      </c>
      <c r="O1353" s="128" t="str">
        <f>IF(Table3[[#This Row],[Actual End Date]]="","",TEXT(Table3[[#This Row],[Actual End Date]],"mmm-yy"))</f>
        <v/>
      </c>
    </row>
    <row r="1354" spans="2:15">
      <c r="B1354" s="64"/>
      <c r="C1354" s="64"/>
      <c r="D1354" s="64"/>
      <c r="E1354" s="64"/>
      <c r="F1354" s="64"/>
      <c r="G1354" s="64"/>
      <c r="H1354" s="64"/>
      <c r="I1354" s="64"/>
      <c r="J1354" s="64"/>
      <c r="K1354" s="64"/>
      <c r="L1354" s="64"/>
      <c r="M1354" s="64"/>
      <c r="N1354" s="127" t="str">
        <f>IF(ISNA(VLOOKUP(Table3[[#This Row],[Ticket]],Table1[],17,FALSE)),"",VLOOKUP(Table3[[#This Row],[Ticket]],Table1[],17,FALSE))</f>
        <v/>
      </c>
      <c r="O1354" s="128" t="str">
        <f>IF(Table3[[#This Row],[Actual End Date]]="","",TEXT(Table3[[#This Row],[Actual End Date]],"mmm-yy"))</f>
        <v/>
      </c>
    </row>
    <row r="1355" spans="2:15">
      <c r="B1355" s="64"/>
      <c r="C1355" s="64"/>
      <c r="D1355" s="64"/>
      <c r="E1355" s="64"/>
      <c r="F1355" s="64"/>
      <c r="G1355" s="64"/>
      <c r="H1355" s="64"/>
      <c r="I1355" s="64"/>
      <c r="J1355" s="64"/>
      <c r="K1355" s="64"/>
      <c r="L1355" s="64"/>
      <c r="M1355" s="64"/>
      <c r="N1355" s="127" t="str">
        <f>IF(ISNA(VLOOKUP(Table3[[#This Row],[Ticket]],Table1[],17,FALSE)),"",VLOOKUP(Table3[[#This Row],[Ticket]],Table1[],17,FALSE))</f>
        <v/>
      </c>
      <c r="O1355" s="128" t="str">
        <f>IF(Table3[[#This Row],[Actual End Date]]="","",TEXT(Table3[[#This Row],[Actual End Date]],"mmm-yy"))</f>
        <v/>
      </c>
    </row>
    <row r="1356" spans="2:15">
      <c r="B1356" s="64"/>
      <c r="C1356" s="64"/>
      <c r="D1356" s="64"/>
      <c r="E1356" s="64"/>
      <c r="F1356" s="64"/>
      <c r="G1356" s="64"/>
      <c r="H1356" s="64"/>
      <c r="I1356" s="64"/>
      <c r="J1356" s="64"/>
      <c r="K1356" s="64"/>
      <c r="L1356" s="64"/>
      <c r="M1356" s="64"/>
      <c r="N1356" s="127" t="str">
        <f>IF(ISNA(VLOOKUP(Table3[[#This Row],[Ticket]],Table1[],17,FALSE)),"",VLOOKUP(Table3[[#This Row],[Ticket]],Table1[],17,FALSE))</f>
        <v/>
      </c>
      <c r="O1356" s="128" t="str">
        <f>IF(Table3[[#This Row],[Actual End Date]]="","",TEXT(Table3[[#This Row],[Actual End Date]],"mmm-yy"))</f>
        <v/>
      </c>
    </row>
    <row r="1357" spans="2:15">
      <c r="B1357" s="64"/>
      <c r="C1357" s="64"/>
      <c r="D1357" s="64"/>
      <c r="E1357" s="64"/>
      <c r="F1357" s="64"/>
      <c r="G1357" s="64"/>
      <c r="H1357" s="64"/>
      <c r="I1357" s="64"/>
      <c r="J1357" s="64"/>
      <c r="K1357" s="64"/>
      <c r="L1357" s="64"/>
      <c r="M1357" s="64"/>
      <c r="N1357" s="127" t="str">
        <f>IF(ISNA(VLOOKUP(Table3[[#This Row],[Ticket]],Table1[],17,FALSE)),"",VLOOKUP(Table3[[#This Row],[Ticket]],Table1[],17,FALSE))</f>
        <v/>
      </c>
      <c r="O1357" s="128" t="str">
        <f>IF(Table3[[#This Row],[Actual End Date]]="","",TEXT(Table3[[#This Row],[Actual End Date]],"mmm-yy"))</f>
        <v/>
      </c>
    </row>
    <row r="1358" spans="2:15">
      <c r="B1358" s="64"/>
      <c r="C1358" s="64"/>
      <c r="D1358" s="64"/>
      <c r="E1358" s="64"/>
      <c r="F1358" s="64"/>
      <c r="G1358" s="64"/>
      <c r="H1358" s="64"/>
      <c r="I1358" s="64"/>
      <c r="J1358" s="64"/>
      <c r="K1358" s="64"/>
      <c r="L1358" s="64"/>
      <c r="M1358" s="64"/>
      <c r="N1358" s="127" t="str">
        <f>IF(ISNA(VLOOKUP(Table3[[#This Row],[Ticket]],Table1[],17,FALSE)),"",VLOOKUP(Table3[[#This Row],[Ticket]],Table1[],17,FALSE))</f>
        <v/>
      </c>
      <c r="O1358" s="128" t="str">
        <f>IF(Table3[[#This Row],[Actual End Date]]="","",TEXT(Table3[[#This Row],[Actual End Date]],"mmm-yy"))</f>
        <v/>
      </c>
    </row>
    <row r="1359" spans="2:15">
      <c r="B1359" s="64"/>
      <c r="C1359" s="64"/>
      <c r="D1359" s="64"/>
      <c r="E1359" s="64"/>
      <c r="F1359" s="64"/>
      <c r="G1359" s="64"/>
      <c r="H1359" s="64"/>
      <c r="I1359" s="64"/>
      <c r="J1359" s="64"/>
      <c r="K1359" s="64"/>
      <c r="L1359" s="64"/>
      <c r="M1359" s="64"/>
      <c r="N1359" s="127" t="str">
        <f>IF(ISNA(VLOOKUP(Table3[[#This Row],[Ticket]],Table1[],17,FALSE)),"",VLOOKUP(Table3[[#This Row],[Ticket]],Table1[],17,FALSE))</f>
        <v/>
      </c>
      <c r="O1359" s="128" t="str">
        <f>IF(Table3[[#This Row],[Actual End Date]]="","",TEXT(Table3[[#This Row],[Actual End Date]],"mmm-yy"))</f>
        <v/>
      </c>
    </row>
    <row r="1360" spans="2:15">
      <c r="B1360" s="64"/>
      <c r="C1360" s="64"/>
      <c r="D1360" s="64"/>
      <c r="E1360" s="64"/>
      <c r="F1360" s="64"/>
      <c r="G1360" s="64"/>
      <c r="H1360" s="64"/>
      <c r="I1360" s="64"/>
      <c r="J1360" s="64"/>
      <c r="K1360" s="64"/>
      <c r="L1360" s="64"/>
      <c r="M1360" s="64"/>
      <c r="N1360" s="127" t="str">
        <f>IF(ISNA(VLOOKUP(Table3[[#This Row],[Ticket]],Table1[],17,FALSE)),"",VLOOKUP(Table3[[#This Row],[Ticket]],Table1[],17,FALSE))</f>
        <v/>
      </c>
      <c r="O1360" s="128" t="str">
        <f>IF(Table3[[#This Row],[Actual End Date]]="","",TEXT(Table3[[#This Row],[Actual End Date]],"mmm-yy"))</f>
        <v/>
      </c>
    </row>
    <row r="1361" spans="2:15">
      <c r="B1361" s="64"/>
      <c r="C1361" s="64"/>
      <c r="D1361" s="64"/>
      <c r="E1361" s="64"/>
      <c r="F1361" s="64"/>
      <c r="G1361" s="64"/>
      <c r="H1361" s="64"/>
      <c r="I1361" s="64"/>
      <c r="J1361" s="64"/>
      <c r="K1361" s="64"/>
      <c r="L1361" s="64"/>
      <c r="M1361" s="64"/>
      <c r="N1361" s="127" t="str">
        <f>IF(ISNA(VLOOKUP(Table3[[#This Row],[Ticket]],Table1[],17,FALSE)),"",VLOOKUP(Table3[[#This Row],[Ticket]],Table1[],17,FALSE))</f>
        <v/>
      </c>
      <c r="O1361" s="128" t="str">
        <f>IF(Table3[[#This Row],[Actual End Date]]="","",TEXT(Table3[[#This Row],[Actual End Date]],"mmm-yy"))</f>
        <v/>
      </c>
    </row>
    <row r="1362" spans="2:15">
      <c r="B1362" s="64"/>
      <c r="C1362" s="64"/>
      <c r="D1362" s="64"/>
      <c r="E1362" s="64"/>
      <c r="F1362" s="64"/>
      <c r="G1362" s="64"/>
      <c r="H1362" s="64"/>
      <c r="I1362" s="64"/>
      <c r="J1362" s="64"/>
      <c r="K1362" s="64"/>
      <c r="L1362" s="64"/>
      <c r="M1362" s="64"/>
      <c r="N1362" s="127" t="str">
        <f>IF(ISNA(VLOOKUP(Table3[[#This Row],[Ticket]],Table1[],17,FALSE)),"",VLOOKUP(Table3[[#This Row],[Ticket]],Table1[],17,FALSE))</f>
        <v/>
      </c>
      <c r="O1362" s="128" t="str">
        <f>IF(Table3[[#This Row],[Actual End Date]]="","",TEXT(Table3[[#This Row],[Actual End Date]],"mmm-yy"))</f>
        <v/>
      </c>
    </row>
    <row r="1363" spans="2:15">
      <c r="B1363" s="64"/>
      <c r="C1363" s="64"/>
      <c r="D1363" s="64"/>
      <c r="E1363" s="64"/>
      <c r="F1363" s="64"/>
      <c r="G1363" s="64"/>
      <c r="H1363" s="64"/>
      <c r="I1363" s="64"/>
      <c r="J1363" s="64"/>
      <c r="K1363" s="64"/>
      <c r="L1363" s="64"/>
      <c r="M1363" s="64"/>
      <c r="N1363" s="127" t="str">
        <f>IF(ISNA(VLOOKUP(Table3[[#This Row],[Ticket]],Table1[],17,FALSE)),"",VLOOKUP(Table3[[#This Row],[Ticket]],Table1[],17,FALSE))</f>
        <v/>
      </c>
      <c r="O1363" s="128" t="str">
        <f>IF(Table3[[#This Row],[Actual End Date]]="","",TEXT(Table3[[#This Row],[Actual End Date]],"mmm-yy"))</f>
        <v/>
      </c>
    </row>
    <row r="1364" spans="2:15">
      <c r="B1364" s="64"/>
      <c r="C1364" s="64"/>
      <c r="D1364" s="64"/>
      <c r="E1364" s="64"/>
      <c r="F1364" s="64"/>
      <c r="G1364" s="64"/>
      <c r="H1364" s="64"/>
      <c r="I1364" s="64"/>
      <c r="J1364" s="64"/>
      <c r="K1364" s="64"/>
      <c r="L1364" s="64"/>
      <c r="M1364" s="64"/>
      <c r="N1364" s="127" t="str">
        <f>IF(ISNA(VLOOKUP(Table3[[#This Row],[Ticket]],Table1[],17,FALSE)),"",VLOOKUP(Table3[[#This Row],[Ticket]],Table1[],17,FALSE))</f>
        <v/>
      </c>
      <c r="O1364" s="128" t="str">
        <f>IF(Table3[[#This Row],[Actual End Date]]="","",TEXT(Table3[[#This Row],[Actual End Date]],"mmm-yy"))</f>
        <v/>
      </c>
    </row>
    <row r="1365" spans="2:15">
      <c r="B1365" s="64"/>
      <c r="C1365" s="64"/>
      <c r="D1365" s="64"/>
      <c r="E1365" s="64"/>
      <c r="F1365" s="64"/>
      <c r="G1365" s="64"/>
      <c r="H1365" s="64"/>
      <c r="I1365" s="64"/>
      <c r="J1365" s="64"/>
      <c r="K1365" s="64"/>
      <c r="L1365" s="64"/>
      <c r="M1365" s="64"/>
      <c r="N1365" s="127" t="str">
        <f>IF(ISNA(VLOOKUP(Table3[[#This Row],[Ticket]],Table1[],17,FALSE)),"",VLOOKUP(Table3[[#This Row],[Ticket]],Table1[],17,FALSE))</f>
        <v/>
      </c>
      <c r="O1365" s="128" t="str">
        <f>IF(Table3[[#This Row],[Actual End Date]]="","",TEXT(Table3[[#This Row],[Actual End Date]],"mmm-yy"))</f>
        <v/>
      </c>
    </row>
    <row r="1366" spans="2:15">
      <c r="B1366" s="64"/>
      <c r="C1366" s="64"/>
      <c r="D1366" s="64"/>
      <c r="E1366" s="64"/>
      <c r="F1366" s="64"/>
      <c r="G1366" s="64"/>
      <c r="H1366" s="64"/>
      <c r="I1366" s="64"/>
      <c r="J1366" s="64"/>
      <c r="K1366" s="64"/>
      <c r="L1366" s="64"/>
      <c r="M1366" s="64"/>
      <c r="N1366" s="127" t="str">
        <f>IF(ISNA(VLOOKUP(Table3[[#This Row],[Ticket]],Table1[],17,FALSE)),"",VLOOKUP(Table3[[#This Row],[Ticket]],Table1[],17,FALSE))</f>
        <v/>
      </c>
      <c r="O1366" s="128" t="str">
        <f>IF(Table3[[#This Row],[Actual End Date]]="","",TEXT(Table3[[#This Row],[Actual End Date]],"mmm-yy"))</f>
        <v/>
      </c>
    </row>
    <row r="1367" spans="2:15">
      <c r="B1367" s="64"/>
      <c r="C1367" s="64"/>
      <c r="D1367" s="64"/>
      <c r="E1367" s="64"/>
      <c r="F1367" s="64"/>
      <c r="G1367" s="64"/>
      <c r="H1367" s="64"/>
      <c r="I1367" s="64"/>
      <c r="J1367" s="64"/>
      <c r="K1367" s="64"/>
      <c r="L1367" s="64"/>
      <c r="M1367" s="64"/>
      <c r="N1367" s="127" t="str">
        <f>IF(ISNA(VLOOKUP(Table3[[#This Row],[Ticket]],Table1[],17,FALSE)),"",VLOOKUP(Table3[[#This Row],[Ticket]],Table1[],17,FALSE))</f>
        <v/>
      </c>
      <c r="O1367" s="128" t="str">
        <f>IF(Table3[[#This Row],[Actual End Date]]="","",TEXT(Table3[[#This Row],[Actual End Date]],"mmm-yy"))</f>
        <v/>
      </c>
    </row>
    <row r="1368" spans="2:15">
      <c r="B1368" s="64"/>
      <c r="C1368" s="64"/>
      <c r="D1368" s="64"/>
      <c r="E1368" s="64"/>
      <c r="F1368" s="64"/>
      <c r="G1368" s="64"/>
      <c r="H1368" s="64"/>
      <c r="I1368" s="64"/>
      <c r="J1368" s="64"/>
      <c r="K1368" s="64"/>
      <c r="L1368" s="64"/>
      <c r="M1368" s="64"/>
      <c r="N1368" s="127" t="str">
        <f>IF(ISNA(VLOOKUP(Table3[[#This Row],[Ticket]],Table1[],17,FALSE)),"",VLOOKUP(Table3[[#This Row],[Ticket]],Table1[],17,FALSE))</f>
        <v/>
      </c>
      <c r="O1368" s="128" t="str">
        <f>IF(Table3[[#This Row],[Actual End Date]]="","",TEXT(Table3[[#This Row],[Actual End Date]],"mmm-yy"))</f>
        <v/>
      </c>
    </row>
    <row r="1369" spans="2:15">
      <c r="B1369" s="64"/>
      <c r="C1369" s="64"/>
      <c r="D1369" s="64"/>
      <c r="E1369" s="64"/>
      <c r="F1369" s="64"/>
      <c r="G1369" s="64"/>
      <c r="H1369" s="64"/>
      <c r="I1369" s="64"/>
      <c r="J1369" s="64"/>
      <c r="K1369" s="64"/>
      <c r="L1369" s="64"/>
      <c r="M1369" s="64"/>
      <c r="N1369" s="127" t="str">
        <f>IF(ISNA(VLOOKUP(Table3[[#This Row],[Ticket]],Table1[],17,FALSE)),"",VLOOKUP(Table3[[#This Row],[Ticket]],Table1[],17,FALSE))</f>
        <v/>
      </c>
      <c r="O1369" s="128" t="str">
        <f>IF(Table3[[#This Row],[Actual End Date]]="","",TEXT(Table3[[#This Row],[Actual End Date]],"mmm-yy"))</f>
        <v/>
      </c>
    </row>
    <row r="1370" spans="2:15">
      <c r="B1370" s="64"/>
      <c r="C1370" s="64"/>
      <c r="D1370" s="64"/>
      <c r="E1370" s="64"/>
      <c r="F1370" s="64"/>
      <c r="G1370" s="64"/>
      <c r="H1370" s="64"/>
      <c r="I1370" s="64"/>
      <c r="J1370" s="64"/>
      <c r="K1370" s="64"/>
      <c r="L1370" s="64"/>
      <c r="M1370" s="64"/>
      <c r="N1370" s="127" t="str">
        <f>IF(ISNA(VLOOKUP(Table3[[#This Row],[Ticket]],Table1[],17,FALSE)),"",VLOOKUP(Table3[[#This Row],[Ticket]],Table1[],17,FALSE))</f>
        <v/>
      </c>
      <c r="O1370" s="128" t="str">
        <f>IF(Table3[[#This Row],[Actual End Date]]="","",TEXT(Table3[[#This Row],[Actual End Date]],"mmm-yy"))</f>
        <v/>
      </c>
    </row>
    <row r="1371" spans="2:15">
      <c r="B1371" s="64"/>
      <c r="C1371" s="64"/>
      <c r="D1371" s="64"/>
      <c r="E1371" s="64"/>
      <c r="F1371" s="64"/>
      <c r="G1371" s="64"/>
      <c r="H1371" s="64"/>
      <c r="I1371" s="64"/>
      <c r="J1371" s="64"/>
      <c r="K1371" s="64"/>
      <c r="L1371" s="64"/>
      <c r="M1371" s="64"/>
      <c r="N1371" s="127" t="str">
        <f>IF(ISNA(VLOOKUP(Table3[[#This Row],[Ticket]],Table1[],17,FALSE)),"",VLOOKUP(Table3[[#This Row],[Ticket]],Table1[],17,FALSE))</f>
        <v/>
      </c>
      <c r="O1371" s="128" t="str">
        <f>IF(Table3[[#This Row],[Actual End Date]]="","",TEXT(Table3[[#This Row],[Actual End Date]],"mmm-yy"))</f>
        <v/>
      </c>
    </row>
    <row r="1372" spans="2:15">
      <c r="B1372" s="64"/>
      <c r="C1372" s="64"/>
      <c r="D1372" s="64"/>
      <c r="E1372" s="64"/>
      <c r="F1372" s="64"/>
      <c r="G1372" s="64"/>
      <c r="H1372" s="64"/>
      <c r="I1372" s="64"/>
      <c r="J1372" s="64"/>
      <c r="K1372" s="64"/>
      <c r="L1372" s="64"/>
      <c r="M1372" s="64"/>
      <c r="N1372" s="127" t="str">
        <f>IF(ISNA(VLOOKUP(Table3[[#This Row],[Ticket]],Table1[],17,FALSE)),"",VLOOKUP(Table3[[#This Row],[Ticket]],Table1[],17,FALSE))</f>
        <v/>
      </c>
      <c r="O1372" s="128" t="str">
        <f>IF(Table3[[#This Row],[Actual End Date]]="","",TEXT(Table3[[#This Row],[Actual End Date]],"mmm-yy"))</f>
        <v/>
      </c>
    </row>
    <row r="1373" spans="2:15">
      <c r="B1373" s="64"/>
      <c r="C1373" s="64"/>
      <c r="D1373" s="64"/>
      <c r="E1373" s="64"/>
      <c r="F1373" s="64"/>
      <c r="G1373" s="64"/>
      <c r="H1373" s="64"/>
      <c r="I1373" s="64"/>
      <c r="J1373" s="64"/>
      <c r="K1373" s="64"/>
      <c r="L1373" s="64"/>
      <c r="M1373" s="64"/>
      <c r="N1373" s="127" t="str">
        <f>IF(ISNA(VLOOKUP(Table3[[#This Row],[Ticket]],Table1[],17,FALSE)),"",VLOOKUP(Table3[[#This Row],[Ticket]],Table1[],17,FALSE))</f>
        <v/>
      </c>
      <c r="O1373" s="128" t="str">
        <f>IF(Table3[[#This Row],[Actual End Date]]="","",TEXT(Table3[[#This Row],[Actual End Date]],"mmm-yy"))</f>
        <v/>
      </c>
    </row>
    <row r="1374" spans="2:15">
      <c r="B1374" s="64"/>
      <c r="C1374" s="64"/>
      <c r="D1374" s="64"/>
      <c r="E1374" s="64"/>
      <c r="F1374" s="64"/>
      <c r="G1374" s="64"/>
      <c r="H1374" s="64"/>
      <c r="I1374" s="64"/>
      <c r="J1374" s="64"/>
      <c r="K1374" s="64"/>
      <c r="L1374" s="64"/>
      <c r="M1374" s="64"/>
      <c r="N1374" s="127" t="str">
        <f>IF(ISNA(VLOOKUP(Table3[[#This Row],[Ticket]],Table1[],17,FALSE)),"",VLOOKUP(Table3[[#This Row],[Ticket]],Table1[],17,FALSE))</f>
        <v/>
      </c>
      <c r="O1374" s="128" t="str">
        <f>IF(Table3[[#This Row],[Actual End Date]]="","",TEXT(Table3[[#This Row],[Actual End Date]],"mmm-yy"))</f>
        <v/>
      </c>
    </row>
    <row r="1375" spans="2:15">
      <c r="B1375" s="64"/>
      <c r="C1375" s="64"/>
      <c r="D1375" s="64"/>
      <c r="E1375" s="64"/>
      <c r="F1375" s="64"/>
      <c r="G1375" s="64"/>
      <c r="H1375" s="64"/>
      <c r="I1375" s="64"/>
      <c r="J1375" s="64"/>
      <c r="K1375" s="64"/>
      <c r="L1375" s="64"/>
      <c r="M1375" s="64"/>
      <c r="N1375" s="127" t="str">
        <f>IF(ISNA(VLOOKUP(Table3[[#This Row],[Ticket]],Table1[],17,FALSE)),"",VLOOKUP(Table3[[#This Row],[Ticket]],Table1[],17,FALSE))</f>
        <v/>
      </c>
      <c r="O1375" s="128" t="str">
        <f>IF(Table3[[#This Row],[Actual End Date]]="","",TEXT(Table3[[#This Row],[Actual End Date]],"mmm-yy"))</f>
        <v/>
      </c>
    </row>
    <row r="1376" spans="2:15">
      <c r="B1376" s="64"/>
      <c r="C1376" s="64"/>
      <c r="D1376" s="64"/>
      <c r="E1376" s="64"/>
      <c r="F1376" s="64"/>
      <c r="G1376" s="64"/>
      <c r="H1376" s="64"/>
      <c r="I1376" s="64"/>
      <c r="J1376" s="64"/>
      <c r="K1376" s="64"/>
      <c r="L1376" s="64"/>
      <c r="M1376" s="64"/>
      <c r="N1376" s="127" t="str">
        <f>IF(ISNA(VLOOKUP(Table3[[#This Row],[Ticket]],Table1[],17,FALSE)),"",VLOOKUP(Table3[[#This Row],[Ticket]],Table1[],17,FALSE))</f>
        <v/>
      </c>
      <c r="O1376" s="128" t="str">
        <f>IF(Table3[[#This Row],[Actual End Date]]="","",TEXT(Table3[[#This Row],[Actual End Date]],"mmm-yy"))</f>
        <v/>
      </c>
    </row>
    <row r="1377" spans="2:15">
      <c r="B1377" s="64"/>
      <c r="C1377" s="64"/>
      <c r="D1377" s="64"/>
      <c r="E1377" s="64"/>
      <c r="F1377" s="64"/>
      <c r="G1377" s="64"/>
      <c r="H1377" s="64"/>
      <c r="I1377" s="64"/>
      <c r="J1377" s="64"/>
      <c r="K1377" s="64"/>
      <c r="L1377" s="64"/>
      <c r="M1377" s="64"/>
      <c r="N1377" s="127" t="str">
        <f>IF(ISNA(VLOOKUP(Table3[[#This Row],[Ticket]],Table1[],17,FALSE)),"",VLOOKUP(Table3[[#This Row],[Ticket]],Table1[],17,FALSE))</f>
        <v/>
      </c>
      <c r="O1377" s="128" t="str">
        <f>IF(Table3[[#This Row],[Actual End Date]]="","",TEXT(Table3[[#This Row],[Actual End Date]],"mmm-yy"))</f>
        <v/>
      </c>
    </row>
    <row r="1378" spans="2:15">
      <c r="B1378" s="64"/>
      <c r="C1378" s="64"/>
      <c r="D1378" s="64"/>
      <c r="E1378" s="64"/>
      <c r="F1378" s="64"/>
      <c r="G1378" s="64"/>
      <c r="H1378" s="64"/>
      <c r="I1378" s="64"/>
      <c r="J1378" s="64"/>
      <c r="K1378" s="64"/>
      <c r="L1378" s="64"/>
      <c r="M1378" s="64"/>
      <c r="N1378" s="127" t="str">
        <f>IF(ISNA(VLOOKUP(Table3[[#This Row],[Ticket]],Table1[],17,FALSE)),"",VLOOKUP(Table3[[#This Row],[Ticket]],Table1[],17,FALSE))</f>
        <v/>
      </c>
      <c r="O1378" s="128" t="str">
        <f>IF(Table3[[#This Row],[Actual End Date]]="","",TEXT(Table3[[#This Row],[Actual End Date]],"mmm-yy"))</f>
        <v/>
      </c>
    </row>
    <row r="1379" spans="2:15">
      <c r="B1379" s="64"/>
      <c r="C1379" s="64"/>
      <c r="D1379" s="64"/>
      <c r="E1379" s="64"/>
      <c r="F1379" s="64"/>
      <c r="G1379" s="64"/>
      <c r="H1379" s="64"/>
      <c r="I1379" s="64"/>
      <c r="J1379" s="64"/>
      <c r="K1379" s="64"/>
      <c r="L1379" s="64"/>
      <c r="M1379" s="64"/>
      <c r="N1379" s="127" t="str">
        <f>IF(ISNA(VLOOKUP(Table3[[#This Row],[Ticket]],Table1[],17,FALSE)),"",VLOOKUP(Table3[[#This Row],[Ticket]],Table1[],17,FALSE))</f>
        <v/>
      </c>
      <c r="O1379" s="128" t="str">
        <f>IF(Table3[[#This Row],[Actual End Date]]="","",TEXT(Table3[[#This Row],[Actual End Date]],"mmm-yy"))</f>
        <v/>
      </c>
    </row>
    <row r="1380" spans="2:15">
      <c r="B1380" s="64"/>
      <c r="C1380" s="64"/>
      <c r="D1380" s="64"/>
      <c r="E1380" s="64"/>
      <c r="F1380" s="64"/>
      <c r="G1380" s="64"/>
      <c r="H1380" s="64"/>
      <c r="I1380" s="64"/>
      <c r="J1380" s="64"/>
      <c r="K1380" s="64"/>
      <c r="L1380" s="64"/>
      <c r="M1380" s="64"/>
      <c r="N1380" s="127" t="str">
        <f>IF(ISNA(VLOOKUP(Table3[[#This Row],[Ticket]],Table1[],17,FALSE)),"",VLOOKUP(Table3[[#This Row],[Ticket]],Table1[],17,FALSE))</f>
        <v/>
      </c>
      <c r="O1380" s="128" t="str">
        <f>IF(Table3[[#This Row],[Actual End Date]]="","",TEXT(Table3[[#This Row],[Actual End Date]],"mmm-yy"))</f>
        <v/>
      </c>
    </row>
    <row r="1381" spans="2:15">
      <c r="B1381" s="64"/>
      <c r="C1381" s="64"/>
      <c r="D1381" s="64"/>
      <c r="E1381" s="64"/>
      <c r="F1381" s="64"/>
      <c r="G1381" s="64"/>
      <c r="H1381" s="64"/>
      <c r="I1381" s="64"/>
      <c r="J1381" s="64"/>
      <c r="K1381" s="64"/>
      <c r="L1381" s="64"/>
      <c r="M1381" s="64"/>
      <c r="N1381" s="127" t="str">
        <f>IF(ISNA(VLOOKUP(Table3[[#This Row],[Ticket]],Table1[],17,FALSE)),"",VLOOKUP(Table3[[#This Row],[Ticket]],Table1[],17,FALSE))</f>
        <v/>
      </c>
      <c r="O1381" s="128" t="str">
        <f>IF(Table3[[#This Row],[Actual End Date]]="","",TEXT(Table3[[#This Row],[Actual End Date]],"mmm-yy"))</f>
        <v/>
      </c>
    </row>
    <row r="1382" spans="2:15">
      <c r="B1382" s="64"/>
      <c r="C1382" s="64"/>
      <c r="D1382" s="64"/>
      <c r="E1382" s="64"/>
      <c r="F1382" s="64"/>
      <c r="G1382" s="64"/>
      <c r="H1382" s="64"/>
      <c r="I1382" s="64"/>
      <c r="J1382" s="64"/>
      <c r="K1382" s="64"/>
      <c r="L1382" s="64"/>
      <c r="M1382" s="64"/>
      <c r="N1382" s="127" t="str">
        <f>IF(ISNA(VLOOKUP(Table3[[#This Row],[Ticket]],Table1[],17,FALSE)),"",VLOOKUP(Table3[[#This Row],[Ticket]],Table1[],17,FALSE))</f>
        <v/>
      </c>
      <c r="O1382" s="128" t="str">
        <f>IF(Table3[[#This Row],[Actual End Date]]="","",TEXT(Table3[[#This Row],[Actual End Date]],"mmm-yy"))</f>
        <v/>
      </c>
    </row>
    <row r="1383" spans="2:15">
      <c r="B1383" s="64"/>
      <c r="C1383" s="64"/>
      <c r="D1383" s="64"/>
      <c r="E1383" s="64"/>
      <c r="F1383" s="64"/>
      <c r="G1383" s="64"/>
      <c r="H1383" s="64"/>
      <c r="I1383" s="64"/>
      <c r="J1383" s="64"/>
      <c r="K1383" s="64"/>
      <c r="L1383" s="64"/>
      <c r="M1383" s="64"/>
      <c r="N1383" s="127" t="str">
        <f>IF(ISNA(VLOOKUP(Table3[[#This Row],[Ticket]],Table1[],17,FALSE)),"",VLOOKUP(Table3[[#This Row],[Ticket]],Table1[],17,FALSE))</f>
        <v/>
      </c>
      <c r="O1383" s="128" t="str">
        <f>IF(Table3[[#This Row],[Actual End Date]]="","",TEXT(Table3[[#This Row],[Actual End Date]],"mmm-yy"))</f>
        <v/>
      </c>
    </row>
    <row r="1384" spans="2:15">
      <c r="B1384" s="64"/>
      <c r="C1384" s="64"/>
      <c r="D1384" s="64"/>
      <c r="E1384" s="64"/>
      <c r="F1384" s="64"/>
      <c r="G1384" s="64"/>
      <c r="H1384" s="64"/>
      <c r="I1384" s="64"/>
      <c r="J1384" s="64"/>
      <c r="K1384" s="64"/>
      <c r="L1384" s="64"/>
      <c r="M1384" s="64"/>
      <c r="N1384" s="127" t="str">
        <f>IF(ISNA(VLOOKUP(Table3[[#This Row],[Ticket]],Table1[],17,FALSE)),"",VLOOKUP(Table3[[#This Row],[Ticket]],Table1[],17,FALSE))</f>
        <v/>
      </c>
      <c r="O1384" s="128" t="str">
        <f>IF(Table3[[#This Row],[Actual End Date]]="","",TEXT(Table3[[#This Row],[Actual End Date]],"mmm-yy"))</f>
        <v/>
      </c>
    </row>
    <row r="1385" spans="2:15">
      <c r="B1385" s="64"/>
      <c r="C1385" s="64"/>
      <c r="D1385" s="64"/>
      <c r="E1385" s="64"/>
      <c r="F1385" s="64"/>
      <c r="G1385" s="64"/>
      <c r="H1385" s="64"/>
      <c r="I1385" s="64"/>
      <c r="J1385" s="64"/>
      <c r="K1385" s="64"/>
      <c r="L1385" s="64"/>
      <c r="M1385" s="64"/>
      <c r="N1385" s="127" t="str">
        <f>IF(ISNA(VLOOKUP(Table3[[#This Row],[Ticket]],Table1[],17,FALSE)),"",VLOOKUP(Table3[[#This Row],[Ticket]],Table1[],17,FALSE))</f>
        <v/>
      </c>
      <c r="O1385" s="128" t="str">
        <f>IF(Table3[[#This Row],[Actual End Date]]="","",TEXT(Table3[[#This Row],[Actual End Date]],"mmm-yy"))</f>
        <v/>
      </c>
    </row>
    <row r="1386" spans="2:15">
      <c r="B1386" s="64"/>
      <c r="C1386" s="64"/>
      <c r="D1386" s="64"/>
      <c r="E1386" s="64"/>
      <c r="F1386" s="64"/>
      <c r="G1386" s="64"/>
      <c r="H1386" s="64"/>
      <c r="I1386" s="64"/>
      <c r="J1386" s="64"/>
      <c r="K1386" s="64"/>
      <c r="L1386" s="64"/>
      <c r="M1386" s="64"/>
      <c r="N1386" s="127" t="str">
        <f>IF(ISNA(VLOOKUP(Table3[[#This Row],[Ticket]],Table1[],17,FALSE)),"",VLOOKUP(Table3[[#This Row],[Ticket]],Table1[],17,FALSE))</f>
        <v/>
      </c>
      <c r="O1386" s="128" t="str">
        <f>IF(Table3[[#This Row],[Actual End Date]]="","",TEXT(Table3[[#This Row],[Actual End Date]],"mmm-yy"))</f>
        <v/>
      </c>
    </row>
    <row r="1387" spans="2:15">
      <c r="B1387" s="64"/>
      <c r="C1387" s="64"/>
      <c r="D1387" s="64"/>
      <c r="E1387" s="64"/>
      <c r="F1387" s="64"/>
      <c r="G1387" s="64"/>
      <c r="H1387" s="64"/>
      <c r="I1387" s="64"/>
      <c r="J1387" s="64"/>
      <c r="K1387" s="64"/>
      <c r="L1387" s="64"/>
      <c r="M1387" s="64"/>
      <c r="N1387" s="127" t="str">
        <f>IF(ISNA(VLOOKUP(Table3[[#This Row],[Ticket]],Table1[],17,FALSE)),"",VLOOKUP(Table3[[#This Row],[Ticket]],Table1[],17,FALSE))</f>
        <v/>
      </c>
      <c r="O1387" s="128" t="str">
        <f>IF(Table3[[#This Row],[Actual End Date]]="","",TEXT(Table3[[#This Row],[Actual End Date]],"mmm-yy"))</f>
        <v/>
      </c>
    </row>
    <row r="1388" spans="2:15">
      <c r="B1388" s="64"/>
      <c r="C1388" s="64"/>
      <c r="D1388" s="64"/>
      <c r="E1388" s="64"/>
      <c r="F1388" s="64"/>
      <c r="G1388" s="64"/>
      <c r="H1388" s="64"/>
      <c r="I1388" s="64"/>
      <c r="J1388" s="64"/>
      <c r="K1388" s="64"/>
      <c r="L1388" s="64"/>
      <c r="M1388" s="64"/>
      <c r="N1388" s="127" t="str">
        <f>IF(ISNA(VLOOKUP(Table3[[#This Row],[Ticket]],Table1[],17,FALSE)),"",VLOOKUP(Table3[[#This Row],[Ticket]],Table1[],17,FALSE))</f>
        <v/>
      </c>
      <c r="O1388" s="128" t="str">
        <f>IF(Table3[[#This Row],[Actual End Date]]="","",TEXT(Table3[[#This Row],[Actual End Date]],"mmm-yy"))</f>
        <v/>
      </c>
    </row>
    <row r="1389" spans="2:15">
      <c r="B1389" s="64"/>
      <c r="C1389" s="64"/>
      <c r="D1389" s="64"/>
      <c r="E1389" s="64"/>
      <c r="F1389" s="64"/>
      <c r="G1389" s="64"/>
      <c r="H1389" s="64"/>
      <c r="I1389" s="64"/>
      <c r="J1389" s="64"/>
      <c r="K1389" s="64"/>
      <c r="L1389" s="64"/>
      <c r="M1389" s="64"/>
      <c r="N1389" s="127" t="str">
        <f>IF(ISNA(VLOOKUP(Table3[[#This Row],[Ticket]],Table1[],17,FALSE)),"",VLOOKUP(Table3[[#This Row],[Ticket]],Table1[],17,FALSE))</f>
        <v/>
      </c>
      <c r="O1389" s="128" t="str">
        <f>IF(Table3[[#This Row],[Actual End Date]]="","",TEXT(Table3[[#This Row],[Actual End Date]],"mmm-yy"))</f>
        <v/>
      </c>
    </row>
    <row r="1390" spans="2:15">
      <c r="B1390" s="64"/>
      <c r="C1390" s="64"/>
      <c r="D1390" s="64"/>
      <c r="E1390" s="64"/>
      <c r="F1390" s="64"/>
      <c r="G1390" s="64"/>
      <c r="H1390" s="64"/>
      <c r="I1390" s="64"/>
      <c r="J1390" s="64"/>
      <c r="K1390" s="64"/>
      <c r="L1390" s="64"/>
      <c r="M1390" s="64"/>
      <c r="N1390" s="127" t="str">
        <f>IF(ISNA(VLOOKUP(Table3[[#This Row],[Ticket]],Table1[],17,FALSE)),"",VLOOKUP(Table3[[#This Row],[Ticket]],Table1[],17,FALSE))</f>
        <v/>
      </c>
      <c r="O1390" s="128" t="str">
        <f>IF(Table3[[#This Row],[Actual End Date]]="","",TEXT(Table3[[#This Row],[Actual End Date]],"mmm-yy"))</f>
        <v/>
      </c>
    </row>
    <row r="1391" spans="2:15">
      <c r="B1391" s="64"/>
      <c r="C1391" s="64"/>
      <c r="D1391" s="64"/>
      <c r="E1391" s="64"/>
      <c r="F1391" s="64"/>
      <c r="G1391" s="64"/>
      <c r="H1391" s="64"/>
      <c r="I1391" s="64"/>
      <c r="J1391" s="64"/>
      <c r="K1391" s="64"/>
      <c r="L1391" s="64"/>
      <c r="M1391" s="64"/>
      <c r="N1391" s="127" t="str">
        <f>IF(ISNA(VLOOKUP(Table3[[#This Row],[Ticket]],Table1[],17,FALSE)),"",VLOOKUP(Table3[[#This Row],[Ticket]],Table1[],17,FALSE))</f>
        <v/>
      </c>
      <c r="O1391" s="128" t="str">
        <f>IF(Table3[[#This Row],[Actual End Date]]="","",TEXT(Table3[[#This Row],[Actual End Date]],"mmm-yy"))</f>
        <v/>
      </c>
    </row>
    <row r="1392" spans="2:15">
      <c r="B1392" s="64"/>
      <c r="C1392" s="64"/>
      <c r="D1392" s="64"/>
      <c r="E1392" s="64"/>
      <c r="F1392" s="64"/>
      <c r="G1392" s="64"/>
      <c r="H1392" s="64"/>
      <c r="I1392" s="64"/>
      <c r="J1392" s="64"/>
      <c r="K1392" s="64"/>
      <c r="L1392" s="64"/>
      <c r="M1392" s="64"/>
      <c r="N1392" s="127" t="str">
        <f>IF(ISNA(VLOOKUP(Table3[[#This Row],[Ticket]],Table1[],17,FALSE)),"",VLOOKUP(Table3[[#This Row],[Ticket]],Table1[],17,FALSE))</f>
        <v/>
      </c>
      <c r="O1392" s="128" t="str">
        <f>IF(Table3[[#This Row],[Actual End Date]]="","",TEXT(Table3[[#This Row],[Actual End Date]],"mmm-yy"))</f>
        <v/>
      </c>
    </row>
    <row r="1393" spans="2:15">
      <c r="B1393" s="64"/>
      <c r="C1393" s="64"/>
      <c r="D1393" s="64"/>
      <c r="E1393" s="64"/>
      <c r="F1393" s="64"/>
      <c r="G1393" s="64"/>
      <c r="H1393" s="64"/>
      <c r="I1393" s="64"/>
      <c r="J1393" s="64"/>
      <c r="K1393" s="64"/>
      <c r="L1393" s="64"/>
      <c r="M1393" s="64"/>
      <c r="N1393" s="127" t="str">
        <f>IF(ISNA(VLOOKUP(Table3[[#This Row],[Ticket]],Table1[],17,FALSE)),"",VLOOKUP(Table3[[#This Row],[Ticket]],Table1[],17,FALSE))</f>
        <v/>
      </c>
      <c r="O1393" s="128" t="str">
        <f>IF(Table3[[#This Row],[Actual End Date]]="","",TEXT(Table3[[#This Row],[Actual End Date]],"mmm-yy"))</f>
        <v/>
      </c>
    </row>
    <row r="1394" spans="2:15">
      <c r="B1394" s="64"/>
      <c r="C1394" s="64"/>
      <c r="D1394" s="64"/>
      <c r="E1394" s="64"/>
      <c r="F1394" s="64"/>
      <c r="G1394" s="64"/>
      <c r="H1394" s="64"/>
      <c r="I1394" s="64"/>
      <c r="J1394" s="64"/>
      <c r="K1394" s="64"/>
      <c r="L1394" s="64"/>
      <c r="M1394" s="64"/>
      <c r="N1394" s="127" t="str">
        <f>IF(ISNA(VLOOKUP(Table3[[#This Row],[Ticket]],Table1[],17,FALSE)),"",VLOOKUP(Table3[[#This Row],[Ticket]],Table1[],17,FALSE))</f>
        <v/>
      </c>
      <c r="O1394" s="128" t="str">
        <f>IF(Table3[[#This Row],[Actual End Date]]="","",TEXT(Table3[[#This Row],[Actual End Date]],"mmm-yy"))</f>
        <v/>
      </c>
    </row>
    <row r="1395" spans="2:15">
      <c r="B1395" s="64"/>
      <c r="C1395" s="64"/>
      <c r="D1395" s="64"/>
      <c r="E1395" s="64"/>
      <c r="F1395" s="64"/>
      <c r="G1395" s="64"/>
      <c r="H1395" s="64"/>
      <c r="I1395" s="64"/>
      <c r="J1395" s="64"/>
      <c r="K1395" s="64"/>
      <c r="L1395" s="64"/>
      <c r="M1395" s="64"/>
      <c r="N1395" s="127" t="str">
        <f>IF(ISNA(VLOOKUP(Table3[[#This Row],[Ticket]],Table1[],17,FALSE)),"",VLOOKUP(Table3[[#This Row],[Ticket]],Table1[],17,FALSE))</f>
        <v/>
      </c>
      <c r="O1395" s="128" t="str">
        <f>IF(Table3[[#This Row],[Actual End Date]]="","",TEXT(Table3[[#This Row],[Actual End Date]],"mmm-yy"))</f>
        <v/>
      </c>
    </row>
    <row r="1396" spans="2:15">
      <c r="B1396" s="64"/>
      <c r="C1396" s="64"/>
      <c r="D1396" s="64"/>
      <c r="E1396" s="64"/>
      <c r="F1396" s="64"/>
      <c r="G1396" s="64"/>
      <c r="H1396" s="64"/>
      <c r="I1396" s="64"/>
      <c r="J1396" s="64"/>
      <c r="K1396" s="64"/>
      <c r="L1396" s="64"/>
      <c r="M1396" s="64"/>
      <c r="N1396" s="127" t="str">
        <f>IF(ISNA(VLOOKUP(Table3[[#This Row],[Ticket]],Table1[],17,FALSE)),"",VLOOKUP(Table3[[#This Row],[Ticket]],Table1[],17,FALSE))</f>
        <v/>
      </c>
      <c r="O1396" s="128" t="str">
        <f>IF(Table3[[#This Row],[Actual End Date]]="","",TEXT(Table3[[#This Row],[Actual End Date]],"mmm-yy"))</f>
        <v/>
      </c>
    </row>
    <row r="1397" spans="2:15">
      <c r="B1397" s="64"/>
      <c r="C1397" s="64"/>
      <c r="D1397" s="64"/>
      <c r="E1397" s="64"/>
      <c r="F1397" s="64"/>
      <c r="G1397" s="64"/>
      <c r="H1397" s="64"/>
      <c r="I1397" s="64"/>
      <c r="J1397" s="64"/>
      <c r="K1397" s="64"/>
      <c r="L1397" s="64"/>
      <c r="M1397" s="64"/>
      <c r="N1397" s="127" t="str">
        <f>IF(ISNA(VLOOKUP(Table3[[#This Row],[Ticket]],Table1[],17,FALSE)),"",VLOOKUP(Table3[[#This Row],[Ticket]],Table1[],17,FALSE))</f>
        <v/>
      </c>
      <c r="O1397" s="128" t="str">
        <f>IF(Table3[[#This Row],[Actual End Date]]="","",TEXT(Table3[[#This Row],[Actual End Date]],"mmm-yy"))</f>
        <v/>
      </c>
    </row>
    <row r="1398" spans="2:15">
      <c r="B1398" s="64"/>
      <c r="C1398" s="64"/>
      <c r="D1398" s="64"/>
      <c r="E1398" s="64"/>
      <c r="F1398" s="64"/>
      <c r="G1398" s="64"/>
      <c r="H1398" s="64"/>
      <c r="I1398" s="64"/>
      <c r="J1398" s="64"/>
      <c r="K1398" s="64"/>
      <c r="L1398" s="64"/>
      <c r="M1398" s="64"/>
      <c r="N1398" s="127" t="str">
        <f>IF(ISNA(VLOOKUP(Table3[[#This Row],[Ticket]],Table1[],17,FALSE)),"",VLOOKUP(Table3[[#This Row],[Ticket]],Table1[],17,FALSE))</f>
        <v/>
      </c>
      <c r="O1398" s="128" t="str">
        <f>IF(Table3[[#This Row],[Actual End Date]]="","",TEXT(Table3[[#This Row],[Actual End Date]],"mmm-yy"))</f>
        <v/>
      </c>
    </row>
    <row r="1399" spans="2:15">
      <c r="B1399" s="64"/>
      <c r="C1399" s="64"/>
      <c r="D1399" s="64"/>
      <c r="E1399" s="64"/>
      <c r="F1399" s="64"/>
      <c r="G1399" s="64"/>
      <c r="H1399" s="64"/>
      <c r="I1399" s="64"/>
      <c r="J1399" s="64"/>
      <c r="K1399" s="64"/>
      <c r="L1399" s="64"/>
      <c r="M1399" s="64"/>
      <c r="N1399" s="127" t="str">
        <f>IF(ISNA(VLOOKUP(Table3[[#This Row],[Ticket]],Table1[],17,FALSE)),"",VLOOKUP(Table3[[#This Row],[Ticket]],Table1[],17,FALSE))</f>
        <v/>
      </c>
      <c r="O1399" s="128" t="str">
        <f>IF(Table3[[#This Row],[Actual End Date]]="","",TEXT(Table3[[#This Row],[Actual End Date]],"mmm-yy"))</f>
        <v/>
      </c>
    </row>
    <row r="1400" spans="2:15">
      <c r="B1400" s="64"/>
      <c r="C1400" s="64"/>
      <c r="D1400" s="64"/>
      <c r="E1400" s="64"/>
      <c r="F1400" s="64"/>
      <c r="G1400" s="64"/>
      <c r="H1400" s="64"/>
      <c r="I1400" s="64"/>
      <c r="J1400" s="64"/>
      <c r="K1400" s="64"/>
      <c r="L1400" s="64"/>
      <c r="M1400" s="64"/>
      <c r="N1400" s="127" t="str">
        <f>IF(ISNA(VLOOKUP(Table3[[#This Row],[Ticket]],Table1[],17,FALSE)),"",VLOOKUP(Table3[[#This Row],[Ticket]],Table1[],17,FALSE))</f>
        <v/>
      </c>
      <c r="O1400" s="128" t="str">
        <f>IF(Table3[[#This Row],[Actual End Date]]="","",TEXT(Table3[[#This Row],[Actual End Date]],"mmm-yy"))</f>
        <v/>
      </c>
    </row>
    <row r="1401" spans="2:15">
      <c r="B1401" s="64"/>
      <c r="C1401" s="64"/>
      <c r="D1401" s="64"/>
      <c r="E1401" s="64"/>
      <c r="F1401" s="64"/>
      <c r="G1401" s="64"/>
      <c r="H1401" s="64"/>
      <c r="I1401" s="64"/>
      <c r="J1401" s="64"/>
      <c r="K1401" s="64"/>
      <c r="L1401" s="64"/>
      <c r="M1401" s="64"/>
      <c r="N1401" s="127" t="str">
        <f>IF(ISNA(VLOOKUP(Table3[[#This Row],[Ticket]],Table1[],17,FALSE)),"",VLOOKUP(Table3[[#This Row],[Ticket]],Table1[],17,FALSE))</f>
        <v/>
      </c>
      <c r="O1401" s="128" t="str">
        <f>IF(Table3[[#This Row],[Actual End Date]]="","",TEXT(Table3[[#This Row],[Actual End Date]],"mmm-yy"))</f>
        <v/>
      </c>
    </row>
    <row r="1402" spans="2:15">
      <c r="B1402" s="64"/>
      <c r="C1402" s="64"/>
      <c r="D1402" s="64"/>
      <c r="E1402" s="64"/>
      <c r="F1402" s="64"/>
      <c r="G1402" s="64"/>
      <c r="H1402" s="64"/>
      <c r="I1402" s="64"/>
      <c r="J1402" s="64"/>
      <c r="K1402" s="64"/>
      <c r="L1402" s="64"/>
      <c r="M1402" s="64"/>
      <c r="N1402" s="127" t="str">
        <f>IF(ISNA(VLOOKUP(Table3[[#This Row],[Ticket]],Table1[],17,FALSE)),"",VLOOKUP(Table3[[#This Row],[Ticket]],Table1[],17,FALSE))</f>
        <v/>
      </c>
      <c r="O1402" s="128" t="str">
        <f>IF(Table3[[#This Row],[Actual End Date]]="","",TEXT(Table3[[#This Row],[Actual End Date]],"mmm-yy"))</f>
        <v/>
      </c>
    </row>
    <row r="1403" spans="2:15">
      <c r="B1403" s="64"/>
      <c r="C1403" s="64"/>
      <c r="D1403" s="64"/>
      <c r="E1403" s="64"/>
      <c r="F1403" s="64"/>
      <c r="G1403" s="64"/>
      <c r="H1403" s="64"/>
      <c r="I1403" s="64"/>
      <c r="J1403" s="64"/>
      <c r="K1403" s="64"/>
      <c r="L1403" s="64"/>
      <c r="M1403" s="64"/>
      <c r="N1403" s="127" t="str">
        <f>IF(ISNA(VLOOKUP(Table3[[#This Row],[Ticket]],Table1[],17,FALSE)),"",VLOOKUP(Table3[[#This Row],[Ticket]],Table1[],17,FALSE))</f>
        <v/>
      </c>
      <c r="O1403" s="128" t="str">
        <f>IF(Table3[[#This Row],[Actual End Date]]="","",TEXT(Table3[[#This Row],[Actual End Date]],"mmm-yy"))</f>
        <v/>
      </c>
    </row>
    <row r="1404" spans="2:15">
      <c r="B1404" s="64"/>
      <c r="C1404" s="64"/>
      <c r="D1404" s="64"/>
      <c r="E1404" s="64"/>
      <c r="F1404" s="64"/>
      <c r="G1404" s="64"/>
      <c r="H1404" s="64"/>
      <c r="I1404" s="64"/>
      <c r="J1404" s="64"/>
      <c r="K1404" s="64"/>
      <c r="L1404" s="64"/>
      <c r="M1404" s="64"/>
      <c r="N1404" s="127" t="str">
        <f>IF(ISNA(VLOOKUP(Table3[[#This Row],[Ticket]],Table1[],17,FALSE)),"",VLOOKUP(Table3[[#This Row],[Ticket]],Table1[],17,FALSE))</f>
        <v/>
      </c>
      <c r="O1404" s="128" t="str">
        <f>IF(Table3[[#This Row],[Actual End Date]]="","",TEXT(Table3[[#This Row],[Actual End Date]],"mmm-yy"))</f>
        <v/>
      </c>
    </row>
    <row r="1405" spans="2:15">
      <c r="B1405" s="64"/>
      <c r="C1405" s="64"/>
      <c r="D1405" s="64"/>
      <c r="E1405" s="64"/>
      <c r="F1405" s="64"/>
      <c r="G1405" s="64"/>
      <c r="H1405" s="64"/>
      <c r="I1405" s="64"/>
      <c r="J1405" s="64"/>
      <c r="K1405" s="64"/>
      <c r="L1405" s="64"/>
      <c r="M1405" s="64"/>
      <c r="N1405" s="127" t="str">
        <f>IF(ISNA(VLOOKUP(Table3[[#This Row],[Ticket]],Table1[],17,FALSE)),"",VLOOKUP(Table3[[#This Row],[Ticket]],Table1[],17,FALSE))</f>
        <v/>
      </c>
      <c r="O1405" s="128" t="str">
        <f>IF(Table3[[#This Row],[Actual End Date]]="","",TEXT(Table3[[#This Row],[Actual End Date]],"mmm-yy"))</f>
        <v/>
      </c>
    </row>
    <row r="1406" spans="2:15">
      <c r="B1406" s="64"/>
      <c r="C1406" s="64"/>
      <c r="D1406" s="64"/>
      <c r="E1406" s="64"/>
      <c r="F1406" s="64"/>
      <c r="G1406" s="64"/>
      <c r="H1406" s="64"/>
      <c r="I1406" s="64"/>
      <c r="J1406" s="64"/>
      <c r="K1406" s="64"/>
      <c r="L1406" s="64"/>
      <c r="M1406" s="64"/>
      <c r="N1406" s="127" t="str">
        <f>IF(ISNA(VLOOKUP(Table3[[#This Row],[Ticket]],Table1[],17,FALSE)),"",VLOOKUP(Table3[[#This Row],[Ticket]],Table1[],17,FALSE))</f>
        <v/>
      </c>
      <c r="O1406" s="128" t="str">
        <f>IF(Table3[[#This Row],[Actual End Date]]="","",TEXT(Table3[[#This Row],[Actual End Date]],"mmm-yy"))</f>
        <v/>
      </c>
    </row>
    <row r="1407" spans="2:15">
      <c r="B1407" s="64"/>
      <c r="C1407" s="64"/>
      <c r="D1407" s="64"/>
      <c r="E1407" s="64"/>
      <c r="F1407" s="64"/>
      <c r="G1407" s="64"/>
      <c r="H1407" s="64"/>
      <c r="I1407" s="64"/>
      <c r="J1407" s="64"/>
      <c r="K1407" s="64"/>
      <c r="L1407" s="64"/>
      <c r="M1407" s="64"/>
      <c r="N1407" s="127" t="str">
        <f>IF(ISNA(VLOOKUP(Table3[[#This Row],[Ticket]],Table1[],17,FALSE)),"",VLOOKUP(Table3[[#This Row],[Ticket]],Table1[],17,FALSE))</f>
        <v/>
      </c>
      <c r="O1407" s="128" t="str">
        <f>IF(Table3[[#This Row],[Actual End Date]]="","",TEXT(Table3[[#This Row],[Actual End Date]],"mmm-yy"))</f>
        <v/>
      </c>
    </row>
    <row r="1408" spans="2:15">
      <c r="B1408" s="64"/>
      <c r="C1408" s="64"/>
      <c r="D1408" s="64"/>
      <c r="E1408" s="64"/>
      <c r="F1408" s="64"/>
      <c r="G1408" s="64"/>
      <c r="H1408" s="64"/>
      <c r="I1408" s="64"/>
      <c r="J1408" s="64"/>
      <c r="K1408" s="64"/>
      <c r="L1408" s="64"/>
      <c r="M1408" s="64"/>
      <c r="N1408" s="127" t="str">
        <f>IF(ISNA(VLOOKUP(Table3[[#This Row],[Ticket]],Table1[],17,FALSE)),"",VLOOKUP(Table3[[#This Row],[Ticket]],Table1[],17,FALSE))</f>
        <v/>
      </c>
      <c r="O1408" s="128" t="str">
        <f>IF(Table3[[#This Row],[Actual End Date]]="","",TEXT(Table3[[#This Row],[Actual End Date]],"mmm-yy"))</f>
        <v/>
      </c>
    </row>
    <row r="1409" spans="2:15">
      <c r="B1409" s="64"/>
      <c r="C1409" s="64"/>
      <c r="D1409" s="64"/>
      <c r="E1409" s="64"/>
      <c r="F1409" s="64"/>
      <c r="G1409" s="64"/>
      <c r="H1409" s="64"/>
      <c r="I1409" s="64"/>
      <c r="J1409" s="64"/>
      <c r="K1409" s="64"/>
      <c r="L1409" s="64"/>
      <c r="M1409" s="64"/>
      <c r="N1409" s="127" t="str">
        <f>IF(ISNA(VLOOKUP(Table3[[#This Row],[Ticket]],Table1[],17,FALSE)),"",VLOOKUP(Table3[[#This Row],[Ticket]],Table1[],17,FALSE))</f>
        <v/>
      </c>
      <c r="O1409" s="128" t="str">
        <f>IF(Table3[[#This Row],[Actual End Date]]="","",TEXT(Table3[[#This Row],[Actual End Date]],"mmm-yy"))</f>
        <v/>
      </c>
    </row>
    <row r="1410" spans="2:15">
      <c r="B1410" s="64"/>
      <c r="C1410" s="64"/>
      <c r="D1410" s="64"/>
      <c r="E1410" s="64"/>
      <c r="F1410" s="64"/>
      <c r="G1410" s="64"/>
      <c r="H1410" s="64"/>
      <c r="I1410" s="64"/>
      <c r="J1410" s="64"/>
      <c r="K1410" s="64"/>
      <c r="L1410" s="64"/>
      <c r="M1410" s="64"/>
      <c r="N1410" s="127" t="str">
        <f>IF(ISNA(VLOOKUP(Table3[[#This Row],[Ticket]],Table1[],17,FALSE)),"",VLOOKUP(Table3[[#This Row],[Ticket]],Table1[],17,FALSE))</f>
        <v/>
      </c>
      <c r="O1410" s="128" t="str">
        <f>IF(Table3[[#This Row],[Actual End Date]]="","",TEXT(Table3[[#This Row],[Actual End Date]],"mmm-yy"))</f>
        <v/>
      </c>
    </row>
    <row r="1411" spans="2:15">
      <c r="B1411" s="64"/>
      <c r="C1411" s="64"/>
      <c r="D1411" s="64"/>
      <c r="E1411" s="64"/>
      <c r="F1411" s="64"/>
      <c r="G1411" s="64"/>
      <c r="H1411" s="64"/>
      <c r="I1411" s="64"/>
      <c r="J1411" s="64"/>
      <c r="K1411" s="64"/>
      <c r="L1411" s="64"/>
      <c r="M1411" s="64"/>
      <c r="N1411" s="127" t="str">
        <f>IF(ISNA(VLOOKUP(Table3[[#This Row],[Ticket]],Table1[],17,FALSE)),"",VLOOKUP(Table3[[#This Row],[Ticket]],Table1[],17,FALSE))</f>
        <v/>
      </c>
      <c r="O1411" s="128" t="str">
        <f>IF(Table3[[#This Row],[Actual End Date]]="","",TEXT(Table3[[#This Row],[Actual End Date]],"mmm-yy"))</f>
        <v/>
      </c>
    </row>
    <row r="1412" spans="2:15">
      <c r="B1412" s="64"/>
      <c r="C1412" s="64"/>
      <c r="D1412" s="64"/>
      <c r="E1412" s="64"/>
      <c r="F1412" s="64"/>
      <c r="G1412" s="64"/>
      <c r="H1412" s="64"/>
      <c r="I1412" s="64"/>
      <c r="J1412" s="64"/>
      <c r="K1412" s="64"/>
      <c r="L1412" s="64"/>
      <c r="M1412" s="64"/>
      <c r="N1412" s="127" t="str">
        <f>IF(ISNA(VLOOKUP(Table3[[#This Row],[Ticket]],Table1[],17,FALSE)),"",VLOOKUP(Table3[[#This Row],[Ticket]],Table1[],17,FALSE))</f>
        <v/>
      </c>
      <c r="O1412" s="128" t="str">
        <f>IF(Table3[[#This Row],[Actual End Date]]="","",TEXT(Table3[[#This Row],[Actual End Date]],"mmm-yy"))</f>
        <v/>
      </c>
    </row>
    <row r="1413" spans="2:15">
      <c r="B1413" s="64"/>
      <c r="C1413" s="64"/>
      <c r="D1413" s="64"/>
      <c r="E1413" s="64"/>
      <c r="F1413" s="64"/>
      <c r="G1413" s="64"/>
      <c r="H1413" s="64"/>
      <c r="I1413" s="64"/>
      <c r="J1413" s="64"/>
      <c r="K1413" s="64"/>
      <c r="L1413" s="64"/>
      <c r="M1413" s="64"/>
      <c r="N1413" s="127" t="str">
        <f>IF(ISNA(VLOOKUP(Table3[[#This Row],[Ticket]],Table1[],17,FALSE)),"",VLOOKUP(Table3[[#This Row],[Ticket]],Table1[],17,FALSE))</f>
        <v/>
      </c>
      <c r="O1413" s="128" t="str">
        <f>IF(Table3[[#This Row],[Actual End Date]]="","",TEXT(Table3[[#This Row],[Actual End Date]],"mmm-yy"))</f>
        <v/>
      </c>
    </row>
    <row r="1414" spans="2:15">
      <c r="B1414" s="64"/>
      <c r="C1414" s="64"/>
      <c r="D1414" s="64"/>
      <c r="E1414" s="64"/>
      <c r="F1414" s="64"/>
      <c r="G1414" s="64"/>
      <c r="H1414" s="64"/>
      <c r="I1414" s="64"/>
      <c r="J1414" s="64"/>
      <c r="K1414" s="64"/>
      <c r="L1414" s="64"/>
      <c r="M1414" s="64"/>
      <c r="N1414" s="127" t="str">
        <f>IF(ISNA(VLOOKUP(Table3[[#This Row],[Ticket]],Table1[],17,FALSE)),"",VLOOKUP(Table3[[#This Row],[Ticket]],Table1[],17,FALSE))</f>
        <v/>
      </c>
      <c r="O1414" s="128" t="str">
        <f>IF(Table3[[#This Row],[Actual End Date]]="","",TEXT(Table3[[#This Row],[Actual End Date]],"mmm-yy"))</f>
        <v/>
      </c>
    </row>
    <row r="1415" spans="2:15">
      <c r="B1415" s="64"/>
      <c r="C1415" s="64"/>
      <c r="D1415" s="64"/>
      <c r="E1415" s="64"/>
      <c r="F1415" s="64"/>
      <c r="G1415" s="64"/>
      <c r="H1415" s="64"/>
      <c r="I1415" s="64"/>
      <c r="J1415" s="64"/>
      <c r="K1415" s="64"/>
      <c r="L1415" s="64"/>
      <c r="M1415" s="64"/>
      <c r="N1415" s="127" t="str">
        <f>IF(ISNA(VLOOKUP(Table3[[#This Row],[Ticket]],Table1[],17,FALSE)),"",VLOOKUP(Table3[[#This Row],[Ticket]],Table1[],17,FALSE))</f>
        <v/>
      </c>
      <c r="O1415" s="128" t="str">
        <f>IF(Table3[[#This Row],[Actual End Date]]="","",TEXT(Table3[[#This Row],[Actual End Date]],"mmm-yy"))</f>
        <v/>
      </c>
    </row>
    <row r="1416" spans="2:15">
      <c r="B1416" s="64"/>
      <c r="C1416" s="64"/>
      <c r="D1416" s="64"/>
      <c r="E1416" s="64"/>
      <c r="F1416" s="64"/>
      <c r="G1416" s="64"/>
      <c r="H1416" s="64"/>
      <c r="I1416" s="64"/>
      <c r="J1416" s="64"/>
      <c r="K1416" s="64"/>
      <c r="L1416" s="64"/>
      <c r="M1416" s="64"/>
      <c r="N1416" s="127" t="str">
        <f>IF(ISNA(VLOOKUP(Table3[[#This Row],[Ticket]],Table1[],17,FALSE)),"",VLOOKUP(Table3[[#This Row],[Ticket]],Table1[],17,FALSE))</f>
        <v/>
      </c>
      <c r="O1416" s="128" t="str">
        <f>IF(Table3[[#This Row],[Actual End Date]]="","",TEXT(Table3[[#This Row],[Actual End Date]],"mmm-yy"))</f>
        <v/>
      </c>
    </row>
    <row r="1417" spans="2:15">
      <c r="B1417" s="64"/>
      <c r="C1417" s="64"/>
      <c r="D1417" s="64"/>
      <c r="E1417" s="64"/>
      <c r="F1417" s="64"/>
      <c r="G1417" s="64"/>
      <c r="H1417" s="64"/>
      <c r="I1417" s="64"/>
      <c r="J1417" s="64"/>
      <c r="K1417" s="64"/>
      <c r="L1417" s="64"/>
      <c r="M1417" s="64"/>
      <c r="N1417" s="127" t="str">
        <f>IF(ISNA(VLOOKUP(Table3[[#This Row],[Ticket]],Table1[],17,FALSE)),"",VLOOKUP(Table3[[#This Row],[Ticket]],Table1[],17,FALSE))</f>
        <v/>
      </c>
      <c r="O1417" s="128" t="str">
        <f>IF(Table3[[#This Row],[Actual End Date]]="","",TEXT(Table3[[#This Row],[Actual End Date]],"mmm-yy"))</f>
        <v/>
      </c>
    </row>
    <row r="1418" spans="2:15">
      <c r="B1418" s="64"/>
      <c r="C1418" s="64"/>
      <c r="D1418" s="64"/>
      <c r="E1418" s="64"/>
      <c r="F1418" s="64"/>
      <c r="G1418" s="64"/>
      <c r="H1418" s="64"/>
      <c r="I1418" s="64"/>
      <c r="J1418" s="64"/>
      <c r="K1418" s="64"/>
      <c r="L1418" s="64"/>
      <c r="M1418" s="64"/>
      <c r="N1418" s="127" t="str">
        <f>IF(ISNA(VLOOKUP(Table3[[#This Row],[Ticket]],Table1[],17,FALSE)),"",VLOOKUP(Table3[[#This Row],[Ticket]],Table1[],17,FALSE))</f>
        <v/>
      </c>
      <c r="O1418" s="128" t="str">
        <f>IF(Table3[[#This Row],[Actual End Date]]="","",TEXT(Table3[[#This Row],[Actual End Date]],"mmm-yy"))</f>
        <v/>
      </c>
    </row>
    <row r="1419" spans="2:15">
      <c r="B1419" s="64"/>
      <c r="C1419" s="64"/>
      <c r="D1419" s="64"/>
      <c r="E1419" s="64"/>
      <c r="F1419" s="64"/>
      <c r="G1419" s="64"/>
      <c r="H1419" s="64"/>
      <c r="I1419" s="64"/>
      <c r="J1419" s="64"/>
      <c r="K1419" s="64"/>
      <c r="L1419" s="64"/>
      <c r="M1419" s="64"/>
      <c r="N1419" s="127" t="str">
        <f>IF(ISNA(VLOOKUP(Table3[[#This Row],[Ticket]],Table1[],17,FALSE)),"",VLOOKUP(Table3[[#This Row],[Ticket]],Table1[],17,FALSE))</f>
        <v/>
      </c>
      <c r="O1419" s="128" t="str">
        <f>IF(Table3[[#This Row],[Actual End Date]]="","",TEXT(Table3[[#This Row],[Actual End Date]],"mmm-yy"))</f>
        <v/>
      </c>
    </row>
    <row r="1420" spans="2:15">
      <c r="B1420" s="64"/>
      <c r="C1420" s="64"/>
      <c r="D1420" s="64"/>
      <c r="E1420" s="64"/>
      <c r="F1420" s="64"/>
      <c r="G1420" s="64"/>
      <c r="H1420" s="64"/>
      <c r="I1420" s="64"/>
      <c r="J1420" s="64"/>
      <c r="K1420" s="64"/>
      <c r="L1420" s="64"/>
      <c r="M1420" s="64"/>
      <c r="N1420" s="127" t="str">
        <f>IF(ISNA(VLOOKUP(Table3[[#This Row],[Ticket]],Table1[],17,FALSE)),"",VLOOKUP(Table3[[#This Row],[Ticket]],Table1[],17,FALSE))</f>
        <v/>
      </c>
      <c r="O1420" s="128" t="str">
        <f>IF(Table3[[#This Row],[Actual End Date]]="","",TEXT(Table3[[#This Row],[Actual End Date]],"mmm-yy"))</f>
        <v/>
      </c>
    </row>
    <row r="1421" spans="2:15">
      <c r="B1421" s="64"/>
      <c r="C1421" s="64"/>
      <c r="D1421" s="64"/>
      <c r="E1421" s="64"/>
      <c r="F1421" s="64"/>
      <c r="G1421" s="64"/>
      <c r="H1421" s="64"/>
      <c r="I1421" s="64"/>
      <c r="J1421" s="64"/>
      <c r="K1421" s="64"/>
      <c r="L1421" s="64"/>
      <c r="M1421" s="64"/>
      <c r="N1421" s="127" t="str">
        <f>IF(ISNA(VLOOKUP(Table3[[#This Row],[Ticket]],Table1[],17,FALSE)),"",VLOOKUP(Table3[[#This Row],[Ticket]],Table1[],17,FALSE))</f>
        <v/>
      </c>
      <c r="O1421" s="128" t="str">
        <f>IF(Table3[[#This Row],[Actual End Date]]="","",TEXT(Table3[[#This Row],[Actual End Date]],"mmm-yy"))</f>
        <v/>
      </c>
    </row>
    <row r="1422" spans="2:15">
      <c r="B1422" s="64"/>
      <c r="C1422" s="64"/>
      <c r="D1422" s="64"/>
      <c r="E1422" s="64"/>
      <c r="F1422" s="64"/>
      <c r="G1422" s="64"/>
      <c r="H1422" s="64"/>
      <c r="I1422" s="64"/>
      <c r="J1422" s="64"/>
      <c r="K1422" s="64"/>
      <c r="L1422" s="64"/>
      <c r="M1422" s="64"/>
      <c r="N1422" s="127" t="str">
        <f>IF(ISNA(VLOOKUP(Table3[[#This Row],[Ticket]],Table1[],17,FALSE)),"",VLOOKUP(Table3[[#This Row],[Ticket]],Table1[],17,FALSE))</f>
        <v/>
      </c>
      <c r="O1422" s="128" t="str">
        <f>IF(Table3[[#This Row],[Actual End Date]]="","",TEXT(Table3[[#This Row],[Actual End Date]],"mmm-yy"))</f>
        <v/>
      </c>
    </row>
    <row r="1423" spans="2:15">
      <c r="B1423" s="64"/>
      <c r="C1423" s="64"/>
      <c r="D1423" s="64"/>
      <c r="E1423" s="64"/>
      <c r="F1423" s="64"/>
      <c r="G1423" s="64"/>
      <c r="H1423" s="64"/>
      <c r="I1423" s="64"/>
      <c r="J1423" s="64"/>
      <c r="K1423" s="64"/>
      <c r="L1423" s="64"/>
      <c r="M1423" s="64"/>
      <c r="N1423" s="127" t="str">
        <f>IF(ISNA(VLOOKUP(Table3[[#This Row],[Ticket]],Table1[],17,FALSE)),"",VLOOKUP(Table3[[#This Row],[Ticket]],Table1[],17,FALSE))</f>
        <v/>
      </c>
      <c r="O1423" s="128" t="str">
        <f>IF(Table3[[#This Row],[Actual End Date]]="","",TEXT(Table3[[#This Row],[Actual End Date]],"mmm-yy"))</f>
        <v/>
      </c>
    </row>
    <row r="1424" spans="2:15">
      <c r="B1424" s="64"/>
      <c r="C1424" s="64"/>
      <c r="D1424" s="64"/>
      <c r="E1424" s="64"/>
      <c r="F1424" s="64"/>
      <c r="G1424" s="64"/>
      <c r="H1424" s="64"/>
      <c r="I1424" s="64"/>
      <c r="J1424" s="64"/>
      <c r="K1424" s="64"/>
      <c r="L1424" s="64"/>
      <c r="M1424" s="64"/>
      <c r="N1424" s="127" t="str">
        <f>IF(ISNA(VLOOKUP(Table3[[#This Row],[Ticket]],Table1[],17,FALSE)),"",VLOOKUP(Table3[[#This Row],[Ticket]],Table1[],17,FALSE))</f>
        <v/>
      </c>
      <c r="O1424" s="128" t="str">
        <f>IF(Table3[[#This Row],[Actual End Date]]="","",TEXT(Table3[[#This Row],[Actual End Date]],"mmm-yy"))</f>
        <v/>
      </c>
    </row>
    <row r="1425" spans="2:15">
      <c r="B1425" s="64"/>
      <c r="C1425" s="64"/>
      <c r="D1425" s="64"/>
      <c r="E1425" s="64"/>
      <c r="F1425" s="64"/>
      <c r="G1425" s="64"/>
      <c r="H1425" s="64"/>
      <c r="I1425" s="64"/>
      <c r="J1425" s="64"/>
      <c r="K1425" s="64"/>
      <c r="L1425" s="64"/>
      <c r="M1425" s="64"/>
      <c r="N1425" s="127" t="str">
        <f>IF(ISNA(VLOOKUP(Table3[[#This Row],[Ticket]],Table1[],17,FALSE)),"",VLOOKUP(Table3[[#This Row],[Ticket]],Table1[],17,FALSE))</f>
        <v/>
      </c>
      <c r="O1425" s="128" t="str">
        <f>IF(Table3[[#This Row],[Actual End Date]]="","",TEXT(Table3[[#This Row],[Actual End Date]],"mmm-yy"))</f>
        <v/>
      </c>
    </row>
    <row r="1426" spans="2:15">
      <c r="B1426" s="64"/>
      <c r="C1426" s="64"/>
      <c r="D1426" s="64"/>
      <c r="E1426" s="64"/>
      <c r="F1426" s="64"/>
      <c r="G1426" s="64"/>
      <c r="H1426" s="64"/>
      <c r="I1426" s="64"/>
      <c r="J1426" s="64"/>
      <c r="K1426" s="64"/>
      <c r="L1426" s="64"/>
      <c r="M1426" s="64"/>
      <c r="N1426" s="127" t="str">
        <f>IF(ISNA(VLOOKUP(Table3[[#This Row],[Ticket]],Table1[],17,FALSE)),"",VLOOKUP(Table3[[#This Row],[Ticket]],Table1[],17,FALSE))</f>
        <v/>
      </c>
      <c r="O1426" s="128" t="str">
        <f>IF(Table3[[#This Row],[Actual End Date]]="","",TEXT(Table3[[#This Row],[Actual End Date]],"mmm-yy"))</f>
        <v/>
      </c>
    </row>
    <row r="1427" spans="2:15">
      <c r="B1427" s="64"/>
      <c r="C1427" s="64"/>
      <c r="D1427" s="64"/>
      <c r="E1427" s="64"/>
      <c r="F1427" s="64"/>
      <c r="G1427" s="64"/>
      <c r="H1427" s="64"/>
      <c r="I1427" s="64"/>
      <c r="J1427" s="64"/>
      <c r="K1427" s="64"/>
      <c r="L1427" s="64"/>
      <c r="M1427" s="64"/>
      <c r="N1427" s="127" t="str">
        <f>IF(ISNA(VLOOKUP(Table3[[#This Row],[Ticket]],Table1[],17,FALSE)),"",VLOOKUP(Table3[[#This Row],[Ticket]],Table1[],17,FALSE))</f>
        <v/>
      </c>
      <c r="O1427" s="128" t="str">
        <f>IF(Table3[[#This Row],[Actual End Date]]="","",TEXT(Table3[[#This Row],[Actual End Date]],"mmm-yy"))</f>
        <v/>
      </c>
    </row>
    <row r="1428" spans="2:15">
      <c r="B1428" s="64"/>
      <c r="C1428" s="64"/>
      <c r="D1428" s="64"/>
      <c r="E1428" s="64"/>
      <c r="F1428" s="64"/>
      <c r="G1428" s="64"/>
      <c r="H1428" s="64"/>
      <c r="I1428" s="64"/>
      <c r="J1428" s="64"/>
      <c r="K1428" s="64"/>
      <c r="L1428" s="64"/>
      <c r="M1428" s="64"/>
      <c r="N1428" s="127" t="str">
        <f>IF(ISNA(VLOOKUP(Table3[[#This Row],[Ticket]],Table1[],17,FALSE)),"",VLOOKUP(Table3[[#This Row],[Ticket]],Table1[],17,FALSE))</f>
        <v/>
      </c>
      <c r="O1428" s="128" t="str">
        <f>IF(Table3[[#This Row],[Actual End Date]]="","",TEXT(Table3[[#This Row],[Actual End Date]],"mmm-yy"))</f>
        <v/>
      </c>
    </row>
    <row r="1429" spans="2:15">
      <c r="B1429" s="64"/>
      <c r="C1429" s="64"/>
      <c r="D1429" s="64"/>
      <c r="E1429" s="64"/>
      <c r="F1429" s="64"/>
      <c r="G1429" s="64"/>
      <c r="H1429" s="64"/>
      <c r="I1429" s="64"/>
      <c r="J1429" s="64"/>
      <c r="K1429" s="64"/>
      <c r="L1429" s="64"/>
      <c r="M1429" s="64"/>
      <c r="N1429" s="127" t="str">
        <f>IF(ISNA(VLOOKUP(Table3[[#This Row],[Ticket]],Table1[],17,FALSE)),"",VLOOKUP(Table3[[#This Row],[Ticket]],Table1[],17,FALSE))</f>
        <v/>
      </c>
      <c r="O1429" s="128" t="str">
        <f>IF(Table3[[#This Row],[Actual End Date]]="","",TEXT(Table3[[#This Row],[Actual End Date]],"mmm-yy"))</f>
        <v/>
      </c>
    </row>
    <row r="1430" spans="2:15">
      <c r="B1430" s="64"/>
      <c r="C1430" s="64"/>
      <c r="D1430" s="64"/>
      <c r="E1430" s="64"/>
      <c r="F1430" s="64"/>
      <c r="G1430" s="64"/>
      <c r="H1430" s="64"/>
      <c r="I1430" s="64"/>
      <c r="J1430" s="64"/>
      <c r="K1430" s="64"/>
      <c r="L1430" s="64"/>
      <c r="M1430" s="64"/>
      <c r="N1430" s="127" t="str">
        <f>IF(ISNA(VLOOKUP(Table3[[#This Row],[Ticket]],Table1[],17,FALSE)),"",VLOOKUP(Table3[[#This Row],[Ticket]],Table1[],17,FALSE))</f>
        <v/>
      </c>
      <c r="O1430" s="128" t="str">
        <f>IF(Table3[[#This Row],[Actual End Date]]="","",TEXT(Table3[[#This Row],[Actual End Date]],"mmm-yy"))</f>
        <v/>
      </c>
    </row>
    <row r="1431" spans="2:15">
      <c r="B1431" s="64"/>
      <c r="C1431" s="64"/>
      <c r="D1431" s="64"/>
      <c r="E1431" s="64"/>
      <c r="F1431" s="64"/>
      <c r="G1431" s="64"/>
      <c r="H1431" s="64"/>
      <c r="I1431" s="64"/>
      <c r="J1431" s="64"/>
      <c r="K1431" s="64"/>
      <c r="L1431" s="64"/>
      <c r="M1431" s="64"/>
      <c r="N1431" s="127" t="str">
        <f>IF(ISNA(VLOOKUP(Table3[[#This Row],[Ticket]],Table1[],17,FALSE)),"",VLOOKUP(Table3[[#This Row],[Ticket]],Table1[],17,FALSE))</f>
        <v/>
      </c>
      <c r="O1431" s="128" t="str">
        <f>IF(Table3[[#This Row],[Actual End Date]]="","",TEXT(Table3[[#This Row],[Actual End Date]],"mmm-yy"))</f>
        <v/>
      </c>
    </row>
    <row r="1432" spans="2:15">
      <c r="B1432" s="64"/>
      <c r="C1432" s="64"/>
      <c r="D1432" s="64"/>
      <c r="E1432" s="64"/>
      <c r="F1432" s="64"/>
      <c r="G1432" s="64"/>
      <c r="H1432" s="64"/>
      <c r="I1432" s="64"/>
      <c r="J1432" s="64"/>
      <c r="K1432" s="64"/>
      <c r="L1432" s="64"/>
      <c r="M1432" s="64"/>
      <c r="N1432" s="127" t="str">
        <f>IF(ISNA(VLOOKUP(Table3[[#This Row],[Ticket]],Table1[],17,FALSE)),"",VLOOKUP(Table3[[#This Row],[Ticket]],Table1[],17,FALSE))</f>
        <v/>
      </c>
      <c r="O1432" s="128" t="str">
        <f>IF(Table3[[#This Row],[Actual End Date]]="","",TEXT(Table3[[#This Row],[Actual End Date]],"mmm-yy"))</f>
        <v/>
      </c>
    </row>
    <row r="1433" spans="2:15">
      <c r="B1433" s="64"/>
      <c r="C1433" s="64"/>
      <c r="D1433" s="64"/>
      <c r="E1433" s="64"/>
      <c r="F1433" s="64"/>
      <c r="G1433" s="64"/>
      <c r="H1433" s="64"/>
      <c r="I1433" s="64"/>
      <c r="J1433" s="64"/>
      <c r="K1433" s="64"/>
      <c r="L1433" s="64"/>
      <c r="M1433" s="64"/>
      <c r="N1433" s="127" t="str">
        <f>IF(ISNA(VLOOKUP(Table3[[#This Row],[Ticket]],Table1[],17,FALSE)),"",VLOOKUP(Table3[[#This Row],[Ticket]],Table1[],17,FALSE))</f>
        <v/>
      </c>
      <c r="O1433" s="128" t="str">
        <f>IF(Table3[[#This Row],[Actual End Date]]="","",TEXT(Table3[[#This Row],[Actual End Date]],"mmm-yy"))</f>
        <v/>
      </c>
    </row>
    <row r="1434" spans="2:15">
      <c r="B1434" s="64"/>
      <c r="C1434" s="64"/>
      <c r="D1434" s="64"/>
      <c r="E1434" s="64"/>
      <c r="F1434" s="64"/>
      <c r="G1434" s="64"/>
      <c r="H1434" s="64"/>
      <c r="I1434" s="64"/>
      <c r="J1434" s="64"/>
      <c r="K1434" s="64"/>
      <c r="L1434" s="64"/>
      <c r="M1434" s="64"/>
      <c r="N1434" s="127" t="str">
        <f>IF(ISNA(VLOOKUP(Table3[[#This Row],[Ticket]],Table1[],17,FALSE)),"",VLOOKUP(Table3[[#This Row],[Ticket]],Table1[],17,FALSE))</f>
        <v/>
      </c>
      <c r="O1434" s="128" t="str">
        <f>IF(Table3[[#This Row],[Actual End Date]]="","",TEXT(Table3[[#This Row],[Actual End Date]],"mmm-yy"))</f>
        <v/>
      </c>
    </row>
    <row r="1435" spans="2:15">
      <c r="B1435" s="64"/>
      <c r="C1435" s="64"/>
      <c r="D1435" s="64"/>
      <c r="E1435" s="64"/>
      <c r="F1435" s="64"/>
      <c r="G1435" s="64"/>
      <c r="H1435" s="64"/>
      <c r="I1435" s="64"/>
      <c r="J1435" s="64"/>
      <c r="K1435" s="64"/>
      <c r="L1435" s="64"/>
      <c r="M1435" s="64"/>
      <c r="N1435" s="127" t="str">
        <f>IF(ISNA(VLOOKUP(Table3[[#This Row],[Ticket]],Table1[],17,FALSE)),"",VLOOKUP(Table3[[#This Row],[Ticket]],Table1[],17,FALSE))</f>
        <v/>
      </c>
      <c r="O1435" s="128" t="str">
        <f>IF(Table3[[#This Row],[Actual End Date]]="","",TEXT(Table3[[#This Row],[Actual End Date]],"mmm-yy"))</f>
        <v/>
      </c>
    </row>
    <row r="1436" spans="2:15">
      <c r="B1436" s="64"/>
      <c r="C1436" s="64"/>
      <c r="D1436" s="64"/>
      <c r="E1436" s="64"/>
      <c r="F1436" s="64"/>
      <c r="G1436" s="64"/>
      <c r="H1436" s="64"/>
      <c r="I1436" s="64"/>
      <c r="J1436" s="64"/>
      <c r="K1436" s="64"/>
      <c r="L1436" s="64"/>
      <c r="M1436" s="64"/>
      <c r="N1436" s="127" t="str">
        <f>IF(ISNA(VLOOKUP(Table3[[#This Row],[Ticket]],Table1[],17,FALSE)),"",VLOOKUP(Table3[[#This Row],[Ticket]],Table1[],17,FALSE))</f>
        <v/>
      </c>
      <c r="O1436" s="128" t="str">
        <f>IF(Table3[[#This Row],[Actual End Date]]="","",TEXT(Table3[[#This Row],[Actual End Date]],"mmm-yy"))</f>
        <v/>
      </c>
    </row>
    <row r="1437" spans="2:15">
      <c r="B1437" s="64"/>
      <c r="C1437" s="64"/>
      <c r="D1437" s="64"/>
      <c r="E1437" s="64"/>
      <c r="F1437" s="64"/>
      <c r="G1437" s="64"/>
      <c r="H1437" s="64"/>
      <c r="I1437" s="64"/>
      <c r="J1437" s="64"/>
      <c r="K1437" s="64"/>
      <c r="L1437" s="64"/>
      <c r="M1437" s="64"/>
      <c r="N1437" s="127" t="str">
        <f>IF(ISNA(VLOOKUP(Table3[[#This Row],[Ticket]],Table1[],17,FALSE)),"",VLOOKUP(Table3[[#This Row],[Ticket]],Table1[],17,FALSE))</f>
        <v/>
      </c>
      <c r="O1437" s="128" t="str">
        <f>IF(Table3[[#This Row],[Actual End Date]]="","",TEXT(Table3[[#This Row],[Actual End Date]],"mmm-yy"))</f>
        <v/>
      </c>
    </row>
    <row r="1438" spans="2:15">
      <c r="B1438" s="64"/>
      <c r="C1438" s="64"/>
      <c r="D1438" s="64"/>
      <c r="E1438" s="64"/>
      <c r="F1438" s="64"/>
      <c r="G1438" s="64"/>
      <c r="H1438" s="64"/>
      <c r="I1438" s="64"/>
      <c r="J1438" s="64"/>
      <c r="K1438" s="64"/>
      <c r="L1438" s="64"/>
      <c r="M1438" s="64"/>
      <c r="N1438" s="127" t="str">
        <f>IF(ISNA(VLOOKUP(Table3[[#This Row],[Ticket]],Table1[],17,FALSE)),"",VLOOKUP(Table3[[#This Row],[Ticket]],Table1[],17,FALSE))</f>
        <v/>
      </c>
      <c r="O1438" s="128" t="str">
        <f>IF(Table3[[#This Row],[Actual End Date]]="","",TEXT(Table3[[#This Row],[Actual End Date]],"mmm-yy"))</f>
        <v/>
      </c>
    </row>
    <row r="1439" spans="2:15">
      <c r="B1439" s="64"/>
      <c r="C1439" s="64"/>
      <c r="D1439" s="64"/>
      <c r="E1439" s="64"/>
      <c r="F1439" s="64"/>
      <c r="G1439" s="64"/>
      <c r="H1439" s="64"/>
      <c r="I1439" s="64"/>
      <c r="J1439" s="64"/>
      <c r="K1439" s="64"/>
      <c r="L1439" s="64"/>
      <c r="M1439" s="64"/>
      <c r="N1439" s="127" t="str">
        <f>IF(ISNA(VLOOKUP(Table3[[#This Row],[Ticket]],Table1[],17,FALSE)),"",VLOOKUP(Table3[[#This Row],[Ticket]],Table1[],17,FALSE))</f>
        <v/>
      </c>
      <c r="O1439" s="128" t="str">
        <f>IF(Table3[[#This Row],[Actual End Date]]="","",TEXT(Table3[[#This Row],[Actual End Date]],"mmm-yy"))</f>
        <v/>
      </c>
    </row>
    <row r="1440" spans="2:15">
      <c r="B1440" s="64"/>
      <c r="C1440" s="64"/>
      <c r="D1440" s="64"/>
      <c r="E1440" s="64"/>
      <c r="F1440" s="64"/>
      <c r="G1440" s="64"/>
      <c r="H1440" s="64"/>
      <c r="I1440" s="64"/>
      <c r="J1440" s="64"/>
      <c r="K1440" s="64"/>
      <c r="L1440" s="64"/>
      <c r="M1440" s="64"/>
      <c r="N1440" s="127" t="str">
        <f>IF(ISNA(VLOOKUP(Table3[[#This Row],[Ticket]],Table1[],17,FALSE)),"",VLOOKUP(Table3[[#This Row],[Ticket]],Table1[],17,FALSE))</f>
        <v/>
      </c>
      <c r="O1440" s="128" t="str">
        <f>IF(Table3[[#This Row],[Actual End Date]]="","",TEXT(Table3[[#This Row],[Actual End Date]],"mmm-yy"))</f>
        <v/>
      </c>
    </row>
    <row r="1441" spans="2:15">
      <c r="B1441" s="64"/>
      <c r="C1441" s="64"/>
      <c r="D1441" s="64"/>
      <c r="E1441" s="64"/>
      <c r="F1441" s="64"/>
      <c r="G1441" s="64"/>
      <c r="H1441" s="64"/>
      <c r="I1441" s="64"/>
      <c r="J1441" s="64"/>
      <c r="K1441" s="64"/>
      <c r="L1441" s="64"/>
      <c r="M1441" s="64"/>
      <c r="N1441" s="127" t="str">
        <f>IF(ISNA(VLOOKUP(Table3[[#This Row],[Ticket]],Table1[],17,FALSE)),"",VLOOKUP(Table3[[#This Row],[Ticket]],Table1[],17,FALSE))</f>
        <v/>
      </c>
      <c r="O1441" s="128" t="str">
        <f>IF(Table3[[#This Row],[Actual End Date]]="","",TEXT(Table3[[#This Row],[Actual End Date]],"mmm-yy"))</f>
        <v/>
      </c>
    </row>
    <row r="1442" spans="2:15">
      <c r="B1442" s="64"/>
      <c r="C1442" s="64"/>
      <c r="D1442" s="64"/>
      <c r="E1442" s="64"/>
      <c r="F1442" s="64"/>
      <c r="G1442" s="64"/>
      <c r="H1442" s="64"/>
      <c r="I1442" s="64"/>
      <c r="J1442" s="64"/>
      <c r="K1442" s="64"/>
      <c r="L1442" s="64"/>
      <c r="M1442" s="64"/>
      <c r="N1442" s="127" t="str">
        <f>IF(ISNA(VLOOKUP(Table3[[#This Row],[Ticket]],Table1[],17,FALSE)),"",VLOOKUP(Table3[[#This Row],[Ticket]],Table1[],17,FALSE))</f>
        <v/>
      </c>
      <c r="O1442" s="128" t="str">
        <f>IF(Table3[[#This Row],[Actual End Date]]="","",TEXT(Table3[[#This Row],[Actual End Date]],"mmm-yy"))</f>
        <v/>
      </c>
    </row>
    <row r="1443" spans="2:15">
      <c r="B1443" s="64"/>
      <c r="C1443" s="64"/>
      <c r="D1443" s="64"/>
      <c r="E1443" s="64"/>
      <c r="F1443" s="64"/>
      <c r="G1443" s="64"/>
      <c r="H1443" s="64"/>
      <c r="I1443" s="64"/>
      <c r="J1443" s="64"/>
      <c r="K1443" s="64"/>
      <c r="L1443" s="64"/>
      <c r="M1443" s="64"/>
      <c r="N1443" s="127" t="str">
        <f>IF(ISNA(VLOOKUP(Table3[[#This Row],[Ticket]],Table1[],17,FALSE)),"",VLOOKUP(Table3[[#This Row],[Ticket]],Table1[],17,FALSE))</f>
        <v/>
      </c>
      <c r="O1443" s="128" t="str">
        <f>IF(Table3[[#This Row],[Actual End Date]]="","",TEXT(Table3[[#This Row],[Actual End Date]],"mmm-yy"))</f>
        <v/>
      </c>
    </row>
    <row r="1444" spans="2:15">
      <c r="B1444" s="64"/>
      <c r="C1444" s="64"/>
      <c r="D1444" s="64"/>
      <c r="E1444" s="64"/>
      <c r="F1444" s="64"/>
      <c r="G1444" s="64"/>
      <c r="H1444" s="64"/>
      <c r="I1444" s="64"/>
      <c r="J1444" s="64"/>
      <c r="K1444" s="64"/>
      <c r="L1444" s="64"/>
      <c r="M1444" s="64"/>
      <c r="N1444" s="127" t="str">
        <f>IF(ISNA(VLOOKUP(Table3[[#This Row],[Ticket]],Table1[],17,FALSE)),"",VLOOKUP(Table3[[#This Row],[Ticket]],Table1[],17,FALSE))</f>
        <v/>
      </c>
      <c r="O1444" s="128" t="str">
        <f>IF(Table3[[#This Row],[Actual End Date]]="","",TEXT(Table3[[#This Row],[Actual End Date]],"mmm-yy"))</f>
        <v/>
      </c>
    </row>
    <row r="1445" spans="2:15">
      <c r="B1445" s="64"/>
      <c r="C1445" s="64"/>
      <c r="D1445" s="64"/>
      <c r="E1445" s="64"/>
      <c r="F1445" s="64"/>
      <c r="G1445" s="64"/>
      <c r="H1445" s="64"/>
      <c r="I1445" s="64"/>
      <c r="J1445" s="64"/>
      <c r="K1445" s="64"/>
      <c r="L1445" s="64"/>
      <c r="M1445" s="64"/>
      <c r="N1445" s="127" t="str">
        <f>IF(ISNA(VLOOKUP(Table3[[#This Row],[Ticket]],Table1[],17,FALSE)),"",VLOOKUP(Table3[[#This Row],[Ticket]],Table1[],17,FALSE))</f>
        <v/>
      </c>
      <c r="O1445" s="128" t="str">
        <f>IF(Table3[[#This Row],[Actual End Date]]="","",TEXT(Table3[[#This Row],[Actual End Date]],"mmm-yy"))</f>
        <v/>
      </c>
    </row>
    <row r="1446" spans="2:15">
      <c r="B1446" s="64"/>
      <c r="C1446" s="64"/>
      <c r="D1446" s="64"/>
      <c r="E1446" s="64"/>
      <c r="F1446" s="64"/>
      <c r="G1446" s="64"/>
      <c r="H1446" s="64"/>
      <c r="I1446" s="64"/>
      <c r="J1446" s="64"/>
      <c r="K1446" s="64"/>
      <c r="L1446" s="64"/>
      <c r="M1446" s="64"/>
      <c r="N1446" s="127" t="str">
        <f>IF(ISNA(VLOOKUP(Table3[[#This Row],[Ticket]],Table1[],17,FALSE)),"",VLOOKUP(Table3[[#This Row],[Ticket]],Table1[],17,FALSE))</f>
        <v/>
      </c>
      <c r="O1446" s="128" t="str">
        <f>IF(Table3[[#This Row],[Actual End Date]]="","",TEXT(Table3[[#This Row],[Actual End Date]],"mmm-yy"))</f>
        <v/>
      </c>
    </row>
    <row r="1447" spans="2:15">
      <c r="B1447" s="64"/>
      <c r="C1447" s="64"/>
      <c r="D1447" s="64"/>
      <c r="E1447" s="64"/>
      <c r="F1447" s="64"/>
      <c r="G1447" s="64"/>
      <c r="H1447" s="64"/>
      <c r="I1447" s="64"/>
      <c r="J1447" s="64"/>
      <c r="K1447" s="64"/>
      <c r="L1447" s="64"/>
      <c r="M1447" s="64"/>
      <c r="N1447" s="127" t="str">
        <f>IF(ISNA(VLOOKUP(Table3[[#This Row],[Ticket]],Table1[],17,FALSE)),"",VLOOKUP(Table3[[#This Row],[Ticket]],Table1[],17,FALSE))</f>
        <v/>
      </c>
      <c r="O1447" s="128" t="str">
        <f>IF(Table3[[#This Row],[Actual End Date]]="","",TEXT(Table3[[#This Row],[Actual End Date]],"mmm-yy"))</f>
        <v/>
      </c>
    </row>
    <row r="1448" spans="2:15">
      <c r="B1448" s="64"/>
      <c r="C1448" s="64"/>
      <c r="D1448" s="64"/>
      <c r="E1448" s="64"/>
      <c r="F1448" s="64"/>
      <c r="G1448" s="64"/>
      <c r="H1448" s="64"/>
      <c r="I1448" s="64"/>
      <c r="J1448" s="64"/>
      <c r="K1448" s="64"/>
      <c r="L1448" s="64"/>
      <c r="M1448" s="64"/>
      <c r="N1448" s="127" t="str">
        <f>IF(ISNA(VLOOKUP(Table3[[#This Row],[Ticket]],Table1[],17,FALSE)),"",VLOOKUP(Table3[[#This Row],[Ticket]],Table1[],17,FALSE))</f>
        <v/>
      </c>
      <c r="O1448" s="128" t="str">
        <f>IF(Table3[[#This Row],[Actual End Date]]="","",TEXT(Table3[[#This Row],[Actual End Date]],"mmm-yy"))</f>
        <v/>
      </c>
    </row>
    <row r="1449" spans="2:15">
      <c r="B1449" s="64"/>
      <c r="C1449" s="64"/>
      <c r="D1449" s="64"/>
      <c r="E1449" s="64"/>
      <c r="F1449" s="64"/>
      <c r="G1449" s="64"/>
      <c r="H1449" s="64"/>
      <c r="I1449" s="64"/>
      <c r="J1449" s="64"/>
      <c r="K1449" s="64"/>
      <c r="L1449" s="64"/>
      <c r="M1449" s="64"/>
      <c r="N1449" s="127" t="str">
        <f>IF(ISNA(VLOOKUP(Table3[[#This Row],[Ticket]],Table1[],17,FALSE)),"",VLOOKUP(Table3[[#This Row],[Ticket]],Table1[],17,FALSE))</f>
        <v/>
      </c>
      <c r="O1449" s="128" t="str">
        <f>IF(Table3[[#This Row],[Actual End Date]]="","",TEXT(Table3[[#This Row],[Actual End Date]],"mmm-yy"))</f>
        <v/>
      </c>
    </row>
    <row r="1450" spans="2:15">
      <c r="B1450" s="64"/>
      <c r="C1450" s="64"/>
      <c r="D1450" s="64"/>
      <c r="E1450" s="64"/>
      <c r="F1450" s="64"/>
      <c r="G1450" s="64"/>
      <c r="H1450" s="64"/>
      <c r="I1450" s="64"/>
      <c r="J1450" s="64"/>
      <c r="K1450" s="64"/>
      <c r="L1450" s="64"/>
      <c r="M1450" s="64"/>
      <c r="N1450" s="127" t="str">
        <f>IF(ISNA(VLOOKUP(Table3[[#This Row],[Ticket]],Table1[],17,FALSE)),"",VLOOKUP(Table3[[#This Row],[Ticket]],Table1[],17,FALSE))</f>
        <v/>
      </c>
      <c r="O1450" s="128" t="str">
        <f>IF(Table3[[#This Row],[Actual End Date]]="","",TEXT(Table3[[#This Row],[Actual End Date]],"mmm-yy"))</f>
        <v/>
      </c>
    </row>
    <row r="1451" spans="2:15">
      <c r="B1451" s="64"/>
      <c r="C1451" s="64"/>
      <c r="D1451" s="64"/>
      <c r="E1451" s="64"/>
      <c r="F1451" s="64"/>
      <c r="G1451" s="64"/>
      <c r="H1451" s="64"/>
      <c r="I1451" s="64"/>
      <c r="J1451" s="64"/>
      <c r="K1451" s="64"/>
      <c r="L1451" s="64"/>
      <c r="M1451" s="64"/>
      <c r="N1451" s="127" t="str">
        <f>IF(ISNA(VLOOKUP(Table3[[#This Row],[Ticket]],Table1[],17,FALSE)),"",VLOOKUP(Table3[[#This Row],[Ticket]],Table1[],17,FALSE))</f>
        <v/>
      </c>
      <c r="O1451" s="128" t="str">
        <f>IF(Table3[[#This Row],[Actual End Date]]="","",TEXT(Table3[[#This Row],[Actual End Date]],"mmm-yy"))</f>
        <v/>
      </c>
    </row>
    <row r="1452" spans="2:15">
      <c r="B1452" s="64"/>
      <c r="C1452" s="64"/>
      <c r="D1452" s="64"/>
      <c r="E1452" s="64"/>
      <c r="F1452" s="64"/>
      <c r="G1452" s="64"/>
      <c r="H1452" s="64"/>
      <c r="I1452" s="64"/>
      <c r="J1452" s="64"/>
      <c r="K1452" s="64"/>
      <c r="L1452" s="64"/>
      <c r="M1452" s="64"/>
      <c r="N1452" s="127" t="str">
        <f>IF(ISNA(VLOOKUP(Table3[[#This Row],[Ticket]],Table1[],17,FALSE)),"",VLOOKUP(Table3[[#This Row],[Ticket]],Table1[],17,FALSE))</f>
        <v/>
      </c>
      <c r="O1452" s="128" t="str">
        <f>IF(Table3[[#This Row],[Actual End Date]]="","",TEXT(Table3[[#This Row],[Actual End Date]],"mmm-yy"))</f>
        <v/>
      </c>
    </row>
    <row r="1453" spans="2:15">
      <c r="B1453" s="64"/>
      <c r="C1453" s="64"/>
      <c r="D1453" s="64"/>
      <c r="E1453" s="64"/>
      <c r="F1453" s="64"/>
      <c r="G1453" s="64"/>
      <c r="H1453" s="64"/>
      <c r="I1453" s="64"/>
      <c r="J1453" s="64"/>
      <c r="K1453" s="64"/>
      <c r="L1453" s="64"/>
      <c r="M1453" s="64"/>
      <c r="N1453" s="127" t="str">
        <f>IF(ISNA(VLOOKUP(Table3[[#This Row],[Ticket]],Table1[],17,FALSE)),"",VLOOKUP(Table3[[#This Row],[Ticket]],Table1[],17,FALSE))</f>
        <v/>
      </c>
      <c r="O1453" s="128" t="str">
        <f>IF(Table3[[#This Row],[Actual End Date]]="","",TEXT(Table3[[#This Row],[Actual End Date]],"mmm-yy"))</f>
        <v/>
      </c>
    </row>
    <row r="1454" spans="2:15">
      <c r="B1454" s="64"/>
      <c r="C1454" s="64"/>
      <c r="D1454" s="64"/>
      <c r="E1454" s="64"/>
      <c r="F1454" s="64"/>
      <c r="G1454" s="64"/>
      <c r="H1454" s="64"/>
      <c r="I1454" s="64"/>
      <c r="J1454" s="64"/>
      <c r="K1454" s="64"/>
      <c r="L1454" s="64"/>
      <c r="M1454" s="64"/>
      <c r="N1454" s="127" t="str">
        <f>IF(ISNA(VLOOKUP(Table3[[#This Row],[Ticket]],Table1[],17,FALSE)),"",VLOOKUP(Table3[[#This Row],[Ticket]],Table1[],17,FALSE))</f>
        <v/>
      </c>
      <c r="O1454" s="128" t="str">
        <f>IF(Table3[[#This Row],[Actual End Date]]="","",TEXT(Table3[[#This Row],[Actual End Date]],"mmm-yy"))</f>
        <v/>
      </c>
    </row>
    <row r="1455" spans="2:15">
      <c r="B1455" s="64"/>
      <c r="C1455" s="64"/>
      <c r="D1455" s="64"/>
      <c r="E1455" s="64"/>
      <c r="F1455" s="64"/>
      <c r="G1455" s="64"/>
      <c r="H1455" s="64"/>
      <c r="I1455" s="64"/>
      <c r="J1455" s="64"/>
      <c r="K1455" s="64"/>
      <c r="L1455" s="64"/>
      <c r="M1455" s="64"/>
      <c r="N1455" s="127" t="str">
        <f>IF(ISNA(VLOOKUP(Table3[[#This Row],[Ticket]],Table1[],17,FALSE)),"",VLOOKUP(Table3[[#This Row],[Ticket]],Table1[],17,FALSE))</f>
        <v/>
      </c>
      <c r="O1455" s="128" t="str">
        <f>IF(Table3[[#This Row],[Actual End Date]]="","",TEXT(Table3[[#This Row],[Actual End Date]],"mmm-yy"))</f>
        <v/>
      </c>
    </row>
    <row r="1456" spans="2:15">
      <c r="B1456" s="64"/>
      <c r="C1456" s="64"/>
      <c r="D1456" s="64"/>
      <c r="E1456" s="64"/>
      <c r="F1456" s="64"/>
      <c r="G1456" s="64"/>
      <c r="H1456" s="64"/>
      <c r="I1456" s="64"/>
      <c r="J1456" s="64"/>
      <c r="K1456" s="64"/>
      <c r="L1456" s="64"/>
      <c r="M1456" s="64"/>
      <c r="N1456" s="127" t="str">
        <f>IF(ISNA(VLOOKUP(Table3[[#This Row],[Ticket]],Table1[],17,FALSE)),"",VLOOKUP(Table3[[#This Row],[Ticket]],Table1[],17,FALSE))</f>
        <v/>
      </c>
      <c r="O1456" s="128" t="str">
        <f>IF(Table3[[#This Row],[Actual End Date]]="","",TEXT(Table3[[#This Row],[Actual End Date]],"mmm-yy"))</f>
        <v/>
      </c>
    </row>
    <row r="1457" spans="2:15">
      <c r="B1457" s="64"/>
      <c r="C1457" s="64"/>
      <c r="D1457" s="64"/>
      <c r="E1457" s="64"/>
      <c r="F1457" s="64"/>
      <c r="G1457" s="64"/>
      <c r="H1457" s="64"/>
      <c r="I1457" s="64"/>
      <c r="J1457" s="64"/>
      <c r="K1457" s="64"/>
      <c r="L1457" s="64"/>
      <c r="M1457" s="64"/>
      <c r="N1457" s="127" t="str">
        <f>IF(ISNA(VLOOKUP(Table3[[#This Row],[Ticket]],Table1[],17,FALSE)),"",VLOOKUP(Table3[[#This Row],[Ticket]],Table1[],17,FALSE))</f>
        <v/>
      </c>
      <c r="O1457" s="128" t="str">
        <f>IF(Table3[[#This Row],[Actual End Date]]="","",TEXT(Table3[[#This Row],[Actual End Date]],"mmm-yy"))</f>
        <v/>
      </c>
    </row>
    <row r="1458" spans="2:15">
      <c r="B1458" s="64"/>
      <c r="C1458" s="64"/>
      <c r="D1458" s="64"/>
      <c r="E1458" s="64"/>
      <c r="F1458" s="64"/>
      <c r="G1458" s="64"/>
      <c r="H1458" s="64"/>
      <c r="I1458" s="64"/>
      <c r="J1458" s="64"/>
      <c r="K1458" s="64"/>
      <c r="L1458" s="64"/>
      <c r="M1458" s="64"/>
      <c r="N1458" s="127" t="str">
        <f>IF(ISNA(VLOOKUP(Table3[[#This Row],[Ticket]],Table1[],17,FALSE)),"",VLOOKUP(Table3[[#This Row],[Ticket]],Table1[],17,FALSE))</f>
        <v/>
      </c>
      <c r="O1458" s="128" t="str">
        <f>IF(Table3[[#This Row],[Actual End Date]]="","",TEXT(Table3[[#This Row],[Actual End Date]],"mmm-yy"))</f>
        <v/>
      </c>
    </row>
    <row r="1459" spans="2:15">
      <c r="B1459" s="64"/>
      <c r="C1459" s="64"/>
      <c r="D1459" s="64"/>
      <c r="E1459" s="64"/>
      <c r="F1459" s="64"/>
      <c r="G1459" s="64"/>
      <c r="H1459" s="64"/>
      <c r="I1459" s="64"/>
      <c r="J1459" s="64"/>
      <c r="K1459" s="64"/>
      <c r="L1459" s="64"/>
      <c r="M1459" s="64"/>
      <c r="N1459" s="127" t="str">
        <f>IF(ISNA(VLOOKUP(Table3[[#This Row],[Ticket]],Table1[],17,FALSE)),"",VLOOKUP(Table3[[#This Row],[Ticket]],Table1[],17,FALSE))</f>
        <v/>
      </c>
      <c r="O1459" s="128" t="str">
        <f>IF(Table3[[#This Row],[Actual End Date]]="","",TEXT(Table3[[#This Row],[Actual End Date]],"mmm-yy"))</f>
        <v/>
      </c>
    </row>
    <row r="1460" spans="2:15">
      <c r="B1460" s="64"/>
      <c r="C1460" s="64"/>
      <c r="D1460" s="64"/>
      <c r="E1460" s="64"/>
      <c r="F1460" s="64"/>
      <c r="G1460" s="64"/>
      <c r="H1460" s="64"/>
      <c r="I1460" s="64"/>
      <c r="J1460" s="64"/>
      <c r="K1460" s="64"/>
      <c r="L1460" s="64"/>
      <c r="M1460" s="64"/>
      <c r="N1460" s="127" t="str">
        <f>IF(ISNA(VLOOKUP(Table3[[#This Row],[Ticket]],Table1[],17,FALSE)),"",VLOOKUP(Table3[[#This Row],[Ticket]],Table1[],17,FALSE))</f>
        <v/>
      </c>
      <c r="O1460" s="128" t="str">
        <f>IF(Table3[[#This Row],[Actual End Date]]="","",TEXT(Table3[[#This Row],[Actual End Date]],"mmm-yy"))</f>
        <v/>
      </c>
    </row>
    <row r="1461" spans="2:15">
      <c r="B1461" s="64"/>
      <c r="C1461" s="64"/>
      <c r="D1461" s="64"/>
      <c r="E1461" s="64"/>
      <c r="F1461" s="64"/>
      <c r="G1461" s="64"/>
      <c r="H1461" s="64"/>
      <c r="I1461" s="64"/>
      <c r="J1461" s="64"/>
      <c r="K1461" s="64"/>
      <c r="L1461" s="64"/>
      <c r="M1461" s="64"/>
      <c r="N1461" s="127" t="str">
        <f>IF(ISNA(VLOOKUP(Table3[[#This Row],[Ticket]],Table1[],17,FALSE)),"",VLOOKUP(Table3[[#This Row],[Ticket]],Table1[],17,FALSE))</f>
        <v/>
      </c>
      <c r="O1461" s="128" t="str">
        <f>IF(Table3[[#This Row],[Actual End Date]]="","",TEXT(Table3[[#This Row],[Actual End Date]],"mmm-yy"))</f>
        <v/>
      </c>
    </row>
    <row r="1462" spans="2:15">
      <c r="B1462" s="64"/>
      <c r="C1462" s="64"/>
      <c r="D1462" s="64"/>
      <c r="E1462" s="64"/>
      <c r="F1462" s="64"/>
      <c r="G1462" s="64"/>
      <c r="H1462" s="64"/>
      <c r="I1462" s="64"/>
      <c r="J1462" s="64"/>
      <c r="K1462" s="64"/>
      <c r="L1462" s="64"/>
      <c r="M1462" s="64"/>
      <c r="N1462" s="127" t="str">
        <f>IF(ISNA(VLOOKUP(Table3[[#This Row],[Ticket]],Table1[],17,FALSE)),"",VLOOKUP(Table3[[#This Row],[Ticket]],Table1[],17,FALSE))</f>
        <v/>
      </c>
      <c r="O1462" s="128" t="str">
        <f>IF(Table3[[#This Row],[Actual End Date]]="","",TEXT(Table3[[#This Row],[Actual End Date]],"mmm-yy"))</f>
        <v/>
      </c>
    </row>
    <row r="1463" spans="2:15">
      <c r="B1463" s="64"/>
      <c r="C1463" s="64"/>
      <c r="D1463" s="64"/>
      <c r="E1463" s="64"/>
      <c r="F1463" s="64"/>
      <c r="G1463" s="64"/>
      <c r="H1463" s="64"/>
      <c r="I1463" s="64"/>
      <c r="J1463" s="64"/>
      <c r="K1463" s="64"/>
      <c r="L1463" s="64"/>
      <c r="M1463" s="64"/>
      <c r="N1463" s="127" t="str">
        <f>IF(ISNA(VLOOKUP(Table3[[#This Row],[Ticket]],Table1[],17,FALSE)),"",VLOOKUP(Table3[[#This Row],[Ticket]],Table1[],17,FALSE))</f>
        <v/>
      </c>
      <c r="O1463" s="128" t="str">
        <f>IF(Table3[[#This Row],[Actual End Date]]="","",TEXT(Table3[[#This Row],[Actual End Date]],"mmm-yy"))</f>
        <v/>
      </c>
    </row>
    <row r="1464" spans="2:15">
      <c r="B1464" s="64"/>
      <c r="C1464" s="64"/>
      <c r="D1464" s="64"/>
      <c r="E1464" s="64"/>
      <c r="F1464" s="64"/>
      <c r="G1464" s="64"/>
      <c r="H1464" s="64"/>
      <c r="I1464" s="64"/>
      <c r="J1464" s="64"/>
      <c r="K1464" s="64"/>
      <c r="L1464" s="64"/>
      <c r="M1464" s="64"/>
      <c r="N1464" s="127" t="str">
        <f>IF(ISNA(VLOOKUP(Table3[[#This Row],[Ticket]],Table1[],17,FALSE)),"",VLOOKUP(Table3[[#This Row],[Ticket]],Table1[],17,FALSE))</f>
        <v/>
      </c>
      <c r="O1464" s="128" t="str">
        <f>IF(Table3[[#This Row],[Actual End Date]]="","",TEXT(Table3[[#This Row],[Actual End Date]],"mmm-yy"))</f>
        <v/>
      </c>
    </row>
    <row r="1465" spans="2:15">
      <c r="B1465" s="64"/>
      <c r="C1465" s="64"/>
      <c r="D1465" s="64"/>
      <c r="E1465" s="64"/>
      <c r="F1465" s="64"/>
      <c r="G1465" s="64"/>
      <c r="H1465" s="64"/>
      <c r="I1465" s="64"/>
      <c r="J1465" s="64"/>
      <c r="K1465" s="64"/>
      <c r="L1465" s="64"/>
      <c r="M1465" s="64"/>
      <c r="N1465" s="127" t="str">
        <f>IF(ISNA(VLOOKUP(Table3[[#This Row],[Ticket]],Table1[],17,FALSE)),"",VLOOKUP(Table3[[#This Row],[Ticket]],Table1[],17,FALSE))</f>
        <v/>
      </c>
      <c r="O1465" s="128" t="str">
        <f>IF(Table3[[#This Row],[Actual End Date]]="","",TEXT(Table3[[#This Row],[Actual End Date]],"mmm-yy"))</f>
        <v/>
      </c>
    </row>
    <row r="1466" spans="2:15">
      <c r="B1466" s="64"/>
      <c r="C1466" s="64"/>
      <c r="D1466" s="64"/>
      <c r="E1466" s="64"/>
      <c r="F1466" s="64"/>
      <c r="G1466" s="64"/>
      <c r="H1466" s="64"/>
      <c r="I1466" s="64"/>
      <c r="J1466" s="64"/>
      <c r="K1466" s="64"/>
      <c r="L1466" s="64"/>
      <c r="M1466" s="64"/>
      <c r="N1466" s="127" t="str">
        <f>IF(ISNA(VLOOKUP(Table3[[#This Row],[Ticket]],Table1[],17,FALSE)),"",VLOOKUP(Table3[[#This Row],[Ticket]],Table1[],17,FALSE))</f>
        <v/>
      </c>
      <c r="O1466" s="128" t="str">
        <f>IF(Table3[[#This Row],[Actual End Date]]="","",TEXT(Table3[[#This Row],[Actual End Date]],"mmm-yy"))</f>
        <v/>
      </c>
    </row>
    <row r="1467" spans="2:15">
      <c r="B1467" s="64"/>
      <c r="C1467" s="64"/>
      <c r="D1467" s="64"/>
      <c r="E1467" s="64"/>
      <c r="F1467" s="64"/>
      <c r="G1467" s="64"/>
      <c r="H1467" s="64"/>
      <c r="I1467" s="64"/>
      <c r="J1467" s="64"/>
      <c r="K1467" s="64"/>
      <c r="L1467" s="64"/>
      <c r="M1467" s="64"/>
      <c r="N1467" s="127" t="str">
        <f>IF(ISNA(VLOOKUP(Table3[[#This Row],[Ticket]],Table1[],17,FALSE)),"",VLOOKUP(Table3[[#This Row],[Ticket]],Table1[],17,FALSE))</f>
        <v/>
      </c>
      <c r="O1467" s="128" t="str">
        <f>IF(Table3[[#This Row],[Actual End Date]]="","",TEXT(Table3[[#This Row],[Actual End Date]],"mmm-yy"))</f>
        <v/>
      </c>
    </row>
    <row r="1468" spans="2:15">
      <c r="B1468" s="64"/>
      <c r="C1468" s="64"/>
      <c r="D1468" s="64"/>
      <c r="E1468" s="64"/>
      <c r="F1468" s="64"/>
      <c r="G1468" s="64"/>
      <c r="H1468" s="64"/>
      <c r="I1468" s="64"/>
      <c r="J1468" s="64"/>
      <c r="K1468" s="64"/>
      <c r="L1468" s="64"/>
      <c r="M1468" s="64"/>
      <c r="N1468" s="127" t="str">
        <f>IF(ISNA(VLOOKUP(Table3[[#This Row],[Ticket]],Table1[],17,FALSE)),"",VLOOKUP(Table3[[#This Row],[Ticket]],Table1[],17,FALSE))</f>
        <v/>
      </c>
      <c r="O1468" s="128" t="str">
        <f>IF(Table3[[#This Row],[Actual End Date]]="","",TEXT(Table3[[#This Row],[Actual End Date]],"mmm-yy"))</f>
        <v/>
      </c>
    </row>
    <row r="1469" spans="2:15">
      <c r="B1469" s="64"/>
      <c r="C1469" s="64"/>
      <c r="D1469" s="64"/>
      <c r="E1469" s="64"/>
      <c r="F1469" s="64"/>
      <c r="G1469" s="64"/>
      <c r="H1469" s="64"/>
      <c r="I1469" s="64"/>
      <c r="J1469" s="64"/>
      <c r="K1469" s="64"/>
      <c r="L1469" s="64"/>
      <c r="M1469" s="64"/>
      <c r="N1469" s="127" t="str">
        <f>IF(ISNA(VLOOKUP(Table3[[#This Row],[Ticket]],Table1[],17,FALSE)),"",VLOOKUP(Table3[[#This Row],[Ticket]],Table1[],17,FALSE))</f>
        <v/>
      </c>
      <c r="O1469" s="128" t="str">
        <f>IF(Table3[[#This Row],[Actual End Date]]="","",TEXT(Table3[[#This Row],[Actual End Date]],"mmm-yy"))</f>
        <v/>
      </c>
    </row>
    <row r="1470" spans="2:15">
      <c r="B1470" s="64"/>
      <c r="C1470" s="64"/>
      <c r="D1470" s="64"/>
      <c r="E1470" s="64"/>
      <c r="F1470" s="64"/>
      <c r="G1470" s="64"/>
      <c r="H1470" s="64"/>
      <c r="I1470" s="64"/>
      <c r="J1470" s="64"/>
      <c r="K1470" s="64"/>
      <c r="L1470" s="64"/>
      <c r="M1470" s="64"/>
      <c r="N1470" s="127" t="str">
        <f>IF(ISNA(VLOOKUP(Table3[[#This Row],[Ticket]],Table1[],17,FALSE)),"",VLOOKUP(Table3[[#This Row],[Ticket]],Table1[],17,FALSE))</f>
        <v/>
      </c>
      <c r="O1470" s="128" t="str">
        <f>IF(Table3[[#This Row],[Actual End Date]]="","",TEXT(Table3[[#This Row],[Actual End Date]],"mmm-yy"))</f>
        <v/>
      </c>
    </row>
    <row r="1471" spans="2:15">
      <c r="B1471" s="64"/>
      <c r="C1471" s="64"/>
      <c r="D1471" s="64"/>
      <c r="E1471" s="64"/>
      <c r="F1471" s="64"/>
      <c r="G1471" s="64"/>
      <c r="H1471" s="64"/>
      <c r="I1471" s="64"/>
      <c r="J1471" s="64"/>
      <c r="K1471" s="64"/>
      <c r="L1471" s="64"/>
      <c r="M1471" s="64"/>
      <c r="N1471" s="127" t="str">
        <f>IF(ISNA(VLOOKUP(Table3[[#This Row],[Ticket]],Table1[],17,FALSE)),"",VLOOKUP(Table3[[#This Row],[Ticket]],Table1[],17,FALSE))</f>
        <v/>
      </c>
      <c r="O1471" s="128" t="str">
        <f>IF(Table3[[#This Row],[Actual End Date]]="","",TEXT(Table3[[#This Row],[Actual End Date]],"mmm-yy"))</f>
        <v/>
      </c>
    </row>
    <row r="1472" spans="2:15">
      <c r="B1472" s="64"/>
      <c r="C1472" s="64"/>
      <c r="D1472" s="64"/>
      <c r="E1472" s="64"/>
      <c r="F1472" s="64"/>
      <c r="G1472" s="64"/>
      <c r="H1472" s="64"/>
      <c r="I1472" s="64"/>
      <c r="J1472" s="64"/>
      <c r="K1472" s="64"/>
      <c r="L1472" s="64"/>
      <c r="M1472" s="64"/>
      <c r="N1472" s="127" t="str">
        <f>IF(ISNA(VLOOKUP(Table3[[#This Row],[Ticket]],Table1[],17,FALSE)),"",VLOOKUP(Table3[[#This Row],[Ticket]],Table1[],17,FALSE))</f>
        <v/>
      </c>
      <c r="O1472" s="128" t="str">
        <f>IF(Table3[[#This Row],[Actual End Date]]="","",TEXT(Table3[[#This Row],[Actual End Date]],"mmm-yy"))</f>
        <v/>
      </c>
    </row>
    <row r="1473" spans="2:15">
      <c r="B1473" s="64"/>
      <c r="C1473" s="64"/>
      <c r="D1473" s="64"/>
      <c r="E1473" s="64"/>
      <c r="F1473" s="64"/>
      <c r="G1473" s="64"/>
      <c r="H1473" s="64"/>
      <c r="I1473" s="64"/>
      <c r="J1473" s="64"/>
      <c r="K1473" s="64"/>
      <c r="L1473" s="64"/>
      <c r="M1473" s="64"/>
      <c r="N1473" s="127" t="str">
        <f>IF(ISNA(VLOOKUP(Table3[[#This Row],[Ticket]],Table1[],17,FALSE)),"",VLOOKUP(Table3[[#This Row],[Ticket]],Table1[],17,FALSE))</f>
        <v/>
      </c>
      <c r="O1473" s="128" t="str">
        <f>IF(Table3[[#This Row],[Actual End Date]]="","",TEXT(Table3[[#This Row],[Actual End Date]],"mmm-yy"))</f>
        <v/>
      </c>
    </row>
    <row r="1474" spans="2:15">
      <c r="B1474" s="64"/>
      <c r="C1474" s="64"/>
      <c r="D1474" s="64"/>
      <c r="E1474" s="64"/>
      <c r="F1474" s="64"/>
      <c r="G1474" s="64"/>
      <c r="H1474" s="64"/>
      <c r="I1474" s="64"/>
      <c r="J1474" s="64"/>
      <c r="K1474" s="64"/>
      <c r="L1474" s="64"/>
      <c r="M1474" s="64"/>
      <c r="N1474" s="127" t="str">
        <f>IF(ISNA(VLOOKUP(Table3[[#This Row],[Ticket]],Table1[],17,FALSE)),"",VLOOKUP(Table3[[#This Row],[Ticket]],Table1[],17,FALSE))</f>
        <v/>
      </c>
      <c r="O1474" s="128" t="str">
        <f>IF(Table3[[#This Row],[Actual End Date]]="","",TEXT(Table3[[#This Row],[Actual End Date]],"mmm-yy"))</f>
        <v/>
      </c>
    </row>
    <row r="1475" spans="2:15">
      <c r="B1475" s="64"/>
      <c r="C1475" s="64"/>
      <c r="D1475" s="64"/>
      <c r="E1475" s="64"/>
      <c r="F1475" s="64"/>
      <c r="G1475" s="64"/>
      <c r="H1475" s="64"/>
      <c r="I1475" s="64"/>
      <c r="J1475" s="64"/>
      <c r="K1475" s="64"/>
      <c r="L1475" s="64"/>
      <c r="M1475" s="64"/>
      <c r="N1475" s="127" t="str">
        <f>IF(ISNA(VLOOKUP(Table3[[#This Row],[Ticket]],Table1[],17,FALSE)),"",VLOOKUP(Table3[[#This Row],[Ticket]],Table1[],17,FALSE))</f>
        <v/>
      </c>
      <c r="O1475" s="128" t="str">
        <f>IF(Table3[[#This Row],[Actual End Date]]="","",TEXT(Table3[[#This Row],[Actual End Date]],"mmm-yy"))</f>
        <v/>
      </c>
    </row>
    <row r="1476" spans="2:15">
      <c r="B1476" s="64"/>
      <c r="C1476" s="64"/>
      <c r="D1476" s="64"/>
      <c r="E1476" s="64"/>
      <c r="F1476" s="64"/>
      <c r="G1476" s="64"/>
      <c r="H1476" s="64"/>
      <c r="I1476" s="64"/>
      <c r="J1476" s="64"/>
      <c r="K1476" s="64"/>
      <c r="L1476" s="64"/>
      <c r="M1476" s="64"/>
      <c r="N1476" s="127" t="str">
        <f>IF(ISNA(VLOOKUP(Table3[[#This Row],[Ticket]],Table1[],17,FALSE)),"",VLOOKUP(Table3[[#This Row],[Ticket]],Table1[],17,FALSE))</f>
        <v/>
      </c>
      <c r="O1476" s="128" t="str">
        <f>IF(Table3[[#This Row],[Actual End Date]]="","",TEXT(Table3[[#This Row],[Actual End Date]],"mmm-yy"))</f>
        <v/>
      </c>
    </row>
    <row r="1477" spans="2:15">
      <c r="B1477" s="64"/>
      <c r="C1477" s="64"/>
      <c r="D1477" s="64"/>
      <c r="E1477" s="64"/>
      <c r="F1477" s="64"/>
      <c r="G1477" s="64"/>
      <c r="H1477" s="64"/>
      <c r="I1477" s="64"/>
      <c r="J1477" s="64"/>
      <c r="K1477" s="64"/>
      <c r="L1477" s="64"/>
      <c r="M1477" s="64"/>
      <c r="N1477" s="127" t="str">
        <f>IF(ISNA(VLOOKUP(Table3[[#This Row],[Ticket]],Table1[],17,FALSE)),"",VLOOKUP(Table3[[#This Row],[Ticket]],Table1[],17,FALSE))</f>
        <v/>
      </c>
      <c r="O1477" s="128" t="str">
        <f>IF(Table3[[#This Row],[Actual End Date]]="","",TEXT(Table3[[#This Row],[Actual End Date]],"mmm-yy"))</f>
        <v/>
      </c>
    </row>
    <row r="1478" spans="2:15">
      <c r="B1478" s="64"/>
      <c r="C1478" s="64"/>
      <c r="D1478" s="64"/>
      <c r="E1478" s="64"/>
      <c r="F1478" s="64"/>
      <c r="G1478" s="64"/>
      <c r="H1478" s="64"/>
      <c r="I1478" s="64"/>
      <c r="J1478" s="64"/>
      <c r="K1478" s="64"/>
      <c r="L1478" s="64"/>
      <c r="M1478" s="64"/>
      <c r="N1478" s="127" t="str">
        <f>IF(ISNA(VLOOKUP(Table3[[#This Row],[Ticket]],Table1[],17,FALSE)),"",VLOOKUP(Table3[[#This Row],[Ticket]],Table1[],17,FALSE))</f>
        <v/>
      </c>
      <c r="O1478" s="128" t="str">
        <f>IF(Table3[[#This Row],[Actual End Date]]="","",TEXT(Table3[[#This Row],[Actual End Date]],"mmm-yy"))</f>
        <v/>
      </c>
    </row>
    <row r="1479" spans="2:15">
      <c r="B1479" s="64"/>
      <c r="C1479" s="64"/>
      <c r="D1479" s="64"/>
      <c r="E1479" s="64"/>
      <c r="F1479" s="64"/>
      <c r="G1479" s="64"/>
      <c r="H1479" s="64"/>
      <c r="I1479" s="64"/>
      <c r="J1479" s="64"/>
      <c r="K1479" s="64"/>
      <c r="L1479" s="64"/>
      <c r="M1479" s="64"/>
      <c r="N1479" s="127" t="str">
        <f>IF(ISNA(VLOOKUP(Table3[[#This Row],[Ticket]],Table1[],17,FALSE)),"",VLOOKUP(Table3[[#This Row],[Ticket]],Table1[],17,FALSE))</f>
        <v/>
      </c>
      <c r="O1479" s="128" t="str">
        <f>IF(Table3[[#This Row],[Actual End Date]]="","",TEXT(Table3[[#This Row],[Actual End Date]],"mmm-yy"))</f>
        <v/>
      </c>
    </row>
    <row r="1480" spans="2:15">
      <c r="B1480" s="64"/>
      <c r="C1480" s="64"/>
      <c r="D1480" s="64"/>
      <c r="E1480" s="64"/>
      <c r="F1480" s="64"/>
      <c r="G1480" s="64"/>
      <c r="H1480" s="64"/>
      <c r="I1480" s="64"/>
      <c r="J1480" s="64"/>
      <c r="K1480" s="64"/>
      <c r="L1480" s="64"/>
      <c r="M1480" s="64"/>
      <c r="N1480" s="127" t="str">
        <f>IF(ISNA(VLOOKUP(Table3[[#This Row],[Ticket]],Table1[],17,FALSE)),"",VLOOKUP(Table3[[#This Row],[Ticket]],Table1[],17,FALSE))</f>
        <v/>
      </c>
      <c r="O1480" s="128" t="str">
        <f>IF(Table3[[#This Row],[Actual End Date]]="","",TEXT(Table3[[#This Row],[Actual End Date]],"mmm-yy"))</f>
        <v/>
      </c>
    </row>
    <row r="1481" spans="2:15">
      <c r="B1481" s="64"/>
      <c r="C1481" s="64"/>
      <c r="D1481" s="64"/>
      <c r="E1481" s="64"/>
      <c r="F1481" s="64"/>
      <c r="G1481" s="64"/>
      <c r="H1481" s="64"/>
      <c r="I1481" s="64"/>
      <c r="J1481" s="64"/>
      <c r="K1481" s="64"/>
      <c r="L1481" s="64"/>
      <c r="M1481" s="64"/>
      <c r="N1481" s="127" t="str">
        <f>IF(ISNA(VLOOKUP(Table3[[#This Row],[Ticket]],Table1[],17,FALSE)),"",VLOOKUP(Table3[[#This Row],[Ticket]],Table1[],17,FALSE))</f>
        <v/>
      </c>
      <c r="O1481" s="128" t="str">
        <f>IF(Table3[[#This Row],[Actual End Date]]="","",TEXT(Table3[[#This Row],[Actual End Date]],"mmm-yy"))</f>
        <v/>
      </c>
    </row>
    <row r="1482" spans="2:15">
      <c r="B1482" s="64"/>
      <c r="C1482" s="64"/>
      <c r="D1482" s="64"/>
      <c r="E1482" s="64"/>
      <c r="F1482" s="64"/>
      <c r="G1482" s="64"/>
      <c r="H1482" s="64"/>
      <c r="I1482" s="64"/>
      <c r="J1482" s="64"/>
      <c r="K1482" s="64"/>
      <c r="L1482" s="64"/>
      <c r="M1482" s="64"/>
      <c r="N1482" s="127" t="str">
        <f>IF(ISNA(VLOOKUP(Table3[[#This Row],[Ticket]],Table1[],17,FALSE)),"",VLOOKUP(Table3[[#This Row],[Ticket]],Table1[],17,FALSE))</f>
        <v/>
      </c>
      <c r="O1482" s="128" t="str">
        <f>IF(Table3[[#This Row],[Actual End Date]]="","",TEXT(Table3[[#This Row],[Actual End Date]],"mmm-yy"))</f>
        <v/>
      </c>
    </row>
    <row r="1483" spans="2:15">
      <c r="B1483" s="64"/>
      <c r="C1483" s="64"/>
      <c r="D1483" s="64"/>
      <c r="E1483" s="64"/>
      <c r="F1483" s="64"/>
      <c r="G1483" s="64"/>
      <c r="H1483" s="64"/>
      <c r="I1483" s="64"/>
      <c r="J1483" s="64"/>
      <c r="K1483" s="64"/>
      <c r="L1483" s="64"/>
      <c r="M1483" s="64"/>
      <c r="N1483" s="127" t="str">
        <f>IF(ISNA(VLOOKUP(Table3[[#This Row],[Ticket]],Table1[],17,FALSE)),"",VLOOKUP(Table3[[#This Row],[Ticket]],Table1[],17,FALSE))</f>
        <v/>
      </c>
      <c r="O1483" s="128" t="str">
        <f>IF(Table3[[#This Row],[Actual End Date]]="","",TEXT(Table3[[#This Row],[Actual End Date]],"mmm-yy"))</f>
        <v/>
      </c>
    </row>
    <row r="1484" spans="2:15">
      <c r="B1484" s="64"/>
      <c r="C1484" s="64"/>
      <c r="D1484" s="64"/>
      <c r="E1484" s="64"/>
      <c r="F1484" s="64"/>
      <c r="G1484" s="64"/>
      <c r="H1484" s="64"/>
      <c r="I1484" s="64"/>
      <c r="J1484" s="64"/>
      <c r="K1484" s="64"/>
      <c r="L1484" s="64"/>
      <c r="M1484" s="64"/>
      <c r="N1484" s="127" t="str">
        <f>IF(ISNA(VLOOKUP(Table3[[#This Row],[Ticket]],Table1[],17,FALSE)),"",VLOOKUP(Table3[[#This Row],[Ticket]],Table1[],17,FALSE))</f>
        <v/>
      </c>
      <c r="O1484" s="128" t="str">
        <f>IF(Table3[[#This Row],[Actual End Date]]="","",TEXT(Table3[[#This Row],[Actual End Date]],"mmm-yy"))</f>
        <v/>
      </c>
    </row>
    <row r="1485" spans="2:15">
      <c r="B1485" s="64"/>
      <c r="C1485" s="64"/>
      <c r="D1485" s="64"/>
      <c r="E1485" s="64"/>
      <c r="F1485" s="64"/>
      <c r="G1485" s="64"/>
      <c r="H1485" s="64"/>
      <c r="I1485" s="64"/>
      <c r="J1485" s="64"/>
      <c r="K1485" s="64"/>
      <c r="L1485" s="64"/>
      <c r="M1485" s="64"/>
      <c r="N1485" s="127" t="str">
        <f>IF(ISNA(VLOOKUP(Table3[[#This Row],[Ticket]],Table1[],17,FALSE)),"",VLOOKUP(Table3[[#This Row],[Ticket]],Table1[],17,FALSE))</f>
        <v/>
      </c>
      <c r="O1485" s="128" t="str">
        <f>IF(Table3[[#This Row],[Actual End Date]]="","",TEXT(Table3[[#This Row],[Actual End Date]],"mmm-yy"))</f>
        <v/>
      </c>
    </row>
    <row r="1486" spans="2:15">
      <c r="B1486" s="64"/>
      <c r="C1486" s="64"/>
      <c r="D1486" s="64"/>
      <c r="E1486" s="64"/>
      <c r="F1486" s="64"/>
      <c r="G1486" s="64"/>
      <c r="H1486" s="64"/>
      <c r="I1486" s="64"/>
      <c r="J1486" s="64"/>
      <c r="K1486" s="64"/>
      <c r="L1486" s="64"/>
      <c r="M1486" s="64"/>
      <c r="N1486" s="127" t="str">
        <f>IF(ISNA(VLOOKUP(Table3[[#This Row],[Ticket]],Table1[],17,FALSE)),"",VLOOKUP(Table3[[#This Row],[Ticket]],Table1[],17,FALSE))</f>
        <v/>
      </c>
      <c r="O1486" s="128" t="str">
        <f>IF(Table3[[#This Row],[Actual End Date]]="","",TEXT(Table3[[#This Row],[Actual End Date]],"mmm-yy"))</f>
        <v/>
      </c>
    </row>
    <row r="1487" spans="2:15">
      <c r="B1487" s="64"/>
      <c r="C1487" s="64"/>
      <c r="D1487" s="64"/>
      <c r="E1487" s="64"/>
      <c r="F1487" s="64"/>
      <c r="G1487" s="64"/>
      <c r="H1487" s="64"/>
      <c r="I1487" s="64"/>
      <c r="J1487" s="64"/>
      <c r="K1487" s="64"/>
      <c r="L1487" s="64"/>
      <c r="M1487" s="64"/>
      <c r="N1487" s="127" t="str">
        <f>IF(ISNA(VLOOKUP(Table3[[#This Row],[Ticket]],Table1[],17,FALSE)),"",VLOOKUP(Table3[[#This Row],[Ticket]],Table1[],17,FALSE))</f>
        <v/>
      </c>
      <c r="O1487" s="128" t="str">
        <f>IF(Table3[[#This Row],[Actual End Date]]="","",TEXT(Table3[[#This Row],[Actual End Date]],"mmm-yy"))</f>
        <v/>
      </c>
    </row>
    <row r="1488" spans="2:15">
      <c r="B1488" s="64"/>
      <c r="C1488" s="64"/>
      <c r="D1488" s="64"/>
      <c r="E1488" s="64"/>
      <c r="F1488" s="64"/>
      <c r="G1488" s="64"/>
      <c r="H1488" s="64"/>
      <c r="I1488" s="64"/>
      <c r="J1488" s="64"/>
      <c r="K1488" s="64"/>
      <c r="L1488" s="64"/>
      <c r="M1488" s="64"/>
      <c r="N1488" s="127" t="str">
        <f>IF(ISNA(VLOOKUP(Table3[[#This Row],[Ticket]],Table1[],17,FALSE)),"",VLOOKUP(Table3[[#This Row],[Ticket]],Table1[],17,FALSE))</f>
        <v/>
      </c>
      <c r="O1488" s="128" t="str">
        <f>IF(Table3[[#This Row],[Actual End Date]]="","",TEXT(Table3[[#This Row],[Actual End Date]],"mmm-yy"))</f>
        <v/>
      </c>
    </row>
    <row r="1489" spans="2:15">
      <c r="B1489" s="64"/>
      <c r="C1489" s="64"/>
      <c r="D1489" s="64"/>
      <c r="E1489" s="64"/>
      <c r="F1489" s="64"/>
      <c r="G1489" s="64"/>
      <c r="H1489" s="64"/>
      <c r="I1489" s="64"/>
      <c r="J1489" s="64"/>
      <c r="K1489" s="64"/>
      <c r="L1489" s="64"/>
      <c r="M1489" s="64"/>
      <c r="N1489" s="127" t="str">
        <f>IF(ISNA(VLOOKUP(Table3[[#This Row],[Ticket]],Table1[],17,FALSE)),"",VLOOKUP(Table3[[#This Row],[Ticket]],Table1[],17,FALSE))</f>
        <v/>
      </c>
      <c r="O1489" s="128" t="str">
        <f>IF(Table3[[#This Row],[Actual End Date]]="","",TEXT(Table3[[#This Row],[Actual End Date]],"mmm-yy"))</f>
        <v/>
      </c>
    </row>
    <row r="1490" spans="2:15">
      <c r="B1490" s="64"/>
      <c r="C1490" s="64"/>
      <c r="D1490" s="64"/>
      <c r="E1490" s="64"/>
      <c r="F1490" s="64"/>
      <c r="G1490" s="64"/>
      <c r="H1490" s="64"/>
      <c r="I1490" s="64"/>
      <c r="J1490" s="64"/>
      <c r="K1490" s="64"/>
      <c r="L1490" s="64"/>
      <c r="M1490" s="64"/>
      <c r="N1490" s="127" t="str">
        <f>IF(ISNA(VLOOKUP(Table3[[#This Row],[Ticket]],Table1[],17,FALSE)),"",VLOOKUP(Table3[[#This Row],[Ticket]],Table1[],17,FALSE))</f>
        <v/>
      </c>
      <c r="O1490" s="128" t="str">
        <f>IF(Table3[[#This Row],[Actual End Date]]="","",TEXT(Table3[[#This Row],[Actual End Date]],"mmm-yy"))</f>
        <v/>
      </c>
    </row>
    <row r="1491" spans="2:15">
      <c r="B1491" s="64"/>
      <c r="C1491" s="64"/>
      <c r="D1491" s="64"/>
      <c r="E1491" s="64"/>
      <c r="F1491" s="64"/>
      <c r="G1491" s="64"/>
      <c r="H1491" s="64"/>
      <c r="I1491" s="64"/>
      <c r="J1491" s="64"/>
      <c r="K1491" s="64"/>
      <c r="L1491" s="64"/>
      <c r="M1491" s="64"/>
      <c r="N1491" s="127" t="str">
        <f>IF(ISNA(VLOOKUP(Table3[[#This Row],[Ticket]],Table1[],17,FALSE)),"",VLOOKUP(Table3[[#This Row],[Ticket]],Table1[],17,FALSE))</f>
        <v/>
      </c>
      <c r="O1491" s="128" t="str">
        <f>IF(Table3[[#This Row],[Actual End Date]]="","",TEXT(Table3[[#This Row],[Actual End Date]],"mmm-yy"))</f>
        <v/>
      </c>
    </row>
    <row r="1492" spans="2:15">
      <c r="B1492" s="64"/>
      <c r="C1492" s="64"/>
      <c r="D1492" s="64"/>
      <c r="E1492" s="64"/>
      <c r="F1492" s="64"/>
      <c r="G1492" s="64"/>
      <c r="H1492" s="64"/>
      <c r="I1492" s="64"/>
      <c r="J1492" s="64"/>
      <c r="K1492" s="64"/>
      <c r="L1492" s="64"/>
      <c r="M1492" s="64"/>
      <c r="N1492" s="127" t="str">
        <f>IF(ISNA(VLOOKUP(Table3[[#This Row],[Ticket]],Table1[],17,FALSE)),"",VLOOKUP(Table3[[#This Row],[Ticket]],Table1[],17,FALSE))</f>
        <v/>
      </c>
      <c r="O1492" s="128" t="str">
        <f>IF(Table3[[#This Row],[Actual End Date]]="","",TEXT(Table3[[#This Row],[Actual End Date]],"mmm-yy"))</f>
        <v/>
      </c>
    </row>
    <row r="1493" spans="2:15">
      <c r="B1493" s="64"/>
      <c r="C1493" s="64"/>
      <c r="D1493" s="64"/>
      <c r="E1493" s="64"/>
      <c r="F1493" s="64"/>
      <c r="G1493" s="64"/>
      <c r="H1493" s="64"/>
      <c r="I1493" s="64"/>
      <c r="J1493" s="64"/>
      <c r="K1493" s="64"/>
      <c r="L1493" s="64"/>
      <c r="M1493" s="64"/>
      <c r="N1493" s="127" t="str">
        <f>IF(ISNA(VLOOKUP(Table3[[#This Row],[Ticket]],Table1[],17,FALSE)),"",VLOOKUP(Table3[[#This Row],[Ticket]],Table1[],17,FALSE))</f>
        <v/>
      </c>
      <c r="O1493" s="128" t="str">
        <f>IF(Table3[[#This Row],[Actual End Date]]="","",TEXT(Table3[[#This Row],[Actual End Date]],"mmm-yy"))</f>
        <v/>
      </c>
    </row>
    <row r="1494" spans="2:15">
      <c r="B1494" s="64"/>
      <c r="C1494" s="64"/>
      <c r="D1494" s="64"/>
      <c r="E1494" s="64"/>
      <c r="F1494" s="64"/>
      <c r="G1494" s="64"/>
      <c r="H1494" s="64"/>
      <c r="I1494" s="64"/>
      <c r="J1494" s="64"/>
      <c r="K1494" s="64"/>
      <c r="L1494" s="64"/>
      <c r="M1494" s="64"/>
      <c r="N1494" s="127" t="str">
        <f>IF(ISNA(VLOOKUP(Table3[[#This Row],[Ticket]],Table1[],17,FALSE)),"",VLOOKUP(Table3[[#This Row],[Ticket]],Table1[],17,FALSE))</f>
        <v/>
      </c>
      <c r="O1494" s="128" t="str">
        <f>IF(Table3[[#This Row],[Actual End Date]]="","",TEXT(Table3[[#This Row],[Actual End Date]],"mmm-yy"))</f>
        <v/>
      </c>
    </row>
    <row r="1495" spans="2:15">
      <c r="B1495" s="64"/>
      <c r="C1495" s="64"/>
      <c r="D1495" s="64"/>
      <c r="E1495" s="64"/>
      <c r="F1495" s="64"/>
      <c r="G1495" s="64"/>
      <c r="H1495" s="64"/>
      <c r="I1495" s="64"/>
      <c r="J1495" s="64"/>
      <c r="K1495" s="64"/>
      <c r="L1495" s="64"/>
      <c r="M1495" s="64"/>
      <c r="N1495" s="127" t="str">
        <f>IF(ISNA(VLOOKUP(Table3[[#This Row],[Ticket]],Table1[],17,FALSE)),"",VLOOKUP(Table3[[#This Row],[Ticket]],Table1[],17,FALSE))</f>
        <v/>
      </c>
      <c r="O1495" s="128" t="str">
        <f>IF(Table3[[#This Row],[Actual End Date]]="","",TEXT(Table3[[#This Row],[Actual End Date]],"mmm-yy"))</f>
        <v/>
      </c>
    </row>
    <row r="1496" spans="2:15">
      <c r="B1496" s="64"/>
      <c r="C1496" s="64"/>
      <c r="D1496" s="64"/>
      <c r="E1496" s="64"/>
      <c r="F1496" s="64"/>
      <c r="G1496" s="64"/>
      <c r="H1496" s="64"/>
      <c r="I1496" s="64"/>
      <c r="J1496" s="64"/>
      <c r="K1496" s="64"/>
      <c r="L1496" s="64"/>
      <c r="M1496" s="64"/>
      <c r="N1496" s="127" t="str">
        <f>IF(ISNA(VLOOKUP(Table3[[#This Row],[Ticket]],Table1[],17,FALSE)),"",VLOOKUP(Table3[[#This Row],[Ticket]],Table1[],17,FALSE))</f>
        <v/>
      </c>
      <c r="O1496" s="128" t="str">
        <f>IF(Table3[[#This Row],[Actual End Date]]="","",TEXT(Table3[[#This Row],[Actual End Date]],"mmm-yy"))</f>
        <v/>
      </c>
    </row>
    <row r="1497" spans="2:15">
      <c r="B1497" s="64"/>
      <c r="C1497" s="64"/>
      <c r="D1497" s="64"/>
      <c r="E1497" s="64"/>
      <c r="F1497" s="64"/>
      <c r="G1497" s="64"/>
      <c r="H1497" s="64"/>
      <c r="I1497" s="64"/>
      <c r="J1497" s="64"/>
      <c r="K1497" s="64"/>
      <c r="L1497" s="64"/>
      <c r="M1497" s="64"/>
      <c r="N1497" s="127" t="str">
        <f>IF(ISNA(VLOOKUP(Table3[[#This Row],[Ticket]],Table1[],17,FALSE)),"",VLOOKUP(Table3[[#This Row],[Ticket]],Table1[],17,FALSE))</f>
        <v/>
      </c>
      <c r="O1497" s="128" t="str">
        <f>IF(Table3[[#This Row],[Actual End Date]]="","",TEXT(Table3[[#This Row],[Actual End Date]],"mmm-yy"))</f>
        <v/>
      </c>
    </row>
    <row r="1498" spans="2:15">
      <c r="B1498" s="64"/>
      <c r="C1498" s="64"/>
      <c r="D1498" s="64"/>
      <c r="E1498" s="64"/>
      <c r="F1498" s="64"/>
      <c r="G1498" s="64"/>
      <c r="H1498" s="64"/>
      <c r="I1498" s="64"/>
      <c r="J1498" s="64"/>
      <c r="K1498" s="64"/>
      <c r="L1498" s="64"/>
      <c r="M1498" s="64"/>
      <c r="N1498" s="127" t="str">
        <f>IF(ISNA(VLOOKUP(Table3[[#This Row],[Ticket]],Table1[],17,FALSE)),"",VLOOKUP(Table3[[#This Row],[Ticket]],Table1[],17,FALSE))</f>
        <v/>
      </c>
      <c r="O1498" s="128" t="str">
        <f>IF(Table3[[#This Row],[Actual End Date]]="","",TEXT(Table3[[#This Row],[Actual End Date]],"mmm-yy"))</f>
        <v/>
      </c>
    </row>
    <row r="1499" spans="2:15">
      <c r="B1499" s="64"/>
      <c r="C1499" s="64"/>
      <c r="D1499" s="64"/>
      <c r="E1499" s="64"/>
      <c r="F1499" s="64"/>
      <c r="G1499" s="64"/>
      <c r="H1499" s="64"/>
      <c r="I1499" s="64"/>
      <c r="J1499" s="64"/>
      <c r="K1499" s="64"/>
      <c r="L1499" s="64"/>
      <c r="M1499" s="64"/>
      <c r="N1499" s="127" t="str">
        <f>IF(ISNA(VLOOKUP(Table3[[#This Row],[Ticket]],Table1[],17,FALSE)),"",VLOOKUP(Table3[[#This Row],[Ticket]],Table1[],17,FALSE))</f>
        <v/>
      </c>
      <c r="O1499" s="128" t="str">
        <f>IF(Table3[[#This Row],[Actual End Date]]="","",TEXT(Table3[[#This Row],[Actual End Date]],"mmm-yy"))</f>
        <v/>
      </c>
    </row>
    <row r="1500" spans="2:15">
      <c r="B1500" s="64"/>
      <c r="C1500" s="64"/>
      <c r="D1500" s="64"/>
      <c r="E1500" s="64"/>
      <c r="F1500" s="64"/>
      <c r="G1500" s="64"/>
      <c r="H1500" s="64"/>
      <c r="I1500" s="64"/>
      <c r="J1500" s="64"/>
      <c r="K1500" s="64"/>
      <c r="L1500" s="64"/>
      <c r="M1500" s="64"/>
      <c r="N1500" s="127" t="str">
        <f>IF(ISNA(VLOOKUP(Table3[[#This Row],[Ticket]],Table1[],17,FALSE)),"",VLOOKUP(Table3[[#This Row],[Ticket]],Table1[],17,FALSE))</f>
        <v/>
      </c>
      <c r="O1500" s="128" t="str">
        <f>IF(Table3[[#This Row],[Actual End Date]]="","",TEXT(Table3[[#This Row],[Actual End Date]],"mmm-yy"))</f>
        <v/>
      </c>
    </row>
    <row r="1501" spans="2:15">
      <c r="B1501" s="64"/>
      <c r="C1501" s="64"/>
      <c r="D1501" s="64"/>
      <c r="E1501" s="64"/>
      <c r="F1501" s="64"/>
      <c r="G1501" s="64"/>
      <c r="H1501" s="64"/>
      <c r="I1501" s="64"/>
      <c r="J1501" s="64"/>
      <c r="K1501" s="64"/>
      <c r="L1501" s="64"/>
      <c r="M1501" s="64"/>
      <c r="N1501" s="127" t="str">
        <f>IF(ISNA(VLOOKUP(Table3[[#This Row],[Ticket]],Table1[],17,FALSE)),"",VLOOKUP(Table3[[#This Row],[Ticket]],Table1[],17,FALSE))</f>
        <v/>
      </c>
      <c r="O1501" s="128" t="str">
        <f>IF(Table3[[#This Row],[Actual End Date]]="","",TEXT(Table3[[#This Row],[Actual End Date]],"mmm-yy"))</f>
        <v/>
      </c>
    </row>
    <row r="1502" spans="2:15">
      <c r="B1502" s="64"/>
      <c r="C1502" s="64"/>
      <c r="D1502" s="64"/>
      <c r="E1502" s="64"/>
      <c r="F1502" s="64"/>
      <c r="G1502" s="64"/>
      <c r="H1502" s="64"/>
      <c r="I1502" s="64"/>
      <c r="J1502" s="64"/>
      <c r="K1502" s="64"/>
      <c r="L1502" s="64"/>
      <c r="M1502" s="64"/>
      <c r="N1502" s="127" t="str">
        <f>IF(ISNA(VLOOKUP(Table3[[#This Row],[Ticket]],Table1[],17,FALSE)),"",VLOOKUP(Table3[[#This Row],[Ticket]],Table1[],17,FALSE))</f>
        <v/>
      </c>
      <c r="O1502" s="128" t="str">
        <f>IF(Table3[[#This Row],[Actual End Date]]="","",TEXT(Table3[[#This Row],[Actual End Date]],"mmm-yy"))</f>
        <v/>
      </c>
    </row>
    <row r="1503" spans="2:15">
      <c r="B1503" s="64"/>
      <c r="C1503" s="64"/>
      <c r="D1503" s="64"/>
      <c r="E1503" s="64"/>
      <c r="F1503" s="64"/>
      <c r="G1503" s="64"/>
      <c r="H1503" s="64"/>
      <c r="I1503" s="64"/>
      <c r="J1503" s="64"/>
      <c r="K1503" s="64"/>
      <c r="L1503" s="64"/>
      <c r="M1503" s="64"/>
      <c r="N1503" s="127" t="str">
        <f>IF(ISNA(VLOOKUP(Table3[[#This Row],[Ticket]],Table1[],17,FALSE)),"",VLOOKUP(Table3[[#This Row],[Ticket]],Table1[],17,FALSE))</f>
        <v/>
      </c>
      <c r="O1503" s="128" t="str">
        <f>IF(Table3[[#This Row],[Actual End Date]]="","",TEXT(Table3[[#This Row],[Actual End Date]],"mmm-yy"))</f>
        <v/>
      </c>
    </row>
    <row r="1504" spans="2:15">
      <c r="B1504" s="64"/>
      <c r="C1504" s="64"/>
      <c r="D1504" s="64"/>
      <c r="E1504" s="64"/>
      <c r="F1504" s="64"/>
      <c r="G1504" s="64"/>
      <c r="H1504" s="64"/>
      <c r="I1504" s="64"/>
      <c r="J1504" s="64"/>
      <c r="K1504" s="64"/>
      <c r="L1504" s="64"/>
      <c r="M1504" s="64"/>
      <c r="N1504" s="127" t="str">
        <f>IF(ISNA(VLOOKUP(Table3[[#This Row],[Ticket]],Table1[],17,FALSE)),"",VLOOKUP(Table3[[#This Row],[Ticket]],Table1[],17,FALSE))</f>
        <v/>
      </c>
      <c r="O1504" s="128" t="str">
        <f>IF(Table3[[#This Row],[Actual End Date]]="","",TEXT(Table3[[#This Row],[Actual End Date]],"mmm-yy"))</f>
        <v/>
      </c>
    </row>
    <row r="1505" spans="2:15">
      <c r="B1505" s="64"/>
      <c r="C1505" s="64"/>
      <c r="D1505" s="64"/>
      <c r="E1505" s="64"/>
      <c r="F1505" s="64"/>
      <c r="G1505" s="64"/>
      <c r="H1505" s="64"/>
      <c r="I1505" s="64"/>
      <c r="J1505" s="64"/>
      <c r="K1505" s="64"/>
      <c r="L1505" s="64"/>
      <c r="M1505" s="64"/>
      <c r="N1505" s="127" t="str">
        <f>IF(ISNA(VLOOKUP(Table3[[#This Row],[Ticket]],Table1[],17,FALSE)),"",VLOOKUP(Table3[[#This Row],[Ticket]],Table1[],17,FALSE))</f>
        <v/>
      </c>
      <c r="O1505" s="128" t="str">
        <f>IF(Table3[[#This Row],[Actual End Date]]="","",TEXT(Table3[[#This Row],[Actual End Date]],"mmm-yy"))</f>
        <v/>
      </c>
    </row>
    <row r="1506" spans="2:15">
      <c r="B1506" s="64"/>
      <c r="C1506" s="64"/>
      <c r="D1506" s="64"/>
      <c r="E1506" s="64"/>
      <c r="F1506" s="64"/>
      <c r="G1506" s="64"/>
      <c r="H1506" s="64"/>
      <c r="I1506" s="64"/>
      <c r="J1506" s="64"/>
      <c r="K1506" s="64"/>
      <c r="L1506" s="64"/>
      <c r="M1506" s="64"/>
      <c r="N1506" s="127" t="str">
        <f>IF(ISNA(VLOOKUP(Table3[[#This Row],[Ticket]],Table1[],17,FALSE)),"",VLOOKUP(Table3[[#This Row],[Ticket]],Table1[],17,FALSE))</f>
        <v/>
      </c>
      <c r="O1506" s="128" t="str">
        <f>IF(Table3[[#This Row],[Actual End Date]]="","",TEXT(Table3[[#This Row],[Actual End Date]],"mmm-yy"))</f>
        <v/>
      </c>
    </row>
    <row r="1507" spans="2:15">
      <c r="B1507" s="64"/>
      <c r="C1507" s="64"/>
      <c r="D1507" s="64"/>
      <c r="E1507" s="64"/>
      <c r="F1507" s="64"/>
      <c r="G1507" s="64"/>
      <c r="H1507" s="64"/>
      <c r="I1507" s="64"/>
      <c r="J1507" s="64"/>
      <c r="K1507" s="64"/>
      <c r="L1507" s="64"/>
      <c r="M1507" s="64"/>
      <c r="N1507" s="127" t="str">
        <f>IF(ISNA(VLOOKUP(Table3[[#This Row],[Ticket]],Table1[],17,FALSE)),"",VLOOKUP(Table3[[#This Row],[Ticket]],Table1[],17,FALSE))</f>
        <v/>
      </c>
      <c r="O1507" s="128" t="str">
        <f>IF(Table3[[#This Row],[Actual End Date]]="","",TEXT(Table3[[#This Row],[Actual End Date]],"mmm-yy"))</f>
        <v/>
      </c>
    </row>
    <row r="1508" spans="2:15">
      <c r="B1508" s="64"/>
      <c r="C1508" s="64"/>
      <c r="D1508" s="64"/>
      <c r="E1508" s="64"/>
      <c r="F1508" s="64"/>
      <c r="G1508" s="64"/>
      <c r="H1508" s="64"/>
      <c r="I1508" s="64"/>
      <c r="J1508" s="64"/>
      <c r="K1508" s="64"/>
      <c r="L1508" s="64"/>
      <c r="M1508" s="64"/>
      <c r="N1508" s="127" t="str">
        <f>IF(ISNA(VLOOKUP(Table3[[#This Row],[Ticket]],Table1[],17,FALSE)),"",VLOOKUP(Table3[[#This Row],[Ticket]],Table1[],17,FALSE))</f>
        <v/>
      </c>
      <c r="O1508" s="128" t="str">
        <f>IF(Table3[[#This Row],[Actual End Date]]="","",TEXT(Table3[[#This Row],[Actual End Date]],"mmm-yy"))</f>
        <v/>
      </c>
    </row>
    <row r="1509" spans="2:15">
      <c r="B1509" s="64"/>
      <c r="C1509" s="64"/>
      <c r="D1509" s="64"/>
      <c r="E1509" s="64"/>
      <c r="F1509" s="64"/>
      <c r="G1509" s="64"/>
      <c r="H1509" s="64"/>
      <c r="I1509" s="64"/>
      <c r="J1509" s="64"/>
      <c r="K1509" s="64"/>
      <c r="L1509" s="64"/>
      <c r="M1509" s="64"/>
      <c r="N1509" s="127" t="str">
        <f>IF(ISNA(VLOOKUP(Table3[[#This Row],[Ticket]],Table1[],17,FALSE)),"",VLOOKUP(Table3[[#This Row],[Ticket]],Table1[],17,FALSE))</f>
        <v/>
      </c>
      <c r="O1509" s="128" t="str">
        <f>IF(Table3[[#This Row],[Actual End Date]]="","",TEXT(Table3[[#This Row],[Actual End Date]],"mmm-yy"))</f>
        <v/>
      </c>
    </row>
    <row r="1510" spans="2:15">
      <c r="B1510" s="64"/>
      <c r="C1510" s="64"/>
      <c r="D1510" s="64"/>
      <c r="E1510" s="64"/>
      <c r="F1510" s="64"/>
      <c r="G1510" s="64"/>
      <c r="H1510" s="64"/>
      <c r="I1510" s="64"/>
      <c r="J1510" s="64"/>
      <c r="K1510" s="64"/>
      <c r="L1510" s="64"/>
      <c r="M1510" s="64"/>
      <c r="N1510" s="127" t="str">
        <f>IF(ISNA(VLOOKUP(Table3[[#This Row],[Ticket]],Table1[],17,FALSE)),"",VLOOKUP(Table3[[#This Row],[Ticket]],Table1[],17,FALSE))</f>
        <v/>
      </c>
      <c r="O1510" s="128" t="str">
        <f>IF(Table3[[#This Row],[Actual End Date]]="","",TEXT(Table3[[#This Row],[Actual End Date]],"mmm-yy"))</f>
        <v/>
      </c>
    </row>
    <row r="1511" spans="2:15">
      <c r="B1511" s="64"/>
      <c r="C1511" s="64"/>
      <c r="D1511" s="64"/>
      <c r="E1511" s="64"/>
      <c r="F1511" s="64"/>
      <c r="G1511" s="64"/>
      <c r="H1511" s="64"/>
      <c r="I1511" s="64"/>
      <c r="J1511" s="64"/>
      <c r="K1511" s="64"/>
      <c r="L1511" s="64"/>
      <c r="M1511" s="64"/>
      <c r="N1511" s="127" t="str">
        <f>IF(ISNA(VLOOKUP(Table3[[#This Row],[Ticket]],Table1[],17,FALSE)),"",VLOOKUP(Table3[[#This Row],[Ticket]],Table1[],17,FALSE))</f>
        <v/>
      </c>
      <c r="O1511" s="128" t="str">
        <f>IF(Table3[[#This Row],[Actual End Date]]="","",TEXT(Table3[[#This Row],[Actual End Date]],"mmm-yy"))</f>
        <v/>
      </c>
    </row>
    <row r="1512" spans="2:15">
      <c r="B1512" s="64"/>
      <c r="C1512" s="64"/>
      <c r="D1512" s="64"/>
      <c r="E1512" s="64"/>
      <c r="F1512" s="64"/>
      <c r="G1512" s="64"/>
      <c r="H1512" s="64"/>
      <c r="I1512" s="64"/>
      <c r="J1512" s="64"/>
      <c r="K1512" s="64"/>
      <c r="L1512" s="64"/>
      <c r="M1512" s="64"/>
      <c r="N1512" s="127" t="str">
        <f>IF(ISNA(VLOOKUP(Table3[[#This Row],[Ticket]],Table1[],17,FALSE)),"",VLOOKUP(Table3[[#This Row],[Ticket]],Table1[],17,FALSE))</f>
        <v/>
      </c>
      <c r="O1512" s="128" t="str">
        <f>IF(Table3[[#This Row],[Actual End Date]]="","",TEXT(Table3[[#This Row],[Actual End Date]],"mmm-yy"))</f>
        <v/>
      </c>
    </row>
    <row r="1513" spans="2:15">
      <c r="B1513" s="64"/>
      <c r="C1513" s="64"/>
      <c r="D1513" s="64"/>
      <c r="E1513" s="64"/>
      <c r="F1513" s="64"/>
      <c r="G1513" s="64"/>
      <c r="H1513" s="64"/>
      <c r="I1513" s="64"/>
      <c r="J1513" s="64"/>
      <c r="K1513" s="64"/>
      <c r="L1513" s="64"/>
      <c r="M1513" s="64"/>
      <c r="N1513" s="127" t="str">
        <f>IF(ISNA(VLOOKUP(Table3[[#This Row],[Ticket]],Table1[],17,FALSE)),"",VLOOKUP(Table3[[#This Row],[Ticket]],Table1[],17,FALSE))</f>
        <v/>
      </c>
      <c r="O1513" s="128" t="str">
        <f>IF(Table3[[#This Row],[Actual End Date]]="","",TEXT(Table3[[#This Row],[Actual End Date]],"mmm-yy"))</f>
        <v/>
      </c>
    </row>
    <row r="1514" spans="2:15">
      <c r="B1514" s="64"/>
      <c r="C1514" s="64"/>
      <c r="D1514" s="64"/>
      <c r="E1514" s="64"/>
      <c r="F1514" s="64"/>
      <c r="G1514" s="64"/>
      <c r="H1514" s="64"/>
      <c r="I1514" s="64"/>
      <c r="J1514" s="64"/>
      <c r="K1514" s="64"/>
      <c r="L1514" s="64"/>
      <c r="M1514" s="64"/>
      <c r="N1514" s="127" t="str">
        <f>IF(ISNA(VLOOKUP(Table3[[#This Row],[Ticket]],Table1[],17,FALSE)),"",VLOOKUP(Table3[[#This Row],[Ticket]],Table1[],17,FALSE))</f>
        <v/>
      </c>
      <c r="O1514" s="128" t="str">
        <f>IF(Table3[[#This Row],[Actual End Date]]="","",TEXT(Table3[[#This Row],[Actual End Date]],"mmm-yy"))</f>
        <v/>
      </c>
    </row>
    <row r="1515" spans="2:15">
      <c r="B1515" s="64"/>
      <c r="C1515" s="64"/>
      <c r="D1515" s="64"/>
      <c r="E1515" s="64"/>
      <c r="F1515" s="64"/>
      <c r="G1515" s="64"/>
      <c r="H1515" s="64"/>
      <c r="I1515" s="64"/>
      <c r="J1515" s="64"/>
      <c r="K1515" s="64"/>
      <c r="L1515" s="64"/>
      <c r="M1515" s="64"/>
      <c r="N1515" s="127" t="str">
        <f>IF(ISNA(VLOOKUP(Table3[[#This Row],[Ticket]],Table1[],17,FALSE)),"",VLOOKUP(Table3[[#This Row],[Ticket]],Table1[],17,FALSE))</f>
        <v/>
      </c>
      <c r="O1515" s="128" t="str">
        <f>IF(Table3[[#This Row],[Actual End Date]]="","",TEXT(Table3[[#This Row],[Actual End Date]],"mmm-yy"))</f>
        <v/>
      </c>
    </row>
    <row r="1516" spans="2:15">
      <c r="B1516" s="64"/>
      <c r="C1516" s="64"/>
      <c r="D1516" s="64"/>
      <c r="E1516" s="64"/>
      <c r="F1516" s="64"/>
      <c r="G1516" s="64"/>
      <c r="H1516" s="64"/>
      <c r="I1516" s="64"/>
      <c r="J1516" s="64"/>
      <c r="K1516" s="64"/>
      <c r="L1516" s="64"/>
      <c r="M1516" s="64"/>
      <c r="N1516" s="127" t="str">
        <f>IF(ISNA(VLOOKUP(Table3[[#This Row],[Ticket]],Table1[],17,FALSE)),"",VLOOKUP(Table3[[#This Row],[Ticket]],Table1[],17,FALSE))</f>
        <v/>
      </c>
      <c r="O1516" s="128" t="str">
        <f>IF(Table3[[#This Row],[Actual End Date]]="","",TEXT(Table3[[#This Row],[Actual End Date]],"mmm-yy"))</f>
        <v/>
      </c>
    </row>
    <row r="1517" spans="2:15">
      <c r="B1517" s="64"/>
      <c r="C1517" s="64"/>
      <c r="D1517" s="64"/>
      <c r="E1517" s="64"/>
      <c r="F1517" s="64"/>
      <c r="G1517" s="64"/>
      <c r="H1517" s="64"/>
      <c r="I1517" s="64"/>
      <c r="J1517" s="64"/>
      <c r="K1517" s="64"/>
      <c r="L1517" s="64"/>
      <c r="M1517" s="64"/>
      <c r="N1517" s="127" t="str">
        <f>IF(ISNA(VLOOKUP(Table3[[#This Row],[Ticket]],Table1[],17,FALSE)),"",VLOOKUP(Table3[[#This Row],[Ticket]],Table1[],17,FALSE))</f>
        <v/>
      </c>
      <c r="O1517" s="128" t="str">
        <f>IF(Table3[[#This Row],[Actual End Date]]="","",TEXT(Table3[[#This Row],[Actual End Date]],"mmm-yy"))</f>
        <v/>
      </c>
    </row>
    <row r="1518" spans="2:15">
      <c r="B1518" s="64"/>
      <c r="C1518" s="64"/>
      <c r="D1518" s="64"/>
      <c r="E1518" s="64"/>
      <c r="F1518" s="64"/>
      <c r="G1518" s="64"/>
      <c r="H1518" s="64"/>
      <c r="I1518" s="64"/>
      <c r="J1518" s="64"/>
      <c r="K1518" s="64"/>
      <c r="L1518" s="64"/>
      <c r="M1518" s="64"/>
      <c r="N1518" s="127" t="str">
        <f>IF(ISNA(VLOOKUP(Table3[[#This Row],[Ticket]],Table1[],17,FALSE)),"",VLOOKUP(Table3[[#This Row],[Ticket]],Table1[],17,FALSE))</f>
        <v/>
      </c>
      <c r="O1518" s="128" t="str">
        <f>IF(Table3[[#This Row],[Actual End Date]]="","",TEXT(Table3[[#This Row],[Actual End Date]],"mmm-yy"))</f>
        <v/>
      </c>
    </row>
    <row r="1519" spans="2:15">
      <c r="B1519" s="64"/>
      <c r="C1519" s="64"/>
      <c r="D1519" s="64"/>
      <c r="E1519" s="64"/>
      <c r="F1519" s="64"/>
      <c r="G1519" s="64"/>
      <c r="H1519" s="64"/>
      <c r="I1519" s="64"/>
      <c r="J1519" s="64"/>
      <c r="K1519" s="64"/>
      <c r="L1519" s="64"/>
      <c r="M1519" s="64"/>
      <c r="N1519" s="127" t="str">
        <f>IF(ISNA(VLOOKUP(Table3[[#This Row],[Ticket]],Table1[],17,FALSE)),"",VLOOKUP(Table3[[#This Row],[Ticket]],Table1[],17,FALSE))</f>
        <v/>
      </c>
      <c r="O1519" s="128" t="str">
        <f>IF(Table3[[#This Row],[Actual End Date]]="","",TEXT(Table3[[#This Row],[Actual End Date]],"mmm-yy"))</f>
        <v/>
      </c>
    </row>
    <row r="1520" spans="2:15">
      <c r="B1520" s="64"/>
      <c r="C1520" s="64"/>
      <c r="D1520" s="64"/>
      <c r="E1520" s="64"/>
      <c r="F1520" s="64"/>
      <c r="G1520" s="64"/>
      <c r="H1520" s="64"/>
      <c r="I1520" s="64"/>
      <c r="J1520" s="64"/>
      <c r="K1520" s="64"/>
      <c r="L1520" s="64"/>
      <c r="M1520" s="64"/>
      <c r="N1520" s="127" t="str">
        <f>IF(ISNA(VLOOKUP(Table3[[#This Row],[Ticket]],Table1[],17,FALSE)),"",VLOOKUP(Table3[[#This Row],[Ticket]],Table1[],17,FALSE))</f>
        <v/>
      </c>
      <c r="O1520" s="128" t="str">
        <f>IF(Table3[[#This Row],[Actual End Date]]="","",TEXT(Table3[[#This Row],[Actual End Date]],"mmm-yy"))</f>
        <v/>
      </c>
    </row>
    <row r="1521" spans="2:15">
      <c r="B1521" s="64"/>
      <c r="C1521" s="64"/>
      <c r="D1521" s="64"/>
      <c r="E1521" s="64"/>
      <c r="F1521" s="64"/>
      <c r="G1521" s="64"/>
      <c r="H1521" s="64"/>
      <c r="I1521" s="64"/>
      <c r="J1521" s="64"/>
      <c r="K1521" s="64"/>
      <c r="L1521" s="64"/>
      <c r="M1521" s="64"/>
      <c r="N1521" s="127" t="str">
        <f>IF(ISNA(VLOOKUP(Table3[[#This Row],[Ticket]],Table1[],17,FALSE)),"",VLOOKUP(Table3[[#This Row],[Ticket]],Table1[],17,FALSE))</f>
        <v/>
      </c>
      <c r="O1521" s="128" t="str">
        <f>IF(Table3[[#This Row],[Actual End Date]]="","",TEXT(Table3[[#This Row],[Actual End Date]],"mmm-yy"))</f>
        <v/>
      </c>
    </row>
    <row r="1522" spans="2:15">
      <c r="B1522" s="64"/>
      <c r="C1522" s="64"/>
      <c r="D1522" s="64"/>
      <c r="E1522" s="64"/>
      <c r="F1522" s="64"/>
      <c r="G1522" s="64"/>
      <c r="H1522" s="64"/>
      <c r="I1522" s="64"/>
      <c r="J1522" s="64"/>
      <c r="K1522" s="64"/>
      <c r="L1522" s="64"/>
      <c r="M1522" s="64"/>
      <c r="N1522" s="127" t="str">
        <f>IF(ISNA(VLOOKUP(Table3[[#This Row],[Ticket]],Table1[],17,FALSE)),"",VLOOKUP(Table3[[#This Row],[Ticket]],Table1[],17,FALSE))</f>
        <v/>
      </c>
      <c r="O1522" s="128" t="str">
        <f>IF(Table3[[#This Row],[Actual End Date]]="","",TEXT(Table3[[#This Row],[Actual End Date]],"mmm-yy"))</f>
        <v/>
      </c>
    </row>
    <row r="1523" spans="2:15">
      <c r="B1523" s="64"/>
      <c r="C1523" s="64"/>
      <c r="D1523" s="64"/>
      <c r="E1523" s="64"/>
      <c r="F1523" s="64"/>
      <c r="G1523" s="64"/>
      <c r="H1523" s="64"/>
      <c r="I1523" s="64"/>
      <c r="J1523" s="64"/>
      <c r="K1523" s="64"/>
      <c r="L1523" s="64"/>
      <c r="M1523" s="64"/>
      <c r="N1523" s="127" t="str">
        <f>IF(ISNA(VLOOKUP(Table3[[#This Row],[Ticket]],Table1[],17,FALSE)),"",VLOOKUP(Table3[[#This Row],[Ticket]],Table1[],17,FALSE))</f>
        <v/>
      </c>
      <c r="O1523" s="128" t="str">
        <f>IF(Table3[[#This Row],[Actual End Date]]="","",TEXT(Table3[[#This Row],[Actual End Date]],"mmm-yy"))</f>
        <v/>
      </c>
    </row>
    <row r="1524" spans="2:15">
      <c r="B1524" s="64"/>
      <c r="C1524" s="64"/>
      <c r="D1524" s="64"/>
      <c r="E1524" s="64"/>
      <c r="F1524" s="64"/>
      <c r="G1524" s="64"/>
      <c r="H1524" s="64"/>
      <c r="I1524" s="64"/>
      <c r="J1524" s="64"/>
      <c r="K1524" s="64"/>
      <c r="L1524" s="64"/>
      <c r="M1524" s="64"/>
      <c r="N1524" s="127" t="str">
        <f>IF(ISNA(VLOOKUP(Table3[[#This Row],[Ticket]],Table1[],17,FALSE)),"",VLOOKUP(Table3[[#This Row],[Ticket]],Table1[],17,FALSE))</f>
        <v/>
      </c>
      <c r="O1524" s="128" t="str">
        <f>IF(Table3[[#This Row],[Actual End Date]]="","",TEXT(Table3[[#This Row],[Actual End Date]],"mmm-yy"))</f>
        <v/>
      </c>
    </row>
    <row r="1525" spans="2:15">
      <c r="B1525" s="64"/>
      <c r="C1525" s="64"/>
      <c r="D1525" s="64"/>
      <c r="E1525" s="64"/>
      <c r="F1525" s="64"/>
      <c r="G1525" s="64"/>
      <c r="H1525" s="64"/>
      <c r="I1525" s="64"/>
      <c r="J1525" s="64"/>
      <c r="K1525" s="64"/>
      <c r="L1525" s="64"/>
      <c r="M1525" s="64"/>
      <c r="N1525" s="127" t="str">
        <f>IF(ISNA(VLOOKUP(Table3[[#This Row],[Ticket]],Table1[],17,FALSE)),"",VLOOKUP(Table3[[#This Row],[Ticket]],Table1[],17,FALSE))</f>
        <v/>
      </c>
      <c r="O1525" s="128" t="str">
        <f>IF(Table3[[#This Row],[Actual End Date]]="","",TEXT(Table3[[#This Row],[Actual End Date]],"mmm-yy"))</f>
        <v/>
      </c>
    </row>
    <row r="1526" spans="2:15">
      <c r="B1526" s="64"/>
      <c r="C1526" s="64"/>
      <c r="D1526" s="64"/>
      <c r="E1526" s="64"/>
      <c r="F1526" s="64"/>
      <c r="G1526" s="64"/>
      <c r="H1526" s="64"/>
      <c r="I1526" s="64"/>
      <c r="J1526" s="64"/>
      <c r="K1526" s="64"/>
      <c r="L1526" s="64"/>
      <c r="M1526" s="64"/>
      <c r="N1526" s="127" t="str">
        <f>IF(ISNA(VLOOKUP(Table3[[#This Row],[Ticket]],Table1[],17,FALSE)),"",VLOOKUP(Table3[[#This Row],[Ticket]],Table1[],17,FALSE))</f>
        <v/>
      </c>
      <c r="O1526" s="128" t="str">
        <f>IF(Table3[[#This Row],[Actual End Date]]="","",TEXT(Table3[[#This Row],[Actual End Date]],"mmm-yy"))</f>
        <v/>
      </c>
    </row>
    <row r="1527" spans="2:15">
      <c r="B1527" s="64"/>
      <c r="C1527" s="64"/>
      <c r="D1527" s="64"/>
      <c r="E1527" s="64"/>
      <c r="F1527" s="64"/>
      <c r="G1527" s="64"/>
      <c r="H1527" s="64"/>
      <c r="I1527" s="64"/>
      <c r="J1527" s="64"/>
      <c r="K1527" s="64"/>
      <c r="L1527" s="64"/>
      <c r="M1527" s="64"/>
      <c r="N1527" s="127" t="str">
        <f>IF(ISNA(VLOOKUP(Table3[[#This Row],[Ticket]],Table1[],17,FALSE)),"",VLOOKUP(Table3[[#This Row],[Ticket]],Table1[],17,FALSE))</f>
        <v/>
      </c>
      <c r="O1527" s="128" t="str">
        <f>IF(Table3[[#This Row],[Actual End Date]]="","",TEXT(Table3[[#This Row],[Actual End Date]],"mmm-yy"))</f>
        <v/>
      </c>
    </row>
    <row r="1528" spans="2:15">
      <c r="B1528" s="64"/>
      <c r="C1528" s="64"/>
      <c r="D1528" s="64"/>
      <c r="E1528" s="64"/>
      <c r="F1528" s="64"/>
      <c r="G1528" s="64"/>
      <c r="H1528" s="64"/>
      <c r="I1528" s="64"/>
      <c r="J1528" s="64"/>
      <c r="K1528" s="64"/>
      <c r="L1528" s="64"/>
      <c r="M1528" s="64"/>
      <c r="N1528" s="127" t="str">
        <f>IF(ISNA(VLOOKUP(Table3[[#This Row],[Ticket]],Table1[],17,FALSE)),"",VLOOKUP(Table3[[#This Row],[Ticket]],Table1[],17,FALSE))</f>
        <v/>
      </c>
      <c r="O1528" s="128" t="str">
        <f>IF(Table3[[#This Row],[Actual End Date]]="","",TEXT(Table3[[#This Row],[Actual End Date]],"mmm-yy"))</f>
        <v/>
      </c>
    </row>
    <row r="1529" spans="2:15">
      <c r="B1529" s="64"/>
      <c r="C1529" s="64"/>
      <c r="D1529" s="64"/>
      <c r="E1529" s="64"/>
      <c r="F1529" s="64"/>
      <c r="G1529" s="64"/>
      <c r="H1529" s="64"/>
      <c r="I1529" s="64"/>
      <c r="J1529" s="64"/>
      <c r="K1529" s="64"/>
      <c r="L1529" s="64"/>
      <c r="M1529" s="64"/>
      <c r="N1529" s="127" t="str">
        <f>IF(ISNA(VLOOKUP(Table3[[#This Row],[Ticket]],Table1[],17,FALSE)),"",VLOOKUP(Table3[[#This Row],[Ticket]],Table1[],17,FALSE))</f>
        <v/>
      </c>
      <c r="O1529" s="128" t="str">
        <f>IF(Table3[[#This Row],[Actual End Date]]="","",TEXT(Table3[[#This Row],[Actual End Date]],"mmm-yy"))</f>
        <v/>
      </c>
    </row>
    <row r="1530" spans="2:15">
      <c r="B1530" s="64"/>
      <c r="C1530" s="64"/>
      <c r="D1530" s="64"/>
      <c r="E1530" s="64"/>
      <c r="F1530" s="64"/>
      <c r="G1530" s="64"/>
      <c r="H1530" s="64"/>
      <c r="I1530" s="64"/>
      <c r="J1530" s="64"/>
      <c r="K1530" s="64"/>
      <c r="L1530" s="64"/>
      <c r="M1530" s="64"/>
      <c r="N1530" s="127" t="str">
        <f>IF(ISNA(VLOOKUP(Table3[[#This Row],[Ticket]],Table1[],17,FALSE)),"",VLOOKUP(Table3[[#This Row],[Ticket]],Table1[],17,FALSE))</f>
        <v/>
      </c>
      <c r="O1530" s="128" t="str">
        <f>IF(Table3[[#This Row],[Actual End Date]]="","",TEXT(Table3[[#This Row],[Actual End Date]],"mmm-yy"))</f>
        <v/>
      </c>
    </row>
    <row r="1531" spans="2:15">
      <c r="B1531" s="64"/>
      <c r="C1531" s="64"/>
      <c r="D1531" s="64"/>
      <c r="E1531" s="64"/>
      <c r="F1531" s="64"/>
      <c r="G1531" s="64"/>
      <c r="H1531" s="64"/>
      <c r="I1531" s="64"/>
      <c r="J1531" s="64"/>
      <c r="K1531" s="64"/>
      <c r="L1531" s="64"/>
      <c r="M1531" s="64"/>
      <c r="N1531" s="127" t="str">
        <f>IF(ISNA(VLOOKUP(Table3[[#This Row],[Ticket]],Table1[],17,FALSE)),"",VLOOKUP(Table3[[#This Row],[Ticket]],Table1[],17,FALSE))</f>
        <v/>
      </c>
      <c r="O1531" s="128" t="str">
        <f>IF(Table3[[#This Row],[Actual End Date]]="","",TEXT(Table3[[#This Row],[Actual End Date]],"mmm-yy"))</f>
        <v/>
      </c>
    </row>
    <row r="1532" spans="2:15">
      <c r="B1532" s="64"/>
      <c r="C1532" s="64"/>
      <c r="D1532" s="64"/>
      <c r="E1532" s="64"/>
      <c r="F1532" s="64"/>
      <c r="G1532" s="64"/>
      <c r="H1532" s="64"/>
      <c r="I1532" s="64"/>
      <c r="J1532" s="64"/>
      <c r="K1532" s="64"/>
      <c r="L1532" s="64"/>
      <c r="M1532" s="64"/>
      <c r="N1532" s="127" t="str">
        <f>IF(ISNA(VLOOKUP(Table3[[#This Row],[Ticket]],Table1[],17,FALSE)),"",VLOOKUP(Table3[[#This Row],[Ticket]],Table1[],17,FALSE))</f>
        <v/>
      </c>
      <c r="O1532" s="128" t="str">
        <f>IF(Table3[[#This Row],[Actual End Date]]="","",TEXT(Table3[[#This Row],[Actual End Date]],"mmm-yy"))</f>
        <v/>
      </c>
    </row>
    <row r="1533" spans="2:15">
      <c r="B1533" s="64"/>
      <c r="C1533" s="64"/>
      <c r="D1533" s="64"/>
      <c r="E1533" s="64"/>
      <c r="F1533" s="64"/>
      <c r="G1533" s="64"/>
      <c r="H1533" s="64"/>
      <c r="I1533" s="64"/>
      <c r="J1533" s="64"/>
      <c r="K1533" s="64"/>
      <c r="L1533" s="64"/>
      <c r="M1533" s="64"/>
      <c r="N1533" s="127" t="str">
        <f>IF(ISNA(VLOOKUP(Table3[[#This Row],[Ticket]],Table1[],17,FALSE)),"",VLOOKUP(Table3[[#This Row],[Ticket]],Table1[],17,FALSE))</f>
        <v/>
      </c>
      <c r="O1533" s="128" t="str">
        <f>IF(Table3[[#This Row],[Actual End Date]]="","",TEXT(Table3[[#This Row],[Actual End Date]],"mmm-yy"))</f>
        <v/>
      </c>
    </row>
    <row r="1534" spans="2:15">
      <c r="B1534" s="64"/>
      <c r="C1534" s="64"/>
      <c r="D1534" s="64"/>
      <c r="E1534" s="64"/>
      <c r="F1534" s="64"/>
      <c r="G1534" s="64"/>
      <c r="H1534" s="64"/>
      <c r="I1534" s="64"/>
      <c r="J1534" s="64"/>
      <c r="K1534" s="64"/>
      <c r="L1534" s="64"/>
      <c r="M1534" s="64"/>
      <c r="N1534" s="127" t="str">
        <f>IF(ISNA(VLOOKUP(Table3[[#This Row],[Ticket]],Table1[],17,FALSE)),"",VLOOKUP(Table3[[#This Row],[Ticket]],Table1[],17,FALSE))</f>
        <v/>
      </c>
      <c r="O1534" s="128" t="str">
        <f>IF(Table3[[#This Row],[Actual End Date]]="","",TEXT(Table3[[#This Row],[Actual End Date]],"mmm-yy"))</f>
        <v/>
      </c>
    </row>
    <row r="1535" spans="2:15">
      <c r="B1535" s="64"/>
      <c r="C1535" s="64"/>
      <c r="D1535" s="64"/>
      <c r="E1535" s="64"/>
      <c r="F1535" s="64"/>
      <c r="G1535" s="64"/>
      <c r="H1535" s="64"/>
      <c r="I1535" s="64"/>
      <c r="J1535" s="64"/>
      <c r="K1535" s="64"/>
      <c r="L1535" s="64"/>
      <c r="M1535" s="64"/>
      <c r="N1535" s="127" t="str">
        <f>IF(ISNA(VLOOKUP(Table3[[#This Row],[Ticket]],Table1[],17,FALSE)),"",VLOOKUP(Table3[[#This Row],[Ticket]],Table1[],17,FALSE))</f>
        <v/>
      </c>
      <c r="O1535" s="128" t="str">
        <f>IF(Table3[[#This Row],[Actual End Date]]="","",TEXT(Table3[[#This Row],[Actual End Date]],"mmm-yy"))</f>
        <v/>
      </c>
    </row>
    <row r="1536" spans="2:15">
      <c r="B1536" s="64"/>
      <c r="C1536" s="64"/>
      <c r="D1536" s="64"/>
      <c r="E1536" s="64"/>
      <c r="F1536" s="64"/>
      <c r="G1536" s="64"/>
      <c r="H1536" s="64"/>
      <c r="I1536" s="64"/>
      <c r="J1536" s="64"/>
      <c r="K1536" s="64"/>
      <c r="L1536" s="64"/>
      <c r="M1536" s="64"/>
      <c r="N1536" s="127" t="str">
        <f>IF(ISNA(VLOOKUP(Table3[[#This Row],[Ticket]],Table1[],17,FALSE)),"",VLOOKUP(Table3[[#This Row],[Ticket]],Table1[],17,FALSE))</f>
        <v/>
      </c>
      <c r="O1536" s="128" t="str">
        <f>IF(Table3[[#This Row],[Actual End Date]]="","",TEXT(Table3[[#This Row],[Actual End Date]],"mmm-yy"))</f>
        <v/>
      </c>
    </row>
    <row r="1537" spans="2:15">
      <c r="B1537" s="64"/>
      <c r="C1537" s="64"/>
      <c r="D1537" s="64"/>
      <c r="E1537" s="64"/>
      <c r="F1537" s="64"/>
      <c r="G1537" s="64"/>
      <c r="H1537" s="64"/>
      <c r="I1537" s="64"/>
      <c r="J1537" s="64"/>
      <c r="K1537" s="64"/>
      <c r="L1537" s="64"/>
      <c r="M1537" s="64"/>
      <c r="N1537" s="127" t="str">
        <f>IF(ISNA(VLOOKUP(Table3[[#This Row],[Ticket]],Table1[],17,FALSE)),"",VLOOKUP(Table3[[#This Row],[Ticket]],Table1[],17,FALSE))</f>
        <v/>
      </c>
      <c r="O1537" s="128" t="str">
        <f>IF(Table3[[#This Row],[Actual End Date]]="","",TEXT(Table3[[#This Row],[Actual End Date]],"mmm-yy"))</f>
        <v/>
      </c>
    </row>
    <row r="1538" spans="2:15">
      <c r="B1538" s="64"/>
      <c r="C1538" s="64"/>
      <c r="D1538" s="64"/>
      <c r="E1538" s="64"/>
      <c r="F1538" s="64"/>
      <c r="G1538" s="64"/>
      <c r="H1538" s="64"/>
      <c r="I1538" s="64"/>
      <c r="J1538" s="64"/>
      <c r="K1538" s="64"/>
      <c r="L1538" s="64"/>
      <c r="M1538" s="64"/>
      <c r="N1538" s="127" t="str">
        <f>IF(ISNA(VLOOKUP(Table3[[#This Row],[Ticket]],Table1[],17,FALSE)),"",VLOOKUP(Table3[[#This Row],[Ticket]],Table1[],17,FALSE))</f>
        <v/>
      </c>
      <c r="O1538" s="128" t="str">
        <f>IF(Table3[[#This Row],[Actual End Date]]="","",TEXT(Table3[[#This Row],[Actual End Date]],"mmm-yy"))</f>
        <v/>
      </c>
    </row>
    <row r="1539" spans="2:15">
      <c r="B1539" s="64"/>
      <c r="C1539" s="64"/>
      <c r="D1539" s="64"/>
      <c r="E1539" s="64"/>
      <c r="F1539" s="64"/>
      <c r="G1539" s="64"/>
      <c r="H1539" s="64"/>
      <c r="I1539" s="64"/>
      <c r="J1539" s="64"/>
      <c r="K1539" s="64"/>
      <c r="L1539" s="64"/>
      <c r="M1539" s="64"/>
      <c r="N1539" s="127" t="str">
        <f>IF(ISNA(VLOOKUP(Table3[[#This Row],[Ticket]],Table1[],17,FALSE)),"",VLOOKUP(Table3[[#This Row],[Ticket]],Table1[],17,FALSE))</f>
        <v/>
      </c>
      <c r="O1539" s="128" t="str">
        <f>IF(Table3[[#This Row],[Actual End Date]]="","",TEXT(Table3[[#This Row],[Actual End Date]],"mmm-yy"))</f>
        <v/>
      </c>
    </row>
    <row r="1540" spans="2:15">
      <c r="B1540" s="64"/>
      <c r="C1540" s="64"/>
      <c r="D1540" s="64"/>
      <c r="E1540" s="64"/>
      <c r="F1540" s="64"/>
      <c r="G1540" s="64"/>
      <c r="H1540" s="64"/>
      <c r="I1540" s="64"/>
      <c r="J1540" s="64"/>
      <c r="K1540" s="64"/>
      <c r="L1540" s="64"/>
      <c r="M1540" s="64"/>
      <c r="N1540" s="127" t="str">
        <f>IF(ISNA(VLOOKUP(Table3[[#This Row],[Ticket]],Table1[],17,FALSE)),"",VLOOKUP(Table3[[#This Row],[Ticket]],Table1[],17,FALSE))</f>
        <v/>
      </c>
      <c r="O1540" s="128" t="str">
        <f>IF(Table3[[#This Row],[Actual End Date]]="","",TEXT(Table3[[#This Row],[Actual End Date]],"mmm-yy"))</f>
        <v/>
      </c>
    </row>
    <row r="1541" spans="2:15">
      <c r="B1541" s="64"/>
      <c r="C1541" s="64"/>
      <c r="D1541" s="64"/>
      <c r="E1541" s="64"/>
      <c r="F1541" s="64"/>
      <c r="G1541" s="64"/>
      <c r="H1541" s="64"/>
      <c r="I1541" s="64"/>
      <c r="J1541" s="64"/>
      <c r="K1541" s="64"/>
      <c r="L1541" s="64"/>
      <c r="M1541" s="64"/>
      <c r="N1541" s="127" t="str">
        <f>IF(ISNA(VLOOKUP(Table3[[#This Row],[Ticket]],Table1[],17,FALSE)),"",VLOOKUP(Table3[[#This Row],[Ticket]],Table1[],17,FALSE))</f>
        <v/>
      </c>
      <c r="O1541" s="128" t="str">
        <f>IF(Table3[[#This Row],[Actual End Date]]="","",TEXT(Table3[[#This Row],[Actual End Date]],"mmm-yy"))</f>
        <v/>
      </c>
    </row>
    <row r="1542" spans="2:15">
      <c r="B1542" s="64"/>
      <c r="C1542" s="64"/>
      <c r="D1542" s="64"/>
      <c r="E1542" s="64"/>
      <c r="F1542" s="64"/>
      <c r="G1542" s="64"/>
      <c r="H1542" s="64"/>
      <c r="I1542" s="64"/>
      <c r="J1542" s="64"/>
      <c r="K1542" s="64"/>
      <c r="L1542" s="64"/>
      <c r="M1542" s="64"/>
      <c r="N1542" s="127" t="str">
        <f>IF(ISNA(VLOOKUP(Table3[[#This Row],[Ticket]],Table1[],17,FALSE)),"",VLOOKUP(Table3[[#This Row],[Ticket]],Table1[],17,FALSE))</f>
        <v/>
      </c>
      <c r="O1542" s="128" t="str">
        <f>IF(Table3[[#This Row],[Actual End Date]]="","",TEXT(Table3[[#This Row],[Actual End Date]],"mmm-yy"))</f>
        <v/>
      </c>
    </row>
    <row r="1543" spans="2:15">
      <c r="B1543" s="64"/>
      <c r="C1543" s="64"/>
      <c r="D1543" s="64"/>
      <c r="E1543" s="64"/>
      <c r="F1543" s="64"/>
      <c r="G1543" s="64"/>
      <c r="H1543" s="64"/>
      <c r="I1543" s="64"/>
      <c r="J1543" s="64"/>
      <c r="K1543" s="64"/>
      <c r="L1543" s="64"/>
      <c r="M1543" s="64"/>
      <c r="N1543" s="127" t="str">
        <f>IF(ISNA(VLOOKUP(Table3[[#This Row],[Ticket]],Table1[],17,FALSE)),"",VLOOKUP(Table3[[#This Row],[Ticket]],Table1[],17,FALSE))</f>
        <v/>
      </c>
      <c r="O1543" s="128" t="str">
        <f>IF(Table3[[#This Row],[Actual End Date]]="","",TEXT(Table3[[#This Row],[Actual End Date]],"mmm-yy"))</f>
        <v/>
      </c>
    </row>
    <row r="1544" spans="2:15">
      <c r="B1544" s="64"/>
      <c r="C1544" s="64"/>
      <c r="D1544" s="64"/>
      <c r="E1544" s="64"/>
      <c r="F1544" s="64"/>
      <c r="G1544" s="64"/>
      <c r="H1544" s="64"/>
      <c r="I1544" s="64"/>
      <c r="J1544" s="64"/>
      <c r="K1544" s="64"/>
      <c r="L1544" s="64"/>
      <c r="M1544" s="64"/>
      <c r="N1544" s="127" t="str">
        <f>IF(ISNA(VLOOKUP(Table3[[#This Row],[Ticket]],Table1[],17,FALSE)),"",VLOOKUP(Table3[[#This Row],[Ticket]],Table1[],17,FALSE))</f>
        <v/>
      </c>
      <c r="O1544" s="128" t="str">
        <f>IF(Table3[[#This Row],[Actual End Date]]="","",TEXT(Table3[[#This Row],[Actual End Date]],"mmm-yy"))</f>
        <v/>
      </c>
    </row>
    <row r="1545" spans="2:15">
      <c r="B1545" s="64"/>
      <c r="C1545" s="64"/>
      <c r="D1545" s="64"/>
      <c r="E1545" s="64"/>
      <c r="F1545" s="64"/>
      <c r="G1545" s="64"/>
      <c r="H1545" s="64"/>
      <c r="I1545" s="64"/>
      <c r="J1545" s="64"/>
      <c r="K1545" s="64"/>
      <c r="L1545" s="64"/>
      <c r="M1545" s="64"/>
      <c r="N1545" s="127" t="str">
        <f>IF(ISNA(VLOOKUP(Table3[[#This Row],[Ticket]],Table1[],17,FALSE)),"",VLOOKUP(Table3[[#This Row],[Ticket]],Table1[],17,FALSE))</f>
        <v/>
      </c>
      <c r="O1545" s="128" t="str">
        <f>IF(Table3[[#This Row],[Actual End Date]]="","",TEXT(Table3[[#This Row],[Actual End Date]],"mmm-yy"))</f>
        <v/>
      </c>
    </row>
    <row r="1546" spans="2:15">
      <c r="B1546" s="64"/>
      <c r="C1546" s="64"/>
      <c r="D1546" s="64"/>
      <c r="E1546" s="64"/>
      <c r="F1546" s="64"/>
      <c r="G1546" s="64"/>
      <c r="H1546" s="64"/>
      <c r="I1546" s="64"/>
      <c r="J1546" s="64"/>
      <c r="K1546" s="64"/>
      <c r="L1546" s="64"/>
      <c r="M1546" s="64"/>
      <c r="N1546" s="127" t="str">
        <f>IF(ISNA(VLOOKUP(Table3[[#This Row],[Ticket]],Table1[],17,FALSE)),"",VLOOKUP(Table3[[#This Row],[Ticket]],Table1[],17,FALSE))</f>
        <v/>
      </c>
      <c r="O1546" s="128" t="str">
        <f>IF(Table3[[#This Row],[Actual End Date]]="","",TEXT(Table3[[#This Row],[Actual End Date]],"mmm-yy"))</f>
        <v/>
      </c>
    </row>
    <row r="1547" spans="2:15">
      <c r="B1547" s="64"/>
      <c r="C1547" s="64"/>
      <c r="D1547" s="64"/>
      <c r="E1547" s="64"/>
      <c r="F1547" s="64"/>
      <c r="G1547" s="64"/>
      <c r="H1547" s="64"/>
      <c r="I1547" s="64"/>
      <c r="J1547" s="64"/>
      <c r="K1547" s="64"/>
      <c r="L1547" s="64"/>
      <c r="M1547" s="64"/>
      <c r="N1547" s="127" t="str">
        <f>IF(ISNA(VLOOKUP(Table3[[#This Row],[Ticket]],Table1[],17,FALSE)),"",VLOOKUP(Table3[[#This Row],[Ticket]],Table1[],17,FALSE))</f>
        <v/>
      </c>
      <c r="O1547" s="128" t="str">
        <f>IF(Table3[[#This Row],[Actual End Date]]="","",TEXT(Table3[[#This Row],[Actual End Date]],"mmm-yy"))</f>
        <v/>
      </c>
    </row>
    <row r="1548" spans="2:15">
      <c r="B1548" s="64"/>
      <c r="C1548" s="64"/>
      <c r="D1548" s="64"/>
      <c r="E1548" s="64"/>
      <c r="F1548" s="64"/>
      <c r="G1548" s="64"/>
      <c r="H1548" s="64"/>
      <c r="I1548" s="64"/>
      <c r="J1548" s="64"/>
      <c r="K1548" s="64"/>
      <c r="L1548" s="64"/>
      <c r="M1548" s="64"/>
      <c r="N1548" s="127" t="str">
        <f>IF(ISNA(VLOOKUP(Table3[[#This Row],[Ticket]],Table1[],17,FALSE)),"",VLOOKUP(Table3[[#This Row],[Ticket]],Table1[],17,FALSE))</f>
        <v/>
      </c>
      <c r="O1548" s="128" t="str">
        <f>IF(Table3[[#This Row],[Actual End Date]]="","",TEXT(Table3[[#This Row],[Actual End Date]],"mmm-yy"))</f>
        <v/>
      </c>
    </row>
    <row r="1549" spans="2:15">
      <c r="B1549" s="64"/>
      <c r="C1549" s="64"/>
      <c r="D1549" s="64"/>
      <c r="E1549" s="64"/>
      <c r="F1549" s="64"/>
      <c r="G1549" s="64"/>
      <c r="H1549" s="64"/>
      <c r="I1549" s="64"/>
      <c r="J1549" s="64"/>
      <c r="K1549" s="64"/>
      <c r="L1549" s="64"/>
      <c r="M1549" s="64"/>
      <c r="N1549" s="127" t="str">
        <f>IF(ISNA(VLOOKUP(Table3[[#This Row],[Ticket]],Table1[],17,FALSE)),"",VLOOKUP(Table3[[#This Row],[Ticket]],Table1[],17,FALSE))</f>
        <v/>
      </c>
      <c r="O1549" s="128" t="str">
        <f>IF(Table3[[#This Row],[Actual End Date]]="","",TEXT(Table3[[#This Row],[Actual End Date]],"mmm-yy"))</f>
        <v/>
      </c>
    </row>
    <row r="1550" spans="2:15">
      <c r="B1550" s="64"/>
      <c r="C1550" s="64"/>
      <c r="D1550" s="64"/>
      <c r="E1550" s="64"/>
      <c r="F1550" s="64"/>
      <c r="G1550" s="64"/>
      <c r="H1550" s="64"/>
      <c r="I1550" s="64"/>
      <c r="J1550" s="64"/>
      <c r="K1550" s="64"/>
      <c r="L1550" s="64"/>
      <c r="M1550" s="64"/>
      <c r="N1550" s="127" t="str">
        <f>IF(ISNA(VLOOKUP(Table3[[#This Row],[Ticket]],Table1[],17,FALSE)),"",VLOOKUP(Table3[[#This Row],[Ticket]],Table1[],17,FALSE))</f>
        <v/>
      </c>
      <c r="O1550" s="128" t="str">
        <f>IF(Table3[[#This Row],[Actual End Date]]="","",TEXT(Table3[[#This Row],[Actual End Date]],"mmm-yy"))</f>
        <v/>
      </c>
    </row>
    <row r="1551" spans="2:15">
      <c r="B1551" s="64"/>
      <c r="C1551" s="64"/>
      <c r="D1551" s="64"/>
      <c r="E1551" s="64"/>
      <c r="F1551" s="64"/>
      <c r="G1551" s="64"/>
      <c r="H1551" s="64"/>
      <c r="I1551" s="64"/>
      <c r="J1551" s="64"/>
      <c r="K1551" s="64"/>
      <c r="L1551" s="64"/>
      <c r="M1551" s="64"/>
      <c r="N1551" s="127" t="str">
        <f>IF(ISNA(VLOOKUP(Table3[[#This Row],[Ticket]],Table1[],17,FALSE)),"",VLOOKUP(Table3[[#This Row],[Ticket]],Table1[],17,FALSE))</f>
        <v/>
      </c>
      <c r="O1551" s="128" t="str">
        <f>IF(Table3[[#This Row],[Actual End Date]]="","",TEXT(Table3[[#This Row],[Actual End Date]],"mmm-yy"))</f>
        <v/>
      </c>
    </row>
    <row r="1552" spans="2:15">
      <c r="B1552" s="64"/>
      <c r="C1552" s="64"/>
      <c r="D1552" s="64"/>
      <c r="E1552" s="64"/>
      <c r="F1552" s="64"/>
      <c r="G1552" s="64"/>
      <c r="H1552" s="64"/>
      <c r="I1552" s="64"/>
      <c r="J1552" s="64"/>
      <c r="K1552" s="64"/>
      <c r="L1552" s="64"/>
      <c r="M1552" s="64"/>
      <c r="N1552" s="127" t="str">
        <f>IF(ISNA(VLOOKUP(Table3[[#This Row],[Ticket]],Table1[],17,FALSE)),"",VLOOKUP(Table3[[#This Row],[Ticket]],Table1[],17,FALSE))</f>
        <v/>
      </c>
      <c r="O1552" s="128" t="str">
        <f>IF(Table3[[#This Row],[Actual End Date]]="","",TEXT(Table3[[#This Row],[Actual End Date]],"mmm-yy"))</f>
        <v/>
      </c>
    </row>
    <row r="1553" spans="2:15">
      <c r="B1553" s="64"/>
      <c r="C1553" s="64"/>
      <c r="D1553" s="64"/>
      <c r="E1553" s="64"/>
      <c r="F1553" s="64"/>
      <c r="G1553" s="64"/>
      <c r="H1553" s="64"/>
      <c r="I1553" s="64"/>
      <c r="J1553" s="64"/>
      <c r="K1553" s="64"/>
      <c r="L1553" s="64"/>
      <c r="M1553" s="64"/>
      <c r="N1553" s="127" t="str">
        <f>IF(ISNA(VLOOKUP(Table3[[#This Row],[Ticket]],Table1[],17,FALSE)),"",VLOOKUP(Table3[[#This Row],[Ticket]],Table1[],17,FALSE))</f>
        <v/>
      </c>
      <c r="O1553" s="128" t="str">
        <f>IF(Table3[[#This Row],[Actual End Date]]="","",TEXT(Table3[[#This Row],[Actual End Date]],"mmm-yy"))</f>
        <v/>
      </c>
    </row>
    <row r="1554" spans="2:15">
      <c r="B1554" s="64"/>
      <c r="C1554" s="64"/>
      <c r="D1554" s="64"/>
      <c r="E1554" s="64"/>
      <c r="F1554" s="64"/>
      <c r="G1554" s="64"/>
      <c r="H1554" s="64"/>
      <c r="I1554" s="64"/>
      <c r="J1554" s="64"/>
      <c r="K1554" s="64"/>
      <c r="L1554" s="64"/>
      <c r="M1554" s="64"/>
      <c r="N1554" s="127" t="str">
        <f>IF(ISNA(VLOOKUP(Table3[[#This Row],[Ticket]],Table1[],17,FALSE)),"",VLOOKUP(Table3[[#This Row],[Ticket]],Table1[],17,FALSE))</f>
        <v/>
      </c>
      <c r="O1554" s="128" t="str">
        <f>IF(Table3[[#This Row],[Actual End Date]]="","",TEXT(Table3[[#This Row],[Actual End Date]],"mmm-yy"))</f>
        <v/>
      </c>
    </row>
    <row r="1555" spans="2:15">
      <c r="B1555" s="64"/>
      <c r="C1555" s="64"/>
      <c r="D1555" s="64"/>
      <c r="E1555" s="64"/>
      <c r="F1555" s="64"/>
      <c r="G1555" s="64"/>
      <c r="H1555" s="64"/>
      <c r="I1555" s="64"/>
      <c r="J1555" s="64"/>
      <c r="K1555" s="64"/>
      <c r="L1555" s="64"/>
      <c r="M1555" s="64"/>
      <c r="N1555" s="127" t="str">
        <f>IF(ISNA(VLOOKUP(Table3[[#This Row],[Ticket]],Table1[],17,FALSE)),"",VLOOKUP(Table3[[#This Row],[Ticket]],Table1[],17,FALSE))</f>
        <v/>
      </c>
      <c r="O1555" s="128" t="str">
        <f>IF(Table3[[#This Row],[Actual End Date]]="","",TEXT(Table3[[#This Row],[Actual End Date]],"mmm-yy"))</f>
        <v/>
      </c>
    </row>
    <row r="1556" spans="2:15">
      <c r="B1556" s="64"/>
      <c r="C1556" s="64"/>
      <c r="D1556" s="64"/>
      <c r="E1556" s="64"/>
      <c r="F1556" s="64"/>
      <c r="G1556" s="64"/>
      <c r="H1556" s="64"/>
      <c r="I1556" s="64"/>
      <c r="J1556" s="64"/>
      <c r="K1556" s="64"/>
      <c r="L1556" s="64"/>
      <c r="M1556" s="64"/>
      <c r="N1556" s="127" t="str">
        <f>IF(ISNA(VLOOKUP(Table3[[#This Row],[Ticket]],Table1[],17,FALSE)),"",VLOOKUP(Table3[[#This Row],[Ticket]],Table1[],17,FALSE))</f>
        <v/>
      </c>
      <c r="O1556" s="128" t="str">
        <f>IF(Table3[[#This Row],[Actual End Date]]="","",TEXT(Table3[[#This Row],[Actual End Date]],"mmm-yy"))</f>
        <v/>
      </c>
    </row>
    <row r="1557" spans="2:15">
      <c r="B1557" s="64"/>
      <c r="C1557" s="64"/>
      <c r="D1557" s="64"/>
      <c r="E1557" s="64"/>
      <c r="F1557" s="64"/>
      <c r="G1557" s="64"/>
      <c r="H1557" s="64"/>
      <c r="I1557" s="64"/>
      <c r="J1557" s="64"/>
      <c r="K1557" s="64"/>
      <c r="L1557" s="64"/>
      <c r="M1557" s="64"/>
      <c r="N1557" s="127" t="str">
        <f>IF(ISNA(VLOOKUP(Table3[[#This Row],[Ticket]],Table1[],17,FALSE)),"",VLOOKUP(Table3[[#This Row],[Ticket]],Table1[],17,FALSE))</f>
        <v/>
      </c>
      <c r="O1557" s="128" t="str">
        <f>IF(Table3[[#This Row],[Actual End Date]]="","",TEXT(Table3[[#This Row],[Actual End Date]],"mmm-yy"))</f>
        <v/>
      </c>
    </row>
    <row r="1558" spans="2:15">
      <c r="B1558" s="64"/>
      <c r="C1558" s="64"/>
      <c r="D1558" s="64"/>
      <c r="E1558" s="64"/>
      <c r="F1558" s="64"/>
      <c r="G1558" s="64"/>
      <c r="H1558" s="64"/>
      <c r="I1558" s="64"/>
      <c r="J1558" s="64"/>
      <c r="K1558" s="64"/>
      <c r="L1558" s="64"/>
      <c r="M1558" s="64"/>
      <c r="N1558" s="127" t="str">
        <f>IF(ISNA(VLOOKUP(Table3[[#This Row],[Ticket]],Table1[],17,FALSE)),"",VLOOKUP(Table3[[#This Row],[Ticket]],Table1[],17,FALSE))</f>
        <v/>
      </c>
      <c r="O1558" s="128" t="str">
        <f>IF(Table3[[#This Row],[Actual End Date]]="","",TEXT(Table3[[#This Row],[Actual End Date]],"mmm-yy"))</f>
        <v/>
      </c>
    </row>
    <row r="1559" spans="2:15">
      <c r="B1559" s="64"/>
      <c r="C1559" s="64"/>
      <c r="D1559" s="64"/>
      <c r="E1559" s="64"/>
      <c r="F1559" s="64"/>
      <c r="G1559" s="64"/>
      <c r="H1559" s="64"/>
      <c r="I1559" s="64"/>
      <c r="J1559" s="64"/>
      <c r="K1559" s="64"/>
      <c r="L1559" s="64"/>
      <c r="M1559" s="64"/>
      <c r="N1559" s="127" t="str">
        <f>IF(ISNA(VLOOKUP(Table3[[#This Row],[Ticket]],Table1[],17,FALSE)),"",VLOOKUP(Table3[[#This Row],[Ticket]],Table1[],17,FALSE))</f>
        <v/>
      </c>
      <c r="O1559" s="128" t="str">
        <f>IF(Table3[[#This Row],[Actual End Date]]="","",TEXT(Table3[[#This Row],[Actual End Date]],"mmm-yy"))</f>
        <v/>
      </c>
    </row>
    <row r="1560" spans="2:15">
      <c r="B1560" s="64"/>
      <c r="C1560" s="64"/>
      <c r="D1560" s="64"/>
      <c r="E1560" s="64"/>
      <c r="F1560" s="64"/>
      <c r="G1560" s="64"/>
      <c r="H1560" s="64"/>
      <c r="I1560" s="64"/>
      <c r="J1560" s="64"/>
      <c r="K1560" s="64"/>
      <c r="L1560" s="64"/>
      <c r="M1560" s="64"/>
      <c r="N1560" s="127" t="str">
        <f>IF(ISNA(VLOOKUP(Table3[[#This Row],[Ticket]],Table1[],17,FALSE)),"",VLOOKUP(Table3[[#This Row],[Ticket]],Table1[],17,FALSE))</f>
        <v/>
      </c>
      <c r="O1560" s="128" t="str">
        <f>IF(Table3[[#This Row],[Actual End Date]]="","",TEXT(Table3[[#This Row],[Actual End Date]],"mmm-yy"))</f>
        <v/>
      </c>
    </row>
    <row r="1561" spans="2:15">
      <c r="B1561" s="64"/>
      <c r="C1561" s="64"/>
      <c r="D1561" s="64"/>
      <c r="E1561" s="64"/>
      <c r="F1561" s="64"/>
      <c r="G1561" s="64"/>
      <c r="H1561" s="64"/>
      <c r="I1561" s="64"/>
      <c r="J1561" s="64"/>
      <c r="K1561" s="64"/>
      <c r="L1561" s="64"/>
      <c r="M1561" s="64"/>
      <c r="N1561" s="127" t="str">
        <f>IF(ISNA(VLOOKUP(Table3[[#This Row],[Ticket]],Table1[],17,FALSE)),"",VLOOKUP(Table3[[#This Row],[Ticket]],Table1[],17,FALSE))</f>
        <v/>
      </c>
      <c r="O1561" s="128" t="str">
        <f>IF(Table3[[#This Row],[Actual End Date]]="","",TEXT(Table3[[#This Row],[Actual End Date]],"mmm-yy"))</f>
        <v/>
      </c>
    </row>
    <row r="1562" spans="2:15">
      <c r="B1562" s="64"/>
      <c r="C1562" s="64"/>
      <c r="D1562" s="64"/>
      <c r="E1562" s="64"/>
      <c r="F1562" s="64"/>
      <c r="G1562" s="64"/>
      <c r="H1562" s="64"/>
      <c r="I1562" s="64"/>
      <c r="J1562" s="64"/>
      <c r="K1562" s="64"/>
      <c r="L1562" s="64"/>
      <c r="M1562" s="64"/>
      <c r="N1562" s="127" t="str">
        <f>IF(ISNA(VLOOKUP(Table3[[#This Row],[Ticket]],Table1[],17,FALSE)),"",VLOOKUP(Table3[[#This Row],[Ticket]],Table1[],17,FALSE))</f>
        <v/>
      </c>
      <c r="O1562" s="128" t="str">
        <f>IF(Table3[[#This Row],[Actual End Date]]="","",TEXT(Table3[[#This Row],[Actual End Date]],"mmm-yy"))</f>
        <v/>
      </c>
    </row>
    <row r="1563" spans="2:15">
      <c r="B1563" s="64"/>
      <c r="C1563" s="64"/>
      <c r="D1563" s="64"/>
      <c r="E1563" s="64"/>
      <c r="F1563" s="64"/>
      <c r="G1563" s="64"/>
      <c r="H1563" s="64"/>
      <c r="I1563" s="64"/>
      <c r="J1563" s="64"/>
      <c r="K1563" s="64"/>
      <c r="L1563" s="64"/>
      <c r="M1563" s="64"/>
      <c r="N1563" s="127" t="str">
        <f>IF(ISNA(VLOOKUP(Table3[[#This Row],[Ticket]],Table1[],17,FALSE)),"",VLOOKUP(Table3[[#This Row],[Ticket]],Table1[],17,FALSE))</f>
        <v/>
      </c>
      <c r="O1563" s="128" t="str">
        <f>IF(Table3[[#This Row],[Actual End Date]]="","",TEXT(Table3[[#This Row],[Actual End Date]],"mmm-yy"))</f>
        <v/>
      </c>
    </row>
    <row r="1564" spans="2:15">
      <c r="B1564" s="64"/>
      <c r="C1564" s="64"/>
      <c r="D1564" s="64"/>
      <c r="E1564" s="64"/>
      <c r="F1564" s="64"/>
      <c r="G1564" s="64"/>
      <c r="H1564" s="64"/>
      <c r="I1564" s="64"/>
      <c r="J1564" s="64"/>
      <c r="K1564" s="64"/>
      <c r="L1564" s="64"/>
      <c r="M1564" s="64"/>
      <c r="N1564" s="127" t="str">
        <f>IF(ISNA(VLOOKUP(Table3[[#This Row],[Ticket]],Table1[],17,FALSE)),"",VLOOKUP(Table3[[#This Row],[Ticket]],Table1[],17,FALSE))</f>
        <v/>
      </c>
      <c r="O1564" s="128" t="str">
        <f>IF(Table3[[#This Row],[Actual End Date]]="","",TEXT(Table3[[#This Row],[Actual End Date]],"mmm-yy"))</f>
        <v/>
      </c>
    </row>
    <row r="1565" spans="2:15">
      <c r="B1565" s="64"/>
      <c r="C1565" s="64"/>
      <c r="D1565" s="64"/>
      <c r="E1565" s="64"/>
      <c r="F1565" s="64"/>
      <c r="G1565" s="64"/>
      <c r="H1565" s="64"/>
      <c r="I1565" s="64"/>
      <c r="J1565" s="64"/>
      <c r="K1565" s="64"/>
      <c r="L1565" s="64"/>
      <c r="M1565" s="64"/>
      <c r="N1565" s="127" t="str">
        <f>IF(ISNA(VLOOKUP(Table3[[#This Row],[Ticket]],Table1[],17,FALSE)),"",VLOOKUP(Table3[[#This Row],[Ticket]],Table1[],17,FALSE))</f>
        <v/>
      </c>
      <c r="O1565" s="128" t="str">
        <f>IF(Table3[[#This Row],[Actual End Date]]="","",TEXT(Table3[[#This Row],[Actual End Date]],"mmm-yy"))</f>
        <v/>
      </c>
    </row>
    <row r="1566" spans="2:15">
      <c r="B1566" s="64"/>
      <c r="C1566" s="64"/>
      <c r="D1566" s="64"/>
      <c r="E1566" s="64"/>
      <c r="F1566" s="64"/>
      <c r="G1566" s="64"/>
      <c r="H1566" s="64"/>
      <c r="I1566" s="64"/>
      <c r="J1566" s="64"/>
      <c r="K1566" s="64"/>
      <c r="L1566" s="64"/>
      <c r="M1566" s="64"/>
      <c r="N1566" s="127" t="str">
        <f>IF(ISNA(VLOOKUP(Table3[[#This Row],[Ticket]],Table1[],17,FALSE)),"",VLOOKUP(Table3[[#This Row],[Ticket]],Table1[],17,FALSE))</f>
        <v/>
      </c>
      <c r="O1566" s="128" t="str">
        <f>IF(Table3[[#This Row],[Actual End Date]]="","",TEXT(Table3[[#This Row],[Actual End Date]],"mmm-yy"))</f>
        <v/>
      </c>
    </row>
    <row r="1567" spans="2:15">
      <c r="B1567" s="64"/>
      <c r="C1567" s="64"/>
      <c r="D1567" s="64"/>
      <c r="E1567" s="64"/>
      <c r="F1567" s="64"/>
      <c r="G1567" s="64"/>
      <c r="H1567" s="64"/>
      <c r="I1567" s="64"/>
      <c r="J1567" s="64"/>
      <c r="K1567" s="64"/>
      <c r="L1567" s="64"/>
      <c r="M1567" s="64"/>
      <c r="N1567" s="127" t="str">
        <f>IF(ISNA(VLOOKUP(Table3[[#This Row],[Ticket]],Table1[],17,FALSE)),"",VLOOKUP(Table3[[#This Row],[Ticket]],Table1[],17,FALSE))</f>
        <v/>
      </c>
      <c r="O1567" s="128" t="str">
        <f>IF(Table3[[#This Row],[Actual End Date]]="","",TEXT(Table3[[#This Row],[Actual End Date]],"mmm-yy"))</f>
        <v/>
      </c>
    </row>
    <row r="1568" spans="2:15">
      <c r="B1568" s="64"/>
      <c r="C1568" s="64"/>
      <c r="D1568" s="64"/>
      <c r="E1568" s="64"/>
      <c r="F1568" s="64"/>
      <c r="G1568" s="64"/>
      <c r="H1568" s="64"/>
      <c r="I1568" s="64"/>
      <c r="J1568" s="64"/>
      <c r="K1568" s="64"/>
      <c r="L1568" s="64"/>
      <c r="M1568" s="64"/>
      <c r="N1568" s="127" t="str">
        <f>IF(ISNA(VLOOKUP(Table3[[#This Row],[Ticket]],Table1[],17,FALSE)),"",VLOOKUP(Table3[[#This Row],[Ticket]],Table1[],17,FALSE))</f>
        <v/>
      </c>
      <c r="O1568" s="128" t="str">
        <f>IF(Table3[[#This Row],[Actual End Date]]="","",TEXT(Table3[[#This Row],[Actual End Date]],"mmm-yy"))</f>
        <v/>
      </c>
    </row>
    <row r="1569" spans="2:15">
      <c r="B1569" s="64"/>
      <c r="C1569" s="64"/>
      <c r="D1569" s="64"/>
      <c r="E1569" s="64"/>
      <c r="F1569" s="64"/>
      <c r="G1569" s="64"/>
      <c r="H1569" s="64"/>
      <c r="I1569" s="64"/>
      <c r="J1569" s="64"/>
      <c r="K1569" s="64"/>
      <c r="L1569" s="64"/>
      <c r="M1569" s="64"/>
      <c r="N1569" s="127" t="str">
        <f>IF(ISNA(VLOOKUP(Table3[[#This Row],[Ticket]],Table1[],17,FALSE)),"",VLOOKUP(Table3[[#This Row],[Ticket]],Table1[],17,FALSE))</f>
        <v/>
      </c>
      <c r="O1569" s="128" t="str">
        <f>IF(Table3[[#This Row],[Actual End Date]]="","",TEXT(Table3[[#This Row],[Actual End Date]],"mmm-yy"))</f>
        <v/>
      </c>
    </row>
    <row r="1570" spans="2:15">
      <c r="B1570" s="64"/>
      <c r="C1570" s="64"/>
      <c r="D1570" s="64"/>
      <c r="E1570" s="64"/>
      <c r="F1570" s="64"/>
      <c r="G1570" s="64"/>
      <c r="H1570" s="64"/>
      <c r="I1570" s="64"/>
      <c r="J1570" s="64"/>
      <c r="K1570" s="64"/>
      <c r="L1570" s="64"/>
      <c r="M1570" s="64"/>
      <c r="N1570" s="127" t="str">
        <f>IF(ISNA(VLOOKUP(Table3[[#This Row],[Ticket]],Table1[],17,FALSE)),"",VLOOKUP(Table3[[#This Row],[Ticket]],Table1[],17,FALSE))</f>
        <v/>
      </c>
      <c r="O1570" s="128" t="str">
        <f>IF(Table3[[#This Row],[Actual End Date]]="","",TEXT(Table3[[#This Row],[Actual End Date]],"mmm-yy"))</f>
        <v/>
      </c>
    </row>
    <row r="1571" spans="2:15">
      <c r="B1571" s="64"/>
      <c r="C1571" s="64"/>
      <c r="D1571" s="64"/>
      <c r="E1571" s="64"/>
      <c r="F1571" s="64"/>
      <c r="G1571" s="64"/>
      <c r="H1571" s="64"/>
      <c r="I1571" s="64"/>
      <c r="J1571" s="64"/>
      <c r="K1571" s="64"/>
      <c r="L1571" s="64"/>
      <c r="M1571" s="64"/>
      <c r="N1571" s="127" t="str">
        <f>IF(ISNA(VLOOKUP(Table3[[#This Row],[Ticket]],Table1[],17,FALSE)),"",VLOOKUP(Table3[[#This Row],[Ticket]],Table1[],17,FALSE))</f>
        <v/>
      </c>
      <c r="O1571" s="128" t="str">
        <f>IF(Table3[[#This Row],[Actual End Date]]="","",TEXT(Table3[[#This Row],[Actual End Date]],"mmm-yy"))</f>
        <v/>
      </c>
    </row>
    <row r="1572" spans="2:15">
      <c r="B1572" s="64"/>
      <c r="C1572" s="64"/>
      <c r="D1572" s="64"/>
      <c r="E1572" s="64"/>
      <c r="F1572" s="64"/>
      <c r="G1572" s="64"/>
      <c r="H1572" s="64"/>
      <c r="I1572" s="64"/>
      <c r="J1572" s="64"/>
      <c r="K1572" s="64"/>
      <c r="L1572" s="64"/>
      <c r="M1572" s="64"/>
      <c r="N1572" s="127" t="str">
        <f>IF(ISNA(VLOOKUP(Table3[[#This Row],[Ticket]],Table1[],17,FALSE)),"",VLOOKUP(Table3[[#This Row],[Ticket]],Table1[],17,FALSE))</f>
        <v/>
      </c>
      <c r="O1572" s="128" t="str">
        <f>IF(Table3[[#This Row],[Actual End Date]]="","",TEXT(Table3[[#This Row],[Actual End Date]],"mmm-yy"))</f>
        <v/>
      </c>
    </row>
    <row r="1573" spans="2:15">
      <c r="B1573" s="64"/>
      <c r="C1573" s="64"/>
      <c r="D1573" s="64"/>
      <c r="E1573" s="64"/>
      <c r="F1573" s="64"/>
      <c r="G1573" s="64"/>
      <c r="H1573" s="64"/>
      <c r="I1573" s="64"/>
      <c r="J1573" s="64"/>
      <c r="K1573" s="64"/>
      <c r="L1573" s="64"/>
      <c r="M1573" s="64"/>
      <c r="N1573" s="127" t="str">
        <f>IF(ISNA(VLOOKUP(Table3[[#This Row],[Ticket]],Table1[],17,FALSE)),"",VLOOKUP(Table3[[#This Row],[Ticket]],Table1[],17,FALSE))</f>
        <v/>
      </c>
      <c r="O1573" s="128" t="str">
        <f>IF(Table3[[#This Row],[Actual End Date]]="","",TEXT(Table3[[#This Row],[Actual End Date]],"mmm-yy"))</f>
        <v/>
      </c>
    </row>
    <row r="1574" spans="2:15">
      <c r="B1574" s="64"/>
      <c r="C1574" s="64"/>
      <c r="D1574" s="64"/>
      <c r="E1574" s="64"/>
      <c r="F1574" s="64"/>
      <c r="G1574" s="64"/>
      <c r="H1574" s="64"/>
      <c r="I1574" s="64"/>
      <c r="J1574" s="64"/>
      <c r="K1574" s="64"/>
      <c r="L1574" s="64"/>
      <c r="M1574" s="64"/>
      <c r="N1574" s="127" t="str">
        <f>IF(ISNA(VLOOKUP(Table3[[#This Row],[Ticket]],Table1[],17,FALSE)),"",VLOOKUP(Table3[[#This Row],[Ticket]],Table1[],17,FALSE))</f>
        <v/>
      </c>
      <c r="O1574" s="128" t="str">
        <f>IF(Table3[[#This Row],[Actual End Date]]="","",TEXT(Table3[[#This Row],[Actual End Date]],"mmm-yy"))</f>
        <v/>
      </c>
    </row>
    <row r="1575" spans="2:15">
      <c r="B1575" s="64"/>
      <c r="C1575" s="64"/>
      <c r="D1575" s="64"/>
      <c r="E1575" s="64"/>
      <c r="F1575" s="64"/>
      <c r="G1575" s="64"/>
      <c r="H1575" s="64"/>
      <c r="I1575" s="64"/>
      <c r="J1575" s="64"/>
      <c r="K1575" s="64"/>
      <c r="L1575" s="64"/>
      <c r="M1575" s="64"/>
      <c r="N1575" s="127" t="str">
        <f>IF(ISNA(VLOOKUP(Table3[[#This Row],[Ticket]],Table1[],17,FALSE)),"",VLOOKUP(Table3[[#This Row],[Ticket]],Table1[],17,FALSE))</f>
        <v/>
      </c>
      <c r="O1575" s="128" t="str">
        <f>IF(Table3[[#This Row],[Actual End Date]]="","",TEXT(Table3[[#This Row],[Actual End Date]],"mmm-yy"))</f>
        <v/>
      </c>
    </row>
    <row r="1576" spans="2:15">
      <c r="B1576" s="64"/>
      <c r="C1576" s="64"/>
      <c r="D1576" s="64"/>
      <c r="E1576" s="64"/>
      <c r="F1576" s="64"/>
      <c r="G1576" s="64"/>
      <c r="H1576" s="64"/>
      <c r="I1576" s="64"/>
      <c r="J1576" s="64"/>
      <c r="K1576" s="64"/>
      <c r="L1576" s="64"/>
      <c r="M1576" s="64"/>
      <c r="N1576" s="127" t="str">
        <f>IF(ISNA(VLOOKUP(Table3[[#This Row],[Ticket]],Table1[],17,FALSE)),"",VLOOKUP(Table3[[#This Row],[Ticket]],Table1[],17,FALSE))</f>
        <v/>
      </c>
      <c r="O1576" s="128" t="str">
        <f>IF(Table3[[#This Row],[Actual End Date]]="","",TEXT(Table3[[#This Row],[Actual End Date]],"mmm-yy"))</f>
        <v/>
      </c>
    </row>
    <row r="1577" spans="2:15">
      <c r="B1577" s="64"/>
      <c r="C1577" s="64"/>
      <c r="D1577" s="64"/>
      <c r="E1577" s="64"/>
      <c r="F1577" s="64"/>
      <c r="G1577" s="64"/>
      <c r="H1577" s="64"/>
      <c r="I1577" s="64"/>
      <c r="J1577" s="64"/>
      <c r="K1577" s="64"/>
      <c r="L1577" s="64"/>
      <c r="M1577" s="64"/>
      <c r="N1577" s="127" t="str">
        <f>IF(ISNA(VLOOKUP(Table3[[#This Row],[Ticket]],Table1[],17,FALSE)),"",VLOOKUP(Table3[[#This Row],[Ticket]],Table1[],17,FALSE))</f>
        <v/>
      </c>
      <c r="O1577" s="128" t="str">
        <f>IF(Table3[[#This Row],[Actual End Date]]="","",TEXT(Table3[[#This Row],[Actual End Date]],"mmm-yy"))</f>
        <v/>
      </c>
    </row>
    <row r="1578" spans="2:15">
      <c r="B1578" s="64"/>
      <c r="C1578" s="64"/>
      <c r="D1578" s="64"/>
      <c r="E1578" s="64"/>
      <c r="F1578" s="64"/>
      <c r="G1578" s="64"/>
      <c r="H1578" s="64"/>
      <c r="I1578" s="64"/>
      <c r="J1578" s="64"/>
      <c r="K1578" s="64"/>
      <c r="L1578" s="64"/>
      <c r="M1578" s="64"/>
      <c r="N1578" s="127" t="str">
        <f>IF(ISNA(VLOOKUP(Table3[[#This Row],[Ticket]],Table1[],17,FALSE)),"",VLOOKUP(Table3[[#This Row],[Ticket]],Table1[],17,FALSE))</f>
        <v/>
      </c>
      <c r="O1578" s="128" t="str">
        <f>IF(Table3[[#This Row],[Actual End Date]]="","",TEXT(Table3[[#This Row],[Actual End Date]],"mmm-yy"))</f>
        <v/>
      </c>
    </row>
    <row r="1579" spans="2:15">
      <c r="B1579" s="64"/>
      <c r="C1579" s="64"/>
      <c r="D1579" s="64"/>
      <c r="E1579" s="64"/>
      <c r="F1579" s="64"/>
      <c r="G1579" s="64"/>
      <c r="H1579" s="64"/>
      <c r="I1579" s="64"/>
      <c r="J1579" s="64"/>
      <c r="K1579" s="64"/>
      <c r="L1579" s="64"/>
      <c r="M1579" s="64"/>
      <c r="N1579" s="127" t="str">
        <f>IF(ISNA(VLOOKUP(Table3[[#This Row],[Ticket]],Table1[],17,FALSE)),"",VLOOKUP(Table3[[#This Row],[Ticket]],Table1[],17,FALSE))</f>
        <v/>
      </c>
      <c r="O1579" s="128" t="str">
        <f>IF(Table3[[#This Row],[Actual End Date]]="","",TEXT(Table3[[#This Row],[Actual End Date]],"mmm-yy"))</f>
        <v/>
      </c>
    </row>
    <row r="1580" spans="2:15">
      <c r="B1580" s="64"/>
      <c r="C1580" s="64"/>
      <c r="D1580" s="64"/>
      <c r="E1580" s="64"/>
      <c r="F1580" s="64"/>
      <c r="G1580" s="64"/>
      <c r="H1580" s="64"/>
      <c r="I1580" s="64"/>
      <c r="J1580" s="64"/>
      <c r="K1580" s="64"/>
      <c r="L1580" s="64"/>
      <c r="M1580" s="64"/>
      <c r="N1580" s="127" t="str">
        <f>IF(ISNA(VLOOKUP(Table3[[#This Row],[Ticket]],Table1[],17,FALSE)),"",VLOOKUP(Table3[[#This Row],[Ticket]],Table1[],17,FALSE))</f>
        <v/>
      </c>
      <c r="O1580" s="128" t="str">
        <f>IF(Table3[[#This Row],[Actual End Date]]="","",TEXT(Table3[[#This Row],[Actual End Date]],"mmm-yy"))</f>
        <v/>
      </c>
    </row>
    <row r="1581" spans="2:15">
      <c r="B1581" s="64"/>
      <c r="C1581" s="64"/>
      <c r="D1581" s="64"/>
      <c r="E1581" s="64"/>
      <c r="F1581" s="64"/>
      <c r="G1581" s="64"/>
      <c r="H1581" s="64"/>
      <c r="I1581" s="64"/>
      <c r="J1581" s="64"/>
      <c r="K1581" s="64"/>
      <c r="L1581" s="64"/>
      <c r="M1581" s="64"/>
      <c r="N1581" s="127" t="str">
        <f>IF(ISNA(VLOOKUP(Table3[[#This Row],[Ticket]],Table1[],17,FALSE)),"",VLOOKUP(Table3[[#This Row],[Ticket]],Table1[],17,FALSE))</f>
        <v/>
      </c>
      <c r="O1581" s="128" t="str">
        <f>IF(Table3[[#This Row],[Actual End Date]]="","",TEXT(Table3[[#This Row],[Actual End Date]],"mmm-yy"))</f>
        <v/>
      </c>
    </row>
    <row r="1582" spans="2:15">
      <c r="B1582" s="64"/>
      <c r="C1582" s="64"/>
      <c r="D1582" s="64"/>
      <c r="E1582" s="64"/>
      <c r="F1582" s="64"/>
      <c r="G1582" s="64"/>
      <c r="H1582" s="64"/>
      <c r="I1582" s="64"/>
      <c r="J1582" s="64"/>
      <c r="K1582" s="64"/>
      <c r="L1582" s="64"/>
      <c r="M1582" s="64"/>
      <c r="N1582" s="127" t="str">
        <f>IF(ISNA(VLOOKUP(Table3[[#This Row],[Ticket]],Table1[],17,FALSE)),"",VLOOKUP(Table3[[#This Row],[Ticket]],Table1[],17,FALSE))</f>
        <v/>
      </c>
      <c r="O1582" s="128" t="str">
        <f>IF(Table3[[#This Row],[Actual End Date]]="","",TEXT(Table3[[#This Row],[Actual End Date]],"mmm-yy"))</f>
        <v/>
      </c>
    </row>
    <row r="1583" spans="2:15">
      <c r="B1583" s="64"/>
      <c r="C1583" s="64"/>
      <c r="D1583" s="64"/>
      <c r="E1583" s="64"/>
      <c r="F1583" s="64"/>
      <c r="G1583" s="64"/>
      <c r="H1583" s="64"/>
      <c r="I1583" s="64"/>
      <c r="J1583" s="64"/>
      <c r="K1583" s="64"/>
      <c r="L1583" s="64"/>
      <c r="M1583" s="64"/>
      <c r="N1583" s="127" t="str">
        <f>IF(ISNA(VLOOKUP(Table3[[#This Row],[Ticket]],Table1[],17,FALSE)),"",VLOOKUP(Table3[[#This Row],[Ticket]],Table1[],17,FALSE))</f>
        <v/>
      </c>
      <c r="O1583" s="128" t="str">
        <f>IF(Table3[[#This Row],[Actual End Date]]="","",TEXT(Table3[[#This Row],[Actual End Date]],"mmm-yy"))</f>
        <v/>
      </c>
    </row>
    <row r="1584" spans="2:15">
      <c r="B1584" s="64"/>
      <c r="C1584" s="64"/>
      <c r="D1584" s="64"/>
      <c r="E1584" s="64"/>
      <c r="F1584" s="64"/>
      <c r="G1584" s="64"/>
      <c r="H1584" s="64"/>
      <c r="I1584" s="64"/>
      <c r="J1584" s="64"/>
      <c r="K1584" s="64"/>
      <c r="L1584" s="64"/>
      <c r="M1584" s="64"/>
      <c r="N1584" s="127" t="str">
        <f>IF(ISNA(VLOOKUP(Table3[[#This Row],[Ticket]],Table1[],17,FALSE)),"",VLOOKUP(Table3[[#This Row],[Ticket]],Table1[],17,FALSE))</f>
        <v/>
      </c>
      <c r="O1584" s="128" t="str">
        <f>IF(Table3[[#This Row],[Actual End Date]]="","",TEXT(Table3[[#This Row],[Actual End Date]],"mmm-yy"))</f>
        <v/>
      </c>
    </row>
    <row r="1585" spans="2:15">
      <c r="B1585" s="64"/>
      <c r="C1585" s="64"/>
      <c r="D1585" s="64"/>
      <c r="E1585" s="64"/>
      <c r="F1585" s="64"/>
      <c r="G1585" s="64"/>
      <c r="H1585" s="64"/>
      <c r="I1585" s="64"/>
      <c r="J1585" s="64"/>
      <c r="K1585" s="64"/>
      <c r="L1585" s="64"/>
      <c r="M1585" s="64"/>
      <c r="N1585" s="127" t="str">
        <f>IF(ISNA(VLOOKUP(Table3[[#This Row],[Ticket]],Table1[],17,FALSE)),"",VLOOKUP(Table3[[#This Row],[Ticket]],Table1[],17,FALSE))</f>
        <v/>
      </c>
      <c r="O1585" s="128" t="str">
        <f>IF(Table3[[#This Row],[Actual End Date]]="","",TEXT(Table3[[#This Row],[Actual End Date]],"mmm-yy"))</f>
        <v/>
      </c>
    </row>
    <row r="1586" spans="2:15">
      <c r="B1586" s="64"/>
      <c r="C1586" s="64"/>
      <c r="D1586" s="64"/>
      <c r="E1586" s="64"/>
      <c r="F1586" s="64"/>
      <c r="G1586" s="64"/>
      <c r="H1586" s="64"/>
      <c r="I1586" s="64"/>
      <c r="J1586" s="64"/>
      <c r="K1586" s="64"/>
      <c r="L1586" s="64"/>
      <c r="M1586" s="64"/>
      <c r="N1586" s="127" t="str">
        <f>IF(ISNA(VLOOKUP(Table3[[#This Row],[Ticket]],Table1[],17,FALSE)),"",VLOOKUP(Table3[[#This Row],[Ticket]],Table1[],17,FALSE))</f>
        <v/>
      </c>
      <c r="O1586" s="128" t="str">
        <f>IF(Table3[[#This Row],[Actual End Date]]="","",TEXT(Table3[[#This Row],[Actual End Date]],"mmm-yy"))</f>
        <v/>
      </c>
    </row>
    <row r="1587" spans="2:15">
      <c r="B1587" s="64"/>
      <c r="C1587" s="64"/>
      <c r="D1587" s="64"/>
      <c r="E1587" s="64"/>
      <c r="F1587" s="64"/>
      <c r="G1587" s="64"/>
      <c r="H1587" s="64"/>
      <c r="I1587" s="64"/>
      <c r="J1587" s="64"/>
      <c r="K1587" s="64"/>
      <c r="L1587" s="64"/>
      <c r="M1587" s="64"/>
      <c r="N1587" s="127" t="str">
        <f>IF(ISNA(VLOOKUP(Table3[[#This Row],[Ticket]],Table1[],17,FALSE)),"",VLOOKUP(Table3[[#This Row],[Ticket]],Table1[],17,FALSE))</f>
        <v/>
      </c>
      <c r="O1587" s="128" t="str">
        <f>IF(Table3[[#This Row],[Actual End Date]]="","",TEXT(Table3[[#This Row],[Actual End Date]],"mmm-yy"))</f>
        <v/>
      </c>
    </row>
    <row r="1588" spans="2:15">
      <c r="B1588" s="64"/>
      <c r="C1588" s="64"/>
      <c r="D1588" s="64"/>
      <c r="E1588" s="64"/>
      <c r="F1588" s="64"/>
      <c r="G1588" s="64"/>
      <c r="H1588" s="64"/>
      <c r="I1588" s="64"/>
      <c r="J1588" s="64"/>
      <c r="K1588" s="64"/>
      <c r="L1588" s="64"/>
      <c r="M1588" s="64"/>
      <c r="N1588" s="127" t="str">
        <f>IF(ISNA(VLOOKUP(Table3[[#This Row],[Ticket]],Table1[],17,FALSE)),"",VLOOKUP(Table3[[#This Row],[Ticket]],Table1[],17,FALSE))</f>
        <v/>
      </c>
      <c r="O1588" s="128" t="str">
        <f>IF(Table3[[#This Row],[Actual End Date]]="","",TEXT(Table3[[#This Row],[Actual End Date]],"mmm-yy"))</f>
        <v/>
      </c>
    </row>
    <row r="1589" spans="2:15">
      <c r="B1589" s="64"/>
      <c r="C1589" s="64"/>
      <c r="D1589" s="64"/>
      <c r="E1589" s="64"/>
      <c r="F1589" s="64"/>
      <c r="G1589" s="64"/>
      <c r="H1589" s="64"/>
      <c r="I1589" s="64"/>
      <c r="J1589" s="64"/>
      <c r="K1589" s="64"/>
      <c r="L1589" s="64"/>
      <c r="M1589" s="64"/>
      <c r="N1589" s="127" t="str">
        <f>IF(ISNA(VLOOKUP(Table3[[#This Row],[Ticket]],Table1[],17,FALSE)),"",VLOOKUP(Table3[[#This Row],[Ticket]],Table1[],17,FALSE))</f>
        <v/>
      </c>
      <c r="O1589" s="128" t="str">
        <f>IF(Table3[[#This Row],[Actual End Date]]="","",TEXT(Table3[[#This Row],[Actual End Date]],"mmm-yy"))</f>
        <v/>
      </c>
    </row>
    <row r="1590" spans="2:15">
      <c r="B1590" s="64"/>
      <c r="C1590" s="64"/>
      <c r="D1590" s="64"/>
      <c r="E1590" s="64"/>
      <c r="F1590" s="64"/>
      <c r="G1590" s="64"/>
      <c r="H1590" s="64"/>
      <c r="I1590" s="64"/>
      <c r="J1590" s="64"/>
      <c r="K1590" s="64"/>
      <c r="L1590" s="64"/>
      <c r="M1590" s="64"/>
      <c r="N1590" s="127" t="str">
        <f>IF(ISNA(VLOOKUP(Table3[[#This Row],[Ticket]],Table1[],17,FALSE)),"",VLOOKUP(Table3[[#This Row],[Ticket]],Table1[],17,FALSE))</f>
        <v/>
      </c>
      <c r="O1590" s="128" t="str">
        <f>IF(Table3[[#This Row],[Actual End Date]]="","",TEXT(Table3[[#This Row],[Actual End Date]],"mmm-yy"))</f>
        <v/>
      </c>
    </row>
    <row r="1591" spans="2:15">
      <c r="B1591" s="64"/>
      <c r="C1591" s="64"/>
      <c r="D1591" s="64"/>
      <c r="E1591" s="64"/>
      <c r="F1591" s="64"/>
      <c r="G1591" s="64"/>
      <c r="H1591" s="64"/>
      <c r="I1591" s="64"/>
      <c r="J1591" s="64"/>
      <c r="K1591" s="64"/>
      <c r="L1591" s="64"/>
      <c r="M1591" s="64"/>
      <c r="N1591" s="127" t="str">
        <f>IF(ISNA(VLOOKUP(Table3[[#This Row],[Ticket]],Table1[],17,FALSE)),"",VLOOKUP(Table3[[#This Row],[Ticket]],Table1[],17,FALSE))</f>
        <v/>
      </c>
      <c r="O1591" s="128" t="str">
        <f>IF(Table3[[#This Row],[Actual End Date]]="","",TEXT(Table3[[#This Row],[Actual End Date]],"mmm-yy"))</f>
        <v/>
      </c>
    </row>
    <row r="1592" spans="2:15">
      <c r="B1592" s="64"/>
      <c r="C1592" s="64"/>
      <c r="D1592" s="64"/>
      <c r="E1592" s="64"/>
      <c r="F1592" s="64"/>
      <c r="G1592" s="64"/>
      <c r="H1592" s="64"/>
      <c r="I1592" s="64"/>
      <c r="J1592" s="64"/>
      <c r="K1592" s="64"/>
      <c r="L1592" s="64"/>
      <c r="M1592" s="64"/>
      <c r="N1592" s="127" t="str">
        <f>IF(ISNA(VLOOKUP(Table3[[#This Row],[Ticket]],Table1[],17,FALSE)),"",VLOOKUP(Table3[[#This Row],[Ticket]],Table1[],17,FALSE))</f>
        <v/>
      </c>
      <c r="O1592" s="128" t="str">
        <f>IF(Table3[[#This Row],[Actual End Date]]="","",TEXT(Table3[[#This Row],[Actual End Date]],"mmm-yy"))</f>
        <v/>
      </c>
    </row>
    <row r="1593" spans="2:15">
      <c r="B1593" s="64"/>
      <c r="C1593" s="64"/>
      <c r="D1593" s="64"/>
      <c r="E1593" s="64"/>
      <c r="F1593" s="64"/>
      <c r="G1593" s="64"/>
      <c r="H1593" s="64"/>
      <c r="I1593" s="64"/>
      <c r="J1593" s="64"/>
      <c r="K1593" s="64"/>
      <c r="L1593" s="64"/>
      <c r="M1593" s="64"/>
      <c r="N1593" s="127" t="str">
        <f>IF(ISNA(VLOOKUP(Table3[[#This Row],[Ticket]],Table1[],17,FALSE)),"",VLOOKUP(Table3[[#This Row],[Ticket]],Table1[],17,FALSE))</f>
        <v/>
      </c>
      <c r="O1593" s="128" t="str">
        <f>IF(Table3[[#This Row],[Actual End Date]]="","",TEXT(Table3[[#This Row],[Actual End Date]],"mmm-yy"))</f>
        <v/>
      </c>
    </row>
    <row r="1594" spans="2:15">
      <c r="B1594" s="64"/>
      <c r="C1594" s="64"/>
      <c r="D1594" s="64"/>
      <c r="E1594" s="64"/>
      <c r="F1594" s="64"/>
      <c r="G1594" s="64"/>
      <c r="H1594" s="64"/>
      <c r="I1594" s="64"/>
      <c r="J1594" s="64"/>
      <c r="K1594" s="64"/>
      <c r="L1594" s="64"/>
      <c r="M1594" s="64"/>
      <c r="N1594" s="127" t="str">
        <f>IF(ISNA(VLOOKUP(Table3[[#This Row],[Ticket]],Table1[],17,FALSE)),"",VLOOKUP(Table3[[#This Row],[Ticket]],Table1[],17,FALSE))</f>
        <v/>
      </c>
      <c r="O1594" s="128" t="str">
        <f>IF(Table3[[#This Row],[Actual End Date]]="","",TEXT(Table3[[#This Row],[Actual End Date]],"mmm-yy"))</f>
        <v/>
      </c>
    </row>
    <row r="1595" spans="2:15">
      <c r="B1595" s="64"/>
      <c r="C1595" s="64"/>
      <c r="D1595" s="64"/>
      <c r="E1595" s="64"/>
      <c r="F1595" s="64" t="s">
        <v>385</v>
      </c>
      <c r="G1595" s="64"/>
      <c r="H1595" s="64"/>
      <c r="I1595" s="64"/>
      <c r="J1595" s="64"/>
      <c r="K1595" s="64"/>
      <c r="L1595" s="64"/>
      <c r="M1595" s="64"/>
      <c r="N1595" s="127" t="str">
        <f>IF(ISNA(VLOOKUP(Table3[[#This Row],[Ticket]],Table1[],17,FALSE)),"",VLOOKUP(Table3[[#This Row],[Ticket]],Table1[],17,FALSE))</f>
        <v/>
      </c>
      <c r="O1595" s="128" t="str">
        <f>IF(Table3[[#This Row],[Actual End Date]]="","",TEXT(Table3[[#This Row],[Actual End Date]],"mmm-yy"))</f>
        <v/>
      </c>
    </row>
  </sheetData>
  <sheetProtection password="E15D" sheet="1" objects="1" scenarios="1" autoFilter="0"/>
  <mergeCells count="1">
    <mergeCell ref="B2:G3"/>
  </mergeCells>
  <pageMargins left="0.7" right="0.7" top="0.75" bottom="0.75" header="0.3" footer="0.3"/>
  <pageSetup orientation="portrait"/>
  <legacyDrawing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E601"/>
  <sheetViews>
    <sheetView showGridLines="0" topLeftCell="A16" workbookViewId="0">
      <selection activeCell="B24" sqref="B24"/>
    </sheetView>
  </sheetViews>
  <sheetFormatPr defaultColWidth="9.125" defaultRowHeight="14.45"/>
  <cols>
    <col min="1" max="1" width="3.75" style="63" customWidth="1"/>
    <col min="2" max="2" width="14.125" style="64" customWidth="1"/>
    <col min="3" max="3" width="16.25" style="63" customWidth="1"/>
    <col min="4" max="4" width="31.625" style="63" customWidth="1"/>
    <col min="5" max="5" width="23.875" style="63" customWidth="1"/>
    <col min="6" max="6" width="14.25" style="63" customWidth="1"/>
    <col min="7" max="7" width="9"/>
    <col min="8" max="8" width="17.625" style="63" customWidth="1"/>
    <col min="9" max="9" width="16.75" style="63" customWidth="1"/>
    <col min="10" max="10" width="21.625" style="64" customWidth="1"/>
    <col min="11" max="11" width="24.25" style="64" customWidth="1"/>
    <col min="12" max="12" width="14.25" style="63" customWidth="1"/>
    <col min="13" max="13" width="22.125" style="63" customWidth="1"/>
    <col min="14" max="14" width="19.875" style="63" customWidth="1"/>
    <col min="15" max="15" width="28.125" style="63" customWidth="1"/>
    <col min="16" max="16" width="26.375" style="63" customWidth="1"/>
    <col min="17" max="17" width="28" style="63" customWidth="1"/>
    <col min="18" max="18" width="18.125" style="63" hidden="1" customWidth="1"/>
    <col min="19" max="19" width="15.625" style="63" hidden="1" customWidth="1"/>
    <col min="20" max="20" width="17.125" style="64" customWidth="1"/>
    <col min="21" max="21" width="18.375" style="63" customWidth="1"/>
    <col min="22" max="22" width="12.75" style="63" customWidth="1"/>
    <col min="23" max="23" width="18.375" style="64" customWidth="1"/>
    <col min="24" max="24" width="9"/>
    <col min="25" max="25" width="10" style="63" customWidth="1"/>
    <col min="26" max="26" width="15.625" style="63" customWidth="1"/>
    <col min="27" max="27" width="13.375" style="63" customWidth="1"/>
    <col min="28" max="28" width="9"/>
    <col min="29" max="30" width="9.125" style="63"/>
    <col min="31" max="31" width="9" customWidth="1"/>
    <col min="32" max="16384" width="9.125" style="63"/>
  </cols>
  <sheetData>
    <row r="1" spans="1:31" ht="14.25" customHeight="1">
      <c r="G1" s="63"/>
      <c r="I1" s="64"/>
      <c r="K1" s="63"/>
      <c r="V1" s="64"/>
      <c r="W1" s="63"/>
      <c r="X1" s="63"/>
      <c r="AB1" s="63"/>
      <c r="AE1" s="63"/>
    </row>
    <row r="2" spans="1:31" customFormat="1" ht="15.2">
      <c r="A2" s="83"/>
      <c r="B2" s="530" t="s">
        <v>386</v>
      </c>
      <c r="C2" s="531"/>
      <c r="D2" s="531"/>
      <c r="E2" s="531"/>
      <c r="F2" s="531"/>
      <c r="G2" s="531"/>
      <c r="H2" s="531"/>
      <c r="I2" s="531"/>
      <c r="J2" s="531"/>
      <c r="K2" s="531"/>
      <c r="L2" s="531"/>
      <c r="M2" s="531"/>
      <c r="N2" s="531"/>
      <c r="O2" s="531"/>
      <c r="P2" s="531"/>
      <c r="Q2" s="531"/>
      <c r="R2" s="531"/>
      <c r="S2" s="105"/>
      <c r="T2" s="1"/>
      <c r="V2" s="1"/>
      <c r="AA2" s="63"/>
    </row>
    <row r="3" spans="1:31" customFormat="1" ht="15.2">
      <c r="A3" s="84"/>
      <c r="B3" s="85"/>
      <c r="C3" s="85"/>
      <c r="D3" s="85"/>
      <c r="E3" s="85"/>
      <c r="F3" s="85"/>
      <c r="G3" s="85"/>
      <c r="H3" s="85"/>
      <c r="I3" s="85"/>
      <c r="J3" s="85"/>
      <c r="K3" s="85"/>
      <c r="L3" s="85"/>
      <c r="M3" s="85"/>
      <c r="N3" s="85"/>
      <c r="O3" s="85"/>
      <c r="P3" s="85"/>
      <c r="Q3" s="85"/>
      <c r="R3" s="85"/>
      <c r="S3" s="85"/>
      <c r="T3" s="1"/>
      <c r="V3" s="1"/>
      <c r="AA3" s="63"/>
    </row>
    <row r="4" spans="1:31" customFormat="1" ht="27">
      <c r="A4" s="86"/>
      <c r="B4" s="84"/>
      <c r="C4" s="84"/>
      <c r="D4" s="87" t="s">
        <v>10</v>
      </c>
      <c r="E4" s="88" t="s">
        <v>387</v>
      </c>
      <c r="F4" s="89" t="s">
        <v>388</v>
      </c>
      <c r="G4" s="84"/>
      <c r="H4" s="90"/>
      <c r="I4" s="84"/>
      <c r="J4" s="84"/>
      <c r="K4" s="84"/>
      <c r="L4" s="84"/>
      <c r="M4" s="84"/>
      <c r="N4" s="84"/>
      <c r="O4" s="84"/>
      <c r="P4" s="84"/>
      <c r="Q4" s="84"/>
      <c r="R4" s="84"/>
      <c r="S4" s="84"/>
      <c r="T4" s="1"/>
      <c r="V4" s="1"/>
    </row>
    <row r="5" spans="1:31" customFormat="1">
      <c r="A5" s="86"/>
      <c r="B5" s="84"/>
      <c r="C5" s="84"/>
      <c r="D5" s="91" t="s">
        <v>11</v>
      </c>
      <c r="E5" s="92">
        <f>COUNTIF(Table2[Defect Severity],D5)</f>
        <v>0</v>
      </c>
      <c r="F5" s="93">
        <f>E5*10</f>
        <v>0</v>
      </c>
      <c r="G5" s="84"/>
      <c r="H5" s="84"/>
      <c r="I5" s="84"/>
      <c r="J5" s="84"/>
      <c r="K5" s="84"/>
      <c r="L5" s="84"/>
      <c r="M5" s="84"/>
      <c r="N5" s="84"/>
      <c r="O5" s="84"/>
      <c r="P5" s="84"/>
      <c r="Q5" s="84"/>
      <c r="R5" s="84"/>
      <c r="S5" s="84"/>
      <c r="T5" s="1"/>
      <c r="V5" s="1"/>
    </row>
    <row r="6" spans="1:31" customFormat="1">
      <c r="A6" s="86"/>
      <c r="B6" s="84"/>
      <c r="C6" s="84"/>
      <c r="D6" s="91" t="s">
        <v>12</v>
      </c>
      <c r="E6" s="92">
        <f>COUNTIF(Table2[Defect Severity],D6)</f>
        <v>0</v>
      </c>
      <c r="F6" s="93">
        <f>E6*8</f>
        <v>0</v>
      </c>
      <c r="G6" s="84"/>
      <c r="H6" s="84"/>
      <c r="I6" s="84"/>
      <c r="J6" s="84"/>
      <c r="K6" s="84"/>
      <c r="L6" s="84"/>
      <c r="M6" s="84"/>
      <c r="N6" s="84"/>
      <c r="O6" s="84"/>
      <c r="P6" s="84"/>
      <c r="Q6" s="84"/>
      <c r="R6" s="84"/>
      <c r="S6" s="84"/>
      <c r="T6" s="1"/>
      <c r="V6" s="1"/>
    </row>
    <row r="7" spans="1:31" customFormat="1">
      <c r="A7" s="86"/>
      <c r="B7" s="84"/>
      <c r="C7" s="84"/>
      <c r="D7" s="91" t="s">
        <v>13</v>
      </c>
      <c r="E7" s="92">
        <f>COUNTIF(Table2[Defect Severity],D7)</f>
        <v>0</v>
      </c>
      <c r="F7" s="93">
        <f>E7*5</f>
        <v>0</v>
      </c>
      <c r="G7" s="84"/>
      <c r="H7" s="84"/>
      <c r="I7" s="84"/>
      <c r="J7" s="84"/>
      <c r="K7" s="84"/>
      <c r="L7" s="84"/>
      <c r="M7" s="84"/>
      <c r="N7" s="84"/>
      <c r="O7" s="84"/>
      <c r="P7" s="84"/>
      <c r="Q7" s="84"/>
      <c r="R7" s="84"/>
      <c r="S7" s="84"/>
      <c r="T7" s="1"/>
      <c r="V7" s="1"/>
    </row>
    <row r="8" spans="1:31" customFormat="1">
      <c r="A8" s="86"/>
      <c r="B8" s="84"/>
      <c r="C8" s="84"/>
      <c r="D8" s="91" t="s">
        <v>14</v>
      </c>
      <c r="E8" s="92">
        <f>COUNTIF(Table2[Defect Severity],D8)</f>
        <v>0</v>
      </c>
      <c r="F8" s="93">
        <f>E8*3</f>
        <v>0</v>
      </c>
      <c r="G8" s="84"/>
      <c r="H8" s="84"/>
      <c r="I8" s="84"/>
      <c r="J8" s="84"/>
      <c r="K8" s="84"/>
      <c r="L8" s="84"/>
      <c r="M8" s="84"/>
      <c r="N8" s="84"/>
      <c r="O8" s="84"/>
      <c r="P8" s="84"/>
      <c r="Q8" s="84"/>
      <c r="R8" s="84"/>
      <c r="S8" s="84"/>
      <c r="T8" s="1"/>
      <c r="V8" s="1"/>
    </row>
    <row r="9" spans="1:31" customFormat="1">
      <c r="A9" s="86"/>
      <c r="B9" s="84"/>
      <c r="C9" s="84"/>
      <c r="D9" s="91" t="s">
        <v>15</v>
      </c>
      <c r="E9" s="92">
        <f>COUNTIF(Table2[Defect Severity],D9)</f>
        <v>0</v>
      </c>
      <c r="F9" s="93">
        <f>E9*1</f>
        <v>0</v>
      </c>
      <c r="G9" s="84"/>
      <c r="H9" s="84"/>
      <c r="I9" s="84"/>
      <c r="J9" s="84"/>
      <c r="K9" s="84"/>
      <c r="L9" s="84"/>
      <c r="M9" s="84"/>
      <c r="N9" s="84"/>
      <c r="O9" s="84"/>
      <c r="P9" s="84"/>
      <c r="Q9" s="84"/>
      <c r="R9" s="84"/>
      <c r="S9" s="84"/>
      <c r="T9" s="1"/>
      <c r="V9" s="1"/>
    </row>
    <row r="10" spans="1:31" customFormat="1" ht="15.2">
      <c r="A10" s="86"/>
      <c r="B10" s="84"/>
      <c r="C10" s="84"/>
      <c r="D10" s="94"/>
      <c r="E10" s="95">
        <f>SUM(E5:E9)</f>
        <v>0</v>
      </c>
      <c r="F10" s="96">
        <f>SUM(F5:F9)</f>
        <v>0</v>
      </c>
      <c r="G10" s="84"/>
      <c r="H10" s="84"/>
      <c r="I10" s="84"/>
      <c r="J10" s="84"/>
      <c r="K10" s="84"/>
      <c r="L10" s="84"/>
      <c r="M10" s="84"/>
      <c r="N10" s="84"/>
      <c r="O10" s="84"/>
      <c r="P10" s="84"/>
      <c r="Q10" s="84"/>
      <c r="R10" s="84"/>
      <c r="S10" s="84"/>
      <c r="T10" s="1"/>
      <c r="V10" s="1"/>
    </row>
    <row r="11" spans="1:31" customFormat="1">
      <c r="A11" s="86"/>
      <c r="B11" s="84"/>
      <c r="C11" s="84"/>
      <c r="D11" s="84"/>
      <c r="E11" s="84"/>
      <c r="F11" s="84"/>
      <c r="G11" s="84"/>
      <c r="H11" s="84"/>
      <c r="I11" s="84"/>
      <c r="J11" s="84"/>
      <c r="K11" s="84"/>
      <c r="L11" s="84"/>
      <c r="M11" s="84"/>
      <c r="N11" s="84"/>
      <c r="O11" s="84"/>
      <c r="P11" s="84"/>
      <c r="Q11" s="84"/>
      <c r="R11" s="84"/>
      <c r="S11" s="84"/>
      <c r="T11" s="1"/>
      <c r="V11" s="1"/>
      <c r="AA11" s="84"/>
    </row>
    <row r="12" spans="1:31" customFormat="1" ht="17.45">
      <c r="A12" s="86"/>
      <c r="B12" s="97" t="s">
        <v>389</v>
      </c>
      <c r="C12" s="84"/>
      <c r="D12" s="84"/>
      <c r="E12" s="84"/>
      <c r="F12" s="84"/>
      <c r="G12" s="84"/>
      <c r="H12" s="84"/>
      <c r="I12" s="84"/>
      <c r="J12" s="84"/>
      <c r="K12" s="84"/>
      <c r="L12" s="84"/>
      <c r="M12" s="84"/>
      <c r="N12" s="84"/>
      <c r="O12" s="84"/>
      <c r="P12" s="84"/>
      <c r="Q12" s="84"/>
      <c r="R12" s="84"/>
      <c r="S12" s="84"/>
      <c r="T12" s="1"/>
      <c r="V12" s="1"/>
      <c r="AA12" s="84"/>
    </row>
    <row r="13" spans="1:31" customFormat="1" ht="30">
      <c r="B13" s="98" t="s">
        <v>122</v>
      </c>
      <c r="C13" s="98" t="s">
        <v>100</v>
      </c>
      <c r="D13" s="99" t="s">
        <v>123</v>
      </c>
      <c r="E13" s="99" t="s">
        <v>102</v>
      </c>
      <c r="F13" s="99" t="s">
        <v>103</v>
      </c>
      <c r="G13" s="99" t="s">
        <v>124</v>
      </c>
      <c r="H13" s="99" t="s">
        <v>125</v>
      </c>
      <c r="I13" s="99" t="s">
        <v>126</v>
      </c>
      <c r="J13" s="99" t="s">
        <v>0</v>
      </c>
      <c r="K13" s="104" t="s">
        <v>3</v>
      </c>
      <c r="L13" s="104" t="s">
        <v>10</v>
      </c>
      <c r="M13" s="104" t="s">
        <v>16</v>
      </c>
      <c r="N13" s="104" t="s">
        <v>127</v>
      </c>
      <c r="O13" s="99" t="s">
        <v>128</v>
      </c>
      <c r="P13" s="99" t="s">
        <v>129</v>
      </c>
      <c r="Q13" s="99" t="s">
        <v>31</v>
      </c>
      <c r="R13" s="99" t="s">
        <v>32</v>
      </c>
      <c r="S13" s="99" t="s">
        <v>33</v>
      </c>
      <c r="T13" s="99" t="s">
        <v>130</v>
      </c>
      <c r="U13" s="99" t="s">
        <v>131</v>
      </c>
      <c r="V13" s="104" t="s">
        <v>132</v>
      </c>
      <c r="W13" s="104" t="s">
        <v>133</v>
      </c>
      <c r="X13" s="104" t="s">
        <v>34</v>
      </c>
      <c r="Y13" s="104" t="s">
        <v>134</v>
      </c>
      <c r="Z13" s="111" t="s">
        <v>135</v>
      </c>
      <c r="AA13" s="99" t="s">
        <v>324</v>
      </c>
      <c r="AB13" s="104" t="s">
        <v>188</v>
      </c>
    </row>
    <row r="14" spans="1:31">
      <c r="B14" s="100"/>
      <c r="C14" s="100"/>
      <c r="D14" s="101"/>
      <c r="E14" s="101"/>
      <c r="F14" s="101"/>
      <c r="G14" s="102"/>
      <c r="H14" s="101"/>
      <c r="I14" s="101"/>
      <c r="J14" s="101"/>
      <c r="K14" s="101"/>
      <c r="L14" s="101"/>
      <c r="M14" s="101"/>
      <c r="N14" s="100"/>
      <c r="O14" s="100"/>
      <c r="P14" s="101"/>
      <c r="Q14" s="101"/>
      <c r="R14" s="106"/>
      <c r="S14" s="106"/>
      <c r="T14" s="100"/>
      <c r="U14" s="101"/>
      <c r="V14" s="107"/>
      <c r="W14" s="101"/>
      <c r="X14" s="101"/>
      <c r="Y14" s="107"/>
      <c r="Z14" s="101"/>
      <c r="AA14" s="112" t="str">
        <f>IF(ISNA(VLOOKUP(Table2[[#This Row],[Task ID]],Table1[],17,FALSE)),"",VLOOKUP(Table2[[#This Row],[Task ID]],Table1[],17,FALSE))</f>
        <v/>
      </c>
      <c r="AB14" s="113" t="str">
        <f>IF(Table2[[#This Row],[Defect Detected On Date ]]="","",TEXT(Table2[[#This Row],[Defect Detected On Date ]],"mmm"))</f>
        <v/>
      </c>
      <c r="AE14" s="63"/>
    </row>
    <row r="15" spans="1:31">
      <c r="B15" s="100"/>
      <c r="C15" s="100"/>
      <c r="D15" s="101"/>
      <c r="E15" s="101"/>
      <c r="F15" s="101"/>
      <c r="G15" s="102"/>
      <c r="H15" s="101"/>
      <c r="I15" s="101"/>
      <c r="J15" s="101"/>
      <c r="K15" s="101"/>
      <c r="L15" s="101"/>
      <c r="M15" s="101"/>
      <c r="N15" s="100"/>
      <c r="O15" s="100"/>
      <c r="P15" s="101"/>
      <c r="Q15" s="101"/>
      <c r="R15" s="106"/>
      <c r="S15" s="106"/>
      <c r="T15" s="100"/>
      <c r="U15" s="101"/>
      <c r="V15" s="108"/>
      <c r="W15" s="101"/>
      <c r="X15" s="101"/>
      <c r="Y15" s="107"/>
      <c r="Z15" s="101"/>
      <c r="AA15" s="112" t="str">
        <f>IF(ISNA(VLOOKUP(Table2[[#This Row],[Task ID]],Table1[],17,FALSE)),"",VLOOKUP(Table2[[#This Row],[Task ID]],Table1[],17,FALSE))</f>
        <v/>
      </c>
      <c r="AB15" s="113" t="str">
        <f>IF(Table2[[#This Row],[Defect Detected On Date ]]="","",TEXT(Table2[[#This Row],[Defect Detected On Date ]],"mmm"))</f>
        <v/>
      </c>
      <c r="AE15" s="63"/>
    </row>
    <row r="16" spans="1:31">
      <c r="B16" s="100"/>
      <c r="C16" s="100"/>
      <c r="D16" s="101"/>
      <c r="E16" s="101"/>
      <c r="F16" s="101"/>
      <c r="G16" s="102"/>
      <c r="H16" s="101"/>
      <c r="I16" s="101"/>
      <c r="J16" s="101"/>
      <c r="K16" s="101"/>
      <c r="L16" s="101"/>
      <c r="M16" s="101"/>
      <c r="N16" s="100"/>
      <c r="O16" s="100"/>
      <c r="P16" s="101"/>
      <c r="Q16" s="101"/>
      <c r="R16" s="106"/>
      <c r="S16" s="106"/>
      <c r="T16" s="100"/>
      <c r="U16" s="101"/>
      <c r="V16" s="108"/>
      <c r="W16" s="101"/>
      <c r="X16" s="101"/>
      <c r="Y16" s="107"/>
      <c r="Z16" s="101"/>
      <c r="AA16" s="112" t="str">
        <f>IF(ISNA(VLOOKUP(Table2[[#This Row],[Task ID]],Table1[],17,FALSE)),"",VLOOKUP(Table2[[#This Row],[Task ID]],Table1[],17,FALSE))</f>
        <v/>
      </c>
      <c r="AB16" s="113" t="str">
        <f>IF(Table2[[#This Row],[Defect Detected On Date ]]="","",TEXT(Table2[[#This Row],[Defect Detected On Date ]],"mmm"))</f>
        <v/>
      </c>
      <c r="AE16" s="63"/>
    </row>
    <row r="17" spans="2:31">
      <c r="B17" s="100"/>
      <c r="C17" s="100"/>
      <c r="D17" s="101"/>
      <c r="E17" s="101"/>
      <c r="F17" s="101"/>
      <c r="G17" s="102"/>
      <c r="H17" s="101"/>
      <c r="I17" s="101"/>
      <c r="J17" s="101"/>
      <c r="K17" s="101"/>
      <c r="L17" s="101"/>
      <c r="M17" s="101"/>
      <c r="N17" s="100"/>
      <c r="O17" s="100"/>
      <c r="P17" s="101"/>
      <c r="Q17" s="101"/>
      <c r="R17" s="106"/>
      <c r="S17" s="106"/>
      <c r="T17" s="100"/>
      <c r="U17" s="101"/>
      <c r="V17" s="107"/>
      <c r="W17" s="101"/>
      <c r="X17" s="101"/>
      <c r="Y17" s="107"/>
      <c r="Z17" s="101"/>
      <c r="AA17" s="112" t="str">
        <f>IF(ISNA(VLOOKUP(Table2[[#This Row],[Task ID]],Table1[],17,FALSE)),"",VLOOKUP(Table2[[#This Row],[Task ID]],Table1[],17,FALSE))</f>
        <v/>
      </c>
      <c r="AB17" s="113" t="str">
        <f>IF(Table2[[#This Row],[Defect Detected On Date ]]="","",TEXT(Table2[[#This Row],[Defect Detected On Date ]],"mmm"))</f>
        <v/>
      </c>
      <c r="AE17" s="63"/>
    </row>
    <row r="18" spans="2:31">
      <c r="B18" s="100"/>
      <c r="C18" s="100"/>
      <c r="D18" s="101"/>
      <c r="E18" s="101"/>
      <c r="F18" s="101"/>
      <c r="G18" s="103"/>
      <c r="H18" s="101"/>
      <c r="I18" s="101"/>
      <c r="J18" s="101"/>
      <c r="K18" s="101"/>
      <c r="L18" s="101"/>
      <c r="M18" s="101"/>
      <c r="N18" s="100"/>
      <c r="O18" s="100"/>
      <c r="P18" s="101"/>
      <c r="Q18" s="101"/>
      <c r="R18" s="101"/>
      <c r="S18" s="101"/>
      <c r="T18" s="100"/>
      <c r="U18" s="101"/>
      <c r="V18" s="107"/>
      <c r="W18" s="101"/>
      <c r="X18" s="101"/>
      <c r="Y18" s="107"/>
      <c r="Z18" s="101"/>
      <c r="AA18" s="112" t="str">
        <f>IF(ISNA(VLOOKUP(Table2[[#This Row],[Task ID]],Table1[],17,FALSE)),"",VLOOKUP(Table2[[#This Row],[Task ID]],Table1[],17,FALSE))</f>
        <v/>
      </c>
      <c r="AB18" s="113" t="str">
        <f>IF(Table2[[#This Row],[Defect Detected On Date ]]="","",TEXT(Table2[[#This Row],[Defect Detected On Date ]],"mmm"))</f>
        <v/>
      </c>
      <c r="AE18" s="63"/>
    </row>
    <row r="19" spans="2:31">
      <c r="B19" s="100"/>
      <c r="C19" s="100"/>
      <c r="D19" s="101"/>
      <c r="E19" s="101"/>
      <c r="F19" s="101"/>
      <c r="G19" s="103"/>
      <c r="H19" s="101"/>
      <c r="I19" s="101"/>
      <c r="J19" s="101"/>
      <c r="K19" s="101"/>
      <c r="L19" s="101"/>
      <c r="M19" s="101"/>
      <c r="N19" s="100"/>
      <c r="O19" s="100"/>
      <c r="P19" s="101"/>
      <c r="Q19" s="101"/>
      <c r="R19" s="101"/>
      <c r="S19" s="101"/>
      <c r="T19" s="100"/>
      <c r="U19" s="101"/>
      <c r="V19" s="107"/>
      <c r="W19" s="101"/>
      <c r="X19" s="101"/>
      <c r="Y19" s="107"/>
      <c r="Z19" s="101"/>
      <c r="AA19" s="112" t="str">
        <f>IF(ISNA(VLOOKUP(Table2[[#This Row],[Task ID]],Table1[],17,FALSE)),"",VLOOKUP(Table2[[#This Row],[Task ID]],Table1[],17,FALSE))</f>
        <v/>
      </c>
      <c r="AB19" s="113" t="str">
        <f>IF(Table2[[#This Row],[Defect Detected On Date ]]="","",TEXT(Table2[[#This Row],[Defect Detected On Date ]],"mmm"))</f>
        <v/>
      </c>
      <c r="AE19" s="63"/>
    </row>
    <row r="20" spans="2:31">
      <c r="B20" s="100"/>
      <c r="C20" s="100"/>
      <c r="D20" s="101"/>
      <c r="E20" s="101"/>
      <c r="F20" s="101"/>
      <c r="G20" s="103"/>
      <c r="H20" s="101"/>
      <c r="I20" s="101"/>
      <c r="J20" s="101"/>
      <c r="K20" s="101"/>
      <c r="L20" s="101"/>
      <c r="M20" s="101"/>
      <c r="N20" s="100"/>
      <c r="O20" s="100"/>
      <c r="P20" s="101"/>
      <c r="Q20" s="101"/>
      <c r="R20" s="101"/>
      <c r="S20" s="101"/>
      <c r="T20" s="100"/>
      <c r="U20" s="101"/>
      <c r="V20" s="107"/>
      <c r="W20" s="101"/>
      <c r="X20" s="101"/>
      <c r="Y20" s="107"/>
      <c r="Z20" s="101"/>
      <c r="AA20" s="112" t="str">
        <f>IF(ISNA(VLOOKUP(Table2[[#This Row],[Task ID]],Table1[],17,FALSE)),"",VLOOKUP(Table2[[#This Row],[Task ID]],Table1[],17,FALSE))</f>
        <v/>
      </c>
      <c r="AB20" s="113" t="str">
        <f>IF(Table2[[#This Row],[Defect Detected On Date ]]="","",TEXT(Table2[[#This Row],[Defect Detected On Date ]],"mmm"))</f>
        <v/>
      </c>
      <c r="AE20" s="63"/>
    </row>
    <row r="21" spans="2:31">
      <c r="B21" s="100"/>
      <c r="C21" s="100"/>
      <c r="D21" s="101"/>
      <c r="E21" s="101"/>
      <c r="F21" s="101"/>
      <c r="G21" s="103"/>
      <c r="H21" s="101"/>
      <c r="I21" s="101"/>
      <c r="J21" s="101"/>
      <c r="K21" s="101"/>
      <c r="L21" s="101"/>
      <c r="M21" s="101"/>
      <c r="N21" s="100"/>
      <c r="O21" s="100"/>
      <c r="P21" s="101"/>
      <c r="Q21" s="101"/>
      <c r="R21" s="101"/>
      <c r="S21" s="101"/>
      <c r="T21" s="100"/>
      <c r="U21" s="101"/>
      <c r="V21" s="107"/>
      <c r="W21" s="101"/>
      <c r="X21" s="101"/>
      <c r="Y21" s="107"/>
      <c r="Z21" s="101"/>
      <c r="AA21" s="112" t="str">
        <f>IF(ISNA(VLOOKUP(Table2[[#This Row],[Task ID]],Table1[],17,FALSE)),"",VLOOKUP(Table2[[#This Row],[Task ID]],Table1[],17,FALSE))</f>
        <v/>
      </c>
      <c r="AB21" s="113" t="str">
        <f>IF(Table2[[#This Row],[Defect Detected On Date ]]="","",TEXT(Table2[[#This Row],[Defect Detected On Date ]],"mmm"))</f>
        <v/>
      </c>
      <c r="AE21" s="63"/>
    </row>
    <row r="22" spans="2:31">
      <c r="B22" s="100"/>
      <c r="C22" s="100"/>
      <c r="D22" s="101"/>
      <c r="E22" s="101"/>
      <c r="F22" s="101"/>
      <c r="G22" s="103"/>
      <c r="H22" s="101"/>
      <c r="I22" s="101"/>
      <c r="J22" s="101"/>
      <c r="K22" s="101"/>
      <c r="L22" s="101"/>
      <c r="M22" s="101"/>
      <c r="N22" s="100"/>
      <c r="O22" s="100"/>
      <c r="P22" s="101"/>
      <c r="Q22" s="101"/>
      <c r="R22" s="101"/>
      <c r="S22" s="101"/>
      <c r="T22" s="100"/>
      <c r="U22" s="101"/>
      <c r="V22" s="109"/>
      <c r="W22" s="101"/>
      <c r="X22" s="101"/>
      <c r="Y22" s="107"/>
      <c r="Z22" s="101"/>
      <c r="AA22" s="112" t="str">
        <f>IF(ISNA(VLOOKUP(Table2[[#This Row],[Task ID]],Table1[],17,FALSE)),"",VLOOKUP(Table2[[#This Row],[Task ID]],Table1[],17,FALSE))</f>
        <v/>
      </c>
      <c r="AB22" s="113" t="str">
        <f>IF(Table2[[#This Row],[Defect Detected On Date ]]="","",TEXT(Table2[[#This Row],[Defect Detected On Date ]],"mmm"))</f>
        <v/>
      </c>
      <c r="AE22" s="63"/>
    </row>
    <row r="23" spans="2:31">
      <c r="B23" s="100"/>
      <c r="C23" s="100"/>
      <c r="D23" s="101"/>
      <c r="E23" s="101"/>
      <c r="F23" s="101"/>
      <c r="G23" s="102"/>
      <c r="H23" s="101"/>
      <c r="I23" s="101"/>
      <c r="J23" s="101"/>
      <c r="K23" s="101"/>
      <c r="L23" s="101"/>
      <c r="M23" s="101"/>
      <c r="N23" s="100"/>
      <c r="O23" s="100"/>
      <c r="P23" s="101"/>
      <c r="Q23" s="101"/>
      <c r="R23" s="101"/>
      <c r="S23" s="101"/>
      <c r="T23" s="100"/>
      <c r="U23" s="101"/>
      <c r="V23" s="109"/>
      <c r="W23" s="101"/>
      <c r="X23" s="101"/>
      <c r="Y23" s="107"/>
      <c r="Z23" s="101"/>
      <c r="AA23" s="112" t="str">
        <f>IF(ISNA(VLOOKUP(Table2[[#This Row],[Task ID]],Table1[],17,FALSE)),"",VLOOKUP(Table2[[#This Row],[Task ID]],Table1[],17,FALSE))</f>
        <v/>
      </c>
      <c r="AB23" s="113" t="str">
        <f>IF(Table2[[#This Row],[Defect Detected On Date ]]="","",TEXT(Table2[[#This Row],[Defect Detected On Date ]],"mmm"))</f>
        <v/>
      </c>
      <c r="AE23" s="63"/>
    </row>
    <row r="24" spans="2:31">
      <c r="B24" s="100"/>
      <c r="C24" s="100"/>
      <c r="D24" s="101"/>
      <c r="E24" s="101"/>
      <c r="F24" s="101"/>
      <c r="G24" s="102"/>
      <c r="H24" s="101"/>
      <c r="I24" s="101"/>
      <c r="J24" s="101"/>
      <c r="K24" s="101"/>
      <c r="L24" s="101"/>
      <c r="M24" s="101"/>
      <c r="N24" s="100"/>
      <c r="O24" s="100"/>
      <c r="P24" s="101"/>
      <c r="Q24" s="101"/>
      <c r="R24" s="101"/>
      <c r="S24" s="101"/>
      <c r="T24" s="100"/>
      <c r="U24" s="101"/>
      <c r="V24" s="109"/>
      <c r="W24" s="109"/>
      <c r="X24" s="101"/>
      <c r="Y24" s="107"/>
      <c r="Z24" s="101"/>
      <c r="AA24" s="112" t="str">
        <f>IF(ISNA(VLOOKUP(Table2[[#This Row],[Task ID]],Table1[],17,FALSE)),"",VLOOKUP(Table2[[#This Row],[Task ID]],Table1[],17,FALSE))</f>
        <v/>
      </c>
      <c r="AB24" s="113" t="str">
        <f>IF(Table2[[#This Row],[Defect Detected On Date ]]="","",TEXT(Table2[[#This Row],[Defect Detected On Date ]],"mmm"))</f>
        <v/>
      </c>
      <c r="AE24" s="63"/>
    </row>
    <row r="25" spans="2:31">
      <c r="B25" s="100"/>
      <c r="C25" s="100"/>
      <c r="D25" s="101"/>
      <c r="E25" s="101"/>
      <c r="F25" s="101"/>
      <c r="G25" s="102"/>
      <c r="H25" s="101"/>
      <c r="I25" s="101"/>
      <c r="J25" s="101"/>
      <c r="K25" s="101"/>
      <c r="L25" s="101"/>
      <c r="M25" s="101"/>
      <c r="N25" s="100"/>
      <c r="O25" s="100"/>
      <c r="P25" s="101"/>
      <c r="Q25" s="101"/>
      <c r="R25" s="101"/>
      <c r="S25" s="101"/>
      <c r="T25" s="100"/>
      <c r="U25" s="101"/>
      <c r="V25" s="109"/>
      <c r="W25" s="109"/>
      <c r="X25" s="101"/>
      <c r="Y25" s="107"/>
      <c r="Z25" s="101"/>
      <c r="AA25" s="112" t="str">
        <f>IF(ISNA(VLOOKUP(Table2[[#This Row],[Task ID]],Table1[],17,FALSE)),"",VLOOKUP(Table2[[#This Row],[Task ID]],Table1[],17,FALSE))</f>
        <v/>
      </c>
      <c r="AB25" s="113" t="str">
        <f>IF(Table2[[#This Row],[Defect Detected On Date ]]="","",TEXT(Table2[[#This Row],[Defect Detected On Date ]],"mmm"))</f>
        <v/>
      </c>
      <c r="AE25" s="63"/>
    </row>
    <row r="26" spans="2:31">
      <c r="B26" s="100"/>
      <c r="C26" s="100"/>
      <c r="D26" s="101"/>
      <c r="E26" s="101"/>
      <c r="F26" s="101"/>
      <c r="G26" s="102"/>
      <c r="H26" s="101"/>
      <c r="I26" s="101"/>
      <c r="J26" s="101"/>
      <c r="K26" s="101"/>
      <c r="L26" s="101"/>
      <c r="M26" s="101"/>
      <c r="N26" s="100"/>
      <c r="O26" s="100"/>
      <c r="P26" s="101"/>
      <c r="Q26" s="101"/>
      <c r="R26" s="101"/>
      <c r="S26" s="101"/>
      <c r="T26" s="100"/>
      <c r="U26" s="101"/>
      <c r="V26" s="109"/>
      <c r="W26" s="109"/>
      <c r="X26" s="101"/>
      <c r="Y26" s="109"/>
      <c r="Z26" s="101"/>
      <c r="AA26" s="112" t="str">
        <f>IF(ISNA(VLOOKUP(Table2[[#This Row],[Task ID]],Table1[],17,FALSE)),"",VLOOKUP(Table2[[#This Row],[Task ID]],Table1[],17,FALSE))</f>
        <v/>
      </c>
      <c r="AB26" s="113" t="str">
        <f>IF(Table2[[#This Row],[Defect Detected On Date ]]="","",TEXT(Table2[[#This Row],[Defect Detected On Date ]],"mmm"))</f>
        <v/>
      </c>
      <c r="AE26" s="63"/>
    </row>
    <row r="27" spans="2:31">
      <c r="B27" s="100"/>
      <c r="C27" s="100"/>
      <c r="D27" s="101"/>
      <c r="E27" s="101"/>
      <c r="F27" s="101"/>
      <c r="G27" s="102"/>
      <c r="H27" s="101"/>
      <c r="I27" s="101"/>
      <c r="J27" s="101"/>
      <c r="K27" s="101"/>
      <c r="L27" s="101"/>
      <c r="M27" s="101"/>
      <c r="N27" s="100"/>
      <c r="O27" s="100"/>
      <c r="P27" s="101"/>
      <c r="Q27" s="101"/>
      <c r="R27" s="101"/>
      <c r="S27" s="101"/>
      <c r="T27" s="100"/>
      <c r="U27" s="101"/>
      <c r="V27" s="109"/>
      <c r="W27" s="109"/>
      <c r="X27" s="101"/>
      <c r="Y27" s="109"/>
      <c r="Z27" s="101"/>
      <c r="AA27" s="112" t="str">
        <f>IF(ISNA(VLOOKUP(Table2[[#This Row],[Task ID]],Table1[],17,FALSE)),"",VLOOKUP(Table2[[#This Row],[Task ID]],Table1[],17,FALSE))</f>
        <v/>
      </c>
      <c r="AB27" s="114" t="str">
        <f>IF(Table2[[#This Row],[Defect Detected On Date ]]="","",TEXT(Table2[[#This Row],[Defect Detected On Date ]],"mmm"))</f>
        <v/>
      </c>
      <c r="AE27" s="63"/>
    </row>
    <row r="28" spans="2:31">
      <c r="B28" s="100"/>
      <c r="C28" s="100"/>
      <c r="D28" s="101"/>
      <c r="E28" s="101"/>
      <c r="F28" s="101"/>
      <c r="G28" s="102"/>
      <c r="H28" s="101"/>
      <c r="I28" s="101"/>
      <c r="J28" s="101"/>
      <c r="K28" s="101"/>
      <c r="L28" s="101"/>
      <c r="M28" s="101"/>
      <c r="N28" s="100"/>
      <c r="O28" s="100"/>
      <c r="P28" s="101"/>
      <c r="Q28" s="101"/>
      <c r="R28" s="101"/>
      <c r="S28" s="101"/>
      <c r="T28" s="100"/>
      <c r="U28" s="101"/>
      <c r="V28" s="109"/>
      <c r="W28" s="109"/>
      <c r="X28" s="101"/>
      <c r="Y28" s="109"/>
      <c r="Z28" s="101"/>
      <c r="AA28" s="112" t="str">
        <f>IF(ISNA(VLOOKUP(Table2[[#This Row],[Task ID]],Table1[],17,FALSE)),"",VLOOKUP(Table2[[#This Row],[Task ID]],Table1[],17,FALSE))</f>
        <v/>
      </c>
      <c r="AB28" s="114" t="str">
        <f>IF(Table2[[#This Row],[Defect Detected On Date ]]="","",TEXT(Table2[[#This Row],[Defect Detected On Date ]],"mmm"))</f>
        <v/>
      </c>
      <c r="AE28" s="63"/>
    </row>
    <row r="29" spans="2:31">
      <c r="B29" s="100"/>
      <c r="C29" s="100"/>
      <c r="D29" s="101"/>
      <c r="E29" s="101"/>
      <c r="F29" s="101"/>
      <c r="G29" s="102"/>
      <c r="H29" s="101"/>
      <c r="I29" s="101"/>
      <c r="J29" s="101"/>
      <c r="K29" s="101"/>
      <c r="L29" s="101"/>
      <c r="M29" s="101"/>
      <c r="N29" s="100"/>
      <c r="O29" s="100"/>
      <c r="P29" s="101"/>
      <c r="Q29" s="101"/>
      <c r="R29" s="101"/>
      <c r="S29" s="101"/>
      <c r="T29" s="100"/>
      <c r="U29" s="101"/>
      <c r="V29" s="109"/>
      <c r="W29" s="109"/>
      <c r="X29" s="101"/>
      <c r="Y29" s="109"/>
      <c r="Z29" s="101"/>
      <c r="AA29" s="112" t="str">
        <f>IF(ISNA(VLOOKUP(Table2[[#This Row],[Task ID]],Table1[],17,FALSE)),"",VLOOKUP(Table2[[#This Row],[Task ID]],Table1[],17,FALSE))</f>
        <v/>
      </c>
      <c r="AB29" s="114" t="str">
        <f>IF(Table2[[#This Row],[Defect Detected On Date ]]="","",TEXT(Table2[[#This Row],[Defect Detected On Date ]],"mmm"))</f>
        <v/>
      </c>
      <c r="AE29" s="63"/>
    </row>
    <row r="30" spans="2:31">
      <c r="B30" s="100"/>
      <c r="C30" s="100"/>
      <c r="D30" s="101"/>
      <c r="E30" s="101"/>
      <c r="F30" s="101"/>
      <c r="G30" s="102"/>
      <c r="H30" s="101"/>
      <c r="I30" s="101"/>
      <c r="J30" s="101"/>
      <c r="K30" s="101"/>
      <c r="L30" s="101"/>
      <c r="M30" s="101"/>
      <c r="N30" s="100"/>
      <c r="O30" s="100"/>
      <c r="P30" s="101"/>
      <c r="Q30" s="101"/>
      <c r="R30" s="101"/>
      <c r="S30" s="101"/>
      <c r="T30" s="100"/>
      <c r="U30" s="101"/>
      <c r="V30" s="109"/>
      <c r="W30" s="109"/>
      <c r="X30" s="101"/>
      <c r="Y30" s="109"/>
      <c r="Z30" s="101"/>
      <c r="AA30" s="112" t="str">
        <f>IF(ISNA(VLOOKUP(Table2[[#This Row],[Task ID]],Table1[],17,FALSE)),"",VLOOKUP(Table2[[#This Row],[Task ID]],Table1[],17,FALSE))</f>
        <v/>
      </c>
      <c r="AB30" s="114" t="str">
        <f>IF(Table2[[#This Row],[Defect Detected On Date ]]="","",TEXT(Table2[[#This Row],[Defect Detected On Date ]],"mmm"))</f>
        <v/>
      </c>
      <c r="AE30" s="63"/>
    </row>
    <row r="31" spans="2:31">
      <c r="B31" s="100"/>
      <c r="C31" s="100"/>
      <c r="D31" s="101"/>
      <c r="E31" s="101"/>
      <c r="F31" s="101"/>
      <c r="G31" s="102"/>
      <c r="H31" s="101"/>
      <c r="I31" s="101"/>
      <c r="J31" s="101"/>
      <c r="K31" s="101"/>
      <c r="L31" s="101"/>
      <c r="M31" s="101"/>
      <c r="N31" s="100"/>
      <c r="O31" s="100"/>
      <c r="P31" s="101"/>
      <c r="Q31" s="101"/>
      <c r="R31" s="101"/>
      <c r="S31" s="101"/>
      <c r="T31" s="100"/>
      <c r="U31" s="101"/>
      <c r="V31" s="109"/>
      <c r="W31" s="109"/>
      <c r="X31" s="101"/>
      <c r="Y31" s="109"/>
      <c r="Z31" s="101"/>
      <c r="AA31" s="112" t="str">
        <f>IF(ISNA(VLOOKUP(Table2[[#This Row],[Task ID]],Table1[],17,FALSE)),"",VLOOKUP(Table2[[#This Row],[Task ID]],Table1[],17,FALSE))</f>
        <v/>
      </c>
      <c r="AB31" s="114" t="str">
        <f>IF(Table2[[#This Row],[Defect Detected On Date ]]="","",TEXT(Table2[[#This Row],[Defect Detected On Date ]],"mmm"))</f>
        <v/>
      </c>
      <c r="AE31" s="63"/>
    </row>
    <row r="32" spans="2:31">
      <c r="B32" s="100"/>
      <c r="C32" s="100"/>
      <c r="D32" s="101"/>
      <c r="E32" s="101"/>
      <c r="F32" s="101"/>
      <c r="G32" s="102"/>
      <c r="H32" s="101"/>
      <c r="I32" s="101"/>
      <c r="J32" s="101"/>
      <c r="K32" s="101"/>
      <c r="L32" s="101"/>
      <c r="M32" s="101"/>
      <c r="N32" s="100"/>
      <c r="O32" s="100"/>
      <c r="P32" s="101"/>
      <c r="Q32" s="101"/>
      <c r="R32" s="101"/>
      <c r="S32" s="101"/>
      <c r="T32" s="100"/>
      <c r="U32" s="101"/>
      <c r="V32" s="109"/>
      <c r="W32" s="109"/>
      <c r="X32" s="101"/>
      <c r="Y32" s="109"/>
      <c r="Z32" s="101"/>
      <c r="AA32" s="112" t="str">
        <f>IF(ISNA(VLOOKUP(Table2[[#This Row],[Task ID]],Table1[],17,FALSE)),"",VLOOKUP(Table2[[#This Row],[Task ID]],Table1[],17,FALSE))</f>
        <v/>
      </c>
      <c r="AB32" s="114" t="str">
        <f>IF(Table2[[#This Row],[Defect Detected On Date ]]="","",TEXT(Table2[[#This Row],[Defect Detected On Date ]],"mmm"))</f>
        <v/>
      </c>
      <c r="AE32" s="63"/>
    </row>
    <row r="33" spans="2:31">
      <c r="B33" s="100"/>
      <c r="C33" s="100"/>
      <c r="D33" s="101"/>
      <c r="E33" s="101"/>
      <c r="F33" s="101"/>
      <c r="G33" s="102"/>
      <c r="H33" s="101"/>
      <c r="I33" s="101"/>
      <c r="J33" s="101"/>
      <c r="K33" s="101"/>
      <c r="L33" s="101"/>
      <c r="M33" s="101"/>
      <c r="N33" s="100"/>
      <c r="O33" s="100"/>
      <c r="P33" s="101"/>
      <c r="Q33" s="101"/>
      <c r="R33" s="101"/>
      <c r="S33" s="101"/>
      <c r="T33" s="100"/>
      <c r="U33" s="101"/>
      <c r="V33" s="109"/>
      <c r="W33" s="109"/>
      <c r="X33" s="101"/>
      <c r="Y33" s="109"/>
      <c r="Z33" s="101"/>
      <c r="AA33" s="112" t="str">
        <f>IF(ISNA(VLOOKUP(Table2[[#This Row],[Task ID]],Table1[],17,FALSE)),"",VLOOKUP(Table2[[#This Row],[Task ID]],Table1[],17,FALSE))</f>
        <v/>
      </c>
      <c r="AB33" s="114" t="str">
        <f>IF(Table2[[#This Row],[Defect Detected On Date ]]="","",TEXT(Table2[[#This Row],[Defect Detected On Date ]],"mmm"))</f>
        <v/>
      </c>
      <c r="AE33" s="63"/>
    </row>
    <row r="34" spans="2:31">
      <c r="B34" s="100"/>
      <c r="C34" s="100"/>
      <c r="D34" s="101"/>
      <c r="E34" s="101"/>
      <c r="F34" s="101"/>
      <c r="G34" s="102"/>
      <c r="H34" s="101"/>
      <c r="I34" s="101"/>
      <c r="J34" s="101"/>
      <c r="K34" s="101"/>
      <c r="L34" s="101"/>
      <c r="M34" s="101"/>
      <c r="N34" s="100"/>
      <c r="O34" s="100"/>
      <c r="P34" s="101"/>
      <c r="Q34" s="101"/>
      <c r="R34" s="101"/>
      <c r="S34" s="101"/>
      <c r="T34" s="100"/>
      <c r="U34" s="101"/>
      <c r="V34" s="109"/>
      <c r="W34" s="109"/>
      <c r="X34" s="101"/>
      <c r="Y34" s="109"/>
      <c r="Z34" s="101"/>
      <c r="AA34" s="112" t="str">
        <f>IF(ISNA(VLOOKUP(Table2[[#This Row],[Task ID]],Table1[],17,FALSE)),"",VLOOKUP(Table2[[#This Row],[Task ID]],Table1[],17,FALSE))</f>
        <v/>
      </c>
      <c r="AB34" s="114" t="str">
        <f>IF(Table2[[#This Row],[Defect Detected On Date ]]="","",TEXT(Table2[[#This Row],[Defect Detected On Date ]],"mmm"))</f>
        <v/>
      </c>
      <c r="AE34" s="63"/>
    </row>
    <row r="35" spans="2:31">
      <c r="B35" s="100"/>
      <c r="C35" s="100"/>
      <c r="D35" s="101"/>
      <c r="E35" s="101"/>
      <c r="F35" s="101"/>
      <c r="G35" s="102"/>
      <c r="H35" s="101"/>
      <c r="I35" s="101"/>
      <c r="J35" s="101"/>
      <c r="K35" s="101"/>
      <c r="L35" s="101"/>
      <c r="M35" s="101"/>
      <c r="N35" s="100"/>
      <c r="O35" s="100"/>
      <c r="P35" s="101"/>
      <c r="Q35" s="101"/>
      <c r="R35" s="101"/>
      <c r="S35" s="101"/>
      <c r="T35" s="100"/>
      <c r="U35" s="101"/>
      <c r="V35" s="109"/>
      <c r="W35" s="109"/>
      <c r="X35" s="101"/>
      <c r="Y35" s="109"/>
      <c r="Z35" s="101"/>
      <c r="AA35" s="112" t="str">
        <f>IF(ISNA(VLOOKUP(Table2[[#This Row],[Task ID]],Table1[],17,FALSE)),"",VLOOKUP(Table2[[#This Row],[Task ID]],Table1[],17,FALSE))</f>
        <v/>
      </c>
      <c r="AB35" s="114" t="str">
        <f>IF(Table2[[#This Row],[Defect Detected On Date ]]="","",TEXT(Table2[[#This Row],[Defect Detected On Date ]],"mmm"))</f>
        <v/>
      </c>
      <c r="AE35" s="63"/>
    </row>
    <row r="36" spans="2:31">
      <c r="B36" s="100"/>
      <c r="C36" s="100"/>
      <c r="D36" s="101"/>
      <c r="E36" s="101"/>
      <c r="F36" s="101"/>
      <c r="G36" s="102"/>
      <c r="H36" s="101"/>
      <c r="I36" s="101"/>
      <c r="J36" s="101"/>
      <c r="K36" s="101"/>
      <c r="L36" s="101"/>
      <c r="M36" s="101"/>
      <c r="N36" s="100"/>
      <c r="O36" s="100"/>
      <c r="P36" s="101"/>
      <c r="Q36" s="101"/>
      <c r="R36" s="101"/>
      <c r="S36" s="101"/>
      <c r="T36" s="100"/>
      <c r="U36" s="101"/>
      <c r="V36" s="109"/>
      <c r="W36" s="109"/>
      <c r="X36" s="101"/>
      <c r="Y36" s="109"/>
      <c r="Z36" s="101"/>
      <c r="AA36" s="112" t="str">
        <f>IF(ISNA(VLOOKUP(Table2[[#This Row],[Task ID]],Table1[],17,FALSE)),"",VLOOKUP(Table2[[#This Row],[Task ID]],Table1[],17,FALSE))</f>
        <v/>
      </c>
      <c r="AB36" s="114" t="str">
        <f>IF(Table2[[#This Row],[Defect Detected On Date ]]="","",TEXT(Table2[[#This Row],[Defect Detected On Date ]],"mmm"))</f>
        <v/>
      </c>
      <c r="AE36" s="63"/>
    </row>
    <row r="37" spans="2:31">
      <c r="B37" s="100"/>
      <c r="C37" s="100"/>
      <c r="D37" s="101"/>
      <c r="E37" s="101"/>
      <c r="F37" s="101"/>
      <c r="G37" s="102"/>
      <c r="H37" s="101"/>
      <c r="I37" s="101"/>
      <c r="J37" s="101"/>
      <c r="K37" s="101"/>
      <c r="L37" s="101"/>
      <c r="M37" s="101"/>
      <c r="N37" s="100"/>
      <c r="O37" s="100"/>
      <c r="P37" s="101"/>
      <c r="Q37" s="101"/>
      <c r="R37" s="101"/>
      <c r="S37" s="101"/>
      <c r="T37" s="100"/>
      <c r="U37" s="101"/>
      <c r="V37" s="109"/>
      <c r="W37" s="109"/>
      <c r="X37" s="101"/>
      <c r="Y37" s="109"/>
      <c r="Z37" s="101"/>
      <c r="AA37" s="112" t="str">
        <f>IF(ISNA(VLOOKUP(Table2[[#This Row],[Task ID]],Table1[],17,FALSE)),"",VLOOKUP(Table2[[#This Row],[Task ID]],Table1[],17,FALSE))</f>
        <v/>
      </c>
      <c r="AB37" s="115" t="str">
        <f>IF(Table2[[#This Row],[Defect Detected On Date ]]="","",TEXT(Table2[[#This Row],[Defect Detected On Date ]],"mmm"))</f>
        <v/>
      </c>
      <c r="AE37" s="63"/>
    </row>
    <row r="38" spans="2:31">
      <c r="B38" s="100"/>
      <c r="C38" s="100"/>
      <c r="D38" s="101"/>
      <c r="E38" s="101"/>
      <c r="F38" s="101"/>
      <c r="G38" s="102"/>
      <c r="H38" s="101"/>
      <c r="I38" s="101"/>
      <c r="J38" s="101"/>
      <c r="K38" s="101"/>
      <c r="L38" s="101"/>
      <c r="M38" s="101"/>
      <c r="N38" s="100"/>
      <c r="O38" s="100"/>
      <c r="P38" s="101"/>
      <c r="Q38" s="101"/>
      <c r="R38" s="101"/>
      <c r="S38" s="101"/>
      <c r="T38" s="100"/>
      <c r="U38" s="101"/>
      <c r="V38" s="109"/>
      <c r="W38" s="109"/>
      <c r="X38" s="101"/>
      <c r="Y38" s="109"/>
      <c r="Z38" s="101"/>
      <c r="AA38" s="112" t="str">
        <f>IF(ISNA(VLOOKUP(Table2[[#This Row],[Task ID]],Table1[],17,FALSE)),"",VLOOKUP(Table2[[#This Row],[Task ID]],Table1[],17,FALSE))</f>
        <v/>
      </c>
      <c r="AB38" s="115" t="str">
        <f>IF(Table2[[#This Row],[Defect Detected On Date ]]="","",TEXT(Table2[[#This Row],[Defect Detected On Date ]],"mmm"))</f>
        <v/>
      </c>
      <c r="AE38" s="63"/>
    </row>
    <row r="39" spans="2:31">
      <c r="B39" s="100"/>
      <c r="C39" s="100"/>
      <c r="D39" s="101"/>
      <c r="E39" s="101"/>
      <c r="F39" s="101"/>
      <c r="G39" s="102"/>
      <c r="H39" s="101"/>
      <c r="I39" s="101"/>
      <c r="J39" s="101"/>
      <c r="K39" s="101"/>
      <c r="L39" s="101"/>
      <c r="M39" s="101"/>
      <c r="N39" s="100"/>
      <c r="O39" s="100"/>
      <c r="P39" s="101"/>
      <c r="Q39" s="101"/>
      <c r="R39" s="101"/>
      <c r="S39" s="101"/>
      <c r="T39" s="100"/>
      <c r="U39" s="101"/>
      <c r="V39" s="109"/>
      <c r="W39" s="109"/>
      <c r="X39" s="101"/>
      <c r="Y39" s="109"/>
      <c r="Z39" s="101"/>
      <c r="AA39" s="112" t="str">
        <f>IF(ISNA(VLOOKUP(Table2[[#This Row],[Task ID]],Table1[],17,FALSE)),"",VLOOKUP(Table2[[#This Row],[Task ID]],Table1[],17,FALSE))</f>
        <v/>
      </c>
      <c r="AB39" s="115" t="str">
        <f>IF(Table2[[#This Row],[Defect Detected On Date ]]="","",TEXT(Table2[[#This Row],[Defect Detected On Date ]],"mmm"))</f>
        <v/>
      </c>
      <c r="AE39" s="63"/>
    </row>
    <row r="40" spans="2:31">
      <c r="B40" s="100"/>
      <c r="C40" s="100"/>
      <c r="D40" s="101"/>
      <c r="E40" s="101"/>
      <c r="F40" s="101"/>
      <c r="G40" s="102"/>
      <c r="H40" s="101"/>
      <c r="I40" s="101"/>
      <c r="J40" s="101"/>
      <c r="K40" s="101"/>
      <c r="L40" s="101"/>
      <c r="M40" s="101"/>
      <c r="N40" s="100"/>
      <c r="O40" s="100"/>
      <c r="P40" s="101"/>
      <c r="Q40" s="101"/>
      <c r="R40" s="101"/>
      <c r="S40" s="101"/>
      <c r="T40" s="100"/>
      <c r="U40" s="101"/>
      <c r="V40" s="109"/>
      <c r="W40" s="109"/>
      <c r="X40" s="101"/>
      <c r="Y40" s="109"/>
      <c r="Z40" s="101"/>
      <c r="AA40" s="112" t="str">
        <f>IF(ISNA(VLOOKUP(Table2[[#This Row],[Task ID]],Table1[],17,FALSE)),"",VLOOKUP(Table2[[#This Row],[Task ID]],Table1[],17,FALSE))</f>
        <v/>
      </c>
      <c r="AB40" s="115" t="str">
        <f>IF(Table2[[#This Row],[Defect Detected On Date ]]="","",TEXT(Table2[[#This Row],[Defect Detected On Date ]],"mmm"))</f>
        <v/>
      </c>
      <c r="AE40" s="63"/>
    </row>
    <row r="41" spans="2:31">
      <c r="B41" s="100"/>
      <c r="C41" s="100"/>
      <c r="D41" s="101"/>
      <c r="E41" s="101"/>
      <c r="F41" s="101"/>
      <c r="G41" s="102"/>
      <c r="H41" s="101"/>
      <c r="I41" s="101"/>
      <c r="J41" s="101"/>
      <c r="K41" s="101"/>
      <c r="L41" s="101"/>
      <c r="M41" s="101"/>
      <c r="N41" s="100"/>
      <c r="O41" s="100"/>
      <c r="P41" s="101"/>
      <c r="Q41" s="101"/>
      <c r="R41" s="101"/>
      <c r="S41" s="101"/>
      <c r="T41" s="100"/>
      <c r="U41" s="101"/>
      <c r="V41" s="109"/>
      <c r="W41" s="109"/>
      <c r="X41" s="101"/>
      <c r="Y41" s="109"/>
      <c r="Z41" s="101"/>
      <c r="AA41" s="112" t="str">
        <f>IF(ISNA(VLOOKUP(Table2[[#This Row],[Task ID]],Table1[],17,FALSE)),"",VLOOKUP(Table2[[#This Row],[Task ID]],Table1[],17,FALSE))</f>
        <v/>
      </c>
      <c r="AB41" s="114" t="str">
        <f>IF(Table2[[#This Row],[Defect Detected On Date ]]="","",TEXT(Table2[[#This Row],[Defect Detected On Date ]],"mmm"))</f>
        <v/>
      </c>
      <c r="AE41" s="63"/>
    </row>
    <row r="42" spans="2:31">
      <c r="B42" s="100"/>
      <c r="C42" s="100"/>
      <c r="D42" s="101"/>
      <c r="E42" s="101"/>
      <c r="F42" s="101"/>
      <c r="G42" s="102"/>
      <c r="H42" s="101"/>
      <c r="I42" s="101"/>
      <c r="J42" s="101"/>
      <c r="K42" s="101"/>
      <c r="L42" s="101"/>
      <c r="M42" s="101"/>
      <c r="N42" s="100"/>
      <c r="O42" s="100"/>
      <c r="P42" s="101"/>
      <c r="Q42" s="101"/>
      <c r="R42" s="101"/>
      <c r="S42" s="101"/>
      <c r="T42" s="100"/>
      <c r="U42" s="101"/>
      <c r="V42" s="109"/>
      <c r="W42" s="109"/>
      <c r="X42" s="101"/>
      <c r="Y42" s="109"/>
      <c r="Z42" s="101"/>
      <c r="AA42" s="112" t="str">
        <f>IF(ISNA(VLOOKUP(Table2[[#This Row],[Task ID]],Table1[],17,FALSE)),"",VLOOKUP(Table2[[#This Row],[Task ID]],Table1[],17,FALSE))</f>
        <v/>
      </c>
      <c r="AB42" s="114" t="str">
        <f>IF(Table2[[#This Row],[Defect Detected On Date ]]="","",TEXT(Table2[[#This Row],[Defect Detected On Date ]],"mmm"))</f>
        <v/>
      </c>
      <c r="AE42" s="63"/>
    </row>
    <row r="43" spans="2:31">
      <c r="B43" s="100"/>
      <c r="C43" s="100"/>
      <c r="D43" s="101"/>
      <c r="E43" s="101"/>
      <c r="F43" s="101"/>
      <c r="G43" s="102"/>
      <c r="H43" s="101"/>
      <c r="I43" s="101"/>
      <c r="J43" s="101"/>
      <c r="K43" s="101"/>
      <c r="L43" s="101"/>
      <c r="M43" s="101"/>
      <c r="N43" s="100"/>
      <c r="O43" s="100"/>
      <c r="P43" s="101"/>
      <c r="Q43" s="101"/>
      <c r="R43" s="101"/>
      <c r="S43" s="101"/>
      <c r="T43" s="100"/>
      <c r="U43" s="101"/>
      <c r="V43" s="109"/>
      <c r="W43" s="109"/>
      <c r="X43" s="101"/>
      <c r="Y43" s="109"/>
      <c r="Z43" s="101"/>
      <c r="AA43" s="112" t="str">
        <f>IF(ISNA(VLOOKUP(Table2[[#This Row],[Task ID]],Table1[],17,FALSE)),"",VLOOKUP(Table2[[#This Row],[Task ID]],Table1[],17,FALSE))</f>
        <v/>
      </c>
      <c r="AB43" s="114" t="str">
        <f>IF(Table2[[#This Row],[Defect Detected On Date ]]="","",TEXT(Table2[[#This Row],[Defect Detected On Date ]],"mmm"))</f>
        <v/>
      </c>
      <c r="AE43" s="63"/>
    </row>
    <row r="44" spans="2:31">
      <c r="B44" s="100"/>
      <c r="C44" s="100"/>
      <c r="D44" s="101"/>
      <c r="E44" s="101"/>
      <c r="F44" s="101"/>
      <c r="G44" s="102"/>
      <c r="H44" s="101"/>
      <c r="I44" s="101"/>
      <c r="J44" s="101"/>
      <c r="K44" s="101"/>
      <c r="L44" s="101"/>
      <c r="M44" s="101"/>
      <c r="N44" s="100"/>
      <c r="O44" s="100"/>
      <c r="P44" s="101"/>
      <c r="Q44" s="101"/>
      <c r="R44" s="106"/>
      <c r="S44" s="106"/>
      <c r="T44" s="100"/>
      <c r="U44" s="101"/>
      <c r="V44" s="109"/>
      <c r="W44" s="109"/>
      <c r="X44" s="101"/>
      <c r="Y44" s="109"/>
      <c r="Z44" s="101"/>
      <c r="AA44" s="112" t="str">
        <f>IF(ISNA(VLOOKUP(Table2[[#This Row],[Task ID]],Table1[],17,FALSE)),"",VLOOKUP(Table2[[#This Row],[Task ID]],Table1[],17,FALSE))</f>
        <v/>
      </c>
      <c r="AB44" s="115" t="str">
        <f>IF(Table2[[#This Row],[Defect Detected On Date ]]="","",TEXT(Table2[[#This Row],[Defect Detected On Date ]],"mmm"))</f>
        <v/>
      </c>
      <c r="AE44" s="63"/>
    </row>
    <row r="45" spans="2:31">
      <c r="B45" s="100"/>
      <c r="C45" s="100"/>
      <c r="D45" s="101"/>
      <c r="E45" s="101"/>
      <c r="F45" s="101"/>
      <c r="G45" s="102"/>
      <c r="H45" s="101"/>
      <c r="I45" s="101"/>
      <c r="J45" s="101"/>
      <c r="K45" s="101"/>
      <c r="L45" s="101"/>
      <c r="M45" s="101"/>
      <c r="N45" s="100"/>
      <c r="O45" s="100"/>
      <c r="P45" s="101"/>
      <c r="Q45" s="101"/>
      <c r="R45" s="106"/>
      <c r="S45" s="106"/>
      <c r="T45" s="100"/>
      <c r="U45" s="101"/>
      <c r="V45" s="109"/>
      <c r="W45" s="109"/>
      <c r="X45" s="101"/>
      <c r="Y45" s="109"/>
      <c r="Z45" s="101"/>
      <c r="AA45" s="112" t="str">
        <f>IF(ISNA(VLOOKUP(Table2[[#This Row],[Task ID]],Table1[],17,FALSE)),"",VLOOKUP(Table2[[#This Row],[Task ID]],Table1[],17,FALSE))</f>
        <v/>
      </c>
      <c r="AB45" s="115" t="str">
        <f>IF(Table2[[#This Row],[Defect Detected On Date ]]="","",TEXT(Table2[[#This Row],[Defect Detected On Date ]],"mmm"))</f>
        <v/>
      </c>
      <c r="AE45" s="63"/>
    </row>
    <row r="46" spans="2:31">
      <c r="B46" s="100"/>
      <c r="C46" s="100"/>
      <c r="D46" s="101"/>
      <c r="E46" s="101"/>
      <c r="F46" s="101"/>
      <c r="G46" s="102"/>
      <c r="H46" s="101"/>
      <c r="I46" s="101"/>
      <c r="J46" s="101"/>
      <c r="K46" s="101"/>
      <c r="L46" s="101"/>
      <c r="M46" s="101"/>
      <c r="N46" s="100"/>
      <c r="O46" s="100"/>
      <c r="P46" s="101"/>
      <c r="Q46" s="101"/>
      <c r="R46" s="106"/>
      <c r="S46" s="106"/>
      <c r="T46" s="100"/>
      <c r="U46" s="101"/>
      <c r="V46" s="109"/>
      <c r="W46" s="109"/>
      <c r="X46" s="101"/>
      <c r="Y46" s="109"/>
      <c r="Z46" s="101"/>
      <c r="AA46" s="112" t="s">
        <v>68</v>
      </c>
      <c r="AB46" s="115" t="str">
        <f>IF(Table2[[#This Row],[Defect Detected On Date ]]="","",TEXT(Table2[[#This Row],[Defect Detected On Date ]],"mmm"))</f>
        <v/>
      </c>
      <c r="AE46" s="63"/>
    </row>
    <row r="47" spans="2:31">
      <c r="B47" s="100"/>
      <c r="C47" s="100"/>
      <c r="D47" s="101"/>
      <c r="E47" s="101"/>
      <c r="F47" s="101"/>
      <c r="G47" s="102"/>
      <c r="H47" s="101"/>
      <c r="I47" s="101"/>
      <c r="J47" s="101"/>
      <c r="K47" s="101"/>
      <c r="L47" s="101"/>
      <c r="M47" s="101"/>
      <c r="N47" s="100"/>
      <c r="O47" s="100"/>
      <c r="P47" s="101"/>
      <c r="Q47" s="101"/>
      <c r="R47" s="106"/>
      <c r="S47" s="106"/>
      <c r="T47" s="100"/>
      <c r="U47" s="101"/>
      <c r="V47" s="109"/>
      <c r="W47" s="109"/>
      <c r="X47" s="101"/>
      <c r="Y47" s="109"/>
      <c r="Z47" s="101"/>
      <c r="AA47" s="112" t="s">
        <v>68</v>
      </c>
      <c r="AB47" s="115" t="str">
        <f>IF(Table2[[#This Row],[Defect Detected On Date ]]="","",TEXT(Table2[[#This Row],[Defect Detected On Date ]],"mmm"))</f>
        <v/>
      </c>
      <c r="AE47" s="63"/>
    </row>
    <row r="48" spans="2:31">
      <c r="B48" s="100"/>
      <c r="C48" s="100"/>
      <c r="D48" s="101"/>
      <c r="E48" s="101"/>
      <c r="F48" s="101"/>
      <c r="G48" s="102"/>
      <c r="H48" s="101"/>
      <c r="I48" s="101"/>
      <c r="J48" s="101"/>
      <c r="K48" s="101"/>
      <c r="L48" s="101"/>
      <c r="M48" s="101"/>
      <c r="N48" s="100"/>
      <c r="O48" s="100"/>
      <c r="P48" s="101"/>
      <c r="Q48" s="101"/>
      <c r="R48" s="106"/>
      <c r="S48" s="106"/>
      <c r="T48" s="100"/>
      <c r="U48" s="101"/>
      <c r="V48" s="109"/>
      <c r="W48" s="109"/>
      <c r="X48" s="101"/>
      <c r="Y48" s="109"/>
      <c r="Z48" s="101"/>
      <c r="AA48" s="112" t="str">
        <f>IF(ISNA(VLOOKUP(Table2[[#This Row],[Task ID]],Table1[],17,FALSE)),"",VLOOKUP(Table2[[#This Row],[Task ID]],Table1[],17,FALSE))</f>
        <v/>
      </c>
      <c r="AB48" s="115" t="str">
        <f>IF(Table2[[#This Row],[Defect Detected On Date ]]="","",TEXT(Table2[[#This Row],[Defect Detected On Date ]],"mmm"))</f>
        <v/>
      </c>
      <c r="AE48" s="63"/>
    </row>
    <row r="49" spans="2:31">
      <c r="B49" s="100"/>
      <c r="C49" s="100"/>
      <c r="D49" s="101"/>
      <c r="E49" s="101"/>
      <c r="F49" s="101"/>
      <c r="G49" s="102"/>
      <c r="H49" s="101"/>
      <c r="I49" s="101"/>
      <c r="J49" s="101"/>
      <c r="K49" s="101"/>
      <c r="L49" s="101"/>
      <c r="M49" s="101"/>
      <c r="N49" s="100"/>
      <c r="O49" s="100"/>
      <c r="P49" s="101"/>
      <c r="Q49" s="101"/>
      <c r="R49" s="106"/>
      <c r="S49" s="106"/>
      <c r="T49" s="100"/>
      <c r="U49" s="101"/>
      <c r="V49" s="109"/>
      <c r="W49" s="109"/>
      <c r="X49" s="101"/>
      <c r="Y49" s="109"/>
      <c r="Z49" s="101"/>
      <c r="AA49" s="112" t="str">
        <f>IF(ISNA(VLOOKUP(Table2[[#This Row],[Task ID]],Table1[],17,FALSE)),"",VLOOKUP(Table2[[#This Row],[Task ID]],Table1[],17,FALSE))</f>
        <v/>
      </c>
      <c r="AB49" s="115" t="str">
        <f>IF(Table2[[#This Row],[Defect Detected On Date ]]="","",TEXT(Table2[[#This Row],[Defect Detected On Date ]],"mmm"))</f>
        <v/>
      </c>
      <c r="AE49" s="63"/>
    </row>
    <row r="50" spans="2:31">
      <c r="B50" s="100"/>
      <c r="C50" s="100"/>
      <c r="D50" s="101"/>
      <c r="E50" s="101"/>
      <c r="F50" s="101"/>
      <c r="G50" s="102"/>
      <c r="H50" s="101"/>
      <c r="I50" s="101"/>
      <c r="J50" s="101"/>
      <c r="K50" s="101"/>
      <c r="L50" s="101"/>
      <c r="M50" s="101"/>
      <c r="N50" s="100"/>
      <c r="O50" s="100"/>
      <c r="P50" s="101"/>
      <c r="Q50" s="101"/>
      <c r="R50" s="106"/>
      <c r="S50" s="106"/>
      <c r="T50" s="100"/>
      <c r="U50" s="101"/>
      <c r="V50" s="109"/>
      <c r="W50" s="109"/>
      <c r="X50" s="101"/>
      <c r="Y50" s="109"/>
      <c r="Z50" s="101"/>
      <c r="AA50" s="112" t="str">
        <f>IF(ISNA(VLOOKUP(Table2[[#This Row],[Task ID]],Table1[],17,FALSE)),"",VLOOKUP(Table2[[#This Row],[Task ID]],Table1[],17,FALSE))</f>
        <v/>
      </c>
      <c r="AB50" s="115" t="str">
        <f>IF(Table2[[#This Row],[Defect Detected On Date ]]="","",TEXT(Table2[[#This Row],[Defect Detected On Date ]],"mmm"))</f>
        <v/>
      </c>
      <c r="AE50" s="63"/>
    </row>
    <row r="51" spans="2:31">
      <c r="B51" s="100"/>
      <c r="C51" s="100"/>
      <c r="D51" s="101"/>
      <c r="E51" s="101"/>
      <c r="F51" s="101"/>
      <c r="G51" s="102"/>
      <c r="H51" s="101"/>
      <c r="I51" s="101"/>
      <c r="J51" s="101"/>
      <c r="K51" s="101"/>
      <c r="L51" s="101"/>
      <c r="M51" s="101"/>
      <c r="N51" s="100"/>
      <c r="O51" s="100"/>
      <c r="P51" s="101"/>
      <c r="Q51" s="101"/>
      <c r="R51" s="106"/>
      <c r="S51" s="106"/>
      <c r="T51" s="100"/>
      <c r="U51" s="101"/>
      <c r="V51" s="109"/>
      <c r="W51" s="109"/>
      <c r="X51" s="101"/>
      <c r="Y51" s="109"/>
      <c r="Z51" s="101"/>
      <c r="AA51" s="112" t="str">
        <f>IF(ISNA(VLOOKUP(Table2[[#This Row],[Task ID]],Table1[],17,FALSE)),"",VLOOKUP(Table2[[#This Row],[Task ID]],Table1[],17,FALSE))</f>
        <v/>
      </c>
      <c r="AB51" s="115" t="str">
        <f>IF(Table2[[#This Row],[Defect Detected On Date ]]="","",TEXT(Table2[[#This Row],[Defect Detected On Date ]],"mmm"))</f>
        <v/>
      </c>
      <c r="AE51" s="63"/>
    </row>
    <row r="52" spans="2:31">
      <c r="B52" s="100"/>
      <c r="C52" s="100"/>
      <c r="D52" s="101"/>
      <c r="E52" s="101"/>
      <c r="F52" s="101"/>
      <c r="G52" s="102"/>
      <c r="H52" s="101"/>
      <c r="I52" s="101"/>
      <c r="J52" s="101"/>
      <c r="K52" s="101"/>
      <c r="L52" s="101"/>
      <c r="M52" s="101"/>
      <c r="N52" s="100"/>
      <c r="O52" s="100"/>
      <c r="P52" s="101"/>
      <c r="Q52" s="101"/>
      <c r="R52" s="106"/>
      <c r="S52" s="106"/>
      <c r="T52" s="100"/>
      <c r="U52" s="101"/>
      <c r="V52" s="109"/>
      <c r="W52" s="109"/>
      <c r="X52" s="101"/>
      <c r="Y52" s="109"/>
      <c r="Z52" s="101"/>
      <c r="AA52" s="112" t="str">
        <f>IF(ISNA(VLOOKUP(Table2[[#This Row],[Task ID]],Table1[],17,FALSE)),"",VLOOKUP(Table2[[#This Row],[Task ID]],Table1[],17,FALSE))</f>
        <v/>
      </c>
      <c r="AB52" s="115" t="str">
        <f>IF(Table2[[#This Row],[Defect Detected On Date ]]="","",TEXT(Table2[[#This Row],[Defect Detected On Date ]],"mmm"))</f>
        <v/>
      </c>
      <c r="AE52" s="63"/>
    </row>
    <row r="53" spans="2:31">
      <c r="B53" s="100"/>
      <c r="C53" s="100"/>
      <c r="D53" s="101"/>
      <c r="E53" s="101"/>
      <c r="F53" s="101"/>
      <c r="G53" s="102"/>
      <c r="H53" s="101"/>
      <c r="I53" s="101"/>
      <c r="J53" s="101"/>
      <c r="K53" s="101"/>
      <c r="L53" s="101"/>
      <c r="M53" s="101"/>
      <c r="N53" s="100"/>
      <c r="O53" s="100"/>
      <c r="P53" s="101"/>
      <c r="Q53" s="101"/>
      <c r="R53" s="106"/>
      <c r="S53" s="106"/>
      <c r="T53" s="100"/>
      <c r="U53" s="101"/>
      <c r="V53" s="109"/>
      <c r="W53" s="109"/>
      <c r="X53" s="101"/>
      <c r="Y53" s="109"/>
      <c r="Z53" s="101"/>
      <c r="AA53" s="112" t="s">
        <v>67</v>
      </c>
      <c r="AB53" s="115" t="str">
        <f>IF(Table2[[#This Row],[Defect Detected On Date ]]="","",TEXT(Table2[[#This Row],[Defect Detected On Date ]],"mmm"))</f>
        <v/>
      </c>
      <c r="AE53" s="63"/>
    </row>
    <row r="54" spans="2:31">
      <c r="B54" s="100"/>
      <c r="C54" s="100"/>
      <c r="D54" s="101"/>
      <c r="E54" s="101"/>
      <c r="F54" s="101"/>
      <c r="G54" s="102"/>
      <c r="H54" s="101"/>
      <c r="I54" s="101"/>
      <c r="J54" s="101"/>
      <c r="K54" s="101"/>
      <c r="L54" s="101"/>
      <c r="M54" s="101"/>
      <c r="N54" s="100"/>
      <c r="O54" s="100"/>
      <c r="P54" s="101"/>
      <c r="Q54" s="101"/>
      <c r="R54" s="106"/>
      <c r="S54" s="106"/>
      <c r="T54" s="100"/>
      <c r="U54" s="101"/>
      <c r="V54" s="109"/>
      <c r="W54" s="109"/>
      <c r="X54" s="101"/>
      <c r="Y54" s="109"/>
      <c r="Z54" s="101"/>
      <c r="AA54" s="112" t="str">
        <f>IF(ISNA(VLOOKUP(Table2[[#This Row],[Task ID]],Table1[],17,FALSE)),"",VLOOKUP(Table2[[#This Row],[Task ID]],Table1[],17,FALSE))</f>
        <v/>
      </c>
      <c r="AB54" s="115" t="str">
        <f>IF(Table2[[#This Row],[Defect Detected On Date ]]="","",TEXT(Table2[[#This Row],[Defect Detected On Date ]],"mmm"))</f>
        <v/>
      </c>
      <c r="AE54" s="63"/>
    </row>
    <row r="55" spans="2:31">
      <c r="B55" s="100"/>
      <c r="C55" s="100"/>
      <c r="D55" s="101"/>
      <c r="E55" s="101"/>
      <c r="F55" s="101"/>
      <c r="G55" s="102"/>
      <c r="H55" s="101"/>
      <c r="I55" s="101"/>
      <c r="J55" s="101"/>
      <c r="K55" s="101"/>
      <c r="L55" s="101"/>
      <c r="M55" s="101"/>
      <c r="N55" s="100"/>
      <c r="O55" s="100"/>
      <c r="P55" s="101"/>
      <c r="Q55" s="101"/>
      <c r="R55" s="106"/>
      <c r="S55" s="106"/>
      <c r="T55" s="100"/>
      <c r="U55" s="101"/>
      <c r="V55" s="109"/>
      <c r="W55" s="109"/>
      <c r="X55" s="101"/>
      <c r="Y55" s="109"/>
      <c r="Z55" s="101"/>
      <c r="AA55" s="112" t="str">
        <f>IF(ISNA(VLOOKUP(Table2[[#This Row],[Task ID]],Table1[],17,FALSE)),"",VLOOKUP(Table2[[#This Row],[Task ID]],Table1[],17,FALSE))</f>
        <v/>
      </c>
      <c r="AB55" s="115" t="str">
        <f>IF(Table2[[#This Row],[Defect Detected On Date ]]="","",TEXT(Table2[[#This Row],[Defect Detected On Date ]],"mmm"))</f>
        <v/>
      </c>
      <c r="AE55" s="63"/>
    </row>
    <row r="56" spans="2:31">
      <c r="B56" s="100"/>
      <c r="C56" s="100"/>
      <c r="D56" s="101"/>
      <c r="E56" s="101"/>
      <c r="F56" s="101"/>
      <c r="G56" s="102"/>
      <c r="H56" s="101"/>
      <c r="I56" s="101"/>
      <c r="J56" s="101"/>
      <c r="K56" s="101"/>
      <c r="L56" s="101"/>
      <c r="M56" s="101"/>
      <c r="N56" s="100"/>
      <c r="O56" s="100"/>
      <c r="P56" s="101"/>
      <c r="Q56" s="101"/>
      <c r="R56" s="106"/>
      <c r="S56" s="106"/>
      <c r="T56" s="100"/>
      <c r="U56" s="101"/>
      <c r="V56" s="109"/>
      <c r="W56" s="109"/>
      <c r="X56" s="101"/>
      <c r="Y56" s="109"/>
      <c r="Z56" s="101"/>
      <c r="AA56" s="112" t="str">
        <f>IF(ISNA(VLOOKUP(Table2[[#This Row],[Task ID]],Table1[],17,FALSE)),"",VLOOKUP(Table2[[#This Row],[Task ID]],Table1[],17,FALSE))</f>
        <v/>
      </c>
      <c r="AB56" s="115" t="str">
        <f>IF(Table2[[#This Row],[Defect Detected On Date ]]="","",TEXT(Table2[[#This Row],[Defect Detected On Date ]],"mmm"))</f>
        <v/>
      </c>
      <c r="AE56" s="63"/>
    </row>
    <row r="57" spans="2:31">
      <c r="B57" s="100"/>
      <c r="C57" s="100"/>
      <c r="D57" s="101"/>
      <c r="E57" s="101"/>
      <c r="F57" s="101"/>
      <c r="G57" s="102"/>
      <c r="H57" s="101"/>
      <c r="I57" s="101"/>
      <c r="J57" s="101"/>
      <c r="K57" s="101"/>
      <c r="L57" s="101"/>
      <c r="M57" s="101"/>
      <c r="N57" s="100"/>
      <c r="O57" s="100"/>
      <c r="P57" s="101"/>
      <c r="Q57" s="101"/>
      <c r="R57" s="106"/>
      <c r="S57" s="106"/>
      <c r="T57" s="100"/>
      <c r="U57" s="101"/>
      <c r="V57" s="109"/>
      <c r="W57" s="109"/>
      <c r="X57" s="101"/>
      <c r="Y57" s="109"/>
      <c r="Z57" s="101"/>
      <c r="AA57" s="112" t="str">
        <f>IF(ISNA(VLOOKUP(Table2[[#This Row],[Task ID]],Table1[],17,FALSE)),"",VLOOKUP(Table2[[#This Row],[Task ID]],Table1[],17,FALSE))</f>
        <v/>
      </c>
      <c r="AB57" s="115" t="str">
        <f>IF(Table2[[#This Row],[Defect Detected On Date ]]="","",TEXT(Table2[[#This Row],[Defect Detected On Date ]],"mmm"))</f>
        <v/>
      </c>
      <c r="AE57" s="63"/>
    </row>
    <row r="58" spans="2:31">
      <c r="B58" s="100"/>
      <c r="C58" s="100"/>
      <c r="D58" s="101"/>
      <c r="E58" s="101"/>
      <c r="F58" s="101"/>
      <c r="G58" s="102"/>
      <c r="H58" s="101"/>
      <c r="I58" s="101"/>
      <c r="J58" s="101"/>
      <c r="K58" s="101"/>
      <c r="L58" s="101"/>
      <c r="M58" s="101"/>
      <c r="N58" s="100"/>
      <c r="O58" s="100"/>
      <c r="P58" s="101"/>
      <c r="Q58" s="101"/>
      <c r="R58" s="106"/>
      <c r="S58" s="106"/>
      <c r="T58" s="100"/>
      <c r="U58" s="101"/>
      <c r="V58" s="109"/>
      <c r="W58" s="109"/>
      <c r="X58" s="101"/>
      <c r="Y58" s="109"/>
      <c r="Z58" s="101"/>
      <c r="AA58" s="112" t="str">
        <f>IF(ISNA(VLOOKUP(Table2[[#This Row],[Task ID]],Table1[],17,FALSE)),"",VLOOKUP(Table2[[#This Row],[Task ID]],Table1[],17,FALSE))</f>
        <v/>
      </c>
      <c r="AB58" s="115" t="str">
        <f>IF(Table2[[#This Row],[Defect Detected On Date ]]="","",TEXT(Table2[[#This Row],[Defect Detected On Date ]],"mmm"))</f>
        <v/>
      </c>
      <c r="AE58" s="63"/>
    </row>
    <row r="59" spans="2:31">
      <c r="B59" s="100"/>
      <c r="C59" s="100"/>
      <c r="D59" s="101"/>
      <c r="E59" s="101"/>
      <c r="F59" s="101"/>
      <c r="G59" s="102"/>
      <c r="H59" s="101"/>
      <c r="I59" s="101"/>
      <c r="J59" s="101"/>
      <c r="K59" s="101"/>
      <c r="L59" s="101"/>
      <c r="M59" s="101"/>
      <c r="N59" s="100"/>
      <c r="O59" s="100"/>
      <c r="P59" s="101"/>
      <c r="Q59" s="101"/>
      <c r="R59" s="106"/>
      <c r="S59" s="106"/>
      <c r="T59" s="100"/>
      <c r="U59" s="101"/>
      <c r="V59" s="110"/>
      <c r="W59" s="101"/>
      <c r="X59" s="101"/>
      <c r="Y59" s="101"/>
      <c r="Z59" s="101"/>
      <c r="AA59" s="112" t="str">
        <f>IF(ISNA(VLOOKUP(Table2[[#This Row],[Task ID]],Table1[],17,FALSE)),"",VLOOKUP(Table2[[#This Row],[Task ID]],Table1[],17,FALSE))</f>
        <v/>
      </c>
      <c r="AB59" s="115" t="str">
        <f>IF(Table2[[#This Row],[Defect Detected On Date ]]="","",TEXT(Table2[[#This Row],[Defect Detected On Date ]],"mmm"))</f>
        <v/>
      </c>
      <c r="AE59" s="63"/>
    </row>
    <row r="60" spans="2:31">
      <c r="B60" s="100"/>
      <c r="C60" s="100"/>
      <c r="D60" s="101"/>
      <c r="E60" s="101"/>
      <c r="F60" s="101"/>
      <c r="G60" s="102"/>
      <c r="H60" s="101"/>
      <c r="I60" s="101"/>
      <c r="J60" s="101"/>
      <c r="K60" s="101"/>
      <c r="L60" s="101"/>
      <c r="M60" s="101"/>
      <c r="N60" s="100"/>
      <c r="O60" s="100"/>
      <c r="P60" s="101"/>
      <c r="Q60" s="101"/>
      <c r="R60" s="106"/>
      <c r="S60" s="106"/>
      <c r="T60" s="100"/>
      <c r="U60" s="101"/>
      <c r="V60" s="110"/>
      <c r="W60" s="101"/>
      <c r="X60" s="101"/>
      <c r="Y60" s="101"/>
      <c r="Z60" s="101"/>
      <c r="AA60" s="112" t="str">
        <f>IF(ISNA(VLOOKUP(Table2[[#This Row],[Task ID]],Table1[],17,FALSE)),"",VLOOKUP(Table2[[#This Row],[Task ID]],Table1[],17,FALSE))</f>
        <v/>
      </c>
      <c r="AB60" s="115" t="str">
        <f>IF(Table2[[#This Row],[Defect Detected On Date ]]="","",TEXT(Table2[[#This Row],[Defect Detected On Date ]],"mmm"))</f>
        <v/>
      </c>
      <c r="AE60" s="63"/>
    </row>
    <row r="61" spans="2:31">
      <c r="B61" s="100"/>
      <c r="C61" s="100"/>
      <c r="D61" s="101"/>
      <c r="E61" s="101"/>
      <c r="F61" s="101"/>
      <c r="G61" s="102"/>
      <c r="H61" s="101"/>
      <c r="I61" s="101"/>
      <c r="J61" s="101"/>
      <c r="K61" s="101"/>
      <c r="L61" s="101"/>
      <c r="M61" s="101"/>
      <c r="N61" s="100"/>
      <c r="O61" s="100"/>
      <c r="P61" s="101"/>
      <c r="Q61" s="101"/>
      <c r="R61" s="106"/>
      <c r="S61" s="106"/>
      <c r="T61" s="100"/>
      <c r="U61" s="101"/>
      <c r="V61" s="110"/>
      <c r="W61" s="101"/>
      <c r="X61" s="101"/>
      <c r="Y61" s="101"/>
      <c r="Z61" s="101"/>
      <c r="AA61" s="112" t="str">
        <f>IF(ISNA(VLOOKUP(Table2[[#This Row],[Task ID]],Table1[],17,FALSE)),"",VLOOKUP(Table2[[#This Row],[Task ID]],Table1[],17,FALSE))</f>
        <v/>
      </c>
      <c r="AB61" s="115" t="str">
        <f>IF(Table2[[#This Row],[Defect Detected On Date ]]="","",TEXT(Table2[[#This Row],[Defect Detected On Date ]],"mmm"))</f>
        <v/>
      </c>
      <c r="AE61" s="63"/>
    </row>
    <row r="62" spans="2:31">
      <c r="B62" s="100"/>
      <c r="C62" s="100"/>
      <c r="D62" s="101"/>
      <c r="E62" s="101"/>
      <c r="F62" s="101"/>
      <c r="G62" s="102"/>
      <c r="H62" s="101"/>
      <c r="I62" s="101"/>
      <c r="J62" s="101"/>
      <c r="K62" s="101"/>
      <c r="L62" s="101"/>
      <c r="M62" s="101"/>
      <c r="N62" s="100"/>
      <c r="O62" s="100"/>
      <c r="P62" s="101"/>
      <c r="Q62" s="101"/>
      <c r="R62" s="106"/>
      <c r="S62" s="106"/>
      <c r="T62" s="100"/>
      <c r="U62" s="101"/>
      <c r="V62" s="100"/>
      <c r="W62" s="101"/>
      <c r="X62" s="101"/>
      <c r="Y62" s="101"/>
      <c r="Z62" s="101"/>
      <c r="AA62" s="112" t="str">
        <f>IF(ISNA(VLOOKUP(Table2[[#This Row],[Task ID]],Table1[],17,FALSE)),"",VLOOKUP(Table2[[#This Row],[Task ID]],Table1[],17,FALSE))</f>
        <v/>
      </c>
      <c r="AB62" s="115" t="str">
        <f>IF(Table2[[#This Row],[Defect Detected On Date ]]="","",TEXT(Table2[[#This Row],[Defect Detected On Date ]],"mmm"))</f>
        <v/>
      </c>
      <c r="AE62" s="63"/>
    </row>
    <row r="63" spans="2:31">
      <c r="B63" s="100"/>
      <c r="C63" s="100"/>
      <c r="D63" s="101"/>
      <c r="E63" s="101"/>
      <c r="F63" s="101"/>
      <c r="G63" s="102"/>
      <c r="H63" s="101"/>
      <c r="I63" s="101"/>
      <c r="J63" s="101"/>
      <c r="K63" s="101"/>
      <c r="L63" s="101"/>
      <c r="M63" s="101"/>
      <c r="N63" s="100"/>
      <c r="O63" s="100"/>
      <c r="P63" s="101"/>
      <c r="Q63" s="101"/>
      <c r="R63" s="106"/>
      <c r="S63" s="106"/>
      <c r="T63" s="100"/>
      <c r="U63" s="101"/>
      <c r="V63" s="100"/>
      <c r="W63" s="101"/>
      <c r="X63" s="101"/>
      <c r="Y63" s="101"/>
      <c r="Z63" s="101"/>
      <c r="AA63" s="112" t="str">
        <f>IF(ISNA(VLOOKUP(Table2[[#This Row],[Task ID]],Table1[],17,FALSE)),"",VLOOKUP(Table2[[#This Row],[Task ID]],Table1[],17,FALSE))</f>
        <v/>
      </c>
      <c r="AB63" s="115" t="str">
        <f>IF(Table2[[#This Row],[Defect Detected On Date ]]="","",TEXT(Table2[[#This Row],[Defect Detected On Date ]],"mmm"))</f>
        <v/>
      </c>
      <c r="AE63" s="63"/>
    </row>
    <row r="64" spans="2:31">
      <c r="B64" s="100"/>
      <c r="C64" s="100"/>
      <c r="D64" s="101"/>
      <c r="E64" s="101"/>
      <c r="F64" s="101"/>
      <c r="G64" s="102"/>
      <c r="H64" s="101"/>
      <c r="I64" s="101"/>
      <c r="J64" s="101"/>
      <c r="K64" s="101"/>
      <c r="L64" s="101"/>
      <c r="M64" s="101"/>
      <c r="N64" s="100"/>
      <c r="O64" s="100"/>
      <c r="P64" s="101"/>
      <c r="Q64" s="101"/>
      <c r="R64" s="106"/>
      <c r="S64" s="106"/>
      <c r="T64" s="100"/>
      <c r="U64" s="101"/>
      <c r="V64" s="100"/>
      <c r="W64" s="101"/>
      <c r="X64" s="101"/>
      <c r="Y64" s="101"/>
      <c r="Z64" s="101"/>
      <c r="AA64" s="112" t="str">
        <f>IF(ISNA(VLOOKUP(Table2[[#This Row],[Task ID]],Table1[],17,FALSE)),"",VLOOKUP(Table2[[#This Row],[Task ID]],Table1[],17,FALSE))</f>
        <v/>
      </c>
      <c r="AB64" s="115" t="str">
        <f>IF(Table2[[#This Row],[Defect Detected On Date ]]="","",TEXT(Table2[[#This Row],[Defect Detected On Date ]],"mmm"))</f>
        <v/>
      </c>
      <c r="AE64" s="63"/>
    </row>
    <row r="65" spans="2:31">
      <c r="B65" s="100"/>
      <c r="C65" s="100"/>
      <c r="D65" s="101"/>
      <c r="E65" s="101"/>
      <c r="F65" s="101"/>
      <c r="G65" s="102"/>
      <c r="H65" s="101"/>
      <c r="I65" s="101"/>
      <c r="J65" s="101"/>
      <c r="K65" s="101"/>
      <c r="L65" s="101"/>
      <c r="M65" s="101"/>
      <c r="N65" s="100"/>
      <c r="O65" s="100"/>
      <c r="P65" s="101"/>
      <c r="Q65" s="101"/>
      <c r="R65" s="106"/>
      <c r="S65" s="106"/>
      <c r="T65" s="100"/>
      <c r="U65" s="101"/>
      <c r="V65" s="100"/>
      <c r="W65" s="101"/>
      <c r="X65" s="101"/>
      <c r="Y65" s="101"/>
      <c r="Z65" s="101"/>
      <c r="AA65" s="112" t="str">
        <f>IF(ISNA(VLOOKUP(Table2[[#This Row],[Task ID]],Table1[],17,FALSE)),"",VLOOKUP(Table2[[#This Row],[Task ID]],Table1[],17,FALSE))</f>
        <v/>
      </c>
      <c r="AB65" s="115" t="str">
        <f>IF(Table2[[#This Row],[Defect Detected On Date ]]="","",TEXT(Table2[[#This Row],[Defect Detected On Date ]],"mmm"))</f>
        <v/>
      </c>
      <c r="AE65" s="63"/>
    </row>
    <row r="66" spans="2:31">
      <c r="B66" s="100"/>
      <c r="C66" s="100"/>
      <c r="D66" s="101"/>
      <c r="E66" s="101"/>
      <c r="F66" s="101"/>
      <c r="G66" s="102"/>
      <c r="H66" s="101"/>
      <c r="I66" s="101"/>
      <c r="J66" s="101"/>
      <c r="K66" s="101"/>
      <c r="L66" s="101"/>
      <c r="M66" s="101"/>
      <c r="N66" s="100"/>
      <c r="O66" s="100"/>
      <c r="P66" s="101"/>
      <c r="Q66" s="101"/>
      <c r="R66" s="106"/>
      <c r="S66" s="106"/>
      <c r="T66" s="100"/>
      <c r="U66" s="101"/>
      <c r="V66" s="110"/>
      <c r="W66" s="101"/>
      <c r="X66" s="101"/>
      <c r="Y66" s="101"/>
      <c r="Z66" s="101"/>
      <c r="AA66" s="112" t="str">
        <f>IF(ISNA(VLOOKUP(Table2[[#This Row],[Task ID]],Table1[],17,FALSE)),"",VLOOKUP(Table2[[#This Row],[Task ID]],Table1[],17,FALSE))</f>
        <v/>
      </c>
      <c r="AB66" s="115" t="str">
        <f>IF(Table2[[#This Row],[Defect Detected On Date ]]="","",TEXT(Table2[[#This Row],[Defect Detected On Date ]],"mmm"))</f>
        <v/>
      </c>
      <c r="AE66" s="63"/>
    </row>
    <row r="67" spans="2:31">
      <c r="B67" s="100"/>
      <c r="C67" s="100"/>
      <c r="D67" s="101"/>
      <c r="E67" s="101"/>
      <c r="F67" s="101"/>
      <c r="G67" s="102"/>
      <c r="H67" s="101"/>
      <c r="I67" s="101"/>
      <c r="J67" s="101"/>
      <c r="K67" s="101"/>
      <c r="L67" s="101"/>
      <c r="M67" s="101"/>
      <c r="N67" s="100"/>
      <c r="O67" s="100"/>
      <c r="P67" s="101"/>
      <c r="Q67" s="101"/>
      <c r="R67" s="106"/>
      <c r="S67" s="106"/>
      <c r="T67" s="100"/>
      <c r="U67" s="101"/>
      <c r="V67" s="110"/>
      <c r="W67" s="101"/>
      <c r="X67" s="101"/>
      <c r="Y67" s="101"/>
      <c r="Z67" s="101"/>
      <c r="AA67" s="112" t="str">
        <f>IF(ISNA(VLOOKUP(Table2[[#This Row],[Task ID]],Table1[],17,FALSE)),"",VLOOKUP(Table2[[#This Row],[Task ID]],Table1[],17,FALSE))</f>
        <v/>
      </c>
      <c r="AB67" s="115" t="str">
        <f>IF(Table2[[#This Row],[Defect Detected On Date ]]="","",TEXT(Table2[[#This Row],[Defect Detected On Date ]],"mmm"))</f>
        <v/>
      </c>
      <c r="AE67" s="63"/>
    </row>
    <row r="68" spans="2:31">
      <c r="B68" s="100"/>
      <c r="C68" s="100"/>
      <c r="D68" s="101"/>
      <c r="E68" s="101"/>
      <c r="F68" s="101"/>
      <c r="G68" s="102"/>
      <c r="H68" s="101"/>
      <c r="I68" s="101"/>
      <c r="J68" s="101"/>
      <c r="K68" s="101"/>
      <c r="L68" s="101"/>
      <c r="M68" s="101"/>
      <c r="N68" s="100"/>
      <c r="O68" s="100"/>
      <c r="P68" s="101"/>
      <c r="Q68" s="101"/>
      <c r="R68" s="106"/>
      <c r="S68" s="106"/>
      <c r="T68" s="100"/>
      <c r="U68" s="101"/>
      <c r="V68" s="110"/>
      <c r="W68" s="101"/>
      <c r="X68" s="101"/>
      <c r="Y68" s="101"/>
      <c r="Z68" s="101"/>
      <c r="AA68" s="112" t="str">
        <f>IF(ISNA(VLOOKUP(Table2[[#This Row],[Task ID]],Table1[],17,FALSE)),"",VLOOKUP(Table2[[#This Row],[Task ID]],Table1[],17,FALSE))</f>
        <v/>
      </c>
      <c r="AB68" s="115" t="str">
        <f>IF(Table2[[#This Row],[Defect Detected On Date ]]="","",TEXT(Table2[[#This Row],[Defect Detected On Date ]],"mmm"))</f>
        <v/>
      </c>
      <c r="AE68" s="63"/>
    </row>
    <row r="69" spans="2:31">
      <c r="B69" s="100"/>
      <c r="C69" s="100"/>
      <c r="D69" s="101"/>
      <c r="E69" s="101"/>
      <c r="F69" s="101"/>
      <c r="G69" s="102"/>
      <c r="H69" s="101"/>
      <c r="I69" s="101"/>
      <c r="J69" s="101"/>
      <c r="K69" s="101"/>
      <c r="L69" s="101"/>
      <c r="M69" s="101"/>
      <c r="N69" s="100"/>
      <c r="O69" s="100"/>
      <c r="P69" s="101"/>
      <c r="Q69" s="101"/>
      <c r="R69" s="106"/>
      <c r="S69" s="106"/>
      <c r="T69" s="100"/>
      <c r="U69" s="101"/>
      <c r="V69" s="100"/>
      <c r="W69" s="101"/>
      <c r="X69" s="101"/>
      <c r="Y69" s="101"/>
      <c r="Z69" s="101"/>
      <c r="AA69" s="112" t="str">
        <f>IF(ISNA(VLOOKUP(Table2[[#This Row],[Task ID]],Table1[],17,FALSE)),"",VLOOKUP(Table2[[#This Row],[Task ID]],Table1[],17,FALSE))</f>
        <v/>
      </c>
      <c r="AB69" s="115" t="str">
        <f>IF(Table2[[#This Row],[Defect Detected On Date ]]="","",TEXT(Table2[[#This Row],[Defect Detected On Date ]],"mmm"))</f>
        <v/>
      </c>
      <c r="AE69" s="63"/>
    </row>
    <row r="70" spans="2:31">
      <c r="B70" s="100"/>
      <c r="C70" s="100"/>
      <c r="D70" s="101"/>
      <c r="E70" s="101"/>
      <c r="F70" s="101"/>
      <c r="G70" s="102"/>
      <c r="H70" s="101"/>
      <c r="I70" s="101"/>
      <c r="J70" s="101"/>
      <c r="K70" s="101"/>
      <c r="L70" s="101"/>
      <c r="M70" s="101"/>
      <c r="N70" s="100"/>
      <c r="O70" s="100"/>
      <c r="P70" s="101"/>
      <c r="Q70" s="101"/>
      <c r="R70" s="106"/>
      <c r="S70" s="106"/>
      <c r="T70" s="100"/>
      <c r="U70" s="101"/>
      <c r="V70" s="100"/>
      <c r="W70" s="101"/>
      <c r="X70" s="101"/>
      <c r="Y70" s="101"/>
      <c r="Z70" s="101"/>
      <c r="AA70" s="112" t="str">
        <f>IF(ISNA(VLOOKUP(Table2[[#This Row],[Task ID]],Table1[],17,FALSE)),"",VLOOKUP(Table2[[#This Row],[Task ID]],Table1[],17,FALSE))</f>
        <v/>
      </c>
      <c r="AB70" s="115" t="str">
        <f>IF(Table2[[#This Row],[Defect Detected On Date ]]="","",TEXT(Table2[[#This Row],[Defect Detected On Date ]],"mmm"))</f>
        <v/>
      </c>
      <c r="AE70" s="63"/>
    </row>
    <row r="71" spans="2:31">
      <c r="B71" s="100"/>
      <c r="C71" s="100"/>
      <c r="D71" s="101"/>
      <c r="E71" s="101"/>
      <c r="F71" s="101"/>
      <c r="G71" s="102"/>
      <c r="H71" s="101"/>
      <c r="I71" s="101"/>
      <c r="J71" s="101"/>
      <c r="K71" s="101"/>
      <c r="L71" s="101"/>
      <c r="M71" s="101"/>
      <c r="N71" s="100"/>
      <c r="O71" s="100"/>
      <c r="P71" s="101"/>
      <c r="Q71" s="101"/>
      <c r="R71" s="106"/>
      <c r="S71" s="106"/>
      <c r="T71" s="100"/>
      <c r="U71" s="101"/>
      <c r="V71" s="100"/>
      <c r="W71" s="101"/>
      <c r="X71" s="101"/>
      <c r="Y71" s="101"/>
      <c r="Z71" s="101"/>
      <c r="AA71" s="112" t="str">
        <f>IF(ISNA(VLOOKUP(Table2[[#This Row],[Task ID]],Table1[],17,FALSE)),"",VLOOKUP(Table2[[#This Row],[Task ID]],Table1[],17,FALSE))</f>
        <v/>
      </c>
      <c r="AB71" s="115" t="str">
        <f>IF(Table2[[#This Row],[Defect Detected On Date ]]="","",TEXT(Table2[[#This Row],[Defect Detected On Date ]],"mmm"))</f>
        <v/>
      </c>
      <c r="AE71" s="63"/>
    </row>
    <row r="72" spans="2:31">
      <c r="B72" s="100"/>
      <c r="C72" s="100"/>
      <c r="D72" s="101"/>
      <c r="E72" s="101"/>
      <c r="F72" s="101"/>
      <c r="G72" s="102"/>
      <c r="H72" s="101"/>
      <c r="I72" s="101"/>
      <c r="J72" s="101"/>
      <c r="K72" s="101"/>
      <c r="L72" s="101"/>
      <c r="M72" s="101"/>
      <c r="N72" s="100"/>
      <c r="O72" s="100"/>
      <c r="P72" s="101"/>
      <c r="Q72" s="101"/>
      <c r="R72" s="106"/>
      <c r="S72" s="106"/>
      <c r="T72" s="100"/>
      <c r="U72" s="101"/>
      <c r="V72" s="100"/>
      <c r="W72" s="101"/>
      <c r="X72" s="101"/>
      <c r="Y72" s="101"/>
      <c r="Z72" s="101"/>
      <c r="AA72" s="112" t="str">
        <f>IF(ISNA(VLOOKUP(Table2[[#This Row],[Task ID]],Table1[],17,FALSE)),"",VLOOKUP(Table2[[#This Row],[Task ID]],Table1[],17,FALSE))</f>
        <v/>
      </c>
      <c r="AB72" s="115" t="str">
        <f>IF(Table2[[#This Row],[Defect Detected On Date ]]="","",TEXT(Table2[[#This Row],[Defect Detected On Date ]],"mmm"))</f>
        <v/>
      </c>
      <c r="AE72" s="63"/>
    </row>
    <row r="73" spans="2:31">
      <c r="B73" s="100"/>
      <c r="C73" s="100"/>
      <c r="D73" s="101"/>
      <c r="E73" s="101"/>
      <c r="F73" s="101"/>
      <c r="G73" s="102"/>
      <c r="H73" s="101"/>
      <c r="I73" s="101"/>
      <c r="J73" s="101"/>
      <c r="K73" s="101"/>
      <c r="L73" s="101"/>
      <c r="M73" s="101"/>
      <c r="N73" s="100"/>
      <c r="O73" s="100"/>
      <c r="P73" s="101"/>
      <c r="Q73" s="101"/>
      <c r="R73" s="106"/>
      <c r="S73" s="106"/>
      <c r="T73" s="100"/>
      <c r="U73" s="101"/>
      <c r="V73" s="110"/>
      <c r="W73" s="101"/>
      <c r="X73" s="101"/>
      <c r="Y73" s="101"/>
      <c r="Z73" s="101"/>
      <c r="AA73" s="112" t="str">
        <f>IF(ISNA(VLOOKUP(Table2[[#This Row],[Task ID]],Table1[],17,FALSE)),"",VLOOKUP(Table2[[#This Row],[Task ID]],Table1[],17,FALSE))</f>
        <v/>
      </c>
      <c r="AB73" s="115" t="str">
        <f>IF(Table2[[#This Row],[Defect Detected On Date ]]="","",TEXT(Table2[[#This Row],[Defect Detected On Date ]],"mmm"))</f>
        <v/>
      </c>
      <c r="AE73" s="63"/>
    </row>
    <row r="74" spans="2:31">
      <c r="B74" s="100"/>
      <c r="C74" s="100"/>
      <c r="D74" s="101"/>
      <c r="E74" s="101"/>
      <c r="F74" s="101"/>
      <c r="G74" s="102"/>
      <c r="H74" s="101"/>
      <c r="I74" s="101"/>
      <c r="J74" s="101"/>
      <c r="K74" s="101"/>
      <c r="L74" s="101"/>
      <c r="M74" s="101"/>
      <c r="N74" s="100"/>
      <c r="O74" s="100"/>
      <c r="P74" s="101"/>
      <c r="Q74" s="101"/>
      <c r="R74" s="106"/>
      <c r="S74" s="106"/>
      <c r="T74" s="100"/>
      <c r="U74" s="101"/>
      <c r="V74" s="110"/>
      <c r="W74" s="101"/>
      <c r="X74" s="101"/>
      <c r="Y74" s="101"/>
      <c r="Z74" s="101"/>
      <c r="AA74" s="112" t="str">
        <f>IF(ISNA(VLOOKUP(Table2[[#This Row],[Task ID]],Table1[],17,FALSE)),"",VLOOKUP(Table2[[#This Row],[Task ID]],Table1[],17,FALSE))</f>
        <v/>
      </c>
      <c r="AB74" s="115" t="str">
        <f>IF(Table2[[#This Row],[Defect Detected On Date ]]="","",TEXT(Table2[[#This Row],[Defect Detected On Date ]],"mmm"))</f>
        <v/>
      </c>
      <c r="AE74" s="63"/>
    </row>
    <row r="75" spans="2:31">
      <c r="B75" s="100"/>
      <c r="C75" s="100"/>
      <c r="D75" s="101"/>
      <c r="E75" s="101"/>
      <c r="F75" s="101"/>
      <c r="G75" s="102"/>
      <c r="H75" s="101"/>
      <c r="I75" s="101"/>
      <c r="J75" s="101"/>
      <c r="K75" s="101"/>
      <c r="L75" s="101"/>
      <c r="M75" s="101"/>
      <c r="N75" s="100"/>
      <c r="O75" s="100"/>
      <c r="P75" s="101"/>
      <c r="Q75" s="101"/>
      <c r="R75" s="106"/>
      <c r="S75" s="106"/>
      <c r="T75" s="100"/>
      <c r="U75" s="101"/>
      <c r="V75" s="110"/>
      <c r="W75" s="101"/>
      <c r="X75" s="101"/>
      <c r="Y75" s="101"/>
      <c r="Z75" s="101"/>
      <c r="AA75" s="112" t="str">
        <f>IF(ISNA(VLOOKUP(Table2[[#This Row],[Task ID]],Table1[],17,FALSE)),"",VLOOKUP(Table2[[#This Row],[Task ID]],Table1[],17,FALSE))</f>
        <v/>
      </c>
      <c r="AB75" s="115" t="str">
        <f>IF(Table2[[#This Row],[Defect Detected On Date ]]="","",TEXT(Table2[[#This Row],[Defect Detected On Date ]],"mmm"))</f>
        <v/>
      </c>
      <c r="AE75" s="63"/>
    </row>
    <row r="76" spans="2:31">
      <c r="B76" s="100"/>
      <c r="C76" s="100"/>
      <c r="D76" s="101"/>
      <c r="E76" s="101"/>
      <c r="F76" s="101"/>
      <c r="G76" s="102"/>
      <c r="H76" s="101"/>
      <c r="I76" s="101"/>
      <c r="J76" s="101"/>
      <c r="K76" s="101"/>
      <c r="L76" s="101"/>
      <c r="M76" s="101"/>
      <c r="N76" s="100"/>
      <c r="O76" s="100"/>
      <c r="P76" s="101"/>
      <c r="Q76" s="101"/>
      <c r="R76" s="106"/>
      <c r="S76" s="106"/>
      <c r="T76" s="100"/>
      <c r="U76" s="101"/>
      <c r="V76" s="110"/>
      <c r="W76" s="101"/>
      <c r="X76" s="101"/>
      <c r="Y76" s="101"/>
      <c r="Z76" s="101"/>
      <c r="AA76" s="112" t="str">
        <f>IF(ISNA(VLOOKUP(Table2[[#This Row],[Task ID]],Table1[],17,FALSE)),"",VLOOKUP(Table2[[#This Row],[Task ID]],Table1[],17,FALSE))</f>
        <v/>
      </c>
      <c r="AB76" s="115" t="str">
        <f>IF(Table2[[#This Row],[Defect Detected On Date ]]="","",TEXT(Table2[[#This Row],[Defect Detected On Date ]],"mmm"))</f>
        <v/>
      </c>
      <c r="AE76" s="63"/>
    </row>
    <row r="77" spans="2:31">
      <c r="B77" s="100"/>
      <c r="C77" s="100"/>
      <c r="D77" s="101"/>
      <c r="E77" s="101"/>
      <c r="F77" s="101"/>
      <c r="G77" s="102"/>
      <c r="H77" s="101"/>
      <c r="I77" s="101"/>
      <c r="J77" s="101"/>
      <c r="K77" s="101"/>
      <c r="L77" s="101"/>
      <c r="M77" s="101"/>
      <c r="N77" s="100"/>
      <c r="O77" s="100"/>
      <c r="P77" s="101"/>
      <c r="Q77" s="101"/>
      <c r="R77" s="106"/>
      <c r="S77" s="106"/>
      <c r="T77" s="100"/>
      <c r="U77" s="101"/>
      <c r="V77" s="110"/>
      <c r="W77" s="101"/>
      <c r="X77" s="101"/>
      <c r="Y77" s="101"/>
      <c r="Z77" s="101"/>
      <c r="AA77" s="112" t="str">
        <f>IF(ISNA(VLOOKUP(Table2[[#This Row],[Task ID]],Table1[],17,FALSE)),"",VLOOKUP(Table2[[#This Row],[Task ID]],Table1[],17,FALSE))</f>
        <v/>
      </c>
      <c r="AB77" s="115" t="str">
        <f>IF(Table2[[#This Row],[Defect Detected On Date ]]="","",TEXT(Table2[[#This Row],[Defect Detected On Date ]],"mmm"))</f>
        <v/>
      </c>
      <c r="AE77" s="63"/>
    </row>
    <row r="78" spans="2:31">
      <c r="B78" s="100"/>
      <c r="C78" s="100"/>
      <c r="D78" s="101"/>
      <c r="E78" s="101"/>
      <c r="F78" s="101"/>
      <c r="G78" s="102"/>
      <c r="H78" s="101"/>
      <c r="I78" s="101"/>
      <c r="J78" s="101"/>
      <c r="K78" s="101"/>
      <c r="L78" s="101"/>
      <c r="M78" s="101"/>
      <c r="N78" s="100"/>
      <c r="O78" s="100"/>
      <c r="P78" s="101"/>
      <c r="Q78" s="101"/>
      <c r="R78" s="106"/>
      <c r="S78" s="106"/>
      <c r="T78" s="100"/>
      <c r="U78" s="101"/>
      <c r="V78" s="110"/>
      <c r="W78" s="101"/>
      <c r="X78" s="101"/>
      <c r="Y78" s="101"/>
      <c r="Z78" s="101"/>
      <c r="AA78" s="112" t="str">
        <f>IF(ISNA(VLOOKUP(Table2[[#This Row],[Task ID]],Table1[],17,FALSE)),"",VLOOKUP(Table2[[#This Row],[Task ID]],Table1[],17,FALSE))</f>
        <v/>
      </c>
      <c r="AB78" s="115" t="str">
        <f>IF(Table2[[#This Row],[Defect Detected On Date ]]="","",TEXT(Table2[[#This Row],[Defect Detected On Date ]],"mmm"))</f>
        <v/>
      </c>
      <c r="AE78" s="63"/>
    </row>
    <row r="79" spans="2:31">
      <c r="B79" s="100"/>
      <c r="C79" s="100"/>
      <c r="D79" s="101"/>
      <c r="E79" s="101"/>
      <c r="F79" s="101"/>
      <c r="G79" s="102"/>
      <c r="H79" s="101"/>
      <c r="I79" s="101"/>
      <c r="J79" s="101"/>
      <c r="K79" s="101"/>
      <c r="L79" s="101"/>
      <c r="M79" s="101"/>
      <c r="N79" s="100"/>
      <c r="O79" s="100"/>
      <c r="P79" s="101"/>
      <c r="Q79" s="101"/>
      <c r="R79" s="106"/>
      <c r="S79" s="106"/>
      <c r="T79" s="100"/>
      <c r="U79" s="101"/>
      <c r="V79" s="110"/>
      <c r="W79" s="101"/>
      <c r="X79" s="101"/>
      <c r="Y79" s="101"/>
      <c r="Z79" s="101"/>
      <c r="AA79" s="112" t="str">
        <f>IF(ISNA(VLOOKUP(Table2[[#This Row],[Task ID]],Table1[],17,FALSE)),"",VLOOKUP(Table2[[#This Row],[Task ID]],Table1[],17,FALSE))</f>
        <v/>
      </c>
      <c r="AB79" s="115" t="str">
        <f>IF(Table2[[#This Row],[Defect Detected On Date ]]="","",TEXT(Table2[[#This Row],[Defect Detected On Date ]],"mmm"))</f>
        <v/>
      </c>
      <c r="AE79" s="63"/>
    </row>
    <row r="80" spans="2:31">
      <c r="B80" s="100"/>
      <c r="C80" s="100"/>
      <c r="D80" s="101"/>
      <c r="E80" s="101"/>
      <c r="F80" s="101"/>
      <c r="G80" s="102"/>
      <c r="H80" s="101"/>
      <c r="I80" s="101"/>
      <c r="J80" s="101"/>
      <c r="K80" s="101"/>
      <c r="L80" s="101"/>
      <c r="M80" s="101"/>
      <c r="N80" s="100"/>
      <c r="O80" s="100"/>
      <c r="P80" s="101"/>
      <c r="Q80" s="101"/>
      <c r="R80" s="106"/>
      <c r="S80" s="106"/>
      <c r="T80" s="100"/>
      <c r="U80" s="101"/>
      <c r="V80" s="110"/>
      <c r="W80" s="101"/>
      <c r="X80" s="101"/>
      <c r="Y80" s="101"/>
      <c r="Z80" s="101"/>
      <c r="AA80" s="112" t="str">
        <f>IF(ISNA(VLOOKUP(Table2[[#This Row],[Task ID]],Table1[],17,FALSE)),"",VLOOKUP(Table2[[#This Row],[Task ID]],Table1[],17,FALSE))</f>
        <v/>
      </c>
      <c r="AB80" s="115" t="str">
        <f>IF(Table2[[#This Row],[Defect Detected On Date ]]="","",TEXT(Table2[[#This Row],[Defect Detected On Date ]],"mmm"))</f>
        <v/>
      </c>
      <c r="AE80" s="63"/>
    </row>
    <row r="81" spans="2:31">
      <c r="B81" s="100"/>
      <c r="C81" s="100"/>
      <c r="D81" s="101"/>
      <c r="E81" s="101"/>
      <c r="F81" s="101"/>
      <c r="G81" s="102"/>
      <c r="H81" s="101"/>
      <c r="I81" s="101"/>
      <c r="J81" s="101"/>
      <c r="K81" s="101"/>
      <c r="L81" s="101"/>
      <c r="M81" s="101"/>
      <c r="N81" s="100"/>
      <c r="O81" s="100"/>
      <c r="P81" s="101"/>
      <c r="Q81" s="101"/>
      <c r="R81" s="106"/>
      <c r="S81" s="106"/>
      <c r="T81" s="100"/>
      <c r="U81" s="101"/>
      <c r="V81" s="110"/>
      <c r="W81" s="101"/>
      <c r="X81" s="101"/>
      <c r="Y81" s="101"/>
      <c r="Z81" s="101"/>
      <c r="AA81" s="112" t="str">
        <f>IF(ISNA(VLOOKUP(Table2[[#This Row],[Task ID]],Table1[],17,FALSE)),"",VLOOKUP(Table2[[#This Row],[Task ID]],Table1[],17,FALSE))</f>
        <v/>
      </c>
      <c r="AB81" s="115" t="str">
        <f>IF(Table2[[#This Row],[Defect Detected On Date ]]="","",TEXT(Table2[[#This Row],[Defect Detected On Date ]],"mmm"))</f>
        <v/>
      </c>
      <c r="AE81" s="63"/>
    </row>
    <row r="82" spans="2:31">
      <c r="B82" s="100"/>
      <c r="C82" s="100"/>
      <c r="D82" s="101"/>
      <c r="E82" s="101"/>
      <c r="F82" s="101"/>
      <c r="G82" s="102"/>
      <c r="H82" s="101"/>
      <c r="I82" s="101"/>
      <c r="J82" s="101"/>
      <c r="K82" s="101"/>
      <c r="L82" s="101"/>
      <c r="M82" s="101"/>
      <c r="N82" s="100"/>
      <c r="O82" s="100"/>
      <c r="P82" s="101"/>
      <c r="Q82" s="101"/>
      <c r="R82" s="106"/>
      <c r="S82" s="106"/>
      <c r="T82" s="100"/>
      <c r="U82" s="101"/>
      <c r="V82" s="110"/>
      <c r="W82" s="101"/>
      <c r="X82" s="101"/>
      <c r="Y82" s="101"/>
      <c r="Z82" s="116"/>
      <c r="AA82" s="112" t="str">
        <f>IF(ISNA(VLOOKUP(Table2[[#This Row],[Task ID]],Table1[],17,FALSE)),"",VLOOKUP(Table2[[#This Row],[Task ID]],Table1[],17,FALSE))</f>
        <v/>
      </c>
      <c r="AB82" s="115" t="str">
        <f>IF(Table2[[#This Row],[Defect Detected On Date ]]="","",TEXT(Table2[[#This Row],[Defect Detected On Date ]],"mmm"))</f>
        <v/>
      </c>
      <c r="AE82" s="63"/>
    </row>
    <row r="83" spans="2:31">
      <c r="B83" s="100"/>
      <c r="C83" s="100"/>
      <c r="D83" s="101"/>
      <c r="E83" s="101"/>
      <c r="F83" s="101"/>
      <c r="G83" s="102"/>
      <c r="H83" s="101"/>
      <c r="I83" s="101"/>
      <c r="J83" s="101"/>
      <c r="K83" s="101"/>
      <c r="L83" s="101"/>
      <c r="M83" s="101"/>
      <c r="N83" s="100"/>
      <c r="O83" s="100"/>
      <c r="P83" s="101"/>
      <c r="Q83" s="101"/>
      <c r="R83" s="106"/>
      <c r="S83" s="106"/>
      <c r="T83" s="100"/>
      <c r="U83" s="101"/>
      <c r="V83" s="118"/>
      <c r="W83" s="101"/>
      <c r="X83" s="101"/>
      <c r="Y83" s="101"/>
      <c r="Z83" s="116"/>
      <c r="AA83" s="112" t="str">
        <f>IF(ISNA(VLOOKUP(Table2[[#This Row],[Task ID]],Table1[],17,FALSE)),"",VLOOKUP(Table2[[#This Row],[Task ID]],Table1[],17,FALSE))</f>
        <v/>
      </c>
      <c r="AB83" s="115" t="str">
        <f>IF(Table2[[#This Row],[Defect Detected On Date ]]="","",TEXT(Table2[[#This Row],[Defect Detected On Date ]],"mmm"))</f>
        <v/>
      </c>
      <c r="AE83" s="63"/>
    </row>
    <row r="84" spans="2:31">
      <c r="B84" s="100"/>
      <c r="C84" s="100"/>
      <c r="D84" s="101"/>
      <c r="E84" s="101"/>
      <c r="F84" s="101"/>
      <c r="G84" s="102"/>
      <c r="H84" s="101"/>
      <c r="I84" s="101"/>
      <c r="J84" s="101"/>
      <c r="K84" s="101"/>
      <c r="L84" s="101"/>
      <c r="M84" s="101"/>
      <c r="N84" s="100"/>
      <c r="O84" s="100"/>
      <c r="P84" s="101"/>
      <c r="Q84" s="101"/>
      <c r="R84" s="106"/>
      <c r="S84" s="106"/>
      <c r="T84" s="100"/>
      <c r="U84" s="101"/>
      <c r="V84" s="118"/>
      <c r="W84" s="101"/>
      <c r="X84" s="101"/>
      <c r="Y84" s="101"/>
      <c r="Z84" s="116"/>
      <c r="AA84" s="112" t="str">
        <f>IF(ISNA(VLOOKUP(Table2[[#This Row],[Task ID]],Table1[],17,FALSE)),"",VLOOKUP(Table2[[#This Row],[Task ID]],Table1[],17,FALSE))</f>
        <v/>
      </c>
      <c r="AB84" s="115" t="str">
        <f>IF(Table2[[#This Row],[Defect Detected On Date ]]="","",TEXT(Table2[[#This Row],[Defect Detected On Date ]],"mmm"))</f>
        <v/>
      </c>
      <c r="AE84" s="63"/>
    </row>
    <row r="85" spans="2:31">
      <c r="B85" s="100"/>
      <c r="C85" s="100"/>
      <c r="D85" s="101"/>
      <c r="E85" s="101"/>
      <c r="F85" s="101"/>
      <c r="G85" s="102"/>
      <c r="H85" s="101"/>
      <c r="I85" s="101"/>
      <c r="J85" s="101"/>
      <c r="K85" s="101"/>
      <c r="L85" s="101"/>
      <c r="M85" s="101"/>
      <c r="N85" s="100"/>
      <c r="O85" s="100"/>
      <c r="P85" s="101"/>
      <c r="Q85" s="101"/>
      <c r="R85" s="106"/>
      <c r="S85" s="106"/>
      <c r="T85" s="100"/>
      <c r="U85" s="101"/>
      <c r="V85" s="110"/>
      <c r="W85" s="101"/>
      <c r="X85" s="101"/>
      <c r="Y85" s="101"/>
      <c r="Z85" s="101"/>
      <c r="AA85" s="112" t="str">
        <f>IF(ISNA(VLOOKUP(Table2[[#This Row],[Task ID]],Table1[],17,FALSE)),"",VLOOKUP(Table2[[#This Row],[Task ID]],Table1[],17,FALSE))</f>
        <v/>
      </c>
      <c r="AB85" s="115" t="str">
        <f>IF(Table2[[#This Row],[Defect Detected On Date ]]="","",TEXT(Table2[[#This Row],[Defect Detected On Date ]],"mmm"))</f>
        <v/>
      </c>
      <c r="AE85" s="63"/>
    </row>
    <row r="86" spans="2:31">
      <c r="B86" s="100"/>
      <c r="C86" s="100"/>
      <c r="D86" s="101"/>
      <c r="E86" s="101"/>
      <c r="F86" s="101"/>
      <c r="G86" s="102"/>
      <c r="H86" s="101"/>
      <c r="I86" s="101"/>
      <c r="J86" s="101"/>
      <c r="K86" s="101"/>
      <c r="L86" s="101"/>
      <c r="M86" s="101"/>
      <c r="N86" s="100"/>
      <c r="O86" s="100"/>
      <c r="P86" s="101"/>
      <c r="Q86" s="101"/>
      <c r="R86" s="106"/>
      <c r="S86" s="106"/>
      <c r="T86" s="100"/>
      <c r="U86" s="101"/>
      <c r="V86" s="110"/>
      <c r="W86" s="101"/>
      <c r="X86" s="101"/>
      <c r="Y86" s="101"/>
      <c r="Z86" s="116"/>
      <c r="AA86" s="112" t="str">
        <f>IF(ISNA(VLOOKUP(Table2[[#This Row],[Task ID]],Table1[],17,FALSE)),"",VLOOKUP(Table2[[#This Row],[Task ID]],Table1[],17,FALSE))</f>
        <v/>
      </c>
      <c r="AB86" s="115" t="str">
        <f>IF(Table2[[#This Row],[Defect Detected On Date ]]="","",TEXT(Table2[[#This Row],[Defect Detected On Date ]],"mmm"))</f>
        <v/>
      </c>
      <c r="AE86" s="63"/>
    </row>
    <row r="87" spans="2:31">
      <c r="B87" s="100"/>
      <c r="C87" s="100"/>
      <c r="D87" s="101"/>
      <c r="E87" s="101"/>
      <c r="F87" s="101"/>
      <c r="G87" s="102"/>
      <c r="H87" s="101"/>
      <c r="I87" s="101"/>
      <c r="J87" s="101"/>
      <c r="K87" s="101"/>
      <c r="L87" s="101"/>
      <c r="M87" s="101"/>
      <c r="N87" s="100"/>
      <c r="O87" s="100"/>
      <c r="P87" s="101"/>
      <c r="Q87" s="101"/>
      <c r="R87" s="106"/>
      <c r="S87" s="106"/>
      <c r="T87" s="100"/>
      <c r="U87" s="101"/>
      <c r="V87" s="110"/>
      <c r="W87" s="101"/>
      <c r="X87" s="101"/>
      <c r="Y87" s="101"/>
      <c r="Z87" s="116"/>
      <c r="AA87" s="112" t="str">
        <f>IF(ISNA(VLOOKUP(Table2[[#This Row],[Task ID]],Table1[],17,FALSE)),"",VLOOKUP(Table2[[#This Row],[Task ID]],Table1[],17,FALSE))</f>
        <v/>
      </c>
      <c r="AB87" s="115" t="str">
        <f>IF(Table2[[#This Row],[Defect Detected On Date ]]="","",TEXT(Table2[[#This Row],[Defect Detected On Date ]],"mmm"))</f>
        <v/>
      </c>
      <c r="AE87" s="63"/>
    </row>
    <row r="88" spans="2:31">
      <c r="B88" s="100"/>
      <c r="C88" s="100"/>
      <c r="D88" s="101"/>
      <c r="E88" s="101"/>
      <c r="F88" s="101"/>
      <c r="G88" s="102"/>
      <c r="H88" s="101"/>
      <c r="I88" s="101"/>
      <c r="J88" s="101"/>
      <c r="K88" s="101"/>
      <c r="L88" s="101"/>
      <c r="M88" s="101"/>
      <c r="N88" s="100"/>
      <c r="O88" s="100"/>
      <c r="P88" s="101"/>
      <c r="Q88" s="101"/>
      <c r="R88" s="106"/>
      <c r="S88" s="106"/>
      <c r="T88" s="100"/>
      <c r="U88" s="101"/>
      <c r="V88" s="110"/>
      <c r="W88" s="101"/>
      <c r="X88" s="101"/>
      <c r="Y88" s="101"/>
      <c r="Z88" s="116"/>
      <c r="AA88" s="112" t="str">
        <f>IF(ISNA(VLOOKUP(Table2[[#This Row],[Task ID]],Table1[],17,FALSE)),"",VLOOKUP(Table2[[#This Row],[Task ID]],Table1[],17,FALSE))</f>
        <v/>
      </c>
      <c r="AB88" s="115" t="str">
        <f>IF(Table2[[#This Row],[Defect Detected On Date ]]="","",TEXT(Table2[[#This Row],[Defect Detected On Date ]],"mmm"))</f>
        <v/>
      </c>
      <c r="AE88" s="63"/>
    </row>
    <row r="89" spans="2:31">
      <c r="B89" s="100"/>
      <c r="C89" s="100"/>
      <c r="D89" s="101"/>
      <c r="E89" s="101"/>
      <c r="F89" s="101"/>
      <c r="G89" s="102"/>
      <c r="H89" s="101"/>
      <c r="I89" s="101"/>
      <c r="J89" s="101"/>
      <c r="K89" s="101"/>
      <c r="L89" s="101"/>
      <c r="M89" s="101"/>
      <c r="N89" s="100"/>
      <c r="O89" s="100"/>
      <c r="P89" s="101"/>
      <c r="Q89" s="101"/>
      <c r="R89" s="106"/>
      <c r="S89" s="106"/>
      <c r="T89" s="100"/>
      <c r="U89" s="101"/>
      <c r="V89" s="110"/>
      <c r="W89" s="101"/>
      <c r="X89" s="101"/>
      <c r="Y89" s="101"/>
      <c r="Z89" s="116"/>
      <c r="AA89" s="112" t="str">
        <f>IF(ISNA(VLOOKUP(Table2[[#This Row],[Task ID]],Table1[],17,FALSE)),"",VLOOKUP(Table2[[#This Row],[Task ID]],Table1[],17,FALSE))</f>
        <v/>
      </c>
      <c r="AB89" s="115" t="str">
        <f>IF(Table2[[#This Row],[Defect Detected On Date ]]="","",TEXT(Table2[[#This Row],[Defect Detected On Date ]],"mmm"))</f>
        <v/>
      </c>
      <c r="AE89" s="63"/>
    </row>
    <row r="90" spans="2:31">
      <c r="B90" s="100"/>
      <c r="C90" s="100"/>
      <c r="D90" s="101"/>
      <c r="E90" s="101"/>
      <c r="F90" s="101"/>
      <c r="G90" s="102"/>
      <c r="H90" s="101"/>
      <c r="I90" s="101"/>
      <c r="J90" s="101"/>
      <c r="K90" s="101"/>
      <c r="L90" s="101"/>
      <c r="M90" s="101"/>
      <c r="N90" s="100"/>
      <c r="O90" s="100"/>
      <c r="P90" s="101"/>
      <c r="Q90" s="101"/>
      <c r="R90" s="106"/>
      <c r="S90" s="106"/>
      <c r="T90" s="100"/>
      <c r="U90" s="101"/>
      <c r="V90" s="110"/>
      <c r="W90" s="101"/>
      <c r="X90" s="101"/>
      <c r="Y90" s="101"/>
      <c r="Z90" s="116"/>
      <c r="AA90" s="112" t="str">
        <f>IF(ISNA(VLOOKUP(Table2[[#This Row],[Task ID]],Table1[],17,FALSE)),"",VLOOKUP(Table2[[#This Row],[Task ID]],Table1[],17,FALSE))</f>
        <v/>
      </c>
      <c r="AB90" s="115" t="str">
        <f>IF(Table2[[#This Row],[Defect Detected On Date ]]="","",TEXT(Table2[[#This Row],[Defect Detected On Date ]],"mmm"))</f>
        <v/>
      </c>
      <c r="AE90" s="63"/>
    </row>
    <row r="91" spans="2:31">
      <c r="B91" s="100"/>
      <c r="C91" s="100"/>
      <c r="D91" s="101"/>
      <c r="E91" s="101"/>
      <c r="F91" s="101"/>
      <c r="G91" s="102"/>
      <c r="H91" s="101"/>
      <c r="I91" s="101"/>
      <c r="J91" s="101"/>
      <c r="K91" s="101"/>
      <c r="L91" s="101"/>
      <c r="M91" s="101"/>
      <c r="N91" s="100"/>
      <c r="O91" s="100"/>
      <c r="P91" s="101"/>
      <c r="Q91" s="101"/>
      <c r="R91" s="106"/>
      <c r="S91" s="106"/>
      <c r="T91" s="100"/>
      <c r="U91" s="101"/>
      <c r="V91" s="110"/>
      <c r="W91" s="101"/>
      <c r="X91" s="101"/>
      <c r="Y91" s="101"/>
      <c r="Z91" s="116"/>
      <c r="AA91" s="112" t="str">
        <f>IF(ISNA(VLOOKUP(Table2[[#This Row],[Task ID]],Table1[],17,FALSE)),"",VLOOKUP(Table2[[#This Row],[Task ID]],Table1[],17,FALSE))</f>
        <v/>
      </c>
      <c r="AB91" s="115" t="str">
        <f>IF(Table2[[#This Row],[Defect Detected On Date ]]="","",TEXT(Table2[[#This Row],[Defect Detected On Date ]],"mmm"))</f>
        <v/>
      </c>
      <c r="AE91" s="63"/>
    </row>
    <row r="92" spans="2:31">
      <c r="B92" s="100"/>
      <c r="C92" s="100"/>
      <c r="D92" s="101"/>
      <c r="E92" s="101"/>
      <c r="F92" s="101"/>
      <c r="G92" s="102"/>
      <c r="H92" s="101"/>
      <c r="I92" s="101"/>
      <c r="J92" s="101"/>
      <c r="K92" s="101"/>
      <c r="L92" s="101"/>
      <c r="M92" s="101"/>
      <c r="N92" s="100"/>
      <c r="O92" s="100"/>
      <c r="P92" s="101"/>
      <c r="Q92" s="101"/>
      <c r="R92" s="106"/>
      <c r="S92" s="106"/>
      <c r="T92" s="100"/>
      <c r="U92" s="101"/>
      <c r="V92" s="110"/>
      <c r="W92" s="101"/>
      <c r="X92" s="101"/>
      <c r="Y92" s="101"/>
      <c r="Z92" s="116"/>
      <c r="AA92" s="112" t="str">
        <f>IF(ISNA(VLOOKUP(Table2[[#This Row],[Task ID]],Table1[],17,FALSE)),"",VLOOKUP(Table2[[#This Row],[Task ID]],Table1[],17,FALSE))</f>
        <v/>
      </c>
      <c r="AB92" s="115" t="str">
        <f>IF(Table2[[#This Row],[Defect Detected On Date ]]="","",TEXT(Table2[[#This Row],[Defect Detected On Date ]],"mmm"))</f>
        <v/>
      </c>
      <c r="AE92" s="63"/>
    </row>
    <row r="93" spans="2:31">
      <c r="B93" s="100"/>
      <c r="C93" s="100"/>
      <c r="D93" s="101"/>
      <c r="E93" s="101"/>
      <c r="F93" s="101"/>
      <c r="G93" s="102"/>
      <c r="H93" s="101"/>
      <c r="I93" s="101"/>
      <c r="J93" s="101"/>
      <c r="K93" s="101"/>
      <c r="L93" s="101"/>
      <c r="M93" s="101"/>
      <c r="N93" s="100"/>
      <c r="O93" s="100"/>
      <c r="P93" s="101"/>
      <c r="Q93" s="101"/>
      <c r="R93" s="106"/>
      <c r="S93" s="106"/>
      <c r="T93" s="100"/>
      <c r="U93" s="101"/>
      <c r="V93" s="110"/>
      <c r="W93" s="101"/>
      <c r="X93" s="101"/>
      <c r="Y93" s="101"/>
      <c r="Z93" s="116"/>
      <c r="AA93" s="112" t="str">
        <f>IF(ISNA(VLOOKUP(Table2[[#This Row],[Task ID]],Table1[],17,FALSE)),"",VLOOKUP(Table2[[#This Row],[Task ID]],Table1[],17,FALSE))</f>
        <v/>
      </c>
      <c r="AB93" s="115" t="str">
        <f>IF(Table2[[#This Row],[Defect Detected On Date ]]="","",TEXT(Table2[[#This Row],[Defect Detected On Date ]],"mmm"))</f>
        <v/>
      </c>
      <c r="AE93" s="63"/>
    </row>
    <row r="94" spans="2:31">
      <c r="B94" s="100"/>
      <c r="C94" s="100"/>
      <c r="D94" s="101"/>
      <c r="E94" s="101"/>
      <c r="F94" s="101"/>
      <c r="G94" s="102"/>
      <c r="H94" s="101"/>
      <c r="I94" s="101"/>
      <c r="J94" s="101"/>
      <c r="K94" s="101"/>
      <c r="L94" s="101"/>
      <c r="M94" s="101"/>
      <c r="N94" s="100"/>
      <c r="O94" s="100"/>
      <c r="P94" s="101"/>
      <c r="Q94" s="101"/>
      <c r="R94" s="106"/>
      <c r="S94" s="106"/>
      <c r="T94" s="100"/>
      <c r="U94" s="101"/>
      <c r="V94" s="110"/>
      <c r="W94" s="101"/>
      <c r="X94" s="101"/>
      <c r="Y94" s="101"/>
      <c r="Z94" s="101"/>
      <c r="AA94" s="112" t="str">
        <f>IF(ISNA(VLOOKUP(Table2[[#This Row],[Task ID]],Table1[],17,FALSE)),"",VLOOKUP(Table2[[#This Row],[Task ID]],Table1[],17,FALSE))</f>
        <v/>
      </c>
      <c r="AB94" s="115" t="str">
        <f>IF(Table2[[#This Row],[Defect Detected On Date ]]="","",TEXT(Table2[[#This Row],[Defect Detected On Date ]],"mmm"))</f>
        <v/>
      </c>
      <c r="AE94" s="63"/>
    </row>
    <row r="95" spans="2:31">
      <c r="B95" s="100"/>
      <c r="C95" s="100"/>
      <c r="D95" s="101"/>
      <c r="E95" s="101"/>
      <c r="F95" s="101"/>
      <c r="G95" s="102"/>
      <c r="H95" s="101"/>
      <c r="I95" s="101"/>
      <c r="J95" s="101"/>
      <c r="K95" s="101"/>
      <c r="L95" s="101"/>
      <c r="M95" s="101"/>
      <c r="N95" s="100"/>
      <c r="O95" s="100"/>
      <c r="P95" s="101"/>
      <c r="Q95" s="101"/>
      <c r="R95" s="106"/>
      <c r="S95" s="106"/>
      <c r="T95" s="100"/>
      <c r="U95" s="101"/>
      <c r="V95" s="110"/>
      <c r="W95" s="101"/>
      <c r="X95" s="101"/>
      <c r="Y95" s="101"/>
      <c r="Z95" s="101"/>
      <c r="AA95" s="112" t="str">
        <f>IF(ISNA(VLOOKUP(Table2[[#This Row],[Task ID]],Table1[],17,FALSE)),"",VLOOKUP(Table2[[#This Row],[Task ID]],Table1[],17,FALSE))</f>
        <v/>
      </c>
      <c r="AB95" s="115" t="str">
        <f>IF(Table2[[#This Row],[Defect Detected On Date ]]="","",TEXT(Table2[[#This Row],[Defect Detected On Date ]],"mmm"))</f>
        <v/>
      </c>
      <c r="AE95" s="63"/>
    </row>
    <row r="96" spans="2:31">
      <c r="B96" s="100"/>
      <c r="C96" s="100"/>
      <c r="D96" s="101"/>
      <c r="E96" s="101"/>
      <c r="F96" s="101"/>
      <c r="G96" s="102"/>
      <c r="H96" s="101"/>
      <c r="I96" s="101"/>
      <c r="J96" s="101"/>
      <c r="K96" s="101"/>
      <c r="L96" s="101"/>
      <c r="M96" s="101"/>
      <c r="N96" s="100"/>
      <c r="O96" s="100"/>
      <c r="P96" s="101"/>
      <c r="Q96" s="101"/>
      <c r="R96" s="106"/>
      <c r="S96" s="106"/>
      <c r="T96" s="100"/>
      <c r="U96" s="101"/>
      <c r="V96" s="110"/>
      <c r="W96" s="101"/>
      <c r="X96" s="101"/>
      <c r="Y96" s="101"/>
      <c r="Z96" s="101"/>
      <c r="AA96" s="112" t="str">
        <f>IF(ISNA(VLOOKUP(Table2[[#This Row],[Task ID]],Table1[],17,FALSE)),"",VLOOKUP(Table2[[#This Row],[Task ID]],Table1[],17,FALSE))</f>
        <v/>
      </c>
      <c r="AB96" s="115" t="str">
        <f>IF(Table2[[#This Row],[Defect Detected On Date ]]="","",TEXT(Table2[[#This Row],[Defect Detected On Date ]],"mmm"))</f>
        <v/>
      </c>
      <c r="AE96" s="63"/>
    </row>
    <row r="97" spans="2:31">
      <c r="B97" s="100"/>
      <c r="C97" s="100"/>
      <c r="D97" s="101"/>
      <c r="E97" s="101"/>
      <c r="F97" s="101"/>
      <c r="G97" s="102"/>
      <c r="H97" s="101"/>
      <c r="I97" s="101"/>
      <c r="J97" s="101"/>
      <c r="K97" s="101"/>
      <c r="L97" s="101"/>
      <c r="M97" s="101"/>
      <c r="N97" s="100"/>
      <c r="O97" s="100"/>
      <c r="P97" s="101"/>
      <c r="Q97" s="101"/>
      <c r="R97" s="106"/>
      <c r="S97" s="106"/>
      <c r="T97" s="100"/>
      <c r="U97" s="101"/>
      <c r="V97" s="110"/>
      <c r="W97" s="101"/>
      <c r="X97" s="101"/>
      <c r="Y97" s="101"/>
      <c r="Z97" s="101"/>
      <c r="AA97" s="112" t="str">
        <f>IF(ISNA(VLOOKUP(Table2[[#This Row],[Task ID]],Table1[],17,FALSE)),"",VLOOKUP(Table2[[#This Row],[Task ID]],Table1[],17,FALSE))</f>
        <v/>
      </c>
      <c r="AB97" s="115" t="str">
        <f>IF(Table2[[#This Row],[Defect Detected On Date ]]="","",TEXT(Table2[[#This Row],[Defect Detected On Date ]],"mmm"))</f>
        <v/>
      </c>
      <c r="AE97" s="63"/>
    </row>
    <row r="98" spans="2:31">
      <c r="B98" s="100"/>
      <c r="C98" s="100"/>
      <c r="D98" s="101"/>
      <c r="E98" s="101"/>
      <c r="F98" s="101"/>
      <c r="G98" s="102"/>
      <c r="H98" s="101"/>
      <c r="I98" s="101"/>
      <c r="J98" s="101"/>
      <c r="K98" s="101"/>
      <c r="L98" s="101"/>
      <c r="M98" s="101"/>
      <c r="N98" s="100"/>
      <c r="O98" s="100"/>
      <c r="P98" s="101"/>
      <c r="Q98" s="101"/>
      <c r="R98" s="106"/>
      <c r="S98" s="106"/>
      <c r="T98" s="100"/>
      <c r="U98" s="101"/>
      <c r="V98" s="110"/>
      <c r="W98" s="101"/>
      <c r="X98" s="101"/>
      <c r="Y98" s="101"/>
      <c r="Z98" s="101"/>
      <c r="AA98" s="112" t="str">
        <f>IF(ISNA(VLOOKUP(Table2[[#This Row],[Task ID]],Table1[],17,FALSE)),"",VLOOKUP(Table2[[#This Row],[Task ID]],Table1[],17,FALSE))</f>
        <v/>
      </c>
      <c r="AB98" s="115" t="str">
        <f>IF(Table2[[#This Row],[Defect Detected On Date ]]="","",TEXT(Table2[[#This Row],[Defect Detected On Date ]],"mmm"))</f>
        <v/>
      </c>
      <c r="AE98" s="63"/>
    </row>
    <row r="99" spans="2:31">
      <c r="B99" s="100"/>
      <c r="C99" s="100"/>
      <c r="D99" s="101"/>
      <c r="E99" s="101"/>
      <c r="F99" s="101"/>
      <c r="G99" s="102"/>
      <c r="H99" s="101"/>
      <c r="I99" s="101"/>
      <c r="J99" s="101"/>
      <c r="K99" s="101"/>
      <c r="L99" s="101"/>
      <c r="M99" s="101"/>
      <c r="N99" s="100"/>
      <c r="O99" s="100"/>
      <c r="P99" s="101"/>
      <c r="Q99" s="101"/>
      <c r="R99" s="106"/>
      <c r="S99" s="106"/>
      <c r="T99" s="100"/>
      <c r="U99" s="101"/>
      <c r="V99" s="110"/>
      <c r="W99" s="101"/>
      <c r="X99" s="101"/>
      <c r="Y99" s="101"/>
      <c r="Z99" s="101"/>
      <c r="AA99" s="112" t="str">
        <f>IF(ISNA(VLOOKUP(Table2[[#This Row],[Task ID]],Table1[],17,FALSE)),"",VLOOKUP(Table2[[#This Row],[Task ID]],Table1[],17,FALSE))</f>
        <v/>
      </c>
      <c r="AB99" s="115" t="str">
        <f>IF(Table2[[#This Row],[Defect Detected On Date ]]="","",TEXT(Table2[[#This Row],[Defect Detected On Date ]],"mmm"))</f>
        <v/>
      </c>
      <c r="AE99" s="63"/>
    </row>
    <row r="100" spans="2:31">
      <c r="B100" s="100"/>
      <c r="C100" s="100"/>
      <c r="D100" s="101"/>
      <c r="E100" s="101"/>
      <c r="F100" s="101"/>
      <c r="G100" s="102"/>
      <c r="H100" s="101"/>
      <c r="I100" s="101"/>
      <c r="J100" s="101"/>
      <c r="K100" s="101"/>
      <c r="L100" s="101"/>
      <c r="M100" s="101"/>
      <c r="N100" s="100"/>
      <c r="O100" s="100"/>
      <c r="P100" s="101"/>
      <c r="Q100" s="101"/>
      <c r="R100" s="106"/>
      <c r="S100" s="106"/>
      <c r="T100" s="100"/>
      <c r="U100" s="101"/>
      <c r="V100" s="110"/>
      <c r="W100" s="101"/>
      <c r="X100" s="101"/>
      <c r="Y100" s="101"/>
      <c r="Z100" s="101"/>
      <c r="AA100" s="112" t="str">
        <f>IF(ISNA(VLOOKUP(Table2[[#This Row],[Task ID]],Table1[],17,FALSE)),"",VLOOKUP(Table2[[#This Row],[Task ID]],Table1[],17,FALSE))</f>
        <v/>
      </c>
      <c r="AB100" s="115" t="str">
        <f>IF(Table2[[#This Row],[Defect Detected On Date ]]="","",TEXT(Table2[[#This Row],[Defect Detected On Date ]],"mmm"))</f>
        <v/>
      </c>
      <c r="AE100" s="63"/>
    </row>
    <row r="101" spans="2:31">
      <c r="B101" s="100"/>
      <c r="C101" s="100"/>
      <c r="D101" s="101"/>
      <c r="E101" s="101"/>
      <c r="F101" s="101"/>
      <c r="G101" s="102"/>
      <c r="H101" s="101"/>
      <c r="I101" s="101"/>
      <c r="J101" s="101"/>
      <c r="K101" s="101"/>
      <c r="L101" s="101"/>
      <c r="M101" s="101"/>
      <c r="N101" s="100"/>
      <c r="O101" s="100"/>
      <c r="P101" s="101"/>
      <c r="Q101" s="101"/>
      <c r="R101" s="106"/>
      <c r="S101" s="106"/>
      <c r="T101" s="100"/>
      <c r="U101" s="101"/>
      <c r="V101" s="110"/>
      <c r="W101" s="101"/>
      <c r="X101" s="101"/>
      <c r="Y101" s="101"/>
      <c r="Z101" s="101"/>
      <c r="AA101" s="112" t="str">
        <f>IF(ISNA(VLOOKUP(Table2[[#This Row],[Task ID]],Table1[],17,FALSE)),"",VLOOKUP(Table2[[#This Row],[Task ID]],Table1[],17,FALSE))</f>
        <v/>
      </c>
      <c r="AB101" s="115" t="str">
        <f>IF(Table2[[#This Row],[Defect Detected On Date ]]="","",TEXT(Table2[[#This Row],[Defect Detected On Date ]],"mmm"))</f>
        <v/>
      </c>
      <c r="AE101" s="63"/>
    </row>
    <row r="102" spans="2:31">
      <c r="B102" s="100"/>
      <c r="C102" s="100"/>
      <c r="D102" s="101"/>
      <c r="E102" s="101"/>
      <c r="F102" s="101"/>
      <c r="G102" s="102"/>
      <c r="H102" s="101"/>
      <c r="I102" s="101"/>
      <c r="J102" s="101"/>
      <c r="K102" s="101"/>
      <c r="L102" s="101"/>
      <c r="M102" s="101"/>
      <c r="N102" s="100"/>
      <c r="O102" s="100"/>
      <c r="P102" s="101"/>
      <c r="Q102" s="101"/>
      <c r="R102" s="106"/>
      <c r="S102" s="106"/>
      <c r="T102" s="100"/>
      <c r="U102" s="101"/>
      <c r="V102" s="110"/>
      <c r="W102" s="101"/>
      <c r="X102" s="101"/>
      <c r="Y102" s="101"/>
      <c r="Z102" s="101"/>
      <c r="AA102" s="112" t="str">
        <f>IF(ISNA(VLOOKUP(Table2[[#This Row],[Task ID]],Table1[],17,FALSE)),"",VLOOKUP(Table2[[#This Row],[Task ID]],Table1[],17,FALSE))</f>
        <v/>
      </c>
      <c r="AB102" s="115" t="str">
        <f>IF(Table2[[#This Row],[Defect Detected On Date ]]="","",TEXT(Table2[[#This Row],[Defect Detected On Date ]],"mmm"))</f>
        <v/>
      </c>
      <c r="AE102" s="63"/>
    </row>
    <row r="103" spans="2:31">
      <c r="B103" s="100"/>
      <c r="C103" s="100"/>
      <c r="D103" s="101"/>
      <c r="E103" s="101"/>
      <c r="F103" s="101"/>
      <c r="G103" s="102"/>
      <c r="H103" s="101"/>
      <c r="I103" s="101"/>
      <c r="J103" s="101"/>
      <c r="K103" s="101"/>
      <c r="L103" s="101"/>
      <c r="M103" s="101"/>
      <c r="N103" s="100"/>
      <c r="O103" s="100"/>
      <c r="P103" s="101"/>
      <c r="Q103" s="101"/>
      <c r="R103" s="106"/>
      <c r="S103" s="106"/>
      <c r="T103" s="100"/>
      <c r="U103" s="101"/>
      <c r="V103" s="110"/>
      <c r="W103" s="101"/>
      <c r="X103" s="101"/>
      <c r="Y103" s="101"/>
      <c r="Z103" s="101"/>
      <c r="AA103" s="112" t="str">
        <f>IF(ISNA(VLOOKUP(Table2[[#This Row],[Task ID]],Table1[],17,FALSE)),"",VLOOKUP(Table2[[#This Row],[Task ID]],Table1[],17,FALSE))</f>
        <v/>
      </c>
      <c r="AB103" s="115" t="str">
        <f>IF(Table2[[#This Row],[Defect Detected On Date ]]="","",TEXT(Table2[[#This Row],[Defect Detected On Date ]],"mmm"))</f>
        <v/>
      </c>
      <c r="AE103" s="63"/>
    </row>
    <row r="104" spans="2:31">
      <c r="B104" s="100"/>
      <c r="C104" s="100"/>
      <c r="D104" s="101"/>
      <c r="E104" s="101"/>
      <c r="F104" s="101"/>
      <c r="G104" s="102"/>
      <c r="H104" s="101"/>
      <c r="I104" s="101"/>
      <c r="J104" s="101"/>
      <c r="K104" s="101"/>
      <c r="L104" s="101"/>
      <c r="M104" s="101"/>
      <c r="N104" s="100"/>
      <c r="O104" s="100"/>
      <c r="P104" s="101"/>
      <c r="Q104" s="101"/>
      <c r="R104" s="106"/>
      <c r="S104" s="106"/>
      <c r="T104" s="100"/>
      <c r="U104" s="101"/>
      <c r="V104" s="110"/>
      <c r="W104" s="101"/>
      <c r="X104" s="101"/>
      <c r="Y104" s="101"/>
      <c r="Z104" s="101"/>
      <c r="AA104" s="112" t="str">
        <f>IF(ISNA(VLOOKUP(Table2[[#This Row],[Task ID]],Table1[],17,FALSE)),"",VLOOKUP(Table2[[#This Row],[Task ID]],Table1[],17,FALSE))</f>
        <v/>
      </c>
      <c r="AB104" s="115" t="str">
        <f>IF(Table2[[#This Row],[Defect Detected On Date ]]="","",TEXT(Table2[[#This Row],[Defect Detected On Date ]],"mmm"))</f>
        <v/>
      </c>
      <c r="AE104" s="63"/>
    </row>
    <row r="105" spans="2:31">
      <c r="B105" s="100"/>
      <c r="C105" s="100"/>
      <c r="D105" s="101"/>
      <c r="E105" s="101"/>
      <c r="F105" s="101"/>
      <c r="G105" s="102"/>
      <c r="H105" s="101"/>
      <c r="I105" s="101"/>
      <c r="J105" s="101"/>
      <c r="K105" s="101"/>
      <c r="L105" s="101"/>
      <c r="M105" s="101"/>
      <c r="N105" s="100"/>
      <c r="O105" s="100"/>
      <c r="P105" s="101"/>
      <c r="Q105" s="101"/>
      <c r="R105" s="106"/>
      <c r="S105" s="106"/>
      <c r="T105" s="100"/>
      <c r="U105" s="101"/>
      <c r="V105" s="110"/>
      <c r="W105" s="101"/>
      <c r="X105" s="101"/>
      <c r="Y105" s="101"/>
      <c r="Z105" s="116"/>
      <c r="AA105" s="112" t="str">
        <f>IF(ISNA(VLOOKUP(Table2[[#This Row],[Task ID]],Table1[],17,FALSE)),"",VLOOKUP(Table2[[#This Row],[Task ID]],Table1[],17,FALSE))</f>
        <v/>
      </c>
      <c r="AB105" s="115" t="str">
        <f>IF(Table2[[#This Row],[Defect Detected On Date ]]="","",TEXT(Table2[[#This Row],[Defect Detected On Date ]],"mmm"))</f>
        <v/>
      </c>
      <c r="AE105" s="63"/>
    </row>
    <row r="106" spans="2:31">
      <c r="B106" s="100"/>
      <c r="C106" s="100"/>
      <c r="D106" s="101"/>
      <c r="E106" s="101"/>
      <c r="F106" s="101"/>
      <c r="G106" s="102"/>
      <c r="H106" s="101"/>
      <c r="I106" s="101"/>
      <c r="J106" s="101"/>
      <c r="K106" s="101"/>
      <c r="L106" s="101"/>
      <c r="M106" s="101"/>
      <c r="N106" s="100"/>
      <c r="O106" s="100"/>
      <c r="P106" s="101"/>
      <c r="Q106" s="101"/>
      <c r="R106" s="106"/>
      <c r="S106" s="106"/>
      <c r="T106" s="100"/>
      <c r="U106" s="101"/>
      <c r="V106" s="110"/>
      <c r="W106" s="101"/>
      <c r="X106" s="101"/>
      <c r="Y106" s="101"/>
      <c r="Z106" s="116"/>
      <c r="AA106" s="112" t="str">
        <f>IF(ISNA(VLOOKUP(Table2[[#This Row],[Task ID]],Table1[],17,FALSE)),"",VLOOKUP(Table2[[#This Row],[Task ID]],Table1[],17,FALSE))</f>
        <v/>
      </c>
      <c r="AB106" s="115" t="str">
        <f>IF(Table2[[#This Row],[Defect Detected On Date ]]="","",TEXT(Table2[[#This Row],[Defect Detected On Date ]],"mmm"))</f>
        <v/>
      </c>
      <c r="AE106" s="63"/>
    </row>
    <row r="107" spans="2:31">
      <c r="B107" s="100"/>
      <c r="C107" s="100"/>
      <c r="D107" s="101"/>
      <c r="E107" s="101"/>
      <c r="F107" s="101"/>
      <c r="G107" s="102"/>
      <c r="H107" s="101"/>
      <c r="I107" s="101"/>
      <c r="J107" s="101"/>
      <c r="K107" s="101"/>
      <c r="L107" s="101"/>
      <c r="M107" s="101"/>
      <c r="N107" s="100"/>
      <c r="O107" s="100"/>
      <c r="P107" s="101"/>
      <c r="Q107" s="101"/>
      <c r="R107" s="106"/>
      <c r="S107" s="106"/>
      <c r="T107" s="100"/>
      <c r="U107" s="101"/>
      <c r="V107" s="110"/>
      <c r="W107" s="101"/>
      <c r="X107" s="101"/>
      <c r="Y107" s="101"/>
      <c r="Z107" s="116"/>
      <c r="AA107" s="112" t="str">
        <f>IF(ISNA(VLOOKUP(Table2[[#This Row],[Task ID]],Table1[],17,FALSE)),"",VLOOKUP(Table2[[#This Row],[Task ID]],Table1[],17,FALSE))</f>
        <v/>
      </c>
      <c r="AB107" s="115" t="str">
        <f>IF(Table2[[#This Row],[Defect Detected On Date ]]="","",TEXT(Table2[[#This Row],[Defect Detected On Date ]],"mmm"))</f>
        <v/>
      </c>
      <c r="AE107" s="63"/>
    </row>
    <row r="108" spans="2:31">
      <c r="B108" s="100"/>
      <c r="C108" s="100"/>
      <c r="D108" s="101"/>
      <c r="E108" s="101"/>
      <c r="F108" s="101"/>
      <c r="G108" s="102"/>
      <c r="H108" s="101"/>
      <c r="I108" s="101"/>
      <c r="J108" s="101"/>
      <c r="K108" s="101"/>
      <c r="L108" s="101"/>
      <c r="M108" s="101"/>
      <c r="N108" s="100"/>
      <c r="O108" s="100"/>
      <c r="P108" s="101"/>
      <c r="Q108" s="101"/>
      <c r="R108" s="106"/>
      <c r="S108" s="106"/>
      <c r="T108" s="100"/>
      <c r="U108" s="101"/>
      <c r="V108" s="110"/>
      <c r="W108" s="101"/>
      <c r="X108" s="101"/>
      <c r="Y108" s="101"/>
      <c r="Z108" s="116"/>
      <c r="AA108" s="112" t="str">
        <f>IF(ISNA(VLOOKUP(Table2[[#This Row],[Task ID]],Table1[],17,FALSE)),"",VLOOKUP(Table2[[#This Row],[Task ID]],Table1[],17,FALSE))</f>
        <v/>
      </c>
      <c r="AB108" s="115" t="str">
        <f>IF(Table2[[#This Row],[Defect Detected On Date ]]="","",TEXT(Table2[[#This Row],[Defect Detected On Date ]],"mmm"))</f>
        <v/>
      </c>
      <c r="AE108" s="63"/>
    </row>
    <row r="109" spans="2:31">
      <c r="B109" s="100"/>
      <c r="C109" s="100"/>
      <c r="D109" s="101"/>
      <c r="E109" s="101"/>
      <c r="F109" s="101"/>
      <c r="G109" s="102"/>
      <c r="H109" s="101"/>
      <c r="I109" s="101"/>
      <c r="J109" s="101"/>
      <c r="K109" s="101"/>
      <c r="L109" s="101"/>
      <c r="M109" s="101"/>
      <c r="N109" s="100"/>
      <c r="O109" s="100"/>
      <c r="P109" s="101"/>
      <c r="Q109" s="101"/>
      <c r="R109" s="106"/>
      <c r="S109" s="106"/>
      <c r="T109" s="100"/>
      <c r="U109" s="101"/>
      <c r="V109" s="110"/>
      <c r="W109" s="101"/>
      <c r="X109" s="101"/>
      <c r="Y109" s="101"/>
      <c r="Z109" s="116"/>
      <c r="AA109" s="112" t="str">
        <f>IF(ISNA(VLOOKUP(Table2[[#This Row],[Task ID]],Table1[],17,FALSE)),"",VLOOKUP(Table2[[#This Row],[Task ID]],Table1[],17,FALSE))</f>
        <v/>
      </c>
      <c r="AB109" s="115" t="str">
        <f>IF(Table2[[#This Row],[Defect Detected On Date ]]="","",TEXT(Table2[[#This Row],[Defect Detected On Date ]],"mmm"))</f>
        <v/>
      </c>
      <c r="AE109" s="63"/>
    </row>
    <row r="110" spans="2:31">
      <c r="B110" s="100"/>
      <c r="C110" s="100"/>
      <c r="D110" s="101"/>
      <c r="E110" s="101"/>
      <c r="F110" s="101"/>
      <c r="G110" s="102"/>
      <c r="H110" s="101"/>
      <c r="I110" s="101"/>
      <c r="J110" s="101"/>
      <c r="K110" s="101"/>
      <c r="L110" s="101"/>
      <c r="M110" s="101"/>
      <c r="N110" s="100"/>
      <c r="O110" s="100"/>
      <c r="P110" s="101"/>
      <c r="Q110" s="101"/>
      <c r="R110" s="106"/>
      <c r="S110" s="106"/>
      <c r="T110" s="100"/>
      <c r="U110" s="101"/>
      <c r="V110" s="110"/>
      <c r="W110" s="101"/>
      <c r="X110" s="101"/>
      <c r="Y110" s="101"/>
      <c r="Z110" s="116"/>
      <c r="AA110" s="112" t="str">
        <f>IF(ISNA(VLOOKUP(Table2[[#This Row],[Task ID]],Table1[],17,FALSE)),"",VLOOKUP(Table2[[#This Row],[Task ID]],Table1[],17,FALSE))</f>
        <v/>
      </c>
      <c r="AB110" s="115" t="str">
        <f>IF(Table2[[#This Row],[Defect Detected On Date ]]="","",TEXT(Table2[[#This Row],[Defect Detected On Date ]],"mmm"))</f>
        <v/>
      </c>
      <c r="AE110" s="63"/>
    </row>
    <row r="111" spans="2:31">
      <c r="B111" s="100"/>
      <c r="C111" s="100"/>
      <c r="D111" s="116"/>
      <c r="E111" s="101"/>
      <c r="F111" s="101"/>
      <c r="G111" s="102"/>
      <c r="H111" s="101"/>
      <c r="I111" s="101"/>
      <c r="J111" s="101"/>
      <c r="K111" s="101"/>
      <c r="L111" s="101"/>
      <c r="M111" s="101"/>
      <c r="N111" s="100"/>
      <c r="O111" s="100"/>
      <c r="P111" s="101"/>
      <c r="Q111" s="101"/>
      <c r="R111" s="106"/>
      <c r="S111" s="106"/>
      <c r="T111" s="100"/>
      <c r="U111" s="101"/>
      <c r="V111" s="110"/>
      <c r="W111" s="101"/>
      <c r="X111" s="101"/>
      <c r="Y111" s="101"/>
      <c r="Z111" s="116"/>
      <c r="AA111" s="112" t="str">
        <f>IF(ISNA(VLOOKUP(Table2[[#This Row],[Task ID]],Table1[],17,FALSE)),"",VLOOKUP(Table2[[#This Row],[Task ID]],Table1[],17,FALSE))</f>
        <v/>
      </c>
      <c r="AB111" s="115" t="str">
        <f>IF(Table2[[#This Row],[Defect Detected On Date ]]="","",TEXT(Table2[[#This Row],[Defect Detected On Date ]],"mmm"))</f>
        <v/>
      </c>
      <c r="AE111" s="63"/>
    </row>
    <row r="112" spans="2:31">
      <c r="B112" s="100"/>
      <c r="C112" s="100"/>
      <c r="D112" s="101"/>
      <c r="E112" s="101"/>
      <c r="F112" s="101"/>
      <c r="G112" s="102"/>
      <c r="H112" s="101"/>
      <c r="I112" s="101"/>
      <c r="J112" s="101"/>
      <c r="K112" s="101"/>
      <c r="L112" s="101"/>
      <c r="M112" s="101"/>
      <c r="N112" s="100"/>
      <c r="O112" s="100"/>
      <c r="P112" s="101"/>
      <c r="Q112" s="101"/>
      <c r="R112" s="106"/>
      <c r="S112" s="106"/>
      <c r="T112" s="100"/>
      <c r="U112" s="101"/>
      <c r="V112" s="110"/>
      <c r="W112" s="101"/>
      <c r="X112" s="101"/>
      <c r="Y112" s="101"/>
      <c r="Z112" s="101"/>
      <c r="AA112" s="112" t="str">
        <f>IF(ISNA(VLOOKUP(Table2[[#This Row],[Task ID]],Table1[],17,FALSE)),"",VLOOKUP(Table2[[#This Row],[Task ID]],Table1[],17,FALSE))</f>
        <v/>
      </c>
      <c r="AB112" s="115" t="str">
        <f>IF(Table2[[#This Row],[Defect Detected On Date ]]="","",TEXT(Table2[[#This Row],[Defect Detected On Date ]],"mmm"))</f>
        <v/>
      </c>
      <c r="AE112" s="63"/>
    </row>
    <row r="113" spans="2:31">
      <c r="B113" s="100"/>
      <c r="C113" s="100"/>
      <c r="D113" s="101"/>
      <c r="E113" s="101"/>
      <c r="F113" s="101"/>
      <c r="G113" s="102"/>
      <c r="H113" s="101"/>
      <c r="I113" s="101"/>
      <c r="J113" s="101"/>
      <c r="K113" s="101"/>
      <c r="L113" s="101"/>
      <c r="M113" s="101"/>
      <c r="N113" s="100"/>
      <c r="O113" s="100"/>
      <c r="P113" s="101"/>
      <c r="Q113" s="101"/>
      <c r="R113" s="106"/>
      <c r="S113" s="106"/>
      <c r="T113" s="100"/>
      <c r="U113" s="101"/>
      <c r="V113" s="110"/>
      <c r="W113" s="101"/>
      <c r="X113" s="101"/>
      <c r="Y113" s="101"/>
      <c r="Z113" s="101"/>
      <c r="AA113" s="112" t="str">
        <f>IF(ISNA(VLOOKUP(Table2[[#This Row],[Task ID]],Table1[],17,FALSE)),"",VLOOKUP(Table2[[#This Row],[Task ID]],Table1[],17,FALSE))</f>
        <v/>
      </c>
      <c r="AB113" s="115" t="str">
        <f>IF(Table2[[#This Row],[Defect Detected On Date ]]="","",TEXT(Table2[[#This Row],[Defect Detected On Date ]],"mmm"))</f>
        <v/>
      </c>
      <c r="AE113" s="63"/>
    </row>
    <row r="114" spans="2:31">
      <c r="B114" s="100"/>
      <c r="C114" s="100"/>
      <c r="D114" s="101"/>
      <c r="E114" s="101"/>
      <c r="F114" s="101"/>
      <c r="G114" s="102"/>
      <c r="H114" s="101"/>
      <c r="I114" s="101"/>
      <c r="J114" s="101"/>
      <c r="K114" s="101"/>
      <c r="L114" s="101"/>
      <c r="M114" s="101"/>
      <c r="N114" s="100"/>
      <c r="O114" s="100"/>
      <c r="P114" s="101"/>
      <c r="Q114" s="101"/>
      <c r="R114" s="106"/>
      <c r="S114" s="106"/>
      <c r="T114" s="100"/>
      <c r="U114" s="101"/>
      <c r="V114" s="110"/>
      <c r="W114" s="101"/>
      <c r="X114" s="101"/>
      <c r="Y114" s="101"/>
      <c r="Z114" s="101"/>
      <c r="AA114" s="112" t="str">
        <f>IF(ISNA(VLOOKUP(Table2[[#This Row],[Task ID]],Table1[],17,FALSE)),"",VLOOKUP(Table2[[#This Row],[Task ID]],Table1[],17,FALSE))</f>
        <v/>
      </c>
      <c r="AB114" s="115" t="str">
        <f>IF(Table2[[#This Row],[Defect Detected On Date ]]="","",TEXT(Table2[[#This Row],[Defect Detected On Date ]],"mmm"))</f>
        <v/>
      </c>
      <c r="AE114" s="63"/>
    </row>
    <row r="115" spans="2:31">
      <c r="B115" s="100"/>
      <c r="C115" s="100"/>
      <c r="D115" s="101"/>
      <c r="E115" s="101"/>
      <c r="F115" s="101"/>
      <c r="G115" s="102"/>
      <c r="H115" s="101"/>
      <c r="I115" s="101"/>
      <c r="J115" s="101"/>
      <c r="K115" s="101"/>
      <c r="L115" s="101"/>
      <c r="M115" s="101"/>
      <c r="N115" s="100"/>
      <c r="O115" s="100"/>
      <c r="P115" s="101"/>
      <c r="Q115" s="101"/>
      <c r="R115" s="106"/>
      <c r="S115" s="106"/>
      <c r="T115" s="100"/>
      <c r="U115" s="101"/>
      <c r="V115" s="110"/>
      <c r="W115" s="101"/>
      <c r="X115" s="101"/>
      <c r="Y115" s="101"/>
      <c r="Z115" s="101"/>
      <c r="AA115" s="112" t="str">
        <f>IF(ISNA(VLOOKUP(Table2[[#This Row],[Task ID]],Table1[],17,FALSE)),"",VLOOKUP(Table2[[#This Row],[Task ID]],Table1[],17,FALSE))</f>
        <v/>
      </c>
      <c r="AB115" s="115" t="str">
        <f>IF(Table2[[#This Row],[Defect Detected On Date ]]="","",TEXT(Table2[[#This Row],[Defect Detected On Date ]],"mmm"))</f>
        <v/>
      </c>
      <c r="AE115" s="63"/>
    </row>
    <row r="116" spans="2:31">
      <c r="B116" s="100"/>
      <c r="C116" s="100"/>
      <c r="D116" s="101"/>
      <c r="E116" s="101"/>
      <c r="F116" s="101"/>
      <c r="G116" s="102"/>
      <c r="H116" s="101"/>
      <c r="I116" s="101"/>
      <c r="J116" s="101"/>
      <c r="K116" s="101"/>
      <c r="L116" s="101"/>
      <c r="M116" s="101"/>
      <c r="N116" s="100"/>
      <c r="O116" s="100"/>
      <c r="P116" s="101"/>
      <c r="Q116" s="101"/>
      <c r="R116" s="106"/>
      <c r="S116" s="106"/>
      <c r="T116" s="100"/>
      <c r="U116" s="101"/>
      <c r="V116" s="110"/>
      <c r="W116" s="101"/>
      <c r="X116" s="101"/>
      <c r="Y116" s="101"/>
      <c r="Z116" s="101"/>
      <c r="AA116" s="112" t="str">
        <f>IF(ISNA(VLOOKUP(Table2[[#This Row],[Task ID]],Table1[],17,FALSE)),"",VLOOKUP(Table2[[#This Row],[Task ID]],Table1[],17,FALSE))</f>
        <v/>
      </c>
      <c r="AB116" s="115" t="str">
        <f>IF(Table2[[#This Row],[Defect Detected On Date ]]="","",TEXT(Table2[[#This Row],[Defect Detected On Date ]],"mmm"))</f>
        <v/>
      </c>
      <c r="AE116" s="63"/>
    </row>
    <row r="117" spans="2:31">
      <c r="B117" s="100"/>
      <c r="C117" s="100"/>
      <c r="D117" s="101"/>
      <c r="E117" s="101"/>
      <c r="F117" s="101"/>
      <c r="G117" s="102"/>
      <c r="H117" s="101"/>
      <c r="I117" s="101"/>
      <c r="J117" s="101"/>
      <c r="K117" s="101"/>
      <c r="L117" s="101"/>
      <c r="M117" s="101"/>
      <c r="N117" s="100"/>
      <c r="O117" s="100"/>
      <c r="P117" s="101"/>
      <c r="Q117" s="101"/>
      <c r="R117" s="106"/>
      <c r="S117" s="106"/>
      <c r="T117" s="100"/>
      <c r="U117" s="101"/>
      <c r="V117" s="110"/>
      <c r="W117" s="101"/>
      <c r="X117" s="101"/>
      <c r="Y117" s="101"/>
      <c r="Z117" s="101"/>
      <c r="AA117" s="112" t="str">
        <f>IF(ISNA(VLOOKUP(Table2[[#This Row],[Task ID]],Table1[],17,FALSE)),"",VLOOKUP(Table2[[#This Row],[Task ID]],Table1[],17,FALSE))</f>
        <v/>
      </c>
      <c r="AB117" s="115" t="str">
        <f>IF(Table2[[#This Row],[Defect Detected On Date ]]="","",TEXT(Table2[[#This Row],[Defect Detected On Date ]],"mmm"))</f>
        <v/>
      </c>
      <c r="AE117" s="63"/>
    </row>
    <row r="118" spans="2:31">
      <c r="B118" s="100"/>
      <c r="C118" s="100"/>
      <c r="D118" s="101"/>
      <c r="E118" s="101"/>
      <c r="F118" s="101"/>
      <c r="G118" s="102"/>
      <c r="H118" s="101"/>
      <c r="I118" s="101"/>
      <c r="J118" s="101"/>
      <c r="K118" s="101"/>
      <c r="L118" s="101"/>
      <c r="M118" s="101"/>
      <c r="N118" s="100"/>
      <c r="O118" s="100"/>
      <c r="P118" s="101"/>
      <c r="Q118" s="101"/>
      <c r="R118" s="106"/>
      <c r="S118" s="106"/>
      <c r="T118" s="100"/>
      <c r="U118" s="101"/>
      <c r="V118" s="110"/>
      <c r="W118" s="101"/>
      <c r="X118" s="101"/>
      <c r="Y118" s="101"/>
      <c r="Z118" s="101"/>
      <c r="AA118" s="112" t="str">
        <f>IF(ISNA(VLOOKUP(Table2[[#This Row],[Task ID]],Table1[],17,FALSE)),"",VLOOKUP(Table2[[#This Row],[Task ID]],Table1[],17,FALSE))</f>
        <v/>
      </c>
      <c r="AB118" s="115" t="str">
        <f>IF(Table2[[#This Row],[Defect Detected On Date ]]="","",TEXT(Table2[[#This Row],[Defect Detected On Date ]],"mmm"))</f>
        <v/>
      </c>
      <c r="AE118" s="63"/>
    </row>
    <row r="119" spans="2:31">
      <c r="B119" s="100"/>
      <c r="C119" s="100"/>
      <c r="D119" s="101"/>
      <c r="E119" s="101"/>
      <c r="F119" s="101"/>
      <c r="G119" s="102"/>
      <c r="H119" s="101"/>
      <c r="I119" s="101"/>
      <c r="J119" s="101"/>
      <c r="K119" s="101"/>
      <c r="L119" s="101"/>
      <c r="M119" s="101"/>
      <c r="N119" s="100"/>
      <c r="O119" s="100"/>
      <c r="P119" s="101"/>
      <c r="Q119" s="101"/>
      <c r="R119" s="106"/>
      <c r="S119" s="106"/>
      <c r="T119" s="100"/>
      <c r="U119" s="101"/>
      <c r="V119" s="110"/>
      <c r="W119" s="101"/>
      <c r="X119" s="101"/>
      <c r="Y119" s="101"/>
      <c r="Z119" s="101"/>
      <c r="AA119" s="112" t="str">
        <f>IF(ISNA(VLOOKUP(Table2[[#This Row],[Task ID]],Table1[],17,FALSE)),"",VLOOKUP(Table2[[#This Row],[Task ID]],Table1[],17,FALSE))</f>
        <v/>
      </c>
      <c r="AB119" s="115" t="str">
        <f>IF(Table2[[#This Row],[Defect Detected On Date ]]="","",TEXT(Table2[[#This Row],[Defect Detected On Date ]],"mmm"))</f>
        <v/>
      </c>
      <c r="AE119" s="63"/>
    </row>
    <row r="120" spans="2:31">
      <c r="B120" s="100"/>
      <c r="C120" s="100"/>
      <c r="D120" s="101"/>
      <c r="E120" s="101"/>
      <c r="F120" s="101"/>
      <c r="G120" s="102"/>
      <c r="H120" s="101"/>
      <c r="I120" s="101"/>
      <c r="J120" s="101"/>
      <c r="K120" s="101"/>
      <c r="L120" s="101"/>
      <c r="M120" s="101"/>
      <c r="N120" s="100"/>
      <c r="O120" s="100"/>
      <c r="P120" s="101"/>
      <c r="Q120" s="101"/>
      <c r="R120" s="106"/>
      <c r="S120" s="106"/>
      <c r="T120" s="100"/>
      <c r="U120" s="101"/>
      <c r="V120" s="119"/>
      <c r="W120" s="101"/>
      <c r="X120" s="101"/>
      <c r="Y120" s="101"/>
      <c r="Z120" s="101"/>
      <c r="AA120" s="112" t="str">
        <f>IF(ISNA(VLOOKUP(Table2[[#This Row],[Task ID]],Table1[],17,FALSE)),"",VLOOKUP(Table2[[#This Row],[Task ID]],Table1[],17,FALSE))</f>
        <v/>
      </c>
      <c r="AB120" s="115" t="str">
        <f>IF(Table2[[#This Row],[Defect Detected On Date ]]="","",TEXT(Table2[[#This Row],[Defect Detected On Date ]],"mmm"))</f>
        <v/>
      </c>
      <c r="AE120" s="63"/>
    </row>
    <row r="121" spans="2:31">
      <c r="B121" s="100"/>
      <c r="C121" s="100"/>
      <c r="D121" s="101"/>
      <c r="E121" s="101"/>
      <c r="F121" s="101"/>
      <c r="G121" s="102"/>
      <c r="H121" s="101"/>
      <c r="I121" s="101"/>
      <c r="J121" s="101"/>
      <c r="K121" s="101"/>
      <c r="L121" s="101"/>
      <c r="M121" s="101"/>
      <c r="N121" s="100"/>
      <c r="O121" s="100"/>
      <c r="P121" s="101"/>
      <c r="Q121" s="101"/>
      <c r="R121" s="106"/>
      <c r="S121" s="106"/>
      <c r="T121" s="100"/>
      <c r="U121" s="101"/>
      <c r="V121" s="119"/>
      <c r="W121" s="101"/>
      <c r="X121" s="101"/>
      <c r="Y121" s="101"/>
      <c r="Z121" s="101"/>
      <c r="AA121" s="112" t="str">
        <f>IF(ISNA(VLOOKUP(Table2[[#This Row],[Task ID]],Table1[],17,FALSE)),"",VLOOKUP(Table2[[#This Row],[Task ID]],Table1[],17,FALSE))</f>
        <v/>
      </c>
      <c r="AB121" s="115" t="str">
        <f>IF(Table2[[#This Row],[Defect Detected On Date ]]="","",TEXT(Table2[[#This Row],[Defect Detected On Date ]],"mmm"))</f>
        <v/>
      </c>
      <c r="AE121" s="63"/>
    </row>
    <row r="122" spans="2:31">
      <c r="B122" s="100"/>
      <c r="C122" s="100"/>
      <c r="D122" s="101"/>
      <c r="E122" s="101"/>
      <c r="F122" s="101"/>
      <c r="G122" s="102"/>
      <c r="H122" s="101"/>
      <c r="I122" s="101"/>
      <c r="J122" s="101"/>
      <c r="K122" s="101"/>
      <c r="L122" s="101"/>
      <c r="M122" s="101"/>
      <c r="N122" s="100"/>
      <c r="O122" s="100"/>
      <c r="P122" s="101"/>
      <c r="Q122" s="101"/>
      <c r="R122" s="106"/>
      <c r="S122" s="106"/>
      <c r="T122" s="100"/>
      <c r="U122" s="101"/>
      <c r="V122" s="119"/>
      <c r="W122" s="101"/>
      <c r="X122" s="101"/>
      <c r="Y122" s="101"/>
      <c r="Z122" s="101"/>
      <c r="AA122" s="112" t="str">
        <f>IF(ISNA(VLOOKUP(Table2[[#This Row],[Task ID]],Table1[],17,FALSE)),"",VLOOKUP(Table2[[#This Row],[Task ID]],Table1[],17,FALSE))</f>
        <v/>
      </c>
      <c r="AB122" s="115" t="str">
        <f>IF(Table2[[#This Row],[Defect Detected On Date ]]="","",TEXT(Table2[[#This Row],[Defect Detected On Date ]],"mmm"))</f>
        <v/>
      </c>
      <c r="AE122" s="63"/>
    </row>
    <row r="123" spans="2:31">
      <c r="B123" s="100"/>
      <c r="C123" s="100"/>
      <c r="D123" s="117"/>
      <c r="E123" s="101"/>
      <c r="F123" s="101"/>
      <c r="G123" s="102"/>
      <c r="H123" s="101"/>
      <c r="I123" s="101"/>
      <c r="J123" s="101"/>
      <c r="K123" s="101"/>
      <c r="L123" s="101"/>
      <c r="M123" s="101"/>
      <c r="N123" s="100"/>
      <c r="O123" s="100"/>
      <c r="P123" s="101"/>
      <c r="Q123" s="101"/>
      <c r="R123" s="106"/>
      <c r="S123" s="106"/>
      <c r="T123" s="100"/>
      <c r="U123" s="101"/>
      <c r="V123" s="119"/>
      <c r="W123" s="101"/>
      <c r="X123" s="101"/>
      <c r="Y123" s="101"/>
      <c r="Z123" s="101"/>
      <c r="AA123" s="112" t="str">
        <f>IF(ISNA(VLOOKUP(Table2[[#This Row],[Task ID]],Table1[],17,FALSE)),"",VLOOKUP(Table2[[#This Row],[Task ID]],Table1[],17,FALSE))</f>
        <v/>
      </c>
      <c r="AB123" s="115" t="str">
        <f>IF(Table2[[#This Row],[Defect Detected On Date ]]="","",TEXT(Table2[[#This Row],[Defect Detected On Date ]],"mmm"))</f>
        <v/>
      </c>
      <c r="AE123" s="63"/>
    </row>
    <row r="124" spans="2:31">
      <c r="B124" s="100"/>
      <c r="C124" s="100"/>
      <c r="D124" s="101"/>
      <c r="E124" s="101"/>
      <c r="F124" s="101"/>
      <c r="G124" s="102"/>
      <c r="H124" s="101"/>
      <c r="I124" s="101"/>
      <c r="J124" s="101"/>
      <c r="K124" s="101"/>
      <c r="L124" s="101"/>
      <c r="M124" s="101"/>
      <c r="N124" s="100"/>
      <c r="O124" s="100"/>
      <c r="P124" s="101"/>
      <c r="Q124" s="101"/>
      <c r="R124" s="106"/>
      <c r="S124" s="106"/>
      <c r="T124" s="100"/>
      <c r="U124" s="101"/>
      <c r="V124" s="119"/>
      <c r="W124" s="101"/>
      <c r="X124" s="101"/>
      <c r="Y124" s="101"/>
      <c r="Z124" s="101"/>
      <c r="AA124" s="112" t="str">
        <f>IF(ISNA(VLOOKUP(Table2[[#This Row],[Task ID]],Table1[],17,FALSE)),"",VLOOKUP(Table2[[#This Row],[Task ID]],Table1[],17,FALSE))</f>
        <v/>
      </c>
      <c r="AB124" s="115" t="str">
        <f>IF(Table2[[#This Row],[Defect Detected On Date ]]="","",TEXT(Table2[[#This Row],[Defect Detected On Date ]],"mmm"))</f>
        <v/>
      </c>
      <c r="AE124" s="63"/>
    </row>
    <row r="125" spans="2:31">
      <c r="B125" s="100"/>
      <c r="C125" s="100"/>
      <c r="D125" s="101"/>
      <c r="E125" s="101"/>
      <c r="F125" s="101"/>
      <c r="G125" s="102"/>
      <c r="H125" s="101"/>
      <c r="I125" s="101"/>
      <c r="J125" s="101"/>
      <c r="K125" s="101"/>
      <c r="L125" s="101"/>
      <c r="M125" s="101"/>
      <c r="N125" s="100"/>
      <c r="O125" s="100"/>
      <c r="P125" s="101"/>
      <c r="Q125" s="101"/>
      <c r="R125" s="106"/>
      <c r="S125" s="106"/>
      <c r="T125" s="100"/>
      <c r="U125" s="101"/>
      <c r="V125" s="119"/>
      <c r="W125" s="101"/>
      <c r="X125" s="101"/>
      <c r="Y125" s="101"/>
      <c r="Z125" s="101"/>
      <c r="AA125" s="112" t="str">
        <f>IF(ISNA(VLOOKUP(Table2[[#This Row],[Task ID]],Table1[],17,FALSE)),"",VLOOKUP(Table2[[#This Row],[Task ID]],Table1[],17,FALSE))</f>
        <v/>
      </c>
      <c r="AB125" s="115" t="str">
        <f>IF(Table2[[#This Row],[Defect Detected On Date ]]="","",TEXT(Table2[[#This Row],[Defect Detected On Date ]],"mmm"))</f>
        <v/>
      </c>
      <c r="AE125" s="63"/>
    </row>
    <row r="126" spans="2:31">
      <c r="B126" s="100"/>
      <c r="C126" s="100"/>
      <c r="D126" s="101"/>
      <c r="E126" s="101"/>
      <c r="F126" s="101"/>
      <c r="G126" s="102"/>
      <c r="H126" s="101"/>
      <c r="I126" s="101"/>
      <c r="J126" s="101"/>
      <c r="K126" s="101"/>
      <c r="L126" s="101"/>
      <c r="M126" s="101"/>
      <c r="N126" s="100"/>
      <c r="O126" s="100"/>
      <c r="P126" s="101"/>
      <c r="Q126" s="101"/>
      <c r="R126" s="106"/>
      <c r="S126" s="106"/>
      <c r="T126" s="100"/>
      <c r="U126" s="101"/>
      <c r="V126" s="119"/>
      <c r="W126" s="101"/>
      <c r="X126" s="101"/>
      <c r="Y126" s="101"/>
      <c r="Z126" s="101"/>
      <c r="AA126" s="112" t="str">
        <f>IF(ISNA(VLOOKUP(Table2[[#This Row],[Task ID]],Table1[],17,FALSE)),"",VLOOKUP(Table2[[#This Row],[Task ID]],Table1[],17,FALSE))</f>
        <v/>
      </c>
      <c r="AB126" s="115" t="str">
        <f>IF(Table2[[#This Row],[Defect Detected On Date ]]="","",TEXT(Table2[[#This Row],[Defect Detected On Date ]],"mmm"))</f>
        <v/>
      </c>
      <c r="AE126" s="63"/>
    </row>
    <row r="127" spans="2:31">
      <c r="B127" s="100"/>
      <c r="C127" s="100"/>
      <c r="D127" s="101"/>
      <c r="E127" s="101"/>
      <c r="F127" s="101"/>
      <c r="G127" s="102"/>
      <c r="H127" s="101"/>
      <c r="I127" s="101"/>
      <c r="J127" s="101"/>
      <c r="K127" s="101"/>
      <c r="L127" s="101"/>
      <c r="M127" s="101"/>
      <c r="N127" s="100"/>
      <c r="O127" s="100"/>
      <c r="P127" s="101"/>
      <c r="Q127" s="101"/>
      <c r="R127" s="106"/>
      <c r="S127" s="106"/>
      <c r="T127" s="100"/>
      <c r="U127" s="101"/>
      <c r="V127" s="119"/>
      <c r="W127" s="101"/>
      <c r="X127" s="101"/>
      <c r="Y127" s="101"/>
      <c r="Z127" s="101"/>
      <c r="AA127" s="112" t="str">
        <f>IF(ISNA(VLOOKUP(Table2[[#This Row],[Task ID]],Table1[],17,FALSE)),"",VLOOKUP(Table2[[#This Row],[Task ID]],Table1[],17,FALSE))</f>
        <v/>
      </c>
      <c r="AB127" s="115" t="str">
        <f>IF(Table2[[#This Row],[Defect Detected On Date ]]="","",TEXT(Table2[[#This Row],[Defect Detected On Date ]],"mmm"))</f>
        <v/>
      </c>
      <c r="AE127" s="63"/>
    </row>
    <row r="128" spans="2:31">
      <c r="B128" s="100"/>
      <c r="C128" s="100"/>
      <c r="D128" s="101"/>
      <c r="E128" s="101"/>
      <c r="F128" s="101"/>
      <c r="G128" s="102"/>
      <c r="H128" s="101"/>
      <c r="I128" s="101"/>
      <c r="J128" s="101"/>
      <c r="K128" s="101"/>
      <c r="L128" s="101"/>
      <c r="M128" s="101"/>
      <c r="N128" s="100"/>
      <c r="O128" s="100"/>
      <c r="P128" s="101"/>
      <c r="Q128" s="101"/>
      <c r="R128" s="106"/>
      <c r="S128" s="106"/>
      <c r="T128" s="100"/>
      <c r="U128" s="101"/>
      <c r="V128" s="119"/>
      <c r="W128" s="101"/>
      <c r="X128" s="101"/>
      <c r="Y128" s="101"/>
      <c r="Z128" s="101"/>
      <c r="AA128" s="112" t="str">
        <f>IF(ISNA(VLOOKUP(Table2[[#This Row],[Task ID]],Table1[],17,FALSE)),"",VLOOKUP(Table2[[#This Row],[Task ID]],Table1[],17,FALSE))</f>
        <v/>
      </c>
      <c r="AB128" s="115" t="str">
        <f>IF(Table2[[#This Row],[Defect Detected On Date ]]="","",TEXT(Table2[[#This Row],[Defect Detected On Date ]],"mmm"))</f>
        <v/>
      </c>
      <c r="AE128" s="63"/>
    </row>
    <row r="129" spans="2:31">
      <c r="B129" s="100"/>
      <c r="C129" s="100"/>
      <c r="D129" s="101"/>
      <c r="E129" s="101"/>
      <c r="F129" s="101"/>
      <c r="G129" s="102"/>
      <c r="H129" s="101"/>
      <c r="I129" s="101"/>
      <c r="J129" s="101"/>
      <c r="K129" s="101"/>
      <c r="L129" s="101"/>
      <c r="M129" s="101"/>
      <c r="N129" s="100"/>
      <c r="O129" s="100"/>
      <c r="P129" s="101"/>
      <c r="Q129" s="101"/>
      <c r="R129" s="106"/>
      <c r="S129" s="106"/>
      <c r="T129" s="100"/>
      <c r="U129" s="101"/>
      <c r="V129" s="119"/>
      <c r="W129" s="101"/>
      <c r="X129" s="101"/>
      <c r="Y129" s="101"/>
      <c r="Z129" s="101"/>
      <c r="AA129" s="112" t="str">
        <f>IF(ISNA(VLOOKUP(Table2[[#This Row],[Task ID]],Table1[],17,FALSE)),"",VLOOKUP(Table2[[#This Row],[Task ID]],Table1[],17,FALSE))</f>
        <v/>
      </c>
      <c r="AB129" s="115" t="str">
        <f>IF(Table2[[#This Row],[Defect Detected On Date ]]="","",TEXT(Table2[[#This Row],[Defect Detected On Date ]],"mmm"))</f>
        <v/>
      </c>
      <c r="AE129" s="63"/>
    </row>
    <row r="130" spans="2:31">
      <c r="B130" s="100"/>
      <c r="C130" s="100"/>
      <c r="D130" s="101"/>
      <c r="E130" s="101"/>
      <c r="F130" s="101"/>
      <c r="G130" s="102"/>
      <c r="H130" s="101"/>
      <c r="I130" s="101"/>
      <c r="J130" s="101"/>
      <c r="K130" s="101"/>
      <c r="L130" s="101"/>
      <c r="M130" s="101"/>
      <c r="N130" s="100"/>
      <c r="O130" s="100"/>
      <c r="P130" s="101"/>
      <c r="Q130" s="101"/>
      <c r="R130" s="106"/>
      <c r="S130" s="106"/>
      <c r="T130" s="100"/>
      <c r="U130" s="101"/>
      <c r="V130" s="119"/>
      <c r="W130" s="101"/>
      <c r="X130" s="101"/>
      <c r="Y130" s="101"/>
      <c r="Z130" s="101"/>
      <c r="AA130" s="112" t="str">
        <f>IF(ISNA(VLOOKUP(Table2[[#This Row],[Task ID]],Table1[],17,FALSE)),"",VLOOKUP(Table2[[#This Row],[Task ID]],Table1[],17,FALSE))</f>
        <v/>
      </c>
      <c r="AB130" s="115" t="str">
        <f>IF(Table2[[#This Row],[Defect Detected On Date ]]="","",TEXT(Table2[[#This Row],[Defect Detected On Date ]],"mmm"))</f>
        <v/>
      </c>
      <c r="AE130" s="63"/>
    </row>
    <row r="131" spans="2:31">
      <c r="B131" s="100"/>
      <c r="C131" s="100"/>
      <c r="D131" s="101"/>
      <c r="E131" s="101"/>
      <c r="F131" s="101"/>
      <c r="G131" s="102"/>
      <c r="H131" s="101"/>
      <c r="I131" s="101"/>
      <c r="J131" s="101"/>
      <c r="K131" s="101"/>
      <c r="L131" s="101"/>
      <c r="M131" s="101"/>
      <c r="N131" s="100"/>
      <c r="O131" s="100"/>
      <c r="P131" s="101"/>
      <c r="Q131" s="101"/>
      <c r="R131" s="106"/>
      <c r="S131" s="106"/>
      <c r="T131" s="100"/>
      <c r="U131" s="101"/>
      <c r="V131" s="118"/>
      <c r="W131" s="101"/>
      <c r="X131" s="101"/>
      <c r="Y131" s="101"/>
      <c r="Z131" s="101"/>
      <c r="AA131" s="112" t="str">
        <f>IF(ISNA(VLOOKUP(Table2[[#This Row],[Task ID]],Table1[],17,FALSE)),"",VLOOKUP(Table2[[#This Row],[Task ID]],Table1[],17,FALSE))</f>
        <v/>
      </c>
      <c r="AB131" s="115" t="str">
        <f>IF(Table2[[#This Row],[Defect Detected On Date ]]="","",TEXT(Table2[[#This Row],[Defect Detected On Date ]],"mmm"))</f>
        <v/>
      </c>
      <c r="AE131" s="63"/>
    </row>
    <row r="132" spans="2:31">
      <c r="B132" s="100"/>
      <c r="C132" s="100"/>
      <c r="D132" s="101"/>
      <c r="E132" s="101"/>
      <c r="F132" s="101"/>
      <c r="G132" s="102"/>
      <c r="H132" s="101"/>
      <c r="I132" s="101"/>
      <c r="J132" s="101"/>
      <c r="K132" s="101"/>
      <c r="L132" s="101"/>
      <c r="M132" s="101"/>
      <c r="N132" s="100"/>
      <c r="O132" s="100"/>
      <c r="P132" s="101"/>
      <c r="Q132" s="101"/>
      <c r="R132" s="106"/>
      <c r="S132" s="106"/>
      <c r="T132" s="100"/>
      <c r="U132" s="101"/>
      <c r="V132" s="119"/>
      <c r="W132" s="101"/>
      <c r="X132" s="101"/>
      <c r="Y132" s="101"/>
      <c r="Z132" s="101"/>
      <c r="AA132" s="112" t="str">
        <f>IF(ISNA(VLOOKUP(Table2[[#This Row],[Task ID]],Table1[],17,FALSE)),"",VLOOKUP(Table2[[#This Row],[Task ID]],Table1[],17,FALSE))</f>
        <v/>
      </c>
      <c r="AB132" s="115" t="str">
        <f>IF(Table2[[#This Row],[Defect Detected On Date ]]="","",TEXT(Table2[[#This Row],[Defect Detected On Date ]],"mmm"))</f>
        <v/>
      </c>
      <c r="AE132" s="63"/>
    </row>
    <row r="133" spans="2:31">
      <c r="B133" s="100"/>
      <c r="C133" s="100"/>
      <c r="D133" s="101"/>
      <c r="E133" s="101"/>
      <c r="F133" s="101"/>
      <c r="G133" s="102"/>
      <c r="H133" s="101"/>
      <c r="I133" s="101"/>
      <c r="J133" s="101"/>
      <c r="K133" s="101"/>
      <c r="L133" s="116"/>
      <c r="M133" s="101"/>
      <c r="N133" s="100"/>
      <c r="O133" s="100"/>
      <c r="P133" s="101"/>
      <c r="Q133" s="101"/>
      <c r="R133" s="106"/>
      <c r="S133" s="106"/>
      <c r="T133" s="100"/>
      <c r="U133" s="101"/>
      <c r="V133" s="119"/>
      <c r="W133" s="101"/>
      <c r="X133" s="101"/>
      <c r="Y133" s="101"/>
      <c r="Z133" s="101"/>
      <c r="AA133" s="112" t="str">
        <f>IF(ISNA(VLOOKUP(Table2[[#This Row],[Task ID]],Table1[],17,FALSE)),"",VLOOKUP(Table2[[#This Row],[Task ID]],Table1[],17,FALSE))</f>
        <v/>
      </c>
      <c r="AB133" s="115" t="str">
        <f>IF(Table2[[#This Row],[Defect Detected On Date ]]="","",TEXT(Table2[[#This Row],[Defect Detected On Date ]],"mmm"))</f>
        <v/>
      </c>
      <c r="AE133" s="63"/>
    </row>
    <row r="134" spans="2:31">
      <c r="B134" s="100"/>
      <c r="C134" s="100"/>
      <c r="D134" s="101"/>
      <c r="E134" s="101"/>
      <c r="F134" s="101"/>
      <c r="G134" s="102"/>
      <c r="H134" s="101"/>
      <c r="I134" s="101"/>
      <c r="J134" s="101"/>
      <c r="K134" s="101"/>
      <c r="L134" s="116"/>
      <c r="M134" s="101"/>
      <c r="N134" s="100"/>
      <c r="O134" s="100"/>
      <c r="P134" s="101"/>
      <c r="Q134" s="101"/>
      <c r="R134" s="106"/>
      <c r="S134" s="106"/>
      <c r="T134" s="100"/>
      <c r="U134" s="101"/>
      <c r="V134" s="119"/>
      <c r="W134" s="101"/>
      <c r="X134" s="101"/>
      <c r="Y134" s="101"/>
      <c r="Z134" s="101"/>
      <c r="AA134" s="112" t="str">
        <f>IF(ISNA(VLOOKUP(Table2[[#This Row],[Task ID]],Table1[],17,FALSE)),"",VLOOKUP(Table2[[#This Row],[Task ID]],Table1[],17,FALSE))</f>
        <v/>
      </c>
      <c r="AB134" s="115" t="str">
        <f>IF(Table2[[#This Row],[Defect Detected On Date ]]="","",TEXT(Table2[[#This Row],[Defect Detected On Date ]],"mmm"))</f>
        <v/>
      </c>
      <c r="AE134" s="63"/>
    </row>
    <row r="135" spans="2:31">
      <c r="B135" s="100"/>
      <c r="C135" s="100"/>
      <c r="D135" s="101"/>
      <c r="E135" s="101"/>
      <c r="F135" s="101"/>
      <c r="G135" s="102"/>
      <c r="H135" s="101"/>
      <c r="I135" s="101"/>
      <c r="J135" s="101"/>
      <c r="K135" s="101"/>
      <c r="L135" s="101"/>
      <c r="M135" s="101"/>
      <c r="N135" s="100"/>
      <c r="O135" s="100"/>
      <c r="P135" s="101"/>
      <c r="Q135" s="101"/>
      <c r="R135" s="106"/>
      <c r="S135" s="106"/>
      <c r="T135" s="100"/>
      <c r="U135" s="101"/>
      <c r="V135" s="119"/>
      <c r="W135" s="101"/>
      <c r="X135" s="101"/>
      <c r="Y135" s="101"/>
      <c r="Z135" s="101"/>
      <c r="AA135" s="112" t="str">
        <f>IF(ISNA(VLOOKUP(Table2[[#This Row],[Task ID]],Table1[],17,FALSE)),"",VLOOKUP(Table2[[#This Row],[Task ID]],Table1[],17,FALSE))</f>
        <v/>
      </c>
      <c r="AB135" s="115" t="str">
        <f>IF(Table2[[#This Row],[Defect Detected On Date ]]="","",TEXT(Table2[[#This Row],[Defect Detected On Date ]],"mmm"))</f>
        <v/>
      </c>
      <c r="AE135" s="63"/>
    </row>
    <row r="136" spans="2:31">
      <c r="B136" s="100"/>
      <c r="C136" s="100"/>
      <c r="D136" s="101"/>
      <c r="E136" s="101"/>
      <c r="F136" s="101"/>
      <c r="G136" s="102"/>
      <c r="H136" s="101"/>
      <c r="I136" s="101"/>
      <c r="J136" s="101"/>
      <c r="K136" s="101"/>
      <c r="L136" s="101"/>
      <c r="M136" s="101"/>
      <c r="N136" s="100"/>
      <c r="O136" s="100"/>
      <c r="P136" s="101"/>
      <c r="Q136" s="101"/>
      <c r="R136" s="106"/>
      <c r="S136" s="106"/>
      <c r="T136" s="100"/>
      <c r="U136" s="101"/>
      <c r="V136" s="119"/>
      <c r="W136" s="101"/>
      <c r="X136" s="101"/>
      <c r="Y136" s="101"/>
      <c r="Z136" s="101"/>
      <c r="AA136" s="112" t="str">
        <f>IF(ISNA(VLOOKUP(Table2[[#This Row],[Task ID]],Table1[],17,FALSE)),"",VLOOKUP(Table2[[#This Row],[Task ID]],Table1[],17,FALSE))</f>
        <v/>
      </c>
      <c r="AB136" s="115" t="str">
        <f>IF(Table2[[#This Row],[Defect Detected On Date ]]="","",TEXT(Table2[[#This Row],[Defect Detected On Date ]],"mmm"))</f>
        <v/>
      </c>
      <c r="AE136" s="63"/>
    </row>
    <row r="137" spans="2:31">
      <c r="B137" s="100"/>
      <c r="C137" s="100"/>
      <c r="D137" s="101"/>
      <c r="E137" s="101"/>
      <c r="F137" s="101"/>
      <c r="G137" s="102"/>
      <c r="H137" s="101"/>
      <c r="I137" s="101"/>
      <c r="J137" s="101"/>
      <c r="K137" s="101"/>
      <c r="L137" s="101"/>
      <c r="M137" s="101"/>
      <c r="N137" s="100"/>
      <c r="O137" s="100"/>
      <c r="P137" s="101"/>
      <c r="Q137" s="101"/>
      <c r="R137" s="106"/>
      <c r="S137" s="106"/>
      <c r="T137" s="100"/>
      <c r="U137" s="101"/>
      <c r="V137" s="119"/>
      <c r="W137" s="101"/>
      <c r="X137" s="101"/>
      <c r="Y137" s="101"/>
      <c r="Z137" s="101"/>
      <c r="AA137" s="112" t="str">
        <f>IF(ISNA(VLOOKUP(Table2[[#This Row],[Task ID]],Table1[],17,FALSE)),"",VLOOKUP(Table2[[#This Row],[Task ID]],Table1[],17,FALSE))</f>
        <v/>
      </c>
      <c r="AB137" s="115" t="str">
        <f>IF(Table2[[#This Row],[Defect Detected On Date ]]="","",TEXT(Table2[[#This Row],[Defect Detected On Date ]],"mmm"))</f>
        <v/>
      </c>
      <c r="AE137" s="63"/>
    </row>
    <row r="138" spans="2:31">
      <c r="B138" s="100"/>
      <c r="C138" s="100"/>
      <c r="D138" s="101"/>
      <c r="E138" s="101"/>
      <c r="F138" s="101"/>
      <c r="G138" s="102"/>
      <c r="H138" s="101"/>
      <c r="I138" s="101"/>
      <c r="J138" s="101"/>
      <c r="K138" s="101"/>
      <c r="L138" s="101"/>
      <c r="M138" s="101"/>
      <c r="N138" s="100"/>
      <c r="O138" s="100"/>
      <c r="P138" s="101"/>
      <c r="Q138" s="101"/>
      <c r="R138" s="106"/>
      <c r="S138" s="106"/>
      <c r="T138" s="100"/>
      <c r="U138" s="101"/>
      <c r="V138" s="119"/>
      <c r="W138" s="101"/>
      <c r="X138" s="101"/>
      <c r="Y138" s="101"/>
      <c r="Z138" s="101"/>
      <c r="AA138" s="112" t="str">
        <f>IF(ISNA(VLOOKUP(Table2[[#This Row],[Task ID]],Table1[],17,FALSE)),"",VLOOKUP(Table2[[#This Row],[Task ID]],Table1[],17,FALSE))</f>
        <v/>
      </c>
      <c r="AB138" s="115" t="str">
        <f>IF(Table2[[#This Row],[Defect Detected On Date ]]="","",TEXT(Table2[[#This Row],[Defect Detected On Date ]],"mmm"))</f>
        <v/>
      </c>
      <c r="AE138" s="63"/>
    </row>
    <row r="139" spans="2:31">
      <c r="B139" s="100"/>
      <c r="C139" s="100"/>
      <c r="D139" s="101"/>
      <c r="E139" s="101"/>
      <c r="F139" s="101"/>
      <c r="G139" s="102"/>
      <c r="H139" s="101"/>
      <c r="I139" s="101"/>
      <c r="J139" s="101"/>
      <c r="K139" s="101"/>
      <c r="L139" s="101"/>
      <c r="M139" s="101"/>
      <c r="N139" s="100"/>
      <c r="O139" s="100"/>
      <c r="P139" s="101"/>
      <c r="Q139" s="101"/>
      <c r="R139" s="106"/>
      <c r="S139" s="106"/>
      <c r="T139" s="100"/>
      <c r="U139" s="101"/>
      <c r="V139" s="119"/>
      <c r="W139" s="101"/>
      <c r="X139" s="101"/>
      <c r="Y139" s="101"/>
      <c r="Z139" s="101"/>
      <c r="AA139" s="112" t="str">
        <f>IF(ISNA(VLOOKUP(Table2[[#This Row],[Task ID]],Table1[],17,FALSE)),"",VLOOKUP(Table2[[#This Row],[Task ID]],Table1[],17,FALSE))</f>
        <v/>
      </c>
      <c r="AB139" s="115" t="str">
        <f>IF(Table2[[#This Row],[Defect Detected On Date ]]="","",TEXT(Table2[[#This Row],[Defect Detected On Date ]],"mmm"))</f>
        <v/>
      </c>
      <c r="AE139" s="63"/>
    </row>
    <row r="140" spans="2:31">
      <c r="B140" s="100"/>
      <c r="C140" s="100"/>
      <c r="D140" s="101"/>
      <c r="E140" s="101"/>
      <c r="F140" s="101"/>
      <c r="G140" s="102"/>
      <c r="H140" s="101"/>
      <c r="I140" s="101"/>
      <c r="J140" s="101"/>
      <c r="K140" s="101"/>
      <c r="L140" s="101"/>
      <c r="M140" s="101"/>
      <c r="N140" s="100"/>
      <c r="O140" s="100"/>
      <c r="P140" s="101"/>
      <c r="Q140" s="101"/>
      <c r="R140" s="106"/>
      <c r="S140" s="106"/>
      <c r="T140" s="100"/>
      <c r="U140" s="101"/>
      <c r="V140" s="119"/>
      <c r="W140" s="101"/>
      <c r="X140" s="101"/>
      <c r="Y140" s="101"/>
      <c r="Z140" s="101"/>
      <c r="AA140" s="112" t="str">
        <f>IF(ISNA(VLOOKUP(Table2[[#This Row],[Task ID]],Table1[],17,FALSE)),"",VLOOKUP(Table2[[#This Row],[Task ID]],Table1[],17,FALSE))</f>
        <v/>
      </c>
      <c r="AB140" s="115" t="str">
        <f>IF(Table2[[#This Row],[Defect Detected On Date ]]="","",TEXT(Table2[[#This Row],[Defect Detected On Date ]],"mmm"))</f>
        <v/>
      </c>
      <c r="AE140" s="63"/>
    </row>
    <row r="141" spans="2:31">
      <c r="B141" s="100"/>
      <c r="C141" s="100"/>
      <c r="D141" s="101"/>
      <c r="E141" s="101"/>
      <c r="F141" s="101"/>
      <c r="G141" s="102"/>
      <c r="H141" s="101"/>
      <c r="I141" s="101"/>
      <c r="J141" s="101"/>
      <c r="K141" s="101"/>
      <c r="L141" s="101"/>
      <c r="M141" s="101"/>
      <c r="N141" s="100"/>
      <c r="O141" s="100"/>
      <c r="P141" s="101"/>
      <c r="Q141" s="101"/>
      <c r="R141" s="106"/>
      <c r="S141" s="106"/>
      <c r="T141" s="100"/>
      <c r="U141" s="101"/>
      <c r="V141" s="119"/>
      <c r="W141" s="101"/>
      <c r="X141" s="101"/>
      <c r="Y141" s="101"/>
      <c r="Z141" s="101"/>
      <c r="AA141" s="112" t="str">
        <f>IF(ISNA(VLOOKUP(Table2[[#This Row],[Task ID]],Table1[],17,FALSE)),"",VLOOKUP(Table2[[#This Row],[Task ID]],Table1[],17,FALSE))</f>
        <v/>
      </c>
      <c r="AB141" s="115" t="str">
        <f>IF(Table2[[#This Row],[Defect Detected On Date ]]="","",TEXT(Table2[[#This Row],[Defect Detected On Date ]],"mmm"))</f>
        <v/>
      </c>
      <c r="AE141" s="63"/>
    </row>
    <row r="142" spans="2:31">
      <c r="B142" s="100"/>
      <c r="C142" s="100"/>
      <c r="D142" s="101"/>
      <c r="E142" s="101"/>
      <c r="F142" s="101"/>
      <c r="G142" s="102"/>
      <c r="H142" s="101"/>
      <c r="I142" s="101"/>
      <c r="J142" s="101"/>
      <c r="K142" s="101"/>
      <c r="L142" s="101"/>
      <c r="M142" s="101"/>
      <c r="N142" s="100"/>
      <c r="O142" s="100"/>
      <c r="P142" s="101"/>
      <c r="Q142" s="101"/>
      <c r="R142" s="106"/>
      <c r="S142" s="106"/>
      <c r="T142" s="100"/>
      <c r="U142" s="101"/>
      <c r="V142" s="119"/>
      <c r="W142" s="101"/>
      <c r="X142" s="101"/>
      <c r="Y142" s="101"/>
      <c r="Z142" s="101"/>
      <c r="AA142" s="112" t="str">
        <f>IF(ISNA(VLOOKUP(Table2[[#This Row],[Task ID]],Table1[],17,FALSE)),"",VLOOKUP(Table2[[#This Row],[Task ID]],Table1[],17,FALSE))</f>
        <v/>
      </c>
      <c r="AB142" s="115" t="str">
        <f>IF(Table2[[#This Row],[Defect Detected On Date ]]="","",TEXT(Table2[[#This Row],[Defect Detected On Date ]],"mmm"))</f>
        <v/>
      </c>
      <c r="AE142" s="63"/>
    </row>
    <row r="143" spans="2:31">
      <c r="B143" s="100"/>
      <c r="C143" s="100"/>
      <c r="D143" s="101"/>
      <c r="E143" s="101"/>
      <c r="F143" s="101"/>
      <c r="G143" s="102"/>
      <c r="H143" s="101"/>
      <c r="I143" s="101"/>
      <c r="J143" s="101"/>
      <c r="K143" s="101"/>
      <c r="L143" s="101"/>
      <c r="M143" s="101"/>
      <c r="N143" s="100"/>
      <c r="O143" s="100"/>
      <c r="P143" s="101"/>
      <c r="Q143" s="101"/>
      <c r="R143" s="106"/>
      <c r="S143" s="106"/>
      <c r="T143" s="100"/>
      <c r="U143" s="101"/>
      <c r="V143" s="119"/>
      <c r="W143" s="101"/>
      <c r="X143" s="101"/>
      <c r="Y143" s="101"/>
      <c r="Z143" s="101"/>
      <c r="AA143" s="112" t="str">
        <f>IF(ISNA(VLOOKUP(Table2[[#This Row],[Task ID]],Table1[],17,FALSE)),"",VLOOKUP(Table2[[#This Row],[Task ID]],Table1[],17,FALSE))</f>
        <v/>
      </c>
      <c r="AB143" s="115" t="str">
        <f>IF(Table2[[#This Row],[Defect Detected On Date ]]="","",TEXT(Table2[[#This Row],[Defect Detected On Date ]],"mmm"))</f>
        <v/>
      </c>
      <c r="AE143" s="63"/>
    </row>
    <row r="144" spans="2:31">
      <c r="B144" s="100"/>
      <c r="C144" s="100"/>
      <c r="D144" s="101"/>
      <c r="E144" s="101"/>
      <c r="F144" s="101"/>
      <c r="G144" s="102"/>
      <c r="H144" s="101"/>
      <c r="I144" s="101"/>
      <c r="J144" s="101"/>
      <c r="K144" s="101"/>
      <c r="L144" s="101"/>
      <c r="M144" s="101"/>
      <c r="N144" s="100"/>
      <c r="O144" s="100"/>
      <c r="P144" s="101"/>
      <c r="Q144" s="101"/>
      <c r="R144" s="106"/>
      <c r="S144" s="106"/>
      <c r="T144" s="100"/>
      <c r="U144" s="101"/>
      <c r="V144" s="119"/>
      <c r="W144" s="101"/>
      <c r="X144" s="101"/>
      <c r="Y144" s="101"/>
      <c r="Z144" s="101"/>
      <c r="AA144" s="112" t="str">
        <f>IF(ISNA(VLOOKUP(Table2[[#This Row],[Task ID]],Table1[],17,FALSE)),"",VLOOKUP(Table2[[#This Row],[Task ID]],Table1[],17,FALSE))</f>
        <v/>
      </c>
      <c r="AB144" s="115" t="str">
        <f>IF(Table2[[#This Row],[Defect Detected On Date ]]="","",TEXT(Table2[[#This Row],[Defect Detected On Date ]],"mmm"))</f>
        <v/>
      </c>
      <c r="AE144" s="63"/>
    </row>
    <row r="145" spans="2:31">
      <c r="B145" s="100"/>
      <c r="C145" s="100"/>
      <c r="D145" s="101"/>
      <c r="E145" s="101"/>
      <c r="F145" s="101"/>
      <c r="G145" s="102"/>
      <c r="H145" s="101"/>
      <c r="I145" s="101"/>
      <c r="J145" s="101"/>
      <c r="K145" s="101"/>
      <c r="L145" s="101"/>
      <c r="M145" s="101"/>
      <c r="N145" s="100"/>
      <c r="O145" s="100"/>
      <c r="P145" s="101"/>
      <c r="Q145" s="101"/>
      <c r="R145" s="106"/>
      <c r="S145" s="106"/>
      <c r="T145" s="100"/>
      <c r="U145" s="101"/>
      <c r="V145" s="119"/>
      <c r="W145" s="101"/>
      <c r="X145" s="101"/>
      <c r="Y145" s="101"/>
      <c r="Z145" s="101"/>
      <c r="AA145" s="112" t="str">
        <f>IF(ISNA(VLOOKUP(Table2[[#This Row],[Task ID]],Table1[],17,FALSE)),"",VLOOKUP(Table2[[#This Row],[Task ID]],Table1[],17,FALSE))</f>
        <v/>
      </c>
      <c r="AB145" s="115" t="str">
        <f>IF(Table2[[#This Row],[Defect Detected On Date ]]="","",TEXT(Table2[[#This Row],[Defect Detected On Date ]],"mmm"))</f>
        <v/>
      </c>
      <c r="AE145" s="63"/>
    </row>
    <row r="146" spans="2:31">
      <c r="B146" s="100"/>
      <c r="C146" s="100"/>
      <c r="D146" s="101"/>
      <c r="E146" s="101"/>
      <c r="F146" s="101"/>
      <c r="G146" s="102"/>
      <c r="H146" s="101"/>
      <c r="I146" s="101"/>
      <c r="J146" s="101"/>
      <c r="K146" s="101"/>
      <c r="L146" s="101"/>
      <c r="M146" s="101"/>
      <c r="N146" s="100"/>
      <c r="O146" s="100"/>
      <c r="P146" s="101"/>
      <c r="Q146" s="101"/>
      <c r="R146" s="106"/>
      <c r="S146" s="106"/>
      <c r="T146" s="100"/>
      <c r="U146" s="101"/>
      <c r="V146" s="119"/>
      <c r="W146" s="101"/>
      <c r="X146" s="101"/>
      <c r="Y146" s="101"/>
      <c r="Z146" s="101"/>
      <c r="AA146" s="112" t="str">
        <f>IF(ISNA(VLOOKUP(Table2[[#This Row],[Task ID]],Table1[],17,FALSE)),"",VLOOKUP(Table2[[#This Row],[Task ID]],Table1[],17,FALSE))</f>
        <v/>
      </c>
      <c r="AB146" s="115" t="str">
        <f>IF(Table2[[#This Row],[Defect Detected On Date ]]="","",TEXT(Table2[[#This Row],[Defect Detected On Date ]],"mmm"))</f>
        <v/>
      </c>
      <c r="AE146" s="63"/>
    </row>
    <row r="147" spans="2:31">
      <c r="B147" s="100"/>
      <c r="C147" s="100"/>
      <c r="D147" s="101"/>
      <c r="E147" s="101"/>
      <c r="F147" s="101"/>
      <c r="G147" s="102"/>
      <c r="H147" s="101"/>
      <c r="I147" s="101"/>
      <c r="J147" s="101"/>
      <c r="K147" s="101"/>
      <c r="L147" s="101"/>
      <c r="M147" s="101"/>
      <c r="N147" s="100"/>
      <c r="O147" s="100"/>
      <c r="P147" s="101"/>
      <c r="Q147" s="101"/>
      <c r="R147" s="106"/>
      <c r="S147" s="106"/>
      <c r="T147" s="100"/>
      <c r="U147" s="101"/>
      <c r="V147" s="119"/>
      <c r="W147" s="101"/>
      <c r="X147" s="101"/>
      <c r="Y147" s="101"/>
      <c r="Z147" s="101"/>
      <c r="AA147" s="112" t="str">
        <f>IF(ISNA(VLOOKUP(Table2[[#This Row],[Task ID]],Table1[],17,FALSE)),"",VLOOKUP(Table2[[#This Row],[Task ID]],Table1[],17,FALSE))</f>
        <v/>
      </c>
      <c r="AB147" s="115" t="str">
        <f>IF(Table2[[#This Row],[Defect Detected On Date ]]="","",TEXT(Table2[[#This Row],[Defect Detected On Date ]],"mmm"))</f>
        <v/>
      </c>
      <c r="AE147" s="63"/>
    </row>
    <row r="148" spans="2:31">
      <c r="B148" s="100"/>
      <c r="C148" s="100"/>
      <c r="D148" s="101"/>
      <c r="E148" s="101"/>
      <c r="F148" s="101"/>
      <c r="G148" s="102"/>
      <c r="H148" s="101"/>
      <c r="I148" s="101"/>
      <c r="J148" s="101"/>
      <c r="K148" s="101"/>
      <c r="L148" s="101"/>
      <c r="M148" s="101"/>
      <c r="N148" s="100"/>
      <c r="O148" s="100"/>
      <c r="P148" s="101"/>
      <c r="Q148" s="101"/>
      <c r="R148" s="106"/>
      <c r="S148" s="106"/>
      <c r="T148" s="100"/>
      <c r="U148" s="101"/>
      <c r="V148" s="119"/>
      <c r="W148" s="101"/>
      <c r="X148" s="101"/>
      <c r="Y148" s="101"/>
      <c r="Z148" s="101"/>
      <c r="AA148" s="112" t="str">
        <f>IF(ISNA(VLOOKUP(Table2[[#This Row],[Task ID]],Table1[],17,FALSE)),"",VLOOKUP(Table2[[#This Row],[Task ID]],Table1[],17,FALSE))</f>
        <v/>
      </c>
      <c r="AB148" s="115" t="str">
        <f>IF(Table2[[#This Row],[Defect Detected On Date ]]="","",TEXT(Table2[[#This Row],[Defect Detected On Date ]],"mmm"))</f>
        <v/>
      </c>
      <c r="AE148" s="63"/>
    </row>
    <row r="149" spans="2:31">
      <c r="B149" s="100"/>
      <c r="C149" s="100"/>
      <c r="D149" s="101"/>
      <c r="E149" s="101"/>
      <c r="F149" s="101"/>
      <c r="G149" s="102"/>
      <c r="H149" s="101"/>
      <c r="I149" s="101"/>
      <c r="J149" s="101"/>
      <c r="K149" s="101"/>
      <c r="L149" s="116"/>
      <c r="M149" s="101"/>
      <c r="N149" s="100"/>
      <c r="O149" s="100"/>
      <c r="P149" s="101"/>
      <c r="Q149" s="101"/>
      <c r="R149" s="106"/>
      <c r="S149" s="106"/>
      <c r="T149" s="100"/>
      <c r="U149" s="101"/>
      <c r="V149" s="119"/>
      <c r="W149" s="101"/>
      <c r="X149" s="101"/>
      <c r="Y149" s="101"/>
      <c r="Z149" s="116"/>
      <c r="AA149" s="112" t="str">
        <f>IF(ISNA(VLOOKUP(Table2[[#This Row],[Task ID]],Table1[],17,FALSE)),"",VLOOKUP(Table2[[#This Row],[Task ID]],Table1[],17,FALSE))</f>
        <v/>
      </c>
      <c r="AB149" s="115" t="str">
        <f>IF(Table2[[#This Row],[Defect Detected On Date ]]="","",TEXT(Table2[[#This Row],[Defect Detected On Date ]],"mmm"))</f>
        <v/>
      </c>
      <c r="AE149" s="63"/>
    </row>
    <row r="150" spans="2:31">
      <c r="B150" s="100"/>
      <c r="C150" s="100"/>
      <c r="D150" s="101"/>
      <c r="E150" s="101"/>
      <c r="F150" s="101"/>
      <c r="G150" s="102"/>
      <c r="H150" s="101"/>
      <c r="I150" s="101"/>
      <c r="J150" s="101"/>
      <c r="K150" s="101"/>
      <c r="L150" s="116"/>
      <c r="M150" s="101"/>
      <c r="N150" s="100"/>
      <c r="O150" s="100"/>
      <c r="P150" s="101"/>
      <c r="Q150" s="101"/>
      <c r="R150" s="106"/>
      <c r="S150" s="106"/>
      <c r="T150" s="100"/>
      <c r="U150" s="101"/>
      <c r="V150" s="119"/>
      <c r="W150" s="101"/>
      <c r="X150" s="101"/>
      <c r="Y150" s="101"/>
      <c r="Z150" s="116"/>
      <c r="AA150" s="112" t="str">
        <f>IF(ISNA(VLOOKUP(Table2[[#This Row],[Task ID]],Table1[],17,FALSE)),"",VLOOKUP(Table2[[#This Row],[Task ID]],Table1[],17,FALSE))</f>
        <v/>
      </c>
      <c r="AB150" s="115" t="str">
        <f>IF(Table2[[#This Row],[Defect Detected On Date ]]="","",TEXT(Table2[[#This Row],[Defect Detected On Date ]],"mmm"))</f>
        <v/>
      </c>
      <c r="AE150" s="63"/>
    </row>
    <row r="151" spans="2:31">
      <c r="B151" s="100"/>
      <c r="C151" s="100"/>
      <c r="D151" s="101"/>
      <c r="E151" s="101"/>
      <c r="F151" s="101"/>
      <c r="G151" s="102"/>
      <c r="H151" s="101"/>
      <c r="I151" s="101"/>
      <c r="J151" s="101"/>
      <c r="K151" s="101"/>
      <c r="L151" s="116"/>
      <c r="M151" s="101"/>
      <c r="N151" s="100"/>
      <c r="O151" s="100"/>
      <c r="P151" s="101"/>
      <c r="Q151" s="101"/>
      <c r="R151" s="106"/>
      <c r="S151" s="106"/>
      <c r="T151" s="100"/>
      <c r="U151" s="101"/>
      <c r="V151" s="119"/>
      <c r="W151" s="101"/>
      <c r="X151" s="101"/>
      <c r="Y151" s="101"/>
      <c r="Z151" s="116"/>
      <c r="AA151" s="112" t="str">
        <f>IF(ISNA(VLOOKUP(Table2[[#This Row],[Task ID]],Table1[],17,FALSE)),"",VLOOKUP(Table2[[#This Row],[Task ID]],Table1[],17,FALSE))</f>
        <v/>
      </c>
      <c r="AB151" s="115" t="str">
        <f>IF(Table2[[#This Row],[Defect Detected On Date ]]="","",TEXT(Table2[[#This Row],[Defect Detected On Date ]],"mmm"))</f>
        <v/>
      </c>
      <c r="AE151" s="63"/>
    </row>
    <row r="152" spans="2:31">
      <c r="B152" s="100"/>
      <c r="C152" s="100"/>
      <c r="D152" s="101"/>
      <c r="E152" s="101"/>
      <c r="F152" s="101"/>
      <c r="G152" s="102"/>
      <c r="H152" s="101"/>
      <c r="I152" s="101"/>
      <c r="J152" s="101"/>
      <c r="K152" s="101"/>
      <c r="L152" s="116"/>
      <c r="M152" s="101"/>
      <c r="N152" s="100"/>
      <c r="O152" s="100"/>
      <c r="P152" s="101"/>
      <c r="Q152" s="101"/>
      <c r="R152" s="106"/>
      <c r="S152" s="106"/>
      <c r="T152" s="100"/>
      <c r="U152" s="101"/>
      <c r="V152" s="119"/>
      <c r="W152" s="101"/>
      <c r="X152" s="101"/>
      <c r="Y152" s="101"/>
      <c r="Z152" s="116"/>
      <c r="AA152" s="112" t="str">
        <f>IF(ISNA(VLOOKUP(Table2[[#This Row],[Task ID]],Table1[],17,FALSE)),"",VLOOKUP(Table2[[#This Row],[Task ID]],Table1[],17,FALSE))</f>
        <v/>
      </c>
      <c r="AB152" s="115" t="str">
        <f>IF(Table2[[#This Row],[Defect Detected On Date ]]="","",TEXT(Table2[[#This Row],[Defect Detected On Date ]],"mmm"))</f>
        <v/>
      </c>
      <c r="AE152" s="63"/>
    </row>
    <row r="153" spans="2:31">
      <c r="B153" s="100"/>
      <c r="C153" s="100"/>
      <c r="D153" s="101"/>
      <c r="E153" s="101"/>
      <c r="F153" s="101"/>
      <c r="G153" s="102"/>
      <c r="H153" s="101"/>
      <c r="I153" s="101"/>
      <c r="J153" s="101"/>
      <c r="K153" s="101"/>
      <c r="L153" s="116"/>
      <c r="M153" s="101"/>
      <c r="N153" s="100"/>
      <c r="O153" s="100"/>
      <c r="P153" s="101"/>
      <c r="Q153" s="101"/>
      <c r="R153" s="106"/>
      <c r="S153" s="106"/>
      <c r="T153" s="100"/>
      <c r="U153" s="101"/>
      <c r="V153" s="119"/>
      <c r="W153" s="101"/>
      <c r="X153" s="101"/>
      <c r="Y153" s="101"/>
      <c r="Z153" s="116"/>
      <c r="AA153" s="112" t="str">
        <f>IF(ISNA(VLOOKUP(Table2[[#This Row],[Task ID]],Table1[],17,FALSE)),"",VLOOKUP(Table2[[#This Row],[Task ID]],Table1[],17,FALSE))</f>
        <v/>
      </c>
      <c r="AB153" s="115" t="str">
        <f>IF(Table2[[#This Row],[Defect Detected On Date ]]="","",TEXT(Table2[[#This Row],[Defect Detected On Date ]],"mmm"))</f>
        <v/>
      </c>
      <c r="AE153" s="63"/>
    </row>
    <row r="154" spans="2:31">
      <c r="B154" s="100"/>
      <c r="C154" s="100"/>
      <c r="D154" s="101"/>
      <c r="E154" s="101"/>
      <c r="F154" s="101"/>
      <c r="G154" s="102"/>
      <c r="H154" s="101"/>
      <c r="I154" s="101"/>
      <c r="J154" s="101"/>
      <c r="K154" s="101"/>
      <c r="L154" s="116"/>
      <c r="M154" s="101"/>
      <c r="N154" s="100"/>
      <c r="O154" s="100"/>
      <c r="P154" s="101"/>
      <c r="Q154" s="101"/>
      <c r="R154" s="106"/>
      <c r="S154" s="106"/>
      <c r="T154" s="100"/>
      <c r="U154" s="101"/>
      <c r="V154" s="119"/>
      <c r="W154" s="101"/>
      <c r="X154" s="101"/>
      <c r="Y154" s="101"/>
      <c r="Z154" s="116"/>
      <c r="AA154" s="112" t="str">
        <f>IF(ISNA(VLOOKUP(Table2[[#This Row],[Task ID]],Table1[],17,FALSE)),"",VLOOKUP(Table2[[#This Row],[Task ID]],Table1[],17,FALSE))</f>
        <v/>
      </c>
      <c r="AB154" s="115" t="str">
        <f>IF(Table2[[#This Row],[Defect Detected On Date ]]="","",TEXT(Table2[[#This Row],[Defect Detected On Date ]],"mmm"))</f>
        <v/>
      </c>
      <c r="AE154" s="63"/>
    </row>
    <row r="155" spans="2:31">
      <c r="B155" s="100"/>
      <c r="C155" s="100"/>
      <c r="D155" s="101"/>
      <c r="E155" s="101"/>
      <c r="F155" s="101"/>
      <c r="G155" s="102"/>
      <c r="H155" s="101"/>
      <c r="I155" s="101"/>
      <c r="J155" s="101"/>
      <c r="K155" s="101"/>
      <c r="L155" s="120"/>
      <c r="M155" s="101"/>
      <c r="N155" s="100"/>
      <c r="O155" s="100"/>
      <c r="P155" s="101"/>
      <c r="Q155" s="101"/>
      <c r="R155" s="106"/>
      <c r="S155" s="106"/>
      <c r="T155" s="100"/>
      <c r="U155" s="101"/>
      <c r="V155" s="119"/>
      <c r="W155" s="101"/>
      <c r="X155" s="101"/>
      <c r="Y155" s="101"/>
      <c r="Z155" s="120"/>
      <c r="AA155" s="112" t="str">
        <f>IF(ISNA(VLOOKUP(Table2[[#This Row],[Task ID]],Table1[],17,FALSE)),"",VLOOKUP(Table2[[#This Row],[Task ID]],Table1[],17,FALSE))</f>
        <v/>
      </c>
      <c r="AB155" s="115" t="str">
        <f>IF(Table2[[#This Row],[Defect Detected On Date ]]="","",TEXT(Table2[[#This Row],[Defect Detected On Date ]],"mmm"))</f>
        <v/>
      </c>
      <c r="AE155" s="63"/>
    </row>
    <row r="156" spans="2:31">
      <c r="B156" s="100"/>
      <c r="C156" s="100"/>
      <c r="D156" s="101"/>
      <c r="E156" s="101"/>
      <c r="F156" s="101"/>
      <c r="G156" s="102"/>
      <c r="H156" s="101"/>
      <c r="I156" s="101"/>
      <c r="J156" s="101"/>
      <c r="K156" s="101"/>
      <c r="L156" s="120"/>
      <c r="M156" s="101"/>
      <c r="N156" s="100"/>
      <c r="O156" s="100"/>
      <c r="P156" s="101"/>
      <c r="Q156" s="101"/>
      <c r="R156" s="106"/>
      <c r="S156" s="106"/>
      <c r="T156" s="100"/>
      <c r="U156" s="101"/>
      <c r="V156" s="119"/>
      <c r="W156" s="101"/>
      <c r="X156" s="101"/>
      <c r="Y156" s="101"/>
      <c r="Z156" s="120"/>
      <c r="AA156" s="112" t="str">
        <f>IF(ISNA(VLOOKUP(Table2[[#This Row],[Task ID]],Table1[],17,FALSE)),"",VLOOKUP(Table2[[#This Row],[Task ID]],Table1[],17,FALSE))</f>
        <v/>
      </c>
      <c r="AB156" s="115" t="str">
        <f>IF(Table2[[#This Row],[Defect Detected On Date ]]="","",TEXT(Table2[[#This Row],[Defect Detected On Date ]],"mmm"))</f>
        <v/>
      </c>
      <c r="AE156" s="63"/>
    </row>
    <row r="157" spans="2:31">
      <c r="B157" s="100"/>
      <c r="C157" s="100"/>
      <c r="D157" s="101"/>
      <c r="E157" s="101"/>
      <c r="F157" s="101"/>
      <c r="G157" s="102"/>
      <c r="H157" s="101"/>
      <c r="I157" s="101"/>
      <c r="J157" s="101"/>
      <c r="K157" s="101"/>
      <c r="L157" s="120"/>
      <c r="M157" s="101"/>
      <c r="N157" s="100"/>
      <c r="O157" s="100"/>
      <c r="P157" s="101"/>
      <c r="Q157" s="101"/>
      <c r="R157" s="106"/>
      <c r="S157" s="106"/>
      <c r="T157" s="100"/>
      <c r="U157" s="101"/>
      <c r="V157" s="119"/>
      <c r="W157" s="101"/>
      <c r="X157" s="101"/>
      <c r="Y157" s="101"/>
      <c r="Z157" s="120"/>
      <c r="AA157" s="112" t="str">
        <f>IF(ISNA(VLOOKUP(Table2[[#This Row],[Task ID]],Table1[],17,FALSE)),"",VLOOKUP(Table2[[#This Row],[Task ID]],Table1[],17,FALSE))</f>
        <v/>
      </c>
      <c r="AB157" s="115" t="str">
        <f>IF(Table2[[#This Row],[Defect Detected On Date ]]="","",TEXT(Table2[[#This Row],[Defect Detected On Date ]],"mmm"))</f>
        <v/>
      </c>
      <c r="AE157" s="63"/>
    </row>
    <row r="158" spans="2:31">
      <c r="B158" s="100"/>
      <c r="C158" s="100"/>
      <c r="D158" s="101"/>
      <c r="E158" s="101"/>
      <c r="F158" s="101"/>
      <c r="G158" s="102"/>
      <c r="H158" s="101"/>
      <c r="I158" s="101"/>
      <c r="J158" s="101"/>
      <c r="K158" s="101"/>
      <c r="L158" s="120"/>
      <c r="M158" s="101"/>
      <c r="N158" s="100"/>
      <c r="O158" s="100"/>
      <c r="P158" s="101"/>
      <c r="Q158" s="101"/>
      <c r="R158" s="106"/>
      <c r="S158" s="106"/>
      <c r="T158" s="100"/>
      <c r="U158" s="101"/>
      <c r="V158" s="119"/>
      <c r="W158" s="101"/>
      <c r="X158" s="101"/>
      <c r="Y158" s="101"/>
      <c r="Z158" s="120"/>
      <c r="AA158" s="112" t="str">
        <f>IF(ISNA(VLOOKUP(Table2[[#This Row],[Task ID]],Table1[],17,FALSE)),"",VLOOKUP(Table2[[#This Row],[Task ID]],Table1[],17,FALSE))</f>
        <v/>
      </c>
      <c r="AB158" s="115" t="str">
        <f>IF(Table2[[#This Row],[Defect Detected On Date ]]="","",TEXT(Table2[[#This Row],[Defect Detected On Date ]],"mmm"))</f>
        <v/>
      </c>
      <c r="AE158" s="63"/>
    </row>
    <row r="159" spans="2:31">
      <c r="B159" s="100"/>
      <c r="C159" s="100"/>
      <c r="D159" s="101"/>
      <c r="E159" s="101"/>
      <c r="F159" s="101"/>
      <c r="G159" s="102"/>
      <c r="H159" s="101"/>
      <c r="I159" s="101"/>
      <c r="J159" s="101"/>
      <c r="K159" s="101"/>
      <c r="L159" s="120"/>
      <c r="M159" s="101"/>
      <c r="N159" s="100"/>
      <c r="O159" s="100"/>
      <c r="P159" s="101"/>
      <c r="Q159" s="101"/>
      <c r="R159" s="106"/>
      <c r="S159" s="106"/>
      <c r="T159" s="100"/>
      <c r="U159" s="101"/>
      <c r="V159" s="119"/>
      <c r="W159" s="101"/>
      <c r="X159" s="101"/>
      <c r="Y159" s="101"/>
      <c r="Z159" s="120"/>
      <c r="AA159" s="112" t="str">
        <f>IF(ISNA(VLOOKUP(Table2[[#This Row],[Task ID]],Table1[],17,FALSE)),"",VLOOKUP(Table2[[#This Row],[Task ID]],Table1[],17,FALSE))</f>
        <v/>
      </c>
      <c r="AB159" s="115" t="str">
        <f>IF(Table2[[#This Row],[Defect Detected On Date ]]="","",TEXT(Table2[[#This Row],[Defect Detected On Date ]],"mmm"))</f>
        <v/>
      </c>
      <c r="AE159" s="63"/>
    </row>
    <row r="160" spans="2:31">
      <c r="B160" s="100"/>
      <c r="C160" s="100"/>
      <c r="D160" s="101"/>
      <c r="E160" s="101"/>
      <c r="F160" s="101"/>
      <c r="G160" s="102"/>
      <c r="H160" s="101"/>
      <c r="I160" s="101"/>
      <c r="J160" s="101"/>
      <c r="K160" s="101"/>
      <c r="L160" s="120"/>
      <c r="M160" s="101"/>
      <c r="N160" s="100"/>
      <c r="O160" s="100"/>
      <c r="P160" s="101"/>
      <c r="Q160" s="101"/>
      <c r="R160" s="106"/>
      <c r="S160" s="106"/>
      <c r="T160" s="100"/>
      <c r="U160" s="101"/>
      <c r="V160" s="119"/>
      <c r="W160" s="101"/>
      <c r="X160" s="101"/>
      <c r="Y160" s="101"/>
      <c r="Z160" s="120"/>
      <c r="AA160" s="112" t="str">
        <f>IF(ISNA(VLOOKUP(Table2[[#This Row],[Task ID]],Table1[],17,FALSE)),"",VLOOKUP(Table2[[#This Row],[Task ID]],Table1[],17,FALSE))</f>
        <v/>
      </c>
      <c r="AB160" s="115" t="str">
        <f>IF(Table2[[#This Row],[Defect Detected On Date ]]="","",TEXT(Table2[[#This Row],[Defect Detected On Date ]],"mmm"))</f>
        <v/>
      </c>
      <c r="AE160" s="63"/>
    </row>
    <row r="161" spans="2:31">
      <c r="B161" s="100"/>
      <c r="C161" s="100"/>
      <c r="D161" s="101"/>
      <c r="E161" s="101"/>
      <c r="F161" s="101"/>
      <c r="G161" s="102"/>
      <c r="H161" s="101"/>
      <c r="I161" s="101"/>
      <c r="J161" s="101"/>
      <c r="K161" s="101"/>
      <c r="L161" s="120"/>
      <c r="M161" s="101"/>
      <c r="N161" s="100"/>
      <c r="O161" s="100"/>
      <c r="P161" s="101"/>
      <c r="Q161" s="101"/>
      <c r="R161" s="106"/>
      <c r="S161" s="106"/>
      <c r="T161" s="100"/>
      <c r="U161" s="101"/>
      <c r="V161" s="119"/>
      <c r="W161" s="101"/>
      <c r="X161" s="101"/>
      <c r="Y161" s="101"/>
      <c r="Z161" s="120"/>
      <c r="AA161" s="112" t="str">
        <f>IF(ISNA(VLOOKUP(Table2[[#This Row],[Task ID]],Table1[],17,FALSE)),"",VLOOKUP(Table2[[#This Row],[Task ID]],Table1[],17,FALSE))</f>
        <v/>
      </c>
      <c r="AB161" s="115" t="str">
        <f>IF(Table2[[#This Row],[Defect Detected On Date ]]="","",TEXT(Table2[[#This Row],[Defect Detected On Date ]],"mmm"))</f>
        <v/>
      </c>
      <c r="AE161" s="63"/>
    </row>
    <row r="162" spans="2:31">
      <c r="B162" s="100"/>
      <c r="C162" s="100"/>
      <c r="D162" s="101"/>
      <c r="E162" s="101"/>
      <c r="F162" s="101"/>
      <c r="G162" s="102"/>
      <c r="H162" s="101"/>
      <c r="I162" s="101"/>
      <c r="J162" s="101"/>
      <c r="K162" s="101"/>
      <c r="L162" s="120"/>
      <c r="M162" s="101"/>
      <c r="N162" s="100"/>
      <c r="O162" s="100"/>
      <c r="P162" s="101"/>
      <c r="Q162" s="101"/>
      <c r="R162" s="106"/>
      <c r="S162" s="106"/>
      <c r="T162" s="100"/>
      <c r="U162" s="101"/>
      <c r="V162" s="119"/>
      <c r="W162" s="101"/>
      <c r="X162" s="101"/>
      <c r="Y162" s="101"/>
      <c r="Z162" s="120"/>
      <c r="AA162" s="112" t="str">
        <f>IF(ISNA(VLOOKUP(Table2[[#This Row],[Task ID]],Table1[],17,FALSE)),"",VLOOKUP(Table2[[#This Row],[Task ID]],Table1[],17,FALSE))</f>
        <v/>
      </c>
      <c r="AB162" s="115" t="str">
        <f>IF(Table2[[#This Row],[Defect Detected On Date ]]="","",TEXT(Table2[[#This Row],[Defect Detected On Date ]],"mmm"))</f>
        <v/>
      </c>
      <c r="AE162" s="63"/>
    </row>
    <row r="163" spans="2:31">
      <c r="B163" s="100"/>
      <c r="C163" s="100"/>
      <c r="D163" s="101"/>
      <c r="E163" s="101"/>
      <c r="F163" s="101"/>
      <c r="G163" s="102"/>
      <c r="H163" s="101"/>
      <c r="I163" s="101"/>
      <c r="J163" s="101"/>
      <c r="K163" s="101"/>
      <c r="L163" s="101"/>
      <c r="M163" s="101"/>
      <c r="N163" s="100"/>
      <c r="O163" s="100"/>
      <c r="P163" s="101"/>
      <c r="Q163" s="101"/>
      <c r="R163" s="106"/>
      <c r="S163" s="106"/>
      <c r="T163" s="100"/>
      <c r="U163" s="101"/>
      <c r="V163" s="119"/>
      <c r="W163" s="101"/>
      <c r="X163" s="101"/>
      <c r="Y163" s="101"/>
      <c r="Z163" s="101"/>
      <c r="AA163" s="112" t="str">
        <f>IF(ISNA(VLOOKUP(Table2[[#This Row],[Task ID]],Table1[],17,FALSE)),"",VLOOKUP(Table2[[#This Row],[Task ID]],Table1[],17,FALSE))</f>
        <v/>
      </c>
      <c r="AB163" s="115" t="str">
        <f>IF(Table2[[#This Row],[Defect Detected On Date ]]="","",TEXT(Table2[[#This Row],[Defect Detected On Date ]],"mmm"))</f>
        <v/>
      </c>
      <c r="AE163" s="63"/>
    </row>
    <row r="164" spans="2:31">
      <c r="B164" s="100"/>
      <c r="C164" s="100"/>
      <c r="D164" s="101"/>
      <c r="E164" s="101"/>
      <c r="F164" s="101"/>
      <c r="G164" s="102"/>
      <c r="H164" s="101"/>
      <c r="I164" s="101"/>
      <c r="J164" s="101"/>
      <c r="K164" s="101"/>
      <c r="L164" s="101"/>
      <c r="M164" s="101"/>
      <c r="N164" s="100"/>
      <c r="O164" s="100"/>
      <c r="P164" s="101"/>
      <c r="Q164" s="101"/>
      <c r="R164" s="106"/>
      <c r="S164" s="106"/>
      <c r="T164" s="100"/>
      <c r="U164" s="101"/>
      <c r="V164" s="119"/>
      <c r="W164" s="101"/>
      <c r="X164" s="101"/>
      <c r="Y164" s="101"/>
      <c r="Z164" s="101"/>
      <c r="AA164" s="112" t="str">
        <f>IF(ISNA(VLOOKUP(Table2[[#This Row],[Task ID]],Table1[],17,FALSE)),"",VLOOKUP(Table2[[#This Row],[Task ID]],Table1[],17,FALSE))</f>
        <v/>
      </c>
      <c r="AB164" s="115" t="str">
        <f>IF(Table2[[#This Row],[Defect Detected On Date ]]="","",TEXT(Table2[[#This Row],[Defect Detected On Date ]],"mmm"))</f>
        <v/>
      </c>
      <c r="AE164" s="63"/>
    </row>
    <row r="165" spans="2:31">
      <c r="B165" s="100"/>
      <c r="C165" s="100"/>
      <c r="D165" s="101"/>
      <c r="E165" s="101"/>
      <c r="F165" s="101"/>
      <c r="G165" s="102"/>
      <c r="H165" s="101"/>
      <c r="I165" s="101"/>
      <c r="J165" s="101"/>
      <c r="K165" s="101"/>
      <c r="L165" s="101"/>
      <c r="M165" s="101"/>
      <c r="N165" s="100"/>
      <c r="O165" s="100"/>
      <c r="P165" s="101"/>
      <c r="Q165" s="101"/>
      <c r="R165" s="106"/>
      <c r="S165" s="106"/>
      <c r="T165" s="100"/>
      <c r="U165" s="101"/>
      <c r="V165" s="119"/>
      <c r="W165" s="101"/>
      <c r="X165" s="101"/>
      <c r="Y165" s="119"/>
      <c r="Z165" s="101"/>
      <c r="AA165" s="112" t="str">
        <f>IF(ISNA(VLOOKUP(Table2[[#This Row],[Task ID]],Table1[],17,FALSE)),"",VLOOKUP(Table2[[#This Row],[Task ID]],Table1[],17,FALSE))</f>
        <v/>
      </c>
      <c r="AB165" s="115" t="str">
        <f>IF(Table2[[#This Row],[Defect Detected On Date ]]="","",TEXT(Table2[[#This Row],[Defect Detected On Date ]],"mmm"))</f>
        <v/>
      </c>
      <c r="AE165" s="63"/>
    </row>
    <row r="166" spans="2:31">
      <c r="B166" s="100"/>
      <c r="C166" s="100"/>
      <c r="D166" s="101"/>
      <c r="E166" s="101"/>
      <c r="F166" s="101"/>
      <c r="G166" s="102"/>
      <c r="H166" s="101"/>
      <c r="I166" s="101"/>
      <c r="J166" s="101"/>
      <c r="K166" s="101"/>
      <c r="L166" s="101"/>
      <c r="M166" s="101"/>
      <c r="N166" s="100"/>
      <c r="O166" s="100"/>
      <c r="P166" s="101"/>
      <c r="Q166" s="101"/>
      <c r="R166" s="106"/>
      <c r="S166" s="106"/>
      <c r="T166" s="100"/>
      <c r="U166" s="101"/>
      <c r="V166" s="119"/>
      <c r="W166" s="101"/>
      <c r="X166" s="101"/>
      <c r="Y166" s="119"/>
      <c r="Z166" s="101"/>
      <c r="AA166" s="112" t="str">
        <f>IF(ISNA(VLOOKUP(Table2[[#This Row],[Task ID]],Table1[],17,FALSE)),"",VLOOKUP(Table2[[#This Row],[Task ID]],Table1[],17,FALSE))</f>
        <v/>
      </c>
      <c r="AB166" s="115" t="str">
        <f>IF(Table2[[#This Row],[Defect Detected On Date ]]="","",TEXT(Table2[[#This Row],[Defect Detected On Date ]],"mmm"))</f>
        <v/>
      </c>
      <c r="AE166" s="63"/>
    </row>
    <row r="167" spans="2:31">
      <c r="B167" s="100"/>
      <c r="C167" s="100"/>
      <c r="D167" s="101"/>
      <c r="E167" s="101"/>
      <c r="F167" s="101"/>
      <c r="G167" s="102"/>
      <c r="H167" s="101"/>
      <c r="I167" s="101"/>
      <c r="J167" s="101"/>
      <c r="K167" s="101"/>
      <c r="L167" s="101"/>
      <c r="M167" s="101"/>
      <c r="N167" s="100"/>
      <c r="O167" s="100"/>
      <c r="P167" s="101"/>
      <c r="Q167" s="101"/>
      <c r="R167" s="106"/>
      <c r="S167" s="106"/>
      <c r="T167" s="100"/>
      <c r="U167" s="101"/>
      <c r="V167" s="119"/>
      <c r="W167" s="101"/>
      <c r="X167" s="101"/>
      <c r="Y167" s="119"/>
      <c r="Z167" s="101"/>
      <c r="AA167" s="112" t="str">
        <f>IF(ISNA(VLOOKUP(Table2[[#This Row],[Task ID]],Table1[],17,FALSE)),"",VLOOKUP(Table2[[#This Row],[Task ID]],Table1[],17,FALSE))</f>
        <v/>
      </c>
      <c r="AB167" s="115" t="str">
        <f>IF(Table2[[#This Row],[Defect Detected On Date ]]="","",TEXT(Table2[[#This Row],[Defect Detected On Date ]],"mmm"))</f>
        <v/>
      </c>
      <c r="AE167" s="63"/>
    </row>
    <row r="168" spans="2:31">
      <c r="B168" s="100"/>
      <c r="C168" s="100"/>
      <c r="D168" s="101"/>
      <c r="E168" s="101"/>
      <c r="F168" s="101"/>
      <c r="G168" s="102"/>
      <c r="H168" s="101"/>
      <c r="I168" s="101"/>
      <c r="J168" s="101"/>
      <c r="K168" s="101"/>
      <c r="L168" s="101"/>
      <c r="M168" s="101"/>
      <c r="N168" s="100"/>
      <c r="O168" s="100"/>
      <c r="P168" s="101"/>
      <c r="Q168" s="101"/>
      <c r="R168" s="106"/>
      <c r="S168" s="106"/>
      <c r="T168" s="100"/>
      <c r="U168" s="101"/>
      <c r="V168" s="119"/>
      <c r="W168" s="101"/>
      <c r="X168" s="101"/>
      <c r="Y168" s="119"/>
      <c r="Z168" s="101"/>
      <c r="AA168" s="112" t="str">
        <f>IF(ISNA(VLOOKUP(Table2[[#This Row],[Task ID]],Table1[],17,FALSE)),"",VLOOKUP(Table2[[#This Row],[Task ID]],Table1[],17,FALSE))</f>
        <v/>
      </c>
      <c r="AB168" s="115" t="str">
        <f>IF(Table2[[#This Row],[Defect Detected On Date ]]="","",TEXT(Table2[[#This Row],[Defect Detected On Date ]],"mmm"))</f>
        <v/>
      </c>
      <c r="AE168" s="63"/>
    </row>
    <row r="169" spans="2:31">
      <c r="B169" s="100"/>
      <c r="C169" s="100"/>
      <c r="D169" s="101"/>
      <c r="E169" s="101"/>
      <c r="F169" s="101"/>
      <c r="G169" s="102"/>
      <c r="H169" s="101"/>
      <c r="I169" s="101"/>
      <c r="J169" s="101"/>
      <c r="K169" s="101"/>
      <c r="L169" s="101"/>
      <c r="M169" s="101"/>
      <c r="N169" s="100"/>
      <c r="O169" s="100"/>
      <c r="P169" s="101"/>
      <c r="Q169" s="101"/>
      <c r="R169" s="106"/>
      <c r="S169" s="106"/>
      <c r="T169" s="100"/>
      <c r="U169" s="101"/>
      <c r="V169" s="119"/>
      <c r="W169" s="101"/>
      <c r="X169" s="101"/>
      <c r="Y169" s="119"/>
      <c r="Z169" s="101"/>
      <c r="AA169" s="112" t="str">
        <f>IF(ISNA(VLOOKUP(Table2[[#This Row],[Task ID]],Table1[],17,FALSE)),"",VLOOKUP(Table2[[#This Row],[Task ID]],Table1[],17,FALSE))</f>
        <v/>
      </c>
      <c r="AB169" s="115" t="str">
        <f>IF(Table2[[#This Row],[Defect Detected On Date ]]="","",TEXT(Table2[[#This Row],[Defect Detected On Date ]],"mmm"))</f>
        <v/>
      </c>
      <c r="AE169" s="63"/>
    </row>
    <row r="170" spans="2:31">
      <c r="B170" s="100"/>
      <c r="C170" s="100"/>
      <c r="D170" s="101"/>
      <c r="E170" s="101"/>
      <c r="F170" s="101"/>
      <c r="G170" s="102"/>
      <c r="H170" s="101"/>
      <c r="I170" s="101"/>
      <c r="J170" s="101"/>
      <c r="K170" s="101"/>
      <c r="L170" s="101"/>
      <c r="M170" s="101"/>
      <c r="N170" s="100"/>
      <c r="O170" s="100"/>
      <c r="P170" s="101"/>
      <c r="Q170" s="101"/>
      <c r="R170" s="106"/>
      <c r="S170" s="106"/>
      <c r="T170" s="100"/>
      <c r="U170" s="101"/>
      <c r="V170" s="119"/>
      <c r="W170" s="101"/>
      <c r="X170" s="101"/>
      <c r="Y170" s="119"/>
      <c r="Z170" s="101"/>
      <c r="AA170" s="112" t="str">
        <f>IF(ISNA(VLOOKUP(Table2[[#This Row],[Task ID]],Table1[],17,FALSE)),"",VLOOKUP(Table2[[#This Row],[Task ID]],Table1[],17,FALSE))</f>
        <v/>
      </c>
      <c r="AB170" s="115" t="str">
        <f>IF(Table2[[#This Row],[Defect Detected On Date ]]="","",TEXT(Table2[[#This Row],[Defect Detected On Date ]],"mmm"))</f>
        <v/>
      </c>
      <c r="AE170" s="63"/>
    </row>
    <row r="171" spans="2:31">
      <c r="B171" s="100"/>
      <c r="C171" s="100"/>
      <c r="D171" s="101"/>
      <c r="E171" s="101"/>
      <c r="F171" s="101"/>
      <c r="G171" s="102"/>
      <c r="H171" s="101"/>
      <c r="I171" s="101"/>
      <c r="J171" s="101"/>
      <c r="K171" s="101"/>
      <c r="L171" s="101"/>
      <c r="M171" s="101"/>
      <c r="N171" s="100"/>
      <c r="O171" s="100"/>
      <c r="P171" s="101"/>
      <c r="Q171" s="101"/>
      <c r="R171" s="106"/>
      <c r="S171" s="106"/>
      <c r="T171" s="100"/>
      <c r="U171" s="101"/>
      <c r="V171" s="119"/>
      <c r="W171" s="101"/>
      <c r="X171" s="101"/>
      <c r="Y171" s="101"/>
      <c r="Z171" s="101"/>
      <c r="AA171" s="112" t="str">
        <f>IF(ISNA(VLOOKUP(Table2[[#This Row],[Task ID]],Table1[],17,FALSE)),"",VLOOKUP(Table2[[#This Row],[Task ID]],Table1[],17,FALSE))</f>
        <v/>
      </c>
      <c r="AB171" s="115" t="str">
        <f>IF(Table2[[#This Row],[Defect Detected On Date ]]="","",TEXT(Table2[[#This Row],[Defect Detected On Date ]],"mmm"))</f>
        <v/>
      </c>
      <c r="AE171" s="63"/>
    </row>
    <row r="172" spans="2:31">
      <c r="B172" s="100"/>
      <c r="C172" s="100"/>
      <c r="D172" s="101"/>
      <c r="E172" s="101"/>
      <c r="F172" s="101"/>
      <c r="G172" s="102"/>
      <c r="H172" s="101"/>
      <c r="I172" s="101"/>
      <c r="J172" s="101"/>
      <c r="K172" s="101"/>
      <c r="L172" s="101"/>
      <c r="M172" s="101"/>
      <c r="N172" s="100"/>
      <c r="O172" s="100"/>
      <c r="P172" s="101"/>
      <c r="Q172" s="101"/>
      <c r="R172" s="106"/>
      <c r="S172" s="106"/>
      <c r="T172" s="100"/>
      <c r="U172" s="101"/>
      <c r="V172" s="119"/>
      <c r="W172" s="101"/>
      <c r="X172" s="101"/>
      <c r="Y172" s="101"/>
      <c r="Z172" s="101"/>
      <c r="AA172" s="112" t="str">
        <f>IF(ISNA(VLOOKUP(Table2[[#This Row],[Task ID]],Table1[],17,FALSE)),"",VLOOKUP(Table2[[#This Row],[Task ID]],Table1[],17,FALSE))</f>
        <v/>
      </c>
      <c r="AB172" s="115" t="str">
        <f>IF(Table2[[#This Row],[Defect Detected On Date ]]="","",TEXT(Table2[[#This Row],[Defect Detected On Date ]],"mmm"))</f>
        <v/>
      </c>
      <c r="AE172" s="63"/>
    </row>
    <row r="173" spans="2:31">
      <c r="B173" s="100"/>
      <c r="C173" s="100"/>
      <c r="D173" s="101"/>
      <c r="E173" s="101"/>
      <c r="F173" s="101"/>
      <c r="G173" s="102"/>
      <c r="H173" s="101"/>
      <c r="I173" s="101"/>
      <c r="J173" s="101"/>
      <c r="K173" s="101"/>
      <c r="L173" s="101"/>
      <c r="M173" s="101"/>
      <c r="N173" s="100"/>
      <c r="O173" s="100"/>
      <c r="P173" s="101"/>
      <c r="Q173" s="101"/>
      <c r="R173" s="106"/>
      <c r="S173" s="106"/>
      <c r="T173" s="100"/>
      <c r="U173" s="101"/>
      <c r="V173" s="119"/>
      <c r="W173" s="101"/>
      <c r="X173" s="101"/>
      <c r="Y173" s="119"/>
      <c r="Z173" s="101"/>
      <c r="AA173" s="112" t="str">
        <f>IF(ISNA(VLOOKUP(Table2[[#This Row],[Task ID]],Table1[],17,FALSE)),"",VLOOKUP(Table2[[#This Row],[Task ID]],Table1[],17,FALSE))</f>
        <v/>
      </c>
      <c r="AB173" s="115" t="str">
        <f>IF(Table2[[#This Row],[Defect Detected On Date ]]="","",TEXT(Table2[[#This Row],[Defect Detected On Date ]],"mmm"))</f>
        <v/>
      </c>
      <c r="AE173" s="63"/>
    </row>
    <row r="174" spans="2:31">
      <c r="B174" s="100"/>
      <c r="C174" s="100"/>
      <c r="D174" s="101"/>
      <c r="E174" s="101"/>
      <c r="F174" s="101"/>
      <c r="G174" s="102"/>
      <c r="H174" s="101"/>
      <c r="I174" s="101"/>
      <c r="J174" s="101"/>
      <c r="K174" s="101"/>
      <c r="L174" s="101"/>
      <c r="M174" s="101"/>
      <c r="N174" s="100"/>
      <c r="O174" s="100"/>
      <c r="P174" s="101"/>
      <c r="Q174" s="101"/>
      <c r="R174" s="106"/>
      <c r="S174" s="106"/>
      <c r="T174" s="100"/>
      <c r="U174" s="101"/>
      <c r="V174" s="119"/>
      <c r="W174" s="101"/>
      <c r="X174" s="101"/>
      <c r="Y174" s="121"/>
      <c r="Z174" s="116"/>
      <c r="AA174" s="112" t="str">
        <f>IF(ISNA(VLOOKUP(Table2[[#This Row],[Task ID]],Table1[],17,FALSE)),"",VLOOKUP(Table2[[#This Row],[Task ID]],Table1[],17,FALSE))</f>
        <v/>
      </c>
      <c r="AB174" s="115" t="str">
        <f>IF(Table2[[#This Row],[Defect Detected On Date ]]="","",TEXT(Table2[[#This Row],[Defect Detected On Date ]],"mmm"))</f>
        <v/>
      </c>
      <c r="AE174" s="63"/>
    </row>
    <row r="175" spans="2:31">
      <c r="B175" s="100"/>
      <c r="C175" s="100"/>
      <c r="D175" s="101"/>
      <c r="E175" s="101"/>
      <c r="F175" s="101"/>
      <c r="G175" s="102"/>
      <c r="H175" s="101"/>
      <c r="I175" s="101"/>
      <c r="J175" s="101"/>
      <c r="K175" s="101"/>
      <c r="L175" s="101"/>
      <c r="M175" s="101"/>
      <c r="N175" s="100"/>
      <c r="O175" s="100"/>
      <c r="P175" s="101"/>
      <c r="Q175" s="101"/>
      <c r="R175" s="106"/>
      <c r="S175" s="106"/>
      <c r="T175" s="100"/>
      <c r="U175" s="101"/>
      <c r="V175" s="119"/>
      <c r="W175" s="101"/>
      <c r="X175" s="101"/>
      <c r="Y175" s="121"/>
      <c r="Z175" s="101"/>
      <c r="AA175" s="112" t="str">
        <f>IF(ISNA(VLOOKUP(Table2[[#This Row],[Task ID]],Table1[],17,FALSE)),"",VLOOKUP(Table2[[#This Row],[Task ID]],Table1[],17,FALSE))</f>
        <v/>
      </c>
      <c r="AB175" s="115" t="str">
        <f>IF(Table2[[#This Row],[Defect Detected On Date ]]="","",TEXT(Table2[[#This Row],[Defect Detected On Date ]],"mmm"))</f>
        <v/>
      </c>
      <c r="AE175" s="63"/>
    </row>
    <row r="176" spans="2:31">
      <c r="B176" s="100"/>
      <c r="C176" s="100"/>
      <c r="D176" s="101"/>
      <c r="E176" s="101"/>
      <c r="F176" s="101"/>
      <c r="G176" s="102"/>
      <c r="H176" s="101"/>
      <c r="I176" s="101"/>
      <c r="J176" s="101"/>
      <c r="K176" s="101"/>
      <c r="L176" s="101"/>
      <c r="M176" s="101"/>
      <c r="N176" s="100"/>
      <c r="O176" s="100"/>
      <c r="P176" s="101"/>
      <c r="Q176" s="101"/>
      <c r="R176" s="106"/>
      <c r="S176" s="106"/>
      <c r="T176" s="100"/>
      <c r="U176" s="101"/>
      <c r="V176" s="119"/>
      <c r="W176" s="101"/>
      <c r="X176" s="101"/>
      <c r="Y176" s="121"/>
      <c r="Z176" s="101"/>
      <c r="AA176" s="112" t="str">
        <f>IF(ISNA(VLOOKUP(Table2[[#This Row],[Task ID]],Table1[],17,FALSE)),"",VLOOKUP(Table2[[#This Row],[Task ID]],Table1[],17,FALSE))</f>
        <v/>
      </c>
      <c r="AB176" s="115" t="str">
        <f>IF(Table2[[#This Row],[Defect Detected On Date ]]="","",TEXT(Table2[[#This Row],[Defect Detected On Date ]],"mmm"))</f>
        <v/>
      </c>
      <c r="AE176" s="63"/>
    </row>
    <row r="177" spans="2:31">
      <c r="B177" s="100"/>
      <c r="C177" s="100"/>
      <c r="D177" s="101"/>
      <c r="E177" s="101"/>
      <c r="F177" s="101"/>
      <c r="G177" s="102"/>
      <c r="H177" s="101"/>
      <c r="I177" s="101"/>
      <c r="J177" s="101"/>
      <c r="K177" s="101"/>
      <c r="L177" s="101"/>
      <c r="M177" s="101"/>
      <c r="N177" s="100"/>
      <c r="O177" s="100"/>
      <c r="P177" s="101"/>
      <c r="Q177" s="101"/>
      <c r="R177" s="106"/>
      <c r="S177" s="106"/>
      <c r="T177" s="100"/>
      <c r="U177" s="101"/>
      <c r="V177" s="119"/>
      <c r="W177" s="101"/>
      <c r="X177" s="101"/>
      <c r="Y177" s="121"/>
      <c r="Z177" s="101"/>
      <c r="AA177" s="112" t="str">
        <f>IF(ISNA(VLOOKUP(Table2[[#This Row],[Task ID]],Table1[],17,FALSE)),"",VLOOKUP(Table2[[#This Row],[Task ID]],Table1[],17,FALSE))</f>
        <v/>
      </c>
      <c r="AB177" s="115" t="str">
        <f>IF(Table2[[#This Row],[Defect Detected On Date ]]="","",TEXT(Table2[[#This Row],[Defect Detected On Date ]],"mmm"))</f>
        <v/>
      </c>
      <c r="AE177" s="63"/>
    </row>
    <row r="178" spans="2:31">
      <c r="B178" s="100"/>
      <c r="C178" s="100"/>
      <c r="D178" s="101"/>
      <c r="E178" s="101"/>
      <c r="F178" s="101"/>
      <c r="G178" s="102"/>
      <c r="H178" s="101"/>
      <c r="I178" s="101"/>
      <c r="J178" s="101"/>
      <c r="K178" s="101"/>
      <c r="L178" s="101"/>
      <c r="M178" s="101"/>
      <c r="N178" s="100"/>
      <c r="O178" s="100"/>
      <c r="P178" s="101"/>
      <c r="Q178" s="101"/>
      <c r="R178" s="106"/>
      <c r="S178" s="106"/>
      <c r="T178" s="100"/>
      <c r="U178" s="101"/>
      <c r="V178" s="119"/>
      <c r="W178" s="101"/>
      <c r="X178" s="101"/>
      <c r="Y178" s="121"/>
      <c r="Z178" s="101"/>
      <c r="AA178" s="112" t="str">
        <f>IF(ISNA(VLOOKUP(Table2[[#This Row],[Task ID]],Table1[],17,FALSE)),"",VLOOKUP(Table2[[#This Row],[Task ID]],Table1[],17,FALSE))</f>
        <v/>
      </c>
      <c r="AB178" s="115" t="str">
        <f>IF(Table2[[#This Row],[Defect Detected On Date ]]="","",TEXT(Table2[[#This Row],[Defect Detected On Date ]],"mmm"))</f>
        <v/>
      </c>
      <c r="AE178" s="63"/>
    </row>
    <row r="179" spans="2:31">
      <c r="B179" s="100"/>
      <c r="C179" s="100"/>
      <c r="D179" s="116"/>
      <c r="E179" s="101"/>
      <c r="F179" s="101"/>
      <c r="G179" s="102"/>
      <c r="H179" s="101"/>
      <c r="I179" s="101"/>
      <c r="J179" s="101"/>
      <c r="K179" s="101"/>
      <c r="L179" s="101"/>
      <c r="M179" s="101"/>
      <c r="N179" s="100"/>
      <c r="O179" s="100"/>
      <c r="P179" s="101"/>
      <c r="Q179" s="101"/>
      <c r="R179" s="106"/>
      <c r="S179" s="106"/>
      <c r="T179" s="100"/>
      <c r="U179" s="101"/>
      <c r="V179" s="119"/>
      <c r="W179" s="101"/>
      <c r="X179" s="101"/>
      <c r="Y179" s="119"/>
      <c r="Z179" s="116"/>
      <c r="AA179" s="112" t="str">
        <f>IF(ISNA(VLOOKUP(Table2[[#This Row],[Task ID]],Table1[],17,FALSE)),"",VLOOKUP(Table2[[#This Row],[Task ID]],Table1[],17,FALSE))</f>
        <v/>
      </c>
      <c r="AB179" s="115" t="str">
        <f>IF(Table2[[#This Row],[Defect Detected On Date ]]="","",TEXT(Table2[[#This Row],[Defect Detected On Date ]],"mmm"))</f>
        <v/>
      </c>
      <c r="AE179" s="63"/>
    </row>
    <row r="180" spans="2:31">
      <c r="B180" s="100"/>
      <c r="C180" s="100"/>
      <c r="D180" s="101"/>
      <c r="E180" s="101"/>
      <c r="F180" s="101"/>
      <c r="G180" s="102"/>
      <c r="H180" s="101"/>
      <c r="I180" s="101"/>
      <c r="J180" s="101"/>
      <c r="K180" s="101"/>
      <c r="L180" s="101"/>
      <c r="M180" s="101"/>
      <c r="N180" s="100"/>
      <c r="O180" s="100"/>
      <c r="P180" s="101"/>
      <c r="Q180" s="101"/>
      <c r="R180" s="106"/>
      <c r="S180" s="106"/>
      <c r="T180" s="100"/>
      <c r="U180" s="101"/>
      <c r="V180" s="119"/>
      <c r="W180" s="101"/>
      <c r="X180" s="101"/>
      <c r="Y180" s="119"/>
      <c r="Z180" s="101"/>
      <c r="AA180" s="112" t="str">
        <f>IF(ISNA(VLOOKUP(Table2[[#This Row],[Task ID]],Table1[],17,FALSE)),"",VLOOKUP(Table2[[#This Row],[Task ID]],Table1[],17,FALSE))</f>
        <v/>
      </c>
      <c r="AB180" s="115" t="str">
        <f>IF(Table2[[#This Row],[Defect Detected On Date ]]="","",TEXT(Table2[[#This Row],[Defect Detected On Date ]],"mmm"))</f>
        <v/>
      </c>
      <c r="AE180" s="63"/>
    </row>
    <row r="181" spans="2:31">
      <c r="B181" s="100"/>
      <c r="C181" s="100"/>
      <c r="D181" s="101"/>
      <c r="E181" s="101"/>
      <c r="F181" s="101"/>
      <c r="G181" s="102"/>
      <c r="H181" s="101"/>
      <c r="I181" s="101"/>
      <c r="J181" s="101"/>
      <c r="K181" s="101"/>
      <c r="L181" s="101"/>
      <c r="M181" s="101"/>
      <c r="N181" s="100"/>
      <c r="O181" s="100"/>
      <c r="P181" s="101"/>
      <c r="Q181" s="101"/>
      <c r="R181" s="106"/>
      <c r="S181" s="106"/>
      <c r="T181" s="100"/>
      <c r="U181" s="101"/>
      <c r="V181" s="119"/>
      <c r="W181" s="101"/>
      <c r="X181" s="101"/>
      <c r="Y181" s="119"/>
      <c r="Z181" s="101"/>
      <c r="AA181" s="112" t="str">
        <f>IF(ISNA(VLOOKUP(Table2[[#This Row],[Task ID]],Table1[],17,FALSE)),"",VLOOKUP(Table2[[#This Row],[Task ID]],Table1[],17,FALSE))</f>
        <v/>
      </c>
      <c r="AB181" s="115" t="str">
        <f>IF(Table2[[#This Row],[Defect Detected On Date ]]="","",TEXT(Table2[[#This Row],[Defect Detected On Date ]],"mmm"))</f>
        <v/>
      </c>
      <c r="AE181" s="63"/>
    </row>
    <row r="182" spans="2:31">
      <c r="B182" s="100"/>
      <c r="C182" s="100"/>
      <c r="D182" s="101"/>
      <c r="E182" s="101"/>
      <c r="F182" s="101"/>
      <c r="G182" s="102"/>
      <c r="H182" s="101"/>
      <c r="I182" s="101"/>
      <c r="J182" s="101"/>
      <c r="K182" s="101"/>
      <c r="L182" s="101"/>
      <c r="M182" s="101"/>
      <c r="N182" s="100"/>
      <c r="O182" s="100"/>
      <c r="P182" s="101"/>
      <c r="Q182" s="101"/>
      <c r="R182" s="106"/>
      <c r="S182" s="106"/>
      <c r="T182" s="100"/>
      <c r="U182" s="101"/>
      <c r="V182" s="119"/>
      <c r="W182" s="101"/>
      <c r="X182" s="101"/>
      <c r="Y182" s="119"/>
      <c r="Z182" s="101"/>
      <c r="AA182" s="112" t="str">
        <f>IF(ISNA(VLOOKUP(Table2[[#This Row],[Task ID]],Table1[],17,FALSE)),"",VLOOKUP(Table2[[#This Row],[Task ID]],Table1[],17,FALSE))</f>
        <v/>
      </c>
      <c r="AB182" s="115" t="str">
        <f>IF(Table2[[#This Row],[Defect Detected On Date ]]="","",TEXT(Table2[[#This Row],[Defect Detected On Date ]],"mmm"))</f>
        <v/>
      </c>
      <c r="AE182" s="63"/>
    </row>
    <row r="183" spans="2:31">
      <c r="B183" s="100"/>
      <c r="C183" s="100"/>
      <c r="D183" s="101"/>
      <c r="E183" s="101"/>
      <c r="F183" s="101"/>
      <c r="G183" s="102"/>
      <c r="H183" s="101"/>
      <c r="I183" s="101"/>
      <c r="J183" s="101"/>
      <c r="K183" s="101"/>
      <c r="L183" s="101"/>
      <c r="M183" s="101"/>
      <c r="N183" s="100"/>
      <c r="O183" s="100"/>
      <c r="P183" s="101"/>
      <c r="Q183" s="101"/>
      <c r="R183" s="106"/>
      <c r="S183" s="106"/>
      <c r="T183" s="100"/>
      <c r="U183" s="101"/>
      <c r="V183" s="119"/>
      <c r="W183" s="101"/>
      <c r="X183" s="101"/>
      <c r="Y183" s="119"/>
      <c r="Z183" s="101"/>
      <c r="AA183" s="112" t="str">
        <f>IF(ISNA(VLOOKUP(Table2[[#This Row],[Task ID]],Table1[],17,FALSE)),"",VLOOKUP(Table2[[#This Row],[Task ID]],Table1[],17,FALSE))</f>
        <v/>
      </c>
      <c r="AB183" s="115" t="str">
        <f>IF(Table2[[#This Row],[Defect Detected On Date ]]="","",TEXT(Table2[[#This Row],[Defect Detected On Date ]],"mmm"))</f>
        <v/>
      </c>
      <c r="AE183" s="63"/>
    </row>
    <row r="184" spans="2:31">
      <c r="B184" s="100"/>
      <c r="C184" s="100"/>
      <c r="D184" s="101"/>
      <c r="E184" s="101"/>
      <c r="F184" s="101"/>
      <c r="G184" s="102"/>
      <c r="H184" s="101"/>
      <c r="I184" s="101"/>
      <c r="J184" s="101"/>
      <c r="K184" s="101"/>
      <c r="L184" s="101"/>
      <c r="M184" s="101"/>
      <c r="N184" s="100"/>
      <c r="O184" s="100"/>
      <c r="P184" s="101"/>
      <c r="Q184" s="101"/>
      <c r="R184" s="106"/>
      <c r="S184" s="106"/>
      <c r="T184" s="100"/>
      <c r="U184" s="101"/>
      <c r="V184" s="119"/>
      <c r="W184" s="101"/>
      <c r="X184" s="101"/>
      <c r="Y184" s="119"/>
      <c r="Z184" s="101"/>
      <c r="AA184" s="112" t="str">
        <f>IF(ISNA(VLOOKUP(Table2[[#This Row],[Task ID]],Table1[],17,FALSE)),"",VLOOKUP(Table2[[#This Row],[Task ID]],Table1[],17,FALSE))</f>
        <v/>
      </c>
      <c r="AB184" s="115" t="str">
        <f>IF(Table2[[#This Row],[Defect Detected On Date ]]="","",TEXT(Table2[[#This Row],[Defect Detected On Date ]],"mmm"))</f>
        <v/>
      </c>
      <c r="AE184" s="63"/>
    </row>
    <row r="185" spans="2:31">
      <c r="B185" s="100"/>
      <c r="C185" s="100"/>
      <c r="D185" s="101"/>
      <c r="E185" s="101"/>
      <c r="F185" s="101"/>
      <c r="G185" s="102"/>
      <c r="H185" s="101"/>
      <c r="I185" s="101"/>
      <c r="J185" s="101"/>
      <c r="K185" s="101"/>
      <c r="L185" s="101"/>
      <c r="M185" s="101"/>
      <c r="N185" s="100"/>
      <c r="O185" s="100"/>
      <c r="P185" s="101"/>
      <c r="Q185" s="101"/>
      <c r="R185" s="106"/>
      <c r="S185" s="106"/>
      <c r="T185" s="100"/>
      <c r="U185" s="101"/>
      <c r="V185" s="119"/>
      <c r="W185" s="101"/>
      <c r="X185" s="101"/>
      <c r="Y185" s="119"/>
      <c r="Z185" s="101"/>
      <c r="AA185" s="112" t="str">
        <f>IF(ISNA(VLOOKUP(Table2[[#This Row],[Task ID]],Table1[],17,FALSE)),"",VLOOKUP(Table2[[#This Row],[Task ID]],Table1[],17,FALSE))</f>
        <v/>
      </c>
      <c r="AB185" s="115" t="str">
        <f>IF(Table2[[#This Row],[Defect Detected On Date ]]="","",TEXT(Table2[[#This Row],[Defect Detected On Date ]],"mmm"))</f>
        <v/>
      </c>
      <c r="AE185" s="63"/>
    </row>
    <row r="186" spans="2:31">
      <c r="B186" s="100"/>
      <c r="C186" s="100"/>
      <c r="D186" s="101"/>
      <c r="E186" s="101"/>
      <c r="F186" s="101"/>
      <c r="G186" s="102"/>
      <c r="H186" s="101"/>
      <c r="I186" s="101"/>
      <c r="J186" s="101"/>
      <c r="K186" s="101"/>
      <c r="L186" s="101"/>
      <c r="M186" s="101"/>
      <c r="N186" s="100"/>
      <c r="O186" s="100"/>
      <c r="P186" s="101"/>
      <c r="Q186" s="101"/>
      <c r="R186" s="106"/>
      <c r="S186" s="106"/>
      <c r="T186" s="100"/>
      <c r="U186" s="101"/>
      <c r="V186" s="119"/>
      <c r="W186" s="101"/>
      <c r="X186" s="101"/>
      <c r="Y186" s="119"/>
      <c r="Z186" s="101"/>
      <c r="AA186" s="112" t="str">
        <f>IF(ISNA(VLOOKUP(Table2[[#This Row],[Task ID]],Table1[],17,FALSE)),"",VLOOKUP(Table2[[#This Row],[Task ID]],Table1[],17,FALSE))</f>
        <v/>
      </c>
      <c r="AB186" s="115" t="str">
        <f>IF(Table2[[#This Row],[Defect Detected On Date ]]="","",TEXT(Table2[[#This Row],[Defect Detected On Date ]],"mmm"))</f>
        <v/>
      </c>
      <c r="AE186" s="63"/>
    </row>
    <row r="187" spans="2:31">
      <c r="B187" s="100"/>
      <c r="C187" s="100"/>
      <c r="D187" s="101"/>
      <c r="E187" s="101"/>
      <c r="F187" s="101"/>
      <c r="G187" s="102"/>
      <c r="H187" s="101"/>
      <c r="I187" s="101"/>
      <c r="J187" s="101"/>
      <c r="K187" s="101"/>
      <c r="L187" s="101"/>
      <c r="M187" s="101"/>
      <c r="N187" s="100"/>
      <c r="O187" s="100"/>
      <c r="P187" s="101"/>
      <c r="Q187" s="101"/>
      <c r="R187" s="106"/>
      <c r="S187" s="106"/>
      <c r="T187" s="100"/>
      <c r="U187" s="101"/>
      <c r="V187" s="119"/>
      <c r="W187" s="101"/>
      <c r="X187" s="101"/>
      <c r="Y187" s="119"/>
      <c r="Z187" s="101"/>
      <c r="AA187" s="112" t="str">
        <f>IF(ISNA(VLOOKUP(Table2[[#This Row],[Task ID]],Table1[],17,FALSE)),"",VLOOKUP(Table2[[#This Row],[Task ID]],Table1[],17,FALSE))</f>
        <v/>
      </c>
      <c r="AB187" s="115" t="str">
        <f>IF(Table2[[#This Row],[Defect Detected On Date ]]="","",TEXT(Table2[[#This Row],[Defect Detected On Date ]],"mmm"))</f>
        <v/>
      </c>
      <c r="AE187" s="63"/>
    </row>
    <row r="188" spans="2:31">
      <c r="B188" s="100"/>
      <c r="C188" s="100"/>
      <c r="D188" s="101"/>
      <c r="E188" s="101"/>
      <c r="F188" s="101"/>
      <c r="G188" s="102"/>
      <c r="H188" s="101"/>
      <c r="I188" s="101"/>
      <c r="J188" s="101"/>
      <c r="K188" s="101"/>
      <c r="L188" s="101"/>
      <c r="M188" s="101"/>
      <c r="N188" s="100"/>
      <c r="O188" s="100"/>
      <c r="P188" s="101"/>
      <c r="Q188" s="101"/>
      <c r="R188" s="106"/>
      <c r="S188" s="106"/>
      <c r="T188" s="100"/>
      <c r="U188" s="101"/>
      <c r="V188" s="119"/>
      <c r="W188" s="101"/>
      <c r="X188" s="101"/>
      <c r="Y188" s="119"/>
      <c r="Z188" s="101"/>
      <c r="AA188" s="112" t="str">
        <f>IF(ISNA(VLOOKUP(Table2[[#This Row],[Task ID]],Table1[],17,FALSE)),"",VLOOKUP(Table2[[#This Row],[Task ID]],Table1[],17,FALSE))</f>
        <v/>
      </c>
      <c r="AB188" s="115" t="str">
        <f>IF(Table2[[#This Row],[Defect Detected On Date ]]="","",TEXT(Table2[[#This Row],[Defect Detected On Date ]],"mmm"))</f>
        <v/>
      </c>
      <c r="AE188" s="63"/>
    </row>
    <row r="189" spans="2:31">
      <c r="B189" s="100"/>
      <c r="C189" s="100"/>
      <c r="D189" s="101"/>
      <c r="E189" s="101"/>
      <c r="F189" s="101"/>
      <c r="G189" s="102"/>
      <c r="H189" s="101"/>
      <c r="I189" s="101"/>
      <c r="J189" s="101"/>
      <c r="K189" s="101"/>
      <c r="L189" s="101"/>
      <c r="M189" s="101"/>
      <c r="N189" s="100"/>
      <c r="O189" s="100"/>
      <c r="P189" s="101"/>
      <c r="Q189" s="101"/>
      <c r="R189" s="106"/>
      <c r="S189" s="106"/>
      <c r="T189" s="100"/>
      <c r="U189" s="101"/>
      <c r="V189" s="119"/>
      <c r="W189" s="101"/>
      <c r="X189" s="101"/>
      <c r="Y189" s="119"/>
      <c r="Z189" s="101"/>
      <c r="AA189" s="112" t="str">
        <f>IF(ISNA(VLOOKUP(Table2[[#This Row],[Task ID]],Table1[],17,FALSE)),"",VLOOKUP(Table2[[#This Row],[Task ID]],Table1[],17,FALSE))</f>
        <v/>
      </c>
      <c r="AB189" s="115" t="str">
        <f>IF(Table2[[#This Row],[Defect Detected On Date ]]="","",TEXT(Table2[[#This Row],[Defect Detected On Date ]],"mmm"))</f>
        <v/>
      </c>
      <c r="AE189" s="63"/>
    </row>
    <row r="190" spans="2:31">
      <c r="B190" s="100"/>
      <c r="C190" s="100"/>
      <c r="D190" s="101"/>
      <c r="E190" s="101"/>
      <c r="F190" s="101"/>
      <c r="G190" s="102"/>
      <c r="H190" s="101"/>
      <c r="I190" s="101"/>
      <c r="J190" s="101"/>
      <c r="K190" s="101"/>
      <c r="L190" s="101"/>
      <c r="M190" s="101"/>
      <c r="N190" s="100"/>
      <c r="O190" s="100"/>
      <c r="P190" s="101"/>
      <c r="Q190" s="101"/>
      <c r="R190" s="106"/>
      <c r="S190" s="106"/>
      <c r="T190" s="100"/>
      <c r="U190" s="101"/>
      <c r="V190" s="119"/>
      <c r="W190" s="101"/>
      <c r="X190" s="101"/>
      <c r="Y190" s="119"/>
      <c r="Z190" s="101"/>
      <c r="AA190" s="112" t="str">
        <f>IF(ISNA(VLOOKUP(Table2[[#This Row],[Task ID]],Table1[],17,FALSE)),"",VLOOKUP(Table2[[#This Row],[Task ID]],Table1[],17,FALSE))</f>
        <v/>
      </c>
      <c r="AB190" s="115" t="str">
        <f>IF(Table2[[#This Row],[Defect Detected On Date ]]="","",TEXT(Table2[[#This Row],[Defect Detected On Date ]],"mmm"))</f>
        <v/>
      </c>
      <c r="AE190" s="63"/>
    </row>
    <row r="191" spans="2:31">
      <c r="B191" s="100"/>
      <c r="C191" s="100"/>
      <c r="D191" s="101"/>
      <c r="E191" s="101"/>
      <c r="F191" s="101"/>
      <c r="G191" s="102"/>
      <c r="H191" s="101"/>
      <c r="I191" s="101"/>
      <c r="J191" s="101"/>
      <c r="K191" s="101"/>
      <c r="L191" s="101"/>
      <c r="M191" s="101"/>
      <c r="N191" s="100"/>
      <c r="O191" s="100"/>
      <c r="P191" s="101"/>
      <c r="Q191" s="101"/>
      <c r="R191" s="106"/>
      <c r="S191" s="106"/>
      <c r="T191" s="100"/>
      <c r="U191" s="101"/>
      <c r="V191" s="119"/>
      <c r="W191" s="101"/>
      <c r="X191" s="101"/>
      <c r="Y191" s="119"/>
      <c r="Z191" s="101"/>
      <c r="AA191" s="112" t="str">
        <f>IF(ISNA(VLOOKUP(Table2[[#This Row],[Task ID]],Table1[],17,FALSE)),"",VLOOKUP(Table2[[#This Row],[Task ID]],Table1[],17,FALSE))</f>
        <v/>
      </c>
      <c r="AB191" s="115" t="str">
        <f>IF(Table2[[#This Row],[Defect Detected On Date ]]="","",TEXT(Table2[[#This Row],[Defect Detected On Date ]],"mmm"))</f>
        <v/>
      </c>
      <c r="AE191" s="63"/>
    </row>
    <row r="192" spans="2:31">
      <c r="B192" s="100"/>
      <c r="C192" s="100"/>
      <c r="D192" s="101"/>
      <c r="E192" s="101"/>
      <c r="F192" s="101"/>
      <c r="G192" s="102"/>
      <c r="H192" s="101"/>
      <c r="I192" s="101"/>
      <c r="J192" s="101"/>
      <c r="K192" s="101"/>
      <c r="L192" s="101"/>
      <c r="M192" s="101"/>
      <c r="N192" s="100"/>
      <c r="O192" s="100"/>
      <c r="P192" s="101"/>
      <c r="Q192" s="101"/>
      <c r="R192" s="106" t="str">
        <f>IF(Table2[[#This Row],[Defect Classification]]="","",IF(Table2[[#This Row],[Defect Classification]]="Internal",1,0))</f>
        <v/>
      </c>
      <c r="S192" s="106" t="str">
        <f>IF(Table2[[#This Row],[Defect Classification]]="","",IF(Table2[[#This Row],[Defect Classification]]="External",1,0))</f>
        <v/>
      </c>
      <c r="T192" s="100"/>
      <c r="U192" s="101"/>
      <c r="V192" s="100"/>
      <c r="W192" s="101"/>
      <c r="X192" s="101"/>
      <c r="Y192" s="101"/>
      <c r="Z192" s="101"/>
      <c r="AA192" s="112" t="str">
        <f>IF(ISNA(VLOOKUP(Table2[[#This Row],[Task ID]],Table1[],17,FALSE)),"",VLOOKUP(Table2[[#This Row],[Task ID]],Table1[],17,FALSE))</f>
        <v/>
      </c>
      <c r="AB192" s="115" t="str">
        <f>IF(Table2[[#This Row],[Defect Detected On Date ]]="","",TEXT(Table2[[#This Row],[Defect Detected On Date ]],"mmm"))</f>
        <v/>
      </c>
      <c r="AE192" s="63"/>
    </row>
    <row r="193" spans="2:31">
      <c r="B193" s="100"/>
      <c r="C193" s="100"/>
      <c r="D193" s="101"/>
      <c r="E193" s="101"/>
      <c r="F193" s="101"/>
      <c r="G193" s="102"/>
      <c r="H193" s="101"/>
      <c r="I193" s="101"/>
      <c r="J193" s="101"/>
      <c r="K193" s="101"/>
      <c r="L193" s="101"/>
      <c r="M193" s="101"/>
      <c r="N193" s="100"/>
      <c r="O193" s="100"/>
      <c r="P193" s="101"/>
      <c r="Q193" s="101"/>
      <c r="R193" s="106" t="str">
        <f>IF(Table2[[#This Row],[Defect Classification]]="","",IF(Table2[[#This Row],[Defect Classification]]="Internal",1,0))</f>
        <v/>
      </c>
      <c r="S193" s="106" t="str">
        <f>IF(Table2[[#This Row],[Defect Classification]]="","",IF(Table2[[#This Row],[Defect Classification]]="External",1,0))</f>
        <v/>
      </c>
      <c r="T193" s="100"/>
      <c r="U193" s="101"/>
      <c r="V193" s="100"/>
      <c r="W193" s="101"/>
      <c r="X193" s="101"/>
      <c r="Y193" s="101"/>
      <c r="Z193" s="101"/>
      <c r="AA193" s="112" t="str">
        <f>IF(ISNA(VLOOKUP(Table2[[#This Row],[Task ID]],Table1[],17,FALSE)),"",VLOOKUP(Table2[[#This Row],[Task ID]],Table1[],17,FALSE))</f>
        <v/>
      </c>
      <c r="AB193" s="115" t="str">
        <f>IF(Table2[[#This Row],[Defect Detected On Date ]]="","",TEXT(Table2[[#This Row],[Defect Detected On Date ]],"mmm"))</f>
        <v/>
      </c>
      <c r="AE193" s="63"/>
    </row>
    <row r="194" spans="2:31">
      <c r="B194" s="100"/>
      <c r="C194" s="100"/>
      <c r="D194" s="101"/>
      <c r="E194" s="101"/>
      <c r="F194" s="101"/>
      <c r="G194" s="102"/>
      <c r="H194" s="101"/>
      <c r="I194" s="101"/>
      <c r="J194" s="101"/>
      <c r="K194" s="101"/>
      <c r="L194" s="101"/>
      <c r="M194" s="101"/>
      <c r="N194" s="100"/>
      <c r="O194" s="100"/>
      <c r="P194" s="101"/>
      <c r="Q194" s="101"/>
      <c r="R194" s="106" t="str">
        <f>IF(Table2[[#This Row],[Defect Classification]]="","",IF(Table2[[#This Row],[Defect Classification]]="Internal",1,0))</f>
        <v/>
      </c>
      <c r="S194" s="106" t="str">
        <f>IF(Table2[[#This Row],[Defect Classification]]="","",IF(Table2[[#This Row],[Defect Classification]]="External",1,0))</f>
        <v/>
      </c>
      <c r="T194" s="100"/>
      <c r="U194" s="101"/>
      <c r="V194" s="100"/>
      <c r="W194" s="101"/>
      <c r="X194" s="101"/>
      <c r="Y194" s="101"/>
      <c r="Z194" s="101"/>
      <c r="AA194" s="112" t="str">
        <f>IF(ISNA(VLOOKUP(Table2[[#This Row],[Task ID]],Table1[],17,FALSE)),"",VLOOKUP(Table2[[#This Row],[Task ID]],Table1[],17,FALSE))</f>
        <v/>
      </c>
      <c r="AB194" s="115" t="str">
        <f>IF(Table2[[#This Row],[Defect Detected On Date ]]="","",TEXT(Table2[[#This Row],[Defect Detected On Date ]],"mmm"))</f>
        <v/>
      </c>
      <c r="AE194" s="63"/>
    </row>
    <row r="195" spans="2:31">
      <c r="B195" s="100"/>
      <c r="C195" s="100"/>
      <c r="D195" s="101"/>
      <c r="E195" s="101"/>
      <c r="F195" s="101"/>
      <c r="G195" s="102"/>
      <c r="H195" s="101"/>
      <c r="I195" s="101"/>
      <c r="J195" s="101"/>
      <c r="K195" s="101"/>
      <c r="L195" s="101"/>
      <c r="M195" s="101"/>
      <c r="N195" s="100"/>
      <c r="O195" s="100"/>
      <c r="P195" s="101"/>
      <c r="Q195" s="101"/>
      <c r="R195" s="106" t="str">
        <f>IF(Table2[[#This Row],[Defect Classification]]="","",IF(Table2[[#This Row],[Defect Classification]]="Internal",1,0))</f>
        <v/>
      </c>
      <c r="S195" s="106" t="str">
        <f>IF(Table2[[#This Row],[Defect Classification]]="","",IF(Table2[[#This Row],[Defect Classification]]="External",1,0))</f>
        <v/>
      </c>
      <c r="T195" s="100"/>
      <c r="U195" s="101"/>
      <c r="V195" s="100"/>
      <c r="W195" s="101"/>
      <c r="X195" s="101"/>
      <c r="Y195" s="101"/>
      <c r="Z195" s="101"/>
      <c r="AA195" s="112" t="str">
        <f>IF(ISNA(VLOOKUP(Table2[[#This Row],[Task ID]],Table1[],17,FALSE)),"",VLOOKUP(Table2[[#This Row],[Task ID]],Table1[],17,FALSE))</f>
        <v/>
      </c>
      <c r="AB195" s="115" t="str">
        <f>IF(Table2[[#This Row],[Defect Detected On Date ]]="","",TEXT(Table2[[#This Row],[Defect Detected On Date ]],"mmm"))</f>
        <v/>
      </c>
      <c r="AE195" s="63"/>
    </row>
    <row r="196" spans="2:31">
      <c r="B196" s="100"/>
      <c r="C196" s="100"/>
      <c r="D196" s="101"/>
      <c r="E196" s="101"/>
      <c r="F196" s="101"/>
      <c r="G196" s="102"/>
      <c r="H196" s="101"/>
      <c r="I196" s="101"/>
      <c r="J196" s="101"/>
      <c r="K196" s="101"/>
      <c r="L196" s="101"/>
      <c r="M196" s="101"/>
      <c r="N196" s="100"/>
      <c r="O196" s="100"/>
      <c r="P196" s="101"/>
      <c r="Q196" s="101"/>
      <c r="R196" s="106" t="str">
        <f>IF(Table2[[#This Row],[Defect Classification]]="","",IF(Table2[[#This Row],[Defect Classification]]="Internal",1,0))</f>
        <v/>
      </c>
      <c r="S196" s="106" t="str">
        <f>IF(Table2[[#This Row],[Defect Classification]]="","",IF(Table2[[#This Row],[Defect Classification]]="External",1,0))</f>
        <v/>
      </c>
      <c r="T196" s="100"/>
      <c r="U196" s="101"/>
      <c r="V196" s="100"/>
      <c r="W196" s="101"/>
      <c r="X196" s="101"/>
      <c r="Y196" s="101"/>
      <c r="Z196" s="101"/>
      <c r="AA196" s="112" t="str">
        <f>IF(ISNA(VLOOKUP(Table2[[#This Row],[Task ID]],Table1[],17,FALSE)),"",VLOOKUP(Table2[[#This Row],[Task ID]],Table1[],17,FALSE))</f>
        <v/>
      </c>
      <c r="AB196" s="115" t="str">
        <f>IF(Table2[[#This Row],[Defect Detected On Date ]]="","",TEXT(Table2[[#This Row],[Defect Detected On Date ]],"mmm"))</f>
        <v/>
      </c>
      <c r="AE196" s="63"/>
    </row>
    <row r="197" spans="2:31">
      <c r="B197" s="100"/>
      <c r="C197" s="100"/>
      <c r="D197" s="101"/>
      <c r="E197" s="101"/>
      <c r="F197" s="101"/>
      <c r="G197" s="102"/>
      <c r="H197" s="101"/>
      <c r="I197" s="101"/>
      <c r="J197" s="101"/>
      <c r="K197" s="101"/>
      <c r="L197" s="101"/>
      <c r="M197" s="101"/>
      <c r="N197" s="100"/>
      <c r="O197" s="100"/>
      <c r="P197" s="101"/>
      <c r="Q197" s="101"/>
      <c r="R197" s="106" t="str">
        <f>IF(Table2[[#This Row],[Defect Classification]]="","",IF(Table2[[#This Row],[Defect Classification]]="Internal",1,0))</f>
        <v/>
      </c>
      <c r="S197" s="106" t="str">
        <f>IF(Table2[[#This Row],[Defect Classification]]="","",IF(Table2[[#This Row],[Defect Classification]]="External",1,0))</f>
        <v/>
      </c>
      <c r="T197" s="100"/>
      <c r="U197" s="101"/>
      <c r="V197" s="100"/>
      <c r="W197" s="101"/>
      <c r="X197" s="101"/>
      <c r="Y197" s="101"/>
      <c r="Z197" s="101"/>
      <c r="AA197" s="112" t="str">
        <f>IF(ISNA(VLOOKUP(Table2[[#This Row],[Task ID]],Table1[],17,FALSE)),"",VLOOKUP(Table2[[#This Row],[Task ID]],Table1[],17,FALSE))</f>
        <v/>
      </c>
      <c r="AB197" s="115" t="str">
        <f>IF(Table2[[#This Row],[Defect Detected On Date ]]="","",TEXT(Table2[[#This Row],[Defect Detected On Date ]],"mmm"))</f>
        <v/>
      </c>
      <c r="AE197" s="63"/>
    </row>
    <row r="198" spans="2:31">
      <c r="B198" s="100"/>
      <c r="C198" s="100"/>
      <c r="D198" s="101"/>
      <c r="E198" s="101"/>
      <c r="F198" s="101"/>
      <c r="G198" s="102"/>
      <c r="H198" s="101"/>
      <c r="I198" s="101"/>
      <c r="J198" s="101"/>
      <c r="K198" s="101"/>
      <c r="L198" s="101"/>
      <c r="M198" s="101"/>
      <c r="N198" s="100"/>
      <c r="O198" s="100"/>
      <c r="P198" s="101"/>
      <c r="Q198" s="101"/>
      <c r="R198" s="106" t="str">
        <f>IF(Table2[[#This Row],[Defect Classification]]="","",IF(Table2[[#This Row],[Defect Classification]]="Internal",1,0))</f>
        <v/>
      </c>
      <c r="S198" s="106" t="str">
        <f>IF(Table2[[#This Row],[Defect Classification]]="","",IF(Table2[[#This Row],[Defect Classification]]="External",1,0))</f>
        <v/>
      </c>
      <c r="T198" s="100"/>
      <c r="U198" s="101"/>
      <c r="V198" s="100"/>
      <c r="W198" s="101"/>
      <c r="X198" s="101"/>
      <c r="Y198" s="101"/>
      <c r="Z198" s="101"/>
      <c r="AA198" s="112" t="str">
        <f>IF(ISNA(VLOOKUP(Table2[[#This Row],[Task ID]],Table1[],17,FALSE)),"",VLOOKUP(Table2[[#This Row],[Task ID]],Table1[],17,FALSE))</f>
        <v/>
      </c>
      <c r="AB198" s="115" t="str">
        <f>IF(Table2[[#This Row],[Defect Detected On Date ]]="","",TEXT(Table2[[#This Row],[Defect Detected On Date ]],"mmm"))</f>
        <v/>
      </c>
      <c r="AE198" s="63"/>
    </row>
    <row r="199" spans="2:31">
      <c r="B199" s="100"/>
      <c r="C199" s="100"/>
      <c r="D199" s="101"/>
      <c r="E199" s="101"/>
      <c r="F199" s="101"/>
      <c r="G199" s="102"/>
      <c r="H199" s="101"/>
      <c r="I199" s="101"/>
      <c r="J199" s="101"/>
      <c r="K199" s="101"/>
      <c r="L199" s="101"/>
      <c r="M199" s="101"/>
      <c r="N199" s="100"/>
      <c r="O199" s="100"/>
      <c r="P199" s="101"/>
      <c r="Q199" s="101"/>
      <c r="R199" s="106" t="str">
        <f>IF(Table2[[#This Row],[Defect Classification]]="","",IF(Table2[[#This Row],[Defect Classification]]="Internal",1,0))</f>
        <v/>
      </c>
      <c r="S199" s="106" t="str">
        <f>IF(Table2[[#This Row],[Defect Classification]]="","",IF(Table2[[#This Row],[Defect Classification]]="External",1,0))</f>
        <v/>
      </c>
      <c r="T199" s="100"/>
      <c r="U199" s="101"/>
      <c r="V199" s="100"/>
      <c r="W199" s="101"/>
      <c r="X199" s="101"/>
      <c r="Y199" s="101"/>
      <c r="Z199" s="101"/>
      <c r="AA199" s="112" t="str">
        <f>IF(ISNA(VLOOKUP(Table2[[#This Row],[Task ID]],Table1[],17,FALSE)),"",VLOOKUP(Table2[[#This Row],[Task ID]],Table1[],17,FALSE))</f>
        <v/>
      </c>
      <c r="AB199" s="115" t="str">
        <f>IF(Table2[[#This Row],[Defect Detected On Date ]]="","",TEXT(Table2[[#This Row],[Defect Detected On Date ]],"mmm"))</f>
        <v/>
      </c>
      <c r="AE199" s="63"/>
    </row>
    <row r="200" spans="2:31">
      <c r="B200" s="100"/>
      <c r="C200" s="100"/>
      <c r="D200" s="101"/>
      <c r="E200" s="101"/>
      <c r="F200" s="101"/>
      <c r="G200" s="102"/>
      <c r="H200" s="101"/>
      <c r="I200" s="101"/>
      <c r="J200" s="101"/>
      <c r="K200" s="101"/>
      <c r="L200" s="101"/>
      <c r="M200" s="101"/>
      <c r="N200" s="100"/>
      <c r="O200" s="100"/>
      <c r="P200" s="101"/>
      <c r="Q200" s="101"/>
      <c r="R200" s="106" t="str">
        <f>IF(Table2[[#This Row],[Defect Classification]]="","",IF(Table2[[#This Row],[Defect Classification]]="Internal",1,0))</f>
        <v/>
      </c>
      <c r="S200" s="106" t="str">
        <f>IF(Table2[[#This Row],[Defect Classification]]="","",IF(Table2[[#This Row],[Defect Classification]]="External",1,0))</f>
        <v/>
      </c>
      <c r="T200" s="100"/>
      <c r="U200" s="101"/>
      <c r="V200" s="100"/>
      <c r="W200" s="101"/>
      <c r="X200" s="101"/>
      <c r="Y200" s="101"/>
      <c r="Z200" s="101"/>
      <c r="AA200" s="112" t="str">
        <f>IF(ISNA(VLOOKUP(Table2[[#This Row],[Task ID]],Table1[],17,FALSE)),"",VLOOKUP(Table2[[#This Row],[Task ID]],Table1[],17,FALSE))</f>
        <v/>
      </c>
      <c r="AB200" s="115" t="str">
        <f>IF(Table2[[#This Row],[Defect Detected On Date ]]="","",TEXT(Table2[[#This Row],[Defect Detected On Date ]],"mmm"))</f>
        <v/>
      </c>
      <c r="AE200" s="63"/>
    </row>
    <row r="201" spans="2:31">
      <c r="B201" s="100"/>
      <c r="C201" s="100"/>
      <c r="D201" s="101"/>
      <c r="E201" s="101"/>
      <c r="F201" s="101"/>
      <c r="G201" s="102"/>
      <c r="H201" s="101"/>
      <c r="I201" s="101"/>
      <c r="J201" s="101"/>
      <c r="K201" s="101"/>
      <c r="L201" s="101"/>
      <c r="M201" s="101"/>
      <c r="N201" s="100"/>
      <c r="O201" s="100"/>
      <c r="P201" s="101"/>
      <c r="Q201" s="101"/>
      <c r="R201" s="106" t="str">
        <f>IF(Table2[[#This Row],[Defect Classification]]="","",IF(Table2[[#This Row],[Defect Classification]]="Internal",1,0))</f>
        <v/>
      </c>
      <c r="S201" s="106" t="str">
        <f>IF(Table2[[#This Row],[Defect Classification]]="","",IF(Table2[[#This Row],[Defect Classification]]="External",1,0))</f>
        <v/>
      </c>
      <c r="T201" s="100"/>
      <c r="U201" s="101"/>
      <c r="V201" s="100"/>
      <c r="W201" s="101"/>
      <c r="X201" s="101"/>
      <c r="Y201" s="101"/>
      <c r="Z201" s="101"/>
      <c r="AA201" s="112" t="str">
        <f>IF(ISNA(VLOOKUP(Table2[[#This Row],[Task ID]],Table1[],17,FALSE)),"",VLOOKUP(Table2[[#This Row],[Task ID]],Table1[],17,FALSE))</f>
        <v/>
      </c>
      <c r="AB201" s="115" t="str">
        <f>IF(Table2[[#This Row],[Defect Detected On Date ]]="","",TEXT(Table2[[#This Row],[Defect Detected On Date ]],"mmm"))</f>
        <v/>
      </c>
      <c r="AE201" s="63"/>
    </row>
    <row r="202" spans="2:31">
      <c r="B202" s="100"/>
      <c r="C202" s="100"/>
      <c r="D202" s="101"/>
      <c r="E202" s="101"/>
      <c r="F202" s="101"/>
      <c r="G202" s="102"/>
      <c r="H202" s="101"/>
      <c r="I202" s="101"/>
      <c r="J202" s="101"/>
      <c r="K202" s="101"/>
      <c r="L202" s="101"/>
      <c r="M202" s="101"/>
      <c r="N202" s="100"/>
      <c r="O202" s="100"/>
      <c r="P202" s="101"/>
      <c r="Q202" s="101"/>
      <c r="R202" s="106" t="str">
        <f>IF(Table2[[#This Row],[Defect Classification]]="","",IF(Table2[[#This Row],[Defect Classification]]="Internal",1,0))</f>
        <v/>
      </c>
      <c r="S202" s="106" t="str">
        <f>IF(Table2[[#This Row],[Defect Classification]]="","",IF(Table2[[#This Row],[Defect Classification]]="External",1,0))</f>
        <v/>
      </c>
      <c r="T202" s="100"/>
      <c r="U202" s="101"/>
      <c r="V202" s="100"/>
      <c r="W202" s="101"/>
      <c r="X202" s="101"/>
      <c r="Y202" s="101"/>
      <c r="Z202" s="101"/>
      <c r="AA202" s="112" t="str">
        <f>IF(ISNA(VLOOKUP(Table2[[#This Row],[Task ID]],Table1[],17,FALSE)),"",VLOOKUP(Table2[[#This Row],[Task ID]],Table1[],17,FALSE))</f>
        <v/>
      </c>
      <c r="AB202" s="115" t="str">
        <f>IF(Table2[[#This Row],[Defect Detected On Date ]]="","",TEXT(Table2[[#This Row],[Defect Detected On Date ]],"mmm"))</f>
        <v/>
      </c>
      <c r="AE202" s="63"/>
    </row>
    <row r="203" spans="2:31">
      <c r="B203" s="100"/>
      <c r="C203" s="100"/>
      <c r="D203" s="101"/>
      <c r="E203" s="101"/>
      <c r="F203" s="101"/>
      <c r="G203" s="102"/>
      <c r="H203" s="101"/>
      <c r="I203" s="101"/>
      <c r="J203" s="101"/>
      <c r="K203" s="101"/>
      <c r="L203" s="101"/>
      <c r="M203" s="101"/>
      <c r="N203" s="100"/>
      <c r="O203" s="100"/>
      <c r="P203" s="101"/>
      <c r="Q203" s="101"/>
      <c r="R203" s="106" t="str">
        <f>IF(Table2[[#This Row],[Defect Classification]]="","",IF(Table2[[#This Row],[Defect Classification]]="Internal",1,0))</f>
        <v/>
      </c>
      <c r="S203" s="106" t="str">
        <f>IF(Table2[[#This Row],[Defect Classification]]="","",IF(Table2[[#This Row],[Defect Classification]]="External",1,0))</f>
        <v/>
      </c>
      <c r="T203" s="100"/>
      <c r="U203" s="101"/>
      <c r="V203" s="100"/>
      <c r="W203" s="101"/>
      <c r="X203" s="101"/>
      <c r="Y203" s="101"/>
      <c r="Z203" s="101"/>
      <c r="AA203" s="112" t="str">
        <f>IF(ISNA(VLOOKUP(Table2[[#This Row],[Task ID]],Table1[],17,FALSE)),"",VLOOKUP(Table2[[#This Row],[Task ID]],Table1[],17,FALSE))</f>
        <v/>
      </c>
      <c r="AB203" s="115" t="str">
        <f>IF(Table2[[#This Row],[Defect Detected On Date ]]="","",TEXT(Table2[[#This Row],[Defect Detected On Date ]],"mmm"))</f>
        <v/>
      </c>
      <c r="AE203" s="63"/>
    </row>
    <row r="204" spans="2:31">
      <c r="B204" s="100"/>
      <c r="C204" s="100"/>
      <c r="D204" s="101"/>
      <c r="E204" s="101"/>
      <c r="F204" s="101"/>
      <c r="G204" s="102"/>
      <c r="H204" s="101"/>
      <c r="I204" s="101"/>
      <c r="J204" s="101"/>
      <c r="K204" s="101"/>
      <c r="L204" s="101"/>
      <c r="M204" s="101"/>
      <c r="N204" s="100"/>
      <c r="O204" s="100"/>
      <c r="P204" s="101"/>
      <c r="Q204" s="101"/>
      <c r="R204" s="106" t="str">
        <f>IF(Table2[[#This Row],[Defect Classification]]="","",IF(Table2[[#This Row],[Defect Classification]]="Internal",1,0))</f>
        <v/>
      </c>
      <c r="S204" s="106" t="str">
        <f>IF(Table2[[#This Row],[Defect Classification]]="","",IF(Table2[[#This Row],[Defect Classification]]="External",1,0))</f>
        <v/>
      </c>
      <c r="T204" s="100"/>
      <c r="U204" s="101"/>
      <c r="V204" s="100"/>
      <c r="W204" s="101"/>
      <c r="X204" s="101"/>
      <c r="Y204" s="101"/>
      <c r="Z204" s="101"/>
      <c r="AA204" s="112" t="str">
        <f>IF(ISNA(VLOOKUP(Table2[[#This Row],[Task ID]],Table1[],17,FALSE)),"",VLOOKUP(Table2[[#This Row],[Task ID]],Table1[],17,FALSE))</f>
        <v/>
      </c>
      <c r="AB204" s="115" t="str">
        <f>IF(Table2[[#This Row],[Defect Detected On Date ]]="","",TEXT(Table2[[#This Row],[Defect Detected On Date ]],"mmm"))</f>
        <v/>
      </c>
      <c r="AE204" s="63"/>
    </row>
    <row r="205" spans="2:31">
      <c r="B205" s="100"/>
      <c r="C205" s="100"/>
      <c r="D205" s="101"/>
      <c r="E205" s="101"/>
      <c r="F205" s="101"/>
      <c r="G205" s="102"/>
      <c r="H205" s="101"/>
      <c r="I205" s="101"/>
      <c r="J205" s="101"/>
      <c r="K205" s="101"/>
      <c r="L205" s="101"/>
      <c r="M205" s="101"/>
      <c r="N205" s="100"/>
      <c r="O205" s="100"/>
      <c r="P205" s="101"/>
      <c r="Q205" s="101"/>
      <c r="R205" s="106" t="str">
        <f>IF(Table2[[#This Row],[Defect Classification]]="","",IF(Table2[[#This Row],[Defect Classification]]="Internal",1,0))</f>
        <v/>
      </c>
      <c r="S205" s="106" t="str">
        <f>IF(Table2[[#This Row],[Defect Classification]]="","",IF(Table2[[#This Row],[Defect Classification]]="External",1,0))</f>
        <v/>
      </c>
      <c r="T205" s="100"/>
      <c r="U205" s="101"/>
      <c r="V205" s="100"/>
      <c r="W205" s="101"/>
      <c r="X205" s="101"/>
      <c r="Y205" s="101"/>
      <c r="Z205" s="101"/>
      <c r="AA205" s="112" t="str">
        <f>IF(ISNA(VLOOKUP(Table2[[#This Row],[Task ID]],Table1[],17,FALSE)),"",VLOOKUP(Table2[[#This Row],[Task ID]],Table1[],17,FALSE))</f>
        <v/>
      </c>
      <c r="AB205" s="115" t="str">
        <f>IF(Table2[[#This Row],[Defect Detected On Date ]]="","",TEXT(Table2[[#This Row],[Defect Detected On Date ]],"mmm"))</f>
        <v/>
      </c>
      <c r="AE205" s="63"/>
    </row>
    <row r="206" spans="2:31">
      <c r="B206" s="100"/>
      <c r="C206" s="100"/>
      <c r="D206" s="101"/>
      <c r="E206" s="101"/>
      <c r="F206" s="101"/>
      <c r="G206" s="102"/>
      <c r="H206" s="101"/>
      <c r="I206" s="101"/>
      <c r="J206" s="101"/>
      <c r="K206" s="101"/>
      <c r="L206" s="101"/>
      <c r="M206" s="101"/>
      <c r="N206" s="100"/>
      <c r="O206" s="100"/>
      <c r="P206" s="101"/>
      <c r="Q206" s="101"/>
      <c r="R206" s="106" t="str">
        <f>IF(Table2[[#This Row],[Defect Classification]]="","",IF(Table2[[#This Row],[Defect Classification]]="Internal",1,0))</f>
        <v/>
      </c>
      <c r="S206" s="106" t="str">
        <f>IF(Table2[[#This Row],[Defect Classification]]="","",IF(Table2[[#This Row],[Defect Classification]]="External",1,0))</f>
        <v/>
      </c>
      <c r="T206" s="100"/>
      <c r="U206" s="101"/>
      <c r="V206" s="100"/>
      <c r="W206" s="101"/>
      <c r="X206" s="101"/>
      <c r="Y206" s="101"/>
      <c r="Z206" s="101"/>
      <c r="AA206" s="112" t="str">
        <f>IF(ISNA(VLOOKUP(Table2[[#This Row],[Task ID]],Table1[],17,FALSE)),"",VLOOKUP(Table2[[#This Row],[Task ID]],Table1[],17,FALSE))</f>
        <v/>
      </c>
      <c r="AB206" s="115" t="str">
        <f>IF(Table2[[#This Row],[Defect Detected On Date ]]="","",TEXT(Table2[[#This Row],[Defect Detected On Date ]],"mmm"))</f>
        <v/>
      </c>
      <c r="AE206" s="63"/>
    </row>
    <row r="207" spans="2:31">
      <c r="B207" s="100"/>
      <c r="C207" s="100"/>
      <c r="D207" s="101"/>
      <c r="E207" s="101"/>
      <c r="F207" s="101"/>
      <c r="G207" s="102"/>
      <c r="H207" s="101"/>
      <c r="I207" s="101"/>
      <c r="J207" s="101"/>
      <c r="K207" s="101"/>
      <c r="L207" s="101"/>
      <c r="M207" s="101"/>
      <c r="N207" s="100"/>
      <c r="O207" s="100"/>
      <c r="P207" s="101"/>
      <c r="Q207" s="101"/>
      <c r="R207" s="106" t="str">
        <f>IF(Table2[[#This Row],[Defect Classification]]="","",IF(Table2[[#This Row],[Defect Classification]]="Internal",1,0))</f>
        <v/>
      </c>
      <c r="S207" s="106" t="str">
        <f>IF(Table2[[#This Row],[Defect Classification]]="","",IF(Table2[[#This Row],[Defect Classification]]="External",1,0))</f>
        <v/>
      </c>
      <c r="T207" s="100"/>
      <c r="U207" s="101"/>
      <c r="V207" s="100"/>
      <c r="W207" s="101"/>
      <c r="X207" s="101"/>
      <c r="Y207" s="101"/>
      <c r="Z207" s="101"/>
      <c r="AA207" s="112" t="str">
        <f>IF(ISNA(VLOOKUP(Table2[[#This Row],[Task ID]],Table1[],17,FALSE)),"",VLOOKUP(Table2[[#This Row],[Task ID]],Table1[],17,FALSE))</f>
        <v/>
      </c>
      <c r="AB207" s="115" t="str">
        <f>IF(Table2[[#This Row],[Defect Detected On Date ]]="","",TEXT(Table2[[#This Row],[Defect Detected On Date ]],"mmm"))</f>
        <v/>
      </c>
      <c r="AE207" s="63"/>
    </row>
    <row r="208" spans="2:31">
      <c r="B208" s="100"/>
      <c r="C208" s="100"/>
      <c r="D208" s="101"/>
      <c r="E208" s="101"/>
      <c r="F208" s="101"/>
      <c r="G208" s="102"/>
      <c r="H208" s="101"/>
      <c r="I208" s="101"/>
      <c r="J208" s="101"/>
      <c r="K208" s="101"/>
      <c r="L208" s="101"/>
      <c r="M208" s="101"/>
      <c r="N208" s="100"/>
      <c r="O208" s="100"/>
      <c r="P208" s="101"/>
      <c r="Q208" s="101"/>
      <c r="R208" s="106" t="str">
        <f>IF(Table2[[#This Row],[Defect Classification]]="","",IF(Table2[[#This Row],[Defect Classification]]="Internal",1,0))</f>
        <v/>
      </c>
      <c r="S208" s="106" t="str">
        <f>IF(Table2[[#This Row],[Defect Classification]]="","",IF(Table2[[#This Row],[Defect Classification]]="External",1,0))</f>
        <v/>
      </c>
      <c r="T208" s="100"/>
      <c r="U208" s="101"/>
      <c r="V208" s="100"/>
      <c r="W208" s="101"/>
      <c r="X208" s="101"/>
      <c r="Y208" s="101"/>
      <c r="Z208" s="101"/>
      <c r="AA208" s="112" t="str">
        <f>IF(ISNA(VLOOKUP(Table2[[#This Row],[Task ID]],Table1[],17,FALSE)),"",VLOOKUP(Table2[[#This Row],[Task ID]],Table1[],17,FALSE))</f>
        <v/>
      </c>
      <c r="AB208" s="115" t="str">
        <f>IF(Table2[[#This Row],[Defect Detected On Date ]]="","",TEXT(Table2[[#This Row],[Defect Detected On Date ]],"mmm"))</f>
        <v/>
      </c>
      <c r="AE208" s="63"/>
    </row>
    <row r="209" spans="2:31">
      <c r="B209" s="100"/>
      <c r="C209" s="100"/>
      <c r="D209" s="101"/>
      <c r="E209" s="101"/>
      <c r="F209" s="101"/>
      <c r="G209" s="102"/>
      <c r="H209" s="101"/>
      <c r="I209" s="101"/>
      <c r="J209" s="101"/>
      <c r="K209" s="101"/>
      <c r="L209" s="101"/>
      <c r="M209" s="101"/>
      <c r="N209" s="100"/>
      <c r="O209" s="100"/>
      <c r="P209" s="101"/>
      <c r="Q209" s="101"/>
      <c r="R209" s="106" t="str">
        <f>IF(Table2[[#This Row],[Defect Classification]]="","",IF(Table2[[#This Row],[Defect Classification]]="Internal",1,0))</f>
        <v/>
      </c>
      <c r="S209" s="106" t="str">
        <f>IF(Table2[[#This Row],[Defect Classification]]="","",IF(Table2[[#This Row],[Defect Classification]]="External",1,0))</f>
        <v/>
      </c>
      <c r="T209" s="100"/>
      <c r="U209" s="101"/>
      <c r="V209" s="100"/>
      <c r="W209" s="101"/>
      <c r="X209" s="101"/>
      <c r="Y209" s="101"/>
      <c r="Z209" s="101"/>
      <c r="AA209" s="112" t="str">
        <f>IF(ISNA(VLOOKUP(Table2[[#This Row],[Task ID]],Table1[],17,FALSE)),"",VLOOKUP(Table2[[#This Row],[Task ID]],Table1[],17,FALSE))</f>
        <v/>
      </c>
      <c r="AB209" s="115" t="str">
        <f>IF(Table2[[#This Row],[Defect Detected On Date ]]="","",TEXT(Table2[[#This Row],[Defect Detected On Date ]],"mmm"))</f>
        <v/>
      </c>
      <c r="AE209" s="63"/>
    </row>
    <row r="210" spans="2:31">
      <c r="B210" s="100"/>
      <c r="C210" s="100"/>
      <c r="D210" s="101"/>
      <c r="E210" s="101"/>
      <c r="F210" s="101"/>
      <c r="G210" s="102"/>
      <c r="H210" s="101"/>
      <c r="I210" s="101"/>
      <c r="J210" s="101"/>
      <c r="K210" s="101"/>
      <c r="L210" s="101"/>
      <c r="M210" s="101"/>
      <c r="N210" s="100"/>
      <c r="O210" s="100"/>
      <c r="P210" s="101"/>
      <c r="Q210" s="101"/>
      <c r="R210" s="106" t="str">
        <f>IF(Table2[[#This Row],[Defect Classification]]="","",IF(Table2[[#This Row],[Defect Classification]]="Internal",1,0))</f>
        <v/>
      </c>
      <c r="S210" s="106" t="str">
        <f>IF(Table2[[#This Row],[Defect Classification]]="","",IF(Table2[[#This Row],[Defect Classification]]="External",1,0))</f>
        <v/>
      </c>
      <c r="T210" s="100"/>
      <c r="U210" s="101"/>
      <c r="V210" s="100"/>
      <c r="W210" s="101"/>
      <c r="X210" s="101"/>
      <c r="Y210" s="101"/>
      <c r="Z210" s="101"/>
      <c r="AA210" s="112" t="str">
        <f>IF(ISNA(VLOOKUP(Table2[[#This Row],[Task ID]],Table1[],17,FALSE)),"",VLOOKUP(Table2[[#This Row],[Task ID]],Table1[],17,FALSE))</f>
        <v/>
      </c>
      <c r="AB210" s="115" t="str">
        <f>IF(Table2[[#This Row],[Defect Detected On Date ]]="","",TEXT(Table2[[#This Row],[Defect Detected On Date ]],"mmm"))</f>
        <v/>
      </c>
      <c r="AE210" s="63"/>
    </row>
    <row r="211" spans="2:31">
      <c r="B211" s="100"/>
      <c r="C211" s="100"/>
      <c r="D211" s="101"/>
      <c r="E211" s="101"/>
      <c r="F211" s="101"/>
      <c r="G211" s="102"/>
      <c r="H211" s="101"/>
      <c r="I211" s="101"/>
      <c r="J211" s="101"/>
      <c r="K211" s="101"/>
      <c r="L211" s="101"/>
      <c r="M211" s="101"/>
      <c r="N211" s="100"/>
      <c r="O211" s="100"/>
      <c r="P211" s="101"/>
      <c r="Q211" s="101"/>
      <c r="R211" s="106" t="str">
        <f>IF(Table2[[#This Row],[Defect Classification]]="","",IF(Table2[[#This Row],[Defect Classification]]="Internal",1,0))</f>
        <v/>
      </c>
      <c r="S211" s="106" t="str">
        <f>IF(Table2[[#This Row],[Defect Classification]]="","",IF(Table2[[#This Row],[Defect Classification]]="External",1,0))</f>
        <v/>
      </c>
      <c r="T211" s="100"/>
      <c r="U211" s="101"/>
      <c r="V211" s="100"/>
      <c r="W211" s="101"/>
      <c r="X211" s="101"/>
      <c r="Y211" s="101"/>
      <c r="Z211" s="101"/>
      <c r="AA211" s="112" t="str">
        <f>IF(ISNA(VLOOKUP(Table2[[#This Row],[Task ID]],Table1[],17,FALSE)),"",VLOOKUP(Table2[[#This Row],[Task ID]],Table1[],17,FALSE))</f>
        <v/>
      </c>
      <c r="AB211" s="115" t="str">
        <f>IF(Table2[[#This Row],[Defect Detected On Date ]]="","",TEXT(Table2[[#This Row],[Defect Detected On Date ]],"mmm"))</f>
        <v/>
      </c>
      <c r="AE211" s="63"/>
    </row>
    <row r="212" spans="2:31">
      <c r="B212" s="100"/>
      <c r="C212" s="100"/>
      <c r="D212" s="101"/>
      <c r="E212" s="101"/>
      <c r="F212" s="101"/>
      <c r="G212" s="102"/>
      <c r="H212" s="101"/>
      <c r="I212" s="101"/>
      <c r="J212" s="101"/>
      <c r="K212" s="101"/>
      <c r="L212" s="101"/>
      <c r="M212" s="101"/>
      <c r="N212" s="100"/>
      <c r="O212" s="100"/>
      <c r="P212" s="101"/>
      <c r="Q212" s="101"/>
      <c r="R212" s="106" t="str">
        <f>IF(Table2[[#This Row],[Defect Classification]]="","",IF(Table2[[#This Row],[Defect Classification]]="Internal",1,0))</f>
        <v/>
      </c>
      <c r="S212" s="106" t="str">
        <f>IF(Table2[[#This Row],[Defect Classification]]="","",IF(Table2[[#This Row],[Defect Classification]]="External",1,0))</f>
        <v/>
      </c>
      <c r="T212" s="100"/>
      <c r="U212" s="101"/>
      <c r="V212" s="100"/>
      <c r="W212" s="101"/>
      <c r="X212" s="101"/>
      <c r="Y212" s="101"/>
      <c r="Z212" s="101"/>
      <c r="AA212" s="112" t="str">
        <f>IF(ISNA(VLOOKUP(Table2[[#This Row],[Task ID]],Table1[],17,FALSE)),"",VLOOKUP(Table2[[#This Row],[Task ID]],Table1[],17,FALSE))</f>
        <v/>
      </c>
      <c r="AB212" s="115" t="str">
        <f>IF(Table2[[#This Row],[Defect Detected On Date ]]="","",TEXT(Table2[[#This Row],[Defect Detected On Date ]],"mmm"))</f>
        <v/>
      </c>
      <c r="AE212" s="63"/>
    </row>
    <row r="213" spans="2:31">
      <c r="B213" s="100"/>
      <c r="C213" s="100"/>
      <c r="D213" s="101"/>
      <c r="E213" s="101"/>
      <c r="F213" s="101"/>
      <c r="G213" s="102"/>
      <c r="H213" s="101"/>
      <c r="I213" s="101"/>
      <c r="J213" s="101"/>
      <c r="K213" s="101"/>
      <c r="L213" s="101"/>
      <c r="M213" s="101"/>
      <c r="N213" s="100"/>
      <c r="O213" s="100"/>
      <c r="P213" s="101"/>
      <c r="Q213" s="101"/>
      <c r="R213" s="106" t="str">
        <f>IF(Table2[[#This Row],[Defect Classification]]="","",IF(Table2[[#This Row],[Defect Classification]]="Internal",1,0))</f>
        <v/>
      </c>
      <c r="S213" s="106" t="str">
        <f>IF(Table2[[#This Row],[Defect Classification]]="","",IF(Table2[[#This Row],[Defect Classification]]="External",1,0))</f>
        <v/>
      </c>
      <c r="T213" s="100"/>
      <c r="U213" s="101"/>
      <c r="V213" s="100"/>
      <c r="W213" s="101"/>
      <c r="X213" s="101"/>
      <c r="Y213" s="101"/>
      <c r="Z213" s="101"/>
      <c r="AA213" s="112" t="str">
        <f>IF(ISNA(VLOOKUP(Table2[[#This Row],[Task ID]],Table1[],17,FALSE)),"",VLOOKUP(Table2[[#This Row],[Task ID]],Table1[],17,FALSE))</f>
        <v/>
      </c>
      <c r="AB213" s="115" t="str">
        <f>IF(Table2[[#This Row],[Defect Detected On Date ]]="","",TEXT(Table2[[#This Row],[Defect Detected On Date ]],"mmm"))</f>
        <v/>
      </c>
      <c r="AE213" s="63"/>
    </row>
    <row r="214" spans="2:31">
      <c r="B214" s="100"/>
      <c r="C214" s="100"/>
      <c r="D214" s="101"/>
      <c r="E214" s="101"/>
      <c r="F214" s="101"/>
      <c r="G214" s="102"/>
      <c r="H214" s="101"/>
      <c r="I214" s="101"/>
      <c r="J214" s="101"/>
      <c r="K214" s="101"/>
      <c r="L214" s="101"/>
      <c r="M214" s="101"/>
      <c r="N214" s="100"/>
      <c r="O214" s="100"/>
      <c r="P214" s="101"/>
      <c r="Q214" s="101"/>
      <c r="R214" s="106" t="str">
        <f>IF(Table2[[#This Row],[Defect Classification]]="","",IF(Table2[[#This Row],[Defect Classification]]="Internal",1,0))</f>
        <v/>
      </c>
      <c r="S214" s="106" t="str">
        <f>IF(Table2[[#This Row],[Defect Classification]]="","",IF(Table2[[#This Row],[Defect Classification]]="External",1,0))</f>
        <v/>
      </c>
      <c r="T214" s="100"/>
      <c r="U214" s="101"/>
      <c r="V214" s="100"/>
      <c r="W214" s="101"/>
      <c r="X214" s="101"/>
      <c r="Y214" s="101"/>
      <c r="Z214" s="101"/>
      <c r="AA214" s="112" t="str">
        <f>IF(ISNA(VLOOKUP(Table2[[#This Row],[Task ID]],Table1[],17,FALSE)),"",VLOOKUP(Table2[[#This Row],[Task ID]],Table1[],17,FALSE))</f>
        <v/>
      </c>
      <c r="AB214" s="115" t="str">
        <f>IF(Table2[[#This Row],[Defect Detected On Date ]]="","",TEXT(Table2[[#This Row],[Defect Detected On Date ]],"mmm"))</f>
        <v/>
      </c>
      <c r="AE214" s="63"/>
    </row>
    <row r="215" spans="2:31">
      <c r="B215" s="100"/>
      <c r="C215" s="100"/>
      <c r="D215" s="101"/>
      <c r="E215" s="101"/>
      <c r="F215" s="101"/>
      <c r="G215" s="102"/>
      <c r="H215" s="101"/>
      <c r="I215" s="101"/>
      <c r="J215" s="101"/>
      <c r="K215" s="101"/>
      <c r="L215" s="101"/>
      <c r="M215" s="101"/>
      <c r="N215" s="100"/>
      <c r="O215" s="100"/>
      <c r="P215" s="101"/>
      <c r="Q215" s="101"/>
      <c r="R215" s="106" t="str">
        <f>IF(Table2[[#This Row],[Defect Classification]]="","",IF(Table2[[#This Row],[Defect Classification]]="Internal",1,0))</f>
        <v/>
      </c>
      <c r="S215" s="106" t="str">
        <f>IF(Table2[[#This Row],[Defect Classification]]="","",IF(Table2[[#This Row],[Defect Classification]]="External",1,0))</f>
        <v/>
      </c>
      <c r="T215" s="100"/>
      <c r="U215" s="101"/>
      <c r="V215" s="100"/>
      <c r="W215" s="101"/>
      <c r="X215" s="101"/>
      <c r="Y215" s="101"/>
      <c r="Z215" s="101"/>
      <c r="AA215" s="112" t="str">
        <f>IF(ISNA(VLOOKUP(Table2[[#This Row],[Task ID]],Table1[],17,FALSE)),"",VLOOKUP(Table2[[#This Row],[Task ID]],Table1[],17,FALSE))</f>
        <v/>
      </c>
      <c r="AB215" s="115" t="str">
        <f>IF(Table2[[#This Row],[Defect Detected On Date ]]="","",TEXT(Table2[[#This Row],[Defect Detected On Date ]],"mmm"))</f>
        <v/>
      </c>
      <c r="AE215" s="63"/>
    </row>
    <row r="216" spans="2:31">
      <c r="B216" s="100"/>
      <c r="C216" s="100"/>
      <c r="D216" s="101"/>
      <c r="E216" s="101"/>
      <c r="F216" s="101"/>
      <c r="G216" s="102"/>
      <c r="H216" s="101"/>
      <c r="I216" s="101"/>
      <c r="J216" s="101"/>
      <c r="K216" s="101"/>
      <c r="L216" s="101"/>
      <c r="M216" s="101"/>
      <c r="N216" s="100"/>
      <c r="O216" s="100"/>
      <c r="P216" s="101"/>
      <c r="Q216" s="101"/>
      <c r="R216" s="106" t="str">
        <f>IF(Table2[[#This Row],[Defect Classification]]="","",IF(Table2[[#This Row],[Defect Classification]]="Internal",1,0))</f>
        <v/>
      </c>
      <c r="S216" s="106" t="str">
        <f>IF(Table2[[#This Row],[Defect Classification]]="","",IF(Table2[[#This Row],[Defect Classification]]="External",1,0))</f>
        <v/>
      </c>
      <c r="T216" s="100"/>
      <c r="U216" s="101"/>
      <c r="V216" s="100"/>
      <c r="W216" s="101"/>
      <c r="X216" s="101"/>
      <c r="Y216" s="101"/>
      <c r="Z216" s="101"/>
      <c r="AA216" s="112" t="str">
        <f>IF(ISNA(VLOOKUP(Table2[[#This Row],[Task ID]],Table1[],17,FALSE)),"",VLOOKUP(Table2[[#This Row],[Task ID]],Table1[],17,FALSE))</f>
        <v/>
      </c>
      <c r="AB216" s="115" t="str">
        <f>IF(Table2[[#This Row],[Defect Detected On Date ]]="","",TEXT(Table2[[#This Row],[Defect Detected On Date ]],"mmm"))</f>
        <v/>
      </c>
      <c r="AE216" s="63"/>
    </row>
    <row r="217" spans="2:31">
      <c r="B217" s="100"/>
      <c r="C217" s="100"/>
      <c r="D217" s="101"/>
      <c r="E217" s="101"/>
      <c r="F217" s="101"/>
      <c r="G217" s="102"/>
      <c r="H217" s="101"/>
      <c r="I217" s="101"/>
      <c r="J217" s="101"/>
      <c r="K217" s="101"/>
      <c r="L217" s="101"/>
      <c r="M217" s="101"/>
      <c r="N217" s="100"/>
      <c r="O217" s="100"/>
      <c r="P217" s="101"/>
      <c r="Q217" s="101"/>
      <c r="R217" s="106" t="str">
        <f>IF(Table2[[#This Row],[Defect Classification]]="","",IF(Table2[[#This Row],[Defect Classification]]="Internal",1,0))</f>
        <v/>
      </c>
      <c r="S217" s="106" t="str">
        <f>IF(Table2[[#This Row],[Defect Classification]]="","",IF(Table2[[#This Row],[Defect Classification]]="External",1,0))</f>
        <v/>
      </c>
      <c r="T217" s="100"/>
      <c r="U217" s="101"/>
      <c r="V217" s="100"/>
      <c r="W217" s="101"/>
      <c r="X217" s="101"/>
      <c r="Y217" s="101"/>
      <c r="Z217" s="101"/>
      <c r="AA217" s="112" t="str">
        <f>IF(ISNA(VLOOKUP(Table2[[#This Row],[Task ID]],Table1[],17,FALSE)),"",VLOOKUP(Table2[[#This Row],[Task ID]],Table1[],17,FALSE))</f>
        <v/>
      </c>
      <c r="AB217" s="115" t="str">
        <f>IF(Table2[[#This Row],[Defect Detected On Date ]]="","",TEXT(Table2[[#This Row],[Defect Detected On Date ]],"mmm"))</f>
        <v/>
      </c>
      <c r="AE217" s="63"/>
    </row>
    <row r="218" spans="2:31">
      <c r="B218" s="100"/>
      <c r="C218" s="100"/>
      <c r="D218" s="101"/>
      <c r="E218" s="101"/>
      <c r="F218" s="101"/>
      <c r="G218" s="102"/>
      <c r="H218" s="101"/>
      <c r="I218" s="101"/>
      <c r="J218" s="101"/>
      <c r="K218" s="101"/>
      <c r="L218" s="101"/>
      <c r="M218" s="101"/>
      <c r="N218" s="100"/>
      <c r="O218" s="100"/>
      <c r="P218" s="101"/>
      <c r="Q218" s="101"/>
      <c r="R218" s="106" t="str">
        <f>IF(Table2[[#This Row],[Defect Classification]]="","",IF(Table2[[#This Row],[Defect Classification]]="Internal",1,0))</f>
        <v/>
      </c>
      <c r="S218" s="106" t="str">
        <f>IF(Table2[[#This Row],[Defect Classification]]="","",IF(Table2[[#This Row],[Defect Classification]]="External",1,0))</f>
        <v/>
      </c>
      <c r="T218" s="100"/>
      <c r="U218" s="101"/>
      <c r="V218" s="100"/>
      <c r="W218" s="101"/>
      <c r="X218" s="101"/>
      <c r="Y218" s="101"/>
      <c r="Z218" s="101"/>
      <c r="AA218" s="112" t="str">
        <f>IF(ISNA(VLOOKUP(Table2[[#This Row],[Task ID]],Table1[],17,FALSE)),"",VLOOKUP(Table2[[#This Row],[Task ID]],Table1[],17,FALSE))</f>
        <v/>
      </c>
      <c r="AB218" s="115" t="str">
        <f>IF(Table2[[#This Row],[Defect Detected On Date ]]="","",TEXT(Table2[[#This Row],[Defect Detected On Date ]],"mmm"))</f>
        <v/>
      </c>
      <c r="AE218" s="63"/>
    </row>
    <row r="219" spans="2:31">
      <c r="B219" s="100"/>
      <c r="C219" s="100"/>
      <c r="D219" s="101"/>
      <c r="E219" s="101"/>
      <c r="F219" s="101"/>
      <c r="G219" s="102"/>
      <c r="H219" s="101"/>
      <c r="I219" s="101"/>
      <c r="J219" s="101"/>
      <c r="K219" s="101"/>
      <c r="L219" s="101"/>
      <c r="M219" s="101"/>
      <c r="N219" s="100"/>
      <c r="O219" s="100"/>
      <c r="P219" s="101"/>
      <c r="Q219" s="101"/>
      <c r="R219" s="106" t="str">
        <f>IF(Table2[[#This Row],[Defect Classification]]="","",IF(Table2[[#This Row],[Defect Classification]]="Internal",1,0))</f>
        <v/>
      </c>
      <c r="S219" s="106" t="str">
        <f>IF(Table2[[#This Row],[Defect Classification]]="","",IF(Table2[[#This Row],[Defect Classification]]="External",1,0))</f>
        <v/>
      </c>
      <c r="T219" s="100"/>
      <c r="U219" s="101"/>
      <c r="V219" s="100"/>
      <c r="W219" s="101"/>
      <c r="X219" s="101"/>
      <c r="Y219" s="101"/>
      <c r="Z219" s="101"/>
      <c r="AA219" s="112" t="str">
        <f>IF(ISNA(VLOOKUP(Table2[[#This Row],[Task ID]],Table1[],17,FALSE)),"",VLOOKUP(Table2[[#This Row],[Task ID]],Table1[],17,FALSE))</f>
        <v/>
      </c>
      <c r="AB219" s="115" t="str">
        <f>IF(Table2[[#This Row],[Defect Detected On Date ]]="","",TEXT(Table2[[#This Row],[Defect Detected On Date ]],"mmm"))</f>
        <v/>
      </c>
      <c r="AE219" s="63"/>
    </row>
    <row r="220" spans="2:31">
      <c r="B220" s="100"/>
      <c r="C220" s="100"/>
      <c r="D220" s="101"/>
      <c r="E220" s="101"/>
      <c r="F220" s="101"/>
      <c r="G220" s="102"/>
      <c r="H220" s="101"/>
      <c r="I220" s="101"/>
      <c r="J220" s="101"/>
      <c r="K220" s="101"/>
      <c r="L220" s="101"/>
      <c r="M220" s="101"/>
      <c r="N220" s="100"/>
      <c r="O220" s="100"/>
      <c r="P220" s="101"/>
      <c r="Q220" s="101"/>
      <c r="R220" s="106" t="str">
        <f>IF(Table2[[#This Row],[Defect Classification]]="","",IF(Table2[[#This Row],[Defect Classification]]="Internal",1,0))</f>
        <v/>
      </c>
      <c r="S220" s="106" t="str">
        <f>IF(Table2[[#This Row],[Defect Classification]]="","",IF(Table2[[#This Row],[Defect Classification]]="External",1,0))</f>
        <v/>
      </c>
      <c r="T220" s="100"/>
      <c r="U220" s="101"/>
      <c r="V220" s="100"/>
      <c r="W220" s="101"/>
      <c r="X220" s="101"/>
      <c r="Y220" s="101"/>
      <c r="Z220" s="101"/>
      <c r="AA220" s="112" t="str">
        <f>IF(ISNA(VLOOKUP(Table2[[#This Row],[Task ID]],Table1[],17,FALSE)),"",VLOOKUP(Table2[[#This Row],[Task ID]],Table1[],17,FALSE))</f>
        <v/>
      </c>
      <c r="AB220" s="115" t="str">
        <f>IF(Table2[[#This Row],[Defect Detected On Date ]]="","",TEXT(Table2[[#This Row],[Defect Detected On Date ]],"mmm"))</f>
        <v/>
      </c>
      <c r="AE220" s="63"/>
    </row>
    <row r="221" spans="2:31">
      <c r="B221" s="100"/>
      <c r="C221" s="100"/>
      <c r="D221" s="101"/>
      <c r="E221" s="101"/>
      <c r="F221" s="101"/>
      <c r="G221" s="102"/>
      <c r="H221" s="101"/>
      <c r="I221" s="101"/>
      <c r="J221" s="101"/>
      <c r="K221" s="101"/>
      <c r="L221" s="101"/>
      <c r="M221" s="101"/>
      <c r="N221" s="100"/>
      <c r="O221" s="100"/>
      <c r="P221" s="101"/>
      <c r="Q221" s="101"/>
      <c r="R221" s="106" t="str">
        <f>IF(Table2[[#This Row],[Defect Classification]]="","",IF(Table2[[#This Row],[Defect Classification]]="Internal",1,0))</f>
        <v/>
      </c>
      <c r="S221" s="106" t="str">
        <f>IF(Table2[[#This Row],[Defect Classification]]="","",IF(Table2[[#This Row],[Defect Classification]]="External",1,0))</f>
        <v/>
      </c>
      <c r="T221" s="100"/>
      <c r="U221" s="101"/>
      <c r="V221" s="100"/>
      <c r="W221" s="101"/>
      <c r="X221" s="101"/>
      <c r="Y221" s="101"/>
      <c r="Z221" s="101"/>
      <c r="AA221" s="112" t="str">
        <f>IF(ISNA(VLOOKUP(Table2[[#This Row],[Task ID]],Table1[],17,FALSE)),"",VLOOKUP(Table2[[#This Row],[Task ID]],Table1[],17,FALSE))</f>
        <v/>
      </c>
      <c r="AB221" s="115" t="str">
        <f>IF(Table2[[#This Row],[Defect Detected On Date ]]="","",TEXT(Table2[[#This Row],[Defect Detected On Date ]],"mmm"))</f>
        <v/>
      </c>
      <c r="AE221" s="63"/>
    </row>
    <row r="222" spans="2:31">
      <c r="B222" s="100"/>
      <c r="C222" s="100"/>
      <c r="D222" s="101"/>
      <c r="E222" s="101"/>
      <c r="F222" s="101"/>
      <c r="G222" s="102"/>
      <c r="H222" s="101"/>
      <c r="I222" s="101"/>
      <c r="J222" s="101"/>
      <c r="K222" s="101"/>
      <c r="L222" s="101"/>
      <c r="M222" s="101"/>
      <c r="N222" s="100"/>
      <c r="O222" s="100"/>
      <c r="P222" s="101"/>
      <c r="Q222" s="101"/>
      <c r="R222" s="106" t="str">
        <f>IF(Table2[[#This Row],[Defect Classification]]="","",IF(Table2[[#This Row],[Defect Classification]]="Internal",1,0))</f>
        <v/>
      </c>
      <c r="S222" s="106" t="str">
        <f>IF(Table2[[#This Row],[Defect Classification]]="","",IF(Table2[[#This Row],[Defect Classification]]="External",1,0))</f>
        <v/>
      </c>
      <c r="T222" s="100"/>
      <c r="U222" s="101"/>
      <c r="V222" s="100"/>
      <c r="W222" s="101"/>
      <c r="X222" s="101"/>
      <c r="Y222" s="101"/>
      <c r="Z222" s="101"/>
      <c r="AA222" s="112" t="str">
        <f>IF(ISNA(VLOOKUP(Table2[[#This Row],[Task ID]],Table1[],17,FALSE)),"",VLOOKUP(Table2[[#This Row],[Task ID]],Table1[],17,FALSE))</f>
        <v/>
      </c>
      <c r="AB222" s="115" t="str">
        <f>IF(Table2[[#This Row],[Defect Detected On Date ]]="","",TEXT(Table2[[#This Row],[Defect Detected On Date ]],"mmm"))</f>
        <v/>
      </c>
      <c r="AE222" s="63"/>
    </row>
    <row r="223" spans="2:31">
      <c r="B223" s="100"/>
      <c r="C223" s="100"/>
      <c r="D223" s="101"/>
      <c r="E223" s="101"/>
      <c r="F223" s="101"/>
      <c r="G223" s="102"/>
      <c r="H223" s="101"/>
      <c r="I223" s="101"/>
      <c r="J223" s="101"/>
      <c r="K223" s="101"/>
      <c r="L223" s="101"/>
      <c r="M223" s="101"/>
      <c r="N223" s="100"/>
      <c r="O223" s="100"/>
      <c r="P223" s="101"/>
      <c r="Q223" s="101"/>
      <c r="R223" s="106" t="str">
        <f>IF(Table2[[#This Row],[Defect Classification]]="","",IF(Table2[[#This Row],[Defect Classification]]="Internal",1,0))</f>
        <v/>
      </c>
      <c r="S223" s="106" t="str">
        <f>IF(Table2[[#This Row],[Defect Classification]]="","",IF(Table2[[#This Row],[Defect Classification]]="External",1,0))</f>
        <v/>
      </c>
      <c r="T223" s="100"/>
      <c r="U223" s="101"/>
      <c r="V223" s="100"/>
      <c r="W223" s="101"/>
      <c r="X223" s="101"/>
      <c r="Y223" s="101"/>
      <c r="Z223" s="101"/>
      <c r="AA223" s="112" t="str">
        <f>IF(ISNA(VLOOKUP(Table2[[#This Row],[Task ID]],Table1[],17,FALSE)),"",VLOOKUP(Table2[[#This Row],[Task ID]],Table1[],17,FALSE))</f>
        <v/>
      </c>
      <c r="AB223" s="115" t="str">
        <f>IF(Table2[[#This Row],[Defect Detected On Date ]]="","",TEXT(Table2[[#This Row],[Defect Detected On Date ]],"mmm"))</f>
        <v/>
      </c>
      <c r="AE223" s="63"/>
    </row>
    <row r="224" spans="2:31">
      <c r="B224" s="100"/>
      <c r="C224" s="100"/>
      <c r="D224" s="101"/>
      <c r="E224" s="101"/>
      <c r="F224" s="101"/>
      <c r="G224" s="102"/>
      <c r="H224" s="101"/>
      <c r="I224" s="101"/>
      <c r="J224" s="101"/>
      <c r="K224" s="101"/>
      <c r="L224" s="101"/>
      <c r="M224" s="101"/>
      <c r="N224" s="100"/>
      <c r="O224" s="100"/>
      <c r="P224" s="101"/>
      <c r="Q224" s="101"/>
      <c r="R224" s="106" t="str">
        <f>IF(Table2[[#This Row],[Defect Classification]]="","",IF(Table2[[#This Row],[Defect Classification]]="Internal",1,0))</f>
        <v/>
      </c>
      <c r="S224" s="106" t="str">
        <f>IF(Table2[[#This Row],[Defect Classification]]="","",IF(Table2[[#This Row],[Defect Classification]]="External",1,0))</f>
        <v/>
      </c>
      <c r="T224" s="100"/>
      <c r="U224" s="101"/>
      <c r="V224" s="100"/>
      <c r="W224" s="101"/>
      <c r="X224" s="101"/>
      <c r="Y224" s="101"/>
      <c r="Z224" s="101"/>
      <c r="AA224" s="112" t="str">
        <f>IF(ISNA(VLOOKUP(Table2[[#This Row],[Task ID]],Table1[],17,FALSE)),"",VLOOKUP(Table2[[#This Row],[Task ID]],Table1[],17,FALSE))</f>
        <v/>
      </c>
      <c r="AB224" s="115" t="str">
        <f>IF(Table2[[#This Row],[Defect Detected On Date ]]="","",TEXT(Table2[[#This Row],[Defect Detected On Date ]],"mmm"))</f>
        <v/>
      </c>
      <c r="AE224" s="63"/>
    </row>
    <row r="225" spans="2:31">
      <c r="B225" s="100"/>
      <c r="C225" s="100"/>
      <c r="D225" s="101"/>
      <c r="E225" s="101"/>
      <c r="F225" s="101"/>
      <c r="G225" s="102"/>
      <c r="H225" s="101"/>
      <c r="I225" s="101"/>
      <c r="J225" s="101"/>
      <c r="K225" s="101"/>
      <c r="L225" s="101"/>
      <c r="M225" s="101"/>
      <c r="N225" s="100"/>
      <c r="O225" s="100"/>
      <c r="P225" s="101"/>
      <c r="Q225" s="101"/>
      <c r="R225" s="106" t="str">
        <f>IF(Table2[[#This Row],[Defect Classification]]="","",IF(Table2[[#This Row],[Defect Classification]]="Internal",1,0))</f>
        <v/>
      </c>
      <c r="S225" s="106" t="str">
        <f>IF(Table2[[#This Row],[Defect Classification]]="","",IF(Table2[[#This Row],[Defect Classification]]="External",1,0))</f>
        <v/>
      </c>
      <c r="T225" s="100"/>
      <c r="U225" s="101"/>
      <c r="V225" s="100"/>
      <c r="W225" s="101"/>
      <c r="X225" s="101"/>
      <c r="Y225" s="101"/>
      <c r="Z225" s="101"/>
      <c r="AA225" s="112" t="str">
        <f>IF(ISNA(VLOOKUP(Table2[[#This Row],[Task ID]],Table1[],17,FALSE)),"",VLOOKUP(Table2[[#This Row],[Task ID]],Table1[],17,FALSE))</f>
        <v/>
      </c>
      <c r="AB225" s="115" t="str">
        <f>IF(Table2[[#This Row],[Defect Detected On Date ]]="","",TEXT(Table2[[#This Row],[Defect Detected On Date ]],"mmm"))</f>
        <v/>
      </c>
      <c r="AE225" s="63"/>
    </row>
    <row r="226" spans="2:31">
      <c r="B226" s="100"/>
      <c r="C226" s="100"/>
      <c r="D226" s="101"/>
      <c r="E226" s="101"/>
      <c r="F226" s="101"/>
      <c r="G226" s="102"/>
      <c r="H226" s="101"/>
      <c r="I226" s="101"/>
      <c r="J226" s="101"/>
      <c r="K226" s="101"/>
      <c r="L226" s="101"/>
      <c r="M226" s="101"/>
      <c r="N226" s="100"/>
      <c r="O226" s="100"/>
      <c r="P226" s="101"/>
      <c r="Q226" s="101"/>
      <c r="R226" s="106" t="str">
        <f>IF(Table2[[#This Row],[Defect Classification]]="","",IF(Table2[[#This Row],[Defect Classification]]="Internal",1,0))</f>
        <v/>
      </c>
      <c r="S226" s="106" t="str">
        <f>IF(Table2[[#This Row],[Defect Classification]]="","",IF(Table2[[#This Row],[Defect Classification]]="External",1,0))</f>
        <v/>
      </c>
      <c r="T226" s="100"/>
      <c r="U226" s="101"/>
      <c r="V226" s="100"/>
      <c r="W226" s="101"/>
      <c r="X226" s="101"/>
      <c r="Y226" s="101"/>
      <c r="Z226" s="101"/>
      <c r="AA226" s="112" t="str">
        <f>IF(ISNA(VLOOKUP(Table2[[#This Row],[Task ID]],Table1[],17,FALSE)),"",VLOOKUP(Table2[[#This Row],[Task ID]],Table1[],17,FALSE))</f>
        <v/>
      </c>
      <c r="AB226" s="115" t="str">
        <f>IF(Table2[[#This Row],[Defect Detected On Date ]]="","",TEXT(Table2[[#This Row],[Defect Detected On Date ]],"mmm"))</f>
        <v/>
      </c>
      <c r="AE226" s="63"/>
    </row>
    <row r="227" spans="2:31">
      <c r="B227" s="100"/>
      <c r="C227" s="100"/>
      <c r="D227" s="101"/>
      <c r="E227" s="101"/>
      <c r="F227" s="101"/>
      <c r="G227" s="102"/>
      <c r="H227" s="101"/>
      <c r="I227" s="101"/>
      <c r="J227" s="101"/>
      <c r="K227" s="101"/>
      <c r="L227" s="101"/>
      <c r="M227" s="101"/>
      <c r="N227" s="100"/>
      <c r="O227" s="100"/>
      <c r="P227" s="101"/>
      <c r="Q227" s="101"/>
      <c r="R227" s="106" t="str">
        <f>IF(Table2[[#This Row],[Defect Classification]]="","",IF(Table2[[#This Row],[Defect Classification]]="Internal",1,0))</f>
        <v/>
      </c>
      <c r="S227" s="106" t="str">
        <f>IF(Table2[[#This Row],[Defect Classification]]="","",IF(Table2[[#This Row],[Defect Classification]]="External",1,0))</f>
        <v/>
      </c>
      <c r="T227" s="100"/>
      <c r="U227" s="101"/>
      <c r="V227" s="100"/>
      <c r="W227" s="101"/>
      <c r="X227" s="101"/>
      <c r="Y227" s="101"/>
      <c r="Z227" s="101"/>
      <c r="AA227" s="112" t="str">
        <f>IF(ISNA(VLOOKUP(Table2[[#This Row],[Task ID]],Table1[],17,FALSE)),"",VLOOKUP(Table2[[#This Row],[Task ID]],Table1[],17,FALSE))</f>
        <v/>
      </c>
      <c r="AB227" s="115" t="str">
        <f>IF(Table2[[#This Row],[Defect Detected On Date ]]="","",TEXT(Table2[[#This Row],[Defect Detected On Date ]],"mmm"))</f>
        <v/>
      </c>
      <c r="AE227" s="63"/>
    </row>
    <row r="228" spans="2:31">
      <c r="B228" s="100"/>
      <c r="C228" s="100"/>
      <c r="D228" s="101"/>
      <c r="E228" s="101"/>
      <c r="F228" s="101"/>
      <c r="G228" s="102"/>
      <c r="H228" s="101"/>
      <c r="I228" s="101"/>
      <c r="J228" s="101"/>
      <c r="K228" s="101"/>
      <c r="L228" s="101"/>
      <c r="M228" s="101"/>
      <c r="N228" s="100"/>
      <c r="O228" s="100"/>
      <c r="P228" s="101"/>
      <c r="Q228" s="101"/>
      <c r="R228" s="106" t="str">
        <f>IF(Table2[[#This Row],[Defect Classification]]="","",IF(Table2[[#This Row],[Defect Classification]]="Internal",1,0))</f>
        <v/>
      </c>
      <c r="S228" s="106" t="str">
        <f>IF(Table2[[#This Row],[Defect Classification]]="","",IF(Table2[[#This Row],[Defect Classification]]="External",1,0))</f>
        <v/>
      </c>
      <c r="T228" s="100"/>
      <c r="U228" s="101"/>
      <c r="V228" s="100"/>
      <c r="W228" s="101"/>
      <c r="X228" s="101"/>
      <c r="Y228" s="101"/>
      <c r="Z228" s="101"/>
      <c r="AA228" s="112" t="str">
        <f>IF(ISNA(VLOOKUP(Table2[[#This Row],[Task ID]],Table1[],17,FALSE)),"",VLOOKUP(Table2[[#This Row],[Task ID]],Table1[],17,FALSE))</f>
        <v/>
      </c>
      <c r="AB228" s="115" t="str">
        <f>IF(Table2[[#This Row],[Defect Detected On Date ]]="","",TEXT(Table2[[#This Row],[Defect Detected On Date ]],"mmm"))</f>
        <v/>
      </c>
      <c r="AE228" s="63"/>
    </row>
    <row r="229" spans="2:31">
      <c r="B229" s="100"/>
      <c r="C229" s="100"/>
      <c r="D229" s="101"/>
      <c r="E229" s="101"/>
      <c r="F229" s="101"/>
      <c r="G229" s="102"/>
      <c r="H229" s="101"/>
      <c r="I229" s="101"/>
      <c r="J229" s="101"/>
      <c r="K229" s="101"/>
      <c r="L229" s="101"/>
      <c r="M229" s="101"/>
      <c r="N229" s="100"/>
      <c r="O229" s="100"/>
      <c r="P229" s="101"/>
      <c r="Q229" s="101"/>
      <c r="R229" s="106" t="str">
        <f>IF(Table2[[#This Row],[Defect Classification]]="","",IF(Table2[[#This Row],[Defect Classification]]="Internal",1,0))</f>
        <v/>
      </c>
      <c r="S229" s="106" t="str">
        <f>IF(Table2[[#This Row],[Defect Classification]]="","",IF(Table2[[#This Row],[Defect Classification]]="External",1,0))</f>
        <v/>
      </c>
      <c r="T229" s="100"/>
      <c r="U229" s="101"/>
      <c r="V229" s="100"/>
      <c r="W229" s="101"/>
      <c r="X229" s="101"/>
      <c r="Y229" s="101"/>
      <c r="Z229" s="101"/>
      <c r="AA229" s="112" t="str">
        <f>IF(ISNA(VLOOKUP(Table2[[#This Row],[Task ID]],Table1[],17,FALSE)),"",VLOOKUP(Table2[[#This Row],[Task ID]],Table1[],17,FALSE))</f>
        <v/>
      </c>
      <c r="AB229" s="115" t="str">
        <f>IF(Table2[[#This Row],[Defect Detected On Date ]]="","",TEXT(Table2[[#This Row],[Defect Detected On Date ]],"mmm"))</f>
        <v/>
      </c>
      <c r="AE229" s="63"/>
    </row>
    <row r="230" spans="2:31">
      <c r="B230" s="100"/>
      <c r="C230" s="100"/>
      <c r="D230" s="101"/>
      <c r="E230" s="101"/>
      <c r="F230" s="101"/>
      <c r="G230" s="102"/>
      <c r="H230" s="101"/>
      <c r="I230" s="101"/>
      <c r="J230" s="101"/>
      <c r="K230" s="101"/>
      <c r="L230" s="101"/>
      <c r="M230" s="101"/>
      <c r="N230" s="100"/>
      <c r="O230" s="100"/>
      <c r="P230" s="101"/>
      <c r="Q230" s="101"/>
      <c r="R230" s="106" t="str">
        <f>IF(Table2[[#This Row],[Defect Classification]]="","",IF(Table2[[#This Row],[Defect Classification]]="Internal",1,0))</f>
        <v/>
      </c>
      <c r="S230" s="106" t="str">
        <f>IF(Table2[[#This Row],[Defect Classification]]="","",IF(Table2[[#This Row],[Defect Classification]]="External",1,0))</f>
        <v/>
      </c>
      <c r="T230" s="100"/>
      <c r="U230" s="101"/>
      <c r="V230" s="100"/>
      <c r="W230" s="101"/>
      <c r="X230" s="101"/>
      <c r="Y230" s="101"/>
      <c r="Z230" s="101"/>
      <c r="AA230" s="112" t="str">
        <f>IF(ISNA(VLOOKUP(Table2[[#This Row],[Task ID]],Table1[],17,FALSE)),"",VLOOKUP(Table2[[#This Row],[Task ID]],Table1[],17,FALSE))</f>
        <v/>
      </c>
      <c r="AB230" s="115" t="str">
        <f>IF(Table2[[#This Row],[Defect Detected On Date ]]="","",TEXT(Table2[[#This Row],[Defect Detected On Date ]],"mmm"))</f>
        <v/>
      </c>
      <c r="AE230" s="63"/>
    </row>
    <row r="231" spans="2:31">
      <c r="B231" s="100"/>
      <c r="C231" s="100"/>
      <c r="D231" s="101"/>
      <c r="E231" s="101"/>
      <c r="F231" s="101"/>
      <c r="G231" s="102"/>
      <c r="H231" s="101"/>
      <c r="I231" s="101"/>
      <c r="J231" s="101"/>
      <c r="K231" s="101"/>
      <c r="L231" s="101"/>
      <c r="M231" s="101"/>
      <c r="N231" s="100"/>
      <c r="O231" s="100"/>
      <c r="P231" s="101"/>
      <c r="Q231" s="101"/>
      <c r="R231" s="106" t="str">
        <f>IF(Table2[[#This Row],[Defect Classification]]="","",IF(Table2[[#This Row],[Defect Classification]]="Internal",1,0))</f>
        <v/>
      </c>
      <c r="S231" s="106" t="str">
        <f>IF(Table2[[#This Row],[Defect Classification]]="","",IF(Table2[[#This Row],[Defect Classification]]="External",1,0))</f>
        <v/>
      </c>
      <c r="T231" s="100"/>
      <c r="U231" s="101"/>
      <c r="V231" s="100"/>
      <c r="W231" s="101"/>
      <c r="X231" s="101"/>
      <c r="Y231" s="101"/>
      <c r="Z231" s="101"/>
      <c r="AA231" s="112" t="str">
        <f>IF(ISNA(VLOOKUP(Table2[[#This Row],[Task ID]],Table1[],17,FALSE)),"",VLOOKUP(Table2[[#This Row],[Task ID]],Table1[],17,FALSE))</f>
        <v/>
      </c>
      <c r="AB231" s="115" t="str">
        <f>IF(Table2[[#This Row],[Defect Detected On Date ]]="","",TEXT(Table2[[#This Row],[Defect Detected On Date ]],"mmm"))</f>
        <v/>
      </c>
      <c r="AE231" s="63"/>
    </row>
    <row r="232" spans="2:31">
      <c r="B232" s="100"/>
      <c r="C232" s="100"/>
      <c r="D232" s="101"/>
      <c r="E232" s="101"/>
      <c r="F232" s="101"/>
      <c r="G232" s="102"/>
      <c r="H232" s="101"/>
      <c r="I232" s="101"/>
      <c r="J232" s="101"/>
      <c r="K232" s="101"/>
      <c r="L232" s="101"/>
      <c r="M232" s="101"/>
      <c r="N232" s="100"/>
      <c r="O232" s="100"/>
      <c r="P232" s="101"/>
      <c r="Q232" s="101"/>
      <c r="R232" s="106" t="str">
        <f>IF(Table2[[#This Row],[Defect Classification]]="","",IF(Table2[[#This Row],[Defect Classification]]="Internal",1,0))</f>
        <v/>
      </c>
      <c r="S232" s="106" t="str">
        <f>IF(Table2[[#This Row],[Defect Classification]]="","",IF(Table2[[#This Row],[Defect Classification]]="External",1,0))</f>
        <v/>
      </c>
      <c r="T232" s="100"/>
      <c r="U232" s="101"/>
      <c r="V232" s="100"/>
      <c r="W232" s="101"/>
      <c r="X232" s="101"/>
      <c r="Y232" s="101"/>
      <c r="Z232" s="101"/>
      <c r="AA232" s="112" t="str">
        <f>IF(ISNA(VLOOKUP(Table2[[#This Row],[Task ID]],Table1[],17,FALSE)),"",VLOOKUP(Table2[[#This Row],[Task ID]],Table1[],17,FALSE))</f>
        <v/>
      </c>
      <c r="AB232" s="115" t="str">
        <f>IF(Table2[[#This Row],[Defect Detected On Date ]]="","",TEXT(Table2[[#This Row],[Defect Detected On Date ]],"mmm"))</f>
        <v/>
      </c>
      <c r="AE232" s="63"/>
    </row>
    <row r="233" spans="2:31">
      <c r="B233" s="100"/>
      <c r="C233" s="100"/>
      <c r="D233" s="101"/>
      <c r="E233" s="101"/>
      <c r="F233" s="101"/>
      <c r="G233" s="102"/>
      <c r="H233" s="101"/>
      <c r="I233" s="101"/>
      <c r="J233" s="101"/>
      <c r="K233" s="101"/>
      <c r="L233" s="101"/>
      <c r="M233" s="101"/>
      <c r="N233" s="100"/>
      <c r="O233" s="100"/>
      <c r="P233" s="101"/>
      <c r="Q233" s="101"/>
      <c r="R233" s="106" t="str">
        <f>IF(Table2[[#This Row],[Defect Classification]]="","",IF(Table2[[#This Row],[Defect Classification]]="Internal",1,0))</f>
        <v/>
      </c>
      <c r="S233" s="106" t="str">
        <f>IF(Table2[[#This Row],[Defect Classification]]="","",IF(Table2[[#This Row],[Defect Classification]]="External",1,0))</f>
        <v/>
      </c>
      <c r="T233" s="100"/>
      <c r="U233" s="101"/>
      <c r="V233" s="100"/>
      <c r="W233" s="101"/>
      <c r="X233" s="101"/>
      <c r="Y233" s="101"/>
      <c r="Z233" s="101"/>
      <c r="AA233" s="112" t="str">
        <f>IF(ISNA(VLOOKUP(Table2[[#This Row],[Task ID]],Table1[],17,FALSE)),"",VLOOKUP(Table2[[#This Row],[Task ID]],Table1[],17,FALSE))</f>
        <v/>
      </c>
      <c r="AB233" s="115" t="str">
        <f>IF(Table2[[#This Row],[Defect Detected On Date ]]="","",TEXT(Table2[[#This Row],[Defect Detected On Date ]],"mmm"))</f>
        <v/>
      </c>
      <c r="AE233" s="63"/>
    </row>
    <row r="234" spans="2:31">
      <c r="B234" s="100"/>
      <c r="C234" s="100"/>
      <c r="D234" s="101"/>
      <c r="E234" s="101"/>
      <c r="F234" s="101"/>
      <c r="G234" s="102"/>
      <c r="H234" s="101"/>
      <c r="I234" s="101"/>
      <c r="J234" s="101"/>
      <c r="K234" s="101"/>
      <c r="L234" s="101"/>
      <c r="M234" s="101"/>
      <c r="N234" s="100"/>
      <c r="O234" s="100"/>
      <c r="P234" s="101"/>
      <c r="Q234" s="101"/>
      <c r="R234" s="106" t="str">
        <f>IF(Table2[[#This Row],[Defect Classification]]="","",IF(Table2[[#This Row],[Defect Classification]]="Internal",1,0))</f>
        <v/>
      </c>
      <c r="S234" s="106" t="str">
        <f>IF(Table2[[#This Row],[Defect Classification]]="","",IF(Table2[[#This Row],[Defect Classification]]="External",1,0))</f>
        <v/>
      </c>
      <c r="T234" s="100"/>
      <c r="U234" s="101"/>
      <c r="V234" s="100"/>
      <c r="W234" s="101"/>
      <c r="X234" s="101"/>
      <c r="Y234" s="101"/>
      <c r="Z234" s="101"/>
      <c r="AA234" s="112" t="str">
        <f>IF(ISNA(VLOOKUP(Table2[[#This Row],[Task ID]],Table1[],17,FALSE)),"",VLOOKUP(Table2[[#This Row],[Task ID]],Table1[],17,FALSE))</f>
        <v/>
      </c>
      <c r="AB234" s="115" t="str">
        <f>IF(Table2[[#This Row],[Defect Detected On Date ]]="","",TEXT(Table2[[#This Row],[Defect Detected On Date ]],"mmm"))</f>
        <v/>
      </c>
      <c r="AE234" s="63"/>
    </row>
    <row r="235" spans="2:31">
      <c r="B235" s="100"/>
      <c r="C235" s="100"/>
      <c r="D235" s="101"/>
      <c r="E235" s="101"/>
      <c r="F235" s="101"/>
      <c r="G235" s="102"/>
      <c r="H235" s="101"/>
      <c r="I235" s="101"/>
      <c r="J235" s="101"/>
      <c r="K235" s="101"/>
      <c r="L235" s="101"/>
      <c r="M235" s="101"/>
      <c r="N235" s="100"/>
      <c r="O235" s="100"/>
      <c r="P235" s="101"/>
      <c r="Q235" s="101"/>
      <c r="R235" s="106" t="str">
        <f>IF(Table2[[#This Row],[Defect Classification]]="","",IF(Table2[[#This Row],[Defect Classification]]="Internal",1,0))</f>
        <v/>
      </c>
      <c r="S235" s="106" t="str">
        <f>IF(Table2[[#This Row],[Defect Classification]]="","",IF(Table2[[#This Row],[Defect Classification]]="External",1,0))</f>
        <v/>
      </c>
      <c r="T235" s="100"/>
      <c r="U235" s="101"/>
      <c r="V235" s="100"/>
      <c r="W235" s="101"/>
      <c r="X235" s="101"/>
      <c r="Y235" s="101"/>
      <c r="Z235" s="101"/>
      <c r="AA235" s="112" t="str">
        <f>IF(ISNA(VLOOKUP(Table2[[#This Row],[Task ID]],Table1[],17,FALSE)),"",VLOOKUP(Table2[[#This Row],[Task ID]],Table1[],17,FALSE))</f>
        <v/>
      </c>
      <c r="AB235" s="115" t="str">
        <f>IF(Table2[[#This Row],[Defect Detected On Date ]]="","",TEXT(Table2[[#This Row],[Defect Detected On Date ]],"mmm"))</f>
        <v/>
      </c>
      <c r="AE235" s="63"/>
    </row>
    <row r="236" spans="2:31">
      <c r="B236" s="100"/>
      <c r="C236" s="100"/>
      <c r="D236" s="101"/>
      <c r="E236" s="101"/>
      <c r="F236" s="101"/>
      <c r="G236" s="102"/>
      <c r="H236" s="101"/>
      <c r="I236" s="101"/>
      <c r="J236" s="101"/>
      <c r="K236" s="101"/>
      <c r="L236" s="101"/>
      <c r="M236" s="101"/>
      <c r="N236" s="100"/>
      <c r="O236" s="100"/>
      <c r="P236" s="101"/>
      <c r="Q236" s="101"/>
      <c r="R236" s="106" t="str">
        <f>IF(Table2[[#This Row],[Defect Classification]]="","",IF(Table2[[#This Row],[Defect Classification]]="Internal",1,0))</f>
        <v/>
      </c>
      <c r="S236" s="106" t="str">
        <f>IF(Table2[[#This Row],[Defect Classification]]="","",IF(Table2[[#This Row],[Defect Classification]]="External",1,0))</f>
        <v/>
      </c>
      <c r="T236" s="100"/>
      <c r="U236" s="101"/>
      <c r="V236" s="100"/>
      <c r="W236" s="101"/>
      <c r="X236" s="101"/>
      <c r="Y236" s="101"/>
      <c r="Z236" s="101"/>
      <c r="AA236" s="112" t="str">
        <f>IF(ISNA(VLOOKUP(Table2[[#This Row],[Task ID]],Table1[],17,FALSE)),"",VLOOKUP(Table2[[#This Row],[Task ID]],Table1[],17,FALSE))</f>
        <v/>
      </c>
      <c r="AB236" s="115" t="str">
        <f>IF(Table2[[#This Row],[Defect Detected On Date ]]="","",TEXT(Table2[[#This Row],[Defect Detected On Date ]],"mmm"))</f>
        <v/>
      </c>
      <c r="AE236" s="63"/>
    </row>
    <row r="237" spans="2:31">
      <c r="B237" s="100"/>
      <c r="C237" s="100"/>
      <c r="D237" s="101"/>
      <c r="E237" s="101"/>
      <c r="F237" s="101"/>
      <c r="G237" s="102"/>
      <c r="H237" s="101"/>
      <c r="I237" s="101"/>
      <c r="J237" s="101"/>
      <c r="K237" s="101"/>
      <c r="L237" s="101"/>
      <c r="M237" s="101"/>
      <c r="N237" s="100"/>
      <c r="O237" s="100"/>
      <c r="P237" s="101"/>
      <c r="Q237" s="101"/>
      <c r="R237" s="106" t="str">
        <f>IF(Table2[[#This Row],[Defect Classification]]="","",IF(Table2[[#This Row],[Defect Classification]]="Internal",1,0))</f>
        <v/>
      </c>
      <c r="S237" s="106" t="str">
        <f>IF(Table2[[#This Row],[Defect Classification]]="","",IF(Table2[[#This Row],[Defect Classification]]="External",1,0))</f>
        <v/>
      </c>
      <c r="T237" s="100"/>
      <c r="U237" s="101"/>
      <c r="V237" s="100"/>
      <c r="W237" s="101"/>
      <c r="X237" s="101"/>
      <c r="Y237" s="101"/>
      <c r="Z237" s="101"/>
      <c r="AA237" s="112" t="str">
        <f>IF(ISNA(VLOOKUP(Table2[[#This Row],[Task ID]],Table1[],17,FALSE)),"",VLOOKUP(Table2[[#This Row],[Task ID]],Table1[],17,FALSE))</f>
        <v/>
      </c>
      <c r="AB237" s="115" t="str">
        <f>IF(Table2[[#This Row],[Defect Detected On Date ]]="","",TEXT(Table2[[#This Row],[Defect Detected On Date ]],"mmm"))</f>
        <v/>
      </c>
      <c r="AE237" s="63"/>
    </row>
    <row r="238" spans="2:31">
      <c r="B238" s="100"/>
      <c r="C238" s="100"/>
      <c r="D238" s="101"/>
      <c r="E238" s="101"/>
      <c r="F238" s="101"/>
      <c r="G238" s="102"/>
      <c r="H238" s="101"/>
      <c r="I238" s="101"/>
      <c r="J238" s="101"/>
      <c r="K238" s="101"/>
      <c r="L238" s="101"/>
      <c r="M238" s="101"/>
      <c r="N238" s="100"/>
      <c r="O238" s="100"/>
      <c r="P238" s="101"/>
      <c r="Q238" s="101"/>
      <c r="R238" s="106" t="str">
        <f>IF(Table2[[#This Row],[Defect Classification]]="","",IF(Table2[[#This Row],[Defect Classification]]="Internal",1,0))</f>
        <v/>
      </c>
      <c r="S238" s="106" t="str">
        <f>IF(Table2[[#This Row],[Defect Classification]]="","",IF(Table2[[#This Row],[Defect Classification]]="External",1,0))</f>
        <v/>
      </c>
      <c r="T238" s="100"/>
      <c r="U238" s="101"/>
      <c r="V238" s="100"/>
      <c r="W238" s="101"/>
      <c r="X238" s="101"/>
      <c r="Y238" s="101"/>
      <c r="Z238" s="101"/>
      <c r="AA238" s="112" t="str">
        <f>IF(ISNA(VLOOKUP(Table2[[#This Row],[Task ID]],Table1[],17,FALSE)),"",VLOOKUP(Table2[[#This Row],[Task ID]],Table1[],17,FALSE))</f>
        <v/>
      </c>
      <c r="AB238" s="115" t="str">
        <f>IF(Table2[[#This Row],[Defect Detected On Date ]]="","",TEXT(Table2[[#This Row],[Defect Detected On Date ]],"mmm"))</f>
        <v/>
      </c>
      <c r="AE238" s="63"/>
    </row>
    <row r="239" spans="2:31">
      <c r="B239" s="100"/>
      <c r="C239" s="100"/>
      <c r="D239" s="101"/>
      <c r="E239" s="101"/>
      <c r="F239" s="101"/>
      <c r="G239" s="102"/>
      <c r="H239" s="101"/>
      <c r="I239" s="101"/>
      <c r="J239" s="101"/>
      <c r="K239" s="101"/>
      <c r="L239" s="101"/>
      <c r="M239" s="101"/>
      <c r="N239" s="100"/>
      <c r="O239" s="100"/>
      <c r="P239" s="101"/>
      <c r="Q239" s="101"/>
      <c r="R239" s="106" t="str">
        <f>IF(Table2[[#This Row],[Defect Classification]]="","",IF(Table2[[#This Row],[Defect Classification]]="Internal",1,0))</f>
        <v/>
      </c>
      <c r="S239" s="106" t="str">
        <f>IF(Table2[[#This Row],[Defect Classification]]="","",IF(Table2[[#This Row],[Defect Classification]]="External",1,0))</f>
        <v/>
      </c>
      <c r="T239" s="100"/>
      <c r="U239" s="101"/>
      <c r="V239" s="100"/>
      <c r="W239" s="101"/>
      <c r="X239" s="101"/>
      <c r="Y239" s="101"/>
      <c r="Z239" s="101"/>
      <c r="AA239" s="112" t="str">
        <f>IF(ISNA(VLOOKUP(Table2[[#This Row],[Task ID]],Table1[],17,FALSE)),"",VLOOKUP(Table2[[#This Row],[Task ID]],Table1[],17,FALSE))</f>
        <v/>
      </c>
      <c r="AB239" s="115" t="str">
        <f>IF(Table2[[#This Row],[Defect Detected On Date ]]="","",TEXT(Table2[[#This Row],[Defect Detected On Date ]],"mmm"))</f>
        <v/>
      </c>
      <c r="AE239" s="63"/>
    </row>
    <row r="240" spans="2:31">
      <c r="B240" s="100"/>
      <c r="C240" s="100"/>
      <c r="D240" s="101"/>
      <c r="E240" s="101"/>
      <c r="F240" s="101"/>
      <c r="G240" s="102"/>
      <c r="H240" s="101"/>
      <c r="I240" s="101"/>
      <c r="J240" s="101"/>
      <c r="K240" s="101"/>
      <c r="L240" s="101"/>
      <c r="M240" s="101"/>
      <c r="N240" s="100"/>
      <c r="O240" s="100"/>
      <c r="P240" s="101"/>
      <c r="Q240" s="101"/>
      <c r="R240" s="106" t="str">
        <f>IF(Table2[[#This Row],[Defect Classification]]="","",IF(Table2[[#This Row],[Defect Classification]]="Internal",1,0))</f>
        <v/>
      </c>
      <c r="S240" s="106" t="str">
        <f>IF(Table2[[#This Row],[Defect Classification]]="","",IF(Table2[[#This Row],[Defect Classification]]="External",1,0))</f>
        <v/>
      </c>
      <c r="T240" s="100"/>
      <c r="U240" s="101"/>
      <c r="V240" s="100"/>
      <c r="W240" s="101"/>
      <c r="X240" s="101"/>
      <c r="Y240" s="101"/>
      <c r="Z240" s="101"/>
      <c r="AA240" s="112" t="str">
        <f>IF(ISNA(VLOOKUP(Table2[[#This Row],[Task ID]],Table1[],17,FALSE)),"",VLOOKUP(Table2[[#This Row],[Task ID]],Table1[],17,FALSE))</f>
        <v/>
      </c>
      <c r="AB240" s="115" t="str">
        <f>IF(Table2[[#This Row],[Defect Detected On Date ]]="","",TEXT(Table2[[#This Row],[Defect Detected On Date ]],"mmm"))</f>
        <v/>
      </c>
      <c r="AE240" s="63"/>
    </row>
    <row r="241" spans="2:31">
      <c r="B241" s="100"/>
      <c r="C241" s="100"/>
      <c r="D241" s="101"/>
      <c r="E241" s="101"/>
      <c r="F241" s="101"/>
      <c r="G241" s="102"/>
      <c r="H241" s="101"/>
      <c r="I241" s="101"/>
      <c r="J241" s="101"/>
      <c r="K241" s="101"/>
      <c r="L241" s="101"/>
      <c r="M241" s="101"/>
      <c r="N241" s="100"/>
      <c r="O241" s="100"/>
      <c r="P241" s="101"/>
      <c r="Q241" s="101"/>
      <c r="R241" s="106" t="str">
        <f>IF(Table2[[#This Row],[Defect Classification]]="","",IF(Table2[[#This Row],[Defect Classification]]="Internal",1,0))</f>
        <v/>
      </c>
      <c r="S241" s="106" t="str">
        <f>IF(Table2[[#This Row],[Defect Classification]]="","",IF(Table2[[#This Row],[Defect Classification]]="External",1,0))</f>
        <v/>
      </c>
      <c r="T241" s="100"/>
      <c r="U241" s="101"/>
      <c r="V241" s="100"/>
      <c r="W241" s="101"/>
      <c r="X241" s="101"/>
      <c r="Y241" s="101"/>
      <c r="Z241" s="101"/>
      <c r="AA241" s="112" t="str">
        <f>IF(ISNA(VLOOKUP(Table2[[#This Row],[Task ID]],Table1[],17,FALSE)),"",VLOOKUP(Table2[[#This Row],[Task ID]],Table1[],17,FALSE))</f>
        <v/>
      </c>
      <c r="AB241" s="115" t="str">
        <f>IF(Table2[[#This Row],[Defect Detected On Date ]]="","",TEXT(Table2[[#This Row],[Defect Detected On Date ]],"mmm"))</f>
        <v/>
      </c>
      <c r="AE241" s="63"/>
    </row>
    <row r="242" spans="2:31">
      <c r="B242" s="100"/>
      <c r="C242" s="100"/>
      <c r="D242" s="101"/>
      <c r="E242" s="101"/>
      <c r="F242" s="101"/>
      <c r="G242" s="102"/>
      <c r="H242" s="101"/>
      <c r="I242" s="101"/>
      <c r="J242" s="101"/>
      <c r="K242" s="101"/>
      <c r="L242" s="101"/>
      <c r="M242" s="101"/>
      <c r="N242" s="100"/>
      <c r="O242" s="100"/>
      <c r="P242" s="101"/>
      <c r="Q242" s="101"/>
      <c r="R242" s="106" t="str">
        <f>IF(Table2[[#This Row],[Defect Classification]]="","",IF(Table2[[#This Row],[Defect Classification]]="Internal",1,0))</f>
        <v/>
      </c>
      <c r="S242" s="106" t="str">
        <f>IF(Table2[[#This Row],[Defect Classification]]="","",IF(Table2[[#This Row],[Defect Classification]]="External",1,0))</f>
        <v/>
      </c>
      <c r="T242" s="100"/>
      <c r="U242" s="101"/>
      <c r="V242" s="100"/>
      <c r="W242" s="101"/>
      <c r="X242" s="101"/>
      <c r="Y242" s="101"/>
      <c r="Z242" s="101"/>
      <c r="AA242" s="112" t="str">
        <f>IF(ISNA(VLOOKUP(Table2[[#This Row],[Task ID]],Table1[],17,FALSE)),"",VLOOKUP(Table2[[#This Row],[Task ID]],Table1[],17,FALSE))</f>
        <v/>
      </c>
      <c r="AB242" s="115" t="str">
        <f>IF(Table2[[#This Row],[Defect Detected On Date ]]="","",TEXT(Table2[[#This Row],[Defect Detected On Date ]],"mmm"))</f>
        <v/>
      </c>
      <c r="AE242" s="63"/>
    </row>
    <row r="243" spans="2:31">
      <c r="B243" s="100"/>
      <c r="C243" s="100"/>
      <c r="D243" s="101"/>
      <c r="E243" s="101"/>
      <c r="F243" s="101"/>
      <c r="G243" s="102"/>
      <c r="H243" s="101"/>
      <c r="I243" s="101"/>
      <c r="J243" s="101"/>
      <c r="K243" s="101"/>
      <c r="L243" s="101"/>
      <c r="M243" s="101"/>
      <c r="N243" s="100"/>
      <c r="O243" s="100"/>
      <c r="P243" s="101"/>
      <c r="Q243" s="101"/>
      <c r="R243" s="106" t="str">
        <f>IF(Table2[[#This Row],[Defect Classification]]="","",IF(Table2[[#This Row],[Defect Classification]]="Internal",1,0))</f>
        <v/>
      </c>
      <c r="S243" s="106" t="str">
        <f>IF(Table2[[#This Row],[Defect Classification]]="","",IF(Table2[[#This Row],[Defect Classification]]="External",1,0))</f>
        <v/>
      </c>
      <c r="T243" s="100"/>
      <c r="U243" s="101"/>
      <c r="V243" s="100"/>
      <c r="W243" s="101"/>
      <c r="X243" s="101"/>
      <c r="Y243" s="101"/>
      <c r="Z243" s="101"/>
      <c r="AA243" s="112" t="str">
        <f>IF(ISNA(VLOOKUP(Table2[[#This Row],[Task ID]],Table1[],17,FALSE)),"",VLOOKUP(Table2[[#This Row],[Task ID]],Table1[],17,FALSE))</f>
        <v/>
      </c>
      <c r="AB243" s="115" t="str">
        <f>IF(Table2[[#This Row],[Defect Detected On Date ]]="","",TEXT(Table2[[#This Row],[Defect Detected On Date ]],"mmm"))</f>
        <v/>
      </c>
      <c r="AE243" s="63"/>
    </row>
    <row r="244" spans="2:31">
      <c r="B244" s="100"/>
      <c r="C244" s="100"/>
      <c r="D244" s="101"/>
      <c r="E244" s="101"/>
      <c r="F244" s="101"/>
      <c r="G244" s="102"/>
      <c r="H244" s="101"/>
      <c r="I244" s="101"/>
      <c r="J244" s="101"/>
      <c r="K244" s="101"/>
      <c r="L244" s="101"/>
      <c r="M244" s="101"/>
      <c r="N244" s="100"/>
      <c r="O244" s="100"/>
      <c r="P244" s="101"/>
      <c r="Q244" s="101"/>
      <c r="R244" s="106" t="str">
        <f>IF(Table2[[#This Row],[Defect Classification]]="","",IF(Table2[[#This Row],[Defect Classification]]="Internal",1,0))</f>
        <v/>
      </c>
      <c r="S244" s="106" t="str">
        <f>IF(Table2[[#This Row],[Defect Classification]]="","",IF(Table2[[#This Row],[Defect Classification]]="External",1,0))</f>
        <v/>
      </c>
      <c r="T244" s="100"/>
      <c r="U244" s="101"/>
      <c r="V244" s="100"/>
      <c r="W244" s="101"/>
      <c r="X244" s="101"/>
      <c r="Y244" s="101"/>
      <c r="Z244" s="101"/>
      <c r="AA244" s="112" t="str">
        <f>IF(ISNA(VLOOKUP(Table2[[#This Row],[Task ID]],Table1[],17,FALSE)),"",VLOOKUP(Table2[[#This Row],[Task ID]],Table1[],17,FALSE))</f>
        <v/>
      </c>
      <c r="AB244" s="115" t="str">
        <f>IF(Table2[[#This Row],[Defect Detected On Date ]]="","",TEXT(Table2[[#This Row],[Defect Detected On Date ]],"mmm"))</f>
        <v/>
      </c>
      <c r="AE244" s="63"/>
    </row>
    <row r="245" spans="2:31">
      <c r="B245" s="100"/>
      <c r="C245" s="100"/>
      <c r="D245" s="101"/>
      <c r="E245" s="101"/>
      <c r="F245" s="101"/>
      <c r="G245" s="102"/>
      <c r="H245" s="101"/>
      <c r="I245" s="101"/>
      <c r="J245" s="101"/>
      <c r="K245" s="101"/>
      <c r="L245" s="101"/>
      <c r="M245" s="101"/>
      <c r="N245" s="100"/>
      <c r="O245" s="100"/>
      <c r="P245" s="101"/>
      <c r="Q245" s="101"/>
      <c r="R245" s="106" t="str">
        <f>IF(Table2[[#This Row],[Defect Classification]]="","",IF(Table2[[#This Row],[Defect Classification]]="Internal",1,0))</f>
        <v/>
      </c>
      <c r="S245" s="106" t="str">
        <f>IF(Table2[[#This Row],[Defect Classification]]="","",IF(Table2[[#This Row],[Defect Classification]]="External",1,0))</f>
        <v/>
      </c>
      <c r="T245" s="100"/>
      <c r="U245" s="101"/>
      <c r="V245" s="100"/>
      <c r="W245" s="101"/>
      <c r="X245" s="101"/>
      <c r="Y245" s="101"/>
      <c r="Z245" s="101"/>
      <c r="AA245" s="112" t="str">
        <f>IF(ISNA(VLOOKUP(Table2[[#This Row],[Task ID]],Table1[],17,FALSE)),"",VLOOKUP(Table2[[#This Row],[Task ID]],Table1[],17,FALSE))</f>
        <v/>
      </c>
      <c r="AB245" s="115" t="str">
        <f>IF(Table2[[#This Row],[Defect Detected On Date ]]="","",TEXT(Table2[[#This Row],[Defect Detected On Date ]],"mmm"))</f>
        <v/>
      </c>
      <c r="AE245" s="63"/>
    </row>
    <row r="246" spans="2:31">
      <c r="B246" s="100"/>
      <c r="C246" s="100"/>
      <c r="D246" s="101"/>
      <c r="E246" s="101"/>
      <c r="F246" s="101"/>
      <c r="G246" s="102"/>
      <c r="H246" s="101"/>
      <c r="I246" s="101"/>
      <c r="J246" s="101"/>
      <c r="K246" s="101"/>
      <c r="L246" s="101"/>
      <c r="M246" s="101"/>
      <c r="N246" s="100"/>
      <c r="O246" s="100"/>
      <c r="P246" s="101"/>
      <c r="Q246" s="101"/>
      <c r="R246" s="106" t="str">
        <f>IF(Table2[[#This Row],[Defect Classification]]="","",IF(Table2[[#This Row],[Defect Classification]]="Internal",1,0))</f>
        <v/>
      </c>
      <c r="S246" s="106" t="str">
        <f>IF(Table2[[#This Row],[Defect Classification]]="","",IF(Table2[[#This Row],[Defect Classification]]="External",1,0))</f>
        <v/>
      </c>
      <c r="T246" s="100"/>
      <c r="U246" s="101"/>
      <c r="V246" s="100"/>
      <c r="W246" s="101"/>
      <c r="X246" s="101"/>
      <c r="Y246" s="101"/>
      <c r="Z246" s="101"/>
      <c r="AA246" s="112" t="str">
        <f>IF(ISNA(VLOOKUP(Table2[[#This Row],[Task ID]],Table1[],17,FALSE)),"",VLOOKUP(Table2[[#This Row],[Task ID]],Table1[],17,FALSE))</f>
        <v/>
      </c>
      <c r="AB246" s="115" t="str">
        <f>IF(Table2[[#This Row],[Defect Detected On Date ]]="","",TEXT(Table2[[#This Row],[Defect Detected On Date ]],"mmm"))</f>
        <v/>
      </c>
      <c r="AE246" s="63"/>
    </row>
    <row r="247" spans="2:31">
      <c r="B247" s="100"/>
      <c r="C247" s="100"/>
      <c r="D247" s="101"/>
      <c r="E247" s="101"/>
      <c r="F247" s="101"/>
      <c r="G247" s="102"/>
      <c r="H247" s="101"/>
      <c r="I247" s="101"/>
      <c r="J247" s="101"/>
      <c r="K247" s="101"/>
      <c r="L247" s="101"/>
      <c r="M247" s="101"/>
      <c r="N247" s="100"/>
      <c r="O247" s="100"/>
      <c r="P247" s="101"/>
      <c r="Q247" s="101"/>
      <c r="R247" s="106" t="str">
        <f>IF(Table2[[#This Row],[Defect Classification]]="","",IF(Table2[[#This Row],[Defect Classification]]="Internal",1,0))</f>
        <v/>
      </c>
      <c r="S247" s="106" t="str">
        <f>IF(Table2[[#This Row],[Defect Classification]]="","",IF(Table2[[#This Row],[Defect Classification]]="External",1,0))</f>
        <v/>
      </c>
      <c r="T247" s="100"/>
      <c r="U247" s="101"/>
      <c r="V247" s="100"/>
      <c r="W247" s="101"/>
      <c r="X247" s="101"/>
      <c r="Y247" s="101"/>
      <c r="Z247" s="101"/>
      <c r="AA247" s="112" t="str">
        <f>IF(ISNA(VLOOKUP(Table2[[#This Row],[Task ID]],Table1[],17,FALSE)),"",VLOOKUP(Table2[[#This Row],[Task ID]],Table1[],17,FALSE))</f>
        <v/>
      </c>
      <c r="AB247" s="115" t="str">
        <f>IF(Table2[[#This Row],[Defect Detected On Date ]]="","",TEXT(Table2[[#This Row],[Defect Detected On Date ]],"mmm"))</f>
        <v/>
      </c>
      <c r="AE247" s="63"/>
    </row>
    <row r="248" spans="2:31">
      <c r="B248" s="100"/>
      <c r="C248" s="100"/>
      <c r="D248" s="101"/>
      <c r="E248" s="101"/>
      <c r="F248" s="101"/>
      <c r="G248" s="102"/>
      <c r="H248" s="101"/>
      <c r="I248" s="101"/>
      <c r="J248" s="101"/>
      <c r="K248" s="101"/>
      <c r="L248" s="101"/>
      <c r="M248" s="101"/>
      <c r="N248" s="100"/>
      <c r="O248" s="100"/>
      <c r="P248" s="101"/>
      <c r="Q248" s="101"/>
      <c r="R248" s="106" t="str">
        <f>IF(Table2[[#This Row],[Defect Classification]]="","",IF(Table2[[#This Row],[Defect Classification]]="Internal",1,0))</f>
        <v/>
      </c>
      <c r="S248" s="106" t="str">
        <f>IF(Table2[[#This Row],[Defect Classification]]="","",IF(Table2[[#This Row],[Defect Classification]]="External",1,0))</f>
        <v/>
      </c>
      <c r="T248" s="100"/>
      <c r="U248" s="101"/>
      <c r="V248" s="100"/>
      <c r="W248" s="101"/>
      <c r="X248" s="101"/>
      <c r="Y248" s="101"/>
      <c r="Z248" s="101"/>
      <c r="AA248" s="112" t="str">
        <f>IF(ISNA(VLOOKUP(Table2[[#This Row],[Task ID]],Table1[],17,FALSE)),"",VLOOKUP(Table2[[#This Row],[Task ID]],Table1[],17,FALSE))</f>
        <v/>
      </c>
      <c r="AB248" s="115" t="str">
        <f>IF(Table2[[#This Row],[Defect Detected On Date ]]="","",TEXT(Table2[[#This Row],[Defect Detected On Date ]],"mmm"))</f>
        <v/>
      </c>
      <c r="AE248" s="63"/>
    </row>
    <row r="249" spans="2:31">
      <c r="B249" s="100"/>
      <c r="C249" s="100"/>
      <c r="D249" s="101"/>
      <c r="E249" s="101"/>
      <c r="F249" s="101"/>
      <c r="G249" s="102"/>
      <c r="H249" s="101"/>
      <c r="I249" s="101"/>
      <c r="J249" s="101"/>
      <c r="K249" s="101"/>
      <c r="L249" s="101"/>
      <c r="M249" s="101"/>
      <c r="N249" s="100"/>
      <c r="O249" s="100"/>
      <c r="P249" s="101"/>
      <c r="Q249" s="101"/>
      <c r="R249" s="106" t="str">
        <f>IF(Table2[[#This Row],[Defect Classification]]="","",IF(Table2[[#This Row],[Defect Classification]]="Internal",1,0))</f>
        <v/>
      </c>
      <c r="S249" s="106" t="str">
        <f>IF(Table2[[#This Row],[Defect Classification]]="","",IF(Table2[[#This Row],[Defect Classification]]="External",1,0))</f>
        <v/>
      </c>
      <c r="T249" s="100"/>
      <c r="U249" s="101"/>
      <c r="V249" s="100"/>
      <c r="W249" s="101"/>
      <c r="X249" s="101"/>
      <c r="Y249" s="101"/>
      <c r="Z249" s="101"/>
      <c r="AA249" s="112" t="str">
        <f>IF(ISNA(VLOOKUP(Table2[[#This Row],[Task ID]],Table1[],17,FALSE)),"",VLOOKUP(Table2[[#This Row],[Task ID]],Table1[],17,FALSE))</f>
        <v/>
      </c>
      <c r="AB249" s="115" t="str">
        <f>IF(Table2[[#This Row],[Defect Detected On Date ]]="","",TEXT(Table2[[#This Row],[Defect Detected On Date ]],"mmm"))</f>
        <v/>
      </c>
      <c r="AE249" s="63"/>
    </row>
    <row r="250" spans="2:31">
      <c r="B250" s="100"/>
      <c r="C250" s="100"/>
      <c r="D250" s="101"/>
      <c r="E250" s="101"/>
      <c r="F250" s="101"/>
      <c r="G250" s="102"/>
      <c r="H250" s="101"/>
      <c r="I250" s="101"/>
      <c r="J250" s="101"/>
      <c r="K250" s="101"/>
      <c r="L250" s="101"/>
      <c r="M250" s="101"/>
      <c r="N250" s="100"/>
      <c r="O250" s="100"/>
      <c r="P250" s="101"/>
      <c r="Q250" s="101"/>
      <c r="R250" s="106" t="str">
        <f>IF(Table2[[#This Row],[Defect Classification]]="","",IF(Table2[[#This Row],[Defect Classification]]="Internal",1,0))</f>
        <v/>
      </c>
      <c r="S250" s="106" t="str">
        <f>IF(Table2[[#This Row],[Defect Classification]]="","",IF(Table2[[#This Row],[Defect Classification]]="External",1,0))</f>
        <v/>
      </c>
      <c r="T250" s="100"/>
      <c r="U250" s="101"/>
      <c r="V250" s="100"/>
      <c r="W250" s="101"/>
      <c r="X250" s="101"/>
      <c r="Y250" s="101"/>
      <c r="Z250" s="101"/>
      <c r="AA250" s="112" t="str">
        <f>IF(ISNA(VLOOKUP(Table2[[#This Row],[Task ID]],Table1[],17,FALSE)),"",VLOOKUP(Table2[[#This Row],[Task ID]],Table1[],17,FALSE))</f>
        <v/>
      </c>
      <c r="AB250" s="115" t="str">
        <f>IF(Table2[[#This Row],[Defect Detected On Date ]]="","",TEXT(Table2[[#This Row],[Defect Detected On Date ]],"mmm"))</f>
        <v/>
      </c>
      <c r="AE250" s="63"/>
    </row>
    <row r="251" spans="2:31">
      <c r="B251" s="100"/>
      <c r="C251" s="100"/>
      <c r="D251" s="101"/>
      <c r="E251" s="101"/>
      <c r="F251" s="101"/>
      <c r="G251" s="102"/>
      <c r="H251" s="101"/>
      <c r="I251" s="101"/>
      <c r="J251" s="101"/>
      <c r="K251" s="101"/>
      <c r="L251" s="101"/>
      <c r="M251" s="101"/>
      <c r="N251" s="100"/>
      <c r="O251" s="100"/>
      <c r="P251" s="101"/>
      <c r="Q251" s="101"/>
      <c r="R251" s="106" t="str">
        <f>IF(Table2[[#This Row],[Defect Classification]]="","",IF(Table2[[#This Row],[Defect Classification]]="Internal",1,0))</f>
        <v/>
      </c>
      <c r="S251" s="106" t="str">
        <f>IF(Table2[[#This Row],[Defect Classification]]="","",IF(Table2[[#This Row],[Defect Classification]]="External",1,0))</f>
        <v/>
      </c>
      <c r="T251" s="100"/>
      <c r="U251" s="101"/>
      <c r="V251" s="100"/>
      <c r="W251" s="101"/>
      <c r="X251" s="101"/>
      <c r="Y251" s="101"/>
      <c r="Z251" s="101"/>
      <c r="AA251" s="112" t="str">
        <f>IF(ISNA(VLOOKUP(Table2[[#This Row],[Task ID]],Table1[],17,FALSE)),"",VLOOKUP(Table2[[#This Row],[Task ID]],Table1[],17,FALSE))</f>
        <v/>
      </c>
      <c r="AB251" s="115" t="str">
        <f>IF(Table2[[#This Row],[Defect Detected On Date ]]="","",TEXT(Table2[[#This Row],[Defect Detected On Date ]],"mmm"))</f>
        <v/>
      </c>
      <c r="AE251" s="63"/>
    </row>
    <row r="252" spans="2:31">
      <c r="B252" s="100"/>
      <c r="C252" s="100"/>
      <c r="D252" s="101"/>
      <c r="E252" s="101"/>
      <c r="F252" s="101"/>
      <c r="G252" s="102"/>
      <c r="H252" s="101"/>
      <c r="I252" s="101"/>
      <c r="J252" s="101"/>
      <c r="K252" s="101"/>
      <c r="L252" s="101"/>
      <c r="M252" s="101"/>
      <c r="N252" s="100"/>
      <c r="O252" s="100"/>
      <c r="P252" s="101"/>
      <c r="Q252" s="101"/>
      <c r="R252" s="106" t="str">
        <f>IF(Table2[[#This Row],[Defect Classification]]="","",IF(Table2[[#This Row],[Defect Classification]]="Internal",1,0))</f>
        <v/>
      </c>
      <c r="S252" s="106" t="str">
        <f>IF(Table2[[#This Row],[Defect Classification]]="","",IF(Table2[[#This Row],[Defect Classification]]="External",1,0))</f>
        <v/>
      </c>
      <c r="T252" s="100"/>
      <c r="U252" s="101"/>
      <c r="V252" s="100"/>
      <c r="W252" s="101"/>
      <c r="X252" s="101"/>
      <c r="Y252" s="101"/>
      <c r="Z252" s="101"/>
      <c r="AA252" s="112" t="str">
        <f>IF(ISNA(VLOOKUP(Table2[[#This Row],[Task ID]],Table1[],17,FALSE)),"",VLOOKUP(Table2[[#This Row],[Task ID]],Table1[],17,FALSE))</f>
        <v/>
      </c>
      <c r="AB252" s="115" t="str">
        <f>IF(Table2[[#This Row],[Defect Detected On Date ]]="","",TEXT(Table2[[#This Row],[Defect Detected On Date ]],"mmm"))</f>
        <v/>
      </c>
      <c r="AE252" s="63"/>
    </row>
    <row r="253" spans="2:31">
      <c r="B253" s="100"/>
      <c r="C253" s="100"/>
      <c r="D253" s="101"/>
      <c r="E253" s="101"/>
      <c r="F253" s="101"/>
      <c r="G253" s="102"/>
      <c r="H253" s="101"/>
      <c r="I253" s="101"/>
      <c r="J253" s="101"/>
      <c r="K253" s="101"/>
      <c r="L253" s="101"/>
      <c r="M253" s="101"/>
      <c r="N253" s="100"/>
      <c r="O253" s="100"/>
      <c r="P253" s="101"/>
      <c r="Q253" s="101"/>
      <c r="R253" s="106" t="str">
        <f>IF(Table2[[#This Row],[Defect Classification]]="","",IF(Table2[[#This Row],[Defect Classification]]="Internal",1,0))</f>
        <v/>
      </c>
      <c r="S253" s="106" t="str">
        <f>IF(Table2[[#This Row],[Defect Classification]]="","",IF(Table2[[#This Row],[Defect Classification]]="External",1,0))</f>
        <v/>
      </c>
      <c r="T253" s="100"/>
      <c r="U253" s="101"/>
      <c r="V253" s="100"/>
      <c r="W253" s="101"/>
      <c r="X253" s="101"/>
      <c r="Y253" s="101"/>
      <c r="Z253" s="101"/>
      <c r="AA253" s="112" t="str">
        <f>IF(ISNA(VLOOKUP(Table2[[#This Row],[Task ID]],Table1[],17,FALSE)),"",VLOOKUP(Table2[[#This Row],[Task ID]],Table1[],17,FALSE))</f>
        <v/>
      </c>
      <c r="AB253" s="115" t="str">
        <f>IF(Table2[[#This Row],[Defect Detected On Date ]]="","",TEXT(Table2[[#This Row],[Defect Detected On Date ]],"mmm"))</f>
        <v/>
      </c>
      <c r="AE253" s="63"/>
    </row>
    <row r="254" spans="2:31">
      <c r="B254" s="100"/>
      <c r="C254" s="100"/>
      <c r="D254" s="101"/>
      <c r="E254" s="101"/>
      <c r="F254" s="101"/>
      <c r="G254" s="102"/>
      <c r="H254" s="101"/>
      <c r="I254" s="101"/>
      <c r="J254" s="101"/>
      <c r="K254" s="101"/>
      <c r="L254" s="101"/>
      <c r="M254" s="101"/>
      <c r="N254" s="100"/>
      <c r="O254" s="100"/>
      <c r="P254" s="101"/>
      <c r="Q254" s="101"/>
      <c r="R254" s="106" t="str">
        <f>IF(Table2[[#This Row],[Defect Classification]]="","",IF(Table2[[#This Row],[Defect Classification]]="Internal",1,0))</f>
        <v/>
      </c>
      <c r="S254" s="106" t="str">
        <f>IF(Table2[[#This Row],[Defect Classification]]="","",IF(Table2[[#This Row],[Defect Classification]]="External",1,0))</f>
        <v/>
      </c>
      <c r="T254" s="100"/>
      <c r="U254" s="101"/>
      <c r="V254" s="100"/>
      <c r="W254" s="101"/>
      <c r="X254" s="101"/>
      <c r="Y254" s="101"/>
      <c r="Z254" s="101"/>
      <c r="AA254" s="112" t="str">
        <f>IF(ISNA(VLOOKUP(Table2[[#This Row],[Task ID]],Table1[],17,FALSE)),"",VLOOKUP(Table2[[#This Row],[Task ID]],Table1[],17,FALSE))</f>
        <v/>
      </c>
      <c r="AB254" s="115" t="str">
        <f>IF(Table2[[#This Row],[Defect Detected On Date ]]="","",TEXT(Table2[[#This Row],[Defect Detected On Date ]],"mmm"))</f>
        <v/>
      </c>
      <c r="AE254" s="63"/>
    </row>
    <row r="255" spans="2:31">
      <c r="B255" s="100"/>
      <c r="C255" s="100"/>
      <c r="D255" s="101"/>
      <c r="E255" s="101"/>
      <c r="F255" s="101"/>
      <c r="G255" s="102"/>
      <c r="H255" s="101"/>
      <c r="I255" s="101"/>
      <c r="J255" s="101"/>
      <c r="K255" s="101"/>
      <c r="L255" s="101"/>
      <c r="M255" s="101"/>
      <c r="N255" s="100"/>
      <c r="O255" s="100"/>
      <c r="P255" s="101"/>
      <c r="Q255" s="101"/>
      <c r="R255" s="106" t="str">
        <f>IF(Table2[[#This Row],[Defect Classification]]="","",IF(Table2[[#This Row],[Defect Classification]]="Internal",1,0))</f>
        <v/>
      </c>
      <c r="S255" s="106" t="str">
        <f>IF(Table2[[#This Row],[Defect Classification]]="","",IF(Table2[[#This Row],[Defect Classification]]="External",1,0))</f>
        <v/>
      </c>
      <c r="T255" s="100"/>
      <c r="U255" s="101"/>
      <c r="V255" s="100"/>
      <c r="W255" s="101"/>
      <c r="X255" s="101"/>
      <c r="Y255" s="101"/>
      <c r="Z255" s="101"/>
      <c r="AA255" s="112" t="str">
        <f>IF(ISNA(VLOOKUP(Table2[[#This Row],[Task ID]],Table1[],17,FALSE)),"",VLOOKUP(Table2[[#This Row],[Task ID]],Table1[],17,FALSE))</f>
        <v/>
      </c>
      <c r="AB255" s="115" t="str">
        <f>IF(Table2[[#This Row],[Defect Detected On Date ]]="","",TEXT(Table2[[#This Row],[Defect Detected On Date ]],"mmm"))</f>
        <v/>
      </c>
      <c r="AE255" s="63"/>
    </row>
    <row r="256" spans="2:31">
      <c r="B256" s="100"/>
      <c r="C256" s="100"/>
      <c r="D256" s="101"/>
      <c r="E256" s="101"/>
      <c r="F256" s="101"/>
      <c r="G256" s="102"/>
      <c r="H256" s="101"/>
      <c r="I256" s="101"/>
      <c r="J256" s="101"/>
      <c r="K256" s="101"/>
      <c r="L256" s="101"/>
      <c r="M256" s="101"/>
      <c r="N256" s="100"/>
      <c r="O256" s="100"/>
      <c r="P256" s="101"/>
      <c r="Q256" s="101"/>
      <c r="R256" s="106" t="str">
        <f>IF(Table2[[#This Row],[Defect Classification]]="","",IF(Table2[[#This Row],[Defect Classification]]="Internal",1,0))</f>
        <v/>
      </c>
      <c r="S256" s="106" t="str">
        <f>IF(Table2[[#This Row],[Defect Classification]]="","",IF(Table2[[#This Row],[Defect Classification]]="External",1,0))</f>
        <v/>
      </c>
      <c r="T256" s="100"/>
      <c r="U256" s="101"/>
      <c r="V256" s="100"/>
      <c r="W256" s="101"/>
      <c r="X256" s="101"/>
      <c r="Y256" s="101"/>
      <c r="Z256" s="101"/>
      <c r="AA256" s="112" t="str">
        <f>IF(ISNA(VLOOKUP(Table2[[#This Row],[Task ID]],Table1[],17,FALSE)),"",VLOOKUP(Table2[[#This Row],[Task ID]],Table1[],17,FALSE))</f>
        <v/>
      </c>
      <c r="AB256" s="115" t="str">
        <f>IF(Table2[[#This Row],[Defect Detected On Date ]]="","",TEXT(Table2[[#This Row],[Defect Detected On Date ]],"mmm"))</f>
        <v/>
      </c>
      <c r="AE256" s="63"/>
    </row>
    <row r="257" spans="2:31">
      <c r="B257" s="100"/>
      <c r="C257" s="100"/>
      <c r="D257" s="101"/>
      <c r="E257" s="101"/>
      <c r="F257" s="101"/>
      <c r="G257" s="102"/>
      <c r="H257" s="101"/>
      <c r="I257" s="101"/>
      <c r="J257" s="101"/>
      <c r="K257" s="101"/>
      <c r="L257" s="101"/>
      <c r="M257" s="101"/>
      <c r="N257" s="100"/>
      <c r="O257" s="100"/>
      <c r="P257" s="101"/>
      <c r="Q257" s="101"/>
      <c r="R257" s="106" t="str">
        <f>IF(Table2[[#This Row],[Defect Classification]]="","",IF(Table2[[#This Row],[Defect Classification]]="Internal",1,0))</f>
        <v/>
      </c>
      <c r="S257" s="106" t="str">
        <f>IF(Table2[[#This Row],[Defect Classification]]="","",IF(Table2[[#This Row],[Defect Classification]]="External",1,0))</f>
        <v/>
      </c>
      <c r="T257" s="100"/>
      <c r="U257" s="101"/>
      <c r="V257" s="100"/>
      <c r="W257" s="101"/>
      <c r="X257" s="101"/>
      <c r="Y257" s="101"/>
      <c r="Z257" s="101"/>
      <c r="AA257" s="112" t="str">
        <f>IF(ISNA(VLOOKUP(Table2[[#This Row],[Task ID]],Table1[],17,FALSE)),"",VLOOKUP(Table2[[#This Row],[Task ID]],Table1[],17,FALSE))</f>
        <v/>
      </c>
      <c r="AB257" s="115" t="str">
        <f>IF(Table2[[#This Row],[Defect Detected On Date ]]="","",TEXT(Table2[[#This Row],[Defect Detected On Date ]],"mmm"))</f>
        <v/>
      </c>
      <c r="AE257" s="63"/>
    </row>
    <row r="258" spans="2:31">
      <c r="B258" s="100"/>
      <c r="C258" s="100"/>
      <c r="D258" s="101"/>
      <c r="E258" s="101"/>
      <c r="F258" s="101"/>
      <c r="G258" s="102"/>
      <c r="H258" s="101"/>
      <c r="I258" s="101"/>
      <c r="J258" s="101"/>
      <c r="K258" s="101"/>
      <c r="L258" s="101"/>
      <c r="M258" s="101"/>
      <c r="N258" s="100"/>
      <c r="O258" s="100"/>
      <c r="P258" s="101"/>
      <c r="Q258" s="101"/>
      <c r="R258" s="106" t="str">
        <f>IF(Table2[[#This Row],[Defect Classification]]="","",IF(Table2[[#This Row],[Defect Classification]]="Internal",1,0))</f>
        <v/>
      </c>
      <c r="S258" s="106" t="str">
        <f>IF(Table2[[#This Row],[Defect Classification]]="","",IF(Table2[[#This Row],[Defect Classification]]="External",1,0))</f>
        <v/>
      </c>
      <c r="T258" s="100"/>
      <c r="U258" s="101"/>
      <c r="V258" s="100"/>
      <c r="W258" s="101"/>
      <c r="X258" s="101"/>
      <c r="Y258" s="101"/>
      <c r="Z258" s="101"/>
      <c r="AA258" s="112" t="str">
        <f>IF(ISNA(VLOOKUP(Table2[[#This Row],[Task ID]],Table1[],17,FALSE)),"",VLOOKUP(Table2[[#This Row],[Task ID]],Table1[],17,FALSE))</f>
        <v/>
      </c>
      <c r="AB258" s="115" t="str">
        <f>IF(Table2[[#This Row],[Defect Detected On Date ]]="","",TEXT(Table2[[#This Row],[Defect Detected On Date ]],"mmm"))</f>
        <v/>
      </c>
      <c r="AE258" s="63"/>
    </row>
    <row r="259" spans="2:31">
      <c r="B259" s="100"/>
      <c r="C259" s="100"/>
      <c r="D259" s="101"/>
      <c r="E259" s="101"/>
      <c r="F259" s="101"/>
      <c r="G259" s="102"/>
      <c r="H259" s="101"/>
      <c r="I259" s="101"/>
      <c r="J259" s="101"/>
      <c r="K259" s="101"/>
      <c r="L259" s="101"/>
      <c r="M259" s="101"/>
      <c r="N259" s="100"/>
      <c r="O259" s="100"/>
      <c r="P259" s="101"/>
      <c r="Q259" s="101"/>
      <c r="R259" s="106" t="str">
        <f>IF(Table2[[#This Row],[Defect Classification]]="","",IF(Table2[[#This Row],[Defect Classification]]="Internal",1,0))</f>
        <v/>
      </c>
      <c r="S259" s="106" t="str">
        <f>IF(Table2[[#This Row],[Defect Classification]]="","",IF(Table2[[#This Row],[Defect Classification]]="External",1,0))</f>
        <v/>
      </c>
      <c r="T259" s="100"/>
      <c r="U259" s="101"/>
      <c r="V259" s="100"/>
      <c r="W259" s="101"/>
      <c r="X259" s="101"/>
      <c r="Y259" s="101"/>
      <c r="Z259" s="101"/>
      <c r="AA259" s="112" t="str">
        <f>IF(ISNA(VLOOKUP(Table2[[#This Row],[Task ID]],Table1[],17,FALSE)),"",VLOOKUP(Table2[[#This Row],[Task ID]],Table1[],17,FALSE))</f>
        <v/>
      </c>
      <c r="AB259" s="115" t="str">
        <f>IF(Table2[[#This Row],[Defect Detected On Date ]]="","",TEXT(Table2[[#This Row],[Defect Detected On Date ]],"mmm"))</f>
        <v/>
      </c>
      <c r="AE259" s="63"/>
    </row>
    <row r="260" spans="2:31">
      <c r="B260" s="100"/>
      <c r="C260" s="100"/>
      <c r="D260" s="101"/>
      <c r="E260" s="101"/>
      <c r="F260" s="101"/>
      <c r="G260" s="102"/>
      <c r="H260" s="101"/>
      <c r="I260" s="101"/>
      <c r="J260" s="101"/>
      <c r="K260" s="101"/>
      <c r="L260" s="101"/>
      <c r="M260" s="101"/>
      <c r="N260" s="100"/>
      <c r="O260" s="100"/>
      <c r="P260" s="101"/>
      <c r="Q260" s="101"/>
      <c r="R260" s="106" t="str">
        <f>IF(Table2[[#This Row],[Defect Classification]]="","",IF(Table2[[#This Row],[Defect Classification]]="Internal",1,0))</f>
        <v/>
      </c>
      <c r="S260" s="106" t="str">
        <f>IF(Table2[[#This Row],[Defect Classification]]="","",IF(Table2[[#This Row],[Defect Classification]]="External",1,0))</f>
        <v/>
      </c>
      <c r="T260" s="100"/>
      <c r="U260" s="101"/>
      <c r="V260" s="100"/>
      <c r="W260" s="101"/>
      <c r="X260" s="101"/>
      <c r="Y260" s="101"/>
      <c r="Z260" s="101"/>
      <c r="AA260" s="112" t="str">
        <f>IF(ISNA(VLOOKUP(Table2[[#This Row],[Task ID]],Table1[],17,FALSE)),"",VLOOKUP(Table2[[#This Row],[Task ID]],Table1[],17,FALSE))</f>
        <v/>
      </c>
      <c r="AB260" s="115" t="str">
        <f>IF(Table2[[#This Row],[Defect Detected On Date ]]="","",TEXT(Table2[[#This Row],[Defect Detected On Date ]],"mmm"))</f>
        <v/>
      </c>
      <c r="AE260" s="63"/>
    </row>
    <row r="261" spans="2:31">
      <c r="B261" s="100"/>
      <c r="C261" s="100"/>
      <c r="D261" s="101"/>
      <c r="E261" s="101"/>
      <c r="F261" s="101"/>
      <c r="G261" s="102"/>
      <c r="H261" s="101"/>
      <c r="I261" s="101"/>
      <c r="J261" s="101"/>
      <c r="K261" s="101"/>
      <c r="L261" s="101"/>
      <c r="M261" s="101"/>
      <c r="N261" s="100"/>
      <c r="O261" s="100"/>
      <c r="P261" s="101"/>
      <c r="Q261" s="101"/>
      <c r="R261" s="106" t="str">
        <f>IF(Table2[[#This Row],[Defect Classification]]="","",IF(Table2[[#This Row],[Defect Classification]]="Internal",1,0))</f>
        <v/>
      </c>
      <c r="S261" s="106" t="str">
        <f>IF(Table2[[#This Row],[Defect Classification]]="","",IF(Table2[[#This Row],[Defect Classification]]="External",1,0))</f>
        <v/>
      </c>
      <c r="T261" s="100"/>
      <c r="U261" s="101"/>
      <c r="V261" s="100"/>
      <c r="W261" s="101"/>
      <c r="X261" s="101"/>
      <c r="Y261" s="101"/>
      <c r="Z261" s="101"/>
      <c r="AA261" s="112" t="str">
        <f>IF(ISNA(VLOOKUP(Table2[[#This Row],[Task ID]],Table1[],17,FALSE)),"",VLOOKUP(Table2[[#This Row],[Task ID]],Table1[],17,FALSE))</f>
        <v/>
      </c>
      <c r="AB261" s="115" t="str">
        <f>IF(Table2[[#This Row],[Defect Detected On Date ]]="","",TEXT(Table2[[#This Row],[Defect Detected On Date ]],"mmm"))</f>
        <v/>
      </c>
      <c r="AE261" s="63"/>
    </row>
    <row r="262" spans="2:31">
      <c r="B262" s="100"/>
      <c r="C262" s="100"/>
      <c r="D262" s="101"/>
      <c r="E262" s="101"/>
      <c r="F262" s="101"/>
      <c r="G262" s="102"/>
      <c r="H262" s="101"/>
      <c r="I262" s="101"/>
      <c r="J262" s="101"/>
      <c r="K262" s="101"/>
      <c r="L262" s="101"/>
      <c r="M262" s="101"/>
      <c r="N262" s="100"/>
      <c r="O262" s="100"/>
      <c r="P262" s="101"/>
      <c r="Q262" s="101"/>
      <c r="R262" s="106" t="str">
        <f>IF(Table2[[#This Row],[Defect Classification]]="","",IF(Table2[[#This Row],[Defect Classification]]="Internal",1,0))</f>
        <v/>
      </c>
      <c r="S262" s="106" t="str">
        <f>IF(Table2[[#This Row],[Defect Classification]]="","",IF(Table2[[#This Row],[Defect Classification]]="External",1,0))</f>
        <v/>
      </c>
      <c r="T262" s="100"/>
      <c r="U262" s="101"/>
      <c r="V262" s="100"/>
      <c r="W262" s="101"/>
      <c r="X262" s="101"/>
      <c r="Y262" s="101"/>
      <c r="Z262" s="101"/>
      <c r="AA262" s="112" t="str">
        <f>IF(ISNA(VLOOKUP(Table2[[#This Row],[Task ID]],Table1[],17,FALSE)),"",VLOOKUP(Table2[[#This Row],[Task ID]],Table1[],17,FALSE))</f>
        <v/>
      </c>
      <c r="AB262" s="115" t="str">
        <f>IF(Table2[[#This Row],[Defect Detected On Date ]]="","",TEXT(Table2[[#This Row],[Defect Detected On Date ]],"mmm"))</f>
        <v/>
      </c>
      <c r="AE262" s="63"/>
    </row>
    <row r="263" spans="2:31">
      <c r="B263" s="100"/>
      <c r="C263" s="100"/>
      <c r="D263" s="101"/>
      <c r="E263" s="101"/>
      <c r="F263" s="101"/>
      <c r="G263" s="102"/>
      <c r="H263" s="101"/>
      <c r="I263" s="101"/>
      <c r="J263" s="101"/>
      <c r="K263" s="101"/>
      <c r="L263" s="101"/>
      <c r="M263" s="101"/>
      <c r="N263" s="100"/>
      <c r="O263" s="100"/>
      <c r="P263" s="101"/>
      <c r="Q263" s="101"/>
      <c r="R263" s="106" t="str">
        <f>IF(Table2[[#This Row],[Defect Classification]]="","",IF(Table2[[#This Row],[Defect Classification]]="Internal",1,0))</f>
        <v/>
      </c>
      <c r="S263" s="106" t="str">
        <f>IF(Table2[[#This Row],[Defect Classification]]="","",IF(Table2[[#This Row],[Defect Classification]]="External",1,0))</f>
        <v/>
      </c>
      <c r="T263" s="100"/>
      <c r="U263" s="101"/>
      <c r="V263" s="100"/>
      <c r="W263" s="101"/>
      <c r="X263" s="101"/>
      <c r="Y263" s="101"/>
      <c r="Z263" s="101"/>
      <c r="AA263" s="112" t="str">
        <f>IF(ISNA(VLOOKUP(Table2[[#This Row],[Task ID]],Table1[],17,FALSE)),"",VLOOKUP(Table2[[#This Row],[Task ID]],Table1[],17,FALSE))</f>
        <v/>
      </c>
      <c r="AB263" s="115" t="str">
        <f>IF(Table2[[#This Row],[Defect Detected On Date ]]="","",TEXT(Table2[[#This Row],[Defect Detected On Date ]],"mmm"))</f>
        <v/>
      </c>
      <c r="AE263" s="63"/>
    </row>
    <row r="264" spans="2:31">
      <c r="B264" s="100"/>
      <c r="C264" s="100"/>
      <c r="D264" s="101"/>
      <c r="E264" s="101"/>
      <c r="F264" s="101"/>
      <c r="G264" s="102"/>
      <c r="H264" s="101"/>
      <c r="I264" s="101"/>
      <c r="J264" s="101"/>
      <c r="K264" s="101"/>
      <c r="L264" s="101"/>
      <c r="M264" s="101"/>
      <c r="N264" s="100"/>
      <c r="O264" s="100"/>
      <c r="P264" s="101"/>
      <c r="Q264" s="101"/>
      <c r="R264" s="106" t="str">
        <f>IF(Table2[[#This Row],[Defect Classification]]="","",IF(Table2[[#This Row],[Defect Classification]]="Internal",1,0))</f>
        <v/>
      </c>
      <c r="S264" s="106" t="str">
        <f>IF(Table2[[#This Row],[Defect Classification]]="","",IF(Table2[[#This Row],[Defect Classification]]="External",1,0))</f>
        <v/>
      </c>
      <c r="T264" s="100"/>
      <c r="U264" s="101"/>
      <c r="V264" s="100"/>
      <c r="W264" s="101"/>
      <c r="X264" s="101"/>
      <c r="Y264" s="101"/>
      <c r="Z264" s="101"/>
      <c r="AA264" s="112" t="str">
        <f>IF(ISNA(VLOOKUP(Table2[[#This Row],[Task ID]],Table1[],17,FALSE)),"",VLOOKUP(Table2[[#This Row],[Task ID]],Table1[],17,FALSE))</f>
        <v/>
      </c>
      <c r="AB264" s="115" t="str">
        <f>IF(Table2[[#This Row],[Defect Detected On Date ]]="","",TEXT(Table2[[#This Row],[Defect Detected On Date ]],"mmm"))</f>
        <v/>
      </c>
      <c r="AE264" s="63"/>
    </row>
    <row r="265" spans="2:31">
      <c r="B265" s="100"/>
      <c r="C265" s="100"/>
      <c r="D265" s="101"/>
      <c r="E265" s="101"/>
      <c r="F265" s="101"/>
      <c r="G265" s="102"/>
      <c r="H265" s="101"/>
      <c r="I265" s="101"/>
      <c r="J265" s="101"/>
      <c r="K265" s="101"/>
      <c r="L265" s="101"/>
      <c r="M265" s="101"/>
      <c r="N265" s="100"/>
      <c r="O265" s="100"/>
      <c r="P265" s="101"/>
      <c r="Q265" s="101"/>
      <c r="R265" s="106" t="str">
        <f>IF(Table2[[#This Row],[Defect Classification]]="","",IF(Table2[[#This Row],[Defect Classification]]="Internal",1,0))</f>
        <v/>
      </c>
      <c r="S265" s="106" t="str">
        <f>IF(Table2[[#This Row],[Defect Classification]]="","",IF(Table2[[#This Row],[Defect Classification]]="External",1,0))</f>
        <v/>
      </c>
      <c r="T265" s="100"/>
      <c r="U265" s="101"/>
      <c r="V265" s="100"/>
      <c r="W265" s="101"/>
      <c r="X265" s="101"/>
      <c r="Y265" s="101"/>
      <c r="Z265" s="101"/>
      <c r="AA265" s="112" t="str">
        <f>IF(ISNA(VLOOKUP(Table2[[#This Row],[Task ID]],Table1[],17,FALSE)),"",VLOOKUP(Table2[[#This Row],[Task ID]],Table1[],17,FALSE))</f>
        <v/>
      </c>
      <c r="AB265" s="115" t="str">
        <f>IF(Table2[[#This Row],[Defect Detected On Date ]]="","",TEXT(Table2[[#This Row],[Defect Detected On Date ]],"mmm"))</f>
        <v/>
      </c>
      <c r="AE265" s="63"/>
    </row>
    <row r="266" spans="2:31">
      <c r="B266" s="100"/>
      <c r="C266" s="100"/>
      <c r="D266" s="101"/>
      <c r="E266" s="101"/>
      <c r="F266" s="101"/>
      <c r="G266" s="102"/>
      <c r="H266" s="101"/>
      <c r="I266" s="101"/>
      <c r="J266" s="101"/>
      <c r="K266" s="101"/>
      <c r="L266" s="101"/>
      <c r="M266" s="101"/>
      <c r="N266" s="100"/>
      <c r="O266" s="100"/>
      <c r="P266" s="101"/>
      <c r="Q266" s="101"/>
      <c r="R266" s="106" t="str">
        <f>IF(Table2[[#This Row],[Defect Classification]]="","",IF(Table2[[#This Row],[Defect Classification]]="Internal",1,0))</f>
        <v/>
      </c>
      <c r="S266" s="106" t="str">
        <f>IF(Table2[[#This Row],[Defect Classification]]="","",IF(Table2[[#This Row],[Defect Classification]]="External",1,0))</f>
        <v/>
      </c>
      <c r="T266" s="100"/>
      <c r="U266" s="101"/>
      <c r="V266" s="100"/>
      <c r="W266" s="101"/>
      <c r="X266" s="101"/>
      <c r="Y266" s="101"/>
      <c r="Z266" s="101"/>
      <c r="AA266" s="112" t="str">
        <f>IF(ISNA(VLOOKUP(Table2[[#This Row],[Task ID]],Table1[],17,FALSE)),"",VLOOKUP(Table2[[#This Row],[Task ID]],Table1[],17,FALSE))</f>
        <v/>
      </c>
      <c r="AB266" s="115" t="str">
        <f>IF(Table2[[#This Row],[Defect Detected On Date ]]="","",TEXT(Table2[[#This Row],[Defect Detected On Date ]],"mmm"))</f>
        <v/>
      </c>
      <c r="AE266" s="63"/>
    </row>
    <row r="267" spans="2:31">
      <c r="B267" s="100"/>
      <c r="C267" s="100"/>
      <c r="D267" s="101"/>
      <c r="E267" s="101"/>
      <c r="F267" s="101"/>
      <c r="G267" s="102"/>
      <c r="H267" s="101"/>
      <c r="I267" s="101"/>
      <c r="J267" s="101"/>
      <c r="K267" s="101"/>
      <c r="L267" s="101"/>
      <c r="M267" s="101"/>
      <c r="N267" s="100"/>
      <c r="O267" s="100"/>
      <c r="P267" s="101"/>
      <c r="Q267" s="101"/>
      <c r="R267" s="106" t="str">
        <f>IF(Table2[[#This Row],[Defect Classification]]="","",IF(Table2[[#This Row],[Defect Classification]]="Internal",1,0))</f>
        <v/>
      </c>
      <c r="S267" s="106" t="str">
        <f>IF(Table2[[#This Row],[Defect Classification]]="","",IF(Table2[[#This Row],[Defect Classification]]="External",1,0))</f>
        <v/>
      </c>
      <c r="T267" s="100"/>
      <c r="U267" s="101"/>
      <c r="V267" s="100"/>
      <c r="W267" s="101"/>
      <c r="X267" s="101"/>
      <c r="Y267" s="101"/>
      <c r="Z267" s="101"/>
      <c r="AA267" s="112" t="str">
        <f>IF(ISNA(VLOOKUP(Table2[[#This Row],[Task ID]],Table1[],17,FALSE)),"",VLOOKUP(Table2[[#This Row],[Task ID]],Table1[],17,FALSE))</f>
        <v/>
      </c>
      <c r="AB267" s="115" t="str">
        <f>IF(Table2[[#This Row],[Defect Detected On Date ]]="","",TEXT(Table2[[#This Row],[Defect Detected On Date ]],"mmm"))</f>
        <v/>
      </c>
      <c r="AE267" s="63"/>
    </row>
    <row r="268" spans="2:31">
      <c r="B268" s="100"/>
      <c r="C268" s="100"/>
      <c r="D268" s="101"/>
      <c r="E268" s="101"/>
      <c r="F268" s="101"/>
      <c r="G268" s="102"/>
      <c r="H268" s="101"/>
      <c r="I268" s="101"/>
      <c r="J268" s="101"/>
      <c r="K268" s="101"/>
      <c r="L268" s="101"/>
      <c r="M268" s="101"/>
      <c r="N268" s="100"/>
      <c r="O268" s="100"/>
      <c r="P268" s="101"/>
      <c r="Q268" s="101"/>
      <c r="R268" s="106" t="str">
        <f>IF(Table2[[#This Row],[Defect Classification]]="","",IF(Table2[[#This Row],[Defect Classification]]="Internal",1,0))</f>
        <v/>
      </c>
      <c r="S268" s="106" t="str">
        <f>IF(Table2[[#This Row],[Defect Classification]]="","",IF(Table2[[#This Row],[Defect Classification]]="External",1,0))</f>
        <v/>
      </c>
      <c r="T268" s="100"/>
      <c r="U268" s="101"/>
      <c r="V268" s="100"/>
      <c r="W268" s="101"/>
      <c r="X268" s="101"/>
      <c r="Y268" s="101"/>
      <c r="Z268" s="101"/>
      <c r="AA268" s="112" t="str">
        <f>IF(ISNA(VLOOKUP(Table2[[#This Row],[Task ID]],Table1[],17,FALSE)),"",VLOOKUP(Table2[[#This Row],[Task ID]],Table1[],17,FALSE))</f>
        <v/>
      </c>
      <c r="AB268" s="115" t="str">
        <f>IF(Table2[[#This Row],[Defect Detected On Date ]]="","",TEXT(Table2[[#This Row],[Defect Detected On Date ]],"mmm"))</f>
        <v/>
      </c>
      <c r="AE268" s="63"/>
    </row>
    <row r="269" spans="2:31">
      <c r="B269" s="100"/>
      <c r="C269" s="100"/>
      <c r="D269" s="101"/>
      <c r="E269" s="101"/>
      <c r="F269" s="101"/>
      <c r="G269" s="102"/>
      <c r="H269" s="101"/>
      <c r="I269" s="101"/>
      <c r="J269" s="101"/>
      <c r="K269" s="101"/>
      <c r="L269" s="101"/>
      <c r="M269" s="101"/>
      <c r="N269" s="100"/>
      <c r="O269" s="100"/>
      <c r="P269" s="101"/>
      <c r="Q269" s="101"/>
      <c r="R269" s="106" t="str">
        <f>IF(Table2[[#This Row],[Defect Classification]]="","",IF(Table2[[#This Row],[Defect Classification]]="Internal",1,0))</f>
        <v/>
      </c>
      <c r="S269" s="106" t="str">
        <f>IF(Table2[[#This Row],[Defect Classification]]="","",IF(Table2[[#This Row],[Defect Classification]]="External",1,0))</f>
        <v/>
      </c>
      <c r="T269" s="100"/>
      <c r="U269" s="101"/>
      <c r="V269" s="100"/>
      <c r="W269" s="101"/>
      <c r="X269" s="101"/>
      <c r="Y269" s="101"/>
      <c r="Z269" s="101"/>
      <c r="AA269" s="112" t="str">
        <f>IF(ISNA(VLOOKUP(Table2[[#This Row],[Task ID]],Table1[],17,FALSE)),"",VLOOKUP(Table2[[#This Row],[Task ID]],Table1[],17,FALSE))</f>
        <v/>
      </c>
      <c r="AB269" s="115" t="str">
        <f>IF(Table2[[#This Row],[Defect Detected On Date ]]="","",TEXT(Table2[[#This Row],[Defect Detected On Date ]],"mmm"))</f>
        <v/>
      </c>
      <c r="AE269" s="63"/>
    </row>
    <row r="270" spans="2:31">
      <c r="B270" s="100"/>
      <c r="C270" s="100"/>
      <c r="D270" s="101"/>
      <c r="E270" s="101"/>
      <c r="F270" s="101"/>
      <c r="G270" s="102"/>
      <c r="H270" s="101"/>
      <c r="I270" s="101"/>
      <c r="J270" s="101"/>
      <c r="K270" s="101"/>
      <c r="L270" s="101"/>
      <c r="M270" s="101"/>
      <c r="N270" s="100"/>
      <c r="O270" s="100"/>
      <c r="P270" s="101"/>
      <c r="Q270" s="101"/>
      <c r="R270" s="106" t="str">
        <f>IF(Table2[[#This Row],[Defect Classification]]="","",IF(Table2[[#This Row],[Defect Classification]]="Internal",1,0))</f>
        <v/>
      </c>
      <c r="S270" s="106" t="str">
        <f>IF(Table2[[#This Row],[Defect Classification]]="","",IF(Table2[[#This Row],[Defect Classification]]="External",1,0))</f>
        <v/>
      </c>
      <c r="T270" s="100"/>
      <c r="U270" s="101"/>
      <c r="V270" s="100"/>
      <c r="W270" s="101"/>
      <c r="X270" s="101"/>
      <c r="Y270" s="101"/>
      <c r="Z270" s="101"/>
      <c r="AA270" s="112" t="str">
        <f>IF(ISNA(VLOOKUP(Table2[[#This Row],[Task ID]],Table1[],17,FALSE)),"",VLOOKUP(Table2[[#This Row],[Task ID]],Table1[],17,FALSE))</f>
        <v/>
      </c>
      <c r="AB270" s="115" t="str">
        <f>IF(Table2[[#This Row],[Defect Detected On Date ]]="","",TEXT(Table2[[#This Row],[Defect Detected On Date ]],"mmm"))</f>
        <v/>
      </c>
      <c r="AE270" s="63"/>
    </row>
    <row r="271" spans="2:31">
      <c r="B271" s="100"/>
      <c r="C271" s="100"/>
      <c r="D271" s="101"/>
      <c r="E271" s="101"/>
      <c r="F271" s="101"/>
      <c r="G271" s="102"/>
      <c r="H271" s="101"/>
      <c r="I271" s="101"/>
      <c r="J271" s="101"/>
      <c r="K271" s="101"/>
      <c r="L271" s="101"/>
      <c r="M271" s="101"/>
      <c r="N271" s="100"/>
      <c r="O271" s="100"/>
      <c r="P271" s="101"/>
      <c r="Q271" s="101"/>
      <c r="R271" s="106" t="str">
        <f>IF(Table2[[#This Row],[Defect Classification]]="","",IF(Table2[[#This Row],[Defect Classification]]="Internal",1,0))</f>
        <v/>
      </c>
      <c r="S271" s="106" t="str">
        <f>IF(Table2[[#This Row],[Defect Classification]]="","",IF(Table2[[#This Row],[Defect Classification]]="External",1,0))</f>
        <v/>
      </c>
      <c r="T271" s="100"/>
      <c r="U271" s="101"/>
      <c r="V271" s="100"/>
      <c r="W271" s="101"/>
      <c r="X271" s="101"/>
      <c r="Y271" s="101"/>
      <c r="Z271" s="101"/>
      <c r="AA271" s="112" t="str">
        <f>IF(ISNA(VLOOKUP(Table2[[#This Row],[Task ID]],Table1[],17,FALSE)),"",VLOOKUP(Table2[[#This Row],[Task ID]],Table1[],17,FALSE))</f>
        <v/>
      </c>
      <c r="AB271" s="115" t="str">
        <f>IF(Table2[[#This Row],[Defect Detected On Date ]]="","",TEXT(Table2[[#This Row],[Defect Detected On Date ]],"mmm"))</f>
        <v/>
      </c>
      <c r="AE271" s="63"/>
    </row>
    <row r="272" spans="2:31">
      <c r="B272" s="100"/>
      <c r="C272" s="100"/>
      <c r="D272" s="101"/>
      <c r="E272" s="101"/>
      <c r="F272" s="101"/>
      <c r="G272" s="102"/>
      <c r="H272" s="101"/>
      <c r="I272" s="101"/>
      <c r="J272" s="101"/>
      <c r="K272" s="101"/>
      <c r="L272" s="101"/>
      <c r="M272" s="101"/>
      <c r="N272" s="100"/>
      <c r="O272" s="100"/>
      <c r="P272" s="101"/>
      <c r="Q272" s="101"/>
      <c r="R272" s="106" t="str">
        <f>IF(Table2[[#This Row],[Defect Classification]]="","",IF(Table2[[#This Row],[Defect Classification]]="Internal",1,0))</f>
        <v/>
      </c>
      <c r="S272" s="106" t="str">
        <f>IF(Table2[[#This Row],[Defect Classification]]="","",IF(Table2[[#This Row],[Defect Classification]]="External",1,0))</f>
        <v/>
      </c>
      <c r="T272" s="100"/>
      <c r="U272" s="101"/>
      <c r="V272" s="100"/>
      <c r="W272" s="101"/>
      <c r="X272" s="101"/>
      <c r="Y272" s="101"/>
      <c r="Z272" s="101"/>
      <c r="AA272" s="112" t="str">
        <f>IF(ISNA(VLOOKUP(Table2[[#This Row],[Task ID]],Table1[],17,FALSE)),"",VLOOKUP(Table2[[#This Row],[Task ID]],Table1[],17,FALSE))</f>
        <v/>
      </c>
      <c r="AB272" s="115" t="str">
        <f>IF(Table2[[#This Row],[Defect Detected On Date ]]="","",TEXT(Table2[[#This Row],[Defect Detected On Date ]],"mmm"))</f>
        <v/>
      </c>
      <c r="AE272" s="63"/>
    </row>
    <row r="273" spans="2:31">
      <c r="B273" s="100"/>
      <c r="C273" s="100"/>
      <c r="D273" s="101"/>
      <c r="E273" s="101"/>
      <c r="F273" s="101"/>
      <c r="G273" s="102"/>
      <c r="H273" s="101"/>
      <c r="I273" s="101"/>
      <c r="J273" s="101"/>
      <c r="K273" s="101"/>
      <c r="L273" s="101"/>
      <c r="M273" s="101"/>
      <c r="N273" s="100"/>
      <c r="O273" s="100"/>
      <c r="P273" s="101"/>
      <c r="Q273" s="101"/>
      <c r="R273" s="106" t="str">
        <f>IF(Table2[[#This Row],[Defect Classification]]="","",IF(Table2[[#This Row],[Defect Classification]]="Internal",1,0))</f>
        <v/>
      </c>
      <c r="S273" s="106" t="str">
        <f>IF(Table2[[#This Row],[Defect Classification]]="","",IF(Table2[[#This Row],[Defect Classification]]="External",1,0))</f>
        <v/>
      </c>
      <c r="T273" s="100"/>
      <c r="U273" s="101"/>
      <c r="V273" s="100"/>
      <c r="W273" s="101"/>
      <c r="X273" s="101"/>
      <c r="Y273" s="101"/>
      <c r="Z273" s="101"/>
      <c r="AA273" s="112" t="str">
        <f>IF(ISNA(VLOOKUP(Table2[[#This Row],[Task ID]],Table1[],17,FALSE)),"",VLOOKUP(Table2[[#This Row],[Task ID]],Table1[],17,FALSE))</f>
        <v/>
      </c>
      <c r="AB273" s="115" t="str">
        <f>IF(Table2[[#This Row],[Defect Detected On Date ]]="","",TEXT(Table2[[#This Row],[Defect Detected On Date ]],"mmm"))</f>
        <v/>
      </c>
      <c r="AE273" s="63"/>
    </row>
    <row r="274" spans="2:31">
      <c r="B274" s="100"/>
      <c r="C274" s="100"/>
      <c r="D274" s="101"/>
      <c r="E274" s="101"/>
      <c r="F274" s="101"/>
      <c r="G274" s="102"/>
      <c r="H274" s="101"/>
      <c r="I274" s="101"/>
      <c r="J274" s="101"/>
      <c r="K274" s="101"/>
      <c r="L274" s="101"/>
      <c r="M274" s="101"/>
      <c r="N274" s="100"/>
      <c r="O274" s="100"/>
      <c r="P274" s="101"/>
      <c r="Q274" s="101"/>
      <c r="R274" s="106" t="str">
        <f>IF(Table2[[#This Row],[Defect Classification]]="","",IF(Table2[[#This Row],[Defect Classification]]="Internal",1,0))</f>
        <v/>
      </c>
      <c r="S274" s="106" t="str">
        <f>IF(Table2[[#This Row],[Defect Classification]]="","",IF(Table2[[#This Row],[Defect Classification]]="External",1,0))</f>
        <v/>
      </c>
      <c r="T274" s="100"/>
      <c r="U274" s="101"/>
      <c r="V274" s="100"/>
      <c r="W274" s="101"/>
      <c r="X274" s="101"/>
      <c r="Y274" s="101"/>
      <c r="Z274" s="101"/>
      <c r="AA274" s="112" t="str">
        <f>IF(ISNA(VLOOKUP(Table2[[#This Row],[Task ID]],Table1[],17,FALSE)),"",VLOOKUP(Table2[[#This Row],[Task ID]],Table1[],17,FALSE))</f>
        <v/>
      </c>
      <c r="AB274" s="115" t="str">
        <f>IF(Table2[[#This Row],[Defect Detected On Date ]]="","",TEXT(Table2[[#This Row],[Defect Detected On Date ]],"mmm"))</f>
        <v/>
      </c>
      <c r="AE274" s="63"/>
    </row>
    <row r="275" spans="2:31">
      <c r="B275" s="100"/>
      <c r="C275" s="100"/>
      <c r="D275" s="101"/>
      <c r="E275" s="101"/>
      <c r="F275" s="101"/>
      <c r="G275" s="102"/>
      <c r="H275" s="101"/>
      <c r="I275" s="101"/>
      <c r="J275" s="101"/>
      <c r="K275" s="101"/>
      <c r="L275" s="101"/>
      <c r="M275" s="101"/>
      <c r="N275" s="100"/>
      <c r="O275" s="100"/>
      <c r="P275" s="101"/>
      <c r="Q275" s="101"/>
      <c r="R275" s="106" t="str">
        <f>IF(Table2[[#This Row],[Defect Classification]]="","",IF(Table2[[#This Row],[Defect Classification]]="Internal",1,0))</f>
        <v/>
      </c>
      <c r="S275" s="106" t="str">
        <f>IF(Table2[[#This Row],[Defect Classification]]="","",IF(Table2[[#This Row],[Defect Classification]]="External",1,0))</f>
        <v/>
      </c>
      <c r="T275" s="100"/>
      <c r="U275" s="101"/>
      <c r="V275" s="100"/>
      <c r="W275" s="101"/>
      <c r="X275" s="101"/>
      <c r="Y275" s="101"/>
      <c r="Z275" s="101"/>
      <c r="AA275" s="112" t="str">
        <f>IF(ISNA(VLOOKUP(Table2[[#This Row],[Task ID]],Table1[],17,FALSE)),"",VLOOKUP(Table2[[#This Row],[Task ID]],Table1[],17,FALSE))</f>
        <v/>
      </c>
      <c r="AB275" s="115" t="str">
        <f>IF(Table2[[#This Row],[Defect Detected On Date ]]="","",TEXT(Table2[[#This Row],[Defect Detected On Date ]],"mmm"))</f>
        <v/>
      </c>
      <c r="AE275" s="63"/>
    </row>
    <row r="276" spans="2:31">
      <c r="B276" s="100"/>
      <c r="C276" s="100"/>
      <c r="D276" s="101"/>
      <c r="E276" s="101"/>
      <c r="F276" s="101"/>
      <c r="G276" s="102"/>
      <c r="H276" s="101"/>
      <c r="I276" s="101"/>
      <c r="J276" s="101"/>
      <c r="K276" s="101"/>
      <c r="L276" s="101"/>
      <c r="M276" s="101"/>
      <c r="N276" s="100"/>
      <c r="O276" s="100"/>
      <c r="P276" s="101"/>
      <c r="Q276" s="101"/>
      <c r="R276" s="106" t="str">
        <f>IF(Table2[[#This Row],[Defect Classification]]="","",IF(Table2[[#This Row],[Defect Classification]]="Internal",1,0))</f>
        <v/>
      </c>
      <c r="S276" s="106" t="str">
        <f>IF(Table2[[#This Row],[Defect Classification]]="","",IF(Table2[[#This Row],[Defect Classification]]="External",1,0))</f>
        <v/>
      </c>
      <c r="T276" s="100"/>
      <c r="U276" s="101"/>
      <c r="V276" s="100"/>
      <c r="W276" s="101"/>
      <c r="X276" s="101"/>
      <c r="Y276" s="101"/>
      <c r="Z276" s="101"/>
      <c r="AA276" s="112" t="str">
        <f>IF(ISNA(VLOOKUP(Table2[[#This Row],[Task ID]],Table1[],17,FALSE)),"",VLOOKUP(Table2[[#This Row],[Task ID]],Table1[],17,FALSE))</f>
        <v/>
      </c>
      <c r="AB276" s="115" t="str">
        <f>IF(Table2[[#This Row],[Defect Detected On Date ]]="","",TEXT(Table2[[#This Row],[Defect Detected On Date ]],"mmm"))</f>
        <v/>
      </c>
      <c r="AE276" s="63"/>
    </row>
    <row r="277" spans="2:31">
      <c r="B277" s="100"/>
      <c r="C277" s="100"/>
      <c r="D277" s="101"/>
      <c r="E277" s="101"/>
      <c r="F277" s="101"/>
      <c r="G277" s="102"/>
      <c r="H277" s="101"/>
      <c r="I277" s="101"/>
      <c r="J277" s="101"/>
      <c r="K277" s="101"/>
      <c r="L277" s="101"/>
      <c r="M277" s="101"/>
      <c r="N277" s="100"/>
      <c r="O277" s="100"/>
      <c r="P277" s="101"/>
      <c r="Q277" s="101"/>
      <c r="R277" s="106" t="str">
        <f>IF(Table2[[#This Row],[Defect Classification]]="","",IF(Table2[[#This Row],[Defect Classification]]="Internal",1,0))</f>
        <v/>
      </c>
      <c r="S277" s="106" t="str">
        <f>IF(Table2[[#This Row],[Defect Classification]]="","",IF(Table2[[#This Row],[Defect Classification]]="External",1,0))</f>
        <v/>
      </c>
      <c r="T277" s="100"/>
      <c r="U277" s="101"/>
      <c r="V277" s="100"/>
      <c r="W277" s="101"/>
      <c r="X277" s="101"/>
      <c r="Y277" s="101"/>
      <c r="Z277" s="101"/>
      <c r="AA277" s="112" t="str">
        <f>IF(ISNA(VLOOKUP(Table2[[#This Row],[Task ID]],Table1[],17,FALSE)),"",VLOOKUP(Table2[[#This Row],[Task ID]],Table1[],17,FALSE))</f>
        <v/>
      </c>
      <c r="AB277" s="115" t="str">
        <f>IF(Table2[[#This Row],[Defect Detected On Date ]]="","",TEXT(Table2[[#This Row],[Defect Detected On Date ]],"mmm"))</f>
        <v/>
      </c>
      <c r="AE277" s="63"/>
    </row>
    <row r="278" spans="2:31">
      <c r="B278" s="100"/>
      <c r="C278" s="100"/>
      <c r="D278" s="101"/>
      <c r="E278" s="101"/>
      <c r="F278" s="101"/>
      <c r="G278" s="102"/>
      <c r="H278" s="101"/>
      <c r="I278" s="101"/>
      <c r="J278" s="101"/>
      <c r="K278" s="101"/>
      <c r="L278" s="101"/>
      <c r="M278" s="101"/>
      <c r="N278" s="100"/>
      <c r="O278" s="100"/>
      <c r="P278" s="101"/>
      <c r="Q278" s="101"/>
      <c r="R278" s="106" t="str">
        <f>IF(Table2[[#This Row],[Defect Classification]]="","",IF(Table2[[#This Row],[Defect Classification]]="Internal",1,0))</f>
        <v/>
      </c>
      <c r="S278" s="106" t="str">
        <f>IF(Table2[[#This Row],[Defect Classification]]="","",IF(Table2[[#This Row],[Defect Classification]]="External",1,0))</f>
        <v/>
      </c>
      <c r="T278" s="100"/>
      <c r="U278" s="101"/>
      <c r="V278" s="100"/>
      <c r="W278" s="101"/>
      <c r="X278" s="101"/>
      <c r="Y278" s="101"/>
      <c r="Z278" s="101"/>
      <c r="AA278" s="112" t="str">
        <f>IF(ISNA(VLOOKUP(Table2[[#This Row],[Task ID]],Table1[],17,FALSE)),"",VLOOKUP(Table2[[#This Row],[Task ID]],Table1[],17,FALSE))</f>
        <v/>
      </c>
      <c r="AB278" s="115" t="str">
        <f>IF(Table2[[#This Row],[Defect Detected On Date ]]="","",TEXT(Table2[[#This Row],[Defect Detected On Date ]],"mmm"))</f>
        <v/>
      </c>
      <c r="AE278" s="63"/>
    </row>
    <row r="279" spans="2:31">
      <c r="B279" s="100"/>
      <c r="C279" s="100"/>
      <c r="D279" s="101"/>
      <c r="E279" s="101"/>
      <c r="F279" s="101"/>
      <c r="G279" s="102"/>
      <c r="H279" s="101"/>
      <c r="I279" s="101"/>
      <c r="J279" s="101"/>
      <c r="K279" s="101"/>
      <c r="L279" s="101"/>
      <c r="M279" s="101"/>
      <c r="N279" s="100"/>
      <c r="O279" s="100"/>
      <c r="P279" s="101"/>
      <c r="Q279" s="101"/>
      <c r="R279" s="106" t="str">
        <f>IF(Table2[[#This Row],[Defect Classification]]="","",IF(Table2[[#This Row],[Defect Classification]]="Internal",1,0))</f>
        <v/>
      </c>
      <c r="S279" s="106" t="str">
        <f>IF(Table2[[#This Row],[Defect Classification]]="","",IF(Table2[[#This Row],[Defect Classification]]="External",1,0))</f>
        <v/>
      </c>
      <c r="T279" s="100"/>
      <c r="U279" s="101"/>
      <c r="V279" s="100"/>
      <c r="W279" s="101"/>
      <c r="X279" s="101"/>
      <c r="Y279" s="101"/>
      <c r="Z279" s="101"/>
      <c r="AA279" s="112" t="str">
        <f>IF(ISNA(VLOOKUP(Table2[[#This Row],[Task ID]],Table1[],17,FALSE)),"",VLOOKUP(Table2[[#This Row],[Task ID]],Table1[],17,FALSE))</f>
        <v/>
      </c>
      <c r="AB279" s="115" t="str">
        <f>IF(Table2[[#This Row],[Defect Detected On Date ]]="","",TEXT(Table2[[#This Row],[Defect Detected On Date ]],"mmm"))</f>
        <v/>
      </c>
      <c r="AE279" s="63"/>
    </row>
    <row r="280" spans="2:31">
      <c r="B280" s="100"/>
      <c r="C280" s="100"/>
      <c r="D280" s="101"/>
      <c r="E280" s="101"/>
      <c r="F280" s="101"/>
      <c r="G280" s="102"/>
      <c r="H280" s="101"/>
      <c r="I280" s="101"/>
      <c r="J280" s="101"/>
      <c r="K280" s="101"/>
      <c r="L280" s="101"/>
      <c r="M280" s="101"/>
      <c r="N280" s="100"/>
      <c r="O280" s="100"/>
      <c r="P280" s="101"/>
      <c r="Q280" s="101"/>
      <c r="R280" s="106" t="str">
        <f>IF(Table2[[#This Row],[Defect Classification]]="","",IF(Table2[[#This Row],[Defect Classification]]="Internal",1,0))</f>
        <v/>
      </c>
      <c r="S280" s="106" t="str">
        <f>IF(Table2[[#This Row],[Defect Classification]]="","",IF(Table2[[#This Row],[Defect Classification]]="External",1,0))</f>
        <v/>
      </c>
      <c r="T280" s="100"/>
      <c r="U280" s="101"/>
      <c r="V280" s="100"/>
      <c r="W280" s="101"/>
      <c r="X280" s="101"/>
      <c r="Y280" s="101"/>
      <c r="Z280" s="101"/>
      <c r="AA280" s="112" t="str">
        <f>IF(ISNA(VLOOKUP(Table2[[#This Row],[Task ID]],Table1[],17,FALSE)),"",VLOOKUP(Table2[[#This Row],[Task ID]],Table1[],17,FALSE))</f>
        <v/>
      </c>
      <c r="AB280" s="115" t="str">
        <f>IF(Table2[[#This Row],[Defect Detected On Date ]]="","",TEXT(Table2[[#This Row],[Defect Detected On Date ]],"mmm"))</f>
        <v/>
      </c>
      <c r="AE280" s="63"/>
    </row>
    <row r="281" spans="2:31">
      <c r="B281" s="100"/>
      <c r="C281" s="100"/>
      <c r="D281" s="101"/>
      <c r="E281" s="101"/>
      <c r="F281" s="101"/>
      <c r="G281" s="102"/>
      <c r="H281" s="101"/>
      <c r="I281" s="101"/>
      <c r="J281" s="101"/>
      <c r="K281" s="101"/>
      <c r="L281" s="101"/>
      <c r="M281" s="101"/>
      <c r="N281" s="100"/>
      <c r="O281" s="100"/>
      <c r="P281" s="101"/>
      <c r="Q281" s="101"/>
      <c r="R281" s="106" t="str">
        <f>IF(Table2[[#This Row],[Defect Classification]]="","",IF(Table2[[#This Row],[Defect Classification]]="Internal",1,0))</f>
        <v/>
      </c>
      <c r="S281" s="106" t="str">
        <f>IF(Table2[[#This Row],[Defect Classification]]="","",IF(Table2[[#This Row],[Defect Classification]]="External",1,0))</f>
        <v/>
      </c>
      <c r="T281" s="100"/>
      <c r="U281" s="101"/>
      <c r="V281" s="100"/>
      <c r="W281" s="101"/>
      <c r="X281" s="101"/>
      <c r="Y281" s="101"/>
      <c r="Z281" s="101"/>
      <c r="AA281" s="112" t="str">
        <f>IF(ISNA(VLOOKUP(Table2[[#This Row],[Task ID]],Table1[],17,FALSE)),"",VLOOKUP(Table2[[#This Row],[Task ID]],Table1[],17,FALSE))</f>
        <v/>
      </c>
      <c r="AB281" s="115" t="str">
        <f>IF(Table2[[#This Row],[Defect Detected On Date ]]="","",TEXT(Table2[[#This Row],[Defect Detected On Date ]],"mmm"))</f>
        <v/>
      </c>
      <c r="AE281" s="63"/>
    </row>
    <row r="282" spans="2:31">
      <c r="B282" s="100"/>
      <c r="C282" s="100"/>
      <c r="D282" s="101"/>
      <c r="E282" s="101"/>
      <c r="F282" s="101"/>
      <c r="G282" s="102"/>
      <c r="H282" s="101"/>
      <c r="I282" s="101"/>
      <c r="J282" s="101"/>
      <c r="K282" s="101"/>
      <c r="L282" s="101"/>
      <c r="M282" s="101"/>
      <c r="N282" s="100"/>
      <c r="O282" s="100"/>
      <c r="P282" s="101"/>
      <c r="Q282" s="101"/>
      <c r="R282" s="106" t="str">
        <f>IF(Table2[[#This Row],[Defect Classification]]="","",IF(Table2[[#This Row],[Defect Classification]]="Internal",1,0))</f>
        <v/>
      </c>
      <c r="S282" s="106" t="str">
        <f>IF(Table2[[#This Row],[Defect Classification]]="","",IF(Table2[[#This Row],[Defect Classification]]="External",1,0))</f>
        <v/>
      </c>
      <c r="T282" s="100"/>
      <c r="U282" s="101"/>
      <c r="V282" s="100"/>
      <c r="W282" s="101"/>
      <c r="X282" s="101"/>
      <c r="Y282" s="101"/>
      <c r="Z282" s="101"/>
      <c r="AA282" s="112" t="str">
        <f>IF(ISNA(VLOOKUP(Table2[[#This Row],[Task ID]],Table1[],17,FALSE)),"",VLOOKUP(Table2[[#This Row],[Task ID]],Table1[],17,FALSE))</f>
        <v/>
      </c>
      <c r="AB282" s="115" t="str">
        <f>IF(Table2[[#This Row],[Defect Detected On Date ]]="","",TEXT(Table2[[#This Row],[Defect Detected On Date ]],"mmm"))</f>
        <v/>
      </c>
      <c r="AE282" s="63"/>
    </row>
    <row r="283" spans="2:31">
      <c r="B283" s="100"/>
      <c r="C283" s="100"/>
      <c r="D283" s="101"/>
      <c r="E283" s="101"/>
      <c r="F283" s="101"/>
      <c r="G283" s="102"/>
      <c r="H283" s="101"/>
      <c r="I283" s="101"/>
      <c r="J283" s="101"/>
      <c r="K283" s="101"/>
      <c r="L283" s="101"/>
      <c r="M283" s="101"/>
      <c r="N283" s="100"/>
      <c r="O283" s="100"/>
      <c r="P283" s="101"/>
      <c r="Q283" s="101"/>
      <c r="R283" s="106" t="str">
        <f>IF(Table2[[#This Row],[Defect Classification]]="","",IF(Table2[[#This Row],[Defect Classification]]="Internal",1,0))</f>
        <v/>
      </c>
      <c r="S283" s="106" t="str">
        <f>IF(Table2[[#This Row],[Defect Classification]]="","",IF(Table2[[#This Row],[Defect Classification]]="External",1,0))</f>
        <v/>
      </c>
      <c r="T283" s="100"/>
      <c r="U283" s="101"/>
      <c r="V283" s="100"/>
      <c r="W283" s="101"/>
      <c r="X283" s="101"/>
      <c r="Y283" s="101"/>
      <c r="Z283" s="101"/>
      <c r="AA283" s="112" t="str">
        <f>IF(ISNA(VLOOKUP(Table2[[#This Row],[Task ID]],Table1[],17,FALSE)),"",VLOOKUP(Table2[[#This Row],[Task ID]],Table1[],17,FALSE))</f>
        <v/>
      </c>
      <c r="AB283" s="115" t="str">
        <f>IF(Table2[[#This Row],[Defect Detected On Date ]]="","",TEXT(Table2[[#This Row],[Defect Detected On Date ]],"mmm"))</f>
        <v/>
      </c>
      <c r="AE283" s="63"/>
    </row>
    <row r="284" spans="2:31">
      <c r="B284" s="100"/>
      <c r="C284" s="100"/>
      <c r="D284" s="101"/>
      <c r="E284" s="101"/>
      <c r="F284" s="101"/>
      <c r="G284" s="102"/>
      <c r="H284" s="101"/>
      <c r="I284" s="101"/>
      <c r="J284" s="101"/>
      <c r="K284" s="101"/>
      <c r="L284" s="101"/>
      <c r="M284" s="101"/>
      <c r="N284" s="100"/>
      <c r="O284" s="100"/>
      <c r="P284" s="101"/>
      <c r="Q284" s="101"/>
      <c r="R284" s="106" t="str">
        <f>IF(Table2[[#This Row],[Defect Classification]]="","",IF(Table2[[#This Row],[Defect Classification]]="Internal",1,0))</f>
        <v/>
      </c>
      <c r="S284" s="106" t="str">
        <f>IF(Table2[[#This Row],[Defect Classification]]="","",IF(Table2[[#This Row],[Defect Classification]]="External",1,0))</f>
        <v/>
      </c>
      <c r="T284" s="100"/>
      <c r="U284" s="101"/>
      <c r="V284" s="100"/>
      <c r="W284" s="101"/>
      <c r="X284" s="101"/>
      <c r="Y284" s="101"/>
      <c r="Z284" s="101"/>
      <c r="AA284" s="112" t="str">
        <f>IF(ISNA(VLOOKUP(Table2[[#This Row],[Task ID]],Table1[],17,FALSE)),"",VLOOKUP(Table2[[#This Row],[Task ID]],Table1[],17,FALSE))</f>
        <v/>
      </c>
      <c r="AB284" s="115" t="str">
        <f>IF(Table2[[#This Row],[Defect Detected On Date ]]="","",TEXT(Table2[[#This Row],[Defect Detected On Date ]],"mmm"))</f>
        <v/>
      </c>
      <c r="AE284" s="63"/>
    </row>
    <row r="285" spans="2:31">
      <c r="B285" s="100"/>
      <c r="C285" s="100"/>
      <c r="D285" s="101"/>
      <c r="E285" s="101"/>
      <c r="F285" s="101"/>
      <c r="G285" s="102"/>
      <c r="H285" s="101"/>
      <c r="I285" s="101"/>
      <c r="J285" s="101"/>
      <c r="K285" s="101"/>
      <c r="L285" s="101"/>
      <c r="M285" s="101"/>
      <c r="N285" s="100"/>
      <c r="O285" s="100"/>
      <c r="P285" s="101"/>
      <c r="Q285" s="101"/>
      <c r="R285" s="106" t="str">
        <f>IF(Table2[[#This Row],[Defect Classification]]="","",IF(Table2[[#This Row],[Defect Classification]]="Internal",1,0))</f>
        <v/>
      </c>
      <c r="S285" s="106" t="str">
        <f>IF(Table2[[#This Row],[Defect Classification]]="","",IF(Table2[[#This Row],[Defect Classification]]="External",1,0))</f>
        <v/>
      </c>
      <c r="T285" s="100"/>
      <c r="U285" s="101"/>
      <c r="V285" s="100"/>
      <c r="W285" s="101"/>
      <c r="X285" s="101"/>
      <c r="Y285" s="101"/>
      <c r="Z285" s="101"/>
      <c r="AA285" s="112" t="str">
        <f>IF(ISNA(VLOOKUP(Table2[[#This Row],[Task ID]],Table1[],17,FALSE)),"",VLOOKUP(Table2[[#This Row],[Task ID]],Table1[],17,FALSE))</f>
        <v/>
      </c>
      <c r="AB285" s="115" t="str">
        <f>IF(Table2[[#This Row],[Defect Detected On Date ]]="","",TEXT(Table2[[#This Row],[Defect Detected On Date ]],"mmm"))</f>
        <v/>
      </c>
      <c r="AE285" s="63"/>
    </row>
    <row r="286" spans="2:31">
      <c r="B286" s="100"/>
      <c r="C286" s="100"/>
      <c r="D286" s="101"/>
      <c r="E286" s="101"/>
      <c r="F286" s="101"/>
      <c r="G286" s="102"/>
      <c r="H286" s="101"/>
      <c r="I286" s="101"/>
      <c r="J286" s="101"/>
      <c r="K286" s="101"/>
      <c r="L286" s="101"/>
      <c r="M286" s="101"/>
      <c r="N286" s="100"/>
      <c r="O286" s="100"/>
      <c r="P286" s="101"/>
      <c r="Q286" s="101"/>
      <c r="R286" s="106" t="str">
        <f>IF(Table2[[#This Row],[Defect Classification]]="","",IF(Table2[[#This Row],[Defect Classification]]="Internal",1,0))</f>
        <v/>
      </c>
      <c r="S286" s="106" t="str">
        <f>IF(Table2[[#This Row],[Defect Classification]]="","",IF(Table2[[#This Row],[Defect Classification]]="External",1,0))</f>
        <v/>
      </c>
      <c r="T286" s="100"/>
      <c r="U286" s="101"/>
      <c r="V286" s="100"/>
      <c r="W286" s="101"/>
      <c r="X286" s="101"/>
      <c r="Y286" s="101"/>
      <c r="Z286" s="101"/>
      <c r="AA286" s="112" t="str">
        <f>IF(ISNA(VLOOKUP(Table2[[#This Row],[Task ID]],Table1[],17,FALSE)),"",VLOOKUP(Table2[[#This Row],[Task ID]],Table1[],17,FALSE))</f>
        <v/>
      </c>
      <c r="AB286" s="115" t="str">
        <f>IF(Table2[[#This Row],[Defect Detected On Date ]]="","",TEXT(Table2[[#This Row],[Defect Detected On Date ]],"mmm"))</f>
        <v/>
      </c>
      <c r="AE286" s="63"/>
    </row>
    <row r="287" spans="2:31">
      <c r="B287" s="100"/>
      <c r="C287" s="100"/>
      <c r="D287" s="101"/>
      <c r="E287" s="101"/>
      <c r="F287" s="101"/>
      <c r="G287" s="102"/>
      <c r="H287" s="101"/>
      <c r="I287" s="101"/>
      <c r="J287" s="101"/>
      <c r="K287" s="101"/>
      <c r="L287" s="101"/>
      <c r="M287" s="101"/>
      <c r="N287" s="100"/>
      <c r="O287" s="100"/>
      <c r="P287" s="101"/>
      <c r="Q287" s="101"/>
      <c r="R287" s="106" t="str">
        <f>IF(Table2[[#This Row],[Defect Classification]]="","",IF(Table2[[#This Row],[Defect Classification]]="Internal",1,0))</f>
        <v/>
      </c>
      <c r="S287" s="106" t="str">
        <f>IF(Table2[[#This Row],[Defect Classification]]="","",IF(Table2[[#This Row],[Defect Classification]]="External",1,0))</f>
        <v/>
      </c>
      <c r="T287" s="100"/>
      <c r="U287" s="101"/>
      <c r="V287" s="100"/>
      <c r="W287" s="101"/>
      <c r="X287" s="101"/>
      <c r="Y287" s="101"/>
      <c r="Z287" s="101"/>
      <c r="AA287" s="112" t="str">
        <f>IF(ISNA(VLOOKUP(Table2[[#This Row],[Task ID]],Table1[],17,FALSE)),"",VLOOKUP(Table2[[#This Row],[Task ID]],Table1[],17,FALSE))</f>
        <v/>
      </c>
      <c r="AB287" s="115" t="str">
        <f>IF(Table2[[#This Row],[Defect Detected On Date ]]="","",TEXT(Table2[[#This Row],[Defect Detected On Date ]],"mmm"))</f>
        <v/>
      </c>
      <c r="AE287" s="63"/>
    </row>
    <row r="288" spans="2:31">
      <c r="B288" s="100"/>
      <c r="C288" s="100"/>
      <c r="D288" s="101"/>
      <c r="E288" s="101"/>
      <c r="F288" s="101"/>
      <c r="G288" s="102"/>
      <c r="H288" s="101"/>
      <c r="I288" s="101"/>
      <c r="J288" s="101"/>
      <c r="K288" s="101"/>
      <c r="L288" s="101"/>
      <c r="M288" s="101"/>
      <c r="N288" s="100"/>
      <c r="O288" s="100"/>
      <c r="P288" s="101"/>
      <c r="Q288" s="101"/>
      <c r="R288" s="106" t="str">
        <f>IF(Table2[[#This Row],[Defect Classification]]="","",IF(Table2[[#This Row],[Defect Classification]]="Internal",1,0))</f>
        <v/>
      </c>
      <c r="S288" s="106" t="str">
        <f>IF(Table2[[#This Row],[Defect Classification]]="","",IF(Table2[[#This Row],[Defect Classification]]="External",1,0))</f>
        <v/>
      </c>
      <c r="T288" s="100"/>
      <c r="U288" s="101"/>
      <c r="V288" s="100"/>
      <c r="W288" s="101"/>
      <c r="X288" s="101"/>
      <c r="Y288" s="101"/>
      <c r="Z288" s="101"/>
      <c r="AA288" s="112" t="str">
        <f>IF(ISNA(VLOOKUP(Table2[[#This Row],[Task ID]],Table1[],17,FALSE)),"",VLOOKUP(Table2[[#This Row],[Task ID]],Table1[],17,FALSE))</f>
        <v/>
      </c>
      <c r="AB288" s="115" t="str">
        <f>IF(Table2[[#This Row],[Defect Detected On Date ]]="","",TEXT(Table2[[#This Row],[Defect Detected On Date ]],"mmm"))</f>
        <v/>
      </c>
      <c r="AE288" s="63"/>
    </row>
    <row r="289" spans="2:31">
      <c r="B289" s="100"/>
      <c r="C289" s="100"/>
      <c r="D289" s="101"/>
      <c r="E289" s="101"/>
      <c r="F289" s="101"/>
      <c r="G289" s="102"/>
      <c r="H289" s="101"/>
      <c r="I289" s="101"/>
      <c r="J289" s="101"/>
      <c r="K289" s="101"/>
      <c r="L289" s="101"/>
      <c r="M289" s="101"/>
      <c r="N289" s="100"/>
      <c r="O289" s="100"/>
      <c r="P289" s="101"/>
      <c r="Q289" s="101"/>
      <c r="R289" s="106" t="str">
        <f>IF(Table2[[#This Row],[Defect Classification]]="","",IF(Table2[[#This Row],[Defect Classification]]="Internal",1,0))</f>
        <v/>
      </c>
      <c r="S289" s="106" t="str">
        <f>IF(Table2[[#This Row],[Defect Classification]]="","",IF(Table2[[#This Row],[Defect Classification]]="External",1,0))</f>
        <v/>
      </c>
      <c r="T289" s="100"/>
      <c r="U289" s="101"/>
      <c r="V289" s="100"/>
      <c r="W289" s="101"/>
      <c r="X289" s="101"/>
      <c r="Y289" s="101"/>
      <c r="Z289" s="101"/>
      <c r="AA289" s="112" t="str">
        <f>IF(ISNA(VLOOKUP(Table2[[#This Row],[Task ID]],Table1[],17,FALSE)),"",VLOOKUP(Table2[[#This Row],[Task ID]],Table1[],17,FALSE))</f>
        <v/>
      </c>
      <c r="AB289" s="115" t="str">
        <f>IF(Table2[[#This Row],[Defect Detected On Date ]]="","",TEXT(Table2[[#This Row],[Defect Detected On Date ]],"mmm"))</f>
        <v/>
      </c>
      <c r="AE289" s="63"/>
    </row>
    <row r="290" spans="2:31">
      <c r="B290" s="100"/>
      <c r="C290" s="100"/>
      <c r="D290" s="101"/>
      <c r="E290" s="101"/>
      <c r="F290" s="101"/>
      <c r="G290" s="102"/>
      <c r="H290" s="101"/>
      <c r="I290" s="101"/>
      <c r="J290" s="101"/>
      <c r="K290" s="101"/>
      <c r="L290" s="101"/>
      <c r="M290" s="101"/>
      <c r="N290" s="100"/>
      <c r="O290" s="100"/>
      <c r="P290" s="101"/>
      <c r="Q290" s="101"/>
      <c r="R290" s="106" t="str">
        <f>IF(Table2[[#This Row],[Defect Classification]]="","",IF(Table2[[#This Row],[Defect Classification]]="Internal",1,0))</f>
        <v/>
      </c>
      <c r="S290" s="106" t="str">
        <f>IF(Table2[[#This Row],[Defect Classification]]="","",IF(Table2[[#This Row],[Defect Classification]]="External",1,0))</f>
        <v/>
      </c>
      <c r="T290" s="100"/>
      <c r="U290" s="101"/>
      <c r="V290" s="100"/>
      <c r="W290" s="101"/>
      <c r="X290" s="101"/>
      <c r="Y290" s="101"/>
      <c r="Z290" s="101"/>
      <c r="AA290" s="112" t="str">
        <f>IF(ISNA(VLOOKUP(Table2[[#This Row],[Task ID]],Table1[],17,FALSE)),"",VLOOKUP(Table2[[#This Row],[Task ID]],Table1[],17,FALSE))</f>
        <v/>
      </c>
      <c r="AB290" s="115" t="str">
        <f>IF(Table2[[#This Row],[Defect Detected On Date ]]="","",TEXT(Table2[[#This Row],[Defect Detected On Date ]],"mmm"))</f>
        <v/>
      </c>
      <c r="AE290" s="63"/>
    </row>
    <row r="291" spans="2:31">
      <c r="B291" s="100"/>
      <c r="C291" s="100"/>
      <c r="D291" s="101"/>
      <c r="E291" s="101"/>
      <c r="F291" s="101"/>
      <c r="G291" s="102"/>
      <c r="H291" s="101"/>
      <c r="I291" s="101"/>
      <c r="J291" s="101"/>
      <c r="K291" s="101"/>
      <c r="L291" s="101"/>
      <c r="M291" s="101"/>
      <c r="N291" s="100"/>
      <c r="O291" s="100"/>
      <c r="P291" s="101"/>
      <c r="Q291" s="101"/>
      <c r="R291" s="106" t="str">
        <f>IF(Table2[[#This Row],[Defect Classification]]="","",IF(Table2[[#This Row],[Defect Classification]]="Internal",1,0))</f>
        <v/>
      </c>
      <c r="S291" s="106" t="str">
        <f>IF(Table2[[#This Row],[Defect Classification]]="","",IF(Table2[[#This Row],[Defect Classification]]="External",1,0))</f>
        <v/>
      </c>
      <c r="T291" s="100"/>
      <c r="U291" s="101"/>
      <c r="V291" s="100"/>
      <c r="W291" s="101"/>
      <c r="X291" s="101"/>
      <c r="Y291" s="101"/>
      <c r="Z291" s="101"/>
      <c r="AA291" s="112" t="str">
        <f>IF(ISNA(VLOOKUP(Table2[[#This Row],[Task ID]],Table1[],17,FALSE)),"",VLOOKUP(Table2[[#This Row],[Task ID]],Table1[],17,FALSE))</f>
        <v/>
      </c>
      <c r="AB291" s="115" t="str">
        <f>IF(Table2[[#This Row],[Defect Detected On Date ]]="","",TEXT(Table2[[#This Row],[Defect Detected On Date ]],"mmm"))</f>
        <v/>
      </c>
      <c r="AE291" s="63"/>
    </row>
    <row r="292" spans="2:31">
      <c r="B292" s="100"/>
      <c r="C292" s="100"/>
      <c r="D292" s="101"/>
      <c r="E292" s="101"/>
      <c r="F292" s="101"/>
      <c r="G292" s="102"/>
      <c r="H292" s="101"/>
      <c r="I292" s="101"/>
      <c r="J292" s="101"/>
      <c r="K292" s="101"/>
      <c r="L292" s="101"/>
      <c r="M292" s="101"/>
      <c r="N292" s="100"/>
      <c r="O292" s="100"/>
      <c r="P292" s="101"/>
      <c r="Q292" s="101"/>
      <c r="R292" s="106" t="str">
        <f>IF(Table2[[#This Row],[Defect Classification]]="","",IF(Table2[[#This Row],[Defect Classification]]="Internal",1,0))</f>
        <v/>
      </c>
      <c r="S292" s="106" t="str">
        <f>IF(Table2[[#This Row],[Defect Classification]]="","",IF(Table2[[#This Row],[Defect Classification]]="External",1,0))</f>
        <v/>
      </c>
      <c r="T292" s="100"/>
      <c r="U292" s="101"/>
      <c r="V292" s="100"/>
      <c r="W292" s="101"/>
      <c r="X292" s="101"/>
      <c r="Y292" s="101"/>
      <c r="Z292" s="101"/>
      <c r="AA292" s="112" t="str">
        <f>IF(ISNA(VLOOKUP(Table2[[#This Row],[Task ID]],Table1[],17,FALSE)),"",VLOOKUP(Table2[[#This Row],[Task ID]],Table1[],17,FALSE))</f>
        <v/>
      </c>
      <c r="AB292" s="115" t="str">
        <f>IF(Table2[[#This Row],[Defect Detected On Date ]]="","",TEXT(Table2[[#This Row],[Defect Detected On Date ]],"mmm"))</f>
        <v/>
      </c>
      <c r="AE292" s="63"/>
    </row>
    <row r="293" spans="2:31">
      <c r="B293" s="100"/>
      <c r="C293" s="100"/>
      <c r="D293" s="101"/>
      <c r="E293" s="101"/>
      <c r="F293" s="101"/>
      <c r="G293" s="102"/>
      <c r="H293" s="101"/>
      <c r="I293" s="101"/>
      <c r="J293" s="101"/>
      <c r="K293" s="101"/>
      <c r="L293" s="101"/>
      <c r="M293" s="101"/>
      <c r="N293" s="100"/>
      <c r="O293" s="100"/>
      <c r="P293" s="101"/>
      <c r="Q293" s="101"/>
      <c r="R293" s="106" t="str">
        <f>IF(Table2[[#This Row],[Defect Classification]]="","",IF(Table2[[#This Row],[Defect Classification]]="Internal",1,0))</f>
        <v/>
      </c>
      <c r="S293" s="106" t="str">
        <f>IF(Table2[[#This Row],[Defect Classification]]="","",IF(Table2[[#This Row],[Defect Classification]]="External",1,0))</f>
        <v/>
      </c>
      <c r="T293" s="100"/>
      <c r="U293" s="101"/>
      <c r="V293" s="100"/>
      <c r="W293" s="101"/>
      <c r="X293" s="101"/>
      <c r="Y293" s="101"/>
      <c r="Z293" s="101"/>
      <c r="AA293" s="112" t="str">
        <f>IF(ISNA(VLOOKUP(Table2[[#This Row],[Task ID]],Table1[],17,FALSE)),"",VLOOKUP(Table2[[#This Row],[Task ID]],Table1[],17,FALSE))</f>
        <v/>
      </c>
      <c r="AB293" s="115" t="str">
        <f>IF(Table2[[#This Row],[Defect Detected On Date ]]="","",TEXT(Table2[[#This Row],[Defect Detected On Date ]],"mmm"))</f>
        <v/>
      </c>
      <c r="AE293" s="63"/>
    </row>
    <row r="294" spans="2:31">
      <c r="B294" s="100"/>
      <c r="C294" s="100"/>
      <c r="D294" s="101"/>
      <c r="E294" s="101"/>
      <c r="F294" s="101"/>
      <c r="G294" s="102"/>
      <c r="H294" s="101"/>
      <c r="I294" s="101"/>
      <c r="J294" s="101"/>
      <c r="K294" s="101"/>
      <c r="L294" s="101"/>
      <c r="M294" s="101"/>
      <c r="N294" s="100"/>
      <c r="O294" s="100"/>
      <c r="P294" s="101"/>
      <c r="Q294" s="101"/>
      <c r="R294" s="106" t="str">
        <f>IF(Table2[[#This Row],[Defect Classification]]="","",IF(Table2[[#This Row],[Defect Classification]]="Internal",1,0))</f>
        <v/>
      </c>
      <c r="S294" s="106" t="str">
        <f>IF(Table2[[#This Row],[Defect Classification]]="","",IF(Table2[[#This Row],[Defect Classification]]="External",1,0))</f>
        <v/>
      </c>
      <c r="T294" s="100"/>
      <c r="U294" s="101"/>
      <c r="V294" s="100"/>
      <c r="W294" s="101"/>
      <c r="X294" s="101"/>
      <c r="Y294" s="101"/>
      <c r="Z294" s="101"/>
      <c r="AA294" s="112" t="str">
        <f>IF(ISNA(VLOOKUP(Table2[[#This Row],[Task ID]],Table1[],17,FALSE)),"",VLOOKUP(Table2[[#This Row],[Task ID]],Table1[],17,FALSE))</f>
        <v/>
      </c>
      <c r="AB294" s="115" t="str">
        <f>IF(Table2[[#This Row],[Defect Detected On Date ]]="","",TEXT(Table2[[#This Row],[Defect Detected On Date ]],"mmm"))</f>
        <v/>
      </c>
      <c r="AE294" s="63"/>
    </row>
    <row r="295" spans="2:31">
      <c r="B295" s="100"/>
      <c r="C295" s="100"/>
      <c r="D295" s="101"/>
      <c r="E295" s="101"/>
      <c r="F295" s="101"/>
      <c r="G295" s="102"/>
      <c r="H295" s="101"/>
      <c r="I295" s="101"/>
      <c r="J295" s="101"/>
      <c r="K295" s="101"/>
      <c r="L295" s="101"/>
      <c r="M295" s="101"/>
      <c r="N295" s="100"/>
      <c r="O295" s="100"/>
      <c r="P295" s="101"/>
      <c r="Q295" s="101"/>
      <c r="R295" s="106" t="str">
        <f>IF(Table2[[#This Row],[Defect Classification]]="","",IF(Table2[[#This Row],[Defect Classification]]="Internal",1,0))</f>
        <v/>
      </c>
      <c r="S295" s="106" t="str">
        <f>IF(Table2[[#This Row],[Defect Classification]]="","",IF(Table2[[#This Row],[Defect Classification]]="External",1,0))</f>
        <v/>
      </c>
      <c r="T295" s="100"/>
      <c r="U295" s="101"/>
      <c r="V295" s="100"/>
      <c r="W295" s="101"/>
      <c r="X295" s="101"/>
      <c r="Y295" s="101"/>
      <c r="Z295" s="101"/>
      <c r="AA295" s="112" t="str">
        <f>IF(ISNA(VLOOKUP(Table2[[#This Row],[Task ID]],Table1[],17,FALSE)),"",VLOOKUP(Table2[[#This Row],[Task ID]],Table1[],17,FALSE))</f>
        <v/>
      </c>
      <c r="AB295" s="115" t="str">
        <f>IF(Table2[[#This Row],[Defect Detected On Date ]]="","",TEXT(Table2[[#This Row],[Defect Detected On Date ]],"mmm"))</f>
        <v/>
      </c>
      <c r="AE295" s="63"/>
    </row>
    <row r="296" spans="2:31">
      <c r="B296" s="100"/>
      <c r="C296" s="100"/>
      <c r="D296" s="101"/>
      <c r="E296" s="101"/>
      <c r="F296" s="101"/>
      <c r="G296" s="102"/>
      <c r="H296" s="101"/>
      <c r="I296" s="101"/>
      <c r="J296" s="101"/>
      <c r="K296" s="101"/>
      <c r="L296" s="101"/>
      <c r="M296" s="101"/>
      <c r="N296" s="100"/>
      <c r="O296" s="100"/>
      <c r="P296" s="101"/>
      <c r="Q296" s="101"/>
      <c r="R296" s="106" t="str">
        <f>IF(Table2[[#This Row],[Defect Classification]]="","",IF(Table2[[#This Row],[Defect Classification]]="Internal",1,0))</f>
        <v/>
      </c>
      <c r="S296" s="106" t="str">
        <f>IF(Table2[[#This Row],[Defect Classification]]="","",IF(Table2[[#This Row],[Defect Classification]]="External",1,0))</f>
        <v/>
      </c>
      <c r="T296" s="100"/>
      <c r="U296" s="101"/>
      <c r="V296" s="100"/>
      <c r="W296" s="101"/>
      <c r="X296" s="101"/>
      <c r="Y296" s="101"/>
      <c r="Z296" s="101"/>
      <c r="AA296" s="112" t="str">
        <f>IF(ISNA(VLOOKUP(Table2[[#This Row],[Task ID]],Table1[],17,FALSE)),"",VLOOKUP(Table2[[#This Row],[Task ID]],Table1[],17,FALSE))</f>
        <v/>
      </c>
      <c r="AB296" s="115" t="str">
        <f>IF(Table2[[#This Row],[Defect Detected On Date ]]="","",TEXT(Table2[[#This Row],[Defect Detected On Date ]],"mmm"))</f>
        <v/>
      </c>
      <c r="AE296" s="63"/>
    </row>
    <row r="297" spans="2:31">
      <c r="B297" s="100"/>
      <c r="C297" s="100"/>
      <c r="D297" s="101"/>
      <c r="E297" s="101"/>
      <c r="F297" s="101"/>
      <c r="G297" s="102"/>
      <c r="H297" s="101"/>
      <c r="I297" s="101"/>
      <c r="J297" s="101"/>
      <c r="K297" s="101"/>
      <c r="L297" s="101"/>
      <c r="M297" s="101"/>
      <c r="N297" s="100"/>
      <c r="O297" s="100"/>
      <c r="P297" s="101"/>
      <c r="Q297" s="101"/>
      <c r="R297" s="106" t="str">
        <f>IF(Table2[[#This Row],[Defect Classification]]="","",IF(Table2[[#This Row],[Defect Classification]]="Internal",1,0))</f>
        <v/>
      </c>
      <c r="S297" s="106" t="str">
        <f>IF(Table2[[#This Row],[Defect Classification]]="","",IF(Table2[[#This Row],[Defect Classification]]="External",1,0))</f>
        <v/>
      </c>
      <c r="T297" s="100"/>
      <c r="U297" s="101"/>
      <c r="V297" s="100"/>
      <c r="W297" s="101"/>
      <c r="X297" s="101"/>
      <c r="Y297" s="101"/>
      <c r="Z297" s="101"/>
      <c r="AA297" s="112" t="str">
        <f>IF(ISNA(VLOOKUP(Table2[[#This Row],[Task ID]],Table1[],17,FALSE)),"",VLOOKUP(Table2[[#This Row],[Task ID]],Table1[],17,FALSE))</f>
        <v/>
      </c>
      <c r="AB297" s="115" t="str">
        <f>IF(Table2[[#This Row],[Defect Detected On Date ]]="","",TEXT(Table2[[#This Row],[Defect Detected On Date ]],"mmm"))</f>
        <v/>
      </c>
      <c r="AE297" s="63"/>
    </row>
    <row r="298" spans="2:31">
      <c r="B298" s="100"/>
      <c r="C298" s="100"/>
      <c r="D298" s="101"/>
      <c r="E298" s="101"/>
      <c r="F298" s="101"/>
      <c r="G298" s="102"/>
      <c r="H298" s="101"/>
      <c r="I298" s="101"/>
      <c r="J298" s="101"/>
      <c r="K298" s="101"/>
      <c r="L298" s="101"/>
      <c r="M298" s="101"/>
      <c r="N298" s="100"/>
      <c r="O298" s="100"/>
      <c r="P298" s="101"/>
      <c r="Q298" s="101"/>
      <c r="R298" s="106" t="str">
        <f>IF(Table2[[#This Row],[Defect Classification]]="","",IF(Table2[[#This Row],[Defect Classification]]="Internal",1,0))</f>
        <v/>
      </c>
      <c r="S298" s="106" t="str">
        <f>IF(Table2[[#This Row],[Defect Classification]]="","",IF(Table2[[#This Row],[Defect Classification]]="External",1,0))</f>
        <v/>
      </c>
      <c r="T298" s="100"/>
      <c r="U298" s="101"/>
      <c r="V298" s="100"/>
      <c r="W298" s="101"/>
      <c r="X298" s="101"/>
      <c r="Y298" s="101"/>
      <c r="Z298" s="101"/>
      <c r="AA298" s="112" t="str">
        <f>IF(ISNA(VLOOKUP(Table2[[#This Row],[Task ID]],Table1[],17,FALSE)),"",VLOOKUP(Table2[[#This Row],[Task ID]],Table1[],17,FALSE))</f>
        <v/>
      </c>
      <c r="AB298" s="115" t="str">
        <f>IF(Table2[[#This Row],[Defect Detected On Date ]]="","",TEXT(Table2[[#This Row],[Defect Detected On Date ]],"mmm"))</f>
        <v/>
      </c>
      <c r="AE298" s="63"/>
    </row>
    <row r="299" spans="2:31">
      <c r="B299" s="100"/>
      <c r="C299" s="100"/>
      <c r="D299" s="101"/>
      <c r="E299" s="101"/>
      <c r="F299" s="101"/>
      <c r="G299" s="102"/>
      <c r="H299" s="101"/>
      <c r="I299" s="101"/>
      <c r="J299" s="101"/>
      <c r="K299" s="101"/>
      <c r="L299" s="101"/>
      <c r="M299" s="101"/>
      <c r="N299" s="100"/>
      <c r="O299" s="100"/>
      <c r="P299" s="101"/>
      <c r="Q299" s="101"/>
      <c r="R299" s="106" t="str">
        <f>IF(Table2[[#This Row],[Defect Classification]]="","",IF(Table2[[#This Row],[Defect Classification]]="Internal",1,0))</f>
        <v/>
      </c>
      <c r="S299" s="106" t="str">
        <f>IF(Table2[[#This Row],[Defect Classification]]="","",IF(Table2[[#This Row],[Defect Classification]]="External",1,0))</f>
        <v/>
      </c>
      <c r="T299" s="100"/>
      <c r="U299" s="101"/>
      <c r="V299" s="100"/>
      <c r="W299" s="101"/>
      <c r="X299" s="101"/>
      <c r="Y299" s="101"/>
      <c r="Z299" s="101"/>
      <c r="AA299" s="112" t="str">
        <f>IF(ISNA(VLOOKUP(Table2[[#This Row],[Task ID]],Table1[],17,FALSE)),"",VLOOKUP(Table2[[#This Row],[Task ID]],Table1[],17,FALSE))</f>
        <v/>
      </c>
      <c r="AB299" s="115" t="str">
        <f>IF(Table2[[#This Row],[Defect Detected On Date ]]="","",TEXT(Table2[[#This Row],[Defect Detected On Date ]],"mmm"))</f>
        <v/>
      </c>
      <c r="AE299" s="63"/>
    </row>
    <row r="300" spans="2:31">
      <c r="B300" s="100"/>
      <c r="C300" s="100"/>
      <c r="D300" s="101"/>
      <c r="E300" s="101"/>
      <c r="F300" s="101"/>
      <c r="G300" s="102"/>
      <c r="H300" s="101"/>
      <c r="I300" s="101"/>
      <c r="J300" s="101"/>
      <c r="K300" s="101"/>
      <c r="L300" s="101"/>
      <c r="M300" s="101"/>
      <c r="N300" s="100"/>
      <c r="O300" s="100"/>
      <c r="P300" s="101"/>
      <c r="Q300" s="101"/>
      <c r="R300" s="106" t="str">
        <f>IF(Table2[[#This Row],[Defect Classification]]="","",IF(Table2[[#This Row],[Defect Classification]]="Internal",1,0))</f>
        <v/>
      </c>
      <c r="S300" s="106" t="str">
        <f>IF(Table2[[#This Row],[Defect Classification]]="","",IF(Table2[[#This Row],[Defect Classification]]="External",1,0))</f>
        <v/>
      </c>
      <c r="T300" s="100"/>
      <c r="U300" s="101"/>
      <c r="V300" s="100"/>
      <c r="W300" s="101"/>
      <c r="X300" s="101"/>
      <c r="Y300" s="101"/>
      <c r="Z300" s="101"/>
      <c r="AA300" s="112" t="str">
        <f>IF(ISNA(VLOOKUP(Table2[[#This Row],[Task ID]],Table1[],17,FALSE)),"",VLOOKUP(Table2[[#This Row],[Task ID]],Table1[],17,FALSE))</f>
        <v/>
      </c>
      <c r="AB300" s="115" t="str">
        <f>IF(Table2[[#This Row],[Defect Detected On Date ]]="","",TEXT(Table2[[#This Row],[Defect Detected On Date ]],"mmm"))</f>
        <v/>
      </c>
      <c r="AE300" s="63"/>
    </row>
    <row r="301" spans="2:31">
      <c r="B301" s="100"/>
      <c r="C301" s="100"/>
      <c r="D301" s="101"/>
      <c r="E301" s="101"/>
      <c r="F301" s="101"/>
      <c r="G301" s="102"/>
      <c r="H301" s="101"/>
      <c r="I301" s="101"/>
      <c r="J301" s="101"/>
      <c r="K301" s="101"/>
      <c r="L301" s="101"/>
      <c r="M301" s="101"/>
      <c r="N301" s="100"/>
      <c r="O301" s="100"/>
      <c r="P301" s="101"/>
      <c r="Q301" s="101"/>
      <c r="R301" s="106" t="str">
        <f>IF(Table2[[#This Row],[Defect Classification]]="","",IF(Table2[[#This Row],[Defect Classification]]="Internal",1,0))</f>
        <v/>
      </c>
      <c r="S301" s="106" t="str">
        <f>IF(Table2[[#This Row],[Defect Classification]]="","",IF(Table2[[#This Row],[Defect Classification]]="External",1,0))</f>
        <v/>
      </c>
      <c r="T301" s="100"/>
      <c r="U301" s="101"/>
      <c r="V301" s="100"/>
      <c r="W301" s="101"/>
      <c r="X301" s="101"/>
      <c r="Y301" s="101"/>
      <c r="Z301" s="101"/>
      <c r="AA301" s="112" t="str">
        <f>IF(ISNA(VLOOKUP(Table2[[#This Row],[Task ID]],Table1[],17,FALSE)),"",VLOOKUP(Table2[[#This Row],[Task ID]],Table1[],17,FALSE))</f>
        <v/>
      </c>
      <c r="AB301" s="115" t="str">
        <f>IF(Table2[[#This Row],[Defect Detected On Date ]]="","",TEXT(Table2[[#This Row],[Defect Detected On Date ]],"mmm"))</f>
        <v/>
      </c>
      <c r="AE301" s="63"/>
    </row>
    <row r="302" spans="2:31">
      <c r="B302" s="100"/>
      <c r="C302" s="100"/>
      <c r="D302" s="101"/>
      <c r="E302" s="101"/>
      <c r="F302" s="101"/>
      <c r="G302" s="102"/>
      <c r="H302" s="101"/>
      <c r="I302" s="101"/>
      <c r="J302" s="101"/>
      <c r="K302" s="101"/>
      <c r="L302" s="101"/>
      <c r="M302" s="101"/>
      <c r="N302" s="100"/>
      <c r="O302" s="100"/>
      <c r="P302" s="101"/>
      <c r="Q302" s="101"/>
      <c r="R302" s="106" t="str">
        <f>IF(Table2[[#This Row],[Defect Classification]]="","",IF(Table2[[#This Row],[Defect Classification]]="Internal",1,0))</f>
        <v/>
      </c>
      <c r="S302" s="106" t="str">
        <f>IF(Table2[[#This Row],[Defect Classification]]="","",IF(Table2[[#This Row],[Defect Classification]]="External",1,0))</f>
        <v/>
      </c>
      <c r="T302" s="100"/>
      <c r="U302" s="101"/>
      <c r="V302" s="100"/>
      <c r="W302" s="101"/>
      <c r="X302" s="101"/>
      <c r="Y302" s="101"/>
      <c r="Z302" s="101"/>
      <c r="AA302" s="112" t="str">
        <f>IF(ISNA(VLOOKUP(Table2[[#This Row],[Task ID]],Table1[],17,FALSE)),"",VLOOKUP(Table2[[#This Row],[Task ID]],Table1[],17,FALSE))</f>
        <v/>
      </c>
      <c r="AB302" s="115" t="str">
        <f>IF(Table2[[#This Row],[Defect Detected On Date ]]="","",TEXT(Table2[[#This Row],[Defect Detected On Date ]],"mmm"))</f>
        <v/>
      </c>
      <c r="AE302" s="63"/>
    </row>
    <row r="303" spans="2:31">
      <c r="B303" s="100"/>
      <c r="C303" s="100"/>
      <c r="D303" s="101"/>
      <c r="E303" s="101"/>
      <c r="F303" s="101"/>
      <c r="G303" s="102"/>
      <c r="H303" s="101"/>
      <c r="I303" s="101"/>
      <c r="J303" s="101"/>
      <c r="K303" s="101"/>
      <c r="L303" s="101"/>
      <c r="M303" s="101"/>
      <c r="N303" s="100"/>
      <c r="O303" s="100"/>
      <c r="P303" s="101"/>
      <c r="Q303" s="101"/>
      <c r="R303" s="106" t="str">
        <f>IF(Table2[[#This Row],[Defect Classification]]="","",IF(Table2[[#This Row],[Defect Classification]]="Internal",1,0))</f>
        <v/>
      </c>
      <c r="S303" s="106" t="str">
        <f>IF(Table2[[#This Row],[Defect Classification]]="","",IF(Table2[[#This Row],[Defect Classification]]="External",1,0))</f>
        <v/>
      </c>
      <c r="T303" s="100"/>
      <c r="U303" s="101"/>
      <c r="V303" s="100"/>
      <c r="W303" s="101"/>
      <c r="X303" s="101"/>
      <c r="Y303" s="101"/>
      <c r="Z303" s="101"/>
      <c r="AA303" s="112" t="str">
        <f>IF(ISNA(VLOOKUP(Table2[[#This Row],[Task ID]],Table1[],17,FALSE)),"",VLOOKUP(Table2[[#This Row],[Task ID]],Table1[],17,FALSE))</f>
        <v/>
      </c>
      <c r="AB303" s="115" t="str">
        <f>IF(Table2[[#This Row],[Defect Detected On Date ]]="","",TEXT(Table2[[#This Row],[Defect Detected On Date ]],"mmm"))</f>
        <v/>
      </c>
      <c r="AE303" s="63"/>
    </row>
    <row r="304" spans="2:31">
      <c r="B304" s="100"/>
      <c r="C304" s="100"/>
      <c r="D304" s="101"/>
      <c r="E304" s="101"/>
      <c r="F304" s="101"/>
      <c r="G304" s="102"/>
      <c r="H304" s="101"/>
      <c r="I304" s="101"/>
      <c r="J304" s="101"/>
      <c r="K304" s="101"/>
      <c r="L304" s="101"/>
      <c r="M304" s="101"/>
      <c r="N304" s="100"/>
      <c r="O304" s="100"/>
      <c r="P304" s="101"/>
      <c r="Q304" s="101"/>
      <c r="R304" s="106" t="str">
        <f>IF(Table2[[#This Row],[Defect Classification]]="","",IF(Table2[[#This Row],[Defect Classification]]="Internal",1,0))</f>
        <v/>
      </c>
      <c r="S304" s="106" t="str">
        <f>IF(Table2[[#This Row],[Defect Classification]]="","",IF(Table2[[#This Row],[Defect Classification]]="External",1,0))</f>
        <v/>
      </c>
      <c r="T304" s="100"/>
      <c r="U304" s="101"/>
      <c r="V304" s="100"/>
      <c r="W304" s="101"/>
      <c r="X304" s="101"/>
      <c r="Y304" s="101"/>
      <c r="Z304" s="101"/>
      <c r="AA304" s="112" t="str">
        <f>IF(ISNA(VLOOKUP(Table2[[#This Row],[Task ID]],Table1[],17,FALSE)),"",VLOOKUP(Table2[[#This Row],[Task ID]],Table1[],17,FALSE))</f>
        <v/>
      </c>
      <c r="AB304" s="115" t="str">
        <f>IF(Table2[[#This Row],[Defect Detected On Date ]]="","",TEXT(Table2[[#This Row],[Defect Detected On Date ]],"mmm"))</f>
        <v/>
      </c>
      <c r="AE304" s="63"/>
    </row>
    <row r="305" spans="2:31">
      <c r="B305" s="100"/>
      <c r="C305" s="100"/>
      <c r="D305" s="101"/>
      <c r="E305" s="101"/>
      <c r="F305" s="101"/>
      <c r="G305" s="102"/>
      <c r="H305" s="101"/>
      <c r="I305" s="101"/>
      <c r="J305" s="101"/>
      <c r="K305" s="101"/>
      <c r="L305" s="101"/>
      <c r="M305" s="101"/>
      <c r="N305" s="100"/>
      <c r="O305" s="100"/>
      <c r="P305" s="101"/>
      <c r="Q305" s="101"/>
      <c r="R305" s="106" t="str">
        <f>IF(Table2[[#This Row],[Defect Classification]]="","",IF(Table2[[#This Row],[Defect Classification]]="Internal",1,0))</f>
        <v/>
      </c>
      <c r="S305" s="106" t="str">
        <f>IF(Table2[[#This Row],[Defect Classification]]="","",IF(Table2[[#This Row],[Defect Classification]]="External",1,0))</f>
        <v/>
      </c>
      <c r="T305" s="100"/>
      <c r="U305" s="101"/>
      <c r="V305" s="100"/>
      <c r="W305" s="101"/>
      <c r="X305" s="101"/>
      <c r="Y305" s="101"/>
      <c r="Z305" s="101"/>
      <c r="AA305" s="112" t="str">
        <f>IF(ISNA(VLOOKUP(Table2[[#This Row],[Task ID]],Table1[],17,FALSE)),"",VLOOKUP(Table2[[#This Row],[Task ID]],Table1[],17,FALSE))</f>
        <v/>
      </c>
      <c r="AB305" s="115" t="str">
        <f>IF(Table2[[#This Row],[Defect Detected On Date ]]="","",TEXT(Table2[[#This Row],[Defect Detected On Date ]],"mmm"))</f>
        <v/>
      </c>
      <c r="AE305" s="63"/>
    </row>
    <row r="306" spans="2:31">
      <c r="B306" s="100"/>
      <c r="C306" s="100"/>
      <c r="D306" s="101"/>
      <c r="E306" s="101"/>
      <c r="F306" s="101"/>
      <c r="G306" s="102"/>
      <c r="H306" s="101"/>
      <c r="I306" s="101"/>
      <c r="J306" s="101"/>
      <c r="K306" s="101"/>
      <c r="L306" s="101"/>
      <c r="M306" s="101"/>
      <c r="N306" s="100"/>
      <c r="O306" s="100"/>
      <c r="P306" s="101"/>
      <c r="Q306" s="101"/>
      <c r="R306" s="106" t="str">
        <f>IF(Table2[[#This Row],[Defect Classification]]="","",IF(Table2[[#This Row],[Defect Classification]]="Internal",1,0))</f>
        <v/>
      </c>
      <c r="S306" s="106" t="str">
        <f>IF(Table2[[#This Row],[Defect Classification]]="","",IF(Table2[[#This Row],[Defect Classification]]="External",1,0))</f>
        <v/>
      </c>
      <c r="T306" s="100"/>
      <c r="U306" s="101"/>
      <c r="V306" s="100"/>
      <c r="W306" s="101"/>
      <c r="X306" s="101"/>
      <c r="Y306" s="101"/>
      <c r="Z306" s="101"/>
      <c r="AA306" s="112" t="str">
        <f>IF(ISNA(VLOOKUP(Table2[[#This Row],[Task ID]],Table1[],17,FALSE)),"",VLOOKUP(Table2[[#This Row],[Task ID]],Table1[],17,FALSE))</f>
        <v/>
      </c>
      <c r="AB306" s="115" t="str">
        <f>IF(Table2[[#This Row],[Defect Detected On Date ]]="","",TEXT(Table2[[#This Row],[Defect Detected On Date ]],"mmm"))</f>
        <v/>
      </c>
      <c r="AE306" s="63"/>
    </row>
    <row r="307" spans="2:31">
      <c r="B307" s="100"/>
      <c r="C307" s="100"/>
      <c r="D307" s="101"/>
      <c r="E307" s="101"/>
      <c r="F307" s="101"/>
      <c r="G307" s="102"/>
      <c r="H307" s="101"/>
      <c r="I307" s="101"/>
      <c r="J307" s="101"/>
      <c r="K307" s="101"/>
      <c r="L307" s="101"/>
      <c r="M307" s="101"/>
      <c r="N307" s="100"/>
      <c r="O307" s="100"/>
      <c r="P307" s="101"/>
      <c r="Q307" s="101"/>
      <c r="R307" s="106" t="str">
        <f>IF(Table2[[#This Row],[Defect Classification]]="","",IF(Table2[[#This Row],[Defect Classification]]="Internal",1,0))</f>
        <v/>
      </c>
      <c r="S307" s="106" t="str">
        <f>IF(Table2[[#This Row],[Defect Classification]]="","",IF(Table2[[#This Row],[Defect Classification]]="External",1,0))</f>
        <v/>
      </c>
      <c r="T307" s="100"/>
      <c r="U307" s="101"/>
      <c r="V307" s="100"/>
      <c r="W307" s="101"/>
      <c r="X307" s="101"/>
      <c r="Y307" s="101"/>
      <c r="Z307" s="101"/>
      <c r="AA307" s="112" t="str">
        <f>IF(ISNA(VLOOKUP(Table2[[#This Row],[Task ID]],Table1[],17,FALSE)),"",VLOOKUP(Table2[[#This Row],[Task ID]],Table1[],17,FALSE))</f>
        <v/>
      </c>
      <c r="AB307" s="115" t="str">
        <f>IF(Table2[[#This Row],[Defect Detected On Date ]]="","",TEXT(Table2[[#This Row],[Defect Detected On Date ]],"mmm"))</f>
        <v/>
      </c>
      <c r="AE307" s="63"/>
    </row>
    <row r="308" spans="2:31">
      <c r="B308" s="100"/>
      <c r="C308" s="100"/>
      <c r="D308" s="101"/>
      <c r="E308" s="101"/>
      <c r="F308" s="101"/>
      <c r="G308" s="102"/>
      <c r="H308" s="101"/>
      <c r="I308" s="101"/>
      <c r="J308" s="101"/>
      <c r="K308" s="101"/>
      <c r="L308" s="101"/>
      <c r="M308" s="101"/>
      <c r="N308" s="100"/>
      <c r="O308" s="100"/>
      <c r="P308" s="101"/>
      <c r="Q308" s="101"/>
      <c r="R308" s="106" t="str">
        <f>IF(Table2[[#This Row],[Defect Classification]]="","",IF(Table2[[#This Row],[Defect Classification]]="Internal",1,0))</f>
        <v/>
      </c>
      <c r="S308" s="106" t="str">
        <f>IF(Table2[[#This Row],[Defect Classification]]="","",IF(Table2[[#This Row],[Defect Classification]]="External",1,0))</f>
        <v/>
      </c>
      <c r="T308" s="100"/>
      <c r="U308" s="101"/>
      <c r="V308" s="100"/>
      <c r="W308" s="101"/>
      <c r="X308" s="101"/>
      <c r="Y308" s="101"/>
      <c r="Z308" s="101"/>
      <c r="AA308" s="112" t="str">
        <f>IF(ISNA(VLOOKUP(Table2[[#This Row],[Task ID]],Table1[],17,FALSE)),"",VLOOKUP(Table2[[#This Row],[Task ID]],Table1[],17,FALSE))</f>
        <v/>
      </c>
      <c r="AB308" s="115" t="str">
        <f>IF(Table2[[#This Row],[Defect Detected On Date ]]="","",TEXT(Table2[[#This Row],[Defect Detected On Date ]],"mmm"))</f>
        <v/>
      </c>
      <c r="AE308" s="63"/>
    </row>
    <row r="309" spans="2:31">
      <c r="B309" s="100"/>
      <c r="C309" s="100"/>
      <c r="D309" s="101"/>
      <c r="E309" s="101"/>
      <c r="F309" s="101"/>
      <c r="G309" s="102"/>
      <c r="H309" s="101"/>
      <c r="I309" s="101"/>
      <c r="J309" s="101"/>
      <c r="K309" s="101"/>
      <c r="L309" s="101"/>
      <c r="M309" s="101"/>
      <c r="N309" s="100"/>
      <c r="O309" s="100"/>
      <c r="P309" s="101"/>
      <c r="Q309" s="101"/>
      <c r="R309" s="106" t="str">
        <f>IF(Table2[[#This Row],[Defect Classification]]="","",IF(Table2[[#This Row],[Defect Classification]]="Internal",1,0))</f>
        <v/>
      </c>
      <c r="S309" s="106" t="str">
        <f>IF(Table2[[#This Row],[Defect Classification]]="","",IF(Table2[[#This Row],[Defect Classification]]="External",1,0))</f>
        <v/>
      </c>
      <c r="T309" s="100"/>
      <c r="U309" s="101"/>
      <c r="V309" s="100"/>
      <c r="W309" s="101"/>
      <c r="X309" s="101"/>
      <c r="Y309" s="101"/>
      <c r="Z309" s="101"/>
      <c r="AA309" s="112" t="str">
        <f>IF(ISNA(VLOOKUP(Table2[[#This Row],[Task ID]],Table1[],17,FALSE)),"",VLOOKUP(Table2[[#This Row],[Task ID]],Table1[],17,FALSE))</f>
        <v/>
      </c>
      <c r="AB309" s="115" t="str">
        <f>IF(Table2[[#This Row],[Defect Detected On Date ]]="","",TEXT(Table2[[#This Row],[Defect Detected On Date ]],"mmm"))</f>
        <v/>
      </c>
      <c r="AE309" s="63"/>
    </row>
    <row r="310" spans="2:31">
      <c r="B310" s="100"/>
      <c r="C310" s="100"/>
      <c r="D310" s="101"/>
      <c r="E310" s="101"/>
      <c r="F310" s="101"/>
      <c r="G310" s="102"/>
      <c r="H310" s="101"/>
      <c r="I310" s="101"/>
      <c r="J310" s="101"/>
      <c r="K310" s="101"/>
      <c r="L310" s="101"/>
      <c r="M310" s="101"/>
      <c r="N310" s="100"/>
      <c r="O310" s="100"/>
      <c r="P310" s="101"/>
      <c r="Q310" s="101"/>
      <c r="R310" s="106" t="str">
        <f>IF(Table2[[#This Row],[Defect Classification]]="","",IF(Table2[[#This Row],[Defect Classification]]="Internal",1,0))</f>
        <v/>
      </c>
      <c r="S310" s="106" t="str">
        <f>IF(Table2[[#This Row],[Defect Classification]]="","",IF(Table2[[#This Row],[Defect Classification]]="External",1,0))</f>
        <v/>
      </c>
      <c r="T310" s="100"/>
      <c r="U310" s="101"/>
      <c r="V310" s="100"/>
      <c r="W310" s="101"/>
      <c r="X310" s="101"/>
      <c r="Y310" s="101"/>
      <c r="Z310" s="101"/>
      <c r="AA310" s="112" t="str">
        <f>IF(ISNA(VLOOKUP(Table2[[#This Row],[Task ID]],Table1[],17,FALSE)),"",VLOOKUP(Table2[[#This Row],[Task ID]],Table1[],17,FALSE))</f>
        <v/>
      </c>
      <c r="AB310" s="115" t="str">
        <f>IF(Table2[[#This Row],[Defect Detected On Date ]]="","",TEXT(Table2[[#This Row],[Defect Detected On Date ]],"mmm"))</f>
        <v/>
      </c>
      <c r="AE310" s="63"/>
    </row>
    <row r="311" spans="2:31">
      <c r="B311" s="100"/>
      <c r="C311" s="100"/>
      <c r="D311" s="101"/>
      <c r="E311" s="101"/>
      <c r="F311" s="101"/>
      <c r="G311" s="102"/>
      <c r="H311" s="101"/>
      <c r="I311" s="101"/>
      <c r="J311" s="101"/>
      <c r="K311" s="101"/>
      <c r="L311" s="101"/>
      <c r="M311" s="101"/>
      <c r="N311" s="100"/>
      <c r="O311" s="100"/>
      <c r="P311" s="101"/>
      <c r="Q311" s="101"/>
      <c r="R311" s="106" t="str">
        <f>IF(Table2[[#This Row],[Defect Classification]]="","",IF(Table2[[#This Row],[Defect Classification]]="Internal",1,0))</f>
        <v/>
      </c>
      <c r="S311" s="106" t="str">
        <f>IF(Table2[[#This Row],[Defect Classification]]="","",IF(Table2[[#This Row],[Defect Classification]]="External",1,0))</f>
        <v/>
      </c>
      <c r="T311" s="100"/>
      <c r="U311" s="101"/>
      <c r="V311" s="100"/>
      <c r="W311" s="101"/>
      <c r="X311" s="101"/>
      <c r="Y311" s="101"/>
      <c r="Z311" s="101"/>
      <c r="AA311" s="112" t="str">
        <f>IF(ISNA(VLOOKUP(Table2[[#This Row],[Task ID]],Table1[],17,FALSE)),"",VLOOKUP(Table2[[#This Row],[Task ID]],Table1[],17,FALSE))</f>
        <v/>
      </c>
      <c r="AB311" s="115" t="str">
        <f>IF(Table2[[#This Row],[Defect Detected On Date ]]="","",TEXT(Table2[[#This Row],[Defect Detected On Date ]],"mmm"))</f>
        <v/>
      </c>
      <c r="AE311" s="63"/>
    </row>
    <row r="312" spans="2:31">
      <c r="B312" s="100"/>
      <c r="C312" s="100"/>
      <c r="D312" s="101"/>
      <c r="E312" s="101"/>
      <c r="F312" s="101"/>
      <c r="G312" s="102"/>
      <c r="H312" s="101"/>
      <c r="I312" s="101"/>
      <c r="J312" s="101"/>
      <c r="K312" s="101"/>
      <c r="L312" s="101"/>
      <c r="M312" s="101"/>
      <c r="N312" s="100"/>
      <c r="O312" s="100"/>
      <c r="P312" s="101"/>
      <c r="Q312" s="101"/>
      <c r="R312" s="106" t="str">
        <f>IF(Table2[[#This Row],[Defect Classification]]="","",IF(Table2[[#This Row],[Defect Classification]]="Internal",1,0))</f>
        <v/>
      </c>
      <c r="S312" s="106" t="str">
        <f>IF(Table2[[#This Row],[Defect Classification]]="","",IF(Table2[[#This Row],[Defect Classification]]="External",1,0))</f>
        <v/>
      </c>
      <c r="T312" s="100"/>
      <c r="U312" s="101"/>
      <c r="V312" s="100"/>
      <c r="W312" s="101"/>
      <c r="X312" s="101"/>
      <c r="Y312" s="101"/>
      <c r="Z312" s="101"/>
      <c r="AA312" s="112" t="str">
        <f>IF(ISNA(VLOOKUP(Table2[[#This Row],[Task ID]],Table1[],17,FALSE)),"",VLOOKUP(Table2[[#This Row],[Task ID]],Table1[],17,FALSE))</f>
        <v/>
      </c>
      <c r="AB312" s="115" t="str">
        <f>IF(Table2[[#This Row],[Defect Detected On Date ]]="","",TEXT(Table2[[#This Row],[Defect Detected On Date ]],"mmm"))</f>
        <v/>
      </c>
      <c r="AE312" s="63"/>
    </row>
    <row r="313" spans="2:31">
      <c r="B313" s="100"/>
      <c r="C313" s="100"/>
      <c r="D313" s="101"/>
      <c r="E313" s="101"/>
      <c r="F313" s="101"/>
      <c r="G313" s="102"/>
      <c r="H313" s="101"/>
      <c r="I313" s="101"/>
      <c r="J313" s="101"/>
      <c r="K313" s="101"/>
      <c r="L313" s="101"/>
      <c r="M313" s="101"/>
      <c r="N313" s="100"/>
      <c r="O313" s="100"/>
      <c r="P313" s="101"/>
      <c r="Q313" s="101"/>
      <c r="R313" s="106" t="str">
        <f>IF(Table2[[#This Row],[Defect Classification]]="","",IF(Table2[[#This Row],[Defect Classification]]="Internal",1,0))</f>
        <v/>
      </c>
      <c r="S313" s="106" t="str">
        <f>IF(Table2[[#This Row],[Defect Classification]]="","",IF(Table2[[#This Row],[Defect Classification]]="External",1,0))</f>
        <v/>
      </c>
      <c r="T313" s="100"/>
      <c r="U313" s="101"/>
      <c r="V313" s="100"/>
      <c r="W313" s="101"/>
      <c r="X313" s="101"/>
      <c r="Y313" s="101"/>
      <c r="Z313" s="101"/>
      <c r="AA313" s="112" t="str">
        <f>IF(ISNA(VLOOKUP(Table2[[#This Row],[Task ID]],Table1[],17,FALSE)),"",VLOOKUP(Table2[[#This Row],[Task ID]],Table1[],17,FALSE))</f>
        <v/>
      </c>
      <c r="AB313" s="115" t="str">
        <f>IF(Table2[[#This Row],[Defect Detected On Date ]]="","",TEXT(Table2[[#This Row],[Defect Detected On Date ]],"mmm"))</f>
        <v/>
      </c>
      <c r="AE313" s="63"/>
    </row>
    <row r="314" spans="2:31">
      <c r="B314" s="100"/>
      <c r="C314" s="100"/>
      <c r="D314" s="101"/>
      <c r="E314" s="101"/>
      <c r="F314" s="101"/>
      <c r="G314" s="102"/>
      <c r="H314" s="101"/>
      <c r="I314" s="101"/>
      <c r="J314" s="101"/>
      <c r="K314" s="101"/>
      <c r="L314" s="101"/>
      <c r="M314" s="101"/>
      <c r="N314" s="100"/>
      <c r="O314" s="100"/>
      <c r="P314" s="101"/>
      <c r="Q314" s="101"/>
      <c r="R314" s="106" t="str">
        <f>IF(Table2[[#This Row],[Defect Classification]]="","",IF(Table2[[#This Row],[Defect Classification]]="Internal",1,0))</f>
        <v/>
      </c>
      <c r="S314" s="106" t="str">
        <f>IF(Table2[[#This Row],[Defect Classification]]="","",IF(Table2[[#This Row],[Defect Classification]]="External",1,0))</f>
        <v/>
      </c>
      <c r="T314" s="100"/>
      <c r="U314" s="101"/>
      <c r="V314" s="100"/>
      <c r="W314" s="101"/>
      <c r="X314" s="101"/>
      <c r="Y314" s="101"/>
      <c r="Z314" s="101"/>
      <c r="AA314" s="112" t="str">
        <f>IF(ISNA(VLOOKUP(Table2[[#This Row],[Task ID]],Table1[],17,FALSE)),"",VLOOKUP(Table2[[#This Row],[Task ID]],Table1[],17,FALSE))</f>
        <v/>
      </c>
      <c r="AB314" s="115" t="str">
        <f>IF(Table2[[#This Row],[Defect Detected On Date ]]="","",TEXT(Table2[[#This Row],[Defect Detected On Date ]],"mmm"))</f>
        <v/>
      </c>
      <c r="AE314" s="63"/>
    </row>
    <row r="315" spans="2:31">
      <c r="B315" s="100"/>
      <c r="C315" s="100"/>
      <c r="D315" s="101"/>
      <c r="E315" s="101"/>
      <c r="F315" s="101"/>
      <c r="G315" s="102"/>
      <c r="H315" s="101"/>
      <c r="I315" s="101"/>
      <c r="J315" s="101"/>
      <c r="K315" s="101"/>
      <c r="L315" s="101"/>
      <c r="M315" s="101"/>
      <c r="N315" s="100"/>
      <c r="O315" s="100"/>
      <c r="P315" s="101"/>
      <c r="Q315" s="101"/>
      <c r="R315" s="106" t="str">
        <f>IF(Table2[[#This Row],[Defect Classification]]="","",IF(Table2[[#This Row],[Defect Classification]]="Internal",1,0))</f>
        <v/>
      </c>
      <c r="S315" s="106" t="str">
        <f>IF(Table2[[#This Row],[Defect Classification]]="","",IF(Table2[[#This Row],[Defect Classification]]="External",1,0))</f>
        <v/>
      </c>
      <c r="T315" s="100"/>
      <c r="U315" s="101"/>
      <c r="V315" s="100"/>
      <c r="W315" s="101"/>
      <c r="X315" s="101"/>
      <c r="Y315" s="101"/>
      <c r="Z315" s="101"/>
      <c r="AA315" s="112" t="str">
        <f>IF(ISNA(VLOOKUP(Table2[[#This Row],[Task ID]],Table1[],17,FALSE)),"",VLOOKUP(Table2[[#This Row],[Task ID]],Table1[],17,FALSE))</f>
        <v/>
      </c>
      <c r="AB315" s="115" t="str">
        <f>IF(Table2[[#This Row],[Defect Detected On Date ]]="","",TEXT(Table2[[#This Row],[Defect Detected On Date ]],"mmm"))</f>
        <v/>
      </c>
      <c r="AE315" s="63"/>
    </row>
    <row r="316" spans="2:31">
      <c r="B316" s="100"/>
      <c r="C316" s="100"/>
      <c r="D316" s="101"/>
      <c r="E316" s="101"/>
      <c r="F316" s="101"/>
      <c r="G316" s="102"/>
      <c r="H316" s="101"/>
      <c r="I316" s="101"/>
      <c r="J316" s="101"/>
      <c r="K316" s="101"/>
      <c r="L316" s="101"/>
      <c r="M316" s="101"/>
      <c r="N316" s="100"/>
      <c r="O316" s="100"/>
      <c r="P316" s="101"/>
      <c r="Q316" s="101"/>
      <c r="R316" s="106" t="str">
        <f>IF(Table2[[#This Row],[Defect Classification]]="","",IF(Table2[[#This Row],[Defect Classification]]="Internal",1,0))</f>
        <v/>
      </c>
      <c r="S316" s="106" t="str">
        <f>IF(Table2[[#This Row],[Defect Classification]]="","",IF(Table2[[#This Row],[Defect Classification]]="External",1,0))</f>
        <v/>
      </c>
      <c r="T316" s="100"/>
      <c r="U316" s="101"/>
      <c r="V316" s="100"/>
      <c r="W316" s="101"/>
      <c r="X316" s="101"/>
      <c r="Y316" s="101"/>
      <c r="Z316" s="101"/>
      <c r="AA316" s="112" t="str">
        <f>IF(ISNA(VLOOKUP(Table2[[#This Row],[Task ID]],Table1[],17,FALSE)),"",VLOOKUP(Table2[[#This Row],[Task ID]],Table1[],17,FALSE))</f>
        <v/>
      </c>
      <c r="AB316" s="115" t="str">
        <f>IF(Table2[[#This Row],[Defect Detected On Date ]]="","",TEXT(Table2[[#This Row],[Defect Detected On Date ]],"mmm"))</f>
        <v/>
      </c>
      <c r="AE316" s="63"/>
    </row>
    <row r="317" spans="2:31">
      <c r="B317" s="100"/>
      <c r="C317" s="100"/>
      <c r="D317" s="101"/>
      <c r="E317" s="101"/>
      <c r="F317" s="101"/>
      <c r="G317" s="102"/>
      <c r="H317" s="101"/>
      <c r="I317" s="101"/>
      <c r="J317" s="101"/>
      <c r="K317" s="101"/>
      <c r="L317" s="101"/>
      <c r="M317" s="101"/>
      <c r="N317" s="100"/>
      <c r="O317" s="100"/>
      <c r="P317" s="101"/>
      <c r="Q317" s="101"/>
      <c r="R317" s="106" t="str">
        <f>IF(Table2[[#This Row],[Defect Classification]]="","",IF(Table2[[#This Row],[Defect Classification]]="Internal",1,0))</f>
        <v/>
      </c>
      <c r="S317" s="106" t="str">
        <f>IF(Table2[[#This Row],[Defect Classification]]="","",IF(Table2[[#This Row],[Defect Classification]]="External",1,0))</f>
        <v/>
      </c>
      <c r="T317" s="100"/>
      <c r="U317" s="101"/>
      <c r="V317" s="100"/>
      <c r="W317" s="101"/>
      <c r="X317" s="101"/>
      <c r="Y317" s="101"/>
      <c r="Z317" s="101"/>
      <c r="AA317" s="112" t="str">
        <f>IF(ISNA(VLOOKUP(Table2[[#This Row],[Task ID]],Table1[],17,FALSE)),"",VLOOKUP(Table2[[#This Row],[Task ID]],Table1[],17,FALSE))</f>
        <v/>
      </c>
      <c r="AB317" s="115" t="str">
        <f>IF(Table2[[#This Row],[Defect Detected On Date ]]="","",TEXT(Table2[[#This Row],[Defect Detected On Date ]],"mmm"))</f>
        <v/>
      </c>
      <c r="AE317" s="63"/>
    </row>
    <row r="318" spans="2:31">
      <c r="B318" s="100"/>
      <c r="C318" s="100"/>
      <c r="D318" s="101"/>
      <c r="E318" s="101"/>
      <c r="F318" s="101"/>
      <c r="G318" s="102"/>
      <c r="H318" s="101"/>
      <c r="I318" s="101"/>
      <c r="J318" s="101"/>
      <c r="K318" s="101"/>
      <c r="L318" s="101"/>
      <c r="M318" s="101"/>
      <c r="N318" s="100"/>
      <c r="O318" s="100"/>
      <c r="P318" s="101"/>
      <c r="Q318" s="101"/>
      <c r="R318" s="106" t="str">
        <f>IF(Table2[[#This Row],[Defect Classification]]="","",IF(Table2[[#This Row],[Defect Classification]]="Internal",1,0))</f>
        <v/>
      </c>
      <c r="S318" s="106" t="str">
        <f>IF(Table2[[#This Row],[Defect Classification]]="","",IF(Table2[[#This Row],[Defect Classification]]="External",1,0))</f>
        <v/>
      </c>
      <c r="T318" s="100"/>
      <c r="U318" s="101"/>
      <c r="V318" s="100"/>
      <c r="W318" s="101"/>
      <c r="X318" s="101"/>
      <c r="Y318" s="101"/>
      <c r="Z318" s="101"/>
      <c r="AA318" s="112" t="str">
        <f>IF(ISNA(VLOOKUP(Table2[[#This Row],[Task ID]],Table1[],17,FALSE)),"",VLOOKUP(Table2[[#This Row],[Task ID]],Table1[],17,FALSE))</f>
        <v/>
      </c>
      <c r="AB318" s="115" t="str">
        <f>IF(Table2[[#This Row],[Defect Detected On Date ]]="","",TEXT(Table2[[#This Row],[Defect Detected On Date ]],"mmm"))</f>
        <v/>
      </c>
      <c r="AE318" s="63"/>
    </row>
    <row r="319" spans="2:31">
      <c r="B319" s="100"/>
      <c r="C319" s="100"/>
      <c r="D319" s="101"/>
      <c r="E319" s="101"/>
      <c r="F319" s="101"/>
      <c r="G319" s="102"/>
      <c r="H319" s="101"/>
      <c r="I319" s="101"/>
      <c r="J319" s="101"/>
      <c r="K319" s="101"/>
      <c r="L319" s="101"/>
      <c r="M319" s="101"/>
      <c r="N319" s="100"/>
      <c r="O319" s="100"/>
      <c r="P319" s="101"/>
      <c r="Q319" s="101"/>
      <c r="R319" s="106" t="str">
        <f>IF(Table2[[#This Row],[Defect Classification]]="","",IF(Table2[[#This Row],[Defect Classification]]="Internal",1,0))</f>
        <v/>
      </c>
      <c r="S319" s="106" t="str">
        <f>IF(Table2[[#This Row],[Defect Classification]]="","",IF(Table2[[#This Row],[Defect Classification]]="External",1,0))</f>
        <v/>
      </c>
      <c r="T319" s="100"/>
      <c r="U319" s="101"/>
      <c r="V319" s="100"/>
      <c r="W319" s="101"/>
      <c r="X319" s="101"/>
      <c r="Y319" s="101"/>
      <c r="Z319" s="101"/>
      <c r="AA319" s="112" t="str">
        <f>IF(ISNA(VLOOKUP(Table2[[#This Row],[Task ID]],Table1[],17,FALSE)),"",VLOOKUP(Table2[[#This Row],[Task ID]],Table1[],17,FALSE))</f>
        <v/>
      </c>
      <c r="AB319" s="115" t="str">
        <f>IF(Table2[[#This Row],[Defect Detected On Date ]]="","",TEXT(Table2[[#This Row],[Defect Detected On Date ]],"mmm"))</f>
        <v/>
      </c>
      <c r="AE319" s="63"/>
    </row>
    <row r="320" spans="2:31">
      <c r="B320" s="100"/>
      <c r="C320" s="100"/>
      <c r="D320" s="101"/>
      <c r="E320" s="101"/>
      <c r="F320" s="101"/>
      <c r="G320" s="102"/>
      <c r="H320" s="101"/>
      <c r="I320" s="101"/>
      <c r="J320" s="101"/>
      <c r="K320" s="101"/>
      <c r="L320" s="101"/>
      <c r="M320" s="101"/>
      <c r="N320" s="100"/>
      <c r="O320" s="100"/>
      <c r="P320" s="101"/>
      <c r="Q320" s="101"/>
      <c r="R320" s="106" t="str">
        <f>IF(Table2[[#This Row],[Defect Classification]]="","",IF(Table2[[#This Row],[Defect Classification]]="Internal",1,0))</f>
        <v/>
      </c>
      <c r="S320" s="106" t="str">
        <f>IF(Table2[[#This Row],[Defect Classification]]="","",IF(Table2[[#This Row],[Defect Classification]]="External",1,0))</f>
        <v/>
      </c>
      <c r="T320" s="100"/>
      <c r="U320" s="101"/>
      <c r="V320" s="100"/>
      <c r="W320" s="101"/>
      <c r="X320" s="101"/>
      <c r="Y320" s="101"/>
      <c r="Z320" s="101"/>
      <c r="AA320" s="112" t="str">
        <f>IF(ISNA(VLOOKUP(Table2[[#This Row],[Task ID]],Table1[],17,FALSE)),"",VLOOKUP(Table2[[#This Row],[Task ID]],Table1[],17,FALSE))</f>
        <v/>
      </c>
      <c r="AB320" s="115" t="str">
        <f>IF(Table2[[#This Row],[Defect Detected On Date ]]="","",TEXT(Table2[[#This Row],[Defect Detected On Date ]],"mmm"))</f>
        <v/>
      </c>
      <c r="AE320" s="63"/>
    </row>
    <row r="321" spans="2:31">
      <c r="B321" s="100"/>
      <c r="C321" s="100"/>
      <c r="D321" s="101"/>
      <c r="E321" s="101"/>
      <c r="F321" s="101"/>
      <c r="G321" s="102"/>
      <c r="H321" s="101"/>
      <c r="I321" s="101"/>
      <c r="J321" s="101"/>
      <c r="K321" s="101"/>
      <c r="L321" s="101"/>
      <c r="M321" s="101"/>
      <c r="N321" s="100"/>
      <c r="O321" s="100"/>
      <c r="P321" s="101"/>
      <c r="Q321" s="101"/>
      <c r="R321" s="106" t="str">
        <f>IF(Table2[[#This Row],[Defect Classification]]="","",IF(Table2[[#This Row],[Defect Classification]]="Internal",1,0))</f>
        <v/>
      </c>
      <c r="S321" s="106" t="str">
        <f>IF(Table2[[#This Row],[Defect Classification]]="","",IF(Table2[[#This Row],[Defect Classification]]="External",1,0))</f>
        <v/>
      </c>
      <c r="T321" s="100"/>
      <c r="U321" s="101"/>
      <c r="V321" s="100"/>
      <c r="W321" s="101"/>
      <c r="X321" s="101"/>
      <c r="Y321" s="101"/>
      <c r="Z321" s="101"/>
      <c r="AA321" s="112" t="str">
        <f>IF(ISNA(VLOOKUP(Table2[[#This Row],[Task ID]],Table1[],17,FALSE)),"",VLOOKUP(Table2[[#This Row],[Task ID]],Table1[],17,FALSE))</f>
        <v/>
      </c>
      <c r="AB321" s="115" t="str">
        <f>IF(Table2[[#This Row],[Defect Detected On Date ]]="","",TEXT(Table2[[#This Row],[Defect Detected On Date ]],"mmm"))</f>
        <v/>
      </c>
      <c r="AE321" s="63"/>
    </row>
    <row r="322" spans="2:31">
      <c r="B322" s="100"/>
      <c r="C322" s="100"/>
      <c r="D322" s="101"/>
      <c r="E322" s="101"/>
      <c r="F322" s="101"/>
      <c r="G322" s="102"/>
      <c r="H322" s="101"/>
      <c r="I322" s="101"/>
      <c r="J322" s="101"/>
      <c r="K322" s="101"/>
      <c r="L322" s="101"/>
      <c r="M322" s="101"/>
      <c r="N322" s="100"/>
      <c r="O322" s="100"/>
      <c r="P322" s="101"/>
      <c r="Q322" s="101"/>
      <c r="R322" s="106" t="str">
        <f>IF(Table2[[#This Row],[Defect Classification]]="","",IF(Table2[[#This Row],[Defect Classification]]="Internal",1,0))</f>
        <v/>
      </c>
      <c r="S322" s="106" t="str">
        <f>IF(Table2[[#This Row],[Defect Classification]]="","",IF(Table2[[#This Row],[Defect Classification]]="External",1,0))</f>
        <v/>
      </c>
      <c r="T322" s="100"/>
      <c r="U322" s="101"/>
      <c r="V322" s="100"/>
      <c r="W322" s="101"/>
      <c r="X322" s="101"/>
      <c r="Y322" s="101"/>
      <c r="Z322" s="101"/>
      <c r="AA322" s="112" t="str">
        <f>IF(ISNA(VLOOKUP(Table2[[#This Row],[Task ID]],Table1[],17,FALSE)),"",VLOOKUP(Table2[[#This Row],[Task ID]],Table1[],17,FALSE))</f>
        <v/>
      </c>
      <c r="AB322" s="115" t="str">
        <f>IF(Table2[[#This Row],[Defect Detected On Date ]]="","",TEXT(Table2[[#This Row],[Defect Detected On Date ]],"mmm"))</f>
        <v/>
      </c>
      <c r="AE322" s="63"/>
    </row>
    <row r="323" spans="2:31">
      <c r="B323" s="100"/>
      <c r="C323" s="100"/>
      <c r="D323" s="101"/>
      <c r="E323" s="101"/>
      <c r="F323" s="101"/>
      <c r="G323" s="102"/>
      <c r="H323" s="101"/>
      <c r="I323" s="101"/>
      <c r="J323" s="101"/>
      <c r="K323" s="101"/>
      <c r="L323" s="101"/>
      <c r="M323" s="101"/>
      <c r="N323" s="100"/>
      <c r="O323" s="100"/>
      <c r="P323" s="101"/>
      <c r="Q323" s="101"/>
      <c r="R323" s="106" t="str">
        <f>IF(Table2[[#This Row],[Defect Classification]]="","",IF(Table2[[#This Row],[Defect Classification]]="Internal",1,0))</f>
        <v/>
      </c>
      <c r="S323" s="106" t="str">
        <f>IF(Table2[[#This Row],[Defect Classification]]="","",IF(Table2[[#This Row],[Defect Classification]]="External",1,0))</f>
        <v/>
      </c>
      <c r="T323" s="100"/>
      <c r="U323" s="101"/>
      <c r="V323" s="100"/>
      <c r="W323" s="101"/>
      <c r="X323" s="101"/>
      <c r="Y323" s="101"/>
      <c r="Z323" s="101"/>
      <c r="AA323" s="112" t="str">
        <f>IF(ISNA(VLOOKUP(Table2[[#This Row],[Task ID]],Table1[],17,FALSE)),"",VLOOKUP(Table2[[#This Row],[Task ID]],Table1[],17,FALSE))</f>
        <v/>
      </c>
      <c r="AB323" s="115" t="str">
        <f>IF(Table2[[#This Row],[Defect Detected On Date ]]="","",TEXT(Table2[[#This Row],[Defect Detected On Date ]],"mmm"))</f>
        <v/>
      </c>
      <c r="AE323" s="63"/>
    </row>
    <row r="324" spans="2:31">
      <c r="B324" s="100"/>
      <c r="C324" s="100"/>
      <c r="D324" s="101"/>
      <c r="E324" s="101"/>
      <c r="F324" s="101"/>
      <c r="G324" s="102"/>
      <c r="H324" s="101"/>
      <c r="I324" s="101"/>
      <c r="J324" s="101"/>
      <c r="K324" s="101"/>
      <c r="L324" s="101"/>
      <c r="M324" s="101"/>
      <c r="N324" s="100"/>
      <c r="O324" s="100"/>
      <c r="P324" s="101"/>
      <c r="Q324" s="101"/>
      <c r="R324" s="106" t="str">
        <f>IF(Table2[[#This Row],[Defect Classification]]="","",IF(Table2[[#This Row],[Defect Classification]]="Internal",1,0))</f>
        <v/>
      </c>
      <c r="S324" s="106" t="str">
        <f>IF(Table2[[#This Row],[Defect Classification]]="","",IF(Table2[[#This Row],[Defect Classification]]="External",1,0))</f>
        <v/>
      </c>
      <c r="T324" s="100"/>
      <c r="U324" s="101"/>
      <c r="V324" s="100"/>
      <c r="W324" s="101"/>
      <c r="X324" s="101"/>
      <c r="Y324" s="101"/>
      <c r="Z324" s="101"/>
      <c r="AA324" s="112" t="str">
        <f>IF(ISNA(VLOOKUP(Table2[[#This Row],[Task ID]],Table1[],17,FALSE)),"",VLOOKUP(Table2[[#This Row],[Task ID]],Table1[],17,FALSE))</f>
        <v/>
      </c>
      <c r="AB324" s="115" t="str">
        <f>IF(Table2[[#This Row],[Defect Detected On Date ]]="","",TEXT(Table2[[#This Row],[Defect Detected On Date ]],"mmm"))</f>
        <v/>
      </c>
      <c r="AE324" s="63"/>
    </row>
    <row r="325" spans="2:31">
      <c r="B325" s="100"/>
      <c r="C325" s="100"/>
      <c r="D325" s="101"/>
      <c r="E325" s="101"/>
      <c r="F325" s="101"/>
      <c r="G325" s="102"/>
      <c r="H325" s="101"/>
      <c r="I325" s="101"/>
      <c r="J325" s="101"/>
      <c r="K325" s="101"/>
      <c r="L325" s="101"/>
      <c r="M325" s="101"/>
      <c r="N325" s="100"/>
      <c r="O325" s="100"/>
      <c r="P325" s="101"/>
      <c r="Q325" s="101"/>
      <c r="R325" s="106" t="str">
        <f>IF(Table2[[#This Row],[Defect Classification]]="","",IF(Table2[[#This Row],[Defect Classification]]="Internal",1,0))</f>
        <v/>
      </c>
      <c r="S325" s="106" t="str">
        <f>IF(Table2[[#This Row],[Defect Classification]]="","",IF(Table2[[#This Row],[Defect Classification]]="External",1,0))</f>
        <v/>
      </c>
      <c r="T325" s="100"/>
      <c r="U325" s="101"/>
      <c r="V325" s="100"/>
      <c r="W325" s="101"/>
      <c r="X325" s="101"/>
      <c r="Y325" s="101"/>
      <c r="Z325" s="101"/>
      <c r="AA325" s="112" t="str">
        <f>IF(ISNA(VLOOKUP(Table2[[#This Row],[Task ID]],Table1[],17,FALSE)),"",VLOOKUP(Table2[[#This Row],[Task ID]],Table1[],17,FALSE))</f>
        <v/>
      </c>
      <c r="AB325" s="115" t="str">
        <f>IF(Table2[[#This Row],[Defect Detected On Date ]]="","",TEXT(Table2[[#This Row],[Defect Detected On Date ]],"mmm"))</f>
        <v/>
      </c>
      <c r="AE325" s="63"/>
    </row>
    <row r="326" spans="2:31">
      <c r="B326" s="100"/>
      <c r="C326" s="100"/>
      <c r="D326" s="101"/>
      <c r="E326" s="101"/>
      <c r="F326" s="101"/>
      <c r="G326" s="102"/>
      <c r="H326" s="101"/>
      <c r="I326" s="101"/>
      <c r="J326" s="101"/>
      <c r="K326" s="101"/>
      <c r="L326" s="101"/>
      <c r="M326" s="101"/>
      <c r="N326" s="100"/>
      <c r="O326" s="100"/>
      <c r="P326" s="101"/>
      <c r="Q326" s="101"/>
      <c r="R326" s="106" t="str">
        <f>IF(Table2[[#This Row],[Defect Classification]]="","",IF(Table2[[#This Row],[Defect Classification]]="Internal",1,0))</f>
        <v/>
      </c>
      <c r="S326" s="106" t="str">
        <f>IF(Table2[[#This Row],[Defect Classification]]="","",IF(Table2[[#This Row],[Defect Classification]]="External",1,0))</f>
        <v/>
      </c>
      <c r="T326" s="100"/>
      <c r="U326" s="101"/>
      <c r="V326" s="100"/>
      <c r="W326" s="101"/>
      <c r="X326" s="101"/>
      <c r="Y326" s="101"/>
      <c r="Z326" s="101"/>
      <c r="AA326" s="112" t="str">
        <f>IF(ISNA(VLOOKUP(Table2[[#This Row],[Task ID]],Table1[],17,FALSE)),"",VLOOKUP(Table2[[#This Row],[Task ID]],Table1[],17,FALSE))</f>
        <v/>
      </c>
      <c r="AB326" s="115" t="str">
        <f>IF(Table2[[#This Row],[Defect Detected On Date ]]="","",TEXT(Table2[[#This Row],[Defect Detected On Date ]],"mmm"))</f>
        <v/>
      </c>
      <c r="AE326" s="63"/>
    </row>
    <row r="327" spans="2:31">
      <c r="B327" s="100"/>
      <c r="C327" s="100"/>
      <c r="D327" s="101"/>
      <c r="E327" s="101"/>
      <c r="F327" s="101"/>
      <c r="G327" s="102"/>
      <c r="H327" s="101"/>
      <c r="I327" s="101"/>
      <c r="J327" s="101"/>
      <c r="K327" s="101"/>
      <c r="L327" s="101"/>
      <c r="M327" s="101"/>
      <c r="N327" s="100"/>
      <c r="O327" s="100"/>
      <c r="P327" s="101"/>
      <c r="Q327" s="101"/>
      <c r="R327" s="106" t="str">
        <f>IF(Table2[[#This Row],[Defect Classification]]="","",IF(Table2[[#This Row],[Defect Classification]]="Internal",1,0))</f>
        <v/>
      </c>
      <c r="S327" s="106" t="str">
        <f>IF(Table2[[#This Row],[Defect Classification]]="","",IF(Table2[[#This Row],[Defect Classification]]="External",1,0))</f>
        <v/>
      </c>
      <c r="T327" s="100"/>
      <c r="U327" s="101"/>
      <c r="V327" s="100"/>
      <c r="W327" s="101"/>
      <c r="X327" s="101"/>
      <c r="Y327" s="101"/>
      <c r="Z327" s="101"/>
      <c r="AA327" s="112" t="str">
        <f>IF(ISNA(VLOOKUP(Table2[[#This Row],[Task ID]],Table1[],17,FALSE)),"",VLOOKUP(Table2[[#This Row],[Task ID]],Table1[],17,FALSE))</f>
        <v/>
      </c>
      <c r="AB327" s="115" t="str">
        <f>IF(Table2[[#This Row],[Defect Detected On Date ]]="","",TEXT(Table2[[#This Row],[Defect Detected On Date ]],"mmm"))</f>
        <v/>
      </c>
      <c r="AE327" s="63"/>
    </row>
    <row r="328" spans="2:31">
      <c r="B328" s="100"/>
      <c r="C328" s="100"/>
      <c r="D328" s="101"/>
      <c r="E328" s="101"/>
      <c r="F328" s="101"/>
      <c r="G328" s="102"/>
      <c r="H328" s="101"/>
      <c r="I328" s="101"/>
      <c r="J328" s="101"/>
      <c r="K328" s="101"/>
      <c r="L328" s="101"/>
      <c r="M328" s="101"/>
      <c r="N328" s="100"/>
      <c r="O328" s="100"/>
      <c r="P328" s="101"/>
      <c r="Q328" s="101"/>
      <c r="R328" s="106" t="str">
        <f>IF(Table2[[#This Row],[Defect Classification]]="","",IF(Table2[[#This Row],[Defect Classification]]="Internal",1,0))</f>
        <v/>
      </c>
      <c r="S328" s="106" t="str">
        <f>IF(Table2[[#This Row],[Defect Classification]]="","",IF(Table2[[#This Row],[Defect Classification]]="External",1,0))</f>
        <v/>
      </c>
      <c r="T328" s="100"/>
      <c r="U328" s="101"/>
      <c r="V328" s="100"/>
      <c r="W328" s="101"/>
      <c r="X328" s="101"/>
      <c r="Y328" s="101"/>
      <c r="Z328" s="101"/>
      <c r="AA328" s="112" t="str">
        <f>IF(ISNA(VLOOKUP(Table2[[#This Row],[Task ID]],Table1[],17,FALSE)),"",VLOOKUP(Table2[[#This Row],[Task ID]],Table1[],17,FALSE))</f>
        <v/>
      </c>
      <c r="AB328" s="115" t="str">
        <f>IF(Table2[[#This Row],[Defect Detected On Date ]]="","",TEXT(Table2[[#This Row],[Defect Detected On Date ]],"mmm"))</f>
        <v/>
      </c>
      <c r="AE328" s="63"/>
    </row>
    <row r="329" spans="2:31">
      <c r="B329" s="100"/>
      <c r="C329" s="100"/>
      <c r="D329" s="101"/>
      <c r="E329" s="101"/>
      <c r="F329" s="101"/>
      <c r="G329" s="102"/>
      <c r="H329" s="101"/>
      <c r="I329" s="101"/>
      <c r="J329" s="101"/>
      <c r="K329" s="101"/>
      <c r="L329" s="101"/>
      <c r="M329" s="101"/>
      <c r="N329" s="100"/>
      <c r="O329" s="100"/>
      <c r="P329" s="101"/>
      <c r="Q329" s="101"/>
      <c r="R329" s="106" t="str">
        <f>IF(Table2[[#This Row],[Defect Classification]]="","",IF(Table2[[#This Row],[Defect Classification]]="Internal",1,0))</f>
        <v/>
      </c>
      <c r="S329" s="106" t="str">
        <f>IF(Table2[[#This Row],[Defect Classification]]="","",IF(Table2[[#This Row],[Defect Classification]]="External",1,0))</f>
        <v/>
      </c>
      <c r="T329" s="100"/>
      <c r="U329" s="101"/>
      <c r="V329" s="100"/>
      <c r="W329" s="101"/>
      <c r="X329" s="101"/>
      <c r="Y329" s="101"/>
      <c r="Z329" s="101"/>
      <c r="AA329" s="112" t="str">
        <f>IF(ISNA(VLOOKUP(Table2[[#This Row],[Task ID]],Table1[],17,FALSE)),"",VLOOKUP(Table2[[#This Row],[Task ID]],Table1[],17,FALSE))</f>
        <v/>
      </c>
      <c r="AB329" s="115" t="str">
        <f>IF(Table2[[#This Row],[Defect Detected On Date ]]="","",TEXT(Table2[[#This Row],[Defect Detected On Date ]],"mmm"))</f>
        <v/>
      </c>
      <c r="AE329" s="63"/>
    </row>
    <row r="330" spans="2:31">
      <c r="B330" s="100"/>
      <c r="C330" s="100"/>
      <c r="D330" s="101"/>
      <c r="E330" s="101"/>
      <c r="F330" s="101"/>
      <c r="G330" s="102"/>
      <c r="H330" s="101"/>
      <c r="I330" s="101"/>
      <c r="J330" s="101"/>
      <c r="K330" s="101"/>
      <c r="L330" s="101"/>
      <c r="M330" s="101"/>
      <c r="N330" s="100"/>
      <c r="O330" s="100"/>
      <c r="P330" s="101"/>
      <c r="Q330" s="101"/>
      <c r="R330" s="106" t="str">
        <f>IF(Table2[[#This Row],[Defect Classification]]="","",IF(Table2[[#This Row],[Defect Classification]]="Internal",1,0))</f>
        <v/>
      </c>
      <c r="S330" s="106" t="str">
        <f>IF(Table2[[#This Row],[Defect Classification]]="","",IF(Table2[[#This Row],[Defect Classification]]="External",1,0))</f>
        <v/>
      </c>
      <c r="T330" s="100"/>
      <c r="U330" s="101"/>
      <c r="V330" s="100"/>
      <c r="W330" s="101"/>
      <c r="X330" s="101"/>
      <c r="Y330" s="101"/>
      <c r="Z330" s="101"/>
      <c r="AA330" s="112" t="str">
        <f>IF(ISNA(VLOOKUP(Table2[[#This Row],[Task ID]],Table1[],17,FALSE)),"",VLOOKUP(Table2[[#This Row],[Task ID]],Table1[],17,FALSE))</f>
        <v/>
      </c>
      <c r="AB330" s="115" t="str">
        <f>IF(Table2[[#This Row],[Defect Detected On Date ]]="","",TEXT(Table2[[#This Row],[Defect Detected On Date ]],"mmm"))</f>
        <v/>
      </c>
      <c r="AE330" s="63"/>
    </row>
    <row r="331" spans="2:31">
      <c r="B331" s="100"/>
      <c r="C331" s="100"/>
      <c r="D331" s="101"/>
      <c r="E331" s="101"/>
      <c r="F331" s="101"/>
      <c r="G331" s="102"/>
      <c r="H331" s="101"/>
      <c r="I331" s="101"/>
      <c r="J331" s="101"/>
      <c r="K331" s="101"/>
      <c r="L331" s="101"/>
      <c r="M331" s="101"/>
      <c r="N331" s="100"/>
      <c r="O331" s="100"/>
      <c r="P331" s="101"/>
      <c r="Q331" s="101"/>
      <c r="R331" s="106" t="str">
        <f>IF(Table2[[#This Row],[Defect Classification]]="","",IF(Table2[[#This Row],[Defect Classification]]="Internal",1,0))</f>
        <v/>
      </c>
      <c r="S331" s="106" t="str">
        <f>IF(Table2[[#This Row],[Defect Classification]]="","",IF(Table2[[#This Row],[Defect Classification]]="External",1,0))</f>
        <v/>
      </c>
      <c r="T331" s="100"/>
      <c r="U331" s="101"/>
      <c r="V331" s="100"/>
      <c r="W331" s="101"/>
      <c r="X331" s="101"/>
      <c r="Y331" s="101"/>
      <c r="Z331" s="101"/>
      <c r="AA331" s="112" t="str">
        <f>IF(ISNA(VLOOKUP(Table2[[#This Row],[Task ID]],Table1[],17,FALSE)),"",VLOOKUP(Table2[[#This Row],[Task ID]],Table1[],17,FALSE))</f>
        <v/>
      </c>
      <c r="AB331" s="115" t="str">
        <f>IF(Table2[[#This Row],[Defect Detected On Date ]]="","",TEXT(Table2[[#This Row],[Defect Detected On Date ]],"mmm"))</f>
        <v/>
      </c>
      <c r="AE331" s="63"/>
    </row>
    <row r="332" spans="2:31">
      <c r="B332" s="100"/>
      <c r="C332" s="100"/>
      <c r="D332" s="101"/>
      <c r="E332" s="101"/>
      <c r="F332" s="101"/>
      <c r="G332" s="102"/>
      <c r="H332" s="101"/>
      <c r="I332" s="101"/>
      <c r="J332" s="101"/>
      <c r="K332" s="101"/>
      <c r="L332" s="101"/>
      <c r="M332" s="101"/>
      <c r="N332" s="100"/>
      <c r="O332" s="100"/>
      <c r="P332" s="101"/>
      <c r="Q332" s="101"/>
      <c r="R332" s="106" t="str">
        <f>IF(Table2[[#This Row],[Defect Classification]]="","",IF(Table2[[#This Row],[Defect Classification]]="Internal",1,0))</f>
        <v/>
      </c>
      <c r="S332" s="106" t="str">
        <f>IF(Table2[[#This Row],[Defect Classification]]="","",IF(Table2[[#This Row],[Defect Classification]]="External",1,0))</f>
        <v/>
      </c>
      <c r="T332" s="100"/>
      <c r="U332" s="101"/>
      <c r="V332" s="100"/>
      <c r="W332" s="101"/>
      <c r="X332" s="101"/>
      <c r="Y332" s="101"/>
      <c r="Z332" s="101"/>
      <c r="AA332" s="112" t="str">
        <f>IF(ISNA(VLOOKUP(Table2[[#This Row],[Task ID]],Table1[],17,FALSE)),"",VLOOKUP(Table2[[#This Row],[Task ID]],Table1[],17,FALSE))</f>
        <v/>
      </c>
      <c r="AB332" s="115" t="str">
        <f>IF(Table2[[#This Row],[Defect Detected On Date ]]="","",TEXT(Table2[[#This Row],[Defect Detected On Date ]],"mmm"))</f>
        <v/>
      </c>
      <c r="AE332" s="63"/>
    </row>
    <row r="333" spans="2:31">
      <c r="B333" s="100"/>
      <c r="C333" s="100"/>
      <c r="D333" s="101"/>
      <c r="E333" s="101"/>
      <c r="F333" s="101"/>
      <c r="G333" s="102"/>
      <c r="H333" s="101"/>
      <c r="I333" s="101"/>
      <c r="J333" s="101"/>
      <c r="K333" s="101"/>
      <c r="L333" s="101"/>
      <c r="M333" s="101"/>
      <c r="N333" s="100"/>
      <c r="O333" s="100"/>
      <c r="P333" s="101"/>
      <c r="Q333" s="101"/>
      <c r="R333" s="106" t="str">
        <f>IF(Table2[[#This Row],[Defect Classification]]="","",IF(Table2[[#This Row],[Defect Classification]]="Internal",1,0))</f>
        <v/>
      </c>
      <c r="S333" s="106" t="str">
        <f>IF(Table2[[#This Row],[Defect Classification]]="","",IF(Table2[[#This Row],[Defect Classification]]="External",1,0))</f>
        <v/>
      </c>
      <c r="T333" s="100"/>
      <c r="U333" s="101"/>
      <c r="V333" s="100"/>
      <c r="W333" s="101"/>
      <c r="X333" s="101"/>
      <c r="Y333" s="101"/>
      <c r="Z333" s="101"/>
      <c r="AA333" s="112" t="str">
        <f>IF(ISNA(VLOOKUP(Table2[[#This Row],[Task ID]],Table1[],17,FALSE)),"",VLOOKUP(Table2[[#This Row],[Task ID]],Table1[],17,FALSE))</f>
        <v/>
      </c>
      <c r="AB333" s="115" t="str">
        <f>IF(Table2[[#This Row],[Defect Detected On Date ]]="","",TEXT(Table2[[#This Row],[Defect Detected On Date ]],"mmm"))</f>
        <v/>
      </c>
      <c r="AE333" s="63"/>
    </row>
    <row r="334" spans="2:31">
      <c r="B334" s="100"/>
      <c r="C334" s="100"/>
      <c r="D334" s="101"/>
      <c r="E334" s="101"/>
      <c r="F334" s="101"/>
      <c r="G334" s="102"/>
      <c r="H334" s="101"/>
      <c r="I334" s="101"/>
      <c r="J334" s="101"/>
      <c r="K334" s="101"/>
      <c r="L334" s="101"/>
      <c r="M334" s="101"/>
      <c r="N334" s="100"/>
      <c r="O334" s="100"/>
      <c r="P334" s="101"/>
      <c r="Q334" s="101"/>
      <c r="R334" s="106" t="str">
        <f>IF(Table2[[#This Row],[Defect Classification]]="","",IF(Table2[[#This Row],[Defect Classification]]="Internal",1,0))</f>
        <v/>
      </c>
      <c r="S334" s="106" t="str">
        <f>IF(Table2[[#This Row],[Defect Classification]]="","",IF(Table2[[#This Row],[Defect Classification]]="External",1,0))</f>
        <v/>
      </c>
      <c r="T334" s="100"/>
      <c r="U334" s="101"/>
      <c r="V334" s="100"/>
      <c r="W334" s="101"/>
      <c r="X334" s="101"/>
      <c r="Y334" s="101"/>
      <c r="Z334" s="101"/>
      <c r="AA334" s="112" t="str">
        <f>IF(ISNA(VLOOKUP(Table2[[#This Row],[Task ID]],Table1[],17,FALSE)),"",VLOOKUP(Table2[[#This Row],[Task ID]],Table1[],17,FALSE))</f>
        <v/>
      </c>
      <c r="AB334" s="115" t="str">
        <f>IF(Table2[[#This Row],[Defect Detected On Date ]]="","",TEXT(Table2[[#This Row],[Defect Detected On Date ]],"mmm"))</f>
        <v/>
      </c>
      <c r="AE334" s="63"/>
    </row>
    <row r="335" spans="2:31">
      <c r="B335" s="100"/>
      <c r="C335" s="100"/>
      <c r="D335" s="101"/>
      <c r="E335" s="101"/>
      <c r="F335" s="101"/>
      <c r="G335" s="102"/>
      <c r="H335" s="101"/>
      <c r="I335" s="101"/>
      <c r="J335" s="101"/>
      <c r="K335" s="101"/>
      <c r="L335" s="101"/>
      <c r="M335" s="101"/>
      <c r="N335" s="100"/>
      <c r="O335" s="100"/>
      <c r="P335" s="101"/>
      <c r="Q335" s="101"/>
      <c r="R335" s="106" t="str">
        <f>IF(Table2[[#This Row],[Defect Classification]]="","",IF(Table2[[#This Row],[Defect Classification]]="Internal",1,0))</f>
        <v/>
      </c>
      <c r="S335" s="106" t="str">
        <f>IF(Table2[[#This Row],[Defect Classification]]="","",IF(Table2[[#This Row],[Defect Classification]]="External",1,0))</f>
        <v/>
      </c>
      <c r="T335" s="100"/>
      <c r="U335" s="101"/>
      <c r="V335" s="100"/>
      <c r="W335" s="101"/>
      <c r="X335" s="101"/>
      <c r="Y335" s="101"/>
      <c r="Z335" s="101"/>
      <c r="AA335" s="112" t="str">
        <f>IF(ISNA(VLOOKUP(Table2[[#This Row],[Task ID]],Table1[],17,FALSE)),"",VLOOKUP(Table2[[#This Row],[Task ID]],Table1[],17,FALSE))</f>
        <v/>
      </c>
      <c r="AB335" s="115" t="str">
        <f>IF(Table2[[#This Row],[Defect Detected On Date ]]="","",TEXT(Table2[[#This Row],[Defect Detected On Date ]],"mmm"))</f>
        <v/>
      </c>
      <c r="AE335" s="63"/>
    </row>
    <row r="336" spans="2:31">
      <c r="B336" s="100"/>
      <c r="C336" s="100"/>
      <c r="D336" s="101"/>
      <c r="E336" s="101"/>
      <c r="F336" s="101"/>
      <c r="G336" s="102"/>
      <c r="H336" s="101"/>
      <c r="I336" s="101"/>
      <c r="J336" s="101"/>
      <c r="K336" s="101"/>
      <c r="L336" s="101"/>
      <c r="M336" s="101"/>
      <c r="N336" s="100"/>
      <c r="O336" s="100"/>
      <c r="P336" s="101"/>
      <c r="Q336" s="101"/>
      <c r="R336" s="106" t="str">
        <f>IF(Table2[[#This Row],[Defect Classification]]="","",IF(Table2[[#This Row],[Defect Classification]]="Internal",1,0))</f>
        <v/>
      </c>
      <c r="S336" s="106" t="str">
        <f>IF(Table2[[#This Row],[Defect Classification]]="","",IF(Table2[[#This Row],[Defect Classification]]="External",1,0))</f>
        <v/>
      </c>
      <c r="T336" s="100"/>
      <c r="U336" s="101"/>
      <c r="V336" s="100"/>
      <c r="W336" s="101"/>
      <c r="X336" s="101"/>
      <c r="Y336" s="101"/>
      <c r="Z336" s="101"/>
      <c r="AA336" s="112" t="str">
        <f>IF(ISNA(VLOOKUP(Table2[[#This Row],[Task ID]],Table1[],17,FALSE)),"",VLOOKUP(Table2[[#This Row],[Task ID]],Table1[],17,FALSE))</f>
        <v/>
      </c>
      <c r="AB336" s="115" t="str">
        <f>IF(Table2[[#This Row],[Defect Detected On Date ]]="","",TEXT(Table2[[#This Row],[Defect Detected On Date ]],"mmm"))</f>
        <v/>
      </c>
      <c r="AE336" s="63"/>
    </row>
    <row r="337" spans="2:31">
      <c r="B337" s="100"/>
      <c r="C337" s="100"/>
      <c r="D337" s="101"/>
      <c r="E337" s="101"/>
      <c r="F337" s="101"/>
      <c r="G337" s="102"/>
      <c r="H337" s="101"/>
      <c r="I337" s="101"/>
      <c r="J337" s="101"/>
      <c r="K337" s="101"/>
      <c r="L337" s="101"/>
      <c r="M337" s="101"/>
      <c r="N337" s="100"/>
      <c r="O337" s="100"/>
      <c r="P337" s="101"/>
      <c r="Q337" s="101"/>
      <c r="R337" s="106" t="str">
        <f>IF(Table2[[#This Row],[Defect Classification]]="","",IF(Table2[[#This Row],[Defect Classification]]="Internal",1,0))</f>
        <v/>
      </c>
      <c r="S337" s="106" t="str">
        <f>IF(Table2[[#This Row],[Defect Classification]]="","",IF(Table2[[#This Row],[Defect Classification]]="External",1,0))</f>
        <v/>
      </c>
      <c r="T337" s="100"/>
      <c r="U337" s="101"/>
      <c r="V337" s="100"/>
      <c r="W337" s="101"/>
      <c r="X337" s="101"/>
      <c r="Y337" s="101"/>
      <c r="Z337" s="101"/>
      <c r="AA337" s="112" t="str">
        <f>IF(ISNA(VLOOKUP(Table2[[#This Row],[Task ID]],Table1[],17,FALSE)),"",VLOOKUP(Table2[[#This Row],[Task ID]],Table1[],17,FALSE))</f>
        <v/>
      </c>
      <c r="AB337" s="115" t="str">
        <f>IF(Table2[[#This Row],[Defect Detected On Date ]]="","",TEXT(Table2[[#This Row],[Defect Detected On Date ]],"mmm"))</f>
        <v/>
      </c>
      <c r="AE337" s="63"/>
    </row>
    <row r="338" spans="2:31">
      <c r="B338" s="100"/>
      <c r="C338" s="100"/>
      <c r="D338" s="101"/>
      <c r="E338" s="101"/>
      <c r="F338" s="101"/>
      <c r="G338" s="102"/>
      <c r="H338" s="101"/>
      <c r="I338" s="101"/>
      <c r="J338" s="101"/>
      <c r="K338" s="101"/>
      <c r="L338" s="101"/>
      <c r="M338" s="101"/>
      <c r="N338" s="100"/>
      <c r="O338" s="100"/>
      <c r="P338" s="101"/>
      <c r="Q338" s="101"/>
      <c r="R338" s="106" t="str">
        <f>IF(Table2[[#This Row],[Defect Classification]]="","",IF(Table2[[#This Row],[Defect Classification]]="Internal",1,0))</f>
        <v/>
      </c>
      <c r="S338" s="106" t="str">
        <f>IF(Table2[[#This Row],[Defect Classification]]="","",IF(Table2[[#This Row],[Defect Classification]]="External",1,0))</f>
        <v/>
      </c>
      <c r="T338" s="100"/>
      <c r="U338" s="101"/>
      <c r="V338" s="100"/>
      <c r="W338" s="101"/>
      <c r="X338" s="101"/>
      <c r="Y338" s="101"/>
      <c r="Z338" s="101"/>
      <c r="AA338" s="112" t="str">
        <f>IF(ISNA(VLOOKUP(Table2[[#This Row],[Task ID]],Table1[],17,FALSE)),"",VLOOKUP(Table2[[#This Row],[Task ID]],Table1[],17,FALSE))</f>
        <v/>
      </c>
      <c r="AB338" s="115" t="str">
        <f>IF(Table2[[#This Row],[Defect Detected On Date ]]="","",TEXT(Table2[[#This Row],[Defect Detected On Date ]],"mmm"))</f>
        <v/>
      </c>
      <c r="AE338" s="63"/>
    </row>
    <row r="339" spans="2:31">
      <c r="B339" s="100"/>
      <c r="C339" s="100"/>
      <c r="D339" s="101"/>
      <c r="E339" s="101"/>
      <c r="F339" s="101"/>
      <c r="G339" s="102"/>
      <c r="H339" s="101"/>
      <c r="I339" s="101"/>
      <c r="J339" s="101"/>
      <c r="K339" s="101"/>
      <c r="L339" s="101"/>
      <c r="M339" s="101"/>
      <c r="N339" s="100"/>
      <c r="O339" s="100"/>
      <c r="P339" s="101"/>
      <c r="Q339" s="101"/>
      <c r="R339" s="106" t="str">
        <f>IF(Table2[[#This Row],[Defect Classification]]="","",IF(Table2[[#This Row],[Defect Classification]]="Internal",1,0))</f>
        <v/>
      </c>
      <c r="S339" s="106" t="str">
        <f>IF(Table2[[#This Row],[Defect Classification]]="","",IF(Table2[[#This Row],[Defect Classification]]="External",1,0))</f>
        <v/>
      </c>
      <c r="T339" s="100"/>
      <c r="U339" s="101"/>
      <c r="V339" s="100"/>
      <c r="W339" s="101"/>
      <c r="X339" s="101"/>
      <c r="Y339" s="101"/>
      <c r="Z339" s="101"/>
      <c r="AA339" s="112" t="str">
        <f>IF(ISNA(VLOOKUP(Table2[[#This Row],[Task ID]],Table1[],17,FALSE)),"",VLOOKUP(Table2[[#This Row],[Task ID]],Table1[],17,FALSE))</f>
        <v/>
      </c>
      <c r="AB339" s="115" t="str">
        <f>IF(Table2[[#This Row],[Defect Detected On Date ]]="","",TEXT(Table2[[#This Row],[Defect Detected On Date ]],"mmm"))</f>
        <v/>
      </c>
      <c r="AE339" s="63"/>
    </row>
    <row r="340" spans="2:31">
      <c r="B340" s="100"/>
      <c r="C340" s="100"/>
      <c r="D340" s="101"/>
      <c r="E340" s="101"/>
      <c r="F340" s="101"/>
      <c r="G340" s="102"/>
      <c r="H340" s="101"/>
      <c r="I340" s="101"/>
      <c r="J340" s="101"/>
      <c r="K340" s="101"/>
      <c r="L340" s="101"/>
      <c r="M340" s="101"/>
      <c r="N340" s="100"/>
      <c r="O340" s="100"/>
      <c r="P340" s="101"/>
      <c r="Q340" s="101"/>
      <c r="R340" s="106" t="str">
        <f>IF(Table2[[#This Row],[Defect Classification]]="","",IF(Table2[[#This Row],[Defect Classification]]="Internal",1,0))</f>
        <v/>
      </c>
      <c r="S340" s="106" t="str">
        <f>IF(Table2[[#This Row],[Defect Classification]]="","",IF(Table2[[#This Row],[Defect Classification]]="External",1,0))</f>
        <v/>
      </c>
      <c r="T340" s="100"/>
      <c r="U340" s="101"/>
      <c r="V340" s="100"/>
      <c r="W340" s="101"/>
      <c r="X340" s="101"/>
      <c r="Y340" s="101"/>
      <c r="Z340" s="101"/>
      <c r="AA340" s="112" t="str">
        <f>IF(ISNA(VLOOKUP(Table2[[#This Row],[Task ID]],Table1[],17,FALSE)),"",VLOOKUP(Table2[[#This Row],[Task ID]],Table1[],17,FALSE))</f>
        <v/>
      </c>
      <c r="AB340" s="115" t="str">
        <f>IF(Table2[[#This Row],[Defect Detected On Date ]]="","",TEXT(Table2[[#This Row],[Defect Detected On Date ]],"mmm"))</f>
        <v/>
      </c>
      <c r="AE340" s="63"/>
    </row>
    <row r="341" spans="2:31">
      <c r="B341" s="100"/>
      <c r="C341" s="100"/>
      <c r="D341" s="101"/>
      <c r="E341" s="101"/>
      <c r="F341" s="101"/>
      <c r="G341" s="102"/>
      <c r="H341" s="101"/>
      <c r="I341" s="101"/>
      <c r="J341" s="101"/>
      <c r="K341" s="101"/>
      <c r="L341" s="101"/>
      <c r="M341" s="101"/>
      <c r="N341" s="100"/>
      <c r="O341" s="100"/>
      <c r="P341" s="101"/>
      <c r="Q341" s="101"/>
      <c r="R341" s="106" t="str">
        <f>IF(Table2[[#This Row],[Defect Classification]]="","",IF(Table2[[#This Row],[Defect Classification]]="Internal",1,0))</f>
        <v/>
      </c>
      <c r="S341" s="106" t="str">
        <f>IF(Table2[[#This Row],[Defect Classification]]="","",IF(Table2[[#This Row],[Defect Classification]]="External",1,0))</f>
        <v/>
      </c>
      <c r="T341" s="100"/>
      <c r="U341" s="101"/>
      <c r="V341" s="100"/>
      <c r="W341" s="101"/>
      <c r="X341" s="101"/>
      <c r="Y341" s="101"/>
      <c r="Z341" s="101"/>
      <c r="AA341" s="112" t="str">
        <f>IF(ISNA(VLOOKUP(Table2[[#This Row],[Task ID]],Table1[],17,FALSE)),"",VLOOKUP(Table2[[#This Row],[Task ID]],Table1[],17,FALSE))</f>
        <v/>
      </c>
      <c r="AB341" s="115" t="str">
        <f>IF(Table2[[#This Row],[Defect Detected On Date ]]="","",TEXT(Table2[[#This Row],[Defect Detected On Date ]],"mmm"))</f>
        <v/>
      </c>
      <c r="AE341" s="63"/>
    </row>
    <row r="342" spans="2:31">
      <c r="B342" s="100"/>
      <c r="C342" s="100"/>
      <c r="D342" s="101"/>
      <c r="E342" s="101"/>
      <c r="F342" s="101"/>
      <c r="G342" s="102"/>
      <c r="H342" s="101"/>
      <c r="I342" s="101"/>
      <c r="J342" s="101"/>
      <c r="K342" s="101"/>
      <c r="L342" s="101"/>
      <c r="M342" s="101"/>
      <c r="N342" s="100"/>
      <c r="O342" s="100"/>
      <c r="P342" s="101"/>
      <c r="Q342" s="101"/>
      <c r="R342" s="106" t="str">
        <f>IF(Table2[[#This Row],[Defect Classification]]="","",IF(Table2[[#This Row],[Defect Classification]]="Internal",1,0))</f>
        <v/>
      </c>
      <c r="S342" s="106" t="str">
        <f>IF(Table2[[#This Row],[Defect Classification]]="","",IF(Table2[[#This Row],[Defect Classification]]="External",1,0))</f>
        <v/>
      </c>
      <c r="T342" s="100"/>
      <c r="U342" s="101"/>
      <c r="V342" s="100"/>
      <c r="W342" s="101"/>
      <c r="X342" s="101"/>
      <c r="Y342" s="101"/>
      <c r="Z342" s="101"/>
      <c r="AA342" s="112" t="str">
        <f>IF(ISNA(VLOOKUP(Table2[[#This Row],[Task ID]],Table1[],17,FALSE)),"",VLOOKUP(Table2[[#This Row],[Task ID]],Table1[],17,FALSE))</f>
        <v/>
      </c>
      <c r="AB342" s="115" t="str">
        <f>IF(Table2[[#This Row],[Defect Detected On Date ]]="","",TEXT(Table2[[#This Row],[Defect Detected On Date ]],"mmm"))</f>
        <v/>
      </c>
      <c r="AE342" s="63"/>
    </row>
    <row r="343" spans="2:31">
      <c r="B343" s="100"/>
      <c r="C343" s="100"/>
      <c r="D343" s="101"/>
      <c r="E343" s="101"/>
      <c r="F343" s="101"/>
      <c r="G343" s="102"/>
      <c r="H343" s="101"/>
      <c r="I343" s="101"/>
      <c r="J343" s="101"/>
      <c r="K343" s="101"/>
      <c r="L343" s="101"/>
      <c r="M343" s="101"/>
      <c r="N343" s="100"/>
      <c r="O343" s="100"/>
      <c r="P343" s="101"/>
      <c r="Q343" s="101"/>
      <c r="R343" s="106" t="str">
        <f>IF(Table2[[#This Row],[Defect Classification]]="","",IF(Table2[[#This Row],[Defect Classification]]="Internal",1,0))</f>
        <v/>
      </c>
      <c r="S343" s="106" t="str">
        <f>IF(Table2[[#This Row],[Defect Classification]]="","",IF(Table2[[#This Row],[Defect Classification]]="External",1,0))</f>
        <v/>
      </c>
      <c r="T343" s="100"/>
      <c r="U343" s="101"/>
      <c r="V343" s="100"/>
      <c r="W343" s="101"/>
      <c r="X343" s="101"/>
      <c r="Y343" s="101"/>
      <c r="Z343" s="101"/>
      <c r="AA343" s="112" t="str">
        <f>IF(ISNA(VLOOKUP(Table2[[#This Row],[Task ID]],Table1[],17,FALSE)),"",VLOOKUP(Table2[[#This Row],[Task ID]],Table1[],17,FALSE))</f>
        <v/>
      </c>
      <c r="AB343" s="115" t="str">
        <f>IF(Table2[[#This Row],[Defect Detected On Date ]]="","",TEXT(Table2[[#This Row],[Defect Detected On Date ]],"mmm"))</f>
        <v/>
      </c>
      <c r="AE343" s="63"/>
    </row>
    <row r="344" spans="2:31">
      <c r="B344" s="100"/>
      <c r="C344" s="100"/>
      <c r="D344" s="101"/>
      <c r="E344" s="101"/>
      <c r="F344" s="101"/>
      <c r="G344" s="102"/>
      <c r="H344" s="101"/>
      <c r="I344" s="101"/>
      <c r="J344" s="101"/>
      <c r="K344" s="101"/>
      <c r="L344" s="101"/>
      <c r="M344" s="101"/>
      <c r="N344" s="100"/>
      <c r="O344" s="100"/>
      <c r="P344" s="101"/>
      <c r="Q344" s="101"/>
      <c r="R344" s="106" t="str">
        <f>IF(Table2[[#This Row],[Defect Classification]]="","",IF(Table2[[#This Row],[Defect Classification]]="Internal",1,0))</f>
        <v/>
      </c>
      <c r="S344" s="106" t="str">
        <f>IF(Table2[[#This Row],[Defect Classification]]="","",IF(Table2[[#This Row],[Defect Classification]]="External",1,0))</f>
        <v/>
      </c>
      <c r="T344" s="100"/>
      <c r="U344" s="101"/>
      <c r="V344" s="100"/>
      <c r="W344" s="101"/>
      <c r="X344" s="101"/>
      <c r="Y344" s="101"/>
      <c r="Z344" s="101"/>
      <c r="AA344" s="112" t="str">
        <f>IF(ISNA(VLOOKUP(Table2[[#This Row],[Task ID]],Table1[],17,FALSE)),"",VLOOKUP(Table2[[#This Row],[Task ID]],Table1[],17,FALSE))</f>
        <v/>
      </c>
      <c r="AB344" s="115" t="str">
        <f>IF(Table2[[#This Row],[Defect Detected On Date ]]="","",TEXT(Table2[[#This Row],[Defect Detected On Date ]],"mmm"))</f>
        <v/>
      </c>
      <c r="AE344" s="63"/>
    </row>
    <row r="345" spans="2:31">
      <c r="B345" s="100"/>
      <c r="C345" s="100"/>
      <c r="D345" s="101"/>
      <c r="E345" s="101"/>
      <c r="F345" s="101"/>
      <c r="G345" s="102"/>
      <c r="H345" s="101"/>
      <c r="I345" s="101"/>
      <c r="J345" s="101"/>
      <c r="K345" s="101"/>
      <c r="L345" s="101"/>
      <c r="M345" s="101"/>
      <c r="N345" s="100"/>
      <c r="O345" s="100"/>
      <c r="P345" s="101"/>
      <c r="Q345" s="101"/>
      <c r="R345" s="106" t="str">
        <f>IF(Table2[[#This Row],[Defect Classification]]="","",IF(Table2[[#This Row],[Defect Classification]]="Internal",1,0))</f>
        <v/>
      </c>
      <c r="S345" s="106" t="str">
        <f>IF(Table2[[#This Row],[Defect Classification]]="","",IF(Table2[[#This Row],[Defect Classification]]="External",1,0))</f>
        <v/>
      </c>
      <c r="T345" s="100"/>
      <c r="U345" s="101"/>
      <c r="V345" s="100"/>
      <c r="W345" s="101"/>
      <c r="X345" s="101"/>
      <c r="Y345" s="101"/>
      <c r="Z345" s="101"/>
      <c r="AA345" s="112" t="str">
        <f>IF(ISNA(VLOOKUP(Table2[[#This Row],[Task ID]],Table1[],17,FALSE)),"",VLOOKUP(Table2[[#This Row],[Task ID]],Table1[],17,FALSE))</f>
        <v/>
      </c>
      <c r="AB345" s="115" t="str">
        <f>IF(Table2[[#This Row],[Defect Detected On Date ]]="","",TEXT(Table2[[#This Row],[Defect Detected On Date ]],"mmm"))</f>
        <v/>
      </c>
      <c r="AE345" s="63"/>
    </row>
    <row r="346" spans="2:31">
      <c r="B346" s="100"/>
      <c r="C346" s="100"/>
      <c r="D346" s="101"/>
      <c r="E346" s="101"/>
      <c r="F346" s="101"/>
      <c r="G346" s="102"/>
      <c r="H346" s="101"/>
      <c r="I346" s="101"/>
      <c r="J346" s="101"/>
      <c r="K346" s="101"/>
      <c r="L346" s="101"/>
      <c r="M346" s="101"/>
      <c r="N346" s="100"/>
      <c r="O346" s="100"/>
      <c r="P346" s="101"/>
      <c r="Q346" s="101"/>
      <c r="R346" s="106" t="str">
        <f>IF(Table2[[#This Row],[Defect Classification]]="","",IF(Table2[[#This Row],[Defect Classification]]="Internal",1,0))</f>
        <v/>
      </c>
      <c r="S346" s="106" t="str">
        <f>IF(Table2[[#This Row],[Defect Classification]]="","",IF(Table2[[#This Row],[Defect Classification]]="External",1,0))</f>
        <v/>
      </c>
      <c r="T346" s="100"/>
      <c r="U346" s="101"/>
      <c r="V346" s="100"/>
      <c r="W346" s="101"/>
      <c r="X346" s="101"/>
      <c r="Y346" s="101"/>
      <c r="Z346" s="101"/>
      <c r="AA346" s="112" t="str">
        <f>IF(ISNA(VLOOKUP(Table2[[#This Row],[Task ID]],Table1[],17,FALSE)),"",VLOOKUP(Table2[[#This Row],[Task ID]],Table1[],17,FALSE))</f>
        <v/>
      </c>
      <c r="AB346" s="115" t="str">
        <f>IF(Table2[[#This Row],[Defect Detected On Date ]]="","",TEXT(Table2[[#This Row],[Defect Detected On Date ]],"mmm"))</f>
        <v/>
      </c>
      <c r="AE346" s="63"/>
    </row>
    <row r="347" spans="2:31">
      <c r="B347" s="100"/>
      <c r="C347" s="100"/>
      <c r="D347" s="101"/>
      <c r="E347" s="101"/>
      <c r="F347" s="101"/>
      <c r="G347" s="102"/>
      <c r="H347" s="101"/>
      <c r="I347" s="101"/>
      <c r="J347" s="101"/>
      <c r="K347" s="101"/>
      <c r="L347" s="101"/>
      <c r="M347" s="101"/>
      <c r="N347" s="100"/>
      <c r="O347" s="100"/>
      <c r="P347" s="101"/>
      <c r="Q347" s="101"/>
      <c r="R347" s="106" t="str">
        <f>IF(Table2[[#This Row],[Defect Classification]]="","",IF(Table2[[#This Row],[Defect Classification]]="Internal",1,0))</f>
        <v/>
      </c>
      <c r="S347" s="106" t="str">
        <f>IF(Table2[[#This Row],[Defect Classification]]="","",IF(Table2[[#This Row],[Defect Classification]]="External",1,0))</f>
        <v/>
      </c>
      <c r="T347" s="100"/>
      <c r="U347" s="101"/>
      <c r="V347" s="100"/>
      <c r="W347" s="101"/>
      <c r="X347" s="101"/>
      <c r="Y347" s="101"/>
      <c r="Z347" s="101"/>
      <c r="AA347" s="112" t="str">
        <f>IF(ISNA(VLOOKUP(Table2[[#This Row],[Task ID]],Table1[],17,FALSE)),"",VLOOKUP(Table2[[#This Row],[Task ID]],Table1[],17,FALSE))</f>
        <v/>
      </c>
      <c r="AB347" s="115" t="str">
        <f>IF(Table2[[#This Row],[Defect Detected On Date ]]="","",TEXT(Table2[[#This Row],[Defect Detected On Date ]],"mmm"))</f>
        <v/>
      </c>
      <c r="AE347" s="63"/>
    </row>
    <row r="348" spans="2:31">
      <c r="B348" s="100"/>
      <c r="C348" s="100"/>
      <c r="D348" s="101"/>
      <c r="E348" s="101"/>
      <c r="F348" s="101"/>
      <c r="G348" s="102"/>
      <c r="H348" s="101"/>
      <c r="I348" s="101"/>
      <c r="J348" s="101"/>
      <c r="K348" s="101"/>
      <c r="L348" s="101"/>
      <c r="M348" s="101"/>
      <c r="N348" s="100"/>
      <c r="O348" s="100"/>
      <c r="P348" s="101"/>
      <c r="Q348" s="101"/>
      <c r="R348" s="106" t="str">
        <f>IF(Table2[[#This Row],[Defect Classification]]="","",IF(Table2[[#This Row],[Defect Classification]]="Internal",1,0))</f>
        <v/>
      </c>
      <c r="S348" s="106" t="str">
        <f>IF(Table2[[#This Row],[Defect Classification]]="","",IF(Table2[[#This Row],[Defect Classification]]="External",1,0))</f>
        <v/>
      </c>
      <c r="T348" s="100"/>
      <c r="U348" s="101"/>
      <c r="V348" s="100"/>
      <c r="W348" s="101"/>
      <c r="X348" s="101"/>
      <c r="Y348" s="101"/>
      <c r="Z348" s="101"/>
      <c r="AA348" s="112" t="str">
        <f>IF(ISNA(VLOOKUP(Table2[[#This Row],[Task ID]],Table1[],17,FALSE)),"",VLOOKUP(Table2[[#This Row],[Task ID]],Table1[],17,FALSE))</f>
        <v/>
      </c>
      <c r="AB348" s="115" t="str">
        <f>IF(Table2[[#This Row],[Defect Detected On Date ]]="","",TEXT(Table2[[#This Row],[Defect Detected On Date ]],"mmm"))</f>
        <v/>
      </c>
      <c r="AE348" s="63"/>
    </row>
    <row r="349" spans="2:31">
      <c r="B349" s="100"/>
      <c r="C349" s="100"/>
      <c r="D349" s="101"/>
      <c r="E349" s="101"/>
      <c r="F349" s="101"/>
      <c r="G349" s="102"/>
      <c r="H349" s="101"/>
      <c r="I349" s="101"/>
      <c r="J349" s="101"/>
      <c r="K349" s="101"/>
      <c r="L349" s="101"/>
      <c r="M349" s="101"/>
      <c r="N349" s="100"/>
      <c r="O349" s="100"/>
      <c r="P349" s="101"/>
      <c r="Q349" s="101"/>
      <c r="R349" s="106" t="str">
        <f>IF(Table2[[#This Row],[Defect Classification]]="","",IF(Table2[[#This Row],[Defect Classification]]="Internal",1,0))</f>
        <v/>
      </c>
      <c r="S349" s="106" t="str">
        <f>IF(Table2[[#This Row],[Defect Classification]]="","",IF(Table2[[#This Row],[Defect Classification]]="External",1,0))</f>
        <v/>
      </c>
      <c r="T349" s="100"/>
      <c r="U349" s="101"/>
      <c r="V349" s="100"/>
      <c r="W349" s="101"/>
      <c r="X349" s="101"/>
      <c r="Y349" s="101"/>
      <c r="Z349" s="101"/>
      <c r="AA349" s="112" t="str">
        <f>IF(ISNA(VLOOKUP(Table2[[#This Row],[Task ID]],Table1[],17,FALSE)),"",VLOOKUP(Table2[[#This Row],[Task ID]],Table1[],17,FALSE))</f>
        <v/>
      </c>
      <c r="AB349" s="115" t="str">
        <f>IF(Table2[[#This Row],[Defect Detected On Date ]]="","",TEXT(Table2[[#This Row],[Defect Detected On Date ]],"mmm"))</f>
        <v/>
      </c>
      <c r="AE349" s="63"/>
    </row>
    <row r="350" spans="2:31">
      <c r="B350" s="100"/>
      <c r="C350" s="100"/>
      <c r="D350" s="101"/>
      <c r="E350" s="101"/>
      <c r="F350" s="101"/>
      <c r="G350" s="102"/>
      <c r="H350" s="101"/>
      <c r="I350" s="101"/>
      <c r="J350" s="101"/>
      <c r="K350" s="101"/>
      <c r="L350" s="101"/>
      <c r="M350" s="101"/>
      <c r="N350" s="100"/>
      <c r="O350" s="100"/>
      <c r="P350" s="101"/>
      <c r="Q350" s="101"/>
      <c r="R350" s="106" t="str">
        <f>IF(Table2[[#This Row],[Defect Classification]]="","",IF(Table2[[#This Row],[Defect Classification]]="Internal",1,0))</f>
        <v/>
      </c>
      <c r="S350" s="106" t="str">
        <f>IF(Table2[[#This Row],[Defect Classification]]="","",IF(Table2[[#This Row],[Defect Classification]]="External",1,0))</f>
        <v/>
      </c>
      <c r="T350" s="100"/>
      <c r="U350" s="101"/>
      <c r="V350" s="100"/>
      <c r="W350" s="101"/>
      <c r="X350" s="101"/>
      <c r="Y350" s="101"/>
      <c r="Z350" s="101"/>
      <c r="AA350" s="112" t="str">
        <f>IF(ISNA(VLOOKUP(Table2[[#This Row],[Task ID]],Table1[],17,FALSE)),"",VLOOKUP(Table2[[#This Row],[Task ID]],Table1[],17,FALSE))</f>
        <v/>
      </c>
      <c r="AB350" s="115" t="str">
        <f>IF(Table2[[#This Row],[Defect Detected On Date ]]="","",TEXT(Table2[[#This Row],[Defect Detected On Date ]],"mmm"))</f>
        <v/>
      </c>
      <c r="AE350" s="63"/>
    </row>
    <row r="351" spans="2:31">
      <c r="B351" s="100"/>
      <c r="C351" s="100"/>
      <c r="D351" s="101"/>
      <c r="E351" s="101"/>
      <c r="F351" s="101"/>
      <c r="G351" s="102"/>
      <c r="H351" s="101"/>
      <c r="I351" s="101"/>
      <c r="J351" s="101"/>
      <c r="K351" s="101"/>
      <c r="L351" s="101"/>
      <c r="M351" s="101"/>
      <c r="N351" s="100"/>
      <c r="O351" s="100"/>
      <c r="P351" s="101"/>
      <c r="Q351" s="101"/>
      <c r="R351" s="106" t="str">
        <f>IF(Table2[[#This Row],[Defect Classification]]="","",IF(Table2[[#This Row],[Defect Classification]]="Internal",1,0))</f>
        <v/>
      </c>
      <c r="S351" s="106" t="str">
        <f>IF(Table2[[#This Row],[Defect Classification]]="","",IF(Table2[[#This Row],[Defect Classification]]="External",1,0))</f>
        <v/>
      </c>
      <c r="T351" s="100"/>
      <c r="U351" s="101"/>
      <c r="V351" s="100"/>
      <c r="W351" s="101"/>
      <c r="X351" s="101"/>
      <c r="Y351" s="101"/>
      <c r="Z351" s="101"/>
      <c r="AA351" s="112" t="str">
        <f>IF(ISNA(VLOOKUP(Table2[[#This Row],[Task ID]],Table1[],17,FALSE)),"",VLOOKUP(Table2[[#This Row],[Task ID]],Table1[],17,FALSE))</f>
        <v/>
      </c>
      <c r="AB351" s="115" t="str">
        <f>IF(Table2[[#This Row],[Defect Detected On Date ]]="","",TEXT(Table2[[#This Row],[Defect Detected On Date ]],"mmm"))</f>
        <v/>
      </c>
      <c r="AE351" s="63"/>
    </row>
    <row r="352" spans="2:31">
      <c r="B352" s="100"/>
      <c r="C352" s="100"/>
      <c r="D352" s="101"/>
      <c r="E352" s="101"/>
      <c r="F352" s="101"/>
      <c r="G352" s="102"/>
      <c r="H352" s="101"/>
      <c r="I352" s="101"/>
      <c r="J352" s="101"/>
      <c r="K352" s="101"/>
      <c r="L352" s="101"/>
      <c r="M352" s="101"/>
      <c r="N352" s="100"/>
      <c r="O352" s="100"/>
      <c r="P352" s="101"/>
      <c r="Q352" s="101"/>
      <c r="R352" s="106" t="str">
        <f>IF(Table2[[#This Row],[Defect Classification]]="","",IF(Table2[[#This Row],[Defect Classification]]="Internal",1,0))</f>
        <v/>
      </c>
      <c r="S352" s="106" t="str">
        <f>IF(Table2[[#This Row],[Defect Classification]]="","",IF(Table2[[#This Row],[Defect Classification]]="External",1,0))</f>
        <v/>
      </c>
      <c r="T352" s="100"/>
      <c r="U352" s="101"/>
      <c r="V352" s="100"/>
      <c r="W352" s="101"/>
      <c r="X352" s="101"/>
      <c r="Y352" s="101"/>
      <c r="Z352" s="101"/>
      <c r="AA352" s="112" t="str">
        <f>IF(ISNA(VLOOKUP(Table2[[#This Row],[Task ID]],Table1[],17,FALSE)),"",VLOOKUP(Table2[[#This Row],[Task ID]],Table1[],17,FALSE))</f>
        <v/>
      </c>
      <c r="AB352" s="115" t="str">
        <f>IF(Table2[[#This Row],[Defect Detected On Date ]]="","",TEXT(Table2[[#This Row],[Defect Detected On Date ]],"mmm"))</f>
        <v/>
      </c>
      <c r="AE352" s="63"/>
    </row>
    <row r="353" spans="2:31">
      <c r="B353" s="100"/>
      <c r="C353" s="100"/>
      <c r="D353" s="101"/>
      <c r="E353" s="101"/>
      <c r="F353" s="101"/>
      <c r="G353" s="102"/>
      <c r="H353" s="101"/>
      <c r="I353" s="101"/>
      <c r="J353" s="101"/>
      <c r="K353" s="101"/>
      <c r="L353" s="101"/>
      <c r="M353" s="101"/>
      <c r="N353" s="100"/>
      <c r="O353" s="100"/>
      <c r="P353" s="101"/>
      <c r="Q353" s="101"/>
      <c r="R353" s="106" t="str">
        <f>IF(Table2[[#This Row],[Defect Classification]]="","",IF(Table2[[#This Row],[Defect Classification]]="Internal",1,0))</f>
        <v/>
      </c>
      <c r="S353" s="106" t="str">
        <f>IF(Table2[[#This Row],[Defect Classification]]="","",IF(Table2[[#This Row],[Defect Classification]]="External",1,0))</f>
        <v/>
      </c>
      <c r="T353" s="100"/>
      <c r="U353" s="101"/>
      <c r="V353" s="100"/>
      <c r="W353" s="101"/>
      <c r="X353" s="101"/>
      <c r="Y353" s="101"/>
      <c r="Z353" s="101"/>
      <c r="AA353" s="112" t="str">
        <f>IF(ISNA(VLOOKUP(Table2[[#This Row],[Task ID]],Table1[],17,FALSE)),"",VLOOKUP(Table2[[#This Row],[Task ID]],Table1[],17,FALSE))</f>
        <v/>
      </c>
      <c r="AB353" s="115" t="str">
        <f>IF(Table2[[#This Row],[Defect Detected On Date ]]="","",TEXT(Table2[[#This Row],[Defect Detected On Date ]],"mmm"))</f>
        <v/>
      </c>
      <c r="AE353" s="63"/>
    </row>
    <row r="354" spans="2:31">
      <c r="B354" s="100"/>
      <c r="C354" s="100"/>
      <c r="D354" s="101"/>
      <c r="E354" s="101"/>
      <c r="F354" s="101"/>
      <c r="G354" s="102"/>
      <c r="H354" s="101"/>
      <c r="I354" s="101"/>
      <c r="J354" s="101"/>
      <c r="K354" s="101"/>
      <c r="L354" s="101"/>
      <c r="M354" s="101"/>
      <c r="N354" s="100"/>
      <c r="O354" s="100"/>
      <c r="P354" s="101"/>
      <c r="Q354" s="101"/>
      <c r="R354" s="106" t="str">
        <f>IF(Table2[[#This Row],[Defect Classification]]="","",IF(Table2[[#This Row],[Defect Classification]]="Internal",1,0))</f>
        <v/>
      </c>
      <c r="S354" s="106" t="str">
        <f>IF(Table2[[#This Row],[Defect Classification]]="","",IF(Table2[[#This Row],[Defect Classification]]="External",1,0))</f>
        <v/>
      </c>
      <c r="T354" s="100"/>
      <c r="U354" s="101"/>
      <c r="V354" s="100"/>
      <c r="W354" s="101"/>
      <c r="X354" s="101"/>
      <c r="Y354" s="101"/>
      <c r="Z354" s="101"/>
      <c r="AA354" s="112" t="str">
        <f>IF(ISNA(VLOOKUP(Table2[[#This Row],[Task ID]],Table1[],17,FALSE)),"",VLOOKUP(Table2[[#This Row],[Task ID]],Table1[],17,FALSE))</f>
        <v/>
      </c>
      <c r="AB354" s="115" t="str">
        <f>IF(Table2[[#This Row],[Defect Detected On Date ]]="","",TEXT(Table2[[#This Row],[Defect Detected On Date ]],"mmm"))</f>
        <v/>
      </c>
      <c r="AE354" s="63"/>
    </row>
    <row r="355" spans="2:31">
      <c r="B355" s="100"/>
      <c r="C355" s="100"/>
      <c r="D355" s="101"/>
      <c r="E355" s="101"/>
      <c r="F355" s="101"/>
      <c r="G355" s="102"/>
      <c r="H355" s="101"/>
      <c r="I355" s="101"/>
      <c r="J355" s="101"/>
      <c r="K355" s="101"/>
      <c r="L355" s="101"/>
      <c r="M355" s="101"/>
      <c r="N355" s="100"/>
      <c r="O355" s="100"/>
      <c r="P355" s="101"/>
      <c r="Q355" s="101"/>
      <c r="R355" s="106" t="str">
        <f>IF(Table2[[#This Row],[Defect Classification]]="","",IF(Table2[[#This Row],[Defect Classification]]="Internal",1,0))</f>
        <v/>
      </c>
      <c r="S355" s="106" t="str">
        <f>IF(Table2[[#This Row],[Defect Classification]]="","",IF(Table2[[#This Row],[Defect Classification]]="External",1,0))</f>
        <v/>
      </c>
      <c r="T355" s="100"/>
      <c r="U355" s="101"/>
      <c r="V355" s="100"/>
      <c r="W355" s="101"/>
      <c r="X355" s="101"/>
      <c r="Y355" s="101"/>
      <c r="Z355" s="101"/>
      <c r="AA355" s="112" t="str">
        <f>IF(ISNA(VLOOKUP(Table2[[#This Row],[Task ID]],Table1[],17,FALSE)),"",VLOOKUP(Table2[[#This Row],[Task ID]],Table1[],17,FALSE))</f>
        <v/>
      </c>
      <c r="AB355" s="115" t="str">
        <f>IF(Table2[[#This Row],[Defect Detected On Date ]]="","",TEXT(Table2[[#This Row],[Defect Detected On Date ]],"mmm"))</f>
        <v/>
      </c>
      <c r="AE355" s="63"/>
    </row>
    <row r="356" spans="2:31">
      <c r="B356" s="100"/>
      <c r="C356" s="100"/>
      <c r="D356" s="101"/>
      <c r="E356" s="101"/>
      <c r="F356" s="101"/>
      <c r="G356" s="102"/>
      <c r="H356" s="101"/>
      <c r="I356" s="101"/>
      <c r="J356" s="101"/>
      <c r="K356" s="101"/>
      <c r="L356" s="101"/>
      <c r="M356" s="101"/>
      <c r="N356" s="100"/>
      <c r="O356" s="100"/>
      <c r="P356" s="101"/>
      <c r="Q356" s="101"/>
      <c r="R356" s="106" t="str">
        <f>IF(Table2[[#This Row],[Defect Classification]]="","",IF(Table2[[#This Row],[Defect Classification]]="Internal",1,0))</f>
        <v/>
      </c>
      <c r="S356" s="106" t="str">
        <f>IF(Table2[[#This Row],[Defect Classification]]="","",IF(Table2[[#This Row],[Defect Classification]]="External",1,0))</f>
        <v/>
      </c>
      <c r="T356" s="100"/>
      <c r="U356" s="101"/>
      <c r="V356" s="100"/>
      <c r="W356" s="101"/>
      <c r="X356" s="101"/>
      <c r="Y356" s="101"/>
      <c r="Z356" s="101"/>
      <c r="AA356" s="112" t="str">
        <f>IF(ISNA(VLOOKUP(Table2[[#This Row],[Task ID]],Table1[],17,FALSE)),"",VLOOKUP(Table2[[#This Row],[Task ID]],Table1[],17,FALSE))</f>
        <v/>
      </c>
      <c r="AB356" s="115" t="str">
        <f>IF(Table2[[#This Row],[Defect Detected On Date ]]="","",TEXT(Table2[[#This Row],[Defect Detected On Date ]],"mmm"))</f>
        <v/>
      </c>
      <c r="AE356" s="63"/>
    </row>
    <row r="357" spans="2:31">
      <c r="B357" s="100"/>
      <c r="C357" s="100"/>
      <c r="D357" s="101"/>
      <c r="E357" s="101"/>
      <c r="F357" s="101"/>
      <c r="G357" s="102"/>
      <c r="H357" s="101"/>
      <c r="I357" s="101"/>
      <c r="J357" s="101"/>
      <c r="K357" s="101"/>
      <c r="L357" s="101"/>
      <c r="M357" s="101"/>
      <c r="N357" s="100"/>
      <c r="O357" s="100"/>
      <c r="P357" s="101"/>
      <c r="Q357" s="101"/>
      <c r="R357" s="106" t="str">
        <f>IF(Table2[[#This Row],[Defect Classification]]="","",IF(Table2[[#This Row],[Defect Classification]]="Internal",1,0))</f>
        <v/>
      </c>
      <c r="S357" s="106" t="str">
        <f>IF(Table2[[#This Row],[Defect Classification]]="","",IF(Table2[[#This Row],[Defect Classification]]="External",1,0))</f>
        <v/>
      </c>
      <c r="T357" s="100"/>
      <c r="U357" s="101"/>
      <c r="V357" s="100"/>
      <c r="W357" s="101"/>
      <c r="X357" s="101"/>
      <c r="Y357" s="101"/>
      <c r="Z357" s="101"/>
      <c r="AA357" s="112" t="str">
        <f>IF(ISNA(VLOOKUP(Table2[[#This Row],[Task ID]],Table1[],17,FALSE)),"",VLOOKUP(Table2[[#This Row],[Task ID]],Table1[],17,FALSE))</f>
        <v/>
      </c>
      <c r="AB357" s="115" t="str">
        <f>IF(Table2[[#This Row],[Defect Detected On Date ]]="","",TEXT(Table2[[#This Row],[Defect Detected On Date ]],"mmm"))</f>
        <v/>
      </c>
      <c r="AE357" s="63"/>
    </row>
    <row r="358" spans="2:31">
      <c r="B358" s="100"/>
      <c r="C358" s="100"/>
      <c r="D358" s="101"/>
      <c r="E358" s="101"/>
      <c r="F358" s="101"/>
      <c r="G358" s="102"/>
      <c r="H358" s="101"/>
      <c r="I358" s="101"/>
      <c r="J358" s="101"/>
      <c r="K358" s="101"/>
      <c r="L358" s="101"/>
      <c r="M358" s="101"/>
      <c r="N358" s="100"/>
      <c r="O358" s="100"/>
      <c r="P358" s="101"/>
      <c r="Q358" s="101"/>
      <c r="R358" s="106" t="str">
        <f>IF(Table2[[#This Row],[Defect Classification]]="","",IF(Table2[[#This Row],[Defect Classification]]="Internal",1,0))</f>
        <v/>
      </c>
      <c r="S358" s="106" t="str">
        <f>IF(Table2[[#This Row],[Defect Classification]]="","",IF(Table2[[#This Row],[Defect Classification]]="External",1,0))</f>
        <v/>
      </c>
      <c r="T358" s="100"/>
      <c r="U358" s="101"/>
      <c r="V358" s="100"/>
      <c r="W358" s="101"/>
      <c r="X358" s="101"/>
      <c r="Y358" s="101"/>
      <c r="Z358" s="101"/>
      <c r="AA358" s="112" t="str">
        <f>IF(ISNA(VLOOKUP(Table2[[#This Row],[Task ID]],Table1[],17,FALSE)),"",VLOOKUP(Table2[[#This Row],[Task ID]],Table1[],17,FALSE))</f>
        <v/>
      </c>
      <c r="AB358" s="115" t="str">
        <f>IF(Table2[[#This Row],[Defect Detected On Date ]]="","",TEXT(Table2[[#This Row],[Defect Detected On Date ]],"mmm"))</f>
        <v/>
      </c>
      <c r="AE358" s="63"/>
    </row>
    <row r="359" spans="2:31">
      <c r="B359" s="100"/>
      <c r="C359" s="100"/>
      <c r="D359" s="101"/>
      <c r="E359" s="101"/>
      <c r="F359" s="101"/>
      <c r="G359" s="102"/>
      <c r="H359" s="101"/>
      <c r="I359" s="101"/>
      <c r="J359" s="101"/>
      <c r="K359" s="101"/>
      <c r="L359" s="101"/>
      <c r="M359" s="101"/>
      <c r="N359" s="100"/>
      <c r="O359" s="100"/>
      <c r="P359" s="101"/>
      <c r="Q359" s="101"/>
      <c r="R359" s="106" t="str">
        <f>IF(Table2[[#This Row],[Defect Classification]]="","",IF(Table2[[#This Row],[Defect Classification]]="Internal",1,0))</f>
        <v/>
      </c>
      <c r="S359" s="106" t="str">
        <f>IF(Table2[[#This Row],[Defect Classification]]="","",IF(Table2[[#This Row],[Defect Classification]]="External",1,0))</f>
        <v/>
      </c>
      <c r="T359" s="100"/>
      <c r="U359" s="101"/>
      <c r="V359" s="100"/>
      <c r="W359" s="101"/>
      <c r="X359" s="101"/>
      <c r="Y359" s="101"/>
      <c r="Z359" s="101"/>
      <c r="AA359" s="112" t="str">
        <f>IF(ISNA(VLOOKUP(Table2[[#This Row],[Task ID]],Table1[],17,FALSE)),"",VLOOKUP(Table2[[#This Row],[Task ID]],Table1[],17,FALSE))</f>
        <v/>
      </c>
      <c r="AB359" s="115" t="str">
        <f>IF(Table2[[#This Row],[Defect Detected On Date ]]="","",TEXT(Table2[[#This Row],[Defect Detected On Date ]],"mmm"))</f>
        <v/>
      </c>
      <c r="AE359" s="63"/>
    </row>
    <row r="360" spans="2:31">
      <c r="B360" s="100"/>
      <c r="C360" s="100"/>
      <c r="D360" s="101"/>
      <c r="E360" s="101"/>
      <c r="F360" s="101"/>
      <c r="G360" s="102"/>
      <c r="H360" s="101"/>
      <c r="I360" s="101"/>
      <c r="J360" s="101"/>
      <c r="K360" s="101"/>
      <c r="L360" s="101"/>
      <c r="M360" s="101"/>
      <c r="N360" s="100"/>
      <c r="O360" s="100"/>
      <c r="P360" s="101"/>
      <c r="Q360" s="101"/>
      <c r="R360" s="106" t="str">
        <f>IF(Table2[[#This Row],[Defect Classification]]="","",IF(Table2[[#This Row],[Defect Classification]]="Internal",1,0))</f>
        <v/>
      </c>
      <c r="S360" s="106" t="str">
        <f>IF(Table2[[#This Row],[Defect Classification]]="","",IF(Table2[[#This Row],[Defect Classification]]="External",1,0))</f>
        <v/>
      </c>
      <c r="T360" s="100"/>
      <c r="U360" s="101"/>
      <c r="V360" s="100"/>
      <c r="W360" s="101"/>
      <c r="X360" s="101"/>
      <c r="Y360" s="101"/>
      <c r="Z360" s="101"/>
      <c r="AA360" s="112" t="str">
        <f>IF(ISNA(VLOOKUP(Table2[[#This Row],[Task ID]],Table1[],17,FALSE)),"",VLOOKUP(Table2[[#This Row],[Task ID]],Table1[],17,FALSE))</f>
        <v/>
      </c>
      <c r="AB360" s="115" t="str">
        <f>IF(Table2[[#This Row],[Defect Detected On Date ]]="","",TEXT(Table2[[#This Row],[Defect Detected On Date ]],"mmm"))</f>
        <v/>
      </c>
      <c r="AE360" s="63"/>
    </row>
    <row r="361" spans="2:31">
      <c r="B361" s="100"/>
      <c r="C361" s="100"/>
      <c r="D361" s="101"/>
      <c r="E361" s="101"/>
      <c r="F361" s="101"/>
      <c r="G361" s="102"/>
      <c r="H361" s="101"/>
      <c r="I361" s="101"/>
      <c r="J361" s="101"/>
      <c r="K361" s="101"/>
      <c r="L361" s="101"/>
      <c r="M361" s="101"/>
      <c r="N361" s="100"/>
      <c r="O361" s="100"/>
      <c r="P361" s="101"/>
      <c r="Q361" s="101"/>
      <c r="R361" s="106" t="str">
        <f>IF(Table2[[#This Row],[Defect Classification]]="","",IF(Table2[[#This Row],[Defect Classification]]="Internal",1,0))</f>
        <v/>
      </c>
      <c r="S361" s="106" t="str">
        <f>IF(Table2[[#This Row],[Defect Classification]]="","",IF(Table2[[#This Row],[Defect Classification]]="External",1,0))</f>
        <v/>
      </c>
      <c r="T361" s="100"/>
      <c r="U361" s="101"/>
      <c r="V361" s="100"/>
      <c r="W361" s="101"/>
      <c r="X361" s="101"/>
      <c r="Y361" s="101"/>
      <c r="Z361" s="101"/>
      <c r="AA361" s="112" t="str">
        <f>IF(ISNA(VLOOKUP(Table2[[#This Row],[Task ID]],Table1[],17,FALSE)),"",VLOOKUP(Table2[[#This Row],[Task ID]],Table1[],17,FALSE))</f>
        <v/>
      </c>
      <c r="AB361" s="115" t="str">
        <f>IF(Table2[[#This Row],[Defect Detected On Date ]]="","",TEXT(Table2[[#This Row],[Defect Detected On Date ]],"mmm"))</f>
        <v/>
      </c>
      <c r="AE361" s="63"/>
    </row>
    <row r="362" spans="2:31">
      <c r="B362" s="100"/>
      <c r="C362" s="100"/>
      <c r="D362" s="101"/>
      <c r="E362" s="101"/>
      <c r="F362" s="101"/>
      <c r="G362" s="102"/>
      <c r="H362" s="101"/>
      <c r="I362" s="101"/>
      <c r="J362" s="101"/>
      <c r="K362" s="101"/>
      <c r="L362" s="101"/>
      <c r="M362" s="101"/>
      <c r="N362" s="100"/>
      <c r="O362" s="100"/>
      <c r="P362" s="101"/>
      <c r="Q362" s="101"/>
      <c r="R362" s="106" t="str">
        <f>IF(Table2[[#This Row],[Defect Classification]]="","",IF(Table2[[#This Row],[Defect Classification]]="Internal",1,0))</f>
        <v/>
      </c>
      <c r="S362" s="106" t="str">
        <f>IF(Table2[[#This Row],[Defect Classification]]="","",IF(Table2[[#This Row],[Defect Classification]]="External",1,0))</f>
        <v/>
      </c>
      <c r="T362" s="100"/>
      <c r="U362" s="101"/>
      <c r="V362" s="100"/>
      <c r="W362" s="101"/>
      <c r="X362" s="101"/>
      <c r="Y362" s="101"/>
      <c r="Z362" s="101"/>
      <c r="AA362" s="112" t="str">
        <f>IF(ISNA(VLOOKUP(Table2[[#This Row],[Task ID]],Table1[],17,FALSE)),"",VLOOKUP(Table2[[#This Row],[Task ID]],Table1[],17,FALSE))</f>
        <v/>
      </c>
      <c r="AB362" s="115" t="str">
        <f>IF(Table2[[#This Row],[Defect Detected On Date ]]="","",TEXT(Table2[[#This Row],[Defect Detected On Date ]],"mmm"))</f>
        <v/>
      </c>
      <c r="AE362" s="63"/>
    </row>
    <row r="363" spans="2:31">
      <c r="B363" s="100"/>
      <c r="C363" s="100"/>
      <c r="D363" s="101"/>
      <c r="E363" s="101"/>
      <c r="F363" s="101"/>
      <c r="G363" s="102"/>
      <c r="H363" s="101"/>
      <c r="I363" s="101"/>
      <c r="J363" s="101"/>
      <c r="K363" s="101"/>
      <c r="L363" s="101"/>
      <c r="M363" s="101"/>
      <c r="N363" s="100"/>
      <c r="O363" s="100"/>
      <c r="P363" s="101"/>
      <c r="Q363" s="101"/>
      <c r="R363" s="106" t="str">
        <f>IF(Table2[[#This Row],[Defect Classification]]="","",IF(Table2[[#This Row],[Defect Classification]]="Internal",1,0))</f>
        <v/>
      </c>
      <c r="S363" s="106" t="str">
        <f>IF(Table2[[#This Row],[Defect Classification]]="","",IF(Table2[[#This Row],[Defect Classification]]="External",1,0))</f>
        <v/>
      </c>
      <c r="T363" s="100"/>
      <c r="U363" s="101"/>
      <c r="V363" s="100"/>
      <c r="W363" s="101"/>
      <c r="X363" s="101"/>
      <c r="Y363" s="101"/>
      <c r="Z363" s="101"/>
      <c r="AA363" s="112" t="str">
        <f>IF(ISNA(VLOOKUP(Table2[[#This Row],[Task ID]],Table1[],17,FALSE)),"",VLOOKUP(Table2[[#This Row],[Task ID]],Table1[],17,FALSE))</f>
        <v/>
      </c>
      <c r="AB363" s="115" t="str">
        <f>IF(Table2[[#This Row],[Defect Detected On Date ]]="","",TEXT(Table2[[#This Row],[Defect Detected On Date ]],"mmm"))</f>
        <v/>
      </c>
      <c r="AE363" s="63"/>
    </row>
    <row r="364" spans="2:31">
      <c r="B364" s="100"/>
      <c r="C364" s="100"/>
      <c r="D364" s="101"/>
      <c r="E364" s="101"/>
      <c r="F364" s="101"/>
      <c r="G364" s="102"/>
      <c r="H364" s="101"/>
      <c r="I364" s="101"/>
      <c r="J364" s="101"/>
      <c r="K364" s="101"/>
      <c r="L364" s="101"/>
      <c r="M364" s="101"/>
      <c r="N364" s="100"/>
      <c r="O364" s="100"/>
      <c r="P364" s="101"/>
      <c r="Q364" s="101"/>
      <c r="R364" s="106" t="str">
        <f>IF(Table2[[#This Row],[Defect Classification]]="","",IF(Table2[[#This Row],[Defect Classification]]="Internal",1,0))</f>
        <v/>
      </c>
      <c r="S364" s="106" t="str">
        <f>IF(Table2[[#This Row],[Defect Classification]]="","",IF(Table2[[#This Row],[Defect Classification]]="External",1,0))</f>
        <v/>
      </c>
      <c r="T364" s="100"/>
      <c r="U364" s="101"/>
      <c r="V364" s="100"/>
      <c r="W364" s="101"/>
      <c r="X364" s="101"/>
      <c r="Y364" s="101"/>
      <c r="Z364" s="101"/>
      <c r="AA364" s="112" t="str">
        <f>IF(ISNA(VLOOKUP(Table2[[#This Row],[Task ID]],Table1[],17,FALSE)),"",VLOOKUP(Table2[[#This Row],[Task ID]],Table1[],17,FALSE))</f>
        <v/>
      </c>
      <c r="AB364" s="115" t="str">
        <f>IF(Table2[[#This Row],[Defect Detected On Date ]]="","",TEXT(Table2[[#This Row],[Defect Detected On Date ]],"mmm"))</f>
        <v/>
      </c>
      <c r="AE364" s="63"/>
    </row>
    <row r="365" spans="2:31">
      <c r="B365" s="100"/>
      <c r="C365" s="100"/>
      <c r="D365" s="101"/>
      <c r="E365" s="101"/>
      <c r="F365" s="101"/>
      <c r="G365" s="102"/>
      <c r="H365" s="101"/>
      <c r="I365" s="101"/>
      <c r="J365" s="101"/>
      <c r="K365" s="101"/>
      <c r="L365" s="101"/>
      <c r="M365" s="101"/>
      <c r="N365" s="100"/>
      <c r="O365" s="100"/>
      <c r="P365" s="101"/>
      <c r="Q365" s="101"/>
      <c r="R365" s="106" t="str">
        <f>IF(Table2[[#This Row],[Defect Classification]]="","",IF(Table2[[#This Row],[Defect Classification]]="Internal",1,0))</f>
        <v/>
      </c>
      <c r="S365" s="106" t="str">
        <f>IF(Table2[[#This Row],[Defect Classification]]="","",IF(Table2[[#This Row],[Defect Classification]]="External",1,0))</f>
        <v/>
      </c>
      <c r="T365" s="100"/>
      <c r="U365" s="101"/>
      <c r="V365" s="100"/>
      <c r="W365" s="101"/>
      <c r="X365" s="101"/>
      <c r="Y365" s="101"/>
      <c r="Z365" s="101"/>
      <c r="AA365" s="112" t="str">
        <f>IF(ISNA(VLOOKUP(Table2[[#This Row],[Task ID]],Table1[],17,FALSE)),"",VLOOKUP(Table2[[#This Row],[Task ID]],Table1[],17,FALSE))</f>
        <v/>
      </c>
      <c r="AB365" s="115" t="str">
        <f>IF(Table2[[#This Row],[Defect Detected On Date ]]="","",TEXT(Table2[[#This Row],[Defect Detected On Date ]],"mmm"))</f>
        <v/>
      </c>
      <c r="AE365" s="63"/>
    </row>
    <row r="366" spans="2:31">
      <c r="B366" s="100"/>
      <c r="C366" s="100"/>
      <c r="D366" s="101"/>
      <c r="E366" s="101"/>
      <c r="F366" s="101"/>
      <c r="G366" s="102"/>
      <c r="H366" s="101"/>
      <c r="I366" s="101"/>
      <c r="J366" s="101"/>
      <c r="K366" s="101"/>
      <c r="L366" s="101"/>
      <c r="M366" s="101"/>
      <c r="N366" s="100"/>
      <c r="O366" s="100"/>
      <c r="P366" s="101"/>
      <c r="Q366" s="101"/>
      <c r="R366" s="106" t="str">
        <f>IF(Table2[[#This Row],[Defect Classification]]="","",IF(Table2[[#This Row],[Defect Classification]]="Internal",1,0))</f>
        <v/>
      </c>
      <c r="S366" s="106" t="str">
        <f>IF(Table2[[#This Row],[Defect Classification]]="","",IF(Table2[[#This Row],[Defect Classification]]="External",1,0))</f>
        <v/>
      </c>
      <c r="T366" s="100"/>
      <c r="U366" s="101"/>
      <c r="V366" s="100"/>
      <c r="W366" s="101"/>
      <c r="X366" s="101"/>
      <c r="Y366" s="101"/>
      <c r="Z366" s="101"/>
      <c r="AA366" s="112" t="str">
        <f>IF(ISNA(VLOOKUP(Table2[[#This Row],[Task ID]],Table1[],17,FALSE)),"",VLOOKUP(Table2[[#This Row],[Task ID]],Table1[],17,FALSE))</f>
        <v/>
      </c>
      <c r="AB366" s="115" t="str">
        <f>IF(Table2[[#This Row],[Defect Detected On Date ]]="","",TEXT(Table2[[#This Row],[Defect Detected On Date ]],"mmm"))</f>
        <v/>
      </c>
      <c r="AE366" s="63"/>
    </row>
    <row r="367" spans="2:31">
      <c r="B367" s="100"/>
      <c r="C367" s="100"/>
      <c r="D367" s="101"/>
      <c r="E367" s="101"/>
      <c r="F367" s="101"/>
      <c r="G367" s="102"/>
      <c r="H367" s="101"/>
      <c r="I367" s="101"/>
      <c r="J367" s="101"/>
      <c r="K367" s="101"/>
      <c r="L367" s="101"/>
      <c r="M367" s="101"/>
      <c r="N367" s="100"/>
      <c r="O367" s="100"/>
      <c r="P367" s="101"/>
      <c r="Q367" s="101"/>
      <c r="R367" s="106" t="str">
        <f>IF(Table2[[#This Row],[Defect Classification]]="","",IF(Table2[[#This Row],[Defect Classification]]="Internal",1,0))</f>
        <v/>
      </c>
      <c r="S367" s="106" t="str">
        <f>IF(Table2[[#This Row],[Defect Classification]]="","",IF(Table2[[#This Row],[Defect Classification]]="External",1,0))</f>
        <v/>
      </c>
      <c r="T367" s="100"/>
      <c r="U367" s="101"/>
      <c r="V367" s="100"/>
      <c r="W367" s="101"/>
      <c r="X367" s="101"/>
      <c r="Y367" s="101"/>
      <c r="Z367" s="101"/>
      <c r="AA367" s="112" t="str">
        <f>IF(ISNA(VLOOKUP(Table2[[#This Row],[Task ID]],Table1[],17,FALSE)),"",VLOOKUP(Table2[[#This Row],[Task ID]],Table1[],17,FALSE))</f>
        <v/>
      </c>
      <c r="AB367" s="115" t="str">
        <f>IF(Table2[[#This Row],[Defect Detected On Date ]]="","",TEXT(Table2[[#This Row],[Defect Detected On Date ]],"mmm"))</f>
        <v/>
      </c>
      <c r="AE367" s="63"/>
    </row>
    <row r="368" spans="2:31">
      <c r="B368" s="100"/>
      <c r="C368" s="100"/>
      <c r="D368" s="101"/>
      <c r="E368" s="101"/>
      <c r="F368" s="101"/>
      <c r="G368" s="102"/>
      <c r="H368" s="101"/>
      <c r="I368" s="101"/>
      <c r="J368" s="101"/>
      <c r="K368" s="101"/>
      <c r="L368" s="101"/>
      <c r="M368" s="101"/>
      <c r="N368" s="100"/>
      <c r="O368" s="100"/>
      <c r="P368" s="101"/>
      <c r="Q368" s="101"/>
      <c r="R368" s="106" t="str">
        <f>IF(Table2[[#This Row],[Defect Classification]]="","",IF(Table2[[#This Row],[Defect Classification]]="Internal",1,0))</f>
        <v/>
      </c>
      <c r="S368" s="106" t="str">
        <f>IF(Table2[[#This Row],[Defect Classification]]="","",IF(Table2[[#This Row],[Defect Classification]]="External",1,0))</f>
        <v/>
      </c>
      <c r="T368" s="100"/>
      <c r="U368" s="101"/>
      <c r="V368" s="100"/>
      <c r="W368" s="101"/>
      <c r="X368" s="101"/>
      <c r="Y368" s="101"/>
      <c r="Z368" s="101"/>
      <c r="AA368" s="112" t="str">
        <f>IF(ISNA(VLOOKUP(Table2[[#This Row],[Task ID]],Table1[],17,FALSE)),"",VLOOKUP(Table2[[#This Row],[Task ID]],Table1[],17,FALSE))</f>
        <v/>
      </c>
      <c r="AB368" s="115" t="str">
        <f>IF(Table2[[#This Row],[Defect Detected On Date ]]="","",TEXT(Table2[[#This Row],[Defect Detected On Date ]],"mmm"))</f>
        <v/>
      </c>
      <c r="AE368" s="63"/>
    </row>
    <row r="369" spans="2:31">
      <c r="B369" s="100"/>
      <c r="C369" s="100"/>
      <c r="D369" s="101"/>
      <c r="E369" s="101"/>
      <c r="F369" s="101"/>
      <c r="G369" s="102"/>
      <c r="H369" s="101"/>
      <c r="I369" s="101"/>
      <c r="J369" s="101"/>
      <c r="K369" s="101"/>
      <c r="L369" s="101"/>
      <c r="M369" s="101"/>
      <c r="N369" s="100"/>
      <c r="O369" s="100"/>
      <c r="P369" s="101"/>
      <c r="Q369" s="101"/>
      <c r="R369" s="106" t="str">
        <f>IF(Table2[[#This Row],[Defect Classification]]="","",IF(Table2[[#This Row],[Defect Classification]]="Internal",1,0))</f>
        <v/>
      </c>
      <c r="S369" s="106" t="str">
        <f>IF(Table2[[#This Row],[Defect Classification]]="","",IF(Table2[[#This Row],[Defect Classification]]="External",1,0))</f>
        <v/>
      </c>
      <c r="T369" s="100"/>
      <c r="U369" s="101"/>
      <c r="V369" s="100"/>
      <c r="W369" s="101"/>
      <c r="X369" s="101"/>
      <c r="Y369" s="101"/>
      <c r="Z369" s="101"/>
      <c r="AA369" s="112" t="str">
        <f>IF(ISNA(VLOOKUP(Table2[[#This Row],[Task ID]],Table1[],17,FALSE)),"",VLOOKUP(Table2[[#This Row],[Task ID]],Table1[],17,FALSE))</f>
        <v/>
      </c>
      <c r="AB369" s="115" t="str">
        <f>IF(Table2[[#This Row],[Defect Detected On Date ]]="","",TEXT(Table2[[#This Row],[Defect Detected On Date ]],"mmm"))</f>
        <v/>
      </c>
      <c r="AE369" s="63"/>
    </row>
    <row r="370" spans="2:31">
      <c r="B370" s="100"/>
      <c r="C370" s="100"/>
      <c r="D370" s="101"/>
      <c r="E370" s="101"/>
      <c r="F370" s="101"/>
      <c r="G370" s="102"/>
      <c r="H370" s="101"/>
      <c r="I370" s="101"/>
      <c r="J370" s="101"/>
      <c r="K370" s="101"/>
      <c r="L370" s="101"/>
      <c r="M370" s="101"/>
      <c r="N370" s="100"/>
      <c r="O370" s="100"/>
      <c r="P370" s="101"/>
      <c r="Q370" s="101"/>
      <c r="R370" s="106" t="str">
        <f>IF(Table2[[#This Row],[Defect Classification]]="","",IF(Table2[[#This Row],[Defect Classification]]="Internal",1,0))</f>
        <v/>
      </c>
      <c r="S370" s="106" t="str">
        <f>IF(Table2[[#This Row],[Defect Classification]]="","",IF(Table2[[#This Row],[Defect Classification]]="External",1,0))</f>
        <v/>
      </c>
      <c r="T370" s="100"/>
      <c r="U370" s="101"/>
      <c r="V370" s="100"/>
      <c r="W370" s="101"/>
      <c r="X370" s="101"/>
      <c r="Y370" s="101"/>
      <c r="Z370" s="101"/>
      <c r="AA370" s="112" t="str">
        <f>IF(ISNA(VLOOKUP(Table2[[#This Row],[Task ID]],Table1[],17,FALSE)),"",VLOOKUP(Table2[[#This Row],[Task ID]],Table1[],17,FALSE))</f>
        <v/>
      </c>
      <c r="AB370" s="115" t="str">
        <f>IF(Table2[[#This Row],[Defect Detected On Date ]]="","",TEXT(Table2[[#This Row],[Defect Detected On Date ]],"mmm"))</f>
        <v/>
      </c>
      <c r="AE370" s="63"/>
    </row>
    <row r="371" spans="2:31">
      <c r="B371" s="100"/>
      <c r="C371" s="100"/>
      <c r="D371" s="101"/>
      <c r="E371" s="101"/>
      <c r="F371" s="101"/>
      <c r="G371" s="102"/>
      <c r="H371" s="101"/>
      <c r="I371" s="101"/>
      <c r="J371" s="101"/>
      <c r="K371" s="101"/>
      <c r="L371" s="101"/>
      <c r="M371" s="101"/>
      <c r="N371" s="100"/>
      <c r="O371" s="100"/>
      <c r="P371" s="101"/>
      <c r="Q371" s="101"/>
      <c r="R371" s="106" t="str">
        <f>IF(Table2[[#This Row],[Defect Classification]]="","",IF(Table2[[#This Row],[Defect Classification]]="Internal",1,0))</f>
        <v/>
      </c>
      <c r="S371" s="106" t="str">
        <f>IF(Table2[[#This Row],[Defect Classification]]="","",IF(Table2[[#This Row],[Defect Classification]]="External",1,0))</f>
        <v/>
      </c>
      <c r="T371" s="100"/>
      <c r="U371" s="101"/>
      <c r="V371" s="100"/>
      <c r="W371" s="101"/>
      <c r="X371" s="101"/>
      <c r="Y371" s="101"/>
      <c r="Z371" s="101"/>
      <c r="AA371" s="112" t="str">
        <f>IF(ISNA(VLOOKUP(Table2[[#This Row],[Task ID]],Table1[],17,FALSE)),"",VLOOKUP(Table2[[#This Row],[Task ID]],Table1[],17,FALSE))</f>
        <v/>
      </c>
      <c r="AB371" s="115" t="str">
        <f>IF(Table2[[#This Row],[Defect Detected On Date ]]="","",TEXT(Table2[[#This Row],[Defect Detected On Date ]],"mmm"))</f>
        <v/>
      </c>
      <c r="AE371" s="63"/>
    </row>
    <row r="372" spans="2:31">
      <c r="B372" s="100"/>
      <c r="C372" s="100"/>
      <c r="D372" s="101"/>
      <c r="E372" s="101"/>
      <c r="F372" s="101"/>
      <c r="G372" s="102"/>
      <c r="H372" s="101"/>
      <c r="I372" s="101"/>
      <c r="J372" s="101"/>
      <c r="K372" s="101"/>
      <c r="L372" s="101"/>
      <c r="M372" s="101"/>
      <c r="N372" s="100"/>
      <c r="O372" s="100"/>
      <c r="P372" s="101"/>
      <c r="Q372" s="101"/>
      <c r="R372" s="106" t="str">
        <f>IF(Table2[[#This Row],[Defect Classification]]="","",IF(Table2[[#This Row],[Defect Classification]]="Internal",1,0))</f>
        <v/>
      </c>
      <c r="S372" s="106" t="str">
        <f>IF(Table2[[#This Row],[Defect Classification]]="","",IF(Table2[[#This Row],[Defect Classification]]="External",1,0))</f>
        <v/>
      </c>
      <c r="T372" s="100"/>
      <c r="U372" s="101"/>
      <c r="V372" s="100"/>
      <c r="W372" s="101"/>
      <c r="X372" s="101"/>
      <c r="Y372" s="101"/>
      <c r="Z372" s="101"/>
      <c r="AA372" s="112" t="str">
        <f>IF(ISNA(VLOOKUP(Table2[[#This Row],[Task ID]],Table1[],17,FALSE)),"",VLOOKUP(Table2[[#This Row],[Task ID]],Table1[],17,FALSE))</f>
        <v/>
      </c>
      <c r="AB372" s="115" t="str">
        <f>IF(Table2[[#This Row],[Defect Detected On Date ]]="","",TEXT(Table2[[#This Row],[Defect Detected On Date ]],"mmm"))</f>
        <v/>
      </c>
      <c r="AE372" s="63"/>
    </row>
    <row r="373" spans="2:31">
      <c r="B373" s="100"/>
      <c r="C373" s="100"/>
      <c r="D373" s="101"/>
      <c r="E373" s="101"/>
      <c r="F373" s="101"/>
      <c r="G373" s="102"/>
      <c r="H373" s="101"/>
      <c r="I373" s="101"/>
      <c r="J373" s="101"/>
      <c r="K373" s="101"/>
      <c r="L373" s="101"/>
      <c r="M373" s="101"/>
      <c r="N373" s="100"/>
      <c r="O373" s="100"/>
      <c r="P373" s="101"/>
      <c r="Q373" s="101"/>
      <c r="R373" s="106" t="str">
        <f>IF(Table2[[#This Row],[Defect Classification]]="","",IF(Table2[[#This Row],[Defect Classification]]="Internal",1,0))</f>
        <v/>
      </c>
      <c r="S373" s="106" t="str">
        <f>IF(Table2[[#This Row],[Defect Classification]]="","",IF(Table2[[#This Row],[Defect Classification]]="External",1,0))</f>
        <v/>
      </c>
      <c r="T373" s="100"/>
      <c r="U373" s="101"/>
      <c r="V373" s="100"/>
      <c r="W373" s="101"/>
      <c r="X373" s="101"/>
      <c r="Y373" s="101"/>
      <c r="Z373" s="101"/>
      <c r="AA373" s="112" t="str">
        <f>IF(ISNA(VLOOKUP(Table2[[#This Row],[Task ID]],Table1[],17,FALSE)),"",VLOOKUP(Table2[[#This Row],[Task ID]],Table1[],17,FALSE))</f>
        <v/>
      </c>
      <c r="AB373" s="115" t="str">
        <f>IF(Table2[[#This Row],[Defect Detected On Date ]]="","",TEXT(Table2[[#This Row],[Defect Detected On Date ]],"mmm"))</f>
        <v/>
      </c>
      <c r="AE373" s="63"/>
    </row>
    <row r="374" spans="2:31">
      <c r="B374" s="100"/>
      <c r="C374" s="100"/>
      <c r="D374" s="101"/>
      <c r="E374" s="101"/>
      <c r="F374" s="101"/>
      <c r="G374" s="102"/>
      <c r="H374" s="101"/>
      <c r="I374" s="101"/>
      <c r="J374" s="101"/>
      <c r="K374" s="101"/>
      <c r="L374" s="101"/>
      <c r="M374" s="101"/>
      <c r="N374" s="100"/>
      <c r="O374" s="100"/>
      <c r="P374" s="101"/>
      <c r="Q374" s="101"/>
      <c r="R374" s="106" t="str">
        <f>IF(Table2[[#This Row],[Defect Classification]]="","",IF(Table2[[#This Row],[Defect Classification]]="Internal",1,0))</f>
        <v/>
      </c>
      <c r="S374" s="106" t="str">
        <f>IF(Table2[[#This Row],[Defect Classification]]="","",IF(Table2[[#This Row],[Defect Classification]]="External",1,0))</f>
        <v/>
      </c>
      <c r="T374" s="100"/>
      <c r="U374" s="101"/>
      <c r="V374" s="100"/>
      <c r="W374" s="101"/>
      <c r="X374" s="101"/>
      <c r="Y374" s="101"/>
      <c r="Z374" s="101"/>
      <c r="AA374" s="112" t="str">
        <f>IF(ISNA(VLOOKUP(Table2[[#This Row],[Task ID]],Table1[],17,FALSE)),"",VLOOKUP(Table2[[#This Row],[Task ID]],Table1[],17,FALSE))</f>
        <v/>
      </c>
      <c r="AB374" s="115" t="str">
        <f>IF(Table2[[#This Row],[Defect Detected On Date ]]="","",TEXT(Table2[[#This Row],[Defect Detected On Date ]],"mmm"))</f>
        <v/>
      </c>
      <c r="AE374" s="63"/>
    </row>
    <row r="375" spans="2:31">
      <c r="B375" s="100"/>
      <c r="C375" s="100"/>
      <c r="D375" s="101"/>
      <c r="E375" s="101"/>
      <c r="F375" s="101"/>
      <c r="G375" s="102"/>
      <c r="H375" s="101"/>
      <c r="I375" s="101"/>
      <c r="J375" s="101"/>
      <c r="K375" s="101"/>
      <c r="L375" s="101"/>
      <c r="M375" s="101"/>
      <c r="N375" s="100"/>
      <c r="O375" s="100"/>
      <c r="P375" s="101"/>
      <c r="Q375" s="101"/>
      <c r="R375" s="106" t="str">
        <f>IF(Table2[[#This Row],[Defect Classification]]="","",IF(Table2[[#This Row],[Defect Classification]]="Internal",1,0))</f>
        <v/>
      </c>
      <c r="S375" s="106" t="str">
        <f>IF(Table2[[#This Row],[Defect Classification]]="","",IF(Table2[[#This Row],[Defect Classification]]="External",1,0))</f>
        <v/>
      </c>
      <c r="T375" s="100"/>
      <c r="U375" s="101"/>
      <c r="V375" s="100"/>
      <c r="W375" s="101"/>
      <c r="X375" s="101"/>
      <c r="Y375" s="101"/>
      <c r="Z375" s="101"/>
      <c r="AA375" s="112" t="str">
        <f>IF(ISNA(VLOOKUP(Table2[[#This Row],[Task ID]],Table1[],17,FALSE)),"",VLOOKUP(Table2[[#This Row],[Task ID]],Table1[],17,FALSE))</f>
        <v/>
      </c>
      <c r="AB375" s="115" t="str">
        <f>IF(Table2[[#This Row],[Defect Detected On Date ]]="","",TEXT(Table2[[#This Row],[Defect Detected On Date ]],"mmm"))</f>
        <v/>
      </c>
      <c r="AE375" s="63"/>
    </row>
    <row r="376" spans="2:31">
      <c r="B376" s="100"/>
      <c r="C376" s="100"/>
      <c r="D376" s="101"/>
      <c r="E376" s="101"/>
      <c r="F376" s="101"/>
      <c r="G376" s="102"/>
      <c r="H376" s="101"/>
      <c r="I376" s="101"/>
      <c r="J376" s="101"/>
      <c r="K376" s="101"/>
      <c r="L376" s="101"/>
      <c r="M376" s="101"/>
      <c r="N376" s="100"/>
      <c r="O376" s="100"/>
      <c r="P376" s="101"/>
      <c r="Q376" s="101"/>
      <c r="R376" s="106" t="str">
        <f>IF(Table2[[#This Row],[Defect Classification]]="","",IF(Table2[[#This Row],[Defect Classification]]="Internal",1,0))</f>
        <v/>
      </c>
      <c r="S376" s="106" t="str">
        <f>IF(Table2[[#This Row],[Defect Classification]]="","",IF(Table2[[#This Row],[Defect Classification]]="External",1,0))</f>
        <v/>
      </c>
      <c r="T376" s="100"/>
      <c r="U376" s="101"/>
      <c r="V376" s="100"/>
      <c r="W376" s="101"/>
      <c r="X376" s="101"/>
      <c r="Y376" s="101"/>
      <c r="Z376" s="101"/>
      <c r="AA376" s="112" t="str">
        <f>IF(ISNA(VLOOKUP(Table2[[#This Row],[Task ID]],Table1[],17,FALSE)),"",VLOOKUP(Table2[[#This Row],[Task ID]],Table1[],17,FALSE))</f>
        <v/>
      </c>
      <c r="AB376" s="115" t="str">
        <f>IF(Table2[[#This Row],[Defect Detected On Date ]]="","",TEXT(Table2[[#This Row],[Defect Detected On Date ]],"mmm"))</f>
        <v/>
      </c>
      <c r="AE376" s="63"/>
    </row>
    <row r="377" spans="2:31">
      <c r="B377" s="100"/>
      <c r="C377" s="100"/>
      <c r="D377" s="101"/>
      <c r="E377" s="101"/>
      <c r="F377" s="101"/>
      <c r="G377" s="102"/>
      <c r="H377" s="101"/>
      <c r="I377" s="101"/>
      <c r="J377" s="101"/>
      <c r="K377" s="101"/>
      <c r="L377" s="101"/>
      <c r="M377" s="101"/>
      <c r="N377" s="100"/>
      <c r="O377" s="100"/>
      <c r="P377" s="101"/>
      <c r="Q377" s="101"/>
      <c r="R377" s="106" t="str">
        <f>IF(Table2[[#This Row],[Defect Classification]]="","",IF(Table2[[#This Row],[Defect Classification]]="Internal",1,0))</f>
        <v/>
      </c>
      <c r="S377" s="106" t="str">
        <f>IF(Table2[[#This Row],[Defect Classification]]="","",IF(Table2[[#This Row],[Defect Classification]]="External",1,0))</f>
        <v/>
      </c>
      <c r="T377" s="100"/>
      <c r="U377" s="101"/>
      <c r="V377" s="100"/>
      <c r="W377" s="101"/>
      <c r="X377" s="101"/>
      <c r="Y377" s="101"/>
      <c r="Z377" s="101"/>
      <c r="AA377" s="112" t="str">
        <f>IF(ISNA(VLOOKUP(Table2[[#This Row],[Task ID]],Table1[],17,FALSE)),"",VLOOKUP(Table2[[#This Row],[Task ID]],Table1[],17,FALSE))</f>
        <v/>
      </c>
      <c r="AB377" s="115" t="str">
        <f>IF(Table2[[#This Row],[Defect Detected On Date ]]="","",TEXT(Table2[[#This Row],[Defect Detected On Date ]],"mmm"))</f>
        <v/>
      </c>
      <c r="AE377" s="63"/>
    </row>
    <row r="378" spans="2:31">
      <c r="B378" s="100"/>
      <c r="C378" s="100"/>
      <c r="D378" s="101"/>
      <c r="E378" s="101"/>
      <c r="F378" s="101"/>
      <c r="G378" s="102"/>
      <c r="H378" s="101"/>
      <c r="I378" s="101"/>
      <c r="J378" s="101"/>
      <c r="K378" s="101"/>
      <c r="L378" s="101"/>
      <c r="M378" s="101"/>
      <c r="N378" s="100"/>
      <c r="O378" s="100"/>
      <c r="P378" s="101"/>
      <c r="Q378" s="101"/>
      <c r="R378" s="106" t="str">
        <f>IF(Table2[[#This Row],[Defect Classification]]="","",IF(Table2[[#This Row],[Defect Classification]]="Internal",1,0))</f>
        <v/>
      </c>
      <c r="S378" s="106" t="str">
        <f>IF(Table2[[#This Row],[Defect Classification]]="","",IF(Table2[[#This Row],[Defect Classification]]="External",1,0))</f>
        <v/>
      </c>
      <c r="T378" s="100"/>
      <c r="U378" s="101"/>
      <c r="V378" s="100"/>
      <c r="W378" s="101"/>
      <c r="X378" s="101"/>
      <c r="Y378" s="101"/>
      <c r="Z378" s="101"/>
      <c r="AA378" s="112" t="str">
        <f>IF(ISNA(VLOOKUP(Table2[[#This Row],[Task ID]],Table1[],17,FALSE)),"",VLOOKUP(Table2[[#This Row],[Task ID]],Table1[],17,FALSE))</f>
        <v/>
      </c>
      <c r="AB378" s="115" t="str">
        <f>IF(Table2[[#This Row],[Defect Detected On Date ]]="","",TEXT(Table2[[#This Row],[Defect Detected On Date ]],"mmm"))</f>
        <v/>
      </c>
      <c r="AE378" s="63"/>
    </row>
    <row r="379" spans="2:31">
      <c r="B379" s="100"/>
      <c r="C379" s="100"/>
      <c r="D379" s="101"/>
      <c r="E379" s="101"/>
      <c r="F379" s="101"/>
      <c r="G379" s="102"/>
      <c r="H379" s="101"/>
      <c r="I379" s="101"/>
      <c r="J379" s="101"/>
      <c r="K379" s="101"/>
      <c r="L379" s="101"/>
      <c r="M379" s="101"/>
      <c r="N379" s="100"/>
      <c r="O379" s="100"/>
      <c r="P379" s="101"/>
      <c r="Q379" s="101"/>
      <c r="R379" s="106" t="str">
        <f>IF(Table2[[#This Row],[Defect Classification]]="","",IF(Table2[[#This Row],[Defect Classification]]="Internal",1,0))</f>
        <v/>
      </c>
      <c r="S379" s="106" t="str">
        <f>IF(Table2[[#This Row],[Defect Classification]]="","",IF(Table2[[#This Row],[Defect Classification]]="External",1,0))</f>
        <v/>
      </c>
      <c r="T379" s="100"/>
      <c r="U379" s="101"/>
      <c r="V379" s="100"/>
      <c r="W379" s="101"/>
      <c r="X379" s="101"/>
      <c r="Y379" s="101"/>
      <c r="Z379" s="101"/>
      <c r="AA379" s="112" t="str">
        <f>IF(ISNA(VLOOKUP(Table2[[#This Row],[Task ID]],Table1[],17,FALSE)),"",VLOOKUP(Table2[[#This Row],[Task ID]],Table1[],17,FALSE))</f>
        <v/>
      </c>
      <c r="AB379" s="115" t="str">
        <f>IF(Table2[[#This Row],[Defect Detected On Date ]]="","",TEXT(Table2[[#This Row],[Defect Detected On Date ]],"mmm"))</f>
        <v/>
      </c>
      <c r="AE379" s="63"/>
    </row>
    <row r="380" spans="2:31">
      <c r="B380" s="100"/>
      <c r="C380" s="100"/>
      <c r="D380" s="101"/>
      <c r="E380" s="101"/>
      <c r="F380" s="101"/>
      <c r="G380" s="102"/>
      <c r="H380" s="101"/>
      <c r="I380" s="101"/>
      <c r="J380" s="101"/>
      <c r="K380" s="101"/>
      <c r="L380" s="101"/>
      <c r="M380" s="101"/>
      <c r="N380" s="100"/>
      <c r="O380" s="100"/>
      <c r="P380" s="101"/>
      <c r="Q380" s="101"/>
      <c r="R380" s="106" t="str">
        <f>IF(Table2[[#This Row],[Defect Classification]]="","",IF(Table2[[#This Row],[Defect Classification]]="Internal",1,0))</f>
        <v/>
      </c>
      <c r="S380" s="106" t="str">
        <f>IF(Table2[[#This Row],[Defect Classification]]="","",IF(Table2[[#This Row],[Defect Classification]]="External",1,0))</f>
        <v/>
      </c>
      <c r="T380" s="100"/>
      <c r="U380" s="101"/>
      <c r="V380" s="100"/>
      <c r="W380" s="101"/>
      <c r="X380" s="101"/>
      <c r="Y380" s="101"/>
      <c r="Z380" s="101"/>
      <c r="AA380" s="112" t="str">
        <f>IF(ISNA(VLOOKUP(Table2[[#This Row],[Task ID]],Table1[],17,FALSE)),"",VLOOKUP(Table2[[#This Row],[Task ID]],Table1[],17,FALSE))</f>
        <v/>
      </c>
      <c r="AB380" s="115" t="str">
        <f>IF(Table2[[#This Row],[Defect Detected On Date ]]="","",TEXT(Table2[[#This Row],[Defect Detected On Date ]],"mmm"))</f>
        <v/>
      </c>
      <c r="AE380" s="63"/>
    </row>
    <row r="381" spans="2:31">
      <c r="B381" s="100"/>
      <c r="C381" s="100"/>
      <c r="D381" s="101"/>
      <c r="E381" s="101"/>
      <c r="F381" s="101"/>
      <c r="G381" s="102"/>
      <c r="H381" s="101"/>
      <c r="I381" s="101"/>
      <c r="J381" s="101"/>
      <c r="K381" s="101"/>
      <c r="L381" s="101"/>
      <c r="M381" s="101"/>
      <c r="N381" s="100"/>
      <c r="O381" s="100"/>
      <c r="P381" s="101"/>
      <c r="Q381" s="101"/>
      <c r="R381" s="106" t="str">
        <f>IF(Table2[[#This Row],[Defect Classification]]="","",IF(Table2[[#This Row],[Defect Classification]]="Internal",1,0))</f>
        <v/>
      </c>
      <c r="S381" s="106" t="str">
        <f>IF(Table2[[#This Row],[Defect Classification]]="","",IF(Table2[[#This Row],[Defect Classification]]="External",1,0))</f>
        <v/>
      </c>
      <c r="T381" s="100"/>
      <c r="U381" s="101"/>
      <c r="V381" s="100"/>
      <c r="W381" s="101"/>
      <c r="X381" s="101"/>
      <c r="Y381" s="101"/>
      <c r="Z381" s="101"/>
      <c r="AA381" s="112" t="str">
        <f>IF(ISNA(VLOOKUP(Table2[[#This Row],[Task ID]],Table1[],17,FALSE)),"",VLOOKUP(Table2[[#This Row],[Task ID]],Table1[],17,FALSE))</f>
        <v/>
      </c>
      <c r="AB381" s="115" t="str">
        <f>IF(Table2[[#This Row],[Defect Detected On Date ]]="","",TEXT(Table2[[#This Row],[Defect Detected On Date ]],"mmm"))</f>
        <v/>
      </c>
      <c r="AE381" s="63"/>
    </row>
    <row r="382" spans="2:31">
      <c r="B382" s="100"/>
      <c r="C382" s="100"/>
      <c r="D382" s="101"/>
      <c r="E382" s="101"/>
      <c r="F382" s="101"/>
      <c r="G382" s="102"/>
      <c r="H382" s="101"/>
      <c r="I382" s="101"/>
      <c r="J382" s="101"/>
      <c r="K382" s="101"/>
      <c r="L382" s="101"/>
      <c r="M382" s="101"/>
      <c r="N382" s="100"/>
      <c r="O382" s="100"/>
      <c r="P382" s="101"/>
      <c r="Q382" s="101"/>
      <c r="R382" s="106" t="str">
        <f>IF(Table2[[#This Row],[Defect Classification]]="","",IF(Table2[[#This Row],[Defect Classification]]="Internal",1,0))</f>
        <v/>
      </c>
      <c r="S382" s="106" t="str">
        <f>IF(Table2[[#This Row],[Defect Classification]]="","",IF(Table2[[#This Row],[Defect Classification]]="External",1,0))</f>
        <v/>
      </c>
      <c r="T382" s="100"/>
      <c r="U382" s="101"/>
      <c r="V382" s="100"/>
      <c r="W382" s="101"/>
      <c r="X382" s="101"/>
      <c r="Y382" s="101"/>
      <c r="Z382" s="101"/>
      <c r="AA382" s="112" t="str">
        <f>IF(ISNA(VLOOKUP(Table2[[#This Row],[Task ID]],Table1[],17,FALSE)),"",VLOOKUP(Table2[[#This Row],[Task ID]],Table1[],17,FALSE))</f>
        <v/>
      </c>
      <c r="AB382" s="115" t="str">
        <f>IF(Table2[[#This Row],[Defect Detected On Date ]]="","",TEXT(Table2[[#This Row],[Defect Detected On Date ]],"mmm"))</f>
        <v/>
      </c>
      <c r="AE382" s="63"/>
    </row>
    <row r="383" spans="2:31">
      <c r="B383" s="100"/>
      <c r="C383" s="100"/>
      <c r="D383" s="101"/>
      <c r="E383" s="101"/>
      <c r="F383" s="101"/>
      <c r="G383" s="102"/>
      <c r="H383" s="101"/>
      <c r="I383" s="101"/>
      <c r="J383" s="101"/>
      <c r="K383" s="101"/>
      <c r="L383" s="101"/>
      <c r="M383" s="101"/>
      <c r="N383" s="100"/>
      <c r="O383" s="100"/>
      <c r="P383" s="101"/>
      <c r="Q383" s="101"/>
      <c r="R383" s="106" t="str">
        <f>IF(Table2[[#This Row],[Defect Classification]]="","",IF(Table2[[#This Row],[Defect Classification]]="Internal",1,0))</f>
        <v/>
      </c>
      <c r="S383" s="106" t="str">
        <f>IF(Table2[[#This Row],[Defect Classification]]="","",IF(Table2[[#This Row],[Defect Classification]]="External",1,0))</f>
        <v/>
      </c>
      <c r="T383" s="100"/>
      <c r="U383" s="101"/>
      <c r="V383" s="100"/>
      <c r="W383" s="101"/>
      <c r="X383" s="101"/>
      <c r="Y383" s="101"/>
      <c r="Z383" s="101"/>
      <c r="AA383" s="112" t="str">
        <f>IF(ISNA(VLOOKUP(Table2[[#This Row],[Task ID]],Table1[],17,FALSE)),"",VLOOKUP(Table2[[#This Row],[Task ID]],Table1[],17,FALSE))</f>
        <v/>
      </c>
      <c r="AB383" s="115" t="str">
        <f>IF(Table2[[#This Row],[Defect Detected On Date ]]="","",TEXT(Table2[[#This Row],[Defect Detected On Date ]],"mmm"))</f>
        <v/>
      </c>
      <c r="AE383" s="63"/>
    </row>
    <row r="384" spans="2:31">
      <c r="B384" s="100"/>
      <c r="C384" s="100"/>
      <c r="D384" s="101"/>
      <c r="E384" s="101"/>
      <c r="F384" s="101"/>
      <c r="G384" s="102"/>
      <c r="H384" s="101"/>
      <c r="I384" s="101"/>
      <c r="J384" s="101"/>
      <c r="K384" s="101"/>
      <c r="L384" s="101"/>
      <c r="M384" s="101"/>
      <c r="N384" s="100"/>
      <c r="O384" s="100"/>
      <c r="P384" s="101"/>
      <c r="Q384" s="101"/>
      <c r="R384" s="106" t="str">
        <f>IF(Table2[[#This Row],[Defect Classification]]="","",IF(Table2[[#This Row],[Defect Classification]]="Internal",1,0))</f>
        <v/>
      </c>
      <c r="S384" s="106" t="str">
        <f>IF(Table2[[#This Row],[Defect Classification]]="","",IF(Table2[[#This Row],[Defect Classification]]="External",1,0))</f>
        <v/>
      </c>
      <c r="T384" s="100"/>
      <c r="U384" s="101"/>
      <c r="V384" s="100"/>
      <c r="W384" s="101"/>
      <c r="X384" s="101"/>
      <c r="Y384" s="101"/>
      <c r="Z384" s="101"/>
      <c r="AA384" s="112" t="str">
        <f>IF(ISNA(VLOOKUP(Table2[[#This Row],[Task ID]],Table1[],17,FALSE)),"",VLOOKUP(Table2[[#This Row],[Task ID]],Table1[],17,FALSE))</f>
        <v/>
      </c>
      <c r="AB384" s="115" t="str">
        <f>IF(Table2[[#This Row],[Defect Detected On Date ]]="","",TEXT(Table2[[#This Row],[Defect Detected On Date ]],"mmm"))</f>
        <v/>
      </c>
      <c r="AE384" s="63"/>
    </row>
    <row r="385" spans="2:31">
      <c r="B385" s="100"/>
      <c r="C385" s="100"/>
      <c r="D385" s="101"/>
      <c r="E385" s="101"/>
      <c r="F385" s="101"/>
      <c r="G385" s="102"/>
      <c r="H385" s="101"/>
      <c r="I385" s="101"/>
      <c r="J385" s="101"/>
      <c r="K385" s="101"/>
      <c r="L385" s="101"/>
      <c r="M385" s="101"/>
      <c r="N385" s="100"/>
      <c r="O385" s="100"/>
      <c r="P385" s="101"/>
      <c r="Q385" s="101"/>
      <c r="R385" s="106" t="str">
        <f>IF(Table2[[#This Row],[Defect Classification]]="","",IF(Table2[[#This Row],[Defect Classification]]="Internal",1,0))</f>
        <v/>
      </c>
      <c r="S385" s="106" t="str">
        <f>IF(Table2[[#This Row],[Defect Classification]]="","",IF(Table2[[#This Row],[Defect Classification]]="External",1,0))</f>
        <v/>
      </c>
      <c r="T385" s="100"/>
      <c r="U385" s="101"/>
      <c r="V385" s="100"/>
      <c r="W385" s="101"/>
      <c r="X385" s="101"/>
      <c r="Y385" s="101"/>
      <c r="Z385" s="101"/>
      <c r="AA385" s="112" t="str">
        <f>IF(ISNA(VLOOKUP(Table2[[#This Row],[Task ID]],Table1[],17,FALSE)),"",VLOOKUP(Table2[[#This Row],[Task ID]],Table1[],17,FALSE))</f>
        <v/>
      </c>
      <c r="AB385" s="115" t="str">
        <f>IF(Table2[[#This Row],[Defect Detected On Date ]]="","",TEXT(Table2[[#This Row],[Defect Detected On Date ]],"mmm"))</f>
        <v/>
      </c>
      <c r="AE385" s="63"/>
    </row>
    <row r="386" spans="2:31">
      <c r="B386" s="100"/>
      <c r="C386" s="100"/>
      <c r="D386" s="101"/>
      <c r="E386" s="101"/>
      <c r="F386" s="101"/>
      <c r="G386" s="102"/>
      <c r="H386" s="101"/>
      <c r="I386" s="101"/>
      <c r="J386" s="101"/>
      <c r="K386" s="101"/>
      <c r="L386" s="101"/>
      <c r="M386" s="101"/>
      <c r="N386" s="100"/>
      <c r="O386" s="100"/>
      <c r="P386" s="101"/>
      <c r="Q386" s="101"/>
      <c r="R386" s="106" t="str">
        <f>IF(Table2[[#This Row],[Defect Classification]]="","",IF(Table2[[#This Row],[Defect Classification]]="Internal",1,0))</f>
        <v/>
      </c>
      <c r="S386" s="106" t="str">
        <f>IF(Table2[[#This Row],[Defect Classification]]="","",IF(Table2[[#This Row],[Defect Classification]]="External",1,0))</f>
        <v/>
      </c>
      <c r="T386" s="100"/>
      <c r="U386" s="101"/>
      <c r="V386" s="100"/>
      <c r="W386" s="101"/>
      <c r="X386" s="101"/>
      <c r="Y386" s="101"/>
      <c r="Z386" s="101"/>
      <c r="AA386" s="112" t="str">
        <f>IF(ISNA(VLOOKUP(Table2[[#This Row],[Task ID]],Table1[],17,FALSE)),"",VLOOKUP(Table2[[#This Row],[Task ID]],Table1[],17,FALSE))</f>
        <v/>
      </c>
      <c r="AB386" s="115" t="str">
        <f>IF(Table2[[#This Row],[Defect Detected On Date ]]="","",TEXT(Table2[[#This Row],[Defect Detected On Date ]],"mmm"))</f>
        <v/>
      </c>
      <c r="AE386" s="63"/>
    </row>
    <row r="387" spans="2:31">
      <c r="B387" s="100"/>
      <c r="C387" s="100"/>
      <c r="D387" s="101"/>
      <c r="E387" s="101"/>
      <c r="F387" s="101"/>
      <c r="G387" s="102"/>
      <c r="H387" s="101"/>
      <c r="I387" s="101"/>
      <c r="J387" s="101"/>
      <c r="K387" s="101"/>
      <c r="L387" s="101"/>
      <c r="M387" s="101"/>
      <c r="N387" s="100"/>
      <c r="O387" s="100"/>
      <c r="P387" s="101"/>
      <c r="Q387" s="101"/>
      <c r="R387" s="106" t="str">
        <f>IF(Table2[[#This Row],[Defect Classification]]="","",IF(Table2[[#This Row],[Defect Classification]]="Internal",1,0))</f>
        <v/>
      </c>
      <c r="S387" s="106" t="str">
        <f>IF(Table2[[#This Row],[Defect Classification]]="","",IF(Table2[[#This Row],[Defect Classification]]="External",1,0))</f>
        <v/>
      </c>
      <c r="T387" s="100"/>
      <c r="U387" s="101"/>
      <c r="V387" s="100"/>
      <c r="W387" s="101"/>
      <c r="X387" s="101"/>
      <c r="Y387" s="101"/>
      <c r="Z387" s="101"/>
      <c r="AA387" s="112" t="str">
        <f>IF(ISNA(VLOOKUP(Table2[[#This Row],[Task ID]],Table1[],17,FALSE)),"",VLOOKUP(Table2[[#This Row],[Task ID]],Table1[],17,FALSE))</f>
        <v/>
      </c>
      <c r="AB387" s="115" t="str">
        <f>IF(Table2[[#This Row],[Defect Detected On Date ]]="","",TEXT(Table2[[#This Row],[Defect Detected On Date ]],"mmm"))</f>
        <v/>
      </c>
      <c r="AE387" s="63"/>
    </row>
    <row r="388" spans="2:31">
      <c r="B388" s="100"/>
      <c r="C388" s="100"/>
      <c r="D388" s="101"/>
      <c r="E388" s="101"/>
      <c r="F388" s="101"/>
      <c r="G388" s="102"/>
      <c r="H388" s="101"/>
      <c r="I388" s="101"/>
      <c r="J388" s="101"/>
      <c r="K388" s="101"/>
      <c r="L388" s="101"/>
      <c r="M388" s="101"/>
      <c r="N388" s="100"/>
      <c r="O388" s="100"/>
      <c r="P388" s="101"/>
      <c r="Q388" s="101"/>
      <c r="R388" s="106" t="str">
        <f>IF(Table2[[#This Row],[Defect Classification]]="","",IF(Table2[[#This Row],[Defect Classification]]="Internal",1,0))</f>
        <v/>
      </c>
      <c r="S388" s="106" t="str">
        <f>IF(Table2[[#This Row],[Defect Classification]]="","",IF(Table2[[#This Row],[Defect Classification]]="External",1,0))</f>
        <v/>
      </c>
      <c r="T388" s="100"/>
      <c r="U388" s="101"/>
      <c r="V388" s="100"/>
      <c r="W388" s="101"/>
      <c r="X388" s="101"/>
      <c r="Y388" s="101"/>
      <c r="Z388" s="101"/>
      <c r="AA388" s="112" t="str">
        <f>IF(ISNA(VLOOKUP(Table2[[#This Row],[Task ID]],Table1[],17,FALSE)),"",VLOOKUP(Table2[[#This Row],[Task ID]],Table1[],17,FALSE))</f>
        <v/>
      </c>
      <c r="AB388" s="115" t="str">
        <f>IF(Table2[[#This Row],[Defect Detected On Date ]]="","",TEXT(Table2[[#This Row],[Defect Detected On Date ]],"mmm"))</f>
        <v/>
      </c>
      <c r="AE388" s="63"/>
    </row>
    <row r="389" spans="2:31">
      <c r="B389" s="100"/>
      <c r="C389" s="100"/>
      <c r="D389" s="101"/>
      <c r="E389" s="101"/>
      <c r="F389" s="101"/>
      <c r="G389" s="102"/>
      <c r="H389" s="101"/>
      <c r="I389" s="101"/>
      <c r="J389" s="101"/>
      <c r="K389" s="101"/>
      <c r="L389" s="101"/>
      <c r="M389" s="101"/>
      <c r="N389" s="100"/>
      <c r="O389" s="100"/>
      <c r="P389" s="101"/>
      <c r="Q389" s="101"/>
      <c r="R389" s="106" t="str">
        <f>IF(Table2[[#This Row],[Defect Classification]]="","",IF(Table2[[#This Row],[Defect Classification]]="Internal",1,0))</f>
        <v/>
      </c>
      <c r="S389" s="106" t="str">
        <f>IF(Table2[[#This Row],[Defect Classification]]="","",IF(Table2[[#This Row],[Defect Classification]]="External",1,0))</f>
        <v/>
      </c>
      <c r="T389" s="100"/>
      <c r="U389" s="101"/>
      <c r="V389" s="100"/>
      <c r="W389" s="101"/>
      <c r="X389" s="101"/>
      <c r="Y389" s="101"/>
      <c r="Z389" s="101"/>
      <c r="AA389" s="112" t="str">
        <f>IF(ISNA(VLOOKUP(Table2[[#This Row],[Task ID]],Table1[],17,FALSE)),"",VLOOKUP(Table2[[#This Row],[Task ID]],Table1[],17,FALSE))</f>
        <v/>
      </c>
      <c r="AB389" s="115" t="str">
        <f>IF(Table2[[#This Row],[Defect Detected On Date ]]="","",TEXT(Table2[[#This Row],[Defect Detected On Date ]],"mmm"))</f>
        <v/>
      </c>
      <c r="AE389" s="63"/>
    </row>
    <row r="390" spans="2:31">
      <c r="B390" s="100"/>
      <c r="C390" s="100"/>
      <c r="D390" s="101"/>
      <c r="E390" s="101"/>
      <c r="F390" s="101"/>
      <c r="G390" s="102"/>
      <c r="H390" s="101"/>
      <c r="I390" s="101"/>
      <c r="J390" s="101"/>
      <c r="K390" s="101"/>
      <c r="L390" s="101"/>
      <c r="M390" s="101"/>
      <c r="N390" s="100"/>
      <c r="O390" s="100"/>
      <c r="P390" s="101"/>
      <c r="Q390" s="101"/>
      <c r="R390" s="106" t="str">
        <f>IF(Table2[[#This Row],[Defect Classification]]="","",IF(Table2[[#This Row],[Defect Classification]]="Internal",1,0))</f>
        <v/>
      </c>
      <c r="S390" s="106" t="str">
        <f>IF(Table2[[#This Row],[Defect Classification]]="","",IF(Table2[[#This Row],[Defect Classification]]="External",1,0))</f>
        <v/>
      </c>
      <c r="T390" s="100"/>
      <c r="U390" s="101"/>
      <c r="V390" s="100"/>
      <c r="W390" s="101"/>
      <c r="X390" s="101"/>
      <c r="Y390" s="101"/>
      <c r="Z390" s="101"/>
      <c r="AA390" s="112" t="str">
        <f>IF(ISNA(VLOOKUP(Table2[[#This Row],[Task ID]],Table1[],17,FALSE)),"",VLOOKUP(Table2[[#This Row],[Task ID]],Table1[],17,FALSE))</f>
        <v/>
      </c>
      <c r="AB390" s="115" t="str">
        <f>IF(Table2[[#This Row],[Defect Detected On Date ]]="","",TEXT(Table2[[#This Row],[Defect Detected On Date ]],"mmm"))</f>
        <v/>
      </c>
      <c r="AE390" s="63"/>
    </row>
    <row r="391" spans="2:31">
      <c r="B391" s="100"/>
      <c r="C391" s="100"/>
      <c r="D391" s="101"/>
      <c r="E391" s="101"/>
      <c r="F391" s="101"/>
      <c r="G391" s="102"/>
      <c r="H391" s="101"/>
      <c r="I391" s="101"/>
      <c r="J391" s="101"/>
      <c r="K391" s="101"/>
      <c r="L391" s="101"/>
      <c r="M391" s="101"/>
      <c r="N391" s="100"/>
      <c r="O391" s="100"/>
      <c r="P391" s="101"/>
      <c r="Q391" s="101"/>
      <c r="R391" s="106" t="str">
        <f>IF(Table2[[#This Row],[Defect Classification]]="","",IF(Table2[[#This Row],[Defect Classification]]="Internal",1,0))</f>
        <v/>
      </c>
      <c r="S391" s="106" t="str">
        <f>IF(Table2[[#This Row],[Defect Classification]]="","",IF(Table2[[#This Row],[Defect Classification]]="External",1,0))</f>
        <v/>
      </c>
      <c r="T391" s="100"/>
      <c r="U391" s="101"/>
      <c r="V391" s="100"/>
      <c r="W391" s="101"/>
      <c r="X391" s="101"/>
      <c r="Y391" s="101"/>
      <c r="Z391" s="101"/>
      <c r="AA391" s="112" t="str">
        <f>IF(ISNA(VLOOKUP(Table2[[#This Row],[Task ID]],Table1[],17,FALSE)),"",VLOOKUP(Table2[[#This Row],[Task ID]],Table1[],17,FALSE))</f>
        <v/>
      </c>
      <c r="AB391" s="115" t="str">
        <f>IF(Table2[[#This Row],[Defect Detected On Date ]]="","",TEXT(Table2[[#This Row],[Defect Detected On Date ]],"mmm"))</f>
        <v/>
      </c>
      <c r="AE391" s="63"/>
    </row>
    <row r="392" spans="2:31">
      <c r="B392" s="100"/>
      <c r="C392" s="100"/>
      <c r="D392" s="101"/>
      <c r="E392" s="101"/>
      <c r="F392" s="101"/>
      <c r="G392" s="102"/>
      <c r="H392" s="101"/>
      <c r="I392" s="101"/>
      <c r="J392" s="101"/>
      <c r="K392" s="101"/>
      <c r="L392" s="101"/>
      <c r="M392" s="101"/>
      <c r="N392" s="100"/>
      <c r="O392" s="100"/>
      <c r="P392" s="101"/>
      <c r="Q392" s="101"/>
      <c r="R392" s="106" t="str">
        <f>IF(Table2[[#This Row],[Defect Classification]]="","",IF(Table2[[#This Row],[Defect Classification]]="Internal",1,0))</f>
        <v/>
      </c>
      <c r="S392" s="106" t="str">
        <f>IF(Table2[[#This Row],[Defect Classification]]="","",IF(Table2[[#This Row],[Defect Classification]]="External",1,0))</f>
        <v/>
      </c>
      <c r="T392" s="100"/>
      <c r="U392" s="101"/>
      <c r="V392" s="100"/>
      <c r="W392" s="101"/>
      <c r="X392" s="101"/>
      <c r="Y392" s="101"/>
      <c r="Z392" s="101"/>
      <c r="AA392" s="112" t="str">
        <f>IF(ISNA(VLOOKUP(Table2[[#This Row],[Task ID]],Table1[],17,FALSE)),"",VLOOKUP(Table2[[#This Row],[Task ID]],Table1[],17,FALSE))</f>
        <v/>
      </c>
      <c r="AB392" s="115" t="str">
        <f>IF(Table2[[#This Row],[Defect Detected On Date ]]="","",TEXT(Table2[[#This Row],[Defect Detected On Date ]],"mmm"))</f>
        <v/>
      </c>
      <c r="AE392" s="63"/>
    </row>
    <row r="393" spans="2:31">
      <c r="B393" s="100"/>
      <c r="C393" s="100"/>
      <c r="D393" s="101"/>
      <c r="E393" s="101"/>
      <c r="F393" s="101"/>
      <c r="G393" s="102"/>
      <c r="H393" s="101"/>
      <c r="I393" s="101"/>
      <c r="J393" s="101"/>
      <c r="K393" s="101"/>
      <c r="L393" s="101"/>
      <c r="M393" s="101"/>
      <c r="N393" s="100"/>
      <c r="O393" s="100"/>
      <c r="P393" s="101"/>
      <c r="Q393" s="101"/>
      <c r="R393" s="106" t="str">
        <f>IF(Table2[[#This Row],[Defect Classification]]="","",IF(Table2[[#This Row],[Defect Classification]]="Internal",1,0))</f>
        <v/>
      </c>
      <c r="S393" s="106" t="str">
        <f>IF(Table2[[#This Row],[Defect Classification]]="","",IF(Table2[[#This Row],[Defect Classification]]="External",1,0))</f>
        <v/>
      </c>
      <c r="T393" s="100"/>
      <c r="U393" s="101"/>
      <c r="V393" s="100"/>
      <c r="W393" s="101"/>
      <c r="X393" s="101"/>
      <c r="Y393" s="101"/>
      <c r="Z393" s="101"/>
      <c r="AA393" s="112" t="str">
        <f>IF(ISNA(VLOOKUP(Table2[[#This Row],[Task ID]],Table1[],17,FALSE)),"",VLOOKUP(Table2[[#This Row],[Task ID]],Table1[],17,FALSE))</f>
        <v/>
      </c>
      <c r="AB393" s="115" t="str">
        <f>IF(Table2[[#This Row],[Defect Detected On Date ]]="","",TEXT(Table2[[#This Row],[Defect Detected On Date ]],"mmm"))</f>
        <v/>
      </c>
      <c r="AE393" s="63"/>
    </row>
    <row r="394" spans="2:31">
      <c r="B394" s="100"/>
      <c r="C394" s="100"/>
      <c r="D394" s="101"/>
      <c r="E394" s="101"/>
      <c r="F394" s="101"/>
      <c r="G394" s="102"/>
      <c r="H394" s="101"/>
      <c r="I394" s="101"/>
      <c r="J394" s="101"/>
      <c r="K394" s="101"/>
      <c r="L394" s="101"/>
      <c r="M394" s="101"/>
      <c r="N394" s="100"/>
      <c r="O394" s="100"/>
      <c r="P394" s="101"/>
      <c r="Q394" s="101"/>
      <c r="R394" s="106" t="str">
        <f>IF(Table2[[#This Row],[Defect Classification]]="","",IF(Table2[[#This Row],[Defect Classification]]="Internal",1,0))</f>
        <v/>
      </c>
      <c r="S394" s="106" t="str">
        <f>IF(Table2[[#This Row],[Defect Classification]]="","",IF(Table2[[#This Row],[Defect Classification]]="External",1,0))</f>
        <v/>
      </c>
      <c r="T394" s="100"/>
      <c r="U394" s="101"/>
      <c r="V394" s="100"/>
      <c r="W394" s="101"/>
      <c r="X394" s="101"/>
      <c r="Y394" s="101"/>
      <c r="Z394" s="101"/>
      <c r="AA394" s="112" t="str">
        <f>IF(ISNA(VLOOKUP(Table2[[#This Row],[Task ID]],Table1[],17,FALSE)),"",VLOOKUP(Table2[[#This Row],[Task ID]],Table1[],17,FALSE))</f>
        <v/>
      </c>
      <c r="AB394" s="115" t="str">
        <f>IF(Table2[[#This Row],[Defect Detected On Date ]]="","",TEXT(Table2[[#This Row],[Defect Detected On Date ]],"mmm"))</f>
        <v/>
      </c>
      <c r="AE394" s="63"/>
    </row>
    <row r="395" spans="2:31">
      <c r="B395" s="100"/>
      <c r="C395" s="100"/>
      <c r="D395" s="101"/>
      <c r="E395" s="101"/>
      <c r="F395" s="101"/>
      <c r="G395" s="102"/>
      <c r="H395" s="101"/>
      <c r="I395" s="101"/>
      <c r="J395" s="101"/>
      <c r="K395" s="101"/>
      <c r="L395" s="101"/>
      <c r="M395" s="101"/>
      <c r="N395" s="100"/>
      <c r="O395" s="100"/>
      <c r="P395" s="101"/>
      <c r="Q395" s="101"/>
      <c r="R395" s="106" t="str">
        <f>IF(Table2[[#This Row],[Defect Classification]]="","",IF(Table2[[#This Row],[Defect Classification]]="Internal",1,0))</f>
        <v/>
      </c>
      <c r="S395" s="106" t="str">
        <f>IF(Table2[[#This Row],[Defect Classification]]="","",IF(Table2[[#This Row],[Defect Classification]]="External",1,0))</f>
        <v/>
      </c>
      <c r="T395" s="100"/>
      <c r="U395" s="101"/>
      <c r="V395" s="100"/>
      <c r="W395" s="101"/>
      <c r="X395" s="101"/>
      <c r="Y395" s="101"/>
      <c r="Z395" s="101"/>
      <c r="AA395" s="112" t="str">
        <f>IF(ISNA(VLOOKUP(Table2[[#This Row],[Task ID]],Table1[],17,FALSE)),"",VLOOKUP(Table2[[#This Row],[Task ID]],Table1[],17,FALSE))</f>
        <v/>
      </c>
      <c r="AB395" s="115" t="str">
        <f>IF(Table2[[#This Row],[Defect Detected On Date ]]="","",TEXT(Table2[[#This Row],[Defect Detected On Date ]],"mmm"))</f>
        <v/>
      </c>
      <c r="AE395" s="63"/>
    </row>
    <row r="396" spans="2:31">
      <c r="B396" s="100"/>
      <c r="C396" s="100"/>
      <c r="D396" s="101"/>
      <c r="E396" s="101"/>
      <c r="F396" s="101"/>
      <c r="G396" s="102"/>
      <c r="H396" s="101"/>
      <c r="I396" s="101"/>
      <c r="J396" s="101"/>
      <c r="K396" s="101"/>
      <c r="L396" s="101"/>
      <c r="M396" s="101"/>
      <c r="N396" s="100"/>
      <c r="O396" s="100"/>
      <c r="P396" s="101"/>
      <c r="Q396" s="101"/>
      <c r="R396" s="106" t="str">
        <f>IF(Table2[[#This Row],[Defect Classification]]="","",IF(Table2[[#This Row],[Defect Classification]]="Internal",1,0))</f>
        <v/>
      </c>
      <c r="S396" s="106" t="str">
        <f>IF(Table2[[#This Row],[Defect Classification]]="","",IF(Table2[[#This Row],[Defect Classification]]="External",1,0))</f>
        <v/>
      </c>
      <c r="T396" s="100"/>
      <c r="U396" s="101"/>
      <c r="V396" s="100"/>
      <c r="W396" s="101"/>
      <c r="X396" s="101"/>
      <c r="Y396" s="101"/>
      <c r="Z396" s="101"/>
      <c r="AA396" s="112" t="str">
        <f>IF(ISNA(VLOOKUP(Table2[[#This Row],[Task ID]],Table1[],17,FALSE)),"",VLOOKUP(Table2[[#This Row],[Task ID]],Table1[],17,FALSE))</f>
        <v/>
      </c>
      <c r="AB396" s="115" t="str">
        <f>IF(Table2[[#This Row],[Defect Detected On Date ]]="","",TEXT(Table2[[#This Row],[Defect Detected On Date ]],"mmm"))</f>
        <v/>
      </c>
      <c r="AE396" s="63"/>
    </row>
    <row r="397" spans="2:31">
      <c r="B397" s="100"/>
      <c r="C397" s="100"/>
      <c r="D397" s="101"/>
      <c r="E397" s="101"/>
      <c r="F397" s="101"/>
      <c r="G397" s="102"/>
      <c r="H397" s="101"/>
      <c r="I397" s="101"/>
      <c r="J397" s="101"/>
      <c r="K397" s="101"/>
      <c r="L397" s="101"/>
      <c r="M397" s="101"/>
      <c r="N397" s="100"/>
      <c r="O397" s="100"/>
      <c r="P397" s="101"/>
      <c r="Q397" s="101"/>
      <c r="R397" s="106" t="str">
        <f>IF(Table2[[#This Row],[Defect Classification]]="","",IF(Table2[[#This Row],[Defect Classification]]="Internal",1,0))</f>
        <v/>
      </c>
      <c r="S397" s="106" t="str">
        <f>IF(Table2[[#This Row],[Defect Classification]]="","",IF(Table2[[#This Row],[Defect Classification]]="External",1,0))</f>
        <v/>
      </c>
      <c r="T397" s="100"/>
      <c r="U397" s="101"/>
      <c r="V397" s="100"/>
      <c r="W397" s="101"/>
      <c r="X397" s="101"/>
      <c r="Y397" s="101"/>
      <c r="Z397" s="101"/>
      <c r="AA397" s="112" t="str">
        <f>IF(ISNA(VLOOKUP(Table2[[#This Row],[Task ID]],Table1[],17,FALSE)),"",VLOOKUP(Table2[[#This Row],[Task ID]],Table1[],17,FALSE))</f>
        <v/>
      </c>
      <c r="AB397" s="115" t="str">
        <f>IF(Table2[[#This Row],[Defect Detected On Date ]]="","",TEXT(Table2[[#This Row],[Defect Detected On Date ]],"mmm"))</f>
        <v/>
      </c>
      <c r="AE397" s="63"/>
    </row>
    <row r="398" spans="2:31">
      <c r="B398" s="100"/>
      <c r="C398" s="100"/>
      <c r="D398" s="101"/>
      <c r="E398" s="101"/>
      <c r="F398" s="101"/>
      <c r="G398" s="102"/>
      <c r="H398" s="101"/>
      <c r="I398" s="101"/>
      <c r="J398" s="101"/>
      <c r="K398" s="101"/>
      <c r="L398" s="101"/>
      <c r="M398" s="101"/>
      <c r="N398" s="100"/>
      <c r="O398" s="100"/>
      <c r="P398" s="101"/>
      <c r="Q398" s="101"/>
      <c r="R398" s="106" t="str">
        <f>IF(Table2[[#This Row],[Defect Classification]]="","",IF(Table2[[#This Row],[Defect Classification]]="Internal",1,0))</f>
        <v/>
      </c>
      <c r="S398" s="106" t="str">
        <f>IF(Table2[[#This Row],[Defect Classification]]="","",IF(Table2[[#This Row],[Defect Classification]]="External",1,0))</f>
        <v/>
      </c>
      <c r="T398" s="100"/>
      <c r="U398" s="101"/>
      <c r="V398" s="100"/>
      <c r="W398" s="101"/>
      <c r="X398" s="101"/>
      <c r="Y398" s="101"/>
      <c r="Z398" s="101"/>
      <c r="AA398" s="112" t="str">
        <f>IF(ISNA(VLOOKUP(Table2[[#This Row],[Task ID]],Table1[],17,FALSE)),"",VLOOKUP(Table2[[#This Row],[Task ID]],Table1[],17,FALSE))</f>
        <v/>
      </c>
      <c r="AB398" s="115" t="str">
        <f>IF(Table2[[#This Row],[Defect Detected On Date ]]="","",TEXT(Table2[[#This Row],[Defect Detected On Date ]],"mmm"))</f>
        <v/>
      </c>
      <c r="AE398" s="63"/>
    </row>
    <row r="399" spans="2:31">
      <c r="B399" s="100"/>
      <c r="C399" s="100"/>
      <c r="D399" s="101"/>
      <c r="E399" s="101"/>
      <c r="F399" s="101"/>
      <c r="G399" s="102"/>
      <c r="H399" s="101"/>
      <c r="I399" s="101"/>
      <c r="J399" s="101"/>
      <c r="K399" s="101"/>
      <c r="L399" s="101"/>
      <c r="M399" s="101"/>
      <c r="N399" s="100"/>
      <c r="O399" s="100"/>
      <c r="P399" s="101"/>
      <c r="Q399" s="101"/>
      <c r="R399" s="106" t="str">
        <f>IF(Table2[[#This Row],[Defect Classification]]="","",IF(Table2[[#This Row],[Defect Classification]]="Internal",1,0))</f>
        <v/>
      </c>
      <c r="S399" s="106" t="str">
        <f>IF(Table2[[#This Row],[Defect Classification]]="","",IF(Table2[[#This Row],[Defect Classification]]="External",1,0))</f>
        <v/>
      </c>
      <c r="T399" s="100"/>
      <c r="U399" s="101"/>
      <c r="V399" s="100"/>
      <c r="W399" s="101"/>
      <c r="X399" s="101"/>
      <c r="Y399" s="101"/>
      <c r="Z399" s="101"/>
      <c r="AA399" s="112" t="str">
        <f>IF(ISNA(VLOOKUP(Table2[[#This Row],[Task ID]],Table1[],17,FALSE)),"",VLOOKUP(Table2[[#This Row],[Task ID]],Table1[],17,FALSE))</f>
        <v/>
      </c>
      <c r="AB399" s="115" t="str">
        <f>IF(Table2[[#This Row],[Defect Detected On Date ]]="","",TEXT(Table2[[#This Row],[Defect Detected On Date ]],"mmm"))</f>
        <v/>
      </c>
      <c r="AE399" s="63"/>
    </row>
    <row r="400" spans="2:31">
      <c r="B400" s="100"/>
      <c r="C400" s="100"/>
      <c r="D400" s="101"/>
      <c r="E400" s="101"/>
      <c r="F400" s="101"/>
      <c r="G400" s="102"/>
      <c r="H400" s="101"/>
      <c r="I400" s="101"/>
      <c r="J400" s="101"/>
      <c r="K400" s="101"/>
      <c r="L400" s="101"/>
      <c r="M400" s="101"/>
      <c r="N400" s="100"/>
      <c r="O400" s="100"/>
      <c r="P400" s="101"/>
      <c r="Q400" s="101"/>
      <c r="R400" s="106" t="str">
        <f>IF(Table2[[#This Row],[Defect Classification]]="","",IF(Table2[[#This Row],[Defect Classification]]="Internal",1,0))</f>
        <v/>
      </c>
      <c r="S400" s="106" t="str">
        <f>IF(Table2[[#This Row],[Defect Classification]]="","",IF(Table2[[#This Row],[Defect Classification]]="External",1,0))</f>
        <v/>
      </c>
      <c r="T400" s="100"/>
      <c r="U400" s="101"/>
      <c r="V400" s="100"/>
      <c r="W400" s="101"/>
      <c r="X400" s="101"/>
      <c r="Y400" s="101"/>
      <c r="Z400" s="101"/>
      <c r="AA400" s="112" t="str">
        <f>IF(ISNA(VLOOKUP(Table2[[#This Row],[Task ID]],Table1[],17,FALSE)),"",VLOOKUP(Table2[[#This Row],[Task ID]],Table1[],17,FALSE))</f>
        <v/>
      </c>
      <c r="AB400" s="115" t="str">
        <f>IF(Table2[[#This Row],[Defect Detected On Date ]]="","",TEXT(Table2[[#This Row],[Defect Detected On Date ]],"mmm"))</f>
        <v/>
      </c>
      <c r="AE400" s="63"/>
    </row>
    <row r="401" spans="2:31">
      <c r="B401" s="100"/>
      <c r="C401" s="100"/>
      <c r="D401" s="101"/>
      <c r="E401" s="101"/>
      <c r="F401" s="101"/>
      <c r="G401" s="102"/>
      <c r="H401" s="101"/>
      <c r="I401" s="101"/>
      <c r="J401" s="101"/>
      <c r="K401" s="101"/>
      <c r="L401" s="101"/>
      <c r="M401" s="101"/>
      <c r="N401" s="100"/>
      <c r="O401" s="100"/>
      <c r="P401" s="101"/>
      <c r="Q401" s="101"/>
      <c r="R401" s="106" t="str">
        <f>IF(Table2[[#This Row],[Defect Classification]]="","",IF(Table2[[#This Row],[Defect Classification]]="Internal",1,0))</f>
        <v/>
      </c>
      <c r="S401" s="106" t="str">
        <f>IF(Table2[[#This Row],[Defect Classification]]="","",IF(Table2[[#This Row],[Defect Classification]]="External",1,0))</f>
        <v/>
      </c>
      <c r="T401" s="100"/>
      <c r="U401" s="101"/>
      <c r="V401" s="100"/>
      <c r="W401" s="101"/>
      <c r="X401" s="101"/>
      <c r="Y401" s="101"/>
      <c r="Z401" s="101"/>
      <c r="AA401" s="112" t="str">
        <f>IF(ISNA(VLOOKUP(Table2[[#This Row],[Task ID]],Table1[],17,FALSE)),"",VLOOKUP(Table2[[#This Row],[Task ID]],Table1[],17,FALSE))</f>
        <v/>
      </c>
      <c r="AB401" s="115" t="str">
        <f>IF(Table2[[#This Row],[Defect Detected On Date ]]="","",TEXT(Table2[[#This Row],[Defect Detected On Date ]],"mmm"))</f>
        <v/>
      </c>
      <c r="AE401" s="63"/>
    </row>
    <row r="402" spans="2:31">
      <c r="B402" s="100"/>
      <c r="C402" s="100"/>
      <c r="D402" s="101"/>
      <c r="E402" s="101"/>
      <c r="F402" s="101"/>
      <c r="G402" s="102"/>
      <c r="H402" s="101"/>
      <c r="I402" s="101"/>
      <c r="J402" s="101"/>
      <c r="K402" s="101"/>
      <c r="L402" s="101"/>
      <c r="M402" s="101"/>
      <c r="N402" s="100"/>
      <c r="O402" s="100"/>
      <c r="P402" s="101"/>
      <c r="Q402" s="101"/>
      <c r="R402" s="106" t="str">
        <f>IF(Table2[[#This Row],[Defect Classification]]="","",IF(Table2[[#This Row],[Defect Classification]]="Internal",1,0))</f>
        <v/>
      </c>
      <c r="S402" s="106" t="str">
        <f>IF(Table2[[#This Row],[Defect Classification]]="","",IF(Table2[[#This Row],[Defect Classification]]="External",1,0))</f>
        <v/>
      </c>
      <c r="T402" s="100"/>
      <c r="U402" s="101"/>
      <c r="V402" s="100"/>
      <c r="W402" s="101"/>
      <c r="X402" s="101"/>
      <c r="Y402" s="101"/>
      <c r="Z402" s="101"/>
      <c r="AA402" s="112" t="str">
        <f>IF(ISNA(VLOOKUP(Table2[[#This Row],[Task ID]],Table1[],17,FALSE)),"",VLOOKUP(Table2[[#This Row],[Task ID]],Table1[],17,FALSE))</f>
        <v/>
      </c>
      <c r="AB402" s="115" t="str">
        <f>IF(Table2[[#This Row],[Defect Detected On Date ]]="","",TEXT(Table2[[#This Row],[Defect Detected On Date ]],"mmm"))</f>
        <v/>
      </c>
      <c r="AE402" s="63"/>
    </row>
    <row r="403" spans="2:31">
      <c r="B403" s="100"/>
      <c r="C403" s="100"/>
      <c r="D403" s="101"/>
      <c r="E403" s="101"/>
      <c r="F403" s="101"/>
      <c r="G403" s="102"/>
      <c r="H403" s="101"/>
      <c r="I403" s="101"/>
      <c r="J403" s="101"/>
      <c r="K403" s="101"/>
      <c r="L403" s="101"/>
      <c r="M403" s="101"/>
      <c r="N403" s="100"/>
      <c r="O403" s="100"/>
      <c r="P403" s="101"/>
      <c r="Q403" s="101"/>
      <c r="R403" s="106" t="str">
        <f>IF(Table2[[#This Row],[Defect Classification]]="","",IF(Table2[[#This Row],[Defect Classification]]="Internal",1,0))</f>
        <v/>
      </c>
      <c r="S403" s="106" t="str">
        <f>IF(Table2[[#This Row],[Defect Classification]]="","",IF(Table2[[#This Row],[Defect Classification]]="External",1,0))</f>
        <v/>
      </c>
      <c r="T403" s="100"/>
      <c r="U403" s="101"/>
      <c r="V403" s="100"/>
      <c r="W403" s="101"/>
      <c r="X403" s="101"/>
      <c r="Y403" s="101"/>
      <c r="Z403" s="101"/>
      <c r="AA403" s="112" t="str">
        <f>IF(ISNA(VLOOKUP(Table2[[#This Row],[Task ID]],Table1[],17,FALSE)),"",VLOOKUP(Table2[[#This Row],[Task ID]],Table1[],17,FALSE))</f>
        <v/>
      </c>
      <c r="AB403" s="115" t="str">
        <f>IF(Table2[[#This Row],[Defect Detected On Date ]]="","",TEXT(Table2[[#This Row],[Defect Detected On Date ]],"mmm"))</f>
        <v/>
      </c>
      <c r="AE403" s="63"/>
    </row>
    <row r="404" spans="2:31">
      <c r="B404" s="100"/>
      <c r="C404" s="100"/>
      <c r="D404" s="101"/>
      <c r="E404" s="101"/>
      <c r="F404" s="101"/>
      <c r="G404" s="102"/>
      <c r="H404" s="101"/>
      <c r="I404" s="101"/>
      <c r="J404" s="101"/>
      <c r="K404" s="101"/>
      <c r="L404" s="101"/>
      <c r="M404" s="101"/>
      <c r="N404" s="100"/>
      <c r="O404" s="100"/>
      <c r="P404" s="101"/>
      <c r="Q404" s="101"/>
      <c r="R404" s="106" t="str">
        <f>IF(Table2[[#This Row],[Defect Classification]]="","",IF(Table2[[#This Row],[Defect Classification]]="Internal",1,0))</f>
        <v/>
      </c>
      <c r="S404" s="106" t="str">
        <f>IF(Table2[[#This Row],[Defect Classification]]="","",IF(Table2[[#This Row],[Defect Classification]]="External",1,0))</f>
        <v/>
      </c>
      <c r="T404" s="100"/>
      <c r="U404" s="101"/>
      <c r="V404" s="100"/>
      <c r="W404" s="101"/>
      <c r="X404" s="101"/>
      <c r="Y404" s="101"/>
      <c r="Z404" s="101"/>
      <c r="AA404" s="112" t="str">
        <f>IF(ISNA(VLOOKUP(Table2[[#This Row],[Task ID]],Table1[],17,FALSE)),"",VLOOKUP(Table2[[#This Row],[Task ID]],Table1[],17,FALSE))</f>
        <v/>
      </c>
      <c r="AB404" s="115" t="str">
        <f>IF(Table2[[#This Row],[Defect Detected On Date ]]="","",TEXT(Table2[[#This Row],[Defect Detected On Date ]],"mmm"))</f>
        <v/>
      </c>
      <c r="AE404" s="63"/>
    </row>
    <row r="405" spans="2:31">
      <c r="B405" s="100"/>
      <c r="C405" s="100"/>
      <c r="D405" s="101"/>
      <c r="E405" s="101"/>
      <c r="F405" s="101"/>
      <c r="G405" s="102"/>
      <c r="H405" s="101"/>
      <c r="I405" s="101"/>
      <c r="J405" s="101"/>
      <c r="K405" s="101"/>
      <c r="L405" s="101"/>
      <c r="M405" s="101"/>
      <c r="N405" s="100"/>
      <c r="O405" s="100"/>
      <c r="P405" s="101"/>
      <c r="Q405" s="101"/>
      <c r="R405" s="106" t="str">
        <f>IF(Table2[[#This Row],[Defect Classification]]="","",IF(Table2[[#This Row],[Defect Classification]]="Internal",1,0))</f>
        <v/>
      </c>
      <c r="S405" s="106" t="str">
        <f>IF(Table2[[#This Row],[Defect Classification]]="","",IF(Table2[[#This Row],[Defect Classification]]="External",1,0))</f>
        <v/>
      </c>
      <c r="T405" s="100"/>
      <c r="U405" s="101"/>
      <c r="V405" s="100"/>
      <c r="W405" s="101"/>
      <c r="X405" s="101"/>
      <c r="Y405" s="101"/>
      <c r="Z405" s="101"/>
      <c r="AA405" s="112" t="str">
        <f>IF(ISNA(VLOOKUP(Table2[[#This Row],[Task ID]],Table1[],17,FALSE)),"",VLOOKUP(Table2[[#This Row],[Task ID]],Table1[],17,FALSE))</f>
        <v/>
      </c>
      <c r="AB405" s="115" t="str">
        <f>IF(Table2[[#This Row],[Defect Detected On Date ]]="","",TEXT(Table2[[#This Row],[Defect Detected On Date ]],"mmm"))</f>
        <v/>
      </c>
      <c r="AE405" s="63"/>
    </row>
    <row r="406" spans="2:31">
      <c r="B406" s="100"/>
      <c r="C406" s="100"/>
      <c r="D406" s="101"/>
      <c r="E406" s="101"/>
      <c r="F406" s="101"/>
      <c r="G406" s="102"/>
      <c r="H406" s="101"/>
      <c r="I406" s="101"/>
      <c r="J406" s="101"/>
      <c r="K406" s="101"/>
      <c r="L406" s="101"/>
      <c r="M406" s="101"/>
      <c r="N406" s="100"/>
      <c r="O406" s="100"/>
      <c r="P406" s="101"/>
      <c r="Q406" s="101"/>
      <c r="R406" s="106" t="str">
        <f>IF(Table2[[#This Row],[Defect Classification]]="","",IF(Table2[[#This Row],[Defect Classification]]="Internal",1,0))</f>
        <v/>
      </c>
      <c r="S406" s="106" t="str">
        <f>IF(Table2[[#This Row],[Defect Classification]]="","",IF(Table2[[#This Row],[Defect Classification]]="External",1,0))</f>
        <v/>
      </c>
      <c r="T406" s="100"/>
      <c r="U406" s="101"/>
      <c r="V406" s="100"/>
      <c r="W406" s="101"/>
      <c r="X406" s="101"/>
      <c r="Y406" s="101"/>
      <c r="Z406" s="101"/>
      <c r="AA406" s="112" t="str">
        <f>IF(ISNA(VLOOKUP(Table2[[#This Row],[Task ID]],Table1[],17,FALSE)),"",VLOOKUP(Table2[[#This Row],[Task ID]],Table1[],17,FALSE))</f>
        <v/>
      </c>
      <c r="AB406" s="115" t="str">
        <f>IF(Table2[[#This Row],[Defect Detected On Date ]]="","",TEXT(Table2[[#This Row],[Defect Detected On Date ]],"mmm"))</f>
        <v/>
      </c>
      <c r="AE406" s="63"/>
    </row>
    <row r="407" spans="2:31">
      <c r="B407" s="100"/>
      <c r="C407" s="100"/>
      <c r="D407" s="101"/>
      <c r="E407" s="101"/>
      <c r="F407" s="101"/>
      <c r="G407" s="102"/>
      <c r="H407" s="101"/>
      <c r="I407" s="101"/>
      <c r="J407" s="101"/>
      <c r="K407" s="101"/>
      <c r="L407" s="101"/>
      <c r="M407" s="101"/>
      <c r="N407" s="100"/>
      <c r="O407" s="100"/>
      <c r="P407" s="101"/>
      <c r="Q407" s="101"/>
      <c r="R407" s="106" t="str">
        <f>IF(Table2[[#This Row],[Defect Classification]]="","",IF(Table2[[#This Row],[Defect Classification]]="Internal",1,0))</f>
        <v/>
      </c>
      <c r="S407" s="106" t="str">
        <f>IF(Table2[[#This Row],[Defect Classification]]="","",IF(Table2[[#This Row],[Defect Classification]]="External",1,0))</f>
        <v/>
      </c>
      <c r="T407" s="100"/>
      <c r="U407" s="101"/>
      <c r="V407" s="100"/>
      <c r="W407" s="101"/>
      <c r="X407" s="101"/>
      <c r="Y407" s="101"/>
      <c r="Z407" s="101"/>
      <c r="AA407" s="112" t="str">
        <f>IF(ISNA(VLOOKUP(Table2[[#This Row],[Task ID]],Table1[],17,FALSE)),"",VLOOKUP(Table2[[#This Row],[Task ID]],Table1[],17,FALSE))</f>
        <v/>
      </c>
      <c r="AB407" s="115" t="str">
        <f>IF(Table2[[#This Row],[Defect Detected On Date ]]="","",TEXT(Table2[[#This Row],[Defect Detected On Date ]],"mmm"))</f>
        <v/>
      </c>
      <c r="AE407" s="63"/>
    </row>
    <row r="408" spans="2:31">
      <c r="B408" s="100"/>
      <c r="C408" s="100"/>
      <c r="D408" s="101"/>
      <c r="E408" s="101"/>
      <c r="F408" s="101"/>
      <c r="G408" s="102"/>
      <c r="H408" s="101"/>
      <c r="I408" s="101"/>
      <c r="J408" s="101"/>
      <c r="K408" s="101"/>
      <c r="L408" s="101"/>
      <c r="M408" s="101"/>
      <c r="N408" s="100"/>
      <c r="O408" s="100"/>
      <c r="P408" s="101"/>
      <c r="Q408" s="101"/>
      <c r="R408" s="106" t="str">
        <f>IF(Table2[[#This Row],[Defect Classification]]="","",IF(Table2[[#This Row],[Defect Classification]]="Internal",1,0))</f>
        <v/>
      </c>
      <c r="S408" s="106" t="str">
        <f>IF(Table2[[#This Row],[Defect Classification]]="","",IF(Table2[[#This Row],[Defect Classification]]="External",1,0))</f>
        <v/>
      </c>
      <c r="T408" s="100"/>
      <c r="U408" s="101"/>
      <c r="V408" s="100"/>
      <c r="W408" s="101"/>
      <c r="X408" s="101"/>
      <c r="Y408" s="101"/>
      <c r="Z408" s="101"/>
      <c r="AA408" s="112" t="str">
        <f>IF(ISNA(VLOOKUP(Table2[[#This Row],[Task ID]],Table1[],17,FALSE)),"",VLOOKUP(Table2[[#This Row],[Task ID]],Table1[],17,FALSE))</f>
        <v/>
      </c>
      <c r="AB408" s="115" t="str">
        <f>IF(Table2[[#This Row],[Defect Detected On Date ]]="","",TEXT(Table2[[#This Row],[Defect Detected On Date ]],"mmm"))</f>
        <v/>
      </c>
      <c r="AE408" s="63"/>
    </row>
    <row r="409" spans="2:31">
      <c r="B409" s="100"/>
      <c r="C409" s="100"/>
      <c r="D409" s="101"/>
      <c r="E409" s="101"/>
      <c r="F409" s="101"/>
      <c r="G409" s="102"/>
      <c r="H409" s="101"/>
      <c r="I409" s="101"/>
      <c r="J409" s="101"/>
      <c r="K409" s="101"/>
      <c r="L409" s="101"/>
      <c r="M409" s="101"/>
      <c r="N409" s="100"/>
      <c r="O409" s="100"/>
      <c r="P409" s="101"/>
      <c r="Q409" s="101"/>
      <c r="R409" s="106" t="str">
        <f>IF(Table2[[#This Row],[Defect Classification]]="","",IF(Table2[[#This Row],[Defect Classification]]="Internal",1,0))</f>
        <v/>
      </c>
      <c r="S409" s="106" t="str">
        <f>IF(Table2[[#This Row],[Defect Classification]]="","",IF(Table2[[#This Row],[Defect Classification]]="External",1,0))</f>
        <v/>
      </c>
      <c r="T409" s="100"/>
      <c r="U409" s="101"/>
      <c r="V409" s="100"/>
      <c r="W409" s="101"/>
      <c r="X409" s="101"/>
      <c r="Y409" s="101"/>
      <c r="Z409" s="101"/>
      <c r="AA409" s="112" t="str">
        <f>IF(ISNA(VLOOKUP(Table2[[#This Row],[Task ID]],Table1[],17,FALSE)),"",VLOOKUP(Table2[[#This Row],[Task ID]],Table1[],17,FALSE))</f>
        <v/>
      </c>
      <c r="AB409" s="115" t="str">
        <f>IF(Table2[[#This Row],[Defect Detected On Date ]]="","",TEXT(Table2[[#This Row],[Defect Detected On Date ]],"mmm"))</f>
        <v/>
      </c>
      <c r="AE409" s="63"/>
    </row>
    <row r="410" spans="2:31">
      <c r="B410" s="100"/>
      <c r="C410" s="100"/>
      <c r="D410" s="101"/>
      <c r="E410" s="101"/>
      <c r="F410" s="101"/>
      <c r="G410" s="102"/>
      <c r="H410" s="101"/>
      <c r="I410" s="101"/>
      <c r="J410" s="101"/>
      <c r="K410" s="101"/>
      <c r="L410" s="101"/>
      <c r="M410" s="101"/>
      <c r="N410" s="100"/>
      <c r="O410" s="100"/>
      <c r="P410" s="101"/>
      <c r="Q410" s="101"/>
      <c r="R410" s="106" t="str">
        <f>IF(Table2[[#This Row],[Defect Classification]]="","",IF(Table2[[#This Row],[Defect Classification]]="Internal",1,0))</f>
        <v/>
      </c>
      <c r="S410" s="106" t="str">
        <f>IF(Table2[[#This Row],[Defect Classification]]="","",IF(Table2[[#This Row],[Defect Classification]]="External",1,0))</f>
        <v/>
      </c>
      <c r="T410" s="100"/>
      <c r="U410" s="101"/>
      <c r="V410" s="100"/>
      <c r="W410" s="101"/>
      <c r="X410" s="101"/>
      <c r="Y410" s="101"/>
      <c r="Z410" s="101"/>
      <c r="AA410" s="112" t="str">
        <f>IF(ISNA(VLOOKUP(Table2[[#This Row],[Task ID]],Table1[],17,FALSE)),"",VLOOKUP(Table2[[#This Row],[Task ID]],Table1[],17,FALSE))</f>
        <v/>
      </c>
      <c r="AB410" s="115" t="str">
        <f>IF(Table2[[#This Row],[Defect Detected On Date ]]="","",TEXT(Table2[[#This Row],[Defect Detected On Date ]],"mmm"))</f>
        <v/>
      </c>
      <c r="AE410" s="63"/>
    </row>
    <row r="411" spans="2:31">
      <c r="B411" s="100"/>
      <c r="C411" s="100"/>
      <c r="D411" s="101"/>
      <c r="E411" s="101"/>
      <c r="F411" s="101"/>
      <c r="G411" s="102"/>
      <c r="H411" s="101"/>
      <c r="I411" s="101"/>
      <c r="J411" s="101"/>
      <c r="K411" s="101"/>
      <c r="L411" s="101"/>
      <c r="M411" s="101"/>
      <c r="N411" s="100"/>
      <c r="O411" s="100"/>
      <c r="P411" s="101"/>
      <c r="Q411" s="101"/>
      <c r="R411" s="106" t="str">
        <f>IF(Table2[[#This Row],[Defect Classification]]="","",IF(Table2[[#This Row],[Defect Classification]]="Internal",1,0))</f>
        <v/>
      </c>
      <c r="S411" s="106" t="str">
        <f>IF(Table2[[#This Row],[Defect Classification]]="","",IF(Table2[[#This Row],[Defect Classification]]="External",1,0))</f>
        <v/>
      </c>
      <c r="T411" s="100"/>
      <c r="U411" s="101"/>
      <c r="V411" s="100"/>
      <c r="W411" s="101"/>
      <c r="X411" s="101"/>
      <c r="Y411" s="101"/>
      <c r="Z411" s="101"/>
      <c r="AA411" s="112" t="str">
        <f>IF(ISNA(VLOOKUP(Table2[[#This Row],[Task ID]],Table1[],17,FALSE)),"",VLOOKUP(Table2[[#This Row],[Task ID]],Table1[],17,FALSE))</f>
        <v/>
      </c>
      <c r="AB411" s="115" t="str">
        <f>IF(Table2[[#This Row],[Defect Detected On Date ]]="","",TEXT(Table2[[#This Row],[Defect Detected On Date ]],"mmm"))</f>
        <v/>
      </c>
      <c r="AE411" s="63"/>
    </row>
    <row r="412" spans="2:31">
      <c r="B412" s="100"/>
      <c r="C412" s="100"/>
      <c r="D412" s="101"/>
      <c r="E412" s="101"/>
      <c r="F412" s="101"/>
      <c r="G412" s="102"/>
      <c r="H412" s="101"/>
      <c r="I412" s="101"/>
      <c r="J412" s="101"/>
      <c r="K412" s="101"/>
      <c r="L412" s="101"/>
      <c r="M412" s="101"/>
      <c r="N412" s="100"/>
      <c r="O412" s="100"/>
      <c r="P412" s="101"/>
      <c r="Q412" s="101"/>
      <c r="R412" s="106" t="str">
        <f>IF(Table2[[#This Row],[Defect Classification]]="","",IF(Table2[[#This Row],[Defect Classification]]="Internal",1,0))</f>
        <v/>
      </c>
      <c r="S412" s="106" t="str">
        <f>IF(Table2[[#This Row],[Defect Classification]]="","",IF(Table2[[#This Row],[Defect Classification]]="External",1,0))</f>
        <v/>
      </c>
      <c r="T412" s="100"/>
      <c r="U412" s="101"/>
      <c r="V412" s="100"/>
      <c r="W412" s="101"/>
      <c r="X412" s="101"/>
      <c r="Y412" s="101"/>
      <c r="Z412" s="101"/>
      <c r="AA412" s="112" t="str">
        <f>IF(ISNA(VLOOKUP(Table2[[#This Row],[Task ID]],Table1[],17,FALSE)),"",VLOOKUP(Table2[[#This Row],[Task ID]],Table1[],17,FALSE))</f>
        <v/>
      </c>
      <c r="AB412" s="115" t="str">
        <f>IF(Table2[[#This Row],[Defect Detected On Date ]]="","",TEXT(Table2[[#This Row],[Defect Detected On Date ]],"mmm"))</f>
        <v/>
      </c>
      <c r="AE412" s="63"/>
    </row>
    <row r="413" spans="2:31">
      <c r="B413" s="100"/>
      <c r="C413" s="100"/>
      <c r="D413" s="101"/>
      <c r="E413" s="101"/>
      <c r="F413" s="101"/>
      <c r="G413" s="102"/>
      <c r="H413" s="101"/>
      <c r="I413" s="101"/>
      <c r="J413" s="101"/>
      <c r="K413" s="101"/>
      <c r="L413" s="101"/>
      <c r="M413" s="101"/>
      <c r="N413" s="100"/>
      <c r="O413" s="100"/>
      <c r="P413" s="101"/>
      <c r="Q413" s="101"/>
      <c r="R413" s="106" t="str">
        <f>IF(Table2[[#This Row],[Defect Classification]]="","",IF(Table2[[#This Row],[Defect Classification]]="Internal",1,0))</f>
        <v/>
      </c>
      <c r="S413" s="106" t="str">
        <f>IF(Table2[[#This Row],[Defect Classification]]="","",IF(Table2[[#This Row],[Defect Classification]]="External",1,0))</f>
        <v/>
      </c>
      <c r="T413" s="100"/>
      <c r="U413" s="101"/>
      <c r="V413" s="100"/>
      <c r="W413" s="101"/>
      <c r="X413" s="101"/>
      <c r="Y413" s="101"/>
      <c r="Z413" s="101"/>
      <c r="AA413" s="112" t="str">
        <f>IF(ISNA(VLOOKUP(Table2[[#This Row],[Task ID]],Table1[],17,FALSE)),"",VLOOKUP(Table2[[#This Row],[Task ID]],Table1[],17,FALSE))</f>
        <v/>
      </c>
      <c r="AB413" s="115" t="str">
        <f>IF(Table2[[#This Row],[Defect Detected On Date ]]="","",TEXT(Table2[[#This Row],[Defect Detected On Date ]],"mmm"))</f>
        <v/>
      </c>
      <c r="AE413" s="63"/>
    </row>
    <row r="414" spans="2:31">
      <c r="B414" s="100"/>
      <c r="C414" s="100"/>
      <c r="D414" s="101"/>
      <c r="E414" s="101"/>
      <c r="F414" s="101"/>
      <c r="G414" s="102"/>
      <c r="H414" s="101"/>
      <c r="I414" s="101"/>
      <c r="J414" s="101"/>
      <c r="K414" s="101"/>
      <c r="L414" s="101"/>
      <c r="M414" s="101"/>
      <c r="N414" s="100"/>
      <c r="O414" s="100"/>
      <c r="P414" s="101"/>
      <c r="Q414" s="101"/>
      <c r="R414" s="106" t="str">
        <f>IF(Table2[[#This Row],[Defect Classification]]="","",IF(Table2[[#This Row],[Defect Classification]]="Internal",1,0))</f>
        <v/>
      </c>
      <c r="S414" s="106" t="str">
        <f>IF(Table2[[#This Row],[Defect Classification]]="","",IF(Table2[[#This Row],[Defect Classification]]="External",1,0))</f>
        <v/>
      </c>
      <c r="T414" s="100"/>
      <c r="U414" s="101"/>
      <c r="V414" s="100"/>
      <c r="W414" s="101"/>
      <c r="X414" s="101"/>
      <c r="Y414" s="101"/>
      <c r="Z414" s="101"/>
      <c r="AA414" s="112" t="str">
        <f>IF(ISNA(VLOOKUP(Table2[[#This Row],[Task ID]],Table1[],17,FALSE)),"",VLOOKUP(Table2[[#This Row],[Task ID]],Table1[],17,FALSE))</f>
        <v/>
      </c>
      <c r="AB414" s="115" t="str">
        <f>IF(Table2[[#This Row],[Defect Detected On Date ]]="","",TEXT(Table2[[#This Row],[Defect Detected On Date ]],"mmm"))</f>
        <v/>
      </c>
      <c r="AE414" s="63"/>
    </row>
    <row r="415" spans="2:31">
      <c r="B415" s="100"/>
      <c r="C415" s="100"/>
      <c r="D415" s="101"/>
      <c r="E415" s="101"/>
      <c r="F415" s="101"/>
      <c r="G415" s="102"/>
      <c r="H415" s="101"/>
      <c r="I415" s="101"/>
      <c r="J415" s="101"/>
      <c r="K415" s="101"/>
      <c r="L415" s="101"/>
      <c r="M415" s="101"/>
      <c r="N415" s="100"/>
      <c r="O415" s="100"/>
      <c r="P415" s="101"/>
      <c r="Q415" s="101"/>
      <c r="R415" s="106" t="str">
        <f>IF(Table2[[#This Row],[Defect Classification]]="","",IF(Table2[[#This Row],[Defect Classification]]="Internal",1,0))</f>
        <v/>
      </c>
      <c r="S415" s="106" t="str">
        <f>IF(Table2[[#This Row],[Defect Classification]]="","",IF(Table2[[#This Row],[Defect Classification]]="External",1,0))</f>
        <v/>
      </c>
      <c r="T415" s="100"/>
      <c r="U415" s="101"/>
      <c r="V415" s="100"/>
      <c r="W415" s="101"/>
      <c r="X415" s="101"/>
      <c r="Y415" s="101"/>
      <c r="Z415" s="101"/>
      <c r="AA415" s="112" t="str">
        <f>IF(ISNA(VLOOKUP(Table2[[#This Row],[Task ID]],Table1[],17,FALSE)),"",VLOOKUP(Table2[[#This Row],[Task ID]],Table1[],17,FALSE))</f>
        <v/>
      </c>
      <c r="AB415" s="115" t="str">
        <f>IF(Table2[[#This Row],[Defect Detected On Date ]]="","",TEXT(Table2[[#This Row],[Defect Detected On Date ]],"mmm"))</f>
        <v/>
      </c>
      <c r="AE415" s="63"/>
    </row>
    <row r="416" spans="2:31">
      <c r="B416" s="100"/>
      <c r="C416" s="100"/>
      <c r="D416" s="101"/>
      <c r="E416" s="101"/>
      <c r="F416" s="101"/>
      <c r="G416" s="102"/>
      <c r="H416" s="101"/>
      <c r="I416" s="101"/>
      <c r="J416" s="101"/>
      <c r="K416" s="101"/>
      <c r="L416" s="101"/>
      <c r="M416" s="101"/>
      <c r="N416" s="100"/>
      <c r="O416" s="100"/>
      <c r="P416" s="101"/>
      <c r="Q416" s="101"/>
      <c r="R416" s="106" t="str">
        <f>IF(Table2[[#This Row],[Defect Classification]]="","",IF(Table2[[#This Row],[Defect Classification]]="Internal",1,0))</f>
        <v/>
      </c>
      <c r="S416" s="106" t="str">
        <f>IF(Table2[[#This Row],[Defect Classification]]="","",IF(Table2[[#This Row],[Defect Classification]]="External",1,0))</f>
        <v/>
      </c>
      <c r="T416" s="100"/>
      <c r="U416" s="101"/>
      <c r="V416" s="100"/>
      <c r="W416" s="101"/>
      <c r="X416" s="101"/>
      <c r="Y416" s="101"/>
      <c r="Z416" s="101"/>
      <c r="AA416" s="112" t="str">
        <f>IF(ISNA(VLOOKUP(Table2[[#This Row],[Task ID]],Table1[],17,FALSE)),"",VLOOKUP(Table2[[#This Row],[Task ID]],Table1[],17,FALSE))</f>
        <v/>
      </c>
      <c r="AB416" s="115" t="str">
        <f>IF(Table2[[#This Row],[Defect Detected On Date ]]="","",TEXT(Table2[[#This Row],[Defect Detected On Date ]],"mmm"))</f>
        <v/>
      </c>
      <c r="AE416" s="63"/>
    </row>
    <row r="417" spans="2:31">
      <c r="B417" s="100"/>
      <c r="C417" s="100"/>
      <c r="D417" s="101"/>
      <c r="E417" s="101"/>
      <c r="F417" s="101"/>
      <c r="G417" s="102"/>
      <c r="H417" s="101"/>
      <c r="I417" s="101"/>
      <c r="J417" s="101"/>
      <c r="K417" s="101"/>
      <c r="L417" s="101"/>
      <c r="M417" s="101"/>
      <c r="N417" s="100"/>
      <c r="O417" s="100"/>
      <c r="P417" s="101"/>
      <c r="Q417" s="101"/>
      <c r="R417" s="106" t="str">
        <f>IF(Table2[[#This Row],[Defect Classification]]="","",IF(Table2[[#This Row],[Defect Classification]]="Internal",1,0))</f>
        <v/>
      </c>
      <c r="S417" s="106" t="str">
        <f>IF(Table2[[#This Row],[Defect Classification]]="","",IF(Table2[[#This Row],[Defect Classification]]="External",1,0))</f>
        <v/>
      </c>
      <c r="T417" s="100"/>
      <c r="U417" s="101"/>
      <c r="V417" s="100"/>
      <c r="W417" s="101"/>
      <c r="X417" s="101"/>
      <c r="Y417" s="101"/>
      <c r="Z417" s="101"/>
      <c r="AA417" s="112" t="str">
        <f>IF(ISNA(VLOOKUP(Table2[[#This Row],[Task ID]],Table1[],17,FALSE)),"",VLOOKUP(Table2[[#This Row],[Task ID]],Table1[],17,FALSE))</f>
        <v/>
      </c>
      <c r="AB417" s="115" t="str">
        <f>IF(Table2[[#This Row],[Defect Detected On Date ]]="","",TEXT(Table2[[#This Row],[Defect Detected On Date ]],"mmm"))</f>
        <v/>
      </c>
      <c r="AE417" s="63"/>
    </row>
    <row r="418" spans="2:31">
      <c r="B418" s="100"/>
      <c r="C418" s="100"/>
      <c r="D418" s="101"/>
      <c r="E418" s="101"/>
      <c r="F418" s="101"/>
      <c r="G418" s="102"/>
      <c r="H418" s="101"/>
      <c r="I418" s="101"/>
      <c r="J418" s="101"/>
      <c r="K418" s="101"/>
      <c r="L418" s="101"/>
      <c r="M418" s="101"/>
      <c r="N418" s="100"/>
      <c r="O418" s="100"/>
      <c r="P418" s="101"/>
      <c r="Q418" s="101"/>
      <c r="R418" s="106" t="str">
        <f>IF(Table2[[#This Row],[Defect Classification]]="","",IF(Table2[[#This Row],[Defect Classification]]="Internal",1,0))</f>
        <v/>
      </c>
      <c r="S418" s="106" t="str">
        <f>IF(Table2[[#This Row],[Defect Classification]]="","",IF(Table2[[#This Row],[Defect Classification]]="External",1,0))</f>
        <v/>
      </c>
      <c r="T418" s="100"/>
      <c r="U418" s="101"/>
      <c r="V418" s="100"/>
      <c r="W418" s="101"/>
      <c r="X418" s="101"/>
      <c r="Y418" s="101"/>
      <c r="Z418" s="101"/>
      <c r="AA418" s="112" t="str">
        <f>IF(ISNA(VLOOKUP(Table2[[#This Row],[Task ID]],Table1[],17,FALSE)),"",VLOOKUP(Table2[[#This Row],[Task ID]],Table1[],17,FALSE))</f>
        <v/>
      </c>
      <c r="AB418" s="115" t="str">
        <f>IF(Table2[[#This Row],[Defect Detected On Date ]]="","",TEXT(Table2[[#This Row],[Defect Detected On Date ]],"mmm"))</f>
        <v/>
      </c>
      <c r="AE418" s="63"/>
    </row>
    <row r="419" spans="2:31">
      <c r="B419" s="100"/>
      <c r="C419" s="100"/>
      <c r="D419" s="101"/>
      <c r="E419" s="101"/>
      <c r="F419" s="101"/>
      <c r="G419" s="102"/>
      <c r="H419" s="101"/>
      <c r="I419" s="101"/>
      <c r="J419" s="101"/>
      <c r="K419" s="101"/>
      <c r="L419" s="101"/>
      <c r="M419" s="101"/>
      <c r="N419" s="100"/>
      <c r="O419" s="100"/>
      <c r="P419" s="101"/>
      <c r="Q419" s="101"/>
      <c r="R419" s="106" t="str">
        <f>IF(Table2[[#This Row],[Defect Classification]]="","",IF(Table2[[#This Row],[Defect Classification]]="Internal",1,0))</f>
        <v/>
      </c>
      <c r="S419" s="106" t="str">
        <f>IF(Table2[[#This Row],[Defect Classification]]="","",IF(Table2[[#This Row],[Defect Classification]]="External",1,0))</f>
        <v/>
      </c>
      <c r="T419" s="100"/>
      <c r="U419" s="101"/>
      <c r="V419" s="100"/>
      <c r="W419" s="101"/>
      <c r="X419" s="101"/>
      <c r="Y419" s="101"/>
      <c r="Z419" s="101"/>
      <c r="AA419" s="112" t="str">
        <f>IF(ISNA(VLOOKUP(Table2[[#This Row],[Task ID]],Table1[],17,FALSE)),"",VLOOKUP(Table2[[#This Row],[Task ID]],Table1[],17,FALSE))</f>
        <v/>
      </c>
      <c r="AB419" s="115" t="str">
        <f>IF(Table2[[#This Row],[Defect Detected On Date ]]="","",TEXT(Table2[[#This Row],[Defect Detected On Date ]],"mmm"))</f>
        <v/>
      </c>
      <c r="AE419" s="63"/>
    </row>
    <row r="420" spans="2:31">
      <c r="B420" s="100"/>
      <c r="C420" s="100"/>
      <c r="D420" s="101"/>
      <c r="E420" s="101"/>
      <c r="F420" s="101"/>
      <c r="G420" s="102"/>
      <c r="H420" s="101"/>
      <c r="I420" s="101"/>
      <c r="J420" s="101"/>
      <c r="K420" s="101"/>
      <c r="L420" s="101"/>
      <c r="M420" s="101"/>
      <c r="N420" s="100"/>
      <c r="O420" s="100"/>
      <c r="P420" s="101"/>
      <c r="Q420" s="101"/>
      <c r="R420" s="106" t="str">
        <f>IF(Table2[[#This Row],[Defect Classification]]="","",IF(Table2[[#This Row],[Defect Classification]]="Internal",1,0))</f>
        <v/>
      </c>
      <c r="S420" s="106" t="str">
        <f>IF(Table2[[#This Row],[Defect Classification]]="","",IF(Table2[[#This Row],[Defect Classification]]="External",1,0))</f>
        <v/>
      </c>
      <c r="T420" s="100"/>
      <c r="U420" s="101"/>
      <c r="V420" s="100"/>
      <c r="W420" s="101"/>
      <c r="X420" s="101"/>
      <c r="Y420" s="101"/>
      <c r="Z420" s="101"/>
      <c r="AA420" s="112" t="str">
        <f>IF(ISNA(VLOOKUP(Table2[[#This Row],[Task ID]],Table1[],17,FALSE)),"",VLOOKUP(Table2[[#This Row],[Task ID]],Table1[],17,FALSE))</f>
        <v/>
      </c>
      <c r="AB420" s="115" t="str">
        <f>IF(Table2[[#This Row],[Defect Detected On Date ]]="","",TEXT(Table2[[#This Row],[Defect Detected On Date ]],"mmm"))</f>
        <v/>
      </c>
      <c r="AE420" s="63"/>
    </row>
    <row r="421" spans="2:31">
      <c r="B421" s="100"/>
      <c r="C421" s="100"/>
      <c r="D421" s="101"/>
      <c r="E421" s="101"/>
      <c r="F421" s="101"/>
      <c r="G421" s="102"/>
      <c r="H421" s="101"/>
      <c r="I421" s="101"/>
      <c r="J421" s="101"/>
      <c r="K421" s="101"/>
      <c r="L421" s="101"/>
      <c r="M421" s="101"/>
      <c r="N421" s="100"/>
      <c r="O421" s="100"/>
      <c r="P421" s="101"/>
      <c r="Q421" s="101"/>
      <c r="R421" s="106" t="str">
        <f>IF(Table2[[#This Row],[Defect Classification]]="","",IF(Table2[[#This Row],[Defect Classification]]="Internal",1,0))</f>
        <v/>
      </c>
      <c r="S421" s="106" t="str">
        <f>IF(Table2[[#This Row],[Defect Classification]]="","",IF(Table2[[#This Row],[Defect Classification]]="External",1,0))</f>
        <v/>
      </c>
      <c r="T421" s="100"/>
      <c r="U421" s="101"/>
      <c r="V421" s="100"/>
      <c r="W421" s="101"/>
      <c r="X421" s="101"/>
      <c r="Y421" s="101"/>
      <c r="Z421" s="101"/>
      <c r="AA421" s="112" t="str">
        <f>IF(ISNA(VLOOKUP(Table2[[#This Row],[Task ID]],Table1[],17,FALSE)),"",VLOOKUP(Table2[[#This Row],[Task ID]],Table1[],17,FALSE))</f>
        <v/>
      </c>
      <c r="AB421" s="115" t="str">
        <f>IF(Table2[[#This Row],[Defect Detected On Date ]]="","",TEXT(Table2[[#This Row],[Defect Detected On Date ]],"mmm"))</f>
        <v/>
      </c>
      <c r="AE421" s="63"/>
    </row>
    <row r="422" spans="2:31">
      <c r="B422" s="100"/>
      <c r="C422" s="100"/>
      <c r="D422" s="101"/>
      <c r="E422" s="101"/>
      <c r="F422" s="101"/>
      <c r="G422" s="102"/>
      <c r="H422" s="101"/>
      <c r="I422" s="101"/>
      <c r="J422" s="101"/>
      <c r="K422" s="101"/>
      <c r="L422" s="101"/>
      <c r="M422" s="101"/>
      <c r="N422" s="100"/>
      <c r="O422" s="100"/>
      <c r="P422" s="101"/>
      <c r="Q422" s="101"/>
      <c r="R422" s="106" t="str">
        <f>IF(Table2[[#This Row],[Defect Classification]]="","",IF(Table2[[#This Row],[Defect Classification]]="Internal",1,0))</f>
        <v/>
      </c>
      <c r="S422" s="106" t="str">
        <f>IF(Table2[[#This Row],[Defect Classification]]="","",IF(Table2[[#This Row],[Defect Classification]]="External",1,0))</f>
        <v/>
      </c>
      <c r="T422" s="100"/>
      <c r="U422" s="101"/>
      <c r="V422" s="100"/>
      <c r="W422" s="101"/>
      <c r="X422" s="101"/>
      <c r="Y422" s="101"/>
      <c r="Z422" s="101"/>
      <c r="AA422" s="112" t="str">
        <f>IF(ISNA(VLOOKUP(Table2[[#This Row],[Task ID]],Table1[],17,FALSE)),"",VLOOKUP(Table2[[#This Row],[Task ID]],Table1[],17,FALSE))</f>
        <v/>
      </c>
      <c r="AB422" s="115" t="str">
        <f>IF(Table2[[#This Row],[Defect Detected On Date ]]="","",TEXT(Table2[[#This Row],[Defect Detected On Date ]],"mmm"))</f>
        <v/>
      </c>
      <c r="AE422" s="63"/>
    </row>
    <row r="423" spans="2:31">
      <c r="B423" s="100"/>
      <c r="C423" s="100"/>
      <c r="D423" s="101"/>
      <c r="E423" s="101"/>
      <c r="F423" s="101"/>
      <c r="G423" s="102"/>
      <c r="H423" s="101"/>
      <c r="I423" s="101"/>
      <c r="J423" s="101"/>
      <c r="K423" s="101"/>
      <c r="L423" s="101"/>
      <c r="M423" s="101"/>
      <c r="N423" s="100"/>
      <c r="O423" s="100"/>
      <c r="P423" s="101"/>
      <c r="Q423" s="101"/>
      <c r="R423" s="106" t="str">
        <f>IF(Table2[[#This Row],[Defect Classification]]="","",IF(Table2[[#This Row],[Defect Classification]]="Internal",1,0))</f>
        <v/>
      </c>
      <c r="S423" s="106" t="str">
        <f>IF(Table2[[#This Row],[Defect Classification]]="","",IF(Table2[[#This Row],[Defect Classification]]="External",1,0))</f>
        <v/>
      </c>
      <c r="T423" s="100"/>
      <c r="U423" s="101"/>
      <c r="V423" s="100"/>
      <c r="W423" s="101"/>
      <c r="X423" s="101"/>
      <c r="Y423" s="101"/>
      <c r="Z423" s="101"/>
      <c r="AA423" s="112" t="str">
        <f>IF(ISNA(VLOOKUP(Table2[[#This Row],[Task ID]],Table1[],17,FALSE)),"",VLOOKUP(Table2[[#This Row],[Task ID]],Table1[],17,FALSE))</f>
        <v/>
      </c>
      <c r="AB423" s="115" t="str">
        <f>IF(Table2[[#This Row],[Defect Detected On Date ]]="","",TEXT(Table2[[#This Row],[Defect Detected On Date ]],"mmm"))</f>
        <v/>
      </c>
      <c r="AE423" s="63"/>
    </row>
    <row r="424" spans="2:31">
      <c r="B424" s="100"/>
      <c r="C424" s="100"/>
      <c r="D424" s="101"/>
      <c r="E424" s="101"/>
      <c r="F424" s="101"/>
      <c r="G424" s="102"/>
      <c r="H424" s="101"/>
      <c r="I424" s="101"/>
      <c r="J424" s="101"/>
      <c r="K424" s="101"/>
      <c r="L424" s="101"/>
      <c r="M424" s="101"/>
      <c r="N424" s="100"/>
      <c r="O424" s="100"/>
      <c r="P424" s="101"/>
      <c r="Q424" s="101"/>
      <c r="R424" s="106" t="str">
        <f>IF(Table2[[#This Row],[Defect Classification]]="","",IF(Table2[[#This Row],[Defect Classification]]="Internal",1,0))</f>
        <v/>
      </c>
      <c r="S424" s="106" t="str">
        <f>IF(Table2[[#This Row],[Defect Classification]]="","",IF(Table2[[#This Row],[Defect Classification]]="External",1,0))</f>
        <v/>
      </c>
      <c r="T424" s="100"/>
      <c r="U424" s="101"/>
      <c r="V424" s="100"/>
      <c r="W424" s="101"/>
      <c r="X424" s="101"/>
      <c r="Y424" s="101"/>
      <c r="Z424" s="101"/>
      <c r="AA424" s="112" t="str">
        <f>IF(ISNA(VLOOKUP(Table2[[#This Row],[Task ID]],Table1[],17,FALSE)),"",VLOOKUP(Table2[[#This Row],[Task ID]],Table1[],17,FALSE))</f>
        <v/>
      </c>
      <c r="AB424" s="115" t="str">
        <f>IF(Table2[[#This Row],[Defect Detected On Date ]]="","",TEXT(Table2[[#This Row],[Defect Detected On Date ]],"mmm"))</f>
        <v/>
      </c>
      <c r="AE424" s="63"/>
    </row>
    <row r="425" spans="2:31">
      <c r="B425" s="100"/>
      <c r="C425" s="100"/>
      <c r="D425" s="101"/>
      <c r="E425" s="101"/>
      <c r="F425" s="101"/>
      <c r="G425" s="102"/>
      <c r="H425" s="101"/>
      <c r="I425" s="101"/>
      <c r="J425" s="101"/>
      <c r="K425" s="101"/>
      <c r="L425" s="101"/>
      <c r="M425" s="101"/>
      <c r="N425" s="100"/>
      <c r="O425" s="100"/>
      <c r="P425" s="101"/>
      <c r="Q425" s="101"/>
      <c r="R425" s="106" t="str">
        <f>IF(Table2[[#This Row],[Defect Classification]]="","",IF(Table2[[#This Row],[Defect Classification]]="Internal",1,0))</f>
        <v/>
      </c>
      <c r="S425" s="106" t="str">
        <f>IF(Table2[[#This Row],[Defect Classification]]="","",IF(Table2[[#This Row],[Defect Classification]]="External",1,0))</f>
        <v/>
      </c>
      <c r="T425" s="100"/>
      <c r="U425" s="101"/>
      <c r="V425" s="100"/>
      <c r="W425" s="101"/>
      <c r="X425" s="101"/>
      <c r="Y425" s="101"/>
      <c r="Z425" s="101"/>
      <c r="AA425" s="112" t="str">
        <f>IF(ISNA(VLOOKUP(Table2[[#This Row],[Task ID]],Table1[],17,FALSE)),"",VLOOKUP(Table2[[#This Row],[Task ID]],Table1[],17,FALSE))</f>
        <v/>
      </c>
      <c r="AB425" s="115" t="str">
        <f>IF(Table2[[#This Row],[Defect Detected On Date ]]="","",TEXT(Table2[[#This Row],[Defect Detected On Date ]],"mmm"))</f>
        <v/>
      </c>
      <c r="AE425" s="63"/>
    </row>
    <row r="426" spans="2:31">
      <c r="B426" s="100"/>
      <c r="C426" s="100"/>
      <c r="D426" s="101"/>
      <c r="E426" s="101"/>
      <c r="F426" s="101"/>
      <c r="G426" s="102"/>
      <c r="H426" s="101"/>
      <c r="I426" s="101"/>
      <c r="J426" s="101"/>
      <c r="K426" s="101"/>
      <c r="L426" s="101"/>
      <c r="M426" s="101"/>
      <c r="N426" s="100"/>
      <c r="O426" s="100"/>
      <c r="P426" s="101"/>
      <c r="Q426" s="101"/>
      <c r="R426" s="106" t="str">
        <f>IF(Table2[[#This Row],[Defect Classification]]="","",IF(Table2[[#This Row],[Defect Classification]]="Internal",1,0))</f>
        <v/>
      </c>
      <c r="S426" s="106" t="str">
        <f>IF(Table2[[#This Row],[Defect Classification]]="","",IF(Table2[[#This Row],[Defect Classification]]="External",1,0))</f>
        <v/>
      </c>
      <c r="T426" s="100"/>
      <c r="U426" s="101"/>
      <c r="V426" s="100"/>
      <c r="W426" s="101"/>
      <c r="X426" s="101"/>
      <c r="Y426" s="101"/>
      <c r="Z426" s="101"/>
      <c r="AA426" s="112" t="str">
        <f>IF(ISNA(VLOOKUP(Table2[[#This Row],[Task ID]],Table1[],17,FALSE)),"",VLOOKUP(Table2[[#This Row],[Task ID]],Table1[],17,FALSE))</f>
        <v/>
      </c>
      <c r="AB426" s="115" t="str">
        <f>IF(Table2[[#This Row],[Defect Detected On Date ]]="","",TEXT(Table2[[#This Row],[Defect Detected On Date ]],"mmm"))</f>
        <v/>
      </c>
      <c r="AE426" s="63"/>
    </row>
    <row r="427" spans="2:31">
      <c r="B427" s="100"/>
      <c r="C427" s="100"/>
      <c r="D427" s="101"/>
      <c r="E427" s="101"/>
      <c r="F427" s="101"/>
      <c r="G427" s="102"/>
      <c r="H427" s="101"/>
      <c r="I427" s="101"/>
      <c r="J427" s="101"/>
      <c r="K427" s="101"/>
      <c r="L427" s="101"/>
      <c r="M427" s="101"/>
      <c r="N427" s="100"/>
      <c r="O427" s="100"/>
      <c r="P427" s="101"/>
      <c r="Q427" s="101"/>
      <c r="R427" s="106" t="str">
        <f>IF(Table2[[#This Row],[Defect Classification]]="","",IF(Table2[[#This Row],[Defect Classification]]="Internal",1,0))</f>
        <v/>
      </c>
      <c r="S427" s="106" t="str">
        <f>IF(Table2[[#This Row],[Defect Classification]]="","",IF(Table2[[#This Row],[Defect Classification]]="External",1,0))</f>
        <v/>
      </c>
      <c r="T427" s="100"/>
      <c r="U427" s="101"/>
      <c r="V427" s="100"/>
      <c r="W427" s="101"/>
      <c r="X427" s="101"/>
      <c r="Y427" s="101"/>
      <c r="Z427" s="101"/>
      <c r="AA427" s="112" t="str">
        <f>IF(ISNA(VLOOKUP(Table2[[#This Row],[Task ID]],Table1[],17,FALSE)),"",VLOOKUP(Table2[[#This Row],[Task ID]],Table1[],17,FALSE))</f>
        <v/>
      </c>
      <c r="AB427" s="115" t="str">
        <f>IF(Table2[[#This Row],[Defect Detected On Date ]]="","",TEXT(Table2[[#This Row],[Defect Detected On Date ]],"mmm"))</f>
        <v/>
      </c>
      <c r="AE427" s="63"/>
    </row>
    <row r="428" spans="2:31">
      <c r="B428" s="100"/>
      <c r="C428" s="100"/>
      <c r="D428" s="101"/>
      <c r="E428" s="101"/>
      <c r="F428" s="101"/>
      <c r="G428" s="102"/>
      <c r="H428" s="101"/>
      <c r="I428" s="101"/>
      <c r="J428" s="101"/>
      <c r="K428" s="101"/>
      <c r="L428" s="101"/>
      <c r="M428" s="101"/>
      <c r="N428" s="100"/>
      <c r="O428" s="100"/>
      <c r="P428" s="101"/>
      <c r="Q428" s="101"/>
      <c r="R428" s="106" t="str">
        <f>IF(Table2[[#This Row],[Defect Classification]]="","",IF(Table2[[#This Row],[Defect Classification]]="Internal",1,0))</f>
        <v/>
      </c>
      <c r="S428" s="106" t="str">
        <f>IF(Table2[[#This Row],[Defect Classification]]="","",IF(Table2[[#This Row],[Defect Classification]]="External",1,0))</f>
        <v/>
      </c>
      <c r="T428" s="100"/>
      <c r="U428" s="101"/>
      <c r="V428" s="100"/>
      <c r="W428" s="101"/>
      <c r="X428" s="101"/>
      <c r="Y428" s="101"/>
      <c r="Z428" s="101"/>
      <c r="AA428" s="112" t="str">
        <f>IF(ISNA(VLOOKUP(Table2[[#This Row],[Task ID]],Table1[],17,FALSE)),"",VLOOKUP(Table2[[#This Row],[Task ID]],Table1[],17,FALSE))</f>
        <v/>
      </c>
      <c r="AB428" s="115" t="str">
        <f>IF(Table2[[#This Row],[Defect Detected On Date ]]="","",TEXT(Table2[[#This Row],[Defect Detected On Date ]],"mmm"))</f>
        <v/>
      </c>
      <c r="AE428" s="63"/>
    </row>
    <row r="429" spans="2:31">
      <c r="B429" s="100"/>
      <c r="C429" s="100"/>
      <c r="D429" s="101"/>
      <c r="E429" s="101"/>
      <c r="F429" s="101"/>
      <c r="G429" s="102"/>
      <c r="H429" s="101"/>
      <c r="I429" s="101"/>
      <c r="J429" s="101"/>
      <c r="K429" s="101"/>
      <c r="L429" s="101"/>
      <c r="M429" s="101"/>
      <c r="N429" s="100"/>
      <c r="O429" s="100"/>
      <c r="P429" s="101"/>
      <c r="Q429" s="101"/>
      <c r="R429" s="106" t="str">
        <f>IF(Table2[[#This Row],[Defect Classification]]="","",IF(Table2[[#This Row],[Defect Classification]]="Internal",1,0))</f>
        <v/>
      </c>
      <c r="S429" s="106" t="str">
        <f>IF(Table2[[#This Row],[Defect Classification]]="","",IF(Table2[[#This Row],[Defect Classification]]="External",1,0))</f>
        <v/>
      </c>
      <c r="T429" s="100"/>
      <c r="U429" s="101"/>
      <c r="V429" s="100"/>
      <c r="W429" s="101"/>
      <c r="X429" s="101"/>
      <c r="Y429" s="101"/>
      <c r="Z429" s="101"/>
      <c r="AA429" s="112" t="str">
        <f>IF(ISNA(VLOOKUP(Table2[[#This Row],[Task ID]],Table1[],17,FALSE)),"",VLOOKUP(Table2[[#This Row],[Task ID]],Table1[],17,FALSE))</f>
        <v/>
      </c>
      <c r="AB429" s="115" t="str">
        <f>IF(Table2[[#This Row],[Defect Detected On Date ]]="","",TEXT(Table2[[#This Row],[Defect Detected On Date ]],"mmm"))</f>
        <v/>
      </c>
      <c r="AE429" s="63"/>
    </row>
    <row r="430" spans="2:31">
      <c r="B430" s="100"/>
      <c r="C430" s="100"/>
      <c r="D430" s="101"/>
      <c r="E430" s="101"/>
      <c r="F430" s="101"/>
      <c r="G430" s="102"/>
      <c r="H430" s="101"/>
      <c r="I430" s="101"/>
      <c r="J430" s="101"/>
      <c r="K430" s="101"/>
      <c r="L430" s="101"/>
      <c r="M430" s="101"/>
      <c r="N430" s="100"/>
      <c r="O430" s="100"/>
      <c r="P430" s="101"/>
      <c r="Q430" s="101"/>
      <c r="R430" s="106" t="str">
        <f>IF(Table2[[#This Row],[Defect Classification]]="","",IF(Table2[[#This Row],[Defect Classification]]="Internal",1,0))</f>
        <v/>
      </c>
      <c r="S430" s="106" t="str">
        <f>IF(Table2[[#This Row],[Defect Classification]]="","",IF(Table2[[#This Row],[Defect Classification]]="External",1,0))</f>
        <v/>
      </c>
      <c r="T430" s="100"/>
      <c r="U430" s="101"/>
      <c r="V430" s="100"/>
      <c r="W430" s="101"/>
      <c r="X430" s="101"/>
      <c r="Y430" s="101"/>
      <c r="Z430" s="101"/>
      <c r="AA430" s="112" t="str">
        <f>IF(ISNA(VLOOKUP(Table2[[#This Row],[Task ID]],Table1[],17,FALSE)),"",VLOOKUP(Table2[[#This Row],[Task ID]],Table1[],17,FALSE))</f>
        <v/>
      </c>
      <c r="AB430" s="115" t="str">
        <f>IF(Table2[[#This Row],[Defect Detected On Date ]]="","",TEXT(Table2[[#This Row],[Defect Detected On Date ]],"mmm"))</f>
        <v/>
      </c>
      <c r="AE430" s="63"/>
    </row>
    <row r="431" spans="2:31">
      <c r="B431" s="100"/>
      <c r="C431" s="100"/>
      <c r="D431" s="101"/>
      <c r="E431" s="101"/>
      <c r="F431" s="101"/>
      <c r="G431" s="102"/>
      <c r="H431" s="101"/>
      <c r="I431" s="101"/>
      <c r="J431" s="101"/>
      <c r="K431" s="101"/>
      <c r="L431" s="101"/>
      <c r="M431" s="101"/>
      <c r="N431" s="100"/>
      <c r="O431" s="100"/>
      <c r="P431" s="101"/>
      <c r="Q431" s="101"/>
      <c r="R431" s="106" t="str">
        <f>IF(Table2[[#This Row],[Defect Classification]]="","",IF(Table2[[#This Row],[Defect Classification]]="Internal",1,0))</f>
        <v/>
      </c>
      <c r="S431" s="106" t="str">
        <f>IF(Table2[[#This Row],[Defect Classification]]="","",IF(Table2[[#This Row],[Defect Classification]]="External",1,0))</f>
        <v/>
      </c>
      <c r="T431" s="100"/>
      <c r="U431" s="101"/>
      <c r="V431" s="100"/>
      <c r="W431" s="101"/>
      <c r="X431" s="101"/>
      <c r="Y431" s="101"/>
      <c r="Z431" s="101"/>
      <c r="AA431" s="112" t="str">
        <f>IF(ISNA(VLOOKUP(Table2[[#This Row],[Task ID]],Table1[],17,FALSE)),"",VLOOKUP(Table2[[#This Row],[Task ID]],Table1[],17,FALSE))</f>
        <v/>
      </c>
      <c r="AB431" s="115" t="str">
        <f>IF(Table2[[#This Row],[Defect Detected On Date ]]="","",TEXT(Table2[[#This Row],[Defect Detected On Date ]],"mmm"))</f>
        <v/>
      </c>
      <c r="AE431" s="63"/>
    </row>
    <row r="432" spans="2:31">
      <c r="B432" s="100"/>
      <c r="C432" s="100"/>
      <c r="D432" s="101"/>
      <c r="E432" s="101"/>
      <c r="F432" s="101"/>
      <c r="G432" s="102"/>
      <c r="H432" s="101"/>
      <c r="I432" s="101"/>
      <c r="J432" s="101"/>
      <c r="K432" s="101"/>
      <c r="L432" s="101"/>
      <c r="M432" s="101"/>
      <c r="N432" s="100"/>
      <c r="O432" s="100"/>
      <c r="P432" s="101"/>
      <c r="Q432" s="101"/>
      <c r="R432" s="106" t="str">
        <f>IF(Table2[[#This Row],[Defect Classification]]="","",IF(Table2[[#This Row],[Defect Classification]]="Internal",1,0))</f>
        <v/>
      </c>
      <c r="S432" s="106" t="str">
        <f>IF(Table2[[#This Row],[Defect Classification]]="","",IF(Table2[[#This Row],[Defect Classification]]="External",1,0))</f>
        <v/>
      </c>
      <c r="T432" s="100"/>
      <c r="U432" s="101"/>
      <c r="V432" s="100"/>
      <c r="W432" s="101"/>
      <c r="X432" s="101"/>
      <c r="Y432" s="101"/>
      <c r="Z432" s="101"/>
      <c r="AA432" s="112" t="str">
        <f>IF(ISNA(VLOOKUP(Table2[[#This Row],[Task ID]],Table1[],17,FALSE)),"",VLOOKUP(Table2[[#This Row],[Task ID]],Table1[],17,FALSE))</f>
        <v/>
      </c>
      <c r="AB432" s="115" t="str">
        <f>IF(Table2[[#This Row],[Defect Detected On Date ]]="","",TEXT(Table2[[#This Row],[Defect Detected On Date ]],"mmm"))</f>
        <v/>
      </c>
      <c r="AE432" s="63"/>
    </row>
    <row r="433" spans="2:31">
      <c r="B433" s="100"/>
      <c r="C433" s="100"/>
      <c r="D433" s="101"/>
      <c r="E433" s="101"/>
      <c r="F433" s="101"/>
      <c r="G433" s="102"/>
      <c r="H433" s="101"/>
      <c r="I433" s="101"/>
      <c r="J433" s="101"/>
      <c r="K433" s="101"/>
      <c r="L433" s="101"/>
      <c r="M433" s="101"/>
      <c r="N433" s="100"/>
      <c r="O433" s="100"/>
      <c r="P433" s="101"/>
      <c r="Q433" s="101"/>
      <c r="R433" s="106" t="str">
        <f>IF(Table2[[#This Row],[Defect Classification]]="","",IF(Table2[[#This Row],[Defect Classification]]="Internal",1,0))</f>
        <v/>
      </c>
      <c r="S433" s="106" t="str">
        <f>IF(Table2[[#This Row],[Defect Classification]]="","",IF(Table2[[#This Row],[Defect Classification]]="External",1,0))</f>
        <v/>
      </c>
      <c r="T433" s="100"/>
      <c r="U433" s="101"/>
      <c r="V433" s="100"/>
      <c r="W433" s="101"/>
      <c r="X433" s="101"/>
      <c r="Y433" s="101"/>
      <c r="Z433" s="101"/>
      <c r="AA433" s="112" t="str">
        <f>IF(ISNA(VLOOKUP(Table2[[#This Row],[Task ID]],Table1[],17,FALSE)),"",VLOOKUP(Table2[[#This Row],[Task ID]],Table1[],17,FALSE))</f>
        <v/>
      </c>
      <c r="AB433" s="115" t="str">
        <f>IF(Table2[[#This Row],[Defect Detected On Date ]]="","",TEXT(Table2[[#This Row],[Defect Detected On Date ]],"mmm"))</f>
        <v/>
      </c>
      <c r="AE433" s="63"/>
    </row>
    <row r="434" spans="2:31">
      <c r="B434" s="100"/>
      <c r="C434" s="100"/>
      <c r="D434" s="101"/>
      <c r="E434" s="101"/>
      <c r="F434" s="101"/>
      <c r="G434" s="102"/>
      <c r="H434" s="101"/>
      <c r="I434" s="101"/>
      <c r="J434" s="101"/>
      <c r="K434" s="101"/>
      <c r="L434" s="101"/>
      <c r="M434" s="101"/>
      <c r="N434" s="100"/>
      <c r="O434" s="100"/>
      <c r="P434" s="101"/>
      <c r="Q434" s="101"/>
      <c r="R434" s="106" t="str">
        <f>IF(Table2[[#This Row],[Defect Classification]]="","",IF(Table2[[#This Row],[Defect Classification]]="Internal",1,0))</f>
        <v/>
      </c>
      <c r="S434" s="106" t="str">
        <f>IF(Table2[[#This Row],[Defect Classification]]="","",IF(Table2[[#This Row],[Defect Classification]]="External",1,0))</f>
        <v/>
      </c>
      <c r="T434" s="100"/>
      <c r="U434" s="101"/>
      <c r="V434" s="100"/>
      <c r="W434" s="101"/>
      <c r="X434" s="101"/>
      <c r="Y434" s="101"/>
      <c r="Z434" s="101"/>
      <c r="AA434" s="112" t="str">
        <f>IF(ISNA(VLOOKUP(Table2[[#This Row],[Task ID]],Table1[],17,FALSE)),"",VLOOKUP(Table2[[#This Row],[Task ID]],Table1[],17,FALSE))</f>
        <v/>
      </c>
      <c r="AB434" s="115" t="str">
        <f>IF(Table2[[#This Row],[Defect Detected On Date ]]="","",TEXT(Table2[[#This Row],[Defect Detected On Date ]],"mmm"))</f>
        <v/>
      </c>
      <c r="AE434" s="63"/>
    </row>
    <row r="435" spans="2:31">
      <c r="B435" s="100"/>
      <c r="C435" s="100"/>
      <c r="D435" s="101"/>
      <c r="E435" s="101"/>
      <c r="F435" s="101"/>
      <c r="G435" s="102"/>
      <c r="H435" s="101"/>
      <c r="I435" s="101"/>
      <c r="J435" s="101"/>
      <c r="K435" s="101"/>
      <c r="L435" s="101"/>
      <c r="M435" s="101"/>
      <c r="N435" s="100"/>
      <c r="O435" s="100"/>
      <c r="P435" s="101"/>
      <c r="Q435" s="101"/>
      <c r="R435" s="106" t="str">
        <f>IF(Table2[[#This Row],[Defect Classification]]="","",IF(Table2[[#This Row],[Defect Classification]]="Internal",1,0))</f>
        <v/>
      </c>
      <c r="S435" s="106" t="str">
        <f>IF(Table2[[#This Row],[Defect Classification]]="","",IF(Table2[[#This Row],[Defect Classification]]="External",1,0))</f>
        <v/>
      </c>
      <c r="T435" s="100"/>
      <c r="U435" s="101"/>
      <c r="V435" s="100"/>
      <c r="W435" s="101"/>
      <c r="X435" s="101"/>
      <c r="Y435" s="101"/>
      <c r="Z435" s="101"/>
      <c r="AA435" s="112" t="str">
        <f>IF(ISNA(VLOOKUP(Table2[[#This Row],[Task ID]],Table1[],17,FALSE)),"",VLOOKUP(Table2[[#This Row],[Task ID]],Table1[],17,FALSE))</f>
        <v/>
      </c>
      <c r="AB435" s="115" t="str">
        <f>IF(Table2[[#This Row],[Defect Detected On Date ]]="","",TEXT(Table2[[#This Row],[Defect Detected On Date ]],"mmm"))</f>
        <v/>
      </c>
      <c r="AE435" s="63"/>
    </row>
    <row r="436" spans="2:31">
      <c r="B436" s="100"/>
      <c r="C436" s="100"/>
      <c r="D436" s="101"/>
      <c r="E436" s="101"/>
      <c r="F436" s="101"/>
      <c r="G436" s="102"/>
      <c r="H436" s="101"/>
      <c r="I436" s="101"/>
      <c r="J436" s="101"/>
      <c r="K436" s="101"/>
      <c r="L436" s="101"/>
      <c r="M436" s="101"/>
      <c r="N436" s="100"/>
      <c r="O436" s="100"/>
      <c r="P436" s="101"/>
      <c r="Q436" s="101"/>
      <c r="R436" s="106" t="str">
        <f>IF(Table2[[#This Row],[Defect Classification]]="","",IF(Table2[[#This Row],[Defect Classification]]="Internal",1,0))</f>
        <v/>
      </c>
      <c r="S436" s="106" t="str">
        <f>IF(Table2[[#This Row],[Defect Classification]]="","",IF(Table2[[#This Row],[Defect Classification]]="External",1,0))</f>
        <v/>
      </c>
      <c r="T436" s="100"/>
      <c r="U436" s="101"/>
      <c r="V436" s="100"/>
      <c r="W436" s="101"/>
      <c r="X436" s="101"/>
      <c r="Y436" s="101"/>
      <c r="Z436" s="101"/>
      <c r="AA436" s="112" t="str">
        <f>IF(ISNA(VLOOKUP(Table2[[#This Row],[Task ID]],Table1[],17,FALSE)),"",VLOOKUP(Table2[[#This Row],[Task ID]],Table1[],17,FALSE))</f>
        <v/>
      </c>
      <c r="AB436" s="115" t="str">
        <f>IF(Table2[[#This Row],[Defect Detected On Date ]]="","",TEXT(Table2[[#This Row],[Defect Detected On Date ]],"mmm"))</f>
        <v/>
      </c>
      <c r="AE436" s="63"/>
    </row>
    <row r="437" spans="2:31">
      <c r="B437" s="100"/>
      <c r="C437" s="100"/>
      <c r="D437" s="101"/>
      <c r="E437" s="101"/>
      <c r="F437" s="101"/>
      <c r="G437" s="102"/>
      <c r="H437" s="101"/>
      <c r="I437" s="101"/>
      <c r="J437" s="101"/>
      <c r="K437" s="101"/>
      <c r="L437" s="101"/>
      <c r="M437" s="101"/>
      <c r="N437" s="100"/>
      <c r="O437" s="100"/>
      <c r="P437" s="101"/>
      <c r="Q437" s="101"/>
      <c r="R437" s="106" t="str">
        <f>IF(Table2[[#This Row],[Defect Classification]]="","",IF(Table2[[#This Row],[Defect Classification]]="Internal",1,0))</f>
        <v/>
      </c>
      <c r="S437" s="106" t="str">
        <f>IF(Table2[[#This Row],[Defect Classification]]="","",IF(Table2[[#This Row],[Defect Classification]]="External",1,0))</f>
        <v/>
      </c>
      <c r="T437" s="100"/>
      <c r="U437" s="101"/>
      <c r="V437" s="100"/>
      <c r="W437" s="101"/>
      <c r="X437" s="101"/>
      <c r="Y437" s="101"/>
      <c r="Z437" s="101"/>
      <c r="AA437" s="112" t="str">
        <f>IF(ISNA(VLOOKUP(Table2[[#This Row],[Task ID]],Table1[],17,FALSE)),"",VLOOKUP(Table2[[#This Row],[Task ID]],Table1[],17,FALSE))</f>
        <v/>
      </c>
      <c r="AB437" s="115" t="str">
        <f>IF(Table2[[#This Row],[Defect Detected On Date ]]="","",TEXT(Table2[[#This Row],[Defect Detected On Date ]],"mmm"))</f>
        <v/>
      </c>
      <c r="AE437" s="63"/>
    </row>
    <row r="438" spans="2:31">
      <c r="B438" s="100"/>
      <c r="C438" s="100"/>
      <c r="D438" s="101"/>
      <c r="E438" s="101"/>
      <c r="F438" s="101"/>
      <c r="G438" s="102"/>
      <c r="H438" s="101"/>
      <c r="I438" s="101"/>
      <c r="J438" s="101"/>
      <c r="K438" s="101"/>
      <c r="L438" s="101"/>
      <c r="M438" s="101"/>
      <c r="N438" s="100"/>
      <c r="O438" s="100"/>
      <c r="P438" s="101"/>
      <c r="Q438" s="101"/>
      <c r="R438" s="106" t="str">
        <f>IF(Table2[[#This Row],[Defect Classification]]="","",IF(Table2[[#This Row],[Defect Classification]]="Internal",1,0))</f>
        <v/>
      </c>
      <c r="S438" s="106" t="str">
        <f>IF(Table2[[#This Row],[Defect Classification]]="","",IF(Table2[[#This Row],[Defect Classification]]="External",1,0))</f>
        <v/>
      </c>
      <c r="T438" s="100"/>
      <c r="U438" s="101"/>
      <c r="V438" s="100"/>
      <c r="W438" s="101"/>
      <c r="X438" s="101"/>
      <c r="Y438" s="101"/>
      <c r="Z438" s="101"/>
      <c r="AA438" s="112" t="str">
        <f>IF(ISNA(VLOOKUP(Table2[[#This Row],[Task ID]],Table1[],17,FALSE)),"",VLOOKUP(Table2[[#This Row],[Task ID]],Table1[],17,FALSE))</f>
        <v/>
      </c>
      <c r="AB438" s="115" t="str">
        <f>IF(Table2[[#This Row],[Defect Detected On Date ]]="","",TEXT(Table2[[#This Row],[Defect Detected On Date ]],"mmm"))</f>
        <v/>
      </c>
      <c r="AE438" s="63"/>
    </row>
    <row r="439" spans="2:31">
      <c r="B439" s="100"/>
      <c r="C439" s="100"/>
      <c r="D439" s="101"/>
      <c r="E439" s="101"/>
      <c r="F439" s="101"/>
      <c r="G439" s="102"/>
      <c r="H439" s="101"/>
      <c r="I439" s="101"/>
      <c r="J439" s="101"/>
      <c r="K439" s="101"/>
      <c r="L439" s="101"/>
      <c r="M439" s="101"/>
      <c r="N439" s="100"/>
      <c r="O439" s="100"/>
      <c r="P439" s="101"/>
      <c r="Q439" s="101"/>
      <c r="R439" s="106" t="str">
        <f>IF(Table2[[#This Row],[Defect Classification]]="","",IF(Table2[[#This Row],[Defect Classification]]="Internal",1,0))</f>
        <v/>
      </c>
      <c r="S439" s="106" t="str">
        <f>IF(Table2[[#This Row],[Defect Classification]]="","",IF(Table2[[#This Row],[Defect Classification]]="External",1,0))</f>
        <v/>
      </c>
      <c r="T439" s="100"/>
      <c r="U439" s="101"/>
      <c r="V439" s="100"/>
      <c r="W439" s="101"/>
      <c r="X439" s="101"/>
      <c r="Y439" s="101"/>
      <c r="Z439" s="101"/>
      <c r="AA439" s="112" t="str">
        <f>IF(ISNA(VLOOKUP(Table2[[#This Row],[Task ID]],Table1[],17,FALSE)),"",VLOOKUP(Table2[[#This Row],[Task ID]],Table1[],17,FALSE))</f>
        <v/>
      </c>
      <c r="AB439" s="115" t="str">
        <f>IF(Table2[[#This Row],[Defect Detected On Date ]]="","",TEXT(Table2[[#This Row],[Defect Detected On Date ]],"mmm"))</f>
        <v/>
      </c>
      <c r="AE439" s="63"/>
    </row>
    <row r="440" spans="2:31">
      <c r="B440" s="100"/>
      <c r="C440" s="100"/>
      <c r="D440" s="101"/>
      <c r="E440" s="101"/>
      <c r="F440" s="101"/>
      <c r="G440" s="102"/>
      <c r="H440" s="101"/>
      <c r="I440" s="101"/>
      <c r="J440" s="101"/>
      <c r="K440" s="101"/>
      <c r="L440" s="101"/>
      <c r="M440" s="101"/>
      <c r="N440" s="100"/>
      <c r="O440" s="100"/>
      <c r="P440" s="101"/>
      <c r="Q440" s="101"/>
      <c r="R440" s="106" t="str">
        <f>IF(Table2[[#This Row],[Defect Classification]]="","",IF(Table2[[#This Row],[Defect Classification]]="Internal",1,0))</f>
        <v/>
      </c>
      <c r="S440" s="106" t="str">
        <f>IF(Table2[[#This Row],[Defect Classification]]="","",IF(Table2[[#This Row],[Defect Classification]]="External",1,0))</f>
        <v/>
      </c>
      <c r="T440" s="100"/>
      <c r="U440" s="101"/>
      <c r="V440" s="100"/>
      <c r="W440" s="101"/>
      <c r="X440" s="101"/>
      <c r="Y440" s="101"/>
      <c r="Z440" s="101"/>
      <c r="AA440" s="112" t="str">
        <f>IF(ISNA(VLOOKUP(Table2[[#This Row],[Task ID]],Table1[],17,FALSE)),"",VLOOKUP(Table2[[#This Row],[Task ID]],Table1[],17,FALSE))</f>
        <v/>
      </c>
      <c r="AB440" s="115" t="str">
        <f>IF(Table2[[#This Row],[Defect Detected On Date ]]="","",TEXT(Table2[[#This Row],[Defect Detected On Date ]],"mmm"))</f>
        <v/>
      </c>
      <c r="AE440" s="63"/>
    </row>
    <row r="441" spans="2:31">
      <c r="B441" s="100"/>
      <c r="C441" s="100"/>
      <c r="D441" s="101"/>
      <c r="E441" s="101"/>
      <c r="F441" s="101"/>
      <c r="G441" s="102"/>
      <c r="H441" s="101"/>
      <c r="I441" s="101"/>
      <c r="J441" s="101"/>
      <c r="K441" s="101"/>
      <c r="L441" s="101"/>
      <c r="M441" s="101"/>
      <c r="N441" s="100"/>
      <c r="O441" s="100"/>
      <c r="P441" s="101"/>
      <c r="Q441" s="101"/>
      <c r="R441" s="106" t="str">
        <f>IF(Table2[[#This Row],[Defect Classification]]="","",IF(Table2[[#This Row],[Defect Classification]]="Internal",1,0))</f>
        <v/>
      </c>
      <c r="S441" s="106" t="str">
        <f>IF(Table2[[#This Row],[Defect Classification]]="","",IF(Table2[[#This Row],[Defect Classification]]="External",1,0))</f>
        <v/>
      </c>
      <c r="T441" s="100"/>
      <c r="U441" s="101"/>
      <c r="V441" s="100"/>
      <c r="W441" s="101"/>
      <c r="X441" s="101"/>
      <c r="Y441" s="101"/>
      <c r="Z441" s="101"/>
      <c r="AA441" s="112" t="str">
        <f>IF(ISNA(VLOOKUP(Table2[[#This Row],[Task ID]],Table1[],17,FALSE)),"",VLOOKUP(Table2[[#This Row],[Task ID]],Table1[],17,FALSE))</f>
        <v/>
      </c>
      <c r="AB441" s="115" t="str">
        <f>IF(Table2[[#This Row],[Defect Detected On Date ]]="","",TEXT(Table2[[#This Row],[Defect Detected On Date ]],"mmm"))</f>
        <v/>
      </c>
      <c r="AE441" s="63"/>
    </row>
    <row r="442" spans="2:31">
      <c r="B442" s="100"/>
      <c r="C442" s="100"/>
      <c r="D442" s="101"/>
      <c r="E442" s="101"/>
      <c r="F442" s="101"/>
      <c r="G442" s="102"/>
      <c r="H442" s="101"/>
      <c r="I442" s="101"/>
      <c r="J442" s="101"/>
      <c r="K442" s="101"/>
      <c r="L442" s="101"/>
      <c r="M442" s="101"/>
      <c r="N442" s="100"/>
      <c r="O442" s="100"/>
      <c r="P442" s="101"/>
      <c r="Q442" s="101"/>
      <c r="R442" s="106" t="str">
        <f>IF(Table2[[#This Row],[Defect Classification]]="","",IF(Table2[[#This Row],[Defect Classification]]="Internal",1,0))</f>
        <v/>
      </c>
      <c r="S442" s="106" t="str">
        <f>IF(Table2[[#This Row],[Defect Classification]]="","",IF(Table2[[#This Row],[Defect Classification]]="External",1,0))</f>
        <v/>
      </c>
      <c r="T442" s="100"/>
      <c r="U442" s="101"/>
      <c r="V442" s="100"/>
      <c r="W442" s="101"/>
      <c r="X442" s="101"/>
      <c r="Y442" s="101"/>
      <c r="Z442" s="101"/>
      <c r="AA442" s="112" t="str">
        <f>IF(ISNA(VLOOKUP(Table2[[#This Row],[Task ID]],Table1[],17,FALSE)),"",VLOOKUP(Table2[[#This Row],[Task ID]],Table1[],17,FALSE))</f>
        <v/>
      </c>
      <c r="AB442" s="115" t="str">
        <f>IF(Table2[[#This Row],[Defect Detected On Date ]]="","",TEXT(Table2[[#This Row],[Defect Detected On Date ]],"mmm"))</f>
        <v/>
      </c>
      <c r="AE442" s="63"/>
    </row>
    <row r="443" spans="2:31">
      <c r="B443" s="100"/>
      <c r="C443" s="100"/>
      <c r="D443" s="101"/>
      <c r="E443" s="101"/>
      <c r="F443" s="101"/>
      <c r="G443" s="102"/>
      <c r="H443" s="101"/>
      <c r="I443" s="101"/>
      <c r="J443" s="101"/>
      <c r="K443" s="101"/>
      <c r="L443" s="101"/>
      <c r="M443" s="101"/>
      <c r="N443" s="100"/>
      <c r="O443" s="100"/>
      <c r="P443" s="101"/>
      <c r="Q443" s="101"/>
      <c r="R443" s="106" t="str">
        <f>IF(Table2[[#This Row],[Defect Classification]]="","",IF(Table2[[#This Row],[Defect Classification]]="Internal",1,0))</f>
        <v/>
      </c>
      <c r="S443" s="106" t="str">
        <f>IF(Table2[[#This Row],[Defect Classification]]="","",IF(Table2[[#This Row],[Defect Classification]]="External",1,0))</f>
        <v/>
      </c>
      <c r="T443" s="100"/>
      <c r="U443" s="101"/>
      <c r="V443" s="100"/>
      <c r="W443" s="101"/>
      <c r="X443" s="101"/>
      <c r="Y443" s="101"/>
      <c r="Z443" s="101"/>
      <c r="AA443" s="112" t="str">
        <f>IF(ISNA(VLOOKUP(Table2[[#This Row],[Task ID]],Table1[],17,FALSE)),"",VLOOKUP(Table2[[#This Row],[Task ID]],Table1[],17,FALSE))</f>
        <v/>
      </c>
      <c r="AB443" s="115" t="str">
        <f>IF(Table2[[#This Row],[Defect Detected On Date ]]="","",TEXT(Table2[[#This Row],[Defect Detected On Date ]],"mmm"))</f>
        <v/>
      </c>
      <c r="AE443" s="63"/>
    </row>
    <row r="444" spans="2:31">
      <c r="B444" s="100"/>
      <c r="C444" s="100"/>
      <c r="D444" s="101"/>
      <c r="E444" s="101"/>
      <c r="F444" s="101"/>
      <c r="G444" s="102"/>
      <c r="H444" s="101"/>
      <c r="I444" s="101"/>
      <c r="J444" s="101"/>
      <c r="K444" s="101"/>
      <c r="L444" s="101"/>
      <c r="M444" s="101"/>
      <c r="N444" s="100"/>
      <c r="O444" s="100"/>
      <c r="P444" s="101"/>
      <c r="Q444" s="101"/>
      <c r="R444" s="106" t="str">
        <f>IF(Table2[[#This Row],[Defect Classification]]="","",IF(Table2[[#This Row],[Defect Classification]]="Internal",1,0))</f>
        <v/>
      </c>
      <c r="S444" s="106" t="str">
        <f>IF(Table2[[#This Row],[Defect Classification]]="","",IF(Table2[[#This Row],[Defect Classification]]="External",1,0))</f>
        <v/>
      </c>
      <c r="T444" s="100"/>
      <c r="U444" s="101"/>
      <c r="V444" s="100"/>
      <c r="W444" s="101"/>
      <c r="X444" s="101"/>
      <c r="Y444" s="101"/>
      <c r="Z444" s="101"/>
      <c r="AA444" s="112" t="str">
        <f>IF(ISNA(VLOOKUP(Table2[[#This Row],[Task ID]],Table1[],17,FALSE)),"",VLOOKUP(Table2[[#This Row],[Task ID]],Table1[],17,FALSE))</f>
        <v/>
      </c>
      <c r="AB444" s="115" t="str">
        <f>IF(Table2[[#This Row],[Defect Detected On Date ]]="","",TEXT(Table2[[#This Row],[Defect Detected On Date ]],"mmm"))</f>
        <v/>
      </c>
      <c r="AE444" s="63"/>
    </row>
    <row r="445" spans="2:31">
      <c r="B445" s="100"/>
      <c r="C445" s="100"/>
      <c r="D445" s="101"/>
      <c r="E445" s="101"/>
      <c r="F445" s="101"/>
      <c r="G445" s="102"/>
      <c r="H445" s="101"/>
      <c r="I445" s="101"/>
      <c r="J445" s="101"/>
      <c r="K445" s="101"/>
      <c r="L445" s="101"/>
      <c r="M445" s="101"/>
      <c r="N445" s="100"/>
      <c r="O445" s="100"/>
      <c r="P445" s="101"/>
      <c r="Q445" s="101"/>
      <c r="R445" s="106" t="str">
        <f>IF(Table2[[#This Row],[Defect Classification]]="","",IF(Table2[[#This Row],[Defect Classification]]="Internal",1,0))</f>
        <v/>
      </c>
      <c r="S445" s="106" t="str">
        <f>IF(Table2[[#This Row],[Defect Classification]]="","",IF(Table2[[#This Row],[Defect Classification]]="External",1,0))</f>
        <v/>
      </c>
      <c r="T445" s="100"/>
      <c r="U445" s="101"/>
      <c r="V445" s="100"/>
      <c r="W445" s="101"/>
      <c r="X445" s="101"/>
      <c r="Y445" s="101"/>
      <c r="Z445" s="101"/>
      <c r="AA445" s="112" t="str">
        <f>IF(ISNA(VLOOKUP(Table2[[#This Row],[Task ID]],Table1[],17,FALSE)),"",VLOOKUP(Table2[[#This Row],[Task ID]],Table1[],17,FALSE))</f>
        <v/>
      </c>
      <c r="AB445" s="115" t="str">
        <f>IF(Table2[[#This Row],[Defect Detected On Date ]]="","",TEXT(Table2[[#This Row],[Defect Detected On Date ]],"mmm"))</f>
        <v/>
      </c>
      <c r="AE445" s="63"/>
    </row>
    <row r="446" spans="2:31">
      <c r="B446" s="100"/>
      <c r="C446" s="100"/>
      <c r="D446" s="101"/>
      <c r="E446" s="101"/>
      <c r="F446" s="101"/>
      <c r="G446" s="102"/>
      <c r="H446" s="101"/>
      <c r="I446" s="101"/>
      <c r="J446" s="101"/>
      <c r="K446" s="101"/>
      <c r="L446" s="101"/>
      <c r="M446" s="101"/>
      <c r="N446" s="100"/>
      <c r="O446" s="100"/>
      <c r="P446" s="101"/>
      <c r="Q446" s="101"/>
      <c r="R446" s="106" t="str">
        <f>IF(Table2[[#This Row],[Defect Classification]]="","",IF(Table2[[#This Row],[Defect Classification]]="Internal",1,0))</f>
        <v/>
      </c>
      <c r="S446" s="106" t="str">
        <f>IF(Table2[[#This Row],[Defect Classification]]="","",IF(Table2[[#This Row],[Defect Classification]]="External",1,0))</f>
        <v/>
      </c>
      <c r="T446" s="100"/>
      <c r="U446" s="101"/>
      <c r="V446" s="100"/>
      <c r="W446" s="101"/>
      <c r="X446" s="101"/>
      <c r="Y446" s="101"/>
      <c r="Z446" s="101"/>
      <c r="AA446" s="112" t="str">
        <f>IF(ISNA(VLOOKUP(Table2[[#This Row],[Task ID]],Table1[],17,FALSE)),"",VLOOKUP(Table2[[#This Row],[Task ID]],Table1[],17,FALSE))</f>
        <v/>
      </c>
      <c r="AB446" s="115" t="str">
        <f>IF(Table2[[#This Row],[Defect Detected On Date ]]="","",TEXT(Table2[[#This Row],[Defect Detected On Date ]],"mmm"))</f>
        <v/>
      </c>
      <c r="AE446" s="63"/>
    </row>
    <row r="447" spans="2:31">
      <c r="B447" s="100"/>
      <c r="C447" s="100"/>
      <c r="D447" s="101"/>
      <c r="E447" s="101"/>
      <c r="F447" s="101"/>
      <c r="G447" s="102"/>
      <c r="H447" s="101"/>
      <c r="I447" s="101"/>
      <c r="J447" s="101"/>
      <c r="K447" s="101"/>
      <c r="L447" s="101"/>
      <c r="M447" s="101"/>
      <c r="N447" s="100"/>
      <c r="O447" s="100"/>
      <c r="P447" s="101"/>
      <c r="Q447" s="101"/>
      <c r="R447" s="106" t="str">
        <f>IF(Table2[[#This Row],[Defect Classification]]="","",IF(Table2[[#This Row],[Defect Classification]]="Internal",1,0))</f>
        <v/>
      </c>
      <c r="S447" s="106" t="str">
        <f>IF(Table2[[#This Row],[Defect Classification]]="","",IF(Table2[[#This Row],[Defect Classification]]="External",1,0))</f>
        <v/>
      </c>
      <c r="T447" s="100"/>
      <c r="U447" s="101"/>
      <c r="V447" s="100"/>
      <c r="W447" s="101"/>
      <c r="X447" s="101"/>
      <c r="Y447" s="101"/>
      <c r="Z447" s="101"/>
      <c r="AA447" s="112" t="str">
        <f>IF(ISNA(VLOOKUP(Table2[[#This Row],[Task ID]],Table1[],17,FALSE)),"",VLOOKUP(Table2[[#This Row],[Task ID]],Table1[],17,FALSE))</f>
        <v/>
      </c>
      <c r="AB447" s="115" t="str">
        <f>IF(Table2[[#This Row],[Defect Detected On Date ]]="","",TEXT(Table2[[#This Row],[Defect Detected On Date ]],"mmm"))</f>
        <v/>
      </c>
      <c r="AE447" s="63"/>
    </row>
    <row r="448" spans="2:31">
      <c r="B448" s="100"/>
      <c r="C448" s="100"/>
      <c r="D448" s="101"/>
      <c r="E448" s="101"/>
      <c r="F448" s="101"/>
      <c r="G448" s="102"/>
      <c r="H448" s="101"/>
      <c r="I448" s="101"/>
      <c r="J448" s="101"/>
      <c r="K448" s="101"/>
      <c r="L448" s="101"/>
      <c r="M448" s="101"/>
      <c r="N448" s="100"/>
      <c r="O448" s="100"/>
      <c r="P448" s="101"/>
      <c r="Q448" s="101"/>
      <c r="R448" s="106" t="str">
        <f>IF(Table2[[#This Row],[Defect Classification]]="","",IF(Table2[[#This Row],[Defect Classification]]="Internal",1,0))</f>
        <v/>
      </c>
      <c r="S448" s="106" t="str">
        <f>IF(Table2[[#This Row],[Defect Classification]]="","",IF(Table2[[#This Row],[Defect Classification]]="External",1,0))</f>
        <v/>
      </c>
      <c r="T448" s="100"/>
      <c r="U448" s="101"/>
      <c r="V448" s="100"/>
      <c r="W448" s="101"/>
      <c r="X448" s="101"/>
      <c r="Y448" s="101"/>
      <c r="Z448" s="101"/>
      <c r="AA448" s="112" t="str">
        <f>IF(ISNA(VLOOKUP(Table2[[#This Row],[Task ID]],Table1[],17,FALSE)),"",VLOOKUP(Table2[[#This Row],[Task ID]],Table1[],17,FALSE))</f>
        <v/>
      </c>
      <c r="AB448" s="115" t="str">
        <f>IF(Table2[[#This Row],[Defect Detected On Date ]]="","",TEXT(Table2[[#This Row],[Defect Detected On Date ]],"mmm"))</f>
        <v/>
      </c>
      <c r="AE448" s="63"/>
    </row>
    <row r="449" spans="2:31">
      <c r="B449" s="100"/>
      <c r="C449" s="100"/>
      <c r="D449" s="101"/>
      <c r="E449" s="101"/>
      <c r="F449" s="101"/>
      <c r="G449" s="102"/>
      <c r="H449" s="101"/>
      <c r="I449" s="101"/>
      <c r="J449" s="101"/>
      <c r="K449" s="101"/>
      <c r="L449" s="101"/>
      <c r="M449" s="101"/>
      <c r="N449" s="100"/>
      <c r="O449" s="100"/>
      <c r="P449" s="101"/>
      <c r="Q449" s="101"/>
      <c r="R449" s="106" t="str">
        <f>IF(Table2[[#This Row],[Defect Classification]]="","",IF(Table2[[#This Row],[Defect Classification]]="Internal",1,0))</f>
        <v/>
      </c>
      <c r="S449" s="106" t="str">
        <f>IF(Table2[[#This Row],[Defect Classification]]="","",IF(Table2[[#This Row],[Defect Classification]]="External",1,0))</f>
        <v/>
      </c>
      <c r="T449" s="100"/>
      <c r="U449" s="101"/>
      <c r="V449" s="100"/>
      <c r="W449" s="101"/>
      <c r="X449" s="101"/>
      <c r="Y449" s="101"/>
      <c r="Z449" s="101"/>
      <c r="AA449" s="112" t="str">
        <f>IF(ISNA(VLOOKUP(Table2[[#This Row],[Task ID]],Table1[],17,FALSE)),"",VLOOKUP(Table2[[#This Row],[Task ID]],Table1[],17,FALSE))</f>
        <v/>
      </c>
      <c r="AB449" s="115" t="str">
        <f>IF(Table2[[#This Row],[Defect Detected On Date ]]="","",TEXT(Table2[[#This Row],[Defect Detected On Date ]],"mmm"))</f>
        <v/>
      </c>
      <c r="AE449" s="63"/>
    </row>
    <row r="450" spans="2:31">
      <c r="B450" s="100"/>
      <c r="C450" s="100"/>
      <c r="D450" s="101"/>
      <c r="E450" s="101"/>
      <c r="F450" s="101"/>
      <c r="G450" s="102"/>
      <c r="H450" s="101"/>
      <c r="I450" s="101"/>
      <c r="J450" s="101"/>
      <c r="K450" s="101"/>
      <c r="L450" s="101"/>
      <c r="M450" s="101"/>
      <c r="N450" s="100"/>
      <c r="O450" s="100"/>
      <c r="P450" s="101"/>
      <c r="Q450" s="101"/>
      <c r="R450" s="106" t="str">
        <f>IF(Table2[[#This Row],[Defect Classification]]="","",IF(Table2[[#This Row],[Defect Classification]]="Internal",1,0))</f>
        <v/>
      </c>
      <c r="S450" s="106" t="str">
        <f>IF(Table2[[#This Row],[Defect Classification]]="","",IF(Table2[[#This Row],[Defect Classification]]="External",1,0))</f>
        <v/>
      </c>
      <c r="T450" s="100"/>
      <c r="U450" s="101"/>
      <c r="V450" s="100"/>
      <c r="W450" s="101"/>
      <c r="X450" s="101"/>
      <c r="Y450" s="101"/>
      <c r="Z450" s="101"/>
      <c r="AA450" s="112" t="str">
        <f>IF(ISNA(VLOOKUP(Table2[[#This Row],[Task ID]],Table1[],17,FALSE)),"",VLOOKUP(Table2[[#This Row],[Task ID]],Table1[],17,FALSE))</f>
        <v/>
      </c>
      <c r="AB450" s="115" t="str">
        <f>IF(Table2[[#This Row],[Defect Detected On Date ]]="","",TEXT(Table2[[#This Row],[Defect Detected On Date ]],"mmm"))</f>
        <v/>
      </c>
      <c r="AE450" s="63"/>
    </row>
    <row r="451" spans="2:31">
      <c r="B451" s="100"/>
      <c r="C451" s="100"/>
      <c r="D451" s="101"/>
      <c r="E451" s="101"/>
      <c r="F451" s="101"/>
      <c r="G451" s="102"/>
      <c r="H451" s="101"/>
      <c r="I451" s="101"/>
      <c r="J451" s="101"/>
      <c r="K451" s="101"/>
      <c r="L451" s="101"/>
      <c r="M451" s="101"/>
      <c r="N451" s="100"/>
      <c r="O451" s="100"/>
      <c r="P451" s="101"/>
      <c r="Q451" s="101"/>
      <c r="R451" s="106" t="str">
        <f>IF(Table2[[#This Row],[Defect Classification]]="","",IF(Table2[[#This Row],[Defect Classification]]="Internal",1,0))</f>
        <v/>
      </c>
      <c r="S451" s="106" t="str">
        <f>IF(Table2[[#This Row],[Defect Classification]]="","",IF(Table2[[#This Row],[Defect Classification]]="External",1,0))</f>
        <v/>
      </c>
      <c r="T451" s="100"/>
      <c r="U451" s="101"/>
      <c r="V451" s="100"/>
      <c r="W451" s="101"/>
      <c r="X451" s="101"/>
      <c r="Y451" s="101"/>
      <c r="Z451" s="101"/>
      <c r="AA451" s="112" t="str">
        <f>IF(ISNA(VLOOKUP(Table2[[#This Row],[Task ID]],Table1[],17,FALSE)),"",VLOOKUP(Table2[[#This Row],[Task ID]],Table1[],17,FALSE))</f>
        <v/>
      </c>
      <c r="AB451" s="115" t="str">
        <f>IF(Table2[[#This Row],[Defect Detected On Date ]]="","",TEXT(Table2[[#This Row],[Defect Detected On Date ]],"mmm"))</f>
        <v/>
      </c>
      <c r="AE451" s="63"/>
    </row>
    <row r="452" spans="2:31">
      <c r="B452" s="100"/>
      <c r="C452" s="100"/>
      <c r="D452" s="101"/>
      <c r="E452" s="101"/>
      <c r="F452" s="101"/>
      <c r="G452" s="102"/>
      <c r="H452" s="101"/>
      <c r="I452" s="101"/>
      <c r="J452" s="101"/>
      <c r="K452" s="101"/>
      <c r="L452" s="101"/>
      <c r="M452" s="101"/>
      <c r="N452" s="100"/>
      <c r="O452" s="100"/>
      <c r="P452" s="101"/>
      <c r="Q452" s="101"/>
      <c r="R452" s="106" t="str">
        <f>IF(Table2[[#This Row],[Defect Classification]]="","",IF(Table2[[#This Row],[Defect Classification]]="Internal",1,0))</f>
        <v/>
      </c>
      <c r="S452" s="106" t="str">
        <f>IF(Table2[[#This Row],[Defect Classification]]="","",IF(Table2[[#This Row],[Defect Classification]]="External",1,0))</f>
        <v/>
      </c>
      <c r="T452" s="100"/>
      <c r="U452" s="101"/>
      <c r="V452" s="100"/>
      <c r="W452" s="101"/>
      <c r="X452" s="101"/>
      <c r="Y452" s="101"/>
      <c r="Z452" s="101"/>
      <c r="AA452" s="112" t="str">
        <f>IF(ISNA(VLOOKUP(Table2[[#This Row],[Task ID]],Table1[],17,FALSE)),"",VLOOKUP(Table2[[#This Row],[Task ID]],Table1[],17,FALSE))</f>
        <v/>
      </c>
      <c r="AB452" s="115" t="str">
        <f>IF(Table2[[#This Row],[Defect Detected On Date ]]="","",TEXT(Table2[[#This Row],[Defect Detected On Date ]],"mmm"))</f>
        <v/>
      </c>
      <c r="AE452" s="63"/>
    </row>
    <row r="453" spans="2:31">
      <c r="B453" s="100"/>
      <c r="C453" s="100"/>
      <c r="D453" s="101"/>
      <c r="E453" s="101"/>
      <c r="F453" s="101"/>
      <c r="G453" s="102"/>
      <c r="H453" s="101"/>
      <c r="I453" s="101"/>
      <c r="J453" s="101"/>
      <c r="K453" s="101"/>
      <c r="L453" s="101"/>
      <c r="M453" s="101"/>
      <c r="N453" s="100"/>
      <c r="O453" s="100"/>
      <c r="P453" s="101"/>
      <c r="Q453" s="101"/>
      <c r="R453" s="106" t="str">
        <f>IF(Table2[[#This Row],[Defect Classification]]="","",IF(Table2[[#This Row],[Defect Classification]]="Internal",1,0))</f>
        <v/>
      </c>
      <c r="S453" s="106" t="str">
        <f>IF(Table2[[#This Row],[Defect Classification]]="","",IF(Table2[[#This Row],[Defect Classification]]="External",1,0))</f>
        <v/>
      </c>
      <c r="T453" s="100"/>
      <c r="U453" s="101"/>
      <c r="V453" s="100"/>
      <c r="W453" s="101"/>
      <c r="X453" s="101"/>
      <c r="Y453" s="101"/>
      <c r="Z453" s="101"/>
      <c r="AA453" s="112" t="str">
        <f>IF(ISNA(VLOOKUP(Table2[[#This Row],[Task ID]],Table1[],17,FALSE)),"",VLOOKUP(Table2[[#This Row],[Task ID]],Table1[],17,FALSE))</f>
        <v/>
      </c>
      <c r="AB453" s="115" t="str">
        <f>IF(Table2[[#This Row],[Defect Detected On Date ]]="","",TEXT(Table2[[#This Row],[Defect Detected On Date ]],"mmm"))</f>
        <v/>
      </c>
      <c r="AE453" s="63"/>
    </row>
    <row r="454" spans="2:31">
      <c r="B454" s="100"/>
      <c r="C454" s="100"/>
      <c r="D454" s="101"/>
      <c r="E454" s="101"/>
      <c r="F454" s="101"/>
      <c r="G454" s="102"/>
      <c r="H454" s="101"/>
      <c r="I454" s="101"/>
      <c r="J454" s="101"/>
      <c r="K454" s="101"/>
      <c r="L454" s="101"/>
      <c r="M454" s="101"/>
      <c r="N454" s="100"/>
      <c r="O454" s="100"/>
      <c r="P454" s="101"/>
      <c r="Q454" s="101"/>
      <c r="R454" s="106" t="str">
        <f>IF(Table2[[#This Row],[Defect Classification]]="","",IF(Table2[[#This Row],[Defect Classification]]="Internal",1,0))</f>
        <v/>
      </c>
      <c r="S454" s="106" t="str">
        <f>IF(Table2[[#This Row],[Defect Classification]]="","",IF(Table2[[#This Row],[Defect Classification]]="External",1,0))</f>
        <v/>
      </c>
      <c r="T454" s="100"/>
      <c r="U454" s="101"/>
      <c r="V454" s="100"/>
      <c r="W454" s="101"/>
      <c r="X454" s="101"/>
      <c r="Y454" s="101"/>
      <c r="Z454" s="101"/>
      <c r="AA454" s="112" t="str">
        <f>IF(ISNA(VLOOKUP(Table2[[#This Row],[Task ID]],Table1[],17,FALSE)),"",VLOOKUP(Table2[[#This Row],[Task ID]],Table1[],17,FALSE))</f>
        <v/>
      </c>
      <c r="AB454" s="115" t="str">
        <f>IF(Table2[[#This Row],[Defect Detected On Date ]]="","",TEXT(Table2[[#This Row],[Defect Detected On Date ]],"mmm"))</f>
        <v/>
      </c>
      <c r="AE454" s="63"/>
    </row>
    <row r="455" spans="2:31">
      <c r="B455" s="100"/>
      <c r="C455" s="100"/>
      <c r="D455" s="101"/>
      <c r="E455" s="101"/>
      <c r="F455" s="101"/>
      <c r="G455" s="102"/>
      <c r="H455" s="101"/>
      <c r="I455" s="101"/>
      <c r="J455" s="101"/>
      <c r="K455" s="101"/>
      <c r="L455" s="101"/>
      <c r="M455" s="101"/>
      <c r="N455" s="100"/>
      <c r="O455" s="100"/>
      <c r="P455" s="101"/>
      <c r="Q455" s="101"/>
      <c r="R455" s="106" t="str">
        <f>IF(Table2[[#This Row],[Defect Classification]]="","",IF(Table2[[#This Row],[Defect Classification]]="Internal",1,0))</f>
        <v/>
      </c>
      <c r="S455" s="106" t="str">
        <f>IF(Table2[[#This Row],[Defect Classification]]="","",IF(Table2[[#This Row],[Defect Classification]]="External",1,0))</f>
        <v/>
      </c>
      <c r="T455" s="100"/>
      <c r="U455" s="101"/>
      <c r="V455" s="100"/>
      <c r="W455" s="101"/>
      <c r="X455" s="101"/>
      <c r="Y455" s="101"/>
      <c r="Z455" s="101"/>
      <c r="AA455" s="112" t="str">
        <f>IF(ISNA(VLOOKUP(Table2[[#This Row],[Task ID]],Table1[],17,FALSE)),"",VLOOKUP(Table2[[#This Row],[Task ID]],Table1[],17,FALSE))</f>
        <v/>
      </c>
      <c r="AB455" s="115" t="str">
        <f>IF(Table2[[#This Row],[Defect Detected On Date ]]="","",TEXT(Table2[[#This Row],[Defect Detected On Date ]],"mmm"))</f>
        <v/>
      </c>
      <c r="AE455" s="63"/>
    </row>
    <row r="456" spans="2:31">
      <c r="B456" s="100"/>
      <c r="C456" s="100"/>
      <c r="D456" s="101"/>
      <c r="E456" s="101"/>
      <c r="F456" s="101"/>
      <c r="G456" s="102"/>
      <c r="H456" s="101"/>
      <c r="I456" s="101"/>
      <c r="J456" s="101"/>
      <c r="K456" s="101"/>
      <c r="L456" s="101"/>
      <c r="M456" s="101"/>
      <c r="N456" s="100"/>
      <c r="O456" s="100"/>
      <c r="P456" s="101"/>
      <c r="Q456" s="101"/>
      <c r="R456" s="106" t="str">
        <f>IF(Table2[[#This Row],[Defect Classification]]="","",IF(Table2[[#This Row],[Defect Classification]]="Internal",1,0))</f>
        <v/>
      </c>
      <c r="S456" s="106" t="str">
        <f>IF(Table2[[#This Row],[Defect Classification]]="","",IF(Table2[[#This Row],[Defect Classification]]="External",1,0))</f>
        <v/>
      </c>
      <c r="T456" s="100"/>
      <c r="U456" s="101"/>
      <c r="V456" s="100"/>
      <c r="W456" s="101"/>
      <c r="X456" s="101"/>
      <c r="Y456" s="101"/>
      <c r="Z456" s="101"/>
      <c r="AA456" s="112" t="str">
        <f>IF(ISNA(VLOOKUP(Table2[[#This Row],[Task ID]],Table1[],17,FALSE)),"",VLOOKUP(Table2[[#This Row],[Task ID]],Table1[],17,FALSE))</f>
        <v/>
      </c>
      <c r="AB456" s="115" t="str">
        <f>IF(Table2[[#This Row],[Defect Detected On Date ]]="","",TEXT(Table2[[#This Row],[Defect Detected On Date ]],"mmm"))</f>
        <v/>
      </c>
      <c r="AE456" s="63"/>
    </row>
    <row r="457" spans="2:31">
      <c r="B457" s="100"/>
      <c r="C457" s="100"/>
      <c r="D457" s="101"/>
      <c r="E457" s="101"/>
      <c r="F457" s="101"/>
      <c r="G457" s="102"/>
      <c r="H457" s="101"/>
      <c r="I457" s="101"/>
      <c r="J457" s="101"/>
      <c r="K457" s="101"/>
      <c r="L457" s="101"/>
      <c r="M457" s="101"/>
      <c r="N457" s="100"/>
      <c r="O457" s="100"/>
      <c r="P457" s="101"/>
      <c r="Q457" s="101"/>
      <c r="R457" s="106" t="str">
        <f>IF(Table2[[#This Row],[Defect Classification]]="","",IF(Table2[[#This Row],[Defect Classification]]="Internal",1,0))</f>
        <v/>
      </c>
      <c r="S457" s="106" t="str">
        <f>IF(Table2[[#This Row],[Defect Classification]]="","",IF(Table2[[#This Row],[Defect Classification]]="External",1,0))</f>
        <v/>
      </c>
      <c r="T457" s="100"/>
      <c r="U457" s="101"/>
      <c r="V457" s="100"/>
      <c r="W457" s="101"/>
      <c r="X457" s="101"/>
      <c r="Y457" s="101"/>
      <c r="Z457" s="101"/>
      <c r="AA457" s="112" t="str">
        <f>IF(ISNA(VLOOKUP(Table2[[#This Row],[Task ID]],Table1[],17,FALSE)),"",VLOOKUP(Table2[[#This Row],[Task ID]],Table1[],17,FALSE))</f>
        <v/>
      </c>
      <c r="AB457" s="115" t="str">
        <f>IF(Table2[[#This Row],[Defect Detected On Date ]]="","",TEXT(Table2[[#This Row],[Defect Detected On Date ]],"mmm"))</f>
        <v/>
      </c>
      <c r="AE457" s="63"/>
    </row>
    <row r="458" spans="2:31">
      <c r="B458" s="100"/>
      <c r="C458" s="100"/>
      <c r="D458" s="101"/>
      <c r="E458" s="101"/>
      <c r="F458" s="101"/>
      <c r="G458" s="102"/>
      <c r="H458" s="101"/>
      <c r="I458" s="101"/>
      <c r="J458" s="101"/>
      <c r="K458" s="101"/>
      <c r="L458" s="101"/>
      <c r="M458" s="101"/>
      <c r="N458" s="100"/>
      <c r="O458" s="100"/>
      <c r="P458" s="101"/>
      <c r="Q458" s="101"/>
      <c r="R458" s="106" t="str">
        <f>IF(Table2[[#This Row],[Defect Classification]]="","",IF(Table2[[#This Row],[Defect Classification]]="Internal",1,0))</f>
        <v/>
      </c>
      <c r="S458" s="106" t="str">
        <f>IF(Table2[[#This Row],[Defect Classification]]="","",IF(Table2[[#This Row],[Defect Classification]]="External",1,0))</f>
        <v/>
      </c>
      <c r="T458" s="100"/>
      <c r="U458" s="101"/>
      <c r="V458" s="100"/>
      <c r="W458" s="101"/>
      <c r="X458" s="101"/>
      <c r="Y458" s="101"/>
      <c r="Z458" s="101"/>
      <c r="AA458" s="112" t="str">
        <f>IF(ISNA(VLOOKUP(Table2[[#This Row],[Task ID]],Table1[],17,FALSE)),"",VLOOKUP(Table2[[#This Row],[Task ID]],Table1[],17,FALSE))</f>
        <v/>
      </c>
      <c r="AB458" s="115" t="str">
        <f>IF(Table2[[#This Row],[Defect Detected On Date ]]="","",TEXT(Table2[[#This Row],[Defect Detected On Date ]],"mmm"))</f>
        <v/>
      </c>
      <c r="AE458" s="63"/>
    </row>
    <row r="459" spans="2:31">
      <c r="B459" s="100"/>
      <c r="C459" s="100"/>
      <c r="D459" s="101"/>
      <c r="E459" s="101"/>
      <c r="F459" s="101"/>
      <c r="G459" s="102"/>
      <c r="H459" s="101"/>
      <c r="I459" s="101"/>
      <c r="J459" s="101"/>
      <c r="K459" s="101"/>
      <c r="L459" s="101"/>
      <c r="M459" s="101"/>
      <c r="N459" s="100"/>
      <c r="O459" s="100"/>
      <c r="P459" s="101"/>
      <c r="Q459" s="101"/>
      <c r="R459" s="106" t="str">
        <f>IF(Table2[[#This Row],[Defect Classification]]="","",IF(Table2[[#This Row],[Defect Classification]]="Internal",1,0))</f>
        <v/>
      </c>
      <c r="S459" s="106" t="str">
        <f>IF(Table2[[#This Row],[Defect Classification]]="","",IF(Table2[[#This Row],[Defect Classification]]="External",1,0))</f>
        <v/>
      </c>
      <c r="T459" s="100"/>
      <c r="U459" s="101"/>
      <c r="V459" s="100"/>
      <c r="W459" s="101"/>
      <c r="X459" s="101"/>
      <c r="Y459" s="101"/>
      <c r="Z459" s="101"/>
      <c r="AA459" s="112" t="str">
        <f>IF(ISNA(VLOOKUP(Table2[[#This Row],[Task ID]],Table1[],17,FALSE)),"",VLOOKUP(Table2[[#This Row],[Task ID]],Table1[],17,FALSE))</f>
        <v/>
      </c>
      <c r="AB459" s="115" t="str">
        <f>IF(Table2[[#This Row],[Defect Detected On Date ]]="","",TEXT(Table2[[#This Row],[Defect Detected On Date ]],"mmm"))</f>
        <v/>
      </c>
      <c r="AE459" s="63"/>
    </row>
    <row r="460" spans="2:31">
      <c r="B460" s="100"/>
      <c r="C460" s="100"/>
      <c r="D460" s="101"/>
      <c r="E460" s="101"/>
      <c r="F460" s="101"/>
      <c r="G460" s="102"/>
      <c r="H460" s="101"/>
      <c r="I460" s="101"/>
      <c r="J460" s="101"/>
      <c r="K460" s="101"/>
      <c r="L460" s="101"/>
      <c r="M460" s="101"/>
      <c r="N460" s="100"/>
      <c r="O460" s="100"/>
      <c r="P460" s="101"/>
      <c r="Q460" s="101"/>
      <c r="R460" s="106" t="str">
        <f>IF(Table2[[#This Row],[Defect Classification]]="","",IF(Table2[[#This Row],[Defect Classification]]="Internal",1,0))</f>
        <v/>
      </c>
      <c r="S460" s="106" t="str">
        <f>IF(Table2[[#This Row],[Defect Classification]]="","",IF(Table2[[#This Row],[Defect Classification]]="External",1,0))</f>
        <v/>
      </c>
      <c r="T460" s="100"/>
      <c r="U460" s="101"/>
      <c r="V460" s="100"/>
      <c r="W460" s="101"/>
      <c r="X460" s="101"/>
      <c r="Y460" s="101"/>
      <c r="Z460" s="101"/>
      <c r="AA460" s="112" t="str">
        <f>IF(ISNA(VLOOKUP(Table2[[#This Row],[Task ID]],Table1[],17,FALSE)),"",VLOOKUP(Table2[[#This Row],[Task ID]],Table1[],17,FALSE))</f>
        <v/>
      </c>
      <c r="AB460" s="115" t="str">
        <f>IF(Table2[[#This Row],[Defect Detected On Date ]]="","",TEXT(Table2[[#This Row],[Defect Detected On Date ]],"mmm"))</f>
        <v/>
      </c>
      <c r="AE460" s="63"/>
    </row>
    <row r="461" spans="2:31">
      <c r="B461" s="100"/>
      <c r="C461" s="100"/>
      <c r="D461" s="101"/>
      <c r="E461" s="101"/>
      <c r="F461" s="101"/>
      <c r="G461" s="102"/>
      <c r="H461" s="101"/>
      <c r="I461" s="101"/>
      <c r="J461" s="101"/>
      <c r="K461" s="101"/>
      <c r="L461" s="101"/>
      <c r="M461" s="101"/>
      <c r="N461" s="100"/>
      <c r="O461" s="100"/>
      <c r="P461" s="101"/>
      <c r="Q461" s="101"/>
      <c r="R461" s="106" t="str">
        <f>IF(Table2[[#This Row],[Defect Classification]]="","",IF(Table2[[#This Row],[Defect Classification]]="Internal",1,0))</f>
        <v/>
      </c>
      <c r="S461" s="106" t="str">
        <f>IF(Table2[[#This Row],[Defect Classification]]="","",IF(Table2[[#This Row],[Defect Classification]]="External",1,0))</f>
        <v/>
      </c>
      <c r="T461" s="100"/>
      <c r="U461" s="101"/>
      <c r="V461" s="100"/>
      <c r="W461" s="101"/>
      <c r="X461" s="101"/>
      <c r="Y461" s="101"/>
      <c r="Z461" s="101"/>
      <c r="AA461" s="112" t="str">
        <f>IF(ISNA(VLOOKUP(Table2[[#This Row],[Task ID]],Table1[],17,FALSE)),"",VLOOKUP(Table2[[#This Row],[Task ID]],Table1[],17,FALSE))</f>
        <v/>
      </c>
      <c r="AB461" s="115" t="str">
        <f>IF(Table2[[#This Row],[Defect Detected On Date ]]="","",TEXT(Table2[[#This Row],[Defect Detected On Date ]],"mmm"))</f>
        <v/>
      </c>
      <c r="AE461" s="63"/>
    </row>
    <row r="462" spans="2:31">
      <c r="B462" s="100"/>
      <c r="C462" s="100"/>
      <c r="D462" s="101"/>
      <c r="E462" s="101"/>
      <c r="F462" s="101"/>
      <c r="G462" s="102"/>
      <c r="H462" s="101"/>
      <c r="I462" s="101"/>
      <c r="J462" s="101"/>
      <c r="K462" s="101"/>
      <c r="L462" s="101"/>
      <c r="M462" s="101"/>
      <c r="N462" s="100"/>
      <c r="O462" s="100"/>
      <c r="P462" s="101"/>
      <c r="Q462" s="101"/>
      <c r="R462" s="106" t="str">
        <f>IF(Table2[[#This Row],[Defect Classification]]="","",IF(Table2[[#This Row],[Defect Classification]]="Internal",1,0))</f>
        <v/>
      </c>
      <c r="S462" s="106" t="str">
        <f>IF(Table2[[#This Row],[Defect Classification]]="","",IF(Table2[[#This Row],[Defect Classification]]="External",1,0))</f>
        <v/>
      </c>
      <c r="T462" s="100"/>
      <c r="U462" s="101"/>
      <c r="V462" s="100"/>
      <c r="W462" s="101"/>
      <c r="X462" s="101"/>
      <c r="Y462" s="101"/>
      <c r="Z462" s="101"/>
      <c r="AA462" s="112" t="str">
        <f>IF(ISNA(VLOOKUP(Table2[[#This Row],[Task ID]],Table1[],17,FALSE)),"",VLOOKUP(Table2[[#This Row],[Task ID]],Table1[],17,FALSE))</f>
        <v/>
      </c>
      <c r="AB462" s="115" t="str">
        <f>IF(Table2[[#This Row],[Defect Detected On Date ]]="","",TEXT(Table2[[#This Row],[Defect Detected On Date ]],"mmm"))</f>
        <v/>
      </c>
      <c r="AE462" s="63"/>
    </row>
    <row r="463" spans="2:31">
      <c r="B463" s="100"/>
      <c r="C463" s="100"/>
      <c r="D463" s="101"/>
      <c r="E463" s="101"/>
      <c r="F463" s="101"/>
      <c r="G463" s="102"/>
      <c r="H463" s="101"/>
      <c r="I463" s="101"/>
      <c r="J463" s="101"/>
      <c r="K463" s="101"/>
      <c r="L463" s="101"/>
      <c r="M463" s="101"/>
      <c r="N463" s="100"/>
      <c r="O463" s="100"/>
      <c r="P463" s="101"/>
      <c r="Q463" s="101"/>
      <c r="R463" s="106" t="str">
        <f>IF(Table2[[#This Row],[Defect Classification]]="","",IF(Table2[[#This Row],[Defect Classification]]="Internal",1,0))</f>
        <v/>
      </c>
      <c r="S463" s="106" t="str">
        <f>IF(Table2[[#This Row],[Defect Classification]]="","",IF(Table2[[#This Row],[Defect Classification]]="External",1,0))</f>
        <v/>
      </c>
      <c r="T463" s="100"/>
      <c r="U463" s="101"/>
      <c r="V463" s="100"/>
      <c r="W463" s="101"/>
      <c r="X463" s="101"/>
      <c r="Y463" s="101"/>
      <c r="Z463" s="101"/>
      <c r="AA463" s="112" t="str">
        <f>IF(ISNA(VLOOKUP(Table2[[#This Row],[Task ID]],Table1[],17,FALSE)),"",VLOOKUP(Table2[[#This Row],[Task ID]],Table1[],17,FALSE))</f>
        <v/>
      </c>
      <c r="AB463" s="115" t="str">
        <f>IF(Table2[[#This Row],[Defect Detected On Date ]]="","",TEXT(Table2[[#This Row],[Defect Detected On Date ]],"mmm"))</f>
        <v/>
      </c>
      <c r="AE463" s="63"/>
    </row>
    <row r="464" spans="2:31">
      <c r="B464" s="100"/>
      <c r="C464" s="100"/>
      <c r="D464" s="101"/>
      <c r="E464" s="101"/>
      <c r="F464" s="101"/>
      <c r="G464" s="102"/>
      <c r="H464" s="101"/>
      <c r="I464" s="101"/>
      <c r="J464" s="101"/>
      <c r="K464" s="101"/>
      <c r="L464" s="101"/>
      <c r="M464" s="101"/>
      <c r="N464" s="100"/>
      <c r="O464" s="100"/>
      <c r="P464" s="101"/>
      <c r="Q464" s="101"/>
      <c r="R464" s="106" t="str">
        <f>IF(Table2[[#This Row],[Defect Classification]]="","",IF(Table2[[#This Row],[Defect Classification]]="Internal",1,0))</f>
        <v/>
      </c>
      <c r="S464" s="106" t="str">
        <f>IF(Table2[[#This Row],[Defect Classification]]="","",IF(Table2[[#This Row],[Defect Classification]]="External",1,0))</f>
        <v/>
      </c>
      <c r="T464" s="100"/>
      <c r="U464" s="101"/>
      <c r="V464" s="100"/>
      <c r="W464" s="101"/>
      <c r="X464" s="101"/>
      <c r="Y464" s="101"/>
      <c r="Z464" s="101"/>
      <c r="AA464" s="112" t="str">
        <f>IF(ISNA(VLOOKUP(Table2[[#This Row],[Task ID]],Table1[],17,FALSE)),"",VLOOKUP(Table2[[#This Row],[Task ID]],Table1[],17,FALSE))</f>
        <v/>
      </c>
      <c r="AB464" s="115" t="str">
        <f>IF(Table2[[#This Row],[Defect Detected On Date ]]="","",TEXT(Table2[[#This Row],[Defect Detected On Date ]],"mmm"))</f>
        <v/>
      </c>
      <c r="AE464" s="63"/>
    </row>
    <row r="465" spans="2:31">
      <c r="B465" s="100"/>
      <c r="C465" s="100"/>
      <c r="D465" s="101"/>
      <c r="E465" s="101"/>
      <c r="F465" s="101"/>
      <c r="G465" s="102"/>
      <c r="H465" s="101"/>
      <c r="I465" s="101"/>
      <c r="J465" s="101"/>
      <c r="K465" s="101"/>
      <c r="L465" s="101"/>
      <c r="M465" s="101"/>
      <c r="N465" s="100"/>
      <c r="O465" s="100"/>
      <c r="P465" s="101"/>
      <c r="Q465" s="101"/>
      <c r="R465" s="106" t="str">
        <f>IF(Table2[[#This Row],[Defect Classification]]="","",IF(Table2[[#This Row],[Defect Classification]]="Internal",1,0))</f>
        <v/>
      </c>
      <c r="S465" s="106" t="str">
        <f>IF(Table2[[#This Row],[Defect Classification]]="","",IF(Table2[[#This Row],[Defect Classification]]="External",1,0))</f>
        <v/>
      </c>
      <c r="T465" s="100"/>
      <c r="U465" s="101"/>
      <c r="V465" s="100"/>
      <c r="W465" s="101"/>
      <c r="X465" s="101"/>
      <c r="Y465" s="101"/>
      <c r="Z465" s="101"/>
      <c r="AA465" s="112" t="str">
        <f>IF(ISNA(VLOOKUP(Table2[[#This Row],[Task ID]],Table1[],17,FALSE)),"",VLOOKUP(Table2[[#This Row],[Task ID]],Table1[],17,FALSE))</f>
        <v/>
      </c>
      <c r="AB465" s="115" t="str">
        <f>IF(Table2[[#This Row],[Defect Detected On Date ]]="","",TEXT(Table2[[#This Row],[Defect Detected On Date ]],"mmm"))</f>
        <v/>
      </c>
      <c r="AE465" s="63"/>
    </row>
    <row r="466" spans="2:31">
      <c r="B466" s="100"/>
      <c r="C466" s="100"/>
      <c r="D466" s="101"/>
      <c r="E466" s="101"/>
      <c r="F466" s="101"/>
      <c r="G466" s="102"/>
      <c r="H466" s="101"/>
      <c r="I466" s="101"/>
      <c r="J466" s="101"/>
      <c r="K466" s="101"/>
      <c r="L466" s="101"/>
      <c r="M466" s="101"/>
      <c r="N466" s="100"/>
      <c r="O466" s="100"/>
      <c r="P466" s="101"/>
      <c r="Q466" s="101"/>
      <c r="R466" s="106" t="str">
        <f>IF(Table2[[#This Row],[Defect Classification]]="","",IF(Table2[[#This Row],[Defect Classification]]="Internal",1,0))</f>
        <v/>
      </c>
      <c r="S466" s="106" t="str">
        <f>IF(Table2[[#This Row],[Defect Classification]]="","",IF(Table2[[#This Row],[Defect Classification]]="External",1,0))</f>
        <v/>
      </c>
      <c r="T466" s="100"/>
      <c r="U466" s="101"/>
      <c r="V466" s="100"/>
      <c r="W466" s="101"/>
      <c r="X466" s="101"/>
      <c r="Y466" s="101"/>
      <c r="Z466" s="101"/>
      <c r="AA466" s="112" t="str">
        <f>IF(ISNA(VLOOKUP(Table2[[#This Row],[Task ID]],Table1[],17,FALSE)),"",VLOOKUP(Table2[[#This Row],[Task ID]],Table1[],17,FALSE))</f>
        <v/>
      </c>
      <c r="AB466" s="115" t="str">
        <f>IF(Table2[[#This Row],[Defect Detected On Date ]]="","",TEXT(Table2[[#This Row],[Defect Detected On Date ]],"mmm"))</f>
        <v/>
      </c>
      <c r="AE466" s="63"/>
    </row>
    <row r="467" spans="2:31">
      <c r="B467" s="100"/>
      <c r="C467" s="100"/>
      <c r="D467" s="101"/>
      <c r="E467" s="101"/>
      <c r="F467" s="101"/>
      <c r="G467" s="102"/>
      <c r="H467" s="101"/>
      <c r="I467" s="101"/>
      <c r="J467" s="101"/>
      <c r="K467" s="101"/>
      <c r="L467" s="101"/>
      <c r="M467" s="101"/>
      <c r="N467" s="100"/>
      <c r="O467" s="100"/>
      <c r="P467" s="101"/>
      <c r="Q467" s="101"/>
      <c r="R467" s="106" t="str">
        <f>IF(Table2[[#This Row],[Defect Classification]]="","",IF(Table2[[#This Row],[Defect Classification]]="Internal",1,0))</f>
        <v/>
      </c>
      <c r="S467" s="106" t="str">
        <f>IF(Table2[[#This Row],[Defect Classification]]="","",IF(Table2[[#This Row],[Defect Classification]]="External",1,0))</f>
        <v/>
      </c>
      <c r="T467" s="100"/>
      <c r="U467" s="101"/>
      <c r="V467" s="100"/>
      <c r="W467" s="101"/>
      <c r="X467" s="101"/>
      <c r="Y467" s="101"/>
      <c r="Z467" s="101"/>
      <c r="AA467" s="112" t="str">
        <f>IF(ISNA(VLOOKUP(Table2[[#This Row],[Task ID]],Table1[],17,FALSE)),"",VLOOKUP(Table2[[#This Row],[Task ID]],Table1[],17,FALSE))</f>
        <v/>
      </c>
      <c r="AB467" s="115" t="str">
        <f>IF(Table2[[#This Row],[Defect Detected On Date ]]="","",TEXT(Table2[[#This Row],[Defect Detected On Date ]],"mmm"))</f>
        <v/>
      </c>
      <c r="AE467" s="63"/>
    </row>
    <row r="468" spans="2:31">
      <c r="B468" s="100"/>
      <c r="C468" s="100"/>
      <c r="D468" s="101"/>
      <c r="E468" s="101"/>
      <c r="F468" s="101"/>
      <c r="G468" s="102"/>
      <c r="H468" s="101"/>
      <c r="I468" s="101"/>
      <c r="J468" s="101"/>
      <c r="K468" s="101"/>
      <c r="L468" s="101"/>
      <c r="M468" s="101"/>
      <c r="N468" s="100"/>
      <c r="O468" s="100"/>
      <c r="P468" s="101"/>
      <c r="Q468" s="101"/>
      <c r="R468" s="106" t="str">
        <f>IF(Table2[[#This Row],[Defect Classification]]="","",IF(Table2[[#This Row],[Defect Classification]]="Internal",1,0))</f>
        <v/>
      </c>
      <c r="S468" s="106" t="str">
        <f>IF(Table2[[#This Row],[Defect Classification]]="","",IF(Table2[[#This Row],[Defect Classification]]="External",1,0))</f>
        <v/>
      </c>
      <c r="T468" s="100"/>
      <c r="U468" s="101"/>
      <c r="V468" s="100"/>
      <c r="W468" s="101"/>
      <c r="X468" s="101"/>
      <c r="Y468" s="101"/>
      <c r="Z468" s="101"/>
      <c r="AA468" s="112" t="str">
        <f>IF(ISNA(VLOOKUP(Table2[[#This Row],[Task ID]],Table1[],17,FALSE)),"",VLOOKUP(Table2[[#This Row],[Task ID]],Table1[],17,FALSE))</f>
        <v/>
      </c>
      <c r="AB468" s="115" t="str">
        <f>IF(Table2[[#This Row],[Defect Detected On Date ]]="","",TEXT(Table2[[#This Row],[Defect Detected On Date ]],"mmm"))</f>
        <v/>
      </c>
      <c r="AE468" s="63"/>
    </row>
    <row r="469" spans="2:31">
      <c r="B469" s="100"/>
      <c r="C469" s="100"/>
      <c r="D469" s="101"/>
      <c r="E469" s="101"/>
      <c r="F469" s="101"/>
      <c r="G469" s="102"/>
      <c r="H469" s="101"/>
      <c r="I469" s="101"/>
      <c r="J469" s="101"/>
      <c r="K469" s="101"/>
      <c r="L469" s="101"/>
      <c r="M469" s="101"/>
      <c r="N469" s="100"/>
      <c r="O469" s="100"/>
      <c r="P469" s="101"/>
      <c r="Q469" s="101"/>
      <c r="R469" s="106" t="str">
        <f>IF(Table2[[#This Row],[Defect Classification]]="","",IF(Table2[[#This Row],[Defect Classification]]="Internal",1,0))</f>
        <v/>
      </c>
      <c r="S469" s="106" t="str">
        <f>IF(Table2[[#This Row],[Defect Classification]]="","",IF(Table2[[#This Row],[Defect Classification]]="External",1,0))</f>
        <v/>
      </c>
      <c r="T469" s="100"/>
      <c r="U469" s="101"/>
      <c r="V469" s="100"/>
      <c r="W469" s="101"/>
      <c r="X469" s="101"/>
      <c r="Y469" s="101"/>
      <c r="Z469" s="101"/>
      <c r="AA469" s="112" t="str">
        <f>IF(ISNA(VLOOKUP(Table2[[#This Row],[Task ID]],Table1[],17,FALSE)),"",VLOOKUP(Table2[[#This Row],[Task ID]],Table1[],17,FALSE))</f>
        <v/>
      </c>
      <c r="AB469" s="115" t="str">
        <f>IF(Table2[[#This Row],[Defect Detected On Date ]]="","",TEXT(Table2[[#This Row],[Defect Detected On Date ]],"mmm"))</f>
        <v/>
      </c>
      <c r="AE469" s="63"/>
    </row>
    <row r="470" spans="2:31">
      <c r="B470" s="100"/>
      <c r="C470" s="100"/>
      <c r="D470" s="101"/>
      <c r="E470" s="101"/>
      <c r="F470" s="101"/>
      <c r="G470" s="102"/>
      <c r="H470" s="101"/>
      <c r="I470" s="101"/>
      <c r="J470" s="101"/>
      <c r="K470" s="101"/>
      <c r="L470" s="101"/>
      <c r="M470" s="101"/>
      <c r="N470" s="100"/>
      <c r="O470" s="100"/>
      <c r="P470" s="101"/>
      <c r="Q470" s="101"/>
      <c r="R470" s="106" t="str">
        <f>IF(Table2[[#This Row],[Defect Classification]]="","",IF(Table2[[#This Row],[Defect Classification]]="Internal",1,0))</f>
        <v/>
      </c>
      <c r="S470" s="106" t="str">
        <f>IF(Table2[[#This Row],[Defect Classification]]="","",IF(Table2[[#This Row],[Defect Classification]]="External",1,0))</f>
        <v/>
      </c>
      <c r="T470" s="100"/>
      <c r="U470" s="101"/>
      <c r="V470" s="100"/>
      <c r="W470" s="101"/>
      <c r="X470" s="101"/>
      <c r="Y470" s="101"/>
      <c r="Z470" s="101"/>
      <c r="AA470" s="112" t="str">
        <f>IF(ISNA(VLOOKUP(Table2[[#This Row],[Task ID]],Table1[],17,FALSE)),"",VLOOKUP(Table2[[#This Row],[Task ID]],Table1[],17,FALSE))</f>
        <v/>
      </c>
      <c r="AB470" s="115" t="str">
        <f>IF(Table2[[#This Row],[Defect Detected On Date ]]="","",TEXT(Table2[[#This Row],[Defect Detected On Date ]],"mmm"))</f>
        <v/>
      </c>
      <c r="AE470" s="63"/>
    </row>
    <row r="471" spans="2:31">
      <c r="B471" s="100"/>
      <c r="C471" s="100"/>
      <c r="D471" s="101"/>
      <c r="E471" s="101"/>
      <c r="F471" s="101"/>
      <c r="G471" s="102"/>
      <c r="H471" s="101"/>
      <c r="I471" s="101"/>
      <c r="J471" s="101"/>
      <c r="K471" s="101"/>
      <c r="L471" s="101"/>
      <c r="M471" s="101"/>
      <c r="N471" s="100"/>
      <c r="O471" s="100"/>
      <c r="P471" s="101"/>
      <c r="Q471" s="101"/>
      <c r="R471" s="106" t="str">
        <f>IF(Table2[[#This Row],[Defect Classification]]="","",IF(Table2[[#This Row],[Defect Classification]]="Internal",1,0))</f>
        <v/>
      </c>
      <c r="S471" s="106" t="str">
        <f>IF(Table2[[#This Row],[Defect Classification]]="","",IF(Table2[[#This Row],[Defect Classification]]="External",1,0))</f>
        <v/>
      </c>
      <c r="T471" s="100"/>
      <c r="U471" s="101"/>
      <c r="V471" s="100"/>
      <c r="W471" s="101"/>
      <c r="X471" s="101"/>
      <c r="Y471" s="101"/>
      <c r="Z471" s="101"/>
      <c r="AA471" s="112" t="str">
        <f>IF(ISNA(VLOOKUP(Table2[[#This Row],[Task ID]],Table1[],17,FALSE)),"",VLOOKUP(Table2[[#This Row],[Task ID]],Table1[],17,FALSE))</f>
        <v/>
      </c>
      <c r="AB471" s="115" t="str">
        <f>IF(Table2[[#This Row],[Defect Detected On Date ]]="","",TEXT(Table2[[#This Row],[Defect Detected On Date ]],"mmm"))</f>
        <v/>
      </c>
      <c r="AE471" s="63"/>
    </row>
    <row r="472" spans="2:31">
      <c r="B472" s="100"/>
      <c r="C472" s="100"/>
      <c r="D472" s="101"/>
      <c r="E472" s="101"/>
      <c r="F472" s="101"/>
      <c r="G472" s="102"/>
      <c r="H472" s="101"/>
      <c r="I472" s="101"/>
      <c r="J472" s="101"/>
      <c r="K472" s="101"/>
      <c r="L472" s="101"/>
      <c r="M472" s="101"/>
      <c r="N472" s="100"/>
      <c r="O472" s="100"/>
      <c r="P472" s="101"/>
      <c r="Q472" s="101"/>
      <c r="R472" s="106" t="str">
        <f>IF(Table2[[#This Row],[Defect Classification]]="","",IF(Table2[[#This Row],[Defect Classification]]="Internal",1,0))</f>
        <v/>
      </c>
      <c r="S472" s="106" t="str">
        <f>IF(Table2[[#This Row],[Defect Classification]]="","",IF(Table2[[#This Row],[Defect Classification]]="External",1,0))</f>
        <v/>
      </c>
      <c r="T472" s="100"/>
      <c r="U472" s="101"/>
      <c r="V472" s="100"/>
      <c r="W472" s="101"/>
      <c r="X472" s="101"/>
      <c r="Y472" s="101"/>
      <c r="Z472" s="101"/>
      <c r="AA472" s="112" t="str">
        <f>IF(ISNA(VLOOKUP(Table2[[#This Row],[Task ID]],Table1[],17,FALSE)),"",VLOOKUP(Table2[[#This Row],[Task ID]],Table1[],17,FALSE))</f>
        <v/>
      </c>
      <c r="AB472" s="115" t="str">
        <f>IF(Table2[[#This Row],[Defect Detected On Date ]]="","",TEXT(Table2[[#This Row],[Defect Detected On Date ]],"mmm"))</f>
        <v/>
      </c>
      <c r="AE472" s="63"/>
    </row>
    <row r="473" spans="2:31">
      <c r="B473" s="100"/>
      <c r="C473" s="100"/>
      <c r="D473" s="101"/>
      <c r="E473" s="101"/>
      <c r="F473" s="101"/>
      <c r="G473" s="102"/>
      <c r="H473" s="101"/>
      <c r="I473" s="101"/>
      <c r="J473" s="101"/>
      <c r="K473" s="101"/>
      <c r="L473" s="101"/>
      <c r="M473" s="101"/>
      <c r="N473" s="100"/>
      <c r="O473" s="100"/>
      <c r="P473" s="101"/>
      <c r="Q473" s="101"/>
      <c r="R473" s="106" t="str">
        <f>IF(Table2[[#This Row],[Defect Classification]]="","",IF(Table2[[#This Row],[Defect Classification]]="Internal",1,0))</f>
        <v/>
      </c>
      <c r="S473" s="106" t="str">
        <f>IF(Table2[[#This Row],[Defect Classification]]="","",IF(Table2[[#This Row],[Defect Classification]]="External",1,0))</f>
        <v/>
      </c>
      <c r="T473" s="100"/>
      <c r="U473" s="101"/>
      <c r="V473" s="100"/>
      <c r="W473" s="101"/>
      <c r="X473" s="101"/>
      <c r="Y473" s="101"/>
      <c r="Z473" s="101"/>
      <c r="AA473" s="112" t="str">
        <f>IF(ISNA(VLOOKUP(Table2[[#This Row],[Task ID]],Table1[],17,FALSE)),"",VLOOKUP(Table2[[#This Row],[Task ID]],Table1[],17,FALSE))</f>
        <v/>
      </c>
      <c r="AB473" s="115" t="str">
        <f>IF(Table2[[#This Row],[Defect Detected On Date ]]="","",TEXT(Table2[[#This Row],[Defect Detected On Date ]],"mmm"))</f>
        <v/>
      </c>
      <c r="AE473" s="63"/>
    </row>
    <row r="474" spans="2:31">
      <c r="B474" s="100"/>
      <c r="C474" s="100"/>
      <c r="D474" s="101"/>
      <c r="E474" s="101"/>
      <c r="F474" s="101"/>
      <c r="G474" s="102"/>
      <c r="H474" s="101"/>
      <c r="I474" s="101"/>
      <c r="J474" s="101"/>
      <c r="K474" s="101"/>
      <c r="L474" s="101"/>
      <c r="M474" s="101"/>
      <c r="N474" s="100"/>
      <c r="O474" s="100"/>
      <c r="P474" s="101"/>
      <c r="Q474" s="101"/>
      <c r="R474" s="106" t="str">
        <f>IF(Table2[[#This Row],[Defect Classification]]="","",IF(Table2[[#This Row],[Defect Classification]]="Internal",1,0))</f>
        <v/>
      </c>
      <c r="S474" s="106" t="str">
        <f>IF(Table2[[#This Row],[Defect Classification]]="","",IF(Table2[[#This Row],[Defect Classification]]="External",1,0))</f>
        <v/>
      </c>
      <c r="T474" s="100"/>
      <c r="U474" s="101"/>
      <c r="V474" s="100"/>
      <c r="W474" s="101"/>
      <c r="X474" s="101"/>
      <c r="Y474" s="101"/>
      <c r="Z474" s="101"/>
      <c r="AA474" s="112" t="str">
        <f>IF(ISNA(VLOOKUP(Table2[[#This Row],[Task ID]],Table1[],17,FALSE)),"",VLOOKUP(Table2[[#This Row],[Task ID]],Table1[],17,FALSE))</f>
        <v/>
      </c>
      <c r="AB474" s="115" t="str">
        <f>IF(Table2[[#This Row],[Defect Detected On Date ]]="","",TEXT(Table2[[#This Row],[Defect Detected On Date ]],"mmm"))</f>
        <v/>
      </c>
      <c r="AE474" s="63"/>
    </row>
    <row r="475" spans="2:31">
      <c r="B475" s="100"/>
      <c r="C475" s="100"/>
      <c r="D475" s="101"/>
      <c r="E475" s="101"/>
      <c r="F475" s="101"/>
      <c r="G475" s="102"/>
      <c r="H475" s="101"/>
      <c r="I475" s="101"/>
      <c r="J475" s="101"/>
      <c r="K475" s="101"/>
      <c r="L475" s="101"/>
      <c r="M475" s="101"/>
      <c r="N475" s="100"/>
      <c r="O475" s="100"/>
      <c r="P475" s="101"/>
      <c r="Q475" s="101"/>
      <c r="R475" s="106" t="str">
        <f>IF(Table2[[#This Row],[Defect Classification]]="","",IF(Table2[[#This Row],[Defect Classification]]="Internal",1,0))</f>
        <v/>
      </c>
      <c r="S475" s="106" t="str">
        <f>IF(Table2[[#This Row],[Defect Classification]]="","",IF(Table2[[#This Row],[Defect Classification]]="External",1,0))</f>
        <v/>
      </c>
      <c r="T475" s="100"/>
      <c r="U475" s="101"/>
      <c r="V475" s="100"/>
      <c r="W475" s="101"/>
      <c r="X475" s="101"/>
      <c r="Y475" s="101"/>
      <c r="Z475" s="101"/>
      <c r="AA475" s="112" t="str">
        <f>IF(ISNA(VLOOKUP(Table2[[#This Row],[Task ID]],Table1[],17,FALSE)),"",VLOOKUP(Table2[[#This Row],[Task ID]],Table1[],17,FALSE))</f>
        <v/>
      </c>
      <c r="AB475" s="115" t="str">
        <f>IF(Table2[[#This Row],[Defect Detected On Date ]]="","",TEXT(Table2[[#This Row],[Defect Detected On Date ]],"mmm"))</f>
        <v/>
      </c>
      <c r="AE475" s="63"/>
    </row>
    <row r="476" spans="2:31">
      <c r="B476" s="100"/>
      <c r="C476" s="100"/>
      <c r="D476" s="101"/>
      <c r="E476" s="101"/>
      <c r="F476" s="101"/>
      <c r="G476" s="102"/>
      <c r="H476" s="101"/>
      <c r="I476" s="101"/>
      <c r="J476" s="101"/>
      <c r="K476" s="101"/>
      <c r="L476" s="101"/>
      <c r="M476" s="101"/>
      <c r="N476" s="100"/>
      <c r="O476" s="100"/>
      <c r="P476" s="101"/>
      <c r="Q476" s="101"/>
      <c r="R476" s="106" t="str">
        <f>IF(Table2[[#This Row],[Defect Classification]]="","",IF(Table2[[#This Row],[Defect Classification]]="Internal",1,0))</f>
        <v/>
      </c>
      <c r="S476" s="106" t="str">
        <f>IF(Table2[[#This Row],[Defect Classification]]="","",IF(Table2[[#This Row],[Defect Classification]]="External",1,0))</f>
        <v/>
      </c>
      <c r="T476" s="100"/>
      <c r="U476" s="101"/>
      <c r="V476" s="100"/>
      <c r="W476" s="101"/>
      <c r="X476" s="101"/>
      <c r="Y476" s="101"/>
      <c r="Z476" s="101"/>
      <c r="AA476" s="112" t="str">
        <f>IF(ISNA(VLOOKUP(Table2[[#This Row],[Task ID]],Table1[],17,FALSE)),"",VLOOKUP(Table2[[#This Row],[Task ID]],Table1[],17,FALSE))</f>
        <v/>
      </c>
      <c r="AB476" s="115" t="str">
        <f>IF(Table2[[#This Row],[Defect Detected On Date ]]="","",TEXT(Table2[[#This Row],[Defect Detected On Date ]],"mmm"))</f>
        <v/>
      </c>
      <c r="AE476" s="63"/>
    </row>
    <row r="477" spans="2:31">
      <c r="B477" s="100"/>
      <c r="C477" s="100"/>
      <c r="D477" s="101"/>
      <c r="E477" s="101"/>
      <c r="F477" s="101"/>
      <c r="G477" s="102"/>
      <c r="H477" s="101"/>
      <c r="I477" s="101"/>
      <c r="J477" s="101"/>
      <c r="K477" s="101"/>
      <c r="L477" s="101"/>
      <c r="M477" s="101"/>
      <c r="N477" s="100"/>
      <c r="O477" s="100"/>
      <c r="P477" s="101"/>
      <c r="Q477" s="101"/>
      <c r="R477" s="106" t="str">
        <f>IF(Table2[[#This Row],[Defect Classification]]="","",IF(Table2[[#This Row],[Defect Classification]]="Internal",1,0))</f>
        <v/>
      </c>
      <c r="S477" s="106" t="str">
        <f>IF(Table2[[#This Row],[Defect Classification]]="","",IF(Table2[[#This Row],[Defect Classification]]="External",1,0))</f>
        <v/>
      </c>
      <c r="T477" s="100"/>
      <c r="U477" s="101"/>
      <c r="V477" s="100"/>
      <c r="W477" s="101"/>
      <c r="X477" s="101"/>
      <c r="Y477" s="101"/>
      <c r="Z477" s="101"/>
      <c r="AA477" s="112" t="str">
        <f>IF(ISNA(VLOOKUP(Table2[[#This Row],[Task ID]],Table1[],17,FALSE)),"",VLOOKUP(Table2[[#This Row],[Task ID]],Table1[],17,FALSE))</f>
        <v/>
      </c>
      <c r="AB477" s="115" t="str">
        <f>IF(Table2[[#This Row],[Defect Detected On Date ]]="","",TEXT(Table2[[#This Row],[Defect Detected On Date ]],"mmm"))</f>
        <v/>
      </c>
      <c r="AE477" s="63"/>
    </row>
    <row r="478" spans="2:31">
      <c r="B478" s="100"/>
      <c r="C478" s="100"/>
      <c r="D478" s="101"/>
      <c r="E478" s="101"/>
      <c r="F478" s="101"/>
      <c r="G478" s="102"/>
      <c r="H478" s="101"/>
      <c r="I478" s="101"/>
      <c r="J478" s="101"/>
      <c r="K478" s="101"/>
      <c r="L478" s="101"/>
      <c r="M478" s="101"/>
      <c r="N478" s="100"/>
      <c r="O478" s="100"/>
      <c r="P478" s="101"/>
      <c r="Q478" s="101"/>
      <c r="R478" s="106" t="str">
        <f>IF(Table2[[#This Row],[Defect Classification]]="","",IF(Table2[[#This Row],[Defect Classification]]="Internal",1,0))</f>
        <v/>
      </c>
      <c r="S478" s="106" t="str">
        <f>IF(Table2[[#This Row],[Defect Classification]]="","",IF(Table2[[#This Row],[Defect Classification]]="External",1,0))</f>
        <v/>
      </c>
      <c r="T478" s="100"/>
      <c r="U478" s="101"/>
      <c r="V478" s="100"/>
      <c r="W478" s="101"/>
      <c r="X478" s="101"/>
      <c r="Y478" s="101"/>
      <c r="Z478" s="101"/>
      <c r="AA478" s="112" t="str">
        <f>IF(ISNA(VLOOKUP(Table2[[#This Row],[Task ID]],Table1[],17,FALSE)),"",VLOOKUP(Table2[[#This Row],[Task ID]],Table1[],17,FALSE))</f>
        <v/>
      </c>
      <c r="AB478" s="115" t="str">
        <f>IF(Table2[[#This Row],[Defect Detected On Date ]]="","",TEXT(Table2[[#This Row],[Defect Detected On Date ]],"mmm"))</f>
        <v/>
      </c>
      <c r="AE478" s="63"/>
    </row>
    <row r="479" spans="2:31">
      <c r="B479" s="100"/>
      <c r="C479" s="100"/>
      <c r="D479" s="101"/>
      <c r="E479" s="101"/>
      <c r="F479" s="101"/>
      <c r="G479" s="102"/>
      <c r="H479" s="101"/>
      <c r="I479" s="101"/>
      <c r="J479" s="101"/>
      <c r="K479" s="101"/>
      <c r="L479" s="101"/>
      <c r="M479" s="101"/>
      <c r="N479" s="100"/>
      <c r="O479" s="100"/>
      <c r="P479" s="101"/>
      <c r="Q479" s="101"/>
      <c r="R479" s="106" t="str">
        <f>IF(Table2[[#This Row],[Defect Classification]]="","",IF(Table2[[#This Row],[Defect Classification]]="Internal",1,0))</f>
        <v/>
      </c>
      <c r="S479" s="106" t="str">
        <f>IF(Table2[[#This Row],[Defect Classification]]="","",IF(Table2[[#This Row],[Defect Classification]]="External",1,0))</f>
        <v/>
      </c>
      <c r="T479" s="100"/>
      <c r="U479" s="101"/>
      <c r="V479" s="100"/>
      <c r="W479" s="101"/>
      <c r="X479" s="101"/>
      <c r="Y479" s="101"/>
      <c r="Z479" s="101"/>
      <c r="AA479" s="112" t="str">
        <f>IF(ISNA(VLOOKUP(Table2[[#This Row],[Task ID]],Table1[],17,FALSE)),"",VLOOKUP(Table2[[#This Row],[Task ID]],Table1[],17,FALSE))</f>
        <v/>
      </c>
      <c r="AB479" s="115" t="str">
        <f>IF(Table2[[#This Row],[Defect Detected On Date ]]="","",TEXT(Table2[[#This Row],[Defect Detected On Date ]],"mmm"))</f>
        <v/>
      </c>
      <c r="AE479" s="63"/>
    </row>
    <row r="480" spans="2:31">
      <c r="B480" s="100"/>
      <c r="C480" s="100"/>
      <c r="D480" s="101"/>
      <c r="E480" s="101"/>
      <c r="F480" s="101"/>
      <c r="G480" s="102"/>
      <c r="H480" s="101"/>
      <c r="I480" s="101"/>
      <c r="J480" s="101"/>
      <c r="K480" s="101"/>
      <c r="L480" s="101"/>
      <c r="M480" s="101"/>
      <c r="N480" s="100"/>
      <c r="O480" s="100"/>
      <c r="P480" s="101"/>
      <c r="Q480" s="101"/>
      <c r="R480" s="106" t="str">
        <f>IF(Table2[[#This Row],[Defect Classification]]="","",IF(Table2[[#This Row],[Defect Classification]]="Internal",1,0))</f>
        <v/>
      </c>
      <c r="S480" s="106" t="str">
        <f>IF(Table2[[#This Row],[Defect Classification]]="","",IF(Table2[[#This Row],[Defect Classification]]="External",1,0))</f>
        <v/>
      </c>
      <c r="T480" s="100"/>
      <c r="U480" s="101"/>
      <c r="V480" s="100"/>
      <c r="W480" s="101"/>
      <c r="X480" s="101"/>
      <c r="Y480" s="101"/>
      <c r="Z480" s="101"/>
      <c r="AA480" s="112" t="str">
        <f>IF(ISNA(VLOOKUP(Table2[[#This Row],[Task ID]],Table1[],17,FALSE)),"",VLOOKUP(Table2[[#This Row],[Task ID]],Table1[],17,FALSE))</f>
        <v/>
      </c>
      <c r="AB480" s="115" t="str">
        <f>IF(Table2[[#This Row],[Defect Detected On Date ]]="","",TEXT(Table2[[#This Row],[Defect Detected On Date ]],"mmm"))</f>
        <v/>
      </c>
      <c r="AE480" s="63"/>
    </row>
    <row r="481" spans="2:31">
      <c r="B481" s="100"/>
      <c r="C481" s="100"/>
      <c r="D481" s="101"/>
      <c r="E481" s="101"/>
      <c r="F481" s="101"/>
      <c r="G481" s="102"/>
      <c r="H481" s="101"/>
      <c r="I481" s="101"/>
      <c r="J481" s="101"/>
      <c r="K481" s="101"/>
      <c r="L481" s="101"/>
      <c r="M481" s="101"/>
      <c r="N481" s="100"/>
      <c r="O481" s="100"/>
      <c r="P481" s="101"/>
      <c r="Q481" s="101"/>
      <c r="R481" s="106" t="str">
        <f>IF(Table2[[#This Row],[Defect Classification]]="","",IF(Table2[[#This Row],[Defect Classification]]="Internal",1,0))</f>
        <v/>
      </c>
      <c r="S481" s="106" t="str">
        <f>IF(Table2[[#This Row],[Defect Classification]]="","",IF(Table2[[#This Row],[Defect Classification]]="External",1,0))</f>
        <v/>
      </c>
      <c r="T481" s="100"/>
      <c r="U481" s="101"/>
      <c r="V481" s="100"/>
      <c r="W481" s="101"/>
      <c r="X481" s="101"/>
      <c r="Y481" s="101"/>
      <c r="Z481" s="101"/>
      <c r="AA481" s="112" t="str">
        <f>IF(ISNA(VLOOKUP(Table2[[#This Row],[Task ID]],Table1[],17,FALSE)),"",VLOOKUP(Table2[[#This Row],[Task ID]],Table1[],17,FALSE))</f>
        <v/>
      </c>
      <c r="AB481" s="115" t="str">
        <f>IF(Table2[[#This Row],[Defect Detected On Date ]]="","",TEXT(Table2[[#This Row],[Defect Detected On Date ]],"mmm"))</f>
        <v/>
      </c>
      <c r="AE481" s="63"/>
    </row>
    <row r="482" spans="2:31">
      <c r="B482" s="100"/>
      <c r="C482" s="100"/>
      <c r="D482" s="101"/>
      <c r="E482" s="101"/>
      <c r="F482" s="101"/>
      <c r="G482" s="102"/>
      <c r="H482" s="101"/>
      <c r="I482" s="101"/>
      <c r="J482" s="101"/>
      <c r="K482" s="101"/>
      <c r="L482" s="101"/>
      <c r="M482" s="101"/>
      <c r="N482" s="100"/>
      <c r="O482" s="100"/>
      <c r="P482" s="101"/>
      <c r="Q482" s="101"/>
      <c r="R482" s="106" t="str">
        <f>IF(Table2[[#This Row],[Defect Classification]]="","",IF(Table2[[#This Row],[Defect Classification]]="Internal",1,0))</f>
        <v/>
      </c>
      <c r="S482" s="106" t="str">
        <f>IF(Table2[[#This Row],[Defect Classification]]="","",IF(Table2[[#This Row],[Defect Classification]]="External",1,0))</f>
        <v/>
      </c>
      <c r="T482" s="100"/>
      <c r="U482" s="101"/>
      <c r="V482" s="100"/>
      <c r="W482" s="101"/>
      <c r="X482" s="101"/>
      <c r="Y482" s="101"/>
      <c r="Z482" s="101"/>
      <c r="AA482" s="112" t="str">
        <f>IF(ISNA(VLOOKUP(Table2[[#This Row],[Task ID]],Table1[],17,FALSE)),"",VLOOKUP(Table2[[#This Row],[Task ID]],Table1[],17,FALSE))</f>
        <v/>
      </c>
      <c r="AB482" s="115" t="str">
        <f>IF(Table2[[#This Row],[Defect Detected On Date ]]="","",TEXT(Table2[[#This Row],[Defect Detected On Date ]],"mmm"))</f>
        <v/>
      </c>
      <c r="AE482" s="63"/>
    </row>
    <row r="483" spans="2:31">
      <c r="B483" s="100"/>
      <c r="C483" s="100"/>
      <c r="D483" s="101"/>
      <c r="E483" s="101"/>
      <c r="F483" s="101"/>
      <c r="G483" s="102"/>
      <c r="H483" s="101"/>
      <c r="I483" s="101"/>
      <c r="J483" s="101"/>
      <c r="K483" s="101"/>
      <c r="L483" s="101"/>
      <c r="M483" s="101"/>
      <c r="N483" s="100"/>
      <c r="O483" s="100"/>
      <c r="P483" s="101"/>
      <c r="Q483" s="101"/>
      <c r="R483" s="106" t="str">
        <f>IF(Table2[[#This Row],[Defect Classification]]="","",IF(Table2[[#This Row],[Defect Classification]]="Internal",1,0))</f>
        <v/>
      </c>
      <c r="S483" s="106" t="str">
        <f>IF(Table2[[#This Row],[Defect Classification]]="","",IF(Table2[[#This Row],[Defect Classification]]="External",1,0))</f>
        <v/>
      </c>
      <c r="T483" s="100"/>
      <c r="U483" s="101"/>
      <c r="V483" s="100"/>
      <c r="W483" s="101"/>
      <c r="X483" s="101"/>
      <c r="Y483" s="101"/>
      <c r="Z483" s="101"/>
      <c r="AA483" s="112" t="str">
        <f>IF(ISNA(VLOOKUP(Table2[[#This Row],[Task ID]],Table1[],17,FALSE)),"",VLOOKUP(Table2[[#This Row],[Task ID]],Table1[],17,FALSE))</f>
        <v/>
      </c>
      <c r="AB483" s="115" t="str">
        <f>IF(Table2[[#This Row],[Defect Detected On Date ]]="","",TEXT(Table2[[#This Row],[Defect Detected On Date ]],"mmm"))</f>
        <v/>
      </c>
      <c r="AE483" s="63"/>
    </row>
    <row r="484" spans="2:31">
      <c r="B484" s="100"/>
      <c r="C484" s="100"/>
      <c r="D484" s="101"/>
      <c r="E484" s="101"/>
      <c r="F484" s="101"/>
      <c r="G484" s="102"/>
      <c r="H484" s="101"/>
      <c r="I484" s="101"/>
      <c r="J484" s="101"/>
      <c r="K484" s="101"/>
      <c r="L484" s="101"/>
      <c r="M484" s="101"/>
      <c r="N484" s="100"/>
      <c r="O484" s="100"/>
      <c r="P484" s="101"/>
      <c r="Q484" s="101"/>
      <c r="R484" s="106" t="str">
        <f>IF(Table2[[#This Row],[Defect Classification]]="","",IF(Table2[[#This Row],[Defect Classification]]="Internal",1,0))</f>
        <v/>
      </c>
      <c r="S484" s="106" t="str">
        <f>IF(Table2[[#This Row],[Defect Classification]]="","",IF(Table2[[#This Row],[Defect Classification]]="External",1,0))</f>
        <v/>
      </c>
      <c r="T484" s="100"/>
      <c r="U484" s="101"/>
      <c r="V484" s="100"/>
      <c r="W484" s="101"/>
      <c r="X484" s="101"/>
      <c r="Y484" s="101"/>
      <c r="Z484" s="101"/>
      <c r="AA484" s="112" t="str">
        <f>IF(ISNA(VLOOKUP(Table2[[#This Row],[Task ID]],Table1[],17,FALSE)),"",VLOOKUP(Table2[[#This Row],[Task ID]],Table1[],17,FALSE))</f>
        <v/>
      </c>
      <c r="AB484" s="115" t="str">
        <f>IF(Table2[[#This Row],[Defect Detected On Date ]]="","",TEXT(Table2[[#This Row],[Defect Detected On Date ]],"mmm"))</f>
        <v/>
      </c>
      <c r="AE484" s="63"/>
    </row>
    <row r="485" spans="2:31">
      <c r="B485" s="100"/>
      <c r="C485" s="100"/>
      <c r="D485" s="101"/>
      <c r="E485" s="101"/>
      <c r="F485" s="101"/>
      <c r="G485" s="102"/>
      <c r="H485" s="101"/>
      <c r="I485" s="101"/>
      <c r="J485" s="101"/>
      <c r="K485" s="101"/>
      <c r="L485" s="101"/>
      <c r="M485" s="101"/>
      <c r="N485" s="100"/>
      <c r="O485" s="100"/>
      <c r="P485" s="101"/>
      <c r="Q485" s="101"/>
      <c r="R485" s="106" t="str">
        <f>IF(Table2[[#This Row],[Defect Classification]]="","",IF(Table2[[#This Row],[Defect Classification]]="Internal",1,0))</f>
        <v/>
      </c>
      <c r="S485" s="106" t="str">
        <f>IF(Table2[[#This Row],[Defect Classification]]="","",IF(Table2[[#This Row],[Defect Classification]]="External",1,0))</f>
        <v/>
      </c>
      <c r="T485" s="100"/>
      <c r="U485" s="101"/>
      <c r="V485" s="100"/>
      <c r="W485" s="101"/>
      <c r="X485" s="101"/>
      <c r="Y485" s="101"/>
      <c r="Z485" s="101"/>
      <c r="AA485" s="112" t="str">
        <f>IF(ISNA(VLOOKUP(Table2[[#This Row],[Task ID]],Table1[],17,FALSE)),"",VLOOKUP(Table2[[#This Row],[Task ID]],Table1[],17,FALSE))</f>
        <v/>
      </c>
      <c r="AB485" s="115" t="str">
        <f>IF(Table2[[#This Row],[Defect Detected On Date ]]="","",TEXT(Table2[[#This Row],[Defect Detected On Date ]],"mmm"))</f>
        <v/>
      </c>
      <c r="AE485" s="63"/>
    </row>
    <row r="486" spans="2:31">
      <c r="B486" s="100"/>
      <c r="C486" s="100"/>
      <c r="D486" s="101"/>
      <c r="E486" s="101"/>
      <c r="F486" s="101"/>
      <c r="G486" s="102"/>
      <c r="H486" s="101"/>
      <c r="I486" s="101"/>
      <c r="J486" s="101"/>
      <c r="K486" s="101"/>
      <c r="L486" s="101"/>
      <c r="M486" s="101"/>
      <c r="N486" s="100"/>
      <c r="O486" s="100"/>
      <c r="P486" s="101"/>
      <c r="Q486" s="101"/>
      <c r="R486" s="106" t="str">
        <f>IF(Table2[[#This Row],[Defect Classification]]="","",IF(Table2[[#This Row],[Defect Classification]]="Internal",1,0))</f>
        <v/>
      </c>
      <c r="S486" s="106" t="str">
        <f>IF(Table2[[#This Row],[Defect Classification]]="","",IF(Table2[[#This Row],[Defect Classification]]="External",1,0))</f>
        <v/>
      </c>
      <c r="T486" s="100"/>
      <c r="U486" s="101"/>
      <c r="V486" s="100"/>
      <c r="W486" s="101"/>
      <c r="X486" s="101"/>
      <c r="Y486" s="101"/>
      <c r="Z486" s="101"/>
      <c r="AA486" s="112" t="str">
        <f>IF(ISNA(VLOOKUP(Table2[[#This Row],[Task ID]],Table1[],17,FALSE)),"",VLOOKUP(Table2[[#This Row],[Task ID]],Table1[],17,FALSE))</f>
        <v/>
      </c>
      <c r="AB486" s="115" t="str">
        <f>IF(Table2[[#This Row],[Defect Detected On Date ]]="","",TEXT(Table2[[#This Row],[Defect Detected On Date ]],"mmm"))</f>
        <v/>
      </c>
      <c r="AE486" s="63"/>
    </row>
    <row r="487" spans="2:31">
      <c r="B487" s="100"/>
      <c r="C487" s="100"/>
      <c r="D487" s="101"/>
      <c r="E487" s="101"/>
      <c r="F487" s="101"/>
      <c r="G487" s="102"/>
      <c r="H487" s="101"/>
      <c r="I487" s="101"/>
      <c r="J487" s="101"/>
      <c r="K487" s="101"/>
      <c r="L487" s="101"/>
      <c r="M487" s="101"/>
      <c r="N487" s="100"/>
      <c r="O487" s="100"/>
      <c r="P487" s="101"/>
      <c r="Q487" s="101"/>
      <c r="R487" s="106" t="str">
        <f>IF(Table2[[#This Row],[Defect Classification]]="","",IF(Table2[[#This Row],[Defect Classification]]="Internal",1,0))</f>
        <v/>
      </c>
      <c r="S487" s="106" t="str">
        <f>IF(Table2[[#This Row],[Defect Classification]]="","",IF(Table2[[#This Row],[Defect Classification]]="External",1,0))</f>
        <v/>
      </c>
      <c r="T487" s="100"/>
      <c r="U487" s="101"/>
      <c r="V487" s="100"/>
      <c r="W487" s="101"/>
      <c r="X487" s="101"/>
      <c r="Y487" s="101"/>
      <c r="Z487" s="101"/>
      <c r="AA487" s="112" t="str">
        <f>IF(ISNA(VLOOKUP(Table2[[#This Row],[Task ID]],Table1[],17,FALSE)),"",VLOOKUP(Table2[[#This Row],[Task ID]],Table1[],17,FALSE))</f>
        <v/>
      </c>
      <c r="AB487" s="115" t="str">
        <f>IF(Table2[[#This Row],[Defect Detected On Date ]]="","",TEXT(Table2[[#This Row],[Defect Detected On Date ]],"mmm"))</f>
        <v/>
      </c>
      <c r="AE487" s="63"/>
    </row>
    <row r="488" spans="2:31">
      <c r="B488" s="100"/>
      <c r="C488" s="100"/>
      <c r="D488" s="101"/>
      <c r="E488" s="101"/>
      <c r="F488" s="101"/>
      <c r="G488" s="102"/>
      <c r="H488" s="101"/>
      <c r="I488" s="101"/>
      <c r="J488" s="101"/>
      <c r="K488" s="101"/>
      <c r="L488" s="101"/>
      <c r="M488" s="101"/>
      <c r="N488" s="100"/>
      <c r="O488" s="100"/>
      <c r="P488" s="101"/>
      <c r="Q488" s="101"/>
      <c r="R488" s="106" t="str">
        <f>IF(Table2[[#This Row],[Defect Classification]]="","",IF(Table2[[#This Row],[Defect Classification]]="Internal",1,0))</f>
        <v/>
      </c>
      <c r="S488" s="106" t="str">
        <f>IF(Table2[[#This Row],[Defect Classification]]="","",IF(Table2[[#This Row],[Defect Classification]]="External",1,0))</f>
        <v/>
      </c>
      <c r="T488" s="100"/>
      <c r="U488" s="101"/>
      <c r="V488" s="100"/>
      <c r="W488" s="101"/>
      <c r="X488" s="101"/>
      <c r="Y488" s="101"/>
      <c r="Z488" s="101"/>
      <c r="AA488" s="112" t="str">
        <f>IF(ISNA(VLOOKUP(Table2[[#This Row],[Task ID]],Table1[],17,FALSE)),"",VLOOKUP(Table2[[#This Row],[Task ID]],Table1[],17,FALSE))</f>
        <v/>
      </c>
      <c r="AB488" s="115" t="str">
        <f>IF(Table2[[#This Row],[Defect Detected On Date ]]="","",TEXT(Table2[[#This Row],[Defect Detected On Date ]],"mmm"))</f>
        <v/>
      </c>
      <c r="AE488" s="63"/>
    </row>
    <row r="489" spans="2:31">
      <c r="B489" s="100"/>
      <c r="C489" s="100"/>
      <c r="D489" s="101"/>
      <c r="E489" s="101"/>
      <c r="F489" s="101"/>
      <c r="G489" s="102"/>
      <c r="H489" s="101"/>
      <c r="I489" s="101"/>
      <c r="J489" s="101"/>
      <c r="K489" s="101"/>
      <c r="L489" s="101"/>
      <c r="M489" s="101"/>
      <c r="N489" s="100"/>
      <c r="O489" s="100"/>
      <c r="P489" s="101"/>
      <c r="Q489" s="101"/>
      <c r="R489" s="106" t="str">
        <f>IF(Table2[[#This Row],[Defect Classification]]="","",IF(Table2[[#This Row],[Defect Classification]]="Internal",1,0))</f>
        <v/>
      </c>
      <c r="S489" s="106" t="str">
        <f>IF(Table2[[#This Row],[Defect Classification]]="","",IF(Table2[[#This Row],[Defect Classification]]="External",1,0))</f>
        <v/>
      </c>
      <c r="T489" s="100"/>
      <c r="U489" s="101"/>
      <c r="V489" s="100"/>
      <c r="W489" s="101"/>
      <c r="X489" s="101"/>
      <c r="Y489" s="101"/>
      <c r="Z489" s="101"/>
      <c r="AA489" s="112" t="str">
        <f>IF(ISNA(VLOOKUP(Table2[[#This Row],[Task ID]],Table1[],17,FALSE)),"",VLOOKUP(Table2[[#This Row],[Task ID]],Table1[],17,FALSE))</f>
        <v/>
      </c>
      <c r="AB489" s="115" t="str">
        <f>IF(Table2[[#This Row],[Defect Detected On Date ]]="","",TEXT(Table2[[#This Row],[Defect Detected On Date ]],"mmm"))</f>
        <v/>
      </c>
      <c r="AE489" s="63"/>
    </row>
    <row r="490" spans="2:31">
      <c r="B490" s="100"/>
      <c r="C490" s="100"/>
      <c r="D490" s="101"/>
      <c r="E490" s="101"/>
      <c r="F490" s="101"/>
      <c r="G490" s="102"/>
      <c r="H490" s="101"/>
      <c r="I490" s="101"/>
      <c r="J490" s="101"/>
      <c r="K490" s="101"/>
      <c r="L490" s="101"/>
      <c r="M490" s="101"/>
      <c r="N490" s="100"/>
      <c r="O490" s="100"/>
      <c r="P490" s="101"/>
      <c r="Q490" s="101"/>
      <c r="R490" s="106" t="str">
        <f>IF(Table2[[#This Row],[Defect Classification]]="","",IF(Table2[[#This Row],[Defect Classification]]="Internal",1,0))</f>
        <v/>
      </c>
      <c r="S490" s="106" t="str">
        <f>IF(Table2[[#This Row],[Defect Classification]]="","",IF(Table2[[#This Row],[Defect Classification]]="External",1,0))</f>
        <v/>
      </c>
      <c r="T490" s="100"/>
      <c r="U490" s="101"/>
      <c r="V490" s="100"/>
      <c r="W490" s="101"/>
      <c r="X490" s="101"/>
      <c r="Y490" s="101"/>
      <c r="Z490" s="101"/>
      <c r="AA490" s="112" t="str">
        <f>IF(ISNA(VLOOKUP(Table2[[#This Row],[Task ID]],Table1[],17,FALSE)),"",VLOOKUP(Table2[[#This Row],[Task ID]],Table1[],17,FALSE))</f>
        <v/>
      </c>
      <c r="AB490" s="115" t="str">
        <f>IF(Table2[[#This Row],[Defect Detected On Date ]]="","",TEXT(Table2[[#This Row],[Defect Detected On Date ]],"mmm"))</f>
        <v/>
      </c>
      <c r="AE490" s="63"/>
    </row>
    <row r="491" spans="2:31">
      <c r="B491" s="100"/>
      <c r="C491" s="100"/>
      <c r="D491" s="101"/>
      <c r="E491" s="101"/>
      <c r="F491" s="101"/>
      <c r="G491" s="102"/>
      <c r="H491" s="101"/>
      <c r="I491" s="101"/>
      <c r="J491" s="101"/>
      <c r="K491" s="101"/>
      <c r="L491" s="101"/>
      <c r="M491" s="101"/>
      <c r="N491" s="100"/>
      <c r="O491" s="100"/>
      <c r="P491" s="101"/>
      <c r="Q491" s="101"/>
      <c r="R491" s="106" t="str">
        <f>IF(Table2[[#This Row],[Defect Classification]]="","",IF(Table2[[#This Row],[Defect Classification]]="Internal",1,0))</f>
        <v/>
      </c>
      <c r="S491" s="106" t="str">
        <f>IF(Table2[[#This Row],[Defect Classification]]="","",IF(Table2[[#This Row],[Defect Classification]]="External",1,0))</f>
        <v/>
      </c>
      <c r="T491" s="100"/>
      <c r="U491" s="101"/>
      <c r="V491" s="100"/>
      <c r="W491" s="101"/>
      <c r="X491" s="101"/>
      <c r="Y491" s="101"/>
      <c r="Z491" s="101"/>
      <c r="AA491" s="112" t="str">
        <f>IF(ISNA(VLOOKUP(Table2[[#This Row],[Task ID]],Table1[],17,FALSE)),"",VLOOKUP(Table2[[#This Row],[Task ID]],Table1[],17,FALSE))</f>
        <v/>
      </c>
      <c r="AB491" s="115" t="str">
        <f>IF(Table2[[#This Row],[Defect Detected On Date ]]="","",TEXT(Table2[[#This Row],[Defect Detected On Date ]],"mmm"))</f>
        <v/>
      </c>
      <c r="AE491" s="63"/>
    </row>
    <row r="492" spans="2:31">
      <c r="B492" s="100"/>
      <c r="C492" s="100"/>
      <c r="D492" s="101"/>
      <c r="E492" s="101"/>
      <c r="F492" s="101"/>
      <c r="G492" s="102"/>
      <c r="H492" s="101"/>
      <c r="I492" s="101"/>
      <c r="J492" s="101"/>
      <c r="K492" s="101"/>
      <c r="L492" s="101"/>
      <c r="M492" s="101"/>
      <c r="N492" s="100"/>
      <c r="O492" s="100"/>
      <c r="P492" s="101"/>
      <c r="Q492" s="101"/>
      <c r="R492" s="106" t="str">
        <f>IF(Table2[[#This Row],[Defect Classification]]="","",IF(Table2[[#This Row],[Defect Classification]]="Internal",1,0))</f>
        <v/>
      </c>
      <c r="S492" s="106" t="str">
        <f>IF(Table2[[#This Row],[Defect Classification]]="","",IF(Table2[[#This Row],[Defect Classification]]="External",1,0))</f>
        <v/>
      </c>
      <c r="T492" s="100"/>
      <c r="U492" s="101"/>
      <c r="V492" s="100"/>
      <c r="W492" s="101"/>
      <c r="X492" s="101"/>
      <c r="Y492" s="101"/>
      <c r="Z492" s="101"/>
      <c r="AA492" s="112" t="str">
        <f>IF(ISNA(VLOOKUP(Table2[[#This Row],[Task ID]],Table1[],17,FALSE)),"",VLOOKUP(Table2[[#This Row],[Task ID]],Table1[],17,FALSE))</f>
        <v/>
      </c>
      <c r="AB492" s="115" t="str">
        <f>IF(Table2[[#This Row],[Defect Detected On Date ]]="","",TEXT(Table2[[#This Row],[Defect Detected On Date ]],"mmm"))</f>
        <v/>
      </c>
      <c r="AE492" s="63"/>
    </row>
    <row r="493" spans="2:31">
      <c r="B493" s="100"/>
      <c r="C493" s="100"/>
      <c r="D493" s="101"/>
      <c r="E493" s="101"/>
      <c r="F493" s="101"/>
      <c r="G493" s="102"/>
      <c r="H493" s="101"/>
      <c r="I493" s="101"/>
      <c r="J493" s="101"/>
      <c r="K493" s="101"/>
      <c r="L493" s="101"/>
      <c r="M493" s="101"/>
      <c r="N493" s="100"/>
      <c r="O493" s="100"/>
      <c r="P493" s="101"/>
      <c r="Q493" s="101"/>
      <c r="R493" s="106" t="str">
        <f>IF(Table2[[#This Row],[Defect Classification]]="","",IF(Table2[[#This Row],[Defect Classification]]="Internal",1,0))</f>
        <v/>
      </c>
      <c r="S493" s="106" t="str">
        <f>IF(Table2[[#This Row],[Defect Classification]]="","",IF(Table2[[#This Row],[Defect Classification]]="External",1,0))</f>
        <v/>
      </c>
      <c r="T493" s="100"/>
      <c r="U493" s="101"/>
      <c r="V493" s="100"/>
      <c r="W493" s="101"/>
      <c r="X493" s="101"/>
      <c r="Y493" s="101"/>
      <c r="Z493" s="101"/>
      <c r="AA493" s="112" t="str">
        <f>IF(ISNA(VLOOKUP(Table2[[#This Row],[Task ID]],Table1[],17,FALSE)),"",VLOOKUP(Table2[[#This Row],[Task ID]],Table1[],17,FALSE))</f>
        <v/>
      </c>
      <c r="AB493" s="115" t="str">
        <f>IF(Table2[[#This Row],[Defect Detected On Date ]]="","",TEXT(Table2[[#This Row],[Defect Detected On Date ]],"mmm"))</f>
        <v/>
      </c>
      <c r="AE493" s="63"/>
    </row>
    <row r="494" spans="2:31">
      <c r="B494" s="100"/>
      <c r="C494" s="100"/>
      <c r="D494" s="101"/>
      <c r="E494" s="101"/>
      <c r="F494" s="101"/>
      <c r="G494" s="102"/>
      <c r="H494" s="101"/>
      <c r="I494" s="101"/>
      <c r="J494" s="101"/>
      <c r="K494" s="101"/>
      <c r="L494" s="101"/>
      <c r="M494" s="101"/>
      <c r="N494" s="100"/>
      <c r="O494" s="100"/>
      <c r="P494" s="101"/>
      <c r="Q494" s="101"/>
      <c r="R494" s="106" t="str">
        <f>IF(Table2[[#This Row],[Defect Classification]]="","",IF(Table2[[#This Row],[Defect Classification]]="Internal",1,0))</f>
        <v/>
      </c>
      <c r="S494" s="106" t="str">
        <f>IF(Table2[[#This Row],[Defect Classification]]="","",IF(Table2[[#This Row],[Defect Classification]]="External",1,0))</f>
        <v/>
      </c>
      <c r="T494" s="100"/>
      <c r="U494" s="101"/>
      <c r="V494" s="100"/>
      <c r="W494" s="101"/>
      <c r="X494" s="101"/>
      <c r="Y494" s="101"/>
      <c r="Z494" s="101"/>
      <c r="AA494" s="112" t="str">
        <f>IF(ISNA(VLOOKUP(Table2[[#This Row],[Task ID]],Table1[],17,FALSE)),"",VLOOKUP(Table2[[#This Row],[Task ID]],Table1[],17,FALSE))</f>
        <v/>
      </c>
      <c r="AB494" s="115" t="str">
        <f>IF(Table2[[#This Row],[Defect Detected On Date ]]="","",TEXT(Table2[[#This Row],[Defect Detected On Date ]],"mmm"))</f>
        <v/>
      </c>
      <c r="AE494" s="63"/>
    </row>
    <row r="495" spans="2:31">
      <c r="B495" s="100"/>
      <c r="C495" s="100"/>
      <c r="D495" s="101"/>
      <c r="E495" s="101"/>
      <c r="F495" s="101"/>
      <c r="G495" s="102"/>
      <c r="H495" s="101"/>
      <c r="I495" s="101"/>
      <c r="J495" s="101"/>
      <c r="K495" s="101"/>
      <c r="L495" s="101"/>
      <c r="M495" s="101"/>
      <c r="N495" s="100"/>
      <c r="O495" s="100"/>
      <c r="P495" s="101"/>
      <c r="Q495" s="101"/>
      <c r="R495" s="106" t="str">
        <f>IF(Table2[[#This Row],[Defect Classification]]="","",IF(Table2[[#This Row],[Defect Classification]]="Internal",1,0))</f>
        <v/>
      </c>
      <c r="S495" s="106" t="str">
        <f>IF(Table2[[#This Row],[Defect Classification]]="","",IF(Table2[[#This Row],[Defect Classification]]="External",1,0))</f>
        <v/>
      </c>
      <c r="T495" s="100"/>
      <c r="U495" s="101"/>
      <c r="V495" s="100"/>
      <c r="W495" s="101"/>
      <c r="X495" s="101"/>
      <c r="Y495" s="101"/>
      <c r="Z495" s="101"/>
      <c r="AA495" s="112" t="str">
        <f>IF(ISNA(VLOOKUP(Table2[[#This Row],[Task ID]],Table1[],17,FALSE)),"",VLOOKUP(Table2[[#This Row],[Task ID]],Table1[],17,FALSE))</f>
        <v/>
      </c>
      <c r="AB495" s="115" t="str">
        <f>IF(Table2[[#This Row],[Defect Detected On Date ]]="","",TEXT(Table2[[#This Row],[Defect Detected On Date ]],"mmm"))</f>
        <v/>
      </c>
      <c r="AE495" s="63"/>
    </row>
    <row r="496" spans="2:31">
      <c r="B496" s="100"/>
      <c r="C496" s="100"/>
      <c r="D496" s="101"/>
      <c r="E496" s="101"/>
      <c r="F496" s="101"/>
      <c r="G496" s="102"/>
      <c r="H496" s="101"/>
      <c r="I496" s="101"/>
      <c r="J496" s="101"/>
      <c r="K496" s="101"/>
      <c r="L496" s="101"/>
      <c r="M496" s="101"/>
      <c r="N496" s="100"/>
      <c r="O496" s="100"/>
      <c r="P496" s="101"/>
      <c r="Q496" s="101"/>
      <c r="R496" s="106" t="str">
        <f>IF(Table2[[#This Row],[Defect Classification]]="","",IF(Table2[[#This Row],[Defect Classification]]="Internal",1,0))</f>
        <v/>
      </c>
      <c r="S496" s="106" t="str">
        <f>IF(Table2[[#This Row],[Defect Classification]]="","",IF(Table2[[#This Row],[Defect Classification]]="External",1,0))</f>
        <v/>
      </c>
      <c r="T496" s="100"/>
      <c r="U496" s="101"/>
      <c r="V496" s="100"/>
      <c r="W496" s="101"/>
      <c r="X496" s="101"/>
      <c r="Y496" s="101"/>
      <c r="Z496" s="101"/>
      <c r="AA496" s="112" t="str">
        <f>IF(ISNA(VLOOKUP(Table2[[#This Row],[Task ID]],Table1[],17,FALSE)),"",VLOOKUP(Table2[[#This Row],[Task ID]],Table1[],17,FALSE))</f>
        <v/>
      </c>
      <c r="AB496" s="115" t="str">
        <f>IF(Table2[[#This Row],[Defect Detected On Date ]]="","",TEXT(Table2[[#This Row],[Defect Detected On Date ]],"mmm"))</f>
        <v/>
      </c>
      <c r="AE496" s="63"/>
    </row>
    <row r="497" spans="2:31">
      <c r="B497" s="100"/>
      <c r="C497" s="100"/>
      <c r="D497" s="101"/>
      <c r="E497" s="101"/>
      <c r="F497" s="101"/>
      <c r="G497" s="102"/>
      <c r="H497" s="101"/>
      <c r="I497" s="101"/>
      <c r="J497" s="101"/>
      <c r="K497" s="101"/>
      <c r="L497" s="101"/>
      <c r="M497" s="101"/>
      <c r="N497" s="100"/>
      <c r="O497" s="100"/>
      <c r="P497" s="101"/>
      <c r="Q497" s="101"/>
      <c r="R497" s="106" t="str">
        <f>IF(Table2[[#This Row],[Defect Classification]]="","",IF(Table2[[#This Row],[Defect Classification]]="Internal",1,0))</f>
        <v/>
      </c>
      <c r="S497" s="106" t="str">
        <f>IF(Table2[[#This Row],[Defect Classification]]="","",IF(Table2[[#This Row],[Defect Classification]]="External",1,0))</f>
        <v/>
      </c>
      <c r="T497" s="100"/>
      <c r="U497" s="101"/>
      <c r="V497" s="100"/>
      <c r="W497" s="101"/>
      <c r="X497" s="101"/>
      <c r="Y497" s="101"/>
      <c r="Z497" s="101"/>
      <c r="AA497" s="112" t="str">
        <f>IF(ISNA(VLOOKUP(Table2[[#This Row],[Task ID]],Table1[],17,FALSE)),"",VLOOKUP(Table2[[#This Row],[Task ID]],Table1[],17,FALSE))</f>
        <v/>
      </c>
      <c r="AB497" s="115" t="str">
        <f>IF(Table2[[#This Row],[Defect Detected On Date ]]="","",TEXT(Table2[[#This Row],[Defect Detected On Date ]],"mmm"))</f>
        <v/>
      </c>
      <c r="AE497" s="63"/>
    </row>
    <row r="498" spans="2:31">
      <c r="B498" s="100"/>
      <c r="C498" s="100"/>
      <c r="D498" s="101"/>
      <c r="E498" s="101"/>
      <c r="F498" s="101"/>
      <c r="G498" s="102"/>
      <c r="H498" s="101"/>
      <c r="I498" s="101"/>
      <c r="J498" s="101"/>
      <c r="K498" s="101"/>
      <c r="L498" s="101"/>
      <c r="M498" s="101"/>
      <c r="N498" s="100"/>
      <c r="O498" s="100"/>
      <c r="P498" s="101"/>
      <c r="Q498" s="101"/>
      <c r="R498" s="106" t="str">
        <f>IF(Table2[[#This Row],[Defect Classification]]="","",IF(Table2[[#This Row],[Defect Classification]]="Internal",1,0))</f>
        <v/>
      </c>
      <c r="S498" s="106" t="str">
        <f>IF(Table2[[#This Row],[Defect Classification]]="","",IF(Table2[[#This Row],[Defect Classification]]="External",1,0))</f>
        <v/>
      </c>
      <c r="T498" s="100"/>
      <c r="U498" s="101"/>
      <c r="V498" s="100"/>
      <c r="W498" s="101"/>
      <c r="X498" s="101"/>
      <c r="Y498" s="101"/>
      <c r="Z498" s="101"/>
      <c r="AA498" s="112" t="str">
        <f>IF(ISNA(VLOOKUP(Table2[[#This Row],[Task ID]],Table1[],17,FALSE)),"",VLOOKUP(Table2[[#This Row],[Task ID]],Table1[],17,FALSE))</f>
        <v/>
      </c>
      <c r="AB498" s="115" t="str">
        <f>IF(Table2[[#This Row],[Defect Detected On Date ]]="","",TEXT(Table2[[#This Row],[Defect Detected On Date ]],"mmm"))</f>
        <v/>
      </c>
      <c r="AE498" s="63"/>
    </row>
    <row r="499" spans="2:31">
      <c r="B499" s="100"/>
      <c r="C499" s="100"/>
      <c r="D499" s="101"/>
      <c r="E499" s="101"/>
      <c r="F499" s="101"/>
      <c r="G499" s="102"/>
      <c r="H499" s="101"/>
      <c r="I499" s="101"/>
      <c r="J499" s="101"/>
      <c r="K499" s="101"/>
      <c r="L499" s="101"/>
      <c r="M499" s="101"/>
      <c r="N499" s="100"/>
      <c r="O499" s="100"/>
      <c r="P499" s="101"/>
      <c r="Q499" s="101"/>
      <c r="R499" s="106" t="str">
        <f>IF(Table2[[#This Row],[Defect Classification]]="","",IF(Table2[[#This Row],[Defect Classification]]="Internal",1,0))</f>
        <v/>
      </c>
      <c r="S499" s="106" t="str">
        <f>IF(Table2[[#This Row],[Defect Classification]]="","",IF(Table2[[#This Row],[Defect Classification]]="External",1,0))</f>
        <v/>
      </c>
      <c r="T499" s="100"/>
      <c r="U499" s="101"/>
      <c r="V499" s="100"/>
      <c r="W499" s="101"/>
      <c r="X499" s="101"/>
      <c r="Y499" s="101"/>
      <c r="Z499" s="101"/>
      <c r="AA499" s="112" t="str">
        <f>IF(ISNA(VLOOKUP(Table2[[#This Row],[Task ID]],Table1[],17,FALSE)),"",VLOOKUP(Table2[[#This Row],[Task ID]],Table1[],17,FALSE))</f>
        <v/>
      </c>
      <c r="AB499" s="115" t="str">
        <f>IF(Table2[[#This Row],[Defect Detected On Date ]]="","",TEXT(Table2[[#This Row],[Defect Detected On Date ]],"mmm"))</f>
        <v/>
      </c>
      <c r="AE499" s="63"/>
    </row>
    <row r="500" spans="2:31">
      <c r="B500" s="100"/>
      <c r="C500" s="100"/>
      <c r="D500" s="101"/>
      <c r="E500" s="101"/>
      <c r="F500" s="101"/>
      <c r="G500" s="102"/>
      <c r="H500" s="101"/>
      <c r="I500" s="101"/>
      <c r="J500" s="101"/>
      <c r="K500" s="101"/>
      <c r="L500" s="101"/>
      <c r="M500" s="101"/>
      <c r="N500" s="100"/>
      <c r="O500" s="100"/>
      <c r="P500" s="101"/>
      <c r="Q500" s="101"/>
      <c r="R500" s="106" t="str">
        <f>IF(Table2[[#This Row],[Defect Classification]]="","",IF(Table2[[#This Row],[Defect Classification]]="Internal",1,0))</f>
        <v/>
      </c>
      <c r="S500" s="106" t="str">
        <f>IF(Table2[[#This Row],[Defect Classification]]="","",IF(Table2[[#This Row],[Defect Classification]]="External",1,0))</f>
        <v/>
      </c>
      <c r="T500" s="100"/>
      <c r="U500" s="101"/>
      <c r="V500" s="100"/>
      <c r="W500" s="101"/>
      <c r="X500" s="101"/>
      <c r="Y500" s="101"/>
      <c r="Z500" s="101"/>
      <c r="AA500" s="112" t="str">
        <f>IF(ISNA(VLOOKUP(Table2[[#This Row],[Task ID]],Table1[],17,FALSE)),"",VLOOKUP(Table2[[#This Row],[Task ID]],Table1[],17,FALSE))</f>
        <v/>
      </c>
      <c r="AB500" s="115" t="str">
        <f>IF(Table2[[#This Row],[Defect Detected On Date ]]="","",TEXT(Table2[[#This Row],[Defect Detected On Date ]],"mmm"))</f>
        <v/>
      </c>
      <c r="AE500" s="63"/>
    </row>
    <row r="501" spans="2:31">
      <c r="B501" s="100"/>
      <c r="C501" s="100"/>
      <c r="D501" s="101"/>
      <c r="E501" s="101"/>
      <c r="F501" s="101"/>
      <c r="G501" s="102"/>
      <c r="H501" s="101"/>
      <c r="I501" s="101"/>
      <c r="J501" s="101"/>
      <c r="K501" s="101"/>
      <c r="L501" s="101"/>
      <c r="M501" s="101"/>
      <c r="N501" s="100"/>
      <c r="O501" s="100"/>
      <c r="P501" s="101"/>
      <c r="Q501" s="101"/>
      <c r="R501" s="106" t="str">
        <f>IF(Table2[[#This Row],[Defect Classification]]="","",IF(Table2[[#This Row],[Defect Classification]]="Internal",1,0))</f>
        <v/>
      </c>
      <c r="S501" s="106" t="str">
        <f>IF(Table2[[#This Row],[Defect Classification]]="","",IF(Table2[[#This Row],[Defect Classification]]="External",1,0))</f>
        <v/>
      </c>
      <c r="T501" s="100"/>
      <c r="U501" s="101"/>
      <c r="V501" s="100"/>
      <c r="W501" s="101"/>
      <c r="X501" s="101"/>
      <c r="Y501" s="101"/>
      <c r="Z501" s="101"/>
      <c r="AA501" s="112" t="str">
        <f>IF(ISNA(VLOOKUP(Table2[[#This Row],[Task ID]],Table1[],17,FALSE)),"",VLOOKUP(Table2[[#This Row],[Task ID]],Table1[],17,FALSE))</f>
        <v/>
      </c>
      <c r="AB501" s="115" t="str">
        <f>IF(Table2[[#This Row],[Defect Detected On Date ]]="","",TEXT(Table2[[#This Row],[Defect Detected On Date ]],"mmm"))</f>
        <v/>
      </c>
      <c r="AE501" s="63"/>
    </row>
    <row r="502" spans="2:31">
      <c r="B502" s="100"/>
      <c r="C502" s="100"/>
      <c r="D502" s="101"/>
      <c r="E502" s="101"/>
      <c r="F502" s="101"/>
      <c r="G502" s="102"/>
      <c r="H502" s="101"/>
      <c r="I502" s="101"/>
      <c r="J502" s="101"/>
      <c r="K502" s="101"/>
      <c r="L502" s="101"/>
      <c r="M502" s="101"/>
      <c r="N502" s="100"/>
      <c r="O502" s="100"/>
      <c r="P502" s="101"/>
      <c r="Q502" s="101"/>
      <c r="R502" s="106" t="str">
        <f>IF(Table2[[#This Row],[Defect Classification]]="","",IF(Table2[[#This Row],[Defect Classification]]="Internal",1,0))</f>
        <v/>
      </c>
      <c r="S502" s="106" t="str">
        <f>IF(Table2[[#This Row],[Defect Classification]]="","",IF(Table2[[#This Row],[Defect Classification]]="External",1,0))</f>
        <v/>
      </c>
      <c r="T502" s="100"/>
      <c r="U502" s="101"/>
      <c r="V502" s="100"/>
      <c r="W502" s="101"/>
      <c r="X502" s="101"/>
      <c r="Y502" s="101"/>
      <c r="Z502" s="101"/>
      <c r="AA502" s="112" t="str">
        <f>IF(ISNA(VLOOKUP(Table2[[#This Row],[Task ID]],Table1[],17,FALSE)),"",VLOOKUP(Table2[[#This Row],[Task ID]],Table1[],17,FALSE))</f>
        <v/>
      </c>
      <c r="AB502" s="115" t="str">
        <f>IF(Table2[[#This Row],[Defect Detected On Date ]]="","",TEXT(Table2[[#This Row],[Defect Detected On Date ]],"mmm"))</f>
        <v/>
      </c>
      <c r="AE502" s="63"/>
    </row>
    <row r="503" spans="2:31">
      <c r="B503" s="100"/>
      <c r="C503" s="100"/>
      <c r="D503" s="101"/>
      <c r="E503" s="101"/>
      <c r="F503" s="101"/>
      <c r="G503" s="102"/>
      <c r="H503" s="101"/>
      <c r="I503" s="101"/>
      <c r="J503" s="101"/>
      <c r="K503" s="101"/>
      <c r="L503" s="101"/>
      <c r="M503" s="101"/>
      <c r="N503" s="100"/>
      <c r="O503" s="100"/>
      <c r="P503" s="101"/>
      <c r="Q503" s="101"/>
      <c r="R503" s="106" t="str">
        <f>IF(Table2[[#This Row],[Defect Classification]]="","",IF(Table2[[#This Row],[Defect Classification]]="Internal",1,0))</f>
        <v/>
      </c>
      <c r="S503" s="106" t="str">
        <f>IF(Table2[[#This Row],[Defect Classification]]="","",IF(Table2[[#This Row],[Defect Classification]]="External",1,0))</f>
        <v/>
      </c>
      <c r="T503" s="100"/>
      <c r="U503" s="101"/>
      <c r="V503" s="100"/>
      <c r="W503" s="101"/>
      <c r="X503" s="101"/>
      <c r="Y503" s="101"/>
      <c r="Z503" s="101"/>
      <c r="AA503" s="112" t="str">
        <f>IF(ISNA(VLOOKUP(Table2[[#This Row],[Task ID]],Table1[],17,FALSE)),"",VLOOKUP(Table2[[#This Row],[Task ID]],Table1[],17,FALSE))</f>
        <v/>
      </c>
      <c r="AB503" s="115" t="str">
        <f>IF(Table2[[#This Row],[Defect Detected On Date ]]="","",TEXT(Table2[[#This Row],[Defect Detected On Date ]],"mmm"))</f>
        <v/>
      </c>
      <c r="AE503" s="63"/>
    </row>
    <row r="504" spans="2:31">
      <c r="B504" s="100"/>
      <c r="C504" s="100"/>
      <c r="D504" s="101"/>
      <c r="E504" s="101"/>
      <c r="F504" s="101"/>
      <c r="G504" s="102"/>
      <c r="H504" s="101"/>
      <c r="I504" s="101"/>
      <c r="J504" s="101"/>
      <c r="K504" s="101"/>
      <c r="L504" s="101"/>
      <c r="M504" s="101"/>
      <c r="N504" s="100"/>
      <c r="O504" s="100"/>
      <c r="P504" s="101"/>
      <c r="Q504" s="101"/>
      <c r="R504" s="106" t="str">
        <f>IF(Table2[[#This Row],[Defect Classification]]="","",IF(Table2[[#This Row],[Defect Classification]]="Internal",1,0))</f>
        <v/>
      </c>
      <c r="S504" s="106" t="str">
        <f>IF(Table2[[#This Row],[Defect Classification]]="","",IF(Table2[[#This Row],[Defect Classification]]="External",1,0))</f>
        <v/>
      </c>
      <c r="T504" s="100"/>
      <c r="U504" s="101"/>
      <c r="V504" s="100"/>
      <c r="W504" s="101"/>
      <c r="X504" s="101"/>
      <c r="Y504" s="101"/>
      <c r="Z504" s="101"/>
      <c r="AA504" s="112" t="str">
        <f>IF(ISNA(VLOOKUP(Table2[[#This Row],[Task ID]],Table1[],17,FALSE)),"",VLOOKUP(Table2[[#This Row],[Task ID]],Table1[],17,FALSE))</f>
        <v/>
      </c>
      <c r="AB504" s="115" t="str">
        <f>IF(Table2[[#This Row],[Defect Detected On Date ]]="","",TEXT(Table2[[#This Row],[Defect Detected On Date ]],"mmm"))</f>
        <v/>
      </c>
      <c r="AE504" s="63"/>
    </row>
    <row r="505" spans="2:31">
      <c r="B505" s="100"/>
      <c r="C505" s="100"/>
      <c r="D505" s="101"/>
      <c r="E505" s="101"/>
      <c r="F505" s="101"/>
      <c r="G505" s="102"/>
      <c r="H505" s="101"/>
      <c r="I505" s="101"/>
      <c r="J505" s="101"/>
      <c r="K505" s="101"/>
      <c r="L505" s="101"/>
      <c r="M505" s="101"/>
      <c r="N505" s="100"/>
      <c r="O505" s="100"/>
      <c r="P505" s="101"/>
      <c r="Q505" s="101"/>
      <c r="R505" s="106" t="str">
        <f>IF(Table2[[#This Row],[Defect Classification]]="","",IF(Table2[[#This Row],[Defect Classification]]="Internal",1,0))</f>
        <v/>
      </c>
      <c r="S505" s="106" t="str">
        <f>IF(Table2[[#This Row],[Defect Classification]]="","",IF(Table2[[#This Row],[Defect Classification]]="External",1,0))</f>
        <v/>
      </c>
      <c r="T505" s="100"/>
      <c r="U505" s="101"/>
      <c r="V505" s="100"/>
      <c r="W505" s="101"/>
      <c r="X505" s="101"/>
      <c r="Y505" s="101"/>
      <c r="Z505" s="101"/>
      <c r="AA505" s="112" t="str">
        <f>IF(ISNA(VLOOKUP(Table2[[#This Row],[Task ID]],Table1[],17,FALSE)),"",VLOOKUP(Table2[[#This Row],[Task ID]],Table1[],17,FALSE))</f>
        <v/>
      </c>
      <c r="AB505" s="115" t="str">
        <f>IF(Table2[[#This Row],[Defect Detected On Date ]]="","",TEXT(Table2[[#This Row],[Defect Detected On Date ]],"mmm"))</f>
        <v/>
      </c>
      <c r="AE505" s="63"/>
    </row>
    <row r="506" spans="2:31">
      <c r="B506" s="100"/>
      <c r="C506" s="100"/>
      <c r="D506" s="101"/>
      <c r="E506" s="101"/>
      <c r="F506" s="101"/>
      <c r="G506" s="102"/>
      <c r="H506" s="101"/>
      <c r="I506" s="101"/>
      <c r="J506" s="101"/>
      <c r="K506" s="101"/>
      <c r="L506" s="101"/>
      <c r="M506" s="101"/>
      <c r="N506" s="100"/>
      <c r="O506" s="100"/>
      <c r="P506" s="101"/>
      <c r="Q506" s="101"/>
      <c r="R506" s="106" t="str">
        <f>IF(Table2[[#This Row],[Defect Classification]]="","",IF(Table2[[#This Row],[Defect Classification]]="Internal",1,0))</f>
        <v/>
      </c>
      <c r="S506" s="106" t="str">
        <f>IF(Table2[[#This Row],[Defect Classification]]="","",IF(Table2[[#This Row],[Defect Classification]]="External",1,0))</f>
        <v/>
      </c>
      <c r="T506" s="100"/>
      <c r="U506" s="101"/>
      <c r="V506" s="100"/>
      <c r="W506" s="101"/>
      <c r="X506" s="101"/>
      <c r="Y506" s="101"/>
      <c r="Z506" s="101"/>
      <c r="AA506" s="112" t="str">
        <f>IF(ISNA(VLOOKUP(Table2[[#This Row],[Task ID]],Table1[],17,FALSE)),"",VLOOKUP(Table2[[#This Row],[Task ID]],Table1[],17,FALSE))</f>
        <v/>
      </c>
      <c r="AB506" s="115" t="str">
        <f>IF(Table2[[#This Row],[Defect Detected On Date ]]="","",TEXT(Table2[[#This Row],[Defect Detected On Date ]],"mmm"))</f>
        <v/>
      </c>
      <c r="AE506" s="63"/>
    </row>
    <row r="507" spans="2:31">
      <c r="B507" s="100"/>
      <c r="C507" s="100"/>
      <c r="D507" s="101"/>
      <c r="E507" s="101"/>
      <c r="F507" s="101"/>
      <c r="G507" s="102"/>
      <c r="H507" s="101"/>
      <c r="I507" s="101"/>
      <c r="J507" s="101"/>
      <c r="K507" s="101"/>
      <c r="L507" s="101"/>
      <c r="M507" s="101"/>
      <c r="N507" s="100"/>
      <c r="O507" s="100"/>
      <c r="P507" s="101"/>
      <c r="Q507" s="101"/>
      <c r="R507" s="106" t="str">
        <f>IF(Table2[[#This Row],[Defect Classification]]="","",IF(Table2[[#This Row],[Defect Classification]]="Internal",1,0))</f>
        <v/>
      </c>
      <c r="S507" s="106" t="str">
        <f>IF(Table2[[#This Row],[Defect Classification]]="","",IF(Table2[[#This Row],[Defect Classification]]="External",1,0))</f>
        <v/>
      </c>
      <c r="T507" s="100"/>
      <c r="U507" s="101"/>
      <c r="V507" s="100"/>
      <c r="W507" s="101"/>
      <c r="X507" s="101"/>
      <c r="Y507" s="101"/>
      <c r="Z507" s="101"/>
      <c r="AA507" s="112" t="str">
        <f>IF(ISNA(VLOOKUP(Table2[[#This Row],[Task ID]],Table1[],17,FALSE)),"",VLOOKUP(Table2[[#This Row],[Task ID]],Table1[],17,FALSE))</f>
        <v/>
      </c>
      <c r="AB507" s="115" t="str">
        <f>IF(Table2[[#This Row],[Defect Detected On Date ]]="","",TEXT(Table2[[#This Row],[Defect Detected On Date ]],"mmm"))</f>
        <v/>
      </c>
      <c r="AE507" s="63"/>
    </row>
    <row r="508" spans="2:31">
      <c r="B508" s="100"/>
      <c r="C508" s="100"/>
      <c r="D508" s="101"/>
      <c r="E508" s="101"/>
      <c r="F508" s="101"/>
      <c r="G508" s="102"/>
      <c r="H508" s="101"/>
      <c r="I508" s="101"/>
      <c r="J508" s="101"/>
      <c r="K508" s="101"/>
      <c r="L508" s="101"/>
      <c r="M508" s="101"/>
      <c r="N508" s="100"/>
      <c r="O508" s="100"/>
      <c r="P508" s="101"/>
      <c r="Q508" s="101"/>
      <c r="R508" s="106" t="str">
        <f>IF(Table2[[#This Row],[Defect Classification]]="","",IF(Table2[[#This Row],[Defect Classification]]="Internal",1,0))</f>
        <v/>
      </c>
      <c r="S508" s="106" t="str">
        <f>IF(Table2[[#This Row],[Defect Classification]]="","",IF(Table2[[#This Row],[Defect Classification]]="External",1,0))</f>
        <v/>
      </c>
      <c r="T508" s="100"/>
      <c r="U508" s="101"/>
      <c r="V508" s="100"/>
      <c r="W508" s="101"/>
      <c r="X508" s="101"/>
      <c r="Y508" s="101"/>
      <c r="Z508" s="101"/>
      <c r="AA508" s="112" t="str">
        <f>IF(ISNA(VLOOKUP(Table2[[#This Row],[Task ID]],Table1[],17,FALSE)),"",VLOOKUP(Table2[[#This Row],[Task ID]],Table1[],17,FALSE))</f>
        <v/>
      </c>
      <c r="AB508" s="115" t="str">
        <f>IF(Table2[[#This Row],[Defect Detected On Date ]]="","",TEXT(Table2[[#This Row],[Defect Detected On Date ]],"mmm"))</f>
        <v/>
      </c>
      <c r="AE508" s="63"/>
    </row>
    <row r="509" spans="2:31">
      <c r="B509" s="100"/>
      <c r="C509" s="100"/>
      <c r="D509" s="101"/>
      <c r="E509" s="101"/>
      <c r="F509" s="101"/>
      <c r="G509" s="102"/>
      <c r="H509" s="101"/>
      <c r="I509" s="101"/>
      <c r="J509" s="101"/>
      <c r="K509" s="101"/>
      <c r="L509" s="101"/>
      <c r="M509" s="101"/>
      <c r="N509" s="100"/>
      <c r="O509" s="100"/>
      <c r="P509" s="101"/>
      <c r="Q509" s="101"/>
      <c r="R509" s="106" t="str">
        <f>IF(Table2[[#This Row],[Defect Classification]]="","",IF(Table2[[#This Row],[Defect Classification]]="Internal",1,0))</f>
        <v/>
      </c>
      <c r="S509" s="106" t="str">
        <f>IF(Table2[[#This Row],[Defect Classification]]="","",IF(Table2[[#This Row],[Defect Classification]]="External",1,0))</f>
        <v/>
      </c>
      <c r="T509" s="100"/>
      <c r="U509" s="101"/>
      <c r="V509" s="100"/>
      <c r="W509" s="101"/>
      <c r="X509" s="101"/>
      <c r="Y509" s="101"/>
      <c r="Z509" s="101"/>
      <c r="AA509" s="112" t="str">
        <f>IF(ISNA(VLOOKUP(Table2[[#This Row],[Task ID]],Table1[],17,FALSE)),"",VLOOKUP(Table2[[#This Row],[Task ID]],Table1[],17,FALSE))</f>
        <v/>
      </c>
      <c r="AB509" s="115" t="str">
        <f>IF(Table2[[#This Row],[Defect Detected On Date ]]="","",TEXT(Table2[[#This Row],[Defect Detected On Date ]],"mmm"))</f>
        <v/>
      </c>
      <c r="AE509" s="63"/>
    </row>
    <row r="510" spans="2:31">
      <c r="B510" s="100"/>
      <c r="C510" s="100"/>
      <c r="D510" s="101"/>
      <c r="E510" s="101"/>
      <c r="F510" s="101"/>
      <c r="G510" s="102"/>
      <c r="H510" s="101"/>
      <c r="I510" s="101"/>
      <c r="J510" s="101"/>
      <c r="K510" s="101"/>
      <c r="L510" s="101"/>
      <c r="M510" s="101"/>
      <c r="N510" s="100"/>
      <c r="O510" s="100"/>
      <c r="P510" s="101"/>
      <c r="Q510" s="101"/>
      <c r="R510" s="106" t="str">
        <f>IF(Table2[[#This Row],[Defect Classification]]="","",IF(Table2[[#This Row],[Defect Classification]]="Internal",1,0))</f>
        <v/>
      </c>
      <c r="S510" s="106" t="str">
        <f>IF(Table2[[#This Row],[Defect Classification]]="","",IF(Table2[[#This Row],[Defect Classification]]="External",1,0))</f>
        <v/>
      </c>
      <c r="T510" s="100"/>
      <c r="U510" s="101"/>
      <c r="V510" s="100"/>
      <c r="W510" s="101"/>
      <c r="X510" s="101"/>
      <c r="Y510" s="101"/>
      <c r="Z510" s="101"/>
      <c r="AA510" s="112" t="str">
        <f>IF(ISNA(VLOOKUP(Table2[[#This Row],[Task ID]],Table1[],17,FALSE)),"",VLOOKUP(Table2[[#This Row],[Task ID]],Table1[],17,FALSE))</f>
        <v/>
      </c>
      <c r="AB510" s="115" t="str">
        <f>IF(Table2[[#This Row],[Defect Detected On Date ]]="","",TEXT(Table2[[#This Row],[Defect Detected On Date ]],"mmm"))</f>
        <v/>
      </c>
      <c r="AE510" s="63"/>
    </row>
    <row r="511" spans="2:31">
      <c r="B511" s="100"/>
      <c r="C511" s="100"/>
      <c r="D511" s="101"/>
      <c r="E511" s="101"/>
      <c r="F511" s="101"/>
      <c r="G511" s="102"/>
      <c r="H511" s="101"/>
      <c r="I511" s="101"/>
      <c r="J511" s="101"/>
      <c r="K511" s="101"/>
      <c r="L511" s="101"/>
      <c r="M511" s="101"/>
      <c r="N511" s="100"/>
      <c r="O511" s="100"/>
      <c r="P511" s="101"/>
      <c r="Q511" s="101"/>
      <c r="R511" s="106" t="str">
        <f>IF(Table2[[#This Row],[Defect Classification]]="","",IF(Table2[[#This Row],[Defect Classification]]="Internal",1,0))</f>
        <v/>
      </c>
      <c r="S511" s="106" t="str">
        <f>IF(Table2[[#This Row],[Defect Classification]]="","",IF(Table2[[#This Row],[Defect Classification]]="External",1,0))</f>
        <v/>
      </c>
      <c r="T511" s="100"/>
      <c r="U511" s="101"/>
      <c r="V511" s="100"/>
      <c r="W511" s="101"/>
      <c r="X511" s="101"/>
      <c r="Y511" s="101"/>
      <c r="Z511" s="101"/>
      <c r="AA511" s="112" t="str">
        <f>IF(ISNA(VLOOKUP(Table2[[#This Row],[Task ID]],Table1[],17,FALSE)),"",VLOOKUP(Table2[[#This Row],[Task ID]],Table1[],17,FALSE))</f>
        <v/>
      </c>
      <c r="AB511" s="115" t="str">
        <f>IF(Table2[[#This Row],[Defect Detected On Date ]]="","",TEXT(Table2[[#This Row],[Defect Detected On Date ]],"mmm"))</f>
        <v/>
      </c>
      <c r="AE511" s="63"/>
    </row>
    <row r="512" spans="2:31">
      <c r="B512" s="100"/>
      <c r="C512" s="100"/>
      <c r="D512" s="101"/>
      <c r="E512" s="101"/>
      <c r="F512" s="101"/>
      <c r="G512" s="102"/>
      <c r="H512" s="101"/>
      <c r="I512" s="101"/>
      <c r="J512" s="101"/>
      <c r="K512" s="101"/>
      <c r="L512" s="101"/>
      <c r="M512" s="101"/>
      <c r="N512" s="100"/>
      <c r="O512" s="100"/>
      <c r="P512" s="101"/>
      <c r="Q512" s="101"/>
      <c r="R512" s="106" t="str">
        <f>IF(Table2[[#This Row],[Defect Classification]]="","",IF(Table2[[#This Row],[Defect Classification]]="Internal",1,0))</f>
        <v/>
      </c>
      <c r="S512" s="106" t="str">
        <f>IF(Table2[[#This Row],[Defect Classification]]="","",IF(Table2[[#This Row],[Defect Classification]]="External",1,0))</f>
        <v/>
      </c>
      <c r="T512" s="100"/>
      <c r="U512" s="101"/>
      <c r="V512" s="100"/>
      <c r="W512" s="101"/>
      <c r="X512" s="101"/>
      <c r="Y512" s="101"/>
      <c r="Z512" s="101"/>
      <c r="AA512" s="112" t="str">
        <f>IF(ISNA(VLOOKUP(Table2[[#This Row],[Task ID]],Table1[],17,FALSE)),"",VLOOKUP(Table2[[#This Row],[Task ID]],Table1[],17,FALSE))</f>
        <v/>
      </c>
      <c r="AB512" s="115" t="str">
        <f>IF(Table2[[#This Row],[Defect Detected On Date ]]="","",TEXT(Table2[[#This Row],[Defect Detected On Date ]],"mmm"))</f>
        <v/>
      </c>
      <c r="AE512" s="63"/>
    </row>
    <row r="513" spans="2:31">
      <c r="B513" s="100"/>
      <c r="C513" s="100"/>
      <c r="D513" s="101"/>
      <c r="E513" s="101"/>
      <c r="F513" s="101"/>
      <c r="G513" s="102"/>
      <c r="H513" s="101"/>
      <c r="I513" s="101"/>
      <c r="J513" s="101"/>
      <c r="K513" s="101"/>
      <c r="L513" s="101"/>
      <c r="M513" s="101"/>
      <c r="N513" s="100"/>
      <c r="O513" s="100"/>
      <c r="P513" s="101"/>
      <c r="Q513" s="101"/>
      <c r="R513" s="106" t="str">
        <f>IF(Table2[[#This Row],[Defect Classification]]="","",IF(Table2[[#This Row],[Defect Classification]]="Internal",1,0))</f>
        <v/>
      </c>
      <c r="S513" s="106" t="str">
        <f>IF(Table2[[#This Row],[Defect Classification]]="","",IF(Table2[[#This Row],[Defect Classification]]="External",1,0))</f>
        <v/>
      </c>
      <c r="T513" s="100"/>
      <c r="U513" s="101"/>
      <c r="V513" s="100"/>
      <c r="W513" s="101"/>
      <c r="X513" s="101"/>
      <c r="Y513" s="101"/>
      <c r="Z513" s="101"/>
      <c r="AA513" s="112" t="str">
        <f>IF(ISNA(VLOOKUP(Table2[[#This Row],[Task ID]],Table1[],17,FALSE)),"",VLOOKUP(Table2[[#This Row],[Task ID]],Table1[],17,FALSE))</f>
        <v/>
      </c>
      <c r="AB513" s="115" t="str">
        <f>IF(Table2[[#This Row],[Defect Detected On Date ]]="","",TEXT(Table2[[#This Row],[Defect Detected On Date ]],"mmm"))</f>
        <v/>
      </c>
      <c r="AE513" s="63"/>
    </row>
    <row r="514" spans="2:31">
      <c r="B514" s="100"/>
      <c r="C514" s="100"/>
      <c r="D514" s="101"/>
      <c r="E514" s="101"/>
      <c r="F514" s="101"/>
      <c r="G514" s="102"/>
      <c r="H514" s="101"/>
      <c r="I514" s="101"/>
      <c r="J514" s="101"/>
      <c r="K514" s="101"/>
      <c r="L514" s="101"/>
      <c r="M514" s="101"/>
      <c r="N514" s="100"/>
      <c r="O514" s="100"/>
      <c r="P514" s="101"/>
      <c r="Q514" s="101"/>
      <c r="R514" s="106" t="str">
        <f>IF(Table2[[#This Row],[Defect Classification]]="","",IF(Table2[[#This Row],[Defect Classification]]="Internal",1,0))</f>
        <v/>
      </c>
      <c r="S514" s="106" t="str">
        <f>IF(Table2[[#This Row],[Defect Classification]]="","",IF(Table2[[#This Row],[Defect Classification]]="External",1,0))</f>
        <v/>
      </c>
      <c r="T514" s="100"/>
      <c r="U514" s="101"/>
      <c r="V514" s="100"/>
      <c r="W514" s="101"/>
      <c r="X514" s="101"/>
      <c r="Y514" s="101"/>
      <c r="Z514" s="101"/>
      <c r="AA514" s="112" t="str">
        <f>IF(ISNA(VLOOKUP(Table2[[#This Row],[Task ID]],Table1[],17,FALSE)),"",VLOOKUP(Table2[[#This Row],[Task ID]],Table1[],17,FALSE))</f>
        <v/>
      </c>
      <c r="AB514" s="115" t="str">
        <f>IF(Table2[[#This Row],[Defect Detected On Date ]]="","",TEXT(Table2[[#This Row],[Defect Detected On Date ]],"mmm"))</f>
        <v/>
      </c>
      <c r="AE514" s="63"/>
    </row>
    <row r="515" spans="2:31">
      <c r="B515" s="100"/>
      <c r="C515" s="100"/>
      <c r="D515" s="101"/>
      <c r="E515" s="101"/>
      <c r="F515" s="101"/>
      <c r="G515" s="102"/>
      <c r="H515" s="101"/>
      <c r="I515" s="101"/>
      <c r="J515" s="101"/>
      <c r="K515" s="101"/>
      <c r="L515" s="101"/>
      <c r="M515" s="101"/>
      <c r="N515" s="100"/>
      <c r="O515" s="100"/>
      <c r="P515" s="101"/>
      <c r="Q515" s="101"/>
      <c r="R515" s="106" t="str">
        <f>IF(Table2[[#This Row],[Defect Classification]]="","",IF(Table2[[#This Row],[Defect Classification]]="Internal",1,0))</f>
        <v/>
      </c>
      <c r="S515" s="106" t="str">
        <f>IF(Table2[[#This Row],[Defect Classification]]="","",IF(Table2[[#This Row],[Defect Classification]]="External",1,0))</f>
        <v/>
      </c>
      <c r="T515" s="100"/>
      <c r="U515" s="101"/>
      <c r="V515" s="100"/>
      <c r="W515" s="101"/>
      <c r="X515" s="101"/>
      <c r="Y515" s="101"/>
      <c r="Z515" s="101"/>
      <c r="AA515" s="112" t="str">
        <f>IF(ISNA(VLOOKUP(Table2[[#This Row],[Task ID]],Table1[],17,FALSE)),"",VLOOKUP(Table2[[#This Row],[Task ID]],Table1[],17,FALSE))</f>
        <v/>
      </c>
      <c r="AB515" s="115" t="str">
        <f>IF(Table2[[#This Row],[Defect Detected On Date ]]="","",TEXT(Table2[[#This Row],[Defect Detected On Date ]],"mmm"))</f>
        <v/>
      </c>
      <c r="AE515" s="63"/>
    </row>
    <row r="516" spans="2:31">
      <c r="B516" s="100"/>
      <c r="C516" s="100"/>
      <c r="D516" s="101"/>
      <c r="E516" s="101"/>
      <c r="F516" s="101"/>
      <c r="G516" s="102"/>
      <c r="H516" s="101"/>
      <c r="I516" s="101"/>
      <c r="J516" s="101"/>
      <c r="K516" s="101"/>
      <c r="L516" s="101"/>
      <c r="M516" s="101"/>
      <c r="N516" s="100"/>
      <c r="O516" s="100"/>
      <c r="P516" s="101"/>
      <c r="Q516" s="101"/>
      <c r="R516" s="106" t="str">
        <f>IF(Table2[[#This Row],[Defect Classification]]="","",IF(Table2[[#This Row],[Defect Classification]]="Internal",1,0))</f>
        <v/>
      </c>
      <c r="S516" s="106" t="str">
        <f>IF(Table2[[#This Row],[Defect Classification]]="","",IF(Table2[[#This Row],[Defect Classification]]="External",1,0))</f>
        <v/>
      </c>
      <c r="T516" s="100"/>
      <c r="U516" s="101"/>
      <c r="V516" s="100"/>
      <c r="W516" s="101"/>
      <c r="X516" s="101"/>
      <c r="Y516" s="101"/>
      <c r="Z516" s="101"/>
      <c r="AA516" s="112" t="str">
        <f>IF(ISNA(VLOOKUP(Table2[[#This Row],[Task ID]],Table1[],17,FALSE)),"",VLOOKUP(Table2[[#This Row],[Task ID]],Table1[],17,FALSE))</f>
        <v/>
      </c>
      <c r="AB516" s="115" t="str">
        <f>IF(Table2[[#This Row],[Defect Detected On Date ]]="","",TEXT(Table2[[#This Row],[Defect Detected On Date ]],"mmm"))</f>
        <v/>
      </c>
      <c r="AE516" s="63"/>
    </row>
    <row r="517" spans="2:31">
      <c r="B517" s="100"/>
      <c r="C517" s="100"/>
      <c r="D517" s="101"/>
      <c r="E517" s="101"/>
      <c r="F517" s="101"/>
      <c r="G517" s="102"/>
      <c r="H517" s="101"/>
      <c r="I517" s="101"/>
      <c r="J517" s="101"/>
      <c r="K517" s="101"/>
      <c r="L517" s="101"/>
      <c r="M517" s="101"/>
      <c r="N517" s="100"/>
      <c r="O517" s="100"/>
      <c r="P517" s="101"/>
      <c r="Q517" s="101"/>
      <c r="R517" s="106" t="str">
        <f>IF(Table2[[#This Row],[Defect Classification]]="","",IF(Table2[[#This Row],[Defect Classification]]="Internal",1,0))</f>
        <v/>
      </c>
      <c r="S517" s="106" t="str">
        <f>IF(Table2[[#This Row],[Defect Classification]]="","",IF(Table2[[#This Row],[Defect Classification]]="External",1,0))</f>
        <v/>
      </c>
      <c r="T517" s="100"/>
      <c r="U517" s="101"/>
      <c r="V517" s="100"/>
      <c r="W517" s="101"/>
      <c r="X517" s="101"/>
      <c r="Y517" s="101"/>
      <c r="Z517" s="101"/>
      <c r="AA517" s="112" t="str">
        <f>IF(ISNA(VLOOKUP(Table2[[#This Row],[Task ID]],Table1[],17,FALSE)),"",VLOOKUP(Table2[[#This Row],[Task ID]],Table1[],17,FALSE))</f>
        <v/>
      </c>
      <c r="AB517" s="115" t="str">
        <f>IF(Table2[[#This Row],[Defect Detected On Date ]]="","",TEXT(Table2[[#This Row],[Defect Detected On Date ]],"mmm"))</f>
        <v/>
      </c>
      <c r="AE517" s="63"/>
    </row>
    <row r="518" spans="2:31">
      <c r="B518" s="100"/>
      <c r="C518" s="100"/>
      <c r="D518" s="101"/>
      <c r="E518" s="101"/>
      <c r="F518" s="101"/>
      <c r="G518" s="102"/>
      <c r="H518" s="101"/>
      <c r="I518" s="101"/>
      <c r="J518" s="101"/>
      <c r="K518" s="101"/>
      <c r="L518" s="101"/>
      <c r="M518" s="101"/>
      <c r="N518" s="100"/>
      <c r="O518" s="100"/>
      <c r="P518" s="101"/>
      <c r="Q518" s="101"/>
      <c r="R518" s="106" t="str">
        <f>IF(Table2[[#This Row],[Defect Classification]]="","",IF(Table2[[#This Row],[Defect Classification]]="Internal",1,0))</f>
        <v/>
      </c>
      <c r="S518" s="106" t="str">
        <f>IF(Table2[[#This Row],[Defect Classification]]="","",IF(Table2[[#This Row],[Defect Classification]]="External",1,0))</f>
        <v/>
      </c>
      <c r="T518" s="100"/>
      <c r="U518" s="101"/>
      <c r="V518" s="100"/>
      <c r="W518" s="101"/>
      <c r="X518" s="101"/>
      <c r="Y518" s="101"/>
      <c r="Z518" s="101"/>
      <c r="AA518" s="112" t="str">
        <f>IF(ISNA(VLOOKUP(Table2[[#This Row],[Task ID]],Table1[],17,FALSE)),"",VLOOKUP(Table2[[#This Row],[Task ID]],Table1[],17,FALSE))</f>
        <v/>
      </c>
      <c r="AB518" s="115" t="str">
        <f>IF(Table2[[#This Row],[Defect Detected On Date ]]="","",TEXT(Table2[[#This Row],[Defect Detected On Date ]],"mmm"))</f>
        <v/>
      </c>
      <c r="AE518" s="63"/>
    </row>
    <row r="519" spans="2:31">
      <c r="B519" s="100"/>
      <c r="C519" s="100"/>
      <c r="D519" s="101"/>
      <c r="E519" s="101"/>
      <c r="F519" s="101"/>
      <c r="G519" s="102"/>
      <c r="H519" s="101"/>
      <c r="I519" s="101"/>
      <c r="J519" s="101"/>
      <c r="K519" s="101"/>
      <c r="L519" s="101"/>
      <c r="M519" s="101"/>
      <c r="N519" s="100"/>
      <c r="O519" s="100"/>
      <c r="P519" s="101"/>
      <c r="Q519" s="101"/>
      <c r="R519" s="106" t="str">
        <f>IF(Table2[[#This Row],[Defect Classification]]="","",IF(Table2[[#This Row],[Defect Classification]]="Internal",1,0))</f>
        <v/>
      </c>
      <c r="S519" s="106" t="str">
        <f>IF(Table2[[#This Row],[Defect Classification]]="","",IF(Table2[[#This Row],[Defect Classification]]="External",1,0))</f>
        <v/>
      </c>
      <c r="T519" s="100"/>
      <c r="U519" s="101"/>
      <c r="V519" s="100"/>
      <c r="W519" s="101"/>
      <c r="X519" s="101"/>
      <c r="Y519" s="101"/>
      <c r="Z519" s="101"/>
      <c r="AA519" s="112" t="str">
        <f>IF(ISNA(VLOOKUP(Table2[[#This Row],[Task ID]],Table1[],17,FALSE)),"",VLOOKUP(Table2[[#This Row],[Task ID]],Table1[],17,FALSE))</f>
        <v/>
      </c>
      <c r="AB519" s="115" t="str">
        <f>IF(Table2[[#This Row],[Defect Detected On Date ]]="","",TEXT(Table2[[#This Row],[Defect Detected On Date ]],"mmm"))</f>
        <v/>
      </c>
      <c r="AE519" s="63"/>
    </row>
    <row r="520" spans="2:31">
      <c r="B520" s="100"/>
      <c r="C520" s="100"/>
      <c r="D520" s="101"/>
      <c r="E520" s="101"/>
      <c r="F520" s="101"/>
      <c r="G520" s="102"/>
      <c r="H520" s="101"/>
      <c r="I520" s="101"/>
      <c r="J520" s="101"/>
      <c r="K520" s="101"/>
      <c r="L520" s="101"/>
      <c r="M520" s="101"/>
      <c r="N520" s="100"/>
      <c r="O520" s="100"/>
      <c r="P520" s="101"/>
      <c r="Q520" s="101"/>
      <c r="R520" s="106" t="str">
        <f>IF(Table2[[#This Row],[Defect Classification]]="","",IF(Table2[[#This Row],[Defect Classification]]="Internal",1,0))</f>
        <v/>
      </c>
      <c r="S520" s="106" t="str">
        <f>IF(Table2[[#This Row],[Defect Classification]]="","",IF(Table2[[#This Row],[Defect Classification]]="External",1,0))</f>
        <v/>
      </c>
      <c r="T520" s="100"/>
      <c r="U520" s="101"/>
      <c r="V520" s="100"/>
      <c r="W520" s="101"/>
      <c r="X520" s="101"/>
      <c r="Y520" s="101"/>
      <c r="Z520" s="101"/>
      <c r="AA520" s="112" t="str">
        <f>IF(ISNA(VLOOKUP(Table2[[#This Row],[Task ID]],Table1[],17,FALSE)),"",VLOOKUP(Table2[[#This Row],[Task ID]],Table1[],17,FALSE))</f>
        <v/>
      </c>
      <c r="AB520" s="115" t="str">
        <f>IF(Table2[[#This Row],[Defect Detected On Date ]]="","",TEXT(Table2[[#This Row],[Defect Detected On Date ]],"mmm"))</f>
        <v/>
      </c>
      <c r="AE520" s="63"/>
    </row>
    <row r="521" spans="2:31">
      <c r="B521" s="100"/>
      <c r="C521" s="100"/>
      <c r="D521" s="101"/>
      <c r="E521" s="101"/>
      <c r="F521" s="101"/>
      <c r="G521" s="102"/>
      <c r="H521" s="101"/>
      <c r="I521" s="101"/>
      <c r="J521" s="101"/>
      <c r="K521" s="101"/>
      <c r="L521" s="101"/>
      <c r="M521" s="101"/>
      <c r="N521" s="100"/>
      <c r="O521" s="100"/>
      <c r="P521" s="101"/>
      <c r="Q521" s="101"/>
      <c r="R521" s="106" t="str">
        <f>IF(Table2[[#This Row],[Defect Classification]]="","",IF(Table2[[#This Row],[Defect Classification]]="Internal",1,0))</f>
        <v/>
      </c>
      <c r="S521" s="106" t="str">
        <f>IF(Table2[[#This Row],[Defect Classification]]="","",IF(Table2[[#This Row],[Defect Classification]]="External",1,0))</f>
        <v/>
      </c>
      <c r="T521" s="100"/>
      <c r="U521" s="101"/>
      <c r="V521" s="100"/>
      <c r="W521" s="101"/>
      <c r="X521" s="101"/>
      <c r="Y521" s="101"/>
      <c r="Z521" s="101"/>
      <c r="AA521" s="112" t="str">
        <f>IF(ISNA(VLOOKUP(Table2[[#This Row],[Task ID]],Table1[],17,FALSE)),"",VLOOKUP(Table2[[#This Row],[Task ID]],Table1[],17,FALSE))</f>
        <v/>
      </c>
      <c r="AB521" s="115" t="str">
        <f>IF(Table2[[#This Row],[Defect Detected On Date ]]="","",TEXT(Table2[[#This Row],[Defect Detected On Date ]],"mmm"))</f>
        <v/>
      </c>
      <c r="AE521" s="63"/>
    </row>
    <row r="522" spans="2:31">
      <c r="B522" s="100"/>
      <c r="C522" s="100"/>
      <c r="D522" s="101"/>
      <c r="E522" s="101"/>
      <c r="F522" s="101"/>
      <c r="G522" s="102"/>
      <c r="H522" s="101"/>
      <c r="I522" s="101"/>
      <c r="J522" s="101"/>
      <c r="K522" s="101"/>
      <c r="L522" s="101"/>
      <c r="M522" s="101"/>
      <c r="N522" s="100"/>
      <c r="O522" s="100"/>
      <c r="P522" s="101"/>
      <c r="Q522" s="101"/>
      <c r="R522" s="106" t="str">
        <f>IF(Table2[[#This Row],[Defect Classification]]="","",IF(Table2[[#This Row],[Defect Classification]]="Internal",1,0))</f>
        <v/>
      </c>
      <c r="S522" s="106" t="str">
        <f>IF(Table2[[#This Row],[Defect Classification]]="","",IF(Table2[[#This Row],[Defect Classification]]="External",1,0))</f>
        <v/>
      </c>
      <c r="T522" s="100"/>
      <c r="U522" s="101"/>
      <c r="V522" s="100"/>
      <c r="W522" s="101"/>
      <c r="X522" s="101"/>
      <c r="Y522" s="101"/>
      <c r="Z522" s="101"/>
      <c r="AA522" s="112" t="str">
        <f>IF(ISNA(VLOOKUP(Table2[[#This Row],[Task ID]],Table1[],17,FALSE)),"",VLOOKUP(Table2[[#This Row],[Task ID]],Table1[],17,FALSE))</f>
        <v/>
      </c>
      <c r="AB522" s="115" t="str">
        <f>IF(Table2[[#This Row],[Defect Detected On Date ]]="","",TEXT(Table2[[#This Row],[Defect Detected On Date ]],"mmm"))</f>
        <v/>
      </c>
      <c r="AE522" s="63"/>
    </row>
    <row r="523" spans="2:31">
      <c r="B523" s="100"/>
      <c r="C523" s="100"/>
      <c r="D523" s="101"/>
      <c r="E523" s="101"/>
      <c r="F523" s="101"/>
      <c r="G523" s="102"/>
      <c r="H523" s="101"/>
      <c r="I523" s="101"/>
      <c r="J523" s="101"/>
      <c r="K523" s="101"/>
      <c r="L523" s="101"/>
      <c r="M523" s="101"/>
      <c r="N523" s="100"/>
      <c r="O523" s="100"/>
      <c r="P523" s="101"/>
      <c r="Q523" s="101"/>
      <c r="R523" s="106" t="str">
        <f>IF(Table2[[#This Row],[Defect Classification]]="","",IF(Table2[[#This Row],[Defect Classification]]="Internal",1,0))</f>
        <v/>
      </c>
      <c r="S523" s="106" t="str">
        <f>IF(Table2[[#This Row],[Defect Classification]]="","",IF(Table2[[#This Row],[Defect Classification]]="External",1,0))</f>
        <v/>
      </c>
      <c r="T523" s="100"/>
      <c r="U523" s="101"/>
      <c r="V523" s="100"/>
      <c r="W523" s="101"/>
      <c r="X523" s="101"/>
      <c r="Y523" s="101"/>
      <c r="Z523" s="101"/>
      <c r="AA523" s="112" t="str">
        <f>IF(ISNA(VLOOKUP(Table2[[#This Row],[Task ID]],Table1[],17,FALSE)),"",VLOOKUP(Table2[[#This Row],[Task ID]],Table1[],17,FALSE))</f>
        <v/>
      </c>
      <c r="AB523" s="115" t="str">
        <f>IF(Table2[[#This Row],[Defect Detected On Date ]]="","",TEXT(Table2[[#This Row],[Defect Detected On Date ]],"mmm"))</f>
        <v/>
      </c>
      <c r="AE523" s="63"/>
    </row>
    <row r="524" spans="2:31">
      <c r="B524" s="100"/>
      <c r="C524" s="100"/>
      <c r="D524" s="101"/>
      <c r="E524" s="101"/>
      <c r="F524" s="101"/>
      <c r="G524" s="102"/>
      <c r="H524" s="101"/>
      <c r="I524" s="101"/>
      <c r="J524" s="101"/>
      <c r="K524" s="101"/>
      <c r="L524" s="101"/>
      <c r="M524" s="101"/>
      <c r="N524" s="100"/>
      <c r="O524" s="100"/>
      <c r="P524" s="101"/>
      <c r="Q524" s="101"/>
      <c r="R524" s="106" t="str">
        <f>IF(Table2[[#This Row],[Defect Classification]]="","",IF(Table2[[#This Row],[Defect Classification]]="Internal",1,0))</f>
        <v/>
      </c>
      <c r="S524" s="106" t="str">
        <f>IF(Table2[[#This Row],[Defect Classification]]="","",IF(Table2[[#This Row],[Defect Classification]]="External",1,0))</f>
        <v/>
      </c>
      <c r="T524" s="100"/>
      <c r="U524" s="101"/>
      <c r="V524" s="100"/>
      <c r="W524" s="101"/>
      <c r="X524" s="101"/>
      <c r="Y524" s="101"/>
      <c r="Z524" s="101"/>
      <c r="AA524" s="112" t="str">
        <f>IF(ISNA(VLOOKUP(Table2[[#This Row],[Task ID]],Table1[],17,FALSE)),"",VLOOKUP(Table2[[#This Row],[Task ID]],Table1[],17,FALSE))</f>
        <v/>
      </c>
      <c r="AB524" s="115" t="str">
        <f>IF(Table2[[#This Row],[Defect Detected On Date ]]="","",TEXT(Table2[[#This Row],[Defect Detected On Date ]],"mmm"))</f>
        <v/>
      </c>
      <c r="AE524" s="63"/>
    </row>
    <row r="525" spans="2:31">
      <c r="B525" s="100"/>
      <c r="C525" s="100"/>
      <c r="D525" s="101"/>
      <c r="E525" s="101"/>
      <c r="F525" s="101"/>
      <c r="G525" s="102"/>
      <c r="H525" s="101"/>
      <c r="I525" s="101"/>
      <c r="J525" s="101"/>
      <c r="K525" s="101"/>
      <c r="L525" s="101"/>
      <c r="M525" s="101"/>
      <c r="N525" s="100"/>
      <c r="O525" s="100"/>
      <c r="P525" s="101"/>
      <c r="Q525" s="101"/>
      <c r="R525" s="106" t="str">
        <f>IF(Table2[[#This Row],[Defect Classification]]="","",IF(Table2[[#This Row],[Defect Classification]]="Internal",1,0))</f>
        <v/>
      </c>
      <c r="S525" s="106" t="str">
        <f>IF(Table2[[#This Row],[Defect Classification]]="","",IF(Table2[[#This Row],[Defect Classification]]="External",1,0))</f>
        <v/>
      </c>
      <c r="T525" s="100"/>
      <c r="U525" s="101"/>
      <c r="V525" s="100"/>
      <c r="W525" s="101"/>
      <c r="X525" s="101"/>
      <c r="Y525" s="101"/>
      <c r="Z525" s="101"/>
      <c r="AA525" s="112" t="str">
        <f>IF(ISNA(VLOOKUP(Table2[[#This Row],[Task ID]],Table1[],17,FALSE)),"",VLOOKUP(Table2[[#This Row],[Task ID]],Table1[],17,FALSE))</f>
        <v/>
      </c>
      <c r="AB525" s="115" t="str">
        <f>IF(Table2[[#This Row],[Defect Detected On Date ]]="","",TEXT(Table2[[#This Row],[Defect Detected On Date ]],"mmm"))</f>
        <v/>
      </c>
      <c r="AE525" s="63"/>
    </row>
    <row r="526" spans="2:31">
      <c r="B526" s="100"/>
      <c r="C526" s="100"/>
      <c r="D526" s="101"/>
      <c r="E526" s="101"/>
      <c r="F526" s="101"/>
      <c r="G526" s="102"/>
      <c r="H526" s="101"/>
      <c r="I526" s="101"/>
      <c r="J526" s="101"/>
      <c r="K526" s="101"/>
      <c r="L526" s="101"/>
      <c r="M526" s="101"/>
      <c r="N526" s="100"/>
      <c r="O526" s="100"/>
      <c r="P526" s="101"/>
      <c r="Q526" s="101"/>
      <c r="R526" s="106" t="str">
        <f>IF(Table2[[#This Row],[Defect Classification]]="","",IF(Table2[[#This Row],[Defect Classification]]="Internal",1,0))</f>
        <v/>
      </c>
      <c r="S526" s="106" t="str">
        <f>IF(Table2[[#This Row],[Defect Classification]]="","",IF(Table2[[#This Row],[Defect Classification]]="External",1,0))</f>
        <v/>
      </c>
      <c r="T526" s="100"/>
      <c r="U526" s="101"/>
      <c r="V526" s="100"/>
      <c r="W526" s="101"/>
      <c r="X526" s="101"/>
      <c r="Y526" s="101"/>
      <c r="Z526" s="101"/>
      <c r="AA526" s="112" t="str">
        <f>IF(ISNA(VLOOKUP(Table2[[#This Row],[Task ID]],Table1[],17,FALSE)),"",VLOOKUP(Table2[[#This Row],[Task ID]],Table1[],17,FALSE))</f>
        <v/>
      </c>
      <c r="AB526" s="115" t="str">
        <f>IF(Table2[[#This Row],[Defect Detected On Date ]]="","",TEXT(Table2[[#This Row],[Defect Detected On Date ]],"mmm"))</f>
        <v/>
      </c>
      <c r="AE526" s="63"/>
    </row>
    <row r="527" spans="2:31">
      <c r="B527" s="100"/>
      <c r="C527" s="100"/>
      <c r="D527" s="101"/>
      <c r="E527" s="101"/>
      <c r="F527" s="101"/>
      <c r="G527" s="102"/>
      <c r="H527" s="101"/>
      <c r="I527" s="101"/>
      <c r="J527" s="101"/>
      <c r="K527" s="101"/>
      <c r="L527" s="101"/>
      <c r="M527" s="101"/>
      <c r="N527" s="100"/>
      <c r="O527" s="100"/>
      <c r="P527" s="101"/>
      <c r="Q527" s="101"/>
      <c r="R527" s="106" t="str">
        <f>IF(Table2[[#This Row],[Defect Classification]]="","",IF(Table2[[#This Row],[Defect Classification]]="Internal",1,0))</f>
        <v/>
      </c>
      <c r="S527" s="106" t="str">
        <f>IF(Table2[[#This Row],[Defect Classification]]="","",IF(Table2[[#This Row],[Defect Classification]]="External",1,0))</f>
        <v/>
      </c>
      <c r="T527" s="100"/>
      <c r="U527" s="101"/>
      <c r="V527" s="100"/>
      <c r="W527" s="101"/>
      <c r="X527" s="101"/>
      <c r="Y527" s="101"/>
      <c r="Z527" s="101"/>
      <c r="AA527" s="112" t="str">
        <f>IF(ISNA(VLOOKUP(Table2[[#This Row],[Task ID]],Table1[],17,FALSE)),"",VLOOKUP(Table2[[#This Row],[Task ID]],Table1[],17,FALSE))</f>
        <v/>
      </c>
      <c r="AB527" s="115" t="str">
        <f>IF(Table2[[#This Row],[Defect Detected On Date ]]="","",TEXT(Table2[[#This Row],[Defect Detected On Date ]],"mmm"))</f>
        <v/>
      </c>
      <c r="AE527" s="63"/>
    </row>
    <row r="528" spans="2:31">
      <c r="B528" s="100"/>
      <c r="C528" s="100"/>
      <c r="D528" s="101"/>
      <c r="E528" s="101"/>
      <c r="F528" s="101"/>
      <c r="G528" s="102"/>
      <c r="H528" s="101"/>
      <c r="I528" s="101"/>
      <c r="J528" s="101"/>
      <c r="K528" s="101"/>
      <c r="L528" s="101"/>
      <c r="M528" s="101"/>
      <c r="N528" s="100"/>
      <c r="O528" s="100"/>
      <c r="P528" s="101"/>
      <c r="Q528" s="101"/>
      <c r="R528" s="106" t="str">
        <f>IF(Table2[[#This Row],[Defect Classification]]="","",IF(Table2[[#This Row],[Defect Classification]]="Internal",1,0))</f>
        <v/>
      </c>
      <c r="S528" s="106" t="str">
        <f>IF(Table2[[#This Row],[Defect Classification]]="","",IF(Table2[[#This Row],[Defect Classification]]="External",1,0))</f>
        <v/>
      </c>
      <c r="T528" s="100"/>
      <c r="U528" s="101"/>
      <c r="V528" s="100"/>
      <c r="W528" s="101"/>
      <c r="X528" s="101"/>
      <c r="Y528" s="101"/>
      <c r="Z528" s="101"/>
      <c r="AA528" s="112" t="str">
        <f>IF(ISNA(VLOOKUP(Table2[[#This Row],[Task ID]],Table1[],17,FALSE)),"",VLOOKUP(Table2[[#This Row],[Task ID]],Table1[],17,FALSE))</f>
        <v/>
      </c>
      <c r="AB528" s="115" t="str">
        <f>IF(Table2[[#This Row],[Defect Detected On Date ]]="","",TEXT(Table2[[#This Row],[Defect Detected On Date ]],"mmm"))</f>
        <v/>
      </c>
      <c r="AE528" s="63"/>
    </row>
    <row r="529" spans="2:31">
      <c r="B529" s="100"/>
      <c r="C529" s="100"/>
      <c r="D529" s="101"/>
      <c r="E529" s="101"/>
      <c r="F529" s="101"/>
      <c r="G529" s="102"/>
      <c r="H529" s="101"/>
      <c r="I529" s="101"/>
      <c r="J529" s="101"/>
      <c r="K529" s="101"/>
      <c r="L529" s="101"/>
      <c r="M529" s="101"/>
      <c r="N529" s="100"/>
      <c r="O529" s="100"/>
      <c r="P529" s="101"/>
      <c r="Q529" s="101"/>
      <c r="R529" s="106" t="str">
        <f>IF(Table2[[#This Row],[Defect Classification]]="","",IF(Table2[[#This Row],[Defect Classification]]="Internal",1,0))</f>
        <v/>
      </c>
      <c r="S529" s="106" t="str">
        <f>IF(Table2[[#This Row],[Defect Classification]]="","",IF(Table2[[#This Row],[Defect Classification]]="External",1,0))</f>
        <v/>
      </c>
      <c r="T529" s="100"/>
      <c r="U529" s="101"/>
      <c r="V529" s="100"/>
      <c r="W529" s="101"/>
      <c r="X529" s="101"/>
      <c r="Y529" s="101"/>
      <c r="Z529" s="101"/>
      <c r="AA529" s="112" t="str">
        <f>IF(ISNA(VLOOKUP(Table2[[#This Row],[Task ID]],Table1[],17,FALSE)),"",VLOOKUP(Table2[[#This Row],[Task ID]],Table1[],17,FALSE))</f>
        <v/>
      </c>
      <c r="AB529" s="115" t="str">
        <f>IF(Table2[[#This Row],[Defect Detected On Date ]]="","",TEXT(Table2[[#This Row],[Defect Detected On Date ]],"mmm"))</f>
        <v/>
      </c>
      <c r="AE529" s="63"/>
    </row>
    <row r="530" spans="2:31">
      <c r="B530" s="100"/>
      <c r="C530" s="100"/>
      <c r="D530" s="101"/>
      <c r="E530" s="101"/>
      <c r="F530" s="101"/>
      <c r="G530" s="102"/>
      <c r="H530" s="101"/>
      <c r="I530" s="101"/>
      <c r="J530" s="101"/>
      <c r="K530" s="101"/>
      <c r="L530" s="101"/>
      <c r="M530" s="101"/>
      <c r="N530" s="100"/>
      <c r="O530" s="100"/>
      <c r="P530" s="101"/>
      <c r="Q530" s="101"/>
      <c r="R530" s="106" t="str">
        <f>IF(Table2[[#This Row],[Defect Classification]]="","",IF(Table2[[#This Row],[Defect Classification]]="Internal",1,0))</f>
        <v/>
      </c>
      <c r="S530" s="106" t="str">
        <f>IF(Table2[[#This Row],[Defect Classification]]="","",IF(Table2[[#This Row],[Defect Classification]]="External",1,0))</f>
        <v/>
      </c>
      <c r="T530" s="100"/>
      <c r="U530" s="101"/>
      <c r="V530" s="100"/>
      <c r="W530" s="101"/>
      <c r="X530" s="101"/>
      <c r="Y530" s="101"/>
      <c r="Z530" s="101"/>
      <c r="AA530" s="112" t="str">
        <f>IF(ISNA(VLOOKUP(Table2[[#This Row],[Task ID]],Table1[],17,FALSE)),"",VLOOKUP(Table2[[#This Row],[Task ID]],Table1[],17,FALSE))</f>
        <v/>
      </c>
      <c r="AB530" s="115" t="str">
        <f>IF(Table2[[#This Row],[Defect Detected On Date ]]="","",TEXT(Table2[[#This Row],[Defect Detected On Date ]],"mmm"))</f>
        <v/>
      </c>
      <c r="AE530" s="63"/>
    </row>
    <row r="531" spans="2:31">
      <c r="B531" s="100"/>
      <c r="C531" s="100"/>
      <c r="D531" s="101"/>
      <c r="E531" s="101"/>
      <c r="F531" s="101"/>
      <c r="G531" s="102"/>
      <c r="H531" s="101"/>
      <c r="I531" s="101"/>
      <c r="J531" s="101"/>
      <c r="K531" s="101"/>
      <c r="L531" s="101"/>
      <c r="M531" s="101"/>
      <c r="N531" s="100"/>
      <c r="O531" s="100"/>
      <c r="P531" s="101"/>
      <c r="Q531" s="101"/>
      <c r="R531" s="106" t="str">
        <f>IF(Table2[[#This Row],[Defect Classification]]="","",IF(Table2[[#This Row],[Defect Classification]]="Internal",1,0))</f>
        <v/>
      </c>
      <c r="S531" s="106" t="str">
        <f>IF(Table2[[#This Row],[Defect Classification]]="","",IF(Table2[[#This Row],[Defect Classification]]="External",1,0))</f>
        <v/>
      </c>
      <c r="T531" s="100"/>
      <c r="U531" s="101"/>
      <c r="V531" s="100"/>
      <c r="W531" s="101"/>
      <c r="X531" s="101"/>
      <c r="Y531" s="101"/>
      <c r="Z531" s="101"/>
      <c r="AA531" s="112" t="str">
        <f>IF(ISNA(VLOOKUP(Table2[[#This Row],[Task ID]],Table1[],17,FALSE)),"",VLOOKUP(Table2[[#This Row],[Task ID]],Table1[],17,FALSE))</f>
        <v/>
      </c>
      <c r="AB531" s="115" t="str">
        <f>IF(Table2[[#This Row],[Defect Detected On Date ]]="","",TEXT(Table2[[#This Row],[Defect Detected On Date ]],"mmm"))</f>
        <v/>
      </c>
      <c r="AE531" s="63"/>
    </row>
    <row r="532" spans="2:31">
      <c r="B532" s="100"/>
      <c r="C532" s="100"/>
      <c r="D532" s="101"/>
      <c r="E532" s="101"/>
      <c r="F532" s="101"/>
      <c r="G532" s="102"/>
      <c r="H532" s="101"/>
      <c r="I532" s="101"/>
      <c r="J532" s="101"/>
      <c r="K532" s="101"/>
      <c r="L532" s="101"/>
      <c r="M532" s="101"/>
      <c r="N532" s="100"/>
      <c r="O532" s="100"/>
      <c r="P532" s="101"/>
      <c r="Q532" s="101"/>
      <c r="R532" s="106" t="str">
        <f>IF(Table2[[#This Row],[Defect Classification]]="","",IF(Table2[[#This Row],[Defect Classification]]="Internal",1,0))</f>
        <v/>
      </c>
      <c r="S532" s="106" t="str">
        <f>IF(Table2[[#This Row],[Defect Classification]]="","",IF(Table2[[#This Row],[Defect Classification]]="External",1,0))</f>
        <v/>
      </c>
      <c r="T532" s="100"/>
      <c r="U532" s="101"/>
      <c r="V532" s="100"/>
      <c r="W532" s="101"/>
      <c r="X532" s="101"/>
      <c r="Y532" s="101"/>
      <c r="Z532" s="101"/>
      <c r="AA532" s="112" t="str">
        <f>IF(ISNA(VLOOKUP(Table2[[#This Row],[Task ID]],Table1[],17,FALSE)),"",VLOOKUP(Table2[[#This Row],[Task ID]],Table1[],17,FALSE))</f>
        <v/>
      </c>
      <c r="AB532" s="115" t="str">
        <f>IF(Table2[[#This Row],[Defect Detected On Date ]]="","",TEXT(Table2[[#This Row],[Defect Detected On Date ]],"mmm"))</f>
        <v/>
      </c>
      <c r="AE532" s="63"/>
    </row>
    <row r="533" spans="2:31">
      <c r="B533" s="100"/>
      <c r="C533" s="100"/>
      <c r="D533" s="101"/>
      <c r="E533" s="101"/>
      <c r="F533" s="101"/>
      <c r="G533" s="102"/>
      <c r="H533" s="101"/>
      <c r="I533" s="101"/>
      <c r="J533" s="101"/>
      <c r="K533" s="101"/>
      <c r="L533" s="101"/>
      <c r="M533" s="101"/>
      <c r="N533" s="100"/>
      <c r="O533" s="100"/>
      <c r="P533" s="101"/>
      <c r="Q533" s="101"/>
      <c r="R533" s="106" t="str">
        <f>IF(Table2[[#This Row],[Defect Classification]]="","",IF(Table2[[#This Row],[Defect Classification]]="Internal",1,0))</f>
        <v/>
      </c>
      <c r="S533" s="106" t="str">
        <f>IF(Table2[[#This Row],[Defect Classification]]="","",IF(Table2[[#This Row],[Defect Classification]]="External",1,0))</f>
        <v/>
      </c>
      <c r="T533" s="100"/>
      <c r="U533" s="101"/>
      <c r="V533" s="100"/>
      <c r="W533" s="101"/>
      <c r="X533" s="101"/>
      <c r="Y533" s="101"/>
      <c r="Z533" s="101"/>
      <c r="AA533" s="112" t="str">
        <f>IF(ISNA(VLOOKUP(Table2[[#This Row],[Task ID]],Table1[],17,FALSE)),"",VLOOKUP(Table2[[#This Row],[Task ID]],Table1[],17,FALSE))</f>
        <v/>
      </c>
      <c r="AB533" s="115" t="str">
        <f>IF(Table2[[#This Row],[Defect Detected On Date ]]="","",TEXT(Table2[[#This Row],[Defect Detected On Date ]],"mmm"))</f>
        <v/>
      </c>
      <c r="AE533" s="63"/>
    </row>
    <row r="534" spans="2:31">
      <c r="B534" s="100"/>
      <c r="C534" s="100"/>
      <c r="D534" s="101"/>
      <c r="E534" s="101"/>
      <c r="F534" s="101"/>
      <c r="G534" s="102"/>
      <c r="H534" s="101"/>
      <c r="I534" s="101"/>
      <c r="J534" s="101"/>
      <c r="K534" s="101"/>
      <c r="L534" s="101"/>
      <c r="M534" s="101"/>
      <c r="N534" s="100"/>
      <c r="O534" s="100"/>
      <c r="P534" s="101"/>
      <c r="Q534" s="101"/>
      <c r="R534" s="106" t="str">
        <f>IF(Table2[[#This Row],[Defect Classification]]="","",IF(Table2[[#This Row],[Defect Classification]]="Internal",1,0))</f>
        <v/>
      </c>
      <c r="S534" s="106" t="str">
        <f>IF(Table2[[#This Row],[Defect Classification]]="","",IF(Table2[[#This Row],[Defect Classification]]="External",1,0))</f>
        <v/>
      </c>
      <c r="T534" s="100"/>
      <c r="U534" s="101"/>
      <c r="V534" s="100"/>
      <c r="W534" s="101"/>
      <c r="X534" s="101"/>
      <c r="Y534" s="101"/>
      <c r="Z534" s="101"/>
      <c r="AA534" s="112" t="str">
        <f>IF(ISNA(VLOOKUP(Table2[[#This Row],[Task ID]],Table1[],17,FALSE)),"",VLOOKUP(Table2[[#This Row],[Task ID]],Table1[],17,FALSE))</f>
        <v/>
      </c>
      <c r="AB534" s="115" t="str">
        <f>IF(Table2[[#This Row],[Defect Detected On Date ]]="","",TEXT(Table2[[#This Row],[Defect Detected On Date ]],"mmm"))</f>
        <v/>
      </c>
      <c r="AE534" s="63"/>
    </row>
    <row r="535" spans="2:31">
      <c r="B535" s="100"/>
      <c r="C535" s="100"/>
      <c r="D535" s="101"/>
      <c r="E535" s="101"/>
      <c r="F535" s="101"/>
      <c r="G535" s="102"/>
      <c r="H535" s="101"/>
      <c r="I535" s="101"/>
      <c r="J535" s="101"/>
      <c r="K535" s="101"/>
      <c r="L535" s="101"/>
      <c r="M535" s="101"/>
      <c r="N535" s="100"/>
      <c r="O535" s="100"/>
      <c r="P535" s="101"/>
      <c r="Q535" s="101"/>
      <c r="R535" s="106" t="str">
        <f>IF(Table2[[#This Row],[Defect Classification]]="","",IF(Table2[[#This Row],[Defect Classification]]="Internal",1,0))</f>
        <v/>
      </c>
      <c r="S535" s="106" t="str">
        <f>IF(Table2[[#This Row],[Defect Classification]]="","",IF(Table2[[#This Row],[Defect Classification]]="External",1,0))</f>
        <v/>
      </c>
      <c r="T535" s="100"/>
      <c r="U535" s="101"/>
      <c r="V535" s="100"/>
      <c r="W535" s="101"/>
      <c r="X535" s="101"/>
      <c r="Y535" s="101"/>
      <c r="Z535" s="101"/>
      <c r="AA535" s="112" t="str">
        <f>IF(ISNA(VLOOKUP(Table2[[#This Row],[Task ID]],Table1[],17,FALSE)),"",VLOOKUP(Table2[[#This Row],[Task ID]],Table1[],17,FALSE))</f>
        <v/>
      </c>
      <c r="AB535" s="115" t="str">
        <f>IF(Table2[[#This Row],[Defect Detected On Date ]]="","",TEXT(Table2[[#This Row],[Defect Detected On Date ]],"mmm"))</f>
        <v/>
      </c>
      <c r="AE535" s="63"/>
    </row>
    <row r="536" spans="2:31">
      <c r="B536" s="100"/>
      <c r="C536" s="100"/>
      <c r="D536" s="101"/>
      <c r="E536" s="101"/>
      <c r="F536" s="101"/>
      <c r="G536" s="102"/>
      <c r="H536" s="101"/>
      <c r="I536" s="101"/>
      <c r="J536" s="101"/>
      <c r="K536" s="101"/>
      <c r="L536" s="101"/>
      <c r="M536" s="101"/>
      <c r="N536" s="100"/>
      <c r="O536" s="100"/>
      <c r="P536" s="101"/>
      <c r="Q536" s="101"/>
      <c r="R536" s="106" t="str">
        <f>IF(Table2[[#This Row],[Defect Classification]]="","",IF(Table2[[#This Row],[Defect Classification]]="Internal",1,0))</f>
        <v/>
      </c>
      <c r="S536" s="106" t="str">
        <f>IF(Table2[[#This Row],[Defect Classification]]="","",IF(Table2[[#This Row],[Defect Classification]]="External",1,0))</f>
        <v/>
      </c>
      <c r="T536" s="100"/>
      <c r="U536" s="101"/>
      <c r="V536" s="100"/>
      <c r="W536" s="101"/>
      <c r="X536" s="101"/>
      <c r="Y536" s="101"/>
      <c r="Z536" s="101"/>
      <c r="AA536" s="112" t="str">
        <f>IF(ISNA(VLOOKUP(Table2[[#This Row],[Task ID]],Table1[],17,FALSE)),"",VLOOKUP(Table2[[#This Row],[Task ID]],Table1[],17,FALSE))</f>
        <v/>
      </c>
      <c r="AB536" s="115" t="str">
        <f>IF(Table2[[#This Row],[Defect Detected On Date ]]="","",TEXT(Table2[[#This Row],[Defect Detected On Date ]],"mmm"))</f>
        <v/>
      </c>
      <c r="AE536" s="63"/>
    </row>
    <row r="537" spans="2:31">
      <c r="B537" s="100"/>
      <c r="C537" s="100"/>
      <c r="D537" s="101"/>
      <c r="E537" s="101"/>
      <c r="F537" s="101"/>
      <c r="G537" s="102"/>
      <c r="H537" s="101"/>
      <c r="I537" s="101"/>
      <c r="J537" s="101"/>
      <c r="K537" s="101"/>
      <c r="L537" s="101"/>
      <c r="M537" s="101"/>
      <c r="N537" s="100"/>
      <c r="O537" s="100"/>
      <c r="P537" s="101"/>
      <c r="Q537" s="101"/>
      <c r="R537" s="106" t="str">
        <f>IF(Table2[[#This Row],[Defect Classification]]="","",IF(Table2[[#This Row],[Defect Classification]]="Internal",1,0))</f>
        <v/>
      </c>
      <c r="S537" s="106" t="str">
        <f>IF(Table2[[#This Row],[Defect Classification]]="","",IF(Table2[[#This Row],[Defect Classification]]="External",1,0))</f>
        <v/>
      </c>
      <c r="T537" s="100"/>
      <c r="U537" s="101"/>
      <c r="V537" s="100"/>
      <c r="W537" s="101"/>
      <c r="X537" s="101"/>
      <c r="Y537" s="101"/>
      <c r="Z537" s="101"/>
      <c r="AA537" s="112" t="str">
        <f>IF(ISNA(VLOOKUP(Table2[[#This Row],[Task ID]],Table1[],17,FALSE)),"",VLOOKUP(Table2[[#This Row],[Task ID]],Table1[],17,FALSE))</f>
        <v/>
      </c>
      <c r="AB537" s="115" t="str">
        <f>IF(Table2[[#This Row],[Defect Detected On Date ]]="","",TEXT(Table2[[#This Row],[Defect Detected On Date ]],"mmm"))</f>
        <v/>
      </c>
      <c r="AE537" s="63"/>
    </row>
    <row r="538" spans="2:31">
      <c r="B538" s="100"/>
      <c r="C538" s="100"/>
      <c r="D538" s="101"/>
      <c r="E538" s="101"/>
      <c r="F538" s="101"/>
      <c r="G538" s="102"/>
      <c r="H538" s="101"/>
      <c r="I538" s="101"/>
      <c r="J538" s="101"/>
      <c r="K538" s="101"/>
      <c r="L538" s="101"/>
      <c r="M538" s="101"/>
      <c r="N538" s="100"/>
      <c r="O538" s="100"/>
      <c r="P538" s="101"/>
      <c r="Q538" s="101"/>
      <c r="R538" s="106" t="str">
        <f>IF(Table2[[#This Row],[Defect Classification]]="","",IF(Table2[[#This Row],[Defect Classification]]="Internal",1,0))</f>
        <v/>
      </c>
      <c r="S538" s="106" t="str">
        <f>IF(Table2[[#This Row],[Defect Classification]]="","",IF(Table2[[#This Row],[Defect Classification]]="External",1,0))</f>
        <v/>
      </c>
      <c r="T538" s="100"/>
      <c r="U538" s="101"/>
      <c r="V538" s="100"/>
      <c r="W538" s="101"/>
      <c r="X538" s="101"/>
      <c r="Y538" s="101"/>
      <c r="Z538" s="101"/>
      <c r="AA538" s="112" t="str">
        <f>IF(ISNA(VLOOKUP(Table2[[#This Row],[Task ID]],Table1[],17,FALSE)),"",VLOOKUP(Table2[[#This Row],[Task ID]],Table1[],17,FALSE))</f>
        <v/>
      </c>
      <c r="AB538" s="115" t="str">
        <f>IF(Table2[[#This Row],[Defect Detected On Date ]]="","",TEXT(Table2[[#This Row],[Defect Detected On Date ]],"mmm"))</f>
        <v/>
      </c>
      <c r="AE538" s="63"/>
    </row>
    <row r="539" spans="2:31">
      <c r="B539" s="100"/>
      <c r="C539" s="100"/>
      <c r="D539" s="101"/>
      <c r="E539" s="101"/>
      <c r="F539" s="101"/>
      <c r="G539" s="102"/>
      <c r="H539" s="101"/>
      <c r="I539" s="101"/>
      <c r="J539" s="101"/>
      <c r="K539" s="101"/>
      <c r="L539" s="101"/>
      <c r="M539" s="101"/>
      <c r="N539" s="100"/>
      <c r="O539" s="100"/>
      <c r="P539" s="101"/>
      <c r="Q539" s="101"/>
      <c r="R539" s="106" t="str">
        <f>IF(Table2[[#This Row],[Defect Classification]]="","",IF(Table2[[#This Row],[Defect Classification]]="Internal",1,0))</f>
        <v/>
      </c>
      <c r="S539" s="106" t="str">
        <f>IF(Table2[[#This Row],[Defect Classification]]="","",IF(Table2[[#This Row],[Defect Classification]]="External",1,0))</f>
        <v/>
      </c>
      <c r="T539" s="100"/>
      <c r="U539" s="101"/>
      <c r="V539" s="100"/>
      <c r="W539" s="101"/>
      <c r="X539" s="101"/>
      <c r="Y539" s="101"/>
      <c r="Z539" s="101"/>
      <c r="AA539" s="112" t="str">
        <f>IF(ISNA(VLOOKUP(Table2[[#This Row],[Task ID]],Table1[],17,FALSE)),"",VLOOKUP(Table2[[#This Row],[Task ID]],Table1[],17,FALSE))</f>
        <v/>
      </c>
      <c r="AB539" s="115" t="str">
        <f>IF(Table2[[#This Row],[Defect Detected On Date ]]="","",TEXT(Table2[[#This Row],[Defect Detected On Date ]],"mmm"))</f>
        <v/>
      </c>
      <c r="AE539" s="63"/>
    </row>
    <row r="540" spans="2:31">
      <c r="B540" s="100"/>
      <c r="C540" s="100"/>
      <c r="D540" s="101"/>
      <c r="E540" s="101"/>
      <c r="F540" s="101"/>
      <c r="G540" s="102"/>
      <c r="H540" s="101"/>
      <c r="I540" s="101"/>
      <c r="J540" s="101"/>
      <c r="K540" s="101"/>
      <c r="L540" s="101"/>
      <c r="M540" s="101"/>
      <c r="N540" s="100"/>
      <c r="O540" s="100"/>
      <c r="P540" s="101"/>
      <c r="Q540" s="101"/>
      <c r="R540" s="106" t="str">
        <f>IF(Table2[[#This Row],[Defect Classification]]="","",IF(Table2[[#This Row],[Defect Classification]]="Internal",1,0))</f>
        <v/>
      </c>
      <c r="S540" s="106" t="str">
        <f>IF(Table2[[#This Row],[Defect Classification]]="","",IF(Table2[[#This Row],[Defect Classification]]="External",1,0))</f>
        <v/>
      </c>
      <c r="T540" s="100"/>
      <c r="U540" s="101"/>
      <c r="V540" s="100"/>
      <c r="W540" s="101"/>
      <c r="X540" s="101"/>
      <c r="Y540" s="101"/>
      <c r="Z540" s="101"/>
      <c r="AA540" s="112" t="str">
        <f>IF(ISNA(VLOOKUP(Table2[[#This Row],[Task ID]],Table1[],17,FALSE)),"",VLOOKUP(Table2[[#This Row],[Task ID]],Table1[],17,FALSE))</f>
        <v/>
      </c>
      <c r="AB540" s="115" t="str">
        <f>IF(Table2[[#This Row],[Defect Detected On Date ]]="","",TEXT(Table2[[#This Row],[Defect Detected On Date ]],"mmm"))</f>
        <v/>
      </c>
      <c r="AE540" s="63"/>
    </row>
    <row r="541" spans="2:31">
      <c r="B541" s="100"/>
      <c r="C541" s="100"/>
      <c r="D541" s="101"/>
      <c r="E541" s="101"/>
      <c r="F541" s="101"/>
      <c r="G541" s="102"/>
      <c r="H541" s="101"/>
      <c r="I541" s="101"/>
      <c r="J541" s="101"/>
      <c r="K541" s="101"/>
      <c r="L541" s="101"/>
      <c r="M541" s="101"/>
      <c r="N541" s="100"/>
      <c r="O541" s="100"/>
      <c r="P541" s="101"/>
      <c r="Q541" s="101"/>
      <c r="R541" s="106" t="str">
        <f>IF(Table2[[#This Row],[Defect Classification]]="","",IF(Table2[[#This Row],[Defect Classification]]="Internal",1,0))</f>
        <v/>
      </c>
      <c r="S541" s="106" t="str">
        <f>IF(Table2[[#This Row],[Defect Classification]]="","",IF(Table2[[#This Row],[Defect Classification]]="External",1,0))</f>
        <v/>
      </c>
      <c r="T541" s="100"/>
      <c r="U541" s="101"/>
      <c r="V541" s="100"/>
      <c r="W541" s="101"/>
      <c r="X541" s="101"/>
      <c r="Y541" s="101"/>
      <c r="Z541" s="101"/>
      <c r="AA541" s="112" t="str">
        <f>IF(ISNA(VLOOKUP(Table2[[#This Row],[Task ID]],Table1[],17,FALSE)),"",VLOOKUP(Table2[[#This Row],[Task ID]],Table1[],17,FALSE))</f>
        <v/>
      </c>
      <c r="AB541" s="115" t="str">
        <f>IF(Table2[[#This Row],[Defect Detected On Date ]]="","",TEXT(Table2[[#This Row],[Defect Detected On Date ]],"mmm"))</f>
        <v/>
      </c>
      <c r="AE541" s="63"/>
    </row>
    <row r="542" spans="2:31">
      <c r="B542" s="100"/>
      <c r="C542" s="100"/>
      <c r="D542" s="101"/>
      <c r="E542" s="101"/>
      <c r="F542" s="101"/>
      <c r="G542" s="102"/>
      <c r="H542" s="101"/>
      <c r="I542" s="101"/>
      <c r="J542" s="101"/>
      <c r="K542" s="101"/>
      <c r="L542" s="101"/>
      <c r="M542" s="101"/>
      <c r="N542" s="100"/>
      <c r="O542" s="100"/>
      <c r="P542" s="101"/>
      <c r="Q542" s="101"/>
      <c r="R542" s="106" t="str">
        <f>IF(Table2[[#This Row],[Defect Classification]]="","",IF(Table2[[#This Row],[Defect Classification]]="Internal",1,0))</f>
        <v/>
      </c>
      <c r="S542" s="106" t="str">
        <f>IF(Table2[[#This Row],[Defect Classification]]="","",IF(Table2[[#This Row],[Defect Classification]]="External",1,0))</f>
        <v/>
      </c>
      <c r="T542" s="100"/>
      <c r="U542" s="101"/>
      <c r="V542" s="100"/>
      <c r="W542" s="101"/>
      <c r="X542" s="101"/>
      <c r="Y542" s="101"/>
      <c r="Z542" s="101"/>
      <c r="AA542" s="112" t="str">
        <f>IF(ISNA(VLOOKUP(Table2[[#This Row],[Task ID]],Table1[],17,FALSE)),"",VLOOKUP(Table2[[#This Row],[Task ID]],Table1[],17,FALSE))</f>
        <v/>
      </c>
      <c r="AB542" s="115" t="str">
        <f>IF(Table2[[#This Row],[Defect Detected On Date ]]="","",TEXT(Table2[[#This Row],[Defect Detected On Date ]],"mmm"))</f>
        <v/>
      </c>
      <c r="AE542" s="63"/>
    </row>
    <row r="543" spans="2:31">
      <c r="B543" s="100"/>
      <c r="C543" s="100"/>
      <c r="D543" s="101"/>
      <c r="E543" s="101"/>
      <c r="F543" s="101"/>
      <c r="G543" s="102"/>
      <c r="H543" s="101"/>
      <c r="I543" s="101"/>
      <c r="J543" s="101"/>
      <c r="K543" s="101"/>
      <c r="L543" s="101"/>
      <c r="M543" s="101"/>
      <c r="N543" s="100"/>
      <c r="O543" s="100"/>
      <c r="P543" s="101"/>
      <c r="Q543" s="101"/>
      <c r="R543" s="106" t="str">
        <f>IF(Table2[[#This Row],[Defect Classification]]="","",IF(Table2[[#This Row],[Defect Classification]]="Internal",1,0))</f>
        <v/>
      </c>
      <c r="S543" s="106" t="str">
        <f>IF(Table2[[#This Row],[Defect Classification]]="","",IF(Table2[[#This Row],[Defect Classification]]="External",1,0))</f>
        <v/>
      </c>
      <c r="T543" s="100"/>
      <c r="U543" s="101"/>
      <c r="V543" s="100"/>
      <c r="W543" s="101"/>
      <c r="X543" s="101"/>
      <c r="Y543" s="101"/>
      <c r="Z543" s="101"/>
      <c r="AA543" s="112" t="str">
        <f>IF(ISNA(VLOOKUP(Table2[[#This Row],[Task ID]],Table1[],17,FALSE)),"",VLOOKUP(Table2[[#This Row],[Task ID]],Table1[],17,FALSE))</f>
        <v/>
      </c>
      <c r="AB543" s="115" t="str">
        <f>IF(Table2[[#This Row],[Defect Detected On Date ]]="","",TEXT(Table2[[#This Row],[Defect Detected On Date ]],"mmm"))</f>
        <v/>
      </c>
      <c r="AE543" s="63"/>
    </row>
    <row r="544" spans="2:31">
      <c r="B544" s="100"/>
      <c r="C544" s="100"/>
      <c r="D544" s="101"/>
      <c r="E544" s="101"/>
      <c r="F544" s="101"/>
      <c r="G544" s="102"/>
      <c r="H544" s="101"/>
      <c r="I544" s="101"/>
      <c r="J544" s="101"/>
      <c r="K544" s="101"/>
      <c r="L544" s="101"/>
      <c r="M544" s="101"/>
      <c r="N544" s="100"/>
      <c r="O544" s="100"/>
      <c r="P544" s="101"/>
      <c r="Q544" s="101"/>
      <c r="R544" s="106" t="str">
        <f>IF(Table2[[#This Row],[Defect Classification]]="","",IF(Table2[[#This Row],[Defect Classification]]="Internal",1,0))</f>
        <v/>
      </c>
      <c r="S544" s="106" t="str">
        <f>IF(Table2[[#This Row],[Defect Classification]]="","",IF(Table2[[#This Row],[Defect Classification]]="External",1,0))</f>
        <v/>
      </c>
      <c r="T544" s="100"/>
      <c r="U544" s="101"/>
      <c r="V544" s="100"/>
      <c r="W544" s="101"/>
      <c r="X544" s="101"/>
      <c r="Y544" s="101"/>
      <c r="Z544" s="101"/>
      <c r="AA544" s="112" t="str">
        <f>IF(ISNA(VLOOKUP(Table2[[#This Row],[Task ID]],Table1[],17,FALSE)),"",VLOOKUP(Table2[[#This Row],[Task ID]],Table1[],17,FALSE))</f>
        <v/>
      </c>
      <c r="AB544" s="115" t="str">
        <f>IF(Table2[[#This Row],[Defect Detected On Date ]]="","",TEXT(Table2[[#This Row],[Defect Detected On Date ]],"mmm"))</f>
        <v/>
      </c>
      <c r="AE544" s="63"/>
    </row>
    <row r="545" spans="2:31">
      <c r="B545" s="100"/>
      <c r="C545" s="100"/>
      <c r="D545" s="101"/>
      <c r="E545" s="101"/>
      <c r="F545" s="101"/>
      <c r="G545" s="102"/>
      <c r="H545" s="101"/>
      <c r="I545" s="101"/>
      <c r="J545" s="101"/>
      <c r="K545" s="101"/>
      <c r="L545" s="101"/>
      <c r="M545" s="101"/>
      <c r="N545" s="100"/>
      <c r="O545" s="100"/>
      <c r="P545" s="101"/>
      <c r="Q545" s="101"/>
      <c r="R545" s="106" t="str">
        <f>IF(Table2[[#This Row],[Defect Classification]]="","",IF(Table2[[#This Row],[Defect Classification]]="Internal",1,0))</f>
        <v/>
      </c>
      <c r="S545" s="106" t="str">
        <f>IF(Table2[[#This Row],[Defect Classification]]="","",IF(Table2[[#This Row],[Defect Classification]]="External",1,0))</f>
        <v/>
      </c>
      <c r="T545" s="100"/>
      <c r="U545" s="101"/>
      <c r="V545" s="100"/>
      <c r="W545" s="101"/>
      <c r="X545" s="101"/>
      <c r="Y545" s="101"/>
      <c r="Z545" s="101"/>
      <c r="AA545" s="112" t="str">
        <f>IF(ISNA(VLOOKUP(Table2[[#This Row],[Task ID]],Table1[],17,FALSE)),"",VLOOKUP(Table2[[#This Row],[Task ID]],Table1[],17,FALSE))</f>
        <v/>
      </c>
      <c r="AB545" s="115" t="str">
        <f>IF(Table2[[#This Row],[Defect Detected On Date ]]="","",TEXT(Table2[[#This Row],[Defect Detected On Date ]],"mmm"))</f>
        <v/>
      </c>
      <c r="AE545" s="63"/>
    </row>
    <row r="546" spans="2:31">
      <c r="B546" s="100"/>
      <c r="C546" s="100"/>
      <c r="D546" s="101"/>
      <c r="E546" s="101"/>
      <c r="F546" s="101"/>
      <c r="G546" s="102"/>
      <c r="H546" s="101"/>
      <c r="I546" s="101"/>
      <c r="J546" s="101"/>
      <c r="K546" s="101"/>
      <c r="L546" s="101"/>
      <c r="M546" s="101"/>
      <c r="N546" s="100"/>
      <c r="O546" s="100"/>
      <c r="P546" s="101"/>
      <c r="Q546" s="101"/>
      <c r="R546" s="106" t="str">
        <f>IF(Table2[[#This Row],[Defect Classification]]="","",IF(Table2[[#This Row],[Defect Classification]]="Internal",1,0))</f>
        <v/>
      </c>
      <c r="S546" s="106" t="str">
        <f>IF(Table2[[#This Row],[Defect Classification]]="","",IF(Table2[[#This Row],[Defect Classification]]="External",1,0))</f>
        <v/>
      </c>
      <c r="T546" s="100"/>
      <c r="U546" s="101"/>
      <c r="V546" s="100"/>
      <c r="W546" s="101"/>
      <c r="X546" s="101"/>
      <c r="Y546" s="101"/>
      <c r="Z546" s="101"/>
      <c r="AA546" s="112" t="str">
        <f>IF(ISNA(VLOOKUP(Table2[[#This Row],[Task ID]],Table1[],17,FALSE)),"",VLOOKUP(Table2[[#This Row],[Task ID]],Table1[],17,FALSE))</f>
        <v/>
      </c>
      <c r="AB546" s="115" t="str">
        <f>IF(Table2[[#This Row],[Defect Detected On Date ]]="","",TEXT(Table2[[#This Row],[Defect Detected On Date ]],"mmm"))</f>
        <v/>
      </c>
      <c r="AE546" s="63"/>
    </row>
    <row r="547" spans="2:31">
      <c r="B547" s="100"/>
      <c r="C547" s="100"/>
      <c r="D547" s="101"/>
      <c r="E547" s="101"/>
      <c r="F547" s="101"/>
      <c r="G547" s="102"/>
      <c r="H547" s="101"/>
      <c r="I547" s="101"/>
      <c r="J547" s="101"/>
      <c r="K547" s="101"/>
      <c r="L547" s="101"/>
      <c r="M547" s="101"/>
      <c r="N547" s="100"/>
      <c r="O547" s="100"/>
      <c r="P547" s="101"/>
      <c r="Q547" s="101"/>
      <c r="R547" s="106" t="str">
        <f>IF(Table2[[#This Row],[Defect Classification]]="","",IF(Table2[[#This Row],[Defect Classification]]="Internal",1,0))</f>
        <v/>
      </c>
      <c r="S547" s="106" t="str">
        <f>IF(Table2[[#This Row],[Defect Classification]]="","",IF(Table2[[#This Row],[Defect Classification]]="External",1,0))</f>
        <v/>
      </c>
      <c r="T547" s="100"/>
      <c r="U547" s="101"/>
      <c r="V547" s="100"/>
      <c r="W547" s="101"/>
      <c r="X547" s="101"/>
      <c r="Y547" s="101"/>
      <c r="Z547" s="101"/>
      <c r="AA547" s="112" t="str">
        <f>IF(ISNA(VLOOKUP(Table2[[#This Row],[Task ID]],Table1[],17,FALSE)),"",VLOOKUP(Table2[[#This Row],[Task ID]],Table1[],17,FALSE))</f>
        <v/>
      </c>
      <c r="AB547" s="115" t="str">
        <f>IF(Table2[[#This Row],[Defect Detected On Date ]]="","",TEXT(Table2[[#This Row],[Defect Detected On Date ]],"mmm"))</f>
        <v/>
      </c>
      <c r="AE547" s="63"/>
    </row>
    <row r="548" spans="2:31">
      <c r="B548" s="100"/>
      <c r="C548" s="100"/>
      <c r="D548" s="101"/>
      <c r="E548" s="101"/>
      <c r="F548" s="101"/>
      <c r="G548" s="102"/>
      <c r="H548" s="101"/>
      <c r="I548" s="101"/>
      <c r="J548" s="101"/>
      <c r="K548" s="101"/>
      <c r="L548" s="101"/>
      <c r="M548" s="101"/>
      <c r="N548" s="100"/>
      <c r="O548" s="100"/>
      <c r="P548" s="101"/>
      <c r="Q548" s="101"/>
      <c r="R548" s="106" t="str">
        <f>IF(Table2[[#This Row],[Defect Classification]]="","",IF(Table2[[#This Row],[Defect Classification]]="Internal",1,0))</f>
        <v/>
      </c>
      <c r="S548" s="106" t="str">
        <f>IF(Table2[[#This Row],[Defect Classification]]="","",IF(Table2[[#This Row],[Defect Classification]]="External",1,0))</f>
        <v/>
      </c>
      <c r="T548" s="100"/>
      <c r="U548" s="101"/>
      <c r="V548" s="100"/>
      <c r="W548" s="101"/>
      <c r="X548" s="101"/>
      <c r="Y548" s="101"/>
      <c r="Z548" s="101"/>
      <c r="AA548" s="112" t="str">
        <f>IF(ISNA(VLOOKUP(Table2[[#This Row],[Task ID]],Table1[],17,FALSE)),"",VLOOKUP(Table2[[#This Row],[Task ID]],Table1[],17,FALSE))</f>
        <v/>
      </c>
      <c r="AB548" s="115" t="str">
        <f>IF(Table2[[#This Row],[Defect Detected On Date ]]="","",TEXT(Table2[[#This Row],[Defect Detected On Date ]],"mmm"))</f>
        <v/>
      </c>
      <c r="AE548" s="63"/>
    </row>
    <row r="549" spans="2:31">
      <c r="B549" s="100"/>
      <c r="C549" s="100"/>
      <c r="D549" s="101"/>
      <c r="E549" s="101"/>
      <c r="F549" s="101"/>
      <c r="G549" s="102"/>
      <c r="H549" s="101"/>
      <c r="I549" s="101"/>
      <c r="J549" s="101"/>
      <c r="K549" s="101"/>
      <c r="L549" s="101"/>
      <c r="M549" s="101"/>
      <c r="N549" s="100"/>
      <c r="O549" s="100"/>
      <c r="P549" s="101"/>
      <c r="Q549" s="101"/>
      <c r="R549" s="106" t="str">
        <f>IF(Table2[[#This Row],[Defect Classification]]="","",IF(Table2[[#This Row],[Defect Classification]]="Internal",1,0))</f>
        <v/>
      </c>
      <c r="S549" s="106" t="str">
        <f>IF(Table2[[#This Row],[Defect Classification]]="","",IF(Table2[[#This Row],[Defect Classification]]="External",1,0))</f>
        <v/>
      </c>
      <c r="T549" s="100"/>
      <c r="U549" s="101"/>
      <c r="V549" s="100"/>
      <c r="W549" s="101"/>
      <c r="X549" s="101"/>
      <c r="Y549" s="101"/>
      <c r="Z549" s="101"/>
      <c r="AA549" s="112" t="str">
        <f>IF(ISNA(VLOOKUP(Table2[[#This Row],[Task ID]],Table1[],17,FALSE)),"",VLOOKUP(Table2[[#This Row],[Task ID]],Table1[],17,FALSE))</f>
        <v/>
      </c>
      <c r="AB549" s="115" t="str">
        <f>IF(Table2[[#This Row],[Defect Detected On Date ]]="","",TEXT(Table2[[#This Row],[Defect Detected On Date ]],"mmm"))</f>
        <v/>
      </c>
      <c r="AE549" s="63"/>
    </row>
    <row r="550" spans="2:31">
      <c r="B550" s="100"/>
      <c r="C550" s="100"/>
      <c r="D550" s="101"/>
      <c r="E550" s="101"/>
      <c r="F550" s="101"/>
      <c r="G550" s="102"/>
      <c r="H550" s="101"/>
      <c r="I550" s="101"/>
      <c r="J550" s="101"/>
      <c r="K550" s="101"/>
      <c r="L550" s="101"/>
      <c r="M550" s="101"/>
      <c r="N550" s="100"/>
      <c r="O550" s="100"/>
      <c r="P550" s="101"/>
      <c r="Q550" s="101"/>
      <c r="R550" s="106" t="str">
        <f>IF(Table2[[#This Row],[Defect Classification]]="","",IF(Table2[[#This Row],[Defect Classification]]="Internal",1,0))</f>
        <v/>
      </c>
      <c r="S550" s="106" t="str">
        <f>IF(Table2[[#This Row],[Defect Classification]]="","",IF(Table2[[#This Row],[Defect Classification]]="External",1,0))</f>
        <v/>
      </c>
      <c r="T550" s="100"/>
      <c r="U550" s="101"/>
      <c r="V550" s="100"/>
      <c r="W550" s="101"/>
      <c r="X550" s="101"/>
      <c r="Y550" s="101"/>
      <c r="Z550" s="101"/>
      <c r="AA550" s="112" t="str">
        <f>IF(ISNA(VLOOKUP(Table2[[#This Row],[Task ID]],Table1[],17,FALSE)),"",VLOOKUP(Table2[[#This Row],[Task ID]],Table1[],17,FALSE))</f>
        <v/>
      </c>
      <c r="AB550" s="115" t="str">
        <f>IF(Table2[[#This Row],[Defect Detected On Date ]]="","",TEXT(Table2[[#This Row],[Defect Detected On Date ]],"mmm"))</f>
        <v/>
      </c>
      <c r="AE550" s="63"/>
    </row>
    <row r="551" spans="2:31">
      <c r="B551" s="100"/>
      <c r="C551" s="100"/>
      <c r="D551" s="101"/>
      <c r="E551" s="101"/>
      <c r="F551" s="101"/>
      <c r="G551" s="102"/>
      <c r="H551" s="101"/>
      <c r="I551" s="101"/>
      <c r="J551" s="101"/>
      <c r="K551" s="101"/>
      <c r="L551" s="101"/>
      <c r="M551" s="101"/>
      <c r="N551" s="100"/>
      <c r="O551" s="100"/>
      <c r="P551" s="101"/>
      <c r="Q551" s="101"/>
      <c r="R551" s="106" t="str">
        <f>IF(Table2[[#This Row],[Defect Classification]]="","",IF(Table2[[#This Row],[Defect Classification]]="Internal",1,0))</f>
        <v/>
      </c>
      <c r="S551" s="106" t="str">
        <f>IF(Table2[[#This Row],[Defect Classification]]="","",IF(Table2[[#This Row],[Defect Classification]]="External",1,0))</f>
        <v/>
      </c>
      <c r="T551" s="100"/>
      <c r="U551" s="101"/>
      <c r="V551" s="100"/>
      <c r="W551" s="101"/>
      <c r="X551" s="101"/>
      <c r="Y551" s="101"/>
      <c r="Z551" s="101"/>
      <c r="AA551" s="112" t="str">
        <f>IF(ISNA(VLOOKUP(Table2[[#This Row],[Task ID]],Table1[],17,FALSE)),"",VLOOKUP(Table2[[#This Row],[Task ID]],Table1[],17,FALSE))</f>
        <v/>
      </c>
      <c r="AB551" s="115" t="str">
        <f>IF(Table2[[#This Row],[Defect Detected On Date ]]="","",TEXT(Table2[[#This Row],[Defect Detected On Date ]],"mmm"))</f>
        <v/>
      </c>
      <c r="AE551" s="63"/>
    </row>
    <row r="552" spans="2:31">
      <c r="B552" s="100"/>
      <c r="C552" s="100"/>
      <c r="D552" s="101"/>
      <c r="E552" s="101"/>
      <c r="F552" s="101"/>
      <c r="G552" s="102"/>
      <c r="H552" s="101"/>
      <c r="I552" s="101"/>
      <c r="J552" s="101"/>
      <c r="K552" s="101"/>
      <c r="L552" s="101"/>
      <c r="M552" s="101"/>
      <c r="N552" s="100"/>
      <c r="O552" s="100"/>
      <c r="P552" s="101"/>
      <c r="Q552" s="101"/>
      <c r="R552" s="106" t="str">
        <f>IF(Table2[[#This Row],[Defect Classification]]="","",IF(Table2[[#This Row],[Defect Classification]]="Internal",1,0))</f>
        <v/>
      </c>
      <c r="S552" s="106" t="str">
        <f>IF(Table2[[#This Row],[Defect Classification]]="","",IF(Table2[[#This Row],[Defect Classification]]="External",1,0))</f>
        <v/>
      </c>
      <c r="T552" s="100"/>
      <c r="U552" s="101"/>
      <c r="V552" s="100"/>
      <c r="W552" s="101"/>
      <c r="X552" s="101"/>
      <c r="Y552" s="101"/>
      <c r="Z552" s="101"/>
      <c r="AA552" s="112" t="str">
        <f>IF(ISNA(VLOOKUP(Table2[[#This Row],[Task ID]],Table1[],17,FALSE)),"",VLOOKUP(Table2[[#This Row],[Task ID]],Table1[],17,FALSE))</f>
        <v/>
      </c>
      <c r="AB552" s="115" t="str">
        <f>IF(Table2[[#This Row],[Defect Detected On Date ]]="","",TEXT(Table2[[#This Row],[Defect Detected On Date ]],"mmm"))</f>
        <v/>
      </c>
      <c r="AE552" s="63"/>
    </row>
    <row r="553" spans="2:31">
      <c r="B553" s="100"/>
      <c r="C553" s="100"/>
      <c r="D553" s="101"/>
      <c r="E553" s="101"/>
      <c r="F553" s="101"/>
      <c r="G553" s="102"/>
      <c r="H553" s="101"/>
      <c r="I553" s="101"/>
      <c r="J553" s="101"/>
      <c r="K553" s="101"/>
      <c r="L553" s="101"/>
      <c r="M553" s="101"/>
      <c r="N553" s="100"/>
      <c r="O553" s="100"/>
      <c r="P553" s="101"/>
      <c r="Q553" s="101"/>
      <c r="R553" s="106" t="str">
        <f>IF(Table2[[#This Row],[Defect Classification]]="","",IF(Table2[[#This Row],[Defect Classification]]="Internal",1,0))</f>
        <v/>
      </c>
      <c r="S553" s="106" t="str">
        <f>IF(Table2[[#This Row],[Defect Classification]]="","",IF(Table2[[#This Row],[Defect Classification]]="External",1,0))</f>
        <v/>
      </c>
      <c r="T553" s="100"/>
      <c r="U553" s="101"/>
      <c r="V553" s="100"/>
      <c r="W553" s="101"/>
      <c r="X553" s="101"/>
      <c r="Y553" s="101"/>
      <c r="Z553" s="101"/>
      <c r="AA553" s="112" t="str">
        <f>IF(ISNA(VLOOKUP(Table2[[#This Row],[Task ID]],Table1[],17,FALSE)),"",VLOOKUP(Table2[[#This Row],[Task ID]],Table1[],17,FALSE))</f>
        <v/>
      </c>
      <c r="AB553" s="115" t="str">
        <f>IF(Table2[[#This Row],[Defect Detected On Date ]]="","",TEXT(Table2[[#This Row],[Defect Detected On Date ]],"mmm"))</f>
        <v/>
      </c>
      <c r="AE553" s="63"/>
    </row>
    <row r="554" spans="2:31">
      <c r="B554" s="100"/>
      <c r="C554" s="100"/>
      <c r="D554" s="101"/>
      <c r="E554" s="101"/>
      <c r="F554" s="101"/>
      <c r="G554" s="102"/>
      <c r="H554" s="101"/>
      <c r="I554" s="101"/>
      <c r="J554" s="101"/>
      <c r="K554" s="101"/>
      <c r="L554" s="101"/>
      <c r="M554" s="101"/>
      <c r="N554" s="100"/>
      <c r="O554" s="100"/>
      <c r="P554" s="101"/>
      <c r="Q554" s="101"/>
      <c r="R554" s="106" t="str">
        <f>IF(Table2[[#This Row],[Defect Classification]]="","",IF(Table2[[#This Row],[Defect Classification]]="Internal",1,0))</f>
        <v/>
      </c>
      <c r="S554" s="106" t="str">
        <f>IF(Table2[[#This Row],[Defect Classification]]="","",IF(Table2[[#This Row],[Defect Classification]]="External",1,0))</f>
        <v/>
      </c>
      <c r="T554" s="100"/>
      <c r="U554" s="101"/>
      <c r="V554" s="100"/>
      <c r="W554" s="101"/>
      <c r="X554" s="101"/>
      <c r="Y554" s="101"/>
      <c r="Z554" s="101"/>
      <c r="AA554" s="112" t="str">
        <f>IF(ISNA(VLOOKUP(Table2[[#This Row],[Task ID]],Table1[],17,FALSE)),"",VLOOKUP(Table2[[#This Row],[Task ID]],Table1[],17,FALSE))</f>
        <v/>
      </c>
      <c r="AB554" s="115" t="str">
        <f>IF(Table2[[#This Row],[Defect Detected On Date ]]="","",TEXT(Table2[[#This Row],[Defect Detected On Date ]],"mmm"))</f>
        <v/>
      </c>
      <c r="AE554" s="63"/>
    </row>
    <row r="555" spans="2:31">
      <c r="B555" s="100"/>
      <c r="C555" s="100"/>
      <c r="D555" s="101"/>
      <c r="E555" s="101"/>
      <c r="F555" s="101"/>
      <c r="G555" s="102"/>
      <c r="H555" s="101"/>
      <c r="I555" s="101"/>
      <c r="J555" s="101"/>
      <c r="K555" s="101"/>
      <c r="L555" s="101"/>
      <c r="M555" s="101"/>
      <c r="N555" s="100"/>
      <c r="O555" s="100"/>
      <c r="P555" s="101"/>
      <c r="Q555" s="101"/>
      <c r="R555" s="106" t="str">
        <f>IF(Table2[[#This Row],[Defect Classification]]="","",IF(Table2[[#This Row],[Defect Classification]]="Internal",1,0))</f>
        <v/>
      </c>
      <c r="S555" s="106" t="str">
        <f>IF(Table2[[#This Row],[Defect Classification]]="","",IF(Table2[[#This Row],[Defect Classification]]="External",1,0))</f>
        <v/>
      </c>
      <c r="T555" s="100"/>
      <c r="U555" s="101"/>
      <c r="V555" s="100"/>
      <c r="W555" s="101"/>
      <c r="X555" s="101"/>
      <c r="Y555" s="101"/>
      <c r="Z555" s="101"/>
      <c r="AA555" s="112" t="str">
        <f>IF(ISNA(VLOOKUP(Table2[[#This Row],[Task ID]],Table1[],17,FALSE)),"",VLOOKUP(Table2[[#This Row],[Task ID]],Table1[],17,FALSE))</f>
        <v/>
      </c>
      <c r="AB555" s="115" t="str">
        <f>IF(Table2[[#This Row],[Defect Detected On Date ]]="","",TEXT(Table2[[#This Row],[Defect Detected On Date ]],"mmm"))</f>
        <v/>
      </c>
      <c r="AE555" s="63"/>
    </row>
    <row r="556" spans="2:31">
      <c r="B556" s="100"/>
      <c r="C556" s="100"/>
      <c r="D556" s="101"/>
      <c r="E556" s="101"/>
      <c r="F556" s="101"/>
      <c r="G556" s="102"/>
      <c r="H556" s="101"/>
      <c r="I556" s="101"/>
      <c r="J556" s="101"/>
      <c r="K556" s="101"/>
      <c r="L556" s="101"/>
      <c r="M556" s="101"/>
      <c r="N556" s="100"/>
      <c r="O556" s="100"/>
      <c r="P556" s="101"/>
      <c r="Q556" s="101"/>
      <c r="R556" s="106" t="str">
        <f>IF(Table2[[#This Row],[Defect Classification]]="","",IF(Table2[[#This Row],[Defect Classification]]="Internal",1,0))</f>
        <v/>
      </c>
      <c r="S556" s="106" t="str">
        <f>IF(Table2[[#This Row],[Defect Classification]]="","",IF(Table2[[#This Row],[Defect Classification]]="External",1,0))</f>
        <v/>
      </c>
      <c r="T556" s="100"/>
      <c r="U556" s="101"/>
      <c r="V556" s="100"/>
      <c r="W556" s="101"/>
      <c r="X556" s="101"/>
      <c r="Y556" s="101"/>
      <c r="Z556" s="101"/>
      <c r="AA556" s="112" t="str">
        <f>IF(ISNA(VLOOKUP(Table2[[#This Row],[Task ID]],Table1[],17,FALSE)),"",VLOOKUP(Table2[[#This Row],[Task ID]],Table1[],17,FALSE))</f>
        <v/>
      </c>
      <c r="AB556" s="115" t="str">
        <f>IF(Table2[[#This Row],[Defect Detected On Date ]]="","",TEXT(Table2[[#This Row],[Defect Detected On Date ]],"mmm"))</f>
        <v/>
      </c>
      <c r="AE556" s="63"/>
    </row>
    <row r="557" spans="2:31">
      <c r="B557" s="100"/>
      <c r="C557" s="100"/>
      <c r="D557" s="101"/>
      <c r="E557" s="101"/>
      <c r="F557" s="101"/>
      <c r="G557" s="102"/>
      <c r="H557" s="101"/>
      <c r="I557" s="101"/>
      <c r="J557" s="101"/>
      <c r="K557" s="101"/>
      <c r="L557" s="101"/>
      <c r="M557" s="101"/>
      <c r="N557" s="100"/>
      <c r="O557" s="100"/>
      <c r="P557" s="101"/>
      <c r="Q557" s="101"/>
      <c r="R557" s="106" t="str">
        <f>IF(Table2[[#This Row],[Defect Classification]]="","",IF(Table2[[#This Row],[Defect Classification]]="Internal",1,0))</f>
        <v/>
      </c>
      <c r="S557" s="106" t="str">
        <f>IF(Table2[[#This Row],[Defect Classification]]="","",IF(Table2[[#This Row],[Defect Classification]]="External",1,0))</f>
        <v/>
      </c>
      <c r="T557" s="100"/>
      <c r="U557" s="101"/>
      <c r="V557" s="100"/>
      <c r="W557" s="101"/>
      <c r="X557" s="101"/>
      <c r="Y557" s="101"/>
      <c r="Z557" s="101"/>
      <c r="AA557" s="112" t="str">
        <f>IF(ISNA(VLOOKUP(Table2[[#This Row],[Task ID]],Table1[],17,FALSE)),"",VLOOKUP(Table2[[#This Row],[Task ID]],Table1[],17,FALSE))</f>
        <v/>
      </c>
      <c r="AB557" s="115" t="str">
        <f>IF(Table2[[#This Row],[Defect Detected On Date ]]="","",TEXT(Table2[[#This Row],[Defect Detected On Date ]],"mmm"))</f>
        <v/>
      </c>
      <c r="AE557" s="63"/>
    </row>
    <row r="558" spans="2:31">
      <c r="B558" s="100"/>
      <c r="C558" s="100"/>
      <c r="D558" s="101"/>
      <c r="E558" s="101"/>
      <c r="F558" s="101"/>
      <c r="G558" s="102"/>
      <c r="H558" s="101"/>
      <c r="I558" s="101"/>
      <c r="J558" s="101"/>
      <c r="K558" s="101"/>
      <c r="L558" s="101"/>
      <c r="M558" s="101"/>
      <c r="N558" s="100"/>
      <c r="O558" s="100"/>
      <c r="P558" s="101"/>
      <c r="Q558" s="101"/>
      <c r="R558" s="106" t="str">
        <f>IF(Table2[[#This Row],[Defect Classification]]="","",IF(Table2[[#This Row],[Defect Classification]]="Internal",1,0))</f>
        <v/>
      </c>
      <c r="S558" s="106" t="str">
        <f>IF(Table2[[#This Row],[Defect Classification]]="","",IF(Table2[[#This Row],[Defect Classification]]="External",1,0))</f>
        <v/>
      </c>
      <c r="T558" s="100"/>
      <c r="U558" s="101"/>
      <c r="V558" s="100"/>
      <c r="W558" s="101"/>
      <c r="X558" s="101"/>
      <c r="Y558" s="101"/>
      <c r="Z558" s="101"/>
      <c r="AA558" s="112" t="str">
        <f>IF(ISNA(VLOOKUP(Table2[[#This Row],[Task ID]],Table1[],17,FALSE)),"",VLOOKUP(Table2[[#This Row],[Task ID]],Table1[],17,FALSE))</f>
        <v/>
      </c>
      <c r="AB558" s="115" t="str">
        <f>IF(Table2[[#This Row],[Defect Detected On Date ]]="","",TEXT(Table2[[#This Row],[Defect Detected On Date ]],"mmm"))</f>
        <v/>
      </c>
      <c r="AE558" s="63"/>
    </row>
    <row r="559" spans="2:31">
      <c r="B559" s="100"/>
      <c r="C559" s="100"/>
      <c r="D559" s="101"/>
      <c r="E559" s="101"/>
      <c r="F559" s="101"/>
      <c r="G559" s="102"/>
      <c r="H559" s="101"/>
      <c r="I559" s="101"/>
      <c r="J559" s="101"/>
      <c r="K559" s="101"/>
      <c r="L559" s="101"/>
      <c r="M559" s="101"/>
      <c r="N559" s="100"/>
      <c r="O559" s="100"/>
      <c r="P559" s="101"/>
      <c r="Q559" s="101"/>
      <c r="R559" s="106" t="str">
        <f>IF(Table2[[#This Row],[Defect Classification]]="","",IF(Table2[[#This Row],[Defect Classification]]="Internal",1,0))</f>
        <v/>
      </c>
      <c r="S559" s="106" t="str">
        <f>IF(Table2[[#This Row],[Defect Classification]]="","",IF(Table2[[#This Row],[Defect Classification]]="External",1,0))</f>
        <v/>
      </c>
      <c r="T559" s="100"/>
      <c r="U559" s="101"/>
      <c r="V559" s="100"/>
      <c r="W559" s="101"/>
      <c r="X559" s="101"/>
      <c r="Y559" s="101"/>
      <c r="Z559" s="101"/>
      <c r="AA559" s="112" t="str">
        <f>IF(ISNA(VLOOKUP(Table2[[#This Row],[Task ID]],Table1[],17,FALSE)),"",VLOOKUP(Table2[[#This Row],[Task ID]],Table1[],17,FALSE))</f>
        <v/>
      </c>
      <c r="AB559" s="115" t="str">
        <f>IF(Table2[[#This Row],[Defect Detected On Date ]]="","",TEXT(Table2[[#This Row],[Defect Detected On Date ]],"mmm"))</f>
        <v/>
      </c>
      <c r="AE559" s="63"/>
    </row>
    <row r="560" spans="2:31">
      <c r="B560" s="100"/>
      <c r="C560" s="100"/>
      <c r="D560" s="101"/>
      <c r="E560" s="101"/>
      <c r="F560" s="101"/>
      <c r="G560" s="102"/>
      <c r="H560" s="101"/>
      <c r="I560" s="101"/>
      <c r="J560" s="101"/>
      <c r="K560" s="101"/>
      <c r="L560" s="101"/>
      <c r="M560" s="101"/>
      <c r="N560" s="100"/>
      <c r="O560" s="100"/>
      <c r="P560" s="101"/>
      <c r="Q560" s="101"/>
      <c r="R560" s="106" t="str">
        <f>IF(Table2[[#This Row],[Defect Classification]]="","",IF(Table2[[#This Row],[Defect Classification]]="Internal",1,0))</f>
        <v/>
      </c>
      <c r="S560" s="106" t="str">
        <f>IF(Table2[[#This Row],[Defect Classification]]="","",IF(Table2[[#This Row],[Defect Classification]]="External",1,0))</f>
        <v/>
      </c>
      <c r="T560" s="100"/>
      <c r="U560" s="101"/>
      <c r="V560" s="100"/>
      <c r="W560" s="101"/>
      <c r="X560" s="101"/>
      <c r="Y560" s="101"/>
      <c r="Z560" s="101"/>
      <c r="AA560" s="112" t="str">
        <f>IF(ISNA(VLOOKUP(Table2[[#This Row],[Task ID]],Table1[],17,FALSE)),"",VLOOKUP(Table2[[#This Row],[Task ID]],Table1[],17,FALSE))</f>
        <v/>
      </c>
      <c r="AB560" s="115" t="str">
        <f>IF(Table2[[#This Row],[Defect Detected On Date ]]="","",TEXT(Table2[[#This Row],[Defect Detected On Date ]],"mmm"))</f>
        <v/>
      </c>
      <c r="AE560" s="63"/>
    </row>
    <row r="561" spans="2:31">
      <c r="B561" s="100"/>
      <c r="C561" s="100"/>
      <c r="D561" s="101"/>
      <c r="E561" s="101"/>
      <c r="F561" s="101"/>
      <c r="G561" s="102"/>
      <c r="H561" s="101"/>
      <c r="I561" s="101"/>
      <c r="J561" s="101"/>
      <c r="K561" s="101"/>
      <c r="L561" s="101"/>
      <c r="M561" s="101"/>
      <c r="N561" s="100"/>
      <c r="O561" s="100"/>
      <c r="P561" s="101"/>
      <c r="Q561" s="101"/>
      <c r="R561" s="106" t="str">
        <f>IF(Table2[[#This Row],[Defect Classification]]="","",IF(Table2[[#This Row],[Defect Classification]]="Internal",1,0))</f>
        <v/>
      </c>
      <c r="S561" s="106" t="str">
        <f>IF(Table2[[#This Row],[Defect Classification]]="","",IF(Table2[[#This Row],[Defect Classification]]="External",1,0))</f>
        <v/>
      </c>
      <c r="T561" s="100"/>
      <c r="U561" s="101"/>
      <c r="V561" s="100"/>
      <c r="W561" s="101"/>
      <c r="X561" s="101"/>
      <c r="Y561" s="101"/>
      <c r="Z561" s="101"/>
      <c r="AA561" s="112" t="str">
        <f>IF(ISNA(VLOOKUP(Table2[[#This Row],[Task ID]],Table1[],17,FALSE)),"",VLOOKUP(Table2[[#This Row],[Task ID]],Table1[],17,FALSE))</f>
        <v/>
      </c>
      <c r="AB561" s="115" t="str">
        <f>IF(Table2[[#This Row],[Defect Detected On Date ]]="","",TEXT(Table2[[#This Row],[Defect Detected On Date ]],"mmm"))</f>
        <v/>
      </c>
      <c r="AE561" s="63"/>
    </row>
    <row r="562" spans="2:31">
      <c r="B562" s="100"/>
      <c r="C562" s="100"/>
      <c r="D562" s="101"/>
      <c r="E562" s="101"/>
      <c r="F562" s="101"/>
      <c r="G562" s="102"/>
      <c r="H562" s="101"/>
      <c r="I562" s="101"/>
      <c r="J562" s="101"/>
      <c r="K562" s="101"/>
      <c r="L562" s="101"/>
      <c r="M562" s="101"/>
      <c r="N562" s="100"/>
      <c r="O562" s="100"/>
      <c r="P562" s="101"/>
      <c r="Q562" s="101"/>
      <c r="R562" s="106" t="str">
        <f>IF(Table2[[#This Row],[Defect Classification]]="","",IF(Table2[[#This Row],[Defect Classification]]="Internal",1,0))</f>
        <v/>
      </c>
      <c r="S562" s="106" t="str">
        <f>IF(Table2[[#This Row],[Defect Classification]]="","",IF(Table2[[#This Row],[Defect Classification]]="External",1,0))</f>
        <v/>
      </c>
      <c r="T562" s="100"/>
      <c r="U562" s="101"/>
      <c r="V562" s="100"/>
      <c r="W562" s="101"/>
      <c r="X562" s="101"/>
      <c r="Y562" s="101"/>
      <c r="Z562" s="101"/>
      <c r="AA562" s="112" t="str">
        <f>IF(ISNA(VLOOKUP(Table2[[#This Row],[Task ID]],Table1[],17,FALSE)),"",VLOOKUP(Table2[[#This Row],[Task ID]],Table1[],17,FALSE))</f>
        <v/>
      </c>
      <c r="AB562" s="115" t="str">
        <f>IF(Table2[[#This Row],[Defect Detected On Date ]]="","",TEXT(Table2[[#This Row],[Defect Detected On Date ]],"mmm"))</f>
        <v/>
      </c>
      <c r="AE562" s="63"/>
    </row>
    <row r="563" spans="2:31">
      <c r="B563" s="100"/>
      <c r="C563" s="100"/>
      <c r="D563" s="101"/>
      <c r="E563" s="101"/>
      <c r="F563" s="101"/>
      <c r="G563" s="102"/>
      <c r="H563" s="101"/>
      <c r="I563" s="101"/>
      <c r="J563" s="101"/>
      <c r="K563" s="101"/>
      <c r="L563" s="101"/>
      <c r="M563" s="101"/>
      <c r="N563" s="100"/>
      <c r="O563" s="100"/>
      <c r="P563" s="101"/>
      <c r="Q563" s="101"/>
      <c r="R563" s="106" t="str">
        <f>IF(Table2[[#This Row],[Defect Classification]]="","",IF(Table2[[#This Row],[Defect Classification]]="Internal",1,0))</f>
        <v/>
      </c>
      <c r="S563" s="106" t="str">
        <f>IF(Table2[[#This Row],[Defect Classification]]="","",IF(Table2[[#This Row],[Defect Classification]]="External",1,0))</f>
        <v/>
      </c>
      <c r="T563" s="100"/>
      <c r="U563" s="101"/>
      <c r="V563" s="100"/>
      <c r="W563" s="101"/>
      <c r="X563" s="101"/>
      <c r="Y563" s="101"/>
      <c r="Z563" s="101"/>
      <c r="AA563" s="112" t="str">
        <f>IF(ISNA(VLOOKUP(Table2[[#This Row],[Task ID]],Table1[],17,FALSE)),"",VLOOKUP(Table2[[#This Row],[Task ID]],Table1[],17,FALSE))</f>
        <v/>
      </c>
      <c r="AB563" s="115" t="str">
        <f>IF(Table2[[#This Row],[Defect Detected On Date ]]="","",TEXT(Table2[[#This Row],[Defect Detected On Date ]],"mmm"))</f>
        <v/>
      </c>
      <c r="AE563" s="63"/>
    </row>
    <row r="564" spans="2:31">
      <c r="B564" s="100"/>
      <c r="C564" s="100"/>
      <c r="D564" s="101"/>
      <c r="E564" s="101"/>
      <c r="F564" s="101"/>
      <c r="G564" s="102"/>
      <c r="H564" s="101"/>
      <c r="I564" s="101"/>
      <c r="J564" s="101"/>
      <c r="K564" s="101"/>
      <c r="L564" s="101"/>
      <c r="M564" s="101"/>
      <c r="N564" s="100"/>
      <c r="O564" s="100"/>
      <c r="P564" s="101"/>
      <c r="Q564" s="101"/>
      <c r="R564" s="106" t="str">
        <f>IF(Table2[[#This Row],[Defect Classification]]="","",IF(Table2[[#This Row],[Defect Classification]]="Internal",1,0))</f>
        <v/>
      </c>
      <c r="S564" s="106" t="str">
        <f>IF(Table2[[#This Row],[Defect Classification]]="","",IF(Table2[[#This Row],[Defect Classification]]="External",1,0))</f>
        <v/>
      </c>
      <c r="T564" s="100"/>
      <c r="U564" s="101"/>
      <c r="V564" s="100"/>
      <c r="W564" s="101"/>
      <c r="X564" s="101"/>
      <c r="Y564" s="101"/>
      <c r="Z564" s="101"/>
      <c r="AA564" s="112" t="str">
        <f>IF(ISNA(VLOOKUP(Table2[[#This Row],[Task ID]],Table1[],17,FALSE)),"",VLOOKUP(Table2[[#This Row],[Task ID]],Table1[],17,FALSE))</f>
        <v/>
      </c>
      <c r="AB564" s="115" t="str">
        <f>IF(Table2[[#This Row],[Defect Detected On Date ]]="","",TEXT(Table2[[#This Row],[Defect Detected On Date ]],"mmm"))</f>
        <v/>
      </c>
      <c r="AE564" s="63"/>
    </row>
    <row r="565" spans="2:31">
      <c r="B565" s="100"/>
      <c r="C565" s="100"/>
      <c r="D565" s="101"/>
      <c r="E565" s="101"/>
      <c r="F565" s="101"/>
      <c r="G565" s="102"/>
      <c r="H565" s="101"/>
      <c r="I565" s="101"/>
      <c r="J565" s="101"/>
      <c r="K565" s="101"/>
      <c r="L565" s="101"/>
      <c r="M565" s="101"/>
      <c r="N565" s="100"/>
      <c r="O565" s="100"/>
      <c r="P565" s="101"/>
      <c r="Q565" s="101"/>
      <c r="R565" s="106" t="str">
        <f>IF(Table2[[#This Row],[Defect Classification]]="","",IF(Table2[[#This Row],[Defect Classification]]="Internal",1,0))</f>
        <v/>
      </c>
      <c r="S565" s="106" t="str">
        <f>IF(Table2[[#This Row],[Defect Classification]]="","",IF(Table2[[#This Row],[Defect Classification]]="External",1,0))</f>
        <v/>
      </c>
      <c r="T565" s="100"/>
      <c r="U565" s="101"/>
      <c r="V565" s="100"/>
      <c r="W565" s="101"/>
      <c r="X565" s="101"/>
      <c r="Y565" s="101"/>
      <c r="Z565" s="101"/>
      <c r="AA565" s="112" t="str">
        <f>IF(ISNA(VLOOKUP(Table2[[#This Row],[Task ID]],Table1[],17,FALSE)),"",VLOOKUP(Table2[[#This Row],[Task ID]],Table1[],17,FALSE))</f>
        <v/>
      </c>
      <c r="AB565" s="115" t="str">
        <f>IF(Table2[[#This Row],[Defect Detected On Date ]]="","",TEXT(Table2[[#This Row],[Defect Detected On Date ]],"mmm"))</f>
        <v/>
      </c>
      <c r="AE565" s="63"/>
    </row>
    <row r="566" spans="2:31">
      <c r="B566" s="100"/>
      <c r="C566" s="100"/>
      <c r="D566" s="101"/>
      <c r="E566" s="101"/>
      <c r="F566" s="101"/>
      <c r="G566" s="102"/>
      <c r="H566" s="101"/>
      <c r="I566" s="101"/>
      <c r="J566" s="101"/>
      <c r="K566" s="101"/>
      <c r="L566" s="101"/>
      <c r="M566" s="101"/>
      <c r="N566" s="100"/>
      <c r="O566" s="100"/>
      <c r="P566" s="101"/>
      <c r="Q566" s="101"/>
      <c r="R566" s="106" t="str">
        <f>IF(Table2[[#This Row],[Defect Classification]]="","",IF(Table2[[#This Row],[Defect Classification]]="Internal",1,0))</f>
        <v/>
      </c>
      <c r="S566" s="106" t="str">
        <f>IF(Table2[[#This Row],[Defect Classification]]="","",IF(Table2[[#This Row],[Defect Classification]]="External",1,0))</f>
        <v/>
      </c>
      <c r="T566" s="100"/>
      <c r="U566" s="101"/>
      <c r="V566" s="100"/>
      <c r="W566" s="101"/>
      <c r="X566" s="101"/>
      <c r="Y566" s="101"/>
      <c r="Z566" s="101"/>
      <c r="AA566" s="112" t="str">
        <f>IF(ISNA(VLOOKUP(Table2[[#This Row],[Task ID]],Table1[],17,FALSE)),"",VLOOKUP(Table2[[#This Row],[Task ID]],Table1[],17,FALSE))</f>
        <v/>
      </c>
      <c r="AB566" s="115" t="str">
        <f>IF(Table2[[#This Row],[Defect Detected On Date ]]="","",TEXT(Table2[[#This Row],[Defect Detected On Date ]],"mmm"))</f>
        <v/>
      </c>
      <c r="AE566" s="63"/>
    </row>
    <row r="567" spans="2:31">
      <c r="B567" s="100"/>
      <c r="C567" s="100"/>
      <c r="D567" s="101"/>
      <c r="E567" s="101"/>
      <c r="F567" s="101"/>
      <c r="G567" s="102"/>
      <c r="H567" s="101"/>
      <c r="I567" s="101"/>
      <c r="J567" s="101"/>
      <c r="K567" s="101"/>
      <c r="L567" s="101"/>
      <c r="M567" s="101"/>
      <c r="N567" s="100"/>
      <c r="O567" s="100"/>
      <c r="P567" s="101"/>
      <c r="Q567" s="101"/>
      <c r="R567" s="106" t="str">
        <f>IF(Table2[[#This Row],[Defect Classification]]="","",IF(Table2[[#This Row],[Defect Classification]]="Internal",1,0))</f>
        <v/>
      </c>
      <c r="S567" s="106" t="str">
        <f>IF(Table2[[#This Row],[Defect Classification]]="","",IF(Table2[[#This Row],[Defect Classification]]="External",1,0))</f>
        <v/>
      </c>
      <c r="T567" s="100"/>
      <c r="U567" s="101"/>
      <c r="V567" s="100"/>
      <c r="W567" s="101"/>
      <c r="X567" s="101"/>
      <c r="Y567" s="101"/>
      <c r="Z567" s="101"/>
      <c r="AA567" s="112" t="str">
        <f>IF(ISNA(VLOOKUP(Table2[[#This Row],[Task ID]],Table1[],17,FALSE)),"",VLOOKUP(Table2[[#This Row],[Task ID]],Table1[],17,FALSE))</f>
        <v/>
      </c>
      <c r="AB567" s="115" t="str">
        <f>IF(Table2[[#This Row],[Defect Detected On Date ]]="","",TEXT(Table2[[#This Row],[Defect Detected On Date ]],"mmm"))</f>
        <v/>
      </c>
      <c r="AE567" s="63"/>
    </row>
    <row r="568" spans="2:31">
      <c r="B568" s="100"/>
      <c r="C568" s="100"/>
      <c r="D568" s="101"/>
      <c r="E568" s="101"/>
      <c r="F568" s="101"/>
      <c r="G568" s="102"/>
      <c r="H568" s="101"/>
      <c r="I568" s="101"/>
      <c r="J568" s="101"/>
      <c r="K568" s="101"/>
      <c r="L568" s="101"/>
      <c r="M568" s="101"/>
      <c r="N568" s="100"/>
      <c r="O568" s="100"/>
      <c r="P568" s="101"/>
      <c r="Q568" s="101"/>
      <c r="R568" s="106" t="str">
        <f>IF(Table2[[#This Row],[Defect Classification]]="","",IF(Table2[[#This Row],[Defect Classification]]="Internal",1,0))</f>
        <v/>
      </c>
      <c r="S568" s="106" t="str">
        <f>IF(Table2[[#This Row],[Defect Classification]]="","",IF(Table2[[#This Row],[Defect Classification]]="External",1,0))</f>
        <v/>
      </c>
      <c r="T568" s="100"/>
      <c r="U568" s="101"/>
      <c r="V568" s="100"/>
      <c r="W568" s="101"/>
      <c r="X568" s="101"/>
      <c r="Y568" s="101"/>
      <c r="Z568" s="101"/>
      <c r="AA568" s="112" t="str">
        <f>IF(ISNA(VLOOKUP(Table2[[#This Row],[Task ID]],Table1[],17,FALSE)),"",VLOOKUP(Table2[[#This Row],[Task ID]],Table1[],17,FALSE))</f>
        <v/>
      </c>
      <c r="AB568" s="115" t="str">
        <f>IF(Table2[[#This Row],[Defect Detected On Date ]]="","",TEXT(Table2[[#This Row],[Defect Detected On Date ]],"mmm"))</f>
        <v/>
      </c>
      <c r="AE568" s="63"/>
    </row>
    <row r="569" spans="2:31">
      <c r="B569" s="100"/>
      <c r="C569" s="100"/>
      <c r="D569" s="101"/>
      <c r="E569" s="101"/>
      <c r="F569" s="101"/>
      <c r="G569" s="102"/>
      <c r="H569" s="101"/>
      <c r="I569" s="101"/>
      <c r="J569" s="101"/>
      <c r="K569" s="101"/>
      <c r="L569" s="101"/>
      <c r="M569" s="101"/>
      <c r="N569" s="100"/>
      <c r="O569" s="100"/>
      <c r="P569" s="101"/>
      <c r="Q569" s="101"/>
      <c r="R569" s="106" t="str">
        <f>IF(Table2[[#This Row],[Defect Classification]]="","",IF(Table2[[#This Row],[Defect Classification]]="Internal",1,0))</f>
        <v/>
      </c>
      <c r="S569" s="106" t="str">
        <f>IF(Table2[[#This Row],[Defect Classification]]="","",IF(Table2[[#This Row],[Defect Classification]]="External",1,0))</f>
        <v/>
      </c>
      <c r="T569" s="100"/>
      <c r="U569" s="101"/>
      <c r="V569" s="100"/>
      <c r="W569" s="101"/>
      <c r="X569" s="101"/>
      <c r="Y569" s="101"/>
      <c r="Z569" s="101"/>
      <c r="AA569" s="112" t="str">
        <f>IF(ISNA(VLOOKUP(Table2[[#This Row],[Task ID]],Table1[],17,FALSE)),"",VLOOKUP(Table2[[#This Row],[Task ID]],Table1[],17,FALSE))</f>
        <v/>
      </c>
      <c r="AB569" s="115" t="str">
        <f>IF(Table2[[#This Row],[Defect Detected On Date ]]="","",TEXT(Table2[[#This Row],[Defect Detected On Date ]],"mmm"))</f>
        <v/>
      </c>
      <c r="AE569" s="63"/>
    </row>
    <row r="570" spans="2:31">
      <c r="B570" s="100"/>
      <c r="C570" s="100"/>
      <c r="D570" s="101"/>
      <c r="E570" s="101"/>
      <c r="F570" s="101"/>
      <c r="G570" s="102"/>
      <c r="H570" s="101"/>
      <c r="I570" s="101"/>
      <c r="J570" s="101"/>
      <c r="K570" s="101"/>
      <c r="L570" s="101"/>
      <c r="M570" s="101"/>
      <c r="N570" s="100"/>
      <c r="O570" s="100"/>
      <c r="P570" s="101"/>
      <c r="Q570" s="101"/>
      <c r="R570" s="106" t="str">
        <f>IF(Table2[[#This Row],[Defect Classification]]="","",IF(Table2[[#This Row],[Defect Classification]]="Internal",1,0))</f>
        <v/>
      </c>
      <c r="S570" s="106" t="str">
        <f>IF(Table2[[#This Row],[Defect Classification]]="","",IF(Table2[[#This Row],[Defect Classification]]="External",1,0))</f>
        <v/>
      </c>
      <c r="T570" s="100"/>
      <c r="U570" s="101"/>
      <c r="V570" s="100"/>
      <c r="W570" s="101"/>
      <c r="X570" s="101"/>
      <c r="Y570" s="101"/>
      <c r="Z570" s="101"/>
      <c r="AA570" s="112" t="str">
        <f>IF(ISNA(VLOOKUP(Table2[[#This Row],[Task ID]],Table1[],17,FALSE)),"",VLOOKUP(Table2[[#This Row],[Task ID]],Table1[],17,FALSE))</f>
        <v/>
      </c>
      <c r="AB570" s="115" t="str">
        <f>IF(Table2[[#This Row],[Defect Detected On Date ]]="","",TEXT(Table2[[#This Row],[Defect Detected On Date ]],"mmm"))</f>
        <v/>
      </c>
      <c r="AE570" s="63"/>
    </row>
    <row r="571" spans="2:31">
      <c r="B571" s="100"/>
      <c r="C571" s="100"/>
      <c r="D571" s="101"/>
      <c r="E571" s="101"/>
      <c r="F571" s="101"/>
      <c r="G571" s="102"/>
      <c r="H571" s="101"/>
      <c r="I571" s="101"/>
      <c r="J571" s="101"/>
      <c r="K571" s="101"/>
      <c r="L571" s="101"/>
      <c r="M571" s="101"/>
      <c r="N571" s="100"/>
      <c r="O571" s="100"/>
      <c r="P571" s="101"/>
      <c r="Q571" s="101"/>
      <c r="R571" s="106" t="str">
        <f>IF(Table2[[#This Row],[Defect Classification]]="","",IF(Table2[[#This Row],[Defect Classification]]="Internal",1,0))</f>
        <v/>
      </c>
      <c r="S571" s="106" t="str">
        <f>IF(Table2[[#This Row],[Defect Classification]]="","",IF(Table2[[#This Row],[Defect Classification]]="External",1,0))</f>
        <v/>
      </c>
      <c r="T571" s="100"/>
      <c r="U571" s="101"/>
      <c r="V571" s="100"/>
      <c r="W571" s="101"/>
      <c r="X571" s="101"/>
      <c r="Y571" s="101"/>
      <c r="Z571" s="101"/>
      <c r="AA571" s="112" t="str">
        <f>IF(ISNA(VLOOKUP(Table2[[#This Row],[Task ID]],Table1[],17,FALSE)),"",VLOOKUP(Table2[[#This Row],[Task ID]],Table1[],17,FALSE))</f>
        <v/>
      </c>
      <c r="AB571" s="115" t="str">
        <f>IF(Table2[[#This Row],[Defect Detected On Date ]]="","",TEXT(Table2[[#This Row],[Defect Detected On Date ]],"mmm"))</f>
        <v/>
      </c>
      <c r="AE571" s="63"/>
    </row>
    <row r="572" spans="2:31">
      <c r="B572" s="100"/>
      <c r="C572" s="100"/>
      <c r="D572" s="101"/>
      <c r="E572" s="101"/>
      <c r="F572" s="101"/>
      <c r="G572" s="102"/>
      <c r="H572" s="101"/>
      <c r="I572" s="101"/>
      <c r="J572" s="101"/>
      <c r="K572" s="101"/>
      <c r="L572" s="101"/>
      <c r="M572" s="101"/>
      <c r="N572" s="100"/>
      <c r="O572" s="100"/>
      <c r="P572" s="101"/>
      <c r="Q572" s="101"/>
      <c r="R572" s="106" t="str">
        <f>IF(Table2[[#This Row],[Defect Classification]]="","",IF(Table2[[#This Row],[Defect Classification]]="Internal",1,0))</f>
        <v/>
      </c>
      <c r="S572" s="106" t="str">
        <f>IF(Table2[[#This Row],[Defect Classification]]="","",IF(Table2[[#This Row],[Defect Classification]]="External",1,0))</f>
        <v/>
      </c>
      <c r="T572" s="100"/>
      <c r="U572" s="101"/>
      <c r="V572" s="100"/>
      <c r="W572" s="101"/>
      <c r="X572" s="101"/>
      <c r="Y572" s="101"/>
      <c r="Z572" s="101"/>
      <c r="AA572" s="112" t="str">
        <f>IF(ISNA(VLOOKUP(Table2[[#This Row],[Task ID]],Table1[],17,FALSE)),"",VLOOKUP(Table2[[#This Row],[Task ID]],Table1[],17,FALSE))</f>
        <v/>
      </c>
      <c r="AB572" s="115" t="str">
        <f>IF(Table2[[#This Row],[Defect Detected On Date ]]="","",TEXT(Table2[[#This Row],[Defect Detected On Date ]],"mmm"))</f>
        <v/>
      </c>
      <c r="AE572" s="63"/>
    </row>
    <row r="573" spans="2:31">
      <c r="B573" s="100"/>
      <c r="C573" s="100"/>
      <c r="D573" s="101"/>
      <c r="E573" s="101"/>
      <c r="F573" s="101"/>
      <c r="G573" s="102"/>
      <c r="H573" s="101"/>
      <c r="I573" s="101"/>
      <c r="J573" s="101"/>
      <c r="K573" s="101"/>
      <c r="L573" s="101"/>
      <c r="M573" s="101"/>
      <c r="N573" s="100"/>
      <c r="O573" s="100"/>
      <c r="P573" s="101"/>
      <c r="Q573" s="101"/>
      <c r="R573" s="106" t="str">
        <f>IF(Table2[[#This Row],[Defect Classification]]="","",IF(Table2[[#This Row],[Defect Classification]]="Internal",1,0))</f>
        <v/>
      </c>
      <c r="S573" s="106" t="str">
        <f>IF(Table2[[#This Row],[Defect Classification]]="","",IF(Table2[[#This Row],[Defect Classification]]="External",1,0))</f>
        <v/>
      </c>
      <c r="T573" s="100"/>
      <c r="U573" s="101"/>
      <c r="V573" s="100"/>
      <c r="W573" s="101"/>
      <c r="X573" s="101"/>
      <c r="Y573" s="101"/>
      <c r="Z573" s="101"/>
      <c r="AA573" s="112" t="str">
        <f>IF(ISNA(VLOOKUP(Table2[[#This Row],[Task ID]],Table1[],17,FALSE)),"",VLOOKUP(Table2[[#This Row],[Task ID]],Table1[],17,FALSE))</f>
        <v/>
      </c>
      <c r="AB573" s="115" t="str">
        <f>IF(Table2[[#This Row],[Defect Detected On Date ]]="","",TEXT(Table2[[#This Row],[Defect Detected On Date ]],"mmm"))</f>
        <v/>
      </c>
      <c r="AE573" s="63"/>
    </row>
    <row r="574" spans="2:31">
      <c r="B574" s="100"/>
      <c r="C574" s="100"/>
      <c r="D574" s="101"/>
      <c r="E574" s="101"/>
      <c r="F574" s="101"/>
      <c r="G574" s="102"/>
      <c r="H574" s="101"/>
      <c r="I574" s="101"/>
      <c r="J574" s="101"/>
      <c r="K574" s="101"/>
      <c r="L574" s="101"/>
      <c r="M574" s="101"/>
      <c r="N574" s="100"/>
      <c r="O574" s="100"/>
      <c r="P574" s="101"/>
      <c r="Q574" s="101"/>
      <c r="R574" s="106" t="str">
        <f>IF(Table2[[#This Row],[Defect Classification]]="","",IF(Table2[[#This Row],[Defect Classification]]="Internal",1,0))</f>
        <v/>
      </c>
      <c r="S574" s="106" t="str">
        <f>IF(Table2[[#This Row],[Defect Classification]]="","",IF(Table2[[#This Row],[Defect Classification]]="External",1,0))</f>
        <v/>
      </c>
      <c r="T574" s="100"/>
      <c r="U574" s="101"/>
      <c r="V574" s="100"/>
      <c r="W574" s="101"/>
      <c r="X574" s="101"/>
      <c r="Y574" s="101"/>
      <c r="Z574" s="101"/>
      <c r="AA574" s="112" t="str">
        <f>IF(ISNA(VLOOKUP(Table2[[#This Row],[Task ID]],Table1[],17,FALSE)),"",VLOOKUP(Table2[[#This Row],[Task ID]],Table1[],17,FALSE))</f>
        <v/>
      </c>
      <c r="AB574" s="115" t="str">
        <f>IF(Table2[[#This Row],[Defect Detected On Date ]]="","",TEXT(Table2[[#This Row],[Defect Detected On Date ]],"mmm"))</f>
        <v/>
      </c>
      <c r="AE574" s="63"/>
    </row>
    <row r="575" spans="2:31">
      <c r="B575" s="100"/>
      <c r="C575" s="100"/>
      <c r="D575" s="101"/>
      <c r="E575" s="101"/>
      <c r="F575" s="101"/>
      <c r="G575" s="102"/>
      <c r="H575" s="101"/>
      <c r="I575" s="101"/>
      <c r="J575" s="101"/>
      <c r="K575" s="101"/>
      <c r="L575" s="101"/>
      <c r="M575" s="101"/>
      <c r="N575" s="100"/>
      <c r="O575" s="100"/>
      <c r="P575" s="101"/>
      <c r="Q575" s="101"/>
      <c r="R575" s="106" t="str">
        <f>IF(Table2[[#This Row],[Defect Classification]]="","",IF(Table2[[#This Row],[Defect Classification]]="Internal",1,0))</f>
        <v/>
      </c>
      <c r="S575" s="106" t="str">
        <f>IF(Table2[[#This Row],[Defect Classification]]="","",IF(Table2[[#This Row],[Defect Classification]]="External",1,0))</f>
        <v/>
      </c>
      <c r="T575" s="100"/>
      <c r="U575" s="101"/>
      <c r="V575" s="100"/>
      <c r="W575" s="101"/>
      <c r="X575" s="101"/>
      <c r="Y575" s="101"/>
      <c r="Z575" s="101"/>
      <c r="AA575" s="112" t="str">
        <f>IF(ISNA(VLOOKUP(Table2[[#This Row],[Task ID]],Table1[],17,FALSE)),"",VLOOKUP(Table2[[#This Row],[Task ID]],Table1[],17,FALSE))</f>
        <v/>
      </c>
      <c r="AB575" s="115" t="str">
        <f>IF(Table2[[#This Row],[Defect Detected On Date ]]="","",TEXT(Table2[[#This Row],[Defect Detected On Date ]],"mmm"))</f>
        <v/>
      </c>
      <c r="AE575" s="63"/>
    </row>
    <row r="576" spans="2:31">
      <c r="B576" s="100"/>
      <c r="C576" s="100"/>
      <c r="D576" s="101"/>
      <c r="E576" s="101"/>
      <c r="F576" s="101"/>
      <c r="G576" s="102"/>
      <c r="H576" s="101"/>
      <c r="I576" s="101"/>
      <c r="J576" s="101"/>
      <c r="K576" s="101"/>
      <c r="L576" s="101"/>
      <c r="M576" s="101"/>
      <c r="N576" s="100"/>
      <c r="O576" s="100"/>
      <c r="P576" s="101"/>
      <c r="Q576" s="101"/>
      <c r="R576" s="106" t="str">
        <f>IF(Table2[[#This Row],[Defect Classification]]="","",IF(Table2[[#This Row],[Defect Classification]]="Internal",1,0))</f>
        <v/>
      </c>
      <c r="S576" s="106" t="str">
        <f>IF(Table2[[#This Row],[Defect Classification]]="","",IF(Table2[[#This Row],[Defect Classification]]="External",1,0))</f>
        <v/>
      </c>
      <c r="T576" s="100"/>
      <c r="U576" s="101"/>
      <c r="V576" s="100"/>
      <c r="W576" s="101"/>
      <c r="X576" s="101"/>
      <c r="Y576" s="101"/>
      <c r="Z576" s="101"/>
      <c r="AA576" s="112" t="str">
        <f>IF(ISNA(VLOOKUP(Table2[[#This Row],[Task ID]],Table1[],17,FALSE)),"",VLOOKUP(Table2[[#This Row],[Task ID]],Table1[],17,FALSE))</f>
        <v/>
      </c>
      <c r="AB576" s="115" t="str">
        <f>IF(Table2[[#This Row],[Defect Detected On Date ]]="","",TEXT(Table2[[#This Row],[Defect Detected On Date ]],"mmm"))</f>
        <v/>
      </c>
      <c r="AE576" s="63"/>
    </row>
    <row r="577" spans="2:31">
      <c r="B577" s="100"/>
      <c r="C577" s="100"/>
      <c r="D577" s="101"/>
      <c r="E577" s="101"/>
      <c r="F577" s="101"/>
      <c r="G577" s="102"/>
      <c r="H577" s="101"/>
      <c r="I577" s="101"/>
      <c r="J577" s="101"/>
      <c r="K577" s="101"/>
      <c r="L577" s="101"/>
      <c r="M577" s="101"/>
      <c r="N577" s="100"/>
      <c r="O577" s="100"/>
      <c r="P577" s="101"/>
      <c r="Q577" s="101"/>
      <c r="R577" s="106" t="str">
        <f>IF(Table2[[#This Row],[Defect Classification]]="","",IF(Table2[[#This Row],[Defect Classification]]="Internal",1,0))</f>
        <v/>
      </c>
      <c r="S577" s="106" t="str">
        <f>IF(Table2[[#This Row],[Defect Classification]]="","",IF(Table2[[#This Row],[Defect Classification]]="External",1,0))</f>
        <v/>
      </c>
      <c r="T577" s="100"/>
      <c r="U577" s="101"/>
      <c r="V577" s="100"/>
      <c r="W577" s="101"/>
      <c r="X577" s="101"/>
      <c r="Y577" s="101"/>
      <c r="Z577" s="101"/>
      <c r="AA577" s="112" t="str">
        <f>IF(ISNA(VLOOKUP(Table2[[#This Row],[Task ID]],Table1[],17,FALSE)),"",VLOOKUP(Table2[[#This Row],[Task ID]],Table1[],17,FALSE))</f>
        <v/>
      </c>
      <c r="AB577" s="115" t="str">
        <f>IF(Table2[[#This Row],[Defect Detected On Date ]]="","",TEXT(Table2[[#This Row],[Defect Detected On Date ]],"mmm"))</f>
        <v/>
      </c>
      <c r="AE577" s="63"/>
    </row>
    <row r="578" spans="2:31">
      <c r="B578" s="100"/>
      <c r="C578" s="100"/>
      <c r="D578" s="101"/>
      <c r="E578" s="101"/>
      <c r="F578" s="101"/>
      <c r="G578" s="102"/>
      <c r="H578" s="101"/>
      <c r="I578" s="101"/>
      <c r="J578" s="101"/>
      <c r="K578" s="101"/>
      <c r="L578" s="101"/>
      <c r="M578" s="101"/>
      <c r="N578" s="100"/>
      <c r="O578" s="100"/>
      <c r="P578" s="101"/>
      <c r="Q578" s="101"/>
      <c r="R578" s="106" t="str">
        <f>IF(Table2[[#This Row],[Defect Classification]]="","",IF(Table2[[#This Row],[Defect Classification]]="Internal",1,0))</f>
        <v/>
      </c>
      <c r="S578" s="106" t="str">
        <f>IF(Table2[[#This Row],[Defect Classification]]="","",IF(Table2[[#This Row],[Defect Classification]]="External",1,0))</f>
        <v/>
      </c>
      <c r="T578" s="100"/>
      <c r="U578" s="101"/>
      <c r="V578" s="100"/>
      <c r="W578" s="101"/>
      <c r="X578" s="101"/>
      <c r="Y578" s="101"/>
      <c r="Z578" s="101"/>
      <c r="AA578" s="112" t="str">
        <f>IF(ISNA(VLOOKUP(Table2[[#This Row],[Task ID]],Table1[],17,FALSE)),"",VLOOKUP(Table2[[#This Row],[Task ID]],Table1[],17,FALSE))</f>
        <v/>
      </c>
      <c r="AB578" s="115" t="str">
        <f>IF(Table2[[#This Row],[Defect Detected On Date ]]="","",TEXT(Table2[[#This Row],[Defect Detected On Date ]],"mmm"))</f>
        <v/>
      </c>
      <c r="AE578" s="63"/>
    </row>
    <row r="579" spans="2:31">
      <c r="B579" s="100"/>
      <c r="C579" s="100"/>
      <c r="D579" s="101"/>
      <c r="E579" s="101"/>
      <c r="F579" s="101"/>
      <c r="G579" s="102"/>
      <c r="H579" s="101"/>
      <c r="I579" s="101"/>
      <c r="J579" s="101"/>
      <c r="K579" s="101"/>
      <c r="L579" s="101"/>
      <c r="M579" s="101"/>
      <c r="N579" s="100"/>
      <c r="O579" s="100"/>
      <c r="P579" s="101"/>
      <c r="Q579" s="101"/>
      <c r="R579" s="106" t="str">
        <f>IF(Table2[[#This Row],[Defect Classification]]="","",IF(Table2[[#This Row],[Defect Classification]]="Internal",1,0))</f>
        <v/>
      </c>
      <c r="S579" s="106" t="str">
        <f>IF(Table2[[#This Row],[Defect Classification]]="","",IF(Table2[[#This Row],[Defect Classification]]="External",1,0))</f>
        <v/>
      </c>
      <c r="T579" s="100"/>
      <c r="U579" s="101"/>
      <c r="V579" s="100"/>
      <c r="W579" s="101"/>
      <c r="X579" s="101"/>
      <c r="Y579" s="101"/>
      <c r="Z579" s="101"/>
      <c r="AA579" s="112" t="str">
        <f>IF(ISNA(VLOOKUP(Table2[[#This Row],[Task ID]],Table1[],17,FALSE)),"",VLOOKUP(Table2[[#This Row],[Task ID]],Table1[],17,FALSE))</f>
        <v/>
      </c>
      <c r="AB579" s="115" t="str">
        <f>IF(Table2[[#This Row],[Defect Detected On Date ]]="","",TEXT(Table2[[#This Row],[Defect Detected On Date ]],"mmm"))</f>
        <v/>
      </c>
      <c r="AE579" s="63"/>
    </row>
    <row r="580" spans="2:31">
      <c r="B580" s="100"/>
      <c r="C580" s="100"/>
      <c r="D580" s="101"/>
      <c r="E580" s="101"/>
      <c r="F580" s="101"/>
      <c r="G580" s="102"/>
      <c r="H580" s="101"/>
      <c r="I580" s="101"/>
      <c r="J580" s="101"/>
      <c r="K580" s="101"/>
      <c r="L580" s="101"/>
      <c r="M580" s="101"/>
      <c r="N580" s="100"/>
      <c r="O580" s="100"/>
      <c r="P580" s="101"/>
      <c r="Q580" s="101"/>
      <c r="R580" s="106" t="str">
        <f>IF(Table2[[#This Row],[Defect Classification]]="","",IF(Table2[[#This Row],[Defect Classification]]="Internal",1,0))</f>
        <v/>
      </c>
      <c r="S580" s="106" t="str">
        <f>IF(Table2[[#This Row],[Defect Classification]]="","",IF(Table2[[#This Row],[Defect Classification]]="External",1,0))</f>
        <v/>
      </c>
      <c r="T580" s="100"/>
      <c r="U580" s="101"/>
      <c r="V580" s="100"/>
      <c r="W580" s="101"/>
      <c r="X580" s="101"/>
      <c r="Y580" s="101"/>
      <c r="Z580" s="101"/>
      <c r="AA580" s="112" t="str">
        <f>IF(ISNA(VLOOKUP(Table2[[#This Row],[Task ID]],Table1[],17,FALSE)),"",VLOOKUP(Table2[[#This Row],[Task ID]],Table1[],17,FALSE))</f>
        <v/>
      </c>
      <c r="AB580" s="115" t="str">
        <f>IF(Table2[[#This Row],[Defect Detected On Date ]]="","",TEXT(Table2[[#This Row],[Defect Detected On Date ]],"mmm"))</f>
        <v/>
      </c>
      <c r="AE580" s="63"/>
    </row>
    <row r="581" spans="2:31">
      <c r="B581" s="100"/>
      <c r="C581" s="100"/>
      <c r="D581" s="101"/>
      <c r="E581" s="101"/>
      <c r="F581" s="101"/>
      <c r="G581" s="102"/>
      <c r="H581" s="101"/>
      <c r="I581" s="101"/>
      <c r="J581" s="101"/>
      <c r="K581" s="101"/>
      <c r="L581" s="101"/>
      <c r="M581" s="101"/>
      <c r="N581" s="100"/>
      <c r="O581" s="100"/>
      <c r="P581" s="101"/>
      <c r="Q581" s="101"/>
      <c r="R581" s="106" t="str">
        <f>IF(Table2[[#This Row],[Defect Classification]]="","",IF(Table2[[#This Row],[Defect Classification]]="Internal",1,0))</f>
        <v/>
      </c>
      <c r="S581" s="106" t="str">
        <f>IF(Table2[[#This Row],[Defect Classification]]="","",IF(Table2[[#This Row],[Defect Classification]]="External",1,0))</f>
        <v/>
      </c>
      <c r="T581" s="100"/>
      <c r="U581" s="101"/>
      <c r="V581" s="100"/>
      <c r="W581" s="101"/>
      <c r="X581" s="101"/>
      <c r="Y581" s="101"/>
      <c r="Z581" s="101"/>
      <c r="AA581" s="112" t="str">
        <f>IF(ISNA(VLOOKUP(Table2[[#This Row],[Task ID]],Table1[],17,FALSE)),"",VLOOKUP(Table2[[#This Row],[Task ID]],Table1[],17,FALSE))</f>
        <v/>
      </c>
      <c r="AB581" s="115" t="str">
        <f>IF(Table2[[#This Row],[Defect Detected On Date ]]="","",TEXT(Table2[[#This Row],[Defect Detected On Date ]],"mmm"))</f>
        <v/>
      </c>
      <c r="AE581" s="63"/>
    </row>
    <row r="582" spans="2:31">
      <c r="B582" s="100"/>
      <c r="C582" s="100"/>
      <c r="D582" s="101"/>
      <c r="E582" s="101"/>
      <c r="F582" s="101"/>
      <c r="G582" s="102"/>
      <c r="H582" s="101"/>
      <c r="I582" s="101"/>
      <c r="J582" s="101"/>
      <c r="K582" s="101"/>
      <c r="L582" s="101"/>
      <c r="M582" s="101"/>
      <c r="N582" s="100"/>
      <c r="O582" s="100"/>
      <c r="P582" s="101"/>
      <c r="Q582" s="101"/>
      <c r="R582" s="106" t="str">
        <f>IF(Table2[[#This Row],[Defect Classification]]="","",IF(Table2[[#This Row],[Defect Classification]]="Internal",1,0))</f>
        <v/>
      </c>
      <c r="S582" s="106" t="str">
        <f>IF(Table2[[#This Row],[Defect Classification]]="","",IF(Table2[[#This Row],[Defect Classification]]="External",1,0))</f>
        <v/>
      </c>
      <c r="T582" s="100"/>
      <c r="U582" s="101"/>
      <c r="V582" s="100"/>
      <c r="W582" s="101"/>
      <c r="X582" s="101"/>
      <c r="Y582" s="101"/>
      <c r="Z582" s="101"/>
      <c r="AA582" s="112" t="str">
        <f>IF(ISNA(VLOOKUP(Table2[[#This Row],[Task ID]],Table1[],17,FALSE)),"",VLOOKUP(Table2[[#This Row],[Task ID]],Table1[],17,FALSE))</f>
        <v/>
      </c>
      <c r="AB582" s="115" t="str">
        <f>IF(Table2[[#This Row],[Defect Detected On Date ]]="","",TEXT(Table2[[#This Row],[Defect Detected On Date ]],"mmm"))</f>
        <v/>
      </c>
      <c r="AE582" s="63"/>
    </row>
    <row r="583" spans="2:31">
      <c r="B583" s="100"/>
      <c r="C583" s="100"/>
      <c r="D583" s="101"/>
      <c r="E583" s="101"/>
      <c r="F583" s="101"/>
      <c r="G583" s="102"/>
      <c r="H583" s="101"/>
      <c r="I583" s="101"/>
      <c r="J583" s="101"/>
      <c r="K583" s="101"/>
      <c r="L583" s="101"/>
      <c r="M583" s="101"/>
      <c r="N583" s="100"/>
      <c r="O583" s="100"/>
      <c r="P583" s="101"/>
      <c r="Q583" s="101"/>
      <c r="R583" s="106" t="str">
        <f>IF(Table2[[#This Row],[Defect Classification]]="","",IF(Table2[[#This Row],[Defect Classification]]="Internal",1,0))</f>
        <v/>
      </c>
      <c r="S583" s="106" t="str">
        <f>IF(Table2[[#This Row],[Defect Classification]]="","",IF(Table2[[#This Row],[Defect Classification]]="External",1,0))</f>
        <v/>
      </c>
      <c r="T583" s="100"/>
      <c r="U583" s="101"/>
      <c r="V583" s="100"/>
      <c r="W583" s="101"/>
      <c r="X583" s="101"/>
      <c r="Y583" s="101"/>
      <c r="Z583" s="101"/>
      <c r="AA583" s="112" t="str">
        <f>IF(ISNA(VLOOKUP(Table2[[#This Row],[Task ID]],Table1[],17,FALSE)),"",VLOOKUP(Table2[[#This Row],[Task ID]],Table1[],17,FALSE))</f>
        <v/>
      </c>
      <c r="AB583" s="115" t="str">
        <f>IF(Table2[[#This Row],[Defect Detected On Date ]]="","",TEXT(Table2[[#This Row],[Defect Detected On Date ]],"mmm"))</f>
        <v/>
      </c>
      <c r="AE583" s="63"/>
    </row>
    <row r="584" spans="2:31">
      <c r="B584" s="100"/>
      <c r="C584" s="100"/>
      <c r="D584" s="101"/>
      <c r="E584" s="101"/>
      <c r="F584" s="101"/>
      <c r="G584" s="102"/>
      <c r="H584" s="101"/>
      <c r="I584" s="101"/>
      <c r="J584" s="101"/>
      <c r="K584" s="101"/>
      <c r="L584" s="101"/>
      <c r="M584" s="101"/>
      <c r="N584" s="100"/>
      <c r="O584" s="100"/>
      <c r="P584" s="101"/>
      <c r="Q584" s="101"/>
      <c r="R584" s="106" t="str">
        <f>IF(Table2[[#This Row],[Defect Classification]]="","",IF(Table2[[#This Row],[Defect Classification]]="Internal",1,0))</f>
        <v/>
      </c>
      <c r="S584" s="106" t="str">
        <f>IF(Table2[[#This Row],[Defect Classification]]="","",IF(Table2[[#This Row],[Defect Classification]]="External",1,0))</f>
        <v/>
      </c>
      <c r="T584" s="100"/>
      <c r="U584" s="101"/>
      <c r="V584" s="100"/>
      <c r="W584" s="101"/>
      <c r="X584" s="101"/>
      <c r="Y584" s="101"/>
      <c r="Z584" s="101"/>
      <c r="AA584" s="112" t="str">
        <f>IF(ISNA(VLOOKUP(Table2[[#This Row],[Task ID]],Table1[],17,FALSE)),"",VLOOKUP(Table2[[#This Row],[Task ID]],Table1[],17,FALSE))</f>
        <v/>
      </c>
      <c r="AB584" s="115" t="str">
        <f>IF(Table2[[#This Row],[Defect Detected On Date ]]="","",TEXT(Table2[[#This Row],[Defect Detected On Date ]],"mmm"))</f>
        <v/>
      </c>
      <c r="AE584" s="63"/>
    </row>
    <row r="585" spans="2:31">
      <c r="B585" s="100"/>
      <c r="C585" s="100"/>
      <c r="D585" s="101"/>
      <c r="E585" s="101"/>
      <c r="F585" s="101"/>
      <c r="G585" s="102"/>
      <c r="H585" s="101"/>
      <c r="I585" s="101"/>
      <c r="J585" s="101"/>
      <c r="K585" s="101"/>
      <c r="L585" s="101"/>
      <c r="M585" s="101"/>
      <c r="N585" s="100"/>
      <c r="O585" s="100"/>
      <c r="P585" s="101"/>
      <c r="Q585" s="101"/>
      <c r="R585" s="106" t="str">
        <f>IF(Table2[[#This Row],[Defect Classification]]="","",IF(Table2[[#This Row],[Defect Classification]]="Internal",1,0))</f>
        <v/>
      </c>
      <c r="S585" s="106" t="str">
        <f>IF(Table2[[#This Row],[Defect Classification]]="","",IF(Table2[[#This Row],[Defect Classification]]="External",1,0))</f>
        <v/>
      </c>
      <c r="T585" s="100"/>
      <c r="U585" s="101"/>
      <c r="V585" s="100"/>
      <c r="W585" s="101"/>
      <c r="X585" s="101"/>
      <c r="Y585" s="101"/>
      <c r="Z585" s="101"/>
      <c r="AA585" s="112" t="str">
        <f>IF(ISNA(VLOOKUP(Table2[[#This Row],[Task ID]],Table1[],17,FALSE)),"",VLOOKUP(Table2[[#This Row],[Task ID]],Table1[],17,FALSE))</f>
        <v/>
      </c>
      <c r="AB585" s="115" t="str">
        <f>IF(Table2[[#This Row],[Defect Detected On Date ]]="","",TEXT(Table2[[#This Row],[Defect Detected On Date ]],"mmm"))</f>
        <v/>
      </c>
      <c r="AE585" s="63"/>
    </row>
    <row r="586" spans="2:31">
      <c r="B586" s="100"/>
      <c r="C586" s="100"/>
      <c r="D586" s="101"/>
      <c r="E586" s="101"/>
      <c r="F586" s="101"/>
      <c r="G586" s="102"/>
      <c r="H586" s="101"/>
      <c r="I586" s="101"/>
      <c r="J586" s="101"/>
      <c r="K586" s="101"/>
      <c r="L586" s="101"/>
      <c r="M586" s="101"/>
      <c r="N586" s="100"/>
      <c r="O586" s="100"/>
      <c r="P586" s="101"/>
      <c r="Q586" s="101"/>
      <c r="R586" s="106" t="str">
        <f>IF(Table2[[#This Row],[Defect Classification]]="","",IF(Table2[[#This Row],[Defect Classification]]="Internal",1,0))</f>
        <v/>
      </c>
      <c r="S586" s="106" t="str">
        <f>IF(Table2[[#This Row],[Defect Classification]]="","",IF(Table2[[#This Row],[Defect Classification]]="External",1,0))</f>
        <v/>
      </c>
      <c r="T586" s="100"/>
      <c r="U586" s="101"/>
      <c r="V586" s="100"/>
      <c r="W586" s="101"/>
      <c r="X586" s="101"/>
      <c r="Y586" s="101"/>
      <c r="Z586" s="101"/>
      <c r="AA586" s="112" t="str">
        <f>IF(ISNA(VLOOKUP(Table2[[#This Row],[Task ID]],Table1[],17,FALSE)),"",VLOOKUP(Table2[[#This Row],[Task ID]],Table1[],17,FALSE))</f>
        <v/>
      </c>
      <c r="AB586" s="115" t="str">
        <f>IF(Table2[[#This Row],[Defect Detected On Date ]]="","",TEXT(Table2[[#This Row],[Defect Detected On Date ]],"mmm"))</f>
        <v/>
      </c>
      <c r="AE586" s="63"/>
    </row>
    <row r="587" spans="2:31">
      <c r="B587" s="100"/>
      <c r="C587" s="100"/>
      <c r="D587" s="101"/>
      <c r="E587" s="101"/>
      <c r="F587" s="101"/>
      <c r="G587" s="102"/>
      <c r="H587" s="101"/>
      <c r="I587" s="101"/>
      <c r="J587" s="101"/>
      <c r="K587" s="101"/>
      <c r="L587" s="101"/>
      <c r="M587" s="101"/>
      <c r="N587" s="100"/>
      <c r="O587" s="100"/>
      <c r="P587" s="101"/>
      <c r="Q587" s="101"/>
      <c r="R587" s="106" t="str">
        <f>IF(Table2[[#This Row],[Defect Classification]]="","",IF(Table2[[#This Row],[Defect Classification]]="Internal",1,0))</f>
        <v/>
      </c>
      <c r="S587" s="106" t="str">
        <f>IF(Table2[[#This Row],[Defect Classification]]="","",IF(Table2[[#This Row],[Defect Classification]]="External",1,0))</f>
        <v/>
      </c>
      <c r="T587" s="100"/>
      <c r="U587" s="101"/>
      <c r="V587" s="100"/>
      <c r="W587" s="101"/>
      <c r="X587" s="101"/>
      <c r="Y587" s="101"/>
      <c r="Z587" s="101"/>
      <c r="AA587" s="112" t="str">
        <f>IF(ISNA(VLOOKUP(Table2[[#This Row],[Task ID]],Table1[],17,FALSE)),"",VLOOKUP(Table2[[#This Row],[Task ID]],Table1[],17,FALSE))</f>
        <v/>
      </c>
      <c r="AB587" s="115" t="str">
        <f>IF(Table2[[#This Row],[Defect Detected On Date ]]="","",TEXT(Table2[[#This Row],[Defect Detected On Date ]],"mmm"))</f>
        <v/>
      </c>
      <c r="AE587" s="63"/>
    </row>
    <row r="588" spans="2:31">
      <c r="B588" s="100"/>
      <c r="C588" s="100"/>
      <c r="D588" s="101"/>
      <c r="E588" s="101"/>
      <c r="F588" s="101"/>
      <c r="G588" s="102"/>
      <c r="H588" s="101"/>
      <c r="I588" s="101"/>
      <c r="J588" s="101"/>
      <c r="K588" s="101"/>
      <c r="L588" s="101"/>
      <c r="M588" s="101"/>
      <c r="N588" s="100"/>
      <c r="O588" s="100"/>
      <c r="P588" s="101"/>
      <c r="Q588" s="101"/>
      <c r="R588" s="106" t="str">
        <f>IF(Table2[[#This Row],[Defect Classification]]="","",IF(Table2[[#This Row],[Defect Classification]]="Internal",1,0))</f>
        <v/>
      </c>
      <c r="S588" s="106" t="str">
        <f>IF(Table2[[#This Row],[Defect Classification]]="","",IF(Table2[[#This Row],[Defect Classification]]="External",1,0))</f>
        <v/>
      </c>
      <c r="T588" s="100"/>
      <c r="U588" s="101"/>
      <c r="V588" s="100"/>
      <c r="W588" s="101"/>
      <c r="X588" s="101"/>
      <c r="Y588" s="101"/>
      <c r="Z588" s="101"/>
      <c r="AA588" s="112" t="str">
        <f>IF(ISNA(VLOOKUP(Table2[[#This Row],[Task ID]],Table1[],17,FALSE)),"",VLOOKUP(Table2[[#This Row],[Task ID]],Table1[],17,FALSE))</f>
        <v/>
      </c>
      <c r="AB588" s="115" t="str">
        <f>IF(Table2[[#This Row],[Defect Detected On Date ]]="","",TEXT(Table2[[#This Row],[Defect Detected On Date ]],"mmm"))</f>
        <v/>
      </c>
      <c r="AE588" s="63"/>
    </row>
    <row r="589" spans="2:31">
      <c r="B589" s="100"/>
      <c r="C589" s="100"/>
      <c r="D589" s="101"/>
      <c r="E589" s="101"/>
      <c r="F589" s="101"/>
      <c r="G589" s="102"/>
      <c r="H589" s="101"/>
      <c r="I589" s="101"/>
      <c r="J589" s="101"/>
      <c r="K589" s="101"/>
      <c r="L589" s="101"/>
      <c r="M589" s="101"/>
      <c r="N589" s="100"/>
      <c r="O589" s="100"/>
      <c r="P589" s="101"/>
      <c r="Q589" s="101"/>
      <c r="R589" s="106" t="str">
        <f>IF(Table2[[#This Row],[Defect Classification]]="","",IF(Table2[[#This Row],[Defect Classification]]="Internal",1,0))</f>
        <v/>
      </c>
      <c r="S589" s="106" t="str">
        <f>IF(Table2[[#This Row],[Defect Classification]]="","",IF(Table2[[#This Row],[Defect Classification]]="External",1,0))</f>
        <v/>
      </c>
      <c r="T589" s="100"/>
      <c r="U589" s="101"/>
      <c r="V589" s="100"/>
      <c r="W589" s="101"/>
      <c r="X589" s="101"/>
      <c r="Y589" s="101"/>
      <c r="Z589" s="101"/>
      <c r="AA589" s="112" t="str">
        <f>IF(ISNA(VLOOKUP(Table2[[#This Row],[Task ID]],Table1[],17,FALSE)),"",VLOOKUP(Table2[[#This Row],[Task ID]],Table1[],17,FALSE))</f>
        <v/>
      </c>
      <c r="AB589" s="115" t="str">
        <f>IF(Table2[[#This Row],[Defect Detected On Date ]]="","",TEXT(Table2[[#This Row],[Defect Detected On Date ]],"mmm"))</f>
        <v/>
      </c>
      <c r="AE589" s="63"/>
    </row>
    <row r="590" spans="2:31">
      <c r="B590" s="100"/>
      <c r="C590" s="100"/>
      <c r="D590" s="101"/>
      <c r="E590" s="101"/>
      <c r="F590" s="101"/>
      <c r="G590" s="102"/>
      <c r="H590" s="101"/>
      <c r="I590" s="101"/>
      <c r="J590" s="101"/>
      <c r="K590" s="101"/>
      <c r="L590" s="101"/>
      <c r="M590" s="101"/>
      <c r="N590" s="100"/>
      <c r="O590" s="100"/>
      <c r="P590" s="101"/>
      <c r="Q590" s="101"/>
      <c r="R590" s="106" t="str">
        <f>IF(Table2[[#This Row],[Defect Classification]]="","",IF(Table2[[#This Row],[Defect Classification]]="Internal",1,0))</f>
        <v/>
      </c>
      <c r="S590" s="106" t="str">
        <f>IF(Table2[[#This Row],[Defect Classification]]="","",IF(Table2[[#This Row],[Defect Classification]]="External",1,0))</f>
        <v/>
      </c>
      <c r="T590" s="100"/>
      <c r="U590" s="101"/>
      <c r="V590" s="100"/>
      <c r="W590" s="101"/>
      <c r="X590" s="101"/>
      <c r="Y590" s="101"/>
      <c r="Z590" s="101"/>
      <c r="AA590" s="112" t="str">
        <f>IF(ISNA(VLOOKUP(Table2[[#This Row],[Task ID]],Table1[],17,FALSE)),"",VLOOKUP(Table2[[#This Row],[Task ID]],Table1[],17,FALSE))</f>
        <v/>
      </c>
      <c r="AB590" s="115" t="str">
        <f>IF(Table2[[#This Row],[Defect Detected On Date ]]="","",TEXT(Table2[[#This Row],[Defect Detected On Date ]],"mmm"))</f>
        <v/>
      </c>
      <c r="AE590" s="63"/>
    </row>
    <row r="591" spans="2:31">
      <c r="B591" s="100"/>
      <c r="C591" s="100"/>
      <c r="D591" s="101"/>
      <c r="E591" s="101"/>
      <c r="F591" s="101"/>
      <c r="G591" s="102"/>
      <c r="H591" s="101"/>
      <c r="I591" s="101"/>
      <c r="J591" s="101"/>
      <c r="K591" s="101"/>
      <c r="L591" s="101"/>
      <c r="M591" s="101"/>
      <c r="N591" s="100"/>
      <c r="O591" s="100"/>
      <c r="P591" s="101"/>
      <c r="Q591" s="101"/>
      <c r="R591" s="106" t="str">
        <f>IF(Table2[[#This Row],[Defect Classification]]="","",IF(Table2[[#This Row],[Defect Classification]]="Internal",1,0))</f>
        <v/>
      </c>
      <c r="S591" s="106" t="str">
        <f>IF(Table2[[#This Row],[Defect Classification]]="","",IF(Table2[[#This Row],[Defect Classification]]="External",1,0))</f>
        <v/>
      </c>
      <c r="T591" s="100"/>
      <c r="U591" s="101"/>
      <c r="V591" s="100"/>
      <c r="W591" s="101"/>
      <c r="X591" s="101"/>
      <c r="Y591" s="101"/>
      <c r="Z591" s="101"/>
      <c r="AA591" s="112" t="str">
        <f>IF(ISNA(VLOOKUP(Table2[[#This Row],[Task ID]],Table1[],17,FALSE)),"",VLOOKUP(Table2[[#This Row],[Task ID]],Table1[],17,FALSE))</f>
        <v/>
      </c>
      <c r="AB591" s="115" t="str">
        <f>IF(Table2[[#This Row],[Defect Detected On Date ]]="","",TEXT(Table2[[#This Row],[Defect Detected On Date ]],"mmm"))</f>
        <v/>
      </c>
      <c r="AE591" s="63"/>
    </row>
    <row r="592" spans="2:31">
      <c r="B592" s="100"/>
      <c r="C592" s="100"/>
      <c r="D592" s="101"/>
      <c r="E592" s="101"/>
      <c r="F592" s="101"/>
      <c r="G592" s="102"/>
      <c r="H592" s="101"/>
      <c r="I592" s="101"/>
      <c r="J592" s="101"/>
      <c r="K592" s="101"/>
      <c r="L592" s="101"/>
      <c r="M592" s="101"/>
      <c r="N592" s="100"/>
      <c r="O592" s="100"/>
      <c r="P592" s="101"/>
      <c r="Q592" s="101"/>
      <c r="R592" s="106" t="str">
        <f>IF(Table2[[#This Row],[Defect Classification]]="","",IF(Table2[[#This Row],[Defect Classification]]="Internal",1,0))</f>
        <v/>
      </c>
      <c r="S592" s="106" t="str">
        <f>IF(Table2[[#This Row],[Defect Classification]]="","",IF(Table2[[#This Row],[Defect Classification]]="External",1,0))</f>
        <v/>
      </c>
      <c r="T592" s="100"/>
      <c r="U592" s="101"/>
      <c r="V592" s="100"/>
      <c r="W592" s="101"/>
      <c r="X592" s="101"/>
      <c r="Y592" s="101"/>
      <c r="Z592" s="101"/>
      <c r="AA592" s="112" t="str">
        <f>IF(ISNA(VLOOKUP(Table2[[#This Row],[Task ID]],Table1[],17,FALSE)),"",VLOOKUP(Table2[[#This Row],[Task ID]],Table1[],17,FALSE))</f>
        <v/>
      </c>
      <c r="AB592" s="115" t="str">
        <f>IF(Table2[[#This Row],[Defect Detected On Date ]]="","",TEXT(Table2[[#This Row],[Defect Detected On Date ]],"mmm"))</f>
        <v/>
      </c>
      <c r="AE592" s="63"/>
    </row>
    <row r="593" spans="2:31">
      <c r="B593" s="100"/>
      <c r="C593" s="100"/>
      <c r="D593" s="101"/>
      <c r="E593" s="101"/>
      <c r="F593" s="101"/>
      <c r="G593" s="102"/>
      <c r="H593" s="101"/>
      <c r="I593" s="101"/>
      <c r="J593" s="101"/>
      <c r="K593" s="101"/>
      <c r="L593" s="101"/>
      <c r="M593" s="101"/>
      <c r="N593" s="100"/>
      <c r="O593" s="100"/>
      <c r="P593" s="101"/>
      <c r="Q593" s="101"/>
      <c r="R593" s="106" t="str">
        <f>IF(Table2[[#This Row],[Defect Classification]]="","",IF(Table2[[#This Row],[Defect Classification]]="Internal",1,0))</f>
        <v/>
      </c>
      <c r="S593" s="106" t="str">
        <f>IF(Table2[[#This Row],[Defect Classification]]="","",IF(Table2[[#This Row],[Defect Classification]]="External",1,0))</f>
        <v/>
      </c>
      <c r="T593" s="100"/>
      <c r="U593" s="101"/>
      <c r="V593" s="100"/>
      <c r="W593" s="101"/>
      <c r="X593" s="101"/>
      <c r="Y593" s="101"/>
      <c r="Z593" s="101"/>
      <c r="AA593" s="112" t="str">
        <f>IF(ISNA(VLOOKUP(Table2[[#This Row],[Task ID]],Table1[],17,FALSE)),"",VLOOKUP(Table2[[#This Row],[Task ID]],Table1[],17,FALSE))</f>
        <v/>
      </c>
      <c r="AB593" s="115" t="str">
        <f>IF(Table2[[#This Row],[Defect Detected On Date ]]="","",TEXT(Table2[[#This Row],[Defect Detected On Date ]],"mmm"))</f>
        <v/>
      </c>
      <c r="AE593" s="63"/>
    </row>
    <row r="594" spans="2:31">
      <c r="B594" s="100"/>
      <c r="C594" s="100"/>
      <c r="D594" s="101"/>
      <c r="E594" s="101"/>
      <c r="F594" s="101"/>
      <c r="G594" s="102"/>
      <c r="H594" s="101"/>
      <c r="I594" s="101"/>
      <c r="J594" s="101"/>
      <c r="K594" s="101"/>
      <c r="L594" s="101"/>
      <c r="M594" s="101"/>
      <c r="N594" s="100"/>
      <c r="O594" s="100"/>
      <c r="P594" s="101"/>
      <c r="Q594" s="101"/>
      <c r="R594" s="106" t="str">
        <f>IF(Table2[[#This Row],[Defect Classification]]="","",IF(Table2[[#This Row],[Defect Classification]]="Internal",1,0))</f>
        <v/>
      </c>
      <c r="S594" s="106" t="str">
        <f>IF(Table2[[#This Row],[Defect Classification]]="","",IF(Table2[[#This Row],[Defect Classification]]="External",1,0))</f>
        <v/>
      </c>
      <c r="T594" s="100"/>
      <c r="U594" s="101"/>
      <c r="V594" s="100"/>
      <c r="W594" s="101"/>
      <c r="X594" s="101"/>
      <c r="Y594" s="101"/>
      <c r="Z594" s="101"/>
      <c r="AA594" s="112" t="str">
        <f>IF(ISNA(VLOOKUP(Table2[[#This Row],[Task ID]],Table1[],17,FALSE)),"",VLOOKUP(Table2[[#This Row],[Task ID]],Table1[],17,FALSE))</f>
        <v/>
      </c>
      <c r="AB594" s="115" t="str">
        <f>IF(Table2[[#This Row],[Defect Detected On Date ]]="","",TEXT(Table2[[#This Row],[Defect Detected On Date ]],"mmm"))</f>
        <v/>
      </c>
      <c r="AE594" s="63"/>
    </row>
    <row r="595" spans="2:31">
      <c r="B595" s="100"/>
      <c r="C595" s="100"/>
      <c r="D595" s="101"/>
      <c r="E595" s="101"/>
      <c r="F595" s="101"/>
      <c r="G595" s="102"/>
      <c r="H595" s="101"/>
      <c r="I595" s="101"/>
      <c r="J595" s="101"/>
      <c r="K595" s="101"/>
      <c r="L595" s="101"/>
      <c r="M595" s="101"/>
      <c r="N595" s="100"/>
      <c r="O595" s="100"/>
      <c r="P595" s="101"/>
      <c r="Q595" s="101"/>
      <c r="R595" s="106" t="str">
        <f>IF(Table2[[#This Row],[Defect Classification]]="","",IF(Table2[[#This Row],[Defect Classification]]="Internal",1,0))</f>
        <v/>
      </c>
      <c r="S595" s="106" t="str">
        <f>IF(Table2[[#This Row],[Defect Classification]]="","",IF(Table2[[#This Row],[Defect Classification]]="External",1,0))</f>
        <v/>
      </c>
      <c r="T595" s="100"/>
      <c r="U595" s="101"/>
      <c r="V595" s="100"/>
      <c r="W595" s="101"/>
      <c r="X595" s="101"/>
      <c r="Y595" s="101"/>
      <c r="Z595" s="101"/>
      <c r="AA595" s="112" t="str">
        <f>IF(ISNA(VLOOKUP(Table2[[#This Row],[Task ID]],Table1[],17,FALSE)),"",VLOOKUP(Table2[[#This Row],[Task ID]],Table1[],17,FALSE))</f>
        <v/>
      </c>
      <c r="AB595" s="115" t="str">
        <f>IF(Table2[[#This Row],[Defect Detected On Date ]]="","",TEXT(Table2[[#This Row],[Defect Detected On Date ]],"mmm"))</f>
        <v/>
      </c>
      <c r="AE595" s="63"/>
    </row>
    <row r="596" spans="2:31">
      <c r="B596" s="100"/>
      <c r="C596" s="100"/>
      <c r="D596" s="101"/>
      <c r="E596" s="101"/>
      <c r="F596" s="101"/>
      <c r="G596" s="102"/>
      <c r="H596" s="101"/>
      <c r="I596" s="101"/>
      <c r="J596" s="101"/>
      <c r="K596" s="101"/>
      <c r="L596" s="101"/>
      <c r="M596" s="101"/>
      <c r="N596" s="100"/>
      <c r="O596" s="100"/>
      <c r="P596" s="101"/>
      <c r="Q596" s="101"/>
      <c r="R596" s="106" t="str">
        <f>IF(Table2[[#This Row],[Defect Classification]]="","",IF(Table2[[#This Row],[Defect Classification]]="Internal",1,0))</f>
        <v/>
      </c>
      <c r="S596" s="106" t="str">
        <f>IF(Table2[[#This Row],[Defect Classification]]="","",IF(Table2[[#This Row],[Defect Classification]]="External",1,0))</f>
        <v/>
      </c>
      <c r="T596" s="100"/>
      <c r="U596" s="101"/>
      <c r="V596" s="100"/>
      <c r="W596" s="101"/>
      <c r="X596" s="101"/>
      <c r="Y596" s="101"/>
      <c r="Z596" s="101"/>
      <c r="AA596" s="112" t="str">
        <f>IF(ISNA(VLOOKUP(Table2[[#This Row],[Task ID]],Table1[],17,FALSE)),"",VLOOKUP(Table2[[#This Row],[Task ID]],Table1[],17,FALSE))</f>
        <v/>
      </c>
      <c r="AB596" s="115" t="str">
        <f>IF(Table2[[#This Row],[Defect Detected On Date ]]="","",TEXT(Table2[[#This Row],[Defect Detected On Date ]],"mmm"))</f>
        <v/>
      </c>
      <c r="AE596" s="63"/>
    </row>
    <row r="597" spans="2:31">
      <c r="B597" s="100"/>
      <c r="C597" s="100"/>
      <c r="D597" s="101"/>
      <c r="E597" s="101"/>
      <c r="F597" s="101"/>
      <c r="G597" s="102"/>
      <c r="H597" s="101"/>
      <c r="I597" s="101"/>
      <c r="J597" s="101"/>
      <c r="K597" s="101"/>
      <c r="L597" s="101"/>
      <c r="M597" s="101"/>
      <c r="N597" s="100"/>
      <c r="O597" s="100"/>
      <c r="P597" s="101"/>
      <c r="Q597" s="101"/>
      <c r="R597" s="106" t="str">
        <f>IF(Table2[[#This Row],[Defect Classification]]="","",IF(Table2[[#This Row],[Defect Classification]]="Internal",1,0))</f>
        <v/>
      </c>
      <c r="S597" s="106" t="str">
        <f>IF(Table2[[#This Row],[Defect Classification]]="","",IF(Table2[[#This Row],[Defect Classification]]="External",1,0))</f>
        <v/>
      </c>
      <c r="T597" s="100"/>
      <c r="U597" s="101"/>
      <c r="V597" s="100"/>
      <c r="W597" s="101"/>
      <c r="X597" s="101"/>
      <c r="Y597" s="101"/>
      <c r="Z597" s="101"/>
      <c r="AA597" s="112" t="str">
        <f>IF(ISNA(VLOOKUP(Table2[[#This Row],[Task ID]],Table1[],17,FALSE)),"",VLOOKUP(Table2[[#This Row],[Task ID]],Table1[],17,FALSE))</f>
        <v/>
      </c>
      <c r="AB597" s="115" t="str">
        <f>IF(Table2[[#This Row],[Defect Detected On Date ]]="","",TEXT(Table2[[#This Row],[Defect Detected On Date ]],"mmm"))</f>
        <v/>
      </c>
      <c r="AE597" s="63"/>
    </row>
    <row r="598" spans="2:31">
      <c r="B598" s="100"/>
      <c r="C598" s="100"/>
      <c r="D598" s="101"/>
      <c r="E598" s="101"/>
      <c r="F598" s="101"/>
      <c r="G598" s="102"/>
      <c r="H598" s="101"/>
      <c r="I598" s="101"/>
      <c r="J598" s="101"/>
      <c r="K598" s="101"/>
      <c r="L598" s="101"/>
      <c r="M598" s="101"/>
      <c r="N598" s="100"/>
      <c r="O598" s="100"/>
      <c r="P598" s="101"/>
      <c r="Q598" s="101"/>
      <c r="R598" s="106" t="str">
        <f>IF(Table2[[#This Row],[Defect Classification]]="","",IF(Table2[[#This Row],[Defect Classification]]="Internal",1,0))</f>
        <v/>
      </c>
      <c r="S598" s="106" t="str">
        <f>IF(Table2[[#This Row],[Defect Classification]]="","",IF(Table2[[#This Row],[Defect Classification]]="External",1,0))</f>
        <v/>
      </c>
      <c r="T598" s="100"/>
      <c r="U598" s="101"/>
      <c r="V598" s="100"/>
      <c r="W598" s="101"/>
      <c r="X598" s="101"/>
      <c r="Y598" s="101"/>
      <c r="Z598" s="101"/>
      <c r="AA598" s="112" t="str">
        <f>IF(ISNA(VLOOKUP(Table2[[#This Row],[Task ID]],Table1[],17,FALSE)),"",VLOOKUP(Table2[[#This Row],[Task ID]],Table1[],17,FALSE))</f>
        <v/>
      </c>
      <c r="AB598" s="115" t="str">
        <f>IF(Table2[[#This Row],[Defect Detected On Date ]]="","",TEXT(Table2[[#This Row],[Defect Detected On Date ]],"mmm"))</f>
        <v/>
      </c>
      <c r="AE598" s="63"/>
    </row>
    <row r="599" spans="2:31">
      <c r="B599" s="100"/>
      <c r="C599" s="100"/>
      <c r="D599" s="101"/>
      <c r="E599" s="101"/>
      <c r="F599" s="101"/>
      <c r="G599" s="102"/>
      <c r="H599" s="101"/>
      <c r="I599" s="101"/>
      <c r="J599" s="101"/>
      <c r="K599" s="101"/>
      <c r="L599" s="101"/>
      <c r="M599" s="101"/>
      <c r="N599" s="100"/>
      <c r="O599" s="100"/>
      <c r="P599" s="101"/>
      <c r="Q599" s="101"/>
      <c r="R599" s="106" t="str">
        <f>IF(Table2[[#This Row],[Defect Classification]]="","",IF(Table2[[#This Row],[Defect Classification]]="Internal",1,0))</f>
        <v/>
      </c>
      <c r="S599" s="106" t="str">
        <f>IF(Table2[[#This Row],[Defect Classification]]="","",IF(Table2[[#This Row],[Defect Classification]]="External",1,0))</f>
        <v/>
      </c>
      <c r="T599" s="100"/>
      <c r="U599" s="101"/>
      <c r="V599" s="100"/>
      <c r="W599" s="101"/>
      <c r="X599" s="101"/>
      <c r="Y599" s="101"/>
      <c r="Z599" s="101"/>
      <c r="AA599" s="112" t="str">
        <f>IF(ISNA(VLOOKUP(Table2[[#This Row],[Task ID]],Table1[],17,FALSE)),"",VLOOKUP(Table2[[#This Row],[Task ID]],Table1[],17,FALSE))</f>
        <v/>
      </c>
      <c r="AB599" s="115" t="str">
        <f>IF(Table2[[#This Row],[Defect Detected On Date ]]="","",TEXT(Table2[[#This Row],[Defect Detected On Date ]],"mmm"))</f>
        <v/>
      </c>
      <c r="AE599" s="63"/>
    </row>
    <row r="600" spans="2:31">
      <c r="B600" s="100"/>
      <c r="C600" s="100"/>
      <c r="D600" s="101"/>
      <c r="E600" s="101"/>
      <c r="F600" s="101"/>
      <c r="G600" s="102"/>
      <c r="H600" s="101"/>
      <c r="I600" s="101"/>
      <c r="J600" s="101"/>
      <c r="K600" s="101"/>
      <c r="L600" s="101"/>
      <c r="M600" s="101"/>
      <c r="N600" s="100"/>
      <c r="O600" s="100"/>
      <c r="P600" s="101"/>
      <c r="Q600" s="101"/>
      <c r="R600" s="106" t="str">
        <f>IF(Table2[[#This Row],[Defect Classification]]="","",IF(Table2[[#This Row],[Defect Classification]]="Internal",1,0))</f>
        <v/>
      </c>
      <c r="S600" s="106" t="str">
        <f>IF(Table2[[#This Row],[Defect Classification]]="","",IF(Table2[[#This Row],[Defect Classification]]="External",1,0))</f>
        <v/>
      </c>
      <c r="T600" s="100"/>
      <c r="U600" s="101"/>
      <c r="V600" s="100"/>
      <c r="W600" s="101"/>
      <c r="X600" s="101"/>
      <c r="Y600" s="101"/>
      <c r="Z600" s="101"/>
      <c r="AA600" s="112" t="str">
        <f>IF(ISNA(VLOOKUP(Table2[[#This Row],[Task ID]],Table1[],17,FALSE)),"",VLOOKUP(Table2[[#This Row],[Task ID]],Table1[],17,FALSE))</f>
        <v/>
      </c>
      <c r="AB600" s="115" t="str">
        <f>IF(Table2[[#This Row],[Defect Detected On Date ]]="","",TEXT(Table2[[#This Row],[Defect Detected On Date ]],"mmm"))</f>
        <v/>
      </c>
      <c r="AE600" s="63"/>
    </row>
    <row r="601" spans="2:31">
      <c r="B601" s="100"/>
      <c r="C601" s="100"/>
      <c r="D601" s="101"/>
      <c r="E601" s="101"/>
      <c r="F601" s="101"/>
      <c r="G601" s="102"/>
      <c r="H601" s="101"/>
      <c r="I601" s="101"/>
      <c r="J601" s="101"/>
      <c r="K601" s="101"/>
      <c r="L601" s="101"/>
      <c r="M601" s="101"/>
      <c r="N601" s="100"/>
      <c r="O601" s="100"/>
      <c r="P601" s="101"/>
      <c r="Q601" s="101"/>
      <c r="R601" s="106" t="str">
        <f>IF(Table2[[#This Row],[Defect Classification]]="","",IF(Table2[[#This Row],[Defect Classification]]="Internal",1,0))</f>
        <v/>
      </c>
      <c r="S601" s="106" t="str">
        <f>IF(Table2[[#This Row],[Defect Classification]]="","",IF(Table2[[#This Row],[Defect Classification]]="External",1,0))</f>
        <v/>
      </c>
      <c r="T601" s="100"/>
      <c r="U601" s="101"/>
      <c r="V601" s="100"/>
      <c r="W601" s="101"/>
      <c r="X601" s="101"/>
      <c r="Y601" s="101"/>
      <c r="Z601" s="101"/>
      <c r="AA601" s="112" t="str">
        <f>IF(ISNA(VLOOKUP(Table2[[#This Row],[Task ID]],Table1[],17,FALSE)),"",VLOOKUP(Table2[[#This Row],[Task ID]],Table1[],17,FALSE))</f>
        <v/>
      </c>
      <c r="AB601" s="115" t="str">
        <f>IF(Table2[[#This Row],[Defect Detected On Date ]]="","",TEXT(Table2[[#This Row],[Defect Detected On Date ]],"mmm"))</f>
        <v/>
      </c>
      <c r="AE601" s="63"/>
    </row>
  </sheetData>
  <sheetProtection sort="0" autoFilter="0"/>
  <mergeCells count="1">
    <mergeCell ref="B2:R2"/>
  </mergeCells>
  <dataValidations count="9">
    <dataValidation type="list" allowBlank="1" showInputMessage="1" showErrorMessage="1" sqref="O57 O58 O14:O56 O59:O601 T21:T22" xr:uid="{00000000-0002-0000-0A00-000000000000}">
      <formula1>InjectedPhase</formula1>
    </dataValidation>
    <dataValidation type="list" allowBlank="1" showInputMessage="1" showErrorMessage="1" sqref="J57 J58 J14:J56 J59:J601" xr:uid="{00000000-0002-0000-0A00-000001000000}">
      <formula1>DefectType</formula1>
    </dataValidation>
    <dataValidation type="list" allowBlank="1" showInputMessage="1" showErrorMessage="1" sqref="K57 K58 K14:K56 K59:K601" xr:uid="{00000000-0002-0000-0A00-000002000000}">
      <formula1>DefectStatus</formula1>
    </dataValidation>
    <dataValidation type="list" allowBlank="1" showInputMessage="1" showErrorMessage="1" sqref="Q57 Q58 Q14:Q56 Q59:Q601" xr:uid="{00000000-0002-0000-0A00-000003000000}">
      <formula1>DefectClassification</formula1>
    </dataValidation>
    <dataValidation type="list" allowBlank="1" showInputMessage="1" showErrorMessage="1" sqref="L57 L58 L14:L56 L59:L601" xr:uid="{00000000-0002-0000-0A00-000004000000}">
      <formula1>Severity</formula1>
    </dataValidation>
    <dataValidation type="list" allowBlank="1" showInputMessage="1" showErrorMessage="1" sqref="M57 M58 M14:M56 M59:M601" xr:uid="{00000000-0002-0000-0A00-000005000000}">
      <formula1>Priority</formula1>
    </dataValidation>
    <dataValidation type="list" allowBlank="1" showInputMessage="1" showErrorMessage="1" sqref="T57 T58 T14:T20 T23:T56 T59:T601" xr:uid="{00000000-0002-0000-0A00-000006000000}">
      <formula1>DetectedPhase</formula1>
    </dataValidation>
    <dataValidation type="list" allowBlank="1" showInputMessage="1" showErrorMessage="1" sqref="G14:G601" xr:uid="{00000000-0002-0000-0A00-000007000000}">
      <formula1>INDIRECT(AA14)</formula1>
    </dataValidation>
    <dataValidation type="list" allowBlank="1" showInputMessage="1" showErrorMessage="1" sqref="X57 X58 X14:X56 X59:X601" xr:uid="{00000000-0002-0000-0A00-000008000000}">
      <formula1>DefectCategory</formula1>
    </dataValidation>
  </dataValidations>
  <pageMargins left="0.7" right="0.7" top="0.75" bottom="0.75" header="0.3" footer="0.3"/>
  <pageSetup orientation="portrait"/>
  <legacy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E2:S50"/>
  <sheetViews>
    <sheetView showGridLines="0" topLeftCell="N2" workbookViewId="0">
      <selection activeCell="W10" sqref="W10"/>
    </sheetView>
  </sheetViews>
  <sheetFormatPr defaultColWidth="9" defaultRowHeight="14.45"/>
  <cols>
    <col min="5" max="5" width="13.125" customWidth="1"/>
    <col min="6" max="6" width="28.625" customWidth="1"/>
    <col min="7" max="8" width="3.625" customWidth="1"/>
    <col min="9" max="9" width="4.25" customWidth="1"/>
    <col min="10" max="11" width="11.25" customWidth="1"/>
    <col min="12" max="12" width="12" customWidth="1"/>
    <col min="13" max="13" width="13.125" customWidth="1"/>
    <col min="14" max="14" width="31.875" customWidth="1"/>
    <col min="15" max="15" width="16.25" customWidth="1"/>
    <col min="16" max="17" width="6.125" customWidth="1"/>
    <col min="18" max="18" width="7.875" customWidth="1"/>
    <col min="19" max="20" width="11.25" customWidth="1"/>
  </cols>
  <sheetData>
    <row r="2" spans="14:14">
      <c r="N2" s="82" t="s">
        <v>390</v>
      </c>
    </row>
    <row r="24" spans="5:19">
      <c r="E24" t="s">
        <v>391</v>
      </c>
      <c r="F24" t="s">
        <v>392</v>
      </c>
    </row>
    <row r="25" spans="5:19">
      <c r="E25" t="s">
        <v>393</v>
      </c>
      <c r="G25" t="s">
        <v>66</v>
      </c>
      <c r="H25" t="s">
        <v>67</v>
      </c>
      <c r="I25" t="s">
        <v>68</v>
      </c>
      <c r="J25" t="s">
        <v>394</v>
      </c>
      <c r="N25" t="s">
        <v>395</v>
      </c>
      <c r="O25" t="s">
        <v>392</v>
      </c>
    </row>
    <row r="26" spans="5:19">
      <c r="E26" s="25" t="s">
        <v>396</v>
      </c>
      <c r="F26" s="81" t="e">
        <v>#DIV/0!</v>
      </c>
      <c r="G26" s="81"/>
      <c r="H26" s="81"/>
      <c r="I26" s="81"/>
      <c r="J26" s="81" t="e">
        <v>#DIV/0!</v>
      </c>
      <c r="N26" t="s">
        <v>393</v>
      </c>
      <c r="P26" t="s">
        <v>66</v>
      </c>
      <c r="Q26" t="s">
        <v>67</v>
      </c>
      <c r="R26" t="s">
        <v>68</v>
      </c>
      <c r="S26" t="s">
        <v>394</v>
      </c>
    </row>
    <row r="27" spans="5:19">
      <c r="E27" s="25" t="s">
        <v>397</v>
      </c>
      <c r="F27" s="81"/>
      <c r="G27" s="81"/>
      <c r="H27" s="81">
        <v>0</v>
      </c>
      <c r="I27" s="81">
        <v>-2.0833333333333301E-2</v>
      </c>
      <c r="J27" s="81">
        <v>-1.5625E-2</v>
      </c>
      <c r="N27" s="25" t="s">
        <v>396</v>
      </c>
      <c r="O27" s="45"/>
      <c r="P27" s="45"/>
      <c r="Q27" s="45"/>
      <c r="R27" s="45"/>
      <c r="S27" s="45"/>
    </row>
    <row r="28" spans="5:19">
      <c r="E28" s="25" t="s">
        <v>398</v>
      </c>
      <c r="F28" s="81"/>
      <c r="G28" s="81">
        <v>0</v>
      </c>
      <c r="H28" s="81"/>
      <c r="I28" s="81">
        <v>5.0285714285714302E-2</v>
      </c>
      <c r="J28" s="81">
        <v>4.1904761904761903E-2</v>
      </c>
      <c r="N28" s="25" t="s">
        <v>397</v>
      </c>
      <c r="O28" s="45"/>
      <c r="P28" s="45"/>
      <c r="Q28" s="45">
        <v>0</v>
      </c>
      <c r="R28" s="45">
        <v>-0.14970760233918101</v>
      </c>
      <c r="S28" s="45">
        <v>-0.11228070175438599</v>
      </c>
    </row>
    <row r="29" spans="5:19">
      <c r="E29" s="25" t="s">
        <v>399</v>
      </c>
      <c r="F29" s="81">
        <v>-1</v>
      </c>
      <c r="G29" s="81"/>
      <c r="H29" s="81"/>
      <c r="I29" s="81"/>
      <c r="J29" s="81">
        <v>-1</v>
      </c>
      <c r="N29" s="25" t="s">
        <v>398</v>
      </c>
      <c r="O29" s="45"/>
      <c r="P29" s="45">
        <v>0</v>
      </c>
      <c r="Q29" s="45"/>
      <c r="R29" s="45">
        <v>0.12727272727272701</v>
      </c>
      <c r="S29" s="45">
        <v>0.10606060606060599</v>
      </c>
    </row>
    <row r="30" spans="5:19">
      <c r="E30" s="1" t="s">
        <v>394</v>
      </c>
      <c r="F30" s="81">
        <v>-1</v>
      </c>
      <c r="G30" s="81">
        <v>0</v>
      </c>
      <c r="H30" s="81">
        <v>0</v>
      </c>
      <c r="I30" s="81">
        <v>2.3616071428571399E-2</v>
      </c>
      <c r="J30" s="81">
        <v>-7.3733766233766193E-2</v>
      </c>
      <c r="N30" s="25" t="s">
        <v>399</v>
      </c>
      <c r="O30" s="45"/>
      <c r="P30" s="45"/>
      <c r="Q30" s="45"/>
      <c r="R30" s="45"/>
      <c r="S30" s="45"/>
    </row>
    <row r="31" spans="5:19">
      <c r="N31" s="25" t="s">
        <v>394</v>
      </c>
      <c r="O31" s="45"/>
      <c r="P31" s="45">
        <v>0</v>
      </c>
      <c r="Q31" s="45">
        <v>0</v>
      </c>
      <c r="R31" s="45">
        <v>2.3405103668261599E-2</v>
      </c>
      <c r="S31" s="45">
        <v>1.8724082934609299E-2</v>
      </c>
    </row>
    <row r="41" spans="5:14">
      <c r="M41" t="s">
        <v>393</v>
      </c>
      <c r="N41" t="s">
        <v>395</v>
      </c>
    </row>
    <row r="42" spans="5:14">
      <c r="M42" s="25"/>
      <c r="N42" t="e">
        <v>#DIV/0!</v>
      </c>
    </row>
    <row r="43" spans="5:14">
      <c r="M43" s="25" t="s">
        <v>400</v>
      </c>
      <c r="N43">
        <v>-0.11228070175438599</v>
      </c>
    </row>
    <row r="44" spans="5:14">
      <c r="M44" s="25" t="s">
        <v>401</v>
      </c>
      <c r="N44">
        <v>0.10606060606060599</v>
      </c>
    </row>
    <row r="45" spans="5:14">
      <c r="M45" s="25" t="s">
        <v>394</v>
      </c>
      <c r="N45">
        <v>1.8724082934609299E-2</v>
      </c>
    </row>
    <row r="46" spans="5:14">
      <c r="E46" t="s">
        <v>393</v>
      </c>
      <c r="F46" t="s">
        <v>391</v>
      </c>
    </row>
    <row r="47" spans="5:14">
      <c r="E47" s="25"/>
      <c r="F47">
        <v>-1</v>
      </c>
    </row>
    <row r="48" spans="5:14">
      <c r="E48" s="25" t="s">
        <v>400</v>
      </c>
      <c r="F48">
        <v>-1.5625E-2</v>
      </c>
    </row>
    <row r="49" spans="5:6">
      <c r="E49" s="25" t="s">
        <v>401</v>
      </c>
      <c r="F49">
        <v>4.1904761904761903E-2</v>
      </c>
    </row>
    <row r="50" spans="5:6">
      <c r="E50" s="25" t="s">
        <v>394</v>
      </c>
      <c r="F50">
        <v>-7.3733766233766193E-2</v>
      </c>
    </row>
  </sheetData>
  <sheetProtection password="E15D" sheet="1" scenarios="1" formatCells="0" pivotTables="0"/>
  <hyperlinks>
    <hyperlink ref="N2" location="'Metric Dashboard'!A1" display="Metric Dashboard" xr:uid="{00000000-0004-0000-0B00-000000000000}"/>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1265" r:id="rId7" name="btnEffortRefresh">
              <controlPr defaultSize="0" print="0">
                <anchor moveWithCells="1" sizeWithCells="1">
                  <from>
                    <xdr:col>4</xdr:col>
                    <xdr:colOff>47625</xdr:colOff>
                    <xdr:row>0</xdr:row>
                    <xdr:rowOff>180975</xdr:rowOff>
                  </from>
                  <to>
                    <xdr:col>5</xdr:col>
                    <xdr:colOff>0</xdr:colOff>
                    <xdr:row>2</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C7:N166"/>
  <sheetViews>
    <sheetView showGridLines="0" topLeftCell="A79" workbookViewId="0">
      <selection activeCell="D80" sqref="D80"/>
    </sheetView>
  </sheetViews>
  <sheetFormatPr defaultColWidth="9.125" defaultRowHeight="14.45"/>
  <cols>
    <col min="1" max="1" width="3.75" style="63" customWidth="1"/>
    <col min="2" max="2" width="2.25" style="63" customWidth="1"/>
    <col min="3" max="3" width="12.625" style="63" customWidth="1"/>
    <col min="4" max="4" width="18.75" style="64" customWidth="1"/>
    <col min="5" max="5" width="16.25" style="63" customWidth="1"/>
    <col min="6" max="6" width="7.25" style="63" customWidth="1"/>
    <col min="7" max="10" width="12" style="63" customWidth="1"/>
    <col min="11" max="11" width="14.375" style="65" customWidth="1"/>
    <col min="12" max="12" width="19.375" style="63" customWidth="1"/>
    <col min="13" max="13" width="13.125" style="63" customWidth="1"/>
    <col min="14" max="14" width="37.125" style="63" customWidth="1"/>
    <col min="15" max="16384" width="9.125" style="63"/>
  </cols>
  <sheetData>
    <row r="7" spans="4:11">
      <c r="D7" s="64" t="s">
        <v>402</v>
      </c>
      <c r="E7" s="63" t="s">
        <v>392</v>
      </c>
      <c r="I7"/>
      <c r="J7"/>
      <c r="K7"/>
    </row>
    <row r="8" spans="4:11">
      <c r="D8" s="64" t="s">
        <v>393</v>
      </c>
      <c r="F8" s="63" t="s">
        <v>396</v>
      </c>
      <c r="G8" s="63" t="s">
        <v>68</v>
      </c>
      <c r="H8" s="63" t="s">
        <v>394</v>
      </c>
      <c r="I8"/>
      <c r="J8"/>
      <c r="K8"/>
    </row>
    <row r="9" spans="4:11">
      <c r="E9" s="63">
        <v>0</v>
      </c>
      <c r="H9" s="63">
        <v>0</v>
      </c>
      <c r="I9"/>
      <c r="J9"/>
      <c r="K9"/>
    </row>
    <row r="10" spans="4:11">
      <c r="D10" s="64" t="s">
        <v>396</v>
      </c>
      <c r="F10" s="63">
        <v>0</v>
      </c>
      <c r="H10" s="63">
        <v>0</v>
      </c>
      <c r="I10"/>
      <c r="J10"/>
      <c r="K10"/>
    </row>
    <row r="11" spans="4:11">
      <c r="D11" s="64" t="s">
        <v>398</v>
      </c>
      <c r="G11" s="63">
        <v>3.9150943396226399E-3</v>
      </c>
      <c r="H11" s="63">
        <v>3.9150943396226399E-3</v>
      </c>
      <c r="I11"/>
      <c r="J11"/>
      <c r="K11"/>
    </row>
    <row r="12" spans="4:11">
      <c r="D12" s="64" t="s">
        <v>394</v>
      </c>
      <c r="E12" s="63">
        <v>0</v>
      </c>
      <c r="F12" s="63">
        <v>0</v>
      </c>
      <c r="G12" s="63">
        <v>3.9150943396226399E-3</v>
      </c>
      <c r="H12" s="63">
        <v>3.9150943396226399E-3</v>
      </c>
      <c r="I12"/>
      <c r="J12"/>
      <c r="K12"/>
    </row>
    <row r="13" spans="4:11">
      <c r="D13"/>
      <c r="E13"/>
      <c r="F13"/>
      <c r="G13"/>
      <c r="H13"/>
      <c r="I13"/>
      <c r="J13"/>
    </row>
    <row r="14" spans="4:11">
      <c r="D14"/>
      <c r="E14"/>
      <c r="F14"/>
      <c r="G14"/>
      <c r="H14"/>
      <c r="I14"/>
      <c r="J14"/>
    </row>
    <row r="15" spans="4:11">
      <c r="D15"/>
      <c r="E15"/>
      <c r="F15"/>
      <c r="G15"/>
      <c r="H15"/>
      <c r="I15"/>
      <c r="J15"/>
    </row>
    <row r="16" spans="4:11">
      <c r="D16"/>
      <c r="E16"/>
      <c r="F16"/>
      <c r="G16"/>
      <c r="H16"/>
      <c r="I16"/>
      <c r="J16"/>
    </row>
    <row r="17" spans="4:11">
      <c r="D17"/>
      <c r="E17"/>
      <c r="F17"/>
      <c r="G17"/>
      <c r="H17"/>
      <c r="I17"/>
      <c r="J17"/>
    </row>
    <row r="18" spans="4:11">
      <c r="D18"/>
      <c r="E18"/>
      <c r="F18"/>
      <c r="G18"/>
      <c r="H18"/>
      <c r="I18"/>
      <c r="J18"/>
    </row>
    <row r="19" spans="4:11">
      <c r="D19"/>
      <c r="E19"/>
      <c r="F19"/>
      <c r="G19"/>
      <c r="H19"/>
      <c r="I19"/>
      <c r="J19"/>
    </row>
    <row r="20" spans="4:11">
      <c r="D20"/>
      <c r="E20"/>
      <c r="F20"/>
      <c r="G20"/>
      <c r="H20"/>
      <c r="I20"/>
      <c r="J20"/>
    </row>
    <row r="21" spans="4:11">
      <c r="D21"/>
      <c r="E21"/>
      <c r="F21"/>
      <c r="G21"/>
      <c r="H21"/>
      <c r="I21"/>
      <c r="J21"/>
    </row>
    <row r="22" spans="4:11">
      <c r="D22"/>
      <c r="E22"/>
      <c r="F22"/>
      <c r="G22"/>
      <c r="H22"/>
      <c r="I22"/>
      <c r="J22"/>
    </row>
    <row r="23" spans="4:11">
      <c r="D23"/>
      <c r="E23"/>
      <c r="F23"/>
      <c r="G23"/>
      <c r="H23"/>
      <c r="I23"/>
      <c r="J23"/>
    </row>
    <row r="24" spans="4:11">
      <c r="D24"/>
      <c r="E24"/>
      <c r="F24"/>
      <c r="G24"/>
      <c r="H24"/>
      <c r="I24"/>
      <c r="J24"/>
    </row>
    <row r="25" spans="4:11">
      <c r="D25"/>
      <c r="E25"/>
      <c r="F25"/>
      <c r="G25"/>
      <c r="H25"/>
      <c r="I25"/>
      <c r="J25"/>
    </row>
    <row r="26" spans="4:11">
      <c r="D26" s="64" t="s">
        <v>403</v>
      </c>
      <c r="E26" s="63" t="s">
        <v>392</v>
      </c>
      <c r="I26"/>
      <c r="J26"/>
      <c r="K26"/>
    </row>
    <row r="27" spans="4:11">
      <c r="D27" s="64" t="s">
        <v>393</v>
      </c>
      <c r="F27" s="63" t="s">
        <v>396</v>
      </c>
      <c r="G27" s="63" t="s">
        <v>68</v>
      </c>
      <c r="H27" s="63" t="s">
        <v>394</v>
      </c>
      <c r="I27"/>
      <c r="J27"/>
      <c r="K27"/>
    </row>
    <row r="28" spans="4:11">
      <c r="E28" s="63">
        <v>0</v>
      </c>
      <c r="H28" s="63">
        <v>0</v>
      </c>
      <c r="I28"/>
      <c r="J28"/>
      <c r="K28"/>
    </row>
    <row r="29" spans="4:11">
      <c r="D29" s="64" t="s">
        <v>396</v>
      </c>
      <c r="F29" s="63">
        <v>0</v>
      </c>
      <c r="H29" s="63">
        <v>0</v>
      </c>
      <c r="I29"/>
      <c r="J29"/>
      <c r="K29"/>
    </row>
    <row r="30" spans="4:11">
      <c r="D30" s="64" t="s">
        <v>398</v>
      </c>
      <c r="G30" s="63">
        <v>4.7169811320754698E-3</v>
      </c>
      <c r="H30" s="63">
        <v>4.7169811320754698E-3</v>
      </c>
      <c r="I30"/>
      <c r="J30"/>
      <c r="K30"/>
    </row>
    <row r="31" spans="4:11">
      <c r="D31" s="64" t="s">
        <v>394</v>
      </c>
      <c r="E31" s="63">
        <v>0</v>
      </c>
      <c r="F31" s="63">
        <v>0</v>
      </c>
      <c r="G31" s="63">
        <v>4.7169811320754698E-3</v>
      </c>
      <c r="H31" s="63">
        <v>4.7169811320754698E-3</v>
      </c>
      <c r="I31"/>
      <c r="J31"/>
      <c r="K31"/>
    </row>
    <row r="32" spans="4:11">
      <c r="D32"/>
      <c r="E32"/>
      <c r="F32"/>
      <c r="G32"/>
      <c r="H32"/>
      <c r="I32"/>
      <c r="J32"/>
    </row>
    <row r="33" spans="4:10">
      <c r="D33"/>
      <c r="E33"/>
      <c r="F33"/>
      <c r="G33"/>
      <c r="H33"/>
      <c r="I33"/>
      <c r="J33"/>
    </row>
    <row r="34" spans="4:10">
      <c r="D34"/>
      <c r="E34"/>
      <c r="F34"/>
      <c r="G34"/>
      <c r="H34"/>
      <c r="I34"/>
      <c r="J34"/>
    </row>
    <row r="35" spans="4:10">
      <c r="D35"/>
      <c r="E35"/>
      <c r="F35"/>
      <c r="G35"/>
      <c r="H35"/>
      <c r="I35"/>
      <c r="J35"/>
    </row>
    <row r="36" spans="4:10">
      <c r="D36"/>
      <c r="E36"/>
      <c r="F36"/>
      <c r="G36"/>
      <c r="H36"/>
      <c r="I36"/>
      <c r="J36"/>
    </row>
    <row r="37" spans="4:10">
      <c r="D37"/>
      <c r="E37"/>
      <c r="F37"/>
      <c r="G37"/>
      <c r="H37"/>
      <c r="I37"/>
      <c r="J37"/>
    </row>
    <row r="38" spans="4:10">
      <c r="D38"/>
      <c r="E38"/>
      <c r="F38"/>
      <c r="G38"/>
      <c r="H38"/>
      <c r="I38"/>
      <c r="J38"/>
    </row>
    <row r="39" spans="4:10">
      <c r="D39"/>
      <c r="E39"/>
      <c r="F39"/>
      <c r="G39"/>
      <c r="H39"/>
      <c r="I39"/>
      <c r="J39"/>
    </row>
    <row r="40" spans="4:10">
      <c r="D40"/>
      <c r="E40"/>
      <c r="F40"/>
      <c r="G40"/>
      <c r="H40"/>
      <c r="I40"/>
      <c r="J40"/>
    </row>
    <row r="41" spans="4:10">
      <c r="D41"/>
      <c r="E41"/>
      <c r="F41"/>
      <c r="G41"/>
      <c r="H41"/>
      <c r="I41"/>
      <c r="J41"/>
    </row>
    <row r="42" spans="4:10">
      <c r="D42"/>
      <c r="E42"/>
      <c r="F42"/>
      <c r="G42"/>
      <c r="H42"/>
      <c r="I42"/>
      <c r="J42"/>
    </row>
    <row r="43" spans="4:10">
      <c r="D43" s="63" t="s">
        <v>393</v>
      </c>
      <c r="E43" s="63" t="s">
        <v>404</v>
      </c>
    </row>
    <row r="44" spans="4:10">
      <c r="D44" s="66" t="s">
        <v>396</v>
      </c>
      <c r="E44" s="63">
        <v>0</v>
      </c>
    </row>
    <row r="45" spans="4:10">
      <c r="D45" s="66" t="s">
        <v>398</v>
      </c>
      <c r="E45" s="63">
        <v>1.6509433962264199E-2</v>
      </c>
    </row>
    <row r="46" spans="4:10">
      <c r="D46" s="66" t="s">
        <v>394</v>
      </c>
      <c r="E46" s="63">
        <v>1.6509433962264199E-2</v>
      </c>
    </row>
    <row r="47" spans="4:10">
      <c r="D47"/>
      <c r="E47"/>
    </row>
    <row r="48" spans="4:10">
      <c r="D48"/>
      <c r="E48"/>
    </row>
    <row r="49" spans="4:5">
      <c r="D49"/>
      <c r="E49"/>
    </row>
    <row r="50" spans="4:5">
      <c r="D50"/>
      <c r="E50"/>
    </row>
    <row r="51" spans="4:5">
      <c r="D51"/>
      <c r="E51"/>
    </row>
    <row r="52" spans="4:5">
      <c r="D52"/>
      <c r="E52"/>
    </row>
    <row r="53" spans="4:5">
      <c r="D53"/>
      <c r="E53"/>
    </row>
    <row r="54" spans="4:5">
      <c r="D54"/>
      <c r="E54"/>
    </row>
    <row r="55" spans="4:5">
      <c r="D55"/>
      <c r="E55"/>
    </row>
    <row r="56" spans="4:5">
      <c r="D56"/>
      <c r="E56"/>
    </row>
    <row r="57" spans="4:5">
      <c r="D57"/>
      <c r="E57"/>
    </row>
    <row r="58" spans="4:5">
      <c r="D58"/>
      <c r="E58"/>
    </row>
    <row r="59" spans="4:5">
      <c r="D59" s="63" t="s">
        <v>393</v>
      </c>
      <c r="E59" s="63" t="s">
        <v>405</v>
      </c>
    </row>
    <row r="60" spans="4:5">
      <c r="D60" s="66" t="s">
        <v>396</v>
      </c>
      <c r="E60" s="63">
        <v>0</v>
      </c>
    </row>
    <row r="61" spans="4:5">
      <c r="D61" s="66" t="s">
        <v>398</v>
      </c>
      <c r="E61" s="63">
        <v>0</v>
      </c>
    </row>
    <row r="62" spans="4:5">
      <c r="D62" s="66" t="s">
        <v>394</v>
      </c>
      <c r="E62" s="63">
        <v>0</v>
      </c>
    </row>
    <row r="63" spans="4:5">
      <c r="D63"/>
      <c r="E63"/>
    </row>
    <row r="64" spans="4:5">
      <c r="D64"/>
      <c r="E64"/>
    </row>
    <row r="65" spans="3:12">
      <c r="D65"/>
      <c r="E65"/>
    </row>
    <row r="66" spans="3:12">
      <c r="D66"/>
      <c r="E66"/>
    </row>
    <row r="67" spans="3:12">
      <c r="D67"/>
      <c r="E67"/>
    </row>
    <row r="68" spans="3:12">
      <c r="D68"/>
      <c r="E68"/>
    </row>
    <row r="69" spans="3:12">
      <c r="D69"/>
      <c r="E69"/>
    </row>
    <row r="70" spans="3:12">
      <c r="D70"/>
      <c r="E70"/>
    </row>
    <row r="71" spans="3:12">
      <c r="D71"/>
      <c r="E71"/>
    </row>
    <row r="72" spans="3:12">
      <c r="D72"/>
      <c r="E72"/>
    </row>
    <row r="73" spans="3:12">
      <c r="D73"/>
      <c r="E73"/>
    </row>
    <row r="74" spans="3:12">
      <c r="D74"/>
      <c r="E74"/>
    </row>
    <row r="75" spans="3:12">
      <c r="D75"/>
      <c r="E75"/>
    </row>
    <row r="76" spans="3:12">
      <c r="D76"/>
      <c r="E76"/>
    </row>
    <row r="77" spans="3:12">
      <c r="D77"/>
      <c r="E77"/>
    </row>
    <row r="78" spans="3:12" s="61" customFormat="1" ht="18.600000000000001">
      <c r="C78" s="61" t="s">
        <v>406</v>
      </c>
      <c r="D78"/>
      <c r="E78"/>
      <c r="J78" s="61" t="s">
        <v>407</v>
      </c>
      <c r="K78" s="72"/>
    </row>
    <row r="79" spans="3:12" s="62" customFormat="1" ht="43.5" customHeight="1">
      <c r="C79" s="67" t="s">
        <v>103</v>
      </c>
      <c r="D79" s="68" t="s">
        <v>324</v>
      </c>
      <c r="E79" s="68" t="s">
        <v>408</v>
      </c>
      <c r="F79" s="68" t="s">
        <v>409</v>
      </c>
      <c r="G79" s="53"/>
      <c r="H79" s="53"/>
      <c r="I79" s="53"/>
      <c r="J79" s="73" t="s">
        <v>103</v>
      </c>
      <c r="K79" s="74" t="s">
        <v>410</v>
      </c>
      <c r="L79" s="75" t="s">
        <v>411</v>
      </c>
    </row>
    <row r="80" spans="3:12">
      <c r="C80" s="69" t="s">
        <v>187</v>
      </c>
      <c r="D80" s="69" t="s">
        <v>68</v>
      </c>
      <c r="E80"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0"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0"/>
      <c r="H80"/>
      <c r="I80"/>
      <c r="J80" s="69" t="s">
        <v>187</v>
      </c>
      <c r="K80" s="70">
        <f>IFERROR(SUMIFS(Table3[Hours Worked],Table3[Release Name],Table11[[#This Row],[Release Name]],Table3[Task Type],"Project Management")/VLOOKUP(Table11[[#This Row],[Release Name]],Table7[],2),"")</f>
        <v>1.2222222222222223</v>
      </c>
      <c r="L80" s="76">
        <f>IFERROR(SUMIFS(Table3[Hours Worked],Table3[Release Name],Table11[[#This Row],[Release Name]],Table3[Task Type],"Configuration Management")/VLOOKUP(Table11[[#This Row],[Release Name]],Table7[],2),"")</f>
        <v>0</v>
      </c>
    </row>
    <row r="81" spans="3:14">
      <c r="C81" s="69" t="s">
        <v>187</v>
      </c>
      <c r="D81" s="69" t="s">
        <v>68</v>
      </c>
      <c r="E81"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1"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1"/>
      <c r="H81"/>
      <c r="I81"/>
      <c r="J81" s="77" t="s">
        <v>187</v>
      </c>
      <c r="K81" s="70">
        <f>IFERROR(SUMIFS(Table3[Hours Worked],Table3[Release Name],Table11[[#This Row],[Release Name]],Table3[Task Type],"Project Management")/VLOOKUP(Table11[[#This Row],[Release Name]],Table7[],2),"")</f>
        <v>1.2222222222222223</v>
      </c>
      <c r="L81" s="76">
        <f>IFERROR(SUMIFS(Table3[Hours Worked],Table3[Release Name],Table11[[#This Row],[Release Name]],Table3[Task Type],"Configuration Management")/VLOOKUP(Table11[[#This Row],[Release Name]],Table7[],2),"")</f>
        <v>0</v>
      </c>
    </row>
    <row r="82" spans="3:14">
      <c r="C82" s="69"/>
      <c r="D82" s="69"/>
      <c r="E82"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2"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2"/>
      <c r="H82"/>
      <c r="I82"/>
      <c r="J82" s="69"/>
      <c r="K82" s="70" t="str">
        <f>IFERROR(SUMIFS(Table3[Hours Worked],Table3[Release Name],Table11[[#This Row],[Release Name]],Table3[Task Type],"Project Management")/VLOOKUP(Table11[[#This Row],[Release Name]],Table7[],2),"")</f>
        <v/>
      </c>
      <c r="L82" s="76" t="str">
        <f>IFERROR(SUMIFS(Table3[Hours Worked],Table3[Release Name],Table11[[#This Row],[Release Name]],Table3[Task Type],"Configuration Management")/VLOOKUP(Table11[[#This Row],[Release Name]],Table7[],2),"")</f>
        <v/>
      </c>
      <c r="N82" s="78"/>
    </row>
    <row r="83" spans="3:14">
      <c r="C83" s="69"/>
      <c r="D83" s="69"/>
      <c r="E83"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3"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3"/>
      <c r="H83"/>
      <c r="I83"/>
      <c r="J83" s="69"/>
      <c r="K83" s="70" t="str">
        <f>IFERROR(SUMIFS(Table3[Hours Worked],Table3[Release Name],Table11[[#This Row],[Release Name]],Table3[Task Type],"Project Management")/VLOOKUP(Table11[[#This Row],[Release Name]],Table7[],2),"")</f>
        <v/>
      </c>
      <c r="L83" s="76" t="str">
        <f>IFERROR(SUMIFS(Table3[Hours Worked],Table3[Release Name],Table11[[#This Row],[Release Name]],Table3[Task Type],"Configuration Management")/VLOOKUP(Table11[[#This Row],[Release Name]],Table7[],2),"")</f>
        <v/>
      </c>
    </row>
    <row r="84" spans="3:14">
      <c r="C84" s="69"/>
      <c r="D84" s="69"/>
      <c r="E84"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4"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4"/>
      <c r="H84"/>
      <c r="I84"/>
      <c r="J84" s="69"/>
      <c r="K84" s="70" t="str">
        <f>IFERROR(SUMIFS(Table3[Hours Worked],Table3[Release Name],Table11[[#This Row],[Release Name]],Table3[Task Type],"Project Management")/VLOOKUP(Table11[[#This Row],[Release Name]],Table7[],2),"")</f>
        <v/>
      </c>
      <c r="L84" s="76" t="str">
        <f>IFERROR(SUMIFS(Table3[Hours Worked],Table3[Release Name],Table11[[#This Row],[Release Name]],Table3[Task Type],"Configuration Management")/VLOOKUP(Table11[[#This Row],[Release Name]],Table7[],2),"")</f>
        <v/>
      </c>
    </row>
    <row r="85" spans="3:14">
      <c r="C85" s="69"/>
      <c r="D85" s="69"/>
      <c r="E85"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5"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5"/>
      <c r="H85"/>
      <c r="I85"/>
      <c r="J85" s="69"/>
      <c r="K85" s="70" t="str">
        <f>IFERROR(SUMIFS(Table3[Hours Worked],Table3[Release Name],Table11[[#This Row],[Release Name]],Table3[Task Type],"Project Management")/VLOOKUP(Table11[[#This Row],[Release Name]],Table7[],2),"")</f>
        <v/>
      </c>
      <c r="L85" s="76" t="str">
        <f>IFERROR(SUMIFS(Table3[Hours Worked],Table3[Release Name],Table11[[#This Row],[Release Name]],Table3[Task Type],"Configuration Management")/VLOOKUP(Table11[[#This Row],[Release Name]],Table7[],2),"")</f>
        <v/>
      </c>
    </row>
    <row r="86" spans="3:14">
      <c r="C86" s="69"/>
      <c r="D86" s="69"/>
      <c r="E86"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6"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6"/>
      <c r="H86"/>
      <c r="I86"/>
      <c r="J86" s="69"/>
      <c r="K86" s="70" t="str">
        <f>IFERROR(SUMIFS(Table3[Hours Worked],Table3[Release Name],Table11[[#This Row],[Release Name]],Table3[Task Type],"Project Management")/VLOOKUP(Table11[[#This Row],[Release Name]],Table7[],2),"")</f>
        <v/>
      </c>
      <c r="L86" s="76" t="str">
        <f>IFERROR(SUMIFS(Table3[Hours Worked],Table3[Release Name],Table11[[#This Row],[Release Name]],Table3[Task Type],"Configuration Management")/VLOOKUP(Table11[[#This Row],[Release Name]],Table7[],2),"")</f>
        <v/>
      </c>
    </row>
    <row r="87" spans="3:14">
      <c r="C87" s="69"/>
      <c r="D87" s="69"/>
      <c r="E87"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7"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7"/>
      <c r="H87"/>
      <c r="I87"/>
      <c r="J87" s="69"/>
      <c r="K87" s="70" t="str">
        <f>IFERROR(SUMIFS(Table3[Hours Worked],Table3[Release Name],Table11[[#This Row],[Release Name]],Table3[Task Type],"Project Management")/VLOOKUP(Table11[[#This Row],[Release Name]],Table7[],2),"")</f>
        <v/>
      </c>
      <c r="L87" s="76" t="str">
        <f>IFERROR(SUMIFS(Table3[Hours Worked],Table3[Release Name],Table11[[#This Row],[Release Name]],Table3[Task Type],"Configuration Management")/VLOOKUP(Table11[[#This Row],[Release Name]],Table7[],2),"")</f>
        <v/>
      </c>
    </row>
    <row r="88" spans="3:14">
      <c r="C88" s="69"/>
      <c r="D88" s="409"/>
      <c r="E88"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8"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8"/>
      <c r="H88"/>
      <c r="I88"/>
      <c r="J88" s="69"/>
      <c r="K88" s="70" t="str">
        <f>IFERROR(SUMIFS(Table3[Hours Worked],Table3[Release Name],Table11[[#This Row],[Release Name]],Table3[Task Type],"Project Management")/VLOOKUP(Table11[[#This Row],[Release Name]],Table7[],2),"")</f>
        <v/>
      </c>
      <c r="L88" s="76" t="str">
        <f>IFERROR(SUMIFS(Table3[Hours Worked],Table3[Release Name],Table11[[#This Row],[Release Name]],Table3[Task Type],"Configuration Management")/VLOOKUP(Table11[[#This Row],[Release Name]],Table7[],2),"")</f>
        <v/>
      </c>
    </row>
    <row r="89" spans="3:14">
      <c r="C89" s="69"/>
      <c r="D89" s="69"/>
      <c r="E89"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89"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89"/>
      <c r="H89"/>
      <c r="I89"/>
      <c r="J89" s="69"/>
      <c r="K89" s="70" t="str">
        <f>IFERROR(SUMIFS(Table3[Hours Worked],Table3[Release Name],Table11[[#This Row],[Release Name]],Table3[Task Type],"Project Management")/VLOOKUP(Table11[[#This Row],[Release Name]],Table7[],2),"")</f>
        <v/>
      </c>
      <c r="L89" s="76" t="str">
        <f>IFERROR(SUMIFS(Table3[Hours Worked],Table3[Release Name],Table11[[#This Row],[Release Name]],Table3[Task Type],"Configuration Management")/VLOOKUP(Table11[[#This Row],[Release Name]],Table7[],2),"")</f>
        <v/>
      </c>
    </row>
    <row r="90" spans="3:14">
      <c r="C90" s="69"/>
      <c r="D90" s="69"/>
      <c r="E90"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0"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0"/>
      <c r="H90"/>
      <c r="I90"/>
      <c r="J90" s="69"/>
      <c r="K90" s="70" t="str">
        <f>IFERROR(SUMIFS(Table3[Hours Worked],Table3[Release Name],Table11[[#This Row],[Release Name]],Table3[Task Type],"Project Management")/VLOOKUP(Table11[[#This Row],[Release Name]],Table7[],2),"")</f>
        <v/>
      </c>
      <c r="L90" s="76" t="str">
        <f>IFERROR(SUMIFS(Table3[Hours Worked],Table3[Release Name],Table11[[#This Row],[Release Name]],Table3[Task Type],"Configuration Management")/VLOOKUP(Table11[[#This Row],[Release Name]],Table7[],2),"")</f>
        <v/>
      </c>
    </row>
    <row r="91" spans="3:14">
      <c r="C91" s="69"/>
      <c r="D91" s="69"/>
      <c r="E91"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1"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1"/>
      <c r="H91"/>
      <c r="I91"/>
      <c r="J91" s="69"/>
      <c r="K91" s="70" t="str">
        <f>IFERROR(SUMIFS(Table3[Hours Worked],Table3[Release Name],Table11[[#This Row],[Release Name]],Table3[Task Type],"Project Management")/VLOOKUP(Table11[[#This Row],[Release Name]],Table7[],2),"")</f>
        <v/>
      </c>
      <c r="L91" s="76" t="str">
        <f>IFERROR(SUMIFS(Table3[Hours Worked],Table3[Release Name],Table11[[#This Row],[Release Name]],Table3[Task Type],"Configuration Management")/VLOOKUP(Table11[[#This Row],[Release Name]],Table7[],2),"")</f>
        <v/>
      </c>
    </row>
    <row r="92" spans="3:14">
      <c r="C92" s="69"/>
      <c r="D92" s="69"/>
      <c r="E92"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2"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2"/>
      <c r="H92"/>
      <c r="I92"/>
      <c r="J92" s="69"/>
      <c r="K92" s="70" t="str">
        <f>IFERROR(SUMIFS(Table3[Hours Worked],Table3[Release Name],Table11[[#This Row],[Release Name]],Table3[Task Type],"Project Management")/VLOOKUP(Table11[[#This Row],[Release Name]],Table7[],2),"")</f>
        <v/>
      </c>
      <c r="L92" s="76" t="str">
        <f>IFERROR(SUMIFS(Table3[Hours Worked],Table3[Release Name],Table11[[#This Row],[Release Name]],Table3[Task Type],"Configuration Management")/VLOOKUP(Table11[[#This Row],[Release Name]],Table7[],2),"")</f>
        <v/>
      </c>
    </row>
    <row r="93" spans="3:14">
      <c r="C93" s="69"/>
      <c r="D93" s="69"/>
      <c r="E93"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3"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3"/>
      <c r="H93"/>
      <c r="I93"/>
      <c r="J93" s="77"/>
      <c r="K93" s="70" t="str">
        <f>IFERROR(SUMIFS(Table3[Hours Worked],Table3[Release Name],Table11[[#This Row],[Release Name]],Table3[Task Type],"Project Management")/VLOOKUP(Table11[[#This Row],[Release Name]],Table7[],2),"")</f>
        <v/>
      </c>
      <c r="L93" s="76" t="str">
        <f>IFERROR(SUMIFS(Table3[Hours Worked],Table3[Release Name],Table11[[#This Row],[Release Name]],Table3[Task Type],"Configuration Management")/VLOOKUP(Table11[[#This Row],[Release Name]],Table7[],2),"")</f>
        <v/>
      </c>
    </row>
    <row r="94" spans="3:14">
      <c r="C94" s="69"/>
      <c r="D94" s="69"/>
      <c r="E94"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4"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4"/>
      <c r="H94"/>
      <c r="I94"/>
      <c r="J94" s="77"/>
      <c r="K94" s="70" t="str">
        <f>IFERROR(SUMIFS(Table3[Hours Worked],Table3[Release Name],Table11[[#This Row],[Release Name]],Table3[Task Type],"Project Management")/VLOOKUP(Table11[[#This Row],[Release Name]],Table7[],2),"")</f>
        <v/>
      </c>
      <c r="L94" s="76" t="str">
        <f>IFERROR(SUMIFS(Table3[Hours Worked],Table3[Release Name],Table11[[#This Row],[Release Name]],Table3[Task Type],"Configuration Management")/VLOOKUP(Table11[[#This Row],[Release Name]],Table7[],2),"")</f>
        <v/>
      </c>
    </row>
    <row r="95" spans="3:14">
      <c r="C95" s="69"/>
      <c r="D95" s="69"/>
      <c r="E95"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5"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5"/>
      <c r="H95"/>
      <c r="I95"/>
      <c r="J95" s="77"/>
      <c r="K95" s="70" t="str">
        <f>IFERROR(SUMIFS(Table3[Hours Worked],Table3[Release Name],Table11[[#This Row],[Release Name]],Table3[Task Type],"Project Management")/VLOOKUP(Table11[[#This Row],[Release Name]],Table7[],2),"")</f>
        <v/>
      </c>
      <c r="L95" s="76" t="str">
        <f>IFERROR(SUMIFS(Table3[Hours Worked],Table3[Release Name],Table11[[#This Row],[Release Name]],Table3[Task Type],"Configuration Management")/VLOOKUP(Table11[[#This Row],[Release Name]],Table7[],2),"")</f>
        <v/>
      </c>
    </row>
    <row r="96" spans="3:14">
      <c r="C96" s="69"/>
      <c r="D96" s="69"/>
      <c r="E96"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6"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6"/>
      <c r="H96"/>
      <c r="I96"/>
      <c r="J96" s="69"/>
      <c r="K96" s="70" t="str">
        <f>IFERROR(SUMIFS(Table3[Hours Worked],Table3[Release Name],Table11[[#This Row],[Release Name]],Table3[Task Type],"Project Management")/VLOOKUP(Table11[[#This Row],[Release Name]],Table7[],2),"")</f>
        <v/>
      </c>
      <c r="L96" s="76" t="str">
        <f>IFERROR(SUMIFS(Table3[Hours Worked],Table3[Release Name],Table11[[#This Row],[Release Name]],Table3[Task Type],"Configuration Management")/VLOOKUP(Table11[[#This Row],[Release Name]],Table7[],2),"")</f>
        <v/>
      </c>
    </row>
    <row r="97" spans="3:12">
      <c r="C97" s="69"/>
      <c r="D97" s="69"/>
      <c r="E97"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7"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7"/>
      <c r="H97"/>
      <c r="I97"/>
      <c r="J97" s="69"/>
      <c r="K97" s="70" t="str">
        <f>IFERROR(SUMIFS(Table3[Hours Worked],Table3[Release Name],Table11[[#This Row],[Release Name]],Table3[Task Type],"Project Management")/VLOOKUP(Table11[[#This Row],[Release Name]],Table7[],2),"")</f>
        <v/>
      </c>
      <c r="L97" s="76" t="str">
        <f>IFERROR(SUMIFS(Table3[Hours Worked],Table3[Release Name],Table11[[#This Row],[Release Name]],Table3[Task Type],"Configuration Management")/VLOOKUP(Table11[[#This Row],[Release Name]],Table7[],2),"")</f>
        <v/>
      </c>
    </row>
    <row r="98" spans="3:12">
      <c r="C98" s="69"/>
      <c r="D98" s="69"/>
      <c r="E98"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8"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8"/>
      <c r="H98"/>
      <c r="I98"/>
      <c r="J98" s="69"/>
      <c r="K98" s="70" t="str">
        <f>IFERROR(SUMIFS(Table3[Hours Worked],Table3[Release Name],Table11[[#This Row],[Release Name]],Table3[Task Type],"Project Management")/VLOOKUP(Table11[[#This Row],[Release Name]],Table7[],2),"")</f>
        <v/>
      </c>
      <c r="L98" s="76" t="str">
        <f>IFERROR(SUMIFS(Table3[Hours Worked],Table3[Release Name],Table11[[#This Row],[Release Name]],Table3[Task Type],"Configuration Management")/VLOOKUP(Table11[[#This Row],[Release Name]],Table7[],2),"")</f>
        <v/>
      </c>
    </row>
    <row r="99" spans="3:12">
      <c r="C99" s="69"/>
      <c r="D99" s="69"/>
      <c r="E99"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99"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99"/>
      <c r="H99"/>
      <c r="I99"/>
      <c r="J99" s="69"/>
      <c r="K99" s="70" t="str">
        <f>IFERROR(SUMIFS(Table3[Hours Worked],Table3[Release Name],Table11[[#This Row],[Release Name]],Table3[Task Type],"Project Management")/VLOOKUP(Table11[[#This Row],[Release Name]],Table7[],2),"")</f>
        <v/>
      </c>
      <c r="L99" s="76" t="str">
        <f>IFERROR(SUMIFS(Table3[Hours Worked],Table3[Release Name],Table11[[#This Row],[Release Name]],Table3[Task Type],"Configuration Management")/VLOOKUP(Table11[[#This Row],[Release Name]],Table7[],2),"")</f>
        <v/>
      </c>
    </row>
    <row r="100" spans="3:12">
      <c r="C100" s="69"/>
      <c r="D100" s="69"/>
      <c r="E100"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0"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0"/>
      <c r="H100"/>
      <c r="I100"/>
      <c r="J100" s="69"/>
      <c r="K100" s="70" t="str">
        <f>IFERROR(SUMIFS(Table3[Hours Worked],Table3[Release Name],Table11[[#This Row],[Release Name]],Table3[Task Type],"Project Management")/VLOOKUP(Table11[[#This Row],[Release Name]],Table7[],2),"")</f>
        <v/>
      </c>
      <c r="L100" s="76" t="str">
        <f>IFERROR(SUMIFS(Table3[Hours Worked],Table3[Release Name],Table11[[#This Row],[Release Name]],Table3[Task Type],"Configuration Management")/VLOOKUP(Table11[[#This Row],[Release Name]],Table7[],2),"")</f>
        <v/>
      </c>
    </row>
    <row r="101" spans="3:12">
      <c r="C101" s="69"/>
      <c r="D101" s="69"/>
      <c r="E101"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1"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1"/>
      <c r="H101"/>
      <c r="I101"/>
      <c r="J101" s="77"/>
      <c r="K101" s="70" t="str">
        <f>IFERROR(SUMIFS(Table3[Hours Worked],Table3[Release Name],Table11[[#This Row],[Release Name]],Table3[Task Type],"Project Management")/VLOOKUP(Table11[[#This Row],[Release Name]],Table7[],2),"")</f>
        <v/>
      </c>
      <c r="L101" s="76" t="str">
        <f>IFERROR(SUMIFS(Table3[Hours Worked],Table3[Release Name],Table11[[#This Row],[Release Name]],Table3[Task Type],"Configuration Management")/VLOOKUP(Table11[[#This Row],[Release Name]],Table7[],2),"")</f>
        <v/>
      </c>
    </row>
    <row r="102" spans="3:12">
      <c r="C102" s="69"/>
      <c r="D102" s="69"/>
      <c r="E102"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2"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2"/>
      <c r="H102"/>
      <c r="I102"/>
      <c r="J102" s="77"/>
      <c r="K102" s="70" t="str">
        <f>IFERROR(SUMIFS(Table3[Hours Worked],Table3[Release Name],Table11[[#This Row],[Release Name]],Table3[Task Type],"Project Management")/VLOOKUP(Table11[[#This Row],[Release Name]],Table7[],2),"")</f>
        <v/>
      </c>
      <c r="L102" s="76" t="str">
        <f>IFERROR(SUMIFS(Table3[Hours Worked],Table3[Release Name],Table11[[#This Row],[Release Name]],Table3[Task Type],"Configuration Management")/VLOOKUP(Table11[[#This Row],[Release Name]],Table7[],2),"")</f>
        <v/>
      </c>
    </row>
    <row r="103" spans="3:12">
      <c r="C103" s="69"/>
      <c r="D103" s="69"/>
      <c r="E103"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3"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3"/>
      <c r="H103"/>
      <c r="I103"/>
      <c r="J103" s="77"/>
      <c r="K103" s="70" t="str">
        <f>IFERROR(SUMIFS(Table3[Hours Worked],Table3[Release Name],Table11[[#This Row],[Release Name]],Table3[Task Type],"Project Management")/VLOOKUP(Table11[[#This Row],[Release Name]],Table7[],2),"")</f>
        <v/>
      </c>
      <c r="L103" s="76" t="str">
        <f>IFERROR(SUMIFS(Table3[Hours Worked],Table3[Release Name],Table11[[#This Row],[Release Name]],Table3[Task Type],"Configuration Management")/VLOOKUP(Table11[[#This Row],[Release Name]],Table7[],2),"")</f>
        <v/>
      </c>
    </row>
    <row r="104" spans="3:12">
      <c r="C104" s="69"/>
      <c r="D104" s="69"/>
      <c r="E104"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4"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4"/>
      <c r="H104"/>
      <c r="I104"/>
      <c r="J104" s="77"/>
      <c r="K104" s="70" t="str">
        <f>IFERROR(SUMIFS(Table3[Hours Worked],Table3[Release Name],Table11[[#This Row],[Release Name]],Table3[Task Type],"Project Management")/VLOOKUP(Table11[[#This Row],[Release Name]],Table7[],2),"")</f>
        <v/>
      </c>
      <c r="L104" s="76" t="str">
        <f>IFERROR(SUMIFS(Table3[Hours Worked],Table3[Release Name],Table11[[#This Row],[Release Name]],Table3[Task Type],"Configuration Management")/VLOOKUP(Table11[[#This Row],[Release Name]],Table7[],2),"")</f>
        <v/>
      </c>
    </row>
    <row r="105" spans="3:12">
      <c r="C105" s="69"/>
      <c r="D105" s="69"/>
      <c r="E105"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5"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5"/>
      <c r="H105"/>
      <c r="I105"/>
      <c r="J105" s="77"/>
      <c r="K105" s="70" t="str">
        <f>IFERROR(SUMIFS(Table3[Hours Worked],Table3[Release Name],Table11[[#This Row],[Release Name]],Table3[Task Type],"Project Management")/VLOOKUP(Table11[[#This Row],[Release Name]],Table7[],2),"")</f>
        <v/>
      </c>
      <c r="L105" s="76" t="str">
        <f>IFERROR(SUMIFS(Table3[Hours Worked],Table3[Release Name],Table11[[#This Row],[Release Name]],Table3[Task Type],"Configuration Management")/VLOOKUP(Table11[[#This Row],[Release Name]],Table7[],2),"")</f>
        <v/>
      </c>
    </row>
    <row r="106" spans="3:12">
      <c r="C106" s="69"/>
      <c r="D106" s="69"/>
      <c r="E106"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6"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6"/>
      <c r="H106"/>
      <c r="I106"/>
      <c r="J106" s="77"/>
      <c r="K106" s="70" t="str">
        <f>IFERROR(SUMIFS(Table3[Hours Worked],Table3[Release Name],Table11[[#This Row],[Release Name]],Table3[Task Type],"Project Management")/VLOOKUP(Table11[[#This Row],[Release Name]],Table7[],2),"")</f>
        <v/>
      </c>
      <c r="L106" s="76" t="str">
        <f>IFERROR(SUMIFS(Table3[Hours Worked],Table3[Release Name],Table11[[#This Row],[Release Name]],Table3[Task Type],"Configuration Management")/VLOOKUP(Table11[[#This Row],[Release Name]],Table7[],2),"")</f>
        <v/>
      </c>
    </row>
    <row r="107" spans="3:12">
      <c r="C107" s="69"/>
      <c r="D107" s="69"/>
      <c r="E107"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7"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7"/>
      <c r="H107"/>
      <c r="I107"/>
      <c r="J107" s="77"/>
      <c r="K107" s="70" t="str">
        <f>IFERROR(SUMIFS(Table3[Hours Worked],Table3[Release Name],Table11[[#This Row],[Release Name]],Table3[Task Type],"Project Management")/VLOOKUP(Table11[[#This Row],[Release Name]],Table7[],2),"")</f>
        <v/>
      </c>
      <c r="L107" s="76" t="str">
        <f>IFERROR(SUMIFS(Table3[Hours Worked],Table3[Release Name],Table11[[#This Row],[Release Name]],Table3[Task Type],"Configuration Management")/VLOOKUP(Table11[[#This Row],[Release Name]],Table7[],2),"")</f>
        <v/>
      </c>
    </row>
    <row r="108" spans="3:12">
      <c r="C108" s="69"/>
      <c r="D108" s="69"/>
      <c r="E108"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8"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8"/>
      <c r="H108"/>
      <c r="I108"/>
      <c r="J108" s="77"/>
      <c r="K108" s="70" t="str">
        <f>IFERROR(SUMIFS(Table3[Hours Worked],Table3[Release Name],Table11[[#This Row],[Release Name]],Table3[Task Type],"Project Management")/VLOOKUP(Table11[[#This Row],[Release Name]],Table7[],2),"")</f>
        <v/>
      </c>
      <c r="L108" s="76" t="str">
        <f>IFERROR(SUMIFS(Table3[Hours Worked],Table3[Release Name],Table11[[#This Row],[Release Name]],Table3[Task Type],"Configuration Management")/VLOOKUP(Table11[[#This Row],[Release Name]],Table7[],2),"")</f>
        <v/>
      </c>
    </row>
    <row r="109" spans="3:12">
      <c r="C109" s="69"/>
      <c r="D109" s="69"/>
      <c r="E109" s="70"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09" s="70"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G109"/>
      <c r="H109"/>
      <c r="I109"/>
      <c r="J109" s="77"/>
      <c r="K109" s="70" t="str">
        <f>IFERROR(SUMIFS(Table3[Hours Worked],Table3[Release Name],Table11[[#This Row],[Release Name]],Table3[Task Type],"Project Management")/VLOOKUP(Table11[[#This Row],[Release Name]],Table7[],2),"")</f>
        <v/>
      </c>
      <c r="L109" s="76" t="str">
        <f>IFERROR(SUMIFS(Table3[Hours Worked],Table3[Release Name],Table11[[#This Row],[Release Name]],Table3[Task Type],"Configuration Management")/VLOOKUP(Table11[[#This Row],[Release Name]],Table7[],2),"")</f>
        <v/>
      </c>
    </row>
    <row r="110" spans="3:12">
      <c r="C110" s="69"/>
      <c r="D110" s="69"/>
      <c r="E110"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0"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0" s="79"/>
      <c r="K110" s="71" t="str">
        <f>IFERROR(SUMIFS(Table3[Hours Worked],Table3[Release Name],Table11[[#This Row],[Release Name]],Table3[Task Type],"Project Management")/VLOOKUP(Table11[[#This Row],[Release Name]],Table7[],2),"")</f>
        <v/>
      </c>
      <c r="L110" s="80" t="str">
        <f>IFERROR(SUMIFS(Table3[Hours Worked],Table3[Release Name],Table11[[#This Row],[Release Name]],Table3[Task Type],"Configuration Management")/VLOOKUP(Table11[[#This Row],[Release Name]],Table7[],2),"")</f>
        <v/>
      </c>
    </row>
    <row r="111" spans="3:12">
      <c r="C111" s="69"/>
      <c r="D111" s="69"/>
      <c r="E111"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1"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1" s="79"/>
      <c r="K111" s="71" t="str">
        <f>IFERROR(SUMIFS(Table3[Hours Worked],Table3[Release Name],Table11[[#This Row],[Release Name]],Table3[Task Type],"Project Management")/VLOOKUP(Table11[[#This Row],[Release Name]],Table7[],2),"")</f>
        <v/>
      </c>
      <c r="L111" s="80" t="str">
        <f>IFERROR(SUMIFS(Table3[Hours Worked],Table3[Release Name],Table11[[#This Row],[Release Name]],Table3[Task Type],"Configuration Management")/VLOOKUP(Table11[[#This Row],[Release Name]],Table7[],2),"")</f>
        <v/>
      </c>
    </row>
    <row r="112" spans="3:12">
      <c r="C112" s="69"/>
      <c r="D112" s="69"/>
      <c r="E112"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2"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2" s="79"/>
      <c r="K112" s="71" t="str">
        <f>IFERROR(SUMIFS(Table3[Hours Worked],Table3[Release Name],Table11[[#This Row],[Release Name]],Table3[Task Type],"Project Management")/VLOOKUP(Table11[[#This Row],[Release Name]],Table7[],2),"")</f>
        <v/>
      </c>
      <c r="L112" s="80" t="str">
        <f>IFERROR(SUMIFS(Table3[Hours Worked],Table3[Release Name],Table11[[#This Row],[Release Name]],Table3[Task Type],"Configuration Management")/VLOOKUP(Table11[[#This Row],[Release Name]],Table7[],2),"")</f>
        <v/>
      </c>
    </row>
    <row r="113" spans="3:12">
      <c r="C113" s="69"/>
      <c r="D113" s="69"/>
      <c r="E113"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3"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3" s="79"/>
      <c r="K113" s="71" t="str">
        <f>IFERROR(SUMIFS(Table3[Hours Worked],Table3[Release Name],Table11[[#This Row],[Release Name]],Table3[Task Type],"Project Management")/VLOOKUP(Table11[[#This Row],[Release Name]],Table7[],2),"")</f>
        <v/>
      </c>
      <c r="L113" s="80" t="str">
        <f>IFERROR(SUMIFS(Table3[Hours Worked],Table3[Release Name],Table11[[#This Row],[Release Name]],Table3[Task Type],"Configuration Management")/VLOOKUP(Table11[[#This Row],[Release Name]],Table7[],2),"")</f>
        <v/>
      </c>
    </row>
    <row r="114" spans="3:12">
      <c r="C114" s="69"/>
      <c r="D114" s="69"/>
      <c r="E114"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4"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4" s="79"/>
      <c r="K114" s="71" t="str">
        <f>IFERROR(SUMIFS(Table3[Hours Worked],Table3[Release Name],Table11[[#This Row],[Release Name]],Table3[Task Type],"Project Management")/VLOOKUP(Table11[[#This Row],[Release Name]],Table7[],2),"")</f>
        <v/>
      </c>
      <c r="L114" s="80" t="str">
        <f>IFERROR(SUMIFS(Table3[Hours Worked],Table3[Release Name],Table11[[#This Row],[Release Name]],Table3[Task Type],"Configuration Management")/VLOOKUP(Table11[[#This Row],[Release Name]],Table7[],2),"")</f>
        <v/>
      </c>
    </row>
    <row r="115" spans="3:12">
      <c r="C115" s="69"/>
      <c r="D115" s="69"/>
      <c r="E115"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5"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5" s="79"/>
      <c r="K115" s="71" t="str">
        <f>IFERROR(SUMIFS(Table3[Hours Worked],Table3[Release Name],Table11[[#This Row],[Release Name]],Table3[Task Type],"Project Management")/VLOOKUP(Table11[[#This Row],[Release Name]],Table7[],2),"")</f>
        <v/>
      </c>
      <c r="L115" s="80" t="str">
        <f>IFERROR(SUMIFS(Table3[Hours Worked],Table3[Release Name],Table11[[#This Row],[Release Name]],Table3[Task Type],"Configuration Management")/VLOOKUP(Table11[[#This Row],[Release Name]],Table7[],2),"")</f>
        <v/>
      </c>
    </row>
    <row r="116" spans="3:12">
      <c r="C116" s="69"/>
      <c r="D116" s="69"/>
      <c r="E116"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6"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6" s="79"/>
      <c r="K116" s="71" t="str">
        <f>IFERROR(SUMIFS(Table3[Hours Worked],Table3[Release Name],Table11[[#This Row],[Release Name]],Table3[Task Type],"Project Management")/VLOOKUP(Table11[[#This Row],[Release Name]],Table7[],2),"")</f>
        <v/>
      </c>
      <c r="L116" s="80" t="str">
        <f>IFERROR(SUMIFS(Table3[Hours Worked],Table3[Release Name],Table11[[#This Row],[Release Name]],Table3[Task Type],"Configuration Management")/VLOOKUP(Table11[[#This Row],[Release Name]],Table7[],2),"")</f>
        <v/>
      </c>
    </row>
    <row r="117" spans="3:12">
      <c r="C117" s="69"/>
      <c r="D117" s="69"/>
      <c r="E117"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7"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7" s="79"/>
      <c r="K117" s="71" t="str">
        <f>IFERROR(SUMIFS(Table3[Hours Worked],Table3[Release Name],Table11[[#This Row],[Release Name]],Table3[Task Type],"Project Management")/VLOOKUP(Table11[[#This Row],[Release Name]],Table7[],2),"")</f>
        <v/>
      </c>
      <c r="L117" s="80" t="str">
        <f>IFERROR(SUMIFS(Table3[Hours Worked],Table3[Release Name],Table11[[#This Row],[Release Name]],Table3[Task Type],"Configuration Management")/VLOOKUP(Table11[[#This Row],[Release Name]],Table7[],2),"")</f>
        <v/>
      </c>
    </row>
    <row r="118" spans="3:12">
      <c r="C118" s="69"/>
      <c r="D118" s="69"/>
      <c r="E118"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8"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8" s="79"/>
      <c r="K118" s="71" t="str">
        <f>IFERROR(SUMIFS(Table3[Hours Worked],Table3[Release Name],Table11[[#This Row],[Release Name]],Table3[Task Type],"Project Management")/VLOOKUP(Table11[[#This Row],[Release Name]],Table7[],2),"")</f>
        <v/>
      </c>
      <c r="L118" s="80" t="str">
        <f>IFERROR(SUMIFS(Table3[Hours Worked],Table3[Release Name],Table11[[#This Row],[Release Name]],Table3[Task Type],"Configuration Management")/VLOOKUP(Table11[[#This Row],[Release Name]],Table7[],2),"")</f>
        <v/>
      </c>
    </row>
    <row r="119" spans="3:12">
      <c r="C119" s="69"/>
      <c r="D119" s="69"/>
      <c r="E119"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19"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19" s="79"/>
      <c r="K119" s="71" t="str">
        <f>IFERROR(SUMIFS(Table3[Hours Worked],Table3[Release Name],Table11[[#This Row],[Release Name]],Table3[Task Type],"Project Management")/VLOOKUP(Table11[[#This Row],[Release Name]],Table7[],2),"")</f>
        <v/>
      </c>
      <c r="L119" s="80" t="str">
        <f>IFERROR(SUMIFS(Table3[Hours Worked],Table3[Release Name],Table11[[#This Row],[Release Name]],Table3[Task Type],"Configuration Management")/VLOOKUP(Table11[[#This Row],[Release Name]],Table7[],2),"")</f>
        <v/>
      </c>
    </row>
    <row r="120" spans="3:12">
      <c r="C120" s="69"/>
      <c r="D120" s="69"/>
      <c r="E120"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0"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0" s="79"/>
      <c r="K120" s="71" t="str">
        <f>IFERROR(SUMIFS(Table3[Hours Worked],Table3[Release Name],Table11[[#This Row],[Release Name]],Table3[Task Type],"Project Management")/VLOOKUP(Table11[[#This Row],[Release Name]],Table7[],2),"")</f>
        <v/>
      </c>
      <c r="L120" s="80" t="str">
        <f>IFERROR(SUMIFS(Table3[Hours Worked],Table3[Release Name],Table11[[#This Row],[Release Name]],Table3[Task Type],"Configuration Management")/VLOOKUP(Table11[[#This Row],[Release Name]],Table7[],2),"")</f>
        <v/>
      </c>
    </row>
    <row r="121" spans="3:12">
      <c r="C121" s="69"/>
      <c r="D121" s="69"/>
      <c r="E121"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1"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1" s="79"/>
      <c r="K121" s="71" t="str">
        <f>IFERROR(SUMIFS(Table3[Hours Worked],Table3[Release Name],Table11[[#This Row],[Release Name]],Table3[Task Type],"Project Management")/VLOOKUP(Table11[[#This Row],[Release Name]],Table7[],2),"")</f>
        <v/>
      </c>
      <c r="L121" s="80" t="str">
        <f>IFERROR(SUMIFS(Table3[Hours Worked],Table3[Release Name],Table11[[#This Row],[Release Name]],Table3[Task Type],"Configuration Management")/VLOOKUP(Table11[[#This Row],[Release Name]],Table7[],2),"")</f>
        <v/>
      </c>
    </row>
    <row r="122" spans="3:12">
      <c r="C122" s="69"/>
      <c r="D122" s="69"/>
      <c r="E122"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2"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2" s="79"/>
      <c r="K122" s="71" t="str">
        <f>IFERROR(SUMIFS(Table3[Hours Worked],Table3[Release Name],Table11[[#This Row],[Release Name]],Table3[Task Type],"Project Management")/VLOOKUP(Table11[[#This Row],[Release Name]],Table7[],2),"")</f>
        <v/>
      </c>
      <c r="L122" s="80" t="str">
        <f>IFERROR(SUMIFS(Table3[Hours Worked],Table3[Release Name],Table11[[#This Row],[Release Name]],Table3[Task Type],"Configuration Management")/VLOOKUP(Table11[[#This Row],[Release Name]],Table7[],2),"")</f>
        <v/>
      </c>
    </row>
    <row r="123" spans="3:12">
      <c r="C123" s="69"/>
      <c r="D123" s="69"/>
      <c r="E123"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3"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3" s="79"/>
      <c r="K123" s="71" t="str">
        <f>IFERROR(SUMIFS(Table3[Hours Worked],Table3[Release Name],Table11[[#This Row],[Release Name]],Table3[Task Type],"Project Management")/VLOOKUP(Table11[[#This Row],[Release Name]],Table7[],2),"")</f>
        <v/>
      </c>
      <c r="L123" s="80" t="str">
        <f>IFERROR(SUMIFS(Table3[Hours Worked],Table3[Release Name],Table11[[#This Row],[Release Name]],Table3[Task Type],"Configuration Management")/VLOOKUP(Table11[[#This Row],[Release Name]],Table7[],2),"")</f>
        <v/>
      </c>
    </row>
    <row r="124" spans="3:12">
      <c r="C124" s="69"/>
      <c r="D124" s="69"/>
      <c r="E124"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4"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4" s="79"/>
      <c r="K124" s="71" t="str">
        <f>IFERROR(SUMIFS(Table3[Hours Worked],Table3[Release Name],Table11[[#This Row],[Release Name]],Table3[Task Type],"Project Management")/VLOOKUP(Table11[[#This Row],[Release Name]],Table7[],2),"")</f>
        <v/>
      </c>
      <c r="L124" s="80" t="str">
        <f>IFERROR(SUMIFS(Table3[Hours Worked],Table3[Release Name],Table11[[#This Row],[Release Name]],Table3[Task Type],"Configuration Management")/VLOOKUP(Table11[[#This Row],[Release Name]],Table7[],2),"")</f>
        <v/>
      </c>
    </row>
    <row r="125" spans="3:12">
      <c r="C125" s="69"/>
      <c r="D125" s="69"/>
      <c r="E125"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5"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5" s="79"/>
      <c r="K125" s="71" t="str">
        <f>IFERROR(SUMIFS(Table3[Hours Worked],Table3[Release Name],Table11[[#This Row],[Release Name]],Table3[Task Type],"Project Management")/VLOOKUP(Table11[[#This Row],[Release Name]],Table7[],2),"")</f>
        <v/>
      </c>
      <c r="L125" s="80" t="str">
        <f>IFERROR(SUMIFS(Table3[Hours Worked],Table3[Release Name],Table11[[#This Row],[Release Name]],Table3[Task Type],"Configuration Management")/VLOOKUP(Table11[[#This Row],[Release Name]],Table7[],2),"")</f>
        <v/>
      </c>
    </row>
    <row r="126" spans="3:12">
      <c r="C126" s="69"/>
      <c r="D126" s="69"/>
      <c r="E126"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6"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6" s="79"/>
      <c r="K126" s="71" t="str">
        <f>IFERROR(SUMIFS(Table3[Hours Worked],Table3[Release Name],Table11[[#This Row],[Release Name]],Table3[Task Type],"Project Management")/VLOOKUP(Table11[[#This Row],[Release Name]],Table7[],2),"")</f>
        <v/>
      </c>
      <c r="L126" s="80" t="str">
        <f>IFERROR(SUMIFS(Table3[Hours Worked],Table3[Release Name],Table11[[#This Row],[Release Name]],Table3[Task Type],"Configuration Management")/VLOOKUP(Table11[[#This Row],[Release Name]],Table7[],2),"")</f>
        <v/>
      </c>
    </row>
    <row r="127" spans="3:12">
      <c r="C127" s="69"/>
      <c r="D127" s="69"/>
      <c r="E127"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7"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7" s="79"/>
      <c r="K127" s="71" t="str">
        <f>IFERROR(SUMIFS(Table3[Hours Worked],Table3[Release Name],Table11[[#This Row],[Release Name]],Table3[Task Type],"Project Management")/VLOOKUP(Table11[[#This Row],[Release Name]],Table7[],2),"")</f>
        <v/>
      </c>
      <c r="L127" s="80" t="str">
        <f>IFERROR(SUMIFS(Table3[Hours Worked],Table3[Release Name],Table11[[#This Row],[Release Name]],Table3[Task Type],"Configuration Management")/VLOOKUP(Table11[[#This Row],[Release Name]],Table7[],2),"")</f>
        <v/>
      </c>
    </row>
    <row r="128" spans="3:12">
      <c r="C128" s="69"/>
      <c r="D128" s="69"/>
      <c r="E128"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8"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8" s="79"/>
      <c r="K128" s="71" t="str">
        <f>IFERROR(SUMIFS(Table3[Hours Worked],Table3[Release Name],Table11[[#This Row],[Release Name]],Table3[Task Type],"Project Management")/VLOOKUP(Table11[[#This Row],[Release Name]],Table7[],2),"")</f>
        <v/>
      </c>
      <c r="L128" s="80" t="str">
        <f>IFERROR(SUMIFS(Table3[Hours Worked],Table3[Release Name],Table11[[#This Row],[Release Name]],Table3[Task Type],"Configuration Management")/VLOOKUP(Table11[[#This Row],[Release Name]],Table7[],2),"")</f>
        <v/>
      </c>
    </row>
    <row r="129" spans="3:12">
      <c r="C129" s="69"/>
      <c r="D129" s="69"/>
      <c r="E129"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29"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29" s="79"/>
      <c r="K129" s="71" t="str">
        <f>IFERROR(SUMIFS(Table3[Hours Worked],Table3[Release Name],Table11[[#This Row],[Release Name]],Table3[Task Type],"Project Management")/VLOOKUP(Table11[[#This Row],[Release Name]],Table7[],2),"")</f>
        <v/>
      </c>
      <c r="L129" s="80" t="str">
        <f>IFERROR(SUMIFS(Table3[Hours Worked],Table3[Release Name],Table11[[#This Row],[Release Name]],Table3[Task Type],"Configuration Management")/VLOOKUP(Table11[[#This Row],[Release Name]],Table7[],2),"")</f>
        <v/>
      </c>
    </row>
    <row r="130" spans="3:12">
      <c r="C130" s="69" t="str">
        <f>IF('Measurement Values'!B75="","",'Measurement Values'!B75)</f>
        <v/>
      </c>
      <c r="D130" s="69" t="str">
        <f>IF('Measurement Values'!C75="","",'Measurement Values'!C75)</f>
        <v/>
      </c>
      <c r="E130"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0"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0" s="79"/>
      <c r="K130" s="71" t="str">
        <f>IFERROR(SUMIFS(Table3[Hours Worked],Table3[Release Name],Table11[[#This Row],[Release Name]],Table3[Task Type],"Project Management")/VLOOKUP(Table11[[#This Row],[Release Name]],Table7[],2),"")</f>
        <v/>
      </c>
      <c r="L130" s="80" t="str">
        <f>IFERROR(SUMIFS(Table3[Hours Worked],Table3[Release Name],Table11[[#This Row],[Release Name]],Table3[Task Type],"Configuration Management")/VLOOKUP(Table11[[#This Row],[Release Name]],Table7[],2),"")</f>
        <v/>
      </c>
    </row>
    <row r="131" spans="3:12">
      <c r="C131" s="69"/>
      <c r="D131" s="69"/>
      <c r="E131"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1"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1" s="79"/>
      <c r="K131" s="71" t="str">
        <f>IFERROR(SUMIFS(Table3[Hours Worked],Table3[Release Name],Table11[[#This Row],[Release Name]],Table3[Task Type],"Project Management")/VLOOKUP(Table11[[#This Row],[Release Name]],Table7[],2),"")</f>
        <v/>
      </c>
      <c r="L131" s="80" t="str">
        <f>IFERROR(SUMIFS(Table3[Hours Worked],Table3[Release Name],Table11[[#This Row],[Release Name]],Table3[Task Type],"Configuration Management")/VLOOKUP(Table11[[#This Row],[Release Name]],Table7[],2),"")</f>
        <v/>
      </c>
    </row>
    <row r="132" spans="3:12">
      <c r="C132" s="69" t="str">
        <f>IF('Measurement Values'!B77="","",'Measurement Values'!B77)</f>
        <v/>
      </c>
      <c r="D132" s="69" t="str">
        <f>IF('Measurement Values'!C77="","",'Measurement Values'!C77)</f>
        <v/>
      </c>
      <c r="E132"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2"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2" s="79"/>
      <c r="K132" s="71" t="str">
        <f>IFERROR(SUMIFS(Table3[Hours Worked],Table3[Release Name],Table11[[#This Row],[Release Name]],Table3[Task Type],"Project Management")/VLOOKUP(Table11[[#This Row],[Release Name]],Table7[],2),"")</f>
        <v/>
      </c>
      <c r="L132" s="80" t="str">
        <f>IFERROR(SUMIFS(Table3[Hours Worked],Table3[Release Name],Table11[[#This Row],[Release Name]],Table3[Task Type],"Configuration Management")/VLOOKUP(Table11[[#This Row],[Release Name]],Table7[],2),"")</f>
        <v/>
      </c>
    </row>
    <row r="133" spans="3:12">
      <c r="C133" s="69" t="str">
        <f>IF('Measurement Values'!B78="","",'Measurement Values'!B78)</f>
        <v/>
      </c>
      <c r="D133" s="69" t="str">
        <f>IF('Measurement Values'!C78="","",'Measurement Values'!C78)</f>
        <v/>
      </c>
      <c r="E133"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3"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3" s="79"/>
      <c r="K133" s="71" t="str">
        <f>IFERROR(SUMIFS(Table3[Hours Worked],Table3[Release Name],Table11[[#This Row],[Release Name]],Table3[Task Type],"Project Management")/VLOOKUP(Table11[[#This Row],[Release Name]],Table7[],2),"")</f>
        <v/>
      </c>
      <c r="L133" s="80" t="str">
        <f>IFERROR(SUMIFS(Table3[Hours Worked],Table3[Release Name],Table11[[#This Row],[Release Name]],Table3[Task Type],"Configuration Management")/VLOOKUP(Table11[[#This Row],[Release Name]],Table7[],2),"")</f>
        <v/>
      </c>
    </row>
    <row r="134" spans="3:12">
      <c r="C134" s="69" t="str">
        <f>IF('Measurement Values'!B79="","",'Measurement Values'!B79)</f>
        <v/>
      </c>
      <c r="D134" s="69" t="str">
        <f>IF('Measurement Values'!C79="","",'Measurement Values'!C79)</f>
        <v/>
      </c>
      <c r="E134"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4"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4" s="79"/>
      <c r="K134" s="71" t="str">
        <f>IFERROR(SUMIFS(Table3[Hours Worked],Table3[Release Name],Table11[[#This Row],[Release Name]],Table3[Task Type],"Project Management")/VLOOKUP(Table11[[#This Row],[Release Name]],Table7[],2),"")</f>
        <v/>
      </c>
      <c r="L134" s="80" t="str">
        <f>IFERROR(SUMIFS(Table3[Hours Worked],Table3[Release Name],Table11[[#This Row],[Release Name]],Table3[Task Type],"Configuration Management")/VLOOKUP(Table11[[#This Row],[Release Name]],Table7[],2),"")</f>
        <v/>
      </c>
    </row>
    <row r="135" spans="3:12">
      <c r="C135" s="69" t="str">
        <f>IF('Measurement Values'!B80="","",'Measurement Values'!B80)</f>
        <v/>
      </c>
      <c r="D135" s="69" t="str">
        <f>IF('Measurement Values'!C80="","",'Measurement Values'!C80)</f>
        <v/>
      </c>
      <c r="E135"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5"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5" s="79"/>
      <c r="K135" s="71" t="str">
        <f>IFERROR(SUMIFS(Table3[Hours Worked],Table3[Release Name],Table11[[#This Row],[Release Name]],Table3[Task Type],"Project Management")/VLOOKUP(Table11[[#This Row],[Release Name]],Table7[],2),"")</f>
        <v/>
      </c>
      <c r="L135" s="80" t="str">
        <f>IFERROR(SUMIFS(Table3[Hours Worked],Table3[Release Name],Table11[[#This Row],[Release Name]],Table3[Task Type],"Configuration Management")/VLOOKUP(Table11[[#This Row],[Release Name]],Table7[],2),"")</f>
        <v/>
      </c>
    </row>
    <row r="136" spans="3:12">
      <c r="C136" s="69" t="str">
        <f>IF('Measurement Values'!B81="","",'Measurement Values'!B81)</f>
        <v/>
      </c>
      <c r="D136" s="69" t="str">
        <f>IF('Measurement Values'!C81="","",'Measurement Values'!C81)</f>
        <v/>
      </c>
      <c r="E136"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6"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6" s="79"/>
      <c r="K136" s="71" t="str">
        <f>IFERROR(SUMIFS(Table3[Hours Worked],Table3[Release Name],Table11[[#This Row],[Release Name]],Table3[Task Type],"Project Management")/VLOOKUP(Table11[[#This Row],[Release Name]],Table7[],2),"")</f>
        <v/>
      </c>
      <c r="L136" s="80" t="str">
        <f>IFERROR(SUMIFS(Table3[Hours Worked],Table3[Release Name],Table11[[#This Row],[Release Name]],Table3[Task Type],"Configuration Management")/VLOOKUP(Table11[[#This Row],[Release Name]],Table7[],2),"")</f>
        <v/>
      </c>
    </row>
    <row r="137" spans="3:12">
      <c r="C137" s="69" t="str">
        <f>IF('Measurement Values'!B82="","",'Measurement Values'!B82)</f>
        <v/>
      </c>
      <c r="D137" s="69" t="str">
        <f>IF('Measurement Values'!C82="","",'Measurement Values'!C82)</f>
        <v/>
      </c>
      <c r="E137"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7"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7" s="79"/>
      <c r="K137" s="71" t="str">
        <f>IFERROR(SUMIFS(Table3[Hours Worked],Table3[Release Name],Table11[[#This Row],[Release Name]],Table3[Task Type],"Project Management")/VLOOKUP(Table11[[#This Row],[Release Name]],Table7[],2),"")</f>
        <v/>
      </c>
      <c r="L137" s="80" t="str">
        <f>IFERROR(SUMIFS(Table3[Hours Worked],Table3[Release Name],Table11[[#This Row],[Release Name]],Table3[Task Type],"Configuration Management")/VLOOKUP(Table11[[#This Row],[Release Name]],Table7[],2),"")</f>
        <v/>
      </c>
    </row>
    <row r="138" spans="3:12">
      <c r="C138" s="69" t="str">
        <f>IF('Measurement Values'!B83="","",'Measurement Values'!B83)</f>
        <v/>
      </c>
      <c r="D138" s="69" t="str">
        <f>IF('Measurement Values'!C83="","",'Measurement Values'!C83)</f>
        <v/>
      </c>
      <c r="E138"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8"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8" s="79"/>
      <c r="K138" s="71" t="str">
        <f>IFERROR(SUMIFS(Table3[Hours Worked],Table3[Release Name],Table11[[#This Row],[Release Name]],Table3[Task Type],"Project Management")/VLOOKUP(Table11[[#This Row],[Release Name]],Table7[],2),"")</f>
        <v/>
      </c>
      <c r="L138" s="80" t="str">
        <f>IFERROR(SUMIFS(Table3[Hours Worked],Table3[Release Name],Table11[[#This Row],[Release Name]],Table3[Task Type],"Configuration Management")/VLOOKUP(Table11[[#This Row],[Release Name]],Table7[],2),"")</f>
        <v/>
      </c>
    </row>
    <row r="139" spans="3:12">
      <c r="C139" s="69" t="str">
        <f>IF('Measurement Values'!B84="","",'Measurement Values'!B84)</f>
        <v/>
      </c>
      <c r="D139" s="69" t="str">
        <f>IF('Measurement Values'!C84="","",'Measurement Values'!C84)</f>
        <v/>
      </c>
      <c r="E139"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39"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39" s="79"/>
      <c r="K139" s="71" t="str">
        <f>IFERROR(SUMIFS(Table3[Hours Worked],Table3[Release Name],Table11[[#This Row],[Release Name]],Table3[Task Type],"Project Management")/VLOOKUP(Table11[[#This Row],[Release Name]],Table7[],2),"")</f>
        <v/>
      </c>
      <c r="L139" s="80" t="str">
        <f>IFERROR(SUMIFS(Table3[Hours Worked],Table3[Release Name],Table11[[#This Row],[Release Name]],Table3[Task Type],"Configuration Management")/VLOOKUP(Table11[[#This Row],[Release Name]],Table7[],2),"")</f>
        <v/>
      </c>
    </row>
    <row r="140" spans="3:12">
      <c r="C140" s="69" t="str">
        <f>IF('Measurement Values'!B85="","",'Measurement Values'!B85)</f>
        <v/>
      </c>
      <c r="D140" s="69" t="str">
        <f>IF('Measurement Values'!C85="","",'Measurement Values'!C85)</f>
        <v/>
      </c>
      <c r="E140"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0"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0" s="79"/>
      <c r="K140" s="71" t="str">
        <f>IFERROR(SUMIFS(Table3[Hours Worked],Table3[Release Name],Table11[[#This Row],[Release Name]],Table3[Task Type],"Project Management")/VLOOKUP(Table11[[#This Row],[Release Name]],Table7[],2),"")</f>
        <v/>
      </c>
      <c r="L140" s="80" t="str">
        <f>IFERROR(SUMIFS(Table3[Hours Worked],Table3[Release Name],Table11[[#This Row],[Release Name]],Table3[Task Type],"Configuration Management")/VLOOKUP(Table11[[#This Row],[Release Name]],Table7[],2),"")</f>
        <v/>
      </c>
    </row>
    <row r="141" spans="3:12">
      <c r="C141" s="69" t="str">
        <f>IF('Measurement Values'!B86="","",'Measurement Values'!B86)</f>
        <v/>
      </c>
      <c r="D141" s="69" t="str">
        <f>IF('Measurement Values'!C86="","",'Measurement Values'!C86)</f>
        <v/>
      </c>
      <c r="E141"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1"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1" s="79"/>
      <c r="K141" s="71" t="str">
        <f>IFERROR(SUMIFS(Table3[Hours Worked],Table3[Release Name],Table11[[#This Row],[Release Name]],Table3[Task Type],"Project Management")/VLOOKUP(Table11[[#This Row],[Release Name]],Table7[],2),"")</f>
        <v/>
      </c>
      <c r="L141" s="80" t="str">
        <f>IFERROR(SUMIFS(Table3[Hours Worked],Table3[Release Name],Table11[[#This Row],[Release Name]],Table3[Task Type],"Configuration Management")/VLOOKUP(Table11[[#This Row],[Release Name]],Table7[],2),"")</f>
        <v/>
      </c>
    </row>
    <row r="142" spans="3:12">
      <c r="C142" s="69" t="str">
        <f>IF('Measurement Values'!B87="","",'Measurement Values'!B87)</f>
        <v/>
      </c>
      <c r="D142" s="69" t="str">
        <f>IF('Measurement Values'!C87="","",'Measurement Values'!C87)</f>
        <v/>
      </c>
      <c r="E142"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2"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2" s="79"/>
      <c r="K142" s="71" t="str">
        <f>IFERROR(SUMIFS(Table3[Hours Worked],Table3[Release Name],Table11[[#This Row],[Release Name]],Table3[Task Type],"Project Management")/VLOOKUP(Table11[[#This Row],[Release Name]],Table7[],2),"")</f>
        <v/>
      </c>
      <c r="L142" s="80" t="str">
        <f>IFERROR(SUMIFS(Table3[Hours Worked],Table3[Release Name],Table11[[#This Row],[Release Name]],Table3[Task Type],"Configuration Management")/VLOOKUP(Table11[[#This Row],[Release Name]],Table7[],2),"")</f>
        <v/>
      </c>
    </row>
    <row r="143" spans="3:12">
      <c r="C143" s="69" t="str">
        <f>IF('Measurement Values'!B88="","",'Measurement Values'!B88)</f>
        <v/>
      </c>
      <c r="D143" s="69" t="str">
        <f>IF('Measurement Values'!C88="","",'Measurement Values'!C88)</f>
        <v/>
      </c>
      <c r="E143"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3"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3" s="79"/>
      <c r="K143" s="71" t="str">
        <f>IFERROR(SUMIFS(Table3[Hours Worked],Table3[Release Name],Table11[[#This Row],[Release Name]],Table3[Task Type],"Project Management")/VLOOKUP(Table11[[#This Row],[Release Name]],Table7[],2),"")</f>
        <v/>
      </c>
      <c r="L143" s="80" t="str">
        <f>IFERROR(SUMIFS(Table3[Hours Worked],Table3[Release Name],Table11[[#This Row],[Release Name]],Table3[Task Type],"Configuration Management")/VLOOKUP(Table11[[#This Row],[Release Name]],Table7[],2),"")</f>
        <v/>
      </c>
    </row>
    <row r="144" spans="3:12">
      <c r="C144" s="69" t="str">
        <f>IF('Measurement Values'!B89="","",'Measurement Values'!B89)</f>
        <v/>
      </c>
      <c r="D144" s="69" t="str">
        <f>IF('Measurement Values'!C89="","",'Measurement Values'!C89)</f>
        <v/>
      </c>
      <c r="E144"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4"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4" s="79"/>
      <c r="K144" s="71" t="str">
        <f>IFERROR(SUMIFS(Table3[Hours Worked],Table3[Release Name],Table11[[#This Row],[Release Name]],Table3[Task Type],"Project Management")/VLOOKUP(Table11[[#This Row],[Release Name]],Table7[],2),"")</f>
        <v/>
      </c>
      <c r="L144" s="80" t="str">
        <f>IFERROR(SUMIFS(Table3[Hours Worked],Table3[Release Name],Table11[[#This Row],[Release Name]],Table3[Task Type],"Configuration Management")/VLOOKUP(Table11[[#This Row],[Release Name]],Table7[],2),"")</f>
        <v/>
      </c>
    </row>
    <row r="145" spans="3:12">
      <c r="C145" s="69" t="str">
        <f>IF('Measurement Values'!B90="","",'Measurement Values'!B90)</f>
        <v/>
      </c>
      <c r="D145" s="69" t="str">
        <f>IF('Measurement Values'!C90="","",'Measurement Values'!C90)</f>
        <v/>
      </c>
      <c r="E145"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5"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5" s="79"/>
      <c r="K145" s="71" t="str">
        <f>IFERROR(SUMIFS(Table3[Hours Worked],Table3[Release Name],Table11[[#This Row],[Release Name]],Table3[Task Type],"Project Management")/VLOOKUP(Table11[[#This Row],[Release Name]],Table7[],2),"")</f>
        <v/>
      </c>
      <c r="L145" s="80" t="str">
        <f>IFERROR(SUMIFS(Table3[Hours Worked],Table3[Release Name],Table11[[#This Row],[Release Name]],Table3[Task Type],"Configuration Management")/VLOOKUP(Table11[[#This Row],[Release Name]],Table7[],2),"")</f>
        <v/>
      </c>
    </row>
    <row r="146" spans="3:12">
      <c r="C146" s="69" t="str">
        <f>IF('Measurement Values'!B91="","",'Measurement Values'!B91)</f>
        <v/>
      </c>
      <c r="D146" s="69" t="str">
        <f>IF('Measurement Values'!C91="","",'Measurement Values'!C91)</f>
        <v/>
      </c>
      <c r="E146"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6"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6" s="79"/>
      <c r="K146" s="71" t="str">
        <f>IFERROR(SUMIFS(Table3[Hours Worked],Table3[Release Name],Table11[[#This Row],[Release Name]],Table3[Task Type],"Project Management")/VLOOKUP(Table11[[#This Row],[Release Name]],Table7[],2),"")</f>
        <v/>
      </c>
      <c r="L146" s="80" t="str">
        <f>IFERROR(SUMIFS(Table3[Hours Worked],Table3[Release Name],Table11[[#This Row],[Release Name]],Table3[Task Type],"Configuration Management")/VLOOKUP(Table11[[#This Row],[Release Name]],Table7[],2),"")</f>
        <v/>
      </c>
    </row>
    <row r="147" spans="3:12">
      <c r="C147" s="69" t="str">
        <f>IF('Measurement Values'!B92="","",'Measurement Values'!B92)</f>
        <v/>
      </c>
      <c r="D147" s="69" t="str">
        <f>IF('Measurement Values'!C92="","",'Measurement Values'!C92)</f>
        <v/>
      </c>
      <c r="E147"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7"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7" s="79"/>
      <c r="K147" s="71" t="str">
        <f>IFERROR(SUMIFS(Table3[Hours Worked],Table3[Release Name],Table11[[#This Row],[Release Name]],Table3[Task Type],"Project Management")/VLOOKUP(Table11[[#This Row],[Release Name]],Table7[],2),"")</f>
        <v/>
      </c>
      <c r="L147" s="80" t="str">
        <f>IFERROR(SUMIFS(Table3[Hours Worked],Table3[Release Name],Table11[[#This Row],[Release Name]],Table3[Task Type],"Configuration Management")/VLOOKUP(Table11[[#This Row],[Release Name]],Table7[],2),"")</f>
        <v/>
      </c>
    </row>
    <row r="148" spans="3:12">
      <c r="C148" s="69" t="str">
        <f>IF('Measurement Values'!B93="","",'Measurement Values'!B93)</f>
        <v/>
      </c>
      <c r="D148" s="69" t="str">
        <f>IF('Measurement Values'!C93="","",'Measurement Values'!C93)</f>
        <v/>
      </c>
      <c r="E148"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8"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8" s="79"/>
      <c r="K148" s="71" t="str">
        <f>IFERROR(SUMIFS(Table3[Hours Worked],Table3[Release Name],Table11[[#This Row],[Release Name]],Table3[Task Type],"Project Management")/VLOOKUP(Table11[[#This Row],[Release Name]],Table7[],2),"")</f>
        <v/>
      </c>
      <c r="L148" s="80" t="str">
        <f>IFERROR(SUMIFS(Table3[Hours Worked],Table3[Release Name],Table11[[#This Row],[Release Name]],Table3[Task Type],"Configuration Management")/VLOOKUP(Table11[[#This Row],[Release Name]],Table7[],2),"")</f>
        <v/>
      </c>
    </row>
    <row r="149" spans="3:12">
      <c r="C149" s="69" t="str">
        <f>IF('Measurement Values'!B94="","",'Measurement Values'!B94)</f>
        <v/>
      </c>
      <c r="D149" s="69" t="str">
        <f>IF('Measurement Values'!C94="","",'Measurement Values'!C94)</f>
        <v/>
      </c>
      <c r="E149"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49"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49" s="79"/>
      <c r="K149" s="71" t="str">
        <f>IFERROR(SUMIFS(Table3[Hours Worked],Table3[Release Name],Table11[[#This Row],[Release Name]],Table3[Task Type],"Project Management")/VLOOKUP(Table11[[#This Row],[Release Name]],Table7[],2),"")</f>
        <v/>
      </c>
      <c r="L149" s="80" t="str">
        <f>IFERROR(SUMIFS(Table3[Hours Worked],Table3[Release Name],Table11[[#This Row],[Release Name]],Table3[Task Type],"Configuration Management")/VLOOKUP(Table11[[#This Row],[Release Name]],Table7[],2),"")</f>
        <v/>
      </c>
    </row>
    <row r="150" spans="3:12">
      <c r="C150" s="69" t="str">
        <f>IF('Measurement Values'!B95="","",'Measurement Values'!B95)</f>
        <v/>
      </c>
      <c r="D150" s="69" t="str">
        <f>IF('Measurement Values'!C95="","",'Measurement Values'!C95)</f>
        <v/>
      </c>
      <c r="E150"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0"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0" s="79"/>
      <c r="K150" s="71" t="str">
        <f>IFERROR(SUMIFS(Table3[Hours Worked],Table3[Release Name],Table11[[#This Row],[Release Name]],Table3[Task Type],"Project Management")/VLOOKUP(Table11[[#This Row],[Release Name]],Table7[],2),"")</f>
        <v/>
      </c>
      <c r="L150" s="80" t="str">
        <f>IFERROR(SUMIFS(Table3[Hours Worked],Table3[Release Name],Table11[[#This Row],[Release Name]],Table3[Task Type],"Configuration Management")/VLOOKUP(Table11[[#This Row],[Release Name]],Table7[],2),"")</f>
        <v/>
      </c>
    </row>
    <row r="151" spans="3:12">
      <c r="C151" s="69" t="str">
        <f>IF('Measurement Values'!B96="","",'Measurement Values'!B96)</f>
        <v/>
      </c>
      <c r="D151" s="69" t="str">
        <f>IF('Measurement Values'!C96="","",'Measurement Values'!C96)</f>
        <v/>
      </c>
      <c r="E151"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1"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1" s="79"/>
      <c r="K151" s="71" t="str">
        <f>IFERROR(SUMIFS(Table3[Hours Worked],Table3[Release Name],Table11[[#This Row],[Release Name]],Table3[Task Type],"Project Management")/VLOOKUP(Table11[[#This Row],[Release Name]],Table7[],2),"")</f>
        <v/>
      </c>
      <c r="L151" s="80" t="str">
        <f>IFERROR(SUMIFS(Table3[Hours Worked],Table3[Release Name],Table11[[#This Row],[Release Name]],Table3[Task Type],"Configuration Management")/VLOOKUP(Table11[[#This Row],[Release Name]],Table7[],2),"")</f>
        <v/>
      </c>
    </row>
    <row r="152" spans="3:12">
      <c r="C152" s="69" t="str">
        <f>IF('Measurement Values'!B97="","",'Measurement Values'!B97)</f>
        <v/>
      </c>
      <c r="D152" s="69" t="str">
        <f>IF('Measurement Values'!C97="","",'Measurement Values'!C97)</f>
        <v/>
      </c>
      <c r="E152"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2"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2" s="79"/>
      <c r="K152" s="71" t="str">
        <f>IFERROR(SUMIFS(Table3[Hours Worked],Table3[Release Name],Table11[[#This Row],[Release Name]],Table3[Task Type],"Project Management")/VLOOKUP(Table11[[#This Row],[Release Name]],Table7[],2),"")</f>
        <v/>
      </c>
      <c r="L152" s="80" t="str">
        <f>IFERROR(SUMIFS(Table3[Hours Worked],Table3[Release Name],Table11[[#This Row],[Release Name]],Table3[Task Type],"Configuration Management")/VLOOKUP(Table11[[#This Row],[Release Name]],Table7[],2),"")</f>
        <v/>
      </c>
    </row>
    <row r="153" spans="3:12">
      <c r="C153" s="69" t="str">
        <f>IF('Measurement Values'!B98="","",'Measurement Values'!B98)</f>
        <v/>
      </c>
      <c r="D153" s="69" t="str">
        <f>IF('Measurement Values'!C98="","",'Measurement Values'!C98)</f>
        <v/>
      </c>
      <c r="E153"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3"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3" s="79"/>
      <c r="K153" s="71" t="str">
        <f>IFERROR(SUMIFS(Table3[Hours Worked],Table3[Release Name],Table11[[#This Row],[Release Name]],Table3[Task Type],"Project Management")/VLOOKUP(Table11[[#This Row],[Release Name]],Table7[],2),"")</f>
        <v/>
      </c>
      <c r="L153" s="80" t="str">
        <f>IFERROR(SUMIFS(Table3[Hours Worked],Table3[Release Name],Table11[[#This Row],[Release Name]],Table3[Task Type],"Configuration Management")/VLOOKUP(Table11[[#This Row],[Release Name]],Table7[],2),"")</f>
        <v/>
      </c>
    </row>
    <row r="154" spans="3:12">
      <c r="C154" s="69" t="str">
        <f>IF('Measurement Values'!B99="","",'Measurement Values'!B99)</f>
        <v/>
      </c>
      <c r="D154" s="69" t="str">
        <f>IF('Measurement Values'!C99="","",'Measurement Values'!C99)</f>
        <v/>
      </c>
      <c r="E154"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4"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4" s="79"/>
      <c r="K154" s="71" t="str">
        <f>IFERROR(SUMIFS(Table3[Hours Worked],Table3[Release Name],Table11[[#This Row],[Release Name]],Table3[Task Type],"Project Management")/VLOOKUP(Table11[[#This Row],[Release Name]],Table7[],2),"")</f>
        <v/>
      </c>
      <c r="L154" s="80" t="str">
        <f>IFERROR(SUMIFS(Table3[Hours Worked],Table3[Release Name],Table11[[#This Row],[Release Name]],Table3[Task Type],"Configuration Management")/VLOOKUP(Table11[[#This Row],[Release Name]],Table7[],2),"")</f>
        <v/>
      </c>
    </row>
    <row r="155" spans="3:12">
      <c r="C155" s="69" t="str">
        <f>IF('Measurement Values'!B100="","",'Measurement Values'!B100)</f>
        <v/>
      </c>
      <c r="D155" s="69" t="str">
        <f>IF('Measurement Values'!C100="","",'Measurement Values'!C100)</f>
        <v/>
      </c>
      <c r="E155"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5"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5" s="79"/>
      <c r="K155" s="71" t="str">
        <f>IFERROR(SUMIFS(Table3[Hours Worked],Table3[Release Name],Table11[[#This Row],[Release Name]],Table3[Task Type],"Project Management")/VLOOKUP(Table11[[#This Row],[Release Name]],Table7[],2),"")</f>
        <v/>
      </c>
      <c r="L155" s="80" t="str">
        <f>IFERROR(SUMIFS(Table3[Hours Worked],Table3[Release Name],Table11[[#This Row],[Release Name]],Table3[Task Type],"Configuration Management")/VLOOKUP(Table11[[#This Row],[Release Name]],Table7[],2),"")</f>
        <v/>
      </c>
    </row>
    <row r="156" spans="3:12">
      <c r="C156" s="69" t="str">
        <f>IF('Measurement Values'!B101="","",'Measurement Values'!B101)</f>
        <v/>
      </c>
      <c r="D156" s="69" t="str">
        <f>IF('Measurement Values'!C101="","",'Measurement Values'!C101)</f>
        <v/>
      </c>
      <c r="E156"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6"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6" s="79"/>
      <c r="K156" s="71" t="str">
        <f>IFERROR(SUMIFS(Table3[Hours Worked],Table3[Release Name],Table11[[#This Row],[Release Name]],Table3[Task Type],"Project Management")/VLOOKUP(Table11[[#This Row],[Release Name]],Table7[],2),"")</f>
        <v/>
      </c>
      <c r="L156" s="80" t="str">
        <f>IFERROR(SUMIFS(Table3[Hours Worked],Table3[Release Name],Table11[[#This Row],[Release Name]],Table3[Task Type],"Configuration Management")/VLOOKUP(Table11[[#This Row],[Release Name]],Table7[],2),"")</f>
        <v/>
      </c>
    </row>
    <row r="157" spans="3:12">
      <c r="C157" s="69" t="str">
        <f>IF('Measurement Values'!B102="","",'Measurement Values'!B102)</f>
        <v/>
      </c>
      <c r="D157" s="69" t="str">
        <f>IF('Measurement Values'!C102="","",'Measurement Values'!C102)</f>
        <v/>
      </c>
      <c r="E157"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7"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7" s="79"/>
      <c r="K157" s="71" t="str">
        <f>IFERROR(SUMIFS(Table3[Hours Worked],Table3[Release Name],Table11[[#This Row],[Release Name]],Table3[Task Type],"Project Management")/VLOOKUP(Table11[[#This Row],[Release Name]],Table7[],2),"")</f>
        <v/>
      </c>
      <c r="L157" s="80" t="str">
        <f>IFERROR(SUMIFS(Table3[Hours Worked],Table3[Release Name],Table11[[#This Row],[Release Name]],Table3[Task Type],"Configuration Management")/VLOOKUP(Table11[[#This Row],[Release Name]],Table7[],2),"")</f>
        <v/>
      </c>
    </row>
    <row r="158" spans="3:12">
      <c r="C158" s="69" t="str">
        <f>IF('Measurement Values'!B103="","",'Measurement Values'!B103)</f>
        <v/>
      </c>
      <c r="D158" s="69" t="str">
        <f>IF('Measurement Values'!C103="","",'Measurement Values'!C103)</f>
        <v/>
      </c>
      <c r="E158"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8"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8" s="79"/>
      <c r="K158" s="71" t="str">
        <f>IFERROR(SUMIFS(Table3[Hours Worked],Table3[Release Name],Table11[[#This Row],[Release Name]],Table3[Task Type],"Project Management")/VLOOKUP(Table11[[#This Row],[Release Name]],Table7[],2),"")</f>
        <v/>
      </c>
      <c r="L158" s="80" t="str">
        <f>IFERROR(SUMIFS(Table3[Hours Worked],Table3[Release Name],Table11[[#This Row],[Release Name]],Table3[Task Type],"Configuration Management")/VLOOKUP(Table11[[#This Row],[Release Name]],Table7[],2),"")</f>
        <v/>
      </c>
    </row>
    <row r="159" spans="3:12">
      <c r="C159" s="69" t="str">
        <f>IF('Measurement Values'!B104="","",'Measurement Values'!B104)</f>
        <v/>
      </c>
      <c r="D159" s="69" t="str">
        <f>IF('Measurement Values'!C104="","",'Measurement Values'!C104)</f>
        <v/>
      </c>
      <c r="E159"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59"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59" s="79"/>
      <c r="K159" s="71" t="str">
        <f>IFERROR(SUMIFS(Table3[Hours Worked],Table3[Release Name],Table11[[#This Row],[Release Name]],Table3[Task Type],"Project Management")/VLOOKUP(Table11[[#This Row],[Release Name]],Table7[],2),"")</f>
        <v/>
      </c>
      <c r="L159" s="80" t="str">
        <f>IFERROR(SUMIFS(Table3[Hours Worked],Table3[Release Name],Table11[[#This Row],[Release Name]],Table3[Task Type],"Configuration Management")/VLOOKUP(Table11[[#This Row],[Release Name]],Table7[],2),"")</f>
        <v/>
      </c>
    </row>
    <row r="160" spans="3:12">
      <c r="C160" s="69" t="str">
        <f>IF('Measurement Values'!B105="","",'Measurement Values'!B105)</f>
        <v/>
      </c>
      <c r="D160" s="69" t="str">
        <f>IF('Measurement Values'!C105="","",'Measurement Values'!C105)</f>
        <v/>
      </c>
      <c r="E160"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60"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60" s="79"/>
      <c r="K160" s="71" t="str">
        <f>IFERROR(SUMIFS(Table3[Hours Worked],Table3[Release Name],Table11[[#This Row],[Release Name]],Table3[Task Type],"Project Management")/VLOOKUP(Table11[[#This Row],[Release Name]],Table7[],2),"")</f>
        <v/>
      </c>
      <c r="L160" s="80" t="str">
        <f>IFERROR(SUMIFS(Table3[Hours Worked],Table3[Release Name],Table11[[#This Row],[Release Name]],Table3[Task Type],"Configuration Management")/VLOOKUP(Table11[[#This Row],[Release Name]],Table7[],2),"")</f>
        <v/>
      </c>
    </row>
    <row r="161" spans="3:12">
      <c r="C161" s="69" t="str">
        <f>IF('Measurement Values'!B106="","",'Measurement Values'!B106)</f>
        <v/>
      </c>
      <c r="D161" s="69" t="str">
        <f>IF('Measurement Values'!C106="","",'Measurement Values'!C106)</f>
        <v/>
      </c>
      <c r="E161"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61"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61" s="79"/>
      <c r="K161" s="71" t="str">
        <f>IFERROR(SUMIFS(Table3[Hours Worked],Table3[Release Name],Table11[[#This Row],[Release Name]],Table3[Task Type],"Project Management")/VLOOKUP(Table11[[#This Row],[Release Name]],Table7[],2),"")</f>
        <v/>
      </c>
      <c r="L161" s="80" t="str">
        <f>IFERROR(SUMIFS(Table3[Hours Worked],Table3[Release Name],Table11[[#This Row],[Release Name]],Table3[Task Type],"Configuration Management")/VLOOKUP(Table11[[#This Row],[Release Name]],Table7[],2),"")</f>
        <v/>
      </c>
    </row>
    <row r="162" spans="3:12">
      <c r="C162" s="69" t="str">
        <f>IF('Measurement Values'!B107="","",'Measurement Values'!B107)</f>
        <v/>
      </c>
      <c r="D162" s="69" t="str">
        <f>IF('Measurement Values'!C107="","",'Measurement Values'!C107)</f>
        <v/>
      </c>
      <c r="E162"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62"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62" s="79"/>
      <c r="K162" s="71" t="str">
        <f>IFERROR(SUMIFS(Table3[Hours Worked],Table3[Release Name],Table11[[#This Row],[Release Name]],Table3[Task Type],"Project Management")/VLOOKUP(Table11[[#This Row],[Release Name]],Table7[],2),"")</f>
        <v/>
      </c>
      <c r="L162" s="80" t="str">
        <f>IFERROR(SUMIFS(Table3[Hours Worked],Table3[Release Name],Table11[[#This Row],[Release Name]],Table3[Task Type],"Configuration Management")/VLOOKUP(Table11[[#This Row],[Release Name]],Table7[],2),"")</f>
        <v/>
      </c>
    </row>
    <row r="163" spans="3:12">
      <c r="C163" s="69" t="str">
        <f>IF('Measurement Values'!B108="","",'Measurement Values'!B108)</f>
        <v/>
      </c>
      <c r="D163" s="69" t="str">
        <f>IF('Measurement Values'!C108="","",'Measurement Values'!C108)</f>
        <v/>
      </c>
      <c r="E163"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63"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63" s="79"/>
      <c r="K163" s="71" t="str">
        <f>IFERROR(SUMIFS(Table3[Hours Worked],Table3[Release Name],Table11[[#This Row],[Release Name]],Table3[Task Type],"Project Management")/VLOOKUP(Table11[[#This Row],[Release Name]],Table7[],2),"")</f>
        <v/>
      </c>
      <c r="L163" s="80" t="str">
        <f>IFERROR(SUMIFS(Table3[Hours Worked],Table3[Release Name],Table11[[#This Row],[Release Name]],Table3[Task Type],"Configuration Management")/VLOOKUP(Table11[[#This Row],[Release Name]],Table7[],2),"")</f>
        <v/>
      </c>
    </row>
    <row r="164" spans="3:12">
      <c r="C164" s="69" t="str">
        <f>IF('Measurement Values'!B109="","",'Measurement Values'!B109)</f>
        <v/>
      </c>
      <c r="D164" s="69" t="str">
        <f>IF('Measurement Values'!C109="","",'Measurement Values'!C109)</f>
        <v/>
      </c>
      <c r="E164"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64"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64" s="79"/>
      <c r="K164" s="71" t="str">
        <f>IFERROR(SUMIFS(Table3[Hours Worked],Table3[Release Name],Table11[[#This Row],[Release Name]],Table3[Task Type],"Project Management")/VLOOKUP(Table11[[#This Row],[Release Name]],Table7[],2),"")</f>
        <v/>
      </c>
      <c r="L164" s="80" t="str">
        <f>IFERROR(SUMIFS(Table3[Hours Worked],Table3[Release Name],Table11[[#This Row],[Release Name]],Table3[Task Type],"Configuration Management")/VLOOKUP(Table11[[#This Row],[Release Name]],Table7[],2),"")</f>
        <v/>
      </c>
    </row>
    <row r="165" spans="3:12">
      <c r="C165" s="69" t="str">
        <f>IF('Measurement Values'!B110="","",'Measurement Values'!B110)</f>
        <v/>
      </c>
      <c r="D165" s="69" t="str">
        <f>IF('Measurement Values'!C110="","",'Measurement Values'!C110)</f>
        <v/>
      </c>
      <c r="E165"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65"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65" s="79"/>
      <c r="K165" s="71" t="str">
        <f>IFERROR(SUMIFS(Table3[Hours Worked],Table3[Release Name],Table11[[#This Row],[Release Name]],Table3[Task Type],"Project Management")/VLOOKUP(Table11[[#This Row],[Release Name]],Table7[],2),"")</f>
        <v/>
      </c>
      <c r="L165" s="80" t="str">
        <f>IFERROR(SUMIFS(Table3[Hours Worked],Table3[Release Name],Table11[[#This Row],[Release Name]],Table3[Task Type],"Configuration Management")/VLOOKUP(Table11[[#This Row],[Release Name]],Table7[],2),"")</f>
        <v/>
      </c>
    </row>
    <row r="166" spans="3:12">
      <c r="C166" s="69" t="str">
        <f>IF('Measurement Values'!B111="","",'Measurement Values'!B111)</f>
        <v/>
      </c>
      <c r="D166" s="69" t="str">
        <f>IF('Measurement Values'!C111="","",'Measurement Values'!C111)</f>
        <v/>
      </c>
      <c r="E166" s="71" t="str">
        <f>IF(SUMIFS(Table3[Hours Worked],Table3[Release Name],Table10[[#This Row],[Release Name]],Table3[Task Type],"Review",Table3[Maintenance Type],Table10[[#This Row],[Maintenance Type]])&gt;0,SUMIFS(Table3[Hours Worked],Table3[Release Name],Table10[[#This Row],[Release Name]],Table3[Task Type],"Review",Table3[Maintenance Type],Table10[[#This Row],[Maintenance Type]])/VLOOKUP(Table10[[#This Row],[Release Name]],Table7[],2),"")</f>
        <v/>
      </c>
      <c r="F166" s="71" t="str">
        <f>IF(SUMIFS(Table3[Hours Worked],Table3[Release Name],Table10[[#This Row],[Release Name]],Table3[Task Type],"Rework",Table3[Maintenance Type],Table10[[#This Row],[Maintenance Type]])&gt;0,SUMIFS(Table3[Hours Worked],Table3[Release Name],Table10[[#This Row],[Release Name]],Table3[Task Type],"Rework",Table3[Maintenance Type],Table10[[#This Row],[Maintenance Type]])/VLOOKUP(Table10[[#This Row],[Release Name]],Table7[],2),"")</f>
        <v/>
      </c>
      <c r="J166" s="79"/>
      <c r="K166" s="71" t="str">
        <f>IFERROR(SUMIFS(Table3[Hours Worked],Table3[Release Name],Table11[[#This Row],[Release Name]],Table3[Task Type],"Project Management")/VLOOKUP(Table11[[#This Row],[Release Name]],Table7[],2),"")</f>
        <v/>
      </c>
      <c r="L166" s="80" t="str">
        <f>IFERROR(SUMIFS(Table3[Hours Worked],Table3[Release Name],Table11[[#This Row],[Release Name]],Table3[Task Type],"Configuration Management")/VLOOKUP(Table11[[#This Row],[Release Name]],Table7[],2),"")</f>
        <v/>
      </c>
    </row>
  </sheetData>
  <sheetProtection password="E15D" sheet="1" scenarios="1" formatCells="0" pivotTables="0"/>
  <pageMargins left="0.7" right="0.7" top="0.75" bottom="0.75" header="0.3" footer="0.3"/>
  <pageSetup orientation="portrait"/>
  <drawing r:id="rId5"/>
  <legacyDrawing r:id="rId6"/>
  <mc:AlternateContent xmlns:mc="http://schemas.openxmlformats.org/markup-compatibility/2006">
    <mc:Choice Requires="x14">
      <controls>
        <mc:AlternateContent xmlns:mc="http://schemas.openxmlformats.org/markup-compatibility/2006">
          <mc:Choice Requires="x14">
            <control shapeId="28674" r:id="rId7" name="Button 2">
              <controlPr defaultSize="0" print="0">
                <anchor moveWithCells="1" sizeWithCells="1">
                  <from>
                    <xdr:col>4</xdr:col>
                    <xdr:colOff>47625</xdr:colOff>
                    <xdr:row>0</xdr:row>
                    <xdr:rowOff>161925</xdr:rowOff>
                  </from>
                  <to>
                    <xdr:col>5</xdr:col>
                    <xdr:colOff>9525</xdr:colOff>
                    <xdr:row>1</xdr:row>
                    <xdr:rowOff>180975</xdr:rowOff>
                  </to>
                </anchor>
              </controlPr>
            </control>
          </mc:Choice>
        </mc:AlternateContent>
      </controls>
    </mc:Choice>
  </mc:AlternateContent>
  <tableParts count="2">
    <tablePart r:id="rId8"/>
    <tablePart r:id="rId9"/>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B2:Q270"/>
  <sheetViews>
    <sheetView showGridLines="0" topLeftCell="A62" workbookViewId="0">
      <selection activeCell="E69" sqref="E69"/>
    </sheetView>
  </sheetViews>
  <sheetFormatPr defaultColWidth="11" defaultRowHeight="14.45"/>
  <cols>
    <col min="1" max="1" width="5.375" customWidth="1"/>
    <col min="2" max="3" width="11" style="48"/>
    <col min="4" max="5" width="13.125" style="48" customWidth="1"/>
    <col min="6" max="6" width="34.75" style="48" customWidth="1"/>
    <col min="7" max="7" width="14.125" style="48" customWidth="1"/>
    <col min="8" max="8" width="14.375" style="48" customWidth="1"/>
    <col min="9" max="9" width="14" style="48" customWidth="1"/>
    <col min="10" max="10" width="12.625" customWidth="1"/>
    <col min="11" max="11" width="13.125" style="49" customWidth="1"/>
    <col min="12" max="12" width="33.25" style="49" customWidth="1"/>
    <col min="13" max="13" width="11" style="49"/>
    <col min="14" max="14" width="13.75" style="49" customWidth="1"/>
    <col min="15" max="15" width="14.25" style="49" customWidth="1"/>
    <col min="16" max="16" width="12.125" style="49" customWidth="1"/>
    <col min="17" max="17" width="11" style="49"/>
  </cols>
  <sheetData>
    <row r="2" spans="5:13">
      <c r="G2" s="50" t="s">
        <v>412</v>
      </c>
    </row>
    <row r="4" spans="5:13">
      <c r="E4" t="s">
        <v>393</v>
      </c>
      <c r="F4" t="s">
        <v>413</v>
      </c>
      <c r="G4"/>
    </row>
    <row r="5" spans="5:13">
      <c r="E5" s="25"/>
      <c r="F5" s="45">
        <v>0</v>
      </c>
      <c r="G5"/>
    </row>
    <row r="6" spans="5:13">
      <c r="E6" s="25" t="s">
        <v>401</v>
      </c>
      <c r="F6" s="45">
        <v>0</v>
      </c>
      <c r="G6"/>
    </row>
    <row r="7" spans="5:13">
      <c r="E7" s="25" t="s">
        <v>414</v>
      </c>
      <c r="F7" s="45">
        <v>0</v>
      </c>
      <c r="G7"/>
    </row>
    <row r="8" spans="5:13">
      <c r="E8" s="25" t="s">
        <v>415</v>
      </c>
      <c r="F8" s="45">
        <v>0</v>
      </c>
      <c r="G8"/>
    </row>
    <row r="9" spans="5:13">
      <c r="E9" s="25" t="s">
        <v>416</v>
      </c>
      <c r="F9" s="45">
        <v>0</v>
      </c>
      <c r="G9"/>
    </row>
    <row r="10" spans="5:13">
      <c r="E10" s="25" t="s">
        <v>417</v>
      </c>
      <c r="F10" s="45">
        <v>0</v>
      </c>
      <c r="G10"/>
    </row>
    <row r="11" spans="5:13">
      <c r="E11" s="25" t="s">
        <v>418</v>
      </c>
      <c r="F11" s="45">
        <v>1</v>
      </c>
      <c r="G11"/>
    </row>
    <row r="12" spans="5:13">
      <c r="E12" s="25" t="s">
        <v>394</v>
      </c>
      <c r="F12" s="45">
        <v>1</v>
      </c>
      <c r="G12"/>
    </row>
    <row r="13" spans="5:13">
      <c r="E13"/>
      <c r="F13"/>
      <c r="G13"/>
      <c r="K13"/>
      <c r="L13"/>
      <c r="M13"/>
    </row>
    <row r="14" spans="5:13">
      <c r="E14"/>
      <c r="F14"/>
      <c r="G14"/>
      <c r="K14"/>
      <c r="L14"/>
      <c r="M14"/>
    </row>
    <row r="15" spans="5:13">
      <c r="E15"/>
      <c r="F15"/>
      <c r="G15"/>
      <c r="K15"/>
      <c r="L15"/>
      <c r="M15"/>
    </row>
    <row r="16" spans="5:13">
      <c r="E16"/>
      <c r="F16"/>
      <c r="G16"/>
      <c r="K16"/>
      <c r="L16"/>
      <c r="M16"/>
    </row>
    <row r="17" spans="4:13">
      <c r="E17"/>
      <c r="F17"/>
      <c r="G17"/>
      <c r="K17"/>
      <c r="L17"/>
      <c r="M17"/>
    </row>
    <row r="18" spans="4:13">
      <c r="E18"/>
      <c r="F18"/>
      <c r="G18"/>
      <c r="K18"/>
      <c r="L18"/>
      <c r="M18"/>
    </row>
    <row r="19" spans="4:13">
      <c r="E19"/>
      <c r="F19"/>
      <c r="G19"/>
      <c r="K19"/>
      <c r="L19"/>
      <c r="M19"/>
    </row>
    <row r="20" spans="4:13">
      <c r="E20"/>
      <c r="F20"/>
      <c r="G20"/>
      <c r="K20"/>
      <c r="L20"/>
      <c r="M20"/>
    </row>
    <row r="21" spans="4:13">
      <c r="E21"/>
      <c r="F21"/>
      <c r="G21"/>
      <c r="K21"/>
      <c r="L21"/>
      <c r="M21"/>
    </row>
    <row r="22" spans="4:13">
      <c r="E22"/>
      <c r="F22"/>
      <c r="G22"/>
      <c r="K22"/>
      <c r="L22"/>
      <c r="M22"/>
    </row>
    <row r="23" spans="4:13">
      <c r="E23"/>
      <c r="F23"/>
      <c r="G23"/>
      <c r="K23"/>
      <c r="L23"/>
      <c r="M23"/>
    </row>
    <row r="24" spans="4:13">
      <c r="E24"/>
      <c r="F24"/>
      <c r="G24"/>
      <c r="K24"/>
      <c r="L24"/>
      <c r="M24"/>
    </row>
    <row r="25" spans="4:13">
      <c r="E25"/>
      <c r="F25"/>
      <c r="G25"/>
      <c r="K25"/>
      <c r="L25"/>
      <c r="M25"/>
    </row>
    <row r="26" spans="4:13">
      <c r="D26"/>
      <c r="E26"/>
      <c r="F26"/>
      <c r="G26" s="49"/>
      <c r="K26"/>
      <c r="L26"/>
      <c r="M26"/>
    </row>
    <row r="27" spans="4:13">
      <c r="D27"/>
      <c r="E27" t="s">
        <v>393</v>
      </c>
      <c r="F27" t="s">
        <v>419</v>
      </c>
      <c r="G27"/>
      <c r="K27"/>
      <c r="L27"/>
      <c r="M27"/>
    </row>
    <row r="28" spans="4:13">
      <c r="D28"/>
      <c r="E28" s="25"/>
      <c r="F28">
        <v>0</v>
      </c>
      <c r="G28"/>
      <c r="K28"/>
      <c r="L28"/>
      <c r="M28"/>
    </row>
    <row r="29" spans="4:13">
      <c r="D29"/>
      <c r="E29" s="25" t="s">
        <v>401</v>
      </c>
      <c r="F29">
        <v>0</v>
      </c>
      <c r="G29"/>
      <c r="K29"/>
      <c r="L29"/>
      <c r="M29"/>
    </row>
    <row r="30" spans="4:13">
      <c r="D30"/>
      <c r="E30" s="25" t="s">
        <v>414</v>
      </c>
      <c r="F30">
        <v>0</v>
      </c>
      <c r="G30"/>
      <c r="K30"/>
      <c r="L30"/>
      <c r="M30"/>
    </row>
    <row r="31" spans="4:13">
      <c r="D31"/>
      <c r="E31" s="25" t="s">
        <v>415</v>
      </c>
      <c r="F31">
        <v>0</v>
      </c>
      <c r="G31"/>
      <c r="K31"/>
      <c r="L31"/>
      <c r="M31"/>
    </row>
    <row r="32" spans="4:13">
      <c r="D32"/>
      <c r="E32" s="25" t="s">
        <v>416</v>
      </c>
      <c r="F32">
        <v>0</v>
      </c>
      <c r="G32"/>
      <c r="K32"/>
      <c r="L32"/>
      <c r="M32"/>
    </row>
    <row r="33" spans="4:13">
      <c r="E33" s="25" t="s">
        <v>417</v>
      </c>
      <c r="F33">
        <v>0</v>
      </c>
      <c r="G33"/>
      <c r="K33"/>
      <c r="L33"/>
      <c r="M33"/>
    </row>
    <row r="34" spans="4:13">
      <c r="E34" s="25" t="s">
        <v>418</v>
      </c>
      <c r="F34">
        <v>1</v>
      </c>
      <c r="G34"/>
      <c r="K34"/>
      <c r="L34"/>
      <c r="M34"/>
    </row>
    <row r="35" spans="4:13">
      <c r="E35" s="25" t="s">
        <v>394</v>
      </c>
      <c r="F35">
        <v>1</v>
      </c>
      <c r="G35"/>
      <c r="K35"/>
      <c r="L35"/>
      <c r="M35"/>
    </row>
    <row r="36" spans="4:13">
      <c r="E36"/>
      <c r="F36"/>
      <c r="G36"/>
      <c r="K36"/>
      <c r="L36"/>
      <c r="M36"/>
    </row>
    <row r="37" spans="4:13">
      <c r="E37"/>
      <c r="F37"/>
      <c r="G37"/>
      <c r="K37"/>
      <c r="L37"/>
      <c r="M37"/>
    </row>
    <row r="38" spans="4:13">
      <c r="E38"/>
      <c r="F38"/>
      <c r="G38"/>
      <c r="K38"/>
      <c r="L38"/>
      <c r="M38"/>
    </row>
    <row r="39" spans="4:13">
      <c r="E39"/>
      <c r="F39"/>
      <c r="G39"/>
      <c r="K39"/>
      <c r="L39"/>
      <c r="M39"/>
    </row>
    <row r="40" spans="4:13">
      <c r="E40"/>
      <c r="F40"/>
      <c r="G40"/>
      <c r="K40"/>
      <c r="L40"/>
      <c r="M40"/>
    </row>
    <row r="41" spans="4:13">
      <c r="E41"/>
      <c r="F41"/>
      <c r="G41"/>
      <c r="K41"/>
      <c r="L41"/>
      <c r="M41"/>
    </row>
    <row r="42" spans="4:13">
      <c r="E42"/>
      <c r="F42"/>
      <c r="K42"/>
      <c r="L42"/>
      <c r="M42"/>
    </row>
    <row r="43" spans="4:13">
      <c r="E43"/>
      <c r="F43"/>
      <c r="K43"/>
      <c r="L43"/>
      <c r="M43"/>
    </row>
    <row r="44" spans="4:13">
      <c r="E44"/>
      <c r="F44"/>
      <c r="K44"/>
      <c r="L44"/>
      <c r="M44"/>
    </row>
    <row r="45" spans="4:13">
      <c r="E45"/>
      <c r="F45"/>
      <c r="K45"/>
      <c r="L45"/>
      <c r="M45"/>
    </row>
    <row r="46" spans="4:13">
      <c r="E46"/>
      <c r="F46"/>
      <c r="K46"/>
      <c r="L46"/>
      <c r="M46"/>
    </row>
    <row r="47" spans="4:13">
      <c r="E47"/>
      <c r="F47"/>
      <c r="K47"/>
      <c r="L47"/>
      <c r="M47"/>
    </row>
    <row r="48" spans="4:13">
      <c r="D48" t="s">
        <v>393</v>
      </c>
      <c r="E48" t="s">
        <v>420</v>
      </c>
      <c r="F48"/>
      <c r="K48"/>
      <c r="L48"/>
      <c r="M48"/>
    </row>
    <row r="49" spans="4:13">
      <c r="D49" s="25" t="s">
        <v>396</v>
      </c>
      <c r="E49">
        <v>0</v>
      </c>
      <c r="F49"/>
      <c r="K49"/>
      <c r="L49"/>
      <c r="M49"/>
    </row>
    <row r="50" spans="4:13">
      <c r="D50" s="25" t="s">
        <v>398</v>
      </c>
      <c r="E50">
        <v>0</v>
      </c>
      <c r="F50"/>
      <c r="K50"/>
      <c r="L50"/>
      <c r="M50"/>
    </row>
    <row r="51" spans="4:13">
      <c r="D51" s="25" t="s">
        <v>399</v>
      </c>
      <c r="E51">
        <v>0</v>
      </c>
      <c r="F51"/>
      <c r="K51"/>
      <c r="L51"/>
      <c r="M51"/>
    </row>
    <row r="52" spans="4:13">
      <c r="D52" s="25" t="s">
        <v>421</v>
      </c>
      <c r="E52">
        <v>0</v>
      </c>
      <c r="F52"/>
      <c r="K52"/>
      <c r="L52"/>
      <c r="M52"/>
    </row>
    <row r="53" spans="4:13">
      <c r="D53" s="25" t="s">
        <v>422</v>
      </c>
      <c r="E53">
        <v>0</v>
      </c>
      <c r="F53"/>
      <c r="K53"/>
      <c r="L53"/>
      <c r="M53"/>
    </row>
    <row r="54" spans="4:13">
      <c r="D54" s="25" t="s">
        <v>423</v>
      </c>
      <c r="E54">
        <v>0</v>
      </c>
      <c r="F54"/>
      <c r="K54"/>
      <c r="L54"/>
      <c r="M54"/>
    </row>
    <row r="55" spans="4:13">
      <c r="D55" s="25" t="s">
        <v>424</v>
      </c>
      <c r="E55">
        <v>0</v>
      </c>
      <c r="F55"/>
      <c r="K55"/>
      <c r="L55"/>
      <c r="M55"/>
    </row>
    <row r="56" spans="4:13">
      <c r="D56" s="25" t="s">
        <v>394</v>
      </c>
      <c r="E56">
        <v>0</v>
      </c>
      <c r="F56"/>
      <c r="K56"/>
      <c r="L56"/>
      <c r="M56"/>
    </row>
    <row r="57" spans="4:13">
      <c r="D57"/>
      <c r="E57"/>
      <c r="F57"/>
      <c r="K57"/>
      <c r="L57"/>
      <c r="M57"/>
    </row>
    <row r="58" spans="4:13">
      <c r="D58"/>
      <c r="E58"/>
      <c r="F58"/>
      <c r="K58"/>
      <c r="L58"/>
      <c r="M58"/>
    </row>
    <row r="59" spans="4:13">
      <c r="D59"/>
      <c r="E59"/>
      <c r="F59"/>
      <c r="K59"/>
      <c r="L59"/>
      <c r="M59"/>
    </row>
    <row r="60" spans="4:13">
      <c r="D60"/>
      <c r="E60"/>
      <c r="F60"/>
    </row>
    <row r="61" spans="4:13">
      <c r="D61"/>
      <c r="E61"/>
      <c r="F61"/>
    </row>
    <row r="62" spans="4:13">
      <c r="D62"/>
      <c r="E62"/>
      <c r="F62"/>
    </row>
    <row r="63" spans="4:13">
      <c r="D63"/>
      <c r="E63"/>
      <c r="F63"/>
    </row>
    <row r="64" spans="4:13">
      <c r="D64"/>
      <c r="E64"/>
      <c r="F64"/>
    </row>
    <row r="65" spans="2:17">
      <c r="D65"/>
      <c r="E65"/>
      <c r="F65"/>
    </row>
    <row r="66" spans="2:17">
      <c r="D66"/>
      <c r="E66"/>
    </row>
    <row r="67" spans="2:17" s="46" customFormat="1" ht="18.600000000000001">
      <c r="B67" s="51" t="s">
        <v>425</v>
      </c>
      <c r="C67" s="52"/>
      <c r="D67"/>
      <c r="E67"/>
      <c r="F67" s="52"/>
      <c r="G67" s="52"/>
      <c r="H67" s="52"/>
      <c r="I67" s="52"/>
      <c r="K67" s="51" t="s">
        <v>426</v>
      </c>
      <c r="L67" s="59"/>
      <c r="M67" s="59"/>
      <c r="N67" s="59"/>
      <c r="O67" s="59"/>
      <c r="P67" s="59"/>
      <c r="Q67" s="59"/>
    </row>
    <row r="68" spans="2:17" s="47" customFormat="1" ht="81.75" customHeight="1">
      <c r="B68" s="53" t="s">
        <v>115</v>
      </c>
      <c r="C68" s="53" t="s">
        <v>427</v>
      </c>
      <c r="D68" s="53" t="s">
        <v>428</v>
      </c>
      <c r="E68" s="53" t="s">
        <v>148</v>
      </c>
      <c r="F68" s="53" t="s">
        <v>149</v>
      </c>
      <c r="G68" s="53" t="s">
        <v>150</v>
      </c>
      <c r="H68" s="53" t="s">
        <v>429</v>
      </c>
      <c r="I68" s="53" t="s">
        <v>430</v>
      </c>
      <c r="K68" s="53" t="s">
        <v>115</v>
      </c>
      <c r="L68" s="53" t="s">
        <v>30</v>
      </c>
      <c r="M68" s="53" t="s">
        <v>154</v>
      </c>
      <c r="N68" s="53" t="s">
        <v>155</v>
      </c>
      <c r="O68" s="53" t="s">
        <v>274</v>
      </c>
      <c r="P68" s="60"/>
    </row>
    <row r="69" spans="2:17" ht="16.5">
      <c r="B69" s="54">
        <v>1</v>
      </c>
      <c r="C69" s="55">
        <v>44835</v>
      </c>
      <c r="D69" s="56" t="str">
        <f>IF(Table8[[#This Row],[Month - Year]]="","",TEXT(Table8[[#This Row],[Month - Year]],"MMM-YY"))</f>
        <v>Oct-22</v>
      </c>
      <c r="E69" s="54">
        <v>1</v>
      </c>
      <c r="F69" s="54">
        <v>0</v>
      </c>
      <c r="G69" s="54">
        <v>0</v>
      </c>
      <c r="H69" s="57">
        <f>IFERROR(Table8[[#This Row],[No. of Resources for whom access were removed on time]]/Table8[[#This Row],[No. of Resources De-allocated]],"")</f>
        <v>0</v>
      </c>
      <c r="I69" s="57">
        <f>IFERROR(Table8[[#This Row],[No. of Resources for whom assets were returned on time]]/Table8[[#This Row],[No. of Resources De-allocated]],"")</f>
        <v>0</v>
      </c>
      <c r="K69" s="54">
        <v>1</v>
      </c>
      <c r="L69" s="54" t="s">
        <v>187</v>
      </c>
      <c r="M69" s="54">
        <v>0</v>
      </c>
      <c r="N69" s="54">
        <v>0</v>
      </c>
      <c r="O69" s="57" t="str">
        <f>IFERROR((Table9[[#This Row],[No. of External security Defects]])/(Table9[[#This Row],[No. of Internal Security Defects  ]]+Table9[[#This Row],[No. of External security Defects]]),"")</f>
        <v/>
      </c>
      <c r="Q69"/>
    </row>
    <row r="70" spans="2:17" ht="13.5">
      <c r="B70" s="54"/>
      <c r="C70" s="55"/>
      <c r="D70" s="56" t="str">
        <f>IF(Table8[[#This Row],[Month - Year]]="","",TEXT(Table8[[#This Row],[Month - Year]],"MMM-YY"))</f>
        <v/>
      </c>
      <c r="E70" s="54"/>
      <c r="F70" s="54"/>
      <c r="G70" s="54"/>
      <c r="H70" s="57" t="str">
        <f>IFERROR(Table8[[#This Row],[No. of Resources for whom access were removed on time]]/Table8[[#This Row],[No. of Resources De-allocated]],"")</f>
        <v/>
      </c>
      <c r="I70" s="57" t="str">
        <f>IFERROR(Table8[[#This Row],[No. of Resources for whom assets were returned on time]]/Table8[[#This Row],[No. of Resources De-allocated]],"")</f>
        <v/>
      </c>
      <c r="K70" s="54"/>
      <c r="L70" s="54"/>
      <c r="M70" s="54"/>
      <c r="N70" s="54"/>
      <c r="O70" s="57" t="str">
        <f>IFERROR((Table9[[#This Row],[No. of External security Defects]])/(Table9[[#This Row],[No. of Internal Security Defects  ]]+Table9[[#This Row],[No. of External security Defects]]),"")</f>
        <v/>
      </c>
      <c r="Q70"/>
    </row>
    <row r="71" spans="2:17" ht="13.5">
      <c r="B71" s="54"/>
      <c r="C71" s="55"/>
      <c r="D71" s="56" t="str">
        <f>IF(Table8[[#This Row],[Month - Year]]="","",TEXT(Table8[[#This Row],[Month - Year]],"MMM-YY"))</f>
        <v/>
      </c>
      <c r="E71" s="54"/>
      <c r="F71" s="54"/>
      <c r="G71" s="54"/>
      <c r="H71" s="57" t="str">
        <f>IFERROR(Table8[[#This Row],[No. of Resources for whom access were removed on time]]/Table8[[#This Row],[No. of Resources De-allocated]],"")</f>
        <v/>
      </c>
      <c r="I71" s="57" t="str">
        <f>IFERROR(Table8[[#This Row],[No. of Resources for whom assets were returned on time]]/Table8[[#This Row],[No. of Resources De-allocated]],"")</f>
        <v/>
      </c>
      <c r="K71" s="54"/>
      <c r="L71" s="54"/>
      <c r="M71" s="54"/>
      <c r="N71" s="54"/>
      <c r="O71" s="57" t="str">
        <f>IFERROR((Table9[[#This Row],[No. of External security Defects]])/(Table9[[#This Row],[No. of Internal Security Defects  ]]+Table9[[#This Row],[No. of External security Defects]]),"")</f>
        <v/>
      </c>
      <c r="Q71"/>
    </row>
    <row r="72" spans="2:17" ht="13.5">
      <c r="B72" s="54"/>
      <c r="C72" s="55"/>
      <c r="D72" s="56" t="str">
        <f>IF(Table8[[#This Row],[Month - Year]]="","",TEXT(Table8[[#This Row],[Month - Year]],"MMM-YY"))</f>
        <v/>
      </c>
      <c r="E72" s="54"/>
      <c r="F72" s="54"/>
      <c r="G72" s="54"/>
      <c r="H72" s="57" t="str">
        <f>IFERROR(Table8[[#This Row],[No. of Resources for whom access were removed on time]]/Table8[[#This Row],[No. of Resources De-allocated]],"")</f>
        <v/>
      </c>
      <c r="I72" s="57" t="str">
        <f>IFERROR(Table8[[#This Row],[No. of Resources for whom assets were returned on time]]/Table8[[#This Row],[No. of Resources De-allocated]],"")</f>
        <v/>
      </c>
      <c r="K72" s="54"/>
      <c r="L72" s="54"/>
      <c r="M72" s="54"/>
      <c r="N72" s="54"/>
      <c r="O72" s="57" t="str">
        <f>IFERROR((Table9[[#This Row],[No. of External security Defects]])/(Table9[[#This Row],[No. of Internal Security Defects  ]]+Table9[[#This Row],[No. of External security Defects]]),"")</f>
        <v/>
      </c>
    </row>
    <row r="73" spans="2:17" ht="13.5">
      <c r="B73" s="54"/>
      <c r="C73" s="55"/>
      <c r="D73" s="56" t="str">
        <f>IF(Table8[[#This Row],[Month - Year]]="","",TEXT(Table8[[#This Row],[Month - Year]],"MMM-YY"))</f>
        <v/>
      </c>
      <c r="E73" s="54"/>
      <c r="F73" s="54"/>
      <c r="G73" s="54"/>
      <c r="H73" s="57" t="str">
        <f>IFERROR(Table8[[#This Row],[No. of Resources for whom access were removed on time]]/Table8[[#This Row],[No. of Resources De-allocated]],"")</f>
        <v/>
      </c>
      <c r="I73" s="57" t="str">
        <f>IFERROR(Table8[[#This Row],[No. of Resources for whom assets were returned on time]]/Table8[[#This Row],[No. of Resources De-allocated]],"")</f>
        <v/>
      </c>
      <c r="K73" s="54"/>
      <c r="L73" s="54"/>
      <c r="M73" s="54"/>
      <c r="N73" s="54"/>
      <c r="O73" s="57" t="str">
        <f>IFERROR((Table9[[#This Row],[No. of External security Defects]])/(Table9[[#This Row],[No. of Internal Security Defects  ]]+Table9[[#This Row],[No. of External security Defects]]),"")</f>
        <v/>
      </c>
    </row>
    <row r="74" spans="2:17" ht="13.5">
      <c r="B74" s="54"/>
      <c r="C74" s="55"/>
      <c r="D74" s="56" t="str">
        <f>IF(Table8[[#This Row],[Month - Year]]="","",TEXT(Table8[[#This Row],[Month - Year]],"MMM-YY"))</f>
        <v/>
      </c>
      <c r="E74" s="54"/>
      <c r="F74" s="54"/>
      <c r="G74" s="54"/>
      <c r="H74" s="57" t="str">
        <f>IFERROR(Table8[[#This Row],[No. of Resources for whom access were removed on time]]/Table8[[#This Row],[No. of Resources De-allocated]],"")</f>
        <v/>
      </c>
      <c r="I74" s="57" t="str">
        <f>IFERROR(Table8[[#This Row],[No. of Resources for whom assets were returned on time]]/Table8[[#This Row],[No. of Resources De-allocated]],"")</f>
        <v/>
      </c>
      <c r="K74" s="54"/>
      <c r="L74" s="54"/>
      <c r="M74" s="54"/>
      <c r="N74" s="54"/>
      <c r="O74" s="57" t="str">
        <f>IFERROR((Table9[[#This Row],[No. of External security Defects]])/(Table9[[#This Row],[No. of Internal Security Defects  ]]+Table9[[#This Row],[No. of External security Defects]]),"")</f>
        <v/>
      </c>
    </row>
    <row r="75" spans="2:17" ht="13.5">
      <c r="B75" s="54"/>
      <c r="C75" s="55"/>
      <c r="D75" s="56" t="str">
        <f>IF(Table8[[#This Row],[Month - Year]]="","",TEXT(Table8[[#This Row],[Month - Year]],"MMM-YY"))</f>
        <v/>
      </c>
      <c r="E75" s="54"/>
      <c r="F75" s="54"/>
      <c r="G75" s="54"/>
      <c r="H75" s="57" t="str">
        <f>IFERROR(Table8[[#This Row],[No. of Resources for whom access were removed on time]]/Table8[[#This Row],[No. of Resources De-allocated]],"")</f>
        <v/>
      </c>
      <c r="I75" s="57" t="str">
        <f>IFERROR(Table8[[#This Row],[No. of Resources for whom assets were returned on time]]/Table8[[#This Row],[No. of Resources De-allocated]],"")</f>
        <v/>
      </c>
      <c r="K75" s="54"/>
      <c r="L75" s="54"/>
      <c r="M75" s="54"/>
      <c r="N75" s="54"/>
      <c r="O75" s="57" t="str">
        <f>IFERROR((Table9[[#This Row],[No. of External security Defects]])/(Table9[[#This Row],[No. of Internal Security Defects  ]]+Table9[[#This Row],[No. of External security Defects]]),"")</f>
        <v/>
      </c>
    </row>
    <row r="76" spans="2:17" ht="13.5">
      <c r="B76" s="54"/>
      <c r="C76" s="55"/>
      <c r="D76" s="56" t="str">
        <f>IF(Table8[[#This Row],[Month - Year]]="","",TEXT(Table8[[#This Row],[Month - Year]],"MMM-YY"))</f>
        <v/>
      </c>
      <c r="E76" s="54"/>
      <c r="F76" s="54"/>
      <c r="G76" s="54"/>
      <c r="H76" s="57" t="str">
        <f>IFERROR(Table8[[#This Row],[No. of Resources for whom access were removed on time]]/Table8[[#This Row],[No. of Resources De-allocated]],"")</f>
        <v/>
      </c>
      <c r="I76" s="57" t="str">
        <f>IFERROR(Table8[[#This Row],[No. of Resources for whom assets were returned on time]]/Table8[[#This Row],[No. of Resources De-allocated]],"")</f>
        <v/>
      </c>
      <c r="K76" s="54"/>
      <c r="L76" s="54"/>
      <c r="M76" s="54"/>
      <c r="N76" s="54"/>
      <c r="O76" s="57" t="str">
        <f>IFERROR((Table9[[#This Row],[No. of External security Defects]])/(Table9[[#This Row],[No. of Internal Security Defects  ]]+Table9[[#This Row],[No. of External security Defects]]),"")</f>
        <v/>
      </c>
    </row>
    <row r="77" spans="2:17" ht="13.5">
      <c r="B77" s="54"/>
      <c r="C77" s="55"/>
      <c r="D77" s="56" t="str">
        <f>IF(Table8[[#This Row],[Month - Year]]="","",TEXT(Table8[[#This Row],[Month - Year]],"MMM-YY"))</f>
        <v/>
      </c>
      <c r="E77" s="54"/>
      <c r="F77" s="54"/>
      <c r="G77" s="54"/>
      <c r="H77" s="57" t="str">
        <f>IFERROR(Table8[[#This Row],[No. of Resources for whom access were removed on time]]/Table8[[#This Row],[No. of Resources De-allocated]],"")</f>
        <v/>
      </c>
      <c r="I77" s="57" t="str">
        <f>IFERROR(Table8[[#This Row],[No. of Resources for whom assets were returned on time]]/Table8[[#This Row],[No. of Resources De-allocated]],"")</f>
        <v/>
      </c>
      <c r="K77" s="54"/>
      <c r="L77" s="54"/>
      <c r="M77" s="54"/>
      <c r="N77" s="54"/>
      <c r="O77" s="57" t="str">
        <f>IFERROR((Table9[[#This Row],[No. of External security Defects]])/(Table9[[#This Row],[No. of Internal Security Defects  ]]+Table9[[#This Row],[No. of External security Defects]]),"")</f>
        <v/>
      </c>
    </row>
    <row r="78" spans="2:17" ht="13.5">
      <c r="B78" s="54"/>
      <c r="C78" s="55"/>
      <c r="D78" s="56" t="str">
        <f>IF(Table8[[#This Row],[Month - Year]]="","",TEXT(Table8[[#This Row],[Month - Year]],"MMM-YY"))</f>
        <v/>
      </c>
      <c r="E78" s="54"/>
      <c r="F78" s="54"/>
      <c r="G78" s="54"/>
      <c r="H78" s="57" t="str">
        <f>IFERROR(Table8[[#This Row],[No. of Resources for whom access were removed on time]]/Table8[[#This Row],[No. of Resources De-allocated]],"")</f>
        <v/>
      </c>
      <c r="I78" s="57" t="str">
        <f>IFERROR(Table8[[#This Row],[No. of Resources for whom assets were returned on time]]/Table8[[#This Row],[No. of Resources De-allocated]],"")</f>
        <v/>
      </c>
      <c r="K78" s="54"/>
      <c r="L78" s="54"/>
      <c r="M78" s="54"/>
      <c r="N78" s="54"/>
      <c r="O78" s="57" t="str">
        <f>IFERROR((Table9[[#This Row],[No. of External security Defects]])/(Table9[[#This Row],[No. of Internal Security Defects  ]]+Table9[[#This Row],[No. of External security Defects]]),"")</f>
        <v/>
      </c>
    </row>
    <row r="79" spans="2:17" ht="13.5">
      <c r="B79" s="54"/>
      <c r="C79" s="55"/>
      <c r="D79" s="56" t="str">
        <f>IF(Table8[[#This Row],[Month - Year]]="","",TEXT(Table8[[#This Row],[Month - Year]],"MMM-YY"))</f>
        <v/>
      </c>
      <c r="E79" s="54"/>
      <c r="F79" s="54"/>
      <c r="G79" s="54"/>
      <c r="H79" s="57" t="str">
        <f>IFERROR(Table8[[#This Row],[No. of Resources for whom access were removed on time]]/Table8[[#This Row],[No. of Resources De-allocated]],"")</f>
        <v/>
      </c>
      <c r="I79" s="57" t="str">
        <f>IFERROR(Table8[[#This Row],[No. of Resources for whom assets were returned on time]]/Table8[[#This Row],[No. of Resources De-allocated]],"")</f>
        <v/>
      </c>
      <c r="K79" s="54"/>
      <c r="L79" s="54"/>
      <c r="M79" s="54"/>
      <c r="N79" s="54"/>
      <c r="O79" s="57" t="str">
        <f>IFERROR((Table9[[#This Row],[No. of External security Defects]])/(Table9[[#This Row],[No. of Internal Security Defects  ]]+Table9[[#This Row],[No. of External security Defects]]),"")</f>
        <v/>
      </c>
    </row>
    <row r="80" spans="2:17" ht="13.5">
      <c r="B80" s="54"/>
      <c r="C80" s="55"/>
      <c r="D80" s="56" t="str">
        <f>IF(Table8[[#This Row],[Month - Year]]="","",TEXT(Table8[[#This Row],[Month - Year]],"MMM-YY"))</f>
        <v/>
      </c>
      <c r="E80" s="54"/>
      <c r="F80" s="54"/>
      <c r="G80" s="54"/>
      <c r="H80" s="57" t="str">
        <f>IFERROR(Table8[[#This Row],[No. of Resources for whom access were removed on time]]/Table8[[#This Row],[No. of Resources De-allocated]],"")</f>
        <v/>
      </c>
      <c r="I80" s="57" t="str">
        <f>IFERROR(Table8[[#This Row],[No. of Resources for whom assets were returned on time]]/Table8[[#This Row],[No. of Resources De-allocated]],"")</f>
        <v/>
      </c>
      <c r="K80" s="54"/>
      <c r="L80" s="54"/>
      <c r="M80" s="54"/>
      <c r="N80" s="54"/>
      <c r="O80" s="57" t="str">
        <f>IFERROR((Table9[[#This Row],[No. of External security Defects]])/(Table9[[#This Row],[No. of Internal Security Defects  ]]+Table9[[#This Row],[No. of External security Defects]]),"")</f>
        <v/>
      </c>
    </row>
    <row r="81" spans="2:15" ht="13.5">
      <c r="B81" s="54"/>
      <c r="C81" s="55"/>
      <c r="D81" s="56" t="str">
        <f>IF(Table8[[#This Row],[Month - Year]]="","",TEXT(Table8[[#This Row],[Month - Year]],"MMM-YY"))</f>
        <v/>
      </c>
      <c r="E81" s="54"/>
      <c r="F81" s="54"/>
      <c r="G81" s="54"/>
      <c r="H81" s="57" t="str">
        <f>IFERROR(Table8[[#This Row],[No. of Resources for whom access were removed on time]]/Table8[[#This Row],[No. of Resources De-allocated]],"")</f>
        <v/>
      </c>
      <c r="I81" s="57" t="str">
        <f>IFERROR(Table8[[#This Row],[No. of Resources for whom assets were returned on time]]/Table8[[#This Row],[No. of Resources De-allocated]],"")</f>
        <v/>
      </c>
      <c r="K81" s="54"/>
      <c r="L81" s="54"/>
      <c r="M81" s="54"/>
      <c r="N81" s="54"/>
      <c r="O81" s="57" t="str">
        <f>IFERROR((Table9[[#This Row],[No. of External security Defects]])/(Table9[[#This Row],[No. of Internal Security Defects  ]]+Table9[[#This Row],[No. of External security Defects]]),"")</f>
        <v/>
      </c>
    </row>
    <row r="82" spans="2:15" ht="13.5">
      <c r="B82" s="54"/>
      <c r="C82" s="58"/>
      <c r="D82" s="56" t="str">
        <f>IF(Table8[[#This Row],[Month - Year]]="","",TEXT(Table8[[#This Row],[Month - Year]],"MMM-YY"))</f>
        <v/>
      </c>
      <c r="E82" s="54"/>
      <c r="F82" s="54"/>
      <c r="G82" s="54"/>
      <c r="H82" s="57" t="str">
        <f>IFERROR(Table8[[#This Row],[No. of Resources for whom access were removed on time]]/Table8[[#This Row],[No. of Resources De-allocated]],"")</f>
        <v/>
      </c>
      <c r="I82" s="57" t="str">
        <f>IFERROR(Table8[[#This Row],[No. of Resources for whom assets were returned on time]]/Table8[[#This Row],[No. of Resources De-allocated]],"")</f>
        <v/>
      </c>
      <c r="K82" s="54"/>
      <c r="L82" s="54"/>
      <c r="M82" s="54"/>
      <c r="N82" s="54"/>
      <c r="O82" s="57" t="str">
        <f>IFERROR((Table9[[#This Row],[No. of External security Defects]])/(Table9[[#This Row],[No. of Internal Security Defects  ]]+Table9[[#This Row],[No. of External security Defects]]),"")</f>
        <v/>
      </c>
    </row>
    <row r="83" spans="2:15" ht="13.5">
      <c r="B83" s="54"/>
      <c r="C83" s="58"/>
      <c r="D83" s="56" t="str">
        <f>IF(Table8[[#This Row],[Month - Year]]="","",TEXT(Table8[[#This Row],[Month - Year]],"MMM-YY"))</f>
        <v/>
      </c>
      <c r="E83" s="54"/>
      <c r="F83" s="54"/>
      <c r="G83" s="54"/>
      <c r="H83" s="57" t="str">
        <f>IFERROR(Table8[[#This Row],[No. of Resources for whom access were removed on time]]/Table8[[#This Row],[No. of Resources De-allocated]],"")</f>
        <v/>
      </c>
      <c r="I83" s="57" t="str">
        <f>IFERROR(Table8[[#This Row],[No. of Resources for whom assets were returned on time]]/Table8[[#This Row],[No. of Resources De-allocated]],"")</f>
        <v/>
      </c>
      <c r="K83" s="54"/>
      <c r="L83" s="54"/>
      <c r="M83" s="54"/>
      <c r="N83" s="54"/>
      <c r="O83" s="57" t="str">
        <f>IFERROR((Table9[[#This Row],[No. of External security Defects]])/(Table9[[#This Row],[No. of Internal Security Defects  ]]+Table9[[#This Row],[No. of External security Defects]]),"")</f>
        <v/>
      </c>
    </row>
    <row r="84" spans="2:15" ht="13.5">
      <c r="B84" s="54"/>
      <c r="C84" s="58"/>
      <c r="D84" s="56" t="str">
        <f>IF(Table8[[#This Row],[Month - Year]]="","",TEXT(Table8[[#This Row],[Month - Year]],"MMM-YY"))</f>
        <v/>
      </c>
      <c r="E84" s="54"/>
      <c r="F84" s="54"/>
      <c r="G84" s="54"/>
      <c r="H84" s="57" t="str">
        <f>IFERROR(Table8[[#This Row],[No. of Resources for whom access were removed on time]]/Table8[[#This Row],[No. of Resources De-allocated]],"")</f>
        <v/>
      </c>
      <c r="I84" s="57" t="str">
        <f>IFERROR(Table8[[#This Row],[No. of Resources for whom assets were returned on time]]/Table8[[#This Row],[No. of Resources De-allocated]],"")</f>
        <v/>
      </c>
      <c r="K84" s="54"/>
      <c r="L84" s="54"/>
      <c r="M84" s="54"/>
      <c r="N84" s="54"/>
      <c r="O84" s="57" t="str">
        <f>IFERROR((Table9[[#This Row],[No. of External security Defects]])/(Table9[[#This Row],[No. of Internal Security Defects  ]]+Table9[[#This Row],[No. of External security Defects]]),"")</f>
        <v/>
      </c>
    </row>
    <row r="85" spans="2:15" ht="13.5">
      <c r="B85" s="54"/>
      <c r="C85" s="58"/>
      <c r="D85" s="56" t="str">
        <f>IF(Table8[[#This Row],[Month - Year]]="","",TEXT(Table8[[#This Row],[Month - Year]],"MMM-YY"))</f>
        <v/>
      </c>
      <c r="E85" s="54"/>
      <c r="F85" s="54"/>
      <c r="G85" s="54"/>
      <c r="H85" s="57" t="str">
        <f>IFERROR(Table8[[#This Row],[No. of Resources for whom access were removed on time]]/Table8[[#This Row],[No. of Resources De-allocated]],"")</f>
        <v/>
      </c>
      <c r="I85" s="57" t="str">
        <f>IFERROR(Table8[[#This Row],[No. of Resources for whom assets were returned on time]]/Table8[[#This Row],[No. of Resources De-allocated]],"")</f>
        <v/>
      </c>
      <c r="K85" s="54"/>
      <c r="L85" s="54"/>
      <c r="M85" s="54"/>
      <c r="N85" s="54"/>
      <c r="O85" s="57" t="str">
        <f>IFERROR((Table9[[#This Row],[No. of External security Defects]])/(Table9[[#This Row],[No. of Internal Security Defects  ]]+Table9[[#This Row],[No. of External security Defects]]),"")</f>
        <v/>
      </c>
    </row>
    <row r="86" spans="2:15" ht="13.5">
      <c r="B86" s="54"/>
      <c r="C86" s="58"/>
      <c r="D86" s="56" t="str">
        <f>IF(Table8[[#This Row],[Month - Year]]="","",TEXT(Table8[[#This Row],[Month - Year]],"MMM-YY"))</f>
        <v/>
      </c>
      <c r="E86" s="54"/>
      <c r="F86" s="54"/>
      <c r="G86" s="54"/>
      <c r="H86" s="57" t="str">
        <f>IFERROR(Table8[[#This Row],[No. of Resources for whom access were removed on time]]/Table8[[#This Row],[No. of Resources De-allocated]],"")</f>
        <v/>
      </c>
      <c r="I86" s="57" t="str">
        <f>IFERROR(Table8[[#This Row],[No. of Resources for whom assets were returned on time]]/Table8[[#This Row],[No. of Resources De-allocated]],"")</f>
        <v/>
      </c>
      <c r="K86" s="54"/>
      <c r="L86" s="54"/>
      <c r="M86" s="54"/>
      <c r="N86" s="54"/>
      <c r="O86" s="57" t="str">
        <f>IFERROR((Table9[[#This Row],[No. of External security Defects]])/(Table9[[#This Row],[No. of Internal Security Defects  ]]+Table9[[#This Row],[No. of External security Defects]]),"")</f>
        <v/>
      </c>
    </row>
    <row r="87" spans="2:15" ht="13.5">
      <c r="B87" s="54"/>
      <c r="C87" s="58"/>
      <c r="D87" s="56" t="str">
        <f>IF(Table8[[#This Row],[Month - Year]]="","",TEXT(Table8[[#This Row],[Month - Year]],"MMM-YY"))</f>
        <v/>
      </c>
      <c r="E87" s="54"/>
      <c r="F87" s="54"/>
      <c r="G87" s="54"/>
      <c r="H87" s="57" t="str">
        <f>IFERROR(Table8[[#This Row],[No. of Resources for whom access were removed on time]]/Table8[[#This Row],[No. of Resources De-allocated]],"")</f>
        <v/>
      </c>
      <c r="I87" s="57" t="str">
        <f>IFERROR(Table8[[#This Row],[No. of Resources for whom assets were returned on time]]/Table8[[#This Row],[No. of Resources De-allocated]],"")</f>
        <v/>
      </c>
      <c r="K87" s="54"/>
      <c r="L87" s="54"/>
      <c r="M87" s="54"/>
      <c r="N87" s="54"/>
      <c r="O87" s="57" t="str">
        <f>IFERROR((Table9[[#This Row],[No. of External security Defects]])/(Table9[[#This Row],[No. of Internal Security Defects  ]]+Table9[[#This Row],[No. of External security Defects]]),"")</f>
        <v/>
      </c>
    </row>
    <row r="88" spans="2:15" ht="13.5">
      <c r="B88" s="54"/>
      <c r="C88" s="58"/>
      <c r="D88" s="56" t="str">
        <f>IF(Table8[[#This Row],[Month - Year]]="","",TEXT(Table8[[#This Row],[Month - Year]],"MMM-YY"))</f>
        <v/>
      </c>
      <c r="E88" s="54"/>
      <c r="F88" s="54"/>
      <c r="G88" s="54"/>
      <c r="H88" s="57" t="str">
        <f>IFERROR(Table8[[#This Row],[No. of Resources for whom access were removed on time]]/Table8[[#This Row],[No. of Resources De-allocated]],"")</f>
        <v/>
      </c>
      <c r="I88" s="57" t="str">
        <f>IFERROR(Table8[[#This Row],[No. of Resources for whom assets were returned on time]]/Table8[[#This Row],[No. of Resources De-allocated]],"")</f>
        <v/>
      </c>
      <c r="K88" s="54"/>
      <c r="L88" s="54"/>
      <c r="M88" s="54"/>
      <c r="N88" s="54"/>
      <c r="O88" s="57" t="str">
        <f>IFERROR((Table9[[#This Row],[No. of External security Defects]])/(Table9[[#This Row],[No. of Internal Security Defects  ]]+Table9[[#This Row],[No. of External security Defects]]),"")</f>
        <v/>
      </c>
    </row>
    <row r="89" spans="2:15" ht="13.5">
      <c r="B89" s="54"/>
      <c r="C89" s="58"/>
      <c r="D89" s="56" t="str">
        <f>IF(Table8[[#This Row],[Month - Year]]="","",TEXT(Table8[[#This Row],[Month - Year]],"MMM-YY"))</f>
        <v/>
      </c>
      <c r="E89" s="54"/>
      <c r="F89" s="54"/>
      <c r="G89" s="54"/>
      <c r="H89" s="57" t="str">
        <f>IFERROR(Table8[[#This Row],[No. of Resources for whom access were removed on time]]/Table8[[#This Row],[No. of Resources De-allocated]],"")</f>
        <v/>
      </c>
      <c r="I89" s="57" t="str">
        <f>IFERROR(Table8[[#This Row],[No. of Resources for whom assets were returned on time]]/Table8[[#This Row],[No. of Resources De-allocated]],"")</f>
        <v/>
      </c>
      <c r="K89" s="54"/>
      <c r="L89" s="54"/>
      <c r="M89" s="54"/>
      <c r="N89" s="54"/>
      <c r="O89" s="57" t="str">
        <f>IFERROR((Table9[[#This Row],[No. of External security Defects]])/(Table9[[#This Row],[No. of Internal Security Defects  ]]+Table9[[#This Row],[No. of External security Defects]]),"")</f>
        <v/>
      </c>
    </row>
    <row r="90" spans="2:15" ht="13.5">
      <c r="B90" s="54"/>
      <c r="C90" s="58"/>
      <c r="D90" s="56" t="str">
        <f>IF(Table8[[#This Row],[Month - Year]]="","",TEXT(Table8[[#This Row],[Month - Year]],"MMM-YY"))</f>
        <v/>
      </c>
      <c r="E90" s="54"/>
      <c r="F90" s="54"/>
      <c r="G90" s="54"/>
      <c r="H90" s="57" t="str">
        <f>IFERROR(Table8[[#This Row],[No. of Resources for whom access were removed on time]]/Table8[[#This Row],[No. of Resources De-allocated]],"")</f>
        <v/>
      </c>
      <c r="I90" s="57" t="str">
        <f>IFERROR(Table8[[#This Row],[No. of Resources for whom assets were returned on time]]/Table8[[#This Row],[No. of Resources De-allocated]],"")</f>
        <v/>
      </c>
      <c r="K90" s="54"/>
      <c r="L90" s="54"/>
      <c r="M90" s="54"/>
      <c r="N90" s="54"/>
      <c r="O90" s="57" t="str">
        <f>IFERROR((Table9[[#This Row],[No. of External security Defects]])/(Table9[[#This Row],[No. of Internal Security Defects  ]]+Table9[[#This Row],[No. of External security Defects]]),"")</f>
        <v/>
      </c>
    </row>
    <row r="91" spans="2:15" ht="13.5">
      <c r="B91" s="54"/>
      <c r="C91" s="58"/>
      <c r="D91" s="56" t="str">
        <f>IF(Table8[[#This Row],[Month - Year]]="","",TEXT(Table8[[#This Row],[Month - Year]],"MMM-YY"))</f>
        <v/>
      </c>
      <c r="E91" s="54"/>
      <c r="F91" s="54"/>
      <c r="G91" s="54"/>
      <c r="H91" s="57" t="str">
        <f>IFERROR(Table8[[#This Row],[No. of Resources for whom access were removed on time]]/Table8[[#This Row],[No. of Resources De-allocated]],"")</f>
        <v/>
      </c>
      <c r="I91" s="57" t="str">
        <f>IFERROR(Table8[[#This Row],[No. of Resources for whom assets were returned on time]]/Table8[[#This Row],[No. of Resources De-allocated]],"")</f>
        <v/>
      </c>
      <c r="K91" s="54"/>
      <c r="L91" s="54"/>
      <c r="M91" s="54"/>
      <c r="N91" s="54"/>
      <c r="O91" s="57" t="str">
        <f>IFERROR((Table9[[#This Row],[No. of External security Defects]])/(Table9[[#This Row],[No. of Internal Security Defects  ]]+Table9[[#This Row],[No. of External security Defects]]),"")</f>
        <v/>
      </c>
    </row>
    <row r="92" spans="2:15" ht="13.5">
      <c r="B92" s="54"/>
      <c r="C92" s="58"/>
      <c r="D92" s="56" t="str">
        <f>IF(Table8[[#This Row],[Month - Year]]="","",TEXT(Table8[[#This Row],[Month - Year]],"MMM-YY"))</f>
        <v/>
      </c>
      <c r="E92" s="54"/>
      <c r="F92" s="54"/>
      <c r="G92" s="54"/>
      <c r="H92" s="57" t="str">
        <f>IFERROR(Table8[[#This Row],[No. of Resources for whom access were removed on time]]/Table8[[#This Row],[No. of Resources De-allocated]],"")</f>
        <v/>
      </c>
      <c r="I92" s="57" t="str">
        <f>IFERROR(Table8[[#This Row],[No. of Resources for whom assets were returned on time]]/Table8[[#This Row],[No. of Resources De-allocated]],"")</f>
        <v/>
      </c>
      <c r="K92" s="54"/>
      <c r="L92" s="54"/>
      <c r="M92" s="54"/>
      <c r="N92" s="54"/>
      <c r="O92" s="57" t="str">
        <f>IFERROR((Table9[[#This Row],[No. of External security Defects]])/(Table9[[#This Row],[No. of Internal Security Defects  ]]+Table9[[#This Row],[No. of External security Defects]]),"")</f>
        <v/>
      </c>
    </row>
    <row r="93" spans="2:15" ht="13.5">
      <c r="B93" s="54"/>
      <c r="C93" s="58"/>
      <c r="D93" s="56" t="str">
        <f>IF(Table8[[#This Row],[Month - Year]]="","",TEXT(Table8[[#This Row],[Month - Year]],"MMM-YY"))</f>
        <v/>
      </c>
      <c r="E93" s="54"/>
      <c r="F93" s="54"/>
      <c r="G93" s="54"/>
      <c r="H93" s="57" t="str">
        <f>IFERROR(Table8[[#This Row],[No. of Resources for whom access were removed on time]]/Table8[[#This Row],[No. of Resources De-allocated]],"")</f>
        <v/>
      </c>
      <c r="I93" s="57" t="str">
        <f>IFERROR(Table8[[#This Row],[No. of Resources for whom assets were returned on time]]/Table8[[#This Row],[No. of Resources De-allocated]],"")</f>
        <v/>
      </c>
      <c r="K93" s="54"/>
      <c r="L93" s="54"/>
      <c r="M93" s="54"/>
      <c r="N93" s="54"/>
      <c r="O93" s="57" t="str">
        <f>IFERROR((Table9[[#This Row],[No. of External security Defects]])/(Table9[[#This Row],[No. of Internal Security Defects  ]]+Table9[[#This Row],[No. of External security Defects]]),"")</f>
        <v/>
      </c>
    </row>
    <row r="94" spans="2:15" ht="13.5">
      <c r="B94" s="54"/>
      <c r="C94" s="58"/>
      <c r="D94" s="56" t="str">
        <f>IF(Table8[[#This Row],[Month - Year]]="","",TEXT(Table8[[#This Row],[Month - Year]],"MMM-YY"))</f>
        <v/>
      </c>
      <c r="E94" s="54"/>
      <c r="F94" s="54"/>
      <c r="G94" s="54"/>
      <c r="H94" s="57" t="str">
        <f>IFERROR(Table8[[#This Row],[No. of Resources for whom access were removed on time]]/Table8[[#This Row],[No. of Resources De-allocated]],"")</f>
        <v/>
      </c>
      <c r="I94" s="57" t="str">
        <f>IFERROR(Table8[[#This Row],[No. of Resources for whom assets were returned on time]]/Table8[[#This Row],[No. of Resources De-allocated]],"")</f>
        <v/>
      </c>
      <c r="K94" s="54"/>
      <c r="L94" s="54"/>
      <c r="M94" s="54"/>
      <c r="N94" s="54"/>
      <c r="O94" s="57" t="str">
        <f>IFERROR((Table9[[#This Row],[No. of External security Defects]])/(Table9[[#This Row],[No. of Internal Security Defects  ]]+Table9[[#This Row],[No. of External security Defects]]),"")</f>
        <v/>
      </c>
    </row>
    <row r="95" spans="2:15" ht="13.5">
      <c r="B95" s="54"/>
      <c r="C95" s="58"/>
      <c r="D95" s="56" t="str">
        <f>IF(Table8[[#This Row],[Month - Year]]="","",TEXT(Table8[[#This Row],[Month - Year]],"MMM-YY"))</f>
        <v/>
      </c>
      <c r="E95" s="54"/>
      <c r="F95" s="54"/>
      <c r="G95" s="54"/>
      <c r="H95" s="57" t="str">
        <f>IFERROR(Table8[[#This Row],[No. of Resources for whom access were removed on time]]/Table8[[#This Row],[No. of Resources De-allocated]],"")</f>
        <v/>
      </c>
      <c r="I95" s="57" t="str">
        <f>IFERROR(Table8[[#This Row],[No. of Resources for whom assets were returned on time]]/Table8[[#This Row],[No. of Resources De-allocated]],"")</f>
        <v/>
      </c>
      <c r="K95" s="54"/>
      <c r="L95" s="54"/>
      <c r="M95" s="54"/>
      <c r="N95" s="54"/>
      <c r="O95" s="57" t="str">
        <f>IFERROR((Table9[[#This Row],[No. of External security Defects]])/(Table9[[#This Row],[No. of Internal Security Defects  ]]+Table9[[#This Row],[No. of External security Defects]]),"")</f>
        <v/>
      </c>
    </row>
    <row r="96" spans="2:15" ht="13.5">
      <c r="B96" s="54"/>
      <c r="C96" s="58"/>
      <c r="D96" s="56" t="str">
        <f>IF(Table8[[#This Row],[Month - Year]]="","",TEXT(Table8[[#This Row],[Month - Year]],"MMM-YY"))</f>
        <v/>
      </c>
      <c r="E96" s="54"/>
      <c r="F96" s="54"/>
      <c r="G96" s="54"/>
      <c r="H96" s="57" t="str">
        <f>IFERROR(Table8[[#This Row],[No. of Resources for whom access were removed on time]]/Table8[[#This Row],[No. of Resources De-allocated]],"")</f>
        <v/>
      </c>
      <c r="I96" s="57" t="str">
        <f>IFERROR(Table8[[#This Row],[No. of Resources for whom assets were returned on time]]/Table8[[#This Row],[No. of Resources De-allocated]],"")</f>
        <v/>
      </c>
      <c r="K96" s="54"/>
      <c r="L96" s="54"/>
      <c r="M96" s="54"/>
      <c r="N96" s="54"/>
      <c r="O96" s="57" t="str">
        <f>IFERROR((Table9[[#This Row],[No. of External security Defects]])/(Table9[[#This Row],[No. of Internal Security Defects  ]]+Table9[[#This Row],[No. of External security Defects]]),"")</f>
        <v/>
      </c>
    </row>
    <row r="97" spans="2:15" ht="13.5">
      <c r="B97" s="54"/>
      <c r="C97" s="58"/>
      <c r="D97" s="56" t="str">
        <f>IF(Table8[[#This Row],[Month - Year]]="","",TEXT(Table8[[#This Row],[Month - Year]],"MMM-YY"))</f>
        <v/>
      </c>
      <c r="E97" s="54"/>
      <c r="F97" s="54"/>
      <c r="G97" s="54"/>
      <c r="H97" s="57" t="str">
        <f>IFERROR(Table8[[#This Row],[No. of Resources for whom access were removed on time]]/Table8[[#This Row],[No. of Resources De-allocated]],"")</f>
        <v/>
      </c>
      <c r="I97" s="57" t="str">
        <f>IFERROR(Table8[[#This Row],[No. of Resources for whom assets were returned on time]]/Table8[[#This Row],[No. of Resources De-allocated]],"")</f>
        <v/>
      </c>
      <c r="K97" s="54"/>
      <c r="L97" s="54"/>
      <c r="M97" s="54"/>
      <c r="N97" s="54"/>
      <c r="O97" s="57" t="str">
        <f>IFERROR((Table9[[#This Row],[No. of External security Defects]])/(Table9[[#This Row],[No. of Internal Security Defects  ]]+Table9[[#This Row],[No. of External security Defects]]),"")</f>
        <v/>
      </c>
    </row>
    <row r="98" spans="2:15">
      <c r="B98" s="54"/>
      <c r="C98" s="58"/>
      <c r="D98" s="56" t="str">
        <f>IF(Table8[[#This Row],[Month - Year]]="","",TEXT(Table8[[#This Row],[Month - Year]],"MMM-YY"))</f>
        <v/>
      </c>
      <c r="E98" s="54"/>
      <c r="F98" s="54"/>
      <c r="G98" s="54"/>
      <c r="H98" s="57" t="str">
        <f>IFERROR(Table8[[#This Row],[No. of Resources for whom access were removed on time]]/Table8[[#This Row],[No. of Resources De-allocated]],"")</f>
        <v/>
      </c>
      <c r="I98" s="57" t="str">
        <f>IFERROR(Table8[[#This Row],[No. of Resources for whom assets were returned on time]]/Table8[[#This Row],[No. of Resources De-allocated]],"")</f>
        <v/>
      </c>
      <c r="K98" s="54"/>
      <c r="L98" s="54"/>
      <c r="M98" s="54"/>
      <c r="N98" s="54"/>
      <c r="O98" s="57" t="str">
        <f>IFERROR((Table9[[#This Row],[No. of External security Defects]])/(Table9[[#This Row],[No. of Internal Security Defects  ]]+Table9[[#This Row],[No. of External security Defects]]),"")</f>
        <v/>
      </c>
    </row>
    <row r="99" spans="2:15">
      <c r="B99" s="54"/>
      <c r="C99" s="58"/>
      <c r="D99" s="56" t="str">
        <f>IF(Table8[[#This Row],[Month - Year]]="","",TEXT(Table8[[#This Row],[Month - Year]],"MMM-YY"))</f>
        <v/>
      </c>
      <c r="E99" s="54"/>
      <c r="F99" s="54"/>
      <c r="G99" s="54"/>
      <c r="H99" s="57" t="str">
        <f>IFERROR(Table8[[#This Row],[No. of Resources for whom access were removed on time]]/Table8[[#This Row],[No. of Resources De-allocated]],"")</f>
        <v/>
      </c>
      <c r="I99" s="57" t="str">
        <f>IFERROR(Table8[[#This Row],[No. of Resources for whom assets were returned on time]]/Table8[[#This Row],[No. of Resources De-allocated]],"")</f>
        <v/>
      </c>
      <c r="K99" s="54"/>
      <c r="L99" s="54"/>
      <c r="M99" s="54"/>
      <c r="N99" s="54"/>
      <c r="O99" s="57" t="str">
        <f>IFERROR((Table9[[#This Row],[No. of External security Defects]])/(Table9[[#This Row],[No. of Internal Security Defects  ]]+Table9[[#This Row],[No. of External security Defects]]),"")</f>
        <v/>
      </c>
    </row>
    <row r="100" spans="2:15">
      <c r="B100" s="54"/>
      <c r="C100" s="58"/>
      <c r="D100" s="56" t="str">
        <f>IF(Table8[[#This Row],[Month - Year]]="","",TEXT(Table8[[#This Row],[Month - Year]],"MMM-YY"))</f>
        <v/>
      </c>
      <c r="E100" s="54"/>
      <c r="F100" s="54"/>
      <c r="G100" s="54"/>
      <c r="H100" s="57" t="str">
        <f>IFERROR(Table8[[#This Row],[No. of Resources for whom access were removed on time]]/Table8[[#This Row],[No. of Resources De-allocated]],"")</f>
        <v/>
      </c>
      <c r="I100" s="57" t="str">
        <f>IFERROR(Table8[[#This Row],[No. of Resources for whom assets were returned on time]]/Table8[[#This Row],[No. of Resources De-allocated]],"")</f>
        <v/>
      </c>
      <c r="K100" s="54"/>
      <c r="L100" s="54"/>
      <c r="M100" s="54"/>
      <c r="N100" s="54"/>
      <c r="O100" s="57" t="str">
        <f>IFERROR((Table9[[#This Row],[No. of External security Defects]])/(Table9[[#This Row],[No. of Internal Security Defects  ]]+Table9[[#This Row],[No. of External security Defects]]),"")</f>
        <v/>
      </c>
    </row>
    <row r="101" spans="2:15">
      <c r="B101" s="54"/>
      <c r="C101" s="58"/>
      <c r="D101" s="56" t="str">
        <f>IF(Table8[[#This Row],[Month - Year]]="","",TEXT(Table8[[#This Row],[Month - Year]],"MMM-YY"))</f>
        <v/>
      </c>
      <c r="E101" s="54"/>
      <c r="F101" s="54"/>
      <c r="G101" s="54"/>
      <c r="H101" s="57" t="str">
        <f>IFERROR(Table8[[#This Row],[No. of Resources for whom access were removed on time]]/Table8[[#This Row],[No. of Resources De-allocated]],"")</f>
        <v/>
      </c>
      <c r="I101" s="57" t="str">
        <f>IFERROR(Table8[[#This Row],[No. of Resources for whom assets were returned on time]]/Table8[[#This Row],[No. of Resources De-allocated]],"")</f>
        <v/>
      </c>
      <c r="K101" s="54"/>
      <c r="L101" s="54"/>
      <c r="M101" s="54"/>
      <c r="N101" s="54"/>
      <c r="O101" s="57" t="str">
        <f>IFERROR((Table9[[#This Row],[No. of External security Defects]])/(Table9[[#This Row],[No. of Internal Security Defects  ]]+Table9[[#This Row],[No. of External security Defects]]),"")</f>
        <v/>
      </c>
    </row>
    <row r="102" spans="2:15">
      <c r="B102" s="54"/>
      <c r="C102" s="58"/>
      <c r="D102" s="56" t="str">
        <f>IF(Table8[[#This Row],[Month - Year]]="","",TEXT(Table8[[#This Row],[Month - Year]],"MMM-YY"))</f>
        <v/>
      </c>
      <c r="E102" s="54"/>
      <c r="F102" s="54"/>
      <c r="G102" s="54"/>
      <c r="H102" s="57" t="str">
        <f>IFERROR(Table8[[#This Row],[No. of Resources for whom access were removed on time]]/Table8[[#This Row],[No. of Resources De-allocated]],"")</f>
        <v/>
      </c>
      <c r="I102" s="57" t="str">
        <f>IFERROR(Table8[[#This Row],[No. of Resources for whom assets were returned on time]]/Table8[[#This Row],[No. of Resources De-allocated]],"")</f>
        <v/>
      </c>
      <c r="K102" s="54"/>
      <c r="L102" s="54"/>
      <c r="M102" s="54"/>
      <c r="N102" s="54"/>
      <c r="O102" s="57" t="str">
        <f>IFERROR((Table9[[#This Row],[No. of External security Defects]])/(Table9[[#This Row],[No. of Internal Security Defects  ]]+Table9[[#This Row],[No. of External security Defects]]),"")</f>
        <v/>
      </c>
    </row>
    <row r="103" spans="2:15">
      <c r="B103" s="54"/>
      <c r="C103" s="58"/>
      <c r="D103" s="56" t="str">
        <f>IF(Table8[[#This Row],[Month - Year]]="","",TEXT(Table8[[#This Row],[Month - Year]],"MMM-YY"))</f>
        <v/>
      </c>
      <c r="E103" s="54"/>
      <c r="F103" s="54"/>
      <c r="G103" s="54"/>
      <c r="H103" s="57" t="str">
        <f>IFERROR(Table8[[#This Row],[No. of Resources for whom access were removed on time]]/Table8[[#This Row],[No. of Resources De-allocated]],"")</f>
        <v/>
      </c>
      <c r="I103" s="57" t="str">
        <f>IFERROR(Table8[[#This Row],[No. of Resources for whom assets were returned on time]]/Table8[[#This Row],[No. of Resources De-allocated]],"")</f>
        <v/>
      </c>
      <c r="K103" s="54"/>
      <c r="L103" s="54"/>
      <c r="M103" s="54"/>
      <c r="N103" s="54"/>
      <c r="O103" s="57" t="str">
        <f>IFERROR((Table9[[#This Row],[No. of External security Defects]])/(Table9[[#This Row],[No. of Internal Security Defects  ]]+Table9[[#This Row],[No. of External security Defects]]),"")</f>
        <v/>
      </c>
    </row>
    <row r="104" spans="2:15">
      <c r="B104" s="54"/>
      <c r="C104" s="58"/>
      <c r="D104" s="56" t="str">
        <f>IF(Table8[[#This Row],[Month - Year]]="","",TEXT(Table8[[#This Row],[Month - Year]],"MMM-YY"))</f>
        <v/>
      </c>
      <c r="E104" s="54"/>
      <c r="F104" s="54"/>
      <c r="G104" s="54"/>
      <c r="H104" s="57" t="str">
        <f>IFERROR(Table8[[#This Row],[No. of Resources for whom access were removed on time]]/Table8[[#This Row],[No. of Resources De-allocated]],"")</f>
        <v/>
      </c>
      <c r="I104" s="57" t="str">
        <f>IFERROR(Table8[[#This Row],[No. of Resources for whom assets were returned on time]]/Table8[[#This Row],[No. of Resources De-allocated]],"")</f>
        <v/>
      </c>
      <c r="K104" s="54"/>
      <c r="L104" s="54"/>
      <c r="M104" s="54"/>
      <c r="N104" s="54"/>
      <c r="O104" s="57" t="str">
        <f>IFERROR((Table9[[#This Row],[No. of External security Defects]])/(Table9[[#This Row],[No. of Internal Security Defects  ]]+Table9[[#This Row],[No. of External security Defects]]),"")</f>
        <v/>
      </c>
    </row>
    <row r="105" spans="2:15">
      <c r="B105" s="54"/>
      <c r="C105" s="58"/>
      <c r="D105" s="56" t="str">
        <f>IF(Table8[[#This Row],[Month - Year]]="","",TEXT(Table8[[#This Row],[Month - Year]],"MMM-YY"))</f>
        <v/>
      </c>
      <c r="E105" s="54"/>
      <c r="F105" s="54"/>
      <c r="G105" s="54"/>
      <c r="H105" s="57" t="str">
        <f>IFERROR(Table8[[#This Row],[No. of Resources for whom access were removed on time]]/Table8[[#This Row],[No. of Resources De-allocated]],"")</f>
        <v/>
      </c>
      <c r="I105" s="57" t="str">
        <f>IFERROR(Table8[[#This Row],[No. of Resources for whom assets were returned on time]]/Table8[[#This Row],[No. of Resources De-allocated]],"")</f>
        <v/>
      </c>
      <c r="K105" s="54"/>
      <c r="L105" s="54"/>
      <c r="M105" s="54"/>
      <c r="N105" s="54"/>
      <c r="O105" s="57" t="str">
        <f>IFERROR((Table9[[#This Row],[No. of External security Defects]])/(Table9[[#This Row],[No. of Internal Security Defects  ]]+Table9[[#This Row],[No. of External security Defects]]),"")</f>
        <v/>
      </c>
    </row>
    <row r="106" spans="2:15">
      <c r="B106" s="54"/>
      <c r="C106" s="58"/>
      <c r="D106" s="56" t="str">
        <f>IF(Table8[[#This Row],[Month - Year]]="","",TEXT(Table8[[#This Row],[Month - Year]],"MMM-YY"))</f>
        <v/>
      </c>
      <c r="E106" s="54"/>
      <c r="F106" s="54"/>
      <c r="G106" s="54"/>
      <c r="H106" s="57" t="str">
        <f>IFERROR(Table8[[#This Row],[No. of Resources for whom access were removed on time]]/Table8[[#This Row],[No. of Resources De-allocated]],"")</f>
        <v/>
      </c>
      <c r="I106" s="57" t="str">
        <f>IFERROR(Table8[[#This Row],[No. of Resources for whom assets were returned on time]]/Table8[[#This Row],[No. of Resources De-allocated]],"")</f>
        <v/>
      </c>
      <c r="K106" s="54"/>
      <c r="L106" s="54"/>
      <c r="M106" s="54"/>
      <c r="N106" s="54"/>
      <c r="O106" s="57" t="str">
        <f>IFERROR((Table9[[#This Row],[No. of External security Defects]])/(Table9[[#This Row],[No. of Internal Security Defects  ]]+Table9[[#This Row],[No. of External security Defects]]),"")</f>
        <v/>
      </c>
    </row>
    <row r="107" spans="2:15">
      <c r="B107" s="54"/>
      <c r="C107" s="58"/>
      <c r="D107" s="56" t="str">
        <f>IF(Table8[[#This Row],[Month - Year]]="","",TEXT(Table8[[#This Row],[Month - Year]],"MMM-YY"))</f>
        <v/>
      </c>
      <c r="E107" s="54"/>
      <c r="F107" s="54"/>
      <c r="G107" s="54"/>
      <c r="H107" s="57" t="str">
        <f>IFERROR(Table8[[#This Row],[No. of Resources for whom access were removed on time]]/Table8[[#This Row],[No. of Resources De-allocated]],"")</f>
        <v/>
      </c>
      <c r="I107" s="57" t="str">
        <f>IFERROR(Table8[[#This Row],[No. of Resources for whom assets were returned on time]]/Table8[[#This Row],[No. of Resources De-allocated]],"")</f>
        <v/>
      </c>
      <c r="K107" s="54"/>
      <c r="L107" s="54"/>
      <c r="M107" s="54"/>
      <c r="N107" s="54"/>
      <c r="O107" s="57" t="str">
        <f>IFERROR((Table9[[#This Row],[No. of External security Defects]])/(Table9[[#This Row],[No. of Internal Security Defects  ]]+Table9[[#This Row],[No. of External security Defects]]),"")</f>
        <v/>
      </c>
    </row>
    <row r="108" spans="2:15">
      <c r="B108" s="54"/>
      <c r="C108" s="58"/>
      <c r="D108" s="56" t="str">
        <f>IF(Table8[[#This Row],[Month - Year]]="","",TEXT(Table8[[#This Row],[Month - Year]],"MMM-YY"))</f>
        <v/>
      </c>
      <c r="E108" s="54"/>
      <c r="F108" s="54"/>
      <c r="G108" s="54"/>
      <c r="H108" s="57" t="str">
        <f>IFERROR(Table8[[#This Row],[No. of Resources for whom access were removed on time]]/Table8[[#This Row],[No. of Resources De-allocated]],"")</f>
        <v/>
      </c>
      <c r="I108" s="57" t="str">
        <f>IFERROR(Table8[[#This Row],[No. of Resources for whom assets were returned on time]]/Table8[[#This Row],[No. of Resources De-allocated]],"")</f>
        <v/>
      </c>
      <c r="K108" s="54"/>
      <c r="L108" s="54"/>
      <c r="M108" s="54"/>
      <c r="N108" s="54"/>
      <c r="O108" s="57" t="str">
        <f>IFERROR((Table9[[#This Row],[No. of External security Defects]])/(Table9[[#This Row],[No. of Internal Security Defects  ]]+Table9[[#This Row],[No. of External security Defects]]),"")</f>
        <v/>
      </c>
    </row>
    <row r="109" spans="2:15">
      <c r="B109" s="54"/>
      <c r="C109" s="58"/>
      <c r="D109" s="56" t="str">
        <f>IF(Table8[[#This Row],[Month - Year]]="","",TEXT(Table8[[#This Row],[Month - Year]],"MMM-YY"))</f>
        <v/>
      </c>
      <c r="E109" s="54"/>
      <c r="F109" s="54"/>
      <c r="G109" s="54"/>
      <c r="H109" s="57" t="str">
        <f>IFERROR(Table8[[#This Row],[No. of Resources for whom access were removed on time]]/Table8[[#This Row],[No. of Resources De-allocated]],"")</f>
        <v/>
      </c>
      <c r="I109" s="57" t="str">
        <f>IFERROR(Table8[[#This Row],[No. of Resources for whom assets were returned on time]]/Table8[[#This Row],[No. of Resources De-allocated]],"")</f>
        <v/>
      </c>
      <c r="K109" s="54"/>
      <c r="L109" s="54"/>
      <c r="M109" s="54"/>
      <c r="N109" s="54"/>
      <c r="O109" s="57" t="str">
        <f>IFERROR((Table9[[#This Row],[No. of External security Defects]])/(Table9[[#This Row],[No. of Internal Security Defects  ]]+Table9[[#This Row],[No. of External security Defects]]),"")</f>
        <v/>
      </c>
    </row>
    <row r="110" spans="2:15">
      <c r="B110" s="54"/>
      <c r="C110" s="58"/>
      <c r="D110" s="56" t="str">
        <f>IF(Table8[[#This Row],[Month - Year]]="","",TEXT(Table8[[#This Row],[Month - Year]],"MMM-YY"))</f>
        <v/>
      </c>
      <c r="E110" s="54"/>
      <c r="F110" s="54"/>
      <c r="G110" s="54"/>
      <c r="H110" s="57" t="str">
        <f>IFERROR(Table8[[#This Row],[No. of Resources for whom access were removed on time]]/Table8[[#This Row],[No. of Resources De-allocated]],"")</f>
        <v/>
      </c>
      <c r="I110" s="57" t="str">
        <f>IFERROR(Table8[[#This Row],[No. of Resources for whom assets were returned on time]]/Table8[[#This Row],[No. of Resources De-allocated]],"")</f>
        <v/>
      </c>
      <c r="K110" s="54"/>
      <c r="L110" s="54"/>
      <c r="M110" s="54"/>
      <c r="N110" s="54"/>
      <c r="O110" s="57" t="str">
        <f>IFERROR((Table9[[#This Row],[No. of External security Defects]])/(Table9[[#This Row],[No. of Internal Security Defects  ]]+Table9[[#This Row],[No. of External security Defects]]),"")</f>
        <v/>
      </c>
    </row>
    <row r="111" spans="2:15">
      <c r="B111" s="54"/>
      <c r="C111" s="58"/>
      <c r="D111" s="56" t="str">
        <f>IF(Table8[[#This Row],[Month - Year]]="","",TEXT(Table8[[#This Row],[Month - Year]],"MMM-YY"))</f>
        <v/>
      </c>
      <c r="E111" s="54"/>
      <c r="F111" s="54"/>
      <c r="G111" s="54"/>
      <c r="H111" s="57" t="str">
        <f>IFERROR(Table8[[#This Row],[No. of Resources for whom access were removed on time]]/Table8[[#This Row],[No. of Resources De-allocated]],"")</f>
        <v/>
      </c>
      <c r="I111" s="57" t="str">
        <f>IFERROR(Table8[[#This Row],[No. of Resources for whom assets were returned on time]]/Table8[[#This Row],[No. of Resources De-allocated]],"")</f>
        <v/>
      </c>
      <c r="K111" s="54"/>
      <c r="L111" s="54"/>
      <c r="M111" s="54"/>
      <c r="N111" s="54"/>
      <c r="O111" s="57" t="str">
        <f>IFERROR((Table9[[#This Row],[No. of External security Defects]])/(Table9[[#This Row],[No. of Internal Security Defects  ]]+Table9[[#This Row],[No. of External security Defects]]),"")</f>
        <v/>
      </c>
    </row>
    <row r="112" spans="2:15">
      <c r="B112" s="54"/>
      <c r="C112" s="58"/>
      <c r="D112" s="56" t="str">
        <f>IF(Table8[[#This Row],[Month - Year]]="","",TEXT(Table8[[#This Row],[Month - Year]],"MMM-YY"))</f>
        <v/>
      </c>
      <c r="E112" s="54"/>
      <c r="F112" s="54"/>
      <c r="G112" s="54"/>
      <c r="H112" s="57" t="str">
        <f>IFERROR(Table8[[#This Row],[No. of Resources for whom access were removed on time]]/Table8[[#This Row],[No. of Resources De-allocated]],"")</f>
        <v/>
      </c>
      <c r="I112" s="57" t="str">
        <f>IFERROR(Table8[[#This Row],[No. of Resources for whom assets were returned on time]]/Table8[[#This Row],[No. of Resources De-allocated]],"")</f>
        <v/>
      </c>
      <c r="K112" s="54"/>
      <c r="L112" s="54"/>
      <c r="M112" s="54"/>
      <c r="N112" s="54"/>
      <c r="O112" s="57" t="str">
        <f>IFERROR((Table9[[#This Row],[No. of External security Defects]])/(Table9[[#This Row],[No. of Internal Security Defects  ]]+Table9[[#This Row],[No. of External security Defects]]),"")</f>
        <v/>
      </c>
    </row>
    <row r="113" spans="2:15">
      <c r="B113" s="54"/>
      <c r="C113" s="58"/>
      <c r="D113" s="56" t="str">
        <f>IF(Table8[[#This Row],[Month - Year]]="","",TEXT(Table8[[#This Row],[Month - Year]],"MMM-YY"))</f>
        <v/>
      </c>
      <c r="E113" s="54"/>
      <c r="F113" s="54"/>
      <c r="G113" s="54"/>
      <c r="H113" s="57" t="str">
        <f>IFERROR(Table8[[#This Row],[No. of Resources for whom access were removed on time]]/Table8[[#This Row],[No. of Resources De-allocated]],"")</f>
        <v/>
      </c>
      <c r="I113" s="57" t="str">
        <f>IFERROR(Table8[[#This Row],[No. of Resources for whom assets were returned on time]]/Table8[[#This Row],[No. of Resources De-allocated]],"")</f>
        <v/>
      </c>
      <c r="K113" s="54"/>
      <c r="L113" s="54"/>
      <c r="M113" s="54"/>
      <c r="N113" s="54"/>
      <c r="O113" s="57" t="str">
        <f>IFERROR((Table9[[#This Row],[No. of External security Defects]])/(Table9[[#This Row],[No. of Internal Security Defects  ]]+Table9[[#This Row],[No. of External security Defects]]),"")</f>
        <v/>
      </c>
    </row>
    <row r="114" spans="2:15">
      <c r="B114" s="54"/>
      <c r="C114" s="58"/>
      <c r="D114" s="56" t="str">
        <f>IF(Table8[[#This Row],[Month - Year]]="","",TEXT(Table8[[#This Row],[Month - Year]],"MMM-YY"))</f>
        <v/>
      </c>
      <c r="E114" s="54"/>
      <c r="F114" s="54"/>
      <c r="G114" s="54"/>
      <c r="H114" s="57" t="str">
        <f>IFERROR(Table8[[#This Row],[No. of Resources for whom access were removed on time]]/Table8[[#This Row],[No. of Resources De-allocated]],"")</f>
        <v/>
      </c>
      <c r="I114" s="57" t="str">
        <f>IFERROR(Table8[[#This Row],[No. of Resources for whom assets were returned on time]]/Table8[[#This Row],[No. of Resources De-allocated]],"")</f>
        <v/>
      </c>
      <c r="K114" s="54"/>
      <c r="L114" s="54"/>
      <c r="M114" s="54"/>
      <c r="N114" s="54"/>
      <c r="O114" s="57" t="str">
        <f>IFERROR((Table9[[#This Row],[No. of External security Defects]])/(Table9[[#This Row],[No. of Internal Security Defects  ]]+Table9[[#This Row],[No. of External security Defects]]),"")</f>
        <v/>
      </c>
    </row>
    <row r="115" spans="2:15">
      <c r="B115" s="54"/>
      <c r="C115" s="58"/>
      <c r="D115" s="56" t="str">
        <f>IF(Table8[[#This Row],[Month - Year]]="","",TEXT(Table8[[#This Row],[Month - Year]],"MMM-YY"))</f>
        <v/>
      </c>
      <c r="E115" s="54"/>
      <c r="F115" s="54"/>
      <c r="G115" s="54"/>
      <c r="H115" s="57" t="str">
        <f>IFERROR(Table8[[#This Row],[No. of Resources for whom access were removed on time]]/Table8[[#This Row],[No. of Resources De-allocated]],"")</f>
        <v/>
      </c>
      <c r="I115" s="57" t="str">
        <f>IFERROR(Table8[[#This Row],[No. of Resources for whom assets were returned on time]]/Table8[[#This Row],[No. of Resources De-allocated]],"")</f>
        <v/>
      </c>
      <c r="K115" s="54"/>
      <c r="L115" s="54"/>
      <c r="M115" s="54"/>
      <c r="N115" s="54"/>
      <c r="O115" s="57" t="str">
        <f>IFERROR((Table9[[#This Row],[No. of External security Defects]])/(Table9[[#This Row],[No. of Internal Security Defects  ]]+Table9[[#This Row],[No. of External security Defects]]),"")</f>
        <v/>
      </c>
    </row>
    <row r="116" spans="2:15">
      <c r="B116" s="54"/>
      <c r="C116" s="58"/>
      <c r="D116" s="56" t="str">
        <f>IF(Table8[[#This Row],[Month - Year]]="","",TEXT(Table8[[#This Row],[Month - Year]],"MMM-YY"))</f>
        <v/>
      </c>
      <c r="E116" s="54"/>
      <c r="F116" s="54"/>
      <c r="G116" s="54"/>
      <c r="H116" s="57" t="str">
        <f>IFERROR(Table8[[#This Row],[No. of Resources for whom access were removed on time]]/Table8[[#This Row],[No. of Resources De-allocated]],"")</f>
        <v/>
      </c>
      <c r="I116" s="57" t="str">
        <f>IFERROR(Table8[[#This Row],[No. of Resources for whom assets were returned on time]]/Table8[[#This Row],[No. of Resources De-allocated]],"")</f>
        <v/>
      </c>
      <c r="K116" s="54"/>
      <c r="L116" s="54"/>
      <c r="M116" s="54"/>
      <c r="N116" s="54"/>
      <c r="O116" s="57" t="str">
        <f>IFERROR((Table9[[#This Row],[No. of External security Defects]])/(Table9[[#This Row],[No. of Internal Security Defects  ]]+Table9[[#This Row],[No. of External security Defects]]),"")</f>
        <v/>
      </c>
    </row>
    <row r="117" spans="2:15">
      <c r="B117" s="54"/>
      <c r="C117" s="58"/>
      <c r="D117" s="56" t="str">
        <f>IF(Table8[[#This Row],[Month - Year]]="","",TEXT(Table8[[#This Row],[Month - Year]],"MMM-YY"))</f>
        <v/>
      </c>
      <c r="E117" s="54"/>
      <c r="F117" s="54"/>
      <c r="G117" s="54"/>
      <c r="H117" s="57" t="str">
        <f>IFERROR(Table8[[#This Row],[No. of Resources for whom access were removed on time]]/Table8[[#This Row],[No. of Resources De-allocated]],"")</f>
        <v/>
      </c>
      <c r="I117" s="57" t="str">
        <f>IFERROR(Table8[[#This Row],[No. of Resources for whom assets were returned on time]]/Table8[[#This Row],[No. of Resources De-allocated]],"")</f>
        <v/>
      </c>
      <c r="K117" s="54"/>
      <c r="L117" s="54"/>
      <c r="M117" s="54"/>
      <c r="N117" s="54"/>
      <c r="O117" s="57" t="str">
        <f>IFERROR((Table9[[#This Row],[No. of External security Defects]])/(Table9[[#This Row],[No. of Internal Security Defects  ]]+Table9[[#This Row],[No. of External security Defects]]),"")</f>
        <v/>
      </c>
    </row>
    <row r="118" spans="2:15">
      <c r="B118" s="54"/>
      <c r="C118" s="58"/>
      <c r="D118" s="56" t="str">
        <f>IF(Table8[[#This Row],[Month - Year]]="","",TEXT(Table8[[#This Row],[Month - Year]],"MMM-YY"))</f>
        <v/>
      </c>
      <c r="E118" s="54"/>
      <c r="F118" s="54"/>
      <c r="G118" s="54"/>
      <c r="H118" s="57" t="str">
        <f>IFERROR(Table8[[#This Row],[No. of Resources for whom access were removed on time]]/Table8[[#This Row],[No. of Resources De-allocated]],"")</f>
        <v/>
      </c>
      <c r="I118" s="57" t="str">
        <f>IFERROR(Table8[[#This Row],[No. of Resources for whom assets were returned on time]]/Table8[[#This Row],[No. of Resources De-allocated]],"")</f>
        <v/>
      </c>
      <c r="K118" s="54"/>
      <c r="L118" s="54"/>
      <c r="M118" s="54"/>
      <c r="N118" s="54"/>
      <c r="O118" s="57" t="str">
        <f>IFERROR((Table9[[#This Row],[No. of External security Defects]])/(Table9[[#This Row],[No. of Internal Security Defects  ]]+Table9[[#This Row],[No. of External security Defects]]),"")</f>
        <v/>
      </c>
    </row>
    <row r="119" spans="2:15">
      <c r="B119" s="54"/>
      <c r="C119" s="58"/>
      <c r="D119" s="56" t="str">
        <f>IF(Table8[[#This Row],[Month - Year]]="","",TEXT(Table8[[#This Row],[Month - Year]],"MMM-YY"))</f>
        <v/>
      </c>
      <c r="E119" s="54"/>
      <c r="F119" s="54"/>
      <c r="G119" s="54"/>
      <c r="H119" s="57" t="str">
        <f>IFERROR(Table8[[#This Row],[No. of Resources for whom access were removed on time]]/Table8[[#This Row],[No. of Resources De-allocated]],"")</f>
        <v/>
      </c>
      <c r="I119" s="57" t="str">
        <f>IFERROR(Table8[[#This Row],[No. of Resources for whom assets were returned on time]]/Table8[[#This Row],[No. of Resources De-allocated]],"")</f>
        <v/>
      </c>
      <c r="K119" s="54"/>
      <c r="L119" s="54"/>
      <c r="M119" s="54"/>
      <c r="N119" s="54"/>
      <c r="O119" s="57" t="str">
        <f>IFERROR((Table9[[#This Row],[No. of External security Defects]])/(Table9[[#This Row],[No. of Internal Security Defects  ]]+Table9[[#This Row],[No. of External security Defects]]),"")</f>
        <v/>
      </c>
    </row>
    <row r="120" spans="2:15">
      <c r="B120" s="54"/>
      <c r="C120" s="58"/>
      <c r="D120" s="56" t="str">
        <f>IF(Table8[[#This Row],[Month - Year]]="","",TEXT(Table8[[#This Row],[Month - Year]],"MMM-YY"))</f>
        <v/>
      </c>
      <c r="E120" s="54"/>
      <c r="F120" s="54"/>
      <c r="G120" s="54"/>
      <c r="H120" s="57" t="str">
        <f>IFERROR(Table8[[#This Row],[No. of Resources for whom access were removed on time]]/Table8[[#This Row],[No. of Resources De-allocated]],"")</f>
        <v/>
      </c>
      <c r="I120" s="57" t="str">
        <f>IFERROR(Table8[[#This Row],[No. of Resources for whom assets were returned on time]]/Table8[[#This Row],[No. of Resources De-allocated]],"")</f>
        <v/>
      </c>
      <c r="K120" s="54"/>
      <c r="L120" s="54"/>
      <c r="M120" s="54"/>
      <c r="N120" s="54"/>
      <c r="O120" s="57" t="str">
        <f>IFERROR((Table9[[#This Row],[No. of External security Defects]])/(Table9[[#This Row],[No. of Internal Security Defects  ]]+Table9[[#This Row],[No. of External security Defects]]),"")</f>
        <v/>
      </c>
    </row>
    <row r="121" spans="2:15">
      <c r="B121" s="54"/>
      <c r="C121" s="58"/>
      <c r="D121" s="56" t="str">
        <f>IF(Table8[[#This Row],[Month - Year]]="","",TEXT(Table8[[#This Row],[Month - Year]],"MMM-YY"))</f>
        <v/>
      </c>
      <c r="E121" s="54"/>
      <c r="F121" s="54"/>
      <c r="G121" s="54"/>
      <c r="H121" s="57" t="str">
        <f>IFERROR(Table8[[#This Row],[No. of Resources for whom access were removed on time]]/Table8[[#This Row],[No. of Resources De-allocated]],"")</f>
        <v/>
      </c>
      <c r="I121" s="57" t="str">
        <f>IFERROR(Table8[[#This Row],[No. of Resources for whom assets were returned on time]]/Table8[[#This Row],[No. of Resources De-allocated]],"")</f>
        <v/>
      </c>
      <c r="K121" s="54"/>
      <c r="L121" s="54"/>
      <c r="M121" s="54"/>
      <c r="N121" s="54"/>
      <c r="O121" s="57" t="str">
        <f>IFERROR((Table9[[#This Row],[No. of External security Defects]])/(Table9[[#This Row],[No. of Internal Security Defects  ]]+Table9[[#This Row],[No. of External security Defects]]),"")</f>
        <v/>
      </c>
    </row>
    <row r="122" spans="2:15">
      <c r="B122" s="54"/>
      <c r="C122" s="58"/>
      <c r="D122" s="56" t="str">
        <f>IF(Table8[[#This Row],[Month - Year]]="","",TEXT(Table8[[#This Row],[Month - Year]],"MMM-YY"))</f>
        <v/>
      </c>
      <c r="E122" s="54"/>
      <c r="F122" s="54"/>
      <c r="G122" s="54"/>
      <c r="H122" s="57" t="str">
        <f>IFERROR(Table8[[#This Row],[No. of Resources for whom access were removed on time]]/Table8[[#This Row],[No. of Resources De-allocated]],"")</f>
        <v/>
      </c>
      <c r="I122" s="57" t="str">
        <f>IFERROR(Table8[[#This Row],[No. of Resources for whom assets were returned on time]]/Table8[[#This Row],[No. of Resources De-allocated]],"")</f>
        <v/>
      </c>
      <c r="K122" s="54"/>
      <c r="L122" s="54"/>
      <c r="M122" s="54"/>
      <c r="N122" s="54"/>
      <c r="O122" s="57" t="str">
        <f>IFERROR((Table9[[#This Row],[No. of External security Defects]])/(Table9[[#This Row],[No. of Internal Security Defects  ]]+Table9[[#This Row],[No. of External security Defects]]),"")</f>
        <v/>
      </c>
    </row>
    <row r="123" spans="2:15">
      <c r="B123" s="54"/>
      <c r="C123" s="58"/>
      <c r="D123" s="56" t="str">
        <f>IF(Table8[[#This Row],[Month - Year]]="","",TEXT(Table8[[#This Row],[Month - Year]],"MMM-YY"))</f>
        <v/>
      </c>
      <c r="E123" s="54"/>
      <c r="F123" s="54"/>
      <c r="G123" s="54"/>
      <c r="H123" s="57" t="str">
        <f>IFERROR(Table8[[#This Row],[No. of Resources for whom access were removed on time]]/Table8[[#This Row],[No. of Resources De-allocated]],"")</f>
        <v/>
      </c>
      <c r="I123" s="57" t="str">
        <f>IFERROR(Table8[[#This Row],[No. of Resources for whom assets were returned on time]]/Table8[[#This Row],[No. of Resources De-allocated]],"")</f>
        <v/>
      </c>
      <c r="K123" s="54"/>
      <c r="L123" s="54"/>
      <c r="M123" s="54"/>
      <c r="N123" s="54"/>
      <c r="O123" s="57" t="str">
        <f>IFERROR((Table9[[#This Row],[No. of External security Defects]])/(Table9[[#This Row],[No. of Internal Security Defects  ]]+Table9[[#This Row],[No. of External security Defects]]),"")</f>
        <v/>
      </c>
    </row>
    <row r="124" spans="2:15">
      <c r="B124" s="54"/>
      <c r="C124" s="58"/>
      <c r="D124" s="56" t="str">
        <f>IF(Table8[[#This Row],[Month - Year]]="","",TEXT(Table8[[#This Row],[Month - Year]],"MMM-YY"))</f>
        <v/>
      </c>
      <c r="E124" s="54"/>
      <c r="F124" s="54"/>
      <c r="G124" s="54"/>
      <c r="H124" s="57" t="str">
        <f>IFERROR(Table8[[#This Row],[No. of Resources for whom access were removed on time]]/Table8[[#This Row],[No. of Resources De-allocated]],"")</f>
        <v/>
      </c>
      <c r="I124" s="57" t="str">
        <f>IFERROR(Table8[[#This Row],[No. of Resources for whom assets were returned on time]]/Table8[[#This Row],[No. of Resources De-allocated]],"")</f>
        <v/>
      </c>
      <c r="K124" s="54"/>
      <c r="L124" s="54"/>
      <c r="M124" s="54"/>
      <c r="N124" s="54"/>
      <c r="O124" s="57" t="str">
        <f>IFERROR((Table9[[#This Row],[No. of External security Defects]])/(Table9[[#This Row],[No. of Internal Security Defects  ]]+Table9[[#This Row],[No. of External security Defects]]),"")</f>
        <v/>
      </c>
    </row>
    <row r="125" spans="2:15">
      <c r="B125" s="54"/>
      <c r="C125" s="58"/>
      <c r="D125" s="56" t="str">
        <f>IF(Table8[[#This Row],[Month - Year]]="","",TEXT(Table8[[#This Row],[Month - Year]],"MMM-YY"))</f>
        <v/>
      </c>
      <c r="E125" s="54"/>
      <c r="F125" s="54"/>
      <c r="G125" s="54"/>
      <c r="H125" s="57" t="str">
        <f>IFERROR(Table8[[#This Row],[No. of Resources for whom access were removed on time]]/Table8[[#This Row],[No. of Resources De-allocated]],"")</f>
        <v/>
      </c>
      <c r="I125" s="57" t="str">
        <f>IFERROR(Table8[[#This Row],[No. of Resources for whom assets were returned on time]]/Table8[[#This Row],[No. of Resources De-allocated]],"")</f>
        <v/>
      </c>
      <c r="K125" s="54"/>
      <c r="L125" s="54"/>
      <c r="M125" s="54"/>
      <c r="N125" s="54"/>
      <c r="O125" s="57" t="str">
        <f>IFERROR((Table9[[#This Row],[No. of External security Defects]])/(Table9[[#This Row],[No. of Internal Security Defects  ]]+Table9[[#This Row],[No. of External security Defects]]),"")</f>
        <v/>
      </c>
    </row>
    <row r="126" spans="2:15">
      <c r="B126" s="54"/>
      <c r="C126" s="58"/>
      <c r="D126" s="56" t="str">
        <f>IF(Table8[[#This Row],[Month - Year]]="","",TEXT(Table8[[#This Row],[Month - Year]],"MMM-YY"))</f>
        <v/>
      </c>
      <c r="E126" s="54"/>
      <c r="F126" s="54"/>
      <c r="G126" s="54"/>
      <c r="H126" s="57" t="str">
        <f>IFERROR(Table8[[#This Row],[No. of Resources for whom access were removed on time]]/Table8[[#This Row],[No. of Resources De-allocated]],"")</f>
        <v/>
      </c>
      <c r="I126" s="57" t="str">
        <f>IFERROR(Table8[[#This Row],[No. of Resources for whom assets were returned on time]]/Table8[[#This Row],[No. of Resources De-allocated]],"")</f>
        <v/>
      </c>
      <c r="K126" s="54"/>
      <c r="L126" s="54"/>
      <c r="M126" s="54"/>
      <c r="N126" s="54"/>
      <c r="O126" s="57" t="str">
        <f>IFERROR((Table9[[#This Row],[No. of External security Defects]])/(Table9[[#This Row],[No. of Internal Security Defects  ]]+Table9[[#This Row],[No. of External security Defects]]),"")</f>
        <v/>
      </c>
    </row>
    <row r="127" spans="2:15">
      <c r="B127" s="54"/>
      <c r="C127" s="58"/>
      <c r="D127" s="56" t="str">
        <f>IF(Table8[[#This Row],[Month - Year]]="","",TEXT(Table8[[#This Row],[Month - Year]],"MMM-YY"))</f>
        <v/>
      </c>
      <c r="E127" s="54"/>
      <c r="F127" s="54"/>
      <c r="G127" s="54"/>
      <c r="H127" s="57" t="str">
        <f>IFERROR(Table8[[#This Row],[No. of Resources for whom access were removed on time]]/Table8[[#This Row],[No. of Resources De-allocated]],"")</f>
        <v/>
      </c>
      <c r="I127" s="57" t="str">
        <f>IFERROR(Table8[[#This Row],[No. of Resources for whom assets were returned on time]]/Table8[[#This Row],[No. of Resources De-allocated]],"")</f>
        <v/>
      </c>
      <c r="K127" s="54"/>
      <c r="L127" s="54"/>
      <c r="M127" s="54"/>
      <c r="N127" s="54"/>
      <c r="O127" s="57" t="str">
        <f>IFERROR((Table9[[#This Row],[No. of External security Defects]])/(Table9[[#This Row],[No. of Internal Security Defects  ]]+Table9[[#This Row],[No. of External security Defects]]),"")</f>
        <v/>
      </c>
    </row>
    <row r="128" spans="2:15">
      <c r="B128" s="54"/>
      <c r="C128" s="58"/>
      <c r="D128" s="56" t="str">
        <f>IF(Table8[[#This Row],[Month - Year]]="","",TEXT(Table8[[#This Row],[Month - Year]],"MMM-YY"))</f>
        <v/>
      </c>
      <c r="E128" s="54"/>
      <c r="F128" s="54"/>
      <c r="G128" s="54"/>
      <c r="H128" s="57" t="str">
        <f>IFERROR(Table8[[#This Row],[No. of Resources for whom access were removed on time]]/Table8[[#This Row],[No. of Resources De-allocated]],"")</f>
        <v/>
      </c>
      <c r="I128" s="57" t="str">
        <f>IFERROR(Table8[[#This Row],[No. of Resources for whom assets were returned on time]]/Table8[[#This Row],[No. of Resources De-allocated]],"")</f>
        <v/>
      </c>
      <c r="K128" s="54"/>
      <c r="L128" s="54"/>
      <c r="M128" s="54"/>
      <c r="N128" s="54"/>
      <c r="O128" s="57" t="str">
        <f>IFERROR((Table9[[#This Row],[No. of External security Defects]])/(Table9[[#This Row],[No. of Internal Security Defects  ]]+Table9[[#This Row],[No. of External security Defects]]),"")</f>
        <v/>
      </c>
    </row>
    <row r="129" spans="2:15">
      <c r="B129" s="54"/>
      <c r="C129" s="58"/>
      <c r="D129" s="56" t="str">
        <f>IF(Table8[[#This Row],[Month - Year]]="","",TEXT(Table8[[#This Row],[Month - Year]],"MMM-YY"))</f>
        <v/>
      </c>
      <c r="E129" s="54"/>
      <c r="F129" s="54"/>
      <c r="G129" s="54"/>
      <c r="H129" s="57" t="str">
        <f>IFERROR(Table8[[#This Row],[No. of Resources for whom access were removed on time]]/Table8[[#This Row],[No. of Resources De-allocated]],"")</f>
        <v/>
      </c>
      <c r="I129" s="57" t="str">
        <f>IFERROR(Table8[[#This Row],[No. of Resources for whom assets were returned on time]]/Table8[[#This Row],[No. of Resources De-allocated]],"")</f>
        <v/>
      </c>
      <c r="K129" s="54"/>
      <c r="L129" s="54"/>
      <c r="M129" s="54"/>
      <c r="N129" s="54"/>
      <c r="O129" s="57" t="str">
        <f>IFERROR((Table9[[#This Row],[No. of External security Defects]])/(Table9[[#This Row],[No. of Internal Security Defects  ]]+Table9[[#This Row],[No. of External security Defects]]),"")</f>
        <v/>
      </c>
    </row>
    <row r="130" spans="2:15">
      <c r="B130" s="54"/>
      <c r="C130" s="58"/>
      <c r="D130" s="56" t="str">
        <f>IF(Table8[[#This Row],[Month - Year]]="","",TEXT(Table8[[#This Row],[Month - Year]],"MMM-YY"))</f>
        <v/>
      </c>
      <c r="E130" s="54"/>
      <c r="F130" s="54"/>
      <c r="G130" s="54"/>
      <c r="H130" s="57" t="str">
        <f>IFERROR(Table8[[#This Row],[No. of Resources for whom access were removed on time]]/Table8[[#This Row],[No. of Resources De-allocated]],"")</f>
        <v/>
      </c>
      <c r="I130" s="57" t="str">
        <f>IFERROR(Table8[[#This Row],[No. of Resources for whom assets were returned on time]]/Table8[[#This Row],[No. of Resources De-allocated]],"")</f>
        <v/>
      </c>
      <c r="K130" s="54"/>
      <c r="L130" s="54"/>
      <c r="M130" s="54"/>
      <c r="N130" s="54"/>
      <c r="O130" s="57" t="str">
        <f>IFERROR((Table9[[#This Row],[No. of External security Defects]])/(Table9[[#This Row],[No. of Internal Security Defects  ]]+Table9[[#This Row],[No. of External security Defects]]),"")</f>
        <v/>
      </c>
    </row>
    <row r="131" spans="2:15">
      <c r="B131" s="54"/>
      <c r="C131" s="58"/>
      <c r="D131" s="56" t="str">
        <f>IF(Table8[[#This Row],[Month - Year]]="","",TEXT(Table8[[#This Row],[Month - Year]],"MMM-YY"))</f>
        <v/>
      </c>
      <c r="E131" s="54"/>
      <c r="F131" s="54"/>
      <c r="G131" s="54"/>
      <c r="H131" s="57" t="str">
        <f>IFERROR(Table8[[#This Row],[No. of Resources for whom access were removed on time]]/Table8[[#This Row],[No. of Resources De-allocated]],"")</f>
        <v/>
      </c>
      <c r="I131" s="57" t="str">
        <f>IFERROR(Table8[[#This Row],[No. of Resources for whom assets were returned on time]]/Table8[[#This Row],[No. of Resources De-allocated]],"")</f>
        <v/>
      </c>
      <c r="K131" s="54"/>
      <c r="L131" s="54"/>
      <c r="M131" s="54"/>
      <c r="N131" s="54"/>
      <c r="O131" s="57" t="str">
        <f>IFERROR((Table9[[#This Row],[No. of External security Defects]])/(Table9[[#This Row],[No. of Internal Security Defects  ]]+Table9[[#This Row],[No. of External security Defects]]),"")</f>
        <v/>
      </c>
    </row>
    <row r="132" spans="2:15">
      <c r="B132" s="54"/>
      <c r="C132" s="58"/>
      <c r="D132" s="56" t="str">
        <f>IF(Table8[[#This Row],[Month - Year]]="","",TEXT(Table8[[#This Row],[Month - Year]],"MMM-YY"))</f>
        <v/>
      </c>
      <c r="E132" s="54"/>
      <c r="F132" s="54"/>
      <c r="G132" s="54"/>
      <c r="H132" s="57" t="str">
        <f>IFERROR(Table8[[#This Row],[No. of Resources for whom access were removed on time]]/Table8[[#This Row],[No. of Resources De-allocated]],"")</f>
        <v/>
      </c>
      <c r="I132" s="57" t="str">
        <f>IFERROR(Table8[[#This Row],[No. of Resources for whom assets were returned on time]]/Table8[[#This Row],[No. of Resources De-allocated]],"")</f>
        <v/>
      </c>
      <c r="K132" s="54"/>
      <c r="L132" s="54"/>
      <c r="M132" s="54"/>
      <c r="N132" s="54"/>
      <c r="O132" s="57" t="str">
        <f>IFERROR((Table9[[#This Row],[No. of External security Defects]])/(Table9[[#This Row],[No. of Internal Security Defects  ]]+Table9[[#This Row],[No. of External security Defects]]),"")</f>
        <v/>
      </c>
    </row>
    <row r="133" spans="2:15">
      <c r="B133" s="54"/>
      <c r="C133" s="58"/>
      <c r="D133" s="56" t="str">
        <f>IF(Table8[[#This Row],[Month - Year]]="","",TEXT(Table8[[#This Row],[Month - Year]],"MMM-YY"))</f>
        <v/>
      </c>
      <c r="E133" s="54"/>
      <c r="F133" s="54"/>
      <c r="G133" s="54"/>
      <c r="H133" s="57" t="str">
        <f>IFERROR(Table8[[#This Row],[No. of Resources for whom access were removed on time]]/Table8[[#This Row],[No. of Resources De-allocated]],"")</f>
        <v/>
      </c>
      <c r="I133" s="57" t="str">
        <f>IFERROR(Table8[[#This Row],[No. of Resources for whom assets were returned on time]]/Table8[[#This Row],[No. of Resources De-allocated]],"")</f>
        <v/>
      </c>
      <c r="K133" s="54"/>
      <c r="L133" s="54"/>
      <c r="M133" s="54"/>
      <c r="N133" s="54"/>
      <c r="O133" s="57" t="str">
        <f>IFERROR((Table9[[#This Row],[No. of External security Defects]])/(Table9[[#This Row],[No. of Internal Security Defects  ]]+Table9[[#This Row],[No. of External security Defects]]),"")</f>
        <v/>
      </c>
    </row>
    <row r="134" spans="2:15">
      <c r="B134" s="54"/>
      <c r="C134" s="58"/>
      <c r="D134" s="56" t="str">
        <f>IF(Table8[[#This Row],[Month - Year]]="","",TEXT(Table8[[#This Row],[Month - Year]],"MMM-YY"))</f>
        <v/>
      </c>
      <c r="E134" s="54"/>
      <c r="F134" s="54"/>
      <c r="G134" s="54"/>
      <c r="H134" s="57" t="str">
        <f>IFERROR(Table8[[#This Row],[No. of Resources for whom access were removed on time]]/Table8[[#This Row],[No. of Resources De-allocated]],"")</f>
        <v/>
      </c>
      <c r="I134" s="57" t="str">
        <f>IFERROR(Table8[[#This Row],[No. of Resources for whom assets were returned on time]]/Table8[[#This Row],[No. of Resources De-allocated]],"")</f>
        <v/>
      </c>
      <c r="K134" s="54"/>
      <c r="L134" s="54"/>
      <c r="M134" s="54"/>
      <c r="N134" s="54"/>
      <c r="O134" s="57" t="str">
        <f>IFERROR((Table9[[#This Row],[No. of External security Defects]])/(Table9[[#This Row],[No. of Internal Security Defects  ]]+Table9[[#This Row],[No. of External security Defects]]),"")</f>
        <v/>
      </c>
    </row>
    <row r="135" spans="2:15">
      <c r="B135" s="54"/>
      <c r="C135" s="58"/>
      <c r="D135" s="56" t="str">
        <f>IF(Table8[[#This Row],[Month - Year]]="","",TEXT(Table8[[#This Row],[Month - Year]],"MMM-YY"))</f>
        <v/>
      </c>
      <c r="E135" s="54"/>
      <c r="F135" s="54"/>
      <c r="G135" s="54"/>
      <c r="H135" s="57" t="str">
        <f>IFERROR(Table8[[#This Row],[No. of Resources for whom access were removed on time]]/Table8[[#This Row],[No. of Resources De-allocated]],"")</f>
        <v/>
      </c>
      <c r="I135" s="57" t="str">
        <f>IFERROR(Table8[[#This Row],[No. of Resources for whom assets were returned on time]]/Table8[[#This Row],[No. of Resources De-allocated]],"")</f>
        <v/>
      </c>
      <c r="K135" s="54"/>
      <c r="L135" s="54"/>
      <c r="M135" s="54"/>
      <c r="N135" s="54"/>
      <c r="O135" s="57" t="str">
        <f>IFERROR((Table9[[#This Row],[No. of External security Defects]])/(Table9[[#This Row],[No. of Internal Security Defects  ]]+Table9[[#This Row],[No. of External security Defects]]),"")</f>
        <v/>
      </c>
    </row>
    <row r="136" spans="2:15">
      <c r="B136" s="54"/>
      <c r="C136" s="58"/>
      <c r="D136" s="56" t="str">
        <f>IF(Table8[[#This Row],[Month - Year]]="","",TEXT(Table8[[#This Row],[Month - Year]],"MMM-YY"))</f>
        <v/>
      </c>
      <c r="E136" s="54"/>
      <c r="F136" s="54"/>
      <c r="G136" s="54"/>
      <c r="H136" s="57" t="str">
        <f>IFERROR(Table8[[#This Row],[No. of Resources for whom access were removed on time]]/Table8[[#This Row],[No. of Resources De-allocated]],"")</f>
        <v/>
      </c>
      <c r="I136" s="57" t="str">
        <f>IFERROR(Table8[[#This Row],[No. of Resources for whom assets were returned on time]]/Table8[[#This Row],[No. of Resources De-allocated]],"")</f>
        <v/>
      </c>
      <c r="K136" s="54"/>
      <c r="L136" s="54"/>
      <c r="M136" s="54"/>
      <c r="N136" s="54"/>
      <c r="O136" s="57" t="str">
        <f>IFERROR((Table9[[#This Row],[No. of External security Defects]])/(Table9[[#This Row],[No. of Internal Security Defects  ]]+Table9[[#This Row],[No. of External security Defects]]),"")</f>
        <v/>
      </c>
    </row>
    <row r="137" spans="2:15">
      <c r="B137" s="54"/>
      <c r="C137" s="58"/>
      <c r="D137" s="56" t="str">
        <f>IF(Table8[[#This Row],[Month - Year]]="","",TEXT(Table8[[#This Row],[Month - Year]],"MMM-YY"))</f>
        <v/>
      </c>
      <c r="E137" s="54"/>
      <c r="F137" s="54"/>
      <c r="G137" s="54"/>
      <c r="H137" s="57" t="str">
        <f>IFERROR(Table8[[#This Row],[No. of Resources for whom access were removed on time]]/Table8[[#This Row],[No. of Resources De-allocated]],"")</f>
        <v/>
      </c>
      <c r="I137" s="57" t="str">
        <f>IFERROR(Table8[[#This Row],[No. of Resources for whom assets were returned on time]]/Table8[[#This Row],[No. of Resources De-allocated]],"")</f>
        <v/>
      </c>
      <c r="K137" s="54"/>
      <c r="L137" s="54"/>
      <c r="M137" s="54"/>
      <c r="N137" s="54"/>
      <c r="O137" s="57" t="str">
        <f>IFERROR((Table9[[#This Row],[No. of External security Defects]])/(Table9[[#This Row],[No. of Internal Security Defects  ]]+Table9[[#This Row],[No. of External security Defects]]),"")</f>
        <v/>
      </c>
    </row>
    <row r="138" spans="2:15">
      <c r="B138" s="54"/>
      <c r="C138" s="58"/>
      <c r="D138" s="56" t="str">
        <f>IF(Table8[[#This Row],[Month - Year]]="","",TEXT(Table8[[#This Row],[Month - Year]],"MMM-YY"))</f>
        <v/>
      </c>
      <c r="E138" s="54"/>
      <c r="F138" s="54"/>
      <c r="G138" s="54"/>
      <c r="H138" s="57" t="str">
        <f>IFERROR(Table8[[#This Row],[No. of Resources for whom access were removed on time]]/Table8[[#This Row],[No. of Resources De-allocated]],"")</f>
        <v/>
      </c>
      <c r="I138" s="57" t="str">
        <f>IFERROR(Table8[[#This Row],[No. of Resources for whom assets were returned on time]]/Table8[[#This Row],[No. of Resources De-allocated]],"")</f>
        <v/>
      </c>
      <c r="K138" s="54"/>
      <c r="L138" s="54"/>
      <c r="M138" s="54"/>
      <c r="N138" s="54"/>
      <c r="O138" s="57" t="str">
        <f>IFERROR((Table9[[#This Row],[No. of External security Defects]])/(Table9[[#This Row],[No. of Internal Security Defects  ]]+Table9[[#This Row],[No. of External security Defects]]),"")</f>
        <v/>
      </c>
    </row>
    <row r="139" spans="2:15">
      <c r="B139" s="54"/>
      <c r="C139" s="58"/>
      <c r="D139" s="56" t="str">
        <f>IF(Table8[[#This Row],[Month - Year]]="","",TEXT(Table8[[#This Row],[Month - Year]],"MMM-YY"))</f>
        <v/>
      </c>
      <c r="E139" s="54"/>
      <c r="F139" s="54"/>
      <c r="G139" s="54"/>
      <c r="H139" s="57" t="str">
        <f>IFERROR(Table8[[#This Row],[No. of Resources for whom access were removed on time]]/Table8[[#This Row],[No. of Resources De-allocated]],"")</f>
        <v/>
      </c>
      <c r="I139" s="57" t="str">
        <f>IFERROR(Table8[[#This Row],[No. of Resources for whom assets were returned on time]]/Table8[[#This Row],[No. of Resources De-allocated]],"")</f>
        <v/>
      </c>
      <c r="K139" s="54"/>
      <c r="L139" s="54"/>
      <c r="M139" s="54"/>
      <c r="N139" s="54"/>
      <c r="O139" s="57" t="str">
        <f>IFERROR((Table9[[#This Row],[No. of External security Defects]])/(Table9[[#This Row],[No. of Internal Security Defects  ]]+Table9[[#This Row],[No. of External security Defects]]),"")</f>
        <v/>
      </c>
    </row>
    <row r="140" spans="2:15">
      <c r="B140" s="54"/>
      <c r="C140" s="58"/>
      <c r="D140" s="56" t="str">
        <f>IF(Table8[[#This Row],[Month - Year]]="","",TEXT(Table8[[#This Row],[Month - Year]],"MMM-YY"))</f>
        <v/>
      </c>
      <c r="E140" s="54"/>
      <c r="F140" s="54"/>
      <c r="G140" s="54"/>
      <c r="H140" s="57" t="str">
        <f>IFERROR(Table8[[#This Row],[No. of Resources for whom access were removed on time]]/Table8[[#This Row],[No. of Resources De-allocated]],"")</f>
        <v/>
      </c>
      <c r="I140" s="57" t="str">
        <f>IFERROR(Table8[[#This Row],[No. of Resources for whom assets were returned on time]]/Table8[[#This Row],[No. of Resources De-allocated]],"")</f>
        <v/>
      </c>
      <c r="K140" s="54"/>
      <c r="L140" s="54"/>
      <c r="M140" s="54"/>
      <c r="N140" s="54"/>
      <c r="O140" s="57" t="str">
        <f>IFERROR((Table9[[#This Row],[No. of External security Defects]])/(Table9[[#This Row],[No. of Internal Security Defects  ]]+Table9[[#This Row],[No. of External security Defects]]),"")</f>
        <v/>
      </c>
    </row>
    <row r="141" spans="2:15">
      <c r="B141" s="54"/>
      <c r="C141" s="58"/>
      <c r="D141" s="56" t="str">
        <f>IF(Table8[[#This Row],[Month - Year]]="","",TEXT(Table8[[#This Row],[Month - Year]],"MMM-YY"))</f>
        <v/>
      </c>
      <c r="E141" s="54"/>
      <c r="F141" s="54"/>
      <c r="G141" s="54"/>
      <c r="H141" s="57" t="str">
        <f>IFERROR(Table8[[#This Row],[No. of Resources for whom access were removed on time]]/Table8[[#This Row],[No. of Resources De-allocated]],"")</f>
        <v/>
      </c>
      <c r="I141" s="57" t="str">
        <f>IFERROR(Table8[[#This Row],[No. of Resources for whom assets were returned on time]]/Table8[[#This Row],[No. of Resources De-allocated]],"")</f>
        <v/>
      </c>
      <c r="K141" s="54"/>
      <c r="L141" s="54"/>
      <c r="M141" s="54"/>
      <c r="N141" s="54"/>
      <c r="O141" s="57" t="str">
        <f>IFERROR((Table9[[#This Row],[No. of External security Defects]])/(Table9[[#This Row],[No. of Internal Security Defects  ]]+Table9[[#This Row],[No. of External security Defects]]),"")</f>
        <v/>
      </c>
    </row>
    <row r="142" spans="2:15">
      <c r="B142" s="54"/>
      <c r="C142" s="58"/>
      <c r="D142" s="56" t="str">
        <f>IF(Table8[[#This Row],[Month - Year]]="","",TEXT(Table8[[#This Row],[Month - Year]],"MMM-YY"))</f>
        <v/>
      </c>
      <c r="E142" s="54"/>
      <c r="F142" s="54"/>
      <c r="G142" s="54"/>
      <c r="H142" s="57" t="str">
        <f>IFERROR(Table8[[#This Row],[No. of Resources for whom access were removed on time]]/Table8[[#This Row],[No. of Resources De-allocated]],"")</f>
        <v/>
      </c>
      <c r="I142" s="57" t="str">
        <f>IFERROR(Table8[[#This Row],[No. of Resources for whom assets were returned on time]]/Table8[[#This Row],[No. of Resources De-allocated]],"")</f>
        <v/>
      </c>
      <c r="K142" s="54"/>
      <c r="L142" s="54"/>
      <c r="M142" s="54"/>
      <c r="N142" s="54"/>
      <c r="O142" s="57" t="str">
        <f>IFERROR((Table9[[#This Row],[No. of External security Defects]])/(Table9[[#This Row],[No. of Internal Security Defects  ]]+Table9[[#This Row],[No. of External security Defects]]),"")</f>
        <v/>
      </c>
    </row>
    <row r="143" spans="2:15">
      <c r="B143" s="54"/>
      <c r="C143" s="58"/>
      <c r="D143" s="56" t="str">
        <f>IF(Table8[[#This Row],[Month - Year]]="","",TEXT(Table8[[#This Row],[Month - Year]],"MMM-YY"))</f>
        <v/>
      </c>
      <c r="E143" s="54"/>
      <c r="F143" s="54"/>
      <c r="G143" s="54"/>
      <c r="H143" s="57" t="str">
        <f>IFERROR(Table8[[#This Row],[No. of Resources for whom access were removed on time]]/Table8[[#This Row],[No. of Resources De-allocated]],"")</f>
        <v/>
      </c>
      <c r="I143" s="57" t="str">
        <f>IFERROR(Table8[[#This Row],[No. of Resources for whom assets were returned on time]]/Table8[[#This Row],[No. of Resources De-allocated]],"")</f>
        <v/>
      </c>
      <c r="K143" s="54"/>
      <c r="L143" s="54"/>
      <c r="M143" s="54"/>
      <c r="N143" s="54"/>
      <c r="O143" s="57" t="str">
        <f>IFERROR((Table9[[#This Row],[No. of External security Defects]])/(Table9[[#This Row],[No. of Internal Security Defects  ]]+Table9[[#This Row],[No. of External security Defects]]),"")</f>
        <v/>
      </c>
    </row>
    <row r="144" spans="2:15">
      <c r="B144" s="54"/>
      <c r="C144" s="58"/>
      <c r="D144" s="56" t="str">
        <f>IF(Table8[[#This Row],[Month - Year]]="","",TEXT(Table8[[#This Row],[Month - Year]],"MMM-YY"))</f>
        <v/>
      </c>
      <c r="E144" s="54"/>
      <c r="F144" s="54"/>
      <c r="G144" s="54"/>
      <c r="H144" s="57" t="str">
        <f>IFERROR(Table8[[#This Row],[No. of Resources for whom access were removed on time]]/Table8[[#This Row],[No. of Resources De-allocated]],"")</f>
        <v/>
      </c>
      <c r="I144" s="57" t="str">
        <f>IFERROR(Table8[[#This Row],[No. of Resources for whom assets were returned on time]]/Table8[[#This Row],[No. of Resources De-allocated]],"")</f>
        <v/>
      </c>
      <c r="K144" s="54"/>
      <c r="L144" s="54"/>
      <c r="M144" s="54"/>
      <c r="N144" s="54"/>
      <c r="O144" s="57" t="str">
        <f>IFERROR((Table9[[#This Row],[No. of External security Defects]])/(Table9[[#This Row],[No. of Internal Security Defects  ]]+Table9[[#This Row],[No. of External security Defects]]),"")</f>
        <v/>
      </c>
    </row>
    <row r="145" spans="2:15">
      <c r="B145" s="54"/>
      <c r="C145" s="58"/>
      <c r="D145" s="56" t="str">
        <f>IF(Table8[[#This Row],[Month - Year]]="","",TEXT(Table8[[#This Row],[Month - Year]],"MMM-YY"))</f>
        <v/>
      </c>
      <c r="E145" s="54"/>
      <c r="F145" s="54"/>
      <c r="G145" s="54"/>
      <c r="H145" s="57" t="str">
        <f>IFERROR(Table8[[#This Row],[No. of Resources for whom access were removed on time]]/Table8[[#This Row],[No. of Resources De-allocated]],"")</f>
        <v/>
      </c>
      <c r="I145" s="57" t="str">
        <f>IFERROR(Table8[[#This Row],[No. of Resources for whom assets were returned on time]]/Table8[[#This Row],[No. of Resources De-allocated]],"")</f>
        <v/>
      </c>
      <c r="K145" s="54"/>
      <c r="L145" s="54"/>
      <c r="M145" s="54"/>
      <c r="N145" s="54"/>
      <c r="O145" s="57" t="str">
        <f>IFERROR((Table9[[#This Row],[No. of External security Defects]])/(Table9[[#This Row],[No. of Internal Security Defects  ]]+Table9[[#This Row],[No. of External security Defects]]),"")</f>
        <v/>
      </c>
    </row>
    <row r="146" spans="2:15">
      <c r="B146" s="54"/>
      <c r="C146" s="58"/>
      <c r="D146" s="56" t="str">
        <f>IF(Table8[[#This Row],[Month - Year]]="","",TEXT(Table8[[#This Row],[Month - Year]],"MMM-YY"))</f>
        <v/>
      </c>
      <c r="E146" s="54"/>
      <c r="F146" s="54"/>
      <c r="G146" s="54"/>
      <c r="H146" s="57" t="str">
        <f>IFERROR(Table8[[#This Row],[No. of Resources for whom access were removed on time]]/Table8[[#This Row],[No. of Resources De-allocated]],"")</f>
        <v/>
      </c>
      <c r="I146" s="57" t="str">
        <f>IFERROR(Table8[[#This Row],[No. of Resources for whom assets were returned on time]]/Table8[[#This Row],[No. of Resources De-allocated]],"")</f>
        <v/>
      </c>
      <c r="K146" s="54"/>
      <c r="L146" s="54"/>
      <c r="M146" s="54"/>
      <c r="N146" s="54"/>
      <c r="O146" s="57" t="str">
        <f>IFERROR((Table9[[#This Row],[No. of External security Defects]])/(Table9[[#This Row],[No. of Internal Security Defects  ]]+Table9[[#This Row],[No. of External security Defects]]),"")</f>
        <v/>
      </c>
    </row>
    <row r="147" spans="2:15">
      <c r="B147" s="54"/>
      <c r="C147" s="58"/>
      <c r="D147" s="56" t="str">
        <f>IF(Table8[[#This Row],[Month - Year]]="","",TEXT(Table8[[#This Row],[Month - Year]],"MMM-YY"))</f>
        <v/>
      </c>
      <c r="E147" s="54"/>
      <c r="F147" s="54"/>
      <c r="G147" s="54"/>
      <c r="H147" s="57" t="str">
        <f>IFERROR(Table8[[#This Row],[No. of Resources for whom access were removed on time]]/Table8[[#This Row],[No. of Resources De-allocated]],"")</f>
        <v/>
      </c>
      <c r="I147" s="57" t="str">
        <f>IFERROR(Table8[[#This Row],[No. of Resources for whom assets were returned on time]]/Table8[[#This Row],[No. of Resources De-allocated]],"")</f>
        <v/>
      </c>
      <c r="K147" s="54"/>
      <c r="L147" s="54"/>
      <c r="M147" s="54"/>
      <c r="N147" s="54"/>
      <c r="O147" s="57" t="str">
        <f>IFERROR((Table9[[#This Row],[No. of External security Defects]])/(Table9[[#This Row],[No. of Internal Security Defects  ]]+Table9[[#This Row],[No. of External security Defects]]),"")</f>
        <v/>
      </c>
    </row>
    <row r="148" spans="2:15">
      <c r="B148" s="54"/>
      <c r="C148" s="58"/>
      <c r="D148" s="56" t="str">
        <f>IF(Table8[[#This Row],[Month - Year]]="","",TEXT(Table8[[#This Row],[Month - Year]],"MMM-YY"))</f>
        <v/>
      </c>
      <c r="E148" s="54"/>
      <c r="F148" s="54"/>
      <c r="G148" s="54"/>
      <c r="H148" s="57" t="str">
        <f>IFERROR(Table8[[#This Row],[No. of Resources for whom access were removed on time]]/Table8[[#This Row],[No. of Resources De-allocated]],"")</f>
        <v/>
      </c>
      <c r="I148" s="57" t="str">
        <f>IFERROR(Table8[[#This Row],[No. of Resources for whom assets were returned on time]]/Table8[[#This Row],[No. of Resources De-allocated]],"")</f>
        <v/>
      </c>
      <c r="K148" s="54"/>
      <c r="L148" s="54"/>
      <c r="M148" s="54"/>
      <c r="N148" s="54"/>
      <c r="O148" s="57" t="str">
        <f>IFERROR((Table9[[#This Row],[No. of External security Defects]])/(Table9[[#This Row],[No. of Internal Security Defects  ]]+Table9[[#This Row],[No. of External security Defects]]),"")</f>
        <v/>
      </c>
    </row>
    <row r="149" spans="2:15">
      <c r="B149" s="54"/>
      <c r="C149" s="58"/>
      <c r="D149" s="56" t="str">
        <f>IF(Table8[[#This Row],[Month - Year]]="","",TEXT(Table8[[#This Row],[Month - Year]],"MMM-YY"))</f>
        <v/>
      </c>
      <c r="E149" s="54"/>
      <c r="F149" s="54"/>
      <c r="G149" s="54"/>
      <c r="H149" s="57" t="str">
        <f>IFERROR(Table8[[#This Row],[No. of Resources for whom access were removed on time]]/Table8[[#This Row],[No. of Resources De-allocated]],"")</f>
        <v/>
      </c>
      <c r="I149" s="57" t="str">
        <f>IFERROR(Table8[[#This Row],[No. of Resources for whom assets were returned on time]]/Table8[[#This Row],[No. of Resources De-allocated]],"")</f>
        <v/>
      </c>
      <c r="K149" s="54"/>
      <c r="L149" s="54"/>
      <c r="M149" s="54"/>
      <c r="N149" s="54"/>
      <c r="O149" s="57" t="str">
        <f>IFERROR((Table9[[#This Row],[No. of External security Defects]])/(Table9[[#This Row],[No. of Internal Security Defects  ]]+Table9[[#This Row],[No. of External security Defects]]),"")</f>
        <v/>
      </c>
    </row>
    <row r="150" spans="2:15">
      <c r="B150" s="54"/>
      <c r="C150" s="58"/>
      <c r="D150" s="56" t="str">
        <f>IF(Table8[[#This Row],[Month - Year]]="","",TEXT(Table8[[#This Row],[Month - Year]],"MMM-YY"))</f>
        <v/>
      </c>
      <c r="E150" s="54"/>
      <c r="F150" s="54"/>
      <c r="G150" s="54"/>
      <c r="H150" s="57" t="str">
        <f>IFERROR(Table8[[#This Row],[No. of Resources for whom access were removed on time]]/Table8[[#This Row],[No. of Resources De-allocated]],"")</f>
        <v/>
      </c>
      <c r="I150" s="57" t="str">
        <f>IFERROR(Table8[[#This Row],[No. of Resources for whom assets were returned on time]]/Table8[[#This Row],[No. of Resources De-allocated]],"")</f>
        <v/>
      </c>
      <c r="K150" s="54"/>
      <c r="L150" s="54"/>
      <c r="M150" s="54"/>
      <c r="N150" s="54"/>
      <c r="O150" s="57" t="str">
        <f>IFERROR((Table9[[#This Row],[No. of External security Defects]])/(Table9[[#This Row],[No. of Internal Security Defects  ]]+Table9[[#This Row],[No. of External security Defects]]),"")</f>
        <v/>
      </c>
    </row>
    <row r="151" spans="2:15">
      <c r="B151" s="54"/>
      <c r="C151" s="58"/>
      <c r="D151" s="56" t="str">
        <f>IF(Table8[[#This Row],[Month - Year]]="","",TEXT(Table8[[#This Row],[Month - Year]],"MMM-YY"))</f>
        <v/>
      </c>
      <c r="E151" s="54"/>
      <c r="F151" s="54"/>
      <c r="G151" s="54"/>
      <c r="H151" s="57" t="str">
        <f>IFERROR(Table8[[#This Row],[No. of Resources for whom access were removed on time]]/Table8[[#This Row],[No. of Resources De-allocated]],"")</f>
        <v/>
      </c>
      <c r="I151" s="57" t="str">
        <f>IFERROR(Table8[[#This Row],[No. of Resources for whom assets were returned on time]]/Table8[[#This Row],[No. of Resources De-allocated]],"")</f>
        <v/>
      </c>
      <c r="K151" s="54"/>
      <c r="L151" s="54"/>
      <c r="M151" s="54"/>
      <c r="N151" s="54"/>
      <c r="O151" s="57" t="str">
        <f>IFERROR((Table9[[#This Row],[No. of External security Defects]])/(Table9[[#This Row],[No. of Internal Security Defects  ]]+Table9[[#This Row],[No. of External security Defects]]),"")</f>
        <v/>
      </c>
    </row>
    <row r="152" spans="2:15">
      <c r="B152" s="54"/>
      <c r="C152" s="58"/>
      <c r="D152" s="56" t="str">
        <f>IF(Table8[[#This Row],[Month - Year]]="","",TEXT(Table8[[#This Row],[Month - Year]],"MMM-YY"))</f>
        <v/>
      </c>
      <c r="E152" s="54"/>
      <c r="F152" s="54"/>
      <c r="G152" s="54"/>
      <c r="H152" s="57" t="str">
        <f>IFERROR(Table8[[#This Row],[No. of Resources for whom access were removed on time]]/Table8[[#This Row],[No. of Resources De-allocated]],"")</f>
        <v/>
      </c>
      <c r="I152" s="57" t="str">
        <f>IFERROR(Table8[[#This Row],[No. of Resources for whom assets were returned on time]]/Table8[[#This Row],[No. of Resources De-allocated]],"")</f>
        <v/>
      </c>
      <c r="K152" s="54"/>
      <c r="L152" s="54"/>
      <c r="M152" s="54"/>
      <c r="N152" s="54"/>
      <c r="O152" s="57" t="str">
        <f>IFERROR((Table9[[#This Row],[No. of External security Defects]])/(Table9[[#This Row],[No. of Internal Security Defects  ]]+Table9[[#This Row],[No. of External security Defects]]),"")</f>
        <v/>
      </c>
    </row>
    <row r="153" spans="2:15">
      <c r="B153" s="54"/>
      <c r="C153" s="58"/>
      <c r="D153" s="56" t="str">
        <f>IF(Table8[[#This Row],[Month - Year]]="","",TEXT(Table8[[#This Row],[Month - Year]],"MMM-YY"))</f>
        <v/>
      </c>
      <c r="E153" s="54"/>
      <c r="F153" s="54"/>
      <c r="G153" s="54"/>
      <c r="H153" s="57" t="str">
        <f>IFERROR(Table8[[#This Row],[No. of Resources for whom access were removed on time]]/Table8[[#This Row],[No. of Resources De-allocated]],"")</f>
        <v/>
      </c>
      <c r="I153" s="57" t="str">
        <f>IFERROR(Table8[[#This Row],[No. of Resources for whom assets were returned on time]]/Table8[[#This Row],[No. of Resources De-allocated]],"")</f>
        <v/>
      </c>
      <c r="K153" s="54"/>
      <c r="L153" s="54"/>
      <c r="M153" s="54"/>
      <c r="N153" s="54"/>
      <c r="O153" s="57" t="str">
        <f>IFERROR((Table9[[#This Row],[No. of External security Defects]])/(Table9[[#This Row],[No. of Internal Security Defects  ]]+Table9[[#This Row],[No. of External security Defects]]),"")</f>
        <v/>
      </c>
    </row>
    <row r="154" spans="2:15">
      <c r="B154" s="54"/>
      <c r="C154" s="58"/>
      <c r="D154" s="56" t="str">
        <f>IF(Table8[[#This Row],[Month - Year]]="","",TEXT(Table8[[#This Row],[Month - Year]],"MMM-YY"))</f>
        <v/>
      </c>
      <c r="E154" s="54"/>
      <c r="F154" s="54"/>
      <c r="G154" s="54"/>
      <c r="H154" s="57" t="str">
        <f>IFERROR(Table8[[#This Row],[No. of Resources for whom access were removed on time]]/Table8[[#This Row],[No. of Resources De-allocated]],"")</f>
        <v/>
      </c>
      <c r="I154" s="57" t="str">
        <f>IFERROR(Table8[[#This Row],[No. of Resources for whom assets were returned on time]]/Table8[[#This Row],[No. of Resources De-allocated]],"")</f>
        <v/>
      </c>
      <c r="K154" s="54"/>
      <c r="L154" s="54"/>
      <c r="M154" s="54"/>
      <c r="N154" s="54"/>
      <c r="O154" s="57" t="str">
        <f>IFERROR((Table9[[#This Row],[No. of External security Defects]])/(Table9[[#This Row],[No. of Internal Security Defects  ]]+Table9[[#This Row],[No. of External security Defects]]),"")</f>
        <v/>
      </c>
    </row>
    <row r="155" spans="2:15">
      <c r="B155" s="54"/>
      <c r="C155" s="58"/>
      <c r="D155" s="56" t="str">
        <f>IF(Table8[[#This Row],[Month - Year]]="","",TEXT(Table8[[#This Row],[Month - Year]],"MMM-YY"))</f>
        <v/>
      </c>
      <c r="E155" s="54"/>
      <c r="F155" s="54"/>
      <c r="G155" s="54"/>
      <c r="H155" s="57" t="str">
        <f>IFERROR(Table8[[#This Row],[No. of Resources for whom access were removed on time]]/Table8[[#This Row],[No. of Resources De-allocated]],"")</f>
        <v/>
      </c>
      <c r="I155" s="57" t="str">
        <f>IFERROR(Table8[[#This Row],[No. of Resources for whom assets were returned on time]]/Table8[[#This Row],[No. of Resources De-allocated]],"")</f>
        <v/>
      </c>
      <c r="K155" s="54"/>
      <c r="L155" s="54"/>
      <c r="M155" s="54"/>
      <c r="N155" s="54"/>
      <c r="O155" s="57" t="str">
        <f>IFERROR((Table9[[#This Row],[No. of External security Defects]])/(Table9[[#This Row],[No. of Internal Security Defects  ]]+Table9[[#This Row],[No. of External security Defects]]),"")</f>
        <v/>
      </c>
    </row>
    <row r="156" spans="2:15">
      <c r="B156" s="54"/>
      <c r="C156" s="58"/>
      <c r="D156" s="56" t="str">
        <f>IF(Table8[[#This Row],[Month - Year]]="","",TEXT(Table8[[#This Row],[Month - Year]],"MMM-YY"))</f>
        <v/>
      </c>
      <c r="E156" s="54"/>
      <c r="F156" s="54"/>
      <c r="G156" s="54"/>
      <c r="H156" s="57" t="str">
        <f>IFERROR(Table8[[#This Row],[No. of Resources for whom access were removed on time]]/Table8[[#This Row],[No. of Resources De-allocated]],"")</f>
        <v/>
      </c>
      <c r="I156" s="57" t="str">
        <f>IFERROR(Table8[[#This Row],[No. of Resources for whom assets were returned on time]]/Table8[[#This Row],[No. of Resources De-allocated]],"")</f>
        <v/>
      </c>
      <c r="K156" s="54"/>
      <c r="L156" s="54"/>
      <c r="M156" s="54"/>
      <c r="N156" s="54"/>
      <c r="O156" s="57" t="str">
        <f>IFERROR((Table9[[#This Row],[No. of External security Defects]])/(Table9[[#This Row],[No. of Internal Security Defects  ]]+Table9[[#This Row],[No. of External security Defects]]),"")</f>
        <v/>
      </c>
    </row>
    <row r="157" spans="2:15">
      <c r="B157" s="54"/>
      <c r="C157" s="58"/>
      <c r="D157" s="56" t="str">
        <f>IF(Table8[[#This Row],[Month - Year]]="","",TEXT(Table8[[#This Row],[Month - Year]],"MMM-YY"))</f>
        <v/>
      </c>
      <c r="E157" s="54"/>
      <c r="F157" s="54"/>
      <c r="G157" s="54"/>
      <c r="H157" s="57" t="str">
        <f>IFERROR(Table8[[#This Row],[No. of Resources for whom access were removed on time]]/Table8[[#This Row],[No. of Resources De-allocated]],"")</f>
        <v/>
      </c>
      <c r="I157" s="57" t="str">
        <f>IFERROR(Table8[[#This Row],[No. of Resources for whom assets were returned on time]]/Table8[[#This Row],[No. of Resources De-allocated]],"")</f>
        <v/>
      </c>
      <c r="K157" s="54"/>
      <c r="L157" s="54"/>
      <c r="M157" s="54"/>
      <c r="N157" s="54"/>
      <c r="O157" s="57" t="str">
        <f>IFERROR((Table9[[#This Row],[No. of External security Defects]])/(Table9[[#This Row],[No. of Internal Security Defects  ]]+Table9[[#This Row],[No. of External security Defects]]),"")</f>
        <v/>
      </c>
    </row>
    <row r="158" spans="2:15">
      <c r="B158" s="54"/>
      <c r="C158" s="58"/>
      <c r="D158" s="56" t="str">
        <f>IF(Table8[[#This Row],[Month - Year]]="","",TEXT(Table8[[#This Row],[Month - Year]],"MMM-YY"))</f>
        <v/>
      </c>
      <c r="E158" s="54"/>
      <c r="F158" s="54"/>
      <c r="G158" s="54"/>
      <c r="H158" s="57" t="str">
        <f>IFERROR(Table8[[#This Row],[No. of Resources for whom access were removed on time]]/Table8[[#This Row],[No. of Resources De-allocated]],"")</f>
        <v/>
      </c>
      <c r="I158" s="57" t="str">
        <f>IFERROR(Table8[[#This Row],[No. of Resources for whom assets were returned on time]]/Table8[[#This Row],[No. of Resources De-allocated]],"")</f>
        <v/>
      </c>
      <c r="K158" s="54"/>
      <c r="L158" s="54"/>
      <c r="M158" s="54"/>
      <c r="N158" s="54"/>
      <c r="O158" s="57" t="str">
        <f>IFERROR((Table9[[#This Row],[No. of External security Defects]])/(Table9[[#This Row],[No. of Internal Security Defects  ]]+Table9[[#This Row],[No. of External security Defects]]),"")</f>
        <v/>
      </c>
    </row>
    <row r="159" spans="2:15">
      <c r="B159" s="54"/>
      <c r="C159" s="58"/>
      <c r="D159" s="56" t="str">
        <f>IF(Table8[[#This Row],[Month - Year]]="","",TEXT(Table8[[#This Row],[Month - Year]],"MMM-YY"))</f>
        <v/>
      </c>
      <c r="E159" s="54"/>
      <c r="F159" s="54"/>
      <c r="G159" s="54"/>
      <c r="H159" s="57" t="str">
        <f>IFERROR(Table8[[#This Row],[No. of Resources for whom access were removed on time]]/Table8[[#This Row],[No. of Resources De-allocated]],"")</f>
        <v/>
      </c>
      <c r="I159" s="57" t="str">
        <f>IFERROR(Table8[[#This Row],[No. of Resources for whom assets were returned on time]]/Table8[[#This Row],[No. of Resources De-allocated]],"")</f>
        <v/>
      </c>
      <c r="K159" s="54"/>
      <c r="L159" s="54"/>
      <c r="M159" s="54"/>
      <c r="N159" s="54"/>
      <c r="O159" s="57" t="str">
        <f>IFERROR((Table9[[#This Row],[No. of External security Defects]])/(Table9[[#This Row],[No. of Internal Security Defects  ]]+Table9[[#This Row],[No. of External security Defects]]),"")</f>
        <v/>
      </c>
    </row>
    <row r="160" spans="2:15">
      <c r="B160" s="54"/>
      <c r="C160" s="58"/>
      <c r="D160" s="56" t="str">
        <f>IF(Table8[[#This Row],[Month - Year]]="","",TEXT(Table8[[#This Row],[Month - Year]],"MMM-YY"))</f>
        <v/>
      </c>
      <c r="E160" s="54"/>
      <c r="F160" s="54"/>
      <c r="G160" s="54"/>
      <c r="H160" s="57" t="str">
        <f>IFERROR(Table8[[#This Row],[No. of Resources for whom access were removed on time]]/Table8[[#This Row],[No. of Resources De-allocated]],"")</f>
        <v/>
      </c>
      <c r="I160" s="57" t="str">
        <f>IFERROR(Table8[[#This Row],[No. of Resources for whom assets were returned on time]]/Table8[[#This Row],[No. of Resources De-allocated]],"")</f>
        <v/>
      </c>
      <c r="K160" s="54"/>
      <c r="L160" s="54"/>
      <c r="M160" s="54"/>
      <c r="N160" s="54"/>
      <c r="O160" s="57" t="str">
        <f>IFERROR((Table9[[#This Row],[No. of External security Defects]])/(Table9[[#This Row],[No. of Internal Security Defects  ]]+Table9[[#This Row],[No. of External security Defects]]),"")</f>
        <v/>
      </c>
    </row>
    <row r="161" spans="2:15">
      <c r="B161" s="54"/>
      <c r="C161" s="58"/>
      <c r="D161" s="56" t="str">
        <f>IF(Table8[[#This Row],[Month - Year]]="","",TEXT(Table8[[#This Row],[Month - Year]],"MMM-YY"))</f>
        <v/>
      </c>
      <c r="E161" s="54"/>
      <c r="F161" s="54"/>
      <c r="G161" s="54"/>
      <c r="H161" s="57" t="str">
        <f>IFERROR(Table8[[#This Row],[No. of Resources for whom access were removed on time]]/Table8[[#This Row],[No. of Resources De-allocated]],"")</f>
        <v/>
      </c>
      <c r="I161" s="57" t="str">
        <f>IFERROR(Table8[[#This Row],[No. of Resources for whom assets were returned on time]]/Table8[[#This Row],[No. of Resources De-allocated]],"")</f>
        <v/>
      </c>
      <c r="K161" s="54"/>
      <c r="L161" s="54"/>
      <c r="M161" s="54"/>
      <c r="N161" s="54"/>
      <c r="O161" s="57" t="str">
        <f>IFERROR((Table9[[#This Row],[No. of External security Defects]])/(Table9[[#This Row],[No. of Internal Security Defects  ]]+Table9[[#This Row],[No. of External security Defects]]),"")</f>
        <v/>
      </c>
    </row>
    <row r="162" spans="2:15">
      <c r="B162" s="54"/>
      <c r="C162" s="58"/>
      <c r="D162" s="56" t="str">
        <f>IF(Table8[[#This Row],[Month - Year]]="","",TEXT(Table8[[#This Row],[Month - Year]],"MMM-YY"))</f>
        <v/>
      </c>
      <c r="E162" s="54"/>
      <c r="F162" s="54"/>
      <c r="G162" s="54"/>
      <c r="H162" s="57" t="str">
        <f>IFERROR(Table8[[#This Row],[No. of Resources for whom access were removed on time]]/Table8[[#This Row],[No. of Resources De-allocated]],"")</f>
        <v/>
      </c>
      <c r="I162" s="57" t="str">
        <f>IFERROR(Table8[[#This Row],[No. of Resources for whom assets were returned on time]]/Table8[[#This Row],[No. of Resources De-allocated]],"")</f>
        <v/>
      </c>
      <c r="K162" s="54"/>
      <c r="L162" s="54"/>
      <c r="M162" s="54"/>
      <c r="N162" s="54"/>
      <c r="O162" s="57" t="str">
        <f>IFERROR((Table9[[#This Row],[No. of External security Defects]])/(Table9[[#This Row],[No. of Internal Security Defects  ]]+Table9[[#This Row],[No. of External security Defects]]),"")</f>
        <v/>
      </c>
    </row>
    <row r="163" spans="2:15">
      <c r="B163" s="54"/>
      <c r="C163" s="58"/>
      <c r="D163" s="56" t="str">
        <f>IF(Table8[[#This Row],[Month - Year]]="","",TEXT(Table8[[#This Row],[Month - Year]],"MMM-YY"))</f>
        <v/>
      </c>
      <c r="E163" s="54"/>
      <c r="F163" s="54"/>
      <c r="G163" s="54"/>
      <c r="H163" s="57" t="str">
        <f>IFERROR(Table8[[#This Row],[No. of Resources for whom access were removed on time]]/Table8[[#This Row],[No. of Resources De-allocated]],"")</f>
        <v/>
      </c>
      <c r="I163" s="57" t="str">
        <f>IFERROR(Table8[[#This Row],[No. of Resources for whom assets were returned on time]]/Table8[[#This Row],[No. of Resources De-allocated]],"")</f>
        <v/>
      </c>
      <c r="K163" s="54"/>
      <c r="L163" s="54"/>
      <c r="M163" s="54"/>
      <c r="N163" s="54"/>
      <c r="O163" s="57" t="str">
        <f>IFERROR((Table9[[#This Row],[No. of External security Defects]])/(Table9[[#This Row],[No. of Internal Security Defects  ]]+Table9[[#This Row],[No. of External security Defects]]),"")</f>
        <v/>
      </c>
    </row>
    <row r="164" spans="2:15">
      <c r="B164" s="54"/>
      <c r="C164" s="58"/>
      <c r="D164" s="56" t="str">
        <f>IF(Table8[[#This Row],[Month - Year]]="","",TEXT(Table8[[#This Row],[Month - Year]],"MMM-YY"))</f>
        <v/>
      </c>
      <c r="E164" s="54"/>
      <c r="F164" s="54"/>
      <c r="G164" s="54"/>
      <c r="H164" s="57" t="str">
        <f>IFERROR(Table8[[#This Row],[No. of Resources for whom access were removed on time]]/Table8[[#This Row],[No. of Resources De-allocated]],"")</f>
        <v/>
      </c>
      <c r="I164" s="57" t="str">
        <f>IFERROR(Table8[[#This Row],[No. of Resources for whom assets were returned on time]]/Table8[[#This Row],[No. of Resources De-allocated]],"")</f>
        <v/>
      </c>
      <c r="K164" s="54"/>
      <c r="L164" s="54"/>
      <c r="M164" s="54"/>
      <c r="N164" s="54"/>
      <c r="O164" s="57" t="str">
        <f>IFERROR((Table9[[#This Row],[No. of External security Defects]])/(Table9[[#This Row],[No. of Internal Security Defects  ]]+Table9[[#This Row],[No. of External security Defects]]),"")</f>
        <v/>
      </c>
    </row>
    <row r="165" spans="2:15">
      <c r="B165" s="54"/>
      <c r="C165" s="58"/>
      <c r="D165" s="56" t="str">
        <f>IF(Table8[[#This Row],[Month - Year]]="","",TEXT(Table8[[#This Row],[Month - Year]],"MMM-YY"))</f>
        <v/>
      </c>
      <c r="E165" s="54"/>
      <c r="F165" s="54"/>
      <c r="G165" s="54"/>
      <c r="H165" s="57" t="str">
        <f>IFERROR(Table8[[#This Row],[No. of Resources for whom access were removed on time]]/Table8[[#This Row],[No. of Resources De-allocated]],"")</f>
        <v/>
      </c>
      <c r="I165" s="57" t="str">
        <f>IFERROR(Table8[[#This Row],[No. of Resources for whom assets were returned on time]]/Table8[[#This Row],[No. of Resources De-allocated]],"")</f>
        <v/>
      </c>
      <c r="K165" s="54"/>
      <c r="L165" s="54"/>
      <c r="M165" s="54"/>
      <c r="N165" s="54"/>
      <c r="O165" s="57" t="str">
        <f>IFERROR((Table9[[#This Row],[No. of External security Defects]])/(Table9[[#This Row],[No. of Internal Security Defects  ]]+Table9[[#This Row],[No. of External security Defects]]),"")</f>
        <v/>
      </c>
    </row>
    <row r="166" spans="2:15">
      <c r="B166" s="54"/>
      <c r="C166" s="58"/>
      <c r="D166" s="56" t="str">
        <f>IF(Table8[[#This Row],[Month - Year]]="","",TEXT(Table8[[#This Row],[Month - Year]],"MMM-YY"))</f>
        <v/>
      </c>
      <c r="E166" s="54"/>
      <c r="F166" s="54"/>
      <c r="G166" s="54"/>
      <c r="H166" s="57" t="str">
        <f>IFERROR(Table8[[#This Row],[No. of Resources for whom access were removed on time]]/Table8[[#This Row],[No. of Resources De-allocated]],"")</f>
        <v/>
      </c>
      <c r="I166" s="57" t="str">
        <f>IFERROR(Table8[[#This Row],[No. of Resources for whom assets were returned on time]]/Table8[[#This Row],[No. of Resources De-allocated]],"")</f>
        <v/>
      </c>
      <c r="K166" s="54"/>
      <c r="L166" s="54"/>
      <c r="M166" s="54"/>
      <c r="N166" s="54"/>
      <c r="O166" s="57" t="str">
        <f>IFERROR((Table9[[#This Row],[No. of External security Defects]])/(Table9[[#This Row],[No. of Internal Security Defects  ]]+Table9[[#This Row],[No. of External security Defects]]),"")</f>
        <v/>
      </c>
    </row>
    <row r="167" spans="2:15">
      <c r="B167" s="54"/>
      <c r="C167" s="58"/>
      <c r="D167" s="56" t="str">
        <f>IF(Table8[[#This Row],[Month - Year]]="","",TEXT(Table8[[#This Row],[Month - Year]],"MMM-YY"))</f>
        <v/>
      </c>
      <c r="E167" s="54"/>
      <c r="F167" s="54"/>
      <c r="G167" s="54"/>
      <c r="H167" s="57" t="str">
        <f>IFERROR(Table8[[#This Row],[No. of Resources for whom access were removed on time]]/Table8[[#This Row],[No. of Resources De-allocated]],"")</f>
        <v/>
      </c>
      <c r="I167" s="57" t="str">
        <f>IFERROR(Table8[[#This Row],[No. of Resources for whom assets were returned on time]]/Table8[[#This Row],[No. of Resources De-allocated]],"")</f>
        <v/>
      </c>
      <c r="K167" s="54"/>
      <c r="L167" s="54"/>
      <c r="M167" s="54"/>
      <c r="N167" s="54"/>
      <c r="O167" s="57" t="str">
        <f>IFERROR((Table9[[#This Row],[No. of External security Defects]])/(Table9[[#This Row],[No. of Internal Security Defects  ]]+Table9[[#This Row],[No. of External security Defects]]),"")</f>
        <v/>
      </c>
    </row>
    <row r="168" spans="2:15">
      <c r="B168" s="54"/>
      <c r="C168" s="58"/>
      <c r="D168" s="56" t="str">
        <f>IF(Table8[[#This Row],[Month - Year]]="","",TEXT(Table8[[#This Row],[Month - Year]],"MMM-YY"))</f>
        <v/>
      </c>
      <c r="E168" s="54"/>
      <c r="F168" s="54"/>
      <c r="G168" s="54"/>
      <c r="H168" s="57" t="str">
        <f>IFERROR(Table8[[#This Row],[No. of Resources for whom access were removed on time]]/Table8[[#This Row],[No. of Resources De-allocated]],"")</f>
        <v/>
      </c>
      <c r="I168" s="57" t="str">
        <f>IFERROR(Table8[[#This Row],[No. of Resources for whom assets were returned on time]]/Table8[[#This Row],[No. of Resources De-allocated]],"")</f>
        <v/>
      </c>
      <c r="K168" s="54"/>
      <c r="L168" s="54"/>
      <c r="M168" s="54"/>
      <c r="N168" s="54"/>
      <c r="O168" s="57" t="str">
        <f>IFERROR((Table9[[#This Row],[No. of External security Defects]])/(Table9[[#This Row],[No. of Internal Security Defects  ]]+Table9[[#This Row],[No. of External security Defects]]),"")</f>
        <v/>
      </c>
    </row>
    <row r="169" spans="2:15">
      <c r="B169" s="54"/>
      <c r="C169" s="58"/>
      <c r="D169" s="56" t="str">
        <f>IF(Table8[[#This Row],[Month - Year]]="","",TEXT(Table8[[#This Row],[Month - Year]],"MMM-YY"))</f>
        <v/>
      </c>
      <c r="E169" s="54"/>
      <c r="F169" s="54"/>
      <c r="G169" s="54"/>
      <c r="H169" s="57" t="str">
        <f>IFERROR(Table8[[#This Row],[No. of Resources for whom access were removed on time]]/Table8[[#This Row],[No. of Resources De-allocated]],"")</f>
        <v/>
      </c>
      <c r="I169" s="57" t="str">
        <f>IFERROR(Table8[[#This Row],[No. of Resources for whom assets were returned on time]]/Table8[[#This Row],[No. of Resources De-allocated]],"")</f>
        <v/>
      </c>
      <c r="K169" s="54"/>
      <c r="L169" s="54"/>
      <c r="M169" s="54"/>
      <c r="N169" s="54"/>
      <c r="O169" s="57" t="str">
        <f>IFERROR((Table9[[#This Row],[No. of External security Defects]])/(Table9[[#This Row],[No. of Internal Security Defects  ]]+Table9[[#This Row],[No. of External security Defects]]),"")</f>
        <v/>
      </c>
    </row>
    <row r="170" spans="2:15">
      <c r="B170" s="54"/>
      <c r="C170" s="58"/>
      <c r="D170" s="56" t="str">
        <f>IF(Table8[[#This Row],[Month - Year]]="","",TEXT(Table8[[#This Row],[Month - Year]],"MMM-YY"))</f>
        <v/>
      </c>
      <c r="E170" s="54"/>
      <c r="F170" s="54"/>
      <c r="G170" s="54"/>
      <c r="H170" s="57" t="str">
        <f>IFERROR(Table8[[#This Row],[No. of Resources for whom access were removed on time]]/Table8[[#This Row],[No. of Resources De-allocated]],"")</f>
        <v/>
      </c>
      <c r="I170" s="57" t="str">
        <f>IFERROR(Table8[[#This Row],[No. of Resources for whom assets were returned on time]]/Table8[[#This Row],[No. of Resources De-allocated]],"")</f>
        <v/>
      </c>
      <c r="K170" s="54"/>
      <c r="L170" s="54"/>
      <c r="M170" s="54"/>
      <c r="N170" s="54"/>
      <c r="O170" s="57" t="str">
        <f>IFERROR((Table9[[#This Row],[No. of External security Defects]])/(Table9[[#This Row],[No. of Internal Security Defects  ]]+Table9[[#This Row],[No. of External security Defects]]),"")</f>
        <v/>
      </c>
    </row>
    <row r="171" spans="2:15">
      <c r="B171" s="54"/>
      <c r="C171" s="58"/>
      <c r="D171" s="56" t="str">
        <f>IF(Table8[[#This Row],[Month - Year]]="","",TEXT(Table8[[#This Row],[Month - Year]],"MMM-YY"))</f>
        <v/>
      </c>
      <c r="E171" s="54"/>
      <c r="F171" s="54"/>
      <c r="G171" s="54"/>
      <c r="H171" s="57" t="str">
        <f>IFERROR(Table8[[#This Row],[No. of Resources for whom access were removed on time]]/Table8[[#This Row],[No. of Resources De-allocated]],"")</f>
        <v/>
      </c>
      <c r="I171" s="57" t="str">
        <f>IFERROR(Table8[[#This Row],[No. of Resources for whom assets were returned on time]]/Table8[[#This Row],[No. of Resources De-allocated]],"")</f>
        <v/>
      </c>
      <c r="K171" s="54"/>
      <c r="L171" s="54"/>
      <c r="M171" s="54"/>
      <c r="N171" s="54"/>
      <c r="O171" s="57" t="str">
        <f>IFERROR((Table9[[#This Row],[No. of External security Defects]])/(Table9[[#This Row],[No. of Internal Security Defects  ]]+Table9[[#This Row],[No. of External security Defects]]),"")</f>
        <v/>
      </c>
    </row>
    <row r="172" spans="2:15">
      <c r="B172" s="54"/>
      <c r="C172" s="58"/>
      <c r="D172" s="56" t="str">
        <f>IF(Table8[[#This Row],[Month - Year]]="","",TEXT(Table8[[#This Row],[Month - Year]],"MMM-YY"))</f>
        <v/>
      </c>
      <c r="E172" s="54"/>
      <c r="F172" s="54"/>
      <c r="G172" s="54"/>
      <c r="H172" s="57" t="str">
        <f>IFERROR(Table8[[#This Row],[No. of Resources for whom access were removed on time]]/Table8[[#This Row],[No. of Resources De-allocated]],"")</f>
        <v/>
      </c>
      <c r="I172" s="57" t="str">
        <f>IFERROR(Table8[[#This Row],[No. of Resources for whom assets were returned on time]]/Table8[[#This Row],[No. of Resources De-allocated]],"")</f>
        <v/>
      </c>
      <c r="K172" s="54"/>
      <c r="L172" s="54"/>
      <c r="M172" s="54"/>
      <c r="N172" s="54"/>
      <c r="O172" s="57" t="str">
        <f>IFERROR((Table9[[#This Row],[No. of External security Defects]])/(Table9[[#This Row],[No. of Internal Security Defects  ]]+Table9[[#This Row],[No. of External security Defects]]),"")</f>
        <v/>
      </c>
    </row>
    <row r="173" spans="2:15">
      <c r="B173" s="54"/>
      <c r="C173" s="58"/>
      <c r="D173" s="56" t="str">
        <f>IF(Table8[[#This Row],[Month - Year]]="","",TEXT(Table8[[#This Row],[Month - Year]],"MMM-YY"))</f>
        <v/>
      </c>
      <c r="E173" s="54"/>
      <c r="F173" s="54"/>
      <c r="G173" s="54"/>
      <c r="H173" s="57" t="str">
        <f>IFERROR(Table8[[#This Row],[No. of Resources for whom access were removed on time]]/Table8[[#This Row],[No. of Resources De-allocated]],"")</f>
        <v/>
      </c>
      <c r="I173" s="57" t="str">
        <f>IFERROR(Table8[[#This Row],[No. of Resources for whom assets were returned on time]]/Table8[[#This Row],[No. of Resources De-allocated]],"")</f>
        <v/>
      </c>
      <c r="K173" s="54"/>
      <c r="L173" s="54"/>
      <c r="M173" s="54"/>
      <c r="N173" s="54"/>
      <c r="O173" s="57" t="str">
        <f>IFERROR((Table9[[#This Row],[No. of External security Defects]])/(Table9[[#This Row],[No. of Internal Security Defects  ]]+Table9[[#This Row],[No. of External security Defects]]),"")</f>
        <v/>
      </c>
    </row>
    <row r="174" spans="2:15">
      <c r="B174" s="54"/>
      <c r="C174" s="58"/>
      <c r="D174" s="56" t="str">
        <f>IF(Table8[[#This Row],[Month - Year]]="","",TEXT(Table8[[#This Row],[Month - Year]],"MMM-YY"))</f>
        <v/>
      </c>
      <c r="E174" s="54"/>
      <c r="F174" s="54"/>
      <c r="G174" s="54"/>
      <c r="H174" s="57" t="str">
        <f>IFERROR(Table8[[#This Row],[No. of Resources for whom access were removed on time]]/Table8[[#This Row],[No. of Resources De-allocated]],"")</f>
        <v/>
      </c>
      <c r="I174" s="57" t="str">
        <f>IFERROR(Table8[[#This Row],[No. of Resources for whom assets were returned on time]]/Table8[[#This Row],[No. of Resources De-allocated]],"")</f>
        <v/>
      </c>
      <c r="K174" s="54"/>
      <c r="L174" s="54"/>
      <c r="M174" s="54"/>
      <c r="N174" s="54"/>
      <c r="O174" s="57" t="str">
        <f>IFERROR((Table9[[#This Row],[No. of External security Defects]])/(Table9[[#This Row],[No. of Internal Security Defects  ]]+Table9[[#This Row],[No. of External security Defects]]),"")</f>
        <v/>
      </c>
    </row>
    <row r="175" spans="2:15">
      <c r="B175" s="54"/>
      <c r="C175" s="58"/>
      <c r="D175" s="56" t="str">
        <f>IF(Table8[[#This Row],[Month - Year]]="","",TEXT(Table8[[#This Row],[Month - Year]],"MMM-YY"))</f>
        <v/>
      </c>
      <c r="E175" s="54"/>
      <c r="F175" s="54"/>
      <c r="G175" s="54"/>
      <c r="H175" s="57" t="str">
        <f>IFERROR(Table8[[#This Row],[No. of Resources for whom access were removed on time]]/Table8[[#This Row],[No. of Resources De-allocated]],"")</f>
        <v/>
      </c>
      <c r="I175" s="57" t="str">
        <f>IFERROR(Table8[[#This Row],[No. of Resources for whom assets were returned on time]]/Table8[[#This Row],[No. of Resources De-allocated]],"")</f>
        <v/>
      </c>
      <c r="K175" s="54"/>
      <c r="L175" s="54"/>
      <c r="M175" s="54"/>
      <c r="N175" s="54"/>
      <c r="O175" s="57" t="str">
        <f>IFERROR((Table9[[#This Row],[No. of External security Defects]])/(Table9[[#This Row],[No. of Internal Security Defects  ]]+Table9[[#This Row],[No. of External security Defects]]),"")</f>
        <v/>
      </c>
    </row>
    <row r="176" spans="2:15">
      <c r="B176" s="54"/>
      <c r="C176" s="58"/>
      <c r="D176" s="56" t="str">
        <f>IF(Table8[[#This Row],[Month - Year]]="","",TEXT(Table8[[#This Row],[Month - Year]],"MMM-YY"))</f>
        <v/>
      </c>
      <c r="E176" s="54"/>
      <c r="F176" s="54"/>
      <c r="G176" s="54"/>
      <c r="H176" s="57" t="str">
        <f>IFERROR(Table8[[#This Row],[No. of Resources for whom access were removed on time]]/Table8[[#This Row],[No. of Resources De-allocated]],"")</f>
        <v/>
      </c>
      <c r="I176" s="57" t="str">
        <f>IFERROR(Table8[[#This Row],[No. of Resources for whom assets were returned on time]]/Table8[[#This Row],[No. of Resources De-allocated]],"")</f>
        <v/>
      </c>
      <c r="K176" s="54"/>
      <c r="L176" s="54"/>
      <c r="M176" s="54"/>
      <c r="N176" s="54"/>
      <c r="O176" s="57" t="str">
        <f>IFERROR((Table9[[#This Row],[No. of External security Defects]])/(Table9[[#This Row],[No. of Internal Security Defects  ]]+Table9[[#This Row],[No. of External security Defects]]),"")</f>
        <v/>
      </c>
    </row>
    <row r="177" spans="2:15">
      <c r="B177" s="54"/>
      <c r="C177" s="58"/>
      <c r="D177" s="56" t="str">
        <f>IF(Table8[[#This Row],[Month - Year]]="","",TEXT(Table8[[#This Row],[Month - Year]],"MMM-YY"))</f>
        <v/>
      </c>
      <c r="E177" s="54"/>
      <c r="F177" s="54"/>
      <c r="G177" s="54"/>
      <c r="H177" s="57" t="str">
        <f>IFERROR(Table8[[#This Row],[No. of Resources for whom access were removed on time]]/Table8[[#This Row],[No. of Resources De-allocated]],"")</f>
        <v/>
      </c>
      <c r="I177" s="57" t="str">
        <f>IFERROR(Table8[[#This Row],[No. of Resources for whom assets were returned on time]]/Table8[[#This Row],[No. of Resources De-allocated]],"")</f>
        <v/>
      </c>
      <c r="K177" s="54"/>
      <c r="L177" s="54"/>
      <c r="M177" s="54"/>
      <c r="N177" s="54"/>
      <c r="O177" s="57" t="str">
        <f>IFERROR((Table9[[#This Row],[No. of External security Defects]])/(Table9[[#This Row],[No. of Internal Security Defects  ]]+Table9[[#This Row],[No. of External security Defects]]),"")</f>
        <v/>
      </c>
    </row>
    <row r="178" spans="2:15">
      <c r="B178" s="54"/>
      <c r="C178" s="58"/>
      <c r="D178" s="56" t="str">
        <f>IF(Table8[[#This Row],[Month - Year]]="","",TEXT(Table8[[#This Row],[Month - Year]],"MMM-YY"))</f>
        <v/>
      </c>
      <c r="E178" s="54"/>
      <c r="F178" s="54"/>
      <c r="G178" s="54"/>
      <c r="H178" s="57" t="str">
        <f>IFERROR(Table8[[#This Row],[No. of Resources for whom access were removed on time]]/Table8[[#This Row],[No. of Resources De-allocated]],"")</f>
        <v/>
      </c>
      <c r="I178" s="57" t="str">
        <f>IFERROR(Table8[[#This Row],[No. of Resources for whom assets were returned on time]]/Table8[[#This Row],[No. of Resources De-allocated]],"")</f>
        <v/>
      </c>
      <c r="K178" s="54"/>
      <c r="L178" s="54"/>
      <c r="M178" s="54"/>
      <c r="N178" s="54"/>
      <c r="O178" s="57" t="str">
        <f>IFERROR((Table9[[#This Row],[No. of External security Defects]])/(Table9[[#This Row],[No. of Internal Security Defects  ]]+Table9[[#This Row],[No. of External security Defects]]),"")</f>
        <v/>
      </c>
    </row>
    <row r="179" spans="2:15">
      <c r="B179" s="54"/>
      <c r="C179" s="58"/>
      <c r="D179" s="56" t="str">
        <f>IF(Table8[[#This Row],[Month - Year]]="","",TEXT(Table8[[#This Row],[Month - Year]],"MMM-YY"))</f>
        <v/>
      </c>
      <c r="E179" s="54"/>
      <c r="F179" s="54"/>
      <c r="G179" s="54"/>
      <c r="H179" s="57" t="str">
        <f>IFERROR(Table8[[#This Row],[No. of Resources for whom access were removed on time]]/Table8[[#This Row],[No. of Resources De-allocated]],"")</f>
        <v/>
      </c>
      <c r="I179" s="57" t="str">
        <f>IFERROR(Table8[[#This Row],[No. of Resources for whom assets were returned on time]]/Table8[[#This Row],[No. of Resources De-allocated]],"")</f>
        <v/>
      </c>
      <c r="K179" s="54"/>
      <c r="L179" s="54"/>
      <c r="M179" s="54"/>
      <c r="N179" s="54"/>
      <c r="O179" s="57" t="str">
        <f>IFERROR((Table9[[#This Row],[No. of External security Defects]])/(Table9[[#This Row],[No. of Internal Security Defects  ]]+Table9[[#This Row],[No. of External security Defects]]),"")</f>
        <v/>
      </c>
    </row>
    <row r="180" spans="2:15">
      <c r="B180" s="54"/>
      <c r="C180" s="58"/>
      <c r="D180" s="56" t="str">
        <f>IF(Table8[[#This Row],[Month - Year]]="","",TEXT(Table8[[#This Row],[Month - Year]],"MMM-YY"))</f>
        <v/>
      </c>
      <c r="E180" s="54"/>
      <c r="F180" s="54"/>
      <c r="G180" s="54"/>
      <c r="H180" s="57" t="str">
        <f>IFERROR(Table8[[#This Row],[No. of Resources for whom access were removed on time]]/Table8[[#This Row],[No. of Resources De-allocated]],"")</f>
        <v/>
      </c>
      <c r="I180" s="57" t="str">
        <f>IFERROR(Table8[[#This Row],[No. of Resources for whom assets were returned on time]]/Table8[[#This Row],[No. of Resources De-allocated]],"")</f>
        <v/>
      </c>
      <c r="K180" s="54"/>
      <c r="L180" s="54"/>
      <c r="M180" s="54"/>
      <c r="N180" s="54"/>
      <c r="O180" s="57" t="str">
        <f>IFERROR((Table9[[#This Row],[No. of External security Defects]])/(Table9[[#This Row],[No. of Internal Security Defects  ]]+Table9[[#This Row],[No. of External security Defects]]),"")</f>
        <v/>
      </c>
    </row>
    <row r="181" spans="2:15">
      <c r="B181" s="54"/>
      <c r="C181" s="58"/>
      <c r="D181" s="56" t="str">
        <f>IF(Table8[[#This Row],[Month - Year]]="","",TEXT(Table8[[#This Row],[Month - Year]],"MMM-YY"))</f>
        <v/>
      </c>
      <c r="E181" s="54"/>
      <c r="F181" s="54"/>
      <c r="G181" s="54"/>
      <c r="H181" s="57" t="str">
        <f>IFERROR(Table8[[#This Row],[No. of Resources for whom access were removed on time]]/Table8[[#This Row],[No. of Resources De-allocated]],"")</f>
        <v/>
      </c>
      <c r="I181" s="57" t="str">
        <f>IFERROR(Table8[[#This Row],[No. of Resources for whom assets were returned on time]]/Table8[[#This Row],[No. of Resources De-allocated]],"")</f>
        <v/>
      </c>
      <c r="K181" s="54"/>
      <c r="L181" s="54"/>
      <c r="M181" s="54"/>
      <c r="N181" s="54"/>
      <c r="O181" s="57" t="str">
        <f>IFERROR((Table9[[#This Row],[No. of External security Defects]])/(Table9[[#This Row],[No. of Internal Security Defects  ]]+Table9[[#This Row],[No. of External security Defects]]),"")</f>
        <v/>
      </c>
    </row>
    <row r="182" spans="2:15">
      <c r="B182" s="54"/>
      <c r="C182" s="58"/>
      <c r="D182" s="56" t="str">
        <f>IF(Table8[[#This Row],[Month - Year]]="","",TEXT(Table8[[#This Row],[Month - Year]],"MMM-YY"))</f>
        <v/>
      </c>
      <c r="E182" s="54"/>
      <c r="F182" s="54"/>
      <c r="G182" s="54"/>
      <c r="H182" s="57" t="str">
        <f>IFERROR(Table8[[#This Row],[No. of Resources for whom access were removed on time]]/Table8[[#This Row],[No. of Resources De-allocated]],"")</f>
        <v/>
      </c>
      <c r="I182" s="57" t="str">
        <f>IFERROR(Table8[[#This Row],[No. of Resources for whom assets were returned on time]]/Table8[[#This Row],[No. of Resources De-allocated]],"")</f>
        <v/>
      </c>
      <c r="K182" s="54"/>
      <c r="L182" s="54"/>
      <c r="M182" s="54"/>
      <c r="N182" s="54"/>
      <c r="O182" s="57" t="str">
        <f>IFERROR((Table9[[#This Row],[No. of External security Defects]])/(Table9[[#This Row],[No. of Internal Security Defects  ]]+Table9[[#This Row],[No. of External security Defects]]),"")</f>
        <v/>
      </c>
    </row>
    <row r="183" spans="2:15">
      <c r="B183" s="54"/>
      <c r="C183" s="58"/>
      <c r="D183" s="56" t="str">
        <f>IF(Table8[[#This Row],[Month - Year]]="","",TEXT(Table8[[#This Row],[Month - Year]],"MMM-YY"))</f>
        <v/>
      </c>
      <c r="E183" s="54"/>
      <c r="F183" s="54"/>
      <c r="G183" s="54"/>
      <c r="H183" s="57" t="str">
        <f>IFERROR(Table8[[#This Row],[No. of Resources for whom access were removed on time]]/Table8[[#This Row],[No. of Resources De-allocated]],"")</f>
        <v/>
      </c>
      <c r="I183" s="57" t="str">
        <f>IFERROR(Table8[[#This Row],[No. of Resources for whom assets were returned on time]]/Table8[[#This Row],[No. of Resources De-allocated]],"")</f>
        <v/>
      </c>
      <c r="K183" s="54"/>
      <c r="L183" s="54"/>
      <c r="M183" s="54"/>
      <c r="N183" s="54"/>
      <c r="O183" s="57" t="str">
        <f>IFERROR((Table9[[#This Row],[No. of External security Defects]])/(Table9[[#This Row],[No. of Internal Security Defects  ]]+Table9[[#This Row],[No. of External security Defects]]),"")</f>
        <v/>
      </c>
    </row>
    <row r="184" spans="2:15">
      <c r="B184" s="54"/>
      <c r="C184" s="58"/>
      <c r="D184" s="56" t="str">
        <f>IF(Table8[[#This Row],[Month - Year]]="","",TEXT(Table8[[#This Row],[Month - Year]],"MMM-YY"))</f>
        <v/>
      </c>
      <c r="E184" s="54"/>
      <c r="F184" s="54"/>
      <c r="G184" s="54"/>
      <c r="H184" s="57" t="str">
        <f>IFERROR(Table8[[#This Row],[No. of Resources for whom access were removed on time]]/Table8[[#This Row],[No. of Resources De-allocated]],"")</f>
        <v/>
      </c>
      <c r="I184" s="57" t="str">
        <f>IFERROR(Table8[[#This Row],[No. of Resources for whom assets were returned on time]]/Table8[[#This Row],[No. of Resources De-allocated]],"")</f>
        <v/>
      </c>
      <c r="K184" s="54"/>
      <c r="L184" s="54"/>
      <c r="M184" s="54"/>
      <c r="N184" s="54"/>
      <c r="O184" s="57" t="str">
        <f>IFERROR((Table9[[#This Row],[No. of External security Defects]])/(Table9[[#This Row],[No. of Internal Security Defects  ]]+Table9[[#This Row],[No. of External security Defects]]),"")</f>
        <v/>
      </c>
    </row>
    <row r="185" spans="2:15">
      <c r="B185" s="54"/>
      <c r="C185" s="58"/>
      <c r="D185" s="56" t="str">
        <f>IF(Table8[[#This Row],[Month - Year]]="","",TEXT(Table8[[#This Row],[Month - Year]],"MMM-YY"))</f>
        <v/>
      </c>
      <c r="E185" s="54"/>
      <c r="F185" s="54"/>
      <c r="G185" s="54"/>
      <c r="H185" s="57" t="str">
        <f>IFERROR(Table8[[#This Row],[No. of Resources for whom access were removed on time]]/Table8[[#This Row],[No. of Resources De-allocated]],"")</f>
        <v/>
      </c>
      <c r="I185" s="57" t="str">
        <f>IFERROR(Table8[[#This Row],[No. of Resources for whom assets were returned on time]]/Table8[[#This Row],[No. of Resources De-allocated]],"")</f>
        <v/>
      </c>
      <c r="K185" s="54"/>
      <c r="L185" s="54"/>
      <c r="M185" s="54"/>
      <c r="N185" s="54"/>
      <c r="O185" s="57" t="str">
        <f>IFERROR((Table9[[#This Row],[No. of External security Defects]])/(Table9[[#This Row],[No. of Internal Security Defects  ]]+Table9[[#This Row],[No. of External security Defects]]),"")</f>
        <v/>
      </c>
    </row>
    <row r="186" spans="2:15">
      <c r="B186" s="54"/>
      <c r="C186" s="58"/>
      <c r="D186" s="56" t="str">
        <f>IF(Table8[[#This Row],[Month - Year]]="","",TEXT(Table8[[#This Row],[Month - Year]],"MMM-YY"))</f>
        <v/>
      </c>
      <c r="E186" s="54"/>
      <c r="F186" s="54"/>
      <c r="G186" s="54"/>
      <c r="H186" s="57" t="str">
        <f>IFERROR(Table8[[#This Row],[No. of Resources for whom access were removed on time]]/Table8[[#This Row],[No. of Resources De-allocated]],"")</f>
        <v/>
      </c>
      <c r="I186" s="57" t="str">
        <f>IFERROR(Table8[[#This Row],[No. of Resources for whom assets were returned on time]]/Table8[[#This Row],[No. of Resources De-allocated]],"")</f>
        <v/>
      </c>
      <c r="K186" s="54"/>
      <c r="L186" s="54"/>
      <c r="M186" s="54"/>
      <c r="N186" s="54"/>
      <c r="O186" s="57" t="str">
        <f>IFERROR((Table9[[#This Row],[No. of External security Defects]])/(Table9[[#This Row],[No. of Internal Security Defects  ]]+Table9[[#This Row],[No. of External security Defects]]),"")</f>
        <v/>
      </c>
    </row>
    <row r="187" spans="2:15">
      <c r="B187" s="54"/>
      <c r="C187" s="58"/>
      <c r="D187" s="56" t="str">
        <f>IF(Table8[[#This Row],[Month - Year]]="","",TEXT(Table8[[#This Row],[Month - Year]],"MMM-YY"))</f>
        <v/>
      </c>
      <c r="E187" s="54"/>
      <c r="F187" s="54"/>
      <c r="G187" s="54"/>
      <c r="H187" s="57" t="str">
        <f>IFERROR(Table8[[#This Row],[No. of Resources for whom access were removed on time]]/Table8[[#This Row],[No. of Resources De-allocated]],"")</f>
        <v/>
      </c>
      <c r="I187" s="57" t="str">
        <f>IFERROR(Table8[[#This Row],[No. of Resources for whom assets were returned on time]]/Table8[[#This Row],[No. of Resources De-allocated]],"")</f>
        <v/>
      </c>
      <c r="K187" s="54"/>
      <c r="L187" s="54"/>
      <c r="M187" s="54"/>
      <c r="N187" s="54"/>
      <c r="O187" s="57" t="str">
        <f>IFERROR((Table9[[#This Row],[No. of External security Defects]])/(Table9[[#This Row],[No. of Internal Security Defects  ]]+Table9[[#This Row],[No. of External security Defects]]),"")</f>
        <v/>
      </c>
    </row>
    <row r="188" spans="2:15">
      <c r="B188" s="54"/>
      <c r="C188" s="58"/>
      <c r="D188" s="56" t="str">
        <f>IF(Table8[[#This Row],[Month - Year]]="","",TEXT(Table8[[#This Row],[Month - Year]],"MMM-YY"))</f>
        <v/>
      </c>
      <c r="E188" s="54"/>
      <c r="F188" s="54"/>
      <c r="G188" s="54"/>
      <c r="H188" s="57" t="str">
        <f>IFERROR(Table8[[#This Row],[No. of Resources for whom access were removed on time]]/Table8[[#This Row],[No. of Resources De-allocated]],"")</f>
        <v/>
      </c>
      <c r="I188" s="57" t="str">
        <f>IFERROR(Table8[[#This Row],[No. of Resources for whom assets were returned on time]]/Table8[[#This Row],[No. of Resources De-allocated]],"")</f>
        <v/>
      </c>
      <c r="K188" s="54"/>
      <c r="L188" s="54"/>
      <c r="M188" s="54"/>
      <c r="N188" s="54"/>
      <c r="O188" s="57" t="str">
        <f>IFERROR((Table9[[#This Row],[No. of External security Defects]])/(Table9[[#This Row],[No. of Internal Security Defects  ]]+Table9[[#This Row],[No. of External security Defects]]),"")</f>
        <v/>
      </c>
    </row>
    <row r="189" spans="2:15">
      <c r="B189" s="54"/>
      <c r="C189" s="58"/>
      <c r="D189" s="56" t="str">
        <f>IF(Table8[[#This Row],[Month - Year]]="","",TEXT(Table8[[#This Row],[Month - Year]],"MMM-YY"))</f>
        <v/>
      </c>
      <c r="E189" s="54"/>
      <c r="F189" s="54"/>
      <c r="G189" s="54"/>
      <c r="H189" s="57" t="str">
        <f>IFERROR(Table8[[#This Row],[No. of Resources for whom access were removed on time]]/Table8[[#This Row],[No. of Resources De-allocated]],"")</f>
        <v/>
      </c>
      <c r="I189" s="57" t="str">
        <f>IFERROR(Table8[[#This Row],[No. of Resources for whom assets were returned on time]]/Table8[[#This Row],[No. of Resources De-allocated]],"")</f>
        <v/>
      </c>
      <c r="K189" s="54"/>
      <c r="L189" s="54"/>
      <c r="M189" s="54"/>
      <c r="N189" s="54"/>
      <c r="O189" s="57" t="str">
        <f>IFERROR((Table9[[#This Row],[No. of External security Defects]])/(Table9[[#This Row],[No. of Internal Security Defects  ]]+Table9[[#This Row],[No. of External security Defects]]),"")</f>
        <v/>
      </c>
    </row>
    <row r="190" spans="2:15">
      <c r="B190" s="54"/>
      <c r="C190" s="58"/>
      <c r="D190" s="56" t="str">
        <f>IF(Table8[[#This Row],[Month - Year]]="","",TEXT(Table8[[#This Row],[Month - Year]],"MMM-YY"))</f>
        <v/>
      </c>
      <c r="E190" s="54"/>
      <c r="F190" s="54"/>
      <c r="G190" s="54"/>
      <c r="H190" s="57" t="str">
        <f>IFERROR(Table8[[#This Row],[No. of Resources for whom access were removed on time]]/Table8[[#This Row],[No. of Resources De-allocated]],"")</f>
        <v/>
      </c>
      <c r="I190" s="57" t="str">
        <f>IFERROR(Table8[[#This Row],[No. of Resources for whom assets were returned on time]]/Table8[[#This Row],[No. of Resources De-allocated]],"")</f>
        <v/>
      </c>
    </row>
    <row r="191" spans="2:15">
      <c r="B191" s="54"/>
      <c r="C191" s="58"/>
      <c r="D191" s="56" t="str">
        <f>IF(Table8[[#This Row],[Month - Year]]="","",TEXT(Table8[[#This Row],[Month - Year]],"MMM-YY"))</f>
        <v/>
      </c>
      <c r="E191" s="54"/>
      <c r="F191" s="54"/>
      <c r="G191" s="54"/>
      <c r="H191" s="57" t="str">
        <f>IFERROR(Table8[[#This Row],[No. of Resources for whom access were removed on time]]/Table8[[#This Row],[No. of Resources De-allocated]],"")</f>
        <v/>
      </c>
      <c r="I191" s="57" t="str">
        <f>IFERROR(Table8[[#This Row],[No. of Resources for whom assets were returned on time]]/Table8[[#This Row],[No. of Resources De-allocated]],"")</f>
        <v/>
      </c>
    </row>
    <row r="192" spans="2:15">
      <c r="B192" s="54"/>
      <c r="C192" s="58"/>
      <c r="D192" s="56" t="str">
        <f>IF(Table8[[#This Row],[Month - Year]]="","",TEXT(Table8[[#This Row],[Month - Year]],"MMM-YY"))</f>
        <v/>
      </c>
      <c r="E192" s="54"/>
      <c r="F192" s="54"/>
      <c r="G192" s="54"/>
      <c r="H192" s="57" t="str">
        <f>IFERROR(Table8[[#This Row],[No. of Resources for whom access were removed on time]]/Table8[[#This Row],[No. of Resources De-allocated]],"")</f>
        <v/>
      </c>
      <c r="I192" s="57" t="str">
        <f>IFERROR(Table8[[#This Row],[No. of Resources for whom assets were returned on time]]/Table8[[#This Row],[No. of Resources De-allocated]],"")</f>
        <v/>
      </c>
    </row>
    <row r="193" spans="2:9">
      <c r="B193" s="54"/>
      <c r="C193" s="58"/>
      <c r="D193" s="56" t="str">
        <f>IF(Table8[[#This Row],[Month - Year]]="","",TEXT(Table8[[#This Row],[Month - Year]],"MMM-YY"))</f>
        <v/>
      </c>
      <c r="E193" s="54"/>
      <c r="F193" s="54"/>
      <c r="G193" s="54"/>
      <c r="H193" s="57" t="str">
        <f>IFERROR(Table8[[#This Row],[No. of Resources for whom access were removed on time]]/Table8[[#This Row],[No. of Resources De-allocated]],"")</f>
        <v/>
      </c>
      <c r="I193" s="57" t="str">
        <f>IFERROR(Table8[[#This Row],[No. of Resources for whom assets were returned on time]]/Table8[[#This Row],[No. of Resources De-allocated]],"")</f>
        <v/>
      </c>
    </row>
    <row r="194" spans="2:9">
      <c r="B194" s="54"/>
      <c r="C194" s="58"/>
      <c r="D194" s="56" t="str">
        <f>IF(Table8[[#This Row],[Month - Year]]="","",TEXT(Table8[[#This Row],[Month - Year]],"MMM-YY"))</f>
        <v/>
      </c>
      <c r="E194" s="54"/>
      <c r="F194" s="54"/>
      <c r="G194" s="54"/>
      <c r="H194" s="57" t="str">
        <f>IFERROR(Table8[[#This Row],[No. of Resources for whom access were removed on time]]/Table8[[#This Row],[No. of Resources De-allocated]],"")</f>
        <v/>
      </c>
      <c r="I194" s="57" t="str">
        <f>IFERROR(Table8[[#This Row],[No. of Resources for whom assets were returned on time]]/Table8[[#This Row],[No. of Resources De-allocated]],"")</f>
        <v/>
      </c>
    </row>
    <row r="195" spans="2:9">
      <c r="B195" s="54"/>
      <c r="C195" s="58"/>
      <c r="D195" s="56" t="str">
        <f>IF(Table8[[#This Row],[Month - Year]]="","",TEXT(Table8[[#This Row],[Month - Year]],"MMM-YY"))</f>
        <v/>
      </c>
      <c r="E195" s="54"/>
      <c r="F195" s="54"/>
      <c r="G195" s="54"/>
      <c r="H195" s="57" t="str">
        <f>IFERROR(Table8[[#This Row],[No. of Resources for whom access were removed on time]]/Table8[[#This Row],[No. of Resources De-allocated]],"")</f>
        <v/>
      </c>
      <c r="I195" s="57" t="str">
        <f>IFERROR(Table8[[#This Row],[No. of Resources for whom assets were returned on time]]/Table8[[#This Row],[No. of Resources De-allocated]],"")</f>
        <v/>
      </c>
    </row>
    <row r="196" spans="2:9">
      <c r="B196" s="54"/>
      <c r="C196" s="58"/>
      <c r="D196" s="56" t="str">
        <f>IF(Table8[[#This Row],[Month - Year]]="","",TEXT(Table8[[#This Row],[Month - Year]],"MMM-YY"))</f>
        <v/>
      </c>
      <c r="E196" s="54"/>
      <c r="F196" s="54"/>
      <c r="G196" s="54"/>
      <c r="H196" s="57" t="str">
        <f>IFERROR(Table8[[#This Row],[No. of Resources for whom access were removed on time]]/Table8[[#This Row],[No. of Resources De-allocated]],"")</f>
        <v/>
      </c>
      <c r="I196" s="57" t="str">
        <f>IFERROR(Table8[[#This Row],[No. of Resources for whom assets were returned on time]]/Table8[[#This Row],[No. of Resources De-allocated]],"")</f>
        <v/>
      </c>
    </row>
    <row r="197" spans="2:9">
      <c r="B197" s="54"/>
      <c r="C197" s="58"/>
      <c r="D197" s="56" t="str">
        <f>IF(Table8[[#This Row],[Month - Year]]="","",TEXT(Table8[[#This Row],[Month - Year]],"MMM-YY"))</f>
        <v/>
      </c>
      <c r="E197" s="54"/>
      <c r="F197" s="54"/>
      <c r="G197" s="54"/>
      <c r="H197" s="57" t="str">
        <f>IFERROR(Table8[[#This Row],[No. of Resources for whom access were removed on time]]/Table8[[#This Row],[No. of Resources De-allocated]],"")</f>
        <v/>
      </c>
      <c r="I197" s="57" t="str">
        <f>IFERROR(Table8[[#This Row],[No. of Resources for whom assets were returned on time]]/Table8[[#This Row],[No. of Resources De-allocated]],"")</f>
        <v/>
      </c>
    </row>
    <row r="198" spans="2:9">
      <c r="B198" s="54"/>
      <c r="C198" s="58"/>
      <c r="D198" s="56" t="str">
        <f>IF(Table8[[#This Row],[Month - Year]]="","",TEXT(Table8[[#This Row],[Month - Year]],"MMM-YY"))</f>
        <v/>
      </c>
      <c r="E198" s="54"/>
      <c r="F198" s="54"/>
      <c r="G198" s="54"/>
      <c r="H198" s="57" t="str">
        <f>IFERROR(Table8[[#This Row],[No. of Resources for whom access were removed on time]]/Table8[[#This Row],[No. of Resources De-allocated]],"")</f>
        <v/>
      </c>
      <c r="I198" s="57" t="str">
        <f>IFERROR(Table8[[#This Row],[No. of Resources for whom assets were returned on time]]/Table8[[#This Row],[No. of Resources De-allocated]],"")</f>
        <v/>
      </c>
    </row>
    <row r="199" spans="2:9">
      <c r="B199" s="54"/>
      <c r="C199" s="58"/>
      <c r="D199" s="56" t="str">
        <f>IF(Table8[[#This Row],[Month - Year]]="","",TEXT(Table8[[#This Row],[Month - Year]],"MMM-YY"))</f>
        <v/>
      </c>
      <c r="E199" s="54"/>
      <c r="F199" s="54"/>
      <c r="G199" s="54"/>
      <c r="H199" s="57" t="str">
        <f>IFERROR(Table8[[#This Row],[No. of Resources for whom access were removed on time]]/Table8[[#This Row],[No. of Resources De-allocated]],"")</f>
        <v/>
      </c>
      <c r="I199" s="57" t="str">
        <f>IFERROR(Table8[[#This Row],[No. of Resources for whom assets were returned on time]]/Table8[[#This Row],[No. of Resources De-allocated]],"")</f>
        <v/>
      </c>
    </row>
    <row r="200" spans="2:9">
      <c r="B200" s="54"/>
      <c r="C200" s="58"/>
      <c r="D200" s="56" t="str">
        <f>IF(Table8[[#This Row],[Month - Year]]="","",TEXT(Table8[[#This Row],[Month - Year]],"MMM-YY"))</f>
        <v/>
      </c>
      <c r="E200" s="54"/>
      <c r="F200" s="54"/>
      <c r="G200" s="54"/>
      <c r="H200" s="57" t="str">
        <f>IFERROR(Table8[[#This Row],[No. of Resources for whom access were removed on time]]/Table8[[#This Row],[No. of Resources De-allocated]],"")</f>
        <v/>
      </c>
      <c r="I200" s="57" t="str">
        <f>IFERROR(Table8[[#This Row],[No. of Resources for whom assets were returned on time]]/Table8[[#This Row],[No. of Resources De-allocated]],"")</f>
        <v/>
      </c>
    </row>
    <row r="201" spans="2:9">
      <c r="B201" s="54"/>
      <c r="C201" s="58"/>
      <c r="D201" s="56" t="str">
        <f>IF(Table8[[#This Row],[Month - Year]]="","",TEXT(Table8[[#This Row],[Month - Year]],"MMM-YY"))</f>
        <v/>
      </c>
      <c r="E201" s="54"/>
      <c r="F201" s="54"/>
      <c r="G201" s="54"/>
      <c r="H201" s="57" t="str">
        <f>IFERROR(Table8[[#This Row],[No. of Resources for whom access were removed on time]]/Table8[[#This Row],[No. of Resources De-allocated]],"")</f>
        <v/>
      </c>
      <c r="I201" s="57" t="str">
        <f>IFERROR(Table8[[#This Row],[No. of Resources for whom assets were returned on time]]/Table8[[#This Row],[No. of Resources De-allocated]],"")</f>
        <v/>
      </c>
    </row>
    <row r="202" spans="2:9">
      <c r="B202" s="54"/>
      <c r="C202" s="58"/>
      <c r="D202" s="56" t="str">
        <f>IF(Table8[[#This Row],[Month - Year]]="","",TEXT(Table8[[#This Row],[Month - Year]],"MMM-YY"))</f>
        <v/>
      </c>
      <c r="E202" s="54"/>
      <c r="F202" s="54"/>
      <c r="G202" s="54"/>
      <c r="H202" s="57" t="str">
        <f>IFERROR(Table8[[#This Row],[No. of Resources for whom access were removed on time]]/Table8[[#This Row],[No. of Resources De-allocated]],"")</f>
        <v/>
      </c>
      <c r="I202" s="57" t="str">
        <f>IFERROR(Table8[[#This Row],[No. of Resources for whom assets were returned on time]]/Table8[[#This Row],[No. of Resources De-allocated]],"")</f>
        <v/>
      </c>
    </row>
    <row r="203" spans="2:9">
      <c r="B203" s="54"/>
      <c r="C203" s="58"/>
      <c r="D203" s="56" t="str">
        <f>IF(Table8[[#This Row],[Month - Year]]="","",TEXT(Table8[[#This Row],[Month - Year]],"MMM-YY"))</f>
        <v/>
      </c>
      <c r="E203" s="54"/>
      <c r="F203" s="54"/>
      <c r="G203" s="54"/>
      <c r="H203" s="57" t="str">
        <f>IFERROR(Table8[[#This Row],[No. of Resources for whom access were removed on time]]/Table8[[#This Row],[No. of Resources De-allocated]],"")</f>
        <v/>
      </c>
      <c r="I203" s="57" t="str">
        <f>IFERROR(Table8[[#This Row],[No. of Resources for whom assets were returned on time]]/Table8[[#This Row],[No. of Resources De-allocated]],"")</f>
        <v/>
      </c>
    </row>
    <row r="204" spans="2:9">
      <c r="B204" s="54"/>
      <c r="C204" s="58"/>
      <c r="D204" s="56" t="str">
        <f>IF(Table8[[#This Row],[Month - Year]]="","",TEXT(Table8[[#This Row],[Month - Year]],"MMM-YY"))</f>
        <v/>
      </c>
      <c r="E204" s="54"/>
      <c r="F204" s="54"/>
      <c r="G204" s="54"/>
      <c r="H204" s="57" t="str">
        <f>IFERROR(Table8[[#This Row],[No. of Resources for whom access were removed on time]]/Table8[[#This Row],[No. of Resources De-allocated]],"")</f>
        <v/>
      </c>
      <c r="I204" s="57" t="str">
        <f>IFERROR(Table8[[#This Row],[No. of Resources for whom assets were returned on time]]/Table8[[#This Row],[No. of Resources De-allocated]],"")</f>
        <v/>
      </c>
    </row>
    <row r="205" spans="2:9">
      <c r="B205" s="54"/>
      <c r="C205" s="58"/>
      <c r="D205" s="56" t="str">
        <f>IF(Table8[[#This Row],[Month - Year]]="","",TEXT(Table8[[#This Row],[Month - Year]],"MMM-YY"))</f>
        <v/>
      </c>
      <c r="E205" s="54"/>
      <c r="F205" s="54"/>
      <c r="G205" s="54"/>
      <c r="H205" s="57" t="str">
        <f>IFERROR(Table8[[#This Row],[No. of Resources for whom access were removed on time]]/Table8[[#This Row],[No. of Resources De-allocated]],"")</f>
        <v/>
      </c>
      <c r="I205" s="57" t="str">
        <f>IFERROR(Table8[[#This Row],[No. of Resources for whom assets were returned on time]]/Table8[[#This Row],[No. of Resources De-allocated]],"")</f>
        <v/>
      </c>
    </row>
    <row r="206" spans="2:9">
      <c r="B206" s="54"/>
      <c r="C206" s="58"/>
      <c r="D206" s="56" t="str">
        <f>IF(Table8[[#This Row],[Month - Year]]="","",TEXT(Table8[[#This Row],[Month - Year]],"MMM-YY"))</f>
        <v/>
      </c>
      <c r="E206" s="54"/>
      <c r="F206" s="54"/>
      <c r="G206" s="54"/>
      <c r="H206" s="57" t="str">
        <f>IFERROR(Table8[[#This Row],[No. of Resources for whom access were removed on time]]/Table8[[#This Row],[No. of Resources De-allocated]],"")</f>
        <v/>
      </c>
      <c r="I206" s="57" t="str">
        <f>IFERROR(Table8[[#This Row],[No. of Resources for whom assets were returned on time]]/Table8[[#This Row],[No. of Resources De-allocated]],"")</f>
        <v/>
      </c>
    </row>
    <row r="207" spans="2:9">
      <c r="B207" s="54"/>
      <c r="C207" s="58"/>
      <c r="D207" s="56" t="str">
        <f>IF(Table8[[#This Row],[Month - Year]]="","",TEXT(Table8[[#This Row],[Month - Year]],"MMM-YY"))</f>
        <v/>
      </c>
      <c r="E207" s="54"/>
      <c r="F207" s="54"/>
      <c r="G207" s="54"/>
      <c r="H207" s="57" t="str">
        <f>IFERROR(Table8[[#This Row],[No. of Resources for whom access were removed on time]]/Table8[[#This Row],[No. of Resources De-allocated]],"")</f>
        <v/>
      </c>
      <c r="I207" s="57" t="str">
        <f>IFERROR(Table8[[#This Row],[No. of Resources for whom assets were returned on time]]/Table8[[#This Row],[No. of Resources De-allocated]],"")</f>
        <v/>
      </c>
    </row>
    <row r="208" spans="2:9">
      <c r="B208" s="54"/>
      <c r="C208" s="58"/>
      <c r="D208" s="56" t="str">
        <f>IF(Table8[[#This Row],[Month - Year]]="","",TEXT(Table8[[#This Row],[Month - Year]],"MMM-YY"))</f>
        <v/>
      </c>
      <c r="E208" s="54"/>
      <c r="F208" s="54"/>
      <c r="G208" s="54"/>
      <c r="H208" s="57" t="str">
        <f>IFERROR(Table8[[#This Row],[No. of Resources for whom access were removed on time]]/Table8[[#This Row],[No. of Resources De-allocated]],"")</f>
        <v/>
      </c>
      <c r="I208" s="57" t="str">
        <f>IFERROR(Table8[[#This Row],[No. of Resources for whom assets were returned on time]]/Table8[[#This Row],[No. of Resources De-allocated]],"")</f>
        <v/>
      </c>
    </row>
    <row r="209" spans="2:9">
      <c r="B209" s="54"/>
      <c r="C209" s="58"/>
      <c r="D209" s="56" t="str">
        <f>IF(Table8[[#This Row],[Month - Year]]="","",TEXT(Table8[[#This Row],[Month - Year]],"MMM-YY"))</f>
        <v/>
      </c>
      <c r="E209" s="54"/>
      <c r="F209" s="54"/>
      <c r="G209" s="54"/>
      <c r="H209" s="57" t="str">
        <f>IFERROR(Table8[[#This Row],[No. of Resources for whom access were removed on time]]/Table8[[#This Row],[No. of Resources De-allocated]],"")</f>
        <v/>
      </c>
      <c r="I209" s="57" t="str">
        <f>IFERROR(Table8[[#This Row],[No. of Resources for whom assets were returned on time]]/Table8[[#This Row],[No. of Resources De-allocated]],"")</f>
        <v/>
      </c>
    </row>
    <row r="210" spans="2:9">
      <c r="B210" s="54"/>
      <c r="C210" s="58"/>
      <c r="D210" s="56" t="str">
        <f>IF(Table8[[#This Row],[Month - Year]]="","",TEXT(Table8[[#This Row],[Month - Year]],"MMM-YY"))</f>
        <v/>
      </c>
      <c r="E210" s="54"/>
      <c r="F210" s="54"/>
      <c r="G210" s="54"/>
      <c r="H210" s="57" t="str">
        <f>IFERROR(Table8[[#This Row],[No. of Resources for whom access were removed on time]]/Table8[[#This Row],[No. of Resources De-allocated]],"")</f>
        <v/>
      </c>
      <c r="I210" s="57" t="str">
        <f>IFERROR(Table8[[#This Row],[No. of Resources for whom assets were returned on time]]/Table8[[#This Row],[No. of Resources De-allocated]],"")</f>
        <v/>
      </c>
    </row>
    <row r="211" spans="2:9">
      <c r="B211" s="54"/>
      <c r="C211" s="58"/>
      <c r="D211" s="56" t="str">
        <f>IF(Table8[[#This Row],[Month - Year]]="","",TEXT(Table8[[#This Row],[Month - Year]],"MMM-YY"))</f>
        <v/>
      </c>
      <c r="E211" s="54"/>
      <c r="F211" s="54"/>
      <c r="G211" s="54"/>
      <c r="H211" s="57" t="str">
        <f>IFERROR(Table8[[#This Row],[No. of Resources for whom access were removed on time]]/Table8[[#This Row],[No. of Resources De-allocated]],"")</f>
        <v/>
      </c>
      <c r="I211" s="57" t="str">
        <f>IFERROR(Table8[[#This Row],[No. of Resources for whom assets were returned on time]]/Table8[[#This Row],[No. of Resources De-allocated]],"")</f>
        <v/>
      </c>
    </row>
    <row r="212" spans="2:9">
      <c r="B212" s="54"/>
      <c r="C212" s="58"/>
      <c r="D212" s="56" t="str">
        <f>IF(Table8[[#This Row],[Month - Year]]="","",TEXT(Table8[[#This Row],[Month - Year]],"MMM-YY"))</f>
        <v/>
      </c>
      <c r="E212" s="54"/>
      <c r="F212" s="54"/>
      <c r="G212" s="54"/>
      <c r="H212" s="57" t="str">
        <f>IFERROR(Table8[[#This Row],[No. of Resources for whom access were removed on time]]/Table8[[#This Row],[No. of Resources De-allocated]],"")</f>
        <v/>
      </c>
      <c r="I212" s="57" t="str">
        <f>IFERROR(Table8[[#This Row],[No. of Resources for whom assets were returned on time]]/Table8[[#This Row],[No. of Resources De-allocated]],"")</f>
        <v/>
      </c>
    </row>
    <row r="213" spans="2:9">
      <c r="B213" s="54"/>
      <c r="C213" s="58"/>
      <c r="D213" s="56" t="str">
        <f>IF(Table8[[#This Row],[Month - Year]]="","",TEXT(Table8[[#This Row],[Month - Year]],"MMM-YY"))</f>
        <v/>
      </c>
      <c r="E213" s="54"/>
      <c r="F213" s="54"/>
      <c r="G213" s="54"/>
      <c r="H213" s="57" t="str">
        <f>IFERROR(Table8[[#This Row],[No. of Resources for whom access were removed on time]]/Table8[[#This Row],[No. of Resources De-allocated]],"")</f>
        <v/>
      </c>
      <c r="I213" s="57" t="str">
        <f>IFERROR(Table8[[#This Row],[No. of Resources for whom assets were returned on time]]/Table8[[#This Row],[No. of Resources De-allocated]],"")</f>
        <v/>
      </c>
    </row>
    <row r="214" spans="2:9">
      <c r="B214" s="54"/>
      <c r="C214" s="58"/>
      <c r="D214" s="56" t="str">
        <f>IF(Table8[[#This Row],[Month - Year]]="","",TEXT(Table8[[#This Row],[Month - Year]],"MMM-YY"))</f>
        <v/>
      </c>
      <c r="E214" s="54"/>
      <c r="F214" s="54"/>
      <c r="G214" s="54"/>
      <c r="H214" s="57" t="str">
        <f>IFERROR(Table8[[#This Row],[No. of Resources for whom access were removed on time]]/Table8[[#This Row],[No. of Resources De-allocated]],"")</f>
        <v/>
      </c>
      <c r="I214" s="57" t="str">
        <f>IFERROR(Table8[[#This Row],[No. of Resources for whom assets were returned on time]]/Table8[[#This Row],[No. of Resources De-allocated]],"")</f>
        <v/>
      </c>
    </row>
    <row r="215" spans="2:9">
      <c r="B215" s="54"/>
      <c r="C215" s="58"/>
      <c r="D215" s="56" t="str">
        <f>IF(Table8[[#This Row],[Month - Year]]="","",TEXT(Table8[[#This Row],[Month - Year]],"MMM-YY"))</f>
        <v/>
      </c>
      <c r="E215" s="54"/>
      <c r="F215" s="54"/>
      <c r="G215" s="54"/>
      <c r="H215" s="57" t="str">
        <f>IFERROR(Table8[[#This Row],[No. of Resources for whom access were removed on time]]/Table8[[#This Row],[No. of Resources De-allocated]],"")</f>
        <v/>
      </c>
      <c r="I215" s="57" t="str">
        <f>IFERROR(Table8[[#This Row],[No. of Resources for whom assets were returned on time]]/Table8[[#This Row],[No. of Resources De-allocated]],"")</f>
        <v/>
      </c>
    </row>
    <row r="216" spans="2:9">
      <c r="B216" s="54"/>
      <c r="C216" s="58"/>
      <c r="D216" s="56" t="str">
        <f>IF(Table8[[#This Row],[Month - Year]]="","",TEXT(Table8[[#This Row],[Month - Year]],"MMM-YY"))</f>
        <v/>
      </c>
      <c r="E216" s="54"/>
      <c r="F216" s="54"/>
      <c r="G216" s="54"/>
      <c r="H216" s="57" t="str">
        <f>IFERROR(Table8[[#This Row],[No. of Resources for whom access were removed on time]]/Table8[[#This Row],[No. of Resources De-allocated]],"")</f>
        <v/>
      </c>
      <c r="I216" s="57" t="str">
        <f>IFERROR(Table8[[#This Row],[No. of Resources for whom assets were returned on time]]/Table8[[#This Row],[No. of Resources De-allocated]],"")</f>
        <v/>
      </c>
    </row>
    <row r="217" spans="2:9">
      <c r="B217" s="54"/>
      <c r="C217" s="58"/>
      <c r="D217" s="56" t="str">
        <f>IF(Table8[[#This Row],[Month - Year]]="","",TEXT(Table8[[#This Row],[Month - Year]],"MMM-YY"))</f>
        <v/>
      </c>
      <c r="E217" s="54"/>
      <c r="F217" s="54"/>
      <c r="G217" s="54"/>
      <c r="H217" s="57" t="str">
        <f>IFERROR(Table8[[#This Row],[No. of Resources for whom access were removed on time]]/Table8[[#This Row],[No. of Resources De-allocated]],"")</f>
        <v/>
      </c>
      <c r="I217" s="57" t="str">
        <f>IFERROR(Table8[[#This Row],[No. of Resources for whom assets were returned on time]]/Table8[[#This Row],[No. of Resources De-allocated]],"")</f>
        <v/>
      </c>
    </row>
    <row r="218" spans="2:9">
      <c r="B218" s="54"/>
      <c r="C218" s="58"/>
      <c r="D218" s="56" t="str">
        <f>IF(Table8[[#This Row],[Month - Year]]="","",TEXT(Table8[[#This Row],[Month - Year]],"MMM-YY"))</f>
        <v/>
      </c>
      <c r="E218" s="54"/>
      <c r="F218" s="54"/>
      <c r="G218" s="54"/>
      <c r="H218" s="57" t="str">
        <f>IFERROR(Table8[[#This Row],[No. of Resources for whom access were removed on time]]/Table8[[#This Row],[No. of Resources De-allocated]],"")</f>
        <v/>
      </c>
      <c r="I218" s="57" t="str">
        <f>IFERROR(Table8[[#This Row],[No. of Resources for whom assets were returned on time]]/Table8[[#This Row],[No. of Resources De-allocated]],"")</f>
        <v/>
      </c>
    </row>
    <row r="219" spans="2:9">
      <c r="B219" s="54"/>
      <c r="C219" s="58"/>
      <c r="D219" s="56" t="str">
        <f>IF(Table8[[#This Row],[Month - Year]]="","",TEXT(Table8[[#This Row],[Month - Year]],"MMM-YY"))</f>
        <v/>
      </c>
      <c r="E219" s="54"/>
      <c r="F219" s="54"/>
      <c r="G219" s="54"/>
      <c r="H219" s="57" t="str">
        <f>IFERROR(Table8[[#This Row],[No. of Resources for whom access were removed on time]]/Table8[[#This Row],[No. of Resources De-allocated]],"")</f>
        <v/>
      </c>
      <c r="I219" s="57" t="str">
        <f>IFERROR(Table8[[#This Row],[No. of Resources for whom assets were returned on time]]/Table8[[#This Row],[No. of Resources De-allocated]],"")</f>
        <v/>
      </c>
    </row>
    <row r="220" spans="2:9">
      <c r="B220" s="54"/>
      <c r="C220" s="58"/>
      <c r="D220" s="56" t="str">
        <f>IF(Table8[[#This Row],[Month - Year]]="","",TEXT(Table8[[#This Row],[Month - Year]],"MMM-YY"))</f>
        <v/>
      </c>
      <c r="E220" s="54"/>
      <c r="F220" s="54"/>
      <c r="G220" s="54"/>
      <c r="H220" s="57" t="str">
        <f>IFERROR(Table8[[#This Row],[No. of Resources for whom access were removed on time]]/Table8[[#This Row],[No. of Resources De-allocated]],"")</f>
        <v/>
      </c>
      <c r="I220" s="57" t="str">
        <f>IFERROR(Table8[[#This Row],[No. of Resources for whom assets were returned on time]]/Table8[[#This Row],[No. of Resources De-allocated]],"")</f>
        <v/>
      </c>
    </row>
    <row r="221" spans="2:9">
      <c r="B221" s="54"/>
      <c r="C221" s="58"/>
      <c r="D221" s="56" t="str">
        <f>IF(Table8[[#This Row],[Month - Year]]="","",TEXT(Table8[[#This Row],[Month - Year]],"MMM-YY"))</f>
        <v/>
      </c>
      <c r="E221" s="54"/>
      <c r="F221" s="54"/>
      <c r="G221" s="54"/>
      <c r="H221" s="57" t="str">
        <f>IFERROR(Table8[[#This Row],[No. of Resources for whom access were removed on time]]/Table8[[#This Row],[No. of Resources De-allocated]],"")</f>
        <v/>
      </c>
      <c r="I221" s="57" t="str">
        <f>IFERROR(Table8[[#This Row],[No. of Resources for whom assets were returned on time]]/Table8[[#This Row],[No. of Resources De-allocated]],"")</f>
        <v/>
      </c>
    </row>
    <row r="222" spans="2:9">
      <c r="B222" s="54"/>
      <c r="C222" s="58"/>
      <c r="D222" s="56" t="str">
        <f>IF(Table8[[#This Row],[Month - Year]]="","",TEXT(Table8[[#This Row],[Month - Year]],"MMM-YY"))</f>
        <v/>
      </c>
      <c r="E222" s="54"/>
      <c r="F222" s="54"/>
      <c r="G222" s="54"/>
      <c r="H222" s="57" t="str">
        <f>IFERROR(Table8[[#This Row],[No. of Resources for whom access were removed on time]]/Table8[[#This Row],[No. of Resources De-allocated]],"")</f>
        <v/>
      </c>
      <c r="I222" s="57" t="str">
        <f>IFERROR(Table8[[#This Row],[No. of Resources for whom assets were returned on time]]/Table8[[#This Row],[No. of Resources De-allocated]],"")</f>
        <v/>
      </c>
    </row>
    <row r="223" spans="2:9">
      <c r="B223" s="54"/>
      <c r="C223" s="58"/>
      <c r="D223" s="56" t="str">
        <f>IF(Table8[[#This Row],[Month - Year]]="","",TEXT(Table8[[#This Row],[Month - Year]],"MMM-YY"))</f>
        <v/>
      </c>
      <c r="E223" s="54"/>
      <c r="F223" s="54"/>
      <c r="G223" s="54"/>
      <c r="H223" s="57" t="str">
        <f>IFERROR(Table8[[#This Row],[No. of Resources for whom access were removed on time]]/Table8[[#This Row],[No. of Resources De-allocated]],"")</f>
        <v/>
      </c>
      <c r="I223" s="57" t="str">
        <f>IFERROR(Table8[[#This Row],[No. of Resources for whom assets were returned on time]]/Table8[[#This Row],[No. of Resources De-allocated]],"")</f>
        <v/>
      </c>
    </row>
    <row r="224" spans="2:9">
      <c r="B224" s="54"/>
      <c r="C224" s="58"/>
      <c r="D224" s="56" t="str">
        <f>IF(Table8[[#This Row],[Month - Year]]="","",TEXT(Table8[[#This Row],[Month - Year]],"MMM-YY"))</f>
        <v/>
      </c>
      <c r="E224" s="54"/>
      <c r="F224" s="54"/>
      <c r="G224" s="54"/>
      <c r="H224" s="57" t="str">
        <f>IFERROR(Table8[[#This Row],[No. of Resources for whom access were removed on time]]/Table8[[#This Row],[No. of Resources De-allocated]],"")</f>
        <v/>
      </c>
      <c r="I224" s="57" t="str">
        <f>IFERROR(Table8[[#This Row],[No. of Resources for whom assets were returned on time]]/Table8[[#This Row],[No. of Resources De-allocated]],"")</f>
        <v/>
      </c>
    </row>
    <row r="225" spans="2:9">
      <c r="B225" s="54"/>
      <c r="C225" s="58"/>
      <c r="D225" s="56" t="str">
        <f>IF(Table8[[#This Row],[Month - Year]]="","",TEXT(Table8[[#This Row],[Month - Year]],"MMM-YY"))</f>
        <v/>
      </c>
      <c r="E225" s="54"/>
      <c r="F225" s="54"/>
      <c r="G225" s="54"/>
      <c r="H225" s="57" t="str">
        <f>IFERROR(Table8[[#This Row],[No. of Resources for whom access were removed on time]]/Table8[[#This Row],[No. of Resources De-allocated]],"")</f>
        <v/>
      </c>
      <c r="I225" s="57" t="str">
        <f>IFERROR(Table8[[#This Row],[No. of Resources for whom assets were returned on time]]/Table8[[#This Row],[No. of Resources De-allocated]],"")</f>
        <v/>
      </c>
    </row>
    <row r="226" spans="2:9">
      <c r="B226" s="54"/>
      <c r="C226" s="58"/>
      <c r="D226" s="56" t="str">
        <f>IF(Table8[[#This Row],[Month - Year]]="","",TEXT(Table8[[#This Row],[Month - Year]],"MMM-YY"))</f>
        <v/>
      </c>
      <c r="E226" s="54"/>
      <c r="F226" s="54"/>
      <c r="G226" s="54"/>
      <c r="H226" s="57" t="str">
        <f>IFERROR(Table8[[#This Row],[No. of Resources for whom access were removed on time]]/Table8[[#This Row],[No. of Resources De-allocated]],"")</f>
        <v/>
      </c>
      <c r="I226" s="57" t="str">
        <f>IFERROR(Table8[[#This Row],[No. of Resources for whom assets were returned on time]]/Table8[[#This Row],[No. of Resources De-allocated]],"")</f>
        <v/>
      </c>
    </row>
    <row r="227" spans="2:9">
      <c r="B227" s="54"/>
      <c r="C227" s="58"/>
      <c r="D227" s="56" t="str">
        <f>IF(Table8[[#This Row],[Month - Year]]="","",TEXT(Table8[[#This Row],[Month - Year]],"MMM-YY"))</f>
        <v/>
      </c>
      <c r="E227" s="54"/>
      <c r="F227" s="54"/>
      <c r="G227" s="54"/>
      <c r="H227" s="57" t="str">
        <f>IFERROR(Table8[[#This Row],[No. of Resources for whom access were removed on time]]/Table8[[#This Row],[No. of Resources De-allocated]],"")</f>
        <v/>
      </c>
      <c r="I227" s="57" t="str">
        <f>IFERROR(Table8[[#This Row],[No. of Resources for whom assets were returned on time]]/Table8[[#This Row],[No. of Resources De-allocated]],"")</f>
        <v/>
      </c>
    </row>
    <row r="228" spans="2:9">
      <c r="B228" s="54"/>
      <c r="C228" s="58"/>
      <c r="D228" s="56" t="str">
        <f>IF(Table8[[#This Row],[Month - Year]]="","",TEXT(Table8[[#This Row],[Month - Year]],"MMM-YY"))</f>
        <v/>
      </c>
      <c r="E228" s="54"/>
      <c r="F228" s="54"/>
      <c r="G228" s="54"/>
      <c r="H228" s="57" t="str">
        <f>IFERROR(Table8[[#This Row],[No. of Resources for whom access were removed on time]]/Table8[[#This Row],[No. of Resources De-allocated]],"")</f>
        <v/>
      </c>
      <c r="I228" s="57" t="str">
        <f>IFERROR(Table8[[#This Row],[No. of Resources for whom assets were returned on time]]/Table8[[#This Row],[No. of Resources De-allocated]],"")</f>
        <v/>
      </c>
    </row>
    <row r="229" spans="2:9">
      <c r="B229" s="54"/>
      <c r="C229" s="58"/>
      <c r="D229" s="56" t="str">
        <f>IF(Table8[[#This Row],[Month - Year]]="","",TEXT(Table8[[#This Row],[Month - Year]],"MMM-YY"))</f>
        <v/>
      </c>
      <c r="E229" s="54"/>
      <c r="F229" s="54"/>
      <c r="G229" s="54"/>
      <c r="H229" s="57" t="str">
        <f>IFERROR(Table8[[#This Row],[No. of Resources for whom access were removed on time]]/Table8[[#This Row],[No. of Resources De-allocated]],"")</f>
        <v/>
      </c>
      <c r="I229" s="57" t="str">
        <f>IFERROR(Table8[[#This Row],[No. of Resources for whom assets were returned on time]]/Table8[[#This Row],[No. of Resources De-allocated]],"")</f>
        <v/>
      </c>
    </row>
    <row r="230" spans="2:9">
      <c r="B230" s="54"/>
      <c r="C230" s="58"/>
      <c r="D230" s="56" t="str">
        <f>IF(Table8[[#This Row],[Month - Year]]="","",TEXT(Table8[[#This Row],[Month - Year]],"MMM-YY"))</f>
        <v/>
      </c>
      <c r="E230" s="54"/>
      <c r="F230" s="54"/>
      <c r="G230" s="54"/>
      <c r="H230" s="57" t="str">
        <f>IFERROR(Table8[[#This Row],[No. of Resources for whom access were removed on time]]/Table8[[#This Row],[No. of Resources De-allocated]],"")</f>
        <v/>
      </c>
      <c r="I230" s="57" t="str">
        <f>IFERROR(Table8[[#This Row],[No. of Resources for whom assets were returned on time]]/Table8[[#This Row],[No. of Resources De-allocated]],"")</f>
        <v/>
      </c>
    </row>
    <row r="231" spans="2:9">
      <c r="B231" s="54"/>
      <c r="C231" s="58"/>
      <c r="D231" s="56" t="str">
        <f>IF(Table8[[#This Row],[Month - Year]]="","",TEXT(Table8[[#This Row],[Month - Year]],"MMM-YY"))</f>
        <v/>
      </c>
      <c r="E231" s="54"/>
      <c r="F231" s="54"/>
      <c r="G231" s="54"/>
      <c r="H231" s="57" t="str">
        <f>IFERROR(Table8[[#This Row],[No. of Resources for whom access were removed on time]]/Table8[[#This Row],[No. of Resources De-allocated]],"")</f>
        <v/>
      </c>
      <c r="I231" s="57" t="str">
        <f>IFERROR(Table8[[#This Row],[No. of Resources for whom assets were returned on time]]/Table8[[#This Row],[No. of Resources De-allocated]],"")</f>
        <v/>
      </c>
    </row>
    <row r="232" spans="2:9">
      <c r="B232" s="54"/>
      <c r="C232" s="58"/>
      <c r="D232" s="56" t="str">
        <f>IF(Table8[[#This Row],[Month - Year]]="","",TEXT(Table8[[#This Row],[Month - Year]],"MMM-YY"))</f>
        <v/>
      </c>
      <c r="E232" s="54"/>
      <c r="F232" s="54"/>
      <c r="G232" s="54"/>
      <c r="H232" s="57" t="str">
        <f>IFERROR(Table8[[#This Row],[No. of Resources for whom access were removed on time]]/Table8[[#This Row],[No. of Resources De-allocated]],"")</f>
        <v/>
      </c>
      <c r="I232" s="57" t="str">
        <f>IFERROR(Table8[[#This Row],[No. of Resources for whom assets were returned on time]]/Table8[[#This Row],[No. of Resources De-allocated]],"")</f>
        <v/>
      </c>
    </row>
    <row r="233" spans="2:9">
      <c r="B233" s="54"/>
      <c r="C233" s="58"/>
      <c r="D233" s="56" t="str">
        <f>IF(Table8[[#This Row],[Month - Year]]="","",TEXT(Table8[[#This Row],[Month - Year]],"MMM-YY"))</f>
        <v/>
      </c>
      <c r="E233" s="54"/>
      <c r="F233" s="54"/>
      <c r="G233" s="54"/>
      <c r="H233" s="57" t="str">
        <f>IFERROR(Table8[[#This Row],[No. of Resources for whom access were removed on time]]/Table8[[#This Row],[No. of Resources De-allocated]],"")</f>
        <v/>
      </c>
      <c r="I233" s="57" t="str">
        <f>IFERROR(Table8[[#This Row],[No. of Resources for whom assets were returned on time]]/Table8[[#This Row],[No. of Resources De-allocated]],"")</f>
        <v/>
      </c>
    </row>
    <row r="234" spans="2:9">
      <c r="B234" s="54"/>
      <c r="C234" s="58"/>
      <c r="D234" s="56" t="str">
        <f>IF(Table8[[#This Row],[Month - Year]]="","",TEXT(Table8[[#This Row],[Month - Year]],"MMM-YY"))</f>
        <v/>
      </c>
      <c r="E234" s="54"/>
      <c r="F234" s="54"/>
      <c r="G234" s="54"/>
      <c r="H234" s="57" t="str">
        <f>IFERROR(Table8[[#This Row],[No. of Resources for whom access were removed on time]]/Table8[[#This Row],[No. of Resources De-allocated]],"")</f>
        <v/>
      </c>
      <c r="I234" s="57" t="str">
        <f>IFERROR(Table8[[#This Row],[No. of Resources for whom assets were returned on time]]/Table8[[#This Row],[No. of Resources De-allocated]],"")</f>
        <v/>
      </c>
    </row>
    <row r="235" spans="2:9">
      <c r="B235" s="54"/>
      <c r="C235" s="58"/>
      <c r="D235" s="56" t="str">
        <f>IF(Table8[[#This Row],[Month - Year]]="","",TEXT(Table8[[#This Row],[Month - Year]],"MMM-YY"))</f>
        <v/>
      </c>
      <c r="E235" s="54"/>
      <c r="F235" s="54"/>
      <c r="G235" s="54"/>
      <c r="H235" s="57" t="str">
        <f>IFERROR(Table8[[#This Row],[No. of Resources for whom access were removed on time]]/Table8[[#This Row],[No. of Resources De-allocated]],"")</f>
        <v/>
      </c>
      <c r="I235" s="57" t="str">
        <f>IFERROR(Table8[[#This Row],[No. of Resources for whom assets were returned on time]]/Table8[[#This Row],[No. of Resources De-allocated]],"")</f>
        <v/>
      </c>
    </row>
    <row r="236" spans="2:9">
      <c r="B236" s="54"/>
      <c r="C236" s="58"/>
      <c r="D236" s="56" t="str">
        <f>IF(Table8[[#This Row],[Month - Year]]="","",TEXT(Table8[[#This Row],[Month - Year]],"MMM-YY"))</f>
        <v/>
      </c>
      <c r="E236" s="54"/>
      <c r="F236" s="54"/>
      <c r="G236" s="54"/>
      <c r="H236" s="57" t="str">
        <f>IFERROR(Table8[[#This Row],[No. of Resources for whom access were removed on time]]/Table8[[#This Row],[No. of Resources De-allocated]],"")</f>
        <v/>
      </c>
      <c r="I236" s="57" t="str">
        <f>IFERROR(Table8[[#This Row],[No. of Resources for whom assets were returned on time]]/Table8[[#This Row],[No. of Resources De-allocated]],"")</f>
        <v/>
      </c>
    </row>
    <row r="237" spans="2:9">
      <c r="B237" s="54"/>
      <c r="C237" s="58"/>
      <c r="D237" s="56" t="str">
        <f>IF(Table8[[#This Row],[Month - Year]]="","",TEXT(Table8[[#This Row],[Month - Year]],"MMM-YY"))</f>
        <v/>
      </c>
      <c r="E237" s="54"/>
      <c r="F237" s="54"/>
      <c r="G237" s="54"/>
      <c r="H237" s="57" t="str">
        <f>IFERROR(Table8[[#This Row],[No. of Resources for whom access were removed on time]]/Table8[[#This Row],[No. of Resources De-allocated]],"")</f>
        <v/>
      </c>
      <c r="I237" s="57" t="str">
        <f>IFERROR(Table8[[#This Row],[No. of Resources for whom assets were returned on time]]/Table8[[#This Row],[No. of Resources De-allocated]],"")</f>
        <v/>
      </c>
    </row>
    <row r="238" spans="2:9">
      <c r="B238" s="54"/>
      <c r="C238" s="58"/>
      <c r="D238" s="56" t="str">
        <f>IF(Table8[[#This Row],[Month - Year]]="","",TEXT(Table8[[#This Row],[Month - Year]],"MMM-YY"))</f>
        <v/>
      </c>
      <c r="E238" s="54"/>
      <c r="F238" s="54"/>
      <c r="G238" s="54"/>
      <c r="H238" s="57" t="str">
        <f>IFERROR(Table8[[#This Row],[No. of Resources for whom access were removed on time]]/Table8[[#This Row],[No. of Resources De-allocated]],"")</f>
        <v/>
      </c>
      <c r="I238" s="57" t="str">
        <f>IFERROR(Table8[[#This Row],[No. of Resources for whom assets were returned on time]]/Table8[[#This Row],[No. of Resources De-allocated]],"")</f>
        <v/>
      </c>
    </row>
    <row r="239" spans="2:9">
      <c r="B239" s="54"/>
      <c r="C239" s="58"/>
      <c r="D239" s="56" t="str">
        <f>IF(Table8[[#This Row],[Month - Year]]="","",TEXT(Table8[[#This Row],[Month - Year]],"MMM-YY"))</f>
        <v/>
      </c>
      <c r="E239" s="54"/>
      <c r="F239" s="54"/>
      <c r="G239" s="54"/>
      <c r="H239" s="57" t="str">
        <f>IFERROR(Table8[[#This Row],[No. of Resources for whom access were removed on time]]/Table8[[#This Row],[No. of Resources De-allocated]],"")</f>
        <v/>
      </c>
      <c r="I239" s="57" t="str">
        <f>IFERROR(Table8[[#This Row],[No. of Resources for whom assets were returned on time]]/Table8[[#This Row],[No. of Resources De-allocated]],"")</f>
        <v/>
      </c>
    </row>
    <row r="240" spans="2:9">
      <c r="B240" s="54"/>
      <c r="C240" s="58"/>
      <c r="D240" s="56" t="str">
        <f>IF(Table8[[#This Row],[Month - Year]]="","",TEXT(Table8[[#This Row],[Month - Year]],"MMM-YY"))</f>
        <v/>
      </c>
      <c r="E240" s="54"/>
      <c r="F240" s="54"/>
      <c r="G240" s="54"/>
      <c r="H240" s="57" t="str">
        <f>IFERROR(Table8[[#This Row],[No. of Resources for whom access were removed on time]]/Table8[[#This Row],[No. of Resources De-allocated]],"")</f>
        <v/>
      </c>
      <c r="I240" s="57" t="str">
        <f>IFERROR(Table8[[#This Row],[No. of Resources for whom assets were returned on time]]/Table8[[#This Row],[No. of Resources De-allocated]],"")</f>
        <v/>
      </c>
    </row>
    <row r="241" spans="2:9">
      <c r="B241" s="54"/>
      <c r="C241" s="58"/>
      <c r="D241" s="56" t="str">
        <f>IF(Table8[[#This Row],[Month - Year]]="","",TEXT(Table8[[#This Row],[Month - Year]],"MMM-YY"))</f>
        <v/>
      </c>
      <c r="E241" s="54"/>
      <c r="F241" s="54"/>
      <c r="G241" s="54"/>
      <c r="H241" s="57" t="str">
        <f>IFERROR(Table8[[#This Row],[No. of Resources for whom access were removed on time]]/Table8[[#This Row],[No. of Resources De-allocated]],"")</f>
        <v/>
      </c>
      <c r="I241" s="57" t="str">
        <f>IFERROR(Table8[[#This Row],[No. of Resources for whom assets were returned on time]]/Table8[[#This Row],[No. of Resources De-allocated]],"")</f>
        <v/>
      </c>
    </row>
    <row r="242" spans="2:9">
      <c r="B242" s="54"/>
      <c r="C242" s="58"/>
      <c r="D242" s="56" t="str">
        <f>IF(Table8[[#This Row],[Month - Year]]="","",TEXT(Table8[[#This Row],[Month - Year]],"MMM-YY"))</f>
        <v/>
      </c>
      <c r="E242" s="54"/>
      <c r="F242" s="54"/>
      <c r="G242" s="54"/>
      <c r="H242" s="57" t="str">
        <f>IFERROR(Table8[[#This Row],[No. of Resources for whom access were removed on time]]/Table8[[#This Row],[No. of Resources De-allocated]],"")</f>
        <v/>
      </c>
      <c r="I242" s="57" t="str">
        <f>IFERROR(Table8[[#This Row],[No. of Resources for whom assets were returned on time]]/Table8[[#This Row],[No. of Resources De-allocated]],"")</f>
        <v/>
      </c>
    </row>
    <row r="243" spans="2:9">
      <c r="B243" s="54"/>
      <c r="C243" s="58"/>
      <c r="D243" s="56" t="str">
        <f>IF(Table8[[#This Row],[Month - Year]]="","",TEXT(Table8[[#This Row],[Month - Year]],"MMM-YY"))</f>
        <v/>
      </c>
      <c r="E243" s="54"/>
      <c r="F243" s="54"/>
      <c r="G243" s="54"/>
      <c r="H243" s="57" t="str">
        <f>IFERROR(Table8[[#This Row],[No. of Resources for whom access were removed on time]]/Table8[[#This Row],[No. of Resources De-allocated]],"")</f>
        <v/>
      </c>
      <c r="I243" s="57" t="str">
        <f>IFERROR(Table8[[#This Row],[No. of Resources for whom assets were returned on time]]/Table8[[#This Row],[No. of Resources De-allocated]],"")</f>
        <v/>
      </c>
    </row>
    <row r="244" spans="2:9">
      <c r="B244" s="54"/>
      <c r="C244" s="58"/>
      <c r="D244" s="56" t="str">
        <f>IF(Table8[[#This Row],[Month - Year]]="","",TEXT(Table8[[#This Row],[Month - Year]],"MMM-YY"))</f>
        <v/>
      </c>
      <c r="E244" s="54"/>
      <c r="F244" s="54"/>
      <c r="G244" s="54"/>
      <c r="H244" s="57" t="str">
        <f>IFERROR(Table8[[#This Row],[No. of Resources for whom access were removed on time]]/Table8[[#This Row],[No. of Resources De-allocated]],"")</f>
        <v/>
      </c>
      <c r="I244" s="57" t="str">
        <f>IFERROR(Table8[[#This Row],[No. of Resources for whom assets were returned on time]]/Table8[[#This Row],[No. of Resources De-allocated]],"")</f>
        <v/>
      </c>
    </row>
    <row r="245" spans="2:9">
      <c r="B245" s="54"/>
      <c r="C245" s="58"/>
      <c r="D245" s="56" t="str">
        <f>IF(Table8[[#This Row],[Month - Year]]="","",TEXT(Table8[[#This Row],[Month - Year]],"MMM-YY"))</f>
        <v/>
      </c>
      <c r="E245" s="54"/>
      <c r="F245" s="54"/>
      <c r="G245" s="54"/>
      <c r="H245" s="57" t="str">
        <f>IFERROR(Table8[[#This Row],[No. of Resources for whom access were removed on time]]/Table8[[#This Row],[No. of Resources De-allocated]],"")</f>
        <v/>
      </c>
      <c r="I245" s="57" t="str">
        <f>IFERROR(Table8[[#This Row],[No. of Resources for whom assets were returned on time]]/Table8[[#This Row],[No. of Resources De-allocated]],"")</f>
        <v/>
      </c>
    </row>
    <row r="246" spans="2:9">
      <c r="B246" s="54"/>
      <c r="C246" s="58"/>
      <c r="D246" s="56" t="str">
        <f>IF(Table8[[#This Row],[Month - Year]]="","",TEXT(Table8[[#This Row],[Month - Year]],"MMM-YY"))</f>
        <v/>
      </c>
      <c r="E246" s="54"/>
      <c r="F246" s="54"/>
      <c r="G246" s="54"/>
      <c r="H246" s="57" t="str">
        <f>IFERROR(Table8[[#This Row],[No. of Resources for whom access were removed on time]]/Table8[[#This Row],[No. of Resources De-allocated]],"")</f>
        <v/>
      </c>
      <c r="I246" s="57" t="str">
        <f>IFERROR(Table8[[#This Row],[No. of Resources for whom assets were returned on time]]/Table8[[#This Row],[No. of Resources De-allocated]],"")</f>
        <v/>
      </c>
    </row>
    <row r="247" spans="2:9">
      <c r="B247" s="54"/>
      <c r="C247" s="58"/>
      <c r="D247" s="56" t="str">
        <f>IF(Table8[[#This Row],[Month - Year]]="","",TEXT(Table8[[#This Row],[Month - Year]],"MMM-YY"))</f>
        <v/>
      </c>
      <c r="E247" s="54"/>
      <c r="F247" s="54"/>
      <c r="G247" s="54"/>
      <c r="H247" s="57" t="str">
        <f>IFERROR(Table8[[#This Row],[No. of Resources for whom access were removed on time]]/Table8[[#This Row],[No. of Resources De-allocated]],"")</f>
        <v/>
      </c>
      <c r="I247" s="57" t="str">
        <f>IFERROR(Table8[[#This Row],[No. of Resources for whom assets were returned on time]]/Table8[[#This Row],[No. of Resources De-allocated]],"")</f>
        <v/>
      </c>
    </row>
    <row r="248" spans="2:9">
      <c r="B248" s="54"/>
      <c r="C248" s="58"/>
      <c r="D248" s="56" t="str">
        <f>IF(Table8[[#This Row],[Month - Year]]="","",TEXT(Table8[[#This Row],[Month - Year]],"MMM-YY"))</f>
        <v/>
      </c>
      <c r="E248" s="54"/>
      <c r="F248" s="54"/>
      <c r="G248" s="54"/>
      <c r="H248" s="57" t="str">
        <f>IFERROR(Table8[[#This Row],[No. of Resources for whom access were removed on time]]/Table8[[#This Row],[No. of Resources De-allocated]],"")</f>
        <v/>
      </c>
      <c r="I248" s="57" t="str">
        <f>IFERROR(Table8[[#This Row],[No. of Resources for whom assets were returned on time]]/Table8[[#This Row],[No. of Resources De-allocated]],"")</f>
        <v/>
      </c>
    </row>
    <row r="249" spans="2:9">
      <c r="B249" s="54"/>
      <c r="C249" s="58"/>
      <c r="D249" s="56" t="str">
        <f>IF(Table8[[#This Row],[Month - Year]]="","",TEXT(Table8[[#This Row],[Month - Year]],"MMM-YY"))</f>
        <v/>
      </c>
      <c r="E249" s="54"/>
      <c r="F249" s="54"/>
      <c r="G249" s="54"/>
      <c r="H249" s="57" t="str">
        <f>IFERROR(Table8[[#This Row],[No. of Resources for whom access were removed on time]]/Table8[[#This Row],[No. of Resources De-allocated]],"")</f>
        <v/>
      </c>
      <c r="I249" s="57" t="str">
        <f>IFERROR(Table8[[#This Row],[No. of Resources for whom assets were returned on time]]/Table8[[#This Row],[No. of Resources De-allocated]],"")</f>
        <v/>
      </c>
    </row>
    <row r="250" spans="2:9">
      <c r="B250" s="54"/>
      <c r="C250" s="58"/>
      <c r="D250" s="56" t="str">
        <f>IF(Table8[[#This Row],[Month - Year]]="","",TEXT(Table8[[#This Row],[Month - Year]],"MMM-YY"))</f>
        <v/>
      </c>
      <c r="E250" s="54"/>
      <c r="F250" s="54"/>
      <c r="G250" s="54"/>
      <c r="H250" s="57" t="str">
        <f>IFERROR(Table8[[#This Row],[No. of Resources for whom access were removed on time]]/Table8[[#This Row],[No. of Resources De-allocated]],"")</f>
        <v/>
      </c>
      <c r="I250" s="57" t="str">
        <f>IFERROR(Table8[[#This Row],[No. of Resources for whom assets were returned on time]]/Table8[[#This Row],[No. of Resources De-allocated]],"")</f>
        <v/>
      </c>
    </row>
    <row r="251" spans="2:9">
      <c r="B251" s="54"/>
      <c r="C251" s="58"/>
      <c r="D251" s="56" t="str">
        <f>IF(Table8[[#This Row],[Month - Year]]="","",TEXT(Table8[[#This Row],[Month - Year]],"MMM-YY"))</f>
        <v/>
      </c>
      <c r="E251" s="54"/>
      <c r="F251" s="54"/>
      <c r="G251" s="54"/>
      <c r="H251" s="57" t="str">
        <f>IFERROR(Table8[[#This Row],[No. of Resources for whom access were removed on time]]/Table8[[#This Row],[No. of Resources De-allocated]],"")</f>
        <v/>
      </c>
      <c r="I251" s="57" t="str">
        <f>IFERROR(Table8[[#This Row],[No. of Resources for whom assets were returned on time]]/Table8[[#This Row],[No. of Resources De-allocated]],"")</f>
        <v/>
      </c>
    </row>
    <row r="252" spans="2:9">
      <c r="B252" s="54"/>
      <c r="C252" s="58"/>
      <c r="D252" s="56" t="str">
        <f>IF(Table8[[#This Row],[Month - Year]]="","",TEXT(Table8[[#This Row],[Month - Year]],"MMM-YY"))</f>
        <v/>
      </c>
      <c r="E252" s="54"/>
      <c r="F252" s="54"/>
      <c r="G252" s="54"/>
      <c r="H252" s="57" t="str">
        <f>IFERROR(Table8[[#This Row],[No. of Resources for whom access were removed on time]]/Table8[[#This Row],[No. of Resources De-allocated]],"")</f>
        <v/>
      </c>
      <c r="I252" s="57" t="str">
        <f>IFERROR(Table8[[#This Row],[No. of Resources for whom assets were returned on time]]/Table8[[#This Row],[No. of Resources De-allocated]],"")</f>
        <v/>
      </c>
    </row>
    <row r="253" spans="2:9">
      <c r="B253" s="54"/>
      <c r="C253" s="58"/>
      <c r="D253" s="56" t="str">
        <f>IF(Table8[[#This Row],[Month - Year]]="","",TEXT(Table8[[#This Row],[Month - Year]],"MMM-YY"))</f>
        <v/>
      </c>
      <c r="E253" s="54"/>
      <c r="F253" s="54"/>
      <c r="G253" s="54"/>
      <c r="H253" s="57" t="str">
        <f>IFERROR(Table8[[#This Row],[No. of Resources for whom access were removed on time]]/Table8[[#This Row],[No. of Resources De-allocated]],"")</f>
        <v/>
      </c>
      <c r="I253" s="57" t="str">
        <f>IFERROR(Table8[[#This Row],[No. of Resources for whom assets were returned on time]]/Table8[[#This Row],[No. of Resources De-allocated]],"")</f>
        <v/>
      </c>
    </row>
    <row r="254" spans="2:9">
      <c r="B254" s="54"/>
      <c r="C254" s="58"/>
      <c r="D254" s="56" t="str">
        <f>IF(Table8[[#This Row],[Month - Year]]="","",TEXT(Table8[[#This Row],[Month - Year]],"MMM-YY"))</f>
        <v/>
      </c>
      <c r="E254" s="54"/>
      <c r="F254" s="54"/>
      <c r="G254" s="54"/>
      <c r="H254" s="57" t="str">
        <f>IFERROR(Table8[[#This Row],[No. of Resources for whom access were removed on time]]/Table8[[#This Row],[No. of Resources De-allocated]],"")</f>
        <v/>
      </c>
      <c r="I254" s="57" t="str">
        <f>IFERROR(Table8[[#This Row],[No. of Resources for whom assets were returned on time]]/Table8[[#This Row],[No. of Resources De-allocated]],"")</f>
        <v/>
      </c>
    </row>
    <row r="255" spans="2:9">
      <c r="B255" s="54"/>
      <c r="C255" s="58"/>
      <c r="D255" s="56" t="str">
        <f>IF(Table8[[#This Row],[Month - Year]]="","",TEXT(Table8[[#This Row],[Month - Year]],"MMM-YY"))</f>
        <v/>
      </c>
      <c r="E255" s="54"/>
      <c r="F255" s="54"/>
      <c r="G255" s="54"/>
      <c r="H255" s="57" t="str">
        <f>IFERROR(Table8[[#This Row],[No. of Resources for whom access were removed on time]]/Table8[[#This Row],[No. of Resources De-allocated]],"")</f>
        <v/>
      </c>
      <c r="I255" s="57" t="str">
        <f>IFERROR(Table8[[#This Row],[No. of Resources for whom assets were returned on time]]/Table8[[#This Row],[No. of Resources De-allocated]],"")</f>
        <v/>
      </c>
    </row>
    <row r="256" spans="2:9">
      <c r="B256" s="54"/>
      <c r="C256" s="58"/>
      <c r="D256" s="56" t="str">
        <f>IF(Table8[[#This Row],[Month - Year]]="","",TEXT(Table8[[#This Row],[Month - Year]],"MMM-YY"))</f>
        <v/>
      </c>
      <c r="E256" s="54"/>
      <c r="F256" s="54"/>
      <c r="G256" s="54"/>
      <c r="H256" s="57" t="str">
        <f>IFERROR(Table8[[#This Row],[No. of Resources for whom access were removed on time]]/Table8[[#This Row],[No. of Resources De-allocated]],"")</f>
        <v/>
      </c>
      <c r="I256" s="57" t="str">
        <f>IFERROR(Table8[[#This Row],[No. of Resources for whom assets were returned on time]]/Table8[[#This Row],[No. of Resources De-allocated]],"")</f>
        <v/>
      </c>
    </row>
    <row r="257" spans="2:9">
      <c r="B257" s="54"/>
      <c r="C257" s="58"/>
      <c r="D257" s="56" t="str">
        <f>IF(Table8[[#This Row],[Month - Year]]="","",TEXT(Table8[[#This Row],[Month - Year]],"MMM-YY"))</f>
        <v/>
      </c>
      <c r="E257" s="54"/>
      <c r="F257" s="54"/>
      <c r="G257" s="54"/>
      <c r="H257" s="57" t="str">
        <f>IFERROR(Table8[[#This Row],[No. of Resources for whom access were removed on time]]/Table8[[#This Row],[No. of Resources De-allocated]],"")</f>
        <v/>
      </c>
      <c r="I257" s="57" t="str">
        <f>IFERROR(Table8[[#This Row],[No. of Resources for whom assets were returned on time]]/Table8[[#This Row],[No. of Resources De-allocated]],"")</f>
        <v/>
      </c>
    </row>
    <row r="258" spans="2:9">
      <c r="B258" s="54"/>
      <c r="C258" s="58"/>
      <c r="D258" s="56" t="str">
        <f>IF(Table8[[#This Row],[Month - Year]]="","",TEXT(Table8[[#This Row],[Month - Year]],"MMM-YY"))</f>
        <v/>
      </c>
      <c r="E258" s="54"/>
      <c r="F258" s="54"/>
      <c r="G258" s="54"/>
      <c r="H258" s="57" t="str">
        <f>IFERROR(Table8[[#This Row],[No. of Resources for whom access were removed on time]]/Table8[[#This Row],[No. of Resources De-allocated]],"")</f>
        <v/>
      </c>
      <c r="I258" s="57" t="str">
        <f>IFERROR(Table8[[#This Row],[No. of Resources for whom assets were returned on time]]/Table8[[#This Row],[No. of Resources De-allocated]],"")</f>
        <v/>
      </c>
    </row>
    <row r="259" spans="2:9">
      <c r="B259" s="54"/>
      <c r="C259" s="58"/>
      <c r="D259" s="56" t="str">
        <f>IF(Table8[[#This Row],[Month - Year]]="","",TEXT(Table8[[#This Row],[Month - Year]],"MMM-YY"))</f>
        <v/>
      </c>
      <c r="E259" s="54"/>
      <c r="F259" s="54"/>
      <c r="G259" s="54"/>
      <c r="H259" s="57" t="str">
        <f>IFERROR(Table8[[#This Row],[No. of Resources for whom access were removed on time]]/Table8[[#This Row],[No. of Resources De-allocated]],"")</f>
        <v/>
      </c>
      <c r="I259" s="57" t="str">
        <f>IFERROR(Table8[[#This Row],[No. of Resources for whom assets were returned on time]]/Table8[[#This Row],[No. of Resources De-allocated]],"")</f>
        <v/>
      </c>
    </row>
    <row r="260" spans="2:9">
      <c r="B260" s="54"/>
      <c r="C260" s="58"/>
      <c r="D260" s="56" t="str">
        <f>IF(Table8[[#This Row],[Month - Year]]="","",TEXT(Table8[[#This Row],[Month - Year]],"MMM-YY"))</f>
        <v/>
      </c>
      <c r="E260" s="54"/>
      <c r="F260" s="54"/>
      <c r="G260" s="54"/>
      <c r="H260" s="57" t="str">
        <f>IFERROR(Table8[[#This Row],[No. of Resources for whom access were removed on time]]/Table8[[#This Row],[No. of Resources De-allocated]],"")</f>
        <v/>
      </c>
      <c r="I260" s="57" t="str">
        <f>IFERROR(Table8[[#This Row],[No. of Resources for whom assets were returned on time]]/Table8[[#This Row],[No. of Resources De-allocated]],"")</f>
        <v/>
      </c>
    </row>
    <row r="261" spans="2:9">
      <c r="B261" s="54"/>
      <c r="C261" s="58"/>
      <c r="D261" s="56" t="str">
        <f>IF(Table8[[#This Row],[Month - Year]]="","",TEXT(Table8[[#This Row],[Month - Year]],"MMM-YY"))</f>
        <v/>
      </c>
      <c r="E261" s="54"/>
      <c r="F261" s="54"/>
      <c r="G261" s="54"/>
      <c r="H261" s="57" t="str">
        <f>IFERROR(Table8[[#This Row],[No. of Resources for whom access were removed on time]]/Table8[[#This Row],[No. of Resources De-allocated]],"")</f>
        <v/>
      </c>
      <c r="I261" s="57" t="str">
        <f>IFERROR(Table8[[#This Row],[No. of Resources for whom assets were returned on time]]/Table8[[#This Row],[No. of Resources De-allocated]],"")</f>
        <v/>
      </c>
    </row>
    <row r="262" spans="2:9">
      <c r="B262" s="54"/>
      <c r="C262" s="58"/>
      <c r="D262" s="56" t="str">
        <f>IF(Table8[[#This Row],[Month - Year]]="","",TEXT(Table8[[#This Row],[Month - Year]],"MMM-YY"))</f>
        <v/>
      </c>
      <c r="E262" s="54"/>
      <c r="F262" s="54"/>
      <c r="G262" s="54"/>
      <c r="H262" s="57" t="str">
        <f>IFERROR(Table8[[#This Row],[No. of Resources for whom access were removed on time]]/Table8[[#This Row],[No. of Resources De-allocated]],"")</f>
        <v/>
      </c>
      <c r="I262" s="57" t="str">
        <f>IFERROR(Table8[[#This Row],[No. of Resources for whom assets were returned on time]]/Table8[[#This Row],[No. of Resources De-allocated]],"")</f>
        <v/>
      </c>
    </row>
    <row r="263" spans="2:9">
      <c r="B263" s="54"/>
      <c r="C263" s="58"/>
      <c r="D263" s="56" t="str">
        <f>IF(Table8[[#This Row],[Month - Year]]="","",TEXT(Table8[[#This Row],[Month - Year]],"MMM-YY"))</f>
        <v/>
      </c>
      <c r="E263" s="54"/>
      <c r="F263" s="54"/>
      <c r="G263" s="54"/>
      <c r="H263" s="57" t="str">
        <f>IFERROR(Table8[[#This Row],[No. of Resources for whom access were removed on time]]/Table8[[#This Row],[No. of Resources De-allocated]],"")</f>
        <v/>
      </c>
      <c r="I263" s="57" t="str">
        <f>IFERROR(Table8[[#This Row],[No. of Resources for whom assets were returned on time]]/Table8[[#This Row],[No. of Resources De-allocated]],"")</f>
        <v/>
      </c>
    </row>
    <row r="264" spans="2:9">
      <c r="B264" s="54"/>
      <c r="C264" s="58"/>
      <c r="D264" s="56" t="str">
        <f>IF(Table8[[#This Row],[Month - Year]]="","",TEXT(Table8[[#This Row],[Month - Year]],"MMM-YY"))</f>
        <v/>
      </c>
      <c r="E264" s="54"/>
      <c r="F264" s="54"/>
      <c r="G264" s="54"/>
      <c r="H264" s="57" t="str">
        <f>IFERROR(Table8[[#This Row],[No. of Resources for whom access were removed on time]]/Table8[[#This Row],[No. of Resources De-allocated]],"")</f>
        <v/>
      </c>
      <c r="I264" s="57" t="str">
        <f>IFERROR(Table8[[#This Row],[No. of Resources for whom assets were returned on time]]/Table8[[#This Row],[No. of Resources De-allocated]],"")</f>
        <v/>
      </c>
    </row>
    <row r="265" spans="2:9">
      <c r="B265" s="54"/>
      <c r="C265" s="58"/>
      <c r="D265" s="56" t="str">
        <f>IF(Table8[[#This Row],[Month - Year]]="","",TEXT(Table8[[#This Row],[Month - Year]],"MMM-YY"))</f>
        <v/>
      </c>
      <c r="E265" s="54"/>
      <c r="F265" s="54"/>
      <c r="G265" s="54"/>
      <c r="H265" s="57" t="str">
        <f>IFERROR(Table8[[#This Row],[No. of Resources for whom access were removed on time]]/Table8[[#This Row],[No. of Resources De-allocated]],"")</f>
        <v/>
      </c>
      <c r="I265" s="57" t="str">
        <f>IFERROR(Table8[[#This Row],[No. of Resources for whom assets were returned on time]]/Table8[[#This Row],[No. of Resources De-allocated]],"")</f>
        <v/>
      </c>
    </row>
    <row r="266" spans="2:9">
      <c r="B266" s="54"/>
      <c r="C266" s="58"/>
      <c r="D266" s="56" t="str">
        <f>IF(Table8[[#This Row],[Month - Year]]="","",TEXT(Table8[[#This Row],[Month - Year]],"MMM-YY"))</f>
        <v/>
      </c>
      <c r="E266" s="54"/>
      <c r="F266" s="54"/>
      <c r="G266" s="54"/>
      <c r="H266" s="57" t="str">
        <f>IFERROR(Table8[[#This Row],[No. of Resources for whom access were removed on time]]/Table8[[#This Row],[No. of Resources De-allocated]],"")</f>
        <v/>
      </c>
      <c r="I266" s="57" t="str">
        <f>IFERROR(Table8[[#This Row],[No. of Resources for whom assets were returned on time]]/Table8[[#This Row],[No. of Resources De-allocated]],"")</f>
        <v/>
      </c>
    </row>
    <row r="267" spans="2:9">
      <c r="B267" s="54"/>
      <c r="C267" s="58"/>
      <c r="D267" s="56" t="str">
        <f>IF(Table8[[#This Row],[Month - Year]]="","",TEXT(Table8[[#This Row],[Month - Year]],"MMM-YY"))</f>
        <v/>
      </c>
      <c r="E267" s="54"/>
      <c r="F267" s="54"/>
      <c r="G267" s="54"/>
      <c r="H267" s="57" t="str">
        <f>IFERROR(Table8[[#This Row],[No. of Resources for whom access were removed on time]]/Table8[[#This Row],[No. of Resources De-allocated]],"")</f>
        <v/>
      </c>
      <c r="I267" s="57" t="str">
        <f>IFERROR(Table8[[#This Row],[No. of Resources for whom assets were returned on time]]/Table8[[#This Row],[No. of Resources De-allocated]],"")</f>
        <v/>
      </c>
    </row>
    <row r="268" spans="2:9">
      <c r="B268" s="54"/>
      <c r="C268" s="58"/>
      <c r="D268" s="56" t="str">
        <f>IF(Table8[[#This Row],[Month - Year]]="","",TEXT(Table8[[#This Row],[Month - Year]],"MMM-YY"))</f>
        <v/>
      </c>
      <c r="E268" s="54"/>
      <c r="F268" s="54"/>
      <c r="G268" s="54"/>
      <c r="H268" s="57" t="str">
        <f>IFERROR(Table8[[#This Row],[No. of Resources for whom access were removed on time]]/Table8[[#This Row],[No. of Resources De-allocated]],"")</f>
        <v/>
      </c>
      <c r="I268" s="57" t="str">
        <f>IFERROR(Table8[[#This Row],[No. of Resources for whom assets were returned on time]]/Table8[[#This Row],[No. of Resources De-allocated]],"")</f>
        <v/>
      </c>
    </row>
    <row r="269" spans="2:9">
      <c r="B269" s="54"/>
      <c r="C269" s="58"/>
      <c r="D269" s="56" t="str">
        <f>IF(Table8[[#This Row],[Month - Year]]="","",TEXT(Table8[[#This Row],[Month - Year]],"MMM-YY"))</f>
        <v/>
      </c>
      <c r="E269" s="54"/>
      <c r="F269" s="54"/>
      <c r="G269" s="54"/>
      <c r="H269" s="57" t="str">
        <f>IFERROR(Table8[[#This Row],[No. of Resources for whom access were removed on time]]/Table8[[#This Row],[No. of Resources De-allocated]],"")</f>
        <v/>
      </c>
      <c r="I269" s="57" t="str">
        <f>IFERROR(Table8[[#This Row],[No. of Resources for whom assets were returned on time]]/Table8[[#This Row],[No. of Resources De-allocated]],"")</f>
        <v/>
      </c>
    </row>
    <row r="270" spans="2:9">
      <c r="B270" s="54"/>
      <c r="C270" s="58"/>
      <c r="D270" s="56" t="str">
        <f>IF(Table8[[#This Row],[Month - Year]]="","",TEXT(Table8[[#This Row],[Month - Year]],"MMM-YY"))</f>
        <v/>
      </c>
      <c r="E270" s="54"/>
      <c r="F270" s="54"/>
      <c r="G270" s="54"/>
      <c r="H270" s="57" t="str">
        <f>IFERROR(Table8[[#This Row],[No. of Resources for whom access were removed on time]]/Table8[[#This Row],[No. of Resources De-allocated]],"")</f>
        <v/>
      </c>
      <c r="I270" s="57" t="str">
        <f>IFERROR(Table8[[#This Row],[No. of Resources for whom assets were returned on time]]/Table8[[#This Row],[No. of Resources De-allocated]],"")</f>
        <v/>
      </c>
    </row>
  </sheetData>
  <sheetProtection password="E15D" sheet="1" scenarios="1" formatCells="0" pivotTables="0"/>
  <hyperlinks>
    <hyperlink ref="G2" location="'Metric Dashboard'!A1" display="back to Metrics Dashboard" xr:uid="{00000000-0004-0000-0D00-000000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29697" r:id="rId6" name="Button 1">
              <controlPr defaultSize="0" print="0">
                <anchor moveWithCells="1" sizeWithCells="1">
                  <from>
                    <xdr:col>4</xdr:col>
                    <xdr:colOff>161925</xdr:colOff>
                    <xdr:row>1</xdr:row>
                    <xdr:rowOff>0</xdr:rowOff>
                  </from>
                  <to>
                    <xdr:col>5</xdr:col>
                    <xdr:colOff>76200</xdr:colOff>
                    <xdr:row>2</xdr:row>
                    <xdr:rowOff>28575</xdr:rowOff>
                  </to>
                </anchor>
              </controlPr>
            </control>
          </mc:Choice>
        </mc:AlternateContent>
      </controls>
    </mc:Choice>
  </mc:AlternateContent>
  <tableParts count="2">
    <tablePart r:id="rId7"/>
    <tablePart r:id="rId8"/>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B7:I95"/>
  <sheetViews>
    <sheetView showGridLines="0" topLeftCell="A43" workbookViewId="0"/>
  </sheetViews>
  <sheetFormatPr defaultColWidth="9" defaultRowHeight="14.45"/>
  <cols>
    <col min="2" max="3" width="13.125" customWidth="1"/>
    <col min="4" max="4" width="34.75" customWidth="1"/>
    <col min="8" max="8" width="13.125" customWidth="1"/>
    <col min="9" max="9" width="33.375" customWidth="1"/>
    <col min="10" max="11" width="9.375" customWidth="1"/>
    <col min="12" max="12" width="7.25" customWidth="1"/>
    <col min="13" max="13" width="11.25" customWidth="1"/>
  </cols>
  <sheetData>
    <row r="7" spans="3:9">
      <c r="H7" t="s">
        <v>393</v>
      </c>
      <c r="I7" t="s">
        <v>431</v>
      </c>
    </row>
    <row r="8" spans="3:9">
      <c r="C8" t="s">
        <v>393</v>
      </c>
      <c r="D8" t="s">
        <v>432</v>
      </c>
      <c r="H8" s="25" t="s">
        <v>396</v>
      </c>
      <c r="I8">
        <v>0</v>
      </c>
    </row>
    <row r="9" spans="3:9">
      <c r="C9" s="25" t="s">
        <v>396</v>
      </c>
      <c r="D9">
        <v>0</v>
      </c>
      <c r="H9" s="25" t="s">
        <v>398</v>
      </c>
      <c r="I9">
        <v>0</v>
      </c>
    </row>
    <row r="10" spans="3:9">
      <c r="C10" s="25" t="s">
        <v>398</v>
      </c>
      <c r="D10">
        <v>0</v>
      </c>
      <c r="H10" s="25" t="s">
        <v>394</v>
      </c>
      <c r="I10">
        <v>0</v>
      </c>
    </row>
    <row r="11" spans="3:9">
      <c r="C11" s="25" t="s">
        <v>394</v>
      </c>
      <c r="D11">
        <v>0</v>
      </c>
    </row>
    <row r="24" spans="3:9">
      <c r="H24" t="s">
        <v>393</v>
      </c>
      <c r="I24" t="s">
        <v>433</v>
      </c>
    </row>
    <row r="25" spans="3:9">
      <c r="H25" s="25" t="s">
        <v>396</v>
      </c>
      <c r="I25" s="45">
        <v>0</v>
      </c>
    </row>
    <row r="26" spans="3:9">
      <c r="H26" s="25" t="s">
        <v>398</v>
      </c>
      <c r="I26" s="45">
        <v>0</v>
      </c>
    </row>
    <row r="27" spans="3:9">
      <c r="C27" t="s">
        <v>393</v>
      </c>
      <c r="D27" t="s">
        <v>434</v>
      </c>
      <c r="H27" s="25" t="s">
        <v>394</v>
      </c>
      <c r="I27" s="45">
        <v>0</v>
      </c>
    </row>
    <row r="28" spans="3:9">
      <c r="C28" s="25" t="s">
        <v>396</v>
      </c>
      <c r="D28">
        <v>0</v>
      </c>
    </row>
    <row r="29" spans="3:9">
      <c r="C29" s="25" t="s">
        <v>398</v>
      </c>
      <c r="D29">
        <v>0</v>
      </c>
    </row>
    <row r="30" spans="3:9">
      <c r="C30" s="25" t="s">
        <v>394</v>
      </c>
      <c r="D30">
        <v>0</v>
      </c>
    </row>
    <row r="40" spans="2:9">
      <c r="B40" t="s">
        <v>393</v>
      </c>
      <c r="C40" t="s">
        <v>435</v>
      </c>
      <c r="H40" t="s">
        <v>393</v>
      </c>
      <c r="I40" t="s">
        <v>436</v>
      </c>
    </row>
    <row r="41" spans="2:9">
      <c r="B41" s="25" t="s">
        <v>396</v>
      </c>
      <c r="C41">
        <v>0</v>
      </c>
      <c r="H41" s="25" t="s">
        <v>396</v>
      </c>
      <c r="I41">
        <v>0</v>
      </c>
    </row>
    <row r="42" spans="2:9">
      <c r="B42" s="25" t="s">
        <v>398</v>
      </c>
      <c r="C42">
        <v>0</v>
      </c>
      <c r="H42" s="25" t="s">
        <v>398</v>
      </c>
      <c r="I42">
        <v>0</v>
      </c>
    </row>
    <row r="43" spans="2:9">
      <c r="B43" s="25" t="s">
        <v>394</v>
      </c>
      <c r="C43">
        <v>0</v>
      </c>
      <c r="H43" s="25" t="s">
        <v>394</v>
      </c>
      <c r="I43">
        <v>0</v>
      </c>
    </row>
    <row r="56" spans="3:9">
      <c r="H56" t="s">
        <v>393</v>
      </c>
      <c r="I56" t="s">
        <v>437</v>
      </c>
    </row>
    <row r="57" spans="3:9">
      <c r="C57" t="s">
        <v>393</v>
      </c>
      <c r="D57" t="s">
        <v>438</v>
      </c>
      <c r="H57" s="25" t="s">
        <v>396</v>
      </c>
      <c r="I57">
        <v>0</v>
      </c>
    </row>
    <row r="58" spans="3:9">
      <c r="C58" s="25" t="s">
        <v>396</v>
      </c>
      <c r="D58">
        <v>0</v>
      </c>
      <c r="H58" s="25" t="s">
        <v>398</v>
      </c>
      <c r="I58">
        <v>0</v>
      </c>
    </row>
    <row r="59" spans="3:9">
      <c r="C59" s="25" t="s">
        <v>398</v>
      </c>
      <c r="D59">
        <v>0</v>
      </c>
      <c r="H59" s="25" t="s">
        <v>394</v>
      </c>
      <c r="I59">
        <v>0</v>
      </c>
    </row>
    <row r="60" spans="3:9">
      <c r="C60" s="25" t="s">
        <v>394</v>
      </c>
      <c r="D60">
        <v>0</v>
      </c>
    </row>
    <row r="72" spans="3:9">
      <c r="H72" t="s">
        <v>393</v>
      </c>
      <c r="I72" t="s">
        <v>439</v>
      </c>
    </row>
    <row r="73" spans="3:9">
      <c r="C73" t="s">
        <v>393</v>
      </c>
      <c r="D73" t="s">
        <v>440</v>
      </c>
      <c r="H73" s="25" t="s">
        <v>396</v>
      </c>
      <c r="I73">
        <v>0</v>
      </c>
    </row>
    <row r="74" spans="3:9">
      <c r="C74" s="25" t="s">
        <v>396</v>
      </c>
      <c r="D74">
        <v>0</v>
      </c>
      <c r="H74" s="25" t="s">
        <v>398</v>
      </c>
      <c r="I74">
        <v>0</v>
      </c>
    </row>
    <row r="75" spans="3:9">
      <c r="C75" s="25" t="s">
        <v>398</v>
      </c>
      <c r="D75">
        <v>0</v>
      </c>
      <c r="H75" s="25" t="s">
        <v>394</v>
      </c>
      <c r="I75">
        <v>0</v>
      </c>
    </row>
    <row r="76" spans="3:9">
      <c r="C76" s="25" t="s">
        <v>394</v>
      </c>
      <c r="D76">
        <v>0</v>
      </c>
    </row>
    <row r="88" spans="3:9">
      <c r="H88" t="s">
        <v>393</v>
      </c>
      <c r="I88" t="s">
        <v>441</v>
      </c>
    </row>
    <row r="89" spans="3:9">
      <c r="H89" s="25" t="s">
        <v>396</v>
      </c>
      <c r="I89">
        <v>0</v>
      </c>
    </row>
    <row r="90" spans="3:9">
      <c r="H90" s="25" t="s">
        <v>398</v>
      </c>
      <c r="I90">
        <v>0</v>
      </c>
    </row>
    <row r="91" spans="3:9">
      <c r="H91" s="25" t="s">
        <v>394</v>
      </c>
      <c r="I91">
        <v>0</v>
      </c>
    </row>
    <row r="92" spans="3:9">
      <c r="C92" t="s">
        <v>393</v>
      </c>
      <c r="D92" t="s">
        <v>442</v>
      </c>
    </row>
    <row r="93" spans="3:9">
      <c r="C93" s="25" t="s">
        <v>396</v>
      </c>
      <c r="D93">
        <v>0</v>
      </c>
    </row>
    <row r="94" spans="3:9">
      <c r="C94" s="25" t="s">
        <v>398</v>
      </c>
      <c r="D94">
        <v>0</v>
      </c>
    </row>
    <row r="95" spans="3:9">
      <c r="C95" s="25" t="s">
        <v>394</v>
      </c>
      <c r="D95">
        <v>0</v>
      </c>
    </row>
  </sheetData>
  <sheetProtection password="E15D" sheet="1" scenarios="1" formatCells="0" pivotTables="0"/>
  <pageMargins left="0.7" right="0.7" top="0.75" bottom="0.75" header="0.3" footer="0.3"/>
  <drawing r:id="rId13"/>
  <legacyDrawing r:id="rId14"/>
  <mc:AlternateContent xmlns:mc="http://schemas.openxmlformats.org/markup-compatibility/2006">
    <mc:Choice Requires="x14">
      <controls>
        <mc:AlternateContent xmlns:mc="http://schemas.openxmlformats.org/markup-compatibility/2006">
          <mc:Choice Requires="x14">
            <control shapeId="30721" r:id="rId15" name="btnDefectRefresh">
              <controlPr defaultSize="0" print="0">
                <anchor moveWithCells="1" sizeWithCells="1">
                  <from>
                    <xdr:col>3</xdr:col>
                    <xdr:colOff>285750</xdr:colOff>
                    <xdr:row>0</xdr:row>
                    <xdr:rowOff>152400</xdr:rowOff>
                  </from>
                  <to>
                    <xdr:col>4</xdr:col>
                    <xdr:colOff>0</xdr:colOff>
                    <xdr:row>1</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D9:G30"/>
  <sheetViews>
    <sheetView showGridLines="0" workbookViewId="0">
      <selection activeCell="H25" sqref="H25"/>
    </sheetView>
  </sheetViews>
  <sheetFormatPr defaultColWidth="9" defaultRowHeight="14.45"/>
  <cols>
    <col min="4" max="4" width="36.75" customWidth="1"/>
    <col min="5" max="5" width="16.25" customWidth="1"/>
    <col min="6" max="6" width="2.875" customWidth="1"/>
    <col min="7" max="8" width="11.25" customWidth="1"/>
    <col min="9" max="9" width="7.75" customWidth="1"/>
    <col min="10" max="10" width="12" customWidth="1"/>
    <col min="11" max="11" width="13.125" customWidth="1"/>
    <col min="12" max="12" width="18.625" customWidth="1"/>
  </cols>
  <sheetData>
    <row r="9" spans="4:7">
      <c r="D9" t="s">
        <v>443</v>
      </c>
      <c r="E9" t="s">
        <v>392</v>
      </c>
    </row>
    <row r="10" spans="4:7">
      <c r="D10" t="s">
        <v>393</v>
      </c>
      <c r="E10" t="s">
        <v>66</v>
      </c>
      <c r="F10" t="s">
        <v>68</v>
      </c>
      <c r="G10" t="s">
        <v>394</v>
      </c>
    </row>
    <row r="11" spans="4:7">
      <c r="D11" s="25" t="s">
        <v>398</v>
      </c>
      <c r="E11">
        <v>1</v>
      </c>
      <c r="F11">
        <v>1</v>
      </c>
      <c r="G11">
        <v>1</v>
      </c>
    </row>
    <row r="12" spans="4:7">
      <c r="D12" s="25" t="s">
        <v>394</v>
      </c>
      <c r="E12">
        <v>1</v>
      </c>
      <c r="F12">
        <v>1</v>
      </c>
      <c r="G12">
        <v>1</v>
      </c>
    </row>
    <row r="28" spans="6:7">
      <c r="F28" t="s">
        <v>393</v>
      </c>
      <c r="G28" t="s">
        <v>444</v>
      </c>
    </row>
    <row r="29" spans="6:7">
      <c r="F29" s="25" t="s">
        <v>398</v>
      </c>
      <c r="G29">
        <v>0</v>
      </c>
    </row>
    <row r="30" spans="6:7">
      <c r="F30" s="25" t="s">
        <v>394</v>
      </c>
      <c r="G30">
        <v>0</v>
      </c>
    </row>
  </sheetData>
  <sheetProtection password="E15D" sheet="1" scenarios="1" formatCells="0" pivotTables="0"/>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1745" r:id="rId5" name="btnRSIRefresh">
              <controlPr defaultSize="0" print="0">
                <anchor moveWithCells="1" sizeWithCells="1">
                  <from>
                    <xdr:col>4</xdr:col>
                    <xdr:colOff>361950</xdr:colOff>
                    <xdr:row>0</xdr:row>
                    <xdr:rowOff>152400</xdr:rowOff>
                  </from>
                  <to>
                    <xdr:col>5</xdr:col>
                    <xdr:colOff>0</xdr:colOff>
                    <xdr:row>1</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C5:K942"/>
  <sheetViews>
    <sheetView showGridLines="0" topLeftCell="A30" workbookViewId="0">
      <selection activeCell="J35" sqref="J35"/>
    </sheetView>
  </sheetViews>
  <sheetFormatPr defaultColWidth="9" defaultRowHeight="14.45"/>
  <cols>
    <col min="3" max="3" width="13.125" customWidth="1"/>
    <col min="4" max="4" width="13.125" style="1" customWidth="1"/>
    <col min="5" max="6" width="17.375" customWidth="1"/>
    <col min="7" max="7" width="20.875" customWidth="1"/>
    <col min="8" max="9" width="14.125" customWidth="1"/>
    <col min="10" max="10" width="17.75" customWidth="1"/>
  </cols>
  <sheetData>
    <row r="5" spans="4:5">
      <c r="D5"/>
    </row>
    <row r="6" spans="4:5">
      <c r="D6" t="s">
        <v>393</v>
      </c>
      <c r="E6" s="24" t="s">
        <v>445</v>
      </c>
    </row>
    <row r="7" spans="4:5">
      <c r="D7" s="25"/>
      <c r="E7" s="24" t="e">
        <v>#DIV/0!</v>
      </c>
    </row>
    <row r="8" spans="4:5">
      <c r="D8" s="25" t="s">
        <v>400</v>
      </c>
      <c r="E8" s="24">
        <v>0</v>
      </c>
    </row>
    <row r="9" spans="4:5">
      <c r="D9" s="25" t="s">
        <v>401</v>
      </c>
      <c r="E9" s="24">
        <v>0</v>
      </c>
    </row>
    <row r="10" spans="4:5">
      <c r="D10" s="25" t="s">
        <v>394</v>
      </c>
      <c r="E10" s="24">
        <v>0</v>
      </c>
    </row>
    <row r="11" spans="4:5">
      <c r="D11"/>
    </row>
    <row r="12" spans="4:5">
      <c r="D12"/>
    </row>
    <row r="13" spans="4:5">
      <c r="D13"/>
    </row>
    <row r="14" spans="4:5">
      <c r="D14"/>
    </row>
    <row r="15" spans="4:5">
      <c r="D15"/>
    </row>
    <row r="16" spans="4:5">
      <c r="D16"/>
    </row>
    <row r="17" spans="3:11">
      <c r="D17"/>
    </row>
    <row r="18" spans="3:11">
      <c r="D18"/>
    </row>
    <row r="19" spans="3:11">
      <c r="D19"/>
    </row>
    <row r="20" spans="3:11">
      <c r="D20"/>
    </row>
    <row r="21" spans="3:11">
      <c r="D21"/>
    </row>
    <row r="22" spans="3:11">
      <c r="D22"/>
    </row>
    <row r="23" spans="3:11">
      <c r="D23"/>
    </row>
    <row r="24" spans="3:11">
      <c r="D24"/>
    </row>
    <row r="25" spans="3:11">
      <c r="D25"/>
    </row>
    <row r="26" spans="3:11">
      <c r="D26"/>
    </row>
    <row r="27" spans="3:11">
      <c r="D27"/>
    </row>
    <row r="28" spans="3:11">
      <c r="D28"/>
    </row>
    <row r="29" spans="3:11">
      <c r="D29"/>
    </row>
    <row r="30" spans="3:11">
      <c r="C30" s="26" t="s">
        <v>446</v>
      </c>
      <c r="D30"/>
    </row>
    <row r="31" spans="3:11" ht="29.85">
      <c r="C31" s="27" t="s">
        <v>115</v>
      </c>
      <c r="D31" s="28" t="s">
        <v>138</v>
      </c>
      <c r="E31" s="27" t="s">
        <v>139</v>
      </c>
      <c r="F31" s="27" t="s">
        <v>140</v>
      </c>
      <c r="G31" s="27" t="s">
        <v>141</v>
      </c>
      <c r="H31" s="27" t="s">
        <v>142</v>
      </c>
      <c r="I31" s="27" t="s">
        <v>447</v>
      </c>
      <c r="J31" s="27" t="s">
        <v>143</v>
      </c>
      <c r="K31" s="37" t="s">
        <v>448</v>
      </c>
    </row>
    <row r="32" spans="3:11" ht="33">
      <c r="C32" s="29">
        <v>1</v>
      </c>
      <c r="D32" s="30" t="s">
        <v>87</v>
      </c>
      <c r="E32" s="31">
        <v>100</v>
      </c>
      <c r="F32" s="32">
        <v>17</v>
      </c>
      <c r="G32" s="31">
        <v>9</v>
      </c>
      <c r="H32" s="33">
        <v>44835</v>
      </c>
      <c r="I32" s="38" t="str">
        <f>IF(Table46[[#This Row],[Month-Year]]="","",TEXT(Table46[[#This Row],[Month-Year]],"MMM-YY"))</f>
        <v>Oct-22</v>
      </c>
      <c r="J32" s="31">
        <v>153</v>
      </c>
      <c r="K32" s="39">
        <f>(F32*G32)*E32/100</f>
        <v>153</v>
      </c>
    </row>
    <row r="33" spans="3:11" ht="13.5">
      <c r="C33" s="29">
        <v>2</v>
      </c>
      <c r="D33" s="430" t="s">
        <v>89</v>
      </c>
      <c r="E33" s="31">
        <v>100</v>
      </c>
      <c r="F33" s="32">
        <v>5</v>
      </c>
      <c r="G33" s="31">
        <v>9</v>
      </c>
      <c r="H33" s="33">
        <v>44835</v>
      </c>
      <c r="I33" s="38" t="str">
        <f>IF(Table46[[#This Row],[Month-Year]]="","",TEXT(Table46[[#This Row],[Month-Year]],"MMM-YY"))</f>
        <v>Oct-22</v>
      </c>
      <c r="J33" s="31">
        <v>45</v>
      </c>
      <c r="K33" s="39">
        <f>(F33*G33)*E33/100</f>
        <v>45</v>
      </c>
    </row>
    <row r="34" spans="3:11" ht="13.5">
      <c r="C34" s="29"/>
      <c r="D34" s="30"/>
      <c r="E34" s="31"/>
      <c r="F34" s="32"/>
      <c r="G34" s="31"/>
      <c r="H34" s="33"/>
      <c r="I34" s="38" t="str">
        <f>IF(Table46[[#This Row],[Month-Year]]="","",TEXT(Table46[[#This Row],[Month-Year]],"MMM-YY"))</f>
        <v/>
      </c>
      <c r="J34" s="31"/>
      <c r="K34" s="39">
        <f>(F34*G34)*E34/100</f>
        <v>0</v>
      </c>
    </row>
    <row r="35" spans="3:11" ht="13.5">
      <c r="C35" s="29"/>
      <c r="D35" s="30"/>
      <c r="E35" s="31"/>
      <c r="F35" s="32"/>
      <c r="G35" s="31"/>
      <c r="H35" s="33"/>
      <c r="I35" s="38" t="str">
        <f>IF(Table46[[#This Row],[Month-Year]]="","",TEXT(Table46[[#This Row],[Month-Year]],"MMM-YY"))</f>
        <v/>
      </c>
      <c r="J35" s="31"/>
      <c r="K35" s="39">
        <f>(F35*G35)*E35/100</f>
        <v>0</v>
      </c>
    </row>
    <row r="36" spans="3:11" ht="13.5">
      <c r="C36" s="29"/>
      <c r="D36" s="30"/>
      <c r="E36" s="31"/>
      <c r="F36" s="32"/>
      <c r="G36" s="31"/>
      <c r="H36" s="33"/>
      <c r="I36" s="38" t="str">
        <f>IF(Table46[[#This Row],[Month-Year]]="","",TEXT(Table46[[#This Row],[Month-Year]],"MMM-YY"))</f>
        <v/>
      </c>
      <c r="J36" s="31"/>
      <c r="K36" s="39">
        <f t="shared" ref="K36:K43" si="0">(F36*G36)*E36/100</f>
        <v>0</v>
      </c>
    </row>
    <row r="37" spans="3:11" ht="13.5">
      <c r="C37" s="29"/>
      <c r="D37" s="30"/>
      <c r="E37" s="31"/>
      <c r="F37" s="32"/>
      <c r="G37" s="31"/>
      <c r="H37" s="33"/>
      <c r="I37" s="38" t="str">
        <f>IF(Table46[[#This Row],[Month-Year]]="","",TEXT(Table46[[#This Row],[Month-Year]],"MMM-YY"))</f>
        <v/>
      </c>
      <c r="J37" s="31"/>
      <c r="K37" s="39">
        <f t="shared" si="0"/>
        <v>0</v>
      </c>
    </row>
    <row r="38" spans="3:11" ht="13.5">
      <c r="C38" s="29"/>
      <c r="D38" s="30"/>
      <c r="E38" s="31"/>
      <c r="F38" s="32"/>
      <c r="G38" s="31"/>
      <c r="H38" s="33"/>
      <c r="I38" s="38" t="str">
        <f>IF(Table46[[#This Row],[Month-Year]]="","",TEXT(Table46[[#This Row],[Month-Year]],"MMM-YY"))</f>
        <v/>
      </c>
      <c r="J38" s="31"/>
      <c r="K38" s="39">
        <f t="shared" si="0"/>
        <v>0</v>
      </c>
    </row>
    <row r="39" spans="3:11" ht="13.5">
      <c r="C39" s="29"/>
      <c r="D39" s="30"/>
      <c r="E39" s="31"/>
      <c r="F39" s="32"/>
      <c r="G39" s="31"/>
      <c r="H39" s="33"/>
      <c r="I39" s="38" t="str">
        <f>IF(Table46[[#This Row],[Month-Year]]="","",TEXT(Table46[[#This Row],[Month-Year]],"MMM-YY"))</f>
        <v/>
      </c>
      <c r="J39" s="31"/>
      <c r="K39" s="39">
        <f t="shared" si="0"/>
        <v>0</v>
      </c>
    </row>
    <row r="40" spans="3:11" ht="13.5">
      <c r="C40" s="29"/>
      <c r="D40" s="30"/>
      <c r="E40" s="31"/>
      <c r="F40" s="32"/>
      <c r="G40" s="31"/>
      <c r="H40" s="33"/>
      <c r="I40" s="38" t="str">
        <f>IF(Table46[[#This Row],[Month-Year]]="","",TEXT(Table46[[#This Row],[Month-Year]],"MMM-YY"))</f>
        <v/>
      </c>
      <c r="J40" s="31"/>
      <c r="K40" s="39">
        <f t="shared" si="0"/>
        <v>0</v>
      </c>
    </row>
    <row r="41" spans="3:11" ht="13.5">
      <c r="C41" s="29"/>
      <c r="D41" s="30"/>
      <c r="E41" s="31"/>
      <c r="F41" s="32"/>
      <c r="G41" s="31"/>
      <c r="H41" s="33"/>
      <c r="I41" s="38" t="str">
        <f>IF(Table46[[#This Row],[Month-Year]]="","",TEXT(Table46[[#This Row],[Month-Year]],"MMM-YY"))</f>
        <v/>
      </c>
      <c r="J41" s="31"/>
      <c r="K41" s="39">
        <f t="shared" si="0"/>
        <v>0</v>
      </c>
    </row>
    <row r="42" spans="3:11" ht="13.5">
      <c r="C42" s="29"/>
      <c r="D42" s="30"/>
      <c r="E42" s="31"/>
      <c r="F42" s="32"/>
      <c r="G42" s="31"/>
      <c r="H42" s="33"/>
      <c r="I42" s="38" t="str">
        <f>IF(Table46[[#This Row],[Month-Year]]="","",TEXT(Table46[[#This Row],[Month-Year]],"MMM-YY"))</f>
        <v/>
      </c>
      <c r="J42" s="31"/>
      <c r="K42" s="39">
        <f t="shared" si="0"/>
        <v>0</v>
      </c>
    </row>
    <row r="43" spans="3:11" ht="13.5">
      <c r="C43" s="29"/>
      <c r="D43" s="30"/>
      <c r="E43" s="31"/>
      <c r="F43" s="32"/>
      <c r="G43" s="31"/>
      <c r="H43" s="33"/>
      <c r="I43" s="38" t="str">
        <f>IF(Table46[[#This Row],[Month-Year]]="","",TEXT(Table46[[#This Row],[Month-Year]],"MMM-YY"))</f>
        <v/>
      </c>
      <c r="J43" s="31"/>
      <c r="K43" s="40">
        <f t="shared" si="0"/>
        <v>0</v>
      </c>
    </row>
    <row r="44" spans="3:11" ht="13.5">
      <c r="C44" s="29"/>
      <c r="D44" s="30"/>
      <c r="E44" s="31"/>
      <c r="F44" s="32"/>
      <c r="G44" s="31"/>
      <c r="H44" s="33"/>
      <c r="I44" s="38" t="str">
        <f>IF(Table46[[#This Row],[Month-Year]]="","",TEXT(Table46[[#This Row],[Month-Year]],"MMM-YY"))</f>
        <v/>
      </c>
      <c r="J44" s="31"/>
      <c r="K44" s="39">
        <f t="shared" ref="K44:K48" si="1">(F44*G44)*E44/100</f>
        <v>0</v>
      </c>
    </row>
    <row r="45" spans="3:11" ht="13.5">
      <c r="C45" s="29"/>
      <c r="D45" s="30"/>
      <c r="E45" s="31"/>
      <c r="F45" s="32"/>
      <c r="G45" s="31"/>
      <c r="H45" s="33"/>
      <c r="I45" s="38" t="str">
        <f>IF(Table46[[#This Row],[Month-Year]]="","",TEXT(Table46[[#This Row],[Month-Year]],"MMM-YY"))</f>
        <v/>
      </c>
      <c r="J45" s="31"/>
      <c r="K45" s="39">
        <f t="shared" si="1"/>
        <v>0</v>
      </c>
    </row>
    <row r="46" spans="3:11" ht="13.5">
      <c r="C46" s="29"/>
      <c r="D46" s="30"/>
      <c r="E46" s="31"/>
      <c r="F46" s="32"/>
      <c r="G46" s="31"/>
      <c r="H46" s="33"/>
      <c r="I46" s="38" t="str">
        <f>IF(Table46[[#This Row],[Month-Year]]="","",TEXT(Table46[[#This Row],[Month-Year]],"MMM-YY"))</f>
        <v/>
      </c>
      <c r="J46" s="31"/>
      <c r="K46" s="39">
        <f t="shared" si="1"/>
        <v>0</v>
      </c>
    </row>
    <row r="47" spans="3:11" ht="13.5">
      <c r="C47" s="29"/>
      <c r="D47" s="30"/>
      <c r="E47" s="31"/>
      <c r="F47" s="32"/>
      <c r="G47" s="31"/>
      <c r="H47" s="33"/>
      <c r="I47" s="38" t="str">
        <f>IF(Table46[[#This Row],[Month-Year]]="","",TEXT(Table46[[#This Row],[Month-Year]],"MMM-YY"))</f>
        <v/>
      </c>
      <c r="J47" s="31"/>
      <c r="K47" s="39">
        <f t="shared" si="1"/>
        <v>0</v>
      </c>
    </row>
    <row r="48" spans="3:11" ht="13.5">
      <c r="C48" s="29"/>
      <c r="D48" s="30"/>
      <c r="E48" s="31"/>
      <c r="F48" s="32"/>
      <c r="G48" s="31"/>
      <c r="H48" s="33"/>
      <c r="I48" s="38" t="str">
        <f>IF(Table46[[#This Row],[Month-Year]]="","",TEXT(Table46[[#This Row],[Month-Year]],"MMM-YY"))</f>
        <v/>
      </c>
      <c r="J48" s="31"/>
      <c r="K48" s="39">
        <f t="shared" si="1"/>
        <v>0</v>
      </c>
    </row>
    <row r="49" spans="3:11" ht="13.5">
      <c r="C49" s="29"/>
      <c r="D49" s="30"/>
      <c r="E49" s="31"/>
      <c r="F49" s="32"/>
      <c r="G49" s="31"/>
      <c r="H49" s="33"/>
      <c r="I49" s="41" t="str">
        <f>IF(Table46[[#This Row],[Month-Year]]="","",TEXT(Table46[[#This Row],[Month-Year]],"MMM-YY"))</f>
        <v/>
      </c>
      <c r="J49" s="31"/>
      <c r="K49" s="39">
        <f t="shared" ref="K49:K75" si="2">(F49*G49)*E49/100</f>
        <v>0</v>
      </c>
    </row>
    <row r="50" spans="3:11" ht="13.5">
      <c r="C50" s="29"/>
      <c r="D50" s="30"/>
      <c r="E50" s="31"/>
      <c r="F50" s="32"/>
      <c r="G50" s="31"/>
      <c r="H50" s="33"/>
      <c r="I50" s="41" t="str">
        <f>IF(Table46[[#This Row],[Month-Year]]="","",TEXT(Table46[[#This Row],[Month-Year]],"MMM-YY"))</f>
        <v/>
      </c>
      <c r="J50" s="31"/>
      <c r="K50" s="39">
        <f t="shared" si="2"/>
        <v>0</v>
      </c>
    </row>
    <row r="51" spans="3:11" ht="13.5">
      <c r="C51" s="29"/>
      <c r="D51" s="30"/>
      <c r="E51" s="31"/>
      <c r="F51" s="32"/>
      <c r="G51" s="31"/>
      <c r="H51" s="33"/>
      <c r="I51" s="41" t="str">
        <f>IF(Table46[[#This Row],[Month-Year]]="","",TEXT(Table46[[#This Row],[Month-Year]],"MMM-YY"))</f>
        <v/>
      </c>
      <c r="J51" s="31"/>
      <c r="K51" s="39">
        <f t="shared" si="2"/>
        <v>0</v>
      </c>
    </row>
    <row r="52" spans="3:11" ht="13.5">
      <c r="C52" s="29"/>
      <c r="D52" s="30"/>
      <c r="E52" s="31"/>
      <c r="F52" s="32"/>
      <c r="G52" s="31"/>
      <c r="H52" s="33"/>
      <c r="I52" s="41" t="str">
        <f>IF(Table46[[#This Row],[Month-Year]]="","",TEXT(Table46[[#This Row],[Month-Year]],"MMM-YY"))</f>
        <v/>
      </c>
      <c r="J52" s="31"/>
      <c r="K52" s="39">
        <f t="shared" si="2"/>
        <v>0</v>
      </c>
    </row>
    <row r="53" spans="3:11" ht="13.5">
      <c r="C53" s="29"/>
      <c r="D53" s="30"/>
      <c r="E53" s="31"/>
      <c r="F53" s="32"/>
      <c r="G53" s="31"/>
      <c r="H53" s="33"/>
      <c r="I53" s="41" t="str">
        <f>IF(Table46[[#This Row],[Month-Year]]="","",TEXT(Table46[[#This Row],[Month-Year]],"MMM-YY"))</f>
        <v/>
      </c>
      <c r="J53" s="31"/>
      <c r="K53" s="39">
        <f t="shared" si="2"/>
        <v>0</v>
      </c>
    </row>
    <row r="54" spans="3:11" ht="13.5">
      <c r="C54" s="29"/>
      <c r="D54" s="30"/>
      <c r="E54" s="31"/>
      <c r="F54" s="32"/>
      <c r="G54" s="31"/>
      <c r="H54" s="33"/>
      <c r="I54" s="41" t="str">
        <f>IF(Table46[[#This Row],[Month-Year]]="","",TEXT(Table46[[#This Row],[Month-Year]],"MMM-YY"))</f>
        <v/>
      </c>
      <c r="J54" s="31"/>
      <c r="K54" s="39">
        <f t="shared" si="2"/>
        <v>0</v>
      </c>
    </row>
    <row r="55" spans="3:11" ht="13.5">
      <c r="C55" s="29"/>
      <c r="D55" s="30"/>
      <c r="E55" s="31"/>
      <c r="F55" s="32"/>
      <c r="G55" s="31"/>
      <c r="H55" s="33"/>
      <c r="I55" s="41" t="str">
        <f>IF(Table46[[#This Row],[Month-Year]]="","",TEXT(Table46[[#This Row],[Month-Year]],"MMM-YY"))</f>
        <v/>
      </c>
      <c r="J55" s="31"/>
      <c r="K55" s="39">
        <f t="shared" si="2"/>
        <v>0</v>
      </c>
    </row>
    <row r="56" spans="3:11" ht="13.5">
      <c r="C56" s="29"/>
      <c r="D56" s="30"/>
      <c r="E56" s="31"/>
      <c r="F56" s="32"/>
      <c r="G56" s="31"/>
      <c r="H56" s="33"/>
      <c r="I56" s="41" t="str">
        <f>IF(Table46[[#This Row],[Month-Year]]="","",TEXT(Table46[[#This Row],[Month-Year]],"MMM-YY"))</f>
        <v/>
      </c>
      <c r="J56" s="31"/>
      <c r="K56" s="39">
        <f t="shared" si="2"/>
        <v>0</v>
      </c>
    </row>
    <row r="57" spans="3:11" ht="13.5">
      <c r="C57" s="29"/>
      <c r="D57" s="30"/>
      <c r="E57" s="31"/>
      <c r="F57" s="32"/>
      <c r="G57" s="31"/>
      <c r="H57" s="33"/>
      <c r="I57" s="41" t="str">
        <f>IF(Table46[[#This Row],[Month-Year]]="","",TEXT(Table46[[#This Row],[Month-Year]],"MMM-YY"))</f>
        <v/>
      </c>
      <c r="J57" s="31"/>
      <c r="K57" s="39">
        <f t="shared" si="2"/>
        <v>0</v>
      </c>
    </row>
    <row r="58" spans="3:11" ht="13.5">
      <c r="C58" s="29"/>
      <c r="D58" s="30"/>
      <c r="E58" s="31"/>
      <c r="F58" s="32"/>
      <c r="G58" s="31"/>
      <c r="H58" s="33"/>
      <c r="I58" s="41" t="str">
        <f>IF(Table46[[#This Row],[Month-Year]]="","",TEXT(Table46[[#This Row],[Month-Year]],"MMM-YY"))</f>
        <v/>
      </c>
      <c r="J58" s="31"/>
      <c r="K58" s="39">
        <f t="shared" si="2"/>
        <v>0</v>
      </c>
    </row>
    <row r="59" spans="3:11" ht="13.5">
      <c r="C59" s="29"/>
      <c r="D59" s="30"/>
      <c r="E59" s="31"/>
      <c r="F59" s="32"/>
      <c r="G59" s="31"/>
      <c r="H59" s="33"/>
      <c r="I59" s="41" t="str">
        <f>IF(Table46[[#This Row],[Month-Year]]="","",TEXT(Table46[[#This Row],[Month-Year]],"MMM-YY"))</f>
        <v/>
      </c>
      <c r="J59" s="31"/>
      <c r="K59" s="39">
        <f t="shared" si="2"/>
        <v>0</v>
      </c>
    </row>
    <row r="60" spans="3:11" ht="13.5">
      <c r="C60" s="29"/>
      <c r="D60" s="30"/>
      <c r="E60" s="31"/>
      <c r="F60" s="32"/>
      <c r="G60" s="31"/>
      <c r="H60" s="33"/>
      <c r="I60" s="41" t="str">
        <f>IF(Table46[[#This Row],[Month-Year]]="","",TEXT(Table46[[#This Row],[Month-Year]],"MMM-YY"))</f>
        <v/>
      </c>
      <c r="J60" s="31"/>
      <c r="K60" s="39">
        <f t="shared" si="2"/>
        <v>0</v>
      </c>
    </row>
    <row r="61" spans="3:11" ht="13.5">
      <c r="C61" s="29"/>
      <c r="D61" s="30"/>
      <c r="E61" s="31"/>
      <c r="F61" s="32"/>
      <c r="G61" s="31"/>
      <c r="H61" s="33"/>
      <c r="I61" s="41" t="str">
        <f>IF(Table46[[#This Row],[Month-Year]]="","",TEXT(Table46[[#This Row],[Month-Year]],"MMM-YY"))</f>
        <v/>
      </c>
      <c r="J61" s="31"/>
      <c r="K61" s="39">
        <f t="shared" si="2"/>
        <v>0</v>
      </c>
    </row>
    <row r="62" spans="3:11" ht="13.5">
      <c r="C62" s="29"/>
      <c r="D62" s="30"/>
      <c r="E62" s="31"/>
      <c r="F62" s="32"/>
      <c r="G62" s="31"/>
      <c r="H62" s="33"/>
      <c r="I62" s="41" t="str">
        <f>IF(Table46[[#This Row],[Month-Year]]="","",TEXT(Table46[[#This Row],[Month-Year]],"MMM-YY"))</f>
        <v/>
      </c>
      <c r="J62" s="31"/>
      <c r="K62" s="39">
        <f t="shared" si="2"/>
        <v>0</v>
      </c>
    </row>
    <row r="63" spans="3:11" ht="13.5">
      <c r="C63" s="34"/>
      <c r="D63" s="30"/>
      <c r="E63" s="35"/>
      <c r="F63" s="31"/>
      <c r="G63" s="31"/>
      <c r="H63" s="33"/>
      <c r="I63" s="41" t="str">
        <f>IF(Table46[[#This Row],[Month-Year]]="","",TEXT(Table46[[#This Row],[Month-Year]],"MMM-YY"))</f>
        <v/>
      </c>
      <c r="J63" s="31"/>
      <c r="K63" s="39">
        <f t="shared" si="2"/>
        <v>0</v>
      </c>
    </row>
    <row r="64" spans="3:11" ht="13.5">
      <c r="C64" s="34"/>
      <c r="D64" s="36"/>
      <c r="E64" s="35"/>
      <c r="F64" s="31"/>
      <c r="G64" s="31"/>
      <c r="H64" s="33"/>
      <c r="I64" s="41" t="str">
        <f>IF(Table46[[#This Row],[Month-Year]]="","",TEXT(Table46[[#This Row],[Month-Year]],"MMM-YY"))</f>
        <v/>
      </c>
      <c r="J64" s="31"/>
      <c r="K64" s="39">
        <f t="shared" si="2"/>
        <v>0</v>
      </c>
    </row>
    <row r="65" spans="3:11" ht="13.5">
      <c r="C65" s="34"/>
      <c r="D65" s="36"/>
      <c r="E65" s="35"/>
      <c r="F65" s="31"/>
      <c r="G65" s="31"/>
      <c r="H65" s="33"/>
      <c r="I65" s="41" t="str">
        <f>IF(Table46[[#This Row],[Month-Year]]="","",TEXT(Table46[[#This Row],[Month-Year]],"MMM-YY"))</f>
        <v/>
      </c>
      <c r="J65" s="31"/>
      <c r="K65" s="39">
        <f t="shared" si="2"/>
        <v>0</v>
      </c>
    </row>
    <row r="66" spans="3:11" ht="13.5">
      <c r="C66" s="34"/>
      <c r="D66" s="36"/>
      <c r="E66" s="35"/>
      <c r="F66" s="31"/>
      <c r="G66" s="31"/>
      <c r="H66" s="33"/>
      <c r="I66" s="41" t="str">
        <f>IF(Table46[[#This Row],[Month-Year]]="","",TEXT(Table46[[#This Row],[Month-Year]],"MMM-YY"))</f>
        <v/>
      </c>
      <c r="J66" s="31"/>
      <c r="K66" s="39">
        <f t="shared" si="2"/>
        <v>0</v>
      </c>
    </row>
    <row r="67" spans="3:11" ht="13.5">
      <c r="C67" s="29"/>
      <c r="D67" s="36"/>
      <c r="E67" s="35"/>
      <c r="F67" s="31"/>
      <c r="G67" s="31"/>
      <c r="H67" s="33"/>
      <c r="I67" s="41" t="str">
        <f>IF(Table46[[#This Row],[Month-Year]]="","",TEXT(Table46[[#This Row],[Month-Year]],"MMM-YY"))</f>
        <v/>
      </c>
      <c r="J67" s="31"/>
      <c r="K67" s="39">
        <f t="shared" si="2"/>
        <v>0</v>
      </c>
    </row>
    <row r="68" spans="3:11" ht="13.5">
      <c r="C68" s="29"/>
      <c r="D68" s="36"/>
      <c r="E68" s="35"/>
      <c r="F68" s="31"/>
      <c r="G68" s="31"/>
      <c r="H68" s="33"/>
      <c r="I68" s="41" t="str">
        <f>IF(Table46[[#This Row],[Month-Year]]="","",TEXT(Table46[[#This Row],[Month-Year]],"MMM-YY"))</f>
        <v/>
      </c>
      <c r="J68" s="31"/>
      <c r="K68" s="39">
        <f t="shared" si="2"/>
        <v>0</v>
      </c>
    </row>
    <row r="69" spans="3:11" ht="13.5">
      <c r="C69" s="29"/>
      <c r="D69" s="36"/>
      <c r="E69" s="35"/>
      <c r="F69" s="31"/>
      <c r="G69" s="31"/>
      <c r="H69" s="33"/>
      <c r="I69" s="41" t="str">
        <f>IF(Table46[[#This Row],[Month-Year]]="","",TEXT(Table46[[#This Row],[Month-Year]],"MMM-YY"))</f>
        <v/>
      </c>
      <c r="J69" s="31"/>
      <c r="K69" s="39">
        <f t="shared" si="2"/>
        <v>0</v>
      </c>
    </row>
    <row r="70" spans="3:11" ht="13.5">
      <c r="C70" s="29"/>
      <c r="D70" s="36"/>
      <c r="E70" s="35"/>
      <c r="F70" s="31"/>
      <c r="G70" s="31"/>
      <c r="H70" s="33"/>
      <c r="I70" s="41" t="str">
        <f>IF(Table46[[#This Row],[Month-Year]]="","",TEXT(Table46[[#This Row],[Month-Year]],"MMM-YY"))</f>
        <v/>
      </c>
      <c r="J70" s="31"/>
      <c r="K70" s="39">
        <f t="shared" si="2"/>
        <v>0</v>
      </c>
    </row>
    <row r="71" spans="3:11" ht="13.5">
      <c r="C71" s="29"/>
      <c r="D71" s="36"/>
      <c r="E71" s="35"/>
      <c r="F71" s="31"/>
      <c r="G71" s="31"/>
      <c r="H71" s="33"/>
      <c r="I71" s="41" t="str">
        <f>IF(Table46[[#This Row],[Month-Year]]="","",TEXT(Table46[[#This Row],[Month-Year]],"MMM-YY"))</f>
        <v/>
      </c>
      <c r="J71" s="31"/>
      <c r="K71" s="39">
        <f t="shared" si="2"/>
        <v>0</v>
      </c>
    </row>
    <row r="72" spans="3:11" ht="13.5">
      <c r="C72" s="29"/>
      <c r="D72" s="36"/>
      <c r="E72" s="35"/>
      <c r="F72" s="31"/>
      <c r="G72" s="31"/>
      <c r="H72" s="33"/>
      <c r="I72" s="41" t="str">
        <f>IF(Table46[[#This Row],[Month-Year]]="","",TEXT(Table46[[#This Row],[Month-Year]],"MMM-YY"))</f>
        <v/>
      </c>
      <c r="J72" s="31"/>
      <c r="K72" s="39">
        <f t="shared" si="2"/>
        <v>0</v>
      </c>
    </row>
    <row r="73" spans="3:11" ht="13.5">
      <c r="C73" s="29"/>
      <c r="D73" s="30"/>
      <c r="E73" s="31"/>
      <c r="F73" s="31"/>
      <c r="G73" s="31"/>
      <c r="H73" s="33"/>
      <c r="I73" s="41" t="str">
        <f>IF(Table46[[#This Row],[Month-Year]]="","",TEXT(Table46[[#This Row],[Month-Year]],"MMM-YY"))</f>
        <v/>
      </c>
      <c r="J73" s="31"/>
      <c r="K73" s="39">
        <f t="shared" si="2"/>
        <v>0</v>
      </c>
    </row>
    <row r="74" spans="3:11" ht="15.2">
      <c r="C74" s="29"/>
      <c r="D74" s="30"/>
      <c r="E74" s="35"/>
      <c r="F74" s="31"/>
      <c r="G74" s="31"/>
      <c r="H74" s="33"/>
      <c r="I74" s="41" t="str">
        <f>IF(Table46[[#This Row],[Month-Year]]="","",TEXT(Table46[[#This Row],[Month-Year]],"MMM-YY"))</f>
        <v/>
      </c>
      <c r="J74" s="31"/>
      <c r="K74" s="39">
        <f t="shared" si="2"/>
        <v>0</v>
      </c>
    </row>
    <row r="75" spans="3:11" ht="15.2">
      <c r="C75" s="29"/>
      <c r="D75" s="36"/>
      <c r="E75" s="35"/>
      <c r="F75" s="31"/>
      <c r="G75" s="31"/>
      <c r="H75" s="33"/>
      <c r="I75" s="41" t="str">
        <f>IF(Table46[[#This Row],[Month-Year]]="","",TEXT(Table46[[#This Row],[Month-Year]],"MMM-YY"))</f>
        <v/>
      </c>
      <c r="J75" s="31"/>
      <c r="K75" s="39">
        <f t="shared" si="2"/>
        <v>0</v>
      </c>
    </row>
    <row r="76" spans="3:11" ht="15.2">
      <c r="C76" s="29"/>
      <c r="D76" s="42"/>
      <c r="E76" s="35"/>
      <c r="F76" s="31"/>
      <c r="G76" s="31"/>
      <c r="H76" s="33"/>
      <c r="I76" s="41" t="str">
        <f>IF(Table46[[#This Row],[Month-Year]]="","",TEXT(Table46[[#This Row],[Month-Year]],"MMM-YY"))</f>
        <v/>
      </c>
      <c r="J76" s="31"/>
      <c r="K76" s="39">
        <f t="shared" ref="K76:K107" si="3">(F76*G76)*E76/100</f>
        <v>0</v>
      </c>
    </row>
    <row r="77" spans="3:11" ht="15.2">
      <c r="C77" s="29"/>
      <c r="D77" s="30"/>
      <c r="E77" s="31"/>
      <c r="F77" s="31"/>
      <c r="G77" s="31"/>
      <c r="H77" s="33"/>
      <c r="I77" s="41" t="str">
        <f>IF(Table46[[#This Row],[Month-Year]]="","",TEXT(Table46[[#This Row],[Month-Year]],"MMM-YY"))</f>
        <v/>
      </c>
      <c r="J77" s="31"/>
      <c r="K77" s="39">
        <f t="shared" si="3"/>
        <v>0</v>
      </c>
    </row>
    <row r="78" spans="3:11" ht="15.2">
      <c r="C78" s="29"/>
      <c r="D78" s="30"/>
      <c r="E78" s="35"/>
      <c r="F78" s="31"/>
      <c r="G78" s="31"/>
      <c r="H78" s="33"/>
      <c r="I78" s="41" t="str">
        <f>IF(Table46[[#This Row],[Month-Year]]="","",TEXT(Table46[[#This Row],[Month-Year]],"MMM-YY"))</f>
        <v/>
      </c>
      <c r="J78" s="31"/>
      <c r="K78" s="39">
        <f t="shared" si="3"/>
        <v>0</v>
      </c>
    </row>
    <row r="79" spans="3:11" ht="15.2">
      <c r="C79" s="29"/>
      <c r="D79" s="36"/>
      <c r="E79" s="35"/>
      <c r="F79" s="31"/>
      <c r="G79" s="31"/>
      <c r="H79" s="33"/>
      <c r="I79" s="41" t="str">
        <f>IF(Table46[[#This Row],[Month-Year]]="","",TEXT(Table46[[#This Row],[Month-Year]],"MMM-YY"))</f>
        <v/>
      </c>
      <c r="J79" s="31"/>
      <c r="K79" s="39">
        <f t="shared" si="3"/>
        <v>0</v>
      </c>
    </row>
    <row r="80" spans="3:11" ht="15.2">
      <c r="C80" s="29"/>
      <c r="D80" s="42"/>
      <c r="E80" s="35"/>
      <c r="F80" s="31"/>
      <c r="G80" s="31"/>
      <c r="H80" s="33"/>
      <c r="I80" s="41" t="str">
        <f>IF(Table46[[#This Row],[Month-Year]]="","",TEXT(Table46[[#This Row],[Month-Year]],"MMM-YY"))</f>
        <v/>
      </c>
      <c r="J80" s="31"/>
      <c r="K80" s="39">
        <f t="shared" si="3"/>
        <v>0</v>
      </c>
    </row>
    <row r="81" spans="3:11" ht="15.2">
      <c r="C81" s="29"/>
      <c r="D81" s="30"/>
      <c r="E81" s="31"/>
      <c r="F81" s="31"/>
      <c r="G81" s="31"/>
      <c r="H81" s="33"/>
      <c r="I81" s="41" t="str">
        <f>IF(Table46[[#This Row],[Month-Year]]="","",TEXT(Table46[[#This Row],[Month-Year]],"MMM-YY"))</f>
        <v/>
      </c>
      <c r="J81" s="31"/>
      <c r="K81" s="39">
        <f t="shared" si="3"/>
        <v>0</v>
      </c>
    </row>
    <row r="82" spans="3:11" ht="15.2">
      <c r="C82" s="29"/>
      <c r="D82" s="30"/>
      <c r="E82" s="35"/>
      <c r="F82" s="31"/>
      <c r="G82" s="31"/>
      <c r="H82" s="33"/>
      <c r="I82" s="41" t="str">
        <f>IF(Table46[[#This Row],[Month-Year]]="","",TEXT(Table46[[#This Row],[Month-Year]],"MMM-YY"))</f>
        <v/>
      </c>
      <c r="J82" s="31"/>
      <c r="K82" s="39">
        <f t="shared" si="3"/>
        <v>0</v>
      </c>
    </row>
    <row r="83" spans="3:11" ht="15.2">
      <c r="C83" s="29"/>
      <c r="D83" s="36"/>
      <c r="E83" s="35"/>
      <c r="F83" s="31"/>
      <c r="G83" s="31"/>
      <c r="H83" s="33"/>
      <c r="I83" s="41" t="str">
        <f>IF(Table46[[#This Row],[Month-Year]]="","",TEXT(Table46[[#This Row],[Month-Year]],"MMM-YY"))</f>
        <v/>
      </c>
      <c r="J83" s="31"/>
      <c r="K83" s="39">
        <f t="shared" si="3"/>
        <v>0</v>
      </c>
    </row>
    <row r="84" spans="3:11" ht="15.2">
      <c r="C84" s="29"/>
      <c r="D84" s="42"/>
      <c r="E84" s="35"/>
      <c r="F84" s="31"/>
      <c r="G84" s="31"/>
      <c r="H84" s="33"/>
      <c r="I84" s="41" t="str">
        <f>IF(Table46[[#This Row],[Month-Year]]="","",TEXT(Table46[[#This Row],[Month-Year]],"MMM-YY"))</f>
        <v/>
      </c>
      <c r="J84" s="31"/>
      <c r="K84" s="39">
        <f t="shared" si="3"/>
        <v>0</v>
      </c>
    </row>
    <row r="85" spans="3:11" ht="15.2">
      <c r="C85" s="29"/>
      <c r="D85" s="30"/>
      <c r="E85" s="31"/>
      <c r="F85" s="31"/>
      <c r="G85" s="31"/>
      <c r="H85" s="33"/>
      <c r="I85" s="41" t="str">
        <f>IF(Table46[[#This Row],[Month-Year]]="","",TEXT(Table46[[#This Row],[Month-Year]],"MMM-YY"))</f>
        <v/>
      </c>
      <c r="J85" s="31"/>
      <c r="K85" s="39">
        <f t="shared" si="3"/>
        <v>0</v>
      </c>
    </row>
    <row r="86" spans="3:11" ht="15.2">
      <c r="C86" s="29"/>
      <c r="D86" s="30"/>
      <c r="E86" s="35"/>
      <c r="F86" s="31"/>
      <c r="G86" s="31"/>
      <c r="H86" s="33"/>
      <c r="I86" s="41" t="str">
        <f>IF(Table46[[#This Row],[Month-Year]]="","",TEXT(Table46[[#This Row],[Month-Year]],"MMM-YY"))</f>
        <v/>
      </c>
      <c r="J86" s="31"/>
      <c r="K86" s="39">
        <f t="shared" si="3"/>
        <v>0</v>
      </c>
    </row>
    <row r="87" spans="3:11" ht="15.2">
      <c r="C87" s="29"/>
      <c r="D87" s="36"/>
      <c r="E87" s="35"/>
      <c r="F87" s="31"/>
      <c r="G87" s="31"/>
      <c r="H87" s="33"/>
      <c r="I87" s="41" t="str">
        <f>IF(Table46[[#This Row],[Month-Year]]="","",TEXT(Table46[[#This Row],[Month-Year]],"MMM-YY"))</f>
        <v/>
      </c>
      <c r="J87" s="31"/>
      <c r="K87" s="39">
        <f t="shared" si="3"/>
        <v>0</v>
      </c>
    </row>
    <row r="88" spans="3:11" ht="15.2">
      <c r="C88" s="29"/>
      <c r="D88" s="42"/>
      <c r="E88" s="35"/>
      <c r="F88" s="31"/>
      <c r="G88" s="31"/>
      <c r="H88" s="33"/>
      <c r="I88" s="41" t="str">
        <f>IF(Table46[[#This Row],[Month-Year]]="","",TEXT(Table46[[#This Row],[Month-Year]],"MMM-YY"))</f>
        <v/>
      </c>
      <c r="J88" s="31"/>
      <c r="K88" s="39">
        <f t="shared" si="3"/>
        <v>0</v>
      </c>
    </row>
    <row r="89" spans="3:11" ht="15.2">
      <c r="C89" s="29"/>
      <c r="D89" s="30"/>
      <c r="E89" s="31"/>
      <c r="F89" s="31"/>
      <c r="G89" s="31"/>
      <c r="H89" s="33"/>
      <c r="I89" s="41" t="str">
        <f>IF(Table46[[#This Row],[Month-Year]]="","",TEXT(Table46[[#This Row],[Month-Year]],"MMM-YY"))</f>
        <v/>
      </c>
      <c r="J89" s="31"/>
      <c r="K89" s="39">
        <f t="shared" si="3"/>
        <v>0</v>
      </c>
    </row>
    <row r="90" spans="3:11" ht="15.2">
      <c r="C90" s="29"/>
      <c r="D90" s="30"/>
      <c r="E90" s="35"/>
      <c r="F90" s="31"/>
      <c r="G90" s="31"/>
      <c r="H90" s="33"/>
      <c r="I90" s="41" t="str">
        <f>IF(Table46[[#This Row],[Month-Year]]="","",TEXT(Table46[[#This Row],[Month-Year]],"MMM-YY"))</f>
        <v/>
      </c>
      <c r="J90" s="31"/>
      <c r="K90" s="39">
        <f t="shared" si="3"/>
        <v>0</v>
      </c>
    </row>
    <row r="91" spans="3:11" ht="15.2">
      <c r="C91" s="29"/>
      <c r="D91" s="36"/>
      <c r="E91" s="35"/>
      <c r="F91" s="31"/>
      <c r="G91" s="31"/>
      <c r="H91" s="33"/>
      <c r="I91" s="41" t="str">
        <f>IF(Table46[[#This Row],[Month-Year]]="","",TEXT(Table46[[#This Row],[Month-Year]],"MMM-YY"))</f>
        <v/>
      </c>
      <c r="J91" s="31"/>
      <c r="K91" s="39">
        <f t="shared" si="3"/>
        <v>0</v>
      </c>
    </row>
    <row r="92" spans="3:11" ht="15.2">
      <c r="C92" s="29"/>
      <c r="D92" s="42"/>
      <c r="E92" s="35"/>
      <c r="F92" s="31"/>
      <c r="G92" s="31"/>
      <c r="H92" s="33"/>
      <c r="I92" s="41" t="str">
        <f>IF(Table46[[#This Row],[Month-Year]]="","",TEXT(Table46[[#This Row],[Month-Year]],"MMM-YY"))</f>
        <v/>
      </c>
      <c r="J92" s="31"/>
      <c r="K92" s="39">
        <f t="shared" si="3"/>
        <v>0</v>
      </c>
    </row>
    <row r="93" spans="3:11" ht="15.2">
      <c r="C93" s="29"/>
      <c r="D93" s="30"/>
      <c r="E93" s="31"/>
      <c r="F93" s="31"/>
      <c r="G93" s="31"/>
      <c r="H93" s="33"/>
      <c r="I93" s="41" t="str">
        <f>IF(Table46[[#This Row],[Month-Year]]="","",TEXT(Table46[[#This Row],[Month-Year]],"MMM-YY"))</f>
        <v/>
      </c>
      <c r="J93" s="31"/>
      <c r="K93" s="39">
        <f t="shared" si="3"/>
        <v>0</v>
      </c>
    </row>
    <row r="94" spans="3:11" ht="15.2">
      <c r="C94" s="29"/>
      <c r="D94" s="30"/>
      <c r="E94" s="35"/>
      <c r="F94" s="31"/>
      <c r="G94" s="31"/>
      <c r="H94" s="33"/>
      <c r="I94" s="41" t="str">
        <f>IF(Table46[[#This Row],[Month-Year]]="","",TEXT(Table46[[#This Row],[Month-Year]],"MMM-YY"))</f>
        <v/>
      </c>
      <c r="J94" s="31"/>
      <c r="K94" s="39">
        <f t="shared" si="3"/>
        <v>0</v>
      </c>
    </row>
    <row r="95" spans="3:11" ht="15.2">
      <c r="C95" s="29"/>
      <c r="D95" s="36"/>
      <c r="E95" s="35"/>
      <c r="F95" s="31"/>
      <c r="G95" s="31"/>
      <c r="H95" s="33"/>
      <c r="I95" s="41" t="str">
        <f>IF(Table46[[#This Row],[Month-Year]]="","",TEXT(Table46[[#This Row],[Month-Year]],"MMM-YY"))</f>
        <v/>
      </c>
      <c r="J95" s="31"/>
      <c r="K95" s="39">
        <f t="shared" si="3"/>
        <v>0</v>
      </c>
    </row>
    <row r="96" spans="3:11" ht="15.2">
      <c r="C96" s="29"/>
      <c r="D96" s="42"/>
      <c r="E96" s="35"/>
      <c r="F96" s="31"/>
      <c r="G96" s="31"/>
      <c r="H96" s="33"/>
      <c r="I96" s="41" t="str">
        <f>IF(Table46[[#This Row],[Month-Year]]="","",TEXT(Table46[[#This Row],[Month-Year]],"MMM-YY"))</f>
        <v/>
      </c>
      <c r="J96" s="31"/>
      <c r="K96" s="39">
        <f t="shared" si="3"/>
        <v>0</v>
      </c>
    </row>
    <row r="97" spans="3:11" ht="15.2">
      <c r="C97" s="29"/>
      <c r="D97" s="30"/>
      <c r="E97" s="31"/>
      <c r="F97" s="31"/>
      <c r="G97" s="31"/>
      <c r="H97" s="33"/>
      <c r="I97" s="41" t="str">
        <f>IF(Table46[[#This Row],[Month-Year]]="","",TEXT(Table46[[#This Row],[Month-Year]],"MMM-YY"))</f>
        <v/>
      </c>
      <c r="J97" s="31"/>
      <c r="K97" s="39">
        <f t="shared" si="3"/>
        <v>0</v>
      </c>
    </row>
    <row r="98" spans="3:11" ht="15.2">
      <c r="C98" s="29"/>
      <c r="D98" s="30"/>
      <c r="E98" s="35"/>
      <c r="F98" s="31"/>
      <c r="G98" s="31"/>
      <c r="H98" s="33"/>
      <c r="I98" s="41" t="str">
        <f>IF(Table46[[#This Row],[Month-Year]]="","",TEXT(Table46[[#This Row],[Month-Year]],"MMM-YY"))</f>
        <v/>
      </c>
      <c r="J98" s="31"/>
      <c r="K98" s="39">
        <f t="shared" si="3"/>
        <v>0</v>
      </c>
    </row>
    <row r="99" spans="3:11" ht="15.2">
      <c r="C99" s="29"/>
      <c r="D99" s="36"/>
      <c r="E99" s="35"/>
      <c r="F99" s="31"/>
      <c r="G99" s="31"/>
      <c r="H99" s="33"/>
      <c r="I99" s="41" t="str">
        <f>IF(Table46[[#This Row],[Month-Year]]="","",TEXT(Table46[[#This Row],[Month-Year]],"MMM-YY"))</f>
        <v/>
      </c>
      <c r="J99" s="31"/>
      <c r="K99" s="39">
        <f t="shared" si="3"/>
        <v>0</v>
      </c>
    </row>
    <row r="100" spans="3:11" ht="15.2">
      <c r="C100" s="29"/>
      <c r="D100" s="42"/>
      <c r="E100" s="35"/>
      <c r="F100" s="31"/>
      <c r="G100" s="31"/>
      <c r="H100" s="33"/>
      <c r="I100" s="41" t="str">
        <f>IF(Table46[[#This Row],[Month-Year]]="","",TEXT(Table46[[#This Row],[Month-Year]],"MMM-YY"))</f>
        <v/>
      </c>
      <c r="J100" s="31"/>
      <c r="K100" s="39">
        <f t="shared" si="3"/>
        <v>0</v>
      </c>
    </row>
    <row r="101" spans="3:11" ht="15.2">
      <c r="C101" s="29"/>
      <c r="D101" s="30"/>
      <c r="E101" s="31"/>
      <c r="F101" s="31"/>
      <c r="G101" s="31"/>
      <c r="H101" s="33"/>
      <c r="I101" s="41" t="str">
        <f>IF(Table46[[#This Row],[Month-Year]]="","",TEXT(Table46[[#This Row],[Month-Year]],"MMM-YY"))</f>
        <v/>
      </c>
      <c r="J101" s="31"/>
      <c r="K101" s="39">
        <f t="shared" si="3"/>
        <v>0</v>
      </c>
    </row>
    <row r="102" spans="3:11" ht="15.2">
      <c r="C102" s="29"/>
      <c r="D102" s="30"/>
      <c r="E102" s="35"/>
      <c r="F102" s="31"/>
      <c r="G102" s="31"/>
      <c r="H102" s="33"/>
      <c r="I102" s="41" t="str">
        <f>IF(Table46[[#This Row],[Month-Year]]="","",TEXT(Table46[[#This Row],[Month-Year]],"MMM-YY"))</f>
        <v/>
      </c>
      <c r="J102" s="31"/>
      <c r="K102" s="39">
        <f t="shared" si="3"/>
        <v>0</v>
      </c>
    </row>
    <row r="103" spans="3:11" ht="15.2">
      <c r="C103" s="29"/>
      <c r="D103" s="36"/>
      <c r="E103" s="35"/>
      <c r="F103" s="31"/>
      <c r="G103" s="31"/>
      <c r="H103" s="33"/>
      <c r="I103" s="41" t="str">
        <f>IF(Table46[[#This Row],[Month-Year]]="","",TEXT(Table46[[#This Row],[Month-Year]],"MMM-YY"))</f>
        <v/>
      </c>
      <c r="J103" s="31"/>
      <c r="K103" s="39">
        <f t="shared" si="3"/>
        <v>0</v>
      </c>
    </row>
    <row r="104" spans="3:11" ht="15.2">
      <c r="C104" s="29"/>
      <c r="D104" s="42"/>
      <c r="E104" s="35"/>
      <c r="F104" s="31"/>
      <c r="G104" s="31"/>
      <c r="H104" s="33"/>
      <c r="I104" s="41" t="str">
        <f>IF(Table46[[#This Row],[Month-Year]]="","",TEXT(Table46[[#This Row],[Month-Year]],"MMM-YY"))</f>
        <v/>
      </c>
      <c r="J104" s="31"/>
      <c r="K104" s="39">
        <f t="shared" si="3"/>
        <v>0</v>
      </c>
    </row>
    <row r="105" spans="3:11" ht="15.2">
      <c r="C105" s="29"/>
      <c r="D105" s="30"/>
      <c r="E105" s="31"/>
      <c r="F105" s="31"/>
      <c r="G105" s="31"/>
      <c r="H105" s="33"/>
      <c r="I105" s="41" t="str">
        <f>IF(Table46[[#This Row],[Month-Year]]="","",TEXT(Table46[[#This Row],[Month-Year]],"MMM-YY"))</f>
        <v/>
      </c>
      <c r="J105" s="31"/>
      <c r="K105" s="39">
        <f t="shared" si="3"/>
        <v>0</v>
      </c>
    </row>
    <row r="106" spans="3:11" ht="15.2">
      <c r="C106" s="29"/>
      <c r="D106" s="30"/>
      <c r="E106" s="35"/>
      <c r="F106" s="31"/>
      <c r="G106" s="31"/>
      <c r="H106" s="33"/>
      <c r="I106" s="41" t="str">
        <f>IF(Table46[[#This Row],[Month-Year]]="","",TEXT(Table46[[#This Row],[Month-Year]],"MMM-YY"))</f>
        <v/>
      </c>
      <c r="J106" s="31"/>
      <c r="K106" s="39">
        <f t="shared" si="3"/>
        <v>0</v>
      </c>
    </row>
    <row r="107" spans="3:11" ht="15.2">
      <c r="C107" s="29"/>
      <c r="D107" s="36"/>
      <c r="E107" s="35"/>
      <c r="F107" s="31"/>
      <c r="G107" s="31"/>
      <c r="H107" s="33"/>
      <c r="I107" s="41" t="str">
        <f>IF(Table46[[#This Row],[Month-Year]]="","",TEXT(Table46[[#This Row],[Month-Year]],"MMM-YY"))</f>
        <v/>
      </c>
      <c r="J107" s="31"/>
      <c r="K107" s="39">
        <f t="shared" si="3"/>
        <v>0</v>
      </c>
    </row>
    <row r="108" spans="3:11" ht="15.2">
      <c r="C108" s="29"/>
      <c r="D108" s="42"/>
      <c r="E108" s="35"/>
      <c r="F108" s="31"/>
      <c r="G108" s="31"/>
      <c r="H108" s="33"/>
      <c r="I108" s="41" t="str">
        <f>IF(Table46[[#This Row],[Month-Year]]="","",TEXT(Table46[[#This Row],[Month-Year]],"MMM-YY"))</f>
        <v/>
      </c>
      <c r="J108" s="31"/>
      <c r="K108" s="39">
        <f t="shared" ref="K108:K139" si="4">(F108*G108)*E108/100</f>
        <v>0</v>
      </c>
    </row>
    <row r="109" spans="3:11" ht="15.2">
      <c r="C109" s="29"/>
      <c r="D109" s="30"/>
      <c r="E109" s="31"/>
      <c r="F109" s="31"/>
      <c r="G109" s="31"/>
      <c r="H109" s="33"/>
      <c r="I109" s="41" t="str">
        <f>IF(Table46[[#This Row],[Month-Year]]="","",TEXT(Table46[[#This Row],[Month-Year]],"MMM-YY"))</f>
        <v/>
      </c>
      <c r="J109" s="31"/>
      <c r="K109" s="39">
        <f t="shared" si="4"/>
        <v>0</v>
      </c>
    </row>
    <row r="110" spans="3:11" ht="15.2">
      <c r="C110" s="29"/>
      <c r="D110" s="30"/>
      <c r="E110" s="35"/>
      <c r="F110" s="31"/>
      <c r="G110" s="31"/>
      <c r="H110" s="33"/>
      <c r="I110" s="41" t="str">
        <f>IF(Table46[[#This Row],[Month-Year]]="","",TEXT(Table46[[#This Row],[Month-Year]],"MMM-YY"))</f>
        <v/>
      </c>
      <c r="J110" s="31"/>
      <c r="K110" s="39">
        <f t="shared" si="4"/>
        <v>0</v>
      </c>
    </row>
    <row r="111" spans="3:11" ht="15.2">
      <c r="C111" s="29"/>
      <c r="D111" s="36"/>
      <c r="E111" s="35"/>
      <c r="F111" s="31"/>
      <c r="G111" s="31"/>
      <c r="H111" s="33"/>
      <c r="I111" s="41" t="str">
        <f>IF(Table46[[#This Row],[Month-Year]]="","",TEXT(Table46[[#This Row],[Month-Year]],"MMM-YY"))</f>
        <v/>
      </c>
      <c r="J111" s="31"/>
      <c r="K111" s="39">
        <f t="shared" si="4"/>
        <v>0</v>
      </c>
    </row>
    <row r="112" spans="3:11" ht="15.2">
      <c r="C112" s="29"/>
      <c r="D112" s="42"/>
      <c r="E112" s="35"/>
      <c r="F112" s="31"/>
      <c r="G112" s="31"/>
      <c r="H112" s="33"/>
      <c r="I112" s="41" t="str">
        <f>IF(Table46[[#This Row],[Month-Year]]="","",TEXT(Table46[[#This Row],[Month-Year]],"MMM-YY"))</f>
        <v/>
      </c>
      <c r="J112" s="31"/>
      <c r="K112" s="39">
        <f t="shared" si="4"/>
        <v>0</v>
      </c>
    </row>
    <row r="113" spans="3:11" ht="15.2">
      <c r="C113" s="29"/>
      <c r="D113" s="30"/>
      <c r="E113" s="31"/>
      <c r="F113" s="31"/>
      <c r="G113" s="31"/>
      <c r="H113" s="33"/>
      <c r="I113" s="41" t="str">
        <f>IF(Table46[[#This Row],[Month-Year]]="","",TEXT(Table46[[#This Row],[Month-Year]],"MMM-YY"))</f>
        <v/>
      </c>
      <c r="J113" s="31"/>
      <c r="K113" s="39">
        <f t="shared" si="4"/>
        <v>0</v>
      </c>
    </row>
    <row r="114" spans="3:11" ht="15.2">
      <c r="C114" s="29"/>
      <c r="D114" s="30"/>
      <c r="E114" s="31"/>
      <c r="F114" s="31"/>
      <c r="G114" s="31"/>
      <c r="H114" s="33"/>
      <c r="I114" s="41" t="str">
        <f>IF(Table46[[#This Row],[Month-Year]]="","",TEXT(Table46[[#This Row],[Month-Year]],"MMM-YY"))</f>
        <v/>
      </c>
      <c r="J114" s="31"/>
      <c r="K114" s="39">
        <f t="shared" si="4"/>
        <v>0</v>
      </c>
    </row>
    <row r="115" spans="3:11" ht="15.2">
      <c r="C115" s="29"/>
      <c r="D115" s="30"/>
      <c r="E115" s="35"/>
      <c r="F115" s="31"/>
      <c r="G115" s="31"/>
      <c r="H115" s="33"/>
      <c r="I115" s="41" t="str">
        <f>IF(Table46[[#This Row],[Month-Year]]="","",TEXT(Table46[[#This Row],[Month-Year]],"MMM-YY"))</f>
        <v/>
      </c>
      <c r="J115" s="31"/>
      <c r="K115" s="39">
        <f t="shared" si="4"/>
        <v>0</v>
      </c>
    </row>
    <row r="116" spans="3:11" ht="15.2">
      <c r="C116" s="29"/>
      <c r="D116" s="36"/>
      <c r="E116" s="35"/>
      <c r="F116" s="31"/>
      <c r="G116" s="31"/>
      <c r="H116" s="33"/>
      <c r="I116" s="41" t="str">
        <f>IF(Table46[[#This Row],[Month-Year]]="","",TEXT(Table46[[#This Row],[Month-Year]],"MMM-YY"))</f>
        <v/>
      </c>
      <c r="J116" s="31"/>
      <c r="K116" s="39">
        <f t="shared" si="4"/>
        <v>0</v>
      </c>
    </row>
    <row r="117" spans="3:11" ht="15.2">
      <c r="C117" s="29"/>
      <c r="D117" s="42"/>
      <c r="E117" s="35"/>
      <c r="F117" s="31"/>
      <c r="G117" s="31"/>
      <c r="H117" s="33"/>
      <c r="I117" s="41" t="str">
        <f>IF(Table46[[#This Row],[Month-Year]]="","",TEXT(Table46[[#This Row],[Month-Year]],"MMM-YY"))</f>
        <v/>
      </c>
      <c r="J117" s="31"/>
      <c r="K117" s="39">
        <f t="shared" si="4"/>
        <v>0</v>
      </c>
    </row>
    <row r="118" spans="3:11" ht="15.2">
      <c r="C118" s="29"/>
      <c r="D118" s="30"/>
      <c r="E118" s="31"/>
      <c r="F118" s="31"/>
      <c r="G118" s="31"/>
      <c r="H118" s="33"/>
      <c r="I118" s="41" t="str">
        <f>IF(Table46[[#This Row],[Month-Year]]="","",TEXT(Table46[[#This Row],[Month-Year]],"MMM-YY"))</f>
        <v/>
      </c>
      <c r="J118" s="31"/>
      <c r="K118" s="39">
        <f t="shared" si="4"/>
        <v>0</v>
      </c>
    </row>
    <row r="119" spans="3:11" ht="15.2">
      <c r="C119" s="29"/>
      <c r="D119" s="30"/>
      <c r="E119" s="35"/>
      <c r="F119" s="31"/>
      <c r="G119" s="31"/>
      <c r="H119" s="33"/>
      <c r="I119" s="41" t="str">
        <f>IF(Table46[[#This Row],[Month-Year]]="","",TEXT(Table46[[#This Row],[Month-Year]],"MMM-YY"))</f>
        <v/>
      </c>
      <c r="J119" s="31"/>
      <c r="K119" s="39">
        <f t="shared" si="4"/>
        <v>0</v>
      </c>
    </row>
    <row r="120" spans="3:11" ht="15.2">
      <c r="C120" s="29"/>
      <c r="D120" s="36"/>
      <c r="E120" s="35"/>
      <c r="F120" s="31"/>
      <c r="G120" s="31"/>
      <c r="H120" s="33"/>
      <c r="I120" s="41" t="str">
        <f>IF(Table46[[#This Row],[Month-Year]]="","",TEXT(Table46[[#This Row],[Month-Year]],"MMM-YY"))</f>
        <v/>
      </c>
      <c r="J120" s="31"/>
      <c r="K120" s="39">
        <f t="shared" si="4"/>
        <v>0</v>
      </c>
    </row>
    <row r="121" spans="3:11" ht="15.2">
      <c r="C121" s="29"/>
      <c r="D121" s="42"/>
      <c r="E121" s="35"/>
      <c r="F121" s="31"/>
      <c r="G121" s="31"/>
      <c r="H121" s="33"/>
      <c r="I121" s="41" t="str">
        <f>IF(Table46[[#This Row],[Month-Year]]="","",TEXT(Table46[[#This Row],[Month-Year]],"MMM-YY"))</f>
        <v/>
      </c>
      <c r="J121" s="31"/>
      <c r="K121" s="39">
        <f t="shared" si="4"/>
        <v>0</v>
      </c>
    </row>
    <row r="122" spans="3:11" ht="15.2">
      <c r="C122" s="29"/>
      <c r="D122" s="30"/>
      <c r="E122" s="31"/>
      <c r="F122" s="31"/>
      <c r="G122" s="31"/>
      <c r="H122" s="33"/>
      <c r="I122" s="41" t="str">
        <f>IF(Table46[[#This Row],[Month-Year]]="","",TEXT(Table46[[#This Row],[Month-Year]],"MMM-YY"))</f>
        <v/>
      </c>
      <c r="J122" s="31"/>
      <c r="K122" s="39">
        <f t="shared" si="4"/>
        <v>0</v>
      </c>
    </row>
    <row r="123" spans="3:11" ht="15.2">
      <c r="C123" s="29"/>
      <c r="D123" s="30"/>
      <c r="E123" s="31"/>
      <c r="F123" s="31"/>
      <c r="G123" s="31"/>
      <c r="H123" s="33"/>
      <c r="I123" s="41" t="str">
        <f>IF(Table46[[#This Row],[Month-Year]]="","",TEXT(Table46[[#This Row],[Month-Year]],"MMM-YY"))</f>
        <v/>
      </c>
      <c r="J123" s="31"/>
      <c r="K123" s="39">
        <f t="shared" si="4"/>
        <v>0</v>
      </c>
    </row>
    <row r="124" spans="3:11" ht="15.2">
      <c r="C124" s="29"/>
      <c r="D124" s="30"/>
      <c r="E124" s="35"/>
      <c r="F124" s="31"/>
      <c r="G124" s="31"/>
      <c r="H124" s="33"/>
      <c r="I124" s="41" t="str">
        <f>IF(Table46[[#This Row],[Month-Year]]="","",TEXT(Table46[[#This Row],[Month-Year]],"MMM-YY"))</f>
        <v/>
      </c>
      <c r="J124" s="31"/>
      <c r="K124" s="39">
        <f t="shared" si="4"/>
        <v>0</v>
      </c>
    </row>
    <row r="125" spans="3:11" ht="15.2">
      <c r="C125" s="29"/>
      <c r="D125" s="36"/>
      <c r="E125" s="35"/>
      <c r="F125" s="31"/>
      <c r="G125" s="31"/>
      <c r="H125" s="33"/>
      <c r="I125" s="41" t="str">
        <f>IF(Table46[[#This Row],[Month-Year]]="","",TEXT(Table46[[#This Row],[Month-Year]],"MMM-YY"))</f>
        <v/>
      </c>
      <c r="J125" s="31"/>
      <c r="K125" s="39">
        <f t="shared" si="4"/>
        <v>0</v>
      </c>
    </row>
    <row r="126" spans="3:11" ht="15.2">
      <c r="C126" s="29"/>
      <c r="D126" s="42"/>
      <c r="E126" s="35"/>
      <c r="F126" s="31"/>
      <c r="G126" s="31"/>
      <c r="H126" s="33"/>
      <c r="I126" s="41" t="str">
        <f>IF(Table46[[#This Row],[Month-Year]]="","",TEXT(Table46[[#This Row],[Month-Year]],"MMM-YY"))</f>
        <v/>
      </c>
      <c r="J126" s="31"/>
      <c r="K126" s="39">
        <f t="shared" si="4"/>
        <v>0</v>
      </c>
    </row>
    <row r="127" spans="3:11" ht="15.2">
      <c r="C127" s="29"/>
      <c r="D127" s="30"/>
      <c r="E127" s="31"/>
      <c r="F127" s="31"/>
      <c r="G127" s="31"/>
      <c r="H127" s="33"/>
      <c r="I127" s="41" t="str">
        <f>IF(Table46[[#This Row],[Month-Year]]="","",TEXT(Table46[[#This Row],[Month-Year]],"MMM-YY"))</f>
        <v/>
      </c>
      <c r="J127" s="31"/>
      <c r="K127" s="39">
        <f t="shared" si="4"/>
        <v>0</v>
      </c>
    </row>
    <row r="128" spans="3:11" ht="15.2">
      <c r="C128" s="29"/>
      <c r="D128" s="30"/>
      <c r="E128" s="31"/>
      <c r="F128" s="31"/>
      <c r="G128" s="31"/>
      <c r="H128" s="33"/>
      <c r="I128" s="41" t="str">
        <f>IF(Table46[[#This Row],[Month-Year]]="","",TEXT(Table46[[#This Row],[Month-Year]],"MMM-YY"))</f>
        <v/>
      </c>
      <c r="J128" s="31"/>
      <c r="K128" s="39">
        <f t="shared" si="4"/>
        <v>0</v>
      </c>
    </row>
    <row r="129" spans="3:11" ht="15.2">
      <c r="C129" s="29"/>
      <c r="D129" s="30"/>
      <c r="E129" s="35"/>
      <c r="F129" s="31"/>
      <c r="G129" s="31"/>
      <c r="H129" s="33"/>
      <c r="I129" s="41" t="str">
        <f>IF(Table46[[#This Row],[Month-Year]]="","",TEXT(Table46[[#This Row],[Month-Year]],"MMM-YY"))</f>
        <v/>
      </c>
      <c r="J129" s="31"/>
      <c r="K129" s="39">
        <f t="shared" si="4"/>
        <v>0</v>
      </c>
    </row>
    <row r="130" spans="3:11" ht="15.2">
      <c r="C130" s="29"/>
      <c r="D130" s="36"/>
      <c r="E130" s="35"/>
      <c r="F130" s="31"/>
      <c r="G130" s="31"/>
      <c r="H130" s="33"/>
      <c r="I130" s="41" t="str">
        <f>IF(Table46[[#This Row],[Month-Year]]="","",TEXT(Table46[[#This Row],[Month-Year]],"MMM-YY"))</f>
        <v/>
      </c>
      <c r="J130" s="31"/>
      <c r="K130" s="39">
        <f t="shared" si="4"/>
        <v>0</v>
      </c>
    </row>
    <row r="131" spans="3:11" ht="15.2">
      <c r="C131" s="29"/>
      <c r="D131" s="30"/>
      <c r="E131" s="31"/>
      <c r="F131" s="31"/>
      <c r="G131" s="31"/>
      <c r="H131" s="33"/>
      <c r="I131" s="41" t="str">
        <f>IF(Table46[[#This Row],[Month-Year]]="","",TEXT(Table46[[#This Row],[Month-Year]],"MMM-YY"))</f>
        <v/>
      </c>
      <c r="J131" s="31"/>
      <c r="K131" s="39">
        <f t="shared" si="4"/>
        <v>0</v>
      </c>
    </row>
    <row r="132" spans="3:11" ht="15.2">
      <c r="C132" s="29"/>
      <c r="D132" s="30"/>
      <c r="E132" s="31"/>
      <c r="F132" s="31"/>
      <c r="G132" s="31"/>
      <c r="H132" s="33"/>
      <c r="I132" s="41" t="str">
        <f>IF(Table46[[#This Row],[Month-Year]]="","",TEXT(Table46[[#This Row],[Month-Year]],"MMM-YY"))</f>
        <v/>
      </c>
      <c r="J132" s="31"/>
      <c r="K132" s="39">
        <f t="shared" si="4"/>
        <v>0</v>
      </c>
    </row>
    <row r="133" spans="3:11" ht="15.2">
      <c r="C133" s="29"/>
      <c r="D133" s="30"/>
      <c r="E133" s="31"/>
      <c r="F133" s="31"/>
      <c r="G133" s="31"/>
      <c r="H133" s="33"/>
      <c r="I133" s="41" t="str">
        <f>IF(Table46[[#This Row],[Month-Year]]="","",TEXT(Table46[[#This Row],[Month-Year]],"MMM-YY"))</f>
        <v/>
      </c>
      <c r="J133" s="31"/>
      <c r="K133" s="39">
        <f t="shared" si="4"/>
        <v>0</v>
      </c>
    </row>
    <row r="134" spans="3:11" ht="15.2">
      <c r="C134" s="29"/>
      <c r="D134" s="36"/>
      <c r="E134" s="31"/>
      <c r="F134" s="31"/>
      <c r="G134" s="31"/>
      <c r="H134" s="33"/>
      <c r="I134" s="41" t="str">
        <f>IF(Table46[[#This Row],[Month-Year]]="","",TEXT(Table46[[#This Row],[Month-Year]],"MMM-YY"))</f>
        <v/>
      </c>
      <c r="J134" s="31"/>
      <c r="K134" s="39">
        <f t="shared" si="4"/>
        <v>0</v>
      </c>
    </row>
    <row r="135" spans="3:11" ht="15.2">
      <c r="C135" s="29"/>
      <c r="D135" s="30"/>
      <c r="E135" s="31"/>
      <c r="F135" s="31"/>
      <c r="G135" s="31"/>
      <c r="H135" s="33"/>
      <c r="I135" s="41" t="str">
        <f>IF(Table46[[#This Row],[Month-Year]]="","",TEXT(Table46[[#This Row],[Month-Year]],"MMM-YY"))</f>
        <v/>
      </c>
      <c r="J135" s="31"/>
      <c r="K135" s="39">
        <f t="shared" si="4"/>
        <v>0</v>
      </c>
    </row>
    <row r="136" spans="3:11" ht="15.2">
      <c r="C136" s="29"/>
      <c r="D136" s="30"/>
      <c r="E136" s="31"/>
      <c r="F136" s="31"/>
      <c r="G136" s="31"/>
      <c r="H136" s="33"/>
      <c r="I136" s="41" t="str">
        <f>IF(Table46[[#This Row],[Month-Year]]="","",TEXT(Table46[[#This Row],[Month-Year]],"MMM-YY"))</f>
        <v/>
      </c>
      <c r="J136" s="31"/>
      <c r="K136" s="39">
        <f t="shared" si="4"/>
        <v>0</v>
      </c>
    </row>
    <row r="137" spans="3:11" ht="15.2">
      <c r="C137" s="29"/>
      <c r="D137" s="30"/>
      <c r="E137" s="31"/>
      <c r="F137" s="31"/>
      <c r="G137" s="31"/>
      <c r="H137" s="33"/>
      <c r="I137" s="41" t="str">
        <f>IF(Table46[[#This Row],[Month-Year]]="","",TEXT(Table46[[#This Row],[Month-Year]],"MMM-YY"))</f>
        <v/>
      </c>
      <c r="J137" s="31"/>
      <c r="K137" s="39">
        <f t="shared" si="4"/>
        <v>0</v>
      </c>
    </row>
    <row r="138" spans="3:11" ht="15.2">
      <c r="C138" s="29"/>
      <c r="D138" s="36"/>
      <c r="E138" s="31"/>
      <c r="F138" s="31"/>
      <c r="G138" s="31"/>
      <c r="H138" s="33"/>
      <c r="I138" s="41" t="str">
        <f>IF(Table46[[#This Row],[Month-Year]]="","",TEXT(Table46[[#This Row],[Month-Year]],"MMM-YY"))</f>
        <v/>
      </c>
      <c r="J138" s="31"/>
      <c r="K138" s="39">
        <f t="shared" si="4"/>
        <v>0</v>
      </c>
    </row>
    <row r="139" spans="3:11" ht="15.2">
      <c r="C139" s="29"/>
      <c r="D139" s="30"/>
      <c r="E139" s="31"/>
      <c r="F139" s="31"/>
      <c r="G139" s="31"/>
      <c r="H139" s="33"/>
      <c r="I139" s="41" t="str">
        <f>IF(Table46[[#This Row],[Month-Year]]="","",TEXT(Table46[[#This Row],[Month-Year]],"MMM-YY"))</f>
        <v/>
      </c>
      <c r="J139" s="31"/>
      <c r="K139" s="39">
        <f t="shared" si="4"/>
        <v>0</v>
      </c>
    </row>
    <row r="140" spans="3:11" ht="15.2">
      <c r="C140" s="29"/>
      <c r="D140" s="30"/>
      <c r="E140" s="31"/>
      <c r="F140" s="31"/>
      <c r="G140" s="31"/>
      <c r="H140" s="33"/>
      <c r="I140" s="41" t="str">
        <f>IF(Table46[[#This Row],[Month-Year]]="","",TEXT(Table46[[#This Row],[Month-Year]],"MMM-YY"))</f>
        <v/>
      </c>
      <c r="J140" s="31"/>
      <c r="K140" s="39">
        <f t="shared" ref="K140:K171" si="5">(F140*G140)*E140/100</f>
        <v>0</v>
      </c>
    </row>
    <row r="141" spans="3:11" ht="15.2">
      <c r="C141" s="29"/>
      <c r="D141" s="30"/>
      <c r="E141" s="31"/>
      <c r="F141" s="31"/>
      <c r="G141" s="31"/>
      <c r="H141" s="33"/>
      <c r="I141" s="41" t="str">
        <f>IF(Table46[[#This Row],[Month-Year]]="","",TEXT(Table46[[#This Row],[Month-Year]],"MMM-YY"))</f>
        <v/>
      </c>
      <c r="J141" s="31"/>
      <c r="K141" s="39">
        <f t="shared" si="5"/>
        <v>0</v>
      </c>
    </row>
    <row r="142" spans="3:11" ht="15.2">
      <c r="C142" s="29"/>
      <c r="D142" s="30"/>
      <c r="E142" s="31"/>
      <c r="F142" s="31"/>
      <c r="G142" s="31"/>
      <c r="H142" s="33"/>
      <c r="I142" s="41" t="str">
        <f>IF(Table46[[#This Row],[Month-Year]]="","",TEXT(Table46[[#This Row],[Month-Year]],"MMM-YY"))</f>
        <v/>
      </c>
      <c r="J142" s="31"/>
      <c r="K142" s="39">
        <f t="shared" si="5"/>
        <v>0</v>
      </c>
    </row>
    <row r="143" spans="3:11" ht="15.2">
      <c r="C143" s="29"/>
      <c r="D143" s="30"/>
      <c r="E143" s="31"/>
      <c r="F143" s="31"/>
      <c r="G143" s="31"/>
      <c r="H143" s="33"/>
      <c r="I143" s="41" t="str">
        <f>IF(Table46[[#This Row],[Month-Year]]="","",TEXT(Table46[[#This Row],[Month-Year]],"MMM-YY"))</f>
        <v/>
      </c>
      <c r="J143" s="31"/>
      <c r="K143" s="39">
        <f t="shared" si="5"/>
        <v>0</v>
      </c>
    </row>
    <row r="144" spans="3:11" ht="15.2">
      <c r="C144" s="29"/>
      <c r="D144" s="30"/>
      <c r="E144" s="31"/>
      <c r="F144" s="31"/>
      <c r="G144" s="31"/>
      <c r="H144" s="33"/>
      <c r="I144" s="41" t="str">
        <f>IF(Table46[[#This Row],[Month-Year]]="","",TEXT(Table46[[#This Row],[Month-Year]],"MMM-YY"))</f>
        <v/>
      </c>
      <c r="J144" s="31"/>
      <c r="K144" s="39">
        <f t="shared" si="5"/>
        <v>0</v>
      </c>
    </row>
    <row r="145" spans="3:11" ht="15.2">
      <c r="C145" s="29"/>
      <c r="D145" s="30"/>
      <c r="E145" s="31"/>
      <c r="F145" s="31"/>
      <c r="G145" s="31"/>
      <c r="H145" s="33"/>
      <c r="I145" s="41" t="str">
        <f>IF(Table46[[#This Row],[Month-Year]]="","",TEXT(Table46[[#This Row],[Month-Year]],"MMM-YY"))</f>
        <v/>
      </c>
      <c r="J145" s="31"/>
      <c r="K145" s="39">
        <f t="shared" si="5"/>
        <v>0</v>
      </c>
    </row>
    <row r="146" spans="3:11" ht="15.2">
      <c r="C146" s="29"/>
      <c r="D146" s="30"/>
      <c r="E146" s="31"/>
      <c r="F146" s="31"/>
      <c r="G146" s="31"/>
      <c r="H146" s="33"/>
      <c r="I146" s="41" t="str">
        <f>IF(Table46[[#This Row],[Month-Year]]="","",TEXT(Table46[[#This Row],[Month-Year]],"MMM-YY"))</f>
        <v/>
      </c>
      <c r="J146" s="31"/>
      <c r="K146" s="39">
        <f t="shared" si="5"/>
        <v>0</v>
      </c>
    </row>
    <row r="147" spans="3:11" ht="15.2">
      <c r="C147" s="29"/>
      <c r="D147" s="30"/>
      <c r="E147" s="31"/>
      <c r="F147" s="31"/>
      <c r="G147" s="31"/>
      <c r="H147" s="33"/>
      <c r="I147" s="41" t="str">
        <f>IF(Table46[[#This Row],[Month-Year]]="","",TEXT(Table46[[#This Row],[Month-Year]],"MMM-YY"))</f>
        <v/>
      </c>
      <c r="J147" s="31"/>
      <c r="K147" s="39">
        <f t="shared" si="5"/>
        <v>0</v>
      </c>
    </row>
    <row r="148" spans="3:11" ht="15.2">
      <c r="C148" s="29"/>
      <c r="D148" s="30"/>
      <c r="E148" s="31"/>
      <c r="F148" s="31"/>
      <c r="G148" s="31"/>
      <c r="H148" s="43"/>
      <c r="I148" s="41" t="str">
        <f>IF(Table46[[#This Row],[Month-Year]]="","",TEXT(Table46[[#This Row],[Month-Year]],"MMM-YY"))</f>
        <v/>
      </c>
      <c r="J148" s="31"/>
      <c r="K148" s="39">
        <f t="shared" si="5"/>
        <v>0</v>
      </c>
    </row>
    <row r="149" spans="3:11" ht="15.2">
      <c r="C149" s="29"/>
      <c r="D149" s="30"/>
      <c r="E149" s="31"/>
      <c r="F149" s="31"/>
      <c r="G149" s="31"/>
      <c r="H149" s="43"/>
      <c r="I149" s="41" t="str">
        <f>IF(Table46[[#This Row],[Month-Year]]="","",TEXT(Table46[[#This Row],[Month-Year]],"MMM-YY"))</f>
        <v/>
      </c>
      <c r="J149" s="31"/>
      <c r="K149" s="39">
        <f t="shared" si="5"/>
        <v>0</v>
      </c>
    </row>
    <row r="150" spans="3:11" ht="15.2">
      <c r="C150" s="29"/>
      <c r="D150" s="30"/>
      <c r="E150" s="31"/>
      <c r="F150" s="31"/>
      <c r="G150" s="31"/>
      <c r="H150" s="43"/>
      <c r="I150" s="41" t="str">
        <f>IF(Table46[[#This Row],[Month-Year]]="","",TEXT(Table46[[#This Row],[Month-Year]],"MMM-YY"))</f>
        <v/>
      </c>
      <c r="J150" s="31"/>
      <c r="K150" s="39">
        <f t="shared" si="5"/>
        <v>0</v>
      </c>
    </row>
    <row r="151" spans="3:11" ht="15.2">
      <c r="C151" s="29"/>
      <c r="D151" s="30"/>
      <c r="E151" s="31"/>
      <c r="F151" s="31"/>
      <c r="G151" s="31"/>
      <c r="H151" s="43"/>
      <c r="I151" s="41" t="str">
        <f>IF(Table46[[#This Row],[Month-Year]]="","",TEXT(Table46[[#This Row],[Month-Year]],"MMM-YY"))</f>
        <v/>
      </c>
      <c r="J151" s="31"/>
      <c r="K151" s="39">
        <f t="shared" si="5"/>
        <v>0</v>
      </c>
    </row>
    <row r="152" spans="3:11" ht="15.2">
      <c r="C152" s="29"/>
      <c r="D152" s="30"/>
      <c r="E152" s="31"/>
      <c r="F152" s="31"/>
      <c r="G152" s="31"/>
      <c r="H152" s="43"/>
      <c r="I152" s="41" t="str">
        <f>IF(Table46[[#This Row],[Month-Year]]="","",TEXT(Table46[[#This Row],[Month-Year]],"MMM-YY"))</f>
        <v/>
      </c>
      <c r="J152" s="31"/>
      <c r="K152" s="39">
        <f t="shared" si="5"/>
        <v>0</v>
      </c>
    </row>
    <row r="153" spans="3:11" ht="15.2">
      <c r="C153" s="29"/>
      <c r="D153" s="30"/>
      <c r="E153" s="31"/>
      <c r="F153" s="31"/>
      <c r="G153" s="31"/>
      <c r="H153" s="43"/>
      <c r="I153" s="41" t="str">
        <f>IF(Table46[[#This Row],[Month-Year]]="","",TEXT(Table46[[#This Row],[Month-Year]],"MMM-YY"))</f>
        <v/>
      </c>
      <c r="J153" s="31"/>
      <c r="K153" s="39">
        <f t="shared" si="5"/>
        <v>0</v>
      </c>
    </row>
    <row r="154" spans="3:11" ht="15.2">
      <c r="C154" s="29"/>
      <c r="D154" s="30"/>
      <c r="E154" s="31"/>
      <c r="F154" s="31"/>
      <c r="G154" s="31"/>
      <c r="H154" s="43"/>
      <c r="I154" s="41" t="str">
        <f>IF(Table46[[#This Row],[Month-Year]]="","",TEXT(Table46[[#This Row],[Month-Year]],"MMM-YY"))</f>
        <v/>
      </c>
      <c r="J154" s="31"/>
      <c r="K154" s="39">
        <f t="shared" si="5"/>
        <v>0</v>
      </c>
    </row>
    <row r="155" spans="3:11" ht="15.2">
      <c r="C155" s="29"/>
      <c r="D155" s="30"/>
      <c r="E155" s="31"/>
      <c r="F155" s="31"/>
      <c r="G155" s="31"/>
      <c r="H155" s="43"/>
      <c r="I155" s="41" t="str">
        <f>IF(Table46[[#This Row],[Month-Year]]="","",TEXT(Table46[[#This Row],[Month-Year]],"MMM-YY"))</f>
        <v/>
      </c>
      <c r="J155" s="31"/>
      <c r="K155" s="39">
        <f t="shared" si="5"/>
        <v>0</v>
      </c>
    </row>
    <row r="156" spans="3:11" ht="15.2">
      <c r="C156" s="29"/>
      <c r="D156" s="30"/>
      <c r="E156" s="31"/>
      <c r="F156" s="31"/>
      <c r="G156" s="31"/>
      <c r="H156" s="43"/>
      <c r="I156" s="41" t="str">
        <f>IF(Table46[[#This Row],[Month-Year]]="","",TEXT(Table46[[#This Row],[Month-Year]],"MMM-YY"))</f>
        <v/>
      </c>
      <c r="J156" s="31"/>
      <c r="K156" s="39">
        <f t="shared" si="5"/>
        <v>0</v>
      </c>
    </row>
    <row r="157" spans="3:11" ht="15.2">
      <c r="C157" s="29"/>
      <c r="D157" s="30"/>
      <c r="E157" s="31"/>
      <c r="F157" s="31"/>
      <c r="G157" s="31"/>
      <c r="H157" s="43"/>
      <c r="I157" s="41" t="str">
        <f>IF(Table46[[#This Row],[Month-Year]]="","",TEXT(Table46[[#This Row],[Month-Year]],"MMM-YY"))</f>
        <v/>
      </c>
      <c r="J157" s="31"/>
      <c r="K157" s="39">
        <f t="shared" si="5"/>
        <v>0</v>
      </c>
    </row>
    <row r="158" spans="3:11" ht="15.2">
      <c r="C158" s="29"/>
      <c r="D158" s="30"/>
      <c r="E158" s="31"/>
      <c r="F158" s="31"/>
      <c r="G158" s="31"/>
      <c r="H158" s="43"/>
      <c r="I158" s="41" t="str">
        <f>IF(Table46[[#This Row],[Month-Year]]="","",TEXT(Table46[[#This Row],[Month-Year]],"MMM-YY"))</f>
        <v/>
      </c>
      <c r="J158" s="31"/>
      <c r="K158" s="39">
        <f t="shared" si="5"/>
        <v>0</v>
      </c>
    </row>
    <row r="159" spans="3:11" ht="15.2">
      <c r="C159" s="29"/>
      <c r="D159" s="30"/>
      <c r="E159" s="31"/>
      <c r="F159" s="31"/>
      <c r="G159" s="31"/>
      <c r="H159" s="43"/>
      <c r="I159" s="41" t="str">
        <f>IF(Table46[[#This Row],[Month-Year]]="","",TEXT(Table46[[#This Row],[Month-Year]],"MMM-YY"))</f>
        <v/>
      </c>
      <c r="J159" s="31"/>
      <c r="K159" s="39">
        <f t="shared" si="5"/>
        <v>0</v>
      </c>
    </row>
    <row r="160" spans="3:11" ht="15.2">
      <c r="C160" s="29"/>
      <c r="D160" s="30"/>
      <c r="E160" s="31"/>
      <c r="F160" s="31"/>
      <c r="G160" s="31"/>
      <c r="H160" s="43"/>
      <c r="I160" s="41" t="str">
        <f>IF(Table46[[#This Row],[Month-Year]]="","",TEXT(Table46[[#This Row],[Month-Year]],"MMM-YY"))</f>
        <v/>
      </c>
      <c r="J160" s="31"/>
      <c r="K160" s="39">
        <f t="shared" si="5"/>
        <v>0</v>
      </c>
    </row>
    <row r="161" spans="3:11" ht="15.2">
      <c r="C161" s="29"/>
      <c r="D161" s="30"/>
      <c r="E161" s="31"/>
      <c r="F161" s="31"/>
      <c r="G161" s="31"/>
      <c r="H161" s="43"/>
      <c r="I161" s="41" t="str">
        <f>IF(Table46[[#This Row],[Month-Year]]="","",TEXT(Table46[[#This Row],[Month-Year]],"MMM-YY"))</f>
        <v/>
      </c>
      <c r="J161" s="31"/>
      <c r="K161" s="39">
        <f t="shared" si="5"/>
        <v>0</v>
      </c>
    </row>
    <row r="162" spans="3:11" ht="15.2">
      <c r="C162" s="29"/>
      <c r="D162" s="30"/>
      <c r="E162" s="31"/>
      <c r="F162" s="31"/>
      <c r="G162" s="31"/>
      <c r="H162" s="43"/>
      <c r="I162" s="41" t="str">
        <f>IF(Table46[[#This Row],[Month-Year]]="","",TEXT(Table46[[#This Row],[Month-Year]],"MMM-YY"))</f>
        <v/>
      </c>
      <c r="J162" s="31"/>
      <c r="K162" s="39">
        <f t="shared" si="5"/>
        <v>0</v>
      </c>
    </row>
    <row r="163" spans="3:11" ht="15.2">
      <c r="C163" s="29"/>
      <c r="D163" s="30"/>
      <c r="E163" s="31"/>
      <c r="F163" s="31"/>
      <c r="G163" s="31"/>
      <c r="H163" s="43"/>
      <c r="I163" s="41" t="str">
        <f>IF(Table46[[#This Row],[Month-Year]]="","",TEXT(Table46[[#This Row],[Month-Year]],"MMM-YY"))</f>
        <v/>
      </c>
      <c r="J163" s="31"/>
      <c r="K163" s="39">
        <f t="shared" si="5"/>
        <v>0</v>
      </c>
    </row>
    <row r="164" spans="3:11" ht="15.2">
      <c r="C164" s="29"/>
      <c r="D164" s="30"/>
      <c r="E164" s="31"/>
      <c r="F164" s="31"/>
      <c r="G164" s="31"/>
      <c r="H164" s="43"/>
      <c r="I164" s="41" t="str">
        <f>IF(Table46[[#This Row],[Month-Year]]="","",TEXT(Table46[[#This Row],[Month-Year]],"MMM-YY"))</f>
        <v/>
      </c>
      <c r="J164" s="31"/>
      <c r="K164" s="39">
        <f t="shared" si="5"/>
        <v>0</v>
      </c>
    </row>
    <row r="165" spans="3:11" ht="15.2">
      <c r="C165" s="29"/>
      <c r="D165" s="30"/>
      <c r="E165" s="31"/>
      <c r="F165" s="31"/>
      <c r="G165" s="31"/>
      <c r="H165" s="43"/>
      <c r="I165" s="41" t="str">
        <f>IF(Table46[[#This Row],[Month-Year]]="","",TEXT(Table46[[#This Row],[Month-Year]],"MMM-YY"))</f>
        <v/>
      </c>
      <c r="J165" s="31"/>
      <c r="K165" s="39">
        <f t="shared" si="5"/>
        <v>0</v>
      </c>
    </row>
    <row r="166" spans="3:11" ht="15.2">
      <c r="C166" s="29"/>
      <c r="D166" s="30"/>
      <c r="E166" s="31"/>
      <c r="F166" s="31"/>
      <c r="G166" s="31"/>
      <c r="H166" s="43"/>
      <c r="I166" s="41" t="str">
        <f>IF(Table46[[#This Row],[Month-Year]]="","",TEXT(Table46[[#This Row],[Month-Year]],"MMM-YY"))</f>
        <v/>
      </c>
      <c r="J166" s="31"/>
      <c r="K166" s="39">
        <f t="shared" si="5"/>
        <v>0</v>
      </c>
    </row>
    <row r="167" spans="3:11" ht="15.2">
      <c r="C167" s="29"/>
      <c r="D167" s="30"/>
      <c r="E167" s="31"/>
      <c r="F167" s="31"/>
      <c r="G167" s="31"/>
      <c r="H167" s="43"/>
      <c r="I167" s="41" t="str">
        <f>IF(Table46[[#This Row],[Month-Year]]="","",TEXT(Table46[[#This Row],[Month-Year]],"MMM-YY"))</f>
        <v/>
      </c>
      <c r="J167" s="31"/>
      <c r="K167" s="39">
        <f t="shared" si="5"/>
        <v>0</v>
      </c>
    </row>
    <row r="168" spans="3:11" ht="15.2">
      <c r="C168" s="29"/>
      <c r="D168" s="30"/>
      <c r="E168" s="31"/>
      <c r="F168" s="31"/>
      <c r="G168" s="31"/>
      <c r="H168" s="43"/>
      <c r="I168" s="41" t="str">
        <f>IF(Table46[[#This Row],[Month-Year]]="","",TEXT(Table46[[#This Row],[Month-Year]],"MMM-YY"))</f>
        <v/>
      </c>
      <c r="J168" s="31"/>
      <c r="K168" s="39">
        <f t="shared" si="5"/>
        <v>0</v>
      </c>
    </row>
    <row r="169" spans="3:11" ht="15.2">
      <c r="C169" s="29"/>
      <c r="D169" s="30"/>
      <c r="E169" s="31"/>
      <c r="F169" s="31"/>
      <c r="G169" s="31"/>
      <c r="H169" s="43"/>
      <c r="I169" s="41" t="str">
        <f>IF(Table46[[#This Row],[Month-Year]]="","",TEXT(Table46[[#This Row],[Month-Year]],"MMM-YY"))</f>
        <v/>
      </c>
      <c r="J169" s="31"/>
      <c r="K169" s="39">
        <f t="shared" si="5"/>
        <v>0</v>
      </c>
    </row>
    <row r="170" spans="3:11" ht="15.2">
      <c r="C170" s="29"/>
      <c r="D170" s="30"/>
      <c r="E170" s="31"/>
      <c r="F170" s="31"/>
      <c r="G170" s="31"/>
      <c r="H170" s="43"/>
      <c r="I170" s="41" t="str">
        <f>IF(Table46[[#This Row],[Month-Year]]="","",TEXT(Table46[[#This Row],[Month-Year]],"MMM-YY"))</f>
        <v/>
      </c>
      <c r="J170" s="31"/>
      <c r="K170" s="39">
        <f t="shared" si="5"/>
        <v>0</v>
      </c>
    </row>
    <row r="171" spans="3:11" ht="15.2">
      <c r="C171" s="29"/>
      <c r="D171" s="30"/>
      <c r="E171" s="31"/>
      <c r="F171" s="31"/>
      <c r="G171" s="31"/>
      <c r="H171" s="43"/>
      <c r="I171" s="41" t="str">
        <f>IF(Table46[[#This Row],[Month-Year]]="","",TEXT(Table46[[#This Row],[Month-Year]],"MMM-YY"))</f>
        <v/>
      </c>
      <c r="J171" s="31"/>
      <c r="K171" s="39">
        <f t="shared" si="5"/>
        <v>0</v>
      </c>
    </row>
    <row r="172" spans="3:11" ht="15.2">
      <c r="C172" s="29"/>
      <c r="D172" s="30"/>
      <c r="E172" s="31"/>
      <c r="F172" s="31"/>
      <c r="G172" s="31"/>
      <c r="H172" s="43"/>
      <c r="I172" s="41" t="str">
        <f>IF(Table46[[#This Row],[Month-Year]]="","",TEXT(Table46[[#This Row],[Month-Year]],"MMM-YY"))</f>
        <v/>
      </c>
      <c r="J172" s="31"/>
      <c r="K172" s="39">
        <f t="shared" ref="K172:K203" si="6">(F172*G172)*E172/100</f>
        <v>0</v>
      </c>
    </row>
    <row r="173" spans="3:11" ht="15.2">
      <c r="C173" s="29"/>
      <c r="D173" s="30"/>
      <c r="E173" s="31"/>
      <c r="F173" s="31"/>
      <c r="G173" s="31"/>
      <c r="H173" s="43"/>
      <c r="I173" s="41" t="str">
        <f>IF(Table46[[#This Row],[Month-Year]]="","",TEXT(Table46[[#This Row],[Month-Year]],"MMM-YY"))</f>
        <v/>
      </c>
      <c r="J173" s="31"/>
      <c r="K173" s="39">
        <f t="shared" si="6"/>
        <v>0</v>
      </c>
    </row>
    <row r="174" spans="3:11" ht="15.2">
      <c r="C174" s="29"/>
      <c r="D174" s="30"/>
      <c r="E174" s="31"/>
      <c r="F174" s="31"/>
      <c r="G174" s="31"/>
      <c r="H174" s="43"/>
      <c r="I174" s="41" t="str">
        <f>IF(Table46[[#This Row],[Month-Year]]="","",TEXT(Table46[[#This Row],[Month-Year]],"MMM-YY"))</f>
        <v/>
      </c>
      <c r="J174" s="31"/>
      <c r="K174" s="39">
        <f t="shared" si="6"/>
        <v>0</v>
      </c>
    </row>
    <row r="175" spans="3:11" ht="15.2">
      <c r="C175" s="29"/>
      <c r="D175" s="30"/>
      <c r="E175" s="31"/>
      <c r="F175" s="31"/>
      <c r="G175" s="31"/>
      <c r="H175" s="43"/>
      <c r="I175" s="41" t="str">
        <f>IF(Table46[[#This Row],[Month-Year]]="","",TEXT(Table46[[#This Row],[Month-Year]],"MMM-YY"))</f>
        <v/>
      </c>
      <c r="J175" s="31"/>
      <c r="K175" s="39">
        <f t="shared" si="6"/>
        <v>0</v>
      </c>
    </row>
    <row r="176" spans="3:11" ht="15.2">
      <c r="C176" s="29"/>
      <c r="D176" s="30"/>
      <c r="E176" s="31"/>
      <c r="F176" s="31"/>
      <c r="G176" s="31"/>
      <c r="H176" s="43"/>
      <c r="I176" s="41" t="str">
        <f>IF(Table46[[#This Row],[Month-Year]]="","",TEXT(Table46[[#This Row],[Month-Year]],"MMM-YY"))</f>
        <v/>
      </c>
      <c r="J176" s="31"/>
      <c r="K176" s="39">
        <f t="shared" si="6"/>
        <v>0</v>
      </c>
    </row>
    <row r="177" spans="3:11" ht="15.2">
      <c r="C177" s="29"/>
      <c r="D177" s="30"/>
      <c r="E177" s="31"/>
      <c r="F177" s="31"/>
      <c r="G177" s="31"/>
      <c r="H177" s="43"/>
      <c r="I177" s="41" t="str">
        <f>IF(Table46[[#This Row],[Month-Year]]="","",TEXT(Table46[[#This Row],[Month-Year]],"MMM-YY"))</f>
        <v/>
      </c>
      <c r="J177" s="31"/>
      <c r="K177" s="39">
        <f t="shared" si="6"/>
        <v>0</v>
      </c>
    </row>
    <row r="178" spans="3:11" ht="15.2">
      <c r="C178" s="29"/>
      <c r="D178" s="30"/>
      <c r="E178" s="31"/>
      <c r="F178" s="31"/>
      <c r="G178" s="31"/>
      <c r="H178" s="43"/>
      <c r="I178" s="41" t="str">
        <f>IF(Table46[[#This Row],[Month-Year]]="","",TEXT(Table46[[#This Row],[Month-Year]],"MMM-YY"))</f>
        <v/>
      </c>
      <c r="J178" s="31"/>
      <c r="K178" s="39">
        <f t="shared" si="6"/>
        <v>0</v>
      </c>
    </row>
    <row r="179" spans="3:11" ht="15.2">
      <c r="C179" s="29"/>
      <c r="D179" s="30"/>
      <c r="E179" s="31"/>
      <c r="F179" s="31"/>
      <c r="G179" s="31"/>
      <c r="H179" s="43"/>
      <c r="I179" s="41" t="str">
        <f>IF(Table46[[#This Row],[Month-Year]]="","",TEXT(Table46[[#This Row],[Month-Year]],"MMM-YY"))</f>
        <v/>
      </c>
      <c r="J179" s="31"/>
      <c r="K179" s="39">
        <f t="shared" si="6"/>
        <v>0</v>
      </c>
    </row>
    <row r="180" spans="3:11" ht="15.2">
      <c r="C180" s="29"/>
      <c r="D180" s="30"/>
      <c r="E180" s="31"/>
      <c r="F180" s="31"/>
      <c r="G180" s="31"/>
      <c r="H180" s="43"/>
      <c r="I180" s="41" t="str">
        <f>IF(Table46[[#This Row],[Month-Year]]="","",TEXT(Table46[[#This Row],[Month-Year]],"MMM-YY"))</f>
        <v/>
      </c>
      <c r="J180" s="31"/>
      <c r="K180" s="39">
        <f t="shared" si="6"/>
        <v>0</v>
      </c>
    </row>
    <row r="181" spans="3:11" ht="15.2">
      <c r="C181" s="29"/>
      <c r="D181" s="30"/>
      <c r="E181" s="31"/>
      <c r="F181" s="31"/>
      <c r="G181" s="31"/>
      <c r="H181" s="43"/>
      <c r="I181" s="41" t="str">
        <f>IF(Table46[[#This Row],[Month-Year]]="","",TEXT(Table46[[#This Row],[Month-Year]],"MMM-YY"))</f>
        <v/>
      </c>
      <c r="J181" s="31"/>
      <c r="K181" s="39">
        <f t="shared" si="6"/>
        <v>0</v>
      </c>
    </row>
    <row r="182" spans="3:11" ht="15.2">
      <c r="C182" s="29"/>
      <c r="D182" s="30"/>
      <c r="E182" s="31"/>
      <c r="F182" s="31"/>
      <c r="G182" s="31"/>
      <c r="H182" s="43"/>
      <c r="I182" s="41" t="str">
        <f>IF(Table46[[#This Row],[Month-Year]]="","",TEXT(Table46[[#This Row],[Month-Year]],"MMM-YY"))</f>
        <v/>
      </c>
      <c r="J182" s="31"/>
      <c r="K182" s="39">
        <f t="shared" si="6"/>
        <v>0</v>
      </c>
    </row>
    <row r="183" spans="3:11" ht="15.2">
      <c r="C183" s="29"/>
      <c r="D183" s="30"/>
      <c r="E183" s="31"/>
      <c r="F183" s="31"/>
      <c r="G183" s="31"/>
      <c r="H183" s="43"/>
      <c r="I183" s="41" t="str">
        <f>IF(Table46[[#This Row],[Month-Year]]="","",TEXT(Table46[[#This Row],[Month-Year]],"MMM-YY"))</f>
        <v/>
      </c>
      <c r="J183" s="31"/>
      <c r="K183" s="39">
        <f t="shared" si="6"/>
        <v>0</v>
      </c>
    </row>
    <row r="184" spans="3:11" ht="15.2">
      <c r="C184" s="29"/>
      <c r="D184" s="30"/>
      <c r="E184" s="31"/>
      <c r="F184" s="31"/>
      <c r="G184" s="31"/>
      <c r="H184" s="43"/>
      <c r="I184" s="41" t="str">
        <f>IF(Table46[[#This Row],[Month-Year]]="","",TEXT(Table46[[#This Row],[Month-Year]],"MMM-YY"))</f>
        <v/>
      </c>
      <c r="J184" s="31"/>
      <c r="K184" s="39">
        <f t="shared" si="6"/>
        <v>0</v>
      </c>
    </row>
    <row r="185" spans="3:11" ht="15.2">
      <c r="C185" s="29"/>
      <c r="D185" s="30"/>
      <c r="E185" s="31"/>
      <c r="F185" s="31"/>
      <c r="G185" s="31"/>
      <c r="H185" s="43"/>
      <c r="I185" s="41" t="str">
        <f>IF(Table46[[#This Row],[Month-Year]]="","",TEXT(Table46[[#This Row],[Month-Year]],"MMM-YY"))</f>
        <v/>
      </c>
      <c r="J185" s="31"/>
      <c r="K185" s="39">
        <f t="shared" si="6"/>
        <v>0</v>
      </c>
    </row>
    <row r="186" spans="3:11" ht="15.2">
      <c r="C186" s="29"/>
      <c r="D186" s="30"/>
      <c r="E186" s="31"/>
      <c r="F186" s="31"/>
      <c r="G186" s="31"/>
      <c r="H186" s="43"/>
      <c r="I186" s="41" t="str">
        <f>IF(Table46[[#This Row],[Month-Year]]="","",TEXT(Table46[[#This Row],[Month-Year]],"MMM-YY"))</f>
        <v/>
      </c>
      <c r="J186" s="31"/>
      <c r="K186" s="39">
        <f t="shared" si="6"/>
        <v>0</v>
      </c>
    </row>
    <row r="187" spans="3:11" ht="15.2">
      <c r="C187" s="29"/>
      <c r="D187" s="30"/>
      <c r="E187" s="31"/>
      <c r="F187" s="31"/>
      <c r="G187" s="31"/>
      <c r="H187" s="43"/>
      <c r="I187" s="41" t="str">
        <f>IF(Table46[[#This Row],[Month-Year]]="","",TEXT(Table46[[#This Row],[Month-Year]],"MMM-YY"))</f>
        <v/>
      </c>
      <c r="J187" s="31"/>
      <c r="K187" s="39">
        <f t="shared" si="6"/>
        <v>0</v>
      </c>
    </row>
    <row r="188" spans="3:11" ht="15.2">
      <c r="C188" s="29"/>
      <c r="D188" s="30"/>
      <c r="E188" s="31"/>
      <c r="F188" s="31"/>
      <c r="G188" s="31"/>
      <c r="H188" s="43"/>
      <c r="I188" s="41" t="str">
        <f>IF(Table46[[#This Row],[Month-Year]]="","",TEXT(Table46[[#This Row],[Month-Year]],"MMM-YY"))</f>
        <v/>
      </c>
      <c r="J188" s="31"/>
      <c r="K188" s="39">
        <f t="shared" si="6"/>
        <v>0</v>
      </c>
    </row>
    <row r="189" spans="3:11" ht="15.2">
      <c r="C189" s="29"/>
      <c r="D189" s="30"/>
      <c r="E189" s="31"/>
      <c r="F189" s="31"/>
      <c r="G189" s="31"/>
      <c r="H189" s="43"/>
      <c r="I189" s="41" t="str">
        <f>IF(Table46[[#This Row],[Month-Year]]="","",TEXT(Table46[[#This Row],[Month-Year]],"MMM-YY"))</f>
        <v/>
      </c>
      <c r="J189" s="31"/>
      <c r="K189" s="39">
        <f t="shared" si="6"/>
        <v>0</v>
      </c>
    </row>
    <row r="190" spans="3:11" ht="15.2">
      <c r="C190" s="29"/>
      <c r="D190" s="30"/>
      <c r="E190" s="31"/>
      <c r="F190" s="31"/>
      <c r="G190" s="31"/>
      <c r="H190" s="43"/>
      <c r="I190" s="41" t="str">
        <f>IF(Table46[[#This Row],[Month-Year]]="","",TEXT(Table46[[#This Row],[Month-Year]],"MMM-YY"))</f>
        <v/>
      </c>
      <c r="J190" s="31"/>
      <c r="K190" s="39">
        <f t="shared" si="6"/>
        <v>0</v>
      </c>
    </row>
    <row r="191" spans="3:11" ht="15.2">
      <c r="C191" s="29"/>
      <c r="D191" s="30"/>
      <c r="E191" s="31"/>
      <c r="F191" s="31"/>
      <c r="G191" s="31"/>
      <c r="H191" s="43"/>
      <c r="I191" s="41" t="str">
        <f>IF(Table46[[#This Row],[Month-Year]]="","",TEXT(Table46[[#This Row],[Month-Year]],"MMM-YY"))</f>
        <v/>
      </c>
      <c r="J191" s="31"/>
      <c r="K191" s="39">
        <f t="shared" si="6"/>
        <v>0</v>
      </c>
    </row>
    <row r="192" spans="3:11" ht="15.2">
      <c r="C192" s="29"/>
      <c r="D192" s="30"/>
      <c r="E192" s="31"/>
      <c r="F192" s="31"/>
      <c r="G192" s="31"/>
      <c r="H192" s="43"/>
      <c r="I192" s="41" t="str">
        <f>IF(Table46[[#This Row],[Month-Year]]="","",TEXT(Table46[[#This Row],[Month-Year]],"MMM-YY"))</f>
        <v/>
      </c>
      <c r="J192" s="31"/>
      <c r="K192" s="39">
        <f t="shared" si="6"/>
        <v>0</v>
      </c>
    </row>
    <row r="193" spans="3:11" ht="15.2">
      <c r="C193" s="29"/>
      <c r="D193" s="30"/>
      <c r="E193" s="31"/>
      <c r="F193" s="31"/>
      <c r="G193" s="31"/>
      <c r="H193" s="43"/>
      <c r="I193" s="41" t="str">
        <f>IF(Table46[[#This Row],[Month-Year]]="","",TEXT(Table46[[#This Row],[Month-Year]],"MMM-YY"))</f>
        <v/>
      </c>
      <c r="J193" s="31"/>
      <c r="K193" s="39">
        <f t="shared" si="6"/>
        <v>0</v>
      </c>
    </row>
    <row r="194" spans="3:11" ht="15.2">
      <c r="C194" s="29"/>
      <c r="D194" s="30"/>
      <c r="E194" s="31"/>
      <c r="F194" s="31"/>
      <c r="G194" s="31"/>
      <c r="H194" s="43"/>
      <c r="I194" s="41" t="str">
        <f>IF(Table46[[#This Row],[Month-Year]]="","",TEXT(Table46[[#This Row],[Month-Year]],"MMM-YY"))</f>
        <v/>
      </c>
      <c r="J194" s="31"/>
      <c r="K194" s="39">
        <f t="shared" si="6"/>
        <v>0</v>
      </c>
    </row>
    <row r="195" spans="3:11" ht="15.2">
      <c r="C195" s="29"/>
      <c r="D195" s="30"/>
      <c r="E195" s="31"/>
      <c r="F195" s="31"/>
      <c r="G195" s="31"/>
      <c r="H195" s="43"/>
      <c r="I195" s="41" t="str">
        <f>IF(Table46[[#This Row],[Month-Year]]="","",TEXT(Table46[[#This Row],[Month-Year]],"MMM-YY"))</f>
        <v/>
      </c>
      <c r="J195" s="31"/>
      <c r="K195" s="39">
        <f t="shared" si="6"/>
        <v>0</v>
      </c>
    </row>
    <row r="196" spans="3:11" ht="15.2">
      <c r="C196" s="29"/>
      <c r="D196" s="30"/>
      <c r="E196" s="31"/>
      <c r="F196" s="31"/>
      <c r="G196" s="31"/>
      <c r="H196" s="43"/>
      <c r="I196" s="41" t="str">
        <f>IF(Table46[[#This Row],[Month-Year]]="","",TEXT(Table46[[#This Row],[Month-Year]],"MMM-YY"))</f>
        <v/>
      </c>
      <c r="J196" s="31"/>
      <c r="K196" s="39">
        <f t="shared" si="6"/>
        <v>0</v>
      </c>
    </row>
    <row r="197" spans="3:11" ht="15.2">
      <c r="C197" s="29"/>
      <c r="D197" s="30"/>
      <c r="E197" s="31"/>
      <c r="F197" s="31"/>
      <c r="G197" s="31"/>
      <c r="H197" s="43"/>
      <c r="I197" s="41" t="str">
        <f>IF(Table46[[#This Row],[Month-Year]]="","",TEXT(Table46[[#This Row],[Month-Year]],"MMM-YY"))</f>
        <v/>
      </c>
      <c r="J197" s="31"/>
      <c r="K197" s="39">
        <f t="shared" si="6"/>
        <v>0</v>
      </c>
    </row>
    <row r="198" spans="3:11" ht="15.2">
      <c r="C198" s="29"/>
      <c r="D198" s="30"/>
      <c r="E198" s="31"/>
      <c r="F198" s="31"/>
      <c r="G198" s="31"/>
      <c r="H198" s="43"/>
      <c r="I198" s="41" t="str">
        <f>IF(Table46[[#This Row],[Month-Year]]="","",TEXT(Table46[[#This Row],[Month-Year]],"MMM-YY"))</f>
        <v/>
      </c>
      <c r="J198" s="31"/>
      <c r="K198" s="39">
        <f t="shared" si="6"/>
        <v>0</v>
      </c>
    </row>
    <row r="199" spans="3:11" ht="15.2">
      <c r="C199" s="29"/>
      <c r="D199" s="30"/>
      <c r="E199" s="31"/>
      <c r="F199" s="31"/>
      <c r="G199" s="31"/>
      <c r="H199" s="43"/>
      <c r="I199" s="41" t="str">
        <f>IF(Table46[[#This Row],[Month-Year]]="","",TEXT(Table46[[#This Row],[Month-Year]],"MMM-YY"))</f>
        <v/>
      </c>
      <c r="J199" s="31"/>
      <c r="K199" s="39">
        <f t="shared" si="6"/>
        <v>0</v>
      </c>
    </row>
    <row r="200" spans="3:11" ht="15.2">
      <c r="C200" s="29"/>
      <c r="D200" s="30"/>
      <c r="E200" s="31"/>
      <c r="F200" s="31"/>
      <c r="G200" s="31"/>
      <c r="H200" s="43"/>
      <c r="I200" s="41" t="str">
        <f>IF(Table46[[#This Row],[Month-Year]]="","",TEXT(Table46[[#This Row],[Month-Year]],"MMM-YY"))</f>
        <v/>
      </c>
      <c r="J200" s="31"/>
      <c r="K200" s="39">
        <f t="shared" si="6"/>
        <v>0</v>
      </c>
    </row>
    <row r="201" spans="3:11" ht="15.2">
      <c r="C201" s="29"/>
      <c r="D201" s="30"/>
      <c r="E201" s="31"/>
      <c r="F201" s="31"/>
      <c r="G201" s="31"/>
      <c r="H201" s="43"/>
      <c r="I201" s="41" t="str">
        <f>IF(Table46[[#This Row],[Month-Year]]="","",TEXT(Table46[[#This Row],[Month-Year]],"MMM-YY"))</f>
        <v/>
      </c>
      <c r="J201" s="31"/>
      <c r="K201" s="39">
        <f t="shared" si="6"/>
        <v>0</v>
      </c>
    </row>
    <row r="202" spans="3:11" ht="15.2">
      <c r="C202" s="29"/>
      <c r="D202" s="30"/>
      <c r="E202" s="31"/>
      <c r="F202" s="31"/>
      <c r="G202" s="31"/>
      <c r="H202" s="43"/>
      <c r="I202" s="41" t="str">
        <f>IF(Table46[[#This Row],[Month-Year]]="","",TEXT(Table46[[#This Row],[Month-Year]],"MMM-YY"))</f>
        <v/>
      </c>
      <c r="J202" s="31"/>
      <c r="K202" s="39">
        <f t="shared" si="6"/>
        <v>0</v>
      </c>
    </row>
    <row r="203" spans="3:11" ht="15.2">
      <c r="C203" s="29"/>
      <c r="D203" s="30"/>
      <c r="E203" s="31"/>
      <c r="F203" s="31"/>
      <c r="G203" s="31"/>
      <c r="H203" s="43"/>
      <c r="I203" s="41" t="str">
        <f>IF(Table46[[#This Row],[Month-Year]]="","",TEXT(Table46[[#This Row],[Month-Year]],"MMM-YY"))</f>
        <v/>
      </c>
      <c r="J203" s="31"/>
      <c r="K203" s="39">
        <f t="shared" si="6"/>
        <v>0</v>
      </c>
    </row>
    <row r="204" spans="3:11" ht="15.2">
      <c r="C204" s="29"/>
      <c r="D204" s="30"/>
      <c r="E204" s="31"/>
      <c r="F204" s="31"/>
      <c r="G204" s="31"/>
      <c r="H204" s="43"/>
      <c r="I204" s="41" t="str">
        <f>IF(Table46[[#This Row],[Month-Year]]="","",TEXT(Table46[[#This Row],[Month-Year]],"MMM-YY"))</f>
        <v/>
      </c>
      <c r="J204" s="31"/>
      <c r="K204" s="39">
        <f t="shared" ref="K204:K236" si="7">(F204*G204)*E204/100</f>
        <v>0</v>
      </c>
    </row>
    <row r="205" spans="3:11" ht="15.2">
      <c r="C205" s="29"/>
      <c r="D205" s="30"/>
      <c r="E205" s="31"/>
      <c r="F205" s="31"/>
      <c r="G205" s="31"/>
      <c r="H205" s="43"/>
      <c r="I205" s="41" t="str">
        <f>IF(Table46[[#This Row],[Month-Year]]="","",TEXT(Table46[[#This Row],[Month-Year]],"MMM-YY"))</f>
        <v/>
      </c>
      <c r="J205" s="31"/>
      <c r="K205" s="39">
        <f t="shared" si="7"/>
        <v>0</v>
      </c>
    </row>
    <row r="206" spans="3:11" ht="15.2">
      <c r="C206" s="29"/>
      <c r="D206" s="30"/>
      <c r="E206" s="31"/>
      <c r="F206" s="31"/>
      <c r="G206" s="31"/>
      <c r="H206" s="43"/>
      <c r="I206" s="41" t="str">
        <f>IF(Table46[[#This Row],[Month-Year]]="","",TEXT(Table46[[#This Row],[Month-Year]],"MMM-YY"))</f>
        <v/>
      </c>
      <c r="J206" s="31"/>
      <c r="K206" s="39">
        <f t="shared" si="7"/>
        <v>0</v>
      </c>
    </row>
    <row r="207" spans="3:11" ht="15.2">
      <c r="C207" s="29"/>
      <c r="D207" s="30"/>
      <c r="E207" s="31"/>
      <c r="F207" s="31"/>
      <c r="G207" s="31"/>
      <c r="H207" s="43"/>
      <c r="I207" s="41" t="str">
        <f>IF(Table46[[#This Row],[Month-Year]]="","",TEXT(Table46[[#This Row],[Month-Year]],"MMM-YY"))</f>
        <v/>
      </c>
      <c r="J207" s="31"/>
      <c r="K207" s="39">
        <f t="shared" si="7"/>
        <v>0</v>
      </c>
    </row>
    <row r="208" spans="3:11" ht="15.2">
      <c r="C208" s="29"/>
      <c r="D208" s="30"/>
      <c r="E208" s="31"/>
      <c r="F208" s="31"/>
      <c r="G208" s="31"/>
      <c r="H208" s="43"/>
      <c r="I208" s="41" t="str">
        <f>IF(Table46[[#This Row],[Month-Year]]="","",TEXT(Table46[[#This Row],[Month-Year]],"MMM-YY"))</f>
        <v/>
      </c>
      <c r="J208" s="31"/>
      <c r="K208" s="39">
        <f t="shared" si="7"/>
        <v>0</v>
      </c>
    </row>
    <row r="209" spans="3:11" ht="15.2">
      <c r="C209" s="29"/>
      <c r="D209" s="30"/>
      <c r="E209" s="31"/>
      <c r="F209" s="31"/>
      <c r="G209" s="31"/>
      <c r="H209" s="43"/>
      <c r="I209" s="41" t="str">
        <f>IF(Table46[[#This Row],[Month-Year]]="","",TEXT(Table46[[#This Row],[Month-Year]],"MMM-YY"))</f>
        <v/>
      </c>
      <c r="J209" s="31"/>
      <c r="K209" s="39">
        <f t="shared" si="7"/>
        <v>0</v>
      </c>
    </row>
    <row r="210" spans="3:11" ht="15.2">
      <c r="C210" s="29"/>
      <c r="D210" s="30"/>
      <c r="E210" s="31"/>
      <c r="F210" s="31"/>
      <c r="G210" s="31"/>
      <c r="H210" s="43"/>
      <c r="I210" s="41" t="str">
        <f>IF(Table46[[#This Row],[Month-Year]]="","",TEXT(Table46[[#This Row],[Month-Year]],"MMM-YY"))</f>
        <v/>
      </c>
      <c r="J210" s="31"/>
      <c r="K210" s="39">
        <f t="shared" si="7"/>
        <v>0</v>
      </c>
    </row>
    <row r="211" spans="3:11" ht="15.2">
      <c r="C211" s="29"/>
      <c r="D211" s="30"/>
      <c r="E211" s="31"/>
      <c r="F211" s="31"/>
      <c r="G211" s="31"/>
      <c r="H211" s="43"/>
      <c r="I211" s="41" t="str">
        <f>IF(Table46[[#This Row],[Month-Year]]="","",TEXT(Table46[[#This Row],[Month-Year]],"MMM-YY"))</f>
        <v/>
      </c>
      <c r="J211" s="31"/>
      <c r="K211" s="39">
        <f t="shared" si="7"/>
        <v>0</v>
      </c>
    </row>
    <row r="212" spans="3:11" ht="15.2">
      <c r="C212" s="29"/>
      <c r="D212" s="30"/>
      <c r="E212" s="31"/>
      <c r="F212" s="31"/>
      <c r="G212" s="31"/>
      <c r="H212" s="43"/>
      <c r="I212" s="41" t="str">
        <f>IF(Table46[[#This Row],[Month-Year]]="","",TEXT(Table46[[#This Row],[Month-Year]],"MMM-YY"))</f>
        <v/>
      </c>
      <c r="J212" s="31"/>
      <c r="K212" s="39">
        <f t="shared" si="7"/>
        <v>0</v>
      </c>
    </row>
    <row r="213" spans="3:11" ht="15.2">
      <c r="C213" s="29"/>
      <c r="D213" s="30"/>
      <c r="E213" s="31"/>
      <c r="F213" s="31"/>
      <c r="G213" s="31"/>
      <c r="H213" s="43"/>
      <c r="I213" s="41" t="str">
        <f>IF(Table46[[#This Row],[Month-Year]]="","",TEXT(Table46[[#This Row],[Month-Year]],"MMM-YY"))</f>
        <v/>
      </c>
      <c r="J213" s="31"/>
      <c r="K213" s="39">
        <f t="shared" si="7"/>
        <v>0</v>
      </c>
    </row>
    <row r="214" spans="3:11" ht="15.2">
      <c r="C214" s="29"/>
      <c r="D214" s="30"/>
      <c r="E214" s="31"/>
      <c r="F214" s="31"/>
      <c r="G214" s="31"/>
      <c r="H214" s="43"/>
      <c r="I214" s="41" t="str">
        <f>IF(Table46[[#This Row],[Month-Year]]="","",TEXT(Table46[[#This Row],[Month-Year]],"MMM-YY"))</f>
        <v/>
      </c>
      <c r="J214" s="31"/>
      <c r="K214" s="39">
        <f t="shared" si="7"/>
        <v>0</v>
      </c>
    </row>
    <row r="215" spans="3:11" ht="15.2">
      <c r="C215" s="29"/>
      <c r="D215" s="30"/>
      <c r="E215" s="31"/>
      <c r="F215" s="31"/>
      <c r="G215" s="31"/>
      <c r="H215" s="43"/>
      <c r="I215" s="41" t="str">
        <f>IF(Table46[[#This Row],[Month-Year]]="","",TEXT(Table46[[#This Row],[Month-Year]],"MMM-YY"))</f>
        <v/>
      </c>
      <c r="J215" s="31"/>
      <c r="K215" s="39">
        <f t="shared" si="7"/>
        <v>0</v>
      </c>
    </row>
    <row r="216" spans="3:11" ht="15.2">
      <c r="C216" s="29"/>
      <c r="D216" s="30"/>
      <c r="E216" s="31"/>
      <c r="F216" s="31"/>
      <c r="G216" s="31"/>
      <c r="H216" s="43"/>
      <c r="I216" s="41" t="str">
        <f>IF(Table46[[#This Row],[Month-Year]]="","",TEXT(Table46[[#This Row],[Month-Year]],"MMM-YY"))</f>
        <v/>
      </c>
      <c r="J216" s="31"/>
      <c r="K216" s="39">
        <f t="shared" si="7"/>
        <v>0</v>
      </c>
    </row>
    <row r="217" spans="3:11" ht="15.2">
      <c r="C217" s="29"/>
      <c r="D217" s="30"/>
      <c r="E217" s="31"/>
      <c r="F217" s="31"/>
      <c r="G217" s="31"/>
      <c r="H217" s="43"/>
      <c r="I217" s="41" t="str">
        <f>IF(Table46[[#This Row],[Month-Year]]="","",TEXT(Table46[[#This Row],[Month-Year]],"MMM-YY"))</f>
        <v/>
      </c>
      <c r="J217" s="31"/>
      <c r="K217" s="39">
        <f t="shared" si="7"/>
        <v>0</v>
      </c>
    </row>
    <row r="218" spans="3:11" ht="15.2">
      <c r="C218" s="29"/>
      <c r="D218" s="30"/>
      <c r="E218" s="31"/>
      <c r="F218" s="31"/>
      <c r="G218" s="31"/>
      <c r="H218" s="43"/>
      <c r="I218" s="41" t="str">
        <f>IF(Table46[[#This Row],[Month-Year]]="","",TEXT(Table46[[#This Row],[Month-Year]],"MMM-YY"))</f>
        <v/>
      </c>
      <c r="J218" s="31"/>
      <c r="K218" s="39">
        <f t="shared" si="7"/>
        <v>0</v>
      </c>
    </row>
    <row r="219" spans="3:11" ht="15.2">
      <c r="C219" s="29"/>
      <c r="D219" s="30"/>
      <c r="E219" s="31"/>
      <c r="F219" s="31"/>
      <c r="G219" s="31"/>
      <c r="H219" s="43"/>
      <c r="I219" s="41" t="str">
        <f>IF(Table46[[#This Row],[Month-Year]]="","",TEXT(Table46[[#This Row],[Month-Year]],"MMM-YY"))</f>
        <v/>
      </c>
      <c r="J219" s="31"/>
      <c r="K219" s="39">
        <f t="shared" si="7"/>
        <v>0</v>
      </c>
    </row>
    <row r="220" spans="3:11" ht="15.2">
      <c r="C220" s="29"/>
      <c r="D220" s="30"/>
      <c r="E220" s="31"/>
      <c r="F220" s="31"/>
      <c r="G220" s="31"/>
      <c r="H220" s="43"/>
      <c r="I220" s="41" t="str">
        <f>IF(Table46[[#This Row],[Month-Year]]="","",TEXT(Table46[[#This Row],[Month-Year]],"MMM-YY"))</f>
        <v/>
      </c>
      <c r="J220" s="31"/>
      <c r="K220" s="39">
        <f t="shared" si="7"/>
        <v>0</v>
      </c>
    </row>
    <row r="221" spans="3:11" ht="15.2">
      <c r="C221" s="29"/>
      <c r="D221" s="30"/>
      <c r="E221" s="31"/>
      <c r="F221" s="31"/>
      <c r="G221" s="31"/>
      <c r="H221" s="43"/>
      <c r="I221" s="41" t="str">
        <f>IF(Table46[[#This Row],[Month-Year]]="","",TEXT(Table46[[#This Row],[Month-Year]],"MMM-YY"))</f>
        <v/>
      </c>
      <c r="J221" s="31"/>
      <c r="K221" s="39">
        <f t="shared" si="7"/>
        <v>0</v>
      </c>
    </row>
    <row r="222" spans="3:11" ht="15.2">
      <c r="C222" s="29"/>
      <c r="D222" s="30"/>
      <c r="E222" s="31"/>
      <c r="F222" s="31"/>
      <c r="G222" s="31"/>
      <c r="H222" s="43"/>
      <c r="I222" s="41" t="str">
        <f>IF(Table46[[#This Row],[Month-Year]]="","",TEXT(Table46[[#This Row],[Month-Year]],"MMM-YY"))</f>
        <v/>
      </c>
      <c r="J222" s="31"/>
      <c r="K222" s="39">
        <f t="shared" si="7"/>
        <v>0</v>
      </c>
    </row>
    <row r="223" spans="3:11" ht="15.2">
      <c r="C223" s="29"/>
      <c r="D223" s="30"/>
      <c r="E223" s="31"/>
      <c r="F223" s="31"/>
      <c r="G223" s="31"/>
      <c r="H223" s="43"/>
      <c r="I223" s="41" t="str">
        <f>IF(Table46[[#This Row],[Month-Year]]="","",TEXT(Table46[[#This Row],[Month-Year]],"MMM-YY"))</f>
        <v/>
      </c>
      <c r="J223" s="31"/>
      <c r="K223" s="39">
        <f t="shared" si="7"/>
        <v>0</v>
      </c>
    </row>
    <row r="224" spans="3:11" ht="15.2">
      <c r="C224" s="29"/>
      <c r="D224" s="30"/>
      <c r="E224" s="31"/>
      <c r="F224" s="31"/>
      <c r="G224" s="31"/>
      <c r="H224" s="43"/>
      <c r="I224" s="41" t="str">
        <f>IF(Table46[[#This Row],[Month-Year]]="","",TEXT(Table46[[#This Row],[Month-Year]],"MMM-YY"))</f>
        <v/>
      </c>
      <c r="J224" s="31"/>
      <c r="K224" s="39">
        <f t="shared" si="7"/>
        <v>0</v>
      </c>
    </row>
    <row r="225" spans="3:11" ht="15.2">
      <c r="C225" s="29"/>
      <c r="D225" s="30"/>
      <c r="E225" s="31"/>
      <c r="F225" s="31"/>
      <c r="G225" s="31"/>
      <c r="H225" s="43"/>
      <c r="I225" s="41" t="str">
        <f>IF(Table46[[#This Row],[Month-Year]]="","",TEXT(Table46[[#This Row],[Month-Year]],"MMM-YY"))</f>
        <v/>
      </c>
      <c r="J225" s="31"/>
      <c r="K225" s="39">
        <f t="shared" si="7"/>
        <v>0</v>
      </c>
    </row>
    <row r="226" spans="3:11" ht="15.2">
      <c r="C226" s="29"/>
      <c r="D226" s="30"/>
      <c r="E226" s="31"/>
      <c r="F226" s="31"/>
      <c r="G226" s="31"/>
      <c r="H226" s="43"/>
      <c r="I226" s="41" t="str">
        <f>IF(Table46[[#This Row],[Month-Year]]="","",TEXT(Table46[[#This Row],[Month-Year]],"MMM-YY"))</f>
        <v/>
      </c>
      <c r="J226" s="31"/>
      <c r="K226" s="39">
        <f t="shared" si="7"/>
        <v>0</v>
      </c>
    </row>
    <row r="227" spans="3:11" ht="15.2">
      <c r="C227" s="29"/>
      <c r="D227" s="30"/>
      <c r="E227" s="31"/>
      <c r="F227" s="31"/>
      <c r="G227" s="31"/>
      <c r="H227" s="43"/>
      <c r="I227" s="41" t="str">
        <f>IF(Table46[[#This Row],[Month-Year]]="","",TEXT(Table46[[#This Row],[Month-Year]],"MMM-YY"))</f>
        <v/>
      </c>
      <c r="J227" s="31"/>
      <c r="K227" s="39">
        <f t="shared" si="7"/>
        <v>0</v>
      </c>
    </row>
    <row r="228" spans="3:11" ht="15.2">
      <c r="C228" s="29"/>
      <c r="D228" s="30"/>
      <c r="E228" s="31"/>
      <c r="F228" s="31"/>
      <c r="G228" s="31"/>
      <c r="H228" s="43"/>
      <c r="I228" s="41" t="str">
        <f>IF(Table46[[#This Row],[Month-Year]]="","",TEXT(Table46[[#This Row],[Month-Year]],"MMM-YY"))</f>
        <v/>
      </c>
      <c r="J228" s="31"/>
      <c r="K228" s="39">
        <f t="shared" si="7"/>
        <v>0</v>
      </c>
    </row>
    <row r="229" spans="3:11" ht="15.2">
      <c r="C229" s="29"/>
      <c r="D229" s="30"/>
      <c r="E229" s="31"/>
      <c r="F229" s="31"/>
      <c r="G229" s="31"/>
      <c r="H229" s="43"/>
      <c r="I229" s="41" t="str">
        <f>IF(Table46[[#This Row],[Month-Year]]="","",TEXT(Table46[[#This Row],[Month-Year]],"MMM-YY"))</f>
        <v/>
      </c>
      <c r="J229" s="31"/>
      <c r="K229" s="39">
        <f t="shared" si="7"/>
        <v>0</v>
      </c>
    </row>
    <row r="230" spans="3:11" ht="15.2">
      <c r="C230" s="29"/>
      <c r="D230" s="30"/>
      <c r="E230" s="31"/>
      <c r="F230" s="31"/>
      <c r="G230" s="31"/>
      <c r="H230" s="43"/>
      <c r="I230" s="41" t="str">
        <f>IF(Table46[[#This Row],[Month-Year]]="","",TEXT(Table46[[#This Row],[Month-Year]],"MMM-YY"))</f>
        <v/>
      </c>
      <c r="J230" s="31"/>
      <c r="K230" s="39">
        <f t="shared" si="7"/>
        <v>0</v>
      </c>
    </row>
    <row r="231" spans="3:11" ht="15.2">
      <c r="C231" s="29"/>
      <c r="D231" s="30"/>
      <c r="E231" s="31"/>
      <c r="F231" s="31"/>
      <c r="G231" s="31"/>
      <c r="H231" s="43"/>
      <c r="I231" s="41" t="str">
        <f>IF(Table46[[#This Row],[Month-Year]]="","",TEXT(Table46[[#This Row],[Month-Year]],"MMM-YY"))</f>
        <v/>
      </c>
      <c r="J231" s="31"/>
      <c r="K231" s="39">
        <f t="shared" si="7"/>
        <v>0</v>
      </c>
    </row>
    <row r="232" spans="3:11" ht="15.2">
      <c r="C232" s="29"/>
      <c r="D232" s="30"/>
      <c r="E232" s="31"/>
      <c r="F232" s="31"/>
      <c r="G232" s="31"/>
      <c r="H232" s="43"/>
      <c r="I232" s="41" t="str">
        <f>IF(Table46[[#This Row],[Month-Year]]="","",TEXT(Table46[[#This Row],[Month-Year]],"MMM-YY"))</f>
        <v/>
      </c>
      <c r="J232" s="31"/>
      <c r="K232" s="39">
        <f t="shared" si="7"/>
        <v>0</v>
      </c>
    </row>
    <row r="233" spans="3:11" ht="15.2">
      <c r="C233" s="29"/>
      <c r="D233" s="30"/>
      <c r="E233" s="31"/>
      <c r="F233" s="31"/>
      <c r="G233" s="31"/>
      <c r="H233" s="43"/>
      <c r="I233" s="41" t="str">
        <f>IF(Table46[[#This Row],[Month-Year]]="","",TEXT(Table46[[#This Row],[Month-Year]],"MMM-YY"))</f>
        <v/>
      </c>
      <c r="J233" s="31"/>
      <c r="K233" s="39">
        <f t="shared" si="7"/>
        <v>0</v>
      </c>
    </row>
    <row r="234" spans="3:11" ht="15.2">
      <c r="C234" s="29"/>
      <c r="D234" s="30"/>
      <c r="E234" s="31"/>
      <c r="F234" s="31"/>
      <c r="G234" s="31"/>
      <c r="H234" s="43"/>
      <c r="I234" s="41" t="str">
        <f>IF(Table46[[#This Row],[Month-Year]]="","",TEXT(Table46[[#This Row],[Month-Year]],"MMM-YY"))</f>
        <v/>
      </c>
      <c r="J234" s="31"/>
      <c r="K234" s="39">
        <f t="shared" si="7"/>
        <v>0</v>
      </c>
    </row>
    <row r="235" spans="3:11" ht="15.2">
      <c r="C235" s="29"/>
      <c r="D235" s="30"/>
      <c r="E235" s="31"/>
      <c r="F235" s="31"/>
      <c r="G235" s="31"/>
      <c r="H235" s="43"/>
      <c r="I235" s="41" t="str">
        <f>IF(Table46[[#This Row],[Month-Year]]="","",TEXT(Table46[[#This Row],[Month-Year]],"MMM-YY"))</f>
        <v/>
      </c>
      <c r="J235" s="31"/>
      <c r="K235" s="39">
        <f t="shared" si="7"/>
        <v>0</v>
      </c>
    </row>
    <row r="236" spans="3:11" ht="15.2">
      <c r="C236" s="29"/>
      <c r="D236" s="30"/>
      <c r="E236" s="31"/>
      <c r="F236" s="31"/>
      <c r="G236" s="31"/>
      <c r="H236" s="43"/>
      <c r="I236" s="41" t="str">
        <f>IF(Table46[[#This Row],[Month-Year]]="","",TEXT(Table46[[#This Row],[Month-Year]],"MMM-YY"))</f>
        <v/>
      </c>
      <c r="J236" s="31"/>
      <c r="K236" s="39">
        <f t="shared" si="7"/>
        <v>0</v>
      </c>
    </row>
    <row r="237" spans="3:11" ht="15.2">
      <c r="C237" s="29"/>
      <c r="D237" s="30"/>
      <c r="E237" s="31"/>
      <c r="F237" s="31"/>
      <c r="G237" s="31"/>
      <c r="H237" s="43"/>
      <c r="I237" s="41" t="str">
        <f>IF(Table46[[#This Row],[Month-Year]]="","",TEXT(Table46[[#This Row],[Month-Year]],"MMM-YY"))</f>
        <v/>
      </c>
      <c r="J237" s="31"/>
      <c r="K237" s="39">
        <f t="shared" ref="K237:K239" si="8">(F237*G237)*E237/100</f>
        <v>0</v>
      </c>
    </row>
    <row r="238" spans="3:11" ht="15.2">
      <c r="C238" s="29"/>
      <c r="D238" s="30"/>
      <c r="E238" s="31"/>
      <c r="F238" s="31"/>
      <c r="G238" s="31"/>
      <c r="H238" s="43"/>
      <c r="I238" s="41" t="str">
        <f>IF(Table46[[#This Row],[Month-Year]]="","",TEXT(Table46[[#This Row],[Month-Year]],"MMM-YY"))</f>
        <v/>
      </c>
      <c r="J238" s="31"/>
      <c r="K238" s="39">
        <f t="shared" si="8"/>
        <v>0</v>
      </c>
    </row>
    <row r="239" spans="3:11" ht="15.2">
      <c r="C239" s="29"/>
      <c r="D239" s="30"/>
      <c r="E239" s="31"/>
      <c r="F239" s="31"/>
      <c r="G239" s="31"/>
      <c r="H239" s="43"/>
      <c r="I239" s="41" t="str">
        <f>IF(Table46[[#This Row],[Month-Year]]="","",TEXT(Table46[[#This Row],[Month-Year]],"MMM-YY"))</f>
        <v/>
      </c>
      <c r="J239" s="31"/>
      <c r="K239" s="39">
        <f t="shared" si="8"/>
        <v>0</v>
      </c>
    </row>
    <row r="240" spans="3:11" ht="15.2">
      <c r="C240" s="29"/>
      <c r="D240" s="30"/>
      <c r="E240" s="31"/>
      <c r="F240" s="31"/>
      <c r="G240" s="31"/>
      <c r="H240" s="43"/>
      <c r="I240" s="41" t="str">
        <f>IF(Table46[[#This Row],[Month-Year]]="","",TEXT(Table46[[#This Row],[Month-Year]],"MMM-YY"))</f>
        <v/>
      </c>
      <c r="J240" s="31"/>
      <c r="K240" s="39">
        <f t="shared" ref="K240:K242" si="9">(F240*G240)*E240/100</f>
        <v>0</v>
      </c>
    </row>
    <row r="241" spans="3:11" ht="15.2">
      <c r="C241" s="29"/>
      <c r="D241" s="30"/>
      <c r="E241" s="31"/>
      <c r="F241" s="31"/>
      <c r="G241" s="31"/>
      <c r="H241" s="43"/>
      <c r="I241" s="41" t="str">
        <f>IF(Table46[[#This Row],[Month-Year]]="","",TEXT(Table46[[#This Row],[Month-Year]],"MMM-YY"))</f>
        <v/>
      </c>
      <c r="J241" s="31"/>
      <c r="K241" s="39">
        <f t="shared" si="9"/>
        <v>0</v>
      </c>
    </row>
    <row r="242" spans="3:11" ht="15.2">
      <c r="C242" s="29"/>
      <c r="D242" s="30"/>
      <c r="E242" s="31"/>
      <c r="F242" s="31"/>
      <c r="G242" s="31"/>
      <c r="H242" s="43"/>
      <c r="I242" s="41" t="str">
        <f>IF(Table46[[#This Row],[Month-Year]]="","",TEXT(Table46[[#This Row],[Month-Year]],"MMM-YY"))</f>
        <v/>
      </c>
      <c r="J242" s="31"/>
      <c r="K242" s="39">
        <f t="shared" si="9"/>
        <v>0</v>
      </c>
    </row>
    <row r="243" spans="3:11" ht="15.2">
      <c r="C243" s="29"/>
      <c r="D243" s="30"/>
      <c r="E243" s="31"/>
      <c r="F243" s="31"/>
      <c r="G243" s="31"/>
      <c r="H243" s="43"/>
      <c r="I243" s="41" t="str">
        <f>IF(Table46[[#This Row],[Month-Year]]="","",TEXT(Table46[[#This Row],[Month-Year]],"MMM-YY"))</f>
        <v/>
      </c>
      <c r="J243" s="31"/>
      <c r="K243" s="39">
        <f t="shared" ref="K243:K245" si="10">(F243*G243)*E243/100</f>
        <v>0</v>
      </c>
    </row>
    <row r="244" spans="3:11" ht="15.2">
      <c r="C244" s="29"/>
      <c r="D244" s="30"/>
      <c r="E244" s="31"/>
      <c r="F244" s="31"/>
      <c r="G244" s="31"/>
      <c r="H244" s="43"/>
      <c r="I244" s="41" t="str">
        <f>IF(Table46[[#This Row],[Month-Year]]="","",TEXT(Table46[[#This Row],[Month-Year]],"MMM-YY"))</f>
        <v/>
      </c>
      <c r="J244" s="31"/>
      <c r="K244" s="39">
        <f t="shared" si="10"/>
        <v>0</v>
      </c>
    </row>
    <row r="245" spans="3:11" ht="15.2">
      <c r="C245" s="29"/>
      <c r="D245" s="30"/>
      <c r="E245" s="31"/>
      <c r="F245" s="31"/>
      <c r="G245" s="31"/>
      <c r="H245" s="43"/>
      <c r="I245" s="41" t="str">
        <f>IF(Table46[[#This Row],[Month-Year]]="","",TEXT(Table46[[#This Row],[Month-Year]],"MMM-YY"))</f>
        <v/>
      </c>
      <c r="J245" s="31"/>
      <c r="K245" s="39">
        <f t="shared" si="10"/>
        <v>0</v>
      </c>
    </row>
    <row r="246" spans="3:11" ht="15.2">
      <c r="C246" s="29"/>
      <c r="D246" s="30"/>
      <c r="E246" s="31"/>
      <c r="F246" s="31"/>
      <c r="G246" s="31"/>
      <c r="H246" s="43"/>
      <c r="I246" s="41" t="str">
        <f>IF(Table46[[#This Row],[Month-Year]]="","",TEXT(Table46[[#This Row],[Month-Year]],"MMM-YY"))</f>
        <v/>
      </c>
      <c r="J246" s="31"/>
      <c r="K246" s="39">
        <f t="shared" ref="K246:K248" si="11">(F246*G246)*E246/100</f>
        <v>0</v>
      </c>
    </row>
    <row r="247" spans="3:11" ht="15.2">
      <c r="C247" s="29"/>
      <c r="D247" s="30"/>
      <c r="E247" s="31"/>
      <c r="F247" s="31"/>
      <c r="G247" s="31"/>
      <c r="H247" s="43"/>
      <c r="I247" s="41" t="str">
        <f>IF(Table46[[#This Row],[Month-Year]]="","",TEXT(Table46[[#This Row],[Month-Year]],"MMM-YY"))</f>
        <v/>
      </c>
      <c r="J247" s="31"/>
      <c r="K247" s="39">
        <f t="shared" si="11"/>
        <v>0</v>
      </c>
    </row>
    <row r="248" spans="3:11" ht="15.2">
      <c r="C248" s="29"/>
      <c r="D248" s="30"/>
      <c r="E248" s="31"/>
      <c r="F248" s="31"/>
      <c r="G248" s="31"/>
      <c r="H248" s="43"/>
      <c r="I248" s="41" t="str">
        <f>IF(Table46[[#This Row],[Month-Year]]="","",TEXT(Table46[[#This Row],[Month-Year]],"MMM-YY"))</f>
        <v/>
      </c>
      <c r="J248" s="31"/>
      <c r="K248" s="39">
        <f t="shared" si="11"/>
        <v>0</v>
      </c>
    </row>
    <row r="249" spans="3:11" ht="15.2">
      <c r="C249" s="29"/>
      <c r="D249" s="30"/>
      <c r="E249" s="31"/>
      <c r="F249" s="31"/>
      <c r="G249" s="31"/>
      <c r="H249" s="43"/>
      <c r="I249" s="41" t="str">
        <f>IF(Table46[[#This Row],[Month-Year]]="","",TEXT(Table46[[#This Row],[Month-Year]],"MMM-YY"))</f>
        <v/>
      </c>
      <c r="J249" s="31"/>
      <c r="K249" s="39">
        <f t="shared" ref="K249:K251" si="12">(F249*G249)*E249/100</f>
        <v>0</v>
      </c>
    </row>
    <row r="250" spans="3:11" ht="15.2">
      <c r="C250" s="29"/>
      <c r="D250" s="30"/>
      <c r="E250" s="31"/>
      <c r="F250" s="31"/>
      <c r="G250" s="31"/>
      <c r="H250" s="43"/>
      <c r="I250" s="41" t="str">
        <f>IF(Table46[[#This Row],[Month-Year]]="","",TEXT(Table46[[#This Row],[Month-Year]],"MMM-YY"))</f>
        <v/>
      </c>
      <c r="J250" s="31"/>
      <c r="K250" s="39">
        <f t="shared" si="12"/>
        <v>0</v>
      </c>
    </row>
    <row r="251" spans="3:11" ht="15.2">
      <c r="C251" s="29"/>
      <c r="D251" s="30"/>
      <c r="E251" s="31"/>
      <c r="F251" s="31"/>
      <c r="G251" s="31"/>
      <c r="H251" s="43"/>
      <c r="I251" s="41" t="str">
        <f>IF(Table46[[#This Row],[Month-Year]]="","",TEXT(Table46[[#This Row],[Month-Year]],"MMM-YY"))</f>
        <v/>
      </c>
      <c r="J251" s="31"/>
      <c r="K251" s="39">
        <f t="shared" si="12"/>
        <v>0</v>
      </c>
    </row>
    <row r="252" spans="3:11" ht="15.2">
      <c r="C252" s="29"/>
      <c r="D252" s="30"/>
      <c r="E252" s="31"/>
      <c r="F252" s="31"/>
      <c r="G252" s="31"/>
      <c r="H252" s="43"/>
      <c r="I252" s="41" t="str">
        <f>IF(Table46[[#This Row],[Month-Year]]="","",TEXT(Table46[[#This Row],[Month-Year]],"MMM-YY"))</f>
        <v/>
      </c>
      <c r="J252" s="31"/>
      <c r="K252" s="39">
        <f t="shared" ref="K252:K254" si="13">(F252*G252)*E252/100</f>
        <v>0</v>
      </c>
    </row>
    <row r="253" spans="3:11" ht="15.2">
      <c r="C253" s="29"/>
      <c r="D253" s="30"/>
      <c r="E253" s="31"/>
      <c r="F253" s="31"/>
      <c r="G253" s="31"/>
      <c r="H253" s="43"/>
      <c r="I253" s="41" t="str">
        <f>IF(Table46[[#This Row],[Month-Year]]="","",TEXT(Table46[[#This Row],[Month-Year]],"MMM-YY"))</f>
        <v/>
      </c>
      <c r="J253" s="31"/>
      <c r="K253" s="39">
        <f t="shared" si="13"/>
        <v>0</v>
      </c>
    </row>
    <row r="254" spans="3:11" ht="15.2">
      <c r="C254" s="29"/>
      <c r="D254" s="30"/>
      <c r="E254" s="31"/>
      <c r="F254" s="31"/>
      <c r="G254" s="31"/>
      <c r="H254" s="43"/>
      <c r="I254" s="41" t="str">
        <f>IF(Table46[[#This Row],[Month-Year]]="","",TEXT(Table46[[#This Row],[Month-Year]],"MMM-YY"))</f>
        <v/>
      </c>
      <c r="J254" s="31"/>
      <c r="K254" s="39">
        <f t="shared" si="13"/>
        <v>0</v>
      </c>
    </row>
    <row r="255" spans="3:11" ht="15.2">
      <c r="C255" s="29"/>
      <c r="D255" s="30"/>
      <c r="E255" s="31"/>
      <c r="F255" s="31"/>
      <c r="G255" s="31"/>
      <c r="H255" s="43"/>
      <c r="I255" s="41" t="str">
        <f>IF(Table46[[#This Row],[Month-Year]]="","",TEXT(Table46[[#This Row],[Month-Year]],"MMM-YY"))</f>
        <v/>
      </c>
      <c r="J255" s="31"/>
      <c r="K255" s="39">
        <f t="shared" ref="K255:K257" si="14">(F255*G255)*E255/100</f>
        <v>0</v>
      </c>
    </row>
    <row r="256" spans="3:11" ht="15.2">
      <c r="C256" s="29"/>
      <c r="D256" s="30"/>
      <c r="E256" s="31"/>
      <c r="F256" s="31"/>
      <c r="G256" s="31"/>
      <c r="H256" s="43"/>
      <c r="I256" s="41" t="str">
        <f>IF(Table46[[#This Row],[Month-Year]]="","",TEXT(Table46[[#This Row],[Month-Year]],"MMM-YY"))</f>
        <v/>
      </c>
      <c r="J256" s="31"/>
      <c r="K256" s="39">
        <f t="shared" si="14"/>
        <v>0</v>
      </c>
    </row>
    <row r="257" spans="3:11" ht="15.2">
      <c r="C257" s="29"/>
      <c r="D257" s="30"/>
      <c r="E257" s="31"/>
      <c r="F257" s="31"/>
      <c r="G257" s="31"/>
      <c r="H257" s="43"/>
      <c r="I257" s="41" t="str">
        <f>IF(Table46[[#This Row],[Month-Year]]="","",TEXT(Table46[[#This Row],[Month-Year]],"MMM-YY"))</f>
        <v/>
      </c>
      <c r="J257" s="31"/>
      <c r="K257" s="39">
        <f t="shared" si="14"/>
        <v>0</v>
      </c>
    </row>
    <row r="258" spans="3:11" ht="15.2">
      <c r="C258" s="29"/>
      <c r="D258" s="30"/>
      <c r="E258" s="31"/>
      <c r="F258" s="31"/>
      <c r="G258" s="31"/>
      <c r="H258" s="43"/>
      <c r="I258" s="41" t="str">
        <f>IF(Table46[[#This Row],[Month-Year]]="","",TEXT(Table46[[#This Row],[Month-Year]],"MMM-YY"))</f>
        <v/>
      </c>
      <c r="J258" s="31"/>
      <c r="K258" s="39">
        <f t="shared" ref="K258:K260" si="15">(F258*G258)*E258/100</f>
        <v>0</v>
      </c>
    </row>
    <row r="259" spans="3:11" ht="15.2">
      <c r="C259" s="29"/>
      <c r="D259" s="30"/>
      <c r="E259" s="31"/>
      <c r="F259" s="31"/>
      <c r="G259" s="31"/>
      <c r="H259" s="43"/>
      <c r="I259" s="41" t="str">
        <f>IF(Table46[[#This Row],[Month-Year]]="","",TEXT(Table46[[#This Row],[Month-Year]],"MMM-YY"))</f>
        <v/>
      </c>
      <c r="J259" s="31"/>
      <c r="K259" s="39">
        <f t="shared" si="15"/>
        <v>0</v>
      </c>
    </row>
    <row r="260" spans="3:11" ht="15.2">
      <c r="C260" s="29"/>
      <c r="D260" s="30"/>
      <c r="E260" s="31"/>
      <c r="F260" s="31"/>
      <c r="G260" s="31"/>
      <c r="H260" s="43"/>
      <c r="I260" s="41" t="str">
        <f>IF(Table46[[#This Row],[Month-Year]]="","",TEXT(Table46[[#This Row],[Month-Year]],"MMM-YY"))</f>
        <v/>
      </c>
      <c r="J260" s="31"/>
      <c r="K260" s="39">
        <f t="shared" si="15"/>
        <v>0</v>
      </c>
    </row>
    <row r="261" spans="3:11" ht="15.2">
      <c r="C261" s="29"/>
      <c r="D261" s="30"/>
      <c r="E261" s="31"/>
      <c r="F261" s="31"/>
      <c r="G261" s="31"/>
      <c r="H261" s="43"/>
      <c r="I261" s="41" t="str">
        <f>IF(Table46[[#This Row],[Month-Year]]="","",TEXT(Table46[[#This Row],[Month-Year]],"MMM-YY"))</f>
        <v/>
      </c>
      <c r="J261" s="31"/>
      <c r="K261" s="39">
        <f t="shared" ref="K261:K263" si="16">(F261*G261)*E261/100</f>
        <v>0</v>
      </c>
    </row>
    <row r="262" spans="3:11" ht="15.2">
      <c r="C262" s="29"/>
      <c r="D262" s="30"/>
      <c r="E262" s="31"/>
      <c r="F262" s="31"/>
      <c r="G262" s="31"/>
      <c r="H262" s="43"/>
      <c r="I262" s="41" t="str">
        <f>IF(Table46[[#This Row],[Month-Year]]="","",TEXT(Table46[[#This Row],[Month-Year]],"MMM-YY"))</f>
        <v/>
      </c>
      <c r="J262" s="31"/>
      <c r="K262" s="39">
        <f t="shared" si="16"/>
        <v>0</v>
      </c>
    </row>
    <row r="263" spans="3:11" ht="15.2">
      <c r="C263" s="29"/>
      <c r="D263" s="30"/>
      <c r="E263" s="31"/>
      <c r="F263" s="31"/>
      <c r="G263" s="31"/>
      <c r="H263" s="43"/>
      <c r="I263" s="41" t="str">
        <f>IF(Table46[[#This Row],[Month-Year]]="","",TEXT(Table46[[#This Row],[Month-Year]],"MMM-YY"))</f>
        <v/>
      </c>
      <c r="J263" s="31"/>
      <c r="K263" s="39">
        <f t="shared" si="16"/>
        <v>0</v>
      </c>
    </row>
    <row r="264" spans="3:11" ht="15.2">
      <c r="C264" s="29"/>
      <c r="D264" s="30"/>
      <c r="E264" s="31"/>
      <c r="F264" s="31"/>
      <c r="G264" s="31"/>
      <c r="H264" s="43"/>
      <c r="I264" s="41" t="str">
        <f>IF(Table46[[#This Row],[Month-Year]]="","",TEXT(Table46[[#This Row],[Month-Year]],"MMM-YY"))</f>
        <v/>
      </c>
      <c r="J264" s="31"/>
      <c r="K264" s="39">
        <f t="shared" ref="K264:K266" si="17">(F264*G264)*E264/100</f>
        <v>0</v>
      </c>
    </row>
    <row r="265" spans="3:11" ht="15.2">
      <c r="C265" s="29"/>
      <c r="D265" s="30"/>
      <c r="E265" s="31"/>
      <c r="F265" s="31"/>
      <c r="G265" s="31"/>
      <c r="H265" s="43"/>
      <c r="I265" s="41" t="str">
        <f>IF(Table46[[#This Row],[Month-Year]]="","",TEXT(Table46[[#This Row],[Month-Year]],"MMM-YY"))</f>
        <v/>
      </c>
      <c r="J265" s="31"/>
      <c r="K265" s="39">
        <f t="shared" si="17"/>
        <v>0</v>
      </c>
    </row>
    <row r="266" spans="3:11" ht="15.2">
      <c r="C266" s="29"/>
      <c r="D266" s="30"/>
      <c r="E266" s="31"/>
      <c r="F266" s="31"/>
      <c r="G266" s="31"/>
      <c r="H266" s="43"/>
      <c r="I266" s="41" t="str">
        <f>IF(Table46[[#This Row],[Month-Year]]="","",TEXT(Table46[[#This Row],[Month-Year]],"MMM-YY"))</f>
        <v/>
      </c>
      <c r="J266" s="31"/>
      <c r="K266" s="39">
        <f t="shared" si="17"/>
        <v>0</v>
      </c>
    </row>
    <row r="267" spans="3:11" ht="15.2">
      <c r="C267" s="29"/>
      <c r="D267" s="30"/>
      <c r="E267" s="31"/>
      <c r="F267" s="31"/>
      <c r="G267" s="31"/>
      <c r="H267" s="43"/>
      <c r="I267" s="41" t="str">
        <f>IF(Table46[[#This Row],[Month-Year]]="","",TEXT(Table46[[#This Row],[Month-Year]],"MMM-YY"))</f>
        <v/>
      </c>
      <c r="J267" s="31"/>
      <c r="K267" s="39">
        <f t="shared" ref="K267:K269" si="18">(F267*G267)*E267/100</f>
        <v>0</v>
      </c>
    </row>
    <row r="268" spans="3:11" ht="15.2">
      <c r="C268" s="29"/>
      <c r="D268" s="30"/>
      <c r="E268" s="31"/>
      <c r="F268" s="31"/>
      <c r="G268" s="31"/>
      <c r="H268" s="43"/>
      <c r="I268" s="41" t="str">
        <f>IF(Table46[[#This Row],[Month-Year]]="","",TEXT(Table46[[#This Row],[Month-Year]],"MMM-YY"))</f>
        <v/>
      </c>
      <c r="J268" s="31"/>
      <c r="K268" s="39">
        <f t="shared" si="18"/>
        <v>0</v>
      </c>
    </row>
    <row r="269" spans="3:11" ht="15.2">
      <c r="C269" s="29"/>
      <c r="D269" s="30"/>
      <c r="E269" s="31"/>
      <c r="F269" s="31"/>
      <c r="G269" s="31"/>
      <c r="H269" s="43"/>
      <c r="I269" s="41" t="str">
        <f>IF(Table46[[#This Row],[Month-Year]]="","",TEXT(Table46[[#This Row],[Month-Year]],"MMM-YY"))</f>
        <v/>
      </c>
      <c r="J269" s="31"/>
      <c r="K269" s="39">
        <f t="shared" si="18"/>
        <v>0</v>
      </c>
    </row>
    <row r="270" spans="3:11" ht="15.2">
      <c r="C270" s="29"/>
      <c r="D270" s="30"/>
      <c r="E270" s="31"/>
      <c r="F270" s="31"/>
      <c r="G270" s="31"/>
      <c r="H270" s="43"/>
      <c r="I270" s="41" t="str">
        <f>IF(Table46[[#This Row],[Month-Year]]="","",TEXT(Table46[[#This Row],[Month-Year]],"MMM-YY"))</f>
        <v/>
      </c>
      <c r="J270" s="31"/>
      <c r="K270" s="39">
        <f t="shared" ref="K270:K272" si="19">(F270*G270)*E270/100</f>
        <v>0</v>
      </c>
    </row>
    <row r="271" spans="3:11" ht="15.2">
      <c r="C271" s="29"/>
      <c r="D271" s="30"/>
      <c r="E271" s="31"/>
      <c r="F271" s="31"/>
      <c r="G271" s="31"/>
      <c r="H271" s="43"/>
      <c r="I271" s="41" t="str">
        <f>IF(Table46[[#This Row],[Month-Year]]="","",TEXT(Table46[[#This Row],[Month-Year]],"MMM-YY"))</f>
        <v/>
      </c>
      <c r="J271" s="31"/>
      <c r="K271" s="39">
        <f t="shared" si="19"/>
        <v>0</v>
      </c>
    </row>
    <row r="272" spans="3:11" ht="15.2">
      <c r="C272" s="29"/>
      <c r="D272" s="30"/>
      <c r="E272" s="31"/>
      <c r="F272" s="31"/>
      <c r="G272" s="31"/>
      <c r="H272" s="43"/>
      <c r="I272" s="41" t="str">
        <f>IF(Table46[[#This Row],[Month-Year]]="","",TEXT(Table46[[#This Row],[Month-Year]],"MMM-YY"))</f>
        <v/>
      </c>
      <c r="J272" s="31"/>
      <c r="K272" s="39">
        <f t="shared" si="19"/>
        <v>0</v>
      </c>
    </row>
    <row r="273" spans="3:11" ht="15.2">
      <c r="C273" s="29"/>
      <c r="D273" s="30"/>
      <c r="E273" s="31"/>
      <c r="F273" s="31"/>
      <c r="G273" s="31"/>
      <c r="H273" s="43"/>
      <c r="I273" s="41" t="str">
        <f>IF(Table46[[#This Row],[Month-Year]]="","",TEXT(Table46[[#This Row],[Month-Year]],"MMM-YY"))</f>
        <v/>
      </c>
      <c r="J273" s="31"/>
      <c r="K273" s="39">
        <f t="shared" ref="K273:K275" si="20">(F273*G273)*E273/100</f>
        <v>0</v>
      </c>
    </row>
    <row r="274" spans="3:11" ht="15.2">
      <c r="C274" s="29"/>
      <c r="D274" s="30"/>
      <c r="E274" s="31"/>
      <c r="F274" s="31"/>
      <c r="G274" s="31"/>
      <c r="H274" s="43"/>
      <c r="I274" s="41" t="str">
        <f>IF(Table46[[#This Row],[Month-Year]]="","",TEXT(Table46[[#This Row],[Month-Year]],"MMM-YY"))</f>
        <v/>
      </c>
      <c r="J274" s="31"/>
      <c r="K274" s="39">
        <f t="shared" si="20"/>
        <v>0</v>
      </c>
    </row>
    <row r="275" spans="3:11" ht="15.2">
      <c r="C275" s="29"/>
      <c r="D275" s="30"/>
      <c r="E275" s="31"/>
      <c r="F275" s="31"/>
      <c r="G275" s="31"/>
      <c r="H275" s="43"/>
      <c r="I275" s="41" t="str">
        <f>IF(Table46[[#This Row],[Month-Year]]="","",TEXT(Table46[[#This Row],[Month-Year]],"MMM-YY"))</f>
        <v/>
      </c>
      <c r="J275" s="31"/>
      <c r="K275" s="39">
        <f t="shared" si="20"/>
        <v>0</v>
      </c>
    </row>
    <row r="276" spans="3:11" ht="15.2">
      <c r="C276" s="29"/>
      <c r="D276" s="30"/>
      <c r="E276" s="31"/>
      <c r="F276" s="31"/>
      <c r="G276" s="31"/>
      <c r="H276" s="43"/>
      <c r="I276" s="41" t="str">
        <f>IF(Table46[[#This Row],[Month-Year]]="","",TEXT(Table46[[#This Row],[Month-Year]],"MMM-YY"))</f>
        <v/>
      </c>
      <c r="J276" s="31"/>
      <c r="K276" s="39">
        <f t="shared" ref="K276:K278" si="21">(F276*G276)*E276/100</f>
        <v>0</v>
      </c>
    </row>
    <row r="277" spans="3:11" ht="15.2">
      <c r="C277" s="29"/>
      <c r="D277" s="30"/>
      <c r="E277" s="31"/>
      <c r="F277" s="31"/>
      <c r="G277" s="31"/>
      <c r="H277" s="43"/>
      <c r="I277" s="41" t="str">
        <f>IF(Table46[[#This Row],[Month-Year]]="","",TEXT(Table46[[#This Row],[Month-Year]],"MMM-YY"))</f>
        <v/>
      </c>
      <c r="J277" s="31"/>
      <c r="K277" s="39">
        <f t="shared" si="21"/>
        <v>0</v>
      </c>
    </row>
    <row r="278" spans="3:11" ht="15.2">
      <c r="C278" s="29"/>
      <c r="D278" s="30"/>
      <c r="E278" s="31"/>
      <c r="F278" s="31"/>
      <c r="G278" s="31"/>
      <c r="H278" s="43"/>
      <c r="I278" s="41" t="str">
        <f>IF(Table46[[#This Row],[Month-Year]]="","",TEXT(Table46[[#This Row],[Month-Year]],"MMM-YY"))</f>
        <v/>
      </c>
      <c r="J278" s="31"/>
      <c r="K278" s="39">
        <f t="shared" si="21"/>
        <v>0</v>
      </c>
    </row>
    <row r="279" spans="3:11" ht="15.2">
      <c r="C279" s="29"/>
      <c r="D279" s="30"/>
      <c r="E279" s="31"/>
      <c r="F279" s="31"/>
      <c r="G279" s="31"/>
      <c r="H279" s="43"/>
      <c r="I279" s="41" t="str">
        <f>IF(Table46[[#This Row],[Month-Year]]="","",TEXT(Table46[[#This Row],[Month-Year]],"MMM-YY"))</f>
        <v/>
      </c>
      <c r="J279" s="31"/>
      <c r="K279" s="39">
        <f t="shared" ref="K279:K281" si="22">(F279*G279)*E279/100</f>
        <v>0</v>
      </c>
    </row>
    <row r="280" spans="3:11" ht="15.2">
      <c r="C280" s="29"/>
      <c r="D280" s="30"/>
      <c r="E280" s="31"/>
      <c r="F280" s="31"/>
      <c r="G280" s="31"/>
      <c r="H280" s="43"/>
      <c r="I280" s="41" t="str">
        <f>IF(Table46[[#This Row],[Month-Year]]="","",TEXT(Table46[[#This Row],[Month-Year]],"MMM-YY"))</f>
        <v/>
      </c>
      <c r="J280" s="31"/>
      <c r="K280" s="39">
        <f t="shared" si="22"/>
        <v>0</v>
      </c>
    </row>
    <row r="281" spans="3:11" ht="15.2">
      <c r="C281" s="29"/>
      <c r="D281" s="30"/>
      <c r="E281" s="31"/>
      <c r="F281" s="31"/>
      <c r="G281" s="31"/>
      <c r="H281" s="43"/>
      <c r="I281" s="41" t="str">
        <f>IF(Table46[[#This Row],[Month-Year]]="","",TEXT(Table46[[#This Row],[Month-Year]],"MMM-YY"))</f>
        <v/>
      </c>
      <c r="J281" s="31"/>
      <c r="K281" s="39">
        <f t="shared" si="22"/>
        <v>0</v>
      </c>
    </row>
    <row r="282" spans="3:11" ht="15.2">
      <c r="C282" s="29"/>
      <c r="D282" s="30"/>
      <c r="E282" s="31"/>
      <c r="F282" s="31"/>
      <c r="G282" s="31"/>
      <c r="H282" s="43"/>
      <c r="I282" s="41" t="str">
        <f>IF(Table46[[#This Row],[Month-Year]]="","",TEXT(Table46[[#This Row],[Month-Year]],"MMM-YY"))</f>
        <v/>
      </c>
      <c r="J282" s="31"/>
      <c r="K282" s="39">
        <f t="shared" ref="K282:K284" si="23">(F282*G282)*E282/100</f>
        <v>0</v>
      </c>
    </row>
    <row r="283" spans="3:11" ht="15.2">
      <c r="C283" s="29"/>
      <c r="D283" s="30"/>
      <c r="E283" s="31"/>
      <c r="F283" s="31"/>
      <c r="G283" s="31"/>
      <c r="H283" s="43"/>
      <c r="I283" s="41" t="str">
        <f>IF(Table46[[#This Row],[Month-Year]]="","",TEXT(Table46[[#This Row],[Month-Year]],"MMM-YY"))</f>
        <v/>
      </c>
      <c r="J283" s="31"/>
      <c r="K283" s="39">
        <f t="shared" si="23"/>
        <v>0</v>
      </c>
    </row>
    <row r="284" spans="3:11" ht="15.2">
      <c r="C284" s="29"/>
      <c r="D284" s="30"/>
      <c r="E284" s="31"/>
      <c r="F284" s="31"/>
      <c r="G284" s="31"/>
      <c r="H284" s="43"/>
      <c r="I284" s="41" t="str">
        <f>IF(Table46[[#This Row],[Month-Year]]="","",TEXT(Table46[[#This Row],[Month-Year]],"MMM-YY"))</f>
        <v/>
      </c>
      <c r="J284" s="31"/>
      <c r="K284" s="39">
        <f t="shared" si="23"/>
        <v>0</v>
      </c>
    </row>
    <row r="285" spans="3:11" ht="15.2">
      <c r="C285" s="29"/>
      <c r="D285" s="30"/>
      <c r="E285" s="31"/>
      <c r="F285" s="31"/>
      <c r="G285" s="31"/>
      <c r="H285" s="43"/>
      <c r="I285" s="41" t="str">
        <f>IF(Table46[[#This Row],[Month-Year]]="","",TEXT(Table46[[#This Row],[Month-Year]],"MMM-YY"))</f>
        <v/>
      </c>
      <c r="J285" s="31"/>
      <c r="K285" s="39">
        <f t="shared" ref="K285:K287" si="24">(F285*G285)*E285/100</f>
        <v>0</v>
      </c>
    </row>
    <row r="286" spans="3:11" ht="15.2">
      <c r="C286" s="29"/>
      <c r="D286" s="30"/>
      <c r="E286" s="31"/>
      <c r="F286" s="31"/>
      <c r="G286" s="31"/>
      <c r="H286" s="43"/>
      <c r="I286" s="41" t="str">
        <f>IF(Table46[[#This Row],[Month-Year]]="","",TEXT(Table46[[#This Row],[Month-Year]],"MMM-YY"))</f>
        <v/>
      </c>
      <c r="J286" s="31"/>
      <c r="K286" s="39">
        <f t="shared" si="24"/>
        <v>0</v>
      </c>
    </row>
    <row r="287" spans="3:11" ht="15.2">
      <c r="C287" s="29"/>
      <c r="D287" s="30"/>
      <c r="E287" s="31"/>
      <c r="F287" s="31"/>
      <c r="G287" s="31"/>
      <c r="H287" s="43"/>
      <c r="I287" s="41" t="str">
        <f>IF(Table46[[#This Row],[Month-Year]]="","",TEXT(Table46[[#This Row],[Month-Year]],"MMM-YY"))</f>
        <v/>
      </c>
      <c r="J287" s="31"/>
      <c r="K287" s="39">
        <f t="shared" si="24"/>
        <v>0</v>
      </c>
    </row>
    <row r="288" spans="3:11" ht="15.2">
      <c r="C288" s="29"/>
      <c r="D288" s="30"/>
      <c r="E288" s="31"/>
      <c r="F288" s="31"/>
      <c r="G288" s="31"/>
      <c r="H288" s="43"/>
      <c r="I288" s="41" t="str">
        <f>IF(Table46[[#This Row],[Month-Year]]="","",TEXT(Table46[[#This Row],[Month-Year]],"MMM-YY"))</f>
        <v/>
      </c>
      <c r="J288" s="31"/>
      <c r="K288" s="39">
        <f t="shared" ref="K288:K290" si="25">(F288*G288)*E288/100</f>
        <v>0</v>
      </c>
    </row>
    <row r="289" spans="3:11" ht="15.2">
      <c r="C289" s="29"/>
      <c r="D289" s="30"/>
      <c r="E289" s="31"/>
      <c r="F289" s="31"/>
      <c r="G289" s="31"/>
      <c r="H289" s="43"/>
      <c r="I289" s="41" t="str">
        <f>IF(Table46[[#This Row],[Month-Year]]="","",TEXT(Table46[[#This Row],[Month-Year]],"MMM-YY"))</f>
        <v/>
      </c>
      <c r="J289" s="31"/>
      <c r="K289" s="39">
        <f t="shared" si="25"/>
        <v>0</v>
      </c>
    </row>
    <row r="290" spans="3:11" ht="15.2">
      <c r="C290" s="29"/>
      <c r="D290" s="30"/>
      <c r="E290" s="31"/>
      <c r="F290" s="31"/>
      <c r="G290" s="31"/>
      <c r="H290" s="43"/>
      <c r="I290" s="41" t="str">
        <f>IF(Table46[[#This Row],[Month-Year]]="","",TEXT(Table46[[#This Row],[Month-Year]],"MMM-YY"))</f>
        <v/>
      </c>
      <c r="J290" s="31"/>
      <c r="K290" s="39">
        <f t="shared" si="25"/>
        <v>0</v>
      </c>
    </row>
    <row r="291" spans="3:11" ht="15.2">
      <c r="C291" s="29"/>
      <c r="D291" s="30"/>
      <c r="E291" s="31"/>
      <c r="F291" s="31"/>
      <c r="G291" s="31"/>
      <c r="H291" s="43"/>
      <c r="I291" s="41" t="str">
        <f>IF(Table46[[#This Row],[Month-Year]]="","",TEXT(Table46[[#This Row],[Month-Year]],"MMM-YY"))</f>
        <v/>
      </c>
      <c r="J291" s="31"/>
      <c r="K291" s="39">
        <f t="shared" ref="K291:K293" si="26">(F291*G291)*E291/100</f>
        <v>0</v>
      </c>
    </row>
    <row r="292" spans="3:11" ht="15.2">
      <c r="C292" s="29"/>
      <c r="D292" s="30"/>
      <c r="E292" s="31"/>
      <c r="F292" s="31"/>
      <c r="G292" s="31"/>
      <c r="H292" s="43"/>
      <c r="I292" s="41" t="str">
        <f>IF(Table46[[#This Row],[Month-Year]]="","",TEXT(Table46[[#This Row],[Month-Year]],"MMM-YY"))</f>
        <v/>
      </c>
      <c r="J292" s="31"/>
      <c r="K292" s="39">
        <f t="shared" si="26"/>
        <v>0</v>
      </c>
    </row>
    <row r="293" spans="3:11" ht="15.2">
      <c r="C293" s="29"/>
      <c r="D293" s="30"/>
      <c r="E293" s="31"/>
      <c r="F293" s="31"/>
      <c r="G293" s="31"/>
      <c r="H293" s="43"/>
      <c r="I293" s="41" t="str">
        <f>IF(Table46[[#This Row],[Month-Year]]="","",TEXT(Table46[[#This Row],[Month-Year]],"MMM-YY"))</f>
        <v/>
      </c>
      <c r="J293" s="31"/>
      <c r="K293" s="39">
        <f t="shared" si="26"/>
        <v>0</v>
      </c>
    </row>
    <row r="294" spans="3:11" ht="15.2">
      <c r="C294" s="29"/>
      <c r="D294" s="30"/>
      <c r="E294" s="31"/>
      <c r="F294" s="31"/>
      <c r="G294" s="31"/>
      <c r="H294" s="43"/>
      <c r="I294" s="41" t="str">
        <f>IF(Table46[[#This Row],[Month-Year]]="","",TEXT(Table46[[#This Row],[Month-Year]],"MMM-YY"))</f>
        <v/>
      </c>
      <c r="J294" s="31"/>
      <c r="K294" s="39">
        <f t="shared" ref="K294:K296" si="27">(F294*G294)*E294/100</f>
        <v>0</v>
      </c>
    </row>
    <row r="295" spans="3:11" ht="15.2">
      <c r="C295" s="29"/>
      <c r="D295" s="30"/>
      <c r="E295" s="31"/>
      <c r="F295" s="31"/>
      <c r="G295" s="31"/>
      <c r="H295" s="43"/>
      <c r="I295" s="41" t="str">
        <f>IF(Table46[[#This Row],[Month-Year]]="","",TEXT(Table46[[#This Row],[Month-Year]],"MMM-YY"))</f>
        <v/>
      </c>
      <c r="J295" s="31"/>
      <c r="K295" s="39">
        <f t="shared" si="27"/>
        <v>0</v>
      </c>
    </row>
    <row r="296" spans="3:11" ht="15.2">
      <c r="C296" s="29"/>
      <c r="D296" s="30"/>
      <c r="E296" s="31"/>
      <c r="F296" s="31"/>
      <c r="G296" s="31"/>
      <c r="H296" s="43"/>
      <c r="I296" s="41" t="str">
        <f>IF(Table46[[#This Row],[Month-Year]]="","",TEXT(Table46[[#This Row],[Month-Year]],"MMM-YY"))</f>
        <v/>
      </c>
      <c r="J296" s="31"/>
      <c r="K296" s="39">
        <f t="shared" si="27"/>
        <v>0</v>
      </c>
    </row>
    <row r="297" spans="3:11" ht="15.2">
      <c r="C297" s="29"/>
      <c r="D297" s="30"/>
      <c r="E297" s="31"/>
      <c r="F297" s="31"/>
      <c r="G297" s="31"/>
      <c r="H297" s="43"/>
      <c r="I297" s="41" t="str">
        <f>IF(Table46[[#This Row],[Month-Year]]="","",TEXT(Table46[[#This Row],[Month-Year]],"MMM-YY"))</f>
        <v/>
      </c>
      <c r="J297" s="31"/>
      <c r="K297" s="39">
        <f t="shared" ref="K297:K299" si="28">(F297*G297)*E297/100</f>
        <v>0</v>
      </c>
    </row>
    <row r="298" spans="3:11" ht="15.2">
      <c r="C298" s="29"/>
      <c r="D298" s="30"/>
      <c r="E298" s="31"/>
      <c r="F298" s="31"/>
      <c r="G298" s="31"/>
      <c r="H298" s="43"/>
      <c r="I298" s="41" t="str">
        <f>IF(Table46[[#This Row],[Month-Year]]="","",TEXT(Table46[[#This Row],[Month-Year]],"MMM-YY"))</f>
        <v/>
      </c>
      <c r="J298" s="31"/>
      <c r="K298" s="39">
        <f t="shared" si="28"/>
        <v>0</v>
      </c>
    </row>
    <row r="299" spans="3:11" ht="15.2">
      <c r="C299" s="29"/>
      <c r="D299" s="30"/>
      <c r="E299" s="31"/>
      <c r="F299" s="31"/>
      <c r="G299" s="31"/>
      <c r="H299" s="43"/>
      <c r="I299" s="41" t="str">
        <f>IF(Table46[[#This Row],[Month-Year]]="","",TEXT(Table46[[#This Row],[Month-Year]],"MMM-YY"))</f>
        <v/>
      </c>
      <c r="J299" s="31"/>
      <c r="K299" s="39">
        <f t="shared" si="28"/>
        <v>0</v>
      </c>
    </row>
    <row r="300" spans="3:11" ht="15.2">
      <c r="C300" s="29"/>
      <c r="D300" s="30"/>
      <c r="E300" s="31"/>
      <c r="F300" s="31"/>
      <c r="G300" s="31"/>
      <c r="H300" s="43"/>
      <c r="I300" s="41" t="str">
        <f>IF(Table46[[#This Row],[Month-Year]]="","",TEXT(Table46[[#This Row],[Month-Year]],"MMM-YY"))</f>
        <v/>
      </c>
      <c r="J300" s="31"/>
      <c r="K300" s="39">
        <f t="shared" ref="K300:K302" si="29">(F300*G300)*E300/100</f>
        <v>0</v>
      </c>
    </row>
    <row r="301" spans="3:11" ht="15.2">
      <c r="C301" s="29"/>
      <c r="D301" s="30"/>
      <c r="E301" s="31"/>
      <c r="F301" s="31"/>
      <c r="G301" s="31"/>
      <c r="H301" s="43"/>
      <c r="I301" s="41" t="str">
        <f>IF(Table46[[#This Row],[Month-Year]]="","",TEXT(Table46[[#This Row],[Month-Year]],"MMM-YY"))</f>
        <v/>
      </c>
      <c r="J301" s="31"/>
      <c r="K301" s="39">
        <f t="shared" si="29"/>
        <v>0</v>
      </c>
    </row>
    <row r="302" spans="3:11" ht="15.2">
      <c r="C302" s="29"/>
      <c r="D302" s="30"/>
      <c r="E302" s="31"/>
      <c r="F302" s="31"/>
      <c r="G302" s="31"/>
      <c r="H302" s="43"/>
      <c r="I302" s="41" t="str">
        <f>IF(Table46[[#This Row],[Month-Year]]="","",TEXT(Table46[[#This Row],[Month-Year]],"MMM-YY"))</f>
        <v/>
      </c>
      <c r="J302" s="31"/>
      <c r="K302" s="39">
        <f t="shared" si="29"/>
        <v>0</v>
      </c>
    </row>
    <row r="303" spans="3:11" ht="15.2">
      <c r="C303" s="29"/>
      <c r="D303" s="30"/>
      <c r="E303" s="31"/>
      <c r="F303" s="31"/>
      <c r="G303" s="31"/>
      <c r="H303" s="43"/>
      <c r="I303" s="41" t="str">
        <f>IF(Table46[[#This Row],[Month-Year]]="","",TEXT(Table46[[#This Row],[Month-Year]],"MMM-YY"))</f>
        <v/>
      </c>
      <c r="J303" s="31"/>
      <c r="K303" s="39">
        <f t="shared" ref="K303:K305" si="30">(F303*G303)*E303/100</f>
        <v>0</v>
      </c>
    </row>
    <row r="304" spans="3:11" ht="15.2">
      <c r="C304" s="29"/>
      <c r="D304" s="30"/>
      <c r="E304" s="31"/>
      <c r="F304" s="31"/>
      <c r="G304" s="31"/>
      <c r="H304" s="43"/>
      <c r="I304" s="41" t="str">
        <f>IF(Table46[[#This Row],[Month-Year]]="","",TEXT(Table46[[#This Row],[Month-Year]],"MMM-YY"))</f>
        <v/>
      </c>
      <c r="J304" s="31"/>
      <c r="K304" s="39">
        <f t="shared" si="30"/>
        <v>0</v>
      </c>
    </row>
    <row r="305" spans="3:11" ht="15.2">
      <c r="C305" s="29"/>
      <c r="D305" s="30"/>
      <c r="E305" s="31"/>
      <c r="F305" s="31"/>
      <c r="G305" s="31"/>
      <c r="H305" s="43"/>
      <c r="I305" s="41" t="str">
        <f>IF(Table46[[#This Row],[Month-Year]]="","",TEXT(Table46[[#This Row],[Month-Year]],"MMM-YY"))</f>
        <v/>
      </c>
      <c r="J305" s="31"/>
      <c r="K305" s="39">
        <f t="shared" si="30"/>
        <v>0</v>
      </c>
    </row>
    <row r="306" spans="3:11" ht="15.2">
      <c r="C306" s="29"/>
      <c r="D306" s="30"/>
      <c r="E306" s="31"/>
      <c r="F306" s="31"/>
      <c r="G306" s="31"/>
      <c r="H306" s="43"/>
      <c r="I306" s="41" t="str">
        <f>IF(Table46[[#This Row],[Month-Year]]="","",TEXT(Table46[[#This Row],[Month-Year]],"MMM-YY"))</f>
        <v/>
      </c>
      <c r="J306" s="31"/>
      <c r="K306" s="39">
        <f t="shared" ref="K306:K308" si="31">(F306*G306)*E306/100</f>
        <v>0</v>
      </c>
    </row>
    <row r="307" spans="3:11" ht="15.2">
      <c r="C307" s="29"/>
      <c r="D307" s="30"/>
      <c r="E307" s="31"/>
      <c r="F307" s="31"/>
      <c r="G307" s="31"/>
      <c r="H307" s="43"/>
      <c r="I307" s="41" t="str">
        <f>IF(Table46[[#This Row],[Month-Year]]="","",TEXT(Table46[[#This Row],[Month-Year]],"MMM-YY"))</f>
        <v/>
      </c>
      <c r="J307" s="31"/>
      <c r="K307" s="39">
        <f t="shared" si="31"/>
        <v>0</v>
      </c>
    </row>
    <row r="308" spans="3:11" ht="15.2">
      <c r="C308" s="29"/>
      <c r="D308" s="30"/>
      <c r="E308" s="31"/>
      <c r="F308" s="31"/>
      <c r="G308" s="31"/>
      <c r="H308" s="43"/>
      <c r="I308" s="41" t="str">
        <f>IF(Table46[[#This Row],[Month-Year]]="","",TEXT(Table46[[#This Row],[Month-Year]],"MMM-YY"))</f>
        <v/>
      </c>
      <c r="J308" s="31"/>
      <c r="K308" s="39">
        <f t="shared" si="31"/>
        <v>0</v>
      </c>
    </row>
    <row r="309" spans="3:11" ht="15.2">
      <c r="C309" s="29"/>
      <c r="D309" s="30"/>
      <c r="E309" s="31"/>
      <c r="F309" s="31"/>
      <c r="G309" s="31"/>
      <c r="H309" s="43"/>
      <c r="I309" s="41" t="str">
        <f>IF(Table46[[#This Row],[Month-Year]]="","",TEXT(Table46[[#This Row],[Month-Year]],"MMM-YY"))</f>
        <v/>
      </c>
      <c r="J309" s="31"/>
      <c r="K309" s="39">
        <f t="shared" ref="K309:K311" si="32">(F309*G309)*E309/100</f>
        <v>0</v>
      </c>
    </row>
    <row r="310" spans="3:11" ht="15.2">
      <c r="C310" s="29"/>
      <c r="D310" s="30"/>
      <c r="E310" s="31"/>
      <c r="F310" s="31"/>
      <c r="G310" s="31"/>
      <c r="H310" s="43"/>
      <c r="I310" s="41" t="str">
        <f>IF(Table46[[#This Row],[Month-Year]]="","",TEXT(Table46[[#This Row],[Month-Year]],"MMM-YY"))</f>
        <v/>
      </c>
      <c r="J310" s="31"/>
      <c r="K310" s="39">
        <f t="shared" si="32"/>
        <v>0</v>
      </c>
    </row>
    <row r="311" spans="3:11" ht="15.2">
      <c r="C311" s="29"/>
      <c r="D311" s="30"/>
      <c r="E311" s="31"/>
      <c r="F311" s="31"/>
      <c r="G311" s="31"/>
      <c r="H311" s="43"/>
      <c r="I311" s="41" t="str">
        <f>IF(Table46[[#This Row],[Month-Year]]="","",TEXT(Table46[[#This Row],[Month-Year]],"MMM-YY"))</f>
        <v/>
      </c>
      <c r="J311" s="31"/>
      <c r="K311" s="39">
        <f t="shared" si="32"/>
        <v>0</v>
      </c>
    </row>
    <row r="312" spans="3:11" ht="15.2">
      <c r="C312" s="29"/>
      <c r="D312" s="30"/>
      <c r="E312" s="31"/>
      <c r="F312" s="31"/>
      <c r="G312" s="31"/>
      <c r="H312" s="43"/>
      <c r="I312" s="41" t="str">
        <f>IF(Table46[[#This Row],[Month-Year]]="","",TEXT(Table46[[#This Row],[Month-Year]],"MMM-YY"))</f>
        <v/>
      </c>
      <c r="J312" s="31"/>
      <c r="K312" s="39">
        <f t="shared" ref="K312:K314" si="33">(F312*G312)*E312/100</f>
        <v>0</v>
      </c>
    </row>
    <row r="313" spans="3:11" ht="15.2">
      <c r="C313" s="29"/>
      <c r="D313" s="30"/>
      <c r="E313" s="31"/>
      <c r="F313" s="31"/>
      <c r="G313" s="31"/>
      <c r="H313" s="43"/>
      <c r="I313" s="41" t="str">
        <f>IF(Table46[[#This Row],[Month-Year]]="","",TEXT(Table46[[#This Row],[Month-Year]],"MMM-YY"))</f>
        <v/>
      </c>
      <c r="J313" s="31"/>
      <c r="K313" s="39">
        <f t="shared" si="33"/>
        <v>0</v>
      </c>
    </row>
    <row r="314" spans="3:11" ht="15.2">
      <c r="C314" s="29"/>
      <c r="D314" s="30"/>
      <c r="E314" s="31"/>
      <c r="F314" s="31"/>
      <c r="G314" s="31"/>
      <c r="H314" s="43"/>
      <c r="I314" s="41" t="str">
        <f>IF(Table46[[#This Row],[Month-Year]]="","",TEXT(Table46[[#This Row],[Month-Year]],"MMM-YY"))</f>
        <v/>
      </c>
      <c r="J314" s="31"/>
      <c r="K314" s="39">
        <f t="shared" si="33"/>
        <v>0</v>
      </c>
    </row>
    <row r="315" spans="3:11" ht="15.2">
      <c r="C315" s="29"/>
      <c r="D315" s="30"/>
      <c r="E315" s="31"/>
      <c r="F315" s="31"/>
      <c r="G315" s="31"/>
      <c r="H315" s="43"/>
      <c r="I315" s="41" t="str">
        <f>IF(Table46[[#This Row],[Month-Year]]="","",TEXT(Table46[[#This Row],[Month-Year]],"MMM-YY"))</f>
        <v/>
      </c>
      <c r="J315" s="31"/>
      <c r="K315" s="39">
        <f t="shared" ref="K315:K317" si="34">(F315*G315)*E315/100</f>
        <v>0</v>
      </c>
    </row>
    <row r="316" spans="3:11" ht="15.2">
      <c r="C316" s="29"/>
      <c r="D316" s="30"/>
      <c r="E316" s="31"/>
      <c r="F316" s="31"/>
      <c r="G316" s="31"/>
      <c r="H316" s="43"/>
      <c r="I316" s="41" t="str">
        <f>IF(Table46[[#This Row],[Month-Year]]="","",TEXT(Table46[[#This Row],[Month-Year]],"MMM-YY"))</f>
        <v/>
      </c>
      <c r="J316" s="31"/>
      <c r="K316" s="39">
        <f t="shared" si="34"/>
        <v>0</v>
      </c>
    </row>
    <row r="317" spans="3:11" ht="15.2">
      <c r="C317" s="29"/>
      <c r="D317" s="30"/>
      <c r="E317" s="31"/>
      <c r="F317" s="31"/>
      <c r="G317" s="31"/>
      <c r="H317" s="43"/>
      <c r="I317" s="41" t="str">
        <f>IF(Table46[[#This Row],[Month-Year]]="","",TEXT(Table46[[#This Row],[Month-Year]],"MMM-YY"))</f>
        <v/>
      </c>
      <c r="J317" s="31"/>
      <c r="K317" s="39">
        <f t="shared" si="34"/>
        <v>0</v>
      </c>
    </row>
    <row r="318" spans="3:11" ht="15.2">
      <c r="C318" s="29"/>
      <c r="D318" s="30"/>
      <c r="E318" s="31"/>
      <c r="F318" s="31"/>
      <c r="G318" s="31"/>
      <c r="H318" s="43"/>
      <c r="I318" s="41" t="str">
        <f>IF(Table46[[#This Row],[Month-Year]]="","",TEXT(Table46[[#This Row],[Month-Year]],"MMM-YY"))</f>
        <v/>
      </c>
      <c r="J318" s="31"/>
      <c r="K318" s="39">
        <f t="shared" ref="K318:K320" si="35">(F318*G318)*E318/100</f>
        <v>0</v>
      </c>
    </row>
    <row r="319" spans="3:11" ht="15.2">
      <c r="C319" s="29"/>
      <c r="D319" s="30"/>
      <c r="E319" s="31"/>
      <c r="F319" s="31"/>
      <c r="G319" s="31"/>
      <c r="H319" s="43"/>
      <c r="I319" s="41" t="str">
        <f>IF(Table46[[#This Row],[Month-Year]]="","",TEXT(Table46[[#This Row],[Month-Year]],"MMM-YY"))</f>
        <v/>
      </c>
      <c r="J319" s="31"/>
      <c r="K319" s="39">
        <f t="shared" si="35"/>
        <v>0</v>
      </c>
    </row>
    <row r="320" spans="3:11" ht="15.2">
      <c r="C320" s="29"/>
      <c r="D320" s="30"/>
      <c r="E320" s="31"/>
      <c r="F320" s="31"/>
      <c r="G320" s="31"/>
      <c r="H320" s="43"/>
      <c r="I320" s="41" t="str">
        <f>IF(Table46[[#This Row],[Month-Year]]="","",TEXT(Table46[[#This Row],[Month-Year]],"MMM-YY"))</f>
        <v/>
      </c>
      <c r="J320" s="31"/>
      <c r="K320" s="39">
        <f t="shared" si="35"/>
        <v>0</v>
      </c>
    </row>
    <row r="321" spans="3:11" ht="15.2">
      <c r="C321" s="29"/>
      <c r="D321" s="30"/>
      <c r="E321" s="31"/>
      <c r="F321" s="31"/>
      <c r="G321" s="31"/>
      <c r="H321" s="43"/>
      <c r="I321" s="41" t="str">
        <f>IF(Table46[[#This Row],[Month-Year]]="","",TEXT(Table46[[#This Row],[Month-Year]],"MMM-YY"))</f>
        <v/>
      </c>
      <c r="J321" s="31"/>
      <c r="K321" s="39">
        <f t="shared" ref="K321:K323" si="36">(F321*G321)*E321/100</f>
        <v>0</v>
      </c>
    </row>
    <row r="322" spans="3:11" ht="15.2">
      <c r="C322" s="29"/>
      <c r="D322" s="30"/>
      <c r="E322" s="31"/>
      <c r="F322" s="31"/>
      <c r="G322" s="31"/>
      <c r="H322" s="43"/>
      <c r="I322" s="41" t="str">
        <f>IF(Table46[[#This Row],[Month-Year]]="","",TEXT(Table46[[#This Row],[Month-Year]],"MMM-YY"))</f>
        <v/>
      </c>
      <c r="J322" s="31"/>
      <c r="K322" s="39">
        <f t="shared" si="36"/>
        <v>0</v>
      </c>
    </row>
    <row r="323" spans="3:11" ht="15.2">
      <c r="C323" s="29"/>
      <c r="D323" s="30"/>
      <c r="E323" s="31"/>
      <c r="F323" s="31"/>
      <c r="G323" s="31"/>
      <c r="H323" s="43"/>
      <c r="I323" s="41" t="str">
        <f>IF(Table46[[#This Row],[Month-Year]]="","",TEXT(Table46[[#This Row],[Month-Year]],"MMM-YY"))</f>
        <v/>
      </c>
      <c r="J323" s="31"/>
      <c r="K323" s="39">
        <f t="shared" si="36"/>
        <v>0</v>
      </c>
    </row>
    <row r="324" spans="3:11" ht="15.2">
      <c r="C324" s="29"/>
      <c r="D324" s="30"/>
      <c r="E324" s="31"/>
      <c r="F324" s="31"/>
      <c r="G324" s="31"/>
      <c r="H324" s="43"/>
      <c r="I324" s="41" t="str">
        <f>IF(Table46[[#This Row],[Month-Year]]="","",TEXT(Table46[[#This Row],[Month-Year]],"MMM-YY"))</f>
        <v/>
      </c>
      <c r="J324" s="31"/>
      <c r="K324" s="39">
        <f t="shared" ref="K324:K326" si="37">(F324*G324)*E324/100</f>
        <v>0</v>
      </c>
    </row>
    <row r="325" spans="3:11" ht="15.2">
      <c r="C325" s="29"/>
      <c r="D325" s="30"/>
      <c r="E325" s="31"/>
      <c r="F325" s="31"/>
      <c r="G325" s="31"/>
      <c r="H325" s="43"/>
      <c r="I325" s="41" t="str">
        <f>IF(Table46[[#This Row],[Month-Year]]="","",TEXT(Table46[[#This Row],[Month-Year]],"MMM-YY"))</f>
        <v/>
      </c>
      <c r="J325" s="31"/>
      <c r="K325" s="39">
        <f t="shared" si="37"/>
        <v>0</v>
      </c>
    </row>
    <row r="326" spans="3:11" ht="15.2">
      <c r="C326" s="29"/>
      <c r="D326" s="30"/>
      <c r="E326" s="31"/>
      <c r="F326" s="31"/>
      <c r="G326" s="31"/>
      <c r="H326" s="43"/>
      <c r="I326" s="41" t="str">
        <f>IF(Table46[[#This Row],[Month-Year]]="","",TEXT(Table46[[#This Row],[Month-Year]],"MMM-YY"))</f>
        <v/>
      </c>
      <c r="J326" s="31"/>
      <c r="K326" s="39">
        <f t="shared" si="37"/>
        <v>0</v>
      </c>
    </row>
    <row r="327" spans="3:11" ht="15.2">
      <c r="C327" s="29"/>
      <c r="D327" s="30"/>
      <c r="E327" s="31"/>
      <c r="F327" s="31"/>
      <c r="G327" s="31"/>
      <c r="H327" s="43"/>
      <c r="I327" s="41" t="str">
        <f>IF(Table46[[#This Row],[Month-Year]]="","",TEXT(Table46[[#This Row],[Month-Year]],"MMM-YY"))</f>
        <v/>
      </c>
      <c r="J327" s="31"/>
      <c r="K327" s="39">
        <f t="shared" ref="K327:K329" si="38">(F327*G327)*E327/100</f>
        <v>0</v>
      </c>
    </row>
    <row r="328" spans="3:11" ht="15.2">
      <c r="C328" s="29"/>
      <c r="D328" s="30"/>
      <c r="E328" s="31"/>
      <c r="F328" s="31"/>
      <c r="G328" s="31"/>
      <c r="H328" s="43"/>
      <c r="I328" s="41" t="str">
        <f>IF(Table46[[#This Row],[Month-Year]]="","",TEXT(Table46[[#This Row],[Month-Year]],"MMM-YY"))</f>
        <v/>
      </c>
      <c r="J328" s="31"/>
      <c r="K328" s="39">
        <f t="shared" si="38"/>
        <v>0</v>
      </c>
    </row>
    <row r="329" spans="3:11" ht="15.2">
      <c r="C329" s="29"/>
      <c r="D329" s="30"/>
      <c r="E329" s="31"/>
      <c r="F329" s="31"/>
      <c r="G329" s="31"/>
      <c r="H329" s="43"/>
      <c r="I329" s="41" t="str">
        <f>IF(Table46[[#This Row],[Month-Year]]="","",TEXT(Table46[[#This Row],[Month-Year]],"MMM-YY"))</f>
        <v/>
      </c>
      <c r="J329" s="31"/>
      <c r="K329" s="39">
        <f t="shared" si="38"/>
        <v>0</v>
      </c>
    </row>
    <row r="330" spans="3:11" ht="15.2">
      <c r="C330" s="29"/>
      <c r="D330" s="30"/>
      <c r="E330" s="31"/>
      <c r="F330" s="31"/>
      <c r="G330" s="31"/>
      <c r="H330" s="43"/>
      <c r="I330" s="41" t="str">
        <f>IF(Table46[[#This Row],[Month-Year]]="","",TEXT(Table46[[#This Row],[Month-Year]],"MMM-YY"))</f>
        <v/>
      </c>
      <c r="J330" s="31"/>
      <c r="K330" s="39">
        <f t="shared" ref="K330:K332" si="39">(F330*G330)*E330/100</f>
        <v>0</v>
      </c>
    </row>
    <row r="331" spans="3:11" ht="15.2">
      <c r="C331" s="29"/>
      <c r="D331" s="30"/>
      <c r="E331" s="31"/>
      <c r="F331" s="31"/>
      <c r="G331" s="31"/>
      <c r="H331" s="43"/>
      <c r="I331" s="41" t="str">
        <f>IF(Table46[[#This Row],[Month-Year]]="","",TEXT(Table46[[#This Row],[Month-Year]],"MMM-YY"))</f>
        <v/>
      </c>
      <c r="J331" s="31"/>
      <c r="K331" s="39">
        <f t="shared" si="39"/>
        <v>0</v>
      </c>
    </row>
    <row r="332" spans="3:11" ht="15.2">
      <c r="C332" s="29"/>
      <c r="D332" s="30"/>
      <c r="E332" s="31"/>
      <c r="F332" s="31"/>
      <c r="G332" s="31"/>
      <c r="H332" s="43"/>
      <c r="I332" s="41" t="str">
        <f>IF(Table46[[#This Row],[Month-Year]]="","",TEXT(Table46[[#This Row],[Month-Year]],"MMM-YY"))</f>
        <v/>
      </c>
      <c r="J332" s="31"/>
      <c r="K332" s="39">
        <f t="shared" si="39"/>
        <v>0</v>
      </c>
    </row>
    <row r="333" spans="3:11" ht="15.2">
      <c r="C333" s="29"/>
      <c r="D333" s="30"/>
      <c r="E333" s="31"/>
      <c r="F333" s="31"/>
      <c r="G333" s="31"/>
      <c r="H333" s="43"/>
      <c r="I333" s="41" t="str">
        <f>IF(Table46[[#This Row],[Month-Year]]="","",TEXT(Table46[[#This Row],[Month-Year]],"MMM-YY"))</f>
        <v/>
      </c>
      <c r="J333" s="31"/>
      <c r="K333" s="39">
        <f t="shared" ref="K333:K335" si="40">(F333*G333)*E333/100</f>
        <v>0</v>
      </c>
    </row>
    <row r="334" spans="3:11" ht="15.2">
      <c r="C334" s="29"/>
      <c r="D334" s="30"/>
      <c r="E334" s="31"/>
      <c r="F334" s="31"/>
      <c r="G334" s="31"/>
      <c r="H334" s="43"/>
      <c r="I334" s="41" t="str">
        <f>IF(Table46[[#This Row],[Month-Year]]="","",TEXT(Table46[[#This Row],[Month-Year]],"MMM-YY"))</f>
        <v/>
      </c>
      <c r="J334" s="31"/>
      <c r="K334" s="39">
        <f t="shared" si="40"/>
        <v>0</v>
      </c>
    </row>
    <row r="335" spans="3:11" ht="15.2">
      <c r="C335" s="29"/>
      <c r="D335" s="30"/>
      <c r="E335" s="31"/>
      <c r="F335" s="31"/>
      <c r="G335" s="31"/>
      <c r="H335" s="43"/>
      <c r="I335" s="41" t="str">
        <f>IF(Table46[[#This Row],[Month-Year]]="","",TEXT(Table46[[#This Row],[Month-Year]],"MMM-YY"))</f>
        <v/>
      </c>
      <c r="J335" s="31"/>
      <c r="K335" s="39">
        <f t="shared" si="40"/>
        <v>0</v>
      </c>
    </row>
    <row r="336" spans="3:11" ht="15.2">
      <c r="C336" s="29"/>
      <c r="D336" s="30"/>
      <c r="E336" s="31"/>
      <c r="F336" s="31"/>
      <c r="G336" s="31"/>
      <c r="H336" s="43"/>
      <c r="I336" s="41" t="str">
        <f>IF(Table46[[#This Row],[Month-Year]]="","",TEXT(Table46[[#This Row],[Month-Year]],"MMM-YY"))</f>
        <v/>
      </c>
      <c r="J336" s="31"/>
      <c r="K336" s="39">
        <f t="shared" ref="K336:K338" si="41">(F336*G336)*E336/100</f>
        <v>0</v>
      </c>
    </row>
    <row r="337" spans="3:11" ht="15.2">
      <c r="C337" s="29"/>
      <c r="D337" s="30"/>
      <c r="E337" s="31"/>
      <c r="F337" s="31"/>
      <c r="G337" s="31"/>
      <c r="H337" s="43"/>
      <c r="I337" s="41" t="str">
        <f>IF(Table46[[#This Row],[Month-Year]]="","",TEXT(Table46[[#This Row],[Month-Year]],"MMM-YY"))</f>
        <v/>
      </c>
      <c r="J337" s="31"/>
      <c r="K337" s="39">
        <f t="shared" si="41"/>
        <v>0</v>
      </c>
    </row>
    <row r="338" spans="3:11" ht="15.2">
      <c r="C338" s="29"/>
      <c r="D338" s="30"/>
      <c r="E338" s="31"/>
      <c r="F338" s="31"/>
      <c r="G338" s="31"/>
      <c r="H338" s="43"/>
      <c r="I338" s="41" t="str">
        <f>IF(Table46[[#This Row],[Month-Year]]="","",TEXT(Table46[[#This Row],[Month-Year]],"MMM-YY"))</f>
        <v/>
      </c>
      <c r="J338" s="31"/>
      <c r="K338" s="39">
        <f t="shared" si="41"/>
        <v>0</v>
      </c>
    </row>
    <row r="339" spans="3:11" ht="15.2">
      <c r="C339" s="29"/>
      <c r="D339" s="30"/>
      <c r="E339" s="31"/>
      <c r="F339" s="31"/>
      <c r="G339" s="31"/>
      <c r="H339" s="43"/>
      <c r="I339" s="41" t="str">
        <f>IF(Table46[[#This Row],[Month-Year]]="","",TEXT(Table46[[#This Row],[Month-Year]],"MMM-YY"))</f>
        <v/>
      </c>
      <c r="J339" s="31"/>
      <c r="K339" s="39">
        <f t="shared" ref="K339:K341" si="42">(F339*G339)*E339/100</f>
        <v>0</v>
      </c>
    </row>
    <row r="340" spans="3:11" ht="15.2">
      <c r="C340" s="29"/>
      <c r="D340" s="30"/>
      <c r="E340" s="31"/>
      <c r="F340" s="31"/>
      <c r="G340" s="31"/>
      <c r="H340" s="43"/>
      <c r="I340" s="41" t="str">
        <f>IF(Table46[[#This Row],[Month-Year]]="","",TEXT(Table46[[#This Row],[Month-Year]],"MMM-YY"))</f>
        <v/>
      </c>
      <c r="J340" s="31"/>
      <c r="K340" s="39">
        <f t="shared" si="42"/>
        <v>0</v>
      </c>
    </row>
    <row r="341" spans="3:11" ht="15.2">
      <c r="C341" s="29"/>
      <c r="D341" s="30"/>
      <c r="E341" s="31"/>
      <c r="F341" s="31"/>
      <c r="G341" s="31"/>
      <c r="H341" s="43"/>
      <c r="I341" s="41" t="str">
        <f>IF(Table46[[#This Row],[Month-Year]]="","",TEXT(Table46[[#This Row],[Month-Year]],"MMM-YY"))</f>
        <v/>
      </c>
      <c r="J341" s="31"/>
      <c r="K341" s="39">
        <f t="shared" si="42"/>
        <v>0</v>
      </c>
    </row>
    <row r="342" spans="3:11" ht="15.2">
      <c r="C342" s="29"/>
      <c r="D342" s="30"/>
      <c r="E342" s="31"/>
      <c r="F342" s="31"/>
      <c r="G342" s="31"/>
      <c r="H342" s="43"/>
      <c r="I342" s="41" t="str">
        <f>IF(Table46[[#This Row],[Month-Year]]="","",TEXT(Table46[[#This Row],[Month-Year]],"MMM-YY"))</f>
        <v/>
      </c>
      <c r="J342" s="31"/>
      <c r="K342" s="39">
        <f t="shared" ref="K342:K344" si="43">(F342*G342)*E342/100</f>
        <v>0</v>
      </c>
    </row>
    <row r="343" spans="3:11" ht="15.2">
      <c r="C343" s="29"/>
      <c r="D343" s="30"/>
      <c r="E343" s="31"/>
      <c r="F343" s="31"/>
      <c r="G343" s="31"/>
      <c r="H343" s="43"/>
      <c r="I343" s="41" t="str">
        <f>IF(Table46[[#This Row],[Month-Year]]="","",TEXT(Table46[[#This Row],[Month-Year]],"MMM-YY"))</f>
        <v/>
      </c>
      <c r="J343" s="31"/>
      <c r="K343" s="39">
        <f t="shared" si="43"/>
        <v>0</v>
      </c>
    </row>
    <row r="344" spans="3:11" ht="15.2">
      <c r="C344" s="29"/>
      <c r="D344" s="30"/>
      <c r="E344" s="31"/>
      <c r="F344" s="31"/>
      <c r="G344" s="31"/>
      <c r="H344" s="43"/>
      <c r="I344" s="41" t="str">
        <f>IF(Table46[[#This Row],[Month-Year]]="","",TEXT(Table46[[#This Row],[Month-Year]],"MMM-YY"))</f>
        <v/>
      </c>
      <c r="J344" s="31"/>
      <c r="K344" s="39">
        <f t="shared" si="43"/>
        <v>0</v>
      </c>
    </row>
    <row r="345" spans="3:11" ht="15.2">
      <c r="C345" s="29"/>
      <c r="D345" s="30"/>
      <c r="E345" s="31"/>
      <c r="F345" s="31"/>
      <c r="G345" s="31"/>
      <c r="H345" s="43"/>
      <c r="I345" s="41" t="str">
        <f>IF(Table46[[#This Row],[Month-Year]]="","",TEXT(Table46[[#This Row],[Month-Year]],"MMM-YY"))</f>
        <v/>
      </c>
      <c r="J345" s="31"/>
      <c r="K345" s="39">
        <f t="shared" ref="K345:K347" si="44">(F345*G345)*E345/100</f>
        <v>0</v>
      </c>
    </row>
    <row r="346" spans="3:11" ht="15.2">
      <c r="C346" s="29"/>
      <c r="D346" s="30"/>
      <c r="E346" s="31"/>
      <c r="F346" s="31"/>
      <c r="G346" s="31"/>
      <c r="H346" s="43"/>
      <c r="I346" s="41" t="str">
        <f>IF(Table46[[#This Row],[Month-Year]]="","",TEXT(Table46[[#This Row],[Month-Year]],"MMM-YY"))</f>
        <v/>
      </c>
      <c r="J346" s="31"/>
      <c r="K346" s="39">
        <f t="shared" si="44"/>
        <v>0</v>
      </c>
    </row>
    <row r="347" spans="3:11" ht="15.2">
      <c r="C347" s="29"/>
      <c r="D347" s="30"/>
      <c r="E347" s="31"/>
      <c r="F347" s="31"/>
      <c r="G347" s="31"/>
      <c r="H347" s="43"/>
      <c r="I347" s="41" t="str">
        <f>IF(Table46[[#This Row],[Month-Year]]="","",TEXT(Table46[[#This Row],[Month-Year]],"MMM-YY"))</f>
        <v/>
      </c>
      <c r="J347" s="31"/>
      <c r="K347" s="39">
        <f t="shared" si="44"/>
        <v>0</v>
      </c>
    </row>
    <row r="348" spans="3:11" ht="15.2">
      <c r="C348" s="29"/>
      <c r="D348" s="30"/>
      <c r="E348" s="31"/>
      <c r="F348" s="31"/>
      <c r="G348" s="31"/>
      <c r="H348" s="43"/>
      <c r="I348" s="41" t="str">
        <f>IF(Table46[[#This Row],[Month-Year]]="","",TEXT(Table46[[#This Row],[Month-Year]],"MMM-YY"))</f>
        <v/>
      </c>
      <c r="J348" s="31"/>
      <c r="K348" s="39">
        <f t="shared" ref="K348:K350" si="45">(F348*G348)*E348/100</f>
        <v>0</v>
      </c>
    </row>
    <row r="349" spans="3:11" ht="15.2">
      <c r="C349" s="29"/>
      <c r="D349" s="30"/>
      <c r="E349" s="31"/>
      <c r="F349" s="31"/>
      <c r="G349" s="31"/>
      <c r="H349" s="43"/>
      <c r="I349" s="41" t="str">
        <f>IF(Table46[[#This Row],[Month-Year]]="","",TEXT(Table46[[#This Row],[Month-Year]],"MMM-YY"))</f>
        <v/>
      </c>
      <c r="J349" s="31"/>
      <c r="K349" s="39">
        <f t="shared" si="45"/>
        <v>0</v>
      </c>
    </row>
    <row r="350" spans="3:11" ht="15.2">
      <c r="C350" s="29"/>
      <c r="D350" s="30"/>
      <c r="E350" s="31"/>
      <c r="F350" s="31"/>
      <c r="G350" s="31"/>
      <c r="H350" s="43"/>
      <c r="I350" s="41" t="str">
        <f>IF(Table46[[#This Row],[Month-Year]]="","",TEXT(Table46[[#This Row],[Month-Year]],"MMM-YY"))</f>
        <v/>
      </c>
      <c r="J350" s="31"/>
      <c r="K350" s="39">
        <f t="shared" si="45"/>
        <v>0</v>
      </c>
    </row>
    <row r="351" spans="3:11" ht="15.2">
      <c r="C351" s="29"/>
      <c r="D351" s="30"/>
      <c r="E351" s="31"/>
      <c r="F351" s="31"/>
      <c r="G351" s="31"/>
      <c r="H351" s="43"/>
      <c r="I351" s="41" t="str">
        <f>IF(Table46[[#This Row],[Month-Year]]="","",TEXT(Table46[[#This Row],[Month-Year]],"MMM-YY"))</f>
        <v/>
      </c>
      <c r="J351" s="31"/>
      <c r="K351" s="39">
        <f t="shared" ref="K351:K353" si="46">(F351*G351)*E351/100</f>
        <v>0</v>
      </c>
    </row>
    <row r="352" spans="3:11" ht="15.2">
      <c r="C352" s="29"/>
      <c r="D352" s="30"/>
      <c r="E352" s="31"/>
      <c r="F352" s="31"/>
      <c r="G352" s="31"/>
      <c r="H352" s="43"/>
      <c r="I352" s="41" t="str">
        <f>IF(Table46[[#This Row],[Month-Year]]="","",TEXT(Table46[[#This Row],[Month-Year]],"MMM-YY"))</f>
        <v/>
      </c>
      <c r="J352" s="31"/>
      <c r="K352" s="39">
        <f t="shared" si="46"/>
        <v>0</v>
      </c>
    </row>
    <row r="353" spans="3:11" ht="15.2">
      <c r="C353" s="29"/>
      <c r="D353" s="30"/>
      <c r="E353" s="31"/>
      <c r="F353" s="31"/>
      <c r="G353" s="31"/>
      <c r="H353" s="43"/>
      <c r="I353" s="41" t="str">
        <f>IF(Table46[[#This Row],[Month-Year]]="","",TEXT(Table46[[#This Row],[Month-Year]],"MMM-YY"))</f>
        <v/>
      </c>
      <c r="J353" s="31"/>
      <c r="K353" s="39">
        <f t="shared" si="46"/>
        <v>0</v>
      </c>
    </row>
    <row r="354" spans="3:11" ht="15.2">
      <c r="C354" s="29"/>
      <c r="D354" s="30"/>
      <c r="E354" s="31"/>
      <c r="F354" s="31"/>
      <c r="G354" s="31"/>
      <c r="H354" s="43"/>
      <c r="I354" s="41" t="str">
        <f>IF(Table46[[#This Row],[Month-Year]]="","",TEXT(Table46[[#This Row],[Month-Year]],"MMM-YY"))</f>
        <v/>
      </c>
      <c r="J354" s="31"/>
      <c r="K354" s="39">
        <f t="shared" ref="K354:K356" si="47">(F354*G354)*E354/100</f>
        <v>0</v>
      </c>
    </row>
    <row r="355" spans="3:11" ht="15.2">
      <c r="C355" s="29"/>
      <c r="D355" s="30"/>
      <c r="E355" s="31"/>
      <c r="F355" s="31"/>
      <c r="G355" s="31"/>
      <c r="H355" s="43"/>
      <c r="I355" s="41" t="str">
        <f>IF(Table46[[#This Row],[Month-Year]]="","",TEXT(Table46[[#This Row],[Month-Year]],"MMM-YY"))</f>
        <v/>
      </c>
      <c r="J355" s="31"/>
      <c r="K355" s="39">
        <f t="shared" si="47"/>
        <v>0</v>
      </c>
    </row>
    <row r="356" spans="3:11" ht="15.2">
      <c r="C356" s="29"/>
      <c r="D356" s="30"/>
      <c r="E356" s="31"/>
      <c r="F356" s="31"/>
      <c r="G356" s="31"/>
      <c r="H356" s="43"/>
      <c r="I356" s="41" t="str">
        <f>IF(Table46[[#This Row],[Month-Year]]="","",TEXT(Table46[[#This Row],[Month-Year]],"MMM-YY"))</f>
        <v/>
      </c>
      <c r="J356" s="31"/>
      <c r="K356" s="39">
        <f t="shared" si="47"/>
        <v>0</v>
      </c>
    </row>
    <row r="357" spans="3:11" ht="15.2">
      <c r="C357" s="29"/>
      <c r="D357" s="30"/>
      <c r="E357" s="31"/>
      <c r="F357" s="31"/>
      <c r="G357" s="31"/>
      <c r="H357" s="43"/>
      <c r="I357" s="41" t="str">
        <f>IF(Table46[[#This Row],[Month-Year]]="","",TEXT(Table46[[#This Row],[Month-Year]],"MMM-YY"))</f>
        <v/>
      </c>
      <c r="J357" s="31"/>
      <c r="K357" s="39">
        <f t="shared" ref="K357:K359" si="48">(F357*G357)*E357/100</f>
        <v>0</v>
      </c>
    </row>
    <row r="358" spans="3:11" ht="15.2">
      <c r="C358" s="29"/>
      <c r="D358" s="30"/>
      <c r="E358" s="31"/>
      <c r="F358" s="31"/>
      <c r="G358" s="31"/>
      <c r="H358" s="43"/>
      <c r="I358" s="41" t="str">
        <f>IF(Table46[[#This Row],[Month-Year]]="","",TEXT(Table46[[#This Row],[Month-Year]],"MMM-YY"))</f>
        <v/>
      </c>
      <c r="J358" s="31"/>
      <c r="K358" s="39">
        <f t="shared" si="48"/>
        <v>0</v>
      </c>
    </row>
    <row r="359" spans="3:11" ht="15.2">
      <c r="C359" s="29"/>
      <c r="D359" s="30"/>
      <c r="E359" s="31"/>
      <c r="F359" s="31"/>
      <c r="G359" s="31"/>
      <c r="H359" s="43"/>
      <c r="I359" s="41" t="str">
        <f>IF(Table46[[#This Row],[Month-Year]]="","",TEXT(Table46[[#This Row],[Month-Year]],"MMM-YY"))</f>
        <v/>
      </c>
      <c r="J359" s="31"/>
      <c r="K359" s="39">
        <f t="shared" si="48"/>
        <v>0</v>
      </c>
    </row>
    <row r="360" spans="3:11" ht="15.2">
      <c r="C360" s="29"/>
      <c r="D360" s="30"/>
      <c r="E360" s="31"/>
      <c r="F360" s="31"/>
      <c r="G360" s="31"/>
      <c r="H360" s="43"/>
      <c r="I360" s="41" t="str">
        <f>IF(Table46[[#This Row],[Month-Year]]="","",TEXT(Table46[[#This Row],[Month-Year]],"MMM-YY"))</f>
        <v/>
      </c>
      <c r="J360" s="31"/>
      <c r="K360" s="39">
        <f t="shared" ref="K360:K362" si="49">(F360*G360)*E360/100</f>
        <v>0</v>
      </c>
    </row>
    <row r="361" spans="3:11" ht="15.2">
      <c r="C361" s="29"/>
      <c r="D361" s="30"/>
      <c r="E361" s="31"/>
      <c r="F361" s="31"/>
      <c r="G361" s="31"/>
      <c r="H361" s="43"/>
      <c r="I361" s="41" t="str">
        <f>IF(Table46[[#This Row],[Month-Year]]="","",TEXT(Table46[[#This Row],[Month-Year]],"MMM-YY"))</f>
        <v/>
      </c>
      <c r="J361" s="31"/>
      <c r="K361" s="39">
        <f t="shared" si="49"/>
        <v>0</v>
      </c>
    </row>
    <row r="362" spans="3:11" ht="15.2">
      <c r="C362" s="29"/>
      <c r="D362" s="30"/>
      <c r="E362" s="31"/>
      <c r="F362" s="31"/>
      <c r="G362" s="31"/>
      <c r="H362" s="43"/>
      <c r="I362" s="41" t="str">
        <f>IF(Table46[[#This Row],[Month-Year]]="","",TEXT(Table46[[#This Row],[Month-Year]],"MMM-YY"))</f>
        <v/>
      </c>
      <c r="J362" s="31"/>
      <c r="K362" s="39">
        <f t="shared" si="49"/>
        <v>0</v>
      </c>
    </row>
    <row r="363" spans="3:11" ht="15.2">
      <c r="C363" s="29"/>
      <c r="D363" s="30"/>
      <c r="E363" s="31"/>
      <c r="F363" s="31"/>
      <c r="G363" s="31"/>
      <c r="H363" s="43"/>
      <c r="I363" s="41" t="str">
        <f>IF(Table46[[#This Row],[Month-Year]]="","",TEXT(Table46[[#This Row],[Month-Year]],"MMM-YY"))</f>
        <v/>
      </c>
      <c r="J363" s="31"/>
      <c r="K363" s="39">
        <f t="shared" ref="K363:K365" si="50">(F363*G363)*E363/100</f>
        <v>0</v>
      </c>
    </row>
    <row r="364" spans="3:11" ht="15.2">
      <c r="C364" s="29"/>
      <c r="D364" s="30"/>
      <c r="E364" s="31"/>
      <c r="F364" s="31"/>
      <c r="G364" s="31"/>
      <c r="H364" s="43"/>
      <c r="I364" s="41" t="str">
        <f>IF(Table46[[#This Row],[Month-Year]]="","",TEXT(Table46[[#This Row],[Month-Year]],"MMM-YY"))</f>
        <v/>
      </c>
      <c r="J364" s="31"/>
      <c r="K364" s="39">
        <f t="shared" si="50"/>
        <v>0</v>
      </c>
    </row>
    <row r="365" spans="3:11" ht="15.2">
      <c r="C365" s="29"/>
      <c r="D365" s="30"/>
      <c r="E365" s="31"/>
      <c r="F365" s="31"/>
      <c r="G365" s="31"/>
      <c r="H365" s="43"/>
      <c r="I365" s="41" t="str">
        <f>IF(Table46[[#This Row],[Month-Year]]="","",TEXT(Table46[[#This Row],[Month-Year]],"MMM-YY"))</f>
        <v/>
      </c>
      <c r="J365" s="31"/>
      <c r="K365" s="39">
        <f t="shared" si="50"/>
        <v>0</v>
      </c>
    </row>
    <row r="366" spans="3:11" ht="15.2">
      <c r="C366" s="29"/>
      <c r="D366" s="30"/>
      <c r="E366" s="31"/>
      <c r="F366" s="31"/>
      <c r="G366" s="31"/>
      <c r="H366" s="43"/>
      <c r="I366" s="41" t="str">
        <f>IF(Table46[[#This Row],[Month-Year]]="","",TEXT(Table46[[#This Row],[Month-Year]],"MMM-YY"))</f>
        <v/>
      </c>
      <c r="J366" s="31"/>
      <c r="K366" s="39">
        <f t="shared" ref="K366:K368" si="51">(F366*G366)*E366/100</f>
        <v>0</v>
      </c>
    </row>
    <row r="367" spans="3:11" ht="15.2">
      <c r="C367" s="29"/>
      <c r="D367" s="30"/>
      <c r="E367" s="31"/>
      <c r="F367" s="31"/>
      <c r="G367" s="31"/>
      <c r="H367" s="43"/>
      <c r="I367" s="41" t="str">
        <f>IF(Table46[[#This Row],[Month-Year]]="","",TEXT(Table46[[#This Row],[Month-Year]],"MMM-YY"))</f>
        <v/>
      </c>
      <c r="J367" s="31"/>
      <c r="K367" s="39">
        <f t="shared" si="51"/>
        <v>0</v>
      </c>
    </row>
    <row r="368" spans="3:11" ht="15.2">
      <c r="C368" s="29"/>
      <c r="D368" s="30"/>
      <c r="E368" s="31"/>
      <c r="F368" s="31"/>
      <c r="G368" s="31"/>
      <c r="H368" s="43"/>
      <c r="I368" s="41" t="str">
        <f>IF(Table46[[#This Row],[Month-Year]]="","",TEXT(Table46[[#This Row],[Month-Year]],"MMM-YY"))</f>
        <v/>
      </c>
      <c r="J368" s="31"/>
      <c r="K368" s="39">
        <f t="shared" si="51"/>
        <v>0</v>
      </c>
    </row>
    <row r="369" spans="3:11" ht="15.2">
      <c r="C369" s="29"/>
      <c r="D369" s="30"/>
      <c r="E369" s="31"/>
      <c r="F369" s="31"/>
      <c r="G369" s="31"/>
      <c r="H369" s="43"/>
      <c r="I369" s="41" t="str">
        <f>IF(Table46[[#This Row],[Month-Year]]="","",TEXT(Table46[[#This Row],[Month-Year]],"MMM-YY"))</f>
        <v/>
      </c>
      <c r="J369" s="31"/>
      <c r="K369" s="39">
        <f t="shared" ref="K369:K371" si="52">(F369*G369)*E369/100</f>
        <v>0</v>
      </c>
    </row>
    <row r="370" spans="3:11" ht="15.2">
      <c r="C370" s="29"/>
      <c r="D370" s="30"/>
      <c r="E370" s="31"/>
      <c r="F370" s="31"/>
      <c r="G370" s="31"/>
      <c r="H370" s="43"/>
      <c r="I370" s="41" t="str">
        <f>IF(Table46[[#This Row],[Month-Year]]="","",TEXT(Table46[[#This Row],[Month-Year]],"MMM-YY"))</f>
        <v/>
      </c>
      <c r="J370" s="31"/>
      <c r="K370" s="39">
        <f t="shared" si="52"/>
        <v>0</v>
      </c>
    </row>
    <row r="371" spans="3:11" ht="15.2">
      <c r="C371" s="29"/>
      <c r="D371" s="30"/>
      <c r="E371" s="31"/>
      <c r="F371" s="31"/>
      <c r="G371" s="31"/>
      <c r="H371" s="43"/>
      <c r="I371" s="41" t="str">
        <f>IF(Table46[[#This Row],[Month-Year]]="","",TEXT(Table46[[#This Row],[Month-Year]],"MMM-YY"))</f>
        <v/>
      </c>
      <c r="J371" s="31"/>
      <c r="K371" s="39">
        <f t="shared" si="52"/>
        <v>0</v>
      </c>
    </row>
    <row r="372" spans="3:11" ht="15.2">
      <c r="C372" s="29"/>
      <c r="D372" s="30"/>
      <c r="E372" s="31"/>
      <c r="F372" s="31"/>
      <c r="G372" s="31"/>
      <c r="H372" s="43"/>
      <c r="I372" s="41" t="str">
        <f>IF(Table46[[#This Row],[Month-Year]]="","",TEXT(Table46[[#This Row],[Month-Year]],"MMM-YY"))</f>
        <v/>
      </c>
      <c r="J372" s="31"/>
      <c r="K372" s="39">
        <f t="shared" ref="K372:K374" si="53">(F372*G372)*E372/100</f>
        <v>0</v>
      </c>
    </row>
    <row r="373" spans="3:11" ht="15.2">
      <c r="C373" s="29"/>
      <c r="D373" s="30"/>
      <c r="E373" s="31"/>
      <c r="F373" s="31"/>
      <c r="G373" s="31"/>
      <c r="H373" s="43"/>
      <c r="I373" s="41" t="str">
        <f>IF(Table46[[#This Row],[Month-Year]]="","",TEXT(Table46[[#This Row],[Month-Year]],"MMM-YY"))</f>
        <v/>
      </c>
      <c r="J373" s="31"/>
      <c r="K373" s="39">
        <f t="shared" si="53"/>
        <v>0</v>
      </c>
    </row>
    <row r="374" spans="3:11" ht="15.2">
      <c r="C374" s="29"/>
      <c r="D374" s="30"/>
      <c r="E374" s="31"/>
      <c r="F374" s="31"/>
      <c r="G374" s="31"/>
      <c r="H374" s="43"/>
      <c r="I374" s="41" t="str">
        <f>IF(Table46[[#This Row],[Month-Year]]="","",TEXT(Table46[[#This Row],[Month-Year]],"MMM-YY"))</f>
        <v/>
      </c>
      <c r="J374" s="31"/>
      <c r="K374" s="39">
        <f t="shared" si="53"/>
        <v>0</v>
      </c>
    </row>
    <row r="375" spans="3:11" ht="15.2">
      <c r="C375" s="29"/>
      <c r="D375" s="30"/>
      <c r="E375" s="31"/>
      <c r="F375" s="31"/>
      <c r="G375" s="31"/>
      <c r="H375" s="43"/>
      <c r="I375" s="41" t="str">
        <f>IF(Table46[[#This Row],[Month-Year]]="","",TEXT(Table46[[#This Row],[Month-Year]],"MMM-YY"))</f>
        <v/>
      </c>
      <c r="J375" s="31"/>
      <c r="K375" s="39">
        <f t="shared" ref="K375:K377" si="54">(F375*G375)*E375/100</f>
        <v>0</v>
      </c>
    </row>
    <row r="376" spans="3:11" ht="15.2">
      <c r="C376" s="29"/>
      <c r="D376" s="30"/>
      <c r="E376" s="31"/>
      <c r="F376" s="31"/>
      <c r="G376" s="31"/>
      <c r="H376" s="43"/>
      <c r="I376" s="41" t="str">
        <f>IF(Table46[[#This Row],[Month-Year]]="","",TEXT(Table46[[#This Row],[Month-Year]],"MMM-YY"))</f>
        <v/>
      </c>
      <c r="J376" s="31"/>
      <c r="K376" s="39">
        <f t="shared" si="54"/>
        <v>0</v>
      </c>
    </row>
    <row r="377" spans="3:11" ht="15.2">
      <c r="C377" s="29"/>
      <c r="D377" s="30"/>
      <c r="E377" s="31"/>
      <c r="F377" s="31"/>
      <c r="G377" s="31"/>
      <c r="H377" s="43"/>
      <c r="I377" s="41" t="str">
        <f>IF(Table46[[#This Row],[Month-Year]]="","",TEXT(Table46[[#This Row],[Month-Year]],"MMM-YY"))</f>
        <v/>
      </c>
      <c r="J377" s="31"/>
      <c r="K377" s="39">
        <f t="shared" si="54"/>
        <v>0</v>
      </c>
    </row>
    <row r="378" spans="3:11" ht="15.2">
      <c r="C378" s="29"/>
      <c r="D378" s="30"/>
      <c r="E378" s="31"/>
      <c r="F378" s="31"/>
      <c r="G378" s="31"/>
      <c r="H378" s="43"/>
      <c r="I378" s="41" t="str">
        <f>IF(Table46[[#This Row],[Month-Year]]="","",TEXT(Table46[[#This Row],[Month-Year]],"MMM-YY"))</f>
        <v/>
      </c>
      <c r="J378" s="31"/>
      <c r="K378" s="39">
        <f t="shared" ref="K378:K380" si="55">(F378*G378)*E378/100</f>
        <v>0</v>
      </c>
    </row>
    <row r="379" spans="3:11" ht="15.2">
      <c r="C379" s="29"/>
      <c r="D379" s="30"/>
      <c r="E379" s="31"/>
      <c r="F379" s="31"/>
      <c r="G379" s="31"/>
      <c r="H379" s="43"/>
      <c r="I379" s="41" t="str">
        <f>IF(Table46[[#This Row],[Month-Year]]="","",TEXT(Table46[[#This Row],[Month-Year]],"MMM-YY"))</f>
        <v/>
      </c>
      <c r="J379" s="31"/>
      <c r="K379" s="39">
        <f t="shared" si="55"/>
        <v>0</v>
      </c>
    </row>
    <row r="380" spans="3:11" ht="15.2">
      <c r="C380" s="29"/>
      <c r="D380" s="30"/>
      <c r="E380" s="31"/>
      <c r="F380" s="31"/>
      <c r="G380" s="31"/>
      <c r="H380" s="43"/>
      <c r="I380" s="41" t="str">
        <f>IF(Table46[[#This Row],[Month-Year]]="","",TEXT(Table46[[#This Row],[Month-Year]],"MMM-YY"))</f>
        <v/>
      </c>
      <c r="J380" s="31"/>
      <c r="K380" s="39">
        <f t="shared" si="55"/>
        <v>0</v>
      </c>
    </row>
    <row r="381" spans="3:11" ht="15.2">
      <c r="C381" s="29"/>
      <c r="D381" s="30"/>
      <c r="E381" s="31"/>
      <c r="F381" s="31"/>
      <c r="G381" s="31"/>
      <c r="H381" s="43"/>
      <c r="I381" s="41" t="str">
        <f>IF(Table46[[#This Row],[Month-Year]]="","",TEXT(Table46[[#This Row],[Month-Year]],"MMM-YY"))</f>
        <v/>
      </c>
      <c r="J381" s="31"/>
      <c r="K381" s="39">
        <f t="shared" ref="K381:K383" si="56">(F381*G381)*E381/100</f>
        <v>0</v>
      </c>
    </row>
    <row r="382" spans="3:11" ht="15.2">
      <c r="C382" s="29"/>
      <c r="D382" s="30"/>
      <c r="E382" s="31"/>
      <c r="F382" s="31"/>
      <c r="G382" s="31"/>
      <c r="H382" s="43"/>
      <c r="I382" s="41" t="str">
        <f>IF(Table46[[#This Row],[Month-Year]]="","",TEXT(Table46[[#This Row],[Month-Year]],"MMM-YY"))</f>
        <v/>
      </c>
      <c r="J382" s="31"/>
      <c r="K382" s="39">
        <f t="shared" si="56"/>
        <v>0</v>
      </c>
    </row>
    <row r="383" spans="3:11" ht="15.2">
      <c r="C383" s="29"/>
      <c r="D383" s="30"/>
      <c r="E383" s="31"/>
      <c r="F383" s="31"/>
      <c r="G383" s="31"/>
      <c r="H383" s="43"/>
      <c r="I383" s="41" t="str">
        <f>IF(Table46[[#This Row],[Month-Year]]="","",TEXT(Table46[[#This Row],[Month-Year]],"MMM-YY"))</f>
        <v/>
      </c>
      <c r="J383" s="31"/>
      <c r="K383" s="39">
        <f t="shared" si="56"/>
        <v>0</v>
      </c>
    </row>
    <row r="384" spans="3:11" ht="15.2">
      <c r="C384" s="29"/>
      <c r="D384" s="30"/>
      <c r="E384" s="31"/>
      <c r="F384" s="31"/>
      <c r="G384" s="31"/>
      <c r="H384" s="43"/>
      <c r="I384" s="41" t="str">
        <f>IF(Table46[[#This Row],[Month-Year]]="","",TEXT(Table46[[#This Row],[Month-Year]],"MMM-YY"))</f>
        <v/>
      </c>
      <c r="J384" s="31"/>
      <c r="K384" s="39">
        <f t="shared" ref="K384:K386" si="57">(F384*G384)*E384/100</f>
        <v>0</v>
      </c>
    </row>
    <row r="385" spans="3:11" ht="15.2">
      <c r="C385" s="29"/>
      <c r="D385" s="30"/>
      <c r="E385" s="31"/>
      <c r="F385" s="31"/>
      <c r="G385" s="31"/>
      <c r="H385" s="43"/>
      <c r="I385" s="41" t="str">
        <f>IF(Table46[[#This Row],[Month-Year]]="","",TEXT(Table46[[#This Row],[Month-Year]],"MMM-YY"))</f>
        <v/>
      </c>
      <c r="J385" s="31"/>
      <c r="K385" s="39">
        <f t="shared" si="57"/>
        <v>0</v>
      </c>
    </row>
    <row r="386" spans="3:11" ht="15.2">
      <c r="C386" s="29"/>
      <c r="D386" s="30"/>
      <c r="E386" s="31"/>
      <c r="F386" s="31"/>
      <c r="G386" s="31"/>
      <c r="H386" s="43"/>
      <c r="I386" s="41" t="str">
        <f>IF(Table46[[#This Row],[Month-Year]]="","",TEXT(Table46[[#This Row],[Month-Year]],"MMM-YY"))</f>
        <v/>
      </c>
      <c r="J386" s="31"/>
      <c r="K386" s="39">
        <f t="shared" si="57"/>
        <v>0</v>
      </c>
    </row>
    <row r="387" spans="3:11" ht="15.2">
      <c r="C387" s="29"/>
      <c r="D387" s="30"/>
      <c r="E387" s="31"/>
      <c r="F387" s="31"/>
      <c r="G387" s="31"/>
      <c r="H387" s="43"/>
      <c r="I387" s="41" t="str">
        <f>IF(Table46[[#This Row],[Month-Year]]="","",TEXT(Table46[[#This Row],[Month-Year]],"MMM-YY"))</f>
        <v/>
      </c>
      <c r="J387" s="31"/>
      <c r="K387" s="39">
        <f t="shared" ref="K387:K389" si="58">(F387*G387)*E387/100</f>
        <v>0</v>
      </c>
    </row>
    <row r="388" spans="3:11" ht="15.2">
      <c r="C388" s="29"/>
      <c r="D388" s="30"/>
      <c r="E388" s="31"/>
      <c r="F388" s="31"/>
      <c r="G388" s="31"/>
      <c r="H388" s="43"/>
      <c r="I388" s="41" t="str">
        <f>IF(Table46[[#This Row],[Month-Year]]="","",TEXT(Table46[[#This Row],[Month-Year]],"MMM-YY"))</f>
        <v/>
      </c>
      <c r="J388" s="31"/>
      <c r="K388" s="39">
        <f t="shared" si="58"/>
        <v>0</v>
      </c>
    </row>
    <row r="389" spans="3:11" ht="15.2">
      <c r="C389" s="29"/>
      <c r="D389" s="30"/>
      <c r="E389" s="31"/>
      <c r="F389" s="31"/>
      <c r="G389" s="31"/>
      <c r="H389" s="43"/>
      <c r="I389" s="41" t="str">
        <f>IF(Table46[[#This Row],[Month-Year]]="","",TEXT(Table46[[#This Row],[Month-Year]],"MMM-YY"))</f>
        <v/>
      </c>
      <c r="J389" s="31"/>
      <c r="K389" s="39">
        <f t="shared" si="58"/>
        <v>0</v>
      </c>
    </row>
    <row r="390" spans="3:11" ht="15.2">
      <c r="C390" s="29"/>
      <c r="D390" s="30"/>
      <c r="E390" s="31"/>
      <c r="F390" s="31"/>
      <c r="G390" s="31"/>
      <c r="H390" s="43"/>
      <c r="I390" s="41" t="str">
        <f>IF(Table46[[#This Row],[Month-Year]]="","",TEXT(Table46[[#This Row],[Month-Year]],"MMM-YY"))</f>
        <v/>
      </c>
      <c r="J390" s="31"/>
      <c r="K390" s="39">
        <f t="shared" ref="K390:K392" si="59">(F390*G390)*E390/100</f>
        <v>0</v>
      </c>
    </row>
    <row r="391" spans="3:11" ht="15.2">
      <c r="C391" s="29"/>
      <c r="D391" s="30"/>
      <c r="E391" s="31"/>
      <c r="F391" s="31"/>
      <c r="G391" s="31"/>
      <c r="H391" s="43"/>
      <c r="I391" s="41" t="str">
        <f>IF(Table46[[#This Row],[Month-Year]]="","",TEXT(Table46[[#This Row],[Month-Year]],"MMM-YY"))</f>
        <v/>
      </c>
      <c r="J391" s="31"/>
      <c r="K391" s="39">
        <f t="shared" si="59"/>
        <v>0</v>
      </c>
    </row>
    <row r="392" spans="3:11" ht="15.2">
      <c r="C392" s="29"/>
      <c r="D392" s="30"/>
      <c r="E392" s="31"/>
      <c r="F392" s="31"/>
      <c r="G392" s="31"/>
      <c r="H392" s="43"/>
      <c r="I392" s="41" t="str">
        <f>IF(Table46[[#This Row],[Month-Year]]="","",TEXT(Table46[[#This Row],[Month-Year]],"MMM-YY"))</f>
        <v/>
      </c>
      <c r="J392" s="31"/>
      <c r="K392" s="39">
        <f t="shared" si="59"/>
        <v>0</v>
      </c>
    </row>
    <row r="393" spans="3:11" ht="15.2">
      <c r="C393" s="29"/>
      <c r="D393" s="30"/>
      <c r="E393" s="31"/>
      <c r="F393" s="31"/>
      <c r="G393" s="31"/>
      <c r="H393" s="43"/>
      <c r="I393" s="41" t="str">
        <f>IF(Table46[[#This Row],[Month-Year]]="","",TEXT(Table46[[#This Row],[Month-Year]],"MMM-YY"))</f>
        <v/>
      </c>
      <c r="J393" s="31"/>
      <c r="K393" s="39">
        <f t="shared" ref="K393:K395" si="60">(F393*G393)*E393/100</f>
        <v>0</v>
      </c>
    </row>
    <row r="394" spans="3:11" ht="15.2">
      <c r="C394" s="29"/>
      <c r="D394" s="30"/>
      <c r="E394" s="31"/>
      <c r="F394" s="31"/>
      <c r="G394" s="31"/>
      <c r="H394" s="43"/>
      <c r="I394" s="41" t="str">
        <f>IF(Table46[[#This Row],[Month-Year]]="","",TEXT(Table46[[#This Row],[Month-Year]],"MMM-YY"))</f>
        <v/>
      </c>
      <c r="J394" s="31"/>
      <c r="K394" s="39">
        <f t="shared" si="60"/>
        <v>0</v>
      </c>
    </row>
    <row r="395" spans="3:11" ht="15.2">
      <c r="C395" s="29"/>
      <c r="D395" s="30"/>
      <c r="E395" s="31"/>
      <c r="F395" s="31"/>
      <c r="G395" s="31"/>
      <c r="H395" s="43"/>
      <c r="I395" s="41" t="str">
        <f>IF(Table46[[#This Row],[Month-Year]]="","",TEXT(Table46[[#This Row],[Month-Year]],"MMM-YY"))</f>
        <v/>
      </c>
      <c r="J395" s="31"/>
      <c r="K395" s="39">
        <f t="shared" si="60"/>
        <v>0</v>
      </c>
    </row>
    <row r="396" spans="3:11" ht="15.2">
      <c r="C396" s="29"/>
      <c r="D396" s="30"/>
      <c r="E396" s="31"/>
      <c r="F396" s="31"/>
      <c r="G396" s="31"/>
      <c r="H396" s="43"/>
      <c r="I396" s="41" t="str">
        <f>IF(Table46[[#This Row],[Month-Year]]="","",TEXT(Table46[[#This Row],[Month-Year]],"MMM-YY"))</f>
        <v/>
      </c>
      <c r="J396" s="31"/>
      <c r="K396" s="39">
        <f t="shared" ref="K396:K398" si="61">(F396*G396)*E396/100</f>
        <v>0</v>
      </c>
    </row>
    <row r="397" spans="3:11" ht="15.2">
      <c r="C397" s="29"/>
      <c r="D397" s="30"/>
      <c r="E397" s="31"/>
      <c r="F397" s="31"/>
      <c r="G397" s="31"/>
      <c r="H397" s="43"/>
      <c r="I397" s="41" t="str">
        <f>IF(Table46[[#This Row],[Month-Year]]="","",TEXT(Table46[[#This Row],[Month-Year]],"MMM-YY"))</f>
        <v/>
      </c>
      <c r="J397" s="31"/>
      <c r="K397" s="39">
        <f t="shared" si="61"/>
        <v>0</v>
      </c>
    </row>
    <row r="398" spans="3:11" ht="15.2">
      <c r="C398" s="29"/>
      <c r="D398" s="30"/>
      <c r="E398" s="31"/>
      <c r="F398" s="31"/>
      <c r="G398" s="31"/>
      <c r="H398" s="43"/>
      <c r="I398" s="41" t="str">
        <f>IF(Table46[[#This Row],[Month-Year]]="","",TEXT(Table46[[#This Row],[Month-Year]],"MMM-YY"))</f>
        <v/>
      </c>
      <c r="J398" s="31"/>
      <c r="K398" s="39">
        <f t="shared" si="61"/>
        <v>0</v>
      </c>
    </row>
    <row r="399" spans="3:11" ht="15.2">
      <c r="C399" s="29"/>
      <c r="D399" s="30"/>
      <c r="E399" s="31"/>
      <c r="F399" s="31"/>
      <c r="G399" s="31"/>
      <c r="H399" s="43"/>
      <c r="I399" s="41" t="str">
        <f>IF(Table46[[#This Row],[Month-Year]]="","",TEXT(Table46[[#This Row],[Month-Year]],"MMM-YY"))</f>
        <v/>
      </c>
      <c r="J399" s="31"/>
      <c r="K399" s="39">
        <f t="shared" ref="K399:K401" si="62">(F399*G399)*E399/100</f>
        <v>0</v>
      </c>
    </row>
    <row r="400" spans="3:11" ht="15.2">
      <c r="C400" s="29"/>
      <c r="D400" s="30"/>
      <c r="E400" s="31"/>
      <c r="F400" s="31"/>
      <c r="G400" s="31"/>
      <c r="H400" s="43"/>
      <c r="I400" s="41" t="str">
        <f>IF(Table46[[#This Row],[Month-Year]]="","",TEXT(Table46[[#This Row],[Month-Year]],"MMM-YY"))</f>
        <v/>
      </c>
      <c r="J400" s="31"/>
      <c r="K400" s="39">
        <f t="shared" si="62"/>
        <v>0</v>
      </c>
    </row>
    <row r="401" spans="3:11" ht="15.2">
      <c r="C401" s="29"/>
      <c r="D401" s="30"/>
      <c r="E401" s="31"/>
      <c r="F401" s="31"/>
      <c r="G401" s="31"/>
      <c r="H401" s="43"/>
      <c r="I401" s="41" t="str">
        <f>IF(Table46[[#This Row],[Month-Year]]="","",TEXT(Table46[[#This Row],[Month-Year]],"MMM-YY"))</f>
        <v/>
      </c>
      <c r="J401" s="31"/>
      <c r="K401" s="39">
        <f t="shared" si="62"/>
        <v>0</v>
      </c>
    </row>
    <row r="402" spans="3:11" ht="15.2">
      <c r="C402" s="29"/>
      <c r="D402" s="30"/>
      <c r="E402" s="31"/>
      <c r="F402" s="31"/>
      <c r="G402" s="31"/>
      <c r="H402" s="43"/>
      <c r="I402" s="41" t="str">
        <f>IF(Table46[[#This Row],[Month-Year]]="","",TEXT(Table46[[#This Row],[Month-Year]],"MMM-YY"))</f>
        <v/>
      </c>
      <c r="J402" s="31"/>
      <c r="K402" s="39">
        <f t="shared" ref="K402:K404" si="63">(F402*G402)*E402/100</f>
        <v>0</v>
      </c>
    </row>
    <row r="403" spans="3:11" ht="15.2">
      <c r="C403" s="29"/>
      <c r="D403" s="30"/>
      <c r="E403" s="31"/>
      <c r="F403" s="31"/>
      <c r="G403" s="31"/>
      <c r="H403" s="43"/>
      <c r="I403" s="41" t="str">
        <f>IF(Table46[[#This Row],[Month-Year]]="","",TEXT(Table46[[#This Row],[Month-Year]],"MMM-YY"))</f>
        <v/>
      </c>
      <c r="J403" s="31"/>
      <c r="K403" s="39">
        <f t="shared" si="63"/>
        <v>0</v>
      </c>
    </row>
    <row r="404" spans="3:11" ht="15.2">
      <c r="C404" s="29"/>
      <c r="D404" s="30"/>
      <c r="E404" s="31"/>
      <c r="F404" s="31"/>
      <c r="G404" s="31"/>
      <c r="H404" s="43"/>
      <c r="I404" s="41" t="str">
        <f>IF(Table46[[#This Row],[Month-Year]]="","",TEXT(Table46[[#This Row],[Month-Year]],"MMM-YY"))</f>
        <v/>
      </c>
      <c r="J404" s="31"/>
      <c r="K404" s="39">
        <f t="shared" si="63"/>
        <v>0</v>
      </c>
    </row>
    <row r="405" spans="3:11" ht="15.2">
      <c r="C405" s="29"/>
      <c r="D405" s="30"/>
      <c r="E405" s="31"/>
      <c r="F405" s="31"/>
      <c r="G405" s="31"/>
      <c r="H405" s="43"/>
      <c r="I405" s="41" t="str">
        <f>IF(Table46[[#This Row],[Month-Year]]="","",TEXT(Table46[[#This Row],[Month-Year]],"MMM-YY"))</f>
        <v/>
      </c>
      <c r="J405" s="31"/>
      <c r="K405" s="39">
        <f t="shared" ref="K405:K407" si="64">(F405*G405)*E405/100</f>
        <v>0</v>
      </c>
    </row>
    <row r="406" spans="3:11" ht="15.2">
      <c r="C406" s="29"/>
      <c r="D406" s="30"/>
      <c r="E406" s="31"/>
      <c r="F406" s="31"/>
      <c r="G406" s="31"/>
      <c r="H406" s="43"/>
      <c r="I406" s="41" t="str">
        <f>IF(Table46[[#This Row],[Month-Year]]="","",TEXT(Table46[[#This Row],[Month-Year]],"MMM-YY"))</f>
        <v/>
      </c>
      <c r="J406" s="31"/>
      <c r="K406" s="39">
        <f t="shared" si="64"/>
        <v>0</v>
      </c>
    </row>
    <row r="407" spans="3:11" ht="15.2">
      <c r="C407" s="29"/>
      <c r="D407" s="30"/>
      <c r="E407" s="31"/>
      <c r="F407" s="31"/>
      <c r="G407" s="31"/>
      <c r="H407" s="43"/>
      <c r="I407" s="41" t="str">
        <f>IF(Table46[[#This Row],[Month-Year]]="","",TEXT(Table46[[#This Row],[Month-Year]],"MMM-YY"))</f>
        <v/>
      </c>
      <c r="J407" s="31"/>
      <c r="K407" s="39">
        <f t="shared" si="64"/>
        <v>0</v>
      </c>
    </row>
    <row r="408" spans="3:11" ht="15.2">
      <c r="C408" s="29"/>
      <c r="D408" s="30"/>
      <c r="E408" s="31"/>
      <c r="F408" s="31"/>
      <c r="G408" s="31"/>
      <c r="H408" s="43"/>
      <c r="I408" s="41" t="str">
        <f>IF(Table46[[#This Row],[Month-Year]]="","",TEXT(Table46[[#This Row],[Month-Year]],"MMM-YY"))</f>
        <v/>
      </c>
      <c r="J408" s="31"/>
      <c r="K408" s="39">
        <f t="shared" ref="K408:K410" si="65">(F408*G408)*E408/100</f>
        <v>0</v>
      </c>
    </row>
    <row r="409" spans="3:11" ht="15.2">
      <c r="C409" s="29"/>
      <c r="D409" s="30"/>
      <c r="E409" s="31"/>
      <c r="F409" s="31"/>
      <c r="G409" s="31"/>
      <c r="H409" s="43"/>
      <c r="I409" s="41" t="str">
        <f>IF(Table46[[#This Row],[Month-Year]]="","",TEXT(Table46[[#This Row],[Month-Year]],"MMM-YY"))</f>
        <v/>
      </c>
      <c r="J409" s="31"/>
      <c r="K409" s="39">
        <f t="shared" si="65"/>
        <v>0</v>
      </c>
    </row>
    <row r="410" spans="3:11" ht="15.2">
      <c r="C410" s="29"/>
      <c r="D410" s="30"/>
      <c r="E410" s="31"/>
      <c r="F410" s="31"/>
      <c r="G410" s="31"/>
      <c r="H410" s="43"/>
      <c r="I410" s="41" t="str">
        <f>IF(Table46[[#This Row],[Month-Year]]="","",TEXT(Table46[[#This Row],[Month-Year]],"MMM-YY"))</f>
        <v/>
      </c>
      <c r="J410" s="31"/>
      <c r="K410" s="39">
        <f t="shared" si="65"/>
        <v>0</v>
      </c>
    </row>
    <row r="411" spans="3:11" ht="15.2">
      <c r="C411" s="29"/>
      <c r="D411" s="30"/>
      <c r="E411" s="31"/>
      <c r="F411" s="31"/>
      <c r="G411" s="31"/>
      <c r="H411" s="43"/>
      <c r="I411" s="41" t="str">
        <f>IF(Table46[[#This Row],[Month-Year]]="","",TEXT(Table46[[#This Row],[Month-Year]],"MMM-YY"))</f>
        <v/>
      </c>
      <c r="J411" s="31"/>
      <c r="K411" s="39">
        <f t="shared" ref="K411:K413" si="66">(F411*G411)*E411/100</f>
        <v>0</v>
      </c>
    </row>
    <row r="412" spans="3:11" ht="15.2">
      <c r="C412" s="29"/>
      <c r="D412" s="30"/>
      <c r="E412" s="31"/>
      <c r="F412" s="31"/>
      <c r="G412" s="31"/>
      <c r="H412" s="43"/>
      <c r="I412" s="41" t="str">
        <f>IF(Table46[[#This Row],[Month-Year]]="","",TEXT(Table46[[#This Row],[Month-Year]],"MMM-YY"))</f>
        <v/>
      </c>
      <c r="J412" s="31"/>
      <c r="K412" s="39">
        <f t="shared" si="66"/>
        <v>0</v>
      </c>
    </row>
    <row r="413" spans="3:11" ht="15.2">
      <c r="C413" s="29"/>
      <c r="D413" s="30"/>
      <c r="E413" s="31"/>
      <c r="F413" s="31"/>
      <c r="G413" s="31"/>
      <c r="H413" s="43"/>
      <c r="I413" s="41" t="str">
        <f>IF(Table46[[#This Row],[Month-Year]]="","",TEXT(Table46[[#This Row],[Month-Year]],"MMM-YY"))</f>
        <v/>
      </c>
      <c r="J413" s="31"/>
      <c r="K413" s="39">
        <f t="shared" si="66"/>
        <v>0</v>
      </c>
    </row>
    <row r="414" spans="3:11" ht="15.2">
      <c r="C414" s="29"/>
      <c r="D414" s="30"/>
      <c r="E414" s="31"/>
      <c r="F414" s="31"/>
      <c r="G414" s="31"/>
      <c r="H414" s="43"/>
      <c r="I414" s="41" t="str">
        <f>IF(Table46[[#This Row],[Month-Year]]="","",TEXT(Table46[[#This Row],[Month-Year]],"MMM-YY"))</f>
        <v/>
      </c>
      <c r="J414" s="31"/>
      <c r="K414" s="39">
        <f t="shared" ref="K414:K416" si="67">(F414*G414)*E414/100</f>
        <v>0</v>
      </c>
    </row>
    <row r="415" spans="3:11" ht="15.2">
      <c r="C415" s="29"/>
      <c r="D415" s="30"/>
      <c r="E415" s="31"/>
      <c r="F415" s="31"/>
      <c r="G415" s="31"/>
      <c r="H415" s="43"/>
      <c r="I415" s="41" t="str">
        <f>IF(Table46[[#This Row],[Month-Year]]="","",TEXT(Table46[[#This Row],[Month-Year]],"MMM-YY"))</f>
        <v/>
      </c>
      <c r="J415" s="31"/>
      <c r="K415" s="39">
        <f t="shared" si="67"/>
        <v>0</v>
      </c>
    </row>
    <row r="416" spans="3:11" ht="15.2">
      <c r="C416" s="29"/>
      <c r="D416" s="30"/>
      <c r="E416" s="31"/>
      <c r="F416" s="31"/>
      <c r="G416" s="31"/>
      <c r="H416" s="43"/>
      <c r="I416" s="41" t="str">
        <f>IF(Table46[[#This Row],[Month-Year]]="","",TEXT(Table46[[#This Row],[Month-Year]],"MMM-YY"))</f>
        <v/>
      </c>
      <c r="J416" s="31"/>
      <c r="K416" s="39">
        <f t="shared" si="67"/>
        <v>0</v>
      </c>
    </row>
    <row r="417" spans="3:11" ht="15.2">
      <c r="C417" s="29"/>
      <c r="D417" s="30"/>
      <c r="E417" s="31"/>
      <c r="F417" s="31"/>
      <c r="G417" s="31"/>
      <c r="H417" s="43"/>
      <c r="I417" s="41" t="str">
        <f>IF(Table46[[#This Row],[Month-Year]]="","",TEXT(Table46[[#This Row],[Month-Year]],"MMM-YY"))</f>
        <v/>
      </c>
      <c r="J417" s="31"/>
      <c r="K417" s="39">
        <f t="shared" ref="K417:K419" si="68">(F417*G417)*E417/100</f>
        <v>0</v>
      </c>
    </row>
    <row r="418" spans="3:11" ht="15.2">
      <c r="C418" s="29"/>
      <c r="D418" s="30"/>
      <c r="E418" s="31"/>
      <c r="F418" s="31"/>
      <c r="G418" s="31"/>
      <c r="H418" s="43"/>
      <c r="I418" s="41" t="str">
        <f>IF(Table46[[#This Row],[Month-Year]]="","",TEXT(Table46[[#This Row],[Month-Year]],"MMM-YY"))</f>
        <v/>
      </c>
      <c r="J418" s="31"/>
      <c r="K418" s="39">
        <f t="shared" si="68"/>
        <v>0</v>
      </c>
    </row>
    <row r="419" spans="3:11" ht="15.2">
      <c r="C419" s="29"/>
      <c r="D419" s="30"/>
      <c r="E419" s="31"/>
      <c r="F419" s="31"/>
      <c r="G419" s="31"/>
      <c r="H419" s="43"/>
      <c r="I419" s="41" t="str">
        <f>IF(Table46[[#This Row],[Month-Year]]="","",TEXT(Table46[[#This Row],[Month-Year]],"MMM-YY"))</f>
        <v/>
      </c>
      <c r="J419" s="31"/>
      <c r="K419" s="39">
        <f t="shared" si="68"/>
        <v>0</v>
      </c>
    </row>
    <row r="420" spans="3:11" ht="15.2">
      <c r="C420" s="29"/>
      <c r="D420" s="30"/>
      <c r="E420" s="31"/>
      <c r="F420" s="31"/>
      <c r="G420" s="31"/>
      <c r="H420" s="43"/>
      <c r="I420" s="41" t="str">
        <f>IF(Table46[[#This Row],[Month-Year]]="","",TEXT(Table46[[#This Row],[Month-Year]],"MMM-YY"))</f>
        <v/>
      </c>
      <c r="J420" s="31"/>
      <c r="K420" s="39">
        <f t="shared" ref="K420:K422" si="69">(F420*G420)*E420/100</f>
        <v>0</v>
      </c>
    </row>
    <row r="421" spans="3:11" ht="15.2">
      <c r="C421" s="29"/>
      <c r="D421" s="30"/>
      <c r="E421" s="31"/>
      <c r="F421" s="31"/>
      <c r="G421" s="31"/>
      <c r="H421" s="43"/>
      <c r="I421" s="41" t="str">
        <f>IF(Table46[[#This Row],[Month-Year]]="","",TEXT(Table46[[#This Row],[Month-Year]],"MMM-YY"))</f>
        <v/>
      </c>
      <c r="J421" s="31"/>
      <c r="K421" s="39">
        <f t="shared" si="69"/>
        <v>0</v>
      </c>
    </row>
    <row r="422" spans="3:11" ht="15.2">
      <c r="C422" s="29"/>
      <c r="D422" s="30"/>
      <c r="E422" s="31"/>
      <c r="F422" s="31"/>
      <c r="G422" s="31"/>
      <c r="H422" s="43"/>
      <c r="I422" s="41" t="str">
        <f>IF(Table46[[#This Row],[Month-Year]]="","",TEXT(Table46[[#This Row],[Month-Year]],"MMM-YY"))</f>
        <v/>
      </c>
      <c r="J422" s="31"/>
      <c r="K422" s="39">
        <f t="shared" si="69"/>
        <v>0</v>
      </c>
    </row>
    <row r="423" spans="3:11" ht="15.2">
      <c r="C423" s="29"/>
      <c r="D423" s="30"/>
      <c r="E423" s="31"/>
      <c r="F423" s="31"/>
      <c r="G423" s="31"/>
      <c r="H423" s="43"/>
      <c r="I423" s="41" t="str">
        <f>IF(Table46[[#This Row],[Month-Year]]="","",TEXT(Table46[[#This Row],[Month-Year]],"MMM-YY"))</f>
        <v/>
      </c>
      <c r="J423" s="31"/>
      <c r="K423" s="39">
        <f t="shared" ref="K423:K425" si="70">(F423*G423)*E423/100</f>
        <v>0</v>
      </c>
    </row>
    <row r="424" spans="3:11" ht="15.2">
      <c r="C424" s="29"/>
      <c r="D424" s="30"/>
      <c r="E424" s="31"/>
      <c r="F424" s="31"/>
      <c r="G424" s="31"/>
      <c r="H424" s="43"/>
      <c r="I424" s="41" t="str">
        <f>IF(Table46[[#This Row],[Month-Year]]="","",TEXT(Table46[[#This Row],[Month-Year]],"MMM-YY"))</f>
        <v/>
      </c>
      <c r="J424" s="31"/>
      <c r="K424" s="39">
        <f t="shared" si="70"/>
        <v>0</v>
      </c>
    </row>
    <row r="425" spans="3:11" ht="15.2">
      <c r="C425" s="29"/>
      <c r="D425" s="30"/>
      <c r="E425" s="31"/>
      <c r="F425" s="31"/>
      <c r="G425" s="31"/>
      <c r="H425" s="43"/>
      <c r="I425" s="41" t="str">
        <f>IF(Table46[[#This Row],[Month-Year]]="","",TEXT(Table46[[#This Row],[Month-Year]],"MMM-YY"))</f>
        <v/>
      </c>
      <c r="J425" s="31"/>
      <c r="K425" s="39">
        <f t="shared" si="70"/>
        <v>0</v>
      </c>
    </row>
    <row r="426" spans="3:11" ht="15.2">
      <c r="C426" s="29"/>
      <c r="D426" s="30"/>
      <c r="E426" s="31"/>
      <c r="F426" s="31"/>
      <c r="G426" s="31"/>
      <c r="H426" s="43"/>
      <c r="I426" s="41" t="str">
        <f>IF(Table46[[#This Row],[Month-Year]]="","",TEXT(Table46[[#This Row],[Month-Year]],"MMM-YY"))</f>
        <v/>
      </c>
      <c r="J426" s="31"/>
      <c r="K426" s="39">
        <f t="shared" ref="K426:K428" si="71">(F426*G426)*E426/100</f>
        <v>0</v>
      </c>
    </row>
    <row r="427" spans="3:11" ht="15.2">
      <c r="C427" s="29"/>
      <c r="D427" s="30"/>
      <c r="E427" s="31"/>
      <c r="F427" s="31"/>
      <c r="G427" s="31"/>
      <c r="H427" s="43"/>
      <c r="I427" s="41" t="str">
        <f>IF(Table46[[#This Row],[Month-Year]]="","",TEXT(Table46[[#This Row],[Month-Year]],"MMM-YY"))</f>
        <v/>
      </c>
      <c r="J427" s="31"/>
      <c r="K427" s="39">
        <f t="shared" si="71"/>
        <v>0</v>
      </c>
    </row>
    <row r="428" spans="3:11" ht="15.2">
      <c r="C428" s="29"/>
      <c r="D428" s="30"/>
      <c r="E428" s="31"/>
      <c r="F428" s="31"/>
      <c r="G428" s="31"/>
      <c r="H428" s="43"/>
      <c r="I428" s="41" t="str">
        <f>IF(Table46[[#This Row],[Month-Year]]="","",TEXT(Table46[[#This Row],[Month-Year]],"MMM-YY"))</f>
        <v/>
      </c>
      <c r="J428" s="31"/>
      <c r="K428" s="39">
        <f t="shared" si="71"/>
        <v>0</v>
      </c>
    </row>
    <row r="429" spans="3:11" ht="15.2">
      <c r="C429" s="29"/>
      <c r="D429" s="30"/>
      <c r="E429" s="31"/>
      <c r="F429" s="31"/>
      <c r="G429" s="31"/>
      <c r="H429" s="43"/>
      <c r="I429" s="41" t="str">
        <f>IF(Table46[[#This Row],[Month-Year]]="","",TEXT(Table46[[#This Row],[Month-Year]],"MMM-YY"))</f>
        <v/>
      </c>
      <c r="J429" s="31"/>
      <c r="K429" s="39">
        <f t="shared" ref="K429:K431" si="72">(F429*G429)*E429/100</f>
        <v>0</v>
      </c>
    </row>
    <row r="430" spans="3:11" ht="15.2">
      <c r="C430" s="29"/>
      <c r="D430" s="30"/>
      <c r="E430" s="31"/>
      <c r="F430" s="31"/>
      <c r="G430" s="31"/>
      <c r="H430" s="43"/>
      <c r="I430" s="41" t="str">
        <f>IF(Table46[[#This Row],[Month-Year]]="","",TEXT(Table46[[#This Row],[Month-Year]],"MMM-YY"))</f>
        <v/>
      </c>
      <c r="J430" s="31"/>
      <c r="K430" s="39">
        <f t="shared" si="72"/>
        <v>0</v>
      </c>
    </row>
    <row r="431" spans="3:11" ht="15.2">
      <c r="C431" s="29"/>
      <c r="D431" s="30"/>
      <c r="E431" s="31"/>
      <c r="F431" s="31"/>
      <c r="G431" s="31"/>
      <c r="H431" s="43"/>
      <c r="I431" s="41" t="str">
        <f>IF(Table46[[#This Row],[Month-Year]]="","",TEXT(Table46[[#This Row],[Month-Year]],"MMM-YY"))</f>
        <v/>
      </c>
      <c r="J431" s="31"/>
      <c r="K431" s="39">
        <f t="shared" si="72"/>
        <v>0</v>
      </c>
    </row>
    <row r="432" spans="3:11" ht="15.2">
      <c r="C432" s="29"/>
      <c r="D432" s="30"/>
      <c r="E432" s="31"/>
      <c r="F432" s="31"/>
      <c r="G432" s="31"/>
      <c r="H432" s="43"/>
      <c r="I432" s="41" t="str">
        <f>IF(Table46[[#This Row],[Month-Year]]="","",TEXT(Table46[[#This Row],[Month-Year]],"MMM-YY"))</f>
        <v/>
      </c>
      <c r="J432" s="31"/>
      <c r="K432" s="39">
        <f t="shared" ref="K432:K434" si="73">(F432*G432)*E432/100</f>
        <v>0</v>
      </c>
    </row>
    <row r="433" spans="3:11" ht="15.2">
      <c r="C433" s="29"/>
      <c r="D433" s="30"/>
      <c r="E433" s="31"/>
      <c r="F433" s="31"/>
      <c r="G433" s="31"/>
      <c r="H433" s="43"/>
      <c r="I433" s="41" t="str">
        <f>IF(Table46[[#This Row],[Month-Year]]="","",TEXT(Table46[[#This Row],[Month-Year]],"MMM-YY"))</f>
        <v/>
      </c>
      <c r="J433" s="31"/>
      <c r="K433" s="39">
        <f t="shared" si="73"/>
        <v>0</v>
      </c>
    </row>
    <row r="434" spans="3:11" ht="15.2">
      <c r="C434" s="29"/>
      <c r="D434" s="30"/>
      <c r="E434" s="31"/>
      <c r="F434" s="31"/>
      <c r="G434" s="31"/>
      <c r="H434" s="43"/>
      <c r="I434" s="41" t="str">
        <f>IF(Table46[[#This Row],[Month-Year]]="","",TEXT(Table46[[#This Row],[Month-Year]],"MMM-YY"))</f>
        <v/>
      </c>
      <c r="J434" s="31"/>
      <c r="K434" s="39">
        <f t="shared" si="73"/>
        <v>0</v>
      </c>
    </row>
    <row r="435" spans="3:11" ht="15.2">
      <c r="C435" s="29"/>
      <c r="D435" s="30"/>
      <c r="E435" s="31"/>
      <c r="F435" s="31"/>
      <c r="G435" s="31"/>
      <c r="H435" s="43"/>
      <c r="I435" s="41" t="str">
        <f>IF(Table46[[#This Row],[Month-Year]]="","",TEXT(Table46[[#This Row],[Month-Year]],"MMM-YY"))</f>
        <v/>
      </c>
      <c r="J435" s="31"/>
      <c r="K435" s="39">
        <f t="shared" ref="K435:K437" si="74">(F435*G435)*E435/100</f>
        <v>0</v>
      </c>
    </row>
    <row r="436" spans="3:11" ht="15.2">
      <c r="C436" s="29"/>
      <c r="D436" s="30"/>
      <c r="E436" s="31"/>
      <c r="F436" s="31"/>
      <c r="G436" s="31"/>
      <c r="H436" s="43"/>
      <c r="I436" s="41" t="str">
        <f>IF(Table46[[#This Row],[Month-Year]]="","",TEXT(Table46[[#This Row],[Month-Year]],"MMM-YY"))</f>
        <v/>
      </c>
      <c r="J436" s="31"/>
      <c r="K436" s="39">
        <f t="shared" si="74"/>
        <v>0</v>
      </c>
    </row>
    <row r="437" spans="3:11" ht="15.2">
      <c r="C437" s="29"/>
      <c r="D437" s="30"/>
      <c r="E437" s="31"/>
      <c r="F437" s="31"/>
      <c r="G437" s="31"/>
      <c r="H437" s="43"/>
      <c r="I437" s="41" t="str">
        <f>IF(Table46[[#This Row],[Month-Year]]="","",TEXT(Table46[[#This Row],[Month-Year]],"MMM-YY"))</f>
        <v/>
      </c>
      <c r="J437" s="31"/>
      <c r="K437" s="39">
        <f t="shared" si="74"/>
        <v>0</v>
      </c>
    </row>
    <row r="438" spans="3:11" ht="15.2">
      <c r="C438" s="29"/>
      <c r="D438" s="30"/>
      <c r="E438" s="31"/>
      <c r="F438" s="31"/>
      <c r="G438" s="31"/>
      <c r="H438" s="43"/>
      <c r="I438" s="41" t="str">
        <f>IF(Table46[[#This Row],[Month-Year]]="","",TEXT(Table46[[#This Row],[Month-Year]],"MMM-YY"))</f>
        <v/>
      </c>
      <c r="J438" s="31"/>
      <c r="K438" s="39">
        <f t="shared" ref="K438:K440" si="75">(F438*G438)*E438/100</f>
        <v>0</v>
      </c>
    </row>
    <row r="439" spans="3:11" ht="15.2">
      <c r="C439" s="29"/>
      <c r="D439" s="30"/>
      <c r="E439" s="31"/>
      <c r="F439" s="31"/>
      <c r="G439" s="31"/>
      <c r="H439" s="43"/>
      <c r="I439" s="41" t="str">
        <f>IF(Table46[[#This Row],[Month-Year]]="","",TEXT(Table46[[#This Row],[Month-Year]],"MMM-YY"))</f>
        <v/>
      </c>
      <c r="J439" s="31"/>
      <c r="K439" s="39">
        <f t="shared" si="75"/>
        <v>0</v>
      </c>
    </row>
    <row r="440" spans="3:11" ht="15.2">
      <c r="C440" s="29"/>
      <c r="D440" s="30"/>
      <c r="E440" s="31"/>
      <c r="F440" s="31"/>
      <c r="G440" s="31"/>
      <c r="H440" s="43"/>
      <c r="I440" s="41" t="str">
        <f>IF(Table46[[#This Row],[Month-Year]]="","",TEXT(Table46[[#This Row],[Month-Year]],"MMM-YY"))</f>
        <v/>
      </c>
      <c r="J440" s="31"/>
      <c r="K440" s="39">
        <f t="shared" si="75"/>
        <v>0</v>
      </c>
    </row>
    <row r="441" spans="3:11" ht="15.2">
      <c r="C441" s="29"/>
      <c r="D441" s="30"/>
      <c r="E441" s="31"/>
      <c r="F441" s="31"/>
      <c r="G441" s="31"/>
      <c r="H441" s="43"/>
      <c r="I441" s="41" t="str">
        <f>IF(Table46[[#This Row],[Month-Year]]="","",TEXT(Table46[[#This Row],[Month-Year]],"MMM-YY"))</f>
        <v/>
      </c>
      <c r="J441" s="31"/>
      <c r="K441" s="39">
        <f t="shared" ref="K441:K443" si="76">(F441*G441)*E441/100</f>
        <v>0</v>
      </c>
    </row>
    <row r="442" spans="3:11" ht="15.2">
      <c r="C442" s="29"/>
      <c r="D442" s="30"/>
      <c r="E442" s="31"/>
      <c r="F442" s="31"/>
      <c r="G442" s="31"/>
      <c r="H442" s="43"/>
      <c r="I442" s="41" t="str">
        <f>IF(Table46[[#This Row],[Month-Year]]="","",TEXT(Table46[[#This Row],[Month-Year]],"MMM-YY"))</f>
        <v/>
      </c>
      <c r="J442" s="31"/>
      <c r="K442" s="39">
        <f t="shared" si="76"/>
        <v>0</v>
      </c>
    </row>
    <row r="443" spans="3:11" ht="15.2">
      <c r="C443" s="29"/>
      <c r="D443" s="30"/>
      <c r="E443" s="31"/>
      <c r="F443" s="31"/>
      <c r="G443" s="31"/>
      <c r="H443" s="43"/>
      <c r="I443" s="41" t="str">
        <f>IF(Table46[[#This Row],[Month-Year]]="","",TEXT(Table46[[#This Row],[Month-Year]],"MMM-YY"))</f>
        <v/>
      </c>
      <c r="J443" s="31"/>
      <c r="K443" s="39">
        <f t="shared" si="76"/>
        <v>0</v>
      </c>
    </row>
    <row r="444" spans="3:11" ht="15.2">
      <c r="C444" s="29"/>
      <c r="D444" s="30"/>
      <c r="E444" s="31"/>
      <c r="F444" s="31"/>
      <c r="G444" s="31"/>
      <c r="H444" s="43"/>
      <c r="I444" s="41" t="str">
        <f>IF(Table46[[#This Row],[Month-Year]]="","",TEXT(Table46[[#This Row],[Month-Year]],"MMM-YY"))</f>
        <v/>
      </c>
      <c r="J444" s="31"/>
      <c r="K444" s="39">
        <f t="shared" ref="K444:K446" si="77">(F444*G444)*E444/100</f>
        <v>0</v>
      </c>
    </row>
    <row r="445" spans="3:11" ht="15.2">
      <c r="C445" s="29"/>
      <c r="D445" s="30"/>
      <c r="E445" s="31"/>
      <c r="F445" s="31"/>
      <c r="G445" s="31"/>
      <c r="H445" s="43"/>
      <c r="I445" s="41" t="str">
        <f>IF(Table46[[#This Row],[Month-Year]]="","",TEXT(Table46[[#This Row],[Month-Year]],"MMM-YY"))</f>
        <v/>
      </c>
      <c r="J445" s="31"/>
      <c r="K445" s="39">
        <f t="shared" si="77"/>
        <v>0</v>
      </c>
    </row>
    <row r="446" spans="3:11" ht="15.2">
      <c r="C446" s="29"/>
      <c r="D446" s="30"/>
      <c r="E446" s="31"/>
      <c r="F446" s="31"/>
      <c r="G446" s="31"/>
      <c r="H446" s="43"/>
      <c r="I446" s="41" t="str">
        <f>IF(Table46[[#This Row],[Month-Year]]="","",TEXT(Table46[[#This Row],[Month-Year]],"MMM-YY"))</f>
        <v/>
      </c>
      <c r="J446" s="31"/>
      <c r="K446" s="39">
        <f t="shared" si="77"/>
        <v>0</v>
      </c>
    </row>
    <row r="447" spans="3:11" ht="15.2">
      <c r="C447" s="29"/>
      <c r="D447" s="30"/>
      <c r="E447" s="31"/>
      <c r="F447" s="31"/>
      <c r="G447" s="31"/>
      <c r="H447" s="43"/>
      <c r="I447" s="41" t="str">
        <f>IF(Table46[[#This Row],[Month-Year]]="","",TEXT(Table46[[#This Row],[Month-Year]],"MMM-YY"))</f>
        <v/>
      </c>
      <c r="J447" s="31"/>
      <c r="K447" s="39">
        <f t="shared" ref="K447:K449" si="78">(F447*G447)*E447/100</f>
        <v>0</v>
      </c>
    </row>
    <row r="448" spans="3:11" ht="15.2">
      <c r="C448" s="29"/>
      <c r="D448" s="30"/>
      <c r="E448" s="31"/>
      <c r="F448" s="31"/>
      <c r="G448" s="31"/>
      <c r="H448" s="43"/>
      <c r="I448" s="41" t="str">
        <f>IF(Table46[[#This Row],[Month-Year]]="","",TEXT(Table46[[#This Row],[Month-Year]],"MMM-YY"))</f>
        <v/>
      </c>
      <c r="J448" s="31"/>
      <c r="K448" s="39">
        <f t="shared" si="78"/>
        <v>0</v>
      </c>
    </row>
    <row r="449" spans="3:11" ht="15.2">
      <c r="C449" s="29"/>
      <c r="D449" s="30"/>
      <c r="E449" s="31"/>
      <c r="F449" s="31"/>
      <c r="G449" s="31"/>
      <c r="H449" s="43"/>
      <c r="I449" s="41" t="str">
        <f>IF(Table46[[#This Row],[Month-Year]]="","",TEXT(Table46[[#This Row],[Month-Year]],"MMM-YY"))</f>
        <v/>
      </c>
      <c r="J449" s="31"/>
      <c r="K449" s="39">
        <f t="shared" si="78"/>
        <v>0</v>
      </c>
    </row>
    <row r="450" spans="3:11" ht="15.2">
      <c r="C450" s="29"/>
      <c r="D450" s="30"/>
      <c r="E450" s="31"/>
      <c r="F450" s="31"/>
      <c r="G450" s="31"/>
      <c r="H450" s="43"/>
      <c r="I450" s="41" t="str">
        <f>IF(Table46[[#This Row],[Month-Year]]="","",TEXT(Table46[[#This Row],[Month-Year]],"MMM-YY"))</f>
        <v/>
      </c>
      <c r="J450" s="31"/>
      <c r="K450" s="39">
        <f t="shared" ref="K450:K452" si="79">(F450*G450)*E450/100</f>
        <v>0</v>
      </c>
    </row>
    <row r="451" spans="3:11" ht="15.2">
      <c r="C451" s="29"/>
      <c r="D451" s="30"/>
      <c r="E451" s="31"/>
      <c r="F451" s="31"/>
      <c r="G451" s="31"/>
      <c r="H451" s="43"/>
      <c r="I451" s="41" t="str">
        <f>IF(Table46[[#This Row],[Month-Year]]="","",TEXT(Table46[[#This Row],[Month-Year]],"MMM-YY"))</f>
        <v/>
      </c>
      <c r="J451" s="31"/>
      <c r="K451" s="39">
        <f t="shared" si="79"/>
        <v>0</v>
      </c>
    </row>
    <row r="452" spans="3:11" ht="15.2">
      <c r="C452" s="29"/>
      <c r="D452" s="30"/>
      <c r="E452" s="31"/>
      <c r="F452" s="31"/>
      <c r="G452" s="31"/>
      <c r="H452" s="43"/>
      <c r="I452" s="41" t="str">
        <f>IF(Table46[[#This Row],[Month-Year]]="","",TEXT(Table46[[#This Row],[Month-Year]],"MMM-YY"))</f>
        <v/>
      </c>
      <c r="J452" s="31"/>
      <c r="K452" s="39">
        <f t="shared" si="79"/>
        <v>0</v>
      </c>
    </row>
    <row r="453" spans="3:11" ht="15.2">
      <c r="C453" s="29"/>
      <c r="D453" s="30"/>
      <c r="E453" s="31"/>
      <c r="F453" s="31"/>
      <c r="G453" s="31"/>
      <c r="H453" s="43"/>
      <c r="I453" s="41" t="str">
        <f>IF(Table46[[#This Row],[Month-Year]]="","",TEXT(Table46[[#This Row],[Month-Year]],"MMM-YY"))</f>
        <v/>
      </c>
      <c r="J453" s="31"/>
      <c r="K453" s="39">
        <f t="shared" ref="K453:K455" si="80">(F453*G453)*E453/100</f>
        <v>0</v>
      </c>
    </row>
    <row r="454" spans="3:11" ht="15.2">
      <c r="C454" s="29"/>
      <c r="D454" s="30"/>
      <c r="E454" s="31"/>
      <c r="F454" s="31"/>
      <c r="G454" s="31"/>
      <c r="H454" s="43"/>
      <c r="I454" s="41" t="str">
        <f>IF(Table46[[#This Row],[Month-Year]]="","",TEXT(Table46[[#This Row],[Month-Year]],"MMM-YY"))</f>
        <v/>
      </c>
      <c r="J454" s="31"/>
      <c r="K454" s="39">
        <f t="shared" si="80"/>
        <v>0</v>
      </c>
    </row>
    <row r="455" spans="3:11" ht="15.2">
      <c r="C455" s="29"/>
      <c r="D455" s="30"/>
      <c r="E455" s="31"/>
      <c r="F455" s="31"/>
      <c r="G455" s="31"/>
      <c r="H455" s="43"/>
      <c r="I455" s="41" t="str">
        <f>IF(Table46[[#This Row],[Month-Year]]="","",TEXT(Table46[[#This Row],[Month-Year]],"MMM-YY"))</f>
        <v/>
      </c>
      <c r="J455" s="31"/>
      <c r="K455" s="39">
        <f t="shared" si="80"/>
        <v>0</v>
      </c>
    </row>
    <row r="456" spans="3:11" ht="15.2">
      <c r="C456" s="29"/>
      <c r="D456" s="30"/>
      <c r="E456" s="31"/>
      <c r="F456" s="31"/>
      <c r="G456" s="31"/>
      <c r="H456" s="43"/>
      <c r="I456" s="41" t="str">
        <f>IF(Table46[[#This Row],[Month-Year]]="","",TEXT(Table46[[#This Row],[Month-Year]],"MMM-YY"))</f>
        <v/>
      </c>
      <c r="J456" s="31"/>
      <c r="K456" s="39">
        <f t="shared" ref="K456:K458" si="81">(F456*G456)*E456/100</f>
        <v>0</v>
      </c>
    </row>
    <row r="457" spans="3:11" ht="15.2">
      <c r="C457" s="29"/>
      <c r="D457" s="30"/>
      <c r="E457" s="31"/>
      <c r="F457" s="31"/>
      <c r="G457" s="31"/>
      <c r="H457" s="43"/>
      <c r="I457" s="41" t="str">
        <f>IF(Table46[[#This Row],[Month-Year]]="","",TEXT(Table46[[#This Row],[Month-Year]],"MMM-YY"))</f>
        <v/>
      </c>
      <c r="J457" s="31"/>
      <c r="K457" s="39">
        <f t="shared" si="81"/>
        <v>0</v>
      </c>
    </row>
    <row r="458" spans="3:11" ht="15.2">
      <c r="C458" s="29"/>
      <c r="D458" s="30"/>
      <c r="E458" s="31"/>
      <c r="F458" s="31"/>
      <c r="G458" s="31"/>
      <c r="H458" s="43"/>
      <c r="I458" s="41" t="str">
        <f>IF(Table46[[#This Row],[Month-Year]]="","",TEXT(Table46[[#This Row],[Month-Year]],"MMM-YY"))</f>
        <v/>
      </c>
      <c r="J458" s="31"/>
      <c r="K458" s="39">
        <f t="shared" si="81"/>
        <v>0</v>
      </c>
    </row>
    <row r="459" spans="3:11" ht="15.2">
      <c r="C459" s="29"/>
      <c r="D459" s="30"/>
      <c r="E459" s="31"/>
      <c r="F459" s="31"/>
      <c r="G459" s="31"/>
      <c r="H459" s="43"/>
      <c r="I459" s="41" t="str">
        <f>IF(Table46[[#This Row],[Month-Year]]="","",TEXT(Table46[[#This Row],[Month-Year]],"MMM-YY"))</f>
        <v/>
      </c>
      <c r="J459" s="31"/>
      <c r="K459" s="39">
        <f t="shared" ref="K459:K461" si="82">(F459*G459)*E459/100</f>
        <v>0</v>
      </c>
    </row>
    <row r="460" spans="3:11" ht="15.2">
      <c r="C460" s="29"/>
      <c r="D460" s="30"/>
      <c r="E460" s="31"/>
      <c r="F460" s="31"/>
      <c r="G460" s="31"/>
      <c r="H460" s="43"/>
      <c r="I460" s="41" t="str">
        <f>IF(Table46[[#This Row],[Month-Year]]="","",TEXT(Table46[[#This Row],[Month-Year]],"MMM-YY"))</f>
        <v/>
      </c>
      <c r="J460" s="31"/>
      <c r="K460" s="39">
        <f t="shared" si="82"/>
        <v>0</v>
      </c>
    </row>
    <row r="461" spans="3:11" ht="15.2">
      <c r="C461" s="29"/>
      <c r="D461" s="30"/>
      <c r="E461" s="31"/>
      <c r="F461" s="31"/>
      <c r="G461" s="31"/>
      <c r="H461" s="43"/>
      <c r="I461" s="41" t="str">
        <f>IF(Table46[[#This Row],[Month-Year]]="","",TEXT(Table46[[#This Row],[Month-Year]],"MMM-YY"))</f>
        <v/>
      </c>
      <c r="J461" s="31"/>
      <c r="K461" s="39">
        <f t="shared" si="82"/>
        <v>0</v>
      </c>
    </row>
    <row r="462" spans="3:11" ht="15.2">
      <c r="C462" s="29"/>
      <c r="D462" s="30"/>
      <c r="E462" s="31"/>
      <c r="F462" s="31"/>
      <c r="G462" s="31"/>
      <c r="H462" s="43"/>
      <c r="I462" s="41" t="str">
        <f>IF(Table46[[#This Row],[Month-Year]]="","",TEXT(Table46[[#This Row],[Month-Year]],"MMM-YY"))</f>
        <v/>
      </c>
      <c r="J462" s="31"/>
      <c r="K462" s="39">
        <f t="shared" ref="K462:K464" si="83">(F462*G462)*E462/100</f>
        <v>0</v>
      </c>
    </row>
    <row r="463" spans="3:11" ht="15.2">
      <c r="C463" s="29"/>
      <c r="D463" s="30"/>
      <c r="E463" s="31"/>
      <c r="F463" s="31"/>
      <c r="G463" s="31"/>
      <c r="H463" s="43"/>
      <c r="I463" s="41" t="str">
        <f>IF(Table46[[#This Row],[Month-Year]]="","",TEXT(Table46[[#This Row],[Month-Year]],"MMM-YY"))</f>
        <v/>
      </c>
      <c r="J463" s="31"/>
      <c r="K463" s="39">
        <f t="shared" si="83"/>
        <v>0</v>
      </c>
    </row>
    <row r="464" spans="3:11" ht="15.2">
      <c r="C464" s="29"/>
      <c r="D464" s="30"/>
      <c r="E464" s="31"/>
      <c r="F464" s="31"/>
      <c r="G464" s="31"/>
      <c r="H464" s="43"/>
      <c r="I464" s="41" t="str">
        <f>IF(Table46[[#This Row],[Month-Year]]="","",TEXT(Table46[[#This Row],[Month-Year]],"MMM-YY"))</f>
        <v/>
      </c>
      <c r="J464" s="31"/>
      <c r="K464" s="39">
        <f t="shared" si="83"/>
        <v>0</v>
      </c>
    </row>
    <row r="465" spans="3:11" ht="15.2">
      <c r="C465" s="29"/>
      <c r="D465" s="30"/>
      <c r="E465" s="31"/>
      <c r="F465" s="31"/>
      <c r="G465" s="31"/>
      <c r="H465" s="43"/>
      <c r="I465" s="41" t="str">
        <f>IF(Table46[[#This Row],[Month-Year]]="","",TEXT(Table46[[#This Row],[Month-Year]],"MMM-YY"))</f>
        <v/>
      </c>
      <c r="J465" s="31"/>
      <c r="K465" s="39">
        <f t="shared" ref="K465:K467" si="84">(F465*G465)*E465/100</f>
        <v>0</v>
      </c>
    </row>
    <row r="466" spans="3:11" ht="15.2">
      <c r="C466" s="29"/>
      <c r="D466" s="30"/>
      <c r="E466" s="31"/>
      <c r="F466" s="31"/>
      <c r="G466" s="31"/>
      <c r="H466" s="43"/>
      <c r="I466" s="41" t="str">
        <f>IF(Table46[[#This Row],[Month-Year]]="","",TEXT(Table46[[#This Row],[Month-Year]],"MMM-YY"))</f>
        <v/>
      </c>
      <c r="J466" s="31"/>
      <c r="K466" s="39">
        <f t="shared" si="84"/>
        <v>0</v>
      </c>
    </row>
    <row r="467" spans="3:11" ht="15.2">
      <c r="C467" s="29"/>
      <c r="D467" s="30"/>
      <c r="E467" s="31"/>
      <c r="F467" s="31"/>
      <c r="G467" s="31"/>
      <c r="H467" s="43"/>
      <c r="I467" s="41" t="str">
        <f>IF(Table46[[#This Row],[Month-Year]]="","",TEXT(Table46[[#This Row],[Month-Year]],"MMM-YY"))</f>
        <v/>
      </c>
      <c r="J467" s="31"/>
      <c r="K467" s="39">
        <f t="shared" si="84"/>
        <v>0</v>
      </c>
    </row>
    <row r="468" spans="3:11" ht="15.2">
      <c r="C468" s="29"/>
      <c r="D468" s="30"/>
      <c r="E468" s="31"/>
      <c r="F468" s="31"/>
      <c r="G468" s="31"/>
      <c r="H468" s="43"/>
      <c r="I468" s="41" t="str">
        <f>IF(Table46[[#This Row],[Month-Year]]="","",TEXT(Table46[[#This Row],[Month-Year]],"MMM-YY"))</f>
        <v/>
      </c>
      <c r="J468" s="31"/>
      <c r="K468" s="39">
        <f t="shared" ref="K468:K470" si="85">(F468*G468)*E468/100</f>
        <v>0</v>
      </c>
    </row>
    <row r="469" spans="3:11" ht="15.2">
      <c r="C469" s="29"/>
      <c r="D469" s="30"/>
      <c r="E469" s="31"/>
      <c r="F469" s="31"/>
      <c r="G469" s="31"/>
      <c r="H469" s="43"/>
      <c r="I469" s="41" t="str">
        <f>IF(Table46[[#This Row],[Month-Year]]="","",TEXT(Table46[[#This Row],[Month-Year]],"MMM-YY"))</f>
        <v/>
      </c>
      <c r="J469" s="31"/>
      <c r="K469" s="39">
        <f t="shared" si="85"/>
        <v>0</v>
      </c>
    </row>
    <row r="470" spans="3:11" ht="15.2">
      <c r="C470" s="29"/>
      <c r="D470" s="30"/>
      <c r="E470" s="31"/>
      <c r="F470" s="31"/>
      <c r="G470" s="31"/>
      <c r="H470" s="43"/>
      <c r="I470" s="41" t="str">
        <f>IF(Table46[[#This Row],[Month-Year]]="","",TEXT(Table46[[#This Row],[Month-Year]],"MMM-YY"))</f>
        <v/>
      </c>
      <c r="J470" s="31"/>
      <c r="K470" s="39">
        <f t="shared" si="85"/>
        <v>0</v>
      </c>
    </row>
    <row r="471" spans="3:11" ht="15.2">
      <c r="C471" s="29"/>
      <c r="D471" s="30"/>
      <c r="E471" s="31"/>
      <c r="F471" s="31"/>
      <c r="G471" s="31"/>
      <c r="H471" s="43"/>
      <c r="I471" s="41" t="str">
        <f>IF(Table46[[#This Row],[Month-Year]]="","",TEXT(Table46[[#This Row],[Month-Year]],"MMM-YY"))</f>
        <v/>
      </c>
      <c r="J471" s="31"/>
      <c r="K471" s="39">
        <f t="shared" ref="K471:K473" si="86">(F471*G471)*E471/100</f>
        <v>0</v>
      </c>
    </row>
    <row r="472" spans="3:11" ht="15.2">
      <c r="C472" s="29"/>
      <c r="D472" s="30"/>
      <c r="E472" s="31"/>
      <c r="F472" s="31"/>
      <c r="G472" s="31"/>
      <c r="H472" s="43"/>
      <c r="I472" s="41" t="str">
        <f>IF(Table46[[#This Row],[Month-Year]]="","",TEXT(Table46[[#This Row],[Month-Year]],"MMM-YY"))</f>
        <v/>
      </c>
      <c r="J472" s="31"/>
      <c r="K472" s="39">
        <f t="shared" si="86"/>
        <v>0</v>
      </c>
    </row>
    <row r="473" spans="3:11" ht="15.2">
      <c r="C473" s="29"/>
      <c r="D473" s="30"/>
      <c r="E473" s="31"/>
      <c r="F473" s="31"/>
      <c r="G473" s="31"/>
      <c r="H473" s="43"/>
      <c r="I473" s="41" t="str">
        <f>IF(Table46[[#This Row],[Month-Year]]="","",TEXT(Table46[[#This Row],[Month-Year]],"MMM-YY"))</f>
        <v/>
      </c>
      <c r="J473" s="31"/>
      <c r="K473" s="39">
        <f t="shared" si="86"/>
        <v>0</v>
      </c>
    </row>
    <row r="474" spans="3:11" ht="15.2">
      <c r="C474" s="29"/>
      <c r="D474" s="30"/>
      <c r="E474" s="31"/>
      <c r="F474" s="31"/>
      <c r="G474" s="31"/>
      <c r="H474" s="43"/>
      <c r="I474" s="41" t="str">
        <f>IF(Table46[[#This Row],[Month-Year]]="","",TEXT(Table46[[#This Row],[Month-Year]],"MMM-YY"))</f>
        <v/>
      </c>
      <c r="J474" s="31"/>
      <c r="K474" s="39">
        <f t="shared" ref="K474:K476" si="87">(F474*G474)*E474/100</f>
        <v>0</v>
      </c>
    </row>
    <row r="475" spans="3:11" ht="15.2">
      <c r="C475" s="29"/>
      <c r="D475" s="30"/>
      <c r="E475" s="31"/>
      <c r="F475" s="31"/>
      <c r="G475" s="31"/>
      <c r="H475" s="43"/>
      <c r="I475" s="41" t="str">
        <f>IF(Table46[[#This Row],[Month-Year]]="","",TEXT(Table46[[#This Row],[Month-Year]],"MMM-YY"))</f>
        <v/>
      </c>
      <c r="J475" s="31"/>
      <c r="K475" s="39">
        <f t="shared" si="87"/>
        <v>0</v>
      </c>
    </row>
    <row r="476" spans="3:11" ht="15.2">
      <c r="C476" s="29"/>
      <c r="D476" s="30"/>
      <c r="E476" s="31"/>
      <c r="F476" s="31"/>
      <c r="G476" s="31"/>
      <c r="H476" s="43"/>
      <c r="I476" s="41" t="str">
        <f>IF(Table46[[#This Row],[Month-Year]]="","",TEXT(Table46[[#This Row],[Month-Year]],"MMM-YY"))</f>
        <v/>
      </c>
      <c r="J476" s="31"/>
      <c r="K476" s="39">
        <f t="shared" si="87"/>
        <v>0</v>
      </c>
    </row>
    <row r="477" spans="3:11" ht="15.2">
      <c r="C477" s="29"/>
      <c r="D477" s="30"/>
      <c r="E477" s="31"/>
      <c r="F477" s="31"/>
      <c r="G477" s="31"/>
      <c r="H477" s="43"/>
      <c r="I477" s="41" t="str">
        <f>IF(Table46[[#This Row],[Month-Year]]="","",TEXT(Table46[[#This Row],[Month-Year]],"MMM-YY"))</f>
        <v/>
      </c>
      <c r="J477" s="31"/>
      <c r="K477" s="39">
        <f t="shared" ref="K477:K479" si="88">(F477*G477)*E477/100</f>
        <v>0</v>
      </c>
    </row>
    <row r="478" spans="3:11" ht="15.2">
      <c r="C478" s="29"/>
      <c r="D478" s="30"/>
      <c r="E478" s="31"/>
      <c r="F478" s="31"/>
      <c r="G478" s="31"/>
      <c r="H478" s="43"/>
      <c r="I478" s="41" t="str">
        <f>IF(Table46[[#This Row],[Month-Year]]="","",TEXT(Table46[[#This Row],[Month-Year]],"MMM-YY"))</f>
        <v/>
      </c>
      <c r="J478" s="31"/>
      <c r="K478" s="39">
        <f t="shared" si="88"/>
        <v>0</v>
      </c>
    </row>
    <row r="479" spans="3:11" ht="15.2">
      <c r="C479" s="29"/>
      <c r="D479" s="30"/>
      <c r="E479" s="31"/>
      <c r="F479" s="31"/>
      <c r="G479" s="31"/>
      <c r="H479" s="43"/>
      <c r="I479" s="41" t="str">
        <f>IF(Table46[[#This Row],[Month-Year]]="","",TEXT(Table46[[#This Row],[Month-Year]],"MMM-YY"))</f>
        <v/>
      </c>
      <c r="J479" s="31"/>
      <c r="K479" s="39">
        <f t="shared" si="88"/>
        <v>0</v>
      </c>
    </row>
    <row r="480" spans="3:11" ht="15.2">
      <c r="C480" s="29"/>
      <c r="D480" s="30"/>
      <c r="E480" s="31"/>
      <c r="F480" s="31"/>
      <c r="G480" s="31"/>
      <c r="H480" s="43"/>
      <c r="I480" s="41" t="str">
        <f>IF(Table46[[#This Row],[Month-Year]]="","",TEXT(Table46[[#This Row],[Month-Year]],"MMM-YY"))</f>
        <v/>
      </c>
      <c r="J480" s="31"/>
      <c r="K480" s="39">
        <f t="shared" ref="K480:K482" si="89">(F480*G480)*E480/100</f>
        <v>0</v>
      </c>
    </row>
    <row r="481" spans="3:11" ht="15.2">
      <c r="C481" s="29"/>
      <c r="D481" s="30"/>
      <c r="E481" s="31"/>
      <c r="F481" s="31"/>
      <c r="G481" s="31"/>
      <c r="H481" s="43"/>
      <c r="I481" s="41" t="str">
        <f>IF(Table46[[#This Row],[Month-Year]]="","",TEXT(Table46[[#This Row],[Month-Year]],"MMM-YY"))</f>
        <v/>
      </c>
      <c r="J481" s="31"/>
      <c r="K481" s="39">
        <f t="shared" si="89"/>
        <v>0</v>
      </c>
    </row>
    <row r="482" spans="3:11" ht="15.2">
      <c r="C482" s="29"/>
      <c r="D482" s="30"/>
      <c r="E482" s="31"/>
      <c r="F482" s="31"/>
      <c r="G482" s="31"/>
      <c r="H482" s="43"/>
      <c r="I482" s="41" t="str">
        <f>IF(Table46[[#This Row],[Month-Year]]="","",TEXT(Table46[[#This Row],[Month-Year]],"MMM-YY"))</f>
        <v/>
      </c>
      <c r="J482" s="31"/>
      <c r="K482" s="39">
        <f t="shared" si="89"/>
        <v>0</v>
      </c>
    </row>
    <row r="483" spans="3:11" ht="15.2">
      <c r="C483" s="29"/>
      <c r="D483" s="30"/>
      <c r="E483" s="31"/>
      <c r="F483" s="31"/>
      <c r="G483" s="31"/>
      <c r="H483" s="43"/>
      <c r="I483" s="41" t="str">
        <f>IF(Table46[[#This Row],[Month-Year]]="","",TEXT(Table46[[#This Row],[Month-Year]],"MMM-YY"))</f>
        <v/>
      </c>
      <c r="J483" s="31"/>
      <c r="K483" s="39">
        <f t="shared" ref="K483:K485" si="90">(F483*G483)*E483/100</f>
        <v>0</v>
      </c>
    </row>
    <row r="484" spans="3:11" ht="15.2">
      <c r="C484" s="29"/>
      <c r="D484" s="30"/>
      <c r="E484" s="31"/>
      <c r="F484" s="31"/>
      <c r="G484" s="31"/>
      <c r="H484" s="43"/>
      <c r="I484" s="41" t="str">
        <f>IF(Table46[[#This Row],[Month-Year]]="","",TEXT(Table46[[#This Row],[Month-Year]],"MMM-YY"))</f>
        <v/>
      </c>
      <c r="J484" s="31"/>
      <c r="K484" s="39">
        <f t="shared" si="90"/>
        <v>0</v>
      </c>
    </row>
    <row r="485" spans="3:11" ht="15.2">
      <c r="C485" s="29"/>
      <c r="D485" s="30"/>
      <c r="E485" s="31"/>
      <c r="F485" s="31"/>
      <c r="G485" s="31"/>
      <c r="H485" s="43"/>
      <c r="I485" s="41" t="str">
        <f>IF(Table46[[#This Row],[Month-Year]]="","",TEXT(Table46[[#This Row],[Month-Year]],"MMM-YY"))</f>
        <v/>
      </c>
      <c r="J485" s="31"/>
      <c r="K485" s="39">
        <f t="shared" si="90"/>
        <v>0</v>
      </c>
    </row>
    <row r="486" spans="3:11" ht="15.2">
      <c r="C486" s="29"/>
      <c r="D486" s="30"/>
      <c r="E486" s="31"/>
      <c r="F486" s="31"/>
      <c r="G486" s="31"/>
      <c r="H486" s="43"/>
      <c r="I486" s="41" t="str">
        <f>IF(Table46[[#This Row],[Month-Year]]="","",TEXT(Table46[[#This Row],[Month-Year]],"MMM-YY"))</f>
        <v/>
      </c>
      <c r="J486" s="31"/>
      <c r="K486" s="39">
        <f t="shared" ref="K486:K488" si="91">(F486*G486)*E486/100</f>
        <v>0</v>
      </c>
    </row>
    <row r="487" spans="3:11" ht="15.2">
      <c r="C487" s="29"/>
      <c r="D487" s="30"/>
      <c r="E487" s="31"/>
      <c r="F487" s="31"/>
      <c r="G487" s="31"/>
      <c r="H487" s="43"/>
      <c r="I487" s="41" t="str">
        <f>IF(Table46[[#This Row],[Month-Year]]="","",TEXT(Table46[[#This Row],[Month-Year]],"MMM-YY"))</f>
        <v/>
      </c>
      <c r="J487" s="31"/>
      <c r="K487" s="39">
        <f t="shared" si="91"/>
        <v>0</v>
      </c>
    </row>
    <row r="488" spans="3:11" ht="15.2">
      <c r="C488" s="29"/>
      <c r="D488" s="30"/>
      <c r="E488" s="31"/>
      <c r="F488" s="31"/>
      <c r="G488" s="31"/>
      <c r="H488" s="43"/>
      <c r="I488" s="41" t="str">
        <f>IF(Table46[[#This Row],[Month-Year]]="","",TEXT(Table46[[#This Row],[Month-Year]],"MMM-YY"))</f>
        <v/>
      </c>
      <c r="J488" s="31"/>
      <c r="K488" s="39">
        <f t="shared" si="91"/>
        <v>0</v>
      </c>
    </row>
    <row r="489" spans="3:11" ht="15.2">
      <c r="C489" s="29"/>
      <c r="D489" s="30"/>
      <c r="E489" s="31"/>
      <c r="F489" s="31"/>
      <c r="G489" s="31"/>
      <c r="H489" s="43"/>
      <c r="I489" s="41" t="str">
        <f>IF(Table46[[#This Row],[Month-Year]]="","",TEXT(Table46[[#This Row],[Month-Year]],"MMM-YY"))</f>
        <v/>
      </c>
      <c r="J489" s="31"/>
      <c r="K489" s="39">
        <f t="shared" ref="K489:K491" si="92">(F489*G489)*E489/100</f>
        <v>0</v>
      </c>
    </row>
    <row r="490" spans="3:11" ht="15.2">
      <c r="C490" s="29"/>
      <c r="D490" s="30"/>
      <c r="E490" s="31"/>
      <c r="F490" s="31"/>
      <c r="G490" s="31"/>
      <c r="H490" s="43"/>
      <c r="I490" s="41" t="str">
        <f>IF(Table46[[#This Row],[Month-Year]]="","",TEXT(Table46[[#This Row],[Month-Year]],"MMM-YY"))</f>
        <v/>
      </c>
      <c r="J490" s="31"/>
      <c r="K490" s="39">
        <f t="shared" si="92"/>
        <v>0</v>
      </c>
    </row>
    <row r="491" spans="3:11" ht="15.2">
      <c r="C491" s="29"/>
      <c r="D491" s="30"/>
      <c r="E491" s="31"/>
      <c r="F491" s="31"/>
      <c r="G491" s="31"/>
      <c r="H491" s="43"/>
      <c r="I491" s="41" t="str">
        <f>IF(Table46[[#This Row],[Month-Year]]="","",TEXT(Table46[[#This Row],[Month-Year]],"MMM-YY"))</f>
        <v/>
      </c>
      <c r="J491" s="31"/>
      <c r="K491" s="39">
        <f t="shared" si="92"/>
        <v>0</v>
      </c>
    </row>
    <row r="492" spans="3:11" ht="15.2">
      <c r="C492" s="29"/>
      <c r="D492" s="30"/>
      <c r="E492" s="31"/>
      <c r="F492" s="31"/>
      <c r="G492" s="31"/>
      <c r="H492" s="43"/>
      <c r="I492" s="41" t="str">
        <f>IF(Table46[[#This Row],[Month-Year]]="","",TEXT(Table46[[#This Row],[Month-Year]],"MMM-YY"))</f>
        <v/>
      </c>
      <c r="J492" s="31"/>
      <c r="K492" s="39">
        <f t="shared" ref="K492:K494" si="93">(F492*G492)*E492/100</f>
        <v>0</v>
      </c>
    </row>
    <row r="493" spans="3:11" ht="15.2">
      <c r="C493" s="29"/>
      <c r="D493" s="30"/>
      <c r="E493" s="31"/>
      <c r="F493" s="31"/>
      <c r="G493" s="31"/>
      <c r="H493" s="43"/>
      <c r="I493" s="41" t="str">
        <f>IF(Table46[[#This Row],[Month-Year]]="","",TEXT(Table46[[#This Row],[Month-Year]],"MMM-YY"))</f>
        <v/>
      </c>
      <c r="J493" s="31"/>
      <c r="K493" s="39">
        <f t="shared" si="93"/>
        <v>0</v>
      </c>
    </row>
    <row r="494" spans="3:11" ht="15.2">
      <c r="C494" s="29"/>
      <c r="D494" s="30"/>
      <c r="E494" s="31"/>
      <c r="F494" s="31"/>
      <c r="G494" s="31"/>
      <c r="H494" s="43"/>
      <c r="I494" s="41" t="str">
        <f>IF(Table46[[#This Row],[Month-Year]]="","",TEXT(Table46[[#This Row],[Month-Year]],"MMM-YY"))</f>
        <v/>
      </c>
      <c r="J494" s="31"/>
      <c r="K494" s="39">
        <f t="shared" si="93"/>
        <v>0</v>
      </c>
    </row>
    <row r="495" spans="3:11" ht="15.2">
      <c r="C495" s="29"/>
      <c r="D495" s="30"/>
      <c r="E495" s="31"/>
      <c r="F495" s="31"/>
      <c r="G495" s="31"/>
      <c r="H495" s="43"/>
      <c r="I495" s="41" t="str">
        <f>IF(Table46[[#This Row],[Month-Year]]="","",TEXT(Table46[[#This Row],[Month-Year]],"MMM-YY"))</f>
        <v/>
      </c>
      <c r="J495" s="31"/>
      <c r="K495" s="39">
        <f t="shared" ref="K495:K497" si="94">(F495*G495)*E495/100</f>
        <v>0</v>
      </c>
    </row>
    <row r="496" spans="3:11" ht="15.2">
      <c r="C496" s="29"/>
      <c r="D496" s="30"/>
      <c r="E496" s="31"/>
      <c r="F496" s="31"/>
      <c r="G496" s="31"/>
      <c r="H496" s="43"/>
      <c r="I496" s="41" t="str">
        <f>IF(Table46[[#This Row],[Month-Year]]="","",TEXT(Table46[[#This Row],[Month-Year]],"MMM-YY"))</f>
        <v/>
      </c>
      <c r="J496" s="31"/>
      <c r="K496" s="39">
        <f t="shared" si="94"/>
        <v>0</v>
      </c>
    </row>
    <row r="497" spans="3:11" ht="15.2">
      <c r="C497" s="29"/>
      <c r="D497" s="30"/>
      <c r="E497" s="31"/>
      <c r="F497" s="31"/>
      <c r="G497" s="31"/>
      <c r="H497" s="43"/>
      <c r="I497" s="41" t="str">
        <f>IF(Table46[[#This Row],[Month-Year]]="","",TEXT(Table46[[#This Row],[Month-Year]],"MMM-YY"))</f>
        <v/>
      </c>
      <c r="J497" s="31"/>
      <c r="K497" s="39">
        <f t="shared" si="94"/>
        <v>0</v>
      </c>
    </row>
    <row r="498" spans="3:11" ht="15.2">
      <c r="C498" s="29"/>
      <c r="D498" s="30"/>
      <c r="E498" s="31"/>
      <c r="F498" s="31"/>
      <c r="G498" s="31"/>
      <c r="H498" s="43"/>
      <c r="I498" s="41" t="str">
        <f>IF(Table46[[#This Row],[Month-Year]]="","",TEXT(Table46[[#This Row],[Month-Year]],"MMM-YY"))</f>
        <v/>
      </c>
      <c r="J498" s="31"/>
      <c r="K498" s="39">
        <f t="shared" ref="K498:K500" si="95">(F498*G498)*E498/100</f>
        <v>0</v>
      </c>
    </row>
    <row r="499" spans="3:11" ht="15.2">
      <c r="C499" s="29"/>
      <c r="D499" s="30"/>
      <c r="E499" s="31"/>
      <c r="F499" s="31"/>
      <c r="G499" s="31"/>
      <c r="H499" s="43"/>
      <c r="I499" s="41" t="str">
        <f>IF(Table46[[#This Row],[Month-Year]]="","",TEXT(Table46[[#This Row],[Month-Year]],"MMM-YY"))</f>
        <v/>
      </c>
      <c r="J499" s="31"/>
      <c r="K499" s="39">
        <f t="shared" si="95"/>
        <v>0</v>
      </c>
    </row>
    <row r="500" spans="3:11" ht="15.2">
      <c r="C500" s="29"/>
      <c r="D500" s="30"/>
      <c r="E500" s="31"/>
      <c r="F500" s="31"/>
      <c r="G500" s="31"/>
      <c r="H500" s="43"/>
      <c r="I500" s="41" t="str">
        <f>IF(Table46[[#This Row],[Month-Year]]="","",TEXT(Table46[[#This Row],[Month-Year]],"MMM-YY"))</f>
        <v/>
      </c>
      <c r="J500" s="31"/>
      <c r="K500" s="39">
        <f t="shared" si="95"/>
        <v>0</v>
      </c>
    </row>
    <row r="501" spans="3:11" ht="15.2">
      <c r="C501" s="29"/>
      <c r="D501" s="30"/>
      <c r="E501" s="31"/>
      <c r="F501" s="31"/>
      <c r="G501" s="31"/>
      <c r="H501" s="43"/>
      <c r="I501" s="41" t="str">
        <f>IF(Table46[[#This Row],[Month-Year]]="","",TEXT(Table46[[#This Row],[Month-Year]],"MMM-YY"))</f>
        <v/>
      </c>
      <c r="J501" s="31"/>
      <c r="K501" s="39">
        <f t="shared" ref="K501:K503" si="96">(F501*G501)*E501/100</f>
        <v>0</v>
      </c>
    </row>
    <row r="502" spans="3:11" ht="15.2">
      <c r="C502" s="29"/>
      <c r="D502" s="30"/>
      <c r="E502" s="31"/>
      <c r="F502" s="31"/>
      <c r="G502" s="31"/>
      <c r="H502" s="43"/>
      <c r="I502" s="41" t="str">
        <f>IF(Table46[[#This Row],[Month-Year]]="","",TEXT(Table46[[#This Row],[Month-Year]],"MMM-YY"))</f>
        <v/>
      </c>
      <c r="J502" s="31"/>
      <c r="K502" s="39">
        <f t="shared" si="96"/>
        <v>0</v>
      </c>
    </row>
    <row r="503" spans="3:11" ht="15.2">
      <c r="C503" s="29"/>
      <c r="D503" s="30"/>
      <c r="E503" s="31"/>
      <c r="F503" s="31"/>
      <c r="G503" s="31"/>
      <c r="H503" s="43"/>
      <c r="I503" s="41" t="str">
        <f>IF(Table46[[#This Row],[Month-Year]]="","",TEXT(Table46[[#This Row],[Month-Year]],"MMM-YY"))</f>
        <v/>
      </c>
      <c r="J503" s="31"/>
      <c r="K503" s="39">
        <f t="shared" si="96"/>
        <v>0</v>
      </c>
    </row>
    <row r="504" spans="3:11" ht="15.2">
      <c r="C504" s="29"/>
      <c r="D504" s="30"/>
      <c r="E504" s="31"/>
      <c r="F504" s="31"/>
      <c r="G504" s="31"/>
      <c r="H504" s="43"/>
      <c r="I504" s="41" t="str">
        <f>IF(Table46[[#This Row],[Month-Year]]="","",TEXT(Table46[[#This Row],[Month-Year]],"MMM-YY"))</f>
        <v/>
      </c>
      <c r="J504" s="31"/>
      <c r="K504" s="39">
        <f t="shared" ref="K504:K506" si="97">(F504*G504)*E504/100</f>
        <v>0</v>
      </c>
    </row>
    <row r="505" spans="3:11" ht="15.2">
      <c r="C505" s="29"/>
      <c r="D505" s="30"/>
      <c r="E505" s="31"/>
      <c r="F505" s="31"/>
      <c r="G505" s="31"/>
      <c r="H505" s="43"/>
      <c r="I505" s="41" t="str">
        <f>IF(Table46[[#This Row],[Month-Year]]="","",TEXT(Table46[[#This Row],[Month-Year]],"MMM-YY"))</f>
        <v/>
      </c>
      <c r="J505" s="31"/>
      <c r="K505" s="39">
        <f t="shared" si="97"/>
        <v>0</v>
      </c>
    </row>
    <row r="506" spans="3:11" ht="15.2">
      <c r="C506" s="29"/>
      <c r="D506" s="30"/>
      <c r="E506" s="31"/>
      <c r="F506" s="31"/>
      <c r="G506" s="31"/>
      <c r="H506" s="43"/>
      <c r="I506" s="41" t="str">
        <f>IF(Table46[[#This Row],[Month-Year]]="","",TEXT(Table46[[#This Row],[Month-Year]],"MMM-YY"))</f>
        <v/>
      </c>
      <c r="J506" s="31"/>
      <c r="K506" s="39">
        <f t="shared" si="97"/>
        <v>0</v>
      </c>
    </row>
    <row r="507" spans="3:11" ht="15.2">
      <c r="C507" s="29"/>
      <c r="D507" s="30"/>
      <c r="E507" s="31"/>
      <c r="F507" s="31"/>
      <c r="G507" s="31"/>
      <c r="H507" s="43"/>
      <c r="I507" s="41" t="str">
        <f>IF(Table46[[#This Row],[Month-Year]]="","",TEXT(Table46[[#This Row],[Month-Year]],"MMM-YY"))</f>
        <v/>
      </c>
      <c r="J507" s="31"/>
      <c r="K507" s="39">
        <f t="shared" ref="K507:K509" si="98">(F507*G507)*E507/100</f>
        <v>0</v>
      </c>
    </row>
    <row r="508" spans="3:11" ht="15.2">
      <c r="C508" s="29"/>
      <c r="D508" s="30"/>
      <c r="E508" s="31"/>
      <c r="F508" s="31"/>
      <c r="G508" s="31"/>
      <c r="H508" s="43"/>
      <c r="I508" s="41" t="str">
        <f>IF(Table46[[#This Row],[Month-Year]]="","",TEXT(Table46[[#This Row],[Month-Year]],"MMM-YY"))</f>
        <v/>
      </c>
      <c r="J508" s="31"/>
      <c r="K508" s="39">
        <f t="shared" si="98"/>
        <v>0</v>
      </c>
    </row>
    <row r="509" spans="3:11" ht="15.2">
      <c r="C509" s="29"/>
      <c r="D509" s="30"/>
      <c r="E509" s="31"/>
      <c r="F509" s="31"/>
      <c r="G509" s="31"/>
      <c r="H509" s="43"/>
      <c r="I509" s="41" t="str">
        <f>IF(Table46[[#This Row],[Month-Year]]="","",TEXT(Table46[[#This Row],[Month-Year]],"MMM-YY"))</f>
        <v/>
      </c>
      <c r="J509" s="31"/>
      <c r="K509" s="39">
        <f t="shared" si="98"/>
        <v>0</v>
      </c>
    </row>
    <row r="510" spans="3:11" ht="15.2">
      <c r="C510" s="29"/>
      <c r="D510" s="30"/>
      <c r="E510" s="31"/>
      <c r="F510" s="31"/>
      <c r="G510" s="31"/>
      <c r="H510" s="43"/>
      <c r="I510" s="41" t="str">
        <f>IF(Table46[[#This Row],[Month-Year]]="","",TEXT(Table46[[#This Row],[Month-Year]],"MMM-YY"))</f>
        <v/>
      </c>
      <c r="J510" s="31"/>
      <c r="K510" s="39">
        <f t="shared" ref="K510:K512" si="99">(F510*G510)*E510/100</f>
        <v>0</v>
      </c>
    </row>
    <row r="511" spans="3:11" ht="15.2">
      <c r="C511" s="29"/>
      <c r="D511" s="30"/>
      <c r="E511" s="31"/>
      <c r="F511" s="31"/>
      <c r="G511" s="31"/>
      <c r="H511" s="43"/>
      <c r="I511" s="41" t="str">
        <f>IF(Table46[[#This Row],[Month-Year]]="","",TEXT(Table46[[#This Row],[Month-Year]],"MMM-YY"))</f>
        <v/>
      </c>
      <c r="J511" s="31"/>
      <c r="K511" s="39">
        <f t="shared" si="99"/>
        <v>0</v>
      </c>
    </row>
    <row r="512" spans="3:11" ht="15.2">
      <c r="C512" s="29"/>
      <c r="D512" s="30"/>
      <c r="E512" s="31"/>
      <c r="F512" s="31"/>
      <c r="G512" s="31"/>
      <c r="H512" s="43"/>
      <c r="I512" s="41" t="str">
        <f>IF(Table46[[#This Row],[Month-Year]]="","",TEXT(Table46[[#This Row],[Month-Year]],"MMM-YY"))</f>
        <v/>
      </c>
      <c r="J512" s="31"/>
      <c r="K512" s="39">
        <f t="shared" si="99"/>
        <v>0</v>
      </c>
    </row>
    <row r="513" spans="3:11" ht="15.2">
      <c r="C513" s="29"/>
      <c r="D513" s="30"/>
      <c r="E513" s="31"/>
      <c r="F513" s="31"/>
      <c r="G513" s="31"/>
      <c r="H513" s="43"/>
      <c r="I513" s="41" t="str">
        <f>IF(Table46[[#This Row],[Month-Year]]="","",TEXT(Table46[[#This Row],[Month-Year]],"MMM-YY"))</f>
        <v/>
      </c>
      <c r="J513" s="31"/>
      <c r="K513" s="39">
        <f t="shared" ref="K513:K515" si="100">(F513*G513)*E513/100</f>
        <v>0</v>
      </c>
    </row>
    <row r="514" spans="3:11" ht="15.2">
      <c r="C514" s="29"/>
      <c r="D514" s="30"/>
      <c r="E514" s="31"/>
      <c r="F514" s="31"/>
      <c r="G514" s="31"/>
      <c r="H514" s="43"/>
      <c r="I514" s="41" t="str">
        <f>IF(Table46[[#This Row],[Month-Year]]="","",TEXT(Table46[[#This Row],[Month-Year]],"MMM-YY"))</f>
        <v/>
      </c>
      <c r="J514" s="31"/>
      <c r="K514" s="39">
        <f t="shared" si="100"/>
        <v>0</v>
      </c>
    </row>
    <row r="515" spans="3:11" ht="15.2">
      <c r="C515" s="29"/>
      <c r="D515" s="30"/>
      <c r="E515" s="31"/>
      <c r="F515" s="31"/>
      <c r="G515" s="31"/>
      <c r="H515" s="43"/>
      <c r="I515" s="41" t="str">
        <f>IF(Table46[[#This Row],[Month-Year]]="","",TEXT(Table46[[#This Row],[Month-Year]],"MMM-YY"))</f>
        <v/>
      </c>
      <c r="J515" s="31"/>
      <c r="K515" s="39">
        <f t="shared" si="100"/>
        <v>0</v>
      </c>
    </row>
    <row r="516" spans="3:11" ht="15.2">
      <c r="C516" s="29"/>
      <c r="D516" s="30"/>
      <c r="E516" s="31"/>
      <c r="F516" s="31"/>
      <c r="G516" s="31"/>
      <c r="H516" s="43"/>
      <c r="I516" s="41" t="str">
        <f>IF(Table46[[#This Row],[Month-Year]]="","",TEXT(Table46[[#This Row],[Month-Year]],"MMM-YY"))</f>
        <v/>
      </c>
      <c r="J516" s="31"/>
      <c r="K516" s="39">
        <f t="shared" ref="K516:K518" si="101">(F516*G516)*E516/100</f>
        <v>0</v>
      </c>
    </row>
    <row r="517" spans="3:11" ht="15.2">
      <c r="C517" s="29"/>
      <c r="D517" s="30"/>
      <c r="E517" s="31"/>
      <c r="F517" s="31"/>
      <c r="G517" s="31"/>
      <c r="H517" s="43"/>
      <c r="I517" s="41" t="str">
        <f>IF(Table46[[#This Row],[Month-Year]]="","",TEXT(Table46[[#This Row],[Month-Year]],"MMM-YY"))</f>
        <v/>
      </c>
      <c r="J517" s="31"/>
      <c r="K517" s="39">
        <f t="shared" si="101"/>
        <v>0</v>
      </c>
    </row>
    <row r="518" spans="3:11" ht="15.2">
      <c r="C518" s="29"/>
      <c r="D518" s="30"/>
      <c r="E518" s="31"/>
      <c r="F518" s="31"/>
      <c r="G518" s="31"/>
      <c r="H518" s="43"/>
      <c r="I518" s="41" t="str">
        <f>IF(Table46[[#This Row],[Month-Year]]="","",TEXT(Table46[[#This Row],[Month-Year]],"MMM-YY"))</f>
        <v/>
      </c>
      <c r="J518" s="31"/>
      <c r="K518" s="39">
        <f t="shared" si="101"/>
        <v>0</v>
      </c>
    </row>
    <row r="519" spans="3:11" ht="15.2">
      <c r="C519" s="29"/>
      <c r="D519" s="30"/>
      <c r="E519" s="31"/>
      <c r="F519" s="31"/>
      <c r="G519" s="31"/>
      <c r="H519" s="43"/>
      <c r="I519" s="41" t="str">
        <f>IF(Table46[[#This Row],[Month-Year]]="","",TEXT(Table46[[#This Row],[Month-Year]],"MMM-YY"))</f>
        <v/>
      </c>
      <c r="J519" s="31"/>
      <c r="K519" s="39">
        <f t="shared" ref="K519:K521" si="102">(F519*G519)*E519/100</f>
        <v>0</v>
      </c>
    </row>
    <row r="520" spans="3:11" ht="15.2">
      <c r="C520" s="29"/>
      <c r="D520" s="30"/>
      <c r="E520" s="31"/>
      <c r="F520" s="31"/>
      <c r="G520" s="31"/>
      <c r="H520" s="43"/>
      <c r="I520" s="41" t="str">
        <f>IF(Table46[[#This Row],[Month-Year]]="","",TEXT(Table46[[#This Row],[Month-Year]],"MMM-YY"))</f>
        <v/>
      </c>
      <c r="J520" s="31"/>
      <c r="K520" s="39">
        <f t="shared" si="102"/>
        <v>0</v>
      </c>
    </row>
    <row r="521" spans="3:11" ht="15.2">
      <c r="C521" s="29"/>
      <c r="D521" s="30"/>
      <c r="E521" s="31"/>
      <c r="F521" s="31"/>
      <c r="G521" s="31"/>
      <c r="H521" s="43"/>
      <c r="I521" s="41" t="str">
        <f>IF(Table46[[#This Row],[Month-Year]]="","",TEXT(Table46[[#This Row],[Month-Year]],"MMM-YY"))</f>
        <v/>
      </c>
      <c r="J521" s="31"/>
      <c r="K521" s="39">
        <f t="shared" si="102"/>
        <v>0</v>
      </c>
    </row>
    <row r="522" spans="3:11" ht="15.2">
      <c r="C522" s="29"/>
      <c r="D522" s="30"/>
      <c r="E522" s="31"/>
      <c r="F522" s="31"/>
      <c r="G522" s="31"/>
      <c r="H522" s="43"/>
      <c r="I522" s="41" t="str">
        <f>IF(Table46[[#This Row],[Month-Year]]="","",TEXT(Table46[[#This Row],[Month-Year]],"MMM-YY"))</f>
        <v/>
      </c>
      <c r="J522" s="31"/>
      <c r="K522" s="39">
        <f t="shared" ref="K522:K524" si="103">(F522*G522)*E522/100</f>
        <v>0</v>
      </c>
    </row>
    <row r="523" spans="3:11" ht="15.2">
      <c r="C523" s="29"/>
      <c r="D523" s="30"/>
      <c r="E523" s="31"/>
      <c r="F523" s="31"/>
      <c r="G523" s="31"/>
      <c r="H523" s="43"/>
      <c r="I523" s="41" t="str">
        <f>IF(Table46[[#This Row],[Month-Year]]="","",TEXT(Table46[[#This Row],[Month-Year]],"MMM-YY"))</f>
        <v/>
      </c>
      <c r="J523" s="31"/>
      <c r="K523" s="39">
        <f t="shared" si="103"/>
        <v>0</v>
      </c>
    </row>
    <row r="524" spans="3:11" ht="15.2">
      <c r="C524" s="29"/>
      <c r="D524" s="30"/>
      <c r="E524" s="31"/>
      <c r="F524" s="31"/>
      <c r="G524" s="31"/>
      <c r="H524" s="43"/>
      <c r="I524" s="41" t="str">
        <f>IF(Table46[[#This Row],[Month-Year]]="","",TEXT(Table46[[#This Row],[Month-Year]],"MMM-YY"))</f>
        <v/>
      </c>
      <c r="J524" s="31"/>
      <c r="K524" s="39">
        <f t="shared" si="103"/>
        <v>0</v>
      </c>
    </row>
    <row r="525" spans="3:11" ht="15.2">
      <c r="C525" s="29"/>
      <c r="D525" s="30"/>
      <c r="E525" s="31"/>
      <c r="F525" s="31"/>
      <c r="G525" s="31"/>
      <c r="H525" s="43"/>
      <c r="I525" s="41" t="str">
        <f>IF(Table46[[#This Row],[Month-Year]]="","",TEXT(Table46[[#This Row],[Month-Year]],"MMM-YY"))</f>
        <v/>
      </c>
      <c r="J525" s="31"/>
      <c r="K525" s="39">
        <f t="shared" ref="K525:K527" si="104">(F525*G525)*E525/100</f>
        <v>0</v>
      </c>
    </row>
    <row r="526" spans="3:11" ht="15.2">
      <c r="C526" s="29"/>
      <c r="D526" s="30"/>
      <c r="E526" s="31"/>
      <c r="F526" s="31"/>
      <c r="G526" s="31"/>
      <c r="H526" s="43"/>
      <c r="I526" s="41" t="str">
        <f>IF(Table46[[#This Row],[Month-Year]]="","",TEXT(Table46[[#This Row],[Month-Year]],"MMM-YY"))</f>
        <v/>
      </c>
      <c r="J526" s="31"/>
      <c r="K526" s="39">
        <f t="shared" si="104"/>
        <v>0</v>
      </c>
    </row>
    <row r="527" spans="3:11" ht="15.2">
      <c r="C527" s="29"/>
      <c r="D527" s="30"/>
      <c r="E527" s="31"/>
      <c r="F527" s="31"/>
      <c r="G527" s="31"/>
      <c r="H527" s="43"/>
      <c r="I527" s="41" t="str">
        <f>IF(Table46[[#This Row],[Month-Year]]="","",TEXT(Table46[[#This Row],[Month-Year]],"MMM-YY"))</f>
        <v/>
      </c>
      <c r="J527" s="31"/>
      <c r="K527" s="39">
        <f t="shared" si="104"/>
        <v>0</v>
      </c>
    </row>
    <row r="528" spans="3:11" ht="15.2">
      <c r="C528" s="29"/>
      <c r="D528" s="30"/>
      <c r="E528" s="31"/>
      <c r="F528" s="31"/>
      <c r="G528" s="31"/>
      <c r="H528" s="43"/>
      <c r="I528" s="41" t="str">
        <f>IF(Table46[[#This Row],[Month-Year]]="","",TEXT(Table46[[#This Row],[Month-Year]],"MMM-YY"))</f>
        <v/>
      </c>
      <c r="J528" s="31"/>
      <c r="K528" s="39">
        <f t="shared" ref="K528:K530" si="105">(F528*G528)*E528/100</f>
        <v>0</v>
      </c>
    </row>
    <row r="529" spans="3:11" ht="15.2">
      <c r="C529" s="29"/>
      <c r="D529" s="30"/>
      <c r="E529" s="31"/>
      <c r="F529" s="31"/>
      <c r="G529" s="31"/>
      <c r="H529" s="43"/>
      <c r="I529" s="41" t="str">
        <f>IF(Table46[[#This Row],[Month-Year]]="","",TEXT(Table46[[#This Row],[Month-Year]],"MMM-YY"))</f>
        <v/>
      </c>
      <c r="J529" s="31"/>
      <c r="K529" s="39">
        <f t="shared" si="105"/>
        <v>0</v>
      </c>
    </row>
    <row r="530" spans="3:11" ht="15.2">
      <c r="C530" s="29"/>
      <c r="D530" s="30"/>
      <c r="E530" s="31"/>
      <c r="F530" s="31"/>
      <c r="G530" s="31"/>
      <c r="H530" s="43"/>
      <c r="I530" s="41" t="str">
        <f>IF(Table46[[#This Row],[Month-Year]]="","",TEXT(Table46[[#This Row],[Month-Year]],"MMM-YY"))</f>
        <v/>
      </c>
      <c r="J530" s="31"/>
      <c r="K530" s="39">
        <f t="shared" si="105"/>
        <v>0</v>
      </c>
    </row>
    <row r="531" spans="3:11" ht="15.2">
      <c r="C531" s="29"/>
      <c r="D531" s="30"/>
      <c r="E531" s="31"/>
      <c r="F531" s="31"/>
      <c r="G531" s="31"/>
      <c r="H531" s="43"/>
      <c r="I531" s="41" t="str">
        <f>IF(Table46[[#This Row],[Month-Year]]="","",TEXT(Table46[[#This Row],[Month-Year]],"MMM-YY"))</f>
        <v/>
      </c>
      <c r="J531" s="31"/>
      <c r="K531" s="39">
        <f t="shared" ref="K531:K533" si="106">(F531*G531)*E531/100</f>
        <v>0</v>
      </c>
    </row>
    <row r="532" spans="3:11" ht="15.2">
      <c r="C532" s="29"/>
      <c r="D532" s="30"/>
      <c r="E532" s="31"/>
      <c r="F532" s="31"/>
      <c r="G532" s="31"/>
      <c r="H532" s="43"/>
      <c r="I532" s="41" t="str">
        <f>IF(Table46[[#This Row],[Month-Year]]="","",TEXT(Table46[[#This Row],[Month-Year]],"MMM-YY"))</f>
        <v/>
      </c>
      <c r="J532" s="31"/>
      <c r="K532" s="39">
        <f t="shared" si="106"/>
        <v>0</v>
      </c>
    </row>
    <row r="533" spans="3:11" ht="15.2">
      <c r="C533" s="29"/>
      <c r="D533" s="30"/>
      <c r="E533" s="31"/>
      <c r="F533" s="31"/>
      <c r="G533" s="31"/>
      <c r="H533" s="43"/>
      <c r="I533" s="41" t="str">
        <f>IF(Table46[[#This Row],[Month-Year]]="","",TEXT(Table46[[#This Row],[Month-Year]],"MMM-YY"))</f>
        <v/>
      </c>
      <c r="J533" s="31"/>
      <c r="K533" s="39">
        <f t="shared" si="106"/>
        <v>0</v>
      </c>
    </row>
    <row r="534" spans="3:11" ht="15.2">
      <c r="C534" s="29"/>
      <c r="D534" s="30"/>
      <c r="E534" s="31"/>
      <c r="F534" s="31"/>
      <c r="G534" s="31"/>
      <c r="H534" s="43"/>
      <c r="I534" s="41" t="str">
        <f>IF(Table46[[#This Row],[Month-Year]]="","",TEXT(Table46[[#This Row],[Month-Year]],"MMM-YY"))</f>
        <v/>
      </c>
      <c r="J534" s="31"/>
      <c r="K534" s="39">
        <f t="shared" ref="K534:K536" si="107">(F534*G534)*E534/100</f>
        <v>0</v>
      </c>
    </row>
    <row r="535" spans="3:11" ht="15.2">
      <c r="C535" s="29"/>
      <c r="D535" s="30"/>
      <c r="E535" s="31"/>
      <c r="F535" s="31"/>
      <c r="G535" s="31"/>
      <c r="H535" s="43"/>
      <c r="I535" s="41" t="str">
        <f>IF(Table46[[#This Row],[Month-Year]]="","",TEXT(Table46[[#This Row],[Month-Year]],"MMM-YY"))</f>
        <v/>
      </c>
      <c r="J535" s="31"/>
      <c r="K535" s="39">
        <f t="shared" si="107"/>
        <v>0</v>
      </c>
    </row>
    <row r="536" spans="3:11" ht="15.2">
      <c r="C536" s="29"/>
      <c r="D536" s="30"/>
      <c r="E536" s="31"/>
      <c r="F536" s="31"/>
      <c r="G536" s="31"/>
      <c r="H536" s="43"/>
      <c r="I536" s="41" t="str">
        <f>IF(Table46[[#This Row],[Month-Year]]="","",TEXT(Table46[[#This Row],[Month-Year]],"MMM-YY"))</f>
        <v/>
      </c>
      <c r="J536" s="31"/>
      <c r="K536" s="39">
        <f t="shared" si="107"/>
        <v>0</v>
      </c>
    </row>
    <row r="537" spans="3:11" ht="15.2">
      <c r="C537" s="29"/>
      <c r="D537" s="30"/>
      <c r="E537" s="31"/>
      <c r="F537" s="31"/>
      <c r="G537" s="31"/>
      <c r="H537" s="43"/>
      <c r="I537" s="41" t="str">
        <f>IF(Table46[[#This Row],[Month-Year]]="","",TEXT(Table46[[#This Row],[Month-Year]],"MMM-YY"))</f>
        <v/>
      </c>
      <c r="J537" s="31"/>
      <c r="K537" s="39">
        <f t="shared" ref="K537:K539" si="108">(F537*G537)*E537/100</f>
        <v>0</v>
      </c>
    </row>
    <row r="538" spans="3:11" ht="15.2">
      <c r="C538" s="29"/>
      <c r="D538" s="30"/>
      <c r="E538" s="31"/>
      <c r="F538" s="31"/>
      <c r="G538" s="31"/>
      <c r="H538" s="43"/>
      <c r="I538" s="41" t="str">
        <f>IF(Table46[[#This Row],[Month-Year]]="","",TEXT(Table46[[#This Row],[Month-Year]],"MMM-YY"))</f>
        <v/>
      </c>
      <c r="J538" s="31"/>
      <c r="K538" s="39">
        <f t="shared" si="108"/>
        <v>0</v>
      </c>
    </row>
    <row r="539" spans="3:11" ht="15.2">
      <c r="C539" s="29"/>
      <c r="D539" s="30"/>
      <c r="E539" s="31"/>
      <c r="F539" s="31"/>
      <c r="G539" s="31"/>
      <c r="H539" s="43"/>
      <c r="I539" s="41" t="str">
        <f>IF(Table46[[#This Row],[Month-Year]]="","",TEXT(Table46[[#This Row],[Month-Year]],"MMM-YY"))</f>
        <v/>
      </c>
      <c r="J539" s="31"/>
      <c r="K539" s="39">
        <f t="shared" si="108"/>
        <v>0</v>
      </c>
    </row>
    <row r="540" spans="3:11" ht="15.2">
      <c r="C540" s="29"/>
      <c r="D540" s="30"/>
      <c r="E540" s="31"/>
      <c r="F540" s="31"/>
      <c r="G540" s="31"/>
      <c r="H540" s="43"/>
      <c r="I540" s="41" t="str">
        <f>IF(Table46[[#This Row],[Month-Year]]="","",TEXT(Table46[[#This Row],[Month-Year]],"MMM-YY"))</f>
        <v/>
      </c>
      <c r="J540" s="31"/>
      <c r="K540" s="39">
        <f t="shared" ref="K540:K542" si="109">(F540*G540)*E540/100</f>
        <v>0</v>
      </c>
    </row>
    <row r="541" spans="3:11" ht="15.2">
      <c r="C541" s="29"/>
      <c r="D541" s="30"/>
      <c r="E541" s="31"/>
      <c r="F541" s="31"/>
      <c r="G541" s="31"/>
      <c r="H541" s="43"/>
      <c r="I541" s="41" t="str">
        <f>IF(Table46[[#This Row],[Month-Year]]="","",TEXT(Table46[[#This Row],[Month-Year]],"MMM-YY"))</f>
        <v/>
      </c>
      <c r="J541" s="31"/>
      <c r="K541" s="39">
        <f t="shared" si="109"/>
        <v>0</v>
      </c>
    </row>
    <row r="542" spans="3:11" ht="15.2">
      <c r="C542" s="29"/>
      <c r="D542" s="30"/>
      <c r="E542" s="31"/>
      <c r="F542" s="31"/>
      <c r="G542" s="31"/>
      <c r="H542" s="43"/>
      <c r="I542" s="41" t="str">
        <f>IF(Table46[[#This Row],[Month-Year]]="","",TEXT(Table46[[#This Row],[Month-Year]],"MMM-YY"))</f>
        <v/>
      </c>
      <c r="J542" s="31"/>
      <c r="K542" s="39">
        <f t="shared" si="109"/>
        <v>0</v>
      </c>
    </row>
    <row r="543" spans="3:11" ht="15.2">
      <c r="C543" s="29"/>
      <c r="D543" s="30"/>
      <c r="E543" s="31"/>
      <c r="F543" s="31"/>
      <c r="G543" s="31"/>
      <c r="H543" s="43"/>
      <c r="I543" s="41" t="str">
        <f>IF(Table46[[#This Row],[Month-Year]]="","",TEXT(Table46[[#This Row],[Month-Year]],"MMM-YY"))</f>
        <v/>
      </c>
      <c r="J543" s="31"/>
      <c r="K543" s="39">
        <f t="shared" ref="K543:K545" si="110">(F543*G543)*E543/100</f>
        <v>0</v>
      </c>
    </row>
    <row r="544" spans="3:11" ht="15.2">
      <c r="C544" s="29"/>
      <c r="D544" s="30"/>
      <c r="E544" s="31"/>
      <c r="F544" s="31"/>
      <c r="G544" s="31"/>
      <c r="H544" s="43"/>
      <c r="I544" s="41" t="str">
        <f>IF(Table46[[#This Row],[Month-Year]]="","",TEXT(Table46[[#This Row],[Month-Year]],"MMM-YY"))</f>
        <v/>
      </c>
      <c r="J544" s="31"/>
      <c r="K544" s="39">
        <f t="shared" si="110"/>
        <v>0</v>
      </c>
    </row>
    <row r="545" spans="3:11" ht="15.2">
      <c r="C545" s="29"/>
      <c r="D545" s="30"/>
      <c r="E545" s="31"/>
      <c r="F545" s="31"/>
      <c r="G545" s="31"/>
      <c r="H545" s="43"/>
      <c r="I545" s="41" t="str">
        <f>IF(Table46[[#This Row],[Month-Year]]="","",TEXT(Table46[[#This Row],[Month-Year]],"MMM-YY"))</f>
        <v/>
      </c>
      <c r="J545" s="31"/>
      <c r="K545" s="39">
        <f t="shared" si="110"/>
        <v>0</v>
      </c>
    </row>
    <row r="546" spans="3:11" ht="15.2">
      <c r="C546" s="29"/>
      <c r="D546" s="30"/>
      <c r="E546" s="31"/>
      <c r="F546" s="31"/>
      <c r="G546" s="31"/>
      <c r="H546" s="43"/>
      <c r="I546" s="41" t="str">
        <f>IF(Table46[[#This Row],[Month-Year]]="","",TEXT(Table46[[#This Row],[Month-Year]],"MMM-YY"))</f>
        <v/>
      </c>
      <c r="J546" s="31"/>
      <c r="K546" s="39">
        <f t="shared" ref="K546:K548" si="111">(F546*G546)*E546/100</f>
        <v>0</v>
      </c>
    </row>
    <row r="547" spans="3:11" ht="15.2">
      <c r="C547" s="29"/>
      <c r="D547" s="30"/>
      <c r="E547" s="31"/>
      <c r="F547" s="31"/>
      <c r="G547" s="31"/>
      <c r="H547" s="43"/>
      <c r="I547" s="41" t="str">
        <f>IF(Table46[[#This Row],[Month-Year]]="","",TEXT(Table46[[#This Row],[Month-Year]],"MMM-YY"))</f>
        <v/>
      </c>
      <c r="J547" s="31"/>
      <c r="K547" s="39">
        <f t="shared" si="111"/>
        <v>0</v>
      </c>
    </row>
    <row r="548" spans="3:11" ht="15.2">
      <c r="C548" s="29"/>
      <c r="D548" s="30"/>
      <c r="E548" s="31"/>
      <c r="F548" s="31"/>
      <c r="G548" s="31"/>
      <c r="H548" s="43"/>
      <c r="I548" s="41" t="str">
        <f>IF(Table46[[#This Row],[Month-Year]]="","",TEXT(Table46[[#This Row],[Month-Year]],"MMM-YY"))</f>
        <v/>
      </c>
      <c r="J548" s="31"/>
      <c r="K548" s="39">
        <f t="shared" si="111"/>
        <v>0</v>
      </c>
    </row>
    <row r="549" spans="3:11" ht="15.2">
      <c r="C549" s="29"/>
      <c r="D549" s="30"/>
      <c r="E549" s="31"/>
      <c r="F549" s="31"/>
      <c r="G549" s="31"/>
      <c r="H549" s="43"/>
      <c r="I549" s="41" t="str">
        <f>IF(Table46[[#This Row],[Month-Year]]="","",TEXT(Table46[[#This Row],[Month-Year]],"MMM-YY"))</f>
        <v/>
      </c>
      <c r="J549" s="31"/>
      <c r="K549" s="39">
        <f t="shared" ref="K549:K551" si="112">(F549*G549)*E549/100</f>
        <v>0</v>
      </c>
    </row>
    <row r="550" spans="3:11" ht="15.2">
      <c r="C550" s="29"/>
      <c r="D550" s="30"/>
      <c r="E550" s="31"/>
      <c r="F550" s="31"/>
      <c r="G550" s="31"/>
      <c r="H550" s="43"/>
      <c r="I550" s="41" t="str">
        <f>IF(Table46[[#This Row],[Month-Year]]="","",TEXT(Table46[[#This Row],[Month-Year]],"MMM-YY"))</f>
        <v/>
      </c>
      <c r="J550" s="31"/>
      <c r="K550" s="39">
        <f t="shared" si="112"/>
        <v>0</v>
      </c>
    </row>
    <row r="551" spans="3:11" ht="15.2">
      <c r="C551" s="29"/>
      <c r="D551" s="30"/>
      <c r="E551" s="31"/>
      <c r="F551" s="31"/>
      <c r="G551" s="31"/>
      <c r="H551" s="43"/>
      <c r="I551" s="41" t="str">
        <f>IF(Table46[[#This Row],[Month-Year]]="","",TEXT(Table46[[#This Row],[Month-Year]],"MMM-YY"))</f>
        <v/>
      </c>
      <c r="J551" s="31"/>
      <c r="K551" s="39">
        <f t="shared" si="112"/>
        <v>0</v>
      </c>
    </row>
    <row r="552" spans="3:11" ht="15.2">
      <c r="C552" s="29"/>
      <c r="D552" s="30"/>
      <c r="E552" s="31"/>
      <c r="F552" s="31"/>
      <c r="G552" s="31"/>
      <c r="H552" s="43"/>
      <c r="I552" s="41" t="str">
        <f>IF(Table46[[#This Row],[Month-Year]]="","",TEXT(Table46[[#This Row],[Month-Year]],"MMM-YY"))</f>
        <v/>
      </c>
      <c r="J552" s="31"/>
      <c r="K552" s="39">
        <f t="shared" ref="K552:K554" si="113">(F552*G552)*E552/100</f>
        <v>0</v>
      </c>
    </row>
    <row r="553" spans="3:11" ht="15.2">
      <c r="C553" s="29"/>
      <c r="D553" s="30"/>
      <c r="E553" s="31"/>
      <c r="F553" s="31"/>
      <c r="G553" s="31"/>
      <c r="H553" s="43"/>
      <c r="I553" s="41" t="str">
        <f>IF(Table46[[#This Row],[Month-Year]]="","",TEXT(Table46[[#This Row],[Month-Year]],"MMM-YY"))</f>
        <v/>
      </c>
      <c r="J553" s="31"/>
      <c r="K553" s="39">
        <f t="shared" si="113"/>
        <v>0</v>
      </c>
    </row>
    <row r="554" spans="3:11" ht="15.2">
      <c r="C554" s="29"/>
      <c r="D554" s="30"/>
      <c r="E554" s="31"/>
      <c r="F554" s="31"/>
      <c r="G554" s="31"/>
      <c r="H554" s="43"/>
      <c r="I554" s="41" t="str">
        <f>IF(Table46[[#This Row],[Month-Year]]="","",TEXT(Table46[[#This Row],[Month-Year]],"MMM-YY"))</f>
        <v/>
      </c>
      <c r="J554" s="31"/>
      <c r="K554" s="39">
        <f t="shared" si="113"/>
        <v>0</v>
      </c>
    </row>
    <row r="555" spans="3:11" ht="15.2">
      <c r="C555" s="29"/>
      <c r="D555" s="30"/>
      <c r="E555" s="31"/>
      <c r="F555" s="31"/>
      <c r="G555" s="31"/>
      <c r="H555" s="43"/>
      <c r="I555" s="41" t="str">
        <f>IF(Table46[[#This Row],[Month-Year]]="","",TEXT(Table46[[#This Row],[Month-Year]],"MMM-YY"))</f>
        <v/>
      </c>
      <c r="J555" s="31"/>
      <c r="K555" s="39">
        <f t="shared" ref="K555:K557" si="114">(F555*G555)*E555/100</f>
        <v>0</v>
      </c>
    </row>
    <row r="556" spans="3:11" ht="15.2">
      <c r="C556" s="29"/>
      <c r="D556" s="30"/>
      <c r="E556" s="31"/>
      <c r="F556" s="31"/>
      <c r="G556" s="31"/>
      <c r="H556" s="43"/>
      <c r="I556" s="41" t="str">
        <f>IF(Table46[[#This Row],[Month-Year]]="","",TEXT(Table46[[#This Row],[Month-Year]],"MMM-YY"))</f>
        <v/>
      </c>
      <c r="J556" s="31"/>
      <c r="K556" s="39">
        <f t="shared" si="114"/>
        <v>0</v>
      </c>
    </row>
    <row r="557" spans="3:11" ht="15.2">
      <c r="C557" s="29"/>
      <c r="D557" s="30"/>
      <c r="E557" s="31"/>
      <c r="F557" s="31"/>
      <c r="G557" s="31"/>
      <c r="H557" s="43"/>
      <c r="I557" s="41" t="str">
        <f>IF(Table46[[#This Row],[Month-Year]]="","",TEXT(Table46[[#This Row],[Month-Year]],"MMM-YY"))</f>
        <v/>
      </c>
      <c r="J557" s="31"/>
      <c r="K557" s="39">
        <f t="shared" si="114"/>
        <v>0</v>
      </c>
    </row>
    <row r="558" spans="3:11" ht="15.2">
      <c r="C558" s="29"/>
      <c r="D558" s="30"/>
      <c r="E558" s="31"/>
      <c r="F558" s="31"/>
      <c r="G558" s="31"/>
      <c r="H558" s="43"/>
      <c r="I558" s="41" t="str">
        <f>IF(Table46[[#This Row],[Month-Year]]="","",TEXT(Table46[[#This Row],[Month-Year]],"MMM-YY"))</f>
        <v/>
      </c>
      <c r="J558" s="31"/>
      <c r="K558" s="39">
        <f t="shared" ref="K558:K560" si="115">(F558*G558)*E558/100</f>
        <v>0</v>
      </c>
    </row>
    <row r="559" spans="3:11" ht="15.2">
      <c r="C559" s="29"/>
      <c r="D559" s="30"/>
      <c r="E559" s="31"/>
      <c r="F559" s="31"/>
      <c r="G559" s="31"/>
      <c r="H559" s="43"/>
      <c r="I559" s="41" t="str">
        <f>IF(Table46[[#This Row],[Month-Year]]="","",TEXT(Table46[[#This Row],[Month-Year]],"MMM-YY"))</f>
        <v/>
      </c>
      <c r="J559" s="31"/>
      <c r="K559" s="39">
        <f t="shared" si="115"/>
        <v>0</v>
      </c>
    </row>
    <row r="560" spans="3:11" ht="15.2">
      <c r="C560" s="29"/>
      <c r="D560" s="30"/>
      <c r="E560" s="31"/>
      <c r="F560" s="31"/>
      <c r="G560" s="31"/>
      <c r="H560" s="43"/>
      <c r="I560" s="41" t="str">
        <f>IF(Table46[[#This Row],[Month-Year]]="","",TEXT(Table46[[#This Row],[Month-Year]],"MMM-YY"))</f>
        <v/>
      </c>
      <c r="J560" s="31"/>
      <c r="K560" s="39">
        <f t="shared" si="115"/>
        <v>0</v>
      </c>
    </row>
    <row r="561" spans="3:11" ht="15.2">
      <c r="C561" s="29"/>
      <c r="D561" s="30"/>
      <c r="E561" s="31"/>
      <c r="F561" s="31"/>
      <c r="G561" s="31"/>
      <c r="H561" s="43"/>
      <c r="I561" s="41" t="str">
        <f>IF(Table46[[#This Row],[Month-Year]]="","",TEXT(Table46[[#This Row],[Month-Year]],"MMM-YY"))</f>
        <v/>
      </c>
      <c r="J561" s="31"/>
      <c r="K561" s="39">
        <f t="shared" ref="K561:K563" si="116">(F561*G561)*E561/100</f>
        <v>0</v>
      </c>
    </row>
    <row r="562" spans="3:11" ht="15.2">
      <c r="C562" s="29"/>
      <c r="D562" s="30"/>
      <c r="E562" s="31"/>
      <c r="F562" s="31"/>
      <c r="G562" s="31"/>
      <c r="H562" s="43"/>
      <c r="I562" s="41" t="str">
        <f>IF(Table46[[#This Row],[Month-Year]]="","",TEXT(Table46[[#This Row],[Month-Year]],"MMM-YY"))</f>
        <v/>
      </c>
      <c r="J562" s="31"/>
      <c r="K562" s="39">
        <f t="shared" si="116"/>
        <v>0</v>
      </c>
    </row>
    <row r="563" spans="3:11" ht="15.2">
      <c r="C563" s="29"/>
      <c r="D563" s="30"/>
      <c r="E563" s="31"/>
      <c r="F563" s="31"/>
      <c r="G563" s="31"/>
      <c r="H563" s="43"/>
      <c r="I563" s="41" t="str">
        <f>IF(Table46[[#This Row],[Month-Year]]="","",TEXT(Table46[[#This Row],[Month-Year]],"MMM-YY"))</f>
        <v/>
      </c>
      <c r="J563" s="31"/>
      <c r="K563" s="39">
        <f t="shared" si="116"/>
        <v>0</v>
      </c>
    </row>
    <row r="564" spans="3:11" ht="15.2">
      <c r="C564" s="29"/>
      <c r="D564" s="30"/>
      <c r="E564" s="31"/>
      <c r="F564" s="31"/>
      <c r="G564" s="31"/>
      <c r="H564" s="43"/>
      <c r="I564" s="41" t="str">
        <f>IF(Table46[[#This Row],[Month-Year]]="","",TEXT(Table46[[#This Row],[Month-Year]],"MMM-YY"))</f>
        <v/>
      </c>
      <c r="J564" s="31"/>
      <c r="K564" s="39">
        <f t="shared" ref="K564:K566" si="117">(F564*G564)*E564/100</f>
        <v>0</v>
      </c>
    </row>
    <row r="565" spans="3:11" ht="15.2">
      <c r="C565" s="29"/>
      <c r="D565" s="30"/>
      <c r="E565" s="31"/>
      <c r="F565" s="31"/>
      <c r="G565" s="31"/>
      <c r="H565" s="43"/>
      <c r="I565" s="41" t="str">
        <f>IF(Table46[[#This Row],[Month-Year]]="","",TEXT(Table46[[#This Row],[Month-Year]],"MMM-YY"))</f>
        <v/>
      </c>
      <c r="J565" s="31"/>
      <c r="K565" s="39">
        <f t="shared" si="117"/>
        <v>0</v>
      </c>
    </row>
    <row r="566" spans="3:11" ht="15.2">
      <c r="C566" s="29"/>
      <c r="D566" s="30"/>
      <c r="E566" s="31"/>
      <c r="F566" s="31"/>
      <c r="G566" s="31"/>
      <c r="H566" s="43"/>
      <c r="I566" s="41" t="str">
        <f>IF(Table46[[#This Row],[Month-Year]]="","",TEXT(Table46[[#This Row],[Month-Year]],"MMM-YY"))</f>
        <v/>
      </c>
      <c r="J566" s="31"/>
      <c r="K566" s="39">
        <f t="shared" si="117"/>
        <v>0</v>
      </c>
    </row>
    <row r="567" spans="3:11" ht="15.2">
      <c r="C567" s="29"/>
      <c r="D567" s="30"/>
      <c r="E567" s="31"/>
      <c r="F567" s="31"/>
      <c r="G567" s="31"/>
      <c r="H567" s="43"/>
      <c r="I567" s="41" t="str">
        <f>IF(Table46[[#This Row],[Month-Year]]="","",TEXT(Table46[[#This Row],[Month-Year]],"MMM-YY"))</f>
        <v/>
      </c>
      <c r="J567" s="31"/>
      <c r="K567" s="39">
        <f t="shared" ref="K567:K569" si="118">(F567*G567)*E567/100</f>
        <v>0</v>
      </c>
    </row>
    <row r="568" spans="3:11" ht="15.2">
      <c r="C568" s="29"/>
      <c r="D568" s="30"/>
      <c r="E568" s="31"/>
      <c r="F568" s="31"/>
      <c r="G568" s="31"/>
      <c r="H568" s="43"/>
      <c r="I568" s="41" t="str">
        <f>IF(Table46[[#This Row],[Month-Year]]="","",TEXT(Table46[[#This Row],[Month-Year]],"MMM-YY"))</f>
        <v/>
      </c>
      <c r="J568" s="31"/>
      <c r="K568" s="39">
        <f t="shared" si="118"/>
        <v>0</v>
      </c>
    </row>
    <row r="569" spans="3:11" ht="15.2">
      <c r="C569" s="29"/>
      <c r="D569" s="30"/>
      <c r="E569" s="31"/>
      <c r="F569" s="31"/>
      <c r="G569" s="31"/>
      <c r="H569" s="43"/>
      <c r="I569" s="41" t="str">
        <f>IF(Table46[[#This Row],[Month-Year]]="","",TEXT(Table46[[#This Row],[Month-Year]],"MMM-YY"))</f>
        <v/>
      </c>
      <c r="J569" s="31"/>
      <c r="K569" s="39">
        <f t="shared" si="118"/>
        <v>0</v>
      </c>
    </row>
    <row r="570" spans="3:11" ht="15.2">
      <c r="C570" s="29"/>
      <c r="D570" s="30"/>
      <c r="E570" s="31"/>
      <c r="F570" s="31"/>
      <c r="G570" s="31"/>
      <c r="H570" s="43"/>
      <c r="I570" s="41" t="str">
        <f>IF(Table46[[#This Row],[Month-Year]]="","",TEXT(Table46[[#This Row],[Month-Year]],"MMM-YY"))</f>
        <v/>
      </c>
      <c r="J570" s="31"/>
      <c r="K570" s="39">
        <f t="shared" ref="K570:K572" si="119">(F570*G570)*E570/100</f>
        <v>0</v>
      </c>
    </row>
    <row r="571" spans="3:11" ht="15.2">
      <c r="C571" s="29"/>
      <c r="D571" s="30"/>
      <c r="E571" s="31"/>
      <c r="F571" s="31"/>
      <c r="G571" s="31"/>
      <c r="H571" s="43"/>
      <c r="I571" s="41" t="str">
        <f>IF(Table46[[#This Row],[Month-Year]]="","",TEXT(Table46[[#This Row],[Month-Year]],"MMM-YY"))</f>
        <v/>
      </c>
      <c r="J571" s="31"/>
      <c r="K571" s="39">
        <f t="shared" si="119"/>
        <v>0</v>
      </c>
    </row>
    <row r="572" spans="3:11" ht="15.2">
      <c r="C572" s="29"/>
      <c r="D572" s="30"/>
      <c r="E572" s="31"/>
      <c r="F572" s="31"/>
      <c r="G572" s="31"/>
      <c r="H572" s="43"/>
      <c r="I572" s="41" t="str">
        <f>IF(Table46[[#This Row],[Month-Year]]="","",TEXT(Table46[[#This Row],[Month-Year]],"MMM-YY"))</f>
        <v/>
      </c>
      <c r="J572" s="31"/>
      <c r="K572" s="39">
        <f t="shared" si="119"/>
        <v>0</v>
      </c>
    </row>
    <row r="573" spans="3:11" ht="15.2">
      <c r="C573" s="29"/>
      <c r="D573" s="30"/>
      <c r="E573" s="31"/>
      <c r="F573" s="31"/>
      <c r="G573" s="31"/>
      <c r="H573" s="43"/>
      <c r="I573" s="41" t="str">
        <f>IF(Table46[[#This Row],[Month-Year]]="","",TEXT(Table46[[#This Row],[Month-Year]],"MMM-YY"))</f>
        <v/>
      </c>
      <c r="J573" s="31"/>
      <c r="K573" s="39">
        <f t="shared" ref="K573:K575" si="120">(F573*G573)*E573/100</f>
        <v>0</v>
      </c>
    </row>
    <row r="574" spans="3:11" ht="15.2">
      <c r="C574" s="29"/>
      <c r="D574" s="30"/>
      <c r="E574" s="31"/>
      <c r="F574" s="31"/>
      <c r="G574" s="31"/>
      <c r="H574" s="43"/>
      <c r="I574" s="41" t="str">
        <f>IF(Table46[[#This Row],[Month-Year]]="","",TEXT(Table46[[#This Row],[Month-Year]],"MMM-YY"))</f>
        <v/>
      </c>
      <c r="J574" s="31"/>
      <c r="K574" s="39">
        <f t="shared" si="120"/>
        <v>0</v>
      </c>
    </row>
    <row r="575" spans="3:11" ht="15.2">
      <c r="C575" s="29"/>
      <c r="D575" s="30"/>
      <c r="E575" s="31"/>
      <c r="F575" s="31"/>
      <c r="G575" s="31"/>
      <c r="H575" s="43"/>
      <c r="I575" s="41" t="str">
        <f>IF(Table46[[#This Row],[Month-Year]]="","",TEXT(Table46[[#This Row],[Month-Year]],"MMM-YY"))</f>
        <v/>
      </c>
      <c r="J575" s="31"/>
      <c r="K575" s="39">
        <f t="shared" si="120"/>
        <v>0</v>
      </c>
    </row>
    <row r="576" spans="3:11" ht="15.2">
      <c r="C576" s="29"/>
      <c r="D576" s="30"/>
      <c r="E576" s="31"/>
      <c r="F576" s="31"/>
      <c r="G576" s="31"/>
      <c r="H576" s="43"/>
      <c r="I576" s="41" t="str">
        <f>IF(Table46[[#This Row],[Month-Year]]="","",TEXT(Table46[[#This Row],[Month-Year]],"MMM-YY"))</f>
        <v/>
      </c>
      <c r="J576" s="31"/>
      <c r="K576" s="39">
        <f t="shared" ref="K576:K578" si="121">(F576*G576)*E576/100</f>
        <v>0</v>
      </c>
    </row>
    <row r="577" spans="3:11" ht="15.2">
      <c r="C577" s="29"/>
      <c r="D577" s="30"/>
      <c r="E577" s="31"/>
      <c r="F577" s="31"/>
      <c r="G577" s="31"/>
      <c r="H577" s="43"/>
      <c r="I577" s="41" t="str">
        <f>IF(Table46[[#This Row],[Month-Year]]="","",TEXT(Table46[[#This Row],[Month-Year]],"MMM-YY"))</f>
        <v/>
      </c>
      <c r="J577" s="31"/>
      <c r="K577" s="39">
        <f t="shared" si="121"/>
        <v>0</v>
      </c>
    </row>
    <row r="578" spans="3:11" ht="15.2">
      <c r="C578" s="29"/>
      <c r="D578" s="30"/>
      <c r="E578" s="31"/>
      <c r="F578" s="31"/>
      <c r="G578" s="31"/>
      <c r="H578" s="43"/>
      <c r="I578" s="41" t="str">
        <f>IF(Table46[[#This Row],[Month-Year]]="","",TEXT(Table46[[#This Row],[Month-Year]],"MMM-YY"))</f>
        <v/>
      </c>
      <c r="J578" s="31"/>
      <c r="K578" s="39">
        <f t="shared" si="121"/>
        <v>0</v>
      </c>
    </row>
    <row r="579" spans="3:11" ht="15.2">
      <c r="C579" s="29"/>
      <c r="D579" s="30"/>
      <c r="E579" s="31"/>
      <c r="F579" s="31"/>
      <c r="G579" s="31"/>
      <c r="H579" s="43"/>
      <c r="I579" s="41" t="str">
        <f>IF(Table46[[#This Row],[Month-Year]]="","",TEXT(Table46[[#This Row],[Month-Year]],"MMM-YY"))</f>
        <v/>
      </c>
      <c r="J579" s="31"/>
      <c r="K579" s="39">
        <f t="shared" ref="K579:K581" si="122">(F579*G579)*E579/100</f>
        <v>0</v>
      </c>
    </row>
    <row r="580" spans="3:11" ht="15.2">
      <c r="C580" s="29"/>
      <c r="D580" s="30"/>
      <c r="E580" s="31"/>
      <c r="F580" s="31"/>
      <c r="G580" s="31"/>
      <c r="H580" s="43"/>
      <c r="I580" s="41" t="str">
        <f>IF(Table46[[#This Row],[Month-Year]]="","",TEXT(Table46[[#This Row],[Month-Year]],"MMM-YY"))</f>
        <v/>
      </c>
      <c r="J580" s="31"/>
      <c r="K580" s="39">
        <f t="shared" si="122"/>
        <v>0</v>
      </c>
    </row>
    <row r="581" spans="3:11" ht="15.2">
      <c r="C581" s="29"/>
      <c r="D581" s="30"/>
      <c r="E581" s="31"/>
      <c r="F581" s="31"/>
      <c r="G581" s="31"/>
      <c r="H581" s="43"/>
      <c r="I581" s="41" t="str">
        <f>IF(Table46[[#This Row],[Month-Year]]="","",TEXT(Table46[[#This Row],[Month-Year]],"MMM-YY"))</f>
        <v/>
      </c>
      <c r="J581" s="31"/>
      <c r="K581" s="39">
        <f t="shared" si="122"/>
        <v>0</v>
      </c>
    </row>
    <row r="582" spans="3:11" ht="15.2">
      <c r="C582" s="29"/>
      <c r="D582" s="30"/>
      <c r="E582" s="31"/>
      <c r="F582" s="31"/>
      <c r="G582" s="31"/>
      <c r="H582" s="43"/>
      <c r="I582" s="41" t="str">
        <f>IF(Table46[[#This Row],[Month-Year]]="","",TEXT(Table46[[#This Row],[Month-Year]],"MMM-YY"))</f>
        <v/>
      </c>
      <c r="J582" s="31"/>
      <c r="K582" s="39">
        <f t="shared" ref="K582:K584" si="123">(F582*G582)*E582/100</f>
        <v>0</v>
      </c>
    </row>
    <row r="583" spans="3:11" ht="15.2">
      <c r="C583" s="29"/>
      <c r="D583" s="30"/>
      <c r="E583" s="31"/>
      <c r="F583" s="31"/>
      <c r="G583" s="31"/>
      <c r="H583" s="43"/>
      <c r="I583" s="41" t="str">
        <f>IF(Table46[[#This Row],[Month-Year]]="","",TEXT(Table46[[#This Row],[Month-Year]],"MMM-YY"))</f>
        <v/>
      </c>
      <c r="J583" s="31"/>
      <c r="K583" s="39">
        <f t="shared" si="123"/>
        <v>0</v>
      </c>
    </row>
    <row r="584" spans="3:11" ht="15.2">
      <c r="C584" s="29"/>
      <c r="D584" s="30"/>
      <c r="E584" s="31"/>
      <c r="F584" s="31"/>
      <c r="G584" s="31"/>
      <c r="H584" s="43"/>
      <c r="I584" s="41" t="str">
        <f>IF(Table46[[#This Row],[Month-Year]]="","",TEXT(Table46[[#This Row],[Month-Year]],"MMM-YY"))</f>
        <v/>
      </c>
      <c r="J584" s="31"/>
      <c r="K584" s="39">
        <f t="shared" si="123"/>
        <v>0</v>
      </c>
    </row>
    <row r="585" spans="3:11" ht="15.2">
      <c r="C585" s="29"/>
      <c r="D585" s="30"/>
      <c r="E585" s="31"/>
      <c r="F585" s="31"/>
      <c r="G585" s="31"/>
      <c r="H585" s="43"/>
      <c r="I585" s="41" t="str">
        <f>IF(Table46[[#This Row],[Month-Year]]="","",TEXT(Table46[[#This Row],[Month-Year]],"MMM-YY"))</f>
        <v/>
      </c>
      <c r="J585" s="31"/>
      <c r="K585" s="39">
        <f t="shared" ref="K585:K587" si="124">(F585*G585)*E585/100</f>
        <v>0</v>
      </c>
    </row>
    <row r="586" spans="3:11" ht="15.2">
      <c r="C586" s="29"/>
      <c r="D586" s="30"/>
      <c r="E586" s="31"/>
      <c r="F586" s="31"/>
      <c r="G586" s="31"/>
      <c r="H586" s="43"/>
      <c r="I586" s="41" t="str">
        <f>IF(Table46[[#This Row],[Month-Year]]="","",TEXT(Table46[[#This Row],[Month-Year]],"MMM-YY"))</f>
        <v/>
      </c>
      <c r="J586" s="31"/>
      <c r="K586" s="39">
        <f t="shared" si="124"/>
        <v>0</v>
      </c>
    </row>
    <row r="587" spans="3:11" ht="15.2">
      <c r="C587" s="29"/>
      <c r="D587" s="30"/>
      <c r="E587" s="31"/>
      <c r="F587" s="31"/>
      <c r="G587" s="31"/>
      <c r="H587" s="43"/>
      <c r="I587" s="41" t="str">
        <f>IF(Table46[[#This Row],[Month-Year]]="","",TEXT(Table46[[#This Row],[Month-Year]],"MMM-YY"))</f>
        <v/>
      </c>
      <c r="J587" s="31"/>
      <c r="K587" s="39">
        <f t="shared" si="124"/>
        <v>0</v>
      </c>
    </row>
    <row r="588" spans="3:11" ht="15.2">
      <c r="C588" s="29"/>
      <c r="D588" s="30"/>
      <c r="E588" s="31"/>
      <c r="F588" s="31"/>
      <c r="G588" s="31"/>
      <c r="H588" s="43"/>
      <c r="I588" s="41" t="str">
        <f>IF(Table46[[#This Row],[Month-Year]]="","",TEXT(Table46[[#This Row],[Month-Year]],"MMM-YY"))</f>
        <v/>
      </c>
      <c r="J588" s="31"/>
      <c r="K588" s="39">
        <f t="shared" ref="K588:K590" si="125">(F588*G588)*E588/100</f>
        <v>0</v>
      </c>
    </row>
    <row r="589" spans="3:11" ht="15.2">
      <c r="C589" s="29"/>
      <c r="D589" s="30"/>
      <c r="E589" s="31"/>
      <c r="F589" s="31"/>
      <c r="G589" s="31"/>
      <c r="H589" s="43"/>
      <c r="I589" s="41" t="str">
        <f>IF(Table46[[#This Row],[Month-Year]]="","",TEXT(Table46[[#This Row],[Month-Year]],"MMM-YY"))</f>
        <v/>
      </c>
      <c r="J589" s="31"/>
      <c r="K589" s="39">
        <f t="shared" si="125"/>
        <v>0</v>
      </c>
    </row>
    <row r="590" spans="3:11" ht="15.2">
      <c r="C590" s="29"/>
      <c r="D590" s="30"/>
      <c r="E590" s="31"/>
      <c r="F590" s="31"/>
      <c r="G590" s="31"/>
      <c r="H590" s="43"/>
      <c r="I590" s="41" t="str">
        <f>IF(Table46[[#This Row],[Month-Year]]="","",TEXT(Table46[[#This Row],[Month-Year]],"MMM-YY"))</f>
        <v/>
      </c>
      <c r="J590" s="31"/>
      <c r="K590" s="39">
        <f t="shared" si="125"/>
        <v>0</v>
      </c>
    </row>
    <row r="591" spans="3:11" ht="15.2">
      <c r="C591" s="29"/>
      <c r="D591" s="30"/>
      <c r="E591" s="31"/>
      <c r="F591" s="31"/>
      <c r="G591" s="31"/>
      <c r="H591" s="43"/>
      <c r="I591" s="41" t="str">
        <f>IF(Table46[[#This Row],[Month-Year]]="","",TEXT(Table46[[#This Row],[Month-Year]],"MMM-YY"))</f>
        <v/>
      </c>
      <c r="J591" s="31"/>
      <c r="K591" s="39">
        <f t="shared" ref="K591:K593" si="126">(F591*G591)*E591/100</f>
        <v>0</v>
      </c>
    </row>
    <row r="592" spans="3:11" ht="15.2">
      <c r="C592" s="29"/>
      <c r="D592" s="30"/>
      <c r="E592" s="31"/>
      <c r="F592" s="31"/>
      <c r="G592" s="31"/>
      <c r="H592" s="43"/>
      <c r="I592" s="41" t="str">
        <f>IF(Table46[[#This Row],[Month-Year]]="","",TEXT(Table46[[#This Row],[Month-Year]],"MMM-YY"))</f>
        <v/>
      </c>
      <c r="J592" s="31"/>
      <c r="K592" s="39">
        <f t="shared" si="126"/>
        <v>0</v>
      </c>
    </row>
    <row r="593" spans="3:11" ht="15.2">
      <c r="C593" s="29"/>
      <c r="D593" s="30"/>
      <c r="E593" s="31"/>
      <c r="F593" s="31"/>
      <c r="G593" s="31"/>
      <c r="H593" s="43"/>
      <c r="I593" s="41" t="str">
        <f>IF(Table46[[#This Row],[Month-Year]]="","",TEXT(Table46[[#This Row],[Month-Year]],"MMM-YY"))</f>
        <v/>
      </c>
      <c r="J593" s="31"/>
      <c r="K593" s="39">
        <f t="shared" si="126"/>
        <v>0</v>
      </c>
    </row>
    <row r="594" spans="3:11" ht="15.2">
      <c r="C594" s="29"/>
      <c r="D594" s="30"/>
      <c r="E594" s="31"/>
      <c r="F594" s="31"/>
      <c r="G594" s="31"/>
      <c r="H594" s="43"/>
      <c r="I594" s="41" t="str">
        <f>IF(Table46[[#This Row],[Month-Year]]="","",TEXT(Table46[[#This Row],[Month-Year]],"MMM-YY"))</f>
        <v/>
      </c>
      <c r="J594" s="31"/>
      <c r="K594" s="39">
        <f t="shared" ref="K594:K596" si="127">(F594*G594)*E594/100</f>
        <v>0</v>
      </c>
    </row>
    <row r="595" spans="3:11" ht="15.2">
      <c r="C595" s="29"/>
      <c r="D595" s="30"/>
      <c r="E595" s="31"/>
      <c r="F595" s="31"/>
      <c r="G595" s="31"/>
      <c r="H595" s="43"/>
      <c r="I595" s="41" t="str">
        <f>IF(Table46[[#This Row],[Month-Year]]="","",TEXT(Table46[[#This Row],[Month-Year]],"MMM-YY"))</f>
        <v/>
      </c>
      <c r="J595" s="31"/>
      <c r="K595" s="39">
        <f t="shared" si="127"/>
        <v>0</v>
      </c>
    </row>
    <row r="596" spans="3:11" ht="15.2">
      <c r="C596" s="29"/>
      <c r="D596" s="30"/>
      <c r="E596" s="31"/>
      <c r="F596" s="31"/>
      <c r="G596" s="31"/>
      <c r="H596" s="43"/>
      <c r="I596" s="41" t="str">
        <f>IF(Table46[[#This Row],[Month-Year]]="","",TEXT(Table46[[#This Row],[Month-Year]],"MMM-YY"))</f>
        <v/>
      </c>
      <c r="J596" s="31"/>
      <c r="K596" s="39">
        <f t="shared" si="127"/>
        <v>0</v>
      </c>
    </row>
    <row r="597" spans="3:11" ht="15.2">
      <c r="C597" s="29"/>
      <c r="D597" s="30"/>
      <c r="E597" s="31"/>
      <c r="F597" s="31"/>
      <c r="G597" s="31"/>
      <c r="H597" s="43"/>
      <c r="I597" s="41" t="str">
        <f>IF(Table46[[#This Row],[Month-Year]]="","",TEXT(Table46[[#This Row],[Month-Year]],"MMM-YY"))</f>
        <v/>
      </c>
      <c r="J597" s="31"/>
      <c r="K597" s="39">
        <f t="shared" ref="K597:K599" si="128">(F597*G597)*E597/100</f>
        <v>0</v>
      </c>
    </row>
    <row r="598" spans="3:11" ht="15.2">
      <c r="C598" s="29"/>
      <c r="D598" s="30"/>
      <c r="E598" s="31"/>
      <c r="F598" s="31"/>
      <c r="G598" s="31"/>
      <c r="H598" s="43"/>
      <c r="I598" s="41" t="str">
        <f>IF(Table46[[#This Row],[Month-Year]]="","",TEXT(Table46[[#This Row],[Month-Year]],"MMM-YY"))</f>
        <v/>
      </c>
      <c r="J598" s="31"/>
      <c r="K598" s="39">
        <f t="shared" si="128"/>
        <v>0</v>
      </c>
    </row>
    <row r="599" spans="3:11" ht="15.2">
      <c r="C599" s="29"/>
      <c r="D599" s="30"/>
      <c r="E599" s="31"/>
      <c r="F599" s="31"/>
      <c r="G599" s="31"/>
      <c r="H599" s="43"/>
      <c r="I599" s="41" t="str">
        <f>IF(Table46[[#This Row],[Month-Year]]="","",TEXT(Table46[[#This Row],[Month-Year]],"MMM-YY"))</f>
        <v/>
      </c>
      <c r="J599" s="31"/>
      <c r="K599" s="39">
        <f t="shared" si="128"/>
        <v>0</v>
      </c>
    </row>
    <row r="600" spans="3:11" ht="15.2">
      <c r="C600" s="29"/>
      <c r="D600" s="30"/>
      <c r="E600" s="31"/>
      <c r="F600" s="31"/>
      <c r="G600" s="31"/>
      <c r="H600" s="43"/>
      <c r="I600" s="41" t="str">
        <f>IF(Table46[[#This Row],[Month-Year]]="","",TEXT(Table46[[#This Row],[Month-Year]],"MMM-YY"))</f>
        <v/>
      </c>
      <c r="J600" s="31"/>
      <c r="K600" s="39">
        <f t="shared" ref="K600:K602" si="129">(F600*G600)*E600/100</f>
        <v>0</v>
      </c>
    </row>
    <row r="601" spans="3:11" ht="15.2">
      <c r="C601" s="29"/>
      <c r="D601" s="30"/>
      <c r="E601" s="31"/>
      <c r="F601" s="31"/>
      <c r="G601" s="31"/>
      <c r="H601" s="43"/>
      <c r="I601" s="41" t="str">
        <f>IF(Table46[[#This Row],[Month-Year]]="","",TEXT(Table46[[#This Row],[Month-Year]],"MMM-YY"))</f>
        <v/>
      </c>
      <c r="J601" s="31"/>
      <c r="K601" s="39">
        <f t="shared" si="129"/>
        <v>0</v>
      </c>
    </row>
    <row r="602" spans="3:11" ht="15.2">
      <c r="C602" s="29"/>
      <c r="D602" s="30"/>
      <c r="E602" s="31"/>
      <c r="F602" s="31"/>
      <c r="G602" s="31"/>
      <c r="H602" s="43"/>
      <c r="I602" s="41" t="str">
        <f>IF(Table46[[#This Row],[Month-Year]]="","",TEXT(Table46[[#This Row],[Month-Year]],"MMM-YY"))</f>
        <v/>
      </c>
      <c r="J602" s="31"/>
      <c r="K602" s="39">
        <f t="shared" si="129"/>
        <v>0</v>
      </c>
    </row>
    <row r="603" spans="3:11" ht="15.2">
      <c r="C603" s="29"/>
      <c r="D603" s="30"/>
      <c r="E603" s="31"/>
      <c r="F603" s="31"/>
      <c r="G603" s="31"/>
      <c r="H603" s="43"/>
      <c r="I603" s="41" t="str">
        <f>IF(Table46[[#This Row],[Month-Year]]="","",TEXT(Table46[[#This Row],[Month-Year]],"MMM-YY"))</f>
        <v/>
      </c>
      <c r="J603" s="31"/>
      <c r="K603" s="39">
        <f t="shared" ref="K603:K605" si="130">(F603*G603)*E603/100</f>
        <v>0</v>
      </c>
    </row>
    <row r="604" spans="3:11" ht="15.2">
      <c r="C604" s="29"/>
      <c r="D604" s="30"/>
      <c r="E604" s="31"/>
      <c r="F604" s="31"/>
      <c r="G604" s="31"/>
      <c r="H604" s="43"/>
      <c r="I604" s="41" t="str">
        <f>IF(Table46[[#This Row],[Month-Year]]="","",TEXT(Table46[[#This Row],[Month-Year]],"MMM-YY"))</f>
        <v/>
      </c>
      <c r="J604" s="31"/>
      <c r="K604" s="39">
        <f t="shared" si="130"/>
        <v>0</v>
      </c>
    </row>
    <row r="605" spans="3:11" ht="15.2">
      <c r="C605" s="29"/>
      <c r="D605" s="30"/>
      <c r="E605" s="31"/>
      <c r="F605" s="31"/>
      <c r="G605" s="31"/>
      <c r="H605" s="43"/>
      <c r="I605" s="41" t="str">
        <f>IF(Table46[[#This Row],[Month-Year]]="","",TEXT(Table46[[#This Row],[Month-Year]],"MMM-YY"))</f>
        <v/>
      </c>
      <c r="J605" s="31"/>
      <c r="K605" s="39">
        <f t="shared" si="130"/>
        <v>0</v>
      </c>
    </row>
    <row r="606" spans="3:11" ht="15.2">
      <c r="C606" s="29"/>
      <c r="D606" s="30"/>
      <c r="E606" s="31"/>
      <c r="F606" s="31"/>
      <c r="G606" s="31"/>
      <c r="H606" s="43"/>
      <c r="I606" s="41" t="str">
        <f>IF(Table46[[#This Row],[Month-Year]]="","",TEXT(Table46[[#This Row],[Month-Year]],"MMM-YY"))</f>
        <v/>
      </c>
      <c r="J606" s="31"/>
      <c r="K606" s="39">
        <f t="shared" ref="K606:K608" si="131">(F606*G606)*E606/100</f>
        <v>0</v>
      </c>
    </row>
    <row r="607" spans="3:11" ht="15.2">
      <c r="C607" s="29"/>
      <c r="D607" s="30"/>
      <c r="E607" s="31"/>
      <c r="F607" s="31"/>
      <c r="G607" s="31"/>
      <c r="H607" s="43"/>
      <c r="I607" s="41" t="str">
        <f>IF(Table46[[#This Row],[Month-Year]]="","",TEXT(Table46[[#This Row],[Month-Year]],"MMM-YY"))</f>
        <v/>
      </c>
      <c r="J607" s="31"/>
      <c r="K607" s="39">
        <f t="shared" si="131"/>
        <v>0</v>
      </c>
    </row>
    <row r="608" spans="3:11" ht="15.2">
      <c r="C608" s="29"/>
      <c r="D608" s="30"/>
      <c r="E608" s="31"/>
      <c r="F608" s="31"/>
      <c r="G608" s="31"/>
      <c r="H608" s="43"/>
      <c r="I608" s="41" t="str">
        <f>IF(Table46[[#This Row],[Month-Year]]="","",TEXT(Table46[[#This Row],[Month-Year]],"MMM-YY"))</f>
        <v/>
      </c>
      <c r="J608" s="31"/>
      <c r="K608" s="39">
        <f t="shared" si="131"/>
        <v>0</v>
      </c>
    </row>
    <row r="609" spans="3:11" ht="15.2">
      <c r="C609" s="29"/>
      <c r="D609" s="30"/>
      <c r="E609" s="31"/>
      <c r="F609" s="31"/>
      <c r="G609" s="31"/>
      <c r="H609" s="43"/>
      <c r="I609" s="41" t="str">
        <f>IF(Table46[[#This Row],[Month-Year]]="","",TEXT(Table46[[#This Row],[Month-Year]],"MMM-YY"))</f>
        <v/>
      </c>
      <c r="J609" s="31"/>
      <c r="K609" s="39">
        <f t="shared" ref="K609:K611" si="132">(F609*G609)*E609/100</f>
        <v>0</v>
      </c>
    </row>
    <row r="610" spans="3:11" ht="15.2">
      <c r="C610" s="29"/>
      <c r="D610" s="30"/>
      <c r="E610" s="31"/>
      <c r="F610" s="31"/>
      <c r="G610" s="31"/>
      <c r="H610" s="43"/>
      <c r="I610" s="41" t="str">
        <f>IF(Table46[[#This Row],[Month-Year]]="","",TEXT(Table46[[#This Row],[Month-Year]],"MMM-YY"))</f>
        <v/>
      </c>
      <c r="J610" s="31"/>
      <c r="K610" s="39">
        <f t="shared" si="132"/>
        <v>0</v>
      </c>
    </row>
    <row r="611" spans="3:11" ht="15.2">
      <c r="C611" s="29"/>
      <c r="D611" s="30"/>
      <c r="E611" s="31"/>
      <c r="F611" s="31"/>
      <c r="G611" s="31"/>
      <c r="H611" s="43"/>
      <c r="I611" s="41" t="str">
        <f>IF(Table46[[#This Row],[Month-Year]]="","",TEXT(Table46[[#This Row],[Month-Year]],"MMM-YY"))</f>
        <v/>
      </c>
      <c r="J611" s="31"/>
      <c r="K611" s="39">
        <f t="shared" si="132"/>
        <v>0</v>
      </c>
    </row>
    <row r="612" spans="3:11" ht="15.2">
      <c r="C612" s="29"/>
      <c r="D612" s="30"/>
      <c r="E612" s="31"/>
      <c r="F612" s="31"/>
      <c r="G612" s="31"/>
      <c r="H612" s="43"/>
      <c r="I612" s="41" t="str">
        <f>IF(Table46[[#This Row],[Month-Year]]="","",TEXT(Table46[[#This Row],[Month-Year]],"MMM-YY"))</f>
        <v/>
      </c>
      <c r="J612" s="31"/>
      <c r="K612" s="39">
        <f t="shared" ref="K612:K614" si="133">(F612*G612)*E612/100</f>
        <v>0</v>
      </c>
    </row>
    <row r="613" spans="3:11" ht="15.2">
      <c r="C613" s="29"/>
      <c r="D613" s="30"/>
      <c r="E613" s="31"/>
      <c r="F613" s="31"/>
      <c r="G613" s="31"/>
      <c r="H613" s="43"/>
      <c r="I613" s="41" t="str">
        <f>IF(Table46[[#This Row],[Month-Year]]="","",TEXT(Table46[[#This Row],[Month-Year]],"MMM-YY"))</f>
        <v/>
      </c>
      <c r="J613" s="31"/>
      <c r="K613" s="39">
        <f t="shared" si="133"/>
        <v>0</v>
      </c>
    </row>
    <row r="614" spans="3:11" ht="15.2">
      <c r="C614" s="29"/>
      <c r="D614" s="30"/>
      <c r="E614" s="31"/>
      <c r="F614" s="31"/>
      <c r="G614" s="31"/>
      <c r="H614" s="43"/>
      <c r="I614" s="41" t="str">
        <f>IF(Table46[[#This Row],[Month-Year]]="","",TEXT(Table46[[#This Row],[Month-Year]],"MMM-YY"))</f>
        <v/>
      </c>
      <c r="J614" s="31"/>
      <c r="K614" s="39">
        <f t="shared" si="133"/>
        <v>0</v>
      </c>
    </row>
    <row r="615" spans="3:11" ht="15.2">
      <c r="C615" s="29"/>
      <c r="D615" s="30"/>
      <c r="E615" s="31"/>
      <c r="F615" s="31"/>
      <c r="G615" s="31"/>
      <c r="H615" s="43"/>
      <c r="I615" s="41" t="str">
        <f>IF(Table46[[#This Row],[Month-Year]]="","",TEXT(Table46[[#This Row],[Month-Year]],"MMM-YY"))</f>
        <v/>
      </c>
      <c r="J615" s="31"/>
      <c r="K615" s="39">
        <f t="shared" ref="K615:K617" si="134">(F615*G615)*E615/100</f>
        <v>0</v>
      </c>
    </row>
    <row r="616" spans="3:11" ht="15.2">
      <c r="C616" s="29"/>
      <c r="D616" s="30"/>
      <c r="E616" s="31"/>
      <c r="F616" s="31"/>
      <c r="G616" s="31"/>
      <c r="H616" s="43"/>
      <c r="I616" s="41" t="str">
        <f>IF(Table46[[#This Row],[Month-Year]]="","",TEXT(Table46[[#This Row],[Month-Year]],"MMM-YY"))</f>
        <v/>
      </c>
      <c r="J616" s="31"/>
      <c r="K616" s="39">
        <f t="shared" si="134"/>
        <v>0</v>
      </c>
    </row>
    <row r="617" spans="3:11" ht="15.2">
      <c r="C617" s="29"/>
      <c r="D617" s="30"/>
      <c r="E617" s="31"/>
      <c r="F617" s="31"/>
      <c r="G617" s="31"/>
      <c r="H617" s="43"/>
      <c r="I617" s="41" t="str">
        <f>IF(Table46[[#This Row],[Month-Year]]="","",TEXT(Table46[[#This Row],[Month-Year]],"MMM-YY"))</f>
        <v/>
      </c>
      <c r="J617" s="31"/>
      <c r="K617" s="39">
        <f t="shared" si="134"/>
        <v>0</v>
      </c>
    </row>
    <row r="618" spans="3:11" ht="15.2">
      <c r="C618" s="29"/>
      <c r="D618" s="30"/>
      <c r="E618" s="31"/>
      <c r="F618" s="31"/>
      <c r="G618" s="31"/>
      <c r="H618" s="43"/>
      <c r="I618" s="41" t="str">
        <f>IF(Table46[[#This Row],[Month-Year]]="","",TEXT(Table46[[#This Row],[Month-Year]],"MMM-YY"))</f>
        <v/>
      </c>
      <c r="J618" s="31"/>
      <c r="K618" s="39">
        <f t="shared" ref="K618:K620" si="135">(F618*G618)*E618/100</f>
        <v>0</v>
      </c>
    </row>
    <row r="619" spans="3:11" ht="15.2">
      <c r="C619" s="29"/>
      <c r="D619" s="30"/>
      <c r="E619" s="31"/>
      <c r="F619" s="31"/>
      <c r="G619" s="31"/>
      <c r="H619" s="43"/>
      <c r="I619" s="41" t="str">
        <f>IF(Table46[[#This Row],[Month-Year]]="","",TEXT(Table46[[#This Row],[Month-Year]],"MMM-YY"))</f>
        <v/>
      </c>
      <c r="J619" s="31"/>
      <c r="K619" s="39">
        <f t="shared" si="135"/>
        <v>0</v>
      </c>
    </row>
    <row r="620" spans="3:11" ht="15.2">
      <c r="C620" s="29"/>
      <c r="D620" s="30"/>
      <c r="E620" s="31"/>
      <c r="F620" s="31"/>
      <c r="G620" s="31"/>
      <c r="H620" s="43"/>
      <c r="I620" s="41" t="str">
        <f>IF(Table46[[#This Row],[Month-Year]]="","",TEXT(Table46[[#This Row],[Month-Year]],"MMM-YY"))</f>
        <v/>
      </c>
      <c r="J620" s="31"/>
      <c r="K620" s="39">
        <f t="shared" si="135"/>
        <v>0</v>
      </c>
    </row>
    <row r="621" spans="3:11" ht="15.2">
      <c r="C621" s="29"/>
      <c r="D621" s="30"/>
      <c r="E621" s="31"/>
      <c r="F621" s="31"/>
      <c r="G621" s="31"/>
      <c r="H621" s="43"/>
      <c r="I621" s="41" t="str">
        <f>IF(Table46[[#This Row],[Month-Year]]="","",TEXT(Table46[[#This Row],[Month-Year]],"MMM-YY"))</f>
        <v/>
      </c>
      <c r="J621" s="31"/>
      <c r="K621" s="39">
        <f t="shared" ref="K621:K623" si="136">(F621*G621)*E621/100</f>
        <v>0</v>
      </c>
    </row>
    <row r="622" spans="3:11" ht="15.2">
      <c r="C622" s="29"/>
      <c r="D622" s="30"/>
      <c r="E622" s="31"/>
      <c r="F622" s="31"/>
      <c r="G622" s="31"/>
      <c r="H622" s="43"/>
      <c r="I622" s="41" t="str">
        <f>IF(Table46[[#This Row],[Month-Year]]="","",TEXT(Table46[[#This Row],[Month-Year]],"MMM-YY"))</f>
        <v/>
      </c>
      <c r="J622" s="31"/>
      <c r="K622" s="39">
        <f t="shared" si="136"/>
        <v>0</v>
      </c>
    </row>
    <row r="623" spans="3:11" ht="15.2">
      <c r="C623" s="29"/>
      <c r="D623" s="30"/>
      <c r="E623" s="31"/>
      <c r="F623" s="31"/>
      <c r="G623" s="31"/>
      <c r="H623" s="43"/>
      <c r="I623" s="41" t="str">
        <f>IF(Table46[[#This Row],[Month-Year]]="","",TEXT(Table46[[#This Row],[Month-Year]],"MMM-YY"))</f>
        <v/>
      </c>
      <c r="J623" s="31"/>
      <c r="K623" s="39">
        <f t="shared" si="136"/>
        <v>0</v>
      </c>
    </row>
    <row r="624" spans="3:11" ht="15.2">
      <c r="C624" s="29"/>
      <c r="D624" s="30"/>
      <c r="E624" s="31"/>
      <c r="F624" s="31"/>
      <c r="G624" s="31"/>
      <c r="H624" s="43"/>
      <c r="I624" s="41" t="str">
        <f>IF(Table46[[#This Row],[Month-Year]]="","",TEXT(Table46[[#This Row],[Month-Year]],"MMM-YY"))</f>
        <v/>
      </c>
      <c r="J624" s="31"/>
      <c r="K624" s="39">
        <f t="shared" ref="K624:K626" si="137">(F624*G624)*E624/100</f>
        <v>0</v>
      </c>
    </row>
    <row r="625" spans="3:11" ht="15.2">
      <c r="C625" s="29"/>
      <c r="D625" s="30"/>
      <c r="E625" s="31"/>
      <c r="F625" s="31"/>
      <c r="G625" s="31"/>
      <c r="H625" s="43"/>
      <c r="I625" s="41" t="str">
        <f>IF(Table46[[#This Row],[Month-Year]]="","",TEXT(Table46[[#This Row],[Month-Year]],"MMM-YY"))</f>
        <v/>
      </c>
      <c r="J625" s="31"/>
      <c r="K625" s="39">
        <f t="shared" si="137"/>
        <v>0</v>
      </c>
    </row>
    <row r="626" spans="3:11" ht="15.2">
      <c r="C626" s="29"/>
      <c r="D626" s="30"/>
      <c r="E626" s="31"/>
      <c r="F626" s="31"/>
      <c r="G626" s="31"/>
      <c r="H626" s="43"/>
      <c r="I626" s="41" t="str">
        <f>IF(Table46[[#This Row],[Month-Year]]="","",TEXT(Table46[[#This Row],[Month-Year]],"MMM-YY"))</f>
        <v/>
      </c>
      <c r="J626" s="31"/>
      <c r="K626" s="39">
        <f t="shared" si="137"/>
        <v>0</v>
      </c>
    </row>
    <row r="627" spans="3:11" ht="15.2">
      <c r="C627" s="29"/>
      <c r="D627" s="30"/>
      <c r="E627" s="31"/>
      <c r="F627" s="31"/>
      <c r="G627" s="31"/>
      <c r="H627" s="43"/>
      <c r="I627" s="41" t="str">
        <f>IF(Table46[[#This Row],[Month-Year]]="","",TEXT(Table46[[#This Row],[Month-Year]],"MMM-YY"))</f>
        <v/>
      </c>
      <c r="J627" s="31"/>
      <c r="K627" s="39">
        <f t="shared" ref="K627:K629" si="138">(F627*G627)*E627/100</f>
        <v>0</v>
      </c>
    </row>
    <row r="628" spans="3:11" ht="15.2">
      <c r="C628" s="29"/>
      <c r="D628" s="30"/>
      <c r="E628" s="31"/>
      <c r="F628" s="31"/>
      <c r="G628" s="31"/>
      <c r="H628" s="43"/>
      <c r="I628" s="41" t="str">
        <f>IF(Table46[[#This Row],[Month-Year]]="","",TEXT(Table46[[#This Row],[Month-Year]],"MMM-YY"))</f>
        <v/>
      </c>
      <c r="J628" s="31"/>
      <c r="K628" s="39">
        <f t="shared" si="138"/>
        <v>0</v>
      </c>
    </row>
    <row r="629" spans="3:11" ht="15.2">
      <c r="C629" s="29"/>
      <c r="D629" s="30"/>
      <c r="E629" s="31"/>
      <c r="F629" s="31"/>
      <c r="G629" s="31"/>
      <c r="H629" s="43"/>
      <c r="I629" s="41" t="str">
        <f>IF(Table46[[#This Row],[Month-Year]]="","",TEXT(Table46[[#This Row],[Month-Year]],"MMM-YY"))</f>
        <v/>
      </c>
      <c r="J629" s="31"/>
      <c r="K629" s="39">
        <f t="shared" si="138"/>
        <v>0</v>
      </c>
    </row>
    <row r="630" spans="3:11" ht="15.2">
      <c r="C630" s="29"/>
      <c r="D630" s="30"/>
      <c r="E630" s="31"/>
      <c r="F630" s="31"/>
      <c r="G630" s="31"/>
      <c r="H630" s="43"/>
      <c r="I630" s="41" t="str">
        <f>IF(Table46[[#This Row],[Month-Year]]="","",TEXT(Table46[[#This Row],[Month-Year]],"MMM-YY"))</f>
        <v/>
      </c>
      <c r="J630" s="31"/>
      <c r="K630" s="39">
        <f t="shared" ref="K630:K632" si="139">(F630*G630)*E630/100</f>
        <v>0</v>
      </c>
    </row>
    <row r="631" spans="3:11" ht="15.2">
      <c r="C631" s="29"/>
      <c r="D631" s="30"/>
      <c r="E631" s="31"/>
      <c r="F631" s="31"/>
      <c r="G631" s="31"/>
      <c r="H631" s="43"/>
      <c r="I631" s="41" t="str">
        <f>IF(Table46[[#This Row],[Month-Year]]="","",TEXT(Table46[[#This Row],[Month-Year]],"MMM-YY"))</f>
        <v/>
      </c>
      <c r="J631" s="31"/>
      <c r="K631" s="39">
        <f t="shared" si="139"/>
        <v>0</v>
      </c>
    </row>
    <row r="632" spans="3:11" ht="15.2">
      <c r="C632" s="29"/>
      <c r="D632" s="30"/>
      <c r="E632" s="31"/>
      <c r="F632" s="31"/>
      <c r="G632" s="31"/>
      <c r="H632" s="43"/>
      <c r="I632" s="41" t="str">
        <f>IF(Table46[[#This Row],[Month-Year]]="","",TEXT(Table46[[#This Row],[Month-Year]],"MMM-YY"))</f>
        <v/>
      </c>
      <c r="J632" s="31"/>
      <c r="K632" s="39">
        <f t="shared" si="139"/>
        <v>0</v>
      </c>
    </row>
    <row r="633" spans="3:11" ht="15.2">
      <c r="C633" s="29"/>
      <c r="D633" s="30"/>
      <c r="E633" s="31"/>
      <c r="F633" s="31"/>
      <c r="G633" s="31"/>
      <c r="H633" s="43"/>
      <c r="I633" s="41" t="str">
        <f>IF(Table46[[#This Row],[Month-Year]]="","",TEXT(Table46[[#This Row],[Month-Year]],"MMM-YY"))</f>
        <v/>
      </c>
      <c r="J633" s="31"/>
      <c r="K633" s="39">
        <f t="shared" ref="K633:K635" si="140">(F633*G633)*E633/100</f>
        <v>0</v>
      </c>
    </row>
    <row r="634" spans="3:11" ht="15.2">
      <c r="C634" s="29"/>
      <c r="D634" s="30"/>
      <c r="E634" s="31"/>
      <c r="F634" s="31"/>
      <c r="G634" s="31"/>
      <c r="H634" s="43"/>
      <c r="I634" s="41" t="str">
        <f>IF(Table46[[#This Row],[Month-Year]]="","",TEXT(Table46[[#This Row],[Month-Year]],"MMM-YY"))</f>
        <v/>
      </c>
      <c r="J634" s="31"/>
      <c r="K634" s="39">
        <f t="shared" si="140"/>
        <v>0</v>
      </c>
    </row>
    <row r="635" spans="3:11" ht="15.2">
      <c r="C635" s="29"/>
      <c r="D635" s="30"/>
      <c r="E635" s="31"/>
      <c r="F635" s="31"/>
      <c r="G635" s="31"/>
      <c r="H635" s="43"/>
      <c r="I635" s="41" t="str">
        <f>IF(Table46[[#This Row],[Month-Year]]="","",TEXT(Table46[[#This Row],[Month-Year]],"MMM-YY"))</f>
        <v/>
      </c>
      <c r="J635" s="31"/>
      <c r="K635" s="39">
        <f t="shared" si="140"/>
        <v>0</v>
      </c>
    </row>
    <row r="636" spans="3:11" ht="15.2">
      <c r="C636" s="29"/>
      <c r="D636" s="30"/>
      <c r="E636" s="31"/>
      <c r="F636" s="31"/>
      <c r="G636" s="31"/>
      <c r="H636" s="43"/>
      <c r="I636" s="41" t="str">
        <f>IF(Table46[[#This Row],[Month-Year]]="","",TEXT(Table46[[#This Row],[Month-Year]],"MMM-YY"))</f>
        <v/>
      </c>
      <c r="J636" s="31"/>
      <c r="K636" s="39">
        <f t="shared" ref="K636:K638" si="141">(F636*G636)*E636/100</f>
        <v>0</v>
      </c>
    </row>
    <row r="637" spans="3:11" ht="15.2">
      <c r="C637" s="29"/>
      <c r="D637" s="30"/>
      <c r="E637" s="31"/>
      <c r="F637" s="31"/>
      <c r="G637" s="31"/>
      <c r="H637" s="43"/>
      <c r="I637" s="41" t="str">
        <f>IF(Table46[[#This Row],[Month-Year]]="","",TEXT(Table46[[#This Row],[Month-Year]],"MMM-YY"))</f>
        <v/>
      </c>
      <c r="J637" s="31"/>
      <c r="K637" s="39">
        <f t="shared" si="141"/>
        <v>0</v>
      </c>
    </row>
    <row r="638" spans="3:11" ht="15.2">
      <c r="C638" s="29"/>
      <c r="D638" s="30"/>
      <c r="E638" s="31"/>
      <c r="F638" s="31"/>
      <c r="G638" s="31"/>
      <c r="H638" s="43"/>
      <c r="I638" s="41" t="str">
        <f>IF(Table46[[#This Row],[Month-Year]]="","",TEXT(Table46[[#This Row],[Month-Year]],"MMM-YY"))</f>
        <v/>
      </c>
      <c r="J638" s="31"/>
      <c r="K638" s="39">
        <f t="shared" si="141"/>
        <v>0</v>
      </c>
    </row>
    <row r="639" spans="3:11" ht="15.2">
      <c r="C639" s="29"/>
      <c r="D639" s="30"/>
      <c r="E639" s="31"/>
      <c r="F639" s="31"/>
      <c r="G639" s="31"/>
      <c r="H639" s="43"/>
      <c r="I639" s="41" t="str">
        <f>IF(Table46[[#This Row],[Month-Year]]="","",TEXT(Table46[[#This Row],[Month-Year]],"MMM-YY"))</f>
        <v/>
      </c>
      <c r="J639" s="31"/>
      <c r="K639" s="39">
        <f t="shared" ref="K639:K641" si="142">(F639*G639)*E639/100</f>
        <v>0</v>
      </c>
    </row>
    <row r="640" spans="3:11" ht="15.2">
      <c r="C640" s="29"/>
      <c r="D640" s="30"/>
      <c r="E640" s="31"/>
      <c r="F640" s="31"/>
      <c r="G640" s="31"/>
      <c r="H640" s="43"/>
      <c r="I640" s="41" t="str">
        <f>IF(Table46[[#This Row],[Month-Year]]="","",TEXT(Table46[[#This Row],[Month-Year]],"MMM-YY"))</f>
        <v/>
      </c>
      <c r="J640" s="31"/>
      <c r="K640" s="39">
        <f t="shared" si="142"/>
        <v>0</v>
      </c>
    </row>
    <row r="641" spans="3:11" ht="15.2">
      <c r="C641" s="29"/>
      <c r="D641" s="30"/>
      <c r="E641" s="31"/>
      <c r="F641" s="31"/>
      <c r="G641" s="31"/>
      <c r="H641" s="43"/>
      <c r="I641" s="41" t="str">
        <f>IF(Table46[[#This Row],[Month-Year]]="","",TEXT(Table46[[#This Row],[Month-Year]],"MMM-YY"))</f>
        <v/>
      </c>
      <c r="J641" s="31"/>
      <c r="K641" s="39">
        <f t="shared" si="142"/>
        <v>0</v>
      </c>
    </row>
    <row r="642" spans="3:11" ht="15.2">
      <c r="C642" s="29"/>
      <c r="D642" s="30"/>
      <c r="E642" s="31"/>
      <c r="F642" s="31"/>
      <c r="G642" s="31"/>
      <c r="H642" s="43"/>
      <c r="I642" s="41" t="str">
        <f>IF(Table46[[#This Row],[Month-Year]]="","",TEXT(Table46[[#This Row],[Month-Year]],"MMM-YY"))</f>
        <v/>
      </c>
      <c r="J642" s="31"/>
      <c r="K642" s="39">
        <f t="shared" ref="K642:K644" si="143">(F642*G642)*E642/100</f>
        <v>0</v>
      </c>
    </row>
    <row r="643" spans="3:11" ht="15.2">
      <c r="C643" s="29"/>
      <c r="D643" s="30"/>
      <c r="E643" s="31"/>
      <c r="F643" s="31"/>
      <c r="G643" s="31"/>
      <c r="H643" s="43"/>
      <c r="I643" s="41" t="str">
        <f>IF(Table46[[#This Row],[Month-Year]]="","",TEXT(Table46[[#This Row],[Month-Year]],"MMM-YY"))</f>
        <v/>
      </c>
      <c r="J643" s="31"/>
      <c r="K643" s="39">
        <f t="shared" si="143"/>
        <v>0</v>
      </c>
    </row>
    <row r="644" spans="3:11" ht="15.2">
      <c r="C644" s="29"/>
      <c r="D644" s="30"/>
      <c r="E644" s="31"/>
      <c r="F644" s="31"/>
      <c r="G644" s="31"/>
      <c r="H644" s="43"/>
      <c r="I644" s="41" t="str">
        <f>IF(Table46[[#This Row],[Month-Year]]="","",TEXT(Table46[[#This Row],[Month-Year]],"MMM-YY"))</f>
        <v/>
      </c>
      <c r="J644" s="31"/>
      <c r="K644" s="39">
        <f t="shared" si="143"/>
        <v>0</v>
      </c>
    </row>
    <row r="645" spans="3:11" ht="15.2">
      <c r="C645" s="29"/>
      <c r="D645" s="30"/>
      <c r="E645" s="31"/>
      <c r="F645" s="31"/>
      <c r="G645" s="31"/>
      <c r="H645" s="43"/>
      <c r="I645" s="41" t="str">
        <f>IF(Table46[[#This Row],[Month-Year]]="","",TEXT(Table46[[#This Row],[Month-Year]],"MMM-YY"))</f>
        <v/>
      </c>
      <c r="J645" s="31"/>
      <c r="K645" s="39">
        <f t="shared" ref="K645:K647" si="144">(F645*G645)*E645/100</f>
        <v>0</v>
      </c>
    </row>
    <row r="646" spans="3:11" ht="15.2">
      <c r="C646" s="29"/>
      <c r="D646" s="30"/>
      <c r="E646" s="31"/>
      <c r="F646" s="31"/>
      <c r="G646" s="31"/>
      <c r="H646" s="43"/>
      <c r="I646" s="41" t="str">
        <f>IF(Table46[[#This Row],[Month-Year]]="","",TEXT(Table46[[#This Row],[Month-Year]],"MMM-YY"))</f>
        <v/>
      </c>
      <c r="J646" s="31"/>
      <c r="K646" s="39">
        <f t="shared" si="144"/>
        <v>0</v>
      </c>
    </row>
    <row r="647" spans="3:11" ht="15.2">
      <c r="C647" s="29"/>
      <c r="D647" s="30"/>
      <c r="E647" s="31"/>
      <c r="F647" s="31"/>
      <c r="G647" s="31"/>
      <c r="H647" s="43"/>
      <c r="I647" s="41" t="str">
        <f>IF(Table46[[#This Row],[Month-Year]]="","",TEXT(Table46[[#This Row],[Month-Year]],"MMM-YY"))</f>
        <v/>
      </c>
      <c r="J647" s="31"/>
      <c r="K647" s="39">
        <f t="shared" si="144"/>
        <v>0</v>
      </c>
    </row>
    <row r="648" spans="3:11" ht="15.2">
      <c r="C648" s="29"/>
      <c r="D648" s="30"/>
      <c r="E648" s="31"/>
      <c r="F648" s="31"/>
      <c r="G648" s="31"/>
      <c r="H648" s="43"/>
      <c r="I648" s="41" t="str">
        <f>IF(Table46[[#This Row],[Month-Year]]="","",TEXT(Table46[[#This Row],[Month-Year]],"MMM-YY"))</f>
        <v/>
      </c>
      <c r="J648" s="31"/>
      <c r="K648" s="39">
        <f t="shared" ref="K648:K650" si="145">(F648*G648)*E648/100</f>
        <v>0</v>
      </c>
    </row>
    <row r="649" spans="3:11" ht="15.2">
      <c r="C649" s="29"/>
      <c r="D649" s="30"/>
      <c r="E649" s="31"/>
      <c r="F649" s="31"/>
      <c r="G649" s="31"/>
      <c r="H649" s="43"/>
      <c r="I649" s="41" t="str">
        <f>IF(Table46[[#This Row],[Month-Year]]="","",TEXT(Table46[[#This Row],[Month-Year]],"MMM-YY"))</f>
        <v/>
      </c>
      <c r="J649" s="31"/>
      <c r="K649" s="39">
        <f t="shared" si="145"/>
        <v>0</v>
      </c>
    </row>
    <row r="650" spans="3:11" ht="15.2">
      <c r="C650" s="29"/>
      <c r="D650" s="30"/>
      <c r="E650" s="31"/>
      <c r="F650" s="31"/>
      <c r="G650" s="31"/>
      <c r="H650" s="43"/>
      <c r="I650" s="41" t="str">
        <f>IF(Table46[[#This Row],[Month-Year]]="","",TEXT(Table46[[#This Row],[Month-Year]],"MMM-YY"))</f>
        <v/>
      </c>
      <c r="J650" s="31"/>
      <c r="K650" s="39">
        <f t="shared" si="145"/>
        <v>0</v>
      </c>
    </row>
    <row r="651" spans="3:11" ht="15.2">
      <c r="C651" s="29"/>
      <c r="D651" s="30"/>
      <c r="E651" s="31"/>
      <c r="F651" s="31"/>
      <c r="G651" s="31"/>
      <c r="H651" s="43"/>
      <c r="I651" s="41" t="str">
        <f>IF(Table46[[#This Row],[Month-Year]]="","",TEXT(Table46[[#This Row],[Month-Year]],"MMM-YY"))</f>
        <v/>
      </c>
      <c r="J651" s="31"/>
      <c r="K651" s="39">
        <f t="shared" ref="K651:K653" si="146">(F651*G651)*E651/100</f>
        <v>0</v>
      </c>
    </row>
    <row r="652" spans="3:11" ht="15.2">
      <c r="C652" s="29"/>
      <c r="D652" s="30"/>
      <c r="E652" s="31"/>
      <c r="F652" s="31"/>
      <c r="G652" s="31"/>
      <c r="H652" s="43"/>
      <c r="I652" s="41" t="str">
        <f>IF(Table46[[#This Row],[Month-Year]]="","",TEXT(Table46[[#This Row],[Month-Year]],"MMM-YY"))</f>
        <v/>
      </c>
      <c r="J652" s="31"/>
      <c r="K652" s="39">
        <f t="shared" si="146"/>
        <v>0</v>
      </c>
    </row>
    <row r="653" spans="3:11" ht="15.2">
      <c r="C653" s="29"/>
      <c r="D653" s="30"/>
      <c r="E653" s="31"/>
      <c r="F653" s="31"/>
      <c r="G653" s="31"/>
      <c r="H653" s="43"/>
      <c r="I653" s="41" t="str">
        <f>IF(Table46[[#This Row],[Month-Year]]="","",TEXT(Table46[[#This Row],[Month-Year]],"MMM-YY"))</f>
        <v/>
      </c>
      <c r="J653" s="31"/>
      <c r="K653" s="39">
        <f t="shared" si="146"/>
        <v>0</v>
      </c>
    </row>
    <row r="654" spans="3:11" ht="15.2">
      <c r="C654" s="29"/>
      <c r="D654" s="30"/>
      <c r="E654" s="31"/>
      <c r="F654" s="31"/>
      <c r="G654" s="31"/>
      <c r="H654" s="43"/>
      <c r="I654" s="41" t="str">
        <f>IF(Table46[[#This Row],[Month-Year]]="","",TEXT(Table46[[#This Row],[Month-Year]],"MMM-YY"))</f>
        <v/>
      </c>
      <c r="J654" s="31"/>
      <c r="K654" s="39">
        <f t="shared" ref="K654:K656" si="147">(F654*G654)*E654/100</f>
        <v>0</v>
      </c>
    </row>
    <row r="655" spans="3:11" ht="15.2">
      <c r="C655" s="29"/>
      <c r="D655" s="30"/>
      <c r="E655" s="31"/>
      <c r="F655" s="31"/>
      <c r="G655" s="31"/>
      <c r="H655" s="43"/>
      <c r="I655" s="41" t="str">
        <f>IF(Table46[[#This Row],[Month-Year]]="","",TEXT(Table46[[#This Row],[Month-Year]],"MMM-YY"))</f>
        <v/>
      </c>
      <c r="J655" s="31"/>
      <c r="K655" s="39">
        <f t="shared" si="147"/>
        <v>0</v>
      </c>
    </row>
    <row r="656" spans="3:11" ht="15.2">
      <c r="C656" s="29"/>
      <c r="D656" s="30"/>
      <c r="E656" s="31"/>
      <c r="F656" s="31"/>
      <c r="G656" s="31"/>
      <c r="H656" s="43"/>
      <c r="I656" s="41" t="str">
        <f>IF(Table46[[#This Row],[Month-Year]]="","",TEXT(Table46[[#This Row],[Month-Year]],"MMM-YY"))</f>
        <v/>
      </c>
      <c r="J656" s="31"/>
      <c r="K656" s="39">
        <f t="shared" si="147"/>
        <v>0</v>
      </c>
    </row>
    <row r="657" spans="3:11" ht="15.2">
      <c r="C657" s="29"/>
      <c r="D657" s="30"/>
      <c r="E657" s="31"/>
      <c r="F657" s="31"/>
      <c r="G657" s="31"/>
      <c r="H657" s="43"/>
      <c r="I657" s="41" t="str">
        <f>IF(Table46[[#This Row],[Month-Year]]="","",TEXT(Table46[[#This Row],[Month-Year]],"MMM-YY"))</f>
        <v/>
      </c>
      <c r="J657" s="31"/>
      <c r="K657" s="39">
        <f t="shared" ref="K657:K659" si="148">(F657*G657)*E657/100</f>
        <v>0</v>
      </c>
    </row>
    <row r="658" spans="3:11" ht="15.2">
      <c r="C658" s="29"/>
      <c r="D658" s="30"/>
      <c r="E658" s="31"/>
      <c r="F658" s="31"/>
      <c r="G658" s="31"/>
      <c r="H658" s="43"/>
      <c r="I658" s="41" t="str">
        <f>IF(Table46[[#This Row],[Month-Year]]="","",TEXT(Table46[[#This Row],[Month-Year]],"MMM-YY"))</f>
        <v/>
      </c>
      <c r="J658" s="31"/>
      <c r="K658" s="39">
        <f t="shared" si="148"/>
        <v>0</v>
      </c>
    </row>
    <row r="659" spans="3:11" ht="15.2">
      <c r="C659" s="29"/>
      <c r="D659" s="30"/>
      <c r="E659" s="31"/>
      <c r="F659" s="31"/>
      <c r="G659" s="31"/>
      <c r="H659" s="43"/>
      <c r="I659" s="41" t="str">
        <f>IF(Table46[[#This Row],[Month-Year]]="","",TEXT(Table46[[#This Row],[Month-Year]],"MMM-YY"))</f>
        <v/>
      </c>
      <c r="J659" s="31"/>
      <c r="K659" s="39">
        <f t="shared" si="148"/>
        <v>0</v>
      </c>
    </row>
    <row r="660" spans="3:11" ht="15.2">
      <c r="C660" s="29"/>
      <c r="D660" s="30"/>
      <c r="E660" s="31"/>
      <c r="F660" s="31"/>
      <c r="G660" s="31"/>
      <c r="H660" s="43"/>
      <c r="I660" s="41" t="str">
        <f>IF(Table46[[#This Row],[Month-Year]]="","",TEXT(Table46[[#This Row],[Month-Year]],"MMM-YY"))</f>
        <v/>
      </c>
      <c r="J660" s="31"/>
      <c r="K660" s="39">
        <f t="shared" ref="K660:K662" si="149">(F660*G660)*E660/100</f>
        <v>0</v>
      </c>
    </row>
    <row r="661" spans="3:11" ht="15.2">
      <c r="C661" s="29"/>
      <c r="D661" s="30"/>
      <c r="E661" s="31"/>
      <c r="F661" s="31"/>
      <c r="G661" s="31"/>
      <c r="H661" s="43"/>
      <c r="I661" s="41" t="str">
        <f>IF(Table46[[#This Row],[Month-Year]]="","",TEXT(Table46[[#This Row],[Month-Year]],"MMM-YY"))</f>
        <v/>
      </c>
      <c r="J661" s="31"/>
      <c r="K661" s="39">
        <f t="shared" si="149"/>
        <v>0</v>
      </c>
    </row>
    <row r="662" spans="3:11" ht="15.2">
      <c r="C662" s="29"/>
      <c r="D662" s="30"/>
      <c r="E662" s="31"/>
      <c r="F662" s="31"/>
      <c r="G662" s="31"/>
      <c r="H662" s="43"/>
      <c r="I662" s="41" t="str">
        <f>IF(Table46[[#This Row],[Month-Year]]="","",TEXT(Table46[[#This Row],[Month-Year]],"MMM-YY"))</f>
        <v/>
      </c>
      <c r="J662" s="31"/>
      <c r="K662" s="39">
        <f t="shared" si="149"/>
        <v>0</v>
      </c>
    </row>
    <row r="663" spans="3:11" ht="15.2">
      <c r="C663" s="29"/>
      <c r="D663" s="30"/>
      <c r="E663" s="31"/>
      <c r="F663" s="31"/>
      <c r="G663" s="31"/>
      <c r="H663" s="43"/>
      <c r="I663" s="41" t="str">
        <f>IF(Table46[[#This Row],[Month-Year]]="","",TEXT(Table46[[#This Row],[Month-Year]],"MMM-YY"))</f>
        <v/>
      </c>
      <c r="J663" s="31"/>
      <c r="K663" s="39">
        <f t="shared" ref="K663:K665" si="150">(F663*G663)*E663/100</f>
        <v>0</v>
      </c>
    </row>
    <row r="664" spans="3:11" ht="15.2">
      <c r="C664" s="29"/>
      <c r="D664" s="30"/>
      <c r="E664" s="31"/>
      <c r="F664" s="31"/>
      <c r="G664" s="31"/>
      <c r="H664" s="43"/>
      <c r="I664" s="41" t="str">
        <f>IF(Table46[[#This Row],[Month-Year]]="","",TEXT(Table46[[#This Row],[Month-Year]],"MMM-YY"))</f>
        <v/>
      </c>
      <c r="J664" s="31"/>
      <c r="K664" s="39">
        <f t="shared" si="150"/>
        <v>0</v>
      </c>
    </row>
    <row r="665" spans="3:11" ht="15.2">
      <c r="C665" s="29"/>
      <c r="D665" s="30"/>
      <c r="E665" s="31"/>
      <c r="F665" s="31"/>
      <c r="G665" s="31"/>
      <c r="H665" s="43"/>
      <c r="I665" s="41" t="str">
        <f>IF(Table46[[#This Row],[Month-Year]]="","",TEXT(Table46[[#This Row],[Month-Year]],"MMM-YY"))</f>
        <v/>
      </c>
      <c r="J665" s="31"/>
      <c r="K665" s="39">
        <f t="shared" si="150"/>
        <v>0</v>
      </c>
    </row>
    <row r="666" spans="3:11" ht="15.2">
      <c r="C666" s="29"/>
      <c r="D666" s="30"/>
      <c r="E666" s="31"/>
      <c r="F666" s="31"/>
      <c r="G666" s="31"/>
      <c r="H666" s="43"/>
      <c r="I666" s="41" t="str">
        <f>IF(Table46[[#This Row],[Month-Year]]="","",TEXT(Table46[[#This Row],[Month-Year]],"MMM-YY"))</f>
        <v/>
      </c>
      <c r="J666" s="31"/>
      <c r="K666" s="39">
        <f t="shared" ref="K666:K668" si="151">(F666*G666)*E666/100</f>
        <v>0</v>
      </c>
    </row>
    <row r="667" spans="3:11" ht="15.2">
      <c r="C667" s="29"/>
      <c r="D667" s="30"/>
      <c r="E667" s="31"/>
      <c r="F667" s="31"/>
      <c r="G667" s="31"/>
      <c r="H667" s="43"/>
      <c r="I667" s="41" t="str">
        <f>IF(Table46[[#This Row],[Month-Year]]="","",TEXT(Table46[[#This Row],[Month-Year]],"MMM-YY"))</f>
        <v/>
      </c>
      <c r="J667" s="31"/>
      <c r="K667" s="39">
        <f t="shared" si="151"/>
        <v>0</v>
      </c>
    </row>
    <row r="668" spans="3:11" ht="15.2">
      <c r="C668" s="29"/>
      <c r="D668" s="30"/>
      <c r="E668" s="31"/>
      <c r="F668" s="31"/>
      <c r="G668" s="31"/>
      <c r="H668" s="43"/>
      <c r="I668" s="41" t="str">
        <f>IF(Table46[[#This Row],[Month-Year]]="","",TEXT(Table46[[#This Row],[Month-Year]],"MMM-YY"))</f>
        <v/>
      </c>
      <c r="J668" s="31"/>
      <c r="K668" s="39">
        <f t="shared" si="151"/>
        <v>0</v>
      </c>
    </row>
    <row r="669" spans="3:11" ht="15.2">
      <c r="C669" s="29"/>
      <c r="D669" s="30"/>
      <c r="E669" s="31"/>
      <c r="F669" s="31"/>
      <c r="G669" s="31"/>
      <c r="H669" s="43"/>
      <c r="I669" s="41" t="str">
        <f>IF(Table46[[#This Row],[Month-Year]]="","",TEXT(Table46[[#This Row],[Month-Year]],"MMM-YY"))</f>
        <v/>
      </c>
      <c r="J669" s="31"/>
      <c r="K669" s="39">
        <f t="shared" ref="K669:K671" si="152">(F669*G669)*E669/100</f>
        <v>0</v>
      </c>
    </row>
    <row r="670" spans="3:11" ht="15.2">
      <c r="C670" s="29"/>
      <c r="D670" s="30"/>
      <c r="E670" s="31"/>
      <c r="F670" s="31"/>
      <c r="G670" s="31"/>
      <c r="H670" s="43"/>
      <c r="I670" s="41" t="str">
        <f>IF(Table46[[#This Row],[Month-Year]]="","",TEXT(Table46[[#This Row],[Month-Year]],"MMM-YY"))</f>
        <v/>
      </c>
      <c r="J670" s="31"/>
      <c r="K670" s="39">
        <f t="shared" si="152"/>
        <v>0</v>
      </c>
    </row>
    <row r="671" spans="3:11" ht="15.2">
      <c r="C671" s="29"/>
      <c r="D671" s="30"/>
      <c r="E671" s="31"/>
      <c r="F671" s="31"/>
      <c r="G671" s="31"/>
      <c r="H671" s="43"/>
      <c r="I671" s="41" t="str">
        <f>IF(Table46[[#This Row],[Month-Year]]="","",TEXT(Table46[[#This Row],[Month-Year]],"MMM-YY"))</f>
        <v/>
      </c>
      <c r="J671" s="31"/>
      <c r="K671" s="39">
        <f t="shared" si="152"/>
        <v>0</v>
      </c>
    </row>
    <row r="672" spans="3:11" ht="15.2">
      <c r="C672" s="29"/>
      <c r="D672" s="30"/>
      <c r="E672" s="31"/>
      <c r="F672" s="31"/>
      <c r="G672" s="31"/>
      <c r="H672" s="43"/>
      <c r="I672" s="41" t="str">
        <f>IF(Table46[[#This Row],[Month-Year]]="","",TEXT(Table46[[#This Row],[Month-Year]],"MMM-YY"))</f>
        <v/>
      </c>
      <c r="J672" s="31"/>
      <c r="K672" s="39">
        <f t="shared" ref="K672:K674" si="153">(F672*G672)*E672/100</f>
        <v>0</v>
      </c>
    </row>
    <row r="673" spans="3:11" ht="15.2">
      <c r="C673" s="29"/>
      <c r="D673" s="30"/>
      <c r="E673" s="31"/>
      <c r="F673" s="31"/>
      <c r="G673" s="31"/>
      <c r="H673" s="43"/>
      <c r="I673" s="41" t="str">
        <f>IF(Table46[[#This Row],[Month-Year]]="","",TEXT(Table46[[#This Row],[Month-Year]],"MMM-YY"))</f>
        <v/>
      </c>
      <c r="J673" s="31"/>
      <c r="K673" s="39">
        <f t="shared" si="153"/>
        <v>0</v>
      </c>
    </row>
    <row r="674" spans="3:11" ht="15.2">
      <c r="C674" s="29"/>
      <c r="D674" s="30"/>
      <c r="E674" s="31"/>
      <c r="F674" s="31"/>
      <c r="G674" s="31"/>
      <c r="H674" s="43"/>
      <c r="I674" s="41" t="str">
        <f>IF(Table46[[#This Row],[Month-Year]]="","",TEXT(Table46[[#This Row],[Month-Year]],"MMM-YY"))</f>
        <v/>
      </c>
      <c r="J674" s="31"/>
      <c r="K674" s="39">
        <f t="shared" si="153"/>
        <v>0</v>
      </c>
    </row>
    <row r="675" spans="3:11" ht="15.2">
      <c r="C675" s="29"/>
      <c r="D675" s="30"/>
      <c r="E675" s="31"/>
      <c r="F675" s="31"/>
      <c r="G675" s="31"/>
      <c r="H675" s="43"/>
      <c r="I675" s="41" t="str">
        <f>IF(Table46[[#This Row],[Month-Year]]="","",TEXT(Table46[[#This Row],[Month-Year]],"MMM-YY"))</f>
        <v/>
      </c>
      <c r="J675" s="31"/>
      <c r="K675" s="39">
        <f t="shared" ref="K675:K677" si="154">(F675*G675)*E675/100</f>
        <v>0</v>
      </c>
    </row>
    <row r="676" spans="3:11" ht="15.2">
      <c r="C676" s="29"/>
      <c r="D676" s="30"/>
      <c r="E676" s="31"/>
      <c r="F676" s="31"/>
      <c r="G676" s="31"/>
      <c r="H676" s="43"/>
      <c r="I676" s="41" t="str">
        <f>IF(Table46[[#This Row],[Month-Year]]="","",TEXT(Table46[[#This Row],[Month-Year]],"MMM-YY"))</f>
        <v/>
      </c>
      <c r="J676" s="31"/>
      <c r="K676" s="39">
        <f t="shared" si="154"/>
        <v>0</v>
      </c>
    </row>
    <row r="677" spans="3:11" ht="15.2">
      <c r="C677" s="29"/>
      <c r="D677" s="30"/>
      <c r="E677" s="31"/>
      <c r="F677" s="31"/>
      <c r="G677" s="31"/>
      <c r="H677" s="43"/>
      <c r="I677" s="41" t="str">
        <f>IF(Table46[[#This Row],[Month-Year]]="","",TEXT(Table46[[#This Row],[Month-Year]],"MMM-YY"))</f>
        <v/>
      </c>
      <c r="J677" s="31"/>
      <c r="K677" s="39">
        <f t="shared" si="154"/>
        <v>0</v>
      </c>
    </row>
    <row r="678" spans="3:11" ht="15.2">
      <c r="C678" s="29"/>
      <c r="D678" s="30"/>
      <c r="E678" s="31"/>
      <c r="F678" s="31"/>
      <c r="G678" s="31"/>
      <c r="H678" s="43"/>
      <c r="I678" s="41" t="str">
        <f>IF(Table46[[#This Row],[Month-Year]]="","",TEXT(Table46[[#This Row],[Month-Year]],"MMM-YY"))</f>
        <v/>
      </c>
      <c r="J678" s="31"/>
      <c r="K678" s="39">
        <f t="shared" ref="K678:K680" si="155">(F678*G678)*E678/100</f>
        <v>0</v>
      </c>
    </row>
    <row r="679" spans="3:11" ht="15.2">
      <c r="C679" s="29"/>
      <c r="D679" s="30"/>
      <c r="E679" s="31"/>
      <c r="F679" s="31"/>
      <c r="G679" s="31"/>
      <c r="H679" s="43"/>
      <c r="I679" s="41" t="str">
        <f>IF(Table46[[#This Row],[Month-Year]]="","",TEXT(Table46[[#This Row],[Month-Year]],"MMM-YY"))</f>
        <v/>
      </c>
      <c r="J679" s="31"/>
      <c r="K679" s="39">
        <f t="shared" si="155"/>
        <v>0</v>
      </c>
    </row>
    <row r="680" spans="3:11" ht="15.2">
      <c r="C680" s="29"/>
      <c r="D680" s="30"/>
      <c r="E680" s="31"/>
      <c r="F680" s="31"/>
      <c r="G680" s="31"/>
      <c r="H680" s="43"/>
      <c r="I680" s="41" t="str">
        <f>IF(Table46[[#This Row],[Month-Year]]="","",TEXT(Table46[[#This Row],[Month-Year]],"MMM-YY"))</f>
        <v/>
      </c>
      <c r="J680" s="31"/>
      <c r="K680" s="39">
        <f t="shared" si="155"/>
        <v>0</v>
      </c>
    </row>
    <row r="681" spans="3:11" ht="15.2">
      <c r="C681" s="29"/>
      <c r="D681" s="30"/>
      <c r="E681" s="31"/>
      <c r="F681" s="31"/>
      <c r="G681" s="31"/>
      <c r="H681" s="43"/>
      <c r="I681" s="41" t="str">
        <f>IF(Table46[[#This Row],[Month-Year]]="","",TEXT(Table46[[#This Row],[Month-Year]],"MMM-YY"))</f>
        <v/>
      </c>
      <c r="J681" s="31"/>
      <c r="K681" s="39">
        <f t="shared" ref="K681:K683" si="156">(F681*G681)*E681/100</f>
        <v>0</v>
      </c>
    </row>
    <row r="682" spans="3:11" ht="15.2">
      <c r="C682" s="29"/>
      <c r="D682" s="30"/>
      <c r="E682" s="31"/>
      <c r="F682" s="31"/>
      <c r="G682" s="31"/>
      <c r="H682" s="43"/>
      <c r="I682" s="41" t="str">
        <f>IF(Table46[[#This Row],[Month-Year]]="","",TEXT(Table46[[#This Row],[Month-Year]],"MMM-YY"))</f>
        <v/>
      </c>
      <c r="J682" s="31"/>
      <c r="K682" s="39">
        <f t="shared" si="156"/>
        <v>0</v>
      </c>
    </row>
    <row r="683" spans="3:11" ht="15.2">
      <c r="C683" s="29"/>
      <c r="D683" s="30"/>
      <c r="E683" s="31"/>
      <c r="F683" s="31"/>
      <c r="G683" s="31"/>
      <c r="H683" s="43"/>
      <c r="I683" s="41" t="str">
        <f>IF(Table46[[#This Row],[Month-Year]]="","",TEXT(Table46[[#This Row],[Month-Year]],"MMM-YY"))</f>
        <v/>
      </c>
      <c r="J683" s="31"/>
      <c r="K683" s="39">
        <f t="shared" si="156"/>
        <v>0</v>
      </c>
    </row>
    <row r="684" spans="3:11" ht="15.2">
      <c r="C684" s="29"/>
      <c r="D684" s="30"/>
      <c r="E684" s="31"/>
      <c r="F684" s="31"/>
      <c r="G684" s="31"/>
      <c r="H684" s="43"/>
      <c r="I684" s="41" t="str">
        <f>IF(Table46[[#This Row],[Month-Year]]="","",TEXT(Table46[[#This Row],[Month-Year]],"MMM-YY"))</f>
        <v/>
      </c>
      <c r="J684" s="31"/>
      <c r="K684" s="39">
        <f t="shared" ref="K684:K686" si="157">(F684*G684)*E684/100</f>
        <v>0</v>
      </c>
    </row>
    <row r="685" spans="3:11" ht="15.2">
      <c r="C685" s="29"/>
      <c r="D685" s="30"/>
      <c r="E685" s="31"/>
      <c r="F685" s="31"/>
      <c r="G685" s="31"/>
      <c r="H685" s="43"/>
      <c r="I685" s="41" t="str">
        <f>IF(Table46[[#This Row],[Month-Year]]="","",TEXT(Table46[[#This Row],[Month-Year]],"MMM-YY"))</f>
        <v/>
      </c>
      <c r="J685" s="31"/>
      <c r="K685" s="39">
        <f t="shared" si="157"/>
        <v>0</v>
      </c>
    </row>
    <row r="686" spans="3:11" ht="15.2">
      <c r="C686" s="29"/>
      <c r="D686" s="30"/>
      <c r="E686" s="31"/>
      <c r="F686" s="31"/>
      <c r="G686" s="31"/>
      <c r="H686" s="43"/>
      <c r="I686" s="41" t="str">
        <f>IF(Table46[[#This Row],[Month-Year]]="","",TEXT(Table46[[#This Row],[Month-Year]],"MMM-YY"))</f>
        <v/>
      </c>
      <c r="J686" s="31"/>
      <c r="K686" s="39">
        <f t="shared" si="157"/>
        <v>0</v>
      </c>
    </row>
    <row r="687" spans="3:11" ht="15.2">
      <c r="C687" s="29"/>
      <c r="D687" s="30"/>
      <c r="E687" s="31"/>
      <c r="F687" s="31"/>
      <c r="G687" s="31"/>
      <c r="H687" s="43"/>
      <c r="I687" s="41" t="str">
        <f>IF(Table46[[#This Row],[Month-Year]]="","",TEXT(Table46[[#This Row],[Month-Year]],"MMM-YY"))</f>
        <v/>
      </c>
      <c r="J687" s="31"/>
      <c r="K687" s="39">
        <f t="shared" ref="K687:K689" si="158">(F687*G687)*E687/100</f>
        <v>0</v>
      </c>
    </row>
    <row r="688" spans="3:11" ht="15.2">
      <c r="C688" s="29"/>
      <c r="D688" s="30"/>
      <c r="E688" s="31"/>
      <c r="F688" s="31"/>
      <c r="G688" s="31"/>
      <c r="H688" s="43"/>
      <c r="I688" s="41" t="str">
        <f>IF(Table46[[#This Row],[Month-Year]]="","",TEXT(Table46[[#This Row],[Month-Year]],"MMM-YY"))</f>
        <v/>
      </c>
      <c r="J688" s="31"/>
      <c r="K688" s="39">
        <f t="shared" si="158"/>
        <v>0</v>
      </c>
    </row>
    <row r="689" spans="3:11" ht="15.2">
      <c r="C689" s="29"/>
      <c r="D689" s="30"/>
      <c r="E689" s="31"/>
      <c r="F689" s="31"/>
      <c r="G689" s="31"/>
      <c r="H689" s="43"/>
      <c r="I689" s="41" t="str">
        <f>IF(Table46[[#This Row],[Month-Year]]="","",TEXT(Table46[[#This Row],[Month-Year]],"MMM-YY"))</f>
        <v/>
      </c>
      <c r="J689" s="31"/>
      <c r="K689" s="39">
        <f t="shared" si="158"/>
        <v>0</v>
      </c>
    </row>
    <row r="690" spans="3:11" ht="15.2">
      <c r="C690" s="29"/>
      <c r="D690" s="30"/>
      <c r="E690" s="31"/>
      <c r="F690" s="31"/>
      <c r="G690" s="31"/>
      <c r="H690" s="43"/>
      <c r="I690" s="41" t="str">
        <f>IF(Table46[[#This Row],[Month-Year]]="","",TEXT(Table46[[#This Row],[Month-Year]],"MMM-YY"))</f>
        <v/>
      </c>
      <c r="J690" s="31"/>
      <c r="K690" s="39">
        <f t="shared" ref="K690:K692" si="159">(F690*G690)*E690/100</f>
        <v>0</v>
      </c>
    </row>
    <row r="691" spans="3:11" ht="15.2">
      <c r="C691" s="29"/>
      <c r="D691" s="30"/>
      <c r="E691" s="31"/>
      <c r="F691" s="31"/>
      <c r="G691" s="31"/>
      <c r="H691" s="43"/>
      <c r="I691" s="41" t="str">
        <f>IF(Table46[[#This Row],[Month-Year]]="","",TEXT(Table46[[#This Row],[Month-Year]],"MMM-YY"))</f>
        <v/>
      </c>
      <c r="J691" s="31"/>
      <c r="K691" s="39">
        <f t="shared" si="159"/>
        <v>0</v>
      </c>
    </row>
    <row r="692" spans="3:11" ht="15.2">
      <c r="C692" s="29"/>
      <c r="D692" s="30"/>
      <c r="E692" s="31"/>
      <c r="F692" s="31"/>
      <c r="G692" s="31"/>
      <c r="H692" s="43"/>
      <c r="I692" s="41" t="str">
        <f>IF(Table46[[#This Row],[Month-Year]]="","",TEXT(Table46[[#This Row],[Month-Year]],"MMM-YY"))</f>
        <v/>
      </c>
      <c r="J692" s="31"/>
      <c r="K692" s="39">
        <f t="shared" si="159"/>
        <v>0</v>
      </c>
    </row>
    <row r="693" spans="3:11" ht="15.2">
      <c r="C693" s="29"/>
      <c r="D693" s="30"/>
      <c r="E693" s="31"/>
      <c r="F693" s="31"/>
      <c r="G693" s="31"/>
      <c r="H693" s="43"/>
      <c r="I693" s="41" t="str">
        <f>IF(Table46[[#This Row],[Month-Year]]="","",TEXT(Table46[[#This Row],[Month-Year]],"MMM-YY"))</f>
        <v/>
      </c>
      <c r="J693" s="31"/>
      <c r="K693" s="39">
        <f t="shared" ref="K693:K695" si="160">(F693*G693)*E693/100</f>
        <v>0</v>
      </c>
    </row>
    <row r="694" spans="3:11" ht="15.2">
      <c r="C694" s="29"/>
      <c r="D694" s="30"/>
      <c r="E694" s="31"/>
      <c r="F694" s="31"/>
      <c r="G694" s="31"/>
      <c r="H694" s="43"/>
      <c r="I694" s="41" t="str">
        <f>IF(Table46[[#This Row],[Month-Year]]="","",TEXT(Table46[[#This Row],[Month-Year]],"MMM-YY"))</f>
        <v/>
      </c>
      <c r="J694" s="31"/>
      <c r="K694" s="39">
        <f t="shared" si="160"/>
        <v>0</v>
      </c>
    </row>
    <row r="695" spans="3:11" ht="15.2">
      <c r="C695" s="29"/>
      <c r="D695" s="30"/>
      <c r="E695" s="31"/>
      <c r="F695" s="31"/>
      <c r="G695" s="31"/>
      <c r="H695" s="43"/>
      <c r="I695" s="41" t="str">
        <f>IF(Table46[[#This Row],[Month-Year]]="","",TEXT(Table46[[#This Row],[Month-Year]],"MMM-YY"))</f>
        <v/>
      </c>
      <c r="J695" s="31"/>
      <c r="K695" s="39">
        <f t="shared" si="160"/>
        <v>0</v>
      </c>
    </row>
    <row r="696" spans="3:11" ht="15.2">
      <c r="C696" s="29"/>
      <c r="D696" s="30"/>
      <c r="E696" s="31"/>
      <c r="F696" s="31"/>
      <c r="G696" s="31"/>
      <c r="H696" s="43"/>
      <c r="I696" s="41" t="str">
        <f>IF(Table46[[#This Row],[Month-Year]]="","",TEXT(Table46[[#This Row],[Month-Year]],"MMM-YY"))</f>
        <v/>
      </c>
      <c r="J696" s="31"/>
      <c r="K696" s="39">
        <f t="shared" ref="K696:K698" si="161">(F696*G696)*E696/100</f>
        <v>0</v>
      </c>
    </row>
    <row r="697" spans="3:11" ht="15.2">
      <c r="C697" s="29"/>
      <c r="D697" s="30"/>
      <c r="E697" s="31"/>
      <c r="F697" s="31"/>
      <c r="G697" s="31"/>
      <c r="H697" s="43"/>
      <c r="I697" s="41" t="str">
        <f>IF(Table46[[#This Row],[Month-Year]]="","",TEXT(Table46[[#This Row],[Month-Year]],"MMM-YY"))</f>
        <v/>
      </c>
      <c r="J697" s="31"/>
      <c r="K697" s="39">
        <f t="shared" si="161"/>
        <v>0</v>
      </c>
    </row>
    <row r="698" spans="3:11" ht="15.2">
      <c r="C698" s="29"/>
      <c r="D698" s="30"/>
      <c r="E698" s="31"/>
      <c r="F698" s="31"/>
      <c r="G698" s="31"/>
      <c r="H698" s="43"/>
      <c r="I698" s="41" t="str">
        <f>IF(Table46[[#This Row],[Month-Year]]="","",TEXT(Table46[[#This Row],[Month-Year]],"MMM-YY"))</f>
        <v/>
      </c>
      <c r="J698" s="31"/>
      <c r="K698" s="39">
        <f t="shared" si="161"/>
        <v>0</v>
      </c>
    </row>
    <row r="699" spans="3:11" ht="15.2">
      <c r="C699" s="29"/>
      <c r="D699" s="30"/>
      <c r="E699" s="31"/>
      <c r="F699" s="31"/>
      <c r="G699" s="31"/>
      <c r="H699" s="43"/>
      <c r="I699" s="41" t="str">
        <f>IF(Table46[[#This Row],[Month-Year]]="","",TEXT(Table46[[#This Row],[Month-Year]],"MMM-YY"))</f>
        <v/>
      </c>
      <c r="J699" s="31"/>
      <c r="K699" s="39">
        <f t="shared" ref="K699:K701" si="162">(F699*G699)*E699/100</f>
        <v>0</v>
      </c>
    </row>
    <row r="700" spans="3:11" ht="15.2">
      <c r="C700" s="29"/>
      <c r="D700" s="30"/>
      <c r="E700" s="31"/>
      <c r="F700" s="31"/>
      <c r="G700" s="31"/>
      <c r="H700" s="43"/>
      <c r="I700" s="41" t="str">
        <f>IF(Table46[[#This Row],[Month-Year]]="","",TEXT(Table46[[#This Row],[Month-Year]],"MMM-YY"))</f>
        <v/>
      </c>
      <c r="J700" s="31"/>
      <c r="K700" s="39">
        <f t="shared" si="162"/>
        <v>0</v>
      </c>
    </row>
    <row r="701" spans="3:11" ht="15.2">
      <c r="C701" s="29"/>
      <c r="D701" s="30"/>
      <c r="E701" s="31"/>
      <c r="F701" s="31"/>
      <c r="G701" s="31"/>
      <c r="H701" s="43"/>
      <c r="I701" s="41" t="str">
        <f>IF(Table46[[#This Row],[Month-Year]]="","",TEXT(Table46[[#This Row],[Month-Year]],"MMM-YY"))</f>
        <v/>
      </c>
      <c r="J701" s="31"/>
      <c r="K701" s="39">
        <f t="shared" si="162"/>
        <v>0</v>
      </c>
    </row>
    <row r="702" spans="3:11" ht="15.2">
      <c r="C702" s="29"/>
      <c r="D702" s="30"/>
      <c r="E702" s="31"/>
      <c r="F702" s="31"/>
      <c r="G702" s="31"/>
      <c r="H702" s="43"/>
      <c r="I702" s="41" t="str">
        <f>IF(Table46[[#This Row],[Month-Year]]="","",TEXT(Table46[[#This Row],[Month-Year]],"MMM-YY"))</f>
        <v/>
      </c>
      <c r="J702" s="31"/>
      <c r="K702" s="39">
        <f t="shared" ref="K702:K704" si="163">(F702*G702)*E702/100</f>
        <v>0</v>
      </c>
    </row>
    <row r="703" spans="3:11" ht="15.2">
      <c r="C703" s="29"/>
      <c r="D703" s="30"/>
      <c r="E703" s="31"/>
      <c r="F703" s="31"/>
      <c r="G703" s="31"/>
      <c r="H703" s="43"/>
      <c r="I703" s="41" t="str">
        <f>IF(Table46[[#This Row],[Month-Year]]="","",TEXT(Table46[[#This Row],[Month-Year]],"MMM-YY"))</f>
        <v/>
      </c>
      <c r="J703" s="31"/>
      <c r="K703" s="39">
        <f t="shared" si="163"/>
        <v>0</v>
      </c>
    </row>
    <row r="704" spans="3:11" ht="15.2">
      <c r="C704" s="29"/>
      <c r="D704" s="30"/>
      <c r="E704" s="31"/>
      <c r="F704" s="31"/>
      <c r="G704" s="31"/>
      <c r="H704" s="43"/>
      <c r="I704" s="41" t="str">
        <f>IF(Table46[[#This Row],[Month-Year]]="","",TEXT(Table46[[#This Row],[Month-Year]],"MMM-YY"))</f>
        <v/>
      </c>
      <c r="J704" s="31"/>
      <c r="K704" s="39">
        <f t="shared" si="163"/>
        <v>0</v>
      </c>
    </row>
    <row r="705" spans="3:11" ht="15.2">
      <c r="C705" s="29"/>
      <c r="D705" s="30"/>
      <c r="E705" s="31"/>
      <c r="F705" s="31"/>
      <c r="G705" s="31"/>
      <c r="H705" s="43"/>
      <c r="I705" s="41" t="str">
        <f>IF(Table46[[#This Row],[Month-Year]]="","",TEXT(Table46[[#This Row],[Month-Year]],"MMM-YY"))</f>
        <v/>
      </c>
      <c r="J705" s="31"/>
      <c r="K705" s="39">
        <f t="shared" ref="K705:K707" si="164">(F705*G705)*E705/100</f>
        <v>0</v>
      </c>
    </row>
    <row r="706" spans="3:11" ht="15.2">
      <c r="C706" s="29"/>
      <c r="D706" s="30"/>
      <c r="E706" s="31"/>
      <c r="F706" s="31"/>
      <c r="G706" s="31"/>
      <c r="H706" s="43"/>
      <c r="I706" s="41" t="str">
        <f>IF(Table46[[#This Row],[Month-Year]]="","",TEXT(Table46[[#This Row],[Month-Year]],"MMM-YY"))</f>
        <v/>
      </c>
      <c r="J706" s="31"/>
      <c r="K706" s="39">
        <f t="shared" si="164"/>
        <v>0</v>
      </c>
    </row>
    <row r="707" spans="3:11" ht="15.2">
      <c r="C707" s="29"/>
      <c r="D707" s="30"/>
      <c r="E707" s="31"/>
      <c r="F707" s="31"/>
      <c r="G707" s="31"/>
      <c r="H707" s="43"/>
      <c r="I707" s="41" t="str">
        <f>IF(Table46[[#This Row],[Month-Year]]="","",TEXT(Table46[[#This Row],[Month-Year]],"MMM-YY"))</f>
        <v/>
      </c>
      <c r="J707" s="31"/>
      <c r="K707" s="39">
        <f t="shared" si="164"/>
        <v>0</v>
      </c>
    </row>
    <row r="708" spans="3:11" ht="15.2">
      <c r="C708" s="29"/>
      <c r="D708" s="30"/>
      <c r="E708" s="31"/>
      <c r="F708" s="31"/>
      <c r="G708" s="31"/>
      <c r="H708" s="43"/>
      <c r="I708" s="41" t="str">
        <f>IF(Table46[[#This Row],[Month-Year]]="","",TEXT(Table46[[#This Row],[Month-Year]],"MMM-YY"))</f>
        <v/>
      </c>
      <c r="J708" s="31"/>
      <c r="K708" s="39">
        <f t="shared" ref="K708:K710" si="165">(F708*G708)*E708/100</f>
        <v>0</v>
      </c>
    </row>
    <row r="709" spans="3:11" ht="15.2">
      <c r="C709" s="29"/>
      <c r="D709" s="30"/>
      <c r="E709" s="31"/>
      <c r="F709" s="31"/>
      <c r="G709" s="31"/>
      <c r="H709" s="43"/>
      <c r="I709" s="41" t="str">
        <f>IF(Table46[[#This Row],[Month-Year]]="","",TEXT(Table46[[#This Row],[Month-Year]],"MMM-YY"))</f>
        <v/>
      </c>
      <c r="J709" s="31"/>
      <c r="K709" s="39">
        <f t="shared" si="165"/>
        <v>0</v>
      </c>
    </row>
    <row r="710" spans="3:11" ht="15.2">
      <c r="C710" s="29"/>
      <c r="D710" s="30"/>
      <c r="E710" s="31"/>
      <c r="F710" s="31"/>
      <c r="G710" s="31"/>
      <c r="H710" s="43"/>
      <c r="I710" s="41" t="str">
        <f>IF(Table46[[#This Row],[Month-Year]]="","",TEXT(Table46[[#This Row],[Month-Year]],"MMM-YY"))</f>
        <v/>
      </c>
      <c r="J710" s="31"/>
      <c r="K710" s="39">
        <f t="shared" si="165"/>
        <v>0</v>
      </c>
    </row>
    <row r="711" spans="3:11" ht="15.2">
      <c r="C711" s="29"/>
      <c r="D711" s="30"/>
      <c r="E711" s="31"/>
      <c r="F711" s="31"/>
      <c r="G711" s="31"/>
      <c r="H711" s="43"/>
      <c r="I711" s="41" t="str">
        <f>IF(Table46[[#This Row],[Month-Year]]="","",TEXT(Table46[[#This Row],[Month-Year]],"MMM-YY"))</f>
        <v/>
      </c>
      <c r="J711" s="31"/>
      <c r="K711" s="39">
        <f t="shared" ref="K711:K713" si="166">(F711*G711)*E711/100</f>
        <v>0</v>
      </c>
    </row>
    <row r="712" spans="3:11" ht="15.2">
      <c r="C712" s="29"/>
      <c r="D712" s="30"/>
      <c r="E712" s="31"/>
      <c r="F712" s="31"/>
      <c r="G712" s="31"/>
      <c r="H712" s="43"/>
      <c r="I712" s="41" t="str">
        <f>IF(Table46[[#This Row],[Month-Year]]="","",TEXT(Table46[[#This Row],[Month-Year]],"MMM-YY"))</f>
        <v/>
      </c>
      <c r="J712" s="31"/>
      <c r="K712" s="39">
        <f t="shared" si="166"/>
        <v>0</v>
      </c>
    </row>
    <row r="713" spans="3:11" ht="15.2">
      <c r="C713" s="29"/>
      <c r="D713" s="30"/>
      <c r="E713" s="31"/>
      <c r="F713" s="31"/>
      <c r="G713" s="31"/>
      <c r="H713" s="43"/>
      <c r="I713" s="41" t="str">
        <f>IF(Table46[[#This Row],[Month-Year]]="","",TEXT(Table46[[#This Row],[Month-Year]],"MMM-YY"))</f>
        <v/>
      </c>
      <c r="J713" s="31"/>
      <c r="K713" s="39">
        <f t="shared" si="166"/>
        <v>0</v>
      </c>
    </row>
    <row r="714" spans="3:11" ht="15.2">
      <c r="C714" s="29"/>
      <c r="D714" s="30"/>
      <c r="E714" s="31"/>
      <c r="F714" s="31"/>
      <c r="G714" s="31"/>
      <c r="H714" s="43"/>
      <c r="I714" s="41" t="str">
        <f>IF(Table46[[#This Row],[Month-Year]]="","",TEXT(Table46[[#This Row],[Month-Year]],"MMM-YY"))</f>
        <v/>
      </c>
      <c r="J714" s="31"/>
      <c r="K714" s="39">
        <f t="shared" ref="K714:K716" si="167">(F714*G714)*E714/100</f>
        <v>0</v>
      </c>
    </row>
    <row r="715" spans="3:11" ht="15.2">
      <c r="C715" s="29"/>
      <c r="D715" s="30"/>
      <c r="E715" s="31"/>
      <c r="F715" s="31"/>
      <c r="G715" s="31"/>
      <c r="H715" s="43"/>
      <c r="I715" s="41" t="str">
        <f>IF(Table46[[#This Row],[Month-Year]]="","",TEXT(Table46[[#This Row],[Month-Year]],"MMM-YY"))</f>
        <v/>
      </c>
      <c r="J715" s="31"/>
      <c r="K715" s="39">
        <f t="shared" si="167"/>
        <v>0</v>
      </c>
    </row>
    <row r="716" spans="3:11" ht="15.2">
      <c r="C716" s="29"/>
      <c r="D716" s="30"/>
      <c r="E716" s="31"/>
      <c r="F716" s="31"/>
      <c r="G716" s="31"/>
      <c r="H716" s="43"/>
      <c r="I716" s="41" t="str">
        <f>IF(Table46[[#This Row],[Month-Year]]="","",TEXT(Table46[[#This Row],[Month-Year]],"MMM-YY"))</f>
        <v/>
      </c>
      <c r="J716" s="31"/>
      <c r="K716" s="39">
        <f t="shared" si="167"/>
        <v>0</v>
      </c>
    </row>
    <row r="717" spans="3:11" ht="15.2">
      <c r="C717" s="29"/>
      <c r="D717" s="30"/>
      <c r="E717" s="31"/>
      <c r="F717" s="31"/>
      <c r="G717" s="31"/>
      <c r="H717" s="43"/>
      <c r="I717" s="41" t="str">
        <f>IF(Table46[[#This Row],[Month-Year]]="","",TEXT(Table46[[#This Row],[Month-Year]],"MMM-YY"))</f>
        <v/>
      </c>
      <c r="J717" s="31"/>
      <c r="K717" s="39">
        <f t="shared" ref="K717:K719" si="168">(F717*G717)*E717/100</f>
        <v>0</v>
      </c>
    </row>
    <row r="718" spans="3:11" ht="15.2">
      <c r="C718" s="29"/>
      <c r="D718" s="30"/>
      <c r="E718" s="31"/>
      <c r="F718" s="31"/>
      <c r="G718" s="31"/>
      <c r="H718" s="43"/>
      <c r="I718" s="41" t="str">
        <f>IF(Table46[[#This Row],[Month-Year]]="","",TEXT(Table46[[#This Row],[Month-Year]],"MMM-YY"))</f>
        <v/>
      </c>
      <c r="J718" s="31"/>
      <c r="K718" s="39">
        <f t="shared" si="168"/>
        <v>0</v>
      </c>
    </row>
    <row r="719" spans="3:11" ht="15.2">
      <c r="C719" s="29"/>
      <c r="D719" s="30"/>
      <c r="E719" s="31"/>
      <c r="F719" s="31"/>
      <c r="G719" s="31"/>
      <c r="H719" s="43"/>
      <c r="I719" s="41" t="str">
        <f>IF(Table46[[#This Row],[Month-Year]]="","",TEXT(Table46[[#This Row],[Month-Year]],"MMM-YY"))</f>
        <v/>
      </c>
      <c r="J719" s="31"/>
      <c r="K719" s="39">
        <f t="shared" si="168"/>
        <v>0</v>
      </c>
    </row>
    <row r="720" spans="3:11" ht="15.2">
      <c r="C720" s="29"/>
      <c r="D720" s="30"/>
      <c r="E720" s="31"/>
      <c r="F720" s="31"/>
      <c r="G720" s="31"/>
      <c r="H720" s="43"/>
      <c r="I720" s="41" t="str">
        <f>IF(Table46[[#This Row],[Month-Year]]="","",TEXT(Table46[[#This Row],[Month-Year]],"MMM-YY"))</f>
        <v/>
      </c>
      <c r="J720" s="31"/>
      <c r="K720" s="39">
        <f t="shared" ref="K720:K722" si="169">(F720*G720)*E720/100</f>
        <v>0</v>
      </c>
    </row>
    <row r="721" spans="3:11" ht="15.2">
      <c r="C721" s="29"/>
      <c r="D721" s="30"/>
      <c r="E721" s="31"/>
      <c r="F721" s="31"/>
      <c r="G721" s="31"/>
      <c r="H721" s="43"/>
      <c r="I721" s="41" t="str">
        <f>IF(Table46[[#This Row],[Month-Year]]="","",TEXT(Table46[[#This Row],[Month-Year]],"MMM-YY"))</f>
        <v/>
      </c>
      <c r="J721" s="31"/>
      <c r="K721" s="39">
        <f t="shared" si="169"/>
        <v>0</v>
      </c>
    </row>
    <row r="722" spans="3:11" ht="15.2">
      <c r="C722" s="29"/>
      <c r="D722" s="30"/>
      <c r="E722" s="31"/>
      <c r="F722" s="31"/>
      <c r="G722" s="31"/>
      <c r="H722" s="43"/>
      <c r="I722" s="41" t="str">
        <f>IF(Table46[[#This Row],[Month-Year]]="","",TEXT(Table46[[#This Row],[Month-Year]],"MMM-YY"))</f>
        <v/>
      </c>
      <c r="J722" s="31"/>
      <c r="K722" s="39">
        <f t="shared" si="169"/>
        <v>0</v>
      </c>
    </row>
    <row r="723" spans="3:11" ht="15.2">
      <c r="C723" s="29"/>
      <c r="D723" s="30"/>
      <c r="E723" s="31"/>
      <c r="F723" s="31"/>
      <c r="G723" s="31"/>
      <c r="H723" s="43"/>
      <c r="I723" s="41" t="str">
        <f>IF(Table46[[#This Row],[Month-Year]]="","",TEXT(Table46[[#This Row],[Month-Year]],"MMM-YY"))</f>
        <v/>
      </c>
      <c r="J723" s="31"/>
      <c r="K723" s="39">
        <f t="shared" ref="K723:K725" si="170">(F723*G723)*E723/100</f>
        <v>0</v>
      </c>
    </row>
    <row r="724" spans="3:11" ht="15.2">
      <c r="C724" s="29"/>
      <c r="D724" s="30"/>
      <c r="E724" s="31"/>
      <c r="F724" s="31"/>
      <c r="G724" s="31"/>
      <c r="H724" s="43"/>
      <c r="I724" s="41" t="str">
        <f>IF(Table46[[#This Row],[Month-Year]]="","",TEXT(Table46[[#This Row],[Month-Year]],"MMM-YY"))</f>
        <v/>
      </c>
      <c r="J724" s="31"/>
      <c r="K724" s="39">
        <f t="shared" si="170"/>
        <v>0</v>
      </c>
    </row>
    <row r="725" spans="3:11" ht="15.2">
      <c r="C725" s="29"/>
      <c r="D725" s="30"/>
      <c r="E725" s="31"/>
      <c r="F725" s="31"/>
      <c r="G725" s="31"/>
      <c r="H725" s="43"/>
      <c r="I725" s="41" t="str">
        <f>IF(Table46[[#This Row],[Month-Year]]="","",TEXT(Table46[[#This Row],[Month-Year]],"MMM-YY"))</f>
        <v/>
      </c>
      <c r="J725" s="31"/>
      <c r="K725" s="39">
        <f t="shared" si="170"/>
        <v>0</v>
      </c>
    </row>
    <row r="726" spans="3:11" ht="15.2">
      <c r="C726" s="29"/>
      <c r="D726" s="30"/>
      <c r="E726" s="31"/>
      <c r="F726" s="31"/>
      <c r="G726" s="31"/>
      <c r="H726" s="43"/>
      <c r="I726" s="41" t="str">
        <f>IF(Table46[[#This Row],[Month-Year]]="","",TEXT(Table46[[#This Row],[Month-Year]],"MMM-YY"))</f>
        <v/>
      </c>
      <c r="J726" s="31"/>
      <c r="K726" s="39">
        <f t="shared" ref="K726:K728" si="171">(F726*G726)*E726/100</f>
        <v>0</v>
      </c>
    </row>
    <row r="727" spans="3:11" ht="15.2">
      <c r="C727" s="29"/>
      <c r="D727" s="30"/>
      <c r="E727" s="31"/>
      <c r="F727" s="31"/>
      <c r="G727" s="31"/>
      <c r="H727" s="43"/>
      <c r="I727" s="41" t="str">
        <f>IF(Table46[[#This Row],[Month-Year]]="","",TEXT(Table46[[#This Row],[Month-Year]],"MMM-YY"))</f>
        <v/>
      </c>
      <c r="J727" s="31"/>
      <c r="K727" s="39">
        <f t="shared" si="171"/>
        <v>0</v>
      </c>
    </row>
    <row r="728" spans="3:11" ht="15.2">
      <c r="C728" s="29"/>
      <c r="D728" s="30"/>
      <c r="E728" s="31"/>
      <c r="F728" s="31"/>
      <c r="G728" s="31"/>
      <c r="H728" s="43"/>
      <c r="I728" s="41" t="str">
        <f>IF(Table46[[#This Row],[Month-Year]]="","",TEXT(Table46[[#This Row],[Month-Year]],"MMM-YY"))</f>
        <v/>
      </c>
      <c r="J728" s="31"/>
      <c r="K728" s="39">
        <f t="shared" si="171"/>
        <v>0</v>
      </c>
    </row>
    <row r="729" spans="3:11" ht="15.2">
      <c r="C729" s="29"/>
      <c r="D729" s="30"/>
      <c r="E729" s="31"/>
      <c r="F729" s="31"/>
      <c r="G729" s="31"/>
      <c r="H729" s="43"/>
      <c r="I729" s="41" t="str">
        <f>IF(Table46[[#This Row],[Month-Year]]="","",TEXT(Table46[[#This Row],[Month-Year]],"MMM-YY"))</f>
        <v/>
      </c>
      <c r="J729" s="31"/>
      <c r="K729" s="39">
        <f t="shared" ref="K729:K731" si="172">(F729*G729)*E729/100</f>
        <v>0</v>
      </c>
    </row>
    <row r="730" spans="3:11" ht="15.2">
      <c r="C730" s="29"/>
      <c r="D730" s="30"/>
      <c r="E730" s="31"/>
      <c r="F730" s="31"/>
      <c r="G730" s="31"/>
      <c r="H730" s="43"/>
      <c r="I730" s="41" t="str">
        <f>IF(Table46[[#This Row],[Month-Year]]="","",TEXT(Table46[[#This Row],[Month-Year]],"MMM-YY"))</f>
        <v/>
      </c>
      <c r="J730" s="31"/>
      <c r="K730" s="39">
        <f t="shared" si="172"/>
        <v>0</v>
      </c>
    </row>
    <row r="731" spans="3:11" ht="15.2">
      <c r="C731" s="29"/>
      <c r="D731" s="30"/>
      <c r="E731" s="31"/>
      <c r="F731" s="31"/>
      <c r="G731" s="31"/>
      <c r="H731" s="43"/>
      <c r="I731" s="41" t="str">
        <f>IF(Table46[[#This Row],[Month-Year]]="","",TEXT(Table46[[#This Row],[Month-Year]],"MMM-YY"))</f>
        <v/>
      </c>
      <c r="J731" s="31"/>
      <c r="K731" s="39">
        <f t="shared" si="172"/>
        <v>0</v>
      </c>
    </row>
    <row r="732" spans="3:11" ht="15.2">
      <c r="C732" s="29"/>
      <c r="D732" s="30"/>
      <c r="E732" s="31"/>
      <c r="F732" s="31"/>
      <c r="G732" s="31"/>
      <c r="H732" s="43"/>
      <c r="I732" s="41" t="str">
        <f>IF(Table46[[#This Row],[Month-Year]]="","",TEXT(Table46[[#This Row],[Month-Year]],"MMM-YY"))</f>
        <v/>
      </c>
      <c r="J732" s="31"/>
      <c r="K732" s="39">
        <f t="shared" ref="K732:K734" si="173">(F732*G732)*E732/100</f>
        <v>0</v>
      </c>
    </row>
    <row r="733" spans="3:11" ht="15.2">
      <c r="C733" s="29"/>
      <c r="D733" s="30"/>
      <c r="E733" s="31"/>
      <c r="F733" s="31"/>
      <c r="G733" s="31"/>
      <c r="H733" s="43"/>
      <c r="I733" s="41" t="str">
        <f>IF(Table46[[#This Row],[Month-Year]]="","",TEXT(Table46[[#This Row],[Month-Year]],"MMM-YY"))</f>
        <v/>
      </c>
      <c r="J733" s="31"/>
      <c r="K733" s="39">
        <f t="shared" si="173"/>
        <v>0</v>
      </c>
    </row>
    <row r="734" spans="3:11" ht="15.2">
      <c r="C734" s="29"/>
      <c r="D734" s="30"/>
      <c r="E734" s="31"/>
      <c r="F734" s="31"/>
      <c r="G734" s="31"/>
      <c r="H734" s="43"/>
      <c r="I734" s="41" t="str">
        <f>IF(Table46[[#This Row],[Month-Year]]="","",TEXT(Table46[[#This Row],[Month-Year]],"MMM-YY"))</f>
        <v/>
      </c>
      <c r="J734" s="31"/>
      <c r="K734" s="39">
        <f t="shared" si="173"/>
        <v>0</v>
      </c>
    </row>
    <row r="735" spans="3:11" ht="15.2">
      <c r="C735" s="29"/>
      <c r="D735" s="30"/>
      <c r="E735" s="31"/>
      <c r="F735" s="31"/>
      <c r="G735" s="31"/>
      <c r="H735" s="43"/>
      <c r="I735" s="41" t="str">
        <f>IF(Table46[[#This Row],[Month-Year]]="","",TEXT(Table46[[#This Row],[Month-Year]],"MMM-YY"))</f>
        <v/>
      </c>
      <c r="J735" s="31"/>
      <c r="K735" s="39">
        <f t="shared" ref="K735:K737" si="174">(F735*G735)*E735/100</f>
        <v>0</v>
      </c>
    </row>
    <row r="736" spans="3:11" ht="15.2">
      <c r="C736" s="29"/>
      <c r="D736" s="30"/>
      <c r="E736" s="31"/>
      <c r="F736" s="31"/>
      <c r="G736" s="31"/>
      <c r="H736" s="43"/>
      <c r="I736" s="41" t="str">
        <f>IF(Table46[[#This Row],[Month-Year]]="","",TEXT(Table46[[#This Row],[Month-Year]],"MMM-YY"))</f>
        <v/>
      </c>
      <c r="J736" s="31"/>
      <c r="K736" s="39">
        <f t="shared" si="174"/>
        <v>0</v>
      </c>
    </row>
    <row r="737" spans="3:11" ht="15.2">
      <c r="C737" s="29"/>
      <c r="D737" s="30"/>
      <c r="E737" s="31"/>
      <c r="F737" s="31"/>
      <c r="G737" s="31"/>
      <c r="H737" s="43"/>
      <c r="I737" s="41" t="str">
        <f>IF(Table46[[#This Row],[Month-Year]]="","",TEXT(Table46[[#This Row],[Month-Year]],"MMM-YY"))</f>
        <v/>
      </c>
      <c r="J737" s="31"/>
      <c r="K737" s="39">
        <f t="shared" si="174"/>
        <v>0</v>
      </c>
    </row>
    <row r="738" spans="3:11" ht="15.2">
      <c r="C738" s="29"/>
      <c r="D738" s="30"/>
      <c r="E738" s="31"/>
      <c r="F738" s="31"/>
      <c r="G738" s="31"/>
      <c r="H738" s="43"/>
      <c r="I738" s="41" t="str">
        <f>IF(Table46[[#This Row],[Month-Year]]="","",TEXT(Table46[[#This Row],[Month-Year]],"MMM-YY"))</f>
        <v/>
      </c>
      <c r="J738" s="31"/>
      <c r="K738" s="39">
        <f t="shared" ref="K738:K740" si="175">(F738*G738)*E738/100</f>
        <v>0</v>
      </c>
    </row>
    <row r="739" spans="3:11" ht="15.2">
      <c r="C739" s="29"/>
      <c r="D739" s="30"/>
      <c r="E739" s="31"/>
      <c r="F739" s="31"/>
      <c r="G739" s="31"/>
      <c r="H739" s="43"/>
      <c r="I739" s="41" t="str">
        <f>IF(Table46[[#This Row],[Month-Year]]="","",TEXT(Table46[[#This Row],[Month-Year]],"MMM-YY"))</f>
        <v/>
      </c>
      <c r="J739" s="31"/>
      <c r="K739" s="39">
        <f t="shared" si="175"/>
        <v>0</v>
      </c>
    </row>
    <row r="740" spans="3:11" ht="15.2">
      <c r="C740" s="29"/>
      <c r="D740" s="30"/>
      <c r="E740" s="31"/>
      <c r="F740" s="31"/>
      <c r="G740" s="31"/>
      <c r="H740" s="43"/>
      <c r="I740" s="41" t="str">
        <f>IF(Table46[[#This Row],[Month-Year]]="","",TEXT(Table46[[#This Row],[Month-Year]],"MMM-YY"))</f>
        <v/>
      </c>
      <c r="J740" s="31"/>
      <c r="K740" s="39">
        <f t="shared" si="175"/>
        <v>0</v>
      </c>
    </row>
    <row r="741" spans="3:11" ht="15.2">
      <c r="C741" s="29"/>
      <c r="D741" s="30"/>
      <c r="E741" s="31"/>
      <c r="F741" s="31"/>
      <c r="G741" s="31"/>
      <c r="H741" s="43"/>
      <c r="I741" s="41" t="str">
        <f>IF(Table46[[#This Row],[Month-Year]]="","",TEXT(Table46[[#This Row],[Month-Year]],"MMM-YY"))</f>
        <v/>
      </c>
      <c r="J741" s="31"/>
      <c r="K741" s="39">
        <f t="shared" ref="K741:K743" si="176">(F741*G741)*E741/100</f>
        <v>0</v>
      </c>
    </row>
    <row r="742" spans="3:11" ht="15.2">
      <c r="C742" s="29"/>
      <c r="D742" s="30"/>
      <c r="E742" s="31"/>
      <c r="F742" s="31"/>
      <c r="G742" s="31"/>
      <c r="H742" s="43"/>
      <c r="I742" s="41" t="str">
        <f>IF(Table46[[#This Row],[Month-Year]]="","",TEXT(Table46[[#This Row],[Month-Year]],"MMM-YY"))</f>
        <v/>
      </c>
      <c r="J742" s="31"/>
      <c r="K742" s="39">
        <f t="shared" si="176"/>
        <v>0</v>
      </c>
    </row>
    <row r="743" spans="3:11" ht="15.2">
      <c r="C743" s="29"/>
      <c r="D743" s="30"/>
      <c r="E743" s="31"/>
      <c r="F743" s="31"/>
      <c r="G743" s="31"/>
      <c r="H743" s="43"/>
      <c r="I743" s="41" t="str">
        <f>IF(Table46[[#This Row],[Month-Year]]="","",TEXT(Table46[[#This Row],[Month-Year]],"MMM-YY"))</f>
        <v/>
      </c>
      <c r="J743" s="31"/>
      <c r="K743" s="39">
        <f t="shared" si="176"/>
        <v>0</v>
      </c>
    </row>
    <row r="744" spans="3:11" ht="15.2">
      <c r="C744" s="29"/>
      <c r="D744" s="30"/>
      <c r="E744" s="31"/>
      <c r="F744" s="31"/>
      <c r="G744" s="31"/>
      <c r="H744" s="43"/>
      <c r="I744" s="41" t="str">
        <f>IF(Table46[[#This Row],[Month-Year]]="","",TEXT(Table46[[#This Row],[Month-Year]],"MMM-YY"))</f>
        <v/>
      </c>
      <c r="J744" s="31"/>
      <c r="K744" s="39">
        <f t="shared" ref="K744:K746" si="177">(F744*G744)*E744/100</f>
        <v>0</v>
      </c>
    </row>
    <row r="745" spans="3:11" ht="15.2">
      <c r="C745" s="29"/>
      <c r="D745" s="30"/>
      <c r="E745" s="31"/>
      <c r="F745" s="31"/>
      <c r="G745" s="31"/>
      <c r="H745" s="43"/>
      <c r="I745" s="41" t="str">
        <f>IF(Table46[[#This Row],[Month-Year]]="","",TEXT(Table46[[#This Row],[Month-Year]],"MMM-YY"))</f>
        <v/>
      </c>
      <c r="J745" s="31"/>
      <c r="K745" s="39">
        <f t="shared" si="177"/>
        <v>0</v>
      </c>
    </row>
    <row r="746" spans="3:11" ht="15.2">
      <c r="C746" s="29"/>
      <c r="D746" s="30"/>
      <c r="E746" s="31"/>
      <c r="F746" s="31"/>
      <c r="G746" s="31"/>
      <c r="H746" s="43"/>
      <c r="I746" s="41" t="str">
        <f>IF(Table46[[#This Row],[Month-Year]]="","",TEXT(Table46[[#This Row],[Month-Year]],"MMM-YY"))</f>
        <v/>
      </c>
      <c r="J746" s="31"/>
      <c r="K746" s="39">
        <f t="shared" si="177"/>
        <v>0</v>
      </c>
    </row>
    <row r="747" spans="3:11" ht="15.2">
      <c r="C747" s="29"/>
      <c r="D747" s="30"/>
      <c r="E747" s="31"/>
      <c r="F747" s="31"/>
      <c r="G747" s="31"/>
      <c r="H747" s="43"/>
      <c r="I747" s="41" t="str">
        <f>IF(Table46[[#This Row],[Month-Year]]="","",TEXT(Table46[[#This Row],[Month-Year]],"MMM-YY"))</f>
        <v/>
      </c>
      <c r="J747" s="31"/>
      <c r="K747" s="39">
        <f t="shared" ref="K747:K749" si="178">(F747*G747)*E747/100</f>
        <v>0</v>
      </c>
    </row>
    <row r="748" spans="3:11" ht="15.2">
      <c r="C748" s="29"/>
      <c r="D748" s="30"/>
      <c r="E748" s="31"/>
      <c r="F748" s="31"/>
      <c r="G748" s="31"/>
      <c r="H748" s="43"/>
      <c r="I748" s="41" t="str">
        <f>IF(Table46[[#This Row],[Month-Year]]="","",TEXT(Table46[[#This Row],[Month-Year]],"MMM-YY"))</f>
        <v/>
      </c>
      <c r="J748" s="31"/>
      <c r="K748" s="39">
        <f t="shared" si="178"/>
        <v>0</v>
      </c>
    </row>
    <row r="749" spans="3:11" ht="15.2">
      <c r="C749" s="29"/>
      <c r="D749" s="30"/>
      <c r="E749" s="31"/>
      <c r="F749" s="31"/>
      <c r="G749" s="31"/>
      <c r="H749" s="43"/>
      <c r="I749" s="41" t="str">
        <f>IF(Table46[[#This Row],[Month-Year]]="","",TEXT(Table46[[#This Row],[Month-Year]],"MMM-YY"))</f>
        <v/>
      </c>
      <c r="J749" s="31"/>
      <c r="K749" s="39">
        <f t="shared" si="178"/>
        <v>0</v>
      </c>
    </row>
    <row r="750" spans="3:11" ht="15.2">
      <c r="C750" s="29"/>
      <c r="D750" s="30"/>
      <c r="E750" s="31"/>
      <c r="F750" s="31"/>
      <c r="G750" s="31"/>
      <c r="H750" s="43"/>
      <c r="I750" s="41" t="str">
        <f>IF(Table46[[#This Row],[Month-Year]]="","",TEXT(Table46[[#This Row],[Month-Year]],"MMM-YY"))</f>
        <v/>
      </c>
      <c r="J750" s="31"/>
      <c r="K750" s="39">
        <f t="shared" ref="K750:K752" si="179">(F750*G750)*E750/100</f>
        <v>0</v>
      </c>
    </row>
    <row r="751" spans="3:11" ht="15.2">
      <c r="C751" s="29"/>
      <c r="D751" s="30"/>
      <c r="E751" s="31"/>
      <c r="F751" s="31"/>
      <c r="G751" s="31"/>
      <c r="H751" s="43"/>
      <c r="I751" s="41" t="str">
        <f>IF(Table46[[#This Row],[Month-Year]]="","",TEXT(Table46[[#This Row],[Month-Year]],"MMM-YY"))</f>
        <v/>
      </c>
      <c r="J751" s="31"/>
      <c r="K751" s="39">
        <f t="shared" si="179"/>
        <v>0</v>
      </c>
    </row>
    <row r="752" spans="3:11" ht="15.2">
      <c r="C752" s="29"/>
      <c r="D752" s="30"/>
      <c r="E752" s="31"/>
      <c r="F752" s="31"/>
      <c r="G752" s="31"/>
      <c r="H752" s="43"/>
      <c r="I752" s="41" t="str">
        <f>IF(Table46[[#This Row],[Month-Year]]="","",TEXT(Table46[[#This Row],[Month-Year]],"MMM-YY"))</f>
        <v/>
      </c>
      <c r="J752" s="31"/>
      <c r="K752" s="39">
        <f t="shared" si="179"/>
        <v>0</v>
      </c>
    </row>
    <row r="753" spans="3:11" ht="15.2">
      <c r="C753" s="29"/>
      <c r="D753" s="30"/>
      <c r="E753" s="31"/>
      <c r="F753" s="31"/>
      <c r="G753" s="31"/>
      <c r="H753" s="43"/>
      <c r="I753" s="41" t="str">
        <f>IF(Table46[[#This Row],[Month-Year]]="","",TEXT(Table46[[#This Row],[Month-Year]],"MMM-YY"))</f>
        <v/>
      </c>
      <c r="J753" s="31"/>
      <c r="K753" s="39">
        <f t="shared" ref="K753:K755" si="180">(F753*G753)*E753/100</f>
        <v>0</v>
      </c>
    </row>
    <row r="754" spans="3:11" ht="15.2">
      <c r="C754" s="29"/>
      <c r="D754" s="30"/>
      <c r="E754" s="31"/>
      <c r="F754" s="31"/>
      <c r="G754" s="31"/>
      <c r="H754" s="43"/>
      <c r="I754" s="41" t="str">
        <f>IF(Table46[[#This Row],[Month-Year]]="","",TEXT(Table46[[#This Row],[Month-Year]],"MMM-YY"))</f>
        <v/>
      </c>
      <c r="J754" s="31"/>
      <c r="K754" s="39">
        <f t="shared" si="180"/>
        <v>0</v>
      </c>
    </row>
    <row r="755" spans="3:11" ht="15.2">
      <c r="C755" s="29"/>
      <c r="D755" s="30"/>
      <c r="E755" s="31"/>
      <c r="F755" s="31"/>
      <c r="G755" s="31"/>
      <c r="H755" s="43"/>
      <c r="I755" s="41" t="str">
        <f>IF(Table46[[#This Row],[Month-Year]]="","",TEXT(Table46[[#This Row],[Month-Year]],"MMM-YY"))</f>
        <v/>
      </c>
      <c r="J755" s="31"/>
      <c r="K755" s="39">
        <f t="shared" si="180"/>
        <v>0</v>
      </c>
    </row>
    <row r="756" spans="3:11" ht="15.2">
      <c r="C756" s="29"/>
      <c r="D756" s="30"/>
      <c r="E756" s="31"/>
      <c r="F756" s="31"/>
      <c r="G756" s="31"/>
      <c r="H756" s="43"/>
      <c r="I756" s="41" t="str">
        <f>IF(Table46[[#This Row],[Month-Year]]="","",TEXT(Table46[[#This Row],[Month-Year]],"MMM-YY"))</f>
        <v/>
      </c>
      <c r="J756" s="31"/>
      <c r="K756" s="39">
        <f t="shared" ref="K756:K758" si="181">(F756*G756)*E756/100</f>
        <v>0</v>
      </c>
    </row>
    <row r="757" spans="3:11" ht="15.2">
      <c r="C757" s="29"/>
      <c r="D757" s="30"/>
      <c r="E757" s="31"/>
      <c r="F757" s="31"/>
      <c r="G757" s="31"/>
      <c r="H757" s="43"/>
      <c r="I757" s="41" t="str">
        <f>IF(Table46[[#This Row],[Month-Year]]="","",TEXT(Table46[[#This Row],[Month-Year]],"MMM-YY"))</f>
        <v/>
      </c>
      <c r="J757" s="31"/>
      <c r="K757" s="39">
        <f t="shared" si="181"/>
        <v>0</v>
      </c>
    </row>
    <row r="758" spans="3:11" ht="15.2">
      <c r="C758" s="29"/>
      <c r="D758" s="30"/>
      <c r="E758" s="31"/>
      <c r="F758" s="31"/>
      <c r="G758" s="31"/>
      <c r="H758" s="43"/>
      <c r="I758" s="41" t="str">
        <f>IF(Table46[[#This Row],[Month-Year]]="","",TEXT(Table46[[#This Row],[Month-Year]],"MMM-YY"))</f>
        <v/>
      </c>
      <c r="J758" s="31"/>
      <c r="K758" s="39">
        <f t="shared" si="181"/>
        <v>0</v>
      </c>
    </row>
    <row r="759" spans="3:11" ht="15.2">
      <c r="C759" s="29"/>
      <c r="D759" s="30"/>
      <c r="E759" s="31"/>
      <c r="F759" s="31"/>
      <c r="G759" s="31"/>
      <c r="H759" s="43"/>
      <c r="I759" s="41" t="str">
        <f>IF(Table46[[#This Row],[Month-Year]]="","",TEXT(Table46[[#This Row],[Month-Year]],"MMM-YY"))</f>
        <v/>
      </c>
      <c r="J759" s="31"/>
      <c r="K759" s="39">
        <f t="shared" ref="K759:K761" si="182">(F759*G759)*E759/100</f>
        <v>0</v>
      </c>
    </row>
    <row r="760" spans="3:11" ht="15.2">
      <c r="C760" s="29"/>
      <c r="D760" s="30"/>
      <c r="E760" s="31"/>
      <c r="F760" s="31"/>
      <c r="G760" s="31"/>
      <c r="H760" s="43"/>
      <c r="I760" s="41" t="str">
        <f>IF(Table46[[#This Row],[Month-Year]]="","",TEXT(Table46[[#This Row],[Month-Year]],"MMM-YY"))</f>
        <v/>
      </c>
      <c r="J760" s="31"/>
      <c r="K760" s="39">
        <f t="shared" si="182"/>
        <v>0</v>
      </c>
    </row>
    <row r="761" spans="3:11" ht="15.2">
      <c r="C761" s="29"/>
      <c r="D761" s="30"/>
      <c r="E761" s="31"/>
      <c r="F761" s="31"/>
      <c r="G761" s="31"/>
      <c r="H761" s="43"/>
      <c r="I761" s="41" t="str">
        <f>IF(Table46[[#This Row],[Month-Year]]="","",TEXT(Table46[[#This Row],[Month-Year]],"MMM-YY"))</f>
        <v/>
      </c>
      <c r="J761" s="31"/>
      <c r="K761" s="39">
        <f t="shared" si="182"/>
        <v>0</v>
      </c>
    </row>
    <row r="762" spans="3:11" ht="15.2">
      <c r="C762" s="29"/>
      <c r="D762" s="30"/>
      <c r="E762" s="31"/>
      <c r="F762" s="31"/>
      <c r="G762" s="31"/>
      <c r="H762" s="43"/>
      <c r="I762" s="41" t="str">
        <f>IF(Table46[[#This Row],[Month-Year]]="","",TEXT(Table46[[#This Row],[Month-Year]],"MMM-YY"))</f>
        <v/>
      </c>
      <c r="J762" s="31"/>
      <c r="K762" s="39">
        <f t="shared" ref="K762:K764" si="183">(F762*G762)*E762/100</f>
        <v>0</v>
      </c>
    </row>
    <row r="763" spans="3:11" ht="15.2">
      <c r="C763" s="29"/>
      <c r="D763" s="30"/>
      <c r="E763" s="31"/>
      <c r="F763" s="31"/>
      <c r="G763" s="31"/>
      <c r="H763" s="43"/>
      <c r="I763" s="41" t="str">
        <f>IF(Table46[[#This Row],[Month-Year]]="","",TEXT(Table46[[#This Row],[Month-Year]],"MMM-YY"))</f>
        <v/>
      </c>
      <c r="J763" s="31"/>
      <c r="K763" s="39">
        <f t="shared" si="183"/>
        <v>0</v>
      </c>
    </row>
    <row r="764" spans="3:11" ht="15.2">
      <c r="C764" s="29"/>
      <c r="D764" s="30"/>
      <c r="E764" s="31"/>
      <c r="F764" s="31"/>
      <c r="G764" s="31"/>
      <c r="H764" s="43"/>
      <c r="I764" s="41" t="str">
        <f>IF(Table46[[#This Row],[Month-Year]]="","",TEXT(Table46[[#This Row],[Month-Year]],"MMM-YY"))</f>
        <v/>
      </c>
      <c r="J764" s="31"/>
      <c r="K764" s="39">
        <f t="shared" si="183"/>
        <v>0</v>
      </c>
    </row>
    <row r="765" spans="3:11" ht="15.2">
      <c r="C765" s="29"/>
      <c r="D765" s="30"/>
      <c r="E765" s="31"/>
      <c r="F765" s="31"/>
      <c r="G765" s="31"/>
      <c r="H765" s="43"/>
      <c r="I765" s="41" t="str">
        <f>IF(Table46[[#This Row],[Month-Year]]="","",TEXT(Table46[[#This Row],[Month-Year]],"MMM-YY"))</f>
        <v/>
      </c>
      <c r="J765" s="31"/>
      <c r="K765" s="39">
        <f t="shared" ref="K765:K767" si="184">(F765*G765)*E765/100</f>
        <v>0</v>
      </c>
    </row>
    <row r="766" spans="3:11" ht="15.2">
      <c r="C766" s="29"/>
      <c r="D766" s="30"/>
      <c r="E766" s="31"/>
      <c r="F766" s="31"/>
      <c r="G766" s="31"/>
      <c r="H766" s="43"/>
      <c r="I766" s="41" t="str">
        <f>IF(Table46[[#This Row],[Month-Year]]="","",TEXT(Table46[[#This Row],[Month-Year]],"MMM-YY"))</f>
        <v/>
      </c>
      <c r="J766" s="31"/>
      <c r="K766" s="39">
        <f t="shared" si="184"/>
        <v>0</v>
      </c>
    </row>
    <row r="767" spans="3:11" ht="15.2">
      <c r="C767" s="29"/>
      <c r="D767" s="30"/>
      <c r="E767" s="31"/>
      <c r="F767" s="31"/>
      <c r="G767" s="31"/>
      <c r="H767" s="43"/>
      <c r="I767" s="41" t="str">
        <f>IF(Table46[[#This Row],[Month-Year]]="","",TEXT(Table46[[#This Row],[Month-Year]],"MMM-YY"))</f>
        <v/>
      </c>
      <c r="J767" s="31"/>
      <c r="K767" s="39">
        <f t="shared" si="184"/>
        <v>0</v>
      </c>
    </row>
    <row r="768" spans="3:11" ht="15.2">
      <c r="C768" s="29"/>
      <c r="D768" s="30"/>
      <c r="E768" s="31"/>
      <c r="F768" s="31"/>
      <c r="G768" s="31"/>
      <c r="H768" s="43"/>
      <c r="I768" s="41" t="str">
        <f>IF(Table46[[#This Row],[Month-Year]]="","",TEXT(Table46[[#This Row],[Month-Year]],"MMM-YY"))</f>
        <v/>
      </c>
      <c r="J768" s="31"/>
      <c r="K768" s="39">
        <f t="shared" ref="K768:K770" si="185">(F768*G768)*E768/100</f>
        <v>0</v>
      </c>
    </row>
    <row r="769" spans="3:11" ht="15.2">
      <c r="C769" s="29"/>
      <c r="D769" s="30"/>
      <c r="E769" s="31"/>
      <c r="F769" s="31"/>
      <c r="G769" s="31"/>
      <c r="H769" s="43"/>
      <c r="I769" s="41" t="str">
        <f>IF(Table46[[#This Row],[Month-Year]]="","",TEXT(Table46[[#This Row],[Month-Year]],"MMM-YY"))</f>
        <v/>
      </c>
      <c r="J769" s="31"/>
      <c r="K769" s="39">
        <f t="shared" si="185"/>
        <v>0</v>
      </c>
    </row>
    <row r="770" spans="3:11" ht="15.2">
      <c r="C770" s="29"/>
      <c r="D770" s="30"/>
      <c r="E770" s="31"/>
      <c r="F770" s="31"/>
      <c r="G770" s="31"/>
      <c r="H770" s="43"/>
      <c r="I770" s="41" t="str">
        <f>IF(Table46[[#This Row],[Month-Year]]="","",TEXT(Table46[[#This Row],[Month-Year]],"MMM-YY"))</f>
        <v/>
      </c>
      <c r="J770" s="31"/>
      <c r="K770" s="39">
        <f t="shared" si="185"/>
        <v>0</v>
      </c>
    </row>
    <row r="771" spans="3:11" ht="15.2">
      <c r="C771" s="29"/>
      <c r="D771" s="30"/>
      <c r="E771" s="31"/>
      <c r="F771" s="31"/>
      <c r="G771" s="31"/>
      <c r="H771" s="43"/>
      <c r="I771" s="41" t="str">
        <f>IF(Table46[[#This Row],[Month-Year]]="","",TEXT(Table46[[#This Row],[Month-Year]],"MMM-YY"))</f>
        <v/>
      </c>
      <c r="J771" s="31"/>
      <c r="K771" s="39">
        <f t="shared" ref="K771:K773" si="186">(F771*G771)*E771/100</f>
        <v>0</v>
      </c>
    </row>
    <row r="772" spans="3:11" ht="15.2">
      <c r="C772" s="29"/>
      <c r="D772" s="30"/>
      <c r="E772" s="31"/>
      <c r="F772" s="31"/>
      <c r="G772" s="31"/>
      <c r="H772" s="43"/>
      <c r="I772" s="41" t="str">
        <f>IF(Table46[[#This Row],[Month-Year]]="","",TEXT(Table46[[#This Row],[Month-Year]],"MMM-YY"))</f>
        <v/>
      </c>
      <c r="J772" s="31"/>
      <c r="K772" s="39">
        <f t="shared" si="186"/>
        <v>0</v>
      </c>
    </row>
    <row r="773" spans="3:11" ht="15.2">
      <c r="C773" s="29"/>
      <c r="D773" s="30"/>
      <c r="E773" s="31"/>
      <c r="F773" s="31"/>
      <c r="G773" s="31"/>
      <c r="H773" s="43"/>
      <c r="I773" s="41" t="str">
        <f>IF(Table46[[#This Row],[Month-Year]]="","",TEXT(Table46[[#This Row],[Month-Year]],"MMM-YY"))</f>
        <v/>
      </c>
      <c r="J773" s="31"/>
      <c r="K773" s="39">
        <f t="shared" si="186"/>
        <v>0</v>
      </c>
    </row>
    <row r="774" spans="3:11" ht="15.2">
      <c r="C774" s="29"/>
      <c r="D774" s="30"/>
      <c r="E774" s="31"/>
      <c r="F774" s="31"/>
      <c r="G774" s="31"/>
      <c r="H774" s="43"/>
      <c r="I774" s="41" t="str">
        <f>IF(Table46[[#This Row],[Month-Year]]="","",TEXT(Table46[[#This Row],[Month-Year]],"MMM-YY"))</f>
        <v/>
      </c>
      <c r="J774" s="31"/>
      <c r="K774" s="39">
        <f t="shared" ref="K774:K776" si="187">(F774*G774)*E774/100</f>
        <v>0</v>
      </c>
    </row>
    <row r="775" spans="3:11" ht="15.2">
      <c r="C775" s="29"/>
      <c r="D775" s="30"/>
      <c r="E775" s="31"/>
      <c r="F775" s="31"/>
      <c r="G775" s="31"/>
      <c r="H775" s="43"/>
      <c r="I775" s="41" t="str">
        <f>IF(Table46[[#This Row],[Month-Year]]="","",TEXT(Table46[[#This Row],[Month-Year]],"MMM-YY"))</f>
        <v/>
      </c>
      <c r="J775" s="31"/>
      <c r="K775" s="39">
        <f t="shared" si="187"/>
        <v>0</v>
      </c>
    </row>
    <row r="776" spans="3:11" ht="15.2">
      <c r="C776" s="29"/>
      <c r="D776" s="30"/>
      <c r="E776" s="31"/>
      <c r="F776" s="31"/>
      <c r="G776" s="31"/>
      <c r="H776" s="43"/>
      <c r="I776" s="41" t="str">
        <f>IF(Table46[[#This Row],[Month-Year]]="","",TEXT(Table46[[#This Row],[Month-Year]],"MMM-YY"))</f>
        <v/>
      </c>
      <c r="J776" s="31"/>
      <c r="K776" s="39">
        <f t="shared" si="187"/>
        <v>0</v>
      </c>
    </row>
    <row r="777" spans="3:11" ht="15.2">
      <c r="C777" s="29"/>
      <c r="D777" s="30"/>
      <c r="E777" s="31"/>
      <c r="F777" s="31"/>
      <c r="G777" s="31"/>
      <c r="H777" s="43"/>
      <c r="I777" s="41" t="str">
        <f>IF(Table46[[#This Row],[Month-Year]]="","",TEXT(Table46[[#This Row],[Month-Year]],"MMM-YY"))</f>
        <v/>
      </c>
      <c r="J777" s="31"/>
      <c r="K777" s="39">
        <f t="shared" ref="K777:K779" si="188">(F777*G777)*E777/100</f>
        <v>0</v>
      </c>
    </row>
    <row r="778" spans="3:11" ht="15.2">
      <c r="C778" s="29"/>
      <c r="D778" s="30"/>
      <c r="E778" s="31"/>
      <c r="F778" s="31"/>
      <c r="G778" s="31"/>
      <c r="H778" s="43"/>
      <c r="I778" s="41" t="str">
        <f>IF(Table46[[#This Row],[Month-Year]]="","",TEXT(Table46[[#This Row],[Month-Year]],"MMM-YY"))</f>
        <v/>
      </c>
      <c r="J778" s="31"/>
      <c r="K778" s="39">
        <f t="shared" si="188"/>
        <v>0</v>
      </c>
    </row>
    <row r="779" spans="3:11" ht="15.2">
      <c r="C779" s="29"/>
      <c r="D779" s="30"/>
      <c r="E779" s="31"/>
      <c r="F779" s="31"/>
      <c r="G779" s="31"/>
      <c r="H779" s="43"/>
      <c r="I779" s="41" t="str">
        <f>IF(Table46[[#This Row],[Month-Year]]="","",TEXT(Table46[[#This Row],[Month-Year]],"MMM-YY"))</f>
        <v/>
      </c>
      <c r="J779" s="31"/>
      <c r="K779" s="39">
        <f t="shared" si="188"/>
        <v>0</v>
      </c>
    </row>
    <row r="780" spans="3:11" ht="15.2">
      <c r="C780" s="29"/>
      <c r="D780" s="30"/>
      <c r="E780" s="31"/>
      <c r="F780" s="31"/>
      <c r="G780" s="31"/>
      <c r="H780" s="43"/>
      <c r="I780" s="41" t="str">
        <f>IF(Table46[[#This Row],[Month-Year]]="","",TEXT(Table46[[#This Row],[Month-Year]],"MMM-YY"))</f>
        <v/>
      </c>
      <c r="J780" s="31"/>
      <c r="K780" s="39">
        <f t="shared" ref="K780:K782" si="189">(F780*G780)*E780/100</f>
        <v>0</v>
      </c>
    </row>
    <row r="781" spans="3:11" ht="15.2">
      <c r="C781" s="29"/>
      <c r="D781" s="30"/>
      <c r="E781" s="31"/>
      <c r="F781" s="31"/>
      <c r="G781" s="31"/>
      <c r="H781" s="43"/>
      <c r="I781" s="41" t="str">
        <f>IF(Table46[[#This Row],[Month-Year]]="","",TEXT(Table46[[#This Row],[Month-Year]],"MMM-YY"))</f>
        <v/>
      </c>
      <c r="J781" s="31"/>
      <c r="K781" s="39">
        <f t="shared" si="189"/>
        <v>0</v>
      </c>
    </row>
    <row r="782" spans="3:11" ht="15.2">
      <c r="C782" s="29"/>
      <c r="D782" s="30"/>
      <c r="E782" s="31"/>
      <c r="F782" s="31"/>
      <c r="G782" s="31"/>
      <c r="H782" s="43"/>
      <c r="I782" s="41" t="str">
        <f>IF(Table46[[#This Row],[Month-Year]]="","",TEXT(Table46[[#This Row],[Month-Year]],"MMM-YY"))</f>
        <v/>
      </c>
      <c r="J782" s="31"/>
      <c r="K782" s="39">
        <f t="shared" si="189"/>
        <v>0</v>
      </c>
    </row>
    <row r="783" spans="3:11" ht="15.2">
      <c r="C783" s="29"/>
      <c r="D783" s="30"/>
      <c r="E783" s="31"/>
      <c r="F783" s="31"/>
      <c r="G783" s="31"/>
      <c r="H783" s="43"/>
      <c r="I783" s="41" t="str">
        <f>IF(Table46[[#This Row],[Month-Year]]="","",TEXT(Table46[[#This Row],[Month-Year]],"MMM-YY"))</f>
        <v/>
      </c>
      <c r="J783" s="31"/>
      <c r="K783" s="39">
        <f t="shared" ref="K783:K785" si="190">(F783*G783)*E783/100</f>
        <v>0</v>
      </c>
    </row>
    <row r="784" spans="3:11" ht="15.2">
      <c r="C784" s="29"/>
      <c r="D784" s="30"/>
      <c r="E784" s="31"/>
      <c r="F784" s="31"/>
      <c r="G784" s="31"/>
      <c r="H784" s="43"/>
      <c r="I784" s="41" t="str">
        <f>IF(Table46[[#This Row],[Month-Year]]="","",TEXT(Table46[[#This Row],[Month-Year]],"MMM-YY"))</f>
        <v/>
      </c>
      <c r="J784" s="31"/>
      <c r="K784" s="39">
        <f t="shared" si="190"/>
        <v>0</v>
      </c>
    </row>
    <row r="785" spans="3:11" ht="15.2">
      <c r="C785" s="29"/>
      <c r="D785" s="30"/>
      <c r="E785" s="31"/>
      <c r="F785" s="31"/>
      <c r="G785" s="31"/>
      <c r="H785" s="43"/>
      <c r="I785" s="41" t="str">
        <f>IF(Table46[[#This Row],[Month-Year]]="","",TEXT(Table46[[#This Row],[Month-Year]],"MMM-YY"))</f>
        <v/>
      </c>
      <c r="J785" s="31"/>
      <c r="K785" s="39">
        <f t="shared" si="190"/>
        <v>0</v>
      </c>
    </row>
    <row r="786" spans="3:11" ht="15.2">
      <c r="C786" s="29"/>
      <c r="D786" s="30"/>
      <c r="E786" s="31"/>
      <c r="F786" s="31"/>
      <c r="G786" s="31"/>
      <c r="H786" s="43"/>
      <c r="I786" s="41" t="str">
        <f>IF(Table46[[#This Row],[Month-Year]]="","",TEXT(Table46[[#This Row],[Month-Year]],"MMM-YY"))</f>
        <v/>
      </c>
      <c r="J786" s="31"/>
      <c r="K786" s="39">
        <f t="shared" ref="K786:K788" si="191">(F786*G786)*E786/100</f>
        <v>0</v>
      </c>
    </row>
    <row r="787" spans="3:11" ht="15.2">
      <c r="C787" s="29"/>
      <c r="D787" s="30"/>
      <c r="E787" s="31"/>
      <c r="F787" s="31"/>
      <c r="G787" s="31"/>
      <c r="H787" s="43"/>
      <c r="I787" s="41" t="str">
        <f>IF(Table46[[#This Row],[Month-Year]]="","",TEXT(Table46[[#This Row],[Month-Year]],"MMM-YY"))</f>
        <v/>
      </c>
      <c r="J787" s="31"/>
      <c r="K787" s="39">
        <f t="shared" si="191"/>
        <v>0</v>
      </c>
    </row>
    <row r="788" spans="3:11" ht="15.2">
      <c r="C788" s="29"/>
      <c r="D788" s="30"/>
      <c r="E788" s="31"/>
      <c r="F788" s="31"/>
      <c r="G788" s="31"/>
      <c r="H788" s="43"/>
      <c r="I788" s="41" t="str">
        <f>IF(Table46[[#This Row],[Month-Year]]="","",TEXT(Table46[[#This Row],[Month-Year]],"MMM-YY"))</f>
        <v/>
      </c>
      <c r="J788" s="31"/>
      <c r="K788" s="39">
        <f t="shared" si="191"/>
        <v>0</v>
      </c>
    </row>
    <row r="789" spans="3:11" ht="15.2">
      <c r="C789" s="29"/>
      <c r="D789" s="30"/>
      <c r="E789" s="31"/>
      <c r="F789" s="31"/>
      <c r="G789" s="31"/>
      <c r="H789" s="43"/>
      <c r="I789" s="41" t="str">
        <f>IF(Table46[[#This Row],[Month-Year]]="","",TEXT(Table46[[#This Row],[Month-Year]],"MMM-YY"))</f>
        <v/>
      </c>
      <c r="J789" s="31"/>
      <c r="K789" s="39">
        <f t="shared" ref="K789:K791" si="192">(F789*G789)*E789/100</f>
        <v>0</v>
      </c>
    </row>
    <row r="790" spans="3:11" ht="15.2">
      <c r="C790" s="29"/>
      <c r="D790" s="30"/>
      <c r="E790" s="31"/>
      <c r="F790" s="31"/>
      <c r="G790" s="31"/>
      <c r="H790" s="43"/>
      <c r="I790" s="41" t="str">
        <f>IF(Table46[[#This Row],[Month-Year]]="","",TEXT(Table46[[#This Row],[Month-Year]],"MMM-YY"))</f>
        <v/>
      </c>
      <c r="J790" s="31"/>
      <c r="K790" s="39">
        <f t="shared" si="192"/>
        <v>0</v>
      </c>
    </row>
    <row r="791" spans="3:11" ht="15.2">
      <c r="C791" s="29"/>
      <c r="D791" s="30"/>
      <c r="E791" s="31"/>
      <c r="F791" s="31"/>
      <c r="G791" s="31"/>
      <c r="H791" s="43"/>
      <c r="I791" s="41" t="str">
        <f>IF(Table46[[#This Row],[Month-Year]]="","",TEXT(Table46[[#This Row],[Month-Year]],"MMM-YY"))</f>
        <v/>
      </c>
      <c r="J791" s="31"/>
      <c r="K791" s="39">
        <f t="shared" si="192"/>
        <v>0</v>
      </c>
    </row>
    <row r="792" spans="3:11" ht="15.2">
      <c r="C792" s="29"/>
      <c r="D792" s="30"/>
      <c r="E792" s="31"/>
      <c r="F792" s="31"/>
      <c r="G792" s="31"/>
      <c r="H792" s="43"/>
      <c r="I792" s="41" t="str">
        <f>IF(Table46[[#This Row],[Month-Year]]="","",TEXT(Table46[[#This Row],[Month-Year]],"MMM-YY"))</f>
        <v/>
      </c>
      <c r="J792" s="31"/>
      <c r="K792" s="39">
        <f t="shared" ref="K792:K793" si="193">(F792*G792)*E792/100</f>
        <v>0</v>
      </c>
    </row>
    <row r="793" spans="3:11" ht="15.2">
      <c r="C793" s="29"/>
      <c r="D793" s="30"/>
      <c r="E793" s="31"/>
      <c r="F793" s="31"/>
      <c r="G793" s="31"/>
      <c r="H793" s="43"/>
      <c r="I793" s="41" t="str">
        <f>IF(Table46[[#This Row],[Month-Year]]="","",TEXT(Table46[[#This Row],[Month-Year]],"MMM-YY"))</f>
        <v/>
      </c>
      <c r="J793" s="31"/>
      <c r="K793" s="39">
        <f t="shared" si="193"/>
        <v>0</v>
      </c>
    </row>
    <row r="794" spans="3:11" ht="15.2">
      <c r="C794" s="29"/>
      <c r="D794" s="30"/>
      <c r="E794" s="31"/>
      <c r="F794" s="31"/>
      <c r="G794" s="31"/>
      <c r="H794" s="43"/>
      <c r="I794" s="41" t="str">
        <f>IF(Table46[[#This Row],[Month-Year]]="","",TEXT(Table46[[#This Row],[Month-Year]],"MMM-YY"))</f>
        <v/>
      </c>
      <c r="J794" s="31"/>
      <c r="K794" s="39">
        <f t="shared" ref="K794:K795" si="194">(F794*G794)*E794/100</f>
        <v>0</v>
      </c>
    </row>
    <row r="795" spans="3:11" ht="15.2">
      <c r="C795" s="29"/>
      <c r="D795" s="30"/>
      <c r="E795" s="31"/>
      <c r="F795" s="31"/>
      <c r="G795" s="31"/>
      <c r="H795" s="43"/>
      <c r="I795" s="41" t="str">
        <f>IF(Table46[[#This Row],[Month-Year]]="","",TEXT(Table46[[#This Row],[Month-Year]],"MMM-YY"))</f>
        <v/>
      </c>
      <c r="J795" s="31"/>
      <c r="K795" s="39">
        <f t="shared" si="194"/>
        <v>0</v>
      </c>
    </row>
    <row r="796" spans="3:11" ht="15.2">
      <c r="C796" s="29"/>
      <c r="D796" s="30"/>
      <c r="E796" s="31"/>
      <c r="F796" s="31"/>
      <c r="G796" s="31"/>
      <c r="H796" s="43"/>
      <c r="I796" s="41" t="str">
        <f>IF(Table46[[#This Row],[Month-Year]]="","",TEXT(Table46[[#This Row],[Month-Year]],"MMM-YY"))</f>
        <v/>
      </c>
      <c r="J796" s="31"/>
      <c r="K796" s="39">
        <f t="shared" ref="K796:K797" si="195">(F796*G796)*E796/100</f>
        <v>0</v>
      </c>
    </row>
    <row r="797" spans="3:11" ht="15.2">
      <c r="C797" s="29"/>
      <c r="D797" s="30"/>
      <c r="E797" s="31"/>
      <c r="F797" s="31"/>
      <c r="G797" s="31"/>
      <c r="H797" s="43"/>
      <c r="I797" s="41" t="str">
        <f>IF(Table46[[#This Row],[Month-Year]]="","",TEXT(Table46[[#This Row],[Month-Year]],"MMM-YY"))</f>
        <v/>
      </c>
      <c r="J797" s="31"/>
      <c r="K797" s="39">
        <f t="shared" si="195"/>
        <v>0</v>
      </c>
    </row>
    <row r="798" spans="3:11" ht="15.2">
      <c r="C798" s="29"/>
      <c r="D798" s="30"/>
      <c r="E798" s="31"/>
      <c r="F798" s="31"/>
      <c r="G798" s="31"/>
      <c r="H798" s="43"/>
      <c r="I798" s="41" t="str">
        <f>IF(Table46[[#This Row],[Month-Year]]="","",TEXT(Table46[[#This Row],[Month-Year]],"MMM-YY"))</f>
        <v/>
      </c>
      <c r="J798" s="31"/>
      <c r="K798" s="39">
        <f t="shared" ref="K798:K799" si="196">(F798*G798)*E798/100</f>
        <v>0</v>
      </c>
    </row>
    <row r="799" spans="3:11" ht="15.2">
      <c r="C799" s="29"/>
      <c r="D799" s="30"/>
      <c r="E799" s="31"/>
      <c r="F799" s="31"/>
      <c r="G799" s="31"/>
      <c r="H799" s="43"/>
      <c r="I799" s="41" t="str">
        <f>IF(Table46[[#This Row],[Month-Year]]="","",TEXT(Table46[[#This Row],[Month-Year]],"MMM-YY"))</f>
        <v/>
      </c>
      <c r="J799" s="31"/>
      <c r="K799" s="39">
        <f t="shared" si="196"/>
        <v>0</v>
      </c>
    </row>
    <row r="800" spans="3:11" ht="15.2">
      <c r="C800" s="29"/>
      <c r="D800" s="30"/>
      <c r="E800" s="31"/>
      <c r="F800" s="31"/>
      <c r="G800" s="31"/>
      <c r="H800" s="43"/>
      <c r="I800" s="41" t="str">
        <f>IF(Table46[[#This Row],[Month-Year]]="","",TEXT(Table46[[#This Row],[Month-Year]],"MMM-YY"))</f>
        <v/>
      </c>
      <c r="J800" s="31"/>
      <c r="K800" s="39">
        <f t="shared" ref="K800:K801" si="197">(F800*G800)*E800/100</f>
        <v>0</v>
      </c>
    </row>
    <row r="801" spans="3:11" ht="15.2">
      <c r="C801" s="29"/>
      <c r="D801" s="30"/>
      <c r="E801" s="31"/>
      <c r="F801" s="31"/>
      <c r="G801" s="31"/>
      <c r="H801" s="43"/>
      <c r="I801" s="41" t="str">
        <f>IF(Table46[[#This Row],[Month-Year]]="","",TEXT(Table46[[#This Row],[Month-Year]],"MMM-YY"))</f>
        <v/>
      </c>
      <c r="J801" s="31"/>
      <c r="K801" s="39">
        <f t="shared" si="197"/>
        <v>0</v>
      </c>
    </row>
    <row r="802" spans="3:11" ht="15.2">
      <c r="C802" s="29"/>
      <c r="D802" s="30"/>
      <c r="E802" s="31"/>
      <c r="F802" s="31"/>
      <c r="G802" s="31"/>
      <c r="H802" s="43"/>
      <c r="I802" s="41" t="str">
        <f>IF(Table46[[#This Row],[Month-Year]]="","",TEXT(Table46[[#This Row],[Month-Year]],"MMM-YY"))</f>
        <v/>
      </c>
      <c r="J802" s="31"/>
      <c r="K802" s="39">
        <f t="shared" ref="K802:K803" si="198">(F802*G802)*E802/100</f>
        <v>0</v>
      </c>
    </row>
    <row r="803" spans="3:11" ht="15.2">
      <c r="C803" s="29"/>
      <c r="D803" s="30"/>
      <c r="E803" s="31"/>
      <c r="F803" s="31"/>
      <c r="G803" s="31"/>
      <c r="H803" s="43"/>
      <c r="I803" s="41" t="str">
        <f>IF(Table46[[#This Row],[Month-Year]]="","",TEXT(Table46[[#This Row],[Month-Year]],"MMM-YY"))</f>
        <v/>
      </c>
      <c r="J803" s="31"/>
      <c r="K803" s="39">
        <f t="shared" si="198"/>
        <v>0</v>
      </c>
    </row>
    <row r="804" spans="3:11" ht="15.2">
      <c r="C804" s="29"/>
      <c r="D804" s="30"/>
      <c r="E804" s="31"/>
      <c r="F804" s="31"/>
      <c r="G804" s="31"/>
      <c r="H804" s="43"/>
      <c r="I804" s="41" t="str">
        <f>IF(Table46[[#This Row],[Month-Year]]="","",TEXT(Table46[[#This Row],[Month-Year]],"MMM-YY"))</f>
        <v/>
      </c>
      <c r="J804" s="31"/>
      <c r="K804" s="39">
        <f t="shared" ref="K804:K805" si="199">(F804*G804)*E804/100</f>
        <v>0</v>
      </c>
    </row>
    <row r="805" spans="3:11" ht="15.2">
      <c r="C805" s="29"/>
      <c r="D805" s="30"/>
      <c r="E805" s="31"/>
      <c r="F805" s="31"/>
      <c r="G805" s="31"/>
      <c r="H805" s="43"/>
      <c r="I805" s="41" t="str">
        <f>IF(Table46[[#This Row],[Month-Year]]="","",TEXT(Table46[[#This Row],[Month-Year]],"MMM-YY"))</f>
        <v/>
      </c>
      <c r="J805" s="31"/>
      <c r="K805" s="39">
        <f t="shared" si="199"/>
        <v>0</v>
      </c>
    </row>
    <row r="806" spans="3:11" ht="15.2">
      <c r="C806" s="29"/>
      <c r="D806" s="30"/>
      <c r="E806" s="31"/>
      <c r="F806" s="31"/>
      <c r="G806" s="31"/>
      <c r="H806" s="43"/>
      <c r="I806" s="41" t="str">
        <f>IF(Table46[[#This Row],[Month-Year]]="","",TEXT(Table46[[#This Row],[Month-Year]],"MMM-YY"))</f>
        <v/>
      </c>
      <c r="J806" s="31"/>
      <c r="K806" s="39">
        <f t="shared" ref="K806:K807" si="200">(F806*G806)*E806/100</f>
        <v>0</v>
      </c>
    </row>
    <row r="807" spans="3:11" ht="15.2">
      <c r="C807" s="29"/>
      <c r="D807" s="30"/>
      <c r="E807" s="31"/>
      <c r="F807" s="31"/>
      <c r="G807" s="31"/>
      <c r="H807" s="43"/>
      <c r="I807" s="41" t="str">
        <f>IF(Table46[[#This Row],[Month-Year]]="","",TEXT(Table46[[#This Row],[Month-Year]],"MMM-YY"))</f>
        <v/>
      </c>
      <c r="J807" s="31"/>
      <c r="K807" s="39">
        <f t="shared" si="200"/>
        <v>0</v>
      </c>
    </row>
    <row r="808" spans="3:11" ht="15.2">
      <c r="C808" s="29"/>
      <c r="D808" s="30"/>
      <c r="E808" s="31"/>
      <c r="F808" s="31"/>
      <c r="G808" s="31"/>
      <c r="H808" s="43"/>
      <c r="I808" s="41" t="str">
        <f>IF(Table46[[#This Row],[Month-Year]]="","",TEXT(Table46[[#This Row],[Month-Year]],"MMM-YY"))</f>
        <v/>
      </c>
      <c r="J808" s="31"/>
      <c r="K808" s="39">
        <f t="shared" ref="K808:K809" si="201">(F808*G808)*E808/100</f>
        <v>0</v>
      </c>
    </row>
    <row r="809" spans="3:11" ht="15.2">
      <c r="C809" s="29"/>
      <c r="D809" s="30"/>
      <c r="E809" s="31"/>
      <c r="F809" s="31"/>
      <c r="G809" s="31"/>
      <c r="H809" s="43"/>
      <c r="I809" s="41" t="str">
        <f>IF(Table46[[#This Row],[Month-Year]]="","",TEXT(Table46[[#This Row],[Month-Year]],"MMM-YY"))</f>
        <v/>
      </c>
      <c r="J809" s="31"/>
      <c r="K809" s="39">
        <f t="shared" si="201"/>
        <v>0</v>
      </c>
    </row>
    <row r="810" spans="3:11" ht="15.2">
      <c r="C810" s="29"/>
      <c r="D810" s="30"/>
      <c r="E810" s="31"/>
      <c r="F810" s="31"/>
      <c r="G810" s="31"/>
      <c r="H810" s="43"/>
      <c r="I810" s="41" t="str">
        <f>IF(Table46[[#This Row],[Month-Year]]="","",TEXT(Table46[[#This Row],[Month-Year]],"MMM-YY"))</f>
        <v/>
      </c>
      <c r="J810" s="31"/>
      <c r="K810" s="39">
        <f t="shared" ref="K810:K811" si="202">(F810*G810)*E810/100</f>
        <v>0</v>
      </c>
    </row>
    <row r="811" spans="3:11" ht="15.2">
      <c r="C811" s="29"/>
      <c r="D811" s="30"/>
      <c r="E811" s="31"/>
      <c r="F811" s="31"/>
      <c r="G811" s="31"/>
      <c r="H811" s="43"/>
      <c r="I811" s="41" t="str">
        <f>IF(Table46[[#This Row],[Month-Year]]="","",TEXT(Table46[[#This Row],[Month-Year]],"MMM-YY"))</f>
        <v/>
      </c>
      <c r="J811" s="31"/>
      <c r="K811" s="39">
        <f t="shared" si="202"/>
        <v>0</v>
      </c>
    </row>
    <row r="812" spans="3:11" ht="15.2">
      <c r="C812" s="29"/>
      <c r="D812" s="30"/>
      <c r="E812" s="31"/>
      <c r="F812" s="31"/>
      <c r="G812" s="31"/>
      <c r="H812" s="43"/>
      <c r="I812" s="41" t="str">
        <f>IF(Table46[[#This Row],[Month-Year]]="","",TEXT(Table46[[#This Row],[Month-Year]],"MMM-YY"))</f>
        <v/>
      </c>
      <c r="J812" s="31"/>
      <c r="K812" s="39">
        <f t="shared" ref="K812:K813" si="203">(F812*G812)*E812/100</f>
        <v>0</v>
      </c>
    </row>
    <row r="813" spans="3:11" ht="15.2">
      <c r="C813" s="29"/>
      <c r="D813" s="30"/>
      <c r="E813" s="31"/>
      <c r="F813" s="31"/>
      <c r="G813" s="31"/>
      <c r="H813" s="43"/>
      <c r="I813" s="41" t="str">
        <f>IF(Table46[[#This Row],[Month-Year]]="","",TEXT(Table46[[#This Row],[Month-Year]],"MMM-YY"))</f>
        <v/>
      </c>
      <c r="J813" s="31"/>
      <c r="K813" s="39">
        <f t="shared" si="203"/>
        <v>0</v>
      </c>
    </row>
    <row r="814" spans="3:11" ht="15.2">
      <c r="C814" s="29"/>
      <c r="D814" s="30"/>
      <c r="E814" s="31"/>
      <c r="F814" s="31"/>
      <c r="G814" s="31"/>
      <c r="H814" s="43"/>
      <c r="I814" s="41" t="str">
        <f>IF(Table46[[#This Row],[Month-Year]]="","",TEXT(Table46[[#This Row],[Month-Year]],"MMM-YY"))</f>
        <v/>
      </c>
      <c r="J814" s="31"/>
      <c r="K814" s="39">
        <f t="shared" ref="K814:K815" si="204">(F814*G814)*E814/100</f>
        <v>0</v>
      </c>
    </row>
    <row r="815" spans="3:11" ht="15.2">
      <c r="C815" s="29"/>
      <c r="D815" s="30"/>
      <c r="E815" s="31"/>
      <c r="F815" s="31"/>
      <c r="G815" s="31"/>
      <c r="H815" s="43"/>
      <c r="I815" s="41" t="str">
        <f>IF(Table46[[#This Row],[Month-Year]]="","",TEXT(Table46[[#This Row],[Month-Year]],"MMM-YY"))</f>
        <v/>
      </c>
      <c r="J815" s="31"/>
      <c r="K815" s="39">
        <f t="shared" si="204"/>
        <v>0</v>
      </c>
    </row>
    <row r="816" spans="3:11" ht="15.2">
      <c r="C816" s="29"/>
      <c r="D816" s="30"/>
      <c r="E816" s="31"/>
      <c r="F816" s="31"/>
      <c r="G816" s="31"/>
      <c r="H816" s="43"/>
      <c r="I816" s="41" t="str">
        <f>IF(Table46[[#This Row],[Month-Year]]="","",TEXT(Table46[[#This Row],[Month-Year]],"MMM-YY"))</f>
        <v/>
      </c>
      <c r="J816" s="31"/>
      <c r="K816" s="39">
        <f t="shared" ref="K816:K817" si="205">(F816*G816)*E816/100</f>
        <v>0</v>
      </c>
    </row>
    <row r="817" spans="3:11" ht="15.2">
      <c r="C817" s="29"/>
      <c r="D817" s="30"/>
      <c r="E817" s="31"/>
      <c r="F817" s="31"/>
      <c r="G817" s="31"/>
      <c r="H817" s="43"/>
      <c r="I817" s="41" t="str">
        <f>IF(Table46[[#This Row],[Month-Year]]="","",TEXT(Table46[[#This Row],[Month-Year]],"MMM-YY"))</f>
        <v/>
      </c>
      <c r="J817" s="31"/>
      <c r="K817" s="39">
        <f t="shared" si="205"/>
        <v>0</v>
      </c>
    </row>
    <row r="818" spans="3:11" ht="15.2">
      <c r="C818" s="29"/>
      <c r="D818" s="30"/>
      <c r="E818" s="31"/>
      <c r="F818" s="31"/>
      <c r="G818" s="31"/>
      <c r="H818" s="43"/>
      <c r="I818" s="41" t="str">
        <f>IF(Table46[[#This Row],[Month-Year]]="","",TEXT(Table46[[#This Row],[Month-Year]],"MMM-YY"))</f>
        <v/>
      </c>
      <c r="J818" s="31"/>
      <c r="K818" s="39">
        <f t="shared" ref="K818:K819" si="206">(F818*G818)*E818/100</f>
        <v>0</v>
      </c>
    </row>
    <row r="819" spans="3:11" ht="15.2">
      <c r="C819" s="29"/>
      <c r="D819" s="30"/>
      <c r="E819" s="31"/>
      <c r="F819" s="31"/>
      <c r="G819" s="31"/>
      <c r="H819" s="43"/>
      <c r="I819" s="41" t="str">
        <f>IF(Table46[[#This Row],[Month-Year]]="","",TEXT(Table46[[#This Row],[Month-Year]],"MMM-YY"))</f>
        <v/>
      </c>
      <c r="J819" s="31"/>
      <c r="K819" s="39">
        <f t="shared" si="206"/>
        <v>0</v>
      </c>
    </row>
    <row r="820" spans="3:11" ht="15.2">
      <c r="C820" s="29"/>
      <c r="D820" s="30"/>
      <c r="E820" s="31"/>
      <c r="F820" s="31"/>
      <c r="G820" s="31"/>
      <c r="H820" s="43"/>
      <c r="I820" s="41" t="str">
        <f>IF(Table46[[#This Row],[Month-Year]]="","",TEXT(Table46[[#This Row],[Month-Year]],"MMM-YY"))</f>
        <v/>
      </c>
      <c r="J820" s="31"/>
      <c r="K820" s="39">
        <f t="shared" ref="K820:K821" si="207">(F820*G820)*E820/100</f>
        <v>0</v>
      </c>
    </row>
    <row r="821" spans="3:11" ht="15.2">
      <c r="C821" s="29"/>
      <c r="D821" s="30"/>
      <c r="E821" s="31"/>
      <c r="F821" s="31"/>
      <c r="G821" s="31"/>
      <c r="H821" s="43"/>
      <c r="I821" s="41" t="str">
        <f>IF(Table46[[#This Row],[Month-Year]]="","",TEXT(Table46[[#This Row],[Month-Year]],"MMM-YY"))</f>
        <v/>
      </c>
      <c r="J821" s="31"/>
      <c r="K821" s="39">
        <f t="shared" si="207"/>
        <v>0</v>
      </c>
    </row>
    <row r="822" spans="3:11" ht="15.2">
      <c r="C822" s="29"/>
      <c r="D822" s="30"/>
      <c r="E822" s="31"/>
      <c r="F822" s="31"/>
      <c r="G822" s="31"/>
      <c r="H822" s="43"/>
      <c r="I822" s="41" t="str">
        <f>IF(Table46[[#This Row],[Month-Year]]="","",TEXT(Table46[[#This Row],[Month-Year]],"MMM-YY"))</f>
        <v/>
      </c>
      <c r="J822" s="31"/>
      <c r="K822" s="39">
        <f t="shared" ref="K822:K823" si="208">(F822*G822)*E822/100</f>
        <v>0</v>
      </c>
    </row>
    <row r="823" spans="3:11" ht="15.2">
      <c r="C823" s="29"/>
      <c r="D823" s="30"/>
      <c r="E823" s="31"/>
      <c r="F823" s="31"/>
      <c r="G823" s="31"/>
      <c r="H823" s="43"/>
      <c r="I823" s="41" t="str">
        <f>IF(Table46[[#This Row],[Month-Year]]="","",TEXT(Table46[[#This Row],[Month-Year]],"MMM-YY"))</f>
        <v/>
      </c>
      <c r="J823" s="31"/>
      <c r="K823" s="39">
        <f t="shared" si="208"/>
        <v>0</v>
      </c>
    </row>
    <row r="824" spans="3:11" ht="15.2">
      <c r="C824" s="29"/>
      <c r="D824" s="30"/>
      <c r="E824" s="31"/>
      <c r="F824" s="31"/>
      <c r="G824" s="31"/>
      <c r="H824" s="43"/>
      <c r="I824" s="41" t="str">
        <f>IF(Table46[[#This Row],[Month-Year]]="","",TEXT(Table46[[#This Row],[Month-Year]],"MMM-YY"))</f>
        <v/>
      </c>
      <c r="J824" s="31"/>
      <c r="K824" s="39">
        <f t="shared" ref="K824:K825" si="209">(F824*G824)*E824/100</f>
        <v>0</v>
      </c>
    </row>
    <row r="825" spans="3:11" ht="15.2">
      <c r="C825" s="29"/>
      <c r="D825" s="30"/>
      <c r="E825" s="31"/>
      <c r="F825" s="31"/>
      <c r="G825" s="31"/>
      <c r="H825" s="43"/>
      <c r="I825" s="41" t="str">
        <f>IF(Table46[[#This Row],[Month-Year]]="","",TEXT(Table46[[#This Row],[Month-Year]],"MMM-YY"))</f>
        <v/>
      </c>
      <c r="J825" s="31"/>
      <c r="K825" s="39">
        <f t="shared" si="209"/>
        <v>0</v>
      </c>
    </row>
    <row r="826" spans="3:11" ht="15.2">
      <c r="C826" s="29"/>
      <c r="D826" s="30"/>
      <c r="E826" s="31"/>
      <c r="F826" s="31"/>
      <c r="G826" s="31"/>
      <c r="H826" s="43"/>
      <c r="I826" s="41" t="str">
        <f>IF(Table46[[#This Row],[Month-Year]]="","",TEXT(Table46[[#This Row],[Month-Year]],"MMM-YY"))</f>
        <v/>
      </c>
      <c r="J826" s="31"/>
      <c r="K826" s="39">
        <f t="shared" ref="K826:K827" si="210">(F826*G826)*E826/100</f>
        <v>0</v>
      </c>
    </row>
    <row r="827" spans="3:11" ht="15.2">
      <c r="C827" s="29"/>
      <c r="D827" s="30"/>
      <c r="E827" s="31"/>
      <c r="F827" s="31"/>
      <c r="G827" s="31"/>
      <c r="H827" s="43"/>
      <c r="I827" s="41" t="str">
        <f>IF(Table46[[#This Row],[Month-Year]]="","",TEXT(Table46[[#This Row],[Month-Year]],"MMM-YY"))</f>
        <v/>
      </c>
      <c r="J827" s="31"/>
      <c r="K827" s="39">
        <f t="shared" si="210"/>
        <v>0</v>
      </c>
    </row>
    <row r="828" spans="3:11" ht="15.2">
      <c r="C828" s="29"/>
      <c r="D828" s="30"/>
      <c r="E828" s="31"/>
      <c r="F828" s="31"/>
      <c r="G828" s="31"/>
      <c r="H828" s="43"/>
      <c r="I828" s="41" t="str">
        <f>IF(Table46[[#This Row],[Month-Year]]="","",TEXT(Table46[[#This Row],[Month-Year]],"MMM-YY"))</f>
        <v/>
      </c>
      <c r="J828" s="31"/>
      <c r="K828" s="39">
        <f t="shared" ref="K828:K829" si="211">(F828*G828)*E828/100</f>
        <v>0</v>
      </c>
    </row>
    <row r="829" spans="3:11" ht="15.2">
      <c r="C829" s="29"/>
      <c r="D829" s="30"/>
      <c r="E829" s="31"/>
      <c r="F829" s="31"/>
      <c r="G829" s="31"/>
      <c r="H829" s="43"/>
      <c r="I829" s="41" t="str">
        <f>IF(Table46[[#This Row],[Month-Year]]="","",TEXT(Table46[[#This Row],[Month-Year]],"MMM-YY"))</f>
        <v/>
      </c>
      <c r="J829" s="31"/>
      <c r="K829" s="39">
        <f t="shared" si="211"/>
        <v>0</v>
      </c>
    </row>
    <row r="830" spans="3:11" ht="15.2">
      <c r="C830" s="29"/>
      <c r="D830" s="30"/>
      <c r="E830" s="31"/>
      <c r="F830" s="31"/>
      <c r="G830" s="31"/>
      <c r="H830" s="43"/>
      <c r="I830" s="41" t="str">
        <f>IF(Table46[[#This Row],[Month-Year]]="","",TEXT(Table46[[#This Row],[Month-Year]],"MMM-YY"))</f>
        <v/>
      </c>
      <c r="J830" s="31"/>
      <c r="K830" s="39">
        <f t="shared" ref="K830:K831" si="212">(F830*G830)*E830/100</f>
        <v>0</v>
      </c>
    </row>
    <row r="831" spans="3:11" ht="15.2">
      <c r="C831" s="29"/>
      <c r="D831" s="30"/>
      <c r="E831" s="31"/>
      <c r="F831" s="31"/>
      <c r="G831" s="31"/>
      <c r="H831" s="43"/>
      <c r="I831" s="41" t="str">
        <f>IF(Table46[[#This Row],[Month-Year]]="","",TEXT(Table46[[#This Row],[Month-Year]],"MMM-YY"))</f>
        <v/>
      </c>
      <c r="J831" s="31"/>
      <c r="K831" s="39">
        <f t="shared" si="212"/>
        <v>0</v>
      </c>
    </row>
    <row r="832" spans="3:11" ht="15.2">
      <c r="C832" s="29"/>
      <c r="D832" s="30"/>
      <c r="E832" s="31"/>
      <c r="F832" s="31"/>
      <c r="G832" s="31"/>
      <c r="H832" s="43"/>
      <c r="I832" s="41" t="str">
        <f>IF(Table46[[#This Row],[Month-Year]]="","",TEXT(Table46[[#This Row],[Month-Year]],"MMM-YY"))</f>
        <v/>
      </c>
      <c r="J832" s="31"/>
      <c r="K832" s="39">
        <f t="shared" ref="K832:K833" si="213">(F832*G832)*E832/100</f>
        <v>0</v>
      </c>
    </row>
    <row r="833" spans="3:11" ht="15.2">
      <c r="C833" s="29"/>
      <c r="D833" s="30"/>
      <c r="E833" s="31"/>
      <c r="F833" s="31"/>
      <c r="G833" s="31"/>
      <c r="H833" s="43"/>
      <c r="I833" s="41" t="str">
        <f>IF(Table46[[#This Row],[Month-Year]]="","",TEXT(Table46[[#This Row],[Month-Year]],"MMM-YY"))</f>
        <v/>
      </c>
      <c r="J833" s="31"/>
      <c r="K833" s="39">
        <f t="shared" si="213"/>
        <v>0</v>
      </c>
    </row>
    <row r="834" spans="3:11" ht="15.2">
      <c r="C834" s="29"/>
      <c r="D834" s="30"/>
      <c r="E834" s="31"/>
      <c r="F834" s="31"/>
      <c r="G834" s="31"/>
      <c r="H834" s="43"/>
      <c r="I834" s="41" t="str">
        <f>IF(Table46[[#This Row],[Month-Year]]="","",TEXT(Table46[[#This Row],[Month-Year]],"MMM-YY"))</f>
        <v/>
      </c>
      <c r="J834" s="31"/>
      <c r="K834" s="39">
        <f t="shared" ref="K834:K835" si="214">(F834*G834)*E834/100</f>
        <v>0</v>
      </c>
    </row>
    <row r="835" spans="3:11" ht="15.2">
      <c r="C835" s="29"/>
      <c r="D835" s="30"/>
      <c r="E835" s="31"/>
      <c r="F835" s="31"/>
      <c r="G835" s="31"/>
      <c r="H835" s="43"/>
      <c r="I835" s="41" t="str">
        <f>IF(Table46[[#This Row],[Month-Year]]="","",TEXT(Table46[[#This Row],[Month-Year]],"MMM-YY"))</f>
        <v/>
      </c>
      <c r="J835" s="31"/>
      <c r="K835" s="39">
        <f t="shared" si="214"/>
        <v>0</v>
      </c>
    </row>
    <row r="836" spans="3:11" ht="15.2">
      <c r="C836" s="29"/>
      <c r="D836" s="30"/>
      <c r="E836" s="31"/>
      <c r="F836" s="31"/>
      <c r="G836" s="31"/>
      <c r="H836" s="43"/>
      <c r="I836" s="41" t="str">
        <f>IF(Table46[[#This Row],[Month-Year]]="","",TEXT(Table46[[#This Row],[Month-Year]],"MMM-YY"))</f>
        <v/>
      </c>
      <c r="J836" s="31"/>
      <c r="K836" s="39">
        <f t="shared" ref="K836:K837" si="215">(F836*G836)*E836/100</f>
        <v>0</v>
      </c>
    </row>
    <row r="837" spans="3:11" ht="15.2">
      <c r="C837" s="29"/>
      <c r="D837" s="30"/>
      <c r="E837" s="31"/>
      <c r="F837" s="31"/>
      <c r="G837" s="31"/>
      <c r="H837" s="43"/>
      <c r="I837" s="41" t="str">
        <f>IF(Table46[[#This Row],[Month-Year]]="","",TEXT(Table46[[#This Row],[Month-Year]],"MMM-YY"))</f>
        <v/>
      </c>
      <c r="J837" s="31"/>
      <c r="K837" s="39">
        <f t="shared" si="215"/>
        <v>0</v>
      </c>
    </row>
    <row r="838" spans="3:11" ht="15.2">
      <c r="C838" s="29"/>
      <c r="D838" s="30"/>
      <c r="E838" s="31"/>
      <c r="F838" s="31"/>
      <c r="G838" s="31"/>
      <c r="H838" s="43"/>
      <c r="I838" s="41" t="str">
        <f>IF(Table46[[#This Row],[Month-Year]]="","",TEXT(Table46[[#This Row],[Month-Year]],"MMM-YY"))</f>
        <v/>
      </c>
      <c r="J838" s="31"/>
      <c r="K838" s="39">
        <f t="shared" ref="K838:K839" si="216">(F838*G838)*E838/100</f>
        <v>0</v>
      </c>
    </row>
    <row r="839" spans="3:11" ht="15.2">
      <c r="C839" s="29"/>
      <c r="D839" s="30"/>
      <c r="E839" s="31"/>
      <c r="F839" s="31"/>
      <c r="G839" s="31"/>
      <c r="H839" s="43"/>
      <c r="I839" s="41" t="str">
        <f>IF(Table46[[#This Row],[Month-Year]]="","",TEXT(Table46[[#This Row],[Month-Year]],"MMM-YY"))</f>
        <v/>
      </c>
      <c r="J839" s="31"/>
      <c r="K839" s="39">
        <f t="shared" si="216"/>
        <v>0</v>
      </c>
    </row>
    <row r="840" spans="3:11" ht="15.2">
      <c r="C840" s="29"/>
      <c r="D840" s="30"/>
      <c r="E840" s="31"/>
      <c r="F840" s="31"/>
      <c r="G840" s="31"/>
      <c r="H840" s="43"/>
      <c r="I840" s="41" t="str">
        <f>IF(Table46[[#This Row],[Month-Year]]="","",TEXT(Table46[[#This Row],[Month-Year]],"MMM-YY"))</f>
        <v/>
      </c>
      <c r="J840" s="31"/>
      <c r="K840" s="39">
        <f t="shared" ref="K840:K841" si="217">(F840*G840)*E840/100</f>
        <v>0</v>
      </c>
    </row>
    <row r="841" spans="3:11" ht="15.2">
      <c r="C841" s="29"/>
      <c r="D841" s="30"/>
      <c r="E841" s="31"/>
      <c r="F841" s="31"/>
      <c r="G841" s="31"/>
      <c r="H841" s="43"/>
      <c r="I841" s="41" t="str">
        <f>IF(Table46[[#This Row],[Month-Year]]="","",TEXT(Table46[[#This Row],[Month-Year]],"MMM-YY"))</f>
        <v/>
      </c>
      <c r="J841" s="31"/>
      <c r="K841" s="39">
        <f t="shared" si="217"/>
        <v>0</v>
      </c>
    </row>
    <row r="842" spans="3:11" ht="15.2">
      <c r="C842" s="29"/>
      <c r="D842" s="30"/>
      <c r="E842" s="31"/>
      <c r="F842" s="31"/>
      <c r="G842" s="31"/>
      <c r="H842" s="43"/>
      <c r="I842" s="41" t="str">
        <f>IF(Table46[[#This Row],[Month-Year]]="","",TEXT(Table46[[#This Row],[Month-Year]],"MMM-YY"))</f>
        <v/>
      </c>
      <c r="J842" s="31"/>
      <c r="K842" s="39">
        <f t="shared" ref="K842:K843" si="218">(F842*G842)*E842/100</f>
        <v>0</v>
      </c>
    </row>
    <row r="843" spans="3:11" ht="15.2">
      <c r="C843" s="29"/>
      <c r="D843" s="30"/>
      <c r="E843" s="31"/>
      <c r="F843" s="31"/>
      <c r="G843" s="31"/>
      <c r="H843" s="43"/>
      <c r="I843" s="41" t="str">
        <f>IF(Table46[[#This Row],[Month-Year]]="","",TEXT(Table46[[#This Row],[Month-Year]],"MMM-YY"))</f>
        <v/>
      </c>
      <c r="J843" s="31"/>
      <c r="K843" s="39">
        <f t="shared" si="218"/>
        <v>0</v>
      </c>
    </row>
    <row r="844" spans="3:11" ht="15.2">
      <c r="C844" s="29"/>
      <c r="D844" s="30"/>
      <c r="E844" s="31"/>
      <c r="F844" s="31"/>
      <c r="G844" s="31"/>
      <c r="H844" s="43"/>
      <c r="I844" s="41" t="str">
        <f>IF(Table46[[#This Row],[Month-Year]]="","",TEXT(Table46[[#This Row],[Month-Year]],"MMM-YY"))</f>
        <v/>
      </c>
      <c r="J844" s="31"/>
      <c r="K844" s="39">
        <f t="shared" ref="K844:K845" si="219">(F844*G844)*E844/100</f>
        <v>0</v>
      </c>
    </row>
    <row r="845" spans="3:11" ht="15.2">
      <c r="C845" s="29"/>
      <c r="D845" s="30"/>
      <c r="E845" s="31"/>
      <c r="F845" s="31"/>
      <c r="G845" s="31"/>
      <c r="H845" s="43"/>
      <c r="I845" s="41" t="str">
        <f>IF(Table46[[#This Row],[Month-Year]]="","",TEXT(Table46[[#This Row],[Month-Year]],"MMM-YY"))</f>
        <v/>
      </c>
      <c r="J845" s="31"/>
      <c r="K845" s="39">
        <f t="shared" si="219"/>
        <v>0</v>
      </c>
    </row>
    <row r="846" spans="3:11" ht="15.2">
      <c r="C846" s="29"/>
      <c r="D846" s="30"/>
      <c r="E846" s="31"/>
      <c r="F846" s="31"/>
      <c r="G846" s="31"/>
      <c r="H846" s="43"/>
      <c r="I846" s="41" t="str">
        <f>IF(Table46[[#This Row],[Month-Year]]="","",TEXT(Table46[[#This Row],[Month-Year]],"MMM-YY"))</f>
        <v/>
      </c>
      <c r="J846" s="31"/>
      <c r="K846" s="39">
        <f t="shared" ref="K846:K847" si="220">(F846*G846)*E846/100</f>
        <v>0</v>
      </c>
    </row>
    <row r="847" spans="3:11" ht="15.2">
      <c r="C847" s="29"/>
      <c r="D847" s="30"/>
      <c r="E847" s="31"/>
      <c r="F847" s="31"/>
      <c r="G847" s="31"/>
      <c r="H847" s="43"/>
      <c r="I847" s="41" t="str">
        <f>IF(Table46[[#This Row],[Month-Year]]="","",TEXT(Table46[[#This Row],[Month-Year]],"MMM-YY"))</f>
        <v/>
      </c>
      <c r="J847" s="31"/>
      <c r="K847" s="39">
        <f t="shared" si="220"/>
        <v>0</v>
      </c>
    </row>
    <row r="848" spans="3:11" ht="15.2">
      <c r="C848" s="29"/>
      <c r="D848" s="30"/>
      <c r="E848" s="31"/>
      <c r="F848" s="31"/>
      <c r="G848" s="31"/>
      <c r="H848" s="43"/>
      <c r="I848" s="41" t="str">
        <f>IF(Table46[[#This Row],[Month-Year]]="","",TEXT(Table46[[#This Row],[Month-Year]],"MMM-YY"))</f>
        <v/>
      </c>
      <c r="J848" s="31"/>
      <c r="K848" s="39">
        <f t="shared" ref="K848:K849" si="221">(F848*G848)*E848/100</f>
        <v>0</v>
      </c>
    </row>
    <row r="849" spans="3:11" ht="15.2">
      <c r="C849" s="29"/>
      <c r="D849" s="30"/>
      <c r="E849" s="31"/>
      <c r="F849" s="31"/>
      <c r="G849" s="31"/>
      <c r="H849" s="43"/>
      <c r="I849" s="41" t="str">
        <f>IF(Table46[[#This Row],[Month-Year]]="","",TEXT(Table46[[#This Row],[Month-Year]],"MMM-YY"))</f>
        <v/>
      </c>
      <c r="J849" s="31"/>
      <c r="K849" s="39">
        <f t="shared" si="221"/>
        <v>0</v>
      </c>
    </row>
    <row r="850" spans="3:11" ht="15.2">
      <c r="C850" s="29"/>
      <c r="D850" s="30"/>
      <c r="E850" s="31"/>
      <c r="F850" s="31"/>
      <c r="G850" s="31"/>
      <c r="H850" s="43"/>
      <c r="I850" s="41" t="str">
        <f>IF(Table46[[#This Row],[Month-Year]]="","",TEXT(Table46[[#This Row],[Month-Year]],"MMM-YY"))</f>
        <v/>
      </c>
      <c r="J850" s="31"/>
      <c r="K850" s="39">
        <f t="shared" ref="K850:K851" si="222">(F850*G850)*E850/100</f>
        <v>0</v>
      </c>
    </row>
    <row r="851" spans="3:11" ht="15.2">
      <c r="C851" s="29"/>
      <c r="D851" s="30"/>
      <c r="E851" s="31"/>
      <c r="F851" s="31"/>
      <c r="G851" s="31"/>
      <c r="H851" s="43"/>
      <c r="I851" s="41" t="str">
        <f>IF(Table46[[#This Row],[Month-Year]]="","",TEXT(Table46[[#This Row],[Month-Year]],"MMM-YY"))</f>
        <v/>
      </c>
      <c r="J851" s="31"/>
      <c r="K851" s="39">
        <f t="shared" si="222"/>
        <v>0</v>
      </c>
    </row>
    <row r="852" spans="3:11" ht="15.2">
      <c r="C852" s="29"/>
      <c r="D852" s="30"/>
      <c r="E852" s="31"/>
      <c r="F852" s="31"/>
      <c r="G852" s="31"/>
      <c r="H852" s="43"/>
      <c r="I852" s="41" t="str">
        <f>IF(Table46[[#This Row],[Month-Year]]="","",TEXT(Table46[[#This Row],[Month-Year]],"MMM-YY"))</f>
        <v/>
      </c>
      <c r="J852" s="31"/>
      <c r="K852" s="39">
        <f t="shared" ref="K852:K853" si="223">(F852*G852)*E852/100</f>
        <v>0</v>
      </c>
    </row>
    <row r="853" spans="3:11" ht="15.2">
      <c r="C853" s="29"/>
      <c r="D853" s="30"/>
      <c r="E853" s="31"/>
      <c r="F853" s="31"/>
      <c r="G853" s="31"/>
      <c r="H853" s="43"/>
      <c r="I853" s="41" t="str">
        <f>IF(Table46[[#This Row],[Month-Year]]="","",TEXT(Table46[[#This Row],[Month-Year]],"MMM-YY"))</f>
        <v/>
      </c>
      <c r="J853" s="31"/>
      <c r="K853" s="39">
        <f t="shared" si="223"/>
        <v>0</v>
      </c>
    </row>
    <row r="854" spans="3:11" ht="15.2">
      <c r="C854" s="29"/>
      <c r="D854" s="30"/>
      <c r="E854" s="31"/>
      <c r="F854" s="31"/>
      <c r="G854" s="31"/>
      <c r="H854" s="43"/>
      <c r="I854" s="41" t="str">
        <f>IF(Table46[[#This Row],[Month-Year]]="","",TEXT(Table46[[#This Row],[Month-Year]],"MMM-YY"))</f>
        <v/>
      </c>
      <c r="J854" s="31"/>
      <c r="K854" s="39">
        <f t="shared" ref="K854:K855" si="224">(F854*G854)*E854/100</f>
        <v>0</v>
      </c>
    </row>
    <row r="855" spans="3:11" ht="15.2">
      <c r="C855" s="29"/>
      <c r="D855" s="30"/>
      <c r="E855" s="31"/>
      <c r="F855" s="31"/>
      <c r="G855" s="31"/>
      <c r="H855" s="43"/>
      <c r="I855" s="41" t="str">
        <f>IF(Table46[[#This Row],[Month-Year]]="","",TEXT(Table46[[#This Row],[Month-Year]],"MMM-YY"))</f>
        <v/>
      </c>
      <c r="J855" s="31"/>
      <c r="K855" s="39">
        <f t="shared" si="224"/>
        <v>0</v>
      </c>
    </row>
    <row r="856" spans="3:11" ht="15.2">
      <c r="C856" s="29"/>
      <c r="D856" s="30"/>
      <c r="E856" s="31"/>
      <c r="F856" s="31"/>
      <c r="G856" s="31"/>
      <c r="H856" s="43"/>
      <c r="I856" s="41" t="str">
        <f>IF(Table46[[#This Row],[Month-Year]]="","",TEXT(Table46[[#This Row],[Month-Year]],"MMM-YY"))</f>
        <v/>
      </c>
      <c r="J856" s="31"/>
      <c r="K856" s="39">
        <f t="shared" ref="K856:K857" si="225">(F856*G856)*E856/100</f>
        <v>0</v>
      </c>
    </row>
    <row r="857" spans="3:11" ht="15.2">
      <c r="C857" s="29"/>
      <c r="D857" s="30"/>
      <c r="E857" s="31"/>
      <c r="F857" s="31"/>
      <c r="G857" s="31"/>
      <c r="H857" s="43"/>
      <c r="I857" s="41" t="str">
        <f>IF(Table46[[#This Row],[Month-Year]]="","",TEXT(Table46[[#This Row],[Month-Year]],"MMM-YY"))</f>
        <v/>
      </c>
      <c r="J857" s="31"/>
      <c r="K857" s="39">
        <f t="shared" si="225"/>
        <v>0</v>
      </c>
    </row>
    <row r="858" spans="3:11" ht="15.2">
      <c r="C858" s="29"/>
      <c r="D858" s="30"/>
      <c r="E858" s="31"/>
      <c r="F858" s="31"/>
      <c r="G858" s="31"/>
      <c r="H858" s="43"/>
      <c r="I858" s="41" t="str">
        <f>IF(Table46[[#This Row],[Month-Year]]="","",TEXT(Table46[[#This Row],[Month-Year]],"MMM-YY"))</f>
        <v/>
      </c>
      <c r="J858" s="31"/>
      <c r="K858" s="39">
        <f t="shared" ref="K858:K859" si="226">(F858*G858)*E858/100</f>
        <v>0</v>
      </c>
    </row>
    <row r="859" spans="3:11" ht="15.2">
      <c r="C859" s="29"/>
      <c r="D859" s="30"/>
      <c r="E859" s="31"/>
      <c r="F859" s="31"/>
      <c r="G859" s="31"/>
      <c r="H859" s="43"/>
      <c r="I859" s="41" t="str">
        <f>IF(Table46[[#This Row],[Month-Year]]="","",TEXT(Table46[[#This Row],[Month-Year]],"MMM-YY"))</f>
        <v/>
      </c>
      <c r="J859" s="31"/>
      <c r="K859" s="39">
        <f t="shared" si="226"/>
        <v>0</v>
      </c>
    </row>
    <row r="860" spans="3:11" ht="15.2">
      <c r="C860" s="29"/>
      <c r="D860" s="30"/>
      <c r="E860" s="31"/>
      <c r="F860" s="31"/>
      <c r="G860" s="31"/>
      <c r="H860" s="43"/>
      <c r="I860" s="41" t="str">
        <f>IF(Table46[[#This Row],[Month-Year]]="","",TEXT(Table46[[#This Row],[Month-Year]],"MMM-YY"))</f>
        <v/>
      </c>
      <c r="J860" s="31"/>
      <c r="K860" s="39">
        <f t="shared" ref="K860:K861" si="227">(F860*G860)*E860/100</f>
        <v>0</v>
      </c>
    </row>
    <row r="861" spans="3:11" ht="15.2">
      <c r="C861" s="29"/>
      <c r="D861" s="30"/>
      <c r="E861" s="31"/>
      <c r="F861" s="31"/>
      <c r="G861" s="31"/>
      <c r="H861" s="43"/>
      <c r="I861" s="41" t="str">
        <f>IF(Table46[[#This Row],[Month-Year]]="","",TEXT(Table46[[#This Row],[Month-Year]],"MMM-YY"))</f>
        <v/>
      </c>
      <c r="J861" s="31"/>
      <c r="K861" s="39">
        <f t="shared" si="227"/>
        <v>0</v>
      </c>
    </row>
    <row r="862" spans="3:11" ht="15.2">
      <c r="C862" s="29"/>
      <c r="D862" s="30"/>
      <c r="E862" s="31"/>
      <c r="F862" s="31"/>
      <c r="G862" s="31"/>
      <c r="H862" s="43"/>
      <c r="I862" s="41" t="str">
        <f>IF(Table46[[#This Row],[Month-Year]]="","",TEXT(Table46[[#This Row],[Month-Year]],"MMM-YY"))</f>
        <v/>
      </c>
      <c r="J862" s="31"/>
      <c r="K862" s="39">
        <f t="shared" ref="K862:K863" si="228">(F862*G862)*E862/100</f>
        <v>0</v>
      </c>
    </row>
    <row r="863" spans="3:11" ht="15.2">
      <c r="C863" s="29"/>
      <c r="D863" s="30"/>
      <c r="E863" s="31"/>
      <c r="F863" s="31"/>
      <c r="G863" s="31"/>
      <c r="H863" s="43"/>
      <c r="I863" s="41" t="str">
        <f>IF(Table46[[#This Row],[Month-Year]]="","",TEXT(Table46[[#This Row],[Month-Year]],"MMM-YY"))</f>
        <v/>
      </c>
      <c r="J863" s="31"/>
      <c r="K863" s="39">
        <f t="shared" si="228"/>
        <v>0</v>
      </c>
    </row>
    <row r="864" spans="3:11" ht="15.2">
      <c r="C864" s="29"/>
      <c r="D864" s="30"/>
      <c r="E864" s="31"/>
      <c r="F864" s="31"/>
      <c r="G864" s="31"/>
      <c r="H864" s="43"/>
      <c r="I864" s="41" t="str">
        <f>IF(Table46[[#This Row],[Month-Year]]="","",TEXT(Table46[[#This Row],[Month-Year]],"MMM-YY"))</f>
        <v/>
      </c>
      <c r="J864" s="31"/>
      <c r="K864" s="39">
        <f t="shared" ref="K864:K865" si="229">(F864*G864)*E864/100</f>
        <v>0</v>
      </c>
    </row>
    <row r="865" spans="3:11" ht="15.2">
      <c r="C865" s="29"/>
      <c r="D865" s="30"/>
      <c r="E865" s="31"/>
      <c r="F865" s="31"/>
      <c r="G865" s="31"/>
      <c r="H865" s="43"/>
      <c r="I865" s="41" t="str">
        <f>IF(Table46[[#This Row],[Month-Year]]="","",TEXT(Table46[[#This Row],[Month-Year]],"MMM-YY"))</f>
        <v/>
      </c>
      <c r="J865" s="31"/>
      <c r="K865" s="39">
        <f t="shared" si="229"/>
        <v>0</v>
      </c>
    </row>
    <row r="866" spans="3:11" ht="15.2">
      <c r="C866" s="29"/>
      <c r="D866" s="30"/>
      <c r="E866" s="31"/>
      <c r="F866" s="31"/>
      <c r="G866" s="31"/>
      <c r="H866" s="43"/>
      <c r="I866" s="41" t="str">
        <f>IF(Table46[[#This Row],[Month-Year]]="","",TEXT(Table46[[#This Row],[Month-Year]],"MMM-YY"))</f>
        <v/>
      </c>
      <c r="J866" s="31"/>
      <c r="K866" s="39">
        <f t="shared" ref="K866:K867" si="230">(F866*G866)*E866/100</f>
        <v>0</v>
      </c>
    </row>
    <row r="867" spans="3:11" ht="15.2">
      <c r="C867" s="29"/>
      <c r="D867" s="30"/>
      <c r="E867" s="31"/>
      <c r="F867" s="31"/>
      <c r="G867" s="31"/>
      <c r="H867" s="43"/>
      <c r="I867" s="41" t="str">
        <f>IF(Table46[[#This Row],[Month-Year]]="","",TEXT(Table46[[#This Row],[Month-Year]],"MMM-YY"))</f>
        <v/>
      </c>
      <c r="J867" s="31"/>
      <c r="K867" s="39">
        <f t="shared" si="230"/>
        <v>0</v>
      </c>
    </row>
    <row r="868" spans="3:11" ht="15.2">
      <c r="C868" s="29"/>
      <c r="D868" s="30"/>
      <c r="E868" s="31"/>
      <c r="F868" s="31"/>
      <c r="G868" s="31"/>
      <c r="H868" s="43"/>
      <c r="I868" s="41" t="str">
        <f>IF(Table46[[#This Row],[Month-Year]]="","",TEXT(Table46[[#This Row],[Month-Year]],"MMM-YY"))</f>
        <v/>
      </c>
      <c r="J868" s="31"/>
      <c r="K868" s="39">
        <f t="shared" ref="K868:K869" si="231">(F868*G868)*E868/100</f>
        <v>0</v>
      </c>
    </row>
    <row r="869" spans="3:11" ht="15.2">
      <c r="C869" s="29"/>
      <c r="D869" s="30"/>
      <c r="E869" s="31"/>
      <c r="F869" s="31"/>
      <c r="G869" s="31"/>
      <c r="H869" s="43"/>
      <c r="I869" s="41" t="str">
        <f>IF(Table46[[#This Row],[Month-Year]]="","",TEXT(Table46[[#This Row],[Month-Year]],"MMM-YY"))</f>
        <v/>
      </c>
      <c r="J869" s="31"/>
      <c r="K869" s="39">
        <f t="shared" si="231"/>
        <v>0</v>
      </c>
    </row>
    <row r="870" spans="3:11" ht="15.2">
      <c r="C870" s="29"/>
      <c r="D870" s="30"/>
      <c r="E870" s="31"/>
      <c r="F870" s="31"/>
      <c r="G870" s="31"/>
      <c r="H870" s="43"/>
      <c r="I870" s="41" t="str">
        <f>IF(Table46[[#This Row],[Month-Year]]="","",TEXT(Table46[[#This Row],[Month-Year]],"MMM-YY"))</f>
        <v/>
      </c>
      <c r="J870" s="31"/>
      <c r="K870" s="39">
        <f t="shared" ref="K870:K871" si="232">(F870*G870)*E870/100</f>
        <v>0</v>
      </c>
    </row>
    <row r="871" spans="3:11" ht="15.2">
      <c r="C871" s="29"/>
      <c r="D871" s="30"/>
      <c r="E871" s="31"/>
      <c r="F871" s="31"/>
      <c r="G871" s="31"/>
      <c r="H871" s="43"/>
      <c r="I871" s="41" t="str">
        <f>IF(Table46[[#This Row],[Month-Year]]="","",TEXT(Table46[[#This Row],[Month-Year]],"MMM-YY"))</f>
        <v/>
      </c>
      <c r="J871" s="31"/>
      <c r="K871" s="39">
        <f t="shared" si="232"/>
        <v>0</v>
      </c>
    </row>
    <row r="872" spans="3:11" ht="15.2">
      <c r="C872" s="29"/>
      <c r="D872" s="30"/>
      <c r="E872" s="31"/>
      <c r="F872" s="31"/>
      <c r="G872" s="31"/>
      <c r="H872" s="43"/>
      <c r="I872" s="41" t="str">
        <f>IF(Table46[[#This Row],[Month-Year]]="","",TEXT(Table46[[#This Row],[Month-Year]],"MMM-YY"))</f>
        <v/>
      </c>
      <c r="J872" s="31"/>
      <c r="K872" s="39">
        <f t="shared" ref="K872:K873" si="233">(F872*G872)*E872/100</f>
        <v>0</v>
      </c>
    </row>
    <row r="873" spans="3:11" ht="15.2">
      <c r="C873" s="29"/>
      <c r="D873" s="30"/>
      <c r="E873" s="31"/>
      <c r="F873" s="31"/>
      <c r="G873" s="31"/>
      <c r="H873" s="43"/>
      <c r="I873" s="41" t="str">
        <f>IF(Table46[[#This Row],[Month-Year]]="","",TEXT(Table46[[#This Row],[Month-Year]],"MMM-YY"))</f>
        <v/>
      </c>
      <c r="J873" s="31"/>
      <c r="K873" s="39">
        <f t="shared" si="233"/>
        <v>0</v>
      </c>
    </row>
    <row r="874" spans="3:11" ht="15.2">
      <c r="C874" s="29"/>
      <c r="D874" s="30"/>
      <c r="E874" s="31"/>
      <c r="F874" s="31"/>
      <c r="G874" s="31"/>
      <c r="H874" s="43"/>
      <c r="I874" s="41" t="str">
        <f>IF(Table46[[#This Row],[Month-Year]]="","",TEXT(Table46[[#This Row],[Month-Year]],"MMM-YY"))</f>
        <v/>
      </c>
      <c r="J874" s="31"/>
      <c r="K874" s="39">
        <f t="shared" ref="K874:K875" si="234">(F874*G874)*E874/100</f>
        <v>0</v>
      </c>
    </row>
    <row r="875" spans="3:11" ht="15.2">
      <c r="C875" s="29"/>
      <c r="D875" s="30"/>
      <c r="E875" s="31"/>
      <c r="F875" s="31"/>
      <c r="G875" s="31"/>
      <c r="H875" s="43"/>
      <c r="I875" s="41" t="str">
        <f>IF(Table46[[#This Row],[Month-Year]]="","",TEXT(Table46[[#This Row],[Month-Year]],"MMM-YY"))</f>
        <v/>
      </c>
      <c r="J875" s="31"/>
      <c r="K875" s="39">
        <f t="shared" si="234"/>
        <v>0</v>
      </c>
    </row>
    <row r="876" spans="3:11" ht="15.2">
      <c r="C876" s="29"/>
      <c r="D876" s="30"/>
      <c r="E876" s="31"/>
      <c r="F876" s="31"/>
      <c r="G876" s="31"/>
      <c r="H876" s="43"/>
      <c r="I876" s="41" t="str">
        <f>IF(Table46[[#This Row],[Month-Year]]="","",TEXT(Table46[[#This Row],[Month-Year]],"MMM-YY"))</f>
        <v/>
      </c>
      <c r="J876" s="31"/>
      <c r="K876" s="39">
        <f t="shared" ref="K876:K877" si="235">(F876*G876)*E876/100</f>
        <v>0</v>
      </c>
    </row>
    <row r="877" spans="3:11" ht="15.2">
      <c r="C877" s="29"/>
      <c r="D877" s="30"/>
      <c r="E877" s="31"/>
      <c r="F877" s="31"/>
      <c r="G877" s="31"/>
      <c r="H877" s="43"/>
      <c r="I877" s="41" t="str">
        <f>IF(Table46[[#This Row],[Month-Year]]="","",TEXT(Table46[[#This Row],[Month-Year]],"MMM-YY"))</f>
        <v/>
      </c>
      <c r="J877" s="31"/>
      <c r="K877" s="39">
        <f t="shared" si="235"/>
        <v>0</v>
      </c>
    </row>
    <row r="878" spans="3:11" ht="15.2">
      <c r="C878" s="29"/>
      <c r="D878" s="30"/>
      <c r="E878" s="31"/>
      <c r="F878" s="31"/>
      <c r="G878" s="31"/>
      <c r="H878" s="43"/>
      <c r="I878" s="41" t="str">
        <f>IF(Table46[[#This Row],[Month-Year]]="","",TEXT(Table46[[#This Row],[Month-Year]],"MMM-YY"))</f>
        <v/>
      </c>
      <c r="J878" s="31"/>
      <c r="K878" s="39">
        <f t="shared" ref="K878:K879" si="236">(F878*G878)*E878/100</f>
        <v>0</v>
      </c>
    </row>
    <row r="879" spans="3:11" ht="15.2">
      <c r="C879" s="29"/>
      <c r="D879" s="30"/>
      <c r="E879" s="31"/>
      <c r="F879" s="31"/>
      <c r="G879" s="31"/>
      <c r="H879" s="43"/>
      <c r="I879" s="41" t="str">
        <f>IF(Table46[[#This Row],[Month-Year]]="","",TEXT(Table46[[#This Row],[Month-Year]],"MMM-YY"))</f>
        <v/>
      </c>
      <c r="J879" s="31"/>
      <c r="K879" s="39">
        <f t="shared" si="236"/>
        <v>0</v>
      </c>
    </row>
    <row r="880" spans="3:11" ht="15.2">
      <c r="C880" s="29"/>
      <c r="D880" s="30"/>
      <c r="E880" s="31"/>
      <c r="F880" s="31"/>
      <c r="G880" s="31"/>
      <c r="H880" s="43"/>
      <c r="I880" s="41" t="str">
        <f>IF(Table46[[#This Row],[Month-Year]]="","",TEXT(Table46[[#This Row],[Month-Year]],"MMM-YY"))</f>
        <v/>
      </c>
      <c r="J880" s="31"/>
      <c r="K880" s="39">
        <f t="shared" ref="K880:K881" si="237">(F880*G880)*E880/100</f>
        <v>0</v>
      </c>
    </row>
    <row r="881" spans="3:11" ht="15.2">
      <c r="C881" s="29"/>
      <c r="D881" s="30"/>
      <c r="E881" s="31"/>
      <c r="F881" s="31"/>
      <c r="G881" s="31"/>
      <c r="H881" s="43"/>
      <c r="I881" s="41" t="str">
        <f>IF(Table46[[#This Row],[Month-Year]]="","",TEXT(Table46[[#This Row],[Month-Year]],"MMM-YY"))</f>
        <v/>
      </c>
      <c r="J881" s="31"/>
      <c r="K881" s="39">
        <f t="shared" si="237"/>
        <v>0</v>
      </c>
    </row>
    <row r="882" spans="3:11" ht="15.2">
      <c r="C882" s="29"/>
      <c r="D882" s="30"/>
      <c r="E882" s="31"/>
      <c r="F882" s="31"/>
      <c r="G882" s="31"/>
      <c r="H882" s="43"/>
      <c r="I882" s="41" t="str">
        <f>IF(Table46[[#This Row],[Month-Year]]="","",TEXT(Table46[[#This Row],[Month-Year]],"MMM-YY"))</f>
        <v/>
      </c>
      <c r="J882" s="31"/>
      <c r="K882" s="39">
        <f t="shared" ref="K882:K883" si="238">(F882*G882)*E882/100</f>
        <v>0</v>
      </c>
    </row>
    <row r="883" spans="3:11" ht="15.2">
      <c r="C883" s="29"/>
      <c r="D883" s="30"/>
      <c r="E883" s="31"/>
      <c r="F883" s="31"/>
      <c r="G883" s="31"/>
      <c r="H883" s="43"/>
      <c r="I883" s="41" t="str">
        <f>IF(Table46[[#This Row],[Month-Year]]="","",TEXT(Table46[[#This Row],[Month-Year]],"MMM-YY"))</f>
        <v/>
      </c>
      <c r="J883" s="31"/>
      <c r="K883" s="39">
        <f t="shared" si="238"/>
        <v>0</v>
      </c>
    </row>
    <row r="884" spans="3:11" ht="15.2">
      <c r="C884" s="29"/>
      <c r="D884" s="30"/>
      <c r="E884" s="31"/>
      <c r="F884" s="31"/>
      <c r="G884" s="31"/>
      <c r="H884" s="43"/>
      <c r="I884" s="41" t="str">
        <f>IF(Table46[[#This Row],[Month-Year]]="","",TEXT(Table46[[#This Row],[Month-Year]],"MMM-YY"))</f>
        <v/>
      </c>
      <c r="J884" s="31"/>
      <c r="K884" s="39">
        <f t="shared" ref="K884:K885" si="239">(F884*G884)*E884/100</f>
        <v>0</v>
      </c>
    </row>
    <row r="885" spans="3:11" ht="15.2">
      <c r="C885" s="29"/>
      <c r="D885" s="30"/>
      <c r="E885" s="31"/>
      <c r="F885" s="31"/>
      <c r="G885" s="31"/>
      <c r="H885" s="43"/>
      <c r="I885" s="41" t="str">
        <f>IF(Table46[[#This Row],[Month-Year]]="","",TEXT(Table46[[#This Row],[Month-Year]],"MMM-YY"))</f>
        <v/>
      </c>
      <c r="J885" s="31"/>
      <c r="K885" s="39">
        <f t="shared" si="239"/>
        <v>0</v>
      </c>
    </row>
    <row r="886" spans="3:11" ht="15.2">
      <c r="C886" s="29"/>
      <c r="D886" s="30"/>
      <c r="E886" s="31"/>
      <c r="F886" s="31"/>
      <c r="G886" s="31"/>
      <c r="H886" s="43"/>
      <c r="I886" s="41" t="str">
        <f>IF(Table46[[#This Row],[Month-Year]]="","",TEXT(Table46[[#This Row],[Month-Year]],"MMM-YY"))</f>
        <v/>
      </c>
      <c r="J886" s="31"/>
      <c r="K886" s="39">
        <f t="shared" ref="K886:K887" si="240">(F886*G886)*E886/100</f>
        <v>0</v>
      </c>
    </row>
    <row r="887" spans="3:11" ht="15.2">
      <c r="C887" s="29"/>
      <c r="D887" s="30"/>
      <c r="E887" s="31"/>
      <c r="F887" s="31"/>
      <c r="G887" s="31"/>
      <c r="H887" s="43"/>
      <c r="I887" s="41" t="str">
        <f>IF(Table46[[#This Row],[Month-Year]]="","",TEXT(Table46[[#This Row],[Month-Year]],"MMM-YY"))</f>
        <v/>
      </c>
      <c r="J887" s="31"/>
      <c r="K887" s="39">
        <f t="shared" si="240"/>
        <v>0</v>
      </c>
    </row>
    <row r="888" spans="3:11" ht="15.2">
      <c r="C888" s="29"/>
      <c r="D888" s="30"/>
      <c r="E888" s="31"/>
      <c r="F888" s="31"/>
      <c r="G888" s="31"/>
      <c r="H888" s="43"/>
      <c r="I888" s="41" t="str">
        <f>IF(Table46[[#This Row],[Month-Year]]="","",TEXT(Table46[[#This Row],[Month-Year]],"MMM-YY"))</f>
        <v/>
      </c>
      <c r="J888" s="31"/>
      <c r="K888" s="39">
        <f t="shared" ref="K888:K889" si="241">(F888*G888)*E888/100</f>
        <v>0</v>
      </c>
    </row>
    <row r="889" spans="3:11" ht="15.2">
      <c r="C889" s="29"/>
      <c r="D889" s="30"/>
      <c r="E889" s="31"/>
      <c r="F889" s="31"/>
      <c r="G889" s="31"/>
      <c r="H889" s="43"/>
      <c r="I889" s="41" t="str">
        <f>IF(Table46[[#This Row],[Month-Year]]="","",TEXT(Table46[[#This Row],[Month-Year]],"MMM-YY"))</f>
        <v/>
      </c>
      <c r="J889" s="31"/>
      <c r="K889" s="39">
        <f t="shared" si="241"/>
        <v>0</v>
      </c>
    </row>
    <row r="890" spans="3:11" ht="15.2">
      <c r="C890" s="29"/>
      <c r="D890" s="30"/>
      <c r="E890" s="31"/>
      <c r="F890" s="31"/>
      <c r="G890" s="31"/>
      <c r="H890" s="43"/>
      <c r="I890" s="41" t="str">
        <f>IF(Table46[[#This Row],[Month-Year]]="","",TEXT(Table46[[#This Row],[Month-Year]],"MMM-YY"))</f>
        <v/>
      </c>
      <c r="J890" s="31"/>
      <c r="K890" s="39">
        <f t="shared" ref="K890:K891" si="242">(F890*G890)*E890/100</f>
        <v>0</v>
      </c>
    </row>
    <row r="891" spans="3:11" ht="15.2">
      <c r="C891" s="29"/>
      <c r="D891" s="30"/>
      <c r="E891" s="31"/>
      <c r="F891" s="31"/>
      <c r="G891" s="31"/>
      <c r="H891" s="43"/>
      <c r="I891" s="41" t="str">
        <f>IF(Table46[[#This Row],[Month-Year]]="","",TEXT(Table46[[#This Row],[Month-Year]],"MMM-YY"))</f>
        <v/>
      </c>
      <c r="J891" s="31"/>
      <c r="K891" s="39">
        <f t="shared" si="242"/>
        <v>0</v>
      </c>
    </row>
    <row r="892" spans="3:11" ht="15.2">
      <c r="C892" s="29"/>
      <c r="D892" s="30"/>
      <c r="E892" s="31"/>
      <c r="F892" s="31"/>
      <c r="G892" s="31"/>
      <c r="H892" s="43"/>
      <c r="I892" s="41" t="str">
        <f>IF(Table46[[#This Row],[Month-Year]]="","",TEXT(Table46[[#This Row],[Month-Year]],"MMM-YY"))</f>
        <v/>
      </c>
      <c r="J892" s="31"/>
      <c r="K892" s="39">
        <f t="shared" ref="K892:K893" si="243">(F892*G892)*E892/100</f>
        <v>0</v>
      </c>
    </row>
    <row r="893" spans="3:11" ht="15.2">
      <c r="C893" s="29"/>
      <c r="D893" s="30"/>
      <c r="E893" s="31"/>
      <c r="F893" s="31"/>
      <c r="G893" s="31"/>
      <c r="H893" s="43"/>
      <c r="I893" s="41" t="str">
        <f>IF(Table46[[#This Row],[Month-Year]]="","",TEXT(Table46[[#This Row],[Month-Year]],"MMM-YY"))</f>
        <v/>
      </c>
      <c r="J893" s="31"/>
      <c r="K893" s="39">
        <f t="shared" si="243"/>
        <v>0</v>
      </c>
    </row>
    <row r="894" spans="3:11" ht="15.2">
      <c r="C894" s="29"/>
      <c r="D894" s="30"/>
      <c r="E894" s="31"/>
      <c r="F894" s="31"/>
      <c r="G894" s="31"/>
      <c r="H894" s="43"/>
      <c r="I894" s="41" t="str">
        <f>IF(Table46[[#This Row],[Month-Year]]="","",TEXT(Table46[[#This Row],[Month-Year]],"MMM-YY"))</f>
        <v/>
      </c>
      <c r="J894" s="31"/>
      <c r="K894" s="39">
        <f t="shared" ref="K894:K895" si="244">(F894*G894)*E894/100</f>
        <v>0</v>
      </c>
    </row>
    <row r="895" spans="3:11" ht="15.2">
      <c r="C895" s="29"/>
      <c r="D895" s="30"/>
      <c r="E895" s="31"/>
      <c r="F895" s="31"/>
      <c r="G895" s="31"/>
      <c r="H895" s="43"/>
      <c r="I895" s="41" t="str">
        <f>IF(Table46[[#This Row],[Month-Year]]="","",TEXT(Table46[[#This Row],[Month-Year]],"MMM-YY"))</f>
        <v/>
      </c>
      <c r="J895" s="31"/>
      <c r="K895" s="39">
        <f t="shared" si="244"/>
        <v>0</v>
      </c>
    </row>
    <row r="896" spans="3:11" ht="15.2">
      <c r="C896" s="29"/>
      <c r="D896" s="30"/>
      <c r="E896" s="31"/>
      <c r="F896" s="31"/>
      <c r="G896" s="31"/>
      <c r="H896" s="43"/>
      <c r="I896" s="41" t="str">
        <f>IF(Table46[[#This Row],[Month-Year]]="","",TEXT(Table46[[#This Row],[Month-Year]],"MMM-YY"))</f>
        <v/>
      </c>
      <c r="J896" s="31"/>
      <c r="K896" s="39">
        <f t="shared" ref="K896:K897" si="245">(F896*G896)*E896/100</f>
        <v>0</v>
      </c>
    </row>
    <row r="897" spans="3:11" ht="15.2">
      <c r="C897" s="29"/>
      <c r="D897" s="30"/>
      <c r="E897" s="31"/>
      <c r="F897" s="31"/>
      <c r="G897" s="31"/>
      <c r="H897" s="43"/>
      <c r="I897" s="41" t="str">
        <f>IF(Table46[[#This Row],[Month-Year]]="","",TEXT(Table46[[#This Row],[Month-Year]],"MMM-YY"))</f>
        <v/>
      </c>
      <c r="J897" s="31"/>
      <c r="K897" s="39">
        <f t="shared" si="245"/>
        <v>0</v>
      </c>
    </row>
    <row r="898" spans="3:11" ht="15.2">
      <c r="C898" s="29"/>
      <c r="D898" s="30"/>
      <c r="E898" s="31"/>
      <c r="F898" s="31"/>
      <c r="G898" s="31"/>
      <c r="H898" s="43"/>
      <c r="I898" s="41" t="str">
        <f>IF(Table46[[#This Row],[Month-Year]]="","",TEXT(Table46[[#This Row],[Month-Year]],"MMM-YY"))</f>
        <v/>
      </c>
      <c r="J898" s="31"/>
      <c r="K898" s="39">
        <f t="shared" ref="K898:K899" si="246">(F898*G898)*E898/100</f>
        <v>0</v>
      </c>
    </row>
    <row r="899" spans="3:11" ht="15.2">
      <c r="C899" s="29"/>
      <c r="D899" s="30"/>
      <c r="E899" s="31"/>
      <c r="F899" s="31"/>
      <c r="G899" s="31"/>
      <c r="H899" s="43"/>
      <c r="I899" s="41" t="str">
        <f>IF(Table46[[#This Row],[Month-Year]]="","",TEXT(Table46[[#This Row],[Month-Year]],"MMM-YY"))</f>
        <v/>
      </c>
      <c r="J899" s="31"/>
      <c r="K899" s="39">
        <f t="shared" si="246"/>
        <v>0</v>
      </c>
    </row>
    <row r="900" spans="3:11" ht="15.2">
      <c r="C900" s="29"/>
      <c r="D900" s="30"/>
      <c r="E900" s="31"/>
      <c r="F900" s="31"/>
      <c r="G900" s="31"/>
      <c r="H900" s="43"/>
      <c r="I900" s="41" t="str">
        <f>IF(Table46[[#This Row],[Month-Year]]="","",TEXT(Table46[[#This Row],[Month-Year]],"MMM-YY"))</f>
        <v/>
      </c>
      <c r="J900" s="31"/>
      <c r="K900" s="39">
        <f t="shared" ref="K900:K901" si="247">(F900*G900)*E900/100</f>
        <v>0</v>
      </c>
    </row>
    <row r="901" spans="3:11" ht="15.2">
      <c r="C901" s="29"/>
      <c r="D901" s="30"/>
      <c r="E901" s="31"/>
      <c r="F901" s="31"/>
      <c r="G901" s="31"/>
      <c r="H901" s="43"/>
      <c r="I901" s="41" t="str">
        <f>IF(Table46[[#This Row],[Month-Year]]="","",TEXT(Table46[[#This Row],[Month-Year]],"MMM-YY"))</f>
        <v/>
      </c>
      <c r="J901" s="31"/>
      <c r="K901" s="39">
        <f t="shared" si="247"/>
        <v>0</v>
      </c>
    </row>
    <row r="902" spans="3:11" ht="15.2">
      <c r="C902" s="29"/>
      <c r="D902" s="30"/>
      <c r="E902" s="31"/>
      <c r="F902" s="31"/>
      <c r="G902" s="31"/>
      <c r="H902" s="43"/>
      <c r="I902" s="41" t="str">
        <f>IF(Table46[[#This Row],[Month-Year]]="","",TEXT(Table46[[#This Row],[Month-Year]],"MMM-YY"))</f>
        <v/>
      </c>
      <c r="J902" s="31"/>
      <c r="K902" s="39">
        <f t="shared" ref="K902:K903" si="248">(F902*G902)*E902/100</f>
        <v>0</v>
      </c>
    </row>
    <row r="903" spans="3:11" ht="15.2">
      <c r="C903" s="29"/>
      <c r="D903" s="30"/>
      <c r="E903" s="31"/>
      <c r="F903" s="31"/>
      <c r="G903" s="31"/>
      <c r="H903" s="43"/>
      <c r="I903" s="41" t="str">
        <f>IF(Table46[[#This Row],[Month-Year]]="","",TEXT(Table46[[#This Row],[Month-Year]],"MMM-YY"))</f>
        <v/>
      </c>
      <c r="J903" s="31"/>
      <c r="K903" s="39">
        <f t="shared" si="248"/>
        <v>0</v>
      </c>
    </row>
    <row r="904" spans="3:11" ht="15.2">
      <c r="C904" s="29"/>
      <c r="D904" s="30"/>
      <c r="E904" s="31"/>
      <c r="F904" s="31"/>
      <c r="G904" s="31"/>
      <c r="H904" s="43"/>
      <c r="I904" s="41" t="str">
        <f>IF(Table46[[#This Row],[Month-Year]]="","",TEXT(Table46[[#This Row],[Month-Year]],"MMM-YY"))</f>
        <v/>
      </c>
      <c r="J904" s="31"/>
      <c r="K904" s="39">
        <f t="shared" ref="K904:K905" si="249">(F904*G904)*E904/100</f>
        <v>0</v>
      </c>
    </row>
    <row r="905" spans="3:11" ht="15.2">
      <c r="C905" s="29"/>
      <c r="D905" s="30"/>
      <c r="E905" s="31"/>
      <c r="F905" s="31"/>
      <c r="G905" s="31"/>
      <c r="H905" s="43"/>
      <c r="I905" s="41" t="str">
        <f>IF(Table46[[#This Row],[Month-Year]]="","",TEXT(Table46[[#This Row],[Month-Year]],"MMM-YY"))</f>
        <v/>
      </c>
      <c r="J905" s="31"/>
      <c r="K905" s="39">
        <f t="shared" si="249"/>
        <v>0</v>
      </c>
    </row>
    <row r="906" spans="3:11" ht="15.2">
      <c r="C906" s="29"/>
      <c r="D906" s="30"/>
      <c r="E906" s="31"/>
      <c r="F906" s="31"/>
      <c r="G906" s="31"/>
      <c r="H906" s="43"/>
      <c r="I906" s="41" t="str">
        <f>IF(Table46[[#This Row],[Month-Year]]="","",TEXT(Table46[[#This Row],[Month-Year]],"MMM-YY"))</f>
        <v/>
      </c>
      <c r="J906" s="31"/>
      <c r="K906" s="39">
        <f t="shared" ref="K906:K907" si="250">(F906*G906)*E906/100</f>
        <v>0</v>
      </c>
    </row>
    <row r="907" spans="3:11" ht="15.2">
      <c r="C907" s="29"/>
      <c r="D907" s="30"/>
      <c r="E907" s="31"/>
      <c r="F907" s="31"/>
      <c r="G907" s="31"/>
      <c r="H907" s="43"/>
      <c r="I907" s="41" t="str">
        <f>IF(Table46[[#This Row],[Month-Year]]="","",TEXT(Table46[[#This Row],[Month-Year]],"MMM-YY"))</f>
        <v/>
      </c>
      <c r="J907" s="31"/>
      <c r="K907" s="39">
        <f t="shared" si="250"/>
        <v>0</v>
      </c>
    </row>
    <row r="908" spans="3:11" ht="15.2">
      <c r="C908" s="29"/>
      <c r="D908" s="30"/>
      <c r="E908" s="31"/>
      <c r="F908" s="31"/>
      <c r="G908" s="31"/>
      <c r="H908" s="43"/>
      <c r="I908" s="41" t="str">
        <f>IF(Table46[[#This Row],[Month-Year]]="","",TEXT(Table46[[#This Row],[Month-Year]],"MMM-YY"))</f>
        <v/>
      </c>
      <c r="J908" s="31"/>
      <c r="K908" s="39">
        <f t="shared" ref="K908:K909" si="251">(F908*G908)*E908/100</f>
        <v>0</v>
      </c>
    </row>
    <row r="909" spans="3:11" ht="15.2">
      <c r="C909" s="29"/>
      <c r="D909" s="30"/>
      <c r="E909" s="31"/>
      <c r="F909" s="31"/>
      <c r="G909" s="31"/>
      <c r="H909" s="43"/>
      <c r="I909" s="41" t="str">
        <f>IF(Table46[[#This Row],[Month-Year]]="","",TEXT(Table46[[#This Row],[Month-Year]],"MMM-YY"))</f>
        <v/>
      </c>
      <c r="J909" s="31"/>
      <c r="K909" s="39">
        <f t="shared" si="251"/>
        <v>0</v>
      </c>
    </row>
    <row r="910" spans="3:11" ht="15.2">
      <c r="C910" s="29"/>
      <c r="D910" s="30"/>
      <c r="E910" s="31"/>
      <c r="F910" s="31"/>
      <c r="G910" s="31"/>
      <c r="H910" s="43"/>
      <c r="I910" s="41" t="str">
        <f>IF(Table46[[#This Row],[Month-Year]]="","",TEXT(Table46[[#This Row],[Month-Year]],"MMM-YY"))</f>
        <v/>
      </c>
      <c r="J910" s="31"/>
      <c r="K910" s="39">
        <f t="shared" ref="K910:K911" si="252">(F910*G910)*E910/100</f>
        <v>0</v>
      </c>
    </row>
    <row r="911" spans="3:11" ht="15.2">
      <c r="C911" s="29"/>
      <c r="D911" s="30"/>
      <c r="E911" s="31"/>
      <c r="F911" s="31"/>
      <c r="G911" s="31"/>
      <c r="H911" s="43"/>
      <c r="I911" s="41" t="str">
        <f>IF(Table46[[#This Row],[Month-Year]]="","",TEXT(Table46[[#This Row],[Month-Year]],"MMM-YY"))</f>
        <v/>
      </c>
      <c r="J911" s="31"/>
      <c r="K911" s="39">
        <f t="shared" si="252"/>
        <v>0</v>
      </c>
    </row>
    <row r="912" spans="3:11" ht="15.2">
      <c r="C912" s="29"/>
      <c r="D912" s="30"/>
      <c r="E912" s="31"/>
      <c r="F912" s="31"/>
      <c r="G912" s="31"/>
      <c r="H912" s="43"/>
      <c r="I912" s="41" t="str">
        <f>IF(Table46[[#This Row],[Month-Year]]="","",TEXT(Table46[[#This Row],[Month-Year]],"MMM-YY"))</f>
        <v/>
      </c>
      <c r="J912" s="31"/>
      <c r="K912" s="39">
        <f t="shared" ref="K912:K913" si="253">(F912*G912)*E912/100</f>
        <v>0</v>
      </c>
    </row>
    <row r="913" spans="3:11" ht="15.2">
      <c r="C913" s="29"/>
      <c r="D913" s="30"/>
      <c r="E913" s="31"/>
      <c r="F913" s="31"/>
      <c r="G913" s="31"/>
      <c r="H913" s="43"/>
      <c r="I913" s="41" t="str">
        <f>IF(Table46[[#This Row],[Month-Year]]="","",TEXT(Table46[[#This Row],[Month-Year]],"MMM-YY"))</f>
        <v/>
      </c>
      <c r="J913" s="31"/>
      <c r="K913" s="39">
        <f t="shared" si="253"/>
        <v>0</v>
      </c>
    </row>
    <row r="914" spans="3:11" ht="15.2">
      <c r="C914" s="29"/>
      <c r="D914" s="30"/>
      <c r="E914" s="31"/>
      <c r="F914" s="31"/>
      <c r="G914" s="31"/>
      <c r="H914" s="43"/>
      <c r="I914" s="41" t="str">
        <f>IF(Table46[[#This Row],[Month-Year]]="","",TEXT(Table46[[#This Row],[Month-Year]],"MMM-YY"))</f>
        <v/>
      </c>
      <c r="J914" s="31"/>
      <c r="K914" s="39">
        <f t="shared" ref="K914:K915" si="254">(F914*G914)*E914/100</f>
        <v>0</v>
      </c>
    </row>
    <row r="915" spans="3:11" ht="15.2">
      <c r="C915" s="29"/>
      <c r="D915" s="30"/>
      <c r="E915" s="31"/>
      <c r="F915" s="31"/>
      <c r="G915" s="31"/>
      <c r="H915" s="43"/>
      <c r="I915" s="41" t="str">
        <f>IF(Table46[[#This Row],[Month-Year]]="","",TEXT(Table46[[#This Row],[Month-Year]],"MMM-YY"))</f>
        <v/>
      </c>
      <c r="J915" s="31"/>
      <c r="K915" s="39">
        <f t="shared" si="254"/>
        <v>0</v>
      </c>
    </row>
    <row r="916" spans="3:11" ht="15.2">
      <c r="C916" s="29"/>
      <c r="D916" s="30"/>
      <c r="E916" s="31"/>
      <c r="F916" s="31"/>
      <c r="G916" s="31"/>
      <c r="H916" s="43"/>
      <c r="I916" s="41" t="str">
        <f>IF(Table46[[#This Row],[Month-Year]]="","",TEXT(Table46[[#This Row],[Month-Year]],"MMM-YY"))</f>
        <v/>
      </c>
      <c r="J916" s="31"/>
      <c r="K916" s="39">
        <f t="shared" ref="K916:K917" si="255">(F916*G916)*E916/100</f>
        <v>0</v>
      </c>
    </row>
    <row r="917" spans="3:11" ht="15.2">
      <c r="C917" s="29"/>
      <c r="D917" s="30"/>
      <c r="E917" s="31"/>
      <c r="F917" s="31"/>
      <c r="G917" s="31"/>
      <c r="H917" s="43"/>
      <c r="I917" s="41" t="str">
        <f>IF(Table46[[#This Row],[Month-Year]]="","",TEXT(Table46[[#This Row],[Month-Year]],"MMM-YY"))</f>
        <v/>
      </c>
      <c r="J917" s="31"/>
      <c r="K917" s="39">
        <f t="shared" si="255"/>
        <v>0</v>
      </c>
    </row>
    <row r="918" spans="3:11" ht="15.2">
      <c r="C918" s="29"/>
      <c r="D918" s="30"/>
      <c r="E918" s="31"/>
      <c r="F918" s="31"/>
      <c r="G918" s="31"/>
      <c r="H918" s="43"/>
      <c r="I918" s="41" t="str">
        <f>IF(Table46[[#This Row],[Month-Year]]="","",TEXT(Table46[[#This Row],[Month-Year]],"MMM-YY"))</f>
        <v/>
      </c>
      <c r="J918" s="31"/>
      <c r="K918" s="39">
        <f t="shared" ref="K918:K919" si="256">(F918*G918)*E918/100</f>
        <v>0</v>
      </c>
    </row>
    <row r="919" spans="3:11" ht="15.2">
      <c r="C919" s="29"/>
      <c r="D919" s="30"/>
      <c r="E919" s="31"/>
      <c r="F919" s="31"/>
      <c r="G919" s="31"/>
      <c r="H919" s="43"/>
      <c r="I919" s="41" t="str">
        <f>IF(Table46[[#This Row],[Month-Year]]="","",TEXT(Table46[[#This Row],[Month-Year]],"MMM-YY"))</f>
        <v/>
      </c>
      <c r="J919" s="31"/>
      <c r="K919" s="39">
        <f t="shared" si="256"/>
        <v>0</v>
      </c>
    </row>
    <row r="920" spans="3:11" ht="15.2">
      <c r="C920" s="29"/>
      <c r="D920" s="30"/>
      <c r="E920" s="31"/>
      <c r="F920" s="31"/>
      <c r="G920" s="31"/>
      <c r="H920" s="43"/>
      <c r="I920" s="41" t="str">
        <f>IF(Table46[[#This Row],[Month-Year]]="","",TEXT(Table46[[#This Row],[Month-Year]],"MMM-YY"))</f>
        <v/>
      </c>
      <c r="J920" s="31"/>
      <c r="K920" s="39">
        <f t="shared" ref="K920:K921" si="257">(F920*G920)*E920/100</f>
        <v>0</v>
      </c>
    </row>
    <row r="921" spans="3:11" ht="15.2">
      <c r="C921" s="29"/>
      <c r="D921" s="30"/>
      <c r="E921" s="31"/>
      <c r="F921" s="31"/>
      <c r="G921" s="31"/>
      <c r="H921" s="43"/>
      <c r="I921" s="41" t="str">
        <f>IF(Table46[[#This Row],[Month-Year]]="","",TEXT(Table46[[#This Row],[Month-Year]],"MMM-YY"))</f>
        <v/>
      </c>
      <c r="J921" s="31"/>
      <c r="K921" s="39">
        <f t="shared" si="257"/>
        <v>0</v>
      </c>
    </row>
    <row r="922" spans="3:11" ht="15.2">
      <c r="C922" s="29"/>
      <c r="D922" s="30"/>
      <c r="E922" s="31"/>
      <c r="F922" s="31"/>
      <c r="G922" s="31"/>
      <c r="H922" s="43"/>
      <c r="I922" s="41" t="str">
        <f>IF(Table46[[#This Row],[Month-Year]]="","",TEXT(Table46[[#This Row],[Month-Year]],"MMM-YY"))</f>
        <v/>
      </c>
      <c r="J922" s="31"/>
      <c r="K922" s="39">
        <f t="shared" ref="K922:K923" si="258">(F922*G922)*E922/100</f>
        <v>0</v>
      </c>
    </row>
    <row r="923" spans="3:11" ht="15.2">
      <c r="C923" s="29"/>
      <c r="D923" s="30"/>
      <c r="E923" s="31"/>
      <c r="F923" s="31"/>
      <c r="G923" s="31"/>
      <c r="H923" s="43"/>
      <c r="I923" s="41" t="str">
        <f>IF(Table46[[#This Row],[Month-Year]]="","",TEXT(Table46[[#This Row],[Month-Year]],"MMM-YY"))</f>
        <v/>
      </c>
      <c r="J923" s="31"/>
      <c r="K923" s="39">
        <f t="shared" si="258"/>
        <v>0</v>
      </c>
    </row>
    <row r="924" spans="3:11" ht="15.2">
      <c r="C924" s="29"/>
      <c r="D924" s="30"/>
      <c r="E924" s="31"/>
      <c r="F924" s="31"/>
      <c r="G924" s="31"/>
      <c r="H924" s="43"/>
      <c r="I924" s="41" t="str">
        <f>IF(Table46[[#This Row],[Month-Year]]="","",TEXT(Table46[[#This Row],[Month-Year]],"MMM-YY"))</f>
        <v/>
      </c>
      <c r="J924" s="31"/>
      <c r="K924" s="39">
        <f t="shared" ref="K924:K925" si="259">(F924*G924)*E924/100</f>
        <v>0</v>
      </c>
    </row>
    <row r="925" spans="3:11" ht="15.2">
      <c r="C925" s="29"/>
      <c r="D925" s="30"/>
      <c r="E925" s="31"/>
      <c r="F925" s="31"/>
      <c r="G925" s="31"/>
      <c r="H925" s="43"/>
      <c r="I925" s="41" t="str">
        <f>IF(Table46[[#This Row],[Month-Year]]="","",TEXT(Table46[[#This Row],[Month-Year]],"MMM-YY"))</f>
        <v/>
      </c>
      <c r="J925" s="31"/>
      <c r="K925" s="39">
        <f t="shared" si="259"/>
        <v>0</v>
      </c>
    </row>
    <row r="926" spans="3:11" ht="15.2">
      <c r="C926" s="29"/>
      <c r="D926" s="30"/>
      <c r="E926" s="31"/>
      <c r="F926" s="31"/>
      <c r="G926" s="31"/>
      <c r="H926" s="43"/>
      <c r="I926" s="41" t="str">
        <f>IF(Table46[[#This Row],[Month-Year]]="","",TEXT(Table46[[#This Row],[Month-Year]],"MMM-YY"))</f>
        <v/>
      </c>
      <c r="J926" s="31"/>
      <c r="K926" s="39">
        <f t="shared" ref="K926:K927" si="260">(F926*G926)*E926/100</f>
        <v>0</v>
      </c>
    </row>
    <row r="927" spans="3:11" ht="15.2">
      <c r="C927" s="29"/>
      <c r="D927" s="30"/>
      <c r="E927" s="31"/>
      <c r="F927" s="31"/>
      <c r="G927" s="31"/>
      <c r="H927" s="43"/>
      <c r="I927" s="41" t="str">
        <f>IF(Table46[[#This Row],[Month-Year]]="","",TEXT(Table46[[#This Row],[Month-Year]],"MMM-YY"))</f>
        <v/>
      </c>
      <c r="J927" s="31"/>
      <c r="K927" s="39">
        <f t="shared" si="260"/>
        <v>0</v>
      </c>
    </row>
    <row r="928" spans="3:11" ht="15.2">
      <c r="C928" s="29"/>
      <c r="D928" s="30"/>
      <c r="E928" s="31"/>
      <c r="F928" s="31"/>
      <c r="G928" s="31"/>
      <c r="H928" s="43"/>
      <c r="I928" s="41" t="str">
        <f>IF(Table46[[#This Row],[Month-Year]]="","",TEXT(Table46[[#This Row],[Month-Year]],"MMM-YY"))</f>
        <v/>
      </c>
      <c r="J928" s="31"/>
      <c r="K928" s="39">
        <f t="shared" ref="K928:K929" si="261">(F928*G928)*E928/100</f>
        <v>0</v>
      </c>
    </row>
    <row r="929" spans="3:11" ht="15.2">
      <c r="C929" s="29"/>
      <c r="D929" s="30"/>
      <c r="E929" s="31"/>
      <c r="F929" s="31"/>
      <c r="G929" s="31"/>
      <c r="H929" s="43"/>
      <c r="I929" s="41" t="str">
        <f>IF(Table46[[#This Row],[Month-Year]]="","",TEXT(Table46[[#This Row],[Month-Year]],"MMM-YY"))</f>
        <v/>
      </c>
      <c r="J929" s="31"/>
      <c r="K929" s="39">
        <f t="shared" si="261"/>
        <v>0</v>
      </c>
    </row>
    <row r="930" spans="3:11" ht="15.2">
      <c r="C930" s="29"/>
      <c r="D930" s="30"/>
      <c r="E930" s="31"/>
      <c r="F930" s="31"/>
      <c r="G930" s="31"/>
      <c r="H930" s="43"/>
      <c r="I930" s="41" t="str">
        <f>IF(Table46[[#This Row],[Month-Year]]="","",TEXT(Table46[[#This Row],[Month-Year]],"MMM-YY"))</f>
        <v/>
      </c>
      <c r="J930" s="31"/>
      <c r="K930" s="39">
        <f t="shared" ref="K930:K931" si="262">(F930*G930)*E930/100</f>
        <v>0</v>
      </c>
    </row>
    <row r="931" spans="3:11" ht="15.2">
      <c r="C931" s="29"/>
      <c r="D931" s="30"/>
      <c r="E931" s="31"/>
      <c r="F931" s="31"/>
      <c r="G931" s="31"/>
      <c r="H931" s="43"/>
      <c r="I931" s="41" t="str">
        <f>IF(Table46[[#This Row],[Month-Year]]="","",TEXT(Table46[[#This Row],[Month-Year]],"MMM-YY"))</f>
        <v/>
      </c>
      <c r="J931" s="31"/>
      <c r="K931" s="39">
        <f t="shared" si="262"/>
        <v>0</v>
      </c>
    </row>
    <row r="932" spans="3:11" ht="15.2">
      <c r="C932" s="29"/>
      <c r="D932" s="30"/>
      <c r="E932" s="31"/>
      <c r="F932" s="31"/>
      <c r="G932" s="31"/>
      <c r="H932" s="43"/>
      <c r="I932" s="41" t="str">
        <f>IF(Table46[[#This Row],[Month-Year]]="","",TEXT(Table46[[#This Row],[Month-Year]],"MMM-YY"))</f>
        <v/>
      </c>
      <c r="J932" s="31"/>
      <c r="K932" s="39">
        <f t="shared" ref="K932:K933" si="263">(F932*G932)*E932/100</f>
        <v>0</v>
      </c>
    </row>
    <row r="933" spans="3:11" ht="15.2">
      <c r="C933" s="29"/>
      <c r="D933" s="30"/>
      <c r="E933" s="31"/>
      <c r="F933" s="31"/>
      <c r="G933" s="31"/>
      <c r="H933" s="43"/>
      <c r="I933" s="41" t="str">
        <f>IF(Table46[[#This Row],[Month-Year]]="","",TEXT(Table46[[#This Row],[Month-Year]],"MMM-YY"))</f>
        <v/>
      </c>
      <c r="J933" s="31"/>
      <c r="K933" s="39">
        <f t="shared" si="263"/>
        <v>0</v>
      </c>
    </row>
    <row r="934" spans="3:11" ht="15.2">
      <c r="C934" s="29"/>
      <c r="D934" s="30"/>
      <c r="E934" s="31"/>
      <c r="F934" s="31"/>
      <c r="G934" s="31"/>
      <c r="H934" s="43"/>
      <c r="I934" s="41" t="str">
        <f>IF(Table46[[#This Row],[Month-Year]]="","",TEXT(Table46[[#This Row],[Month-Year]],"MMM-YY"))</f>
        <v/>
      </c>
      <c r="J934" s="31"/>
      <c r="K934" s="39">
        <f t="shared" ref="K934:K935" si="264">(F934*G934)*E934/100</f>
        <v>0</v>
      </c>
    </row>
    <row r="935" spans="3:11" ht="15.2">
      <c r="C935" s="29"/>
      <c r="D935" s="30"/>
      <c r="E935" s="31"/>
      <c r="F935" s="31"/>
      <c r="G935" s="31"/>
      <c r="H935" s="43"/>
      <c r="I935" s="41" t="str">
        <f>IF(Table46[[#This Row],[Month-Year]]="","",TEXT(Table46[[#This Row],[Month-Year]],"MMM-YY"))</f>
        <v/>
      </c>
      <c r="J935" s="31"/>
      <c r="K935" s="39">
        <f t="shared" si="264"/>
        <v>0</v>
      </c>
    </row>
    <row r="936" spans="3:11" ht="15.2">
      <c r="C936" s="29"/>
      <c r="D936" s="30"/>
      <c r="E936" s="31"/>
      <c r="F936" s="31"/>
      <c r="G936" s="31"/>
      <c r="H936" s="43"/>
      <c r="I936" s="41" t="str">
        <f>IF(Table46[[#This Row],[Month-Year]]="","",TEXT(Table46[[#This Row],[Month-Year]],"MMM-YY"))</f>
        <v/>
      </c>
      <c r="J936" s="31"/>
      <c r="K936" s="39">
        <f t="shared" ref="K936:K937" si="265">(F936*G936)*E936/100</f>
        <v>0</v>
      </c>
    </row>
    <row r="937" spans="3:11" ht="15.2">
      <c r="C937" s="29"/>
      <c r="D937" s="30"/>
      <c r="E937" s="31"/>
      <c r="F937" s="31"/>
      <c r="G937" s="31"/>
      <c r="H937" s="43"/>
      <c r="I937" s="41" t="str">
        <f>IF(Table46[[#This Row],[Month-Year]]="","",TEXT(Table46[[#This Row],[Month-Year]],"MMM-YY"))</f>
        <v/>
      </c>
      <c r="J937" s="31"/>
      <c r="K937" s="39">
        <f t="shared" si="265"/>
        <v>0</v>
      </c>
    </row>
    <row r="938" spans="3:11" ht="15.2">
      <c r="C938" s="29"/>
      <c r="D938" s="30"/>
      <c r="E938" s="31"/>
      <c r="F938" s="31"/>
      <c r="G938" s="31"/>
      <c r="H938" s="43"/>
      <c r="I938" s="41" t="str">
        <f>IF(Table46[[#This Row],[Month-Year]]="","",TEXT(Table46[[#This Row],[Month-Year]],"MMM-YY"))</f>
        <v/>
      </c>
      <c r="J938" s="31"/>
      <c r="K938" s="39"/>
    </row>
    <row r="939" spans="3:11" ht="15.2">
      <c r="C939" s="29"/>
      <c r="D939" s="30"/>
      <c r="E939" s="31"/>
      <c r="F939" s="31"/>
      <c r="G939" s="31"/>
      <c r="H939" s="43"/>
      <c r="I939" s="41" t="str">
        <f>IF(Table46[[#This Row],[Month-Year]]="","",TEXT(Table46[[#This Row],[Month-Year]],"MMM-YY"))</f>
        <v/>
      </c>
      <c r="J939" s="31"/>
      <c r="K939" s="39"/>
    </row>
    <row r="940" spans="3:11" ht="15.2">
      <c r="C940" s="29"/>
      <c r="D940" s="30"/>
      <c r="E940" s="31"/>
      <c r="F940" s="31"/>
      <c r="G940" s="31"/>
      <c r="H940" s="43"/>
      <c r="I940" s="41" t="str">
        <f>IF(Table46[[#This Row],[Month-Year]]="","",TEXT(Table46[[#This Row],[Month-Year]],"MMM-YY"))</f>
        <v/>
      </c>
      <c r="J940" s="31"/>
      <c r="K940" s="39">
        <f>(F940*G940)*E940/100</f>
        <v>0</v>
      </c>
    </row>
    <row r="941" spans="3:11" ht="15.2">
      <c r="C941" s="34"/>
      <c r="D941" s="42"/>
      <c r="E941" s="35"/>
      <c r="F941" s="31"/>
      <c r="G941" s="31"/>
      <c r="H941" s="44"/>
      <c r="I941" s="41" t="str">
        <f>IF(Table46[[#This Row],[Month-Year]]="","",TEXT(Table46[[#This Row],[Month-Year]],"MMM-YY"))</f>
        <v/>
      </c>
      <c r="J941" s="31"/>
      <c r="K941" s="40">
        <f>(F941*G941)*E941/100</f>
        <v>0</v>
      </c>
    </row>
    <row r="942" spans="3:11" ht="15.2">
      <c r="C942" s="34"/>
      <c r="D942" s="42"/>
      <c r="E942" s="35"/>
      <c r="F942" s="31"/>
      <c r="G942" s="31"/>
      <c r="H942" s="44"/>
      <c r="I942" s="41" t="str">
        <f>IF(Table46[[#This Row],[Month-Year]]="","",TEXT(Table46[[#This Row],[Month-Year]],"MMM-YY"))</f>
        <v/>
      </c>
      <c r="J942" s="31"/>
      <c r="K942" s="40">
        <f>(F942*G942)*E942/100</f>
        <v>0</v>
      </c>
    </row>
  </sheetData>
  <sheetProtection password="E15D" sheet="1" scenarios="1" formatCells="0" pivotTables="0"/>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tnLoadRefresh">
              <controlPr defaultSize="0" print="0">
                <anchor moveWithCells="1" sizeWithCells="1">
                  <from>
                    <xdr:col>4</xdr:col>
                    <xdr:colOff>85725</xdr:colOff>
                    <xdr:row>0</xdr:row>
                    <xdr:rowOff>123825</xdr:rowOff>
                  </from>
                  <to>
                    <xdr:col>4</xdr:col>
                    <xdr:colOff>1152525</xdr:colOff>
                    <xdr:row>1</xdr:row>
                    <xdr:rowOff>133350</xdr:rowOff>
                  </to>
                </anchor>
              </controlPr>
            </control>
          </mc:Choice>
        </mc:AlternateContent>
      </controls>
    </mc:Choice>
  </mc:AlternateContent>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C2:J16"/>
  <sheetViews>
    <sheetView showGridLines="0" workbookViewId="0">
      <selection activeCell="L11" sqref="L11"/>
    </sheetView>
  </sheetViews>
  <sheetFormatPr defaultColWidth="9" defaultRowHeight="14.45"/>
  <cols>
    <col min="4" max="4" width="33.125" customWidth="1"/>
    <col min="5" max="6" width="13.75" style="1" customWidth="1"/>
    <col min="7" max="7" width="11.75" style="1" customWidth="1"/>
    <col min="8" max="8" width="13.75" style="1" customWidth="1"/>
    <col min="9" max="9" width="12.125" style="1" customWidth="1"/>
    <col min="10" max="10" width="9.125" style="1"/>
  </cols>
  <sheetData>
    <row r="2" spans="3:9" ht="23.45">
      <c r="D2" s="2" t="s">
        <v>449</v>
      </c>
    </row>
    <row r="4" spans="3:9">
      <c r="C4" t="s">
        <v>450</v>
      </c>
    </row>
    <row r="5" spans="3:9" ht="15.2"/>
    <row r="6" spans="3:9">
      <c r="C6" s="3" t="s">
        <v>115</v>
      </c>
      <c r="D6" s="4" t="s">
        <v>451</v>
      </c>
      <c r="E6" s="5" t="s">
        <v>192</v>
      </c>
      <c r="F6" s="5" t="s">
        <v>194</v>
      </c>
      <c r="G6" s="5" t="s">
        <v>193</v>
      </c>
      <c r="H6" s="5" t="s">
        <v>195</v>
      </c>
      <c r="I6" s="20" t="s">
        <v>170</v>
      </c>
    </row>
    <row r="7" spans="3:9">
      <c r="C7" s="6">
        <v>8</v>
      </c>
      <c r="D7" s="7" t="s">
        <v>216</v>
      </c>
      <c r="E7" s="8">
        <v>0.05</v>
      </c>
      <c r="F7" s="9">
        <v>0.01</v>
      </c>
      <c r="G7" s="10"/>
      <c r="H7" s="9">
        <v>7.0000000000000007E-2</v>
      </c>
      <c r="I7" s="21"/>
    </row>
    <row r="8" spans="3:9">
      <c r="C8" s="6">
        <v>16</v>
      </c>
      <c r="D8" s="11" t="s">
        <v>209</v>
      </c>
      <c r="E8" s="8">
        <v>0.95</v>
      </c>
      <c r="F8" s="9">
        <v>0.8</v>
      </c>
      <c r="G8" s="10"/>
      <c r="H8" s="9">
        <v>1</v>
      </c>
      <c r="I8" s="21"/>
    </row>
    <row r="9" spans="3:9">
      <c r="C9" s="6">
        <v>22</v>
      </c>
      <c r="D9" s="11" t="s">
        <v>452</v>
      </c>
      <c r="E9" s="8">
        <v>0.15</v>
      </c>
      <c r="F9" s="9">
        <v>0.1</v>
      </c>
      <c r="G9" s="10"/>
      <c r="H9" s="9">
        <v>0.2</v>
      </c>
      <c r="I9" s="21"/>
    </row>
    <row r="10" spans="3:9">
      <c r="C10" s="6">
        <v>23</v>
      </c>
      <c r="D10" s="11" t="s">
        <v>453</v>
      </c>
      <c r="E10" s="8">
        <v>0.95</v>
      </c>
      <c r="F10" s="9">
        <v>0.9</v>
      </c>
      <c r="G10" s="10"/>
      <c r="H10" s="9">
        <v>1</v>
      </c>
      <c r="I10" s="21"/>
    </row>
    <row r="11" spans="3:9">
      <c r="C11" s="6">
        <v>24</v>
      </c>
      <c r="D11" s="11" t="s">
        <v>454</v>
      </c>
      <c r="E11" s="12">
        <v>0.95</v>
      </c>
      <c r="F11" s="13">
        <v>0.9</v>
      </c>
      <c r="G11" s="14"/>
      <c r="H11" s="13">
        <v>1</v>
      </c>
      <c r="I11" s="22"/>
    </row>
    <row r="12" spans="3:9">
      <c r="C12" s="6">
        <v>25</v>
      </c>
      <c r="D12" s="11" t="s">
        <v>455</v>
      </c>
      <c r="E12" s="12" t="s">
        <v>236</v>
      </c>
      <c r="F12" s="12" t="s">
        <v>236</v>
      </c>
      <c r="G12" s="14"/>
      <c r="H12" s="12" t="s">
        <v>236</v>
      </c>
      <c r="I12" s="22"/>
    </row>
    <row r="13" spans="3:9">
      <c r="C13" s="6">
        <v>26</v>
      </c>
      <c r="D13" s="11" t="s">
        <v>456</v>
      </c>
      <c r="E13" s="12" t="s">
        <v>236</v>
      </c>
      <c r="F13" s="12" t="s">
        <v>236</v>
      </c>
      <c r="G13" s="14"/>
      <c r="H13" s="12" t="s">
        <v>236</v>
      </c>
      <c r="I13" s="22"/>
    </row>
    <row r="14" spans="3:9">
      <c r="C14" s="6">
        <v>27</v>
      </c>
      <c r="D14" s="11" t="s">
        <v>457</v>
      </c>
      <c r="E14" s="12"/>
      <c r="F14" s="13"/>
      <c r="G14" s="14"/>
      <c r="H14" s="13"/>
      <c r="I14" s="22"/>
    </row>
    <row r="15" spans="3:9">
      <c r="C15" s="6">
        <v>28</v>
      </c>
      <c r="D15" s="11" t="s">
        <v>268</v>
      </c>
      <c r="E15" s="9">
        <v>1</v>
      </c>
      <c r="F15" s="13" t="s">
        <v>377</v>
      </c>
      <c r="G15" s="14"/>
      <c r="H15" s="13" t="s">
        <v>377</v>
      </c>
      <c r="I15" s="22"/>
    </row>
    <row r="16" spans="3:9" ht="15.2">
      <c r="C16" s="15">
        <v>29</v>
      </c>
      <c r="D16" s="16" t="s">
        <v>271</v>
      </c>
      <c r="E16" s="17">
        <v>1</v>
      </c>
      <c r="F16" s="18" t="s">
        <v>377</v>
      </c>
      <c r="G16" s="19"/>
      <c r="H16" s="18" t="s">
        <v>377</v>
      </c>
      <c r="I16" s="23"/>
    </row>
  </sheetData>
  <sheetProtection password="E15D" sheet="1" scenarios="1" formatCells="0" pivotTables="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Guest User</cp:lastModifiedBy>
  <cp:revision/>
  <dcterms:created xsi:type="dcterms:W3CDTF">2006-09-16T00:00:00Z</dcterms:created>
  <dcterms:modified xsi:type="dcterms:W3CDTF">2022-11-08T13:05:06Z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3AB3F58451A74AADAD1C36F7487F5C48</vt:lpwstr>
  </property>
  <property fmtid="{D5CDD505-2E9C-101B-9397-08002B2CF9AE}" pid="3" name="KSOProductBuildVer">
    <vt:lpwstr>1033-11.2.0.11380</vt:lpwstr>
  </property>
</Properties>
</file>